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4-GAYAZA ROAD\MCC DATA\"/>
    </mc:Choice>
  </mc:AlternateContent>
  <bookViews>
    <workbookView xWindow="-120" yWindow="-120" windowWidth="20730" windowHeight="11160" tabRatio="885" firstSheet="13" activeTab="16"/>
  </bookViews>
  <sheets>
    <sheet name="22.07 Kalerwe-Kampala" sheetId="93" r:id="rId1"/>
    <sheet name="22.07 Kampala-Kalerwe" sheetId="94" r:id="rId2"/>
    <sheet name="23.07 Kalerwe-Kampala" sheetId="95" r:id="rId3"/>
    <sheet name="23.07 Kampala-Kalerwe" sheetId="96" r:id="rId4"/>
    <sheet name="24.07 Kalewre-Kampala" sheetId="97" r:id="rId5"/>
    <sheet name="24.07 Kampala-Kalewre" sheetId="98" r:id="rId6"/>
    <sheet name="25.07 Kalewre-Kampala" sheetId="99" r:id="rId7"/>
    <sheet name="25.07 Kampala-Kalewre" sheetId="100" r:id="rId8"/>
    <sheet name="26.07 Kalerwe-Kampala-24h" sheetId="101" r:id="rId9"/>
    <sheet name="26.07 Kampala-Kalerwe-24h" sheetId="109" r:id="rId10"/>
    <sheet name="27.07 Kalerwe-Kampala-24h" sheetId="105" r:id="rId11"/>
    <sheet name="27.07 Kampala-Kalerwe-24h" sheetId="110" r:id="rId12"/>
    <sheet name="28.07 Kalerwe-Kampala" sheetId="103" r:id="rId13"/>
    <sheet name="28.07 Kampala-Kalerwe" sheetId="104" r:id="rId14"/>
    <sheet name="Avg Week Kalerwe-Kampala" sheetId="107" r:id="rId15"/>
    <sheet name="Avg Week Kampala-Kalerwe" sheetId="108" r:id="rId16"/>
    <sheet name="Avg Week Kalerwe-Kampala-2Dir" sheetId="111" r:id="rId17"/>
  </sheets>
  <definedNames>
    <definedName name="_xlnm.Print_Area" localSheetId="0">'22.07 Kalerwe-Kampala'!$A$1:$AF$60</definedName>
    <definedName name="_xlnm.Print_Area" localSheetId="1">'22.07 Kampala-Kalerwe'!$A$1:$AF$60</definedName>
    <definedName name="_xlnm.Print_Area" localSheetId="2">'23.07 Kalerwe-Kampala'!$A$1:$AF$60</definedName>
    <definedName name="_xlnm.Print_Area" localSheetId="3">'23.07 Kampala-Kalerwe'!$A$1:$AF$60</definedName>
    <definedName name="_xlnm.Print_Area" localSheetId="4">'24.07 Kalewre-Kampala'!$A$1:$AF$60</definedName>
    <definedName name="_xlnm.Print_Area" localSheetId="5">'24.07 Kampala-Kalewre'!$A$1:$AF$60</definedName>
    <definedName name="_xlnm.Print_Area" localSheetId="6">'25.07 Kalewre-Kampala'!$A$1:$AF$60</definedName>
    <definedName name="_xlnm.Print_Area" localSheetId="7">'25.07 Kampala-Kalewre'!$A$1:$AF$60</definedName>
    <definedName name="_xlnm.Print_Area" localSheetId="8">'26.07 Kalerwe-Kampala-24h'!$A$1:$AF$108</definedName>
    <definedName name="_xlnm.Print_Area" localSheetId="9">'26.07 Kampala-Kalerwe-24h'!$A$1:$AF$108</definedName>
    <definedName name="_xlnm.Print_Area" localSheetId="10">'27.07 Kalerwe-Kampala-24h'!$A$1:$AF$108</definedName>
    <definedName name="_xlnm.Print_Area" localSheetId="11">'27.07 Kampala-Kalerwe-24h'!$A$1:$AF$108</definedName>
    <definedName name="_xlnm.Print_Area" localSheetId="12">'28.07 Kalerwe-Kampala'!$A$1:$AF$60</definedName>
    <definedName name="_xlnm.Print_Area" localSheetId="13">'28.07 Kampala-Kalerwe'!$A$1:$AF$60</definedName>
    <definedName name="_xlnm.Print_Area" localSheetId="14">'Avg Week Kalerwe-Kampala'!$A$1:$AF$193</definedName>
    <definedName name="_xlnm.Print_Area" localSheetId="16">'Avg Week Kalerwe-Kampala-2Dir'!$A$1:$AF$129</definedName>
    <definedName name="_xlnm.Print_Area" localSheetId="15">'Avg Week Kampala-Kalerwe'!$A$1:$AF$220</definedName>
    <definedName name="_xlnm.Print_Titles" localSheetId="0">'22.07 Kalerwe-Kampala'!$1:$8</definedName>
    <definedName name="_xlnm.Print_Titles" localSheetId="1">'22.07 Kampala-Kalerwe'!$1:$8</definedName>
    <definedName name="_xlnm.Print_Titles" localSheetId="2">'23.07 Kalerwe-Kampala'!$1:$8</definedName>
    <definedName name="_xlnm.Print_Titles" localSheetId="3">'23.07 Kampala-Kalerwe'!$1:$8</definedName>
    <definedName name="_xlnm.Print_Titles" localSheetId="4">'24.07 Kalewre-Kampala'!$1:$8</definedName>
    <definedName name="_xlnm.Print_Titles" localSheetId="5">'24.07 Kampala-Kalewre'!$1:$8</definedName>
    <definedName name="_xlnm.Print_Titles" localSheetId="6">'25.07 Kalewre-Kampala'!$1:$8</definedName>
    <definedName name="_xlnm.Print_Titles" localSheetId="7">'25.07 Kampala-Kalewre'!$1:$8</definedName>
    <definedName name="_xlnm.Print_Titles" localSheetId="8">'26.07 Kalerwe-Kampala-24h'!$1:$8</definedName>
    <definedName name="_xlnm.Print_Titles" localSheetId="9">'26.07 Kampala-Kalerwe-24h'!$1:$8</definedName>
    <definedName name="_xlnm.Print_Titles" localSheetId="10">'27.07 Kalerwe-Kampala-24h'!$1:$8</definedName>
    <definedName name="_xlnm.Print_Titles" localSheetId="11">'27.07 Kampala-Kalerwe-24h'!$1:$8</definedName>
    <definedName name="_xlnm.Print_Titles" localSheetId="12">'28.07 Kalerwe-Kampala'!$1:$8</definedName>
    <definedName name="_xlnm.Print_Titles" localSheetId="13">'28.07 Kampala-Kalerwe'!$1:$8</definedName>
    <definedName name="_xlnm.Print_Titles" localSheetId="14">'Avg Week Kalerwe-Kampala'!$1:$8</definedName>
    <definedName name="_xlnm.Print_Titles" localSheetId="16">'Avg Week Kalerwe-Kampala-2Dir'!$1:$8</definedName>
    <definedName name="_xlnm.Print_Titles" localSheetId="15">'Avg Week Kampala-Kalerwe'!$1:$8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108" l="1"/>
  <c r="T22" i="108" s="1"/>
  <c r="E58" i="108"/>
  <c r="F58" i="108"/>
  <c r="G58" i="108"/>
  <c r="H58" i="108"/>
  <c r="X22" i="108" s="1"/>
  <c r="I58" i="108"/>
  <c r="J58" i="108"/>
  <c r="K58" i="108"/>
  <c r="L58" i="108"/>
  <c r="AB22" i="108" s="1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F62" i="108"/>
  <c r="G62" i="108"/>
  <c r="H62" i="108"/>
  <c r="X23" i="108" s="1"/>
  <c r="I62" i="108"/>
  <c r="J62" i="108"/>
  <c r="K62" i="108"/>
  <c r="L62" i="108"/>
  <c r="AB23" i="108" s="1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O65" i="108" s="1"/>
  <c r="H65" i="108"/>
  <c r="I65" i="108"/>
  <c r="J65" i="108"/>
  <c r="K65" i="108"/>
  <c r="L65" i="108"/>
  <c r="M65" i="108"/>
  <c r="N65" i="108"/>
  <c r="D66" i="108"/>
  <c r="T24" i="108" s="1"/>
  <c r="E66" i="108"/>
  <c r="F66" i="108"/>
  <c r="G66" i="108"/>
  <c r="H66" i="108"/>
  <c r="X24" i="108" s="1"/>
  <c r="I66" i="108"/>
  <c r="J66" i="108"/>
  <c r="K66" i="108"/>
  <c r="L66" i="108"/>
  <c r="AB24" i="108" s="1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T25" i="108" s="1"/>
  <c r="E70" i="108"/>
  <c r="F70" i="108"/>
  <c r="G70" i="108"/>
  <c r="H70" i="108"/>
  <c r="X25" i="108" s="1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T26" i="108" s="1"/>
  <c r="E74" i="108"/>
  <c r="F74" i="108"/>
  <c r="G74" i="108"/>
  <c r="H74" i="108"/>
  <c r="X26" i="108" s="1"/>
  <c r="I74" i="108"/>
  <c r="J74" i="108"/>
  <c r="K74" i="108"/>
  <c r="L74" i="108"/>
  <c r="AB26" i="108" s="1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G78" i="108"/>
  <c r="H78" i="108"/>
  <c r="X27" i="108" s="1"/>
  <c r="I78" i="108"/>
  <c r="J78" i="108"/>
  <c r="K78" i="108"/>
  <c r="L78" i="108"/>
  <c r="AB27" i="108" s="1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T28" i="108" s="1"/>
  <c r="E82" i="108"/>
  <c r="F82" i="108"/>
  <c r="G82" i="108"/>
  <c r="H82" i="108"/>
  <c r="X28" i="108" s="1"/>
  <c r="I82" i="108"/>
  <c r="J82" i="108"/>
  <c r="K82" i="108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X29" i="108" s="1"/>
  <c r="I86" i="108"/>
  <c r="J86" i="108"/>
  <c r="K86" i="108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G90" i="108"/>
  <c r="H90" i="108"/>
  <c r="X30" i="108" s="1"/>
  <c r="I90" i="108"/>
  <c r="J90" i="108"/>
  <c r="K90" i="108"/>
  <c r="L90" i="108"/>
  <c r="AB30" i="108" s="1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T31" i="108" s="1"/>
  <c r="E94" i="108"/>
  <c r="F94" i="108"/>
  <c r="G94" i="108"/>
  <c r="H94" i="108"/>
  <c r="X31" i="108" s="1"/>
  <c r="I94" i="108"/>
  <c r="J94" i="108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G98" i="108"/>
  <c r="H98" i="108"/>
  <c r="X32" i="108" s="1"/>
  <c r="I98" i="108"/>
  <c r="J98" i="108"/>
  <c r="K98" i="108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T33" i="108" s="1"/>
  <c r="E102" i="108"/>
  <c r="F102" i="108"/>
  <c r="G102" i="108"/>
  <c r="H102" i="108"/>
  <c r="X33" i="108" s="1"/>
  <c r="I102" i="108"/>
  <c r="J102" i="108"/>
  <c r="K102" i="108"/>
  <c r="L102" i="108"/>
  <c r="AB33" i="108" s="1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P59" i="108" s="1"/>
  <c r="C60" i="108"/>
  <c r="C61" i="108"/>
  <c r="C62" i="108"/>
  <c r="C63" i="108"/>
  <c r="P63" i="108" s="1"/>
  <c r="C64" i="108"/>
  <c r="C65" i="108"/>
  <c r="C66" i="108"/>
  <c r="C67" i="108"/>
  <c r="P67" i="108" s="1"/>
  <c r="C68" i="108"/>
  <c r="C69" i="108"/>
  <c r="C70" i="108"/>
  <c r="C71" i="108"/>
  <c r="P71" i="108" s="1"/>
  <c r="C72" i="108"/>
  <c r="C73" i="108"/>
  <c r="C74" i="108"/>
  <c r="C75" i="108"/>
  <c r="P75" i="108" s="1"/>
  <c r="C76" i="108"/>
  <c r="C77" i="108"/>
  <c r="C78" i="108"/>
  <c r="C79" i="108"/>
  <c r="P79" i="108" s="1"/>
  <c r="C80" i="108"/>
  <c r="C81" i="108"/>
  <c r="C82" i="108"/>
  <c r="C83" i="108"/>
  <c r="P83" i="108" s="1"/>
  <c r="C84" i="108"/>
  <c r="C85" i="108"/>
  <c r="C86" i="108"/>
  <c r="C87" i="108"/>
  <c r="P87" i="108" s="1"/>
  <c r="C88" i="108"/>
  <c r="C89" i="108"/>
  <c r="C90" i="108"/>
  <c r="C91" i="108"/>
  <c r="P91" i="108" s="1"/>
  <c r="C92" i="108"/>
  <c r="C93" i="108"/>
  <c r="C94" i="108"/>
  <c r="C95" i="108"/>
  <c r="P95" i="108" s="1"/>
  <c r="C96" i="108"/>
  <c r="C97" i="108"/>
  <c r="C98" i="108"/>
  <c r="C99" i="108"/>
  <c r="P99" i="108" s="1"/>
  <c r="C100" i="108"/>
  <c r="C101" i="108"/>
  <c r="C102" i="108"/>
  <c r="C103" i="108"/>
  <c r="P103" i="108" s="1"/>
  <c r="C104" i="108"/>
  <c r="C105" i="108"/>
  <c r="C58" i="108"/>
  <c r="S33" i="108" l="1"/>
  <c r="S32" i="108"/>
  <c r="S31" i="108"/>
  <c r="S30" i="108"/>
  <c r="S29" i="108"/>
  <c r="S28" i="108"/>
  <c r="S27" i="108"/>
  <c r="S26" i="108"/>
  <c r="S25" i="108"/>
  <c r="P66" i="108"/>
  <c r="S24" i="108"/>
  <c r="P62" i="108"/>
  <c r="S23" i="108"/>
  <c r="AA33" i="108"/>
  <c r="W33" i="108"/>
  <c r="AA32" i="108"/>
  <c r="W32" i="108"/>
  <c r="AA31" i="108"/>
  <c r="W31" i="108"/>
  <c r="AA30" i="108"/>
  <c r="W30" i="108"/>
  <c r="AA29" i="108"/>
  <c r="W29" i="108"/>
  <c r="AA28" i="108"/>
  <c r="W28" i="108"/>
  <c r="AA27" i="108"/>
  <c r="W27" i="108"/>
  <c r="AA26" i="108"/>
  <c r="W26" i="108"/>
  <c r="AA25" i="108"/>
  <c r="W25" i="108"/>
  <c r="AA24" i="108"/>
  <c r="W24" i="108"/>
  <c r="AA23" i="108"/>
  <c r="W23" i="108"/>
  <c r="AA22" i="108"/>
  <c r="W22" i="108"/>
  <c r="O59" i="108"/>
  <c r="O67" i="108"/>
  <c r="P101" i="108"/>
  <c r="P93" i="108"/>
  <c r="P89" i="108"/>
  <c r="P85" i="108"/>
  <c r="P81" i="108"/>
  <c r="P77" i="108"/>
  <c r="P73" i="108"/>
  <c r="P69" i="108"/>
  <c r="P65" i="108"/>
  <c r="P61" i="108"/>
  <c r="AD33" i="108"/>
  <c r="Z33" i="108"/>
  <c r="V33" i="108"/>
  <c r="AD32" i="108"/>
  <c r="Z32" i="108"/>
  <c r="V32" i="108"/>
  <c r="AD31" i="108"/>
  <c r="Z31" i="108"/>
  <c r="V31" i="108"/>
  <c r="AD30" i="108"/>
  <c r="Z30" i="108"/>
  <c r="V30" i="108"/>
  <c r="AD29" i="108"/>
  <c r="Z29" i="108"/>
  <c r="V29" i="108"/>
  <c r="AD28" i="108"/>
  <c r="Z28" i="108"/>
  <c r="V28" i="108"/>
  <c r="AD27" i="108"/>
  <c r="Z27" i="108"/>
  <c r="V27" i="108"/>
  <c r="AD26" i="108"/>
  <c r="Z26" i="108"/>
  <c r="V26" i="108"/>
  <c r="AD25" i="108"/>
  <c r="Z25" i="108"/>
  <c r="V25" i="108"/>
  <c r="AD24" i="108"/>
  <c r="Z24" i="108"/>
  <c r="V24" i="108"/>
  <c r="AD23" i="108"/>
  <c r="Z23" i="108"/>
  <c r="V23" i="108"/>
  <c r="AD22" i="108"/>
  <c r="Z22" i="108"/>
  <c r="V22" i="108"/>
  <c r="O61" i="108"/>
  <c r="P58" i="108"/>
  <c r="AF22" i="108" s="1"/>
  <c r="S22" i="108"/>
  <c r="P105" i="108"/>
  <c r="P97" i="108"/>
  <c r="P68" i="108"/>
  <c r="P64" i="108"/>
  <c r="P60" i="108"/>
  <c r="AC33" i="108"/>
  <c r="Y33" i="108"/>
  <c r="U33" i="108"/>
  <c r="AC32" i="108"/>
  <c r="Y32" i="108"/>
  <c r="U32" i="108"/>
  <c r="AC31" i="108"/>
  <c r="Y31" i="108"/>
  <c r="U31" i="108"/>
  <c r="AC30" i="108"/>
  <c r="Y30" i="108"/>
  <c r="U30" i="108"/>
  <c r="AC29" i="108"/>
  <c r="Y29" i="108"/>
  <c r="U29" i="108"/>
  <c r="AC28" i="108"/>
  <c r="Y28" i="108"/>
  <c r="U28" i="108"/>
  <c r="AC27" i="108"/>
  <c r="Y27" i="108"/>
  <c r="U27" i="108"/>
  <c r="AC26" i="108"/>
  <c r="Y26" i="108"/>
  <c r="U26" i="108"/>
  <c r="AC25" i="108"/>
  <c r="Y25" i="108"/>
  <c r="U25" i="108"/>
  <c r="AC24" i="108"/>
  <c r="Y24" i="108"/>
  <c r="U24" i="108"/>
  <c r="AC23" i="108"/>
  <c r="Y23" i="108"/>
  <c r="U23" i="108"/>
  <c r="AC22" i="108"/>
  <c r="Y22" i="108"/>
  <c r="U22" i="108"/>
  <c r="O63" i="108"/>
  <c r="P104" i="108"/>
  <c r="O104" i="108"/>
  <c r="P102" i="108"/>
  <c r="O102" i="108"/>
  <c r="P100" i="108"/>
  <c r="O100" i="108"/>
  <c r="P98" i="108"/>
  <c r="O98" i="108"/>
  <c r="P96" i="108"/>
  <c r="O96" i="108"/>
  <c r="P94" i="108"/>
  <c r="AF31" i="108" s="1"/>
  <c r="O94" i="108"/>
  <c r="P92" i="108"/>
  <c r="O92" i="108"/>
  <c r="P90" i="108"/>
  <c r="AF30" i="108" s="1"/>
  <c r="O90" i="108"/>
  <c r="P88" i="108"/>
  <c r="O88" i="108"/>
  <c r="P86" i="108"/>
  <c r="AF29" i="108" s="1"/>
  <c r="O86" i="108"/>
  <c r="P84" i="108"/>
  <c r="O84" i="108"/>
  <c r="P82" i="108"/>
  <c r="AF28" i="108" s="1"/>
  <c r="O82" i="108"/>
  <c r="P80" i="108"/>
  <c r="O80" i="108"/>
  <c r="P78" i="108"/>
  <c r="O78" i="108"/>
  <c r="P76" i="108"/>
  <c r="O76" i="108"/>
  <c r="P74" i="108"/>
  <c r="AF26" i="108" s="1"/>
  <c r="O74" i="108"/>
  <c r="P72" i="108"/>
  <c r="O72" i="108"/>
  <c r="P70" i="108"/>
  <c r="AF25" i="108" s="1"/>
  <c r="O70" i="108"/>
  <c r="O105" i="108"/>
  <c r="O103" i="108"/>
  <c r="O101" i="108"/>
  <c r="O99" i="108"/>
  <c r="O97" i="108"/>
  <c r="O95" i="108"/>
  <c r="O93" i="108"/>
  <c r="O91" i="108"/>
  <c r="O89" i="108"/>
  <c r="O87" i="108"/>
  <c r="O85" i="108"/>
  <c r="O83" i="108"/>
  <c r="O81" i="108"/>
  <c r="O79" i="108"/>
  <c r="O77" i="108"/>
  <c r="O75" i="108"/>
  <c r="O73" i="108"/>
  <c r="O71" i="108"/>
  <c r="O69" i="108"/>
  <c r="O58" i="108"/>
  <c r="AE22" i="108" s="1"/>
  <c r="O60" i="108"/>
  <c r="O62" i="108"/>
  <c r="AE23" i="108" s="1"/>
  <c r="O64" i="108"/>
  <c r="O66" i="108"/>
  <c r="AE24" i="108" s="1"/>
  <c r="O68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59" i="111" s="1"/>
  <c r="P59" i="111" s="1"/>
  <c r="C60" i="107"/>
  <c r="C61" i="107"/>
  <c r="C61" i="111" s="1"/>
  <c r="C62" i="107"/>
  <c r="C63" i="107"/>
  <c r="C63" i="111" s="1"/>
  <c r="P63" i="111" s="1"/>
  <c r="C64" i="107"/>
  <c r="C65" i="107"/>
  <c r="C65" i="111" s="1"/>
  <c r="C66" i="107"/>
  <c r="C67" i="107"/>
  <c r="C67" i="111" s="1"/>
  <c r="P67" i="111" s="1"/>
  <c r="C68" i="107"/>
  <c r="C69" i="107"/>
  <c r="C69" i="111" s="1"/>
  <c r="C70" i="107"/>
  <c r="C71" i="107"/>
  <c r="C71" i="111" s="1"/>
  <c r="P71" i="111" s="1"/>
  <c r="C72" i="107"/>
  <c r="C73" i="107"/>
  <c r="C73" i="111" s="1"/>
  <c r="C74" i="107"/>
  <c r="C75" i="107"/>
  <c r="C75" i="111" s="1"/>
  <c r="P75" i="111" s="1"/>
  <c r="C76" i="107"/>
  <c r="C77" i="107"/>
  <c r="C77" i="111" s="1"/>
  <c r="C78" i="107"/>
  <c r="C79" i="107"/>
  <c r="C79" i="111" s="1"/>
  <c r="P79" i="111" s="1"/>
  <c r="C80" i="107"/>
  <c r="C81" i="107"/>
  <c r="C81" i="111" s="1"/>
  <c r="C82" i="107"/>
  <c r="C83" i="107"/>
  <c r="C83" i="111" s="1"/>
  <c r="P83" i="111" s="1"/>
  <c r="C84" i="107"/>
  <c r="C85" i="107"/>
  <c r="C85" i="111" s="1"/>
  <c r="C86" i="107"/>
  <c r="C87" i="107"/>
  <c r="C87" i="111" s="1"/>
  <c r="P87" i="111" s="1"/>
  <c r="C88" i="107"/>
  <c r="C89" i="107"/>
  <c r="C89" i="111" s="1"/>
  <c r="C90" i="107"/>
  <c r="C91" i="107"/>
  <c r="C91" i="111" s="1"/>
  <c r="P91" i="111" s="1"/>
  <c r="C92" i="107"/>
  <c r="C93" i="107"/>
  <c r="C93" i="111" s="1"/>
  <c r="C94" i="107"/>
  <c r="C95" i="107"/>
  <c r="C95" i="111" s="1"/>
  <c r="P95" i="111" s="1"/>
  <c r="C96" i="107"/>
  <c r="C97" i="107"/>
  <c r="C97" i="111" s="1"/>
  <c r="C98" i="107"/>
  <c r="C99" i="107"/>
  <c r="C99" i="111" s="1"/>
  <c r="P99" i="111" s="1"/>
  <c r="C100" i="107"/>
  <c r="C101" i="107"/>
  <c r="C101" i="111" s="1"/>
  <c r="C102" i="107"/>
  <c r="C103" i="107"/>
  <c r="C103" i="111" s="1"/>
  <c r="P103" i="111" s="1"/>
  <c r="C104" i="107"/>
  <c r="C105" i="107"/>
  <c r="C105" i="111" s="1"/>
  <c r="C58" i="107"/>
  <c r="L98" i="111" l="1"/>
  <c r="AB32" i="111" s="1"/>
  <c r="AB32" i="107"/>
  <c r="H90" i="111"/>
  <c r="X30" i="111" s="1"/>
  <c r="X30" i="107"/>
  <c r="H86" i="111"/>
  <c r="X29" i="111" s="1"/>
  <c r="X29" i="107"/>
  <c r="D86" i="111"/>
  <c r="T29" i="111" s="1"/>
  <c r="T29" i="107"/>
  <c r="L82" i="111"/>
  <c r="AB28" i="111" s="1"/>
  <c r="AB28" i="107"/>
  <c r="D82" i="111"/>
  <c r="T28" i="111" s="1"/>
  <c r="T28" i="107"/>
  <c r="L78" i="111"/>
  <c r="AB27" i="111" s="1"/>
  <c r="AB27" i="107"/>
  <c r="H74" i="111"/>
  <c r="X26" i="111" s="1"/>
  <c r="X26" i="107"/>
  <c r="H70" i="111"/>
  <c r="X25" i="111" s="1"/>
  <c r="X25" i="107"/>
  <c r="D70" i="111"/>
  <c r="T25" i="111" s="1"/>
  <c r="T25" i="107"/>
  <c r="L66" i="111"/>
  <c r="AB24" i="111" s="1"/>
  <c r="AB24" i="107"/>
  <c r="L62" i="111"/>
  <c r="AB23" i="111" s="1"/>
  <c r="AB23" i="107"/>
  <c r="D62" i="111"/>
  <c r="T23" i="111" s="1"/>
  <c r="T23" i="107"/>
  <c r="L58" i="111"/>
  <c r="AB22" i="111" s="1"/>
  <c r="AB22" i="107"/>
  <c r="AF23" i="108"/>
  <c r="S22" i="107"/>
  <c r="S33" i="107"/>
  <c r="S32" i="107"/>
  <c r="S31" i="107"/>
  <c r="S30" i="107"/>
  <c r="S29" i="107"/>
  <c r="S28" i="107"/>
  <c r="S27" i="107"/>
  <c r="S26" i="107"/>
  <c r="S25" i="107"/>
  <c r="S24" i="107"/>
  <c r="S23" i="107"/>
  <c r="K102" i="111"/>
  <c r="AA33" i="111" s="1"/>
  <c r="AA33" i="107"/>
  <c r="G102" i="111"/>
  <c r="W33" i="111" s="1"/>
  <c r="W33" i="107"/>
  <c r="K98" i="111"/>
  <c r="AA32" i="111" s="1"/>
  <c r="AA32" i="107"/>
  <c r="G98" i="111"/>
  <c r="W32" i="111" s="1"/>
  <c r="W32" i="107"/>
  <c r="K94" i="111"/>
  <c r="AA31" i="111" s="1"/>
  <c r="AA31" i="107"/>
  <c r="G94" i="111"/>
  <c r="W31" i="111" s="1"/>
  <c r="W31" i="107"/>
  <c r="K90" i="111"/>
  <c r="AA30" i="111" s="1"/>
  <c r="AA30" i="107"/>
  <c r="G90" i="111"/>
  <c r="W30" i="111" s="1"/>
  <c r="W30" i="107"/>
  <c r="K86" i="111"/>
  <c r="AA29" i="111" s="1"/>
  <c r="AA29" i="107"/>
  <c r="G86" i="111"/>
  <c r="W29" i="111" s="1"/>
  <c r="W29" i="107"/>
  <c r="K82" i="111"/>
  <c r="AA28" i="111" s="1"/>
  <c r="AA28" i="107"/>
  <c r="G82" i="111"/>
  <c r="W28" i="111" s="1"/>
  <c r="W28" i="107"/>
  <c r="K78" i="111"/>
  <c r="AA27" i="111" s="1"/>
  <c r="AA27" i="107"/>
  <c r="G78" i="111"/>
  <c r="W27" i="111" s="1"/>
  <c r="W27" i="107"/>
  <c r="K74" i="111"/>
  <c r="AA26" i="111" s="1"/>
  <c r="AA26" i="107"/>
  <c r="G74" i="111"/>
  <c r="W26" i="111" s="1"/>
  <c r="W26" i="107"/>
  <c r="K70" i="111"/>
  <c r="AA25" i="111" s="1"/>
  <c r="AA25" i="107"/>
  <c r="G70" i="111"/>
  <c r="W25" i="111" s="1"/>
  <c r="W25" i="107"/>
  <c r="K66" i="111"/>
  <c r="AA24" i="111" s="1"/>
  <c r="AA24" i="107"/>
  <c r="G66" i="111"/>
  <c r="W24" i="111" s="1"/>
  <c r="W24" i="107"/>
  <c r="K62" i="111"/>
  <c r="AA23" i="111" s="1"/>
  <c r="AA23" i="107"/>
  <c r="G62" i="111"/>
  <c r="W23" i="111" s="1"/>
  <c r="W23" i="107"/>
  <c r="K58" i="111"/>
  <c r="AA22" i="111" s="1"/>
  <c r="AA22" i="107"/>
  <c r="G58" i="111"/>
  <c r="W22" i="111" s="1"/>
  <c r="W22" i="107"/>
  <c r="H102" i="111"/>
  <c r="X33" i="111" s="1"/>
  <c r="X33" i="107"/>
  <c r="D102" i="111"/>
  <c r="T33" i="111" s="1"/>
  <c r="T33" i="107"/>
  <c r="H98" i="111"/>
  <c r="X32" i="111" s="1"/>
  <c r="X32" i="107"/>
  <c r="H94" i="111"/>
  <c r="X31" i="111" s="1"/>
  <c r="X31" i="107"/>
  <c r="D94" i="111"/>
  <c r="T31" i="111" s="1"/>
  <c r="T31" i="107"/>
  <c r="L90" i="111"/>
  <c r="AB30" i="111" s="1"/>
  <c r="AB30" i="107"/>
  <c r="D90" i="111"/>
  <c r="T30" i="111" s="1"/>
  <c r="T30" i="107"/>
  <c r="L86" i="111"/>
  <c r="AB29" i="111" s="1"/>
  <c r="AB29" i="107"/>
  <c r="H82" i="111"/>
  <c r="X28" i="111" s="1"/>
  <c r="X28" i="107"/>
  <c r="H78" i="111"/>
  <c r="X27" i="111" s="1"/>
  <c r="X27" i="107"/>
  <c r="D78" i="111"/>
  <c r="T27" i="111" s="1"/>
  <c r="T27" i="107"/>
  <c r="L74" i="111"/>
  <c r="AB26" i="111" s="1"/>
  <c r="AB26" i="107"/>
  <c r="H66" i="111"/>
  <c r="X24" i="111" s="1"/>
  <c r="X24" i="107"/>
  <c r="H62" i="111"/>
  <c r="X23" i="111" s="1"/>
  <c r="X23" i="107"/>
  <c r="D58" i="111"/>
  <c r="T22" i="111" s="1"/>
  <c r="T22" i="107"/>
  <c r="P101" i="111"/>
  <c r="P93" i="111"/>
  <c r="P89" i="111"/>
  <c r="P85" i="111"/>
  <c r="P81" i="111"/>
  <c r="P77" i="111"/>
  <c r="P73" i="111"/>
  <c r="P69" i="111"/>
  <c r="P65" i="111"/>
  <c r="P61" i="111"/>
  <c r="N102" i="111"/>
  <c r="AD33" i="111" s="1"/>
  <c r="AD33" i="107"/>
  <c r="J102" i="111"/>
  <c r="Z33" i="111" s="1"/>
  <c r="Z33" i="107"/>
  <c r="F102" i="111"/>
  <c r="V33" i="111" s="1"/>
  <c r="V33" i="107"/>
  <c r="N98" i="111"/>
  <c r="AD32" i="111" s="1"/>
  <c r="AD32" i="107"/>
  <c r="J98" i="111"/>
  <c r="Z32" i="111" s="1"/>
  <c r="Z32" i="107"/>
  <c r="F98" i="111"/>
  <c r="V32" i="111" s="1"/>
  <c r="V32" i="107"/>
  <c r="N94" i="111"/>
  <c r="AD31" i="111" s="1"/>
  <c r="AD31" i="107"/>
  <c r="J94" i="111"/>
  <c r="Z31" i="111" s="1"/>
  <c r="Z31" i="107"/>
  <c r="F94" i="111"/>
  <c r="V31" i="111" s="1"/>
  <c r="V31" i="107"/>
  <c r="N90" i="111"/>
  <c r="AD30" i="111" s="1"/>
  <c r="AD30" i="107"/>
  <c r="J90" i="111"/>
  <c r="Z30" i="111" s="1"/>
  <c r="Z30" i="107"/>
  <c r="F90" i="111"/>
  <c r="V30" i="111" s="1"/>
  <c r="V30" i="107"/>
  <c r="N86" i="111"/>
  <c r="AD29" i="111" s="1"/>
  <c r="AD29" i="107"/>
  <c r="J86" i="111"/>
  <c r="Z29" i="111" s="1"/>
  <c r="Z29" i="107"/>
  <c r="F86" i="111"/>
  <c r="V29" i="111" s="1"/>
  <c r="V29" i="107"/>
  <c r="N82" i="111"/>
  <c r="AD28" i="111" s="1"/>
  <c r="AD28" i="107"/>
  <c r="J82" i="111"/>
  <c r="Z28" i="111" s="1"/>
  <c r="Z28" i="107"/>
  <c r="F82" i="111"/>
  <c r="V28" i="111" s="1"/>
  <c r="V28" i="107"/>
  <c r="N78" i="111"/>
  <c r="AD27" i="111" s="1"/>
  <c r="AD27" i="107"/>
  <c r="J78" i="111"/>
  <c r="Z27" i="111" s="1"/>
  <c r="Z27" i="107"/>
  <c r="F78" i="111"/>
  <c r="V27" i="111" s="1"/>
  <c r="V27" i="107"/>
  <c r="N74" i="111"/>
  <c r="AD26" i="111" s="1"/>
  <c r="AD26" i="107"/>
  <c r="J74" i="111"/>
  <c r="Z26" i="111" s="1"/>
  <c r="Z26" i="107"/>
  <c r="F74" i="111"/>
  <c r="V26" i="111" s="1"/>
  <c r="V26" i="107"/>
  <c r="N70" i="111"/>
  <c r="AD25" i="111" s="1"/>
  <c r="AD25" i="107"/>
  <c r="J70" i="111"/>
  <c r="Z25" i="111" s="1"/>
  <c r="Z25" i="107"/>
  <c r="F70" i="111"/>
  <c r="V25" i="111" s="1"/>
  <c r="V25" i="107"/>
  <c r="N66" i="111"/>
  <c r="AD24" i="111" s="1"/>
  <c r="AD24" i="107"/>
  <c r="J66" i="111"/>
  <c r="Z24" i="111" s="1"/>
  <c r="Z24" i="107"/>
  <c r="F66" i="111"/>
  <c r="V24" i="111" s="1"/>
  <c r="V24" i="107"/>
  <c r="N62" i="111"/>
  <c r="AD23" i="111" s="1"/>
  <c r="AD23" i="107"/>
  <c r="J62" i="111"/>
  <c r="Z23" i="111" s="1"/>
  <c r="Z23" i="107"/>
  <c r="F62" i="111"/>
  <c r="V23" i="111" s="1"/>
  <c r="V23" i="107"/>
  <c r="N58" i="111"/>
  <c r="AD22" i="111" s="1"/>
  <c r="AD22" i="107"/>
  <c r="J58" i="111"/>
  <c r="Z22" i="111" s="1"/>
  <c r="Z22" i="107"/>
  <c r="F58" i="111"/>
  <c r="V22" i="111" s="1"/>
  <c r="V22" i="107"/>
  <c r="AE25" i="108"/>
  <c r="AE26" i="108"/>
  <c r="AE27" i="108"/>
  <c r="AE28" i="108"/>
  <c r="AE29" i="108"/>
  <c r="AE30" i="108"/>
  <c r="AE31" i="108"/>
  <c r="AE32" i="108"/>
  <c r="AE33" i="108"/>
  <c r="AF24" i="108"/>
  <c r="L102" i="111"/>
  <c r="AB33" i="111" s="1"/>
  <c r="AB33" i="107"/>
  <c r="D98" i="111"/>
  <c r="T32" i="111" s="1"/>
  <c r="T32" i="107"/>
  <c r="L94" i="111"/>
  <c r="AB31" i="111" s="1"/>
  <c r="AB31" i="107"/>
  <c r="D74" i="111"/>
  <c r="T26" i="111" s="1"/>
  <c r="T26" i="107"/>
  <c r="L70" i="111"/>
  <c r="AB25" i="111" s="1"/>
  <c r="AB25" i="107"/>
  <c r="D66" i="111"/>
  <c r="T24" i="111" s="1"/>
  <c r="T24" i="107"/>
  <c r="H58" i="111"/>
  <c r="X22" i="111" s="1"/>
  <c r="X22" i="107"/>
  <c r="P105" i="111"/>
  <c r="P97" i="111"/>
  <c r="M102" i="111"/>
  <c r="AC33" i="111" s="1"/>
  <c r="AC33" i="107"/>
  <c r="I102" i="111"/>
  <c r="Y33" i="111" s="1"/>
  <c r="Y33" i="107"/>
  <c r="E102" i="111"/>
  <c r="U33" i="111" s="1"/>
  <c r="U33" i="107"/>
  <c r="M98" i="111"/>
  <c r="AC32" i="111" s="1"/>
  <c r="AC32" i="107"/>
  <c r="I98" i="111"/>
  <c r="Y32" i="111" s="1"/>
  <c r="Y32" i="107"/>
  <c r="E98" i="111"/>
  <c r="U32" i="111" s="1"/>
  <c r="U32" i="107"/>
  <c r="M94" i="111"/>
  <c r="AC31" i="111" s="1"/>
  <c r="AC31" i="107"/>
  <c r="I94" i="111"/>
  <c r="Y31" i="111" s="1"/>
  <c r="Y31" i="107"/>
  <c r="E94" i="111"/>
  <c r="U31" i="111" s="1"/>
  <c r="U31" i="107"/>
  <c r="M90" i="111"/>
  <c r="AC30" i="111" s="1"/>
  <c r="AC30" i="107"/>
  <c r="I90" i="111"/>
  <c r="Y30" i="111" s="1"/>
  <c r="Y30" i="107"/>
  <c r="E90" i="111"/>
  <c r="U30" i="111" s="1"/>
  <c r="U30" i="107"/>
  <c r="M86" i="111"/>
  <c r="AC29" i="111" s="1"/>
  <c r="AC29" i="107"/>
  <c r="I86" i="111"/>
  <c r="Y29" i="111" s="1"/>
  <c r="Y29" i="107"/>
  <c r="E86" i="111"/>
  <c r="U29" i="111" s="1"/>
  <c r="U29" i="107"/>
  <c r="M82" i="111"/>
  <c r="AC28" i="111" s="1"/>
  <c r="AC28" i="107"/>
  <c r="I82" i="111"/>
  <c r="Y28" i="111" s="1"/>
  <c r="Y28" i="107"/>
  <c r="E82" i="111"/>
  <c r="U28" i="111" s="1"/>
  <c r="U28" i="107"/>
  <c r="M78" i="111"/>
  <c r="AC27" i="111" s="1"/>
  <c r="AC27" i="107"/>
  <c r="I78" i="111"/>
  <c r="Y27" i="111" s="1"/>
  <c r="Y27" i="107"/>
  <c r="E78" i="111"/>
  <c r="U27" i="111" s="1"/>
  <c r="U27" i="107"/>
  <c r="M74" i="111"/>
  <c r="AC26" i="111" s="1"/>
  <c r="AC26" i="107"/>
  <c r="I74" i="111"/>
  <c r="Y26" i="111" s="1"/>
  <c r="Y26" i="107"/>
  <c r="E74" i="111"/>
  <c r="U26" i="111" s="1"/>
  <c r="U26" i="107"/>
  <c r="M70" i="111"/>
  <c r="AC25" i="111" s="1"/>
  <c r="AC25" i="107"/>
  <c r="I70" i="111"/>
  <c r="Y25" i="111" s="1"/>
  <c r="Y25" i="107"/>
  <c r="E70" i="111"/>
  <c r="U25" i="111" s="1"/>
  <c r="U25" i="107"/>
  <c r="M66" i="111"/>
  <c r="AC24" i="111" s="1"/>
  <c r="AC24" i="107"/>
  <c r="I66" i="111"/>
  <c r="Y24" i="111" s="1"/>
  <c r="Y24" i="107"/>
  <c r="E66" i="111"/>
  <c r="U24" i="111" s="1"/>
  <c r="U24" i="107"/>
  <c r="M62" i="111"/>
  <c r="AC23" i="111" s="1"/>
  <c r="AC23" i="107"/>
  <c r="I62" i="111"/>
  <c r="Y23" i="111" s="1"/>
  <c r="Y23" i="107"/>
  <c r="E62" i="111"/>
  <c r="U23" i="111" s="1"/>
  <c r="U23" i="107"/>
  <c r="M58" i="111"/>
  <c r="AC22" i="111" s="1"/>
  <c r="AC22" i="107"/>
  <c r="I58" i="111"/>
  <c r="Y22" i="111" s="1"/>
  <c r="Y22" i="107"/>
  <c r="E58" i="111"/>
  <c r="U22" i="111" s="1"/>
  <c r="U22" i="107"/>
  <c r="AF27" i="108"/>
  <c r="AF32" i="108"/>
  <c r="AF33" i="108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O75" i="111"/>
  <c r="O73" i="111"/>
  <c r="O71" i="111"/>
  <c r="O69" i="111"/>
  <c r="O67" i="111"/>
  <c r="O65" i="111"/>
  <c r="O63" i="111"/>
  <c r="O61" i="111"/>
  <c r="O59" i="111"/>
  <c r="P58" i="107"/>
  <c r="C58" i="111"/>
  <c r="S22" i="111" s="1"/>
  <c r="P104" i="107"/>
  <c r="C104" i="111"/>
  <c r="P102" i="107"/>
  <c r="C102" i="111"/>
  <c r="S33" i="111" s="1"/>
  <c r="P100" i="107"/>
  <c r="C100" i="111"/>
  <c r="P98" i="107"/>
  <c r="C98" i="111"/>
  <c r="S32" i="111" s="1"/>
  <c r="P96" i="107"/>
  <c r="C96" i="111"/>
  <c r="P94" i="107"/>
  <c r="C94" i="111"/>
  <c r="S31" i="111" s="1"/>
  <c r="P92" i="107"/>
  <c r="C92" i="111"/>
  <c r="P90" i="107"/>
  <c r="C90" i="111"/>
  <c r="S30" i="111" s="1"/>
  <c r="P88" i="107"/>
  <c r="C88" i="111"/>
  <c r="P86" i="107"/>
  <c r="C86" i="111"/>
  <c r="S29" i="111" s="1"/>
  <c r="P84" i="107"/>
  <c r="C84" i="111"/>
  <c r="P82" i="107"/>
  <c r="C82" i="111"/>
  <c r="S28" i="111" s="1"/>
  <c r="P80" i="107"/>
  <c r="C80" i="111"/>
  <c r="P78" i="107"/>
  <c r="C78" i="111"/>
  <c r="S27" i="111" s="1"/>
  <c r="P76" i="107"/>
  <c r="C76" i="111"/>
  <c r="P74" i="107"/>
  <c r="C74" i="111"/>
  <c r="S26" i="111" s="1"/>
  <c r="P72" i="107"/>
  <c r="C72" i="111"/>
  <c r="P70" i="107"/>
  <c r="C70" i="111"/>
  <c r="S25" i="111" s="1"/>
  <c r="P68" i="107"/>
  <c r="C68" i="111"/>
  <c r="P66" i="107"/>
  <c r="C66" i="111"/>
  <c r="S24" i="111" s="1"/>
  <c r="P64" i="107"/>
  <c r="C64" i="111"/>
  <c r="P62" i="107"/>
  <c r="C62" i="111"/>
  <c r="S23" i="111" s="1"/>
  <c r="P60" i="107"/>
  <c r="C60" i="111"/>
  <c r="P105" i="107"/>
  <c r="P103" i="107"/>
  <c r="P101" i="107"/>
  <c r="P99" i="107"/>
  <c r="P97" i="107"/>
  <c r="P95" i="107"/>
  <c r="P93" i="107"/>
  <c r="P91" i="107"/>
  <c r="P89" i="107"/>
  <c r="P87" i="107"/>
  <c r="P85" i="107"/>
  <c r="P83" i="107"/>
  <c r="P81" i="107"/>
  <c r="P79" i="107"/>
  <c r="P77" i="107"/>
  <c r="P75" i="107"/>
  <c r="P73" i="107"/>
  <c r="P71" i="107"/>
  <c r="P69" i="107"/>
  <c r="P67" i="107"/>
  <c r="P65" i="107"/>
  <c r="P63" i="107"/>
  <c r="P61" i="107"/>
  <c r="P59" i="107"/>
  <c r="O58" i="107"/>
  <c r="O59" i="107"/>
  <c r="O60" i="107"/>
  <c r="O61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C3" i="94"/>
  <c r="AE33" i="107" l="1"/>
  <c r="AE32" i="107"/>
  <c r="AE31" i="107"/>
  <c r="AE30" i="107"/>
  <c r="AE29" i="107"/>
  <c r="AE28" i="107"/>
  <c r="AE27" i="107"/>
  <c r="AE26" i="107"/>
  <c r="AE25" i="107"/>
  <c r="AE24" i="107"/>
  <c r="AE23" i="107"/>
  <c r="AE22" i="107"/>
  <c r="AF23" i="107"/>
  <c r="AF24" i="107"/>
  <c r="AF25" i="107"/>
  <c r="AF26" i="107"/>
  <c r="AF27" i="107"/>
  <c r="AF28" i="107"/>
  <c r="AF29" i="107"/>
  <c r="AF30" i="107"/>
  <c r="AF31" i="107"/>
  <c r="AF32" i="107"/>
  <c r="AF33" i="107"/>
  <c r="AF22" i="107"/>
  <c r="P60" i="111"/>
  <c r="O60" i="111"/>
  <c r="P62" i="111"/>
  <c r="AF23" i="111" s="1"/>
  <c r="O62" i="111"/>
  <c r="AE23" i="111" s="1"/>
  <c r="P64" i="111"/>
  <c r="O64" i="111"/>
  <c r="P66" i="111"/>
  <c r="AF24" i="111" s="1"/>
  <c r="O66" i="111"/>
  <c r="AE24" i="111" s="1"/>
  <c r="P68" i="111"/>
  <c r="O68" i="111"/>
  <c r="P70" i="111"/>
  <c r="AF25" i="111" s="1"/>
  <c r="O70" i="111"/>
  <c r="AE25" i="111" s="1"/>
  <c r="P72" i="111"/>
  <c r="O72" i="111"/>
  <c r="P74" i="111"/>
  <c r="AF26" i="111" s="1"/>
  <c r="O74" i="111"/>
  <c r="AE26" i="111" s="1"/>
  <c r="P76" i="111"/>
  <c r="O76" i="111"/>
  <c r="P78" i="111"/>
  <c r="AF27" i="111" s="1"/>
  <c r="O78" i="111"/>
  <c r="AE27" i="111" s="1"/>
  <c r="P80" i="111"/>
  <c r="O80" i="111"/>
  <c r="P82" i="111"/>
  <c r="AF28" i="111" s="1"/>
  <c r="O82" i="111"/>
  <c r="AE28" i="111" s="1"/>
  <c r="P84" i="111"/>
  <c r="O84" i="111"/>
  <c r="P86" i="111"/>
  <c r="AF29" i="111" s="1"/>
  <c r="O86" i="111"/>
  <c r="AE29" i="111" s="1"/>
  <c r="P88" i="111"/>
  <c r="O88" i="111"/>
  <c r="P90" i="111"/>
  <c r="AF30" i="111" s="1"/>
  <c r="O90" i="111"/>
  <c r="AE30" i="111" s="1"/>
  <c r="P92" i="111"/>
  <c r="O92" i="111"/>
  <c r="P94" i="111"/>
  <c r="AF31" i="111" s="1"/>
  <c r="O94" i="111"/>
  <c r="AE31" i="111" s="1"/>
  <c r="P96" i="111"/>
  <c r="O96" i="111"/>
  <c r="P98" i="111"/>
  <c r="AF32" i="111" s="1"/>
  <c r="O98" i="111"/>
  <c r="AE32" i="111" s="1"/>
  <c r="P100" i="111"/>
  <c r="O100" i="111"/>
  <c r="P102" i="111"/>
  <c r="AF33" i="111" s="1"/>
  <c r="O102" i="111"/>
  <c r="AE33" i="111" s="1"/>
  <c r="P104" i="111"/>
  <c r="O104" i="111"/>
  <c r="P58" i="111"/>
  <c r="AF22" i="111" s="1"/>
  <c r="O58" i="111"/>
  <c r="AE22" i="111" s="1"/>
  <c r="K6" i="98"/>
  <c r="K6" i="99" s="1"/>
  <c r="K6" i="100" s="1"/>
  <c r="K6" i="101" s="1"/>
  <c r="K6" i="109" s="1"/>
  <c r="K6" i="105" s="1"/>
  <c r="K6" i="110" s="1"/>
  <c r="K6" i="103" s="1"/>
  <c r="K5" i="109"/>
  <c r="K5" i="105" s="1"/>
  <c r="G5" i="98"/>
  <c r="G5" i="99" s="1"/>
  <c r="G5" i="100" s="1"/>
  <c r="G5" i="101" s="1"/>
  <c r="G5" i="109" s="1"/>
  <c r="G5" i="105" s="1"/>
  <c r="G5" i="110" s="1"/>
  <c r="G5" i="103" s="1"/>
  <c r="K6" i="97"/>
  <c r="G5" i="97"/>
  <c r="G5" i="96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5" i="104"/>
  <c r="D5" i="110"/>
  <c r="D5" i="109"/>
  <c r="D5" i="100"/>
  <c r="D5" i="98"/>
  <c r="D5" i="96"/>
  <c r="D5" i="94"/>
  <c r="K5" i="107" l="1"/>
  <c r="K5" i="108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W39" i="105"/>
  <c r="AA39" i="105"/>
  <c r="AA27" i="99"/>
  <c r="X39" i="105"/>
  <c r="Y39" i="109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L106" i="108" s="1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E106" i="107" s="1"/>
  <c r="F10" i="107"/>
  <c r="G10" i="107"/>
  <c r="G106" i="107" s="1"/>
  <c r="H10" i="107"/>
  <c r="H106" i="107" s="1"/>
  <c r="I10" i="107"/>
  <c r="I106" i="107" s="1"/>
  <c r="J10" i="107"/>
  <c r="K10" i="107"/>
  <c r="K106" i="107" s="1"/>
  <c r="L10" i="107"/>
  <c r="L106" i="107" s="1"/>
  <c r="M10" i="107"/>
  <c r="M106" i="107" s="1"/>
  <c r="N10" i="107"/>
  <c r="C10" i="107"/>
  <c r="C106" i="107" s="1"/>
  <c r="J106" i="108" l="1"/>
  <c r="E106" i="108"/>
  <c r="W38" i="110"/>
  <c r="N106" i="107"/>
  <c r="J106" i="107"/>
  <c r="F106" i="107"/>
  <c r="Y38" i="105"/>
  <c r="U38" i="109"/>
  <c r="C106" i="108"/>
  <c r="F106" i="108"/>
  <c r="K106" i="108"/>
  <c r="AB26" i="98"/>
  <c r="M106" i="108"/>
  <c r="AF32" i="101"/>
  <c r="AF33" i="101"/>
  <c r="D106" i="108"/>
  <c r="I106" i="108"/>
  <c r="H106" i="108"/>
  <c r="N106" i="108"/>
  <c r="G106" i="108"/>
  <c r="Z26" i="95"/>
  <c r="AF25" i="101"/>
  <c r="AF28" i="101"/>
  <c r="S38" i="105"/>
  <c r="T19" i="108"/>
  <c r="V19" i="108"/>
  <c r="S38" i="110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Z41" i="107" s="1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6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AB38" i="105"/>
  <c r="T38" i="105"/>
  <c r="AD10" i="107"/>
  <c r="V10" i="107"/>
  <c r="V41" i="107" s="1"/>
  <c r="AA10" i="107"/>
  <c r="P10" i="107"/>
  <c r="S10" i="107"/>
  <c r="O10" i="107"/>
  <c r="O106" i="107" s="1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A41" i="108" l="1"/>
  <c r="S41" i="108"/>
  <c r="S41" i="107"/>
  <c r="AD41" i="107"/>
  <c r="AB41" i="107"/>
  <c r="AC41" i="107"/>
  <c r="W41" i="108"/>
  <c r="Y41" i="108"/>
  <c r="Z41" i="108"/>
  <c r="V41" i="108"/>
  <c r="P106" i="107"/>
  <c r="T41" i="107"/>
  <c r="P106" i="108"/>
  <c r="O106" i="108"/>
  <c r="AB41" i="108"/>
  <c r="X41" i="108"/>
  <c r="W41" i="107"/>
  <c r="AA41" i="107"/>
  <c r="X41" i="107"/>
  <c r="U41" i="107"/>
  <c r="U41" i="108"/>
  <c r="AC41" i="108"/>
  <c r="Y34" i="108"/>
  <c r="T41" i="108"/>
  <c r="AD41" i="108"/>
  <c r="U39" i="107"/>
  <c r="X42" i="109"/>
  <c r="T12" i="111"/>
  <c r="T13" i="111"/>
  <c r="V22" i="93"/>
  <c r="AE24" i="98"/>
  <c r="V39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T41" i="111" s="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P53" i="111"/>
  <c r="H106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AA41" i="111" s="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41" i="107" l="1"/>
  <c r="Y41" i="111"/>
  <c r="Z41" i="111"/>
  <c r="AF41" i="108"/>
  <c r="AD42" i="108"/>
  <c r="U42" i="108"/>
  <c r="W42" i="107"/>
  <c r="AB42" i="108"/>
  <c r="W42" i="108"/>
  <c r="S42" i="107"/>
  <c r="AE41" i="107"/>
  <c r="AE41" i="108"/>
  <c r="AC41" i="111"/>
  <c r="T42" i="108"/>
  <c r="U42" i="107"/>
  <c r="V42" i="108"/>
  <c r="AC42" i="107"/>
  <c r="S42" i="108"/>
  <c r="U41" i="111"/>
  <c r="V41" i="111"/>
  <c r="W41" i="111"/>
  <c r="X42" i="107"/>
  <c r="Z42" i="108"/>
  <c r="AB42" i="107"/>
  <c r="AB41" i="111"/>
  <c r="S41" i="111"/>
  <c r="AC42" i="108"/>
  <c r="AA42" i="107"/>
  <c r="X42" i="108"/>
  <c r="T42" i="107"/>
  <c r="Y42" i="108"/>
  <c r="AD42" i="107"/>
  <c r="AA42" i="108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42" i="111" s="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4" i="111" l="1"/>
  <c r="AF41" i="111"/>
  <c r="W42" i="111"/>
  <c r="AE41" i="111"/>
  <c r="V42" i="111"/>
  <c r="AC42" i="111"/>
  <c r="S42" i="111"/>
  <c r="U42" i="111"/>
  <c r="AE42" i="108"/>
  <c r="AF42" i="108"/>
  <c r="Y42" i="111"/>
  <c r="AB42" i="111"/>
  <c r="AE42" i="107"/>
  <c r="Z42" i="111"/>
  <c r="AF42" i="107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AF42" i="111"/>
</calcChain>
</file>

<file path=xl/sharedStrings.xml><?xml version="1.0" encoding="utf-8"?>
<sst xmlns="http://schemas.openxmlformats.org/spreadsheetml/2006/main" count="2343" uniqueCount="183">
  <si>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</si>
  <si>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</si>
  <si>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</si>
  <si>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</si>
  <si>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</si>
  <si>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</si>
  <si>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</si>
  <si>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</si>
  <si>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</si>
  <si>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</si>
  <si>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</si>
  <si>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</si>
  <si>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</si>
  <si>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</si>
  <si>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</si>
  <si>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</si>
  <si>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</si>
  <si>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</si>
  <si>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</si>
  <si>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</si>
  <si>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</si>
  <si>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</si>
  <si>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</si>
  <si>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</si>
  <si>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</si>
  <si>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</si>
  <si>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</si>
  <si>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</si>
  <si>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</si>
  <si>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</si>
  <si>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</si>
  <si>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</si>
  <si>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</si>
  <si>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</si>
  <si>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</si>
  <si>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</si>
  <si>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</si>
  <si>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</si>
  <si>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</si>
  <si>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</si>
  <si>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</si>
  <si>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</si>
  <si>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</si>
  <si>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</si>
  <si>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</si>
  <si>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</si>
  <si>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</si>
  <si>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</si>
  <si>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</si>
  <si>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</si>
  <si>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</si>
  <si>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</si>
  <si>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</si>
  <si>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</si>
  <si>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</si>
  <si>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</si>
  <si>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</si>
  <si>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</si>
  <si>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</si>
  <si>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</si>
  <si>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</si>
  <si>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</si>
  <si>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</si>
  <si>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</si>
  <si>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</si>
  <si>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</si>
  <si>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</si>
  <si>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</si>
  <si>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</si>
  <si>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</si>
  <si>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</si>
  <si>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</si>
  <si>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</si>
  <si>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</si>
  <si>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</si>
  <si>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</si>
  <si>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</si>
  <si>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</si>
  <si>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</si>
  <si>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</si>
  <si>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</si>
  <si>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</si>
  <si>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</si>
  <si>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</si>
  <si>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</si>
  <si>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</si>
  <si>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</si>
  <si>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</si>
  <si>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</si>
  <si>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</si>
  <si>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</si>
  <si>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</si>
  <si>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</si>
  <si>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</si>
  <si>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</si>
  <si>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</si>
  <si>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</si>
  <si>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</si>
  <si>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</si>
  <si>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</si>
  <si>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</si>
  <si>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</si>
  <si>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</si>
  <si>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</si>
  <si>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</si>
  <si>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</si>
  <si>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</si>
  <si>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</si>
  <si>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</si>
  <si>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</si>
  <si>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</si>
  <si>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</si>
  <si>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</si>
  <si>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</si>
  <si>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</si>
  <si>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</si>
  <si>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</si>
  <si>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</si>
  <si>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</si>
  <si>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</si>
  <si>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</si>
  <si>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</si>
  <si>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</si>
  <si>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</si>
  <si>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</si>
  <si>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</si>
  <si>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</si>
  <si>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</si>
  <si>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</si>
  <si>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</si>
  <si>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</si>
  <si>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</si>
  <si>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</si>
  <si>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</si>
  <si>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</si>
  <si>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</si>
  <si>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</si>
  <si>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</si>
  <si>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</si>
  <si>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</si>
  <si>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</si>
  <si>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</si>
  <si>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</si>
  <si>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</si>
  <si>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</si>
  <si>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</si>
  <si>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</si>
  <si>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</si>
  <si>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</si>
  <si>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</si>
  <si>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</si>
  <si>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</si>
  <si>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</si>
  <si>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</si>
  <si>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</si>
  <si>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</si>
  <si>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</si>
  <si>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</si>
  <si>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</si>
  <si>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</si>
  <si>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</si>
  <si>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</si>
  <si>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</si>
  <si>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</si>
  <si>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</si>
  <si>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</si>
  <si>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</si>
  <si>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</si>
  <si>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</si>
  <si>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</si>
  <si>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MCC - C1 - STN24 GAYAZA ROAD</t>
  </si>
  <si>
    <t>Kalewre</t>
  </si>
  <si>
    <t>Kampala</t>
  </si>
  <si>
    <t>Wandegeya</t>
  </si>
  <si>
    <t>Christine</t>
  </si>
  <si>
    <t>Lawrence</t>
  </si>
  <si>
    <t>Kalerwe</t>
  </si>
  <si>
    <t>Beteth</t>
  </si>
  <si>
    <t>`1</t>
  </si>
  <si>
    <t>Mbabazi</t>
  </si>
  <si>
    <t>Mbabazi /Kandake</t>
  </si>
  <si>
    <t>Beteth/Sherry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</si>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</sst>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41" fontId="1" fillId="0" borderId="1" xfId="2" applyFont="1" applyBorder="1" applyAlignment="1">
      <alignment horizontal="right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Kalerwe-Kampala'!$AE$9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Kalerwe-Kampala'!$AE$10:$AE$21</c:f>
              <c:numCache>
                <c:formatCode>0</c:formatCode>
                <c:ptCount val="12"/>
                <c:pt idx="0">
                  <c:v>366</c:v>
                </c:pt>
                <c:pt idx="1">
                  <c:v>430</c:v>
                </c:pt>
                <c:pt idx="2">
                  <c:v>447</c:v>
                </c:pt>
                <c:pt idx="3">
                  <c:v>460</c:v>
                </c:pt>
                <c:pt idx="4">
                  <c:v>352</c:v>
                </c:pt>
                <c:pt idx="5">
                  <c:v>372</c:v>
                </c:pt>
                <c:pt idx="6">
                  <c:v>408</c:v>
                </c:pt>
                <c:pt idx="7">
                  <c:v>713</c:v>
                </c:pt>
                <c:pt idx="8">
                  <c:v>766</c:v>
                </c:pt>
                <c:pt idx="9">
                  <c:v>617</c:v>
                </c:pt>
                <c:pt idx="10">
                  <c:v>542</c:v>
                </c:pt>
                <c:pt idx="11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Kalerwe-Kampala'!$AF$9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Kalerwe-Kampala'!$AF$10:$AF$21</c:f>
              <c:numCache>
                <c:formatCode>0</c:formatCode>
                <c:ptCount val="12"/>
                <c:pt idx="0">
                  <c:v>581</c:v>
                </c:pt>
                <c:pt idx="1">
                  <c:v>710</c:v>
                </c:pt>
                <c:pt idx="2">
                  <c:v>726</c:v>
                </c:pt>
                <c:pt idx="3">
                  <c:v>771</c:v>
                </c:pt>
                <c:pt idx="4">
                  <c:v>666</c:v>
                </c:pt>
                <c:pt idx="5">
                  <c:v>718</c:v>
                </c:pt>
                <c:pt idx="6">
                  <c:v>720</c:v>
                </c:pt>
                <c:pt idx="7">
                  <c:v>1056</c:v>
                </c:pt>
                <c:pt idx="8">
                  <c:v>1066</c:v>
                </c:pt>
                <c:pt idx="9">
                  <c:v>867</c:v>
                </c:pt>
                <c:pt idx="10">
                  <c:v>822</c:v>
                </c:pt>
                <c:pt idx="11">
                  <c:v>630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531968"/>
        <c:axId val="222534272"/>
      </c:lineChart>
      <c:catAx>
        <c:axId val="222531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2534272"/>
        <c:crosses val="autoZero"/>
        <c:auto val="1"/>
        <c:lblAlgn val="ctr"/>
        <c:lblOffset val="100"/>
        <c:noMultiLvlLbl val="0"/>
      </c:catAx>
      <c:valAx>
        <c:axId val="222534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253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Kalerwe-Kampala'!$C$59:$N$59</c:f>
              <c:numCache>
                <c:formatCode>0.0%</c:formatCode>
                <c:ptCount val="12"/>
                <c:pt idx="0">
                  <c:v>0.16018429229615344</c:v>
                </c:pt>
                <c:pt idx="1">
                  <c:v>0.15536269152469731</c:v>
                </c:pt>
                <c:pt idx="2">
                  <c:v>3.6429872495446269E-2</c:v>
                </c:pt>
                <c:pt idx="3">
                  <c:v>0.18804243008678881</c:v>
                </c:pt>
                <c:pt idx="4">
                  <c:v>6.1073609771777563E-3</c:v>
                </c:pt>
                <c:pt idx="5">
                  <c:v>3.4286938819243543E-3</c:v>
                </c:pt>
                <c:pt idx="6">
                  <c:v>6.1930783242258654E-2</c:v>
                </c:pt>
                <c:pt idx="7">
                  <c:v>7.7145612343297977E-3</c:v>
                </c:pt>
                <c:pt idx="8">
                  <c:v>1.1786135219114969E-3</c:v>
                </c:pt>
                <c:pt idx="9">
                  <c:v>2.4643737276331297E-3</c:v>
                </c:pt>
                <c:pt idx="10">
                  <c:v>0.377156327011679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Kalerwe-Kampala'!$C$60:$N$60</c:f>
              <c:numCache>
                <c:formatCode>0.00%</c:formatCode>
                <c:ptCount val="12"/>
                <c:pt idx="0">
                  <c:v>0.25718217787717185</c:v>
                </c:pt>
                <c:pt idx="1">
                  <c:v>0.24944090830896268</c:v>
                </c:pt>
                <c:pt idx="2">
                  <c:v>5.8489592293136071E-2</c:v>
                </c:pt>
                <c:pt idx="3">
                  <c:v>0.30190951316015824</c:v>
                </c:pt>
                <c:pt idx="4">
                  <c:v>9.8056081197316364E-3</c:v>
                </c:pt>
                <c:pt idx="5">
                  <c:v>5.5049028040598654E-3</c:v>
                </c:pt>
                <c:pt idx="6">
                  <c:v>9.9432306898331324E-2</c:v>
                </c:pt>
                <c:pt idx="7">
                  <c:v>1.2386031309134697E-2</c:v>
                </c:pt>
                <c:pt idx="8">
                  <c:v>1.8923103388955788E-3</c:v>
                </c:pt>
                <c:pt idx="9">
                  <c:v>3.9566488904180285E-3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Kampala-Kalerwe'!$AE$9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Kampala-Kalerwe'!$AE$10:$AE$21</c:f>
              <c:numCache>
                <c:formatCode>0</c:formatCode>
                <c:ptCount val="12"/>
                <c:pt idx="0">
                  <c:v>380</c:v>
                </c:pt>
                <c:pt idx="1">
                  <c:v>390</c:v>
                </c:pt>
                <c:pt idx="2">
                  <c:v>376</c:v>
                </c:pt>
                <c:pt idx="3">
                  <c:v>355</c:v>
                </c:pt>
                <c:pt idx="4">
                  <c:v>313</c:v>
                </c:pt>
                <c:pt idx="5">
                  <c:v>419</c:v>
                </c:pt>
                <c:pt idx="6">
                  <c:v>325</c:v>
                </c:pt>
                <c:pt idx="7">
                  <c:v>331</c:v>
                </c:pt>
                <c:pt idx="8">
                  <c:v>371</c:v>
                </c:pt>
                <c:pt idx="9">
                  <c:v>565</c:v>
                </c:pt>
                <c:pt idx="10">
                  <c:v>385</c:v>
                </c:pt>
                <c:pt idx="11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Kampala-Kalerwe'!$AF$9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Kampala-Kalerwe'!$AF$10:$AF$21</c:f>
              <c:numCache>
                <c:formatCode>0</c:formatCode>
                <c:ptCount val="12"/>
                <c:pt idx="0">
                  <c:v>1000</c:v>
                </c:pt>
                <c:pt idx="1">
                  <c:v>1220</c:v>
                </c:pt>
                <c:pt idx="2">
                  <c:v>1366</c:v>
                </c:pt>
                <c:pt idx="3">
                  <c:v>1226</c:v>
                </c:pt>
                <c:pt idx="4">
                  <c:v>944</c:v>
                </c:pt>
                <c:pt idx="5">
                  <c:v>863</c:v>
                </c:pt>
                <c:pt idx="6">
                  <c:v>825</c:v>
                </c:pt>
                <c:pt idx="7">
                  <c:v>921</c:v>
                </c:pt>
                <c:pt idx="8">
                  <c:v>971</c:v>
                </c:pt>
                <c:pt idx="9">
                  <c:v>1381</c:v>
                </c:pt>
                <c:pt idx="10">
                  <c:v>995</c:v>
                </c:pt>
                <c:pt idx="11">
                  <c:v>1268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503680"/>
        <c:axId val="246523776"/>
      </c:lineChart>
      <c:catAx>
        <c:axId val="246503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6523776"/>
        <c:crosses val="autoZero"/>
        <c:auto val="1"/>
        <c:lblAlgn val="ctr"/>
        <c:lblOffset val="100"/>
        <c:noMultiLvlLbl val="0"/>
      </c:catAx>
      <c:valAx>
        <c:axId val="24652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650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Kampala-Kalerwe'!$C$59:$N$59</c:f>
              <c:numCache>
                <c:formatCode>0.0%</c:formatCode>
                <c:ptCount val="12"/>
                <c:pt idx="0">
                  <c:v>0.12842835130970723</c:v>
                </c:pt>
                <c:pt idx="1">
                  <c:v>3.3436055469953777E-2</c:v>
                </c:pt>
                <c:pt idx="2">
                  <c:v>1.7642526964560864E-2</c:v>
                </c:pt>
                <c:pt idx="3">
                  <c:v>0.13875192604006165</c:v>
                </c:pt>
                <c:pt idx="4">
                  <c:v>2.6964560862865949E-3</c:v>
                </c:pt>
                <c:pt idx="5">
                  <c:v>1.6949152542372881E-3</c:v>
                </c:pt>
                <c:pt idx="6">
                  <c:v>2.3266563944530045E-2</c:v>
                </c:pt>
                <c:pt idx="7">
                  <c:v>9.0909090909090905E-3</c:v>
                </c:pt>
                <c:pt idx="8">
                  <c:v>2.6194144838212635E-3</c:v>
                </c:pt>
                <c:pt idx="9">
                  <c:v>1.4637904468412944E-3</c:v>
                </c:pt>
                <c:pt idx="10">
                  <c:v>0.64090909090909087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Kampala-Kalerwe'!$S$9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Kampala-Kalerwe'!$S$10:$S$21</c:f>
              <c:numCache>
                <c:formatCode>0</c:formatCode>
                <c:ptCount val="12"/>
                <c:pt idx="0">
                  <c:v>116</c:v>
                </c:pt>
                <c:pt idx="1">
                  <c:v>82</c:v>
                </c:pt>
                <c:pt idx="2">
                  <c:v>69</c:v>
                </c:pt>
                <c:pt idx="3">
                  <c:v>80</c:v>
                </c:pt>
                <c:pt idx="4">
                  <c:v>81</c:v>
                </c:pt>
                <c:pt idx="5">
                  <c:v>155</c:v>
                </c:pt>
                <c:pt idx="6">
                  <c:v>129</c:v>
                </c:pt>
                <c:pt idx="7">
                  <c:v>102</c:v>
                </c:pt>
                <c:pt idx="8">
                  <c:v>115</c:v>
                </c:pt>
                <c:pt idx="9">
                  <c:v>289</c:v>
                </c:pt>
                <c:pt idx="10">
                  <c:v>185</c:v>
                </c:pt>
                <c:pt idx="11">
                  <c:v>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Kampala-Kalerwe'!$T$9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Kampala-Kalerwe'!$T$10:$T$21</c:f>
              <c:numCache>
                <c:formatCode>0</c:formatCode>
                <c:ptCount val="12"/>
                <c:pt idx="0">
                  <c:v>28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  <c:pt idx="4">
                  <c:v>51</c:v>
                </c:pt>
                <c:pt idx="5">
                  <c:v>25</c:v>
                </c:pt>
                <c:pt idx="6">
                  <c:v>26</c:v>
                </c:pt>
                <c:pt idx="7">
                  <c:v>50</c:v>
                </c:pt>
                <c:pt idx="8">
                  <c:v>66</c:v>
                </c:pt>
                <c:pt idx="9">
                  <c:v>47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Kampala-Kalerwe'!$U$9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Kampala-Kalerwe'!$U$10:$U$21</c:f>
              <c:numCache>
                <c:formatCode>0</c:formatCode>
                <c:ptCount val="12"/>
                <c:pt idx="0">
                  <c:v>8</c:v>
                </c:pt>
                <c:pt idx="1">
                  <c:v>18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33</c:v>
                </c:pt>
                <c:pt idx="6">
                  <c:v>14</c:v>
                </c:pt>
                <c:pt idx="7">
                  <c:v>9</c:v>
                </c:pt>
                <c:pt idx="8">
                  <c:v>32</c:v>
                </c:pt>
                <c:pt idx="9">
                  <c:v>27</c:v>
                </c:pt>
                <c:pt idx="10">
                  <c:v>25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Kampala-Kalerwe'!$V$9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Kampala-Kalerwe'!$V$10:$V$21</c:f>
              <c:numCache>
                <c:formatCode>0</c:formatCode>
                <c:ptCount val="12"/>
                <c:pt idx="0">
                  <c:v>207</c:v>
                </c:pt>
                <c:pt idx="1">
                  <c:v>245</c:v>
                </c:pt>
                <c:pt idx="2">
                  <c:v>217</c:v>
                </c:pt>
                <c:pt idx="3">
                  <c:v>200</c:v>
                </c:pt>
                <c:pt idx="4">
                  <c:v>124</c:v>
                </c:pt>
                <c:pt idx="5">
                  <c:v>155</c:v>
                </c:pt>
                <c:pt idx="6">
                  <c:v>123</c:v>
                </c:pt>
                <c:pt idx="7">
                  <c:v>120</c:v>
                </c:pt>
                <c:pt idx="8">
                  <c:v>105</c:v>
                </c:pt>
                <c:pt idx="9">
                  <c:v>140</c:v>
                </c:pt>
                <c:pt idx="10">
                  <c:v>80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Kampala-Kalerwe'!$W$9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Kampala-Kalerwe'!$W$10:$W$21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Kampala-Kalerwe'!$X$9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Kampala-Kalerwe'!$Y$9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Kampala-Kalerwe'!$Y$10:$Y$21</c:f>
              <c:numCache>
                <c:formatCode>0</c:formatCode>
                <c:ptCount val="12"/>
                <c:pt idx="0">
                  <c:v>6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26</c:v>
                </c:pt>
                <c:pt idx="5">
                  <c:v>27</c:v>
                </c:pt>
                <c:pt idx="6">
                  <c:v>20</c:v>
                </c:pt>
                <c:pt idx="7">
                  <c:v>34</c:v>
                </c:pt>
                <c:pt idx="8">
                  <c:v>30</c:v>
                </c:pt>
                <c:pt idx="9">
                  <c:v>56</c:v>
                </c:pt>
                <c:pt idx="10">
                  <c:v>28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Kampala-Kalerwe'!$Z$9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Kampala-Kalerwe'!$Z$10:$Z$21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22</c:v>
                </c:pt>
                <c:pt idx="3">
                  <c:v>17</c:v>
                </c:pt>
                <c:pt idx="4">
                  <c:v>12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12</c:v>
                </c:pt>
                <c:pt idx="9">
                  <c:v>3</c:v>
                </c:pt>
                <c:pt idx="10">
                  <c:v>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Kampala-Kalerwe'!$AA$9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Kampala-Kalerwe'!$AA$10:$AA$21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Kampala-Kalerwe'!$AB$9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Kampala-Kalerwe'!$AC$9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Kampala-Kalerwe'!$AC$10:$AC$21</c:f>
              <c:numCache>
                <c:formatCode>0</c:formatCode>
                <c:ptCount val="12"/>
                <c:pt idx="0">
                  <c:v>620</c:v>
                </c:pt>
                <c:pt idx="1">
                  <c:v>830</c:v>
                </c:pt>
                <c:pt idx="2">
                  <c:v>990</c:v>
                </c:pt>
                <c:pt idx="3">
                  <c:v>871</c:v>
                </c:pt>
                <c:pt idx="4">
                  <c:v>631</c:v>
                </c:pt>
                <c:pt idx="5">
                  <c:v>444</c:v>
                </c:pt>
                <c:pt idx="6">
                  <c:v>500</c:v>
                </c:pt>
                <c:pt idx="7">
                  <c:v>590</c:v>
                </c:pt>
                <c:pt idx="8">
                  <c:v>600</c:v>
                </c:pt>
                <c:pt idx="9">
                  <c:v>816</c:v>
                </c:pt>
                <c:pt idx="10">
                  <c:v>610</c:v>
                </c:pt>
                <c:pt idx="11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Kampala-Kalerwe'!$AD$9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Kampala-Kalerwe'!$AD$10:$AD$21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153280"/>
        <c:axId val="255180800"/>
      </c:lineChart>
      <c:catAx>
        <c:axId val="25515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5180800"/>
        <c:crosses val="autoZero"/>
        <c:auto val="1"/>
        <c:lblAlgn val="ctr"/>
        <c:lblOffset val="100"/>
        <c:noMultiLvlLbl val="0"/>
      </c:catAx>
      <c:valAx>
        <c:axId val="2551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51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Kampala-Kalerwe'!$C$60:$N$60</c:f>
              <c:numCache>
                <c:formatCode>0.00%</c:formatCode>
                <c:ptCount val="12"/>
                <c:pt idx="0">
                  <c:v>0.35764857326753913</c:v>
                </c:pt>
                <c:pt idx="1">
                  <c:v>9.3113065865694053E-2</c:v>
                </c:pt>
                <c:pt idx="2">
                  <c:v>4.9131087749409996E-2</c:v>
                </c:pt>
                <c:pt idx="3">
                  <c:v>0.38639776871915898</c:v>
                </c:pt>
                <c:pt idx="4">
                  <c:v>7.509118214975327E-3</c:v>
                </c:pt>
                <c:pt idx="5">
                  <c:v>4.7200171636987767E-3</c:v>
                </c:pt>
                <c:pt idx="6">
                  <c:v>6.4792962883501393E-2</c:v>
                </c:pt>
                <c:pt idx="7">
                  <c:v>2.5316455696202531E-2</c:v>
                </c:pt>
                <c:pt idx="8">
                  <c:v>7.2945719802617465E-3</c:v>
                </c:pt>
                <c:pt idx="9">
                  <c:v>4.0763784595580351E-3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Kalerwe-Kampala'!$AE$9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Kalerwe-Kampala'!$AE$10:$AE$21</c:f>
              <c:numCache>
                <c:formatCode>0</c:formatCode>
                <c:ptCount val="12"/>
                <c:pt idx="0">
                  <c:v>537</c:v>
                </c:pt>
                <c:pt idx="1">
                  <c:v>450</c:v>
                </c:pt>
                <c:pt idx="2">
                  <c:v>449</c:v>
                </c:pt>
                <c:pt idx="3">
                  <c:v>609</c:v>
                </c:pt>
                <c:pt idx="4">
                  <c:v>579</c:v>
                </c:pt>
                <c:pt idx="5">
                  <c:v>610</c:v>
                </c:pt>
                <c:pt idx="6">
                  <c:v>431</c:v>
                </c:pt>
                <c:pt idx="7">
                  <c:v>418</c:v>
                </c:pt>
                <c:pt idx="8">
                  <c:v>405</c:v>
                </c:pt>
                <c:pt idx="9">
                  <c:v>435</c:v>
                </c:pt>
                <c:pt idx="10">
                  <c:v>648</c:v>
                </c:pt>
                <c:pt idx="11">
                  <c:v>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Kalerwe-Kampala'!$AF$9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Kalerwe-Kampala'!$AF$10:$AF$21</c:f>
              <c:numCache>
                <c:formatCode>0</c:formatCode>
                <c:ptCount val="12"/>
                <c:pt idx="0">
                  <c:v>1210</c:v>
                </c:pt>
                <c:pt idx="1">
                  <c:v>1057</c:v>
                </c:pt>
                <c:pt idx="2">
                  <c:v>1139</c:v>
                </c:pt>
                <c:pt idx="3">
                  <c:v>1097</c:v>
                </c:pt>
                <c:pt idx="4">
                  <c:v>1155</c:v>
                </c:pt>
                <c:pt idx="5">
                  <c:v>1028</c:v>
                </c:pt>
                <c:pt idx="6">
                  <c:v>937</c:v>
                </c:pt>
                <c:pt idx="7">
                  <c:v>873</c:v>
                </c:pt>
                <c:pt idx="8">
                  <c:v>840</c:v>
                </c:pt>
                <c:pt idx="9">
                  <c:v>879</c:v>
                </c:pt>
                <c:pt idx="10">
                  <c:v>1142</c:v>
                </c:pt>
                <c:pt idx="11">
                  <c:v>1190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829568"/>
        <c:axId val="264930048"/>
      </c:lineChart>
      <c:catAx>
        <c:axId val="264829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930048"/>
        <c:crosses val="autoZero"/>
        <c:auto val="1"/>
        <c:lblAlgn val="ctr"/>
        <c:lblOffset val="100"/>
        <c:noMultiLvlLbl val="0"/>
      </c:catAx>
      <c:valAx>
        <c:axId val="264930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48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Kalerwe-Kampala'!$C$59:$N$59</c:f>
              <c:numCache>
                <c:formatCode>0.0%</c:formatCode>
                <c:ptCount val="12"/>
                <c:pt idx="0">
                  <c:v>0.19175898621184348</c:v>
                </c:pt>
                <c:pt idx="1">
                  <c:v>7.1172391806806401E-2</c:v>
                </c:pt>
                <c:pt idx="2">
                  <c:v>1.9287479078664224E-2</c:v>
                </c:pt>
                <c:pt idx="3">
                  <c:v>0.1649796764166733</c:v>
                </c:pt>
                <c:pt idx="4">
                  <c:v>3.0286124173109111E-3</c:v>
                </c:pt>
                <c:pt idx="5">
                  <c:v>1.0361042480274169E-3</c:v>
                </c:pt>
                <c:pt idx="6">
                  <c:v>2.701841077548418E-2</c:v>
                </c:pt>
                <c:pt idx="7">
                  <c:v>2.4707101299115326E-3</c:v>
                </c:pt>
                <c:pt idx="8">
                  <c:v>1.1158045747987567E-3</c:v>
                </c:pt>
                <c:pt idx="9">
                  <c:v>1.0361042480274169E-3</c:v>
                </c:pt>
                <c:pt idx="10">
                  <c:v>0.51709572009245242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Kalerwe-Kampala'!$S$9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Kalerwe-Kampala'!$S$10:$S$21</c:f>
              <c:numCache>
                <c:formatCode>0</c:formatCode>
                <c:ptCount val="12"/>
                <c:pt idx="0">
                  <c:v>248</c:v>
                </c:pt>
                <c:pt idx="1">
                  <c:v>187</c:v>
                </c:pt>
                <c:pt idx="2">
                  <c:v>173</c:v>
                </c:pt>
                <c:pt idx="3">
                  <c:v>256</c:v>
                </c:pt>
                <c:pt idx="4">
                  <c:v>242</c:v>
                </c:pt>
                <c:pt idx="5">
                  <c:v>235</c:v>
                </c:pt>
                <c:pt idx="6">
                  <c:v>154</c:v>
                </c:pt>
                <c:pt idx="7">
                  <c:v>177</c:v>
                </c:pt>
                <c:pt idx="8">
                  <c:v>152</c:v>
                </c:pt>
                <c:pt idx="9">
                  <c:v>151</c:v>
                </c:pt>
                <c:pt idx="10">
                  <c:v>255</c:v>
                </c:pt>
                <c:pt idx="11">
                  <c:v>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Kalerwe-Kampala'!$T$9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Kalerwe-Kampala'!$T$10:$T$21</c:f>
              <c:numCache>
                <c:formatCode>0</c:formatCode>
                <c:ptCount val="12"/>
                <c:pt idx="0">
                  <c:v>87</c:v>
                </c:pt>
                <c:pt idx="1">
                  <c:v>57</c:v>
                </c:pt>
                <c:pt idx="2">
                  <c:v>61</c:v>
                </c:pt>
                <c:pt idx="3">
                  <c:v>54</c:v>
                </c:pt>
                <c:pt idx="4">
                  <c:v>92</c:v>
                </c:pt>
                <c:pt idx="5">
                  <c:v>141</c:v>
                </c:pt>
                <c:pt idx="6">
                  <c:v>59</c:v>
                </c:pt>
                <c:pt idx="7">
                  <c:v>41</c:v>
                </c:pt>
                <c:pt idx="8">
                  <c:v>51</c:v>
                </c:pt>
                <c:pt idx="9">
                  <c:v>77</c:v>
                </c:pt>
                <c:pt idx="10">
                  <c:v>129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Kalerwe-Kampala'!$U$9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Kalerwe-Kampala'!$U$10:$U$21</c:f>
              <c:numCache>
                <c:formatCode>0</c:formatCode>
                <c:ptCount val="12"/>
                <c:pt idx="0">
                  <c:v>14</c:v>
                </c:pt>
                <c:pt idx="1">
                  <c:v>19</c:v>
                </c:pt>
                <c:pt idx="2">
                  <c:v>26</c:v>
                </c:pt>
                <c:pt idx="3">
                  <c:v>19</c:v>
                </c:pt>
                <c:pt idx="4">
                  <c:v>16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20</c:v>
                </c:pt>
                <c:pt idx="9">
                  <c:v>21</c:v>
                </c:pt>
                <c:pt idx="10">
                  <c:v>10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Kalerwe-Kampala'!$V$9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Kalerwe-Kampala'!$V$10:$V$21</c:f>
              <c:numCache>
                <c:formatCode>0</c:formatCode>
                <c:ptCount val="12"/>
                <c:pt idx="0">
                  <c:v>160</c:v>
                </c:pt>
                <c:pt idx="1">
                  <c:v>151</c:v>
                </c:pt>
                <c:pt idx="2">
                  <c:v>158</c:v>
                </c:pt>
                <c:pt idx="3">
                  <c:v>247</c:v>
                </c:pt>
                <c:pt idx="4">
                  <c:v>185</c:v>
                </c:pt>
                <c:pt idx="5">
                  <c:v>168</c:v>
                </c:pt>
                <c:pt idx="6">
                  <c:v>151</c:v>
                </c:pt>
                <c:pt idx="7">
                  <c:v>136</c:v>
                </c:pt>
                <c:pt idx="8">
                  <c:v>134</c:v>
                </c:pt>
                <c:pt idx="9">
                  <c:v>164</c:v>
                </c:pt>
                <c:pt idx="10">
                  <c:v>220</c:v>
                </c:pt>
                <c:pt idx="11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Kalerwe-Kampala'!$W$9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Kalerwe-Kampala'!$W$10:$W$21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Kalerwe-Kampala'!$X$9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Kalerwe-Kampala'!$Y$9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Kalerwe-Kampala'!$Y$10:$Y$21</c:f>
              <c:numCache>
                <c:formatCode>0</c:formatCode>
                <c:ptCount val="12"/>
                <c:pt idx="0">
                  <c:v>22</c:v>
                </c:pt>
                <c:pt idx="1">
                  <c:v>33</c:v>
                </c:pt>
                <c:pt idx="2">
                  <c:v>17</c:v>
                </c:pt>
                <c:pt idx="3">
                  <c:v>25</c:v>
                </c:pt>
                <c:pt idx="4">
                  <c:v>41</c:v>
                </c:pt>
                <c:pt idx="5">
                  <c:v>31</c:v>
                </c:pt>
                <c:pt idx="6">
                  <c:v>30</c:v>
                </c:pt>
                <c:pt idx="7">
                  <c:v>41</c:v>
                </c:pt>
                <c:pt idx="8">
                  <c:v>44</c:v>
                </c:pt>
                <c:pt idx="9">
                  <c:v>17</c:v>
                </c:pt>
                <c:pt idx="10">
                  <c:v>15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Kalerwe-Kampala'!$Z$9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Kalerwe-Kampala'!$AA$9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Kalerwe-Kampala'!$AB$9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Kalerwe-Kampala'!$AC$9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Kalerwe-Kampala'!$AC$10:$AC$21</c:f>
              <c:numCache>
                <c:formatCode>0</c:formatCode>
                <c:ptCount val="12"/>
                <c:pt idx="0">
                  <c:v>673</c:v>
                </c:pt>
                <c:pt idx="1">
                  <c:v>607</c:v>
                </c:pt>
                <c:pt idx="2">
                  <c:v>690</c:v>
                </c:pt>
                <c:pt idx="3">
                  <c:v>488</c:v>
                </c:pt>
                <c:pt idx="4">
                  <c:v>576</c:v>
                </c:pt>
                <c:pt idx="5">
                  <c:v>418</c:v>
                </c:pt>
                <c:pt idx="6">
                  <c:v>506</c:v>
                </c:pt>
                <c:pt idx="7">
                  <c:v>455</c:v>
                </c:pt>
                <c:pt idx="8">
                  <c:v>435</c:v>
                </c:pt>
                <c:pt idx="9">
                  <c:v>444</c:v>
                </c:pt>
                <c:pt idx="10">
                  <c:v>494</c:v>
                </c:pt>
                <c:pt idx="11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Kalerwe-Kampala'!$AD$9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86432"/>
        <c:axId val="110787968"/>
      </c:lineChart>
      <c:catAx>
        <c:axId val="1107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787968"/>
        <c:crosses val="autoZero"/>
        <c:auto val="1"/>
        <c:lblAlgn val="ctr"/>
        <c:lblOffset val="100"/>
        <c:noMultiLvlLbl val="0"/>
      </c:catAx>
      <c:valAx>
        <c:axId val="1107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78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Kalerwe-Kampala'!$C$60:$N$60</c:f>
              <c:numCache>
                <c:formatCode>0.00%</c:formatCode>
                <c:ptCount val="12"/>
                <c:pt idx="0">
                  <c:v>0.39709523023601256</c:v>
                </c:pt>
                <c:pt idx="1">
                  <c:v>0.14738405677504537</c:v>
                </c:pt>
                <c:pt idx="2">
                  <c:v>3.9940584254827528E-2</c:v>
                </c:pt>
                <c:pt idx="3">
                  <c:v>0.34164053474170653</c:v>
                </c:pt>
                <c:pt idx="4">
                  <c:v>6.2716619904274636E-3</c:v>
                </c:pt>
                <c:pt idx="5">
                  <c:v>2.1455685756725531E-3</c:v>
                </c:pt>
                <c:pt idx="6">
                  <c:v>5.5949826704076583E-2</c:v>
                </c:pt>
                <c:pt idx="7">
                  <c:v>5.1163558342960883E-3</c:v>
                </c:pt>
                <c:pt idx="8">
                  <c:v>2.3106123122627496E-3</c:v>
                </c:pt>
                <c:pt idx="9">
                  <c:v>2.1455685756725531E-3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Kampala-Kalerwe'!$AE$9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Kampala-Kalerwe'!$AE$10:$AE$21</c:f>
              <c:numCache>
                <c:formatCode>0</c:formatCode>
                <c:ptCount val="12"/>
                <c:pt idx="0">
                  <c:v>399</c:v>
                </c:pt>
                <c:pt idx="1">
                  <c:v>374</c:v>
                </c:pt>
                <c:pt idx="2">
                  <c:v>415</c:v>
                </c:pt>
                <c:pt idx="3">
                  <c:v>368</c:v>
                </c:pt>
                <c:pt idx="4">
                  <c:v>354</c:v>
                </c:pt>
                <c:pt idx="5">
                  <c:v>364</c:v>
                </c:pt>
                <c:pt idx="6">
                  <c:v>316</c:v>
                </c:pt>
                <c:pt idx="7">
                  <c:v>401</c:v>
                </c:pt>
                <c:pt idx="8">
                  <c:v>432</c:v>
                </c:pt>
                <c:pt idx="9">
                  <c:v>450</c:v>
                </c:pt>
                <c:pt idx="10">
                  <c:v>485</c:v>
                </c:pt>
                <c:pt idx="11">
                  <c:v>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Kampala-Kalerwe'!$AF$9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Kampala-Kalerwe'!$AF$10:$AF$21</c:f>
              <c:numCache>
                <c:formatCode>0</c:formatCode>
                <c:ptCount val="12"/>
                <c:pt idx="0">
                  <c:v>1209</c:v>
                </c:pt>
                <c:pt idx="1">
                  <c:v>1622</c:v>
                </c:pt>
                <c:pt idx="2">
                  <c:v>1413</c:v>
                </c:pt>
                <c:pt idx="3">
                  <c:v>1242</c:v>
                </c:pt>
                <c:pt idx="4">
                  <c:v>1214</c:v>
                </c:pt>
                <c:pt idx="5">
                  <c:v>1092</c:v>
                </c:pt>
                <c:pt idx="6">
                  <c:v>901</c:v>
                </c:pt>
                <c:pt idx="7">
                  <c:v>944</c:v>
                </c:pt>
                <c:pt idx="8">
                  <c:v>1023</c:v>
                </c:pt>
                <c:pt idx="9">
                  <c:v>1045</c:v>
                </c:pt>
                <c:pt idx="10">
                  <c:v>1068</c:v>
                </c:pt>
                <c:pt idx="11">
                  <c:v>1828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76224"/>
        <c:axId val="132678400"/>
      </c:lineChart>
      <c:catAx>
        <c:axId val="132676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678400"/>
        <c:crosses val="autoZero"/>
        <c:auto val="1"/>
        <c:lblAlgn val="ctr"/>
        <c:lblOffset val="100"/>
        <c:noMultiLvlLbl val="0"/>
      </c:catAx>
      <c:valAx>
        <c:axId val="132678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6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Kampala-Kalerwe'!$C$59:$N$59</c:f>
              <c:numCache>
                <c:formatCode>0.0%</c:formatCode>
                <c:ptCount val="12"/>
                <c:pt idx="0">
                  <c:v>0.11006095472912814</c:v>
                </c:pt>
                <c:pt idx="1">
                  <c:v>4.2325868091226626E-2</c:v>
                </c:pt>
                <c:pt idx="2">
                  <c:v>1.7670022601191698E-2</c:v>
                </c:pt>
                <c:pt idx="3">
                  <c:v>0.13910006163961372</c:v>
                </c:pt>
                <c:pt idx="4">
                  <c:v>4.1093075816724884E-3</c:v>
                </c:pt>
                <c:pt idx="5">
                  <c:v>2.32860762961441E-3</c:v>
                </c:pt>
                <c:pt idx="6">
                  <c:v>2.8011780015067461E-2</c:v>
                </c:pt>
                <c:pt idx="7">
                  <c:v>3.2189576056434492E-3</c:v>
                </c:pt>
                <c:pt idx="8">
                  <c:v>2.2601191699198686E-3</c:v>
                </c:pt>
                <c:pt idx="9">
                  <c:v>1.3012807341962879E-3</c:v>
                </c:pt>
                <c:pt idx="10">
                  <c:v>0.64961304020272581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Kampala-Kalerwe'!$S$9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Kampala-Kalerwe'!$S$10:$S$21</c:f>
              <c:numCache>
                <c:formatCode>0</c:formatCode>
                <c:ptCount val="12"/>
                <c:pt idx="0">
                  <c:v>98</c:v>
                </c:pt>
                <c:pt idx="1">
                  <c:v>84</c:v>
                </c:pt>
                <c:pt idx="2">
                  <c:v>74</c:v>
                </c:pt>
                <c:pt idx="3">
                  <c:v>93</c:v>
                </c:pt>
                <c:pt idx="4">
                  <c:v>102</c:v>
                </c:pt>
                <c:pt idx="5">
                  <c:v>105</c:v>
                </c:pt>
                <c:pt idx="6">
                  <c:v>97</c:v>
                </c:pt>
                <c:pt idx="7">
                  <c:v>94</c:v>
                </c:pt>
                <c:pt idx="8">
                  <c:v>138</c:v>
                </c:pt>
                <c:pt idx="9">
                  <c:v>155</c:v>
                </c:pt>
                <c:pt idx="10">
                  <c:v>251</c:v>
                </c:pt>
                <c:pt idx="11">
                  <c:v>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Kampala-Kalerwe'!$T$9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Kampala-Kalerwe'!$T$10:$T$21</c:f>
              <c:numCache>
                <c:formatCode>0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34</c:v>
                </c:pt>
                <c:pt idx="3">
                  <c:v>33</c:v>
                </c:pt>
                <c:pt idx="4">
                  <c:v>34</c:v>
                </c:pt>
                <c:pt idx="5">
                  <c:v>37</c:v>
                </c:pt>
                <c:pt idx="6">
                  <c:v>37</c:v>
                </c:pt>
                <c:pt idx="7">
                  <c:v>60</c:v>
                </c:pt>
                <c:pt idx="8">
                  <c:v>73</c:v>
                </c:pt>
                <c:pt idx="9">
                  <c:v>71</c:v>
                </c:pt>
                <c:pt idx="10">
                  <c:v>50</c:v>
                </c:pt>
                <c:pt idx="11">
                  <c:v>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Kampala-Kalerwe'!$U$9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Kampala-Kalerwe'!$U$10:$U$21</c:f>
              <c:numCache>
                <c:formatCode>0</c:formatCode>
                <c:ptCount val="12"/>
                <c:pt idx="0">
                  <c:v>12</c:v>
                </c:pt>
                <c:pt idx="1">
                  <c:v>9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20</c:v>
                </c:pt>
                <c:pt idx="6">
                  <c:v>30</c:v>
                </c:pt>
                <c:pt idx="7">
                  <c:v>41</c:v>
                </c:pt>
                <c:pt idx="8">
                  <c:v>33</c:v>
                </c:pt>
                <c:pt idx="9">
                  <c:v>14</c:v>
                </c:pt>
                <c:pt idx="10">
                  <c:v>19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Kampala-Kalerwe'!$V$9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Kampala-Kalerwe'!$V$10:$V$21</c:f>
              <c:numCache>
                <c:formatCode>0</c:formatCode>
                <c:ptCount val="12"/>
                <c:pt idx="0">
                  <c:v>225</c:v>
                </c:pt>
                <c:pt idx="1">
                  <c:v>226</c:v>
                </c:pt>
                <c:pt idx="2">
                  <c:v>236</c:v>
                </c:pt>
                <c:pt idx="3">
                  <c:v>170</c:v>
                </c:pt>
                <c:pt idx="4">
                  <c:v>147</c:v>
                </c:pt>
                <c:pt idx="5">
                  <c:v>132</c:v>
                </c:pt>
                <c:pt idx="6">
                  <c:v>109</c:v>
                </c:pt>
                <c:pt idx="7">
                  <c:v>132</c:v>
                </c:pt>
                <c:pt idx="8">
                  <c:v>147</c:v>
                </c:pt>
                <c:pt idx="9">
                  <c:v>170</c:v>
                </c:pt>
                <c:pt idx="10">
                  <c:v>119</c:v>
                </c:pt>
                <c:pt idx="11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Kampala-Kalerwe'!$W$9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Kampala-Kalerwe'!$W$10:$W$21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17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Kampala-Kalerwe'!$X$9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Kampala-Kalerwe'!$Y$9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Kampala-Kalerwe'!$Y$10:$Y$21</c:f>
              <c:numCache>
                <c:formatCode>0</c:formatCode>
                <c:ptCount val="12"/>
                <c:pt idx="0">
                  <c:v>24</c:v>
                </c:pt>
                <c:pt idx="1">
                  <c:v>29</c:v>
                </c:pt>
                <c:pt idx="2">
                  <c:v>42</c:v>
                </c:pt>
                <c:pt idx="3">
                  <c:v>39</c:v>
                </c:pt>
                <c:pt idx="4">
                  <c:v>33</c:v>
                </c:pt>
                <c:pt idx="5">
                  <c:v>39</c:v>
                </c:pt>
                <c:pt idx="6">
                  <c:v>29</c:v>
                </c:pt>
                <c:pt idx="7">
                  <c:v>55</c:v>
                </c:pt>
                <c:pt idx="8">
                  <c:v>25</c:v>
                </c:pt>
                <c:pt idx="9">
                  <c:v>29</c:v>
                </c:pt>
                <c:pt idx="10">
                  <c:v>31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Kampala-Kalerwe'!$Z$9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7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Kampala-Kalerwe'!$AA$9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Kampala-Kalerwe'!$AA$10:$AA$21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Kampala-Kalerwe'!$AB$9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Kampala-Kalerwe'!$AC$9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Kampala-Kalerwe'!$AC$10:$AC$21</c:f>
              <c:numCache>
                <c:formatCode>0</c:formatCode>
                <c:ptCount val="12"/>
                <c:pt idx="0">
                  <c:v>810</c:v>
                </c:pt>
                <c:pt idx="1">
                  <c:v>1248</c:v>
                </c:pt>
                <c:pt idx="2">
                  <c:v>998</c:v>
                </c:pt>
                <c:pt idx="3">
                  <c:v>874</c:v>
                </c:pt>
                <c:pt idx="4">
                  <c:v>860</c:v>
                </c:pt>
                <c:pt idx="5">
                  <c:v>728</c:v>
                </c:pt>
                <c:pt idx="6">
                  <c:v>585</c:v>
                </c:pt>
                <c:pt idx="7">
                  <c:v>543</c:v>
                </c:pt>
                <c:pt idx="8">
                  <c:v>591</c:v>
                </c:pt>
                <c:pt idx="9">
                  <c:v>595</c:v>
                </c:pt>
                <c:pt idx="10">
                  <c:v>583</c:v>
                </c:pt>
                <c:pt idx="11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Kampala-Kalerwe'!$AD$9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Kampala-Kalerwe'!$AD$10:$AD$21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91392"/>
        <c:axId val="132892928"/>
      </c:lineChart>
      <c:catAx>
        <c:axId val="1328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892928"/>
        <c:crosses val="autoZero"/>
        <c:auto val="1"/>
        <c:lblAlgn val="ctr"/>
        <c:lblOffset val="100"/>
        <c:noMultiLvlLbl val="0"/>
      </c:catAx>
      <c:valAx>
        <c:axId val="1328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89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Kampala-Kalerwe'!$C$60:$N$60</c:f>
              <c:numCache>
                <c:formatCode>0.00%</c:formatCode>
                <c:ptCount val="12"/>
                <c:pt idx="0">
                  <c:v>0.31411258795934321</c:v>
                </c:pt>
                <c:pt idx="1">
                  <c:v>0.12079749804534792</c:v>
                </c:pt>
                <c:pt idx="2">
                  <c:v>5.0430023455824861E-2</c:v>
                </c:pt>
                <c:pt idx="3">
                  <c:v>0.39698983580922598</c:v>
                </c:pt>
                <c:pt idx="4">
                  <c:v>1.1727912431587178E-2</c:v>
                </c:pt>
                <c:pt idx="5">
                  <c:v>6.645817044566067E-3</c:v>
                </c:pt>
                <c:pt idx="6">
                  <c:v>7.994526974198593E-2</c:v>
                </c:pt>
                <c:pt idx="7">
                  <c:v>9.1868647380766218E-3</c:v>
                </c:pt>
                <c:pt idx="8">
                  <c:v>6.4503518373729479E-3</c:v>
                </c:pt>
                <c:pt idx="9">
                  <c:v>3.7138389366692731E-3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Kalewre-Kampala'!$AE$9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Kalewre-Kampala'!$AE$10:$AE$21</c:f>
              <c:numCache>
                <c:formatCode>0</c:formatCode>
                <c:ptCount val="12"/>
                <c:pt idx="0">
                  <c:v>416</c:v>
                </c:pt>
                <c:pt idx="1">
                  <c:v>514</c:v>
                </c:pt>
                <c:pt idx="2">
                  <c:v>425</c:v>
                </c:pt>
                <c:pt idx="3">
                  <c:v>478</c:v>
                </c:pt>
                <c:pt idx="4">
                  <c:v>540</c:v>
                </c:pt>
                <c:pt idx="5">
                  <c:v>531</c:v>
                </c:pt>
                <c:pt idx="6">
                  <c:v>484</c:v>
                </c:pt>
                <c:pt idx="7">
                  <c:v>399</c:v>
                </c:pt>
                <c:pt idx="8">
                  <c:v>532</c:v>
                </c:pt>
                <c:pt idx="9">
                  <c:v>491</c:v>
                </c:pt>
                <c:pt idx="10">
                  <c:v>507</c:v>
                </c:pt>
                <c:pt idx="11">
                  <c:v>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Kalewre-Kampala'!$AF$9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Kalewre-Kampala'!$AF$10:$AF$21</c:f>
              <c:numCache>
                <c:formatCode>0</c:formatCode>
                <c:ptCount val="12"/>
                <c:pt idx="0">
                  <c:v>1146</c:v>
                </c:pt>
                <c:pt idx="1">
                  <c:v>1485</c:v>
                </c:pt>
                <c:pt idx="2">
                  <c:v>1190</c:v>
                </c:pt>
                <c:pt idx="3">
                  <c:v>1353</c:v>
                </c:pt>
                <c:pt idx="4">
                  <c:v>1038</c:v>
                </c:pt>
                <c:pt idx="5">
                  <c:v>1131</c:v>
                </c:pt>
                <c:pt idx="6">
                  <c:v>1087</c:v>
                </c:pt>
                <c:pt idx="7">
                  <c:v>994</c:v>
                </c:pt>
                <c:pt idx="8">
                  <c:v>1103</c:v>
                </c:pt>
                <c:pt idx="9">
                  <c:v>1106</c:v>
                </c:pt>
                <c:pt idx="10">
                  <c:v>1229</c:v>
                </c:pt>
                <c:pt idx="11">
                  <c:v>1198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80576"/>
        <c:axId val="133082496"/>
      </c:lineChart>
      <c:catAx>
        <c:axId val="133080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82496"/>
        <c:crosses val="autoZero"/>
        <c:auto val="1"/>
        <c:lblAlgn val="ctr"/>
        <c:lblOffset val="100"/>
        <c:noMultiLvlLbl val="0"/>
      </c:catAx>
      <c:valAx>
        <c:axId val="13308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8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Kalewre-Kampala'!$C$9:$N$9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Kalewre-Kampala'!$C$59:$N$59</c:f>
              <c:numCache>
                <c:formatCode>0.0%</c:formatCode>
                <c:ptCount val="12"/>
                <c:pt idx="0">
                  <c:v>0.13847795163584636</c:v>
                </c:pt>
                <c:pt idx="1">
                  <c:v>6.1593172119487907E-2</c:v>
                </c:pt>
                <c:pt idx="2">
                  <c:v>3.3783783783783786E-2</c:v>
                </c:pt>
                <c:pt idx="3">
                  <c:v>0.13655761024182078</c:v>
                </c:pt>
                <c:pt idx="4">
                  <c:v>2.4893314366998577E-3</c:v>
                </c:pt>
                <c:pt idx="5">
                  <c:v>1.0668563300142249E-3</c:v>
                </c:pt>
                <c:pt idx="6">
                  <c:v>2.8591749644381222E-2</c:v>
                </c:pt>
                <c:pt idx="7">
                  <c:v>4.3385490753911808E-3</c:v>
                </c:pt>
                <c:pt idx="8">
                  <c:v>2.8449502133712661E-3</c:v>
                </c:pt>
                <c:pt idx="9">
                  <c:v>1.3513513513513514E-3</c:v>
                </c:pt>
                <c:pt idx="10">
                  <c:v>0.58890469416785207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Kalewre-Kampala'!$S$9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Kalewre-Kampala'!$S$10:$S$21</c:f>
              <c:numCache>
                <c:formatCode>0</c:formatCode>
                <c:ptCount val="12"/>
                <c:pt idx="0">
                  <c:v>62</c:v>
                </c:pt>
                <c:pt idx="1">
                  <c:v>255</c:v>
                </c:pt>
                <c:pt idx="2">
                  <c:v>187</c:v>
                </c:pt>
                <c:pt idx="3">
                  <c:v>130</c:v>
                </c:pt>
                <c:pt idx="4">
                  <c:v>241</c:v>
                </c:pt>
                <c:pt idx="5">
                  <c:v>114</c:v>
                </c:pt>
                <c:pt idx="6">
                  <c:v>78</c:v>
                </c:pt>
                <c:pt idx="7">
                  <c:v>87</c:v>
                </c:pt>
                <c:pt idx="8">
                  <c:v>229</c:v>
                </c:pt>
                <c:pt idx="9">
                  <c:v>201</c:v>
                </c:pt>
                <c:pt idx="10">
                  <c:v>198</c:v>
                </c:pt>
                <c:pt idx="11">
                  <c:v>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Kalewre-Kampala'!$T$9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Kalewre-Kampala'!$T$10:$T$21</c:f>
              <c:numCache>
                <c:formatCode>0</c:formatCode>
                <c:ptCount val="12"/>
                <c:pt idx="0">
                  <c:v>23</c:v>
                </c:pt>
                <c:pt idx="1">
                  <c:v>30</c:v>
                </c:pt>
                <c:pt idx="2">
                  <c:v>18</c:v>
                </c:pt>
                <c:pt idx="3">
                  <c:v>113</c:v>
                </c:pt>
                <c:pt idx="4">
                  <c:v>54</c:v>
                </c:pt>
                <c:pt idx="5">
                  <c:v>155</c:v>
                </c:pt>
                <c:pt idx="6">
                  <c:v>137</c:v>
                </c:pt>
                <c:pt idx="7">
                  <c:v>134</c:v>
                </c:pt>
                <c:pt idx="8">
                  <c:v>37</c:v>
                </c:pt>
                <c:pt idx="9">
                  <c:v>58</c:v>
                </c:pt>
                <c:pt idx="10">
                  <c:v>51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Kalewre-Kampala'!$U$9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Kalewre-Kampala'!$U$10:$U$21</c:f>
              <c:numCache>
                <c:formatCode>0</c:formatCode>
                <c:ptCount val="12"/>
                <c:pt idx="0">
                  <c:v>39</c:v>
                </c:pt>
                <c:pt idx="1">
                  <c:v>24</c:v>
                </c:pt>
                <c:pt idx="2">
                  <c:v>35</c:v>
                </c:pt>
                <c:pt idx="3">
                  <c:v>43</c:v>
                </c:pt>
                <c:pt idx="4">
                  <c:v>35</c:v>
                </c:pt>
                <c:pt idx="5">
                  <c:v>73</c:v>
                </c:pt>
                <c:pt idx="6">
                  <c:v>63</c:v>
                </c:pt>
                <c:pt idx="7">
                  <c:v>24</c:v>
                </c:pt>
                <c:pt idx="8">
                  <c:v>51</c:v>
                </c:pt>
                <c:pt idx="9">
                  <c:v>41</c:v>
                </c:pt>
                <c:pt idx="10">
                  <c:v>21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Kalewre-Kampala'!$V$9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Kalewre-Kampala'!$V$10:$V$21</c:f>
              <c:numCache>
                <c:formatCode>0</c:formatCode>
                <c:ptCount val="12"/>
                <c:pt idx="0">
                  <c:v>205</c:v>
                </c:pt>
                <c:pt idx="1">
                  <c:v>175</c:v>
                </c:pt>
                <c:pt idx="2">
                  <c:v>155</c:v>
                </c:pt>
                <c:pt idx="3">
                  <c:v>147</c:v>
                </c:pt>
                <c:pt idx="4">
                  <c:v>163</c:v>
                </c:pt>
                <c:pt idx="5">
                  <c:v>152</c:v>
                </c:pt>
                <c:pt idx="6">
                  <c:v>155</c:v>
                </c:pt>
                <c:pt idx="7">
                  <c:v>118</c:v>
                </c:pt>
                <c:pt idx="8">
                  <c:v>146</c:v>
                </c:pt>
                <c:pt idx="9">
                  <c:v>144</c:v>
                </c:pt>
                <c:pt idx="10">
                  <c:v>187</c:v>
                </c:pt>
                <c:pt idx="11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Kalewre-Kampala'!$W$9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Kalewre-Kampala'!$X$9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Kalewre-Kampala'!$Y$9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Kalewre-Kampala'!$Y$10:$Y$21</c:f>
              <c:numCache>
                <c:formatCode>0</c:formatCode>
                <c:ptCount val="12"/>
                <c:pt idx="0">
                  <c:v>83</c:v>
                </c:pt>
                <c:pt idx="1">
                  <c:v>19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30</c:v>
                </c:pt>
                <c:pt idx="6">
                  <c:v>30</c:v>
                </c:pt>
                <c:pt idx="7">
                  <c:v>19</c:v>
                </c:pt>
                <c:pt idx="8">
                  <c:v>50</c:v>
                </c:pt>
                <c:pt idx="9">
                  <c:v>32</c:v>
                </c:pt>
                <c:pt idx="10">
                  <c:v>35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Kalewre-Kampala'!$Z$9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Kalewre-Kampala'!$Z$10:$Z$21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1</c:v>
                </c:pt>
                <c:pt idx="4">
                  <c:v>7</c:v>
                </c:pt>
                <c:pt idx="5">
                  <c:v>3</c:v>
                </c:pt>
                <c:pt idx="6">
                  <c:v>9</c:v>
                </c:pt>
                <c:pt idx="7">
                  <c:v>5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Kalewre-Kampala'!$AA$9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Kalewre-Kampala'!$AB$9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Kalewre-Kampala'!$AC$9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Kalewre-Kampala'!$AC$10:$AC$21</c:f>
              <c:numCache>
                <c:formatCode>0</c:formatCode>
                <c:ptCount val="12"/>
                <c:pt idx="0">
                  <c:v>730</c:v>
                </c:pt>
                <c:pt idx="1">
                  <c:v>971</c:v>
                </c:pt>
                <c:pt idx="2">
                  <c:v>765</c:v>
                </c:pt>
                <c:pt idx="3">
                  <c:v>875</c:v>
                </c:pt>
                <c:pt idx="4">
                  <c:v>498</c:v>
                </c:pt>
                <c:pt idx="5">
                  <c:v>600</c:v>
                </c:pt>
                <c:pt idx="6">
                  <c:v>603</c:v>
                </c:pt>
                <c:pt idx="7">
                  <c:v>595</c:v>
                </c:pt>
                <c:pt idx="8">
                  <c:v>571</c:v>
                </c:pt>
                <c:pt idx="9">
                  <c:v>615</c:v>
                </c:pt>
                <c:pt idx="10">
                  <c:v>722</c:v>
                </c:pt>
                <c:pt idx="11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Kalewre-Kampala'!$AD$9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Kalewre-Kampala'!$AD$10:$AD$21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59936"/>
        <c:axId val="133174016"/>
      </c:lineChart>
      <c:catAx>
        <c:axId val="13315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74016"/>
        <c:crosses val="autoZero"/>
        <c:auto val="1"/>
        <c:lblAlgn val="ctr"/>
        <c:lblOffset val="100"/>
        <c:noMultiLvlLbl val="0"/>
      </c:catAx>
      <c:valAx>
        <c:axId val="1331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Kalewre-Kampala'!$C$9:$N$9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Kalewre-Kampala'!$C$60:$N$60</c:f>
              <c:numCache>
                <c:formatCode>0.00%</c:formatCode>
                <c:ptCount val="12"/>
                <c:pt idx="0">
                  <c:v>0.33685121107266436</c:v>
                </c:pt>
                <c:pt idx="1">
                  <c:v>0.14982698961937715</c:v>
                </c:pt>
                <c:pt idx="2">
                  <c:v>8.2179930795847747E-2</c:v>
                </c:pt>
                <c:pt idx="3">
                  <c:v>0.33217993079584773</c:v>
                </c:pt>
                <c:pt idx="4">
                  <c:v>6.0553633217993079E-3</c:v>
                </c:pt>
                <c:pt idx="5">
                  <c:v>2.5951557093425604E-3</c:v>
                </c:pt>
                <c:pt idx="6">
                  <c:v>6.955017301038062E-2</c:v>
                </c:pt>
                <c:pt idx="7">
                  <c:v>1.055363321799308E-2</c:v>
                </c:pt>
                <c:pt idx="8">
                  <c:v>6.920415224913495E-3</c:v>
                </c:pt>
                <c:pt idx="9">
                  <c:v>3.2871972318339101E-3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Kampala-Kalewre'!$AE$9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Kampala-Kalewre'!$AE$10:$AE$21</c:f>
              <c:numCache>
                <c:formatCode>0</c:formatCode>
                <c:ptCount val="12"/>
                <c:pt idx="0">
                  <c:v>756</c:v>
                </c:pt>
                <c:pt idx="1">
                  <c:v>436</c:v>
                </c:pt>
                <c:pt idx="2">
                  <c:v>473</c:v>
                </c:pt>
                <c:pt idx="3">
                  <c:v>438</c:v>
                </c:pt>
                <c:pt idx="4">
                  <c:v>416</c:v>
                </c:pt>
                <c:pt idx="5">
                  <c:v>433</c:v>
                </c:pt>
                <c:pt idx="6">
                  <c:v>471</c:v>
                </c:pt>
                <c:pt idx="7">
                  <c:v>343</c:v>
                </c:pt>
                <c:pt idx="8">
                  <c:v>413</c:v>
                </c:pt>
                <c:pt idx="9">
                  <c:v>697</c:v>
                </c:pt>
                <c:pt idx="10">
                  <c:v>589</c:v>
                </c:pt>
                <c:pt idx="11">
                  <c:v>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Kampala-Kalewre'!$AF$9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Kampala-Kalewre'!$AF$10:$AF$21</c:f>
              <c:numCache>
                <c:formatCode>0</c:formatCode>
                <c:ptCount val="12"/>
                <c:pt idx="0">
                  <c:v>1496</c:v>
                </c:pt>
                <c:pt idx="1">
                  <c:v>1606</c:v>
                </c:pt>
                <c:pt idx="2">
                  <c:v>1548</c:v>
                </c:pt>
                <c:pt idx="3">
                  <c:v>1438</c:v>
                </c:pt>
                <c:pt idx="4">
                  <c:v>1266</c:v>
                </c:pt>
                <c:pt idx="5">
                  <c:v>1038</c:v>
                </c:pt>
                <c:pt idx="6">
                  <c:v>1181</c:v>
                </c:pt>
                <c:pt idx="7">
                  <c:v>978</c:v>
                </c:pt>
                <c:pt idx="8">
                  <c:v>980</c:v>
                </c:pt>
                <c:pt idx="9">
                  <c:v>1300</c:v>
                </c:pt>
                <c:pt idx="10">
                  <c:v>1259</c:v>
                </c:pt>
                <c:pt idx="11">
                  <c:v>1103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59264"/>
        <c:axId val="133261184"/>
      </c:lineChart>
      <c:catAx>
        <c:axId val="133259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61184"/>
        <c:crosses val="autoZero"/>
        <c:auto val="1"/>
        <c:lblAlgn val="ctr"/>
        <c:lblOffset val="100"/>
        <c:noMultiLvlLbl val="0"/>
      </c:catAx>
      <c:valAx>
        <c:axId val="133261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Kampala-Kalewre'!$C$9:$N$9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Kampala-Kalewre'!$C$59:$N$59</c:f>
              <c:numCache>
                <c:formatCode>0.0%</c:formatCode>
                <c:ptCount val="12"/>
                <c:pt idx="0">
                  <c:v>0.12328045810570658</c:v>
                </c:pt>
                <c:pt idx="1">
                  <c:v>5.0286316066609625E-2</c:v>
                </c:pt>
                <c:pt idx="2">
                  <c:v>1.7902981636279867E-2</c:v>
                </c:pt>
                <c:pt idx="3">
                  <c:v>0.15665108931744884</c:v>
                </c:pt>
                <c:pt idx="4">
                  <c:v>2.3695122753899824E-3</c:v>
                </c:pt>
                <c:pt idx="5">
                  <c:v>3.0277101296649774E-3</c:v>
                </c:pt>
                <c:pt idx="6">
                  <c:v>3.4423747778582245E-2</c:v>
                </c:pt>
                <c:pt idx="7">
                  <c:v>3.1593497005199763E-3</c:v>
                </c:pt>
                <c:pt idx="8">
                  <c:v>2.0404133482524846E-3</c:v>
                </c:pt>
                <c:pt idx="9">
                  <c:v>1.6454946356874876E-3</c:v>
                </c:pt>
                <c:pt idx="10">
                  <c:v>0.60521292700585794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Kampala-Kalewre'!$C$9:$N$9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Kampala-Kalewre'!$C$60:$N$60</c:f>
              <c:numCache>
                <c:formatCode>0.00%</c:formatCode>
                <c:ptCount val="12"/>
                <c:pt idx="0">
                  <c:v>0.31227075691897299</c:v>
                </c:pt>
                <c:pt idx="1">
                  <c:v>0.12737579193064355</c:v>
                </c:pt>
                <c:pt idx="2">
                  <c:v>4.5348449483161052E-2</c:v>
                </c:pt>
                <c:pt idx="3">
                  <c:v>0.39679893297765922</c:v>
                </c:pt>
                <c:pt idx="4">
                  <c:v>6.0020006668889628E-3</c:v>
                </c:pt>
                <c:pt idx="5">
                  <c:v>7.6692230743581197E-3</c:v>
                </c:pt>
                <c:pt idx="6">
                  <c:v>8.7195731910636884E-2</c:v>
                </c:pt>
                <c:pt idx="7">
                  <c:v>8.002667555851951E-3</c:v>
                </c:pt>
                <c:pt idx="8">
                  <c:v>5.1683894631543844E-3</c:v>
                </c:pt>
                <c:pt idx="9">
                  <c:v>4.1680560186728912E-3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Kalewre-Kampala'!$AE$9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Kalewre-Kampala'!$AE$10:$AE$21</c:f>
              <c:numCache>
                <c:formatCode>0</c:formatCode>
                <c:ptCount val="12"/>
                <c:pt idx="0">
                  <c:v>518</c:v>
                </c:pt>
                <c:pt idx="1">
                  <c:v>537</c:v>
                </c:pt>
                <c:pt idx="2">
                  <c:v>429</c:v>
                </c:pt>
                <c:pt idx="3">
                  <c:v>375</c:v>
                </c:pt>
                <c:pt idx="4">
                  <c:v>444</c:v>
                </c:pt>
                <c:pt idx="5">
                  <c:v>478</c:v>
                </c:pt>
                <c:pt idx="6">
                  <c:v>528</c:v>
                </c:pt>
                <c:pt idx="7">
                  <c:v>501</c:v>
                </c:pt>
                <c:pt idx="8">
                  <c:v>446</c:v>
                </c:pt>
                <c:pt idx="9">
                  <c:v>461</c:v>
                </c:pt>
                <c:pt idx="10">
                  <c:v>517</c:v>
                </c:pt>
                <c:pt idx="11">
                  <c:v>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Kalewre-Kampala'!$AF$9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Kalewre-Kampala'!$AF$10:$AF$21</c:f>
              <c:numCache>
                <c:formatCode>0</c:formatCode>
                <c:ptCount val="12"/>
                <c:pt idx="0">
                  <c:v>2022</c:v>
                </c:pt>
                <c:pt idx="1">
                  <c:v>2200</c:v>
                </c:pt>
                <c:pt idx="2">
                  <c:v>1679</c:v>
                </c:pt>
                <c:pt idx="3">
                  <c:v>1350</c:v>
                </c:pt>
                <c:pt idx="4">
                  <c:v>1464</c:v>
                </c:pt>
                <c:pt idx="5">
                  <c:v>1483</c:v>
                </c:pt>
                <c:pt idx="6">
                  <c:v>1373</c:v>
                </c:pt>
                <c:pt idx="7">
                  <c:v>1171</c:v>
                </c:pt>
                <c:pt idx="8">
                  <c:v>1296</c:v>
                </c:pt>
                <c:pt idx="9">
                  <c:v>1391</c:v>
                </c:pt>
                <c:pt idx="10">
                  <c:v>1447</c:v>
                </c:pt>
                <c:pt idx="11">
                  <c:v>1268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47968"/>
        <c:axId val="133387008"/>
      </c:lineChart>
      <c:catAx>
        <c:axId val="133347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387008"/>
        <c:crosses val="autoZero"/>
        <c:auto val="1"/>
        <c:lblAlgn val="ctr"/>
        <c:lblOffset val="100"/>
        <c:noMultiLvlLbl val="0"/>
      </c:catAx>
      <c:valAx>
        <c:axId val="133387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3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Kalewre-Kampala'!$C$9:$N$9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Kalewre-Kampala'!$C$59:$N$59</c:f>
              <c:numCache>
                <c:formatCode>0.0%</c:formatCode>
                <c:ptCount val="12"/>
                <c:pt idx="0">
                  <c:v>0.11800044091710758</c:v>
                </c:pt>
                <c:pt idx="1">
                  <c:v>4.5965608465608467E-2</c:v>
                </c:pt>
                <c:pt idx="2">
                  <c:v>1.7085537918871251E-2</c:v>
                </c:pt>
                <c:pt idx="3">
                  <c:v>0.10113536155202822</c:v>
                </c:pt>
                <c:pt idx="4">
                  <c:v>1.5432098765432098E-3</c:v>
                </c:pt>
                <c:pt idx="5">
                  <c:v>8.8183421516754845E-4</c:v>
                </c:pt>
                <c:pt idx="6">
                  <c:v>2.132936507936508E-2</c:v>
                </c:pt>
                <c:pt idx="7">
                  <c:v>2.2045855379188711E-3</c:v>
                </c:pt>
                <c:pt idx="8">
                  <c:v>2.3699294532627865E-3</c:v>
                </c:pt>
                <c:pt idx="9">
                  <c:v>1.2676366843033509E-3</c:v>
                </c:pt>
                <c:pt idx="10">
                  <c:v>0.68821649029982368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Kalewre-Kampala'!$S$9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Kalewre-Kampala'!$S$10:$S$21</c:f>
              <c:numCache>
                <c:formatCode>0</c:formatCode>
                <c:ptCount val="12"/>
                <c:pt idx="0">
                  <c:v>277</c:v>
                </c:pt>
                <c:pt idx="1">
                  <c:v>213</c:v>
                </c:pt>
                <c:pt idx="2">
                  <c:v>159</c:v>
                </c:pt>
                <c:pt idx="3">
                  <c:v>128</c:v>
                </c:pt>
                <c:pt idx="4">
                  <c:v>174</c:v>
                </c:pt>
                <c:pt idx="5">
                  <c:v>182</c:v>
                </c:pt>
                <c:pt idx="6">
                  <c:v>185</c:v>
                </c:pt>
                <c:pt idx="7">
                  <c:v>148</c:v>
                </c:pt>
                <c:pt idx="8">
                  <c:v>179</c:v>
                </c:pt>
                <c:pt idx="9">
                  <c:v>153</c:v>
                </c:pt>
                <c:pt idx="10">
                  <c:v>193</c:v>
                </c:pt>
                <c:pt idx="11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Kalewre-Kampala'!$T$9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Kalewre-Kampala'!$R$10:$R$21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Kalewre-Kampala'!$T$10:$T$21</c:f>
              <c:numCache>
                <c:formatCode>0</c:formatCode>
                <c:ptCount val="12"/>
                <c:pt idx="0">
                  <c:v>52</c:v>
                </c:pt>
                <c:pt idx="1">
                  <c:v>86</c:v>
                </c:pt>
                <c:pt idx="2">
                  <c:v>48</c:v>
                </c:pt>
                <c:pt idx="3">
                  <c:v>62</c:v>
                </c:pt>
                <c:pt idx="4">
                  <c:v>69</c:v>
                </c:pt>
                <c:pt idx="5">
                  <c:v>86</c:v>
                </c:pt>
                <c:pt idx="6">
                  <c:v>104</c:v>
                </c:pt>
                <c:pt idx="7">
                  <c:v>74</c:v>
                </c:pt>
                <c:pt idx="8">
                  <c:v>55</c:v>
                </c:pt>
                <c:pt idx="9">
                  <c:v>70</c:v>
                </c:pt>
                <c:pt idx="10">
                  <c:v>77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Kalewre-Kampala'!$U$9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Kalewre-Kampala'!$U$10:$U$21</c:f>
              <c:numCache>
                <c:formatCode>0</c:formatCode>
                <c:ptCount val="12"/>
                <c:pt idx="0">
                  <c:v>31</c:v>
                </c:pt>
                <c:pt idx="1">
                  <c:v>21</c:v>
                </c:pt>
                <c:pt idx="2">
                  <c:v>25</c:v>
                </c:pt>
                <c:pt idx="3">
                  <c:v>14</c:v>
                </c:pt>
                <c:pt idx="4">
                  <c:v>19</c:v>
                </c:pt>
                <c:pt idx="5">
                  <c:v>26</c:v>
                </c:pt>
                <c:pt idx="6">
                  <c:v>40</c:v>
                </c:pt>
                <c:pt idx="7">
                  <c:v>24</c:v>
                </c:pt>
                <c:pt idx="8">
                  <c:v>31</c:v>
                </c:pt>
                <c:pt idx="9">
                  <c:v>28</c:v>
                </c:pt>
                <c:pt idx="10">
                  <c:v>30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Kalewre-Kampala'!$V$9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Kalewre-Kampala'!$V$10:$V$21</c:f>
              <c:numCache>
                <c:formatCode>0</c:formatCode>
                <c:ptCount val="12"/>
                <c:pt idx="0">
                  <c:v>135</c:v>
                </c:pt>
                <c:pt idx="1">
                  <c:v>187</c:v>
                </c:pt>
                <c:pt idx="2">
                  <c:v>151</c:v>
                </c:pt>
                <c:pt idx="3">
                  <c:v>142</c:v>
                </c:pt>
                <c:pt idx="4">
                  <c:v>138</c:v>
                </c:pt>
                <c:pt idx="5">
                  <c:v>145</c:v>
                </c:pt>
                <c:pt idx="6">
                  <c:v>142</c:v>
                </c:pt>
                <c:pt idx="7">
                  <c:v>180</c:v>
                </c:pt>
                <c:pt idx="8">
                  <c:v>140</c:v>
                </c:pt>
                <c:pt idx="9">
                  <c:v>148</c:v>
                </c:pt>
                <c:pt idx="10">
                  <c:v>171</c:v>
                </c:pt>
                <c:pt idx="11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Kalewre-Kampala'!$W$9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Kalewre-Kampala'!$X$9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Kalewre-Kampala'!$Y$9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Kalewre-Kampala'!$Y$10:$Y$21</c:f>
              <c:numCache>
                <c:formatCode>0</c:formatCode>
                <c:ptCount val="12"/>
                <c:pt idx="0">
                  <c:v>17</c:v>
                </c:pt>
                <c:pt idx="1">
                  <c:v>24</c:v>
                </c:pt>
                <c:pt idx="2">
                  <c:v>39</c:v>
                </c:pt>
                <c:pt idx="3">
                  <c:v>23</c:v>
                </c:pt>
                <c:pt idx="4">
                  <c:v>30</c:v>
                </c:pt>
                <c:pt idx="5">
                  <c:v>28</c:v>
                </c:pt>
                <c:pt idx="6">
                  <c:v>30</c:v>
                </c:pt>
                <c:pt idx="7">
                  <c:v>52</c:v>
                </c:pt>
                <c:pt idx="8">
                  <c:v>31</c:v>
                </c:pt>
                <c:pt idx="9">
                  <c:v>50</c:v>
                </c:pt>
                <c:pt idx="10">
                  <c:v>30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Kalewre-Kampala'!$Z$9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9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Kalewre-Kampala'!$AA$9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  <c:pt idx="7">
                  <c:v>10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Kalewre-Kampala'!$AB$9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Kalewre-Kampala'!$AC$9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Kalewre-Kampala'!$AC$10:$AC$21</c:f>
              <c:numCache>
                <c:formatCode>0</c:formatCode>
                <c:ptCount val="12"/>
                <c:pt idx="0">
                  <c:v>1504</c:v>
                </c:pt>
                <c:pt idx="1">
                  <c:v>1663</c:v>
                </c:pt>
                <c:pt idx="2">
                  <c:v>1250</c:v>
                </c:pt>
                <c:pt idx="3">
                  <c:v>975</c:v>
                </c:pt>
                <c:pt idx="4">
                  <c:v>1020</c:v>
                </c:pt>
                <c:pt idx="5">
                  <c:v>1005</c:v>
                </c:pt>
                <c:pt idx="6">
                  <c:v>845</c:v>
                </c:pt>
                <c:pt idx="7">
                  <c:v>670</c:v>
                </c:pt>
                <c:pt idx="8">
                  <c:v>850</c:v>
                </c:pt>
                <c:pt idx="9">
                  <c:v>930</c:v>
                </c:pt>
                <c:pt idx="10">
                  <c:v>930</c:v>
                </c:pt>
                <c:pt idx="11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Kalewre-Kampala'!$AD$9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Kalewre-Kampala'!$AD$10:$AD$21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18080"/>
        <c:axId val="133519616"/>
      </c:lineChart>
      <c:catAx>
        <c:axId val="13351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519616"/>
        <c:crosses val="autoZero"/>
        <c:auto val="1"/>
        <c:lblAlgn val="ctr"/>
        <c:lblOffset val="100"/>
        <c:noMultiLvlLbl val="0"/>
      </c:catAx>
      <c:valAx>
        <c:axId val="13351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51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Kalewre-Kampala'!$C$9:$N$9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Kalewre-Kampala'!$C$60:$N$60</c:f>
              <c:numCache>
                <c:formatCode>0.00%</c:formatCode>
                <c:ptCount val="12"/>
                <c:pt idx="0">
                  <c:v>0.37846915326144598</c:v>
                </c:pt>
                <c:pt idx="1">
                  <c:v>0.14742796535266042</c:v>
                </c:pt>
                <c:pt idx="2">
                  <c:v>5.4799363620293438E-2</c:v>
                </c:pt>
                <c:pt idx="3">
                  <c:v>0.32437687820399502</c:v>
                </c:pt>
                <c:pt idx="4">
                  <c:v>4.9496199398974721E-3</c:v>
                </c:pt>
                <c:pt idx="5">
                  <c:v>2.8283542513699842E-3</c:v>
                </c:pt>
                <c:pt idx="6">
                  <c:v>6.8410818455011485E-2</c:v>
                </c:pt>
                <c:pt idx="7">
                  <c:v>7.0708856284249604E-3</c:v>
                </c:pt>
                <c:pt idx="8">
                  <c:v>7.6012020505568326E-3</c:v>
                </c:pt>
                <c:pt idx="9">
                  <c:v>4.0657592363443525E-3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Kampala-Kalewre'!$AE$9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Kampala-Kalewre'!$AE$10:$AE$21</c:f>
              <c:numCache>
                <c:formatCode>0</c:formatCode>
                <c:ptCount val="12"/>
                <c:pt idx="0">
                  <c:v>582</c:v>
                </c:pt>
                <c:pt idx="1">
                  <c:v>428</c:v>
                </c:pt>
                <c:pt idx="2">
                  <c:v>473</c:v>
                </c:pt>
                <c:pt idx="3">
                  <c:v>377</c:v>
                </c:pt>
                <c:pt idx="4">
                  <c:v>409</c:v>
                </c:pt>
                <c:pt idx="5">
                  <c:v>451</c:v>
                </c:pt>
                <c:pt idx="6">
                  <c:v>438</c:v>
                </c:pt>
                <c:pt idx="7">
                  <c:v>461</c:v>
                </c:pt>
                <c:pt idx="8">
                  <c:v>438</c:v>
                </c:pt>
                <c:pt idx="9">
                  <c:v>531</c:v>
                </c:pt>
                <c:pt idx="10">
                  <c:v>648</c:v>
                </c:pt>
                <c:pt idx="11">
                  <c:v>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Kampala-Kalewre'!$AF$9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Kampala-Kalewre'!$AF$10:$AF$21</c:f>
              <c:numCache>
                <c:formatCode>0</c:formatCode>
                <c:ptCount val="12"/>
                <c:pt idx="0">
                  <c:v>1317</c:v>
                </c:pt>
                <c:pt idx="1">
                  <c:v>1428</c:v>
                </c:pt>
                <c:pt idx="2">
                  <c:v>1460</c:v>
                </c:pt>
                <c:pt idx="3">
                  <c:v>1177</c:v>
                </c:pt>
                <c:pt idx="4">
                  <c:v>1039</c:v>
                </c:pt>
                <c:pt idx="5">
                  <c:v>1141</c:v>
                </c:pt>
                <c:pt idx="6">
                  <c:v>1053</c:v>
                </c:pt>
                <c:pt idx="7">
                  <c:v>1116</c:v>
                </c:pt>
                <c:pt idx="8">
                  <c:v>1153</c:v>
                </c:pt>
                <c:pt idx="9">
                  <c:v>1261</c:v>
                </c:pt>
                <c:pt idx="10">
                  <c:v>1362</c:v>
                </c:pt>
                <c:pt idx="11">
                  <c:v>1574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09664"/>
        <c:axId val="133811584"/>
      </c:lineChart>
      <c:catAx>
        <c:axId val="133809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811584"/>
        <c:crosses val="autoZero"/>
        <c:auto val="1"/>
        <c:lblAlgn val="ctr"/>
        <c:lblOffset val="100"/>
        <c:noMultiLvlLbl val="0"/>
      </c:catAx>
      <c:valAx>
        <c:axId val="133811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80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Kampala-Kalewre'!$C$9:$N$9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Kampala-Kalewre'!$C$59:$N$59</c:f>
              <c:numCache>
                <c:formatCode>0.0%</c:formatCode>
                <c:ptCount val="12"/>
                <c:pt idx="0">
                  <c:v>0.11643790199588887</c:v>
                </c:pt>
                <c:pt idx="1">
                  <c:v>4.9267289967508787E-2</c:v>
                </c:pt>
                <c:pt idx="2">
                  <c:v>1.564882965320602E-2</c:v>
                </c:pt>
                <c:pt idx="3">
                  <c:v>0.1570187653338638</c:v>
                </c:pt>
                <c:pt idx="4">
                  <c:v>3.8458988130760561E-3</c:v>
                </c:pt>
                <c:pt idx="5">
                  <c:v>1.7903322060871295E-3</c:v>
                </c:pt>
                <c:pt idx="6">
                  <c:v>3.5077249519262652E-2</c:v>
                </c:pt>
                <c:pt idx="7">
                  <c:v>3.7795902128506067E-3</c:v>
                </c:pt>
                <c:pt idx="8">
                  <c:v>1.7240236058616804E-3</c:v>
                </c:pt>
                <c:pt idx="9">
                  <c:v>1.657715005636231E-3</c:v>
                </c:pt>
                <c:pt idx="10">
                  <c:v>0.61375240368675821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Kampala-Kalewre'!$S$9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Kampala-Kalewre'!$S$10:$S$21</c:f>
              <c:numCache>
                <c:formatCode>0</c:formatCode>
                <c:ptCount val="12"/>
                <c:pt idx="0">
                  <c:v>182</c:v>
                </c:pt>
                <c:pt idx="1">
                  <c:v>87</c:v>
                </c:pt>
                <c:pt idx="2">
                  <c:v>88</c:v>
                </c:pt>
                <c:pt idx="3">
                  <c:v>98</c:v>
                </c:pt>
                <c:pt idx="4">
                  <c:v>118</c:v>
                </c:pt>
                <c:pt idx="5">
                  <c:v>133</c:v>
                </c:pt>
                <c:pt idx="6">
                  <c:v>124</c:v>
                </c:pt>
                <c:pt idx="7">
                  <c:v>114</c:v>
                </c:pt>
                <c:pt idx="8">
                  <c:v>130</c:v>
                </c:pt>
                <c:pt idx="9">
                  <c:v>159</c:v>
                </c:pt>
                <c:pt idx="10">
                  <c:v>256</c:v>
                </c:pt>
                <c:pt idx="11">
                  <c:v>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Kampala-Kalewre'!$T$9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Kampala-Kalewre'!$R$10:$R$21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Kampala-Kalewre'!$T$10:$T$21</c:f>
              <c:numCache>
                <c:formatCode>0</c:formatCode>
                <c:ptCount val="12"/>
                <c:pt idx="0">
                  <c:v>83</c:v>
                </c:pt>
                <c:pt idx="1">
                  <c:v>34</c:v>
                </c:pt>
                <c:pt idx="2">
                  <c:v>38</c:v>
                </c:pt>
                <c:pt idx="3">
                  <c:v>36</c:v>
                </c:pt>
                <c:pt idx="4">
                  <c:v>14</c:v>
                </c:pt>
                <c:pt idx="5">
                  <c:v>77</c:v>
                </c:pt>
                <c:pt idx="6">
                  <c:v>70</c:v>
                </c:pt>
                <c:pt idx="7">
                  <c:v>53</c:v>
                </c:pt>
                <c:pt idx="8">
                  <c:v>64</c:v>
                </c:pt>
                <c:pt idx="9">
                  <c:v>124</c:v>
                </c:pt>
                <c:pt idx="10">
                  <c:v>76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Kampala-Kalewre'!$U$9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Kampala-Kalewre'!$U$10:$U$21</c:f>
              <c:numCache>
                <c:formatCode>0</c:formatCode>
                <c:ptCount val="12"/>
                <c:pt idx="0">
                  <c:v>18</c:v>
                </c:pt>
                <c:pt idx="1">
                  <c:v>11</c:v>
                </c:pt>
                <c:pt idx="2">
                  <c:v>22</c:v>
                </c:pt>
                <c:pt idx="3">
                  <c:v>4</c:v>
                </c:pt>
                <c:pt idx="4">
                  <c:v>59</c:v>
                </c:pt>
                <c:pt idx="5">
                  <c:v>19</c:v>
                </c:pt>
                <c:pt idx="6">
                  <c:v>7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9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Kampala-Kalewre'!$V$9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Kampala-Kalewre'!$V$10:$V$21</c:f>
              <c:numCache>
                <c:formatCode>0</c:formatCode>
                <c:ptCount val="12"/>
                <c:pt idx="0">
                  <c:v>233</c:v>
                </c:pt>
                <c:pt idx="1">
                  <c:v>246</c:v>
                </c:pt>
                <c:pt idx="2">
                  <c:v>287</c:v>
                </c:pt>
                <c:pt idx="3">
                  <c:v>181</c:v>
                </c:pt>
                <c:pt idx="4">
                  <c:v>172</c:v>
                </c:pt>
                <c:pt idx="5">
                  <c:v>169</c:v>
                </c:pt>
                <c:pt idx="6">
                  <c:v>172</c:v>
                </c:pt>
                <c:pt idx="7">
                  <c:v>212</c:v>
                </c:pt>
                <c:pt idx="8">
                  <c:v>170</c:v>
                </c:pt>
                <c:pt idx="9">
                  <c:v>159</c:v>
                </c:pt>
                <c:pt idx="10">
                  <c:v>217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Kampala-Kalewre'!$W$9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Kampala-Kalewre'!$W$10:$W$21</c:f>
              <c:numCache>
                <c:formatCode>0</c:formatCode>
                <c:ptCount val="12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17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Kampala-Kalewre'!$X$9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Kampala-Kalewre'!$X$10:$X$21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Kampala-Kalewre'!$Y$9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Kampala-Kalewre'!$Y$10:$Y$21</c:f>
              <c:numCache>
                <c:formatCode>0</c:formatCode>
                <c:ptCount val="12"/>
                <c:pt idx="0">
                  <c:v>57</c:v>
                </c:pt>
                <c:pt idx="1">
                  <c:v>37</c:v>
                </c:pt>
                <c:pt idx="2">
                  <c:v>26</c:v>
                </c:pt>
                <c:pt idx="3">
                  <c:v>41</c:v>
                </c:pt>
                <c:pt idx="4">
                  <c:v>42</c:v>
                </c:pt>
                <c:pt idx="5">
                  <c:v>25</c:v>
                </c:pt>
                <c:pt idx="6">
                  <c:v>54</c:v>
                </c:pt>
                <c:pt idx="7">
                  <c:v>47</c:v>
                </c:pt>
                <c:pt idx="8">
                  <c:v>38</c:v>
                </c:pt>
                <c:pt idx="9">
                  <c:v>56</c:v>
                </c:pt>
                <c:pt idx="10">
                  <c:v>63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Kampala-Kalewre'!$Z$9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10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12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Kampala-Kalewre'!$AA$9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Kampala-Kalewre'!$AB$9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Kampala-Kalewre'!$AC$9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Kampala-Kalewre'!$AC$10:$AC$21</c:f>
              <c:numCache>
                <c:formatCode>0</c:formatCode>
                <c:ptCount val="12"/>
                <c:pt idx="0">
                  <c:v>735</c:v>
                </c:pt>
                <c:pt idx="1">
                  <c:v>1000</c:v>
                </c:pt>
                <c:pt idx="2">
                  <c:v>987</c:v>
                </c:pt>
                <c:pt idx="3">
                  <c:v>800</c:v>
                </c:pt>
                <c:pt idx="4">
                  <c:v>630</c:v>
                </c:pt>
                <c:pt idx="5">
                  <c:v>690</c:v>
                </c:pt>
                <c:pt idx="6">
                  <c:v>615</c:v>
                </c:pt>
                <c:pt idx="7">
                  <c:v>655</c:v>
                </c:pt>
                <c:pt idx="8">
                  <c:v>715</c:v>
                </c:pt>
                <c:pt idx="9">
                  <c:v>730</c:v>
                </c:pt>
                <c:pt idx="10">
                  <c:v>714</c:v>
                </c:pt>
                <c:pt idx="11">
                  <c:v>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Kampala-Kalewre'!$AD$9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Kampala-Kalewre'!$AD$10:$AD$21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71040"/>
        <c:axId val="134472832"/>
      </c:lineChart>
      <c:catAx>
        <c:axId val="13447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72832"/>
        <c:crosses val="autoZero"/>
        <c:auto val="1"/>
        <c:lblAlgn val="ctr"/>
        <c:lblOffset val="100"/>
        <c:noMultiLvlLbl val="0"/>
      </c:catAx>
      <c:valAx>
        <c:axId val="1344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Kampala-Kalewre'!$C$9:$N$9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Kampala-Kalewre'!$C$60:$N$60</c:f>
              <c:numCache>
                <c:formatCode>0.00%</c:formatCode>
                <c:ptCount val="12"/>
                <c:pt idx="0">
                  <c:v>0.30145922746781117</c:v>
                </c:pt>
                <c:pt idx="1">
                  <c:v>0.12755364806866953</c:v>
                </c:pt>
                <c:pt idx="2">
                  <c:v>4.0515021459227467E-2</c:v>
                </c:pt>
                <c:pt idx="3">
                  <c:v>0.40652360515021457</c:v>
                </c:pt>
                <c:pt idx="4">
                  <c:v>9.9570815450643769E-3</c:v>
                </c:pt>
                <c:pt idx="5">
                  <c:v>4.6351931330472105E-3</c:v>
                </c:pt>
                <c:pt idx="6">
                  <c:v>9.0815450643776829E-2</c:v>
                </c:pt>
                <c:pt idx="7">
                  <c:v>9.7854077253218888E-3</c:v>
                </c:pt>
                <c:pt idx="8">
                  <c:v>4.4635193133047207E-3</c:v>
                </c:pt>
                <c:pt idx="9">
                  <c:v>4.2918454935622317E-3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Kalerwe-Kampala-24h'!$AE$9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Kalerwe-Kampala-24h'!$R$10:$R$33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Kalerwe-Kampala-24h'!$AE$10:$AE$33</c:f>
              <c:numCache>
                <c:formatCode>0</c:formatCode>
                <c:ptCount val="24"/>
                <c:pt idx="0">
                  <c:v>552</c:v>
                </c:pt>
                <c:pt idx="1">
                  <c:v>361</c:v>
                </c:pt>
                <c:pt idx="2">
                  <c:v>491</c:v>
                </c:pt>
                <c:pt idx="3">
                  <c:v>531</c:v>
                </c:pt>
                <c:pt idx="4">
                  <c:v>565</c:v>
                </c:pt>
                <c:pt idx="5">
                  <c:v>658</c:v>
                </c:pt>
                <c:pt idx="6">
                  <c:v>782</c:v>
                </c:pt>
                <c:pt idx="7">
                  <c:v>525</c:v>
                </c:pt>
                <c:pt idx="8">
                  <c:v>471</c:v>
                </c:pt>
                <c:pt idx="9">
                  <c:v>442</c:v>
                </c:pt>
                <c:pt idx="10">
                  <c:v>501</c:v>
                </c:pt>
                <c:pt idx="11">
                  <c:v>473</c:v>
                </c:pt>
                <c:pt idx="12">
                  <c:v>464</c:v>
                </c:pt>
                <c:pt idx="13">
                  <c:v>775</c:v>
                </c:pt>
                <c:pt idx="14">
                  <c:v>250</c:v>
                </c:pt>
                <c:pt idx="15">
                  <c:v>400</c:v>
                </c:pt>
                <c:pt idx="16">
                  <c:v>218</c:v>
                </c:pt>
                <c:pt idx="17">
                  <c:v>110</c:v>
                </c:pt>
                <c:pt idx="18">
                  <c:v>47</c:v>
                </c:pt>
                <c:pt idx="19">
                  <c:v>39</c:v>
                </c:pt>
                <c:pt idx="20">
                  <c:v>53</c:v>
                </c:pt>
                <c:pt idx="21">
                  <c:v>96</c:v>
                </c:pt>
                <c:pt idx="22">
                  <c:v>186</c:v>
                </c:pt>
                <c:pt idx="23">
                  <c:v>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Kalerwe-Kampala-24h'!$AF$9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Kalerwe-Kampala-24h'!$R$10:$R$33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Kalerwe-Kampala-24h'!$AF$10:$AF$33</c:f>
              <c:numCache>
                <c:formatCode>0</c:formatCode>
                <c:ptCount val="24"/>
                <c:pt idx="0">
                  <c:v>1862</c:v>
                </c:pt>
                <c:pt idx="1">
                  <c:v>1791</c:v>
                </c:pt>
                <c:pt idx="2">
                  <c:v>1608</c:v>
                </c:pt>
                <c:pt idx="3">
                  <c:v>1146</c:v>
                </c:pt>
                <c:pt idx="4">
                  <c:v>1394</c:v>
                </c:pt>
                <c:pt idx="5">
                  <c:v>1438</c:v>
                </c:pt>
                <c:pt idx="6">
                  <c:v>1677</c:v>
                </c:pt>
                <c:pt idx="7">
                  <c:v>1525</c:v>
                </c:pt>
                <c:pt idx="8">
                  <c:v>1511</c:v>
                </c:pt>
                <c:pt idx="9">
                  <c:v>1492</c:v>
                </c:pt>
                <c:pt idx="10">
                  <c:v>1681</c:v>
                </c:pt>
                <c:pt idx="11">
                  <c:v>1548</c:v>
                </c:pt>
                <c:pt idx="12">
                  <c:v>1189</c:v>
                </c:pt>
                <c:pt idx="13">
                  <c:v>1095</c:v>
                </c:pt>
                <c:pt idx="14">
                  <c:v>608</c:v>
                </c:pt>
                <c:pt idx="15">
                  <c:v>710</c:v>
                </c:pt>
                <c:pt idx="16">
                  <c:v>368</c:v>
                </c:pt>
                <c:pt idx="17">
                  <c:v>222</c:v>
                </c:pt>
                <c:pt idx="18">
                  <c:v>179</c:v>
                </c:pt>
                <c:pt idx="19">
                  <c:v>126</c:v>
                </c:pt>
                <c:pt idx="20">
                  <c:v>122</c:v>
                </c:pt>
                <c:pt idx="21">
                  <c:v>157</c:v>
                </c:pt>
                <c:pt idx="22">
                  <c:v>323</c:v>
                </c:pt>
                <c:pt idx="23">
                  <c:v>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57152"/>
        <c:axId val="134659072"/>
      </c:lineChart>
      <c:catAx>
        <c:axId val="13465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659072"/>
        <c:crosses val="autoZero"/>
        <c:auto val="1"/>
        <c:lblAlgn val="ctr"/>
        <c:lblOffset val="100"/>
        <c:noMultiLvlLbl val="0"/>
      </c:catAx>
      <c:valAx>
        <c:axId val="134659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6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Kalerwe-Kampala-24h'!$C$9:$N$9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Kalerwe-Kampala-24h'!$C$107:$N$107</c:f>
              <c:numCache>
                <c:formatCode>0.0%</c:formatCode>
                <c:ptCount val="12"/>
                <c:pt idx="0">
                  <c:v>0.1683176389058742</c:v>
                </c:pt>
                <c:pt idx="1">
                  <c:v>3.4568505156740453E-2</c:v>
                </c:pt>
                <c:pt idx="2">
                  <c:v>2.0586197056785292E-2</c:v>
                </c:pt>
                <c:pt idx="3">
                  <c:v>0.11560882149117443</c:v>
                </c:pt>
                <c:pt idx="4">
                  <c:v>4.6471811177693527E-3</c:v>
                </c:pt>
                <c:pt idx="5">
                  <c:v>1.9974725857078799E-3</c:v>
                </c:pt>
                <c:pt idx="6">
                  <c:v>2.6048673107496638E-2</c:v>
                </c:pt>
                <c:pt idx="7">
                  <c:v>6.0739472504178389E-3</c:v>
                </c:pt>
                <c:pt idx="8">
                  <c:v>2.7312380253556724E-3</c:v>
                </c:pt>
                <c:pt idx="9">
                  <c:v>1.1414129061187886E-3</c:v>
                </c:pt>
                <c:pt idx="10">
                  <c:v>0.61823814764991236</c:v>
                </c:pt>
                <c:pt idx="11">
                  <c:v>4.0764746647099587E-5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Kalerwe-Kampala-24h'!$C$9:$N$9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Kalerwe-Kampala-24h'!$C$108:$N$108</c:f>
              <c:numCache>
                <c:formatCode>0.00%</c:formatCode>
                <c:ptCount val="12"/>
                <c:pt idx="0">
                  <c:v>0.44089695675387081</c:v>
                </c:pt>
                <c:pt idx="1">
                  <c:v>9.0549919914575547E-2</c:v>
                </c:pt>
                <c:pt idx="2">
                  <c:v>5.3924185798184733E-2</c:v>
                </c:pt>
                <c:pt idx="3">
                  <c:v>0.30282968499733048</c:v>
                </c:pt>
                <c:pt idx="4">
                  <c:v>1.2172984516817939E-2</c:v>
                </c:pt>
                <c:pt idx="5">
                  <c:v>5.232247730912974E-3</c:v>
                </c:pt>
                <c:pt idx="6">
                  <c:v>6.8232781633742662E-2</c:v>
                </c:pt>
                <c:pt idx="7">
                  <c:v>1.591030432461292E-2</c:v>
                </c:pt>
                <c:pt idx="8">
                  <c:v>7.1542979177789644E-3</c:v>
                </c:pt>
                <c:pt idx="9">
                  <c:v>2.989855846235985E-3</c:v>
                </c:pt>
                <c:pt idx="11">
                  <c:v>1.0678056593699947E-4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Kampala-Kalerwe-24h'!$AE$9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Kampala-Kalerwe-24h'!$R$10:$R$33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Kampala-Kalerwe-24h'!$AE$10:$AE$33</c:f>
              <c:numCache>
                <c:formatCode>0</c:formatCode>
                <c:ptCount val="24"/>
                <c:pt idx="0">
                  <c:v>388</c:v>
                </c:pt>
                <c:pt idx="1">
                  <c:v>425</c:v>
                </c:pt>
                <c:pt idx="2">
                  <c:v>475</c:v>
                </c:pt>
                <c:pt idx="3">
                  <c:v>370</c:v>
                </c:pt>
                <c:pt idx="4">
                  <c:v>355</c:v>
                </c:pt>
                <c:pt idx="5">
                  <c:v>375</c:v>
                </c:pt>
                <c:pt idx="6">
                  <c:v>397</c:v>
                </c:pt>
                <c:pt idx="7">
                  <c:v>501</c:v>
                </c:pt>
                <c:pt idx="8">
                  <c:v>522</c:v>
                </c:pt>
                <c:pt idx="9">
                  <c:v>522</c:v>
                </c:pt>
                <c:pt idx="10">
                  <c:v>531</c:v>
                </c:pt>
                <c:pt idx="11">
                  <c:v>426</c:v>
                </c:pt>
                <c:pt idx="12">
                  <c:v>519</c:v>
                </c:pt>
                <c:pt idx="13">
                  <c:v>639</c:v>
                </c:pt>
                <c:pt idx="14">
                  <c:v>301</c:v>
                </c:pt>
                <c:pt idx="15">
                  <c:v>281</c:v>
                </c:pt>
                <c:pt idx="16">
                  <c:v>192</c:v>
                </c:pt>
                <c:pt idx="17">
                  <c:v>158</c:v>
                </c:pt>
                <c:pt idx="18">
                  <c:v>91</c:v>
                </c:pt>
                <c:pt idx="19">
                  <c:v>54</c:v>
                </c:pt>
                <c:pt idx="20">
                  <c:v>64</c:v>
                </c:pt>
                <c:pt idx="21">
                  <c:v>70</c:v>
                </c:pt>
                <c:pt idx="22">
                  <c:v>151</c:v>
                </c:pt>
                <c:pt idx="23">
                  <c:v>346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Kampala-Kalerwe-24h'!$AF$9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Kampala-Kalerwe-24h'!$R$10:$R$33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Kampala-Kalerwe-24h'!$AF$10:$AF$33</c:f>
              <c:numCache>
                <c:formatCode>0</c:formatCode>
                <c:ptCount val="24"/>
                <c:pt idx="0">
                  <c:v>1308</c:v>
                </c:pt>
                <c:pt idx="1">
                  <c:v>1525</c:v>
                </c:pt>
                <c:pt idx="2">
                  <c:v>1770</c:v>
                </c:pt>
                <c:pt idx="3">
                  <c:v>1464</c:v>
                </c:pt>
                <c:pt idx="4">
                  <c:v>1265</c:v>
                </c:pt>
                <c:pt idx="5">
                  <c:v>1210</c:v>
                </c:pt>
                <c:pt idx="6">
                  <c:v>1187</c:v>
                </c:pt>
                <c:pt idx="7">
                  <c:v>1351</c:v>
                </c:pt>
                <c:pt idx="8">
                  <c:v>1370</c:v>
                </c:pt>
                <c:pt idx="9">
                  <c:v>1262</c:v>
                </c:pt>
                <c:pt idx="10">
                  <c:v>1286</c:v>
                </c:pt>
                <c:pt idx="11">
                  <c:v>1181</c:v>
                </c:pt>
                <c:pt idx="12">
                  <c:v>1154</c:v>
                </c:pt>
                <c:pt idx="13">
                  <c:v>1212</c:v>
                </c:pt>
                <c:pt idx="14">
                  <c:v>816</c:v>
                </c:pt>
                <c:pt idx="15">
                  <c:v>613</c:v>
                </c:pt>
                <c:pt idx="16">
                  <c:v>472</c:v>
                </c:pt>
                <c:pt idx="17">
                  <c:v>372</c:v>
                </c:pt>
                <c:pt idx="18">
                  <c:v>265</c:v>
                </c:pt>
                <c:pt idx="19">
                  <c:v>180</c:v>
                </c:pt>
                <c:pt idx="20">
                  <c:v>132</c:v>
                </c:pt>
                <c:pt idx="21">
                  <c:v>162</c:v>
                </c:pt>
                <c:pt idx="22">
                  <c:v>359</c:v>
                </c:pt>
                <c:pt idx="23">
                  <c:v>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65440"/>
        <c:axId val="136767360"/>
      </c:lineChart>
      <c:catAx>
        <c:axId val="136765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767360"/>
        <c:crosses val="autoZero"/>
        <c:auto val="1"/>
        <c:lblAlgn val="ctr"/>
        <c:lblOffset val="100"/>
        <c:noMultiLvlLbl val="0"/>
      </c:catAx>
      <c:valAx>
        <c:axId val="136767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7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Kampala-Kalerwe-24h'!$C$9:$N$9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Kampala-Kalerwe-24h'!$C$107:$N$107</c:f>
              <c:numCache>
                <c:formatCode>0.0%</c:formatCode>
                <c:ptCount val="12"/>
                <c:pt idx="0">
                  <c:v>0.12790341629849963</c:v>
                </c:pt>
                <c:pt idx="1">
                  <c:v>3.7181225668168498E-2</c:v>
                </c:pt>
                <c:pt idx="2">
                  <c:v>1.2772844582476708E-2</c:v>
                </c:pt>
                <c:pt idx="3">
                  <c:v>0.12987183412799091</c:v>
                </c:pt>
                <c:pt idx="4">
                  <c:v>4.8991732645116137E-3</c:v>
                </c:pt>
                <c:pt idx="5">
                  <c:v>3.2806963824854557E-3</c:v>
                </c:pt>
                <c:pt idx="6">
                  <c:v>3.0401119811031888E-2</c:v>
                </c:pt>
                <c:pt idx="7">
                  <c:v>6.7363632387034689E-3</c:v>
                </c:pt>
                <c:pt idx="8">
                  <c:v>2.2746161585232494E-3</c:v>
                </c:pt>
                <c:pt idx="9">
                  <c:v>1.3122785529941822E-3</c:v>
                </c:pt>
                <c:pt idx="10">
                  <c:v>0.6433664319146144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Kampala-Kalerwe-24h'!$C$9:$N$9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Kampala-Kalerwe-24h'!$C$108:$N$108</c:f>
              <c:numCache>
                <c:formatCode>0.00%</c:formatCode>
                <c:ptCount val="12"/>
                <c:pt idx="0">
                  <c:v>0.35864099104624064</c:v>
                </c:pt>
                <c:pt idx="1">
                  <c:v>0.10425610204832576</c:v>
                </c:pt>
                <c:pt idx="2">
                  <c:v>3.5815037409542498E-2</c:v>
                </c:pt>
                <c:pt idx="3">
                  <c:v>0.36416043174291673</c:v>
                </c:pt>
                <c:pt idx="4">
                  <c:v>1.3737274622838219E-2</c:v>
                </c:pt>
                <c:pt idx="5">
                  <c:v>9.1990678277934501E-3</c:v>
                </c:pt>
                <c:pt idx="6">
                  <c:v>8.5244695204219303E-2</c:v>
                </c:pt>
                <c:pt idx="7">
                  <c:v>1.8888752606402551E-2</c:v>
                </c:pt>
                <c:pt idx="8">
                  <c:v>6.3780203606034584E-3</c:v>
                </c:pt>
                <c:pt idx="9">
                  <c:v>3.67962713111738E-3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Kalerwe-Kampala-24h'!$AE$9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Kalerwe-Kampala-24h'!$R$10:$R$33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Kalerwe-Kampala-24h'!$AE$10:$AE$33</c:f>
              <c:numCache>
                <c:formatCode>0</c:formatCode>
                <c:ptCount val="24"/>
                <c:pt idx="0">
                  <c:v>519</c:v>
                </c:pt>
                <c:pt idx="1">
                  <c:v>713</c:v>
                </c:pt>
                <c:pt idx="2">
                  <c:v>847</c:v>
                </c:pt>
                <c:pt idx="3">
                  <c:v>392</c:v>
                </c:pt>
                <c:pt idx="4">
                  <c:v>726</c:v>
                </c:pt>
                <c:pt idx="5">
                  <c:v>450</c:v>
                </c:pt>
                <c:pt idx="6">
                  <c:v>415</c:v>
                </c:pt>
                <c:pt idx="7">
                  <c:v>652</c:v>
                </c:pt>
                <c:pt idx="8">
                  <c:v>1021</c:v>
                </c:pt>
                <c:pt idx="9">
                  <c:v>578</c:v>
                </c:pt>
                <c:pt idx="10">
                  <c:v>516</c:v>
                </c:pt>
                <c:pt idx="11">
                  <c:v>555</c:v>
                </c:pt>
                <c:pt idx="12">
                  <c:v>529</c:v>
                </c:pt>
                <c:pt idx="13">
                  <c:v>439</c:v>
                </c:pt>
                <c:pt idx="14">
                  <c:v>429</c:v>
                </c:pt>
                <c:pt idx="15">
                  <c:v>406</c:v>
                </c:pt>
                <c:pt idx="16">
                  <c:v>242</c:v>
                </c:pt>
                <c:pt idx="17">
                  <c:v>326</c:v>
                </c:pt>
                <c:pt idx="18">
                  <c:v>356</c:v>
                </c:pt>
                <c:pt idx="19">
                  <c:v>315</c:v>
                </c:pt>
                <c:pt idx="20">
                  <c:v>291</c:v>
                </c:pt>
                <c:pt idx="21">
                  <c:v>62</c:v>
                </c:pt>
                <c:pt idx="22">
                  <c:v>405</c:v>
                </c:pt>
                <c:pt idx="23">
                  <c:v>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Kalerwe-Kampala-24h'!$AF$9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Kalerwe-Kampala-24h'!$R$10:$R$33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Kalerwe-Kampala-24h'!$AF$10:$AF$33</c:f>
              <c:numCache>
                <c:formatCode>0</c:formatCode>
                <c:ptCount val="24"/>
                <c:pt idx="0">
                  <c:v>1169</c:v>
                </c:pt>
                <c:pt idx="1">
                  <c:v>1388</c:v>
                </c:pt>
                <c:pt idx="2">
                  <c:v>1436</c:v>
                </c:pt>
                <c:pt idx="3">
                  <c:v>878</c:v>
                </c:pt>
                <c:pt idx="4">
                  <c:v>1273</c:v>
                </c:pt>
                <c:pt idx="5">
                  <c:v>835</c:v>
                </c:pt>
                <c:pt idx="6">
                  <c:v>790</c:v>
                </c:pt>
                <c:pt idx="7">
                  <c:v>1307</c:v>
                </c:pt>
                <c:pt idx="8">
                  <c:v>1796</c:v>
                </c:pt>
                <c:pt idx="9">
                  <c:v>1173</c:v>
                </c:pt>
                <c:pt idx="10">
                  <c:v>1086</c:v>
                </c:pt>
                <c:pt idx="11">
                  <c:v>1145</c:v>
                </c:pt>
                <c:pt idx="12">
                  <c:v>999</c:v>
                </c:pt>
                <c:pt idx="13">
                  <c:v>679</c:v>
                </c:pt>
                <c:pt idx="14">
                  <c:v>864</c:v>
                </c:pt>
                <c:pt idx="15">
                  <c:v>586</c:v>
                </c:pt>
                <c:pt idx="16">
                  <c:v>387</c:v>
                </c:pt>
                <c:pt idx="17">
                  <c:v>435</c:v>
                </c:pt>
                <c:pt idx="18">
                  <c:v>451</c:v>
                </c:pt>
                <c:pt idx="19">
                  <c:v>476</c:v>
                </c:pt>
                <c:pt idx="20">
                  <c:v>422</c:v>
                </c:pt>
                <c:pt idx="21">
                  <c:v>119</c:v>
                </c:pt>
                <c:pt idx="22">
                  <c:v>506</c:v>
                </c:pt>
                <c:pt idx="23">
                  <c:v>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27488"/>
        <c:axId val="136929664"/>
      </c:lineChart>
      <c:catAx>
        <c:axId val="136927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929664"/>
        <c:crosses val="autoZero"/>
        <c:auto val="1"/>
        <c:lblAlgn val="ctr"/>
        <c:lblOffset val="100"/>
        <c:noMultiLvlLbl val="0"/>
      </c:catAx>
      <c:valAx>
        <c:axId val="136929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92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Kalerwe-Kampala-24h'!$C$9:$N$9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Kalerwe-Kampala-24h'!$C$107:$N$107</c:f>
              <c:numCache>
                <c:formatCode>0.0%</c:formatCode>
                <c:ptCount val="12"/>
                <c:pt idx="0">
                  <c:v>0.21415912247928343</c:v>
                </c:pt>
                <c:pt idx="1">
                  <c:v>4.3588638214302824E-2</c:v>
                </c:pt>
                <c:pt idx="2">
                  <c:v>3.3290223691143365E-2</c:v>
                </c:pt>
                <c:pt idx="3">
                  <c:v>0.16578052402165061</c:v>
                </c:pt>
                <c:pt idx="4">
                  <c:v>1.4082483115390142E-2</c:v>
                </c:pt>
                <c:pt idx="5">
                  <c:v>1.1639603391291851E-2</c:v>
                </c:pt>
                <c:pt idx="6">
                  <c:v>3.9612971212338935E-2</c:v>
                </c:pt>
                <c:pt idx="7">
                  <c:v>2.3375005987450303E-2</c:v>
                </c:pt>
                <c:pt idx="8">
                  <c:v>9.053024859893663E-3</c:v>
                </c:pt>
                <c:pt idx="9">
                  <c:v>3.5445705800641854E-3</c:v>
                </c:pt>
                <c:pt idx="10">
                  <c:v>0.4418738324471907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Kalerwe-Kampala-24h'!$C$9:$N$9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Kalerwe-Kampala-24h'!$C$108:$N$108</c:f>
              <c:numCache>
                <c:formatCode>0.00%</c:formatCode>
                <c:ptCount val="12"/>
                <c:pt idx="0">
                  <c:v>0.38371095090971508</c:v>
                </c:pt>
                <c:pt idx="1">
                  <c:v>7.8098180569859246E-2</c:v>
                </c:pt>
                <c:pt idx="2">
                  <c:v>5.9646412633024372E-2</c:v>
                </c:pt>
                <c:pt idx="3">
                  <c:v>0.29703055269481632</c:v>
                </c:pt>
                <c:pt idx="4">
                  <c:v>2.5231719876416064E-2</c:v>
                </c:pt>
                <c:pt idx="5">
                  <c:v>2.0854788877445931E-2</c:v>
                </c:pt>
                <c:pt idx="6">
                  <c:v>7.0974939924476482E-2</c:v>
                </c:pt>
                <c:pt idx="7">
                  <c:v>4.1881222107792652E-2</c:v>
                </c:pt>
                <c:pt idx="8">
                  <c:v>1.6220391349124615E-2</c:v>
                </c:pt>
                <c:pt idx="9">
                  <c:v>6.3508410573292137E-3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Kampala-Kalerwe-24h'!$AE$9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Kampala-Kalerwe-24h'!$R$10:$R$33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Kampala-Kalerwe-24h'!$AE$10:$AE$33</c:f>
              <c:numCache>
                <c:formatCode>0</c:formatCode>
                <c:ptCount val="24"/>
                <c:pt idx="0">
                  <c:v>462</c:v>
                </c:pt>
                <c:pt idx="1">
                  <c:v>381</c:v>
                </c:pt>
                <c:pt idx="2">
                  <c:v>695</c:v>
                </c:pt>
                <c:pt idx="3">
                  <c:v>556</c:v>
                </c:pt>
                <c:pt idx="4">
                  <c:v>349</c:v>
                </c:pt>
                <c:pt idx="5">
                  <c:v>295</c:v>
                </c:pt>
                <c:pt idx="6">
                  <c:v>337</c:v>
                </c:pt>
                <c:pt idx="7">
                  <c:v>403</c:v>
                </c:pt>
                <c:pt idx="8">
                  <c:v>484</c:v>
                </c:pt>
                <c:pt idx="9">
                  <c:v>413</c:v>
                </c:pt>
                <c:pt idx="10">
                  <c:v>443</c:v>
                </c:pt>
                <c:pt idx="11">
                  <c:v>397</c:v>
                </c:pt>
                <c:pt idx="12">
                  <c:v>485</c:v>
                </c:pt>
                <c:pt idx="13">
                  <c:v>571</c:v>
                </c:pt>
                <c:pt idx="14">
                  <c:v>356</c:v>
                </c:pt>
                <c:pt idx="15">
                  <c:v>466</c:v>
                </c:pt>
                <c:pt idx="16">
                  <c:v>304</c:v>
                </c:pt>
                <c:pt idx="17">
                  <c:v>147</c:v>
                </c:pt>
                <c:pt idx="18">
                  <c:v>192</c:v>
                </c:pt>
                <c:pt idx="19">
                  <c:v>143</c:v>
                </c:pt>
                <c:pt idx="20">
                  <c:v>50</c:v>
                </c:pt>
                <c:pt idx="21">
                  <c:v>72</c:v>
                </c:pt>
                <c:pt idx="22">
                  <c:v>537</c:v>
                </c:pt>
                <c:pt idx="23">
                  <c:v>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Kampala-Kalerwe-24h'!$AF$9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Kampala-Kalerwe-24h'!$R$10:$R$33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Kampala-Kalerwe-24h'!$AF$10:$AF$33</c:f>
              <c:numCache>
                <c:formatCode>0</c:formatCode>
                <c:ptCount val="24"/>
                <c:pt idx="0">
                  <c:v>752</c:v>
                </c:pt>
                <c:pt idx="1">
                  <c:v>956</c:v>
                </c:pt>
                <c:pt idx="2">
                  <c:v>1275</c:v>
                </c:pt>
                <c:pt idx="3">
                  <c:v>1024</c:v>
                </c:pt>
                <c:pt idx="4">
                  <c:v>864</c:v>
                </c:pt>
                <c:pt idx="5">
                  <c:v>833</c:v>
                </c:pt>
                <c:pt idx="6">
                  <c:v>907</c:v>
                </c:pt>
                <c:pt idx="7">
                  <c:v>1181</c:v>
                </c:pt>
                <c:pt idx="8">
                  <c:v>1124</c:v>
                </c:pt>
                <c:pt idx="9">
                  <c:v>1048</c:v>
                </c:pt>
                <c:pt idx="10">
                  <c:v>1093</c:v>
                </c:pt>
                <c:pt idx="11">
                  <c:v>957</c:v>
                </c:pt>
                <c:pt idx="12">
                  <c:v>1108</c:v>
                </c:pt>
                <c:pt idx="13">
                  <c:v>1231</c:v>
                </c:pt>
                <c:pt idx="14">
                  <c:v>1120</c:v>
                </c:pt>
                <c:pt idx="15">
                  <c:v>1001</c:v>
                </c:pt>
                <c:pt idx="16">
                  <c:v>589</c:v>
                </c:pt>
                <c:pt idx="17">
                  <c:v>442</c:v>
                </c:pt>
                <c:pt idx="18">
                  <c:v>377</c:v>
                </c:pt>
                <c:pt idx="19">
                  <c:v>313</c:v>
                </c:pt>
                <c:pt idx="20">
                  <c:v>166</c:v>
                </c:pt>
                <c:pt idx="21">
                  <c:v>140</c:v>
                </c:pt>
                <c:pt idx="22">
                  <c:v>763</c:v>
                </c:pt>
                <c:pt idx="23">
                  <c:v>905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79296"/>
        <c:axId val="137481216"/>
      </c:lineChart>
      <c:catAx>
        <c:axId val="137479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481216"/>
        <c:crosses val="autoZero"/>
        <c:auto val="1"/>
        <c:lblAlgn val="ctr"/>
        <c:lblOffset val="100"/>
        <c:noMultiLvlLbl val="0"/>
      </c:catAx>
      <c:valAx>
        <c:axId val="137481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47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Kampala-Kalerwe-24h'!$C$9:$N$9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Kampala-Kalerwe-24h'!$C$107:$N$107</c:f>
              <c:numCache>
                <c:formatCode>0.0%</c:formatCode>
                <c:ptCount val="12"/>
                <c:pt idx="0">
                  <c:v>0.16788140215181716</c:v>
                </c:pt>
                <c:pt idx="1">
                  <c:v>5.9794734493529678E-2</c:v>
                </c:pt>
                <c:pt idx="2">
                  <c:v>1.9237443601566762E-2</c:v>
                </c:pt>
                <c:pt idx="3">
                  <c:v>0.14616490653973921</c:v>
                </c:pt>
                <c:pt idx="4">
                  <c:v>8.5775199563686844E-3</c:v>
                </c:pt>
                <c:pt idx="5">
                  <c:v>4.1648073776587831E-3</c:v>
                </c:pt>
                <c:pt idx="6">
                  <c:v>2.49888442659527E-2</c:v>
                </c:pt>
                <c:pt idx="7">
                  <c:v>1.0957409886459418E-2</c:v>
                </c:pt>
                <c:pt idx="8">
                  <c:v>6.7430214685904113E-3</c:v>
                </c:pt>
                <c:pt idx="9">
                  <c:v>4.5118746591303483E-3</c:v>
                </c:pt>
                <c:pt idx="10">
                  <c:v>0.55724131092270313</c:v>
                </c:pt>
                <c:pt idx="11">
                  <c:v>4.9581040210223612E-4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Kampala-Kalerwe-24h'!$C$9:$N$9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Kampala-Kalerwe-24h'!$C$108:$N$108</c:f>
              <c:numCache>
                <c:formatCode>0.00%</c:formatCode>
                <c:ptCount val="12"/>
                <c:pt idx="0">
                  <c:v>0.37414364640883979</c:v>
                </c:pt>
                <c:pt idx="1">
                  <c:v>0.1332596685082873</c:v>
                </c:pt>
                <c:pt idx="2">
                  <c:v>4.2872928176795583E-2</c:v>
                </c:pt>
                <c:pt idx="3">
                  <c:v>0.32574585635359116</c:v>
                </c:pt>
                <c:pt idx="4">
                  <c:v>1.9116022099447513E-2</c:v>
                </c:pt>
                <c:pt idx="5">
                  <c:v>9.2817679558011047E-3</c:v>
                </c:pt>
                <c:pt idx="6">
                  <c:v>5.5690607734806628E-2</c:v>
                </c:pt>
                <c:pt idx="7">
                  <c:v>2.4419889502762433E-2</c:v>
                </c:pt>
                <c:pt idx="8">
                  <c:v>1.5027624309392265E-2</c:v>
                </c:pt>
                <c:pt idx="9">
                  <c:v>1.005524861878453E-2</c:v>
                </c:pt>
                <c:pt idx="11">
                  <c:v>1.1049723756906078E-3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Kalerwe-Kampala'!$AE$9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Kalerwe-Kampala'!$AE$10:$AE$21</c:f>
              <c:numCache>
                <c:formatCode>0</c:formatCode>
                <c:ptCount val="12"/>
                <c:pt idx="0">
                  <c:v>374</c:v>
                </c:pt>
                <c:pt idx="1">
                  <c:v>483</c:v>
                </c:pt>
                <c:pt idx="2">
                  <c:v>726</c:v>
                </c:pt>
                <c:pt idx="3">
                  <c:v>664</c:v>
                </c:pt>
                <c:pt idx="4">
                  <c:v>777</c:v>
                </c:pt>
                <c:pt idx="5">
                  <c:v>540</c:v>
                </c:pt>
                <c:pt idx="6">
                  <c:v>623</c:v>
                </c:pt>
                <c:pt idx="7">
                  <c:v>758</c:v>
                </c:pt>
                <c:pt idx="8">
                  <c:v>458</c:v>
                </c:pt>
                <c:pt idx="9">
                  <c:v>691</c:v>
                </c:pt>
                <c:pt idx="10">
                  <c:v>456</c:v>
                </c:pt>
                <c:pt idx="11">
                  <c:v>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Kalerwe-Kampala'!$AF$9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Kalerwe-Kampala'!$AF$10:$AF$21</c:f>
              <c:numCache>
                <c:formatCode>0</c:formatCode>
                <c:ptCount val="12"/>
                <c:pt idx="0">
                  <c:v>1089</c:v>
                </c:pt>
                <c:pt idx="1">
                  <c:v>1298</c:v>
                </c:pt>
                <c:pt idx="2">
                  <c:v>1501</c:v>
                </c:pt>
                <c:pt idx="3">
                  <c:v>1279</c:v>
                </c:pt>
                <c:pt idx="4">
                  <c:v>1427</c:v>
                </c:pt>
                <c:pt idx="5">
                  <c:v>1075</c:v>
                </c:pt>
                <c:pt idx="6">
                  <c:v>1233</c:v>
                </c:pt>
                <c:pt idx="7">
                  <c:v>1483</c:v>
                </c:pt>
                <c:pt idx="8">
                  <c:v>1023</c:v>
                </c:pt>
                <c:pt idx="9">
                  <c:v>1286</c:v>
                </c:pt>
                <c:pt idx="10">
                  <c:v>1166</c:v>
                </c:pt>
                <c:pt idx="11">
                  <c:v>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85856"/>
        <c:axId val="139388032"/>
      </c:lineChart>
      <c:catAx>
        <c:axId val="139385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388032"/>
        <c:crosses val="autoZero"/>
        <c:auto val="1"/>
        <c:lblAlgn val="ctr"/>
        <c:lblOffset val="100"/>
        <c:noMultiLvlLbl val="0"/>
      </c:catAx>
      <c:valAx>
        <c:axId val="13938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38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Kalerwe-Kampala'!$C$59:$N$59</c:f>
              <c:numCache>
                <c:formatCode>0.0%</c:formatCode>
                <c:ptCount val="12"/>
                <c:pt idx="0">
                  <c:v>0.18818365968939904</c:v>
                </c:pt>
                <c:pt idx="1">
                  <c:v>5.2126941255908173E-2</c:v>
                </c:pt>
                <c:pt idx="2">
                  <c:v>1.438217420661715E-2</c:v>
                </c:pt>
                <c:pt idx="3">
                  <c:v>0.17717758271438216</c:v>
                </c:pt>
                <c:pt idx="4">
                  <c:v>4.4564483457123563E-3</c:v>
                </c:pt>
                <c:pt idx="5">
                  <c:v>1.6205266711681297E-3</c:v>
                </c:pt>
                <c:pt idx="6">
                  <c:v>2.5995948683322081E-2</c:v>
                </c:pt>
                <c:pt idx="7">
                  <c:v>4.3214044564483453E-3</c:v>
                </c:pt>
                <c:pt idx="8">
                  <c:v>1.3504388926401079E-4</c:v>
                </c:pt>
                <c:pt idx="9">
                  <c:v>2.0256583389601621E-4</c:v>
                </c:pt>
                <c:pt idx="10">
                  <c:v>0.53139770425388255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Kalerwe-Kampala'!$S$9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Kalerwe-Kampala'!$S$10:$S$21</c:f>
              <c:numCache>
                <c:formatCode>0</c:formatCode>
                <c:ptCount val="12"/>
                <c:pt idx="0">
                  <c:v>113</c:v>
                </c:pt>
                <c:pt idx="1">
                  <c:v>158</c:v>
                </c:pt>
                <c:pt idx="2">
                  <c:v>262</c:v>
                </c:pt>
                <c:pt idx="3">
                  <c:v>264</c:v>
                </c:pt>
                <c:pt idx="4">
                  <c:v>337</c:v>
                </c:pt>
                <c:pt idx="5">
                  <c:v>203</c:v>
                </c:pt>
                <c:pt idx="6">
                  <c:v>285</c:v>
                </c:pt>
                <c:pt idx="7">
                  <c:v>340</c:v>
                </c:pt>
                <c:pt idx="8">
                  <c:v>191</c:v>
                </c:pt>
                <c:pt idx="9">
                  <c:v>295</c:v>
                </c:pt>
                <c:pt idx="10">
                  <c:v>210</c:v>
                </c:pt>
                <c:pt idx="11">
                  <c:v>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Kalerwe-Kampala'!$T$9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Kalerwe-Kampala'!$R$10:$R$21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Kalerwe-Kampala'!$T$10:$T$21</c:f>
              <c:numCache>
                <c:formatCode>0</c:formatCode>
                <c:ptCount val="12"/>
                <c:pt idx="0">
                  <c:v>29</c:v>
                </c:pt>
                <c:pt idx="1">
                  <c:v>37</c:v>
                </c:pt>
                <c:pt idx="2">
                  <c:v>50</c:v>
                </c:pt>
                <c:pt idx="3">
                  <c:v>81</c:v>
                </c:pt>
                <c:pt idx="4">
                  <c:v>123</c:v>
                </c:pt>
                <c:pt idx="5">
                  <c:v>77</c:v>
                </c:pt>
                <c:pt idx="6">
                  <c:v>31</c:v>
                </c:pt>
                <c:pt idx="7">
                  <c:v>69</c:v>
                </c:pt>
                <c:pt idx="8">
                  <c:v>72</c:v>
                </c:pt>
                <c:pt idx="9">
                  <c:v>112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Kalerwe-Kampala'!$U$9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Kalerwe-Kampala'!$U$10:$U$21</c:f>
              <c:numCache>
                <c:formatCode>0</c:formatCode>
                <c:ptCount val="12"/>
                <c:pt idx="0">
                  <c:v>2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25</c:v>
                </c:pt>
                <c:pt idx="6">
                  <c:v>23</c:v>
                </c:pt>
                <c:pt idx="7">
                  <c:v>34</c:v>
                </c:pt>
                <c:pt idx="8">
                  <c:v>19</c:v>
                </c:pt>
                <c:pt idx="9">
                  <c:v>13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Kalerwe-Kampala'!$V$9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Kalerwe-Kampala'!$V$10:$V$21</c:f>
              <c:numCache>
                <c:formatCode>0</c:formatCode>
                <c:ptCount val="12"/>
                <c:pt idx="0">
                  <c:v>198</c:v>
                </c:pt>
                <c:pt idx="1">
                  <c:v>235</c:v>
                </c:pt>
                <c:pt idx="2">
                  <c:v>342</c:v>
                </c:pt>
                <c:pt idx="3">
                  <c:v>235</c:v>
                </c:pt>
                <c:pt idx="4">
                  <c:v>244</c:v>
                </c:pt>
                <c:pt idx="5">
                  <c:v>190</c:v>
                </c:pt>
                <c:pt idx="6">
                  <c:v>200</c:v>
                </c:pt>
                <c:pt idx="7">
                  <c:v>255</c:v>
                </c:pt>
                <c:pt idx="8">
                  <c:v>141</c:v>
                </c:pt>
                <c:pt idx="9">
                  <c:v>235</c:v>
                </c:pt>
                <c:pt idx="10">
                  <c:v>159</c:v>
                </c:pt>
                <c:pt idx="11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Kalerwe-Kampala'!$W$9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Kalerwe-Kampala'!$W$10:$W$21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12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12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Kalerwe-Kampala'!$X$9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Kalerwe-Kampala'!$Y$9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Kalerwe-Kampala'!$Y$10:$Y$21</c:f>
              <c:numCache>
                <c:formatCode>0</c:formatCode>
                <c:ptCount val="12"/>
                <c:pt idx="0">
                  <c:v>19</c:v>
                </c:pt>
                <c:pt idx="1">
                  <c:v>26</c:v>
                </c:pt>
                <c:pt idx="2">
                  <c:v>41</c:v>
                </c:pt>
                <c:pt idx="3">
                  <c:v>51</c:v>
                </c:pt>
                <c:pt idx="4">
                  <c:v>31</c:v>
                </c:pt>
                <c:pt idx="5">
                  <c:v>31</c:v>
                </c:pt>
                <c:pt idx="6">
                  <c:v>45</c:v>
                </c:pt>
                <c:pt idx="7">
                  <c:v>51</c:v>
                </c:pt>
                <c:pt idx="8">
                  <c:v>31</c:v>
                </c:pt>
                <c:pt idx="9">
                  <c:v>31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Kalerwe-Kampala'!$Z$9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Kalerwe-Kampala'!$Z$10:$Z$21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Kalerwe-Kampala'!$AA$9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Kalerwe-Kampala'!$AB$9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Kalerwe-Kampala'!$AC$9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Kalerwe-Kampala'!$AC$10:$AC$21</c:f>
              <c:numCache>
                <c:formatCode>0</c:formatCode>
                <c:ptCount val="12"/>
                <c:pt idx="0">
                  <c:v>715</c:v>
                </c:pt>
                <c:pt idx="1">
                  <c:v>815</c:v>
                </c:pt>
                <c:pt idx="2">
                  <c:v>775</c:v>
                </c:pt>
                <c:pt idx="3">
                  <c:v>615</c:v>
                </c:pt>
                <c:pt idx="4">
                  <c:v>650</c:v>
                </c:pt>
                <c:pt idx="5">
                  <c:v>535</c:v>
                </c:pt>
                <c:pt idx="6">
                  <c:v>610</c:v>
                </c:pt>
                <c:pt idx="7">
                  <c:v>725</c:v>
                </c:pt>
                <c:pt idx="8">
                  <c:v>565</c:v>
                </c:pt>
                <c:pt idx="9">
                  <c:v>595</c:v>
                </c:pt>
                <c:pt idx="10">
                  <c:v>710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Kalerwe-Kampala'!$AD$9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42528"/>
        <c:axId val="141544064"/>
      </c:lineChart>
      <c:catAx>
        <c:axId val="14154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544064"/>
        <c:crosses val="autoZero"/>
        <c:auto val="1"/>
        <c:lblAlgn val="ctr"/>
        <c:lblOffset val="100"/>
        <c:noMultiLvlLbl val="0"/>
      </c:catAx>
      <c:valAx>
        <c:axId val="1415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5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Kalerwe-Kampala'!$C$60:$N$60</c:f>
              <c:numCache>
                <c:formatCode>0.00%</c:formatCode>
                <c:ptCount val="12"/>
                <c:pt idx="0">
                  <c:v>0.4015850144092219</c:v>
                </c:pt>
                <c:pt idx="1">
                  <c:v>0.11123919308357348</c:v>
                </c:pt>
                <c:pt idx="2">
                  <c:v>3.0691642651296831E-2</c:v>
                </c:pt>
                <c:pt idx="3">
                  <c:v>0.37809798270893374</c:v>
                </c:pt>
                <c:pt idx="4">
                  <c:v>9.5100864553314124E-3</c:v>
                </c:pt>
                <c:pt idx="5">
                  <c:v>3.4582132564841498E-3</c:v>
                </c:pt>
                <c:pt idx="6">
                  <c:v>5.5475504322766572E-2</c:v>
                </c:pt>
                <c:pt idx="7">
                  <c:v>9.2219020172910667E-3</c:v>
                </c:pt>
                <c:pt idx="8">
                  <c:v>2.8818443804034583E-4</c:v>
                </c:pt>
                <c:pt idx="9">
                  <c:v>4.3227665706051873E-4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Kampala-Kalerwe'!$AE$9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Kampala-Kalerwe'!$AE$10:$AE$21</c:f>
              <c:numCache>
                <c:formatCode>0</c:formatCode>
                <c:ptCount val="12"/>
                <c:pt idx="0">
                  <c:v>255</c:v>
                </c:pt>
                <c:pt idx="1">
                  <c:v>399</c:v>
                </c:pt>
                <c:pt idx="2">
                  <c:v>555</c:v>
                </c:pt>
                <c:pt idx="3">
                  <c:v>539</c:v>
                </c:pt>
                <c:pt idx="4">
                  <c:v>541</c:v>
                </c:pt>
                <c:pt idx="5">
                  <c:v>535</c:v>
                </c:pt>
                <c:pt idx="6">
                  <c:v>515</c:v>
                </c:pt>
                <c:pt idx="7">
                  <c:v>585</c:v>
                </c:pt>
                <c:pt idx="8">
                  <c:v>444</c:v>
                </c:pt>
                <c:pt idx="9">
                  <c:v>415</c:v>
                </c:pt>
                <c:pt idx="10">
                  <c:v>494</c:v>
                </c:pt>
                <c:pt idx="11">
                  <c:v>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Kampala-Kalerwe'!$AF$9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Kampala-Kalerwe'!$AF$10:$AF$21</c:f>
              <c:numCache>
                <c:formatCode>0</c:formatCode>
                <c:ptCount val="12"/>
                <c:pt idx="0">
                  <c:v>767</c:v>
                </c:pt>
                <c:pt idx="1">
                  <c:v>1072</c:v>
                </c:pt>
                <c:pt idx="2">
                  <c:v>990</c:v>
                </c:pt>
                <c:pt idx="3">
                  <c:v>1099</c:v>
                </c:pt>
                <c:pt idx="4">
                  <c:v>961</c:v>
                </c:pt>
                <c:pt idx="5">
                  <c:v>1062</c:v>
                </c:pt>
                <c:pt idx="6">
                  <c:v>1012</c:v>
                </c:pt>
                <c:pt idx="7">
                  <c:v>1075</c:v>
                </c:pt>
                <c:pt idx="8">
                  <c:v>1059</c:v>
                </c:pt>
                <c:pt idx="9">
                  <c:v>975</c:v>
                </c:pt>
                <c:pt idx="10">
                  <c:v>1154</c:v>
                </c:pt>
                <c:pt idx="11">
                  <c:v>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31712"/>
        <c:axId val="141733888"/>
      </c:lineChart>
      <c:catAx>
        <c:axId val="141731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733888"/>
        <c:crosses val="autoZero"/>
        <c:auto val="1"/>
        <c:lblAlgn val="ctr"/>
        <c:lblOffset val="100"/>
        <c:noMultiLvlLbl val="0"/>
      </c:catAx>
      <c:valAx>
        <c:axId val="141733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7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Kampala-Kalerwe'!$C$59:$N$59</c:f>
              <c:numCache>
                <c:formatCode>0.0%</c:formatCode>
                <c:ptCount val="12"/>
                <c:pt idx="0">
                  <c:v>0.16803176966989328</c:v>
                </c:pt>
                <c:pt idx="1">
                  <c:v>2.5481922726896665E-2</c:v>
                </c:pt>
                <c:pt idx="2">
                  <c:v>1.0755356995118722E-2</c:v>
                </c:pt>
                <c:pt idx="3">
                  <c:v>0.20170431041614958</c:v>
                </c:pt>
                <c:pt idx="4">
                  <c:v>1.0424422933730455E-2</c:v>
                </c:pt>
                <c:pt idx="5">
                  <c:v>2.6474724911061472E-3</c:v>
                </c:pt>
                <c:pt idx="6">
                  <c:v>3.1273268801191363E-2</c:v>
                </c:pt>
                <c:pt idx="7">
                  <c:v>6.453214197071234E-3</c:v>
                </c:pt>
                <c:pt idx="8">
                  <c:v>2.9784065524944155E-3</c:v>
                </c:pt>
                <c:pt idx="9">
                  <c:v>1.737403822288409E-3</c:v>
                </c:pt>
                <c:pt idx="10">
                  <c:v>0.53851245139405979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Kampala-Kalerwe'!$S$9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Kampala-Kalerwe'!$S$10:$S$21</c:f>
              <c:numCache>
                <c:formatCode>0</c:formatCode>
                <c:ptCount val="12"/>
                <c:pt idx="0">
                  <c:v>81</c:v>
                </c:pt>
                <c:pt idx="1">
                  <c:v>120</c:v>
                </c:pt>
                <c:pt idx="2">
                  <c:v>186</c:v>
                </c:pt>
                <c:pt idx="3">
                  <c:v>183</c:v>
                </c:pt>
                <c:pt idx="4">
                  <c:v>180</c:v>
                </c:pt>
                <c:pt idx="5">
                  <c:v>209</c:v>
                </c:pt>
                <c:pt idx="6">
                  <c:v>190</c:v>
                </c:pt>
                <c:pt idx="7">
                  <c:v>230</c:v>
                </c:pt>
                <c:pt idx="8">
                  <c:v>144</c:v>
                </c:pt>
                <c:pt idx="9">
                  <c:v>151</c:v>
                </c:pt>
                <c:pt idx="10">
                  <c:v>243</c:v>
                </c:pt>
                <c:pt idx="11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Kampala-Kalerwe'!$T$9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Kampala-Kalerwe'!$R$10:$R$21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Kampala-Kalerwe'!$T$10:$T$21</c:f>
              <c:numCache>
                <c:formatCode>0</c:formatCode>
                <c:ptCount val="12"/>
                <c:pt idx="0">
                  <c:v>8</c:v>
                </c:pt>
                <c:pt idx="1">
                  <c:v>29</c:v>
                </c:pt>
                <c:pt idx="2">
                  <c:v>32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26</c:v>
                </c:pt>
                <c:pt idx="7">
                  <c:v>9</c:v>
                </c:pt>
                <c:pt idx="8">
                  <c:v>20</c:v>
                </c:pt>
                <c:pt idx="9">
                  <c:v>33</c:v>
                </c:pt>
                <c:pt idx="10">
                  <c:v>38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Kampala-Kalerwe'!$U$9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Kampala-Kalerwe'!$U$10:$U$21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22</c:v>
                </c:pt>
                <c:pt idx="5">
                  <c:v>14</c:v>
                </c:pt>
                <c:pt idx="6">
                  <c:v>3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Kampala-Kalerwe'!$V$9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Kampala-Kalerwe'!$V$10:$V$21</c:f>
              <c:numCache>
                <c:formatCode>0</c:formatCode>
                <c:ptCount val="12"/>
                <c:pt idx="0">
                  <c:v>128</c:v>
                </c:pt>
                <c:pt idx="1">
                  <c:v>210</c:v>
                </c:pt>
                <c:pt idx="2">
                  <c:v>260</c:v>
                </c:pt>
                <c:pt idx="3">
                  <c:v>255</c:v>
                </c:pt>
                <c:pt idx="4">
                  <c:v>235</c:v>
                </c:pt>
                <c:pt idx="5">
                  <c:v>209</c:v>
                </c:pt>
                <c:pt idx="6">
                  <c:v>239</c:v>
                </c:pt>
                <c:pt idx="7">
                  <c:v>250</c:v>
                </c:pt>
                <c:pt idx="8">
                  <c:v>227</c:v>
                </c:pt>
                <c:pt idx="9">
                  <c:v>171</c:v>
                </c:pt>
                <c:pt idx="10">
                  <c:v>139</c:v>
                </c:pt>
                <c:pt idx="11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Kampala-Kalerwe'!$W$9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Kampala-Kalerwe'!$W$10:$W$21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10</c:v>
                </c:pt>
                <c:pt idx="3">
                  <c:v>22</c:v>
                </c:pt>
                <c:pt idx="4">
                  <c:v>30</c:v>
                </c:pt>
                <c:pt idx="5">
                  <c:v>11</c:v>
                </c:pt>
                <c:pt idx="6">
                  <c:v>10</c:v>
                </c:pt>
                <c:pt idx="7">
                  <c:v>8</c:v>
                </c:pt>
                <c:pt idx="8">
                  <c:v>3</c:v>
                </c:pt>
                <c:pt idx="9">
                  <c:v>14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Kampala-Kalerwe'!$X$9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Kampala-Kalerwe'!$Y$9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Kampala-Kalerwe'!$Y$10:$Y$21</c:f>
              <c:numCache>
                <c:formatCode>0</c:formatCode>
                <c:ptCount val="12"/>
                <c:pt idx="0">
                  <c:v>11</c:v>
                </c:pt>
                <c:pt idx="1">
                  <c:v>30</c:v>
                </c:pt>
                <c:pt idx="2">
                  <c:v>44</c:v>
                </c:pt>
                <c:pt idx="3">
                  <c:v>27</c:v>
                </c:pt>
                <c:pt idx="4">
                  <c:v>31</c:v>
                </c:pt>
                <c:pt idx="5">
                  <c:v>42</c:v>
                </c:pt>
                <c:pt idx="6">
                  <c:v>32</c:v>
                </c:pt>
                <c:pt idx="7">
                  <c:v>59</c:v>
                </c:pt>
                <c:pt idx="8">
                  <c:v>21</c:v>
                </c:pt>
                <c:pt idx="9">
                  <c:v>23</c:v>
                </c:pt>
                <c:pt idx="10">
                  <c:v>36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Kampala-Kalerwe'!$Z$9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Kampala-Kalerwe'!$Z$10:$Z$21</c:f>
              <c:numCache>
                <c:formatCode>0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2</c:v>
                </c:pt>
                <c:pt idx="3">
                  <c:v>14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6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Kampala-Kalerwe'!$AA$9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Kampala-Kalerwe'!$AB$9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Kampala-Kalerwe'!$AB$10:$AB$21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Kampala-Kalerwe'!$AC$9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Kampala-Kalerwe'!$AC$10:$AC$21</c:f>
              <c:numCache>
                <c:formatCode>0</c:formatCode>
                <c:ptCount val="12"/>
                <c:pt idx="0">
                  <c:v>512</c:v>
                </c:pt>
                <c:pt idx="1">
                  <c:v>673</c:v>
                </c:pt>
                <c:pt idx="2">
                  <c:v>435</c:v>
                </c:pt>
                <c:pt idx="3">
                  <c:v>560</c:v>
                </c:pt>
                <c:pt idx="4">
                  <c:v>420</c:v>
                </c:pt>
                <c:pt idx="5">
                  <c:v>527</c:v>
                </c:pt>
                <c:pt idx="6">
                  <c:v>497</c:v>
                </c:pt>
                <c:pt idx="7">
                  <c:v>490</c:v>
                </c:pt>
                <c:pt idx="8">
                  <c:v>615</c:v>
                </c:pt>
                <c:pt idx="9">
                  <c:v>560</c:v>
                </c:pt>
                <c:pt idx="10">
                  <c:v>660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Kampala-Kalerwe'!$AD$9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Kampala-Kalerwe'!$AD$10:$AD$21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51776"/>
        <c:axId val="159053312"/>
      </c:lineChart>
      <c:catAx>
        <c:axId val="15905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053312"/>
        <c:crosses val="autoZero"/>
        <c:auto val="1"/>
        <c:lblAlgn val="ctr"/>
        <c:lblOffset val="100"/>
        <c:noMultiLvlLbl val="0"/>
      </c:catAx>
      <c:valAx>
        <c:axId val="1590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0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Kampala-Kalerwe'!$C$60:$N$60</c:f>
              <c:numCache>
                <c:formatCode>0.00%</c:formatCode>
                <c:ptCount val="12"/>
                <c:pt idx="0">
                  <c:v>0.36410899964144855</c:v>
                </c:pt>
                <c:pt idx="1">
                  <c:v>5.5216923628540693E-2</c:v>
                </c:pt>
                <c:pt idx="2">
                  <c:v>2.3305844388669773E-2</c:v>
                </c:pt>
                <c:pt idx="3">
                  <c:v>0.43707422015059161</c:v>
                </c:pt>
                <c:pt idx="4">
                  <c:v>2.2588741484403013E-2</c:v>
                </c:pt>
                <c:pt idx="5">
                  <c:v>5.7368232341340987E-3</c:v>
                </c:pt>
                <c:pt idx="6">
                  <c:v>6.776622445320904E-2</c:v>
                </c:pt>
                <c:pt idx="7">
                  <c:v>1.3983506633201864E-2</c:v>
                </c:pt>
                <c:pt idx="8">
                  <c:v>6.4539261384008607E-3</c:v>
                </c:pt>
                <c:pt idx="9">
                  <c:v>3.7647902474005021E-3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Kalerwe-Kampala'!$AE$9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Kalerwe-Kampala'!$R$10:$R$33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Kalerwe-Kampala'!$AE$10:$AE$33</c:f>
              <c:numCache>
                <c:formatCode>0</c:formatCode>
                <c:ptCount val="24"/>
                <c:pt idx="0">
                  <c:v>468.85714285714289</c:v>
                </c:pt>
                <c:pt idx="1">
                  <c:v>498.28571428571428</c:v>
                </c:pt>
                <c:pt idx="2">
                  <c:v>544.85714285714278</c:v>
                </c:pt>
                <c:pt idx="3">
                  <c:v>501.28571428571433</c:v>
                </c:pt>
                <c:pt idx="4">
                  <c:v>569.00000000000011</c:v>
                </c:pt>
                <c:pt idx="5">
                  <c:v>519.85714285714278</c:v>
                </c:pt>
                <c:pt idx="6">
                  <c:v>524.71428571428578</c:v>
                </c:pt>
                <c:pt idx="7">
                  <c:v>566.57142857142867</c:v>
                </c:pt>
                <c:pt idx="8">
                  <c:v>585.57142857142856</c:v>
                </c:pt>
                <c:pt idx="9">
                  <c:v>530.71428571428567</c:v>
                </c:pt>
                <c:pt idx="10">
                  <c:v>526.71428571428567</c:v>
                </c:pt>
                <c:pt idx="11">
                  <c:v>447.42857142857144</c:v>
                </c:pt>
                <c:pt idx="12">
                  <c:v>496.5</c:v>
                </c:pt>
                <c:pt idx="13">
                  <c:v>607</c:v>
                </c:pt>
                <c:pt idx="14">
                  <c:v>339.5</c:v>
                </c:pt>
                <c:pt idx="15">
                  <c:v>403</c:v>
                </c:pt>
                <c:pt idx="16">
                  <c:v>230</c:v>
                </c:pt>
                <c:pt idx="17">
                  <c:v>218</c:v>
                </c:pt>
                <c:pt idx="18">
                  <c:v>201.5</c:v>
                </c:pt>
                <c:pt idx="19">
                  <c:v>177</c:v>
                </c:pt>
                <c:pt idx="20">
                  <c:v>172</c:v>
                </c:pt>
                <c:pt idx="21">
                  <c:v>79</c:v>
                </c:pt>
                <c:pt idx="22">
                  <c:v>295.5</c:v>
                </c:pt>
                <c:pt idx="23">
                  <c:v>421.5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Kalerwe-Kampala'!$AF$9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Kalerwe-Kampala'!$R$10:$R$33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Kalerwe-Kampala'!$AF$10:$AF$33</c:f>
              <c:numCache>
                <c:formatCode>0</c:formatCode>
                <c:ptCount val="24"/>
                <c:pt idx="0">
                  <c:v>1297</c:v>
                </c:pt>
                <c:pt idx="1">
                  <c:v>1418.4285714285711</c:v>
                </c:pt>
                <c:pt idx="2">
                  <c:v>1325.5714285714287</c:v>
                </c:pt>
                <c:pt idx="3">
                  <c:v>1124.8571428571427</c:v>
                </c:pt>
                <c:pt idx="4">
                  <c:v>1202.4285714285716</c:v>
                </c:pt>
                <c:pt idx="5">
                  <c:v>1101.1428571428571</c:v>
                </c:pt>
                <c:pt idx="6">
                  <c:v>1117</c:v>
                </c:pt>
                <c:pt idx="7">
                  <c:v>1201.2857142857142</c:v>
                </c:pt>
                <c:pt idx="8">
                  <c:v>1233.5714285714284</c:v>
                </c:pt>
                <c:pt idx="9">
                  <c:v>1170.5714285714287</c:v>
                </c:pt>
                <c:pt idx="10">
                  <c:v>1224.7142857142858</c:v>
                </c:pt>
                <c:pt idx="11">
                  <c:v>1132.7142857142858</c:v>
                </c:pt>
                <c:pt idx="12">
                  <c:v>1094</c:v>
                </c:pt>
                <c:pt idx="13">
                  <c:v>887</c:v>
                </c:pt>
                <c:pt idx="14">
                  <c:v>736</c:v>
                </c:pt>
                <c:pt idx="15">
                  <c:v>648</c:v>
                </c:pt>
                <c:pt idx="16">
                  <c:v>377.5</c:v>
                </c:pt>
                <c:pt idx="17">
                  <c:v>328.5</c:v>
                </c:pt>
                <c:pt idx="18">
                  <c:v>315</c:v>
                </c:pt>
                <c:pt idx="19">
                  <c:v>301</c:v>
                </c:pt>
                <c:pt idx="20">
                  <c:v>272</c:v>
                </c:pt>
                <c:pt idx="21">
                  <c:v>138</c:v>
                </c:pt>
                <c:pt idx="22">
                  <c:v>414.5</c:v>
                </c:pt>
                <c:pt idx="23">
                  <c:v>718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26272"/>
        <c:axId val="159128192"/>
      </c:lineChart>
      <c:catAx>
        <c:axId val="159126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28192"/>
        <c:crosses val="autoZero"/>
        <c:auto val="1"/>
        <c:lblAlgn val="ctr"/>
        <c:lblOffset val="100"/>
        <c:noMultiLvlLbl val="0"/>
      </c:catAx>
      <c:valAx>
        <c:axId val="15912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Kalerwe-Kampala'!$C$107:$N$107</c:f>
              <c:numCache>
                <c:formatCode>0.0%</c:formatCode>
                <c:ptCount val="12"/>
                <c:pt idx="0">
                  <c:v>0.18034190090855032</c:v>
                </c:pt>
                <c:pt idx="1">
                  <c:v>4.9263843961732952E-2</c:v>
                </c:pt>
                <c:pt idx="2">
                  <c:v>2.4836457513329191E-2</c:v>
                </c:pt>
                <c:pt idx="3">
                  <c:v>0.15566013413405841</c:v>
                </c:pt>
                <c:pt idx="4">
                  <c:v>8.4358016245965148E-3</c:v>
                </c:pt>
                <c:pt idx="5">
                  <c:v>5.7888712044908436E-3</c:v>
                </c:pt>
                <c:pt idx="6">
                  <c:v>3.3650392055083654E-2</c:v>
                </c:pt>
                <c:pt idx="7">
                  <c:v>1.2890894903112037E-2</c:v>
                </c:pt>
                <c:pt idx="8">
                  <c:v>4.8332261956734717E-3</c:v>
                </c:pt>
                <c:pt idx="9">
                  <c:v>1.8941021577639284E-3</c:v>
                </c:pt>
                <c:pt idx="10">
                  <c:v>0.52238031233778959</c:v>
                </c:pt>
                <c:pt idx="11">
                  <c:v>2.4063003819142464E-5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64141003491E-2"/>
          <c:y val="0.22466589005507004"/>
          <c:w val="0.82101224907482695"/>
          <c:h val="0.758460086815436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Kalerwe-Kampala'!$C$108:$N$108</c:f>
              <c:numCache>
                <c:formatCode>0.00%</c:formatCode>
                <c:ptCount val="12"/>
                <c:pt idx="0">
                  <c:v>0.37758473020922556</c:v>
                </c:pt>
                <c:pt idx="1">
                  <c:v>0.10314450018353115</c:v>
                </c:pt>
                <c:pt idx="2">
                  <c:v>5.2000489416370983E-2</c:v>
                </c:pt>
                <c:pt idx="3">
                  <c:v>0.32590811927364849</c:v>
                </c:pt>
                <c:pt idx="4">
                  <c:v>1.7662173152633132E-2</c:v>
                </c:pt>
                <c:pt idx="5">
                  <c:v>1.2120252481269026E-2</c:v>
                </c:pt>
                <c:pt idx="6">
                  <c:v>7.0454365522056125E-2</c:v>
                </c:pt>
                <c:pt idx="7">
                  <c:v>2.698987339950051E-2</c:v>
                </c:pt>
                <c:pt idx="8">
                  <c:v>1.0119403199919391E-2</c:v>
                </c:pt>
                <c:pt idx="9">
                  <c:v>3.9657120648332747E-3</c:v>
                </c:pt>
                <c:pt idx="11">
                  <c:v>5.0381097012400945E-5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Kampala-Kalerwe'!$AE$9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Kampala-Kalerwe'!$R$10:$R$33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Kampala-Kalerwe'!$AE$10:$AE$33</c:f>
              <c:numCache>
                <c:formatCode>0</c:formatCode>
                <c:ptCount val="24"/>
                <c:pt idx="0">
                  <c:v>474.14285714285711</c:v>
                </c:pt>
                <c:pt idx="1">
                  <c:v>404.71428571428572</c:v>
                </c:pt>
                <c:pt idx="2">
                  <c:v>494.57142857142856</c:v>
                </c:pt>
                <c:pt idx="3">
                  <c:v>429</c:v>
                </c:pt>
                <c:pt idx="4">
                  <c:v>391</c:v>
                </c:pt>
                <c:pt idx="5">
                  <c:v>410.28571428571433</c:v>
                </c:pt>
                <c:pt idx="6">
                  <c:v>399.85714285714289</c:v>
                </c:pt>
                <c:pt idx="7">
                  <c:v>432.14285714285711</c:v>
                </c:pt>
                <c:pt idx="8">
                  <c:v>443.42857142857144</c:v>
                </c:pt>
                <c:pt idx="9">
                  <c:v>513.28571428571422</c:v>
                </c:pt>
                <c:pt idx="10">
                  <c:v>510.71428571428567</c:v>
                </c:pt>
                <c:pt idx="11">
                  <c:v>493.5714285714285</c:v>
                </c:pt>
                <c:pt idx="12">
                  <c:v>502</c:v>
                </c:pt>
                <c:pt idx="13">
                  <c:v>605</c:v>
                </c:pt>
                <c:pt idx="14">
                  <c:v>328.5</c:v>
                </c:pt>
                <c:pt idx="15">
                  <c:v>373.5</c:v>
                </c:pt>
                <c:pt idx="16">
                  <c:v>248</c:v>
                </c:pt>
                <c:pt idx="17">
                  <c:v>152.5</c:v>
                </c:pt>
                <c:pt idx="18">
                  <c:v>141.5</c:v>
                </c:pt>
                <c:pt idx="19">
                  <c:v>98.5</c:v>
                </c:pt>
                <c:pt idx="20">
                  <c:v>57</c:v>
                </c:pt>
                <c:pt idx="21">
                  <c:v>71</c:v>
                </c:pt>
                <c:pt idx="22">
                  <c:v>344</c:v>
                </c:pt>
                <c:pt idx="23">
                  <c:v>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Kampala-Kalerwe'!$AF$9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Kampala-Kalerwe'!$R$10:$R$33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Kampala-Kalerwe'!$AF$10:$AF$33</c:f>
              <c:numCache>
                <c:formatCode>0</c:formatCode>
                <c:ptCount val="24"/>
                <c:pt idx="0">
                  <c:v>1152.2857142857142</c:v>
                </c:pt>
                <c:pt idx="1">
                  <c:v>1347</c:v>
                </c:pt>
                <c:pt idx="2">
                  <c:v>1403.1428571428573</c:v>
                </c:pt>
                <c:pt idx="3">
                  <c:v>1238.5714285714284</c:v>
                </c:pt>
                <c:pt idx="4">
                  <c:v>1079</c:v>
                </c:pt>
                <c:pt idx="5">
                  <c:v>1034.1428571428571</c:v>
                </c:pt>
                <c:pt idx="6">
                  <c:v>1009.4285714285716</c:v>
                </c:pt>
                <c:pt idx="7">
                  <c:v>1080.8571428571427</c:v>
                </c:pt>
                <c:pt idx="8">
                  <c:v>1097.1428571428571</c:v>
                </c:pt>
                <c:pt idx="9">
                  <c:v>1181.7142857142858</c:v>
                </c:pt>
                <c:pt idx="10">
                  <c:v>1173.8571428571429</c:v>
                </c:pt>
                <c:pt idx="11">
                  <c:v>1253.1428571428571</c:v>
                </c:pt>
                <c:pt idx="12">
                  <c:v>1131</c:v>
                </c:pt>
                <c:pt idx="13">
                  <c:v>1221.5</c:v>
                </c:pt>
                <c:pt idx="14">
                  <c:v>968</c:v>
                </c:pt>
                <c:pt idx="15">
                  <c:v>807</c:v>
                </c:pt>
                <c:pt idx="16">
                  <c:v>530.5</c:v>
                </c:pt>
                <c:pt idx="17">
                  <c:v>407</c:v>
                </c:pt>
                <c:pt idx="18">
                  <c:v>321</c:v>
                </c:pt>
                <c:pt idx="19">
                  <c:v>246.5</c:v>
                </c:pt>
                <c:pt idx="20">
                  <c:v>149</c:v>
                </c:pt>
                <c:pt idx="21">
                  <c:v>151</c:v>
                </c:pt>
                <c:pt idx="22">
                  <c:v>561</c:v>
                </c:pt>
                <c:pt idx="23">
                  <c:v>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8528"/>
        <c:axId val="159901184"/>
      </c:lineChart>
      <c:catAx>
        <c:axId val="159878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01184"/>
        <c:crosses val="autoZero"/>
        <c:auto val="1"/>
        <c:lblAlgn val="ctr"/>
        <c:lblOffset val="100"/>
        <c:noMultiLvlLbl val="0"/>
      </c:catAx>
      <c:valAx>
        <c:axId val="159901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8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638942483182967E-2"/>
          <c:y val="0.11903174724518659"/>
          <c:w val="0.81672211503363401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Kampala-Kalerwe'!$C$107:$N$107</c:f>
              <c:numCache>
                <c:formatCode>0.0%</c:formatCode>
                <c:ptCount val="12"/>
                <c:pt idx="0">
                  <c:v>0.14445557171042342</c:v>
                </c:pt>
                <c:pt idx="1">
                  <c:v>5.3868906019703018E-2</c:v>
                </c:pt>
                <c:pt idx="2">
                  <c:v>1.4822183701919393E-2</c:v>
                </c:pt>
                <c:pt idx="3">
                  <c:v>0.14180055429310992</c:v>
                </c:pt>
                <c:pt idx="4">
                  <c:v>6.0553028815922109E-3</c:v>
                </c:pt>
                <c:pt idx="5">
                  <c:v>3.2439122579958272E-3</c:v>
                </c:pt>
                <c:pt idx="6">
                  <c:v>2.7797832733902707E-2</c:v>
                </c:pt>
                <c:pt idx="7">
                  <c:v>8.7203015673918589E-3</c:v>
                </c:pt>
                <c:pt idx="8">
                  <c:v>3.9126572465672752E-3</c:v>
                </c:pt>
                <c:pt idx="9">
                  <c:v>2.6783070437811701E-3</c:v>
                </c:pt>
                <c:pt idx="10">
                  <c:v>0.59256129330622853</c:v>
                </c:pt>
                <c:pt idx="11">
                  <c:v>8.3177237384508392E-5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001498679734506E-2"/>
          <c:y val="0.20852419631946389"/>
          <c:w val="0.82182781835050078"/>
          <c:h val="0.7762837107644524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Kampala-Kalerwe'!$C$108:$N$108</c:f>
              <c:numCache>
                <c:formatCode>0.00%</c:formatCode>
                <c:ptCount val="12"/>
                <c:pt idx="0">
                  <c:v>0.35454552878059137</c:v>
                </c:pt>
                <c:pt idx="1">
                  <c:v>0.1322135210393513</c:v>
                </c:pt>
                <c:pt idx="2">
                  <c:v>3.6378928801822613E-2</c:v>
                </c:pt>
                <c:pt idx="3">
                  <c:v>0.34802916846996185</c:v>
                </c:pt>
                <c:pt idx="4">
                  <c:v>1.4861874392663786E-2</c:v>
                </c:pt>
                <c:pt idx="5">
                  <c:v>7.961718424641313E-3</c:v>
                </c:pt>
                <c:pt idx="6">
                  <c:v>6.8225802500387886E-2</c:v>
                </c:pt>
                <c:pt idx="7">
                  <c:v>2.1402732298446032E-2</c:v>
                </c:pt>
                <c:pt idx="8">
                  <c:v>9.6030572998750639E-3</c:v>
                </c:pt>
                <c:pt idx="9">
                  <c:v>6.5735213659859045E-3</c:v>
                </c:pt>
                <c:pt idx="11">
                  <c:v>2.0414662627285421E-4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84284316348551E-3"/>
          <c:y val="8.6989987870315172E-2"/>
          <c:w val="0.82819162811050895"/>
          <c:h val="0.7654587693509590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Kalerwe-Kampala-2Dir'!$C$107:$N$107</c:f>
              <c:numCache>
                <c:formatCode>0.0%</c:formatCode>
                <c:ptCount val="12"/>
                <c:pt idx="0">
                  <c:v>0.14631587885932359</c:v>
                </c:pt>
                <c:pt idx="1">
                  <c:v>4.990084766504993E-2</c:v>
                </c:pt>
                <c:pt idx="2">
                  <c:v>2.039491101265253E-2</c:v>
                </c:pt>
                <c:pt idx="3">
                  <c:v>0.14600618390884981</c:v>
                </c:pt>
                <c:pt idx="4">
                  <c:v>4.3457194663256695E-3</c:v>
                </c:pt>
                <c:pt idx="5">
                  <c:v>2.3227121285533761E-3</c:v>
                </c:pt>
                <c:pt idx="6">
                  <c:v>3.0105346233959572E-2</c:v>
                </c:pt>
                <c:pt idx="7">
                  <c:v>5.0200552455830997E-3</c:v>
                </c:pt>
                <c:pt idx="8">
                  <c:v>2.4276088053267527E-3</c:v>
                </c:pt>
                <c:pt idx="9">
                  <c:v>1.5334895128298624E-3</c:v>
                </c:pt>
                <c:pt idx="10">
                  <c:v>0.59158229144292884</c:v>
                </c:pt>
                <c:pt idx="11">
                  <c:v>4.4955718617162107E-5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2165888964489"/>
          <c:y val="0.2325139690871974"/>
          <c:w val="0.8281418785033704"/>
          <c:h val="0.7506906969962088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Kalerwe-Kampala-2Dir'!$C$108:$N$108</c:f>
              <c:numCache>
                <c:formatCode>0.00%</c:formatCode>
                <c:ptCount val="12"/>
                <c:pt idx="0">
                  <c:v>0.3582505748251063</c:v>
                </c:pt>
                <c:pt idx="1">
                  <c:v>0.1221809109143388</c:v>
                </c:pt>
                <c:pt idx="2">
                  <c:v>4.9936402328653158E-2</c:v>
                </c:pt>
                <c:pt idx="3">
                  <c:v>0.35749229489750989</c:v>
                </c:pt>
                <c:pt idx="4">
                  <c:v>1.064037962917665E-2</c:v>
                </c:pt>
                <c:pt idx="5">
                  <c:v>5.687099456973729E-3</c:v>
                </c:pt>
                <c:pt idx="6">
                  <c:v>7.3712147155227267E-2</c:v>
                </c:pt>
                <c:pt idx="7">
                  <c:v>1.2291473019910957E-2</c:v>
                </c:pt>
                <c:pt idx="8">
                  <c:v>5.9439362066435074E-3</c:v>
                </c:pt>
                <c:pt idx="9">
                  <c:v>3.7547086737439441E-3</c:v>
                </c:pt>
                <c:pt idx="11">
                  <c:v>1.1007289271562056E-4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Kalerwe-Kampala-2Dir'!$AE$9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Kalerwe-Kampala-2Dir'!$R$10:$R$33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Kalerwe-Kampala-2Dir'!$AE$10:$AE$33</c:f>
              <c:numCache>
                <c:formatCode>0</c:formatCode>
                <c:ptCount val="24"/>
                <c:pt idx="0">
                  <c:v>943</c:v>
                </c:pt>
                <c:pt idx="1">
                  <c:v>903.00000000000011</c:v>
                </c:pt>
                <c:pt idx="2">
                  <c:v>1039.4285714285716</c:v>
                </c:pt>
                <c:pt idx="3">
                  <c:v>930.28571428571422</c:v>
                </c:pt>
                <c:pt idx="4">
                  <c:v>960</c:v>
                </c:pt>
                <c:pt idx="5">
                  <c:v>930.14285714285711</c:v>
                </c:pt>
                <c:pt idx="6">
                  <c:v>924.57142857142867</c:v>
                </c:pt>
                <c:pt idx="7">
                  <c:v>998.71428571428578</c:v>
                </c:pt>
                <c:pt idx="8">
                  <c:v>1029</c:v>
                </c:pt>
                <c:pt idx="9">
                  <c:v>1044</c:v>
                </c:pt>
                <c:pt idx="10">
                  <c:v>1037.4285714285713</c:v>
                </c:pt>
                <c:pt idx="11">
                  <c:v>941</c:v>
                </c:pt>
                <c:pt idx="12">
                  <c:v>998.5</c:v>
                </c:pt>
                <c:pt idx="13">
                  <c:v>1212</c:v>
                </c:pt>
                <c:pt idx="14">
                  <c:v>668</c:v>
                </c:pt>
                <c:pt idx="15">
                  <c:v>776.5</c:v>
                </c:pt>
                <c:pt idx="16">
                  <c:v>478</c:v>
                </c:pt>
                <c:pt idx="17">
                  <c:v>370.5</c:v>
                </c:pt>
                <c:pt idx="18">
                  <c:v>343</c:v>
                </c:pt>
                <c:pt idx="19">
                  <c:v>275.5</c:v>
                </c:pt>
                <c:pt idx="20">
                  <c:v>229</c:v>
                </c:pt>
                <c:pt idx="21">
                  <c:v>150</c:v>
                </c:pt>
                <c:pt idx="22">
                  <c:v>639.5</c:v>
                </c:pt>
                <c:pt idx="23">
                  <c:v>850.5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Kalerwe-Kampala-2Dir'!$AF$9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Kalerwe-Kampala-2Dir'!$R$10:$R$33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Kalerwe-Kampala-2Dir'!$AF$10:$AF$33</c:f>
              <c:numCache>
                <c:formatCode>0</c:formatCode>
                <c:ptCount val="24"/>
                <c:pt idx="0">
                  <c:v>2449.2857142857142</c:v>
                </c:pt>
                <c:pt idx="1">
                  <c:v>2765.4285714285716</c:v>
                </c:pt>
                <c:pt idx="2">
                  <c:v>2728.7142857142858</c:v>
                </c:pt>
                <c:pt idx="3">
                  <c:v>2363.4285714285716</c:v>
                </c:pt>
                <c:pt idx="4">
                  <c:v>2281.4285714285711</c:v>
                </c:pt>
                <c:pt idx="5">
                  <c:v>2135.2857142857142</c:v>
                </c:pt>
                <c:pt idx="6">
                  <c:v>2126.4285714285716</c:v>
                </c:pt>
                <c:pt idx="7">
                  <c:v>2282.1428571428573</c:v>
                </c:pt>
                <c:pt idx="8">
                  <c:v>2330.7142857142858</c:v>
                </c:pt>
                <c:pt idx="9">
                  <c:v>2352.2857142857142</c:v>
                </c:pt>
                <c:pt idx="10">
                  <c:v>2398.5714285714284</c:v>
                </c:pt>
                <c:pt idx="11">
                  <c:v>2385.8571428571427</c:v>
                </c:pt>
                <c:pt idx="12">
                  <c:v>2225</c:v>
                </c:pt>
                <c:pt idx="13">
                  <c:v>2108.5</c:v>
                </c:pt>
                <c:pt idx="14">
                  <c:v>1704</c:v>
                </c:pt>
                <c:pt idx="15">
                  <c:v>1455</c:v>
                </c:pt>
                <c:pt idx="16">
                  <c:v>908</c:v>
                </c:pt>
                <c:pt idx="17">
                  <c:v>735.5</c:v>
                </c:pt>
                <c:pt idx="18">
                  <c:v>636</c:v>
                </c:pt>
                <c:pt idx="19">
                  <c:v>547.5</c:v>
                </c:pt>
                <c:pt idx="20">
                  <c:v>421</c:v>
                </c:pt>
                <c:pt idx="21">
                  <c:v>289</c:v>
                </c:pt>
                <c:pt idx="22">
                  <c:v>975.5</c:v>
                </c:pt>
                <c:pt idx="23">
                  <c:v>1643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Kalerwe-Kampala-2Dir'!$AC$9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Kalerwe-Kampala-2Dir'!$R$10:$R$33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Kalerwe-Kampala-2Dir'!$AC$10:$AC$33</c:f>
              <c:numCache>
                <c:formatCode>0</c:formatCode>
                <c:ptCount val="24"/>
                <c:pt idx="0">
                  <c:v>1506.2857142857142</c:v>
                </c:pt>
                <c:pt idx="1">
                  <c:v>1862.4285714285716</c:v>
                </c:pt>
                <c:pt idx="2">
                  <c:v>1689.2857142857144</c:v>
                </c:pt>
                <c:pt idx="3">
                  <c:v>1433.1428571428573</c:v>
                </c:pt>
                <c:pt idx="4">
                  <c:v>1321.4285714285716</c:v>
                </c:pt>
                <c:pt idx="5">
                  <c:v>1205.1428571428569</c:v>
                </c:pt>
                <c:pt idx="6">
                  <c:v>1201.8571428571429</c:v>
                </c:pt>
                <c:pt idx="7">
                  <c:v>1283.4285714285716</c:v>
                </c:pt>
                <c:pt idx="8">
                  <c:v>1301.7142857142858</c:v>
                </c:pt>
                <c:pt idx="9">
                  <c:v>1308.2857142857142</c:v>
                </c:pt>
                <c:pt idx="10">
                  <c:v>1361.1428571428571</c:v>
                </c:pt>
                <c:pt idx="11">
                  <c:v>1444.8571428571429</c:v>
                </c:pt>
                <c:pt idx="12">
                  <c:v>1226.5</c:v>
                </c:pt>
                <c:pt idx="13">
                  <c:v>896.5</c:v>
                </c:pt>
                <c:pt idx="14">
                  <c:v>1036</c:v>
                </c:pt>
                <c:pt idx="15">
                  <c:v>678.5</c:v>
                </c:pt>
                <c:pt idx="16">
                  <c:v>430</c:v>
                </c:pt>
                <c:pt idx="17">
                  <c:v>365</c:v>
                </c:pt>
                <c:pt idx="18">
                  <c:v>293</c:v>
                </c:pt>
                <c:pt idx="19">
                  <c:v>272</c:v>
                </c:pt>
                <c:pt idx="20">
                  <c:v>192</c:v>
                </c:pt>
                <c:pt idx="21">
                  <c:v>139</c:v>
                </c:pt>
                <c:pt idx="22">
                  <c:v>336</c:v>
                </c:pt>
                <c:pt idx="23">
                  <c:v>792.5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03584"/>
        <c:axId val="208290944"/>
      </c:lineChart>
      <c:catAx>
        <c:axId val="206003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290944"/>
        <c:crosses val="autoZero"/>
        <c:auto val="1"/>
        <c:lblAlgn val="ctr"/>
        <c:lblOffset val="100"/>
        <c:noMultiLvlLbl val="0"/>
      </c:catAx>
      <c:valAx>
        <c:axId val="208290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0035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Kalerwe-Kampala-2Dir'!$S$9:$AF$9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Kalerwe-Kampala-2Dir'!$S$41:$AF$41</c:f>
              <c:numCache>
                <c:formatCode>_(* #,##0_);_(* \(#,##0\);_(* "-"_);_(@_)</c:formatCode>
                <c:ptCount val="14"/>
                <c:pt idx="0">
                  <c:v>6848.5714285714284</c:v>
                </c:pt>
                <c:pt idx="1">
                  <c:v>2180.1428571428569</c:v>
                </c:pt>
                <c:pt idx="2">
                  <c:v>834.28571428571433</c:v>
                </c:pt>
                <c:pt idx="3">
                  <c:v>6278.7142857142862</c:v>
                </c:pt>
                <c:pt idx="4">
                  <c:v>305.28571428571428</c:v>
                </c:pt>
                <c:pt idx="5">
                  <c:v>189.92857142857142</c:v>
                </c:pt>
                <c:pt idx="6">
                  <c:v>1296</c:v>
                </c:pt>
                <c:pt idx="7">
                  <c:v>455.07142857142856</c:v>
                </c:pt>
                <c:pt idx="8">
                  <c:v>184.42857142857144</c:v>
                </c:pt>
                <c:pt idx="9">
                  <c:v>96.857142857142861</c:v>
                </c:pt>
                <c:pt idx="10">
                  <c:v>23576</c:v>
                </c:pt>
                <c:pt idx="11">
                  <c:v>2.2857142857142856</c:v>
                </c:pt>
                <c:pt idx="12">
                  <c:v>18671.571428571428</c:v>
                </c:pt>
                <c:pt idx="13">
                  <c:v>42247.571428571428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6220416"/>
        <c:axId val="216221952"/>
      </c:barChart>
      <c:catAx>
        <c:axId val="2162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221952"/>
        <c:crosses val="autoZero"/>
        <c:auto val="1"/>
        <c:lblAlgn val="ctr"/>
        <c:lblOffset val="100"/>
        <c:noMultiLvlLbl val="0"/>
      </c:catAx>
      <c:valAx>
        <c:axId val="2162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22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Kalerwe-Kampala-2Dir'!$S$9:$AF$9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Kalerwe-Kampala-2Dir'!$S$42:$AF$42</c:f>
              <c:numCache>
                <c:formatCode>0.000</c:formatCode>
                <c:ptCount val="14"/>
                <c:pt idx="0">
                  <c:v>1.6366243342892257</c:v>
                </c:pt>
                <c:pt idx="1">
                  <c:v>1.5276276276276277</c:v>
                </c:pt>
                <c:pt idx="2">
                  <c:v>1.4303208425177565</c:v>
                </c:pt>
                <c:pt idx="3">
                  <c:v>1.5036264112213478</c:v>
                </c:pt>
                <c:pt idx="4">
                  <c:v>2.4563218390804598</c:v>
                </c:pt>
                <c:pt idx="5">
                  <c:v>2.8591397849462368</c:v>
                </c:pt>
                <c:pt idx="6">
                  <c:v>1.5052264808362372</c:v>
                </c:pt>
                <c:pt idx="7">
                  <c:v>3.1696517412935328</c:v>
                </c:pt>
                <c:pt idx="8">
                  <c:v>2.6563786008230452</c:v>
                </c:pt>
                <c:pt idx="9">
                  <c:v>2.2084690553745929</c:v>
                </c:pt>
                <c:pt idx="10">
                  <c:v>1.3934629706247414</c:v>
                </c:pt>
                <c:pt idx="11">
                  <c:v>1.7777777777777775</c:v>
                </c:pt>
                <c:pt idx="12">
                  <c:v>1.5985152389804804</c:v>
                </c:pt>
                <c:pt idx="13">
                  <c:v>1.4772099482010219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8251392"/>
        <c:axId val="222135808"/>
      </c:barChart>
      <c:catAx>
        <c:axId val="1682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2135808"/>
        <c:crosses val="autoZero"/>
        <c:auto val="1"/>
        <c:lblAlgn val="ctr"/>
        <c:lblOffset val="100"/>
        <c:noMultiLvlLbl val="0"/>
      </c:catAx>
      <c:valAx>
        <c:axId val="22213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555625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158749</xdr:colOff>
      <xdr:row>59</xdr:row>
      <xdr:rowOff>2</xdr:rowOff>
    </xdr:from>
    <xdr:to>
      <xdr:col>23</xdr:col>
      <xdr:colOff>714374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508001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3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279400</xdr:rowOff>
    </xdr:from>
    <xdr:to>
      <xdr:col>24</xdr:col>
      <xdr:colOff>714374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60</xdr:row>
      <xdr:rowOff>1</xdr:rowOff>
    </xdr:from>
    <xdr:to>
      <xdr:col>24</xdr:col>
      <xdr:colOff>714374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60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60</xdr:row>
      <xdr:rowOff>1</xdr:rowOff>
    </xdr:from>
    <xdr:to>
      <xdr:col>31</xdr:col>
      <xdr:colOff>349250</xdr:colOff>
      <xdr:row>75</xdr:row>
      <xdr:rowOff>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714374</xdr:colOff>
      <xdr:row>75</xdr:row>
      <xdr:rowOff>0</xdr:rowOff>
    </xdr:from>
    <xdr:to>
      <xdr:col>31</xdr:col>
      <xdr:colOff>349250</xdr:colOff>
      <xdr:row>92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9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170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6" t="s">
        <v>173</v>
      </c>
      <c r="H5" s="57"/>
      <c r="I5" s="14"/>
      <c r="J5" s="2" t="s">
        <v>5</v>
      </c>
      <c r="K5" s="56" t="s">
        <v>174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171</v>
      </c>
      <c r="E6" s="57"/>
      <c r="F6" s="2" t="s">
        <v>2</v>
      </c>
      <c r="G6" s="56" t="s">
        <v>172</v>
      </c>
      <c r="H6" s="57"/>
      <c r="J6" s="2" t="s">
        <v>21</v>
      </c>
      <c r="K6" s="56" t="s">
        <v>175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25</v>
      </c>
      <c r="D10" s="50">
        <v>40</v>
      </c>
      <c r="E10" s="50">
        <v>5</v>
      </c>
      <c r="F10" s="50">
        <v>20</v>
      </c>
      <c r="G10" s="50">
        <v>0</v>
      </c>
      <c r="H10" s="50">
        <v>1</v>
      </c>
      <c r="I10" s="50">
        <v>3</v>
      </c>
      <c r="J10" s="50">
        <v>0</v>
      </c>
      <c r="K10" s="50">
        <v>0</v>
      </c>
      <c r="L10" s="50">
        <v>0</v>
      </c>
      <c r="M10" s="50">
        <v>55</v>
      </c>
      <c r="N10" s="50">
        <v>0</v>
      </c>
      <c r="O10" s="15">
        <f t="shared" ref="O10:O57" si="0">SUM(C10:L10,N10)</f>
        <v>94</v>
      </c>
      <c r="P10" s="51">
        <f t="shared" ref="P10:P57" si="1">SUM(C10:N10)</f>
        <v>149</v>
      </c>
      <c r="R10" s="1" t="s">
        <v>6</v>
      </c>
      <c r="S10" s="17">
        <f t="shared" ref="S10:AF10" si="2">SUM(C10:C13)</f>
        <v>86</v>
      </c>
      <c r="T10" s="17">
        <f t="shared" si="2"/>
        <v>145</v>
      </c>
      <c r="U10" s="17">
        <f t="shared" si="2"/>
        <v>19</v>
      </c>
      <c r="V10" s="17">
        <f t="shared" si="2"/>
        <v>92</v>
      </c>
      <c r="W10" s="17">
        <f t="shared" si="2"/>
        <v>2</v>
      </c>
      <c r="X10" s="17">
        <f t="shared" si="2"/>
        <v>1</v>
      </c>
      <c r="Y10" s="17">
        <f t="shared" si="2"/>
        <v>17</v>
      </c>
      <c r="Z10" s="17">
        <f t="shared" si="2"/>
        <v>3</v>
      </c>
      <c r="AA10" s="17">
        <f t="shared" si="2"/>
        <v>0</v>
      </c>
      <c r="AB10" s="17">
        <f t="shared" si="2"/>
        <v>1</v>
      </c>
      <c r="AC10" s="17">
        <f t="shared" si="2"/>
        <v>215</v>
      </c>
      <c r="AD10" s="17">
        <f t="shared" si="2"/>
        <v>0</v>
      </c>
      <c r="AE10" s="31">
        <f t="shared" si="2"/>
        <v>366</v>
      </c>
      <c r="AF10" s="31">
        <f t="shared" si="2"/>
        <v>581</v>
      </c>
    </row>
    <row r="11" spans="2:32" s="6" customFormat="1" ht="23.1" customHeight="1" x14ac:dyDescent="0.25">
      <c r="B11" s="23" t="s">
        <v>38</v>
      </c>
      <c r="C11" s="50">
        <v>19</v>
      </c>
      <c r="D11" s="50">
        <v>20</v>
      </c>
      <c r="E11" s="50">
        <v>6</v>
      </c>
      <c r="F11" s="50">
        <v>20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1</v>
      </c>
      <c r="M11" s="50">
        <v>50</v>
      </c>
      <c r="N11" s="50">
        <v>0</v>
      </c>
      <c r="O11" s="15">
        <f t="shared" si="0"/>
        <v>70</v>
      </c>
      <c r="P11" s="15">
        <f t="shared" si="1"/>
        <v>120</v>
      </c>
      <c r="R11" s="1" t="s">
        <v>7</v>
      </c>
      <c r="S11" s="17">
        <f t="shared" ref="S11:AF11" si="3">SUM(C14:C17)</f>
        <v>72</v>
      </c>
      <c r="T11" s="17">
        <f t="shared" si="3"/>
        <v>192</v>
      </c>
      <c r="U11" s="17">
        <f t="shared" si="3"/>
        <v>14</v>
      </c>
      <c r="V11" s="17">
        <f t="shared" si="3"/>
        <v>118</v>
      </c>
      <c r="W11" s="17">
        <f t="shared" si="3"/>
        <v>3</v>
      </c>
      <c r="X11" s="17">
        <f t="shared" si="3"/>
        <v>0</v>
      </c>
      <c r="Y11" s="17">
        <f t="shared" si="3"/>
        <v>28</v>
      </c>
      <c r="Z11" s="17">
        <f t="shared" si="3"/>
        <v>2</v>
      </c>
      <c r="AA11" s="17">
        <f t="shared" si="3"/>
        <v>0</v>
      </c>
      <c r="AB11" s="17">
        <f t="shared" si="3"/>
        <v>1</v>
      </c>
      <c r="AC11" s="17">
        <f t="shared" si="3"/>
        <v>280</v>
      </c>
      <c r="AD11" s="17">
        <f t="shared" si="3"/>
        <v>0</v>
      </c>
      <c r="AE11" s="31">
        <f t="shared" si="3"/>
        <v>430</v>
      </c>
      <c r="AF11" s="31">
        <f t="shared" si="3"/>
        <v>710</v>
      </c>
    </row>
    <row r="12" spans="2:32" ht="23.1" customHeight="1" x14ac:dyDescent="0.25">
      <c r="B12" s="23" t="s">
        <v>39</v>
      </c>
      <c r="C12" s="50">
        <v>13</v>
      </c>
      <c r="D12" s="50">
        <v>45</v>
      </c>
      <c r="E12" s="50">
        <v>5</v>
      </c>
      <c r="F12" s="50">
        <v>19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50</v>
      </c>
      <c r="N12" s="50">
        <v>0</v>
      </c>
      <c r="O12" s="15">
        <f t="shared" si="0"/>
        <v>85</v>
      </c>
      <c r="P12" s="15">
        <f t="shared" si="1"/>
        <v>135</v>
      </c>
      <c r="R12" s="1" t="s">
        <v>8</v>
      </c>
      <c r="S12" s="17">
        <f t="shared" ref="S12:AF12" si="4">SUM(C18:C21)</f>
        <v>89</v>
      </c>
      <c r="T12" s="17">
        <f t="shared" si="4"/>
        <v>176</v>
      </c>
      <c r="U12" s="17">
        <f t="shared" si="4"/>
        <v>26</v>
      </c>
      <c r="V12" s="17">
        <f t="shared" si="4"/>
        <v>107</v>
      </c>
      <c r="W12" s="17">
        <f t="shared" si="4"/>
        <v>3</v>
      </c>
      <c r="X12" s="17">
        <f t="shared" si="4"/>
        <v>3</v>
      </c>
      <c r="Y12" s="17">
        <f t="shared" si="4"/>
        <v>33</v>
      </c>
      <c r="Z12" s="17">
        <f t="shared" si="4"/>
        <v>9</v>
      </c>
      <c r="AA12" s="17">
        <f t="shared" si="4"/>
        <v>0</v>
      </c>
      <c r="AB12" s="17">
        <f t="shared" si="4"/>
        <v>1</v>
      </c>
      <c r="AC12" s="17">
        <f t="shared" si="4"/>
        <v>279</v>
      </c>
      <c r="AD12" s="17">
        <f t="shared" si="4"/>
        <v>0</v>
      </c>
      <c r="AE12" s="31">
        <f t="shared" si="4"/>
        <v>447</v>
      </c>
      <c r="AF12" s="31">
        <f t="shared" si="4"/>
        <v>726</v>
      </c>
    </row>
    <row r="13" spans="2:32" ht="23.1" customHeight="1" x14ac:dyDescent="0.25">
      <c r="B13" s="23" t="s">
        <v>40</v>
      </c>
      <c r="C13" s="50">
        <v>29</v>
      </c>
      <c r="D13" s="50">
        <v>40</v>
      </c>
      <c r="E13" s="50">
        <v>3</v>
      </c>
      <c r="F13" s="50">
        <v>33</v>
      </c>
      <c r="G13" s="50">
        <v>2</v>
      </c>
      <c r="H13" s="50">
        <v>0</v>
      </c>
      <c r="I13" s="50">
        <v>8</v>
      </c>
      <c r="J13" s="50">
        <v>2</v>
      </c>
      <c r="K13" s="50">
        <v>0</v>
      </c>
      <c r="L13" s="50">
        <v>0</v>
      </c>
      <c r="M13" s="50">
        <v>60</v>
      </c>
      <c r="N13" s="50">
        <v>0</v>
      </c>
      <c r="O13" s="15">
        <f t="shared" si="0"/>
        <v>117</v>
      </c>
      <c r="P13" s="15">
        <f t="shared" si="1"/>
        <v>177</v>
      </c>
      <c r="R13" s="1" t="s">
        <v>9</v>
      </c>
      <c r="S13" s="17">
        <f t="shared" ref="S13:AF13" si="5">SUM(C22:C25)</f>
        <v>114</v>
      </c>
      <c r="T13" s="17">
        <f t="shared" si="5"/>
        <v>138</v>
      </c>
      <c r="U13" s="17">
        <f t="shared" si="5"/>
        <v>9</v>
      </c>
      <c r="V13" s="17">
        <f t="shared" si="5"/>
        <v>164</v>
      </c>
      <c r="W13" s="17">
        <f t="shared" si="5"/>
        <v>1</v>
      </c>
      <c r="X13" s="17">
        <f t="shared" si="5"/>
        <v>3</v>
      </c>
      <c r="Y13" s="17">
        <f t="shared" si="5"/>
        <v>25</v>
      </c>
      <c r="Z13" s="17">
        <f t="shared" si="5"/>
        <v>4</v>
      </c>
      <c r="AA13" s="17">
        <f t="shared" si="5"/>
        <v>1</v>
      </c>
      <c r="AB13" s="17">
        <f t="shared" si="5"/>
        <v>1</v>
      </c>
      <c r="AC13" s="17">
        <f t="shared" si="5"/>
        <v>311</v>
      </c>
      <c r="AD13" s="17">
        <f t="shared" si="5"/>
        <v>0</v>
      </c>
      <c r="AE13" s="31">
        <f t="shared" si="5"/>
        <v>460</v>
      </c>
      <c r="AF13" s="31">
        <f t="shared" si="5"/>
        <v>771</v>
      </c>
    </row>
    <row r="14" spans="2:32" ht="23.1" customHeight="1" x14ac:dyDescent="0.25">
      <c r="B14" s="23" t="s">
        <v>41</v>
      </c>
      <c r="C14" s="50">
        <v>22</v>
      </c>
      <c r="D14" s="50">
        <v>42</v>
      </c>
      <c r="E14" s="50">
        <v>3</v>
      </c>
      <c r="F14" s="50">
        <v>29</v>
      </c>
      <c r="G14" s="50">
        <v>1</v>
      </c>
      <c r="H14" s="50">
        <v>0</v>
      </c>
      <c r="I14" s="50">
        <v>6</v>
      </c>
      <c r="J14" s="50">
        <v>2</v>
      </c>
      <c r="K14" s="50">
        <v>0</v>
      </c>
      <c r="L14" s="50">
        <v>0</v>
      </c>
      <c r="M14" s="50">
        <v>47</v>
      </c>
      <c r="N14" s="50">
        <v>0</v>
      </c>
      <c r="O14" s="15">
        <f t="shared" si="0"/>
        <v>105</v>
      </c>
      <c r="P14" s="15">
        <f t="shared" si="1"/>
        <v>152</v>
      </c>
      <c r="R14" s="1" t="s">
        <v>10</v>
      </c>
      <c r="S14" s="17">
        <f t="shared" ref="S14:AF14" si="6">SUM(C26:C29)</f>
        <v>75</v>
      </c>
      <c r="T14" s="17">
        <f t="shared" si="6"/>
        <v>96</v>
      </c>
      <c r="U14" s="17">
        <f t="shared" si="6"/>
        <v>13</v>
      </c>
      <c r="V14" s="17">
        <f t="shared" si="6"/>
        <v>134</v>
      </c>
      <c r="W14" s="17">
        <f t="shared" si="6"/>
        <v>1</v>
      </c>
      <c r="X14" s="17">
        <f t="shared" si="6"/>
        <v>1</v>
      </c>
      <c r="Y14" s="17">
        <f t="shared" si="6"/>
        <v>23</v>
      </c>
      <c r="Z14" s="17">
        <f t="shared" si="6"/>
        <v>7</v>
      </c>
      <c r="AA14" s="17">
        <f t="shared" si="6"/>
        <v>1</v>
      </c>
      <c r="AB14" s="17">
        <f t="shared" si="6"/>
        <v>1</v>
      </c>
      <c r="AC14" s="17">
        <f t="shared" si="6"/>
        <v>314</v>
      </c>
      <c r="AD14" s="17">
        <f t="shared" si="6"/>
        <v>0</v>
      </c>
      <c r="AE14" s="31">
        <f t="shared" si="6"/>
        <v>352</v>
      </c>
      <c r="AF14" s="31">
        <f t="shared" si="6"/>
        <v>666</v>
      </c>
    </row>
    <row r="15" spans="2:32" ht="23.1" customHeight="1" x14ac:dyDescent="0.25">
      <c r="B15" s="23" t="s">
        <v>42</v>
      </c>
      <c r="C15" s="50">
        <v>11</v>
      </c>
      <c r="D15" s="50">
        <v>37</v>
      </c>
      <c r="E15" s="50">
        <v>4</v>
      </c>
      <c r="F15" s="50">
        <v>22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1</v>
      </c>
      <c r="M15" s="50">
        <v>55</v>
      </c>
      <c r="N15" s="50">
        <v>0</v>
      </c>
      <c r="O15" s="15">
        <f t="shared" si="0"/>
        <v>79</v>
      </c>
      <c r="P15" s="15">
        <f t="shared" si="1"/>
        <v>134</v>
      </c>
      <c r="R15" s="1" t="s">
        <v>11</v>
      </c>
      <c r="S15" s="17">
        <f t="shared" ref="S15:AF15" si="7">SUM(C30:C33)</f>
        <v>111</v>
      </c>
      <c r="T15" s="17">
        <f t="shared" si="7"/>
        <v>83</v>
      </c>
      <c r="U15" s="17">
        <f t="shared" si="7"/>
        <v>13</v>
      </c>
      <c r="V15" s="17">
        <f t="shared" si="7"/>
        <v>126</v>
      </c>
      <c r="W15" s="17">
        <f t="shared" si="7"/>
        <v>1</v>
      </c>
      <c r="X15" s="17">
        <f t="shared" si="7"/>
        <v>0</v>
      </c>
      <c r="Y15" s="17">
        <f t="shared" si="7"/>
        <v>28</v>
      </c>
      <c r="Z15" s="17">
        <f t="shared" si="7"/>
        <v>8</v>
      </c>
      <c r="AA15" s="17">
        <f t="shared" si="7"/>
        <v>1</v>
      </c>
      <c r="AB15" s="17">
        <f t="shared" si="7"/>
        <v>1</v>
      </c>
      <c r="AC15" s="17">
        <f t="shared" si="7"/>
        <v>346</v>
      </c>
      <c r="AD15" s="17">
        <f t="shared" si="7"/>
        <v>0</v>
      </c>
      <c r="AE15" s="31">
        <f t="shared" si="7"/>
        <v>372</v>
      </c>
      <c r="AF15" s="31">
        <f t="shared" si="7"/>
        <v>718</v>
      </c>
    </row>
    <row r="16" spans="2:32" ht="23.1" customHeight="1" x14ac:dyDescent="0.25">
      <c r="B16" s="23" t="s">
        <v>43</v>
      </c>
      <c r="C16" s="50">
        <v>17</v>
      </c>
      <c r="D16" s="50">
        <v>73</v>
      </c>
      <c r="E16" s="50">
        <v>4</v>
      </c>
      <c r="F16" s="50">
        <v>37</v>
      </c>
      <c r="G16" s="50">
        <v>1</v>
      </c>
      <c r="H16" s="50">
        <v>0</v>
      </c>
      <c r="I16" s="50">
        <v>8</v>
      </c>
      <c r="J16" s="50">
        <v>0</v>
      </c>
      <c r="K16" s="50">
        <v>0</v>
      </c>
      <c r="L16" s="50">
        <v>0</v>
      </c>
      <c r="M16" s="50">
        <v>90</v>
      </c>
      <c r="N16" s="50">
        <v>0</v>
      </c>
      <c r="O16" s="15">
        <f t="shared" si="0"/>
        <v>140</v>
      </c>
      <c r="P16" s="15">
        <f t="shared" si="1"/>
        <v>230</v>
      </c>
      <c r="R16" s="1" t="s">
        <v>12</v>
      </c>
      <c r="S16" s="17">
        <f t="shared" ref="S16:AF16" si="8">SUM(C34:C37)</f>
        <v>116</v>
      </c>
      <c r="T16" s="17">
        <f t="shared" si="8"/>
        <v>58</v>
      </c>
      <c r="U16" s="17">
        <f t="shared" si="8"/>
        <v>25</v>
      </c>
      <c r="V16" s="17">
        <f t="shared" si="8"/>
        <v>136</v>
      </c>
      <c r="W16" s="17">
        <f t="shared" si="8"/>
        <v>1</v>
      </c>
      <c r="X16" s="17">
        <f t="shared" si="8"/>
        <v>2</v>
      </c>
      <c r="Y16" s="17">
        <f t="shared" si="8"/>
        <v>62</v>
      </c>
      <c r="Z16" s="17">
        <f t="shared" si="8"/>
        <v>6</v>
      </c>
      <c r="AA16" s="17">
        <f t="shared" si="8"/>
        <v>2</v>
      </c>
      <c r="AB16" s="17">
        <f t="shared" si="8"/>
        <v>0</v>
      </c>
      <c r="AC16" s="17">
        <f t="shared" si="8"/>
        <v>312</v>
      </c>
      <c r="AD16" s="17">
        <f t="shared" si="8"/>
        <v>0</v>
      </c>
      <c r="AE16" s="31">
        <f t="shared" si="8"/>
        <v>408</v>
      </c>
      <c r="AF16" s="31">
        <f t="shared" si="8"/>
        <v>720</v>
      </c>
    </row>
    <row r="17" spans="2:32" ht="23.1" customHeight="1" x14ac:dyDescent="0.25">
      <c r="B17" s="23" t="s">
        <v>44</v>
      </c>
      <c r="C17" s="50">
        <v>22</v>
      </c>
      <c r="D17" s="50">
        <v>40</v>
      </c>
      <c r="E17" s="50">
        <v>3</v>
      </c>
      <c r="F17" s="50">
        <v>30</v>
      </c>
      <c r="G17" s="50">
        <v>1</v>
      </c>
      <c r="H17" s="50">
        <v>0</v>
      </c>
      <c r="I17" s="50">
        <v>10</v>
      </c>
      <c r="J17" s="50">
        <v>0</v>
      </c>
      <c r="K17" s="50">
        <v>0</v>
      </c>
      <c r="L17" s="50">
        <v>0</v>
      </c>
      <c r="M17" s="50">
        <v>88</v>
      </c>
      <c r="N17" s="50">
        <v>0</v>
      </c>
      <c r="O17" s="15">
        <f t="shared" si="0"/>
        <v>106</v>
      </c>
      <c r="P17" s="15">
        <f t="shared" si="1"/>
        <v>194</v>
      </c>
      <c r="R17" s="1" t="s">
        <v>13</v>
      </c>
      <c r="S17" s="17">
        <f t="shared" ref="S17:AF17" si="9">SUM(C38:C41)</f>
        <v>230</v>
      </c>
      <c r="T17" s="17">
        <f t="shared" si="9"/>
        <v>149</v>
      </c>
      <c r="U17" s="17">
        <f t="shared" si="9"/>
        <v>56</v>
      </c>
      <c r="V17" s="17">
        <f t="shared" si="9"/>
        <v>194</v>
      </c>
      <c r="W17" s="17">
        <f t="shared" si="9"/>
        <v>11</v>
      </c>
      <c r="X17" s="17">
        <f t="shared" si="9"/>
        <v>0</v>
      </c>
      <c r="Y17" s="17">
        <f t="shared" si="9"/>
        <v>61</v>
      </c>
      <c r="Z17" s="17">
        <f t="shared" si="9"/>
        <v>8</v>
      </c>
      <c r="AA17" s="17">
        <f t="shared" si="9"/>
        <v>0</v>
      </c>
      <c r="AB17" s="17">
        <f t="shared" si="9"/>
        <v>4</v>
      </c>
      <c r="AC17" s="17">
        <f t="shared" si="9"/>
        <v>343</v>
      </c>
      <c r="AD17" s="17">
        <f t="shared" si="9"/>
        <v>0</v>
      </c>
      <c r="AE17" s="31">
        <f t="shared" si="9"/>
        <v>713</v>
      </c>
      <c r="AF17" s="31">
        <f t="shared" si="9"/>
        <v>1056</v>
      </c>
    </row>
    <row r="18" spans="2:32" ht="23.1" customHeight="1" x14ac:dyDescent="0.25">
      <c r="B18" s="23" t="s">
        <v>45</v>
      </c>
      <c r="C18" s="50">
        <v>14</v>
      </c>
      <c r="D18" s="50">
        <v>60</v>
      </c>
      <c r="E18" s="50">
        <v>7</v>
      </c>
      <c r="F18" s="50">
        <v>33</v>
      </c>
      <c r="G18" s="50">
        <v>2</v>
      </c>
      <c r="H18" s="50">
        <v>0</v>
      </c>
      <c r="I18" s="50">
        <v>11</v>
      </c>
      <c r="J18" s="50">
        <v>4</v>
      </c>
      <c r="K18" s="50">
        <v>0</v>
      </c>
      <c r="L18" s="50">
        <v>1</v>
      </c>
      <c r="M18" s="50">
        <v>53</v>
      </c>
      <c r="N18" s="50">
        <v>0</v>
      </c>
      <c r="O18" s="15">
        <f t="shared" si="0"/>
        <v>132</v>
      </c>
      <c r="P18" s="15">
        <f t="shared" si="1"/>
        <v>185</v>
      </c>
      <c r="R18" s="1" t="s">
        <v>14</v>
      </c>
      <c r="S18" s="17">
        <f t="shared" ref="S18:AF18" si="10">SUM(C42:C45)</f>
        <v>165</v>
      </c>
      <c r="T18" s="17">
        <f t="shared" si="10"/>
        <v>145</v>
      </c>
      <c r="U18" s="17">
        <f t="shared" si="10"/>
        <v>62</v>
      </c>
      <c r="V18" s="17">
        <f t="shared" si="10"/>
        <v>230</v>
      </c>
      <c r="W18" s="17">
        <f t="shared" si="10"/>
        <v>5</v>
      </c>
      <c r="X18" s="17">
        <f t="shared" si="10"/>
        <v>10</v>
      </c>
      <c r="Y18" s="17">
        <f t="shared" si="10"/>
        <v>130</v>
      </c>
      <c r="Z18" s="17">
        <f t="shared" si="10"/>
        <v>11</v>
      </c>
      <c r="AA18" s="17">
        <f t="shared" si="10"/>
        <v>0</v>
      </c>
      <c r="AB18" s="17">
        <f t="shared" si="10"/>
        <v>8</v>
      </c>
      <c r="AC18" s="17">
        <f t="shared" si="10"/>
        <v>300</v>
      </c>
      <c r="AD18" s="17">
        <f t="shared" si="10"/>
        <v>0</v>
      </c>
      <c r="AE18" s="31">
        <f t="shared" si="10"/>
        <v>766</v>
      </c>
      <c r="AF18" s="31">
        <f t="shared" si="10"/>
        <v>1066</v>
      </c>
    </row>
    <row r="19" spans="2:32" ht="23.1" customHeight="1" x14ac:dyDescent="0.25">
      <c r="B19" s="23" t="s">
        <v>46</v>
      </c>
      <c r="C19" s="50">
        <v>15</v>
      </c>
      <c r="D19" s="50">
        <v>47</v>
      </c>
      <c r="E19" s="50">
        <v>11</v>
      </c>
      <c r="F19" s="50">
        <v>1</v>
      </c>
      <c r="G19" s="50">
        <v>1</v>
      </c>
      <c r="H19" s="50">
        <v>2</v>
      </c>
      <c r="I19" s="50">
        <v>6</v>
      </c>
      <c r="J19" s="50">
        <v>2</v>
      </c>
      <c r="K19" s="50">
        <v>0</v>
      </c>
      <c r="L19" s="50">
        <v>0</v>
      </c>
      <c r="M19" s="50">
        <v>74</v>
      </c>
      <c r="N19" s="50">
        <v>0</v>
      </c>
      <c r="O19" s="15">
        <f t="shared" si="0"/>
        <v>85</v>
      </c>
      <c r="P19" s="15">
        <f t="shared" si="1"/>
        <v>159</v>
      </c>
      <c r="R19" s="1" t="s">
        <v>15</v>
      </c>
      <c r="S19" s="17">
        <f t="shared" ref="S19:AF19" si="11">SUM(C46:C49)</f>
        <v>184</v>
      </c>
      <c r="T19" s="17">
        <f t="shared" si="11"/>
        <v>98</v>
      </c>
      <c r="U19" s="17">
        <f t="shared" si="11"/>
        <v>42</v>
      </c>
      <c r="V19" s="17">
        <f t="shared" si="11"/>
        <v>184</v>
      </c>
      <c r="W19" s="17">
        <f t="shared" si="11"/>
        <v>11</v>
      </c>
      <c r="X19" s="17">
        <f t="shared" si="11"/>
        <v>2</v>
      </c>
      <c r="Y19" s="17">
        <f t="shared" si="11"/>
        <v>84</v>
      </c>
      <c r="Z19" s="17">
        <f t="shared" si="11"/>
        <v>10</v>
      </c>
      <c r="AA19" s="17">
        <f t="shared" si="11"/>
        <v>1</v>
      </c>
      <c r="AB19" s="17">
        <f t="shared" si="11"/>
        <v>1</v>
      </c>
      <c r="AC19" s="17">
        <f t="shared" si="11"/>
        <v>250</v>
      </c>
      <c r="AD19" s="17">
        <f t="shared" si="11"/>
        <v>0</v>
      </c>
      <c r="AE19" s="31">
        <f t="shared" si="11"/>
        <v>617</v>
      </c>
      <c r="AF19" s="31">
        <f t="shared" si="11"/>
        <v>867</v>
      </c>
    </row>
    <row r="20" spans="2:32" ht="23.1" customHeight="1" x14ac:dyDescent="0.25">
      <c r="B20" s="23" t="s">
        <v>47</v>
      </c>
      <c r="C20" s="50">
        <v>20</v>
      </c>
      <c r="D20" s="50">
        <v>29</v>
      </c>
      <c r="E20" s="50">
        <v>2</v>
      </c>
      <c r="F20" s="50">
        <v>32</v>
      </c>
      <c r="G20" s="50">
        <v>0</v>
      </c>
      <c r="H20" s="50">
        <v>1</v>
      </c>
      <c r="I20" s="50">
        <v>9</v>
      </c>
      <c r="J20" s="50">
        <v>1</v>
      </c>
      <c r="K20" s="50">
        <v>0</v>
      </c>
      <c r="L20" s="50">
        <v>0</v>
      </c>
      <c r="M20" s="50">
        <v>57</v>
      </c>
      <c r="N20" s="50">
        <v>0</v>
      </c>
      <c r="O20" s="15">
        <f t="shared" si="0"/>
        <v>94</v>
      </c>
      <c r="P20" s="15">
        <f t="shared" si="1"/>
        <v>151</v>
      </c>
      <c r="R20" s="1" t="s">
        <v>16</v>
      </c>
      <c r="S20" s="17">
        <f t="shared" ref="S20:AF20" si="12">SUM(C50:C53)</f>
        <v>140</v>
      </c>
      <c r="T20" s="17">
        <f t="shared" si="12"/>
        <v>113</v>
      </c>
      <c r="U20" s="17">
        <f t="shared" si="12"/>
        <v>53</v>
      </c>
      <c r="V20" s="17">
        <f t="shared" si="12"/>
        <v>145</v>
      </c>
      <c r="W20" s="17">
        <f t="shared" si="12"/>
        <v>14</v>
      </c>
      <c r="X20" s="17">
        <f t="shared" si="12"/>
        <v>7</v>
      </c>
      <c r="Y20" s="17">
        <f t="shared" si="12"/>
        <v>60</v>
      </c>
      <c r="Z20" s="17">
        <f t="shared" si="12"/>
        <v>1</v>
      </c>
      <c r="AA20" s="17">
        <f t="shared" si="12"/>
        <v>5</v>
      </c>
      <c r="AB20" s="17">
        <f t="shared" si="12"/>
        <v>4</v>
      </c>
      <c r="AC20" s="17">
        <f t="shared" si="12"/>
        <v>280</v>
      </c>
      <c r="AD20" s="17">
        <f t="shared" si="12"/>
        <v>0</v>
      </c>
      <c r="AE20" s="31">
        <f t="shared" si="12"/>
        <v>542</v>
      </c>
      <c r="AF20" s="31">
        <f t="shared" si="12"/>
        <v>822</v>
      </c>
    </row>
    <row r="21" spans="2:32" ht="23.1" customHeight="1" x14ac:dyDescent="0.25">
      <c r="B21" s="23" t="s">
        <v>48</v>
      </c>
      <c r="C21" s="50">
        <v>40</v>
      </c>
      <c r="D21" s="50">
        <v>40</v>
      </c>
      <c r="E21" s="50">
        <v>6</v>
      </c>
      <c r="F21" s="50">
        <v>41</v>
      </c>
      <c r="G21" s="50">
        <v>0</v>
      </c>
      <c r="H21" s="50">
        <v>0</v>
      </c>
      <c r="I21" s="50">
        <v>7</v>
      </c>
      <c r="J21" s="50">
        <v>2</v>
      </c>
      <c r="K21" s="50">
        <v>0</v>
      </c>
      <c r="L21" s="50">
        <v>0</v>
      </c>
      <c r="M21" s="50">
        <v>95</v>
      </c>
      <c r="N21" s="50">
        <v>0</v>
      </c>
      <c r="O21" s="15">
        <f t="shared" si="0"/>
        <v>136</v>
      </c>
      <c r="P21" s="15">
        <f t="shared" si="1"/>
        <v>231</v>
      </c>
      <c r="R21" s="36" t="s">
        <v>20</v>
      </c>
      <c r="S21" s="34">
        <f t="shared" ref="S21:AF21" si="13">SUM(C54:C57)</f>
        <v>113</v>
      </c>
      <c r="T21" s="17">
        <f t="shared" si="13"/>
        <v>57</v>
      </c>
      <c r="U21" s="17">
        <f t="shared" si="13"/>
        <v>8</v>
      </c>
      <c r="V21" s="17">
        <f t="shared" si="13"/>
        <v>125</v>
      </c>
      <c r="W21" s="17">
        <f t="shared" si="13"/>
        <v>4</v>
      </c>
      <c r="X21" s="17">
        <f t="shared" si="13"/>
        <v>3</v>
      </c>
      <c r="Y21" s="17">
        <f t="shared" si="13"/>
        <v>27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290</v>
      </c>
      <c r="AD21" s="17">
        <f t="shared" si="13"/>
        <v>0</v>
      </c>
      <c r="AE21" s="31">
        <f t="shared" si="13"/>
        <v>340</v>
      </c>
      <c r="AF21" s="31">
        <f t="shared" si="13"/>
        <v>630</v>
      </c>
    </row>
    <row r="22" spans="2:32" ht="23.1" customHeight="1" x14ac:dyDescent="0.25">
      <c r="B22" s="23" t="s">
        <v>49</v>
      </c>
      <c r="C22" s="50">
        <v>43</v>
      </c>
      <c r="D22" s="50">
        <v>50</v>
      </c>
      <c r="E22" s="50">
        <v>3</v>
      </c>
      <c r="F22" s="50">
        <v>49</v>
      </c>
      <c r="G22" s="50">
        <v>1</v>
      </c>
      <c r="H22" s="50">
        <v>2</v>
      </c>
      <c r="I22" s="50">
        <v>7</v>
      </c>
      <c r="J22" s="50">
        <v>2</v>
      </c>
      <c r="K22" s="50">
        <v>0</v>
      </c>
      <c r="L22" s="50">
        <v>0</v>
      </c>
      <c r="M22" s="50">
        <v>76</v>
      </c>
      <c r="N22" s="50">
        <v>0</v>
      </c>
      <c r="O22" s="15">
        <f t="shared" si="0"/>
        <v>157</v>
      </c>
      <c r="P22" s="15">
        <f t="shared" si="1"/>
        <v>233</v>
      </c>
      <c r="R22" s="38" t="s">
        <v>90</v>
      </c>
      <c r="S22" s="39">
        <f>MAX(S10:S12)</f>
        <v>89</v>
      </c>
      <c r="T22" s="39">
        <f t="shared" ref="T22:AF22" si="14">MAX(T10:T12)</f>
        <v>192</v>
      </c>
      <c r="U22" s="39">
        <f t="shared" si="14"/>
        <v>26</v>
      </c>
      <c r="V22" s="39">
        <f t="shared" si="14"/>
        <v>118</v>
      </c>
      <c r="W22" s="39">
        <f t="shared" si="14"/>
        <v>3</v>
      </c>
      <c r="X22" s="39">
        <f t="shared" si="14"/>
        <v>3</v>
      </c>
      <c r="Y22" s="39">
        <f t="shared" si="14"/>
        <v>33</v>
      </c>
      <c r="Z22" s="39">
        <f t="shared" si="14"/>
        <v>9</v>
      </c>
      <c r="AA22" s="39">
        <f t="shared" si="14"/>
        <v>0</v>
      </c>
      <c r="AB22" s="39">
        <f t="shared" si="14"/>
        <v>1</v>
      </c>
      <c r="AC22" s="39">
        <f t="shared" si="14"/>
        <v>280</v>
      </c>
      <c r="AD22" s="39">
        <f t="shared" si="14"/>
        <v>0</v>
      </c>
      <c r="AE22" s="40">
        <f t="shared" si="14"/>
        <v>447</v>
      </c>
      <c r="AF22" s="40">
        <f t="shared" si="14"/>
        <v>726</v>
      </c>
    </row>
    <row r="23" spans="2:32" ht="23.1" customHeight="1" x14ac:dyDescent="0.25">
      <c r="B23" s="23" t="s">
        <v>50</v>
      </c>
      <c r="C23" s="50">
        <v>22</v>
      </c>
      <c r="D23" s="50">
        <v>32</v>
      </c>
      <c r="E23" s="50">
        <v>5</v>
      </c>
      <c r="F23" s="50">
        <v>44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1</v>
      </c>
      <c r="M23" s="50">
        <v>75</v>
      </c>
      <c r="N23" s="50">
        <v>0</v>
      </c>
      <c r="O23" s="15">
        <f t="shared" si="0"/>
        <v>111</v>
      </c>
      <c r="P23" s="15">
        <f t="shared" si="1"/>
        <v>186</v>
      </c>
      <c r="R23" s="38" t="s">
        <v>91</v>
      </c>
      <c r="S23" s="39">
        <f>MAX(S13:S18)</f>
        <v>230</v>
      </c>
      <c r="T23" s="39">
        <f t="shared" ref="T23:AF23" si="15">MAX(T13:T18)</f>
        <v>149</v>
      </c>
      <c r="U23" s="39">
        <f t="shared" si="15"/>
        <v>62</v>
      </c>
      <c r="V23" s="39">
        <f t="shared" si="15"/>
        <v>230</v>
      </c>
      <c r="W23" s="39">
        <f t="shared" si="15"/>
        <v>11</v>
      </c>
      <c r="X23" s="39">
        <f t="shared" si="15"/>
        <v>10</v>
      </c>
      <c r="Y23" s="39">
        <f t="shared" si="15"/>
        <v>130</v>
      </c>
      <c r="Z23" s="39">
        <f t="shared" si="15"/>
        <v>11</v>
      </c>
      <c r="AA23" s="39">
        <f t="shared" si="15"/>
        <v>2</v>
      </c>
      <c r="AB23" s="39">
        <f t="shared" si="15"/>
        <v>8</v>
      </c>
      <c r="AC23" s="39">
        <f t="shared" si="15"/>
        <v>346</v>
      </c>
      <c r="AD23" s="39">
        <f t="shared" si="15"/>
        <v>0</v>
      </c>
      <c r="AE23" s="40">
        <f t="shared" si="15"/>
        <v>766</v>
      </c>
      <c r="AF23" s="40">
        <f t="shared" si="15"/>
        <v>1066</v>
      </c>
    </row>
    <row r="24" spans="2:32" ht="23.1" customHeight="1" x14ac:dyDescent="0.25">
      <c r="B24" s="23" t="s">
        <v>51</v>
      </c>
      <c r="C24" s="50">
        <v>21</v>
      </c>
      <c r="D24" s="50">
        <v>25</v>
      </c>
      <c r="E24" s="50">
        <v>0</v>
      </c>
      <c r="F24" s="50">
        <v>37</v>
      </c>
      <c r="G24" s="50">
        <v>0</v>
      </c>
      <c r="H24" s="50">
        <v>1</v>
      </c>
      <c r="I24" s="50">
        <v>2</v>
      </c>
      <c r="J24" s="50">
        <v>0</v>
      </c>
      <c r="K24" s="50">
        <v>1</v>
      </c>
      <c r="L24" s="50">
        <v>0</v>
      </c>
      <c r="M24" s="50">
        <v>75</v>
      </c>
      <c r="N24" s="50">
        <v>0</v>
      </c>
      <c r="O24" s="15">
        <f t="shared" si="0"/>
        <v>87</v>
      </c>
      <c r="P24" s="15">
        <f t="shared" si="1"/>
        <v>162</v>
      </c>
      <c r="R24" s="38" t="s">
        <v>92</v>
      </c>
      <c r="S24" s="39">
        <f>MAX(S19:S21)</f>
        <v>184</v>
      </c>
      <c r="T24" s="39">
        <f t="shared" ref="T24:AF24" si="16">MAX(T19:T21)</f>
        <v>113</v>
      </c>
      <c r="U24" s="39">
        <f t="shared" si="16"/>
        <v>53</v>
      </c>
      <c r="V24" s="39">
        <f t="shared" si="16"/>
        <v>184</v>
      </c>
      <c r="W24" s="39">
        <f t="shared" si="16"/>
        <v>14</v>
      </c>
      <c r="X24" s="39">
        <f t="shared" si="16"/>
        <v>7</v>
      </c>
      <c r="Y24" s="39">
        <f t="shared" si="16"/>
        <v>84</v>
      </c>
      <c r="Z24" s="39">
        <f t="shared" si="16"/>
        <v>10</v>
      </c>
      <c r="AA24" s="39">
        <f t="shared" si="16"/>
        <v>5</v>
      </c>
      <c r="AB24" s="39">
        <f t="shared" si="16"/>
        <v>4</v>
      </c>
      <c r="AC24" s="39">
        <f t="shared" si="16"/>
        <v>290</v>
      </c>
      <c r="AD24" s="39">
        <f t="shared" si="16"/>
        <v>0</v>
      </c>
      <c r="AE24" s="40">
        <f t="shared" si="16"/>
        <v>617</v>
      </c>
      <c r="AF24" s="40">
        <f t="shared" si="16"/>
        <v>867</v>
      </c>
    </row>
    <row r="25" spans="2:32" ht="23.1" customHeight="1" x14ac:dyDescent="0.25">
      <c r="B25" s="23" t="s">
        <v>52</v>
      </c>
      <c r="C25" s="50">
        <v>28</v>
      </c>
      <c r="D25" s="50">
        <v>31</v>
      </c>
      <c r="E25" s="50">
        <v>1</v>
      </c>
      <c r="F25" s="50">
        <v>34</v>
      </c>
      <c r="G25" s="50">
        <v>0</v>
      </c>
      <c r="H25" s="50">
        <v>0</v>
      </c>
      <c r="I25" s="50">
        <v>11</v>
      </c>
      <c r="J25" s="50">
        <v>0</v>
      </c>
      <c r="K25" s="50">
        <v>0</v>
      </c>
      <c r="L25" s="50">
        <v>0</v>
      </c>
      <c r="M25" s="50">
        <v>85</v>
      </c>
      <c r="N25" s="50">
        <v>0</v>
      </c>
      <c r="O25" s="15">
        <f t="shared" si="0"/>
        <v>105</v>
      </c>
      <c r="P25" s="15">
        <f t="shared" si="1"/>
        <v>190</v>
      </c>
      <c r="R25" s="37" t="s">
        <v>85</v>
      </c>
      <c r="S25" s="35">
        <f t="shared" ref="S25:AF25" si="17">SUM(S10:S12)</f>
        <v>247</v>
      </c>
      <c r="T25" s="16">
        <f t="shared" si="17"/>
        <v>513</v>
      </c>
      <c r="U25" s="16">
        <f t="shared" si="17"/>
        <v>59</v>
      </c>
      <c r="V25" s="16">
        <f t="shared" si="17"/>
        <v>317</v>
      </c>
      <c r="W25" s="16">
        <f t="shared" si="17"/>
        <v>8</v>
      </c>
      <c r="X25" s="16">
        <f t="shared" si="17"/>
        <v>4</v>
      </c>
      <c r="Y25" s="16">
        <f t="shared" si="17"/>
        <v>78</v>
      </c>
      <c r="Z25" s="16">
        <f t="shared" si="17"/>
        <v>14</v>
      </c>
      <c r="AA25" s="16">
        <f t="shared" si="17"/>
        <v>0</v>
      </c>
      <c r="AB25" s="16">
        <f t="shared" si="17"/>
        <v>3</v>
      </c>
      <c r="AC25" s="16">
        <f t="shared" si="17"/>
        <v>774</v>
      </c>
      <c r="AD25" s="16">
        <f t="shared" si="17"/>
        <v>0</v>
      </c>
      <c r="AE25" s="32">
        <f t="shared" si="17"/>
        <v>1243</v>
      </c>
      <c r="AF25" s="32">
        <f t="shared" si="17"/>
        <v>2017</v>
      </c>
    </row>
    <row r="26" spans="2:32" ht="23.1" customHeight="1" x14ac:dyDescent="0.25">
      <c r="B26" s="23" t="s">
        <v>53</v>
      </c>
      <c r="C26" s="50">
        <v>23</v>
      </c>
      <c r="D26" s="50">
        <v>30</v>
      </c>
      <c r="E26" s="50">
        <v>5</v>
      </c>
      <c r="F26" s="50">
        <v>50</v>
      </c>
      <c r="G26" s="50">
        <v>0</v>
      </c>
      <c r="H26" s="50">
        <v>0</v>
      </c>
      <c r="I26" s="50">
        <v>6</v>
      </c>
      <c r="J26" s="50">
        <v>3</v>
      </c>
      <c r="K26" s="50">
        <v>0</v>
      </c>
      <c r="L26" s="50">
        <v>0</v>
      </c>
      <c r="M26" s="50">
        <v>92</v>
      </c>
      <c r="N26" s="50">
        <v>0</v>
      </c>
      <c r="O26" s="15">
        <f t="shared" si="0"/>
        <v>117</v>
      </c>
      <c r="P26" s="15">
        <f t="shared" si="1"/>
        <v>209</v>
      </c>
      <c r="R26" s="28" t="s">
        <v>86</v>
      </c>
      <c r="S26" s="16">
        <f t="shared" ref="S26:AF26" si="18">SUM(S13:S18)</f>
        <v>811</v>
      </c>
      <c r="T26" s="16">
        <f t="shared" si="18"/>
        <v>669</v>
      </c>
      <c r="U26" s="16">
        <f t="shared" si="18"/>
        <v>178</v>
      </c>
      <c r="V26" s="16">
        <f t="shared" si="18"/>
        <v>984</v>
      </c>
      <c r="W26" s="16">
        <f t="shared" si="18"/>
        <v>20</v>
      </c>
      <c r="X26" s="16">
        <f t="shared" si="18"/>
        <v>16</v>
      </c>
      <c r="Y26" s="16">
        <f t="shared" si="18"/>
        <v>329</v>
      </c>
      <c r="Z26" s="16">
        <f t="shared" si="18"/>
        <v>44</v>
      </c>
      <c r="AA26" s="16">
        <f t="shared" si="18"/>
        <v>5</v>
      </c>
      <c r="AB26" s="16">
        <f t="shared" si="18"/>
        <v>15</v>
      </c>
      <c r="AC26" s="16">
        <f t="shared" si="18"/>
        <v>1926</v>
      </c>
      <c r="AD26" s="16">
        <f t="shared" si="18"/>
        <v>0</v>
      </c>
      <c r="AE26" s="32">
        <f t="shared" si="18"/>
        <v>3071</v>
      </c>
      <c r="AF26" s="32">
        <f t="shared" si="18"/>
        <v>4997</v>
      </c>
    </row>
    <row r="27" spans="2:32" ht="23.1" customHeight="1" x14ac:dyDescent="0.25">
      <c r="B27" s="23" t="s">
        <v>54</v>
      </c>
      <c r="C27" s="50">
        <v>15</v>
      </c>
      <c r="D27" s="50">
        <v>21</v>
      </c>
      <c r="E27" s="50">
        <v>0</v>
      </c>
      <c r="F27" s="50">
        <v>13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1</v>
      </c>
      <c r="M27" s="50">
        <v>95</v>
      </c>
      <c r="N27" s="50">
        <v>0</v>
      </c>
      <c r="O27" s="15">
        <f t="shared" si="0"/>
        <v>57</v>
      </c>
      <c r="P27" s="15">
        <f t="shared" si="1"/>
        <v>152</v>
      </c>
      <c r="R27" s="29" t="s">
        <v>87</v>
      </c>
      <c r="S27" s="16">
        <f t="shared" ref="S27:AF27" si="19">SUM(S19:S21)</f>
        <v>437</v>
      </c>
      <c r="T27" s="16">
        <f t="shared" si="19"/>
        <v>268</v>
      </c>
      <c r="U27" s="16">
        <f t="shared" si="19"/>
        <v>103</v>
      </c>
      <c r="V27" s="16">
        <f t="shared" si="19"/>
        <v>454</v>
      </c>
      <c r="W27" s="16">
        <f t="shared" si="19"/>
        <v>29</v>
      </c>
      <c r="X27" s="16">
        <f t="shared" si="19"/>
        <v>12</v>
      </c>
      <c r="Y27" s="16">
        <f t="shared" si="19"/>
        <v>171</v>
      </c>
      <c r="Z27" s="16">
        <f t="shared" si="19"/>
        <v>14</v>
      </c>
      <c r="AA27" s="16">
        <f t="shared" si="19"/>
        <v>6</v>
      </c>
      <c r="AB27" s="16">
        <f t="shared" si="19"/>
        <v>5</v>
      </c>
      <c r="AC27" s="16">
        <f t="shared" si="19"/>
        <v>820</v>
      </c>
      <c r="AD27" s="16">
        <f t="shared" si="19"/>
        <v>0</v>
      </c>
      <c r="AE27" s="32">
        <f t="shared" si="19"/>
        <v>1499</v>
      </c>
      <c r="AF27" s="32">
        <f t="shared" si="19"/>
        <v>2319</v>
      </c>
    </row>
    <row r="28" spans="2:32" ht="23.1" customHeight="1" x14ac:dyDescent="0.25">
      <c r="B28" s="23" t="s">
        <v>55</v>
      </c>
      <c r="C28" s="50">
        <v>17</v>
      </c>
      <c r="D28" s="50">
        <v>13</v>
      </c>
      <c r="E28" s="50">
        <v>1</v>
      </c>
      <c r="F28" s="50">
        <v>30</v>
      </c>
      <c r="G28" s="50">
        <v>1</v>
      </c>
      <c r="H28" s="50">
        <v>1</v>
      </c>
      <c r="I28" s="50">
        <v>7</v>
      </c>
      <c r="J28" s="50">
        <v>3</v>
      </c>
      <c r="K28" s="50">
        <v>0</v>
      </c>
      <c r="L28" s="50">
        <v>0</v>
      </c>
      <c r="M28" s="50">
        <v>47</v>
      </c>
      <c r="N28" s="50">
        <v>0</v>
      </c>
      <c r="O28" s="15">
        <f t="shared" si="0"/>
        <v>73</v>
      </c>
      <c r="P28" s="15">
        <f t="shared" si="1"/>
        <v>120</v>
      </c>
      <c r="R28" s="5" t="s">
        <v>17</v>
      </c>
      <c r="S28" s="16">
        <f t="shared" ref="S28:AF28" si="20">SUM(S10:S21)</f>
        <v>1495</v>
      </c>
      <c r="T28" s="16">
        <f t="shared" si="20"/>
        <v>1450</v>
      </c>
      <c r="U28" s="16">
        <f t="shared" si="20"/>
        <v>340</v>
      </c>
      <c r="V28" s="16">
        <f t="shared" si="20"/>
        <v>1755</v>
      </c>
      <c r="W28" s="16">
        <f t="shared" si="20"/>
        <v>57</v>
      </c>
      <c r="X28" s="16">
        <f t="shared" si="20"/>
        <v>32</v>
      </c>
      <c r="Y28" s="16">
        <f t="shared" si="20"/>
        <v>578</v>
      </c>
      <c r="Z28" s="16">
        <f t="shared" si="20"/>
        <v>72</v>
      </c>
      <c r="AA28" s="16">
        <f t="shared" si="20"/>
        <v>11</v>
      </c>
      <c r="AB28" s="16">
        <f t="shared" si="20"/>
        <v>23</v>
      </c>
      <c r="AC28" s="16">
        <f t="shared" si="20"/>
        <v>3520</v>
      </c>
      <c r="AD28" s="16">
        <f t="shared" si="20"/>
        <v>0</v>
      </c>
      <c r="AE28" s="32">
        <f t="shared" si="20"/>
        <v>5813</v>
      </c>
      <c r="AF28" s="32">
        <f t="shared" si="20"/>
        <v>9333</v>
      </c>
    </row>
    <row r="29" spans="2:32" ht="23.1" customHeight="1" x14ac:dyDescent="0.25">
      <c r="B29" s="23" t="s">
        <v>56</v>
      </c>
      <c r="C29" s="50">
        <v>20</v>
      </c>
      <c r="D29" s="50">
        <v>32</v>
      </c>
      <c r="E29" s="50">
        <v>7</v>
      </c>
      <c r="F29" s="50">
        <v>41</v>
      </c>
      <c r="G29" s="50">
        <v>0</v>
      </c>
      <c r="H29" s="50">
        <v>0</v>
      </c>
      <c r="I29" s="50">
        <v>3</v>
      </c>
      <c r="J29" s="50">
        <v>1</v>
      </c>
      <c r="K29" s="50">
        <v>1</v>
      </c>
      <c r="L29" s="50">
        <v>0</v>
      </c>
      <c r="M29" s="50">
        <v>80</v>
      </c>
      <c r="N29" s="50">
        <v>0</v>
      </c>
      <c r="O29" s="15">
        <f t="shared" si="0"/>
        <v>105</v>
      </c>
      <c r="P29" s="15">
        <f t="shared" si="1"/>
        <v>185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27</v>
      </c>
      <c r="E30" s="50">
        <v>2</v>
      </c>
      <c r="F30" s="50">
        <v>34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85</v>
      </c>
      <c r="N30" s="50">
        <v>0</v>
      </c>
      <c r="O30" s="15">
        <f t="shared" si="0"/>
        <v>84</v>
      </c>
      <c r="P30" s="15">
        <f t="shared" si="1"/>
        <v>169</v>
      </c>
    </row>
    <row r="31" spans="2:32" ht="23.1" customHeight="1" x14ac:dyDescent="0.25">
      <c r="B31" s="24" t="s">
        <v>58</v>
      </c>
      <c r="C31" s="50">
        <v>39</v>
      </c>
      <c r="D31" s="50">
        <v>16</v>
      </c>
      <c r="E31" s="50">
        <v>3</v>
      </c>
      <c r="F31" s="50">
        <v>29</v>
      </c>
      <c r="G31" s="50">
        <v>0</v>
      </c>
      <c r="H31" s="50">
        <v>0</v>
      </c>
      <c r="I31" s="50">
        <v>4</v>
      </c>
      <c r="J31" s="50">
        <v>3</v>
      </c>
      <c r="K31" s="50">
        <v>0</v>
      </c>
      <c r="L31" s="50">
        <v>1</v>
      </c>
      <c r="M31" s="50">
        <v>83</v>
      </c>
      <c r="N31" s="50">
        <v>0</v>
      </c>
      <c r="O31" s="15">
        <f t="shared" si="0"/>
        <v>95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29</v>
      </c>
      <c r="D32" s="50">
        <v>22</v>
      </c>
      <c r="E32" s="50">
        <v>3</v>
      </c>
      <c r="F32" s="50">
        <v>26</v>
      </c>
      <c r="G32" s="50">
        <v>1</v>
      </c>
      <c r="H32" s="50">
        <v>0</v>
      </c>
      <c r="I32" s="50">
        <v>13</v>
      </c>
      <c r="J32" s="50">
        <v>2</v>
      </c>
      <c r="K32" s="50">
        <v>0</v>
      </c>
      <c r="L32" s="50">
        <v>0</v>
      </c>
      <c r="M32" s="50">
        <v>83</v>
      </c>
      <c r="N32" s="50">
        <v>0</v>
      </c>
      <c r="O32" s="15">
        <f t="shared" si="0"/>
        <v>96</v>
      </c>
      <c r="P32" s="15">
        <f t="shared" si="1"/>
        <v>179</v>
      </c>
    </row>
    <row r="33" spans="2:20" ht="23.1" customHeight="1" x14ac:dyDescent="0.25">
      <c r="B33" s="23" t="s">
        <v>60</v>
      </c>
      <c r="C33" s="50">
        <v>27</v>
      </c>
      <c r="D33" s="50">
        <v>18</v>
      </c>
      <c r="E33" s="50">
        <v>5</v>
      </c>
      <c r="F33" s="50">
        <v>37</v>
      </c>
      <c r="G33" s="50">
        <v>0</v>
      </c>
      <c r="H33" s="50">
        <v>0</v>
      </c>
      <c r="I33" s="50">
        <v>7</v>
      </c>
      <c r="J33" s="50">
        <v>2</v>
      </c>
      <c r="K33" s="50">
        <v>1</v>
      </c>
      <c r="L33" s="50">
        <v>0</v>
      </c>
      <c r="M33" s="50">
        <v>95</v>
      </c>
      <c r="N33" s="50">
        <v>0</v>
      </c>
      <c r="O33" s="15">
        <f t="shared" si="0"/>
        <v>97</v>
      </c>
      <c r="P33" s="15">
        <f t="shared" si="1"/>
        <v>192</v>
      </c>
    </row>
    <row r="34" spans="2:20" ht="23.1" customHeight="1" x14ac:dyDescent="0.25">
      <c r="B34" s="24" t="s">
        <v>61</v>
      </c>
      <c r="C34" s="50">
        <v>40</v>
      </c>
      <c r="D34" s="50">
        <v>12</v>
      </c>
      <c r="E34" s="50">
        <v>7</v>
      </c>
      <c r="F34" s="50">
        <v>33</v>
      </c>
      <c r="G34" s="50">
        <v>0</v>
      </c>
      <c r="H34" s="50">
        <v>0</v>
      </c>
      <c r="I34" s="50">
        <v>15</v>
      </c>
      <c r="J34" s="50">
        <v>5</v>
      </c>
      <c r="K34" s="50">
        <v>2</v>
      </c>
      <c r="L34" s="50">
        <v>0</v>
      </c>
      <c r="M34" s="50">
        <v>105</v>
      </c>
      <c r="N34" s="50">
        <v>0</v>
      </c>
      <c r="O34" s="15">
        <f t="shared" si="0"/>
        <v>114</v>
      </c>
      <c r="P34" s="15">
        <f t="shared" si="1"/>
        <v>219</v>
      </c>
    </row>
    <row r="35" spans="2:20" ht="23.1" customHeight="1" x14ac:dyDescent="0.25">
      <c r="B35" s="24" t="s">
        <v>62</v>
      </c>
      <c r="C35" s="50">
        <v>19</v>
      </c>
      <c r="D35" s="50">
        <v>19</v>
      </c>
      <c r="E35" s="50">
        <v>2</v>
      </c>
      <c r="F35" s="50">
        <v>26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65</v>
      </c>
      <c r="N35" s="50">
        <v>0</v>
      </c>
      <c r="O35" s="15">
        <f t="shared" si="0"/>
        <v>69</v>
      </c>
      <c r="P35" s="15">
        <f t="shared" si="1"/>
        <v>134</v>
      </c>
    </row>
    <row r="36" spans="2:20" ht="23.1" customHeight="1" x14ac:dyDescent="0.25">
      <c r="B36" s="24" t="s">
        <v>63</v>
      </c>
      <c r="C36" s="50">
        <v>19</v>
      </c>
      <c r="D36" s="50">
        <v>12</v>
      </c>
      <c r="E36" s="50">
        <v>6</v>
      </c>
      <c r="F36" s="50">
        <v>31</v>
      </c>
      <c r="G36" s="50">
        <v>0</v>
      </c>
      <c r="H36" s="50">
        <v>1</v>
      </c>
      <c r="I36" s="50">
        <v>11</v>
      </c>
      <c r="J36" s="50">
        <v>0</v>
      </c>
      <c r="K36" s="50">
        <v>0</v>
      </c>
      <c r="L36" s="50">
        <v>0</v>
      </c>
      <c r="M36" s="50">
        <v>68</v>
      </c>
      <c r="N36" s="50">
        <v>0</v>
      </c>
      <c r="O36" s="15">
        <f t="shared" si="0"/>
        <v>80</v>
      </c>
      <c r="P36" s="15">
        <f t="shared" si="1"/>
        <v>148</v>
      </c>
    </row>
    <row r="37" spans="2:20" ht="23.1" customHeight="1" x14ac:dyDescent="0.25">
      <c r="B37" s="23" t="s">
        <v>64</v>
      </c>
      <c r="C37" s="50">
        <v>38</v>
      </c>
      <c r="D37" s="50">
        <v>15</v>
      </c>
      <c r="E37" s="50">
        <v>10</v>
      </c>
      <c r="F37" s="50">
        <v>46</v>
      </c>
      <c r="G37" s="50">
        <v>1</v>
      </c>
      <c r="H37" s="50">
        <v>1</v>
      </c>
      <c r="I37" s="50">
        <v>33</v>
      </c>
      <c r="J37" s="50">
        <v>1</v>
      </c>
      <c r="K37" s="50">
        <v>0</v>
      </c>
      <c r="L37" s="50">
        <v>0</v>
      </c>
      <c r="M37" s="50">
        <v>74</v>
      </c>
      <c r="N37" s="50">
        <v>0</v>
      </c>
      <c r="O37" s="15">
        <f t="shared" si="0"/>
        <v>145</v>
      </c>
      <c r="P37" s="15">
        <f t="shared" si="1"/>
        <v>219</v>
      </c>
    </row>
    <row r="38" spans="2:20" ht="23.1" customHeight="1" x14ac:dyDescent="0.25">
      <c r="B38" s="24" t="s">
        <v>65</v>
      </c>
      <c r="C38" s="50">
        <v>70</v>
      </c>
      <c r="D38" s="50">
        <v>5</v>
      </c>
      <c r="E38" s="50">
        <v>8</v>
      </c>
      <c r="F38" s="50">
        <v>39</v>
      </c>
      <c r="G38" s="50">
        <v>1</v>
      </c>
      <c r="H38" s="50">
        <v>0</v>
      </c>
      <c r="I38" s="50">
        <v>15</v>
      </c>
      <c r="J38" s="50">
        <v>0</v>
      </c>
      <c r="K38" s="50">
        <v>0</v>
      </c>
      <c r="L38" s="50">
        <v>2</v>
      </c>
      <c r="M38" s="50">
        <v>68</v>
      </c>
      <c r="N38" s="50">
        <v>0</v>
      </c>
      <c r="O38" s="15">
        <f t="shared" si="0"/>
        <v>140</v>
      </c>
      <c r="P38" s="15">
        <f t="shared" si="1"/>
        <v>208</v>
      </c>
    </row>
    <row r="39" spans="2:20" ht="23.1" customHeight="1" x14ac:dyDescent="0.25">
      <c r="B39" s="24" t="s">
        <v>66</v>
      </c>
      <c r="C39" s="50">
        <v>38</v>
      </c>
      <c r="D39" s="50">
        <v>17</v>
      </c>
      <c r="E39" s="50">
        <v>8</v>
      </c>
      <c r="F39" s="50">
        <v>40</v>
      </c>
      <c r="G39" s="50">
        <v>2</v>
      </c>
      <c r="H39" s="50">
        <v>0</v>
      </c>
      <c r="I39" s="50">
        <v>9</v>
      </c>
      <c r="J39" s="50">
        <v>1</v>
      </c>
      <c r="K39" s="50">
        <v>0</v>
      </c>
      <c r="L39" s="50">
        <v>0</v>
      </c>
      <c r="M39" s="50">
        <v>85</v>
      </c>
      <c r="N39" s="50">
        <v>0</v>
      </c>
      <c r="O39" s="15">
        <f t="shared" si="0"/>
        <v>115</v>
      </c>
      <c r="P39" s="15">
        <f t="shared" si="1"/>
        <v>200</v>
      </c>
    </row>
    <row r="40" spans="2:20" ht="23.1" customHeight="1" x14ac:dyDescent="0.25">
      <c r="B40" s="24" t="s">
        <v>67</v>
      </c>
      <c r="C40" s="50">
        <v>58</v>
      </c>
      <c r="D40" s="50">
        <v>72</v>
      </c>
      <c r="E40" s="50">
        <v>12</v>
      </c>
      <c r="F40" s="50">
        <v>45</v>
      </c>
      <c r="G40" s="50">
        <v>5</v>
      </c>
      <c r="H40" s="50">
        <v>0</v>
      </c>
      <c r="I40" s="50">
        <v>27</v>
      </c>
      <c r="J40" s="50">
        <v>5</v>
      </c>
      <c r="K40" s="50">
        <v>0</v>
      </c>
      <c r="L40" s="50">
        <v>0</v>
      </c>
      <c r="M40" s="50">
        <v>90</v>
      </c>
      <c r="N40" s="50">
        <v>0</v>
      </c>
      <c r="O40" s="15">
        <f t="shared" si="0"/>
        <v>224</v>
      </c>
      <c r="P40" s="15">
        <f t="shared" si="1"/>
        <v>314</v>
      </c>
    </row>
    <row r="41" spans="2:20" ht="23.1" customHeight="1" x14ac:dyDescent="0.25">
      <c r="B41" s="23" t="s">
        <v>68</v>
      </c>
      <c r="C41" s="50">
        <v>64</v>
      </c>
      <c r="D41" s="50">
        <v>55</v>
      </c>
      <c r="E41" s="50">
        <v>28</v>
      </c>
      <c r="F41" s="50">
        <v>70</v>
      </c>
      <c r="G41" s="50">
        <v>3</v>
      </c>
      <c r="H41" s="50">
        <v>0</v>
      </c>
      <c r="I41" s="50">
        <v>10</v>
      </c>
      <c r="J41" s="50">
        <v>2</v>
      </c>
      <c r="K41" s="50">
        <v>0</v>
      </c>
      <c r="L41" s="50">
        <v>2</v>
      </c>
      <c r="M41" s="50">
        <v>100</v>
      </c>
      <c r="N41" s="50">
        <v>0</v>
      </c>
      <c r="O41" s="15">
        <f t="shared" si="0"/>
        <v>234</v>
      </c>
      <c r="P41" s="15">
        <f t="shared" si="1"/>
        <v>334</v>
      </c>
    </row>
    <row r="42" spans="2:20" ht="23.1" customHeight="1" x14ac:dyDescent="0.25">
      <c r="B42" s="24" t="s">
        <v>69</v>
      </c>
      <c r="C42" s="50">
        <v>50</v>
      </c>
      <c r="D42" s="50">
        <v>40</v>
      </c>
      <c r="E42" s="50">
        <v>17</v>
      </c>
      <c r="F42" s="50">
        <v>65</v>
      </c>
      <c r="G42" s="50">
        <v>2</v>
      </c>
      <c r="H42" s="50">
        <v>1</v>
      </c>
      <c r="I42" s="50">
        <v>25</v>
      </c>
      <c r="J42" s="50">
        <v>3</v>
      </c>
      <c r="K42" s="50">
        <v>0</v>
      </c>
      <c r="L42" s="50">
        <v>1</v>
      </c>
      <c r="M42" s="50">
        <v>80</v>
      </c>
      <c r="N42" s="50">
        <v>0</v>
      </c>
      <c r="O42" s="15">
        <f t="shared" si="0"/>
        <v>204</v>
      </c>
      <c r="P42" s="15">
        <f t="shared" si="1"/>
        <v>284</v>
      </c>
    </row>
    <row r="43" spans="2:20" ht="23.1" customHeight="1" x14ac:dyDescent="0.25">
      <c r="B43" s="23" t="s">
        <v>70</v>
      </c>
      <c r="C43" s="50">
        <v>40</v>
      </c>
      <c r="D43" s="50">
        <v>50</v>
      </c>
      <c r="E43" s="50">
        <v>5</v>
      </c>
      <c r="F43" s="50">
        <v>70</v>
      </c>
      <c r="G43" s="50">
        <v>0</v>
      </c>
      <c r="H43" s="50">
        <v>2</v>
      </c>
      <c r="I43" s="50">
        <v>55</v>
      </c>
      <c r="J43" s="50">
        <v>1</v>
      </c>
      <c r="K43" s="50">
        <v>0</v>
      </c>
      <c r="L43" s="50">
        <v>2</v>
      </c>
      <c r="M43" s="50">
        <v>105</v>
      </c>
      <c r="N43" s="50">
        <v>0</v>
      </c>
      <c r="O43" s="15">
        <f t="shared" si="0"/>
        <v>225</v>
      </c>
      <c r="P43" s="15">
        <f t="shared" si="1"/>
        <v>330</v>
      </c>
    </row>
    <row r="44" spans="2:20" ht="23.1" customHeight="1" x14ac:dyDescent="0.25">
      <c r="B44" s="25" t="s">
        <v>71</v>
      </c>
      <c r="C44" s="50">
        <v>42</v>
      </c>
      <c r="D44" s="50">
        <v>25</v>
      </c>
      <c r="E44" s="50">
        <v>30</v>
      </c>
      <c r="F44" s="50">
        <v>50</v>
      </c>
      <c r="G44" s="50">
        <v>2</v>
      </c>
      <c r="H44" s="50">
        <v>3</v>
      </c>
      <c r="I44" s="50">
        <v>30</v>
      </c>
      <c r="J44" s="50">
        <v>4</v>
      </c>
      <c r="K44" s="50">
        <v>0</v>
      </c>
      <c r="L44" s="50">
        <v>0</v>
      </c>
      <c r="M44" s="50">
        <v>70</v>
      </c>
      <c r="N44" s="50">
        <v>0</v>
      </c>
      <c r="O44" s="15">
        <f t="shared" si="0"/>
        <v>186</v>
      </c>
      <c r="P44" s="15">
        <f t="shared" si="1"/>
        <v>256</v>
      </c>
    </row>
    <row r="45" spans="2:20" ht="23.1" customHeight="1" x14ac:dyDescent="0.25">
      <c r="B45" s="23" t="s">
        <v>72</v>
      </c>
      <c r="C45" s="50">
        <v>33</v>
      </c>
      <c r="D45" s="50">
        <v>30</v>
      </c>
      <c r="E45" s="50">
        <v>10</v>
      </c>
      <c r="F45" s="50">
        <v>45</v>
      </c>
      <c r="G45" s="50">
        <v>1</v>
      </c>
      <c r="H45" s="50">
        <v>4</v>
      </c>
      <c r="I45" s="50">
        <v>20</v>
      </c>
      <c r="J45" s="50">
        <v>3</v>
      </c>
      <c r="K45" s="50">
        <v>0</v>
      </c>
      <c r="L45" s="50">
        <v>5</v>
      </c>
      <c r="M45" s="50">
        <v>45</v>
      </c>
      <c r="N45" s="50">
        <v>0</v>
      </c>
      <c r="O45" s="15">
        <f t="shared" si="0"/>
        <v>151</v>
      </c>
      <c r="P45" s="15">
        <f t="shared" si="1"/>
        <v>196</v>
      </c>
    </row>
    <row r="46" spans="2:20" ht="23.1" customHeight="1" x14ac:dyDescent="0.25">
      <c r="B46" s="24" t="s">
        <v>73</v>
      </c>
      <c r="C46" s="50">
        <v>43</v>
      </c>
      <c r="D46" s="50">
        <v>20</v>
      </c>
      <c r="E46" s="50">
        <v>30</v>
      </c>
      <c r="F46" s="50">
        <v>60</v>
      </c>
      <c r="G46" s="50">
        <v>1</v>
      </c>
      <c r="H46" s="50">
        <v>2</v>
      </c>
      <c r="I46" s="50">
        <v>15</v>
      </c>
      <c r="J46" s="50">
        <v>2</v>
      </c>
      <c r="K46" s="50">
        <v>0</v>
      </c>
      <c r="L46" s="50">
        <v>0</v>
      </c>
      <c r="M46" s="50">
        <v>70</v>
      </c>
      <c r="N46" s="50">
        <v>0</v>
      </c>
      <c r="O46" s="15">
        <f t="shared" si="0"/>
        <v>173</v>
      </c>
      <c r="P46" s="15">
        <f t="shared" si="1"/>
        <v>243</v>
      </c>
      <c r="R46" s="8"/>
      <c r="T46"/>
    </row>
    <row r="47" spans="2:20" ht="23.1" customHeight="1" x14ac:dyDescent="0.25">
      <c r="B47" s="24" t="s">
        <v>74</v>
      </c>
      <c r="C47" s="50">
        <v>46</v>
      </c>
      <c r="D47" s="50">
        <v>28</v>
      </c>
      <c r="E47" s="50">
        <v>7</v>
      </c>
      <c r="F47" s="50">
        <v>45</v>
      </c>
      <c r="G47" s="50">
        <v>5</v>
      </c>
      <c r="H47" s="50">
        <v>0</v>
      </c>
      <c r="I47" s="50">
        <v>30</v>
      </c>
      <c r="J47" s="50">
        <v>0</v>
      </c>
      <c r="K47" s="50">
        <v>1</v>
      </c>
      <c r="L47" s="50">
        <v>1</v>
      </c>
      <c r="M47" s="50">
        <v>80</v>
      </c>
      <c r="N47" s="50">
        <v>0</v>
      </c>
      <c r="O47" s="15">
        <f t="shared" si="0"/>
        <v>163</v>
      </c>
      <c r="P47" s="15">
        <f t="shared" si="1"/>
        <v>243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30</v>
      </c>
      <c r="E48" s="50">
        <v>2</v>
      </c>
      <c r="F48" s="50">
        <v>30</v>
      </c>
      <c r="G48" s="50">
        <v>0</v>
      </c>
      <c r="H48" s="50">
        <v>0</v>
      </c>
      <c r="I48" s="50">
        <v>34</v>
      </c>
      <c r="J48" s="50">
        <v>2</v>
      </c>
      <c r="K48" s="50">
        <v>0</v>
      </c>
      <c r="L48" s="50">
        <v>0</v>
      </c>
      <c r="M48" s="50">
        <v>40</v>
      </c>
      <c r="N48" s="50">
        <v>0</v>
      </c>
      <c r="O48" s="15">
        <f t="shared" si="0"/>
        <v>148</v>
      </c>
      <c r="P48" s="15">
        <f t="shared" si="1"/>
        <v>188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20</v>
      </c>
      <c r="E49" s="50">
        <v>3</v>
      </c>
      <c r="F49" s="50">
        <v>49</v>
      </c>
      <c r="G49" s="50">
        <v>5</v>
      </c>
      <c r="H49" s="50">
        <v>0</v>
      </c>
      <c r="I49" s="50">
        <v>5</v>
      </c>
      <c r="J49" s="50">
        <v>6</v>
      </c>
      <c r="K49" s="50">
        <v>0</v>
      </c>
      <c r="L49" s="50">
        <v>0</v>
      </c>
      <c r="M49" s="50">
        <v>60</v>
      </c>
      <c r="N49" s="50">
        <v>0</v>
      </c>
      <c r="O49" s="15">
        <f t="shared" si="0"/>
        <v>133</v>
      </c>
      <c r="P49" s="15">
        <f t="shared" si="1"/>
        <v>193</v>
      </c>
      <c r="R49" s="8"/>
      <c r="T49"/>
    </row>
    <row r="50" spans="2:20" ht="23.1" customHeight="1" x14ac:dyDescent="0.25">
      <c r="B50" s="24" t="s">
        <v>77</v>
      </c>
      <c r="C50" s="50">
        <v>10</v>
      </c>
      <c r="D50" s="50">
        <v>39</v>
      </c>
      <c r="E50" s="50">
        <v>15</v>
      </c>
      <c r="F50" s="50">
        <v>35</v>
      </c>
      <c r="G50" s="50">
        <v>1</v>
      </c>
      <c r="H50" s="50">
        <v>2</v>
      </c>
      <c r="I50" s="50">
        <v>20</v>
      </c>
      <c r="J50" s="50">
        <v>1</v>
      </c>
      <c r="K50" s="50">
        <v>3</v>
      </c>
      <c r="L50" s="50">
        <v>0</v>
      </c>
      <c r="M50" s="50">
        <v>80</v>
      </c>
      <c r="N50" s="50">
        <v>0</v>
      </c>
      <c r="O50" s="15">
        <f t="shared" si="0"/>
        <v>126</v>
      </c>
      <c r="P50" s="15">
        <f t="shared" si="1"/>
        <v>206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45</v>
      </c>
      <c r="E51" s="50">
        <v>20</v>
      </c>
      <c r="F51" s="50">
        <v>43</v>
      </c>
      <c r="G51" s="50">
        <v>0</v>
      </c>
      <c r="H51" s="50">
        <v>0</v>
      </c>
      <c r="I51" s="50">
        <v>40</v>
      </c>
      <c r="J51" s="50">
        <v>0</v>
      </c>
      <c r="K51" s="50">
        <v>0</v>
      </c>
      <c r="L51" s="50">
        <v>0</v>
      </c>
      <c r="M51" s="50">
        <v>50</v>
      </c>
      <c r="N51" s="50">
        <v>0</v>
      </c>
      <c r="O51" s="15">
        <f t="shared" si="0"/>
        <v>198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55</v>
      </c>
      <c r="D52" s="50">
        <v>24</v>
      </c>
      <c r="E52" s="50">
        <v>5</v>
      </c>
      <c r="F52" s="50">
        <v>37</v>
      </c>
      <c r="G52" s="50">
        <v>3</v>
      </c>
      <c r="H52" s="50">
        <v>5</v>
      </c>
      <c r="I52" s="50">
        <v>0</v>
      </c>
      <c r="J52" s="50">
        <v>0</v>
      </c>
      <c r="K52" s="50">
        <v>0</v>
      </c>
      <c r="L52" s="50">
        <v>0</v>
      </c>
      <c r="M52" s="50">
        <v>90</v>
      </c>
      <c r="N52" s="50">
        <v>0</v>
      </c>
      <c r="O52" s="15">
        <f t="shared" si="0"/>
        <v>129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5</v>
      </c>
      <c r="E53" s="50">
        <v>13</v>
      </c>
      <c r="F53" s="50">
        <v>30</v>
      </c>
      <c r="G53" s="50">
        <v>10</v>
      </c>
      <c r="H53" s="50">
        <v>0</v>
      </c>
      <c r="I53" s="50">
        <v>0</v>
      </c>
      <c r="J53" s="50">
        <v>0</v>
      </c>
      <c r="K53" s="50">
        <v>2</v>
      </c>
      <c r="L53" s="50">
        <v>4</v>
      </c>
      <c r="M53" s="50">
        <v>60</v>
      </c>
      <c r="N53" s="50">
        <v>0</v>
      </c>
      <c r="O53" s="15">
        <f t="shared" si="0"/>
        <v>89</v>
      </c>
      <c r="P53" s="15">
        <f t="shared" si="1"/>
        <v>149</v>
      </c>
      <c r="R53" s="8"/>
      <c r="T53"/>
    </row>
    <row r="54" spans="2:20" ht="23.1" customHeight="1" x14ac:dyDescent="0.25">
      <c r="B54" s="23" t="s">
        <v>81</v>
      </c>
      <c r="C54" s="50">
        <v>34</v>
      </c>
      <c r="D54" s="50">
        <v>17</v>
      </c>
      <c r="E54" s="50">
        <v>4</v>
      </c>
      <c r="F54" s="50">
        <v>40</v>
      </c>
      <c r="G54" s="50">
        <v>0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80</v>
      </c>
      <c r="N54" s="50">
        <v>0</v>
      </c>
      <c r="O54" s="15">
        <f t="shared" si="0"/>
        <v>101</v>
      </c>
      <c r="P54" s="15">
        <f t="shared" si="1"/>
        <v>181</v>
      </c>
      <c r="R54" s="8"/>
      <c r="T54"/>
    </row>
    <row r="55" spans="2:20" ht="23.1" customHeight="1" x14ac:dyDescent="0.25">
      <c r="B55" s="23" t="s">
        <v>82</v>
      </c>
      <c r="C55" s="50">
        <v>26</v>
      </c>
      <c r="D55" s="50">
        <v>21</v>
      </c>
      <c r="E55" s="50">
        <v>1</v>
      </c>
      <c r="F55" s="50">
        <v>22</v>
      </c>
      <c r="G55" s="50">
        <v>0</v>
      </c>
      <c r="H55" s="50">
        <v>1</v>
      </c>
      <c r="I55" s="50">
        <v>9</v>
      </c>
      <c r="J55" s="50">
        <v>1</v>
      </c>
      <c r="K55" s="50">
        <v>0</v>
      </c>
      <c r="L55" s="50">
        <v>0</v>
      </c>
      <c r="M55" s="50">
        <v>70</v>
      </c>
      <c r="N55" s="50">
        <v>0</v>
      </c>
      <c r="O55" s="15">
        <f t="shared" si="0"/>
        <v>81</v>
      </c>
      <c r="P55" s="15">
        <f t="shared" si="1"/>
        <v>151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10</v>
      </c>
      <c r="E56" s="50">
        <v>2</v>
      </c>
      <c r="F56" s="50">
        <v>21</v>
      </c>
      <c r="G56" s="50">
        <v>1</v>
      </c>
      <c r="H56" s="50">
        <v>2</v>
      </c>
      <c r="I56" s="50">
        <v>6</v>
      </c>
      <c r="J56" s="50">
        <v>1</v>
      </c>
      <c r="K56" s="50">
        <v>0</v>
      </c>
      <c r="L56" s="50">
        <v>0</v>
      </c>
      <c r="M56" s="50">
        <v>70</v>
      </c>
      <c r="N56" s="50">
        <v>0</v>
      </c>
      <c r="O56" s="15">
        <f t="shared" si="0"/>
        <v>59</v>
      </c>
      <c r="P56" s="15">
        <f t="shared" si="1"/>
        <v>129</v>
      </c>
      <c r="R56" s="8"/>
      <c r="T56"/>
    </row>
    <row r="57" spans="2:20" ht="23.1" customHeight="1" x14ac:dyDescent="0.25">
      <c r="B57" s="23" t="s">
        <v>84</v>
      </c>
      <c r="C57" s="50">
        <v>37</v>
      </c>
      <c r="D57" s="50">
        <v>9</v>
      </c>
      <c r="E57" s="50">
        <v>1</v>
      </c>
      <c r="F57" s="50">
        <v>42</v>
      </c>
      <c r="G57" s="50">
        <v>3</v>
      </c>
      <c r="H57" s="50">
        <v>0</v>
      </c>
      <c r="I57" s="50">
        <v>6</v>
      </c>
      <c r="J57" s="50">
        <v>1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99</v>
      </c>
      <c r="P57" s="15">
        <f t="shared" si="1"/>
        <v>169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1495</v>
      </c>
      <c r="D58" s="16">
        <f t="shared" si="21"/>
        <v>1450</v>
      </c>
      <c r="E58" s="16">
        <f t="shared" si="21"/>
        <v>340</v>
      </c>
      <c r="F58" s="16">
        <f t="shared" si="21"/>
        <v>1755</v>
      </c>
      <c r="G58" s="16">
        <f t="shared" si="21"/>
        <v>57</v>
      </c>
      <c r="H58" s="16">
        <f t="shared" si="21"/>
        <v>32</v>
      </c>
      <c r="I58" s="16">
        <f t="shared" si="21"/>
        <v>578</v>
      </c>
      <c r="J58" s="16">
        <f t="shared" si="21"/>
        <v>72</v>
      </c>
      <c r="K58" s="16">
        <f t="shared" si="21"/>
        <v>11</v>
      </c>
      <c r="L58" s="16">
        <f t="shared" si="21"/>
        <v>23</v>
      </c>
      <c r="M58" s="16">
        <f t="shared" si="21"/>
        <v>3520</v>
      </c>
      <c r="N58" s="16">
        <f t="shared" si="21"/>
        <v>0</v>
      </c>
      <c r="O58" s="16">
        <f t="shared" si="21"/>
        <v>5813</v>
      </c>
      <c r="P58" s="16">
        <f t="shared" si="21"/>
        <v>9333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0.16018429229615344</v>
      </c>
      <c r="D59" s="43">
        <f t="shared" si="22"/>
        <v>0.15536269152469731</v>
      </c>
      <c r="E59" s="43">
        <f t="shared" si="22"/>
        <v>3.6429872495446269E-2</v>
      </c>
      <c r="F59" s="43">
        <f t="shared" si="22"/>
        <v>0.18804243008678881</v>
      </c>
      <c r="G59" s="43">
        <f t="shared" si="22"/>
        <v>6.1073609771777563E-3</v>
      </c>
      <c r="H59" s="43">
        <f t="shared" si="22"/>
        <v>3.4286938819243543E-3</v>
      </c>
      <c r="I59" s="43">
        <f t="shared" si="22"/>
        <v>6.1930783242258654E-2</v>
      </c>
      <c r="J59" s="43">
        <f t="shared" si="22"/>
        <v>7.7145612343297977E-3</v>
      </c>
      <c r="K59" s="43">
        <f t="shared" si="22"/>
        <v>1.1786135219114969E-3</v>
      </c>
      <c r="L59" s="43">
        <f t="shared" si="22"/>
        <v>2.4643737276331297E-3</v>
      </c>
      <c r="M59" s="43">
        <f t="shared" si="22"/>
        <v>0.377156327011679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0.25718217787717185</v>
      </c>
      <c r="D60" s="44">
        <f t="shared" ref="D60:N60" si="23">D58/$O$58</f>
        <v>0.24944090830896268</v>
      </c>
      <c r="E60" s="44">
        <f t="shared" si="23"/>
        <v>5.8489592293136071E-2</v>
      </c>
      <c r="F60" s="44">
        <f t="shared" si="23"/>
        <v>0.30190951316015824</v>
      </c>
      <c r="G60" s="44">
        <f t="shared" si="23"/>
        <v>9.8056081197316364E-3</v>
      </c>
      <c r="H60" s="44">
        <f t="shared" si="23"/>
        <v>5.5049028040598654E-3</v>
      </c>
      <c r="I60" s="44">
        <f t="shared" si="23"/>
        <v>9.9432306898331324E-2</v>
      </c>
      <c r="J60" s="44">
        <f t="shared" si="23"/>
        <v>1.2386031309134697E-2</v>
      </c>
      <c r="K60" s="44">
        <f t="shared" si="23"/>
        <v>1.8923103388955788E-3</v>
      </c>
      <c r="L60" s="44">
        <f t="shared" si="23"/>
        <v>3.9566488904180285E-3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H47" sqref="H4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Kalerwe-Kampala'!D5</f>
        <v>22.07.19</v>
      </c>
      <c r="E5" s="3"/>
      <c r="F5" s="41" t="s">
        <v>1</v>
      </c>
      <c r="G5" s="63" t="str">
        <f>'22.07 Kalerwe-Kampala'!G5:H5</f>
        <v>Wandegeya</v>
      </c>
      <c r="H5" s="64"/>
      <c r="I5" s="14"/>
      <c r="J5" s="2" t="s">
        <v>5</v>
      </c>
      <c r="K5" s="56" t="s">
        <v>177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172</v>
      </c>
      <c r="E6" s="57"/>
      <c r="F6" s="2" t="s">
        <v>2</v>
      </c>
      <c r="G6" s="56" t="s">
        <v>176</v>
      </c>
      <c r="H6" s="57"/>
      <c r="J6" s="2" t="s">
        <v>21</v>
      </c>
      <c r="K6" s="56" t="s">
        <v>175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7</v>
      </c>
      <c r="E10" s="50">
        <v>1</v>
      </c>
      <c r="F10" s="50">
        <v>50</v>
      </c>
      <c r="G10" s="50">
        <v>1</v>
      </c>
      <c r="H10" s="50">
        <v>1</v>
      </c>
      <c r="I10" s="50">
        <v>2</v>
      </c>
      <c r="J10" s="50">
        <v>0</v>
      </c>
      <c r="K10" s="50">
        <v>1</v>
      </c>
      <c r="L10" s="50">
        <v>0</v>
      </c>
      <c r="M10" s="50">
        <v>95</v>
      </c>
      <c r="N10" s="50">
        <v>0</v>
      </c>
      <c r="O10" s="15">
        <f t="shared" ref="O10:O57" si="0">SUM(C10:L10,N10)</f>
        <v>78</v>
      </c>
      <c r="P10" s="15">
        <f t="shared" ref="P10:P57" si="1">SUM(C10:N10)</f>
        <v>173</v>
      </c>
      <c r="R10" s="1" t="s">
        <v>6</v>
      </c>
      <c r="S10" s="17">
        <f t="shared" ref="S10:AF10" si="2">SUM(C10:C13)</f>
        <v>116</v>
      </c>
      <c r="T10" s="17">
        <f t="shared" si="2"/>
        <v>28</v>
      </c>
      <c r="U10" s="17">
        <f t="shared" si="2"/>
        <v>8</v>
      </c>
      <c r="V10" s="17">
        <f t="shared" si="2"/>
        <v>207</v>
      </c>
      <c r="W10" s="17">
        <f t="shared" si="2"/>
        <v>3</v>
      </c>
      <c r="X10" s="17">
        <f t="shared" si="2"/>
        <v>2</v>
      </c>
      <c r="Y10" s="17">
        <f t="shared" si="2"/>
        <v>6</v>
      </c>
      <c r="Z10" s="17">
        <f t="shared" si="2"/>
        <v>8</v>
      </c>
      <c r="AA10" s="17">
        <f t="shared" si="2"/>
        <v>2</v>
      </c>
      <c r="AB10" s="17">
        <f t="shared" si="2"/>
        <v>0</v>
      </c>
      <c r="AC10" s="17">
        <f t="shared" si="2"/>
        <v>620</v>
      </c>
      <c r="AD10" s="17">
        <f t="shared" si="2"/>
        <v>0</v>
      </c>
      <c r="AE10" s="31">
        <f t="shared" si="2"/>
        <v>380</v>
      </c>
      <c r="AF10" s="31">
        <f t="shared" si="2"/>
        <v>1000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6</v>
      </c>
      <c r="E11" s="50">
        <v>5</v>
      </c>
      <c r="F11" s="50">
        <v>41</v>
      </c>
      <c r="G11" s="50">
        <v>1</v>
      </c>
      <c r="H11" s="50">
        <v>0</v>
      </c>
      <c r="I11" s="50">
        <v>2</v>
      </c>
      <c r="J11" s="50">
        <v>4</v>
      </c>
      <c r="K11" s="50">
        <v>0</v>
      </c>
      <c r="L11" s="50">
        <v>0</v>
      </c>
      <c r="M11" s="50">
        <v>85</v>
      </c>
      <c r="N11" s="50">
        <v>0</v>
      </c>
      <c r="O11" s="15">
        <f t="shared" si="0"/>
        <v>86</v>
      </c>
      <c r="P11" s="15">
        <f t="shared" si="1"/>
        <v>171</v>
      </c>
      <c r="R11" s="1" t="s">
        <v>7</v>
      </c>
      <c r="S11" s="17">
        <f t="shared" ref="S11:AF11" si="3">SUM(C14:C17)</f>
        <v>82</v>
      </c>
      <c r="T11" s="17">
        <f t="shared" si="3"/>
        <v>12</v>
      </c>
      <c r="U11" s="17">
        <f t="shared" si="3"/>
        <v>18</v>
      </c>
      <c r="V11" s="17">
        <f t="shared" si="3"/>
        <v>245</v>
      </c>
      <c r="W11" s="17">
        <f t="shared" si="3"/>
        <v>5</v>
      </c>
      <c r="X11" s="17">
        <f t="shared" si="3"/>
        <v>1</v>
      </c>
      <c r="Y11" s="17">
        <f t="shared" si="3"/>
        <v>16</v>
      </c>
      <c r="Z11" s="17">
        <f t="shared" si="3"/>
        <v>3</v>
      </c>
      <c r="AA11" s="17">
        <f t="shared" si="3"/>
        <v>6</v>
      </c>
      <c r="AB11" s="17">
        <f t="shared" si="3"/>
        <v>2</v>
      </c>
      <c r="AC11" s="17">
        <f t="shared" si="3"/>
        <v>830</v>
      </c>
      <c r="AD11" s="17">
        <f t="shared" si="3"/>
        <v>0</v>
      </c>
      <c r="AE11" s="31">
        <f t="shared" si="3"/>
        <v>390</v>
      </c>
      <c r="AF11" s="31">
        <f t="shared" si="3"/>
        <v>1220</v>
      </c>
    </row>
    <row r="12" spans="2:32" ht="23.1" customHeight="1" x14ac:dyDescent="0.25">
      <c r="B12" s="23" t="s">
        <v>39</v>
      </c>
      <c r="C12" s="50">
        <v>21</v>
      </c>
      <c r="D12" s="50">
        <v>6</v>
      </c>
      <c r="E12" s="50">
        <v>0</v>
      </c>
      <c r="F12" s="50">
        <v>68</v>
      </c>
      <c r="G12" s="50">
        <v>1</v>
      </c>
      <c r="H12" s="50">
        <v>1</v>
      </c>
      <c r="I12" s="50">
        <v>2</v>
      </c>
      <c r="J12" s="50">
        <v>0</v>
      </c>
      <c r="K12" s="50">
        <v>0</v>
      </c>
      <c r="L12" s="50">
        <v>0</v>
      </c>
      <c r="M12" s="50">
        <v>190</v>
      </c>
      <c r="N12" s="50">
        <v>0</v>
      </c>
      <c r="O12" s="15">
        <f t="shared" si="0"/>
        <v>99</v>
      </c>
      <c r="P12" s="15">
        <f t="shared" si="1"/>
        <v>289</v>
      </c>
      <c r="R12" s="1" t="s">
        <v>8</v>
      </c>
      <c r="S12" s="17">
        <f t="shared" ref="S12:AF12" si="4">SUM(C18:C21)</f>
        <v>69</v>
      </c>
      <c r="T12" s="17">
        <f t="shared" si="4"/>
        <v>20</v>
      </c>
      <c r="U12" s="17">
        <f t="shared" si="4"/>
        <v>12</v>
      </c>
      <c r="V12" s="17">
        <f t="shared" si="4"/>
        <v>217</v>
      </c>
      <c r="W12" s="17">
        <f t="shared" si="4"/>
        <v>7</v>
      </c>
      <c r="X12" s="17">
        <f t="shared" si="4"/>
        <v>0</v>
      </c>
      <c r="Y12" s="17">
        <f t="shared" si="4"/>
        <v>23</v>
      </c>
      <c r="Z12" s="17">
        <f t="shared" si="4"/>
        <v>22</v>
      </c>
      <c r="AA12" s="17">
        <f t="shared" si="4"/>
        <v>2</v>
      </c>
      <c r="AB12" s="17">
        <f t="shared" si="4"/>
        <v>4</v>
      </c>
      <c r="AC12" s="17">
        <f t="shared" si="4"/>
        <v>990</v>
      </c>
      <c r="AD12" s="17">
        <f t="shared" si="4"/>
        <v>0</v>
      </c>
      <c r="AE12" s="31">
        <f t="shared" si="4"/>
        <v>376</v>
      </c>
      <c r="AF12" s="31">
        <f t="shared" si="4"/>
        <v>1366</v>
      </c>
    </row>
    <row r="13" spans="2:32" ht="23.1" customHeight="1" x14ac:dyDescent="0.25">
      <c r="B13" s="23" t="s">
        <v>40</v>
      </c>
      <c r="C13" s="50">
        <v>53</v>
      </c>
      <c r="D13" s="50">
        <v>9</v>
      </c>
      <c r="E13" s="50">
        <v>2</v>
      </c>
      <c r="F13" s="50">
        <v>48</v>
      </c>
      <c r="G13" s="50">
        <v>0</v>
      </c>
      <c r="H13" s="50">
        <v>0</v>
      </c>
      <c r="I13" s="50">
        <v>0</v>
      </c>
      <c r="J13" s="50">
        <v>4</v>
      </c>
      <c r="K13" s="50">
        <v>1</v>
      </c>
      <c r="L13" s="50">
        <v>0</v>
      </c>
      <c r="M13" s="50">
        <v>250</v>
      </c>
      <c r="N13" s="50">
        <v>0</v>
      </c>
      <c r="O13" s="15">
        <f t="shared" si="0"/>
        <v>117</v>
      </c>
      <c r="P13" s="15">
        <f t="shared" si="1"/>
        <v>367</v>
      </c>
      <c r="R13" s="1" t="s">
        <v>9</v>
      </c>
      <c r="S13" s="17">
        <f t="shared" ref="S13:AF13" si="5">SUM(C22:C25)</f>
        <v>80</v>
      </c>
      <c r="T13" s="17">
        <f t="shared" si="5"/>
        <v>24</v>
      </c>
      <c r="U13" s="17">
        <f t="shared" si="5"/>
        <v>7</v>
      </c>
      <c r="V13" s="17">
        <f t="shared" si="5"/>
        <v>200</v>
      </c>
      <c r="W13" s="17">
        <f t="shared" si="5"/>
        <v>0</v>
      </c>
      <c r="X13" s="17">
        <f t="shared" si="5"/>
        <v>3</v>
      </c>
      <c r="Y13" s="17">
        <f t="shared" si="5"/>
        <v>21</v>
      </c>
      <c r="Z13" s="17">
        <f t="shared" si="5"/>
        <v>17</v>
      </c>
      <c r="AA13" s="17">
        <f t="shared" si="5"/>
        <v>2</v>
      </c>
      <c r="AB13" s="17">
        <f t="shared" si="5"/>
        <v>1</v>
      </c>
      <c r="AC13" s="17">
        <f t="shared" si="5"/>
        <v>871</v>
      </c>
      <c r="AD13" s="17">
        <f t="shared" si="5"/>
        <v>0</v>
      </c>
      <c r="AE13" s="31">
        <f t="shared" si="5"/>
        <v>355</v>
      </c>
      <c r="AF13" s="31">
        <f t="shared" si="5"/>
        <v>1226</v>
      </c>
    </row>
    <row r="14" spans="2:32" ht="23.1" customHeight="1" x14ac:dyDescent="0.25">
      <c r="B14" s="23" t="s">
        <v>41</v>
      </c>
      <c r="C14" s="50">
        <v>31</v>
      </c>
      <c r="D14" s="50">
        <v>4</v>
      </c>
      <c r="E14" s="50">
        <v>2</v>
      </c>
      <c r="F14" s="50">
        <v>51</v>
      </c>
      <c r="G14" s="50">
        <v>4</v>
      </c>
      <c r="H14" s="50">
        <v>0</v>
      </c>
      <c r="I14" s="50">
        <v>6</v>
      </c>
      <c r="J14" s="50">
        <v>2</v>
      </c>
      <c r="K14" s="50">
        <v>1</v>
      </c>
      <c r="L14" s="50">
        <v>1</v>
      </c>
      <c r="M14" s="50">
        <v>220</v>
      </c>
      <c r="N14" s="50">
        <v>0</v>
      </c>
      <c r="O14" s="15">
        <f t="shared" si="0"/>
        <v>102</v>
      </c>
      <c r="P14" s="15">
        <f t="shared" si="1"/>
        <v>322</v>
      </c>
      <c r="R14" s="1" t="s">
        <v>10</v>
      </c>
      <c r="S14" s="17">
        <f t="shared" ref="S14:AF14" si="6">SUM(C26:C29)</f>
        <v>81</v>
      </c>
      <c r="T14" s="17">
        <f t="shared" si="6"/>
        <v>51</v>
      </c>
      <c r="U14" s="17">
        <f t="shared" si="6"/>
        <v>16</v>
      </c>
      <c r="V14" s="17">
        <f t="shared" si="6"/>
        <v>124</v>
      </c>
      <c r="W14" s="17">
        <f t="shared" si="6"/>
        <v>1</v>
      </c>
      <c r="X14" s="17">
        <f t="shared" si="6"/>
        <v>1</v>
      </c>
      <c r="Y14" s="17">
        <f t="shared" si="6"/>
        <v>26</v>
      </c>
      <c r="Z14" s="17">
        <f t="shared" si="6"/>
        <v>12</v>
      </c>
      <c r="AA14" s="17">
        <f t="shared" si="6"/>
        <v>0</v>
      </c>
      <c r="AB14" s="17">
        <f t="shared" si="6"/>
        <v>1</v>
      </c>
      <c r="AC14" s="17">
        <f t="shared" si="6"/>
        <v>631</v>
      </c>
      <c r="AD14" s="17">
        <f t="shared" si="6"/>
        <v>0</v>
      </c>
      <c r="AE14" s="31">
        <f t="shared" si="6"/>
        <v>313</v>
      </c>
      <c r="AF14" s="31">
        <f t="shared" si="6"/>
        <v>944</v>
      </c>
    </row>
    <row r="15" spans="2:32" ht="23.1" customHeight="1" x14ac:dyDescent="0.25">
      <c r="B15" s="23" t="s">
        <v>42</v>
      </c>
      <c r="C15" s="50">
        <v>6</v>
      </c>
      <c r="D15" s="50">
        <v>1</v>
      </c>
      <c r="E15" s="50">
        <v>0</v>
      </c>
      <c r="F15" s="50">
        <v>54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1</v>
      </c>
      <c r="M15" s="50">
        <v>235</v>
      </c>
      <c r="N15" s="50">
        <v>0</v>
      </c>
      <c r="O15" s="15">
        <f t="shared" si="0"/>
        <v>64</v>
      </c>
      <c r="P15" s="15">
        <f t="shared" si="1"/>
        <v>299</v>
      </c>
      <c r="R15" s="1" t="s">
        <v>11</v>
      </c>
      <c r="S15" s="17">
        <f t="shared" ref="S15:AF15" si="7">SUM(C30:C33)</f>
        <v>155</v>
      </c>
      <c r="T15" s="17">
        <f t="shared" si="7"/>
        <v>25</v>
      </c>
      <c r="U15" s="17">
        <f t="shared" si="7"/>
        <v>33</v>
      </c>
      <c r="V15" s="17">
        <f t="shared" si="7"/>
        <v>155</v>
      </c>
      <c r="W15" s="17">
        <f t="shared" si="7"/>
        <v>5</v>
      </c>
      <c r="X15" s="17">
        <f t="shared" si="7"/>
        <v>3</v>
      </c>
      <c r="Y15" s="17">
        <f t="shared" si="7"/>
        <v>27</v>
      </c>
      <c r="Z15" s="17">
        <f t="shared" si="7"/>
        <v>15</v>
      </c>
      <c r="AA15" s="17">
        <f t="shared" si="7"/>
        <v>1</v>
      </c>
      <c r="AB15" s="17">
        <f t="shared" si="7"/>
        <v>0</v>
      </c>
      <c r="AC15" s="17">
        <f t="shared" si="7"/>
        <v>444</v>
      </c>
      <c r="AD15" s="17">
        <f t="shared" si="7"/>
        <v>0</v>
      </c>
      <c r="AE15" s="31">
        <f t="shared" si="7"/>
        <v>419</v>
      </c>
      <c r="AF15" s="31">
        <f t="shared" si="7"/>
        <v>863</v>
      </c>
    </row>
    <row r="16" spans="2:32" ht="23.1" customHeight="1" x14ac:dyDescent="0.25">
      <c r="B16" s="23" t="s">
        <v>43</v>
      </c>
      <c r="C16" s="50">
        <v>23</v>
      </c>
      <c r="D16" s="50">
        <v>4</v>
      </c>
      <c r="E16" s="50">
        <v>10</v>
      </c>
      <c r="F16" s="50">
        <v>70</v>
      </c>
      <c r="G16" s="50">
        <v>1</v>
      </c>
      <c r="H16" s="50">
        <v>0</v>
      </c>
      <c r="I16" s="50">
        <v>7</v>
      </c>
      <c r="J16" s="50">
        <v>0</v>
      </c>
      <c r="K16" s="50">
        <v>5</v>
      </c>
      <c r="L16" s="50">
        <v>0</v>
      </c>
      <c r="M16" s="50">
        <v>260</v>
      </c>
      <c r="N16" s="50">
        <v>0</v>
      </c>
      <c r="O16" s="15">
        <f t="shared" si="0"/>
        <v>120</v>
      </c>
      <c r="P16" s="15">
        <f t="shared" si="1"/>
        <v>380</v>
      </c>
      <c r="R16" s="1" t="s">
        <v>12</v>
      </c>
      <c r="S16" s="17">
        <f t="shared" ref="S16:AF16" si="8">SUM(C34:C37)</f>
        <v>129</v>
      </c>
      <c r="T16" s="17">
        <f t="shared" si="8"/>
        <v>26</v>
      </c>
      <c r="U16" s="17">
        <f t="shared" si="8"/>
        <v>14</v>
      </c>
      <c r="V16" s="17">
        <f t="shared" si="8"/>
        <v>123</v>
      </c>
      <c r="W16" s="17">
        <f t="shared" si="8"/>
        <v>0</v>
      </c>
      <c r="X16" s="17">
        <f t="shared" si="8"/>
        <v>2</v>
      </c>
      <c r="Y16" s="17">
        <f t="shared" si="8"/>
        <v>20</v>
      </c>
      <c r="Z16" s="17">
        <f t="shared" si="8"/>
        <v>10</v>
      </c>
      <c r="AA16" s="17">
        <f t="shared" si="8"/>
        <v>1</v>
      </c>
      <c r="AB16" s="17">
        <f t="shared" si="8"/>
        <v>0</v>
      </c>
      <c r="AC16" s="17">
        <f t="shared" si="8"/>
        <v>500</v>
      </c>
      <c r="AD16" s="17">
        <f t="shared" si="8"/>
        <v>0</v>
      </c>
      <c r="AE16" s="31">
        <f t="shared" si="8"/>
        <v>325</v>
      </c>
      <c r="AF16" s="31">
        <f t="shared" si="8"/>
        <v>825</v>
      </c>
    </row>
    <row r="17" spans="2:32" ht="23.1" customHeight="1" x14ac:dyDescent="0.25">
      <c r="B17" s="23" t="s">
        <v>44</v>
      </c>
      <c r="C17" s="50">
        <v>22</v>
      </c>
      <c r="D17" s="50">
        <v>3</v>
      </c>
      <c r="E17" s="50">
        <v>6</v>
      </c>
      <c r="F17" s="50">
        <v>70</v>
      </c>
      <c r="G17" s="50">
        <v>0</v>
      </c>
      <c r="H17" s="50">
        <v>1</v>
      </c>
      <c r="I17" s="50">
        <v>2</v>
      </c>
      <c r="J17" s="50">
        <v>0</v>
      </c>
      <c r="K17" s="50">
        <v>0</v>
      </c>
      <c r="L17" s="50">
        <v>0</v>
      </c>
      <c r="M17" s="50">
        <v>115</v>
      </c>
      <c r="N17" s="50">
        <v>0</v>
      </c>
      <c r="O17" s="15">
        <f t="shared" si="0"/>
        <v>104</v>
      </c>
      <c r="P17" s="15">
        <f t="shared" si="1"/>
        <v>219</v>
      </c>
      <c r="R17" s="1" t="s">
        <v>13</v>
      </c>
      <c r="S17" s="17">
        <f t="shared" ref="S17:AF17" si="9">SUM(C38:C41)</f>
        <v>102</v>
      </c>
      <c r="T17" s="17">
        <f t="shared" si="9"/>
        <v>50</v>
      </c>
      <c r="U17" s="17">
        <f t="shared" si="9"/>
        <v>9</v>
      </c>
      <c r="V17" s="17">
        <f t="shared" si="9"/>
        <v>120</v>
      </c>
      <c r="W17" s="17">
        <f t="shared" si="9"/>
        <v>2</v>
      </c>
      <c r="X17" s="17">
        <f t="shared" si="9"/>
        <v>3</v>
      </c>
      <c r="Y17" s="17">
        <f t="shared" si="9"/>
        <v>34</v>
      </c>
      <c r="Z17" s="17">
        <f t="shared" si="9"/>
        <v>5</v>
      </c>
      <c r="AA17" s="17">
        <f t="shared" si="9"/>
        <v>4</v>
      </c>
      <c r="AB17" s="17">
        <f t="shared" si="9"/>
        <v>2</v>
      </c>
      <c r="AC17" s="17">
        <f t="shared" si="9"/>
        <v>590</v>
      </c>
      <c r="AD17" s="17">
        <f t="shared" si="9"/>
        <v>0</v>
      </c>
      <c r="AE17" s="31">
        <f t="shared" si="9"/>
        <v>331</v>
      </c>
      <c r="AF17" s="31">
        <f t="shared" si="9"/>
        <v>921</v>
      </c>
    </row>
    <row r="18" spans="2:32" ht="23.1" customHeight="1" x14ac:dyDescent="0.25">
      <c r="B18" s="23" t="s">
        <v>45</v>
      </c>
      <c r="C18" s="50">
        <v>21</v>
      </c>
      <c r="D18" s="50">
        <v>6</v>
      </c>
      <c r="E18" s="50">
        <v>3</v>
      </c>
      <c r="F18" s="50">
        <v>42</v>
      </c>
      <c r="G18" s="50">
        <v>2</v>
      </c>
      <c r="H18" s="50">
        <v>0</v>
      </c>
      <c r="I18" s="50">
        <v>5</v>
      </c>
      <c r="J18" s="50">
        <v>4</v>
      </c>
      <c r="K18" s="50">
        <v>0</v>
      </c>
      <c r="L18" s="50">
        <v>2</v>
      </c>
      <c r="M18" s="50">
        <v>230</v>
      </c>
      <c r="N18" s="50">
        <v>0</v>
      </c>
      <c r="O18" s="15">
        <f t="shared" si="0"/>
        <v>85</v>
      </c>
      <c r="P18" s="15">
        <f t="shared" si="1"/>
        <v>315</v>
      </c>
      <c r="R18" s="1" t="s">
        <v>14</v>
      </c>
      <c r="S18" s="17">
        <f t="shared" ref="S18:AF18" si="10">SUM(C42:C45)</f>
        <v>115</v>
      </c>
      <c r="T18" s="17">
        <f t="shared" si="10"/>
        <v>66</v>
      </c>
      <c r="U18" s="17">
        <f t="shared" si="10"/>
        <v>32</v>
      </c>
      <c r="V18" s="17">
        <f t="shared" si="10"/>
        <v>105</v>
      </c>
      <c r="W18" s="17">
        <f t="shared" si="10"/>
        <v>4</v>
      </c>
      <c r="X18" s="17">
        <f t="shared" si="10"/>
        <v>0</v>
      </c>
      <c r="Y18" s="17">
        <f t="shared" si="10"/>
        <v>30</v>
      </c>
      <c r="Z18" s="17">
        <f t="shared" si="10"/>
        <v>12</v>
      </c>
      <c r="AA18" s="17">
        <f t="shared" si="10"/>
        <v>2</v>
      </c>
      <c r="AB18" s="17">
        <f t="shared" si="10"/>
        <v>5</v>
      </c>
      <c r="AC18" s="17">
        <f t="shared" si="10"/>
        <v>600</v>
      </c>
      <c r="AD18" s="17">
        <f t="shared" si="10"/>
        <v>0</v>
      </c>
      <c r="AE18" s="31">
        <f t="shared" si="10"/>
        <v>371</v>
      </c>
      <c r="AF18" s="31">
        <f t="shared" si="10"/>
        <v>971</v>
      </c>
    </row>
    <row r="19" spans="2:32" ht="23.1" customHeight="1" x14ac:dyDescent="0.25">
      <c r="B19" s="23" t="s">
        <v>46</v>
      </c>
      <c r="C19" s="50">
        <v>15</v>
      </c>
      <c r="D19" s="50">
        <v>2</v>
      </c>
      <c r="E19" s="50">
        <v>3</v>
      </c>
      <c r="F19" s="50">
        <v>62</v>
      </c>
      <c r="G19" s="50">
        <v>3</v>
      </c>
      <c r="H19" s="50">
        <v>0</v>
      </c>
      <c r="I19" s="50">
        <v>3</v>
      </c>
      <c r="J19" s="50">
        <v>5</v>
      </c>
      <c r="K19" s="50">
        <v>0</v>
      </c>
      <c r="L19" s="50">
        <v>0</v>
      </c>
      <c r="M19" s="50">
        <v>305</v>
      </c>
      <c r="N19" s="50">
        <v>0</v>
      </c>
      <c r="O19" s="15">
        <f t="shared" si="0"/>
        <v>93</v>
      </c>
      <c r="P19" s="15">
        <f t="shared" si="1"/>
        <v>398</v>
      </c>
      <c r="R19" s="1" t="s">
        <v>15</v>
      </c>
      <c r="S19" s="17">
        <f t="shared" ref="S19:AF19" si="11">SUM(C46:C49)</f>
        <v>289</v>
      </c>
      <c r="T19" s="17">
        <f t="shared" si="11"/>
        <v>47</v>
      </c>
      <c r="U19" s="17">
        <f t="shared" si="11"/>
        <v>27</v>
      </c>
      <c r="V19" s="17">
        <f t="shared" si="11"/>
        <v>140</v>
      </c>
      <c r="W19" s="17">
        <f t="shared" si="11"/>
        <v>1</v>
      </c>
      <c r="X19" s="17">
        <f t="shared" si="11"/>
        <v>1</v>
      </c>
      <c r="Y19" s="17">
        <f t="shared" si="11"/>
        <v>56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816</v>
      </c>
      <c r="AD19" s="17">
        <f t="shared" si="11"/>
        <v>0</v>
      </c>
      <c r="AE19" s="31">
        <f t="shared" si="11"/>
        <v>565</v>
      </c>
      <c r="AF19" s="31">
        <f t="shared" si="11"/>
        <v>1381</v>
      </c>
    </row>
    <row r="20" spans="2:32" ht="23.1" customHeight="1" x14ac:dyDescent="0.25">
      <c r="B20" s="23" t="s">
        <v>47</v>
      </c>
      <c r="C20" s="50">
        <v>13</v>
      </c>
      <c r="D20" s="50">
        <v>9</v>
      </c>
      <c r="E20" s="50">
        <v>1</v>
      </c>
      <c r="F20" s="50">
        <v>60</v>
      </c>
      <c r="G20" s="50">
        <v>1</v>
      </c>
      <c r="H20" s="50">
        <v>0</v>
      </c>
      <c r="I20" s="50">
        <v>7</v>
      </c>
      <c r="J20" s="50">
        <v>5</v>
      </c>
      <c r="K20" s="50">
        <v>0</v>
      </c>
      <c r="L20" s="50">
        <v>1</v>
      </c>
      <c r="M20" s="50">
        <v>190</v>
      </c>
      <c r="N20" s="50">
        <v>0</v>
      </c>
      <c r="O20" s="15">
        <f t="shared" si="0"/>
        <v>97</v>
      </c>
      <c r="P20" s="15">
        <f t="shared" si="1"/>
        <v>287</v>
      </c>
      <c r="R20" s="1" t="s">
        <v>16</v>
      </c>
      <c r="S20" s="17">
        <f t="shared" ref="S20:AF20" si="12">SUM(C50:C53)</f>
        <v>185</v>
      </c>
      <c r="T20" s="17">
        <f t="shared" si="12"/>
        <v>45</v>
      </c>
      <c r="U20" s="17">
        <f t="shared" si="12"/>
        <v>25</v>
      </c>
      <c r="V20" s="17">
        <f t="shared" si="12"/>
        <v>80</v>
      </c>
      <c r="W20" s="17">
        <f t="shared" si="12"/>
        <v>6</v>
      </c>
      <c r="X20" s="17">
        <f t="shared" si="12"/>
        <v>4</v>
      </c>
      <c r="Y20" s="17">
        <f t="shared" si="12"/>
        <v>28</v>
      </c>
      <c r="Z20" s="17">
        <f t="shared" si="12"/>
        <v>0</v>
      </c>
      <c r="AA20" s="17">
        <f t="shared" si="12"/>
        <v>10</v>
      </c>
      <c r="AB20" s="17">
        <f t="shared" si="12"/>
        <v>2</v>
      </c>
      <c r="AC20" s="17">
        <f t="shared" si="12"/>
        <v>610</v>
      </c>
      <c r="AD20" s="17">
        <f t="shared" si="12"/>
        <v>0</v>
      </c>
      <c r="AE20" s="31">
        <f t="shared" si="12"/>
        <v>385</v>
      </c>
      <c r="AF20" s="31">
        <f t="shared" si="12"/>
        <v>995</v>
      </c>
    </row>
    <row r="21" spans="2:32" ht="23.1" customHeight="1" x14ac:dyDescent="0.25">
      <c r="B21" s="23" t="s">
        <v>48</v>
      </c>
      <c r="C21" s="50">
        <v>20</v>
      </c>
      <c r="D21" s="50">
        <v>3</v>
      </c>
      <c r="E21" s="50">
        <v>5</v>
      </c>
      <c r="F21" s="50">
        <v>53</v>
      </c>
      <c r="G21" s="50">
        <v>1</v>
      </c>
      <c r="H21" s="50">
        <v>0</v>
      </c>
      <c r="I21" s="50">
        <v>8</v>
      </c>
      <c r="J21" s="50">
        <v>8</v>
      </c>
      <c r="K21" s="50">
        <v>2</v>
      </c>
      <c r="L21" s="50">
        <v>1</v>
      </c>
      <c r="M21" s="50">
        <v>265</v>
      </c>
      <c r="N21" s="50">
        <v>0</v>
      </c>
      <c r="O21" s="15">
        <f t="shared" si="0"/>
        <v>101</v>
      </c>
      <c r="P21" s="15">
        <f t="shared" si="1"/>
        <v>366</v>
      </c>
      <c r="R21" s="36" t="s">
        <v>20</v>
      </c>
      <c r="S21" s="34">
        <f t="shared" ref="S21:AF21" si="13">SUM(C54:C57)</f>
        <v>264</v>
      </c>
      <c r="T21" s="17">
        <f t="shared" si="13"/>
        <v>40</v>
      </c>
      <c r="U21" s="17">
        <f t="shared" si="13"/>
        <v>28</v>
      </c>
      <c r="V21" s="17">
        <f t="shared" si="13"/>
        <v>85</v>
      </c>
      <c r="W21" s="17">
        <f t="shared" si="13"/>
        <v>1</v>
      </c>
      <c r="X21" s="17">
        <f t="shared" si="13"/>
        <v>2</v>
      </c>
      <c r="Y21" s="17">
        <f t="shared" si="13"/>
        <v>15</v>
      </c>
      <c r="Z21" s="17">
        <f t="shared" si="13"/>
        <v>11</v>
      </c>
      <c r="AA21" s="17">
        <f t="shared" si="13"/>
        <v>4</v>
      </c>
      <c r="AB21" s="17">
        <f t="shared" si="13"/>
        <v>1</v>
      </c>
      <c r="AC21" s="17">
        <f t="shared" si="13"/>
        <v>817</v>
      </c>
      <c r="AD21" s="17">
        <f t="shared" si="13"/>
        <v>0</v>
      </c>
      <c r="AE21" s="31">
        <f t="shared" si="13"/>
        <v>451</v>
      </c>
      <c r="AF21" s="31">
        <f t="shared" si="13"/>
        <v>1268</v>
      </c>
    </row>
    <row r="22" spans="2:32" ht="23.1" customHeight="1" x14ac:dyDescent="0.25">
      <c r="B22" s="23" t="s">
        <v>49</v>
      </c>
      <c r="C22" s="50">
        <v>9</v>
      </c>
      <c r="D22" s="50">
        <v>7</v>
      </c>
      <c r="E22" s="50">
        <v>2</v>
      </c>
      <c r="F22" s="50">
        <v>35</v>
      </c>
      <c r="G22" s="50">
        <v>0</v>
      </c>
      <c r="H22" s="50">
        <v>2</v>
      </c>
      <c r="I22" s="50">
        <v>7</v>
      </c>
      <c r="J22" s="50">
        <v>9</v>
      </c>
      <c r="K22" s="50">
        <v>0</v>
      </c>
      <c r="L22" s="50">
        <v>0</v>
      </c>
      <c r="M22" s="50">
        <v>220</v>
      </c>
      <c r="N22" s="50">
        <v>0</v>
      </c>
      <c r="O22" s="15">
        <f t="shared" si="0"/>
        <v>71</v>
      </c>
      <c r="P22" s="15">
        <f t="shared" si="1"/>
        <v>291</v>
      </c>
      <c r="R22" s="38" t="s">
        <v>90</v>
      </c>
      <c r="S22" s="39">
        <f>MAX(S10:S12)</f>
        <v>116</v>
      </c>
      <c r="T22" s="39">
        <f t="shared" ref="T22:AF22" si="14">MAX(T10:T12)</f>
        <v>28</v>
      </c>
      <c r="U22" s="39">
        <f t="shared" si="14"/>
        <v>18</v>
      </c>
      <c r="V22" s="39">
        <f t="shared" si="14"/>
        <v>245</v>
      </c>
      <c r="W22" s="39">
        <f t="shared" si="14"/>
        <v>7</v>
      </c>
      <c r="X22" s="39">
        <f t="shared" si="14"/>
        <v>2</v>
      </c>
      <c r="Y22" s="39">
        <f t="shared" si="14"/>
        <v>23</v>
      </c>
      <c r="Z22" s="39">
        <f t="shared" si="14"/>
        <v>22</v>
      </c>
      <c r="AA22" s="39">
        <f t="shared" si="14"/>
        <v>6</v>
      </c>
      <c r="AB22" s="39">
        <f t="shared" si="14"/>
        <v>4</v>
      </c>
      <c r="AC22" s="39">
        <f t="shared" si="14"/>
        <v>990</v>
      </c>
      <c r="AD22" s="39">
        <f t="shared" si="14"/>
        <v>0</v>
      </c>
      <c r="AE22" s="40">
        <f t="shared" si="14"/>
        <v>390</v>
      </c>
      <c r="AF22" s="40">
        <f t="shared" si="14"/>
        <v>1366</v>
      </c>
    </row>
    <row r="23" spans="2:32" ht="23.1" customHeight="1" x14ac:dyDescent="0.25">
      <c r="B23" s="23" t="s">
        <v>50</v>
      </c>
      <c r="C23" s="50">
        <v>21</v>
      </c>
      <c r="D23" s="50">
        <v>5</v>
      </c>
      <c r="E23" s="50">
        <v>1</v>
      </c>
      <c r="F23" s="50">
        <v>65</v>
      </c>
      <c r="G23" s="50">
        <v>0</v>
      </c>
      <c r="H23" s="50">
        <v>0</v>
      </c>
      <c r="I23" s="50">
        <v>5</v>
      </c>
      <c r="J23" s="50">
        <v>4</v>
      </c>
      <c r="K23" s="50">
        <v>2</v>
      </c>
      <c r="L23" s="50">
        <v>0</v>
      </c>
      <c r="M23" s="50">
        <v>225</v>
      </c>
      <c r="N23" s="50">
        <v>0</v>
      </c>
      <c r="O23" s="15">
        <f t="shared" si="0"/>
        <v>103</v>
      </c>
      <c r="P23" s="15">
        <f t="shared" si="1"/>
        <v>328</v>
      </c>
      <c r="R23" s="38" t="s">
        <v>91</v>
      </c>
      <c r="S23" s="39">
        <f>MAX(S13:S18)</f>
        <v>155</v>
      </c>
      <c r="T23" s="39">
        <f t="shared" ref="T23:AF23" si="15">MAX(T13:T18)</f>
        <v>66</v>
      </c>
      <c r="U23" s="39">
        <f t="shared" si="15"/>
        <v>33</v>
      </c>
      <c r="V23" s="39">
        <f t="shared" si="15"/>
        <v>200</v>
      </c>
      <c r="W23" s="39">
        <f t="shared" si="15"/>
        <v>5</v>
      </c>
      <c r="X23" s="39">
        <f t="shared" si="15"/>
        <v>3</v>
      </c>
      <c r="Y23" s="39">
        <f t="shared" si="15"/>
        <v>34</v>
      </c>
      <c r="Z23" s="39">
        <f t="shared" si="15"/>
        <v>17</v>
      </c>
      <c r="AA23" s="39">
        <f t="shared" si="15"/>
        <v>4</v>
      </c>
      <c r="AB23" s="39">
        <f t="shared" si="15"/>
        <v>5</v>
      </c>
      <c r="AC23" s="39">
        <f t="shared" si="15"/>
        <v>871</v>
      </c>
      <c r="AD23" s="39">
        <f t="shared" si="15"/>
        <v>0</v>
      </c>
      <c r="AE23" s="40">
        <f t="shared" si="15"/>
        <v>419</v>
      </c>
      <c r="AF23" s="40">
        <f t="shared" si="15"/>
        <v>1226</v>
      </c>
    </row>
    <row r="24" spans="2:32" ht="23.1" customHeight="1" x14ac:dyDescent="0.25">
      <c r="B24" s="23" t="s">
        <v>51</v>
      </c>
      <c r="C24" s="50">
        <v>19</v>
      </c>
      <c r="D24" s="50">
        <v>6</v>
      </c>
      <c r="E24" s="50">
        <v>3</v>
      </c>
      <c r="F24" s="50">
        <v>40</v>
      </c>
      <c r="G24" s="50">
        <v>0</v>
      </c>
      <c r="H24" s="50">
        <v>1</v>
      </c>
      <c r="I24" s="50">
        <v>6</v>
      </c>
      <c r="J24" s="50">
        <v>3</v>
      </c>
      <c r="K24" s="50">
        <v>0</v>
      </c>
      <c r="L24" s="50">
        <v>1</v>
      </c>
      <c r="M24" s="50">
        <v>245</v>
      </c>
      <c r="N24" s="50">
        <v>0</v>
      </c>
      <c r="O24" s="15">
        <f t="shared" si="0"/>
        <v>79</v>
      </c>
      <c r="P24" s="15">
        <f t="shared" si="1"/>
        <v>324</v>
      </c>
      <c r="R24" s="38" t="s">
        <v>92</v>
      </c>
      <c r="S24" s="39">
        <f>MAX(S19:S21)</f>
        <v>289</v>
      </c>
      <c r="T24" s="39">
        <f t="shared" ref="T24:AF24" si="16">MAX(T19:T21)</f>
        <v>47</v>
      </c>
      <c r="U24" s="39">
        <f t="shared" si="16"/>
        <v>28</v>
      </c>
      <c r="V24" s="39">
        <f t="shared" si="16"/>
        <v>140</v>
      </c>
      <c r="W24" s="39">
        <f t="shared" si="16"/>
        <v>6</v>
      </c>
      <c r="X24" s="39">
        <f t="shared" si="16"/>
        <v>4</v>
      </c>
      <c r="Y24" s="39">
        <f t="shared" si="16"/>
        <v>56</v>
      </c>
      <c r="Z24" s="39">
        <f t="shared" si="16"/>
        <v>11</v>
      </c>
      <c r="AA24" s="39">
        <f t="shared" si="16"/>
        <v>10</v>
      </c>
      <c r="AB24" s="39">
        <f t="shared" si="16"/>
        <v>2</v>
      </c>
      <c r="AC24" s="39">
        <f t="shared" si="16"/>
        <v>817</v>
      </c>
      <c r="AD24" s="39">
        <f t="shared" si="16"/>
        <v>0</v>
      </c>
      <c r="AE24" s="40">
        <f t="shared" si="16"/>
        <v>565</v>
      </c>
      <c r="AF24" s="40">
        <f t="shared" si="16"/>
        <v>1381</v>
      </c>
    </row>
    <row r="25" spans="2:32" ht="23.1" customHeight="1" x14ac:dyDescent="0.25">
      <c r="B25" s="23" t="s">
        <v>52</v>
      </c>
      <c r="C25" s="50">
        <v>31</v>
      </c>
      <c r="D25" s="50">
        <v>6</v>
      </c>
      <c r="E25" s="50">
        <v>1</v>
      </c>
      <c r="F25" s="50">
        <v>60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181</v>
      </c>
      <c r="N25" s="50">
        <v>0</v>
      </c>
      <c r="O25" s="15">
        <f t="shared" si="0"/>
        <v>102</v>
      </c>
      <c r="P25" s="15">
        <f t="shared" si="1"/>
        <v>283</v>
      </c>
      <c r="R25" s="37" t="s">
        <v>85</v>
      </c>
      <c r="S25" s="35">
        <f t="shared" ref="S25:AF25" si="17">SUM(S10:S12)</f>
        <v>267</v>
      </c>
      <c r="T25" s="16">
        <f t="shared" si="17"/>
        <v>60</v>
      </c>
      <c r="U25" s="16">
        <f t="shared" si="17"/>
        <v>38</v>
      </c>
      <c r="V25" s="16">
        <f t="shared" si="17"/>
        <v>669</v>
      </c>
      <c r="W25" s="16">
        <f t="shared" si="17"/>
        <v>15</v>
      </c>
      <c r="X25" s="16">
        <f t="shared" si="17"/>
        <v>3</v>
      </c>
      <c r="Y25" s="16">
        <f t="shared" si="17"/>
        <v>45</v>
      </c>
      <c r="Z25" s="16">
        <f t="shared" si="17"/>
        <v>33</v>
      </c>
      <c r="AA25" s="16">
        <f t="shared" si="17"/>
        <v>10</v>
      </c>
      <c r="AB25" s="16">
        <f t="shared" si="17"/>
        <v>6</v>
      </c>
      <c r="AC25" s="16">
        <f t="shared" si="17"/>
        <v>2440</v>
      </c>
      <c r="AD25" s="16">
        <f t="shared" si="17"/>
        <v>0</v>
      </c>
      <c r="AE25" s="32">
        <f t="shared" si="17"/>
        <v>1146</v>
      </c>
      <c r="AF25" s="32">
        <f t="shared" si="17"/>
        <v>3586</v>
      </c>
    </row>
    <row r="26" spans="2:32" ht="23.1" customHeight="1" x14ac:dyDescent="0.25">
      <c r="B26" s="23" t="s">
        <v>53</v>
      </c>
      <c r="C26" s="50">
        <v>14</v>
      </c>
      <c r="D26" s="50">
        <v>12</v>
      </c>
      <c r="E26" s="50">
        <v>8</v>
      </c>
      <c r="F26" s="50">
        <v>33</v>
      </c>
      <c r="G26" s="50">
        <v>0</v>
      </c>
      <c r="H26" s="50">
        <v>0</v>
      </c>
      <c r="I26" s="50">
        <v>13</v>
      </c>
      <c r="J26" s="50">
        <v>3</v>
      </c>
      <c r="K26" s="50">
        <v>0</v>
      </c>
      <c r="L26" s="50">
        <v>0</v>
      </c>
      <c r="M26" s="50">
        <v>137</v>
      </c>
      <c r="N26" s="50">
        <v>0</v>
      </c>
      <c r="O26" s="15">
        <f t="shared" si="0"/>
        <v>83</v>
      </c>
      <c r="P26" s="15">
        <f t="shared" si="1"/>
        <v>220</v>
      </c>
      <c r="R26" s="28" t="s">
        <v>86</v>
      </c>
      <c r="S26" s="16">
        <f t="shared" ref="S26:AF26" si="18">SUM(S13:S18)</f>
        <v>662</v>
      </c>
      <c r="T26" s="16">
        <f t="shared" si="18"/>
        <v>242</v>
      </c>
      <c r="U26" s="16">
        <f t="shared" si="18"/>
        <v>111</v>
      </c>
      <c r="V26" s="16">
        <f t="shared" si="18"/>
        <v>827</v>
      </c>
      <c r="W26" s="16">
        <f t="shared" si="18"/>
        <v>12</v>
      </c>
      <c r="X26" s="16">
        <f t="shared" si="18"/>
        <v>12</v>
      </c>
      <c r="Y26" s="16">
        <f t="shared" si="18"/>
        <v>158</v>
      </c>
      <c r="Z26" s="16">
        <f t="shared" si="18"/>
        <v>71</v>
      </c>
      <c r="AA26" s="16">
        <f t="shared" si="18"/>
        <v>10</v>
      </c>
      <c r="AB26" s="16">
        <f t="shared" si="18"/>
        <v>9</v>
      </c>
      <c r="AC26" s="16">
        <f t="shared" si="18"/>
        <v>3636</v>
      </c>
      <c r="AD26" s="16">
        <f t="shared" si="18"/>
        <v>0</v>
      </c>
      <c r="AE26" s="32">
        <f t="shared" si="18"/>
        <v>2114</v>
      </c>
      <c r="AF26" s="32">
        <f t="shared" si="18"/>
        <v>5750</v>
      </c>
    </row>
    <row r="27" spans="2:32" ht="23.1" customHeight="1" x14ac:dyDescent="0.25">
      <c r="B27" s="23" t="s">
        <v>54</v>
      </c>
      <c r="C27" s="50">
        <v>22</v>
      </c>
      <c r="D27" s="50">
        <v>10</v>
      </c>
      <c r="E27" s="50">
        <v>2</v>
      </c>
      <c r="F27" s="50">
        <v>36</v>
      </c>
      <c r="G27" s="50">
        <v>1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150</v>
      </c>
      <c r="N27" s="50">
        <v>0</v>
      </c>
      <c r="O27" s="15">
        <f t="shared" si="0"/>
        <v>75</v>
      </c>
      <c r="P27" s="15">
        <f t="shared" si="1"/>
        <v>225</v>
      </c>
      <c r="R27" s="29" t="s">
        <v>87</v>
      </c>
      <c r="S27" s="16">
        <f t="shared" ref="S27:AF27" si="19">SUM(S19:S21)</f>
        <v>738</v>
      </c>
      <c r="T27" s="16">
        <f t="shared" si="19"/>
        <v>132</v>
      </c>
      <c r="U27" s="16">
        <f t="shared" si="19"/>
        <v>80</v>
      </c>
      <c r="V27" s="16">
        <f t="shared" si="19"/>
        <v>305</v>
      </c>
      <c r="W27" s="16">
        <f t="shared" si="19"/>
        <v>8</v>
      </c>
      <c r="X27" s="16">
        <f t="shared" si="19"/>
        <v>7</v>
      </c>
      <c r="Y27" s="16">
        <f t="shared" si="19"/>
        <v>99</v>
      </c>
      <c r="Z27" s="16">
        <f t="shared" si="19"/>
        <v>14</v>
      </c>
      <c r="AA27" s="16">
        <f t="shared" si="19"/>
        <v>14</v>
      </c>
      <c r="AB27" s="16">
        <f t="shared" si="19"/>
        <v>4</v>
      </c>
      <c r="AC27" s="16">
        <f t="shared" si="19"/>
        <v>2243</v>
      </c>
      <c r="AD27" s="16">
        <f t="shared" si="19"/>
        <v>0</v>
      </c>
      <c r="AE27" s="32">
        <f t="shared" si="19"/>
        <v>1401</v>
      </c>
      <c r="AF27" s="32">
        <f t="shared" si="19"/>
        <v>3644</v>
      </c>
    </row>
    <row r="28" spans="2:32" ht="23.1" customHeight="1" x14ac:dyDescent="0.25">
      <c r="B28" s="23" t="s">
        <v>55</v>
      </c>
      <c r="C28" s="50">
        <v>11</v>
      </c>
      <c r="D28" s="50">
        <v>20</v>
      </c>
      <c r="E28" s="50">
        <v>3</v>
      </c>
      <c r="F28" s="50">
        <v>26</v>
      </c>
      <c r="G28" s="50">
        <v>0</v>
      </c>
      <c r="H28" s="50">
        <v>0</v>
      </c>
      <c r="I28" s="50">
        <v>3</v>
      </c>
      <c r="J28" s="50">
        <v>3</v>
      </c>
      <c r="K28" s="50">
        <v>0</v>
      </c>
      <c r="L28" s="50">
        <v>0</v>
      </c>
      <c r="M28" s="50">
        <v>200</v>
      </c>
      <c r="N28" s="50">
        <v>0</v>
      </c>
      <c r="O28" s="15">
        <f t="shared" si="0"/>
        <v>66</v>
      </c>
      <c r="P28" s="15">
        <f t="shared" si="1"/>
        <v>266</v>
      </c>
      <c r="R28" s="5" t="s">
        <v>17</v>
      </c>
      <c r="S28" s="16">
        <f t="shared" ref="S28:AF28" si="20">SUM(S10:S21)</f>
        <v>1667</v>
      </c>
      <c r="T28" s="16">
        <f t="shared" si="20"/>
        <v>434</v>
      </c>
      <c r="U28" s="16">
        <f t="shared" si="20"/>
        <v>229</v>
      </c>
      <c r="V28" s="16">
        <f t="shared" si="20"/>
        <v>1801</v>
      </c>
      <c r="W28" s="16">
        <f t="shared" si="20"/>
        <v>35</v>
      </c>
      <c r="X28" s="16">
        <f t="shared" si="20"/>
        <v>22</v>
      </c>
      <c r="Y28" s="16">
        <f t="shared" si="20"/>
        <v>302</v>
      </c>
      <c r="Z28" s="16">
        <f t="shared" si="20"/>
        <v>118</v>
      </c>
      <c r="AA28" s="16">
        <f t="shared" si="20"/>
        <v>34</v>
      </c>
      <c r="AB28" s="16">
        <f t="shared" si="20"/>
        <v>19</v>
      </c>
      <c r="AC28" s="16">
        <f t="shared" si="20"/>
        <v>8319</v>
      </c>
      <c r="AD28" s="16">
        <f t="shared" si="20"/>
        <v>0</v>
      </c>
      <c r="AE28" s="32">
        <f t="shared" si="20"/>
        <v>4661</v>
      </c>
      <c r="AF28" s="32">
        <f t="shared" si="20"/>
        <v>12980</v>
      </c>
    </row>
    <row r="29" spans="2:32" ht="23.1" customHeight="1" x14ac:dyDescent="0.25">
      <c r="B29" s="23" t="s">
        <v>56</v>
      </c>
      <c r="C29" s="50">
        <v>34</v>
      </c>
      <c r="D29" s="50">
        <v>9</v>
      </c>
      <c r="E29" s="50">
        <v>3</v>
      </c>
      <c r="F29" s="50">
        <v>29</v>
      </c>
      <c r="G29" s="50">
        <v>0</v>
      </c>
      <c r="H29" s="50">
        <v>1</v>
      </c>
      <c r="I29" s="50">
        <v>8</v>
      </c>
      <c r="J29" s="50">
        <v>4</v>
      </c>
      <c r="K29" s="50">
        <v>0</v>
      </c>
      <c r="L29" s="50">
        <v>1</v>
      </c>
      <c r="M29" s="50">
        <v>144</v>
      </c>
      <c r="N29" s="50">
        <v>0</v>
      </c>
      <c r="O29" s="15">
        <f t="shared" si="0"/>
        <v>89</v>
      </c>
      <c r="P29" s="15">
        <f t="shared" si="1"/>
        <v>233</v>
      </c>
      <c r="R29"/>
      <c r="S29" s="20"/>
      <c r="T29" s="19"/>
    </row>
    <row r="30" spans="2:32" ht="23.1" customHeight="1" x14ac:dyDescent="0.25">
      <c r="B30" s="23" t="s">
        <v>57</v>
      </c>
      <c r="C30" s="50">
        <v>21</v>
      </c>
      <c r="D30" s="50">
        <v>3</v>
      </c>
      <c r="E30" s="50">
        <v>5</v>
      </c>
      <c r="F30" s="50">
        <v>22</v>
      </c>
      <c r="G30" s="50">
        <v>2</v>
      </c>
      <c r="H30" s="50">
        <v>1</v>
      </c>
      <c r="I30" s="50">
        <v>5</v>
      </c>
      <c r="J30" s="50">
        <v>4</v>
      </c>
      <c r="K30" s="50">
        <v>0</v>
      </c>
      <c r="L30" s="50">
        <v>0</v>
      </c>
      <c r="M30" s="50">
        <v>88</v>
      </c>
      <c r="N30" s="50">
        <v>0</v>
      </c>
      <c r="O30" s="15">
        <f t="shared" si="0"/>
        <v>63</v>
      </c>
      <c r="P30" s="15">
        <f t="shared" si="1"/>
        <v>151</v>
      </c>
    </row>
    <row r="31" spans="2:32" ht="23.1" customHeight="1" x14ac:dyDescent="0.25">
      <c r="B31" s="24" t="s">
        <v>58</v>
      </c>
      <c r="C31" s="50">
        <v>31</v>
      </c>
      <c r="D31" s="50">
        <v>7</v>
      </c>
      <c r="E31" s="50">
        <v>8</v>
      </c>
      <c r="F31" s="50">
        <v>35</v>
      </c>
      <c r="G31" s="50">
        <v>2</v>
      </c>
      <c r="H31" s="50">
        <v>1</v>
      </c>
      <c r="I31" s="50">
        <v>5</v>
      </c>
      <c r="J31" s="50">
        <v>7</v>
      </c>
      <c r="K31" s="50">
        <v>0</v>
      </c>
      <c r="L31" s="50">
        <v>0</v>
      </c>
      <c r="M31" s="50">
        <v>98</v>
      </c>
      <c r="N31" s="50">
        <v>0</v>
      </c>
      <c r="O31" s="15">
        <f t="shared" si="0"/>
        <v>96</v>
      </c>
      <c r="P31" s="15">
        <f t="shared" si="1"/>
        <v>194</v>
      </c>
    </row>
    <row r="32" spans="2:32" ht="23.1" customHeight="1" x14ac:dyDescent="0.25">
      <c r="B32" s="24" t="s">
        <v>59</v>
      </c>
      <c r="C32" s="50">
        <v>51</v>
      </c>
      <c r="D32" s="50">
        <v>8</v>
      </c>
      <c r="E32" s="50">
        <v>8</v>
      </c>
      <c r="F32" s="50">
        <v>38</v>
      </c>
      <c r="G32" s="50">
        <v>0</v>
      </c>
      <c r="H32" s="50">
        <v>1</v>
      </c>
      <c r="I32" s="50">
        <v>8</v>
      </c>
      <c r="J32" s="50">
        <v>0</v>
      </c>
      <c r="K32" s="50">
        <v>0</v>
      </c>
      <c r="L32" s="50">
        <v>0</v>
      </c>
      <c r="M32" s="50">
        <v>120</v>
      </c>
      <c r="N32" s="50">
        <v>0</v>
      </c>
      <c r="O32" s="15">
        <f t="shared" si="0"/>
        <v>114</v>
      </c>
      <c r="P32" s="15">
        <f t="shared" si="1"/>
        <v>234</v>
      </c>
    </row>
    <row r="33" spans="2:20" ht="23.1" customHeight="1" x14ac:dyDescent="0.25">
      <c r="B33" s="23" t="s">
        <v>60</v>
      </c>
      <c r="C33" s="50">
        <v>52</v>
      </c>
      <c r="D33" s="50">
        <v>7</v>
      </c>
      <c r="E33" s="50">
        <v>12</v>
      </c>
      <c r="F33" s="50">
        <v>60</v>
      </c>
      <c r="G33" s="50">
        <v>1</v>
      </c>
      <c r="H33" s="50">
        <v>0</v>
      </c>
      <c r="I33" s="50">
        <v>9</v>
      </c>
      <c r="J33" s="50">
        <v>4</v>
      </c>
      <c r="K33" s="50">
        <v>1</v>
      </c>
      <c r="L33" s="50">
        <v>0</v>
      </c>
      <c r="M33" s="50">
        <v>138</v>
      </c>
      <c r="N33" s="50">
        <v>0</v>
      </c>
      <c r="O33" s="15">
        <f t="shared" si="0"/>
        <v>146</v>
      </c>
      <c r="P33" s="15">
        <f t="shared" si="1"/>
        <v>284</v>
      </c>
    </row>
    <row r="34" spans="2:20" ht="23.1" customHeight="1" x14ac:dyDescent="0.25">
      <c r="B34" s="24" t="s">
        <v>61</v>
      </c>
      <c r="C34" s="50">
        <v>42</v>
      </c>
      <c r="D34" s="50">
        <v>9</v>
      </c>
      <c r="E34" s="50">
        <v>5</v>
      </c>
      <c r="F34" s="50">
        <v>40</v>
      </c>
      <c r="G34" s="50">
        <v>0</v>
      </c>
      <c r="H34" s="50">
        <v>0</v>
      </c>
      <c r="I34" s="50">
        <v>13</v>
      </c>
      <c r="J34" s="50">
        <v>1</v>
      </c>
      <c r="K34" s="50">
        <v>1</v>
      </c>
      <c r="L34" s="50">
        <v>0</v>
      </c>
      <c r="M34" s="50">
        <v>120</v>
      </c>
      <c r="N34" s="50">
        <v>0</v>
      </c>
      <c r="O34" s="15">
        <f t="shared" si="0"/>
        <v>111</v>
      </c>
      <c r="P34" s="15">
        <f t="shared" si="1"/>
        <v>231</v>
      </c>
    </row>
    <row r="35" spans="2:20" ht="23.1" customHeight="1" x14ac:dyDescent="0.25">
      <c r="B35" s="24" t="s">
        <v>62</v>
      </c>
      <c r="C35" s="50">
        <v>21</v>
      </c>
      <c r="D35" s="50">
        <v>10</v>
      </c>
      <c r="E35" s="50">
        <v>6</v>
      </c>
      <c r="F35" s="50">
        <v>37</v>
      </c>
      <c r="G35" s="50">
        <v>0</v>
      </c>
      <c r="H35" s="50">
        <v>0</v>
      </c>
      <c r="I35" s="50">
        <v>2</v>
      </c>
      <c r="J35" s="50">
        <v>4</v>
      </c>
      <c r="K35" s="50">
        <v>0</v>
      </c>
      <c r="L35" s="50">
        <v>0</v>
      </c>
      <c r="M35" s="50">
        <v>125</v>
      </c>
      <c r="N35" s="50">
        <v>0</v>
      </c>
      <c r="O35" s="15">
        <f t="shared" si="0"/>
        <v>80</v>
      </c>
      <c r="P35" s="15">
        <f t="shared" si="1"/>
        <v>205</v>
      </c>
    </row>
    <row r="36" spans="2:20" ht="23.1" customHeight="1" x14ac:dyDescent="0.25">
      <c r="B36" s="24" t="s">
        <v>63</v>
      </c>
      <c r="C36" s="50">
        <v>26</v>
      </c>
      <c r="D36" s="50">
        <v>7</v>
      </c>
      <c r="E36" s="50">
        <v>3</v>
      </c>
      <c r="F36" s="50">
        <v>21</v>
      </c>
      <c r="G36" s="50">
        <v>0</v>
      </c>
      <c r="H36" s="50">
        <v>2</v>
      </c>
      <c r="I36" s="50">
        <v>5</v>
      </c>
      <c r="J36" s="50">
        <v>5</v>
      </c>
      <c r="K36" s="50">
        <v>0</v>
      </c>
      <c r="L36" s="50">
        <v>0</v>
      </c>
      <c r="M36" s="50">
        <v>130</v>
      </c>
      <c r="N36" s="50">
        <v>0</v>
      </c>
      <c r="O36" s="15">
        <f t="shared" si="0"/>
        <v>69</v>
      </c>
      <c r="P36" s="15">
        <f t="shared" si="1"/>
        <v>199</v>
      </c>
    </row>
    <row r="37" spans="2:20" ht="23.1" customHeight="1" x14ac:dyDescent="0.25">
      <c r="B37" s="23" t="s">
        <v>64</v>
      </c>
      <c r="C37" s="50">
        <v>40</v>
      </c>
      <c r="D37" s="50">
        <v>0</v>
      </c>
      <c r="E37" s="50">
        <v>0</v>
      </c>
      <c r="F37" s="50">
        <v>25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125</v>
      </c>
      <c r="N37" s="50">
        <v>0</v>
      </c>
      <c r="O37" s="15">
        <f t="shared" si="0"/>
        <v>65</v>
      </c>
      <c r="P37" s="15">
        <f t="shared" si="1"/>
        <v>190</v>
      </c>
    </row>
    <row r="38" spans="2:20" ht="23.1" customHeight="1" x14ac:dyDescent="0.25">
      <c r="B38" s="24" t="s">
        <v>65</v>
      </c>
      <c r="C38" s="50">
        <v>20</v>
      </c>
      <c r="D38" s="50">
        <v>15</v>
      </c>
      <c r="E38" s="50">
        <v>4</v>
      </c>
      <c r="F38" s="50">
        <v>35</v>
      </c>
      <c r="G38" s="50">
        <v>2</v>
      </c>
      <c r="H38" s="50">
        <v>0</v>
      </c>
      <c r="I38" s="50">
        <v>8</v>
      </c>
      <c r="J38" s="50">
        <v>3</v>
      </c>
      <c r="K38" s="50">
        <v>1</v>
      </c>
      <c r="L38" s="50">
        <v>0</v>
      </c>
      <c r="M38" s="50">
        <v>155</v>
      </c>
      <c r="N38" s="50">
        <v>0</v>
      </c>
      <c r="O38" s="15">
        <f t="shared" si="0"/>
        <v>88</v>
      </c>
      <c r="P38" s="15">
        <f t="shared" si="1"/>
        <v>243</v>
      </c>
    </row>
    <row r="39" spans="2:20" ht="23.1" customHeight="1" x14ac:dyDescent="0.25">
      <c r="B39" s="24" t="s">
        <v>66</v>
      </c>
      <c r="C39" s="50">
        <v>25</v>
      </c>
      <c r="D39" s="50">
        <v>13</v>
      </c>
      <c r="E39" s="50">
        <v>5</v>
      </c>
      <c r="F39" s="50">
        <v>30</v>
      </c>
      <c r="G39" s="50">
        <v>0</v>
      </c>
      <c r="H39" s="50">
        <v>1</v>
      </c>
      <c r="I39" s="50">
        <v>10</v>
      </c>
      <c r="J39" s="50">
        <v>2</v>
      </c>
      <c r="K39" s="50">
        <v>1</v>
      </c>
      <c r="L39" s="50">
        <v>1</v>
      </c>
      <c r="M39" s="50">
        <v>200</v>
      </c>
      <c r="N39" s="50">
        <v>0</v>
      </c>
      <c r="O39" s="15">
        <f t="shared" si="0"/>
        <v>88</v>
      </c>
      <c r="P39" s="15">
        <f t="shared" si="1"/>
        <v>288</v>
      </c>
    </row>
    <row r="40" spans="2:20" ht="23.1" customHeight="1" x14ac:dyDescent="0.25">
      <c r="B40" s="24" t="s">
        <v>67</v>
      </c>
      <c r="C40" s="50">
        <v>24</v>
      </c>
      <c r="D40" s="50">
        <v>5</v>
      </c>
      <c r="E40" s="50">
        <v>0</v>
      </c>
      <c r="F40" s="50">
        <v>30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0</v>
      </c>
      <c r="M40" s="50">
        <v>100</v>
      </c>
      <c r="N40" s="50">
        <v>0</v>
      </c>
      <c r="O40" s="15">
        <f t="shared" si="0"/>
        <v>61</v>
      </c>
      <c r="P40" s="15">
        <f t="shared" si="1"/>
        <v>161</v>
      </c>
    </row>
    <row r="41" spans="2:20" ht="23.1" customHeight="1" x14ac:dyDescent="0.25">
      <c r="B41" s="23" t="s">
        <v>68</v>
      </c>
      <c r="C41" s="50">
        <v>33</v>
      </c>
      <c r="D41" s="50">
        <v>17</v>
      </c>
      <c r="E41" s="50">
        <v>0</v>
      </c>
      <c r="F41" s="50">
        <v>25</v>
      </c>
      <c r="G41" s="50">
        <v>0</v>
      </c>
      <c r="H41" s="50">
        <v>2</v>
      </c>
      <c r="I41" s="50">
        <v>15</v>
      </c>
      <c r="J41" s="50">
        <v>0</v>
      </c>
      <c r="K41" s="50">
        <v>1</v>
      </c>
      <c r="L41" s="50">
        <v>1</v>
      </c>
      <c r="M41" s="50">
        <v>135</v>
      </c>
      <c r="N41" s="50">
        <v>0</v>
      </c>
      <c r="O41" s="15">
        <f t="shared" si="0"/>
        <v>94</v>
      </c>
      <c r="P41" s="15">
        <f t="shared" si="1"/>
        <v>229</v>
      </c>
    </row>
    <row r="42" spans="2:20" ht="23.1" customHeight="1" x14ac:dyDescent="0.25">
      <c r="B42" s="24" t="s">
        <v>69</v>
      </c>
      <c r="C42" s="50">
        <v>22</v>
      </c>
      <c r="D42" s="50">
        <v>14</v>
      </c>
      <c r="E42" s="50">
        <v>5</v>
      </c>
      <c r="F42" s="50">
        <v>19</v>
      </c>
      <c r="G42" s="50">
        <v>1</v>
      </c>
      <c r="H42" s="50">
        <v>0</v>
      </c>
      <c r="I42" s="50">
        <v>5</v>
      </c>
      <c r="J42" s="50">
        <v>4</v>
      </c>
      <c r="K42" s="50">
        <v>1</v>
      </c>
      <c r="L42" s="50">
        <v>1</v>
      </c>
      <c r="M42" s="50">
        <v>140</v>
      </c>
      <c r="N42" s="50">
        <v>0</v>
      </c>
      <c r="O42" s="15">
        <f t="shared" si="0"/>
        <v>72</v>
      </c>
      <c r="P42" s="15">
        <f t="shared" si="1"/>
        <v>212</v>
      </c>
    </row>
    <row r="43" spans="2:20" ht="23.1" customHeight="1" x14ac:dyDescent="0.25">
      <c r="B43" s="23" t="s">
        <v>70</v>
      </c>
      <c r="C43" s="50">
        <v>30</v>
      </c>
      <c r="D43" s="50">
        <v>15</v>
      </c>
      <c r="E43" s="50">
        <v>9</v>
      </c>
      <c r="F43" s="50">
        <v>35</v>
      </c>
      <c r="G43" s="50">
        <v>2</v>
      </c>
      <c r="H43" s="50">
        <v>0</v>
      </c>
      <c r="I43" s="50">
        <v>8</v>
      </c>
      <c r="J43" s="50">
        <v>0</v>
      </c>
      <c r="K43" s="50">
        <v>1</v>
      </c>
      <c r="L43" s="50">
        <v>2</v>
      </c>
      <c r="M43" s="50">
        <v>145</v>
      </c>
      <c r="N43" s="50">
        <v>0</v>
      </c>
      <c r="O43" s="15">
        <f t="shared" si="0"/>
        <v>102</v>
      </c>
      <c r="P43" s="15">
        <f t="shared" si="1"/>
        <v>247</v>
      </c>
    </row>
    <row r="44" spans="2:20" ht="23.1" customHeight="1" x14ac:dyDescent="0.25">
      <c r="B44" s="25" t="s">
        <v>71</v>
      </c>
      <c r="C44" s="50">
        <v>35</v>
      </c>
      <c r="D44" s="50">
        <v>25</v>
      </c>
      <c r="E44" s="50">
        <v>7</v>
      </c>
      <c r="F44" s="50">
        <v>25</v>
      </c>
      <c r="G44" s="50">
        <v>0</v>
      </c>
      <c r="H44" s="50">
        <v>0</v>
      </c>
      <c r="I44" s="50">
        <v>10</v>
      </c>
      <c r="J44" s="50">
        <v>5</v>
      </c>
      <c r="K44" s="50">
        <v>0</v>
      </c>
      <c r="L44" s="50">
        <v>1</v>
      </c>
      <c r="M44" s="50">
        <v>165</v>
      </c>
      <c r="N44" s="50">
        <v>0</v>
      </c>
      <c r="O44" s="15">
        <f t="shared" si="0"/>
        <v>108</v>
      </c>
      <c r="P44" s="15">
        <f t="shared" si="1"/>
        <v>273</v>
      </c>
    </row>
    <row r="45" spans="2:20" ht="23.1" customHeight="1" x14ac:dyDescent="0.25">
      <c r="B45" s="23" t="s">
        <v>72</v>
      </c>
      <c r="C45" s="50">
        <v>28</v>
      </c>
      <c r="D45" s="50">
        <v>12</v>
      </c>
      <c r="E45" s="50">
        <v>11</v>
      </c>
      <c r="F45" s="50">
        <v>26</v>
      </c>
      <c r="G45" s="50">
        <v>1</v>
      </c>
      <c r="H45" s="50">
        <v>0</v>
      </c>
      <c r="I45" s="50">
        <v>7</v>
      </c>
      <c r="J45" s="50">
        <v>3</v>
      </c>
      <c r="K45" s="50">
        <v>0</v>
      </c>
      <c r="L45" s="50">
        <v>1</v>
      </c>
      <c r="M45" s="50">
        <v>150</v>
      </c>
      <c r="N45" s="50">
        <v>0</v>
      </c>
      <c r="O45" s="15">
        <f t="shared" si="0"/>
        <v>89</v>
      </c>
      <c r="P45" s="15">
        <f t="shared" si="1"/>
        <v>239</v>
      </c>
    </row>
    <row r="46" spans="2:20" ht="23.1" customHeight="1" x14ac:dyDescent="0.25">
      <c r="B46" s="24" t="s">
        <v>73</v>
      </c>
      <c r="C46" s="50">
        <v>43</v>
      </c>
      <c r="D46" s="50">
        <v>14</v>
      </c>
      <c r="E46" s="50">
        <v>2</v>
      </c>
      <c r="F46" s="50">
        <v>41</v>
      </c>
      <c r="G46" s="50">
        <v>0</v>
      </c>
      <c r="H46" s="50">
        <v>0</v>
      </c>
      <c r="I46" s="50">
        <v>20</v>
      </c>
      <c r="J46" s="50">
        <v>0</v>
      </c>
      <c r="K46" s="50">
        <v>0</v>
      </c>
      <c r="L46" s="50">
        <v>0</v>
      </c>
      <c r="M46" s="50">
        <v>250</v>
      </c>
      <c r="N46" s="50">
        <v>0</v>
      </c>
      <c r="O46" s="15">
        <f t="shared" si="0"/>
        <v>120</v>
      </c>
      <c r="P46" s="15">
        <f t="shared" si="1"/>
        <v>370</v>
      </c>
      <c r="R46" s="8"/>
      <c r="T46"/>
    </row>
    <row r="47" spans="2:20" ht="23.1" customHeight="1" x14ac:dyDescent="0.25">
      <c r="B47" s="24" t="s">
        <v>74</v>
      </c>
      <c r="C47" s="50">
        <v>75</v>
      </c>
      <c r="D47" s="50">
        <v>11</v>
      </c>
      <c r="E47" s="50">
        <v>6</v>
      </c>
      <c r="F47" s="50">
        <v>30</v>
      </c>
      <c r="G47" s="50">
        <v>0</v>
      </c>
      <c r="H47" s="50">
        <v>0</v>
      </c>
      <c r="I47" s="50">
        <v>20</v>
      </c>
      <c r="J47" s="50">
        <v>2</v>
      </c>
      <c r="K47" s="50">
        <v>0</v>
      </c>
      <c r="L47" s="50">
        <v>0</v>
      </c>
      <c r="M47" s="50">
        <v>148</v>
      </c>
      <c r="N47" s="50">
        <v>0</v>
      </c>
      <c r="O47" s="15">
        <f t="shared" si="0"/>
        <v>144</v>
      </c>
      <c r="P47" s="15">
        <f t="shared" si="1"/>
        <v>292</v>
      </c>
      <c r="R47" s="8"/>
      <c r="T47"/>
    </row>
    <row r="48" spans="2:20" ht="23.1" customHeight="1" x14ac:dyDescent="0.25">
      <c r="B48" s="24" t="s">
        <v>75</v>
      </c>
      <c r="C48" s="50">
        <v>91</v>
      </c>
      <c r="D48" s="50">
        <v>12</v>
      </c>
      <c r="E48" s="50">
        <v>8</v>
      </c>
      <c r="F48" s="50">
        <v>41</v>
      </c>
      <c r="G48" s="50">
        <v>0</v>
      </c>
      <c r="H48" s="50">
        <v>1</v>
      </c>
      <c r="I48" s="50">
        <v>5</v>
      </c>
      <c r="J48" s="50">
        <v>1</v>
      </c>
      <c r="K48" s="50">
        <v>0</v>
      </c>
      <c r="L48" s="50">
        <v>1</v>
      </c>
      <c r="M48" s="50">
        <v>226</v>
      </c>
      <c r="N48" s="50">
        <v>0</v>
      </c>
      <c r="O48" s="15">
        <f t="shared" si="0"/>
        <v>160</v>
      </c>
      <c r="P48" s="15">
        <f t="shared" si="1"/>
        <v>386</v>
      </c>
      <c r="R48" s="8"/>
      <c r="T48"/>
    </row>
    <row r="49" spans="2:20" ht="23.1" customHeight="1" x14ac:dyDescent="0.25">
      <c r="B49" s="23" t="s">
        <v>76</v>
      </c>
      <c r="C49" s="50">
        <v>80</v>
      </c>
      <c r="D49" s="50">
        <v>10</v>
      </c>
      <c r="E49" s="50">
        <v>11</v>
      </c>
      <c r="F49" s="50">
        <v>28</v>
      </c>
      <c r="G49" s="50">
        <v>1</v>
      </c>
      <c r="H49" s="50">
        <v>0</v>
      </c>
      <c r="I49" s="50">
        <v>11</v>
      </c>
      <c r="J49" s="50">
        <v>0</v>
      </c>
      <c r="K49" s="50">
        <v>0</v>
      </c>
      <c r="L49" s="50">
        <v>0</v>
      </c>
      <c r="M49" s="50">
        <v>192</v>
      </c>
      <c r="N49" s="50">
        <v>0</v>
      </c>
      <c r="O49" s="15">
        <f t="shared" si="0"/>
        <v>141</v>
      </c>
      <c r="P49" s="15">
        <f t="shared" si="1"/>
        <v>333</v>
      </c>
      <c r="R49" s="8"/>
      <c r="T49"/>
    </row>
    <row r="50" spans="2:20" ht="23.1" customHeight="1" x14ac:dyDescent="0.25">
      <c r="B50" s="24" t="s">
        <v>77</v>
      </c>
      <c r="C50" s="50">
        <v>40</v>
      </c>
      <c r="D50" s="50">
        <v>20</v>
      </c>
      <c r="E50" s="50">
        <v>4</v>
      </c>
      <c r="F50" s="50">
        <v>35</v>
      </c>
      <c r="G50" s="50">
        <v>2</v>
      </c>
      <c r="H50" s="50">
        <v>1</v>
      </c>
      <c r="I50" s="50">
        <v>8</v>
      </c>
      <c r="J50" s="50">
        <v>0</v>
      </c>
      <c r="K50" s="50">
        <v>2</v>
      </c>
      <c r="L50" s="50">
        <v>1</v>
      </c>
      <c r="M50" s="50">
        <v>135</v>
      </c>
      <c r="N50" s="50">
        <v>0</v>
      </c>
      <c r="O50" s="15">
        <f t="shared" si="0"/>
        <v>113</v>
      </c>
      <c r="P50" s="15">
        <f t="shared" si="1"/>
        <v>248</v>
      </c>
      <c r="R50" s="8"/>
      <c r="T50"/>
    </row>
    <row r="51" spans="2:20" ht="23.1" customHeight="1" x14ac:dyDescent="0.25">
      <c r="B51" s="24" t="s">
        <v>78</v>
      </c>
      <c r="C51" s="50">
        <v>53</v>
      </c>
      <c r="D51" s="50">
        <v>10</v>
      </c>
      <c r="E51" s="50">
        <v>5</v>
      </c>
      <c r="F51" s="50">
        <v>45</v>
      </c>
      <c r="G51" s="50">
        <v>1</v>
      </c>
      <c r="H51" s="50">
        <v>0</v>
      </c>
      <c r="I51" s="50">
        <v>4</v>
      </c>
      <c r="J51" s="50">
        <v>0</v>
      </c>
      <c r="K51" s="50">
        <v>3</v>
      </c>
      <c r="L51" s="50">
        <v>1</v>
      </c>
      <c r="M51" s="50">
        <v>135</v>
      </c>
      <c r="N51" s="50">
        <v>0</v>
      </c>
      <c r="O51" s="15">
        <f t="shared" si="0"/>
        <v>122</v>
      </c>
      <c r="P51" s="15">
        <f t="shared" si="1"/>
        <v>257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8</v>
      </c>
      <c r="E52" s="50">
        <v>7</v>
      </c>
      <c r="F52" s="50">
        <v>0</v>
      </c>
      <c r="G52" s="50">
        <v>0</v>
      </c>
      <c r="H52" s="50">
        <v>3</v>
      </c>
      <c r="I52" s="50">
        <v>6</v>
      </c>
      <c r="J52" s="50">
        <v>0</v>
      </c>
      <c r="K52" s="50">
        <v>1</v>
      </c>
      <c r="L52" s="50">
        <v>0</v>
      </c>
      <c r="M52" s="50">
        <v>150</v>
      </c>
      <c r="N52" s="50">
        <v>0</v>
      </c>
      <c r="O52" s="15">
        <f t="shared" si="0"/>
        <v>72</v>
      </c>
      <c r="P52" s="15">
        <f t="shared" si="1"/>
        <v>222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7</v>
      </c>
      <c r="E53" s="50">
        <v>9</v>
      </c>
      <c r="F53" s="50">
        <v>0</v>
      </c>
      <c r="G53" s="50">
        <v>3</v>
      </c>
      <c r="H53" s="50">
        <v>0</v>
      </c>
      <c r="I53" s="50">
        <v>10</v>
      </c>
      <c r="J53" s="50">
        <v>0</v>
      </c>
      <c r="K53" s="50">
        <v>4</v>
      </c>
      <c r="L53" s="50">
        <v>0</v>
      </c>
      <c r="M53" s="50">
        <v>190</v>
      </c>
      <c r="N53" s="50">
        <v>0</v>
      </c>
      <c r="O53" s="15">
        <f t="shared" si="0"/>
        <v>78</v>
      </c>
      <c r="P53" s="15">
        <f t="shared" si="1"/>
        <v>268</v>
      </c>
      <c r="R53" s="8"/>
      <c r="T53"/>
    </row>
    <row r="54" spans="2:20" ht="23.1" customHeight="1" x14ac:dyDescent="0.25">
      <c r="B54" s="23" t="s">
        <v>81</v>
      </c>
      <c r="C54" s="50">
        <v>67</v>
      </c>
      <c r="D54" s="50">
        <v>10</v>
      </c>
      <c r="E54" s="50">
        <v>4</v>
      </c>
      <c r="F54" s="50">
        <v>21</v>
      </c>
      <c r="G54" s="50">
        <v>0</v>
      </c>
      <c r="H54" s="50">
        <v>0</v>
      </c>
      <c r="I54" s="50">
        <v>5</v>
      </c>
      <c r="J54" s="50">
        <v>1</v>
      </c>
      <c r="K54" s="50">
        <v>1</v>
      </c>
      <c r="L54" s="50">
        <v>0</v>
      </c>
      <c r="M54" s="50">
        <v>200</v>
      </c>
      <c r="N54" s="50">
        <v>0</v>
      </c>
      <c r="O54" s="15">
        <f t="shared" si="0"/>
        <v>109</v>
      </c>
      <c r="P54" s="15">
        <f t="shared" si="1"/>
        <v>309</v>
      </c>
      <c r="R54" s="8"/>
      <c r="T54"/>
    </row>
    <row r="55" spans="2:20" ht="23.1" customHeight="1" x14ac:dyDescent="0.25">
      <c r="B55" s="23" t="s">
        <v>82</v>
      </c>
      <c r="C55" s="50">
        <v>80</v>
      </c>
      <c r="D55" s="50">
        <v>13</v>
      </c>
      <c r="E55" s="50">
        <v>9</v>
      </c>
      <c r="F55" s="50">
        <v>31</v>
      </c>
      <c r="G55" s="50">
        <v>1</v>
      </c>
      <c r="H55" s="50">
        <v>0</v>
      </c>
      <c r="I55" s="50">
        <v>5</v>
      </c>
      <c r="J55" s="50">
        <v>5</v>
      </c>
      <c r="K55" s="50">
        <v>1</v>
      </c>
      <c r="L55" s="50">
        <v>0</v>
      </c>
      <c r="M55" s="50">
        <v>348</v>
      </c>
      <c r="N55" s="50">
        <v>0</v>
      </c>
      <c r="O55" s="15">
        <f t="shared" si="0"/>
        <v>145</v>
      </c>
      <c r="P55" s="15">
        <f t="shared" si="1"/>
        <v>493</v>
      </c>
      <c r="R55" s="8"/>
      <c r="T55"/>
    </row>
    <row r="56" spans="2:20" ht="23.1" customHeight="1" x14ac:dyDescent="0.25">
      <c r="B56" s="23" t="s">
        <v>83</v>
      </c>
      <c r="C56" s="50">
        <v>70</v>
      </c>
      <c r="D56" s="50">
        <v>10</v>
      </c>
      <c r="E56" s="50">
        <v>8</v>
      </c>
      <c r="F56" s="50">
        <v>17</v>
      </c>
      <c r="G56" s="50">
        <v>0</v>
      </c>
      <c r="H56" s="50">
        <v>2</v>
      </c>
      <c r="I56" s="50">
        <v>3</v>
      </c>
      <c r="J56" s="50">
        <v>3</v>
      </c>
      <c r="K56" s="50">
        <v>0</v>
      </c>
      <c r="L56" s="50">
        <v>1</v>
      </c>
      <c r="M56" s="50">
        <v>157</v>
      </c>
      <c r="N56" s="50">
        <v>0</v>
      </c>
      <c r="O56" s="15">
        <f t="shared" si="0"/>
        <v>114</v>
      </c>
      <c r="P56" s="15">
        <f t="shared" si="1"/>
        <v>271</v>
      </c>
      <c r="R56" s="8"/>
      <c r="T56"/>
    </row>
    <row r="57" spans="2:20" ht="23.1" customHeight="1" x14ac:dyDescent="0.25">
      <c r="B57" s="23" t="s">
        <v>84</v>
      </c>
      <c r="C57" s="50">
        <v>47</v>
      </c>
      <c r="D57" s="50">
        <v>7</v>
      </c>
      <c r="E57" s="50">
        <v>7</v>
      </c>
      <c r="F57" s="50">
        <v>16</v>
      </c>
      <c r="G57" s="50">
        <v>0</v>
      </c>
      <c r="H57" s="50">
        <v>0</v>
      </c>
      <c r="I57" s="50">
        <v>2</v>
      </c>
      <c r="J57" s="50">
        <v>2</v>
      </c>
      <c r="K57" s="50">
        <v>2</v>
      </c>
      <c r="L57" s="50">
        <v>0</v>
      </c>
      <c r="M57" s="50">
        <v>112</v>
      </c>
      <c r="N57" s="50">
        <v>0</v>
      </c>
      <c r="O57" s="15">
        <f t="shared" si="0"/>
        <v>83</v>
      </c>
      <c r="P57" s="15">
        <f t="shared" si="1"/>
        <v>195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1667</v>
      </c>
      <c r="D58" s="16">
        <f t="shared" si="21"/>
        <v>434</v>
      </c>
      <c r="E58" s="16">
        <f t="shared" si="21"/>
        <v>229</v>
      </c>
      <c r="F58" s="16">
        <f t="shared" si="21"/>
        <v>1801</v>
      </c>
      <c r="G58" s="16">
        <f t="shared" si="21"/>
        <v>35</v>
      </c>
      <c r="H58" s="16">
        <f t="shared" si="21"/>
        <v>22</v>
      </c>
      <c r="I58" s="16">
        <f t="shared" si="21"/>
        <v>302</v>
      </c>
      <c r="J58" s="16">
        <f t="shared" si="21"/>
        <v>118</v>
      </c>
      <c r="K58" s="16">
        <f t="shared" si="21"/>
        <v>34</v>
      </c>
      <c r="L58" s="16">
        <f t="shared" si="21"/>
        <v>19</v>
      </c>
      <c r="M58" s="16">
        <f t="shared" si="21"/>
        <v>8319</v>
      </c>
      <c r="N58" s="16">
        <f t="shared" si="21"/>
        <v>0</v>
      </c>
      <c r="O58" s="16">
        <f t="shared" si="21"/>
        <v>4661</v>
      </c>
      <c r="P58" s="16">
        <f t="shared" si="21"/>
        <v>12980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0.12842835130970723</v>
      </c>
      <c r="D59" s="43">
        <f t="shared" si="22"/>
        <v>3.3436055469953777E-2</v>
      </c>
      <c r="E59" s="43">
        <f t="shared" si="22"/>
        <v>1.7642526964560864E-2</v>
      </c>
      <c r="F59" s="43">
        <f t="shared" si="22"/>
        <v>0.13875192604006165</v>
      </c>
      <c r="G59" s="43">
        <f t="shared" si="22"/>
        <v>2.6964560862865949E-3</v>
      </c>
      <c r="H59" s="43">
        <f t="shared" si="22"/>
        <v>1.6949152542372881E-3</v>
      </c>
      <c r="I59" s="43">
        <f t="shared" si="22"/>
        <v>2.3266563944530045E-2</v>
      </c>
      <c r="J59" s="43">
        <f t="shared" si="22"/>
        <v>9.0909090909090905E-3</v>
      </c>
      <c r="K59" s="43">
        <f t="shared" si="22"/>
        <v>2.6194144838212635E-3</v>
      </c>
      <c r="L59" s="43">
        <f t="shared" si="22"/>
        <v>1.4637904468412944E-3</v>
      </c>
      <c r="M59" s="43">
        <f t="shared" si="22"/>
        <v>0.64090909090909087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0.35764857326753913</v>
      </c>
      <c r="D60" s="44">
        <f t="shared" ref="D60:N60" si="23">D58/$O$58</f>
        <v>9.3113065865694053E-2</v>
      </c>
      <c r="E60" s="44">
        <f t="shared" si="23"/>
        <v>4.9131087749409996E-2</v>
      </c>
      <c r="F60" s="44">
        <f t="shared" si="23"/>
        <v>0.38639776871915898</v>
      </c>
      <c r="G60" s="44">
        <f t="shared" si="23"/>
        <v>7.509118214975327E-3</v>
      </c>
      <c r="H60" s="44">
        <f t="shared" si="23"/>
        <v>4.7200171636987767E-3</v>
      </c>
      <c r="I60" s="44">
        <f t="shared" si="23"/>
        <v>6.4792962883501393E-2</v>
      </c>
      <c r="J60" s="44">
        <f t="shared" si="23"/>
        <v>2.5316455696202531E-2</v>
      </c>
      <c r="K60" s="44">
        <f t="shared" si="23"/>
        <v>7.2945719802617465E-3</v>
      </c>
      <c r="L60" s="44">
        <f t="shared" si="23"/>
        <v>4.0763784595580351E-3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15" sqref="K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">
        <v>170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6" t="s">
        <v>173</v>
      </c>
      <c r="H5" s="57"/>
      <c r="I5" s="14"/>
      <c r="J5" s="2" t="s">
        <v>5</v>
      </c>
      <c r="K5" s="56" t="s">
        <v>174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176</v>
      </c>
      <c r="E6" s="57"/>
      <c r="F6" s="2" t="s">
        <v>2</v>
      </c>
      <c r="G6" s="56" t="s">
        <v>172</v>
      </c>
      <c r="H6" s="57"/>
      <c r="J6" s="2" t="s">
        <v>21</v>
      </c>
      <c r="K6" s="56" t="s">
        <v>175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76</v>
      </c>
      <c r="D10" s="50">
        <v>23</v>
      </c>
      <c r="E10" s="50">
        <v>2</v>
      </c>
      <c r="F10" s="50">
        <v>39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141</v>
      </c>
      <c r="N10" s="50">
        <v>0</v>
      </c>
      <c r="O10" s="15">
        <f t="shared" ref="O10:O57" si="0">SUM(C10:L10,N10)</f>
        <v>144</v>
      </c>
      <c r="P10" s="15">
        <f t="shared" ref="P10:P57" si="1">SUM(C10:N10)</f>
        <v>285</v>
      </c>
      <c r="R10" s="1" t="s">
        <v>6</v>
      </c>
      <c r="S10" s="17">
        <f t="shared" ref="S10:AF10" si="2">SUM(C10:C13)</f>
        <v>248</v>
      </c>
      <c r="T10" s="17">
        <f t="shared" si="2"/>
        <v>87</v>
      </c>
      <c r="U10" s="17">
        <f t="shared" si="2"/>
        <v>14</v>
      </c>
      <c r="V10" s="17">
        <f t="shared" si="2"/>
        <v>160</v>
      </c>
      <c r="W10" s="17">
        <f t="shared" si="2"/>
        <v>6</v>
      </c>
      <c r="X10" s="17">
        <f t="shared" si="2"/>
        <v>0</v>
      </c>
      <c r="Y10" s="17">
        <f t="shared" si="2"/>
        <v>22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673</v>
      </c>
      <c r="AD10" s="17">
        <f t="shared" si="2"/>
        <v>0</v>
      </c>
      <c r="AE10" s="31">
        <f t="shared" si="2"/>
        <v>537</v>
      </c>
      <c r="AF10" s="31">
        <f t="shared" si="2"/>
        <v>1210</v>
      </c>
    </row>
    <row r="11" spans="2:32" s="6" customFormat="1" ht="23.1" customHeight="1" x14ac:dyDescent="0.25">
      <c r="B11" s="23" t="s">
        <v>38</v>
      </c>
      <c r="C11" s="50">
        <v>46</v>
      </c>
      <c r="D11" s="50">
        <v>31</v>
      </c>
      <c r="E11" s="50">
        <v>2</v>
      </c>
      <c r="F11" s="50">
        <v>29</v>
      </c>
      <c r="G11" s="50">
        <v>2</v>
      </c>
      <c r="H11" s="50">
        <v>0</v>
      </c>
      <c r="I11" s="50">
        <v>7</v>
      </c>
      <c r="J11" s="50">
        <v>0</v>
      </c>
      <c r="K11" s="50">
        <v>0</v>
      </c>
      <c r="L11" s="50">
        <v>0</v>
      </c>
      <c r="M11" s="50">
        <v>167</v>
      </c>
      <c r="N11" s="50">
        <v>0</v>
      </c>
      <c r="O11" s="15">
        <f t="shared" si="0"/>
        <v>117</v>
      </c>
      <c r="P11" s="15">
        <f t="shared" si="1"/>
        <v>284</v>
      </c>
      <c r="R11" s="1" t="s">
        <v>7</v>
      </c>
      <c r="S11" s="17">
        <f t="shared" ref="S11:AF11" si="3">SUM(C14:C17)</f>
        <v>187</v>
      </c>
      <c r="T11" s="17">
        <f t="shared" si="3"/>
        <v>57</v>
      </c>
      <c r="U11" s="17">
        <f t="shared" si="3"/>
        <v>19</v>
      </c>
      <c r="V11" s="17">
        <f t="shared" si="3"/>
        <v>151</v>
      </c>
      <c r="W11" s="17">
        <f t="shared" si="3"/>
        <v>1</v>
      </c>
      <c r="X11" s="17">
        <f t="shared" si="3"/>
        <v>0</v>
      </c>
      <c r="Y11" s="17">
        <f t="shared" si="3"/>
        <v>33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607</v>
      </c>
      <c r="AD11" s="17">
        <f t="shared" si="3"/>
        <v>0</v>
      </c>
      <c r="AE11" s="31">
        <f t="shared" si="3"/>
        <v>450</v>
      </c>
      <c r="AF11" s="31">
        <f t="shared" si="3"/>
        <v>1057</v>
      </c>
    </row>
    <row r="12" spans="2:32" ht="23.1" customHeight="1" x14ac:dyDescent="0.25">
      <c r="B12" s="23" t="s">
        <v>39</v>
      </c>
      <c r="C12" s="50">
        <v>31</v>
      </c>
      <c r="D12" s="50">
        <v>7</v>
      </c>
      <c r="E12" s="50">
        <v>2</v>
      </c>
      <c r="F12" s="50">
        <v>15</v>
      </c>
      <c r="G12" s="50">
        <v>2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137</v>
      </c>
      <c r="N12" s="50">
        <v>0</v>
      </c>
      <c r="O12" s="15">
        <f t="shared" si="0"/>
        <v>61</v>
      </c>
      <c r="P12" s="15">
        <f t="shared" si="1"/>
        <v>198</v>
      </c>
      <c r="R12" s="1" t="s">
        <v>8</v>
      </c>
      <c r="S12" s="17">
        <f t="shared" ref="S12:AF12" si="4">SUM(C18:C21)</f>
        <v>173</v>
      </c>
      <c r="T12" s="17">
        <f t="shared" si="4"/>
        <v>61</v>
      </c>
      <c r="U12" s="17">
        <f t="shared" si="4"/>
        <v>26</v>
      </c>
      <c r="V12" s="17">
        <f t="shared" si="4"/>
        <v>158</v>
      </c>
      <c r="W12" s="17">
        <f t="shared" si="4"/>
        <v>3</v>
      </c>
      <c r="X12" s="17">
        <f t="shared" si="4"/>
        <v>1</v>
      </c>
      <c r="Y12" s="17">
        <f t="shared" si="4"/>
        <v>17</v>
      </c>
      <c r="Z12" s="17">
        <f t="shared" si="4"/>
        <v>5</v>
      </c>
      <c r="AA12" s="17">
        <f t="shared" si="4"/>
        <v>4</v>
      </c>
      <c r="AB12" s="17">
        <f t="shared" si="4"/>
        <v>1</v>
      </c>
      <c r="AC12" s="17">
        <f t="shared" si="4"/>
        <v>690</v>
      </c>
      <c r="AD12" s="17">
        <f t="shared" si="4"/>
        <v>0</v>
      </c>
      <c r="AE12" s="31">
        <f t="shared" si="4"/>
        <v>449</v>
      </c>
      <c r="AF12" s="31">
        <f t="shared" si="4"/>
        <v>1139</v>
      </c>
    </row>
    <row r="13" spans="2:32" ht="23.1" customHeight="1" x14ac:dyDescent="0.25">
      <c r="B13" s="23" t="s">
        <v>40</v>
      </c>
      <c r="C13" s="50">
        <v>95</v>
      </c>
      <c r="D13" s="50">
        <v>26</v>
      </c>
      <c r="E13" s="50">
        <v>8</v>
      </c>
      <c r="F13" s="50">
        <v>77</v>
      </c>
      <c r="G13" s="50">
        <v>2</v>
      </c>
      <c r="H13" s="50">
        <v>0</v>
      </c>
      <c r="I13" s="50">
        <v>7</v>
      </c>
      <c r="J13" s="50">
        <v>0</v>
      </c>
      <c r="K13" s="50">
        <v>0</v>
      </c>
      <c r="L13" s="50">
        <v>0</v>
      </c>
      <c r="M13" s="50">
        <v>228</v>
      </c>
      <c r="N13" s="50">
        <v>0</v>
      </c>
      <c r="O13" s="15">
        <f t="shared" si="0"/>
        <v>215</v>
      </c>
      <c r="P13" s="15">
        <f t="shared" si="1"/>
        <v>443</v>
      </c>
      <c r="R13" s="1" t="s">
        <v>9</v>
      </c>
      <c r="S13" s="17">
        <f t="shared" ref="S13:AF13" si="5">SUM(C22:C25)</f>
        <v>256</v>
      </c>
      <c r="T13" s="17">
        <f t="shared" si="5"/>
        <v>54</v>
      </c>
      <c r="U13" s="17">
        <f t="shared" si="5"/>
        <v>19</v>
      </c>
      <c r="V13" s="17">
        <f t="shared" si="5"/>
        <v>247</v>
      </c>
      <c r="W13" s="17">
        <f t="shared" si="5"/>
        <v>2</v>
      </c>
      <c r="X13" s="17">
        <f t="shared" si="5"/>
        <v>1</v>
      </c>
      <c r="Y13" s="17">
        <f t="shared" si="5"/>
        <v>25</v>
      </c>
      <c r="Z13" s="17">
        <f t="shared" si="5"/>
        <v>4</v>
      </c>
      <c r="AA13" s="17">
        <f t="shared" si="5"/>
        <v>0</v>
      </c>
      <c r="AB13" s="17">
        <f t="shared" si="5"/>
        <v>1</v>
      </c>
      <c r="AC13" s="17">
        <f t="shared" si="5"/>
        <v>488</v>
      </c>
      <c r="AD13" s="17">
        <f t="shared" si="5"/>
        <v>0</v>
      </c>
      <c r="AE13" s="31">
        <f t="shared" si="5"/>
        <v>609</v>
      </c>
      <c r="AF13" s="31">
        <f t="shared" si="5"/>
        <v>1097</v>
      </c>
    </row>
    <row r="14" spans="2:32" ht="23.1" customHeight="1" x14ac:dyDescent="0.25">
      <c r="B14" s="23" t="s">
        <v>41</v>
      </c>
      <c r="C14" s="50">
        <v>40</v>
      </c>
      <c r="D14" s="50">
        <v>12</v>
      </c>
      <c r="E14" s="50">
        <v>2</v>
      </c>
      <c r="F14" s="50">
        <v>11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175</v>
      </c>
      <c r="N14" s="50">
        <v>0</v>
      </c>
      <c r="O14" s="15">
        <f t="shared" si="0"/>
        <v>70</v>
      </c>
      <c r="P14" s="15">
        <f t="shared" si="1"/>
        <v>245</v>
      </c>
      <c r="R14" s="1" t="s">
        <v>10</v>
      </c>
      <c r="S14" s="17">
        <f t="shared" ref="S14:AF14" si="6">SUM(C26:C29)</f>
        <v>242</v>
      </c>
      <c r="T14" s="17">
        <f t="shared" si="6"/>
        <v>92</v>
      </c>
      <c r="U14" s="17">
        <f t="shared" si="6"/>
        <v>16</v>
      </c>
      <c r="V14" s="17">
        <f t="shared" si="6"/>
        <v>185</v>
      </c>
      <c r="W14" s="17">
        <f t="shared" si="6"/>
        <v>2</v>
      </c>
      <c r="X14" s="17">
        <f t="shared" si="6"/>
        <v>0</v>
      </c>
      <c r="Y14" s="17">
        <f t="shared" si="6"/>
        <v>41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576</v>
      </c>
      <c r="AD14" s="17">
        <f t="shared" si="6"/>
        <v>0</v>
      </c>
      <c r="AE14" s="31">
        <f t="shared" si="6"/>
        <v>579</v>
      </c>
      <c r="AF14" s="31">
        <f t="shared" si="6"/>
        <v>1155</v>
      </c>
    </row>
    <row r="15" spans="2:32" ht="23.1" customHeight="1" x14ac:dyDescent="0.25">
      <c r="B15" s="23" t="s">
        <v>42</v>
      </c>
      <c r="C15" s="50">
        <v>20</v>
      </c>
      <c r="D15" s="50">
        <v>3</v>
      </c>
      <c r="E15" s="50">
        <v>1</v>
      </c>
      <c r="F15" s="50">
        <v>11</v>
      </c>
      <c r="G15" s="50">
        <v>0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123</v>
      </c>
      <c r="N15" s="50">
        <v>0</v>
      </c>
      <c r="O15" s="15">
        <f t="shared" si="0"/>
        <v>41</v>
      </c>
      <c r="P15" s="15">
        <f t="shared" si="1"/>
        <v>164</v>
      </c>
      <c r="R15" s="1" t="s">
        <v>11</v>
      </c>
      <c r="S15" s="17">
        <f t="shared" ref="S15:AF15" si="7">SUM(C30:C33)</f>
        <v>235</v>
      </c>
      <c r="T15" s="17">
        <f t="shared" si="7"/>
        <v>141</v>
      </c>
      <c r="U15" s="17">
        <f t="shared" si="7"/>
        <v>22</v>
      </c>
      <c r="V15" s="17">
        <f t="shared" si="7"/>
        <v>168</v>
      </c>
      <c r="W15" s="17">
        <f t="shared" si="7"/>
        <v>4</v>
      </c>
      <c r="X15" s="17">
        <f t="shared" si="7"/>
        <v>1</v>
      </c>
      <c r="Y15" s="17">
        <f t="shared" si="7"/>
        <v>31</v>
      </c>
      <c r="Z15" s="17">
        <f t="shared" si="7"/>
        <v>5</v>
      </c>
      <c r="AA15" s="17">
        <f t="shared" si="7"/>
        <v>3</v>
      </c>
      <c r="AB15" s="17">
        <f t="shared" si="7"/>
        <v>0</v>
      </c>
      <c r="AC15" s="17">
        <f t="shared" si="7"/>
        <v>418</v>
      </c>
      <c r="AD15" s="17">
        <f t="shared" si="7"/>
        <v>0</v>
      </c>
      <c r="AE15" s="31">
        <f t="shared" si="7"/>
        <v>610</v>
      </c>
      <c r="AF15" s="31">
        <f t="shared" si="7"/>
        <v>1028</v>
      </c>
    </row>
    <row r="16" spans="2:32" ht="23.1" customHeight="1" x14ac:dyDescent="0.25">
      <c r="B16" s="23" t="s">
        <v>43</v>
      </c>
      <c r="C16" s="50">
        <v>80</v>
      </c>
      <c r="D16" s="50">
        <v>29</v>
      </c>
      <c r="E16" s="50">
        <v>7</v>
      </c>
      <c r="F16" s="50">
        <v>71</v>
      </c>
      <c r="G16" s="50">
        <v>1</v>
      </c>
      <c r="H16" s="50">
        <v>0</v>
      </c>
      <c r="I16" s="50">
        <v>15</v>
      </c>
      <c r="J16" s="50">
        <v>0</v>
      </c>
      <c r="K16" s="50">
        <v>0</v>
      </c>
      <c r="L16" s="50">
        <v>0</v>
      </c>
      <c r="M16" s="50">
        <v>176</v>
      </c>
      <c r="N16" s="50">
        <v>0</v>
      </c>
      <c r="O16" s="15">
        <f t="shared" si="0"/>
        <v>203</v>
      </c>
      <c r="P16" s="15">
        <f t="shared" si="1"/>
        <v>379</v>
      </c>
      <c r="R16" s="1" t="s">
        <v>12</v>
      </c>
      <c r="S16" s="17">
        <f t="shared" ref="S16:AF16" si="8">SUM(C34:C37)</f>
        <v>154</v>
      </c>
      <c r="T16" s="17">
        <f t="shared" si="8"/>
        <v>59</v>
      </c>
      <c r="U16" s="17">
        <f t="shared" si="8"/>
        <v>22</v>
      </c>
      <c r="V16" s="17">
        <f t="shared" si="8"/>
        <v>151</v>
      </c>
      <c r="W16" s="17">
        <f t="shared" si="8"/>
        <v>5</v>
      </c>
      <c r="X16" s="17">
        <f t="shared" si="8"/>
        <v>0</v>
      </c>
      <c r="Y16" s="17">
        <f t="shared" si="8"/>
        <v>30</v>
      </c>
      <c r="Z16" s="17">
        <f t="shared" si="8"/>
        <v>5</v>
      </c>
      <c r="AA16" s="17">
        <f t="shared" si="8"/>
        <v>1</v>
      </c>
      <c r="AB16" s="17">
        <f t="shared" si="8"/>
        <v>4</v>
      </c>
      <c r="AC16" s="17">
        <f t="shared" si="8"/>
        <v>506</v>
      </c>
      <c r="AD16" s="17">
        <f t="shared" si="8"/>
        <v>0</v>
      </c>
      <c r="AE16" s="31">
        <f t="shared" si="8"/>
        <v>431</v>
      </c>
      <c r="AF16" s="31">
        <f t="shared" si="8"/>
        <v>937</v>
      </c>
    </row>
    <row r="17" spans="2:32" ht="23.1" customHeight="1" x14ac:dyDescent="0.25">
      <c r="B17" s="23" t="s">
        <v>44</v>
      </c>
      <c r="C17" s="50">
        <v>47</v>
      </c>
      <c r="D17" s="50">
        <v>13</v>
      </c>
      <c r="E17" s="50">
        <v>9</v>
      </c>
      <c r="F17" s="50">
        <v>58</v>
      </c>
      <c r="G17" s="50">
        <v>0</v>
      </c>
      <c r="H17" s="50">
        <v>0</v>
      </c>
      <c r="I17" s="50">
        <v>9</v>
      </c>
      <c r="J17" s="50">
        <v>0</v>
      </c>
      <c r="K17" s="50">
        <v>0</v>
      </c>
      <c r="L17" s="50">
        <v>0</v>
      </c>
      <c r="M17" s="50">
        <v>133</v>
      </c>
      <c r="N17" s="50">
        <v>0</v>
      </c>
      <c r="O17" s="15">
        <f t="shared" si="0"/>
        <v>136</v>
      </c>
      <c r="P17" s="15">
        <f t="shared" si="1"/>
        <v>269</v>
      </c>
      <c r="R17" s="1" t="s">
        <v>13</v>
      </c>
      <c r="S17" s="17">
        <f t="shared" ref="S17:AF17" si="9">SUM(C38:C41)</f>
        <v>177</v>
      </c>
      <c r="T17" s="17">
        <f t="shared" si="9"/>
        <v>41</v>
      </c>
      <c r="U17" s="17">
        <f t="shared" si="9"/>
        <v>22</v>
      </c>
      <c r="V17" s="17">
        <f t="shared" si="9"/>
        <v>136</v>
      </c>
      <c r="W17" s="17">
        <f t="shared" si="9"/>
        <v>1</v>
      </c>
      <c r="X17" s="17">
        <f t="shared" si="9"/>
        <v>0</v>
      </c>
      <c r="Y17" s="17">
        <f t="shared" si="9"/>
        <v>41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455</v>
      </c>
      <c r="AD17" s="17">
        <f t="shared" si="9"/>
        <v>0</v>
      </c>
      <c r="AE17" s="31">
        <f t="shared" si="9"/>
        <v>418</v>
      </c>
      <c r="AF17" s="31">
        <f t="shared" si="9"/>
        <v>873</v>
      </c>
    </row>
    <row r="18" spans="2:32" ht="23.1" customHeight="1" x14ac:dyDescent="0.25">
      <c r="B18" s="23" t="s">
        <v>45</v>
      </c>
      <c r="C18" s="50">
        <v>36</v>
      </c>
      <c r="D18" s="50">
        <v>20</v>
      </c>
      <c r="E18" s="50">
        <v>8</v>
      </c>
      <c r="F18" s="50">
        <v>43</v>
      </c>
      <c r="G18" s="50">
        <v>1</v>
      </c>
      <c r="H18" s="50">
        <v>0</v>
      </c>
      <c r="I18" s="50">
        <v>4</v>
      </c>
      <c r="J18" s="50">
        <v>0</v>
      </c>
      <c r="K18" s="50">
        <v>2</v>
      </c>
      <c r="L18" s="50">
        <v>0</v>
      </c>
      <c r="M18" s="50">
        <v>220</v>
      </c>
      <c r="N18" s="50">
        <v>0</v>
      </c>
      <c r="O18" s="15">
        <f t="shared" si="0"/>
        <v>114</v>
      </c>
      <c r="P18" s="15">
        <f t="shared" si="1"/>
        <v>334</v>
      </c>
      <c r="R18" s="1" t="s">
        <v>14</v>
      </c>
      <c r="S18" s="17">
        <f t="shared" ref="S18:AF18" si="10">SUM(C42:C45)</f>
        <v>152</v>
      </c>
      <c r="T18" s="17">
        <f t="shared" si="10"/>
        <v>51</v>
      </c>
      <c r="U18" s="17">
        <f t="shared" si="10"/>
        <v>20</v>
      </c>
      <c r="V18" s="17">
        <f t="shared" si="10"/>
        <v>134</v>
      </c>
      <c r="W18" s="17">
        <f t="shared" si="10"/>
        <v>2</v>
      </c>
      <c r="X18" s="17">
        <f t="shared" si="10"/>
        <v>1</v>
      </c>
      <c r="Y18" s="17">
        <f t="shared" si="10"/>
        <v>44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435</v>
      </c>
      <c r="AD18" s="17">
        <f t="shared" si="10"/>
        <v>0</v>
      </c>
      <c r="AE18" s="31">
        <f t="shared" si="10"/>
        <v>405</v>
      </c>
      <c r="AF18" s="31">
        <f t="shared" si="10"/>
        <v>840</v>
      </c>
    </row>
    <row r="19" spans="2:32" ht="23.1" customHeight="1" x14ac:dyDescent="0.25">
      <c r="B19" s="23" t="s">
        <v>46</v>
      </c>
      <c r="C19" s="50">
        <v>47</v>
      </c>
      <c r="D19" s="50">
        <v>10</v>
      </c>
      <c r="E19" s="50">
        <v>2</v>
      </c>
      <c r="F19" s="50">
        <v>30</v>
      </c>
      <c r="G19" s="50">
        <v>0</v>
      </c>
      <c r="H19" s="50">
        <v>0</v>
      </c>
      <c r="I19" s="50">
        <v>3</v>
      </c>
      <c r="J19" s="50">
        <v>1</v>
      </c>
      <c r="K19" s="50">
        <v>1</v>
      </c>
      <c r="L19" s="50">
        <v>1</v>
      </c>
      <c r="M19" s="50">
        <v>145</v>
      </c>
      <c r="N19" s="50">
        <v>0</v>
      </c>
      <c r="O19" s="15">
        <f t="shared" si="0"/>
        <v>95</v>
      </c>
      <c r="P19" s="15">
        <f t="shared" si="1"/>
        <v>240</v>
      </c>
      <c r="R19" s="1" t="s">
        <v>15</v>
      </c>
      <c r="S19" s="17">
        <f t="shared" ref="S19:AF19" si="11">SUM(C46:C49)</f>
        <v>151</v>
      </c>
      <c r="T19" s="17">
        <f t="shared" si="11"/>
        <v>77</v>
      </c>
      <c r="U19" s="17">
        <f t="shared" si="11"/>
        <v>21</v>
      </c>
      <c r="V19" s="17">
        <f t="shared" si="11"/>
        <v>164</v>
      </c>
      <c r="W19" s="17">
        <f t="shared" si="11"/>
        <v>3</v>
      </c>
      <c r="X19" s="17">
        <f t="shared" si="11"/>
        <v>1</v>
      </c>
      <c r="Y19" s="17">
        <f t="shared" si="11"/>
        <v>17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444</v>
      </c>
      <c r="AD19" s="17">
        <f t="shared" si="11"/>
        <v>0</v>
      </c>
      <c r="AE19" s="31">
        <f t="shared" si="11"/>
        <v>435</v>
      </c>
      <c r="AF19" s="31">
        <f t="shared" si="11"/>
        <v>879</v>
      </c>
    </row>
    <row r="20" spans="2:32" ht="23.1" customHeight="1" x14ac:dyDescent="0.25">
      <c r="B20" s="23" t="s">
        <v>47</v>
      </c>
      <c r="C20" s="50">
        <v>40</v>
      </c>
      <c r="D20" s="50">
        <v>15</v>
      </c>
      <c r="E20" s="50">
        <v>10</v>
      </c>
      <c r="F20" s="50">
        <v>25</v>
      </c>
      <c r="G20" s="50">
        <v>1</v>
      </c>
      <c r="H20" s="50">
        <v>1</v>
      </c>
      <c r="I20" s="50">
        <v>6</v>
      </c>
      <c r="J20" s="50">
        <v>0</v>
      </c>
      <c r="K20" s="50">
        <v>1</v>
      </c>
      <c r="L20" s="50">
        <v>0</v>
      </c>
      <c r="M20" s="50">
        <v>180</v>
      </c>
      <c r="N20" s="50">
        <v>0</v>
      </c>
      <c r="O20" s="15">
        <f t="shared" si="0"/>
        <v>99</v>
      </c>
      <c r="P20" s="15">
        <f t="shared" si="1"/>
        <v>279</v>
      </c>
      <c r="R20" s="1" t="s">
        <v>16</v>
      </c>
      <c r="S20" s="17">
        <f t="shared" ref="S20:AF20" si="12">SUM(C50:C53)</f>
        <v>255</v>
      </c>
      <c r="T20" s="17">
        <f t="shared" si="12"/>
        <v>129</v>
      </c>
      <c r="U20" s="17">
        <f t="shared" si="12"/>
        <v>10</v>
      </c>
      <c r="V20" s="17">
        <f t="shared" si="12"/>
        <v>220</v>
      </c>
      <c r="W20" s="17">
        <f t="shared" si="12"/>
        <v>5</v>
      </c>
      <c r="X20" s="17">
        <f t="shared" si="12"/>
        <v>4</v>
      </c>
      <c r="Y20" s="17">
        <f t="shared" si="12"/>
        <v>15</v>
      </c>
      <c r="Z20" s="17">
        <f t="shared" si="12"/>
        <v>3</v>
      </c>
      <c r="AA20" s="17">
        <f t="shared" si="12"/>
        <v>3</v>
      </c>
      <c r="AB20" s="17">
        <f t="shared" si="12"/>
        <v>4</v>
      </c>
      <c r="AC20" s="17">
        <f t="shared" si="12"/>
        <v>494</v>
      </c>
      <c r="AD20" s="17">
        <f t="shared" si="12"/>
        <v>0</v>
      </c>
      <c r="AE20" s="31">
        <f t="shared" si="12"/>
        <v>648</v>
      </c>
      <c r="AF20" s="31">
        <f t="shared" si="12"/>
        <v>1142</v>
      </c>
    </row>
    <row r="21" spans="2:32" ht="23.1" customHeight="1" x14ac:dyDescent="0.25">
      <c r="B21" s="23" t="s">
        <v>48</v>
      </c>
      <c r="C21" s="50">
        <v>50</v>
      </c>
      <c r="D21" s="50">
        <v>16</v>
      </c>
      <c r="E21" s="50">
        <v>6</v>
      </c>
      <c r="F21" s="50">
        <v>60</v>
      </c>
      <c r="G21" s="50">
        <v>1</v>
      </c>
      <c r="H21" s="50">
        <v>0</v>
      </c>
      <c r="I21" s="50">
        <v>4</v>
      </c>
      <c r="J21" s="50">
        <v>4</v>
      </c>
      <c r="K21" s="50">
        <v>0</v>
      </c>
      <c r="L21" s="50">
        <v>0</v>
      </c>
      <c r="M21" s="50">
        <v>145</v>
      </c>
      <c r="N21" s="50">
        <v>0</v>
      </c>
      <c r="O21" s="15">
        <f t="shared" si="0"/>
        <v>141</v>
      </c>
      <c r="P21" s="15">
        <f t="shared" si="1"/>
        <v>286</v>
      </c>
      <c r="R21" s="36" t="s">
        <v>20</v>
      </c>
      <c r="S21" s="34">
        <f t="shared" ref="S21:AF21" si="13">SUM(C54:C57)</f>
        <v>176</v>
      </c>
      <c r="T21" s="17">
        <f t="shared" si="13"/>
        <v>44</v>
      </c>
      <c r="U21" s="17">
        <f t="shared" si="13"/>
        <v>31</v>
      </c>
      <c r="V21" s="17">
        <f t="shared" si="13"/>
        <v>196</v>
      </c>
      <c r="W21" s="17">
        <f t="shared" si="13"/>
        <v>4</v>
      </c>
      <c r="X21" s="17">
        <f t="shared" si="13"/>
        <v>4</v>
      </c>
      <c r="Y21" s="17">
        <f t="shared" si="13"/>
        <v>23</v>
      </c>
      <c r="Z21" s="17">
        <f t="shared" si="13"/>
        <v>5</v>
      </c>
      <c r="AA21" s="17">
        <f t="shared" si="13"/>
        <v>2</v>
      </c>
      <c r="AB21" s="17">
        <f t="shared" si="13"/>
        <v>3</v>
      </c>
      <c r="AC21" s="17">
        <f t="shared" si="13"/>
        <v>702</v>
      </c>
      <c r="AD21" s="17">
        <f t="shared" si="13"/>
        <v>0</v>
      </c>
      <c r="AE21" s="31">
        <f t="shared" si="13"/>
        <v>488</v>
      </c>
      <c r="AF21" s="31">
        <f t="shared" si="13"/>
        <v>1190</v>
      </c>
    </row>
    <row r="22" spans="2:32" ht="23.1" customHeight="1" x14ac:dyDescent="0.25">
      <c r="B22" s="23" t="s">
        <v>49</v>
      </c>
      <c r="C22" s="50">
        <v>41</v>
      </c>
      <c r="D22" s="50">
        <v>14</v>
      </c>
      <c r="E22" s="50">
        <v>3</v>
      </c>
      <c r="F22" s="50">
        <v>37</v>
      </c>
      <c r="G22" s="50">
        <v>0</v>
      </c>
      <c r="H22" s="50">
        <v>1</v>
      </c>
      <c r="I22" s="50">
        <v>3</v>
      </c>
      <c r="J22" s="50">
        <v>0</v>
      </c>
      <c r="K22" s="50">
        <v>0</v>
      </c>
      <c r="L22" s="50">
        <v>0</v>
      </c>
      <c r="M22" s="50">
        <v>95</v>
      </c>
      <c r="N22" s="50">
        <v>0</v>
      </c>
      <c r="O22" s="15">
        <f t="shared" si="0"/>
        <v>99</v>
      </c>
      <c r="P22" s="15">
        <f t="shared" si="1"/>
        <v>194</v>
      </c>
      <c r="R22" s="38" t="s">
        <v>90</v>
      </c>
      <c r="S22" s="39">
        <f>MAX(S10:S12)</f>
        <v>248</v>
      </c>
      <c r="T22" s="39">
        <f t="shared" ref="T22:AF22" si="14">MAX(T10:T12)</f>
        <v>87</v>
      </c>
      <c r="U22" s="39">
        <f t="shared" si="14"/>
        <v>26</v>
      </c>
      <c r="V22" s="39">
        <f t="shared" si="14"/>
        <v>160</v>
      </c>
      <c r="W22" s="39">
        <f t="shared" si="14"/>
        <v>6</v>
      </c>
      <c r="X22" s="39">
        <f t="shared" si="14"/>
        <v>1</v>
      </c>
      <c r="Y22" s="39">
        <f t="shared" si="14"/>
        <v>33</v>
      </c>
      <c r="Z22" s="39">
        <f t="shared" si="14"/>
        <v>5</v>
      </c>
      <c r="AA22" s="39">
        <f t="shared" si="14"/>
        <v>4</v>
      </c>
      <c r="AB22" s="39">
        <f t="shared" si="14"/>
        <v>1</v>
      </c>
      <c r="AC22" s="39">
        <f t="shared" si="14"/>
        <v>690</v>
      </c>
      <c r="AD22" s="39">
        <f t="shared" si="14"/>
        <v>0</v>
      </c>
      <c r="AE22" s="40">
        <f t="shared" si="14"/>
        <v>537</v>
      </c>
      <c r="AF22" s="40">
        <f t="shared" si="14"/>
        <v>1210</v>
      </c>
    </row>
    <row r="23" spans="2:32" ht="23.1" customHeight="1" x14ac:dyDescent="0.25">
      <c r="B23" s="23" t="s">
        <v>50</v>
      </c>
      <c r="C23" s="50">
        <v>85</v>
      </c>
      <c r="D23" s="50">
        <v>10</v>
      </c>
      <c r="E23" s="50">
        <v>3</v>
      </c>
      <c r="F23" s="50">
        <v>85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132</v>
      </c>
      <c r="N23" s="50">
        <v>0</v>
      </c>
      <c r="O23" s="15">
        <f t="shared" si="0"/>
        <v>186</v>
      </c>
      <c r="P23" s="15">
        <f t="shared" si="1"/>
        <v>318</v>
      </c>
      <c r="R23" s="38" t="s">
        <v>91</v>
      </c>
      <c r="S23" s="39">
        <f>MAX(S13:S18)</f>
        <v>256</v>
      </c>
      <c r="T23" s="39">
        <f t="shared" ref="T23:AF23" si="15">MAX(T13:T18)</f>
        <v>141</v>
      </c>
      <c r="U23" s="39">
        <f t="shared" si="15"/>
        <v>22</v>
      </c>
      <c r="V23" s="39">
        <f t="shared" si="15"/>
        <v>247</v>
      </c>
      <c r="W23" s="39">
        <f t="shared" si="15"/>
        <v>5</v>
      </c>
      <c r="X23" s="39">
        <f t="shared" si="15"/>
        <v>1</v>
      </c>
      <c r="Y23" s="39">
        <f t="shared" si="15"/>
        <v>44</v>
      </c>
      <c r="Z23" s="39">
        <f t="shared" si="15"/>
        <v>5</v>
      </c>
      <c r="AA23" s="39">
        <f t="shared" si="15"/>
        <v>3</v>
      </c>
      <c r="AB23" s="39">
        <f t="shared" si="15"/>
        <v>4</v>
      </c>
      <c r="AC23" s="39">
        <f t="shared" si="15"/>
        <v>576</v>
      </c>
      <c r="AD23" s="39">
        <f t="shared" si="15"/>
        <v>0</v>
      </c>
      <c r="AE23" s="40">
        <f t="shared" si="15"/>
        <v>610</v>
      </c>
      <c r="AF23" s="40">
        <f t="shared" si="15"/>
        <v>1155</v>
      </c>
    </row>
    <row r="24" spans="2:32" ht="23.1" customHeight="1" x14ac:dyDescent="0.25">
      <c r="B24" s="23" t="s">
        <v>51</v>
      </c>
      <c r="C24" s="50">
        <v>70</v>
      </c>
      <c r="D24" s="50">
        <v>15</v>
      </c>
      <c r="E24" s="50">
        <v>7</v>
      </c>
      <c r="F24" s="50">
        <v>40</v>
      </c>
      <c r="G24" s="50">
        <v>1</v>
      </c>
      <c r="H24" s="50">
        <v>0</v>
      </c>
      <c r="I24" s="50">
        <v>9</v>
      </c>
      <c r="J24" s="50">
        <v>4</v>
      </c>
      <c r="K24" s="50">
        <v>0</v>
      </c>
      <c r="L24" s="50">
        <v>0</v>
      </c>
      <c r="M24" s="50">
        <v>135</v>
      </c>
      <c r="N24" s="50">
        <v>0</v>
      </c>
      <c r="O24" s="15">
        <f t="shared" si="0"/>
        <v>146</v>
      </c>
      <c r="P24" s="15">
        <f t="shared" si="1"/>
        <v>281</v>
      </c>
      <c r="R24" s="38" t="s">
        <v>92</v>
      </c>
      <c r="S24" s="39">
        <f>MAX(S19:S21)</f>
        <v>255</v>
      </c>
      <c r="T24" s="39">
        <f t="shared" ref="T24:AF24" si="16">MAX(T19:T21)</f>
        <v>129</v>
      </c>
      <c r="U24" s="39">
        <f t="shared" si="16"/>
        <v>31</v>
      </c>
      <c r="V24" s="39">
        <f t="shared" si="16"/>
        <v>220</v>
      </c>
      <c r="W24" s="39">
        <f t="shared" si="16"/>
        <v>5</v>
      </c>
      <c r="X24" s="39">
        <f t="shared" si="16"/>
        <v>4</v>
      </c>
      <c r="Y24" s="39">
        <f t="shared" si="16"/>
        <v>23</v>
      </c>
      <c r="Z24" s="39">
        <f t="shared" si="16"/>
        <v>5</v>
      </c>
      <c r="AA24" s="39">
        <f t="shared" si="16"/>
        <v>3</v>
      </c>
      <c r="AB24" s="39">
        <f t="shared" si="16"/>
        <v>4</v>
      </c>
      <c r="AC24" s="39">
        <f t="shared" si="16"/>
        <v>702</v>
      </c>
      <c r="AD24" s="39">
        <f t="shared" si="16"/>
        <v>0</v>
      </c>
      <c r="AE24" s="40">
        <f t="shared" si="16"/>
        <v>648</v>
      </c>
      <c r="AF24" s="40">
        <f t="shared" si="16"/>
        <v>1190</v>
      </c>
    </row>
    <row r="25" spans="2:32" ht="23.1" customHeight="1" x14ac:dyDescent="0.25">
      <c r="B25" s="23" t="s">
        <v>52</v>
      </c>
      <c r="C25" s="50">
        <v>60</v>
      </c>
      <c r="D25" s="50">
        <v>15</v>
      </c>
      <c r="E25" s="50">
        <v>6</v>
      </c>
      <c r="F25" s="50">
        <v>85</v>
      </c>
      <c r="G25" s="50">
        <v>1</v>
      </c>
      <c r="H25" s="50">
        <v>0</v>
      </c>
      <c r="I25" s="50">
        <v>10</v>
      </c>
      <c r="J25" s="50">
        <v>0</v>
      </c>
      <c r="K25" s="50">
        <v>0</v>
      </c>
      <c r="L25" s="50">
        <v>1</v>
      </c>
      <c r="M25" s="50">
        <v>126</v>
      </c>
      <c r="N25" s="50">
        <v>0</v>
      </c>
      <c r="O25" s="15">
        <f t="shared" si="0"/>
        <v>178</v>
      </c>
      <c r="P25" s="15">
        <f t="shared" si="1"/>
        <v>304</v>
      </c>
      <c r="R25" s="37" t="s">
        <v>85</v>
      </c>
      <c r="S25" s="35">
        <f t="shared" ref="S25:AF25" si="17">SUM(S10:S12)</f>
        <v>608</v>
      </c>
      <c r="T25" s="16">
        <f t="shared" si="17"/>
        <v>205</v>
      </c>
      <c r="U25" s="16">
        <f t="shared" si="17"/>
        <v>59</v>
      </c>
      <c r="V25" s="16">
        <f t="shared" si="17"/>
        <v>469</v>
      </c>
      <c r="W25" s="16">
        <f t="shared" si="17"/>
        <v>10</v>
      </c>
      <c r="X25" s="16">
        <f t="shared" si="17"/>
        <v>1</v>
      </c>
      <c r="Y25" s="16">
        <f t="shared" si="17"/>
        <v>72</v>
      </c>
      <c r="Z25" s="16">
        <f t="shared" si="17"/>
        <v>7</v>
      </c>
      <c r="AA25" s="16">
        <f t="shared" si="17"/>
        <v>4</v>
      </c>
      <c r="AB25" s="16">
        <f t="shared" si="17"/>
        <v>1</v>
      </c>
      <c r="AC25" s="16">
        <f t="shared" si="17"/>
        <v>1970</v>
      </c>
      <c r="AD25" s="16">
        <f t="shared" si="17"/>
        <v>0</v>
      </c>
      <c r="AE25" s="32">
        <f t="shared" si="17"/>
        <v>1436</v>
      </c>
      <c r="AF25" s="32">
        <f t="shared" si="17"/>
        <v>3406</v>
      </c>
    </row>
    <row r="26" spans="2:32" ht="23.1" customHeight="1" x14ac:dyDescent="0.25">
      <c r="B26" s="23" t="s">
        <v>53</v>
      </c>
      <c r="C26" s="50">
        <v>80</v>
      </c>
      <c r="D26" s="50">
        <v>30</v>
      </c>
      <c r="E26" s="50">
        <v>6</v>
      </c>
      <c r="F26" s="50">
        <v>80</v>
      </c>
      <c r="G26" s="50">
        <v>0</v>
      </c>
      <c r="H26" s="50">
        <v>0</v>
      </c>
      <c r="I26" s="50">
        <v>13</v>
      </c>
      <c r="J26" s="50">
        <v>0</v>
      </c>
      <c r="K26" s="50">
        <v>0</v>
      </c>
      <c r="L26" s="50">
        <v>0</v>
      </c>
      <c r="M26" s="50">
        <v>170</v>
      </c>
      <c r="N26" s="50">
        <v>0</v>
      </c>
      <c r="O26" s="15">
        <f t="shared" si="0"/>
        <v>209</v>
      </c>
      <c r="P26" s="15">
        <f t="shared" si="1"/>
        <v>379</v>
      </c>
      <c r="R26" s="28" t="s">
        <v>86</v>
      </c>
      <c r="S26" s="16">
        <f t="shared" ref="S26:AF26" si="18">SUM(S13:S18)</f>
        <v>1216</v>
      </c>
      <c r="T26" s="16">
        <f t="shared" si="18"/>
        <v>438</v>
      </c>
      <c r="U26" s="16">
        <f t="shared" si="18"/>
        <v>121</v>
      </c>
      <c r="V26" s="16">
        <f t="shared" si="18"/>
        <v>1021</v>
      </c>
      <c r="W26" s="16">
        <f t="shared" si="18"/>
        <v>16</v>
      </c>
      <c r="X26" s="16">
        <f t="shared" si="18"/>
        <v>3</v>
      </c>
      <c r="Y26" s="16">
        <f t="shared" si="18"/>
        <v>212</v>
      </c>
      <c r="Z26" s="16">
        <f t="shared" si="18"/>
        <v>16</v>
      </c>
      <c r="AA26" s="16">
        <f t="shared" si="18"/>
        <v>4</v>
      </c>
      <c r="AB26" s="16">
        <f t="shared" si="18"/>
        <v>5</v>
      </c>
      <c r="AC26" s="16">
        <f t="shared" si="18"/>
        <v>2878</v>
      </c>
      <c r="AD26" s="16">
        <f t="shared" si="18"/>
        <v>0</v>
      </c>
      <c r="AE26" s="32">
        <f t="shared" si="18"/>
        <v>3052</v>
      </c>
      <c r="AF26" s="32">
        <f t="shared" si="18"/>
        <v>5930</v>
      </c>
    </row>
    <row r="27" spans="2:32" ht="23.1" customHeight="1" x14ac:dyDescent="0.25">
      <c r="B27" s="23" t="s">
        <v>54</v>
      </c>
      <c r="C27" s="50">
        <v>42</v>
      </c>
      <c r="D27" s="50">
        <v>28</v>
      </c>
      <c r="E27" s="50">
        <v>5</v>
      </c>
      <c r="F27" s="50">
        <v>52</v>
      </c>
      <c r="G27" s="50">
        <v>2</v>
      </c>
      <c r="H27" s="50">
        <v>0</v>
      </c>
      <c r="I27" s="50">
        <v>7</v>
      </c>
      <c r="J27" s="50">
        <v>0</v>
      </c>
      <c r="K27" s="50">
        <v>0</v>
      </c>
      <c r="L27" s="50">
        <v>0</v>
      </c>
      <c r="M27" s="50">
        <v>131</v>
      </c>
      <c r="N27" s="50">
        <v>0</v>
      </c>
      <c r="O27" s="15">
        <f t="shared" si="0"/>
        <v>136</v>
      </c>
      <c r="P27" s="15">
        <f t="shared" si="1"/>
        <v>267</v>
      </c>
      <c r="R27" s="29" t="s">
        <v>87</v>
      </c>
      <c r="S27" s="16">
        <f t="shared" ref="S27:AF27" si="19">SUM(S19:S21)</f>
        <v>582</v>
      </c>
      <c r="T27" s="16">
        <f t="shared" si="19"/>
        <v>250</v>
      </c>
      <c r="U27" s="16">
        <f t="shared" si="19"/>
        <v>62</v>
      </c>
      <c r="V27" s="16">
        <f t="shared" si="19"/>
        <v>580</v>
      </c>
      <c r="W27" s="16">
        <f t="shared" si="19"/>
        <v>12</v>
      </c>
      <c r="X27" s="16">
        <f t="shared" si="19"/>
        <v>9</v>
      </c>
      <c r="Y27" s="16">
        <f t="shared" si="19"/>
        <v>55</v>
      </c>
      <c r="Z27" s="16">
        <f t="shared" si="19"/>
        <v>8</v>
      </c>
      <c r="AA27" s="16">
        <f t="shared" si="19"/>
        <v>6</v>
      </c>
      <c r="AB27" s="16">
        <f t="shared" si="19"/>
        <v>7</v>
      </c>
      <c r="AC27" s="16">
        <f t="shared" si="19"/>
        <v>1640</v>
      </c>
      <c r="AD27" s="16">
        <f t="shared" si="19"/>
        <v>0</v>
      </c>
      <c r="AE27" s="32">
        <f t="shared" si="19"/>
        <v>1571</v>
      </c>
      <c r="AF27" s="32">
        <f t="shared" si="19"/>
        <v>3211</v>
      </c>
    </row>
    <row r="28" spans="2:32" ht="23.1" customHeight="1" x14ac:dyDescent="0.25">
      <c r="B28" s="23" t="s">
        <v>55</v>
      </c>
      <c r="C28" s="50">
        <v>75</v>
      </c>
      <c r="D28" s="50">
        <v>15</v>
      </c>
      <c r="E28" s="50">
        <v>0</v>
      </c>
      <c r="F28" s="50">
        <v>25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85</v>
      </c>
      <c r="N28" s="50">
        <v>0</v>
      </c>
      <c r="O28" s="15">
        <f t="shared" si="0"/>
        <v>119</v>
      </c>
      <c r="P28" s="15">
        <f t="shared" si="1"/>
        <v>204</v>
      </c>
      <c r="R28" s="5" t="s">
        <v>17</v>
      </c>
      <c r="S28" s="16">
        <f t="shared" ref="S28:AF28" si="20">SUM(S10:S21)</f>
        <v>2406</v>
      </c>
      <c r="T28" s="16">
        <f t="shared" si="20"/>
        <v>893</v>
      </c>
      <c r="U28" s="16">
        <f t="shared" si="20"/>
        <v>242</v>
      </c>
      <c r="V28" s="16">
        <f t="shared" si="20"/>
        <v>2070</v>
      </c>
      <c r="W28" s="16">
        <f t="shared" si="20"/>
        <v>38</v>
      </c>
      <c r="X28" s="16">
        <f t="shared" si="20"/>
        <v>13</v>
      </c>
      <c r="Y28" s="16">
        <f t="shared" si="20"/>
        <v>339</v>
      </c>
      <c r="Z28" s="16">
        <f t="shared" si="20"/>
        <v>31</v>
      </c>
      <c r="AA28" s="16">
        <f t="shared" si="20"/>
        <v>14</v>
      </c>
      <c r="AB28" s="16">
        <f t="shared" si="20"/>
        <v>13</v>
      </c>
      <c r="AC28" s="16">
        <f t="shared" si="20"/>
        <v>6488</v>
      </c>
      <c r="AD28" s="16">
        <f t="shared" si="20"/>
        <v>0</v>
      </c>
      <c r="AE28" s="32">
        <f t="shared" si="20"/>
        <v>6059</v>
      </c>
      <c r="AF28" s="32">
        <f t="shared" si="20"/>
        <v>12547</v>
      </c>
    </row>
    <row r="29" spans="2:32" ht="23.1" customHeight="1" x14ac:dyDescent="0.25">
      <c r="B29" s="23" t="s">
        <v>56</v>
      </c>
      <c r="C29" s="50">
        <v>45</v>
      </c>
      <c r="D29" s="50">
        <v>19</v>
      </c>
      <c r="E29" s="50">
        <v>5</v>
      </c>
      <c r="F29" s="50">
        <v>28</v>
      </c>
      <c r="G29" s="50">
        <v>0</v>
      </c>
      <c r="H29" s="50">
        <v>0</v>
      </c>
      <c r="I29" s="50">
        <v>17</v>
      </c>
      <c r="J29" s="50">
        <v>1</v>
      </c>
      <c r="K29" s="50">
        <v>0</v>
      </c>
      <c r="L29" s="50">
        <v>0</v>
      </c>
      <c r="M29" s="50">
        <v>190</v>
      </c>
      <c r="N29" s="50">
        <v>0</v>
      </c>
      <c r="O29" s="15">
        <f t="shared" si="0"/>
        <v>115</v>
      </c>
      <c r="P29" s="15">
        <f t="shared" si="1"/>
        <v>305</v>
      </c>
      <c r="R29"/>
      <c r="S29" s="20"/>
      <c r="T29" s="19"/>
    </row>
    <row r="30" spans="2:32" ht="23.1" customHeight="1" x14ac:dyDescent="0.25">
      <c r="B30" s="23" t="s">
        <v>57</v>
      </c>
      <c r="C30" s="50">
        <v>65</v>
      </c>
      <c r="D30" s="50">
        <v>65</v>
      </c>
      <c r="E30" s="50">
        <v>6</v>
      </c>
      <c r="F30" s="50">
        <v>10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45</v>
      </c>
      <c r="N30" s="50">
        <v>0</v>
      </c>
      <c r="O30" s="15">
        <f t="shared" si="0"/>
        <v>149</v>
      </c>
      <c r="P30" s="15">
        <f t="shared" si="1"/>
        <v>194</v>
      </c>
    </row>
    <row r="31" spans="2:32" ht="23.1" customHeight="1" x14ac:dyDescent="0.25">
      <c r="B31" s="24" t="s">
        <v>58</v>
      </c>
      <c r="C31" s="50">
        <v>70</v>
      </c>
      <c r="D31" s="50">
        <v>45</v>
      </c>
      <c r="E31" s="50">
        <v>2</v>
      </c>
      <c r="F31" s="50">
        <v>75</v>
      </c>
      <c r="G31" s="50">
        <v>2</v>
      </c>
      <c r="H31" s="50">
        <v>0</v>
      </c>
      <c r="I31" s="50">
        <v>6</v>
      </c>
      <c r="J31" s="50">
        <v>5</v>
      </c>
      <c r="K31" s="50">
        <v>0</v>
      </c>
      <c r="L31" s="50">
        <v>0</v>
      </c>
      <c r="M31" s="50">
        <v>148</v>
      </c>
      <c r="N31" s="50">
        <v>0</v>
      </c>
      <c r="O31" s="15">
        <f t="shared" si="0"/>
        <v>205</v>
      </c>
      <c r="P31" s="15">
        <f t="shared" si="1"/>
        <v>353</v>
      </c>
    </row>
    <row r="32" spans="2:32" ht="23.1" customHeight="1" x14ac:dyDescent="0.25">
      <c r="B32" s="24" t="s">
        <v>59</v>
      </c>
      <c r="C32" s="50">
        <v>45</v>
      </c>
      <c r="D32" s="50">
        <v>20</v>
      </c>
      <c r="E32" s="50">
        <v>10</v>
      </c>
      <c r="F32" s="50">
        <v>29</v>
      </c>
      <c r="G32" s="50">
        <v>0</v>
      </c>
      <c r="H32" s="50">
        <v>0</v>
      </c>
      <c r="I32" s="50">
        <v>12</v>
      </c>
      <c r="J32" s="50">
        <v>0</v>
      </c>
      <c r="K32" s="50">
        <v>2</v>
      </c>
      <c r="L32" s="50">
        <v>0</v>
      </c>
      <c r="M32" s="50">
        <v>145</v>
      </c>
      <c r="N32" s="50">
        <v>0</v>
      </c>
      <c r="O32" s="15">
        <f t="shared" si="0"/>
        <v>118</v>
      </c>
      <c r="P32" s="15">
        <f t="shared" si="1"/>
        <v>263</v>
      </c>
    </row>
    <row r="33" spans="2:20" ht="23.1" customHeight="1" x14ac:dyDescent="0.25">
      <c r="B33" s="23" t="s">
        <v>60</v>
      </c>
      <c r="C33" s="50">
        <v>55</v>
      </c>
      <c r="D33" s="50">
        <v>11</v>
      </c>
      <c r="E33" s="50">
        <v>4</v>
      </c>
      <c r="F33" s="50">
        <v>54</v>
      </c>
      <c r="G33" s="50">
        <v>2</v>
      </c>
      <c r="H33" s="50">
        <v>1</v>
      </c>
      <c r="I33" s="50">
        <v>10</v>
      </c>
      <c r="J33" s="50">
        <v>0</v>
      </c>
      <c r="K33" s="50">
        <v>1</v>
      </c>
      <c r="L33" s="50">
        <v>0</v>
      </c>
      <c r="M33" s="50">
        <v>80</v>
      </c>
      <c r="N33" s="50">
        <v>0</v>
      </c>
      <c r="O33" s="15">
        <f t="shared" si="0"/>
        <v>138</v>
      </c>
      <c r="P33" s="15">
        <f t="shared" si="1"/>
        <v>218</v>
      </c>
    </row>
    <row r="34" spans="2:20" ht="23.1" customHeight="1" x14ac:dyDescent="0.25">
      <c r="B34" s="24" t="s">
        <v>61</v>
      </c>
      <c r="C34" s="50">
        <v>43</v>
      </c>
      <c r="D34" s="50">
        <v>16</v>
      </c>
      <c r="E34" s="50">
        <v>0</v>
      </c>
      <c r="F34" s="50">
        <v>47</v>
      </c>
      <c r="G34" s="50">
        <v>0</v>
      </c>
      <c r="H34" s="50">
        <v>0</v>
      </c>
      <c r="I34" s="50">
        <v>10</v>
      </c>
      <c r="J34" s="50">
        <v>2</v>
      </c>
      <c r="K34" s="50" t="s">
        <v>178</v>
      </c>
      <c r="L34" s="50">
        <v>2</v>
      </c>
      <c r="M34" s="50">
        <v>125</v>
      </c>
      <c r="N34" s="50">
        <v>0</v>
      </c>
      <c r="O34" s="15">
        <f t="shared" si="0"/>
        <v>120</v>
      </c>
      <c r="P34" s="15">
        <f t="shared" si="1"/>
        <v>245</v>
      </c>
    </row>
    <row r="35" spans="2:20" ht="23.1" customHeight="1" x14ac:dyDescent="0.25">
      <c r="B35" s="24" t="s">
        <v>62</v>
      </c>
      <c r="C35" s="50">
        <v>60</v>
      </c>
      <c r="D35" s="50">
        <v>19</v>
      </c>
      <c r="E35" s="50">
        <v>12</v>
      </c>
      <c r="F35" s="50">
        <v>47</v>
      </c>
      <c r="G35" s="50">
        <v>4</v>
      </c>
      <c r="H35" s="50">
        <v>0</v>
      </c>
      <c r="I35" s="50">
        <v>6</v>
      </c>
      <c r="J35" s="50">
        <v>1</v>
      </c>
      <c r="K35" s="50">
        <v>1</v>
      </c>
      <c r="L35" s="50">
        <v>2</v>
      </c>
      <c r="M35" s="50">
        <v>86</v>
      </c>
      <c r="N35" s="50">
        <v>0</v>
      </c>
      <c r="O35" s="15">
        <f t="shared" si="0"/>
        <v>152</v>
      </c>
      <c r="P35" s="15">
        <f t="shared" si="1"/>
        <v>238</v>
      </c>
    </row>
    <row r="36" spans="2:20" ht="23.1" customHeight="1" x14ac:dyDescent="0.25">
      <c r="B36" s="24" t="s">
        <v>63</v>
      </c>
      <c r="C36" s="50">
        <v>26</v>
      </c>
      <c r="D36" s="50">
        <v>11</v>
      </c>
      <c r="E36" s="50">
        <v>1</v>
      </c>
      <c r="F36" s="50">
        <v>36</v>
      </c>
      <c r="G36" s="50">
        <v>1</v>
      </c>
      <c r="H36" s="50">
        <v>0</v>
      </c>
      <c r="I36" s="50">
        <v>11</v>
      </c>
      <c r="J36" s="50">
        <v>0</v>
      </c>
      <c r="K36" s="50">
        <v>0</v>
      </c>
      <c r="L36" s="50">
        <v>0</v>
      </c>
      <c r="M36" s="50">
        <v>140</v>
      </c>
      <c r="N36" s="50">
        <v>0</v>
      </c>
      <c r="O36" s="15">
        <f t="shared" si="0"/>
        <v>86</v>
      </c>
      <c r="P36" s="15">
        <f t="shared" si="1"/>
        <v>226</v>
      </c>
    </row>
    <row r="37" spans="2:20" ht="23.1" customHeight="1" x14ac:dyDescent="0.25">
      <c r="B37" s="23" t="s">
        <v>64</v>
      </c>
      <c r="C37" s="50">
        <v>25</v>
      </c>
      <c r="D37" s="50">
        <v>13</v>
      </c>
      <c r="E37" s="50">
        <v>9</v>
      </c>
      <c r="F37" s="50">
        <v>21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0</v>
      </c>
      <c r="M37" s="50">
        <v>155</v>
      </c>
      <c r="N37" s="50">
        <v>0</v>
      </c>
      <c r="O37" s="15">
        <f t="shared" si="0"/>
        <v>73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10</v>
      </c>
      <c r="D38" s="50">
        <v>4</v>
      </c>
      <c r="E38" s="50">
        <v>5</v>
      </c>
      <c r="F38" s="50">
        <v>11</v>
      </c>
      <c r="G38" s="50">
        <v>1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145</v>
      </c>
      <c r="N38" s="50">
        <v>0</v>
      </c>
      <c r="O38" s="15">
        <f t="shared" si="0"/>
        <v>37</v>
      </c>
      <c r="P38" s="15">
        <f t="shared" si="1"/>
        <v>182</v>
      </c>
    </row>
    <row r="39" spans="2:20" ht="23.1" customHeight="1" x14ac:dyDescent="0.25">
      <c r="B39" s="24" t="s">
        <v>66</v>
      </c>
      <c r="C39" s="50">
        <v>20</v>
      </c>
      <c r="D39" s="50">
        <v>3</v>
      </c>
      <c r="E39" s="50">
        <v>4</v>
      </c>
      <c r="F39" s="50">
        <v>50</v>
      </c>
      <c r="G39" s="50">
        <v>0</v>
      </c>
      <c r="H39" s="50">
        <v>0</v>
      </c>
      <c r="I39" s="50">
        <v>20</v>
      </c>
      <c r="J39" s="50">
        <v>0</v>
      </c>
      <c r="K39" s="50">
        <v>0</v>
      </c>
      <c r="L39" s="50">
        <v>0</v>
      </c>
      <c r="M39" s="50">
        <v>130</v>
      </c>
      <c r="N39" s="50">
        <v>0</v>
      </c>
      <c r="O39" s="15">
        <f t="shared" si="0"/>
        <v>97</v>
      </c>
      <c r="P39" s="15">
        <f t="shared" si="1"/>
        <v>227</v>
      </c>
    </row>
    <row r="40" spans="2:20" ht="23.1" customHeight="1" x14ac:dyDescent="0.25">
      <c r="B40" s="24" t="s">
        <v>67</v>
      </c>
      <c r="C40" s="50">
        <v>22</v>
      </c>
      <c r="D40" s="50">
        <v>4</v>
      </c>
      <c r="E40" s="50">
        <v>3</v>
      </c>
      <c r="F40" s="50">
        <v>45</v>
      </c>
      <c r="G40" s="50">
        <v>0</v>
      </c>
      <c r="H40" s="50">
        <v>0</v>
      </c>
      <c r="I40" s="50">
        <v>7</v>
      </c>
      <c r="J40" s="50">
        <v>0</v>
      </c>
      <c r="K40" s="50">
        <v>0</v>
      </c>
      <c r="L40" s="50">
        <v>0</v>
      </c>
      <c r="M40" s="50">
        <v>90</v>
      </c>
      <c r="N40" s="50">
        <v>0</v>
      </c>
      <c r="O40" s="15">
        <f t="shared" si="0"/>
        <v>81</v>
      </c>
      <c r="P40" s="15">
        <f t="shared" si="1"/>
        <v>171</v>
      </c>
    </row>
    <row r="41" spans="2:20" ht="23.1" customHeight="1" x14ac:dyDescent="0.25">
      <c r="B41" s="23" t="s">
        <v>68</v>
      </c>
      <c r="C41" s="50">
        <v>125</v>
      </c>
      <c r="D41" s="50">
        <v>30</v>
      </c>
      <c r="E41" s="50">
        <v>10</v>
      </c>
      <c r="F41" s="50">
        <v>30</v>
      </c>
      <c r="G41" s="50">
        <v>0</v>
      </c>
      <c r="H41" s="50">
        <v>0</v>
      </c>
      <c r="I41" s="50">
        <v>8</v>
      </c>
      <c r="J41" s="50">
        <v>0</v>
      </c>
      <c r="K41" s="50">
        <v>0</v>
      </c>
      <c r="L41" s="50">
        <v>0</v>
      </c>
      <c r="M41" s="50">
        <v>90</v>
      </c>
      <c r="N41" s="50">
        <v>0</v>
      </c>
      <c r="O41" s="15">
        <f t="shared" si="0"/>
        <v>203</v>
      </c>
      <c r="P41" s="15">
        <f t="shared" si="1"/>
        <v>293</v>
      </c>
    </row>
    <row r="42" spans="2:20" ht="23.1" customHeight="1" x14ac:dyDescent="0.25">
      <c r="B42" s="24" t="s">
        <v>69</v>
      </c>
      <c r="C42" s="50">
        <v>27</v>
      </c>
      <c r="D42" s="50">
        <v>5</v>
      </c>
      <c r="E42" s="50">
        <v>6</v>
      </c>
      <c r="F42" s="50">
        <v>25</v>
      </c>
      <c r="G42" s="50">
        <v>1</v>
      </c>
      <c r="H42" s="50">
        <v>1</v>
      </c>
      <c r="I42" s="50">
        <v>11</v>
      </c>
      <c r="J42" s="50">
        <v>0</v>
      </c>
      <c r="K42" s="50">
        <v>0</v>
      </c>
      <c r="L42" s="50">
        <v>0</v>
      </c>
      <c r="M42" s="50">
        <v>145</v>
      </c>
      <c r="N42" s="50">
        <v>0</v>
      </c>
      <c r="O42" s="15">
        <f t="shared" si="0"/>
        <v>76</v>
      </c>
      <c r="P42" s="15">
        <f t="shared" si="1"/>
        <v>221</v>
      </c>
    </row>
    <row r="43" spans="2:20" ht="23.1" customHeight="1" x14ac:dyDescent="0.25">
      <c r="B43" s="23" t="s">
        <v>70</v>
      </c>
      <c r="C43" s="50">
        <v>40</v>
      </c>
      <c r="D43" s="50">
        <v>19</v>
      </c>
      <c r="E43" s="50">
        <v>10</v>
      </c>
      <c r="F43" s="50">
        <v>36</v>
      </c>
      <c r="G43" s="50">
        <v>1</v>
      </c>
      <c r="H43" s="50">
        <v>0</v>
      </c>
      <c r="I43" s="50">
        <v>24</v>
      </c>
      <c r="J43" s="50">
        <v>1</v>
      </c>
      <c r="K43" s="50">
        <v>0</v>
      </c>
      <c r="L43" s="50">
        <v>0</v>
      </c>
      <c r="M43" s="50">
        <v>115</v>
      </c>
      <c r="N43" s="50">
        <v>0</v>
      </c>
      <c r="O43" s="15">
        <f t="shared" si="0"/>
        <v>131</v>
      </c>
      <c r="P43" s="15">
        <f t="shared" si="1"/>
        <v>246</v>
      </c>
    </row>
    <row r="44" spans="2:20" ht="23.1" customHeight="1" x14ac:dyDescent="0.25">
      <c r="B44" s="25" t="s">
        <v>71</v>
      </c>
      <c r="C44" s="50">
        <v>60</v>
      </c>
      <c r="D44" s="50">
        <v>11</v>
      </c>
      <c r="E44" s="50">
        <v>0</v>
      </c>
      <c r="F44" s="50">
        <v>52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85</v>
      </c>
      <c r="N44" s="50">
        <v>0</v>
      </c>
      <c r="O44" s="15">
        <f t="shared" si="0"/>
        <v>124</v>
      </c>
      <c r="P44" s="15">
        <f t="shared" si="1"/>
        <v>209</v>
      </c>
    </row>
    <row r="45" spans="2:20" ht="23.1" customHeight="1" x14ac:dyDescent="0.25">
      <c r="B45" s="23" t="s">
        <v>72</v>
      </c>
      <c r="C45" s="50">
        <v>25</v>
      </c>
      <c r="D45" s="50">
        <v>16</v>
      </c>
      <c r="E45" s="50">
        <v>4</v>
      </c>
      <c r="F45" s="50">
        <v>21</v>
      </c>
      <c r="G45" s="50">
        <v>0</v>
      </c>
      <c r="H45" s="50">
        <v>0</v>
      </c>
      <c r="I45" s="50">
        <v>8</v>
      </c>
      <c r="J45" s="50">
        <v>0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74</v>
      </c>
      <c r="P45" s="15">
        <f t="shared" si="1"/>
        <v>164</v>
      </c>
    </row>
    <row r="46" spans="2:20" ht="23.1" customHeight="1" x14ac:dyDescent="0.25">
      <c r="B46" s="24" t="s">
        <v>73</v>
      </c>
      <c r="C46" s="50">
        <v>35</v>
      </c>
      <c r="D46" s="50">
        <v>16</v>
      </c>
      <c r="E46" s="50">
        <v>6</v>
      </c>
      <c r="F46" s="50">
        <v>35</v>
      </c>
      <c r="G46" s="50">
        <v>1</v>
      </c>
      <c r="H46" s="50">
        <v>1</v>
      </c>
      <c r="I46" s="50">
        <v>6</v>
      </c>
      <c r="J46" s="50">
        <v>0</v>
      </c>
      <c r="K46" s="50">
        <v>0</v>
      </c>
      <c r="L46" s="50">
        <v>0</v>
      </c>
      <c r="M46" s="50">
        <v>102</v>
      </c>
      <c r="N46" s="50">
        <v>0</v>
      </c>
      <c r="O46" s="15">
        <f t="shared" si="0"/>
        <v>100</v>
      </c>
      <c r="P46" s="15">
        <f t="shared" si="1"/>
        <v>202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11</v>
      </c>
      <c r="E47" s="50">
        <v>6</v>
      </c>
      <c r="F47" s="50">
        <v>27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90</v>
      </c>
      <c r="N47" s="50">
        <v>0</v>
      </c>
      <c r="O47" s="15">
        <f t="shared" si="0"/>
        <v>71</v>
      </c>
      <c r="P47" s="15">
        <f t="shared" si="1"/>
        <v>161</v>
      </c>
      <c r="R47" s="8"/>
      <c r="T47"/>
    </row>
    <row r="48" spans="2:20" ht="23.1" customHeight="1" x14ac:dyDescent="0.25">
      <c r="B48" s="24" t="s">
        <v>75</v>
      </c>
      <c r="C48" s="50">
        <v>45</v>
      </c>
      <c r="D48" s="50">
        <v>18</v>
      </c>
      <c r="E48" s="50">
        <v>6</v>
      </c>
      <c r="F48" s="50">
        <v>62</v>
      </c>
      <c r="G48" s="50">
        <v>2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115</v>
      </c>
      <c r="N48" s="50">
        <v>0</v>
      </c>
      <c r="O48" s="15">
        <f t="shared" si="0"/>
        <v>138</v>
      </c>
      <c r="P48" s="15">
        <f t="shared" si="1"/>
        <v>253</v>
      </c>
      <c r="R48" s="8"/>
      <c r="T48"/>
    </row>
    <row r="49" spans="2:20" ht="23.1" customHeight="1" x14ac:dyDescent="0.25">
      <c r="B49" s="23" t="s">
        <v>76</v>
      </c>
      <c r="C49" s="50">
        <v>46</v>
      </c>
      <c r="D49" s="50">
        <v>32</v>
      </c>
      <c r="E49" s="50">
        <v>3</v>
      </c>
      <c r="F49" s="50">
        <v>40</v>
      </c>
      <c r="G49" s="50">
        <v>0</v>
      </c>
      <c r="H49" s="50">
        <v>0</v>
      </c>
      <c r="I49" s="50">
        <v>4</v>
      </c>
      <c r="J49" s="50">
        <v>0</v>
      </c>
      <c r="K49" s="50">
        <v>1</v>
      </c>
      <c r="L49" s="50">
        <v>0</v>
      </c>
      <c r="M49" s="50">
        <v>137</v>
      </c>
      <c r="N49" s="50">
        <v>0</v>
      </c>
      <c r="O49" s="15">
        <f t="shared" si="0"/>
        <v>126</v>
      </c>
      <c r="P49" s="15">
        <f t="shared" si="1"/>
        <v>263</v>
      </c>
      <c r="R49" s="8"/>
      <c r="T49"/>
    </row>
    <row r="50" spans="2:20" ht="23.1" customHeight="1" x14ac:dyDescent="0.25">
      <c r="B50" s="24" t="s">
        <v>77</v>
      </c>
      <c r="C50" s="50">
        <v>50</v>
      </c>
      <c r="D50" s="50">
        <v>25</v>
      </c>
      <c r="E50" s="50">
        <v>3</v>
      </c>
      <c r="F50" s="50">
        <v>40</v>
      </c>
      <c r="G50" s="50">
        <v>3</v>
      </c>
      <c r="H50" s="50">
        <v>1</v>
      </c>
      <c r="I50" s="50">
        <v>5</v>
      </c>
      <c r="J50" s="50">
        <v>1</v>
      </c>
      <c r="K50" s="50">
        <v>0</v>
      </c>
      <c r="L50" s="50">
        <v>1</v>
      </c>
      <c r="M50" s="50">
        <v>125</v>
      </c>
      <c r="N50" s="50">
        <v>0</v>
      </c>
      <c r="O50" s="15">
        <f t="shared" si="0"/>
        <v>129</v>
      </c>
      <c r="P50" s="15">
        <f t="shared" si="1"/>
        <v>254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20</v>
      </c>
      <c r="E51" s="50">
        <v>2</v>
      </c>
      <c r="F51" s="50">
        <v>75</v>
      </c>
      <c r="G51" s="50">
        <v>0</v>
      </c>
      <c r="H51" s="50">
        <v>1</v>
      </c>
      <c r="I51" s="50">
        <v>3</v>
      </c>
      <c r="J51" s="50">
        <v>1</v>
      </c>
      <c r="K51" s="50">
        <v>0</v>
      </c>
      <c r="L51" s="50">
        <v>0</v>
      </c>
      <c r="M51" s="50">
        <v>134</v>
      </c>
      <c r="N51" s="50">
        <v>0</v>
      </c>
      <c r="O51" s="15">
        <f t="shared" si="0"/>
        <v>177</v>
      </c>
      <c r="P51" s="15">
        <f t="shared" si="1"/>
        <v>311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65</v>
      </c>
      <c r="E52" s="50">
        <v>4</v>
      </c>
      <c r="F52" s="50">
        <v>45</v>
      </c>
      <c r="G52" s="50">
        <v>1</v>
      </c>
      <c r="H52" s="50">
        <v>1</v>
      </c>
      <c r="I52" s="50">
        <v>3</v>
      </c>
      <c r="J52" s="50">
        <v>1</v>
      </c>
      <c r="K52" s="50">
        <v>1</v>
      </c>
      <c r="L52" s="50">
        <v>3</v>
      </c>
      <c r="M52" s="50">
        <v>105</v>
      </c>
      <c r="N52" s="50">
        <v>0</v>
      </c>
      <c r="O52" s="15">
        <f t="shared" si="0"/>
        <v>194</v>
      </c>
      <c r="P52" s="15">
        <f t="shared" si="1"/>
        <v>299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19</v>
      </c>
      <c r="E53" s="50">
        <v>1</v>
      </c>
      <c r="F53" s="50">
        <v>60</v>
      </c>
      <c r="G53" s="50">
        <v>1</v>
      </c>
      <c r="H53" s="50">
        <v>1</v>
      </c>
      <c r="I53" s="50">
        <v>4</v>
      </c>
      <c r="J53" s="50">
        <v>0</v>
      </c>
      <c r="K53" s="50">
        <v>2</v>
      </c>
      <c r="L53" s="50">
        <v>0</v>
      </c>
      <c r="M53" s="50">
        <v>130</v>
      </c>
      <c r="N53" s="50">
        <v>0</v>
      </c>
      <c r="O53" s="15">
        <f t="shared" si="0"/>
        <v>148</v>
      </c>
      <c r="P53" s="15">
        <f t="shared" si="1"/>
        <v>278</v>
      </c>
      <c r="R53" s="8"/>
      <c r="T53"/>
    </row>
    <row r="54" spans="2:20" ht="23.1" customHeight="1" x14ac:dyDescent="0.25">
      <c r="B54" s="23" t="s">
        <v>81</v>
      </c>
      <c r="C54" s="50">
        <v>61</v>
      </c>
      <c r="D54" s="50">
        <v>12</v>
      </c>
      <c r="E54" s="50">
        <v>9</v>
      </c>
      <c r="F54" s="50">
        <v>24</v>
      </c>
      <c r="G54" s="50">
        <v>1</v>
      </c>
      <c r="H54" s="50">
        <v>2</v>
      </c>
      <c r="I54" s="50">
        <v>5</v>
      </c>
      <c r="J54" s="50">
        <v>2</v>
      </c>
      <c r="K54" s="50">
        <v>0</v>
      </c>
      <c r="L54" s="50">
        <v>1</v>
      </c>
      <c r="M54" s="50">
        <v>160</v>
      </c>
      <c r="N54" s="50">
        <v>0</v>
      </c>
      <c r="O54" s="15">
        <f t="shared" si="0"/>
        <v>117</v>
      </c>
      <c r="P54" s="15">
        <f t="shared" si="1"/>
        <v>277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12</v>
      </c>
      <c r="E55" s="50">
        <v>5</v>
      </c>
      <c r="F55" s="50">
        <v>52</v>
      </c>
      <c r="G55" s="50">
        <v>1</v>
      </c>
      <c r="H55" s="50">
        <v>1</v>
      </c>
      <c r="I55" s="50">
        <v>4</v>
      </c>
      <c r="J55" s="50">
        <v>1</v>
      </c>
      <c r="K55" s="50">
        <v>0</v>
      </c>
      <c r="L55" s="50">
        <v>0</v>
      </c>
      <c r="M55" s="50">
        <v>185</v>
      </c>
      <c r="N55" s="50">
        <v>0</v>
      </c>
      <c r="O55" s="15">
        <f t="shared" si="0"/>
        <v>107</v>
      </c>
      <c r="P55" s="15">
        <f t="shared" si="1"/>
        <v>292</v>
      </c>
      <c r="R55" s="8"/>
      <c r="T55"/>
    </row>
    <row r="56" spans="2:20" ht="23.1" customHeight="1" x14ac:dyDescent="0.25">
      <c r="B56" s="23" t="s">
        <v>83</v>
      </c>
      <c r="C56" s="50">
        <v>52</v>
      </c>
      <c r="D56" s="50">
        <v>14</v>
      </c>
      <c r="E56" s="50">
        <v>9</v>
      </c>
      <c r="F56" s="50">
        <v>80</v>
      </c>
      <c r="G56" s="50">
        <v>1</v>
      </c>
      <c r="H56" s="50">
        <v>0</v>
      </c>
      <c r="I56" s="50">
        <v>10</v>
      </c>
      <c r="J56" s="50">
        <v>0</v>
      </c>
      <c r="K56" s="50">
        <v>1</v>
      </c>
      <c r="L56" s="50">
        <v>1</v>
      </c>
      <c r="M56" s="50">
        <v>235</v>
      </c>
      <c r="N56" s="50">
        <v>0</v>
      </c>
      <c r="O56" s="15">
        <f t="shared" si="0"/>
        <v>168</v>
      </c>
      <c r="P56" s="15">
        <f t="shared" si="1"/>
        <v>403</v>
      </c>
      <c r="R56" s="8"/>
      <c r="T56"/>
    </row>
    <row r="57" spans="2:20" ht="23.1" customHeight="1" x14ac:dyDescent="0.25">
      <c r="B57" s="23" t="s">
        <v>84</v>
      </c>
      <c r="C57" s="50">
        <v>32</v>
      </c>
      <c r="D57" s="50">
        <v>6</v>
      </c>
      <c r="E57" s="50">
        <v>8</v>
      </c>
      <c r="F57" s="50">
        <v>40</v>
      </c>
      <c r="G57" s="50">
        <v>1</v>
      </c>
      <c r="H57" s="50">
        <v>1</v>
      </c>
      <c r="I57" s="50">
        <v>4</v>
      </c>
      <c r="J57" s="50">
        <v>2</v>
      </c>
      <c r="K57" s="50">
        <v>1</v>
      </c>
      <c r="L57" s="50">
        <v>1</v>
      </c>
      <c r="M57" s="50">
        <v>122</v>
      </c>
      <c r="N57" s="50">
        <v>0</v>
      </c>
      <c r="O57" s="15">
        <f t="shared" si="0"/>
        <v>96</v>
      </c>
      <c r="P57" s="15">
        <f t="shared" si="1"/>
        <v>218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2406</v>
      </c>
      <c r="D58" s="16">
        <f t="shared" si="21"/>
        <v>893</v>
      </c>
      <c r="E58" s="16">
        <f t="shared" si="21"/>
        <v>242</v>
      </c>
      <c r="F58" s="16">
        <f t="shared" si="21"/>
        <v>2070</v>
      </c>
      <c r="G58" s="16">
        <f t="shared" si="21"/>
        <v>38</v>
      </c>
      <c r="H58" s="16">
        <f t="shared" si="21"/>
        <v>13</v>
      </c>
      <c r="I58" s="16">
        <f t="shared" si="21"/>
        <v>339</v>
      </c>
      <c r="J58" s="16">
        <f t="shared" si="21"/>
        <v>31</v>
      </c>
      <c r="K58" s="16">
        <f t="shared" si="21"/>
        <v>14</v>
      </c>
      <c r="L58" s="16">
        <f t="shared" si="21"/>
        <v>13</v>
      </c>
      <c r="M58" s="16">
        <f t="shared" si="21"/>
        <v>6488</v>
      </c>
      <c r="N58" s="16">
        <f t="shared" si="21"/>
        <v>0</v>
      </c>
      <c r="O58" s="16">
        <f t="shared" si="21"/>
        <v>6059</v>
      </c>
      <c r="P58" s="16">
        <f t="shared" si="21"/>
        <v>12547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0.19175898621184348</v>
      </c>
      <c r="D59" s="43">
        <f t="shared" si="22"/>
        <v>7.1172391806806401E-2</v>
      </c>
      <c r="E59" s="43">
        <f t="shared" si="22"/>
        <v>1.9287479078664224E-2</v>
      </c>
      <c r="F59" s="43">
        <f t="shared" si="22"/>
        <v>0.1649796764166733</v>
      </c>
      <c r="G59" s="43">
        <f t="shared" si="22"/>
        <v>3.0286124173109111E-3</v>
      </c>
      <c r="H59" s="43">
        <f t="shared" si="22"/>
        <v>1.0361042480274169E-3</v>
      </c>
      <c r="I59" s="43">
        <f t="shared" si="22"/>
        <v>2.701841077548418E-2</v>
      </c>
      <c r="J59" s="43">
        <f t="shared" si="22"/>
        <v>2.4707101299115326E-3</v>
      </c>
      <c r="K59" s="43">
        <f t="shared" si="22"/>
        <v>1.1158045747987567E-3</v>
      </c>
      <c r="L59" s="43">
        <f t="shared" si="22"/>
        <v>1.0361042480274169E-3</v>
      </c>
      <c r="M59" s="43">
        <f t="shared" si="22"/>
        <v>0.51709572009245242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0.39709523023601256</v>
      </c>
      <c r="D60" s="44">
        <f t="shared" ref="D60:N60" si="23">D58/$O$58</f>
        <v>0.14738405677504537</v>
      </c>
      <c r="E60" s="44">
        <f t="shared" si="23"/>
        <v>3.9940584254827528E-2</v>
      </c>
      <c r="F60" s="44">
        <f t="shared" si="23"/>
        <v>0.34164053474170653</v>
      </c>
      <c r="G60" s="44">
        <f t="shared" si="23"/>
        <v>6.2716619904274636E-3</v>
      </c>
      <c r="H60" s="44">
        <f t="shared" si="23"/>
        <v>2.1455685756725531E-3</v>
      </c>
      <c r="I60" s="44">
        <f t="shared" si="23"/>
        <v>5.5949826704076583E-2</v>
      </c>
      <c r="J60" s="44">
        <f t="shared" si="23"/>
        <v>5.1163558342960883E-3</v>
      </c>
      <c r="K60" s="44">
        <f t="shared" si="23"/>
        <v>2.3106123122627496E-3</v>
      </c>
      <c r="L60" s="44">
        <f t="shared" si="23"/>
        <v>2.1455685756725531E-3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Kalerwe-Kampala'!D5</f>
        <v>23.07.19</v>
      </c>
      <c r="E5" s="3"/>
      <c r="F5" s="41" t="s">
        <v>1</v>
      </c>
      <c r="G5" s="65" t="str">
        <f>'22.07 Kalerwe-Kampala'!G5:H5</f>
        <v>Wandegeya</v>
      </c>
      <c r="H5" s="66"/>
      <c r="I5" s="14"/>
      <c r="J5" s="2" t="s">
        <v>5</v>
      </c>
      <c r="K5" s="65" t="s">
        <v>177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'22.07 Kampala-Kalerwe'!G6:H6</f>
        <v>Kalerwe</v>
      </c>
      <c r="H6" s="66"/>
      <c r="J6" s="2" t="s">
        <v>21</v>
      </c>
      <c r="K6" s="65" t="s">
        <v>175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32</v>
      </c>
      <c r="D10" s="50">
        <v>8</v>
      </c>
      <c r="E10" s="50">
        <v>2</v>
      </c>
      <c r="F10" s="50">
        <v>73</v>
      </c>
      <c r="G10" s="50">
        <v>3</v>
      </c>
      <c r="H10" s="50">
        <v>2</v>
      </c>
      <c r="I10" s="50">
        <v>6</v>
      </c>
      <c r="J10" s="50">
        <v>0</v>
      </c>
      <c r="K10" s="50">
        <v>0</v>
      </c>
      <c r="L10" s="50">
        <v>0</v>
      </c>
      <c r="M10" s="50">
        <v>165</v>
      </c>
      <c r="N10" s="50">
        <v>0</v>
      </c>
      <c r="O10" s="15">
        <f t="shared" ref="O10:O57" si="0">SUM(C10:L10,N10)</f>
        <v>126</v>
      </c>
      <c r="P10" s="15">
        <f t="shared" ref="P10:P57" si="1">SUM(C10:N10)</f>
        <v>291</v>
      </c>
      <c r="R10" s="1" t="s">
        <v>6</v>
      </c>
      <c r="S10" s="17">
        <f t="shared" ref="S10:AF10" si="2">SUM(C10:C13)</f>
        <v>98</v>
      </c>
      <c r="T10" s="17">
        <f t="shared" si="2"/>
        <v>28</v>
      </c>
      <c r="U10" s="17">
        <f t="shared" si="2"/>
        <v>12</v>
      </c>
      <c r="V10" s="17">
        <f t="shared" si="2"/>
        <v>225</v>
      </c>
      <c r="W10" s="17">
        <f t="shared" si="2"/>
        <v>6</v>
      </c>
      <c r="X10" s="17">
        <f t="shared" si="2"/>
        <v>4</v>
      </c>
      <c r="Y10" s="17">
        <f t="shared" si="2"/>
        <v>24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810</v>
      </c>
      <c r="AD10" s="17">
        <f t="shared" si="2"/>
        <v>0</v>
      </c>
      <c r="AE10" s="31">
        <f t="shared" si="2"/>
        <v>399</v>
      </c>
      <c r="AF10" s="31">
        <f t="shared" si="2"/>
        <v>1209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6</v>
      </c>
      <c r="E11" s="50">
        <v>1</v>
      </c>
      <c r="F11" s="50">
        <v>45</v>
      </c>
      <c r="G11" s="50">
        <v>3</v>
      </c>
      <c r="H11" s="50">
        <v>0</v>
      </c>
      <c r="I11" s="50">
        <v>10</v>
      </c>
      <c r="J11" s="50">
        <v>0</v>
      </c>
      <c r="K11" s="50">
        <v>1</v>
      </c>
      <c r="L11" s="50">
        <v>0</v>
      </c>
      <c r="M11" s="50">
        <v>188</v>
      </c>
      <c r="N11" s="50">
        <v>0</v>
      </c>
      <c r="O11" s="15">
        <f t="shared" si="0"/>
        <v>88</v>
      </c>
      <c r="P11" s="15">
        <f t="shared" si="1"/>
        <v>276</v>
      </c>
      <c r="R11" s="1" t="s">
        <v>7</v>
      </c>
      <c r="S11" s="17">
        <f t="shared" ref="S11:AF11" si="3">SUM(C14:C17)</f>
        <v>84</v>
      </c>
      <c r="T11" s="17">
        <f t="shared" si="3"/>
        <v>13</v>
      </c>
      <c r="U11" s="17">
        <f t="shared" si="3"/>
        <v>9</v>
      </c>
      <c r="V11" s="17">
        <f t="shared" si="3"/>
        <v>226</v>
      </c>
      <c r="W11" s="17">
        <f t="shared" si="3"/>
        <v>3</v>
      </c>
      <c r="X11" s="17">
        <f t="shared" si="3"/>
        <v>0</v>
      </c>
      <c r="Y11" s="17">
        <f t="shared" si="3"/>
        <v>29</v>
      </c>
      <c r="Z11" s="17">
        <f t="shared" si="3"/>
        <v>3</v>
      </c>
      <c r="AA11" s="17">
        <f t="shared" si="3"/>
        <v>4</v>
      </c>
      <c r="AB11" s="17">
        <f t="shared" si="3"/>
        <v>3</v>
      </c>
      <c r="AC11" s="17">
        <f t="shared" si="3"/>
        <v>1248</v>
      </c>
      <c r="AD11" s="17">
        <f t="shared" si="3"/>
        <v>0</v>
      </c>
      <c r="AE11" s="31">
        <f t="shared" si="3"/>
        <v>374</v>
      </c>
      <c r="AF11" s="31">
        <f t="shared" si="3"/>
        <v>1622</v>
      </c>
    </row>
    <row r="12" spans="2:32" ht="23.1" customHeight="1" x14ac:dyDescent="0.25">
      <c r="B12" s="23" t="s">
        <v>39</v>
      </c>
      <c r="C12" s="50">
        <v>21</v>
      </c>
      <c r="D12" s="50">
        <v>5</v>
      </c>
      <c r="E12" s="50">
        <v>3</v>
      </c>
      <c r="F12" s="50">
        <v>49</v>
      </c>
      <c r="G12" s="50">
        <v>0</v>
      </c>
      <c r="H12" s="50">
        <v>2</v>
      </c>
      <c r="I12" s="50">
        <v>3</v>
      </c>
      <c r="J12" s="50">
        <v>0</v>
      </c>
      <c r="K12" s="50">
        <v>0</v>
      </c>
      <c r="L12" s="50">
        <v>0</v>
      </c>
      <c r="M12" s="50">
        <v>190</v>
      </c>
      <c r="N12" s="50">
        <v>0</v>
      </c>
      <c r="O12" s="15">
        <f t="shared" si="0"/>
        <v>83</v>
      </c>
      <c r="P12" s="15">
        <f t="shared" si="1"/>
        <v>273</v>
      </c>
      <c r="R12" s="1" t="s">
        <v>8</v>
      </c>
      <c r="S12" s="17">
        <f t="shared" ref="S12:AF12" si="4">SUM(C18:C21)</f>
        <v>74</v>
      </c>
      <c r="T12" s="17">
        <f t="shared" si="4"/>
        <v>34</v>
      </c>
      <c r="U12" s="17">
        <f t="shared" si="4"/>
        <v>17</v>
      </c>
      <c r="V12" s="17">
        <f t="shared" si="4"/>
        <v>236</v>
      </c>
      <c r="W12" s="17">
        <f t="shared" si="4"/>
        <v>5</v>
      </c>
      <c r="X12" s="17">
        <f t="shared" si="4"/>
        <v>1</v>
      </c>
      <c r="Y12" s="17">
        <f t="shared" si="4"/>
        <v>42</v>
      </c>
      <c r="Z12" s="17">
        <f t="shared" si="4"/>
        <v>2</v>
      </c>
      <c r="AA12" s="17">
        <f t="shared" si="4"/>
        <v>3</v>
      </c>
      <c r="AB12" s="17">
        <f t="shared" si="4"/>
        <v>1</v>
      </c>
      <c r="AC12" s="17">
        <f t="shared" si="4"/>
        <v>998</v>
      </c>
      <c r="AD12" s="17">
        <f t="shared" si="4"/>
        <v>0</v>
      </c>
      <c r="AE12" s="31">
        <f t="shared" si="4"/>
        <v>415</v>
      </c>
      <c r="AF12" s="31">
        <f t="shared" si="4"/>
        <v>1413</v>
      </c>
    </row>
    <row r="13" spans="2:32" ht="23.1" customHeight="1" x14ac:dyDescent="0.25">
      <c r="B13" s="23" t="s">
        <v>40</v>
      </c>
      <c r="C13" s="50">
        <v>23</v>
      </c>
      <c r="D13" s="50">
        <v>9</v>
      </c>
      <c r="E13" s="50">
        <v>6</v>
      </c>
      <c r="F13" s="50">
        <v>58</v>
      </c>
      <c r="G13" s="50">
        <v>0</v>
      </c>
      <c r="H13" s="50">
        <v>0</v>
      </c>
      <c r="I13" s="50">
        <v>5</v>
      </c>
      <c r="J13" s="50">
        <v>1</v>
      </c>
      <c r="K13" s="50">
        <v>0</v>
      </c>
      <c r="L13" s="50">
        <v>0</v>
      </c>
      <c r="M13" s="50">
        <v>267</v>
      </c>
      <c r="N13" s="50">
        <v>0</v>
      </c>
      <c r="O13" s="15">
        <f t="shared" si="0"/>
        <v>102</v>
      </c>
      <c r="P13" s="15">
        <f t="shared" si="1"/>
        <v>369</v>
      </c>
      <c r="R13" s="1" t="s">
        <v>9</v>
      </c>
      <c r="S13" s="17">
        <f t="shared" ref="S13:AF13" si="5">SUM(C22:C25)</f>
        <v>93</v>
      </c>
      <c r="T13" s="17">
        <f t="shared" si="5"/>
        <v>33</v>
      </c>
      <c r="U13" s="17">
        <f t="shared" si="5"/>
        <v>18</v>
      </c>
      <c r="V13" s="17">
        <f t="shared" si="5"/>
        <v>170</v>
      </c>
      <c r="W13" s="17">
        <f t="shared" si="5"/>
        <v>3</v>
      </c>
      <c r="X13" s="17">
        <f t="shared" si="5"/>
        <v>3</v>
      </c>
      <c r="Y13" s="17">
        <f t="shared" si="5"/>
        <v>39</v>
      </c>
      <c r="Z13" s="17">
        <f t="shared" si="5"/>
        <v>4</v>
      </c>
      <c r="AA13" s="17">
        <f t="shared" si="5"/>
        <v>3</v>
      </c>
      <c r="AB13" s="17">
        <f t="shared" si="5"/>
        <v>2</v>
      </c>
      <c r="AC13" s="17">
        <f t="shared" si="5"/>
        <v>874</v>
      </c>
      <c r="AD13" s="17">
        <f t="shared" si="5"/>
        <v>0</v>
      </c>
      <c r="AE13" s="31">
        <f t="shared" si="5"/>
        <v>368</v>
      </c>
      <c r="AF13" s="31">
        <f t="shared" si="5"/>
        <v>1242</v>
      </c>
    </row>
    <row r="14" spans="2:32" ht="23.1" customHeight="1" x14ac:dyDescent="0.25">
      <c r="B14" s="23" t="s">
        <v>41</v>
      </c>
      <c r="C14" s="50">
        <v>18</v>
      </c>
      <c r="D14" s="50">
        <v>4</v>
      </c>
      <c r="E14" s="50">
        <v>3</v>
      </c>
      <c r="F14" s="50">
        <v>50</v>
      </c>
      <c r="G14" s="50">
        <v>1</v>
      </c>
      <c r="H14" s="50">
        <v>0</v>
      </c>
      <c r="I14" s="50">
        <v>4</v>
      </c>
      <c r="J14" s="50">
        <v>0</v>
      </c>
      <c r="K14" s="50">
        <v>1</v>
      </c>
      <c r="L14" s="50">
        <v>1</v>
      </c>
      <c r="M14" s="50">
        <v>275</v>
      </c>
      <c r="N14" s="50">
        <v>0</v>
      </c>
      <c r="O14" s="15">
        <f t="shared" si="0"/>
        <v>82</v>
      </c>
      <c r="P14" s="15">
        <f t="shared" si="1"/>
        <v>357</v>
      </c>
      <c r="R14" s="1" t="s">
        <v>10</v>
      </c>
      <c r="S14" s="17">
        <f t="shared" ref="S14:AF14" si="6">SUM(C26:C29)</f>
        <v>102</v>
      </c>
      <c r="T14" s="17">
        <f t="shared" si="6"/>
        <v>34</v>
      </c>
      <c r="U14" s="17">
        <f t="shared" si="6"/>
        <v>25</v>
      </c>
      <c r="V14" s="17">
        <f t="shared" si="6"/>
        <v>147</v>
      </c>
      <c r="W14" s="17">
        <f t="shared" si="6"/>
        <v>1</v>
      </c>
      <c r="X14" s="17">
        <f t="shared" si="6"/>
        <v>6</v>
      </c>
      <c r="Y14" s="17">
        <f t="shared" si="6"/>
        <v>33</v>
      </c>
      <c r="Z14" s="17">
        <f t="shared" si="6"/>
        <v>3</v>
      </c>
      <c r="AA14" s="17">
        <f t="shared" si="6"/>
        <v>1</v>
      </c>
      <c r="AB14" s="17">
        <f t="shared" si="6"/>
        <v>2</v>
      </c>
      <c r="AC14" s="17">
        <f t="shared" si="6"/>
        <v>860</v>
      </c>
      <c r="AD14" s="17">
        <f t="shared" si="6"/>
        <v>0</v>
      </c>
      <c r="AE14" s="31">
        <f t="shared" si="6"/>
        <v>354</v>
      </c>
      <c r="AF14" s="31">
        <f t="shared" si="6"/>
        <v>1214</v>
      </c>
    </row>
    <row r="15" spans="2:32" ht="23.1" customHeight="1" x14ac:dyDescent="0.25">
      <c r="B15" s="23" t="s">
        <v>42</v>
      </c>
      <c r="C15" s="50">
        <v>19</v>
      </c>
      <c r="D15" s="50">
        <v>2</v>
      </c>
      <c r="E15" s="50">
        <v>1</v>
      </c>
      <c r="F15" s="50">
        <v>55</v>
      </c>
      <c r="G15" s="50">
        <v>2</v>
      </c>
      <c r="H15" s="50">
        <v>0</v>
      </c>
      <c r="I15" s="50">
        <v>9</v>
      </c>
      <c r="J15" s="50">
        <v>2</v>
      </c>
      <c r="K15" s="50">
        <v>2</v>
      </c>
      <c r="L15" s="50">
        <v>0</v>
      </c>
      <c r="M15" s="50">
        <v>287</v>
      </c>
      <c r="N15" s="50">
        <v>0</v>
      </c>
      <c r="O15" s="15">
        <f t="shared" si="0"/>
        <v>92</v>
      </c>
      <c r="P15" s="15">
        <f t="shared" si="1"/>
        <v>379</v>
      </c>
      <c r="R15" s="1" t="s">
        <v>11</v>
      </c>
      <c r="S15" s="17">
        <f t="shared" ref="S15:AF15" si="7">SUM(C30:C33)</f>
        <v>105</v>
      </c>
      <c r="T15" s="17">
        <f t="shared" si="7"/>
        <v>37</v>
      </c>
      <c r="U15" s="17">
        <f t="shared" si="7"/>
        <v>20</v>
      </c>
      <c r="V15" s="17">
        <f t="shared" si="7"/>
        <v>132</v>
      </c>
      <c r="W15" s="17">
        <f t="shared" si="7"/>
        <v>17</v>
      </c>
      <c r="X15" s="17">
        <f t="shared" si="7"/>
        <v>3</v>
      </c>
      <c r="Y15" s="17">
        <f t="shared" si="7"/>
        <v>39</v>
      </c>
      <c r="Z15" s="17">
        <f t="shared" si="7"/>
        <v>4</v>
      </c>
      <c r="AA15" s="17">
        <f t="shared" si="7"/>
        <v>4</v>
      </c>
      <c r="AB15" s="17">
        <f t="shared" si="7"/>
        <v>3</v>
      </c>
      <c r="AC15" s="17">
        <f t="shared" si="7"/>
        <v>728</v>
      </c>
      <c r="AD15" s="17">
        <f t="shared" si="7"/>
        <v>0</v>
      </c>
      <c r="AE15" s="31">
        <f t="shared" si="7"/>
        <v>364</v>
      </c>
      <c r="AF15" s="31">
        <f t="shared" si="7"/>
        <v>1092</v>
      </c>
    </row>
    <row r="16" spans="2:32" ht="23.1" customHeight="1" x14ac:dyDescent="0.25">
      <c r="B16" s="23" t="s">
        <v>43</v>
      </c>
      <c r="C16" s="50">
        <v>25</v>
      </c>
      <c r="D16" s="50">
        <v>6</v>
      </c>
      <c r="E16" s="50">
        <v>2</v>
      </c>
      <c r="F16" s="50">
        <v>64</v>
      </c>
      <c r="G16" s="50">
        <v>0</v>
      </c>
      <c r="H16" s="50">
        <v>0</v>
      </c>
      <c r="I16" s="50">
        <v>9</v>
      </c>
      <c r="J16" s="50">
        <v>0</v>
      </c>
      <c r="K16" s="50">
        <v>0</v>
      </c>
      <c r="L16" s="50">
        <v>1</v>
      </c>
      <c r="M16" s="50">
        <v>315</v>
      </c>
      <c r="N16" s="50">
        <v>0</v>
      </c>
      <c r="O16" s="15">
        <f t="shared" si="0"/>
        <v>107</v>
      </c>
      <c r="P16" s="15">
        <f t="shared" si="1"/>
        <v>422</v>
      </c>
      <c r="R16" s="1" t="s">
        <v>12</v>
      </c>
      <c r="S16" s="17">
        <f t="shared" ref="S16:AF16" si="8">SUM(C34:C37)</f>
        <v>97</v>
      </c>
      <c r="T16" s="17">
        <f t="shared" si="8"/>
        <v>37</v>
      </c>
      <c r="U16" s="17">
        <f t="shared" si="8"/>
        <v>30</v>
      </c>
      <c r="V16" s="17">
        <f t="shared" si="8"/>
        <v>109</v>
      </c>
      <c r="W16" s="17">
        <f t="shared" si="8"/>
        <v>3</v>
      </c>
      <c r="X16" s="17">
        <f t="shared" si="8"/>
        <v>1</v>
      </c>
      <c r="Y16" s="17">
        <f t="shared" si="8"/>
        <v>29</v>
      </c>
      <c r="Z16" s="17">
        <f t="shared" si="8"/>
        <v>3</v>
      </c>
      <c r="AA16" s="17">
        <f t="shared" si="8"/>
        <v>6</v>
      </c>
      <c r="AB16" s="17">
        <f t="shared" si="8"/>
        <v>1</v>
      </c>
      <c r="AC16" s="17">
        <f t="shared" si="8"/>
        <v>585</v>
      </c>
      <c r="AD16" s="17">
        <f t="shared" si="8"/>
        <v>0</v>
      </c>
      <c r="AE16" s="31">
        <f t="shared" si="8"/>
        <v>316</v>
      </c>
      <c r="AF16" s="31">
        <f t="shared" si="8"/>
        <v>901</v>
      </c>
    </row>
    <row r="17" spans="2:32" ht="23.1" customHeight="1" x14ac:dyDescent="0.25">
      <c r="B17" s="23" t="s">
        <v>44</v>
      </c>
      <c r="C17" s="50">
        <v>22</v>
      </c>
      <c r="D17" s="50">
        <v>1</v>
      </c>
      <c r="E17" s="50">
        <v>3</v>
      </c>
      <c r="F17" s="50">
        <v>57</v>
      </c>
      <c r="G17" s="50">
        <v>0</v>
      </c>
      <c r="H17" s="50">
        <v>0</v>
      </c>
      <c r="I17" s="50">
        <v>7</v>
      </c>
      <c r="J17" s="50">
        <v>1</v>
      </c>
      <c r="K17" s="50">
        <v>1</v>
      </c>
      <c r="L17" s="50">
        <v>1</v>
      </c>
      <c r="M17" s="50">
        <v>371</v>
      </c>
      <c r="N17" s="50">
        <v>0</v>
      </c>
      <c r="O17" s="15">
        <f t="shared" si="0"/>
        <v>93</v>
      </c>
      <c r="P17" s="15">
        <f t="shared" si="1"/>
        <v>464</v>
      </c>
      <c r="R17" s="1" t="s">
        <v>13</v>
      </c>
      <c r="S17" s="17">
        <f t="shared" ref="S17:AF17" si="9">SUM(C38:C41)</f>
        <v>94</v>
      </c>
      <c r="T17" s="17">
        <f t="shared" si="9"/>
        <v>60</v>
      </c>
      <c r="U17" s="17">
        <f t="shared" si="9"/>
        <v>41</v>
      </c>
      <c r="V17" s="17">
        <f t="shared" si="9"/>
        <v>132</v>
      </c>
      <c r="W17" s="17">
        <f t="shared" si="9"/>
        <v>3</v>
      </c>
      <c r="X17" s="17">
        <f t="shared" si="9"/>
        <v>3</v>
      </c>
      <c r="Y17" s="17">
        <f t="shared" si="9"/>
        <v>55</v>
      </c>
      <c r="Z17" s="17">
        <f t="shared" si="9"/>
        <v>7</v>
      </c>
      <c r="AA17" s="17">
        <f t="shared" si="9"/>
        <v>5</v>
      </c>
      <c r="AB17" s="17">
        <f t="shared" si="9"/>
        <v>1</v>
      </c>
      <c r="AC17" s="17">
        <f t="shared" si="9"/>
        <v>543</v>
      </c>
      <c r="AD17" s="17">
        <f t="shared" si="9"/>
        <v>0</v>
      </c>
      <c r="AE17" s="31">
        <f t="shared" si="9"/>
        <v>401</v>
      </c>
      <c r="AF17" s="31">
        <f t="shared" si="9"/>
        <v>944</v>
      </c>
    </row>
    <row r="18" spans="2:32" ht="23.1" customHeight="1" x14ac:dyDescent="0.25">
      <c r="B18" s="23" t="s">
        <v>45</v>
      </c>
      <c r="C18" s="50">
        <v>19</v>
      </c>
      <c r="D18" s="50">
        <v>6</v>
      </c>
      <c r="E18" s="50">
        <v>5</v>
      </c>
      <c r="F18" s="50">
        <v>55</v>
      </c>
      <c r="G18" s="50">
        <v>1</v>
      </c>
      <c r="H18" s="50">
        <v>1</v>
      </c>
      <c r="I18" s="50">
        <v>7</v>
      </c>
      <c r="J18" s="50">
        <v>0</v>
      </c>
      <c r="K18" s="50">
        <v>2</v>
      </c>
      <c r="L18" s="50">
        <v>0</v>
      </c>
      <c r="M18" s="50">
        <v>258</v>
      </c>
      <c r="N18" s="50">
        <v>0</v>
      </c>
      <c r="O18" s="15">
        <f t="shared" si="0"/>
        <v>96</v>
      </c>
      <c r="P18" s="15">
        <f t="shared" si="1"/>
        <v>354</v>
      </c>
      <c r="R18" s="1" t="s">
        <v>14</v>
      </c>
      <c r="S18" s="17">
        <f t="shared" ref="S18:AF18" si="10">SUM(C42:C45)</f>
        <v>138</v>
      </c>
      <c r="T18" s="17">
        <f t="shared" si="10"/>
        <v>73</v>
      </c>
      <c r="U18" s="17">
        <f t="shared" si="10"/>
        <v>33</v>
      </c>
      <c r="V18" s="17">
        <f t="shared" si="10"/>
        <v>147</v>
      </c>
      <c r="W18" s="17">
        <f t="shared" si="10"/>
        <v>4</v>
      </c>
      <c r="X18" s="17">
        <f t="shared" si="10"/>
        <v>3</v>
      </c>
      <c r="Y18" s="17">
        <f t="shared" si="10"/>
        <v>25</v>
      </c>
      <c r="Z18" s="17">
        <f t="shared" si="10"/>
        <v>6</v>
      </c>
      <c r="AA18" s="17">
        <f t="shared" si="10"/>
        <v>1</v>
      </c>
      <c r="AB18" s="17">
        <f t="shared" si="10"/>
        <v>2</v>
      </c>
      <c r="AC18" s="17">
        <f t="shared" si="10"/>
        <v>591</v>
      </c>
      <c r="AD18" s="17">
        <f t="shared" si="10"/>
        <v>0</v>
      </c>
      <c r="AE18" s="31">
        <f t="shared" si="10"/>
        <v>432</v>
      </c>
      <c r="AF18" s="31">
        <f t="shared" si="10"/>
        <v>1023</v>
      </c>
    </row>
    <row r="19" spans="2:32" ht="23.1" customHeight="1" x14ac:dyDescent="0.25">
      <c r="B19" s="23" t="s">
        <v>46</v>
      </c>
      <c r="C19" s="50">
        <v>15</v>
      </c>
      <c r="D19" s="50">
        <v>13</v>
      </c>
      <c r="E19" s="50">
        <v>1</v>
      </c>
      <c r="F19" s="50">
        <v>66</v>
      </c>
      <c r="G19" s="50">
        <v>0</v>
      </c>
      <c r="H19" s="50">
        <v>0</v>
      </c>
      <c r="I19" s="50">
        <v>8</v>
      </c>
      <c r="J19" s="50">
        <v>0</v>
      </c>
      <c r="K19" s="50">
        <v>0</v>
      </c>
      <c r="L19" s="50">
        <v>0</v>
      </c>
      <c r="M19" s="50">
        <v>260</v>
      </c>
      <c r="N19" s="50">
        <v>0</v>
      </c>
      <c r="O19" s="15">
        <f t="shared" si="0"/>
        <v>103</v>
      </c>
      <c r="P19" s="15">
        <f t="shared" si="1"/>
        <v>363</v>
      </c>
      <c r="R19" s="1" t="s">
        <v>15</v>
      </c>
      <c r="S19" s="17">
        <f t="shared" ref="S19:AF19" si="11">SUM(C46:C49)</f>
        <v>155</v>
      </c>
      <c r="T19" s="17">
        <f t="shared" si="11"/>
        <v>71</v>
      </c>
      <c r="U19" s="17">
        <f t="shared" si="11"/>
        <v>14</v>
      </c>
      <c r="V19" s="17">
        <f t="shared" si="11"/>
        <v>170</v>
      </c>
      <c r="W19" s="17">
        <f t="shared" si="11"/>
        <v>4</v>
      </c>
      <c r="X19" s="17">
        <f t="shared" si="11"/>
        <v>1</v>
      </c>
      <c r="Y19" s="17">
        <f t="shared" si="11"/>
        <v>29</v>
      </c>
      <c r="Z19" s="17">
        <f t="shared" si="11"/>
        <v>2</v>
      </c>
      <c r="AA19" s="17">
        <f t="shared" si="11"/>
        <v>3</v>
      </c>
      <c r="AB19" s="17">
        <f t="shared" si="11"/>
        <v>1</v>
      </c>
      <c r="AC19" s="17">
        <f t="shared" si="11"/>
        <v>595</v>
      </c>
      <c r="AD19" s="17">
        <f t="shared" si="11"/>
        <v>0</v>
      </c>
      <c r="AE19" s="31">
        <f t="shared" si="11"/>
        <v>450</v>
      </c>
      <c r="AF19" s="31">
        <f t="shared" si="11"/>
        <v>1045</v>
      </c>
    </row>
    <row r="20" spans="2:32" ht="23.1" customHeight="1" x14ac:dyDescent="0.25">
      <c r="B20" s="23" t="s">
        <v>47</v>
      </c>
      <c r="C20" s="50">
        <v>14</v>
      </c>
      <c r="D20" s="50">
        <v>9</v>
      </c>
      <c r="E20" s="50">
        <v>6</v>
      </c>
      <c r="F20" s="50">
        <v>59</v>
      </c>
      <c r="G20" s="50">
        <v>1</v>
      </c>
      <c r="H20" s="50">
        <v>0</v>
      </c>
      <c r="I20" s="50">
        <v>8</v>
      </c>
      <c r="J20" s="50">
        <v>2</v>
      </c>
      <c r="K20" s="50">
        <v>0</v>
      </c>
      <c r="L20" s="50">
        <v>1</v>
      </c>
      <c r="M20" s="50">
        <v>230</v>
      </c>
      <c r="N20" s="50">
        <v>0</v>
      </c>
      <c r="O20" s="15">
        <f t="shared" si="0"/>
        <v>100</v>
      </c>
      <c r="P20" s="15">
        <f t="shared" si="1"/>
        <v>330</v>
      </c>
      <c r="R20" s="1" t="s">
        <v>16</v>
      </c>
      <c r="S20" s="17">
        <f t="shared" ref="S20:AF20" si="12">SUM(C50:C53)</f>
        <v>251</v>
      </c>
      <c r="T20" s="17">
        <f t="shared" si="12"/>
        <v>50</v>
      </c>
      <c r="U20" s="17">
        <f t="shared" si="12"/>
        <v>19</v>
      </c>
      <c r="V20" s="17">
        <f t="shared" si="12"/>
        <v>119</v>
      </c>
      <c r="W20" s="17">
        <f t="shared" si="12"/>
        <v>5</v>
      </c>
      <c r="X20" s="17">
        <f t="shared" si="12"/>
        <v>4</v>
      </c>
      <c r="Y20" s="17">
        <f t="shared" si="12"/>
        <v>31</v>
      </c>
      <c r="Z20" s="17">
        <f t="shared" si="12"/>
        <v>4</v>
      </c>
      <c r="AA20" s="17">
        <f t="shared" si="12"/>
        <v>0</v>
      </c>
      <c r="AB20" s="17">
        <f t="shared" si="12"/>
        <v>2</v>
      </c>
      <c r="AC20" s="17">
        <f t="shared" si="12"/>
        <v>583</v>
      </c>
      <c r="AD20" s="17">
        <f t="shared" si="12"/>
        <v>0</v>
      </c>
      <c r="AE20" s="31">
        <f t="shared" si="12"/>
        <v>485</v>
      </c>
      <c r="AF20" s="31">
        <f t="shared" si="12"/>
        <v>1068</v>
      </c>
    </row>
    <row r="21" spans="2:32" ht="23.1" customHeight="1" x14ac:dyDescent="0.25">
      <c r="B21" s="23" t="s">
        <v>48</v>
      </c>
      <c r="C21" s="50">
        <v>26</v>
      </c>
      <c r="D21" s="50">
        <v>6</v>
      </c>
      <c r="E21" s="50">
        <v>5</v>
      </c>
      <c r="F21" s="50">
        <v>56</v>
      </c>
      <c r="G21" s="50">
        <v>3</v>
      </c>
      <c r="H21" s="50">
        <v>0</v>
      </c>
      <c r="I21" s="50">
        <v>19</v>
      </c>
      <c r="J21" s="50">
        <v>0</v>
      </c>
      <c r="K21" s="50">
        <v>1</v>
      </c>
      <c r="L21" s="50">
        <v>0</v>
      </c>
      <c r="M21" s="50">
        <v>250</v>
      </c>
      <c r="N21" s="50">
        <v>0</v>
      </c>
      <c r="O21" s="15">
        <f t="shared" si="0"/>
        <v>116</v>
      </c>
      <c r="P21" s="15">
        <f t="shared" si="1"/>
        <v>366</v>
      </c>
      <c r="R21" s="36" t="s">
        <v>20</v>
      </c>
      <c r="S21" s="34">
        <f t="shared" ref="S21:AF21" si="13">SUM(C54:C57)</f>
        <v>316</v>
      </c>
      <c r="T21" s="17">
        <f t="shared" si="13"/>
        <v>148</v>
      </c>
      <c r="U21" s="17">
        <f t="shared" si="13"/>
        <v>20</v>
      </c>
      <c r="V21" s="17">
        <f t="shared" si="13"/>
        <v>218</v>
      </c>
      <c r="W21" s="17">
        <f t="shared" si="13"/>
        <v>6</v>
      </c>
      <c r="X21" s="17">
        <f t="shared" si="13"/>
        <v>5</v>
      </c>
      <c r="Y21" s="17">
        <f t="shared" si="13"/>
        <v>34</v>
      </c>
      <c r="Z21" s="17">
        <f t="shared" si="13"/>
        <v>8</v>
      </c>
      <c r="AA21" s="17">
        <f t="shared" si="13"/>
        <v>2</v>
      </c>
      <c r="AB21" s="17">
        <f t="shared" si="13"/>
        <v>1</v>
      </c>
      <c r="AC21" s="17">
        <f t="shared" si="13"/>
        <v>1070</v>
      </c>
      <c r="AD21" s="17">
        <f t="shared" si="13"/>
        <v>0</v>
      </c>
      <c r="AE21" s="31">
        <f t="shared" si="13"/>
        <v>758</v>
      </c>
      <c r="AF21" s="31">
        <f t="shared" si="13"/>
        <v>1828</v>
      </c>
    </row>
    <row r="22" spans="2:32" ht="23.1" customHeight="1" x14ac:dyDescent="0.25">
      <c r="B22" s="23" t="s">
        <v>49</v>
      </c>
      <c r="C22" s="50">
        <v>20</v>
      </c>
      <c r="D22" s="50">
        <v>4</v>
      </c>
      <c r="E22" s="50">
        <v>2</v>
      </c>
      <c r="F22" s="50">
        <v>40</v>
      </c>
      <c r="G22" s="50">
        <v>2</v>
      </c>
      <c r="H22" s="50">
        <v>2</v>
      </c>
      <c r="I22" s="50">
        <v>10</v>
      </c>
      <c r="J22" s="50">
        <v>0</v>
      </c>
      <c r="K22" s="50">
        <v>0</v>
      </c>
      <c r="L22" s="50">
        <v>0</v>
      </c>
      <c r="M22" s="50">
        <v>220</v>
      </c>
      <c r="N22" s="50">
        <v>0</v>
      </c>
      <c r="O22" s="15">
        <f t="shared" si="0"/>
        <v>80</v>
      </c>
      <c r="P22" s="15">
        <f t="shared" si="1"/>
        <v>300</v>
      </c>
      <c r="R22" s="38" t="s">
        <v>90</v>
      </c>
      <c r="S22" s="39">
        <f>MAX(S10:S12)</f>
        <v>98</v>
      </c>
      <c r="T22" s="39">
        <f t="shared" ref="T22:AF22" si="14">MAX(T10:T12)</f>
        <v>34</v>
      </c>
      <c r="U22" s="39">
        <f t="shared" si="14"/>
        <v>17</v>
      </c>
      <c r="V22" s="39">
        <f t="shared" si="14"/>
        <v>236</v>
      </c>
      <c r="W22" s="39">
        <f t="shared" si="14"/>
        <v>6</v>
      </c>
      <c r="X22" s="39">
        <f t="shared" si="14"/>
        <v>4</v>
      </c>
      <c r="Y22" s="39">
        <f t="shared" si="14"/>
        <v>42</v>
      </c>
      <c r="Z22" s="39">
        <f t="shared" si="14"/>
        <v>3</v>
      </c>
      <c r="AA22" s="39">
        <f t="shared" si="14"/>
        <v>4</v>
      </c>
      <c r="AB22" s="39">
        <f t="shared" si="14"/>
        <v>3</v>
      </c>
      <c r="AC22" s="39">
        <f t="shared" si="14"/>
        <v>1248</v>
      </c>
      <c r="AD22" s="39">
        <f t="shared" si="14"/>
        <v>0</v>
      </c>
      <c r="AE22" s="40">
        <f t="shared" si="14"/>
        <v>415</v>
      </c>
      <c r="AF22" s="40">
        <f t="shared" si="14"/>
        <v>1622</v>
      </c>
    </row>
    <row r="23" spans="2:32" ht="23.1" customHeight="1" x14ac:dyDescent="0.25">
      <c r="B23" s="23" t="s">
        <v>50</v>
      </c>
      <c r="C23" s="50">
        <v>28</v>
      </c>
      <c r="D23" s="50">
        <v>8</v>
      </c>
      <c r="E23" s="50">
        <v>6</v>
      </c>
      <c r="F23" s="50">
        <v>55</v>
      </c>
      <c r="G23" s="50">
        <v>1</v>
      </c>
      <c r="H23" s="50">
        <v>1</v>
      </c>
      <c r="I23" s="50">
        <v>7</v>
      </c>
      <c r="J23" s="50">
        <v>1</v>
      </c>
      <c r="K23" s="50">
        <v>1</v>
      </c>
      <c r="L23" s="50">
        <v>0</v>
      </c>
      <c r="M23" s="50">
        <v>250</v>
      </c>
      <c r="N23" s="50">
        <v>0</v>
      </c>
      <c r="O23" s="15">
        <f t="shared" si="0"/>
        <v>108</v>
      </c>
      <c r="P23" s="15">
        <f t="shared" si="1"/>
        <v>358</v>
      </c>
      <c r="R23" s="38" t="s">
        <v>91</v>
      </c>
      <c r="S23" s="39">
        <f>MAX(S13:S18)</f>
        <v>138</v>
      </c>
      <c r="T23" s="39">
        <f t="shared" ref="T23:AF23" si="15">MAX(T13:T18)</f>
        <v>73</v>
      </c>
      <c r="U23" s="39">
        <f t="shared" si="15"/>
        <v>41</v>
      </c>
      <c r="V23" s="39">
        <f t="shared" si="15"/>
        <v>170</v>
      </c>
      <c r="W23" s="39">
        <f t="shared" si="15"/>
        <v>17</v>
      </c>
      <c r="X23" s="39">
        <f t="shared" si="15"/>
        <v>6</v>
      </c>
      <c r="Y23" s="39">
        <f t="shared" si="15"/>
        <v>55</v>
      </c>
      <c r="Z23" s="39">
        <f t="shared" si="15"/>
        <v>7</v>
      </c>
      <c r="AA23" s="39">
        <f t="shared" si="15"/>
        <v>6</v>
      </c>
      <c r="AB23" s="39">
        <f t="shared" si="15"/>
        <v>3</v>
      </c>
      <c r="AC23" s="39">
        <f t="shared" si="15"/>
        <v>874</v>
      </c>
      <c r="AD23" s="39">
        <f t="shared" si="15"/>
        <v>0</v>
      </c>
      <c r="AE23" s="40">
        <f t="shared" si="15"/>
        <v>432</v>
      </c>
      <c r="AF23" s="40">
        <f t="shared" si="15"/>
        <v>1242</v>
      </c>
    </row>
    <row r="24" spans="2:32" ht="23.1" customHeight="1" x14ac:dyDescent="0.25">
      <c r="B24" s="23" t="s">
        <v>51</v>
      </c>
      <c r="C24" s="50">
        <v>20</v>
      </c>
      <c r="D24" s="50">
        <v>7</v>
      </c>
      <c r="E24" s="50">
        <v>7</v>
      </c>
      <c r="F24" s="50">
        <v>38</v>
      </c>
      <c r="G24" s="50">
        <v>0</v>
      </c>
      <c r="H24" s="50">
        <v>0</v>
      </c>
      <c r="I24" s="50">
        <v>9</v>
      </c>
      <c r="J24" s="50">
        <v>0</v>
      </c>
      <c r="K24" s="50">
        <v>0</v>
      </c>
      <c r="L24" s="50">
        <v>2</v>
      </c>
      <c r="M24" s="50">
        <v>200</v>
      </c>
      <c r="N24" s="50">
        <v>0</v>
      </c>
      <c r="O24" s="15">
        <f t="shared" si="0"/>
        <v>83</v>
      </c>
      <c r="P24" s="15">
        <f t="shared" si="1"/>
        <v>283</v>
      </c>
      <c r="R24" s="38" t="s">
        <v>92</v>
      </c>
      <c r="S24" s="39">
        <f>MAX(S19:S21)</f>
        <v>316</v>
      </c>
      <c r="T24" s="39">
        <f t="shared" ref="T24:AF24" si="16">MAX(T19:T21)</f>
        <v>148</v>
      </c>
      <c r="U24" s="39">
        <f t="shared" si="16"/>
        <v>20</v>
      </c>
      <c r="V24" s="39">
        <f t="shared" si="16"/>
        <v>218</v>
      </c>
      <c r="W24" s="39">
        <f t="shared" si="16"/>
        <v>6</v>
      </c>
      <c r="X24" s="39">
        <f t="shared" si="16"/>
        <v>5</v>
      </c>
      <c r="Y24" s="39">
        <f t="shared" si="16"/>
        <v>34</v>
      </c>
      <c r="Z24" s="39">
        <f t="shared" si="16"/>
        <v>8</v>
      </c>
      <c r="AA24" s="39">
        <f t="shared" si="16"/>
        <v>3</v>
      </c>
      <c r="AB24" s="39">
        <f t="shared" si="16"/>
        <v>2</v>
      </c>
      <c r="AC24" s="39">
        <f t="shared" si="16"/>
        <v>1070</v>
      </c>
      <c r="AD24" s="39">
        <f t="shared" si="16"/>
        <v>0</v>
      </c>
      <c r="AE24" s="40">
        <f t="shared" si="16"/>
        <v>758</v>
      </c>
      <c r="AF24" s="40">
        <f t="shared" si="16"/>
        <v>1828</v>
      </c>
    </row>
    <row r="25" spans="2:32" ht="23.1" customHeight="1" x14ac:dyDescent="0.25">
      <c r="B25" s="23" t="s">
        <v>52</v>
      </c>
      <c r="C25" s="50">
        <v>25</v>
      </c>
      <c r="D25" s="50">
        <v>14</v>
      </c>
      <c r="E25" s="50">
        <v>3</v>
      </c>
      <c r="F25" s="50">
        <v>37</v>
      </c>
      <c r="G25" s="50">
        <v>0</v>
      </c>
      <c r="H25" s="50">
        <v>0</v>
      </c>
      <c r="I25" s="50">
        <v>13</v>
      </c>
      <c r="J25" s="50">
        <v>3</v>
      </c>
      <c r="K25" s="50">
        <v>2</v>
      </c>
      <c r="L25" s="50">
        <v>0</v>
      </c>
      <c r="M25" s="50">
        <v>204</v>
      </c>
      <c r="N25" s="50">
        <v>0</v>
      </c>
      <c r="O25" s="15">
        <f t="shared" si="0"/>
        <v>97</v>
      </c>
      <c r="P25" s="15">
        <f t="shared" si="1"/>
        <v>301</v>
      </c>
      <c r="R25" s="37" t="s">
        <v>85</v>
      </c>
      <c r="S25" s="35">
        <f t="shared" ref="S25:AF25" si="17">SUM(S10:S12)</f>
        <v>256</v>
      </c>
      <c r="T25" s="16">
        <f t="shared" si="17"/>
        <v>75</v>
      </c>
      <c r="U25" s="16">
        <f t="shared" si="17"/>
        <v>38</v>
      </c>
      <c r="V25" s="16">
        <f t="shared" si="17"/>
        <v>687</v>
      </c>
      <c r="W25" s="16">
        <f t="shared" si="17"/>
        <v>14</v>
      </c>
      <c r="X25" s="16">
        <f t="shared" si="17"/>
        <v>5</v>
      </c>
      <c r="Y25" s="16">
        <f t="shared" si="17"/>
        <v>95</v>
      </c>
      <c r="Z25" s="16">
        <f t="shared" si="17"/>
        <v>6</v>
      </c>
      <c r="AA25" s="16">
        <f t="shared" si="17"/>
        <v>8</v>
      </c>
      <c r="AB25" s="16">
        <f t="shared" si="17"/>
        <v>4</v>
      </c>
      <c r="AC25" s="16">
        <f t="shared" si="17"/>
        <v>3056</v>
      </c>
      <c r="AD25" s="16">
        <f t="shared" si="17"/>
        <v>0</v>
      </c>
      <c r="AE25" s="32">
        <f t="shared" si="17"/>
        <v>1188</v>
      </c>
      <c r="AF25" s="32">
        <f t="shared" si="17"/>
        <v>4244</v>
      </c>
    </row>
    <row r="26" spans="2:32" ht="23.1" customHeight="1" x14ac:dyDescent="0.25">
      <c r="B26" s="23" t="s">
        <v>53</v>
      </c>
      <c r="C26" s="50">
        <v>30</v>
      </c>
      <c r="D26" s="50">
        <v>11</v>
      </c>
      <c r="E26" s="50">
        <v>8</v>
      </c>
      <c r="F26" s="50">
        <v>43</v>
      </c>
      <c r="G26" s="50">
        <v>0</v>
      </c>
      <c r="H26" s="50">
        <v>2</v>
      </c>
      <c r="I26" s="50">
        <v>14</v>
      </c>
      <c r="J26" s="50">
        <v>1</v>
      </c>
      <c r="K26" s="50">
        <v>0</v>
      </c>
      <c r="L26" s="50">
        <v>1</v>
      </c>
      <c r="M26" s="50">
        <v>210</v>
      </c>
      <c r="N26" s="50">
        <v>0</v>
      </c>
      <c r="O26" s="15">
        <f t="shared" si="0"/>
        <v>110</v>
      </c>
      <c r="P26" s="15">
        <f t="shared" si="1"/>
        <v>320</v>
      </c>
      <c r="R26" s="28" t="s">
        <v>86</v>
      </c>
      <c r="S26" s="16">
        <f t="shared" ref="S26:AF26" si="18">SUM(S13:S18)</f>
        <v>629</v>
      </c>
      <c r="T26" s="16">
        <f t="shared" si="18"/>
        <v>274</v>
      </c>
      <c r="U26" s="16">
        <f t="shared" si="18"/>
        <v>167</v>
      </c>
      <c r="V26" s="16">
        <f t="shared" si="18"/>
        <v>837</v>
      </c>
      <c r="W26" s="16">
        <f t="shared" si="18"/>
        <v>31</v>
      </c>
      <c r="X26" s="16">
        <f t="shared" si="18"/>
        <v>19</v>
      </c>
      <c r="Y26" s="16">
        <f t="shared" si="18"/>
        <v>220</v>
      </c>
      <c r="Z26" s="16">
        <f t="shared" si="18"/>
        <v>27</v>
      </c>
      <c r="AA26" s="16">
        <f t="shared" si="18"/>
        <v>20</v>
      </c>
      <c r="AB26" s="16">
        <f t="shared" si="18"/>
        <v>11</v>
      </c>
      <c r="AC26" s="16">
        <f t="shared" si="18"/>
        <v>4181</v>
      </c>
      <c r="AD26" s="16">
        <f t="shared" si="18"/>
        <v>0</v>
      </c>
      <c r="AE26" s="32">
        <f t="shared" si="18"/>
        <v>2235</v>
      </c>
      <c r="AF26" s="32">
        <f t="shared" si="18"/>
        <v>6416</v>
      </c>
    </row>
    <row r="27" spans="2:32" ht="23.1" customHeight="1" x14ac:dyDescent="0.25">
      <c r="B27" s="23" t="s">
        <v>54</v>
      </c>
      <c r="C27" s="50">
        <v>19</v>
      </c>
      <c r="D27" s="50">
        <v>10</v>
      </c>
      <c r="E27" s="50">
        <v>5</v>
      </c>
      <c r="F27" s="50">
        <v>36</v>
      </c>
      <c r="G27" s="50">
        <v>0</v>
      </c>
      <c r="H27" s="50">
        <v>0</v>
      </c>
      <c r="I27" s="50">
        <v>7</v>
      </c>
      <c r="J27" s="50">
        <v>1</v>
      </c>
      <c r="K27" s="50">
        <v>1</v>
      </c>
      <c r="L27" s="50">
        <v>0</v>
      </c>
      <c r="M27" s="50">
        <v>240</v>
      </c>
      <c r="N27" s="50">
        <v>0</v>
      </c>
      <c r="O27" s="15">
        <f t="shared" si="0"/>
        <v>79</v>
      </c>
      <c r="P27" s="15">
        <f t="shared" si="1"/>
        <v>319</v>
      </c>
      <c r="R27" s="29" t="s">
        <v>87</v>
      </c>
      <c r="S27" s="16">
        <f t="shared" ref="S27:AF27" si="19">SUM(S19:S21)</f>
        <v>722</v>
      </c>
      <c r="T27" s="16">
        <f t="shared" si="19"/>
        <v>269</v>
      </c>
      <c r="U27" s="16">
        <f t="shared" si="19"/>
        <v>53</v>
      </c>
      <c r="V27" s="16">
        <f t="shared" si="19"/>
        <v>507</v>
      </c>
      <c r="W27" s="16">
        <f t="shared" si="19"/>
        <v>15</v>
      </c>
      <c r="X27" s="16">
        <f t="shared" si="19"/>
        <v>10</v>
      </c>
      <c r="Y27" s="16">
        <f t="shared" si="19"/>
        <v>94</v>
      </c>
      <c r="Z27" s="16">
        <f t="shared" si="19"/>
        <v>14</v>
      </c>
      <c r="AA27" s="16">
        <f t="shared" si="19"/>
        <v>5</v>
      </c>
      <c r="AB27" s="16">
        <f t="shared" si="19"/>
        <v>4</v>
      </c>
      <c r="AC27" s="16">
        <f t="shared" si="19"/>
        <v>2248</v>
      </c>
      <c r="AD27" s="16">
        <f t="shared" si="19"/>
        <v>0</v>
      </c>
      <c r="AE27" s="32">
        <f t="shared" si="19"/>
        <v>1693</v>
      </c>
      <c r="AF27" s="32">
        <f t="shared" si="19"/>
        <v>3941</v>
      </c>
    </row>
    <row r="28" spans="2:32" ht="23.1" customHeight="1" x14ac:dyDescent="0.25">
      <c r="B28" s="23" t="s">
        <v>55</v>
      </c>
      <c r="C28" s="50">
        <v>28</v>
      </c>
      <c r="D28" s="50">
        <v>7</v>
      </c>
      <c r="E28" s="50">
        <v>6</v>
      </c>
      <c r="F28" s="50">
        <v>42</v>
      </c>
      <c r="G28" s="50">
        <v>1</v>
      </c>
      <c r="H28" s="50">
        <v>1</v>
      </c>
      <c r="I28" s="50">
        <v>7</v>
      </c>
      <c r="J28" s="50">
        <v>1</v>
      </c>
      <c r="K28" s="50">
        <v>0</v>
      </c>
      <c r="L28" s="50">
        <v>1</v>
      </c>
      <c r="M28" s="50">
        <v>220</v>
      </c>
      <c r="N28" s="50">
        <v>0</v>
      </c>
      <c r="O28" s="15">
        <f t="shared" si="0"/>
        <v>94</v>
      </c>
      <c r="P28" s="15">
        <f t="shared" si="1"/>
        <v>314</v>
      </c>
      <c r="R28" s="5" t="s">
        <v>17</v>
      </c>
      <c r="S28" s="16">
        <f t="shared" ref="S28:AF28" si="20">SUM(S10:S21)</f>
        <v>1607</v>
      </c>
      <c r="T28" s="16">
        <f t="shared" si="20"/>
        <v>618</v>
      </c>
      <c r="U28" s="16">
        <f t="shared" si="20"/>
        <v>258</v>
      </c>
      <c r="V28" s="16">
        <f t="shared" si="20"/>
        <v>2031</v>
      </c>
      <c r="W28" s="16">
        <f t="shared" si="20"/>
        <v>60</v>
      </c>
      <c r="X28" s="16">
        <f t="shared" si="20"/>
        <v>34</v>
      </c>
      <c r="Y28" s="16">
        <f t="shared" si="20"/>
        <v>409</v>
      </c>
      <c r="Z28" s="16">
        <f t="shared" si="20"/>
        <v>47</v>
      </c>
      <c r="AA28" s="16">
        <f t="shared" si="20"/>
        <v>33</v>
      </c>
      <c r="AB28" s="16">
        <f t="shared" si="20"/>
        <v>19</v>
      </c>
      <c r="AC28" s="16">
        <f t="shared" si="20"/>
        <v>9485</v>
      </c>
      <c r="AD28" s="16">
        <f t="shared" si="20"/>
        <v>0</v>
      </c>
      <c r="AE28" s="32">
        <f t="shared" si="20"/>
        <v>5116</v>
      </c>
      <c r="AF28" s="32">
        <f t="shared" si="20"/>
        <v>14601</v>
      </c>
    </row>
    <row r="29" spans="2:32" ht="23.1" customHeight="1" x14ac:dyDescent="0.25">
      <c r="B29" s="23" t="s">
        <v>56</v>
      </c>
      <c r="C29" s="50">
        <v>25</v>
      </c>
      <c r="D29" s="50">
        <v>6</v>
      </c>
      <c r="E29" s="50">
        <v>6</v>
      </c>
      <c r="F29" s="50">
        <v>26</v>
      </c>
      <c r="G29" s="50">
        <v>0</v>
      </c>
      <c r="H29" s="50">
        <v>3</v>
      </c>
      <c r="I29" s="50">
        <v>5</v>
      </c>
      <c r="J29" s="50">
        <v>0</v>
      </c>
      <c r="K29" s="50">
        <v>0</v>
      </c>
      <c r="L29" s="50">
        <v>0</v>
      </c>
      <c r="M29" s="50">
        <v>190</v>
      </c>
      <c r="N29" s="50">
        <v>0</v>
      </c>
      <c r="O29" s="15">
        <f t="shared" si="0"/>
        <v>71</v>
      </c>
      <c r="P29" s="15">
        <f t="shared" si="1"/>
        <v>261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10</v>
      </c>
      <c r="E30" s="50">
        <v>6</v>
      </c>
      <c r="F30" s="50">
        <v>39</v>
      </c>
      <c r="G30" s="50">
        <v>1</v>
      </c>
      <c r="H30" s="50">
        <v>1</v>
      </c>
      <c r="I30" s="50">
        <v>13</v>
      </c>
      <c r="J30" s="50">
        <v>4</v>
      </c>
      <c r="K30" s="50">
        <v>1</v>
      </c>
      <c r="L30" s="50">
        <v>2</v>
      </c>
      <c r="M30" s="50">
        <v>150</v>
      </c>
      <c r="N30" s="50">
        <v>0</v>
      </c>
      <c r="O30" s="15">
        <f t="shared" si="0"/>
        <v>103</v>
      </c>
      <c r="P30" s="15">
        <f t="shared" si="1"/>
        <v>253</v>
      </c>
    </row>
    <row r="31" spans="2:32" ht="23.1" customHeight="1" x14ac:dyDescent="0.25">
      <c r="B31" s="24" t="s">
        <v>58</v>
      </c>
      <c r="C31" s="50">
        <v>30</v>
      </c>
      <c r="D31" s="50">
        <v>8</v>
      </c>
      <c r="E31" s="50">
        <v>3</v>
      </c>
      <c r="F31" s="50">
        <v>30</v>
      </c>
      <c r="G31" s="50">
        <v>0</v>
      </c>
      <c r="H31" s="50">
        <v>0</v>
      </c>
      <c r="I31" s="50">
        <v>4</v>
      </c>
      <c r="J31" s="50">
        <v>0</v>
      </c>
      <c r="K31" s="50">
        <v>2</v>
      </c>
      <c r="L31" s="50">
        <v>0</v>
      </c>
      <c r="M31" s="50">
        <v>178</v>
      </c>
      <c r="N31" s="50">
        <v>0</v>
      </c>
      <c r="O31" s="15">
        <f t="shared" si="0"/>
        <v>77</v>
      </c>
      <c r="P31" s="15">
        <f t="shared" si="1"/>
        <v>255</v>
      </c>
    </row>
    <row r="32" spans="2:32" ht="23.1" customHeight="1" x14ac:dyDescent="0.25">
      <c r="B32" s="24" t="s">
        <v>59</v>
      </c>
      <c r="C32" s="50">
        <v>27</v>
      </c>
      <c r="D32" s="50">
        <v>12</v>
      </c>
      <c r="E32" s="50">
        <v>7</v>
      </c>
      <c r="F32" s="50">
        <v>39</v>
      </c>
      <c r="G32" s="50">
        <v>2</v>
      </c>
      <c r="H32" s="50">
        <v>2</v>
      </c>
      <c r="I32" s="50">
        <v>7</v>
      </c>
      <c r="J32" s="50">
        <v>0</v>
      </c>
      <c r="K32" s="50">
        <v>0</v>
      </c>
      <c r="L32" s="50">
        <v>1</v>
      </c>
      <c r="M32" s="50">
        <v>190</v>
      </c>
      <c r="N32" s="50">
        <v>0</v>
      </c>
      <c r="O32" s="15">
        <f t="shared" si="0"/>
        <v>97</v>
      </c>
      <c r="P32" s="15">
        <f t="shared" si="1"/>
        <v>287</v>
      </c>
    </row>
    <row r="33" spans="2:20" ht="23.1" customHeight="1" x14ac:dyDescent="0.25">
      <c r="B33" s="23" t="s">
        <v>60</v>
      </c>
      <c r="C33" s="50">
        <v>22</v>
      </c>
      <c r="D33" s="50">
        <v>7</v>
      </c>
      <c r="E33" s="50">
        <v>4</v>
      </c>
      <c r="F33" s="50">
        <v>24</v>
      </c>
      <c r="G33" s="50">
        <v>14</v>
      </c>
      <c r="H33" s="50">
        <v>0</v>
      </c>
      <c r="I33" s="50">
        <v>15</v>
      </c>
      <c r="J33" s="50">
        <v>0</v>
      </c>
      <c r="K33" s="50">
        <v>1</v>
      </c>
      <c r="L33" s="50">
        <v>0</v>
      </c>
      <c r="M33" s="50">
        <v>210</v>
      </c>
      <c r="N33" s="50">
        <v>0</v>
      </c>
      <c r="O33" s="15">
        <f t="shared" si="0"/>
        <v>87</v>
      </c>
      <c r="P33" s="15">
        <f t="shared" si="1"/>
        <v>297</v>
      </c>
    </row>
    <row r="34" spans="2:20" ht="23.1" customHeight="1" x14ac:dyDescent="0.25">
      <c r="B34" s="24" t="s">
        <v>61</v>
      </c>
      <c r="C34" s="50">
        <v>28</v>
      </c>
      <c r="D34" s="50">
        <v>13</v>
      </c>
      <c r="E34" s="50">
        <v>3</v>
      </c>
      <c r="F34" s="50">
        <v>45</v>
      </c>
      <c r="G34" s="50">
        <v>0</v>
      </c>
      <c r="H34" s="50">
        <v>1</v>
      </c>
      <c r="I34" s="50">
        <v>11</v>
      </c>
      <c r="J34" s="50">
        <v>1</v>
      </c>
      <c r="K34" s="50">
        <v>1</v>
      </c>
      <c r="L34" s="50">
        <v>1</v>
      </c>
      <c r="M34" s="50">
        <v>130</v>
      </c>
      <c r="N34" s="50">
        <v>0</v>
      </c>
      <c r="O34" s="15">
        <f t="shared" si="0"/>
        <v>104</v>
      </c>
      <c r="P34" s="15">
        <f t="shared" si="1"/>
        <v>234</v>
      </c>
    </row>
    <row r="35" spans="2:20" ht="23.1" customHeight="1" x14ac:dyDescent="0.25">
      <c r="B35" s="24" t="s">
        <v>62</v>
      </c>
      <c r="C35" s="50">
        <v>11</v>
      </c>
      <c r="D35" s="50">
        <v>3</v>
      </c>
      <c r="E35" s="50">
        <v>3</v>
      </c>
      <c r="F35" s="50">
        <v>30</v>
      </c>
      <c r="G35" s="50">
        <v>1</v>
      </c>
      <c r="H35" s="50">
        <v>0</v>
      </c>
      <c r="I35" s="50">
        <v>6</v>
      </c>
      <c r="J35" s="50">
        <v>1</v>
      </c>
      <c r="K35" s="50">
        <v>0</v>
      </c>
      <c r="L35" s="50">
        <v>0</v>
      </c>
      <c r="M35" s="50">
        <v>150</v>
      </c>
      <c r="N35" s="50">
        <v>0</v>
      </c>
      <c r="O35" s="15">
        <f t="shared" si="0"/>
        <v>55</v>
      </c>
      <c r="P35" s="15">
        <f t="shared" si="1"/>
        <v>205</v>
      </c>
    </row>
    <row r="36" spans="2:20" ht="23.1" customHeight="1" x14ac:dyDescent="0.25">
      <c r="B36" s="24" t="s">
        <v>63</v>
      </c>
      <c r="C36" s="50">
        <v>22</v>
      </c>
      <c r="D36" s="50">
        <v>5</v>
      </c>
      <c r="E36" s="50">
        <v>4</v>
      </c>
      <c r="F36" s="50">
        <v>24</v>
      </c>
      <c r="G36" s="50">
        <v>2</v>
      </c>
      <c r="H36" s="50">
        <v>0</v>
      </c>
      <c r="I36" s="50">
        <v>9</v>
      </c>
      <c r="J36" s="50">
        <v>0</v>
      </c>
      <c r="K36" s="50">
        <v>3</v>
      </c>
      <c r="L36" s="50">
        <v>0</v>
      </c>
      <c r="M36" s="50">
        <v>145</v>
      </c>
      <c r="N36" s="50">
        <v>0</v>
      </c>
      <c r="O36" s="15">
        <f t="shared" si="0"/>
        <v>69</v>
      </c>
      <c r="P36" s="15">
        <f t="shared" si="1"/>
        <v>214</v>
      </c>
    </row>
    <row r="37" spans="2:20" ht="23.1" customHeight="1" x14ac:dyDescent="0.25">
      <c r="B37" s="23" t="s">
        <v>64</v>
      </c>
      <c r="C37" s="50">
        <v>36</v>
      </c>
      <c r="D37" s="50">
        <v>16</v>
      </c>
      <c r="E37" s="50">
        <v>20</v>
      </c>
      <c r="F37" s="50">
        <v>10</v>
      </c>
      <c r="G37" s="50">
        <v>0</v>
      </c>
      <c r="H37" s="50">
        <v>0</v>
      </c>
      <c r="I37" s="50">
        <v>3</v>
      </c>
      <c r="J37" s="50">
        <v>1</v>
      </c>
      <c r="K37" s="50">
        <v>2</v>
      </c>
      <c r="L37" s="50">
        <v>0</v>
      </c>
      <c r="M37" s="50">
        <v>160</v>
      </c>
      <c r="N37" s="50">
        <v>0</v>
      </c>
      <c r="O37" s="15">
        <f t="shared" si="0"/>
        <v>88</v>
      </c>
      <c r="P37" s="15">
        <f t="shared" si="1"/>
        <v>248</v>
      </c>
    </row>
    <row r="38" spans="2:20" ht="23.1" customHeight="1" x14ac:dyDescent="0.25">
      <c r="B38" s="24" t="s">
        <v>65</v>
      </c>
      <c r="C38" s="50">
        <v>22</v>
      </c>
      <c r="D38" s="50">
        <v>7</v>
      </c>
      <c r="E38" s="50">
        <v>5</v>
      </c>
      <c r="F38" s="50">
        <v>30</v>
      </c>
      <c r="G38" s="50">
        <v>2</v>
      </c>
      <c r="H38" s="50">
        <v>1</v>
      </c>
      <c r="I38" s="50">
        <v>10</v>
      </c>
      <c r="J38" s="50">
        <v>3</v>
      </c>
      <c r="K38" s="50">
        <v>2</v>
      </c>
      <c r="L38" s="50">
        <v>0</v>
      </c>
      <c r="M38" s="50">
        <v>153</v>
      </c>
      <c r="N38" s="50">
        <v>0</v>
      </c>
      <c r="O38" s="15">
        <f t="shared" si="0"/>
        <v>82</v>
      </c>
      <c r="P38" s="15">
        <f t="shared" si="1"/>
        <v>235</v>
      </c>
    </row>
    <row r="39" spans="2:20" ht="23.1" customHeight="1" x14ac:dyDescent="0.25">
      <c r="B39" s="24" t="s">
        <v>66</v>
      </c>
      <c r="C39" s="50">
        <v>22</v>
      </c>
      <c r="D39" s="50">
        <v>15</v>
      </c>
      <c r="E39" s="50">
        <v>10</v>
      </c>
      <c r="F39" s="50">
        <v>42</v>
      </c>
      <c r="G39" s="50">
        <v>0</v>
      </c>
      <c r="H39" s="50">
        <v>0</v>
      </c>
      <c r="I39" s="50">
        <v>26</v>
      </c>
      <c r="J39" s="50">
        <v>2</v>
      </c>
      <c r="K39" s="50">
        <v>1</v>
      </c>
      <c r="L39" s="50">
        <v>0</v>
      </c>
      <c r="M39" s="50">
        <v>140</v>
      </c>
      <c r="N39" s="50">
        <v>0</v>
      </c>
      <c r="O39" s="15">
        <f t="shared" si="0"/>
        <v>118</v>
      </c>
      <c r="P39" s="15">
        <f t="shared" si="1"/>
        <v>258</v>
      </c>
    </row>
    <row r="40" spans="2:20" ht="23.1" customHeight="1" x14ac:dyDescent="0.25">
      <c r="B40" s="24" t="s">
        <v>67</v>
      </c>
      <c r="C40" s="50">
        <v>34</v>
      </c>
      <c r="D40" s="50">
        <v>24</v>
      </c>
      <c r="E40" s="50">
        <v>18</v>
      </c>
      <c r="F40" s="50">
        <v>48</v>
      </c>
      <c r="G40" s="50">
        <v>1</v>
      </c>
      <c r="H40" s="50">
        <v>1</v>
      </c>
      <c r="I40" s="50">
        <v>10</v>
      </c>
      <c r="J40" s="50">
        <v>1</v>
      </c>
      <c r="K40" s="50">
        <v>1</v>
      </c>
      <c r="L40" s="50">
        <v>0</v>
      </c>
      <c r="M40" s="50">
        <v>130</v>
      </c>
      <c r="N40" s="50">
        <v>0</v>
      </c>
      <c r="O40" s="15">
        <f t="shared" si="0"/>
        <v>138</v>
      </c>
      <c r="P40" s="15">
        <f t="shared" si="1"/>
        <v>268</v>
      </c>
    </row>
    <row r="41" spans="2:20" ht="23.1" customHeight="1" x14ac:dyDescent="0.25">
      <c r="B41" s="23" t="s">
        <v>68</v>
      </c>
      <c r="C41" s="50">
        <v>16</v>
      </c>
      <c r="D41" s="50">
        <v>14</v>
      </c>
      <c r="E41" s="50">
        <v>8</v>
      </c>
      <c r="F41" s="50">
        <v>12</v>
      </c>
      <c r="G41" s="50">
        <v>0</v>
      </c>
      <c r="H41" s="50">
        <v>1</v>
      </c>
      <c r="I41" s="50">
        <v>9</v>
      </c>
      <c r="J41" s="50">
        <v>1</v>
      </c>
      <c r="K41" s="50">
        <v>1</v>
      </c>
      <c r="L41" s="50">
        <v>1</v>
      </c>
      <c r="M41" s="50">
        <v>120</v>
      </c>
      <c r="N41" s="50">
        <v>0</v>
      </c>
      <c r="O41" s="15">
        <f t="shared" si="0"/>
        <v>63</v>
      </c>
      <c r="P41" s="15">
        <f t="shared" si="1"/>
        <v>183</v>
      </c>
    </row>
    <row r="42" spans="2:20" ht="23.1" customHeight="1" x14ac:dyDescent="0.25">
      <c r="B42" s="24" t="s">
        <v>69</v>
      </c>
      <c r="C42" s="50">
        <v>35</v>
      </c>
      <c r="D42" s="50">
        <v>18</v>
      </c>
      <c r="E42" s="50">
        <v>13</v>
      </c>
      <c r="F42" s="50">
        <v>42</v>
      </c>
      <c r="G42" s="50">
        <v>3</v>
      </c>
      <c r="H42" s="50">
        <v>1</v>
      </c>
      <c r="I42" s="50">
        <v>17</v>
      </c>
      <c r="J42" s="50">
        <v>3</v>
      </c>
      <c r="K42" s="50">
        <v>1</v>
      </c>
      <c r="L42" s="50">
        <v>1</v>
      </c>
      <c r="M42" s="50">
        <v>121</v>
      </c>
      <c r="N42" s="50">
        <v>0</v>
      </c>
      <c r="O42" s="15">
        <f t="shared" si="0"/>
        <v>134</v>
      </c>
      <c r="P42" s="15">
        <f t="shared" si="1"/>
        <v>255</v>
      </c>
    </row>
    <row r="43" spans="2:20" ht="23.1" customHeight="1" x14ac:dyDescent="0.25">
      <c r="B43" s="23" t="s">
        <v>70</v>
      </c>
      <c r="C43" s="50">
        <v>19</v>
      </c>
      <c r="D43" s="50">
        <v>13</v>
      </c>
      <c r="E43" s="50">
        <v>4</v>
      </c>
      <c r="F43" s="50">
        <v>30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135</v>
      </c>
      <c r="N43" s="50">
        <v>0</v>
      </c>
      <c r="O43" s="15">
        <f t="shared" si="0"/>
        <v>69</v>
      </c>
      <c r="P43" s="15">
        <f t="shared" si="1"/>
        <v>204</v>
      </c>
    </row>
    <row r="44" spans="2:20" ht="23.1" customHeight="1" x14ac:dyDescent="0.25">
      <c r="B44" s="25" t="s">
        <v>71</v>
      </c>
      <c r="C44" s="50">
        <v>41</v>
      </c>
      <c r="D44" s="50">
        <v>22</v>
      </c>
      <c r="E44" s="50">
        <v>7</v>
      </c>
      <c r="F44" s="50">
        <v>30</v>
      </c>
      <c r="G44" s="50">
        <v>1</v>
      </c>
      <c r="H44" s="50">
        <v>0</v>
      </c>
      <c r="I44" s="50">
        <v>6</v>
      </c>
      <c r="J44" s="50">
        <v>2</v>
      </c>
      <c r="K44" s="50">
        <v>0</v>
      </c>
      <c r="L44" s="50">
        <v>0</v>
      </c>
      <c r="M44" s="50">
        <v>170</v>
      </c>
      <c r="N44" s="50">
        <v>0</v>
      </c>
      <c r="O44" s="15">
        <f t="shared" si="0"/>
        <v>109</v>
      </c>
      <c r="P44" s="15">
        <f t="shared" si="1"/>
        <v>279</v>
      </c>
    </row>
    <row r="45" spans="2:20" ht="23.1" customHeight="1" x14ac:dyDescent="0.25">
      <c r="B45" s="23" t="s">
        <v>72</v>
      </c>
      <c r="C45" s="50">
        <v>43</v>
      </c>
      <c r="D45" s="50">
        <v>20</v>
      </c>
      <c r="E45" s="50">
        <v>9</v>
      </c>
      <c r="F45" s="50">
        <v>45</v>
      </c>
      <c r="G45" s="50">
        <v>0</v>
      </c>
      <c r="H45" s="50">
        <v>2</v>
      </c>
      <c r="I45" s="50">
        <v>0</v>
      </c>
      <c r="J45" s="50">
        <v>0</v>
      </c>
      <c r="K45" s="50">
        <v>0</v>
      </c>
      <c r="L45" s="50">
        <v>1</v>
      </c>
      <c r="M45" s="50">
        <v>165</v>
      </c>
      <c r="N45" s="50">
        <v>0</v>
      </c>
      <c r="O45" s="15">
        <f t="shared" si="0"/>
        <v>120</v>
      </c>
      <c r="P45" s="15">
        <f t="shared" si="1"/>
        <v>285</v>
      </c>
    </row>
    <row r="46" spans="2:20" ht="23.1" customHeight="1" x14ac:dyDescent="0.25">
      <c r="B46" s="24" t="s">
        <v>73</v>
      </c>
      <c r="C46" s="50">
        <v>45</v>
      </c>
      <c r="D46" s="50">
        <v>11</v>
      </c>
      <c r="E46" s="50">
        <v>0</v>
      </c>
      <c r="F46" s="50">
        <v>60</v>
      </c>
      <c r="G46" s="50">
        <v>0</v>
      </c>
      <c r="H46" s="50">
        <v>0</v>
      </c>
      <c r="I46" s="50">
        <v>10</v>
      </c>
      <c r="J46" s="50">
        <v>0</v>
      </c>
      <c r="K46" s="50">
        <v>0</v>
      </c>
      <c r="L46" s="50">
        <v>0</v>
      </c>
      <c r="M46" s="50">
        <v>155</v>
      </c>
      <c r="N46" s="50">
        <v>0</v>
      </c>
      <c r="O46" s="15">
        <f t="shared" si="0"/>
        <v>126</v>
      </c>
      <c r="P46" s="15">
        <f t="shared" si="1"/>
        <v>281</v>
      </c>
      <c r="R46" s="8"/>
      <c r="T46"/>
    </row>
    <row r="47" spans="2:20" ht="23.1" customHeight="1" x14ac:dyDescent="0.25">
      <c r="B47" s="24" t="s">
        <v>74</v>
      </c>
      <c r="C47" s="50">
        <v>37</v>
      </c>
      <c r="D47" s="50">
        <v>19</v>
      </c>
      <c r="E47" s="50">
        <v>2</v>
      </c>
      <c r="F47" s="50">
        <v>30</v>
      </c>
      <c r="G47" s="50">
        <v>1</v>
      </c>
      <c r="H47" s="50">
        <v>0</v>
      </c>
      <c r="I47" s="50">
        <v>4</v>
      </c>
      <c r="J47" s="50">
        <v>2</v>
      </c>
      <c r="K47" s="50">
        <v>0</v>
      </c>
      <c r="L47" s="50">
        <v>1</v>
      </c>
      <c r="M47" s="50">
        <v>150</v>
      </c>
      <c r="N47" s="50">
        <v>0</v>
      </c>
      <c r="O47" s="15">
        <f t="shared" si="0"/>
        <v>96</v>
      </c>
      <c r="P47" s="15">
        <f t="shared" si="1"/>
        <v>246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15</v>
      </c>
      <c r="E48" s="50">
        <v>5</v>
      </c>
      <c r="F48" s="50">
        <v>35</v>
      </c>
      <c r="G48" s="50">
        <v>1</v>
      </c>
      <c r="H48" s="50">
        <v>0</v>
      </c>
      <c r="I48" s="50">
        <v>7</v>
      </c>
      <c r="J48" s="50">
        <v>0</v>
      </c>
      <c r="K48" s="50">
        <v>0</v>
      </c>
      <c r="L48" s="50">
        <v>0</v>
      </c>
      <c r="M48" s="50">
        <v>130</v>
      </c>
      <c r="N48" s="50">
        <v>0</v>
      </c>
      <c r="O48" s="15">
        <f t="shared" si="0"/>
        <v>93</v>
      </c>
      <c r="P48" s="15">
        <f t="shared" si="1"/>
        <v>223</v>
      </c>
      <c r="R48" s="8"/>
      <c r="T48"/>
    </row>
    <row r="49" spans="2:20" ht="23.1" customHeight="1" x14ac:dyDescent="0.25">
      <c r="B49" s="23" t="s">
        <v>76</v>
      </c>
      <c r="C49" s="50">
        <v>43</v>
      </c>
      <c r="D49" s="50">
        <v>26</v>
      </c>
      <c r="E49" s="50">
        <v>7</v>
      </c>
      <c r="F49" s="50">
        <v>45</v>
      </c>
      <c r="G49" s="50">
        <v>2</v>
      </c>
      <c r="H49" s="50">
        <v>1</v>
      </c>
      <c r="I49" s="50">
        <v>8</v>
      </c>
      <c r="J49" s="50">
        <v>0</v>
      </c>
      <c r="K49" s="50">
        <v>3</v>
      </c>
      <c r="L49" s="50">
        <v>0</v>
      </c>
      <c r="M49" s="50">
        <v>160</v>
      </c>
      <c r="N49" s="50">
        <v>0</v>
      </c>
      <c r="O49" s="15">
        <f t="shared" si="0"/>
        <v>135</v>
      </c>
      <c r="P49" s="15">
        <f t="shared" si="1"/>
        <v>295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23</v>
      </c>
      <c r="E50" s="50">
        <v>6</v>
      </c>
      <c r="F50" s="50">
        <v>35</v>
      </c>
      <c r="G50" s="50">
        <v>2</v>
      </c>
      <c r="H50" s="50">
        <v>1</v>
      </c>
      <c r="I50" s="50">
        <v>10</v>
      </c>
      <c r="J50" s="50">
        <v>0</v>
      </c>
      <c r="K50" s="50">
        <v>0</v>
      </c>
      <c r="L50" s="50">
        <v>1</v>
      </c>
      <c r="M50" s="50">
        <v>190</v>
      </c>
      <c r="N50" s="50">
        <v>0</v>
      </c>
      <c r="O50" s="15">
        <f t="shared" si="0"/>
        <v>123</v>
      </c>
      <c r="P50" s="15">
        <f t="shared" si="1"/>
        <v>313</v>
      </c>
      <c r="R50" s="8"/>
      <c r="T50"/>
    </row>
    <row r="51" spans="2:20" ht="23.1" customHeight="1" x14ac:dyDescent="0.25">
      <c r="B51" s="24" t="s">
        <v>78</v>
      </c>
      <c r="C51" s="50">
        <v>51</v>
      </c>
      <c r="D51" s="50">
        <v>5</v>
      </c>
      <c r="E51" s="50">
        <v>0</v>
      </c>
      <c r="F51" s="50">
        <v>28</v>
      </c>
      <c r="G51" s="50">
        <v>1</v>
      </c>
      <c r="H51" s="50">
        <v>2</v>
      </c>
      <c r="I51" s="50">
        <v>8</v>
      </c>
      <c r="J51" s="50">
        <v>0</v>
      </c>
      <c r="K51" s="50">
        <v>0</v>
      </c>
      <c r="L51" s="50">
        <v>0</v>
      </c>
      <c r="M51" s="50">
        <v>105</v>
      </c>
      <c r="N51" s="50">
        <v>0</v>
      </c>
      <c r="O51" s="15">
        <f t="shared" si="0"/>
        <v>95</v>
      </c>
      <c r="P51" s="15">
        <f t="shared" si="1"/>
        <v>200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9</v>
      </c>
      <c r="E52" s="50">
        <v>3</v>
      </c>
      <c r="F52" s="50">
        <v>25</v>
      </c>
      <c r="G52" s="50">
        <v>1</v>
      </c>
      <c r="H52" s="50">
        <v>1</v>
      </c>
      <c r="I52" s="50">
        <v>7</v>
      </c>
      <c r="J52" s="50">
        <v>2</v>
      </c>
      <c r="K52" s="50">
        <v>0</v>
      </c>
      <c r="L52" s="50">
        <v>0</v>
      </c>
      <c r="M52" s="50">
        <v>167</v>
      </c>
      <c r="N52" s="50">
        <v>0</v>
      </c>
      <c r="O52" s="15">
        <f t="shared" si="0"/>
        <v>128</v>
      </c>
      <c r="P52" s="15">
        <f t="shared" si="1"/>
        <v>295</v>
      </c>
      <c r="R52" s="8"/>
      <c r="T52"/>
    </row>
    <row r="53" spans="2:20" ht="23.1" customHeight="1" x14ac:dyDescent="0.25">
      <c r="B53" s="23" t="s">
        <v>80</v>
      </c>
      <c r="C53" s="50">
        <v>75</v>
      </c>
      <c r="D53" s="50">
        <v>13</v>
      </c>
      <c r="E53" s="50">
        <v>10</v>
      </c>
      <c r="F53" s="50">
        <v>31</v>
      </c>
      <c r="G53" s="50">
        <v>1</v>
      </c>
      <c r="H53" s="50">
        <v>0</v>
      </c>
      <c r="I53" s="50">
        <v>6</v>
      </c>
      <c r="J53" s="50">
        <v>2</v>
      </c>
      <c r="K53" s="50">
        <v>0</v>
      </c>
      <c r="L53" s="50">
        <v>1</v>
      </c>
      <c r="M53" s="50">
        <v>121</v>
      </c>
      <c r="N53" s="50">
        <v>0</v>
      </c>
      <c r="O53" s="15">
        <f t="shared" si="0"/>
        <v>139</v>
      </c>
      <c r="P53" s="15">
        <f t="shared" si="1"/>
        <v>260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21</v>
      </c>
      <c r="E54" s="50">
        <v>3</v>
      </c>
      <c r="F54" s="50">
        <v>33</v>
      </c>
      <c r="G54" s="50">
        <v>1</v>
      </c>
      <c r="H54" s="50">
        <v>0</v>
      </c>
      <c r="I54" s="50">
        <v>13</v>
      </c>
      <c r="J54" s="50">
        <v>0</v>
      </c>
      <c r="K54" s="50">
        <v>1</v>
      </c>
      <c r="L54" s="50">
        <v>0</v>
      </c>
      <c r="M54" s="50">
        <v>215</v>
      </c>
      <c r="N54" s="50">
        <v>0</v>
      </c>
      <c r="O54" s="15">
        <f t="shared" si="0"/>
        <v>132</v>
      </c>
      <c r="P54" s="15">
        <f t="shared" si="1"/>
        <v>347</v>
      </c>
      <c r="R54" s="8"/>
      <c r="T54"/>
    </row>
    <row r="55" spans="2:20" ht="23.1" customHeight="1" x14ac:dyDescent="0.25">
      <c r="B55" s="23" t="s">
        <v>82</v>
      </c>
      <c r="C55" s="50">
        <v>75</v>
      </c>
      <c r="D55" s="50">
        <v>35</v>
      </c>
      <c r="E55" s="50">
        <v>4</v>
      </c>
      <c r="F55" s="50">
        <v>55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295</v>
      </c>
      <c r="N55" s="50">
        <v>0</v>
      </c>
      <c r="O55" s="15">
        <f t="shared" si="0"/>
        <v>172</v>
      </c>
      <c r="P55" s="15">
        <f t="shared" si="1"/>
        <v>467</v>
      </c>
      <c r="R55" s="8"/>
      <c r="T55"/>
    </row>
    <row r="56" spans="2:20" ht="23.1" customHeight="1" x14ac:dyDescent="0.25">
      <c r="B56" s="23" t="s">
        <v>83</v>
      </c>
      <c r="C56" s="50">
        <v>96</v>
      </c>
      <c r="D56" s="50">
        <v>42</v>
      </c>
      <c r="E56" s="50">
        <v>4</v>
      </c>
      <c r="F56" s="50">
        <v>60</v>
      </c>
      <c r="G56" s="50">
        <v>1</v>
      </c>
      <c r="H56" s="50">
        <v>2</v>
      </c>
      <c r="I56" s="50">
        <v>11</v>
      </c>
      <c r="J56" s="50">
        <v>4</v>
      </c>
      <c r="K56" s="50">
        <v>1</v>
      </c>
      <c r="L56" s="50">
        <v>0</v>
      </c>
      <c r="M56" s="50">
        <v>250</v>
      </c>
      <c r="N56" s="50">
        <v>0</v>
      </c>
      <c r="O56" s="15">
        <f t="shared" si="0"/>
        <v>221</v>
      </c>
      <c r="P56" s="15">
        <f t="shared" si="1"/>
        <v>471</v>
      </c>
      <c r="R56" s="8"/>
      <c r="T56"/>
    </row>
    <row r="57" spans="2:20" ht="23.1" customHeight="1" x14ac:dyDescent="0.25">
      <c r="B57" s="23" t="s">
        <v>84</v>
      </c>
      <c r="C57" s="50">
        <v>85</v>
      </c>
      <c r="D57" s="50">
        <v>50</v>
      </c>
      <c r="E57" s="50">
        <v>9</v>
      </c>
      <c r="F57" s="50">
        <v>70</v>
      </c>
      <c r="G57" s="50">
        <v>4</v>
      </c>
      <c r="H57" s="50">
        <v>3</v>
      </c>
      <c r="I57" s="50">
        <v>8</v>
      </c>
      <c r="J57" s="50">
        <v>3</v>
      </c>
      <c r="K57" s="50">
        <v>0</v>
      </c>
      <c r="L57" s="50">
        <v>1</v>
      </c>
      <c r="M57" s="50">
        <v>310</v>
      </c>
      <c r="N57" s="50">
        <v>0</v>
      </c>
      <c r="O57" s="15">
        <f t="shared" si="0"/>
        <v>233</v>
      </c>
      <c r="P57" s="15">
        <f t="shared" si="1"/>
        <v>543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1607</v>
      </c>
      <c r="D58" s="16">
        <f t="shared" si="21"/>
        <v>618</v>
      </c>
      <c r="E58" s="16">
        <f t="shared" si="21"/>
        <v>258</v>
      </c>
      <c r="F58" s="16">
        <f t="shared" si="21"/>
        <v>2031</v>
      </c>
      <c r="G58" s="16">
        <f t="shared" si="21"/>
        <v>60</v>
      </c>
      <c r="H58" s="16">
        <f t="shared" si="21"/>
        <v>34</v>
      </c>
      <c r="I58" s="16">
        <f t="shared" si="21"/>
        <v>409</v>
      </c>
      <c r="J58" s="16">
        <f t="shared" si="21"/>
        <v>47</v>
      </c>
      <c r="K58" s="16">
        <f t="shared" si="21"/>
        <v>33</v>
      </c>
      <c r="L58" s="16">
        <f t="shared" si="21"/>
        <v>19</v>
      </c>
      <c r="M58" s="16">
        <f t="shared" si="21"/>
        <v>9485</v>
      </c>
      <c r="N58" s="16">
        <f t="shared" si="21"/>
        <v>0</v>
      </c>
      <c r="O58" s="16">
        <f t="shared" si="21"/>
        <v>5116</v>
      </c>
      <c r="P58" s="16">
        <f t="shared" si="21"/>
        <v>14601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0.11006095472912814</v>
      </c>
      <c r="D59" s="43">
        <f t="shared" si="22"/>
        <v>4.2325868091226626E-2</v>
      </c>
      <c r="E59" s="43">
        <f t="shared" si="22"/>
        <v>1.7670022601191698E-2</v>
      </c>
      <c r="F59" s="43">
        <f t="shared" si="22"/>
        <v>0.13910006163961372</v>
      </c>
      <c r="G59" s="43">
        <f t="shared" si="22"/>
        <v>4.1093075816724884E-3</v>
      </c>
      <c r="H59" s="43">
        <f t="shared" si="22"/>
        <v>2.32860762961441E-3</v>
      </c>
      <c r="I59" s="43">
        <f t="shared" si="22"/>
        <v>2.8011780015067461E-2</v>
      </c>
      <c r="J59" s="43">
        <f t="shared" si="22"/>
        <v>3.2189576056434492E-3</v>
      </c>
      <c r="K59" s="43">
        <f t="shared" si="22"/>
        <v>2.2601191699198686E-3</v>
      </c>
      <c r="L59" s="43">
        <f t="shared" si="22"/>
        <v>1.3012807341962879E-3</v>
      </c>
      <c r="M59" s="43">
        <f t="shared" si="22"/>
        <v>0.64961304020272581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0.31411258795934321</v>
      </c>
      <c r="D60" s="44">
        <f t="shared" ref="D60:N60" si="23">D58/$O$58</f>
        <v>0.12079749804534792</v>
      </c>
      <c r="E60" s="44">
        <f t="shared" si="23"/>
        <v>5.0430023455824861E-2</v>
      </c>
      <c r="F60" s="44">
        <f t="shared" si="23"/>
        <v>0.39698983580922598</v>
      </c>
      <c r="G60" s="44">
        <f t="shared" si="23"/>
        <v>1.1727912431587178E-2</v>
      </c>
      <c r="H60" s="44">
        <f t="shared" si="23"/>
        <v>6.645817044566067E-3</v>
      </c>
      <c r="I60" s="44">
        <f t="shared" si="23"/>
        <v>7.994526974198593E-2</v>
      </c>
      <c r="J60" s="44">
        <f t="shared" si="23"/>
        <v>9.1868647380766218E-3</v>
      </c>
      <c r="K60" s="44">
        <f t="shared" si="23"/>
        <v>6.4503518373729479E-3</v>
      </c>
      <c r="L60" s="44">
        <f t="shared" si="23"/>
        <v>3.7138389366692731E-3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5" t="str">
        <f>'22.07 Kalerwe-Kampala'!G5:H5</f>
        <v>Wandegeya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Kalerwe-Kampala'!D6:E6</f>
        <v>Kalewre</v>
      </c>
      <c r="E6" s="66"/>
      <c r="F6" s="2" t="s">
        <v>2</v>
      </c>
      <c r="G6" s="65" t="str">
        <f>'22.07 Kalerwe-Kampala'!G6:H6</f>
        <v>Kampala</v>
      </c>
      <c r="H6" s="66"/>
      <c r="J6" s="2" t="s">
        <v>21</v>
      </c>
      <c r="K6" s="65" t="str">
        <f>'22.07 Kalerwe-Kampala'!K6:L6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2</v>
      </c>
      <c r="E10" s="50">
        <v>12</v>
      </c>
      <c r="F10" s="50">
        <v>55</v>
      </c>
      <c r="G10" s="50">
        <v>0</v>
      </c>
      <c r="H10" s="50">
        <v>0</v>
      </c>
      <c r="I10" s="50">
        <v>30</v>
      </c>
      <c r="J10" s="50">
        <v>0</v>
      </c>
      <c r="K10" s="50">
        <v>0</v>
      </c>
      <c r="L10" s="50">
        <v>0</v>
      </c>
      <c r="M10" s="50">
        <v>195</v>
      </c>
      <c r="N10" s="50">
        <v>0</v>
      </c>
      <c r="O10" s="15">
        <f t="shared" ref="O10:O57" si="0">SUM(C10:L10,N10)</f>
        <v>99</v>
      </c>
      <c r="P10" s="15">
        <f t="shared" ref="P10:P57" si="1">SUM(C10:N10)</f>
        <v>294</v>
      </c>
      <c r="R10" s="1" t="s">
        <v>6</v>
      </c>
      <c r="S10" s="17">
        <f t="shared" ref="S10:AF10" si="2">SUM(C10:C13)</f>
        <v>62</v>
      </c>
      <c r="T10" s="17">
        <f t="shared" si="2"/>
        <v>23</v>
      </c>
      <c r="U10" s="17">
        <f t="shared" si="2"/>
        <v>39</v>
      </c>
      <c r="V10" s="17">
        <f t="shared" si="2"/>
        <v>205</v>
      </c>
      <c r="W10" s="17">
        <f t="shared" si="2"/>
        <v>0</v>
      </c>
      <c r="X10" s="17">
        <f t="shared" si="2"/>
        <v>1</v>
      </c>
      <c r="Y10" s="17">
        <f t="shared" si="2"/>
        <v>83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730</v>
      </c>
      <c r="AD10" s="17">
        <f t="shared" si="2"/>
        <v>0</v>
      </c>
      <c r="AE10" s="31">
        <f t="shared" si="2"/>
        <v>416</v>
      </c>
      <c r="AF10" s="31">
        <f t="shared" si="2"/>
        <v>1146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7</v>
      </c>
      <c r="E11" s="50">
        <v>8</v>
      </c>
      <c r="F11" s="50">
        <v>60</v>
      </c>
      <c r="G11" s="50">
        <v>0</v>
      </c>
      <c r="H11" s="50">
        <v>0</v>
      </c>
      <c r="I11" s="50">
        <v>34</v>
      </c>
      <c r="J11" s="50">
        <v>0</v>
      </c>
      <c r="K11" s="50">
        <v>1</v>
      </c>
      <c r="L11" s="50">
        <v>0</v>
      </c>
      <c r="M11" s="50">
        <v>155</v>
      </c>
      <c r="N11" s="50">
        <v>0</v>
      </c>
      <c r="O11" s="15">
        <f t="shared" si="0"/>
        <v>126</v>
      </c>
      <c r="P11" s="15">
        <f t="shared" si="1"/>
        <v>281</v>
      </c>
      <c r="R11" s="1" t="s">
        <v>7</v>
      </c>
      <c r="S11" s="17">
        <f t="shared" ref="S11:AF11" si="3">SUM(C14:C17)</f>
        <v>255</v>
      </c>
      <c r="T11" s="17">
        <f t="shared" si="3"/>
        <v>30</v>
      </c>
      <c r="U11" s="17">
        <f t="shared" si="3"/>
        <v>24</v>
      </c>
      <c r="V11" s="17">
        <f t="shared" si="3"/>
        <v>175</v>
      </c>
      <c r="W11" s="17">
        <f t="shared" si="3"/>
        <v>0</v>
      </c>
      <c r="X11" s="17">
        <f t="shared" si="3"/>
        <v>2</v>
      </c>
      <c r="Y11" s="17">
        <f t="shared" si="3"/>
        <v>19</v>
      </c>
      <c r="Z11" s="17">
        <f t="shared" si="3"/>
        <v>8</v>
      </c>
      <c r="AA11" s="17">
        <f t="shared" si="3"/>
        <v>0</v>
      </c>
      <c r="AB11" s="17">
        <f t="shared" si="3"/>
        <v>1</v>
      </c>
      <c r="AC11" s="17">
        <f t="shared" si="3"/>
        <v>971</v>
      </c>
      <c r="AD11" s="17">
        <f t="shared" si="3"/>
        <v>0</v>
      </c>
      <c r="AE11" s="31">
        <f t="shared" si="3"/>
        <v>514</v>
      </c>
      <c r="AF11" s="31">
        <f t="shared" si="3"/>
        <v>1485</v>
      </c>
    </row>
    <row r="12" spans="2:32" ht="23.1" customHeight="1" x14ac:dyDescent="0.25">
      <c r="B12" s="23" t="s">
        <v>39</v>
      </c>
      <c r="C12" s="50">
        <v>42</v>
      </c>
      <c r="D12" s="50">
        <v>5</v>
      </c>
      <c r="E12" s="50">
        <v>15</v>
      </c>
      <c r="F12" s="50">
        <v>65</v>
      </c>
      <c r="G12" s="50">
        <v>0</v>
      </c>
      <c r="H12" s="50">
        <v>0</v>
      </c>
      <c r="I12" s="50">
        <v>18</v>
      </c>
      <c r="J12" s="50">
        <v>0</v>
      </c>
      <c r="K12" s="50">
        <v>0</v>
      </c>
      <c r="L12" s="50">
        <v>0</v>
      </c>
      <c r="M12" s="50">
        <v>160</v>
      </c>
      <c r="N12" s="50">
        <v>0</v>
      </c>
      <c r="O12" s="15">
        <f t="shared" si="0"/>
        <v>145</v>
      </c>
      <c r="P12" s="15">
        <f t="shared" si="1"/>
        <v>305</v>
      </c>
      <c r="R12" s="1" t="s">
        <v>8</v>
      </c>
      <c r="S12" s="17">
        <f t="shared" ref="S12:AF12" si="4">SUM(C18:C21)</f>
        <v>187</v>
      </c>
      <c r="T12" s="17">
        <f t="shared" si="4"/>
        <v>18</v>
      </c>
      <c r="U12" s="17">
        <f t="shared" si="4"/>
        <v>35</v>
      </c>
      <c r="V12" s="17">
        <f t="shared" si="4"/>
        <v>155</v>
      </c>
      <c r="W12" s="17">
        <f t="shared" si="4"/>
        <v>2</v>
      </c>
      <c r="X12" s="17">
        <f t="shared" si="4"/>
        <v>1</v>
      </c>
      <c r="Y12" s="17">
        <f t="shared" si="4"/>
        <v>18</v>
      </c>
      <c r="Z12" s="17">
        <f t="shared" si="4"/>
        <v>6</v>
      </c>
      <c r="AA12" s="17">
        <f t="shared" si="4"/>
        <v>3</v>
      </c>
      <c r="AB12" s="17">
        <f t="shared" si="4"/>
        <v>0</v>
      </c>
      <c r="AC12" s="17">
        <f t="shared" si="4"/>
        <v>765</v>
      </c>
      <c r="AD12" s="17">
        <f t="shared" si="4"/>
        <v>0</v>
      </c>
      <c r="AE12" s="31">
        <f t="shared" si="4"/>
        <v>425</v>
      </c>
      <c r="AF12" s="31">
        <f t="shared" si="4"/>
        <v>1190</v>
      </c>
    </row>
    <row r="13" spans="2:32" ht="23.1" customHeight="1" x14ac:dyDescent="0.25">
      <c r="B13" s="23" t="s">
        <v>40</v>
      </c>
      <c r="C13" s="50">
        <v>4</v>
      </c>
      <c r="D13" s="50">
        <v>9</v>
      </c>
      <c r="E13" s="50">
        <v>4</v>
      </c>
      <c r="F13" s="50">
        <v>25</v>
      </c>
      <c r="G13" s="50">
        <v>0</v>
      </c>
      <c r="H13" s="50">
        <v>1</v>
      </c>
      <c r="I13" s="50">
        <v>1</v>
      </c>
      <c r="J13" s="50">
        <v>2</v>
      </c>
      <c r="K13" s="50">
        <v>0</v>
      </c>
      <c r="L13" s="50">
        <v>0</v>
      </c>
      <c r="M13" s="50">
        <v>220</v>
      </c>
      <c r="N13" s="50">
        <v>0</v>
      </c>
      <c r="O13" s="15">
        <f t="shared" si="0"/>
        <v>46</v>
      </c>
      <c r="P13" s="15">
        <f t="shared" si="1"/>
        <v>266</v>
      </c>
      <c r="R13" s="1" t="s">
        <v>9</v>
      </c>
      <c r="S13" s="17">
        <f t="shared" ref="S13:AF13" si="5">SUM(C22:C25)</f>
        <v>130</v>
      </c>
      <c r="T13" s="17">
        <f t="shared" si="5"/>
        <v>113</v>
      </c>
      <c r="U13" s="17">
        <f t="shared" si="5"/>
        <v>43</v>
      </c>
      <c r="V13" s="17">
        <f t="shared" si="5"/>
        <v>147</v>
      </c>
      <c r="W13" s="17">
        <f t="shared" si="5"/>
        <v>7</v>
      </c>
      <c r="X13" s="17">
        <f t="shared" si="5"/>
        <v>1</v>
      </c>
      <c r="Y13" s="17">
        <f t="shared" si="5"/>
        <v>25</v>
      </c>
      <c r="Z13" s="17">
        <f t="shared" si="5"/>
        <v>1</v>
      </c>
      <c r="AA13" s="17">
        <f t="shared" si="5"/>
        <v>7</v>
      </c>
      <c r="AB13" s="17">
        <f t="shared" si="5"/>
        <v>4</v>
      </c>
      <c r="AC13" s="17">
        <f t="shared" si="5"/>
        <v>875</v>
      </c>
      <c r="AD13" s="17">
        <f t="shared" si="5"/>
        <v>0</v>
      </c>
      <c r="AE13" s="31">
        <f t="shared" si="5"/>
        <v>478</v>
      </c>
      <c r="AF13" s="31">
        <f t="shared" si="5"/>
        <v>1353</v>
      </c>
    </row>
    <row r="14" spans="2:32" ht="23.1" customHeight="1" x14ac:dyDescent="0.25">
      <c r="B14" s="23" t="s">
        <v>41</v>
      </c>
      <c r="C14" s="50">
        <v>62</v>
      </c>
      <c r="D14" s="50">
        <v>10</v>
      </c>
      <c r="E14" s="50">
        <v>5</v>
      </c>
      <c r="F14" s="50">
        <v>47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260</v>
      </c>
      <c r="N14" s="50">
        <v>0</v>
      </c>
      <c r="O14" s="15">
        <f t="shared" si="0"/>
        <v>128</v>
      </c>
      <c r="P14" s="15">
        <f t="shared" si="1"/>
        <v>388</v>
      </c>
      <c r="R14" s="1" t="s">
        <v>10</v>
      </c>
      <c r="S14" s="17">
        <f t="shared" ref="S14:AF14" si="6">SUM(C26:C29)</f>
        <v>241</v>
      </c>
      <c r="T14" s="17">
        <f t="shared" si="6"/>
        <v>54</v>
      </c>
      <c r="U14" s="17">
        <f t="shared" si="6"/>
        <v>35</v>
      </c>
      <c r="V14" s="17">
        <f t="shared" si="6"/>
        <v>163</v>
      </c>
      <c r="W14" s="17">
        <f t="shared" si="6"/>
        <v>1</v>
      </c>
      <c r="X14" s="17">
        <f t="shared" si="6"/>
        <v>4</v>
      </c>
      <c r="Y14" s="17">
        <f t="shared" si="6"/>
        <v>32</v>
      </c>
      <c r="Z14" s="17">
        <f t="shared" si="6"/>
        <v>7</v>
      </c>
      <c r="AA14" s="17">
        <f t="shared" si="6"/>
        <v>1</v>
      </c>
      <c r="AB14" s="17">
        <f t="shared" si="6"/>
        <v>2</v>
      </c>
      <c r="AC14" s="17">
        <f t="shared" si="6"/>
        <v>498</v>
      </c>
      <c r="AD14" s="17">
        <f t="shared" si="6"/>
        <v>0</v>
      </c>
      <c r="AE14" s="31">
        <f t="shared" si="6"/>
        <v>540</v>
      </c>
      <c r="AF14" s="31">
        <f t="shared" si="6"/>
        <v>1038</v>
      </c>
    </row>
    <row r="15" spans="2:32" ht="23.1" customHeight="1" x14ac:dyDescent="0.25">
      <c r="B15" s="23" t="s">
        <v>42</v>
      </c>
      <c r="C15" s="50">
        <v>68</v>
      </c>
      <c r="D15" s="50">
        <v>6</v>
      </c>
      <c r="E15" s="50">
        <v>6</v>
      </c>
      <c r="F15" s="50">
        <v>47</v>
      </c>
      <c r="G15" s="50">
        <v>0</v>
      </c>
      <c r="H15" s="50">
        <v>2</v>
      </c>
      <c r="I15" s="50">
        <v>7</v>
      </c>
      <c r="J15" s="50">
        <v>2</v>
      </c>
      <c r="K15" s="50">
        <v>0</v>
      </c>
      <c r="L15" s="50">
        <v>0</v>
      </c>
      <c r="M15" s="50">
        <v>255</v>
      </c>
      <c r="N15" s="50">
        <v>0</v>
      </c>
      <c r="O15" s="15">
        <f t="shared" si="0"/>
        <v>138</v>
      </c>
      <c r="P15" s="15">
        <f t="shared" si="1"/>
        <v>393</v>
      </c>
      <c r="R15" s="1" t="s">
        <v>11</v>
      </c>
      <c r="S15" s="17">
        <f t="shared" ref="S15:AF15" si="7">SUM(C30:C33)</f>
        <v>114</v>
      </c>
      <c r="T15" s="17">
        <f t="shared" si="7"/>
        <v>155</v>
      </c>
      <c r="U15" s="17">
        <f t="shared" si="7"/>
        <v>73</v>
      </c>
      <c r="V15" s="17">
        <f t="shared" si="7"/>
        <v>152</v>
      </c>
      <c r="W15" s="17">
        <f t="shared" si="7"/>
        <v>1</v>
      </c>
      <c r="X15" s="17">
        <f t="shared" si="7"/>
        <v>1</v>
      </c>
      <c r="Y15" s="17">
        <f t="shared" si="7"/>
        <v>30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600</v>
      </c>
      <c r="AD15" s="17">
        <f t="shared" si="7"/>
        <v>0</v>
      </c>
      <c r="AE15" s="31">
        <f t="shared" si="7"/>
        <v>531</v>
      </c>
      <c r="AF15" s="31">
        <f t="shared" si="7"/>
        <v>1131</v>
      </c>
    </row>
    <row r="16" spans="2:32" ht="23.1" customHeight="1" x14ac:dyDescent="0.25">
      <c r="B16" s="23" t="s">
        <v>43</v>
      </c>
      <c r="C16" s="50">
        <v>55</v>
      </c>
      <c r="D16" s="50">
        <v>8</v>
      </c>
      <c r="E16" s="50">
        <v>8</v>
      </c>
      <c r="F16" s="50">
        <v>41</v>
      </c>
      <c r="G16" s="50">
        <v>0</v>
      </c>
      <c r="H16" s="50">
        <v>0</v>
      </c>
      <c r="I16" s="50">
        <v>4</v>
      </c>
      <c r="J16" s="50">
        <v>2</v>
      </c>
      <c r="K16" s="50">
        <v>0</v>
      </c>
      <c r="L16" s="50">
        <v>1</v>
      </c>
      <c r="M16" s="50">
        <v>232</v>
      </c>
      <c r="N16" s="50">
        <v>0</v>
      </c>
      <c r="O16" s="15">
        <f t="shared" si="0"/>
        <v>119</v>
      </c>
      <c r="P16" s="15">
        <f t="shared" si="1"/>
        <v>351</v>
      </c>
      <c r="R16" s="1" t="s">
        <v>12</v>
      </c>
      <c r="S16" s="17">
        <f t="shared" ref="S16:AF16" si="8">SUM(C34:C37)</f>
        <v>78</v>
      </c>
      <c r="T16" s="17">
        <f t="shared" si="8"/>
        <v>137</v>
      </c>
      <c r="U16" s="17">
        <f t="shared" si="8"/>
        <v>63</v>
      </c>
      <c r="V16" s="17">
        <f t="shared" si="8"/>
        <v>155</v>
      </c>
      <c r="W16" s="17">
        <f t="shared" si="8"/>
        <v>1</v>
      </c>
      <c r="X16" s="17">
        <f t="shared" si="8"/>
        <v>0</v>
      </c>
      <c r="Y16" s="17">
        <f t="shared" si="8"/>
        <v>30</v>
      </c>
      <c r="Z16" s="17">
        <f t="shared" si="8"/>
        <v>9</v>
      </c>
      <c r="AA16" s="17">
        <f t="shared" si="8"/>
        <v>9</v>
      </c>
      <c r="AB16" s="17">
        <f t="shared" si="8"/>
        <v>2</v>
      </c>
      <c r="AC16" s="17">
        <f t="shared" si="8"/>
        <v>603</v>
      </c>
      <c r="AD16" s="17">
        <f t="shared" si="8"/>
        <v>0</v>
      </c>
      <c r="AE16" s="31">
        <f t="shared" si="8"/>
        <v>484</v>
      </c>
      <c r="AF16" s="31">
        <f t="shared" si="8"/>
        <v>1087</v>
      </c>
    </row>
    <row r="17" spans="2:32" ht="23.1" customHeight="1" x14ac:dyDescent="0.25">
      <c r="B17" s="23" t="s">
        <v>44</v>
      </c>
      <c r="C17" s="50">
        <v>70</v>
      </c>
      <c r="D17" s="50">
        <v>6</v>
      </c>
      <c r="E17" s="50">
        <v>5</v>
      </c>
      <c r="F17" s="50">
        <v>40</v>
      </c>
      <c r="G17" s="50">
        <v>0</v>
      </c>
      <c r="H17" s="50">
        <v>0</v>
      </c>
      <c r="I17" s="50">
        <v>5</v>
      </c>
      <c r="J17" s="50">
        <v>3</v>
      </c>
      <c r="K17" s="50">
        <v>0</v>
      </c>
      <c r="L17" s="50">
        <v>0</v>
      </c>
      <c r="M17" s="50">
        <v>224</v>
      </c>
      <c r="N17" s="50">
        <v>0</v>
      </c>
      <c r="O17" s="15">
        <f t="shared" si="0"/>
        <v>129</v>
      </c>
      <c r="P17" s="15">
        <f t="shared" si="1"/>
        <v>353</v>
      </c>
      <c r="R17" s="1" t="s">
        <v>13</v>
      </c>
      <c r="S17" s="17">
        <f t="shared" ref="S17:AF17" si="9">SUM(C38:C41)</f>
        <v>87</v>
      </c>
      <c r="T17" s="17">
        <f t="shared" si="9"/>
        <v>134</v>
      </c>
      <c r="U17" s="17">
        <f t="shared" si="9"/>
        <v>24</v>
      </c>
      <c r="V17" s="17">
        <f t="shared" si="9"/>
        <v>118</v>
      </c>
      <c r="W17" s="17">
        <f t="shared" si="9"/>
        <v>4</v>
      </c>
      <c r="X17" s="17">
        <f t="shared" si="9"/>
        <v>1</v>
      </c>
      <c r="Y17" s="17">
        <f t="shared" si="9"/>
        <v>19</v>
      </c>
      <c r="Z17" s="17">
        <f t="shared" si="9"/>
        <v>5</v>
      </c>
      <c r="AA17" s="17">
        <f t="shared" si="9"/>
        <v>5</v>
      </c>
      <c r="AB17" s="17">
        <f t="shared" si="9"/>
        <v>2</v>
      </c>
      <c r="AC17" s="17">
        <f t="shared" si="9"/>
        <v>595</v>
      </c>
      <c r="AD17" s="17">
        <f t="shared" si="9"/>
        <v>0</v>
      </c>
      <c r="AE17" s="31">
        <f t="shared" si="9"/>
        <v>399</v>
      </c>
      <c r="AF17" s="31">
        <f t="shared" si="9"/>
        <v>994</v>
      </c>
    </row>
    <row r="18" spans="2:32" ht="23.1" customHeight="1" x14ac:dyDescent="0.25">
      <c r="B18" s="23" t="s">
        <v>45</v>
      </c>
      <c r="C18" s="50">
        <v>58</v>
      </c>
      <c r="D18" s="50">
        <v>10</v>
      </c>
      <c r="E18" s="50">
        <v>9</v>
      </c>
      <c r="F18" s="50">
        <v>56</v>
      </c>
      <c r="G18" s="50">
        <v>0</v>
      </c>
      <c r="H18" s="50">
        <v>0</v>
      </c>
      <c r="I18" s="50">
        <v>7</v>
      </c>
      <c r="J18" s="50">
        <v>3</v>
      </c>
      <c r="K18" s="50">
        <v>0</v>
      </c>
      <c r="L18" s="50">
        <v>0</v>
      </c>
      <c r="M18" s="50">
        <v>195</v>
      </c>
      <c r="N18" s="50">
        <v>0</v>
      </c>
      <c r="O18" s="15">
        <f t="shared" si="0"/>
        <v>143</v>
      </c>
      <c r="P18" s="15">
        <f t="shared" si="1"/>
        <v>338</v>
      </c>
      <c r="R18" s="1" t="s">
        <v>14</v>
      </c>
      <c r="S18" s="17">
        <f t="shared" ref="S18:AF18" si="10">SUM(C42:C45)</f>
        <v>229</v>
      </c>
      <c r="T18" s="17">
        <f t="shared" si="10"/>
        <v>37</v>
      </c>
      <c r="U18" s="17">
        <f t="shared" si="10"/>
        <v>51</v>
      </c>
      <c r="V18" s="17">
        <f t="shared" si="10"/>
        <v>146</v>
      </c>
      <c r="W18" s="17">
        <f t="shared" si="10"/>
        <v>3</v>
      </c>
      <c r="X18" s="17">
        <f t="shared" si="10"/>
        <v>1</v>
      </c>
      <c r="Y18" s="17">
        <f t="shared" si="10"/>
        <v>50</v>
      </c>
      <c r="Z18" s="17">
        <f t="shared" si="10"/>
        <v>9</v>
      </c>
      <c r="AA18" s="17">
        <f t="shared" si="10"/>
        <v>2</v>
      </c>
      <c r="AB18" s="17">
        <f t="shared" si="10"/>
        <v>4</v>
      </c>
      <c r="AC18" s="17">
        <f t="shared" si="10"/>
        <v>571</v>
      </c>
      <c r="AD18" s="17">
        <f t="shared" si="10"/>
        <v>0</v>
      </c>
      <c r="AE18" s="31">
        <f t="shared" si="10"/>
        <v>532</v>
      </c>
      <c r="AF18" s="31">
        <f t="shared" si="10"/>
        <v>1103</v>
      </c>
    </row>
    <row r="19" spans="2:32" ht="23.1" customHeight="1" x14ac:dyDescent="0.25">
      <c r="B19" s="23" t="s">
        <v>46</v>
      </c>
      <c r="C19" s="50">
        <v>27</v>
      </c>
      <c r="D19" s="50">
        <v>0</v>
      </c>
      <c r="E19" s="50">
        <v>7</v>
      </c>
      <c r="F19" s="50">
        <v>30</v>
      </c>
      <c r="G19" s="50">
        <v>0</v>
      </c>
      <c r="H19" s="50">
        <v>1</v>
      </c>
      <c r="I19" s="50">
        <v>5</v>
      </c>
      <c r="J19" s="50">
        <v>3</v>
      </c>
      <c r="K19" s="50">
        <v>0</v>
      </c>
      <c r="L19" s="50">
        <v>0</v>
      </c>
      <c r="M19" s="50">
        <v>140</v>
      </c>
      <c r="N19" s="50">
        <v>0</v>
      </c>
      <c r="O19" s="15">
        <f t="shared" si="0"/>
        <v>73</v>
      </c>
      <c r="P19" s="15">
        <f t="shared" si="1"/>
        <v>213</v>
      </c>
      <c r="R19" s="1" t="s">
        <v>15</v>
      </c>
      <c r="S19" s="17">
        <f t="shared" ref="S19:AF19" si="11">SUM(C46:C49)</f>
        <v>201</v>
      </c>
      <c r="T19" s="17">
        <f t="shared" si="11"/>
        <v>58</v>
      </c>
      <c r="U19" s="17">
        <f t="shared" si="11"/>
        <v>41</v>
      </c>
      <c r="V19" s="17">
        <f t="shared" si="11"/>
        <v>144</v>
      </c>
      <c r="W19" s="17">
        <f t="shared" si="11"/>
        <v>2</v>
      </c>
      <c r="X19" s="17">
        <f t="shared" si="11"/>
        <v>1</v>
      </c>
      <c r="Y19" s="17">
        <f t="shared" si="11"/>
        <v>32</v>
      </c>
      <c r="Z19" s="17">
        <f t="shared" si="11"/>
        <v>4</v>
      </c>
      <c r="AA19" s="17">
        <f t="shared" si="11"/>
        <v>6</v>
      </c>
      <c r="AB19" s="17">
        <f t="shared" si="11"/>
        <v>2</v>
      </c>
      <c r="AC19" s="17">
        <f t="shared" si="11"/>
        <v>615</v>
      </c>
      <c r="AD19" s="17">
        <f t="shared" si="11"/>
        <v>0</v>
      </c>
      <c r="AE19" s="31">
        <f t="shared" si="11"/>
        <v>491</v>
      </c>
      <c r="AF19" s="31">
        <f t="shared" si="11"/>
        <v>1106</v>
      </c>
    </row>
    <row r="20" spans="2:32" ht="23.1" customHeight="1" x14ac:dyDescent="0.25">
      <c r="B20" s="23" t="s">
        <v>47</v>
      </c>
      <c r="C20" s="50">
        <v>70</v>
      </c>
      <c r="D20" s="50">
        <v>0</v>
      </c>
      <c r="E20" s="50">
        <v>12</v>
      </c>
      <c r="F20" s="50">
        <v>32</v>
      </c>
      <c r="G20" s="50">
        <v>2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220</v>
      </c>
      <c r="N20" s="50">
        <v>0</v>
      </c>
      <c r="O20" s="15">
        <f t="shared" si="0"/>
        <v>117</v>
      </c>
      <c r="P20" s="15">
        <f t="shared" si="1"/>
        <v>337</v>
      </c>
      <c r="R20" s="1" t="s">
        <v>16</v>
      </c>
      <c r="S20" s="17">
        <f t="shared" ref="S20:AF20" si="12">SUM(C50:C53)</f>
        <v>198</v>
      </c>
      <c r="T20" s="17">
        <f t="shared" si="12"/>
        <v>51</v>
      </c>
      <c r="U20" s="17">
        <f t="shared" si="12"/>
        <v>21</v>
      </c>
      <c r="V20" s="17">
        <f t="shared" si="12"/>
        <v>187</v>
      </c>
      <c r="W20" s="17">
        <f t="shared" si="12"/>
        <v>2</v>
      </c>
      <c r="X20" s="17">
        <f t="shared" si="12"/>
        <v>2</v>
      </c>
      <c r="Y20" s="17">
        <f t="shared" si="12"/>
        <v>35</v>
      </c>
      <c r="Z20" s="17">
        <f t="shared" si="12"/>
        <v>7</v>
      </c>
      <c r="AA20" s="17">
        <f t="shared" si="12"/>
        <v>3</v>
      </c>
      <c r="AB20" s="17">
        <f t="shared" si="12"/>
        <v>1</v>
      </c>
      <c r="AC20" s="17">
        <f t="shared" si="12"/>
        <v>722</v>
      </c>
      <c r="AD20" s="17">
        <f t="shared" si="12"/>
        <v>0</v>
      </c>
      <c r="AE20" s="31">
        <f t="shared" si="12"/>
        <v>507</v>
      </c>
      <c r="AF20" s="31">
        <f t="shared" si="12"/>
        <v>1229</v>
      </c>
    </row>
    <row r="21" spans="2:32" ht="23.1" customHeight="1" x14ac:dyDescent="0.25">
      <c r="B21" s="23" t="s">
        <v>48</v>
      </c>
      <c r="C21" s="50">
        <v>32</v>
      </c>
      <c r="D21" s="50">
        <v>8</v>
      </c>
      <c r="E21" s="50">
        <v>7</v>
      </c>
      <c r="F21" s="50">
        <v>37</v>
      </c>
      <c r="G21" s="50">
        <v>0</v>
      </c>
      <c r="H21" s="50">
        <v>0</v>
      </c>
      <c r="I21" s="50">
        <v>5</v>
      </c>
      <c r="J21" s="50">
        <v>0</v>
      </c>
      <c r="K21" s="50">
        <v>3</v>
      </c>
      <c r="L21" s="50">
        <v>0</v>
      </c>
      <c r="M21" s="50">
        <v>210</v>
      </c>
      <c r="N21" s="50">
        <v>0</v>
      </c>
      <c r="O21" s="15">
        <f t="shared" si="0"/>
        <v>92</v>
      </c>
      <c r="P21" s="15">
        <f t="shared" si="1"/>
        <v>302</v>
      </c>
      <c r="R21" s="36" t="s">
        <v>20</v>
      </c>
      <c r="S21" s="34">
        <f t="shared" ref="S21:AF21" si="13">SUM(C54:C57)</f>
        <v>165</v>
      </c>
      <c r="T21" s="17">
        <f t="shared" si="13"/>
        <v>56</v>
      </c>
      <c r="U21" s="17">
        <f t="shared" si="13"/>
        <v>26</v>
      </c>
      <c r="V21" s="17">
        <f t="shared" si="13"/>
        <v>173</v>
      </c>
      <c r="W21" s="17">
        <f t="shared" si="13"/>
        <v>12</v>
      </c>
      <c r="X21" s="17">
        <f t="shared" si="13"/>
        <v>0</v>
      </c>
      <c r="Y21" s="17">
        <f t="shared" si="13"/>
        <v>29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735</v>
      </c>
      <c r="AD21" s="17">
        <f t="shared" si="13"/>
        <v>0</v>
      </c>
      <c r="AE21" s="31">
        <f t="shared" si="13"/>
        <v>463</v>
      </c>
      <c r="AF21" s="31">
        <f t="shared" si="13"/>
        <v>1198</v>
      </c>
    </row>
    <row r="22" spans="2:32" ht="23.1" customHeight="1" x14ac:dyDescent="0.25">
      <c r="B22" s="23" t="s">
        <v>49</v>
      </c>
      <c r="C22" s="50">
        <v>31</v>
      </c>
      <c r="D22" s="50">
        <v>25</v>
      </c>
      <c r="E22" s="50">
        <v>10</v>
      </c>
      <c r="F22" s="50">
        <v>6</v>
      </c>
      <c r="G22" s="50">
        <v>5</v>
      </c>
      <c r="H22" s="50">
        <v>0</v>
      </c>
      <c r="I22" s="50">
        <v>6</v>
      </c>
      <c r="J22" s="50">
        <v>0</v>
      </c>
      <c r="K22" s="50">
        <v>2</v>
      </c>
      <c r="L22" s="50">
        <v>0</v>
      </c>
      <c r="M22" s="50">
        <v>265</v>
      </c>
      <c r="N22" s="50">
        <v>0</v>
      </c>
      <c r="O22" s="15">
        <f t="shared" si="0"/>
        <v>85</v>
      </c>
      <c r="P22" s="15">
        <f t="shared" si="1"/>
        <v>350</v>
      </c>
      <c r="R22" s="38" t="s">
        <v>90</v>
      </c>
      <c r="S22" s="39">
        <f>MAX(S10:S12)</f>
        <v>255</v>
      </c>
      <c r="T22" s="39">
        <f t="shared" ref="T22:AF22" si="14">MAX(T10:T12)</f>
        <v>30</v>
      </c>
      <c r="U22" s="39">
        <f t="shared" si="14"/>
        <v>39</v>
      </c>
      <c r="V22" s="39">
        <f t="shared" si="14"/>
        <v>205</v>
      </c>
      <c r="W22" s="39">
        <f t="shared" si="14"/>
        <v>2</v>
      </c>
      <c r="X22" s="39">
        <f t="shared" si="14"/>
        <v>2</v>
      </c>
      <c r="Y22" s="39">
        <f t="shared" si="14"/>
        <v>83</v>
      </c>
      <c r="Z22" s="39">
        <f t="shared" si="14"/>
        <v>8</v>
      </c>
      <c r="AA22" s="39">
        <f t="shared" si="14"/>
        <v>3</v>
      </c>
      <c r="AB22" s="39">
        <f t="shared" si="14"/>
        <v>1</v>
      </c>
      <c r="AC22" s="39">
        <f t="shared" si="14"/>
        <v>971</v>
      </c>
      <c r="AD22" s="39">
        <f t="shared" si="14"/>
        <v>0</v>
      </c>
      <c r="AE22" s="40">
        <f t="shared" si="14"/>
        <v>514</v>
      </c>
      <c r="AF22" s="40">
        <f t="shared" si="14"/>
        <v>1485</v>
      </c>
    </row>
    <row r="23" spans="2:32" ht="23.1" customHeight="1" x14ac:dyDescent="0.25">
      <c r="B23" s="23" t="s">
        <v>50</v>
      </c>
      <c r="C23" s="50">
        <v>35</v>
      </c>
      <c r="D23" s="50">
        <v>27</v>
      </c>
      <c r="E23" s="50">
        <v>10</v>
      </c>
      <c r="F23" s="50">
        <v>36</v>
      </c>
      <c r="G23" s="50">
        <v>0</v>
      </c>
      <c r="H23" s="50">
        <v>1</v>
      </c>
      <c r="I23" s="50">
        <v>7</v>
      </c>
      <c r="J23" s="50">
        <v>1</v>
      </c>
      <c r="K23" s="50">
        <v>5</v>
      </c>
      <c r="L23" s="50">
        <v>1</v>
      </c>
      <c r="M23" s="50">
        <v>215</v>
      </c>
      <c r="N23" s="50">
        <v>0</v>
      </c>
      <c r="O23" s="15">
        <f t="shared" si="0"/>
        <v>123</v>
      </c>
      <c r="P23" s="15">
        <f t="shared" si="1"/>
        <v>338</v>
      </c>
      <c r="R23" s="38" t="s">
        <v>91</v>
      </c>
      <c r="S23" s="39">
        <f>MAX(S13:S18)</f>
        <v>241</v>
      </c>
      <c r="T23" s="39">
        <f t="shared" ref="T23:AF23" si="15">MAX(T13:T18)</f>
        <v>155</v>
      </c>
      <c r="U23" s="39">
        <f t="shared" si="15"/>
        <v>73</v>
      </c>
      <c r="V23" s="39">
        <f t="shared" si="15"/>
        <v>163</v>
      </c>
      <c r="W23" s="39">
        <f t="shared" si="15"/>
        <v>7</v>
      </c>
      <c r="X23" s="39">
        <f t="shared" si="15"/>
        <v>4</v>
      </c>
      <c r="Y23" s="39">
        <f t="shared" si="15"/>
        <v>50</v>
      </c>
      <c r="Z23" s="39">
        <f t="shared" si="15"/>
        <v>9</v>
      </c>
      <c r="AA23" s="39">
        <f t="shared" si="15"/>
        <v>9</v>
      </c>
      <c r="AB23" s="39">
        <f t="shared" si="15"/>
        <v>4</v>
      </c>
      <c r="AC23" s="39">
        <f t="shared" si="15"/>
        <v>875</v>
      </c>
      <c r="AD23" s="39">
        <f t="shared" si="15"/>
        <v>0</v>
      </c>
      <c r="AE23" s="40">
        <f t="shared" si="15"/>
        <v>540</v>
      </c>
      <c r="AF23" s="40">
        <f t="shared" si="15"/>
        <v>1353</v>
      </c>
    </row>
    <row r="24" spans="2:32" ht="23.1" customHeight="1" x14ac:dyDescent="0.25">
      <c r="B24" s="23" t="s">
        <v>51</v>
      </c>
      <c r="C24" s="50">
        <v>27</v>
      </c>
      <c r="D24" s="50">
        <v>18</v>
      </c>
      <c r="E24" s="50">
        <v>11</v>
      </c>
      <c r="F24" s="50">
        <v>51</v>
      </c>
      <c r="G24" s="50">
        <v>2</v>
      </c>
      <c r="H24" s="50">
        <v>0</v>
      </c>
      <c r="I24" s="50">
        <v>9</v>
      </c>
      <c r="J24" s="50">
        <v>0</v>
      </c>
      <c r="K24" s="50">
        <v>0</v>
      </c>
      <c r="L24" s="50">
        <v>1</v>
      </c>
      <c r="M24" s="50">
        <v>185</v>
      </c>
      <c r="N24" s="50">
        <v>0</v>
      </c>
      <c r="O24" s="15">
        <f t="shared" si="0"/>
        <v>119</v>
      </c>
      <c r="P24" s="15">
        <f t="shared" si="1"/>
        <v>304</v>
      </c>
      <c r="R24" s="38" t="s">
        <v>92</v>
      </c>
      <c r="S24" s="39">
        <f>MAX(S19:S21)</f>
        <v>201</v>
      </c>
      <c r="T24" s="39">
        <f t="shared" ref="T24:AF24" si="16">MAX(T19:T21)</f>
        <v>58</v>
      </c>
      <c r="U24" s="39">
        <f t="shared" si="16"/>
        <v>41</v>
      </c>
      <c r="V24" s="39">
        <f t="shared" si="16"/>
        <v>187</v>
      </c>
      <c r="W24" s="39">
        <f t="shared" si="16"/>
        <v>12</v>
      </c>
      <c r="X24" s="39">
        <f t="shared" si="16"/>
        <v>2</v>
      </c>
      <c r="Y24" s="39">
        <f t="shared" si="16"/>
        <v>35</v>
      </c>
      <c r="Z24" s="39">
        <f t="shared" si="16"/>
        <v>7</v>
      </c>
      <c r="AA24" s="39">
        <f t="shared" si="16"/>
        <v>6</v>
      </c>
      <c r="AB24" s="39">
        <f t="shared" si="16"/>
        <v>2</v>
      </c>
      <c r="AC24" s="39">
        <f t="shared" si="16"/>
        <v>735</v>
      </c>
      <c r="AD24" s="39">
        <f t="shared" si="16"/>
        <v>0</v>
      </c>
      <c r="AE24" s="40">
        <f t="shared" si="16"/>
        <v>507</v>
      </c>
      <c r="AF24" s="40">
        <f t="shared" si="16"/>
        <v>1229</v>
      </c>
    </row>
    <row r="25" spans="2:32" ht="23.1" customHeight="1" x14ac:dyDescent="0.25">
      <c r="B25" s="23" t="s">
        <v>52</v>
      </c>
      <c r="C25" s="50">
        <v>37</v>
      </c>
      <c r="D25" s="50">
        <v>43</v>
      </c>
      <c r="E25" s="50">
        <v>12</v>
      </c>
      <c r="F25" s="50">
        <v>54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2</v>
      </c>
      <c r="M25" s="50">
        <v>210</v>
      </c>
      <c r="N25" s="50">
        <v>0</v>
      </c>
      <c r="O25" s="15">
        <f t="shared" si="0"/>
        <v>151</v>
      </c>
      <c r="P25" s="15">
        <f t="shared" si="1"/>
        <v>361</v>
      </c>
      <c r="R25" s="37" t="s">
        <v>85</v>
      </c>
      <c r="S25" s="35">
        <f t="shared" ref="S25:AF25" si="17">SUM(S10:S12)</f>
        <v>504</v>
      </c>
      <c r="T25" s="16">
        <f t="shared" si="17"/>
        <v>71</v>
      </c>
      <c r="U25" s="16">
        <f t="shared" si="17"/>
        <v>98</v>
      </c>
      <c r="V25" s="16">
        <f t="shared" si="17"/>
        <v>535</v>
      </c>
      <c r="W25" s="16">
        <f t="shared" si="17"/>
        <v>2</v>
      </c>
      <c r="X25" s="16">
        <f t="shared" si="17"/>
        <v>4</v>
      </c>
      <c r="Y25" s="16">
        <f t="shared" si="17"/>
        <v>120</v>
      </c>
      <c r="Z25" s="16">
        <f t="shared" si="17"/>
        <v>16</v>
      </c>
      <c r="AA25" s="16">
        <f t="shared" si="17"/>
        <v>4</v>
      </c>
      <c r="AB25" s="16">
        <f t="shared" si="17"/>
        <v>1</v>
      </c>
      <c r="AC25" s="16">
        <f t="shared" si="17"/>
        <v>2466</v>
      </c>
      <c r="AD25" s="16">
        <f t="shared" si="17"/>
        <v>0</v>
      </c>
      <c r="AE25" s="32">
        <f t="shared" si="17"/>
        <v>1355</v>
      </c>
      <c r="AF25" s="32">
        <f t="shared" si="17"/>
        <v>3821</v>
      </c>
    </row>
    <row r="26" spans="2:32" ht="23.1" customHeight="1" x14ac:dyDescent="0.25">
      <c r="B26" s="23" t="s">
        <v>53</v>
      </c>
      <c r="C26" s="50">
        <v>16</v>
      </c>
      <c r="D26" s="50">
        <v>6</v>
      </c>
      <c r="E26" s="50">
        <v>5</v>
      </c>
      <c r="F26" s="50">
        <v>24</v>
      </c>
      <c r="G26" s="50">
        <v>0</v>
      </c>
      <c r="H26" s="50">
        <v>1</v>
      </c>
      <c r="I26" s="50">
        <v>4</v>
      </c>
      <c r="J26" s="50">
        <v>0</v>
      </c>
      <c r="K26" s="50">
        <v>0</v>
      </c>
      <c r="L26" s="50">
        <v>1</v>
      </c>
      <c r="M26" s="50">
        <v>65</v>
      </c>
      <c r="N26" s="50">
        <v>0</v>
      </c>
      <c r="O26" s="15">
        <f t="shared" si="0"/>
        <v>57</v>
      </c>
      <c r="P26" s="15">
        <f t="shared" si="1"/>
        <v>122</v>
      </c>
      <c r="R26" s="28" t="s">
        <v>86</v>
      </c>
      <c r="S26" s="16">
        <f t="shared" ref="S26:AF26" si="18">SUM(S13:S18)</f>
        <v>879</v>
      </c>
      <c r="T26" s="16">
        <f t="shared" si="18"/>
        <v>630</v>
      </c>
      <c r="U26" s="16">
        <f t="shared" si="18"/>
        <v>289</v>
      </c>
      <c r="V26" s="16">
        <f t="shared" si="18"/>
        <v>881</v>
      </c>
      <c r="W26" s="16">
        <f t="shared" si="18"/>
        <v>17</v>
      </c>
      <c r="X26" s="16">
        <f t="shared" si="18"/>
        <v>8</v>
      </c>
      <c r="Y26" s="16">
        <f t="shared" si="18"/>
        <v>186</v>
      </c>
      <c r="Z26" s="16">
        <f t="shared" si="18"/>
        <v>34</v>
      </c>
      <c r="AA26" s="16">
        <f t="shared" si="18"/>
        <v>26</v>
      </c>
      <c r="AB26" s="16">
        <f t="shared" si="18"/>
        <v>14</v>
      </c>
      <c r="AC26" s="16">
        <f t="shared" si="18"/>
        <v>3742</v>
      </c>
      <c r="AD26" s="16">
        <f t="shared" si="18"/>
        <v>0</v>
      </c>
      <c r="AE26" s="32">
        <f t="shared" si="18"/>
        <v>2964</v>
      </c>
      <c r="AF26" s="32">
        <f t="shared" si="18"/>
        <v>6706</v>
      </c>
    </row>
    <row r="27" spans="2:32" ht="23.1" customHeight="1" x14ac:dyDescent="0.25">
      <c r="B27" s="23" t="s">
        <v>54</v>
      </c>
      <c r="C27" s="50">
        <v>63</v>
      </c>
      <c r="D27" s="50">
        <v>23</v>
      </c>
      <c r="E27" s="50">
        <v>16</v>
      </c>
      <c r="F27" s="50">
        <v>45</v>
      </c>
      <c r="G27" s="50">
        <v>0</v>
      </c>
      <c r="H27" s="50">
        <v>1</v>
      </c>
      <c r="I27" s="50">
        <v>10</v>
      </c>
      <c r="J27" s="50">
        <v>0</v>
      </c>
      <c r="K27" s="50">
        <v>0</v>
      </c>
      <c r="L27" s="50">
        <v>0</v>
      </c>
      <c r="M27" s="50">
        <v>130</v>
      </c>
      <c r="N27" s="50">
        <v>0</v>
      </c>
      <c r="O27" s="15">
        <f t="shared" si="0"/>
        <v>158</v>
      </c>
      <c r="P27" s="15">
        <f t="shared" si="1"/>
        <v>288</v>
      </c>
      <c r="R27" s="29" t="s">
        <v>87</v>
      </c>
      <c r="S27" s="16">
        <f t="shared" ref="S27:AF27" si="19">SUM(S19:S21)</f>
        <v>564</v>
      </c>
      <c r="T27" s="16">
        <f t="shared" si="19"/>
        <v>165</v>
      </c>
      <c r="U27" s="16">
        <f t="shared" si="19"/>
        <v>88</v>
      </c>
      <c r="V27" s="16">
        <f t="shared" si="19"/>
        <v>504</v>
      </c>
      <c r="W27" s="16">
        <f t="shared" si="19"/>
        <v>16</v>
      </c>
      <c r="X27" s="16">
        <f t="shared" si="19"/>
        <v>3</v>
      </c>
      <c r="Y27" s="16">
        <f t="shared" si="19"/>
        <v>96</v>
      </c>
      <c r="Z27" s="16">
        <f t="shared" si="19"/>
        <v>11</v>
      </c>
      <c r="AA27" s="16">
        <f t="shared" si="19"/>
        <v>10</v>
      </c>
      <c r="AB27" s="16">
        <f t="shared" si="19"/>
        <v>4</v>
      </c>
      <c r="AC27" s="16">
        <f t="shared" si="19"/>
        <v>2072</v>
      </c>
      <c r="AD27" s="16">
        <f t="shared" si="19"/>
        <v>0</v>
      </c>
      <c r="AE27" s="32">
        <f t="shared" si="19"/>
        <v>1461</v>
      </c>
      <c r="AF27" s="32">
        <f t="shared" si="19"/>
        <v>3533</v>
      </c>
    </row>
    <row r="28" spans="2:32" ht="23.1" customHeight="1" x14ac:dyDescent="0.25">
      <c r="B28" s="23" t="s">
        <v>55</v>
      </c>
      <c r="C28" s="50">
        <v>83</v>
      </c>
      <c r="D28" s="50">
        <v>15</v>
      </c>
      <c r="E28" s="50">
        <v>8</v>
      </c>
      <c r="F28" s="50">
        <v>50</v>
      </c>
      <c r="G28" s="50">
        <v>0</v>
      </c>
      <c r="H28" s="50">
        <v>2</v>
      </c>
      <c r="I28" s="50">
        <v>12</v>
      </c>
      <c r="J28" s="50">
        <v>6</v>
      </c>
      <c r="K28" s="50">
        <v>1</v>
      </c>
      <c r="L28" s="50">
        <v>1</v>
      </c>
      <c r="M28" s="50">
        <v>146</v>
      </c>
      <c r="N28" s="50">
        <v>0</v>
      </c>
      <c r="O28" s="15">
        <f t="shared" si="0"/>
        <v>178</v>
      </c>
      <c r="P28" s="15">
        <f t="shared" si="1"/>
        <v>324</v>
      </c>
      <c r="R28" s="5" t="s">
        <v>17</v>
      </c>
      <c r="S28" s="16">
        <f t="shared" ref="S28:AF28" si="20">SUM(S10:S21)</f>
        <v>1947</v>
      </c>
      <c r="T28" s="16">
        <f t="shared" si="20"/>
        <v>866</v>
      </c>
      <c r="U28" s="16">
        <f t="shared" si="20"/>
        <v>475</v>
      </c>
      <c r="V28" s="16">
        <f t="shared" si="20"/>
        <v>1920</v>
      </c>
      <c r="W28" s="16">
        <f t="shared" si="20"/>
        <v>35</v>
      </c>
      <c r="X28" s="16">
        <f t="shared" si="20"/>
        <v>15</v>
      </c>
      <c r="Y28" s="16">
        <f t="shared" si="20"/>
        <v>402</v>
      </c>
      <c r="Z28" s="16">
        <f t="shared" si="20"/>
        <v>61</v>
      </c>
      <c r="AA28" s="16">
        <f t="shared" si="20"/>
        <v>40</v>
      </c>
      <c r="AB28" s="16">
        <f t="shared" si="20"/>
        <v>19</v>
      </c>
      <c r="AC28" s="16">
        <f t="shared" si="20"/>
        <v>8280</v>
      </c>
      <c r="AD28" s="16">
        <f t="shared" si="20"/>
        <v>0</v>
      </c>
      <c r="AE28" s="32">
        <f t="shared" si="20"/>
        <v>5780</v>
      </c>
      <c r="AF28" s="32">
        <f t="shared" si="20"/>
        <v>14060</v>
      </c>
    </row>
    <row r="29" spans="2:32" ht="23.1" customHeight="1" x14ac:dyDescent="0.25">
      <c r="B29" s="23" t="s">
        <v>56</v>
      </c>
      <c r="C29" s="50">
        <v>79</v>
      </c>
      <c r="D29" s="50">
        <v>10</v>
      </c>
      <c r="E29" s="50">
        <v>6</v>
      </c>
      <c r="F29" s="50">
        <v>44</v>
      </c>
      <c r="G29" s="50">
        <v>1</v>
      </c>
      <c r="H29" s="50">
        <v>0</v>
      </c>
      <c r="I29" s="50">
        <v>6</v>
      </c>
      <c r="J29" s="50">
        <v>1</v>
      </c>
      <c r="K29" s="50">
        <v>0</v>
      </c>
      <c r="L29" s="50">
        <v>0</v>
      </c>
      <c r="M29" s="50">
        <v>157</v>
      </c>
      <c r="N29" s="50">
        <v>0</v>
      </c>
      <c r="O29" s="15">
        <f t="shared" si="0"/>
        <v>147</v>
      </c>
      <c r="P29" s="15">
        <f t="shared" si="1"/>
        <v>304</v>
      </c>
      <c r="R29"/>
      <c r="S29" s="20"/>
      <c r="T29" s="19"/>
    </row>
    <row r="30" spans="2:32" ht="23.1" customHeight="1" x14ac:dyDescent="0.25">
      <c r="B30" s="23" t="s">
        <v>57</v>
      </c>
      <c r="C30" s="50">
        <v>38</v>
      </c>
      <c r="D30" s="50">
        <v>42</v>
      </c>
      <c r="E30" s="50">
        <v>25</v>
      </c>
      <c r="F30" s="50">
        <v>28</v>
      </c>
      <c r="G30" s="50">
        <v>0</v>
      </c>
      <c r="H30" s="50">
        <v>0</v>
      </c>
      <c r="I30" s="50">
        <v>10</v>
      </c>
      <c r="J30" s="50">
        <v>0</v>
      </c>
      <c r="K30" s="50">
        <v>0</v>
      </c>
      <c r="L30" s="50">
        <v>0</v>
      </c>
      <c r="M30" s="50">
        <v>135</v>
      </c>
      <c r="N30" s="50">
        <v>0</v>
      </c>
      <c r="O30" s="15">
        <f t="shared" si="0"/>
        <v>143</v>
      </c>
      <c r="P30" s="15">
        <f t="shared" si="1"/>
        <v>278</v>
      </c>
    </row>
    <row r="31" spans="2:32" ht="23.1" customHeight="1" x14ac:dyDescent="0.25">
      <c r="B31" s="24" t="s">
        <v>58</v>
      </c>
      <c r="C31" s="50">
        <v>26</v>
      </c>
      <c r="D31" s="50">
        <v>35</v>
      </c>
      <c r="E31" s="50">
        <v>19</v>
      </c>
      <c r="F31" s="50">
        <v>46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125</v>
      </c>
      <c r="N31" s="50">
        <v>0</v>
      </c>
      <c r="O31" s="15">
        <f t="shared" si="0"/>
        <v>129</v>
      </c>
      <c r="P31" s="15">
        <f t="shared" si="1"/>
        <v>254</v>
      </c>
    </row>
    <row r="32" spans="2:32" ht="23.1" customHeight="1" x14ac:dyDescent="0.25">
      <c r="B32" s="24" t="s">
        <v>59</v>
      </c>
      <c r="C32" s="50">
        <v>31</v>
      </c>
      <c r="D32" s="50">
        <v>38</v>
      </c>
      <c r="E32" s="50">
        <v>21</v>
      </c>
      <c r="F32" s="50">
        <v>45</v>
      </c>
      <c r="G32" s="50">
        <v>0</v>
      </c>
      <c r="H32" s="50">
        <v>0</v>
      </c>
      <c r="I32" s="50">
        <v>9</v>
      </c>
      <c r="J32" s="50">
        <v>2</v>
      </c>
      <c r="K32" s="50">
        <v>0</v>
      </c>
      <c r="L32" s="50">
        <v>0</v>
      </c>
      <c r="M32" s="50">
        <v>165</v>
      </c>
      <c r="N32" s="50">
        <v>0</v>
      </c>
      <c r="O32" s="15">
        <f t="shared" si="0"/>
        <v>146</v>
      </c>
      <c r="P32" s="15">
        <f t="shared" si="1"/>
        <v>311</v>
      </c>
    </row>
    <row r="33" spans="2:20" ht="23.1" customHeight="1" x14ac:dyDescent="0.25">
      <c r="B33" s="23" t="s">
        <v>60</v>
      </c>
      <c r="C33" s="50">
        <v>19</v>
      </c>
      <c r="D33" s="50">
        <v>40</v>
      </c>
      <c r="E33" s="50">
        <v>8</v>
      </c>
      <c r="F33" s="50">
        <v>33</v>
      </c>
      <c r="G33" s="50">
        <v>1</v>
      </c>
      <c r="H33" s="50">
        <v>1</v>
      </c>
      <c r="I33" s="50">
        <v>8</v>
      </c>
      <c r="J33" s="50">
        <v>1</v>
      </c>
      <c r="K33" s="50">
        <v>2</v>
      </c>
      <c r="L33" s="50">
        <v>0</v>
      </c>
      <c r="M33" s="50">
        <v>175</v>
      </c>
      <c r="N33" s="50">
        <v>0</v>
      </c>
      <c r="O33" s="15">
        <f t="shared" si="0"/>
        <v>113</v>
      </c>
      <c r="P33" s="15">
        <f t="shared" si="1"/>
        <v>288</v>
      </c>
    </row>
    <row r="34" spans="2:20" ht="23.1" customHeight="1" x14ac:dyDescent="0.25">
      <c r="B34" s="24" t="s">
        <v>61</v>
      </c>
      <c r="C34" s="50">
        <v>16</v>
      </c>
      <c r="D34" s="50">
        <v>49</v>
      </c>
      <c r="E34" s="50">
        <v>24</v>
      </c>
      <c r="F34" s="50">
        <v>55</v>
      </c>
      <c r="G34" s="50">
        <v>0</v>
      </c>
      <c r="H34" s="50">
        <v>0</v>
      </c>
      <c r="I34" s="50">
        <v>9</v>
      </c>
      <c r="J34" s="50">
        <v>3</v>
      </c>
      <c r="K34" s="50">
        <v>3</v>
      </c>
      <c r="L34" s="50">
        <v>0</v>
      </c>
      <c r="M34" s="50">
        <v>200</v>
      </c>
      <c r="N34" s="50">
        <v>0</v>
      </c>
      <c r="O34" s="15">
        <f t="shared" si="0"/>
        <v>159</v>
      </c>
      <c r="P34" s="15">
        <f t="shared" si="1"/>
        <v>359</v>
      </c>
    </row>
    <row r="35" spans="2:20" ht="23.1" customHeight="1" x14ac:dyDescent="0.25">
      <c r="B35" s="24" t="s">
        <v>62</v>
      </c>
      <c r="C35" s="50">
        <v>17</v>
      </c>
      <c r="D35" s="50">
        <v>31</v>
      </c>
      <c r="E35" s="50">
        <v>14</v>
      </c>
      <c r="F35" s="50">
        <v>26</v>
      </c>
      <c r="G35" s="50">
        <v>1</v>
      </c>
      <c r="H35" s="50">
        <v>0</v>
      </c>
      <c r="I35" s="50">
        <v>9</v>
      </c>
      <c r="J35" s="50">
        <v>3</v>
      </c>
      <c r="K35" s="50">
        <v>2</v>
      </c>
      <c r="L35" s="50">
        <v>1</v>
      </c>
      <c r="M35" s="50">
        <v>152</v>
      </c>
      <c r="N35" s="50">
        <v>0</v>
      </c>
      <c r="O35" s="15">
        <f t="shared" si="0"/>
        <v>104</v>
      </c>
      <c r="P35" s="15">
        <f t="shared" si="1"/>
        <v>256</v>
      </c>
    </row>
    <row r="36" spans="2:20" ht="23.1" customHeight="1" x14ac:dyDescent="0.25">
      <c r="B36" s="24" t="s">
        <v>63</v>
      </c>
      <c r="C36" s="50">
        <v>19</v>
      </c>
      <c r="D36" s="50">
        <v>19</v>
      </c>
      <c r="E36" s="50">
        <v>15</v>
      </c>
      <c r="F36" s="50">
        <v>32</v>
      </c>
      <c r="G36" s="50">
        <v>0</v>
      </c>
      <c r="H36" s="50">
        <v>0</v>
      </c>
      <c r="I36" s="50">
        <v>6</v>
      </c>
      <c r="J36" s="50">
        <v>3</v>
      </c>
      <c r="K36" s="50">
        <v>2</v>
      </c>
      <c r="L36" s="50">
        <v>0</v>
      </c>
      <c r="M36" s="50">
        <v>111</v>
      </c>
      <c r="N36" s="50">
        <v>0</v>
      </c>
      <c r="O36" s="15">
        <f t="shared" si="0"/>
        <v>96</v>
      </c>
      <c r="P36" s="15">
        <f t="shared" si="1"/>
        <v>207</v>
      </c>
    </row>
    <row r="37" spans="2:20" ht="23.1" customHeight="1" x14ac:dyDescent="0.25">
      <c r="B37" s="23" t="s">
        <v>64</v>
      </c>
      <c r="C37" s="50">
        <v>26</v>
      </c>
      <c r="D37" s="50">
        <v>38</v>
      </c>
      <c r="E37" s="50">
        <v>10</v>
      </c>
      <c r="F37" s="50">
        <v>42</v>
      </c>
      <c r="G37" s="50">
        <v>0</v>
      </c>
      <c r="H37" s="50">
        <v>0</v>
      </c>
      <c r="I37" s="50">
        <v>6</v>
      </c>
      <c r="J37" s="50">
        <v>0</v>
      </c>
      <c r="K37" s="50">
        <v>2</v>
      </c>
      <c r="L37" s="50">
        <v>1</v>
      </c>
      <c r="M37" s="50">
        <v>140</v>
      </c>
      <c r="N37" s="50">
        <v>0</v>
      </c>
      <c r="O37" s="15">
        <f t="shared" si="0"/>
        <v>125</v>
      </c>
      <c r="P37" s="15">
        <f t="shared" si="1"/>
        <v>265</v>
      </c>
    </row>
    <row r="38" spans="2:20" ht="23.1" customHeight="1" x14ac:dyDescent="0.25">
      <c r="B38" s="24" t="s">
        <v>65</v>
      </c>
      <c r="C38" s="50">
        <v>22</v>
      </c>
      <c r="D38" s="50">
        <v>30</v>
      </c>
      <c r="E38" s="50">
        <v>8</v>
      </c>
      <c r="F38" s="50">
        <v>38</v>
      </c>
      <c r="G38" s="50">
        <v>1</v>
      </c>
      <c r="H38" s="50">
        <v>1</v>
      </c>
      <c r="I38" s="50">
        <v>2</v>
      </c>
      <c r="J38" s="50">
        <v>0</v>
      </c>
      <c r="K38" s="50">
        <v>1</v>
      </c>
      <c r="L38" s="50">
        <v>0</v>
      </c>
      <c r="M38" s="50">
        <v>120</v>
      </c>
      <c r="N38" s="50">
        <v>0</v>
      </c>
      <c r="O38" s="15">
        <f t="shared" si="0"/>
        <v>103</v>
      </c>
      <c r="P38" s="15">
        <f t="shared" si="1"/>
        <v>223</v>
      </c>
    </row>
    <row r="39" spans="2:20" ht="23.1" customHeight="1" x14ac:dyDescent="0.25">
      <c r="B39" s="24" t="s">
        <v>66</v>
      </c>
      <c r="C39" s="50">
        <v>26</v>
      </c>
      <c r="D39" s="50">
        <v>30</v>
      </c>
      <c r="E39" s="50">
        <v>7</v>
      </c>
      <c r="F39" s="50">
        <v>31</v>
      </c>
      <c r="G39" s="50">
        <v>0</v>
      </c>
      <c r="H39" s="50">
        <v>0</v>
      </c>
      <c r="I39" s="50">
        <v>3</v>
      </c>
      <c r="J39" s="50">
        <v>2</v>
      </c>
      <c r="K39" s="50">
        <v>1</v>
      </c>
      <c r="L39" s="50">
        <v>1</v>
      </c>
      <c r="M39" s="50">
        <v>130</v>
      </c>
      <c r="N39" s="50">
        <v>0</v>
      </c>
      <c r="O39" s="15">
        <f t="shared" si="0"/>
        <v>101</v>
      </c>
      <c r="P39" s="15">
        <f t="shared" si="1"/>
        <v>231</v>
      </c>
    </row>
    <row r="40" spans="2:20" ht="23.1" customHeight="1" x14ac:dyDescent="0.25">
      <c r="B40" s="24" t="s">
        <v>67</v>
      </c>
      <c r="C40" s="50">
        <v>20</v>
      </c>
      <c r="D40" s="50">
        <v>44</v>
      </c>
      <c r="E40" s="50">
        <v>7</v>
      </c>
      <c r="F40" s="50">
        <v>29</v>
      </c>
      <c r="G40" s="50">
        <v>1</v>
      </c>
      <c r="H40" s="50">
        <v>0</v>
      </c>
      <c r="I40" s="50">
        <v>5</v>
      </c>
      <c r="J40" s="50">
        <v>0</v>
      </c>
      <c r="K40" s="50">
        <v>1</v>
      </c>
      <c r="L40" s="50">
        <v>1</v>
      </c>
      <c r="M40" s="50">
        <v>185</v>
      </c>
      <c r="N40" s="50">
        <v>0</v>
      </c>
      <c r="O40" s="15">
        <f t="shared" si="0"/>
        <v>108</v>
      </c>
      <c r="P40" s="15">
        <f t="shared" si="1"/>
        <v>293</v>
      </c>
    </row>
    <row r="41" spans="2:20" ht="23.1" customHeight="1" x14ac:dyDescent="0.25">
      <c r="B41" s="23" t="s">
        <v>68</v>
      </c>
      <c r="C41" s="50">
        <v>19</v>
      </c>
      <c r="D41" s="50">
        <v>30</v>
      </c>
      <c r="E41" s="50">
        <v>2</v>
      </c>
      <c r="F41" s="50">
        <v>20</v>
      </c>
      <c r="G41" s="50">
        <v>2</v>
      </c>
      <c r="H41" s="50">
        <v>0</v>
      </c>
      <c r="I41" s="50">
        <v>9</v>
      </c>
      <c r="J41" s="50">
        <v>3</v>
      </c>
      <c r="K41" s="50">
        <v>2</v>
      </c>
      <c r="L41" s="50">
        <v>0</v>
      </c>
      <c r="M41" s="50">
        <v>160</v>
      </c>
      <c r="N41" s="50">
        <v>0</v>
      </c>
      <c r="O41" s="15">
        <f t="shared" si="0"/>
        <v>87</v>
      </c>
      <c r="P41" s="15">
        <f t="shared" si="1"/>
        <v>247</v>
      </c>
    </row>
    <row r="42" spans="2:20" ht="23.1" customHeight="1" x14ac:dyDescent="0.25">
      <c r="B42" s="24" t="s">
        <v>69</v>
      </c>
      <c r="C42" s="50">
        <v>50</v>
      </c>
      <c r="D42" s="50">
        <v>10</v>
      </c>
      <c r="E42" s="50">
        <v>15</v>
      </c>
      <c r="F42" s="50">
        <v>35</v>
      </c>
      <c r="G42" s="50">
        <v>1</v>
      </c>
      <c r="H42" s="50">
        <v>0</v>
      </c>
      <c r="I42" s="50">
        <v>15</v>
      </c>
      <c r="J42" s="50">
        <v>1</v>
      </c>
      <c r="K42" s="50">
        <v>2</v>
      </c>
      <c r="L42" s="50">
        <v>3</v>
      </c>
      <c r="M42" s="50">
        <v>155</v>
      </c>
      <c r="N42" s="50">
        <v>0</v>
      </c>
      <c r="O42" s="15">
        <f t="shared" si="0"/>
        <v>132</v>
      </c>
      <c r="P42" s="15">
        <f t="shared" si="1"/>
        <v>287</v>
      </c>
    </row>
    <row r="43" spans="2:20" ht="23.1" customHeight="1" x14ac:dyDescent="0.25">
      <c r="B43" s="23" t="s">
        <v>70</v>
      </c>
      <c r="C43" s="50">
        <v>67</v>
      </c>
      <c r="D43" s="50">
        <v>14</v>
      </c>
      <c r="E43" s="50">
        <v>8</v>
      </c>
      <c r="F43" s="50">
        <v>36</v>
      </c>
      <c r="G43" s="50">
        <v>1</v>
      </c>
      <c r="H43" s="50">
        <v>0</v>
      </c>
      <c r="I43" s="50">
        <v>12</v>
      </c>
      <c r="J43" s="50">
        <v>2</v>
      </c>
      <c r="K43" s="50">
        <v>0</v>
      </c>
      <c r="L43" s="50">
        <v>0</v>
      </c>
      <c r="M43" s="50">
        <v>144</v>
      </c>
      <c r="N43" s="50">
        <v>0</v>
      </c>
      <c r="O43" s="15">
        <f t="shared" si="0"/>
        <v>140</v>
      </c>
      <c r="P43" s="15">
        <f t="shared" si="1"/>
        <v>284</v>
      </c>
    </row>
    <row r="44" spans="2:20" ht="23.1" customHeight="1" x14ac:dyDescent="0.25">
      <c r="B44" s="25" t="s">
        <v>71</v>
      </c>
      <c r="C44" s="50">
        <v>63</v>
      </c>
      <c r="D44" s="50">
        <v>5</v>
      </c>
      <c r="E44" s="50">
        <v>19</v>
      </c>
      <c r="F44" s="50">
        <v>41</v>
      </c>
      <c r="G44" s="50">
        <v>0</v>
      </c>
      <c r="H44" s="50">
        <v>1</v>
      </c>
      <c r="I44" s="50">
        <v>17</v>
      </c>
      <c r="J44" s="50">
        <v>2</v>
      </c>
      <c r="K44" s="50">
        <v>0</v>
      </c>
      <c r="L44" s="50">
        <v>0</v>
      </c>
      <c r="M44" s="50">
        <v>125</v>
      </c>
      <c r="N44" s="50">
        <v>0</v>
      </c>
      <c r="O44" s="15">
        <f t="shared" si="0"/>
        <v>148</v>
      </c>
      <c r="P44" s="15">
        <f t="shared" si="1"/>
        <v>273</v>
      </c>
    </row>
    <row r="45" spans="2:20" ht="23.1" customHeight="1" x14ac:dyDescent="0.25">
      <c r="B45" s="23" t="s">
        <v>72</v>
      </c>
      <c r="C45" s="50">
        <v>49</v>
      </c>
      <c r="D45" s="50">
        <v>8</v>
      </c>
      <c r="E45" s="50">
        <v>9</v>
      </c>
      <c r="F45" s="50">
        <v>34</v>
      </c>
      <c r="G45" s="50">
        <v>1</v>
      </c>
      <c r="H45" s="50">
        <v>0</v>
      </c>
      <c r="I45" s="50">
        <v>6</v>
      </c>
      <c r="J45" s="50">
        <v>4</v>
      </c>
      <c r="K45" s="50">
        <v>0</v>
      </c>
      <c r="L45" s="50">
        <v>1</v>
      </c>
      <c r="M45" s="50">
        <v>147</v>
      </c>
      <c r="N45" s="50">
        <v>0</v>
      </c>
      <c r="O45" s="15">
        <f t="shared" si="0"/>
        <v>112</v>
      </c>
      <c r="P45" s="15">
        <f t="shared" si="1"/>
        <v>259</v>
      </c>
    </row>
    <row r="46" spans="2:20" ht="23.1" customHeight="1" x14ac:dyDescent="0.25">
      <c r="B46" s="24" t="s">
        <v>73</v>
      </c>
      <c r="C46" s="50">
        <v>60</v>
      </c>
      <c r="D46" s="50">
        <v>7</v>
      </c>
      <c r="E46" s="50">
        <v>13</v>
      </c>
      <c r="F46" s="50">
        <v>45</v>
      </c>
      <c r="G46" s="50">
        <v>0</v>
      </c>
      <c r="H46" s="50">
        <v>0</v>
      </c>
      <c r="I46" s="50">
        <v>11</v>
      </c>
      <c r="J46" s="50">
        <v>2</v>
      </c>
      <c r="K46" s="50">
        <v>0</v>
      </c>
      <c r="L46" s="50">
        <v>0</v>
      </c>
      <c r="M46" s="50">
        <v>115</v>
      </c>
      <c r="N46" s="50">
        <v>0</v>
      </c>
      <c r="O46" s="15">
        <f t="shared" si="0"/>
        <v>138</v>
      </c>
      <c r="P46" s="15">
        <f t="shared" si="1"/>
        <v>253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11</v>
      </c>
      <c r="E47" s="50">
        <v>9</v>
      </c>
      <c r="F47" s="50">
        <v>31</v>
      </c>
      <c r="G47" s="50">
        <v>1</v>
      </c>
      <c r="H47" s="50">
        <v>0</v>
      </c>
      <c r="I47" s="50">
        <v>12</v>
      </c>
      <c r="J47" s="50">
        <v>2</v>
      </c>
      <c r="K47" s="50">
        <v>2</v>
      </c>
      <c r="L47" s="50">
        <v>1</v>
      </c>
      <c r="M47" s="50">
        <v>130</v>
      </c>
      <c r="N47" s="50">
        <v>0</v>
      </c>
      <c r="O47" s="15">
        <f t="shared" si="0"/>
        <v>121</v>
      </c>
      <c r="P47" s="15">
        <f t="shared" si="1"/>
        <v>251</v>
      </c>
      <c r="R47" s="8"/>
      <c r="T47"/>
    </row>
    <row r="48" spans="2:20" ht="23.1" customHeight="1" x14ac:dyDescent="0.25">
      <c r="B48" s="24" t="s">
        <v>75</v>
      </c>
      <c r="C48" s="50">
        <v>37</v>
      </c>
      <c r="D48" s="50">
        <v>25</v>
      </c>
      <c r="E48" s="50">
        <v>10</v>
      </c>
      <c r="F48" s="50">
        <v>33</v>
      </c>
      <c r="G48" s="50">
        <v>1</v>
      </c>
      <c r="H48" s="50">
        <v>1</v>
      </c>
      <c r="I48" s="50">
        <v>2</v>
      </c>
      <c r="J48" s="50">
        <v>0</v>
      </c>
      <c r="K48" s="50">
        <v>3</v>
      </c>
      <c r="L48" s="50">
        <v>1</v>
      </c>
      <c r="M48" s="50">
        <v>190</v>
      </c>
      <c r="N48" s="50">
        <v>0</v>
      </c>
      <c r="O48" s="15">
        <f t="shared" si="0"/>
        <v>113</v>
      </c>
      <c r="P48" s="15">
        <f t="shared" si="1"/>
        <v>303</v>
      </c>
      <c r="R48" s="8"/>
      <c r="T48"/>
    </row>
    <row r="49" spans="2:20" ht="23.1" customHeight="1" x14ac:dyDescent="0.25">
      <c r="B49" s="23" t="s">
        <v>76</v>
      </c>
      <c r="C49" s="50">
        <v>52</v>
      </c>
      <c r="D49" s="50">
        <v>15</v>
      </c>
      <c r="E49" s="50">
        <v>9</v>
      </c>
      <c r="F49" s="50">
        <v>35</v>
      </c>
      <c r="G49" s="50">
        <v>0</v>
      </c>
      <c r="H49" s="50">
        <v>0</v>
      </c>
      <c r="I49" s="50">
        <v>7</v>
      </c>
      <c r="J49" s="50">
        <v>0</v>
      </c>
      <c r="K49" s="50">
        <v>1</v>
      </c>
      <c r="L49" s="50">
        <v>0</v>
      </c>
      <c r="M49" s="50">
        <v>180</v>
      </c>
      <c r="N49" s="50">
        <v>0</v>
      </c>
      <c r="O49" s="15">
        <f t="shared" si="0"/>
        <v>119</v>
      </c>
      <c r="P49" s="15">
        <f t="shared" si="1"/>
        <v>299</v>
      </c>
      <c r="R49" s="8"/>
      <c r="T49"/>
    </row>
    <row r="50" spans="2:20" ht="23.1" customHeight="1" x14ac:dyDescent="0.25">
      <c r="B50" s="24" t="s">
        <v>77</v>
      </c>
      <c r="C50" s="50">
        <v>57</v>
      </c>
      <c r="D50" s="50">
        <v>11</v>
      </c>
      <c r="E50" s="50">
        <v>3</v>
      </c>
      <c r="F50" s="50">
        <v>44</v>
      </c>
      <c r="G50" s="50">
        <v>0</v>
      </c>
      <c r="H50" s="50">
        <v>1</v>
      </c>
      <c r="I50" s="50">
        <v>16</v>
      </c>
      <c r="J50" s="50">
        <v>2</v>
      </c>
      <c r="K50" s="50">
        <v>1</v>
      </c>
      <c r="L50" s="50">
        <v>0</v>
      </c>
      <c r="M50" s="50">
        <v>200</v>
      </c>
      <c r="N50" s="50">
        <v>0</v>
      </c>
      <c r="O50" s="15">
        <f t="shared" si="0"/>
        <v>135</v>
      </c>
      <c r="P50" s="15">
        <f t="shared" si="1"/>
        <v>335</v>
      </c>
      <c r="R50" s="8"/>
      <c r="T50"/>
    </row>
    <row r="51" spans="2:20" ht="23.1" customHeight="1" x14ac:dyDescent="0.25">
      <c r="B51" s="24" t="s">
        <v>78</v>
      </c>
      <c r="C51" s="50">
        <v>33</v>
      </c>
      <c r="D51" s="50">
        <v>12</v>
      </c>
      <c r="E51" s="50">
        <v>8</v>
      </c>
      <c r="F51" s="50">
        <v>48</v>
      </c>
      <c r="G51" s="50">
        <v>1</v>
      </c>
      <c r="H51" s="50">
        <v>0</v>
      </c>
      <c r="I51" s="50">
        <v>4</v>
      </c>
      <c r="J51" s="50">
        <v>1</v>
      </c>
      <c r="K51" s="50">
        <v>0</v>
      </c>
      <c r="L51" s="50">
        <v>0</v>
      </c>
      <c r="M51" s="50">
        <v>174</v>
      </c>
      <c r="N51" s="50">
        <v>0</v>
      </c>
      <c r="O51" s="15">
        <f t="shared" si="0"/>
        <v>107</v>
      </c>
      <c r="P51" s="15">
        <f t="shared" si="1"/>
        <v>281</v>
      </c>
      <c r="R51" s="8"/>
      <c r="T51"/>
    </row>
    <row r="52" spans="2:20" ht="23.1" customHeight="1" x14ac:dyDescent="0.25">
      <c r="B52" s="24" t="s">
        <v>79</v>
      </c>
      <c r="C52" s="50">
        <v>60</v>
      </c>
      <c r="D52" s="50">
        <v>15</v>
      </c>
      <c r="E52" s="50">
        <v>5</v>
      </c>
      <c r="F52" s="50">
        <v>44</v>
      </c>
      <c r="G52" s="50">
        <v>1</v>
      </c>
      <c r="H52" s="50">
        <v>0</v>
      </c>
      <c r="I52" s="50">
        <v>7</v>
      </c>
      <c r="J52" s="50">
        <v>2</v>
      </c>
      <c r="K52" s="50">
        <v>1</v>
      </c>
      <c r="L52" s="50">
        <v>1</v>
      </c>
      <c r="M52" s="50">
        <v>170</v>
      </c>
      <c r="N52" s="50">
        <v>0</v>
      </c>
      <c r="O52" s="15">
        <f t="shared" si="0"/>
        <v>136</v>
      </c>
      <c r="P52" s="15">
        <f t="shared" si="1"/>
        <v>306</v>
      </c>
      <c r="R52" s="8"/>
      <c r="T52"/>
    </row>
    <row r="53" spans="2:20" ht="23.1" customHeight="1" x14ac:dyDescent="0.25">
      <c r="B53" s="23" t="s">
        <v>80</v>
      </c>
      <c r="C53" s="50">
        <v>48</v>
      </c>
      <c r="D53" s="50">
        <v>13</v>
      </c>
      <c r="E53" s="50">
        <v>5</v>
      </c>
      <c r="F53" s="50">
        <v>51</v>
      </c>
      <c r="G53" s="50">
        <v>0</v>
      </c>
      <c r="H53" s="50">
        <v>1</v>
      </c>
      <c r="I53" s="50">
        <v>8</v>
      </c>
      <c r="J53" s="50">
        <v>2</v>
      </c>
      <c r="K53" s="50">
        <v>1</v>
      </c>
      <c r="L53" s="50">
        <v>0</v>
      </c>
      <c r="M53" s="50">
        <v>178</v>
      </c>
      <c r="N53" s="50">
        <v>0</v>
      </c>
      <c r="O53" s="15">
        <f t="shared" si="0"/>
        <v>129</v>
      </c>
      <c r="P53" s="15">
        <f t="shared" si="1"/>
        <v>307</v>
      </c>
      <c r="R53" s="8"/>
      <c r="T53"/>
    </row>
    <row r="54" spans="2:20" ht="23.1" customHeight="1" x14ac:dyDescent="0.25">
      <c r="B54" s="23" t="s">
        <v>81</v>
      </c>
      <c r="C54" s="50">
        <v>39</v>
      </c>
      <c r="D54" s="50">
        <v>15</v>
      </c>
      <c r="E54" s="50">
        <v>12</v>
      </c>
      <c r="F54" s="50">
        <v>48</v>
      </c>
      <c r="G54" s="50">
        <v>3</v>
      </c>
      <c r="H54" s="50">
        <v>0</v>
      </c>
      <c r="I54" s="50">
        <v>6</v>
      </c>
      <c r="J54" s="50">
        <v>0</v>
      </c>
      <c r="K54" s="50">
        <v>1</v>
      </c>
      <c r="L54" s="50">
        <v>1</v>
      </c>
      <c r="M54" s="50">
        <v>195</v>
      </c>
      <c r="N54" s="50">
        <v>0</v>
      </c>
      <c r="O54" s="15">
        <f t="shared" si="0"/>
        <v>125</v>
      </c>
      <c r="P54" s="15">
        <f t="shared" si="1"/>
        <v>320</v>
      </c>
      <c r="R54" s="8"/>
      <c r="T54"/>
    </row>
    <row r="55" spans="2:20" ht="23.1" customHeight="1" x14ac:dyDescent="0.25">
      <c r="B55" s="23" t="s">
        <v>82</v>
      </c>
      <c r="C55" s="50">
        <v>43</v>
      </c>
      <c r="D55" s="50">
        <v>19</v>
      </c>
      <c r="E55" s="50">
        <v>6</v>
      </c>
      <c r="F55" s="50">
        <v>45</v>
      </c>
      <c r="G55" s="50">
        <v>2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180</v>
      </c>
      <c r="N55" s="50">
        <v>0</v>
      </c>
      <c r="O55" s="15">
        <f t="shared" si="0"/>
        <v>119</v>
      </c>
      <c r="P55" s="15">
        <f t="shared" si="1"/>
        <v>299</v>
      </c>
      <c r="R55" s="8"/>
      <c r="T55"/>
    </row>
    <row r="56" spans="2:20" ht="23.1" customHeight="1" x14ac:dyDescent="0.25">
      <c r="B56" s="23" t="s">
        <v>83</v>
      </c>
      <c r="C56" s="50">
        <v>48</v>
      </c>
      <c r="D56" s="50">
        <v>13</v>
      </c>
      <c r="E56" s="50">
        <v>3</v>
      </c>
      <c r="F56" s="50">
        <v>42</v>
      </c>
      <c r="G56" s="50">
        <v>6</v>
      </c>
      <c r="H56" s="50">
        <v>0</v>
      </c>
      <c r="I56" s="50">
        <v>8</v>
      </c>
      <c r="J56" s="50">
        <v>0</v>
      </c>
      <c r="K56" s="50">
        <v>0</v>
      </c>
      <c r="L56" s="50">
        <v>0</v>
      </c>
      <c r="M56" s="50">
        <v>225</v>
      </c>
      <c r="N56" s="50">
        <v>0</v>
      </c>
      <c r="O56" s="15">
        <f t="shared" si="0"/>
        <v>120</v>
      </c>
      <c r="P56" s="15">
        <f t="shared" si="1"/>
        <v>345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9</v>
      </c>
      <c r="E57" s="50">
        <v>5</v>
      </c>
      <c r="F57" s="50">
        <v>38</v>
      </c>
      <c r="G57" s="50">
        <v>1</v>
      </c>
      <c r="H57" s="50">
        <v>0</v>
      </c>
      <c r="I57" s="50">
        <v>11</v>
      </c>
      <c r="J57" s="50">
        <v>0</v>
      </c>
      <c r="K57" s="50">
        <v>0</v>
      </c>
      <c r="L57" s="50">
        <v>0</v>
      </c>
      <c r="M57" s="50">
        <v>135</v>
      </c>
      <c r="N57" s="50">
        <v>0</v>
      </c>
      <c r="O57" s="15">
        <f t="shared" si="0"/>
        <v>99</v>
      </c>
      <c r="P57" s="15">
        <f t="shared" si="1"/>
        <v>234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1947</v>
      </c>
      <c r="D58" s="16">
        <f t="shared" si="21"/>
        <v>866</v>
      </c>
      <c r="E58" s="16">
        <f t="shared" si="21"/>
        <v>475</v>
      </c>
      <c r="F58" s="16">
        <f t="shared" si="21"/>
        <v>1920</v>
      </c>
      <c r="G58" s="16">
        <f t="shared" si="21"/>
        <v>35</v>
      </c>
      <c r="H58" s="16">
        <f t="shared" si="21"/>
        <v>15</v>
      </c>
      <c r="I58" s="16">
        <f t="shared" si="21"/>
        <v>402</v>
      </c>
      <c r="J58" s="16">
        <f t="shared" si="21"/>
        <v>61</v>
      </c>
      <c r="K58" s="16">
        <f t="shared" si="21"/>
        <v>40</v>
      </c>
      <c r="L58" s="16">
        <f t="shared" si="21"/>
        <v>19</v>
      </c>
      <c r="M58" s="16">
        <f t="shared" si="21"/>
        <v>8280</v>
      </c>
      <c r="N58" s="16">
        <f t="shared" si="21"/>
        <v>0</v>
      </c>
      <c r="O58" s="16">
        <f t="shared" si="21"/>
        <v>5780</v>
      </c>
      <c r="P58" s="16">
        <f t="shared" si="21"/>
        <v>14060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0.13847795163584636</v>
      </c>
      <c r="D59" s="43">
        <f t="shared" si="22"/>
        <v>6.1593172119487907E-2</v>
      </c>
      <c r="E59" s="43">
        <f t="shared" si="22"/>
        <v>3.3783783783783786E-2</v>
      </c>
      <c r="F59" s="43">
        <f t="shared" si="22"/>
        <v>0.13655761024182078</v>
      </c>
      <c r="G59" s="43">
        <f t="shared" si="22"/>
        <v>2.4893314366998577E-3</v>
      </c>
      <c r="H59" s="43">
        <f t="shared" si="22"/>
        <v>1.0668563300142249E-3</v>
      </c>
      <c r="I59" s="43">
        <f t="shared" si="22"/>
        <v>2.8591749644381222E-2</v>
      </c>
      <c r="J59" s="43">
        <f t="shared" si="22"/>
        <v>4.3385490753911808E-3</v>
      </c>
      <c r="K59" s="43">
        <f t="shared" si="22"/>
        <v>2.8449502133712661E-3</v>
      </c>
      <c r="L59" s="43">
        <f t="shared" si="22"/>
        <v>1.3513513513513514E-3</v>
      </c>
      <c r="M59" s="43">
        <f t="shared" si="22"/>
        <v>0.58890469416785207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0.33685121107266436</v>
      </c>
      <c r="D60" s="44">
        <f t="shared" ref="D60:N60" si="23">D58/$O$58</f>
        <v>0.14982698961937715</v>
      </c>
      <c r="E60" s="44">
        <f t="shared" si="23"/>
        <v>8.2179930795847747E-2</v>
      </c>
      <c r="F60" s="44">
        <f t="shared" si="23"/>
        <v>0.33217993079584773</v>
      </c>
      <c r="G60" s="44">
        <f t="shared" si="23"/>
        <v>6.0553633217993079E-3</v>
      </c>
      <c r="H60" s="44">
        <f t="shared" si="23"/>
        <v>2.5951557093425604E-3</v>
      </c>
      <c r="I60" s="44">
        <f t="shared" si="23"/>
        <v>6.955017301038062E-2</v>
      </c>
      <c r="J60" s="44">
        <f t="shared" si="23"/>
        <v>1.055363321799308E-2</v>
      </c>
      <c r="K60" s="44">
        <f t="shared" si="23"/>
        <v>6.920415224913495E-3</v>
      </c>
      <c r="L60" s="44">
        <f t="shared" si="23"/>
        <v>3.2871972318339101E-3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7" sqref="K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Kalewre-Kampala'!D5</f>
        <v>24.07.19</v>
      </c>
      <c r="E5" s="3"/>
      <c r="F5" s="41" t="s">
        <v>1</v>
      </c>
      <c r="G5" s="65" t="str">
        <f>'22.07 Kalerwe-Kampala'!G5:H5</f>
        <v>Wandegeya</v>
      </c>
      <c r="H5" s="66"/>
      <c r="I5" s="14"/>
      <c r="J5" s="2" t="s">
        <v>5</v>
      </c>
      <c r="K5" s="65" t="s">
        <v>177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'22.07 Kampala-Kalerwe'!G6:H6</f>
        <v>Kalerwe</v>
      </c>
      <c r="H6" s="66"/>
      <c r="J6" s="2" t="s">
        <v>21</v>
      </c>
      <c r="K6" s="65" t="str">
        <f>'22.07 Kalerwe-Kampala'!K6:L6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45</v>
      </c>
      <c r="D10" s="50">
        <v>40</v>
      </c>
      <c r="E10" s="50">
        <v>10</v>
      </c>
      <c r="F10" s="50">
        <v>0</v>
      </c>
      <c r="G10" s="50">
        <v>0</v>
      </c>
      <c r="H10" s="50">
        <v>15</v>
      </c>
      <c r="I10" s="50">
        <v>1</v>
      </c>
      <c r="J10" s="50">
        <v>0</v>
      </c>
      <c r="K10" s="50">
        <v>0</v>
      </c>
      <c r="L10" s="50">
        <v>0</v>
      </c>
      <c r="M10" s="50">
        <v>155</v>
      </c>
      <c r="N10" s="50">
        <v>0</v>
      </c>
      <c r="O10" s="15">
        <f t="shared" ref="O10:O57" si="0">SUM(C10:L10,N10)</f>
        <v>111</v>
      </c>
      <c r="P10" s="15">
        <f t="shared" ref="P10:P57" si="1">SUM(C10:N10)</f>
        <v>266</v>
      </c>
      <c r="R10" s="1" t="s">
        <v>6</v>
      </c>
      <c r="S10" s="17">
        <f t="shared" ref="S10:AF10" si="2">SUM(C10:C13)</f>
        <v>200</v>
      </c>
      <c r="T10" s="17">
        <f t="shared" si="2"/>
        <v>140</v>
      </c>
      <c r="U10" s="17">
        <f t="shared" si="2"/>
        <v>57</v>
      </c>
      <c r="V10" s="17">
        <f t="shared" si="2"/>
        <v>295</v>
      </c>
      <c r="W10" s="17">
        <f t="shared" si="2"/>
        <v>8</v>
      </c>
      <c r="X10" s="17">
        <f t="shared" si="2"/>
        <v>17</v>
      </c>
      <c r="Y10" s="17">
        <f t="shared" si="2"/>
        <v>36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740</v>
      </c>
      <c r="AD10" s="17">
        <f t="shared" si="2"/>
        <v>0</v>
      </c>
      <c r="AE10" s="31">
        <f t="shared" si="2"/>
        <v>756</v>
      </c>
      <c r="AF10" s="31">
        <f t="shared" si="2"/>
        <v>1496</v>
      </c>
    </row>
    <row r="11" spans="2:32" s="6" customFormat="1" ht="23.1" customHeight="1" x14ac:dyDescent="0.25">
      <c r="B11" s="23" t="s">
        <v>38</v>
      </c>
      <c r="C11" s="50">
        <v>60</v>
      </c>
      <c r="D11" s="50">
        <v>30</v>
      </c>
      <c r="E11" s="50">
        <v>18</v>
      </c>
      <c r="F11" s="50">
        <v>70</v>
      </c>
      <c r="G11" s="50">
        <v>4</v>
      </c>
      <c r="H11" s="50">
        <v>1</v>
      </c>
      <c r="I11" s="50">
        <v>14</v>
      </c>
      <c r="J11" s="50">
        <v>0</v>
      </c>
      <c r="K11" s="50">
        <v>0</v>
      </c>
      <c r="L11" s="50">
        <v>1</v>
      </c>
      <c r="M11" s="50">
        <v>190</v>
      </c>
      <c r="N11" s="50">
        <v>0</v>
      </c>
      <c r="O11" s="15">
        <f t="shared" si="0"/>
        <v>198</v>
      </c>
      <c r="P11" s="15">
        <f t="shared" si="1"/>
        <v>388</v>
      </c>
      <c r="R11" s="1" t="s">
        <v>7</v>
      </c>
      <c r="S11" s="17">
        <f t="shared" ref="S11:AF11" si="3">SUM(C14:C17)</f>
        <v>73</v>
      </c>
      <c r="T11" s="17">
        <f t="shared" si="3"/>
        <v>21</v>
      </c>
      <c r="U11" s="17">
        <f t="shared" si="3"/>
        <v>10</v>
      </c>
      <c r="V11" s="17">
        <f t="shared" si="3"/>
        <v>289</v>
      </c>
      <c r="W11" s="17">
        <f t="shared" si="3"/>
        <v>3</v>
      </c>
      <c r="X11" s="17">
        <f t="shared" si="3"/>
        <v>3</v>
      </c>
      <c r="Y11" s="17">
        <f t="shared" si="3"/>
        <v>34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1170</v>
      </c>
      <c r="AD11" s="17">
        <f t="shared" si="3"/>
        <v>0</v>
      </c>
      <c r="AE11" s="31">
        <f t="shared" si="3"/>
        <v>436</v>
      </c>
      <c r="AF11" s="31">
        <f t="shared" si="3"/>
        <v>1606</v>
      </c>
    </row>
    <row r="12" spans="2:32" ht="23.1" customHeight="1" x14ac:dyDescent="0.25">
      <c r="B12" s="23" t="s">
        <v>39</v>
      </c>
      <c r="C12" s="50">
        <v>50</v>
      </c>
      <c r="D12" s="50">
        <v>35</v>
      </c>
      <c r="E12" s="50">
        <v>9</v>
      </c>
      <c r="F12" s="50">
        <v>115</v>
      </c>
      <c r="G12" s="50">
        <v>2</v>
      </c>
      <c r="H12" s="50">
        <v>0</v>
      </c>
      <c r="I12" s="50">
        <v>11</v>
      </c>
      <c r="J12" s="50">
        <v>0</v>
      </c>
      <c r="K12" s="50">
        <v>0</v>
      </c>
      <c r="L12" s="50">
        <v>1</v>
      </c>
      <c r="M12" s="50">
        <v>205</v>
      </c>
      <c r="N12" s="50">
        <v>0</v>
      </c>
      <c r="O12" s="15">
        <f t="shared" si="0"/>
        <v>223</v>
      </c>
      <c r="P12" s="15">
        <f t="shared" si="1"/>
        <v>428</v>
      </c>
      <c r="R12" s="1" t="s">
        <v>8</v>
      </c>
      <c r="S12" s="17">
        <f t="shared" ref="S12:AF12" si="4">SUM(C18:C21)</f>
        <v>126</v>
      </c>
      <c r="T12" s="17">
        <f t="shared" si="4"/>
        <v>35</v>
      </c>
      <c r="U12" s="17">
        <f t="shared" si="4"/>
        <v>17</v>
      </c>
      <c r="V12" s="17">
        <f t="shared" si="4"/>
        <v>248</v>
      </c>
      <c r="W12" s="17">
        <f t="shared" si="4"/>
        <v>2</v>
      </c>
      <c r="X12" s="17">
        <f t="shared" si="4"/>
        <v>1</v>
      </c>
      <c r="Y12" s="17">
        <f t="shared" si="4"/>
        <v>38</v>
      </c>
      <c r="Z12" s="17">
        <f t="shared" si="4"/>
        <v>3</v>
      </c>
      <c r="AA12" s="17">
        <f t="shared" si="4"/>
        <v>2</v>
      </c>
      <c r="AB12" s="17">
        <f t="shared" si="4"/>
        <v>1</v>
      </c>
      <c r="AC12" s="17">
        <f t="shared" si="4"/>
        <v>1075</v>
      </c>
      <c r="AD12" s="17">
        <f t="shared" si="4"/>
        <v>0</v>
      </c>
      <c r="AE12" s="31">
        <f t="shared" si="4"/>
        <v>473</v>
      </c>
      <c r="AF12" s="31">
        <f t="shared" si="4"/>
        <v>1548</v>
      </c>
    </row>
    <row r="13" spans="2:32" ht="23.1" customHeight="1" x14ac:dyDescent="0.25">
      <c r="B13" s="23" t="s">
        <v>40</v>
      </c>
      <c r="C13" s="50">
        <v>45</v>
      </c>
      <c r="D13" s="50">
        <v>35</v>
      </c>
      <c r="E13" s="50">
        <v>20</v>
      </c>
      <c r="F13" s="50">
        <v>110</v>
      </c>
      <c r="G13" s="50">
        <v>2</v>
      </c>
      <c r="H13" s="50">
        <v>1</v>
      </c>
      <c r="I13" s="50">
        <v>10</v>
      </c>
      <c r="J13" s="50">
        <v>1</v>
      </c>
      <c r="K13" s="50">
        <v>0</v>
      </c>
      <c r="L13" s="50">
        <v>0</v>
      </c>
      <c r="M13" s="50">
        <v>190</v>
      </c>
      <c r="N13" s="50">
        <v>0</v>
      </c>
      <c r="O13" s="15">
        <f t="shared" si="0"/>
        <v>224</v>
      </c>
      <c r="P13" s="15">
        <f t="shared" si="1"/>
        <v>414</v>
      </c>
      <c r="R13" s="1" t="s">
        <v>9</v>
      </c>
      <c r="S13" s="17">
        <f t="shared" ref="S13:AF13" si="5">SUM(C22:C25)</f>
        <v>133</v>
      </c>
      <c r="T13" s="17">
        <f t="shared" si="5"/>
        <v>28</v>
      </c>
      <c r="U13" s="17">
        <f t="shared" si="5"/>
        <v>22</v>
      </c>
      <c r="V13" s="17">
        <f t="shared" si="5"/>
        <v>191</v>
      </c>
      <c r="W13" s="17">
        <f t="shared" si="5"/>
        <v>0</v>
      </c>
      <c r="X13" s="17">
        <f t="shared" si="5"/>
        <v>6</v>
      </c>
      <c r="Y13" s="17">
        <f t="shared" si="5"/>
        <v>48</v>
      </c>
      <c r="Z13" s="17">
        <f t="shared" si="5"/>
        <v>2</v>
      </c>
      <c r="AA13" s="17">
        <f t="shared" si="5"/>
        <v>4</v>
      </c>
      <c r="AB13" s="17">
        <f t="shared" si="5"/>
        <v>4</v>
      </c>
      <c r="AC13" s="17">
        <f t="shared" si="5"/>
        <v>1000</v>
      </c>
      <c r="AD13" s="17">
        <f t="shared" si="5"/>
        <v>0</v>
      </c>
      <c r="AE13" s="31">
        <f t="shared" si="5"/>
        <v>438</v>
      </c>
      <c r="AF13" s="31">
        <f t="shared" si="5"/>
        <v>1438</v>
      </c>
    </row>
    <row r="14" spans="2:32" ht="23.1" customHeight="1" x14ac:dyDescent="0.25">
      <c r="B14" s="23" t="s">
        <v>41</v>
      </c>
      <c r="C14" s="50">
        <v>15</v>
      </c>
      <c r="D14" s="50">
        <v>9</v>
      </c>
      <c r="E14" s="50">
        <v>2</v>
      </c>
      <c r="F14" s="50">
        <v>70</v>
      </c>
      <c r="G14" s="50">
        <v>1</v>
      </c>
      <c r="H14" s="50">
        <v>2</v>
      </c>
      <c r="I14" s="50">
        <v>13</v>
      </c>
      <c r="J14" s="50">
        <v>0</v>
      </c>
      <c r="K14" s="50">
        <v>0</v>
      </c>
      <c r="L14" s="50">
        <v>0</v>
      </c>
      <c r="M14" s="50">
        <v>245</v>
      </c>
      <c r="N14" s="50">
        <v>0</v>
      </c>
      <c r="O14" s="15">
        <f t="shared" si="0"/>
        <v>112</v>
      </c>
      <c r="P14" s="15">
        <f t="shared" si="1"/>
        <v>357</v>
      </c>
      <c r="R14" s="1" t="s">
        <v>10</v>
      </c>
      <c r="S14" s="17">
        <f t="shared" ref="S14:AF14" si="6">SUM(C26:C29)</f>
        <v>80</v>
      </c>
      <c r="T14" s="17">
        <f t="shared" si="6"/>
        <v>65</v>
      </c>
      <c r="U14" s="17">
        <f t="shared" si="6"/>
        <v>17</v>
      </c>
      <c r="V14" s="17">
        <f t="shared" si="6"/>
        <v>185</v>
      </c>
      <c r="W14" s="17">
        <f t="shared" si="6"/>
        <v>0</v>
      </c>
      <c r="X14" s="17">
        <f t="shared" si="6"/>
        <v>2</v>
      </c>
      <c r="Y14" s="17">
        <f t="shared" si="6"/>
        <v>56</v>
      </c>
      <c r="Z14" s="17">
        <f t="shared" si="6"/>
        <v>4</v>
      </c>
      <c r="AA14" s="17">
        <f t="shared" si="6"/>
        <v>2</v>
      </c>
      <c r="AB14" s="17">
        <f t="shared" si="6"/>
        <v>5</v>
      </c>
      <c r="AC14" s="17">
        <f t="shared" si="6"/>
        <v>850</v>
      </c>
      <c r="AD14" s="17">
        <f t="shared" si="6"/>
        <v>0</v>
      </c>
      <c r="AE14" s="31">
        <f t="shared" si="6"/>
        <v>416</v>
      </c>
      <c r="AF14" s="31">
        <f t="shared" si="6"/>
        <v>1266</v>
      </c>
    </row>
    <row r="15" spans="2:32" ht="23.1" customHeight="1" x14ac:dyDescent="0.25">
      <c r="B15" s="23" t="s">
        <v>42</v>
      </c>
      <c r="C15" s="50">
        <v>18</v>
      </c>
      <c r="D15" s="50">
        <v>7</v>
      </c>
      <c r="E15" s="50">
        <v>6</v>
      </c>
      <c r="F15" s="50">
        <v>80</v>
      </c>
      <c r="G15" s="50">
        <v>2</v>
      </c>
      <c r="H15" s="50">
        <v>1</v>
      </c>
      <c r="I15" s="50">
        <v>6</v>
      </c>
      <c r="J15" s="50">
        <v>0</v>
      </c>
      <c r="K15" s="50">
        <v>1</v>
      </c>
      <c r="L15" s="50">
        <v>0</v>
      </c>
      <c r="M15" s="50">
        <v>280</v>
      </c>
      <c r="N15" s="50">
        <v>0</v>
      </c>
      <c r="O15" s="15">
        <f t="shared" si="0"/>
        <v>121</v>
      </c>
      <c r="P15" s="15">
        <f t="shared" si="1"/>
        <v>401</v>
      </c>
      <c r="R15" s="1" t="s">
        <v>11</v>
      </c>
      <c r="S15" s="17">
        <f t="shared" ref="S15:AF15" si="7">SUM(C30:C33)</f>
        <v>132</v>
      </c>
      <c r="T15" s="17">
        <f t="shared" si="7"/>
        <v>55</v>
      </c>
      <c r="U15" s="17">
        <f t="shared" si="7"/>
        <v>14</v>
      </c>
      <c r="V15" s="17">
        <f t="shared" si="7"/>
        <v>169</v>
      </c>
      <c r="W15" s="17">
        <f t="shared" si="7"/>
        <v>2</v>
      </c>
      <c r="X15" s="17">
        <f t="shared" si="7"/>
        <v>5</v>
      </c>
      <c r="Y15" s="17">
        <f t="shared" si="7"/>
        <v>46</v>
      </c>
      <c r="Z15" s="17">
        <f t="shared" si="7"/>
        <v>3</v>
      </c>
      <c r="AA15" s="17">
        <f t="shared" si="7"/>
        <v>3</v>
      </c>
      <c r="AB15" s="17">
        <f t="shared" si="7"/>
        <v>4</v>
      </c>
      <c r="AC15" s="17">
        <f t="shared" si="7"/>
        <v>605</v>
      </c>
      <c r="AD15" s="17">
        <f t="shared" si="7"/>
        <v>0</v>
      </c>
      <c r="AE15" s="31">
        <f t="shared" si="7"/>
        <v>433</v>
      </c>
      <c r="AF15" s="31">
        <f t="shared" si="7"/>
        <v>1038</v>
      </c>
    </row>
    <row r="16" spans="2:32" ht="23.1" customHeight="1" x14ac:dyDescent="0.25">
      <c r="B16" s="23" t="s">
        <v>43</v>
      </c>
      <c r="C16" s="50">
        <v>15</v>
      </c>
      <c r="D16" s="50">
        <v>3</v>
      </c>
      <c r="E16" s="50">
        <v>0</v>
      </c>
      <c r="F16" s="50">
        <v>44</v>
      </c>
      <c r="G16" s="50">
        <v>0</v>
      </c>
      <c r="H16" s="50">
        <v>0</v>
      </c>
      <c r="I16" s="50">
        <v>9</v>
      </c>
      <c r="J16" s="50">
        <v>1</v>
      </c>
      <c r="K16" s="50">
        <v>0</v>
      </c>
      <c r="L16" s="50">
        <v>0</v>
      </c>
      <c r="M16" s="50">
        <v>340</v>
      </c>
      <c r="N16" s="50">
        <v>0</v>
      </c>
      <c r="O16" s="15">
        <f t="shared" si="0"/>
        <v>72</v>
      </c>
      <c r="P16" s="15">
        <f t="shared" si="1"/>
        <v>412</v>
      </c>
      <c r="R16" s="1" t="s">
        <v>12</v>
      </c>
      <c r="S16" s="17">
        <f t="shared" ref="S16:AF16" si="8">SUM(C34:C37)</f>
        <v>147</v>
      </c>
      <c r="T16" s="17">
        <f t="shared" si="8"/>
        <v>65</v>
      </c>
      <c r="U16" s="17">
        <f t="shared" si="8"/>
        <v>17</v>
      </c>
      <c r="V16" s="17">
        <f t="shared" si="8"/>
        <v>169</v>
      </c>
      <c r="W16" s="17">
        <f t="shared" si="8"/>
        <v>7</v>
      </c>
      <c r="X16" s="17">
        <f t="shared" si="8"/>
        <v>3</v>
      </c>
      <c r="Y16" s="17">
        <f t="shared" si="8"/>
        <v>50</v>
      </c>
      <c r="Z16" s="17">
        <f t="shared" si="8"/>
        <v>7</v>
      </c>
      <c r="AA16" s="17">
        <f t="shared" si="8"/>
        <v>4</v>
      </c>
      <c r="AB16" s="17">
        <f t="shared" si="8"/>
        <v>2</v>
      </c>
      <c r="AC16" s="17">
        <f t="shared" si="8"/>
        <v>710</v>
      </c>
      <c r="AD16" s="17">
        <f t="shared" si="8"/>
        <v>0</v>
      </c>
      <c r="AE16" s="31">
        <f t="shared" si="8"/>
        <v>471</v>
      </c>
      <c r="AF16" s="31">
        <f t="shared" si="8"/>
        <v>1181</v>
      </c>
    </row>
    <row r="17" spans="2:32" ht="23.1" customHeight="1" x14ac:dyDescent="0.25">
      <c r="B17" s="23" t="s">
        <v>44</v>
      </c>
      <c r="C17" s="50">
        <v>25</v>
      </c>
      <c r="D17" s="50">
        <v>2</v>
      </c>
      <c r="E17" s="50">
        <v>2</v>
      </c>
      <c r="F17" s="50">
        <v>95</v>
      </c>
      <c r="G17" s="50">
        <v>0</v>
      </c>
      <c r="H17" s="50">
        <v>0</v>
      </c>
      <c r="I17" s="50">
        <v>6</v>
      </c>
      <c r="J17" s="50">
        <v>1</v>
      </c>
      <c r="K17" s="50">
        <v>0</v>
      </c>
      <c r="L17" s="50">
        <v>0</v>
      </c>
      <c r="M17" s="50">
        <v>305</v>
      </c>
      <c r="N17" s="50">
        <v>0</v>
      </c>
      <c r="O17" s="15">
        <f t="shared" si="0"/>
        <v>131</v>
      </c>
      <c r="P17" s="15">
        <f t="shared" si="1"/>
        <v>436</v>
      </c>
      <c r="R17" s="1" t="s">
        <v>13</v>
      </c>
      <c r="S17" s="17">
        <f t="shared" ref="S17:AF17" si="9">SUM(C38:C41)</f>
        <v>119</v>
      </c>
      <c r="T17" s="17">
        <f t="shared" si="9"/>
        <v>39</v>
      </c>
      <c r="U17" s="17">
        <f t="shared" si="9"/>
        <v>6</v>
      </c>
      <c r="V17" s="17">
        <f t="shared" si="9"/>
        <v>124</v>
      </c>
      <c r="W17" s="17">
        <f t="shared" si="9"/>
        <v>1</v>
      </c>
      <c r="X17" s="17">
        <f t="shared" si="9"/>
        <v>3</v>
      </c>
      <c r="Y17" s="17">
        <f t="shared" si="9"/>
        <v>44</v>
      </c>
      <c r="Z17" s="17">
        <f t="shared" si="9"/>
        <v>4</v>
      </c>
      <c r="AA17" s="17">
        <f t="shared" si="9"/>
        <v>1</v>
      </c>
      <c r="AB17" s="17">
        <f t="shared" si="9"/>
        <v>2</v>
      </c>
      <c r="AC17" s="17">
        <f t="shared" si="9"/>
        <v>635</v>
      </c>
      <c r="AD17" s="17">
        <f t="shared" si="9"/>
        <v>0</v>
      </c>
      <c r="AE17" s="31">
        <f t="shared" si="9"/>
        <v>343</v>
      </c>
      <c r="AF17" s="31">
        <f t="shared" si="9"/>
        <v>978</v>
      </c>
    </row>
    <row r="18" spans="2:32" ht="23.1" customHeight="1" x14ac:dyDescent="0.25">
      <c r="B18" s="23" t="s">
        <v>45</v>
      </c>
      <c r="C18" s="50">
        <v>25</v>
      </c>
      <c r="D18" s="50">
        <v>8</v>
      </c>
      <c r="E18" s="50">
        <v>3</v>
      </c>
      <c r="F18" s="50">
        <v>70</v>
      </c>
      <c r="G18" s="50">
        <v>0</v>
      </c>
      <c r="H18" s="50">
        <v>0</v>
      </c>
      <c r="I18" s="50">
        <v>6</v>
      </c>
      <c r="J18" s="50">
        <v>0</v>
      </c>
      <c r="K18" s="50">
        <v>0</v>
      </c>
      <c r="L18" s="50">
        <v>0</v>
      </c>
      <c r="M18" s="50">
        <v>255</v>
      </c>
      <c r="N18" s="50">
        <v>0</v>
      </c>
      <c r="O18" s="15">
        <f t="shared" si="0"/>
        <v>112</v>
      </c>
      <c r="P18" s="15">
        <f t="shared" si="1"/>
        <v>367</v>
      </c>
      <c r="R18" s="1" t="s">
        <v>14</v>
      </c>
      <c r="S18" s="17">
        <f t="shared" ref="S18:AF18" si="10">SUM(C42:C45)</f>
        <v>148</v>
      </c>
      <c r="T18" s="17">
        <f t="shared" si="10"/>
        <v>55</v>
      </c>
      <c r="U18" s="17">
        <f t="shared" si="10"/>
        <v>21</v>
      </c>
      <c r="V18" s="17">
        <f t="shared" si="10"/>
        <v>132</v>
      </c>
      <c r="W18" s="17">
        <f t="shared" si="10"/>
        <v>3</v>
      </c>
      <c r="X18" s="17">
        <f t="shared" si="10"/>
        <v>0</v>
      </c>
      <c r="Y18" s="17">
        <f t="shared" si="10"/>
        <v>44</v>
      </c>
      <c r="Z18" s="17">
        <f t="shared" si="10"/>
        <v>3</v>
      </c>
      <c r="AA18" s="17">
        <f t="shared" si="10"/>
        <v>6</v>
      </c>
      <c r="AB18" s="17">
        <f t="shared" si="10"/>
        <v>1</v>
      </c>
      <c r="AC18" s="17">
        <f t="shared" si="10"/>
        <v>567</v>
      </c>
      <c r="AD18" s="17">
        <f t="shared" si="10"/>
        <v>0</v>
      </c>
      <c r="AE18" s="31">
        <f t="shared" si="10"/>
        <v>413</v>
      </c>
      <c r="AF18" s="31">
        <f t="shared" si="10"/>
        <v>980</v>
      </c>
    </row>
    <row r="19" spans="2:32" ht="23.1" customHeight="1" x14ac:dyDescent="0.25">
      <c r="B19" s="23" t="s">
        <v>46</v>
      </c>
      <c r="C19" s="50">
        <v>16</v>
      </c>
      <c r="D19" s="50">
        <v>6</v>
      </c>
      <c r="E19" s="50">
        <v>1</v>
      </c>
      <c r="F19" s="50">
        <v>57</v>
      </c>
      <c r="G19" s="50">
        <v>1</v>
      </c>
      <c r="H19" s="50">
        <v>0</v>
      </c>
      <c r="I19" s="50">
        <v>7</v>
      </c>
      <c r="J19" s="50">
        <v>1</v>
      </c>
      <c r="K19" s="50">
        <v>1</v>
      </c>
      <c r="L19" s="50">
        <v>0</v>
      </c>
      <c r="M19" s="50">
        <v>260</v>
      </c>
      <c r="N19" s="50">
        <v>0</v>
      </c>
      <c r="O19" s="15">
        <f t="shared" si="0"/>
        <v>90</v>
      </c>
      <c r="P19" s="15">
        <f t="shared" si="1"/>
        <v>350</v>
      </c>
      <c r="R19" s="1" t="s">
        <v>15</v>
      </c>
      <c r="S19" s="17">
        <f t="shared" ref="S19:AF19" si="11">SUM(C46:C49)</f>
        <v>203</v>
      </c>
      <c r="T19" s="17">
        <f t="shared" si="11"/>
        <v>128</v>
      </c>
      <c r="U19" s="17">
        <f t="shared" si="11"/>
        <v>63</v>
      </c>
      <c r="V19" s="17">
        <f t="shared" si="11"/>
        <v>236</v>
      </c>
      <c r="W19" s="17">
        <f t="shared" si="11"/>
        <v>6</v>
      </c>
      <c r="X19" s="17">
        <f t="shared" si="11"/>
        <v>3</v>
      </c>
      <c r="Y19" s="17">
        <f t="shared" si="11"/>
        <v>49</v>
      </c>
      <c r="Z19" s="17">
        <f t="shared" si="11"/>
        <v>6</v>
      </c>
      <c r="AA19" s="17">
        <f t="shared" si="11"/>
        <v>3</v>
      </c>
      <c r="AB19" s="17">
        <f t="shared" si="11"/>
        <v>0</v>
      </c>
      <c r="AC19" s="17">
        <f t="shared" si="11"/>
        <v>603</v>
      </c>
      <c r="AD19" s="17">
        <f t="shared" si="11"/>
        <v>0</v>
      </c>
      <c r="AE19" s="31">
        <f t="shared" si="11"/>
        <v>697</v>
      </c>
      <c r="AF19" s="31">
        <f t="shared" si="11"/>
        <v>1300</v>
      </c>
    </row>
    <row r="20" spans="2:32" ht="23.1" customHeight="1" x14ac:dyDescent="0.25">
      <c r="B20" s="23" t="s">
        <v>47</v>
      </c>
      <c r="C20" s="50">
        <v>40</v>
      </c>
      <c r="D20" s="50">
        <v>13</v>
      </c>
      <c r="E20" s="50">
        <v>5</v>
      </c>
      <c r="F20" s="50">
        <v>65</v>
      </c>
      <c r="G20" s="50">
        <v>1</v>
      </c>
      <c r="H20" s="50">
        <v>1</v>
      </c>
      <c r="I20" s="50">
        <v>11</v>
      </c>
      <c r="J20" s="50">
        <v>2</v>
      </c>
      <c r="K20" s="50">
        <v>0</v>
      </c>
      <c r="L20" s="50">
        <v>0</v>
      </c>
      <c r="M20" s="50">
        <v>285</v>
      </c>
      <c r="N20" s="50">
        <v>0</v>
      </c>
      <c r="O20" s="15">
        <f t="shared" si="0"/>
        <v>138</v>
      </c>
      <c r="P20" s="15">
        <f t="shared" si="1"/>
        <v>423</v>
      </c>
      <c r="R20" s="1" t="s">
        <v>16</v>
      </c>
      <c r="S20" s="17">
        <f t="shared" ref="S20:AF20" si="12">SUM(C50:C53)</f>
        <v>272</v>
      </c>
      <c r="T20" s="17">
        <f t="shared" si="12"/>
        <v>70</v>
      </c>
      <c r="U20" s="17">
        <f t="shared" si="12"/>
        <v>18</v>
      </c>
      <c r="V20" s="17">
        <f t="shared" si="12"/>
        <v>167</v>
      </c>
      <c r="W20" s="17">
        <f t="shared" si="12"/>
        <v>3</v>
      </c>
      <c r="X20" s="17">
        <f t="shared" si="12"/>
        <v>2</v>
      </c>
      <c r="Y20" s="17">
        <f t="shared" si="12"/>
        <v>46</v>
      </c>
      <c r="Z20" s="17">
        <f t="shared" si="12"/>
        <v>7</v>
      </c>
      <c r="AA20" s="17">
        <f t="shared" si="12"/>
        <v>1</v>
      </c>
      <c r="AB20" s="17">
        <f t="shared" si="12"/>
        <v>3</v>
      </c>
      <c r="AC20" s="17">
        <f t="shared" si="12"/>
        <v>670</v>
      </c>
      <c r="AD20" s="17">
        <f t="shared" si="12"/>
        <v>0</v>
      </c>
      <c r="AE20" s="31">
        <f t="shared" si="12"/>
        <v>589</v>
      </c>
      <c r="AF20" s="31">
        <f t="shared" si="12"/>
        <v>1259</v>
      </c>
    </row>
    <row r="21" spans="2:32" ht="23.1" customHeight="1" x14ac:dyDescent="0.25">
      <c r="B21" s="23" t="s">
        <v>48</v>
      </c>
      <c r="C21" s="50">
        <v>45</v>
      </c>
      <c r="D21" s="50">
        <v>8</v>
      </c>
      <c r="E21" s="50">
        <v>8</v>
      </c>
      <c r="F21" s="50">
        <v>56</v>
      </c>
      <c r="G21" s="50">
        <v>0</v>
      </c>
      <c r="H21" s="50">
        <v>0</v>
      </c>
      <c r="I21" s="50">
        <v>14</v>
      </c>
      <c r="J21" s="50">
        <v>0</v>
      </c>
      <c r="K21" s="50">
        <v>1</v>
      </c>
      <c r="L21" s="50">
        <v>1</v>
      </c>
      <c r="M21" s="50">
        <v>275</v>
      </c>
      <c r="N21" s="50">
        <v>0</v>
      </c>
      <c r="O21" s="15">
        <f t="shared" si="0"/>
        <v>133</v>
      </c>
      <c r="P21" s="15">
        <f t="shared" si="1"/>
        <v>408</v>
      </c>
      <c r="R21" s="36" t="s">
        <v>20</v>
      </c>
      <c r="S21" s="34">
        <f t="shared" ref="S21:AF21" si="13">SUM(C54:C57)</f>
        <v>240</v>
      </c>
      <c r="T21" s="17">
        <f t="shared" si="13"/>
        <v>63</v>
      </c>
      <c r="U21" s="17">
        <f t="shared" si="13"/>
        <v>10</v>
      </c>
      <c r="V21" s="17">
        <f t="shared" si="13"/>
        <v>175</v>
      </c>
      <c r="W21" s="17">
        <f t="shared" si="13"/>
        <v>1</v>
      </c>
      <c r="X21" s="17">
        <f t="shared" si="13"/>
        <v>1</v>
      </c>
      <c r="Y21" s="17">
        <f t="shared" si="13"/>
        <v>32</v>
      </c>
      <c r="Z21" s="17">
        <f t="shared" si="13"/>
        <v>6</v>
      </c>
      <c r="AA21" s="17">
        <f t="shared" si="13"/>
        <v>4</v>
      </c>
      <c r="AB21" s="17">
        <f t="shared" si="13"/>
        <v>1</v>
      </c>
      <c r="AC21" s="17">
        <f t="shared" si="13"/>
        <v>570</v>
      </c>
      <c r="AD21" s="17">
        <f t="shared" si="13"/>
        <v>0</v>
      </c>
      <c r="AE21" s="31">
        <f t="shared" si="13"/>
        <v>533</v>
      </c>
      <c r="AF21" s="31">
        <f t="shared" si="13"/>
        <v>1103</v>
      </c>
    </row>
    <row r="22" spans="2:32" ht="23.1" customHeight="1" x14ac:dyDescent="0.25">
      <c r="B22" s="23" t="s">
        <v>49</v>
      </c>
      <c r="C22" s="50">
        <v>38</v>
      </c>
      <c r="D22" s="50">
        <v>10</v>
      </c>
      <c r="E22" s="50">
        <v>6</v>
      </c>
      <c r="F22" s="50">
        <v>64</v>
      </c>
      <c r="G22" s="50">
        <v>0</v>
      </c>
      <c r="H22" s="50">
        <v>3</v>
      </c>
      <c r="I22" s="50">
        <v>12</v>
      </c>
      <c r="J22" s="50">
        <v>1</v>
      </c>
      <c r="K22" s="50">
        <v>2</v>
      </c>
      <c r="L22" s="50">
        <v>0</v>
      </c>
      <c r="M22" s="50">
        <v>245</v>
      </c>
      <c r="N22" s="50">
        <v>0</v>
      </c>
      <c r="O22" s="15">
        <f t="shared" si="0"/>
        <v>136</v>
      </c>
      <c r="P22" s="15">
        <f t="shared" si="1"/>
        <v>381</v>
      </c>
      <c r="R22" s="38" t="s">
        <v>90</v>
      </c>
      <c r="S22" s="39">
        <f>MAX(S10:S12)</f>
        <v>200</v>
      </c>
      <c r="T22" s="39">
        <f t="shared" ref="T22:AF22" si="14">MAX(T10:T12)</f>
        <v>140</v>
      </c>
      <c r="U22" s="39">
        <f t="shared" si="14"/>
        <v>57</v>
      </c>
      <c r="V22" s="39">
        <f t="shared" si="14"/>
        <v>295</v>
      </c>
      <c r="W22" s="39">
        <f t="shared" si="14"/>
        <v>8</v>
      </c>
      <c r="X22" s="39">
        <f t="shared" si="14"/>
        <v>17</v>
      </c>
      <c r="Y22" s="39">
        <f t="shared" si="14"/>
        <v>38</v>
      </c>
      <c r="Z22" s="39">
        <f t="shared" si="14"/>
        <v>3</v>
      </c>
      <c r="AA22" s="39">
        <f t="shared" si="14"/>
        <v>2</v>
      </c>
      <c r="AB22" s="39">
        <f t="shared" si="14"/>
        <v>2</v>
      </c>
      <c r="AC22" s="39">
        <f t="shared" si="14"/>
        <v>1170</v>
      </c>
      <c r="AD22" s="39">
        <f t="shared" si="14"/>
        <v>0</v>
      </c>
      <c r="AE22" s="40">
        <f t="shared" si="14"/>
        <v>756</v>
      </c>
      <c r="AF22" s="40">
        <f t="shared" si="14"/>
        <v>1606</v>
      </c>
    </row>
    <row r="23" spans="2:32" ht="23.1" customHeight="1" x14ac:dyDescent="0.25">
      <c r="B23" s="23" t="s">
        <v>50</v>
      </c>
      <c r="C23" s="50">
        <v>18</v>
      </c>
      <c r="D23" s="50">
        <v>7</v>
      </c>
      <c r="E23" s="50">
        <v>8</v>
      </c>
      <c r="F23" s="50">
        <v>35</v>
      </c>
      <c r="G23" s="50">
        <v>0</v>
      </c>
      <c r="H23" s="50">
        <v>0</v>
      </c>
      <c r="I23" s="50">
        <v>15</v>
      </c>
      <c r="J23" s="50">
        <v>0</v>
      </c>
      <c r="K23" s="50">
        <v>0</v>
      </c>
      <c r="L23" s="50">
        <v>2</v>
      </c>
      <c r="M23" s="50">
        <v>260</v>
      </c>
      <c r="N23" s="50">
        <v>0</v>
      </c>
      <c r="O23" s="15">
        <f t="shared" si="0"/>
        <v>85</v>
      </c>
      <c r="P23" s="15">
        <f t="shared" si="1"/>
        <v>345</v>
      </c>
      <c r="R23" s="38" t="s">
        <v>91</v>
      </c>
      <c r="S23" s="39">
        <f>MAX(S13:S18)</f>
        <v>148</v>
      </c>
      <c r="T23" s="39">
        <f t="shared" ref="T23:AF23" si="15">MAX(T13:T18)</f>
        <v>65</v>
      </c>
      <c r="U23" s="39">
        <f t="shared" si="15"/>
        <v>22</v>
      </c>
      <c r="V23" s="39">
        <f t="shared" si="15"/>
        <v>191</v>
      </c>
      <c r="W23" s="39">
        <f t="shared" si="15"/>
        <v>7</v>
      </c>
      <c r="X23" s="39">
        <f t="shared" si="15"/>
        <v>6</v>
      </c>
      <c r="Y23" s="39">
        <f t="shared" si="15"/>
        <v>56</v>
      </c>
      <c r="Z23" s="39">
        <f t="shared" si="15"/>
        <v>7</v>
      </c>
      <c r="AA23" s="39">
        <f t="shared" si="15"/>
        <v>6</v>
      </c>
      <c r="AB23" s="39">
        <f t="shared" si="15"/>
        <v>5</v>
      </c>
      <c r="AC23" s="39">
        <f t="shared" si="15"/>
        <v>1000</v>
      </c>
      <c r="AD23" s="39">
        <f t="shared" si="15"/>
        <v>0</v>
      </c>
      <c r="AE23" s="40">
        <f t="shared" si="15"/>
        <v>471</v>
      </c>
      <c r="AF23" s="40">
        <f t="shared" si="15"/>
        <v>1438</v>
      </c>
    </row>
    <row r="24" spans="2:32" ht="23.1" customHeight="1" x14ac:dyDescent="0.25">
      <c r="B24" s="23" t="s">
        <v>51</v>
      </c>
      <c r="C24" s="50">
        <v>47</v>
      </c>
      <c r="D24" s="50">
        <v>7</v>
      </c>
      <c r="E24" s="50">
        <v>2</v>
      </c>
      <c r="F24" s="50">
        <v>46</v>
      </c>
      <c r="G24" s="50">
        <v>0</v>
      </c>
      <c r="H24" s="50">
        <v>1</v>
      </c>
      <c r="I24" s="50">
        <v>13</v>
      </c>
      <c r="J24" s="50">
        <v>1</v>
      </c>
      <c r="K24" s="50">
        <v>1</v>
      </c>
      <c r="L24" s="50">
        <v>0</v>
      </c>
      <c r="M24" s="50">
        <v>235</v>
      </c>
      <c r="N24" s="50">
        <v>0</v>
      </c>
      <c r="O24" s="15">
        <f t="shared" si="0"/>
        <v>118</v>
      </c>
      <c r="P24" s="15">
        <f t="shared" si="1"/>
        <v>353</v>
      </c>
      <c r="R24" s="38" t="s">
        <v>92</v>
      </c>
      <c r="S24" s="39">
        <f>MAX(S19:S21)</f>
        <v>272</v>
      </c>
      <c r="T24" s="39">
        <f t="shared" ref="T24:AF24" si="16">MAX(T19:T21)</f>
        <v>128</v>
      </c>
      <c r="U24" s="39">
        <f t="shared" si="16"/>
        <v>63</v>
      </c>
      <c r="V24" s="39">
        <f t="shared" si="16"/>
        <v>236</v>
      </c>
      <c r="W24" s="39">
        <f t="shared" si="16"/>
        <v>6</v>
      </c>
      <c r="X24" s="39">
        <f t="shared" si="16"/>
        <v>3</v>
      </c>
      <c r="Y24" s="39">
        <f t="shared" si="16"/>
        <v>49</v>
      </c>
      <c r="Z24" s="39">
        <f t="shared" si="16"/>
        <v>7</v>
      </c>
      <c r="AA24" s="39">
        <f t="shared" si="16"/>
        <v>4</v>
      </c>
      <c r="AB24" s="39">
        <f t="shared" si="16"/>
        <v>3</v>
      </c>
      <c r="AC24" s="39">
        <f t="shared" si="16"/>
        <v>670</v>
      </c>
      <c r="AD24" s="39">
        <f t="shared" si="16"/>
        <v>0</v>
      </c>
      <c r="AE24" s="40">
        <f t="shared" si="16"/>
        <v>697</v>
      </c>
      <c r="AF24" s="40">
        <f t="shared" si="16"/>
        <v>1300</v>
      </c>
    </row>
    <row r="25" spans="2:32" ht="23.1" customHeight="1" x14ac:dyDescent="0.25">
      <c r="B25" s="23" t="s">
        <v>52</v>
      </c>
      <c r="C25" s="50">
        <v>30</v>
      </c>
      <c r="D25" s="50">
        <v>4</v>
      </c>
      <c r="E25" s="50">
        <v>6</v>
      </c>
      <c r="F25" s="50">
        <v>46</v>
      </c>
      <c r="G25" s="50">
        <v>0</v>
      </c>
      <c r="H25" s="50">
        <v>2</v>
      </c>
      <c r="I25" s="50">
        <v>8</v>
      </c>
      <c r="J25" s="50">
        <v>0</v>
      </c>
      <c r="K25" s="50">
        <v>1</v>
      </c>
      <c r="L25" s="50">
        <v>2</v>
      </c>
      <c r="M25" s="50">
        <v>260</v>
      </c>
      <c r="N25" s="50">
        <v>0</v>
      </c>
      <c r="O25" s="15">
        <f t="shared" si="0"/>
        <v>99</v>
      </c>
      <c r="P25" s="15">
        <f t="shared" si="1"/>
        <v>359</v>
      </c>
      <c r="R25" s="37" t="s">
        <v>85</v>
      </c>
      <c r="S25" s="35">
        <f t="shared" ref="S25:AF25" si="17">SUM(S10:S12)</f>
        <v>399</v>
      </c>
      <c r="T25" s="16">
        <f t="shared" si="17"/>
        <v>196</v>
      </c>
      <c r="U25" s="16">
        <f t="shared" si="17"/>
        <v>84</v>
      </c>
      <c r="V25" s="16">
        <f t="shared" si="17"/>
        <v>832</v>
      </c>
      <c r="W25" s="16">
        <f t="shared" si="17"/>
        <v>13</v>
      </c>
      <c r="X25" s="16">
        <f t="shared" si="17"/>
        <v>21</v>
      </c>
      <c r="Y25" s="16">
        <f t="shared" si="17"/>
        <v>108</v>
      </c>
      <c r="Z25" s="16">
        <f t="shared" si="17"/>
        <v>6</v>
      </c>
      <c r="AA25" s="16">
        <f t="shared" si="17"/>
        <v>3</v>
      </c>
      <c r="AB25" s="16">
        <f t="shared" si="17"/>
        <v>3</v>
      </c>
      <c r="AC25" s="16">
        <f t="shared" si="17"/>
        <v>2985</v>
      </c>
      <c r="AD25" s="16">
        <f t="shared" si="17"/>
        <v>0</v>
      </c>
      <c r="AE25" s="32">
        <f t="shared" si="17"/>
        <v>1665</v>
      </c>
      <c r="AF25" s="32">
        <f t="shared" si="17"/>
        <v>4650</v>
      </c>
    </row>
    <row r="26" spans="2:32" ht="23.1" customHeight="1" x14ac:dyDescent="0.25">
      <c r="B26" s="23" t="s">
        <v>53</v>
      </c>
      <c r="C26" s="50">
        <v>19</v>
      </c>
      <c r="D26" s="50">
        <v>14</v>
      </c>
      <c r="E26" s="50">
        <v>11</v>
      </c>
      <c r="F26" s="50">
        <v>36</v>
      </c>
      <c r="G26" s="50">
        <v>0</v>
      </c>
      <c r="H26" s="50">
        <v>0</v>
      </c>
      <c r="I26" s="50">
        <v>7</v>
      </c>
      <c r="J26" s="50">
        <v>0</v>
      </c>
      <c r="K26" s="50">
        <v>1</v>
      </c>
      <c r="L26" s="50">
        <v>0</v>
      </c>
      <c r="M26" s="50">
        <v>260</v>
      </c>
      <c r="N26" s="50">
        <v>0</v>
      </c>
      <c r="O26" s="15">
        <f t="shared" si="0"/>
        <v>88</v>
      </c>
      <c r="P26" s="15">
        <f t="shared" si="1"/>
        <v>348</v>
      </c>
      <c r="R26" s="28" t="s">
        <v>86</v>
      </c>
      <c r="S26" s="16">
        <f t="shared" ref="S26:AF26" si="18">SUM(S13:S18)</f>
        <v>759</v>
      </c>
      <c r="T26" s="16">
        <f t="shared" si="18"/>
        <v>307</v>
      </c>
      <c r="U26" s="16">
        <f t="shared" si="18"/>
        <v>97</v>
      </c>
      <c r="V26" s="16">
        <f t="shared" si="18"/>
        <v>970</v>
      </c>
      <c r="W26" s="16">
        <f t="shared" si="18"/>
        <v>13</v>
      </c>
      <c r="X26" s="16">
        <f t="shared" si="18"/>
        <v>19</v>
      </c>
      <c r="Y26" s="16">
        <f t="shared" si="18"/>
        <v>288</v>
      </c>
      <c r="Z26" s="16">
        <f t="shared" si="18"/>
        <v>23</v>
      </c>
      <c r="AA26" s="16">
        <f t="shared" si="18"/>
        <v>20</v>
      </c>
      <c r="AB26" s="16">
        <f t="shared" si="18"/>
        <v>18</v>
      </c>
      <c r="AC26" s="16">
        <f t="shared" si="18"/>
        <v>4367</v>
      </c>
      <c r="AD26" s="16">
        <f t="shared" si="18"/>
        <v>0</v>
      </c>
      <c r="AE26" s="32">
        <f t="shared" si="18"/>
        <v>2514</v>
      </c>
      <c r="AF26" s="32">
        <f t="shared" si="18"/>
        <v>6881</v>
      </c>
    </row>
    <row r="27" spans="2:32" ht="23.1" customHeight="1" x14ac:dyDescent="0.25">
      <c r="B27" s="23" t="s">
        <v>54</v>
      </c>
      <c r="C27" s="50">
        <v>25</v>
      </c>
      <c r="D27" s="50">
        <v>23</v>
      </c>
      <c r="E27" s="50">
        <v>0</v>
      </c>
      <c r="F27" s="50">
        <v>47</v>
      </c>
      <c r="G27" s="50">
        <v>0</v>
      </c>
      <c r="H27" s="50">
        <v>0</v>
      </c>
      <c r="I27" s="50">
        <v>14</v>
      </c>
      <c r="J27" s="50">
        <v>2</v>
      </c>
      <c r="K27" s="50">
        <v>0</v>
      </c>
      <c r="L27" s="50">
        <v>0</v>
      </c>
      <c r="M27" s="50">
        <v>190</v>
      </c>
      <c r="N27" s="50">
        <v>0</v>
      </c>
      <c r="O27" s="15">
        <f t="shared" si="0"/>
        <v>111</v>
      </c>
      <c r="P27" s="15">
        <f t="shared" si="1"/>
        <v>301</v>
      </c>
      <c r="R27" s="29" t="s">
        <v>87</v>
      </c>
      <c r="S27" s="16">
        <f t="shared" ref="S27:AF27" si="19">SUM(S19:S21)</f>
        <v>715</v>
      </c>
      <c r="T27" s="16">
        <f t="shared" si="19"/>
        <v>261</v>
      </c>
      <c r="U27" s="16">
        <f t="shared" si="19"/>
        <v>91</v>
      </c>
      <c r="V27" s="16">
        <f t="shared" si="19"/>
        <v>578</v>
      </c>
      <c r="W27" s="16">
        <f t="shared" si="19"/>
        <v>10</v>
      </c>
      <c r="X27" s="16">
        <f t="shared" si="19"/>
        <v>6</v>
      </c>
      <c r="Y27" s="16">
        <f t="shared" si="19"/>
        <v>127</v>
      </c>
      <c r="Z27" s="16">
        <f t="shared" si="19"/>
        <v>19</v>
      </c>
      <c r="AA27" s="16">
        <f t="shared" si="19"/>
        <v>8</v>
      </c>
      <c r="AB27" s="16">
        <f t="shared" si="19"/>
        <v>4</v>
      </c>
      <c r="AC27" s="16">
        <f t="shared" si="19"/>
        <v>1843</v>
      </c>
      <c r="AD27" s="16">
        <f t="shared" si="19"/>
        <v>0</v>
      </c>
      <c r="AE27" s="32">
        <f t="shared" si="19"/>
        <v>1819</v>
      </c>
      <c r="AF27" s="32">
        <f t="shared" si="19"/>
        <v>3662</v>
      </c>
    </row>
    <row r="28" spans="2:32" ht="23.1" customHeight="1" x14ac:dyDescent="0.25">
      <c r="B28" s="23" t="s">
        <v>55</v>
      </c>
      <c r="C28" s="50">
        <v>16</v>
      </c>
      <c r="D28" s="50">
        <v>18</v>
      </c>
      <c r="E28" s="50">
        <v>1</v>
      </c>
      <c r="F28" s="50">
        <v>52</v>
      </c>
      <c r="G28" s="50">
        <v>0</v>
      </c>
      <c r="H28" s="50">
        <v>1</v>
      </c>
      <c r="I28" s="50">
        <v>11</v>
      </c>
      <c r="J28" s="50">
        <v>0</v>
      </c>
      <c r="K28" s="50">
        <v>0</v>
      </c>
      <c r="L28" s="50">
        <v>2</v>
      </c>
      <c r="M28" s="50">
        <v>185</v>
      </c>
      <c r="N28" s="50">
        <v>0</v>
      </c>
      <c r="O28" s="15">
        <f t="shared" si="0"/>
        <v>101</v>
      </c>
      <c r="P28" s="15">
        <f t="shared" si="1"/>
        <v>286</v>
      </c>
      <c r="R28" s="5" t="s">
        <v>17</v>
      </c>
      <c r="S28" s="16">
        <f t="shared" ref="S28:AF28" si="20">SUM(S10:S21)</f>
        <v>1873</v>
      </c>
      <c r="T28" s="16">
        <f t="shared" si="20"/>
        <v>764</v>
      </c>
      <c r="U28" s="16">
        <f t="shared" si="20"/>
        <v>272</v>
      </c>
      <c r="V28" s="16">
        <f t="shared" si="20"/>
        <v>2380</v>
      </c>
      <c r="W28" s="16">
        <f t="shared" si="20"/>
        <v>36</v>
      </c>
      <c r="X28" s="16">
        <f t="shared" si="20"/>
        <v>46</v>
      </c>
      <c r="Y28" s="16">
        <f t="shared" si="20"/>
        <v>523</v>
      </c>
      <c r="Z28" s="16">
        <f t="shared" si="20"/>
        <v>48</v>
      </c>
      <c r="AA28" s="16">
        <f t="shared" si="20"/>
        <v>31</v>
      </c>
      <c r="AB28" s="16">
        <f t="shared" si="20"/>
        <v>25</v>
      </c>
      <c r="AC28" s="16">
        <f t="shared" si="20"/>
        <v>9195</v>
      </c>
      <c r="AD28" s="16">
        <f t="shared" si="20"/>
        <v>0</v>
      </c>
      <c r="AE28" s="32">
        <f t="shared" si="20"/>
        <v>5998</v>
      </c>
      <c r="AF28" s="32">
        <f t="shared" si="20"/>
        <v>15193</v>
      </c>
    </row>
    <row r="29" spans="2:32" ht="23.1" customHeight="1" x14ac:dyDescent="0.25">
      <c r="B29" s="23" t="s">
        <v>56</v>
      </c>
      <c r="C29" s="50">
        <v>20</v>
      </c>
      <c r="D29" s="50">
        <v>10</v>
      </c>
      <c r="E29" s="50">
        <v>5</v>
      </c>
      <c r="F29" s="50">
        <v>50</v>
      </c>
      <c r="G29" s="50">
        <v>0</v>
      </c>
      <c r="H29" s="50">
        <v>1</v>
      </c>
      <c r="I29" s="50">
        <v>24</v>
      </c>
      <c r="J29" s="50">
        <v>2</v>
      </c>
      <c r="K29" s="50">
        <v>1</v>
      </c>
      <c r="L29" s="50">
        <v>3</v>
      </c>
      <c r="M29" s="50">
        <v>215</v>
      </c>
      <c r="N29" s="50">
        <v>0</v>
      </c>
      <c r="O29" s="15">
        <f t="shared" si="0"/>
        <v>116</v>
      </c>
      <c r="P29" s="15">
        <f t="shared" si="1"/>
        <v>331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11</v>
      </c>
      <c r="E30" s="50">
        <v>2</v>
      </c>
      <c r="F30" s="50">
        <v>31</v>
      </c>
      <c r="G30" s="50">
        <v>1</v>
      </c>
      <c r="H30" s="50">
        <v>0</v>
      </c>
      <c r="I30" s="50">
        <v>7</v>
      </c>
      <c r="J30" s="50">
        <v>0</v>
      </c>
      <c r="K30" s="50">
        <v>0</v>
      </c>
      <c r="L30" s="50">
        <v>1</v>
      </c>
      <c r="M30" s="50">
        <v>170</v>
      </c>
      <c r="N30" s="50">
        <v>0</v>
      </c>
      <c r="O30" s="15">
        <f t="shared" si="0"/>
        <v>75</v>
      </c>
      <c r="P30" s="15">
        <f t="shared" si="1"/>
        <v>245</v>
      </c>
    </row>
    <row r="31" spans="2:32" ht="23.1" customHeight="1" x14ac:dyDescent="0.25">
      <c r="B31" s="24" t="s">
        <v>58</v>
      </c>
      <c r="C31" s="50">
        <v>33</v>
      </c>
      <c r="D31" s="50">
        <v>15</v>
      </c>
      <c r="E31" s="50">
        <v>2</v>
      </c>
      <c r="F31" s="50">
        <v>37</v>
      </c>
      <c r="G31" s="50">
        <v>0</v>
      </c>
      <c r="H31" s="50">
        <v>0</v>
      </c>
      <c r="I31" s="50">
        <v>14</v>
      </c>
      <c r="J31" s="50">
        <v>1</v>
      </c>
      <c r="K31" s="50">
        <v>2</v>
      </c>
      <c r="L31" s="50">
        <v>1</v>
      </c>
      <c r="M31" s="50">
        <v>155</v>
      </c>
      <c r="N31" s="50">
        <v>0</v>
      </c>
      <c r="O31" s="15">
        <f t="shared" si="0"/>
        <v>105</v>
      </c>
      <c r="P31" s="15">
        <f t="shared" si="1"/>
        <v>260</v>
      </c>
    </row>
    <row r="32" spans="2:32" ht="23.1" customHeight="1" x14ac:dyDescent="0.25">
      <c r="B32" s="24" t="s">
        <v>59</v>
      </c>
      <c r="C32" s="50">
        <v>36</v>
      </c>
      <c r="D32" s="50">
        <v>10</v>
      </c>
      <c r="E32" s="50">
        <v>4</v>
      </c>
      <c r="F32" s="50">
        <v>48</v>
      </c>
      <c r="G32" s="50">
        <v>1</v>
      </c>
      <c r="H32" s="50">
        <v>2</v>
      </c>
      <c r="I32" s="50">
        <v>16</v>
      </c>
      <c r="J32" s="50">
        <v>1</v>
      </c>
      <c r="K32" s="50">
        <v>0</v>
      </c>
      <c r="L32" s="50">
        <v>2</v>
      </c>
      <c r="M32" s="50">
        <v>150</v>
      </c>
      <c r="N32" s="50">
        <v>0</v>
      </c>
      <c r="O32" s="15">
        <f t="shared" si="0"/>
        <v>120</v>
      </c>
      <c r="P32" s="15">
        <f t="shared" si="1"/>
        <v>270</v>
      </c>
    </row>
    <row r="33" spans="2:20" ht="23.1" customHeight="1" x14ac:dyDescent="0.25">
      <c r="B33" s="23" t="s">
        <v>60</v>
      </c>
      <c r="C33" s="50">
        <v>41</v>
      </c>
      <c r="D33" s="50">
        <v>19</v>
      </c>
      <c r="E33" s="50">
        <v>6</v>
      </c>
      <c r="F33" s="50">
        <v>53</v>
      </c>
      <c r="G33" s="50">
        <v>0</v>
      </c>
      <c r="H33" s="50">
        <v>3</v>
      </c>
      <c r="I33" s="50">
        <v>9</v>
      </c>
      <c r="J33" s="50">
        <v>1</v>
      </c>
      <c r="K33" s="50">
        <v>1</v>
      </c>
      <c r="L33" s="50">
        <v>0</v>
      </c>
      <c r="M33" s="50">
        <v>130</v>
      </c>
      <c r="N33" s="50">
        <v>0</v>
      </c>
      <c r="O33" s="15">
        <f t="shared" si="0"/>
        <v>133</v>
      </c>
      <c r="P33" s="15">
        <f t="shared" si="1"/>
        <v>263</v>
      </c>
    </row>
    <row r="34" spans="2:20" ht="23.1" customHeight="1" x14ac:dyDescent="0.25">
      <c r="B34" s="24" t="s">
        <v>61</v>
      </c>
      <c r="C34" s="50">
        <v>25</v>
      </c>
      <c r="D34" s="50">
        <v>12</v>
      </c>
      <c r="E34" s="50">
        <v>6</v>
      </c>
      <c r="F34" s="50">
        <v>35</v>
      </c>
      <c r="G34" s="50">
        <v>1</v>
      </c>
      <c r="H34" s="50">
        <v>2</v>
      </c>
      <c r="I34" s="50">
        <v>15</v>
      </c>
      <c r="J34" s="50">
        <v>3</v>
      </c>
      <c r="K34" s="50">
        <v>1</v>
      </c>
      <c r="L34" s="50">
        <v>0</v>
      </c>
      <c r="M34" s="50">
        <v>145</v>
      </c>
      <c r="N34" s="50">
        <v>0</v>
      </c>
      <c r="O34" s="15">
        <f t="shared" si="0"/>
        <v>100</v>
      </c>
      <c r="P34" s="15">
        <f t="shared" si="1"/>
        <v>245</v>
      </c>
    </row>
    <row r="35" spans="2:20" ht="23.1" customHeight="1" x14ac:dyDescent="0.25">
      <c r="B35" s="24" t="s">
        <v>62</v>
      </c>
      <c r="C35" s="50">
        <v>22</v>
      </c>
      <c r="D35" s="50">
        <v>14</v>
      </c>
      <c r="E35" s="50">
        <v>4</v>
      </c>
      <c r="F35" s="50">
        <v>40</v>
      </c>
      <c r="G35" s="50">
        <v>2</v>
      </c>
      <c r="H35" s="50">
        <v>0</v>
      </c>
      <c r="I35" s="50">
        <v>9</v>
      </c>
      <c r="J35" s="50">
        <v>1</v>
      </c>
      <c r="K35" s="50">
        <v>1</v>
      </c>
      <c r="L35" s="50">
        <v>0</v>
      </c>
      <c r="M35" s="50">
        <v>175</v>
      </c>
      <c r="N35" s="50">
        <v>0</v>
      </c>
      <c r="O35" s="15">
        <f t="shared" si="0"/>
        <v>93</v>
      </c>
      <c r="P35" s="15">
        <f t="shared" si="1"/>
        <v>268</v>
      </c>
    </row>
    <row r="36" spans="2:20" ht="23.1" customHeight="1" x14ac:dyDescent="0.25">
      <c r="B36" s="24" t="s">
        <v>63</v>
      </c>
      <c r="C36" s="50">
        <v>41</v>
      </c>
      <c r="D36" s="50">
        <v>27</v>
      </c>
      <c r="E36" s="50">
        <v>1</v>
      </c>
      <c r="F36" s="50">
        <v>47</v>
      </c>
      <c r="G36" s="50">
        <v>2</v>
      </c>
      <c r="H36" s="50">
        <v>0</v>
      </c>
      <c r="I36" s="50">
        <v>9</v>
      </c>
      <c r="J36" s="50">
        <v>1</v>
      </c>
      <c r="K36" s="50">
        <v>1</v>
      </c>
      <c r="L36" s="50">
        <v>0</v>
      </c>
      <c r="M36" s="50">
        <v>210</v>
      </c>
      <c r="N36" s="50">
        <v>0</v>
      </c>
      <c r="O36" s="15">
        <f t="shared" si="0"/>
        <v>129</v>
      </c>
      <c r="P36" s="15">
        <f t="shared" si="1"/>
        <v>339</v>
      </c>
    </row>
    <row r="37" spans="2:20" ht="23.1" customHeight="1" x14ac:dyDescent="0.25">
      <c r="B37" s="23" t="s">
        <v>64</v>
      </c>
      <c r="C37" s="50">
        <v>59</v>
      </c>
      <c r="D37" s="50">
        <v>12</v>
      </c>
      <c r="E37" s="50">
        <v>6</v>
      </c>
      <c r="F37" s="50">
        <v>47</v>
      </c>
      <c r="G37" s="50">
        <v>2</v>
      </c>
      <c r="H37" s="50">
        <v>1</v>
      </c>
      <c r="I37" s="50">
        <v>17</v>
      </c>
      <c r="J37" s="50">
        <v>2</v>
      </c>
      <c r="K37" s="50">
        <v>1</v>
      </c>
      <c r="L37" s="50">
        <v>2</v>
      </c>
      <c r="M37" s="50">
        <v>180</v>
      </c>
      <c r="N37" s="50">
        <v>0</v>
      </c>
      <c r="O37" s="15">
        <f t="shared" si="0"/>
        <v>149</v>
      </c>
      <c r="P37" s="15">
        <f t="shared" si="1"/>
        <v>329</v>
      </c>
    </row>
    <row r="38" spans="2:20" ht="23.1" customHeight="1" x14ac:dyDescent="0.25">
      <c r="B38" s="24" t="s">
        <v>65</v>
      </c>
      <c r="C38" s="50">
        <v>25</v>
      </c>
      <c r="D38" s="50">
        <v>4</v>
      </c>
      <c r="E38" s="50">
        <v>2</v>
      </c>
      <c r="F38" s="50">
        <v>16</v>
      </c>
      <c r="G38" s="50">
        <v>0</v>
      </c>
      <c r="H38" s="50">
        <v>1</v>
      </c>
      <c r="I38" s="50">
        <v>7</v>
      </c>
      <c r="J38" s="50">
        <v>0</v>
      </c>
      <c r="K38" s="50">
        <v>1</v>
      </c>
      <c r="L38" s="50">
        <v>0</v>
      </c>
      <c r="M38" s="50">
        <v>180</v>
      </c>
      <c r="N38" s="50">
        <v>0</v>
      </c>
      <c r="O38" s="15">
        <f t="shared" si="0"/>
        <v>56</v>
      </c>
      <c r="P38" s="15">
        <f t="shared" si="1"/>
        <v>236</v>
      </c>
    </row>
    <row r="39" spans="2:20" ht="23.1" customHeight="1" x14ac:dyDescent="0.25">
      <c r="B39" s="24" t="s">
        <v>66</v>
      </c>
      <c r="C39" s="50">
        <v>30</v>
      </c>
      <c r="D39" s="50">
        <v>14</v>
      </c>
      <c r="E39" s="50">
        <v>0</v>
      </c>
      <c r="F39" s="50">
        <v>33</v>
      </c>
      <c r="G39" s="50">
        <v>1</v>
      </c>
      <c r="H39" s="50">
        <v>1</v>
      </c>
      <c r="I39" s="50">
        <v>13</v>
      </c>
      <c r="J39" s="50">
        <v>0</v>
      </c>
      <c r="K39" s="50">
        <v>0</v>
      </c>
      <c r="L39" s="50">
        <v>0</v>
      </c>
      <c r="M39" s="50">
        <v>150</v>
      </c>
      <c r="N39" s="50">
        <v>0</v>
      </c>
      <c r="O39" s="15">
        <f t="shared" si="0"/>
        <v>92</v>
      </c>
      <c r="P39" s="15">
        <f t="shared" si="1"/>
        <v>242</v>
      </c>
    </row>
    <row r="40" spans="2:20" ht="23.1" customHeight="1" x14ac:dyDescent="0.25">
      <c r="B40" s="24" t="s">
        <v>67</v>
      </c>
      <c r="C40" s="50">
        <v>36</v>
      </c>
      <c r="D40" s="50">
        <v>13</v>
      </c>
      <c r="E40" s="50">
        <v>2</v>
      </c>
      <c r="F40" s="50">
        <v>50</v>
      </c>
      <c r="G40" s="50">
        <v>0</v>
      </c>
      <c r="H40" s="50">
        <v>1</v>
      </c>
      <c r="I40" s="50">
        <v>15</v>
      </c>
      <c r="J40" s="50">
        <v>2</v>
      </c>
      <c r="K40" s="50">
        <v>0</v>
      </c>
      <c r="L40" s="50">
        <v>1</v>
      </c>
      <c r="M40" s="50">
        <v>160</v>
      </c>
      <c r="N40" s="50">
        <v>0</v>
      </c>
      <c r="O40" s="15">
        <f t="shared" si="0"/>
        <v>120</v>
      </c>
      <c r="P40" s="15">
        <f t="shared" si="1"/>
        <v>280</v>
      </c>
    </row>
    <row r="41" spans="2:20" ht="23.1" customHeight="1" x14ac:dyDescent="0.25">
      <c r="B41" s="23" t="s">
        <v>68</v>
      </c>
      <c r="C41" s="50">
        <v>28</v>
      </c>
      <c r="D41" s="50">
        <v>8</v>
      </c>
      <c r="E41" s="50">
        <v>2</v>
      </c>
      <c r="F41" s="50">
        <v>25</v>
      </c>
      <c r="G41" s="50">
        <v>0</v>
      </c>
      <c r="H41" s="50">
        <v>0</v>
      </c>
      <c r="I41" s="50">
        <v>9</v>
      </c>
      <c r="J41" s="50">
        <v>2</v>
      </c>
      <c r="K41" s="50">
        <v>0</v>
      </c>
      <c r="L41" s="50">
        <v>1</v>
      </c>
      <c r="M41" s="50">
        <v>145</v>
      </c>
      <c r="N41" s="50">
        <v>0</v>
      </c>
      <c r="O41" s="15">
        <f t="shared" si="0"/>
        <v>75</v>
      </c>
      <c r="P41" s="15">
        <f t="shared" si="1"/>
        <v>220</v>
      </c>
    </row>
    <row r="42" spans="2:20" ht="23.1" customHeight="1" x14ac:dyDescent="0.25">
      <c r="B42" s="24" t="s">
        <v>69</v>
      </c>
      <c r="C42" s="50">
        <v>47</v>
      </c>
      <c r="D42" s="50">
        <v>12</v>
      </c>
      <c r="E42" s="50">
        <v>8</v>
      </c>
      <c r="F42" s="50">
        <v>42</v>
      </c>
      <c r="G42" s="50">
        <v>0</v>
      </c>
      <c r="H42" s="50">
        <v>0</v>
      </c>
      <c r="I42" s="50">
        <v>16</v>
      </c>
      <c r="J42" s="50">
        <v>1</v>
      </c>
      <c r="K42" s="50">
        <v>0</v>
      </c>
      <c r="L42" s="50">
        <v>0</v>
      </c>
      <c r="M42" s="50">
        <v>140</v>
      </c>
      <c r="N42" s="50">
        <v>0</v>
      </c>
      <c r="O42" s="15">
        <f t="shared" si="0"/>
        <v>126</v>
      </c>
      <c r="P42" s="15">
        <f t="shared" si="1"/>
        <v>266</v>
      </c>
    </row>
    <row r="43" spans="2:20" ht="23.1" customHeight="1" x14ac:dyDescent="0.25">
      <c r="B43" s="23" t="s">
        <v>70</v>
      </c>
      <c r="C43" s="50">
        <v>28</v>
      </c>
      <c r="D43" s="50">
        <v>14</v>
      </c>
      <c r="E43" s="50">
        <v>5</v>
      </c>
      <c r="F43" s="50">
        <v>24</v>
      </c>
      <c r="G43" s="50">
        <v>2</v>
      </c>
      <c r="H43" s="50">
        <v>0</v>
      </c>
      <c r="I43" s="50">
        <v>11</v>
      </c>
      <c r="J43" s="50">
        <v>2</v>
      </c>
      <c r="K43" s="50">
        <v>1</v>
      </c>
      <c r="L43" s="50">
        <v>0</v>
      </c>
      <c r="M43" s="50">
        <v>145</v>
      </c>
      <c r="N43" s="50">
        <v>0</v>
      </c>
      <c r="O43" s="15">
        <f t="shared" si="0"/>
        <v>87</v>
      </c>
      <c r="P43" s="15">
        <f t="shared" si="1"/>
        <v>232</v>
      </c>
    </row>
    <row r="44" spans="2:20" ht="23.1" customHeight="1" x14ac:dyDescent="0.25">
      <c r="B44" s="25" t="s">
        <v>71</v>
      </c>
      <c r="C44" s="50">
        <v>40</v>
      </c>
      <c r="D44" s="50">
        <v>10</v>
      </c>
      <c r="E44" s="50">
        <v>2</v>
      </c>
      <c r="F44" s="50">
        <v>30</v>
      </c>
      <c r="G44" s="50">
        <v>0</v>
      </c>
      <c r="H44" s="50">
        <v>0</v>
      </c>
      <c r="I44" s="50">
        <v>8</v>
      </c>
      <c r="J44" s="50">
        <v>0</v>
      </c>
      <c r="K44" s="50">
        <v>1</v>
      </c>
      <c r="L44" s="50">
        <v>0</v>
      </c>
      <c r="M44" s="50">
        <v>135</v>
      </c>
      <c r="N44" s="50">
        <v>0</v>
      </c>
      <c r="O44" s="15">
        <f t="shared" si="0"/>
        <v>91</v>
      </c>
      <c r="P44" s="15">
        <f t="shared" si="1"/>
        <v>226</v>
      </c>
    </row>
    <row r="45" spans="2:20" ht="23.1" customHeight="1" x14ac:dyDescent="0.25">
      <c r="B45" s="23" t="s">
        <v>72</v>
      </c>
      <c r="C45" s="50">
        <v>33</v>
      </c>
      <c r="D45" s="50">
        <v>19</v>
      </c>
      <c r="E45" s="50">
        <v>6</v>
      </c>
      <c r="F45" s="50">
        <v>36</v>
      </c>
      <c r="G45" s="50">
        <v>1</v>
      </c>
      <c r="H45" s="50">
        <v>0</v>
      </c>
      <c r="I45" s="50">
        <v>9</v>
      </c>
      <c r="J45" s="50">
        <v>0</v>
      </c>
      <c r="K45" s="50">
        <v>4</v>
      </c>
      <c r="L45" s="50">
        <v>1</v>
      </c>
      <c r="M45" s="50">
        <v>147</v>
      </c>
      <c r="N45" s="50">
        <v>0</v>
      </c>
      <c r="O45" s="15">
        <f t="shared" si="0"/>
        <v>109</v>
      </c>
      <c r="P45" s="15">
        <f t="shared" si="1"/>
        <v>256</v>
      </c>
    </row>
    <row r="46" spans="2:20" ht="23.1" customHeight="1" x14ac:dyDescent="0.25">
      <c r="B46" s="24" t="s">
        <v>73</v>
      </c>
      <c r="C46" s="50">
        <v>60</v>
      </c>
      <c r="D46" s="50">
        <v>38</v>
      </c>
      <c r="E46" s="50">
        <v>10</v>
      </c>
      <c r="F46" s="50">
        <v>66</v>
      </c>
      <c r="G46" s="50">
        <v>3</v>
      </c>
      <c r="H46" s="50">
        <v>1</v>
      </c>
      <c r="I46" s="50">
        <v>18</v>
      </c>
      <c r="J46" s="50">
        <v>3</v>
      </c>
      <c r="K46" s="50">
        <v>3</v>
      </c>
      <c r="L46" s="50">
        <v>0</v>
      </c>
      <c r="M46" s="50">
        <v>175</v>
      </c>
      <c r="N46" s="50">
        <v>0</v>
      </c>
      <c r="O46" s="15">
        <f t="shared" si="0"/>
        <v>202</v>
      </c>
      <c r="P46" s="15">
        <f t="shared" si="1"/>
        <v>377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50</v>
      </c>
      <c r="E47" s="50">
        <v>30</v>
      </c>
      <c r="F47" s="50">
        <v>60</v>
      </c>
      <c r="G47" s="50">
        <v>2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155</v>
      </c>
      <c r="N47" s="50">
        <v>0</v>
      </c>
      <c r="O47" s="15">
        <f t="shared" si="0"/>
        <v>175</v>
      </c>
      <c r="P47" s="15">
        <f t="shared" si="1"/>
        <v>330</v>
      </c>
      <c r="R47" s="8"/>
      <c r="T47"/>
    </row>
    <row r="48" spans="2:20" ht="23.1" customHeight="1" x14ac:dyDescent="0.25">
      <c r="B48" s="24" t="s">
        <v>75</v>
      </c>
      <c r="C48" s="50">
        <v>55</v>
      </c>
      <c r="D48" s="50">
        <v>28</v>
      </c>
      <c r="E48" s="50">
        <v>15</v>
      </c>
      <c r="F48" s="50">
        <v>80</v>
      </c>
      <c r="G48" s="50">
        <v>0</v>
      </c>
      <c r="H48" s="50">
        <v>0</v>
      </c>
      <c r="I48" s="50">
        <v>20</v>
      </c>
      <c r="J48" s="50">
        <v>0</v>
      </c>
      <c r="K48" s="50">
        <v>0</v>
      </c>
      <c r="L48" s="50">
        <v>0</v>
      </c>
      <c r="M48" s="50">
        <v>145</v>
      </c>
      <c r="N48" s="50">
        <v>0</v>
      </c>
      <c r="O48" s="15">
        <f t="shared" si="0"/>
        <v>198</v>
      </c>
      <c r="P48" s="15">
        <f t="shared" si="1"/>
        <v>343</v>
      </c>
      <c r="R48" s="8"/>
      <c r="T48"/>
    </row>
    <row r="49" spans="2:20" ht="23.1" customHeight="1" x14ac:dyDescent="0.25">
      <c r="B49" s="23" t="s">
        <v>76</v>
      </c>
      <c r="C49" s="50">
        <v>58</v>
      </c>
      <c r="D49" s="50">
        <v>12</v>
      </c>
      <c r="E49" s="50">
        <v>8</v>
      </c>
      <c r="F49" s="50">
        <v>30</v>
      </c>
      <c r="G49" s="50">
        <v>1</v>
      </c>
      <c r="H49" s="50">
        <v>2</v>
      </c>
      <c r="I49" s="50">
        <v>8</v>
      </c>
      <c r="J49" s="50">
        <v>3</v>
      </c>
      <c r="K49" s="50">
        <v>0</v>
      </c>
      <c r="L49" s="50">
        <v>0</v>
      </c>
      <c r="M49" s="50">
        <v>128</v>
      </c>
      <c r="N49" s="50">
        <v>0</v>
      </c>
      <c r="O49" s="15">
        <f t="shared" si="0"/>
        <v>122</v>
      </c>
      <c r="P49" s="15">
        <f t="shared" si="1"/>
        <v>250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13</v>
      </c>
      <c r="E50" s="50">
        <v>9</v>
      </c>
      <c r="F50" s="50">
        <v>35</v>
      </c>
      <c r="G50" s="50">
        <v>1</v>
      </c>
      <c r="H50" s="50">
        <v>0</v>
      </c>
      <c r="I50" s="50">
        <v>13</v>
      </c>
      <c r="J50" s="50">
        <v>1</v>
      </c>
      <c r="K50" s="50">
        <v>0</v>
      </c>
      <c r="L50" s="50">
        <v>0</v>
      </c>
      <c r="M50" s="50">
        <v>145</v>
      </c>
      <c r="N50" s="50">
        <v>0</v>
      </c>
      <c r="O50" s="15">
        <f t="shared" si="0"/>
        <v>142</v>
      </c>
      <c r="P50" s="15">
        <f t="shared" si="1"/>
        <v>287</v>
      </c>
      <c r="R50" s="8"/>
      <c r="T50"/>
    </row>
    <row r="51" spans="2:20" ht="23.1" customHeight="1" x14ac:dyDescent="0.25">
      <c r="B51" s="24" t="s">
        <v>78</v>
      </c>
      <c r="C51" s="50">
        <v>64</v>
      </c>
      <c r="D51" s="50">
        <v>17</v>
      </c>
      <c r="E51" s="50">
        <v>3</v>
      </c>
      <c r="F51" s="50">
        <v>37</v>
      </c>
      <c r="G51" s="50">
        <v>0</v>
      </c>
      <c r="H51" s="50">
        <v>0</v>
      </c>
      <c r="I51" s="50">
        <v>17</v>
      </c>
      <c r="J51" s="50">
        <v>2</v>
      </c>
      <c r="K51" s="50">
        <v>0</v>
      </c>
      <c r="L51" s="50">
        <v>0</v>
      </c>
      <c r="M51" s="50">
        <v>155</v>
      </c>
      <c r="N51" s="50">
        <v>0</v>
      </c>
      <c r="O51" s="15">
        <f t="shared" si="0"/>
        <v>140</v>
      </c>
      <c r="P51" s="15">
        <f t="shared" si="1"/>
        <v>295</v>
      </c>
      <c r="R51" s="8"/>
      <c r="T51"/>
    </row>
    <row r="52" spans="2:20" ht="23.1" customHeight="1" x14ac:dyDescent="0.25">
      <c r="B52" s="24" t="s">
        <v>79</v>
      </c>
      <c r="C52" s="50">
        <v>67</v>
      </c>
      <c r="D52" s="50">
        <v>15</v>
      </c>
      <c r="E52" s="50">
        <v>4</v>
      </c>
      <c r="F52" s="50">
        <v>53</v>
      </c>
      <c r="G52" s="50">
        <v>1</v>
      </c>
      <c r="H52" s="50">
        <v>0</v>
      </c>
      <c r="I52" s="50">
        <v>9</v>
      </c>
      <c r="J52" s="50">
        <v>2</v>
      </c>
      <c r="K52" s="50">
        <v>1</v>
      </c>
      <c r="L52" s="50">
        <v>2</v>
      </c>
      <c r="M52" s="50">
        <v>180</v>
      </c>
      <c r="N52" s="50">
        <v>0</v>
      </c>
      <c r="O52" s="15">
        <f t="shared" si="0"/>
        <v>154</v>
      </c>
      <c r="P52" s="15">
        <f t="shared" si="1"/>
        <v>334</v>
      </c>
      <c r="R52" s="8"/>
      <c r="T52"/>
    </row>
    <row r="53" spans="2:20" ht="23.1" customHeight="1" x14ac:dyDescent="0.25">
      <c r="B53" s="23" t="s">
        <v>80</v>
      </c>
      <c r="C53" s="50">
        <v>71</v>
      </c>
      <c r="D53" s="50">
        <v>25</v>
      </c>
      <c r="E53" s="50">
        <v>2</v>
      </c>
      <c r="F53" s="50">
        <v>42</v>
      </c>
      <c r="G53" s="50">
        <v>1</v>
      </c>
      <c r="H53" s="50">
        <v>2</v>
      </c>
      <c r="I53" s="50">
        <v>7</v>
      </c>
      <c r="J53" s="50">
        <v>2</v>
      </c>
      <c r="K53" s="50">
        <v>0</v>
      </c>
      <c r="L53" s="50">
        <v>1</v>
      </c>
      <c r="M53" s="50">
        <v>190</v>
      </c>
      <c r="N53" s="50">
        <v>0</v>
      </c>
      <c r="O53" s="15">
        <f t="shared" si="0"/>
        <v>153</v>
      </c>
      <c r="P53" s="15">
        <f t="shared" si="1"/>
        <v>343</v>
      </c>
      <c r="R53" s="8"/>
      <c r="T53"/>
    </row>
    <row r="54" spans="2:20" ht="23.1" customHeight="1" x14ac:dyDescent="0.25">
      <c r="B54" s="23" t="s">
        <v>81</v>
      </c>
      <c r="C54" s="50">
        <v>48</v>
      </c>
      <c r="D54" s="50">
        <v>18</v>
      </c>
      <c r="E54" s="50">
        <v>3</v>
      </c>
      <c r="F54" s="50">
        <v>40</v>
      </c>
      <c r="G54" s="50">
        <v>0</v>
      </c>
      <c r="H54" s="50">
        <v>0</v>
      </c>
      <c r="I54" s="50">
        <v>5</v>
      </c>
      <c r="J54" s="50">
        <v>1</v>
      </c>
      <c r="K54" s="50">
        <v>1</v>
      </c>
      <c r="L54" s="50">
        <v>1</v>
      </c>
      <c r="M54" s="50">
        <v>160</v>
      </c>
      <c r="N54" s="50">
        <v>0</v>
      </c>
      <c r="O54" s="15">
        <f t="shared" si="0"/>
        <v>117</v>
      </c>
      <c r="P54" s="15">
        <f t="shared" si="1"/>
        <v>277</v>
      </c>
      <c r="R54" s="8"/>
      <c r="T54"/>
    </row>
    <row r="55" spans="2:20" ht="23.1" customHeight="1" x14ac:dyDescent="0.25">
      <c r="B55" s="23" t="s">
        <v>82</v>
      </c>
      <c r="C55" s="50">
        <v>62</v>
      </c>
      <c r="D55" s="50">
        <v>21</v>
      </c>
      <c r="E55" s="50">
        <v>3</v>
      </c>
      <c r="F55" s="50">
        <v>47</v>
      </c>
      <c r="G55" s="50">
        <v>0</v>
      </c>
      <c r="H55" s="50">
        <v>0</v>
      </c>
      <c r="I55" s="50">
        <v>16</v>
      </c>
      <c r="J55" s="50">
        <v>0</v>
      </c>
      <c r="K55" s="50">
        <v>2</v>
      </c>
      <c r="L55" s="50">
        <v>0</v>
      </c>
      <c r="M55" s="50">
        <v>200</v>
      </c>
      <c r="N55" s="50">
        <v>0</v>
      </c>
      <c r="O55" s="15">
        <f t="shared" si="0"/>
        <v>151</v>
      </c>
      <c r="P55" s="15">
        <f t="shared" si="1"/>
        <v>351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14</v>
      </c>
      <c r="E56" s="50">
        <v>2</v>
      </c>
      <c r="F56" s="50">
        <v>53</v>
      </c>
      <c r="G56" s="50">
        <v>1</v>
      </c>
      <c r="H56" s="50">
        <v>1</v>
      </c>
      <c r="I56" s="50">
        <v>7</v>
      </c>
      <c r="J56" s="50">
        <v>2</v>
      </c>
      <c r="K56" s="50">
        <v>1</v>
      </c>
      <c r="L56" s="50">
        <v>0</v>
      </c>
      <c r="M56" s="50">
        <v>210</v>
      </c>
      <c r="N56" s="50">
        <v>0</v>
      </c>
      <c r="O56" s="15">
        <f t="shared" si="0"/>
        <v>131</v>
      </c>
      <c r="P56" s="15">
        <f t="shared" si="1"/>
        <v>341</v>
      </c>
      <c r="R56" s="8"/>
      <c r="T56"/>
    </row>
    <row r="57" spans="2:20" ht="23.1" customHeight="1" x14ac:dyDescent="0.25">
      <c r="B57" s="23" t="s">
        <v>84</v>
      </c>
      <c r="C57" s="50">
        <v>80</v>
      </c>
      <c r="D57" s="50">
        <v>10</v>
      </c>
      <c r="E57" s="50">
        <v>2</v>
      </c>
      <c r="F57" s="50">
        <v>35</v>
      </c>
      <c r="G57" s="50">
        <v>0</v>
      </c>
      <c r="H57" s="50">
        <v>0</v>
      </c>
      <c r="I57" s="50">
        <v>4</v>
      </c>
      <c r="J57" s="50">
        <v>3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134</v>
      </c>
      <c r="P57" s="15">
        <f t="shared" si="1"/>
        <v>134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1873</v>
      </c>
      <c r="D58" s="16">
        <f t="shared" si="21"/>
        <v>764</v>
      </c>
      <c r="E58" s="16">
        <f t="shared" si="21"/>
        <v>272</v>
      </c>
      <c r="F58" s="16">
        <f t="shared" si="21"/>
        <v>2380</v>
      </c>
      <c r="G58" s="16">
        <f t="shared" si="21"/>
        <v>36</v>
      </c>
      <c r="H58" s="16">
        <f t="shared" si="21"/>
        <v>46</v>
      </c>
      <c r="I58" s="16">
        <f t="shared" si="21"/>
        <v>523</v>
      </c>
      <c r="J58" s="16">
        <f t="shared" si="21"/>
        <v>48</v>
      </c>
      <c r="K58" s="16">
        <f t="shared" si="21"/>
        <v>31</v>
      </c>
      <c r="L58" s="16">
        <f t="shared" si="21"/>
        <v>25</v>
      </c>
      <c r="M58" s="16">
        <f t="shared" si="21"/>
        <v>9195</v>
      </c>
      <c r="N58" s="16">
        <f t="shared" si="21"/>
        <v>0</v>
      </c>
      <c r="O58" s="16">
        <f t="shared" si="21"/>
        <v>5998</v>
      </c>
      <c r="P58" s="16">
        <f t="shared" si="21"/>
        <v>15193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0.12328045810570658</v>
      </c>
      <c r="D59" s="43">
        <f t="shared" si="22"/>
        <v>5.0286316066609625E-2</v>
      </c>
      <c r="E59" s="43">
        <f t="shared" si="22"/>
        <v>1.7902981636279867E-2</v>
      </c>
      <c r="F59" s="43">
        <f t="shared" si="22"/>
        <v>0.15665108931744884</v>
      </c>
      <c r="G59" s="43">
        <f t="shared" si="22"/>
        <v>2.3695122753899824E-3</v>
      </c>
      <c r="H59" s="43">
        <f t="shared" si="22"/>
        <v>3.0277101296649774E-3</v>
      </c>
      <c r="I59" s="43">
        <f t="shared" si="22"/>
        <v>3.4423747778582245E-2</v>
      </c>
      <c r="J59" s="43">
        <f t="shared" si="22"/>
        <v>3.1593497005199763E-3</v>
      </c>
      <c r="K59" s="43">
        <f t="shared" si="22"/>
        <v>2.0404133482524846E-3</v>
      </c>
      <c r="L59" s="43">
        <f t="shared" si="22"/>
        <v>1.6454946356874876E-3</v>
      </c>
      <c r="M59" s="43">
        <f t="shared" si="22"/>
        <v>0.60521292700585794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0.31227075691897299</v>
      </c>
      <c r="D60" s="44">
        <f t="shared" ref="D60:N60" si="23">D58/$O$58</f>
        <v>0.12737579193064355</v>
      </c>
      <c r="E60" s="44">
        <f t="shared" si="23"/>
        <v>4.5348449483161052E-2</v>
      </c>
      <c r="F60" s="44">
        <f t="shared" si="23"/>
        <v>0.39679893297765922</v>
      </c>
      <c r="G60" s="44">
        <f t="shared" si="23"/>
        <v>6.0020006668889628E-3</v>
      </c>
      <c r="H60" s="44">
        <f t="shared" si="23"/>
        <v>7.6692230743581197E-3</v>
      </c>
      <c r="I60" s="44">
        <f t="shared" si="23"/>
        <v>8.7195731910636884E-2</v>
      </c>
      <c r="J60" s="44">
        <f t="shared" si="23"/>
        <v>8.002667555851951E-3</v>
      </c>
      <c r="K60" s="44">
        <f t="shared" si="23"/>
        <v>5.1683894631543844E-3</v>
      </c>
      <c r="L60" s="44">
        <f t="shared" si="23"/>
        <v>4.1680560186728912E-3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58" zoomScaleSheetLayoutView="58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5" t="str">
        <f>'24.07 Kampala-Kalewre'!G5:H5</f>
        <v>Wandegeya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Kalerwe-Kampala'!D6:E6</f>
        <v>Kalewre</v>
      </c>
      <c r="E6" s="66"/>
      <c r="F6" s="2" t="s">
        <v>2</v>
      </c>
      <c r="G6" s="65" t="str">
        <f>'22.07 Kalerwe-Kampala'!G6:H6</f>
        <v>Kampala</v>
      </c>
      <c r="H6" s="66"/>
      <c r="J6" s="2" t="s">
        <v>21</v>
      </c>
      <c r="K6" s="65" t="str">
        <f>'24.07 Kampala-Kalewre'!K6:L6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82</v>
      </c>
      <c r="D10" s="50">
        <v>9</v>
      </c>
      <c r="E10" s="50">
        <v>10</v>
      </c>
      <c r="F10" s="50">
        <v>30</v>
      </c>
      <c r="G10" s="50">
        <v>1</v>
      </c>
      <c r="H10" s="50">
        <v>1</v>
      </c>
      <c r="I10" s="50">
        <v>3</v>
      </c>
      <c r="J10" s="50">
        <v>0</v>
      </c>
      <c r="K10" s="50">
        <v>0</v>
      </c>
      <c r="L10" s="50">
        <v>0</v>
      </c>
      <c r="M10" s="50">
        <v>299</v>
      </c>
      <c r="N10" s="50">
        <v>0</v>
      </c>
      <c r="O10" s="15">
        <f t="shared" ref="O10:O57" si="0">SUM(C10:L10,N10)</f>
        <v>136</v>
      </c>
      <c r="P10" s="15">
        <f t="shared" ref="P10:P57" si="1">SUM(C10:N10)</f>
        <v>435</v>
      </c>
      <c r="R10" s="1" t="s">
        <v>6</v>
      </c>
      <c r="S10" s="17">
        <f t="shared" ref="S10:AF10" si="2">SUM(C10:C13)</f>
        <v>277</v>
      </c>
      <c r="T10" s="17">
        <f t="shared" si="2"/>
        <v>52</v>
      </c>
      <c r="U10" s="17">
        <f t="shared" si="2"/>
        <v>31</v>
      </c>
      <c r="V10" s="17">
        <f t="shared" si="2"/>
        <v>135</v>
      </c>
      <c r="W10" s="17">
        <f t="shared" si="2"/>
        <v>3</v>
      </c>
      <c r="X10" s="17">
        <f t="shared" si="2"/>
        <v>1</v>
      </c>
      <c r="Y10" s="17">
        <f t="shared" si="2"/>
        <v>17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1504</v>
      </c>
      <c r="AD10" s="17">
        <f t="shared" si="2"/>
        <v>0</v>
      </c>
      <c r="AE10" s="31">
        <f t="shared" si="2"/>
        <v>518</v>
      </c>
      <c r="AF10" s="31">
        <f t="shared" si="2"/>
        <v>2022</v>
      </c>
    </row>
    <row r="11" spans="2:32" s="6" customFormat="1" ht="23.1" customHeight="1" x14ac:dyDescent="0.25">
      <c r="B11" s="23" t="s">
        <v>38</v>
      </c>
      <c r="C11" s="50">
        <v>48</v>
      </c>
      <c r="D11" s="50">
        <v>8</v>
      </c>
      <c r="E11" s="50">
        <v>2</v>
      </c>
      <c r="F11" s="50">
        <v>26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395</v>
      </c>
      <c r="N11" s="50">
        <v>0</v>
      </c>
      <c r="O11" s="15">
        <f t="shared" si="0"/>
        <v>87</v>
      </c>
      <c r="P11" s="15">
        <f t="shared" si="1"/>
        <v>482</v>
      </c>
      <c r="R11" s="1" t="s">
        <v>7</v>
      </c>
      <c r="S11" s="17">
        <f t="shared" ref="S11:AF11" si="3">SUM(C14:C17)</f>
        <v>213</v>
      </c>
      <c r="T11" s="17">
        <f t="shared" si="3"/>
        <v>86</v>
      </c>
      <c r="U11" s="17">
        <f t="shared" si="3"/>
        <v>21</v>
      </c>
      <c r="V11" s="17">
        <f t="shared" si="3"/>
        <v>187</v>
      </c>
      <c r="W11" s="17">
        <f t="shared" si="3"/>
        <v>1</v>
      </c>
      <c r="X11" s="17">
        <f t="shared" si="3"/>
        <v>0</v>
      </c>
      <c r="Y11" s="17">
        <f t="shared" si="3"/>
        <v>24</v>
      </c>
      <c r="Z11" s="17">
        <f t="shared" si="3"/>
        <v>3</v>
      </c>
      <c r="AA11" s="17">
        <f t="shared" si="3"/>
        <v>2</v>
      </c>
      <c r="AB11" s="17">
        <f t="shared" si="3"/>
        <v>0</v>
      </c>
      <c r="AC11" s="17">
        <f t="shared" si="3"/>
        <v>1663</v>
      </c>
      <c r="AD11" s="17">
        <f t="shared" si="3"/>
        <v>0</v>
      </c>
      <c r="AE11" s="31">
        <f t="shared" si="3"/>
        <v>537</v>
      </c>
      <c r="AF11" s="31">
        <f t="shared" si="3"/>
        <v>2200</v>
      </c>
    </row>
    <row r="12" spans="2:32" ht="23.1" customHeight="1" x14ac:dyDescent="0.25">
      <c r="B12" s="23" t="s">
        <v>39</v>
      </c>
      <c r="C12" s="50">
        <v>92</v>
      </c>
      <c r="D12" s="50">
        <v>20</v>
      </c>
      <c r="E12" s="50">
        <v>9</v>
      </c>
      <c r="F12" s="50">
        <v>44</v>
      </c>
      <c r="G12" s="50">
        <v>1</v>
      </c>
      <c r="H12" s="50">
        <v>0</v>
      </c>
      <c r="I12" s="50">
        <v>8</v>
      </c>
      <c r="J12" s="50">
        <v>1</v>
      </c>
      <c r="K12" s="50">
        <v>0</v>
      </c>
      <c r="L12" s="50">
        <v>0</v>
      </c>
      <c r="M12" s="50">
        <v>395</v>
      </c>
      <c r="N12" s="50">
        <v>0</v>
      </c>
      <c r="O12" s="15">
        <f t="shared" si="0"/>
        <v>175</v>
      </c>
      <c r="P12" s="15">
        <f t="shared" si="1"/>
        <v>570</v>
      </c>
      <c r="R12" s="1" t="s">
        <v>8</v>
      </c>
      <c r="S12" s="17">
        <f t="shared" ref="S12:AF12" si="4">SUM(C18:C21)</f>
        <v>159</v>
      </c>
      <c r="T12" s="17">
        <f t="shared" si="4"/>
        <v>48</v>
      </c>
      <c r="U12" s="17">
        <f t="shared" si="4"/>
        <v>25</v>
      </c>
      <c r="V12" s="17">
        <f t="shared" si="4"/>
        <v>151</v>
      </c>
      <c r="W12" s="17">
        <f t="shared" si="4"/>
        <v>3</v>
      </c>
      <c r="X12" s="17">
        <f t="shared" si="4"/>
        <v>0</v>
      </c>
      <c r="Y12" s="17">
        <f t="shared" si="4"/>
        <v>39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1250</v>
      </c>
      <c r="AD12" s="17">
        <f t="shared" si="4"/>
        <v>0</v>
      </c>
      <c r="AE12" s="31">
        <f t="shared" si="4"/>
        <v>429</v>
      </c>
      <c r="AF12" s="31">
        <f t="shared" si="4"/>
        <v>1679</v>
      </c>
    </row>
    <row r="13" spans="2:32" ht="23.1" customHeight="1" x14ac:dyDescent="0.25">
      <c r="B13" s="23" t="s">
        <v>40</v>
      </c>
      <c r="C13" s="50">
        <v>55</v>
      </c>
      <c r="D13" s="50">
        <v>15</v>
      </c>
      <c r="E13" s="50">
        <v>10</v>
      </c>
      <c r="F13" s="50">
        <v>35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415</v>
      </c>
      <c r="N13" s="50">
        <v>0</v>
      </c>
      <c r="O13" s="15">
        <f t="shared" si="0"/>
        <v>120</v>
      </c>
      <c r="P13" s="15">
        <f t="shared" si="1"/>
        <v>535</v>
      </c>
      <c r="R13" s="1" t="s">
        <v>9</v>
      </c>
      <c r="S13" s="17">
        <f t="shared" ref="S13:AF13" si="5">SUM(C22:C25)</f>
        <v>128</v>
      </c>
      <c r="T13" s="17">
        <f t="shared" si="5"/>
        <v>62</v>
      </c>
      <c r="U13" s="17">
        <f t="shared" si="5"/>
        <v>14</v>
      </c>
      <c r="V13" s="17">
        <f t="shared" si="5"/>
        <v>142</v>
      </c>
      <c r="W13" s="17">
        <f t="shared" si="5"/>
        <v>3</v>
      </c>
      <c r="X13" s="17">
        <f t="shared" si="5"/>
        <v>0</v>
      </c>
      <c r="Y13" s="17">
        <f t="shared" si="5"/>
        <v>23</v>
      </c>
      <c r="Z13" s="17">
        <f t="shared" si="5"/>
        <v>2</v>
      </c>
      <c r="AA13" s="17">
        <f t="shared" si="5"/>
        <v>0</v>
      </c>
      <c r="AB13" s="17">
        <f t="shared" si="5"/>
        <v>1</v>
      </c>
      <c r="AC13" s="17">
        <f t="shared" si="5"/>
        <v>975</v>
      </c>
      <c r="AD13" s="17">
        <f t="shared" si="5"/>
        <v>0</v>
      </c>
      <c r="AE13" s="31">
        <f t="shared" si="5"/>
        <v>375</v>
      </c>
      <c r="AF13" s="31">
        <f t="shared" si="5"/>
        <v>1350</v>
      </c>
    </row>
    <row r="14" spans="2:32" ht="23.1" customHeight="1" x14ac:dyDescent="0.25">
      <c r="B14" s="23" t="s">
        <v>41</v>
      </c>
      <c r="C14" s="50">
        <v>56</v>
      </c>
      <c r="D14" s="50">
        <v>30</v>
      </c>
      <c r="E14" s="50">
        <v>6</v>
      </c>
      <c r="F14" s="50">
        <v>53</v>
      </c>
      <c r="G14" s="50">
        <v>0</v>
      </c>
      <c r="H14" s="50">
        <v>0</v>
      </c>
      <c r="I14" s="50">
        <v>5</v>
      </c>
      <c r="J14" s="50">
        <v>2</v>
      </c>
      <c r="K14" s="50">
        <v>1</v>
      </c>
      <c r="L14" s="50">
        <v>0</v>
      </c>
      <c r="M14" s="50">
        <v>515</v>
      </c>
      <c r="N14" s="50">
        <v>0</v>
      </c>
      <c r="O14" s="15">
        <f t="shared" si="0"/>
        <v>153</v>
      </c>
      <c r="P14" s="15">
        <f t="shared" si="1"/>
        <v>668</v>
      </c>
      <c r="R14" s="1" t="s">
        <v>10</v>
      </c>
      <c r="S14" s="17">
        <f t="shared" ref="S14:AF14" si="6">SUM(C26:C29)</f>
        <v>174</v>
      </c>
      <c r="T14" s="17">
        <f t="shared" si="6"/>
        <v>69</v>
      </c>
      <c r="U14" s="17">
        <f t="shared" si="6"/>
        <v>19</v>
      </c>
      <c r="V14" s="17">
        <f t="shared" si="6"/>
        <v>138</v>
      </c>
      <c r="W14" s="17">
        <f t="shared" si="6"/>
        <v>2</v>
      </c>
      <c r="X14" s="17">
        <f t="shared" si="6"/>
        <v>2</v>
      </c>
      <c r="Y14" s="17">
        <f t="shared" si="6"/>
        <v>30</v>
      </c>
      <c r="Z14" s="17">
        <f t="shared" si="6"/>
        <v>3</v>
      </c>
      <c r="AA14" s="17">
        <f t="shared" si="6"/>
        <v>2</v>
      </c>
      <c r="AB14" s="17">
        <f t="shared" si="6"/>
        <v>5</v>
      </c>
      <c r="AC14" s="17">
        <f t="shared" si="6"/>
        <v>1020</v>
      </c>
      <c r="AD14" s="17">
        <f t="shared" si="6"/>
        <v>0</v>
      </c>
      <c r="AE14" s="31">
        <f t="shared" si="6"/>
        <v>444</v>
      </c>
      <c r="AF14" s="31">
        <f t="shared" si="6"/>
        <v>1464</v>
      </c>
    </row>
    <row r="15" spans="2:32" ht="23.1" customHeight="1" x14ac:dyDescent="0.25">
      <c r="B15" s="23" t="s">
        <v>42</v>
      </c>
      <c r="C15" s="50">
        <v>58</v>
      </c>
      <c r="D15" s="50">
        <v>20</v>
      </c>
      <c r="E15" s="50">
        <v>6</v>
      </c>
      <c r="F15" s="50">
        <v>49</v>
      </c>
      <c r="G15" s="50">
        <v>1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208</v>
      </c>
      <c r="N15" s="50">
        <v>0</v>
      </c>
      <c r="O15" s="15">
        <f t="shared" si="0"/>
        <v>136</v>
      </c>
      <c r="P15" s="15">
        <f t="shared" si="1"/>
        <v>344</v>
      </c>
      <c r="R15" s="1" t="s">
        <v>11</v>
      </c>
      <c r="S15" s="17">
        <f t="shared" ref="S15:AF15" si="7">SUM(C30:C33)</f>
        <v>182</v>
      </c>
      <c r="T15" s="17">
        <f t="shared" si="7"/>
        <v>86</v>
      </c>
      <c r="U15" s="17">
        <f t="shared" si="7"/>
        <v>26</v>
      </c>
      <c r="V15" s="17">
        <f t="shared" si="7"/>
        <v>145</v>
      </c>
      <c r="W15" s="17">
        <f t="shared" si="7"/>
        <v>2</v>
      </c>
      <c r="X15" s="17">
        <f t="shared" si="7"/>
        <v>1</v>
      </c>
      <c r="Y15" s="17">
        <f t="shared" si="7"/>
        <v>28</v>
      </c>
      <c r="Z15" s="17">
        <f t="shared" si="7"/>
        <v>4</v>
      </c>
      <c r="AA15" s="17">
        <f t="shared" si="7"/>
        <v>2</v>
      </c>
      <c r="AB15" s="17">
        <f t="shared" si="7"/>
        <v>2</v>
      </c>
      <c r="AC15" s="17">
        <f t="shared" si="7"/>
        <v>1005</v>
      </c>
      <c r="AD15" s="17">
        <f t="shared" si="7"/>
        <v>0</v>
      </c>
      <c r="AE15" s="31">
        <f t="shared" si="7"/>
        <v>478</v>
      </c>
      <c r="AF15" s="31">
        <f t="shared" si="7"/>
        <v>1483</v>
      </c>
    </row>
    <row r="16" spans="2:32" ht="23.1" customHeight="1" x14ac:dyDescent="0.25">
      <c r="B16" s="23" t="s">
        <v>43</v>
      </c>
      <c r="C16" s="50">
        <v>50</v>
      </c>
      <c r="D16" s="50">
        <v>13</v>
      </c>
      <c r="E16" s="50">
        <v>5</v>
      </c>
      <c r="F16" s="50">
        <v>35</v>
      </c>
      <c r="G16" s="50">
        <v>0</v>
      </c>
      <c r="H16" s="50">
        <v>0</v>
      </c>
      <c r="I16" s="50">
        <v>10</v>
      </c>
      <c r="J16" s="50">
        <v>0</v>
      </c>
      <c r="K16" s="50">
        <v>0</v>
      </c>
      <c r="L16" s="50">
        <v>0</v>
      </c>
      <c r="M16" s="50">
        <v>405</v>
      </c>
      <c r="N16" s="50">
        <v>0</v>
      </c>
      <c r="O16" s="15">
        <f t="shared" si="0"/>
        <v>113</v>
      </c>
      <c r="P16" s="15">
        <f t="shared" si="1"/>
        <v>518</v>
      </c>
      <c r="R16" s="1" t="s">
        <v>12</v>
      </c>
      <c r="S16" s="17">
        <f t="shared" ref="S16:AF16" si="8">SUM(C34:C37)</f>
        <v>185</v>
      </c>
      <c r="T16" s="17">
        <f t="shared" si="8"/>
        <v>104</v>
      </c>
      <c r="U16" s="17">
        <f t="shared" si="8"/>
        <v>40</v>
      </c>
      <c r="V16" s="17">
        <f t="shared" si="8"/>
        <v>142</v>
      </c>
      <c r="W16" s="17">
        <f t="shared" si="8"/>
        <v>2</v>
      </c>
      <c r="X16" s="17">
        <f t="shared" si="8"/>
        <v>2</v>
      </c>
      <c r="Y16" s="17">
        <f t="shared" si="8"/>
        <v>30</v>
      </c>
      <c r="Z16" s="17">
        <f t="shared" si="8"/>
        <v>9</v>
      </c>
      <c r="AA16" s="17">
        <f t="shared" si="8"/>
        <v>8</v>
      </c>
      <c r="AB16" s="17">
        <f t="shared" si="8"/>
        <v>6</v>
      </c>
      <c r="AC16" s="17">
        <f t="shared" si="8"/>
        <v>845</v>
      </c>
      <c r="AD16" s="17">
        <f t="shared" si="8"/>
        <v>0</v>
      </c>
      <c r="AE16" s="31">
        <f t="shared" si="8"/>
        <v>528</v>
      </c>
      <c r="AF16" s="31">
        <f t="shared" si="8"/>
        <v>1373</v>
      </c>
    </row>
    <row r="17" spans="2:32" ht="23.1" customHeight="1" x14ac:dyDescent="0.25">
      <c r="B17" s="23" t="s">
        <v>44</v>
      </c>
      <c r="C17" s="50">
        <v>49</v>
      </c>
      <c r="D17" s="50">
        <v>23</v>
      </c>
      <c r="E17" s="50">
        <v>4</v>
      </c>
      <c r="F17" s="50">
        <v>50</v>
      </c>
      <c r="G17" s="50">
        <v>0</v>
      </c>
      <c r="H17" s="50">
        <v>0</v>
      </c>
      <c r="I17" s="50">
        <v>7</v>
      </c>
      <c r="J17" s="50">
        <v>1</v>
      </c>
      <c r="K17" s="50">
        <v>1</v>
      </c>
      <c r="L17" s="50">
        <v>0</v>
      </c>
      <c r="M17" s="50">
        <v>535</v>
      </c>
      <c r="N17" s="50">
        <v>0</v>
      </c>
      <c r="O17" s="15">
        <f t="shared" si="0"/>
        <v>135</v>
      </c>
      <c r="P17" s="15">
        <f t="shared" si="1"/>
        <v>670</v>
      </c>
      <c r="R17" s="1" t="s">
        <v>13</v>
      </c>
      <c r="S17" s="17">
        <f t="shared" ref="S17:AF17" si="9">SUM(C38:C41)</f>
        <v>148</v>
      </c>
      <c r="T17" s="17">
        <f t="shared" si="9"/>
        <v>74</v>
      </c>
      <c r="U17" s="17">
        <f t="shared" si="9"/>
        <v>24</v>
      </c>
      <c r="V17" s="17">
        <f t="shared" si="9"/>
        <v>180</v>
      </c>
      <c r="W17" s="17">
        <f t="shared" si="9"/>
        <v>0</v>
      </c>
      <c r="X17" s="17">
        <f t="shared" si="9"/>
        <v>4</v>
      </c>
      <c r="Y17" s="17">
        <f t="shared" si="9"/>
        <v>52</v>
      </c>
      <c r="Z17" s="17">
        <f t="shared" si="9"/>
        <v>7</v>
      </c>
      <c r="AA17" s="17">
        <f t="shared" si="9"/>
        <v>10</v>
      </c>
      <c r="AB17" s="17">
        <f t="shared" si="9"/>
        <v>2</v>
      </c>
      <c r="AC17" s="17">
        <f t="shared" si="9"/>
        <v>670</v>
      </c>
      <c r="AD17" s="17">
        <f t="shared" si="9"/>
        <v>0</v>
      </c>
      <c r="AE17" s="31">
        <f t="shared" si="9"/>
        <v>501</v>
      </c>
      <c r="AF17" s="31">
        <f t="shared" si="9"/>
        <v>1171</v>
      </c>
    </row>
    <row r="18" spans="2:32" ht="23.1" customHeight="1" x14ac:dyDescent="0.25">
      <c r="B18" s="23" t="s">
        <v>45</v>
      </c>
      <c r="C18" s="50">
        <v>50</v>
      </c>
      <c r="D18" s="50">
        <v>2</v>
      </c>
      <c r="E18" s="50">
        <v>6</v>
      </c>
      <c r="F18" s="50">
        <v>43</v>
      </c>
      <c r="G18" s="50">
        <v>1</v>
      </c>
      <c r="H18" s="50">
        <v>0</v>
      </c>
      <c r="I18" s="50">
        <v>10</v>
      </c>
      <c r="J18" s="50">
        <v>2</v>
      </c>
      <c r="K18" s="50">
        <v>0</v>
      </c>
      <c r="L18" s="50">
        <v>0</v>
      </c>
      <c r="M18" s="50">
        <v>345</v>
      </c>
      <c r="N18" s="50">
        <v>0</v>
      </c>
      <c r="O18" s="15">
        <f t="shared" si="0"/>
        <v>114</v>
      </c>
      <c r="P18" s="15">
        <f t="shared" si="1"/>
        <v>459</v>
      </c>
      <c r="R18" s="1" t="s">
        <v>14</v>
      </c>
      <c r="S18" s="17">
        <f t="shared" ref="S18:AF18" si="10">SUM(C42:C45)</f>
        <v>179</v>
      </c>
      <c r="T18" s="17">
        <f t="shared" si="10"/>
        <v>55</v>
      </c>
      <c r="U18" s="17">
        <f t="shared" si="10"/>
        <v>31</v>
      </c>
      <c r="V18" s="17">
        <f t="shared" si="10"/>
        <v>140</v>
      </c>
      <c r="W18" s="17">
        <f t="shared" si="10"/>
        <v>0</v>
      </c>
      <c r="X18" s="17">
        <f t="shared" si="10"/>
        <v>2</v>
      </c>
      <c r="Y18" s="17">
        <f t="shared" si="10"/>
        <v>31</v>
      </c>
      <c r="Z18" s="17">
        <f t="shared" si="10"/>
        <v>2</v>
      </c>
      <c r="AA18" s="17">
        <f t="shared" si="10"/>
        <v>4</v>
      </c>
      <c r="AB18" s="17">
        <f t="shared" si="10"/>
        <v>2</v>
      </c>
      <c r="AC18" s="17">
        <f t="shared" si="10"/>
        <v>850</v>
      </c>
      <c r="AD18" s="17">
        <f t="shared" si="10"/>
        <v>0</v>
      </c>
      <c r="AE18" s="31">
        <f t="shared" si="10"/>
        <v>446</v>
      </c>
      <c r="AF18" s="31">
        <f t="shared" si="10"/>
        <v>1296</v>
      </c>
    </row>
    <row r="19" spans="2:32" ht="23.1" customHeight="1" x14ac:dyDescent="0.25">
      <c r="B19" s="23" t="s">
        <v>46</v>
      </c>
      <c r="C19" s="50">
        <v>45</v>
      </c>
      <c r="D19" s="50">
        <v>13</v>
      </c>
      <c r="E19" s="50">
        <v>11</v>
      </c>
      <c r="F19" s="50">
        <v>32</v>
      </c>
      <c r="G19" s="50">
        <v>0</v>
      </c>
      <c r="H19" s="50">
        <v>0</v>
      </c>
      <c r="I19" s="50">
        <v>13</v>
      </c>
      <c r="J19" s="50">
        <v>0</v>
      </c>
      <c r="K19" s="50">
        <v>0</v>
      </c>
      <c r="L19" s="50">
        <v>0</v>
      </c>
      <c r="M19" s="50">
        <v>315</v>
      </c>
      <c r="N19" s="50">
        <v>0</v>
      </c>
      <c r="O19" s="15">
        <f t="shared" si="0"/>
        <v>114</v>
      </c>
      <c r="P19" s="15">
        <f t="shared" si="1"/>
        <v>429</v>
      </c>
      <c r="R19" s="1" t="s">
        <v>15</v>
      </c>
      <c r="S19" s="17">
        <f t="shared" ref="S19:AF19" si="11">SUM(C46:C49)</f>
        <v>153</v>
      </c>
      <c r="T19" s="17">
        <f t="shared" si="11"/>
        <v>70</v>
      </c>
      <c r="U19" s="17">
        <f t="shared" si="11"/>
        <v>28</v>
      </c>
      <c r="V19" s="17">
        <f t="shared" si="11"/>
        <v>148</v>
      </c>
      <c r="W19" s="17">
        <f t="shared" si="11"/>
        <v>5</v>
      </c>
      <c r="X19" s="17">
        <f t="shared" si="11"/>
        <v>0</v>
      </c>
      <c r="Y19" s="17">
        <f t="shared" si="11"/>
        <v>50</v>
      </c>
      <c r="Z19" s="17">
        <f t="shared" si="11"/>
        <v>2</v>
      </c>
      <c r="AA19" s="17">
        <f t="shared" si="11"/>
        <v>3</v>
      </c>
      <c r="AB19" s="17">
        <f t="shared" si="11"/>
        <v>2</v>
      </c>
      <c r="AC19" s="17">
        <f t="shared" si="11"/>
        <v>930</v>
      </c>
      <c r="AD19" s="17">
        <f t="shared" si="11"/>
        <v>0</v>
      </c>
      <c r="AE19" s="31">
        <f t="shared" si="11"/>
        <v>461</v>
      </c>
      <c r="AF19" s="31">
        <f t="shared" si="11"/>
        <v>1391</v>
      </c>
    </row>
    <row r="20" spans="2:32" ht="23.1" customHeight="1" x14ac:dyDescent="0.25">
      <c r="B20" s="23" t="s">
        <v>47</v>
      </c>
      <c r="C20" s="50">
        <v>35</v>
      </c>
      <c r="D20" s="50">
        <v>18</v>
      </c>
      <c r="E20" s="50">
        <v>5</v>
      </c>
      <c r="F20" s="50">
        <v>27</v>
      </c>
      <c r="G20" s="50">
        <v>0</v>
      </c>
      <c r="H20" s="50">
        <v>0</v>
      </c>
      <c r="I20" s="50">
        <v>7</v>
      </c>
      <c r="J20" s="50">
        <v>0</v>
      </c>
      <c r="K20" s="50">
        <v>2</v>
      </c>
      <c r="L20" s="50">
        <v>0</v>
      </c>
      <c r="M20" s="50">
        <v>320</v>
      </c>
      <c r="N20" s="50">
        <v>0</v>
      </c>
      <c r="O20" s="15">
        <f t="shared" si="0"/>
        <v>94</v>
      </c>
      <c r="P20" s="15">
        <f t="shared" si="1"/>
        <v>414</v>
      </c>
      <c r="R20" s="1" t="s">
        <v>16</v>
      </c>
      <c r="S20" s="17">
        <f t="shared" ref="S20:AF20" si="12">SUM(C50:C53)</f>
        <v>193</v>
      </c>
      <c r="T20" s="17">
        <f t="shared" si="12"/>
        <v>77</v>
      </c>
      <c r="U20" s="17">
        <f t="shared" si="12"/>
        <v>30</v>
      </c>
      <c r="V20" s="17">
        <f t="shared" si="12"/>
        <v>171</v>
      </c>
      <c r="W20" s="17">
        <f t="shared" si="12"/>
        <v>4</v>
      </c>
      <c r="X20" s="17">
        <f t="shared" si="12"/>
        <v>1</v>
      </c>
      <c r="Y20" s="17">
        <f t="shared" si="12"/>
        <v>30</v>
      </c>
      <c r="Z20" s="17">
        <f t="shared" si="12"/>
        <v>4</v>
      </c>
      <c r="AA20" s="17">
        <f t="shared" si="12"/>
        <v>5</v>
      </c>
      <c r="AB20" s="17">
        <f t="shared" si="12"/>
        <v>2</v>
      </c>
      <c r="AC20" s="17">
        <f t="shared" si="12"/>
        <v>930</v>
      </c>
      <c r="AD20" s="17">
        <f t="shared" si="12"/>
        <v>0</v>
      </c>
      <c r="AE20" s="31">
        <f t="shared" si="12"/>
        <v>517</v>
      </c>
      <c r="AF20" s="31">
        <f t="shared" si="12"/>
        <v>1447</v>
      </c>
    </row>
    <row r="21" spans="2:32" ht="23.1" customHeight="1" x14ac:dyDescent="0.25">
      <c r="B21" s="23" t="s">
        <v>48</v>
      </c>
      <c r="C21" s="50">
        <v>29</v>
      </c>
      <c r="D21" s="50">
        <v>15</v>
      </c>
      <c r="E21" s="50">
        <v>3</v>
      </c>
      <c r="F21" s="50">
        <v>49</v>
      </c>
      <c r="G21" s="50">
        <v>2</v>
      </c>
      <c r="H21" s="50">
        <v>0</v>
      </c>
      <c r="I21" s="50">
        <v>9</v>
      </c>
      <c r="J21" s="50">
        <v>0</v>
      </c>
      <c r="K21" s="50">
        <v>0</v>
      </c>
      <c r="L21" s="50">
        <v>0</v>
      </c>
      <c r="M21" s="50">
        <v>270</v>
      </c>
      <c r="N21" s="50">
        <v>0</v>
      </c>
      <c r="O21" s="15">
        <f t="shared" si="0"/>
        <v>107</v>
      </c>
      <c r="P21" s="15">
        <f t="shared" si="1"/>
        <v>377</v>
      </c>
      <c r="R21" s="36" t="s">
        <v>20</v>
      </c>
      <c r="S21" s="34">
        <f t="shared" ref="S21:AF21" si="13">SUM(C54:C57)</f>
        <v>150</v>
      </c>
      <c r="T21" s="17">
        <f t="shared" si="13"/>
        <v>51</v>
      </c>
      <c r="U21" s="17">
        <f t="shared" si="13"/>
        <v>21</v>
      </c>
      <c r="V21" s="17">
        <f t="shared" si="13"/>
        <v>156</v>
      </c>
      <c r="W21" s="17">
        <f t="shared" si="13"/>
        <v>3</v>
      </c>
      <c r="X21" s="17">
        <f t="shared" si="13"/>
        <v>3</v>
      </c>
      <c r="Y21" s="17">
        <f t="shared" si="13"/>
        <v>33</v>
      </c>
      <c r="Z21" s="17">
        <f t="shared" si="13"/>
        <v>0</v>
      </c>
      <c r="AA21" s="17">
        <f t="shared" si="13"/>
        <v>5</v>
      </c>
      <c r="AB21" s="17">
        <f t="shared" si="13"/>
        <v>1</v>
      </c>
      <c r="AC21" s="17">
        <f t="shared" si="13"/>
        <v>845</v>
      </c>
      <c r="AD21" s="17">
        <f t="shared" si="13"/>
        <v>0</v>
      </c>
      <c r="AE21" s="31">
        <f t="shared" si="13"/>
        <v>423</v>
      </c>
      <c r="AF21" s="31">
        <f t="shared" si="13"/>
        <v>1268</v>
      </c>
    </row>
    <row r="22" spans="2:32" ht="23.1" customHeight="1" x14ac:dyDescent="0.25">
      <c r="B22" s="23" t="s">
        <v>49</v>
      </c>
      <c r="C22" s="50">
        <v>16</v>
      </c>
      <c r="D22" s="50">
        <v>12</v>
      </c>
      <c r="E22" s="50">
        <v>1</v>
      </c>
      <c r="F22" s="50">
        <v>31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155</v>
      </c>
      <c r="N22" s="50">
        <v>0</v>
      </c>
      <c r="O22" s="15">
        <f t="shared" si="0"/>
        <v>63</v>
      </c>
      <c r="P22" s="15">
        <f t="shared" si="1"/>
        <v>218</v>
      </c>
      <c r="R22" s="38" t="s">
        <v>90</v>
      </c>
      <c r="S22" s="39">
        <f>MAX(S10:S12)</f>
        <v>277</v>
      </c>
      <c r="T22" s="39">
        <f t="shared" ref="T22:AF22" si="14">MAX(T10:T12)</f>
        <v>86</v>
      </c>
      <c r="U22" s="39">
        <f t="shared" si="14"/>
        <v>31</v>
      </c>
      <c r="V22" s="39">
        <f t="shared" si="14"/>
        <v>187</v>
      </c>
      <c r="W22" s="39">
        <f t="shared" si="14"/>
        <v>3</v>
      </c>
      <c r="X22" s="39">
        <f t="shared" si="14"/>
        <v>1</v>
      </c>
      <c r="Y22" s="39">
        <f t="shared" si="14"/>
        <v>39</v>
      </c>
      <c r="Z22" s="39">
        <f t="shared" si="14"/>
        <v>3</v>
      </c>
      <c r="AA22" s="39">
        <f t="shared" si="14"/>
        <v>2</v>
      </c>
      <c r="AB22" s="39">
        <f t="shared" si="14"/>
        <v>0</v>
      </c>
      <c r="AC22" s="39">
        <f t="shared" si="14"/>
        <v>1663</v>
      </c>
      <c r="AD22" s="39">
        <f t="shared" si="14"/>
        <v>0</v>
      </c>
      <c r="AE22" s="40">
        <f t="shared" si="14"/>
        <v>537</v>
      </c>
      <c r="AF22" s="40">
        <f t="shared" si="14"/>
        <v>2200</v>
      </c>
    </row>
    <row r="23" spans="2:32" ht="23.1" customHeight="1" x14ac:dyDescent="0.25">
      <c r="B23" s="23" t="s">
        <v>50</v>
      </c>
      <c r="C23" s="50">
        <v>30</v>
      </c>
      <c r="D23" s="50">
        <v>27</v>
      </c>
      <c r="E23" s="50">
        <v>4</v>
      </c>
      <c r="F23" s="50">
        <v>45</v>
      </c>
      <c r="G23" s="50">
        <v>2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295</v>
      </c>
      <c r="N23" s="50">
        <v>0</v>
      </c>
      <c r="O23" s="15">
        <f t="shared" si="0"/>
        <v>113</v>
      </c>
      <c r="P23" s="15">
        <f t="shared" si="1"/>
        <v>408</v>
      </c>
      <c r="R23" s="38" t="s">
        <v>91</v>
      </c>
      <c r="S23" s="39">
        <f>MAX(S13:S18)</f>
        <v>185</v>
      </c>
      <c r="T23" s="39">
        <f t="shared" ref="T23:AF23" si="15">MAX(T13:T18)</f>
        <v>104</v>
      </c>
      <c r="U23" s="39">
        <f t="shared" si="15"/>
        <v>40</v>
      </c>
      <c r="V23" s="39">
        <f t="shared" si="15"/>
        <v>180</v>
      </c>
      <c r="W23" s="39">
        <f t="shared" si="15"/>
        <v>3</v>
      </c>
      <c r="X23" s="39">
        <f t="shared" si="15"/>
        <v>4</v>
      </c>
      <c r="Y23" s="39">
        <f t="shared" si="15"/>
        <v>52</v>
      </c>
      <c r="Z23" s="39">
        <f t="shared" si="15"/>
        <v>9</v>
      </c>
      <c r="AA23" s="39">
        <f t="shared" si="15"/>
        <v>10</v>
      </c>
      <c r="AB23" s="39">
        <f t="shared" si="15"/>
        <v>6</v>
      </c>
      <c r="AC23" s="39">
        <f t="shared" si="15"/>
        <v>1020</v>
      </c>
      <c r="AD23" s="39">
        <f t="shared" si="15"/>
        <v>0</v>
      </c>
      <c r="AE23" s="40">
        <f t="shared" si="15"/>
        <v>528</v>
      </c>
      <c r="AF23" s="40">
        <f t="shared" si="15"/>
        <v>1483</v>
      </c>
    </row>
    <row r="24" spans="2:32" ht="23.1" customHeight="1" x14ac:dyDescent="0.25">
      <c r="B24" s="23" t="s">
        <v>51</v>
      </c>
      <c r="C24" s="50">
        <v>40</v>
      </c>
      <c r="D24" s="50">
        <v>15</v>
      </c>
      <c r="E24" s="50">
        <v>7</v>
      </c>
      <c r="F24" s="50">
        <v>33</v>
      </c>
      <c r="G24" s="50">
        <v>1</v>
      </c>
      <c r="H24" s="50">
        <v>0</v>
      </c>
      <c r="I24" s="50">
        <v>10</v>
      </c>
      <c r="J24" s="50">
        <v>0</v>
      </c>
      <c r="K24" s="50">
        <v>0</v>
      </c>
      <c r="L24" s="50">
        <v>1</v>
      </c>
      <c r="M24" s="50">
        <v>280</v>
      </c>
      <c r="N24" s="50">
        <v>0</v>
      </c>
      <c r="O24" s="15">
        <f t="shared" si="0"/>
        <v>107</v>
      </c>
      <c r="P24" s="15">
        <f t="shared" si="1"/>
        <v>387</v>
      </c>
      <c r="R24" s="38" t="s">
        <v>92</v>
      </c>
      <c r="S24" s="39">
        <f>MAX(S19:S21)</f>
        <v>193</v>
      </c>
      <c r="T24" s="39">
        <f t="shared" ref="T24:AF24" si="16">MAX(T19:T21)</f>
        <v>77</v>
      </c>
      <c r="U24" s="39">
        <f t="shared" si="16"/>
        <v>30</v>
      </c>
      <c r="V24" s="39">
        <f t="shared" si="16"/>
        <v>171</v>
      </c>
      <c r="W24" s="39">
        <f t="shared" si="16"/>
        <v>5</v>
      </c>
      <c r="X24" s="39">
        <f t="shared" si="16"/>
        <v>3</v>
      </c>
      <c r="Y24" s="39">
        <f t="shared" si="16"/>
        <v>50</v>
      </c>
      <c r="Z24" s="39">
        <f t="shared" si="16"/>
        <v>4</v>
      </c>
      <c r="AA24" s="39">
        <f t="shared" si="16"/>
        <v>5</v>
      </c>
      <c r="AB24" s="39">
        <f t="shared" si="16"/>
        <v>2</v>
      </c>
      <c r="AC24" s="39">
        <f t="shared" si="16"/>
        <v>930</v>
      </c>
      <c r="AD24" s="39">
        <f t="shared" si="16"/>
        <v>0</v>
      </c>
      <c r="AE24" s="40">
        <f t="shared" si="16"/>
        <v>517</v>
      </c>
      <c r="AF24" s="40">
        <f t="shared" si="16"/>
        <v>1447</v>
      </c>
    </row>
    <row r="25" spans="2:32" ht="23.1" customHeight="1" x14ac:dyDescent="0.25">
      <c r="B25" s="23" t="s">
        <v>52</v>
      </c>
      <c r="C25" s="50">
        <v>42</v>
      </c>
      <c r="D25" s="50">
        <v>8</v>
      </c>
      <c r="E25" s="50">
        <v>2</v>
      </c>
      <c r="F25" s="50">
        <v>33</v>
      </c>
      <c r="G25" s="50">
        <v>0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245</v>
      </c>
      <c r="N25" s="50">
        <v>0</v>
      </c>
      <c r="O25" s="15">
        <f t="shared" si="0"/>
        <v>92</v>
      </c>
      <c r="P25" s="15">
        <f t="shared" si="1"/>
        <v>337</v>
      </c>
      <c r="R25" s="37" t="s">
        <v>85</v>
      </c>
      <c r="S25" s="35">
        <f t="shared" ref="S25:AF25" si="17">SUM(S10:S12)</f>
        <v>649</v>
      </c>
      <c r="T25" s="16">
        <f t="shared" si="17"/>
        <v>186</v>
      </c>
      <c r="U25" s="16">
        <f t="shared" si="17"/>
        <v>77</v>
      </c>
      <c r="V25" s="16">
        <f t="shared" si="17"/>
        <v>473</v>
      </c>
      <c r="W25" s="16">
        <f t="shared" si="17"/>
        <v>7</v>
      </c>
      <c r="X25" s="16">
        <f t="shared" si="17"/>
        <v>1</v>
      </c>
      <c r="Y25" s="16">
        <f t="shared" si="17"/>
        <v>80</v>
      </c>
      <c r="Z25" s="16">
        <f t="shared" si="17"/>
        <v>7</v>
      </c>
      <c r="AA25" s="16">
        <f t="shared" si="17"/>
        <v>4</v>
      </c>
      <c r="AB25" s="16">
        <f t="shared" si="17"/>
        <v>0</v>
      </c>
      <c r="AC25" s="16">
        <f t="shared" si="17"/>
        <v>4417</v>
      </c>
      <c r="AD25" s="16">
        <f t="shared" si="17"/>
        <v>0</v>
      </c>
      <c r="AE25" s="32">
        <f t="shared" si="17"/>
        <v>1484</v>
      </c>
      <c r="AF25" s="32">
        <f t="shared" si="17"/>
        <v>5901</v>
      </c>
    </row>
    <row r="26" spans="2:32" ht="23.1" customHeight="1" x14ac:dyDescent="0.25">
      <c r="B26" s="23" t="s">
        <v>53</v>
      </c>
      <c r="C26" s="50">
        <v>62</v>
      </c>
      <c r="D26" s="50">
        <v>21</v>
      </c>
      <c r="E26" s="50">
        <v>6</v>
      </c>
      <c r="F26" s="50">
        <v>40</v>
      </c>
      <c r="G26" s="50">
        <v>0</v>
      </c>
      <c r="H26" s="50">
        <v>0</v>
      </c>
      <c r="I26" s="50">
        <v>12</v>
      </c>
      <c r="J26" s="50">
        <v>1</v>
      </c>
      <c r="K26" s="50">
        <v>1</v>
      </c>
      <c r="L26" s="50">
        <v>0</v>
      </c>
      <c r="M26" s="50">
        <v>280</v>
      </c>
      <c r="N26" s="50">
        <v>0</v>
      </c>
      <c r="O26" s="15">
        <f t="shared" si="0"/>
        <v>143</v>
      </c>
      <c r="P26" s="15">
        <f t="shared" si="1"/>
        <v>423</v>
      </c>
      <c r="R26" s="28" t="s">
        <v>86</v>
      </c>
      <c r="S26" s="16">
        <f t="shared" ref="S26:AF26" si="18">SUM(S13:S18)</f>
        <v>996</v>
      </c>
      <c r="T26" s="16">
        <f t="shared" si="18"/>
        <v>450</v>
      </c>
      <c r="U26" s="16">
        <f t="shared" si="18"/>
        <v>154</v>
      </c>
      <c r="V26" s="16">
        <f t="shared" si="18"/>
        <v>887</v>
      </c>
      <c r="W26" s="16">
        <f t="shared" si="18"/>
        <v>9</v>
      </c>
      <c r="X26" s="16">
        <f t="shared" si="18"/>
        <v>11</v>
      </c>
      <c r="Y26" s="16">
        <f t="shared" si="18"/>
        <v>194</v>
      </c>
      <c r="Z26" s="16">
        <f t="shared" si="18"/>
        <v>27</v>
      </c>
      <c r="AA26" s="16">
        <f t="shared" si="18"/>
        <v>26</v>
      </c>
      <c r="AB26" s="16">
        <f t="shared" si="18"/>
        <v>18</v>
      </c>
      <c r="AC26" s="16">
        <f t="shared" si="18"/>
        <v>5365</v>
      </c>
      <c r="AD26" s="16">
        <f t="shared" si="18"/>
        <v>0</v>
      </c>
      <c r="AE26" s="32">
        <f t="shared" si="18"/>
        <v>2772</v>
      </c>
      <c r="AF26" s="32">
        <f t="shared" si="18"/>
        <v>8137</v>
      </c>
    </row>
    <row r="27" spans="2:32" ht="23.1" customHeight="1" x14ac:dyDescent="0.25">
      <c r="B27" s="23" t="s">
        <v>54</v>
      </c>
      <c r="C27" s="50">
        <v>45</v>
      </c>
      <c r="D27" s="50">
        <v>20</v>
      </c>
      <c r="E27" s="50">
        <v>7</v>
      </c>
      <c r="F27" s="50">
        <v>40</v>
      </c>
      <c r="G27" s="50">
        <v>2</v>
      </c>
      <c r="H27" s="50">
        <v>1</v>
      </c>
      <c r="I27" s="50">
        <v>10</v>
      </c>
      <c r="J27" s="50">
        <v>0</v>
      </c>
      <c r="K27" s="50">
        <v>1</v>
      </c>
      <c r="L27" s="50">
        <v>0</v>
      </c>
      <c r="M27" s="50">
        <v>285</v>
      </c>
      <c r="N27" s="50">
        <v>0</v>
      </c>
      <c r="O27" s="15">
        <f t="shared" si="0"/>
        <v>126</v>
      </c>
      <c r="P27" s="15">
        <f t="shared" si="1"/>
        <v>411</v>
      </c>
      <c r="R27" s="29" t="s">
        <v>87</v>
      </c>
      <c r="S27" s="16">
        <f t="shared" ref="S27:AF27" si="19">SUM(S19:S21)</f>
        <v>496</v>
      </c>
      <c r="T27" s="16">
        <f t="shared" si="19"/>
        <v>198</v>
      </c>
      <c r="U27" s="16">
        <f t="shared" si="19"/>
        <v>79</v>
      </c>
      <c r="V27" s="16">
        <f t="shared" si="19"/>
        <v>475</v>
      </c>
      <c r="W27" s="16">
        <f t="shared" si="19"/>
        <v>12</v>
      </c>
      <c r="X27" s="16">
        <f t="shared" si="19"/>
        <v>4</v>
      </c>
      <c r="Y27" s="16">
        <f t="shared" si="19"/>
        <v>113</v>
      </c>
      <c r="Z27" s="16">
        <f t="shared" si="19"/>
        <v>6</v>
      </c>
      <c r="AA27" s="16">
        <f t="shared" si="19"/>
        <v>13</v>
      </c>
      <c r="AB27" s="16">
        <f t="shared" si="19"/>
        <v>5</v>
      </c>
      <c r="AC27" s="16">
        <f t="shared" si="19"/>
        <v>2705</v>
      </c>
      <c r="AD27" s="16">
        <f t="shared" si="19"/>
        <v>0</v>
      </c>
      <c r="AE27" s="32">
        <f t="shared" si="19"/>
        <v>1401</v>
      </c>
      <c r="AF27" s="32">
        <f t="shared" si="19"/>
        <v>4106</v>
      </c>
    </row>
    <row r="28" spans="2:32" ht="23.1" customHeight="1" x14ac:dyDescent="0.25">
      <c r="B28" s="23" t="s">
        <v>55</v>
      </c>
      <c r="C28" s="50">
        <v>37</v>
      </c>
      <c r="D28" s="50">
        <v>17</v>
      </c>
      <c r="E28" s="50">
        <v>4</v>
      </c>
      <c r="F28" s="50">
        <v>25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3</v>
      </c>
      <c r="M28" s="50">
        <v>285</v>
      </c>
      <c r="N28" s="50">
        <v>0</v>
      </c>
      <c r="O28" s="15">
        <f t="shared" si="0"/>
        <v>93</v>
      </c>
      <c r="P28" s="15">
        <f t="shared" si="1"/>
        <v>378</v>
      </c>
      <c r="R28" s="5" t="s">
        <v>17</v>
      </c>
      <c r="S28" s="16">
        <f t="shared" ref="S28:AF28" si="20">SUM(S10:S21)</f>
        <v>2141</v>
      </c>
      <c r="T28" s="16">
        <f t="shared" si="20"/>
        <v>834</v>
      </c>
      <c r="U28" s="16">
        <f t="shared" si="20"/>
        <v>310</v>
      </c>
      <c r="V28" s="16">
        <f t="shared" si="20"/>
        <v>1835</v>
      </c>
      <c r="W28" s="16">
        <f t="shared" si="20"/>
        <v>28</v>
      </c>
      <c r="X28" s="16">
        <f t="shared" si="20"/>
        <v>16</v>
      </c>
      <c r="Y28" s="16">
        <f t="shared" si="20"/>
        <v>387</v>
      </c>
      <c r="Z28" s="16">
        <f t="shared" si="20"/>
        <v>40</v>
      </c>
      <c r="AA28" s="16">
        <f t="shared" si="20"/>
        <v>43</v>
      </c>
      <c r="AB28" s="16">
        <f t="shared" si="20"/>
        <v>23</v>
      </c>
      <c r="AC28" s="16">
        <f t="shared" si="20"/>
        <v>12487</v>
      </c>
      <c r="AD28" s="16">
        <f t="shared" si="20"/>
        <v>0</v>
      </c>
      <c r="AE28" s="32">
        <f t="shared" si="20"/>
        <v>5657</v>
      </c>
      <c r="AF28" s="32">
        <f t="shared" si="20"/>
        <v>18144</v>
      </c>
    </row>
    <row r="29" spans="2:32" ht="23.1" customHeight="1" x14ac:dyDescent="0.25">
      <c r="B29" s="23" t="s">
        <v>56</v>
      </c>
      <c r="C29" s="50">
        <v>30</v>
      </c>
      <c r="D29" s="50">
        <v>11</v>
      </c>
      <c r="E29" s="50">
        <v>2</v>
      </c>
      <c r="F29" s="50">
        <v>33</v>
      </c>
      <c r="G29" s="50">
        <v>0</v>
      </c>
      <c r="H29" s="50">
        <v>1</v>
      </c>
      <c r="I29" s="50">
        <v>2</v>
      </c>
      <c r="J29" s="50">
        <v>1</v>
      </c>
      <c r="K29" s="50">
        <v>0</v>
      </c>
      <c r="L29" s="50">
        <v>2</v>
      </c>
      <c r="M29" s="50">
        <v>170</v>
      </c>
      <c r="N29" s="50">
        <v>0</v>
      </c>
      <c r="O29" s="15">
        <f t="shared" si="0"/>
        <v>82</v>
      </c>
      <c r="P29" s="15">
        <f t="shared" si="1"/>
        <v>252</v>
      </c>
      <c r="R29"/>
      <c r="S29" s="20"/>
      <c r="T29" s="19"/>
    </row>
    <row r="30" spans="2:32" ht="23.1" customHeight="1" x14ac:dyDescent="0.25">
      <c r="B30" s="23" t="s">
        <v>57</v>
      </c>
      <c r="C30" s="50">
        <v>51</v>
      </c>
      <c r="D30" s="50">
        <v>21</v>
      </c>
      <c r="E30" s="50">
        <v>5</v>
      </c>
      <c r="F30" s="50">
        <v>45</v>
      </c>
      <c r="G30" s="50">
        <v>1</v>
      </c>
      <c r="H30" s="50">
        <v>0</v>
      </c>
      <c r="I30" s="50">
        <v>6</v>
      </c>
      <c r="J30" s="50">
        <v>2</v>
      </c>
      <c r="K30" s="50">
        <v>0</v>
      </c>
      <c r="L30" s="50">
        <v>0</v>
      </c>
      <c r="M30" s="50">
        <v>200</v>
      </c>
      <c r="N30" s="50">
        <v>0</v>
      </c>
      <c r="O30" s="15">
        <f t="shared" si="0"/>
        <v>131</v>
      </c>
      <c r="P30" s="15">
        <f t="shared" si="1"/>
        <v>331</v>
      </c>
    </row>
    <row r="31" spans="2:32" ht="23.1" customHeight="1" x14ac:dyDescent="0.25">
      <c r="B31" s="24" t="s">
        <v>58</v>
      </c>
      <c r="C31" s="50">
        <v>37</v>
      </c>
      <c r="D31" s="50">
        <v>24</v>
      </c>
      <c r="E31" s="50">
        <v>5</v>
      </c>
      <c r="F31" s="50">
        <v>34</v>
      </c>
      <c r="G31" s="50">
        <v>0</v>
      </c>
      <c r="H31" s="50">
        <v>0</v>
      </c>
      <c r="I31" s="50">
        <v>11</v>
      </c>
      <c r="J31" s="50">
        <v>1</v>
      </c>
      <c r="K31" s="50">
        <v>0</v>
      </c>
      <c r="L31" s="50">
        <v>0</v>
      </c>
      <c r="M31" s="50">
        <v>250</v>
      </c>
      <c r="N31" s="50">
        <v>0</v>
      </c>
      <c r="O31" s="15">
        <f t="shared" si="0"/>
        <v>112</v>
      </c>
      <c r="P31" s="15">
        <f t="shared" si="1"/>
        <v>362</v>
      </c>
    </row>
    <row r="32" spans="2:32" ht="23.1" customHeight="1" x14ac:dyDescent="0.25">
      <c r="B32" s="24" t="s">
        <v>59</v>
      </c>
      <c r="C32" s="50">
        <v>52</v>
      </c>
      <c r="D32" s="50">
        <v>14</v>
      </c>
      <c r="E32" s="50">
        <v>8</v>
      </c>
      <c r="F32" s="50">
        <v>33</v>
      </c>
      <c r="G32" s="50">
        <v>1</v>
      </c>
      <c r="H32" s="50">
        <v>1</v>
      </c>
      <c r="I32" s="50">
        <v>7</v>
      </c>
      <c r="J32" s="50">
        <v>0</v>
      </c>
      <c r="K32" s="50">
        <v>2</v>
      </c>
      <c r="L32" s="50">
        <v>1</v>
      </c>
      <c r="M32" s="50">
        <v>270</v>
      </c>
      <c r="N32" s="50">
        <v>0</v>
      </c>
      <c r="O32" s="15">
        <f t="shared" si="0"/>
        <v>119</v>
      </c>
      <c r="P32" s="15">
        <f t="shared" si="1"/>
        <v>389</v>
      </c>
    </row>
    <row r="33" spans="2:20" ht="23.1" customHeight="1" x14ac:dyDescent="0.25">
      <c r="B33" s="23" t="s">
        <v>60</v>
      </c>
      <c r="C33" s="50">
        <v>42</v>
      </c>
      <c r="D33" s="50">
        <v>27</v>
      </c>
      <c r="E33" s="50">
        <v>8</v>
      </c>
      <c r="F33" s="50">
        <v>33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1</v>
      </c>
      <c r="M33" s="50">
        <v>285</v>
      </c>
      <c r="N33" s="50">
        <v>0</v>
      </c>
      <c r="O33" s="15">
        <f t="shared" si="0"/>
        <v>116</v>
      </c>
      <c r="P33" s="15">
        <f t="shared" si="1"/>
        <v>401</v>
      </c>
    </row>
    <row r="34" spans="2:20" ht="23.1" customHeight="1" x14ac:dyDescent="0.25">
      <c r="B34" s="24" t="s">
        <v>61</v>
      </c>
      <c r="C34" s="50">
        <v>41</v>
      </c>
      <c r="D34" s="50">
        <v>25</v>
      </c>
      <c r="E34" s="50">
        <v>5</v>
      </c>
      <c r="F34" s="50">
        <v>29</v>
      </c>
      <c r="G34" s="50">
        <v>0</v>
      </c>
      <c r="H34" s="50">
        <v>0</v>
      </c>
      <c r="I34" s="50">
        <v>8</v>
      </c>
      <c r="J34" s="50">
        <v>2</v>
      </c>
      <c r="K34" s="50">
        <v>3</v>
      </c>
      <c r="L34" s="50">
        <v>2</v>
      </c>
      <c r="M34" s="50">
        <v>245</v>
      </c>
      <c r="N34" s="50">
        <v>0</v>
      </c>
      <c r="O34" s="15">
        <f t="shared" si="0"/>
        <v>115</v>
      </c>
      <c r="P34" s="15">
        <f t="shared" si="1"/>
        <v>360</v>
      </c>
    </row>
    <row r="35" spans="2:20" ht="23.1" customHeight="1" x14ac:dyDescent="0.25">
      <c r="B35" s="24" t="s">
        <v>62</v>
      </c>
      <c r="C35" s="50">
        <v>63</v>
      </c>
      <c r="D35" s="50">
        <v>31</v>
      </c>
      <c r="E35" s="50">
        <v>15</v>
      </c>
      <c r="F35" s="50">
        <v>37</v>
      </c>
      <c r="G35" s="50">
        <v>2</v>
      </c>
      <c r="H35" s="50">
        <v>1</v>
      </c>
      <c r="I35" s="50">
        <v>10</v>
      </c>
      <c r="J35" s="50">
        <v>5</v>
      </c>
      <c r="K35" s="50">
        <v>1</v>
      </c>
      <c r="L35" s="50">
        <v>3</v>
      </c>
      <c r="M35" s="50">
        <v>190</v>
      </c>
      <c r="N35" s="50">
        <v>0</v>
      </c>
      <c r="O35" s="15">
        <f t="shared" si="0"/>
        <v>168</v>
      </c>
      <c r="P35" s="15">
        <f t="shared" si="1"/>
        <v>358</v>
      </c>
    </row>
    <row r="36" spans="2:20" ht="23.1" customHeight="1" x14ac:dyDescent="0.25">
      <c r="B36" s="24" t="s">
        <v>63</v>
      </c>
      <c r="C36" s="50">
        <v>42</v>
      </c>
      <c r="D36" s="50">
        <v>24</v>
      </c>
      <c r="E36" s="50">
        <v>14</v>
      </c>
      <c r="F36" s="50">
        <v>40</v>
      </c>
      <c r="G36" s="50">
        <v>0</v>
      </c>
      <c r="H36" s="50">
        <v>1</v>
      </c>
      <c r="I36" s="50">
        <v>7</v>
      </c>
      <c r="J36" s="50">
        <v>1</v>
      </c>
      <c r="K36" s="50">
        <v>2</v>
      </c>
      <c r="L36" s="50">
        <v>0</v>
      </c>
      <c r="M36" s="50">
        <v>165</v>
      </c>
      <c r="N36" s="50">
        <v>0</v>
      </c>
      <c r="O36" s="15">
        <f t="shared" si="0"/>
        <v>131</v>
      </c>
      <c r="P36" s="15">
        <f t="shared" si="1"/>
        <v>296</v>
      </c>
    </row>
    <row r="37" spans="2:20" ht="23.1" customHeight="1" x14ac:dyDescent="0.25">
      <c r="B37" s="23" t="s">
        <v>64</v>
      </c>
      <c r="C37" s="50">
        <v>39</v>
      </c>
      <c r="D37" s="50">
        <v>24</v>
      </c>
      <c r="E37" s="50">
        <v>6</v>
      </c>
      <c r="F37" s="50">
        <v>36</v>
      </c>
      <c r="G37" s="50">
        <v>0</v>
      </c>
      <c r="H37" s="50">
        <v>0</v>
      </c>
      <c r="I37" s="50">
        <v>5</v>
      </c>
      <c r="J37" s="50">
        <v>1</v>
      </c>
      <c r="K37" s="50">
        <v>2</v>
      </c>
      <c r="L37" s="50">
        <v>1</v>
      </c>
      <c r="M37" s="50">
        <v>245</v>
      </c>
      <c r="N37" s="50">
        <v>0</v>
      </c>
      <c r="O37" s="15">
        <f t="shared" si="0"/>
        <v>114</v>
      </c>
      <c r="P37" s="15">
        <f t="shared" si="1"/>
        <v>359</v>
      </c>
    </row>
    <row r="38" spans="2:20" ht="23.1" customHeight="1" x14ac:dyDescent="0.25">
      <c r="B38" s="24" t="s">
        <v>65</v>
      </c>
      <c r="C38" s="50">
        <v>29</v>
      </c>
      <c r="D38" s="50">
        <v>15</v>
      </c>
      <c r="E38" s="50">
        <v>1</v>
      </c>
      <c r="F38" s="50">
        <v>35</v>
      </c>
      <c r="G38" s="50">
        <v>0</v>
      </c>
      <c r="H38" s="50">
        <v>0</v>
      </c>
      <c r="I38" s="50">
        <v>10</v>
      </c>
      <c r="J38" s="50">
        <v>1</v>
      </c>
      <c r="K38" s="50">
        <v>3</v>
      </c>
      <c r="L38" s="50">
        <v>0</v>
      </c>
      <c r="M38" s="50">
        <v>160</v>
      </c>
      <c r="N38" s="50">
        <v>0</v>
      </c>
      <c r="O38" s="15">
        <f t="shared" si="0"/>
        <v>94</v>
      </c>
      <c r="P38" s="15">
        <f t="shared" si="1"/>
        <v>254</v>
      </c>
    </row>
    <row r="39" spans="2:20" ht="23.1" customHeight="1" x14ac:dyDescent="0.25">
      <c r="B39" s="24" t="s">
        <v>66</v>
      </c>
      <c r="C39" s="50">
        <v>42</v>
      </c>
      <c r="D39" s="50">
        <v>14</v>
      </c>
      <c r="E39" s="50">
        <v>5</v>
      </c>
      <c r="F39" s="50">
        <v>40</v>
      </c>
      <c r="G39" s="50">
        <v>0</v>
      </c>
      <c r="H39" s="50">
        <v>1</v>
      </c>
      <c r="I39" s="50">
        <v>10</v>
      </c>
      <c r="J39" s="50">
        <v>0</v>
      </c>
      <c r="K39" s="50">
        <v>4</v>
      </c>
      <c r="L39" s="50">
        <v>0</v>
      </c>
      <c r="M39" s="50">
        <v>120</v>
      </c>
      <c r="N39" s="50">
        <v>0</v>
      </c>
      <c r="O39" s="15">
        <f t="shared" si="0"/>
        <v>116</v>
      </c>
      <c r="P39" s="15">
        <f t="shared" si="1"/>
        <v>236</v>
      </c>
    </row>
    <row r="40" spans="2:20" ht="23.1" customHeight="1" x14ac:dyDescent="0.25">
      <c r="B40" s="24" t="s">
        <v>67</v>
      </c>
      <c r="C40" s="50">
        <v>35</v>
      </c>
      <c r="D40" s="50">
        <v>25</v>
      </c>
      <c r="E40" s="50">
        <v>17</v>
      </c>
      <c r="F40" s="50">
        <v>55</v>
      </c>
      <c r="G40" s="50">
        <v>0</v>
      </c>
      <c r="H40" s="50">
        <v>3</v>
      </c>
      <c r="I40" s="50">
        <v>17</v>
      </c>
      <c r="J40" s="50">
        <v>5</v>
      </c>
      <c r="K40" s="50">
        <v>3</v>
      </c>
      <c r="L40" s="50">
        <v>2</v>
      </c>
      <c r="M40" s="50">
        <v>235</v>
      </c>
      <c r="N40" s="50">
        <v>0</v>
      </c>
      <c r="O40" s="15">
        <f t="shared" si="0"/>
        <v>162</v>
      </c>
      <c r="P40" s="15">
        <f t="shared" si="1"/>
        <v>397</v>
      </c>
    </row>
    <row r="41" spans="2:20" ht="23.1" customHeight="1" x14ac:dyDescent="0.25">
      <c r="B41" s="23" t="s">
        <v>68</v>
      </c>
      <c r="C41" s="50">
        <v>42</v>
      </c>
      <c r="D41" s="50">
        <v>20</v>
      </c>
      <c r="E41" s="50">
        <v>1</v>
      </c>
      <c r="F41" s="50">
        <v>50</v>
      </c>
      <c r="G41" s="50">
        <v>0</v>
      </c>
      <c r="H41" s="50">
        <v>0</v>
      </c>
      <c r="I41" s="50">
        <v>15</v>
      </c>
      <c r="J41" s="50">
        <v>1</v>
      </c>
      <c r="K41" s="50">
        <v>0</v>
      </c>
      <c r="L41" s="50">
        <v>0</v>
      </c>
      <c r="M41" s="50">
        <v>155</v>
      </c>
      <c r="N41" s="50">
        <v>0</v>
      </c>
      <c r="O41" s="15">
        <f t="shared" si="0"/>
        <v>129</v>
      </c>
      <c r="P41" s="15">
        <f t="shared" si="1"/>
        <v>284</v>
      </c>
    </row>
    <row r="42" spans="2:20" ht="23.1" customHeight="1" x14ac:dyDescent="0.25">
      <c r="B42" s="24" t="s">
        <v>69</v>
      </c>
      <c r="C42" s="50">
        <v>35</v>
      </c>
      <c r="D42" s="50">
        <v>8</v>
      </c>
      <c r="E42" s="50">
        <v>8</v>
      </c>
      <c r="F42" s="50">
        <v>39</v>
      </c>
      <c r="G42" s="50">
        <v>0</v>
      </c>
      <c r="H42" s="50">
        <v>1</v>
      </c>
      <c r="I42" s="50">
        <v>11</v>
      </c>
      <c r="J42" s="50">
        <v>1</v>
      </c>
      <c r="K42" s="50">
        <v>1</v>
      </c>
      <c r="L42" s="50">
        <v>2</v>
      </c>
      <c r="M42" s="50">
        <v>225</v>
      </c>
      <c r="N42" s="50">
        <v>0</v>
      </c>
      <c r="O42" s="15">
        <f t="shared" si="0"/>
        <v>106</v>
      </c>
      <c r="P42" s="15">
        <f t="shared" si="1"/>
        <v>331</v>
      </c>
    </row>
    <row r="43" spans="2:20" ht="23.1" customHeight="1" x14ac:dyDescent="0.25">
      <c r="B43" s="23" t="s">
        <v>70</v>
      </c>
      <c r="C43" s="50">
        <v>49</v>
      </c>
      <c r="D43" s="50">
        <v>24</v>
      </c>
      <c r="E43" s="50">
        <v>10</v>
      </c>
      <c r="F43" s="50">
        <v>40</v>
      </c>
      <c r="G43" s="50">
        <v>0</v>
      </c>
      <c r="H43" s="50">
        <v>1</v>
      </c>
      <c r="I43" s="50">
        <v>7</v>
      </c>
      <c r="J43" s="50">
        <v>0</v>
      </c>
      <c r="K43" s="50">
        <v>1</v>
      </c>
      <c r="L43" s="50">
        <v>0</v>
      </c>
      <c r="M43" s="50">
        <v>245</v>
      </c>
      <c r="N43" s="50">
        <v>0</v>
      </c>
      <c r="O43" s="15">
        <f t="shared" si="0"/>
        <v>132</v>
      </c>
      <c r="P43" s="15">
        <f t="shared" si="1"/>
        <v>377</v>
      </c>
    </row>
    <row r="44" spans="2:20" ht="23.1" customHeight="1" x14ac:dyDescent="0.25">
      <c r="B44" s="25" t="s">
        <v>71</v>
      </c>
      <c r="C44" s="50">
        <v>45</v>
      </c>
      <c r="D44" s="50">
        <v>11</v>
      </c>
      <c r="E44" s="50">
        <v>9</v>
      </c>
      <c r="F44" s="50">
        <v>31</v>
      </c>
      <c r="G44" s="50">
        <v>0</v>
      </c>
      <c r="H44" s="50">
        <v>0</v>
      </c>
      <c r="I44" s="50">
        <v>8</v>
      </c>
      <c r="J44" s="50">
        <v>0</v>
      </c>
      <c r="K44" s="50">
        <v>2</v>
      </c>
      <c r="L44" s="50">
        <v>0</v>
      </c>
      <c r="M44" s="50">
        <v>180</v>
      </c>
      <c r="N44" s="50">
        <v>0</v>
      </c>
      <c r="O44" s="15">
        <f t="shared" si="0"/>
        <v>106</v>
      </c>
      <c r="P44" s="15">
        <f t="shared" si="1"/>
        <v>286</v>
      </c>
    </row>
    <row r="45" spans="2:20" ht="23.1" customHeight="1" x14ac:dyDescent="0.25">
      <c r="B45" s="23" t="s">
        <v>72</v>
      </c>
      <c r="C45" s="50">
        <v>50</v>
      </c>
      <c r="D45" s="50">
        <v>12</v>
      </c>
      <c r="E45" s="50">
        <v>4</v>
      </c>
      <c r="F45" s="50">
        <v>30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200</v>
      </c>
      <c r="N45" s="50">
        <v>0</v>
      </c>
      <c r="O45" s="15">
        <f t="shared" si="0"/>
        <v>102</v>
      </c>
      <c r="P45" s="15">
        <f t="shared" si="1"/>
        <v>302</v>
      </c>
    </row>
    <row r="46" spans="2:20" ht="23.1" customHeight="1" x14ac:dyDescent="0.25">
      <c r="B46" s="24" t="s">
        <v>73</v>
      </c>
      <c r="C46" s="50">
        <v>41</v>
      </c>
      <c r="D46" s="50">
        <v>20</v>
      </c>
      <c r="E46" s="50">
        <v>11</v>
      </c>
      <c r="F46" s="50">
        <v>51</v>
      </c>
      <c r="G46" s="50">
        <v>2</v>
      </c>
      <c r="H46" s="50">
        <v>0</v>
      </c>
      <c r="I46" s="50">
        <v>19</v>
      </c>
      <c r="J46" s="50">
        <v>0</v>
      </c>
      <c r="K46" s="50">
        <v>0</v>
      </c>
      <c r="L46" s="50">
        <v>0</v>
      </c>
      <c r="M46" s="50">
        <v>270</v>
      </c>
      <c r="N46" s="50">
        <v>0</v>
      </c>
      <c r="O46" s="15">
        <f t="shared" si="0"/>
        <v>144</v>
      </c>
      <c r="P46" s="15">
        <f t="shared" si="1"/>
        <v>414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14</v>
      </c>
      <c r="E47" s="50">
        <v>4</v>
      </c>
      <c r="F47" s="50">
        <v>38</v>
      </c>
      <c r="G47" s="50">
        <v>0</v>
      </c>
      <c r="H47" s="50">
        <v>0</v>
      </c>
      <c r="I47" s="50">
        <v>6</v>
      </c>
      <c r="J47" s="50">
        <v>1</v>
      </c>
      <c r="K47" s="50">
        <v>0</v>
      </c>
      <c r="L47" s="50">
        <v>2</v>
      </c>
      <c r="M47" s="50">
        <v>225</v>
      </c>
      <c r="N47" s="50">
        <v>0</v>
      </c>
      <c r="O47" s="15">
        <f t="shared" si="0"/>
        <v>95</v>
      </c>
      <c r="P47" s="15">
        <f t="shared" si="1"/>
        <v>320</v>
      </c>
      <c r="R47" s="8"/>
      <c r="T47"/>
    </row>
    <row r="48" spans="2:20" ht="23.1" customHeight="1" x14ac:dyDescent="0.25">
      <c r="B48" s="24" t="s">
        <v>75</v>
      </c>
      <c r="C48" s="50">
        <v>49</v>
      </c>
      <c r="D48" s="50">
        <v>18</v>
      </c>
      <c r="E48" s="50">
        <v>5</v>
      </c>
      <c r="F48" s="50">
        <v>29</v>
      </c>
      <c r="G48" s="50">
        <v>1</v>
      </c>
      <c r="H48" s="50">
        <v>0</v>
      </c>
      <c r="I48" s="50">
        <v>10</v>
      </c>
      <c r="J48" s="50">
        <v>1</v>
      </c>
      <c r="K48" s="50">
        <v>2</v>
      </c>
      <c r="L48" s="50">
        <v>0</v>
      </c>
      <c r="M48" s="50">
        <v>255</v>
      </c>
      <c r="N48" s="50">
        <v>0</v>
      </c>
      <c r="O48" s="15">
        <f t="shared" si="0"/>
        <v>115</v>
      </c>
      <c r="P48" s="15">
        <f t="shared" si="1"/>
        <v>370</v>
      </c>
      <c r="R48" s="8"/>
      <c r="T48"/>
    </row>
    <row r="49" spans="2:20" ht="23.1" customHeight="1" x14ac:dyDescent="0.25">
      <c r="B49" s="23" t="s">
        <v>76</v>
      </c>
      <c r="C49" s="50">
        <v>33</v>
      </c>
      <c r="D49" s="50">
        <v>18</v>
      </c>
      <c r="E49" s="50">
        <v>8</v>
      </c>
      <c r="F49" s="50">
        <v>30</v>
      </c>
      <c r="G49" s="50">
        <v>2</v>
      </c>
      <c r="H49" s="50">
        <v>0</v>
      </c>
      <c r="I49" s="50">
        <v>15</v>
      </c>
      <c r="J49" s="50">
        <v>0</v>
      </c>
      <c r="K49" s="50">
        <v>1</v>
      </c>
      <c r="L49" s="50">
        <v>0</v>
      </c>
      <c r="M49" s="50">
        <v>180</v>
      </c>
      <c r="N49" s="50">
        <v>0</v>
      </c>
      <c r="O49" s="15">
        <f t="shared" si="0"/>
        <v>107</v>
      </c>
      <c r="P49" s="15">
        <f t="shared" si="1"/>
        <v>287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19</v>
      </c>
      <c r="E50" s="50">
        <v>10</v>
      </c>
      <c r="F50" s="50">
        <v>49</v>
      </c>
      <c r="G50" s="50">
        <v>2</v>
      </c>
      <c r="H50" s="50">
        <v>0</v>
      </c>
      <c r="I50" s="50">
        <v>7</v>
      </c>
      <c r="J50" s="50">
        <v>2</v>
      </c>
      <c r="K50" s="50">
        <v>0</v>
      </c>
      <c r="L50" s="50">
        <v>1</v>
      </c>
      <c r="M50" s="50">
        <v>215</v>
      </c>
      <c r="N50" s="50">
        <v>0</v>
      </c>
      <c r="O50" s="15">
        <f t="shared" si="0"/>
        <v>135</v>
      </c>
      <c r="P50" s="15">
        <f t="shared" si="1"/>
        <v>350</v>
      </c>
      <c r="R50" s="8"/>
      <c r="T50"/>
    </row>
    <row r="51" spans="2:20" ht="23.1" customHeight="1" x14ac:dyDescent="0.25">
      <c r="B51" s="24" t="s">
        <v>78</v>
      </c>
      <c r="C51" s="50">
        <v>51</v>
      </c>
      <c r="D51" s="50">
        <v>19</v>
      </c>
      <c r="E51" s="50">
        <v>3</v>
      </c>
      <c r="F51" s="50">
        <v>40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1</v>
      </c>
      <c r="M51" s="50">
        <v>230</v>
      </c>
      <c r="N51" s="50">
        <v>0</v>
      </c>
      <c r="O51" s="15">
        <f t="shared" si="0"/>
        <v>120</v>
      </c>
      <c r="P51" s="15">
        <f t="shared" si="1"/>
        <v>350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15</v>
      </c>
      <c r="E52" s="50">
        <v>9</v>
      </c>
      <c r="F52" s="50">
        <v>46</v>
      </c>
      <c r="G52" s="50">
        <v>1</v>
      </c>
      <c r="H52" s="50">
        <v>0</v>
      </c>
      <c r="I52" s="50">
        <v>9</v>
      </c>
      <c r="J52" s="50">
        <v>0</v>
      </c>
      <c r="K52" s="50">
        <v>3</v>
      </c>
      <c r="L52" s="50">
        <v>0</v>
      </c>
      <c r="M52" s="50">
        <v>235</v>
      </c>
      <c r="N52" s="50">
        <v>0</v>
      </c>
      <c r="O52" s="15">
        <f t="shared" si="0"/>
        <v>130</v>
      </c>
      <c r="P52" s="15">
        <f t="shared" si="1"/>
        <v>365</v>
      </c>
      <c r="R52" s="8"/>
      <c r="T52"/>
    </row>
    <row r="53" spans="2:20" ht="23.1" customHeight="1" x14ac:dyDescent="0.25">
      <c r="B53" s="23" t="s">
        <v>80</v>
      </c>
      <c r="C53" s="50">
        <v>50</v>
      </c>
      <c r="D53" s="50">
        <v>24</v>
      </c>
      <c r="E53" s="50">
        <v>8</v>
      </c>
      <c r="F53" s="50">
        <v>36</v>
      </c>
      <c r="G53" s="50">
        <v>1</v>
      </c>
      <c r="H53" s="50">
        <v>1</v>
      </c>
      <c r="I53" s="50">
        <v>9</v>
      </c>
      <c r="J53" s="50">
        <v>1</v>
      </c>
      <c r="K53" s="50">
        <v>2</v>
      </c>
      <c r="L53" s="50">
        <v>0</v>
      </c>
      <c r="M53" s="50">
        <v>250</v>
      </c>
      <c r="N53" s="50">
        <v>0</v>
      </c>
      <c r="O53" s="15">
        <f t="shared" si="0"/>
        <v>132</v>
      </c>
      <c r="P53" s="15">
        <f t="shared" si="1"/>
        <v>382</v>
      </c>
      <c r="R53" s="8"/>
      <c r="T53"/>
    </row>
    <row r="54" spans="2:20" ht="23.1" customHeight="1" x14ac:dyDescent="0.25">
      <c r="B54" s="23" t="s">
        <v>81</v>
      </c>
      <c r="C54" s="50">
        <v>49</v>
      </c>
      <c r="D54" s="50">
        <v>24</v>
      </c>
      <c r="E54" s="50">
        <v>7</v>
      </c>
      <c r="F54" s="50">
        <v>32</v>
      </c>
      <c r="G54" s="50">
        <v>1</v>
      </c>
      <c r="H54" s="50">
        <v>0</v>
      </c>
      <c r="I54" s="50">
        <v>10</v>
      </c>
      <c r="J54" s="50">
        <v>0</v>
      </c>
      <c r="K54" s="50">
        <v>0</v>
      </c>
      <c r="L54" s="50">
        <v>0</v>
      </c>
      <c r="M54" s="50">
        <v>105</v>
      </c>
      <c r="N54" s="50">
        <v>0</v>
      </c>
      <c r="O54" s="15">
        <f t="shared" si="0"/>
        <v>123</v>
      </c>
      <c r="P54" s="15">
        <f t="shared" si="1"/>
        <v>228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12</v>
      </c>
      <c r="E55" s="50">
        <v>6</v>
      </c>
      <c r="F55" s="50">
        <v>47</v>
      </c>
      <c r="G55" s="50">
        <v>1</v>
      </c>
      <c r="H55" s="50">
        <v>0</v>
      </c>
      <c r="I55" s="50">
        <v>10</v>
      </c>
      <c r="J55" s="50">
        <v>0</v>
      </c>
      <c r="K55" s="50">
        <v>2</v>
      </c>
      <c r="L55" s="50">
        <v>0</v>
      </c>
      <c r="M55" s="50">
        <v>290</v>
      </c>
      <c r="N55" s="50">
        <v>0</v>
      </c>
      <c r="O55" s="15">
        <f t="shared" si="0"/>
        <v>118</v>
      </c>
      <c r="P55" s="15">
        <f t="shared" si="1"/>
        <v>408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6</v>
      </c>
      <c r="E56" s="50">
        <v>4</v>
      </c>
      <c r="F56" s="50">
        <v>43</v>
      </c>
      <c r="G56" s="50">
        <v>1</v>
      </c>
      <c r="H56" s="50">
        <v>2</v>
      </c>
      <c r="I56" s="50">
        <v>9</v>
      </c>
      <c r="J56" s="50">
        <v>0</v>
      </c>
      <c r="K56" s="50">
        <v>0</v>
      </c>
      <c r="L56" s="50">
        <v>0</v>
      </c>
      <c r="M56" s="50">
        <v>245</v>
      </c>
      <c r="N56" s="50">
        <v>0</v>
      </c>
      <c r="O56" s="15">
        <f t="shared" si="0"/>
        <v>97</v>
      </c>
      <c r="P56" s="15">
        <f t="shared" si="1"/>
        <v>342</v>
      </c>
      <c r="R56" s="8"/>
      <c r="T56"/>
    </row>
    <row r="57" spans="2:20" ht="23.1" customHeight="1" x14ac:dyDescent="0.25">
      <c r="B57" s="23" t="s">
        <v>84</v>
      </c>
      <c r="C57" s="50">
        <v>29</v>
      </c>
      <c r="D57" s="50">
        <v>9</v>
      </c>
      <c r="E57" s="50">
        <v>4</v>
      </c>
      <c r="F57" s="50">
        <v>34</v>
      </c>
      <c r="G57" s="50">
        <v>0</v>
      </c>
      <c r="H57" s="50">
        <v>1</v>
      </c>
      <c r="I57" s="50">
        <v>4</v>
      </c>
      <c r="J57" s="50">
        <v>0</v>
      </c>
      <c r="K57" s="50">
        <v>3</v>
      </c>
      <c r="L57" s="50">
        <v>1</v>
      </c>
      <c r="M57" s="50">
        <v>205</v>
      </c>
      <c r="N57" s="50">
        <v>0</v>
      </c>
      <c r="O57" s="15">
        <f t="shared" si="0"/>
        <v>85</v>
      </c>
      <c r="P57" s="15">
        <f t="shared" si="1"/>
        <v>290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2141</v>
      </c>
      <c r="D58" s="16">
        <f t="shared" si="21"/>
        <v>834</v>
      </c>
      <c r="E58" s="16">
        <f t="shared" si="21"/>
        <v>310</v>
      </c>
      <c r="F58" s="16">
        <f t="shared" si="21"/>
        <v>1835</v>
      </c>
      <c r="G58" s="16">
        <f t="shared" si="21"/>
        <v>28</v>
      </c>
      <c r="H58" s="16">
        <f t="shared" si="21"/>
        <v>16</v>
      </c>
      <c r="I58" s="16">
        <f t="shared" si="21"/>
        <v>387</v>
      </c>
      <c r="J58" s="16">
        <f t="shared" si="21"/>
        <v>40</v>
      </c>
      <c r="K58" s="16">
        <f t="shared" si="21"/>
        <v>43</v>
      </c>
      <c r="L58" s="16">
        <f t="shared" si="21"/>
        <v>23</v>
      </c>
      <c r="M58" s="16">
        <f t="shared" si="21"/>
        <v>12487</v>
      </c>
      <c r="N58" s="16">
        <f t="shared" si="21"/>
        <v>0</v>
      </c>
      <c r="O58" s="16">
        <f t="shared" si="21"/>
        <v>5657</v>
      </c>
      <c r="P58" s="16">
        <f t="shared" si="21"/>
        <v>18144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0.11800044091710758</v>
      </c>
      <c r="D59" s="43">
        <f t="shared" si="22"/>
        <v>4.5965608465608467E-2</v>
      </c>
      <c r="E59" s="43">
        <f t="shared" si="22"/>
        <v>1.7085537918871251E-2</v>
      </c>
      <c r="F59" s="43">
        <f t="shared" si="22"/>
        <v>0.10113536155202822</v>
      </c>
      <c r="G59" s="43">
        <f t="shared" si="22"/>
        <v>1.5432098765432098E-3</v>
      </c>
      <c r="H59" s="43">
        <f t="shared" si="22"/>
        <v>8.8183421516754845E-4</v>
      </c>
      <c r="I59" s="43">
        <f t="shared" si="22"/>
        <v>2.132936507936508E-2</v>
      </c>
      <c r="J59" s="43">
        <f t="shared" si="22"/>
        <v>2.2045855379188711E-3</v>
      </c>
      <c r="K59" s="43">
        <f t="shared" si="22"/>
        <v>2.3699294532627865E-3</v>
      </c>
      <c r="L59" s="43">
        <f t="shared" si="22"/>
        <v>1.2676366843033509E-3</v>
      </c>
      <c r="M59" s="43">
        <f t="shared" si="22"/>
        <v>0.68821649029982368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0.37846915326144598</v>
      </c>
      <c r="D60" s="44">
        <f t="shared" ref="D60:N60" si="23">D58/$O$58</f>
        <v>0.14742796535266042</v>
      </c>
      <c r="E60" s="44">
        <f t="shared" si="23"/>
        <v>5.4799363620293438E-2</v>
      </c>
      <c r="F60" s="44">
        <f t="shared" si="23"/>
        <v>0.32437687820399502</v>
      </c>
      <c r="G60" s="44">
        <f t="shared" si="23"/>
        <v>4.9496199398974721E-3</v>
      </c>
      <c r="H60" s="44">
        <f t="shared" si="23"/>
        <v>2.8283542513699842E-3</v>
      </c>
      <c r="I60" s="44">
        <f t="shared" si="23"/>
        <v>6.8410818455011485E-2</v>
      </c>
      <c r="J60" s="44">
        <f t="shared" si="23"/>
        <v>7.0708856284249604E-3</v>
      </c>
      <c r="K60" s="44">
        <f t="shared" si="23"/>
        <v>7.6012020505568326E-3</v>
      </c>
      <c r="L60" s="44">
        <f t="shared" si="23"/>
        <v>4.0657592363443525E-3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I42" sqref="I4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Kalewre-Kampala'!D5</f>
        <v>25.07.19</v>
      </c>
      <c r="E5" s="3"/>
      <c r="F5" s="41" t="s">
        <v>1</v>
      </c>
      <c r="G5" s="65" t="str">
        <f>'25.07 Kalewre-Kampala'!G5:H5</f>
        <v>Wandegeya</v>
      </c>
      <c r="H5" s="66"/>
      <c r="I5" s="14"/>
      <c r="J5" s="2" t="s">
        <v>5</v>
      </c>
      <c r="K5" s="65" t="s">
        <v>177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'22.07 Kampala-Kalerwe'!G6:H6</f>
        <v>Kalerwe</v>
      </c>
      <c r="H6" s="66"/>
      <c r="J6" s="2" t="s">
        <v>21</v>
      </c>
      <c r="K6" s="65" t="str">
        <f>'25.07 Kalewre-Kampala'!K6:L6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55</v>
      </c>
      <c r="D10" s="50">
        <v>25</v>
      </c>
      <c r="E10" s="50">
        <v>15</v>
      </c>
      <c r="F10" s="50">
        <v>85</v>
      </c>
      <c r="G10" s="50">
        <v>2</v>
      </c>
      <c r="H10" s="50">
        <v>1</v>
      </c>
      <c r="I10" s="50">
        <v>15</v>
      </c>
      <c r="J10" s="50">
        <v>0</v>
      </c>
      <c r="K10" s="50">
        <v>1</v>
      </c>
      <c r="L10" s="50">
        <v>0</v>
      </c>
      <c r="M10" s="50">
        <v>190</v>
      </c>
      <c r="N10" s="50">
        <v>0</v>
      </c>
      <c r="O10" s="15">
        <f t="shared" ref="O10:O57" si="0">SUM(C10:L10,N10)</f>
        <v>199</v>
      </c>
      <c r="P10" s="15">
        <f t="shared" ref="P10:P57" si="1">SUM(C10:N10)</f>
        <v>389</v>
      </c>
      <c r="R10" s="1" t="s">
        <v>6</v>
      </c>
      <c r="S10" s="17">
        <f t="shared" ref="S10:AF10" si="2">SUM(C10:C13)</f>
        <v>182</v>
      </c>
      <c r="T10" s="17">
        <f t="shared" si="2"/>
        <v>83</v>
      </c>
      <c r="U10" s="17">
        <f t="shared" si="2"/>
        <v>18</v>
      </c>
      <c r="V10" s="17">
        <f t="shared" si="2"/>
        <v>233</v>
      </c>
      <c r="W10" s="17">
        <f t="shared" si="2"/>
        <v>3</v>
      </c>
      <c r="X10" s="17">
        <f t="shared" si="2"/>
        <v>4</v>
      </c>
      <c r="Y10" s="17">
        <f t="shared" si="2"/>
        <v>57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735</v>
      </c>
      <c r="AD10" s="17">
        <f t="shared" si="2"/>
        <v>0</v>
      </c>
      <c r="AE10" s="31">
        <f t="shared" si="2"/>
        <v>582</v>
      </c>
      <c r="AF10" s="31">
        <f t="shared" si="2"/>
        <v>1317</v>
      </c>
    </row>
    <row r="11" spans="2:32" s="6" customFormat="1" ht="23.1" customHeight="1" x14ac:dyDescent="0.25">
      <c r="B11" s="23" t="s">
        <v>38</v>
      </c>
      <c r="C11" s="50">
        <v>40</v>
      </c>
      <c r="D11" s="50">
        <v>15</v>
      </c>
      <c r="E11" s="50">
        <v>0</v>
      </c>
      <c r="F11" s="50">
        <v>50</v>
      </c>
      <c r="G11" s="50">
        <v>0</v>
      </c>
      <c r="H11" s="50">
        <v>0</v>
      </c>
      <c r="I11" s="50">
        <v>20</v>
      </c>
      <c r="J11" s="50">
        <v>0</v>
      </c>
      <c r="K11" s="50">
        <v>0</v>
      </c>
      <c r="L11" s="50">
        <v>0</v>
      </c>
      <c r="M11" s="50">
        <v>175</v>
      </c>
      <c r="N11" s="50">
        <v>0</v>
      </c>
      <c r="O11" s="15">
        <f t="shared" si="0"/>
        <v>125</v>
      </c>
      <c r="P11" s="15">
        <f t="shared" si="1"/>
        <v>300</v>
      </c>
      <c r="R11" s="1" t="s">
        <v>7</v>
      </c>
      <c r="S11" s="17">
        <f t="shared" ref="S11:AF11" si="3">SUM(C14:C17)</f>
        <v>87</v>
      </c>
      <c r="T11" s="17">
        <f t="shared" si="3"/>
        <v>34</v>
      </c>
      <c r="U11" s="17">
        <f t="shared" si="3"/>
        <v>11</v>
      </c>
      <c r="V11" s="17">
        <f t="shared" si="3"/>
        <v>246</v>
      </c>
      <c r="W11" s="17">
        <f t="shared" si="3"/>
        <v>9</v>
      </c>
      <c r="X11" s="17">
        <f t="shared" si="3"/>
        <v>1</v>
      </c>
      <c r="Y11" s="17">
        <f t="shared" si="3"/>
        <v>37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1000</v>
      </c>
      <c r="AD11" s="17">
        <f t="shared" si="3"/>
        <v>0</v>
      </c>
      <c r="AE11" s="31">
        <f t="shared" si="3"/>
        <v>428</v>
      </c>
      <c r="AF11" s="31">
        <f t="shared" si="3"/>
        <v>1428</v>
      </c>
    </row>
    <row r="12" spans="2:32" ht="23.1" customHeight="1" x14ac:dyDescent="0.25">
      <c r="B12" s="23" t="s">
        <v>39</v>
      </c>
      <c r="C12" s="50">
        <v>50</v>
      </c>
      <c r="D12" s="50">
        <v>40</v>
      </c>
      <c r="E12" s="50">
        <v>1</v>
      </c>
      <c r="F12" s="50">
        <v>48</v>
      </c>
      <c r="G12" s="50">
        <v>1</v>
      </c>
      <c r="H12" s="50">
        <v>2</v>
      </c>
      <c r="I12" s="50">
        <v>18</v>
      </c>
      <c r="J12" s="50">
        <v>0</v>
      </c>
      <c r="K12" s="50">
        <v>1</v>
      </c>
      <c r="L12" s="50">
        <v>0</v>
      </c>
      <c r="M12" s="50">
        <v>185</v>
      </c>
      <c r="N12" s="50">
        <v>0</v>
      </c>
      <c r="O12" s="15">
        <f t="shared" si="0"/>
        <v>161</v>
      </c>
      <c r="P12" s="15">
        <f t="shared" si="1"/>
        <v>346</v>
      </c>
      <c r="R12" s="1" t="s">
        <v>8</v>
      </c>
      <c r="S12" s="17">
        <f t="shared" ref="S12:AF12" si="4">SUM(C18:C21)</f>
        <v>88</v>
      </c>
      <c r="T12" s="17">
        <f t="shared" si="4"/>
        <v>38</v>
      </c>
      <c r="U12" s="17">
        <f t="shared" si="4"/>
        <v>22</v>
      </c>
      <c r="V12" s="17">
        <f t="shared" si="4"/>
        <v>287</v>
      </c>
      <c r="W12" s="17">
        <f t="shared" si="4"/>
        <v>5</v>
      </c>
      <c r="X12" s="17">
        <f t="shared" si="4"/>
        <v>1</v>
      </c>
      <c r="Y12" s="17">
        <f t="shared" si="4"/>
        <v>26</v>
      </c>
      <c r="Z12" s="17">
        <f t="shared" si="4"/>
        <v>4</v>
      </c>
      <c r="AA12" s="17">
        <f t="shared" si="4"/>
        <v>1</v>
      </c>
      <c r="AB12" s="17">
        <f t="shared" si="4"/>
        <v>1</v>
      </c>
      <c r="AC12" s="17">
        <f t="shared" si="4"/>
        <v>987</v>
      </c>
      <c r="AD12" s="17">
        <f t="shared" si="4"/>
        <v>0</v>
      </c>
      <c r="AE12" s="31">
        <f t="shared" si="4"/>
        <v>473</v>
      </c>
      <c r="AF12" s="31">
        <f t="shared" si="4"/>
        <v>1460</v>
      </c>
    </row>
    <row r="13" spans="2:32" ht="23.1" customHeight="1" x14ac:dyDescent="0.25">
      <c r="B13" s="23" t="s">
        <v>40</v>
      </c>
      <c r="C13" s="50">
        <v>37</v>
      </c>
      <c r="D13" s="50">
        <v>3</v>
      </c>
      <c r="E13" s="50">
        <v>2</v>
      </c>
      <c r="F13" s="50">
        <v>50</v>
      </c>
      <c r="G13" s="50">
        <v>0</v>
      </c>
      <c r="H13" s="50">
        <v>1</v>
      </c>
      <c r="I13" s="50">
        <v>4</v>
      </c>
      <c r="J13" s="50">
        <v>0</v>
      </c>
      <c r="K13" s="50">
        <v>0</v>
      </c>
      <c r="L13" s="50">
        <v>0</v>
      </c>
      <c r="M13" s="50">
        <v>185</v>
      </c>
      <c r="N13" s="50">
        <v>0</v>
      </c>
      <c r="O13" s="15">
        <f t="shared" si="0"/>
        <v>97</v>
      </c>
      <c r="P13" s="15">
        <f t="shared" si="1"/>
        <v>282</v>
      </c>
      <c r="R13" s="1" t="s">
        <v>9</v>
      </c>
      <c r="S13" s="17">
        <f t="shared" ref="S13:AF13" si="5">SUM(C22:C25)</f>
        <v>98</v>
      </c>
      <c r="T13" s="17">
        <f t="shared" si="5"/>
        <v>36</v>
      </c>
      <c r="U13" s="17">
        <f t="shared" si="5"/>
        <v>4</v>
      </c>
      <c r="V13" s="17">
        <f t="shared" si="5"/>
        <v>181</v>
      </c>
      <c r="W13" s="17">
        <f t="shared" si="5"/>
        <v>1</v>
      </c>
      <c r="X13" s="17">
        <f t="shared" si="5"/>
        <v>5</v>
      </c>
      <c r="Y13" s="17">
        <f t="shared" si="5"/>
        <v>41</v>
      </c>
      <c r="Z13" s="17">
        <f t="shared" si="5"/>
        <v>7</v>
      </c>
      <c r="AA13" s="17">
        <f t="shared" si="5"/>
        <v>2</v>
      </c>
      <c r="AB13" s="17">
        <f t="shared" si="5"/>
        <v>2</v>
      </c>
      <c r="AC13" s="17">
        <f t="shared" si="5"/>
        <v>800</v>
      </c>
      <c r="AD13" s="17">
        <f t="shared" si="5"/>
        <v>0</v>
      </c>
      <c r="AE13" s="31">
        <f t="shared" si="5"/>
        <v>377</v>
      </c>
      <c r="AF13" s="31">
        <f t="shared" si="5"/>
        <v>1177</v>
      </c>
    </row>
    <row r="14" spans="2:32" ht="23.1" customHeight="1" x14ac:dyDescent="0.25">
      <c r="B14" s="23" t="s">
        <v>41</v>
      </c>
      <c r="C14" s="50">
        <v>16</v>
      </c>
      <c r="D14" s="50">
        <v>7</v>
      </c>
      <c r="E14" s="50">
        <v>2</v>
      </c>
      <c r="F14" s="50">
        <v>60</v>
      </c>
      <c r="G14" s="50">
        <v>3</v>
      </c>
      <c r="H14" s="50">
        <v>1</v>
      </c>
      <c r="I14" s="50">
        <v>8</v>
      </c>
      <c r="J14" s="50">
        <v>0</v>
      </c>
      <c r="K14" s="50">
        <v>0</v>
      </c>
      <c r="L14" s="50">
        <v>0</v>
      </c>
      <c r="M14" s="50">
        <v>265</v>
      </c>
      <c r="N14" s="50">
        <v>0</v>
      </c>
      <c r="O14" s="15">
        <f t="shared" si="0"/>
        <v>97</v>
      </c>
      <c r="P14" s="15">
        <f t="shared" si="1"/>
        <v>362</v>
      </c>
      <c r="R14" s="1" t="s">
        <v>10</v>
      </c>
      <c r="S14" s="17">
        <f t="shared" ref="S14:AF14" si="6">SUM(C26:C29)</f>
        <v>118</v>
      </c>
      <c r="T14" s="17">
        <f t="shared" si="6"/>
        <v>14</v>
      </c>
      <c r="U14" s="17">
        <f t="shared" si="6"/>
        <v>59</v>
      </c>
      <c r="V14" s="17">
        <f t="shared" si="6"/>
        <v>172</v>
      </c>
      <c r="W14" s="17">
        <f t="shared" si="6"/>
        <v>1</v>
      </c>
      <c r="X14" s="17">
        <f t="shared" si="6"/>
        <v>0</v>
      </c>
      <c r="Y14" s="17">
        <f t="shared" si="6"/>
        <v>42</v>
      </c>
      <c r="Z14" s="17">
        <f t="shared" si="6"/>
        <v>2</v>
      </c>
      <c r="AA14" s="17">
        <f t="shared" si="6"/>
        <v>0</v>
      </c>
      <c r="AB14" s="17">
        <f t="shared" si="6"/>
        <v>1</v>
      </c>
      <c r="AC14" s="17">
        <f t="shared" si="6"/>
        <v>630</v>
      </c>
      <c r="AD14" s="17">
        <f t="shared" si="6"/>
        <v>0</v>
      </c>
      <c r="AE14" s="31">
        <f t="shared" si="6"/>
        <v>409</v>
      </c>
      <c r="AF14" s="31">
        <f t="shared" si="6"/>
        <v>1039</v>
      </c>
    </row>
    <row r="15" spans="2:32" ht="23.1" customHeight="1" x14ac:dyDescent="0.25">
      <c r="B15" s="23" t="s">
        <v>42</v>
      </c>
      <c r="C15" s="50">
        <v>23</v>
      </c>
      <c r="D15" s="50">
        <v>13</v>
      </c>
      <c r="E15" s="50">
        <v>5</v>
      </c>
      <c r="F15" s="50">
        <v>57</v>
      </c>
      <c r="G15" s="50">
        <v>4</v>
      </c>
      <c r="H15" s="50">
        <v>0</v>
      </c>
      <c r="I15" s="50">
        <v>13</v>
      </c>
      <c r="J15" s="50">
        <v>1</v>
      </c>
      <c r="K15" s="50">
        <v>1</v>
      </c>
      <c r="L15" s="50">
        <v>0</v>
      </c>
      <c r="M15" s="50">
        <v>215</v>
      </c>
      <c r="N15" s="50">
        <v>0</v>
      </c>
      <c r="O15" s="15">
        <f t="shared" si="0"/>
        <v>117</v>
      </c>
      <c r="P15" s="15">
        <f t="shared" si="1"/>
        <v>332</v>
      </c>
      <c r="R15" s="1" t="s">
        <v>11</v>
      </c>
      <c r="S15" s="17">
        <f t="shared" ref="S15:AF15" si="7">SUM(C30:C33)</f>
        <v>133</v>
      </c>
      <c r="T15" s="17">
        <f t="shared" si="7"/>
        <v>77</v>
      </c>
      <c r="U15" s="17">
        <f t="shared" si="7"/>
        <v>19</v>
      </c>
      <c r="V15" s="17">
        <f t="shared" si="7"/>
        <v>169</v>
      </c>
      <c r="W15" s="17">
        <f t="shared" si="7"/>
        <v>17</v>
      </c>
      <c r="X15" s="17">
        <f t="shared" si="7"/>
        <v>0</v>
      </c>
      <c r="Y15" s="17">
        <f t="shared" si="7"/>
        <v>25</v>
      </c>
      <c r="Z15" s="17">
        <f t="shared" si="7"/>
        <v>10</v>
      </c>
      <c r="AA15" s="17">
        <f t="shared" si="7"/>
        <v>1</v>
      </c>
      <c r="AB15" s="17">
        <f t="shared" si="7"/>
        <v>0</v>
      </c>
      <c r="AC15" s="17">
        <f t="shared" si="7"/>
        <v>690</v>
      </c>
      <c r="AD15" s="17">
        <f t="shared" si="7"/>
        <v>0</v>
      </c>
      <c r="AE15" s="31">
        <f t="shared" si="7"/>
        <v>451</v>
      </c>
      <c r="AF15" s="31">
        <f t="shared" si="7"/>
        <v>1141</v>
      </c>
    </row>
    <row r="16" spans="2:32" ht="23.1" customHeight="1" x14ac:dyDescent="0.25">
      <c r="B16" s="23" t="s">
        <v>43</v>
      </c>
      <c r="C16" s="50">
        <v>30</v>
      </c>
      <c r="D16" s="50">
        <v>10</v>
      </c>
      <c r="E16" s="50">
        <v>3</v>
      </c>
      <c r="F16" s="50">
        <v>69</v>
      </c>
      <c r="G16" s="50">
        <v>1</v>
      </c>
      <c r="H16" s="50">
        <v>0</v>
      </c>
      <c r="I16" s="50">
        <v>11</v>
      </c>
      <c r="J16" s="50">
        <v>0</v>
      </c>
      <c r="K16" s="50">
        <v>0</v>
      </c>
      <c r="L16" s="50">
        <v>0</v>
      </c>
      <c r="M16" s="50">
        <v>255</v>
      </c>
      <c r="N16" s="50">
        <v>0</v>
      </c>
      <c r="O16" s="15">
        <f t="shared" si="0"/>
        <v>124</v>
      </c>
      <c r="P16" s="15">
        <f t="shared" si="1"/>
        <v>379</v>
      </c>
      <c r="R16" s="1" t="s">
        <v>12</v>
      </c>
      <c r="S16" s="17">
        <f t="shared" ref="S16:AF16" si="8">SUM(C34:C37)</f>
        <v>124</v>
      </c>
      <c r="T16" s="17">
        <f t="shared" si="8"/>
        <v>70</v>
      </c>
      <c r="U16" s="17">
        <f t="shared" si="8"/>
        <v>7</v>
      </c>
      <c r="V16" s="17">
        <f t="shared" si="8"/>
        <v>172</v>
      </c>
      <c r="W16" s="17">
        <f t="shared" si="8"/>
        <v>1</v>
      </c>
      <c r="X16" s="17">
        <f t="shared" si="8"/>
        <v>3</v>
      </c>
      <c r="Y16" s="17">
        <f t="shared" si="8"/>
        <v>54</v>
      </c>
      <c r="Z16" s="17">
        <f t="shared" si="8"/>
        <v>2</v>
      </c>
      <c r="AA16" s="17">
        <f t="shared" si="8"/>
        <v>3</v>
      </c>
      <c r="AB16" s="17">
        <f t="shared" si="8"/>
        <v>2</v>
      </c>
      <c r="AC16" s="17">
        <f t="shared" si="8"/>
        <v>615</v>
      </c>
      <c r="AD16" s="17">
        <f t="shared" si="8"/>
        <v>0</v>
      </c>
      <c r="AE16" s="31">
        <f t="shared" si="8"/>
        <v>438</v>
      </c>
      <c r="AF16" s="31">
        <f t="shared" si="8"/>
        <v>1053</v>
      </c>
    </row>
    <row r="17" spans="2:32" ht="23.1" customHeight="1" x14ac:dyDescent="0.25">
      <c r="B17" s="23" t="s">
        <v>44</v>
      </c>
      <c r="C17" s="50">
        <v>18</v>
      </c>
      <c r="D17" s="50">
        <v>4</v>
      </c>
      <c r="E17" s="50">
        <v>1</v>
      </c>
      <c r="F17" s="50">
        <v>60</v>
      </c>
      <c r="G17" s="50">
        <v>1</v>
      </c>
      <c r="H17" s="50">
        <v>0</v>
      </c>
      <c r="I17" s="50">
        <v>5</v>
      </c>
      <c r="J17" s="50">
        <v>1</v>
      </c>
      <c r="K17" s="50">
        <v>0</v>
      </c>
      <c r="L17" s="50">
        <v>0</v>
      </c>
      <c r="M17" s="50">
        <v>265</v>
      </c>
      <c r="N17" s="50">
        <v>0</v>
      </c>
      <c r="O17" s="15">
        <f t="shared" si="0"/>
        <v>90</v>
      </c>
      <c r="P17" s="15">
        <f t="shared" si="1"/>
        <v>355</v>
      </c>
      <c r="R17" s="1" t="s">
        <v>13</v>
      </c>
      <c r="S17" s="17">
        <f t="shared" ref="S17:AF17" si="9">SUM(C38:C41)</f>
        <v>114</v>
      </c>
      <c r="T17" s="17">
        <f t="shared" si="9"/>
        <v>53</v>
      </c>
      <c r="U17" s="17">
        <f t="shared" si="9"/>
        <v>18</v>
      </c>
      <c r="V17" s="17">
        <f t="shared" si="9"/>
        <v>212</v>
      </c>
      <c r="W17" s="17">
        <f t="shared" si="9"/>
        <v>6</v>
      </c>
      <c r="X17" s="17">
        <f t="shared" si="9"/>
        <v>2</v>
      </c>
      <c r="Y17" s="17">
        <f t="shared" si="9"/>
        <v>47</v>
      </c>
      <c r="Z17" s="17">
        <f t="shared" si="9"/>
        <v>4</v>
      </c>
      <c r="AA17" s="17">
        <f t="shared" si="9"/>
        <v>3</v>
      </c>
      <c r="AB17" s="17">
        <f t="shared" si="9"/>
        <v>2</v>
      </c>
      <c r="AC17" s="17">
        <f t="shared" si="9"/>
        <v>655</v>
      </c>
      <c r="AD17" s="17">
        <f t="shared" si="9"/>
        <v>0</v>
      </c>
      <c r="AE17" s="31">
        <f t="shared" si="9"/>
        <v>461</v>
      </c>
      <c r="AF17" s="31">
        <f t="shared" si="9"/>
        <v>1116</v>
      </c>
    </row>
    <row r="18" spans="2:32" ht="23.1" customHeight="1" x14ac:dyDescent="0.25">
      <c r="B18" s="23" t="s">
        <v>45</v>
      </c>
      <c r="C18" s="50">
        <v>33</v>
      </c>
      <c r="D18" s="50">
        <v>17</v>
      </c>
      <c r="E18" s="50">
        <v>14</v>
      </c>
      <c r="F18" s="50">
        <v>70</v>
      </c>
      <c r="G18" s="50">
        <v>2</v>
      </c>
      <c r="H18" s="50">
        <v>0</v>
      </c>
      <c r="I18" s="50">
        <v>5</v>
      </c>
      <c r="J18" s="50">
        <v>3</v>
      </c>
      <c r="K18" s="50">
        <v>0</v>
      </c>
      <c r="L18" s="50">
        <v>0</v>
      </c>
      <c r="M18" s="50">
        <v>265</v>
      </c>
      <c r="N18" s="50">
        <v>0</v>
      </c>
      <c r="O18" s="15">
        <f t="shared" si="0"/>
        <v>144</v>
      </c>
      <c r="P18" s="15">
        <f t="shared" si="1"/>
        <v>409</v>
      </c>
      <c r="R18" s="1" t="s">
        <v>14</v>
      </c>
      <c r="S18" s="17">
        <f t="shared" ref="S18:AF18" si="10">SUM(C42:C45)</f>
        <v>130</v>
      </c>
      <c r="T18" s="17">
        <f t="shared" si="10"/>
        <v>64</v>
      </c>
      <c r="U18" s="17">
        <f t="shared" si="10"/>
        <v>20</v>
      </c>
      <c r="V18" s="17">
        <f t="shared" si="10"/>
        <v>170</v>
      </c>
      <c r="W18" s="17">
        <f t="shared" si="10"/>
        <v>1</v>
      </c>
      <c r="X18" s="17">
        <f t="shared" si="10"/>
        <v>2</v>
      </c>
      <c r="Y18" s="17">
        <f t="shared" si="10"/>
        <v>38</v>
      </c>
      <c r="Z18" s="17">
        <f t="shared" si="10"/>
        <v>6</v>
      </c>
      <c r="AA18" s="17">
        <f t="shared" si="10"/>
        <v>1</v>
      </c>
      <c r="AB18" s="17">
        <f t="shared" si="10"/>
        <v>6</v>
      </c>
      <c r="AC18" s="17">
        <f t="shared" si="10"/>
        <v>715</v>
      </c>
      <c r="AD18" s="17">
        <f t="shared" si="10"/>
        <v>0</v>
      </c>
      <c r="AE18" s="31">
        <f t="shared" si="10"/>
        <v>438</v>
      </c>
      <c r="AF18" s="31">
        <f t="shared" si="10"/>
        <v>1153</v>
      </c>
    </row>
    <row r="19" spans="2:32" ht="23.1" customHeight="1" x14ac:dyDescent="0.25">
      <c r="B19" s="23" t="s">
        <v>46</v>
      </c>
      <c r="C19" s="50">
        <v>14</v>
      </c>
      <c r="D19" s="50">
        <v>8</v>
      </c>
      <c r="E19" s="50">
        <v>3</v>
      </c>
      <c r="F19" s="50">
        <v>75</v>
      </c>
      <c r="G19" s="50">
        <v>2</v>
      </c>
      <c r="H19" s="50">
        <v>0</v>
      </c>
      <c r="I19" s="50">
        <v>9</v>
      </c>
      <c r="J19" s="50">
        <v>1</v>
      </c>
      <c r="K19" s="50">
        <v>0</v>
      </c>
      <c r="L19" s="50">
        <v>0</v>
      </c>
      <c r="M19" s="50">
        <v>210</v>
      </c>
      <c r="N19" s="50">
        <v>0</v>
      </c>
      <c r="O19" s="15">
        <f t="shared" si="0"/>
        <v>112</v>
      </c>
      <c r="P19" s="15">
        <f t="shared" si="1"/>
        <v>322</v>
      </c>
      <c r="R19" s="1" t="s">
        <v>15</v>
      </c>
      <c r="S19" s="17">
        <f t="shared" ref="S19:AF19" si="11">SUM(C46:C49)</f>
        <v>159</v>
      </c>
      <c r="T19" s="17">
        <f t="shared" si="11"/>
        <v>124</v>
      </c>
      <c r="U19" s="17">
        <f t="shared" si="11"/>
        <v>20</v>
      </c>
      <c r="V19" s="17">
        <f t="shared" si="11"/>
        <v>159</v>
      </c>
      <c r="W19" s="17">
        <f t="shared" si="11"/>
        <v>3</v>
      </c>
      <c r="X19" s="17">
        <f t="shared" si="11"/>
        <v>3</v>
      </c>
      <c r="Y19" s="17">
        <f t="shared" si="11"/>
        <v>56</v>
      </c>
      <c r="Z19" s="17">
        <f t="shared" si="11"/>
        <v>4</v>
      </c>
      <c r="AA19" s="17">
        <f t="shared" si="11"/>
        <v>2</v>
      </c>
      <c r="AB19" s="17">
        <f t="shared" si="11"/>
        <v>1</v>
      </c>
      <c r="AC19" s="17">
        <f t="shared" si="11"/>
        <v>730</v>
      </c>
      <c r="AD19" s="17">
        <f t="shared" si="11"/>
        <v>0</v>
      </c>
      <c r="AE19" s="31">
        <f t="shared" si="11"/>
        <v>531</v>
      </c>
      <c r="AF19" s="31">
        <f t="shared" si="11"/>
        <v>1261</v>
      </c>
    </row>
    <row r="20" spans="2:32" ht="23.1" customHeight="1" x14ac:dyDescent="0.25">
      <c r="B20" s="23" t="s">
        <v>47</v>
      </c>
      <c r="C20" s="50">
        <v>23</v>
      </c>
      <c r="D20" s="50">
        <v>9</v>
      </c>
      <c r="E20" s="50">
        <v>3</v>
      </c>
      <c r="F20" s="50">
        <v>70</v>
      </c>
      <c r="G20" s="50">
        <v>1</v>
      </c>
      <c r="H20" s="50">
        <v>1</v>
      </c>
      <c r="I20" s="50">
        <v>8</v>
      </c>
      <c r="J20" s="50">
        <v>0</v>
      </c>
      <c r="K20" s="50">
        <v>1</v>
      </c>
      <c r="L20" s="50">
        <v>0</v>
      </c>
      <c r="M20" s="50">
        <v>267</v>
      </c>
      <c r="N20" s="50">
        <v>0</v>
      </c>
      <c r="O20" s="15">
        <f t="shared" si="0"/>
        <v>116</v>
      </c>
      <c r="P20" s="15">
        <f t="shared" si="1"/>
        <v>383</v>
      </c>
      <c r="R20" s="1" t="s">
        <v>16</v>
      </c>
      <c r="S20" s="17">
        <f t="shared" ref="S20:AF20" si="12">SUM(C50:C53)</f>
        <v>256</v>
      </c>
      <c r="T20" s="17">
        <f t="shared" si="12"/>
        <v>76</v>
      </c>
      <c r="U20" s="17">
        <f t="shared" si="12"/>
        <v>9</v>
      </c>
      <c r="V20" s="17">
        <f t="shared" si="12"/>
        <v>217</v>
      </c>
      <c r="W20" s="17">
        <f t="shared" si="12"/>
        <v>2</v>
      </c>
      <c r="X20" s="17">
        <f t="shared" si="12"/>
        <v>1</v>
      </c>
      <c r="Y20" s="17">
        <f t="shared" si="12"/>
        <v>63</v>
      </c>
      <c r="Z20" s="17">
        <f t="shared" si="12"/>
        <v>12</v>
      </c>
      <c r="AA20" s="17">
        <f t="shared" si="12"/>
        <v>7</v>
      </c>
      <c r="AB20" s="17">
        <f t="shared" si="12"/>
        <v>5</v>
      </c>
      <c r="AC20" s="17">
        <f t="shared" si="12"/>
        <v>714</v>
      </c>
      <c r="AD20" s="17">
        <f t="shared" si="12"/>
        <v>0</v>
      </c>
      <c r="AE20" s="31">
        <f t="shared" si="12"/>
        <v>648</v>
      </c>
      <c r="AF20" s="31">
        <f t="shared" si="12"/>
        <v>1362</v>
      </c>
    </row>
    <row r="21" spans="2:32" ht="23.1" customHeight="1" x14ac:dyDescent="0.25">
      <c r="B21" s="23" t="s">
        <v>48</v>
      </c>
      <c r="C21" s="50">
        <v>18</v>
      </c>
      <c r="D21" s="50">
        <v>4</v>
      </c>
      <c r="E21" s="50">
        <v>2</v>
      </c>
      <c r="F21" s="50">
        <v>72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1</v>
      </c>
      <c r="M21" s="50">
        <v>245</v>
      </c>
      <c r="N21" s="50">
        <v>0</v>
      </c>
      <c r="O21" s="15">
        <f t="shared" si="0"/>
        <v>101</v>
      </c>
      <c r="P21" s="15">
        <f t="shared" si="1"/>
        <v>346</v>
      </c>
      <c r="R21" s="36" t="s">
        <v>20</v>
      </c>
      <c r="S21" s="34">
        <f t="shared" ref="S21:AF21" si="13">SUM(C54:C57)</f>
        <v>267</v>
      </c>
      <c r="T21" s="17">
        <f t="shared" si="13"/>
        <v>74</v>
      </c>
      <c r="U21" s="17">
        <f t="shared" si="13"/>
        <v>29</v>
      </c>
      <c r="V21" s="17">
        <f t="shared" si="13"/>
        <v>150</v>
      </c>
      <c r="W21" s="17">
        <f t="shared" si="13"/>
        <v>9</v>
      </c>
      <c r="X21" s="17">
        <f t="shared" si="13"/>
        <v>5</v>
      </c>
      <c r="Y21" s="17">
        <f t="shared" si="13"/>
        <v>43</v>
      </c>
      <c r="Z21" s="17">
        <f t="shared" si="13"/>
        <v>4</v>
      </c>
      <c r="AA21" s="17">
        <f t="shared" si="13"/>
        <v>3</v>
      </c>
      <c r="AB21" s="17">
        <f t="shared" si="13"/>
        <v>5</v>
      </c>
      <c r="AC21" s="17">
        <f t="shared" si="13"/>
        <v>985</v>
      </c>
      <c r="AD21" s="17">
        <f t="shared" si="13"/>
        <v>0</v>
      </c>
      <c r="AE21" s="31">
        <f t="shared" si="13"/>
        <v>589</v>
      </c>
      <c r="AF21" s="31">
        <f t="shared" si="13"/>
        <v>1574</v>
      </c>
    </row>
    <row r="22" spans="2:32" ht="23.1" customHeight="1" x14ac:dyDescent="0.25">
      <c r="B22" s="23" t="s">
        <v>49</v>
      </c>
      <c r="C22" s="50">
        <v>32</v>
      </c>
      <c r="D22" s="50">
        <v>5</v>
      </c>
      <c r="E22" s="50">
        <v>0</v>
      </c>
      <c r="F22" s="50">
        <v>54</v>
      </c>
      <c r="G22" s="50">
        <v>0</v>
      </c>
      <c r="H22" s="50">
        <v>2</v>
      </c>
      <c r="I22" s="50">
        <v>8</v>
      </c>
      <c r="J22" s="50">
        <v>1</v>
      </c>
      <c r="K22" s="50">
        <v>0</v>
      </c>
      <c r="L22" s="50">
        <v>2</v>
      </c>
      <c r="M22" s="50">
        <v>235</v>
      </c>
      <c r="N22" s="50">
        <v>0</v>
      </c>
      <c r="O22" s="15">
        <f t="shared" si="0"/>
        <v>104</v>
      </c>
      <c r="P22" s="15">
        <f t="shared" si="1"/>
        <v>339</v>
      </c>
      <c r="R22" s="38" t="s">
        <v>90</v>
      </c>
      <c r="S22" s="39">
        <f>MAX(S10:S12)</f>
        <v>182</v>
      </c>
      <c r="T22" s="39">
        <f t="shared" ref="T22:AF22" si="14">MAX(T10:T12)</f>
        <v>83</v>
      </c>
      <c r="U22" s="39">
        <f t="shared" si="14"/>
        <v>22</v>
      </c>
      <c r="V22" s="39">
        <f t="shared" si="14"/>
        <v>287</v>
      </c>
      <c r="W22" s="39">
        <f t="shared" si="14"/>
        <v>9</v>
      </c>
      <c r="X22" s="39">
        <f t="shared" si="14"/>
        <v>4</v>
      </c>
      <c r="Y22" s="39">
        <f t="shared" si="14"/>
        <v>57</v>
      </c>
      <c r="Z22" s="39">
        <f t="shared" si="14"/>
        <v>4</v>
      </c>
      <c r="AA22" s="39">
        <f t="shared" si="14"/>
        <v>2</v>
      </c>
      <c r="AB22" s="39">
        <f t="shared" si="14"/>
        <v>1</v>
      </c>
      <c r="AC22" s="39">
        <f t="shared" si="14"/>
        <v>1000</v>
      </c>
      <c r="AD22" s="39">
        <f t="shared" si="14"/>
        <v>0</v>
      </c>
      <c r="AE22" s="40">
        <f t="shared" si="14"/>
        <v>582</v>
      </c>
      <c r="AF22" s="40">
        <f t="shared" si="14"/>
        <v>1460</v>
      </c>
    </row>
    <row r="23" spans="2:32" ht="23.1" customHeight="1" x14ac:dyDescent="0.25">
      <c r="B23" s="23" t="s">
        <v>50</v>
      </c>
      <c r="C23" s="50">
        <v>22</v>
      </c>
      <c r="D23" s="50">
        <v>13</v>
      </c>
      <c r="E23" s="50">
        <v>0</v>
      </c>
      <c r="F23" s="50">
        <v>35</v>
      </c>
      <c r="G23" s="50">
        <v>0</v>
      </c>
      <c r="H23" s="50">
        <v>1</v>
      </c>
      <c r="I23" s="50">
        <v>8</v>
      </c>
      <c r="J23" s="50">
        <v>1</v>
      </c>
      <c r="K23" s="50">
        <v>1</v>
      </c>
      <c r="L23" s="50">
        <v>0</v>
      </c>
      <c r="M23" s="50">
        <v>205</v>
      </c>
      <c r="N23" s="50">
        <v>0</v>
      </c>
      <c r="O23" s="15">
        <f t="shared" si="0"/>
        <v>81</v>
      </c>
      <c r="P23" s="15">
        <f t="shared" si="1"/>
        <v>286</v>
      </c>
      <c r="R23" s="38" t="s">
        <v>91</v>
      </c>
      <c r="S23" s="39">
        <f>MAX(S13:S18)</f>
        <v>133</v>
      </c>
      <c r="T23" s="39">
        <f t="shared" ref="T23:AF23" si="15">MAX(T13:T18)</f>
        <v>77</v>
      </c>
      <c r="U23" s="39">
        <f t="shared" si="15"/>
        <v>59</v>
      </c>
      <c r="V23" s="39">
        <f t="shared" si="15"/>
        <v>212</v>
      </c>
      <c r="W23" s="39">
        <f t="shared" si="15"/>
        <v>17</v>
      </c>
      <c r="X23" s="39">
        <f t="shared" si="15"/>
        <v>5</v>
      </c>
      <c r="Y23" s="39">
        <f t="shared" si="15"/>
        <v>54</v>
      </c>
      <c r="Z23" s="39">
        <f t="shared" si="15"/>
        <v>10</v>
      </c>
      <c r="AA23" s="39">
        <f t="shared" si="15"/>
        <v>3</v>
      </c>
      <c r="AB23" s="39">
        <f t="shared" si="15"/>
        <v>6</v>
      </c>
      <c r="AC23" s="39">
        <f t="shared" si="15"/>
        <v>800</v>
      </c>
      <c r="AD23" s="39">
        <f t="shared" si="15"/>
        <v>0</v>
      </c>
      <c r="AE23" s="40">
        <f t="shared" si="15"/>
        <v>461</v>
      </c>
      <c r="AF23" s="40">
        <f t="shared" si="15"/>
        <v>1177</v>
      </c>
    </row>
    <row r="24" spans="2:32" ht="23.1" customHeight="1" x14ac:dyDescent="0.25">
      <c r="B24" s="23" t="s">
        <v>51</v>
      </c>
      <c r="C24" s="50">
        <v>21</v>
      </c>
      <c r="D24" s="50">
        <v>8</v>
      </c>
      <c r="E24" s="50">
        <v>2</v>
      </c>
      <c r="F24" s="50">
        <v>40</v>
      </c>
      <c r="G24" s="50">
        <v>0</v>
      </c>
      <c r="H24" s="50">
        <v>0</v>
      </c>
      <c r="I24" s="50">
        <v>9</v>
      </c>
      <c r="J24" s="50">
        <v>2</v>
      </c>
      <c r="K24" s="50">
        <v>1</v>
      </c>
      <c r="L24" s="50">
        <v>0</v>
      </c>
      <c r="M24" s="50">
        <v>190</v>
      </c>
      <c r="N24" s="50">
        <v>0</v>
      </c>
      <c r="O24" s="15">
        <f t="shared" si="0"/>
        <v>83</v>
      </c>
      <c r="P24" s="15">
        <f t="shared" si="1"/>
        <v>273</v>
      </c>
      <c r="R24" s="38" t="s">
        <v>92</v>
      </c>
      <c r="S24" s="39">
        <f>MAX(S19:S21)</f>
        <v>267</v>
      </c>
      <c r="T24" s="39">
        <f t="shared" ref="T24:AF24" si="16">MAX(T19:T21)</f>
        <v>124</v>
      </c>
      <c r="U24" s="39">
        <f t="shared" si="16"/>
        <v>29</v>
      </c>
      <c r="V24" s="39">
        <f t="shared" si="16"/>
        <v>217</v>
      </c>
      <c r="W24" s="39">
        <f t="shared" si="16"/>
        <v>9</v>
      </c>
      <c r="X24" s="39">
        <f t="shared" si="16"/>
        <v>5</v>
      </c>
      <c r="Y24" s="39">
        <f t="shared" si="16"/>
        <v>63</v>
      </c>
      <c r="Z24" s="39">
        <f t="shared" si="16"/>
        <v>12</v>
      </c>
      <c r="AA24" s="39">
        <f t="shared" si="16"/>
        <v>7</v>
      </c>
      <c r="AB24" s="39">
        <f t="shared" si="16"/>
        <v>5</v>
      </c>
      <c r="AC24" s="39">
        <f t="shared" si="16"/>
        <v>985</v>
      </c>
      <c r="AD24" s="39">
        <f t="shared" si="16"/>
        <v>0</v>
      </c>
      <c r="AE24" s="40">
        <f t="shared" si="16"/>
        <v>648</v>
      </c>
      <c r="AF24" s="40">
        <f t="shared" si="16"/>
        <v>1574</v>
      </c>
    </row>
    <row r="25" spans="2:32" ht="23.1" customHeight="1" x14ac:dyDescent="0.25">
      <c r="B25" s="23" t="s">
        <v>52</v>
      </c>
      <c r="C25" s="50">
        <v>23</v>
      </c>
      <c r="D25" s="50">
        <v>10</v>
      </c>
      <c r="E25" s="50">
        <v>2</v>
      </c>
      <c r="F25" s="50">
        <v>52</v>
      </c>
      <c r="G25" s="50">
        <v>1</v>
      </c>
      <c r="H25" s="50">
        <v>2</v>
      </c>
      <c r="I25" s="50">
        <v>16</v>
      </c>
      <c r="J25" s="50">
        <v>3</v>
      </c>
      <c r="K25" s="50">
        <v>0</v>
      </c>
      <c r="L25" s="50">
        <v>0</v>
      </c>
      <c r="M25" s="50">
        <v>170</v>
      </c>
      <c r="N25" s="50">
        <v>0</v>
      </c>
      <c r="O25" s="15">
        <f t="shared" si="0"/>
        <v>109</v>
      </c>
      <c r="P25" s="15">
        <f t="shared" si="1"/>
        <v>279</v>
      </c>
      <c r="R25" s="37" t="s">
        <v>85</v>
      </c>
      <c r="S25" s="35">
        <f t="shared" ref="S25:AF25" si="17">SUM(S10:S12)</f>
        <v>357</v>
      </c>
      <c r="T25" s="16">
        <f t="shared" si="17"/>
        <v>155</v>
      </c>
      <c r="U25" s="16">
        <f t="shared" si="17"/>
        <v>51</v>
      </c>
      <c r="V25" s="16">
        <f t="shared" si="17"/>
        <v>766</v>
      </c>
      <c r="W25" s="16">
        <f t="shared" si="17"/>
        <v>17</v>
      </c>
      <c r="X25" s="16">
        <f t="shared" si="17"/>
        <v>6</v>
      </c>
      <c r="Y25" s="16">
        <f t="shared" si="17"/>
        <v>120</v>
      </c>
      <c r="Z25" s="16">
        <f t="shared" si="17"/>
        <v>6</v>
      </c>
      <c r="AA25" s="16">
        <f t="shared" si="17"/>
        <v>4</v>
      </c>
      <c r="AB25" s="16">
        <f t="shared" si="17"/>
        <v>1</v>
      </c>
      <c r="AC25" s="16">
        <f t="shared" si="17"/>
        <v>2722</v>
      </c>
      <c r="AD25" s="16">
        <f t="shared" si="17"/>
        <v>0</v>
      </c>
      <c r="AE25" s="32">
        <f t="shared" si="17"/>
        <v>1483</v>
      </c>
      <c r="AF25" s="32">
        <f t="shared" si="17"/>
        <v>4205</v>
      </c>
    </row>
    <row r="26" spans="2:32" ht="23.1" customHeight="1" x14ac:dyDescent="0.25">
      <c r="B26" s="23" t="s">
        <v>53</v>
      </c>
      <c r="C26" s="50">
        <v>20</v>
      </c>
      <c r="D26" s="50">
        <v>8</v>
      </c>
      <c r="E26" s="50">
        <v>4</v>
      </c>
      <c r="F26" s="50">
        <v>30</v>
      </c>
      <c r="G26" s="50">
        <v>1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180</v>
      </c>
      <c r="N26" s="50">
        <v>0</v>
      </c>
      <c r="O26" s="15">
        <f t="shared" si="0"/>
        <v>69</v>
      </c>
      <c r="P26" s="15">
        <f t="shared" si="1"/>
        <v>249</v>
      </c>
      <c r="R26" s="28" t="s">
        <v>86</v>
      </c>
      <c r="S26" s="16">
        <f t="shared" ref="S26:AF26" si="18">SUM(S13:S18)</f>
        <v>717</v>
      </c>
      <c r="T26" s="16">
        <f t="shared" si="18"/>
        <v>314</v>
      </c>
      <c r="U26" s="16">
        <f t="shared" si="18"/>
        <v>127</v>
      </c>
      <c r="V26" s="16">
        <f t="shared" si="18"/>
        <v>1076</v>
      </c>
      <c r="W26" s="16">
        <f t="shared" si="18"/>
        <v>27</v>
      </c>
      <c r="X26" s="16">
        <f t="shared" si="18"/>
        <v>12</v>
      </c>
      <c r="Y26" s="16">
        <f t="shared" si="18"/>
        <v>247</v>
      </c>
      <c r="Z26" s="16">
        <f t="shared" si="18"/>
        <v>31</v>
      </c>
      <c r="AA26" s="16">
        <f t="shared" si="18"/>
        <v>10</v>
      </c>
      <c r="AB26" s="16">
        <f t="shared" si="18"/>
        <v>13</v>
      </c>
      <c r="AC26" s="16">
        <f t="shared" si="18"/>
        <v>4105</v>
      </c>
      <c r="AD26" s="16">
        <f t="shared" si="18"/>
        <v>0</v>
      </c>
      <c r="AE26" s="32">
        <f t="shared" si="18"/>
        <v>2574</v>
      </c>
      <c r="AF26" s="32">
        <f t="shared" si="18"/>
        <v>6679</v>
      </c>
    </row>
    <row r="27" spans="2:32" ht="23.1" customHeight="1" x14ac:dyDescent="0.25">
      <c r="B27" s="23" t="s">
        <v>54</v>
      </c>
      <c r="C27" s="50">
        <v>35</v>
      </c>
      <c r="D27" s="50">
        <v>6</v>
      </c>
      <c r="E27" s="50">
        <v>0</v>
      </c>
      <c r="F27" s="50">
        <v>55</v>
      </c>
      <c r="G27" s="50">
        <v>0</v>
      </c>
      <c r="H27" s="50">
        <v>0</v>
      </c>
      <c r="I27" s="50">
        <v>11</v>
      </c>
      <c r="J27" s="50">
        <v>2</v>
      </c>
      <c r="K27" s="50">
        <v>0</v>
      </c>
      <c r="L27" s="50">
        <v>1</v>
      </c>
      <c r="M27" s="50">
        <v>170</v>
      </c>
      <c r="N27" s="50">
        <v>0</v>
      </c>
      <c r="O27" s="15">
        <f t="shared" si="0"/>
        <v>110</v>
      </c>
      <c r="P27" s="15">
        <f t="shared" si="1"/>
        <v>280</v>
      </c>
      <c r="R27" s="29" t="s">
        <v>87</v>
      </c>
      <c r="S27" s="16">
        <f t="shared" ref="S27:AF27" si="19">SUM(S19:S21)</f>
        <v>682</v>
      </c>
      <c r="T27" s="16">
        <f t="shared" si="19"/>
        <v>274</v>
      </c>
      <c r="U27" s="16">
        <f t="shared" si="19"/>
        <v>58</v>
      </c>
      <c r="V27" s="16">
        <f t="shared" si="19"/>
        <v>526</v>
      </c>
      <c r="W27" s="16">
        <f t="shared" si="19"/>
        <v>14</v>
      </c>
      <c r="X27" s="16">
        <f t="shared" si="19"/>
        <v>9</v>
      </c>
      <c r="Y27" s="16">
        <f t="shared" si="19"/>
        <v>162</v>
      </c>
      <c r="Z27" s="16">
        <f t="shared" si="19"/>
        <v>20</v>
      </c>
      <c r="AA27" s="16">
        <f t="shared" si="19"/>
        <v>12</v>
      </c>
      <c r="AB27" s="16">
        <f t="shared" si="19"/>
        <v>11</v>
      </c>
      <c r="AC27" s="16">
        <f t="shared" si="19"/>
        <v>2429</v>
      </c>
      <c r="AD27" s="16">
        <f t="shared" si="19"/>
        <v>0</v>
      </c>
      <c r="AE27" s="32">
        <f t="shared" si="19"/>
        <v>1768</v>
      </c>
      <c r="AF27" s="32">
        <f t="shared" si="19"/>
        <v>4197</v>
      </c>
    </row>
    <row r="28" spans="2:32" ht="23.1" customHeight="1" x14ac:dyDescent="0.25">
      <c r="B28" s="23" t="s">
        <v>55</v>
      </c>
      <c r="C28" s="50">
        <v>45</v>
      </c>
      <c r="D28" s="50">
        <v>0</v>
      </c>
      <c r="E28" s="50">
        <v>35</v>
      </c>
      <c r="F28" s="50">
        <v>53</v>
      </c>
      <c r="G28" s="50">
        <v>0</v>
      </c>
      <c r="H28" s="50">
        <v>0</v>
      </c>
      <c r="I28" s="50">
        <v>10</v>
      </c>
      <c r="J28" s="50">
        <v>0</v>
      </c>
      <c r="K28" s="50">
        <v>0</v>
      </c>
      <c r="L28" s="50">
        <v>0</v>
      </c>
      <c r="M28" s="50">
        <v>130</v>
      </c>
      <c r="N28" s="50">
        <v>0</v>
      </c>
      <c r="O28" s="15">
        <f t="shared" si="0"/>
        <v>143</v>
      </c>
      <c r="P28" s="15">
        <f t="shared" si="1"/>
        <v>273</v>
      </c>
      <c r="R28" s="5" t="s">
        <v>17</v>
      </c>
      <c r="S28" s="16">
        <f t="shared" ref="S28:AF28" si="20">SUM(S10:S21)</f>
        <v>1756</v>
      </c>
      <c r="T28" s="16">
        <f t="shared" si="20"/>
        <v>743</v>
      </c>
      <c r="U28" s="16">
        <f t="shared" si="20"/>
        <v>236</v>
      </c>
      <c r="V28" s="16">
        <f t="shared" si="20"/>
        <v>2368</v>
      </c>
      <c r="W28" s="16">
        <f t="shared" si="20"/>
        <v>58</v>
      </c>
      <c r="X28" s="16">
        <f t="shared" si="20"/>
        <v>27</v>
      </c>
      <c r="Y28" s="16">
        <f t="shared" si="20"/>
        <v>529</v>
      </c>
      <c r="Z28" s="16">
        <f t="shared" si="20"/>
        <v>57</v>
      </c>
      <c r="AA28" s="16">
        <f t="shared" si="20"/>
        <v>26</v>
      </c>
      <c r="AB28" s="16">
        <f t="shared" si="20"/>
        <v>25</v>
      </c>
      <c r="AC28" s="16">
        <f t="shared" si="20"/>
        <v>9256</v>
      </c>
      <c r="AD28" s="16">
        <f t="shared" si="20"/>
        <v>0</v>
      </c>
      <c r="AE28" s="32">
        <f t="shared" si="20"/>
        <v>5825</v>
      </c>
      <c r="AF28" s="32">
        <f t="shared" si="20"/>
        <v>15081</v>
      </c>
    </row>
    <row r="29" spans="2:32" ht="23.1" customHeight="1" x14ac:dyDescent="0.25">
      <c r="B29" s="23" t="s">
        <v>56</v>
      </c>
      <c r="C29" s="50">
        <v>18</v>
      </c>
      <c r="D29" s="50">
        <v>0</v>
      </c>
      <c r="E29" s="50">
        <v>20</v>
      </c>
      <c r="F29" s="50">
        <v>34</v>
      </c>
      <c r="G29" s="50">
        <v>0</v>
      </c>
      <c r="H29" s="50">
        <v>0</v>
      </c>
      <c r="I29" s="50">
        <v>15</v>
      </c>
      <c r="J29" s="50">
        <v>0</v>
      </c>
      <c r="K29" s="50">
        <v>0</v>
      </c>
      <c r="L29" s="50">
        <v>0</v>
      </c>
      <c r="M29" s="50">
        <v>150</v>
      </c>
      <c r="N29" s="50">
        <v>0</v>
      </c>
      <c r="O29" s="15">
        <f t="shared" si="0"/>
        <v>87</v>
      </c>
      <c r="P29" s="15">
        <f t="shared" si="1"/>
        <v>237</v>
      </c>
      <c r="R29"/>
      <c r="S29" s="20"/>
      <c r="T29" s="19"/>
    </row>
    <row r="30" spans="2:32" ht="23.1" customHeight="1" x14ac:dyDescent="0.25">
      <c r="B30" s="23" t="s">
        <v>57</v>
      </c>
      <c r="C30" s="50">
        <v>45</v>
      </c>
      <c r="D30" s="50">
        <v>8</v>
      </c>
      <c r="E30" s="50">
        <v>4</v>
      </c>
      <c r="F30" s="50">
        <v>40</v>
      </c>
      <c r="G30" s="50">
        <v>2</v>
      </c>
      <c r="H30" s="50">
        <v>0</v>
      </c>
      <c r="I30" s="50">
        <v>9</v>
      </c>
      <c r="J30" s="50">
        <v>2</v>
      </c>
      <c r="K30" s="50">
        <v>0</v>
      </c>
      <c r="L30" s="50">
        <v>0</v>
      </c>
      <c r="M30" s="50">
        <v>175</v>
      </c>
      <c r="N30" s="50">
        <v>0</v>
      </c>
      <c r="O30" s="15">
        <f t="shared" si="0"/>
        <v>110</v>
      </c>
      <c r="P30" s="15">
        <f t="shared" si="1"/>
        <v>285</v>
      </c>
    </row>
    <row r="31" spans="2:32" ht="23.1" customHeight="1" x14ac:dyDescent="0.25">
      <c r="B31" s="24" t="s">
        <v>58</v>
      </c>
      <c r="C31" s="50">
        <v>30</v>
      </c>
      <c r="D31" s="50">
        <v>11</v>
      </c>
      <c r="E31" s="50">
        <v>14</v>
      </c>
      <c r="F31" s="50">
        <v>44</v>
      </c>
      <c r="G31" s="50">
        <v>1</v>
      </c>
      <c r="H31" s="50">
        <v>0</v>
      </c>
      <c r="I31" s="50">
        <v>5</v>
      </c>
      <c r="J31" s="50">
        <v>5</v>
      </c>
      <c r="K31" s="50">
        <v>0</v>
      </c>
      <c r="L31" s="50">
        <v>0</v>
      </c>
      <c r="M31" s="50">
        <v>160</v>
      </c>
      <c r="N31" s="50">
        <v>0</v>
      </c>
      <c r="O31" s="15">
        <f t="shared" si="0"/>
        <v>110</v>
      </c>
      <c r="P31" s="15">
        <f t="shared" si="1"/>
        <v>270</v>
      </c>
    </row>
    <row r="32" spans="2:32" ht="23.1" customHeight="1" x14ac:dyDescent="0.25">
      <c r="B32" s="24" t="s">
        <v>59</v>
      </c>
      <c r="C32" s="50">
        <v>28</v>
      </c>
      <c r="D32" s="50">
        <v>13</v>
      </c>
      <c r="E32" s="50">
        <v>1</v>
      </c>
      <c r="F32" s="50">
        <v>45</v>
      </c>
      <c r="G32" s="50">
        <v>2</v>
      </c>
      <c r="H32" s="50">
        <v>0</v>
      </c>
      <c r="I32" s="50">
        <v>11</v>
      </c>
      <c r="J32" s="50">
        <v>3</v>
      </c>
      <c r="K32" s="50">
        <v>1</v>
      </c>
      <c r="L32" s="50">
        <v>0</v>
      </c>
      <c r="M32" s="50">
        <v>165</v>
      </c>
      <c r="N32" s="50">
        <v>0</v>
      </c>
      <c r="O32" s="15">
        <f t="shared" si="0"/>
        <v>104</v>
      </c>
      <c r="P32" s="15">
        <f t="shared" si="1"/>
        <v>269</v>
      </c>
    </row>
    <row r="33" spans="2:20" ht="23.1" customHeight="1" x14ac:dyDescent="0.25">
      <c r="B33" s="23" t="s">
        <v>60</v>
      </c>
      <c r="C33" s="50">
        <v>30</v>
      </c>
      <c r="D33" s="50">
        <v>45</v>
      </c>
      <c r="E33" s="50">
        <v>0</v>
      </c>
      <c r="F33" s="50">
        <v>40</v>
      </c>
      <c r="G33" s="50">
        <v>12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190</v>
      </c>
      <c r="N33" s="50">
        <v>0</v>
      </c>
      <c r="O33" s="15">
        <f t="shared" si="0"/>
        <v>127</v>
      </c>
      <c r="P33" s="15">
        <f t="shared" si="1"/>
        <v>317</v>
      </c>
    </row>
    <row r="34" spans="2:20" ht="23.1" customHeight="1" x14ac:dyDescent="0.25">
      <c r="B34" s="24" t="s">
        <v>61</v>
      </c>
      <c r="C34" s="50">
        <v>26</v>
      </c>
      <c r="D34" s="50">
        <v>16</v>
      </c>
      <c r="E34" s="50">
        <v>2</v>
      </c>
      <c r="F34" s="50">
        <v>45</v>
      </c>
      <c r="G34" s="50">
        <v>0</v>
      </c>
      <c r="H34" s="50">
        <v>0</v>
      </c>
      <c r="I34" s="50">
        <v>12</v>
      </c>
      <c r="J34" s="50">
        <v>1</v>
      </c>
      <c r="K34" s="50">
        <v>1</v>
      </c>
      <c r="L34" s="50">
        <v>1</v>
      </c>
      <c r="M34" s="50">
        <v>140</v>
      </c>
      <c r="N34" s="50">
        <v>0</v>
      </c>
      <c r="O34" s="15">
        <f t="shared" si="0"/>
        <v>104</v>
      </c>
      <c r="P34" s="15">
        <f t="shared" si="1"/>
        <v>244</v>
      </c>
    </row>
    <row r="35" spans="2:20" ht="23.1" customHeight="1" x14ac:dyDescent="0.25">
      <c r="B35" s="24" t="s">
        <v>62</v>
      </c>
      <c r="C35" s="50">
        <v>26</v>
      </c>
      <c r="D35" s="50">
        <v>13</v>
      </c>
      <c r="E35" s="50">
        <v>3</v>
      </c>
      <c r="F35" s="50">
        <v>44</v>
      </c>
      <c r="G35" s="50">
        <v>0</v>
      </c>
      <c r="H35" s="50">
        <v>1</v>
      </c>
      <c r="I35" s="50">
        <v>18</v>
      </c>
      <c r="J35" s="50">
        <v>0</v>
      </c>
      <c r="K35" s="50">
        <v>0</v>
      </c>
      <c r="L35" s="50">
        <v>1</v>
      </c>
      <c r="M35" s="50">
        <v>150</v>
      </c>
      <c r="N35" s="50">
        <v>0</v>
      </c>
      <c r="O35" s="15">
        <f t="shared" si="0"/>
        <v>106</v>
      </c>
      <c r="P35" s="15">
        <f t="shared" si="1"/>
        <v>256</v>
      </c>
    </row>
    <row r="36" spans="2:20" ht="23.1" customHeight="1" x14ac:dyDescent="0.25">
      <c r="B36" s="24" t="s">
        <v>63</v>
      </c>
      <c r="C36" s="50">
        <v>39</v>
      </c>
      <c r="D36" s="50">
        <v>18</v>
      </c>
      <c r="E36" s="50">
        <v>1</v>
      </c>
      <c r="F36" s="50">
        <v>47</v>
      </c>
      <c r="G36" s="50">
        <v>1</v>
      </c>
      <c r="H36" s="50">
        <v>1</v>
      </c>
      <c r="I36" s="50">
        <v>7</v>
      </c>
      <c r="J36" s="50">
        <v>0</v>
      </c>
      <c r="K36" s="50">
        <v>1</v>
      </c>
      <c r="L36" s="50">
        <v>0</v>
      </c>
      <c r="M36" s="50">
        <v>155</v>
      </c>
      <c r="N36" s="50">
        <v>0</v>
      </c>
      <c r="O36" s="15">
        <f t="shared" si="0"/>
        <v>115</v>
      </c>
      <c r="P36" s="15">
        <f t="shared" si="1"/>
        <v>270</v>
      </c>
    </row>
    <row r="37" spans="2:20" ht="23.1" customHeight="1" x14ac:dyDescent="0.25">
      <c r="B37" s="23" t="s">
        <v>64</v>
      </c>
      <c r="C37" s="50">
        <v>33</v>
      </c>
      <c r="D37" s="50">
        <v>23</v>
      </c>
      <c r="E37" s="50">
        <v>1</v>
      </c>
      <c r="F37" s="50">
        <v>36</v>
      </c>
      <c r="G37" s="50">
        <v>0</v>
      </c>
      <c r="H37" s="50">
        <v>1</v>
      </c>
      <c r="I37" s="50">
        <v>17</v>
      </c>
      <c r="J37" s="50">
        <v>1</v>
      </c>
      <c r="K37" s="50">
        <v>1</v>
      </c>
      <c r="L37" s="50">
        <v>0</v>
      </c>
      <c r="M37" s="50">
        <v>170</v>
      </c>
      <c r="N37" s="50">
        <v>0</v>
      </c>
      <c r="O37" s="15">
        <f t="shared" si="0"/>
        <v>113</v>
      </c>
      <c r="P37" s="15">
        <f t="shared" si="1"/>
        <v>283</v>
      </c>
    </row>
    <row r="38" spans="2:20" ht="23.1" customHeight="1" x14ac:dyDescent="0.25">
      <c r="B38" s="24" t="s">
        <v>65</v>
      </c>
      <c r="C38" s="50">
        <v>20</v>
      </c>
      <c r="D38" s="50">
        <v>9</v>
      </c>
      <c r="E38" s="50">
        <v>5</v>
      </c>
      <c r="F38" s="50">
        <v>55</v>
      </c>
      <c r="G38" s="50">
        <v>3</v>
      </c>
      <c r="H38" s="50">
        <v>0</v>
      </c>
      <c r="I38" s="50">
        <v>5</v>
      </c>
      <c r="J38" s="50">
        <v>1</v>
      </c>
      <c r="K38" s="50">
        <v>0</v>
      </c>
      <c r="L38" s="50">
        <v>1</v>
      </c>
      <c r="M38" s="50">
        <v>180</v>
      </c>
      <c r="N38" s="50">
        <v>0</v>
      </c>
      <c r="O38" s="15">
        <f t="shared" si="0"/>
        <v>99</v>
      </c>
      <c r="P38" s="15">
        <f t="shared" si="1"/>
        <v>279</v>
      </c>
    </row>
    <row r="39" spans="2:20" ht="23.1" customHeight="1" x14ac:dyDescent="0.25">
      <c r="B39" s="24" t="s">
        <v>66</v>
      </c>
      <c r="C39" s="50">
        <v>20</v>
      </c>
      <c r="D39" s="50">
        <v>8</v>
      </c>
      <c r="E39" s="50">
        <v>0</v>
      </c>
      <c r="F39" s="50">
        <v>58</v>
      </c>
      <c r="G39" s="50">
        <v>0</v>
      </c>
      <c r="H39" s="50">
        <v>0</v>
      </c>
      <c r="I39" s="50">
        <v>14</v>
      </c>
      <c r="J39" s="50">
        <v>1</v>
      </c>
      <c r="K39" s="50">
        <v>1</v>
      </c>
      <c r="L39" s="50">
        <v>0</v>
      </c>
      <c r="M39" s="50">
        <v>145</v>
      </c>
      <c r="N39" s="50">
        <v>0</v>
      </c>
      <c r="O39" s="15">
        <f t="shared" si="0"/>
        <v>102</v>
      </c>
      <c r="P39" s="15">
        <f t="shared" si="1"/>
        <v>247</v>
      </c>
    </row>
    <row r="40" spans="2:20" ht="23.1" customHeight="1" x14ac:dyDescent="0.25">
      <c r="B40" s="24" t="s">
        <v>67</v>
      </c>
      <c r="C40" s="50">
        <v>44</v>
      </c>
      <c r="D40" s="50">
        <v>17</v>
      </c>
      <c r="E40" s="50">
        <v>4</v>
      </c>
      <c r="F40" s="50">
        <v>46</v>
      </c>
      <c r="G40" s="50">
        <v>2</v>
      </c>
      <c r="H40" s="50">
        <v>2</v>
      </c>
      <c r="I40" s="50">
        <v>17</v>
      </c>
      <c r="J40" s="50">
        <v>1</v>
      </c>
      <c r="K40" s="50">
        <v>1</v>
      </c>
      <c r="L40" s="50">
        <v>0</v>
      </c>
      <c r="M40" s="50">
        <v>155</v>
      </c>
      <c r="N40" s="50">
        <v>0</v>
      </c>
      <c r="O40" s="15">
        <f t="shared" si="0"/>
        <v>134</v>
      </c>
      <c r="P40" s="15">
        <f t="shared" si="1"/>
        <v>289</v>
      </c>
    </row>
    <row r="41" spans="2:20" ht="23.1" customHeight="1" x14ac:dyDescent="0.25">
      <c r="B41" s="23" t="s">
        <v>68</v>
      </c>
      <c r="C41" s="50">
        <v>30</v>
      </c>
      <c r="D41" s="50">
        <v>19</v>
      </c>
      <c r="E41" s="50">
        <v>9</v>
      </c>
      <c r="F41" s="50">
        <v>53</v>
      </c>
      <c r="G41" s="50">
        <v>1</v>
      </c>
      <c r="H41" s="50">
        <v>0</v>
      </c>
      <c r="I41" s="50">
        <v>11</v>
      </c>
      <c r="J41" s="50">
        <v>1</v>
      </c>
      <c r="K41" s="50">
        <v>1</v>
      </c>
      <c r="L41" s="50">
        <v>1</v>
      </c>
      <c r="M41" s="50">
        <v>175</v>
      </c>
      <c r="N41" s="50">
        <v>0</v>
      </c>
      <c r="O41" s="15">
        <f t="shared" si="0"/>
        <v>126</v>
      </c>
      <c r="P41" s="15">
        <f t="shared" si="1"/>
        <v>301</v>
      </c>
    </row>
    <row r="42" spans="2:20" ht="23.1" customHeight="1" x14ac:dyDescent="0.25">
      <c r="B42" s="24" t="s">
        <v>69</v>
      </c>
      <c r="C42" s="50">
        <v>22</v>
      </c>
      <c r="D42" s="50">
        <v>20</v>
      </c>
      <c r="E42" s="50">
        <v>6</v>
      </c>
      <c r="F42" s="50">
        <v>39</v>
      </c>
      <c r="G42" s="50">
        <v>0</v>
      </c>
      <c r="H42" s="50">
        <v>0</v>
      </c>
      <c r="I42" s="50">
        <v>12</v>
      </c>
      <c r="J42" s="50">
        <v>3</v>
      </c>
      <c r="K42" s="50">
        <v>0</v>
      </c>
      <c r="L42" s="50">
        <v>1</v>
      </c>
      <c r="M42" s="50">
        <v>165</v>
      </c>
      <c r="N42" s="50">
        <v>0</v>
      </c>
      <c r="O42" s="15">
        <f t="shared" si="0"/>
        <v>103</v>
      </c>
      <c r="P42" s="15">
        <f t="shared" si="1"/>
        <v>268</v>
      </c>
    </row>
    <row r="43" spans="2:20" ht="23.1" customHeight="1" x14ac:dyDescent="0.25">
      <c r="B43" s="23" t="s">
        <v>70</v>
      </c>
      <c r="C43" s="50">
        <v>45</v>
      </c>
      <c r="D43" s="50">
        <v>19</v>
      </c>
      <c r="E43" s="50">
        <v>2</v>
      </c>
      <c r="F43" s="50">
        <v>39</v>
      </c>
      <c r="G43" s="50">
        <v>0</v>
      </c>
      <c r="H43" s="50">
        <v>0</v>
      </c>
      <c r="I43" s="50">
        <v>13</v>
      </c>
      <c r="J43" s="50">
        <v>1</v>
      </c>
      <c r="K43" s="50">
        <v>0</v>
      </c>
      <c r="L43" s="50">
        <v>2</v>
      </c>
      <c r="M43" s="50">
        <v>195</v>
      </c>
      <c r="N43" s="50">
        <v>0</v>
      </c>
      <c r="O43" s="15">
        <f t="shared" si="0"/>
        <v>121</v>
      </c>
      <c r="P43" s="15">
        <f t="shared" si="1"/>
        <v>316</v>
      </c>
    </row>
    <row r="44" spans="2:20" ht="23.1" customHeight="1" x14ac:dyDescent="0.25">
      <c r="B44" s="25" t="s">
        <v>71</v>
      </c>
      <c r="C44" s="50">
        <v>39</v>
      </c>
      <c r="D44" s="50">
        <v>12</v>
      </c>
      <c r="E44" s="50">
        <v>2</v>
      </c>
      <c r="F44" s="50">
        <v>35</v>
      </c>
      <c r="G44" s="50">
        <v>1</v>
      </c>
      <c r="H44" s="50">
        <v>0</v>
      </c>
      <c r="I44" s="50">
        <v>1</v>
      </c>
      <c r="J44" s="50">
        <v>2</v>
      </c>
      <c r="K44" s="50">
        <v>1</v>
      </c>
      <c r="L44" s="50">
        <v>3</v>
      </c>
      <c r="M44" s="50">
        <v>180</v>
      </c>
      <c r="N44" s="50">
        <v>0</v>
      </c>
      <c r="O44" s="15">
        <f t="shared" si="0"/>
        <v>96</v>
      </c>
      <c r="P44" s="15">
        <f t="shared" si="1"/>
        <v>276</v>
      </c>
    </row>
    <row r="45" spans="2:20" ht="23.1" customHeight="1" x14ac:dyDescent="0.25">
      <c r="B45" s="23" t="s">
        <v>72</v>
      </c>
      <c r="C45" s="50">
        <v>24</v>
      </c>
      <c r="D45" s="50">
        <v>13</v>
      </c>
      <c r="E45" s="50">
        <v>10</v>
      </c>
      <c r="F45" s="50">
        <v>57</v>
      </c>
      <c r="G45" s="50">
        <v>0</v>
      </c>
      <c r="H45" s="50">
        <v>2</v>
      </c>
      <c r="I45" s="50">
        <v>12</v>
      </c>
      <c r="J45" s="50">
        <v>0</v>
      </c>
      <c r="K45" s="50">
        <v>0</v>
      </c>
      <c r="L45" s="50">
        <v>0</v>
      </c>
      <c r="M45" s="50">
        <v>175</v>
      </c>
      <c r="N45" s="50">
        <v>0</v>
      </c>
      <c r="O45" s="15">
        <f t="shared" si="0"/>
        <v>118</v>
      </c>
      <c r="P45" s="15">
        <f t="shared" si="1"/>
        <v>293</v>
      </c>
    </row>
    <row r="46" spans="2:20" ht="23.1" customHeight="1" x14ac:dyDescent="0.25">
      <c r="B46" s="24" t="s">
        <v>73</v>
      </c>
      <c r="C46" s="50">
        <v>46</v>
      </c>
      <c r="D46" s="50">
        <v>35</v>
      </c>
      <c r="E46" s="50">
        <v>2</v>
      </c>
      <c r="F46" s="50">
        <v>56</v>
      </c>
      <c r="G46" s="50">
        <v>0</v>
      </c>
      <c r="H46" s="50">
        <v>1</v>
      </c>
      <c r="I46" s="50">
        <v>18</v>
      </c>
      <c r="J46" s="50">
        <v>2</v>
      </c>
      <c r="K46" s="50">
        <v>0</v>
      </c>
      <c r="L46" s="50">
        <v>0</v>
      </c>
      <c r="M46" s="50">
        <v>185</v>
      </c>
      <c r="N46" s="50">
        <v>0</v>
      </c>
      <c r="O46" s="15">
        <f t="shared" si="0"/>
        <v>160</v>
      </c>
      <c r="P46" s="15">
        <f t="shared" si="1"/>
        <v>345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36</v>
      </c>
      <c r="E47" s="50">
        <v>4</v>
      </c>
      <c r="F47" s="50">
        <v>28</v>
      </c>
      <c r="G47" s="50">
        <v>1</v>
      </c>
      <c r="H47" s="50">
        <v>2</v>
      </c>
      <c r="I47" s="50">
        <v>13</v>
      </c>
      <c r="J47" s="50">
        <v>2</v>
      </c>
      <c r="K47" s="50">
        <v>0</v>
      </c>
      <c r="L47" s="50">
        <v>1</v>
      </c>
      <c r="M47" s="50">
        <v>180</v>
      </c>
      <c r="N47" s="50">
        <v>0</v>
      </c>
      <c r="O47" s="15">
        <f t="shared" si="0"/>
        <v>105</v>
      </c>
      <c r="P47" s="15">
        <f t="shared" si="1"/>
        <v>285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29</v>
      </c>
      <c r="E48" s="50">
        <v>11</v>
      </c>
      <c r="F48" s="50">
        <v>43</v>
      </c>
      <c r="G48" s="50">
        <v>1</v>
      </c>
      <c r="H48" s="50">
        <v>0</v>
      </c>
      <c r="I48" s="50">
        <v>14</v>
      </c>
      <c r="J48" s="50">
        <v>0</v>
      </c>
      <c r="K48" s="50">
        <v>2</v>
      </c>
      <c r="L48" s="50">
        <v>0</v>
      </c>
      <c r="M48" s="50">
        <v>195</v>
      </c>
      <c r="N48" s="50">
        <v>0</v>
      </c>
      <c r="O48" s="15">
        <f t="shared" si="0"/>
        <v>139</v>
      </c>
      <c r="P48" s="15">
        <f t="shared" si="1"/>
        <v>334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24</v>
      </c>
      <c r="E49" s="50">
        <v>3</v>
      </c>
      <c r="F49" s="50">
        <v>32</v>
      </c>
      <c r="G49" s="50">
        <v>1</v>
      </c>
      <c r="H49" s="50">
        <v>0</v>
      </c>
      <c r="I49" s="50">
        <v>11</v>
      </c>
      <c r="J49" s="50">
        <v>0</v>
      </c>
      <c r="K49" s="50">
        <v>0</v>
      </c>
      <c r="L49" s="50">
        <v>0</v>
      </c>
      <c r="M49" s="50">
        <v>170</v>
      </c>
      <c r="N49" s="50">
        <v>0</v>
      </c>
      <c r="O49" s="15">
        <f t="shared" si="0"/>
        <v>127</v>
      </c>
      <c r="P49" s="15">
        <f t="shared" si="1"/>
        <v>297</v>
      </c>
      <c r="R49" s="8"/>
      <c r="T49"/>
    </row>
    <row r="50" spans="2:20" ht="23.1" customHeight="1" x14ac:dyDescent="0.25">
      <c r="B50" s="24" t="s">
        <v>77</v>
      </c>
      <c r="C50" s="50">
        <v>49</v>
      </c>
      <c r="D50" s="50">
        <v>22</v>
      </c>
      <c r="E50" s="50">
        <v>2</v>
      </c>
      <c r="F50" s="50">
        <v>52</v>
      </c>
      <c r="G50" s="50">
        <v>1</v>
      </c>
      <c r="H50" s="50">
        <v>1</v>
      </c>
      <c r="I50" s="50">
        <v>13</v>
      </c>
      <c r="J50" s="50">
        <v>2</v>
      </c>
      <c r="K50" s="50">
        <v>4</v>
      </c>
      <c r="L50" s="50">
        <v>4</v>
      </c>
      <c r="M50" s="50">
        <v>180</v>
      </c>
      <c r="N50" s="50">
        <v>0</v>
      </c>
      <c r="O50" s="15">
        <f t="shared" si="0"/>
        <v>150</v>
      </c>
      <c r="P50" s="15">
        <f t="shared" si="1"/>
        <v>330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16</v>
      </c>
      <c r="E51" s="50">
        <v>2</v>
      </c>
      <c r="F51" s="50">
        <v>57</v>
      </c>
      <c r="G51" s="50">
        <v>0</v>
      </c>
      <c r="H51" s="50">
        <v>0</v>
      </c>
      <c r="I51" s="50">
        <v>12</v>
      </c>
      <c r="J51" s="50">
        <v>4</v>
      </c>
      <c r="K51" s="50">
        <v>0</v>
      </c>
      <c r="L51" s="50">
        <v>0</v>
      </c>
      <c r="M51" s="50">
        <v>210</v>
      </c>
      <c r="N51" s="50">
        <v>0</v>
      </c>
      <c r="O51" s="15">
        <f t="shared" si="0"/>
        <v>151</v>
      </c>
      <c r="P51" s="15">
        <f t="shared" si="1"/>
        <v>361</v>
      </c>
      <c r="R51" s="8"/>
      <c r="T51"/>
    </row>
    <row r="52" spans="2:20" ht="23.1" customHeight="1" x14ac:dyDescent="0.25">
      <c r="B52" s="24" t="s">
        <v>79</v>
      </c>
      <c r="C52" s="50">
        <v>62</v>
      </c>
      <c r="D52" s="50">
        <v>22</v>
      </c>
      <c r="E52" s="50">
        <v>0</v>
      </c>
      <c r="F52" s="50">
        <v>63</v>
      </c>
      <c r="G52" s="50">
        <v>1</v>
      </c>
      <c r="H52" s="50">
        <v>0</v>
      </c>
      <c r="I52" s="50">
        <v>19</v>
      </c>
      <c r="J52" s="50">
        <v>4</v>
      </c>
      <c r="K52" s="50">
        <v>1</v>
      </c>
      <c r="L52" s="50">
        <v>1</v>
      </c>
      <c r="M52" s="50">
        <v>215</v>
      </c>
      <c r="N52" s="50">
        <v>0</v>
      </c>
      <c r="O52" s="15">
        <f t="shared" si="0"/>
        <v>173</v>
      </c>
      <c r="P52" s="15">
        <f t="shared" si="1"/>
        <v>388</v>
      </c>
      <c r="R52" s="8"/>
      <c r="T52"/>
    </row>
    <row r="53" spans="2:20" ht="23.1" customHeight="1" x14ac:dyDescent="0.25">
      <c r="B53" s="23" t="s">
        <v>80</v>
      </c>
      <c r="C53" s="50">
        <v>85</v>
      </c>
      <c r="D53" s="50">
        <v>16</v>
      </c>
      <c r="E53" s="50">
        <v>5</v>
      </c>
      <c r="F53" s="50">
        <v>45</v>
      </c>
      <c r="G53" s="50">
        <v>0</v>
      </c>
      <c r="H53" s="50">
        <v>0</v>
      </c>
      <c r="I53" s="50">
        <v>19</v>
      </c>
      <c r="J53" s="50">
        <v>2</v>
      </c>
      <c r="K53" s="50">
        <v>2</v>
      </c>
      <c r="L53" s="50">
        <v>0</v>
      </c>
      <c r="M53" s="50">
        <v>109</v>
      </c>
      <c r="N53" s="50">
        <v>0</v>
      </c>
      <c r="O53" s="15">
        <f t="shared" si="0"/>
        <v>174</v>
      </c>
      <c r="P53" s="15">
        <f t="shared" si="1"/>
        <v>283</v>
      </c>
      <c r="R53" s="8"/>
      <c r="T53"/>
    </row>
    <row r="54" spans="2:20" ht="23.1" customHeight="1" x14ac:dyDescent="0.25">
      <c r="B54" s="23" t="s">
        <v>81</v>
      </c>
      <c r="C54" s="50">
        <v>54</v>
      </c>
      <c r="D54" s="50">
        <v>22</v>
      </c>
      <c r="E54" s="50">
        <v>3</v>
      </c>
      <c r="F54" s="50">
        <v>34</v>
      </c>
      <c r="G54" s="50">
        <v>2</v>
      </c>
      <c r="H54" s="50">
        <v>2</v>
      </c>
      <c r="I54" s="50">
        <v>8</v>
      </c>
      <c r="J54" s="50">
        <v>1</v>
      </c>
      <c r="K54" s="50">
        <v>0</v>
      </c>
      <c r="L54" s="50">
        <v>2</v>
      </c>
      <c r="M54" s="50">
        <v>235</v>
      </c>
      <c r="N54" s="50">
        <v>0</v>
      </c>
      <c r="O54" s="15">
        <f t="shared" si="0"/>
        <v>128</v>
      </c>
      <c r="P54" s="15">
        <f t="shared" si="1"/>
        <v>363</v>
      </c>
      <c r="R54" s="8"/>
      <c r="T54"/>
    </row>
    <row r="55" spans="2:20" ht="23.1" customHeight="1" x14ac:dyDescent="0.25">
      <c r="B55" s="23" t="s">
        <v>82</v>
      </c>
      <c r="C55" s="50">
        <v>75</v>
      </c>
      <c r="D55" s="50">
        <v>17</v>
      </c>
      <c r="E55" s="50">
        <v>9</v>
      </c>
      <c r="F55" s="50">
        <v>34</v>
      </c>
      <c r="G55" s="50">
        <v>1</v>
      </c>
      <c r="H55" s="50">
        <v>0</v>
      </c>
      <c r="I55" s="50">
        <v>13</v>
      </c>
      <c r="J55" s="50">
        <v>1</v>
      </c>
      <c r="K55" s="50">
        <v>1</v>
      </c>
      <c r="L55" s="50">
        <v>2</v>
      </c>
      <c r="M55" s="50">
        <v>225</v>
      </c>
      <c r="N55" s="50">
        <v>0</v>
      </c>
      <c r="O55" s="15">
        <f t="shared" si="0"/>
        <v>153</v>
      </c>
      <c r="P55" s="15">
        <f t="shared" si="1"/>
        <v>378</v>
      </c>
      <c r="R55" s="8"/>
      <c r="T55"/>
    </row>
    <row r="56" spans="2:20" ht="23.1" customHeight="1" x14ac:dyDescent="0.25">
      <c r="B56" s="23" t="s">
        <v>83</v>
      </c>
      <c r="C56" s="50">
        <v>80</v>
      </c>
      <c r="D56" s="50">
        <v>20</v>
      </c>
      <c r="E56" s="50">
        <v>10</v>
      </c>
      <c r="F56" s="50">
        <v>40</v>
      </c>
      <c r="G56" s="50">
        <v>2</v>
      </c>
      <c r="H56" s="50">
        <v>1</v>
      </c>
      <c r="I56" s="50">
        <v>10</v>
      </c>
      <c r="J56" s="50">
        <v>1</v>
      </c>
      <c r="K56" s="50">
        <v>1</v>
      </c>
      <c r="L56" s="50">
        <v>0</v>
      </c>
      <c r="M56" s="50">
        <v>240</v>
      </c>
      <c r="N56" s="50">
        <v>0</v>
      </c>
      <c r="O56" s="15">
        <f t="shared" si="0"/>
        <v>165</v>
      </c>
      <c r="P56" s="15">
        <f t="shared" si="1"/>
        <v>405</v>
      </c>
      <c r="R56" s="8"/>
      <c r="T56"/>
    </row>
    <row r="57" spans="2:20" ht="23.1" customHeight="1" x14ac:dyDescent="0.25">
      <c r="B57" s="23" t="s">
        <v>84</v>
      </c>
      <c r="C57" s="50">
        <v>58</v>
      </c>
      <c r="D57" s="50">
        <v>15</v>
      </c>
      <c r="E57" s="50">
        <v>7</v>
      </c>
      <c r="F57" s="50">
        <v>42</v>
      </c>
      <c r="G57" s="50">
        <v>4</v>
      </c>
      <c r="H57" s="50">
        <v>2</v>
      </c>
      <c r="I57" s="50">
        <v>12</v>
      </c>
      <c r="J57" s="50">
        <v>1</v>
      </c>
      <c r="K57" s="50">
        <v>1</v>
      </c>
      <c r="L57" s="50">
        <v>1</v>
      </c>
      <c r="M57" s="50">
        <v>285</v>
      </c>
      <c r="N57" s="50">
        <v>0</v>
      </c>
      <c r="O57" s="15">
        <f t="shared" si="0"/>
        <v>143</v>
      </c>
      <c r="P57" s="15">
        <f t="shared" si="1"/>
        <v>428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1756</v>
      </c>
      <c r="D58" s="16">
        <f t="shared" si="21"/>
        <v>743</v>
      </c>
      <c r="E58" s="16">
        <f t="shared" si="21"/>
        <v>236</v>
      </c>
      <c r="F58" s="16">
        <f t="shared" si="21"/>
        <v>2368</v>
      </c>
      <c r="G58" s="16">
        <f t="shared" si="21"/>
        <v>58</v>
      </c>
      <c r="H58" s="16">
        <f t="shared" si="21"/>
        <v>27</v>
      </c>
      <c r="I58" s="16">
        <f t="shared" si="21"/>
        <v>529</v>
      </c>
      <c r="J58" s="16">
        <f t="shared" si="21"/>
        <v>57</v>
      </c>
      <c r="K58" s="16">
        <f t="shared" si="21"/>
        <v>26</v>
      </c>
      <c r="L58" s="16">
        <f t="shared" si="21"/>
        <v>25</v>
      </c>
      <c r="M58" s="16">
        <f t="shared" si="21"/>
        <v>9256</v>
      </c>
      <c r="N58" s="16">
        <f t="shared" si="21"/>
        <v>0</v>
      </c>
      <c r="O58" s="16">
        <f t="shared" si="21"/>
        <v>5825</v>
      </c>
      <c r="P58" s="16">
        <f t="shared" si="21"/>
        <v>15081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0.11643790199588887</v>
      </c>
      <c r="D59" s="43">
        <f t="shared" si="22"/>
        <v>4.9267289967508787E-2</v>
      </c>
      <c r="E59" s="43">
        <f t="shared" si="22"/>
        <v>1.564882965320602E-2</v>
      </c>
      <c r="F59" s="43">
        <f t="shared" si="22"/>
        <v>0.1570187653338638</v>
      </c>
      <c r="G59" s="43">
        <f t="shared" si="22"/>
        <v>3.8458988130760561E-3</v>
      </c>
      <c r="H59" s="43">
        <f t="shared" si="22"/>
        <v>1.7903322060871295E-3</v>
      </c>
      <c r="I59" s="43">
        <f t="shared" si="22"/>
        <v>3.5077249519262652E-2</v>
      </c>
      <c r="J59" s="43">
        <f t="shared" si="22"/>
        <v>3.7795902128506067E-3</v>
      </c>
      <c r="K59" s="43">
        <f t="shared" si="22"/>
        <v>1.7240236058616804E-3</v>
      </c>
      <c r="L59" s="43">
        <f t="shared" si="22"/>
        <v>1.657715005636231E-3</v>
      </c>
      <c r="M59" s="43">
        <f t="shared" si="22"/>
        <v>0.61375240368675821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0.30145922746781117</v>
      </c>
      <c r="D60" s="44">
        <f t="shared" ref="D60:N60" si="23">D58/$O$58</f>
        <v>0.12755364806866953</v>
      </c>
      <c r="E60" s="44">
        <f t="shared" si="23"/>
        <v>4.0515021459227467E-2</v>
      </c>
      <c r="F60" s="44">
        <f t="shared" si="23"/>
        <v>0.40652360515021457</v>
      </c>
      <c r="G60" s="44">
        <f t="shared" si="23"/>
        <v>9.9570815450643769E-3</v>
      </c>
      <c r="H60" s="44">
        <f t="shared" si="23"/>
        <v>4.6351931330472105E-3</v>
      </c>
      <c r="I60" s="44">
        <f t="shared" si="23"/>
        <v>9.0815450643776829E-2</v>
      </c>
      <c r="J60" s="44">
        <f t="shared" si="23"/>
        <v>9.7854077253218888E-3</v>
      </c>
      <c r="K60" s="44">
        <f t="shared" si="23"/>
        <v>4.4635193133047207E-3</v>
      </c>
      <c r="L60" s="44">
        <f t="shared" si="23"/>
        <v>4.2918454935622317E-3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5" t="str">
        <f>'25.07 Kampala-Kalewre'!G5:H5</f>
        <v>Wandegeya</v>
      </c>
      <c r="H5" s="66"/>
      <c r="I5" s="14"/>
      <c r="J5" s="2" t="s">
        <v>5</v>
      </c>
      <c r="K5" s="65" t="s">
        <v>180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Kalerwe-Kampala'!D6:E6</f>
        <v>Kalewre</v>
      </c>
      <c r="E6" s="66"/>
      <c r="F6" s="2" t="s">
        <v>2</v>
      </c>
      <c r="G6" s="65" t="str">
        <f>'22.07 Kalerwe-Kampala'!G6:H6</f>
        <v>Kampala</v>
      </c>
      <c r="H6" s="66"/>
      <c r="J6" s="2" t="s">
        <v>21</v>
      </c>
      <c r="K6" s="65" t="str">
        <f>'25.07 Kampala-Kalewre'!K6:L6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60</v>
      </c>
      <c r="D10" s="50">
        <v>26</v>
      </c>
      <c r="E10" s="50">
        <v>10</v>
      </c>
      <c r="F10" s="50">
        <v>60</v>
      </c>
      <c r="G10" s="50">
        <v>2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395</v>
      </c>
      <c r="N10" s="50">
        <v>0</v>
      </c>
      <c r="O10" s="15">
        <f t="shared" ref="O10:O57" si="0">SUM(C10:L10,N10)</f>
        <v>163</v>
      </c>
      <c r="P10" s="15">
        <f t="shared" ref="P10:P57" si="1">SUM(C10:N10)</f>
        <v>558</v>
      </c>
      <c r="R10" s="1" t="s">
        <v>6</v>
      </c>
      <c r="S10" s="17">
        <f t="shared" ref="S10:AF10" si="2">SUM(C10:C13)</f>
        <v>281</v>
      </c>
      <c r="T10" s="17">
        <f t="shared" si="2"/>
        <v>54</v>
      </c>
      <c r="U10" s="17">
        <f t="shared" si="2"/>
        <v>36</v>
      </c>
      <c r="V10" s="17">
        <f t="shared" si="2"/>
        <v>155</v>
      </c>
      <c r="W10" s="17">
        <f t="shared" si="2"/>
        <v>4</v>
      </c>
      <c r="X10" s="17">
        <f t="shared" si="2"/>
        <v>1</v>
      </c>
      <c r="Y10" s="17">
        <f t="shared" si="2"/>
        <v>21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1310</v>
      </c>
      <c r="AD10" s="17">
        <f t="shared" si="2"/>
        <v>0</v>
      </c>
      <c r="AE10" s="31">
        <f t="shared" si="2"/>
        <v>552</v>
      </c>
      <c r="AF10" s="31">
        <f t="shared" si="2"/>
        <v>1862</v>
      </c>
    </row>
    <row r="11" spans="2:32" s="6" customFormat="1" ht="23.1" customHeight="1" x14ac:dyDescent="0.25">
      <c r="B11" s="45" t="s">
        <v>38</v>
      </c>
      <c r="C11" s="50">
        <v>45</v>
      </c>
      <c r="D11" s="50">
        <v>7</v>
      </c>
      <c r="E11" s="50">
        <v>6</v>
      </c>
      <c r="F11" s="50">
        <v>30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210</v>
      </c>
      <c r="N11" s="50">
        <v>0</v>
      </c>
      <c r="O11" s="15">
        <f t="shared" si="0"/>
        <v>91</v>
      </c>
      <c r="P11" s="15">
        <f t="shared" si="1"/>
        <v>301</v>
      </c>
      <c r="R11" s="1" t="s">
        <v>7</v>
      </c>
      <c r="S11" s="17">
        <f t="shared" ref="S11:AF11" si="3">SUM(C14:C17)</f>
        <v>155</v>
      </c>
      <c r="T11" s="17">
        <f t="shared" si="3"/>
        <v>48</v>
      </c>
      <c r="U11" s="17">
        <f t="shared" si="3"/>
        <v>22</v>
      </c>
      <c r="V11" s="17">
        <f t="shared" si="3"/>
        <v>104</v>
      </c>
      <c r="W11" s="17">
        <f t="shared" si="3"/>
        <v>2</v>
      </c>
      <c r="X11" s="17">
        <f t="shared" si="3"/>
        <v>1</v>
      </c>
      <c r="Y11" s="17">
        <f t="shared" si="3"/>
        <v>25</v>
      </c>
      <c r="Z11" s="17">
        <f t="shared" si="3"/>
        <v>1</v>
      </c>
      <c r="AA11" s="17">
        <f t="shared" si="3"/>
        <v>3</v>
      </c>
      <c r="AB11" s="17">
        <f t="shared" si="3"/>
        <v>0</v>
      </c>
      <c r="AC11" s="17">
        <f t="shared" si="3"/>
        <v>1430</v>
      </c>
      <c r="AD11" s="17">
        <f t="shared" si="3"/>
        <v>0</v>
      </c>
      <c r="AE11" s="31">
        <f t="shared" si="3"/>
        <v>361</v>
      </c>
      <c r="AF11" s="31">
        <f t="shared" si="3"/>
        <v>1791</v>
      </c>
    </row>
    <row r="12" spans="2:32" ht="23.1" customHeight="1" x14ac:dyDescent="0.25">
      <c r="B12" s="45" t="s">
        <v>39</v>
      </c>
      <c r="C12" s="50">
        <v>110</v>
      </c>
      <c r="D12" s="50">
        <v>16</v>
      </c>
      <c r="E12" s="50">
        <v>10</v>
      </c>
      <c r="F12" s="50">
        <v>35</v>
      </c>
      <c r="G12" s="50">
        <v>1</v>
      </c>
      <c r="H12" s="50">
        <v>1</v>
      </c>
      <c r="I12" s="50">
        <v>8</v>
      </c>
      <c r="J12" s="50">
        <v>0</v>
      </c>
      <c r="K12" s="50">
        <v>0</v>
      </c>
      <c r="L12" s="50">
        <v>0</v>
      </c>
      <c r="M12" s="50">
        <v>355</v>
      </c>
      <c r="N12" s="50">
        <v>0</v>
      </c>
      <c r="O12" s="15">
        <f t="shared" si="0"/>
        <v>181</v>
      </c>
      <c r="P12" s="15">
        <f t="shared" si="1"/>
        <v>536</v>
      </c>
      <c r="R12" s="1" t="s">
        <v>8</v>
      </c>
      <c r="S12" s="17">
        <f t="shared" ref="S12:AF12" si="4">SUM(C18:C21)</f>
        <v>228</v>
      </c>
      <c r="T12" s="17">
        <f t="shared" si="4"/>
        <v>47</v>
      </c>
      <c r="U12" s="17">
        <f t="shared" si="4"/>
        <v>19</v>
      </c>
      <c r="V12" s="17">
        <f t="shared" si="4"/>
        <v>159</v>
      </c>
      <c r="W12" s="17">
        <f t="shared" si="4"/>
        <v>6</v>
      </c>
      <c r="X12" s="17">
        <f t="shared" si="4"/>
        <v>1</v>
      </c>
      <c r="Y12" s="17">
        <f t="shared" si="4"/>
        <v>25</v>
      </c>
      <c r="Z12" s="17">
        <f t="shared" si="4"/>
        <v>4</v>
      </c>
      <c r="AA12" s="17">
        <f t="shared" si="4"/>
        <v>2</v>
      </c>
      <c r="AB12" s="17">
        <f t="shared" si="4"/>
        <v>0</v>
      </c>
      <c r="AC12" s="17">
        <f t="shared" si="4"/>
        <v>1117</v>
      </c>
      <c r="AD12" s="17">
        <f t="shared" si="4"/>
        <v>0</v>
      </c>
      <c r="AE12" s="31">
        <f t="shared" si="4"/>
        <v>491</v>
      </c>
      <c r="AF12" s="31">
        <f t="shared" si="4"/>
        <v>1608</v>
      </c>
    </row>
    <row r="13" spans="2:32" ht="23.1" customHeight="1" x14ac:dyDescent="0.25">
      <c r="B13" s="45" t="s">
        <v>40</v>
      </c>
      <c r="C13" s="50">
        <v>66</v>
      </c>
      <c r="D13" s="50">
        <v>5</v>
      </c>
      <c r="E13" s="50">
        <v>10</v>
      </c>
      <c r="F13" s="50">
        <v>30</v>
      </c>
      <c r="G13" s="50">
        <v>1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350</v>
      </c>
      <c r="N13" s="50">
        <v>0</v>
      </c>
      <c r="O13" s="15">
        <f t="shared" si="0"/>
        <v>117</v>
      </c>
      <c r="P13" s="15">
        <f t="shared" si="1"/>
        <v>467</v>
      </c>
      <c r="R13" s="1" t="s">
        <v>9</v>
      </c>
      <c r="S13" s="17">
        <f t="shared" ref="S13:AF13" si="5">SUM(C22:C25)</f>
        <v>203</v>
      </c>
      <c r="T13" s="17">
        <f t="shared" si="5"/>
        <v>63</v>
      </c>
      <c r="U13" s="17">
        <f t="shared" si="5"/>
        <v>64</v>
      </c>
      <c r="V13" s="17">
        <f t="shared" si="5"/>
        <v>139</v>
      </c>
      <c r="W13" s="17">
        <f t="shared" si="5"/>
        <v>7</v>
      </c>
      <c r="X13" s="17">
        <f t="shared" si="5"/>
        <v>10</v>
      </c>
      <c r="Y13" s="17">
        <f t="shared" si="5"/>
        <v>29</v>
      </c>
      <c r="Z13" s="17">
        <f t="shared" si="5"/>
        <v>12</v>
      </c>
      <c r="AA13" s="17">
        <f t="shared" si="5"/>
        <v>1</v>
      </c>
      <c r="AB13" s="17">
        <f t="shared" si="5"/>
        <v>3</v>
      </c>
      <c r="AC13" s="17">
        <f t="shared" si="5"/>
        <v>615</v>
      </c>
      <c r="AD13" s="17">
        <f t="shared" si="5"/>
        <v>0</v>
      </c>
      <c r="AE13" s="31">
        <f t="shared" si="5"/>
        <v>531</v>
      </c>
      <c r="AF13" s="31">
        <f t="shared" si="5"/>
        <v>1146</v>
      </c>
    </row>
    <row r="14" spans="2:32" ht="23.1" customHeight="1" x14ac:dyDescent="0.25">
      <c r="B14" s="45" t="s">
        <v>41</v>
      </c>
      <c r="C14" s="50">
        <v>55</v>
      </c>
      <c r="D14" s="50">
        <v>13</v>
      </c>
      <c r="E14" s="50">
        <v>7</v>
      </c>
      <c r="F14" s="50">
        <v>27</v>
      </c>
      <c r="G14" s="50">
        <v>2</v>
      </c>
      <c r="H14" s="50">
        <v>1</v>
      </c>
      <c r="I14" s="50">
        <v>6</v>
      </c>
      <c r="J14" s="50">
        <v>0</v>
      </c>
      <c r="K14" s="50">
        <v>0</v>
      </c>
      <c r="L14" s="50">
        <v>0</v>
      </c>
      <c r="M14" s="50">
        <v>445</v>
      </c>
      <c r="N14" s="50">
        <v>0</v>
      </c>
      <c r="O14" s="15">
        <f t="shared" si="0"/>
        <v>111</v>
      </c>
      <c r="P14" s="15">
        <f t="shared" si="1"/>
        <v>556</v>
      </c>
      <c r="R14" s="1" t="s">
        <v>10</v>
      </c>
      <c r="S14" s="17">
        <f t="shared" ref="S14:AF14" si="6">SUM(C26:C29)</f>
        <v>221</v>
      </c>
      <c r="T14" s="17">
        <f t="shared" si="6"/>
        <v>58</v>
      </c>
      <c r="U14" s="17">
        <f t="shared" si="6"/>
        <v>20</v>
      </c>
      <c r="V14" s="17">
        <f t="shared" si="6"/>
        <v>219</v>
      </c>
      <c r="W14" s="17">
        <f t="shared" si="6"/>
        <v>3</v>
      </c>
      <c r="X14" s="17">
        <f t="shared" si="6"/>
        <v>3</v>
      </c>
      <c r="Y14" s="17">
        <f t="shared" si="6"/>
        <v>35</v>
      </c>
      <c r="Z14" s="17">
        <f t="shared" si="6"/>
        <v>2</v>
      </c>
      <c r="AA14" s="17">
        <f t="shared" si="6"/>
        <v>2</v>
      </c>
      <c r="AB14" s="17">
        <f t="shared" si="6"/>
        <v>2</v>
      </c>
      <c r="AC14" s="17">
        <f t="shared" si="6"/>
        <v>829</v>
      </c>
      <c r="AD14" s="17">
        <f t="shared" si="6"/>
        <v>0</v>
      </c>
      <c r="AE14" s="31">
        <f t="shared" si="6"/>
        <v>565</v>
      </c>
      <c r="AF14" s="31">
        <f t="shared" si="6"/>
        <v>1394</v>
      </c>
    </row>
    <row r="15" spans="2:32" ht="23.1" customHeight="1" x14ac:dyDescent="0.25">
      <c r="B15" s="45" t="s">
        <v>42</v>
      </c>
      <c r="C15" s="50">
        <v>44</v>
      </c>
      <c r="D15" s="50">
        <v>9</v>
      </c>
      <c r="E15" s="50">
        <v>5</v>
      </c>
      <c r="F15" s="50">
        <v>30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345</v>
      </c>
      <c r="N15" s="50">
        <v>0</v>
      </c>
      <c r="O15" s="15">
        <f t="shared" si="0"/>
        <v>93</v>
      </c>
      <c r="P15" s="15">
        <f t="shared" si="1"/>
        <v>438</v>
      </c>
      <c r="R15" s="1" t="s">
        <v>11</v>
      </c>
      <c r="S15" s="17">
        <f t="shared" ref="S15:AF15" si="7">SUM(C30:C33)</f>
        <v>230</v>
      </c>
      <c r="T15" s="17">
        <f t="shared" si="7"/>
        <v>81</v>
      </c>
      <c r="U15" s="17">
        <f t="shared" si="7"/>
        <v>34</v>
      </c>
      <c r="V15" s="17">
        <f t="shared" si="7"/>
        <v>189</v>
      </c>
      <c r="W15" s="17">
        <f t="shared" si="7"/>
        <v>18</v>
      </c>
      <c r="X15" s="17">
        <f t="shared" si="7"/>
        <v>5</v>
      </c>
      <c r="Y15" s="17">
        <f t="shared" si="7"/>
        <v>87</v>
      </c>
      <c r="Z15" s="17">
        <f t="shared" si="7"/>
        <v>4</v>
      </c>
      <c r="AA15" s="17">
        <f t="shared" si="7"/>
        <v>8</v>
      </c>
      <c r="AB15" s="17">
        <f t="shared" si="7"/>
        <v>2</v>
      </c>
      <c r="AC15" s="17">
        <f t="shared" si="7"/>
        <v>780</v>
      </c>
      <c r="AD15" s="17">
        <f t="shared" si="7"/>
        <v>0</v>
      </c>
      <c r="AE15" s="31">
        <f t="shared" si="7"/>
        <v>658</v>
      </c>
      <c r="AF15" s="31">
        <f t="shared" si="7"/>
        <v>1438</v>
      </c>
    </row>
    <row r="16" spans="2:32" ht="23.1" customHeight="1" x14ac:dyDescent="0.25">
      <c r="B16" s="45" t="s">
        <v>43</v>
      </c>
      <c r="C16" s="50">
        <v>34</v>
      </c>
      <c r="D16" s="50">
        <v>15</v>
      </c>
      <c r="E16" s="50">
        <v>6</v>
      </c>
      <c r="F16" s="50">
        <v>28</v>
      </c>
      <c r="G16" s="50">
        <v>0</v>
      </c>
      <c r="H16" s="50">
        <v>0</v>
      </c>
      <c r="I16" s="50">
        <v>5</v>
      </c>
      <c r="J16" s="50">
        <v>0</v>
      </c>
      <c r="K16" s="50">
        <v>2</v>
      </c>
      <c r="L16" s="50">
        <v>0</v>
      </c>
      <c r="M16" s="50">
        <v>400</v>
      </c>
      <c r="N16" s="50">
        <v>0</v>
      </c>
      <c r="O16" s="15">
        <f t="shared" si="0"/>
        <v>90</v>
      </c>
      <c r="P16" s="15">
        <f t="shared" si="1"/>
        <v>490</v>
      </c>
      <c r="R16" s="1" t="s">
        <v>12</v>
      </c>
      <c r="S16" s="17">
        <f t="shared" ref="S16:AF16" si="8">SUM(C34:C37)</f>
        <v>299</v>
      </c>
      <c r="T16" s="17">
        <f t="shared" si="8"/>
        <v>138</v>
      </c>
      <c r="U16" s="17">
        <f t="shared" si="8"/>
        <v>58</v>
      </c>
      <c r="V16" s="17">
        <f t="shared" si="8"/>
        <v>186</v>
      </c>
      <c r="W16" s="17">
        <f t="shared" si="8"/>
        <v>6</v>
      </c>
      <c r="X16" s="17">
        <f t="shared" si="8"/>
        <v>5</v>
      </c>
      <c r="Y16" s="17">
        <f t="shared" si="8"/>
        <v>73</v>
      </c>
      <c r="Z16" s="17">
        <f t="shared" si="8"/>
        <v>7</v>
      </c>
      <c r="AA16" s="17">
        <f t="shared" si="8"/>
        <v>7</v>
      </c>
      <c r="AB16" s="17">
        <f t="shared" si="8"/>
        <v>3</v>
      </c>
      <c r="AC16" s="17">
        <f t="shared" si="8"/>
        <v>895</v>
      </c>
      <c r="AD16" s="17">
        <f t="shared" si="8"/>
        <v>0</v>
      </c>
      <c r="AE16" s="31">
        <f t="shared" si="8"/>
        <v>782</v>
      </c>
      <c r="AF16" s="31">
        <f t="shared" si="8"/>
        <v>1677</v>
      </c>
    </row>
    <row r="17" spans="2:32" ht="23.1" customHeight="1" x14ac:dyDescent="0.25">
      <c r="B17" s="45" t="s">
        <v>44</v>
      </c>
      <c r="C17" s="50">
        <v>22</v>
      </c>
      <c r="D17" s="50">
        <v>11</v>
      </c>
      <c r="E17" s="50">
        <v>4</v>
      </c>
      <c r="F17" s="50">
        <v>19</v>
      </c>
      <c r="G17" s="50">
        <v>0</v>
      </c>
      <c r="H17" s="50">
        <v>0</v>
      </c>
      <c r="I17" s="50">
        <v>9</v>
      </c>
      <c r="J17" s="50">
        <v>1</v>
      </c>
      <c r="K17" s="50">
        <v>1</v>
      </c>
      <c r="L17" s="50">
        <v>0</v>
      </c>
      <c r="M17" s="50">
        <v>240</v>
      </c>
      <c r="N17" s="50">
        <v>0</v>
      </c>
      <c r="O17" s="15">
        <f t="shared" si="0"/>
        <v>67</v>
      </c>
      <c r="P17" s="15">
        <f t="shared" si="1"/>
        <v>307</v>
      </c>
      <c r="R17" s="1" t="s">
        <v>13</v>
      </c>
      <c r="S17" s="17">
        <f t="shared" ref="S17:AF17" si="9">SUM(C38:C41)</f>
        <v>217</v>
      </c>
      <c r="T17" s="17">
        <f t="shared" si="9"/>
        <v>56</v>
      </c>
      <c r="U17" s="17">
        <f t="shared" si="9"/>
        <v>32</v>
      </c>
      <c r="V17" s="17">
        <f t="shared" si="9"/>
        <v>158</v>
      </c>
      <c r="W17" s="17">
        <f t="shared" si="9"/>
        <v>6</v>
      </c>
      <c r="X17" s="17">
        <f t="shared" si="9"/>
        <v>1</v>
      </c>
      <c r="Y17" s="17">
        <f t="shared" si="9"/>
        <v>44</v>
      </c>
      <c r="Z17" s="17">
        <f t="shared" si="9"/>
        <v>9</v>
      </c>
      <c r="AA17" s="17">
        <f t="shared" si="9"/>
        <v>1</v>
      </c>
      <c r="AB17" s="17">
        <f t="shared" si="9"/>
        <v>1</v>
      </c>
      <c r="AC17" s="17">
        <f t="shared" si="9"/>
        <v>1000</v>
      </c>
      <c r="AD17" s="17">
        <f t="shared" si="9"/>
        <v>0</v>
      </c>
      <c r="AE17" s="31">
        <f t="shared" si="9"/>
        <v>525</v>
      </c>
      <c r="AF17" s="31">
        <f t="shared" si="9"/>
        <v>1525</v>
      </c>
    </row>
    <row r="18" spans="2:32" ht="23.1" customHeight="1" x14ac:dyDescent="0.25">
      <c r="B18" s="45" t="s">
        <v>45</v>
      </c>
      <c r="C18" s="50">
        <v>54</v>
      </c>
      <c r="D18" s="50">
        <v>15</v>
      </c>
      <c r="E18" s="50">
        <v>6</v>
      </c>
      <c r="F18" s="50">
        <v>50</v>
      </c>
      <c r="G18" s="50">
        <v>1</v>
      </c>
      <c r="H18" s="50">
        <v>0</v>
      </c>
      <c r="I18" s="50">
        <v>7</v>
      </c>
      <c r="J18" s="50">
        <v>0</v>
      </c>
      <c r="K18" s="50">
        <v>0</v>
      </c>
      <c r="L18" s="50">
        <v>0</v>
      </c>
      <c r="M18" s="50">
        <v>400</v>
      </c>
      <c r="N18" s="50">
        <v>0</v>
      </c>
      <c r="O18" s="15">
        <f t="shared" si="0"/>
        <v>133</v>
      </c>
      <c r="P18" s="15">
        <f t="shared" si="1"/>
        <v>533</v>
      </c>
      <c r="R18" s="1" t="s">
        <v>14</v>
      </c>
      <c r="S18" s="17">
        <f t="shared" ref="S18:AF18" si="10">SUM(C42:C45)</f>
        <v>198</v>
      </c>
      <c r="T18" s="17">
        <f t="shared" si="10"/>
        <v>57</v>
      </c>
      <c r="U18" s="17">
        <f t="shared" si="10"/>
        <v>32</v>
      </c>
      <c r="V18" s="17">
        <f t="shared" si="10"/>
        <v>129</v>
      </c>
      <c r="W18" s="17">
        <f t="shared" si="10"/>
        <v>5</v>
      </c>
      <c r="X18" s="17">
        <f t="shared" si="10"/>
        <v>1</v>
      </c>
      <c r="Y18" s="17">
        <f t="shared" si="10"/>
        <v>45</v>
      </c>
      <c r="Z18" s="17">
        <f t="shared" si="10"/>
        <v>2</v>
      </c>
      <c r="AA18" s="17">
        <f t="shared" si="10"/>
        <v>1</v>
      </c>
      <c r="AB18" s="17">
        <f t="shared" si="10"/>
        <v>1</v>
      </c>
      <c r="AC18" s="17">
        <f t="shared" si="10"/>
        <v>1040</v>
      </c>
      <c r="AD18" s="17">
        <f t="shared" si="10"/>
        <v>0</v>
      </c>
      <c r="AE18" s="31">
        <f t="shared" si="10"/>
        <v>471</v>
      </c>
      <c r="AF18" s="31">
        <f t="shared" si="10"/>
        <v>1511</v>
      </c>
    </row>
    <row r="19" spans="2:32" ht="23.1" customHeight="1" x14ac:dyDescent="0.25">
      <c r="B19" s="45" t="s">
        <v>46</v>
      </c>
      <c r="C19" s="50">
        <v>50</v>
      </c>
      <c r="D19" s="50">
        <v>15</v>
      </c>
      <c r="E19" s="50">
        <v>4</v>
      </c>
      <c r="F19" s="50">
        <v>35</v>
      </c>
      <c r="G19" s="50">
        <v>1</v>
      </c>
      <c r="H19" s="50">
        <v>0</v>
      </c>
      <c r="I19" s="50">
        <v>11</v>
      </c>
      <c r="J19" s="50">
        <v>1</v>
      </c>
      <c r="K19" s="50">
        <v>0</v>
      </c>
      <c r="L19" s="50">
        <v>0</v>
      </c>
      <c r="M19" s="50">
        <v>280</v>
      </c>
      <c r="N19" s="50">
        <v>0</v>
      </c>
      <c r="O19" s="15">
        <f t="shared" si="0"/>
        <v>117</v>
      </c>
      <c r="P19" s="15">
        <f t="shared" si="1"/>
        <v>397</v>
      </c>
      <c r="R19" s="1" t="s">
        <v>15</v>
      </c>
      <c r="S19" s="17">
        <f t="shared" ref="S19:AF19" si="11">SUM(C46:C49)</f>
        <v>219</v>
      </c>
      <c r="T19" s="17">
        <f t="shared" si="11"/>
        <v>37</v>
      </c>
      <c r="U19" s="17">
        <f t="shared" si="11"/>
        <v>20</v>
      </c>
      <c r="V19" s="17">
        <f t="shared" si="11"/>
        <v>115</v>
      </c>
      <c r="W19" s="17">
        <f t="shared" si="11"/>
        <v>4</v>
      </c>
      <c r="X19" s="17">
        <f t="shared" si="11"/>
        <v>0</v>
      </c>
      <c r="Y19" s="17">
        <f t="shared" si="11"/>
        <v>46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1050</v>
      </c>
      <c r="AD19" s="17">
        <f t="shared" si="11"/>
        <v>0</v>
      </c>
      <c r="AE19" s="31">
        <f t="shared" si="11"/>
        <v>442</v>
      </c>
      <c r="AF19" s="31">
        <f t="shared" si="11"/>
        <v>1492</v>
      </c>
    </row>
    <row r="20" spans="2:32" ht="23.1" customHeight="1" x14ac:dyDescent="0.25">
      <c r="B20" s="45" t="s">
        <v>47</v>
      </c>
      <c r="C20" s="50">
        <v>61</v>
      </c>
      <c r="D20" s="50">
        <v>11</v>
      </c>
      <c r="E20" s="50">
        <v>5</v>
      </c>
      <c r="F20" s="50">
        <v>43</v>
      </c>
      <c r="G20" s="50">
        <v>1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257</v>
      </c>
      <c r="N20" s="50">
        <v>0</v>
      </c>
      <c r="O20" s="15">
        <f t="shared" si="0"/>
        <v>126</v>
      </c>
      <c r="P20" s="15">
        <f t="shared" si="1"/>
        <v>383</v>
      </c>
      <c r="R20" s="1" t="s">
        <v>16</v>
      </c>
      <c r="S20" s="17">
        <f t="shared" ref="S20:AF20" si="12">SUM(C50:C53)</f>
        <v>219</v>
      </c>
      <c r="T20" s="17">
        <f t="shared" si="12"/>
        <v>63</v>
      </c>
      <c r="U20" s="17">
        <f t="shared" si="12"/>
        <v>23</v>
      </c>
      <c r="V20" s="17">
        <f t="shared" si="12"/>
        <v>152</v>
      </c>
      <c r="W20" s="17">
        <f t="shared" si="12"/>
        <v>6</v>
      </c>
      <c r="X20" s="17">
        <f t="shared" si="12"/>
        <v>0</v>
      </c>
      <c r="Y20" s="17">
        <f t="shared" si="12"/>
        <v>33</v>
      </c>
      <c r="Z20" s="17">
        <f t="shared" si="12"/>
        <v>5</v>
      </c>
      <c r="AA20" s="17">
        <f t="shared" si="12"/>
        <v>0</v>
      </c>
      <c r="AB20" s="17">
        <f t="shared" si="12"/>
        <v>0</v>
      </c>
      <c r="AC20" s="17">
        <f t="shared" si="12"/>
        <v>1180</v>
      </c>
      <c r="AD20" s="17">
        <f t="shared" si="12"/>
        <v>0</v>
      </c>
      <c r="AE20" s="31">
        <f t="shared" si="12"/>
        <v>501</v>
      </c>
      <c r="AF20" s="31">
        <f t="shared" si="12"/>
        <v>1681</v>
      </c>
    </row>
    <row r="21" spans="2:32" ht="23.1" customHeight="1" x14ac:dyDescent="0.25">
      <c r="B21" s="45" t="s">
        <v>48</v>
      </c>
      <c r="C21" s="50">
        <v>63</v>
      </c>
      <c r="D21" s="50">
        <v>6</v>
      </c>
      <c r="E21" s="50">
        <v>4</v>
      </c>
      <c r="F21" s="50">
        <v>31</v>
      </c>
      <c r="G21" s="50">
        <v>3</v>
      </c>
      <c r="H21" s="50">
        <v>1</v>
      </c>
      <c r="I21" s="50">
        <v>4</v>
      </c>
      <c r="J21" s="50">
        <v>1</v>
      </c>
      <c r="K21" s="50">
        <v>2</v>
      </c>
      <c r="L21" s="50">
        <v>0</v>
      </c>
      <c r="M21" s="50">
        <v>180</v>
      </c>
      <c r="N21" s="50">
        <v>0</v>
      </c>
      <c r="O21" s="15">
        <f t="shared" si="0"/>
        <v>115</v>
      </c>
      <c r="P21" s="15">
        <f t="shared" si="1"/>
        <v>295</v>
      </c>
      <c r="R21" s="36" t="s">
        <v>20</v>
      </c>
      <c r="S21" s="34">
        <f t="shared" ref="S21:AF21" si="13">SUM(C54:C57)</f>
        <v>203</v>
      </c>
      <c r="T21" s="17">
        <f t="shared" si="13"/>
        <v>38</v>
      </c>
      <c r="U21" s="17">
        <f t="shared" si="13"/>
        <v>35</v>
      </c>
      <c r="V21" s="17">
        <f t="shared" si="13"/>
        <v>171</v>
      </c>
      <c r="W21" s="17">
        <f t="shared" si="13"/>
        <v>3</v>
      </c>
      <c r="X21" s="17">
        <f t="shared" si="13"/>
        <v>0</v>
      </c>
      <c r="Y21" s="17">
        <f t="shared" si="13"/>
        <v>22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1075</v>
      </c>
      <c r="AD21" s="17">
        <f t="shared" si="13"/>
        <v>0</v>
      </c>
      <c r="AE21" s="31">
        <f t="shared" si="13"/>
        <v>473</v>
      </c>
      <c r="AF21" s="31">
        <f t="shared" si="13"/>
        <v>1548</v>
      </c>
    </row>
    <row r="22" spans="2:32" ht="23.1" customHeight="1" x14ac:dyDescent="0.25">
      <c r="B22" s="45" t="s">
        <v>49</v>
      </c>
      <c r="C22" s="50">
        <v>65</v>
      </c>
      <c r="D22" s="50">
        <v>16</v>
      </c>
      <c r="E22" s="50">
        <v>36</v>
      </c>
      <c r="F22" s="50">
        <v>0</v>
      </c>
      <c r="G22" s="50">
        <v>0</v>
      </c>
      <c r="H22" s="50">
        <v>10</v>
      </c>
      <c r="I22" s="50">
        <v>5</v>
      </c>
      <c r="J22" s="50">
        <v>2</v>
      </c>
      <c r="K22" s="50">
        <v>0</v>
      </c>
      <c r="L22" s="50">
        <v>0</v>
      </c>
      <c r="M22" s="50">
        <v>163</v>
      </c>
      <c r="N22" s="50">
        <v>0</v>
      </c>
      <c r="O22" s="15">
        <f t="shared" si="0"/>
        <v>134</v>
      </c>
      <c r="P22" s="15">
        <f t="shared" si="1"/>
        <v>297</v>
      </c>
      <c r="R22" s="36" t="s">
        <v>146</v>
      </c>
      <c r="S22" s="34">
        <f>SUM(C58:C61)</f>
        <v>353</v>
      </c>
      <c r="T22" s="34">
        <f t="shared" ref="T22:AF22" si="14">SUM(D58:D61)</f>
        <v>17</v>
      </c>
      <c r="U22" s="34">
        <f t="shared" si="14"/>
        <v>8</v>
      </c>
      <c r="V22" s="34">
        <f t="shared" si="14"/>
        <v>42</v>
      </c>
      <c r="W22" s="34">
        <f t="shared" si="14"/>
        <v>10</v>
      </c>
      <c r="X22" s="34">
        <f t="shared" si="14"/>
        <v>7</v>
      </c>
      <c r="Y22" s="34">
        <f t="shared" si="14"/>
        <v>20</v>
      </c>
      <c r="Z22" s="34">
        <f t="shared" si="14"/>
        <v>2</v>
      </c>
      <c r="AA22" s="34">
        <f t="shared" si="14"/>
        <v>3</v>
      </c>
      <c r="AB22" s="34">
        <f t="shared" si="14"/>
        <v>2</v>
      </c>
      <c r="AC22" s="34">
        <f t="shared" si="14"/>
        <v>725</v>
      </c>
      <c r="AD22" s="34">
        <f t="shared" si="14"/>
        <v>0</v>
      </c>
      <c r="AE22" s="31">
        <f t="shared" si="14"/>
        <v>464</v>
      </c>
      <c r="AF22" s="31">
        <f t="shared" si="14"/>
        <v>1189</v>
      </c>
    </row>
    <row r="23" spans="2:32" ht="23.1" customHeight="1" x14ac:dyDescent="0.25">
      <c r="B23" s="45" t="s">
        <v>50</v>
      </c>
      <c r="C23" s="50">
        <v>41</v>
      </c>
      <c r="D23" s="50">
        <v>16</v>
      </c>
      <c r="E23" s="50">
        <v>9</v>
      </c>
      <c r="F23" s="50">
        <v>47</v>
      </c>
      <c r="G23" s="50">
        <v>2</v>
      </c>
      <c r="H23" s="50">
        <v>0</v>
      </c>
      <c r="I23" s="50">
        <v>6</v>
      </c>
      <c r="J23" s="50">
        <v>3</v>
      </c>
      <c r="K23" s="50">
        <v>0</v>
      </c>
      <c r="L23" s="50">
        <v>0</v>
      </c>
      <c r="M23" s="50">
        <v>72</v>
      </c>
      <c r="N23" s="50">
        <v>0</v>
      </c>
      <c r="O23" s="15">
        <f t="shared" si="0"/>
        <v>124</v>
      </c>
      <c r="P23" s="15">
        <f t="shared" si="1"/>
        <v>196</v>
      </c>
      <c r="R23" s="36" t="s">
        <v>147</v>
      </c>
      <c r="S23" s="34">
        <f>SUM(C62:C65)</f>
        <v>455</v>
      </c>
      <c r="T23" s="34">
        <f t="shared" ref="T23:AF23" si="15">SUM(D62:D65)</f>
        <v>15</v>
      </c>
      <c r="U23" s="34">
        <f t="shared" si="15"/>
        <v>11</v>
      </c>
      <c r="V23" s="34">
        <f t="shared" si="15"/>
        <v>248</v>
      </c>
      <c r="W23" s="34">
        <f t="shared" si="15"/>
        <v>12</v>
      </c>
      <c r="X23" s="34">
        <f t="shared" si="15"/>
        <v>3</v>
      </c>
      <c r="Y23" s="34">
        <f t="shared" si="15"/>
        <v>17</v>
      </c>
      <c r="Z23" s="34">
        <f t="shared" si="15"/>
        <v>10</v>
      </c>
      <c r="AA23" s="34">
        <f t="shared" si="15"/>
        <v>1</v>
      </c>
      <c r="AB23" s="34">
        <f t="shared" si="15"/>
        <v>3</v>
      </c>
      <c r="AC23" s="34">
        <f t="shared" si="15"/>
        <v>320</v>
      </c>
      <c r="AD23" s="34">
        <f t="shared" si="15"/>
        <v>0</v>
      </c>
      <c r="AE23" s="31">
        <f t="shared" si="15"/>
        <v>775</v>
      </c>
      <c r="AF23" s="31">
        <f t="shared" si="15"/>
        <v>1095</v>
      </c>
    </row>
    <row r="24" spans="2:32" ht="23.1" customHeight="1" x14ac:dyDescent="0.25">
      <c r="B24" s="45" t="s">
        <v>51</v>
      </c>
      <c r="C24" s="50">
        <v>47</v>
      </c>
      <c r="D24" s="50">
        <v>11</v>
      </c>
      <c r="E24" s="50">
        <v>9</v>
      </c>
      <c r="F24" s="50">
        <v>47</v>
      </c>
      <c r="G24" s="50">
        <v>2</v>
      </c>
      <c r="H24" s="50">
        <v>0</v>
      </c>
      <c r="I24" s="50">
        <v>6</v>
      </c>
      <c r="J24" s="50">
        <v>2</v>
      </c>
      <c r="K24" s="50">
        <v>0</v>
      </c>
      <c r="L24" s="50">
        <v>1</v>
      </c>
      <c r="M24" s="50">
        <v>165</v>
      </c>
      <c r="N24" s="50">
        <v>0</v>
      </c>
      <c r="O24" s="15">
        <f t="shared" si="0"/>
        <v>125</v>
      </c>
      <c r="P24" s="15">
        <f t="shared" si="1"/>
        <v>290</v>
      </c>
      <c r="R24" s="36" t="s">
        <v>148</v>
      </c>
      <c r="S24" s="34">
        <f>SUM(C66:C69)</f>
        <v>71</v>
      </c>
      <c r="T24" s="34">
        <f t="shared" ref="T24:AF24" si="16">SUM(D66:D69)</f>
        <v>25</v>
      </c>
      <c r="U24" s="34">
        <f t="shared" si="16"/>
        <v>20</v>
      </c>
      <c r="V24" s="34">
        <f t="shared" si="16"/>
        <v>93</v>
      </c>
      <c r="W24" s="34">
        <f t="shared" si="16"/>
        <v>2</v>
      </c>
      <c r="X24" s="34">
        <f t="shared" si="16"/>
        <v>1</v>
      </c>
      <c r="Y24" s="34">
        <f t="shared" si="16"/>
        <v>21</v>
      </c>
      <c r="Z24" s="34">
        <f t="shared" si="16"/>
        <v>6</v>
      </c>
      <c r="AA24" s="34">
        <f t="shared" si="16"/>
        <v>9</v>
      </c>
      <c r="AB24" s="34">
        <f t="shared" si="16"/>
        <v>2</v>
      </c>
      <c r="AC24" s="34">
        <f t="shared" si="16"/>
        <v>358</v>
      </c>
      <c r="AD24" s="34">
        <f t="shared" si="16"/>
        <v>0</v>
      </c>
      <c r="AE24" s="31">
        <f t="shared" si="16"/>
        <v>250</v>
      </c>
      <c r="AF24" s="31">
        <f t="shared" si="16"/>
        <v>608</v>
      </c>
    </row>
    <row r="25" spans="2:32" ht="23.1" customHeight="1" x14ac:dyDescent="0.25">
      <c r="B25" s="45" t="s">
        <v>52</v>
      </c>
      <c r="C25" s="50">
        <v>50</v>
      </c>
      <c r="D25" s="50">
        <v>20</v>
      </c>
      <c r="E25" s="50">
        <v>10</v>
      </c>
      <c r="F25" s="50">
        <v>45</v>
      </c>
      <c r="G25" s="50">
        <v>3</v>
      </c>
      <c r="H25" s="50">
        <v>0</v>
      </c>
      <c r="I25" s="50">
        <v>12</v>
      </c>
      <c r="J25" s="50">
        <v>5</v>
      </c>
      <c r="K25" s="50">
        <v>1</v>
      </c>
      <c r="L25" s="50">
        <v>2</v>
      </c>
      <c r="M25" s="50">
        <v>215</v>
      </c>
      <c r="N25" s="50">
        <v>0</v>
      </c>
      <c r="O25" s="15">
        <f t="shared" si="0"/>
        <v>148</v>
      </c>
      <c r="P25" s="15">
        <f t="shared" si="1"/>
        <v>363</v>
      </c>
      <c r="R25" s="36" t="s">
        <v>149</v>
      </c>
      <c r="S25" s="34">
        <f>SUM(C70:C73)</f>
        <v>140</v>
      </c>
      <c r="T25" s="34">
        <f t="shared" ref="T25:AF25" si="17">SUM(D70:D73)</f>
        <v>22</v>
      </c>
      <c r="U25" s="34">
        <f t="shared" si="17"/>
        <v>35</v>
      </c>
      <c r="V25" s="34">
        <f t="shared" si="17"/>
        <v>120</v>
      </c>
      <c r="W25" s="34">
        <f t="shared" si="17"/>
        <v>10</v>
      </c>
      <c r="X25" s="34">
        <f t="shared" si="17"/>
        <v>4</v>
      </c>
      <c r="Y25" s="34">
        <f t="shared" si="17"/>
        <v>22</v>
      </c>
      <c r="Z25" s="34">
        <f t="shared" si="17"/>
        <v>33</v>
      </c>
      <c r="AA25" s="34">
        <f t="shared" si="17"/>
        <v>11</v>
      </c>
      <c r="AB25" s="34">
        <f t="shared" si="17"/>
        <v>3</v>
      </c>
      <c r="AC25" s="34">
        <f t="shared" si="17"/>
        <v>310</v>
      </c>
      <c r="AD25" s="34">
        <f t="shared" si="17"/>
        <v>0</v>
      </c>
      <c r="AE25" s="31">
        <f t="shared" si="17"/>
        <v>400</v>
      </c>
      <c r="AF25" s="31">
        <f t="shared" si="17"/>
        <v>710</v>
      </c>
    </row>
    <row r="26" spans="2:32" ht="23.1" customHeight="1" x14ac:dyDescent="0.25">
      <c r="B26" s="45" t="s">
        <v>53</v>
      </c>
      <c r="C26" s="50">
        <v>58</v>
      </c>
      <c r="D26" s="50">
        <v>13</v>
      </c>
      <c r="E26" s="50">
        <v>6</v>
      </c>
      <c r="F26" s="50">
        <v>50</v>
      </c>
      <c r="G26" s="50">
        <v>0</v>
      </c>
      <c r="H26" s="50">
        <v>1</v>
      </c>
      <c r="I26" s="50">
        <v>10</v>
      </c>
      <c r="J26" s="50">
        <v>0</v>
      </c>
      <c r="K26" s="50">
        <v>0</v>
      </c>
      <c r="L26" s="50">
        <v>1</v>
      </c>
      <c r="M26" s="50">
        <v>164</v>
      </c>
      <c r="N26" s="50">
        <v>0</v>
      </c>
      <c r="O26" s="15">
        <f t="shared" si="0"/>
        <v>139</v>
      </c>
      <c r="P26" s="15">
        <f t="shared" si="1"/>
        <v>303</v>
      </c>
      <c r="R26" s="36" t="s">
        <v>150</v>
      </c>
      <c r="S26" s="34">
        <f>SUM(C74:C77)</f>
        <v>110</v>
      </c>
      <c r="T26" s="34">
        <f t="shared" ref="T26:AF26" si="18">SUM(D74:D77)</f>
        <v>9</v>
      </c>
      <c r="U26" s="34">
        <f t="shared" si="18"/>
        <v>11</v>
      </c>
      <c r="V26" s="34">
        <f t="shared" si="18"/>
        <v>50</v>
      </c>
      <c r="W26" s="34">
        <f t="shared" si="18"/>
        <v>0</v>
      </c>
      <c r="X26" s="34">
        <f t="shared" si="18"/>
        <v>3</v>
      </c>
      <c r="Y26" s="34">
        <f t="shared" si="18"/>
        <v>23</v>
      </c>
      <c r="Z26" s="34">
        <f t="shared" si="18"/>
        <v>11</v>
      </c>
      <c r="AA26" s="34">
        <f t="shared" si="18"/>
        <v>0</v>
      </c>
      <c r="AB26" s="34">
        <f t="shared" si="18"/>
        <v>1</v>
      </c>
      <c r="AC26" s="34">
        <f t="shared" si="18"/>
        <v>150</v>
      </c>
      <c r="AD26" s="34">
        <f t="shared" si="18"/>
        <v>0</v>
      </c>
      <c r="AE26" s="31">
        <f t="shared" si="18"/>
        <v>218</v>
      </c>
      <c r="AF26" s="31">
        <f t="shared" si="18"/>
        <v>368</v>
      </c>
    </row>
    <row r="27" spans="2:32" ht="23.1" customHeight="1" x14ac:dyDescent="0.25">
      <c r="B27" s="45" t="s">
        <v>54</v>
      </c>
      <c r="C27" s="50">
        <v>70</v>
      </c>
      <c r="D27" s="50">
        <v>14</v>
      </c>
      <c r="E27" s="50">
        <v>7</v>
      </c>
      <c r="F27" s="50">
        <v>65</v>
      </c>
      <c r="G27" s="50">
        <v>0</v>
      </c>
      <c r="H27" s="50">
        <v>0</v>
      </c>
      <c r="I27" s="50">
        <v>10</v>
      </c>
      <c r="J27" s="50">
        <v>0</v>
      </c>
      <c r="K27" s="50">
        <v>1</v>
      </c>
      <c r="L27" s="50">
        <v>0</v>
      </c>
      <c r="M27" s="50">
        <v>205</v>
      </c>
      <c r="N27" s="50">
        <v>0</v>
      </c>
      <c r="O27" s="15">
        <f t="shared" si="0"/>
        <v>167</v>
      </c>
      <c r="P27" s="15">
        <f t="shared" si="1"/>
        <v>372</v>
      </c>
      <c r="R27" s="36" t="s">
        <v>151</v>
      </c>
      <c r="S27" s="34">
        <f>SUM(C78:C81)</f>
        <v>60</v>
      </c>
      <c r="T27" s="34">
        <f t="shared" ref="T27:AF27" si="19">SUM(D78:D81)</f>
        <v>6</v>
      </c>
      <c r="U27" s="34">
        <f t="shared" si="19"/>
        <v>5</v>
      </c>
      <c r="V27" s="34">
        <f t="shared" si="19"/>
        <v>27</v>
      </c>
      <c r="W27" s="34">
        <f t="shared" si="19"/>
        <v>0</v>
      </c>
      <c r="X27" s="34">
        <f t="shared" si="19"/>
        <v>0</v>
      </c>
      <c r="Y27" s="34">
        <f t="shared" si="19"/>
        <v>7</v>
      </c>
      <c r="Z27" s="34">
        <f t="shared" si="19"/>
        <v>4</v>
      </c>
      <c r="AA27" s="34">
        <f t="shared" si="19"/>
        <v>0</v>
      </c>
      <c r="AB27" s="34">
        <f t="shared" si="19"/>
        <v>1</v>
      </c>
      <c r="AC27" s="34">
        <f t="shared" si="19"/>
        <v>112</v>
      </c>
      <c r="AD27" s="34">
        <f t="shared" si="19"/>
        <v>0</v>
      </c>
      <c r="AE27" s="31">
        <f t="shared" si="19"/>
        <v>110</v>
      </c>
      <c r="AF27" s="31">
        <f t="shared" si="19"/>
        <v>222</v>
      </c>
    </row>
    <row r="28" spans="2:32" ht="23.1" customHeight="1" x14ac:dyDescent="0.25">
      <c r="B28" s="45" t="s">
        <v>55</v>
      </c>
      <c r="C28" s="50">
        <v>57</v>
      </c>
      <c r="D28" s="50">
        <v>16</v>
      </c>
      <c r="E28" s="50">
        <v>3</v>
      </c>
      <c r="F28" s="50">
        <v>33</v>
      </c>
      <c r="G28" s="50">
        <v>1</v>
      </c>
      <c r="H28" s="50">
        <v>1</v>
      </c>
      <c r="I28" s="50">
        <v>11</v>
      </c>
      <c r="J28" s="50">
        <v>1</v>
      </c>
      <c r="K28" s="50">
        <v>0</v>
      </c>
      <c r="L28" s="50">
        <v>1</v>
      </c>
      <c r="M28" s="50">
        <v>245</v>
      </c>
      <c r="N28" s="50">
        <v>0</v>
      </c>
      <c r="O28" s="15">
        <f t="shared" si="0"/>
        <v>124</v>
      </c>
      <c r="P28" s="15">
        <f t="shared" si="1"/>
        <v>369</v>
      </c>
      <c r="R28" s="36" t="s">
        <v>152</v>
      </c>
      <c r="S28" s="34">
        <f>SUM(C82:C85)</f>
        <v>29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4</v>
      </c>
      <c r="AA28" s="34">
        <f t="shared" si="20"/>
        <v>0</v>
      </c>
      <c r="AB28" s="34">
        <f t="shared" si="20"/>
        <v>1</v>
      </c>
      <c r="AC28" s="34">
        <f t="shared" si="20"/>
        <v>132</v>
      </c>
      <c r="AD28" s="34">
        <f t="shared" si="20"/>
        <v>0</v>
      </c>
      <c r="AE28" s="31">
        <f t="shared" si="20"/>
        <v>47</v>
      </c>
      <c r="AF28" s="31">
        <f t="shared" si="20"/>
        <v>179</v>
      </c>
    </row>
    <row r="29" spans="2:32" ht="23.1" customHeight="1" x14ac:dyDescent="0.25">
      <c r="B29" s="45" t="s">
        <v>56</v>
      </c>
      <c r="C29" s="50">
        <v>36</v>
      </c>
      <c r="D29" s="50">
        <v>15</v>
      </c>
      <c r="E29" s="50">
        <v>4</v>
      </c>
      <c r="F29" s="50">
        <v>71</v>
      </c>
      <c r="G29" s="50">
        <v>2</v>
      </c>
      <c r="H29" s="50">
        <v>1</v>
      </c>
      <c r="I29" s="50">
        <v>4</v>
      </c>
      <c r="J29" s="50">
        <v>1</v>
      </c>
      <c r="K29" s="50">
        <v>1</v>
      </c>
      <c r="L29" s="50">
        <v>0</v>
      </c>
      <c r="M29" s="50">
        <v>215</v>
      </c>
      <c r="N29" s="50">
        <v>0</v>
      </c>
      <c r="O29" s="15">
        <f t="shared" si="0"/>
        <v>135</v>
      </c>
      <c r="P29" s="15">
        <f t="shared" si="1"/>
        <v>350</v>
      </c>
      <c r="R29" s="36" t="s">
        <v>153</v>
      </c>
      <c r="S29" s="34">
        <f>SUM(C86:C89)</f>
        <v>30</v>
      </c>
      <c r="T29" s="34">
        <f t="shared" ref="T29:AF29" si="21">SUM(D86:D89)</f>
        <v>1</v>
      </c>
      <c r="U29" s="34">
        <f t="shared" si="21"/>
        <v>3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87</v>
      </c>
      <c r="AD29" s="34">
        <f t="shared" si="21"/>
        <v>0</v>
      </c>
      <c r="AE29" s="31">
        <f t="shared" si="21"/>
        <v>39</v>
      </c>
      <c r="AF29" s="31">
        <f t="shared" si="21"/>
        <v>126</v>
      </c>
    </row>
    <row r="30" spans="2:32" ht="23.1" customHeight="1" x14ac:dyDescent="0.25">
      <c r="B30" s="45" t="s">
        <v>57</v>
      </c>
      <c r="C30" s="50">
        <v>47</v>
      </c>
      <c r="D30" s="50">
        <v>13</v>
      </c>
      <c r="E30" s="50">
        <v>7</v>
      </c>
      <c r="F30" s="50">
        <v>43</v>
      </c>
      <c r="G30" s="50">
        <v>0</v>
      </c>
      <c r="H30" s="50">
        <v>0</v>
      </c>
      <c r="I30" s="50">
        <v>9</v>
      </c>
      <c r="J30" s="50">
        <v>1</v>
      </c>
      <c r="K30" s="50">
        <v>1</v>
      </c>
      <c r="L30" s="50">
        <v>0</v>
      </c>
      <c r="M30" s="50">
        <v>190</v>
      </c>
      <c r="N30" s="50">
        <v>0</v>
      </c>
      <c r="O30" s="15">
        <f t="shared" si="0"/>
        <v>121</v>
      </c>
      <c r="P30" s="15">
        <f t="shared" si="1"/>
        <v>311</v>
      </c>
      <c r="R30" s="36" t="s">
        <v>154</v>
      </c>
      <c r="S30" s="34">
        <f>SUM(C90:C93)</f>
        <v>30</v>
      </c>
      <c r="T30" s="34">
        <f t="shared" ref="T30:AF30" si="22">SUM(D90:D93)</f>
        <v>1</v>
      </c>
      <c r="U30" s="34">
        <f t="shared" si="22"/>
        <v>2</v>
      </c>
      <c r="V30" s="34">
        <f t="shared" si="22"/>
        <v>13</v>
      </c>
      <c r="W30" s="34">
        <f t="shared" si="22"/>
        <v>2</v>
      </c>
      <c r="X30" s="34">
        <f t="shared" si="22"/>
        <v>1</v>
      </c>
      <c r="Y30" s="34">
        <f t="shared" si="22"/>
        <v>1</v>
      </c>
      <c r="Z30" s="34">
        <f t="shared" si="22"/>
        <v>2</v>
      </c>
      <c r="AA30" s="34">
        <f t="shared" si="22"/>
        <v>1</v>
      </c>
      <c r="AB30" s="34">
        <f t="shared" si="22"/>
        <v>0</v>
      </c>
      <c r="AC30" s="34">
        <f t="shared" si="22"/>
        <v>69</v>
      </c>
      <c r="AD30" s="34">
        <f t="shared" si="22"/>
        <v>0</v>
      </c>
      <c r="AE30" s="31">
        <f t="shared" si="22"/>
        <v>53</v>
      </c>
      <c r="AF30" s="31">
        <f t="shared" si="22"/>
        <v>122</v>
      </c>
    </row>
    <row r="31" spans="2:32" ht="23.1" customHeight="1" x14ac:dyDescent="0.25">
      <c r="B31" s="46" t="s">
        <v>58</v>
      </c>
      <c r="C31" s="50">
        <v>69</v>
      </c>
      <c r="D31" s="50">
        <v>24</v>
      </c>
      <c r="E31" s="50">
        <v>8</v>
      </c>
      <c r="F31" s="50">
        <v>49</v>
      </c>
      <c r="G31" s="50">
        <v>5</v>
      </c>
      <c r="H31" s="50">
        <v>0</v>
      </c>
      <c r="I31" s="50">
        <v>35</v>
      </c>
      <c r="J31" s="50">
        <v>2</v>
      </c>
      <c r="K31" s="50">
        <v>0</v>
      </c>
      <c r="L31" s="50">
        <v>2</v>
      </c>
      <c r="M31" s="50">
        <v>210</v>
      </c>
      <c r="N31" s="50">
        <v>0</v>
      </c>
      <c r="O31" s="15">
        <f t="shared" si="0"/>
        <v>194</v>
      </c>
      <c r="P31" s="15">
        <f t="shared" si="1"/>
        <v>404</v>
      </c>
      <c r="R31" s="36" t="s">
        <v>155</v>
      </c>
      <c r="S31" s="34">
        <f>SUM(C94:C97)</f>
        <v>30</v>
      </c>
      <c r="T31" s="34">
        <f t="shared" ref="T31:AF31" si="23">SUM(D94:D97)</f>
        <v>2</v>
      </c>
      <c r="U31" s="34">
        <f t="shared" si="23"/>
        <v>4</v>
      </c>
      <c r="V31" s="34">
        <f t="shared" si="23"/>
        <v>38</v>
      </c>
      <c r="W31" s="34">
        <f t="shared" si="23"/>
        <v>2</v>
      </c>
      <c r="X31" s="34">
        <f t="shared" si="23"/>
        <v>1</v>
      </c>
      <c r="Y31" s="34">
        <f t="shared" si="23"/>
        <v>6</v>
      </c>
      <c r="Z31" s="34">
        <f t="shared" si="23"/>
        <v>10</v>
      </c>
      <c r="AA31" s="34">
        <f t="shared" si="23"/>
        <v>3</v>
      </c>
      <c r="AB31" s="34">
        <f t="shared" si="23"/>
        <v>0</v>
      </c>
      <c r="AC31" s="34">
        <f t="shared" si="23"/>
        <v>61</v>
      </c>
      <c r="AD31" s="34">
        <f t="shared" si="23"/>
        <v>0</v>
      </c>
      <c r="AE31" s="31">
        <f t="shared" si="23"/>
        <v>96</v>
      </c>
      <c r="AF31" s="31">
        <f t="shared" si="23"/>
        <v>157</v>
      </c>
    </row>
    <row r="32" spans="2:32" ht="23.1" customHeight="1" x14ac:dyDescent="0.25">
      <c r="B32" s="46" t="s">
        <v>59</v>
      </c>
      <c r="C32" s="50">
        <v>60</v>
      </c>
      <c r="D32" s="50">
        <v>30</v>
      </c>
      <c r="E32" s="50">
        <v>4</v>
      </c>
      <c r="F32" s="50">
        <v>65</v>
      </c>
      <c r="G32" s="50">
        <v>3</v>
      </c>
      <c r="H32" s="50">
        <v>2</v>
      </c>
      <c r="I32" s="50">
        <v>18</v>
      </c>
      <c r="J32" s="50">
        <v>0</v>
      </c>
      <c r="K32" s="50">
        <v>3</v>
      </c>
      <c r="L32" s="50">
        <v>0</v>
      </c>
      <c r="M32" s="50">
        <v>165</v>
      </c>
      <c r="N32" s="50">
        <v>0</v>
      </c>
      <c r="O32" s="15">
        <f t="shared" si="0"/>
        <v>185</v>
      </c>
      <c r="P32" s="15">
        <f t="shared" si="1"/>
        <v>350</v>
      </c>
      <c r="R32" s="33" t="s">
        <v>156</v>
      </c>
      <c r="S32" s="34">
        <f>SUM(C98:C101)</f>
        <v>63</v>
      </c>
      <c r="T32" s="34">
        <f t="shared" ref="T32:AF32" si="24">SUM(D98:D101)</f>
        <v>3</v>
      </c>
      <c r="U32" s="34">
        <f t="shared" si="24"/>
        <v>2</v>
      </c>
      <c r="V32" s="34">
        <f t="shared" si="24"/>
        <v>96</v>
      </c>
      <c r="W32" s="34">
        <f t="shared" si="24"/>
        <v>1</v>
      </c>
      <c r="X32" s="34">
        <f t="shared" si="24"/>
        <v>0</v>
      </c>
      <c r="Y32" s="34">
        <f t="shared" si="24"/>
        <v>9</v>
      </c>
      <c r="Z32" s="34">
        <f t="shared" si="24"/>
        <v>4</v>
      </c>
      <c r="AA32" s="34">
        <f t="shared" si="24"/>
        <v>6</v>
      </c>
      <c r="AB32" s="34">
        <f t="shared" si="24"/>
        <v>1</v>
      </c>
      <c r="AC32" s="34">
        <f t="shared" si="24"/>
        <v>137</v>
      </c>
      <c r="AD32" s="34">
        <f t="shared" si="24"/>
        <v>1</v>
      </c>
      <c r="AE32" s="31">
        <f t="shared" si="24"/>
        <v>186</v>
      </c>
      <c r="AF32" s="31">
        <f t="shared" si="24"/>
        <v>323</v>
      </c>
    </row>
    <row r="33" spans="2:32" ht="23.1" customHeight="1" x14ac:dyDescent="0.25">
      <c r="B33" s="45" t="s">
        <v>60</v>
      </c>
      <c r="C33" s="50">
        <v>54</v>
      </c>
      <c r="D33" s="50">
        <v>14</v>
      </c>
      <c r="E33" s="50">
        <v>15</v>
      </c>
      <c r="F33" s="50">
        <v>32</v>
      </c>
      <c r="G33" s="50">
        <v>10</v>
      </c>
      <c r="H33" s="50">
        <v>3</v>
      </c>
      <c r="I33" s="50">
        <v>25</v>
      </c>
      <c r="J33" s="50">
        <v>1</v>
      </c>
      <c r="K33" s="50">
        <v>4</v>
      </c>
      <c r="L33" s="50">
        <v>0</v>
      </c>
      <c r="M33" s="50">
        <v>215</v>
      </c>
      <c r="N33" s="50">
        <v>0</v>
      </c>
      <c r="O33" s="15">
        <f t="shared" si="0"/>
        <v>158</v>
      </c>
      <c r="P33" s="15">
        <f t="shared" si="1"/>
        <v>373</v>
      </c>
      <c r="R33" s="33" t="s">
        <v>157</v>
      </c>
      <c r="S33" s="34">
        <f>SUM(C102:C105)</f>
        <v>85</v>
      </c>
      <c r="T33" s="34">
        <f t="shared" ref="T33:AF33" si="25">SUM(D102:D105)</f>
        <v>5</v>
      </c>
      <c r="U33" s="34">
        <f t="shared" si="25"/>
        <v>8</v>
      </c>
      <c r="V33" s="34">
        <f t="shared" si="25"/>
        <v>226</v>
      </c>
      <c r="W33" s="34">
        <f t="shared" si="25"/>
        <v>5</v>
      </c>
      <c r="X33" s="34">
        <f t="shared" si="25"/>
        <v>1</v>
      </c>
      <c r="Y33" s="34">
        <f t="shared" si="25"/>
        <v>22</v>
      </c>
      <c r="Z33" s="34">
        <f t="shared" si="25"/>
        <v>13</v>
      </c>
      <c r="AA33" s="34">
        <f t="shared" si="25"/>
        <v>8</v>
      </c>
      <c r="AB33" s="34">
        <f t="shared" si="25"/>
        <v>2</v>
      </c>
      <c r="AC33" s="34">
        <f t="shared" si="25"/>
        <v>384</v>
      </c>
      <c r="AD33" s="34">
        <f t="shared" si="25"/>
        <v>0</v>
      </c>
      <c r="AE33" s="31">
        <f t="shared" si="25"/>
        <v>375</v>
      </c>
      <c r="AF33" s="31">
        <f t="shared" si="25"/>
        <v>759</v>
      </c>
    </row>
    <row r="34" spans="2:32" ht="23.1" customHeight="1" x14ac:dyDescent="0.25">
      <c r="B34" s="46" t="s">
        <v>61</v>
      </c>
      <c r="C34" s="50">
        <v>75</v>
      </c>
      <c r="D34" s="50">
        <v>35</v>
      </c>
      <c r="E34" s="50">
        <v>4</v>
      </c>
      <c r="F34" s="50">
        <v>47</v>
      </c>
      <c r="G34" s="50">
        <v>4</v>
      </c>
      <c r="H34" s="50">
        <v>2</v>
      </c>
      <c r="I34" s="50">
        <v>24</v>
      </c>
      <c r="J34" s="50">
        <v>2</v>
      </c>
      <c r="K34" s="50">
        <v>0</v>
      </c>
      <c r="L34" s="50">
        <v>2</v>
      </c>
      <c r="M34" s="50">
        <v>225</v>
      </c>
      <c r="N34" s="50">
        <v>0</v>
      </c>
      <c r="O34" s="15">
        <f t="shared" si="0"/>
        <v>195</v>
      </c>
      <c r="P34" s="15">
        <f t="shared" si="1"/>
        <v>420</v>
      </c>
      <c r="R34" s="38" t="s">
        <v>90</v>
      </c>
      <c r="S34" s="39">
        <f t="shared" ref="S34:AF34" si="26">MAX(S10:S12)</f>
        <v>281</v>
      </c>
      <c r="T34" s="39">
        <f t="shared" si="26"/>
        <v>54</v>
      </c>
      <c r="U34" s="39">
        <f t="shared" si="26"/>
        <v>36</v>
      </c>
      <c r="V34" s="39">
        <f t="shared" si="26"/>
        <v>159</v>
      </c>
      <c r="W34" s="39">
        <f t="shared" si="26"/>
        <v>6</v>
      </c>
      <c r="X34" s="39">
        <f t="shared" si="26"/>
        <v>1</v>
      </c>
      <c r="Y34" s="39">
        <f t="shared" si="26"/>
        <v>25</v>
      </c>
      <c r="Z34" s="39">
        <f t="shared" si="26"/>
        <v>4</v>
      </c>
      <c r="AA34" s="39">
        <f t="shared" si="26"/>
        <v>3</v>
      </c>
      <c r="AB34" s="39">
        <f t="shared" si="26"/>
        <v>0</v>
      </c>
      <c r="AC34" s="39">
        <f t="shared" si="26"/>
        <v>1430</v>
      </c>
      <c r="AD34" s="39">
        <f t="shared" si="26"/>
        <v>0</v>
      </c>
      <c r="AE34" s="40">
        <f t="shared" si="26"/>
        <v>552</v>
      </c>
      <c r="AF34" s="40">
        <f t="shared" si="26"/>
        <v>1862</v>
      </c>
    </row>
    <row r="35" spans="2:32" ht="23.1" customHeight="1" x14ac:dyDescent="0.25">
      <c r="B35" s="46" t="s">
        <v>62</v>
      </c>
      <c r="C35" s="50">
        <v>85</v>
      </c>
      <c r="D35" s="50">
        <v>60</v>
      </c>
      <c r="E35" s="50">
        <v>15</v>
      </c>
      <c r="F35" s="50">
        <v>34</v>
      </c>
      <c r="G35" s="50">
        <v>1</v>
      </c>
      <c r="H35" s="50">
        <v>0</v>
      </c>
      <c r="I35" s="50">
        <v>17</v>
      </c>
      <c r="J35" s="50">
        <v>5</v>
      </c>
      <c r="K35" s="50">
        <v>3</v>
      </c>
      <c r="L35" s="50">
        <v>1</v>
      </c>
      <c r="M35" s="50">
        <v>240</v>
      </c>
      <c r="N35" s="50">
        <v>0</v>
      </c>
      <c r="O35" s="15">
        <f t="shared" si="0"/>
        <v>221</v>
      </c>
      <c r="P35" s="15">
        <f t="shared" si="1"/>
        <v>461</v>
      </c>
      <c r="R35" s="38" t="s">
        <v>91</v>
      </c>
      <c r="S35" s="39">
        <f t="shared" ref="S35:AF35" si="27">MAX(S13:S18)</f>
        <v>299</v>
      </c>
      <c r="T35" s="39">
        <f t="shared" si="27"/>
        <v>138</v>
      </c>
      <c r="U35" s="39">
        <f t="shared" si="27"/>
        <v>64</v>
      </c>
      <c r="V35" s="39">
        <f t="shared" si="27"/>
        <v>219</v>
      </c>
      <c r="W35" s="39">
        <f t="shared" si="27"/>
        <v>18</v>
      </c>
      <c r="X35" s="39">
        <f t="shared" si="27"/>
        <v>10</v>
      </c>
      <c r="Y35" s="39">
        <f t="shared" si="27"/>
        <v>87</v>
      </c>
      <c r="Z35" s="39">
        <f t="shared" si="27"/>
        <v>12</v>
      </c>
      <c r="AA35" s="39">
        <f t="shared" si="27"/>
        <v>8</v>
      </c>
      <c r="AB35" s="39">
        <f t="shared" si="27"/>
        <v>3</v>
      </c>
      <c r="AC35" s="39">
        <f t="shared" si="27"/>
        <v>1040</v>
      </c>
      <c r="AD35" s="39">
        <f t="shared" si="27"/>
        <v>0</v>
      </c>
      <c r="AE35" s="40">
        <f t="shared" si="27"/>
        <v>782</v>
      </c>
      <c r="AF35" s="40">
        <f t="shared" si="27"/>
        <v>1677</v>
      </c>
    </row>
    <row r="36" spans="2:32" ht="23.1" customHeight="1" x14ac:dyDescent="0.25">
      <c r="B36" s="46" t="s">
        <v>63</v>
      </c>
      <c r="C36" s="50">
        <v>70</v>
      </c>
      <c r="D36" s="50">
        <v>25</v>
      </c>
      <c r="E36" s="50">
        <v>25</v>
      </c>
      <c r="F36" s="50">
        <v>60</v>
      </c>
      <c r="G36" s="50">
        <v>0</v>
      </c>
      <c r="H36" s="50">
        <v>0</v>
      </c>
      <c r="I36" s="50">
        <v>12</v>
      </c>
      <c r="J36" s="50">
        <v>0</v>
      </c>
      <c r="K36" s="50">
        <v>4</v>
      </c>
      <c r="L36" s="50">
        <v>0</v>
      </c>
      <c r="M36" s="50">
        <v>235</v>
      </c>
      <c r="N36" s="50">
        <v>0</v>
      </c>
      <c r="O36" s="15">
        <f t="shared" si="0"/>
        <v>196</v>
      </c>
      <c r="P36" s="15">
        <f t="shared" si="1"/>
        <v>431</v>
      </c>
      <c r="R36" s="38" t="s">
        <v>92</v>
      </c>
      <c r="S36" s="39">
        <f t="shared" ref="S36:AF36" si="28">MAX(S19:S21)</f>
        <v>219</v>
      </c>
      <c r="T36" s="39">
        <f t="shared" si="28"/>
        <v>63</v>
      </c>
      <c r="U36" s="39">
        <f t="shared" si="28"/>
        <v>35</v>
      </c>
      <c r="V36" s="39">
        <f t="shared" si="28"/>
        <v>171</v>
      </c>
      <c r="W36" s="39">
        <f t="shared" si="28"/>
        <v>6</v>
      </c>
      <c r="X36" s="39">
        <f t="shared" si="28"/>
        <v>0</v>
      </c>
      <c r="Y36" s="39">
        <f t="shared" si="28"/>
        <v>46</v>
      </c>
      <c r="Z36" s="39">
        <f t="shared" si="28"/>
        <v>5</v>
      </c>
      <c r="AA36" s="39">
        <f t="shared" si="28"/>
        <v>0</v>
      </c>
      <c r="AB36" s="39">
        <f t="shared" si="28"/>
        <v>0</v>
      </c>
      <c r="AC36" s="39">
        <f t="shared" si="28"/>
        <v>1180</v>
      </c>
      <c r="AD36" s="39">
        <f t="shared" si="28"/>
        <v>0</v>
      </c>
      <c r="AE36" s="40">
        <f t="shared" si="28"/>
        <v>501</v>
      </c>
      <c r="AF36" s="40">
        <f t="shared" si="28"/>
        <v>1681</v>
      </c>
    </row>
    <row r="37" spans="2:32" ht="23.1" customHeight="1" x14ac:dyDescent="0.25">
      <c r="B37" s="45" t="s">
        <v>64</v>
      </c>
      <c r="C37" s="50">
        <v>69</v>
      </c>
      <c r="D37" s="50">
        <v>18</v>
      </c>
      <c r="E37" s="50">
        <v>14</v>
      </c>
      <c r="F37" s="50">
        <v>45</v>
      </c>
      <c r="G37" s="50">
        <v>1</v>
      </c>
      <c r="H37" s="50">
        <v>3</v>
      </c>
      <c r="I37" s="50">
        <v>20</v>
      </c>
      <c r="J37" s="50">
        <v>0</v>
      </c>
      <c r="K37" s="50">
        <v>0</v>
      </c>
      <c r="L37" s="50">
        <v>0</v>
      </c>
      <c r="M37" s="50">
        <v>195</v>
      </c>
      <c r="N37" s="50">
        <v>0</v>
      </c>
      <c r="O37" s="15">
        <f t="shared" si="0"/>
        <v>170</v>
      </c>
      <c r="P37" s="15">
        <f t="shared" si="1"/>
        <v>365</v>
      </c>
      <c r="R37" s="37" t="s">
        <v>85</v>
      </c>
      <c r="S37" s="35">
        <f t="shared" ref="S37:AF37" si="29">SUM(S10:S12)</f>
        <v>664</v>
      </c>
      <c r="T37" s="16">
        <f t="shared" si="29"/>
        <v>149</v>
      </c>
      <c r="U37" s="16">
        <f t="shared" si="29"/>
        <v>77</v>
      </c>
      <c r="V37" s="16">
        <f t="shared" si="29"/>
        <v>418</v>
      </c>
      <c r="W37" s="16">
        <f t="shared" si="29"/>
        <v>12</v>
      </c>
      <c r="X37" s="16">
        <f t="shared" si="29"/>
        <v>3</v>
      </c>
      <c r="Y37" s="16">
        <f t="shared" si="29"/>
        <v>71</v>
      </c>
      <c r="Z37" s="16">
        <f t="shared" si="29"/>
        <v>5</v>
      </c>
      <c r="AA37" s="16">
        <f t="shared" si="29"/>
        <v>5</v>
      </c>
      <c r="AB37" s="16">
        <f t="shared" si="29"/>
        <v>0</v>
      </c>
      <c r="AC37" s="16">
        <f t="shared" si="29"/>
        <v>3857</v>
      </c>
      <c r="AD37" s="16">
        <f t="shared" si="29"/>
        <v>0</v>
      </c>
      <c r="AE37" s="32">
        <f t="shared" si="29"/>
        <v>1404</v>
      </c>
      <c r="AF37" s="32">
        <f t="shared" si="29"/>
        <v>5261</v>
      </c>
    </row>
    <row r="38" spans="2:32" ht="23.1" customHeight="1" x14ac:dyDescent="0.25">
      <c r="B38" s="46" t="s">
        <v>65</v>
      </c>
      <c r="C38" s="50">
        <v>60</v>
      </c>
      <c r="D38" s="50">
        <v>9</v>
      </c>
      <c r="E38" s="50">
        <v>4</v>
      </c>
      <c r="F38" s="50">
        <v>40</v>
      </c>
      <c r="G38" s="50">
        <v>5</v>
      </c>
      <c r="H38" s="50">
        <v>0</v>
      </c>
      <c r="I38" s="50">
        <v>15</v>
      </c>
      <c r="J38" s="50">
        <v>1</v>
      </c>
      <c r="K38" s="50">
        <v>0</v>
      </c>
      <c r="L38" s="50">
        <v>0</v>
      </c>
      <c r="M38" s="50">
        <v>240</v>
      </c>
      <c r="N38" s="50">
        <v>0</v>
      </c>
      <c r="O38" s="15">
        <f t="shared" si="0"/>
        <v>134</v>
      </c>
      <c r="P38" s="15">
        <f t="shared" si="1"/>
        <v>374</v>
      </c>
      <c r="R38" s="28" t="s">
        <v>86</v>
      </c>
      <c r="S38" s="16">
        <f t="shared" ref="S38:AF38" si="30">SUM(S13:S18)</f>
        <v>1368</v>
      </c>
      <c r="T38" s="16">
        <f t="shared" si="30"/>
        <v>453</v>
      </c>
      <c r="U38" s="16">
        <f t="shared" si="30"/>
        <v>240</v>
      </c>
      <c r="V38" s="16">
        <f t="shared" si="30"/>
        <v>1020</v>
      </c>
      <c r="W38" s="16">
        <f t="shared" si="30"/>
        <v>45</v>
      </c>
      <c r="X38" s="16">
        <f t="shared" si="30"/>
        <v>25</v>
      </c>
      <c r="Y38" s="16">
        <f t="shared" si="30"/>
        <v>313</v>
      </c>
      <c r="Z38" s="16">
        <f t="shared" si="30"/>
        <v>36</v>
      </c>
      <c r="AA38" s="16">
        <f t="shared" si="30"/>
        <v>20</v>
      </c>
      <c r="AB38" s="16">
        <f t="shared" si="30"/>
        <v>12</v>
      </c>
      <c r="AC38" s="16">
        <f t="shared" si="30"/>
        <v>5159</v>
      </c>
      <c r="AD38" s="16">
        <f t="shared" si="30"/>
        <v>0</v>
      </c>
      <c r="AE38" s="32">
        <f t="shared" si="30"/>
        <v>3532</v>
      </c>
      <c r="AF38" s="32">
        <f t="shared" si="30"/>
        <v>8691</v>
      </c>
    </row>
    <row r="39" spans="2:32" ht="23.1" customHeight="1" x14ac:dyDescent="0.25">
      <c r="B39" s="46" t="s">
        <v>66</v>
      </c>
      <c r="C39" s="50">
        <v>59</v>
      </c>
      <c r="D39" s="50">
        <v>18</v>
      </c>
      <c r="E39" s="50">
        <v>25</v>
      </c>
      <c r="F39" s="50">
        <v>55</v>
      </c>
      <c r="G39" s="50">
        <v>1</v>
      </c>
      <c r="H39" s="50">
        <v>0</v>
      </c>
      <c r="I39" s="50">
        <v>14</v>
      </c>
      <c r="J39" s="50">
        <v>3</v>
      </c>
      <c r="K39" s="50">
        <v>1</v>
      </c>
      <c r="L39" s="50">
        <v>1</v>
      </c>
      <c r="M39" s="50">
        <v>235</v>
      </c>
      <c r="N39" s="50">
        <v>0</v>
      </c>
      <c r="O39" s="15">
        <f t="shared" si="0"/>
        <v>177</v>
      </c>
      <c r="P39" s="15">
        <f t="shared" si="1"/>
        <v>412</v>
      </c>
      <c r="R39" s="29" t="s">
        <v>87</v>
      </c>
      <c r="S39" s="16">
        <f t="shared" ref="S39:AF39" si="31">SUM(S19:S21)</f>
        <v>641</v>
      </c>
      <c r="T39" s="16">
        <f t="shared" si="31"/>
        <v>138</v>
      </c>
      <c r="U39" s="16">
        <f t="shared" si="31"/>
        <v>78</v>
      </c>
      <c r="V39" s="16">
        <f t="shared" si="31"/>
        <v>438</v>
      </c>
      <c r="W39" s="16">
        <f t="shared" si="31"/>
        <v>13</v>
      </c>
      <c r="X39" s="16">
        <f t="shared" si="31"/>
        <v>0</v>
      </c>
      <c r="Y39" s="16">
        <f t="shared" si="31"/>
        <v>101</v>
      </c>
      <c r="Z39" s="16">
        <f t="shared" si="31"/>
        <v>7</v>
      </c>
      <c r="AA39" s="16">
        <f t="shared" si="31"/>
        <v>0</v>
      </c>
      <c r="AB39" s="16">
        <f t="shared" si="31"/>
        <v>0</v>
      </c>
      <c r="AC39" s="16">
        <f t="shared" si="31"/>
        <v>3305</v>
      </c>
      <c r="AD39" s="16">
        <f t="shared" si="31"/>
        <v>0</v>
      </c>
      <c r="AE39" s="32">
        <f t="shared" si="31"/>
        <v>1416</v>
      </c>
      <c r="AF39" s="32">
        <f t="shared" si="31"/>
        <v>4721</v>
      </c>
    </row>
    <row r="40" spans="2:32" ht="23.1" customHeight="1" x14ac:dyDescent="0.25">
      <c r="B40" s="46" t="s">
        <v>67</v>
      </c>
      <c r="C40" s="50">
        <v>55</v>
      </c>
      <c r="D40" s="50">
        <v>17</v>
      </c>
      <c r="E40" s="50">
        <v>2</v>
      </c>
      <c r="F40" s="50">
        <v>35</v>
      </c>
      <c r="G40" s="50">
        <v>0</v>
      </c>
      <c r="H40" s="50">
        <v>0</v>
      </c>
      <c r="I40" s="50">
        <v>7</v>
      </c>
      <c r="J40" s="50">
        <v>3</v>
      </c>
      <c r="K40" s="50">
        <v>0</v>
      </c>
      <c r="L40" s="50">
        <v>0</v>
      </c>
      <c r="M40" s="50">
        <v>275</v>
      </c>
      <c r="N40" s="50">
        <v>0</v>
      </c>
      <c r="O40" s="15">
        <f t="shared" si="0"/>
        <v>119</v>
      </c>
      <c r="P40" s="15">
        <f t="shared" si="1"/>
        <v>394</v>
      </c>
      <c r="R40" s="5" t="s">
        <v>17</v>
      </c>
      <c r="S40" s="16">
        <f t="shared" ref="S40:AF40" si="32">SUM(S10:S21)</f>
        <v>2673</v>
      </c>
      <c r="T40" s="16">
        <f t="shared" si="32"/>
        <v>740</v>
      </c>
      <c r="U40" s="16">
        <f t="shared" si="32"/>
        <v>395</v>
      </c>
      <c r="V40" s="16">
        <f t="shared" si="32"/>
        <v>1876</v>
      </c>
      <c r="W40" s="16">
        <f t="shared" si="32"/>
        <v>70</v>
      </c>
      <c r="X40" s="16">
        <f t="shared" si="32"/>
        <v>28</v>
      </c>
      <c r="Y40" s="16">
        <f t="shared" si="32"/>
        <v>485</v>
      </c>
      <c r="Z40" s="16">
        <f t="shared" si="32"/>
        <v>48</v>
      </c>
      <c r="AA40" s="16">
        <f t="shared" si="32"/>
        <v>25</v>
      </c>
      <c r="AB40" s="16">
        <f t="shared" si="32"/>
        <v>12</v>
      </c>
      <c r="AC40" s="16">
        <f t="shared" si="32"/>
        <v>12321</v>
      </c>
      <c r="AD40" s="16">
        <f t="shared" si="32"/>
        <v>0</v>
      </c>
      <c r="AE40" s="32">
        <f t="shared" si="32"/>
        <v>6352</v>
      </c>
      <c r="AF40" s="32">
        <f t="shared" si="32"/>
        <v>18673</v>
      </c>
    </row>
    <row r="41" spans="2:32" ht="23.1" customHeight="1" x14ac:dyDescent="0.25">
      <c r="B41" s="45" t="s">
        <v>68</v>
      </c>
      <c r="C41" s="50">
        <v>43</v>
      </c>
      <c r="D41" s="50">
        <v>12</v>
      </c>
      <c r="E41" s="50">
        <v>1</v>
      </c>
      <c r="F41" s="50">
        <v>28</v>
      </c>
      <c r="G41" s="50">
        <v>0</v>
      </c>
      <c r="H41" s="50">
        <v>1</v>
      </c>
      <c r="I41" s="50">
        <v>8</v>
      </c>
      <c r="J41" s="50">
        <v>2</v>
      </c>
      <c r="K41" s="50">
        <v>0</v>
      </c>
      <c r="L41" s="50">
        <v>0</v>
      </c>
      <c r="M41" s="50">
        <v>250</v>
      </c>
      <c r="N41" s="50">
        <v>0</v>
      </c>
      <c r="O41" s="15">
        <f t="shared" si="0"/>
        <v>95</v>
      </c>
      <c r="P41" s="15">
        <f t="shared" si="1"/>
        <v>345</v>
      </c>
      <c r="R41" s="5" t="s">
        <v>159</v>
      </c>
      <c r="S41" s="16">
        <f>SUM(S10:S33)</f>
        <v>4129</v>
      </c>
      <c r="T41" s="16">
        <f t="shared" ref="T41:AF41" si="33">SUM(T10:T33)</f>
        <v>848</v>
      </c>
      <c r="U41" s="16">
        <f t="shared" si="33"/>
        <v>505</v>
      </c>
      <c r="V41" s="16">
        <f t="shared" si="33"/>
        <v>2836</v>
      </c>
      <c r="W41" s="16">
        <f t="shared" si="33"/>
        <v>114</v>
      </c>
      <c r="X41" s="16">
        <f t="shared" si="33"/>
        <v>49</v>
      </c>
      <c r="Y41" s="16">
        <f t="shared" si="33"/>
        <v>639</v>
      </c>
      <c r="Z41" s="16">
        <f t="shared" si="33"/>
        <v>149</v>
      </c>
      <c r="AA41" s="16">
        <f t="shared" si="33"/>
        <v>67</v>
      </c>
      <c r="AB41" s="16">
        <f t="shared" si="33"/>
        <v>28</v>
      </c>
      <c r="AC41" s="16">
        <f t="shared" si="33"/>
        <v>15166</v>
      </c>
      <c r="AD41" s="16">
        <f t="shared" si="33"/>
        <v>1</v>
      </c>
      <c r="AE41" s="32">
        <f t="shared" si="33"/>
        <v>9365</v>
      </c>
      <c r="AF41" s="32">
        <f t="shared" si="33"/>
        <v>24531</v>
      </c>
    </row>
    <row r="42" spans="2:32" ht="23.1" customHeight="1" x14ac:dyDescent="0.25">
      <c r="B42" s="46" t="s">
        <v>69</v>
      </c>
      <c r="C42" s="50">
        <v>54</v>
      </c>
      <c r="D42" s="50">
        <v>15</v>
      </c>
      <c r="E42" s="50">
        <v>7</v>
      </c>
      <c r="F42" s="50">
        <v>29</v>
      </c>
      <c r="G42" s="50">
        <v>3</v>
      </c>
      <c r="H42" s="50">
        <v>0</v>
      </c>
      <c r="I42" s="50">
        <v>11</v>
      </c>
      <c r="J42" s="50">
        <v>0</v>
      </c>
      <c r="K42" s="50">
        <v>1</v>
      </c>
      <c r="L42" s="50">
        <v>0</v>
      </c>
      <c r="M42" s="50">
        <v>245</v>
      </c>
      <c r="N42" s="50">
        <v>0</v>
      </c>
      <c r="O42" s="15">
        <f t="shared" si="0"/>
        <v>120</v>
      </c>
      <c r="P42" s="15">
        <f t="shared" si="1"/>
        <v>365</v>
      </c>
      <c r="R42" s="5" t="s">
        <v>160</v>
      </c>
      <c r="S42" s="48">
        <f>S41/S40</f>
        <v>1.5447063224841002</v>
      </c>
      <c r="T42" s="48">
        <f t="shared" ref="T42:AF42" si="34">T41/T40</f>
        <v>1.145945945945946</v>
      </c>
      <c r="U42" s="48">
        <f t="shared" si="34"/>
        <v>1.2784810126582278</v>
      </c>
      <c r="V42" s="48">
        <f t="shared" si="34"/>
        <v>1.511727078891258</v>
      </c>
      <c r="W42" s="48">
        <f t="shared" si="34"/>
        <v>1.6285714285714286</v>
      </c>
      <c r="X42" s="48">
        <f t="shared" si="34"/>
        <v>1.75</v>
      </c>
      <c r="Y42" s="48">
        <f t="shared" si="34"/>
        <v>1.3175257731958763</v>
      </c>
      <c r="Z42" s="48">
        <f t="shared" si="34"/>
        <v>3.1041666666666665</v>
      </c>
      <c r="AA42" s="48">
        <f t="shared" si="34"/>
        <v>2.68</v>
      </c>
      <c r="AB42" s="48">
        <f t="shared" si="34"/>
        <v>2.3333333333333335</v>
      </c>
      <c r="AC42" s="48">
        <f t="shared" si="34"/>
        <v>1.2309065822579337</v>
      </c>
      <c r="AD42" s="48" t="e">
        <f t="shared" si="34"/>
        <v>#DIV/0!</v>
      </c>
      <c r="AE42" s="48">
        <f t="shared" si="34"/>
        <v>1.4743387909319898</v>
      </c>
      <c r="AF42" s="48">
        <f t="shared" si="34"/>
        <v>1.3137149895571145</v>
      </c>
    </row>
    <row r="43" spans="2:32" ht="23.1" customHeight="1" x14ac:dyDescent="0.25">
      <c r="B43" s="45" t="s">
        <v>70</v>
      </c>
      <c r="C43" s="50">
        <v>42</v>
      </c>
      <c r="D43" s="50">
        <v>11</v>
      </c>
      <c r="E43" s="50">
        <v>12</v>
      </c>
      <c r="F43" s="50">
        <v>39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275</v>
      </c>
      <c r="N43" s="50">
        <v>0</v>
      </c>
      <c r="O43" s="15">
        <f t="shared" si="0"/>
        <v>111</v>
      </c>
      <c r="P43" s="15">
        <f t="shared" si="1"/>
        <v>386</v>
      </c>
    </row>
    <row r="44" spans="2:32" ht="23.1" customHeight="1" x14ac:dyDescent="0.25">
      <c r="B44" s="47" t="s">
        <v>71</v>
      </c>
      <c r="C44" s="50">
        <v>45</v>
      </c>
      <c r="D44" s="50">
        <v>10</v>
      </c>
      <c r="E44" s="50">
        <v>6</v>
      </c>
      <c r="F44" s="50">
        <v>20</v>
      </c>
      <c r="G44" s="50">
        <v>0</v>
      </c>
      <c r="H44" s="50">
        <v>0</v>
      </c>
      <c r="I44" s="50">
        <v>11</v>
      </c>
      <c r="J44" s="50">
        <v>1</v>
      </c>
      <c r="K44" s="50">
        <v>0</v>
      </c>
      <c r="L44" s="50">
        <v>1</v>
      </c>
      <c r="M44" s="50">
        <v>230</v>
      </c>
      <c r="N44" s="50">
        <v>0</v>
      </c>
      <c r="O44" s="15">
        <f t="shared" si="0"/>
        <v>94</v>
      </c>
      <c r="P44" s="15">
        <f t="shared" si="1"/>
        <v>324</v>
      </c>
    </row>
    <row r="45" spans="2:32" ht="23.1" customHeight="1" x14ac:dyDescent="0.25">
      <c r="B45" s="45" t="s">
        <v>72</v>
      </c>
      <c r="C45" s="50">
        <v>57</v>
      </c>
      <c r="D45" s="50">
        <v>21</v>
      </c>
      <c r="E45" s="50">
        <v>7</v>
      </c>
      <c r="F45" s="50">
        <v>41</v>
      </c>
      <c r="G45" s="50">
        <v>2</v>
      </c>
      <c r="H45" s="50">
        <v>1</v>
      </c>
      <c r="I45" s="50">
        <v>16</v>
      </c>
      <c r="J45" s="50">
        <v>1</v>
      </c>
      <c r="K45" s="50">
        <v>0</v>
      </c>
      <c r="L45" s="50">
        <v>0</v>
      </c>
      <c r="M45" s="50">
        <v>290</v>
      </c>
      <c r="N45" s="50">
        <v>0</v>
      </c>
      <c r="O45" s="15">
        <f t="shared" si="0"/>
        <v>146</v>
      </c>
      <c r="P45" s="15">
        <f t="shared" si="1"/>
        <v>436</v>
      </c>
    </row>
    <row r="46" spans="2:32" ht="23.1" customHeight="1" x14ac:dyDescent="0.25">
      <c r="B46" s="46" t="s">
        <v>73</v>
      </c>
      <c r="C46" s="50">
        <v>46</v>
      </c>
      <c r="D46" s="50">
        <v>10</v>
      </c>
      <c r="E46" s="50">
        <v>5</v>
      </c>
      <c r="F46" s="50">
        <v>24</v>
      </c>
      <c r="G46" s="50">
        <v>1</v>
      </c>
      <c r="H46" s="50">
        <v>0</v>
      </c>
      <c r="I46" s="50">
        <v>11</v>
      </c>
      <c r="J46" s="50">
        <v>0</v>
      </c>
      <c r="K46" s="50">
        <v>0</v>
      </c>
      <c r="L46" s="50">
        <v>0</v>
      </c>
      <c r="M46" s="50">
        <v>295</v>
      </c>
      <c r="N46" s="50">
        <v>0</v>
      </c>
      <c r="O46" s="15">
        <f t="shared" si="0"/>
        <v>97</v>
      </c>
      <c r="P46" s="15">
        <f t="shared" si="1"/>
        <v>392</v>
      </c>
      <c r="R46" s="8"/>
      <c r="T46"/>
    </row>
    <row r="47" spans="2:32" ht="23.1" customHeight="1" x14ac:dyDescent="0.25">
      <c r="B47" s="46" t="s">
        <v>74</v>
      </c>
      <c r="C47" s="50">
        <v>45</v>
      </c>
      <c r="D47" s="50">
        <v>7</v>
      </c>
      <c r="E47" s="50">
        <v>8</v>
      </c>
      <c r="F47" s="50">
        <v>31</v>
      </c>
      <c r="G47" s="50">
        <v>2</v>
      </c>
      <c r="H47" s="50">
        <v>0</v>
      </c>
      <c r="I47" s="50">
        <v>8</v>
      </c>
      <c r="J47" s="50">
        <v>0</v>
      </c>
      <c r="K47" s="50">
        <v>0</v>
      </c>
      <c r="L47" s="50">
        <v>0</v>
      </c>
      <c r="M47" s="50">
        <v>235</v>
      </c>
      <c r="N47" s="50">
        <v>0</v>
      </c>
      <c r="O47" s="15">
        <f t="shared" si="0"/>
        <v>101</v>
      </c>
      <c r="P47" s="15">
        <f t="shared" si="1"/>
        <v>336</v>
      </c>
      <c r="R47" s="8"/>
      <c r="T47"/>
    </row>
    <row r="48" spans="2:32" ht="23.1" customHeight="1" x14ac:dyDescent="0.25">
      <c r="B48" s="46" t="s">
        <v>75</v>
      </c>
      <c r="C48" s="50">
        <v>75</v>
      </c>
      <c r="D48" s="50">
        <v>12</v>
      </c>
      <c r="E48" s="50">
        <v>4</v>
      </c>
      <c r="F48" s="50">
        <v>40</v>
      </c>
      <c r="G48" s="50">
        <v>1</v>
      </c>
      <c r="H48" s="50">
        <v>0</v>
      </c>
      <c r="I48" s="50">
        <v>15</v>
      </c>
      <c r="J48" s="50">
        <v>1</v>
      </c>
      <c r="K48" s="50">
        <v>0</v>
      </c>
      <c r="L48" s="50">
        <v>0</v>
      </c>
      <c r="M48" s="50">
        <v>275</v>
      </c>
      <c r="N48" s="50">
        <v>0</v>
      </c>
      <c r="O48" s="15">
        <f t="shared" si="0"/>
        <v>148</v>
      </c>
      <c r="P48" s="15">
        <f t="shared" si="1"/>
        <v>423</v>
      </c>
      <c r="R48" s="8"/>
      <c r="T48"/>
    </row>
    <row r="49" spans="2:20" ht="23.1" customHeight="1" x14ac:dyDescent="0.25">
      <c r="B49" s="45" t="s">
        <v>76</v>
      </c>
      <c r="C49" s="50">
        <v>53</v>
      </c>
      <c r="D49" s="50">
        <v>8</v>
      </c>
      <c r="E49" s="50">
        <v>3</v>
      </c>
      <c r="F49" s="50">
        <v>20</v>
      </c>
      <c r="G49" s="50">
        <v>0</v>
      </c>
      <c r="H49" s="50">
        <v>0</v>
      </c>
      <c r="I49" s="50">
        <v>12</v>
      </c>
      <c r="J49" s="50">
        <v>0</v>
      </c>
      <c r="K49" s="50">
        <v>0</v>
      </c>
      <c r="L49" s="50">
        <v>0</v>
      </c>
      <c r="M49" s="50">
        <v>245</v>
      </c>
      <c r="N49" s="50">
        <v>0</v>
      </c>
      <c r="O49" s="15">
        <f t="shared" si="0"/>
        <v>96</v>
      </c>
      <c r="P49" s="15">
        <f t="shared" si="1"/>
        <v>341</v>
      </c>
      <c r="R49" s="8"/>
      <c r="T49"/>
    </row>
    <row r="50" spans="2:20" ht="23.1" customHeight="1" x14ac:dyDescent="0.25">
      <c r="B50" s="46" t="s">
        <v>77</v>
      </c>
      <c r="C50" s="50">
        <v>57</v>
      </c>
      <c r="D50" s="50">
        <v>16</v>
      </c>
      <c r="E50" s="50">
        <v>4</v>
      </c>
      <c r="F50" s="50">
        <v>38</v>
      </c>
      <c r="G50" s="50">
        <v>0</v>
      </c>
      <c r="H50" s="50">
        <v>0</v>
      </c>
      <c r="I50" s="50">
        <v>7</v>
      </c>
      <c r="J50" s="50">
        <v>2</v>
      </c>
      <c r="K50" s="50">
        <v>0</v>
      </c>
      <c r="L50" s="50">
        <v>0</v>
      </c>
      <c r="M50" s="50">
        <v>295</v>
      </c>
      <c r="N50" s="50">
        <v>0</v>
      </c>
      <c r="O50" s="15">
        <f t="shared" si="0"/>
        <v>124</v>
      </c>
      <c r="P50" s="15">
        <f t="shared" si="1"/>
        <v>419</v>
      </c>
      <c r="R50" s="8"/>
      <c r="T50"/>
    </row>
    <row r="51" spans="2:20" ht="23.1" customHeight="1" x14ac:dyDescent="0.25">
      <c r="B51" s="46" t="s">
        <v>78</v>
      </c>
      <c r="C51" s="50">
        <v>45</v>
      </c>
      <c r="D51" s="50">
        <v>7</v>
      </c>
      <c r="E51" s="50">
        <v>1</v>
      </c>
      <c r="F51" s="50">
        <v>34</v>
      </c>
      <c r="G51" s="50">
        <v>2</v>
      </c>
      <c r="H51" s="50">
        <v>0</v>
      </c>
      <c r="I51" s="50">
        <v>10</v>
      </c>
      <c r="J51" s="50">
        <v>0</v>
      </c>
      <c r="K51" s="50">
        <v>0</v>
      </c>
      <c r="L51" s="50">
        <v>0</v>
      </c>
      <c r="M51" s="50">
        <v>275</v>
      </c>
      <c r="N51" s="50">
        <v>0</v>
      </c>
      <c r="O51" s="15">
        <f t="shared" si="0"/>
        <v>99</v>
      </c>
      <c r="P51" s="15">
        <f t="shared" si="1"/>
        <v>374</v>
      </c>
      <c r="R51" s="8"/>
      <c r="T51"/>
    </row>
    <row r="52" spans="2:20" ht="23.1" customHeight="1" x14ac:dyDescent="0.25">
      <c r="B52" s="46" t="s">
        <v>79</v>
      </c>
      <c r="C52" s="50">
        <v>47</v>
      </c>
      <c r="D52" s="50">
        <v>18</v>
      </c>
      <c r="E52" s="50">
        <v>6</v>
      </c>
      <c r="F52" s="50">
        <v>40</v>
      </c>
      <c r="G52" s="50">
        <v>1</v>
      </c>
      <c r="H52" s="50">
        <v>0</v>
      </c>
      <c r="I52" s="50">
        <v>10</v>
      </c>
      <c r="J52" s="50">
        <v>0</v>
      </c>
      <c r="K52" s="50">
        <v>0</v>
      </c>
      <c r="L52" s="50">
        <v>0</v>
      </c>
      <c r="M52" s="50">
        <v>325</v>
      </c>
      <c r="N52" s="50">
        <v>0</v>
      </c>
      <c r="O52" s="15">
        <f t="shared" si="0"/>
        <v>122</v>
      </c>
      <c r="P52" s="15">
        <f t="shared" si="1"/>
        <v>447</v>
      </c>
      <c r="R52" s="8"/>
      <c r="T52"/>
    </row>
    <row r="53" spans="2:20" ht="23.1" customHeight="1" x14ac:dyDescent="0.25">
      <c r="B53" s="45" t="s">
        <v>80</v>
      </c>
      <c r="C53" s="50">
        <v>70</v>
      </c>
      <c r="D53" s="50">
        <v>22</v>
      </c>
      <c r="E53" s="50">
        <v>12</v>
      </c>
      <c r="F53" s="50">
        <v>40</v>
      </c>
      <c r="G53" s="50">
        <v>3</v>
      </c>
      <c r="H53" s="50">
        <v>0</v>
      </c>
      <c r="I53" s="50">
        <v>6</v>
      </c>
      <c r="J53" s="50">
        <v>3</v>
      </c>
      <c r="K53" s="50">
        <v>0</v>
      </c>
      <c r="L53" s="50">
        <v>0</v>
      </c>
      <c r="M53" s="50">
        <v>285</v>
      </c>
      <c r="N53" s="50">
        <v>0</v>
      </c>
      <c r="O53" s="15">
        <f t="shared" si="0"/>
        <v>156</v>
      </c>
      <c r="P53" s="15">
        <f t="shared" si="1"/>
        <v>441</v>
      </c>
      <c r="R53" s="8"/>
      <c r="T53"/>
    </row>
    <row r="54" spans="2:20" ht="23.1" customHeight="1" x14ac:dyDescent="0.25">
      <c r="B54" s="45" t="s">
        <v>81</v>
      </c>
      <c r="C54" s="50">
        <v>52</v>
      </c>
      <c r="D54" s="50">
        <v>8</v>
      </c>
      <c r="E54" s="50">
        <v>9</v>
      </c>
      <c r="F54" s="50">
        <v>32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285</v>
      </c>
      <c r="N54" s="50">
        <v>0</v>
      </c>
      <c r="O54" s="15">
        <f t="shared" si="0"/>
        <v>104</v>
      </c>
      <c r="P54" s="15">
        <f t="shared" si="1"/>
        <v>389</v>
      </c>
      <c r="R54" s="8"/>
      <c r="T54"/>
    </row>
    <row r="55" spans="2:20" ht="23.1" customHeight="1" x14ac:dyDescent="0.25">
      <c r="B55" s="45" t="s">
        <v>82</v>
      </c>
      <c r="C55" s="50">
        <v>72</v>
      </c>
      <c r="D55" s="50">
        <v>11</v>
      </c>
      <c r="E55" s="50">
        <v>13</v>
      </c>
      <c r="F55" s="50">
        <v>60</v>
      </c>
      <c r="G55" s="50">
        <v>1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190</v>
      </c>
      <c r="N55" s="50">
        <v>0</v>
      </c>
      <c r="O55" s="15">
        <f t="shared" si="0"/>
        <v>161</v>
      </c>
      <c r="P55" s="15">
        <f t="shared" si="1"/>
        <v>351</v>
      </c>
      <c r="R55" s="8"/>
      <c r="T55"/>
    </row>
    <row r="56" spans="2:20" ht="23.1" customHeight="1" x14ac:dyDescent="0.25">
      <c r="B56" s="45" t="s">
        <v>83</v>
      </c>
      <c r="C56" s="50">
        <v>49</v>
      </c>
      <c r="D56" s="50">
        <v>8</v>
      </c>
      <c r="E56" s="50">
        <v>10</v>
      </c>
      <c r="F56" s="50">
        <v>57</v>
      </c>
      <c r="G56" s="50">
        <v>1</v>
      </c>
      <c r="H56" s="50">
        <v>0</v>
      </c>
      <c r="I56" s="50">
        <v>8</v>
      </c>
      <c r="J56" s="50">
        <v>1</v>
      </c>
      <c r="K56" s="50">
        <v>0</v>
      </c>
      <c r="L56" s="50">
        <v>0</v>
      </c>
      <c r="M56" s="50">
        <v>310</v>
      </c>
      <c r="N56" s="50">
        <v>0</v>
      </c>
      <c r="O56" s="15">
        <f t="shared" si="0"/>
        <v>134</v>
      </c>
      <c r="P56" s="15">
        <f t="shared" si="1"/>
        <v>444</v>
      </c>
      <c r="R56" s="8"/>
      <c r="T56"/>
    </row>
    <row r="57" spans="2:20" ht="23.1" customHeight="1" x14ac:dyDescent="0.25">
      <c r="B57" s="45" t="s">
        <v>84</v>
      </c>
      <c r="C57" s="50">
        <v>30</v>
      </c>
      <c r="D57" s="50">
        <v>11</v>
      </c>
      <c r="E57" s="50">
        <v>3</v>
      </c>
      <c r="F57" s="50">
        <v>22</v>
      </c>
      <c r="G57" s="50">
        <v>1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290</v>
      </c>
      <c r="N57" s="50">
        <v>0</v>
      </c>
      <c r="O57" s="15">
        <f t="shared" si="0"/>
        <v>74</v>
      </c>
      <c r="P57" s="15">
        <f t="shared" si="1"/>
        <v>364</v>
      </c>
      <c r="R57" s="8"/>
      <c r="T57"/>
    </row>
    <row r="58" spans="2:20" ht="23.1" customHeight="1" x14ac:dyDescent="0.25">
      <c r="B58" s="45" t="s">
        <v>99</v>
      </c>
      <c r="C58" s="50">
        <v>85</v>
      </c>
      <c r="D58" s="50">
        <v>3</v>
      </c>
      <c r="E58" s="50">
        <v>0</v>
      </c>
      <c r="F58" s="50">
        <v>25</v>
      </c>
      <c r="G58" s="50">
        <v>1</v>
      </c>
      <c r="H58" s="50">
        <v>1</v>
      </c>
      <c r="I58" s="50">
        <v>6</v>
      </c>
      <c r="J58" s="50">
        <v>0</v>
      </c>
      <c r="K58" s="50">
        <v>0</v>
      </c>
      <c r="L58" s="50">
        <v>0</v>
      </c>
      <c r="M58" s="50">
        <v>200</v>
      </c>
      <c r="N58" s="50">
        <v>0</v>
      </c>
      <c r="O58" s="15">
        <f t="shared" ref="O58:O105" si="35">SUM(C58:L58,N58)</f>
        <v>121</v>
      </c>
      <c r="P58" s="15">
        <f t="shared" ref="P58:P105" si="36">SUM(C58:N58)</f>
        <v>321</v>
      </c>
      <c r="R58" s="8"/>
      <c r="T58"/>
    </row>
    <row r="59" spans="2:20" ht="23.1" customHeight="1" x14ac:dyDescent="0.25">
      <c r="B59" s="45" t="s">
        <v>100</v>
      </c>
      <c r="C59" s="50">
        <v>98</v>
      </c>
      <c r="D59" s="50">
        <v>5</v>
      </c>
      <c r="E59" s="50">
        <v>3</v>
      </c>
      <c r="F59" s="50">
        <v>7</v>
      </c>
      <c r="G59" s="50">
        <v>2</v>
      </c>
      <c r="H59" s="50">
        <v>3</v>
      </c>
      <c r="I59" s="50">
        <v>4</v>
      </c>
      <c r="J59" s="50">
        <v>0</v>
      </c>
      <c r="K59" s="50">
        <v>0</v>
      </c>
      <c r="L59" s="50">
        <v>1</v>
      </c>
      <c r="M59" s="50">
        <v>190</v>
      </c>
      <c r="N59" s="50">
        <v>0</v>
      </c>
      <c r="O59" s="15">
        <f t="shared" si="35"/>
        <v>123</v>
      </c>
      <c r="P59" s="15">
        <f t="shared" si="36"/>
        <v>313</v>
      </c>
      <c r="R59" s="8"/>
      <c r="T59"/>
    </row>
    <row r="60" spans="2:20" ht="23.1" customHeight="1" x14ac:dyDescent="0.25">
      <c r="B60" s="45" t="s">
        <v>101</v>
      </c>
      <c r="C60" s="50">
        <v>95</v>
      </c>
      <c r="D60" s="50">
        <v>2</v>
      </c>
      <c r="E60" s="50">
        <v>1</v>
      </c>
      <c r="F60" s="50">
        <v>4</v>
      </c>
      <c r="G60" s="50">
        <v>4</v>
      </c>
      <c r="H60" s="50">
        <v>1</v>
      </c>
      <c r="I60" s="50">
        <v>7</v>
      </c>
      <c r="J60" s="50">
        <v>0</v>
      </c>
      <c r="K60" s="50">
        <v>2</v>
      </c>
      <c r="L60" s="50">
        <v>0</v>
      </c>
      <c r="M60" s="50">
        <v>215</v>
      </c>
      <c r="N60" s="50">
        <v>0</v>
      </c>
      <c r="O60" s="15">
        <f t="shared" si="35"/>
        <v>116</v>
      </c>
      <c r="P60" s="15">
        <f t="shared" si="36"/>
        <v>331</v>
      </c>
      <c r="R60" s="8"/>
      <c r="T60"/>
    </row>
    <row r="61" spans="2:20" ht="23.1" customHeight="1" x14ac:dyDescent="0.25">
      <c r="B61" s="45" t="s">
        <v>102</v>
      </c>
      <c r="C61" s="50">
        <v>75</v>
      </c>
      <c r="D61" s="50">
        <v>7</v>
      </c>
      <c r="E61" s="50">
        <v>4</v>
      </c>
      <c r="F61" s="50">
        <v>6</v>
      </c>
      <c r="G61" s="50">
        <v>3</v>
      </c>
      <c r="H61" s="50">
        <v>2</v>
      </c>
      <c r="I61" s="50">
        <v>3</v>
      </c>
      <c r="J61" s="50">
        <v>2</v>
      </c>
      <c r="K61" s="50">
        <v>1</v>
      </c>
      <c r="L61" s="50">
        <v>1</v>
      </c>
      <c r="M61" s="50">
        <v>120</v>
      </c>
      <c r="N61" s="50">
        <v>0</v>
      </c>
      <c r="O61" s="15">
        <f t="shared" si="35"/>
        <v>104</v>
      </c>
      <c r="P61" s="15">
        <f t="shared" si="36"/>
        <v>224</v>
      </c>
      <c r="R61" s="8"/>
      <c r="T61"/>
    </row>
    <row r="62" spans="2:20" ht="23.1" customHeight="1" x14ac:dyDescent="0.25">
      <c r="B62" s="45" t="s">
        <v>107</v>
      </c>
      <c r="C62" s="50">
        <v>80</v>
      </c>
      <c r="D62" s="50">
        <v>4</v>
      </c>
      <c r="E62" s="50">
        <v>3</v>
      </c>
      <c r="F62" s="50">
        <v>100</v>
      </c>
      <c r="G62" s="50">
        <v>2</v>
      </c>
      <c r="H62" s="50">
        <v>1</v>
      </c>
      <c r="I62" s="50">
        <v>3</v>
      </c>
      <c r="J62" s="50">
        <v>2</v>
      </c>
      <c r="K62" s="50">
        <v>0</v>
      </c>
      <c r="L62" s="50">
        <v>0</v>
      </c>
      <c r="M62" s="50">
        <v>100</v>
      </c>
      <c r="N62" s="50">
        <v>0</v>
      </c>
      <c r="O62" s="15">
        <f t="shared" si="35"/>
        <v>195</v>
      </c>
      <c r="P62" s="15">
        <f t="shared" si="36"/>
        <v>295</v>
      </c>
      <c r="R62" s="8"/>
      <c r="T62"/>
    </row>
    <row r="63" spans="2:20" ht="23.1" customHeight="1" x14ac:dyDescent="0.25">
      <c r="B63" s="45" t="s">
        <v>108</v>
      </c>
      <c r="C63" s="50">
        <v>105</v>
      </c>
      <c r="D63" s="50">
        <v>2</v>
      </c>
      <c r="E63" s="50">
        <v>5</v>
      </c>
      <c r="F63" s="50">
        <v>28</v>
      </c>
      <c r="G63" s="50">
        <v>3</v>
      </c>
      <c r="H63" s="50">
        <v>0</v>
      </c>
      <c r="I63" s="50">
        <v>5</v>
      </c>
      <c r="J63" s="50">
        <v>0</v>
      </c>
      <c r="K63" s="50">
        <v>0</v>
      </c>
      <c r="L63" s="50">
        <v>1</v>
      </c>
      <c r="M63" s="50">
        <v>95</v>
      </c>
      <c r="N63" s="50">
        <v>0</v>
      </c>
      <c r="O63" s="15">
        <f t="shared" si="35"/>
        <v>149</v>
      </c>
      <c r="P63" s="15">
        <f t="shared" si="36"/>
        <v>244</v>
      </c>
      <c r="R63" s="8"/>
      <c r="T63"/>
    </row>
    <row r="64" spans="2:20" ht="23.1" customHeight="1" x14ac:dyDescent="0.25">
      <c r="B64" s="45" t="s">
        <v>109</v>
      </c>
      <c r="C64" s="50">
        <v>125</v>
      </c>
      <c r="D64" s="50">
        <v>3</v>
      </c>
      <c r="E64" s="50">
        <v>1</v>
      </c>
      <c r="F64" s="50">
        <v>55</v>
      </c>
      <c r="G64" s="50">
        <v>6</v>
      </c>
      <c r="H64" s="50">
        <v>0</v>
      </c>
      <c r="I64" s="50">
        <v>2</v>
      </c>
      <c r="J64" s="50">
        <v>3</v>
      </c>
      <c r="K64" s="50">
        <v>1</v>
      </c>
      <c r="L64" s="50">
        <v>2</v>
      </c>
      <c r="M64" s="50">
        <v>70</v>
      </c>
      <c r="N64" s="50">
        <v>0</v>
      </c>
      <c r="O64" s="15">
        <f t="shared" si="35"/>
        <v>198</v>
      </c>
      <c r="P64" s="15">
        <f t="shared" si="36"/>
        <v>268</v>
      </c>
      <c r="R64" s="8"/>
      <c r="T64"/>
    </row>
    <row r="65" spans="2:20" ht="23.1" customHeight="1" x14ac:dyDescent="0.25">
      <c r="B65" s="45" t="s">
        <v>158</v>
      </c>
      <c r="C65" s="50">
        <v>145</v>
      </c>
      <c r="D65" s="50">
        <v>6</v>
      </c>
      <c r="E65" s="50">
        <v>2</v>
      </c>
      <c r="F65" s="50">
        <v>65</v>
      </c>
      <c r="G65" s="50">
        <v>1</v>
      </c>
      <c r="H65" s="50">
        <v>2</v>
      </c>
      <c r="I65" s="50">
        <v>7</v>
      </c>
      <c r="J65" s="50">
        <v>5</v>
      </c>
      <c r="K65" s="50">
        <v>0</v>
      </c>
      <c r="L65" s="50">
        <v>0</v>
      </c>
      <c r="M65" s="50">
        <v>55</v>
      </c>
      <c r="N65" s="50">
        <v>0</v>
      </c>
      <c r="O65" s="15">
        <f t="shared" si="35"/>
        <v>233</v>
      </c>
      <c r="P65" s="15">
        <f t="shared" si="36"/>
        <v>288</v>
      </c>
      <c r="R65" s="8"/>
      <c r="T65"/>
    </row>
    <row r="66" spans="2:20" ht="23.1" customHeight="1" x14ac:dyDescent="0.25">
      <c r="B66" s="45" t="s">
        <v>103</v>
      </c>
      <c r="C66" s="50">
        <v>29</v>
      </c>
      <c r="D66" s="50">
        <v>6</v>
      </c>
      <c r="E66" s="50">
        <v>11</v>
      </c>
      <c r="F66" s="50">
        <v>43</v>
      </c>
      <c r="G66" s="50">
        <v>2</v>
      </c>
      <c r="H66" s="50">
        <v>1</v>
      </c>
      <c r="I66" s="50">
        <v>9</v>
      </c>
      <c r="J66" s="50">
        <v>4</v>
      </c>
      <c r="K66" s="50">
        <v>3</v>
      </c>
      <c r="L66" s="50">
        <v>2</v>
      </c>
      <c r="M66" s="50">
        <v>167</v>
      </c>
      <c r="N66" s="50">
        <v>0</v>
      </c>
      <c r="O66" s="15">
        <f t="shared" si="35"/>
        <v>110</v>
      </c>
      <c r="P66" s="15">
        <f t="shared" si="36"/>
        <v>277</v>
      </c>
      <c r="R66" s="8"/>
      <c r="T66"/>
    </row>
    <row r="67" spans="2:20" ht="23.1" customHeight="1" x14ac:dyDescent="0.25">
      <c r="B67" s="45" t="s">
        <v>104</v>
      </c>
      <c r="C67" s="50">
        <v>15</v>
      </c>
      <c r="D67" s="50">
        <v>8</v>
      </c>
      <c r="E67" s="50">
        <v>2</v>
      </c>
      <c r="F67" s="50">
        <v>20</v>
      </c>
      <c r="G67" s="50">
        <v>0</v>
      </c>
      <c r="H67" s="50">
        <v>0</v>
      </c>
      <c r="I67" s="50">
        <v>7</v>
      </c>
      <c r="J67" s="50">
        <v>1</v>
      </c>
      <c r="K67" s="50">
        <v>1</v>
      </c>
      <c r="L67" s="50">
        <v>0</v>
      </c>
      <c r="M67" s="50">
        <v>41</v>
      </c>
      <c r="N67" s="50">
        <v>0</v>
      </c>
      <c r="O67" s="15">
        <f t="shared" si="35"/>
        <v>54</v>
      </c>
      <c r="P67" s="15">
        <f t="shared" si="36"/>
        <v>95</v>
      </c>
      <c r="R67" s="8"/>
      <c r="T67"/>
    </row>
    <row r="68" spans="2:20" ht="23.1" customHeight="1" x14ac:dyDescent="0.25">
      <c r="B68" s="45" t="s">
        <v>105</v>
      </c>
      <c r="C68" s="50">
        <v>7</v>
      </c>
      <c r="D68" s="50">
        <v>6</v>
      </c>
      <c r="E68" s="50">
        <v>2</v>
      </c>
      <c r="F68" s="50">
        <v>0</v>
      </c>
      <c r="G68" s="50">
        <v>0</v>
      </c>
      <c r="H68" s="50">
        <v>0</v>
      </c>
      <c r="I68" s="50">
        <v>5</v>
      </c>
      <c r="J68" s="50">
        <v>1</v>
      </c>
      <c r="K68" s="50">
        <v>2</v>
      </c>
      <c r="L68" s="50">
        <v>0</v>
      </c>
      <c r="M68" s="50">
        <v>45</v>
      </c>
      <c r="N68" s="50">
        <v>0</v>
      </c>
      <c r="O68" s="15">
        <f t="shared" si="35"/>
        <v>23</v>
      </c>
      <c r="P68" s="15">
        <f t="shared" si="36"/>
        <v>68</v>
      </c>
      <c r="R68" s="8"/>
      <c r="T68"/>
    </row>
    <row r="69" spans="2:20" ht="23.1" customHeight="1" x14ac:dyDescent="0.25">
      <c r="B69" s="45" t="s">
        <v>106</v>
      </c>
      <c r="C69" s="50">
        <v>20</v>
      </c>
      <c r="D69" s="50">
        <v>5</v>
      </c>
      <c r="E69" s="50">
        <v>5</v>
      </c>
      <c r="F69" s="50">
        <v>30</v>
      </c>
      <c r="G69" s="50">
        <v>0</v>
      </c>
      <c r="H69" s="50">
        <v>0</v>
      </c>
      <c r="I69" s="50">
        <v>0</v>
      </c>
      <c r="J69" s="50">
        <v>0</v>
      </c>
      <c r="K69" s="50">
        <v>3</v>
      </c>
      <c r="L69" s="50">
        <v>0</v>
      </c>
      <c r="M69" s="50">
        <v>105</v>
      </c>
      <c r="N69" s="50">
        <v>0</v>
      </c>
      <c r="O69" s="15">
        <f t="shared" si="35"/>
        <v>63</v>
      </c>
      <c r="P69" s="15">
        <f t="shared" si="36"/>
        <v>168</v>
      </c>
      <c r="R69" s="8"/>
      <c r="T69"/>
    </row>
    <row r="70" spans="2:20" ht="23.1" customHeight="1" x14ac:dyDescent="0.25">
      <c r="B70" s="45" t="s">
        <v>110</v>
      </c>
      <c r="C70" s="50">
        <v>55</v>
      </c>
      <c r="D70" s="50">
        <v>6</v>
      </c>
      <c r="E70" s="50">
        <v>5</v>
      </c>
      <c r="F70" s="50">
        <v>40</v>
      </c>
      <c r="G70" s="50">
        <v>5</v>
      </c>
      <c r="H70" s="50">
        <v>1</v>
      </c>
      <c r="I70" s="50">
        <v>6</v>
      </c>
      <c r="J70" s="50">
        <v>14</v>
      </c>
      <c r="K70" s="50">
        <v>5</v>
      </c>
      <c r="L70" s="50">
        <v>0</v>
      </c>
      <c r="M70" s="50">
        <v>125</v>
      </c>
      <c r="N70" s="50">
        <v>0</v>
      </c>
      <c r="O70" s="15">
        <f t="shared" si="35"/>
        <v>137</v>
      </c>
      <c r="P70" s="15">
        <f t="shared" si="36"/>
        <v>262</v>
      </c>
      <c r="R70" s="8"/>
      <c r="T70"/>
    </row>
    <row r="71" spans="2:20" ht="23.1" customHeight="1" x14ac:dyDescent="0.25">
      <c r="B71" s="45" t="s">
        <v>111</v>
      </c>
      <c r="C71" s="50">
        <v>25</v>
      </c>
      <c r="D71" s="50">
        <v>1</v>
      </c>
      <c r="E71" s="50">
        <v>10</v>
      </c>
      <c r="F71" s="50">
        <v>30</v>
      </c>
      <c r="G71" s="50">
        <v>2</v>
      </c>
      <c r="H71" s="50">
        <v>1</v>
      </c>
      <c r="I71" s="50">
        <v>5</v>
      </c>
      <c r="J71" s="50">
        <v>7</v>
      </c>
      <c r="K71" s="50">
        <v>5</v>
      </c>
      <c r="L71" s="50">
        <v>2</v>
      </c>
      <c r="M71" s="50">
        <v>60</v>
      </c>
      <c r="N71" s="50">
        <v>0</v>
      </c>
      <c r="O71" s="15">
        <f t="shared" si="35"/>
        <v>88</v>
      </c>
      <c r="P71" s="15">
        <f t="shared" si="36"/>
        <v>148</v>
      </c>
      <c r="R71" s="8"/>
      <c r="T71"/>
    </row>
    <row r="72" spans="2:20" ht="23.1" customHeight="1" x14ac:dyDescent="0.25">
      <c r="B72" s="45" t="s">
        <v>112</v>
      </c>
      <c r="C72" s="50">
        <v>25</v>
      </c>
      <c r="D72" s="50">
        <v>5</v>
      </c>
      <c r="E72" s="50">
        <v>7</v>
      </c>
      <c r="F72" s="50">
        <v>25</v>
      </c>
      <c r="G72" s="50">
        <v>3</v>
      </c>
      <c r="H72" s="50">
        <v>2</v>
      </c>
      <c r="I72" s="50">
        <v>1</v>
      </c>
      <c r="J72" s="50">
        <v>2</v>
      </c>
      <c r="K72" s="50">
        <v>1</v>
      </c>
      <c r="L72" s="50">
        <v>1</v>
      </c>
      <c r="M72" s="50">
        <v>60</v>
      </c>
      <c r="N72" s="50">
        <v>0</v>
      </c>
      <c r="O72" s="15">
        <f t="shared" si="35"/>
        <v>72</v>
      </c>
      <c r="P72" s="15">
        <f t="shared" si="36"/>
        <v>132</v>
      </c>
      <c r="R72" s="8"/>
      <c r="T72"/>
    </row>
    <row r="73" spans="2:20" ht="23.1" customHeight="1" x14ac:dyDescent="0.25">
      <c r="B73" s="45" t="s">
        <v>113</v>
      </c>
      <c r="C73" s="50">
        <v>35</v>
      </c>
      <c r="D73" s="50">
        <v>10</v>
      </c>
      <c r="E73" s="50">
        <v>13</v>
      </c>
      <c r="F73" s="50">
        <v>25</v>
      </c>
      <c r="G73" s="50">
        <v>0</v>
      </c>
      <c r="H73" s="50">
        <v>0</v>
      </c>
      <c r="I73" s="50">
        <v>10</v>
      </c>
      <c r="J73" s="50">
        <v>10</v>
      </c>
      <c r="K73" s="50">
        <v>0</v>
      </c>
      <c r="L73" s="50">
        <v>0</v>
      </c>
      <c r="M73" s="50">
        <v>65</v>
      </c>
      <c r="N73" s="50">
        <v>0</v>
      </c>
      <c r="O73" s="15">
        <f t="shared" si="35"/>
        <v>103</v>
      </c>
      <c r="P73" s="15">
        <f t="shared" si="36"/>
        <v>168</v>
      </c>
      <c r="R73" s="8"/>
      <c r="T73"/>
    </row>
    <row r="74" spans="2:20" ht="23.1" customHeight="1" x14ac:dyDescent="0.25">
      <c r="B74" s="45" t="s">
        <v>114</v>
      </c>
      <c r="C74" s="50">
        <v>43</v>
      </c>
      <c r="D74" s="50">
        <v>1</v>
      </c>
      <c r="E74" s="50">
        <v>1</v>
      </c>
      <c r="F74" s="50">
        <v>35</v>
      </c>
      <c r="G74" s="50">
        <v>0</v>
      </c>
      <c r="H74" s="50">
        <v>0</v>
      </c>
      <c r="I74" s="50">
        <v>5</v>
      </c>
      <c r="J74" s="50">
        <v>1</v>
      </c>
      <c r="K74" s="50">
        <v>0</v>
      </c>
      <c r="L74" s="50">
        <v>0</v>
      </c>
      <c r="M74" s="50">
        <v>55</v>
      </c>
      <c r="N74" s="50">
        <v>0</v>
      </c>
      <c r="O74" s="15">
        <f t="shared" si="35"/>
        <v>86</v>
      </c>
      <c r="P74" s="15">
        <f t="shared" si="36"/>
        <v>141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1</v>
      </c>
      <c r="E75" s="50">
        <v>4</v>
      </c>
      <c r="F75" s="50">
        <v>5</v>
      </c>
      <c r="G75" s="50">
        <v>0</v>
      </c>
      <c r="H75" s="50">
        <v>2</v>
      </c>
      <c r="I75" s="50">
        <v>5</v>
      </c>
      <c r="J75" s="50">
        <v>1</v>
      </c>
      <c r="K75" s="50">
        <v>0</v>
      </c>
      <c r="L75" s="50">
        <v>0</v>
      </c>
      <c r="M75" s="50">
        <v>35</v>
      </c>
      <c r="N75" s="50">
        <v>0</v>
      </c>
      <c r="O75" s="15">
        <f t="shared" si="35"/>
        <v>48</v>
      </c>
      <c r="P75" s="15">
        <f t="shared" si="36"/>
        <v>83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5</v>
      </c>
      <c r="E76" s="50">
        <v>3</v>
      </c>
      <c r="F76" s="50">
        <v>5</v>
      </c>
      <c r="G76" s="50">
        <v>0</v>
      </c>
      <c r="H76" s="50">
        <v>0</v>
      </c>
      <c r="I76" s="50">
        <v>10</v>
      </c>
      <c r="J76" s="50">
        <v>7</v>
      </c>
      <c r="K76" s="50">
        <v>0</v>
      </c>
      <c r="L76" s="50">
        <v>1</v>
      </c>
      <c r="M76" s="50">
        <v>35</v>
      </c>
      <c r="N76" s="50">
        <v>0</v>
      </c>
      <c r="O76" s="15">
        <f t="shared" si="35"/>
        <v>56</v>
      </c>
      <c r="P76" s="15">
        <f t="shared" si="36"/>
        <v>91</v>
      </c>
      <c r="R76" s="8"/>
      <c r="T76"/>
    </row>
    <row r="77" spans="2:20" ht="23.1" customHeight="1" x14ac:dyDescent="0.25">
      <c r="B77" s="45" t="s">
        <v>117</v>
      </c>
      <c r="C77" s="50">
        <v>12</v>
      </c>
      <c r="D77" s="50">
        <v>2</v>
      </c>
      <c r="E77" s="50">
        <v>3</v>
      </c>
      <c r="F77" s="50">
        <v>5</v>
      </c>
      <c r="G77" s="50">
        <v>0</v>
      </c>
      <c r="H77" s="50">
        <v>1</v>
      </c>
      <c r="I77" s="50">
        <v>3</v>
      </c>
      <c r="J77" s="50">
        <v>2</v>
      </c>
      <c r="K77" s="50">
        <v>0</v>
      </c>
      <c r="L77" s="50">
        <v>0</v>
      </c>
      <c r="M77" s="50">
        <v>25</v>
      </c>
      <c r="N77" s="50">
        <v>0</v>
      </c>
      <c r="O77" s="15">
        <f t="shared" si="35"/>
        <v>28</v>
      </c>
      <c r="P77" s="15">
        <f t="shared" si="36"/>
        <v>53</v>
      </c>
      <c r="R77" s="8"/>
      <c r="T77"/>
    </row>
    <row r="78" spans="2:20" ht="23.1" customHeight="1" x14ac:dyDescent="0.25">
      <c r="B78" s="46" t="s">
        <v>118</v>
      </c>
      <c r="C78" s="50">
        <v>25</v>
      </c>
      <c r="D78" s="50">
        <v>2</v>
      </c>
      <c r="E78" s="50">
        <v>1</v>
      </c>
      <c r="F78" s="50">
        <v>10</v>
      </c>
      <c r="G78" s="50">
        <v>0</v>
      </c>
      <c r="H78" s="50">
        <v>0</v>
      </c>
      <c r="I78" s="50">
        <v>5</v>
      </c>
      <c r="J78" s="50">
        <v>1</v>
      </c>
      <c r="K78" s="50">
        <v>0</v>
      </c>
      <c r="L78" s="50">
        <v>0</v>
      </c>
      <c r="M78" s="50">
        <v>30</v>
      </c>
      <c r="N78" s="50">
        <v>0</v>
      </c>
      <c r="O78" s="15">
        <f t="shared" si="35"/>
        <v>44</v>
      </c>
      <c r="P78" s="15">
        <f t="shared" si="36"/>
        <v>74</v>
      </c>
      <c r="R78" s="8"/>
      <c r="T78"/>
    </row>
    <row r="79" spans="2:20" ht="23.1" customHeight="1" x14ac:dyDescent="0.25">
      <c r="B79" s="45" t="s">
        <v>119</v>
      </c>
      <c r="C79" s="50">
        <v>15</v>
      </c>
      <c r="D79" s="50">
        <v>3</v>
      </c>
      <c r="E79" s="50">
        <v>2</v>
      </c>
      <c r="F79" s="50">
        <v>10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30</v>
      </c>
      <c r="N79" s="50">
        <v>0</v>
      </c>
      <c r="O79" s="15">
        <f t="shared" si="35"/>
        <v>31</v>
      </c>
      <c r="P79" s="15">
        <f t="shared" si="36"/>
        <v>61</v>
      </c>
      <c r="R79" s="8"/>
      <c r="T79"/>
    </row>
    <row r="80" spans="2:20" ht="23.1" customHeight="1" x14ac:dyDescent="0.25">
      <c r="B80" s="47" t="s">
        <v>120</v>
      </c>
      <c r="C80" s="50">
        <v>8</v>
      </c>
      <c r="D80" s="50">
        <v>0</v>
      </c>
      <c r="E80" s="50">
        <v>1</v>
      </c>
      <c r="F80" s="50">
        <v>4</v>
      </c>
      <c r="G80" s="50">
        <v>0</v>
      </c>
      <c r="H80" s="50">
        <v>0</v>
      </c>
      <c r="I80" s="50">
        <v>2</v>
      </c>
      <c r="J80" s="50">
        <v>2</v>
      </c>
      <c r="K80" s="50">
        <v>0</v>
      </c>
      <c r="L80" s="50">
        <v>1</v>
      </c>
      <c r="M80" s="50">
        <v>22</v>
      </c>
      <c r="N80" s="50">
        <v>0</v>
      </c>
      <c r="O80" s="15">
        <f t="shared" si="35"/>
        <v>18</v>
      </c>
      <c r="P80" s="15">
        <f t="shared" si="36"/>
        <v>40</v>
      </c>
      <c r="R80" s="8"/>
      <c r="T80"/>
    </row>
    <row r="81" spans="2:20" ht="23.1" customHeight="1" x14ac:dyDescent="0.25">
      <c r="B81" s="45" t="s">
        <v>121</v>
      </c>
      <c r="C81" s="50">
        <v>12</v>
      </c>
      <c r="D81" s="50">
        <v>1</v>
      </c>
      <c r="E81" s="50">
        <v>1</v>
      </c>
      <c r="F81" s="50">
        <v>3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30</v>
      </c>
      <c r="N81" s="50">
        <v>0</v>
      </c>
      <c r="O81" s="15">
        <f t="shared" si="35"/>
        <v>17</v>
      </c>
      <c r="P81" s="15">
        <f t="shared" si="36"/>
        <v>47</v>
      </c>
      <c r="R81" s="8"/>
      <c r="T81"/>
    </row>
    <row r="82" spans="2:20" ht="23.1" customHeight="1" x14ac:dyDescent="0.25">
      <c r="B82" s="46" t="s">
        <v>122</v>
      </c>
      <c r="C82" s="50">
        <v>11</v>
      </c>
      <c r="D82" s="50">
        <v>0</v>
      </c>
      <c r="E82" s="50">
        <v>0</v>
      </c>
      <c r="F82" s="50">
        <v>5</v>
      </c>
      <c r="G82" s="50">
        <v>0</v>
      </c>
      <c r="H82" s="50">
        <v>0</v>
      </c>
      <c r="I82" s="50">
        <v>2</v>
      </c>
      <c r="J82" s="50">
        <v>4</v>
      </c>
      <c r="K82" s="50">
        <v>0</v>
      </c>
      <c r="L82" s="50">
        <v>0</v>
      </c>
      <c r="M82" s="50">
        <v>37</v>
      </c>
      <c r="N82" s="50">
        <v>0</v>
      </c>
      <c r="O82" s="15">
        <f t="shared" si="35"/>
        <v>22</v>
      </c>
      <c r="P82" s="15">
        <f t="shared" si="36"/>
        <v>59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1</v>
      </c>
      <c r="M83" s="50">
        <v>35</v>
      </c>
      <c r="N83" s="50">
        <v>0</v>
      </c>
      <c r="O83" s="15">
        <f t="shared" si="35"/>
        <v>8</v>
      </c>
      <c r="P83" s="15">
        <f t="shared" si="36"/>
        <v>43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25</v>
      </c>
      <c r="N84" s="50">
        <v>0</v>
      </c>
      <c r="O84" s="15">
        <f t="shared" si="35"/>
        <v>10</v>
      </c>
      <c r="P84" s="15">
        <f t="shared" si="36"/>
        <v>35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1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35</v>
      </c>
      <c r="N85" s="50">
        <v>0</v>
      </c>
      <c r="O85" s="15">
        <f t="shared" si="35"/>
        <v>7</v>
      </c>
      <c r="P85" s="15">
        <f t="shared" si="36"/>
        <v>42</v>
      </c>
      <c r="R85" s="8"/>
      <c r="T85"/>
    </row>
    <row r="86" spans="2:20" ht="23.1" customHeight="1" x14ac:dyDescent="0.25">
      <c r="B86" s="46" t="s">
        <v>126</v>
      </c>
      <c r="C86" s="50">
        <v>7</v>
      </c>
      <c r="D86" s="50">
        <v>0</v>
      </c>
      <c r="E86" s="50">
        <v>1</v>
      </c>
      <c r="F86" s="50">
        <v>2</v>
      </c>
      <c r="G86" s="50">
        <v>0</v>
      </c>
      <c r="H86" s="50">
        <v>0</v>
      </c>
      <c r="I86" s="50">
        <v>0</v>
      </c>
      <c r="J86" s="50">
        <v>2</v>
      </c>
      <c r="K86" s="50">
        <v>0</v>
      </c>
      <c r="L86" s="50">
        <v>0</v>
      </c>
      <c r="M86" s="50">
        <v>41</v>
      </c>
      <c r="N86" s="50">
        <v>0</v>
      </c>
      <c r="O86" s="15">
        <f t="shared" si="35"/>
        <v>12</v>
      </c>
      <c r="P86" s="15">
        <f t="shared" si="36"/>
        <v>53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1</v>
      </c>
      <c r="E87" s="50">
        <v>2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16</v>
      </c>
      <c r="N87" s="50">
        <v>0</v>
      </c>
      <c r="O87" s="15">
        <f t="shared" si="35"/>
        <v>10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15</v>
      </c>
      <c r="N88" s="50">
        <v>0</v>
      </c>
      <c r="O88" s="15">
        <f t="shared" si="35"/>
        <v>6</v>
      </c>
      <c r="P88" s="15">
        <f t="shared" si="36"/>
        <v>21</v>
      </c>
      <c r="R88" s="8"/>
      <c r="T88"/>
    </row>
    <row r="89" spans="2:20" ht="23.1" customHeight="1" x14ac:dyDescent="0.25">
      <c r="B89" s="45" t="s">
        <v>129</v>
      </c>
      <c r="C89" s="50">
        <v>10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15</v>
      </c>
      <c r="N89" s="50">
        <v>0</v>
      </c>
      <c r="O89" s="15">
        <f t="shared" si="35"/>
        <v>11</v>
      </c>
      <c r="P89" s="15">
        <f t="shared" si="36"/>
        <v>26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0</v>
      </c>
      <c r="E90" s="50">
        <v>0</v>
      </c>
      <c r="F90" s="50">
        <v>5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30</v>
      </c>
      <c r="N90" s="50">
        <v>0</v>
      </c>
      <c r="O90" s="15">
        <f t="shared" si="35"/>
        <v>15</v>
      </c>
      <c r="P90" s="15">
        <f t="shared" si="36"/>
        <v>45</v>
      </c>
      <c r="R90" s="8"/>
      <c r="T90"/>
    </row>
    <row r="91" spans="2:20" ht="23.1" customHeight="1" x14ac:dyDescent="0.25">
      <c r="B91" s="45" t="s">
        <v>131</v>
      </c>
      <c r="C91" s="50">
        <v>10</v>
      </c>
      <c r="D91" s="50">
        <v>0</v>
      </c>
      <c r="E91" s="50">
        <v>1</v>
      </c>
      <c r="F91" s="50">
        <v>2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9</v>
      </c>
      <c r="N91" s="50">
        <v>0</v>
      </c>
      <c r="O91" s="15">
        <f t="shared" si="35"/>
        <v>14</v>
      </c>
      <c r="P91" s="15">
        <f t="shared" si="36"/>
        <v>23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1</v>
      </c>
      <c r="F92" s="50">
        <v>3</v>
      </c>
      <c r="G92" s="50">
        <v>2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13</v>
      </c>
      <c r="N92" s="50">
        <v>0</v>
      </c>
      <c r="O92" s="15">
        <f t="shared" si="35"/>
        <v>12</v>
      </c>
      <c r="P92" s="15">
        <f t="shared" si="36"/>
        <v>25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1</v>
      </c>
      <c r="E93" s="50">
        <v>0</v>
      </c>
      <c r="F93" s="50">
        <v>3</v>
      </c>
      <c r="G93" s="50">
        <v>0</v>
      </c>
      <c r="H93" s="50">
        <v>1</v>
      </c>
      <c r="I93" s="50">
        <v>1</v>
      </c>
      <c r="J93" s="50">
        <v>1</v>
      </c>
      <c r="K93" s="50">
        <v>1</v>
      </c>
      <c r="L93" s="50">
        <v>0</v>
      </c>
      <c r="M93" s="50">
        <v>17</v>
      </c>
      <c r="N93" s="50">
        <v>0</v>
      </c>
      <c r="O93" s="15">
        <f t="shared" si="35"/>
        <v>12</v>
      </c>
      <c r="P93" s="15">
        <f t="shared" si="36"/>
        <v>29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1</v>
      </c>
      <c r="E94" s="50">
        <v>2</v>
      </c>
      <c r="F94" s="50">
        <v>10</v>
      </c>
      <c r="G94" s="50">
        <v>1</v>
      </c>
      <c r="H94" s="50">
        <v>0</v>
      </c>
      <c r="I94" s="50">
        <v>2</v>
      </c>
      <c r="J94" s="50">
        <v>3</v>
      </c>
      <c r="K94" s="50">
        <v>0</v>
      </c>
      <c r="L94" s="50">
        <v>0</v>
      </c>
      <c r="M94" s="50">
        <v>20</v>
      </c>
      <c r="N94" s="50">
        <v>0</v>
      </c>
      <c r="O94" s="15">
        <f t="shared" si="35"/>
        <v>22</v>
      </c>
      <c r="P94" s="15">
        <f t="shared" si="36"/>
        <v>42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1</v>
      </c>
      <c r="E95" s="50">
        <v>1</v>
      </c>
      <c r="F95" s="50">
        <v>7</v>
      </c>
      <c r="G95" s="50">
        <v>1</v>
      </c>
      <c r="H95" s="50">
        <v>1</v>
      </c>
      <c r="I95" s="50">
        <v>1</v>
      </c>
      <c r="J95" s="50">
        <v>5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21</v>
      </c>
      <c r="P95" s="15">
        <f t="shared" si="36"/>
        <v>31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0</v>
      </c>
      <c r="E96" s="50">
        <v>0</v>
      </c>
      <c r="F96" s="50">
        <v>3</v>
      </c>
      <c r="G96" s="50">
        <v>0</v>
      </c>
      <c r="H96" s="50">
        <v>0</v>
      </c>
      <c r="I96" s="50">
        <v>1</v>
      </c>
      <c r="J96" s="50">
        <v>0</v>
      </c>
      <c r="K96" s="50">
        <v>1</v>
      </c>
      <c r="L96" s="50">
        <v>0</v>
      </c>
      <c r="M96" s="50">
        <v>13</v>
      </c>
      <c r="N96" s="50">
        <v>0</v>
      </c>
      <c r="O96" s="15">
        <f t="shared" si="35"/>
        <v>10</v>
      </c>
      <c r="P96" s="15">
        <f t="shared" si="36"/>
        <v>23</v>
      </c>
      <c r="R96" s="8"/>
      <c r="T96"/>
    </row>
    <row r="97" spans="2:20" ht="23.1" customHeight="1" x14ac:dyDescent="0.25">
      <c r="B97" s="45" t="s">
        <v>137</v>
      </c>
      <c r="C97" s="50">
        <v>18</v>
      </c>
      <c r="D97" s="50">
        <v>0</v>
      </c>
      <c r="E97" s="50">
        <v>1</v>
      </c>
      <c r="F97" s="50">
        <v>18</v>
      </c>
      <c r="G97" s="50">
        <v>0</v>
      </c>
      <c r="H97" s="50">
        <v>0</v>
      </c>
      <c r="I97" s="50">
        <v>2</v>
      </c>
      <c r="J97" s="50">
        <v>2</v>
      </c>
      <c r="K97" s="50">
        <v>2</v>
      </c>
      <c r="L97" s="50">
        <v>0</v>
      </c>
      <c r="M97" s="50">
        <v>18</v>
      </c>
      <c r="N97" s="50">
        <v>0</v>
      </c>
      <c r="O97" s="15">
        <f t="shared" si="35"/>
        <v>43</v>
      </c>
      <c r="P97" s="15">
        <f t="shared" si="36"/>
        <v>61</v>
      </c>
      <c r="R97" s="8"/>
      <c r="T97"/>
    </row>
    <row r="98" spans="2:20" ht="23.1" customHeight="1" x14ac:dyDescent="0.25">
      <c r="B98" s="46" t="s">
        <v>138</v>
      </c>
      <c r="C98" s="50">
        <v>12</v>
      </c>
      <c r="D98" s="50">
        <v>0</v>
      </c>
      <c r="E98" s="50">
        <v>2</v>
      </c>
      <c r="F98" s="50">
        <v>15</v>
      </c>
      <c r="G98" s="50">
        <v>0</v>
      </c>
      <c r="H98" s="50">
        <v>0</v>
      </c>
      <c r="I98" s="50">
        <v>0</v>
      </c>
      <c r="J98" s="50">
        <v>0</v>
      </c>
      <c r="K98" s="50">
        <v>2</v>
      </c>
      <c r="L98" s="50">
        <v>0</v>
      </c>
      <c r="M98" s="50">
        <v>35</v>
      </c>
      <c r="N98" s="50">
        <v>0</v>
      </c>
      <c r="O98" s="15">
        <f t="shared" si="35"/>
        <v>31</v>
      </c>
      <c r="P98" s="15">
        <f t="shared" si="36"/>
        <v>66</v>
      </c>
      <c r="R98" s="8"/>
      <c r="T98"/>
    </row>
    <row r="99" spans="2:20" ht="23.1" customHeight="1" x14ac:dyDescent="0.25">
      <c r="B99" s="45" t="s">
        <v>139</v>
      </c>
      <c r="C99" s="50">
        <v>15</v>
      </c>
      <c r="D99" s="50">
        <v>1</v>
      </c>
      <c r="E99" s="50">
        <v>0</v>
      </c>
      <c r="F99" s="50">
        <v>16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37</v>
      </c>
      <c r="N99" s="50">
        <v>1</v>
      </c>
      <c r="O99" s="15">
        <f t="shared" si="35"/>
        <v>34</v>
      </c>
      <c r="P99" s="15">
        <f t="shared" si="36"/>
        <v>71</v>
      </c>
      <c r="R99" s="8"/>
      <c r="T99"/>
    </row>
    <row r="100" spans="2:20" ht="23.1" customHeight="1" x14ac:dyDescent="0.25">
      <c r="B100" s="47" t="s">
        <v>140</v>
      </c>
      <c r="C100" s="50">
        <v>16</v>
      </c>
      <c r="D100" s="50">
        <v>1</v>
      </c>
      <c r="E100" s="50">
        <v>0</v>
      </c>
      <c r="F100" s="50">
        <v>25</v>
      </c>
      <c r="G100" s="50">
        <v>1</v>
      </c>
      <c r="H100" s="50">
        <v>0</v>
      </c>
      <c r="I100" s="50">
        <v>5</v>
      </c>
      <c r="J100" s="50">
        <v>3</v>
      </c>
      <c r="K100" s="50">
        <v>3</v>
      </c>
      <c r="L100" s="50">
        <v>1</v>
      </c>
      <c r="M100" s="50">
        <v>30</v>
      </c>
      <c r="N100" s="50">
        <v>0</v>
      </c>
      <c r="O100" s="15">
        <f t="shared" si="35"/>
        <v>55</v>
      </c>
      <c r="P100" s="15">
        <f t="shared" si="36"/>
        <v>85</v>
      </c>
      <c r="R100" s="8"/>
      <c r="T100"/>
    </row>
    <row r="101" spans="2:20" ht="23.1" customHeight="1" x14ac:dyDescent="0.25">
      <c r="B101" s="45" t="s">
        <v>141</v>
      </c>
      <c r="C101" s="50">
        <v>20</v>
      </c>
      <c r="D101" s="50">
        <v>1</v>
      </c>
      <c r="E101" s="50">
        <v>0</v>
      </c>
      <c r="F101" s="50">
        <v>40</v>
      </c>
      <c r="G101" s="50">
        <v>0</v>
      </c>
      <c r="H101" s="50">
        <v>0</v>
      </c>
      <c r="I101" s="50">
        <v>3</v>
      </c>
      <c r="J101" s="50">
        <v>1</v>
      </c>
      <c r="K101" s="50">
        <v>1</v>
      </c>
      <c r="L101" s="50">
        <v>0</v>
      </c>
      <c r="M101" s="50">
        <v>35</v>
      </c>
      <c r="N101" s="50">
        <v>0</v>
      </c>
      <c r="O101" s="15">
        <f t="shared" si="35"/>
        <v>66</v>
      </c>
      <c r="P101" s="15">
        <f t="shared" si="36"/>
        <v>101</v>
      </c>
      <c r="R101" s="8"/>
      <c r="T101"/>
    </row>
    <row r="102" spans="2:20" ht="23.1" customHeight="1" x14ac:dyDescent="0.25">
      <c r="B102" s="46" t="s">
        <v>142</v>
      </c>
      <c r="C102" s="50">
        <v>22</v>
      </c>
      <c r="D102" s="50">
        <v>0</v>
      </c>
      <c r="E102" s="50">
        <v>2</v>
      </c>
      <c r="F102" s="50">
        <v>40</v>
      </c>
      <c r="G102" s="50">
        <v>1</v>
      </c>
      <c r="H102" s="50">
        <v>0</v>
      </c>
      <c r="I102" s="50">
        <v>7</v>
      </c>
      <c r="J102" s="50">
        <v>2</v>
      </c>
      <c r="K102" s="50">
        <v>1</v>
      </c>
      <c r="L102" s="50">
        <v>0</v>
      </c>
      <c r="M102" s="50">
        <v>75</v>
      </c>
      <c r="N102" s="50">
        <v>0</v>
      </c>
      <c r="O102" s="15">
        <f t="shared" si="35"/>
        <v>75</v>
      </c>
      <c r="P102" s="15">
        <f t="shared" si="36"/>
        <v>150</v>
      </c>
      <c r="R102" s="8"/>
      <c r="T102"/>
    </row>
    <row r="103" spans="2:20" ht="23.1" customHeight="1" x14ac:dyDescent="0.25">
      <c r="B103" s="45" t="s">
        <v>143</v>
      </c>
      <c r="C103" s="50">
        <v>18</v>
      </c>
      <c r="D103" s="50">
        <v>2</v>
      </c>
      <c r="E103" s="50">
        <v>2</v>
      </c>
      <c r="F103" s="50">
        <v>72</v>
      </c>
      <c r="G103" s="50">
        <v>1</v>
      </c>
      <c r="H103" s="50">
        <v>0</v>
      </c>
      <c r="I103" s="50">
        <v>6</v>
      </c>
      <c r="J103" s="50">
        <v>3</v>
      </c>
      <c r="K103" s="50">
        <v>1</v>
      </c>
      <c r="L103" s="50">
        <v>0</v>
      </c>
      <c r="M103" s="50">
        <v>66</v>
      </c>
      <c r="N103" s="50">
        <v>0</v>
      </c>
      <c r="O103" s="15">
        <f t="shared" si="35"/>
        <v>105</v>
      </c>
      <c r="P103" s="15">
        <f t="shared" si="36"/>
        <v>171</v>
      </c>
      <c r="R103" s="8"/>
      <c r="T103"/>
    </row>
    <row r="104" spans="2:20" ht="23.1" customHeight="1" x14ac:dyDescent="0.25">
      <c r="B104" s="47" t="s">
        <v>144</v>
      </c>
      <c r="C104" s="50">
        <v>15</v>
      </c>
      <c r="D104" s="50">
        <v>1</v>
      </c>
      <c r="E104" s="50">
        <v>2</v>
      </c>
      <c r="F104" s="50">
        <v>41</v>
      </c>
      <c r="G104" s="50">
        <v>3</v>
      </c>
      <c r="H104" s="50">
        <v>1</v>
      </c>
      <c r="I104" s="50">
        <v>6</v>
      </c>
      <c r="J104" s="50">
        <v>3</v>
      </c>
      <c r="K104" s="50">
        <v>1</v>
      </c>
      <c r="L104" s="50">
        <v>0</v>
      </c>
      <c r="M104" s="50">
        <v>87</v>
      </c>
      <c r="N104" s="50">
        <v>0</v>
      </c>
      <c r="O104" s="15">
        <f t="shared" si="35"/>
        <v>73</v>
      </c>
      <c r="P104" s="15">
        <f t="shared" si="36"/>
        <v>160</v>
      </c>
      <c r="R104" s="8"/>
      <c r="T104"/>
    </row>
    <row r="105" spans="2:20" ht="23.1" customHeight="1" x14ac:dyDescent="0.25">
      <c r="B105" s="45" t="s">
        <v>145</v>
      </c>
      <c r="C105" s="50">
        <v>30</v>
      </c>
      <c r="D105" s="50">
        <v>2</v>
      </c>
      <c r="E105" s="50">
        <v>2</v>
      </c>
      <c r="F105" s="50">
        <v>73</v>
      </c>
      <c r="G105" s="50">
        <v>0</v>
      </c>
      <c r="H105" s="50">
        <v>0</v>
      </c>
      <c r="I105" s="50">
        <v>3</v>
      </c>
      <c r="J105" s="50">
        <v>5</v>
      </c>
      <c r="K105" s="50">
        <v>5</v>
      </c>
      <c r="L105" s="50">
        <v>2</v>
      </c>
      <c r="M105" s="50">
        <v>156</v>
      </c>
      <c r="N105" s="50">
        <v>0</v>
      </c>
      <c r="O105" s="15">
        <f t="shared" si="35"/>
        <v>122</v>
      </c>
      <c r="P105" s="15">
        <f t="shared" si="36"/>
        <v>278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4129</v>
      </c>
      <c r="D106" s="16">
        <f t="shared" ref="D106:P106" si="37">SUM(D10:D105)</f>
        <v>848</v>
      </c>
      <c r="E106" s="16">
        <f t="shared" si="37"/>
        <v>505</v>
      </c>
      <c r="F106" s="16">
        <f t="shared" si="37"/>
        <v>2836</v>
      </c>
      <c r="G106" s="16">
        <f t="shared" si="37"/>
        <v>114</v>
      </c>
      <c r="H106" s="16">
        <f t="shared" si="37"/>
        <v>49</v>
      </c>
      <c r="I106" s="16">
        <f t="shared" si="37"/>
        <v>639</v>
      </c>
      <c r="J106" s="16">
        <f t="shared" si="37"/>
        <v>149</v>
      </c>
      <c r="K106" s="16">
        <f t="shared" si="37"/>
        <v>67</v>
      </c>
      <c r="L106" s="16">
        <f t="shared" si="37"/>
        <v>28</v>
      </c>
      <c r="M106" s="16">
        <f t="shared" si="37"/>
        <v>15166</v>
      </c>
      <c r="N106" s="16">
        <f t="shared" si="37"/>
        <v>1</v>
      </c>
      <c r="O106" s="16">
        <f t="shared" si="37"/>
        <v>9365</v>
      </c>
      <c r="P106" s="16">
        <f t="shared" si="37"/>
        <v>24531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0.1683176389058742</v>
      </c>
      <c r="D107" s="43">
        <f t="shared" si="38"/>
        <v>3.4568505156740453E-2</v>
      </c>
      <c r="E107" s="43">
        <f t="shared" si="38"/>
        <v>2.0586197056785292E-2</v>
      </c>
      <c r="F107" s="43">
        <f t="shared" si="38"/>
        <v>0.11560882149117443</v>
      </c>
      <c r="G107" s="43">
        <f t="shared" si="38"/>
        <v>4.6471811177693527E-3</v>
      </c>
      <c r="H107" s="43">
        <f t="shared" si="38"/>
        <v>1.9974725857078799E-3</v>
      </c>
      <c r="I107" s="43">
        <f t="shared" si="38"/>
        <v>2.6048673107496638E-2</v>
      </c>
      <c r="J107" s="43">
        <f t="shared" si="38"/>
        <v>6.0739472504178389E-3</v>
      </c>
      <c r="K107" s="43">
        <f t="shared" si="38"/>
        <v>2.7312380253556724E-3</v>
      </c>
      <c r="L107" s="43">
        <f t="shared" si="38"/>
        <v>1.1414129061187886E-3</v>
      </c>
      <c r="M107" s="43">
        <f t="shared" si="38"/>
        <v>0.61823814764991236</v>
      </c>
      <c r="N107" s="43">
        <f t="shared" si="38"/>
        <v>4.0764746647099587E-5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0.44089695675387081</v>
      </c>
      <c r="D108" s="44">
        <f t="shared" ref="D108:N108" si="39">D106/$O$106</f>
        <v>9.0549919914575547E-2</v>
      </c>
      <c r="E108" s="44">
        <f t="shared" si="39"/>
        <v>5.3924185798184733E-2</v>
      </c>
      <c r="F108" s="44">
        <f t="shared" si="39"/>
        <v>0.30282968499733048</v>
      </c>
      <c r="G108" s="44">
        <f t="shared" si="39"/>
        <v>1.2172984516817939E-2</v>
      </c>
      <c r="H108" s="44">
        <f t="shared" si="39"/>
        <v>5.232247730912974E-3</v>
      </c>
      <c r="I108" s="44">
        <f t="shared" si="39"/>
        <v>6.8232781633742662E-2</v>
      </c>
      <c r="J108" s="44">
        <f t="shared" si="39"/>
        <v>1.591030432461292E-2</v>
      </c>
      <c r="K108" s="44">
        <f t="shared" si="39"/>
        <v>7.1542979177789644E-3</v>
      </c>
      <c r="L108" s="44">
        <f t="shared" si="39"/>
        <v>2.989855846235985E-3</v>
      </c>
      <c r="M108" s="44"/>
      <c r="N108" s="44">
        <f t="shared" si="39"/>
        <v>1.0678056593699947E-4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B40" zoomScale="60" workbookViewId="0">
      <selection activeCell="L20" sqref="L2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Kalerwe-Kampala-24h'!D5</f>
        <v>26.07.19</v>
      </c>
      <c r="E5" s="3"/>
      <c r="F5" s="41" t="s">
        <v>1</v>
      </c>
      <c r="G5" s="65" t="str">
        <f>'26.07 Kalerwe-Kampala-24h'!G5:H5</f>
        <v>Wandegeya</v>
      </c>
      <c r="H5" s="66"/>
      <c r="I5" s="14"/>
      <c r="J5" s="2" t="s">
        <v>5</v>
      </c>
      <c r="K5" s="65" t="str">
        <f>'26.07 Kalerwe-Kampala-24h'!K5:L5</f>
        <v>Mbabazi /Kandake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'23.07 Kampala-Kalerwe'!G6:H6</f>
        <v>Kalerwe</v>
      </c>
      <c r="H6" s="66"/>
      <c r="J6" s="2" t="s">
        <v>21</v>
      </c>
      <c r="K6" s="65" t="str">
        <f>'26.07 Kalerwe-Kampala-24h'!K6:L6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16</v>
      </c>
      <c r="D10" s="50">
        <v>5</v>
      </c>
      <c r="E10" s="50">
        <v>0</v>
      </c>
      <c r="F10" s="50">
        <v>37</v>
      </c>
      <c r="G10" s="50">
        <v>4</v>
      </c>
      <c r="H10" s="50">
        <v>1</v>
      </c>
      <c r="I10" s="50">
        <v>6</v>
      </c>
      <c r="J10" s="50">
        <v>0</v>
      </c>
      <c r="K10" s="50">
        <v>0</v>
      </c>
      <c r="L10" s="50">
        <v>0</v>
      </c>
      <c r="M10" s="50">
        <v>130</v>
      </c>
      <c r="N10" s="50">
        <v>0</v>
      </c>
      <c r="O10" s="15">
        <f t="shared" ref="O10:O73" si="0">SUM(C10:L10,N10)</f>
        <v>69</v>
      </c>
      <c r="P10" s="15">
        <f t="shared" ref="P10:P73" si="1">SUM(C10:N10)</f>
        <v>199</v>
      </c>
      <c r="R10" s="1" t="s">
        <v>6</v>
      </c>
      <c r="S10" s="17">
        <f t="shared" ref="S10:AF10" si="2">SUM(C10:C13)</f>
        <v>75</v>
      </c>
      <c r="T10" s="17">
        <f t="shared" si="2"/>
        <v>25</v>
      </c>
      <c r="U10" s="17">
        <f t="shared" si="2"/>
        <v>10</v>
      </c>
      <c r="V10" s="17">
        <f t="shared" si="2"/>
        <v>239</v>
      </c>
      <c r="W10" s="17">
        <f t="shared" si="2"/>
        <v>10</v>
      </c>
      <c r="X10" s="17">
        <f t="shared" si="2"/>
        <v>6</v>
      </c>
      <c r="Y10" s="17">
        <f t="shared" si="2"/>
        <v>21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920</v>
      </c>
      <c r="AD10" s="17">
        <f t="shared" si="2"/>
        <v>0</v>
      </c>
      <c r="AE10" s="31">
        <f t="shared" si="2"/>
        <v>388</v>
      </c>
      <c r="AF10" s="31">
        <f t="shared" si="2"/>
        <v>1308</v>
      </c>
    </row>
    <row r="11" spans="2:32" s="6" customFormat="1" ht="23.1" customHeight="1" x14ac:dyDescent="0.25">
      <c r="B11" s="45" t="s">
        <v>38</v>
      </c>
      <c r="C11" s="50">
        <v>21</v>
      </c>
      <c r="D11" s="50">
        <v>4</v>
      </c>
      <c r="E11" s="50">
        <v>5</v>
      </c>
      <c r="F11" s="50">
        <v>61</v>
      </c>
      <c r="G11" s="50">
        <v>1</v>
      </c>
      <c r="H11" s="50">
        <v>3</v>
      </c>
      <c r="I11" s="50">
        <v>3</v>
      </c>
      <c r="J11" s="50">
        <v>0</v>
      </c>
      <c r="K11" s="50">
        <v>0</v>
      </c>
      <c r="L11" s="50">
        <v>0</v>
      </c>
      <c r="M11" s="50">
        <v>225</v>
      </c>
      <c r="N11" s="50">
        <v>0</v>
      </c>
      <c r="O11" s="15">
        <f t="shared" si="0"/>
        <v>98</v>
      </c>
      <c r="P11" s="15">
        <f t="shared" si="1"/>
        <v>323</v>
      </c>
      <c r="R11" s="1" t="s">
        <v>7</v>
      </c>
      <c r="S11" s="17">
        <f t="shared" ref="S11:AF11" si="3">SUM(C14:C17)</f>
        <v>104</v>
      </c>
      <c r="T11" s="17">
        <f t="shared" si="3"/>
        <v>19</v>
      </c>
      <c r="U11" s="17">
        <f t="shared" si="3"/>
        <v>8</v>
      </c>
      <c r="V11" s="17">
        <f t="shared" si="3"/>
        <v>253</v>
      </c>
      <c r="W11" s="17">
        <f t="shared" si="3"/>
        <v>4</v>
      </c>
      <c r="X11" s="17">
        <f t="shared" si="3"/>
        <v>4</v>
      </c>
      <c r="Y11" s="17">
        <f t="shared" si="3"/>
        <v>29</v>
      </c>
      <c r="Z11" s="17">
        <f t="shared" si="3"/>
        <v>2</v>
      </c>
      <c r="AA11" s="17">
        <f t="shared" si="3"/>
        <v>1</v>
      </c>
      <c r="AB11" s="17">
        <f t="shared" si="3"/>
        <v>1</v>
      </c>
      <c r="AC11" s="17">
        <f t="shared" si="3"/>
        <v>1100</v>
      </c>
      <c r="AD11" s="17">
        <f t="shared" si="3"/>
        <v>0</v>
      </c>
      <c r="AE11" s="31">
        <f t="shared" si="3"/>
        <v>425</v>
      </c>
      <c r="AF11" s="31">
        <f t="shared" si="3"/>
        <v>1525</v>
      </c>
    </row>
    <row r="12" spans="2:32" ht="23.1" customHeight="1" x14ac:dyDescent="0.25">
      <c r="B12" s="45" t="s">
        <v>39</v>
      </c>
      <c r="C12" s="50">
        <v>22</v>
      </c>
      <c r="D12" s="50">
        <v>14</v>
      </c>
      <c r="E12" s="50">
        <v>3</v>
      </c>
      <c r="F12" s="50">
        <v>71</v>
      </c>
      <c r="G12" s="50">
        <v>4</v>
      </c>
      <c r="H12" s="50">
        <v>2</v>
      </c>
      <c r="I12" s="50">
        <v>5</v>
      </c>
      <c r="J12" s="50">
        <v>0</v>
      </c>
      <c r="K12" s="50">
        <v>0</v>
      </c>
      <c r="L12" s="50">
        <v>0</v>
      </c>
      <c r="M12" s="50">
        <v>295</v>
      </c>
      <c r="N12" s="50">
        <v>0</v>
      </c>
      <c r="O12" s="15">
        <f t="shared" si="0"/>
        <v>121</v>
      </c>
      <c r="P12" s="15">
        <f t="shared" si="1"/>
        <v>416</v>
      </c>
      <c r="R12" s="1" t="s">
        <v>8</v>
      </c>
      <c r="S12" s="17">
        <f t="shared" ref="S12:AF12" si="4">SUM(C18:C21)</f>
        <v>120</v>
      </c>
      <c r="T12" s="17">
        <f t="shared" si="4"/>
        <v>25</v>
      </c>
      <c r="U12" s="17">
        <f t="shared" si="4"/>
        <v>10</v>
      </c>
      <c r="V12" s="17">
        <f t="shared" si="4"/>
        <v>264</v>
      </c>
      <c r="W12" s="17">
        <f t="shared" si="4"/>
        <v>3</v>
      </c>
      <c r="X12" s="17">
        <f t="shared" si="4"/>
        <v>1</v>
      </c>
      <c r="Y12" s="17">
        <f t="shared" si="4"/>
        <v>48</v>
      </c>
      <c r="Z12" s="17">
        <f t="shared" si="4"/>
        <v>3</v>
      </c>
      <c r="AA12" s="17">
        <f t="shared" si="4"/>
        <v>0</v>
      </c>
      <c r="AB12" s="17">
        <f t="shared" si="4"/>
        <v>1</v>
      </c>
      <c r="AC12" s="17">
        <f t="shared" si="4"/>
        <v>1295</v>
      </c>
      <c r="AD12" s="17">
        <f t="shared" si="4"/>
        <v>0</v>
      </c>
      <c r="AE12" s="31">
        <f t="shared" si="4"/>
        <v>475</v>
      </c>
      <c r="AF12" s="31">
        <f t="shared" si="4"/>
        <v>1770</v>
      </c>
    </row>
    <row r="13" spans="2:32" ht="23.1" customHeight="1" x14ac:dyDescent="0.25">
      <c r="B13" s="45" t="s">
        <v>40</v>
      </c>
      <c r="C13" s="50">
        <v>16</v>
      </c>
      <c r="D13" s="50">
        <v>2</v>
      </c>
      <c r="E13" s="50">
        <v>2</v>
      </c>
      <c r="F13" s="50">
        <v>70</v>
      </c>
      <c r="G13" s="50">
        <v>1</v>
      </c>
      <c r="H13" s="50">
        <v>0</v>
      </c>
      <c r="I13" s="50">
        <v>7</v>
      </c>
      <c r="J13" s="50">
        <v>0</v>
      </c>
      <c r="K13" s="50">
        <v>2</v>
      </c>
      <c r="L13" s="50">
        <v>0</v>
      </c>
      <c r="M13" s="50">
        <v>270</v>
      </c>
      <c r="N13" s="50">
        <v>0</v>
      </c>
      <c r="O13" s="15">
        <f t="shared" si="0"/>
        <v>100</v>
      </c>
      <c r="P13" s="15">
        <f t="shared" si="1"/>
        <v>370</v>
      </c>
      <c r="R13" s="1" t="s">
        <v>9</v>
      </c>
      <c r="S13" s="17">
        <f t="shared" ref="S13:AF13" si="5">SUM(C22:C25)</f>
        <v>124</v>
      </c>
      <c r="T13" s="17">
        <f t="shared" si="5"/>
        <v>34</v>
      </c>
      <c r="U13" s="17">
        <f t="shared" si="5"/>
        <v>16</v>
      </c>
      <c r="V13" s="17">
        <f t="shared" si="5"/>
        <v>152</v>
      </c>
      <c r="W13" s="17">
        <f t="shared" si="5"/>
        <v>5</v>
      </c>
      <c r="X13" s="17">
        <f t="shared" si="5"/>
        <v>2</v>
      </c>
      <c r="Y13" s="17">
        <f t="shared" si="5"/>
        <v>34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1094</v>
      </c>
      <c r="AD13" s="17">
        <f t="shared" si="5"/>
        <v>0</v>
      </c>
      <c r="AE13" s="31">
        <f t="shared" si="5"/>
        <v>370</v>
      </c>
      <c r="AF13" s="31">
        <f t="shared" si="5"/>
        <v>1464</v>
      </c>
    </row>
    <row r="14" spans="2:32" ht="23.1" customHeight="1" x14ac:dyDescent="0.25">
      <c r="B14" s="45" t="s">
        <v>41</v>
      </c>
      <c r="C14" s="50">
        <v>30</v>
      </c>
      <c r="D14" s="50">
        <v>5</v>
      </c>
      <c r="E14" s="50">
        <v>1</v>
      </c>
      <c r="F14" s="50">
        <v>69</v>
      </c>
      <c r="G14" s="50">
        <v>2</v>
      </c>
      <c r="H14" s="50">
        <v>0</v>
      </c>
      <c r="I14" s="50">
        <v>8</v>
      </c>
      <c r="J14" s="50">
        <v>2</v>
      </c>
      <c r="K14" s="50">
        <v>1</v>
      </c>
      <c r="L14" s="50">
        <v>0</v>
      </c>
      <c r="M14" s="50">
        <v>310</v>
      </c>
      <c r="N14" s="50">
        <v>0</v>
      </c>
      <c r="O14" s="15">
        <f t="shared" si="0"/>
        <v>118</v>
      </c>
      <c r="P14" s="15">
        <f t="shared" si="1"/>
        <v>428</v>
      </c>
      <c r="R14" s="1" t="s">
        <v>10</v>
      </c>
      <c r="S14" s="17">
        <f t="shared" ref="S14:AF14" si="6">SUM(C26:C29)</f>
        <v>112</v>
      </c>
      <c r="T14" s="17">
        <f t="shared" si="6"/>
        <v>30</v>
      </c>
      <c r="U14" s="17">
        <f t="shared" si="6"/>
        <v>18</v>
      </c>
      <c r="V14" s="17">
        <f t="shared" si="6"/>
        <v>141</v>
      </c>
      <c r="W14" s="17">
        <f t="shared" si="6"/>
        <v>3</v>
      </c>
      <c r="X14" s="17">
        <f t="shared" si="6"/>
        <v>2</v>
      </c>
      <c r="Y14" s="17">
        <f t="shared" si="6"/>
        <v>46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910</v>
      </c>
      <c r="AD14" s="17">
        <f t="shared" si="6"/>
        <v>0</v>
      </c>
      <c r="AE14" s="31">
        <f t="shared" si="6"/>
        <v>355</v>
      </c>
      <c r="AF14" s="31">
        <f t="shared" si="6"/>
        <v>1265</v>
      </c>
    </row>
    <row r="15" spans="2:32" ht="23.1" customHeight="1" x14ac:dyDescent="0.25">
      <c r="B15" s="45" t="s">
        <v>42</v>
      </c>
      <c r="C15" s="50">
        <v>29</v>
      </c>
      <c r="D15" s="50">
        <v>5</v>
      </c>
      <c r="E15" s="50">
        <v>2</v>
      </c>
      <c r="F15" s="50">
        <v>55</v>
      </c>
      <c r="G15" s="50">
        <v>1</v>
      </c>
      <c r="H15" s="50">
        <v>3</v>
      </c>
      <c r="I15" s="50">
        <v>9</v>
      </c>
      <c r="J15" s="50">
        <v>0</v>
      </c>
      <c r="K15" s="50">
        <v>0</v>
      </c>
      <c r="L15" s="50">
        <v>0</v>
      </c>
      <c r="M15" s="50">
        <v>260</v>
      </c>
      <c r="N15" s="50">
        <v>0</v>
      </c>
      <c r="O15" s="15">
        <f t="shared" si="0"/>
        <v>104</v>
      </c>
      <c r="P15" s="15">
        <f t="shared" si="1"/>
        <v>364</v>
      </c>
      <c r="R15" s="1" t="s">
        <v>11</v>
      </c>
      <c r="S15" s="17">
        <f t="shared" ref="S15:AF15" si="7">SUM(C30:C33)</f>
        <v>104</v>
      </c>
      <c r="T15" s="17">
        <f t="shared" si="7"/>
        <v>35</v>
      </c>
      <c r="U15" s="17">
        <f t="shared" si="7"/>
        <v>15</v>
      </c>
      <c r="V15" s="17">
        <f t="shared" si="7"/>
        <v>150</v>
      </c>
      <c r="W15" s="17">
        <f t="shared" si="7"/>
        <v>4</v>
      </c>
      <c r="X15" s="17">
        <f t="shared" si="7"/>
        <v>3</v>
      </c>
      <c r="Y15" s="17">
        <f t="shared" si="7"/>
        <v>57</v>
      </c>
      <c r="Z15" s="17">
        <f t="shared" si="7"/>
        <v>4</v>
      </c>
      <c r="AA15" s="17">
        <f t="shared" si="7"/>
        <v>1</v>
      </c>
      <c r="AB15" s="17">
        <f t="shared" si="7"/>
        <v>2</v>
      </c>
      <c r="AC15" s="17">
        <f t="shared" si="7"/>
        <v>835</v>
      </c>
      <c r="AD15" s="17">
        <f t="shared" si="7"/>
        <v>0</v>
      </c>
      <c r="AE15" s="31">
        <f t="shared" si="7"/>
        <v>375</v>
      </c>
      <c r="AF15" s="31">
        <f t="shared" si="7"/>
        <v>1210</v>
      </c>
    </row>
    <row r="16" spans="2:32" ht="23.1" customHeight="1" x14ac:dyDescent="0.25">
      <c r="B16" s="45" t="s">
        <v>43</v>
      </c>
      <c r="C16" s="50">
        <v>25</v>
      </c>
      <c r="D16" s="50">
        <v>2</v>
      </c>
      <c r="E16" s="50">
        <v>3</v>
      </c>
      <c r="F16" s="50">
        <v>71</v>
      </c>
      <c r="G16" s="50">
        <v>0</v>
      </c>
      <c r="H16" s="50">
        <v>0</v>
      </c>
      <c r="I16" s="50">
        <v>10</v>
      </c>
      <c r="J16" s="50">
        <v>0</v>
      </c>
      <c r="K16" s="50">
        <v>0</v>
      </c>
      <c r="L16" s="50">
        <v>0</v>
      </c>
      <c r="M16" s="50">
        <v>280</v>
      </c>
      <c r="N16" s="50">
        <v>0</v>
      </c>
      <c r="O16" s="15">
        <f t="shared" si="0"/>
        <v>111</v>
      </c>
      <c r="P16" s="15">
        <f t="shared" si="1"/>
        <v>391</v>
      </c>
      <c r="R16" s="1" t="s">
        <v>12</v>
      </c>
      <c r="S16" s="17">
        <f t="shared" ref="S16:AF16" si="8">SUM(C34:C37)</f>
        <v>120</v>
      </c>
      <c r="T16" s="17">
        <f t="shared" si="8"/>
        <v>40</v>
      </c>
      <c r="U16" s="17">
        <f t="shared" si="8"/>
        <v>8</v>
      </c>
      <c r="V16" s="17">
        <f t="shared" si="8"/>
        <v>157</v>
      </c>
      <c r="W16" s="17">
        <f t="shared" si="8"/>
        <v>5</v>
      </c>
      <c r="X16" s="17">
        <f t="shared" si="8"/>
        <v>4</v>
      </c>
      <c r="Y16" s="17">
        <f t="shared" si="8"/>
        <v>50</v>
      </c>
      <c r="Z16" s="17">
        <f t="shared" si="8"/>
        <v>6</v>
      </c>
      <c r="AA16" s="17">
        <f t="shared" si="8"/>
        <v>5</v>
      </c>
      <c r="AB16" s="17">
        <f t="shared" si="8"/>
        <v>2</v>
      </c>
      <c r="AC16" s="17">
        <f t="shared" si="8"/>
        <v>790</v>
      </c>
      <c r="AD16" s="17">
        <f t="shared" si="8"/>
        <v>0</v>
      </c>
      <c r="AE16" s="31">
        <f t="shared" si="8"/>
        <v>397</v>
      </c>
      <c r="AF16" s="31">
        <f t="shared" si="8"/>
        <v>1187</v>
      </c>
    </row>
    <row r="17" spans="2:32" ht="23.1" customHeight="1" x14ac:dyDescent="0.25">
      <c r="B17" s="45" t="s">
        <v>44</v>
      </c>
      <c r="C17" s="50">
        <v>20</v>
      </c>
      <c r="D17" s="50">
        <v>7</v>
      </c>
      <c r="E17" s="50">
        <v>2</v>
      </c>
      <c r="F17" s="50">
        <v>58</v>
      </c>
      <c r="G17" s="50">
        <v>1</v>
      </c>
      <c r="H17" s="50">
        <v>1</v>
      </c>
      <c r="I17" s="50">
        <v>2</v>
      </c>
      <c r="J17" s="50">
        <v>0</v>
      </c>
      <c r="K17" s="50">
        <v>0</v>
      </c>
      <c r="L17" s="50">
        <v>1</v>
      </c>
      <c r="M17" s="50">
        <v>250</v>
      </c>
      <c r="N17" s="50">
        <v>0</v>
      </c>
      <c r="O17" s="15">
        <f t="shared" si="0"/>
        <v>92</v>
      </c>
      <c r="P17" s="15">
        <f t="shared" si="1"/>
        <v>342</v>
      </c>
      <c r="R17" s="1" t="s">
        <v>13</v>
      </c>
      <c r="S17" s="17">
        <f t="shared" ref="S17:AF17" si="9">SUM(C38:C41)</f>
        <v>168</v>
      </c>
      <c r="T17" s="17">
        <f t="shared" si="9"/>
        <v>30</v>
      </c>
      <c r="U17" s="17">
        <f t="shared" si="9"/>
        <v>18</v>
      </c>
      <c r="V17" s="17">
        <f t="shared" si="9"/>
        <v>195</v>
      </c>
      <c r="W17" s="17">
        <f t="shared" si="9"/>
        <v>4</v>
      </c>
      <c r="X17" s="17">
        <f t="shared" si="9"/>
        <v>4</v>
      </c>
      <c r="Y17" s="17">
        <f t="shared" si="9"/>
        <v>70</v>
      </c>
      <c r="Z17" s="17">
        <f t="shared" si="9"/>
        <v>6</v>
      </c>
      <c r="AA17" s="17">
        <f t="shared" si="9"/>
        <v>3</v>
      </c>
      <c r="AB17" s="17">
        <f t="shared" si="9"/>
        <v>3</v>
      </c>
      <c r="AC17" s="17">
        <f t="shared" si="9"/>
        <v>850</v>
      </c>
      <c r="AD17" s="17">
        <f t="shared" si="9"/>
        <v>0</v>
      </c>
      <c r="AE17" s="31">
        <f t="shared" si="9"/>
        <v>501</v>
      </c>
      <c r="AF17" s="31">
        <f t="shared" si="9"/>
        <v>1351</v>
      </c>
    </row>
    <row r="18" spans="2:32" ht="23.1" customHeight="1" x14ac:dyDescent="0.25">
      <c r="B18" s="45" t="s">
        <v>45</v>
      </c>
      <c r="C18" s="50">
        <v>30</v>
      </c>
      <c r="D18" s="50">
        <v>3</v>
      </c>
      <c r="E18" s="50">
        <v>4</v>
      </c>
      <c r="F18" s="50">
        <v>85</v>
      </c>
      <c r="G18" s="50">
        <v>1</v>
      </c>
      <c r="H18" s="50">
        <v>1</v>
      </c>
      <c r="I18" s="50">
        <v>9</v>
      </c>
      <c r="J18" s="50">
        <v>0</v>
      </c>
      <c r="K18" s="50">
        <v>0</v>
      </c>
      <c r="L18" s="50">
        <v>0</v>
      </c>
      <c r="M18" s="50">
        <v>350</v>
      </c>
      <c r="N18" s="50">
        <v>0</v>
      </c>
      <c r="O18" s="15">
        <f t="shared" si="0"/>
        <v>133</v>
      </c>
      <c r="P18" s="15">
        <f t="shared" si="1"/>
        <v>483</v>
      </c>
      <c r="R18" s="1" t="s">
        <v>14</v>
      </c>
      <c r="S18" s="17">
        <f t="shared" ref="S18:AF18" si="10">SUM(C42:C45)</f>
        <v>180</v>
      </c>
      <c r="T18" s="17">
        <f t="shared" si="10"/>
        <v>43</v>
      </c>
      <c r="U18" s="17">
        <f t="shared" si="10"/>
        <v>25</v>
      </c>
      <c r="V18" s="17">
        <f t="shared" si="10"/>
        <v>203</v>
      </c>
      <c r="W18" s="17">
        <f t="shared" si="10"/>
        <v>6</v>
      </c>
      <c r="X18" s="17">
        <f t="shared" si="10"/>
        <v>4</v>
      </c>
      <c r="Y18" s="17">
        <f t="shared" si="10"/>
        <v>45</v>
      </c>
      <c r="Z18" s="17">
        <f t="shared" si="10"/>
        <v>14</v>
      </c>
      <c r="AA18" s="17">
        <f t="shared" si="10"/>
        <v>2</v>
      </c>
      <c r="AB18" s="17">
        <f t="shared" si="10"/>
        <v>0</v>
      </c>
      <c r="AC18" s="17">
        <f t="shared" si="10"/>
        <v>848</v>
      </c>
      <c r="AD18" s="17">
        <f t="shared" si="10"/>
        <v>0</v>
      </c>
      <c r="AE18" s="31">
        <f t="shared" si="10"/>
        <v>522</v>
      </c>
      <c r="AF18" s="31">
        <f t="shared" si="10"/>
        <v>1370</v>
      </c>
    </row>
    <row r="19" spans="2:32" ht="23.1" customHeight="1" x14ac:dyDescent="0.25">
      <c r="B19" s="45" t="s">
        <v>46</v>
      </c>
      <c r="C19" s="50">
        <v>35</v>
      </c>
      <c r="D19" s="50">
        <v>9</v>
      </c>
      <c r="E19" s="50">
        <v>3</v>
      </c>
      <c r="F19" s="50">
        <v>75</v>
      </c>
      <c r="G19" s="50">
        <v>0</v>
      </c>
      <c r="H19" s="50">
        <v>0</v>
      </c>
      <c r="I19" s="50">
        <v>22</v>
      </c>
      <c r="J19" s="50">
        <v>1</v>
      </c>
      <c r="K19" s="50">
        <v>0</v>
      </c>
      <c r="L19" s="50">
        <v>1</v>
      </c>
      <c r="M19" s="50">
        <v>315</v>
      </c>
      <c r="N19" s="50">
        <v>0</v>
      </c>
      <c r="O19" s="15">
        <f t="shared" si="0"/>
        <v>146</v>
      </c>
      <c r="P19" s="15">
        <f t="shared" si="1"/>
        <v>461</v>
      </c>
      <c r="R19" s="1" t="s">
        <v>15</v>
      </c>
      <c r="S19" s="17">
        <f t="shared" ref="S19:AF19" si="11">SUM(C46:C49)</f>
        <v>195</v>
      </c>
      <c r="T19" s="17">
        <f t="shared" si="11"/>
        <v>69</v>
      </c>
      <c r="U19" s="17">
        <f t="shared" si="11"/>
        <v>30</v>
      </c>
      <c r="V19" s="17">
        <f t="shared" si="11"/>
        <v>151</v>
      </c>
      <c r="W19" s="17">
        <f t="shared" si="11"/>
        <v>4</v>
      </c>
      <c r="X19" s="17">
        <f t="shared" si="11"/>
        <v>0</v>
      </c>
      <c r="Y19" s="17">
        <f t="shared" si="11"/>
        <v>59</v>
      </c>
      <c r="Z19" s="17">
        <f t="shared" si="11"/>
        <v>10</v>
      </c>
      <c r="AA19" s="17">
        <f t="shared" si="11"/>
        <v>1</v>
      </c>
      <c r="AB19" s="17">
        <f t="shared" si="11"/>
        <v>3</v>
      </c>
      <c r="AC19" s="17">
        <f t="shared" si="11"/>
        <v>740</v>
      </c>
      <c r="AD19" s="17">
        <f t="shared" si="11"/>
        <v>0</v>
      </c>
      <c r="AE19" s="31">
        <f t="shared" si="11"/>
        <v>522</v>
      </c>
      <c r="AF19" s="31">
        <f t="shared" si="11"/>
        <v>1262</v>
      </c>
    </row>
    <row r="20" spans="2:32" ht="23.1" customHeight="1" x14ac:dyDescent="0.25">
      <c r="B20" s="45" t="s">
        <v>47</v>
      </c>
      <c r="C20" s="50">
        <v>22</v>
      </c>
      <c r="D20" s="50">
        <v>3</v>
      </c>
      <c r="E20" s="50">
        <v>2</v>
      </c>
      <c r="F20" s="50">
        <v>50</v>
      </c>
      <c r="G20" s="50">
        <v>0</v>
      </c>
      <c r="H20" s="50">
        <v>0</v>
      </c>
      <c r="I20" s="50">
        <v>7</v>
      </c>
      <c r="J20" s="50">
        <v>2</v>
      </c>
      <c r="K20" s="50">
        <v>0</v>
      </c>
      <c r="L20" s="50">
        <v>0</v>
      </c>
      <c r="M20" s="50">
        <v>320</v>
      </c>
      <c r="N20" s="50">
        <v>0</v>
      </c>
      <c r="O20" s="15">
        <f t="shared" si="0"/>
        <v>86</v>
      </c>
      <c r="P20" s="15">
        <f t="shared" si="1"/>
        <v>406</v>
      </c>
      <c r="R20" s="1" t="s">
        <v>16</v>
      </c>
      <c r="S20" s="17">
        <f t="shared" ref="S20:AF20" si="12">SUM(C50:C53)</f>
        <v>284</v>
      </c>
      <c r="T20" s="17">
        <f t="shared" si="12"/>
        <v>57</v>
      </c>
      <c r="U20" s="17">
        <f t="shared" si="12"/>
        <v>19</v>
      </c>
      <c r="V20" s="17">
        <f t="shared" si="12"/>
        <v>128</v>
      </c>
      <c r="W20" s="17">
        <f t="shared" si="12"/>
        <v>2</v>
      </c>
      <c r="X20" s="17">
        <f t="shared" si="12"/>
        <v>3</v>
      </c>
      <c r="Y20" s="17">
        <f t="shared" si="12"/>
        <v>33</v>
      </c>
      <c r="Z20" s="17">
        <f t="shared" si="12"/>
        <v>2</v>
      </c>
      <c r="AA20" s="17">
        <f t="shared" si="12"/>
        <v>2</v>
      </c>
      <c r="AB20" s="17">
        <f t="shared" si="12"/>
        <v>1</v>
      </c>
      <c r="AC20" s="17">
        <f t="shared" si="12"/>
        <v>755</v>
      </c>
      <c r="AD20" s="17">
        <f t="shared" si="12"/>
        <v>0</v>
      </c>
      <c r="AE20" s="31">
        <f t="shared" si="12"/>
        <v>531</v>
      </c>
      <c r="AF20" s="31">
        <f t="shared" si="12"/>
        <v>1286</v>
      </c>
    </row>
    <row r="21" spans="2:32" ht="23.1" customHeight="1" x14ac:dyDescent="0.25">
      <c r="B21" s="45" t="s">
        <v>48</v>
      </c>
      <c r="C21" s="50">
        <v>33</v>
      </c>
      <c r="D21" s="50">
        <v>10</v>
      </c>
      <c r="E21" s="50">
        <v>1</v>
      </c>
      <c r="F21" s="50">
        <v>54</v>
      </c>
      <c r="G21" s="50">
        <v>2</v>
      </c>
      <c r="H21" s="50">
        <v>0</v>
      </c>
      <c r="I21" s="50">
        <v>10</v>
      </c>
      <c r="J21" s="50">
        <v>0</v>
      </c>
      <c r="K21" s="50">
        <v>0</v>
      </c>
      <c r="L21" s="50">
        <v>0</v>
      </c>
      <c r="M21" s="50">
        <v>310</v>
      </c>
      <c r="N21" s="50">
        <v>0</v>
      </c>
      <c r="O21" s="15">
        <f t="shared" si="0"/>
        <v>110</v>
      </c>
      <c r="P21" s="15">
        <f t="shared" si="1"/>
        <v>420</v>
      </c>
      <c r="R21" s="36" t="s">
        <v>20</v>
      </c>
      <c r="S21" s="34">
        <f t="shared" ref="S21:AF21" si="13">SUM(C54:C57)</f>
        <v>230</v>
      </c>
      <c r="T21" s="17">
        <f t="shared" si="13"/>
        <v>50</v>
      </c>
      <c r="U21" s="17">
        <f t="shared" si="13"/>
        <v>19</v>
      </c>
      <c r="V21" s="17">
        <f t="shared" si="13"/>
        <v>82</v>
      </c>
      <c r="W21" s="17">
        <f t="shared" si="13"/>
        <v>5</v>
      </c>
      <c r="X21" s="17">
        <f t="shared" si="13"/>
        <v>1</v>
      </c>
      <c r="Y21" s="17">
        <f t="shared" si="13"/>
        <v>30</v>
      </c>
      <c r="Z21" s="17">
        <f t="shared" si="13"/>
        <v>6</v>
      </c>
      <c r="AA21" s="17">
        <f t="shared" si="13"/>
        <v>2</v>
      </c>
      <c r="AB21" s="17">
        <f t="shared" si="13"/>
        <v>1</v>
      </c>
      <c r="AC21" s="17">
        <f t="shared" si="13"/>
        <v>755</v>
      </c>
      <c r="AD21" s="17">
        <f t="shared" si="13"/>
        <v>0</v>
      </c>
      <c r="AE21" s="31">
        <f t="shared" si="13"/>
        <v>426</v>
      </c>
      <c r="AF21" s="31">
        <f t="shared" si="13"/>
        <v>1181</v>
      </c>
    </row>
    <row r="22" spans="2:32" ht="23.1" customHeight="1" x14ac:dyDescent="0.25">
      <c r="B22" s="45" t="s">
        <v>49</v>
      </c>
      <c r="C22" s="50">
        <v>30</v>
      </c>
      <c r="D22" s="50">
        <v>6</v>
      </c>
      <c r="E22" s="50">
        <v>2</v>
      </c>
      <c r="F22" s="50">
        <v>45</v>
      </c>
      <c r="G22" s="50">
        <v>2</v>
      </c>
      <c r="H22" s="50">
        <v>0</v>
      </c>
      <c r="I22" s="50">
        <v>8</v>
      </c>
      <c r="J22" s="50">
        <v>0</v>
      </c>
      <c r="K22" s="50">
        <v>0</v>
      </c>
      <c r="L22" s="50">
        <v>0</v>
      </c>
      <c r="M22" s="50">
        <v>270</v>
      </c>
      <c r="N22" s="50">
        <v>0</v>
      </c>
      <c r="O22" s="15">
        <f t="shared" si="0"/>
        <v>93</v>
      </c>
      <c r="P22" s="15">
        <f t="shared" si="1"/>
        <v>363</v>
      </c>
      <c r="R22" s="36" t="s">
        <v>146</v>
      </c>
      <c r="S22" s="34">
        <f>SUM(C58:C61)</f>
        <v>220</v>
      </c>
      <c r="T22" s="34">
        <f t="shared" ref="T22:AF22" si="14">SUM(D58:D61)</f>
        <v>32</v>
      </c>
      <c r="U22" s="34">
        <f t="shared" si="14"/>
        <v>8</v>
      </c>
      <c r="V22" s="34">
        <f t="shared" si="14"/>
        <v>157</v>
      </c>
      <c r="W22" s="34">
        <f t="shared" si="14"/>
        <v>14</v>
      </c>
      <c r="X22" s="34">
        <f t="shared" si="14"/>
        <v>2</v>
      </c>
      <c r="Y22" s="34">
        <f t="shared" si="14"/>
        <v>73</v>
      </c>
      <c r="Z22" s="34">
        <f t="shared" si="14"/>
        <v>11</v>
      </c>
      <c r="AA22" s="34">
        <f t="shared" si="14"/>
        <v>2</v>
      </c>
      <c r="AB22" s="34">
        <f t="shared" si="14"/>
        <v>0</v>
      </c>
      <c r="AC22" s="34">
        <f t="shared" si="14"/>
        <v>635</v>
      </c>
      <c r="AD22" s="34">
        <f t="shared" si="14"/>
        <v>0</v>
      </c>
      <c r="AE22" s="31">
        <f t="shared" si="14"/>
        <v>519</v>
      </c>
      <c r="AF22" s="31">
        <f t="shared" si="14"/>
        <v>1154</v>
      </c>
    </row>
    <row r="23" spans="2:32" ht="23.1" customHeight="1" x14ac:dyDescent="0.25">
      <c r="B23" s="45" t="s">
        <v>50</v>
      </c>
      <c r="C23" s="50">
        <v>33</v>
      </c>
      <c r="D23" s="50">
        <v>5</v>
      </c>
      <c r="E23" s="50">
        <v>2</v>
      </c>
      <c r="F23" s="50">
        <v>30</v>
      </c>
      <c r="G23" s="50">
        <v>0</v>
      </c>
      <c r="H23" s="50">
        <v>1</v>
      </c>
      <c r="I23" s="50">
        <v>10</v>
      </c>
      <c r="J23" s="50">
        <v>0</v>
      </c>
      <c r="K23" s="50">
        <v>0</v>
      </c>
      <c r="L23" s="50">
        <v>0</v>
      </c>
      <c r="M23" s="50">
        <v>295</v>
      </c>
      <c r="N23" s="50">
        <v>0</v>
      </c>
      <c r="O23" s="15">
        <f t="shared" si="0"/>
        <v>81</v>
      </c>
      <c r="P23" s="15">
        <f t="shared" si="1"/>
        <v>376</v>
      </c>
      <c r="R23" s="36" t="s">
        <v>147</v>
      </c>
      <c r="S23" s="34">
        <f>SUM(C62:C65)</f>
        <v>253</v>
      </c>
      <c r="T23" s="34">
        <f t="shared" ref="T23:AF23" si="15">SUM(D62:D65)</f>
        <v>60</v>
      </c>
      <c r="U23" s="34">
        <f t="shared" si="15"/>
        <v>39</v>
      </c>
      <c r="V23" s="34">
        <f t="shared" si="15"/>
        <v>209</v>
      </c>
      <c r="W23" s="34">
        <f t="shared" si="15"/>
        <v>30</v>
      </c>
      <c r="X23" s="34">
        <f t="shared" si="15"/>
        <v>16</v>
      </c>
      <c r="Y23" s="34">
        <f t="shared" si="15"/>
        <v>13</v>
      </c>
      <c r="Z23" s="34">
        <f t="shared" si="15"/>
        <v>11</v>
      </c>
      <c r="AA23" s="34">
        <f t="shared" si="15"/>
        <v>7</v>
      </c>
      <c r="AB23" s="34">
        <f t="shared" si="15"/>
        <v>1</v>
      </c>
      <c r="AC23" s="34">
        <f t="shared" si="15"/>
        <v>573</v>
      </c>
      <c r="AD23" s="34">
        <f t="shared" si="15"/>
        <v>0</v>
      </c>
      <c r="AE23" s="31">
        <f t="shared" si="15"/>
        <v>639</v>
      </c>
      <c r="AF23" s="31">
        <f t="shared" si="15"/>
        <v>1212</v>
      </c>
    </row>
    <row r="24" spans="2:32" ht="23.1" customHeight="1" x14ac:dyDescent="0.25">
      <c r="B24" s="45" t="s">
        <v>51</v>
      </c>
      <c r="C24" s="50">
        <v>31</v>
      </c>
      <c r="D24" s="50">
        <v>19</v>
      </c>
      <c r="E24" s="50">
        <v>9</v>
      </c>
      <c r="F24" s="50">
        <v>55</v>
      </c>
      <c r="G24" s="50">
        <v>3</v>
      </c>
      <c r="H24" s="50">
        <v>1</v>
      </c>
      <c r="I24" s="50">
        <v>15</v>
      </c>
      <c r="J24" s="50">
        <v>2</v>
      </c>
      <c r="K24" s="50">
        <v>1</v>
      </c>
      <c r="L24" s="50">
        <v>0</v>
      </c>
      <c r="M24" s="50">
        <v>279</v>
      </c>
      <c r="N24" s="50">
        <v>0</v>
      </c>
      <c r="O24" s="15">
        <f t="shared" si="0"/>
        <v>136</v>
      </c>
      <c r="P24" s="15">
        <f t="shared" si="1"/>
        <v>415</v>
      </c>
      <c r="R24" s="36" t="s">
        <v>148</v>
      </c>
      <c r="S24" s="34">
        <f>SUM(C66:C69)</f>
        <v>134</v>
      </c>
      <c r="T24" s="34">
        <f t="shared" ref="T24:AF24" si="16">SUM(D66:D69)</f>
        <v>42</v>
      </c>
      <c r="U24" s="34">
        <f t="shared" si="16"/>
        <v>9</v>
      </c>
      <c r="V24" s="34">
        <f t="shared" si="16"/>
        <v>75</v>
      </c>
      <c r="W24" s="34">
        <f t="shared" si="16"/>
        <v>9</v>
      </c>
      <c r="X24" s="34">
        <f t="shared" si="16"/>
        <v>9</v>
      </c>
      <c r="Y24" s="34">
        <f t="shared" si="16"/>
        <v>16</v>
      </c>
      <c r="Z24" s="34">
        <f t="shared" si="16"/>
        <v>5</v>
      </c>
      <c r="AA24" s="34">
        <f t="shared" si="16"/>
        <v>2</v>
      </c>
      <c r="AB24" s="34">
        <f t="shared" si="16"/>
        <v>0</v>
      </c>
      <c r="AC24" s="34">
        <f t="shared" si="16"/>
        <v>515</v>
      </c>
      <c r="AD24" s="34">
        <f t="shared" si="16"/>
        <v>0</v>
      </c>
      <c r="AE24" s="31">
        <f t="shared" si="16"/>
        <v>301</v>
      </c>
      <c r="AF24" s="31">
        <f t="shared" si="16"/>
        <v>816</v>
      </c>
    </row>
    <row r="25" spans="2:32" ht="23.1" customHeight="1" x14ac:dyDescent="0.25">
      <c r="B25" s="45" t="s">
        <v>52</v>
      </c>
      <c r="C25" s="50">
        <v>30</v>
      </c>
      <c r="D25" s="50">
        <v>4</v>
      </c>
      <c r="E25" s="50">
        <v>3</v>
      </c>
      <c r="F25" s="50">
        <v>22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250</v>
      </c>
      <c r="N25" s="50">
        <v>0</v>
      </c>
      <c r="O25" s="15">
        <f t="shared" si="0"/>
        <v>60</v>
      </c>
      <c r="P25" s="15">
        <f t="shared" si="1"/>
        <v>310</v>
      </c>
      <c r="R25" s="36" t="s">
        <v>149</v>
      </c>
      <c r="S25" s="34">
        <f>SUM(C70:C73)</f>
        <v>81</v>
      </c>
      <c r="T25" s="34">
        <f t="shared" ref="T25:AF25" si="17">SUM(D70:D73)</f>
        <v>63</v>
      </c>
      <c r="U25" s="34">
        <f t="shared" si="17"/>
        <v>9</v>
      </c>
      <c r="V25" s="34">
        <f t="shared" si="17"/>
        <v>91</v>
      </c>
      <c r="W25" s="34">
        <f t="shared" si="17"/>
        <v>3</v>
      </c>
      <c r="X25" s="34">
        <f t="shared" si="17"/>
        <v>4</v>
      </c>
      <c r="Y25" s="34">
        <f t="shared" si="17"/>
        <v>9</v>
      </c>
      <c r="Z25" s="34">
        <f t="shared" si="17"/>
        <v>13</v>
      </c>
      <c r="AA25" s="34">
        <f t="shared" si="17"/>
        <v>5</v>
      </c>
      <c r="AB25" s="34">
        <f t="shared" si="17"/>
        <v>3</v>
      </c>
      <c r="AC25" s="34">
        <f t="shared" si="17"/>
        <v>332</v>
      </c>
      <c r="AD25" s="34">
        <f t="shared" si="17"/>
        <v>0</v>
      </c>
      <c r="AE25" s="31">
        <f t="shared" si="17"/>
        <v>281</v>
      </c>
      <c r="AF25" s="31">
        <f t="shared" si="17"/>
        <v>613</v>
      </c>
    </row>
    <row r="26" spans="2:32" ht="23.1" customHeight="1" x14ac:dyDescent="0.25">
      <c r="B26" s="45" t="s">
        <v>53</v>
      </c>
      <c r="C26" s="50">
        <v>36</v>
      </c>
      <c r="D26" s="50">
        <v>9</v>
      </c>
      <c r="E26" s="50">
        <v>11</v>
      </c>
      <c r="F26" s="50">
        <v>30</v>
      </c>
      <c r="G26" s="50">
        <v>1</v>
      </c>
      <c r="H26" s="50">
        <v>0</v>
      </c>
      <c r="I26" s="50">
        <v>16</v>
      </c>
      <c r="J26" s="50">
        <v>0</v>
      </c>
      <c r="K26" s="50">
        <v>0</v>
      </c>
      <c r="L26" s="50">
        <v>0</v>
      </c>
      <c r="M26" s="50">
        <v>220</v>
      </c>
      <c r="N26" s="50">
        <v>0</v>
      </c>
      <c r="O26" s="15">
        <f t="shared" si="0"/>
        <v>103</v>
      </c>
      <c r="P26" s="15">
        <f t="shared" si="1"/>
        <v>323</v>
      </c>
      <c r="R26" s="36" t="s">
        <v>150</v>
      </c>
      <c r="S26" s="34">
        <f>SUM(C74:C77)</f>
        <v>84</v>
      </c>
      <c r="T26" s="34">
        <f t="shared" ref="T26:AF26" si="18">SUM(D74:D77)</f>
        <v>22</v>
      </c>
      <c r="U26" s="34">
        <f t="shared" si="18"/>
        <v>11</v>
      </c>
      <c r="V26" s="34">
        <f t="shared" si="18"/>
        <v>44</v>
      </c>
      <c r="W26" s="34">
        <f t="shared" si="18"/>
        <v>0</v>
      </c>
      <c r="X26" s="34">
        <f t="shared" si="18"/>
        <v>3</v>
      </c>
      <c r="Y26" s="34">
        <f t="shared" si="18"/>
        <v>13</v>
      </c>
      <c r="Z26" s="34">
        <f t="shared" si="18"/>
        <v>4</v>
      </c>
      <c r="AA26" s="34">
        <f t="shared" si="18"/>
        <v>5</v>
      </c>
      <c r="AB26" s="34">
        <f t="shared" si="18"/>
        <v>6</v>
      </c>
      <c r="AC26" s="34">
        <f t="shared" si="18"/>
        <v>280</v>
      </c>
      <c r="AD26" s="34">
        <f t="shared" si="18"/>
        <v>0</v>
      </c>
      <c r="AE26" s="31">
        <f t="shared" si="18"/>
        <v>192</v>
      </c>
      <c r="AF26" s="31">
        <f t="shared" si="18"/>
        <v>472</v>
      </c>
    </row>
    <row r="27" spans="2:32" ht="23.1" customHeight="1" x14ac:dyDescent="0.25">
      <c r="B27" s="45" t="s">
        <v>54</v>
      </c>
      <c r="C27" s="50">
        <v>40</v>
      </c>
      <c r="D27" s="50">
        <v>10</v>
      </c>
      <c r="E27" s="50">
        <v>2</v>
      </c>
      <c r="F27" s="50">
        <v>39</v>
      </c>
      <c r="G27" s="50">
        <v>1</v>
      </c>
      <c r="H27" s="50">
        <v>0</v>
      </c>
      <c r="I27" s="50">
        <v>15</v>
      </c>
      <c r="J27" s="50">
        <v>1</v>
      </c>
      <c r="K27" s="50">
        <v>0</v>
      </c>
      <c r="L27" s="50">
        <v>0</v>
      </c>
      <c r="M27" s="50">
        <v>215</v>
      </c>
      <c r="N27" s="50">
        <v>0</v>
      </c>
      <c r="O27" s="15">
        <f t="shared" si="0"/>
        <v>108</v>
      </c>
      <c r="P27" s="15">
        <f t="shared" si="1"/>
        <v>323</v>
      </c>
      <c r="R27" s="36" t="s">
        <v>151</v>
      </c>
      <c r="S27" s="34">
        <f>SUM(C78:C81)</f>
        <v>59</v>
      </c>
      <c r="T27" s="34">
        <f t="shared" ref="T27:AF27" si="19">SUM(D78:D81)</f>
        <v>37</v>
      </c>
      <c r="U27" s="34">
        <f t="shared" si="19"/>
        <v>2</v>
      </c>
      <c r="V27" s="34">
        <f t="shared" si="19"/>
        <v>38</v>
      </c>
      <c r="W27" s="34">
        <f t="shared" si="19"/>
        <v>0</v>
      </c>
      <c r="X27" s="34">
        <f t="shared" si="19"/>
        <v>0</v>
      </c>
      <c r="Y27" s="34">
        <f t="shared" si="19"/>
        <v>9</v>
      </c>
      <c r="Z27" s="34">
        <f t="shared" si="19"/>
        <v>11</v>
      </c>
      <c r="AA27" s="34">
        <f t="shared" si="19"/>
        <v>0</v>
      </c>
      <c r="AB27" s="34">
        <f t="shared" si="19"/>
        <v>2</v>
      </c>
      <c r="AC27" s="34">
        <f t="shared" si="19"/>
        <v>214</v>
      </c>
      <c r="AD27" s="34">
        <f t="shared" si="19"/>
        <v>0</v>
      </c>
      <c r="AE27" s="31">
        <f t="shared" si="19"/>
        <v>158</v>
      </c>
      <c r="AF27" s="31">
        <f t="shared" si="19"/>
        <v>372</v>
      </c>
    </row>
    <row r="28" spans="2:32" ht="23.1" customHeight="1" x14ac:dyDescent="0.25">
      <c r="B28" s="45" t="s">
        <v>55</v>
      </c>
      <c r="C28" s="50">
        <v>11</v>
      </c>
      <c r="D28" s="50">
        <v>6</v>
      </c>
      <c r="E28" s="50">
        <v>1</v>
      </c>
      <c r="F28" s="50">
        <v>22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0</v>
      </c>
      <c r="M28" s="50">
        <v>225</v>
      </c>
      <c r="N28" s="50">
        <v>0</v>
      </c>
      <c r="O28" s="15">
        <f t="shared" si="0"/>
        <v>45</v>
      </c>
      <c r="P28" s="15">
        <f t="shared" si="1"/>
        <v>270</v>
      </c>
      <c r="R28" s="36" t="s">
        <v>152</v>
      </c>
      <c r="S28" s="34">
        <f>SUM(C82:C85)</f>
        <v>48</v>
      </c>
      <c r="T28" s="34">
        <f t="shared" ref="T28:AF28" si="20">SUM(D82:D85)</f>
        <v>21</v>
      </c>
      <c r="U28" s="34">
        <f t="shared" si="20"/>
        <v>0</v>
      </c>
      <c r="V28" s="34">
        <f t="shared" si="20"/>
        <v>12</v>
      </c>
      <c r="W28" s="34">
        <f t="shared" si="20"/>
        <v>1</v>
      </c>
      <c r="X28" s="34">
        <f t="shared" si="20"/>
        <v>0</v>
      </c>
      <c r="Y28" s="34">
        <f t="shared" si="20"/>
        <v>6</v>
      </c>
      <c r="Z28" s="34">
        <f t="shared" si="20"/>
        <v>1</v>
      </c>
      <c r="AA28" s="34">
        <f t="shared" si="20"/>
        <v>2</v>
      </c>
      <c r="AB28" s="34">
        <f t="shared" si="20"/>
        <v>0</v>
      </c>
      <c r="AC28" s="34">
        <f t="shared" si="20"/>
        <v>174</v>
      </c>
      <c r="AD28" s="34">
        <f t="shared" si="20"/>
        <v>0</v>
      </c>
      <c r="AE28" s="31">
        <f t="shared" si="20"/>
        <v>91</v>
      </c>
      <c r="AF28" s="31">
        <f t="shared" si="20"/>
        <v>265</v>
      </c>
    </row>
    <row r="29" spans="2:32" ht="23.1" customHeight="1" x14ac:dyDescent="0.25">
      <c r="B29" s="45" t="s">
        <v>56</v>
      </c>
      <c r="C29" s="50">
        <v>25</v>
      </c>
      <c r="D29" s="50">
        <v>5</v>
      </c>
      <c r="E29" s="50">
        <v>4</v>
      </c>
      <c r="F29" s="50">
        <v>50</v>
      </c>
      <c r="G29" s="50">
        <v>1</v>
      </c>
      <c r="H29" s="50">
        <v>2</v>
      </c>
      <c r="I29" s="50">
        <v>11</v>
      </c>
      <c r="J29" s="50">
        <v>0</v>
      </c>
      <c r="K29" s="50">
        <v>1</v>
      </c>
      <c r="L29" s="50">
        <v>0</v>
      </c>
      <c r="M29" s="50">
        <v>250</v>
      </c>
      <c r="N29" s="50">
        <v>0</v>
      </c>
      <c r="O29" s="15">
        <f t="shared" si="0"/>
        <v>99</v>
      </c>
      <c r="P29" s="15">
        <f t="shared" si="1"/>
        <v>349</v>
      </c>
      <c r="R29" s="36" t="s">
        <v>153</v>
      </c>
      <c r="S29" s="34">
        <f>SUM(C86:C89)</f>
        <v>34</v>
      </c>
      <c r="T29" s="34">
        <f t="shared" ref="T29:AF29" si="21">SUM(D86:D89)</f>
        <v>10</v>
      </c>
      <c r="U29" s="34">
        <f t="shared" si="21"/>
        <v>1</v>
      </c>
      <c r="V29" s="34">
        <f t="shared" si="21"/>
        <v>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1</v>
      </c>
      <c r="AB29" s="34">
        <f t="shared" si="21"/>
        <v>0</v>
      </c>
      <c r="AC29" s="34">
        <f t="shared" si="21"/>
        <v>126</v>
      </c>
      <c r="AD29" s="34">
        <f t="shared" si="21"/>
        <v>0</v>
      </c>
      <c r="AE29" s="31">
        <f t="shared" si="21"/>
        <v>54</v>
      </c>
      <c r="AF29" s="31">
        <f t="shared" si="21"/>
        <v>180</v>
      </c>
    </row>
    <row r="30" spans="2:32" ht="23.1" customHeight="1" x14ac:dyDescent="0.25">
      <c r="B30" s="45" t="s">
        <v>57</v>
      </c>
      <c r="C30" s="50">
        <v>32</v>
      </c>
      <c r="D30" s="50">
        <v>6</v>
      </c>
      <c r="E30" s="50">
        <v>3</v>
      </c>
      <c r="F30" s="50">
        <v>45</v>
      </c>
      <c r="G30" s="50">
        <v>2</v>
      </c>
      <c r="H30" s="50">
        <v>1</v>
      </c>
      <c r="I30" s="50">
        <v>11</v>
      </c>
      <c r="J30" s="50">
        <v>0</v>
      </c>
      <c r="K30" s="50">
        <v>1</v>
      </c>
      <c r="L30" s="50">
        <v>1</v>
      </c>
      <c r="M30" s="50">
        <v>215</v>
      </c>
      <c r="N30" s="50">
        <v>0</v>
      </c>
      <c r="O30" s="15">
        <f t="shared" si="0"/>
        <v>102</v>
      </c>
      <c r="P30" s="15">
        <f t="shared" si="1"/>
        <v>317</v>
      </c>
      <c r="R30" s="36" t="s">
        <v>154</v>
      </c>
      <c r="S30" s="34">
        <f>SUM(C90:C93)</f>
        <v>42</v>
      </c>
      <c r="T30" s="34">
        <f t="shared" ref="T30:AF30" si="22">SUM(D90:D93)</f>
        <v>10</v>
      </c>
      <c r="U30" s="34">
        <f t="shared" si="22"/>
        <v>0</v>
      </c>
      <c r="V30" s="34">
        <f t="shared" si="22"/>
        <v>5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4</v>
      </c>
      <c r="AA30" s="34">
        <f t="shared" si="22"/>
        <v>0</v>
      </c>
      <c r="AB30" s="34">
        <f t="shared" si="22"/>
        <v>1</v>
      </c>
      <c r="AC30" s="34">
        <f t="shared" si="22"/>
        <v>68</v>
      </c>
      <c r="AD30" s="34">
        <f t="shared" si="22"/>
        <v>0</v>
      </c>
      <c r="AE30" s="31">
        <f t="shared" si="22"/>
        <v>64</v>
      </c>
      <c r="AF30" s="31">
        <f t="shared" si="22"/>
        <v>132</v>
      </c>
    </row>
    <row r="31" spans="2:32" ht="23.1" customHeight="1" x14ac:dyDescent="0.25">
      <c r="B31" s="46" t="s">
        <v>58</v>
      </c>
      <c r="C31" s="50">
        <v>20</v>
      </c>
      <c r="D31" s="50">
        <v>9</v>
      </c>
      <c r="E31" s="50">
        <v>3</v>
      </c>
      <c r="F31" s="50">
        <v>35</v>
      </c>
      <c r="G31" s="50">
        <v>1</v>
      </c>
      <c r="H31" s="50">
        <v>0</v>
      </c>
      <c r="I31" s="50">
        <v>22</v>
      </c>
      <c r="J31" s="50">
        <v>3</v>
      </c>
      <c r="K31" s="50">
        <v>0</v>
      </c>
      <c r="L31" s="50">
        <v>0</v>
      </c>
      <c r="M31" s="50">
        <v>190</v>
      </c>
      <c r="N31" s="50">
        <v>0</v>
      </c>
      <c r="O31" s="15">
        <f t="shared" si="0"/>
        <v>93</v>
      </c>
      <c r="P31" s="15">
        <f t="shared" si="1"/>
        <v>283</v>
      </c>
      <c r="R31" s="36" t="s">
        <v>155</v>
      </c>
      <c r="S31" s="34">
        <f>SUM(C94:C97)</f>
        <v>31</v>
      </c>
      <c r="T31" s="34">
        <f t="shared" ref="T31:AF31" si="23">SUM(D94:D97)</f>
        <v>23</v>
      </c>
      <c r="U31" s="34">
        <f t="shared" si="23"/>
        <v>1</v>
      </c>
      <c r="V31" s="34">
        <f t="shared" si="23"/>
        <v>4</v>
      </c>
      <c r="W31" s="34">
        <f t="shared" si="23"/>
        <v>0</v>
      </c>
      <c r="X31" s="34">
        <f t="shared" si="23"/>
        <v>2</v>
      </c>
      <c r="Y31" s="34">
        <f t="shared" si="23"/>
        <v>2</v>
      </c>
      <c r="Z31" s="34">
        <f t="shared" si="23"/>
        <v>7</v>
      </c>
      <c r="AA31" s="34">
        <f t="shared" si="23"/>
        <v>0</v>
      </c>
      <c r="AB31" s="34">
        <f t="shared" si="23"/>
        <v>0</v>
      </c>
      <c r="AC31" s="34">
        <f t="shared" si="23"/>
        <v>92</v>
      </c>
      <c r="AD31" s="34">
        <f t="shared" si="23"/>
        <v>0</v>
      </c>
      <c r="AE31" s="31">
        <f t="shared" si="23"/>
        <v>70</v>
      </c>
      <c r="AF31" s="31">
        <f t="shared" si="23"/>
        <v>162</v>
      </c>
    </row>
    <row r="32" spans="2:32" ht="23.1" customHeight="1" x14ac:dyDescent="0.25">
      <c r="B32" s="46" t="s">
        <v>59</v>
      </c>
      <c r="C32" s="50">
        <v>23</v>
      </c>
      <c r="D32" s="50">
        <v>14</v>
      </c>
      <c r="E32" s="50">
        <v>4</v>
      </c>
      <c r="F32" s="50">
        <v>30</v>
      </c>
      <c r="G32" s="50">
        <v>0</v>
      </c>
      <c r="H32" s="50">
        <v>2</v>
      </c>
      <c r="I32" s="50">
        <v>9</v>
      </c>
      <c r="J32" s="50">
        <v>0</v>
      </c>
      <c r="K32" s="50">
        <v>0</v>
      </c>
      <c r="L32" s="50">
        <v>1</v>
      </c>
      <c r="M32" s="50">
        <v>180</v>
      </c>
      <c r="N32" s="50">
        <v>0</v>
      </c>
      <c r="O32" s="15">
        <f t="shared" si="0"/>
        <v>83</v>
      </c>
      <c r="P32" s="15">
        <f t="shared" si="1"/>
        <v>263</v>
      </c>
      <c r="R32" s="33" t="s">
        <v>156</v>
      </c>
      <c r="S32" s="34">
        <f>SUM(C98:C101)</f>
        <v>44</v>
      </c>
      <c r="T32" s="34">
        <f t="shared" ref="T32:AF32" si="24">SUM(D98:D101)</f>
        <v>16</v>
      </c>
      <c r="U32" s="34">
        <f t="shared" si="24"/>
        <v>8</v>
      </c>
      <c r="V32" s="34">
        <f t="shared" si="24"/>
        <v>53</v>
      </c>
      <c r="W32" s="34">
        <f t="shared" si="24"/>
        <v>0</v>
      </c>
      <c r="X32" s="34">
        <f t="shared" si="24"/>
        <v>2</v>
      </c>
      <c r="Y32" s="34">
        <f t="shared" si="24"/>
        <v>9</v>
      </c>
      <c r="Z32" s="34">
        <f t="shared" si="24"/>
        <v>15</v>
      </c>
      <c r="AA32" s="34">
        <f t="shared" si="24"/>
        <v>3</v>
      </c>
      <c r="AB32" s="34">
        <f t="shared" si="24"/>
        <v>1</v>
      </c>
      <c r="AC32" s="34">
        <f t="shared" si="24"/>
        <v>208</v>
      </c>
      <c r="AD32" s="34">
        <f t="shared" si="24"/>
        <v>0</v>
      </c>
      <c r="AE32" s="31">
        <f t="shared" si="24"/>
        <v>151</v>
      </c>
      <c r="AF32" s="31">
        <f t="shared" si="24"/>
        <v>359</v>
      </c>
    </row>
    <row r="33" spans="2:32" ht="23.1" customHeight="1" x14ac:dyDescent="0.25">
      <c r="B33" s="45" t="s">
        <v>60</v>
      </c>
      <c r="C33" s="50">
        <v>29</v>
      </c>
      <c r="D33" s="50">
        <v>6</v>
      </c>
      <c r="E33" s="50">
        <v>5</v>
      </c>
      <c r="F33" s="50">
        <v>40</v>
      </c>
      <c r="G33" s="50">
        <v>1</v>
      </c>
      <c r="H33" s="50">
        <v>0</v>
      </c>
      <c r="I33" s="50">
        <v>15</v>
      </c>
      <c r="J33" s="50">
        <v>1</v>
      </c>
      <c r="K33" s="50">
        <v>0</v>
      </c>
      <c r="L33" s="50">
        <v>0</v>
      </c>
      <c r="M33" s="50">
        <v>250</v>
      </c>
      <c r="N33" s="50">
        <v>0</v>
      </c>
      <c r="O33" s="15">
        <f t="shared" si="0"/>
        <v>97</v>
      </c>
      <c r="P33" s="15">
        <f t="shared" si="1"/>
        <v>347</v>
      </c>
      <c r="R33" s="33" t="s">
        <v>157</v>
      </c>
      <c r="S33" s="34">
        <f>SUM(C102:C105)</f>
        <v>78</v>
      </c>
      <c r="T33" s="34">
        <f t="shared" ref="T33:AF33" si="25">SUM(D102:D105)</f>
        <v>57</v>
      </c>
      <c r="U33" s="34">
        <f t="shared" si="25"/>
        <v>8</v>
      </c>
      <c r="V33" s="34">
        <f t="shared" si="25"/>
        <v>161</v>
      </c>
      <c r="W33" s="34">
        <f t="shared" si="25"/>
        <v>0</v>
      </c>
      <c r="X33" s="34">
        <f t="shared" si="25"/>
        <v>3</v>
      </c>
      <c r="Y33" s="34">
        <f t="shared" si="25"/>
        <v>20</v>
      </c>
      <c r="Z33" s="34">
        <f t="shared" si="25"/>
        <v>14</v>
      </c>
      <c r="AA33" s="34">
        <f t="shared" si="25"/>
        <v>3</v>
      </c>
      <c r="AB33" s="34">
        <f t="shared" si="25"/>
        <v>2</v>
      </c>
      <c r="AC33" s="34">
        <f t="shared" si="25"/>
        <v>599</v>
      </c>
      <c r="AD33" s="34">
        <f t="shared" si="25"/>
        <v>0</v>
      </c>
      <c r="AE33" s="31">
        <f t="shared" si="25"/>
        <v>346</v>
      </c>
      <c r="AF33" s="31">
        <f t="shared" si="25"/>
        <v>945</v>
      </c>
    </row>
    <row r="34" spans="2:32" ht="23.1" customHeight="1" x14ac:dyDescent="0.25">
      <c r="B34" s="46" t="s">
        <v>61</v>
      </c>
      <c r="C34" s="50">
        <v>19</v>
      </c>
      <c r="D34" s="50">
        <v>9</v>
      </c>
      <c r="E34" s="50">
        <v>1</v>
      </c>
      <c r="F34" s="50">
        <v>36</v>
      </c>
      <c r="G34" s="50">
        <v>1</v>
      </c>
      <c r="H34" s="50">
        <v>3</v>
      </c>
      <c r="I34" s="50">
        <v>8</v>
      </c>
      <c r="J34" s="50">
        <v>5</v>
      </c>
      <c r="K34" s="50">
        <v>2</v>
      </c>
      <c r="L34" s="50">
        <v>0</v>
      </c>
      <c r="M34" s="50">
        <v>210</v>
      </c>
      <c r="N34" s="50">
        <v>0</v>
      </c>
      <c r="O34" s="15">
        <f t="shared" si="0"/>
        <v>84</v>
      </c>
      <c r="P34" s="15">
        <f t="shared" si="1"/>
        <v>294</v>
      </c>
      <c r="R34" s="38" t="s">
        <v>90</v>
      </c>
      <c r="S34" s="39">
        <f t="shared" ref="S34:AF34" si="26">MAX(S10:S12)</f>
        <v>120</v>
      </c>
      <c r="T34" s="39">
        <f t="shared" si="26"/>
        <v>25</v>
      </c>
      <c r="U34" s="39">
        <f t="shared" si="26"/>
        <v>10</v>
      </c>
      <c r="V34" s="39">
        <f t="shared" si="26"/>
        <v>264</v>
      </c>
      <c r="W34" s="39">
        <f t="shared" si="26"/>
        <v>10</v>
      </c>
      <c r="X34" s="39">
        <f t="shared" si="26"/>
        <v>6</v>
      </c>
      <c r="Y34" s="39">
        <f t="shared" si="26"/>
        <v>48</v>
      </c>
      <c r="Z34" s="39">
        <f t="shared" si="26"/>
        <v>3</v>
      </c>
      <c r="AA34" s="39">
        <f t="shared" si="26"/>
        <v>2</v>
      </c>
      <c r="AB34" s="39">
        <f t="shared" si="26"/>
        <v>1</v>
      </c>
      <c r="AC34" s="39">
        <f t="shared" si="26"/>
        <v>1295</v>
      </c>
      <c r="AD34" s="39">
        <f t="shared" si="26"/>
        <v>0</v>
      </c>
      <c r="AE34" s="40">
        <f t="shared" si="26"/>
        <v>475</v>
      </c>
      <c r="AF34" s="40">
        <f t="shared" si="26"/>
        <v>1770</v>
      </c>
    </row>
    <row r="35" spans="2:32" ht="23.1" customHeight="1" x14ac:dyDescent="0.25">
      <c r="B35" s="46" t="s">
        <v>62</v>
      </c>
      <c r="C35" s="50">
        <v>25</v>
      </c>
      <c r="D35" s="50">
        <v>13</v>
      </c>
      <c r="E35" s="50">
        <v>0</v>
      </c>
      <c r="F35" s="50">
        <v>40</v>
      </c>
      <c r="G35" s="50">
        <v>1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190</v>
      </c>
      <c r="N35" s="50">
        <v>0</v>
      </c>
      <c r="O35" s="15">
        <f t="shared" si="0"/>
        <v>82</v>
      </c>
      <c r="P35" s="15">
        <f t="shared" si="1"/>
        <v>272</v>
      </c>
      <c r="R35" s="38" t="s">
        <v>91</v>
      </c>
      <c r="S35" s="39">
        <f t="shared" ref="S35:AF35" si="27">MAX(S13:S18)</f>
        <v>180</v>
      </c>
      <c r="T35" s="39">
        <f t="shared" si="27"/>
        <v>43</v>
      </c>
      <c r="U35" s="39">
        <f t="shared" si="27"/>
        <v>25</v>
      </c>
      <c r="V35" s="39">
        <f t="shared" si="27"/>
        <v>203</v>
      </c>
      <c r="W35" s="39">
        <f t="shared" si="27"/>
        <v>6</v>
      </c>
      <c r="X35" s="39">
        <f t="shared" si="27"/>
        <v>4</v>
      </c>
      <c r="Y35" s="39">
        <f t="shared" si="27"/>
        <v>70</v>
      </c>
      <c r="Z35" s="39">
        <f t="shared" si="27"/>
        <v>14</v>
      </c>
      <c r="AA35" s="39">
        <f t="shared" si="27"/>
        <v>5</v>
      </c>
      <c r="AB35" s="39">
        <f t="shared" si="27"/>
        <v>3</v>
      </c>
      <c r="AC35" s="39">
        <f t="shared" si="27"/>
        <v>1094</v>
      </c>
      <c r="AD35" s="39">
        <f t="shared" si="27"/>
        <v>0</v>
      </c>
      <c r="AE35" s="40">
        <f t="shared" si="27"/>
        <v>522</v>
      </c>
      <c r="AF35" s="40">
        <f t="shared" si="27"/>
        <v>1464</v>
      </c>
    </row>
    <row r="36" spans="2:32" ht="23.1" customHeight="1" x14ac:dyDescent="0.25">
      <c r="B36" s="46" t="s">
        <v>63</v>
      </c>
      <c r="C36" s="50">
        <v>40</v>
      </c>
      <c r="D36" s="50">
        <v>10</v>
      </c>
      <c r="E36" s="50">
        <v>3</v>
      </c>
      <c r="F36" s="50">
        <v>36</v>
      </c>
      <c r="G36" s="50">
        <v>2</v>
      </c>
      <c r="H36" s="50">
        <v>1</v>
      </c>
      <c r="I36" s="50">
        <v>25</v>
      </c>
      <c r="J36" s="50">
        <v>1</v>
      </c>
      <c r="K36" s="50">
        <v>2</v>
      </c>
      <c r="L36" s="50">
        <v>2</v>
      </c>
      <c r="M36" s="50">
        <v>185</v>
      </c>
      <c r="N36" s="50">
        <v>0</v>
      </c>
      <c r="O36" s="15">
        <f t="shared" si="0"/>
        <v>122</v>
      </c>
      <c r="P36" s="15">
        <f t="shared" si="1"/>
        <v>307</v>
      </c>
      <c r="R36" s="38" t="s">
        <v>92</v>
      </c>
      <c r="S36" s="39">
        <f t="shared" ref="S36:AF36" si="28">MAX(S19:S21)</f>
        <v>284</v>
      </c>
      <c r="T36" s="39">
        <f t="shared" si="28"/>
        <v>69</v>
      </c>
      <c r="U36" s="39">
        <f t="shared" si="28"/>
        <v>30</v>
      </c>
      <c r="V36" s="39">
        <f t="shared" si="28"/>
        <v>151</v>
      </c>
      <c r="W36" s="39">
        <f t="shared" si="28"/>
        <v>5</v>
      </c>
      <c r="X36" s="39">
        <f t="shared" si="28"/>
        <v>3</v>
      </c>
      <c r="Y36" s="39">
        <f t="shared" si="28"/>
        <v>59</v>
      </c>
      <c r="Z36" s="39">
        <f t="shared" si="28"/>
        <v>10</v>
      </c>
      <c r="AA36" s="39">
        <f t="shared" si="28"/>
        <v>2</v>
      </c>
      <c r="AB36" s="39">
        <f t="shared" si="28"/>
        <v>3</v>
      </c>
      <c r="AC36" s="39">
        <f t="shared" si="28"/>
        <v>755</v>
      </c>
      <c r="AD36" s="39">
        <f t="shared" si="28"/>
        <v>0</v>
      </c>
      <c r="AE36" s="40">
        <f t="shared" si="28"/>
        <v>531</v>
      </c>
      <c r="AF36" s="40">
        <f t="shared" si="28"/>
        <v>1286</v>
      </c>
    </row>
    <row r="37" spans="2:32" ht="23.1" customHeight="1" x14ac:dyDescent="0.25">
      <c r="B37" s="45" t="s">
        <v>64</v>
      </c>
      <c r="C37" s="50">
        <v>36</v>
      </c>
      <c r="D37" s="50">
        <v>8</v>
      </c>
      <c r="E37" s="50">
        <v>4</v>
      </c>
      <c r="F37" s="50">
        <v>45</v>
      </c>
      <c r="G37" s="50">
        <v>1</v>
      </c>
      <c r="H37" s="50">
        <v>0</v>
      </c>
      <c r="I37" s="50">
        <v>15</v>
      </c>
      <c r="J37" s="50">
        <v>0</v>
      </c>
      <c r="K37" s="50">
        <v>0</v>
      </c>
      <c r="L37" s="50">
        <v>0</v>
      </c>
      <c r="M37" s="50">
        <v>205</v>
      </c>
      <c r="N37" s="50">
        <v>0</v>
      </c>
      <c r="O37" s="15">
        <f t="shared" si="0"/>
        <v>109</v>
      </c>
      <c r="P37" s="15">
        <f t="shared" si="1"/>
        <v>314</v>
      </c>
      <c r="R37" s="37" t="s">
        <v>85</v>
      </c>
      <c r="S37" s="35">
        <f t="shared" ref="S37:AF37" si="29">SUM(S10:S12)</f>
        <v>299</v>
      </c>
      <c r="T37" s="16">
        <f t="shared" si="29"/>
        <v>69</v>
      </c>
      <c r="U37" s="16">
        <f t="shared" si="29"/>
        <v>28</v>
      </c>
      <c r="V37" s="16">
        <f t="shared" si="29"/>
        <v>756</v>
      </c>
      <c r="W37" s="16">
        <f t="shared" si="29"/>
        <v>17</v>
      </c>
      <c r="X37" s="16">
        <f t="shared" si="29"/>
        <v>11</v>
      </c>
      <c r="Y37" s="16">
        <f t="shared" si="29"/>
        <v>98</v>
      </c>
      <c r="Z37" s="16">
        <f t="shared" si="29"/>
        <v>5</v>
      </c>
      <c r="AA37" s="16">
        <f t="shared" si="29"/>
        <v>3</v>
      </c>
      <c r="AB37" s="16">
        <f t="shared" si="29"/>
        <v>2</v>
      </c>
      <c r="AC37" s="16">
        <f t="shared" si="29"/>
        <v>3315</v>
      </c>
      <c r="AD37" s="16">
        <f t="shared" si="29"/>
        <v>0</v>
      </c>
      <c r="AE37" s="32">
        <f t="shared" si="29"/>
        <v>1288</v>
      </c>
      <c r="AF37" s="32">
        <f t="shared" si="29"/>
        <v>4603</v>
      </c>
    </row>
    <row r="38" spans="2:32" ht="23.1" customHeight="1" x14ac:dyDescent="0.25">
      <c r="B38" s="46" t="s">
        <v>65</v>
      </c>
      <c r="C38" s="50">
        <v>35</v>
      </c>
      <c r="D38" s="50">
        <v>4</v>
      </c>
      <c r="E38" s="50">
        <v>7</v>
      </c>
      <c r="F38" s="50">
        <v>60</v>
      </c>
      <c r="G38" s="50">
        <v>3</v>
      </c>
      <c r="H38" s="50">
        <v>1</v>
      </c>
      <c r="I38" s="50">
        <v>18</v>
      </c>
      <c r="J38" s="50">
        <v>2</v>
      </c>
      <c r="K38" s="50">
        <v>1</v>
      </c>
      <c r="L38" s="50">
        <v>0</v>
      </c>
      <c r="M38" s="50">
        <v>210</v>
      </c>
      <c r="N38" s="50">
        <v>0</v>
      </c>
      <c r="O38" s="15">
        <f t="shared" si="0"/>
        <v>131</v>
      </c>
      <c r="P38" s="15">
        <f t="shared" si="1"/>
        <v>341</v>
      </c>
      <c r="R38" s="28" t="s">
        <v>86</v>
      </c>
      <c r="S38" s="16">
        <f t="shared" ref="S38:AF38" si="30">SUM(S13:S18)</f>
        <v>808</v>
      </c>
      <c r="T38" s="16">
        <f t="shared" si="30"/>
        <v>212</v>
      </c>
      <c r="U38" s="16">
        <f t="shared" si="30"/>
        <v>100</v>
      </c>
      <c r="V38" s="16">
        <f t="shared" si="30"/>
        <v>998</v>
      </c>
      <c r="W38" s="16">
        <f t="shared" si="30"/>
        <v>27</v>
      </c>
      <c r="X38" s="16">
        <f t="shared" si="30"/>
        <v>19</v>
      </c>
      <c r="Y38" s="16">
        <f t="shared" si="30"/>
        <v>302</v>
      </c>
      <c r="Z38" s="16">
        <f t="shared" si="30"/>
        <v>33</v>
      </c>
      <c r="AA38" s="16">
        <f t="shared" si="30"/>
        <v>14</v>
      </c>
      <c r="AB38" s="16">
        <f t="shared" si="30"/>
        <v>7</v>
      </c>
      <c r="AC38" s="16">
        <f t="shared" si="30"/>
        <v>5327</v>
      </c>
      <c r="AD38" s="16">
        <f t="shared" si="30"/>
        <v>0</v>
      </c>
      <c r="AE38" s="32">
        <f t="shared" si="30"/>
        <v>2520</v>
      </c>
      <c r="AF38" s="32">
        <f t="shared" si="30"/>
        <v>7847</v>
      </c>
    </row>
    <row r="39" spans="2:32" ht="23.1" customHeight="1" x14ac:dyDescent="0.25">
      <c r="B39" s="46" t="s">
        <v>66</v>
      </c>
      <c r="C39" s="50">
        <v>38</v>
      </c>
      <c r="D39" s="50">
        <v>6</v>
      </c>
      <c r="E39" s="50">
        <v>4</v>
      </c>
      <c r="F39" s="50">
        <v>40</v>
      </c>
      <c r="G39" s="50">
        <v>0</v>
      </c>
      <c r="H39" s="50">
        <v>2</v>
      </c>
      <c r="I39" s="50">
        <v>20</v>
      </c>
      <c r="J39" s="50">
        <v>0</v>
      </c>
      <c r="K39" s="50">
        <v>0</v>
      </c>
      <c r="L39" s="50">
        <v>1</v>
      </c>
      <c r="M39" s="50">
        <v>225</v>
      </c>
      <c r="N39" s="50">
        <v>0</v>
      </c>
      <c r="O39" s="15">
        <f t="shared" si="0"/>
        <v>111</v>
      </c>
      <c r="P39" s="15">
        <f t="shared" si="1"/>
        <v>336</v>
      </c>
      <c r="R39" s="29" t="s">
        <v>87</v>
      </c>
      <c r="S39" s="16">
        <f t="shared" ref="S39:AF39" si="31">SUM(S19:S21)</f>
        <v>709</v>
      </c>
      <c r="T39" s="16">
        <f t="shared" si="31"/>
        <v>176</v>
      </c>
      <c r="U39" s="16">
        <f t="shared" si="31"/>
        <v>68</v>
      </c>
      <c r="V39" s="16">
        <f t="shared" si="31"/>
        <v>361</v>
      </c>
      <c r="W39" s="16">
        <f t="shared" si="31"/>
        <v>11</v>
      </c>
      <c r="X39" s="16">
        <f t="shared" si="31"/>
        <v>4</v>
      </c>
      <c r="Y39" s="16">
        <f t="shared" si="31"/>
        <v>122</v>
      </c>
      <c r="Z39" s="16">
        <f t="shared" si="31"/>
        <v>18</v>
      </c>
      <c r="AA39" s="16">
        <f t="shared" si="31"/>
        <v>5</v>
      </c>
      <c r="AB39" s="16">
        <f t="shared" si="31"/>
        <v>5</v>
      </c>
      <c r="AC39" s="16">
        <f t="shared" si="31"/>
        <v>2250</v>
      </c>
      <c r="AD39" s="16">
        <f t="shared" si="31"/>
        <v>0</v>
      </c>
      <c r="AE39" s="32">
        <f t="shared" si="31"/>
        <v>1479</v>
      </c>
      <c r="AF39" s="32">
        <f t="shared" si="31"/>
        <v>3729</v>
      </c>
    </row>
    <row r="40" spans="2:32" ht="23.1" customHeight="1" x14ac:dyDescent="0.25">
      <c r="B40" s="46" t="s">
        <v>67</v>
      </c>
      <c r="C40" s="50">
        <v>40</v>
      </c>
      <c r="D40" s="50">
        <v>8</v>
      </c>
      <c r="E40" s="50">
        <v>5</v>
      </c>
      <c r="F40" s="50">
        <v>50</v>
      </c>
      <c r="G40" s="50">
        <v>1</v>
      </c>
      <c r="H40" s="50">
        <v>0</v>
      </c>
      <c r="I40" s="50">
        <v>12</v>
      </c>
      <c r="J40" s="50">
        <v>4</v>
      </c>
      <c r="K40" s="50">
        <v>1</v>
      </c>
      <c r="L40" s="50">
        <v>0</v>
      </c>
      <c r="M40" s="50">
        <v>215</v>
      </c>
      <c r="N40" s="50">
        <v>0</v>
      </c>
      <c r="O40" s="15">
        <f t="shared" si="0"/>
        <v>121</v>
      </c>
      <c r="P40" s="15">
        <f t="shared" si="1"/>
        <v>336</v>
      </c>
      <c r="R40" s="5" t="s">
        <v>17</v>
      </c>
      <c r="S40" s="16">
        <f t="shared" ref="S40:AF40" si="32">SUM(S10:S21)</f>
        <v>1816</v>
      </c>
      <c r="T40" s="16">
        <f t="shared" si="32"/>
        <v>457</v>
      </c>
      <c r="U40" s="16">
        <f t="shared" si="32"/>
        <v>196</v>
      </c>
      <c r="V40" s="16">
        <f t="shared" si="32"/>
        <v>2115</v>
      </c>
      <c r="W40" s="16">
        <f t="shared" si="32"/>
        <v>55</v>
      </c>
      <c r="X40" s="16">
        <f t="shared" si="32"/>
        <v>34</v>
      </c>
      <c r="Y40" s="16">
        <f t="shared" si="32"/>
        <v>522</v>
      </c>
      <c r="Z40" s="16">
        <f t="shared" si="32"/>
        <v>56</v>
      </c>
      <c r="AA40" s="16">
        <f t="shared" si="32"/>
        <v>22</v>
      </c>
      <c r="AB40" s="16">
        <f t="shared" si="32"/>
        <v>14</v>
      </c>
      <c r="AC40" s="16">
        <f t="shared" si="32"/>
        <v>10892</v>
      </c>
      <c r="AD40" s="16">
        <f t="shared" si="32"/>
        <v>0</v>
      </c>
      <c r="AE40" s="32">
        <f t="shared" si="32"/>
        <v>5287</v>
      </c>
      <c r="AF40" s="32">
        <f t="shared" si="32"/>
        <v>16179</v>
      </c>
    </row>
    <row r="41" spans="2:32" ht="23.1" customHeight="1" x14ac:dyDescent="0.25">
      <c r="B41" s="45" t="s">
        <v>68</v>
      </c>
      <c r="C41" s="50">
        <v>55</v>
      </c>
      <c r="D41" s="50">
        <v>12</v>
      </c>
      <c r="E41" s="50">
        <v>2</v>
      </c>
      <c r="F41" s="50">
        <v>45</v>
      </c>
      <c r="G41" s="50">
        <v>0</v>
      </c>
      <c r="H41" s="50">
        <v>1</v>
      </c>
      <c r="I41" s="50">
        <v>20</v>
      </c>
      <c r="J41" s="50">
        <v>0</v>
      </c>
      <c r="K41" s="50">
        <v>1</v>
      </c>
      <c r="L41" s="50">
        <v>2</v>
      </c>
      <c r="M41" s="50">
        <v>200</v>
      </c>
      <c r="N41" s="50">
        <v>0</v>
      </c>
      <c r="O41" s="15">
        <f t="shared" si="0"/>
        <v>138</v>
      </c>
      <c r="P41" s="15">
        <f t="shared" si="1"/>
        <v>338</v>
      </c>
      <c r="R41" s="5" t="s">
        <v>159</v>
      </c>
      <c r="S41" s="16">
        <f>SUM(S10:S33)</f>
        <v>2924</v>
      </c>
      <c r="T41" s="16">
        <f t="shared" ref="T41:AF41" si="33">SUM(T10:T33)</f>
        <v>850</v>
      </c>
      <c r="U41" s="16">
        <f t="shared" si="33"/>
        <v>292</v>
      </c>
      <c r="V41" s="16">
        <f t="shared" si="33"/>
        <v>2969</v>
      </c>
      <c r="W41" s="16">
        <f t="shared" si="33"/>
        <v>112</v>
      </c>
      <c r="X41" s="16">
        <f t="shared" si="33"/>
        <v>75</v>
      </c>
      <c r="Y41" s="16">
        <f t="shared" si="33"/>
        <v>695</v>
      </c>
      <c r="Z41" s="16">
        <f t="shared" si="33"/>
        <v>154</v>
      </c>
      <c r="AA41" s="16">
        <f t="shared" si="33"/>
        <v>52</v>
      </c>
      <c r="AB41" s="16">
        <f t="shared" si="33"/>
        <v>30</v>
      </c>
      <c r="AC41" s="16">
        <f t="shared" si="33"/>
        <v>14708</v>
      </c>
      <c r="AD41" s="16">
        <f t="shared" si="33"/>
        <v>0</v>
      </c>
      <c r="AE41" s="32">
        <f t="shared" si="33"/>
        <v>8153</v>
      </c>
      <c r="AF41" s="32">
        <f t="shared" si="33"/>
        <v>22861</v>
      </c>
    </row>
    <row r="42" spans="2:32" ht="23.1" customHeight="1" x14ac:dyDescent="0.25">
      <c r="B42" s="46" t="s">
        <v>69</v>
      </c>
      <c r="C42" s="50">
        <v>40</v>
      </c>
      <c r="D42" s="50">
        <v>3</v>
      </c>
      <c r="E42" s="50">
        <v>2</v>
      </c>
      <c r="F42" s="50">
        <v>55</v>
      </c>
      <c r="G42" s="50">
        <v>0</v>
      </c>
      <c r="H42" s="50">
        <v>1</v>
      </c>
      <c r="I42" s="50">
        <v>8</v>
      </c>
      <c r="J42" s="50">
        <v>3</v>
      </c>
      <c r="K42" s="50">
        <v>0</v>
      </c>
      <c r="L42" s="50">
        <v>0</v>
      </c>
      <c r="M42" s="50">
        <v>220</v>
      </c>
      <c r="N42" s="50">
        <v>0</v>
      </c>
      <c r="O42" s="15">
        <f t="shared" si="0"/>
        <v>112</v>
      </c>
      <c r="P42" s="15">
        <f t="shared" si="1"/>
        <v>332</v>
      </c>
      <c r="R42" s="5" t="s">
        <v>160</v>
      </c>
      <c r="S42" s="48">
        <f>S41/S40</f>
        <v>1.6101321585903083</v>
      </c>
      <c r="T42" s="48">
        <f t="shared" ref="T42:AF42" si="34">T41/T40</f>
        <v>1.8599562363238511</v>
      </c>
      <c r="U42" s="48">
        <f t="shared" si="34"/>
        <v>1.489795918367347</v>
      </c>
      <c r="V42" s="48">
        <f t="shared" si="34"/>
        <v>1.4037825059101654</v>
      </c>
      <c r="W42" s="48">
        <f t="shared" si="34"/>
        <v>2.0363636363636362</v>
      </c>
      <c r="X42" s="48">
        <f t="shared" si="34"/>
        <v>2.2058823529411766</v>
      </c>
      <c r="Y42" s="48">
        <f t="shared" si="34"/>
        <v>1.3314176245210727</v>
      </c>
      <c r="Z42" s="48">
        <f t="shared" si="34"/>
        <v>2.75</v>
      </c>
      <c r="AA42" s="48">
        <f t="shared" si="34"/>
        <v>2.3636363636363638</v>
      </c>
      <c r="AB42" s="48">
        <f t="shared" si="34"/>
        <v>2.1428571428571428</v>
      </c>
      <c r="AC42" s="48">
        <f t="shared" si="34"/>
        <v>1.3503488799118619</v>
      </c>
      <c r="AD42" s="48" t="e">
        <f t="shared" si="34"/>
        <v>#DIV/0!</v>
      </c>
      <c r="AE42" s="48">
        <f t="shared" si="34"/>
        <v>1.5420843578588992</v>
      </c>
      <c r="AF42" s="48">
        <f t="shared" si="34"/>
        <v>1.4130045120217567</v>
      </c>
    </row>
    <row r="43" spans="2:32" ht="23.1" customHeight="1" x14ac:dyDescent="0.25">
      <c r="B43" s="45" t="s">
        <v>70</v>
      </c>
      <c r="C43" s="50">
        <v>35</v>
      </c>
      <c r="D43" s="50">
        <v>7</v>
      </c>
      <c r="E43" s="50">
        <v>4</v>
      </c>
      <c r="F43" s="50">
        <v>65</v>
      </c>
      <c r="G43" s="50">
        <v>1</v>
      </c>
      <c r="H43" s="50">
        <v>1</v>
      </c>
      <c r="I43" s="50">
        <v>10</v>
      </c>
      <c r="J43" s="50">
        <v>2</v>
      </c>
      <c r="K43" s="50">
        <v>1</v>
      </c>
      <c r="L43" s="50">
        <v>0</v>
      </c>
      <c r="M43" s="50">
        <v>200</v>
      </c>
      <c r="N43" s="50">
        <v>0</v>
      </c>
      <c r="O43" s="15">
        <f t="shared" si="0"/>
        <v>126</v>
      </c>
      <c r="P43" s="15">
        <f t="shared" si="1"/>
        <v>326</v>
      </c>
    </row>
    <row r="44" spans="2:32" ht="23.1" customHeight="1" x14ac:dyDescent="0.25">
      <c r="B44" s="47" t="s">
        <v>71</v>
      </c>
      <c r="C44" s="50">
        <v>60</v>
      </c>
      <c r="D44" s="50">
        <v>14</v>
      </c>
      <c r="E44" s="50">
        <v>9</v>
      </c>
      <c r="F44" s="50">
        <v>38</v>
      </c>
      <c r="G44" s="50">
        <v>3</v>
      </c>
      <c r="H44" s="50">
        <v>0</v>
      </c>
      <c r="I44" s="50">
        <v>9</v>
      </c>
      <c r="J44" s="50">
        <v>4</v>
      </c>
      <c r="K44" s="50">
        <v>1</v>
      </c>
      <c r="L44" s="50">
        <v>0</v>
      </c>
      <c r="M44" s="50">
        <v>215</v>
      </c>
      <c r="N44" s="50">
        <v>0</v>
      </c>
      <c r="O44" s="15">
        <f t="shared" si="0"/>
        <v>138</v>
      </c>
      <c r="P44" s="15">
        <f t="shared" si="1"/>
        <v>353</v>
      </c>
    </row>
    <row r="45" spans="2:32" ht="23.1" customHeight="1" x14ac:dyDescent="0.25">
      <c r="B45" s="45" t="s">
        <v>72</v>
      </c>
      <c r="C45" s="50">
        <v>45</v>
      </c>
      <c r="D45" s="50">
        <v>19</v>
      </c>
      <c r="E45" s="50">
        <v>10</v>
      </c>
      <c r="F45" s="50">
        <v>45</v>
      </c>
      <c r="G45" s="50">
        <v>2</v>
      </c>
      <c r="H45" s="50">
        <v>2</v>
      </c>
      <c r="I45" s="50">
        <v>18</v>
      </c>
      <c r="J45" s="50">
        <v>5</v>
      </c>
      <c r="K45" s="50">
        <v>0</v>
      </c>
      <c r="L45" s="50">
        <v>0</v>
      </c>
      <c r="M45" s="50">
        <v>213</v>
      </c>
      <c r="N45" s="50">
        <v>0</v>
      </c>
      <c r="O45" s="15">
        <f t="shared" si="0"/>
        <v>146</v>
      </c>
      <c r="P45" s="15">
        <f t="shared" si="1"/>
        <v>359</v>
      </c>
    </row>
    <row r="46" spans="2:32" ht="23.1" customHeight="1" x14ac:dyDescent="0.25">
      <c r="B46" s="46" t="s">
        <v>73</v>
      </c>
      <c r="C46" s="50">
        <v>40</v>
      </c>
      <c r="D46" s="50">
        <v>14</v>
      </c>
      <c r="E46" s="50">
        <v>5</v>
      </c>
      <c r="F46" s="50">
        <v>35</v>
      </c>
      <c r="G46" s="50">
        <v>3</v>
      </c>
      <c r="H46" s="50">
        <v>0</v>
      </c>
      <c r="I46" s="50">
        <v>9</v>
      </c>
      <c r="J46" s="50">
        <v>5</v>
      </c>
      <c r="K46" s="50">
        <v>0</v>
      </c>
      <c r="L46" s="50">
        <v>1</v>
      </c>
      <c r="M46" s="50">
        <v>165</v>
      </c>
      <c r="N46" s="50">
        <v>0</v>
      </c>
      <c r="O46" s="15">
        <f t="shared" si="0"/>
        <v>112</v>
      </c>
      <c r="P46" s="15">
        <f t="shared" si="1"/>
        <v>277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13</v>
      </c>
      <c r="E47" s="50">
        <v>4</v>
      </c>
      <c r="F47" s="50">
        <v>60</v>
      </c>
      <c r="G47" s="50">
        <v>0</v>
      </c>
      <c r="H47" s="50">
        <v>0</v>
      </c>
      <c r="I47" s="50">
        <v>14</v>
      </c>
      <c r="J47" s="50">
        <v>0</v>
      </c>
      <c r="K47" s="50">
        <v>0</v>
      </c>
      <c r="L47" s="50">
        <v>0</v>
      </c>
      <c r="M47" s="50">
        <v>195</v>
      </c>
      <c r="N47" s="50">
        <v>0</v>
      </c>
      <c r="O47" s="15">
        <f t="shared" si="0"/>
        <v>126</v>
      </c>
      <c r="P47" s="15">
        <f t="shared" si="1"/>
        <v>321</v>
      </c>
      <c r="R47" s="8"/>
      <c r="T47"/>
    </row>
    <row r="48" spans="2:32" ht="23.1" customHeight="1" x14ac:dyDescent="0.25">
      <c r="B48" s="46" t="s">
        <v>75</v>
      </c>
      <c r="C48" s="50">
        <v>50</v>
      </c>
      <c r="D48" s="50">
        <v>25</v>
      </c>
      <c r="E48" s="50">
        <v>14</v>
      </c>
      <c r="F48" s="50">
        <v>30</v>
      </c>
      <c r="G48" s="50">
        <v>1</v>
      </c>
      <c r="H48" s="50">
        <v>0</v>
      </c>
      <c r="I48" s="50">
        <v>25</v>
      </c>
      <c r="J48" s="50">
        <v>3</v>
      </c>
      <c r="K48" s="50">
        <v>1</v>
      </c>
      <c r="L48" s="50">
        <v>0</v>
      </c>
      <c r="M48" s="50">
        <v>195</v>
      </c>
      <c r="N48" s="50">
        <v>0</v>
      </c>
      <c r="O48" s="15">
        <f t="shared" si="0"/>
        <v>149</v>
      </c>
      <c r="P48" s="15">
        <f t="shared" si="1"/>
        <v>344</v>
      </c>
      <c r="R48" s="8"/>
      <c r="T48"/>
    </row>
    <row r="49" spans="2:20" ht="23.1" customHeight="1" x14ac:dyDescent="0.25">
      <c r="B49" s="45" t="s">
        <v>76</v>
      </c>
      <c r="C49" s="50">
        <v>70</v>
      </c>
      <c r="D49" s="50">
        <v>17</v>
      </c>
      <c r="E49" s="50">
        <v>7</v>
      </c>
      <c r="F49" s="50">
        <v>26</v>
      </c>
      <c r="G49" s="50">
        <v>0</v>
      </c>
      <c r="H49" s="50">
        <v>0</v>
      </c>
      <c r="I49" s="50">
        <v>11</v>
      </c>
      <c r="J49" s="50">
        <v>2</v>
      </c>
      <c r="K49" s="50">
        <v>0</v>
      </c>
      <c r="L49" s="50">
        <v>2</v>
      </c>
      <c r="M49" s="50">
        <v>185</v>
      </c>
      <c r="N49" s="50">
        <v>0</v>
      </c>
      <c r="O49" s="15">
        <f t="shared" si="0"/>
        <v>135</v>
      </c>
      <c r="P49" s="15">
        <f t="shared" si="1"/>
        <v>320</v>
      </c>
      <c r="R49" s="8"/>
      <c r="T49"/>
    </row>
    <row r="50" spans="2:20" ht="23.1" customHeight="1" x14ac:dyDescent="0.25">
      <c r="B50" s="46" t="s">
        <v>77</v>
      </c>
      <c r="C50" s="50">
        <v>70</v>
      </c>
      <c r="D50" s="50">
        <v>14</v>
      </c>
      <c r="E50" s="50">
        <v>3</v>
      </c>
      <c r="F50" s="50">
        <v>36</v>
      </c>
      <c r="G50" s="50">
        <v>0</v>
      </c>
      <c r="H50" s="50">
        <v>1</v>
      </c>
      <c r="I50" s="50">
        <v>8</v>
      </c>
      <c r="J50" s="50">
        <v>0</v>
      </c>
      <c r="K50" s="50">
        <v>2</v>
      </c>
      <c r="L50" s="50">
        <v>0</v>
      </c>
      <c r="M50" s="50">
        <v>210</v>
      </c>
      <c r="N50" s="50">
        <v>0</v>
      </c>
      <c r="O50" s="15">
        <f t="shared" si="0"/>
        <v>134</v>
      </c>
      <c r="P50" s="15">
        <f t="shared" si="1"/>
        <v>344</v>
      </c>
      <c r="R50" s="8"/>
      <c r="T50"/>
    </row>
    <row r="51" spans="2:20" ht="23.1" customHeight="1" x14ac:dyDescent="0.25">
      <c r="B51" s="46" t="s">
        <v>78</v>
      </c>
      <c r="C51" s="50">
        <v>67</v>
      </c>
      <c r="D51" s="50">
        <v>15</v>
      </c>
      <c r="E51" s="50">
        <v>6</v>
      </c>
      <c r="F51" s="50">
        <v>33</v>
      </c>
      <c r="G51" s="50">
        <v>1</v>
      </c>
      <c r="H51" s="50">
        <v>2</v>
      </c>
      <c r="I51" s="50">
        <v>9</v>
      </c>
      <c r="J51" s="50">
        <v>1</v>
      </c>
      <c r="K51" s="50">
        <v>0</v>
      </c>
      <c r="L51" s="50">
        <v>1</v>
      </c>
      <c r="M51" s="50">
        <v>165</v>
      </c>
      <c r="N51" s="50">
        <v>0</v>
      </c>
      <c r="O51" s="15">
        <f t="shared" si="0"/>
        <v>135</v>
      </c>
      <c r="P51" s="15">
        <f t="shared" si="1"/>
        <v>300</v>
      </c>
      <c r="R51" s="8"/>
      <c r="T51"/>
    </row>
    <row r="52" spans="2:20" ht="23.1" customHeight="1" x14ac:dyDescent="0.25">
      <c r="B52" s="46" t="s">
        <v>79</v>
      </c>
      <c r="C52" s="50">
        <v>76</v>
      </c>
      <c r="D52" s="50">
        <v>17</v>
      </c>
      <c r="E52" s="50">
        <v>6</v>
      </c>
      <c r="F52" s="50">
        <v>25</v>
      </c>
      <c r="G52" s="50">
        <v>0</v>
      </c>
      <c r="H52" s="50">
        <v>0</v>
      </c>
      <c r="I52" s="50">
        <v>11</v>
      </c>
      <c r="J52" s="50">
        <v>1</v>
      </c>
      <c r="K52" s="50">
        <v>0</v>
      </c>
      <c r="L52" s="50">
        <v>0</v>
      </c>
      <c r="M52" s="50">
        <v>185</v>
      </c>
      <c r="N52" s="50">
        <v>0</v>
      </c>
      <c r="O52" s="15">
        <f t="shared" si="0"/>
        <v>136</v>
      </c>
      <c r="P52" s="15">
        <f t="shared" si="1"/>
        <v>321</v>
      </c>
      <c r="R52" s="8"/>
      <c r="T52"/>
    </row>
    <row r="53" spans="2:20" ht="23.1" customHeight="1" x14ac:dyDescent="0.25">
      <c r="B53" s="45" t="s">
        <v>80</v>
      </c>
      <c r="C53" s="50">
        <v>71</v>
      </c>
      <c r="D53" s="50">
        <v>11</v>
      </c>
      <c r="E53" s="50">
        <v>4</v>
      </c>
      <c r="F53" s="50">
        <v>34</v>
      </c>
      <c r="G53" s="50">
        <v>1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195</v>
      </c>
      <c r="N53" s="50">
        <v>0</v>
      </c>
      <c r="O53" s="15">
        <f t="shared" si="0"/>
        <v>126</v>
      </c>
      <c r="P53" s="15">
        <f t="shared" si="1"/>
        <v>321</v>
      </c>
      <c r="R53" s="8"/>
      <c r="T53"/>
    </row>
    <row r="54" spans="2:20" ht="23.1" customHeight="1" x14ac:dyDescent="0.25">
      <c r="B54" s="45" t="s">
        <v>81</v>
      </c>
      <c r="C54" s="50">
        <v>60</v>
      </c>
      <c r="D54" s="50">
        <v>15</v>
      </c>
      <c r="E54" s="50">
        <v>3</v>
      </c>
      <c r="F54" s="50">
        <v>22</v>
      </c>
      <c r="G54" s="50">
        <v>1</v>
      </c>
      <c r="H54" s="50">
        <v>0</v>
      </c>
      <c r="I54" s="50">
        <v>5</v>
      </c>
      <c r="J54" s="50">
        <v>2</v>
      </c>
      <c r="K54" s="50">
        <v>0</v>
      </c>
      <c r="L54" s="50">
        <v>0</v>
      </c>
      <c r="M54" s="50">
        <v>185</v>
      </c>
      <c r="N54" s="50">
        <v>0</v>
      </c>
      <c r="O54" s="15">
        <f t="shared" si="0"/>
        <v>108</v>
      </c>
      <c r="P54" s="15">
        <f t="shared" si="1"/>
        <v>293</v>
      </c>
      <c r="R54" s="8"/>
      <c r="T54"/>
    </row>
    <row r="55" spans="2:20" ht="23.1" customHeight="1" x14ac:dyDescent="0.25">
      <c r="B55" s="45" t="s">
        <v>82</v>
      </c>
      <c r="C55" s="50">
        <v>69</v>
      </c>
      <c r="D55" s="50">
        <v>16</v>
      </c>
      <c r="E55" s="50">
        <v>6</v>
      </c>
      <c r="F55" s="50">
        <v>26</v>
      </c>
      <c r="G55" s="50">
        <v>1</v>
      </c>
      <c r="H55" s="50">
        <v>0</v>
      </c>
      <c r="I55" s="50">
        <v>4</v>
      </c>
      <c r="J55" s="50">
        <v>3</v>
      </c>
      <c r="K55" s="50">
        <v>0</v>
      </c>
      <c r="L55" s="50">
        <v>0</v>
      </c>
      <c r="M55" s="50">
        <v>200</v>
      </c>
      <c r="N55" s="50">
        <v>0</v>
      </c>
      <c r="O55" s="15">
        <f t="shared" si="0"/>
        <v>125</v>
      </c>
      <c r="P55" s="15">
        <f t="shared" si="1"/>
        <v>325</v>
      </c>
      <c r="R55" s="8"/>
      <c r="T55"/>
    </row>
    <row r="56" spans="2:20" ht="23.1" customHeight="1" x14ac:dyDescent="0.25">
      <c r="B56" s="45" t="s">
        <v>83</v>
      </c>
      <c r="C56" s="50">
        <v>46</v>
      </c>
      <c r="D56" s="50">
        <v>9</v>
      </c>
      <c r="E56" s="50">
        <v>6</v>
      </c>
      <c r="F56" s="50">
        <v>31</v>
      </c>
      <c r="G56" s="50">
        <v>3</v>
      </c>
      <c r="H56" s="50">
        <v>1</v>
      </c>
      <c r="I56" s="50">
        <v>15</v>
      </c>
      <c r="J56" s="50">
        <v>0</v>
      </c>
      <c r="K56" s="50">
        <v>1</v>
      </c>
      <c r="L56" s="50">
        <v>0</v>
      </c>
      <c r="M56" s="50">
        <v>165</v>
      </c>
      <c r="N56" s="50">
        <v>0</v>
      </c>
      <c r="O56" s="15">
        <f t="shared" si="0"/>
        <v>112</v>
      </c>
      <c r="P56" s="15">
        <f t="shared" si="1"/>
        <v>277</v>
      </c>
      <c r="R56" s="8"/>
      <c r="T56"/>
    </row>
    <row r="57" spans="2:20" ht="23.1" customHeight="1" x14ac:dyDescent="0.25">
      <c r="B57" s="45" t="s">
        <v>84</v>
      </c>
      <c r="C57" s="50">
        <v>55</v>
      </c>
      <c r="D57" s="50">
        <v>10</v>
      </c>
      <c r="E57" s="50">
        <v>4</v>
      </c>
      <c r="F57" s="50">
        <v>3</v>
      </c>
      <c r="G57" s="50">
        <v>0</v>
      </c>
      <c r="H57" s="50">
        <v>0</v>
      </c>
      <c r="I57" s="50">
        <v>6</v>
      </c>
      <c r="J57" s="50">
        <v>1</v>
      </c>
      <c r="K57" s="50">
        <v>1</v>
      </c>
      <c r="L57" s="50">
        <v>1</v>
      </c>
      <c r="M57" s="50">
        <v>205</v>
      </c>
      <c r="N57" s="50">
        <v>0</v>
      </c>
      <c r="O57" s="15">
        <f t="shared" si="0"/>
        <v>81</v>
      </c>
      <c r="P57" s="15">
        <f t="shared" si="1"/>
        <v>286</v>
      </c>
      <c r="R57" s="8"/>
      <c r="T57"/>
    </row>
    <row r="58" spans="2:20" ht="23.1" customHeight="1" x14ac:dyDescent="0.25">
      <c r="B58" s="45" t="s">
        <v>99</v>
      </c>
      <c r="C58" s="50">
        <v>50</v>
      </c>
      <c r="D58" s="50">
        <v>6</v>
      </c>
      <c r="E58" s="50">
        <v>2</v>
      </c>
      <c r="F58" s="50">
        <v>40</v>
      </c>
      <c r="G58" s="50">
        <v>0</v>
      </c>
      <c r="H58" s="50">
        <v>0</v>
      </c>
      <c r="I58" s="50">
        <v>8</v>
      </c>
      <c r="J58" s="50">
        <v>1</v>
      </c>
      <c r="K58" s="50">
        <v>2</v>
      </c>
      <c r="L58" s="50">
        <v>0</v>
      </c>
      <c r="M58" s="50">
        <v>190</v>
      </c>
      <c r="N58" s="50">
        <v>0</v>
      </c>
      <c r="O58" s="15">
        <f t="shared" si="0"/>
        <v>109</v>
      </c>
      <c r="P58" s="15">
        <f t="shared" si="1"/>
        <v>299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8</v>
      </c>
      <c r="E59" s="50">
        <v>0</v>
      </c>
      <c r="F59" s="50">
        <v>35</v>
      </c>
      <c r="G59" s="50">
        <v>1</v>
      </c>
      <c r="H59" s="50">
        <v>0</v>
      </c>
      <c r="I59" s="50">
        <v>25</v>
      </c>
      <c r="J59" s="50">
        <v>0</v>
      </c>
      <c r="K59" s="50">
        <v>0</v>
      </c>
      <c r="L59" s="50">
        <v>0</v>
      </c>
      <c r="M59" s="50">
        <v>150</v>
      </c>
      <c r="N59" s="50">
        <v>0</v>
      </c>
      <c r="O59" s="15">
        <f t="shared" si="0"/>
        <v>119</v>
      </c>
      <c r="P59" s="15">
        <f t="shared" si="1"/>
        <v>269</v>
      </c>
      <c r="R59" s="8"/>
      <c r="T59"/>
    </row>
    <row r="60" spans="2:20" ht="23.1" customHeight="1" x14ac:dyDescent="0.25">
      <c r="B60" s="45" t="s">
        <v>101</v>
      </c>
      <c r="C60" s="50">
        <v>63</v>
      </c>
      <c r="D60" s="50">
        <v>11</v>
      </c>
      <c r="E60" s="50">
        <v>2</v>
      </c>
      <c r="F60" s="50">
        <v>43</v>
      </c>
      <c r="G60" s="50">
        <v>4</v>
      </c>
      <c r="H60" s="50">
        <v>0</v>
      </c>
      <c r="I60" s="50">
        <v>21</v>
      </c>
      <c r="J60" s="50">
        <v>2</v>
      </c>
      <c r="K60" s="50">
        <v>0</v>
      </c>
      <c r="L60" s="50">
        <v>0</v>
      </c>
      <c r="M60" s="50">
        <v>145</v>
      </c>
      <c r="N60" s="50">
        <v>0</v>
      </c>
      <c r="O60" s="15">
        <f t="shared" si="0"/>
        <v>146</v>
      </c>
      <c r="P60" s="15">
        <f t="shared" si="1"/>
        <v>291</v>
      </c>
      <c r="R60" s="8"/>
      <c r="T60"/>
    </row>
    <row r="61" spans="2:20" ht="23.1" customHeight="1" x14ac:dyDescent="0.25">
      <c r="B61" s="45" t="s">
        <v>102</v>
      </c>
      <c r="C61" s="50">
        <v>57</v>
      </c>
      <c r="D61" s="50">
        <v>7</v>
      </c>
      <c r="E61" s="50">
        <v>4</v>
      </c>
      <c r="F61" s="50">
        <v>39</v>
      </c>
      <c r="G61" s="50">
        <v>9</v>
      </c>
      <c r="H61" s="50">
        <v>2</v>
      </c>
      <c r="I61" s="50">
        <v>19</v>
      </c>
      <c r="J61" s="50">
        <v>8</v>
      </c>
      <c r="K61" s="50">
        <v>0</v>
      </c>
      <c r="L61" s="50">
        <v>0</v>
      </c>
      <c r="M61" s="50">
        <v>150</v>
      </c>
      <c r="N61" s="50">
        <v>0</v>
      </c>
      <c r="O61" s="15">
        <f t="shared" si="0"/>
        <v>145</v>
      </c>
      <c r="P61" s="15">
        <f t="shared" si="1"/>
        <v>295</v>
      </c>
      <c r="R61" s="8"/>
      <c r="T61"/>
    </row>
    <row r="62" spans="2:20" ht="23.1" customHeight="1" x14ac:dyDescent="0.25">
      <c r="B62" s="45" t="s">
        <v>107</v>
      </c>
      <c r="C62" s="50">
        <v>54</v>
      </c>
      <c r="D62" s="50">
        <v>15</v>
      </c>
      <c r="E62" s="50">
        <v>13</v>
      </c>
      <c r="F62" s="50">
        <v>63</v>
      </c>
      <c r="G62" s="50">
        <v>6</v>
      </c>
      <c r="H62" s="50">
        <v>1</v>
      </c>
      <c r="I62" s="50">
        <v>6</v>
      </c>
      <c r="J62" s="50">
        <v>1</v>
      </c>
      <c r="K62" s="50">
        <v>6</v>
      </c>
      <c r="L62" s="50">
        <v>1</v>
      </c>
      <c r="M62" s="50">
        <v>145</v>
      </c>
      <c r="N62" s="50">
        <v>0</v>
      </c>
      <c r="O62" s="15">
        <f t="shared" si="0"/>
        <v>166</v>
      </c>
      <c r="P62" s="15">
        <f t="shared" si="1"/>
        <v>311</v>
      </c>
      <c r="R62" s="8"/>
      <c r="T62"/>
    </row>
    <row r="63" spans="2:20" ht="23.1" customHeight="1" x14ac:dyDescent="0.25">
      <c r="B63" s="45" t="s">
        <v>108</v>
      </c>
      <c r="C63" s="50">
        <v>55</v>
      </c>
      <c r="D63" s="50">
        <v>8</v>
      </c>
      <c r="E63" s="50">
        <v>5</v>
      </c>
      <c r="F63" s="50">
        <v>33</v>
      </c>
      <c r="G63" s="50">
        <v>4</v>
      </c>
      <c r="H63" s="50">
        <v>11</v>
      </c>
      <c r="I63" s="50">
        <v>2</v>
      </c>
      <c r="J63" s="50">
        <v>6</v>
      </c>
      <c r="K63" s="50">
        <v>0</v>
      </c>
      <c r="L63" s="50">
        <v>0</v>
      </c>
      <c r="M63" s="50">
        <v>120</v>
      </c>
      <c r="N63" s="50">
        <v>0</v>
      </c>
      <c r="O63" s="15">
        <f t="shared" si="0"/>
        <v>124</v>
      </c>
      <c r="P63" s="15">
        <f t="shared" si="1"/>
        <v>244</v>
      </c>
      <c r="R63" s="8"/>
      <c r="T63"/>
    </row>
    <row r="64" spans="2:20" ht="23.1" customHeight="1" x14ac:dyDescent="0.25">
      <c r="B64" s="45" t="s">
        <v>109</v>
      </c>
      <c r="C64" s="50">
        <v>45</v>
      </c>
      <c r="D64" s="50">
        <v>22</v>
      </c>
      <c r="E64" s="50">
        <v>6</v>
      </c>
      <c r="F64" s="50">
        <v>20</v>
      </c>
      <c r="G64" s="50">
        <v>20</v>
      </c>
      <c r="H64" s="50">
        <v>0</v>
      </c>
      <c r="I64" s="50">
        <v>0</v>
      </c>
      <c r="J64" s="50">
        <v>3</v>
      </c>
      <c r="K64" s="50">
        <v>0</v>
      </c>
      <c r="L64" s="50">
        <v>0</v>
      </c>
      <c r="M64" s="50">
        <v>140</v>
      </c>
      <c r="N64" s="50">
        <v>0</v>
      </c>
      <c r="O64" s="15">
        <f t="shared" si="0"/>
        <v>116</v>
      </c>
      <c r="P64" s="15">
        <f t="shared" si="1"/>
        <v>256</v>
      </c>
      <c r="R64" s="8"/>
      <c r="T64"/>
    </row>
    <row r="65" spans="2:20" ht="23.1" customHeight="1" x14ac:dyDescent="0.25">
      <c r="B65" s="45" t="s">
        <v>158</v>
      </c>
      <c r="C65" s="50">
        <v>99</v>
      </c>
      <c r="D65" s="50">
        <v>15</v>
      </c>
      <c r="E65" s="50">
        <v>15</v>
      </c>
      <c r="F65" s="50">
        <v>93</v>
      </c>
      <c r="G65" s="50">
        <v>0</v>
      </c>
      <c r="H65" s="50">
        <v>4</v>
      </c>
      <c r="I65" s="50">
        <v>5</v>
      </c>
      <c r="J65" s="50">
        <v>1</v>
      </c>
      <c r="K65" s="50">
        <v>1</v>
      </c>
      <c r="L65" s="50">
        <v>0</v>
      </c>
      <c r="M65" s="50">
        <v>168</v>
      </c>
      <c r="N65" s="50">
        <v>0</v>
      </c>
      <c r="O65" s="15">
        <f t="shared" si="0"/>
        <v>233</v>
      </c>
      <c r="P65" s="15">
        <f t="shared" si="1"/>
        <v>401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7</v>
      </c>
      <c r="E66" s="50">
        <v>1</v>
      </c>
      <c r="F66" s="50">
        <v>7</v>
      </c>
      <c r="G66" s="50">
        <v>0</v>
      </c>
      <c r="H66" s="50">
        <v>1</v>
      </c>
      <c r="I66" s="50">
        <v>2</v>
      </c>
      <c r="J66" s="50">
        <v>0</v>
      </c>
      <c r="K66" s="50">
        <v>0</v>
      </c>
      <c r="L66" s="50">
        <v>0</v>
      </c>
      <c r="M66" s="50">
        <v>90</v>
      </c>
      <c r="N66" s="50">
        <v>0</v>
      </c>
      <c r="O66" s="15">
        <f t="shared" si="0"/>
        <v>43</v>
      </c>
      <c r="P66" s="15">
        <f t="shared" si="1"/>
        <v>133</v>
      </c>
      <c r="R66" s="8"/>
      <c r="T66"/>
    </row>
    <row r="67" spans="2:20" ht="23.1" customHeight="1" x14ac:dyDescent="0.25">
      <c r="B67" s="45" t="s">
        <v>104</v>
      </c>
      <c r="C67" s="50">
        <v>36</v>
      </c>
      <c r="D67" s="50">
        <v>2</v>
      </c>
      <c r="E67" s="50">
        <v>2</v>
      </c>
      <c r="F67" s="50">
        <v>5</v>
      </c>
      <c r="G67" s="50">
        <v>0</v>
      </c>
      <c r="H67" s="50">
        <v>1</v>
      </c>
      <c r="I67" s="50">
        <v>1</v>
      </c>
      <c r="J67" s="50">
        <v>0</v>
      </c>
      <c r="K67" s="50">
        <v>0</v>
      </c>
      <c r="L67" s="50">
        <v>0</v>
      </c>
      <c r="M67" s="50">
        <v>125</v>
      </c>
      <c r="N67" s="50">
        <v>0</v>
      </c>
      <c r="O67" s="15">
        <f t="shared" si="0"/>
        <v>47</v>
      </c>
      <c r="P67" s="15">
        <f t="shared" si="1"/>
        <v>172</v>
      </c>
      <c r="R67" s="8"/>
      <c r="T67"/>
    </row>
    <row r="68" spans="2:20" ht="23.1" customHeight="1" x14ac:dyDescent="0.25">
      <c r="B68" s="45" t="s">
        <v>105</v>
      </c>
      <c r="C68" s="50">
        <v>51</v>
      </c>
      <c r="D68" s="50">
        <v>17</v>
      </c>
      <c r="E68" s="50">
        <v>6</v>
      </c>
      <c r="F68" s="50">
        <v>34</v>
      </c>
      <c r="G68" s="50">
        <v>9</v>
      </c>
      <c r="H68" s="50">
        <v>4</v>
      </c>
      <c r="I68" s="50">
        <v>7</v>
      </c>
      <c r="J68" s="50">
        <v>4</v>
      </c>
      <c r="K68" s="50">
        <v>2</v>
      </c>
      <c r="L68" s="50">
        <v>0</v>
      </c>
      <c r="M68" s="50">
        <v>160</v>
      </c>
      <c r="N68" s="50">
        <v>0</v>
      </c>
      <c r="O68" s="15">
        <f t="shared" si="0"/>
        <v>134</v>
      </c>
      <c r="P68" s="15">
        <f t="shared" si="1"/>
        <v>294</v>
      </c>
      <c r="R68" s="8"/>
      <c r="T68"/>
    </row>
    <row r="69" spans="2:20" ht="23.1" customHeight="1" x14ac:dyDescent="0.25">
      <c r="B69" s="45" t="s">
        <v>106</v>
      </c>
      <c r="C69" s="50">
        <v>22</v>
      </c>
      <c r="D69" s="50">
        <v>16</v>
      </c>
      <c r="E69" s="50">
        <v>0</v>
      </c>
      <c r="F69" s="50">
        <v>29</v>
      </c>
      <c r="G69" s="50">
        <v>0</v>
      </c>
      <c r="H69" s="50">
        <v>3</v>
      </c>
      <c r="I69" s="50">
        <v>6</v>
      </c>
      <c r="J69" s="50">
        <v>1</v>
      </c>
      <c r="K69" s="50">
        <v>0</v>
      </c>
      <c r="L69" s="50">
        <v>0</v>
      </c>
      <c r="M69" s="50">
        <v>140</v>
      </c>
      <c r="N69" s="50">
        <v>0</v>
      </c>
      <c r="O69" s="15">
        <f t="shared" si="0"/>
        <v>77</v>
      </c>
      <c r="P69" s="15">
        <f t="shared" si="1"/>
        <v>217</v>
      </c>
      <c r="R69" s="8"/>
      <c r="T69"/>
    </row>
    <row r="70" spans="2:20" ht="23.1" customHeight="1" x14ac:dyDescent="0.25">
      <c r="B70" s="45" t="s">
        <v>110</v>
      </c>
      <c r="C70" s="50">
        <v>27</v>
      </c>
      <c r="D70" s="50">
        <v>22</v>
      </c>
      <c r="E70" s="50">
        <v>3</v>
      </c>
      <c r="F70" s="50">
        <v>31</v>
      </c>
      <c r="G70" s="50">
        <v>1</v>
      </c>
      <c r="H70" s="50">
        <v>2</v>
      </c>
      <c r="I70" s="50">
        <v>6</v>
      </c>
      <c r="J70" s="50">
        <v>1</v>
      </c>
      <c r="K70" s="50">
        <v>1</v>
      </c>
      <c r="L70" s="50">
        <v>0</v>
      </c>
      <c r="M70" s="50">
        <v>103</v>
      </c>
      <c r="N70" s="50">
        <v>0</v>
      </c>
      <c r="O70" s="15">
        <f t="shared" si="0"/>
        <v>94</v>
      </c>
      <c r="P70" s="15">
        <f t="shared" si="1"/>
        <v>197</v>
      </c>
      <c r="R70" s="8"/>
      <c r="T70"/>
    </row>
    <row r="71" spans="2:20" ht="23.1" customHeight="1" x14ac:dyDescent="0.25">
      <c r="B71" s="45" t="s">
        <v>111</v>
      </c>
      <c r="C71" s="50">
        <v>24</v>
      </c>
      <c r="D71" s="50">
        <v>20</v>
      </c>
      <c r="E71" s="50">
        <v>3</v>
      </c>
      <c r="F71" s="50">
        <v>29</v>
      </c>
      <c r="G71" s="50">
        <v>2</v>
      </c>
      <c r="H71" s="50">
        <v>0</v>
      </c>
      <c r="I71" s="50">
        <v>1</v>
      </c>
      <c r="J71" s="50">
        <v>3</v>
      </c>
      <c r="K71" s="50">
        <v>2</v>
      </c>
      <c r="L71" s="50">
        <v>1</v>
      </c>
      <c r="M71" s="50">
        <v>80</v>
      </c>
      <c r="N71" s="50">
        <v>0</v>
      </c>
      <c r="O71" s="15">
        <f t="shared" si="0"/>
        <v>85</v>
      </c>
      <c r="P71" s="15">
        <f t="shared" si="1"/>
        <v>165</v>
      </c>
      <c r="R71" s="8"/>
      <c r="T71"/>
    </row>
    <row r="72" spans="2:20" ht="23.1" customHeight="1" x14ac:dyDescent="0.25">
      <c r="B72" s="45" t="s">
        <v>112</v>
      </c>
      <c r="C72" s="50">
        <v>9</v>
      </c>
      <c r="D72" s="50">
        <v>12</v>
      </c>
      <c r="E72" s="50">
        <v>2</v>
      </c>
      <c r="F72" s="50">
        <v>8</v>
      </c>
      <c r="G72" s="50">
        <v>0</v>
      </c>
      <c r="H72" s="50">
        <v>0</v>
      </c>
      <c r="I72" s="50">
        <v>2</v>
      </c>
      <c r="J72" s="50">
        <v>3</v>
      </c>
      <c r="K72" s="50">
        <v>1</v>
      </c>
      <c r="L72" s="50">
        <v>2</v>
      </c>
      <c r="M72" s="50">
        <v>74</v>
      </c>
      <c r="N72" s="50">
        <v>0</v>
      </c>
      <c r="O72" s="15">
        <f t="shared" si="0"/>
        <v>39</v>
      </c>
      <c r="P72" s="15">
        <f t="shared" si="1"/>
        <v>113</v>
      </c>
      <c r="R72" s="8"/>
      <c r="T72"/>
    </row>
    <row r="73" spans="2:20" ht="23.1" customHeight="1" x14ac:dyDescent="0.25">
      <c r="B73" s="45" t="s">
        <v>113</v>
      </c>
      <c r="C73" s="50">
        <v>21</v>
      </c>
      <c r="D73" s="50">
        <v>9</v>
      </c>
      <c r="E73" s="50">
        <v>1</v>
      </c>
      <c r="F73" s="50">
        <v>23</v>
      </c>
      <c r="G73" s="50">
        <v>0</v>
      </c>
      <c r="H73" s="50">
        <v>2</v>
      </c>
      <c r="I73" s="50">
        <v>0</v>
      </c>
      <c r="J73" s="50">
        <v>6</v>
      </c>
      <c r="K73" s="50">
        <v>1</v>
      </c>
      <c r="L73" s="50">
        <v>0</v>
      </c>
      <c r="M73" s="50">
        <v>75</v>
      </c>
      <c r="N73" s="50">
        <v>0</v>
      </c>
      <c r="O73" s="15">
        <f t="shared" si="0"/>
        <v>63</v>
      </c>
      <c r="P73" s="15">
        <f t="shared" si="1"/>
        <v>138</v>
      </c>
      <c r="R73" s="8"/>
      <c r="T73"/>
    </row>
    <row r="74" spans="2:20" ht="23.1" customHeight="1" x14ac:dyDescent="0.25">
      <c r="B74" s="45" t="s">
        <v>114</v>
      </c>
      <c r="C74" s="50">
        <v>17</v>
      </c>
      <c r="D74" s="50">
        <v>7</v>
      </c>
      <c r="E74" s="50">
        <v>1</v>
      </c>
      <c r="F74" s="50">
        <v>4</v>
      </c>
      <c r="G74" s="50">
        <v>0</v>
      </c>
      <c r="H74" s="50">
        <v>2</v>
      </c>
      <c r="I74" s="50">
        <v>2</v>
      </c>
      <c r="J74" s="50">
        <v>2</v>
      </c>
      <c r="K74" s="50">
        <v>0</v>
      </c>
      <c r="L74" s="50">
        <v>1</v>
      </c>
      <c r="M74" s="50">
        <v>58</v>
      </c>
      <c r="N74" s="50">
        <v>0</v>
      </c>
      <c r="O74" s="15">
        <f t="shared" ref="O74:O105" si="35">SUM(C74:L74,N74)</f>
        <v>36</v>
      </c>
      <c r="P74" s="15">
        <f t="shared" ref="P74:P105" si="36">SUM(C74:N74)</f>
        <v>94</v>
      </c>
      <c r="R74" s="8"/>
      <c r="T74"/>
    </row>
    <row r="75" spans="2:20" ht="23.1" customHeight="1" x14ac:dyDescent="0.25">
      <c r="B75" s="45" t="s">
        <v>115</v>
      </c>
      <c r="C75" s="50">
        <v>20</v>
      </c>
      <c r="D75" s="50">
        <v>7</v>
      </c>
      <c r="E75" s="50">
        <v>3</v>
      </c>
      <c r="F75" s="50">
        <v>16</v>
      </c>
      <c r="G75" s="50">
        <v>0</v>
      </c>
      <c r="H75" s="50">
        <v>1</v>
      </c>
      <c r="I75" s="50">
        <v>4</v>
      </c>
      <c r="J75" s="50">
        <v>1</v>
      </c>
      <c r="K75" s="50">
        <v>1</v>
      </c>
      <c r="L75" s="50">
        <v>0</v>
      </c>
      <c r="M75" s="50">
        <v>71</v>
      </c>
      <c r="N75" s="50">
        <v>0</v>
      </c>
      <c r="O75" s="15">
        <f t="shared" si="35"/>
        <v>53</v>
      </c>
      <c r="P75" s="15">
        <f t="shared" si="36"/>
        <v>124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6</v>
      </c>
      <c r="E76" s="50">
        <v>7</v>
      </c>
      <c r="F76" s="50">
        <v>13</v>
      </c>
      <c r="G76" s="50">
        <v>0</v>
      </c>
      <c r="H76" s="50">
        <v>0</v>
      </c>
      <c r="I76" s="50">
        <v>3</v>
      </c>
      <c r="J76" s="50">
        <v>1</v>
      </c>
      <c r="K76" s="50">
        <v>2</v>
      </c>
      <c r="L76" s="50">
        <v>3</v>
      </c>
      <c r="M76" s="50">
        <v>80</v>
      </c>
      <c r="N76" s="50">
        <v>0</v>
      </c>
      <c r="O76" s="15">
        <f t="shared" si="35"/>
        <v>60</v>
      </c>
      <c r="P76" s="15">
        <f t="shared" si="36"/>
        <v>140</v>
      </c>
      <c r="R76" s="8"/>
      <c r="T76"/>
    </row>
    <row r="77" spans="2:20" ht="23.1" customHeight="1" x14ac:dyDescent="0.25">
      <c r="B77" s="45" t="s">
        <v>117</v>
      </c>
      <c r="C77" s="50">
        <v>22</v>
      </c>
      <c r="D77" s="50">
        <v>2</v>
      </c>
      <c r="E77" s="50">
        <v>0</v>
      </c>
      <c r="F77" s="50">
        <v>11</v>
      </c>
      <c r="G77" s="50">
        <v>0</v>
      </c>
      <c r="H77" s="50">
        <v>0</v>
      </c>
      <c r="I77" s="50">
        <v>4</v>
      </c>
      <c r="J77" s="50">
        <v>0</v>
      </c>
      <c r="K77" s="50">
        <v>2</v>
      </c>
      <c r="L77" s="50">
        <v>2</v>
      </c>
      <c r="M77" s="50">
        <v>71</v>
      </c>
      <c r="N77" s="50">
        <v>0</v>
      </c>
      <c r="O77" s="15">
        <f t="shared" si="35"/>
        <v>43</v>
      </c>
      <c r="P77" s="15">
        <f t="shared" si="36"/>
        <v>114</v>
      </c>
      <c r="R77" s="8"/>
      <c r="T77"/>
    </row>
    <row r="78" spans="2:20" ht="23.1" customHeight="1" x14ac:dyDescent="0.25">
      <c r="B78" s="46" t="s">
        <v>118</v>
      </c>
      <c r="C78" s="50">
        <v>17</v>
      </c>
      <c r="D78" s="50">
        <v>6</v>
      </c>
      <c r="E78" s="50">
        <v>1</v>
      </c>
      <c r="F78" s="50">
        <v>13</v>
      </c>
      <c r="G78" s="50">
        <v>0</v>
      </c>
      <c r="H78" s="50">
        <v>0</v>
      </c>
      <c r="I78" s="50">
        <v>4</v>
      </c>
      <c r="J78" s="50">
        <v>2</v>
      </c>
      <c r="K78" s="50">
        <v>0</v>
      </c>
      <c r="L78" s="50">
        <v>1</v>
      </c>
      <c r="M78" s="50">
        <v>70</v>
      </c>
      <c r="N78" s="50">
        <v>0</v>
      </c>
      <c r="O78" s="15">
        <f t="shared" si="35"/>
        <v>44</v>
      </c>
      <c r="P78" s="15">
        <f t="shared" si="36"/>
        <v>114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11</v>
      </c>
      <c r="E79" s="50">
        <v>1</v>
      </c>
      <c r="F79" s="50">
        <v>9</v>
      </c>
      <c r="G79" s="50">
        <v>0</v>
      </c>
      <c r="H79" s="50">
        <v>0</v>
      </c>
      <c r="I79" s="50">
        <v>2</v>
      </c>
      <c r="J79" s="50">
        <v>5</v>
      </c>
      <c r="K79" s="50">
        <v>0</v>
      </c>
      <c r="L79" s="50">
        <v>0</v>
      </c>
      <c r="M79" s="50">
        <v>59</v>
      </c>
      <c r="N79" s="50">
        <v>0</v>
      </c>
      <c r="O79" s="15">
        <f t="shared" si="35"/>
        <v>41</v>
      </c>
      <c r="P79" s="15">
        <f t="shared" si="36"/>
        <v>100</v>
      </c>
      <c r="R79" s="8"/>
      <c r="T79"/>
    </row>
    <row r="80" spans="2:20" ht="23.1" customHeight="1" x14ac:dyDescent="0.25">
      <c r="B80" s="47" t="s">
        <v>120</v>
      </c>
      <c r="C80" s="50">
        <v>14</v>
      </c>
      <c r="D80" s="50">
        <v>11</v>
      </c>
      <c r="E80" s="50">
        <v>0</v>
      </c>
      <c r="F80" s="50">
        <v>7</v>
      </c>
      <c r="G80" s="50">
        <v>0</v>
      </c>
      <c r="H80" s="50">
        <v>0</v>
      </c>
      <c r="I80" s="50">
        <v>1</v>
      </c>
      <c r="J80" s="50">
        <v>2</v>
      </c>
      <c r="K80" s="50">
        <v>0</v>
      </c>
      <c r="L80" s="50">
        <v>1</v>
      </c>
      <c r="M80" s="50">
        <v>40</v>
      </c>
      <c r="N80" s="50">
        <v>0</v>
      </c>
      <c r="O80" s="15">
        <f t="shared" si="35"/>
        <v>36</v>
      </c>
      <c r="P80" s="15">
        <f t="shared" si="36"/>
        <v>76</v>
      </c>
      <c r="R80" s="8"/>
      <c r="T80"/>
    </row>
    <row r="81" spans="2:20" ht="23.1" customHeight="1" x14ac:dyDescent="0.25">
      <c r="B81" s="45" t="s">
        <v>121</v>
      </c>
      <c r="C81" s="50">
        <v>15</v>
      </c>
      <c r="D81" s="50">
        <v>9</v>
      </c>
      <c r="E81" s="50">
        <v>0</v>
      </c>
      <c r="F81" s="50">
        <v>9</v>
      </c>
      <c r="G81" s="50">
        <v>0</v>
      </c>
      <c r="H81" s="50">
        <v>0</v>
      </c>
      <c r="I81" s="50">
        <v>2</v>
      </c>
      <c r="J81" s="50">
        <v>2</v>
      </c>
      <c r="K81" s="50">
        <v>0</v>
      </c>
      <c r="L81" s="50">
        <v>0</v>
      </c>
      <c r="M81" s="50">
        <v>45</v>
      </c>
      <c r="N81" s="50">
        <v>0</v>
      </c>
      <c r="O81" s="15">
        <f t="shared" si="35"/>
        <v>37</v>
      </c>
      <c r="P81" s="15">
        <f t="shared" si="36"/>
        <v>82</v>
      </c>
      <c r="R81" s="8"/>
      <c r="T81"/>
    </row>
    <row r="82" spans="2:20" ht="23.1" customHeight="1" x14ac:dyDescent="0.25">
      <c r="B82" s="46" t="s">
        <v>122</v>
      </c>
      <c r="C82" s="50">
        <v>12</v>
      </c>
      <c r="D82" s="50">
        <v>5</v>
      </c>
      <c r="E82" s="50">
        <v>0</v>
      </c>
      <c r="F82" s="50">
        <v>5</v>
      </c>
      <c r="G82" s="50">
        <v>0</v>
      </c>
      <c r="H82" s="50">
        <v>0</v>
      </c>
      <c r="I82" s="50">
        <v>3</v>
      </c>
      <c r="J82" s="50">
        <v>0</v>
      </c>
      <c r="K82" s="50">
        <v>1</v>
      </c>
      <c r="L82" s="50">
        <v>0</v>
      </c>
      <c r="M82" s="50">
        <v>50</v>
      </c>
      <c r="N82" s="50">
        <v>0</v>
      </c>
      <c r="O82" s="15">
        <f t="shared" si="35"/>
        <v>26</v>
      </c>
      <c r="P82" s="15">
        <f t="shared" si="36"/>
        <v>76</v>
      </c>
      <c r="R82" s="8"/>
      <c r="T82"/>
    </row>
    <row r="83" spans="2:20" ht="23.1" customHeight="1" x14ac:dyDescent="0.25">
      <c r="B83" s="45" t="s">
        <v>123</v>
      </c>
      <c r="C83" s="50">
        <v>17</v>
      </c>
      <c r="D83" s="50">
        <v>7</v>
      </c>
      <c r="E83" s="50">
        <v>0</v>
      </c>
      <c r="F83" s="50">
        <v>5</v>
      </c>
      <c r="G83" s="50">
        <v>1</v>
      </c>
      <c r="H83" s="50">
        <v>0</v>
      </c>
      <c r="I83" s="50">
        <v>3</v>
      </c>
      <c r="J83" s="50">
        <v>0</v>
      </c>
      <c r="K83" s="50">
        <v>1</v>
      </c>
      <c r="L83" s="50">
        <v>0</v>
      </c>
      <c r="M83" s="50">
        <v>56</v>
      </c>
      <c r="N83" s="50">
        <v>0</v>
      </c>
      <c r="O83" s="15">
        <f t="shared" si="35"/>
        <v>34</v>
      </c>
      <c r="P83" s="15">
        <f t="shared" si="36"/>
        <v>90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4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35</v>
      </c>
      <c r="N84" s="50">
        <v>0</v>
      </c>
      <c r="O84" s="15">
        <f t="shared" si="35"/>
        <v>20</v>
      </c>
      <c r="P84" s="15">
        <f t="shared" si="36"/>
        <v>55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5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33</v>
      </c>
      <c r="N85" s="50">
        <v>0</v>
      </c>
      <c r="O85" s="15">
        <f t="shared" si="35"/>
        <v>11</v>
      </c>
      <c r="P85" s="15">
        <f t="shared" si="36"/>
        <v>44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29</v>
      </c>
      <c r="N86" s="50">
        <v>0</v>
      </c>
      <c r="O86" s="15">
        <f t="shared" si="35"/>
        <v>10</v>
      </c>
      <c r="P86" s="15">
        <f t="shared" si="36"/>
        <v>39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2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2</v>
      </c>
      <c r="K87" s="50">
        <v>1</v>
      </c>
      <c r="L87" s="50">
        <v>0</v>
      </c>
      <c r="M87" s="50">
        <v>33</v>
      </c>
      <c r="N87" s="50">
        <v>0</v>
      </c>
      <c r="O87" s="15">
        <f t="shared" si="35"/>
        <v>17</v>
      </c>
      <c r="P87" s="15">
        <f t="shared" si="36"/>
        <v>50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3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31</v>
      </c>
      <c r="N88" s="50">
        <v>0</v>
      </c>
      <c r="O88" s="15">
        <f t="shared" si="35"/>
        <v>12</v>
      </c>
      <c r="P88" s="15">
        <f t="shared" si="36"/>
        <v>43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5</v>
      </c>
      <c r="E89" s="50">
        <v>0</v>
      </c>
      <c r="F89" s="50">
        <v>3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33</v>
      </c>
      <c r="N89" s="50">
        <v>0</v>
      </c>
      <c r="O89" s="15">
        <f t="shared" si="35"/>
        <v>15</v>
      </c>
      <c r="P89" s="15">
        <f t="shared" si="36"/>
        <v>48</v>
      </c>
      <c r="R89" s="8"/>
      <c r="T89"/>
    </row>
    <row r="90" spans="2:20" ht="23.1" customHeight="1" x14ac:dyDescent="0.25">
      <c r="B90" s="46" t="s">
        <v>130</v>
      </c>
      <c r="C90" s="50">
        <v>15</v>
      </c>
      <c r="D90" s="50">
        <v>2</v>
      </c>
      <c r="E90" s="50">
        <v>0</v>
      </c>
      <c r="F90" s="50">
        <v>2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15</v>
      </c>
      <c r="N90" s="50">
        <v>0</v>
      </c>
      <c r="O90" s="15">
        <f t="shared" si="35"/>
        <v>21</v>
      </c>
      <c r="P90" s="15">
        <f t="shared" si="36"/>
        <v>36</v>
      </c>
      <c r="R90" s="8"/>
      <c r="T90"/>
    </row>
    <row r="91" spans="2:20" ht="23.1" customHeight="1" x14ac:dyDescent="0.25">
      <c r="B91" s="45" t="s">
        <v>131</v>
      </c>
      <c r="C91" s="50">
        <v>17</v>
      </c>
      <c r="D91" s="50">
        <v>6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27</v>
      </c>
      <c r="N91" s="50">
        <v>0</v>
      </c>
      <c r="O91" s="15">
        <f t="shared" si="35"/>
        <v>24</v>
      </c>
      <c r="P91" s="15">
        <f t="shared" si="36"/>
        <v>51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2</v>
      </c>
      <c r="K92" s="50">
        <v>0</v>
      </c>
      <c r="L92" s="50">
        <v>0</v>
      </c>
      <c r="M92" s="50">
        <v>14</v>
      </c>
      <c r="N92" s="50">
        <v>0</v>
      </c>
      <c r="O92" s="15">
        <f t="shared" si="35"/>
        <v>7</v>
      </c>
      <c r="P92" s="15">
        <f t="shared" si="36"/>
        <v>21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0</v>
      </c>
      <c r="E93" s="50">
        <v>0</v>
      </c>
      <c r="F93" s="50">
        <v>3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50">
        <v>12</v>
      </c>
      <c r="N93" s="50">
        <v>0</v>
      </c>
      <c r="O93" s="15">
        <f t="shared" si="35"/>
        <v>12</v>
      </c>
      <c r="P93" s="15">
        <f t="shared" si="36"/>
        <v>24</v>
      </c>
      <c r="R93" s="8"/>
      <c r="T93"/>
    </row>
    <row r="94" spans="2:20" ht="23.1" customHeight="1" x14ac:dyDescent="0.25">
      <c r="B94" s="46" t="s">
        <v>134</v>
      </c>
      <c r="C94" s="50">
        <v>19</v>
      </c>
      <c r="D94" s="50">
        <v>10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33</v>
      </c>
      <c r="N94" s="50">
        <v>0</v>
      </c>
      <c r="O94" s="15">
        <f t="shared" si="35"/>
        <v>30</v>
      </c>
      <c r="P94" s="15">
        <f t="shared" si="36"/>
        <v>63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3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15</v>
      </c>
      <c r="N95" s="50">
        <v>0</v>
      </c>
      <c r="O95" s="15">
        <f t="shared" si="35"/>
        <v>7</v>
      </c>
      <c r="P95" s="15">
        <f t="shared" si="36"/>
        <v>22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3</v>
      </c>
      <c r="E96" s="50">
        <v>0</v>
      </c>
      <c r="F96" s="50">
        <v>2</v>
      </c>
      <c r="G96" s="50">
        <v>0</v>
      </c>
      <c r="H96" s="50">
        <v>0</v>
      </c>
      <c r="I96" s="50">
        <v>2</v>
      </c>
      <c r="J96" s="50">
        <v>2</v>
      </c>
      <c r="K96" s="50">
        <v>0</v>
      </c>
      <c r="L96" s="50">
        <v>0</v>
      </c>
      <c r="M96" s="50">
        <v>27</v>
      </c>
      <c r="N96" s="50">
        <v>0</v>
      </c>
      <c r="O96" s="15">
        <f t="shared" si="35"/>
        <v>14</v>
      </c>
      <c r="P96" s="15">
        <f t="shared" si="36"/>
        <v>41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7</v>
      </c>
      <c r="E97" s="50">
        <v>0</v>
      </c>
      <c r="F97" s="50">
        <v>1</v>
      </c>
      <c r="G97" s="50">
        <v>0</v>
      </c>
      <c r="H97" s="50">
        <v>2</v>
      </c>
      <c r="I97" s="50">
        <v>0</v>
      </c>
      <c r="J97" s="50">
        <v>5</v>
      </c>
      <c r="K97" s="50">
        <v>0</v>
      </c>
      <c r="L97" s="50">
        <v>0</v>
      </c>
      <c r="M97" s="50">
        <v>17</v>
      </c>
      <c r="N97" s="50">
        <v>0</v>
      </c>
      <c r="O97" s="15">
        <f t="shared" si="35"/>
        <v>19</v>
      </c>
      <c r="P97" s="15">
        <f t="shared" si="36"/>
        <v>36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3</v>
      </c>
      <c r="E98" s="50">
        <v>0</v>
      </c>
      <c r="F98" s="50">
        <v>9</v>
      </c>
      <c r="G98" s="50">
        <v>0</v>
      </c>
      <c r="H98" s="50">
        <v>1</v>
      </c>
      <c r="I98" s="50">
        <v>2</v>
      </c>
      <c r="J98" s="50">
        <v>6</v>
      </c>
      <c r="K98" s="50">
        <v>1</v>
      </c>
      <c r="L98" s="50">
        <v>1</v>
      </c>
      <c r="M98" s="50">
        <v>40</v>
      </c>
      <c r="N98" s="50">
        <v>0</v>
      </c>
      <c r="O98" s="15">
        <f t="shared" si="35"/>
        <v>31</v>
      </c>
      <c r="P98" s="15">
        <f t="shared" si="36"/>
        <v>71</v>
      </c>
      <c r="R98" s="8"/>
      <c r="T98"/>
    </row>
    <row r="99" spans="2:20" ht="23.1" customHeight="1" x14ac:dyDescent="0.25">
      <c r="B99" s="45" t="s">
        <v>139</v>
      </c>
      <c r="C99" s="50">
        <v>13</v>
      </c>
      <c r="D99" s="50">
        <v>4</v>
      </c>
      <c r="E99" s="50">
        <v>1</v>
      </c>
      <c r="F99" s="50">
        <v>10</v>
      </c>
      <c r="G99" s="50">
        <v>0</v>
      </c>
      <c r="H99" s="50">
        <v>0</v>
      </c>
      <c r="I99" s="50">
        <v>1</v>
      </c>
      <c r="J99" s="50">
        <v>5</v>
      </c>
      <c r="K99" s="50">
        <v>0</v>
      </c>
      <c r="L99" s="50">
        <v>0</v>
      </c>
      <c r="M99" s="50">
        <v>30</v>
      </c>
      <c r="N99" s="50">
        <v>0</v>
      </c>
      <c r="O99" s="15">
        <f t="shared" si="35"/>
        <v>34</v>
      </c>
      <c r="P99" s="15">
        <f t="shared" si="36"/>
        <v>64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2</v>
      </c>
      <c r="E100" s="50">
        <v>3</v>
      </c>
      <c r="F100" s="50">
        <v>10</v>
      </c>
      <c r="G100" s="50">
        <v>0</v>
      </c>
      <c r="H100" s="50">
        <v>0</v>
      </c>
      <c r="I100" s="50">
        <v>4</v>
      </c>
      <c r="J100" s="50">
        <v>1</v>
      </c>
      <c r="K100" s="50">
        <v>1</v>
      </c>
      <c r="L100" s="50">
        <v>0</v>
      </c>
      <c r="M100" s="50">
        <v>60</v>
      </c>
      <c r="N100" s="50">
        <v>0</v>
      </c>
      <c r="O100" s="15">
        <f t="shared" si="35"/>
        <v>34</v>
      </c>
      <c r="P100" s="15">
        <f t="shared" si="36"/>
        <v>94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7</v>
      </c>
      <c r="E101" s="50">
        <v>4</v>
      </c>
      <c r="F101" s="50">
        <v>24</v>
      </c>
      <c r="G101" s="50">
        <v>0</v>
      </c>
      <c r="H101" s="50">
        <v>1</v>
      </c>
      <c r="I101" s="50">
        <v>2</v>
      </c>
      <c r="J101" s="50">
        <v>3</v>
      </c>
      <c r="K101" s="50">
        <v>1</v>
      </c>
      <c r="L101" s="50">
        <v>0</v>
      </c>
      <c r="M101" s="50">
        <v>78</v>
      </c>
      <c r="N101" s="50">
        <v>0</v>
      </c>
      <c r="O101" s="15">
        <f t="shared" si="35"/>
        <v>52</v>
      </c>
      <c r="P101" s="15">
        <f t="shared" si="36"/>
        <v>130</v>
      </c>
      <c r="R101" s="8"/>
      <c r="T101"/>
    </row>
    <row r="102" spans="2:20" ht="23.1" customHeight="1" x14ac:dyDescent="0.25">
      <c r="B102" s="46" t="s">
        <v>142</v>
      </c>
      <c r="C102" s="50">
        <v>7</v>
      </c>
      <c r="D102" s="50">
        <v>14</v>
      </c>
      <c r="E102" s="50">
        <v>1</v>
      </c>
      <c r="F102" s="50">
        <v>26</v>
      </c>
      <c r="G102" s="50">
        <v>0</v>
      </c>
      <c r="H102" s="50">
        <v>0</v>
      </c>
      <c r="I102" s="50">
        <v>5</v>
      </c>
      <c r="J102" s="50">
        <v>1</v>
      </c>
      <c r="K102" s="50">
        <v>0</v>
      </c>
      <c r="L102" s="50">
        <v>0</v>
      </c>
      <c r="M102" s="50">
        <v>100</v>
      </c>
      <c r="N102" s="50">
        <v>0</v>
      </c>
      <c r="O102" s="15">
        <f t="shared" si="35"/>
        <v>54</v>
      </c>
      <c r="P102" s="15">
        <f t="shared" si="36"/>
        <v>154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8</v>
      </c>
      <c r="E103" s="50">
        <v>3</v>
      </c>
      <c r="F103" s="50">
        <v>26</v>
      </c>
      <c r="G103" s="50">
        <v>0</v>
      </c>
      <c r="H103" s="50">
        <v>1</v>
      </c>
      <c r="I103" s="50">
        <v>3</v>
      </c>
      <c r="J103" s="50">
        <v>3</v>
      </c>
      <c r="K103" s="50">
        <v>2</v>
      </c>
      <c r="L103" s="50">
        <v>1</v>
      </c>
      <c r="M103" s="50">
        <v>124</v>
      </c>
      <c r="N103" s="50">
        <v>0</v>
      </c>
      <c r="O103" s="15">
        <f t="shared" si="35"/>
        <v>61</v>
      </c>
      <c r="P103" s="15">
        <f t="shared" si="36"/>
        <v>185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10</v>
      </c>
      <c r="E104" s="50">
        <v>2</v>
      </c>
      <c r="F104" s="50">
        <v>39</v>
      </c>
      <c r="G104" s="50">
        <v>0</v>
      </c>
      <c r="H104" s="50">
        <v>2</v>
      </c>
      <c r="I104" s="50">
        <v>4</v>
      </c>
      <c r="J104" s="50">
        <v>4</v>
      </c>
      <c r="K104" s="50">
        <v>0</v>
      </c>
      <c r="L104" s="50">
        <v>0</v>
      </c>
      <c r="M104" s="50">
        <v>160</v>
      </c>
      <c r="N104" s="50">
        <v>0</v>
      </c>
      <c r="O104" s="15">
        <f t="shared" si="35"/>
        <v>74</v>
      </c>
      <c r="P104" s="15">
        <f t="shared" si="36"/>
        <v>234</v>
      </c>
      <c r="R104" s="8"/>
      <c r="T104"/>
    </row>
    <row r="105" spans="2:20" ht="23.1" customHeight="1" x14ac:dyDescent="0.25">
      <c r="B105" s="45" t="s">
        <v>145</v>
      </c>
      <c r="C105" s="50">
        <v>44</v>
      </c>
      <c r="D105" s="50">
        <v>25</v>
      </c>
      <c r="E105" s="50">
        <v>2</v>
      </c>
      <c r="F105" s="50">
        <v>70</v>
      </c>
      <c r="G105" s="50">
        <v>0</v>
      </c>
      <c r="H105" s="50">
        <v>0</v>
      </c>
      <c r="I105" s="50">
        <v>8</v>
      </c>
      <c r="J105" s="50">
        <v>6</v>
      </c>
      <c r="K105" s="50">
        <v>1</v>
      </c>
      <c r="L105" s="50">
        <v>1</v>
      </c>
      <c r="M105" s="50">
        <v>215</v>
      </c>
      <c r="N105" s="50">
        <v>0</v>
      </c>
      <c r="O105" s="15">
        <f t="shared" si="35"/>
        <v>157</v>
      </c>
      <c r="P105" s="15">
        <f t="shared" si="36"/>
        <v>372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2924</v>
      </c>
      <c r="D106" s="16">
        <f t="shared" ref="D106:P106" si="37">SUM(D10:D105)</f>
        <v>850</v>
      </c>
      <c r="E106" s="16">
        <f t="shared" si="37"/>
        <v>292</v>
      </c>
      <c r="F106" s="16">
        <f t="shared" si="37"/>
        <v>2969</v>
      </c>
      <c r="G106" s="16">
        <f t="shared" si="37"/>
        <v>112</v>
      </c>
      <c r="H106" s="16">
        <f t="shared" si="37"/>
        <v>75</v>
      </c>
      <c r="I106" s="16">
        <f t="shared" si="37"/>
        <v>695</v>
      </c>
      <c r="J106" s="16">
        <f t="shared" si="37"/>
        <v>154</v>
      </c>
      <c r="K106" s="16">
        <f t="shared" si="37"/>
        <v>52</v>
      </c>
      <c r="L106" s="16">
        <f t="shared" si="37"/>
        <v>30</v>
      </c>
      <c r="M106" s="16">
        <f t="shared" si="37"/>
        <v>14708</v>
      </c>
      <c r="N106" s="16">
        <f t="shared" si="37"/>
        <v>0</v>
      </c>
      <c r="O106" s="16">
        <f t="shared" si="37"/>
        <v>8153</v>
      </c>
      <c r="P106" s="16">
        <f t="shared" si="37"/>
        <v>22861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0.12790341629849963</v>
      </c>
      <c r="D107" s="43">
        <f t="shared" si="38"/>
        <v>3.7181225668168498E-2</v>
      </c>
      <c r="E107" s="43">
        <f t="shared" si="38"/>
        <v>1.2772844582476708E-2</v>
      </c>
      <c r="F107" s="43">
        <f t="shared" si="38"/>
        <v>0.12987183412799091</v>
      </c>
      <c r="G107" s="43">
        <f t="shared" si="38"/>
        <v>4.8991732645116137E-3</v>
      </c>
      <c r="H107" s="43">
        <f t="shared" si="38"/>
        <v>3.2806963824854557E-3</v>
      </c>
      <c r="I107" s="43">
        <f t="shared" si="38"/>
        <v>3.0401119811031888E-2</v>
      </c>
      <c r="J107" s="43">
        <f t="shared" si="38"/>
        <v>6.7363632387034689E-3</v>
      </c>
      <c r="K107" s="43">
        <f t="shared" si="38"/>
        <v>2.2746161585232494E-3</v>
      </c>
      <c r="L107" s="43">
        <f t="shared" si="38"/>
        <v>1.3122785529941822E-3</v>
      </c>
      <c r="M107" s="43">
        <f t="shared" si="38"/>
        <v>0.6433664319146144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0.35864099104624064</v>
      </c>
      <c r="D108" s="44">
        <f t="shared" ref="D108:N108" si="39">D106/$O$106</f>
        <v>0.10425610204832576</v>
      </c>
      <c r="E108" s="44">
        <f t="shared" si="39"/>
        <v>3.5815037409542498E-2</v>
      </c>
      <c r="F108" s="44">
        <f t="shared" si="39"/>
        <v>0.36416043174291673</v>
      </c>
      <c r="G108" s="44">
        <f t="shared" si="39"/>
        <v>1.3737274622838219E-2</v>
      </c>
      <c r="H108" s="44">
        <f t="shared" si="39"/>
        <v>9.1990678277934501E-3</v>
      </c>
      <c r="I108" s="44">
        <f t="shared" si="39"/>
        <v>8.5244695204219303E-2</v>
      </c>
      <c r="J108" s="44">
        <f t="shared" si="39"/>
        <v>1.8888752606402551E-2</v>
      </c>
      <c r="K108" s="44">
        <f t="shared" si="39"/>
        <v>6.3780203606034584E-3</v>
      </c>
      <c r="L108" s="44">
        <f t="shared" si="39"/>
        <v>3.67962713111738E-3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5" t="str">
        <f>'26.07 Kampala-Kalerwe-24h'!G5:H5</f>
        <v>Wandegeya</v>
      </c>
      <c r="H5" s="66"/>
      <c r="I5" s="14"/>
      <c r="J5" s="2" t="s">
        <v>5</v>
      </c>
      <c r="K5" s="65" t="str">
        <f>'26.07 Kampala-Kalerwe-24h'!K5:L5</f>
        <v>Mbabazi /Kandake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Kalerwe-Kampala'!D6:E6</f>
        <v>Kalewre</v>
      </c>
      <c r="E6" s="66"/>
      <c r="F6" s="2" t="s">
        <v>2</v>
      </c>
      <c r="G6" s="65" t="str">
        <f>'22.07 Kalerwe-Kampala'!G6:H6</f>
        <v>Kampala</v>
      </c>
      <c r="H6" s="66"/>
      <c r="J6" s="2" t="s">
        <v>21</v>
      </c>
      <c r="K6" s="65" t="str">
        <f>'26.07 Kampala-Kalerwe-24h'!K6:L6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25</v>
      </c>
      <c r="D10" s="50">
        <v>15</v>
      </c>
      <c r="E10" s="50">
        <v>45</v>
      </c>
      <c r="F10" s="50">
        <v>33</v>
      </c>
      <c r="G10" s="50">
        <v>3</v>
      </c>
      <c r="H10" s="50">
        <v>2</v>
      </c>
      <c r="I10" s="50">
        <v>1</v>
      </c>
      <c r="J10" s="50">
        <v>0</v>
      </c>
      <c r="K10" s="50">
        <v>0</v>
      </c>
      <c r="L10" s="50">
        <v>0</v>
      </c>
      <c r="M10" s="50">
        <v>160</v>
      </c>
      <c r="N10" s="50">
        <v>0</v>
      </c>
      <c r="O10" s="15">
        <f t="shared" ref="O10:O73" si="0">SUM(C10:L10,N10)</f>
        <v>124</v>
      </c>
      <c r="P10" s="15">
        <f t="shared" ref="P10:P73" si="1">SUM(C10:N10)</f>
        <v>284</v>
      </c>
      <c r="R10" s="1" t="s">
        <v>6</v>
      </c>
      <c r="S10" s="17">
        <f t="shared" ref="S10:AF10" si="2">SUM(C10:C13)</f>
        <v>166</v>
      </c>
      <c r="T10" s="17">
        <f t="shared" si="2"/>
        <v>66</v>
      </c>
      <c r="U10" s="17">
        <f t="shared" si="2"/>
        <v>120</v>
      </c>
      <c r="V10" s="17">
        <f t="shared" si="2"/>
        <v>104</v>
      </c>
      <c r="W10" s="17">
        <f t="shared" si="2"/>
        <v>13</v>
      </c>
      <c r="X10" s="17">
        <f t="shared" si="2"/>
        <v>17</v>
      </c>
      <c r="Y10" s="17">
        <f t="shared" si="2"/>
        <v>12</v>
      </c>
      <c r="Z10" s="17">
        <f t="shared" si="2"/>
        <v>10</v>
      </c>
      <c r="AA10" s="17">
        <f t="shared" si="2"/>
        <v>8</v>
      </c>
      <c r="AB10" s="17">
        <f t="shared" si="2"/>
        <v>3</v>
      </c>
      <c r="AC10" s="17">
        <f t="shared" si="2"/>
        <v>650</v>
      </c>
      <c r="AD10" s="17">
        <f t="shared" si="2"/>
        <v>0</v>
      </c>
      <c r="AE10" s="31">
        <f t="shared" si="2"/>
        <v>519</v>
      </c>
      <c r="AF10" s="31">
        <f t="shared" si="2"/>
        <v>1169</v>
      </c>
    </row>
    <row r="11" spans="2:32" s="6" customFormat="1" ht="23.1" customHeight="1" x14ac:dyDescent="0.25">
      <c r="B11" s="45" t="s">
        <v>38</v>
      </c>
      <c r="C11" s="50">
        <v>48</v>
      </c>
      <c r="D11" s="50">
        <v>15</v>
      </c>
      <c r="E11" s="50">
        <v>10</v>
      </c>
      <c r="F11" s="50">
        <v>32</v>
      </c>
      <c r="G11" s="50">
        <v>7</v>
      </c>
      <c r="H11" s="50">
        <v>4</v>
      </c>
      <c r="I11" s="50">
        <v>4</v>
      </c>
      <c r="J11" s="50">
        <v>2</v>
      </c>
      <c r="K11" s="50">
        <v>6</v>
      </c>
      <c r="L11" s="50">
        <v>3</v>
      </c>
      <c r="M11" s="50">
        <v>120</v>
      </c>
      <c r="N11" s="50">
        <v>0</v>
      </c>
      <c r="O11" s="15">
        <f t="shared" si="0"/>
        <v>131</v>
      </c>
      <c r="P11" s="15">
        <f t="shared" si="1"/>
        <v>251</v>
      </c>
      <c r="R11" s="1" t="s">
        <v>7</v>
      </c>
      <c r="S11" s="17">
        <f t="shared" ref="S11:AF11" si="3">SUM(C14:C17)</f>
        <v>260</v>
      </c>
      <c r="T11" s="17">
        <f t="shared" si="3"/>
        <v>88</v>
      </c>
      <c r="U11" s="17">
        <f t="shared" si="3"/>
        <v>24</v>
      </c>
      <c r="V11" s="17">
        <f t="shared" si="3"/>
        <v>243</v>
      </c>
      <c r="W11" s="17">
        <f t="shared" si="3"/>
        <v>3</v>
      </c>
      <c r="X11" s="17">
        <f t="shared" si="3"/>
        <v>3</v>
      </c>
      <c r="Y11" s="17">
        <f t="shared" si="3"/>
        <v>53</v>
      </c>
      <c r="Z11" s="17">
        <f t="shared" si="3"/>
        <v>24</v>
      </c>
      <c r="AA11" s="17">
        <f t="shared" si="3"/>
        <v>13</v>
      </c>
      <c r="AB11" s="17">
        <f t="shared" si="3"/>
        <v>2</v>
      </c>
      <c r="AC11" s="17">
        <f t="shared" si="3"/>
        <v>675</v>
      </c>
      <c r="AD11" s="17">
        <f t="shared" si="3"/>
        <v>0</v>
      </c>
      <c r="AE11" s="31">
        <f t="shared" si="3"/>
        <v>713</v>
      </c>
      <c r="AF11" s="31">
        <f t="shared" si="3"/>
        <v>1388</v>
      </c>
    </row>
    <row r="12" spans="2:32" ht="23.1" customHeight="1" x14ac:dyDescent="0.25">
      <c r="B12" s="45" t="s">
        <v>39</v>
      </c>
      <c r="C12" s="50">
        <v>68</v>
      </c>
      <c r="D12" s="50">
        <v>22</v>
      </c>
      <c r="E12" s="50">
        <v>11</v>
      </c>
      <c r="F12" s="50">
        <v>38</v>
      </c>
      <c r="G12" s="50">
        <v>3</v>
      </c>
      <c r="H12" s="50">
        <v>3</v>
      </c>
      <c r="I12" s="50">
        <v>1</v>
      </c>
      <c r="J12" s="50">
        <v>8</v>
      </c>
      <c r="K12" s="50">
        <v>2</v>
      </c>
      <c r="L12" s="50">
        <v>0</v>
      </c>
      <c r="M12" s="50">
        <v>195</v>
      </c>
      <c r="N12" s="50">
        <v>0</v>
      </c>
      <c r="O12" s="15">
        <f t="shared" si="0"/>
        <v>156</v>
      </c>
      <c r="P12" s="15">
        <f t="shared" si="1"/>
        <v>351</v>
      </c>
      <c r="R12" s="1" t="s">
        <v>8</v>
      </c>
      <c r="S12" s="17">
        <f t="shared" ref="S12:AF12" si="4">SUM(C18:C21)</f>
        <v>420</v>
      </c>
      <c r="T12" s="17">
        <f t="shared" si="4"/>
        <v>54</v>
      </c>
      <c r="U12" s="17">
        <f t="shared" si="4"/>
        <v>34</v>
      </c>
      <c r="V12" s="17">
        <f t="shared" si="4"/>
        <v>201</v>
      </c>
      <c r="W12" s="17">
        <f t="shared" si="4"/>
        <v>12</v>
      </c>
      <c r="X12" s="17">
        <f t="shared" si="4"/>
        <v>16</v>
      </c>
      <c r="Y12" s="17">
        <f t="shared" si="4"/>
        <v>48</v>
      </c>
      <c r="Z12" s="17">
        <f t="shared" si="4"/>
        <v>33</v>
      </c>
      <c r="AA12" s="17">
        <f t="shared" si="4"/>
        <v>14</v>
      </c>
      <c r="AB12" s="17">
        <f t="shared" si="4"/>
        <v>15</v>
      </c>
      <c r="AC12" s="17">
        <f t="shared" si="4"/>
        <v>589</v>
      </c>
      <c r="AD12" s="17">
        <f t="shared" si="4"/>
        <v>0</v>
      </c>
      <c r="AE12" s="31">
        <f t="shared" si="4"/>
        <v>847</v>
      </c>
      <c r="AF12" s="31">
        <f t="shared" si="4"/>
        <v>1436</v>
      </c>
    </row>
    <row r="13" spans="2:32" ht="23.1" customHeight="1" x14ac:dyDescent="0.25">
      <c r="B13" s="45" t="s">
        <v>40</v>
      </c>
      <c r="C13" s="50">
        <v>25</v>
      </c>
      <c r="D13" s="50">
        <v>14</v>
      </c>
      <c r="E13" s="50">
        <v>54</v>
      </c>
      <c r="F13" s="50">
        <v>1</v>
      </c>
      <c r="G13" s="50">
        <v>0</v>
      </c>
      <c r="H13" s="50">
        <v>8</v>
      </c>
      <c r="I13" s="50">
        <v>6</v>
      </c>
      <c r="J13" s="50">
        <v>0</v>
      </c>
      <c r="K13" s="50">
        <v>0</v>
      </c>
      <c r="L13" s="50">
        <v>0</v>
      </c>
      <c r="M13" s="50">
        <v>175</v>
      </c>
      <c r="N13" s="50">
        <v>0</v>
      </c>
      <c r="O13" s="15">
        <f t="shared" si="0"/>
        <v>108</v>
      </c>
      <c r="P13" s="15">
        <f t="shared" si="1"/>
        <v>283</v>
      </c>
      <c r="R13" s="1" t="s">
        <v>9</v>
      </c>
      <c r="S13" s="17">
        <f t="shared" ref="S13:AF13" si="5">SUM(C22:C25)</f>
        <v>175</v>
      </c>
      <c r="T13" s="17">
        <f t="shared" si="5"/>
        <v>35</v>
      </c>
      <c r="U13" s="17">
        <f t="shared" si="5"/>
        <v>12</v>
      </c>
      <c r="V13" s="17">
        <f t="shared" si="5"/>
        <v>90</v>
      </c>
      <c r="W13" s="17">
        <f t="shared" si="5"/>
        <v>9</v>
      </c>
      <c r="X13" s="17">
        <f t="shared" si="5"/>
        <v>9</v>
      </c>
      <c r="Y13" s="17">
        <f t="shared" si="5"/>
        <v>25</v>
      </c>
      <c r="Z13" s="17">
        <f t="shared" si="5"/>
        <v>12</v>
      </c>
      <c r="AA13" s="17">
        <f t="shared" si="5"/>
        <v>16</v>
      </c>
      <c r="AB13" s="17">
        <f t="shared" si="5"/>
        <v>9</v>
      </c>
      <c r="AC13" s="17">
        <f t="shared" si="5"/>
        <v>486</v>
      </c>
      <c r="AD13" s="17">
        <f t="shared" si="5"/>
        <v>0</v>
      </c>
      <c r="AE13" s="31">
        <f t="shared" si="5"/>
        <v>392</v>
      </c>
      <c r="AF13" s="31">
        <f t="shared" si="5"/>
        <v>878</v>
      </c>
    </row>
    <row r="14" spans="2:32" ht="23.1" customHeight="1" x14ac:dyDescent="0.25">
      <c r="B14" s="45" t="s">
        <v>41</v>
      </c>
      <c r="C14" s="50">
        <v>95</v>
      </c>
      <c r="D14" s="50">
        <v>22</v>
      </c>
      <c r="E14" s="50">
        <v>14</v>
      </c>
      <c r="F14" s="50">
        <v>95</v>
      </c>
      <c r="G14" s="50">
        <v>2</v>
      </c>
      <c r="H14" s="50">
        <v>0</v>
      </c>
      <c r="I14" s="50">
        <v>13</v>
      </c>
      <c r="J14" s="50">
        <v>4</v>
      </c>
      <c r="K14" s="50">
        <v>0</v>
      </c>
      <c r="L14" s="50">
        <v>0</v>
      </c>
      <c r="M14" s="50">
        <v>230</v>
      </c>
      <c r="N14" s="50">
        <v>0</v>
      </c>
      <c r="O14" s="15">
        <f t="shared" si="0"/>
        <v>245</v>
      </c>
      <c r="P14" s="15">
        <f t="shared" si="1"/>
        <v>475</v>
      </c>
      <c r="R14" s="1" t="s">
        <v>10</v>
      </c>
      <c r="S14" s="17">
        <f t="shared" ref="S14:AF14" si="6">SUM(C26:C29)</f>
        <v>376</v>
      </c>
      <c r="T14" s="17">
        <f t="shared" si="6"/>
        <v>59</v>
      </c>
      <c r="U14" s="17">
        <f t="shared" si="6"/>
        <v>58</v>
      </c>
      <c r="V14" s="17">
        <f t="shared" si="6"/>
        <v>148</v>
      </c>
      <c r="W14" s="17">
        <f t="shared" si="6"/>
        <v>8</v>
      </c>
      <c r="X14" s="17">
        <f t="shared" si="6"/>
        <v>7</v>
      </c>
      <c r="Y14" s="17">
        <f t="shared" si="6"/>
        <v>27</v>
      </c>
      <c r="Z14" s="17">
        <f t="shared" si="6"/>
        <v>21</v>
      </c>
      <c r="AA14" s="17">
        <f t="shared" si="6"/>
        <v>15</v>
      </c>
      <c r="AB14" s="17">
        <f t="shared" si="6"/>
        <v>7</v>
      </c>
      <c r="AC14" s="17">
        <f t="shared" si="6"/>
        <v>547</v>
      </c>
      <c r="AD14" s="17">
        <f t="shared" si="6"/>
        <v>0</v>
      </c>
      <c r="AE14" s="31">
        <f t="shared" si="6"/>
        <v>726</v>
      </c>
      <c r="AF14" s="31">
        <f t="shared" si="6"/>
        <v>1273</v>
      </c>
    </row>
    <row r="15" spans="2:32" ht="23.1" customHeight="1" x14ac:dyDescent="0.25">
      <c r="B15" s="45" t="s">
        <v>42</v>
      </c>
      <c r="C15" s="50">
        <v>40</v>
      </c>
      <c r="D15" s="50">
        <v>35</v>
      </c>
      <c r="E15" s="50">
        <v>0</v>
      </c>
      <c r="F15" s="50">
        <v>35</v>
      </c>
      <c r="G15" s="50">
        <v>0</v>
      </c>
      <c r="H15" s="50">
        <v>0</v>
      </c>
      <c r="I15" s="50">
        <v>17</v>
      </c>
      <c r="J15" s="50">
        <v>3</v>
      </c>
      <c r="K15" s="50">
        <v>0</v>
      </c>
      <c r="L15" s="50">
        <v>2</v>
      </c>
      <c r="M15" s="50">
        <v>195</v>
      </c>
      <c r="N15" s="50">
        <v>0</v>
      </c>
      <c r="O15" s="15">
        <f t="shared" si="0"/>
        <v>132</v>
      </c>
      <c r="P15" s="15">
        <f t="shared" si="1"/>
        <v>327</v>
      </c>
      <c r="R15" s="1" t="s">
        <v>11</v>
      </c>
      <c r="S15" s="17">
        <f t="shared" ref="S15:AF15" si="7">SUM(C30:C33)</f>
        <v>218</v>
      </c>
      <c r="T15" s="17">
        <f t="shared" si="7"/>
        <v>43</v>
      </c>
      <c r="U15" s="17">
        <f t="shared" si="7"/>
        <v>26</v>
      </c>
      <c r="V15" s="17">
        <f t="shared" si="7"/>
        <v>103</v>
      </c>
      <c r="W15" s="17">
        <f t="shared" si="7"/>
        <v>3</v>
      </c>
      <c r="X15" s="17">
        <f t="shared" si="7"/>
        <v>3</v>
      </c>
      <c r="Y15" s="17">
        <f t="shared" si="7"/>
        <v>18</v>
      </c>
      <c r="Z15" s="17">
        <f t="shared" si="7"/>
        <v>21</v>
      </c>
      <c r="AA15" s="17">
        <f t="shared" si="7"/>
        <v>11</v>
      </c>
      <c r="AB15" s="17">
        <f t="shared" si="7"/>
        <v>4</v>
      </c>
      <c r="AC15" s="17">
        <f t="shared" si="7"/>
        <v>385</v>
      </c>
      <c r="AD15" s="17">
        <f t="shared" si="7"/>
        <v>0</v>
      </c>
      <c r="AE15" s="31">
        <f t="shared" si="7"/>
        <v>450</v>
      </c>
      <c r="AF15" s="31">
        <f t="shared" si="7"/>
        <v>835</v>
      </c>
    </row>
    <row r="16" spans="2:32" ht="23.1" customHeight="1" x14ac:dyDescent="0.25">
      <c r="B16" s="45" t="s">
        <v>43</v>
      </c>
      <c r="C16" s="50">
        <v>65</v>
      </c>
      <c r="D16" s="50">
        <v>18</v>
      </c>
      <c r="E16" s="50">
        <v>8</v>
      </c>
      <c r="F16" s="50">
        <v>55</v>
      </c>
      <c r="G16" s="50">
        <v>1</v>
      </c>
      <c r="H16" s="50">
        <v>3</v>
      </c>
      <c r="I16" s="50">
        <v>4</v>
      </c>
      <c r="J16" s="50">
        <v>7</v>
      </c>
      <c r="K16" s="50">
        <v>0</v>
      </c>
      <c r="L16" s="50">
        <v>0</v>
      </c>
      <c r="M16" s="50">
        <v>115</v>
      </c>
      <c r="N16" s="50">
        <v>0</v>
      </c>
      <c r="O16" s="15">
        <f t="shared" si="0"/>
        <v>161</v>
      </c>
      <c r="P16" s="15">
        <f t="shared" si="1"/>
        <v>276</v>
      </c>
      <c r="R16" s="1" t="s">
        <v>12</v>
      </c>
      <c r="S16" s="17">
        <f t="shared" ref="S16:AF16" si="8">SUM(C34:C37)</f>
        <v>196</v>
      </c>
      <c r="T16" s="17">
        <f t="shared" si="8"/>
        <v>48</v>
      </c>
      <c r="U16" s="17">
        <f t="shared" si="8"/>
        <v>24</v>
      </c>
      <c r="V16" s="17">
        <f t="shared" si="8"/>
        <v>85</v>
      </c>
      <c r="W16" s="17">
        <f t="shared" si="8"/>
        <v>3</v>
      </c>
      <c r="X16" s="17">
        <f t="shared" si="8"/>
        <v>4</v>
      </c>
      <c r="Y16" s="17">
        <f t="shared" si="8"/>
        <v>23</v>
      </c>
      <c r="Z16" s="17">
        <f t="shared" si="8"/>
        <v>14</v>
      </c>
      <c r="AA16" s="17">
        <f t="shared" si="8"/>
        <v>15</v>
      </c>
      <c r="AB16" s="17">
        <f t="shared" si="8"/>
        <v>3</v>
      </c>
      <c r="AC16" s="17">
        <f t="shared" si="8"/>
        <v>375</v>
      </c>
      <c r="AD16" s="17">
        <f t="shared" si="8"/>
        <v>0</v>
      </c>
      <c r="AE16" s="31">
        <f t="shared" si="8"/>
        <v>415</v>
      </c>
      <c r="AF16" s="31">
        <f t="shared" si="8"/>
        <v>790</v>
      </c>
    </row>
    <row r="17" spans="2:32" ht="23.1" customHeight="1" x14ac:dyDescent="0.25">
      <c r="B17" s="45" t="s">
        <v>44</v>
      </c>
      <c r="C17" s="50">
        <v>60</v>
      </c>
      <c r="D17" s="50">
        <v>13</v>
      </c>
      <c r="E17" s="50">
        <v>2</v>
      </c>
      <c r="F17" s="50">
        <v>58</v>
      </c>
      <c r="G17" s="50">
        <v>0</v>
      </c>
      <c r="H17" s="50">
        <v>0</v>
      </c>
      <c r="I17" s="50">
        <v>19</v>
      </c>
      <c r="J17" s="50">
        <v>10</v>
      </c>
      <c r="K17" s="50">
        <v>13</v>
      </c>
      <c r="L17" s="50">
        <v>0</v>
      </c>
      <c r="M17" s="50">
        <v>135</v>
      </c>
      <c r="N17" s="50">
        <v>0</v>
      </c>
      <c r="O17" s="15">
        <f t="shared" si="0"/>
        <v>175</v>
      </c>
      <c r="P17" s="15">
        <f t="shared" si="1"/>
        <v>310</v>
      </c>
      <c r="R17" s="1" t="s">
        <v>13</v>
      </c>
      <c r="S17" s="17">
        <f t="shared" ref="S17:AF17" si="9">SUM(C38:C41)</f>
        <v>290</v>
      </c>
      <c r="T17" s="17">
        <f t="shared" si="9"/>
        <v>79</v>
      </c>
      <c r="U17" s="17">
        <f t="shared" si="9"/>
        <v>12</v>
      </c>
      <c r="V17" s="17">
        <f t="shared" si="9"/>
        <v>200</v>
      </c>
      <c r="W17" s="17">
        <f t="shared" si="9"/>
        <v>3</v>
      </c>
      <c r="X17" s="17">
        <f t="shared" si="9"/>
        <v>11</v>
      </c>
      <c r="Y17" s="17">
        <f t="shared" si="9"/>
        <v>43</v>
      </c>
      <c r="Z17" s="17">
        <f t="shared" si="9"/>
        <v>9</v>
      </c>
      <c r="AA17" s="17">
        <f t="shared" si="9"/>
        <v>3</v>
      </c>
      <c r="AB17" s="17">
        <f t="shared" si="9"/>
        <v>2</v>
      </c>
      <c r="AC17" s="17">
        <f t="shared" si="9"/>
        <v>655</v>
      </c>
      <c r="AD17" s="17">
        <f t="shared" si="9"/>
        <v>0</v>
      </c>
      <c r="AE17" s="31">
        <f t="shared" si="9"/>
        <v>652</v>
      </c>
      <c r="AF17" s="31">
        <f t="shared" si="9"/>
        <v>1307</v>
      </c>
    </row>
    <row r="18" spans="2:32" ht="23.1" customHeight="1" x14ac:dyDescent="0.25">
      <c r="B18" s="45" t="s">
        <v>45</v>
      </c>
      <c r="C18" s="50">
        <v>100</v>
      </c>
      <c r="D18" s="50">
        <v>17</v>
      </c>
      <c r="E18" s="50">
        <v>12</v>
      </c>
      <c r="F18" s="50">
        <v>42</v>
      </c>
      <c r="G18" s="50">
        <v>2</v>
      </c>
      <c r="H18" s="50">
        <v>3</v>
      </c>
      <c r="I18" s="50">
        <v>12</v>
      </c>
      <c r="J18" s="50">
        <v>14</v>
      </c>
      <c r="K18" s="50">
        <v>4</v>
      </c>
      <c r="L18" s="50">
        <v>5</v>
      </c>
      <c r="M18" s="50">
        <v>210</v>
      </c>
      <c r="N18" s="50">
        <v>0</v>
      </c>
      <c r="O18" s="15">
        <f t="shared" si="0"/>
        <v>211</v>
      </c>
      <c r="P18" s="15">
        <f t="shared" si="1"/>
        <v>421</v>
      </c>
      <c r="R18" s="1" t="s">
        <v>14</v>
      </c>
      <c r="S18" s="17">
        <f t="shared" ref="S18:AF18" si="10">SUM(C42:C45)</f>
        <v>410</v>
      </c>
      <c r="T18" s="17">
        <f t="shared" si="10"/>
        <v>118</v>
      </c>
      <c r="U18" s="17">
        <f t="shared" si="10"/>
        <v>77</v>
      </c>
      <c r="V18" s="17">
        <f t="shared" si="10"/>
        <v>275</v>
      </c>
      <c r="W18" s="17">
        <f t="shared" si="10"/>
        <v>23</v>
      </c>
      <c r="X18" s="17">
        <f t="shared" si="10"/>
        <v>2</v>
      </c>
      <c r="Y18" s="17">
        <f t="shared" si="10"/>
        <v>80</v>
      </c>
      <c r="Z18" s="17">
        <f t="shared" si="10"/>
        <v>31</v>
      </c>
      <c r="AA18" s="17">
        <f t="shared" si="10"/>
        <v>0</v>
      </c>
      <c r="AB18" s="17">
        <f t="shared" si="10"/>
        <v>5</v>
      </c>
      <c r="AC18" s="17">
        <f t="shared" si="10"/>
        <v>775</v>
      </c>
      <c r="AD18" s="17">
        <f t="shared" si="10"/>
        <v>0</v>
      </c>
      <c r="AE18" s="31">
        <f t="shared" si="10"/>
        <v>1021</v>
      </c>
      <c r="AF18" s="31">
        <f t="shared" si="10"/>
        <v>1796</v>
      </c>
    </row>
    <row r="19" spans="2:32" ht="23.1" customHeight="1" x14ac:dyDescent="0.25">
      <c r="B19" s="45" t="s">
        <v>46</v>
      </c>
      <c r="C19" s="50">
        <v>75</v>
      </c>
      <c r="D19" s="50">
        <v>13</v>
      </c>
      <c r="E19" s="50">
        <v>2</v>
      </c>
      <c r="F19" s="50">
        <v>67</v>
      </c>
      <c r="G19" s="50">
        <v>4</v>
      </c>
      <c r="H19" s="50">
        <v>4</v>
      </c>
      <c r="I19" s="50">
        <v>8</v>
      </c>
      <c r="J19" s="50">
        <v>4</v>
      </c>
      <c r="K19" s="50">
        <v>3</v>
      </c>
      <c r="L19" s="50">
        <v>3</v>
      </c>
      <c r="M19" s="50">
        <v>108</v>
      </c>
      <c r="N19" s="50">
        <v>0</v>
      </c>
      <c r="O19" s="15">
        <f t="shared" si="0"/>
        <v>183</v>
      </c>
      <c r="P19" s="15">
        <f t="shared" si="1"/>
        <v>291</v>
      </c>
      <c r="R19" s="1" t="s">
        <v>15</v>
      </c>
      <c r="S19" s="17">
        <f t="shared" ref="S19:AF19" si="11">SUM(C46:C49)</f>
        <v>221</v>
      </c>
      <c r="T19" s="17">
        <f t="shared" si="11"/>
        <v>75</v>
      </c>
      <c r="U19" s="17">
        <f t="shared" si="11"/>
        <v>22</v>
      </c>
      <c r="V19" s="17">
        <f t="shared" si="11"/>
        <v>179</v>
      </c>
      <c r="W19" s="17">
        <f t="shared" si="11"/>
        <v>9</v>
      </c>
      <c r="X19" s="17">
        <f t="shared" si="11"/>
        <v>0</v>
      </c>
      <c r="Y19" s="17">
        <f t="shared" si="11"/>
        <v>58</v>
      </c>
      <c r="Z19" s="17">
        <f t="shared" si="11"/>
        <v>11</v>
      </c>
      <c r="AA19" s="17">
        <f t="shared" si="11"/>
        <v>0</v>
      </c>
      <c r="AB19" s="17">
        <f t="shared" si="11"/>
        <v>3</v>
      </c>
      <c r="AC19" s="17">
        <f t="shared" si="11"/>
        <v>595</v>
      </c>
      <c r="AD19" s="17">
        <f t="shared" si="11"/>
        <v>0</v>
      </c>
      <c r="AE19" s="31">
        <f t="shared" si="11"/>
        <v>578</v>
      </c>
      <c r="AF19" s="31">
        <f t="shared" si="11"/>
        <v>1173</v>
      </c>
    </row>
    <row r="20" spans="2:32" ht="23.1" customHeight="1" x14ac:dyDescent="0.25">
      <c r="B20" s="45" t="s">
        <v>47</v>
      </c>
      <c r="C20" s="50">
        <v>120</v>
      </c>
      <c r="D20" s="50">
        <v>10</v>
      </c>
      <c r="E20" s="50">
        <v>6</v>
      </c>
      <c r="F20" s="50">
        <v>52</v>
      </c>
      <c r="G20" s="50">
        <v>2</v>
      </c>
      <c r="H20" s="50">
        <v>6</v>
      </c>
      <c r="I20" s="50">
        <v>15</v>
      </c>
      <c r="J20" s="50">
        <v>6</v>
      </c>
      <c r="K20" s="50">
        <v>3</v>
      </c>
      <c r="L20" s="50">
        <v>3</v>
      </c>
      <c r="M20" s="50">
        <v>144</v>
      </c>
      <c r="N20" s="50">
        <v>0</v>
      </c>
      <c r="O20" s="15">
        <f t="shared" si="0"/>
        <v>223</v>
      </c>
      <c r="P20" s="15">
        <f t="shared" si="1"/>
        <v>367</v>
      </c>
      <c r="R20" s="1" t="s">
        <v>16</v>
      </c>
      <c r="S20" s="17">
        <f t="shared" ref="S20:AF20" si="12">SUM(C50:C53)</f>
        <v>213</v>
      </c>
      <c r="T20" s="17">
        <f t="shared" si="12"/>
        <v>67</v>
      </c>
      <c r="U20" s="17">
        <f t="shared" si="12"/>
        <v>27</v>
      </c>
      <c r="V20" s="17">
        <f t="shared" si="12"/>
        <v>159</v>
      </c>
      <c r="W20" s="17">
        <f t="shared" si="12"/>
        <v>6</v>
      </c>
      <c r="X20" s="17">
        <f t="shared" si="12"/>
        <v>0</v>
      </c>
      <c r="Y20" s="17">
        <f t="shared" si="12"/>
        <v>36</v>
      </c>
      <c r="Z20" s="17">
        <f t="shared" si="12"/>
        <v>8</v>
      </c>
      <c r="AA20" s="17">
        <f t="shared" si="12"/>
        <v>0</v>
      </c>
      <c r="AB20" s="17">
        <f t="shared" si="12"/>
        <v>0</v>
      </c>
      <c r="AC20" s="17">
        <f t="shared" si="12"/>
        <v>570</v>
      </c>
      <c r="AD20" s="17">
        <f t="shared" si="12"/>
        <v>0</v>
      </c>
      <c r="AE20" s="31">
        <f t="shared" si="12"/>
        <v>516</v>
      </c>
      <c r="AF20" s="31">
        <f t="shared" si="12"/>
        <v>1086</v>
      </c>
    </row>
    <row r="21" spans="2:32" ht="23.1" customHeight="1" x14ac:dyDescent="0.25">
      <c r="B21" s="45" t="s">
        <v>48</v>
      </c>
      <c r="C21" s="50">
        <v>125</v>
      </c>
      <c r="D21" s="50">
        <v>14</v>
      </c>
      <c r="E21" s="50">
        <v>14</v>
      </c>
      <c r="F21" s="50">
        <v>40</v>
      </c>
      <c r="G21" s="50">
        <v>4</v>
      </c>
      <c r="H21" s="50">
        <v>3</v>
      </c>
      <c r="I21" s="50">
        <v>13</v>
      </c>
      <c r="J21" s="50">
        <v>9</v>
      </c>
      <c r="K21" s="50">
        <v>4</v>
      </c>
      <c r="L21" s="50">
        <v>4</v>
      </c>
      <c r="M21" s="50">
        <v>127</v>
      </c>
      <c r="N21" s="50">
        <v>0</v>
      </c>
      <c r="O21" s="15">
        <f t="shared" si="0"/>
        <v>230</v>
      </c>
      <c r="P21" s="15">
        <f t="shared" si="1"/>
        <v>357</v>
      </c>
      <c r="R21" s="36" t="s">
        <v>20</v>
      </c>
      <c r="S21" s="34">
        <f t="shared" ref="S21:AF21" si="13">SUM(C54:C57)</f>
        <v>240</v>
      </c>
      <c r="T21" s="17">
        <f t="shared" si="13"/>
        <v>49</v>
      </c>
      <c r="U21" s="17">
        <f t="shared" si="13"/>
        <v>36</v>
      </c>
      <c r="V21" s="17">
        <f t="shared" si="13"/>
        <v>178</v>
      </c>
      <c r="W21" s="17">
        <f t="shared" si="13"/>
        <v>8</v>
      </c>
      <c r="X21" s="17">
        <f t="shared" si="13"/>
        <v>12</v>
      </c>
      <c r="Y21" s="17">
        <f t="shared" si="13"/>
        <v>23</v>
      </c>
      <c r="Z21" s="17">
        <f t="shared" si="13"/>
        <v>7</v>
      </c>
      <c r="AA21" s="17">
        <f t="shared" si="13"/>
        <v>2</v>
      </c>
      <c r="AB21" s="17">
        <f t="shared" si="13"/>
        <v>0</v>
      </c>
      <c r="AC21" s="17">
        <f t="shared" si="13"/>
        <v>590</v>
      </c>
      <c r="AD21" s="17">
        <f t="shared" si="13"/>
        <v>0</v>
      </c>
      <c r="AE21" s="31">
        <f t="shared" si="13"/>
        <v>555</v>
      </c>
      <c r="AF21" s="31">
        <f t="shared" si="13"/>
        <v>1145</v>
      </c>
    </row>
    <row r="22" spans="2:32" ht="23.1" customHeight="1" x14ac:dyDescent="0.25">
      <c r="B22" s="45" t="s">
        <v>49</v>
      </c>
      <c r="C22" s="50">
        <v>47</v>
      </c>
      <c r="D22" s="50">
        <v>9</v>
      </c>
      <c r="E22" s="50">
        <v>12</v>
      </c>
      <c r="F22" s="50">
        <v>12</v>
      </c>
      <c r="G22" s="50">
        <v>4</v>
      </c>
      <c r="H22" s="50">
        <v>2</v>
      </c>
      <c r="I22" s="50">
        <v>8</v>
      </c>
      <c r="J22" s="50">
        <v>3</v>
      </c>
      <c r="K22" s="50">
        <v>6</v>
      </c>
      <c r="L22" s="50">
        <v>3</v>
      </c>
      <c r="M22" s="50">
        <v>135</v>
      </c>
      <c r="N22" s="50">
        <v>0</v>
      </c>
      <c r="O22" s="15">
        <f t="shared" si="0"/>
        <v>106</v>
      </c>
      <c r="P22" s="15">
        <f t="shared" si="1"/>
        <v>241</v>
      </c>
      <c r="R22" s="36" t="s">
        <v>146</v>
      </c>
      <c r="S22" s="34">
        <f>SUM(C58:C61)</f>
        <v>260</v>
      </c>
      <c r="T22" s="34">
        <f t="shared" ref="T22:AF22" si="14">SUM(D58:D61)</f>
        <v>9</v>
      </c>
      <c r="U22" s="34">
        <f t="shared" si="14"/>
        <v>14</v>
      </c>
      <c r="V22" s="34">
        <f t="shared" si="14"/>
        <v>130</v>
      </c>
      <c r="W22" s="34">
        <f t="shared" si="14"/>
        <v>27</v>
      </c>
      <c r="X22" s="34">
        <f t="shared" si="14"/>
        <v>7</v>
      </c>
      <c r="Y22" s="34">
        <f t="shared" si="14"/>
        <v>50</v>
      </c>
      <c r="Z22" s="34">
        <f t="shared" si="14"/>
        <v>23</v>
      </c>
      <c r="AA22" s="34">
        <f t="shared" si="14"/>
        <v>7</v>
      </c>
      <c r="AB22" s="34">
        <f t="shared" si="14"/>
        <v>2</v>
      </c>
      <c r="AC22" s="34">
        <f t="shared" si="14"/>
        <v>470</v>
      </c>
      <c r="AD22" s="34">
        <f t="shared" si="14"/>
        <v>0</v>
      </c>
      <c r="AE22" s="31">
        <f t="shared" si="14"/>
        <v>529</v>
      </c>
      <c r="AF22" s="31">
        <f t="shared" si="14"/>
        <v>999</v>
      </c>
    </row>
    <row r="23" spans="2:32" ht="23.1" customHeight="1" x14ac:dyDescent="0.25">
      <c r="B23" s="45" t="s">
        <v>50</v>
      </c>
      <c r="C23" s="50">
        <v>48</v>
      </c>
      <c r="D23" s="50">
        <v>11</v>
      </c>
      <c r="E23" s="50">
        <v>0</v>
      </c>
      <c r="F23" s="50">
        <v>23</v>
      </c>
      <c r="G23" s="50">
        <v>0</v>
      </c>
      <c r="H23" s="50">
        <v>3</v>
      </c>
      <c r="I23" s="50">
        <v>5</v>
      </c>
      <c r="J23" s="50">
        <v>1</v>
      </c>
      <c r="K23" s="50">
        <v>2</v>
      </c>
      <c r="L23" s="50">
        <v>4</v>
      </c>
      <c r="M23" s="50">
        <v>143</v>
      </c>
      <c r="N23" s="50">
        <v>0</v>
      </c>
      <c r="O23" s="15">
        <f t="shared" si="0"/>
        <v>97</v>
      </c>
      <c r="P23" s="15">
        <f t="shared" si="1"/>
        <v>240</v>
      </c>
      <c r="R23" s="36" t="s">
        <v>147</v>
      </c>
      <c r="S23" s="34">
        <f>SUM(C62:C65)</f>
        <v>95</v>
      </c>
      <c r="T23" s="34">
        <f t="shared" ref="T23:AF23" si="15">SUM(D62:D65)</f>
        <v>4</v>
      </c>
      <c r="U23" s="34">
        <f t="shared" si="15"/>
        <v>19</v>
      </c>
      <c r="V23" s="34">
        <f t="shared" si="15"/>
        <v>195</v>
      </c>
      <c r="W23" s="34">
        <f t="shared" si="15"/>
        <v>17</v>
      </c>
      <c r="X23" s="34">
        <f t="shared" si="15"/>
        <v>51</v>
      </c>
      <c r="Y23" s="34">
        <f t="shared" si="15"/>
        <v>49</v>
      </c>
      <c r="Z23" s="34">
        <f t="shared" si="15"/>
        <v>7</v>
      </c>
      <c r="AA23" s="34">
        <f t="shared" si="15"/>
        <v>2</v>
      </c>
      <c r="AB23" s="34">
        <f t="shared" si="15"/>
        <v>0</v>
      </c>
      <c r="AC23" s="34">
        <f t="shared" si="15"/>
        <v>240</v>
      </c>
      <c r="AD23" s="34">
        <f t="shared" si="15"/>
        <v>0</v>
      </c>
      <c r="AE23" s="31">
        <f t="shared" si="15"/>
        <v>439</v>
      </c>
      <c r="AF23" s="31">
        <f t="shared" si="15"/>
        <v>679</v>
      </c>
    </row>
    <row r="24" spans="2:32" ht="23.1" customHeight="1" x14ac:dyDescent="0.25">
      <c r="B24" s="45" t="s">
        <v>51</v>
      </c>
      <c r="C24" s="50">
        <v>37</v>
      </c>
      <c r="D24" s="50">
        <v>9</v>
      </c>
      <c r="E24" s="50">
        <v>0</v>
      </c>
      <c r="F24" s="50">
        <v>28</v>
      </c>
      <c r="G24" s="50">
        <v>2</v>
      </c>
      <c r="H24" s="50">
        <v>4</v>
      </c>
      <c r="I24" s="50">
        <v>6</v>
      </c>
      <c r="J24" s="50">
        <v>4</v>
      </c>
      <c r="K24" s="50">
        <v>5</v>
      </c>
      <c r="L24" s="50">
        <v>2</v>
      </c>
      <c r="M24" s="50">
        <v>93</v>
      </c>
      <c r="N24" s="50">
        <v>0</v>
      </c>
      <c r="O24" s="15">
        <f t="shared" si="0"/>
        <v>97</v>
      </c>
      <c r="P24" s="15">
        <f t="shared" si="1"/>
        <v>190</v>
      </c>
      <c r="R24" s="36" t="s">
        <v>148</v>
      </c>
      <c r="S24" s="34">
        <f>SUM(C66:C69)</f>
        <v>135</v>
      </c>
      <c r="T24" s="34">
        <f t="shared" ref="T24:AF24" si="16">SUM(D66:D69)</f>
        <v>11</v>
      </c>
      <c r="U24" s="34">
        <f t="shared" si="16"/>
        <v>19</v>
      </c>
      <c r="V24" s="34">
        <f t="shared" si="16"/>
        <v>193</v>
      </c>
      <c r="W24" s="34">
        <f t="shared" si="16"/>
        <v>22</v>
      </c>
      <c r="X24" s="34">
        <f t="shared" si="16"/>
        <v>17</v>
      </c>
      <c r="Y24" s="34">
        <f t="shared" si="16"/>
        <v>20</v>
      </c>
      <c r="Z24" s="34">
        <f t="shared" si="16"/>
        <v>7</v>
      </c>
      <c r="AA24" s="34">
        <f t="shared" si="16"/>
        <v>5</v>
      </c>
      <c r="AB24" s="34">
        <f t="shared" si="16"/>
        <v>0</v>
      </c>
      <c r="AC24" s="34">
        <f t="shared" si="16"/>
        <v>435</v>
      </c>
      <c r="AD24" s="34">
        <f t="shared" si="16"/>
        <v>0</v>
      </c>
      <c r="AE24" s="31">
        <f t="shared" si="16"/>
        <v>429</v>
      </c>
      <c r="AF24" s="31">
        <f t="shared" si="16"/>
        <v>864</v>
      </c>
    </row>
    <row r="25" spans="2:32" ht="23.1" customHeight="1" x14ac:dyDescent="0.25">
      <c r="B25" s="45" t="s">
        <v>52</v>
      </c>
      <c r="C25" s="50">
        <v>43</v>
      </c>
      <c r="D25" s="50">
        <v>6</v>
      </c>
      <c r="E25" s="50">
        <v>0</v>
      </c>
      <c r="F25" s="50">
        <v>27</v>
      </c>
      <c r="G25" s="50">
        <v>3</v>
      </c>
      <c r="H25" s="50">
        <v>0</v>
      </c>
      <c r="I25" s="50">
        <v>6</v>
      </c>
      <c r="J25" s="50">
        <v>4</v>
      </c>
      <c r="K25" s="50">
        <v>3</v>
      </c>
      <c r="L25" s="50">
        <v>0</v>
      </c>
      <c r="M25" s="50">
        <v>115</v>
      </c>
      <c r="N25" s="50">
        <v>0</v>
      </c>
      <c r="O25" s="15">
        <f t="shared" si="0"/>
        <v>92</v>
      </c>
      <c r="P25" s="15">
        <f t="shared" si="1"/>
        <v>207</v>
      </c>
      <c r="R25" s="36" t="s">
        <v>149</v>
      </c>
      <c r="S25" s="34">
        <f>SUM(C70:C73)</f>
        <v>71</v>
      </c>
      <c r="T25" s="34">
        <f t="shared" ref="T25:AF25" si="17">SUM(D70:D73)</f>
        <v>11</v>
      </c>
      <c r="U25" s="34">
        <f t="shared" si="17"/>
        <v>25</v>
      </c>
      <c r="V25" s="34">
        <f t="shared" si="17"/>
        <v>145</v>
      </c>
      <c r="W25" s="34">
        <f t="shared" si="17"/>
        <v>36</v>
      </c>
      <c r="X25" s="34">
        <f t="shared" si="17"/>
        <v>22</v>
      </c>
      <c r="Y25" s="34">
        <f t="shared" si="17"/>
        <v>42</v>
      </c>
      <c r="Z25" s="34">
        <f t="shared" si="17"/>
        <v>40</v>
      </c>
      <c r="AA25" s="34">
        <f t="shared" si="17"/>
        <v>13</v>
      </c>
      <c r="AB25" s="34">
        <f t="shared" si="17"/>
        <v>1</v>
      </c>
      <c r="AC25" s="34">
        <f t="shared" si="17"/>
        <v>180</v>
      </c>
      <c r="AD25" s="34">
        <f t="shared" si="17"/>
        <v>0</v>
      </c>
      <c r="AE25" s="31">
        <f t="shared" si="17"/>
        <v>406</v>
      </c>
      <c r="AF25" s="31">
        <f t="shared" si="17"/>
        <v>586</v>
      </c>
    </row>
    <row r="26" spans="2:32" ht="23.1" customHeight="1" x14ac:dyDescent="0.25">
      <c r="B26" s="45" t="s">
        <v>53</v>
      </c>
      <c r="C26" s="50">
        <v>67</v>
      </c>
      <c r="D26" s="50">
        <v>12</v>
      </c>
      <c r="E26" s="50">
        <v>8</v>
      </c>
      <c r="F26" s="50">
        <v>67</v>
      </c>
      <c r="G26" s="50">
        <v>1</v>
      </c>
      <c r="H26" s="50">
        <v>2</v>
      </c>
      <c r="I26" s="50">
        <v>4</v>
      </c>
      <c r="J26" s="50">
        <v>3</v>
      </c>
      <c r="K26" s="50">
        <v>4</v>
      </c>
      <c r="L26" s="50">
        <v>1</v>
      </c>
      <c r="M26" s="50">
        <v>117</v>
      </c>
      <c r="N26" s="50">
        <v>0</v>
      </c>
      <c r="O26" s="15">
        <f t="shared" si="0"/>
        <v>169</v>
      </c>
      <c r="P26" s="15">
        <f t="shared" si="1"/>
        <v>286</v>
      </c>
      <c r="R26" s="36" t="s">
        <v>150</v>
      </c>
      <c r="S26" s="34">
        <f>SUM(C74:C77)</f>
        <v>75</v>
      </c>
      <c r="T26" s="34">
        <f t="shared" ref="T26:AF26" si="18">SUM(D74:D77)</f>
        <v>6</v>
      </c>
      <c r="U26" s="34">
        <f t="shared" si="18"/>
        <v>18</v>
      </c>
      <c r="V26" s="34">
        <f t="shared" si="18"/>
        <v>86</v>
      </c>
      <c r="W26" s="34">
        <f t="shared" si="18"/>
        <v>18</v>
      </c>
      <c r="X26" s="34">
        <f t="shared" si="18"/>
        <v>5</v>
      </c>
      <c r="Y26" s="34">
        <f t="shared" si="18"/>
        <v>3</v>
      </c>
      <c r="Z26" s="34">
        <f t="shared" si="18"/>
        <v>23</v>
      </c>
      <c r="AA26" s="34">
        <f t="shared" si="18"/>
        <v>5</v>
      </c>
      <c r="AB26" s="34">
        <f t="shared" si="18"/>
        <v>3</v>
      </c>
      <c r="AC26" s="34">
        <f t="shared" si="18"/>
        <v>145</v>
      </c>
      <c r="AD26" s="34">
        <f t="shared" si="18"/>
        <v>0</v>
      </c>
      <c r="AE26" s="31">
        <f t="shared" si="18"/>
        <v>242</v>
      </c>
      <c r="AF26" s="31">
        <f t="shared" si="18"/>
        <v>387</v>
      </c>
    </row>
    <row r="27" spans="2:32" ht="23.1" customHeight="1" x14ac:dyDescent="0.25">
      <c r="B27" s="45" t="s">
        <v>54</v>
      </c>
      <c r="C27" s="50">
        <v>60</v>
      </c>
      <c r="D27" s="50">
        <v>16</v>
      </c>
      <c r="E27" s="50">
        <v>15</v>
      </c>
      <c r="F27" s="50">
        <v>26</v>
      </c>
      <c r="G27" s="50">
        <v>1</v>
      </c>
      <c r="H27" s="50">
        <v>2</v>
      </c>
      <c r="I27" s="50">
        <v>11</v>
      </c>
      <c r="J27" s="50">
        <v>7</v>
      </c>
      <c r="K27" s="50">
        <v>2</v>
      </c>
      <c r="L27" s="50">
        <v>0</v>
      </c>
      <c r="M27" s="50">
        <v>150</v>
      </c>
      <c r="N27" s="50">
        <v>0</v>
      </c>
      <c r="O27" s="15">
        <f t="shared" si="0"/>
        <v>140</v>
      </c>
      <c r="P27" s="15">
        <f t="shared" si="1"/>
        <v>290</v>
      </c>
      <c r="R27" s="36" t="s">
        <v>151</v>
      </c>
      <c r="S27" s="34">
        <f>SUM(C78:C81)</f>
        <v>92</v>
      </c>
      <c r="T27" s="34">
        <f t="shared" ref="T27:AF27" si="19">SUM(D78:D81)</f>
        <v>11</v>
      </c>
      <c r="U27" s="34">
        <f t="shared" si="19"/>
        <v>21</v>
      </c>
      <c r="V27" s="34">
        <f t="shared" si="19"/>
        <v>118</v>
      </c>
      <c r="W27" s="34">
        <f t="shared" si="19"/>
        <v>6</v>
      </c>
      <c r="X27" s="34">
        <f t="shared" si="19"/>
        <v>6</v>
      </c>
      <c r="Y27" s="34">
        <f t="shared" si="19"/>
        <v>39</v>
      </c>
      <c r="Z27" s="34">
        <f t="shared" si="19"/>
        <v>19</v>
      </c>
      <c r="AA27" s="34">
        <f t="shared" si="19"/>
        <v>6</v>
      </c>
      <c r="AB27" s="34">
        <f t="shared" si="19"/>
        <v>8</v>
      </c>
      <c r="AC27" s="34">
        <f t="shared" si="19"/>
        <v>109</v>
      </c>
      <c r="AD27" s="34">
        <f t="shared" si="19"/>
        <v>0</v>
      </c>
      <c r="AE27" s="31">
        <f t="shared" si="19"/>
        <v>326</v>
      </c>
      <c r="AF27" s="31">
        <f t="shared" si="19"/>
        <v>435</v>
      </c>
    </row>
    <row r="28" spans="2:32" ht="23.1" customHeight="1" x14ac:dyDescent="0.25">
      <c r="B28" s="45" t="s">
        <v>55</v>
      </c>
      <c r="C28" s="50">
        <v>54</v>
      </c>
      <c r="D28" s="50">
        <v>20</v>
      </c>
      <c r="E28" s="50">
        <v>27</v>
      </c>
      <c r="F28" s="50">
        <v>20</v>
      </c>
      <c r="G28" s="50">
        <v>4</v>
      </c>
      <c r="H28" s="50">
        <v>0</v>
      </c>
      <c r="I28" s="50">
        <v>5</v>
      </c>
      <c r="J28" s="50">
        <v>3</v>
      </c>
      <c r="K28" s="50">
        <v>4</v>
      </c>
      <c r="L28" s="50">
        <v>3</v>
      </c>
      <c r="M28" s="50">
        <v>145</v>
      </c>
      <c r="N28" s="50">
        <v>0</v>
      </c>
      <c r="O28" s="15">
        <f t="shared" si="0"/>
        <v>140</v>
      </c>
      <c r="P28" s="15">
        <f t="shared" si="1"/>
        <v>285</v>
      </c>
      <c r="R28" s="36" t="s">
        <v>152</v>
      </c>
      <c r="S28" s="34">
        <f>SUM(C82:C85)</f>
        <v>165</v>
      </c>
      <c r="T28" s="34">
        <f t="shared" ref="T28:AF28" si="20">SUM(D82:D85)</f>
        <v>41</v>
      </c>
      <c r="U28" s="34">
        <f t="shared" si="20"/>
        <v>14</v>
      </c>
      <c r="V28" s="34">
        <f t="shared" si="20"/>
        <v>40</v>
      </c>
      <c r="W28" s="34">
        <f t="shared" si="20"/>
        <v>12</v>
      </c>
      <c r="X28" s="34">
        <f t="shared" si="20"/>
        <v>9</v>
      </c>
      <c r="Y28" s="34">
        <f t="shared" si="20"/>
        <v>36</v>
      </c>
      <c r="Z28" s="34">
        <f t="shared" si="20"/>
        <v>28</v>
      </c>
      <c r="AA28" s="34">
        <f t="shared" si="20"/>
        <v>10</v>
      </c>
      <c r="AB28" s="34">
        <f t="shared" si="20"/>
        <v>1</v>
      </c>
      <c r="AC28" s="34">
        <f t="shared" si="20"/>
        <v>95</v>
      </c>
      <c r="AD28" s="34">
        <f t="shared" si="20"/>
        <v>0</v>
      </c>
      <c r="AE28" s="31">
        <f t="shared" si="20"/>
        <v>356</v>
      </c>
      <c r="AF28" s="31">
        <f t="shared" si="20"/>
        <v>451</v>
      </c>
    </row>
    <row r="29" spans="2:32" ht="23.1" customHeight="1" x14ac:dyDescent="0.25">
      <c r="B29" s="45" t="s">
        <v>56</v>
      </c>
      <c r="C29" s="50">
        <v>195</v>
      </c>
      <c r="D29" s="50">
        <v>11</v>
      </c>
      <c r="E29" s="50">
        <v>8</v>
      </c>
      <c r="F29" s="50">
        <v>35</v>
      </c>
      <c r="G29" s="50">
        <v>2</v>
      </c>
      <c r="H29" s="50">
        <v>3</v>
      </c>
      <c r="I29" s="50">
        <v>7</v>
      </c>
      <c r="J29" s="50">
        <v>8</v>
      </c>
      <c r="K29" s="50">
        <v>5</v>
      </c>
      <c r="L29" s="50">
        <v>3</v>
      </c>
      <c r="M29" s="50">
        <v>135</v>
      </c>
      <c r="N29" s="50">
        <v>0</v>
      </c>
      <c r="O29" s="15">
        <f t="shared" si="0"/>
        <v>277</v>
      </c>
      <c r="P29" s="15">
        <f t="shared" si="1"/>
        <v>412</v>
      </c>
      <c r="R29" s="36" t="s">
        <v>153</v>
      </c>
      <c r="S29" s="34">
        <f>SUM(C86:C89)</f>
        <v>113</v>
      </c>
      <c r="T29" s="34">
        <f t="shared" ref="T29:AF29" si="21">SUM(D86:D89)</f>
        <v>9</v>
      </c>
      <c r="U29" s="34">
        <f t="shared" si="21"/>
        <v>13</v>
      </c>
      <c r="V29" s="34">
        <f t="shared" si="21"/>
        <v>71</v>
      </c>
      <c r="W29" s="34">
        <f t="shared" si="21"/>
        <v>7</v>
      </c>
      <c r="X29" s="34">
        <f t="shared" si="21"/>
        <v>6</v>
      </c>
      <c r="Y29" s="34">
        <f t="shared" si="21"/>
        <v>34</v>
      </c>
      <c r="Z29" s="34">
        <f t="shared" si="21"/>
        <v>44</v>
      </c>
      <c r="AA29" s="34">
        <f t="shared" si="21"/>
        <v>17</v>
      </c>
      <c r="AB29" s="34">
        <f t="shared" si="21"/>
        <v>1</v>
      </c>
      <c r="AC29" s="34">
        <f t="shared" si="21"/>
        <v>161</v>
      </c>
      <c r="AD29" s="34">
        <f t="shared" si="21"/>
        <v>0</v>
      </c>
      <c r="AE29" s="31">
        <f t="shared" si="21"/>
        <v>315</v>
      </c>
      <c r="AF29" s="31">
        <f t="shared" si="21"/>
        <v>476</v>
      </c>
    </row>
    <row r="30" spans="2:32" ht="23.1" customHeight="1" x14ac:dyDescent="0.25">
      <c r="B30" s="45" t="s">
        <v>57</v>
      </c>
      <c r="C30" s="50">
        <v>68</v>
      </c>
      <c r="D30" s="50">
        <v>11</v>
      </c>
      <c r="E30" s="50">
        <v>8</v>
      </c>
      <c r="F30" s="50">
        <v>51</v>
      </c>
      <c r="G30" s="50">
        <v>1</v>
      </c>
      <c r="H30" s="50">
        <v>1</v>
      </c>
      <c r="I30" s="50">
        <v>5</v>
      </c>
      <c r="J30" s="50">
        <v>7</v>
      </c>
      <c r="K30" s="50">
        <v>4</v>
      </c>
      <c r="L30" s="50">
        <v>1</v>
      </c>
      <c r="M30" s="50">
        <v>80</v>
      </c>
      <c r="N30" s="50">
        <v>0</v>
      </c>
      <c r="O30" s="15">
        <f t="shared" si="0"/>
        <v>157</v>
      </c>
      <c r="P30" s="15">
        <f t="shared" si="1"/>
        <v>237</v>
      </c>
      <c r="R30" s="36" t="s">
        <v>154</v>
      </c>
      <c r="S30" s="34">
        <f>SUM(C90:C93)</f>
        <v>100</v>
      </c>
      <c r="T30" s="34">
        <f t="shared" ref="T30:AF30" si="22">SUM(D90:D93)</f>
        <v>9</v>
      </c>
      <c r="U30" s="34">
        <f t="shared" si="22"/>
        <v>27</v>
      </c>
      <c r="V30" s="34">
        <f t="shared" si="22"/>
        <v>61</v>
      </c>
      <c r="W30" s="34">
        <f t="shared" si="22"/>
        <v>15</v>
      </c>
      <c r="X30" s="34">
        <f t="shared" si="22"/>
        <v>22</v>
      </c>
      <c r="Y30" s="34">
        <f t="shared" si="22"/>
        <v>21</v>
      </c>
      <c r="Z30" s="34">
        <f t="shared" si="22"/>
        <v>22</v>
      </c>
      <c r="AA30" s="34">
        <f t="shared" si="22"/>
        <v>12</v>
      </c>
      <c r="AB30" s="34">
        <f t="shared" si="22"/>
        <v>2</v>
      </c>
      <c r="AC30" s="34">
        <f t="shared" si="22"/>
        <v>131</v>
      </c>
      <c r="AD30" s="34">
        <f t="shared" si="22"/>
        <v>0</v>
      </c>
      <c r="AE30" s="31">
        <f t="shared" si="22"/>
        <v>291</v>
      </c>
      <c r="AF30" s="31">
        <f t="shared" si="22"/>
        <v>422</v>
      </c>
    </row>
    <row r="31" spans="2:32" ht="23.1" customHeight="1" x14ac:dyDescent="0.25">
      <c r="B31" s="46" t="s">
        <v>58</v>
      </c>
      <c r="C31" s="50">
        <v>54</v>
      </c>
      <c r="D31" s="50">
        <v>15</v>
      </c>
      <c r="E31" s="50">
        <v>8</v>
      </c>
      <c r="F31" s="50">
        <v>21</v>
      </c>
      <c r="G31" s="50">
        <v>2</v>
      </c>
      <c r="H31" s="50">
        <v>2</v>
      </c>
      <c r="I31" s="50">
        <v>1</v>
      </c>
      <c r="J31" s="50">
        <v>8</v>
      </c>
      <c r="K31" s="50">
        <v>2</v>
      </c>
      <c r="L31" s="50">
        <v>0</v>
      </c>
      <c r="M31" s="50">
        <v>97</v>
      </c>
      <c r="N31" s="50">
        <v>0</v>
      </c>
      <c r="O31" s="15">
        <f t="shared" si="0"/>
        <v>113</v>
      </c>
      <c r="P31" s="15">
        <f t="shared" si="1"/>
        <v>210</v>
      </c>
      <c r="R31" s="36" t="s">
        <v>155</v>
      </c>
      <c r="S31" s="34">
        <f>SUM(C94:C97)</f>
        <v>26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22</v>
      </c>
      <c r="W31" s="34">
        <f t="shared" si="23"/>
        <v>0</v>
      </c>
      <c r="X31" s="34">
        <f t="shared" si="23"/>
        <v>0</v>
      </c>
      <c r="Y31" s="34">
        <f t="shared" si="23"/>
        <v>6</v>
      </c>
      <c r="Z31" s="34">
        <f t="shared" si="23"/>
        <v>5</v>
      </c>
      <c r="AA31" s="34">
        <f t="shared" si="23"/>
        <v>2</v>
      </c>
      <c r="AB31" s="34">
        <f t="shared" si="23"/>
        <v>0</v>
      </c>
      <c r="AC31" s="34">
        <f t="shared" si="23"/>
        <v>57</v>
      </c>
      <c r="AD31" s="34">
        <f t="shared" si="23"/>
        <v>0</v>
      </c>
      <c r="AE31" s="31">
        <f t="shared" si="23"/>
        <v>62</v>
      </c>
      <c r="AF31" s="31">
        <f t="shared" si="23"/>
        <v>119</v>
      </c>
    </row>
    <row r="32" spans="2:32" ht="23.1" customHeight="1" x14ac:dyDescent="0.25">
      <c r="B32" s="46" t="s">
        <v>59</v>
      </c>
      <c r="C32" s="50">
        <v>51</v>
      </c>
      <c r="D32" s="50">
        <v>9</v>
      </c>
      <c r="E32" s="50">
        <v>6</v>
      </c>
      <c r="F32" s="50">
        <v>9</v>
      </c>
      <c r="G32" s="50">
        <v>0</v>
      </c>
      <c r="H32" s="50">
        <v>0</v>
      </c>
      <c r="I32" s="50">
        <v>4</v>
      </c>
      <c r="J32" s="50">
        <v>4</v>
      </c>
      <c r="K32" s="50">
        <v>3</v>
      </c>
      <c r="L32" s="50">
        <v>0</v>
      </c>
      <c r="M32" s="50">
        <v>103</v>
      </c>
      <c r="N32" s="50">
        <v>0</v>
      </c>
      <c r="O32" s="15">
        <f t="shared" si="0"/>
        <v>86</v>
      </c>
      <c r="P32" s="15">
        <f t="shared" si="1"/>
        <v>189</v>
      </c>
      <c r="R32" s="33" t="s">
        <v>156</v>
      </c>
      <c r="S32" s="34">
        <f>SUM(C98:C101)</f>
        <v>87</v>
      </c>
      <c r="T32" s="34">
        <f t="shared" ref="T32:AF32" si="24">SUM(D98:D101)</f>
        <v>8</v>
      </c>
      <c r="U32" s="34">
        <f t="shared" si="24"/>
        <v>14</v>
      </c>
      <c r="V32" s="34">
        <f t="shared" si="24"/>
        <v>210</v>
      </c>
      <c r="W32" s="34">
        <f t="shared" si="24"/>
        <v>7</v>
      </c>
      <c r="X32" s="34">
        <f t="shared" si="24"/>
        <v>4</v>
      </c>
      <c r="Y32" s="34">
        <f t="shared" si="24"/>
        <v>30</v>
      </c>
      <c r="Z32" s="34">
        <f t="shared" si="24"/>
        <v>40</v>
      </c>
      <c r="AA32" s="34">
        <f t="shared" si="24"/>
        <v>5</v>
      </c>
      <c r="AB32" s="34">
        <f t="shared" si="24"/>
        <v>0</v>
      </c>
      <c r="AC32" s="34">
        <f t="shared" si="24"/>
        <v>101</v>
      </c>
      <c r="AD32" s="34">
        <f t="shared" si="24"/>
        <v>0</v>
      </c>
      <c r="AE32" s="31">
        <f t="shared" si="24"/>
        <v>405</v>
      </c>
      <c r="AF32" s="31">
        <f t="shared" si="24"/>
        <v>506</v>
      </c>
    </row>
    <row r="33" spans="2:32" ht="23.1" customHeight="1" x14ac:dyDescent="0.25">
      <c r="B33" s="45" t="s">
        <v>60</v>
      </c>
      <c r="C33" s="50">
        <v>45</v>
      </c>
      <c r="D33" s="50">
        <v>8</v>
      </c>
      <c r="E33" s="50">
        <v>4</v>
      </c>
      <c r="F33" s="50">
        <v>22</v>
      </c>
      <c r="G33" s="50">
        <v>0</v>
      </c>
      <c r="H33" s="50">
        <v>0</v>
      </c>
      <c r="I33" s="50">
        <v>8</v>
      </c>
      <c r="J33" s="50">
        <v>2</v>
      </c>
      <c r="K33" s="50">
        <v>2</v>
      </c>
      <c r="L33" s="50">
        <v>3</v>
      </c>
      <c r="M33" s="50">
        <v>105</v>
      </c>
      <c r="N33" s="50">
        <v>0</v>
      </c>
      <c r="O33" s="15">
        <f t="shared" si="0"/>
        <v>94</v>
      </c>
      <c r="P33" s="15">
        <f t="shared" si="1"/>
        <v>199</v>
      </c>
      <c r="R33" s="33" t="s">
        <v>157</v>
      </c>
      <c r="S33" s="34">
        <f>SUM(C102:C105)</f>
        <v>67</v>
      </c>
      <c r="T33" s="34">
        <f t="shared" ref="T33:AF33" si="25">SUM(D102:D105)</f>
        <v>10</v>
      </c>
      <c r="U33" s="34">
        <f t="shared" si="25"/>
        <v>38</v>
      </c>
      <c r="V33" s="34">
        <f t="shared" si="25"/>
        <v>225</v>
      </c>
      <c r="W33" s="34">
        <f t="shared" si="25"/>
        <v>27</v>
      </c>
      <c r="X33" s="34">
        <f t="shared" si="25"/>
        <v>10</v>
      </c>
      <c r="Y33" s="34">
        <f t="shared" si="25"/>
        <v>51</v>
      </c>
      <c r="Z33" s="34">
        <f t="shared" si="25"/>
        <v>29</v>
      </c>
      <c r="AA33" s="34">
        <f t="shared" si="25"/>
        <v>8</v>
      </c>
      <c r="AB33" s="34">
        <f t="shared" si="25"/>
        <v>3</v>
      </c>
      <c r="AC33" s="34">
        <f t="shared" si="25"/>
        <v>209</v>
      </c>
      <c r="AD33" s="34">
        <f t="shared" si="25"/>
        <v>0</v>
      </c>
      <c r="AE33" s="31">
        <f t="shared" si="25"/>
        <v>468</v>
      </c>
      <c r="AF33" s="31">
        <f t="shared" si="25"/>
        <v>677</v>
      </c>
    </row>
    <row r="34" spans="2:32" ht="23.1" customHeight="1" x14ac:dyDescent="0.25">
      <c r="B34" s="46" t="s">
        <v>61</v>
      </c>
      <c r="C34" s="50">
        <v>27</v>
      </c>
      <c r="D34" s="50">
        <v>14</v>
      </c>
      <c r="E34" s="50">
        <v>6</v>
      </c>
      <c r="F34" s="50">
        <v>16</v>
      </c>
      <c r="G34" s="50">
        <v>1</v>
      </c>
      <c r="H34" s="50">
        <v>0</v>
      </c>
      <c r="I34" s="50">
        <v>4</v>
      </c>
      <c r="J34" s="50">
        <v>3</v>
      </c>
      <c r="K34" s="50">
        <v>4</v>
      </c>
      <c r="L34" s="50">
        <v>0</v>
      </c>
      <c r="M34" s="50">
        <v>108</v>
      </c>
      <c r="N34" s="50">
        <v>0</v>
      </c>
      <c r="O34" s="15">
        <f t="shared" si="0"/>
        <v>75</v>
      </c>
      <c r="P34" s="15">
        <f t="shared" si="1"/>
        <v>183</v>
      </c>
      <c r="R34" s="38" t="s">
        <v>90</v>
      </c>
      <c r="S34" s="39">
        <f t="shared" ref="S34:AF34" si="26">MAX(S10:S12)</f>
        <v>420</v>
      </c>
      <c r="T34" s="39">
        <f t="shared" si="26"/>
        <v>88</v>
      </c>
      <c r="U34" s="39">
        <f t="shared" si="26"/>
        <v>120</v>
      </c>
      <c r="V34" s="39">
        <f t="shared" si="26"/>
        <v>243</v>
      </c>
      <c r="W34" s="39">
        <f t="shared" si="26"/>
        <v>13</v>
      </c>
      <c r="X34" s="39">
        <f t="shared" si="26"/>
        <v>17</v>
      </c>
      <c r="Y34" s="39">
        <f t="shared" si="26"/>
        <v>53</v>
      </c>
      <c r="Z34" s="39">
        <f t="shared" si="26"/>
        <v>33</v>
      </c>
      <c r="AA34" s="39">
        <f t="shared" si="26"/>
        <v>14</v>
      </c>
      <c r="AB34" s="39">
        <f t="shared" si="26"/>
        <v>15</v>
      </c>
      <c r="AC34" s="39">
        <f t="shared" si="26"/>
        <v>675</v>
      </c>
      <c r="AD34" s="39">
        <f t="shared" si="26"/>
        <v>0</v>
      </c>
      <c r="AE34" s="40">
        <f t="shared" si="26"/>
        <v>847</v>
      </c>
      <c r="AF34" s="40">
        <f t="shared" si="26"/>
        <v>1436</v>
      </c>
    </row>
    <row r="35" spans="2:32" ht="23.1" customHeight="1" x14ac:dyDescent="0.25">
      <c r="B35" s="46" t="s">
        <v>62</v>
      </c>
      <c r="C35" s="50">
        <v>63</v>
      </c>
      <c r="D35" s="50">
        <v>6</v>
      </c>
      <c r="E35" s="50">
        <v>7</v>
      </c>
      <c r="F35" s="50">
        <v>21</v>
      </c>
      <c r="G35" s="50">
        <v>0</v>
      </c>
      <c r="H35" s="50">
        <v>2</v>
      </c>
      <c r="I35" s="50">
        <v>10</v>
      </c>
      <c r="J35" s="50">
        <v>2</v>
      </c>
      <c r="K35" s="50">
        <v>6</v>
      </c>
      <c r="L35" s="50">
        <v>1</v>
      </c>
      <c r="M35" s="50">
        <v>91</v>
      </c>
      <c r="N35" s="50">
        <v>0</v>
      </c>
      <c r="O35" s="15">
        <f t="shared" si="0"/>
        <v>118</v>
      </c>
      <c r="P35" s="15">
        <f t="shared" si="1"/>
        <v>209</v>
      </c>
      <c r="R35" s="38" t="s">
        <v>91</v>
      </c>
      <c r="S35" s="39">
        <f t="shared" ref="S35:AF35" si="27">MAX(S13:S18)</f>
        <v>410</v>
      </c>
      <c r="T35" s="39">
        <f t="shared" si="27"/>
        <v>118</v>
      </c>
      <c r="U35" s="39">
        <f t="shared" si="27"/>
        <v>77</v>
      </c>
      <c r="V35" s="39">
        <f t="shared" si="27"/>
        <v>275</v>
      </c>
      <c r="W35" s="39">
        <f t="shared" si="27"/>
        <v>23</v>
      </c>
      <c r="X35" s="39">
        <f t="shared" si="27"/>
        <v>11</v>
      </c>
      <c r="Y35" s="39">
        <f t="shared" si="27"/>
        <v>80</v>
      </c>
      <c r="Z35" s="39">
        <f t="shared" si="27"/>
        <v>31</v>
      </c>
      <c r="AA35" s="39">
        <f t="shared" si="27"/>
        <v>16</v>
      </c>
      <c r="AB35" s="39">
        <f t="shared" si="27"/>
        <v>9</v>
      </c>
      <c r="AC35" s="39">
        <f t="shared" si="27"/>
        <v>775</v>
      </c>
      <c r="AD35" s="39">
        <f t="shared" si="27"/>
        <v>0</v>
      </c>
      <c r="AE35" s="40">
        <f t="shared" si="27"/>
        <v>1021</v>
      </c>
      <c r="AF35" s="40">
        <f t="shared" si="27"/>
        <v>1796</v>
      </c>
    </row>
    <row r="36" spans="2:32" ht="23.1" customHeight="1" x14ac:dyDescent="0.25">
      <c r="B36" s="46" t="s">
        <v>63</v>
      </c>
      <c r="C36" s="50">
        <v>40</v>
      </c>
      <c r="D36" s="50">
        <v>16</v>
      </c>
      <c r="E36" s="50">
        <v>4</v>
      </c>
      <c r="F36" s="50">
        <v>18</v>
      </c>
      <c r="G36" s="50">
        <v>2</v>
      </c>
      <c r="H36" s="50">
        <v>2</v>
      </c>
      <c r="I36" s="50">
        <v>5</v>
      </c>
      <c r="J36" s="50">
        <v>3</v>
      </c>
      <c r="K36" s="50">
        <v>2</v>
      </c>
      <c r="L36" s="50">
        <v>2</v>
      </c>
      <c r="M36" s="50">
        <v>69</v>
      </c>
      <c r="N36" s="50">
        <v>0</v>
      </c>
      <c r="O36" s="15">
        <f t="shared" si="0"/>
        <v>94</v>
      </c>
      <c r="P36" s="15">
        <f t="shared" si="1"/>
        <v>163</v>
      </c>
      <c r="R36" s="38" t="s">
        <v>92</v>
      </c>
      <c r="S36" s="39">
        <f t="shared" ref="S36:AF36" si="28">MAX(S19:S21)</f>
        <v>240</v>
      </c>
      <c r="T36" s="39">
        <f t="shared" si="28"/>
        <v>75</v>
      </c>
      <c r="U36" s="39">
        <f t="shared" si="28"/>
        <v>36</v>
      </c>
      <c r="V36" s="39">
        <f t="shared" si="28"/>
        <v>179</v>
      </c>
      <c r="W36" s="39">
        <f t="shared" si="28"/>
        <v>9</v>
      </c>
      <c r="X36" s="39">
        <f t="shared" si="28"/>
        <v>12</v>
      </c>
      <c r="Y36" s="39">
        <f t="shared" si="28"/>
        <v>58</v>
      </c>
      <c r="Z36" s="39">
        <f t="shared" si="28"/>
        <v>11</v>
      </c>
      <c r="AA36" s="39">
        <f t="shared" si="28"/>
        <v>2</v>
      </c>
      <c r="AB36" s="39">
        <f t="shared" si="28"/>
        <v>3</v>
      </c>
      <c r="AC36" s="39">
        <f t="shared" si="28"/>
        <v>595</v>
      </c>
      <c r="AD36" s="39">
        <f t="shared" si="28"/>
        <v>0</v>
      </c>
      <c r="AE36" s="40">
        <f t="shared" si="28"/>
        <v>578</v>
      </c>
      <c r="AF36" s="40">
        <f t="shared" si="28"/>
        <v>1173</v>
      </c>
    </row>
    <row r="37" spans="2:32" ht="23.1" customHeight="1" x14ac:dyDescent="0.25">
      <c r="B37" s="45" t="s">
        <v>64</v>
      </c>
      <c r="C37" s="50">
        <v>66</v>
      </c>
      <c r="D37" s="50">
        <v>12</v>
      </c>
      <c r="E37" s="50">
        <v>7</v>
      </c>
      <c r="F37" s="50">
        <v>30</v>
      </c>
      <c r="G37" s="50">
        <v>0</v>
      </c>
      <c r="H37" s="50">
        <v>0</v>
      </c>
      <c r="I37" s="50">
        <v>4</v>
      </c>
      <c r="J37" s="50">
        <v>6</v>
      </c>
      <c r="K37" s="50">
        <v>3</v>
      </c>
      <c r="L37" s="50">
        <v>0</v>
      </c>
      <c r="M37" s="50">
        <v>107</v>
      </c>
      <c r="N37" s="50">
        <v>0</v>
      </c>
      <c r="O37" s="15">
        <f t="shared" si="0"/>
        <v>128</v>
      </c>
      <c r="P37" s="15">
        <f t="shared" si="1"/>
        <v>235</v>
      </c>
      <c r="R37" s="37" t="s">
        <v>85</v>
      </c>
      <c r="S37" s="35">
        <f t="shared" ref="S37:AF37" si="29">SUM(S10:S12)</f>
        <v>846</v>
      </c>
      <c r="T37" s="16">
        <f t="shared" si="29"/>
        <v>208</v>
      </c>
      <c r="U37" s="16">
        <f t="shared" si="29"/>
        <v>178</v>
      </c>
      <c r="V37" s="16">
        <f t="shared" si="29"/>
        <v>548</v>
      </c>
      <c r="W37" s="16">
        <f t="shared" si="29"/>
        <v>28</v>
      </c>
      <c r="X37" s="16">
        <f t="shared" si="29"/>
        <v>36</v>
      </c>
      <c r="Y37" s="16">
        <f t="shared" si="29"/>
        <v>113</v>
      </c>
      <c r="Z37" s="16">
        <f t="shared" si="29"/>
        <v>67</v>
      </c>
      <c r="AA37" s="16">
        <f t="shared" si="29"/>
        <v>35</v>
      </c>
      <c r="AB37" s="16">
        <f t="shared" si="29"/>
        <v>20</v>
      </c>
      <c r="AC37" s="16">
        <f t="shared" si="29"/>
        <v>1914</v>
      </c>
      <c r="AD37" s="16">
        <f t="shared" si="29"/>
        <v>0</v>
      </c>
      <c r="AE37" s="32">
        <f t="shared" si="29"/>
        <v>2079</v>
      </c>
      <c r="AF37" s="32">
        <f t="shared" si="29"/>
        <v>3993</v>
      </c>
    </row>
    <row r="38" spans="2:32" ht="23.1" customHeight="1" x14ac:dyDescent="0.25">
      <c r="B38" s="46" t="s">
        <v>65</v>
      </c>
      <c r="C38" s="50">
        <v>75</v>
      </c>
      <c r="D38" s="50">
        <v>35</v>
      </c>
      <c r="E38" s="50">
        <v>6</v>
      </c>
      <c r="F38" s="50">
        <v>60</v>
      </c>
      <c r="G38" s="50">
        <v>3</v>
      </c>
      <c r="H38" s="50">
        <v>0</v>
      </c>
      <c r="I38" s="50">
        <v>24</v>
      </c>
      <c r="J38" s="50">
        <v>7</v>
      </c>
      <c r="K38" s="50">
        <v>0</v>
      </c>
      <c r="L38" s="50">
        <v>2</v>
      </c>
      <c r="M38" s="50">
        <v>195</v>
      </c>
      <c r="N38" s="50">
        <v>0</v>
      </c>
      <c r="O38" s="15">
        <f t="shared" si="0"/>
        <v>212</v>
      </c>
      <c r="P38" s="15">
        <f t="shared" si="1"/>
        <v>407</v>
      </c>
      <c r="R38" s="28" t="s">
        <v>86</v>
      </c>
      <c r="S38" s="16">
        <f t="shared" ref="S38:AF38" si="30">SUM(S13:S18)</f>
        <v>1665</v>
      </c>
      <c r="T38" s="16">
        <f t="shared" si="30"/>
        <v>382</v>
      </c>
      <c r="U38" s="16">
        <f t="shared" si="30"/>
        <v>209</v>
      </c>
      <c r="V38" s="16">
        <f t="shared" si="30"/>
        <v>901</v>
      </c>
      <c r="W38" s="16">
        <f t="shared" si="30"/>
        <v>49</v>
      </c>
      <c r="X38" s="16">
        <f t="shared" si="30"/>
        <v>36</v>
      </c>
      <c r="Y38" s="16">
        <f t="shared" si="30"/>
        <v>216</v>
      </c>
      <c r="Z38" s="16">
        <f t="shared" si="30"/>
        <v>108</v>
      </c>
      <c r="AA38" s="16">
        <f t="shared" si="30"/>
        <v>60</v>
      </c>
      <c r="AB38" s="16">
        <f t="shared" si="30"/>
        <v>30</v>
      </c>
      <c r="AC38" s="16">
        <f t="shared" si="30"/>
        <v>3223</v>
      </c>
      <c r="AD38" s="16">
        <f t="shared" si="30"/>
        <v>0</v>
      </c>
      <c r="AE38" s="32">
        <f t="shared" si="30"/>
        <v>3656</v>
      </c>
      <c r="AF38" s="32">
        <f t="shared" si="30"/>
        <v>6879</v>
      </c>
    </row>
    <row r="39" spans="2:32" ht="23.1" customHeight="1" x14ac:dyDescent="0.25">
      <c r="B39" s="46" t="s">
        <v>66</v>
      </c>
      <c r="C39" s="50">
        <v>80</v>
      </c>
      <c r="D39" s="50">
        <v>16</v>
      </c>
      <c r="E39" s="50">
        <v>2</v>
      </c>
      <c r="F39" s="50">
        <v>30</v>
      </c>
      <c r="G39" s="50">
        <v>0</v>
      </c>
      <c r="H39" s="50">
        <v>3</v>
      </c>
      <c r="I39" s="50">
        <v>6</v>
      </c>
      <c r="J39" s="50">
        <v>2</v>
      </c>
      <c r="K39" s="50">
        <v>3</v>
      </c>
      <c r="L39" s="50">
        <v>0</v>
      </c>
      <c r="M39" s="50">
        <v>160</v>
      </c>
      <c r="N39" s="50">
        <v>0</v>
      </c>
      <c r="O39" s="15">
        <f t="shared" si="0"/>
        <v>142</v>
      </c>
      <c r="P39" s="15">
        <f t="shared" si="1"/>
        <v>302</v>
      </c>
      <c r="R39" s="29" t="s">
        <v>87</v>
      </c>
      <c r="S39" s="16">
        <f t="shared" ref="S39:AF39" si="31">SUM(S19:S21)</f>
        <v>674</v>
      </c>
      <c r="T39" s="16">
        <f t="shared" si="31"/>
        <v>191</v>
      </c>
      <c r="U39" s="16">
        <f t="shared" si="31"/>
        <v>85</v>
      </c>
      <c r="V39" s="16">
        <f t="shared" si="31"/>
        <v>516</v>
      </c>
      <c r="W39" s="16">
        <f t="shared" si="31"/>
        <v>23</v>
      </c>
      <c r="X39" s="16">
        <f t="shared" si="31"/>
        <v>12</v>
      </c>
      <c r="Y39" s="16">
        <f t="shared" si="31"/>
        <v>117</v>
      </c>
      <c r="Z39" s="16">
        <f t="shared" si="31"/>
        <v>26</v>
      </c>
      <c r="AA39" s="16">
        <f t="shared" si="31"/>
        <v>2</v>
      </c>
      <c r="AB39" s="16">
        <f t="shared" si="31"/>
        <v>3</v>
      </c>
      <c r="AC39" s="16">
        <f t="shared" si="31"/>
        <v>1755</v>
      </c>
      <c r="AD39" s="16">
        <f t="shared" si="31"/>
        <v>0</v>
      </c>
      <c r="AE39" s="32">
        <f t="shared" si="31"/>
        <v>1649</v>
      </c>
      <c r="AF39" s="32">
        <f t="shared" si="31"/>
        <v>3404</v>
      </c>
    </row>
    <row r="40" spans="2:32" ht="23.1" customHeight="1" x14ac:dyDescent="0.25">
      <c r="B40" s="46" t="s">
        <v>67</v>
      </c>
      <c r="C40" s="50">
        <v>75</v>
      </c>
      <c r="D40" s="50">
        <v>15</v>
      </c>
      <c r="E40" s="50">
        <v>0</v>
      </c>
      <c r="F40" s="50">
        <v>55</v>
      </c>
      <c r="G40" s="50">
        <v>0</v>
      </c>
      <c r="H40" s="50">
        <v>5</v>
      </c>
      <c r="I40" s="50">
        <v>10</v>
      </c>
      <c r="J40" s="50">
        <v>0</v>
      </c>
      <c r="K40" s="50">
        <v>0</v>
      </c>
      <c r="L40" s="50">
        <v>0</v>
      </c>
      <c r="M40" s="50">
        <v>160</v>
      </c>
      <c r="N40" s="50">
        <v>0</v>
      </c>
      <c r="O40" s="15">
        <f t="shared" si="0"/>
        <v>160</v>
      </c>
      <c r="P40" s="15">
        <f t="shared" si="1"/>
        <v>320</v>
      </c>
      <c r="R40" s="5" t="s">
        <v>17</v>
      </c>
      <c r="S40" s="16">
        <f t="shared" ref="S40:AF40" si="32">SUM(S10:S21)</f>
        <v>3185</v>
      </c>
      <c r="T40" s="16">
        <f t="shared" si="32"/>
        <v>781</v>
      </c>
      <c r="U40" s="16">
        <f t="shared" si="32"/>
        <v>472</v>
      </c>
      <c r="V40" s="16">
        <f t="shared" si="32"/>
        <v>1965</v>
      </c>
      <c r="W40" s="16">
        <f t="shared" si="32"/>
        <v>100</v>
      </c>
      <c r="X40" s="16">
        <f t="shared" si="32"/>
        <v>84</v>
      </c>
      <c r="Y40" s="16">
        <f t="shared" si="32"/>
        <v>446</v>
      </c>
      <c r="Z40" s="16">
        <f t="shared" si="32"/>
        <v>201</v>
      </c>
      <c r="AA40" s="16">
        <f t="shared" si="32"/>
        <v>97</v>
      </c>
      <c r="AB40" s="16">
        <f t="shared" si="32"/>
        <v>53</v>
      </c>
      <c r="AC40" s="16">
        <f t="shared" si="32"/>
        <v>6892</v>
      </c>
      <c r="AD40" s="16">
        <f t="shared" si="32"/>
        <v>0</v>
      </c>
      <c r="AE40" s="32">
        <f t="shared" si="32"/>
        <v>7384</v>
      </c>
      <c r="AF40" s="32">
        <f t="shared" si="32"/>
        <v>14276</v>
      </c>
    </row>
    <row r="41" spans="2:32" ht="23.1" customHeight="1" x14ac:dyDescent="0.25">
      <c r="B41" s="45" t="s">
        <v>68</v>
      </c>
      <c r="C41" s="50">
        <v>60</v>
      </c>
      <c r="D41" s="50">
        <v>13</v>
      </c>
      <c r="E41" s="50">
        <v>4</v>
      </c>
      <c r="F41" s="50">
        <v>55</v>
      </c>
      <c r="G41" s="50">
        <v>0</v>
      </c>
      <c r="H41" s="50">
        <v>3</v>
      </c>
      <c r="I41" s="50">
        <v>3</v>
      </c>
      <c r="J41" s="50">
        <v>0</v>
      </c>
      <c r="K41" s="50">
        <v>0</v>
      </c>
      <c r="L41" s="50">
        <v>0</v>
      </c>
      <c r="M41" s="50">
        <v>140</v>
      </c>
      <c r="N41" s="50">
        <v>0</v>
      </c>
      <c r="O41" s="15">
        <f t="shared" si="0"/>
        <v>138</v>
      </c>
      <c r="P41" s="15">
        <f t="shared" si="1"/>
        <v>278</v>
      </c>
      <c r="R41" s="5" t="s">
        <v>159</v>
      </c>
      <c r="S41" s="16">
        <f>SUM(S10:S33)</f>
        <v>4471</v>
      </c>
      <c r="T41" s="16">
        <f t="shared" ref="T41:AF41" si="33">SUM(T10:T33)</f>
        <v>910</v>
      </c>
      <c r="U41" s="16">
        <f t="shared" si="33"/>
        <v>695</v>
      </c>
      <c r="V41" s="16">
        <f t="shared" si="33"/>
        <v>3461</v>
      </c>
      <c r="W41" s="16">
        <f t="shared" si="33"/>
        <v>294</v>
      </c>
      <c r="X41" s="16">
        <f t="shared" si="33"/>
        <v>243</v>
      </c>
      <c r="Y41" s="16">
        <f t="shared" si="33"/>
        <v>827</v>
      </c>
      <c r="Z41" s="16">
        <f t="shared" si="33"/>
        <v>488</v>
      </c>
      <c r="AA41" s="16">
        <f t="shared" si="33"/>
        <v>189</v>
      </c>
      <c r="AB41" s="16">
        <f t="shared" si="33"/>
        <v>74</v>
      </c>
      <c r="AC41" s="16">
        <f t="shared" si="33"/>
        <v>9225</v>
      </c>
      <c r="AD41" s="16">
        <f t="shared" si="33"/>
        <v>0</v>
      </c>
      <c r="AE41" s="32">
        <f t="shared" si="33"/>
        <v>11652</v>
      </c>
      <c r="AF41" s="32">
        <f t="shared" si="33"/>
        <v>20877</v>
      </c>
    </row>
    <row r="42" spans="2:32" ht="23.1" customHeight="1" x14ac:dyDescent="0.25">
      <c r="B42" s="46" t="s">
        <v>69</v>
      </c>
      <c r="C42" s="50">
        <v>135</v>
      </c>
      <c r="D42" s="50">
        <v>25</v>
      </c>
      <c r="E42" s="50">
        <v>17</v>
      </c>
      <c r="F42" s="50">
        <v>90</v>
      </c>
      <c r="G42" s="50">
        <v>4</v>
      </c>
      <c r="H42" s="50">
        <v>0</v>
      </c>
      <c r="I42" s="50">
        <v>12</v>
      </c>
      <c r="J42" s="50">
        <v>4</v>
      </c>
      <c r="K42" s="50">
        <v>0</v>
      </c>
      <c r="L42" s="50">
        <v>0</v>
      </c>
      <c r="M42" s="50">
        <v>290</v>
      </c>
      <c r="N42" s="50">
        <v>0</v>
      </c>
      <c r="O42" s="15">
        <f t="shared" si="0"/>
        <v>287</v>
      </c>
      <c r="P42" s="15">
        <f t="shared" si="1"/>
        <v>577</v>
      </c>
      <c r="R42" s="5" t="s">
        <v>160</v>
      </c>
      <c r="S42" s="48">
        <f>S41/S40</f>
        <v>1.4037676609105181</v>
      </c>
      <c r="T42" s="48">
        <f t="shared" ref="T42:AF42" si="34">T41/T40</f>
        <v>1.1651728553137004</v>
      </c>
      <c r="U42" s="48">
        <f t="shared" si="34"/>
        <v>1.472457627118644</v>
      </c>
      <c r="V42" s="48">
        <f t="shared" si="34"/>
        <v>1.7613231552162849</v>
      </c>
      <c r="W42" s="48">
        <f t="shared" si="34"/>
        <v>2.94</v>
      </c>
      <c r="X42" s="48">
        <f t="shared" si="34"/>
        <v>2.8928571428571428</v>
      </c>
      <c r="Y42" s="48">
        <f t="shared" si="34"/>
        <v>1.8542600896860986</v>
      </c>
      <c r="Z42" s="48">
        <f t="shared" si="34"/>
        <v>2.427860696517413</v>
      </c>
      <c r="AA42" s="48">
        <f t="shared" si="34"/>
        <v>1.9484536082474226</v>
      </c>
      <c r="AB42" s="48">
        <f t="shared" si="34"/>
        <v>1.3962264150943395</v>
      </c>
      <c r="AC42" s="48">
        <f t="shared" si="34"/>
        <v>1.3385084155542659</v>
      </c>
      <c r="AD42" s="48" t="e">
        <f t="shared" si="34"/>
        <v>#DIV/0!</v>
      </c>
      <c r="AE42" s="48">
        <f t="shared" si="34"/>
        <v>1.5780065005417119</v>
      </c>
      <c r="AF42" s="48">
        <f t="shared" si="34"/>
        <v>1.4623844214065564</v>
      </c>
    </row>
    <row r="43" spans="2:32" ht="23.1" customHeight="1" x14ac:dyDescent="0.25">
      <c r="B43" s="45" t="s">
        <v>70</v>
      </c>
      <c r="C43" s="50">
        <v>85</v>
      </c>
      <c r="D43" s="50">
        <v>13</v>
      </c>
      <c r="E43" s="50">
        <v>8</v>
      </c>
      <c r="F43" s="50">
        <v>60</v>
      </c>
      <c r="G43" s="50">
        <v>8</v>
      </c>
      <c r="H43" s="50">
        <v>0</v>
      </c>
      <c r="I43" s="50">
        <v>15</v>
      </c>
      <c r="J43" s="50">
        <v>8</v>
      </c>
      <c r="K43" s="50">
        <v>0</v>
      </c>
      <c r="L43" s="50">
        <v>1</v>
      </c>
      <c r="M43" s="50">
        <v>160</v>
      </c>
      <c r="N43" s="50">
        <v>0</v>
      </c>
      <c r="O43" s="15">
        <f t="shared" si="0"/>
        <v>198</v>
      </c>
      <c r="P43" s="15">
        <f t="shared" si="1"/>
        <v>358</v>
      </c>
    </row>
    <row r="44" spans="2:32" ht="23.1" customHeight="1" x14ac:dyDescent="0.25">
      <c r="B44" s="47" t="s">
        <v>71</v>
      </c>
      <c r="C44" s="50">
        <v>115</v>
      </c>
      <c r="D44" s="50">
        <v>48</v>
      </c>
      <c r="E44" s="50">
        <v>46</v>
      </c>
      <c r="F44" s="50">
        <v>75</v>
      </c>
      <c r="G44" s="50">
        <v>8</v>
      </c>
      <c r="H44" s="50">
        <v>0</v>
      </c>
      <c r="I44" s="50">
        <v>45</v>
      </c>
      <c r="J44" s="50">
        <v>15</v>
      </c>
      <c r="K44" s="50">
        <v>0</v>
      </c>
      <c r="L44" s="50">
        <v>4</v>
      </c>
      <c r="M44" s="50">
        <v>220</v>
      </c>
      <c r="N44" s="50">
        <v>0</v>
      </c>
      <c r="O44" s="15">
        <f t="shared" si="0"/>
        <v>356</v>
      </c>
      <c r="P44" s="15">
        <f t="shared" si="1"/>
        <v>576</v>
      </c>
    </row>
    <row r="45" spans="2:32" ht="23.1" customHeight="1" x14ac:dyDescent="0.25">
      <c r="B45" s="45" t="s">
        <v>72</v>
      </c>
      <c r="C45" s="50">
        <v>75</v>
      </c>
      <c r="D45" s="50">
        <v>32</v>
      </c>
      <c r="E45" s="50">
        <v>6</v>
      </c>
      <c r="F45" s="50">
        <v>50</v>
      </c>
      <c r="G45" s="50">
        <v>3</v>
      </c>
      <c r="H45" s="50">
        <v>2</v>
      </c>
      <c r="I45" s="50">
        <v>8</v>
      </c>
      <c r="J45" s="50">
        <v>4</v>
      </c>
      <c r="K45" s="50">
        <v>0</v>
      </c>
      <c r="L45" s="50">
        <v>0</v>
      </c>
      <c r="M45" s="50">
        <v>105</v>
      </c>
      <c r="N45" s="50">
        <v>0</v>
      </c>
      <c r="O45" s="15">
        <f t="shared" si="0"/>
        <v>180</v>
      </c>
      <c r="P45" s="15">
        <f t="shared" si="1"/>
        <v>285</v>
      </c>
    </row>
    <row r="46" spans="2:32" ht="23.1" customHeight="1" x14ac:dyDescent="0.25">
      <c r="B46" s="46" t="s">
        <v>73</v>
      </c>
      <c r="C46" s="50">
        <v>80</v>
      </c>
      <c r="D46" s="50">
        <v>13</v>
      </c>
      <c r="E46" s="50">
        <v>7</v>
      </c>
      <c r="F46" s="50">
        <v>45</v>
      </c>
      <c r="G46" s="50">
        <v>4</v>
      </c>
      <c r="H46" s="50">
        <v>0</v>
      </c>
      <c r="I46" s="50">
        <v>28</v>
      </c>
      <c r="J46" s="50">
        <v>3</v>
      </c>
      <c r="K46" s="50">
        <v>0</v>
      </c>
      <c r="L46" s="50">
        <v>2</v>
      </c>
      <c r="M46" s="50">
        <v>120</v>
      </c>
      <c r="N46" s="50">
        <v>0</v>
      </c>
      <c r="O46" s="15">
        <f t="shared" si="0"/>
        <v>182</v>
      </c>
      <c r="P46" s="15">
        <f t="shared" si="1"/>
        <v>302</v>
      </c>
      <c r="R46" s="8"/>
      <c r="T46"/>
    </row>
    <row r="47" spans="2:32" ht="23.1" customHeight="1" x14ac:dyDescent="0.25">
      <c r="B47" s="46" t="s">
        <v>74</v>
      </c>
      <c r="C47" s="50">
        <v>45</v>
      </c>
      <c r="D47" s="50">
        <v>25</v>
      </c>
      <c r="E47" s="50">
        <v>4</v>
      </c>
      <c r="F47" s="50">
        <v>70</v>
      </c>
      <c r="G47" s="50">
        <v>2</v>
      </c>
      <c r="H47" s="50">
        <v>0</v>
      </c>
      <c r="I47" s="50">
        <v>11</v>
      </c>
      <c r="J47" s="50">
        <v>8</v>
      </c>
      <c r="K47" s="50">
        <v>0</v>
      </c>
      <c r="L47" s="50">
        <v>1</v>
      </c>
      <c r="M47" s="50">
        <v>145</v>
      </c>
      <c r="N47" s="50">
        <v>0</v>
      </c>
      <c r="O47" s="15">
        <f t="shared" si="0"/>
        <v>166</v>
      </c>
      <c r="P47" s="15">
        <f t="shared" si="1"/>
        <v>311</v>
      </c>
      <c r="R47" s="8"/>
      <c r="T47"/>
    </row>
    <row r="48" spans="2:32" ht="23.1" customHeight="1" x14ac:dyDescent="0.25">
      <c r="B48" s="46" t="s">
        <v>75</v>
      </c>
      <c r="C48" s="50">
        <v>46</v>
      </c>
      <c r="D48" s="50">
        <v>14</v>
      </c>
      <c r="E48" s="50">
        <v>7</v>
      </c>
      <c r="F48" s="50">
        <v>41</v>
      </c>
      <c r="G48" s="50">
        <v>0</v>
      </c>
      <c r="H48" s="50">
        <v>0</v>
      </c>
      <c r="I48" s="50">
        <v>13</v>
      </c>
      <c r="J48" s="50">
        <v>0</v>
      </c>
      <c r="K48" s="50">
        <v>0</v>
      </c>
      <c r="L48" s="50">
        <v>0</v>
      </c>
      <c r="M48" s="50">
        <v>210</v>
      </c>
      <c r="N48" s="50">
        <v>0</v>
      </c>
      <c r="O48" s="15">
        <f t="shared" si="0"/>
        <v>121</v>
      </c>
      <c r="P48" s="15">
        <f t="shared" si="1"/>
        <v>331</v>
      </c>
      <c r="R48" s="8"/>
      <c r="T48"/>
    </row>
    <row r="49" spans="2:20" ht="23.1" customHeight="1" x14ac:dyDescent="0.25">
      <c r="B49" s="45" t="s">
        <v>76</v>
      </c>
      <c r="C49" s="50">
        <v>50</v>
      </c>
      <c r="D49" s="50">
        <v>23</v>
      </c>
      <c r="E49" s="50">
        <v>4</v>
      </c>
      <c r="F49" s="50">
        <v>23</v>
      </c>
      <c r="G49" s="50">
        <v>3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120</v>
      </c>
      <c r="N49" s="50">
        <v>0</v>
      </c>
      <c r="O49" s="15">
        <f t="shared" si="0"/>
        <v>109</v>
      </c>
      <c r="P49" s="15">
        <f t="shared" si="1"/>
        <v>229</v>
      </c>
      <c r="R49" s="8"/>
      <c r="T49"/>
    </row>
    <row r="50" spans="2:20" ht="23.1" customHeight="1" x14ac:dyDescent="0.25">
      <c r="B50" s="46" t="s">
        <v>77</v>
      </c>
      <c r="C50" s="50">
        <v>31</v>
      </c>
      <c r="D50" s="50">
        <v>15</v>
      </c>
      <c r="E50" s="50">
        <v>10</v>
      </c>
      <c r="F50" s="50">
        <v>36</v>
      </c>
      <c r="G50" s="50">
        <v>0</v>
      </c>
      <c r="H50" s="50">
        <v>0</v>
      </c>
      <c r="I50" s="50">
        <v>8</v>
      </c>
      <c r="J50" s="50">
        <v>1</v>
      </c>
      <c r="K50" s="50">
        <v>0</v>
      </c>
      <c r="L50" s="50">
        <v>0</v>
      </c>
      <c r="M50" s="50">
        <v>100</v>
      </c>
      <c r="N50" s="50">
        <v>0</v>
      </c>
      <c r="O50" s="15">
        <f t="shared" si="0"/>
        <v>101</v>
      </c>
      <c r="P50" s="15">
        <f t="shared" si="1"/>
        <v>201</v>
      </c>
      <c r="R50" s="8"/>
      <c r="T50"/>
    </row>
    <row r="51" spans="2:20" ht="23.1" customHeight="1" x14ac:dyDescent="0.25">
      <c r="B51" s="46" t="s">
        <v>78</v>
      </c>
      <c r="C51" s="50">
        <v>50</v>
      </c>
      <c r="D51" s="50">
        <v>12</v>
      </c>
      <c r="E51" s="50">
        <v>3</v>
      </c>
      <c r="F51" s="50">
        <v>55</v>
      </c>
      <c r="G51" s="50">
        <v>1</v>
      </c>
      <c r="H51" s="50">
        <v>0</v>
      </c>
      <c r="I51" s="50">
        <v>10</v>
      </c>
      <c r="J51" s="50">
        <v>0</v>
      </c>
      <c r="K51" s="50">
        <v>0</v>
      </c>
      <c r="L51" s="50">
        <v>0</v>
      </c>
      <c r="M51" s="50">
        <v>140</v>
      </c>
      <c r="N51" s="50">
        <v>0</v>
      </c>
      <c r="O51" s="15">
        <f t="shared" si="0"/>
        <v>131</v>
      </c>
      <c r="P51" s="15">
        <f t="shared" si="1"/>
        <v>271</v>
      </c>
      <c r="R51" s="8"/>
      <c r="T51"/>
    </row>
    <row r="52" spans="2:20" ht="23.1" customHeight="1" x14ac:dyDescent="0.25">
      <c r="B52" s="46" t="s">
        <v>79</v>
      </c>
      <c r="C52" s="50">
        <v>57</v>
      </c>
      <c r="D52" s="50">
        <v>10</v>
      </c>
      <c r="E52" s="50">
        <v>5</v>
      </c>
      <c r="F52" s="50">
        <v>33</v>
      </c>
      <c r="G52" s="50">
        <v>3</v>
      </c>
      <c r="H52" s="50">
        <v>0</v>
      </c>
      <c r="I52" s="50">
        <v>13</v>
      </c>
      <c r="J52" s="50">
        <v>1</v>
      </c>
      <c r="K52" s="50">
        <v>0</v>
      </c>
      <c r="L52" s="50">
        <v>0</v>
      </c>
      <c r="M52" s="50">
        <v>160</v>
      </c>
      <c r="N52" s="50">
        <v>0</v>
      </c>
      <c r="O52" s="15">
        <f t="shared" si="0"/>
        <v>122</v>
      </c>
      <c r="P52" s="15">
        <f t="shared" si="1"/>
        <v>282</v>
      </c>
      <c r="R52" s="8"/>
      <c r="T52"/>
    </row>
    <row r="53" spans="2:20" ht="23.1" customHeight="1" x14ac:dyDescent="0.25">
      <c r="B53" s="45" t="s">
        <v>80</v>
      </c>
      <c r="C53" s="50">
        <v>75</v>
      </c>
      <c r="D53" s="50">
        <v>30</v>
      </c>
      <c r="E53" s="50">
        <v>9</v>
      </c>
      <c r="F53" s="50">
        <v>35</v>
      </c>
      <c r="G53" s="50">
        <v>2</v>
      </c>
      <c r="H53" s="50">
        <v>0</v>
      </c>
      <c r="I53" s="50">
        <v>5</v>
      </c>
      <c r="J53" s="50">
        <v>6</v>
      </c>
      <c r="K53" s="50">
        <v>0</v>
      </c>
      <c r="L53" s="50">
        <v>0</v>
      </c>
      <c r="M53" s="50">
        <v>170</v>
      </c>
      <c r="N53" s="50">
        <v>0</v>
      </c>
      <c r="O53" s="15">
        <f t="shared" si="0"/>
        <v>162</v>
      </c>
      <c r="P53" s="15">
        <f t="shared" si="1"/>
        <v>332</v>
      </c>
      <c r="R53" s="8"/>
      <c r="T53"/>
    </row>
    <row r="54" spans="2:20" ht="23.1" customHeight="1" x14ac:dyDescent="0.25">
      <c r="B54" s="45" t="s">
        <v>81</v>
      </c>
      <c r="C54" s="50">
        <v>110</v>
      </c>
      <c r="D54" s="50">
        <v>17</v>
      </c>
      <c r="E54" s="50">
        <v>12</v>
      </c>
      <c r="F54" s="50">
        <v>55</v>
      </c>
      <c r="G54" s="50">
        <v>5</v>
      </c>
      <c r="H54" s="50">
        <v>2</v>
      </c>
      <c r="I54" s="50">
        <v>18</v>
      </c>
      <c r="J54" s="50">
        <v>5</v>
      </c>
      <c r="K54" s="50">
        <v>2</v>
      </c>
      <c r="L54" s="50">
        <v>0</v>
      </c>
      <c r="M54" s="50">
        <v>190</v>
      </c>
      <c r="N54" s="50">
        <v>0</v>
      </c>
      <c r="O54" s="15">
        <f t="shared" si="0"/>
        <v>226</v>
      </c>
      <c r="P54" s="15">
        <f t="shared" si="1"/>
        <v>416</v>
      </c>
      <c r="R54" s="8"/>
      <c r="T54"/>
    </row>
    <row r="55" spans="2:20" ht="23.1" customHeight="1" x14ac:dyDescent="0.25">
      <c r="B55" s="45" t="s">
        <v>82</v>
      </c>
      <c r="C55" s="50">
        <v>60</v>
      </c>
      <c r="D55" s="50">
        <v>18</v>
      </c>
      <c r="E55" s="50">
        <v>14</v>
      </c>
      <c r="F55" s="50">
        <v>38</v>
      </c>
      <c r="G55" s="50">
        <v>1</v>
      </c>
      <c r="H55" s="50">
        <v>10</v>
      </c>
      <c r="I55" s="50">
        <v>1</v>
      </c>
      <c r="J55" s="50">
        <v>0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142</v>
      </c>
      <c r="P55" s="15">
        <f t="shared" si="1"/>
        <v>287</v>
      </c>
      <c r="R55" s="8"/>
      <c r="T55"/>
    </row>
    <row r="56" spans="2:20" ht="23.1" customHeight="1" x14ac:dyDescent="0.25">
      <c r="B56" s="45" t="s">
        <v>83</v>
      </c>
      <c r="C56" s="50">
        <v>40</v>
      </c>
      <c r="D56" s="50">
        <v>10</v>
      </c>
      <c r="E56" s="50">
        <v>5</v>
      </c>
      <c r="F56" s="50">
        <v>45</v>
      </c>
      <c r="G56" s="50">
        <v>1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140</v>
      </c>
      <c r="N56" s="50">
        <v>0</v>
      </c>
      <c r="O56" s="15">
        <f t="shared" si="0"/>
        <v>104</v>
      </c>
      <c r="P56" s="15">
        <f t="shared" si="1"/>
        <v>244</v>
      </c>
      <c r="R56" s="8"/>
      <c r="T56"/>
    </row>
    <row r="57" spans="2:20" ht="23.1" customHeight="1" x14ac:dyDescent="0.25">
      <c r="B57" s="45" t="s">
        <v>84</v>
      </c>
      <c r="C57" s="50">
        <v>30</v>
      </c>
      <c r="D57" s="50">
        <v>4</v>
      </c>
      <c r="E57" s="50">
        <v>5</v>
      </c>
      <c r="F57" s="50">
        <v>40</v>
      </c>
      <c r="G57" s="50">
        <v>1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115</v>
      </c>
      <c r="N57" s="50">
        <v>0</v>
      </c>
      <c r="O57" s="15">
        <f t="shared" si="0"/>
        <v>83</v>
      </c>
      <c r="P57" s="15">
        <f t="shared" si="1"/>
        <v>198</v>
      </c>
      <c r="R57" s="8"/>
      <c r="T57"/>
    </row>
    <row r="58" spans="2:20" ht="23.1" customHeight="1" x14ac:dyDescent="0.25">
      <c r="B58" s="45" t="s">
        <v>99</v>
      </c>
      <c r="C58" s="50">
        <v>45</v>
      </c>
      <c r="D58" s="50">
        <v>3</v>
      </c>
      <c r="E58" s="50">
        <v>7</v>
      </c>
      <c r="F58" s="50">
        <v>55</v>
      </c>
      <c r="G58" s="50">
        <v>5</v>
      </c>
      <c r="H58" s="50">
        <v>2</v>
      </c>
      <c r="I58" s="50">
        <v>10</v>
      </c>
      <c r="J58" s="50">
        <v>3</v>
      </c>
      <c r="K58" s="50">
        <v>4</v>
      </c>
      <c r="L58" s="50">
        <v>1</v>
      </c>
      <c r="M58" s="50">
        <v>115</v>
      </c>
      <c r="N58" s="50">
        <v>0</v>
      </c>
      <c r="O58" s="15">
        <f t="shared" si="0"/>
        <v>135</v>
      </c>
      <c r="P58" s="15">
        <f t="shared" si="1"/>
        <v>250</v>
      </c>
      <c r="R58" s="8"/>
      <c r="T58"/>
    </row>
    <row r="59" spans="2:20" ht="23.1" customHeight="1" x14ac:dyDescent="0.25">
      <c r="B59" s="45" t="s">
        <v>100</v>
      </c>
      <c r="C59" s="50">
        <v>75</v>
      </c>
      <c r="D59" s="50">
        <v>1</v>
      </c>
      <c r="E59" s="50">
        <v>2</v>
      </c>
      <c r="F59" s="50">
        <v>75</v>
      </c>
      <c r="G59" s="50">
        <v>1</v>
      </c>
      <c r="H59" s="50">
        <v>1</v>
      </c>
      <c r="I59" s="50">
        <v>25</v>
      </c>
      <c r="J59" s="50">
        <v>15</v>
      </c>
      <c r="K59" s="50">
        <v>1</v>
      </c>
      <c r="L59" s="50">
        <v>0</v>
      </c>
      <c r="M59" s="50">
        <v>95</v>
      </c>
      <c r="N59" s="50">
        <v>0</v>
      </c>
      <c r="O59" s="15">
        <f t="shared" si="0"/>
        <v>196</v>
      </c>
      <c r="P59" s="15">
        <f t="shared" si="1"/>
        <v>291</v>
      </c>
      <c r="R59" s="8"/>
      <c r="T59"/>
    </row>
    <row r="60" spans="2:20" ht="23.1" customHeight="1" x14ac:dyDescent="0.25">
      <c r="B60" s="45" t="s">
        <v>101</v>
      </c>
      <c r="C60" s="50">
        <v>65</v>
      </c>
      <c r="D60" s="50">
        <v>0</v>
      </c>
      <c r="E60" s="50">
        <v>1</v>
      </c>
      <c r="F60" s="50">
        <v>0</v>
      </c>
      <c r="G60" s="50">
        <v>9</v>
      </c>
      <c r="H60" s="50">
        <v>0</v>
      </c>
      <c r="I60" s="50">
        <v>11</v>
      </c>
      <c r="J60" s="50">
        <v>3</v>
      </c>
      <c r="K60" s="50">
        <v>2</v>
      </c>
      <c r="L60" s="50">
        <v>0</v>
      </c>
      <c r="M60" s="50">
        <v>110</v>
      </c>
      <c r="N60" s="50">
        <v>0</v>
      </c>
      <c r="O60" s="15">
        <f t="shared" si="0"/>
        <v>91</v>
      </c>
      <c r="P60" s="15">
        <f t="shared" si="1"/>
        <v>201</v>
      </c>
      <c r="R60" s="8"/>
      <c r="T60"/>
    </row>
    <row r="61" spans="2:20" ht="23.1" customHeight="1" x14ac:dyDescent="0.25">
      <c r="B61" s="45" t="s">
        <v>102</v>
      </c>
      <c r="C61" s="50">
        <v>75</v>
      </c>
      <c r="D61" s="50">
        <v>5</v>
      </c>
      <c r="E61" s="50">
        <v>4</v>
      </c>
      <c r="F61" s="50">
        <v>0</v>
      </c>
      <c r="G61" s="50">
        <v>12</v>
      </c>
      <c r="H61" s="50">
        <v>4</v>
      </c>
      <c r="I61" s="50">
        <v>4</v>
      </c>
      <c r="J61" s="50">
        <v>2</v>
      </c>
      <c r="K61" s="50">
        <v>0</v>
      </c>
      <c r="L61" s="50">
        <v>1</v>
      </c>
      <c r="M61" s="50">
        <v>150</v>
      </c>
      <c r="N61" s="50">
        <v>0</v>
      </c>
      <c r="O61" s="15">
        <f t="shared" si="0"/>
        <v>107</v>
      </c>
      <c r="P61" s="15">
        <f t="shared" si="1"/>
        <v>257</v>
      </c>
      <c r="R61" s="8"/>
      <c r="T61"/>
    </row>
    <row r="62" spans="2:20" ht="23.1" customHeight="1" x14ac:dyDescent="0.25">
      <c r="B62" s="45" t="s">
        <v>107</v>
      </c>
      <c r="C62" s="50">
        <v>65</v>
      </c>
      <c r="D62" s="50">
        <v>3</v>
      </c>
      <c r="E62" s="50">
        <v>9</v>
      </c>
      <c r="F62" s="50">
        <v>70</v>
      </c>
      <c r="G62" s="50">
        <v>3</v>
      </c>
      <c r="H62" s="50">
        <v>40</v>
      </c>
      <c r="I62" s="50">
        <v>0</v>
      </c>
      <c r="J62" s="50">
        <v>2</v>
      </c>
      <c r="K62" s="50">
        <v>0</v>
      </c>
      <c r="L62" s="50">
        <v>0</v>
      </c>
      <c r="M62" s="50">
        <v>60</v>
      </c>
      <c r="N62" s="50">
        <v>0</v>
      </c>
      <c r="O62" s="15">
        <f t="shared" si="0"/>
        <v>192</v>
      </c>
      <c r="P62" s="15">
        <f t="shared" si="1"/>
        <v>252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1</v>
      </c>
      <c r="E63" s="50">
        <v>0</v>
      </c>
      <c r="F63" s="50">
        <v>55</v>
      </c>
      <c r="G63" s="50">
        <v>10</v>
      </c>
      <c r="H63" s="50">
        <v>3</v>
      </c>
      <c r="I63" s="50">
        <v>4</v>
      </c>
      <c r="J63" s="50">
        <v>0</v>
      </c>
      <c r="K63" s="50">
        <v>1</v>
      </c>
      <c r="L63" s="50">
        <v>0</v>
      </c>
      <c r="M63" s="50">
        <v>55</v>
      </c>
      <c r="N63" s="50">
        <v>0</v>
      </c>
      <c r="O63" s="15">
        <f t="shared" si="0"/>
        <v>74</v>
      </c>
      <c r="P63" s="15">
        <f t="shared" si="1"/>
        <v>129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7</v>
      </c>
      <c r="F64" s="50">
        <v>25</v>
      </c>
      <c r="G64" s="50">
        <v>3</v>
      </c>
      <c r="H64" s="50">
        <v>5</v>
      </c>
      <c r="I64" s="50">
        <v>45</v>
      </c>
      <c r="J64" s="50">
        <v>0</v>
      </c>
      <c r="K64" s="50">
        <v>1</v>
      </c>
      <c r="L64" s="50">
        <v>0</v>
      </c>
      <c r="M64" s="50">
        <v>75</v>
      </c>
      <c r="N64" s="50">
        <v>0</v>
      </c>
      <c r="O64" s="15">
        <f t="shared" si="0"/>
        <v>86</v>
      </c>
      <c r="P64" s="15">
        <f t="shared" si="1"/>
        <v>161</v>
      </c>
      <c r="R64" s="8"/>
      <c r="T64"/>
    </row>
    <row r="65" spans="2:20" ht="23.1" customHeight="1" x14ac:dyDescent="0.25">
      <c r="B65" s="45" t="s">
        <v>158</v>
      </c>
      <c r="C65" s="50">
        <v>30</v>
      </c>
      <c r="D65" s="50">
        <v>0</v>
      </c>
      <c r="E65" s="50">
        <v>3</v>
      </c>
      <c r="F65" s="50">
        <v>45</v>
      </c>
      <c r="G65" s="50">
        <v>1</v>
      </c>
      <c r="H65" s="50">
        <v>3</v>
      </c>
      <c r="I65" s="50">
        <v>0</v>
      </c>
      <c r="J65" s="50">
        <v>5</v>
      </c>
      <c r="K65" s="50">
        <v>0</v>
      </c>
      <c r="L65" s="50">
        <v>0</v>
      </c>
      <c r="M65" s="50">
        <v>50</v>
      </c>
      <c r="N65" s="50">
        <v>0</v>
      </c>
      <c r="O65" s="15">
        <f t="shared" si="0"/>
        <v>87</v>
      </c>
      <c r="P65" s="15">
        <f t="shared" si="1"/>
        <v>137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4</v>
      </c>
      <c r="E66" s="50">
        <v>1</v>
      </c>
      <c r="F66" s="50">
        <v>18</v>
      </c>
      <c r="G66" s="50">
        <v>2</v>
      </c>
      <c r="H66" s="50">
        <v>6</v>
      </c>
      <c r="I66" s="50">
        <v>5</v>
      </c>
      <c r="J66" s="50">
        <v>2</v>
      </c>
      <c r="K66" s="50">
        <v>1</v>
      </c>
      <c r="L66" s="50">
        <v>0</v>
      </c>
      <c r="M66" s="50">
        <v>80</v>
      </c>
      <c r="N66" s="50">
        <v>0</v>
      </c>
      <c r="O66" s="15">
        <f t="shared" si="0"/>
        <v>64</v>
      </c>
      <c r="P66" s="15">
        <f t="shared" si="1"/>
        <v>144</v>
      </c>
      <c r="R66" s="8"/>
      <c r="T66"/>
    </row>
    <row r="67" spans="2:20" ht="23.1" customHeight="1" x14ac:dyDescent="0.25">
      <c r="B67" s="45" t="s">
        <v>104</v>
      </c>
      <c r="C67" s="50">
        <v>30</v>
      </c>
      <c r="D67" s="50">
        <v>2</v>
      </c>
      <c r="E67" s="50">
        <v>2</v>
      </c>
      <c r="F67" s="50">
        <v>45</v>
      </c>
      <c r="G67" s="50">
        <v>1</v>
      </c>
      <c r="H67" s="50">
        <v>2</v>
      </c>
      <c r="I67" s="50">
        <v>2</v>
      </c>
      <c r="J67" s="50">
        <v>1</v>
      </c>
      <c r="K67" s="50">
        <v>2</v>
      </c>
      <c r="L67" s="50">
        <v>0</v>
      </c>
      <c r="M67" s="50">
        <v>100</v>
      </c>
      <c r="N67" s="50">
        <v>0</v>
      </c>
      <c r="O67" s="15">
        <f t="shared" si="0"/>
        <v>87</v>
      </c>
      <c r="P67" s="15">
        <f t="shared" si="1"/>
        <v>187</v>
      </c>
      <c r="R67" s="8"/>
      <c r="T67"/>
    </row>
    <row r="68" spans="2:20" ht="23.1" customHeight="1" x14ac:dyDescent="0.25">
      <c r="B68" s="45" t="s">
        <v>105</v>
      </c>
      <c r="C68" s="50">
        <v>40</v>
      </c>
      <c r="D68" s="50">
        <v>4</v>
      </c>
      <c r="E68" s="50">
        <v>14</v>
      </c>
      <c r="F68" s="50">
        <v>60</v>
      </c>
      <c r="G68" s="50">
        <v>10</v>
      </c>
      <c r="H68" s="50">
        <v>7</v>
      </c>
      <c r="I68" s="50">
        <v>8</v>
      </c>
      <c r="J68" s="50">
        <v>0</v>
      </c>
      <c r="K68" s="50">
        <v>1</v>
      </c>
      <c r="L68" s="50">
        <v>0</v>
      </c>
      <c r="M68" s="50">
        <v>115</v>
      </c>
      <c r="N68" s="50">
        <v>0</v>
      </c>
      <c r="O68" s="15">
        <f t="shared" si="0"/>
        <v>144</v>
      </c>
      <c r="P68" s="15">
        <f t="shared" si="1"/>
        <v>259</v>
      </c>
      <c r="R68" s="8"/>
      <c r="T68"/>
    </row>
    <row r="69" spans="2:20" ht="23.1" customHeight="1" x14ac:dyDescent="0.25">
      <c r="B69" s="45" t="s">
        <v>106</v>
      </c>
      <c r="C69" s="50">
        <v>40</v>
      </c>
      <c r="D69" s="50">
        <v>1</v>
      </c>
      <c r="E69" s="50">
        <v>2</v>
      </c>
      <c r="F69" s="50">
        <v>70</v>
      </c>
      <c r="G69" s="50">
        <v>9</v>
      </c>
      <c r="H69" s="50">
        <v>2</v>
      </c>
      <c r="I69" s="50">
        <v>5</v>
      </c>
      <c r="J69" s="50">
        <v>4</v>
      </c>
      <c r="K69" s="50">
        <v>1</v>
      </c>
      <c r="L69" s="50">
        <v>0</v>
      </c>
      <c r="M69" s="50">
        <v>140</v>
      </c>
      <c r="N69" s="50">
        <v>0</v>
      </c>
      <c r="O69" s="15">
        <f t="shared" si="0"/>
        <v>134</v>
      </c>
      <c r="P69" s="15">
        <f t="shared" si="1"/>
        <v>274</v>
      </c>
      <c r="R69" s="8"/>
      <c r="T69"/>
    </row>
    <row r="70" spans="2:20" ht="23.1" customHeight="1" x14ac:dyDescent="0.25">
      <c r="B70" s="45" t="s">
        <v>110</v>
      </c>
      <c r="C70" s="50">
        <v>30</v>
      </c>
      <c r="D70" s="50">
        <v>1</v>
      </c>
      <c r="E70" s="50">
        <v>3</v>
      </c>
      <c r="F70" s="50">
        <v>30</v>
      </c>
      <c r="G70" s="50">
        <v>6</v>
      </c>
      <c r="H70" s="50">
        <v>13</v>
      </c>
      <c r="I70" s="50">
        <v>20</v>
      </c>
      <c r="J70" s="50">
        <v>10</v>
      </c>
      <c r="K70" s="50">
        <v>5</v>
      </c>
      <c r="L70" s="50">
        <v>1</v>
      </c>
      <c r="M70" s="50">
        <v>50</v>
      </c>
      <c r="N70" s="50">
        <v>0</v>
      </c>
      <c r="O70" s="15">
        <f t="shared" si="0"/>
        <v>119</v>
      </c>
      <c r="P70" s="15">
        <f t="shared" si="1"/>
        <v>169</v>
      </c>
      <c r="R70" s="8"/>
      <c r="T70"/>
    </row>
    <row r="71" spans="2:20" ht="23.1" customHeight="1" x14ac:dyDescent="0.25">
      <c r="B71" s="45" t="s">
        <v>111</v>
      </c>
      <c r="C71" s="50">
        <v>25</v>
      </c>
      <c r="D71" s="50">
        <v>3</v>
      </c>
      <c r="E71" s="50">
        <v>8</v>
      </c>
      <c r="F71" s="50">
        <v>55</v>
      </c>
      <c r="G71" s="50">
        <v>10</v>
      </c>
      <c r="H71" s="50">
        <v>5</v>
      </c>
      <c r="I71" s="50">
        <v>10</v>
      </c>
      <c r="J71" s="50">
        <v>20</v>
      </c>
      <c r="K71" s="50">
        <v>3</v>
      </c>
      <c r="L71" s="50">
        <v>0</v>
      </c>
      <c r="M71" s="50">
        <v>55</v>
      </c>
      <c r="N71" s="50">
        <v>0</v>
      </c>
      <c r="O71" s="15">
        <f t="shared" si="0"/>
        <v>139</v>
      </c>
      <c r="P71" s="15">
        <f t="shared" si="1"/>
        <v>194</v>
      </c>
      <c r="R71" s="8"/>
      <c r="T71"/>
    </row>
    <row r="72" spans="2:20" ht="23.1" customHeight="1" x14ac:dyDescent="0.25">
      <c r="B72" s="45" t="s">
        <v>112</v>
      </c>
      <c r="C72" s="50">
        <v>15</v>
      </c>
      <c r="D72" s="50">
        <v>5</v>
      </c>
      <c r="E72" s="50">
        <v>5</v>
      </c>
      <c r="F72" s="50">
        <v>30</v>
      </c>
      <c r="G72" s="50">
        <v>3</v>
      </c>
      <c r="H72" s="50">
        <v>3</v>
      </c>
      <c r="I72" s="50">
        <v>8</v>
      </c>
      <c r="J72" s="50">
        <v>6</v>
      </c>
      <c r="K72" s="50">
        <v>1</v>
      </c>
      <c r="L72" s="50">
        <v>0</v>
      </c>
      <c r="M72" s="50">
        <v>45</v>
      </c>
      <c r="N72" s="50">
        <v>0</v>
      </c>
      <c r="O72" s="15">
        <f t="shared" si="0"/>
        <v>76</v>
      </c>
      <c r="P72" s="15">
        <f t="shared" si="1"/>
        <v>121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2</v>
      </c>
      <c r="E73" s="50">
        <v>9</v>
      </c>
      <c r="F73" s="50">
        <v>30</v>
      </c>
      <c r="G73" s="50">
        <v>17</v>
      </c>
      <c r="H73" s="50">
        <v>1</v>
      </c>
      <c r="I73" s="50">
        <v>4</v>
      </c>
      <c r="J73" s="50">
        <v>4</v>
      </c>
      <c r="K73" s="50">
        <v>4</v>
      </c>
      <c r="L73" s="50">
        <v>0</v>
      </c>
      <c r="M73" s="50">
        <v>30</v>
      </c>
      <c r="N73" s="50">
        <v>0</v>
      </c>
      <c r="O73" s="15">
        <f t="shared" si="0"/>
        <v>72</v>
      </c>
      <c r="P73" s="15">
        <f t="shared" si="1"/>
        <v>102</v>
      </c>
      <c r="R73" s="8"/>
      <c r="T73"/>
    </row>
    <row r="74" spans="2:20" ht="23.1" customHeight="1" x14ac:dyDescent="0.25">
      <c r="B74" s="45" t="s">
        <v>114</v>
      </c>
      <c r="C74" s="50">
        <v>30</v>
      </c>
      <c r="D74" s="50">
        <v>3</v>
      </c>
      <c r="E74" s="50">
        <v>8</v>
      </c>
      <c r="F74" s="50">
        <v>23</v>
      </c>
      <c r="G74" s="50">
        <v>7</v>
      </c>
      <c r="H74" s="50">
        <v>4</v>
      </c>
      <c r="I74" s="50">
        <v>1</v>
      </c>
      <c r="J74" s="50">
        <v>8</v>
      </c>
      <c r="K74" s="50">
        <v>3</v>
      </c>
      <c r="L74" s="50">
        <v>1</v>
      </c>
      <c r="M74" s="50">
        <v>50</v>
      </c>
      <c r="N74" s="50">
        <v>0</v>
      </c>
      <c r="O74" s="15">
        <f t="shared" ref="O74:O105" si="35">SUM(C74:L74,N74)</f>
        <v>88</v>
      </c>
      <c r="P74" s="15">
        <f t="shared" ref="P74:P105" si="36">SUM(C74:N74)</f>
        <v>138</v>
      </c>
      <c r="R74" s="8"/>
      <c r="T74"/>
    </row>
    <row r="75" spans="2:20" ht="23.1" customHeight="1" x14ac:dyDescent="0.25">
      <c r="B75" s="45" t="s">
        <v>115</v>
      </c>
      <c r="C75" s="50">
        <v>20</v>
      </c>
      <c r="D75" s="50">
        <v>0</v>
      </c>
      <c r="E75" s="50">
        <v>3</v>
      </c>
      <c r="F75" s="50">
        <v>20</v>
      </c>
      <c r="G75" s="50">
        <v>5</v>
      </c>
      <c r="H75" s="50">
        <v>1</v>
      </c>
      <c r="I75" s="50">
        <v>0</v>
      </c>
      <c r="J75" s="50">
        <v>5</v>
      </c>
      <c r="K75" s="50">
        <v>0</v>
      </c>
      <c r="L75" s="50">
        <v>2</v>
      </c>
      <c r="M75" s="50">
        <v>25</v>
      </c>
      <c r="N75" s="50">
        <v>0</v>
      </c>
      <c r="O75" s="15">
        <f t="shared" si="35"/>
        <v>56</v>
      </c>
      <c r="P75" s="15">
        <f t="shared" si="36"/>
        <v>81</v>
      </c>
      <c r="R75" s="8"/>
      <c r="T75"/>
    </row>
    <row r="76" spans="2:20" ht="23.1" customHeight="1" x14ac:dyDescent="0.25">
      <c r="B76" s="45" t="s">
        <v>116</v>
      </c>
      <c r="C76" s="50">
        <v>15</v>
      </c>
      <c r="D76" s="50">
        <v>0</v>
      </c>
      <c r="E76" s="50">
        <v>5</v>
      </c>
      <c r="F76" s="50">
        <v>25</v>
      </c>
      <c r="G76" s="50">
        <v>4</v>
      </c>
      <c r="H76" s="50">
        <v>0</v>
      </c>
      <c r="I76" s="50">
        <v>0</v>
      </c>
      <c r="J76" s="50">
        <v>4</v>
      </c>
      <c r="K76" s="50">
        <v>2</v>
      </c>
      <c r="L76" s="50">
        <v>0</v>
      </c>
      <c r="M76" s="50">
        <v>20</v>
      </c>
      <c r="N76" s="50">
        <v>0</v>
      </c>
      <c r="O76" s="15">
        <f t="shared" si="35"/>
        <v>55</v>
      </c>
      <c r="P76" s="15">
        <f t="shared" si="36"/>
        <v>75</v>
      </c>
      <c r="R76" s="8"/>
      <c r="T76"/>
    </row>
    <row r="77" spans="2:20" ht="23.1" customHeight="1" x14ac:dyDescent="0.25">
      <c r="B77" s="45" t="s">
        <v>117</v>
      </c>
      <c r="C77" s="50">
        <v>10</v>
      </c>
      <c r="D77" s="50">
        <v>3</v>
      </c>
      <c r="E77" s="50">
        <v>2</v>
      </c>
      <c r="F77" s="50">
        <v>18</v>
      </c>
      <c r="G77" s="50">
        <v>2</v>
      </c>
      <c r="H77" s="50">
        <v>0</v>
      </c>
      <c r="I77" s="50">
        <v>2</v>
      </c>
      <c r="J77" s="50">
        <v>6</v>
      </c>
      <c r="K77" s="50">
        <v>0</v>
      </c>
      <c r="L77" s="50">
        <v>0</v>
      </c>
      <c r="M77" s="50">
        <v>50</v>
      </c>
      <c r="N77" s="50">
        <v>0</v>
      </c>
      <c r="O77" s="15">
        <f t="shared" si="35"/>
        <v>43</v>
      </c>
      <c r="P77" s="15">
        <f t="shared" si="36"/>
        <v>93</v>
      </c>
      <c r="R77" s="8"/>
      <c r="T77"/>
    </row>
    <row r="78" spans="2:20" ht="23.1" customHeight="1" x14ac:dyDescent="0.25">
      <c r="B78" s="46" t="s">
        <v>118</v>
      </c>
      <c r="C78" s="50">
        <v>20</v>
      </c>
      <c r="D78" s="50">
        <v>3</v>
      </c>
      <c r="E78" s="50">
        <v>1</v>
      </c>
      <c r="F78" s="50">
        <v>60</v>
      </c>
      <c r="G78" s="50">
        <v>3</v>
      </c>
      <c r="H78" s="50">
        <v>3</v>
      </c>
      <c r="I78" s="50">
        <v>12</v>
      </c>
      <c r="J78" s="50">
        <v>3</v>
      </c>
      <c r="K78" s="50">
        <v>3</v>
      </c>
      <c r="L78" s="50">
        <v>0</v>
      </c>
      <c r="M78" s="50">
        <v>4</v>
      </c>
      <c r="N78" s="50">
        <v>0</v>
      </c>
      <c r="O78" s="15">
        <f t="shared" si="35"/>
        <v>108</v>
      </c>
      <c r="P78" s="15">
        <f t="shared" si="36"/>
        <v>112</v>
      </c>
      <c r="R78" s="8"/>
      <c r="T78"/>
    </row>
    <row r="79" spans="2:20" ht="23.1" customHeight="1" x14ac:dyDescent="0.25">
      <c r="B79" s="45" t="s">
        <v>119</v>
      </c>
      <c r="C79" s="50">
        <v>17</v>
      </c>
      <c r="D79" s="50">
        <v>2</v>
      </c>
      <c r="E79" s="50">
        <v>2</v>
      </c>
      <c r="F79" s="50">
        <v>15</v>
      </c>
      <c r="G79" s="50">
        <v>2</v>
      </c>
      <c r="H79" s="50">
        <v>1</v>
      </c>
      <c r="I79" s="50">
        <v>17</v>
      </c>
      <c r="J79" s="50">
        <v>7</v>
      </c>
      <c r="K79" s="50">
        <v>0</v>
      </c>
      <c r="L79" s="50">
        <v>1</v>
      </c>
      <c r="M79" s="50">
        <v>25</v>
      </c>
      <c r="N79" s="50">
        <v>0</v>
      </c>
      <c r="O79" s="15">
        <f t="shared" si="35"/>
        <v>64</v>
      </c>
      <c r="P79" s="15">
        <f t="shared" si="36"/>
        <v>89</v>
      </c>
      <c r="R79" s="8"/>
      <c r="T79"/>
    </row>
    <row r="80" spans="2:20" ht="23.1" customHeight="1" x14ac:dyDescent="0.25">
      <c r="B80" s="47" t="s">
        <v>120</v>
      </c>
      <c r="C80" s="50">
        <v>25</v>
      </c>
      <c r="D80" s="50">
        <v>0</v>
      </c>
      <c r="E80" s="50">
        <v>15</v>
      </c>
      <c r="F80" s="50">
        <v>23</v>
      </c>
      <c r="G80" s="50">
        <v>1</v>
      </c>
      <c r="H80" s="50">
        <v>2</v>
      </c>
      <c r="I80" s="50">
        <v>0</v>
      </c>
      <c r="J80" s="50">
        <v>4</v>
      </c>
      <c r="K80" s="50">
        <v>0</v>
      </c>
      <c r="L80" s="50">
        <v>2</v>
      </c>
      <c r="M80" s="50">
        <v>50</v>
      </c>
      <c r="N80" s="50">
        <v>0</v>
      </c>
      <c r="O80" s="15">
        <f t="shared" si="35"/>
        <v>72</v>
      </c>
      <c r="P80" s="15">
        <f t="shared" si="36"/>
        <v>122</v>
      </c>
      <c r="R80" s="8"/>
      <c r="T80"/>
    </row>
    <row r="81" spans="2:20" ht="23.1" customHeight="1" x14ac:dyDescent="0.25">
      <c r="B81" s="45" t="s">
        <v>121</v>
      </c>
      <c r="C81" s="50">
        <v>30</v>
      </c>
      <c r="D81" s="50">
        <v>6</v>
      </c>
      <c r="E81" s="50">
        <v>3</v>
      </c>
      <c r="F81" s="50">
        <v>20</v>
      </c>
      <c r="G81" s="50">
        <v>0</v>
      </c>
      <c r="H81" s="50">
        <v>0</v>
      </c>
      <c r="I81" s="50">
        <v>10</v>
      </c>
      <c r="J81" s="50">
        <v>5</v>
      </c>
      <c r="K81" s="50">
        <v>3</v>
      </c>
      <c r="L81" s="50">
        <v>5</v>
      </c>
      <c r="M81" s="50">
        <v>30</v>
      </c>
      <c r="N81" s="50">
        <v>0</v>
      </c>
      <c r="O81" s="15">
        <f t="shared" si="35"/>
        <v>82</v>
      </c>
      <c r="P81" s="15">
        <f t="shared" si="36"/>
        <v>112</v>
      </c>
      <c r="R81" s="8"/>
      <c r="T81"/>
    </row>
    <row r="82" spans="2:20" ht="23.1" customHeight="1" x14ac:dyDescent="0.25">
      <c r="B82" s="46" t="s">
        <v>122</v>
      </c>
      <c r="C82" s="50">
        <v>75</v>
      </c>
      <c r="D82" s="50">
        <v>2</v>
      </c>
      <c r="E82" s="50">
        <v>5</v>
      </c>
      <c r="F82" s="50">
        <v>12</v>
      </c>
      <c r="G82" s="50">
        <v>5</v>
      </c>
      <c r="H82" s="50">
        <v>3</v>
      </c>
      <c r="I82" s="50">
        <v>15</v>
      </c>
      <c r="J82" s="50">
        <v>8</v>
      </c>
      <c r="K82" s="50">
        <v>3</v>
      </c>
      <c r="L82" s="50">
        <v>1</v>
      </c>
      <c r="M82" s="50">
        <v>13</v>
      </c>
      <c r="N82" s="50">
        <v>0</v>
      </c>
      <c r="O82" s="15">
        <f t="shared" si="35"/>
        <v>129</v>
      </c>
      <c r="P82" s="15">
        <f t="shared" si="36"/>
        <v>142</v>
      </c>
      <c r="R82" s="8"/>
      <c r="T82"/>
    </row>
    <row r="83" spans="2:20" ht="23.1" customHeight="1" x14ac:dyDescent="0.25">
      <c r="B83" s="45" t="s">
        <v>123</v>
      </c>
      <c r="C83" s="50">
        <v>40</v>
      </c>
      <c r="D83" s="50">
        <v>12</v>
      </c>
      <c r="E83" s="50">
        <v>3</v>
      </c>
      <c r="F83" s="50">
        <v>5</v>
      </c>
      <c r="G83" s="50">
        <v>2</v>
      </c>
      <c r="H83" s="50">
        <v>2</v>
      </c>
      <c r="I83" s="50">
        <v>5</v>
      </c>
      <c r="J83" s="50">
        <v>15</v>
      </c>
      <c r="K83" s="50">
        <v>4</v>
      </c>
      <c r="L83" s="50">
        <v>0</v>
      </c>
      <c r="M83" s="50">
        <v>17</v>
      </c>
      <c r="N83" s="50">
        <v>0</v>
      </c>
      <c r="O83" s="15">
        <f t="shared" si="35"/>
        <v>88</v>
      </c>
      <c r="P83" s="15">
        <f t="shared" si="36"/>
        <v>105</v>
      </c>
      <c r="R83" s="8"/>
      <c r="T83"/>
    </row>
    <row r="84" spans="2:20" ht="23.1" customHeight="1" x14ac:dyDescent="0.25">
      <c r="B84" s="47" t="s">
        <v>124</v>
      </c>
      <c r="C84" s="50">
        <v>30</v>
      </c>
      <c r="D84" s="50">
        <v>19</v>
      </c>
      <c r="E84" s="50">
        <v>5</v>
      </c>
      <c r="F84" s="50">
        <v>10</v>
      </c>
      <c r="G84" s="50">
        <v>1</v>
      </c>
      <c r="H84" s="50">
        <v>1</v>
      </c>
      <c r="I84" s="50">
        <v>7</v>
      </c>
      <c r="J84" s="50">
        <v>3</v>
      </c>
      <c r="K84" s="50">
        <v>2</v>
      </c>
      <c r="L84" s="50">
        <v>0</v>
      </c>
      <c r="M84" s="50">
        <v>20</v>
      </c>
      <c r="N84" s="50">
        <v>0</v>
      </c>
      <c r="O84" s="15">
        <f t="shared" si="35"/>
        <v>78</v>
      </c>
      <c r="P84" s="15">
        <f t="shared" si="36"/>
        <v>98</v>
      </c>
      <c r="R84" s="8"/>
      <c r="T84"/>
    </row>
    <row r="85" spans="2:20" ht="23.1" customHeight="1" x14ac:dyDescent="0.25">
      <c r="B85" s="45" t="s">
        <v>125</v>
      </c>
      <c r="C85" s="50">
        <v>20</v>
      </c>
      <c r="D85" s="50">
        <v>8</v>
      </c>
      <c r="E85" s="50">
        <v>1</v>
      </c>
      <c r="F85" s="50">
        <v>13</v>
      </c>
      <c r="G85" s="50">
        <v>4</v>
      </c>
      <c r="H85" s="50">
        <v>3</v>
      </c>
      <c r="I85" s="50">
        <v>9</v>
      </c>
      <c r="J85" s="50">
        <v>2</v>
      </c>
      <c r="K85" s="50">
        <v>1</v>
      </c>
      <c r="L85" s="50">
        <v>0</v>
      </c>
      <c r="M85" s="50">
        <v>45</v>
      </c>
      <c r="N85" s="50">
        <v>0</v>
      </c>
      <c r="O85" s="15">
        <f t="shared" si="35"/>
        <v>61</v>
      </c>
      <c r="P85" s="15">
        <f t="shared" si="36"/>
        <v>106</v>
      </c>
      <c r="R85" s="8"/>
      <c r="T85"/>
    </row>
    <row r="86" spans="2:20" ht="23.1" customHeight="1" x14ac:dyDescent="0.25">
      <c r="B86" s="46" t="s">
        <v>126</v>
      </c>
      <c r="C86" s="50">
        <v>18</v>
      </c>
      <c r="D86" s="50">
        <v>3</v>
      </c>
      <c r="E86" s="50">
        <v>2</v>
      </c>
      <c r="F86" s="50">
        <v>12</v>
      </c>
      <c r="G86" s="50">
        <v>1</v>
      </c>
      <c r="H86" s="50">
        <v>1</v>
      </c>
      <c r="I86" s="50">
        <v>10</v>
      </c>
      <c r="J86" s="50">
        <v>9</v>
      </c>
      <c r="K86" s="50">
        <v>2</v>
      </c>
      <c r="L86" s="50">
        <v>1</v>
      </c>
      <c r="M86" s="50">
        <v>21</v>
      </c>
      <c r="N86" s="50">
        <v>0</v>
      </c>
      <c r="O86" s="15">
        <f t="shared" si="35"/>
        <v>59</v>
      </c>
      <c r="P86" s="15">
        <f t="shared" si="36"/>
        <v>80</v>
      </c>
      <c r="R86" s="8"/>
      <c r="T86"/>
    </row>
    <row r="87" spans="2:20" ht="23.1" customHeight="1" x14ac:dyDescent="0.25">
      <c r="B87" s="45" t="s">
        <v>127</v>
      </c>
      <c r="C87" s="50">
        <v>30</v>
      </c>
      <c r="D87" s="50">
        <v>3</v>
      </c>
      <c r="E87" s="50">
        <v>4</v>
      </c>
      <c r="F87" s="50">
        <v>17</v>
      </c>
      <c r="G87" s="50">
        <v>2</v>
      </c>
      <c r="H87" s="50">
        <v>0</v>
      </c>
      <c r="I87" s="50">
        <v>5</v>
      </c>
      <c r="J87" s="50">
        <v>13</v>
      </c>
      <c r="K87" s="50">
        <v>3</v>
      </c>
      <c r="L87" s="50">
        <v>0</v>
      </c>
      <c r="M87" s="50">
        <v>35</v>
      </c>
      <c r="N87" s="50">
        <v>0</v>
      </c>
      <c r="O87" s="15">
        <f t="shared" si="35"/>
        <v>77</v>
      </c>
      <c r="P87" s="15">
        <f t="shared" si="36"/>
        <v>112</v>
      </c>
      <c r="R87" s="8"/>
      <c r="T87"/>
    </row>
    <row r="88" spans="2:20" ht="23.1" customHeight="1" x14ac:dyDescent="0.25">
      <c r="B88" s="47" t="s">
        <v>128</v>
      </c>
      <c r="C88" s="50">
        <v>45</v>
      </c>
      <c r="D88" s="50">
        <v>2</v>
      </c>
      <c r="E88" s="50">
        <v>5</v>
      </c>
      <c r="F88" s="50">
        <v>22</v>
      </c>
      <c r="G88" s="50">
        <v>3</v>
      </c>
      <c r="H88" s="50">
        <v>5</v>
      </c>
      <c r="I88" s="50">
        <v>16</v>
      </c>
      <c r="J88" s="50">
        <v>12</v>
      </c>
      <c r="K88" s="50">
        <v>4</v>
      </c>
      <c r="L88" s="50">
        <v>0</v>
      </c>
      <c r="M88" s="50">
        <v>45</v>
      </c>
      <c r="N88" s="50">
        <v>0</v>
      </c>
      <c r="O88" s="15">
        <f t="shared" si="35"/>
        <v>114</v>
      </c>
      <c r="P88" s="15">
        <f t="shared" si="36"/>
        <v>159</v>
      </c>
      <c r="R88" s="8"/>
      <c r="T88"/>
    </row>
    <row r="89" spans="2:20" ht="23.1" customHeight="1" x14ac:dyDescent="0.25">
      <c r="B89" s="45" t="s">
        <v>129</v>
      </c>
      <c r="C89" s="50">
        <v>20</v>
      </c>
      <c r="D89" s="50">
        <v>1</v>
      </c>
      <c r="E89" s="50">
        <v>2</v>
      </c>
      <c r="F89" s="50">
        <v>20</v>
      </c>
      <c r="G89" s="50">
        <v>1</v>
      </c>
      <c r="H89" s="50">
        <v>0</v>
      </c>
      <c r="I89" s="50">
        <v>3</v>
      </c>
      <c r="J89" s="50">
        <v>10</v>
      </c>
      <c r="K89" s="50">
        <v>8</v>
      </c>
      <c r="L89" s="50">
        <v>0</v>
      </c>
      <c r="M89" s="50">
        <v>60</v>
      </c>
      <c r="N89" s="50">
        <v>0</v>
      </c>
      <c r="O89" s="15">
        <f t="shared" si="35"/>
        <v>65</v>
      </c>
      <c r="P89" s="15">
        <f t="shared" si="36"/>
        <v>125</v>
      </c>
      <c r="R89" s="8"/>
      <c r="T89"/>
    </row>
    <row r="90" spans="2:20" ht="23.1" customHeight="1" x14ac:dyDescent="0.25">
      <c r="B90" s="46" t="s">
        <v>130</v>
      </c>
      <c r="C90" s="50">
        <v>20</v>
      </c>
      <c r="D90" s="50">
        <v>2</v>
      </c>
      <c r="E90" s="50">
        <v>3</v>
      </c>
      <c r="F90" s="50">
        <v>35</v>
      </c>
      <c r="G90" s="50">
        <v>4</v>
      </c>
      <c r="H90" s="50">
        <v>15</v>
      </c>
      <c r="I90" s="50">
        <v>5</v>
      </c>
      <c r="J90" s="50">
        <v>8</v>
      </c>
      <c r="K90" s="50">
        <v>5</v>
      </c>
      <c r="L90" s="50">
        <v>0</v>
      </c>
      <c r="M90" s="50">
        <v>30</v>
      </c>
      <c r="N90" s="50">
        <v>0</v>
      </c>
      <c r="O90" s="15">
        <f t="shared" si="35"/>
        <v>97</v>
      </c>
      <c r="P90" s="15">
        <f t="shared" si="36"/>
        <v>127</v>
      </c>
      <c r="R90" s="8"/>
      <c r="T90"/>
    </row>
    <row r="91" spans="2:20" ht="23.1" customHeight="1" x14ac:dyDescent="0.25">
      <c r="B91" s="45" t="s">
        <v>131</v>
      </c>
      <c r="C91" s="50">
        <v>25</v>
      </c>
      <c r="D91" s="50">
        <v>4</v>
      </c>
      <c r="E91" s="50">
        <v>6</v>
      </c>
      <c r="F91" s="50">
        <v>15</v>
      </c>
      <c r="G91" s="50">
        <v>11</v>
      </c>
      <c r="H91" s="50">
        <v>5</v>
      </c>
      <c r="I91" s="50">
        <v>14</v>
      </c>
      <c r="J91" s="50">
        <v>4</v>
      </c>
      <c r="K91" s="50">
        <v>2</v>
      </c>
      <c r="L91" s="50">
        <v>0</v>
      </c>
      <c r="M91" s="50">
        <v>36</v>
      </c>
      <c r="N91" s="50">
        <v>0</v>
      </c>
      <c r="O91" s="15">
        <f t="shared" si="35"/>
        <v>86</v>
      </c>
      <c r="P91" s="15">
        <f t="shared" si="36"/>
        <v>122</v>
      </c>
      <c r="R91" s="8"/>
      <c r="T91"/>
    </row>
    <row r="92" spans="2:20" ht="23.1" customHeight="1" x14ac:dyDescent="0.25">
      <c r="B92" s="47" t="s">
        <v>132</v>
      </c>
      <c r="C92" s="50">
        <v>35</v>
      </c>
      <c r="D92" s="50">
        <v>3</v>
      </c>
      <c r="E92" s="50">
        <v>11</v>
      </c>
      <c r="F92" s="50">
        <v>9</v>
      </c>
      <c r="G92" s="50">
        <v>0</v>
      </c>
      <c r="H92" s="50">
        <v>0</v>
      </c>
      <c r="I92" s="50">
        <v>2</v>
      </c>
      <c r="J92" s="50">
        <v>10</v>
      </c>
      <c r="K92" s="50">
        <v>3</v>
      </c>
      <c r="L92" s="50">
        <v>1</v>
      </c>
      <c r="M92" s="50">
        <v>30</v>
      </c>
      <c r="N92" s="50">
        <v>0</v>
      </c>
      <c r="O92" s="15">
        <f t="shared" si="35"/>
        <v>74</v>
      </c>
      <c r="P92" s="15">
        <f t="shared" si="36"/>
        <v>104</v>
      </c>
      <c r="R92" s="8"/>
      <c r="T92"/>
    </row>
    <row r="93" spans="2:20" ht="23.1" customHeight="1" x14ac:dyDescent="0.25">
      <c r="B93" s="45" t="s">
        <v>133</v>
      </c>
      <c r="C93" s="50">
        <v>20</v>
      </c>
      <c r="D93" s="50">
        <v>0</v>
      </c>
      <c r="E93" s="50">
        <v>7</v>
      </c>
      <c r="F93" s="50">
        <v>2</v>
      </c>
      <c r="G93" s="50">
        <v>0</v>
      </c>
      <c r="H93" s="50">
        <v>2</v>
      </c>
      <c r="I93" s="50">
        <v>0</v>
      </c>
      <c r="J93" s="50">
        <v>0</v>
      </c>
      <c r="K93" s="50">
        <v>2</v>
      </c>
      <c r="L93" s="50">
        <v>1</v>
      </c>
      <c r="M93" s="50">
        <v>35</v>
      </c>
      <c r="N93" s="50">
        <v>0</v>
      </c>
      <c r="O93" s="15">
        <f t="shared" si="35"/>
        <v>34</v>
      </c>
      <c r="P93" s="15">
        <f t="shared" si="36"/>
        <v>69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0</v>
      </c>
      <c r="E94" s="50">
        <v>0</v>
      </c>
      <c r="F94" s="50">
        <v>5</v>
      </c>
      <c r="G94" s="50">
        <v>0</v>
      </c>
      <c r="H94" s="50">
        <v>0</v>
      </c>
      <c r="I94" s="50">
        <v>3</v>
      </c>
      <c r="J94" s="50">
        <v>0</v>
      </c>
      <c r="K94" s="50">
        <v>0</v>
      </c>
      <c r="L94" s="50">
        <v>0</v>
      </c>
      <c r="M94" s="50">
        <v>6</v>
      </c>
      <c r="N94" s="50">
        <v>0</v>
      </c>
      <c r="O94" s="15">
        <f t="shared" si="35"/>
        <v>13</v>
      </c>
      <c r="P94" s="15">
        <f t="shared" si="36"/>
        <v>19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1</v>
      </c>
      <c r="F95" s="50">
        <v>7</v>
      </c>
      <c r="G95" s="50">
        <v>0</v>
      </c>
      <c r="H95" s="50">
        <v>0</v>
      </c>
      <c r="I95" s="50">
        <v>2</v>
      </c>
      <c r="J95" s="50">
        <v>3</v>
      </c>
      <c r="K95" s="50">
        <v>0</v>
      </c>
      <c r="L95" s="50">
        <v>0</v>
      </c>
      <c r="M95" s="50">
        <v>31</v>
      </c>
      <c r="N95" s="50">
        <v>0</v>
      </c>
      <c r="O95" s="15">
        <f t="shared" si="35"/>
        <v>18</v>
      </c>
      <c r="P95" s="15">
        <f t="shared" si="36"/>
        <v>49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0</v>
      </c>
      <c r="E96" s="50">
        <v>0</v>
      </c>
      <c r="F96" s="50">
        <v>5</v>
      </c>
      <c r="G96" s="50">
        <v>0</v>
      </c>
      <c r="H96" s="50">
        <v>0</v>
      </c>
      <c r="I96" s="50">
        <v>0</v>
      </c>
      <c r="J96" s="50">
        <v>1</v>
      </c>
      <c r="K96" s="50">
        <v>1</v>
      </c>
      <c r="L96" s="50">
        <v>0</v>
      </c>
      <c r="M96" s="50">
        <v>10</v>
      </c>
      <c r="N96" s="50">
        <v>0</v>
      </c>
      <c r="O96" s="15">
        <f t="shared" si="35"/>
        <v>13</v>
      </c>
      <c r="P96" s="15">
        <f t="shared" si="36"/>
        <v>23</v>
      </c>
      <c r="R96" s="8"/>
      <c r="T96"/>
    </row>
    <row r="97" spans="2:20" ht="23.1" customHeight="1" x14ac:dyDescent="0.25">
      <c r="B97" s="45" t="s">
        <v>137</v>
      </c>
      <c r="C97" s="50">
        <v>10</v>
      </c>
      <c r="D97" s="50">
        <v>0</v>
      </c>
      <c r="E97" s="50">
        <v>0</v>
      </c>
      <c r="F97" s="50">
        <v>5</v>
      </c>
      <c r="G97" s="50">
        <v>0</v>
      </c>
      <c r="H97" s="50">
        <v>0</v>
      </c>
      <c r="I97" s="50">
        <v>1</v>
      </c>
      <c r="J97" s="50">
        <v>1</v>
      </c>
      <c r="K97" s="50">
        <v>1</v>
      </c>
      <c r="L97" s="50">
        <v>0</v>
      </c>
      <c r="M97" s="50">
        <v>10</v>
      </c>
      <c r="N97" s="50">
        <v>0</v>
      </c>
      <c r="O97" s="15">
        <f t="shared" si="35"/>
        <v>18</v>
      </c>
      <c r="P97" s="15">
        <f t="shared" si="36"/>
        <v>28</v>
      </c>
      <c r="R97" s="8"/>
      <c r="T97"/>
    </row>
    <row r="98" spans="2:20" ht="23.1" customHeight="1" x14ac:dyDescent="0.25">
      <c r="B98" s="46" t="s">
        <v>138</v>
      </c>
      <c r="C98" s="50">
        <v>10</v>
      </c>
      <c r="D98" s="50">
        <v>4</v>
      </c>
      <c r="E98" s="50">
        <v>4</v>
      </c>
      <c r="F98" s="50">
        <v>40</v>
      </c>
      <c r="G98" s="50">
        <v>3</v>
      </c>
      <c r="H98" s="50">
        <v>1</v>
      </c>
      <c r="I98" s="50">
        <v>12</v>
      </c>
      <c r="J98" s="50">
        <v>3</v>
      </c>
      <c r="K98" s="50">
        <v>2</v>
      </c>
      <c r="L98" s="50">
        <v>0</v>
      </c>
      <c r="M98" s="50">
        <v>35</v>
      </c>
      <c r="N98" s="50">
        <v>0</v>
      </c>
      <c r="O98" s="15">
        <f t="shared" si="35"/>
        <v>79</v>
      </c>
      <c r="P98" s="15">
        <f t="shared" si="36"/>
        <v>114</v>
      </c>
      <c r="R98" s="8"/>
      <c r="T98"/>
    </row>
    <row r="99" spans="2:20" ht="23.1" customHeight="1" x14ac:dyDescent="0.25">
      <c r="B99" s="45" t="s">
        <v>139</v>
      </c>
      <c r="C99" s="50">
        <v>45</v>
      </c>
      <c r="D99" s="50">
        <v>1</v>
      </c>
      <c r="E99" s="50">
        <v>3</v>
      </c>
      <c r="F99" s="50">
        <v>70</v>
      </c>
      <c r="G99" s="50">
        <v>1</v>
      </c>
      <c r="H99" s="50">
        <v>0</v>
      </c>
      <c r="I99" s="50">
        <v>5</v>
      </c>
      <c r="J99" s="50">
        <v>4</v>
      </c>
      <c r="K99" s="50">
        <v>0</v>
      </c>
      <c r="L99" s="50">
        <v>0</v>
      </c>
      <c r="M99" s="50">
        <v>30</v>
      </c>
      <c r="N99" s="50">
        <v>0</v>
      </c>
      <c r="O99" s="15">
        <f t="shared" si="35"/>
        <v>129</v>
      </c>
      <c r="P99" s="15">
        <f t="shared" si="36"/>
        <v>159</v>
      </c>
      <c r="R99" s="8"/>
      <c r="T99"/>
    </row>
    <row r="100" spans="2:20" ht="23.1" customHeight="1" x14ac:dyDescent="0.25">
      <c r="B100" s="47" t="s">
        <v>140</v>
      </c>
      <c r="C100" s="50">
        <v>20</v>
      </c>
      <c r="D100" s="50">
        <v>2</v>
      </c>
      <c r="E100" s="50">
        <v>5</v>
      </c>
      <c r="F100" s="50">
        <v>55</v>
      </c>
      <c r="G100" s="50">
        <v>0</v>
      </c>
      <c r="H100" s="50">
        <v>2</v>
      </c>
      <c r="I100" s="50">
        <v>4</v>
      </c>
      <c r="J100" s="50">
        <v>30</v>
      </c>
      <c r="K100" s="50">
        <v>3</v>
      </c>
      <c r="L100" s="50">
        <v>0</v>
      </c>
      <c r="M100" s="50">
        <v>20</v>
      </c>
      <c r="N100" s="50">
        <v>0</v>
      </c>
      <c r="O100" s="15">
        <f t="shared" si="35"/>
        <v>121</v>
      </c>
      <c r="P100" s="15">
        <f t="shared" si="36"/>
        <v>141</v>
      </c>
      <c r="R100" s="8"/>
      <c r="T100"/>
    </row>
    <row r="101" spans="2:20" ht="23.1" customHeight="1" x14ac:dyDescent="0.25">
      <c r="B101" s="45" t="s">
        <v>141</v>
      </c>
      <c r="C101" s="50">
        <v>12</v>
      </c>
      <c r="D101" s="50">
        <v>1</v>
      </c>
      <c r="E101" s="50">
        <v>2</v>
      </c>
      <c r="F101" s="50">
        <v>45</v>
      </c>
      <c r="G101" s="50">
        <v>3</v>
      </c>
      <c r="H101" s="50">
        <v>1</v>
      </c>
      <c r="I101" s="50">
        <v>9</v>
      </c>
      <c r="J101" s="50">
        <v>3</v>
      </c>
      <c r="K101" s="50">
        <v>0</v>
      </c>
      <c r="L101" s="50">
        <v>0</v>
      </c>
      <c r="M101" s="50">
        <v>16</v>
      </c>
      <c r="N101" s="50">
        <v>0</v>
      </c>
      <c r="O101" s="15">
        <f t="shared" si="35"/>
        <v>76</v>
      </c>
      <c r="P101" s="15">
        <f t="shared" si="36"/>
        <v>92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2</v>
      </c>
      <c r="E102" s="50">
        <v>10</v>
      </c>
      <c r="F102" s="50">
        <v>50</v>
      </c>
      <c r="G102" s="50">
        <v>4</v>
      </c>
      <c r="H102" s="50">
        <v>4</v>
      </c>
      <c r="I102" s="50">
        <v>13</v>
      </c>
      <c r="J102" s="50">
        <v>3</v>
      </c>
      <c r="K102" s="50">
        <v>3</v>
      </c>
      <c r="L102" s="50">
        <v>0</v>
      </c>
      <c r="M102" s="50">
        <v>40</v>
      </c>
      <c r="N102" s="50">
        <v>0</v>
      </c>
      <c r="O102" s="15">
        <f t="shared" si="35"/>
        <v>94</v>
      </c>
      <c r="P102" s="15">
        <f t="shared" si="36"/>
        <v>134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4</v>
      </c>
      <c r="E103" s="50">
        <v>2</v>
      </c>
      <c r="F103" s="50">
        <v>60</v>
      </c>
      <c r="G103" s="50">
        <v>14</v>
      </c>
      <c r="H103" s="50">
        <v>2</v>
      </c>
      <c r="I103" s="50">
        <v>7</v>
      </c>
      <c r="J103" s="50">
        <v>2</v>
      </c>
      <c r="K103" s="50">
        <v>0</v>
      </c>
      <c r="L103" s="50">
        <v>0</v>
      </c>
      <c r="M103" s="50">
        <v>29</v>
      </c>
      <c r="N103" s="50">
        <v>0</v>
      </c>
      <c r="O103" s="15">
        <f t="shared" si="35"/>
        <v>99</v>
      </c>
      <c r="P103" s="15">
        <f t="shared" si="36"/>
        <v>128</v>
      </c>
      <c r="R103" s="8"/>
      <c r="T103"/>
    </row>
    <row r="104" spans="2:20" ht="23.1" customHeight="1" x14ac:dyDescent="0.25">
      <c r="B104" s="47" t="s">
        <v>144</v>
      </c>
      <c r="C104" s="50">
        <v>40</v>
      </c>
      <c r="D104" s="50">
        <v>1</v>
      </c>
      <c r="E104" s="50">
        <v>8</v>
      </c>
      <c r="F104" s="50">
        <v>60</v>
      </c>
      <c r="G104" s="50">
        <v>5</v>
      </c>
      <c r="H104" s="50">
        <v>1</v>
      </c>
      <c r="I104" s="50">
        <v>18</v>
      </c>
      <c r="J104" s="50">
        <v>19</v>
      </c>
      <c r="K104" s="50">
        <v>4</v>
      </c>
      <c r="L104" s="50">
        <v>1</v>
      </c>
      <c r="M104" s="50">
        <v>60</v>
      </c>
      <c r="N104" s="50">
        <v>0</v>
      </c>
      <c r="O104" s="15">
        <f t="shared" si="35"/>
        <v>157</v>
      </c>
      <c r="P104" s="15">
        <f t="shared" si="36"/>
        <v>217</v>
      </c>
      <c r="R104" s="8"/>
      <c r="T104"/>
    </row>
    <row r="105" spans="2:20" ht="23.1" customHeight="1" x14ac:dyDescent="0.25">
      <c r="B105" s="45" t="s">
        <v>145</v>
      </c>
      <c r="C105" s="50">
        <v>14</v>
      </c>
      <c r="D105" s="50">
        <v>3</v>
      </c>
      <c r="E105" s="50">
        <v>18</v>
      </c>
      <c r="F105" s="50">
        <v>55</v>
      </c>
      <c r="G105" s="50">
        <v>4</v>
      </c>
      <c r="H105" s="50">
        <v>3</v>
      </c>
      <c r="I105" s="50">
        <v>13</v>
      </c>
      <c r="J105" s="50">
        <v>5</v>
      </c>
      <c r="K105" s="50">
        <v>1</v>
      </c>
      <c r="L105" s="50">
        <v>2</v>
      </c>
      <c r="M105" s="50">
        <v>80</v>
      </c>
      <c r="N105" s="50">
        <v>0</v>
      </c>
      <c r="O105" s="15">
        <f t="shared" si="35"/>
        <v>118</v>
      </c>
      <c r="P105" s="15">
        <f t="shared" si="36"/>
        <v>198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4471</v>
      </c>
      <c r="D106" s="16">
        <f t="shared" ref="D106:P106" si="37">SUM(D10:D105)</f>
        <v>910</v>
      </c>
      <c r="E106" s="16">
        <f t="shared" si="37"/>
        <v>695</v>
      </c>
      <c r="F106" s="16">
        <f t="shared" si="37"/>
        <v>3461</v>
      </c>
      <c r="G106" s="16">
        <f t="shared" si="37"/>
        <v>294</v>
      </c>
      <c r="H106" s="16">
        <f t="shared" si="37"/>
        <v>243</v>
      </c>
      <c r="I106" s="16">
        <f t="shared" si="37"/>
        <v>827</v>
      </c>
      <c r="J106" s="16">
        <f t="shared" si="37"/>
        <v>488</v>
      </c>
      <c r="K106" s="16">
        <f t="shared" si="37"/>
        <v>189</v>
      </c>
      <c r="L106" s="16">
        <f t="shared" si="37"/>
        <v>74</v>
      </c>
      <c r="M106" s="16">
        <f t="shared" si="37"/>
        <v>9225</v>
      </c>
      <c r="N106" s="16">
        <f t="shared" si="37"/>
        <v>0</v>
      </c>
      <c r="O106" s="16">
        <f t="shared" si="37"/>
        <v>11652</v>
      </c>
      <c r="P106" s="16">
        <f t="shared" si="37"/>
        <v>20877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0.21415912247928343</v>
      </c>
      <c r="D107" s="43">
        <f t="shared" si="38"/>
        <v>4.3588638214302824E-2</v>
      </c>
      <c r="E107" s="43">
        <f t="shared" si="38"/>
        <v>3.3290223691143365E-2</v>
      </c>
      <c r="F107" s="43">
        <f t="shared" si="38"/>
        <v>0.16578052402165061</v>
      </c>
      <c r="G107" s="43">
        <f t="shared" si="38"/>
        <v>1.4082483115390142E-2</v>
      </c>
      <c r="H107" s="43">
        <f t="shared" si="38"/>
        <v>1.1639603391291851E-2</v>
      </c>
      <c r="I107" s="43">
        <f t="shared" si="38"/>
        <v>3.9612971212338935E-2</v>
      </c>
      <c r="J107" s="43">
        <f t="shared" si="38"/>
        <v>2.3375005987450303E-2</v>
      </c>
      <c r="K107" s="43">
        <f t="shared" si="38"/>
        <v>9.053024859893663E-3</v>
      </c>
      <c r="L107" s="43">
        <f t="shared" si="38"/>
        <v>3.5445705800641854E-3</v>
      </c>
      <c r="M107" s="43">
        <f t="shared" si="38"/>
        <v>0.4418738324471907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0.38371095090971508</v>
      </c>
      <c r="D108" s="44">
        <f t="shared" ref="D108:N108" si="39">D106/$O$106</f>
        <v>7.8098180569859246E-2</v>
      </c>
      <c r="E108" s="44">
        <f t="shared" si="39"/>
        <v>5.9646412633024372E-2</v>
      </c>
      <c r="F108" s="44">
        <f t="shared" si="39"/>
        <v>0.29703055269481632</v>
      </c>
      <c r="G108" s="44">
        <f t="shared" si="39"/>
        <v>2.5231719876416064E-2</v>
      </c>
      <c r="H108" s="44">
        <f t="shared" si="39"/>
        <v>2.0854788877445931E-2</v>
      </c>
      <c r="I108" s="44">
        <f t="shared" si="39"/>
        <v>7.0974939924476482E-2</v>
      </c>
      <c r="J108" s="44">
        <f t="shared" si="39"/>
        <v>4.1881222107792652E-2</v>
      </c>
      <c r="K108" s="44">
        <f t="shared" si="39"/>
        <v>1.6220391349124615E-2</v>
      </c>
      <c r="L108" s="44">
        <f t="shared" si="39"/>
        <v>6.3508410573292137E-3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J15" sqref="J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Kalerwe-Kampala-24h'!D5</f>
        <v>27.07.19</v>
      </c>
      <c r="E5" s="3"/>
      <c r="F5" s="41" t="s">
        <v>1</v>
      </c>
      <c r="G5" s="65" t="str">
        <f>'27.07 Kalerwe-Kampala-24h'!G5:H5</f>
        <v>Wandegeya</v>
      </c>
      <c r="H5" s="66"/>
      <c r="I5" s="14"/>
      <c r="J5" s="2" t="s">
        <v>5</v>
      </c>
      <c r="K5" s="65" t="s">
        <v>181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'22.07 Kampala-Kalerwe'!G6:H6</f>
        <v>Kalerwe</v>
      </c>
      <c r="H6" s="66"/>
      <c r="J6" s="2" t="s">
        <v>21</v>
      </c>
      <c r="K6" s="65" t="str">
        <f>'27.07 Kalerwe-Kampala-24h'!K6:L6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40</v>
      </c>
      <c r="D10" s="50">
        <v>7</v>
      </c>
      <c r="E10" s="50">
        <v>40</v>
      </c>
      <c r="F10" s="50">
        <v>55</v>
      </c>
      <c r="G10" s="50">
        <v>1</v>
      </c>
      <c r="H10" s="50">
        <v>4</v>
      </c>
      <c r="I10" s="50">
        <v>1</v>
      </c>
      <c r="J10" s="50">
        <v>1</v>
      </c>
      <c r="K10" s="50">
        <v>6</v>
      </c>
      <c r="L10" s="50">
        <v>1</v>
      </c>
      <c r="M10" s="50">
        <v>90</v>
      </c>
      <c r="N10" s="50">
        <v>0</v>
      </c>
      <c r="O10" s="15">
        <f t="shared" ref="O10:O73" si="0">SUM(C10:L10,N10)</f>
        <v>156</v>
      </c>
      <c r="P10" s="15">
        <f t="shared" ref="P10:P73" si="1">SUM(C10:N10)</f>
        <v>246</v>
      </c>
      <c r="R10" s="1" t="s">
        <v>6</v>
      </c>
      <c r="S10" s="17">
        <f t="shared" ref="S10:AF10" si="2">SUM(C10:C13)</f>
        <v>143</v>
      </c>
      <c r="T10" s="17">
        <f t="shared" si="2"/>
        <v>32</v>
      </c>
      <c r="U10" s="17">
        <f t="shared" si="2"/>
        <v>105</v>
      </c>
      <c r="V10" s="17">
        <f t="shared" si="2"/>
        <v>190</v>
      </c>
      <c r="W10" s="17">
        <f t="shared" si="2"/>
        <v>5</v>
      </c>
      <c r="X10" s="17">
        <f t="shared" si="2"/>
        <v>24</v>
      </c>
      <c r="Y10" s="17">
        <f t="shared" si="2"/>
        <v>13</v>
      </c>
      <c r="Z10" s="17">
        <f t="shared" si="2"/>
        <v>13</v>
      </c>
      <c r="AA10" s="17">
        <f t="shared" si="2"/>
        <v>21</v>
      </c>
      <c r="AB10" s="17">
        <f t="shared" si="2"/>
        <v>4</v>
      </c>
      <c r="AC10" s="17">
        <f t="shared" si="2"/>
        <v>410</v>
      </c>
      <c r="AD10" s="17">
        <f t="shared" si="2"/>
        <v>9</v>
      </c>
      <c r="AE10" s="31">
        <f t="shared" si="2"/>
        <v>462</v>
      </c>
      <c r="AF10" s="31">
        <f t="shared" si="2"/>
        <v>752</v>
      </c>
    </row>
    <row r="11" spans="2:32" s="6" customFormat="1" ht="23.1" customHeight="1" x14ac:dyDescent="0.25">
      <c r="B11" s="45" t="s">
        <v>38</v>
      </c>
      <c r="C11" s="50">
        <v>50</v>
      </c>
      <c r="D11" s="50">
        <v>10</v>
      </c>
      <c r="E11" s="50">
        <v>50</v>
      </c>
      <c r="F11" s="50">
        <v>60</v>
      </c>
      <c r="G11" s="50">
        <v>0</v>
      </c>
      <c r="H11" s="50">
        <v>13</v>
      </c>
      <c r="I11" s="50">
        <v>0</v>
      </c>
      <c r="J11" s="50">
        <v>0</v>
      </c>
      <c r="K11" s="50">
        <v>4</v>
      </c>
      <c r="L11" s="50">
        <v>2</v>
      </c>
      <c r="M11" s="50">
        <v>100</v>
      </c>
      <c r="N11" s="50">
        <v>0</v>
      </c>
      <c r="O11" s="15">
        <f t="shared" si="0"/>
        <v>189</v>
      </c>
      <c r="P11" s="15">
        <f t="shared" si="1"/>
        <v>289</v>
      </c>
      <c r="R11" s="1" t="s">
        <v>7</v>
      </c>
      <c r="S11" s="17">
        <f t="shared" ref="S11:AF11" si="3">SUM(C14:C17)</f>
        <v>90</v>
      </c>
      <c r="T11" s="17">
        <f t="shared" si="3"/>
        <v>27</v>
      </c>
      <c r="U11" s="17">
        <f t="shared" si="3"/>
        <v>46</v>
      </c>
      <c r="V11" s="17">
        <f t="shared" si="3"/>
        <v>165</v>
      </c>
      <c r="W11" s="17">
        <f t="shared" si="3"/>
        <v>4</v>
      </c>
      <c r="X11" s="17">
        <f t="shared" si="3"/>
        <v>6</v>
      </c>
      <c r="Y11" s="17">
        <f t="shared" si="3"/>
        <v>35</v>
      </c>
      <c r="Z11" s="17">
        <f t="shared" si="3"/>
        <v>4</v>
      </c>
      <c r="AA11" s="17">
        <f t="shared" si="3"/>
        <v>3</v>
      </c>
      <c r="AB11" s="17">
        <f t="shared" si="3"/>
        <v>1</v>
      </c>
      <c r="AC11" s="17">
        <f t="shared" si="3"/>
        <v>575</v>
      </c>
      <c r="AD11" s="17">
        <f t="shared" si="3"/>
        <v>0</v>
      </c>
      <c r="AE11" s="31">
        <f t="shared" si="3"/>
        <v>381</v>
      </c>
      <c r="AF11" s="31">
        <f t="shared" si="3"/>
        <v>956</v>
      </c>
    </row>
    <row r="12" spans="2:32" ht="23.1" customHeight="1" x14ac:dyDescent="0.25">
      <c r="B12" s="45" t="s">
        <v>39</v>
      </c>
      <c r="C12" s="50">
        <v>23</v>
      </c>
      <c r="D12" s="50">
        <v>7</v>
      </c>
      <c r="E12" s="50">
        <v>5</v>
      </c>
      <c r="F12" s="50">
        <v>40</v>
      </c>
      <c r="G12" s="50">
        <v>2</v>
      </c>
      <c r="H12" s="50">
        <v>3</v>
      </c>
      <c r="I12" s="50">
        <v>8</v>
      </c>
      <c r="J12" s="50">
        <v>10</v>
      </c>
      <c r="K12" s="50">
        <v>4</v>
      </c>
      <c r="L12" s="50">
        <v>0</v>
      </c>
      <c r="M12" s="50">
        <v>85</v>
      </c>
      <c r="N12" s="50">
        <v>0</v>
      </c>
      <c r="O12" s="15">
        <f t="shared" si="0"/>
        <v>102</v>
      </c>
      <c r="P12" s="15">
        <f t="shared" si="1"/>
        <v>187</v>
      </c>
      <c r="R12" s="1" t="s">
        <v>8</v>
      </c>
      <c r="S12" s="17">
        <f t="shared" ref="S12:AF12" si="4">SUM(C18:C21)</f>
        <v>215</v>
      </c>
      <c r="T12" s="17">
        <f t="shared" si="4"/>
        <v>52</v>
      </c>
      <c r="U12" s="17">
        <f t="shared" si="4"/>
        <v>32</v>
      </c>
      <c r="V12" s="17">
        <f t="shared" si="4"/>
        <v>322</v>
      </c>
      <c r="W12" s="17">
        <f t="shared" si="4"/>
        <v>15</v>
      </c>
      <c r="X12" s="17">
        <f t="shared" si="4"/>
        <v>3</v>
      </c>
      <c r="Y12" s="17">
        <f t="shared" si="4"/>
        <v>41</v>
      </c>
      <c r="Z12" s="17">
        <f t="shared" si="4"/>
        <v>10</v>
      </c>
      <c r="AA12" s="17">
        <f t="shared" si="4"/>
        <v>3</v>
      </c>
      <c r="AB12" s="17">
        <f t="shared" si="4"/>
        <v>2</v>
      </c>
      <c r="AC12" s="17">
        <f t="shared" si="4"/>
        <v>580</v>
      </c>
      <c r="AD12" s="17">
        <f t="shared" si="4"/>
        <v>0</v>
      </c>
      <c r="AE12" s="31">
        <f t="shared" si="4"/>
        <v>695</v>
      </c>
      <c r="AF12" s="31">
        <f t="shared" si="4"/>
        <v>1275</v>
      </c>
    </row>
    <row r="13" spans="2:32" ht="23.1" customHeight="1" x14ac:dyDescent="0.25">
      <c r="B13" s="45" t="s">
        <v>40</v>
      </c>
      <c r="C13" s="50">
        <v>30</v>
      </c>
      <c r="D13" s="50">
        <v>8</v>
      </c>
      <c r="E13" s="50">
        <v>10</v>
      </c>
      <c r="F13" s="50">
        <v>35</v>
      </c>
      <c r="G13" s="50">
        <v>2</v>
      </c>
      <c r="H13" s="50">
        <v>4</v>
      </c>
      <c r="I13" s="50">
        <v>4</v>
      </c>
      <c r="J13" s="50">
        <v>2</v>
      </c>
      <c r="K13" s="50">
        <v>7</v>
      </c>
      <c r="L13" s="50">
        <v>1</v>
      </c>
      <c r="M13" s="50">
        <v>135</v>
      </c>
      <c r="N13" s="50">
        <v>9</v>
      </c>
      <c r="O13" s="15">
        <v>15</v>
      </c>
      <c r="P13" s="15">
        <v>30</v>
      </c>
      <c r="R13" s="1" t="s">
        <v>9</v>
      </c>
      <c r="S13" s="17">
        <f t="shared" ref="S13:AF13" si="5">SUM(C22:C25)</f>
        <v>170</v>
      </c>
      <c r="T13" s="17">
        <f t="shared" si="5"/>
        <v>79</v>
      </c>
      <c r="U13" s="17">
        <f t="shared" si="5"/>
        <v>49</v>
      </c>
      <c r="V13" s="17">
        <f t="shared" si="5"/>
        <v>178</v>
      </c>
      <c r="W13" s="17">
        <f t="shared" si="5"/>
        <v>11</v>
      </c>
      <c r="X13" s="17">
        <f t="shared" si="5"/>
        <v>3</v>
      </c>
      <c r="Y13" s="17">
        <f t="shared" si="5"/>
        <v>39</v>
      </c>
      <c r="Z13" s="17">
        <f t="shared" si="5"/>
        <v>15</v>
      </c>
      <c r="AA13" s="17">
        <f t="shared" si="5"/>
        <v>8</v>
      </c>
      <c r="AB13" s="17">
        <f t="shared" si="5"/>
        <v>4</v>
      </c>
      <c r="AC13" s="17">
        <f t="shared" si="5"/>
        <v>468</v>
      </c>
      <c r="AD13" s="17">
        <f t="shared" si="5"/>
        <v>0</v>
      </c>
      <c r="AE13" s="31">
        <f t="shared" si="5"/>
        <v>556</v>
      </c>
      <c r="AF13" s="31">
        <f t="shared" si="5"/>
        <v>1024</v>
      </c>
    </row>
    <row r="14" spans="2:32" ht="23.1" customHeight="1" x14ac:dyDescent="0.25">
      <c r="B14" s="45" t="s">
        <v>41</v>
      </c>
      <c r="C14" s="50">
        <v>30</v>
      </c>
      <c r="D14" s="50">
        <v>9</v>
      </c>
      <c r="E14" s="50">
        <v>15</v>
      </c>
      <c r="F14" s="50">
        <v>30</v>
      </c>
      <c r="G14" s="50">
        <v>2</v>
      </c>
      <c r="H14" s="50">
        <v>1</v>
      </c>
      <c r="I14" s="50">
        <v>7</v>
      </c>
      <c r="J14" s="50">
        <v>1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95</v>
      </c>
      <c r="P14" s="15">
        <f t="shared" si="1"/>
        <v>230</v>
      </c>
      <c r="R14" s="1" t="s">
        <v>10</v>
      </c>
      <c r="S14" s="17">
        <f t="shared" ref="S14:AF14" si="6">SUM(C26:C29)</f>
        <v>159</v>
      </c>
      <c r="T14" s="17">
        <f t="shared" si="6"/>
        <v>11</v>
      </c>
      <c r="U14" s="17">
        <f t="shared" si="6"/>
        <v>6</v>
      </c>
      <c r="V14" s="17">
        <f t="shared" si="6"/>
        <v>150</v>
      </c>
      <c r="W14" s="17">
        <f t="shared" si="6"/>
        <v>6</v>
      </c>
      <c r="X14" s="17">
        <f t="shared" si="6"/>
        <v>0</v>
      </c>
      <c r="Y14" s="17">
        <f t="shared" si="6"/>
        <v>7</v>
      </c>
      <c r="Z14" s="17">
        <f t="shared" si="6"/>
        <v>3</v>
      </c>
      <c r="AA14" s="17">
        <f t="shared" si="6"/>
        <v>3</v>
      </c>
      <c r="AB14" s="17">
        <f t="shared" si="6"/>
        <v>4</v>
      </c>
      <c r="AC14" s="17">
        <f t="shared" si="6"/>
        <v>515</v>
      </c>
      <c r="AD14" s="17">
        <f t="shared" si="6"/>
        <v>0</v>
      </c>
      <c r="AE14" s="31">
        <f t="shared" si="6"/>
        <v>349</v>
      </c>
      <c r="AF14" s="31">
        <f t="shared" si="6"/>
        <v>864</v>
      </c>
    </row>
    <row r="15" spans="2:32" ht="23.1" customHeight="1" x14ac:dyDescent="0.25">
      <c r="B15" s="45" t="s">
        <v>42</v>
      </c>
      <c r="C15" s="50">
        <v>20</v>
      </c>
      <c r="D15" s="50">
        <v>12</v>
      </c>
      <c r="E15" s="50">
        <v>25</v>
      </c>
      <c r="F15" s="50">
        <v>25</v>
      </c>
      <c r="G15" s="50">
        <v>1</v>
      </c>
      <c r="H15" s="50">
        <v>3</v>
      </c>
      <c r="I15" s="50">
        <v>10</v>
      </c>
      <c r="J15" s="50">
        <v>0</v>
      </c>
      <c r="K15" s="50">
        <v>2</v>
      </c>
      <c r="L15" s="50">
        <v>0</v>
      </c>
      <c r="M15" s="50">
        <v>100</v>
      </c>
      <c r="N15" s="50">
        <v>0</v>
      </c>
      <c r="O15" s="15">
        <f t="shared" si="0"/>
        <v>98</v>
      </c>
      <c r="P15" s="15">
        <f t="shared" si="1"/>
        <v>198</v>
      </c>
      <c r="R15" s="1" t="s">
        <v>11</v>
      </c>
      <c r="S15" s="17">
        <f t="shared" ref="S15:AF15" si="7">SUM(C30:C33)</f>
        <v>140</v>
      </c>
      <c r="T15" s="17">
        <f t="shared" si="7"/>
        <v>6</v>
      </c>
      <c r="U15" s="17">
        <f t="shared" si="7"/>
        <v>5</v>
      </c>
      <c r="V15" s="17">
        <f t="shared" si="7"/>
        <v>119</v>
      </c>
      <c r="W15" s="17">
        <f t="shared" si="7"/>
        <v>4</v>
      </c>
      <c r="X15" s="17">
        <f t="shared" si="7"/>
        <v>3</v>
      </c>
      <c r="Y15" s="17">
        <f t="shared" si="7"/>
        <v>6</v>
      </c>
      <c r="Z15" s="17">
        <f t="shared" si="7"/>
        <v>7</v>
      </c>
      <c r="AA15" s="17">
        <f t="shared" si="7"/>
        <v>2</v>
      </c>
      <c r="AB15" s="17">
        <f t="shared" si="7"/>
        <v>3</v>
      </c>
      <c r="AC15" s="17">
        <f t="shared" si="7"/>
        <v>538</v>
      </c>
      <c r="AD15" s="17">
        <f t="shared" si="7"/>
        <v>0</v>
      </c>
      <c r="AE15" s="31">
        <f t="shared" si="7"/>
        <v>295</v>
      </c>
      <c r="AF15" s="31">
        <f t="shared" si="7"/>
        <v>833</v>
      </c>
    </row>
    <row r="16" spans="2:32" ht="23.1" customHeight="1" x14ac:dyDescent="0.25">
      <c r="B16" s="45" t="s">
        <v>43</v>
      </c>
      <c r="C16" s="50">
        <v>15</v>
      </c>
      <c r="D16" s="50">
        <v>4</v>
      </c>
      <c r="E16" s="50">
        <v>3</v>
      </c>
      <c r="F16" s="50">
        <v>60</v>
      </c>
      <c r="G16" s="50">
        <v>0</v>
      </c>
      <c r="H16" s="50">
        <v>0</v>
      </c>
      <c r="I16" s="50">
        <v>8</v>
      </c>
      <c r="J16" s="50">
        <v>2</v>
      </c>
      <c r="K16" s="50">
        <v>0</v>
      </c>
      <c r="L16" s="50">
        <v>0</v>
      </c>
      <c r="M16" s="50">
        <v>155</v>
      </c>
      <c r="N16" s="50">
        <v>0</v>
      </c>
      <c r="O16" s="15">
        <f t="shared" si="0"/>
        <v>92</v>
      </c>
      <c r="P16" s="15">
        <f t="shared" si="1"/>
        <v>247</v>
      </c>
      <c r="R16" s="1" t="s">
        <v>12</v>
      </c>
      <c r="S16" s="17">
        <f t="shared" ref="S16:AF16" si="8">SUM(C34:C37)</f>
        <v>135</v>
      </c>
      <c r="T16" s="17">
        <f t="shared" si="8"/>
        <v>4</v>
      </c>
      <c r="U16" s="17">
        <f t="shared" si="8"/>
        <v>14</v>
      </c>
      <c r="V16" s="17">
        <f t="shared" si="8"/>
        <v>146</v>
      </c>
      <c r="W16" s="17">
        <f t="shared" si="8"/>
        <v>8</v>
      </c>
      <c r="X16" s="17">
        <f t="shared" si="8"/>
        <v>3</v>
      </c>
      <c r="Y16" s="17">
        <f t="shared" si="8"/>
        <v>18</v>
      </c>
      <c r="Z16" s="17">
        <f t="shared" si="8"/>
        <v>3</v>
      </c>
      <c r="AA16" s="17">
        <f t="shared" si="8"/>
        <v>3</v>
      </c>
      <c r="AB16" s="17">
        <f t="shared" si="8"/>
        <v>3</v>
      </c>
      <c r="AC16" s="17">
        <f t="shared" si="8"/>
        <v>570</v>
      </c>
      <c r="AD16" s="17">
        <f t="shared" si="8"/>
        <v>0</v>
      </c>
      <c r="AE16" s="31">
        <f t="shared" si="8"/>
        <v>337</v>
      </c>
      <c r="AF16" s="31">
        <f t="shared" si="8"/>
        <v>907</v>
      </c>
    </row>
    <row r="17" spans="2:32" ht="23.1" customHeight="1" x14ac:dyDescent="0.25">
      <c r="B17" s="45" t="s">
        <v>44</v>
      </c>
      <c r="C17" s="50">
        <v>25</v>
      </c>
      <c r="D17" s="50">
        <v>2</v>
      </c>
      <c r="E17" s="50">
        <v>3</v>
      </c>
      <c r="F17" s="50">
        <v>50</v>
      </c>
      <c r="G17" s="50">
        <v>1</v>
      </c>
      <c r="H17" s="50">
        <v>2</v>
      </c>
      <c r="I17" s="50">
        <v>10</v>
      </c>
      <c r="J17" s="50">
        <v>1</v>
      </c>
      <c r="K17" s="50">
        <v>1</v>
      </c>
      <c r="L17" s="50">
        <v>1</v>
      </c>
      <c r="M17" s="50">
        <v>185</v>
      </c>
      <c r="N17" s="50">
        <v>0</v>
      </c>
      <c r="O17" s="15">
        <f t="shared" si="0"/>
        <v>96</v>
      </c>
      <c r="P17" s="15">
        <f t="shared" si="1"/>
        <v>281</v>
      </c>
      <c r="R17" s="1" t="s">
        <v>13</v>
      </c>
      <c r="S17" s="17">
        <f t="shared" ref="S17:AF17" si="9">SUM(C38:C41)</f>
        <v>160</v>
      </c>
      <c r="T17" s="17">
        <f t="shared" si="9"/>
        <v>25</v>
      </c>
      <c r="U17" s="17">
        <f t="shared" si="9"/>
        <v>6</v>
      </c>
      <c r="V17" s="17">
        <f t="shared" si="9"/>
        <v>140</v>
      </c>
      <c r="W17" s="17">
        <f t="shared" si="9"/>
        <v>9</v>
      </c>
      <c r="X17" s="17">
        <f t="shared" si="9"/>
        <v>3</v>
      </c>
      <c r="Y17" s="17">
        <f t="shared" si="9"/>
        <v>45</v>
      </c>
      <c r="Z17" s="17">
        <f t="shared" si="9"/>
        <v>6</v>
      </c>
      <c r="AA17" s="17">
        <f t="shared" si="9"/>
        <v>4</v>
      </c>
      <c r="AB17" s="17">
        <f t="shared" si="9"/>
        <v>5</v>
      </c>
      <c r="AC17" s="17">
        <f t="shared" si="9"/>
        <v>778</v>
      </c>
      <c r="AD17" s="17">
        <f t="shared" si="9"/>
        <v>0</v>
      </c>
      <c r="AE17" s="31">
        <f t="shared" si="9"/>
        <v>403</v>
      </c>
      <c r="AF17" s="31">
        <f t="shared" si="9"/>
        <v>1181</v>
      </c>
    </row>
    <row r="18" spans="2:32" ht="23.1" customHeight="1" x14ac:dyDescent="0.25">
      <c r="B18" s="45" t="s">
        <v>45</v>
      </c>
      <c r="C18" s="50">
        <v>35</v>
      </c>
      <c r="D18" s="50">
        <v>15</v>
      </c>
      <c r="E18" s="50">
        <v>9</v>
      </c>
      <c r="F18" s="50">
        <v>60</v>
      </c>
      <c r="G18" s="50">
        <v>9</v>
      </c>
      <c r="H18" s="50">
        <v>1</v>
      </c>
      <c r="I18" s="50">
        <v>8</v>
      </c>
      <c r="J18" s="50">
        <v>4</v>
      </c>
      <c r="K18" s="50">
        <v>1</v>
      </c>
      <c r="L18" s="50">
        <v>0</v>
      </c>
      <c r="M18" s="50">
        <v>140</v>
      </c>
      <c r="N18" s="50">
        <v>0</v>
      </c>
      <c r="O18" s="15">
        <f t="shared" si="0"/>
        <v>142</v>
      </c>
      <c r="P18" s="15">
        <f t="shared" si="1"/>
        <v>282</v>
      </c>
      <c r="R18" s="1" t="s">
        <v>14</v>
      </c>
      <c r="S18" s="17">
        <f t="shared" ref="S18:AF18" si="10">SUM(C42:C45)</f>
        <v>188</v>
      </c>
      <c r="T18" s="17">
        <f t="shared" si="10"/>
        <v>26</v>
      </c>
      <c r="U18" s="17">
        <f t="shared" si="10"/>
        <v>19</v>
      </c>
      <c r="V18" s="17">
        <f t="shared" si="10"/>
        <v>185</v>
      </c>
      <c r="W18" s="17">
        <f t="shared" si="10"/>
        <v>18</v>
      </c>
      <c r="X18" s="17">
        <f t="shared" si="10"/>
        <v>3</v>
      </c>
      <c r="Y18" s="17">
        <f t="shared" si="10"/>
        <v>27</v>
      </c>
      <c r="Z18" s="17">
        <f t="shared" si="10"/>
        <v>8</v>
      </c>
      <c r="AA18" s="17">
        <f t="shared" si="10"/>
        <v>6</v>
      </c>
      <c r="AB18" s="17">
        <f t="shared" si="10"/>
        <v>4</v>
      </c>
      <c r="AC18" s="17">
        <f t="shared" si="10"/>
        <v>640</v>
      </c>
      <c r="AD18" s="17">
        <f t="shared" si="10"/>
        <v>0</v>
      </c>
      <c r="AE18" s="31">
        <f t="shared" si="10"/>
        <v>484</v>
      </c>
      <c r="AF18" s="31">
        <f t="shared" si="10"/>
        <v>1124</v>
      </c>
    </row>
    <row r="19" spans="2:32" ht="23.1" customHeight="1" x14ac:dyDescent="0.25">
      <c r="B19" s="45" t="s">
        <v>46</v>
      </c>
      <c r="C19" s="50">
        <v>40</v>
      </c>
      <c r="D19" s="50">
        <v>9</v>
      </c>
      <c r="E19" s="50">
        <v>12</v>
      </c>
      <c r="F19" s="50">
        <v>100</v>
      </c>
      <c r="G19" s="50">
        <v>5</v>
      </c>
      <c r="H19" s="50">
        <v>0</v>
      </c>
      <c r="I19" s="50">
        <v>12</v>
      </c>
      <c r="J19" s="50">
        <v>2</v>
      </c>
      <c r="K19" s="50">
        <v>0</v>
      </c>
      <c r="L19" s="50">
        <v>2</v>
      </c>
      <c r="M19" s="50">
        <v>150</v>
      </c>
      <c r="N19" s="50">
        <v>0</v>
      </c>
      <c r="O19" s="15">
        <f t="shared" si="0"/>
        <v>182</v>
      </c>
      <c r="P19" s="15">
        <f t="shared" si="1"/>
        <v>332</v>
      </c>
      <c r="R19" s="1" t="s">
        <v>15</v>
      </c>
      <c r="S19" s="17">
        <f t="shared" ref="S19:AF19" si="11">SUM(C46:C49)</f>
        <v>170</v>
      </c>
      <c r="T19" s="17">
        <f t="shared" si="11"/>
        <v>32</v>
      </c>
      <c r="U19" s="17">
        <f t="shared" si="11"/>
        <v>9</v>
      </c>
      <c r="V19" s="17">
        <f t="shared" si="11"/>
        <v>141</v>
      </c>
      <c r="W19" s="17">
        <f t="shared" si="11"/>
        <v>6</v>
      </c>
      <c r="X19" s="17">
        <f t="shared" si="11"/>
        <v>5</v>
      </c>
      <c r="Y19" s="17">
        <f t="shared" si="11"/>
        <v>41</v>
      </c>
      <c r="Z19" s="17">
        <f t="shared" si="11"/>
        <v>4</v>
      </c>
      <c r="AA19" s="17">
        <f t="shared" si="11"/>
        <v>2</v>
      </c>
      <c r="AB19" s="17">
        <f t="shared" si="11"/>
        <v>3</v>
      </c>
      <c r="AC19" s="17">
        <f t="shared" si="11"/>
        <v>635</v>
      </c>
      <c r="AD19" s="17">
        <f t="shared" si="11"/>
        <v>0</v>
      </c>
      <c r="AE19" s="31">
        <f t="shared" si="11"/>
        <v>413</v>
      </c>
      <c r="AF19" s="31">
        <f t="shared" si="11"/>
        <v>1048</v>
      </c>
    </row>
    <row r="20" spans="2:32" ht="23.1" customHeight="1" x14ac:dyDescent="0.25">
      <c r="B20" s="45" t="s">
        <v>47</v>
      </c>
      <c r="C20" s="50">
        <v>60</v>
      </c>
      <c r="D20" s="50">
        <v>13</v>
      </c>
      <c r="E20" s="50">
        <v>2</v>
      </c>
      <c r="F20" s="50">
        <v>110</v>
      </c>
      <c r="G20" s="50">
        <v>1</v>
      </c>
      <c r="H20" s="50">
        <v>1</v>
      </c>
      <c r="I20" s="50">
        <v>16</v>
      </c>
      <c r="J20" s="50">
        <v>4</v>
      </c>
      <c r="K20" s="50">
        <v>1</v>
      </c>
      <c r="L20" s="50">
        <v>0</v>
      </c>
      <c r="M20" s="50">
        <v>135</v>
      </c>
      <c r="N20" s="50">
        <v>0</v>
      </c>
      <c r="O20" s="15">
        <f t="shared" si="0"/>
        <v>208</v>
      </c>
      <c r="P20" s="15">
        <f t="shared" si="1"/>
        <v>343</v>
      </c>
      <c r="R20" s="1" t="s">
        <v>16</v>
      </c>
      <c r="S20" s="17">
        <f t="shared" ref="S20:AF20" si="12">SUM(C50:C53)</f>
        <v>178</v>
      </c>
      <c r="T20" s="17">
        <f t="shared" si="12"/>
        <v>28</v>
      </c>
      <c r="U20" s="17">
        <f t="shared" si="12"/>
        <v>16</v>
      </c>
      <c r="V20" s="17">
        <f t="shared" si="12"/>
        <v>160</v>
      </c>
      <c r="W20" s="17">
        <f t="shared" si="12"/>
        <v>11</v>
      </c>
      <c r="X20" s="17">
        <f t="shared" si="12"/>
        <v>3</v>
      </c>
      <c r="Y20" s="17">
        <f t="shared" si="12"/>
        <v>34</v>
      </c>
      <c r="Z20" s="17">
        <f t="shared" si="12"/>
        <v>4</v>
      </c>
      <c r="AA20" s="17">
        <f t="shared" si="12"/>
        <v>6</v>
      </c>
      <c r="AB20" s="17">
        <f t="shared" si="12"/>
        <v>3</v>
      </c>
      <c r="AC20" s="17">
        <f t="shared" si="12"/>
        <v>650</v>
      </c>
      <c r="AD20" s="17">
        <f t="shared" si="12"/>
        <v>0</v>
      </c>
      <c r="AE20" s="31">
        <f t="shared" si="12"/>
        <v>443</v>
      </c>
      <c r="AF20" s="31">
        <f t="shared" si="12"/>
        <v>1093</v>
      </c>
    </row>
    <row r="21" spans="2:32" ht="23.1" customHeight="1" x14ac:dyDescent="0.25">
      <c r="B21" s="45" t="s">
        <v>48</v>
      </c>
      <c r="C21" s="50">
        <v>80</v>
      </c>
      <c r="D21" s="50">
        <v>15</v>
      </c>
      <c r="E21" s="50">
        <v>9</v>
      </c>
      <c r="F21" s="50">
        <v>52</v>
      </c>
      <c r="G21" s="50">
        <v>0</v>
      </c>
      <c r="H21" s="50">
        <v>1</v>
      </c>
      <c r="I21" s="50">
        <v>5</v>
      </c>
      <c r="J21" s="50">
        <v>0</v>
      </c>
      <c r="K21" s="50">
        <v>1</v>
      </c>
      <c r="L21" s="50">
        <v>0</v>
      </c>
      <c r="M21" s="50">
        <v>155</v>
      </c>
      <c r="N21" s="50">
        <v>0</v>
      </c>
      <c r="O21" s="15">
        <f t="shared" si="0"/>
        <v>163</v>
      </c>
      <c r="P21" s="15">
        <f t="shared" si="1"/>
        <v>318</v>
      </c>
      <c r="R21" s="36" t="s">
        <v>20</v>
      </c>
      <c r="S21" s="34">
        <f t="shared" ref="S21:AF21" si="13">SUM(C54:C57)</f>
        <v>160</v>
      </c>
      <c r="T21" s="17">
        <f t="shared" si="13"/>
        <v>8</v>
      </c>
      <c r="U21" s="17">
        <f t="shared" si="13"/>
        <v>8</v>
      </c>
      <c r="V21" s="17">
        <f t="shared" si="13"/>
        <v>156</v>
      </c>
      <c r="W21" s="17">
        <f t="shared" si="13"/>
        <v>9</v>
      </c>
      <c r="X21" s="17">
        <f t="shared" si="13"/>
        <v>2</v>
      </c>
      <c r="Y21" s="17">
        <f t="shared" si="13"/>
        <v>36</v>
      </c>
      <c r="Z21" s="17">
        <f t="shared" si="13"/>
        <v>7</v>
      </c>
      <c r="AA21" s="17">
        <f t="shared" si="13"/>
        <v>9</v>
      </c>
      <c r="AB21" s="17">
        <f t="shared" si="13"/>
        <v>2</v>
      </c>
      <c r="AC21" s="17">
        <f t="shared" si="13"/>
        <v>560</v>
      </c>
      <c r="AD21" s="17">
        <f t="shared" si="13"/>
        <v>0</v>
      </c>
      <c r="AE21" s="31">
        <f t="shared" si="13"/>
        <v>397</v>
      </c>
      <c r="AF21" s="31">
        <f t="shared" si="13"/>
        <v>957</v>
      </c>
    </row>
    <row r="22" spans="2:32" ht="23.1" customHeight="1" x14ac:dyDescent="0.25">
      <c r="B22" s="45" t="s">
        <v>49</v>
      </c>
      <c r="C22" s="50">
        <v>45</v>
      </c>
      <c r="D22" s="50">
        <v>20</v>
      </c>
      <c r="E22" s="50">
        <v>8</v>
      </c>
      <c r="F22" s="50">
        <v>40</v>
      </c>
      <c r="G22" s="50">
        <v>0</v>
      </c>
      <c r="H22" s="50">
        <v>1</v>
      </c>
      <c r="I22" s="50">
        <v>8</v>
      </c>
      <c r="J22" s="50">
        <v>2</v>
      </c>
      <c r="K22" s="50">
        <v>3</v>
      </c>
      <c r="L22" s="50">
        <v>1</v>
      </c>
      <c r="M22" s="50">
        <v>110</v>
      </c>
      <c r="N22" s="50">
        <v>0</v>
      </c>
      <c r="O22" s="15">
        <f t="shared" si="0"/>
        <v>128</v>
      </c>
      <c r="P22" s="15">
        <f t="shared" si="1"/>
        <v>238</v>
      </c>
      <c r="R22" s="36" t="s">
        <v>146</v>
      </c>
      <c r="S22" s="34">
        <f>SUM(C58:C61)</f>
        <v>141</v>
      </c>
      <c r="T22" s="34">
        <f t="shared" ref="T22:AF22" si="14">SUM(D58:D61)</f>
        <v>107</v>
      </c>
      <c r="U22" s="34">
        <f t="shared" si="14"/>
        <v>7</v>
      </c>
      <c r="V22" s="34">
        <f t="shared" si="14"/>
        <v>158</v>
      </c>
      <c r="W22" s="34">
        <f t="shared" si="14"/>
        <v>11</v>
      </c>
      <c r="X22" s="34">
        <f t="shared" si="14"/>
        <v>0</v>
      </c>
      <c r="Y22" s="34">
        <f t="shared" si="14"/>
        <v>30</v>
      </c>
      <c r="Z22" s="34">
        <f t="shared" si="14"/>
        <v>14</v>
      </c>
      <c r="AA22" s="34">
        <f t="shared" si="14"/>
        <v>8</v>
      </c>
      <c r="AB22" s="34">
        <f t="shared" si="14"/>
        <v>9</v>
      </c>
      <c r="AC22" s="34">
        <f t="shared" si="14"/>
        <v>623</v>
      </c>
      <c r="AD22" s="34">
        <f t="shared" si="14"/>
        <v>0</v>
      </c>
      <c r="AE22" s="31">
        <f t="shared" si="14"/>
        <v>485</v>
      </c>
      <c r="AF22" s="31">
        <f t="shared" si="14"/>
        <v>1108</v>
      </c>
    </row>
    <row r="23" spans="2:32" ht="23.1" customHeight="1" x14ac:dyDescent="0.25">
      <c r="B23" s="45" t="s">
        <v>50</v>
      </c>
      <c r="C23" s="50">
        <v>35</v>
      </c>
      <c r="D23" s="50">
        <v>25</v>
      </c>
      <c r="E23" s="50">
        <v>12</v>
      </c>
      <c r="F23" s="50">
        <v>45</v>
      </c>
      <c r="G23" s="50">
        <v>8</v>
      </c>
      <c r="H23" s="50">
        <v>1</v>
      </c>
      <c r="I23" s="50">
        <v>7</v>
      </c>
      <c r="J23" s="50">
        <v>1</v>
      </c>
      <c r="K23" s="50">
        <v>2</v>
      </c>
      <c r="L23" s="50">
        <v>2</v>
      </c>
      <c r="M23" s="50">
        <v>113</v>
      </c>
      <c r="N23" s="50">
        <v>0</v>
      </c>
      <c r="O23" s="15">
        <f t="shared" si="0"/>
        <v>138</v>
      </c>
      <c r="P23" s="15">
        <f t="shared" si="1"/>
        <v>251</v>
      </c>
      <c r="R23" s="36" t="s">
        <v>147</v>
      </c>
      <c r="S23" s="34">
        <f>SUM(C62:C65)</f>
        <v>190</v>
      </c>
      <c r="T23" s="34">
        <f t="shared" ref="T23:AF23" si="15">SUM(D62:D65)</f>
        <v>124</v>
      </c>
      <c r="U23" s="34">
        <f t="shared" si="15"/>
        <v>17</v>
      </c>
      <c r="V23" s="34">
        <f t="shared" si="15"/>
        <v>181</v>
      </c>
      <c r="W23" s="34">
        <f t="shared" si="15"/>
        <v>13</v>
      </c>
      <c r="X23" s="34">
        <f t="shared" si="15"/>
        <v>8</v>
      </c>
      <c r="Y23" s="34">
        <f t="shared" si="15"/>
        <v>22</v>
      </c>
      <c r="Z23" s="34">
        <f t="shared" si="15"/>
        <v>9</v>
      </c>
      <c r="AA23" s="34">
        <f t="shared" si="15"/>
        <v>3</v>
      </c>
      <c r="AB23" s="34">
        <f t="shared" si="15"/>
        <v>3</v>
      </c>
      <c r="AC23" s="34">
        <f t="shared" si="15"/>
        <v>660</v>
      </c>
      <c r="AD23" s="34">
        <f t="shared" si="15"/>
        <v>1</v>
      </c>
      <c r="AE23" s="31">
        <f t="shared" si="15"/>
        <v>571</v>
      </c>
      <c r="AF23" s="31">
        <f t="shared" si="15"/>
        <v>1231</v>
      </c>
    </row>
    <row r="24" spans="2:32" ht="23.1" customHeight="1" x14ac:dyDescent="0.25">
      <c r="B24" s="45" t="s">
        <v>51</v>
      </c>
      <c r="C24" s="50">
        <v>50</v>
      </c>
      <c r="D24" s="50">
        <v>15</v>
      </c>
      <c r="E24" s="50">
        <v>17</v>
      </c>
      <c r="F24" s="50">
        <v>43</v>
      </c>
      <c r="G24" s="50">
        <v>0</v>
      </c>
      <c r="H24" s="50">
        <v>0</v>
      </c>
      <c r="I24" s="50">
        <v>15</v>
      </c>
      <c r="J24" s="50">
        <v>0</v>
      </c>
      <c r="K24" s="50">
        <v>1</v>
      </c>
      <c r="L24" s="50">
        <v>0</v>
      </c>
      <c r="M24" s="50">
        <v>115</v>
      </c>
      <c r="N24" s="50">
        <v>0</v>
      </c>
      <c r="O24" s="15">
        <f t="shared" si="0"/>
        <v>141</v>
      </c>
      <c r="P24" s="15">
        <f t="shared" si="1"/>
        <v>256</v>
      </c>
      <c r="R24" s="36" t="s">
        <v>148</v>
      </c>
      <c r="S24" s="34">
        <f>SUM(C66:C69)</f>
        <v>164</v>
      </c>
      <c r="T24" s="34">
        <f t="shared" ref="T24:AF24" si="16">SUM(D66:D69)</f>
        <v>53</v>
      </c>
      <c r="U24" s="34">
        <f t="shared" si="16"/>
        <v>11</v>
      </c>
      <c r="V24" s="34">
        <f t="shared" si="16"/>
        <v>80</v>
      </c>
      <c r="W24" s="34">
        <f t="shared" si="16"/>
        <v>8</v>
      </c>
      <c r="X24" s="34">
        <f t="shared" si="16"/>
        <v>9</v>
      </c>
      <c r="Y24" s="34">
        <f t="shared" si="16"/>
        <v>16</v>
      </c>
      <c r="Z24" s="34">
        <f t="shared" si="16"/>
        <v>14</v>
      </c>
      <c r="AA24" s="34">
        <f t="shared" si="16"/>
        <v>0</v>
      </c>
      <c r="AB24" s="34">
        <f t="shared" si="16"/>
        <v>1</v>
      </c>
      <c r="AC24" s="34">
        <f t="shared" si="16"/>
        <v>764</v>
      </c>
      <c r="AD24" s="34">
        <f t="shared" si="16"/>
        <v>0</v>
      </c>
      <c r="AE24" s="31">
        <f t="shared" si="16"/>
        <v>356</v>
      </c>
      <c r="AF24" s="31">
        <f t="shared" si="16"/>
        <v>1120</v>
      </c>
    </row>
    <row r="25" spans="2:32" ht="23.1" customHeight="1" x14ac:dyDescent="0.25">
      <c r="B25" s="45" t="s">
        <v>52</v>
      </c>
      <c r="C25" s="50">
        <v>40</v>
      </c>
      <c r="D25" s="50">
        <v>19</v>
      </c>
      <c r="E25" s="50">
        <v>12</v>
      </c>
      <c r="F25" s="50">
        <v>50</v>
      </c>
      <c r="G25" s="50">
        <v>3</v>
      </c>
      <c r="H25" s="50">
        <v>1</v>
      </c>
      <c r="I25" s="50">
        <v>9</v>
      </c>
      <c r="J25" s="50">
        <v>12</v>
      </c>
      <c r="K25" s="50">
        <v>2</v>
      </c>
      <c r="L25" s="50">
        <v>1</v>
      </c>
      <c r="M25" s="50">
        <v>130</v>
      </c>
      <c r="N25" s="50">
        <v>0</v>
      </c>
      <c r="O25" s="15">
        <f t="shared" si="0"/>
        <v>149</v>
      </c>
      <c r="P25" s="15">
        <f t="shared" si="1"/>
        <v>279</v>
      </c>
      <c r="R25" s="36" t="s">
        <v>149</v>
      </c>
      <c r="S25" s="34">
        <f>SUM(C70:C73)</f>
        <v>195</v>
      </c>
      <c r="T25" s="34">
        <f t="shared" ref="T25:AF25" si="17">SUM(D70:D73)</f>
        <v>99</v>
      </c>
      <c r="U25" s="34">
        <f t="shared" si="17"/>
        <v>1</v>
      </c>
      <c r="V25" s="34">
        <f t="shared" si="17"/>
        <v>114</v>
      </c>
      <c r="W25" s="34">
        <f t="shared" si="17"/>
        <v>32</v>
      </c>
      <c r="X25" s="34">
        <f t="shared" si="17"/>
        <v>4</v>
      </c>
      <c r="Y25" s="34">
        <f t="shared" si="17"/>
        <v>4</v>
      </c>
      <c r="Z25" s="34">
        <f t="shared" si="17"/>
        <v>10</v>
      </c>
      <c r="AA25" s="34">
        <f t="shared" si="17"/>
        <v>4</v>
      </c>
      <c r="AB25" s="34">
        <f t="shared" si="17"/>
        <v>3</v>
      </c>
      <c r="AC25" s="34">
        <f t="shared" si="17"/>
        <v>535</v>
      </c>
      <c r="AD25" s="34">
        <f t="shared" si="17"/>
        <v>0</v>
      </c>
      <c r="AE25" s="31">
        <f t="shared" si="17"/>
        <v>466</v>
      </c>
      <c r="AF25" s="31">
        <f t="shared" si="17"/>
        <v>1001</v>
      </c>
    </row>
    <row r="26" spans="2:32" ht="23.1" customHeight="1" x14ac:dyDescent="0.25">
      <c r="B26" s="45" t="s">
        <v>53</v>
      </c>
      <c r="C26" s="50">
        <v>39</v>
      </c>
      <c r="D26" s="50">
        <v>5</v>
      </c>
      <c r="E26" s="50">
        <v>1</v>
      </c>
      <c r="F26" s="50">
        <v>40</v>
      </c>
      <c r="G26" s="50">
        <v>2</v>
      </c>
      <c r="H26" s="50">
        <v>0</v>
      </c>
      <c r="I26" s="50">
        <v>2</v>
      </c>
      <c r="J26" s="50">
        <v>3</v>
      </c>
      <c r="K26" s="50">
        <v>0</v>
      </c>
      <c r="L26" s="50">
        <v>1</v>
      </c>
      <c r="M26" s="50">
        <v>120</v>
      </c>
      <c r="N26" s="50">
        <v>0</v>
      </c>
      <c r="O26" s="15">
        <f t="shared" si="0"/>
        <v>93</v>
      </c>
      <c r="P26" s="15">
        <f t="shared" si="1"/>
        <v>213</v>
      </c>
      <c r="R26" s="36" t="s">
        <v>150</v>
      </c>
      <c r="S26" s="34">
        <f>SUM(C74:C77)</f>
        <v>113</v>
      </c>
      <c r="T26" s="34">
        <f t="shared" ref="T26:AF26" si="18">SUM(D74:D77)</f>
        <v>63</v>
      </c>
      <c r="U26" s="34">
        <f t="shared" si="18"/>
        <v>3</v>
      </c>
      <c r="V26" s="34">
        <f t="shared" si="18"/>
        <v>90</v>
      </c>
      <c r="W26" s="34">
        <f t="shared" si="18"/>
        <v>0</v>
      </c>
      <c r="X26" s="34">
        <f t="shared" si="18"/>
        <v>0</v>
      </c>
      <c r="Y26" s="34">
        <f t="shared" si="18"/>
        <v>12</v>
      </c>
      <c r="Z26" s="34">
        <f t="shared" si="18"/>
        <v>6</v>
      </c>
      <c r="AA26" s="34">
        <f t="shared" si="18"/>
        <v>7</v>
      </c>
      <c r="AB26" s="34">
        <f t="shared" si="18"/>
        <v>10</v>
      </c>
      <c r="AC26" s="34">
        <f t="shared" si="18"/>
        <v>285</v>
      </c>
      <c r="AD26" s="34">
        <f t="shared" si="18"/>
        <v>0</v>
      </c>
      <c r="AE26" s="31">
        <f t="shared" si="18"/>
        <v>304</v>
      </c>
      <c r="AF26" s="31">
        <f t="shared" si="18"/>
        <v>589</v>
      </c>
    </row>
    <row r="27" spans="2:32" ht="23.1" customHeight="1" x14ac:dyDescent="0.25">
      <c r="B27" s="45" t="s">
        <v>54</v>
      </c>
      <c r="C27" s="50">
        <v>30</v>
      </c>
      <c r="D27" s="50">
        <v>3</v>
      </c>
      <c r="E27" s="50">
        <v>2</v>
      </c>
      <c r="F27" s="50">
        <v>35</v>
      </c>
      <c r="G27" s="50">
        <v>0</v>
      </c>
      <c r="H27" s="50">
        <v>0</v>
      </c>
      <c r="I27" s="50">
        <v>0</v>
      </c>
      <c r="J27" s="50">
        <v>0</v>
      </c>
      <c r="K27" s="50">
        <v>2</v>
      </c>
      <c r="L27" s="50">
        <v>0</v>
      </c>
      <c r="M27" s="50">
        <v>130</v>
      </c>
      <c r="N27" s="50">
        <v>0</v>
      </c>
      <c r="O27" s="15">
        <f t="shared" si="0"/>
        <v>72</v>
      </c>
      <c r="P27" s="15">
        <f t="shared" si="1"/>
        <v>202</v>
      </c>
      <c r="R27" s="36" t="s">
        <v>151</v>
      </c>
      <c r="S27" s="34">
        <f>SUM(C78:C81)</f>
        <v>37</v>
      </c>
      <c r="T27" s="34">
        <f t="shared" ref="T27:AF27" si="19">SUM(D78:D81)</f>
        <v>35</v>
      </c>
      <c r="U27" s="34">
        <f t="shared" si="19"/>
        <v>3</v>
      </c>
      <c r="V27" s="34">
        <f t="shared" si="19"/>
        <v>30</v>
      </c>
      <c r="W27" s="34">
        <f t="shared" si="19"/>
        <v>0</v>
      </c>
      <c r="X27" s="34">
        <f t="shared" si="19"/>
        <v>0</v>
      </c>
      <c r="Y27" s="34">
        <f t="shared" si="19"/>
        <v>16</v>
      </c>
      <c r="Z27" s="34">
        <f t="shared" si="19"/>
        <v>11</v>
      </c>
      <c r="AA27" s="34">
        <f t="shared" si="19"/>
        <v>8</v>
      </c>
      <c r="AB27" s="34">
        <f t="shared" si="19"/>
        <v>7</v>
      </c>
      <c r="AC27" s="34">
        <f t="shared" si="19"/>
        <v>295</v>
      </c>
      <c r="AD27" s="34">
        <f t="shared" si="19"/>
        <v>0</v>
      </c>
      <c r="AE27" s="31">
        <f t="shared" si="19"/>
        <v>147</v>
      </c>
      <c r="AF27" s="31">
        <f t="shared" si="19"/>
        <v>442</v>
      </c>
    </row>
    <row r="28" spans="2:32" ht="23.1" customHeight="1" x14ac:dyDescent="0.25">
      <c r="B28" s="45" t="s">
        <v>55</v>
      </c>
      <c r="C28" s="50">
        <v>40</v>
      </c>
      <c r="D28" s="50">
        <v>2</v>
      </c>
      <c r="E28" s="50">
        <v>2</v>
      </c>
      <c r="F28" s="50">
        <v>45</v>
      </c>
      <c r="G28" s="50">
        <v>3</v>
      </c>
      <c r="H28" s="50">
        <v>0</v>
      </c>
      <c r="I28" s="50">
        <v>3</v>
      </c>
      <c r="J28" s="50">
        <v>0</v>
      </c>
      <c r="K28" s="50">
        <v>1</v>
      </c>
      <c r="L28" s="50">
        <v>2</v>
      </c>
      <c r="M28" s="50">
        <v>140</v>
      </c>
      <c r="N28" s="50">
        <v>0</v>
      </c>
      <c r="O28" s="15">
        <f t="shared" si="0"/>
        <v>98</v>
      </c>
      <c r="P28" s="15">
        <f t="shared" si="1"/>
        <v>238</v>
      </c>
      <c r="R28" s="36" t="s">
        <v>152</v>
      </c>
      <c r="S28" s="34">
        <f>SUM(C82:C85)</f>
        <v>64</v>
      </c>
      <c r="T28" s="34">
        <f t="shared" ref="T28:AF28" si="20">SUM(D82:D85)</f>
        <v>63</v>
      </c>
      <c r="U28" s="34">
        <f t="shared" si="20"/>
        <v>1</v>
      </c>
      <c r="V28" s="34">
        <f t="shared" si="20"/>
        <v>33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12</v>
      </c>
      <c r="AA28" s="34">
        <f t="shared" si="20"/>
        <v>11</v>
      </c>
      <c r="AB28" s="34">
        <f t="shared" si="20"/>
        <v>3</v>
      </c>
      <c r="AC28" s="34">
        <f t="shared" si="20"/>
        <v>185</v>
      </c>
      <c r="AD28" s="34">
        <f t="shared" si="20"/>
        <v>0</v>
      </c>
      <c r="AE28" s="31">
        <f t="shared" si="20"/>
        <v>192</v>
      </c>
      <c r="AF28" s="31">
        <f t="shared" si="20"/>
        <v>377</v>
      </c>
    </row>
    <row r="29" spans="2:32" ht="23.1" customHeight="1" x14ac:dyDescent="0.25">
      <c r="B29" s="45" t="s">
        <v>56</v>
      </c>
      <c r="C29" s="50">
        <v>50</v>
      </c>
      <c r="D29" s="50">
        <v>1</v>
      </c>
      <c r="E29" s="50">
        <v>1</v>
      </c>
      <c r="F29" s="50">
        <v>30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v>1</v>
      </c>
      <c r="M29" s="50">
        <v>125</v>
      </c>
      <c r="N29" s="50">
        <v>0</v>
      </c>
      <c r="O29" s="15">
        <f t="shared" si="0"/>
        <v>86</v>
      </c>
      <c r="P29" s="15">
        <f t="shared" si="1"/>
        <v>211</v>
      </c>
      <c r="R29" s="36" t="s">
        <v>153</v>
      </c>
      <c r="S29" s="34">
        <f>SUM(C86:C89)</f>
        <v>81</v>
      </c>
      <c r="T29" s="34">
        <f t="shared" ref="T29:AF29" si="21">SUM(D86:D89)</f>
        <v>41</v>
      </c>
      <c r="U29" s="34">
        <f t="shared" si="21"/>
        <v>0</v>
      </c>
      <c r="V29" s="34">
        <f t="shared" si="21"/>
        <v>10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6</v>
      </c>
      <c r="AA29" s="34">
        <f t="shared" si="21"/>
        <v>1</v>
      </c>
      <c r="AB29" s="34">
        <f t="shared" si="21"/>
        <v>1</v>
      </c>
      <c r="AC29" s="34">
        <f t="shared" si="21"/>
        <v>170</v>
      </c>
      <c r="AD29" s="34">
        <f t="shared" si="21"/>
        <v>0</v>
      </c>
      <c r="AE29" s="31">
        <f t="shared" si="21"/>
        <v>143</v>
      </c>
      <c r="AF29" s="31">
        <f t="shared" si="21"/>
        <v>313</v>
      </c>
    </row>
    <row r="30" spans="2:32" ht="23.1" customHeight="1" x14ac:dyDescent="0.25">
      <c r="B30" s="45" t="s">
        <v>57</v>
      </c>
      <c r="C30" s="50">
        <v>27</v>
      </c>
      <c r="D30" s="50">
        <v>2</v>
      </c>
      <c r="E30" s="50">
        <v>1</v>
      </c>
      <c r="F30" s="50">
        <v>25</v>
      </c>
      <c r="G30" s="50">
        <v>2</v>
      </c>
      <c r="H30" s="50">
        <v>1</v>
      </c>
      <c r="I30" s="50">
        <v>1</v>
      </c>
      <c r="J30" s="50">
        <v>2</v>
      </c>
      <c r="K30" s="50">
        <v>0</v>
      </c>
      <c r="L30" s="50">
        <v>0</v>
      </c>
      <c r="M30" s="50">
        <v>120</v>
      </c>
      <c r="N30" s="50">
        <v>0</v>
      </c>
      <c r="O30" s="15">
        <f t="shared" si="0"/>
        <v>61</v>
      </c>
      <c r="P30" s="15">
        <f t="shared" si="1"/>
        <v>181</v>
      </c>
      <c r="R30" s="36" t="s">
        <v>154</v>
      </c>
      <c r="S30" s="34">
        <f>SUM(C90:C93)</f>
        <v>25</v>
      </c>
      <c r="T30" s="34">
        <f t="shared" ref="T30:AF30" si="22">SUM(D90:D93)</f>
        <v>4</v>
      </c>
      <c r="U30" s="34">
        <f t="shared" si="22"/>
        <v>6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7</v>
      </c>
      <c r="AA30" s="34">
        <f t="shared" si="22"/>
        <v>3</v>
      </c>
      <c r="AB30" s="34">
        <f t="shared" si="22"/>
        <v>2</v>
      </c>
      <c r="AC30" s="34">
        <f t="shared" si="22"/>
        <v>116</v>
      </c>
      <c r="AD30" s="34">
        <f t="shared" si="22"/>
        <v>0</v>
      </c>
      <c r="AE30" s="31">
        <f t="shared" si="22"/>
        <v>50</v>
      </c>
      <c r="AF30" s="31">
        <f t="shared" si="22"/>
        <v>166</v>
      </c>
    </row>
    <row r="31" spans="2:32" ht="23.1" customHeight="1" x14ac:dyDescent="0.25">
      <c r="B31" s="46" t="s">
        <v>58</v>
      </c>
      <c r="C31" s="50">
        <v>45</v>
      </c>
      <c r="D31" s="50">
        <v>1</v>
      </c>
      <c r="E31" s="50">
        <v>2</v>
      </c>
      <c r="F31" s="50">
        <v>35</v>
      </c>
      <c r="G31" s="50">
        <v>1</v>
      </c>
      <c r="H31" s="50">
        <v>0</v>
      </c>
      <c r="I31" s="50">
        <v>2</v>
      </c>
      <c r="J31" s="50">
        <v>0</v>
      </c>
      <c r="K31" s="50">
        <v>1</v>
      </c>
      <c r="L31" s="50">
        <v>1</v>
      </c>
      <c r="M31" s="50">
        <v>130</v>
      </c>
      <c r="N31" s="50">
        <v>0</v>
      </c>
      <c r="O31" s="15">
        <f t="shared" si="0"/>
        <v>88</v>
      </c>
      <c r="P31" s="15">
        <f t="shared" si="1"/>
        <v>218</v>
      </c>
      <c r="R31" s="36" t="s">
        <v>155</v>
      </c>
      <c r="S31" s="34">
        <f>SUM(C94:C97)</f>
        <v>40</v>
      </c>
      <c r="T31" s="34">
        <f t="shared" ref="T31:AF31" si="23">SUM(D94:D97)</f>
        <v>9</v>
      </c>
      <c r="U31" s="34">
        <f t="shared" si="23"/>
        <v>4</v>
      </c>
      <c r="V31" s="34">
        <f t="shared" si="23"/>
        <v>9</v>
      </c>
      <c r="W31" s="34">
        <f t="shared" si="23"/>
        <v>0</v>
      </c>
      <c r="X31" s="34">
        <f t="shared" si="23"/>
        <v>2</v>
      </c>
      <c r="Y31" s="34">
        <f t="shared" si="23"/>
        <v>5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68</v>
      </c>
      <c r="AD31" s="34">
        <f t="shared" si="23"/>
        <v>0</v>
      </c>
      <c r="AE31" s="31">
        <f t="shared" si="23"/>
        <v>72</v>
      </c>
      <c r="AF31" s="31">
        <f t="shared" si="23"/>
        <v>140</v>
      </c>
    </row>
    <row r="32" spans="2:32" ht="23.1" customHeight="1" x14ac:dyDescent="0.25">
      <c r="B32" s="46" t="s">
        <v>59</v>
      </c>
      <c r="C32" s="50">
        <v>30</v>
      </c>
      <c r="D32" s="50">
        <v>0</v>
      </c>
      <c r="E32" s="50">
        <v>0</v>
      </c>
      <c r="F32" s="50">
        <v>29</v>
      </c>
      <c r="G32" s="50">
        <v>1</v>
      </c>
      <c r="H32" s="50">
        <v>2</v>
      </c>
      <c r="I32" s="50">
        <v>0</v>
      </c>
      <c r="J32" s="50">
        <v>3</v>
      </c>
      <c r="K32" s="50">
        <v>0</v>
      </c>
      <c r="L32" s="50">
        <v>0</v>
      </c>
      <c r="M32" s="50">
        <v>150</v>
      </c>
      <c r="N32" s="50">
        <v>0</v>
      </c>
      <c r="O32" s="15">
        <f t="shared" si="0"/>
        <v>65</v>
      </c>
      <c r="P32" s="15">
        <f t="shared" si="1"/>
        <v>215</v>
      </c>
      <c r="R32" s="33" t="s">
        <v>156</v>
      </c>
      <c r="S32" s="34">
        <f>SUM(C98:C101)</f>
        <v>227</v>
      </c>
      <c r="T32" s="34">
        <f t="shared" ref="T32:AF32" si="24">SUM(D98:D101)</f>
        <v>148</v>
      </c>
      <c r="U32" s="34">
        <f t="shared" si="24"/>
        <v>1</v>
      </c>
      <c r="V32" s="34">
        <f t="shared" si="24"/>
        <v>94</v>
      </c>
      <c r="W32" s="34">
        <f t="shared" si="24"/>
        <v>0</v>
      </c>
      <c r="X32" s="34">
        <f t="shared" si="24"/>
        <v>0</v>
      </c>
      <c r="Y32" s="34">
        <f t="shared" si="24"/>
        <v>21</v>
      </c>
      <c r="Z32" s="34">
        <f t="shared" si="24"/>
        <v>17</v>
      </c>
      <c r="AA32" s="34">
        <f t="shared" si="24"/>
        <v>18</v>
      </c>
      <c r="AB32" s="34">
        <f t="shared" si="24"/>
        <v>11</v>
      </c>
      <c r="AC32" s="34">
        <f t="shared" si="24"/>
        <v>226</v>
      </c>
      <c r="AD32" s="34">
        <f t="shared" si="24"/>
        <v>0</v>
      </c>
      <c r="AE32" s="31">
        <f t="shared" si="24"/>
        <v>537</v>
      </c>
      <c r="AF32" s="31">
        <f t="shared" si="24"/>
        <v>763</v>
      </c>
    </row>
    <row r="33" spans="2:32" ht="23.1" customHeight="1" x14ac:dyDescent="0.25">
      <c r="B33" s="45" t="s">
        <v>60</v>
      </c>
      <c r="C33" s="50">
        <v>38</v>
      </c>
      <c r="D33" s="50">
        <v>3</v>
      </c>
      <c r="E33" s="50">
        <v>2</v>
      </c>
      <c r="F33" s="50">
        <v>30</v>
      </c>
      <c r="G33" s="50">
        <v>0</v>
      </c>
      <c r="H33" s="50">
        <v>0</v>
      </c>
      <c r="I33" s="50">
        <v>3</v>
      </c>
      <c r="J33" s="50">
        <v>2</v>
      </c>
      <c r="K33" s="50">
        <v>1</v>
      </c>
      <c r="L33" s="50">
        <v>2</v>
      </c>
      <c r="M33" s="50">
        <v>138</v>
      </c>
      <c r="N33" s="50">
        <v>0</v>
      </c>
      <c r="O33" s="15">
        <f t="shared" si="0"/>
        <v>81</v>
      </c>
      <c r="P33" s="15">
        <f t="shared" si="1"/>
        <v>219</v>
      </c>
      <c r="R33" s="33" t="s">
        <v>157</v>
      </c>
      <c r="S33" s="34">
        <f>SUM(C102:C105)</f>
        <v>201</v>
      </c>
      <c r="T33" s="34">
        <f t="shared" ref="T33:AF33" si="25">SUM(D102:D105)</f>
        <v>130</v>
      </c>
      <c r="U33" s="34">
        <f t="shared" si="25"/>
        <v>19</v>
      </c>
      <c r="V33" s="34">
        <f t="shared" si="25"/>
        <v>94</v>
      </c>
      <c r="W33" s="34">
        <f t="shared" si="25"/>
        <v>3</v>
      </c>
      <c r="X33" s="34">
        <f t="shared" si="25"/>
        <v>3</v>
      </c>
      <c r="Y33" s="34">
        <f t="shared" si="25"/>
        <v>28</v>
      </c>
      <c r="Z33" s="34">
        <f t="shared" si="25"/>
        <v>28</v>
      </c>
      <c r="AA33" s="34">
        <f t="shared" si="25"/>
        <v>3</v>
      </c>
      <c r="AB33" s="34">
        <f t="shared" si="25"/>
        <v>3</v>
      </c>
      <c r="AC33" s="34">
        <f t="shared" si="25"/>
        <v>393</v>
      </c>
      <c r="AD33" s="34">
        <f t="shared" si="25"/>
        <v>0</v>
      </c>
      <c r="AE33" s="31">
        <f t="shared" si="25"/>
        <v>512</v>
      </c>
      <c r="AF33" s="31">
        <f t="shared" si="25"/>
        <v>905</v>
      </c>
    </row>
    <row r="34" spans="2:32" ht="23.1" customHeight="1" x14ac:dyDescent="0.25">
      <c r="B34" s="46" t="s">
        <v>61</v>
      </c>
      <c r="C34" s="50">
        <v>45</v>
      </c>
      <c r="D34" s="50">
        <v>1</v>
      </c>
      <c r="E34" s="50">
        <v>2</v>
      </c>
      <c r="F34" s="50">
        <v>40</v>
      </c>
      <c r="G34" s="50">
        <v>5</v>
      </c>
      <c r="H34" s="50">
        <v>0</v>
      </c>
      <c r="I34" s="50">
        <v>9</v>
      </c>
      <c r="J34" s="50">
        <v>2</v>
      </c>
      <c r="K34" s="50">
        <v>0</v>
      </c>
      <c r="L34" s="50">
        <v>0</v>
      </c>
      <c r="M34" s="50">
        <v>145</v>
      </c>
      <c r="N34" s="50">
        <v>0</v>
      </c>
      <c r="O34" s="15">
        <f t="shared" si="0"/>
        <v>104</v>
      </c>
      <c r="P34" s="15">
        <f t="shared" si="1"/>
        <v>249</v>
      </c>
      <c r="R34" s="38" t="s">
        <v>90</v>
      </c>
      <c r="S34" s="39">
        <f t="shared" ref="S34:AF34" si="26">MAX(S10:S12)</f>
        <v>215</v>
      </c>
      <c r="T34" s="39">
        <f t="shared" si="26"/>
        <v>52</v>
      </c>
      <c r="U34" s="39">
        <f t="shared" si="26"/>
        <v>105</v>
      </c>
      <c r="V34" s="39">
        <f t="shared" si="26"/>
        <v>322</v>
      </c>
      <c r="W34" s="39">
        <f t="shared" si="26"/>
        <v>15</v>
      </c>
      <c r="X34" s="39">
        <f t="shared" si="26"/>
        <v>24</v>
      </c>
      <c r="Y34" s="39">
        <f t="shared" si="26"/>
        <v>41</v>
      </c>
      <c r="Z34" s="39">
        <f t="shared" si="26"/>
        <v>13</v>
      </c>
      <c r="AA34" s="39">
        <f t="shared" si="26"/>
        <v>21</v>
      </c>
      <c r="AB34" s="39">
        <f t="shared" si="26"/>
        <v>4</v>
      </c>
      <c r="AC34" s="39">
        <f t="shared" si="26"/>
        <v>580</v>
      </c>
      <c r="AD34" s="39">
        <f t="shared" si="26"/>
        <v>9</v>
      </c>
      <c r="AE34" s="40">
        <f t="shared" si="26"/>
        <v>695</v>
      </c>
      <c r="AF34" s="40">
        <f t="shared" si="26"/>
        <v>1275</v>
      </c>
    </row>
    <row r="35" spans="2:32" ht="23.1" customHeight="1" x14ac:dyDescent="0.25">
      <c r="B35" s="46" t="s">
        <v>62</v>
      </c>
      <c r="C35" s="50">
        <v>30</v>
      </c>
      <c r="D35" s="50">
        <v>2</v>
      </c>
      <c r="E35" s="50">
        <v>1</v>
      </c>
      <c r="F35" s="50">
        <v>35</v>
      </c>
      <c r="G35" s="50">
        <v>0</v>
      </c>
      <c r="H35" s="50">
        <v>1</v>
      </c>
      <c r="I35" s="50">
        <v>5</v>
      </c>
      <c r="J35" s="50">
        <v>0</v>
      </c>
      <c r="K35" s="50">
        <v>2</v>
      </c>
      <c r="L35" s="50">
        <v>1</v>
      </c>
      <c r="M35" s="50">
        <v>160</v>
      </c>
      <c r="N35" s="50">
        <v>0</v>
      </c>
      <c r="O35" s="15">
        <f t="shared" si="0"/>
        <v>77</v>
      </c>
      <c r="P35" s="15">
        <f t="shared" si="1"/>
        <v>237</v>
      </c>
      <c r="R35" s="38" t="s">
        <v>91</v>
      </c>
      <c r="S35" s="39">
        <f t="shared" ref="S35:AF35" si="27">MAX(S13:S18)</f>
        <v>188</v>
      </c>
      <c r="T35" s="39">
        <f t="shared" si="27"/>
        <v>79</v>
      </c>
      <c r="U35" s="39">
        <f t="shared" si="27"/>
        <v>49</v>
      </c>
      <c r="V35" s="39">
        <f t="shared" si="27"/>
        <v>185</v>
      </c>
      <c r="W35" s="39">
        <f t="shared" si="27"/>
        <v>18</v>
      </c>
      <c r="X35" s="39">
        <f t="shared" si="27"/>
        <v>3</v>
      </c>
      <c r="Y35" s="39">
        <f t="shared" si="27"/>
        <v>45</v>
      </c>
      <c r="Z35" s="39">
        <f t="shared" si="27"/>
        <v>15</v>
      </c>
      <c r="AA35" s="39">
        <f t="shared" si="27"/>
        <v>8</v>
      </c>
      <c r="AB35" s="39">
        <f t="shared" si="27"/>
        <v>5</v>
      </c>
      <c r="AC35" s="39">
        <f t="shared" si="27"/>
        <v>778</v>
      </c>
      <c r="AD35" s="39">
        <f t="shared" si="27"/>
        <v>0</v>
      </c>
      <c r="AE35" s="40">
        <f t="shared" si="27"/>
        <v>556</v>
      </c>
      <c r="AF35" s="40">
        <f t="shared" si="27"/>
        <v>1181</v>
      </c>
    </row>
    <row r="36" spans="2:32" ht="23.1" customHeight="1" x14ac:dyDescent="0.25">
      <c r="B36" s="46" t="s">
        <v>63</v>
      </c>
      <c r="C36" s="50">
        <v>25</v>
      </c>
      <c r="D36" s="50">
        <v>0</v>
      </c>
      <c r="E36" s="50">
        <v>6</v>
      </c>
      <c r="F36" s="50">
        <v>33</v>
      </c>
      <c r="G36" s="50">
        <v>3</v>
      </c>
      <c r="H36" s="50">
        <v>2</v>
      </c>
      <c r="I36" s="50">
        <v>3</v>
      </c>
      <c r="J36" s="50">
        <v>1</v>
      </c>
      <c r="K36" s="50">
        <v>1</v>
      </c>
      <c r="L36" s="50">
        <v>0</v>
      </c>
      <c r="M36" s="50">
        <v>140</v>
      </c>
      <c r="N36" s="50">
        <v>0</v>
      </c>
      <c r="O36" s="15">
        <f t="shared" si="0"/>
        <v>74</v>
      </c>
      <c r="P36" s="15">
        <f t="shared" si="1"/>
        <v>214</v>
      </c>
      <c r="R36" s="38" t="s">
        <v>92</v>
      </c>
      <c r="S36" s="39">
        <f t="shared" ref="S36:AF36" si="28">MAX(S19:S21)</f>
        <v>178</v>
      </c>
      <c r="T36" s="39">
        <f t="shared" si="28"/>
        <v>32</v>
      </c>
      <c r="U36" s="39">
        <f t="shared" si="28"/>
        <v>16</v>
      </c>
      <c r="V36" s="39">
        <f t="shared" si="28"/>
        <v>160</v>
      </c>
      <c r="W36" s="39">
        <f t="shared" si="28"/>
        <v>11</v>
      </c>
      <c r="X36" s="39">
        <f t="shared" si="28"/>
        <v>5</v>
      </c>
      <c r="Y36" s="39">
        <f t="shared" si="28"/>
        <v>41</v>
      </c>
      <c r="Z36" s="39">
        <f t="shared" si="28"/>
        <v>7</v>
      </c>
      <c r="AA36" s="39">
        <f t="shared" si="28"/>
        <v>9</v>
      </c>
      <c r="AB36" s="39">
        <f t="shared" si="28"/>
        <v>3</v>
      </c>
      <c r="AC36" s="39">
        <f t="shared" si="28"/>
        <v>650</v>
      </c>
      <c r="AD36" s="39">
        <f t="shared" si="28"/>
        <v>0</v>
      </c>
      <c r="AE36" s="40">
        <f t="shared" si="28"/>
        <v>443</v>
      </c>
      <c r="AF36" s="40">
        <f t="shared" si="28"/>
        <v>1093</v>
      </c>
    </row>
    <row r="37" spans="2:32" ht="23.1" customHeight="1" x14ac:dyDescent="0.25">
      <c r="B37" s="45" t="s">
        <v>64</v>
      </c>
      <c r="C37" s="50">
        <v>35</v>
      </c>
      <c r="D37" s="50">
        <v>1</v>
      </c>
      <c r="E37" s="50">
        <v>5</v>
      </c>
      <c r="F37" s="50">
        <v>38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2</v>
      </c>
      <c r="M37" s="50">
        <v>125</v>
      </c>
      <c r="N37" s="50">
        <v>0</v>
      </c>
      <c r="O37" s="15">
        <f t="shared" si="0"/>
        <v>82</v>
      </c>
      <c r="P37" s="15">
        <f t="shared" si="1"/>
        <v>207</v>
      </c>
      <c r="R37" s="37" t="s">
        <v>85</v>
      </c>
      <c r="S37" s="35">
        <f t="shared" ref="S37:AF37" si="29">SUM(S10:S12)</f>
        <v>448</v>
      </c>
      <c r="T37" s="16">
        <f t="shared" si="29"/>
        <v>111</v>
      </c>
      <c r="U37" s="16">
        <f t="shared" si="29"/>
        <v>183</v>
      </c>
      <c r="V37" s="16">
        <f t="shared" si="29"/>
        <v>677</v>
      </c>
      <c r="W37" s="16">
        <f t="shared" si="29"/>
        <v>24</v>
      </c>
      <c r="X37" s="16">
        <f t="shared" si="29"/>
        <v>33</v>
      </c>
      <c r="Y37" s="16">
        <f t="shared" si="29"/>
        <v>89</v>
      </c>
      <c r="Z37" s="16">
        <f t="shared" si="29"/>
        <v>27</v>
      </c>
      <c r="AA37" s="16">
        <f t="shared" si="29"/>
        <v>27</v>
      </c>
      <c r="AB37" s="16">
        <f t="shared" si="29"/>
        <v>7</v>
      </c>
      <c r="AC37" s="16">
        <f t="shared" si="29"/>
        <v>1565</v>
      </c>
      <c r="AD37" s="16">
        <f t="shared" si="29"/>
        <v>9</v>
      </c>
      <c r="AE37" s="32">
        <f t="shared" si="29"/>
        <v>1538</v>
      </c>
      <c r="AF37" s="32">
        <f t="shared" si="29"/>
        <v>2983</v>
      </c>
    </row>
    <row r="38" spans="2:32" ht="23.1" customHeight="1" x14ac:dyDescent="0.25">
      <c r="B38" s="46" t="s">
        <v>65</v>
      </c>
      <c r="C38" s="50">
        <v>42</v>
      </c>
      <c r="D38" s="50">
        <v>6</v>
      </c>
      <c r="E38" s="50">
        <v>2</v>
      </c>
      <c r="F38" s="50">
        <v>45</v>
      </c>
      <c r="G38" s="50">
        <v>3</v>
      </c>
      <c r="H38" s="50">
        <v>1</v>
      </c>
      <c r="I38" s="50">
        <v>20</v>
      </c>
      <c r="J38" s="50">
        <v>2</v>
      </c>
      <c r="K38" s="50">
        <v>1</v>
      </c>
      <c r="L38" s="50">
        <v>0</v>
      </c>
      <c r="M38" s="50">
        <v>200</v>
      </c>
      <c r="N38" s="50">
        <v>0</v>
      </c>
      <c r="O38" s="15">
        <f t="shared" si="0"/>
        <v>122</v>
      </c>
      <c r="P38" s="15">
        <f t="shared" si="1"/>
        <v>322</v>
      </c>
      <c r="R38" s="28" t="s">
        <v>86</v>
      </c>
      <c r="S38" s="16">
        <f t="shared" ref="S38:AF38" si="30">SUM(S13:S18)</f>
        <v>952</v>
      </c>
      <c r="T38" s="16">
        <f t="shared" si="30"/>
        <v>151</v>
      </c>
      <c r="U38" s="16">
        <f t="shared" si="30"/>
        <v>99</v>
      </c>
      <c r="V38" s="16">
        <f t="shared" si="30"/>
        <v>918</v>
      </c>
      <c r="W38" s="16">
        <f t="shared" si="30"/>
        <v>56</v>
      </c>
      <c r="X38" s="16">
        <f t="shared" si="30"/>
        <v>15</v>
      </c>
      <c r="Y38" s="16">
        <f t="shared" si="30"/>
        <v>142</v>
      </c>
      <c r="Z38" s="16">
        <f t="shared" si="30"/>
        <v>42</v>
      </c>
      <c r="AA38" s="16">
        <f t="shared" si="30"/>
        <v>26</v>
      </c>
      <c r="AB38" s="16">
        <f t="shared" si="30"/>
        <v>23</v>
      </c>
      <c r="AC38" s="16">
        <f t="shared" si="30"/>
        <v>3509</v>
      </c>
      <c r="AD38" s="16">
        <f t="shared" si="30"/>
        <v>0</v>
      </c>
      <c r="AE38" s="32">
        <f t="shared" si="30"/>
        <v>2424</v>
      </c>
      <c r="AF38" s="32">
        <f t="shared" si="30"/>
        <v>5933</v>
      </c>
    </row>
    <row r="39" spans="2:32" ht="23.1" customHeight="1" x14ac:dyDescent="0.25">
      <c r="B39" s="46" t="s">
        <v>66</v>
      </c>
      <c r="C39" s="50">
        <v>35</v>
      </c>
      <c r="D39" s="50">
        <v>5</v>
      </c>
      <c r="E39" s="50">
        <v>1</v>
      </c>
      <c r="F39" s="50">
        <v>30</v>
      </c>
      <c r="G39" s="50">
        <v>0</v>
      </c>
      <c r="H39" s="50">
        <v>2</v>
      </c>
      <c r="I39" s="50">
        <v>11</v>
      </c>
      <c r="J39" s="50">
        <v>0</v>
      </c>
      <c r="K39" s="50">
        <v>0</v>
      </c>
      <c r="L39" s="50">
        <v>2</v>
      </c>
      <c r="M39" s="50">
        <v>180</v>
      </c>
      <c r="N39" s="50">
        <v>0</v>
      </c>
      <c r="O39" s="15">
        <f t="shared" si="0"/>
        <v>86</v>
      </c>
      <c r="P39" s="15">
        <f t="shared" si="1"/>
        <v>266</v>
      </c>
      <c r="R39" s="29" t="s">
        <v>87</v>
      </c>
      <c r="S39" s="16">
        <f t="shared" ref="S39:AF39" si="31">SUM(S19:S21)</f>
        <v>508</v>
      </c>
      <c r="T39" s="16">
        <f t="shared" si="31"/>
        <v>68</v>
      </c>
      <c r="U39" s="16">
        <f t="shared" si="31"/>
        <v>33</v>
      </c>
      <c r="V39" s="16">
        <f t="shared" si="31"/>
        <v>457</v>
      </c>
      <c r="W39" s="16">
        <f t="shared" si="31"/>
        <v>26</v>
      </c>
      <c r="X39" s="16">
        <f t="shared" si="31"/>
        <v>10</v>
      </c>
      <c r="Y39" s="16">
        <f t="shared" si="31"/>
        <v>111</v>
      </c>
      <c r="Z39" s="16">
        <f t="shared" si="31"/>
        <v>15</v>
      </c>
      <c r="AA39" s="16">
        <f t="shared" si="31"/>
        <v>17</v>
      </c>
      <c r="AB39" s="16">
        <f t="shared" si="31"/>
        <v>8</v>
      </c>
      <c r="AC39" s="16">
        <f t="shared" si="31"/>
        <v>1845</v>
      </c>
      <c r="AD39" s="16">
        <f t="shared" si="31"/>
        <v>0</v>
      </c>
      <c r="AE39" s="32">
        <f t="shared" si="31"/>
        <v>1253</v>
      </c>
      <c r="AF39" s="32">
        <f t="shared" si="31"/>
        <v>3098</v>
      </c>
    </row>
    <row r="40" spans="2:32" ht="23.1" customHeight="1" x14ac:dyDescent="0.25">
      <c r="B40" s="46" t="s">
        <v>67</v>
      </c>
      <c r="C40" s="50">
        <v>45</v>
      </c>
      <c r="D40" s="50">
        <v>2</v>
      </c>
      <c r="E40" s="50">
        <v>0</v>
      </c>
      <c r="F40" s="50">
        <v>28</v>
      </c>
      <c r="G40" s="50">
        <v>2</v>
      </c>
      <c r="H40" s="50">
        <v>0</v>
      </c>
      <c r="I40" s="50">
        <v>9</v>
      </c>
      <c r="J40" s="50">
        <v>4</v>
      </c>
      <c r="K40" s="50">
        <v>3</v>
      </c>
      <c r="L40" s="50">
        <v>3</v>
      </c>
      <c r="M40" s="50">
        <v>193</v>
      </c>
      <c r="N40" s="50">
        <v>0</v>
      </c>
      <c r="O40" s="15">
        <f t="shared" si="0"/>
        <v>96</v>
      </c>
      <c r="P40" s="15">
        <f t="shared" si="1"/>
        <v>289</v>
      </c>
      <c r="R40" s="5" t="s">
        <v>17</v>
      </c>
      <c r="S40" s="16">
        <f t="shared" ref="S40:AF40" si="32">SUM(S10:S21)</f>
        <v>1908</v>
      </c>
      <c r="T40" s="16">
        <f t="shared" si="32"/>
        <v>330</v>
      </c>
      <c r="U40" s="16">
        <f t="shared" si="32"/>
        <v>315</v>
      </c>
      <c r="V40" s="16">
        <f t="shared" si="32"/>
        <v>2052</v>
      </c>
      <c r="W40" s="16">
        <f t="shared" si="32"/>
        <v>106</v>
      </c>
      <c r="X40" s="16">
        <f t="shared" si="32"/>
        <v>58</v>
      </c>
      <c r="Y40" s="16">
        <f t="shared" si="32"/>
        <v>342</v>
      </c>
      <c r="Z40" s="16">
        <f t="shared" si="32"/>
        <v>84</v>
      </c>
      <c r="AA40" s="16">
        <f t="shared" si="32"/>
        <v>70</v>
      </c>
      <c r="AB40" s="16">
        <f t="shared" si="32"/>
        <v>38</v>
      </c>
      <c r="AC40" s="16">
        <f t="shared" si="32"/>
        <v>6919</v>
      </c>
      <c r="AD40" s="16">
        <f t="shared" si="32"/>
        <v>9</v>
      </c>
      <c r="AE40" s="32">
        <f t="shared" si="32"/>
        <v>5215</v>
      </c>
      <c r="AF40" s="32">
        <f t="shared" si="32"/>
        <v>12014</v>
      </c>
    </row>
    <row r="41" spans="2:32" ht="23.1" customHeight="1" x14ac:dyDescent="0.25">
      <c r="B41" s="45" t="s">
        <v>68</v>
      </c>
      <c r="C41" s="50">
        <v>38</v>
      </c>
      <c r="D41" s="50">
        <v>12</v>
      </c>
      <c r="E41" s="50">
        <v>3</v>
      </c>
      <c r="F41" s="50">
        <v>37</v>
      </c>
      <c r="G41" s="50">
        <v>4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205</v>
      </c>
      <c r="N41" s="50">
        <v>0</v>
      </c>
      <c r="O41" s="15">
        <f t="shared" si="0"/>
        <v>99</v>
      </c>
      <c r="P41" s="15">
        <f t="shared" si="1"/>
        <v>304</v>
      </c>
      <c r="R41" s="5" t="s">
        <v>159</v>
      </c>
      <c r="S41" s="16">
        <f>SUM(S10:S33)</f>
        <v>3386</v>
      </c>
      <c r="T41" s="16">
        <f t="shared" ref="T41:AF41" si="33">SUM(T10:T33)</f>
        <v>1206</v>
      </c>
      <c r="U41" s="16">
        <f t="shared" si="33"/>
        <v>388</v>
      </c>
      <c r="V41" s="16">
        <f t="shared" si="33"/>
        <v>2948</v>
      </c>
      <c r="W41" s="16">
        <f t="shared" si="33"/>
        <v>173</v>
      </c>
      <c r="X41" s="16">
        <f t="shared" si="33"/>
        <v>84</v>
      </c>
      <c r="Y41" s="16">
        <f t="shared" si="33"/>
        <v>504</v>
      </c>
      <c r="Z41" s="16">
        <f t="shared" si="33"/>
        <v>221</v>
      </c>
      <c r="AA41" s="16">
        <f t="shared" si="33"/>
        <v>136</v>
      </c>
      <c r="AB41" s="16">
        <f t="shared" si="33"/>
        <v>91</v>
      </c>
      <c r="AC41" s="16">
        <f t="shared" si="33"/>
        <v>11239</v>
      </c>
      <c r="AD41" s="16">
        <f t="shared" si="33"/>
        <v>10</v>
      </c>
      <c r="AE41" s="32">
        <f t="shared" si="33"/>
        <v>9050</v>
      </c>
      <c r="AF41" s="32">
        <f t="shared" si="33"/>
        <v>20169</v>
      </c>
    </row>
    <row r="42" spans="2:32" ht="23.1" customHeight="1" x14ac:dyDescent="0.25">
      <c r="B42" s="46" t="s">
        <v>69</v>
      </c>
      <c r="C42" s="50">
        <v>86</v>
      </c>
      <c r="D42" s="50">
        <v>13</v>
      </c>
      <c r="E42" s="50">
        <v>10</v>
      </c>
      <c r="F42" s="50">
        <v>75</v>
      </c>
      <c r="G42" s="50">
        <v>2</v>
      </c>
      <c r="H42" s="50">
        <v>1</v>
      </c>
      <c r="I42" s="50">
        <v>10</v>
      </c>
      <c r="J42" s="50">
        <v>5</v>
      </c>
      <c r="K42" s="50">
        <v>3</v>
      </c>
      <c r="L42" s="50">
        <v>1</v>
      </c>
      <c r="M42" s="50">
        <v>180</v>
      </c>
      <c r="N42" s="50">
        <v>0</v>
      </c>
      <c r="O42" s="15">
        <f t="shared" si="0"/>
        <v>206</v>
      </c>
      <c r="P42" s="15">
        <f t="shared" si="1"/>
        <v>386</v>
      </c>
      <c r="R42" s="5" t="s">
        <v>160</v>
      </c>
      <c r="S42" s="48">
        <f>S41/S40</f>
        <v>1.7746331236897275</v>
      </c>
      <c r="T42" s="48">
        <f t="shared" ref="T42:AF42" si="34">T41/T40</f>
        <v>3.6545454545454548</v>
      </c>
      <c r="U42" s="48">
        <f t="shared" si="34"/>
        <v>1.2317460317460318</v>
      </c>
      <c r="V42" s="48">
        <f t="shared" si="34"/>
        <v>1.4366471734892787</v>
      </c>
      <c r="W42" s="48">
        <f t="shared" si="34"/>
        <v>1.6320754716981132</v>
      </c>
      <c r="X42" s="48">
        <f t="shared" si="34"/>
        <v>1.4482758620689655</v>
      </c>
      <c r="Y42" s="48">
        <f t="shared" si="34"/>
        <v>1.4736842105263157</v>
      </c>
      <c r="Z42" s="48">
        <f t="shared" si="34"/>
        <v>2.6309523809523809</v>
      </c>
      <c r="AA42" s="48">
        <f t="shared" si="34"/>
        <v>1.9428571428571428</v>
      </c>
      <c r="AB42" s="48">
        <f t="shared" si="34"/>
        <v>2.3947368421052633</v>
      </c>
      <c r="AC42" s="48">
        <f t="shared" si="34"/>
        <v>1.6243676831912126</v>
      </c>
      <c r="AD42" s="48">
        <f t="shared" si="34"/>
        <v>1.1111111111111112</v>
      </c>
      <c r="AE42" s="48">
        <f t="shared" si="34"/>
        <v>1.7353787152444871</v>
      </c>
      <c r="AF42" s="48">
        <f t="shared" si="34"/>
        <v>1.6787914100216415</v>
      </c>
    </row>
    <row r="43" spans="2:32" ht="23.1" customHeight="1" x14ac:dyDescent="0.25">
      <c r="B43" s="45" t="s">
        <v>70</v>
      </c>
      <c r="C43" s="50">
        <v>30</v>
      </c>
      <c r="D43" s="50">
        <v>6</v>
      </c>
      <c r="E43" s="50">
        <v>3</v>
      </c>
      <c r="F43" s="50">
        <v>30</v>
      </c>
      <c r="G43" s="50">
        <v>8</v>
      </c>
      <c r="H43" s="50">
        <v>0</v>
      </c>
      <c r="I43" s="50">
        <v>5</v>
      </c>
      <c r="J43" s="50">
        <v>2</v>
      </c>
      <c r="K43" s="50">
        <v>2</v>
      </c>
      <c r="L43" s="50">
        <v>2</v>
      </c>
      <c r="M43" s="50">
        <v>150</v>
      </c>
      <c r="N43" s="50">
        <v>0</v>
      </c>
      <c r="O43" s="15">
        <f t="shared" si="0"/>
        <v>88</v>
      </c>
      <c r="P43" s="15">
        <f t="shared" si="1"/>
        <v>238</v>
      </c>
    </row>
    <row r="44" spans="2:32" ht="23.1" customHeight="1" x14ac:dyDescent="0.25">
      <c r="B44" s="47" t="s">
        <v>71</v>
      </c>
      <c r="C44" s="50">
        <v>32</v>
      </c>
      <c r="D44" s="50">
        <v>5</v>
      </c>
      <c r="E44" s="50">
        <v>2</v>
      </c>
      <c r="F44" s="50">
        <v>35</v>
      </c>
      <c r="G44" s="50">
        <v>4</v>
      </c>
      <c r="H44" s="50">
        <v>1</v>
      </c>
      <c r="I44" s="50">
        <v>4</v>
      </c>
      <c r="J44" s="50">
        <v>1</v>
      </c>
      <c r="K44" s="50">
        <v>0</v>
      </c>
      <c r="L44" s="50">
        <v>1</v>
      </c>
      <c r="M44" s="50">
        <v>145</v>
      </c>
      <c r="N44" s="50">
        <v>0</v>
      </c>
      <c r="O44" s="15">
        <f t="shared" si="0"/>
        <v>85</v>
      </c>
      <c r="P44" s="15">
        <f t="shared" si="1"/>
        <v>230</v>
      </c>
    </row>
    <row r="45" spans="2:32" ht="23.1" customHeight="1" x14ac:dyDescent="0.25">
      <c r="B45" s="45" t="s">
        <v>72</v>
      </c>
      <c r="C45" s="50">
        <v>40</v>
      </c>
      <c r="D45" s="50">
        <v>2</v>
      </c>
      <c r="E45" s="50">
        <v>4</v>
      </c>
      <c r="F45" s="50">
        <v>45</v>
      </c>
      <c r="G45" s="50">
        <v>4</v>
      </c>
      <c r="H45" s="50">
        <v>1</v>
      </c>
      <c r="I45" s="50">
        <v>8</v>
      </c>
      <c r="J45" s="50">
        <v>0</v>
      </c>
      <c r="K45" s="50">
        <v>1</v>
      </c>
      <c r="L45" s="50">
        <v>0</v>
      </c>
      <c r="M45" s="50">
        <v>165</v>
      </c>
      <c r="N45" s="50">
        <v>0</v>
      </c>
      <c r="O45" s="15">
        <f t="shared" si="0"/>
        <v>105</v>
      </c>
      <c r="P45" s="15">
        <f t="shared" si="1"/>
        <v>270</v>
      </c>
    </row>
    <row r="46" spans="2:32" ht="23.1" customHeight="1" x14ac:dyDescent="0.25">
      <c r="B46" s="46" t="s">
        <v>73</v>
      </c>
      <c r="C46" s="50">
        <v>56</v>
      </c>
      <c r="D46" s="50">
        <v>12</v>
      </c>
      <c r="E46" s="50">
        <v>3</v>
      </c>
      <c r="F46" s="50">
        <v>37</v>
      </c>
      <c r="G46" s="50">
        <v>4</v>
      </c>
      <c r="H46" s="50">
        <v>0</v>
      </c>
      <c r="I46" s="50">
        <v>16</v>
      </c>
      <c r="J46" s="50">
        <v>2</v>
      </c>
      <c r="K46" s="50">
        <v>1</v>
      </c>
      <c r="L46" s="50">
        <v>1</v>
      </c>
      <c r="M46" s="50">
        <v>170</v>
      </c>
      <c r="N46" s="50">
        <v>0</v>
      </c>
      <c r="O46" s="15">
        <f t="shared" si="0"/>
        <v>132</v>
      </c>
      <c r="P46" s="15">
        <f t="shared" si="1"/>
        <v>302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4</v>
      </c>
      <c r="E47" s="50">
        <v>5</v>
      </c>
      <c r="F47" s="50">
        <v>35</v>
      </c>
      <c r="G47" s="50">
        <v>1</v>
      </c>
      <c r="H47" s="50">
        <v>2</v>
      </c>
      <c r="I47" s="50">
        <v>9</v>
      </c>
      <c r="J47" s="50">
        <v>0</v>
      </c>
      <c r="K47" s="50">
        <v>0</v>
      </c>
      <c r="L47" s="50">
        <v>0</v>
      </c>
      <c r="M47" s="50">
        <v>160</v>
      </c>
      <c r="N47" s="50">
        <v>0</v>
      </c>
      <c r="O47" s="15">
        <f t="shared" si="0"/>
        <v>86</v>
      </c>
      <c r="P47" s="15">
        <f t="shared" si="1"/>
        <v>246</v>
      </c>
      <c r="R47" s="8"/>
      <c r="T47"/>
    </row>
    <row r="48" spans="2:32" ht="23.1" customHeight="1" x14ac:dyDescent="0.25">
      <c r="B48" s="46" t="s">
        <v>75</v>
      </c>
      <c r="C48" s="50">
        <v>39</v>
      </c>
      <c r="D48" s="50">
        <v>9</v>
      </c>
      <c r="E48" s="50">
        <v>0</v>
      </c>
      <c r="F48" s="50">
        <v>35</v>
      </c>
      <c r="G48" s="50">
        <v>0</v>
      </c>
      <c r="H48" s="50">
        <v>1</v>
      </c>
      <c r="I48" s="50">
        <v>10</v>
      </c>
      <c r="J48" s="50">
        <v>2</v>
      </c>
      <c r="K48" s="50">
        <v>1</v>
      </c>
      <c r="L48" s="50">
        <v>0</v>
      </c>
      <c r="M48" s="50">
        <v>155</v>
      </c>
      <c r="N48" s="50">
        <v>0</v>
      </c>
      <c r="O48" s="15">
        <f t="shared" si="0"/>
        <v>97</v>
      </c>
      <c r="P48" s="15">
        <f t="shared" si="1"/>
        <v>252</v>
      </c>
      <c r="R48" s="8"/>
      <c r="T48"/>
    </row>
    <row r="49" spans="2:20" ht="23.1" customHeight="1" x14ac:dyDescent="0.25">
      <c r="B49" s="45" t="s">
        <v>76</v>
      </c>
      <c r="C49" s="50">
        <v>45</v>
      </c>
      <c r="D49" s="50">
        <v>7</v>
      </c>
      <c r="E49" s="50">
        <v>1</v>
      </c>
      <c r="F49" s="50">
        <v>34</v>
      </c>
      <c r="G49" s="50">
        <v>1</v>
      </c>
      <c r="H49" s="50">
        <v>2</v>
      </c>
      <c r="I49" s="50">
        <v>6</v>
      </c>
      <c r="J49" s="50">
        <v>0</v>
      </c>
      <c r="K49" s="50">
        <v>0</v>
      </c>
      <c r="L49" s="50">
        <v>2</v>
      </c>
      <c r="M49" s="50">
        <v>150</v>
      </c>
      <c r="N49" s="50">
        <v>0</v>
      </c>
      <c r="O49" s="15">
        <f t="shared" si="0"/>
        <v>98</v>
      </c>
      <c r="P49" s="15">
        <f t="shared" si="1"/>
        <v>248</v>
      </c>
      <c r="R49" s="8"/>
      <c r="T49"/>
    </row>
    <row r="50" spans="2:20" ht="23.1" customHeight="1" x14ac:dyDescent="0.25">
      <c r="B50" s="46" t="s">
        <v>77</v>
      </c>
      <c r="C50" s="50">
        <v>46</v>
      </c>
      <c r="D50" s="50">
        <v>8</v>
      </c>
      <c r="E50" s="50">
        <v>6</v>
      </c>
      <c r="F50" s="50">
        <v>27</v>
      </c>
      <c r="G50" s="50">
        <v>4</v>
      </c>
      <c r="H50" s="50">
        <v>0</v>
      </c>
      <c r="I50" s="50">
        <v>11</v>
      </c>
      <c r="J50" s="50">
        <v>2</v>
      </c>
      <c r="K50" s="50">
        <v>0</v>
      </c>
      <c r="L50" s="50">
        <v>1</v>
      </c>
      <c r="M50" s="50">
        <v>165</v>
      </c>
      <c r="N50" s="50">
        <v>0</v>
      </c>
      <c r="O50" s="15">
        <f t="shared" si="0"/>
        <v>105</v>
      </c>
      <c r="P50" s="15">
        <f t="shared" si="1"/>
        <v>270</v>
      </c>
      <c r="R50" s="8"/>
      <c r="T50"/>
    </row>
    <row r="51" spans="2:20" ht="23.1" customHeight="1" x14ac:dyDescent="0.25">
      <c r="B51" s="46" t="s">
        <v>78</v>
      </c>
      <c r="C51" s="50">
        <v>40</v>
      </c>
      <c r="D51" s="50">
        <v>7</v>
      </c>
      <c r="E51" s="50">
        <v>3</v>
      </c>
      <c r="F51" s="50">
        <v>18</v>
      </c>
      <c r="G51" s="50">
        <v>2</v>
      </c>
      <c r="H51" s="50">
        <v>1</v>
      </c>
      <c r="I51" s="50">
        <v>9</v>
      </c>
      <c r="J51" s="50">
        <v>0</v>
      </c>
      <c r="K51" s="50">
        <v>2</v>
      </c>
      <c r="L51" s="50">
        <v>0</v>
      </c>
      <c r="M51" s="50">
        <v>150</v>
      </c>
      <c r="N51" s="50">
        <v>0</v>
      </c>
      <c r="O51" s="15">
        <f t="shared" si="0"/>
        <v>82</v>
      </c>
      <c r="P51" s="15">
        <f t="shared" si="1"/>
        <v>232</v>
      </c>
      <c r="R51" s="8"/>
      <c r="T51"/>
    </row>
    <row r="52" spans="2:20" ht="23.1" customHeight="1" x14ac:dyDescent="0.25">
      <c r="B52" s="46" t="s">
        <v>79</v>
      </c>
      <c r="C52" s="50">
        <v>50</v>
      </c>
      <c r="D52" s="50">
        <v>4</v>
      </c>
      <c r="E52" s="50">
        <v>3</v>
      </c>
      <c r="F52" s="50">
        <v>55</v>
      </c>
      <c r="G52" s="50">
        <v>3</v>
      </c>
      <c r="H52" s="50">
        <v>2</v>
      </c>
      <c r="I52" s="50">
        <v>4</v>
      </c>
      <c r="J52" s="50">
        <v>1</v>
      </c>
      <c r="K52" s="50">
        <v>1</v>
      </c>
      <c r="L52" s="50">
        <v>2</v>
      </c>
      <c r="M52" s="50">
        <v>170</v>
      </c>
      <c r="N52" s="50">
        <v>0</v>
      </c>
      <c r="O52" s="15">
        <f t="shared" si="0"/>
        <v>125</v>
      </c>
      <c r="P52" s="15">
        <f t="shared" si="1"/>
        <v>295</v>
      </c>
      <c r="R52" s="8"/>
      <c r="T52"/>
    </row>
    <row r="53" spans="2:20" ht="23.1" customHeight="1" x14ac:dyDescent="0.25">
      <c r="B53" s="45" t="s">
        <v>80</v>
      </c>
      <c r="C53" s="50">
        <v>42</v>
      </c>
      <c r="D53" s="50">
        <v>9</v>
      </c>
      <c r="E53" s="50">
        <v>4</v>
      </c>
      <c r="F53" s="50">
        <v>60</v>
      </c>
      <c r="G53" s="50">
        <v>2</v>
      </c>
      <c r="H53" s="50">
        <v>0</v>
      </c>
      <c r="I53" s="50">
        <v>10</v>
      </c>
      <c r="J53" s="50">
        <v>1</v>
      </c>
      <c r="K53" s="50">
        <v>3</v>
      </c>
      <c r="L53" s="50">
        <v>0</v>
      </c>
      <c r="M53" s="50">
        <v>165</v>
      </c>
      <c r="N53" s="50">
        <v>0</v>
      </c>
      <c r="O53" s="15">
        <f t="shared" si="0"/>
        <v>131</v>
      </c>
      <c r="P53" s="15">
        <f t="shared" si="1"/>
        <v>296</v>
      </c>
      <c r="R53" s="8"/>
      <c r="T53"/>
    </row>
    <row r="54" spans="2:20" ht="23.1" customHeight="1" x14ac:dyDescent="0.25">
      <c r="B54" s="45" t="s">
        <v>81</v>
      </c>
      <c r="C54" s="50">
        <v>55</v>
      </c>
      <c r="D54" s="50">
        <v>3</v>
      </c>
      <c r="E54" s="50">
        <v>2</v>
      </c>
      <c r="F54" s="50">
        <v>30</v>
      </c>
      <c r="G54" s="50">
        <v>2</v>
      </c>
      <c r="H54" s="50">
        <v>1</v>
      </c>
      <c r="I54" s="50">
        <v>9</v>
      </c>
      <c r="J54" s="50">
        <v>5</v>
      </c>
      <c r="K54" s="50">
        <v>2</v>
      </c>
      <c r="L54" s="50">
        <v>1</v>
      </c>
      <c r="M54" s="50">
        <v>160</v>
      </c>
      <c r="N54" s="50">
        <v>0</v>
      </c>
      <c r="O54" s="15">
        <f t="shared" si="0"/>
        <v>110</v>
      </c>
      <c r="P54" s="15">
        <f t="shared" si="1"/>
        <v>270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0</v>
      </c>
      <c r="E55" s="50">
        <v>3</v>
      </c>
      <c r="F55" s="50">
        <v>40</v>
      </c>
      <c r="G55" s="50">
        <v>3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76</v>
      </c>
      <c r="P55" s="15">
        <f t="shared" si="1"/>
        <v>221</v>
      </c>
      <c r="R55" s="8"/>
      <c r="T55"/>
    </row>
    <row r="56" spans="2:20" ht="23.1" customHeight="1" x14ac:dyDescent="0.25">
      <c r="B56" s="45" t="s">
        <v>83</v>
      </c>
      <c r="C56" s="50">
        <v>40</v>
      </c>
      <c r="D56" s="50">
        <v>3</v>
      </c>
      <c r="E56" s="50">
        <v>2</v>
      </c>
      <c r="F56" s="50">
        <v>39</v>
      </c>
      <c r="G56" s="50">
        <v>0</v>
      </c>
      <c r="H56" s="50">
        <v>0</v>
      </c>
      <c r="I56" s="50">
        <v>12</v>
      </c>
      <c r="J56" s="50">
        <v>0</v>
      </c>
      <c r="K56" s="50">
        <v>3</v>
      </c>
      <c r="L56" s="50">
        <v>0</v>
      </c>
      <c r="M56" s="50">
        <v>125</v>
      </c>
      <c r="N56" s="50">
        <v>0</v>
      </c>
      <c r="O56" s="15">
        <f t="shared" si="0"/>
        <v>99</v>
      </c>
      <c r="P56" s="15">
        <f t="shared" si="1"/>
        <v>224</v>
      </c>
      <c r="R56" s="8"/>
      <c r="T56"/>
    </row>
    <row r="57" spans="2:20" ht="23.1" customHeight="1" x14ac:dyDescent="0.25">
      <c r="B57" s="45" t="s">
        <v>84</v>
      </c>
      <c r="C57" s="50">
        <v>35</v>
      </c>
      <c r="D57" s="50">
        <v>2</v>
      </c>
      <c r="E57" s="50">
        <v>1</v>
      </c>
      <c r="F57" s="50">
        <v>47</v>
      </c>
      <c r="G57" s="50">
        <v>4</v>
      </c>
      <c r="H57" s="50">
        <v>1</v>
      </c>
      <c r="I57" s="50">
        <v>15</v>
      </c>
      <c r="J57" s="50">
        <v>2</v>
      </c>
      <c r="K57" s="50">
        <v>4</v>
      </c>
      <c r="L57" s="50">
        <v>1</v>
      </c>
      <c r="M57" s="50">
        <v>130</v>
      </c>
      <c r="N57" s="50">
        <v>0</v>
      </c>
      <c r="O57" s="15">
        <f t="shared" si="0"/>
        <v>112</v>
      </c>
      <c r="P57" s="15">
        <f t="shared" si="1"/>
        <v>242</v>
      </c>
      <c r="R57" s="8"/>
      <c r="T57"/>
    </row>
    <row r="58" spans="2:20" ht="23.1" customHeight="1" x14ac:dyDescent="0.25">
      <c r="B58" s="45" t="s">
        <v>99</v>
      </c>
      <c r="C58" s="50">
        <v>44</v>
      </c>
      <c r="D58" s="50">
        <v>27</v>
      </c>
      <c r="E58" s="50">
        <v>3</v>
      </c>
      <c r="F58" s="50">
        <v>58</v>
      </c>
      <c r="G58" s="50">
        <v>7</v>
      </c>
      <c r="H58" s="50">
        <v>0</v>
      </c>
      <c r="I58" s="50">
        <v>6</v>
      </c>
      <c r="J58" s="50">
        <v>2</v>
      </c>
      <c r="K58" s="50">
        <v>0</v>
      </c>
      <c r="L58" s="50">
        <v>0</v>
      </c>
      <c r="M58" s="50">
        <v>135</v>
      </c>
      <c r="N58" s="50">
        <v>0</v>
      </c>
      <c r="O58" s="15">
        <f t="shared" si="0"/>
        <v>147</v>
      </c>
      <c r="P58" s="15">
        <f t="shared" si="1"/>
        <v>282</v>
      </c>
      <c r="R58" s="8"/>
      <c r="T58"/>
    </row>
    <row r="59" spans="2:20" ht="23.1" customHeight="1" x14ac:dyDescent="0.25">
      <c r="B59" s="45" t="s">
        <v>100</v>
      </c>
      <c r="C59" s="50">
        <v>37</v>
      </c>
      <c r="D59" s="50">
        <v>29</v>
      </c>
      <c r="E59" s="50">
        <v>0</v>
      </c>
      <c r="F59" s="50">
        <v>41</v>
      </c>
      <c r="G59" s="50">
        <v>3</v>
      </c>
      <c r="H59" s="50">
        <v>0</v>
      </c>
      <c r="I59" s="50">
        <v>8</v>
      </c>
      <c r="J59" s="50">
        <v>1</v>
      </c>
      <c r="K59" s="50">
        <v>0</v>
      </c>
      <c r="L59" s="50">
        <v>2</v>
      </c>
      <c r="M59" s="50">
        <v>140</v>
      </c>
      <c r="N59" s="50">
        <v>0</v>
      </c>
      <c r="O59" s="15">
        <f t="shared" si="0"/>
        <v>121</v>
      </c>
      <c r="P59" s="15">
        <f t="shared" si="1"/>
        <v>261</v>
      </c>
      <c r="R59" s="8"/>
      <c r="T59"/>
    </row>
    <row r="60" spans="2:20" ht="23.1" customHeight="1" x14ac:dyDescent="0.25">
      <c r="B60" s="45" t="s">
        <v>101</v>
      </c>
      <c r="C60" s="50">
        <v>27</v>
      </c>
      <c r="D60" s="50">
        <v>24</v>
      </c>
      <c r="E60" s="50">
        <v>4</v>
      </c>
      <c r="F60" s="50">
        <v>39</v>
      </c>
      <c r="G60" s="50">
        <v>1</v>
      </c>
      <c r="H60" s="50">
        <v>0</v>
      </c>
      <c r="I60" s="50">
        <v>4</v>
      </c>
      <c r="J60" s="50">
        <v>4</v>
      </c>
      <c r="K60" s="50">
        <v>3</v>
      </c>
      <c r="L60" s="50">
        <v>1</v>
      </c>
      <c r="M60" s="50">
        <v>143</v>
      </c>
      <c r="N60" s="50">
        <v>0</v>
      </c>
      <c r="O60" s="15">
        <f t="shared" si="0"/>
        <v>107</v>
      </c>
      <c r="P60" s="15">
        <f t="shared" si="1"/>
        <v>250</v>
      </c>
      <c r="R60" s="8"/>
      <c r="T60"/>
    </row>
    <row r="61" spans="2:20" ht="23.1" customHeight="1" x14ac:dyDescent="0.25">
      <c r="B61" s="45" t="s">
        <v>102</v>
      </c>
      <c r="C61" s="50">
        <v>33</v>
      </c>
      <c r="D61" s="50">
        <v>27</v>
      </c>
      <c r="E61" s="50">
        <v>0</v>
      </c>
      <c r="F61" s="50">
        <v>20</v>
      </c>
      <c r="G61" s="50">
        <v>0</v>
      </c>
      <c r="H61" s="50">
        <v>0</v>
      </c>
      <c r="I61" s="50">
        <v>12</v>
      </c>
      <c r="J61" s="50">
        <v>7</v>
      </c>
      <c r="K61" s="50">
        <v>5</v>
      </c>
      <c r="L61" s="50">
        <v>6</v>
      </c>
      <c r="M61" s="50">
        <v>205</v>
      </c>
      <c r="N61" s="50">
        <v>0</v>
      </c>
      <c r="O61" s="15">
        <f t="shared" si="0"/>
        <v>110</v>
      </c>
      <c r="P61" s="15">
        <f t="shared" si="1"/>
        <v>315</v>
      </c>
      <c r="R61" s="8"/>
      <c r="T61"/>
    </row>
    <row r="62" spans="2:20" ht="23.1" customHeight="1" x14ac:dyDescent="0.25">
      <c r="B62" s="45" t="s">
        <v>107</v>
      </c>
      <c r="C62" s="50">
        <v>50</v>
      </c>
      <c r="D62" s="50">
        <v>42</v>
      </c>
      <c r="E62" s="50">
        <v>8</v>
      </c>
      <c r="F62" s="50">
        <v>56</v>
      </c>
      <c r="G62" s="50">
        <v>4</v>
      </c>
      <c r="H62" s="50">
        <v>0</v>
      </c>
      <c r="I62" s="50">
        <v>10</v>
      </c>
      <c r="J62" s="50">
        <v>5</v>
      </c>
      <c r="K62" s="50">
        <v>2</v>
      </c>
      <c r="L62" s="50">
        <v>0</v>
      </c>
      <c r="M62" s="50">
        <v>165</v>
      </c>
      <c r="N62" s="50">
        <v>0</v>
      </c>
      <c r="O62" s="15">
        <f t="shared" si="0"/>
        <v>177</v>
      </c>
      <c r="P62" s="15">
        <f t="shared" si="1"/>
        <v>342</v>
      </c>
      <c r="R62" s="8"/>
      <c r="T62"/>
    </row>
    <row r="63" spans="2:20" ht="23.1" customHeight="1" x14ac:dyDescent="0.25">
      <c r="B63" s="45" t="s">
        <v>108</v>
      </c>
      <c r="C63" s="50">
        <v>52</v>
      </c>
      <c r="D63" s="50">
        <v>32</v>
      </c>
      <c r="E63" s="50">
        <v>3</v>
      </c>
      <c r="F63" s="50">
        <v>52</v>
      </c>
      <c r="G63" s="50">
        <v>6</v>
      </c>
      <c r="H63" s="50">
        <v>1</v>
      </c>
      <c r="I63" s="50">
        <v>7</v>
      </c>
      <c r="J63" s="50">
        <v>0</v>
      </c>
      <c r="K63" s="50">
        <v>0</v>
      </c>
      <c r="L63" s="50">
        <v>0</v>
      </c>
      <c r="M63" s="50">
        <v>185</v>
      </c>
      <c r="N63" s="50">
        <v>1</v>
      </c>
      <c r="O63" s="15">
        <f t="shared" si="0"/>
        <v>154</v>
      </c>
      <c r="P63" s="15">
        <f t="shared" si="1"/>
        <v>339</v>
      </c>
      <c r="R63" s="8"/>
      <c r="T63"/>
    </row>
    <row r="64" spans="2:20" ht="23.1" customHeight="1" x14ac:dyDescent="0.25">
      <c r="B64" s="45" t="s">
        <v>109</v>
      </c>
      <c r="C64" s="50">
        <v>48</v>
      </c>
      <c r="D64" s="50">
        <v>27</v>
      </c>
      <c r="E64" s="50">
        <v>1</v>
      </c>
      <c r="F64" s="50">
        <v>42</v>
      </c>
      <c r="G64" s="50">
        <v>2</v>
      </c>
      <c r="H64" s="50">
        <v>1</v>
      </c>
      <c r="I64" s="50">
        <v>4</v>
      </c>
      <c r="J64" s="50">
        <v>1</v>
      </c>
      <c r="K64" s="50">
        <v>0</v>
      </c>
      <c r="L64" s="50">
        <v>3</v>
      </c>
      <c r="M64" s="50">
        <v>140</v>
      </c>
      <c r="N64" s="50">
        <v>0</v>
      </c>
      <c r="O64" s="15">
        <f t="shared" si="0"/>
        <v>129</v>
      </c>
      <c r="P64" s="15">
        <f t="shared" si="1"/>
        <v>269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23</v>
      </c>
      <c r="E65" s="50">
        <v>5</v>
      </c>
      <c r="F65" s="50">
        <v>31</v>
      </c>
      <c r="G65" s="50">
        <v>1</v>
      </c>
      <c r="H65" s="50">
        <v>6</v>
      </c>
      <c r="I65" s="50">
        <v>1</v>
      </c>
      <c r="J65" s="50">
        <v>3</v>
      </c>
      <c r="K65" s="50">
        <v>1</v>
      </c>
      <c r="L65" s="50">
        <v>0</v>
      </c>
      <c r="M65" s="50">
        <v>170</v>
      </c>
      <c r="N65" s="50">
        <v>0</v>
      </c>
      <c r="O65" s="15">
        <f t="shared" si="0"/>
        <v>111</v>
      </c>
      <c r="P65" s="15">
        <f t="shared" si="1"/>
        <v>281</v>
      </c>
      <c r="R65" s="8"/>
      <c r="T65"/>
    </row>
    <row r="66" spans="2:20" ht="23.1" customHeight="1" x14ac:dyDescent="0.25">
      <c r="B66" s="45" t="s">
        <v>103</v>
      </c>
      <c r="C66" s="50">
        <v>29</v>
      </c>
      <c r="D66" s="50">
        <v>12</v>
      </c>
      <c r="E66" s="50">
        <v>1</v>
      </c>
      <c r="F66" s="50">
        <v>13</v>
      </c>
      <c r="G66" s="50">
        <v>0</v>
      </c>
      <c r="H66" s="50">
        <v>4</v>
      </c>
      <c r="I66" s="50">
        <v>4</v>
      </c>
      <c r="J66" s="50">
        <v>2</v>
      </c>
      <c r="K66" s="50">
        <v>0</v>
      </c>
      <c r="L66" s="50">
        <v>0</v>
      </c>
      <c r="M66" s="50">
        <v>150</v>
      </c>
      <c r="N66" s="50">
        <v>0</v>
      </c>
      <c r="O66" s="15">
        <f t="shared" si="0"/>
        <v>65</v>
      </c>
      <c r="P66" s="15">
        <f t="shared" si="1"/>
        <v>215</v>
      </c>
      <c r="R66" s="8"/>
      <c r="T66"/>
    </row>
    <row r="67" spans="2:20" ht="23.1" customHeight="1" x14ac:dyDescent="0.25">
      <c r="B67" s="45" t="s">
        <v>104</v>
      </c>
      <c r="C67" s="50">
        <v>76</v>
      </c>
      <c r="D67" s="50">
        <v>18</v>
      </c>
      <c r="E67" s="50">
        <v>5</v>
      </c>
      <c r="F67" s="50">
        <v>27</v>
      </c>
      <c r="G67" s="50">
        <v>2</v>
      </c>
      <c r="H67" s="50">
        <v>1</v>
      </c>
      <c r="I67" s="50">
        <v>3</v>
      </c>
      <c r="J67" s="50">
        <v>5</v>
      </c>
      <c r="K67" s="50">
        <v>0</v>
      </c>
      <c r="L67" s="50">
        <v>1</v>
      </c>
      <c r="M67" s="50">
        <v>210</v>
      </c>
      <c r="N67" s="50">
        <v>0</v>
      </c>
      <c r="O67" s="15">
        <f t="shared" si="0"/>
        <v>138</v>
      </c>
      <c r="P67" s="15">
        <f t="shared" si="1"/>
        <v>348</v>
      </c>
      <c r="R67" s="8"/>
      <c r="T67"/>
    </row>
    <row r="68" spans="2:20" ht="23.1" customHeight="1" x14ac:dyDescent="0.25">
      <c r="B68" s="45" t="s">
        <v>105</v>
      </c>
      <c r="C68" s="50">
        <v>32</v>
      </c>
      <c r="D68" s="50">
        <v>17</v>
      </c>
      <c r="E68" s="50">
        <v>2</v>
      </c>
      <c r="F68" s="50">
        <v>27</v>
      </c>
      <c r="G68" s="50">
        <v>3</v>
      </c>
      <c r="H68" s="50">
        <v>3</v>
      </c>
      <c r="I68" s="50">
        <v>7</v>
      </c>
      <c r="J68" s="50">
        <v>3</v>
      </c>
      <c r="K68" s="50">
        <v>0</v>
      </c>
      <c r="L68" s="50">
        <v>0</v>
      </c>
      <c r="M68" s="50">
        <v>215</v>
      </c>
      <c r="N68" s="50">
        <v>0</v>
      </c>
      <c r="O68" s="15">
        <f t="shared" si="0"/>
        <v>94</v>
      </c>
      <c r="P68" s="15">
        <f t="shared" si="1"/>
        <v>309</v>
      </c>
      <c r="R68" s="8"/>
      <c r="T68"/>
    </row>
    <row r="69" spans="2:20" ht="23.1" customHeight="1" x14ac:dyDescent="0.25">
      <c r="B69" s="45" t="s">
        <v>106</v>
      </c>
      <c r="C69" s="50">
        <v>27</v>
      </c>
      <c r="D69" s="50">
        <v>6</v>
      </c>
      <c r="E69" s="50">
        <v>3</v>
      </c>
      <c r="F69" s="50">
        <v>13</v>
      </c>
      <c r="G69" s="50">
        <v>3</v>
      </c>
      <c r="H69" s="50">
        <v>1</v>
      </c>
      <c r="I69" s="50">
        <v>2</v>
      </c>
      <c r="J69" s="50">
        <v>4</v>
      </c>
      <c r="K69" s="50">
        <v>0</v>
      </c>
      <c r="L69" s="50">
        <v>0</v>
      </c>
      <c r="M69" s="50">
        <v>189</v>
      </c>
      <c r="N69" s="50">
        <v>0</v>
      </c>
      <c r="O69" s="15">
        <f t="shared" si="0"/>
        <v>59</v>
      </c>
      <c r="P69" s="15">
        <f t="shared" si="1"/>
        <v>248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11</v>
      </c>
      <c r="E70" s="50">
        <v>1</v>
      </c>
      <c r="F70" s="50">
        <v>46</v>
      </c>
      <c r="G70" s="50">
        <v>25</v>
      </c>
      <c r="H70" s="50">
        <v>2</v>
      </c>
      <c r="I70" s="50">
        <v>3</v>
      </c>
      <c r="J70" s="50">
        <v>7</v>
      </c>
      <c r="K70" s="50">
        <v>0</v>
      </c>
      <c r="L70" s="50">
        <v>0</v>
      </c>
      <c r="M70" s="50">
        <v>140</v>
      </c>
      <c r="N70" s="50">
        <v>0</v>
      </c>
      <c r="O70" s="15">
        <f t="shared" si="0"/>
        <v>135</v>
      </c>
      <c r="P70" s="15">
        <f t="shared" si="1"/>
        <v>275</v>
      </c>
      <c r="R70" s="8"/>
      <c r="T70"/>
    </row>
    <row r="71" spans="2:20" ht="23.1" customHeight="1" x14ac:dyDescent="0.25">
      <c r="B71" s="45" t="s">
        <v>111</v>
      </c>
      <c r="C71" s="50">
        <v>49</v>
      </c>
      <c r="D71" s="50">
        <v>30</v>
      </c>
      <c r="E71" s="50">
        <v>0</v>
      </c>
      <c r="F71" s="50">
        <v>33</v>
      </c>
      <c r="G71" s="50">
        <v>3</v>
      </c>
      <c r="H71" s="50">
        <v>2</v>
      </c>
      <c r="I71" s="50">
        <v>1</v>
      </c>
      <c r="J71" s="50">
        <v>0</v>
      </c>
      <c r="K71" s="50">
        <v>0</v>
      </c>
      <c r="L71" s="50">
        <v>0</v>
      </c>
      <c r="M71" s="50">
        <v>145</v>
      </c>
      <c r="N71" s="50">
        <v>0</v>
      </c>
      <c r="O71" s="15">
        <f t="shared" si="0"/>
        <v>118</v>
      </c>
      <c r="P71" s="15">
        <f t="shared" si="1"/>
        <v>263</v>
      </c>
      <c r="R71" s="8"/>
      <c r="T71"/>
    </row>
    <row r="72" spans="2:20" ht="23.1" customHeight="1" x14ac:dyDescent="0.25">
      <c r="B72" s="45" t="s">
        <v>112</v>
      </c>
      <c r="C72" s="50">
        <v>50</v>
      </c>
      <c r="D72" s="50">
        <v>27</v>
      </c>
      <c r="E72" s="50">
        <v>0</v>
      </c>
      <c r="F72" s="50">
        <v>5</v>
      </c>
      <c r="G72" s="50">
        <v>0</v>
      </c>
      <c r="H72" s="50">
        <v>0</v>
      </c>
      <c r="I72" s="50">
        <v>0</v>
      </c>
      <c r="J72" s="50">
        <v>2</v>
      </c>
      <c r="K72" s="50">
        <v>2</v>
      </c>
      <c r="L72" s="50">
        <v>1</v>
      </c>
      <c r="M72" s="50">
        <v>120</v>
      </c>
      <c r="N72" s="50">
        <v>0</v>
      </c>
      <c r="O72" s="15">
        <f t="shared" si="0"/>
        <v>87</v>
      </c>
      <c r="P72" s="15">
        <f t="shared" si="1"/>
        <v>207</v>
      </c>
      <c r="R72" s="8"/>
      <c r="T72"/>
    </row>
    <row r="73" spans="2:20" ht="23.1" customHeight="1" x14ac:dyDescent="0.25">
      <c r="B73" s="45" t="s">
        <v>113</v>
      </c>
      <c r="C73" s="50">
        <v>56</v>
      </c>
      <c r="D73" s="50">
        <v>31</v>
      </c>
      <c r="E73" s="50">
        <v>0</v>
      </c>
      <c r="F73" s="50">
        <v>30</v>
      </c>
      <c r="G73" s="50">
        <v>4</v>
      </c>
      <c r="H73" s="50">
        <v>0</v>
      </c>
      <c r="I73" s="50">
        <v>0</v>
      </c>
      <c r="J73" s="50">
        <v>1</v>
      </c>
      <c r="K73" s="50">
        <v>2</v>
      </c>
      <c r="L73" s="50">
        <v>2</v>
      </c>
      <c r="M73" s="50">
        <v>130</v>
      </c>
      <c r="N73" s="50">
        <v>0</v>
      </c>
      <c r="O73" s="15">
        <f t="shared" si="0"/>
        <v>126</v>
      </c>
      <c r="P73" s="15">
        <f t="shared" si="1"/>
        <v>256</v>
      </c>
      <c r="R73" s="8"/>
      <c r="T73"/>
    </row>
    <row r="74" spans="2:20" ht="23.1" customHeight="1" x14ac:dyDescent="0.25">
      <c r="B74" s="45" t="s">
        <v>114</v>
      </c>
      <c r="C74" s="50">
        <v>35</v>
      </c>
      <c r="D74" s="50">
        <v>21</v>
      </c>
      <c r="E74" s="50">
        <v>0</v>
      </c>
      <c r="F74" s="50">
        <v>21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76</v>
      </c>
      <c r="N74" s="50">
        <v>0</v>
      </c>
      <c r="O74" s="15">
        <f t="shared" ref="O74:O105" si="35">SUM(C74:L74,N74)</f>
        <v>77</v>
      </c>
      <c r="P74" s="15">
        <f t="shared" ref="P74:P105" si="36">SUM(C74:N74)</f>
        <v>153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10</v>
      </c>
      <c r="E75" s="50">
        <v>0</v>
      </c>
      <c r="F75" s="50">
        <v>23</v>
      </c>
      <c r="G75" s="50">
        <v>0</v>
      </c>
      <c r="H75" s="50">
        <v>0</v>
      </c>
      <c r="I75" s="50">
        <v>4</v>
      </c>
      <c r="J75" s="50">
        <v>2</v>
      </c>
      <c r="K75" s="50">
        <v>0</v>
      </c>
      <c r="L75" s="50">
        <v>5</v>
      </c>
      <c r="M75" s="50">
        <v>60</v>
      </c>
      <c r="N75" s="50">
        <v>0</v>
      </c>
      <c r="O75" s="15">
        <f t="shared" si="35"/>
        <v>74</v>
      </c>
      <c r="P75" s="15">
        <f t="shared" si="36"/>
        <v>134</v>
      </c>
      <c r="R75" s="8"/>
      <c r="T75"/>
    </row>
    <row r="76" spans="2:20" ht="23.1" customHeight="1" x14ac:dyDescent="0.25">
      <c r="B76" s="45" t="s">
        <v>116</v>
      </c>
      <c r="C76" s="50">
        <v>22</v>
      </c>
      <c r="D76" s="50">
        <v>15</v>
      </c>
      <c r="E76" s="50">
        <v>3</v>
      </c>
      <c r="F76" s="50">
        <v>28</v>
      </c>
      <c r="G76" s="50">
        <v>0</v>
      </c>
      <c r="H76" s="50">
        <v>0</v>
      </c>
      <c r="I76" s="50">
        <v>8</v>
      </c>
      <c r="J76" s="50">
        <v>1</v>
      </c>
      <c r="K76" s="50">
        <v>3</v>
      </c>
      <c r="L76" s="50">
        <v>5</v>
      </c>
      <c r="M76" s="50">
        <v>62</v>
      </c>
      <c r="N76" s="50">
        <v>0</v>
      </c>
      <c r="O76" s="15">
        <f t="shared" si="35"/>
        <v>85</v>
      </c>
      <c r="P76" s="15">
        <f t="shared" si="36"/>
        <v>147</v>
      </c>
      <c r="R76" s="8"/>
      <c r="T76"/>
    </row>
    <row r="77" spans="2:20" ht="23.1" customHeight="1" x14ac:dyDescent="0.25">
      <c r="B77" s="45" t="s">
        <v>117</v>
      </c>
      <c r="C77" s="50">
        <v>26</v>
      </c>
      <c r="D77" s="50">
        <v>17</v>
      </c>
      <c r="E77" s="50">
        <v>0</v>
      </c>
      <c r="F77" s="50">
        <v>18</v>
      </c>
      <c r="G77" s="50">
        <v>0</v>
      </c>
      <c r="H77" s="50">
        <v>0</v>
      </c>
      <c r="I77" s="50">
        <v>0</v>
      </c>
      <c r="J77" s="50">
        <v>3</v>
      </c>
      <c r="K77" s="50">
        <v>4</v>
      </c>
      <c r="L77" s="50">
        <v>0</v>
      </c>
      <c r="M77" s="50">
        <v>87</v>
      </c>
      <c r="N77" s="50">
        <v>0</v>
      </c>
      <c r="O77" s="15">
        <f t="shared" si="35"/>
        <v>68</v>
      </c>
      <c r="P77" s="15">
        <f t="shared" si="36"/>
        <v>155</v>
      </c>
      <c r="R77" s="8"/>
      <c r="T77"/>
    </row>
    <row r="78" spans="2:20" ht="23.1" customHeight="1" x14ac:dyDescent="0.25">
      <c r="B78" s="46" t="s">
        <v>118</v>
      </c>
      <c r="C78" s="50">
        <v>11</v>
      </c>
      <c r="D78" s="50">
        <v>7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61</v>
      </c>
      <c r="N78" s="50">
        <v>0</v>
      </c>
      <c r="O78" s="15">
        <f t="shared" si="35"/>
        <v>20</v>
      </c>
      <c r="P78" s="15">
        <f t="shared" si="36"/>
        <v>81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6</v>
      </c>
      <c r="E79" s="50">
        <v>2</v>
      </c>
      <c r="F79" s="50">
        <v>2</v>
      </c>
      <c r="G79" s="50">
        <v>0</v>
      </c>
      <c r="H79" s="50">
        <v>0</v>
      </c>
      <c r="I79" s="50">
        <v>3</v>
      </c>
      <c r="J79" s="50">
        <v>2</v>
      </c>
      <c r="K79" s="50">
        <v>1</v>
      </c>
      <c r="L79" s="50">
        <v>3</v>
      </c>
      <c r="M79" s="50">
        <v>77</v>
      </c>
      <c r="N79" s="50">
        <v>0</v>
      </c>
      <c r="O79" s="15">
        <f t="shared" si="35"/>
        <v>26</v>
      </c>
      <c r="P79" s="15">
        <f t="shared" si="36"/>
        <v>103</v>
      </c>
      <c r="R79" s="8"/>
      <c r="T79"/>
    </row>
    <row r="80" spans="2:20" ht="23.1" customHeight="1" x14ac:dyDescent="0.25">
      <c r="B80" s="47" t="s">
        <v>120</v>
      </c>
      <c r="C80" s="50">
        <v>8</v>
      </c>
      <c r="D80" s="50">
        <v>9</v>
      </c>
      <c r="E80" s="50">
        <v>1</v>
      </c>
      <c r="F80" s="50">
        <v>12</v>
      </c>
      <c r="G80" s="50">
        <v>0</v>
      </c>
      <c r="H80" s="50">
        <v>0</v>
      </c>
      <c r="I80" s="50">
        <v>3</v>
      </c>
      <c r="J80" s="50">
        <v>6</v>
      </c>
      <c r="K80" s="50">
        <v>6</v>
      </c>
      <c r="L80" s="50">
        <v>4</v>
      </c>
      <c r="M80" s="50">
        <v>75</v>
      </c>
      <c r="N80" s="50">
        <v>0</v>
      </c>
      <c r="O80" s="15">
        <f t="shared" si="35"/>
        <v>49</v>
      </c>
      <c r="P80" s="15">
        <f t="shared" si="36"/>
        <v>124</v>
      </c>
      <c r="R80" s="8"/>
      <c r="T80"/>
    </row>
    <row r="81" spans="2:20" ht="23.1" customHeight="1" x14ac:dyDescent="0.25">
      <c r="B81" s="45" t="s">
        <v>121</v>
      </c>
      <c r="C81" s="50">
        <v>11</v>
      </c>
      <c r="D81" s="50">
        <v>13</v>
      </c>
      <c r="E81" s="50">
        <v>0</v>
      </c>
      <c r="F81" s="50">
        <v>14</v>
      </c>
      <c r="G81" s="50">
        <v>0</v>
      </c>
      <c r="H81" s="50">
        <v>0</v>
      </c>
      <c r="I81" s="50">
        <v>10</v>
      </c>
      <c r="J81" s="50">
        <v>3</v>
      </c>
      <c r="K81" s="50">
        <v>1</v>
      </c>
      <c r="L81" s="50">
        <v>0</v>
      </c>
      <c r="M81" s="50">
        <v>82</v>
      </c>
      <c r="N81" s="50">
        <v>0</v>
      </c>
      <c r="O81" s="15">
        <f t="shared" si="35"/>
        <v>52</v>
      </c>
      <c r="P81" s="15">
        <f t="shared" si="36"/>
        <v>134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7</v>
      </c>
      <c r="E82" s="50">
        <v>0</v>
      </c>
      <c r="F82" s="50">
        <v>6</v>
      </c>
      <c r="G82" s="50">
        <v>0</v>
      </c>
      <c r="H82" s="50">
        <v>0</v>
      </c>
      <c r="I82" s="50">
        <v>1</v>
      </c>
      <c r="J82" s="50">
        <v>3</v>
      </c>
      <c r="K82" s="50">
        <v>2</v>
      </c>
      <c r="L82" s="50">
        <v>1</v>
      </c>
      <c r="M82" s="50">
        <v>45</v>
      </c>
      <c r="N82" s="50">
        <v>0</v>
      </c>
      <c r="O82" s="15">
        <f t="shared" si="35"/>
        <v>25</v>
      </c>
      <c r="P82" s="15">
        <f t="shared" si="36"/>
        <v>70</v>
      </c>
      <c r="R82" s="8"/>
      <c r="T82"/>
    </row>
    <row r="83" spans="2:20" ht="23.1" customHeight="1" x14ac:dyDescent="0.25">
      <c r="B83" s="45" t="s">
        <v>123</v>
      </c>
      <c r="C83" s="50">
        <v>16</v>
      </c>
      <c r="D83" s="50">
        <v>14</v>
      </c>
      <c r="E83" s="50">
        <v>1</v>
      </c>
      <c r="F83" s="50">
        <v>11</v>
      </c>
      <c r="G83" s="50">
        <v>0</v>
      </c>
      <c r="H83" s="50">
        <v>0</v>
      </c>
      <c r="I83" s="50">
        <v>2</v>
      </c>
      <c r="J83" s="50">
        <v>1</v>
      </c>
      <c r="K83" s="50">
        <v>0</v>
      </c>
      <c r="L83" s="50">
        <v>0</v>
      </c>
      <c r="M83" s="50">
        <v>48</v>
      </c>
      <c r="N83" s="50">
        <v>0</v>
      </c>
      <c r="O83" s="15">
        <f t="shared" si="35"/>
        <v>45</v>
      </c>
      <c r="P83" s="15">
        <f t="shared" si="36"/>
        <v>93</v>
      </c>
      <c r="R83" s="8"/>
      <c r="T83"/>
    </row>
    <row r="84" spans="2:20" ht="23.1" customHeight="1" x14ac:dyDescent="0.25">
      <c r="B84" s="47" t="s">
        <v>124</v>
      </c>
      <c r="C84" s="50">
        <v>21</v>
      </c>
      <c r="D84" s="50">
        <v>19</v>
      </c>
      <c r="E84" s="50">
        <v>0</v>
      </c>
      <c r="F84" s="50">
        <v>7</v>
      </c>
      <c r="G84" s="50">
        <v>0</v>
      </c>
      <c r="H84" s="50">
        <v>0</v>
      </c>
      <c r="I84" s="50">
        <v>0</v>
      </c>
      <c r="J84" s="50">
        <v>3</v>
      </c>
      <c r="K84" s="50">
        <v>4</v>
      </c>
      <c r="L84" s="50">
        <v>2</v>
      </c>
      <c r="M84" s="50">
        <v>51</v>
      </c>
      <c r="N84" s="50">
        <v>0</v>
      </c>
      <c r="O84" s="15">
        <f t="shared" si="35"/>
        <v>56</v>
      </c>
      <c r="P84" s="15">
        <f t="shared" si="36"/>
        <v>107</v>
      </c>
      <c r="R84" s="8"/>
      <c r="T84"/>
    </row>
    <row r="85" spans="2:20" ht="23.1" customHeight="1" x14ac:dyDescent="0.25">
      <c r="B85" s="45" t="s">
        <v>125</v>
      </c>
      <c r="C85" s="50">
        <v>22</v>
      </c>
      <c r="D85" s="50">
        <v>23</v>
      </c>
      <c r="E85" s="50">
        <v>0</v>
      </c>
      <c r="F85" s="50">
        <v>9</v>
      </c>
      <c r="G85" s="50">
        <v>0</v>
      </c>
      <c r="H85" s="50">
        <v>0</v>
      </c>
      <c r="I85" s="50">
        <v>2</v>
      </c>
      <c r="J85" s="50">
        <v>5</v>
      </c>
      <c r="K85" s="50">
        <v>5</v>
      </c>
      <c r="L85" s="50">
        <v>0</v>
      </c>
      <c r="M85" s="50">
        <v>41</v>
      </c>
      <c r="N85" s="50">
        <v>0</v>
      </c>
      <c r="O85" s="15">
        <f t="shared" si="35"/>
        <v>66</v>
      </c>
      <c r="P85" s="15">
        <f t="shared" si="36"/>
        <v>107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3</v>
      </c>
      <c r="E86" s="50">
        <v>0</v>
      </c>
      <c r="F86" s="50">
        <v>1</v>
      </c>
      <c r="G86" s="50">
        <v>0</v>
      </c>
      <c r="H86" s="50">
        <v>0</v>
      </c>
      <c r="I86" s="50">
        <v>1</v>
      </c>
      <c r="J86" s="50">
        <v>5</v>
      </c>
      <c r="K86" s="50">
        <v>1</v>
      </c>
      <c r="L86" s="50">
        <v>0</v>
      </c>
      <c r="M86" s="50">
        <v>54</v>
      </c>
      <c r="N86" s="50">
        <v>0</v>
      </c>
      <c r="O86" s="15">
        <f t="shared" si="35"/>
        <v>16</v>
      </c>
      <c r="P86" s="15">
        <f t="shared" si="36"/>
        <v>70</v>
      </c>
      <c r="R86" s="8"/>
      <c r="T86"/>
    </row>
    <row r="87" spans="2:20" ht="23.1" customHeight="1" x14ac:dyDescent="0.25">
      <c r="B87" s="45" t="s">
        <v>127</v>
      </c>
      <c r="C87" s="50">
        <v>15</v>
      </c>
      <c r="D87" s="50">
        <v>10</v>
      </c>
      <c r="E87" s="50">
        <v>0</v>
      </c>
      <c r="F87" s="50">
        <v>2</v>
      </c>
      <c r="G87" s="50">
        <v>0</v>
      </c>
      <c r="H87" s="50">
        <v>0</v>
      </c>
      <c r="I87" s="50">
        <v>2</v>
      </c>
      <c r="J87" s="50">
        <v>1</v>
      </c>
      <c r="K87" s="50">
        <v>0</v>
      </c>
      <c r="L87" s="50">
        <v>1</v>
      </c>
      <c r="M87" s="50">
        <v>18</v>
      </c>
      <c r="N87" s="50">
        <v>0</v>
      </c>
      <c r="O87" s="15">
        <f t="shared" si="35"/>
        <v>31</v>
      </c>
      <c r="P87" s="15">
        <f t="shared" si="36"/>
        <v>49</v>
      </c>
      <c r="R87" s="8"/>
      <c r="T87"/>
    </row>
    <row r="88" spans="2:20" ht="23.1" customHeight="1" x14ac:dyDescent="0.25">
      <c r="B88" s="47" t="s">
        <v>128</v>
      </c>
      <c r="C88" s="50">
        <v>22</v>
      </c>
      <c r="D88" s="50">
        <v>11</v>
      </c>
      <c r="E88" s="50">
        <v>0</v>
      </c>
      <c r="F88" s="50">
        <v>3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45</v>
      </c>
      <c r="N88" s="50">
        <v>0</v>
      </c>
      <c r="O88" s="15">
        <f t="shared" si="35"/>
        <v>36</v>
      </c>
      <c r="P88" s="15">
        <f t="shared" si="36"/>
        <v>81</v>
      </c>
      <c r="R88" s="8"/>
      <c r="T88"/>
    </row>
    <row r="89" spans="2:20" ht="23.1" customHeight="1" x14ac:dyDescent="0.25">
      <c r="B89" s="45" t="s">
        <v>129</v>
      </c>
      <c r="C89" s="50">
        <v>39</v>
      </c>
      <c r="D89" s="50">
        <v>17</v>
      </c>
      <c r="E89" s="50">
        <v>0</v>
      </c>
      <c r="F89" s="50">
        <v>4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53</v>
      </c>
      <c r="N89" s="50">
        <v>0</v>
      </c>
      <c r="O89" s="15">
        <f t="shared" si="35"/>
        <v>60</v>
      </c>
      <c r="P89" s="15">
        <f t="shared" si="36"/>
        <v>113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1</v>
      </c>
      <c r="E90" s="50">
        <v>0</v>
      </c>
      <c r="F90" s="50">
        <v>2</v>
      </c>
      <c r="G90" s="50">
        <v>0</v>
      </c>
      <c r="H90" s="50">
        <v>0</v>
      </c>
      <c r="I90" s="50">
        <v>0</v>
      </c>
      <c r="J90" s="50">
        <v>3</v>
      </c>
      <c r="K90" s="50">
        <v>0</v>
      </c>
      <c r="L90" s="50">
        <v>0</v>
      </c>
      <c r="M90" s="50">
        <v>27</v>
      </c>
      <c r="N90" s="50">
        <v>0</v>
      </c>
      <c r="O90" s="15">
        <f t="shared" si="35"/>
        <v>15</v>
      </c>
      <c r="P90" s="15">
        <f t="shared" si="36"/>
        <v>42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0</v>
      </c>
      <c r="M91" s="50">
        <v>22</v>
      </c>
      <c r="N91" s="50">
        <v>0</v>
      </c>
      <c r="O91" s="15">
        <f t="shared" si="35"/>
        <v>7</v>
      </c>
      <c r="P91" s="15">
        <f t="shared" si="36"/>
        <v>29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26</v>
      </c>
      <c r="N92" s="50">
        <v>0</v>
      </c>
      <c r="O92" s="15">
        <f t="shared" si="35"/>
        <v>6</v>
      </c>
      <c r="P92" s="15">
        <f t="shared" si="36"/>
        <v>32</v>
      </c>
      <c r="R92" s="8"/>
      <c r="T92"/>
    </row>
    <row r="93" spans="2:20" ht="23.1" customHeight="1" x14ac:dyDescent="0.25">
      <c r="B93" s="45" t="s">
        <v>133</v>
      </c>
      <c r="C93" s="50">
        <v>10</v>
      </c>
      <c r="D93" s="50">
        <v>1</v>
      </c>
      <c r="E93" s="50">
        <v>4</v>
      </c>
      <c r="F93" s="50">
        <v>1</v>
      </c>
      <c r="G93" s="50">
        <v>0</v>
      </c>
      <c r="H93" s="50">
        <v>0</v>
      </c>
      <c r="I93" s="50">
        <v>0</v>
      </c>
      <c r="J93" s="50">
        <v>1</v>
      </c>
      <c r="K93" s="50">
        <v>3</v>
      </c>
      <c r="L93" s="50">
        <v>2</v>
      </c>
      <c r="M93" s="50">
        <v>41</v>
      </c>
      <c r="N93" s="50">
        <v>0</v>
      </c>
      <c r="O93" s="15">
        <f t="shared" si="35"/>
        <v>22</v>
      </c>
      <c r="P93" s="15">
        <f t="shared" si="36"/>
        <v>63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21</v>
      </c>
      <c r="N94" s="50">
        <v>0</v>
      </c>
      <c r="O94" s="15">
        <f t="shared" si="35"/>
        <v>10</v>
      </c>
      <c r="P94" s="15">
        <f t="shared" si="36"/>
        <v>31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2</v>
      </c>
      <c r="E95" s="50">
        <v>1</v>
      </c>
      <c r="F95" s="50">
        <v>3</v>
      </c>
      <c r="G95" s="50">
        <v>0</v>
      </c>
      <c r="H95" s="50">
        <v>2</v>
      </c>
      <c r="I95" s="50">
        <v>2</v>
      </c>
      <c r="J95" s="50">
        <v>0</v>
      </c>
      <c r="K95" s="50">
        <v>0</v>
      </c>
      <c r="L95" s="50">
        <v>0</v>
      </c>
      <c r="M95" s="50">
        <v>19</v>
      </c>
      <c r="N95" s="50">
        <v>0</v>
      </c>
      <c r="O95" s="15">
        <f t="shared" si="35"/>
        <v>15</v>
      </c>
      <c r="P95" s="15">
        <f t="shared" si="36"/>
        <v>34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0</v>
      </c>
      <c r="E96" s="50">
        <v>0</v>
      </c>
      <c r="F96" s="50">
        <v>3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17</v>
      </c>
      <c r="N96" s="50">
        <v>0</v>
      </c>
      <c r="O96" s="15">
        <f t="shared" si="35"/>
        <v>14</v>
      </c>
      <c r="P96" s="15">
        <f t="shared" si="36"/>
        <v>31</v>
      </c>
      <c r="R96" s="8"/>
      <c r="T96"/>
    </row>
    <row r="97" spans="2:20" ht="23.1" customHeight="1" x14ac:dyDescent="0.25">
      <c r="B97" s="45" t="s">
        <v>137</v>
      </c>
      <c r="C97" s="50">
        <v>18</v>
      </c>
      <c r="D97" s="50">
        <v>7</v>
      </c>
      <c r="E97" s="50">
        <v>3</v>
      </c>
      <c r="F97" s="50">
        <v>1</v>
      </c>
      <c r="G97" s="50">
        <v>0</v>
      </c>
      <c r="H97" s="50">
        <v>0</v>
      </c>
      <c r="I97" s="50">
        <v>1</v>
      </c>
      <c r="J97" s="50">
        <v>3</v>
      </c>
      <c r="K97" s="50">
        <v>0</v>
      </c>
      <c r="L97" s="50">
        <v>0</v>
      </c>
      <c r="M97" s="50">
        <v>11</v>
      </c>
      <c r="N97" s="50">
        <v>0</v>
      </c>
      <c r="O97" s="15">
        <f t="shared" si="35"/>
        <v>33</v>
      </c>
      <c r="P97" s="15">
        <f t="shared" si="36"/>
        <v>44</v>
      </c>
      <c r="R97" s="8"/>
      <c r="T97"/>
    </row>
    <row r="98" spans="2:20" ht="23.1" customHeight="1" x14ac:dyDescent="0.25">
      <c r="B98" s="46" t="s">
        <v>138</v>
      </c>
      <c r="C98" s="50">
        <v>26</v>
      </c>
      <c r="D98" s="50">
        <v>13</v>
      </c>
      <c r="E98" s="50">
        <v>0</v>
      </c>
      <c r="F98" s="50">
        <v>17</v>
      </c>
      <c r="G98" s="50">
        <v>0</v>
      </c>
      <c r="H98" s="50">
        <v>0</v>
      </c>
      <c r="I98" s="50">
        <v>3</v>
      </c>
      <c r="J98" s="50">
        <v>6</v>
      </c>
      <c r="K98" s="50">
        <v>11</v>
      </c>
      <c r="L98" s="50">
        <v>7</v>
      </c>
      <c r="M98" s="50">
        <v>41</v>
      </c>
      <c r="N98" s="50">
        <v>0</v>
      </c>
      <c r="O98" s="15">
        <f t="shared" si="35"/>
        <v>83</v>
      </c>
      <c r="P98" s="15">
        <f t="shared" si="36"/>
        <v>124</v>
      </c>
      <c r="R98" s="8"/>
      <c r="T98"/>
    </row>
    <row r="99" spans="2:20" ht="23.1" customHeight="1" x14ac:dyDescent="0.25">
      <c r="B99" s="45" t="s">
        <v>139</v>
      </c>
      <c r="C99" s="50">
        <v>48</v>
      </c>
      <c r="D99" s="50">
        <v>22</v>
      </c>
      <c r="E99" s="50">
        <v>0</v>
      </c>
      <c r="F99" s="50">
        <v>22</v>
      </c>
      <c r="G99" s="50">
        <v>0</v>
      </c>
      <c r="H99" s="50">
        <v>0</v>
      </c>
      <c r="I99" s="50">
        <v>4</v>
      </c>
      <c r="J99" s="50">
        <v>2</v>
      </c>
      <c r="K99" s="50">
        <v>4</v>
      </c>
      <c r="L99" s="50">
        <v>4</v>
      </c>
      <c r="M99" s="50">
        <v>50</v>
      </c>
      <c r="N99" s="50">
        <v>0</v>
      </c>
      <c r="O99" s="15">
        <f t="shared" si="35"/>
        <v>106</v>
      </c>
      <c r="P99" s="15">
        <f t="shared" si="36"/>
        <v>156</v>
      </c>
      <c r="R99" s="8"/>
      <c r="T99"/>
    </row>
    <row r="100" spans="2:20" ht="23.1" customHeight="1" x14ac:dyDescent="0.25">
      <c r="B100" s="47" t="s">
        <v>140</v>
      </c>
      <c r="C100" s="50">
        <v>75</v>
      </c>
      <c r="D100" s="50">
        <v>60</v>
      </c>
      <c r="E100" s="50">
        <v>0</v>
      </c>
      <c r="F100" s="50">
        <v>24</v>
      </c>
      <c r="G100" s="50">
        <v>0</v>
      </c>
      <c r="H100" s="50">
        <v>0</v>
      </c>
      <c r="I100" s="50">
        <v>6</v>
      </c>
      <c r="J100" s="50">
        <v>3</v>
      </c>
      <c r="K100" s="50">
        <v>1</v>
      </c>
      <c r="L100" s="50">
        <v>0</v>
      </c>
      <c r="M100" s="50">
        <v>60</v>
      </c>
      <c r="N100" s="50">
        <v>0</v>
      </c>
      <c r="O100" s="15">
        <f t="shared" si="35"/>
        <v>169</v>
      </c>
      <c r="P100" s="15">
        <f t="shared" si="36"/>
        <v>229</v>
      </c>
      <c r="R100" s="8"/>
      <c r="T100"/>
    </row>
    <row r="101" spans="2:20" ht="23.1" customHeight="1" x14ac:dyDescent="0.25">
      <c r="B101" s="45" t="s">
        <v>141</v>
      </c>
      <c r="C101" s="50">
        <v>78</v>
      </c>
      <c r="D101" s="50">
        <v>53</v>
      </c>
      <c r="E101" s="50">
        <v>1</v>
      </c>
      <c r="F101" s="50">
        <v>31</v>
      </c>
      <c r="G101" s="50">
        <v>0</v>
      </c>
      <c r="H101" s="50">
        <v>0</v>
      </c>
      <c r="I101" s="50">
        <v>8</v>
      </c>
      <c r="J101" s="50">
        <v>6</v>
      </c>
      <c r="K101" s="50">
        <v>2</v>
      </c>
      <c r="L101" s="50">
        <v>0</v>
      </c>
      <c r="M101" s="50">
        <v>75</v>
      </c>
      <c r="N101" s="50">
        <v>0</v>
      </c>
      <c r="O101" s="15">
        <f t="shared" si="35"/>
        <v>179</v>
      </c>
      <c r="P101" s="15">
        <f t="shared" si="36"/>
        <v>254</v>
      </c>
      <c r="R101" s="8"/>
      <c r="T101"/>
    </row>
    <row r="102" spans="2:20" ht="23.1" customHeight="1" x14ac:dyDescent="0.25">
      <c r="B102" s="46" t="s">
        <v>142</v>
      </c>
      <c r="C102" s="50">
        <v>60</v>
      </c>
      <c r="D102" s="50">
        <v>42</v>
      </c>
      <c r="E102" s="50">
        <v>2</v>
      </c>
      <c r="F102" s="50">
        <v>17</v>
      </c>
      <c r="G102" s="50">
        <v>2</v>
      </c>
      <c r="H102" s="50">
        <v>1</v>
      </c>
      <c r="I102" s="50">
        <v>6</v>
      </c>
      <c r="J102" s="50">
        <v>11</v>
      </c>
      <c r="K102" s="50">
        <v>2</v>
      </c>
      <c r="L102" s="50">
        <v>0</v>
      </c>
      <c r="M102" s="50">
        <v>93</v>
      </c>
      <c r="N102" s="50">
        <v>0</v>
      </c>
      <c r="O102" s="15">
        <f t="shared" si="35"/>
        <v>143</v>
      </c>
      <c r="P102" s="15">
        <f t="shared" si="36"/>
        <v>236</v>
      </c>
      <c r="R102" s="8"/>
      <c r="T102"/>
    </row>
    <row r="103" spans="2:20" ht="23.1" customHeight="1" x14ac:dyDescent="0.25">
      <c r="B103" s="45" t="s">
        <v>143</v>
      </c>
      <c r="C103" s="50">
        <v>59</v>
      </c>
      <c r="D103" s="50">
        <v>29</v>
      </c>
      <c r="E103" s="50">
        <v>3</v>
      </c>
      <c r="F103" s="50">
        <v>21</v>
      </c>
      <c r="G103" s="50">
        <v>0</v>
      </c>
      <c r="H103" s="50">
        <v>0</v>
      </c>
      <c r="I103" s="50">
        <v>3</v>
      </c>
      <c r="J103" s="50">
        <v>12</v>
      </c>
      <c r="K103" s="50">
        <v>0</v>
      </c>
      <c r="L103" s="50">
        <v>0</v>
      </c>
      <c r="M103" s="50">
        <v>92</v>
      </c>
      <c r="N103" s="50">
        <v>0</v>
      </c>
      <c r="O103" s="15">
        <f t="shared" si="35"/>
        <v>127</v>
      </c>
      <c r="P103" s="15">
        <f t="shared" si="36"/>
        <v>219</v>
      </c>
      <c r="R103" s="8"/>
      <c r="T103"/>
    </row>
    <row r="104" spans="2:20" ht="23.1" customHeight="1" x14ac:dyDescent="0.25">
      <c r="B104" s="47" t="s">
        <v>144</v>
      </c>
      <c r="C104" s="50">
        <v>37</v>
      </c>
      <c r="D104" s="50">
        <v>27</v>
      </c>
      <c r="E104" s="50">
        <v>6</v>
      </c>
      <c r="F104" s="50">
        <v>26</v>
      </c>
      <c r="G104" s="50">
        <v>1</v>
      </c>
      <c r="H104" s="50">
        <v>2</v>
      </c>
      <c r="I104" s="50">
        <v>11</v>
      </c>
      <c r="J104" s="50">
        <v>3</v>
      </c>
      <c r="K104" s="50">
        <v>0</v>
      </c>
      <c r="L104" s="50">
        <v>1</v>
      </c>
      <c r="M104" s="50">
        <v>103</v>
      </c>
      <c r="N104" s="50">
        <v>0</v>
      </c>
      <c r="O104" s="15">
        <f t="shared" si="35"/>
        <v>114</v>
      </c>
      <c r="P104" s="15">
        <f t="shared" si="36"/>
        <v>217</v>
      </c>
      <c r="R104" s="8"/>
      <c r="T104"/>
    </row>
    <row r="105" spans="2:20" ht="23.1" customHeight="1" x14ac:dyDescent="0.25">
      <c r="B105" s="45" t="s">
        <v>145</v>
      </c>
      <c r="C105" s="50">
        <v>45</v>
      </c>
      <c r="D105" s="50">
        <v>32</v>
      </c>
      <c r="E105" s="50">
        <v>8</v>
      </c>
      <c r="F105" s="50">
        <v>30</v>
      </c>
      <c r="G105" s="50">
        <v>0</v>
      </c>
      <c r="H105" s="50">
        <v>0</v>
      </c>
      <c r="I105" s="50">
        <v>8</v>
      </c>
      <c r="J105" s="50">
        <v>2</v>
      </c>
      <c r="K105" s="50">
        <v>1</v>
      </c>
      <c r="L105" s="50">
        <v>2</v>
      </c>
      <c r="M105" s="50">
        <v>105</v>
      </c>
      <c r="N105" s="50">
        <v>0</v>
      </c>
      <c r="O105" s="15">
        <f t="shared" si="35"/>
        <v>128</v>
      </c>
      <c r="P105" s="15">
        <f t="shared" si="36"/>
        <v>233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3386</v>
      </c>
      <c r="D106" s="16">
        <f t="shared" ref="D106:P106" si="37">SUM(D10:D105)</f>
        <v>1206</v>
      </c>
      <c r="E106" s="16">
        <f t="shared" si="37"/>
        <v>388</v>
      </c>
      <c r="F106" s="16">
        <f t="shared" si="37"/>
        <v>2948</v>
      </c>
      <c r="G106" s="16">
        <f t="shared" si="37"/>
        <v>173</v>
      </c>
      <c r="H106" s="16">
        <f t="shared" si="37"/>
        <v>84</v>
      </c>
      <c r="I106" s="16">
        <f t="shared" si="37"/>
        <v>504</v>
      </c>
      <c r="J106" s="16">
        <f t="shared" si="37"/>
        <v>221</v>
      </c>
      <c r="K106" s="16">
        <f t="shared" si="37"/>
        <v>136</v>
      </c>
      <c r="L106" s="16">
        <f t="shared" si="37"/>
        <v>91</v>
      </c>
      <c r="M106" s="16">
        <f t="shared" si="37"/>
        <v>11239</v>
      </c>
      <c r="N106" s="16">
        <f t="shared" si="37"/>
        <v>10</v>
      </c>
      <c r="O106" s="16">
        <f t="shared" si="37"/>
        <v>9050</v>
      </c>
      <c r="P106" s="16">
        <f t="shared" si="37"/>
        <v>20169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0.16788140215181716</v>
      </c>
      <c r="D107" s="43">
        <f t="shared" si="38"/>
        <v>5.9794734493529678E-2</v>
      </c>
      <c r="E107" s="43">
        <f t="shared" si="38"/>
        <v>1.9237443601566762E-2</v>
      </c>
      <c r="F107" s="43">
        <f t="shared" si="38"/>
        <v>0.14616490653973921</v>
      </c>
      <c r="G107" s="43">
        <f t="shared" si="38"/>
        <v>8.5775199563686844E-3</v>
      </c>
      <c r="H107" s="43">
        <f t="shared" si="38"/>
        <v>4.1648073776587831E-3</v>
      </c>
      <c r="I107" s="43">
        <f t="shared" si="38"/>
        <v>2.49888442659527E-2</v>
      </c>
      <c r="J107" s="43">
        <f t="shared" si="38"/>
        <v>1.0957409886459418E-2</v>
      </c>
      <c r="K107" s="43">
        <f t="shared" si="38"/>
        <v>6.7430214685904113E-3</v>
      </c>
      <c r="L107" s="43">
        <f t="shared" si="38"/>
        <v>4.5118746591303483E-3</v>
      </c>
      <c r="M107" s="43">
        <f t="shared" si="38"/>
        <v>0.55724131092270313</v>
      </c>
      <c r="N107" s="43">
        <f t="shared" si="38"/>
        <v>4.9581040210223612E-4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0.37414364640883979</v>
      </c>
      <c r="D108" s="44">
        <f t="shared" ref="D108:N108" si="39">D106/$O$106</f>
        <v>0.1332596685082873</v>
      </c>
      <c r="E108" s="44">
        <f t="shared" si="39"/>
        <v>4.2872928176795583E-2</v>
      </c>
      <c r="F108" s="44">
        <f t="shared" si="39"/>
        <v>0.32574585635359116</v>
      </c>
      <c r="G108" s="44">
        <f t="shared" si="39"/>
        <v>1.9116022099447513E-2</v>
      </c>
      <c r="H108" s="44">
        <f t="shared" si="39"/>
        <v>9.2817679558011047E-3</v>
      </c>
      <c r="I108" s="44">
        <f t="shared" si="39"/>
        <v>5.5690607734806628E-2</v>
      </c>
      <c r="J108" s="44">
        <f t="shared" si="39"/>
        <v>2.4419889502762433E-2</v>
      </c>
      <c r="K108" s="44">
        <f t="shared" si="39"/>
        <v>1.5027624309392265E-2</v>
      </c>
      <c r="L108" s="44">
        <f t="shared" si="39"/>
        <v>1.005524861878453E-2</v>
      </c>
      <c r="M108" s="44"/>
      <c r="N108" s="44">
        <f t="shared" si="39"/>
        <v>1.1049723756906078E-3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6" zoomScale="60" workbookViewId="0">
      <selection activeCell="T56" sqref="T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Kalerwe-Kampala'!C3:G3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5" t="str">
        <f>'27.07 Kampala-Kalerwe-24h'!G5:H5</f>
        <v>Wandegeya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Kalerwe-Kampala'!D6:E6</f>
        <v>Kalewre</v>
      </c>
      <c r="E6" s="66"/>
      <c r="F6" s="2" t="s">
        <v>2</v>
      </c>
      <c r="G6" s="65" t="str">
        <f>'22.07 Kalerwe-Kampala'!G6:H6</f>
        <v>Kampala</v>
      </c>
      <c r="H6" s="66"/>
      <c r="J6" s="2" t="s">
        <v>21</v>
      </c>
      <c r="K6" s="65" t="str">
        <f>'27.07 Kampala-Kalerwe-24h'!K6:L6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7</v>
      </c>
      <c r="E10" s="50">
        <v>1</v>
      </c>
      <c r="F10" s="50">
        <v>70</v>
      </c>
      <c r="G10" s="50">
        <v>1</v>
      </c>
      <c r="H10" s="50">
        <v>0</v>
      </c>
      <c r="I10" s="50">
        <v>6</v>
      </c>
      <c r="J10" s="50">
        <v>4</v>
      </c>
      <c r="K10" s="50">
        <v>0</v>
      </c>
      <c r="L10" s="50">
        <v>0</v>
      </c>
      <c r="M10" s="50">
        <v>215</v>
      </c>
      <c r="N10" s="50">
        <v>0</v>
      </c>
      <c r="O10" s="15">
        <f t="shared" ref="O10:O57" si="0">SUM(C10:L10,N10)</f>
        <v>124</v>
      </c>
      <c r="P10" s="15">
        <f t="shared" ref="P10:P57" si="1">SUM(C10:N10)</f>
        <v>339</v>
      </c>
      <c r="R10" s="1" t="s">
        <v>6</v>
      </c>
      <c r="S10" s="17">
        <f t="shared" ref="S10:AF10" si="2">SUM(C10:C13)</f>
        <v>113</v>
      </c>
      <c r="T10" s="17">
        <f t="shared" si="2"/>
        <v>29</v>
      </c>
      <c r="U10" s="17">
        <f t="shared" si="2"/>
        <v>2</v>
      </c>
      <c r="V10" s="17">
        <f t="shared" si="2"/>
        <v>198</v>
      </c>
      <c r="W10" s="17">
        <f t="shared" si="2"/>
        <v>4</v>
      </c>
      <c r="X10" s="17">
        <f t="shared" si="2"/>
        <v>0</v>
      </c>
      <c r="Y10" s="17">
        <f t="shared" si="2"/>
        <v>19</v>
      </c>
      <c r="Z10" s="17">
        <f t="shared" si="2"/>
        <v>8</v>
      </c>
      <c r="AA10" s="17">
        <f t="shared" si="2"/>
        <v>1</v>
      </c>
      <c r="AB10" s="17">
        <f t="shared" si="2"/>
        <v>0</v>
      </c>
      <c r="AC10" s="17">
        <f t="shared" si="2"/>
        <v>715</v>
      </c>
      <c r="AD10" s="17">
        <f t="shared" si="2"/>
        <v>0</v>
      </c>
      <c r="AE10" s="31">
        <f t="shared" si="2"/>
        <v>374</v>
      </c>
      <c r="AF10" s="31">
        <f t="shared" si="2"/>
        <v>1089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6</v>
      </c>
      <c r="E11" s="50">
        <v>0</v>
      </c>
      <c r="F11" s="50">
        <v>42</v>
      </c>
      <c r="G11" s="50">
        <v>2</v>
      </c>
      <c r="H11" s="50">
        <v>0</v>
      </c>
      <c r="I11" s="50">
        <v>8</v>
      </c>
      <c r="J11" s="50">
        <v>3</v>
      </c>
      <c r="K11" s="50">
        <v>0</v>
      </c>
      <c r="L11" s="50">
        <v>0</v>
      </c>
      <c r="M11" s="50">
        <v>155</v>
      </c>
      <c r="N11" s="50">
        <v>0</v>
      </c>
      <c r="O11" s="15">
        <f t="shared" si="0"/>
        <v>81</v>
      </c>
      <c r="P11" s="15">
        <f t="shared" si="1"/>
        <v>236</v>
      </c>
      <c r="R11" s="1" t="s">
        <v>7</v>
      </c>
      <c r="S11" s="17">
        <f t="shared" ref="S11:AF11" si="3">SUM(C14:C17)</f>
        <v>158</v>
      </c>
      <c r="T11" s="17">
        <f t="shared" si="3"/>
        <v>37</v>
      </c>
      <c r="U11" s="17">
        <f t="shared" si="3"/>
        <v>16</v>
      </c>
      <c r="V11" s="17">
        <f t="shared" si="3"/>
        <v>235</v>
      </c>
      <c r="W11" s="17">
        <f t="shared" si="3"/>
        <v>0</v>
      </c>
      <c r="X11" s="17">
        <f t="shared" si="3"/>
        <v>2</v>
      </c>
      <c r="Y11" s="17">
        <f t="shared" si="3"/>
        <v>26</v>
      </c>
      <c r="Z11" s="17">
        <f t="shared" si="3"/>
        <v>9</v>
      </c>
      <c r="AA11" s="17">
        <f t="shared" si="3"/>
        <v>0</v>
      </c>
      <c r="AB11" s="17">
        <f t="shared" si="3"/>
        <v>0</v>
      </c>
      <c r="AC11" s="17">
        <f t="shared" si="3"/>
        <v>815</v>
      </c>
      <c r="AD11" s="17">
        <f t="shared" si="3"/>
        <v>0</v>
      </c>
      <c r="AE11" s="31">
        <f t="shared" si="3"/>
        <v>483</v>
      </c>
      <c r="AF11" s="31">
        <f t="shared" si="3"/>
        <v>1298</v>
      </c>
    </row>
    <row r="12" spans="2:32" ht="23.1" customHeight="1" x14ac:dyDescent="0.25">
      <c r="B12" s="23" t="s">
        <v>39</v>
      </c>
      <c r="C12" s="50">
        <v>30</v>
      </c>
      <c r="D12" s="50">
        <v>4</v>
      </c>
      <c r="E12" s="50">
        <v>0</v>
      </c>
      <c r="F12" s="50">
        <v>40</v>
      </c>
      <c r="G12" s="50">
        <v>1</v>
      </c>
      <c r="H12" s="50">
        <v>0</v>
      </c>
      <c r="I12" s="50">
        <v>1</v>
      </c>
      <c r="J12" s="50">
        <v>1</v>
      </c>
      <c r="K12" s="50">
        <v>1</v>
      </c>
      <c r="L12" s="50">
        <v>0</v>
      </c>
      <c r="M12" s="50">
        <v>115</v>
      </c>
      <c r="N12" s="50">
        <v>0</v>
      </c>
      <c r="O12" s="15">
        <f t="shared" si="0"/>
        <v>78</v>
      </c>
      <c r="P12" s="15">
        <f t="shared" si="1"/>
        <v>193</v>
      </c>
      <c r="R12" s="1" t="s">
        <v>8</v>
      </c>
      <c r="S12" s="17">
        <f t="shared" ref="S12:AF12" si="4">SUM(C18:C21)</f>
        <v>262</v>
      </c>
      <c r="T12" s="17">
        <f t="shared" si="4"/>
        <v>50</v>
      </c>
      <c r="U12" s="17">
        <f t="shared" si="4"/>
        <v>18</v>
      </c>
      <c r="V12" s="17">
        <f t="shared" si="4"/>
        <v>342</v>
      </c>
      <c r="W12" s="17">
        <f t="shared" si="4"/>
        <v>12</v>
      </c>
      <c r="X12" s="17">
        <f t="shared" si="4"/>
        <v>0</v>
      </c>
      <c r="Y12" s="17">
        <f t="shared" si="4"/>
        <v>41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775</v>
      </c>
      <c r="AD12" s="17">
        <f t="shared" si="4"/>
        <v>0</v>
      </c>
      <c r="AE12" s="31">
        <f t="shared" si="4"/>
        <v>726</v>
      </c>
      <c r="AF12" s="31">
        <f t="shared" si="4"/>
        <v>1501</v>
      </c>
    </row>
    <row r="13" spans="2:32" ht="23.1" customHeight="1" x14ac:dyDescent="0.25">
      <c r="B13" s="23" t="s">
        <v>40</v>
      </c>
      <c r="C13" s="50">
        <v>28</v>
      </c>
      <c r="D13" s="50">
        <v>12</v>
      </c>
      <c r="E13" s="50">
        <v>1</v>
      </c>
      <c r="F13" s="50">
        <v>46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230</v>
      </c>
      <c r="N13" s="50">
        <v>0</v>
      </c>
      <c r="O13" s="15">
        <f t="shared" si="0"/>
        <v>91</v>
      </c>
      <c r="P13" s="15">
        <f t="shared" si="1"/>
        <v>321</v>
      </c>
      <c r="R13" s="1" t="s">
        <v>9</v>
      </c>
      <c r="S13" s="17">
        <f t="shared" ref="S13:AF13" si="5">SUM(C22:C25)</f>
        <v>264</v>
      </c>
      <c r="T13" s="17">
        <f t="shared" si="5"/>
        <v>81</v>
      </c>
      <c r="U13" s="17">
        <f t="shared" si="5"/>
        <v>20</v>
      </c>
      <c r="V13" s="17">
        <f t="shared" si="5"/>
        <v>235</v>
      </c>
      <c r="W13" s="17">
        <f t="shared" si="5"/>
        <v>4</v>
      </c>
      <c r="X13" s="17">
        <f t="shared" si="5"/>
        <v>1</v>
      </c>
      <c r="Y13" s="17">
        <f t="shared" si="5"/>
        <v>51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615</v>
      </c>
      <c r="AD13" s="17">
        <f t="shared" si="5"/>
        <v>0</v>
      </c>
      <c r="AE13" s="31">
        <f t="shared" si="5"/>
        <v>664</v>
      </c>
      <c r="AF13" s="31">
        <f t="shared" si="5"/>
        <v>1279</v>
      </c>
    </row>
    <row r="14" spans="2:32" ht="23.1" customHeight="1" x14ac:dyDescent="0.25">
      <c r="B14" s="23" t="s">
        <v>41</v>
      </c>
      <c r="C14" s="50">
        <v>28</v>
      </c>
      <c r="D14" s="50">
        <v>7</v>
      </c>
      <c r="E14" s="50">
        <v>2</v>
      </c>
      <c r="F14" s="50">
        <v>68</v>
      </c>
      <c r="G14" s="50">
        <v>0</v>
      </c>
      <c r="H14" s="50">
        <v>0</v>
      </c>
      <c r="I14" s="50">
        <v>7</v>
      </c>
      <c r="J14" s="50">
        <v>4</v>
      </c>
      <c r="K14" s="50">
        <v>0</v>
      </c>
      <c r="L14" s="50">
        <v>0</v>
      </c>
      <c r="M14" s="50">
        <v>235</v>
      </c>
      <c r="N14" s="50">
        <v>0</v>
      </c>
      <c r="O14" s="15">
        <f t="shared" si="0"/>
        <v>116</v>
      </c>
      <c r="P14" s="15">
        <f t="shared" si="1"/>
        <v>351</v>
      </c>
      <c r="R14" s="1" t="s">
        <v>10</v>
      </c>
      <c r="S14" s="17">
        <f t="shared" ref="S14:AF14" si="6">SUM(C26:C29)</f>
        <v>337</v>
      </c>
      <c r="T14" s="17">
        <f t="shared" si="6"/>
        <v>123</v>
      </c>
      <c r="U14" s="17">
        <f t="shared" si="6"/>
        <v>24</v>
      </c>
      <c r="V14" s="17">
        <f t="shared" si="6"/>
        <v>244</v>
      </c>
      <c r="W14" s="17">
        <f t="shared" si="6"/>
        <v>8</v>
      </c>
      <c r="X14" s="17">
        <f t="shared" si="6"/>
        <v>4</v>
      </c>
      <c r="Y14" s="17">
        <f t="shared" si="6"/>
        <v>31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650</v>
      </c>
      <c r="AD14" s="17">
        <f t="shared" si="6"/>
        <v>0</v>
      </c>
      <c r="AE14" s="31">
        <f t="shared" si="6"/>
        <v>777</v>
      </c>
      <c r="AF14" s="31">
        <f t="shared" si="6"/>
        <v>1427</v>
      </c>
    </row>
    <row r="15" spans="2:32" ht="23.1" customHeight="1" x14ac:dyDescent="0.25">
      <c r="B15" s="23" t="s">
        <v>42</v>
      </c>
      <c r="C15" s="50">
        <v>35</v>
      </c>
      <c r="D15" s="50">
        <v>7</v>
      </c>
      <c r="E15" s="50">
        <v>6</v>
      </c>
      <c r="F15" s="50">
        <v>59</v>
      </c>
      <c r="G15" s="50">
        <v>0</v>
      </c>
      <c r="H15" s="50">
        <v>1</v>
      </c>
      <c r="I15" s="50">
        <v>7</v>
      </c>
      <c r="J15" s="50">
        <v>0</v>
      </c>
      <c r="K15" s="50">
        <v>0</v>
      </c>
      <c r="L15" s="50">
        <v>0</v>
      </c>
      <c r="M15" s="50">
        <v>145</v>
      </c>
      <c r="N15" s="50">
        <v>0</v>
      </c>
      <c r="O15" s="15">
        <f t="shared" si="0"/>
        <v>115</v>
      </c>
      <c r="P15" s="15">
        <f t="shared" si="1"/>
        <v>260</v>
      </c>
      <c r="R15" s="1" t="s">
        <v>11</v>
      </c>
      <c r="S15" s="17">
        <f t="shared" ref="S15:AF15" si="7">SUM(C30:C33)</f>
        <v>203</v>
      </c>
      <c r="T15" s="17">
        <f t="shared" si="7"/>
        <v>77</v>
      </c>
      <c r="U15" s="17">
        <f t="shared" si="7"/>
        <v>25</v>
      </c>
      <c r="V15" s="17">
        <f t="shared" si="7"/>
        <v>190</v>
      </c>
      <c r="W15" s="17">
        <f t="shared" si="7"/>
        <v>6</v>
      </c>
      <c r="X15" s="17">
        <f t="shared" si="7"/>
        <v>0</v>
      </c>
      <c r="Y15" s="17">
        <f t="shared" si="7"/>
        <v>31</v>
      </c>
      <c r="Z15" s="17">
        <f t="shared" si="7"/>
        <v>8</v>
      </c>
      <c r="AA15" s="17">
        <f t="shared" si="7"/>
        <v>0</v>
      </c>
      <c r="AB15" s="17">
        <f t="shared" si="7"/>
        <v>0</v>
      </c>
      <c r="AC15" s="17">
        <f t="shared" si="7"/>
        <v>535</v>
      </c>
      <c r="AD15" s="17">
        <f t="shared" si="7"/>
        <v>0</v>
      </c>
      <c r="AE15" s="31">
        <f t="shared" si="7"/>
        <v>540</v>
      </c>
      <c r="AF15" s="31">
        <f t="shared" si="7"/>
        <v>1075</v>
      </c>
    </row>
    <row r="16" spans="2:32" ht="23.1" customHeight="1" x14ac:dyDescent="0.25">
      <c r="B16" s="23" t="s">
        <v>43</v>
      </c>
      <c r="C16" s="50">
        <v>35</v>
      </c>
      <c r="D16" s="50">
        <v>8</v>
      </c>
      <c r="E16" s="50">
        <v>5</v>
      </c>
      <c r="F16" s="50">
        <v>50</v>
      </c>
      <c r="G16" s="50">
        <v>0</v>
      </c>
      <c r="H16" s="50">
        <v>1</v>
      </c>
      <c r="I16" s="50">
        <v>2</v>
      </c>
      <c r="J16" s="50">
        <v>2</v>
      </c>
      <c r="K16" s="50">
        <v>0</v>
      </c>
      <c r="L16" s="50">
        <v>0</v>
      </c>
      <c r="M16" s="50">
        <v>240</v>
      </c>
      <c r="N16" s="50">
        <v>0</v>
      </c>
      <c r="O16" s="15">
        <f t="shared" si="0"/>
        <v>103</v>
      </c>
      <c r="P16" s="15">
        <f t="shared" si="1"/>
        <v>343</v>
      </c>
      <c r="R16" s="1" t="s">
        <v>12</v>
      </c>
      <c r="S16" s="17">
        <f t="shared" ref="S16:AF16" si="8">SUM(C34:C37)</f>
        <v>285</v>
      </c>
      <c r="T16" s="17">
        <f t="shared" si="8"/>
        <v>31</v>
      </c>
      <c r="U16" s="17">
        <f t="shared" si="8"/>
        <v>23</v>
      </c>
      <c r="V16" s="17">
        <f t="shared" si="8"/>
        <v>200</v>
      </c>
      <c r="W16" s="17">
        <f t="shared" si="8"/>
        <v>12</v>
      </c>
      <c r="X16" s="17">
        <f t="shared" si="8"/>
        <v>14</v>
      </c>
      <c r="Y16" s="17">
        <f t="shared" si="8"/>
        <v>45</v>
      </c>
      <c r="Z16" s="17">
        <f t="shared" si="8"/>
        <v>10</v>
      </c>
      <c r="AA16" s="17">
        <f t="shared" si="8"/>
        <v>1</v>
      </c>
      <c r="AB16" s="17">
        <f t="shared" si="8"/>
        <v>2</v>
      </c>
      <c r="AC16" s="17">
        <f t="shared" si="8"/>
        <v>610</v>
      </c>
      <c r="AD16" s="17">
        <f t="shared" si="8"/>
        <v>0</v>
      </c>
      <c r="AE16" s="31">
        <f t="shared" si="8"/>
        <v>623</v>
      </c>
      <c r="AF16" s="31">
        <f t="shared" si="8"/>
        <v>1233</v>
      </c>
    </row>
    <row r="17" spans="2:32" ht="23.1" customHeight="1" x14ac:dyDescent="0.25">
      <c r="B17" s="23" t="s">
        <v>44</v>
      </c>
      <c r="C17" s="50">
        <v>60</v>
      </c>
      <c r="D17" s="50">
        <v>15</v>
      </c>
      <c r="E17" s="50">
        <v>3</v>
      </c>
      <c r="F17" s="50">
        <v>58</v>
      </c>
      <c r="G17" s="50">
        <v>0</v>
      </c>
      <c r="H17" s="50">
        <v>0</v>
      </c>
      <c r="I17" s="50">
        <v>10</v>
      </c>
      <c r="J17" s="50">
        <v>3</v>
      </c>
      <c r="K17" s="50">
        <v>0</v>
      </c>
      <c r="L17" s="50">
        <v>0</v>
      </c>
      <c r="M17" s="50">
        <v>195</v>
      </c>
      <c r="N17" s="50">
        <v>0</v>
      </c>
      <c r="O17" s="15">
        <f t="shared" si="0"/>
        <v>149</v>
      </c>
      <c r="P17" s="15">
        <f t="shared" si="1"/>
        <v>344</v>
      </c>
      <c r="R17" s="1" t="s">
        <v>13</v>
      </c>
      <c r="S17" s="17">
        <f t="shared" ref="S17:AF17" si="9">SUM(C38:C41)</f>
        <v>340</v>
      </c>
      <c r="T17" s="17">
        <f t="shared" si="9"/>
        <v>69</v>
      </c>
      <c r="U17" s="17">
        <f t="shared" si="9"/>
        <v>34</v>
      </c>
      <c r="V17" s="17">
        <f t="shared" si="9"/>
        <v>255</v>
      </c>
      <c r="W17" s="17">
        <f t="shared" si="9"/>
        <v>3</v>
      </c>
      <c r="X17" s="17">
        <f t="shared" si="9"/>
        <v>0</v>
      </c>
      <c r="Y17" s="17">
        <f t="shared" si="9"/>
        <v>51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725</v>
      </c>
      <c r="AD17" s="17">
        <f t="shared" si="9"/>
        <v>0</v>
      </c>
      <c r="AE17" s="31">
        <f t="shared" si="9"/>
        <v>758</v>
      </c>
      <c r="AF17" s="31">
        <f t="shared" si="9"/>
        <v>1483</v>
      </c>
    </row>
    <row r="18" spans="2:32" ht="23.1" customHeight="1" x14ac:dyDescent="0.25">
      <c r="B18" s="23" t="s">
        <v>45</v>
      </c>
      <c r="C18" s="50">
        <v>47</v>
      </c>
      <c r="D18" s="50">
        <v>12</v>
      </c>
      <c r="E18" s="50">
        <v>2</v>
      </c>
      <c r="F18" s="50">
        <v>60</v>
      </c>
      <c r="G18" s="50">
        <v>2</v>
      </c>
      <c r="H18" s="50">
        <v>0</v>
      </c>
      <c r="I18" s="50">
        <v>6</v>
      </c>
      <c r="J18" s="50">
        <v>1</v>
      </c>
      <c r="K18" s="50">
        <v>0</v>
      </c>
      <c r="L18" s="50">
        <v>0</v>
      </c>
      <c r="M18" s="50">
        <v>235</v>
      </c>
      <c r="N18" s="50">
        <v>0</v>
      </c>
      <c r="O18" s="15">
        <f t="shared" si="0"/>
        <v>130</v>
      </c>
      <c r="P18" s="15">
        <f t="shared" si="1"/>
        <v>365</v>
      </c>
      <c r="R18" s="1" t="s">
        <v>14</v>
      </c>
      <c r="S18" s="17">
        <f t="shared" ref="S18:AF18" si="10">SUM(C42:C45)</f>
        <v>191</v>
      </c>
      <c r="T18" s="17">
        <f t="shared" si="10"/>
        <v>72</v>
      </c>
      <c r="U18" s="17">
        <f t="shared" si="10"/>
        <v>19</v>
      </c>
      <c r="V18" s="17">
        <f t="shared" si="10"/>
        <v>141</v>
      </c>
      <c r="W18" s="17">
        <f t="shared" si="10"/>
        <v>3</v>
      </c>
      <c r="X18" s="17">
        <f t="shared" si="10"/>
        <v>0</v>
      </c>
      <c r="Y18" s="17">
        <f t="shared" si="10"/>
        <v>31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565</v>
      </c>
      <c r="AD18" s="17">
        <f t="shared" si="10"/>
        <v>0</v>
      </c>
      <c r="AE18" s="31">
        <f t="shared" si="10"/>
        <v>458</v>
      </c>
      <c r="AF18" s="31">
        <f t="shared" si="10"/>
        <v>1023</v>
      </c>
    </row>
    <row r="19" spans="2:32" ht="23.1" customHeight="1" x14ac:dyDescent="0.25">
      <c r="B19" s="23" t="s">
        <v>46</v>
      </c>
      <c r="C19" s="50">
        <v>57</v>
      </c>
      <c r="D19" s="50">
        <v>13</v>
      </c>
      <c r="E19" s="50">
        <v>5</v>
      </c>
      <c r="F19" s="50">
        <v>47</v>
      </c>
      <c r="G19" s="50">
        <v>2</v>
      </c>
      <c r="H19" s="50">
        <v>0</v>
      </c>
      <c r="I19" s="50">
        <v>8</v>
      </c>
      <c r="J19" s="50">
        <v>0</v>
      </c>
      <c r="K19" s="50">
        <v>0</v>
      </c>
      <c r="L19" s="50">
        <v>0</v>
      </c>
      <c r="M19" s="50">
        <v>190</v>
      </c>
      <c r="N19" s="50">
        <v>0</v>
      </c>
      <c r="O19" s="15">
        <f t="shared" si="0"/>
        <v>132</v>
      </c>
      <c r="P19" s="15">
        <f t="shared" si="1"/>
        <v>322</v>
      </c>
      <c r="R19" s="1" t="s">
        <v>15</v>
      </c>
      <c r="S19" s="17">
        <f t="shared" ref="S19:AF19" si="11">SUM(C46:C49)</f>
        <v>295</v>
      </c>
      <c r="T19" s="17">
        <f t="shared" si="11"/>
        <v>112</v>
      </c>
      <c r="U19" s="17">
        <f t="shared" si="11"/>
        <v>13</v>
      </c>
      <c r="V19" s="17">
        <f t="shared" si="11"/>
        <v>235</v>
      </c>
      <c r="W19" s="17">
        <f t="shared" si="11"/>
        <v>5</v>
      </c>
      <c r="X19" s="17">
        <f t="shared" si="11"/>
        <v>0</v>
      </c>
      <c r="Y19" s="17">
        <f t="shared" si="11"/>
        <v>31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595</v>
      </c>
      <c r="AD19" s="17">
        <f t="shared" si="11"/>
        <v>0</v>
      </c>
      <c r="AE19" s="31">
        <f t="shared" si="11"/>
        <v>691</v>
      </c>
      <c r="AF19" s="31">
        <f t="shared" si="11"/>
        <v>1286</v>
      </c>
    </row>
    <row r="20" spans="2:32" ht="23.1" customHeight="1" x14ac:dyDescent="0.25">
      <c r="B20" s="23" t="s">
        <v>47</v>
      </c>
      <c r="C20" s="50">
        <v>63</v>
      </c>
      <c r="D20" s="50">
        <v>10</v>
      </c>
      <c r="E20" s="50">
        <v>3</v>
      </c>
      <c r="F20" s="50">
        <v>160</v>
      </c>
      <c r="G20" s="50">
        <v>1</v>
      </c>
      <c r="H20" s="50">
        <v>0</v>
      </c>
      <c r="I20" s="50">
        <v>12</v>
      </c>
      <c r="J20" s="50">
        <v>0</v>
      </c>
      <c r="K20" s="50">
        <v>0</v>
      </c>
      <c r="L20" s="50">
        <v>0</v>
      </c>
      <c r="M20" s="50">
        <v>195</v>
      </c>
      <c r="N20" s="50">
        <v>0</v>
      </c>
      <c r="O20" s="15">
        <f t="shared" si="0"/>
        <v>249</v>
      </c>
      <c r="P20" s="15">
        <f t="shared" si="1"/>
        <v>444</v>
      </c>
      <c r="R20" s="1" t="s">
        <v>16</v>
      </c>
      <c r="S20" s="17">
        <f t="shared" ref="S20:AF20" si="12">SUM(C50:C53)</f>
        <v>210</v>
      </c>
      <c r="T20" s="17">
        <f t="shared" si="12"/>
        <v>54</v>
      </c>
      <c r="U20" s="17">
        <f t="shared" si="12"/>
        <v>10</v>
      </c>
      <c r="V20" s="17">
        <f t="shared" si="12"/>
        <v>159</v>
      </c>
      <c r="W20" s="17">
        <f t="shared" si="12"/>
        <v>2</v>
      </c>
      <c r="X20" s="17">
        <f t="shared" si="12"/>
        <v>0</v>
      </c>
      <c r="Y20" s="17">
        <f t="shared" si="12"/>
        <v>15</v>
      </c>
      <c r="Z20" s="17">
        <f t="shared" si="12"/>
        <v>5</v>
      </c>
      <c r="AA20" s="17">
        <f t="shared" si="12"/>
        <v>0</v>
      </c>
      <c r="AB20" s="17">
        <f t="shared" si="12"/>
        <v>1</v>
      </c>
      <c r="AC20" s="17">
        <f t="shared" si="12"/>
        <v>710</v>
      </c>
      <c r="AD20" s="17">
        <f t="shared" si="12"/>
        <v>0</v>
      </c>
      <c r="AE20" s="31">
        <f t="shared" si="12"/>
        <v>456</v>
      </c>
      <c r="AF20" s="31">
        <f t="shared" si="12"/>
        <v>1166</v>
      </c>
    </row>
    <row r="21" spans="2:32" ht="23.1" customHeight="1" x14ac:dyDescent="0.25">
      <c r="B21" s="23" t="s">
        <v>48</v>
      </c>
      <c r="C21" s="50">
        <v>95</v>
      </c>
      <c r="D21" s="50">
        <v>15</v>
      </c>
      <c r="E21" s="50">
        <v>8</v>
      </c>
      <c r="F21" s="50">
        <v>75</v>
      </c>
      <c r="G21" s="50">
        <v>7</v>
      </c>
      <c r="H21" s="50">
        <v>0</v>
      </c>
      <c r="I21" s="50">
        <v>15</v>
      </c>
      <c r="J21" s="50">
        <v>0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215</v>
      </c>
      <c r="P21" s="15">
        <f t="shared" si="1"/>
        <v>370</v>
      </c>
      <c r="R21" s="36" t="s">
        <v>20</v>
      </c>
      <c r="S21" s="34">
        <f t="shared" ref="S21:AF21" si="13">SUM(C54:C57)</f>
        <v>129</v>
      </c>
      <c r="T21" s="17">
        <f t="shared" si="13"/>
        <v>37</v>
      </c>
      <c r="U21" s="17">
        <f t="shared" si="13"/>
        <v>9</v>
      </c>
      <c r="V21" s="17">
        <f t="shared" si="13"/>
        <v>190</v>
      </c>
      <c r="W21" s="17">
        <f t="shared" si="13"/>
        <v>7</v>
      </c>
      <c r="X21" s="17">
        <f t="shared" si="13"/>
        <v>3</v>
      </c>
      <c r="Y21" s="17">
        <f t="shared" si="13"/>
        <v>13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560</v>
      </c>
      <c r="AD21" s="17">
        <f t="shared" si="13"/>
        <v>0</v>
      </c>
      <c r="AE21" s="31">
        <f t="shared" si="13"/>
        <v>390</v>
      </c>
      <c r="AF21" s="31">
        <f t="shared" si="13"/>
        <v>950</v>
      </c>
    </row>
    <row r="22" spans="2:32" ht="23.1" customHeight="1" x14ac:dyDescent="0.25">
      <c r="B22" s="23" t="s">
        <v>49</v>
      </c>
      <c r="C22" s="50">
        <v>57</v>
      </c>
      <c r="D22" s="50">
        <v>20</v>
      </c>
      <c r="E22" s="50">
        <v>9</v>
      </c>
      <c r="F22" s="50">
        <v>42</v>
      </c>
      <c r="G22" s="50">
        <v>0</v>
      </c>
      <c r="H22" s="50">
        <v>0</v>
      </c>
      <c r="I22" s="50">
        <v>6</v>
      </c>
      <c r="J22" s="50">
        <v>2</v>
      </c>
      <c r="K22" s="50">
        <v>0</v>
      </c>
      <c r="L22" s="50">
        <v>0</v>
      </c>
      <c r="M22" s="50">
        <v>130</v>
      </c>
      <c r="N22" s="50">
        <v>0</v>
      </c>
      <c r="O22" s="15">
        <f t="shared" si="0"/>
        <v>136</v>
      </c>
      <c r="P22" s="15">
        <f t="shared" si="1"/>
        <v>266</v>
      </c>
      <c r="R22" s="38" t="s">
        <v>90</v>
      </c>
      <c r="S22" s="39">
        <f>MAX(S10:S12)</f>
        <v>262</v>
      </c>
      <c r="T22" s="39">
        <f t="shared" ref="T22:AF22" si="14">MAX(T10:T12)</f>
        <v>50</v>
      </c>
      <c r="U22" s="39">
        <f t="shared" si="14"/>
        <v>18</v>
      </c>
      <c r="V22" s="39">
        <f t="shared" si="14"/>
        <v>342</v>
      </c>
      <c r="W22" s="39">
        <f t="shared" si="14"/>
        <v>12</v>
      </c>
      <c r="X22" s="39">
        <f t="shared" si="14"/>
        <v>2</v>
      </c>
      <c r="Y22" s="39">
        <f t="shared" si="14"/>
        <v>41</v>
      </c>
      <c r="Z22" s="39">
        <f t="shared" si="14"/>
        <v>9</v>
      </c>
      <c r="AA22" s="39">
        <f t="shared" si="14"/>
        <v>1</v>
      </c>
      <c r="AB22" s="39">
        <f t="shared" si="14"/>
        <v>0</v>
      </c>
      <c r="AC22" s="39">
        <f t="shared" si="14"/>
        <v>815</v>
      </c>
      <c r="AD22" s="39">
        <f t="shared" si="14"/>
        <v>0</v>
      </c>
      <c r="AE22" s="40">
        <f t="shared" si="14"/>
        <v>726</v>
      </c>
      <c r="AF22" s="40">
        <f t="shared" si="14"/>
        <v>1501</v>
      </c>
    </row>
    <row r="23" spans="2:32" ht="23.1" customHeight="1" x14ac:dyDescent="0.25">
      <c r="B23" s="23" t="s">
        <v>50</v>
      </c>
      <c r="C23" s="50">
        <v>58</v>
      </c>
      <c r="D23" s="50">
        <v>19</v>
      </c>
      <c r="E23" s="50">
        <v>3</v>
      </c>
      <c r="F23" s="50">
        <v>50</v>
      </c>
      <c r="G23" s="50">
        <v>1</v>
      </c>
      <c r="H23" s="50">
        <v>1</v>
      </c>
      <c r="I23" s="50">
        <v>8</v>
      </c>
      <c r="J23" s="50">
        <v>3</v>
      </c>
      <c r="K23" s="50">
        <v>0</v>
      </c>
      <c r="L23" s="50">
        <v>0</v>
      </c>
      <c r="M23" s="50">
        <v>145</v>
      </c>
      <c r="N23" s="50">
        <v>0</v>
      </c>
      <c r="O23" s="15">
        <f t="shared" si="0"/>
        <v>143</v>
      </c>
      <c r="P23" s="15">
        <f t="shared" si="1"/>
        <v>288</v>
      </c>
      <c r="R23" s="38" t="s">
        <v>91</v>
      </c>
      <c r="S23" s="39">
        <f>MAX(S13:S18)</f>
        <v>340</v>
      </c>
      <c r="T23" s="39">
        <f t="shared" ref="T23:AF23" si="15">MAX(T13:T18)</f>
        <v>123</v>
      </c>
      <c r="U23" s="39">
        <f t="shared" si="15"/>
        <v>34</v>
      </c>
      <c r="V23" s="39">
        <f t="shared" si="15"/>
        <v>255</v>
      </c>
      <c r="W23" s="39">
        <f t="shared" si="15"/>
        <v>12</v>
      </c>
      <c r="X23" s="39">
        <f t="shared" si="15"/>
        <v>14</v>
      </c>
      <c r="Y23" s="39">
        <f t="shared" si="15"/>
        <v>51</v>
      </c>
      <c r="Z23" s="39">
        <f t="shared" si="15"/>
        <v>10</v>
      </c>
      <c r="AA23" s="39">
        <f t="shared" si="15"/>
        <v>1</v>
      </c>
      <c r="AB23" s="39">
        <f t="shared" si="15"/>
        <v>2</v>
      </c>
      <c r="AC23" s="39">
        <f t="shared" si="15"/>
        <v>725</v>
      </c>
      <c r="AD23" s="39">
        <f t="shared" si="15"/>
        <v>0</v>
      </c>
      <c r="AE23" s="40">
        <f t="shared" si="15"/>
        <v>777</v>
      </c>
      <c r="AF23" s="40">
        <f t="shared" si="15"/>
        <v>1483</v>
      </c>
    </row>
    <row r="24" spans="2:32" ht="23.1" customHeight="1" x14ac:dyDescent="0.25">
      <c r="B24" s="23" t="s">
        <v>51</v>
      </c>
      <c r="C24" s="50">
        <v>65</v>
      </c>
      <c r="D24" s="50">
        <v>18</v>
      </c>
      <c r="E24" s="50">
        <v>5</v>
      </c>
      <c r="F24" s="50">
        <v>70</v>
      </c>
      <c r="G24" s="50">
        <v>0</v>
      </c>
      <c r="H24" s="50">
        <v>0</v>
      </c>
      <c r="I24" s="50">
        <v>7</v>
      </c>
      <c r="J24" s="50">
        <v>1</v>
      </c>
      <c r="K24" s="50">
        <v>0</v>
      </c>
      <c r="L24" s="50">
        <v>0</v>
      </c>
      <c r="M24" s="50">
        <v>190</v>
      </c>
      <c r="N24" s="50">
        <v>0</v>
      </c>
      <c r="O24" s="15">
        <f t="shared" si="0"/>
        <v>166</v>
      </c>
      <c r="P24" s="15">
        <f t="shared" si="1"/>
        <v>356</v>
      </c>
      <c r="R24" s="38" t="s">
        <v>92</v>
      </c>
      <c r="S24" s="39">
        <f>MAX(S19:S21)</f>
        <v>295</v>
      </c>
      <c r="T24" s="39">
        <f t="shared" ref="T24:AF24" si="16">MAX(T19:T21)</f>
        <v>112</v>
      </c>
      <c r="U24" s="39">
        <f t="shared" si="16"/>
        <v>13</v>
      </c>
      <c r="V24" s="39">
        <f t="shared" si="16"/>
        <v>235</v>
      </c>
      <c r="W24" s="39">
        <f t="shared" si="16"/>
        <v>7</v>
      </c>
      <c r="X24" s="39">
        <f t="shared" si="16"/>
        <v>3</v>
      </c>
      <c r="Y24" s="39">
        <f t="shared" si="16"/>
        <v>31</v>
      </c>
      <c r="Z24" s="39">
        <f t="shared" si="16"/>
        <v>5</v>
      </c>
      <c r="AA24" s="39">
        <f t="shared" si="16"/>
        <v>0</v>
      </c>
      <c r="AB24" s="39">
        <f t="shared" si="16"/>
        <v>1</v>
      </c>
      <c r="AC24" s="39">
        <f t="shared" si="16"/>
        <v>710</v>
      </c>
      <c r="AD24" s="39">
        <f t="shared" si="16"/>
        <v>0</v>
      </c>
      <c r="AE24" s="40">
        <f t="shared" si="16"/>
        <v>691</v>
      </c>
      <c r="AF24" s="40">
        <f t="shared" si="16"/>
        <v>1286</v>
      </c>
    </row>
    <row r="25" spans="2:32" ht="23.1" customHeight="1" x14ac:dyDescent="0.25">
      <c r="B25" s="23" t="s">
        <v>52</v>
      </c>
      <c r="C25" s="50">
        <v>84</v>
      </c>
      <c r="D25" s="50">
        <v>24</v>
      </c>
      <c r="E25" s="50">
        <v>3</v>
      </c>
      <c r="F25" s="50">
        <v>73</v>
      </c>
      <c r="G25" s="50">
        <v>3</v>
      </c>
      <c r="H25" s="50">
        <v>0</v>
      </c>
      <c r="I25" s="50">
        <v>30</v>
      </c>
      <c r="J25" s="50">
        <v>2</v>
      </c>
      <c r="K25" s="50">
        <v>0</v>
      </c>
      <c r="L25" s="50">
        <v>0</v>
      </c>
      <c r="M25" s="50">
        <v>150</v>
      </c>
      <c r="N25" s="50">
        <v>0</v>
      </c>
      <c r="O25" s="15">
        <f t="shared" si="0"/>
        <v>219</v>
      </c>
      <c r="P25" s="15">
        <f t="shared" si="1"/>
        <v>369</v>
      </c>
      <c r="R25" s="37" t="s">
        <v>85</v>
      </c>
      <c r="S25" s="35">
        <f t="shared" ref="S25:AF25" si="17">SUM(S10:S12)</f>
        <v>533</v>
      </c>
      <c r="T25" s="16">
        <f t="shared" si="17"/>
        <v>116</v>
      </c>
      <c r="U25" s="16">
        <f t="shared" si="17"/>
        <v>36</v>
      </c>
      <c r="V25" s="16">
        <f t="shared" si="17"/>
        <v>775</v>
      </c>
      <c r="W25" s="16">
        <f t="shared" si="17"/>
        <v>16</v>
      </c>
      <c r="X25" s="16">
        <f t="shared" si="17"/>
        <v>2</v>
      </c>
      <c r="Y25" s="16">
        <f t="shared" si="17"/>
        <v>86</v>
      </c>
      <c r="Z25" s="16">
        <f t="shared" si="17"/>
        <v>18</v>
      </c>
      <c r="AA25" s="16">
        <f t="shared" si="17"/>
        <v>1</v>
      </c>
      <c r="AB25" s="16">
        <f t="shared" si="17"/>
        <v>0</v>
      </c>
      <c r="AC25" s="16">
        <f t="shared" si="17"/>
        <v>2305</v>
      </c>
      <c r="AD25" s="16">
        <f t="shared" si="17"/>
        <v>0</v>
      </c>
      <c r="AE25" s="32">
        <f t="shared" si="17"/>
        <v>1583</v>
      </c>
      <c r="AF25" s="32">
        <f t="shared" si="17"/>
        <v>3888</v>
      </c>
    </row>
    <row r="26" spans="2:32" ht="23.1" customHeight="1" x14ac:dyDescent="0.25">
      <c r="B26" s="23" t="s">
        <v>53</v>
      </c>
      <c r="C26" s="50">
        <v>80</v>
      </c>
      <c r="D26" s="50">
        <v>30</v>
      </c>
      <c r="E26" s="50">
        <v>10</v>
      </c>
      <c r="F26" s="50">
        <v>60</v>
      </c>
      <c r="G26" s="50">
        <v>5</v>
      </c>
      <c r="H26" s="50">
        <v>1</v>
      </c>
      <c r="I26" s="50">
        <v>4</v>
      </c>
      <c r="J26" s="50">
        <v>0</v>
      </c>
      <c r="K26" s="50">
        <v>0</v>
      </c>
      <c r="L26" s="50">
        <v>0</v>
      </c>
      <c r="M26" s="50">
        <v>160</v>
      </c>
      <c r="N26" s="50">
        <v>0</v>
      </c>
      <c r="O26" s="15">
        <f t="shared" si="0"/>
        <v>190</v>
      </c>
      <c r="P26" s="15">
        <f t="shared" si="1"/>
        <v>350</v>
      </c>
      <c r="R26" s="28" t="s">
        <v>86</v>
      </c>
      <c r="S26" s="16">
        <f t="shared" ref="S26:AF26" si="18">SUM(S13:S18)</f>
        <v>1620</v>
      </c>
      <c r="T26" s="16">
        <f t="shared" si="18"/>
        <v>453</v>
      </c>
      <c r="U26" s="16">
        <f t="shared" si="18"/>
        <v>145</v>
      </c>
      <c r="V26" s="16">
        <f t="shared" si="18"/>
        <v>1265</v>
      </c>
      <c r="W26" s="16">
        <f t="shared" si="18"/>
        <v>36</v>
      </c>
      <c r="X26" s="16">
        <f t="shared" si="18"/>
        <v>19</v>
      </c>
      <c r="Y26" s="16">
        <f t="shared" si="18"/>
        <v>240</v>
      </c>
      <c r="Z26" s="16">
        <f t="shared" si="18"/>
        <v>39</v>
      </c>
      <c r="AA26" s="16">
        <f t="shared" si="18"/>
        <v>1</v>
      </c>
      <c r="AB26" s="16">
        <f t="shared" si="18"/>
        <v>2</v>
      </c>
      <c r="AC26" s="16">
        <f t="shared" si="18"/>
        <v>3700</v>
      </c>
      <c r="AD26" s="16">
        <f t="shared" si="18"/>
        <v>0</v>
      </c>
      <c r="AE26" s="32">
        <f t="shared" si="18"/>
        <v>3820</v>
      </c>
      <c r="AF26" s="32">
        <f t="shared" si="18"/>
        <v>7520</v>
      </c>
    </row>
    <row r="27" spans="2:32" ht="23.1" customHeight="1" x14ac:dyDescent="0.25">
      <c r="B27" s="23" t="s">
        <v>54</v>
      </c>
      <c r="C27" s="50">
        <v>107</v>
      </c>
      <c r="D27" s="50">
        <v>13</v>
      </c>
      <c r="E27" s="50">
        <v>2</v>
      </c>
      <c r="F27" s="50">
        <v>45</v>
      </c>
      <c r="G27" s="50">
        <v>0</v>
      </c>
      <c r="H27" s="50">
        <v>1</v>
      </c>
      <c r="I27" s="50">
        <v>2</v>
      </c>
      <c r="J27" s="50">
        <v>2</v>
      </c>
      <c r="K27" s="50">
        <v>0</v>
      </c>
      <c r="L27" s="50">
        <v>0</v>
      </c>
      <c r="M27" s="50">
        <v>190</v>
      </c>
      <c r="N27" s="50">
        <v>0</v>
      </c>
      <c r="O27" s="15">
        <f t="shared" si="0"/>
        <v>172</v>
      </c>
      <c r="P27" s="15">
        <f t="shared" si="1"/>
        <v>362</v>
      </c>
      <c r="R27" s="29" t="s">
        <v>87</v>
      </c>
      <c r="S27" s="16">
        <f t="shared" ref="S27:AF27" si="19">SUM(S19:S21)</f>
        <v>634</v>
      </c>
      <c r="T27" s="16">
        <f t="shared" si="19"/>
        <v>203</v>
      </c>
      <c r="U27" s="16">
        <f t="shared" si="19"/>
        <v>32</v>
      </c>
      <c r="V27" s="16">
        <f t="shared" si="19"/>
        <v>584</v>
      </c>
      <c r="W27" s="16">
        <f t="shared" si="19"/>
        <v>14</v>
      </c>
      <c r="X27" s="16">
        <f t="shared" si="19"/>
        <v>3</v>
      </c>
      <c r="Y27" s="16">
        <f t="shared" si="19"/>
        <v>59</v>
      </c>
      <c r="Z27" s="16">
        <f t="shared" si="19"/>
        <v>7</v>
      </c>
      <c r="AA27" s="16">
        <f t="shared" si="19"/>
        <v>0</v>
      </c>
      <c r="AB27" s="16">
        <f t="shared" si="19"/>
        <v>1</v>
      </c>
      <c r="AC27" s="16">
        <f t="shared" si="19"/>
        <v>1865</v>
      </c>
      <c r="AD27" s="16">
        <f t="shared" si="19"/>
        <v>0</v>
      </c>
      <c r="AE27" s="32">
        <f t="shared" si="19"/>
        <v>1537</v>
      </c>
      <c r="AF27" s="32">
        <f t="shared" si="19"/>
        <v>3402</v>
      </c>
    </row>
    <row r="28" spans="2:32" ht="23.1" customHeight="1" x14ac:dyDescent="0.25">
      <c r="B28" s="23" t="s">
        <v>55</v>
      </c>
      <c r="C28" s="50">
        <v>75</v>
      </c>
      <c r="D28" s="50">
        <v>57</v>
      </c>
      <c r="E28" s="50">
        <v>8</v>
      </c>
      <c r="F28" s="50">
        <v>69</v>
      </c>
      <c r="G28" s="50">
        <v>3</v>
      </c>
      <c r="H28" s="50">
        <v>2</v>
      </c>
      <c r="I28" s="50">
        <v>11</v>
      </c>
      <c r="J28" s="50">
        <v>4</v>
      </c>
      <c r="K28" s="50">
        <v>0</v>
      </c>
      <c r="L28" s="50">
        <v>0</v>
      </c>
      <c r="M28" s="50">
        <v>135</v>
      </c>
      <c r="N28" s="50">
        <v>0</v>
      </c>
      <c r="O28" s="15">
        <f t="shared" si="0"/>
        <v>229</v>
      </c>
      <c r="P28" s="15">
        <f t="shared" si="1"/>
        <v>364</v>
      </c>
      <c r="R28" s="5" t="s">
        <v>17</v>
      </c>
      <c r="S28" s="16">
        <f t="shared" ref="S28:AF28" si="20">SUM(S10:S21)</f>
        <v>2787</v>
      </c>
      <c r="T28" s="16">
        <f t="shared" si="20"/>
        <v>772</v>
      </c>
      <c r="U28" s="16">
        <f t="shared" si="20"/>
        <v>213</v>
      </c>
      <c r="V28" s="16">
        <f t="shared" si="20"/>
        <v>2624</v>
      </c>
      <c r="W28" s="16">
        <f t="shared" si="20"/>
        <v>66</v>
      </c>
      <c r="X28" s="16">
        <f t="shared" si="20"/>
        <v>24</v>
      </c>
      <c r="Y28" s="16">
        <f t="shared" si="20"/>
        <v>385</v>
      </c>
      <c r="Z28" s="16">
        <f t="shared" si="20"/>
        <v>64</v>
      </c>
      <c r="AA28" s="16">
        <f t="shared" si="20"/>
        <v>2</v>
      </c>
      <c r="AB28" s="16">
        <f t="shared" si="20"/>
        <v>3</v>
      </c>
      <c r="AC28" s="16">
        <f t="shared" si="20"/>
        <v>7870</v>
      </c>
      <c r="AD28" s="16">
        <f t="shared" si="20"/>
        <v>0</v>
      </c>
      <c r="AE28" s="32">
        <f t="shared" si="20"/>
        <v>6940</v>
      </c>
      <c r="AF28" s="32">
        <f t="shared" si="20"/>
        <v>14810</v>
      </c>
    </row>
    <row r="29" spans="2:32" ht="23.1" customHeight="1" x14ac:dyDescent="0.25">
      <c r="B29" s="23" t="s">
        <v>56</v>
      </c>
      <c r="C29" s="50">
        <v>75</v>
      </c>
      <c r="D29" s="50">
        <v>23</v>
      </c>
      <c r="E29" s="50">
        <v>4</v>
      </c>
      <c r="F29" s="50">
        <v>70</v>
      </c>
      <c r="G29" s="50">
        <v>0</v>
      </c>
      <c r="H29" s="50">
        <v>0</v>
      </c>
      <c r="I29" s="50">
        <v>14</v>
      </c>
      <c r="J29" s="50">
        <v>0</v>
      </c>
      <c r="K29" s="50">
        <v>0</v>
      </c>
      <c r="L29" s="50">
        <v>0</v>
      </c>
      <c r="M29" s="50">
        <v>165</v>
      </c>
      <c r="N29" s="50">
        <v>0</v>
      </c>
      <c r="O29" s="15">
        <f t="shared" si="0"/>
        <v>186</v>
      </c>
      <c r="P29" s="15">
        <f t="shared" si="1"/>
        <v>351</v>
      </c>
      <c r="R29"/>
      <c r="S29" s="20"/>
      <c r="T29" s="19"/>
    </row>
    <row r="30" spans="2:32" ht="23.1" customHeight="1" x14ac:dyDescent="0.25">
      <c r="B30" s="23" t="s">
        <v>57</v>
      </c>
      <c r="C30" s="50">
        <v>45</v>
      </c>
      <c r="D30" s="50">
        <v>8</v>
      </c>
      <c r="E30" s="50">
        <v>4</v>
      </c>
      <c r="F30" s="50">
        <v>29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130</v>
      </c>
      <c r="N30" s="50">
        <v>0</v>
      </c>
      <c r="O30" s="15">
        <f t="shared" si="0"/>
        <v>89</v>
      </c>
      <c r="P30" s="15">
        <f t="shared" si="1"/>
        <v>219</v>
      </c>
    </row>
    <row r="31" spans="2:32" ht="23.1" customHeight="1" x14ac:dyDescent="0.25">
      <c r="B31" s="24" t="s">
        <v>58</v>
      </c>
      <c r="C31" s="50">
        <v>39</v>
      </c>
      <c r="D31" s="50">
        <v>14</v>
      </c>
      <c r="E31" s="50">
        <v>2</v>
      </c>
      <c r="F31" s="50">
        <v>43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145</v>
      </c>
      <c r="N31" s="50">
        <v>0</v>
      </c>
      <c r="O31" s="15">
        <f t="shared" si="0"/>
        <v>101</v>
      </c>
      <c r="P31" s="15">
        <f t="shared" si="1"/>
        <v>246</v>
      </c>
    </row>
    <row r="32" spans="2:32" ht="23.1" customHeight="1" x14ac:dyDescent="0.25">
      <c r="B32" s="24" t="s">
        <v>59</v>
      </c>
      <c r="C32" s="50">
        <v>59</v>
      </c>
      <c r="D32" s="50">
        <v>23</v>
      </c>
      <c r="E32" s="50">
        <v>14</v>
      </c>
      <c r="F32" s="50">
        <v>63</v>
      </c>
      <c r="G32" s="50">
        <v>4</v>
      </c>
      <c r="H32" s="50">
        <v>0</v>
      </c>
      <c r="I32" s="50">
        <v>13</v>
      </c>
      <c r="J32" s="50">
        <v>4</v>
      </c>
      <c r="K32" s="50">
        <v>0</v>
      </c>
      <c r="L32" s="50">
        <v>0</v>
      </c>
      <c r="M32" s="50">
        <v>135</v>
      </c>
      <c r="N32" s="50">
        <v>0</v>
      </c>
      <c r="O32" s="15">
        <f t="shared" si="0"/>
        <v>180</v>
      </c>
      <c r="P32" s="15">
        <f t="shared" si="1"/>
        <v>315</v>
      </c>
    </row>
    <row r="33" spans="2:20" ht="23.1" customHeight="1" x14ac:dyDescent="0.25">
      <c r="B33" s="23" t="s">
        <v>60</v>
      </c>
      <c r="C33" s="50">
        <v>60</v>
      </c>
      <c r="D33" s="50">
        <v>32</v>
      </c>
      <c r="E33" s="50">
        <v>5</v>
      </c>
      <c r="F33" s="50">
        <v>55</v>
      </c>
      <c r="G33" s="50">
        <v>2</v>
      </c>
      <c r="H33" s="50">
        <v>0</v>
      </c>
      <c r="I33" s="50">
        <v>14</v>
      </c>
      <c r="J33" s="50">
        <v>2</v>
      </c>
      <c r="K33" s="50">
        <v>0</v>
      </c>
      <c r="L33" s="50">
        <v>0</v>
      </c>
      <c r="M33" s="50">
        <v>125</v>
      </c>
      <c r="N33" s="50">
        <v>0</v>
      </c>
      <c r="O33" s="15">
        <f t="shared" si="0"/>
        <v>170</v>
      </c>
      <c r="P33" s="15">
        <f t="shared" si="1"/>
        <v>295</v>
      </c>
    </row>
    <row r="34" spans="2:20" ht="23.1" customHeight="1" x14ac:dyDescent="0.25">
      <c r="B34" s="24" t="s">
        <v>61</v>
      </c>
      <c r="C34" s="50">
        <v>65</v>
      </c>
      <c r="D34" s="50">
        <v>17</v>
      </c>
      <c r="E34" s="50">
        <v>10</v>
      </c>
      <c r="F34" s="50">
        <v>60</v>
      </c>
      <c r="G34" s="50">
        <v>4</v>
      </c>
      <c r="H34" s="50">
        <v>1</v>
      </c>
      <c r="I34" s="50">
        <v>18</v>
      </c>
      <c r="J34" s="50">
        <v>4</v>
      </c>
      <c r="K34" s="50">
        <v>0</v>
      </c>
      <c r="L34" s="50">
        <v>0</v>
      </c>
      <c r="M34" s="50">
        <v>160</v>
      </c>
      <c r="N34" s="50">
        <v>0</v>
      </c>
      <c r="O34" s="15">
        <f t="shared" si="0"/>
        <v>179</v>
      </c>
      <c r="P34" s="15">
        <f t="shared" si="1"/>
        <v>339</v>
      </c>
    </row>
    <row r="35" spans="2:20" ht="23.1" customHeight="1" x14ac:dyDescent="0.25">
      <c r="B35" s="24" t="s">
        <v>62</v>
      </c>
      <c r="C35" s="50">
        <v>65</v>
      </c>
      <c r="D35" s="50">
        <v>2</v>
      </c>
      <c r="E35" s="50">
        <v>4</v>
      </c>
      <c r="F35" s="50">
        <v>60</v>
      </c>
      <c r="G35" s="50">
        <v>7</v>
      </c>
      <c r="H35" s="50">
        <v>0</v>
      </c>
      <c r="I35" s="50">
        <v>11</v>
      </c>
      <c r="J35" s="50">
        <v>0</v>
      </c>
      <c r="K35" s="50">
        <v>0</v>
      </c>
      <c r="L35" s="50">
        <v>0</v>
      </c>
      <c r="M35" s="50">
        <v>125</v>
      </c>
      <c r="N35" s="50">
        <v>0</v>
      </c>
      <c r="O35" s="15">
        <f t="shared" si="0"/>
        <v>149</v>
      </c>
      <c r="P35" s="15">
        <f t="shared" si="1"/>
        <v>274</v>
      </c>
    </row>
    <row r="36" spans="2:20" ht="23.1" customHeight="1" x14ac:dyDescent="0.25">
      <c r="B36" s="24" t="s">
        <v>63</v>
      </c>
      <c r="C36" s="50">
        <v>70</v>
      </c>
      <c r="D36" s="50">
        <v>7</v>
      </c>
      <c r="E36" s="50">
        <v>5</v>
      </c>
      <c r="F36" s="50">
        <v>50</v>
      </c>
      <c r="G36" s="50">
        <v>1</v>
      </c>
      <c r="H36" s="50">
        <v>0</v>
      </c>
      <c r="I36" s="50">
        <v>4</v>
      </c>
      <c r="J36" s="50">
        <v>5</v>
      </c>
      <c r="K36" s="50">
        <v>1</v>
      </c>
      <c r="L36" s="50">
        <v>2</v>
      </c>
      <c r="M36" s="50">
        <v>165</v>
      </c>
      <c r="N36" s="50">
        <v>0</v>
      </c>
      <c r="O36" s="15">
        <f t="shared" si="0"/>
        <v>145</v>
      </c>
      <c r="P36" s="15">
        <f t="shared" si="1"/>
        <v>310</v>
      </c>
    </row>
    <row r="37" spans="2:20" ht="23.1" customHeight="1" x14ac:dyDescent="0.25">
      <c r="B37" s="23" t="s">
        <v>64</v>
      </c>
      <c r="C37" s="50">
        <v>85</v>
      </c>
      <c r="D37" s="50">
        <v>5</v>
      </c>
      <c r="E37" s="50">
        <v>4</v>
      </c>
      <c r="F37" s="50">
        <v>30</v>
      </c>
      <c r="G37" s="50">
        <v>0</v>
      </c>
      <c r="H37" s="50">
        <v>13</v>
      </c>
      <c r="I37" s="50">
        <v>12</v>
      </c>
      <c r="J37" s="50">
        <v>1</v>
      </c>
      <c r="K37" s="50">
        <v>0</v>
      </c>
      <c r="L37" s="50">
        <v>0</v>
      </c>
      <c r="M37" s="50">
        <v>160</v>
      </c>
      <c r="N37" s="50">
        <v>0</v>
      </c>
      <c r="O37" s="15">
        <f t="shared" si="0"/>
        <v>150</v>
      </c>
      <c r="P37" s="15">
        <f t="shared" si="1"/>
        <v>310</v>
      </c>
    </row>
    <row r="38" spans="2:20" ht="23.1" customHeight="1" x14ac:dyDescent="0.25">
      <c r="B38" s="24" t="s">
        <v>65</v>
      </c>
      <c r="C38" s="50">
        <v>75</v>
      </c>
      <c r="D38" s="50">
        <v>19</v>
      </c>
      <c r="E38" s="50">
        <v>11</v>
      </c>
      <c r="F38" s="50">
        <v>85</v>
      </c>
      <c r="G38" s="50">
        <v>2</v>
      </c>
      <c r="H38" s="50">
        <v>0</v>
      </c>
      <c r="I38" s="50">
        <v>15</v>
      </c>
      <c r="J38" s="50">
        <v>5</v>
      </c>
      <c r="K38" s="50">
        <v>0</v>
      </c>
      <c r="L38" s="50">
        <v>0</v>
      </c>
      <c r="M38" s="50">
        <v>230</v>
      </c>
      <c r="N38" s="50">
        <v>0</v>
      </c>
      <c r="O38" s="15">
        <f t="shared" si="0"/>
        <v>212</v>
      </c>
      <c r="P38" s="15">
        <f t="shared" si="1"/>
        <v>442</v>
      </c>
    </row>
    <row r="39" spans="2:20" ht="23.1" customHeight="1" x14ac:dyDescent="0.25">
      <c r="B39" s="24" t="s">
        <v>66</v>
      </c>
      <c r="C39" s="50">
        <v>110</v>
      </c>
      <c r="D39" s="50">
        <v>9</v>
      </c>
      <c r="E39" s="50">
        <v>5</v>
      </c>
      <c r="F39" s="50">
        <v>65</v>
      </c>
      <c r="G39" s="50">
        <v>0</v>
      </c>
      <c r="H39" s="50">
        <v>0</v>
      </c>
      <c r="I39" s="50">
        <v>9</v>
      </c>
      <c r="J39" s="50">
        <v>1</v>
      </c>
      <c r="K39" s="50">
        <v>0</v>
      </c>
      <c r="L39" s="50">
        <v>0</v>
      </c>
      <c r="M39" s="50">
        <v>175</v>
      </c>
      <c r="N39" s="50">
        <v>0</v>
      </c>
      <c r="O39" s="15">
        <f t="shared" si="0"/>
        <v>199</v>
      </c>
      <c r="P39" s="15">
        <f t="shared" si="1"/>
        <v>374</v>
      </c>
    </row>
    <row r="40" spans="2:20" ht="23.1" customHeight="1" x14ac:dyDescent="0.25">
      <c r="B40" s="24" t="s">
        <v>67</v>
      </c>
      <c r="C40" s="50">
        <v>75</v>
      </c>
      <c r="D40" s="50">
        <v>32</v>
      </c>
      <c r="E40" s="50">
        <v>3</v>
      </c>
      <c r="F40" s="50">
        <v>55</v>
      </c>
      <c r="G40" s="50">
        <v>0</v>
      </c>
      <c r="H40" s="50">
        <v>0</v>
      </c>
      <c r="I40" s="50">
        <v>20</v>
      </c>
      <c r="J40" s="50">
        <v>0</v>
      </c>
      <c r="K40" s="50">
        <v>0</v>
      </c>
      <c r="L40" s="50">
        <v>0</v>
      </c>
      <c r="M40" s="50">
        <v>180</v>
      </c>
      <c r="N40" s="50">
        <v>0</v>
      </c>
      <c r="O40" s="15">
        <f t="shared" si="0"/>
        <v>185</v>
      </c>
      <c r="P40" s="15">
        <f t="shared" si="1"/>
        <v>365</v>
      </c>
    </row>
    <row r="41" spans="2:20" ht="23.1" customHeight="1" x14ac:dyDescent="0.25">
      <c r="B41" s="23" t="s">
        <v>68</v>
      </c>
      <c r="C41" s="50">
        <v>80</v>
      </c>
      <c r="D41" s="50">
        <v>9</v>
      </c>
      <c r="E41" s="50">
        <v>15</v>
      </c>
      <c r="F41" s="50">
        <v>50</v>
      </c>
      <c r="G41" s="50">
        <v>1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140</v>
      </c>
      <c r="N41" s="50">
        <v>0</v>
      </c>
      <c r="O41" s="15">
        <f t="shared" si="0"/>
        <v>162</v>
      </c>
      <c r="P41" s="15">
        <f t="shared" si="1"/>
        <v>302</v>
      </c>
    </row>
    <row r="42" spans="2:20" ht="23.1" customHeight="1" x14ac:dyDescent="0.25">
      <c r="B42" s="24" t="s">
        <v>69</v>
      </c>
      <c r="C42" s="50">
        <v>48</v>
      </c>
      <c r="D42" s="50">
        <v>17</v>
      </c>
      <c r="E42" s="50">
        <v>7</v>
      </c>
      <c r="F42" s="50">
        <v>27</v>
      </c>
      <c r="G42" s="50">
        <v>1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145</v>
      </c>
      <c r="N42" s="50">
        <v>0</v>
      </c>
      <c r="O42" s="15">
        <f t="shared" si="0"/>
        <v>105</v>
      </c>
      <c r="P42" s="15">
        <f t="shared" si="1"/>
        <v>250</v>
      </c>
    </row>
    <row r="43" spans="2:20" ht="23.1" customHeight="1" x14ac:dyDescent="0.25">
      <c r="B43" s="23" t="s">
        <v>70</v>
      </c>
      <c r="C43" s="50">
        <v>48</v>
      </c>
      <c r="D43" s="50">
        <v>32</v>
      </c>
      <c r="E43" s="50">
        <v>5</v>
      </c>
      <c r="F43" s="50">
        <v>37</v>
      </c>
      <c r="G43" s="50">
        <v>1</v>
      </c>
      <c r="H43" s="50">
        <v>0</v>
      </c>
      <c r="I43" s="50">
        <v>8</v>
      </c>
      <c r="J43" s="50">
        <v>0</v>
      </c>
      <c r="K43" s="50">
        <v>0</v>
      </c>
      <c r="L43" s="50">
        <v>0</v>
      </c>
      <c r="M43" s="50">
        <v>145</v>
      </c>
      <c r="N43" s="50">
        <v>0</v>
      </c>
      <c r="O43" s="15">
        <f t="shared" si="0"/>
        <v>131</v>
      </c>
      <c r="P43" s="15">
        <f t="shared" si="1"/>
        <v>276</v>
      </c>
    </row>
    <row r="44" spans="2:20" ht="23.1" customHeight="1" x14ac:dyDescent="0.25">
      <c r="B44" s="25" t="s">
        <v>71</v>
      </c>
      <c r="C44" s="50">
        <v>60</v>
      </c>
      <c r="D44" s="50">
        <v>13</v>
      </c>
      <c r="E44" s="50">
        <v>5</v>
      </c>
      <c r="F44" s="50">
        <v>41</v>
      </c>
      <c r="G44" s="50">
        <v>1</v>
      </c>
      <c r="H44" s="50">
        <v>0</v>
      </c>
      <c r="I44" s="50">
        <v>8</v>
      </c>
      <c r="J44" s="50">
        <v>1</v>
      </c>
      <c r="K44" s="50">
        <v>0</v>
      </c>
      <c r="L44" s="50">
        <v>0</v>
      </c>
      <c r="M44" s="50">
        <v>155</v>
      </c>
      <c r="N44" s="50">
        <v>0</v>
      </c>
      <c r="O44" s="15">
        <f t="shared" si="0"/>
        <v>129</v>
      </c>
      <c r="P44" s="15">
        <f t="shared" si="1"/>
        <v>284</v>
      </c>
    </row>
    <row r="45" spans="2:20" ht="23.1" customHeight="1" x14ac:dyDescent="0.25">
      <c r="B45" s="23" t="s">
        <v>72</v>
      </c>
      <c r="C45" s="50">
        <v>35</v>
      </c>
      <c r="D45" s="50">
        <v>10</v>
      </c>
      <c r="E45" s="50">
        <v>2</v>
      </c>
      <c r="F45" s="50">
        <v>36</v>
      </c>
      <c r="G45" s="50">
        <v>0</v>
      </c>
      <c r="H45" s="50">
        <v>0</v>
      </c>
      <c r="I45" s="50">
        <v>10</v>
      </c>
      <c r="J45" s="50">
        <v>0</v>
      </c>
      <c r="K45" s="50">
        <v>0</v>
      </c>
      <c r="L45" s="50">
        <v>0</v>
      </c>
      <c r="M45" s="50">
        <v>120</v>
      </c>
      <c r="N45" s="50">
        <v>0</v>
      </c>
      <c r="O45" s="15">
        <f t="shared" si="0"/>
        <v>93</v>
      </c>
      <c r="P45" s="15">
        <f t="shared" si="1"/>
        <v>213</v>
      </c>
    </row>
    <row r="46" spans="2:20" ht="23.1" customHeight="1" x14ac:dyDescent="0.25">
      <c r="B46" s="24" t="s">
        <v>73</v>
      </c>
      <c r="C46" s="50">
        <v>60</v>
      </c>
      <c r="D46" s="50">
        <v>20</v>
      </c>
      <c r="E46" s="50">
        <v>1</v>
      </c>
      <c r="F46" s="50">
        <v>35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140</v>
      </c>
      <c r="N46" s="50">
        <v>0</v>
      </c>
      <c r="O46" s="15">
        <f t="shared" si="0"/>
        <v>122</v>
      </c>
      <c r="P46" s="15">
        <f t="shared" si="1"/>
        <v>262</v>
      </c>
      <c r="R46" s="8"/>
      <c r="T46"/>
    </row>
    <row r="47" spans="2:20" ht="23.1" customHeight="1" x14ac:dyDescent="0.25">
      <c r="B47" s="24" t="s">
        <v>74</v>
      </c>
      <c r="C47" s="50">
        <v>90</v>
      </c>
      <c r="D47" s="50">
        <v>29</v>
      </c>
      <c r="E47" s="50">
        <v>2</v>
      </c>
      <c r="F47" s="50">
        <v>75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160</v>
      </c>
      <c r="N47" s="50">
        <v>0</v>
      </c>
      <c r="O47" s="15">
        <f t="shared" si="0"/>
        <v>197</v>
      </c>
      <c r="P47" s="15">
        <f t="shared" si="1"/>
        <v>357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23</v>
      </c>
      <c r="E48" s="50">
        <v>1</v>
      </c>
      <c r="F48" s="50">
        <v>60</v>
      </c>
      <c r="G48" s="50">
        <v>0</v>
      </c>
      <c r="H48" s="50">
        <v>0</v>
      </c>
      <c r="I48" s="50">
        <v>10</v>
      </c>
      <c r="J48" s="50">
        <v>0</v>
      </c>
      <c r="K48" s="50">
        <v>0</v>
      </c>
      <c r="L48" s="50">
        <v>0</v>
      </c>
      <c r="M48" s="50">
        <v>145</v>
      </c>
      <c r="N48" s="50">
        <v>0</v>
      </c>
      <c r="O48" s="15">
        <f t="shared" si="0"/>
        <v>169</v>
      </c>
      <c r="P48" s="15">
        <f t="shared" si="1"/>
        <v>314</v>
      </c>
      <c r="R48" s="8"/>
      <c r="T48"/>
    </row>
    <row r="49" spans="2:20" ht="23.1" customHeight="1" x14ac:dyDescent="0.25">
      <c r="B49" s="23" t="s">
        <v>76</v>
      </c>
      <c r="C49" s="50">
        <v>70</v>
      </c>
      <c r="D49" s="50">
        <v>40</v>
      </c>
      <c r="E49" s="50">
        <v>9</v>
      </c>
      <c r="F49" s="50">
        <v>65</v>
      </c>
      <c r="G49" s="50">
        <v>5</v>
      </c>
      <c r="H49" s="50">
        <v>0</v>
      </c>
      <c r="I49" s="50">
        <v>14</v>
      </c>
      <c r="J49" s="50">
        <v>0</v>
      </c>
      <c r="K49" s="50">
        <v>0</v>
      </c>
      <c r="L49" s="50">
        <v>0</v>
      </c>
      <c r="M49" s="50">
        <v>150</v>
      </c>
      <c r="N49" s="50">
        <v>0</v>
      </c>
      <c r="O49" s="15">
        <f t="shared" si="0"/>
        <v>203</v>
      </c>
      <c r="P49" s="15">
        <f t="shared" si="1"/>
        <v>353</v>
      </c>
      <c r="R49" s="8"/>
      <c r="T49"/>
    </row>
    <row r="50" spans="2:20" ht="23.1" customHeight="1" x14ac:dyDescent="0.25">
      <c r="B50" s="24" t="s">
        <v>77</v>
      </c>
      <c r="C50" s="50">
        <v>66</v>
      </c>
      <c r="D50" s="50">
        <v>18</v>
      </c>
      <c r="E50" s="50">
        <v>2</v>
      </c>
      <c r="F50" s="50">
        <v>55</v>
      </c>
      <c r="G50" s="50">
        <v>0</v>
      </c>
      <c r="H50" s="50">
        <v>0</v>
      </c>
      <c r="I50" s="50">
        <v>5</v>
      </c>
      <c r="J50" s="50">
        <v>3</v>
      </c>
      <c r="K50" s="50">
        <v>0</v>
      </c>
      <c r="L50" s="50">
        <v>1</v>
      </c>
      <c r="M50" s="50">
        <v>165</v>
      </c>
      <c r="N50" s="50">
        <v>0</v>
      </c>
      <c r="O50" s="15">
        <f t="shared" si="0"/>
        <v>150</v>
      </c>
      <c r="P50" s="15">
        <f t="shared" si="1"/>
        <v>315</v>
      </c>
      <c r="R50" s="8"/>
      <c r="T50"/>
    </row>
    <row r="51" spans="2:20" ht="23.1" customHeight="1" x14ac:dyDescent="0.25">
      <c r="B51" s="24" t="s">
        <v>78</v>
      </c>
      <c r="C51" s="50">
        <v>66</v>
      </c>
      <c r="D51" s="50">
        <v>7</v>
      </c>
      <c r="E51" s="50">
        <v>2</v>
      </c>
      <c r="F51" s="50">
        <v>42</v>
      </c>
      <c r="G51" s="50">
        <v>0</v>
      </c>
      <c r="H51" s="50">
        <v>0</v>
      </c>
      <c r="I51" s="50">
        <v>4</v>
      </c>
      <c r="J51" s="50">
        <v>1</v>
      </c>
      <c r="K51" s="50">
        <v>0</v>
      </c>
      <c r="L51" s="50">
        <v>0</v>
      </c>
      <c r="M51" s="50">
        <v>160</v>
      </c>
      <c r="N51" s="50">
        <v>0</v>
      </c>
      <c r="O51" s="15">
        <f t="shared" si="0"/>
        <v>122</v>
      </c>
      <c r="P51" s="15">
        <f t="shared" si="1"/>
        <v>282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5</v>
      </c>
      <c r="E52" s="50">
        <v>2</v>
      </c>
      <c r="F52" s="50">
        <v>28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210</v>
      </c>
      <c r="N52" s="50">
        <v>0</v>
      </c>
      <c r="O52" s="15">
        <f t="shared" si="0"/>
        <v>63</v>
      </c>
      <c r="P52" s="15">
        <f t="shared" si="1"/>
        <v>273</v>
      </c>
      <c r="R52" s="8"/>
      <c r="T52"/>
    </row>
    <row r="53" spans="2:20" ht="23.1" customHeight="1" x14ac:dyDescent="0.25">
      <c r="B53" s="23" t="s">
        <v>80</v>
      </c>
      <c r="C53" s="50">
        <v>53</v>
      </c>
      <c r="D53" s="50">
        <v>24</v>
      </c>
      <c r="E53" s="50">
        <v>4</v>
      </c>
      <c r="F53" s="50">
        <v>34</v>
      </c>
      <c r="G53" s="50">
        <v>2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175</v>
      </c>
      <c r="N53" s="50">
        <v>0</v>
      </c>
      <c r="O53" s="15">
        <f t="shared" si="0"/>
        <v>121</v>
      </c>
      <c r="P53" s="15">
        <f t="shared" si="1"/>
        <v>296</v>
      </c>
      <c r="R53" s="8"/>
      <c r="T53"/>
    </row>
    <row r="54" spans="2:20" ht="23.1" customHeight="1" x14ac:dyDescent="0.25">
      <c r="B54" s="23" t="s">
        <v>81</v>
      </c>
      <c r="C54" s="50">
        <v>36</v>
      </c>
      <c r="D54" s="50">
        <v>12</v>
      </c>
      <c r="E54" s="50">
        <v>3</v>
      </c>
      <c r="F54" s="50">
        <v>40</v>
      </c>
      <c r="G54" s="50">
        <v>1</v>
      </c>
      <c r="H54" s="50">
        <v>1</v>
      </c>
      <c r="I54" s="50">
        <v>2</v>
      </c>
      <c r="J54" s="50">
        <v>0</v>
      </c>
      <c r="K54" s="50">
        <v>0</v>
      </c>
      <c r="L54" s="50">
        <v>0</v>
      </c>
      <c r="M54" s="50">
        <v>175</v>
      </c>
      <c r="N54" s="50">
        <v>0</v>
      </c>
      <c r="O54" s="15">
        <f t="shared" si="0"/>
        <v>95</v>
      </c>
      <c r="P54" s="15">
        <f t="shared" si="1"/>
        <v>270</v>
      </c>
      <c r="R54" s="8"/>
      <c r="T54"/>
    </row>
    <row r="55" spans="2:20" ht="23.1" customHeight="1" x14ac:dyDescent="0.25">
      <c r="B55" s="23" t="s">
        <v>82</v>
      </c>
      <c r="C55" s="50">
        <v>25</v>
      </c>
      <c r="D55" s="50">
        <v>5</v>
      </c>
      <c r="E55" s="50">
        <v>2</v>
      </c>
      <c r="F55" s="50">
        <v>35</v>
      </c>
      <c r="G55" s="50">
        <v>2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115</v>
      </c>
      <c r="N55" s="50">
        <v>0</v>
      </c>
      <c r="O55" s="15">
        <f t="shared" si="0"/>
        <v>70</v>
      </c>
      <c r="P55" s="15">
        <f t="shared" si="1"/>
        <v>185</v>
      </c>
      <c r="R55" s="8"/>
      <c r="T55"/>
    </row>
    <row r="56" spans="2:20" ht="23.1" customHeight="1" x14ac:dyDescent="0.25">
      <c r="B56" s="23" t="s">
        <v>83</v>
      </c>
      <c r="C56" s="50">
        <v>23</v>
      </c>
      <c r="D56" s="50">
        <v>12</v>
      </c>
      <c r="E56" s="50">
        <v>0</v>
      </c>
      <c r="F56" s="50">
        <v>50</v>
      </c>
      <c r="G56" s="50">
        <v>1</v>
      </c>
      <c r="H56" s="50">
        <v>0</v>
      </c>
      <c r="I56" s="50">
        <v>8</v>
      </c>
      <c r="J56" s="50">
        <v>0</v>
      </c>
      <c r="K56" s="50">
        <v>0</v>
      </c>
      <c r="L56" s="50">
        <v>0</v>
      </c>
      <c r="M56" s="50">
        <v>120</v>
      </c>
      <c r="N56" s="50">
        <v>0</v>
      </c>
      <c r="O56" s="15">
        <f t="shared" si="0"/>
        <v>94</v>
      </c>
      <c r="P56" s="15">
        <f t="shared" si="1"/>
        <v>214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8</v>
      </c>
      <c r="E57" s="50">
        <v>4</v>
      </c>
      <c r="F57" s="50">
        <v>65</v>
      </c>
      <c r="G57" s="50">
        <v>3</v>
      </c>
      <c r="H57" s="50">
        <v>1</v>
      </c>
      <c r="I57" s="50">
        <v>3</v>
      </c>
      <c r="J57" s="50">
        <v>2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131</v>
      </c>
      <c r="P57" s="15">
        <f t="shared" si="1"/>
        <v>281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2787</v>
      </c>
      <c r="D58" s="16">
        <f t="shared" si="21"/>
        <v>772</v>
      </c>
      <c r="E58" s="16">
        <f t="shared" si="21"/>
        <v>213</v>
      </c>
      <c r="F58" s="16">
        <f t="shared" si="21"/>
        <v>2624</v>
      </c>
      <c r="G58" s="16">
        <f t="shared" si="21"/>
        <v>66</v>
      </c>
      <c r="H58" s="16">
        <f t="shared" si="21"/>
        <v>24</v>
      </c>
      <c r="I58" s="16">
        <f t="shared" si="21"/>
        <v>385</v>
      </c>
      <c r="J58" s="16">
        <f t="shared" si="21"/>
        <v>64</v>
      </c>
      <c r="K58" s="16">
        <f t="shared" si="21"/>
        <v>2</v>
      </c>
      <c r="L58" s="16">
        <f t="shared" si="21"/>
        <v>3</v>
      </c>
      <c r="M58" s="16">
        <f t="shared" si="21"/>
        <v>7870</v>
      </c>
      <c r="N58" s="16">
        <f t="shared" si="21"/>
        <v>0</v>
      </c>
      <c r="O58" s="16">
        <f t="shared" si="21"/>
        <v>6940</v>
      </c>
      <c r="P58" s="16">
        <f t="shared" si="21"/>
        <v>14810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0.18818365968939904</v>
      </c>
      <c r="D59" s="43">
        <f t="shared" si="22"/>
        <v>5.2126941255908173E-2</v>
      </c>
      <c r="E59" s="43">
        <f t="shared" si="22"/>
        <v>1.438217420661715E-2</v>
      </c>
      <c r="F59" s="43">
        <f t="shared" si="22"/>
        <v>0.17717758271438216</v>
      </c>
      <c r="G59" s="43">
        <f t="shared" si="22"/>
        <v>4.4564483457123563E-3</v>
      </c>
      <c r="H59" s="43">
        <f t="shared" si="22"/>
        <v>1.6205266711681297E-3</v>
      </c>
      <c r="I59" s="43">
        <f t="shared" si="22"/>
        <v>2.5995948683322081E-2</v>
      </c>
      <c r="J59" s="43">
        <f t="shared" si="22"/>
        <v>4.3214044564483453E-3</v>
      </c>
      <c r="K59" s="43">
        <f t="shared" si="22"/>
        <v>1.3504388926401079E-4</v>
      </c>
      <c r="L59" s="43">
        <f t="shared" si="22"/>
        <v>2.0256583389601621E-4</v>
      </c>
      <c r="M59" s="43">
        <f t="shared" si="22"/>
        <v>0.53139770425388255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0.4015850144092219</v>
      </c>
      <c r="D60" s="44">
        <f t="shared" ref="D60:N60" si="23">D58/$O$58</f>
        <v>0.11123919308357348</v>
      </c>
      <c r="E60" s="44">
        <f t="shared" si="23"/>
        <v>3.0691642651296831E-2</v>
      </c>
      <c r="F60" s="44">
        <f t="shared" si="23"/>
        <v>0.37809798270893374</v>
      </c>
      <c r="G60" s="44">
        <f t="shared" si="23"/>
        <v>9.5100864553314124E-3</v>
      </c>
      <c r="H60" s="44">
        <f t="shared" si="23"/>
        <v>3.4582132564841498E-3</v>
      </c>
      <c r="I60" s="44">
        <f t="shared" si="23"/>
        <v>5.5475504322766572E-2</v>
      </c>
      <c r="J60" s="44">
        <f t="shared" si="23"/>
        <v>9.2219020172910667E-3</v>
      </c>
      <c r="K60" s="44">
        <f t="shared" si="23"/>
        <v>2.8818443804034583E-4</v>
      </c>
      <c r="L60" s="44">
        <f t="shared" si="23"/>
        <v>4.3227665706051873E-4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5" zoomScale="60" workbookViewId="0">
      <selection activeCell="M56" sqref="M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'22.07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Kalerwe-Kampala'!D5</f>
        <v>28.07.19</v>
      </c>
      <c r="E5" s="3"/>
      <c r="F5" s="41" t="s">
        <v>1</v>
      </c>
      <c r="G5" s="65" t="str">
        <f>'28.07 Kalerwe-Kampala'!G5:H5</f>
        <v>Wandegeya</v>
      </c>
      <c r="H5" s="66"/>
      <c r="I5" s="14"/>
      <c r="J5" s="2" t="s">
        <v>5</v>
      </c>
      <c r="K5" s="65" t="s">
        <v>177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Kampala-Kalerwe'!D6:E6</f>
        <v>Kampala</v>
      </c>
      <c r="E6" s="66"/>
      <c r="F6" s="2" t="s">
        <v>2</v>
      </c>
      <c r="G6" s="65" t="str">
        <f>'22.07 Kampala-Kalerwe'!G6:H6</f>
        <v>Kalerwe</v>
      </c>
      <c r="H6" s="66"/>
      <c r="J6" s="2" t="s">
        <v>21</v>
      </c>
      <c r="K6" s="65" t="str">
        <f>'28.07 Kalerwe-Kampala'!K6:L6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2</v>
      </c>
      <c r="E10" s="50">
        <v>4</v>
      </c>
      <c r="F10" s="50">
        <v>39</v>
      </c>
      <c r="G10" s="50">
        <v>1</v>
      </c>
      <c r="H10" s="50">
        <v>0</v>
      </c>
      <c r="I10" s="50">
        <v>3</v>
      </c>
      <c r="J10" s="50">
        <v>1</v>
      </c>
      <c r="K10" s="50">
        <v>0</v>
      </c>
      <c r="L10" s="50">
        <v>1</v>
      </c>
      <c r="M10" s="50">
        <v>159</v>
      </c>
      <c r="N10" s="50">
        <v>0</v>
      </c>
      <c r="O10" s="15">
        <f t="shared" ref="O10:O57" si="0">SUM(C10:L10,N10)</f>
        <v>74</v>
      </c>
      <c r="P10" s="15">
        <f t="shared" ref="P10:P57" si="1">SUM(C10:N10)</f>
        <v>233</v>
      </c>
      <c r="R10" s="1" t="s">
        <v>6</v>
      </c>
      <c r="S10" s="17">
        <f t="shared" ref="S10:AF10" si="2">SUM(C10:C13)</f>
        <v>81</v>
      </c>
      <c r="T10" s="17">
        <f t="shared" si="2"/>
        <v>8</v>
      </c>
      <c r="U10" s="17">
        <f t="shared" si="2"/>
        <v>9</v>
      </c>
      <c r="V10" s="17">
        <f t="shared" si="2"/>
        <v>128</v>
      </c>
      <c r="W10" s="17">
        <f t="shared" si="2"/>
        <v>4</v>
      </c>
      <c r="X10" s="17">
        <f t="shared" si="2"/>
        <v>0</v>
      </c>
      <c r="Y10" s="17">
        <f t="shared" si="2"/>
        <v>11</v>
      </c>
      <c r="Z10" s="17">
        <f t="shared" si="2"/>
        <v>9</v>
      </c>
      <c r="AA10" s="17">
        <f t="shared" si="2"/>
        <v>2</v>
      </c>
      <c r="AB10" s="17">
        <f t="shared" si="2"/>
        <v>3</v>
      </c>
      <c r="AC10" s="17">
        <f t="shared" si="2"/>
        <v>512</v>
      </c>
      <c r="AD10" s="17">
        <f t="shared" si="2"/>
        <v>0</v>
      </c>
      <c r="AE10" s="31">
        <f t="shared" si="2"/>
        <v>255</v>
      </c>
      <c r="AF10" s="31">
        <f t="shared" si="2"/>
        <v>767</v>
      </c>
    </row>
    <row r="11" spans="2:32" s="6" customFormat="1" ht="23.1" customHeight="1" x14ac:dyDescent="0.25">
      <c r="B11" s="23" t="s">
        <v>38</v>
      </c>
      <c r="C11" s="50">
        <v>24</v>
      </c>
      <c r="D11" s="50">
        <v>2</v>
      </c>
      <c r="E11" s="50">
        <v>0</v>
      </c>
      <c r="F11" s="50">
        <v>30</v>
      </c>
      <c r="G11" s="50">
        <v>0</v>
      </c>
      <c r="H11" s="50">
        <v>0</v>
      </c>
      <c r="I11" s="50">
        <v>1</v>
      </c>
      <c r="J11" s="50">
        <v>7</v>
      </c>
      <c r="K11" s="50">
        <v>0</v>
      </c>
      <c r="L11" s="50">
        <v>2</v>
      </c>
      <c r="M11" s="50">
        <v>94</v>
      </c>
      <c r="N11" s="50">
        <v>0</v>
      </c>
      <c r="O11" s="15">
        <f t="shared" si="0"/>
        <v>66</v>
      </c>
      <c r="P11" s="15">
        <f t="shared" si="1"/>
        <v>160</v>
      </c>
      <c r="R11" s="1" t="s">
        <v>7</v>
      </c>
      <c r="S11" s="17">
        <f t="shared" ref="S11:AF11" si="3">SUM(C14:C17)</f>
        <v>120</v>
      </c>
      <c r="T11" s="17">
        <f t="shared" si="3"/>
        <v>29</v>
      </c>
      <c r="U11" s="17">
        <f t="shared" si="3"/>
        <v>5</v>
      </c>
      <c r="V11" s="17">
        <f t="shared" si="3"/>
        <v>210</v>
      </c>
      <c r="W11" s="17">
        <f t="shared" si="3"/>
        <v>2</v>
      </c>
      <c r="X11" s="17">
        <f t="shared" si="3"/>
        <v>0</v>
      </c>
      <c r="Y11" s="17">
        <f t="shared" si="3"/>
        <v>30</v>
      </c>
      <c r="Z11" s="17">
        <f t="shared" si="3"/>
        <v>0</v>
      </c>
      <c r="AA11" s="17">
        <f t="shared" si="3"/>
        <v>3</v>
      </c>
      <c r="AB11" s="17">
        <f t="shared" si="3"/>
        <v>0</v>
      </c>
      <c r="AC11" s="17">
        <f t="shared" si="3"/>
        <v>673</v>
      </c>
      <c r="AD11" s="17">
        <f t="shared" si="3"/>
        <v>0</v>
      </c>
      <c r="AE11" s="31">
        <f t="shared" si="3"/>
        <v>399</v>
      </c>
      <c r="AF11" s="31">
        <f t="shared" si="3"/>
        <v>1072</v>
      </c>
    </row>
    <row r="12" spans="2:32" ht="23.1" customHeight="1" x14ac:dyDescent="0.25">
      <c r="B12" s="23" t="s">
        <v>39</v>
      </c>
      <c r="C12" s="50">
        <v>17</v>
      </c>
      <c r="D12" s="50">
        <v>1</v>
      </c>
      <c r="E12" s="50">
        <v>1</v>
      </c>
      <c r="F12" s="50">
        <v>27</v>
      </c>
      <c r="G12" s="50">
        <v>2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121</v>
      </c>
      <c r="N12" s="50">
        <v>0</v>
      </c>
      <c r="O12" s="15">
        <f t="shared" si="0"/>
        <v>51</v>
      </c>
      <c r="P12" s="15">
        <f t="shared" si="1"/>
        <v>172</v>
      </c>
      <c r="R12" s="1" t="s">
        <v>8</v>
      </c>
      <c r="S12" s="17">
        <f t="shared" ref="S12:AF12" si="4">SUM(C18:C21)</f>
        <v>186</v>
      </c>
      <c r="T12" s="17">
        <f t="shared" si="4"/>
        <v>32</v>
      </c>
      <c r="U12" s="17">
        <f t="shared" si="4"/>
        <v>12</v>
      </c>
      <c r="V12" s="17">
        <f t="shared" si="4"/>
        <v>260</v>
      </c>
      <c r="W12" s="17">
        <f t="shared" si="4"/>
        <v>10</v>
      </c>
      <c r="X12" s="17">
        <f t="shared" si="4"/>
        <v>5</v>
      </c>
      <c r="Y12" s="17">
        <f t="shared" si="4"/>
        <v>44</v>
      </c>
      <c r="Z12" s="17">
        <f t="shared" si="4"/>
        <v>2</v>
      </c>
      <c r="AA12" s="17">
        <f t="shared" si="4"/>
        <v>3</v>
      </c>
      <c r="AB12" s="17">
        <f t="shared" si="4"/>
        <v>1</v>
      </c>
      <c r="AC12" s="17">
        <f t="shared" si="4"/>
        <v>435</v>
      </c>
      <c r="AD12" s="17">
        <f t="shared" si="4"/>
        <v>0</v>
      </c>
      <c r="AE12" s="31">
        <f t="shared" si="4"/>
        <v>555</v>
      </c>
      <c r="AF12" s="31">
        <f t="shared" si="4"/>
        <v>990</v>
      </c>
    </row>
    <row r="13" spans="2:32" ht="23.1" customHeight="1" x14ac:dyDescent="0.25">
      <c r="B13" s="23" t="s">
        <v>40</v>
      </c>
      <c r="C13" s="50">
        <v>17</v>
      </c>
      <c r="D13" s="50">
        <v>3</v>
      </c>
      <c r="E13" s="50">
        <v>4</v>
      </c>
      <c r="F13" s="50">
        <v>32</v>
      </c>
      <c r="G13" s="50">
        <v>1</v>
      </c>
      <c r="H13" s="50">
        <v>0</v>
      </c>
      <c r="I13" s="50">
        <v>5</v>
      </c>
      <c r="J13" s="50">
        <v>1</v>
      </c>
      <c r="K13" s="50">
        <v>1</v>
      </c>
      <c r="L13" s="50">
        <v>0</v>
      </c>
      <c r="M13" s="50">
        <v>138</v>
      </c>
      <c r="N13" s="50">
        <v>0</v>
      </c>
      <c r="O13" s="15">
        <f t="shared" si="0"/>
        <v>64</v>
      </c>
      <c r="P13" s="15">
        <f t="shared" si="1"/>
        <v>202</v>
      </c>
      <c r="R13" s="1" t="s">
        <v>9</v>
      </c>
      <c r="S13" s="17">
        <f t="shared" ref="S13:AF13" si="5">SUM(C22:C25)</f>
        <v>183</v>
      </c>
      <c r="T13" s="17">
        <f t="shared" si="5"/>
        <v>25</v>
      </c>
      <c r="U13" s="17">
        <f t="shared" si="5"/>
        <v>9</v>
      </c>
      <c r="V13" s="17">
        <f t="shared" si="5"/>
        <v>255</v>
      </c>
      <c r="W13" s="17">
        <f t="shared" si="5"/>
        <v>22</v>
      </c>
      <c r="X13" s="17">
        <f t="shared" si="5"/>
        <v>4</v>
      </c>
      <c r="Y13" s="17">
        <f t="shared" si="5"/>
        <v>27</v>
      </c>
      <c r="Z13" s="17">
        <f t="shared" si="5"/>
        <v>14</v>
      </c>
      <c r="AA13" s="17">
        <f t="shared" si="5"/>
        <v>0</v>
      </c>
      <c r="AB13" s="17">
        <f t="shared" si="5"/>
        <v>0</v>
      </c>
      <c r="AC13" s="17">
        <f t="shared" si="5"/>
        <v>560</v>
      </c>
      <c r="AD13" s="17">
        <f t="shared" si="5"/>
        <v>0</v>
      </c>
      <c r="AE13" s="31">
        <f t="shared" si="5"/>
        <v>539</v>
      </c>
      <c r="AF13" s="31">
        <f t="shared" si="5"/>
        <v>1099</v>
      </c>
    </row>
    <row r="14" spans="2:32" ht="23.1" customHeight="1" x14ac:dyDescent="0.25">
      <c r="B14" s="23" t="s">
        <v>41</v>
      </c>
      <c r="C14" s="50">
        <v>26</v>
      </c>
      <c r="D14" s="50">
        <v>7</v>
      </c>
      <c r="E14" s="50">
        <v>0</v>
      </c>
      <c r="F14" s="50">
        <v>43</v>
      </c>
      <c r="G14" s="50">
        <v>0</v>
      </c>
      <c r="H14" s="50">
        <v>0</v>
      </c>
      <c r="I14" s="50">
        <v>4</v>
      </c>
      <c r="J14" s="50">
        <v>0</v>
      </c>
      <c r="K14" s="50">
        <v>2</v>
      </c>
      <c r="L14" s="50">
        <v>0</v>
      </c>
      <c r="M14" s="50">
        <v>190</v>
      </c>
      <c r="N14" s="50">
        <v>0</v>
      </c>
      <c r="O14" s="15">
        <f t="shared" si="0"/>
        <v>82</v>
      </c>
      <c r="P14" s="15">
        <f t="shared" si="1"/>
        <v>272</v>
      </c>
      <c r="R14" s="1" t="s">
        <v>10</v>
      </c>
      <c r="S14" s="17">
        <f t="shared" ref="S14:AF14" si="6">SUM(C26:C29)</f>
        <v>180</v>
      </c>
      <c r="T14" s="17">
        <f t="shared" si="6"/>
        <v>34</v>
      </c>
      <c r="U14" s="17">
        <f t="shared" si="6"/>
        <v>22</v>
      </c>
      <c r="V14" s="17">
        <f t="shared" si="6"/>
        <v>235</v>
      </c>
      <c r="W14" s="17">
        <f t="shared" si="6"/>
        <v>30</v>
      </c>
      <c r="X14" s="17">
        <f t="shared" si="6"/>
        <v>3</v>
      </c>
      <c r="Y14" s="17">
        <f t="shared" si="6"/>
        <v>31</v>
      </c>
      <c r="Z14" s="17">
        <f t="shared" si="6"/>
        <v>5</v>
      </c>
      <c r="AA14" s="17">
        <f t="shared" si="6"/>
        <v>0</v>
      </c>
      <c r="AB14" s="17">
        <f t="shared" si="6"/>
        <v>1</v>
      </c>
      <c r="AC14" s="17">
        <f t="shared" si="6"/>
        <v>420</v>
      </c>
      <c r="AD14" s="17">
        <f t="shared" si="6"/>
        <v>0</v>
      </c>
      <c r="AE14" s="31">
        <f t="shared" si="6"/>
        <v>541</v>
      </c>
      <c r="AF14" s="31">
        <f t="shared" si="6"/>
        <v>961</v>
      </c>
    </row>
    <row r="15" spans="2:32" ht="23.1" customHeight="1" x14ac:dyDescent="0.25">
      <c r="B15" s="23" t="s">
        <v>42</v>
      </c>
      <c r="C15" s="50">
        <v>31</v>
      </c>
      <c r="D15" s="50">
        <v>3</v>
      </c>
      <c r="E15" s="50">
        <v>3</v>
      </c>
      <c r="F15" s="50">
        <v>60</v>
      </c>
      <c r="G15" s="50">
        <v>1</v>
      </c>
      <c r="H15" s="50">
        <v>0</v>
      </c>
      <c r="I15" s="50">
        <v>15</v>
      </c>
      <c r="J15" s="50">
        <v>0</v>
      </c>
      <c r="K15" s="50">
        <v>0</v>
      </c>
      <c r="L15" s="50">
        <v>0</v>
      </c>
      <c r="M15" s="50">
        <v>166</v>
      </c>
      <c r="N15" s="50">
        <v>0</v>
      </c>
      <c r="O15" s="15">
        <f t="shared" si="0"/>
        <v>113</v>
      </c>
      <c r="P15" s="15">
        <f t="shared" si="1"/>
        <v>279</v>
      </c>
      <c r="R15" s="1" t="s">
        <v>11</v>
      </c>
      <c r="S15" s="17">
        <f t="shared" ref="S15:AF15" si="7">SUM(C30:C33)</f>
        <v>209</v>
      </c>
      <c r="T15" s="17">
        <f t="shared" si="7"/>
        <v>35</v>
      </c>
      <c r="U15" s="17">
        <f t="shared" si="7"/>
        <v>14</v>
      </c>
      <c r="V15" s="17">
        <f t="shared" si="7"/>
        <v>209</v>
      </c>
      <c r="W15" s="17">
        <f t="shared" si="7"/>
        <v>11</v>
      </c>
      <c r="X15" s="17">
        <f t="shared" si="7"/>
        <v>2</v>
      </c>
      <c r="Y15" s="17">
        <f t="shared" si="7"/>
        <v>42</v>
      </c>
      <c r="Z15" s="17">
        <f t="shared" si="7"/>
        <v>6</v>
      </c>
      <c r="AA15" s="17">
        <f t="shared" si="7"/>
        <v>5</v>
      </c>
      <c r="AB15" s="17">
        <f t="shared" si="7"/>
        <v>2</v>
      </c>
      <c r="AC15" s="17">
        <f t="shared" si="7"/>
        <v>527</v>
      </c>
      <c r="AD15" s="17">
        <f t="shared" si="7"/>
        <v>0</v>
      </c>
      <c r="AE15" s="31">
        <f t="shared" si="7"/>
        <v>535</v>
      </c>
      <c r="AF15" s="31">
        <f t="shared" si="7"/>
        <v>1062</v>
      </c>
    </row>
    <row r="16" spans="2:32" ht="23.1" customHeight="1" x14ac:dyDescent="0.25">
      <c r="B16" s="23" t="s">
        <v>43</v>
      </c>
      <c r="C16" s="50">
        <v>25</v>
      </c>
      <c r="D16" s="50">
        <v>9</v>
      </c>
      <c r="E16" s="50">
        <v>2</v>
      </c>
      <c r="F16" s="50">
        <v>36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152</v>
      </c>
      <c r="N16" s="50">
        <v>0</v>
      </c>
      <c r="O16" s="15">
        <f t="shared" si="0"/>
        <v>77</v>
      </c>
      <c r="P16" s="15">
        <f t="shared" si="1"/>
        <v>229</v>
      </c>
      <c r="R16" s="1" t="s">
        <v>12</v>
      </c>
      <c r="S16" s="17">
        <f t="shared" ref="S16:AF16" si="8">SUM(C34:C37)</f>
        <v>190</v>
      </c>
      <c r="T16" s="17">
        <f t="shared" si="8"/>
        <v>26</v>
      </c>
      <c r="U16" s="17">
        <f t="shared" si="8"/>
        <v>3</v>
      </c>
      <c r="V16" s="17">
        <f t="shared" si="8"/>
        <v>239</v>
      </c>
      <c r="W16" s="17">
        <f t="shared" si="8"/>
        <v>10</v>
      </c>
      <c r="X16" s="17">
        <f t="shared" si="8"/>
        <v>3</v>
      </c>
      <c r="Y16" s="17">
        <f t="shared" si="8"/>
        <v>32</v>
      </c>
      <c r="Z16" s="17">
        <f t="shared" si="8"/>
        <v>7</v>
      </c>
      <c r="AA16" s="17">
        <f t="shared" si="8"/>
        <v>4</v>
      </c>
      <c r="AB16" s="17">
        <f t="shared" si="8"/>
        <v>1</v>
      </c>
      <c r="AC16" s="17">
        <f t="shared" si="8"/>
        <v>497</v>
      </c>
      <c r="AD16" s="17">
        <f t="shared" si="8"/>
        <v>0</v>
      </c>
      <c r="AE16" s="31">
        <f t="shared" si="8"/>
        <v>515</v>
      </c>
      <c r="AF16" s="31">
        <f t="shared" si="8"/>
        <v>1012</v>
      </c>
    </row>
    <row r="17" spans="2:32" ht="23.1" customHeight="1" x14ac:dyDescent="0.25">
      <c r="B17" s="23" t="s">
        <v>44</v>
      </c>
      <c r="C17" s="50">
        <v>38</v>
      </c>
      <c r="D17" s="50">
        <v>10</v>
      </c>
      <c r="E17" s="50">
        <v>0</v>
      </c>
      <c r="F17" s="50">
        <v>71</v>
      </c>
      <c r="G17" s="50">
        <v>1</v>
      </c>
      <c r="H17" s="50">
        <v>0</v>
      </c>
      <c r="I17" s="50">
        <v>6</v>
      </c>
      <c r="J17" s="50">
        <v>0</v>
      </c>
      <c r="K17" s="50">
        <v>1</v>
      </c>
      <c r="L17" s="50">
        <v>0</v>
      </c>
      <c r="M17" s="50">
        <v>165</v>
      </c>
      <c r="N17" s="50">
        <v>0</v>
      </c>
      <c r="O17" s="15">
        <f t="shared" si="0"/>
        <v>127</v>
      </c>
      <c r="P17" s="15">
        <f t="shared" si="1"/>
        <v>292</v>
      </c>
      <c r="R17" s="1" t="s">
        <v>13</v>
      </c>
      <c r="S17" s="17">
        <f t="shared" ref="S17:AF17" si="9">SUM(C38:C41)</f>
        <v>230</v>
      </c>
      <c r="T17" s="17">
        <f t="shared" si="9"/>
        <v>9</v>
      </c>
      <c r="U17" s="17">
        <f t="shared" si="9"/>
        <v>8</v>
      </c>
      <c r="V17" s="17">
        <f t="shared" si="9"/>
        <v>250</v>
      </c>
      <c r="W17" s="17">
        <f t="shared" si="9"/>
        <v>8</v>
      </c>
      <c r="X17" s="17">
        <f t="shared" si="9"/>
        <v>4</v>
      </c>
      <c r="Y17" s="17">
        <f t="shared" si="9"/>
        <v>59</v>
      </c>
      <c r="Z17" s="17">
        <f t="shared" si="9"/>
        <v>9</v>
      </c>
      <c r="AA17" s="17">
        <f t="shared" si="9"/>
        <v>5</v>
      </c>
      <c r="AB17" s="17">
        <f t="shared" si="9"/>
        <v>3</v>
      </c>
      <c r="AC17" s="17">
        <f t="shared" si="9"/>
        <v>490</v>
      </c>
      <c r="AD17" s="17">
        <f t="shared" si="9"/>
        <v>0</v>
      </c>
      <c r="AE17" s="31">
        <f t="shared" si="9"/>
        <v>585</v>
      </c>
      <c r="AF17" s="31">
        <f t="shared" si="9"/>
        <v>1075</v>
      </c>
    </row>
    <row r="18" spans="2:32" ht="23.1" customHeight="1" x14ac:dyDescent="0.25">
      <c r="B18" s="23" t="s">
        <v>45</v>
      </c>
      <c r="C18" s="50">
        <v>31</v>
      </c>
      <c r="D18" s="50">
        <v>6</v>
      </c>
      <c r="E18" s="50">
        <v>3</v>
      </c>
      <c r="F18" s="50">
        <v>56</v>
      </c>
      <c r="G18" s="50">
        <v>3</v>
      </c>
      <c r="H18" s="50">
        <v>1</v>
      </c>
      <c r="I18" s="50">
        <v>13</v>
      </c>
      <c r="J18" s="50">
        <v>1</v>
      </c>
      <c r="K18" s="50">
        <v>0</v>
      </c>
      <c r="L18" s="50">
        <v>0</v>
      </c>
      <c r="M18" s="50">
        <v>105</v>
      </c>
      <c r="N18" s="50">
        <v>0</v>
      </c>
      <c r="O18" s="15">
        <f t="shared" si="0"/>
        <v>114</v>
      </c>
      <c r="P18" s="15">
        <f t="shared" si="1"/>
        <v>219</v>
      </c>
      <c r="R18" s="1" t="s">
        <v>14</v>
      </c>
      <c r="S18" s="17">
        <f t="shared" ref="S18:AF18" si="10">SUM(C42:C45)</f>
        <v>144</v>
      </c>
      <c r="T18" s="17">
        <f t="shared" si="10"/>
        <v>20</v>
      </c>
      <c r="U18" s="17">
        <f t="shared" si="10"/>
        <v>10</v>
      </c>
      <c r="V18" s="17">
        <f t="shared" si="10"/>
        <v>227</v>
      </c>
      <c r="W18" s="17">
        <f t="shared" si="10"/>
        <v>3</v>
      </c>
      <c r="X18" s="17">
        <f t="shared" si="10"/>
        <v>4</v>
      </c>
      <c r="Y18" s="17">
        <f t="shared" si="10"/>
        <v>21</v>
      </c>
      <c r="Z18" s="17">
        <f t="shared" si="10"/>
        <v>9</v>
      </c>
      <c r="AA18" s="17">
        <f t="shared" si="10"/>
        <v>4</v>
      </c>
      <c r="AB18" s="17">
        <f t="shared" si="10"/>
        <v>2</v>
      </c>
      <c r="AC18" s="17">
        <f t="shared" si="10"/>
        <v>615</v>
      </c>
      <c r="AD18" s="17">
        <f t="shared" si="10"/>
        <v>0</v>
      </c>
      <c r="AE18" s="31">
        <f t="shared" si="10"/>
        <v>444</v>
      </c>
      <c r="AF18" s="31">
        <f t="shared" si="10"/>
        <v>1059</v>
      </c>
    </row>
    <row r="19" spans="2:32" ht="23.1" customHeight="1" x14ac:dyDescent="0.25">
      <c r="B19" s="23" t="s">
        <v>46</v>
      </c>
      <c r="C19" s="50">
        <v>49</v>
      </c>
      <c r="D19" s="50">
        <v>4</v>
      </c>
      <c r="E19" s="50">
        <v>4</v>
      </c>
      <c r="F19" s="50">
        <v>75</v>
      </c>
      <c r="G19" s="50">
        <v>1</v>
      </c>
      <c r="H19" s="50">
        <v>3</v>
      </c>
      <c r="I19" s="50">
        <v>8</v>
      </c>
      <c r="J19" s="50">
        <v>0</v>
      </c>
      <c r="K19" s="50">
        <v>2</v>
      </c>
      <c r="L19" s="50">
        <v>1</v>
      </c>
      <c r="M19" s="50">
        <v>95</v>
      </c>
      <c r="N19" s="50">
        <v>0</v>
      </c>
      <c r="O19" s="15">
        <f t="shared" si="0"/>
        <v>147</v>
      </c>
      <c r="P19" s="15">
        <f t="shared" si="1"/>
        <v>242</v>
      </c>
      <c r="R19" s="1" t="s">
        <v>15</v>
      </c>
      <c r="S19" s="17">
        <f t="shared" ref="S19:AF19" si="11">SUM(C46:C49)</f>
        <v>151</v>
      </c>
      <c r="T19" s="17">
        <f t="shared" si="11"/>
        <v>33</v>
      </c>
      <c r="U19" s="17">
        <f t="shared" si="11"/>
        <v>8</v>
      </c>
      <c r="V19" s="17">
        <f t="shared" si="11"/>
        <v>171</v>
      </c>
      <c r="W19" s="17">
        <f t="shared" si="11"/>
        <v>14</v>
      </c>
      <c r="X19" s="17">
        <f t="shared" si="11"/>
        <v>3</v>
      </c>
      <c r="Y19" s="17">
        <f t="shared" si="11"/>
        <v>23</v>
      </c>
      <c r="Z19" s="17">
        <f t="shared" si="11"/>
        <v>6</v>
      </c>
      <c r="AA19" s="17">
        <f t="shared" si="11"/>
        <v>3</v>
      </c>
      <c r="AB19" s="17">
        <f t="shared" si="11"/>
        <v>3</v>
      </c>
      <c r="AC19" s="17">
        <f t="shared" si="11"/>
        <v>560</v>
      </c>
      <c r="AD19" s="17">
        <f t="shared" si="11"/>
        <v>0</v>
      </c>
      <c r="AE19" s="31">
        <f t="shared" si="11"/>
        <v>415</v>
      </c>
      <c r="AF19" s="31">
        <f t="shared" si="11"/>
        <v>975</v>
      </c>
    </row>
    <row r="20" spans="2:32" ht="23.1" customHeight="1" x14ac:dyDescent="0.25">
      <c r="B20" s="23" t="s">
        <v>47</v>
      </c>
      <c r="C20" s="50">
        <v>53</v>
      </c>
      <c r="D20" s="50">
        <v>14</v>
      </c>
      <c r="E20" s="50">
        <v>3</v>
      </c>
      <c r="F20" s="50">
        <v>72</v>
      </c>
      <c r="G20" s="50">
        <v>3</v>
      </c>
      <c r="H20" s="50">
        <v>0</v>
      </c>
      <c r="I20" s="50">
        <v>15</v>
      </c>
      <c r="J20" s="50">
        <v>1</v>
      </c>
      <c r="K20" s="50">
        <v>0</v>
      </c>
      <c r="L20" s="50">
        <v>0</v>
      </c>
      <c r="M20" s="50">
        <v>125</v>
      </c>
      <c r="N20" s="50">
        <v>0</v>
      </c>
      <c r="O20" s="15">
        <f t="shared" si="0"/>
        <v>161</v>
      </c>
      <c r="P20" s="15">
        <f t="shared" si="1"/>
        <v>286</v>
      </c>
      <c r="R20" s="1" t="s">
        <v>16</v>
      </c>
      <c r="S20" s="17">
        <f t="shared" ref="S20:AF20" si="12">SUM(C50:C53)</f>
        <v>243</v>
      </c>
      <c r="T20" s="17">
        <f t="shared" si="12"/>
        <v>38</v>
      </c>
      <c r="U20" s="17">
        <f t="shared" si="12"/>
        <v>20</v>
      </c>
      <c r="V20" s="17">
        <f t="shared" si="12"/>
        <v>139</v>
      </c>
      <c r="W20" s="17">
        <f t="shared" si="12"/>
        <v>5</v>
      </c>
      <c r="X20" s="17">
        <f t="shared" si="12"/>
        <v>2</v>
      </c>
      <c r="Y20" s="17">
        <f t="shared" si="12"/>
        <v>36</v>
      </c>
      <c r="Z20" s="17">
        <f t="shared" si="12"/>
        <v>7</v>
      </c>
      <c r="AA20" s="17">
        <f t="shared" si="12"/>
        <v>2</v>
      </c>
      <c r="AB20" s="17">
        <f t="shared" si="12"/>
        <v>2</v>
      </c>
      <c r="AC20" s="17">
        <f t="shared" si="12"/>
        <v>660</v>
      </c>
      <c r="AD20" s="17">
        <f t="shared" si="12"/>
        <v>0</v>
      </c>
      <c r="AE20" s="31">
        <f t="shared" si="12"/>
        <v>494</v>
      </c>
      <c r="AF20" s="31">
        <f t="shared" si="12"/>
        <v>1154</v>
      </c>
    </row>
    <row r="21" spans="2:32" ht="23.1" customHeight="1" x14ac:dyDescent="0.25">
      <c r="B21" s="23" t="s">
        <v>48</v>
      </c>
      <c r="C21" s="50">
        <v>53</v>
      </c>
      <c r="D21" s="50">
        <v>8</v>
      </c>
      <c r="E21" s="50">
        <v>2</v>
      </c>
      <c r="F21" s="50">
        <v>57</v>
      </c>
      <c r="G21" s="50">
        <v>3</v>
      </c>
      <c r="H21" s="50">
        <v>1</v>
      </c>
      <c r="I21" s="50">
        <v>8</v>
      </c>
      <c r="J21" s="50">
        <v>0</v>
      </c>
      <c r="K21" s="50">
        <v>1</v>
      </c>
      <c r="L21" s="50">
        <v>0</v>
      </c>
      <c r="M21" s="50">
        <v>110</v>
      </c>
      <c r="N21" s="50">
        <v>0</v>
      </c>
      <c r="O21" s="15">
        <f t="shared" si="0"/>
        <v>133</v>
      </c>
      <c r="P21" s="15">
        <f t="shared" si="1"/>
        <v>243</v>
      </c>
      <c r="R21" s="36" t="s">
        <v>20</v>
      </c>
      <c r="S21" s="34">
        <f t="shared" ref="S21:AF21" si="13">SUM(C54:C57)</f>
        <v>114</v>
      </c>
      <c r="T21" s="17">
        <f t="shared" si="13"/>
        <v>19</v>
      </c>
      <c r="U21" s="17">
        <f t="shared" si="13"/>
        <v>10</v>
      </c>
      <c r="V21" s="17">
        <f t="shared" si="13"/>
        <v>115</v>
      </c>
      <c r="W21" s="17">
        <f t="shared" si="13"/>
        <v>7</v>
      </c>
      <c r="X21" s="17">
        <f t="shared" si="13"/>
        <v>2</v>
      </c>
      <c r="Y21" s="17">
        <f t="shared" si="13"/>
        <v>22</v>
      </c>
      <c r="Z21" s="17">
        <f t="shared" si="13"/>
        <v>4</v>
      </c>
      <c r="AA21" s="17">
        <f t="shared" si="13"/>
        <v>5</v>
      </c>
      <c r="AB21" s="17">
        <f t="shared" si="13"/>
        <v>3</v>
      </c>
      <c r="AC21" s="17">
        <f t="shared" si="13"/>
        <v>560</v>
      </c>
      <c r="AD21" s="17">
        <f t="shared" si="13"/>
        <v>0</v>
      </c>
      <c r="AE21" s="31">
        <f t="shared" si="13"/>
        <v>301</v>
      </c>
      <c r="AF21" s="31">
        <f t="shared" si="13"/>
        <v>861</v>
      </c>
    </row>
    <row r="22" spans="2:32" ht="23.1" customHeight="1" x14ac:dyDescent="0.25">
      <c r="B22" s="23" t="s">
        <v>49</v>
      </c>
      <c r="C22" s="50">
        <v>45</v>
      </c>
      <c r="D22" s="50">
        <v>7</v>
      </c>
      <c r="E22" s="50">
        <v>1</v>
      </c>
      <c r="F22" s="50">
        <v>55</v>
      </c>
      <c r="G22" s="50">
        <v>0</v>
      </c>
      <c r="H22" s="50">
        <v>1</v>
      </c>
      <c r="I22" s="50">
        <v>9</v>
      </c>
      <c r="J22" s="50">
        <v>1</v>
      </c>
      <c r="K22" s="50">
        <v>0</v>
      </c>
      <c r="L22" s="50">
        <v>0</v>
      </c>
      <c r="M22" s="50">
        <v>140</v>
      </c>
      <c r="N22" s="50">
        <v>0</v>
      </c>
      <c r="O22" s="15">
        <f t="shared" si="0"/>
        <v>119</v>
      </c>
      <c r="P22" s="15">
        <f t="shared" si="1"/>
        <v>259</v>
      </c>
      <c r="R22" s="38" t="s">
        <v>90</v>
      </c>
      <c r="S22" s="39">
        <f>MAX(S10:S12)</f>
        <v>186</v>
      </c>
      <c r="T22" s="39">
        <f t="shared" ref="T22:AF22" si="14">MAX(T10:T12)</f>
        <v>32</v>
      </c>
      <c r="U22" s="39">
        <f t="shared" si="14"/>
        <v>12</v>
      </c>
      <c r="V22" s="39">
        <f t="shared" si="14"/>
        <v>260</v>
      </c>
      <c r="W22" s="39">
        <f t="shared" si="14"/>
        <v>10</v>
      </c>
      <c r="X22" s="39">
        <f t="shared" si="14"/>
        <v>5</v>
      </c>
      <c r="Y22" s="39">
        <f t="shared" si="14"/>
        <v>44</v>
      </c>
      <c r="Z22" s="39">
        <f t="shared" si="14"/>
        <v>9</v>
      </c>
      <c r="AA22" s="39">
        <f t="shared" si="14"/>
        <v>3</v>
      </c>
      <c r="AB22" s="39">
        <f t="shared" si="14"/>
        <v>3</v>
      </c>
      <c r="AC22" s="39">
        <f t="shared" si="14"/>
        <v>673</v>
      </c>
      <c r="AD22" s="39">
        <f t="shared" si="14"/>
        <v>0</v>
      </c>
      <c r="AE22" s="40">
        <f t="shared" si="14"/>
        <v>555</v>
      </c>
      <c r="AF22" s="40">
        <f t="shared" si="14"/>
        <v>1072</v>
      </c>
    </row>
    <row r="23" spans="2:32" ht="23.1" customHeight="1" x14ac:dyDescent="0.25">
      <c r="B23" s="23" t="s">
        <v>50</v>
      </c>
      <c r="C23" s="50">
        <v>40</v>
      </c>
      <c r="D23" s="50">
        <v>4</v>
      </c>
      <c r="E23" s="50">
        <v>3</v>
      </c>
      <c r="F23" s="50">
        <v>60</v>
      </c>
      <c r="G23" s="50">
        <v>2</v>
      </c>
      <c r="H23" s="50">
        <v>0</v>
      </c>
      <c r="I23" s="50">
        <v>9</v>
      </c>
      <c r="J23" s="50">
        <v>0</v>
      </c>
      <c r="K23" s="50">
        <v>0</v>
      </c>
      <c r="L23" s="50">
        <v>0</v>
      </c>
      <c r="M23" s="50">
        <v>140</v>
      </c>
      <c r="N23" s="50">
        <v>0</v>
      </c>
      <c r="O23" s="15">
        <f t="shared" si="0"/>
        <v>118</v>
      </c>
      <c r="P23" s="15">
        <f t="shared" si="1"/>
        <v>258</v>
      </c>
      <c r="R23" s="38" t="s">
        <v>91</v>
      </c>
      <c r="S23" s="39">
        <f>MAX(S13:S18)</f>
        <v>230</v>
      </c>
      <c r="T23" s="39">
        <f t="shared" ref="T23:AF23" si="15">MAX(T13:T18)</f>
        <v>35</v>
      </c>
      <c r="U23" s="39">
        <f t="shared" si="15"/>
        <v>22</v>
      </c>
      <c r="V23" s="39">
        <f t="shared" si="15"/>
        <v>255</v>
      </c>
      <c r="W23" s="39">
        <f t="shared" si="15"/>
        <v>30</v>
      </c>
      <c r="X23" s="39">
        <f t="shared" si="15"/>
        <v>4</v>
      </c>
      <c r="Y23" s="39">
        <f t="shared" si="15"/>
        <v>59</v>
      </c>
      <c r="Z23" s="39">
        <f t="shared" si="15"/>
        <v>14</v>
      </c>
      <c r="AA23" s="39">
        <f t="shared" si="15"/>
        <v>5</v>
      </c>
      <c r="AB23" s="39">
        <f t="shared" si="15"/>
        <v>3</v>
      </c>
      <c r="AC23" s="39">
        <f t="shared" si="15"/>
        <v>615</v>
      </c>
      <c r="AD23" s="39">
        <f t="shared" si="15"/>
        <v>0</v>
      </c>
      <c r="AE23" s="40">
        <f t="shared" si="15"/>
        <v>585</v>
      </c>
      <c r="AF23" s="40">
        <f t="shared" si="15"/>
        <v>1099</v>
      </c>
    </row>
    <row r="24" spans="2:32" ht="23.1" customHeight="1" x14ac:dyDescent="0.25">
      <c r="B24" s="23" t="s">
        <v>51</v>
      </c>
      <c r="C24" s="50">
        <v>48</v>
      </c>
      <c r="D24" s="50">
        <v>6</v>
      </c>
      <c r="E24" s="50">
        <v>1</v>
      </c>
      <c r="F24" s="50">
        <v>60</v>
      </c>
      <c r="G24" s="50">
        <v>2</v>
      </c>
      <c r="H24" s="50">
        <v>2</v>
      </c>
      <c r="I24" s="50">
        <v>9</v>
      </c>
      <c r="J24" s="50">
        <v>8</v>
      </c>
      <c r="K24" s="50">
        <v>0</v>
      </c>
      <c r="L24" s="50">
        <v>0</v>
      </c>
      <c r="M24" s="50">
        <v>150</v>
      </c>
      <c r="N24" s="50">
        <v>0</v>
      </c>
      <c r="O24" s="15">
        <f t="shared" si="0"/>
        <v>136</v>
      </c>
      <c r="P24" s="15">
        <f t="shared" si="1"/>
        <v>286</v>
      </c>
      <c r="R24" s="38" t="s">
        <v>92</v>
      </c>
      <c r="S24" s="39">
        <f>MAX(S19:S21)</f>
        <v>243</v>
      </c>
      <c r="T24" s="39">
        <f t="shared" ref="T24:AF24" si="16">MAX(T19:T21)</f>
        <v>38</v>
      </c>
      <c r="U24" s="39">
        <f t="shared" si="16"/>
        <v>20</v>
      </c>
      <c r="V24" s="39">
        <f t="shared" si="16"/>
        <v>171</v>
      </c>
      <c r="W24" s="39">
        <f t="shared" si="16"/>
        <v>14</v>
      </c>
      <c r="X24" s="39">
        <f t="shared" si="16"/>
        <v>3</v>
      </c>
      <c r="Y24" s="39">
        <f t="shared" si="16"/>
        <v>36</v>
      </c>
      <c r="Z24" s="39">
        <f t="shared" si="16"/>
        <v>7</v>
      </c>
      <c r="AA24" s="39">
        <f t="shared" si="16"/>
        <v>5</v>
      </c>
      <c r="AB24" s="39">
        <f t="shared" si="16"/>
        <v>3</v>
      </c>
      <c r="AC24" s="39">
        <f t="shared" si="16"/>
        <v>660</v>
      </c>
      <c r="AD24" s="39">
        <f t="shared" si="16"/>
        <v>0</v>
      </c>
      <c r="AE24" s="40">
        <f t="shared" si="16"/>
        <v>494</v>
      </c>
      <c r="AF24" s="40">
        <f t="shared" si="16"/>
        <v>1154</v>
      </c>
    </row>
    <row r="25" spans="2:32" ht="23.1" customHeight="1" x14ac:dyDescent="0.25">
      <c r="B25" s="23" t="s">
        <v>52</v>
      </c>
      <c r="C25" s="50">
        <v>50</v>
      </c>
      <c r="D25" s="50">
        <v>8</v>
      </c>
      <c r="E25" s="50">
        <v>4</v>
      </c>
      <c r="F25" s="50">
        <v>80</v>
      </c>
      <c r="G25" s="50">
        <v>18</v>
      </c>
      <c r="H25" s="50">
        <v>1</v>
      </c>
      <c r="I25" s="50">
        <v>0</v>
      </c>
      <c r="J25" s="50">
        <v>5</v>
      </c>
      <c r="K25" s="50">
        <v>0</v>
      </c>
      <c r="L25" s="50">
        <v>0</v>
      </c>
      <c r="M25" s="50">
        <v>130</v>
      </c>
      <c r="N25" s="50">
        <v>0</v>
      </c>
      <c r="O25" s="15">
        <f t="shared" si="0"/>
        <v>166</v>
      </c>
      <c r="P25" s="15">
        <f t="shared" si="1"/>
        <v>296</v>
      </c>
      <c r="R25" s="37" t="s">
        <v>85</v>
      </c>
      <c r="S25" s="35">
        <f t="shared" ref="S25:AF25" si="17">SUM(S10:S12)</f>
        <v>387</v>
      </c>
      <c r="T25" s="16">
        <f t="shared" si="17"/>
        <v>69</v>
      </c>
      <c r="U25" s="16">
        <f t="shared" si="17"/>
        <v>26</v>
      </c>
      <c r="V25" s="16">
        <f t="shared" si="17"/>
        <v>598</v>
      </c>
      <c r="W25" s="16">
        <f t="shared" si="17"/>
        <v>16</v>
      </c>
      <c r="X25" s="16">
        <f t="shared" si="17"/>
        <v>5</v>
      </c>
      <c r="Y25" s="16">
        <f t="shared" si="17"/>
        <v>85</v>
      </c>
      <c r="Z25" s="16">
        <f t="shared" si="17"/>
        <v>11</v>
      </c>
      <c r="AA25" s="16">
        <f t="shared" si="17"/>
        <v>8</v>
      </c>
      <c r="AB25" s="16">
        <f t="shared" si="17"/>
        <v>4</v>
      </c>
      <c r="AC25" s="16">
        <f t="shared" si="17"/>
        <v>1620</v>
      </c>
      <c r="AD25" s="16">
        <f t="shared" si="17"/>
        <v>0</v>
      </c>
      <c r="AE25" s="32">
        <f t="shared" si="17"/>
        <v>1209</v>
      </c>
      <c r="AF25" s="32">
        <f t="shared" si="17"/>
        <v>2829</v>
      </c>
    </row>
    <row r="26" spans="2:32" ht="23.1" customHeight="1" x14ac:dyDescent="0.25">
      <c r="B26" s="23" t="s">
        <v>53</v>
      </c>
      <c r="C26" s="50">
        <v>30</v>
      </c>
      <c r="D26" s="50">
        <v>8</v>
      </c>
      <c r="E26" s="50">
        <v>4</v>
      </c>
      <c r="F26" s="50">
        <v>50</v>
      </c>
      <c r="G26" s="50">
        <v>3</v>
      </c>
      <c r="H26" s="50">
        <v>1</v>
      </c>
      <c r="I26" s="50">
        <v>5</v>
      </c>
      <c r="J26" s="50">
        <v>3</v>
      </c>
      <c r="K26" s="50">
        <v>0</v>
      </c>
      <c r="L26" s="50">
        <v>0</v>
      </c>
      <c r="M26" s="50">
        <v>90</v>
      </c>
      <c r="N26" s="50">
        <v>0</v>
      </c>
      <c r="O26" s="15">
        <f t="shared" si="0"/>
        <v>104</v>
      </c>
      <c r="P26" s="15">
        <f t="shared" si="1"/>
        <v>194</v>
      </c>
      <c r="R26" s="28" t="s">
        <v>86</v>
      </c>
      <c r="S26" s="16">
        <f t="shared" ref="S26:AF26" si="18">SUM(S13:S18)</f>
        <v>1136</v>
      </c>
      <c r="T26" s="16">
        <f t="shared" si="18"/>
        <v>149</v>
      </c>
      <c r="U26" s="16">
        <f t="shared" si="18"/>
        <v>66</v>
      </c>
      <c r="V26" s="16">
        <f t="shared" si="18"/>
        <v>1415</v>
      </c>
      <c r="W26" s="16">
        <f t="shared" si="18"/>
        <v>84</v>
      </c>
      <c r="X26" s="16">
        <f t="shared" si="18"/>
        <v>20</v>
      </c>
      <c r="Y26" s="16">
        <f t="shared" si="18"/>
        <v>212</v>
      </c>
      <c r="Z26" s="16">
        <f t="shared" si="18"/>
        <v>50</v>
      </c>
      <c r="AA26" s="16">
        <f t="shared" si="18"/>
        <v>18</v>
      </c>
      <c r="AB26" s="16">
        <f t="shared" si="18"/>
        <v>9</v>
      </c>
      <c r="AC26" s="16">
        <f t="shared" si="18"/>
        <v>3109</v>
      </c>
      <c r="AD26" s="16">
        <f t="shared" si="18"/>
        <v>0</v>
      </c>
      <c r="AE26" s="32">
        <f t="shared" si="18"/>
        <v>3159</v>
      </c>
      <c r="AF26" s="32">
        <f t="shared" si="18"/>
        <v>6268</v>
      </c>
    </row>
    <row r="27" spans="2:32" ht="23.1" customHeight="1" x14ac:dyDescent="0.25">
      <c r="B27" s="23" t="s">
        <v>54</v>
      </c>
      <c r="C27" s="50">
        <v>50</v>
      </c>
      <c r="D27" s="50">
        <v>12</v>
      </c>
      <c r="E27" s="50">
        <v>9</v>
      </c>
      <c r="F27" s="50">
        <v>60</v>
      </c>
      <c r="G27" s="50">
        <v>5</v>
      </c>
      <c r="H27" s="50">
        <v>1</v>
      </c>
      <c r="I27" s="50">
        <v>0</v>
      </c>
      <c r="J27" s="50">
        <v>2</v>
      </c>
      <c r="K27" s="50">
        <v>0</v>
      </c>
      <c r="L27" s="50">
        <v>0</v>
      </c>
      <c r="M27" s="50">
        <v>95</v>
      </c>
      <c r="N27" s="50">
        <v>0</v>
      </c>
      <c r="O27" s="15">
        <f t="shared" si="0"/>
        <v>139</v>
      </c>
      <c r="P27" s="15">
        <f t="shared" si="1"/>
        <v>234</v>
      </c>
      <c r="R27" s="29" t="s">
        <v>87</v>
      </c>
      <c r="S27" s="16">
        <f t="shared" ref="S27:AF27" si="19">SUM(S19:S21)</f>
        <v>508</v>
      </c>
      <c r="T27" s="16">
        <f t="shared" si="19"/>
        <v>90</v>
      </c>
      <c r="U27" s="16">
        <f t="shared" si="19"/>
        <v>38</v>
      </c>
      <c r="V27" s="16">
        <f t="shared" si="19"/>
        <v>425</v>
      </c>
      <c r="W27" s="16">
        <f t="shared" si="19"/>
        <v>26</v>
      </c>
      <c r="X27" s="16">
        <f t="shared" si="19"/>
        <v>7</v>
      </c>
      <c r="Y27" s="16">
        <f t="shared" si="19"/>
        <v>81</v>
      </c>
      <c r="Z27" s="16">
        <f t="shared" si="19"/>
        <v>17</v>
      </c>
      <c r="AA27" s="16">
        <f t="shared" si="19"/>
        <v>10</v>
      </c>
      <c r="AB27" s="16">
        <f t="shared" si="19"/>
        <v>8</v>
      </c>
      <c r="AC27" s="16">
        <f t="shared" si="19"/>
        <v>1780</v>
      </c>
      <c r="AD27" s="16">
        <f t="shared" si="19"/>
        <v>0</v>
      </c>
      <c r="AE27" s="32">
        <f t="shared" si="19"/>
        <v>1210</v>
      </c>
      <c r="AF27" s="32">
        <f t="shared" si="19"/>
        <v>2990</v>
      </c>
    </row>
    <row r="28" spans="2:32" ht="23.1" customHeight="1" x14ac:dyDescent="0.25">
      <c r="B28" s="23" t="s">
        <v>55</v>
      </c>
      <c r="C28" s="50">
        <v>45</v>
      </c>
      <c r="D28" s="50">
        <v>10</v>
      </c>
      <c r="E28" s="50">
        <v>0</v>
      </c>
      <c r="F28" s="50">
        <v>70</v>
      </c>
      <c r="G28" s="50">
        <v>15</v>
      </c>
      <c r="H28" s="50">
        <v>0</v>
      </c>
      <c r="I28" s="50">
        <v>13</v>
      </c>
      <c r="J28" s="50">
        <v>0</v>
      </c>
      <c r="K28" s="50">
        <v>0</v>
      </c>
      <c r="L28" s="50">
        <v>1</v>
      </c>
      <c r="M28" s="50">
        <v>105</v>
      </c>
      <c r="N28" s="50">
        <v>0</v>
      </c>
      <c r="O28" s="15">
        <f t="shared" si="0"/>
        <v>154</v>
      </c>
      <c r="P28" s="15">
        <f t="shared" si="1"/>
        <v>259</v>
      </c>
      <c r="R28" s="5" t="s">
        <v>17</v>
      </c>
      <c r="S28" s="16">
        <f t="shared" ref="S28:AF28" si="20">SUM(S10:S21)</f>
        <v>2031</v>
      </c>
      <c r="T28" s="16">
        <f t="shared" si="20"/>
        <v>308</v>
      </c>
      <c r="U28" s="16">
        <f t="shared" si="20"/>
        <v>130</v>
      </c>
      <c r="V28" s="16">
        <f t="shared" si="20"/>
        <v>2438</v>
      </c>
      <c r="W28" s="16">
        <f t="shared" si="20"/>
        <v>126</v>
      </c>
      <c r="X28" s="16">
        <f t="shared" si="20"/>
        <v>32</v>
      </c>
      <c r="Y28" s="16">
        <f t="shared" si="20"/>
        <v>378</v>
      </c>
      <c r="Z28" s="16">
        <f t="shared" si="20"/>
        <v>78</v>
      </c>
      <c r="AA28" s="16">
        <f t="shared" si="20"/>
        <v>36</v>
      </c>
      <c r="AB28" s="16">
        <f t="shared" si="20"/>
        <v>21</v>
      </c>
      <c r="AC28" s="16">
        <f t="shared" si="20"/>
        <v>6509</v>
      </c>
      <c r="AD28" s="16">
        <f t="shared" si="20"/>
        <v>0</v>
      </c>
      <c r="AE28" s="32">
        <f t="shared" si="20"/>
        <v>5578</v>
      </c>
      <c r="AF28" s="32">
        <f t="shared" si="20"/>
        <v>12087</v>
      </c>
    </row>
    <row r="29" spans="2:32" ht="23.1" customHeight="1" x14ac:dyDescent="0.25">
      <c r="B29" s="23" t="s">
        <v>56</v>
      </c>
      <c r="C29" s="50">
        <v>55</v>
      </c>
      <c r="D29" s="50">
        <v>4</v>
      </c>
      <c r="E29" s="50">
        <v>9</v>
      </c>
      <c r="F29" s="50">
        <v>55</v>
      </c>
      <c r="G29" s="50">
        <v>7</v>
      </c>
      <c r="H29" s="50">
        <v>1</v>
      </c>
      <c r="I29" s="50">
        <v>13</v>
      </c>
      <c r="J29" s="50">
        <v>0</v>
      </c>
      <c r="K29" s="50">
        <v>0</v>
      </c>
      <c r="L29" s="50">
        <v>0</v>
      </c>
      <c r="M29" s="50">
        <v>130</v>
      </c>
      <c r="N29" s="50">
        <v>0</v>
      </c>
      <c r="O29" s="15">
        <f t="shared" si="0"/>
        <v>144</v>
      </c>
      <c r="P29" s="15">
        <f t="shared" si="1"/>
        <v>274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8</v>
      </c>
      <c r="E30" s="50">
        <v>2</v>
      </c>
      <c r="F30" s="50">
        <v>43</v>
      </c>
      <c r="G30" s="50">
        <v>3</v>
      </c>
      <c r="H30" s="50">
        <v>0</v>
      </c>
      <c r="I30" s="50">
        <v>15</v>
      </c>
      <c r="J30" s="50">
        <v>4</v>
      </c>
      <c r="K30" s="50">
        <v>1</v>
      </c>
      <c r="L30" s="50">
        <v>0</v>
      </c>
      <c r="M30" s="50">
        <v>125</v>
      </c>
      <c r="N30" s="50">
        <v>0</v>
      </c>
      <c r="O30" s="15">
        <f t="shared" si="0"/>
        <v>118</v>
      </c>
      <c r="P30" s="15">
        <f t="shared" si="1"/>
        <v>243</v>
      </c>
    </row>
    <row r="31" spans="2:32" ht="23.1" customHeight="1" x14ac:dyDescent="0.25">
      <c r="B31" s="24" t="s">
        <v>58</v>
      </c>
      <c r="C31" s="50">
        <v>55</v>
      </c>
      <c r="D31" s="50">
        <v>10</v>
      </c>
      <c r="E31" s="50">
        <v>2</v>
      </c>
      <c r="F31" s="50">
        <v>45</v>
      </c>
      <c r="G31" s="50">
        <v>5</v>
      </c>
      <c r="H31" s="50">
        <v>1</v>
      </c>
      <c r="I31" s="50">
        <v>8</v>
      </c>
      <c r="J31" s="50">
        <v>2</v>
      </c>
      <c r="K31" s="50">
        <v>0</v>
      </c>
      <c r="L31" s="50">
        <v>1</v>
      </c>
      <c r="M31" s="50">
        <v>115</v>
      </c>
      <c r="N31" s="50">
        <v>0</v>
      </c>
      <c r="O31" s="15">
        <f t="shared" si="0"/>
        <v>129</v>
      </c>
      <c r="P31" s="15">
        <f t="shared" si="1"/>
        <v>244</v>
      </c>
    </row>
    <row r="32" spans="2:32" ht="23.1" customHeight="1" x14ac:dyDescent="0.25">
      <c r="B32" s="24" t="s">
        <v>59</v>
      </c>
      <c r="C32" s="50">
        <v>60</v>
      </c>
      <c r="D32" s="50">
        <v>5</v>
      </c>
      <c r="E32" s="50">
        <v>7</v>
      </c>
      <c r="F32" s="50">
        <v>64</v>
      </c>
      <c r="G32" s="50">
        <v>1</v>
      </c>
      <c r="H32" s="50">
        <v>1</v>
      </c>
      <c r="I32" s="50">
        <v>11</v>
      </c>
      <c r="J32" s="50">
        <v>0</v>
      </c>
      <c r="K32" s="50">
        <v>2</v>
      </c>
      <c r="L32" s="50">
        <v>1</v>
      </c>
      <c r="M32" s="50">
        <v>157</v>
      </c>
      <c r="N32" s="50">
        <v>0</v>
      </c>
      <c r="O32" s="15">
        <f t="shared" si="0"/>
        <v>152</v>
      </c>
      <c r="P32" s="15">
        <f t="shared" si="1"/>
        <v>309</v>
      </c>
    </row>
    <row r="33" spans="2:20" ht="23.1" customHeight="1" x14ac:dyDescent="0.25">
      <c r="B33" s="23" t="s">
        <v>60</v>
      </c>
      <c r="C33" s="50">
        <v>52</v>
      </c>
      <c r="D33" s="50">
        <v>12</v>
      </c>
      <c r="E33" s="50">
        <v>3</v>
      </c>
      <c r="F33" s="50">
        <v>57</v>
      </c>
      <c r="G33" s="50">
        <v>2</v>
      </c>
      <c r="H33" s="50">
        <v>0</v>
      </c>
      <c r="I33" s="50">
        <v>8</v>
      </c>
      <c r="J33" s="50">
        <v>0</v>
      </c>
      <c r="K33" s="50">
        <v>2</v>
      </c>
      <c r="L33" s="50">
        <v>0</v>
      </c>
      <c r="M33" s="50">
        <v>130</v>
      </c>
      <c r="N33" s="50">
        <v>0</v>
      </c>
      <c r="O33" s="15">
        <f t="shared" si="0"/>
        <v>136</v>
      </c>
      <c r="P33" s="15">
        <f t="shared" si="1"/>
        <v>266</v>
      </c>
    </row>
    <row r="34" spans="2:20" ht="23.1" customHeight="1" x14ac:dyDescent="0.25">
      <c r="B34" s="24" t="s">
        <v>61</v>
      </c>
      <c r="C34" s="50">
        <v>65</v>
      </c>
      <c r="D34" s="50">
        <v>3</v>
      </c>
      <c r="E34" s="50">
        <v>0</v>
      </c>
      <c r="F34" s="50">
        <v>69</v>
      </c>
      <c r="G34" s="50">
        <v>5</v>
      </c>
      <c r="H34" s="50">
        <v>2</v>
      </c>
      <c r="I34" s="50">
        <v>5</v>
      </c>
      <c r="J34" s="50">
        <v>3</v>
      </c>
      <c r="K34" s="50">
        <v>1</v>
      </c>
      <c r="L34" s="50">
        <v>0</v>
      </c>
      <c r="M34" s="50">
        <v>140</v>
      </c>
      <c r="N34" s="50">
        <v>0</v>
      </c>
      <c r="O34" s="15">
        <f t="shared" si="0"/>
        <v>153</v>
      </c>
      <c r="P34" s="15">
        <f t="shared" si="1"/>
        <v>293</v>
      </c>
    </row>
    <row r="35" spans="2:20" ht="23.1" customHeight="1" x14ac:dyDescent="0.25">
      <c r="B35" s="24" t="s">
        <v>62</v>
      </c>
      <c r="C35" s="50">
        <v>50</v>
      </c>
      <c r="D35" s="50">
        <v>8</v>
      </c>
      <c r="E35" s="50">
        <v>2</v>
      </c>
      <c r="F35" s="50">
        <v>75</v>
      </c>
      <c r="G35" s="50">
        <v>0</v>
      </c>
      <c r="H35" s="50">
        <v>0</v>
      </c>
      <c r="I35" s="50">
        <v>8</v>
      </c>
      <c r="J35" s="50">
        <v>0</v>
      </c>
      <c r="K35" s="50">
        <v>1</v>
      </c>
      <c r="L35" s="50">
        <v>1</v>
      </c>
      <c r="M35" s="50">
        <v>100</v>
      </c>
      <c r="N35" s="50">
        <v>0</v>
      </c>
      <c r="O35" s="15">
        <f t="shared" si="0"/>
        <v>145</v>
      </c>
      <c r="P35" s="15">
        <f t="shared" si="1"/>
        <v>245</v>
      </c>
    </row>
    <row r="36" spans="2:20" ht="23.1" customHeight="1" x14ac:dyDescent="0.25">
      <c r="B36" s="24" t="s">
        <v>63</v>
      </c>
      <c r="C36" s="50">
        <v>40</v>
      </c>
      <c r="D36" s="50">
        <v>10</v>
      </c>
      <c r="E36" s="50">
        <v>1</v>
      </c>
      <c r="F36" s="50">
        <v>50</v>
      </c>
      <c r="G36" s="50">
        <v>3</v>
      </c>
      <c r="H36" s="50">
        <v>1</v>
      </c>
      <c r="I36" s="50">
        <v>10</v>
      </c>
      <c r="J36" s="50">
        <v>3</v>
      </c>
      <c r="K36" s="50">
        <v>2</v>
      </c>
      <c r="L36" s="50">
        <v>0</v>
      </c>
      <c r="M36" s="50">
        <v>125</v>
      </c>
      <c r="N36" s="50">
        <v>0</v>
      </c>
      <c r="O36" s="15">
        <f t="shared" si="0"/>
        <v>120</v>
      </c>
      <c r="P36" s="15">
        <f t="shared" si="1"/>
        <v>245</v>
      </c>
    </row>
    <row r="37" spans="2:20" ht="23.1" customHeight="1" x14ac:dyDescent="0.25">
      <c r="B37" s="23" t="s">
        <v>64</v>
      </c>
      <c r="C37" s="50">
        <v>35</v>
      </c>
      <c r="D37" s="50">
        <v>5</v>
      </c>
      <c r="E37" s="50">
        <v>0</v>
      </c>
      <c r="F37" s="50">
        <v>45</v>
      </c>
      <c r="G37" s="50">
        <v>2</v>
      </c>
      <c r="H37" s="50">
        <v>0</v>
      </c>
      <c r="I37" s="50">
        <v>9</v>
      </c>
      <c r="J37" s="50">
        <v>1</v>
      </c>
      <c r="K37" s="50">
        <v>0</v>
      </c>
      <c r="L37" s="50">
        <v>0</v>
      </c>
      <c r="M37" s="50">
        <v>132</v>
      </c>
      <c r="N37" s="50">
        <v>0</v>
      </c>
      <c r="O37" s="15">
        <f t="shared" si="0"/>
        <v>97</v>
      </c>
      <c r="P37" s="15">
        <f t="shared" si="1"/>
        <v>229</v>
      </c>
    </row>
    <row r="38" spans="2:20" ht="23.1" customHeight="1" x14ac:dyDescent="0.25">
      <c r="B38" s="24" t="s">
        <v>65</v>
      </c>
      <c r="C38" s="50">
        <v>60</v>
      </c>
      <c r="D38" s="50">
        <v>2</v>
      </c>
      <c r="E38" s="50">
        <v>1</v>
      </c>
      <c r="F38" s="50">
        <v>40</v>
      </c>
      <c r="G38" s="50">
        <v>2</v>
      </c>
      <c r="H38" s="50">
        <v>2</v>
      </c>
      <c r="I38" s="50">
        <v>14</v>
      </c>
      <c r="J38" s="50">
        <v>1</v>
      </c>
      <c r="K38" s="50">
        <v>0</v>
      </c>
      <c r="L38" s="50">
        <v>1</v>
      </c>
      <c r="M38" s="50">
        <v>95</v>
      </c>
      <c r="N38" s="50">
        <v>0</v>
      </c>
      <c r="O38" s="15">
        <f t="shared" si="0"/>
        <v>123</v>
      </c>
      <c r="P38" s="15">
        <f t="shared" si="1"/>
        <v>218</v>
      </c>
    </row>
    <row r="39" spans="2:20" ht="23.1" customHeight="1" x14ac:dyDescent="0.25">
      <c r="B39" s="24" t="s">
        <v>66</v>
      </c>
      <c r="C39" s="50">
        <v>45</v>
      </c>
      <c r="D39" s="50">
        <v>2</v>
      </c>
      <c r="E39" s="50">
        <v>0</v>
      </c>
      <c r="F39" s="50">
        <v>70</v>
      </c>
      <c r="G39" s="50">
        <v>3</v>
      </c>
      <c r="H39" s="50">
        <v>1</v>
      </c>
      <c r="I39" s="50">
        <v>15</v>
      </c>
      <c r="J39" s="50">
        <v>0</v>
      </c>
      <c r="K39" s="50">
        <v>2</v>
      </c>
      <c r="L39" s="50">
        <v>0</v>
      </c>
      <c r="M39" s="50">
        <v>120</v>
      </c>
      <c r="N39" s="50">
        <v>0</v>
      </c>
      <c r="O39" s="15">
        <f t="shared" si="0"/>
        <v>138</v>
      </c>
      <c r="P39" s="15">
        <f t="shared" si="1"/>
        <v>258</v>
      </c>
    </row>
    <row r="40" spans="2:20" ht="23.1" customHeight="1" x14ac:dyDescent="0.25">
      <c r="B40" s="24" t="s">
        <v>67</v>
      </c>
      <c r="C40" s="50">
        <v>62</v>
      </c>
      <c r="D40" s="50">
        <v>1</v>
      </c>
      <c r="E40" s="50">
        <v>2</v>
      </c>
      <c r="F40" s="50">
        <v>65</v>
      </c>
      <c r="G40" s="50">
        <v>2</v>
      </c>
      <c r="H40" s="50">
        <v>0</v>
      </c>
      <c r="I40" s="50">
        <v>12</v>
      </c>
      <c r="J40" s="50">
        <v>5</v>
      </c>
      <c r="K40" s="50">
        <v>3</v>
      </c>
      <c r="L40" s="50">
        <v>0</v>
      </c>
      <c r="M40" s="50">
        <v>135</v>
      </c>
      <c r="N40" s="50">
        <v>0</v>
      </c>
      <c r="O40" s="15">
        <f t="shared" si="0"/>
        <v>152</v>
      </c>
      <c r="P40" s="15">
        <f t="shared" si="1"/>
        <v>287</v>
      </c>
    </row>
    <row r="41" spans="2:20" ht="23.1" customHeight="1" x14ac:dyDescent="0.25">
      <c r="B41" s="23" t="s">
        <v>68</v>
      </c>
      <c r="C41" s="50">
        <v>63</v>
      </c>
      <c r="D41" s="50">
        <v>4</v>
      </c>
      <c r="E41" s="50">
        <v>5</v>
      </c>
      <c r="F41" s="50">
        <v>75</v>
      </c>
      <c r="G41" s="50">
        <v>1</v>
      </c>
      <c r="H41" s="50">
        <v>1</v>
      </c>
      <c r="I41" s="50">
        <v>18</v>
      </c>
      <c r="J41" s="50">
        <v>3</v>
      </c>
      <c r="K41" s="50">
        <v>0</v>
      </c>
      <c r="L41" s="50">
        <v>2</v>
      </c>
      <c r="M41" s="50">
        <v>140</v>
      </c>
      <c r="N41" s="50">
        <v>0</v>
      </c>
      <c r="O41" s="15">
        <f t="shared" si="0"/>
        <v>172</v>
      </c>
      <c r="P41" s="15">
        <f t="shared" si="1"/>
        <v>312</v>
      </c>
    </row>
    <row r="42" spans="2:20" ht="23.1" customHeight="1" x14ac:dyDescent="0.25">
      <c r="B42" s="24" t="s">
        <v>69</v>
      </c>
      <c r="C42" s="50">
        <v>40</v>
      </c>
      <c r="D42" s="50">
        <v>4</v>
      </c>
      <c r="E42" s="50">
        <v>2</v>
      </c>
      <c r="F42" s="50">
        <v>70</v>
      </c>
      <c r="G42" s="50">
        <v>2</v>
      </c>
      <c r="H42" s="50">
        <v>1</v>
      </c>
      <c r="I42" s="50">
        <v>10</v>
      </c>
      <c r="J42" s="50">
        <v>3</v>
      </c>
      <c r="K42" s="50">
        <v>1</v>
      </c>
      <c r="L42" s="50">
        <v>0</v>
      </c>
      <c r="M42" s="50">
        <v>170</v>
      </c>
      <c r="N42" s="50">
        <v>0</v>
      </c>
      <c r="O42" s="15">
        <f t="shared" si="0"/>
        <v>133</v>
      </c>
      <c r="P42" s="15">
        <f t="shared" si="1"/>
        <v>303</v>
      </c>
    </row>
    <row r="43" spans="2:20" ht="23.1" customHeight="1" x14ac:dyDescent="0.25">
      <c r="B43" s="23" t="s">
        <v>70</v>
      </c>
      <c r="C43" s="50">
        <v>30</v>
      </c>
      <c r="D43" s="50">
        <v>4</v>
      </c>
      <c r="E43" s="50">
        <v>3</v>
      </c>
      <c r="F43" s="50">
        <v>45</v>
      </c>
      <c r="G43" s="50">
        <v>0</v>
      </c>
      <c r="H43" s="50">
        <v>1</v>
      </c>
      <c r="I43" s="50">
        <v>7</v>
      </c>
      <c r="J43" s="50">
        <v>1</v>
      </c>
      <c r="K43" s="50">
        <v>1</v>
      </c>
      <c r="L43" s="50">
        <v>0</v>
      </c>
      <c r="M43" s="50">
        <v>140</v>
      </c>
      <c r="N43" s="50">
        <v>0</v>
      </c>
      <c r="O43" s="15">
        <f t="shared" si="0"/>
        <v>92</v>
      </c>
      <c r="P43" s="15">
        <f t="shared" si="1"/>
        <v>232</v>
      </c>
    </row>
    <row r="44" spans="2:20" ht="23.1" customHeight="1" x14ac:dyDescent="0.25">
      <c r="B44" s="25" t="s">
        <v>71</v>
      </c>
      <c r="C44" s="50">
        <v>35</v>
      </c>
      <c r="D44" s="50">
        <v>5</v>
      </c>
      <c r="E44" s="50">
        <v>1</v>
      </c>
      <c r="F44" s="50">
        <v>53</v>
      </c>
      <c r="G44" s="50">
        <v>1</v>
      </c>
      <c r="H44" s="50">
        <v>0</v>
      </c>
      <c r="I44" s="50">
        <v>2</v>
      </c>
      <c r="J44" s="50">
        <v>0</v>
      </c>
      <c r="K44" s="50">
        <v>2</v>
      </c>
      <c r="L44" s="50">
        <v>2</v>
      </c>
      <c r="M44" s="50">
        <v>160</v>
      </c>
      <c r="N44" s="50">
        <v>0</v>
      </c>
      <c r="O44" s="15">
        <f t="shared" si="0"/>
        <v>101</v>
      </c>
      <c r="P44" s="15">
        <f t="shared" si="1"/>
        <v>261</v>
      </c>
    </row>
    <row r="45" spans="2:20" ht="23.1" customHeight="1" x14ac:dyDescent="0.25">
      <c r="B45" s="23" t="s">
        <v>72</v>
      </c>
      <c r="C45" s="50">
        <v>39</v>
      </c>
      <c r="D45" s="50">
        <v>7</v>
      </c>
      <c r="E45" s="50">
        <v>4</v>
      </c>
      <c r="F45" s="50">
        <v>59</v>
      </c>
      <c r="G45" s="50">
        <v>0</v>
      </c>
      <c r="H45" s="50">
        <v>2</v>
      </c>
      <c r="I45" s="50">
        <v>2</v>
      </c>
      <c r="J45" s="50">
        <v>5</v>
      </c>
      <c r="K45" s="50">
        <v>0</v>
      </c>
      <c r="L45" s="50">
        <v>0</v>
      </c>
      <c r="M45" s="50">
        <v>145</v>
      </c>
      <c r="N45" s="50">
        <v>0</v>
      </c>
      <c r="O45" s="15">
        <f t="shared" si="0"/>
        <v>118</v>
      </c>
      <c r="P45" s="15">
        <f t="shared" si="1"/>
        <v>263</v>
      </c>
    </row>
    <row r="46" spans="2:20" ht="23.1" customHeight="1" x14ac:dyDescent="0.25">
      <c r="B46" s="24" t="s">
        <v>73</v>
      </c>
      <c r="C46" s="50">
        <v>35</v>
      </c>
      <c r="D46" s="50">
        <v>2</v>
      </c>
      <c r="E46" s="50">
        <v>1</v>
      </c>
      <c r="F46" s="50">
        <v>38</v>
      </c>
      <c r="G46" s="50">
        <v>5</v>
      </c>
      <c r="H46" s="50">
        <v>0</v>
      </c>
      <c r="I46" s="50">
        <v>11</v>
      </c>
      <c r="J46" s="50">
        <v>3</v>
      </c>
      <c r="K46" s="50">
        <v>0</v>
      </c>
      <c r="L46" s="50">
        <v>0</v>
      </c>
      <c r="M46" s="50">
        <v>100</v>
      </c>
      <c r="N46" s="50">
        <v>0</v>
      </c>
      <c r="O46" s="15">
        <f t="shared" si="0"/>
        <v>95</v>
      </c>
      <c r="P46" s="15">
        <f t="shared" si="1"/>
        <v>195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14</v>
      </c>
      <c r="E47" s="50">
        <v>2</v>
      </c>
      <c r="F47" s="50">
        <v>45</v>
      </c>
      <c r="G47" s="50">
        <v>6</v>
      </c>
      <c r="H47" s="50">
        <v>1</v>
      </c>
      <c r="I47" s="50">
        <v>6</v>
      </c>
      <c r="J47" s="50">
        <v>0</v>
      </c>
      <c r="K47" s="50">
        <v>1</v>
      </c>
      <c r="L47" s="50">
        <v>1</v>
      </c>
      <c r="M47" s="50">
        <v>150</v>
      </c>
      <c r="N47" s="50">
        <v>0</v>
      </c>
      <c r="O47" s="15">
        <f t="shared" si="0"/>
        <v>108</v>
      </c>
      <c r="P47" s="15">
        <f t="shared" si="1"/>
        <v>258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9</v>
      </c>
      <c r="E48" s="50">
        <v>1</v>
      </c>
      <c r="F48" s="50">
        <v>55</v>
      </c>
      <c r="G48" s="50">
        <v>2</v>
      </c>
      <c r="H48" s="50">
        <v>2</v>
      </c>
      <c r="I48" s="50">
        <v>4</v>
      </c>
      <c r="J48" s="50">
        <v>2</v>
      </c>
      <c r="K48" s="50">
        <v>0</v>
      </c>
      <c r="L48" s="50">
        <v>0</v>
      </c>
      <c r="M48" s="50">
        <v>135</v>
      </c>
      <c r="N48" s="50">
        <v>0</v>
      </c>
      <c r="O48" s="15">
        <f t="shared" si="0"/>
        <v>114</v>
      </c>
      <c r="P48" s="15">
        <f t="shared" si="1"/>
        <v>249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8</v>
      </c>
      <c r="E49" s="50">
        <v>4</v>
      </c>
      <c r="F49" s="50">
        <v>33</v>
      </c>
      <c r="G49" s="50">
        <v>1</v>
      </c>
      <c r="H49" s="50">
        <v>0</v>
      </c>
      <c r="I49" s="50">
        <v>2</v>
      </c>
      <c r="J49" s="50">
        <v>1</v>
      </c>
      <c r="K49" s="50">
        <v>2</v>
      </c>
      <c r="L49" s="50">
        <v>2</v>
      </c>
      <c r="M49" s="50">
        <v>175</v>
      </c>
      <c r="N49" s="50">
        <v>0</v>
      </c>
      <c r="O49" s="15">
        <f t="shared" si="0"/>
        <v>98</v>
      </c>
      <c r="P49" s="15">
        <f t="shared" si="1"/>
        <v>273</v>
      </c>
      <c r="R49" s="8"/>
      <c r="T49"/>
    </row>
    <row r="50" spans="2:20" ht="23.1" customHeight="1" x14ac:dyDescent="0.25">
      <c r="B50" s="24" t="s">
        <v>77</v>
      </c>
      <c r="C50" s="50">
        <v>51</v>
      </c>
      <c r="D50" s="50">
        <v>4</v>
      </c>
      <c r="E50" s="50">
        <v>8</v>
      </c>
      <c r="F50" s="50">
        <v>35</v>
      </c>
      <c r="G50" s="50">
        <v>1</v>
      </c>
      <c r="H50" s="50">
        <v>0</v>
      </c>
      <c r="I50" s="50">
        <v>11</v>
      </c>
      <c r="J50" s="50">
        <v>0</v>
      </c>
      <c r="K50" s="50">
        <v>1</v>
      </c>
      <c r="L50" s="50">
        <v>0</v>
      </c>
      <c r="M50" s="50">
        <v>195</v>
      </c>
      <c r="N50" s="50">
        <v>0</v>
      </c>
      <c r="O50" s="15">
        <f t="shared" si="0"/>
        <v>111</v>
      </c>
      <c r="P50" s="15">
        <f t="shared" si="1"/>
        <v>306</v>
      </c>
      <c r="R50" s="8"/>
      <c r="T50"/>
    </row>
    <row r="51" spans="2:20" ht="23.1" customHeight="1" x14ac:dyDescent="0.25">
      <c r="B51" s="24" t="s">
        <v>78</v>
      </c>
      <c r="C51" s="50">
        <v>66</v>
      </c>
      <c r="D51" s="50">
        <v>13</v>
      </c>
      <c r="E51" s="50">
        <v>4</v>
      </c>
      <c r="F51" s="50">
        <v>39</v>
      </c>
      <c r="G51" s="50">
        <v>3</v>
      </c>
      <c r="H51" s="50">
        <v>2</v>
      </c>
      <c r="I51" s="50">
        <v>7</v>
      </c>
      <c r="J51" s="50">
        <v>2</v>
      </c>
      <c r="K51" s="50">
        <v>0</v>
      </c>
      <c r="L51" s="50">
        <v>1</v>
      </c>
      <c r="M51" s="50">
        <v>180</v>
      </c>
      <c r="N51" s="50">
        <v>0</v>
      </c>
      <c r="O51" s="15">
        <f t="shared" si="0"/>
        <v>137</v>
      </c>
      <c r="P51" s="15">
        <f t="shared" si="1"/>
        <v>317</v>
      </c>
      <c r="R51" s="8"/>
      <c r="T51"/>
    </row>
    <row r="52" spans="2:20" ht="23.1" customHeight="1" x14ac:dyDescent="0.25">
      <c r="B52" s="24" t="s">
        <v>79</v>
      </c>
      <c r="C52" s="50">
        <v>68</v>
      </c>
      <c r="D52" s="50">
        <v>9</v>
      </c>
      <c r="E52" s="50">
        <v>5</v>
      </c>
      <c r="F52" s="50">
        <v>27</v>
      </c>
      <c r="G52" s="50">
        <v>0</v>
      </c>
      <c r="H52" s="50">
        <v>0</v>
      </c>
      <c r="I52" s="50">
        <v>10</v>
      </c>
      <c r="J52" s="50">
        <v>3</v>
      </c>
      <c r="K52" s="50">
        <v>0</v>
      </c>
      <c r="L52" s="50">
        <v>1</v>
      </c>
      <c r="M52" s="50">
        <v>185</v>
      </c>
      <c r="N52" s="50">
        <v>0</v>
      </c>
      <c r="O52" s="15">
        <f t="shared" si="0"/>
        <v>123</v>
      </c>
      <c r="P52" s="15">
        <f t="shared" si="1"/>
        <v>308</v>
      </c>
      <c r="R52" s="8"/>
      <c r="T52"/>
    </row>
    <row r="53" spans="2:20" ht="23.1" customHeight="1" x14ac:dyDescent="0.25">
      <c r="B53" s="23" t="s">
        <v>80</v>
      </c>
      <c r="C53" s="50">
        <v>58</v>
      </c>
      <c r="D53" s="50">
        <v>12</v>
      </c>
      <c r="E53" s="50">
        <v>3</v>
      </c>
      <c r="F53" s="50">
        <v>38</v>
      </c>
      <c r="G53" s="50">
        <v>1</v>
      </c>
      <c r="H53" s="50">
        <v>0</v>
      </c>
      <c r="I53" s="50">
        <v>8</v>
      </c>
      <c r="J53" s="50">
        <v>2</v>
      </c>
      <c r="K53" s="50">
        <v>1</v>
      </c>
      <c r="L53" s="50">
        <v>0</v>
      </c>
      <c r="M53" s="50">
        <v>100</v>
      </c>
      <c r="N53" s="50">
        <v>0</v>
      </c>
      <c r="O53" s="15">
        <f t="shared" si="0"/>
        <v>123</v>
      </c>
      <c r="P53" s="15">
        <f t="shared" si="1"/>
        <v>223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6</v>
      </c>
      <c r="E54" s="50">
        <v>6</v>
      </c>
      <c r="F54" s="50">
        <v>44</v>
      </c>
      <c r="G54" s="50">
        <v>2</v>
      </c>
      <c r="H54" s="50">
        <v>0</v>
      </c>
      <c r="I54" s="50">
        <v>11</v>
      </c>
      <c r="J54" s="50">
        <v>0</v>
      </c>
      <c r="K54" s="50">
        <v>0</v>
      </c>
      <c r="L54" s="50">
        <v>0</v>
      </c>
      <c r="M54" s="50">
        <v>170</v>
      </c>
      <c r="N54" s="50">
        <v>0</v>
      </c>
      <c r="O54" s="15">
        <f t="shared" si="0"/>
        <v>107</v>
      </c>
      <c r="P54" s="15">
        <f t="shared" si="1"/>
        <v>277</v>
      </c>
      <c r="R54" s="8"/>
      <c r="T54"/>
    </row>
    <row r="55" spans="2:20" ht="23.1" customHeight="1" x14ac:dyDescent="0.25">
      <c r="B55" s="23" t="s">
        <v>82</v>
      </c>
      <c r="C55" s="50">
        <v>34</v>
      </c>
      <c r="D55" s="50">
        <v>7</v>
      </c>
      <c r="E55" s="50">
        <v>1</v>
      </c>
      <c r="F55" s="50">
        <v>33</v>
      </c>
      <c r="G55" s="50">
        <v>2</v>
      </c>
      <c r="H55" s="50">
        <v>1</v>
      </c>
      <c r="I55" s="50">
        <v>6</v>
      </c>
      <c r="J55" s="50">
        <v>1</v>
      </c>
      <c r="K55" s="50">
        <v>2</v>
      </c>
      <c r="L55" s="50">
        <v>1</v>
      </c>
      <c r="M55" s="50">
        <v>190</v>
      </c>
      <c r="N55" s="50">
        <v>0</v>
      </c>
      <c r="O55" s="15">
        <f t="shared" si="0"/>
        <v>88</v>
      </c>
      <c r="P55" s="15">
        <f t="shared" si="1"/>
        <v>278</v>
      </c>
      <c r="R55" s="8"/>
      <c r="T55"/>
    </row>
    <row r="56" spans="2:20" ht="23.1" customHeight="1" x14ac:dyDescent="0.25">
      <c r="B56" s="23" t="s">
        <v>83</v>
      </c>
      <c r="C56" s="50">
        <v>42</v>
      </c>
      <c r="D56" s="50">
        <v>6</v>
      </c>
      <c r="E56" s="50">
        <v>3</v>
      </c>
      <c r="F56" s="50">
        <v>38</v>
      </c>
      <c r="G56" s="50">
        <v>3</v>
      </c>
      <c r="H56" s="50">
        <v>1</v>
      </c>
      <c r="I56" s="50">
        <v>5</v>
      </c>
      <c r="J56" s="50">
        <v>3</v>
      </c>
      <c r="K56" s="50">
        <v>3</v>
      </c>
      <c r="L56" s="50">
        <v>2</v>
      </c>
      <c r="M56" s="50">
        <v>200</v>
      </c>
      <c r="N56" s="50">
        <v>0</v>
      </c>
      <c r="O56" s="15">
        <f t="shared" si="0"/>
        <v>106</v>
      </c>
      <c r="P56" s="15">
        <f t="shared" si="1"/>
        <v>306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2031</v>
      </c>
      <c r="D58" s="16">
        <f t="shared" si="21"/>
        <v>308</v>
      </c>
      <c r="E58" s="16">
        <f t="shared" si="21"/>
        <v>130</v>
      </c>
      <c r="F58" s="16">
        <f t="shared" si="21"/>
        <v>2438</v>
      </c>
      <c r="G58" s="16">
        <f t="shared" si="21"/>
        <v>126</v>
      </c>
      <c r="H58" s="16">
        <f t="shared" si="21"/>
        <v>32</v>
      </c>
      <c r="I58" s="16">
        <f t="shared" si="21"/>
        <v>378</v>
      </c>
      <c r="J58" s="16">
        <f t="shared" si="21"/>
        <v>78</v>
      </c>
      <c r="K58" s="16">
        <f t="shared" si="21"/>
        <v>36</v>
      </c>
      <c r="L58" s="16">
        <f t="shared" si="21"/>
        <v>21</v>
      </c>
      <c r="M58" s="16">
        <f t="shared" si="21"/>
        <v>6509</v>
      </c>
      <c r="N58" s="16">
        <f t="shared" si="21"/>
        <v>0</v>
      </c>
      <c r="O58" s="16">
        <f t="shared" si="21"/>
        <v>5578</v>
      </c>
      <c r="P58" s="16">
        <f t="shared" si="21"/>
        <v>12087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0.16803176966989328</v>
      </c>
      <c r="D59" s="43">
        <f t="shared" si="22"/>
        <v>2.5481922726896665E-2</v>
      </c>
      <c r="E59" s="43">
        <f t="shared" si="22"/>
        <v>1.0755356995118722E-2</v>
      </c>
      <c r="F59" s="43">
        <f t="shared" si="22"/>
        <v>0.20170431041614958</v>
      </c>
      <c r="G59" s="43">
        <f t="shared" si="22"/>
        <v>1.0424422933730455E-2</v>
      </c>
      <c r="H59" s="43">
        <f t="shared" si="22"/>
        <v>2.6474724911061472E-3</v>
      </c>
      <c r="I59" s="43">
        <f t="shared" si="22"/>
        <v>3.1273268801191363E-2</v>
      </c>
      <c r="J59" s="43">
        <f t="shared" si="22"/>
        <v>6.453214197071234E-3</v>
      </c>
      <c r="K59" s="43">
        <f t="shared" si="22"/>
        <v>2.9784065524944155E-3</v>
      </c>
      <c r="L59" s="43">
        <f t="shared" si="22"/>
        <v>1.737403822288409E-3</v>
      </c>
      <c r="M59" s="43">
        <f t="shared" si="22"/>
        <v>0.53851245139405979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0.36410899964144855</v>
      </c>
      <c r="D60" s="44">
        <f t="shared" ref="D60:N60" si="23">D58/$O$58</f>
        <v>5.5216923628540693E-2</v>
      </c>
      <c r="E60" s="44">
        <f t="shared" si="23"/>
        <v>2.3305844388669773E-2</v>
      </c>
      <c r="F60" s="44">
        <f t="shared" si="23"/>
        <v>0.43707422015059161</v>
      </c>
      <c r="G60" s="44">
        <f t="shared" si="23"/>
        <v>2.2588741484403013E-2</v>
      </c>
      <c r="H60" s="44">
        <f t="shared" si="23"/>
        <v>5.7368232341340987E-3</v>
      </c>
      <c r="I60" s="44">
        <f t="shared" si="23"/>
        <v>6.776622445320904E-2</v>
      </c>
      <c r="J60" s="44">
        <f t="shared" si="23"/>
        <v>1.3983506633201864E-2</v>
      </c>
      <c r="K60" s="44">
        <f t="shared" si="23"/>
        <v>6.4539261384008607E-3</v>
      </c>
      <c r="L60" s="44">
        <f t="shared" si="23"/>
        <v>3.7647902474005021E-3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237"/>
  <sheetViews>
    <sheetView view="pageBreakPreview" topLeftCell="I53" zoomScale="60" workbookViewId="0">
      <selection activeCell="AD55" sqref="A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'28.07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'28.07 Kalerwe-Kampala'!G5:H5</f>
        <v>Wandegeya</v>
      </c>
      <c r="H5" s="66"/>
      <c r="I5" s="14"/>
      <c r="J5" s="2" t="s">
        <v>5</v>
      </c>
      <c r="K5" s="65" t="str">
        <f>'28.07 Kalerwe-Kampala'!K5:L5</f>
        <v>Mbabazi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'28.07 Kalerwe-Kampala'!D6:E6</f>
        <v>Kalewre</v>
      </c>
      <c r="E6" s="66"/>
      <c r="F6" s="2" t="s">
        <v>2</v>
      </c>
      <c r="G6" s="65" t="str">
        <f>'28.07 Kalerwe-Kampala'!G6:H6</f>
        <v>Kampala</v>
      </c>
      <c r="H6" s="66"/>
      <c r="J6" s="2" t="s">
        <v>21</v>
      </c>
      <c r="K6" s="65" t="str">
        <f>'28.07 Kalerwe-Kampala'!K6:L6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Kalerwe-Kampala'!C10,'23.07 Kalerwe-Kampala'!C10,'24.07 Kalewre-Kampala'!C10,'25.07 Kalewre-Kampala'!C10,'26.07 Kalerwe-Kampala-24h'!C10,'27.07 Kalerwe-Kampala-24h'!C10,'28.07 Kalerwe-Kampala'!C10)</f>
        <v>43.285714285714285</v>
      </c>
      <c r="D10" s="49">
        <f>AVERAGE('22.07 Kalerwe-Kampala'!D10,'23.07 Kalerwe-Kampala'!D10,'24.07 Kalewre-Kampala'!D10,'25.07 Kalewre-Kampala'!D10,'26.07 Kalerwe-Kampala-24h'!D10,'27.07 Kalerwe-Kampala-24h'!D10,'28.07 Kalerwe-Kampala'!D10)</f>
        <v>17.428571428571427</v>
      </c>
      <c r="E10" s="49">
        <f>AVERAGE('22.07 Kalerwe-Kampala'!E10,'23.07 Kalerwe-Kampala'!E10,'24.07 Kalewre-Kampala'!E10,'25.07 Kalewre-Kampala'!E10,'26.07 Kalerwe-Kampala-24h'!E10,'27.07 Kalerwe-Kampala-24h'!E10,'28.07 Kalerwe-Kampala'!E10)</f>
        <v>12.142857142857142</v>
      </c>
      <c r="F10" s="49">
        <f>AVERAGE('22.07 Kalerwe-Kampala'!F10,'23.07 Kalerwe-Kampala'!F10,'24.07 Kalewre-Kampala'!F10,'25.07 Kalewre-Kampala'!F10,'26.07 Kalerwe-Kampala-24h'!F10,'27.07 Kalerwe-Kampala-24h'!F10,'28.07 Kalerwe-Kampala'!F10)</f>
        <v>43.857142857142854</v>
      </c>
      <c r="G10" s="49">
        <f>AVERAGE('22.07 Kalerwe-Kampala'!G10,'23.07 Kalerwe-Kampala'!G10,'24.07 Kalewre-Kampala'!G10,'25.07 Kalewre-Kampala'!G10,'26.07 Kalerwe-Kampala-24h'!G10,'27.07 Kalerwe-Kampala-24h'!G10,'28.07 Kalerwe-Kampala'!G10)</f>
        <v>1</v>
      </c>
      <c r="H10" s="49">
        <f>AVERAGE('22.07 Kalerwe-Kampala'!H10,'23.07 Kalerwe-Kampala'!H10,'24.07 Kalewre-Kampala'!H10,'25.07 Kalewre-Kampala'!H10,'26.07 Kalerwe-Kampala-24h'!H10,'27.07 Kalerwe-Kampala-24h'!H10,'28.07 Kalerwe-Kampala'!H10)</f>
        <v>0.5714285714285714</v>
      </c>
      <c r="I10" s="49">
        <f>AVERAGE('22.07 Kalerwe-Kampala'!I10,'23.07 Kalerwe-Kampala'!I10,'24.07 Kalewre-Kampala'!I10,'25.07 Kalewre-Kampala'!I10,'26.07 Kalerwe-Kampala-24h'!I10,'27.07 Kalerwe-Kampala-24h'!I10,'28.07 Kalerwe-Kampala'!I10)</f>
        <v>7.4285714285714288</v>
      </c>
      <c r="J10" s="49">
        <f>AVERAGE('22.07 Kalerwe-Kampala'!J10,'23.07 Kalerwe-Kampala'!J10,'24.07 Kalewre-Kampala'!J10,'25.07 Kalewre-Kampala'!J10,'26.07 Kalerwe-Kampala-24h'!J10,'27.07 Kalerwe-Kampala-24h'!J10,'28.07 Kalerwe-Kampala'!J10)</f>
        <v>0.5714285714285714</v>
      </c>
      <c r="K10" s="49">
        <f>AVERAGE('22.07 Kalerwe-Kampala'!K10,'23.07 Kalerwe-Kampala'!K10,'24.07 Kalewre-Kampala'!K10,'25.07 Kalewre-Kampala'!K10,'26.07 Kalerwe-Kampala-24h'!K10,'27.07 Kalerwe-Kampala-24h'!K10,'28.07 Kalerwe-Kampala'!K10)</f>
        <v>0</v>
      </c>
      <c r="L10" s="49">
        <f>AVERAGE('22.07 Kalerwe-Kampala'!L10,'23.07 Kalerwe-Kampala'!L10,'24.07 Kalewre-Kampala'!L10,'25.07 Kalewre-Kampala'!L10,'26.07 Kalerwe-Kampala-24h'!L10,'27.07 Kalerwe-Kampala-24h'!L10,'28.07 Kalerwe-Kampala'!L10)</f>
        <v>0</v>
      </c>
      <c r="M10" s="49">
        <f>AVERAGE('22.07 Kalerwe-Kampala'!M10,'23.07 Kalerwe-Kampala'!M10,'24.07 Kalewre-Kampala'!M10,'25.07 Kalewre-Kampala'!M10,'26.07 Kalerwe-Kampala-24h'!M10,'27.07 Kalerwe-Kampala-24h'!M10,'28.07 Kalerwe-Kampala'!M10)</f>
        <v>208.57142857142858</v>
      </c>
      <c r="N10" s="49">
        <f>AVERAGE('22.07 Kalerwe-Kampala'!N10,'23.07 Kalerwe-Kampala'!N10,'24.07 Kalewre-Kampala'!N10,'25.07 Kalewre-Kampala'!N10,'26.07 Kalerwe-Kampala-24h'!N10,'27.07 Kalerwe-Kampala-24h'!N10,'28.07 Kalerwe-Kampala'!N10)</f>
        <v>0</v>
      </c>
      <c r="O10" s="15">
        <f t="shared" ref="O10:O73" si="0">SUM(C10:L10,N10)</f>
        <v>126.28571428571426</v>
      </c>
      <c r="P10" s="15">
        <f t="shared" ref="P10:P73" si="1">SUM(C10:N10)</f>
        <v>334.85714285714283</v>
      </c>
      <c r="R10" s="1" t="s">
        <v>6</v>
      </c>
      <c r="S10" s="17">
        <f t="shared" ref="S10:AF10" si="2">SUM(C10:C13)</f>
        <v>176.14285714285714</v>
      </c>
      <c r="T10" s="17">
        <f t="shared" si="2"/>
        <v>65.142857142857139</v>
      </c>
      <c r="U10" s="17">
        <f t="shared" si="2"/>
        <v>37.285714285714292</v>
      </c>
      <c r="V10" s="17">
        <f t="shared" si="2"/>
        <v>149.85714285714286</v>
      </c>
      <c r="W10" s="17">
        <f t="shared" si="2"/>
        <v>4.5714285714285712</v>
      </c>
      <c r="X10" s="17">
        <f t="shared" si="2"/>
        <v>3</v>
      </c>
      <c r="Y10" s="17">
        <f t="shared" si="2"/>
        <v>27.285714285714285</v>
      </c>
      <c r="Z10" s="17">
        <f t="shared" si="2"/>
        <v>3.5714285714285712</v>
      </c>
      <c r="AA10" s="17">
        <f t="shared" si="2"/>
        <v>1.4285714285714286</v>
      </c>
      <c r="AB10" s="17">
        <f t="shared" si="2"/>
        <v>0.5714285714285714</v>
      </c>
      <c r="AC10" s="17">
        <f t="shared" si="2"/>
        <v>828.14285714285711</v>
      </c>
      <c r="AD10" s="17">
        <f t="shared" si="2"/>
        <v>0</v>
      </c>
      <c r="AE10" s="31">
        <f t="shared" si="2"/>
        <v>468.85714285714289</v>
      </c>
      <c r="AF10" s="31">
        <f t="shared" si="2"/>
        <v>1297</v>
      </c>
    </row>
    <row r="11" spans="2:32" s="6" customFormat="1" ht="23.1" customHeight="1" x14ac:dyDescent="0.25">
      <c r="B11" s="23" t="s">
        <v>38</v>
      </c>
      <c r="C11" s="49">
        <f>AVERAGE('22.07 Kalerwe-Kampala'!C11,'23.07 Kalerwe-Kampala'!C11,'24.07 Kalewre-Kampala'!C11,'25.07 Kalewre-Kampala'!C11,'26.07 Kalerwe-Kampala-24h'!C11,'27.07 Kalerwe-Kampala-24h'!C11,'28.07 Kalerwe-Kampala'!C11)</f>
        <v>34.571428571428569</v>
      </c>
      <c r="D11" s="49">
        <f>AVERAGE('22.07 Kalerwe-Kampala'!D11,'23.07 Kalerwe-Kampala'!D11,'24.07 Kalewre-Kampala'!D11,'25.07 Kalewre-Kampala'!D11,'26.07 Kalerwe-Kampala-24h'!D11,'27.07 Kalerwe-Kampala-24h'!D11,'28.07 Kalerwe-Kampala'!D11)</f>
        <v>13.428571428571429</v>
      </c>
      <c r="E11" s="49">
        <f>AVERAGE('22.07 Kalerwe-Kampala'!E11,'23.07 Kalerwe-Kampala'!E11,'24.07 Kalewre-Kampala'!E11,'25.07 Kalewre-Kampala'!E11,'26.07 Kalerwe-Kampala-24h'!E11,'27.07 Kalerwe-Kampala-24h'!E11,'28.07 Kalerwe-Kampala'!E11)</f>
        <v>4.8571428571428568</v>
      </c>
      <c r="F11" s="49">
        <f>AVERAGE('22.07 Kalerwe-Kampala'!F11,'23.07 Kalerwe-Kampala'!F11,'24.07 Kalewre-Kampala'!F11,'25.07 Kalewre-Kampala'!F11,'26.07 Kalerwe-Kampala-24h'!F11,'27.07 Kalerwe-Kampala-24h'!F11,'28.07 Kalerwe-Kampala'!F11)</f>
        <v>34.142857142857146</v>
      </c>
      <c r="G11" s="49">
        <f>AVERAGE('22.07 Kalerwe-Kampala'!G11,'23.07 Kalerwe-Kampala'!G11,'24.07 Kalewre-Kampala'!G11,'25.07 Kalewre-Kampala'!G11,'26.07 Kalerwe-Kampala-24h'!G11,'27.07 Kalerwe-Kampala-24h'!G11,'28.07 Kalerwe-Kampala'!G11)</f>
        <v>1.5714285714285714</v>
      </c>
      <c r="H11" s="49">
        <f>AVERAGE('22.07 Kalerwe-Kampala'!H11,'23.07 Kalerwe-Kampala'!H11,'24.07 Kalewre-Kampala'!H11,'25.07 Kalewre-Kampala'!H11,'26.07 Kalerwe-Kampala-24h'!H11,'27.07 Kalerwe-Kampala-24h'!H11,'28.07 Kalerwe-Kampala'!H11)</f>
        <v>0.5714285714285714</v>
      </c>
      <c r="I11" s="49">
        <f>AVERAGE('22.07 Kalerwe-Kampala'!I11,'23.07 Kalerwe-Kampala'!I11,'24.07 Kalewre-Kampala'!I11,'25.07 Kalewre-Kampala'!I11,'26.07 Kalerwe-Kampala-24h'!I11,'27.07 Kalerwe-Kampala-24h'!I11,'28.07 Kalerwe-Kampala'!I11)</f>
        <v>8.8571428571428577</v>
      </c>
      <c r="J11" s="49">
        <f>AVERAGE('22.07 Kalerwe-Kampala'!J11,'23.07 Kalerwe-Kampala'!J11,'24.07 Kalewre-Kampala'!J11,'25.07 Kalewre-Kampala'!J11,'26.07 Kalerwe-Kampala-24h'!J11,'27.07 Kalerwe-Kampala-24h'!J11,'28.07 Kalerwe-Kampala'!J11)</f>
        <v>0.8571428571428571</v>
      </c>
      <c r="K11" s="49">
        <f>AVERAGE('22.07 Kalerwe-Kampala'!K11,'23.07 Kalerwe-Kampala'!K11,'24.07 Kalewre-Kampala'!K11,'25.07 Kalewre-Kampala'!K11,'26.07 Kalerwe-Kampala-24h'!K11,'27.07 Kalerwe-Kampala-24h'!K11,'28.07 Kalerwe-Kampala'!K11)</f>
        <v>1</v>
      </c>
      <c r="L11" s="49">
        <f>AVERAGE('22.07 Kalerwe-Kampala'!L11,'23.07 Kalerwe-Kampala'!L11,'24.07 Kalewre-Kampala'!L11,'25.07 Kalewre-Kampala'!L11,'26.07 Kalerwe-Kampala-24h'!L11,'27.07 Kalerwe-Kampala-24h'!L11,'28.07 Kalerwe-Kampala'!L11)</f>
        <v>0.5714285714285714</v>
      </c>
      <c r="M11" s="49">
        <f>AVERAGE('22.07 Kalerwe-Kampala'!M11,'23.07 Kalerwe-Kampala'!M11,'24.07 Kalewre-Kampala'!M11,'25.07 Kalewre-Kampala'!M11,'26.07 Kalerwe-Kampala-24h'!M11,'27.07 Kalerwe-Kampala-24h'!M11,'28.07 Kalerwe-Kampala'!M11)</f>
        <v>178.85714285714286</v>
      </c>
      <c r="N11" s="49">
        <f>AVERAGE('22.07 Kalerwe-Kampala'!N11,'23.07 Kalerwe-Kampala'!N11,'24.07 Kalewre-Kampala'!N11,'25.07 Kalewre-Kampala'!N11,'26.07 Kalerwe-Kampala-24h'!N11,'27.07 Kalerwe-Kampala-24h'!N11,'28.07 Kalerwe-Kampala'!N11)</f>
        <v>0</v>
      </c>
      <c r="O11" s="15">
        <f t="shared" si="0"/>
        <v>100.42857142857143</v>
      </c>
      <c r="P11" s="15">
        <f t="shared" si="1"/>
        <v>279.28571428571428</v>
      </c>
      <c r="R11" s="1" t="s">
        <v>7</v>
      </c>
      <c r="S11" s="17">
        <f t="shared" ref="S11:AF11" si="3">SUM(C14:C17)</f>
        <v>185.71428571428572</v>
      </c>
      <c r="T11" s="17">
        <f t="shared" si="3"/>
        <v>76.857142857142861</v>
      </c>
      <c r="U11" s="17">
        <f t="shared" si="3"/>
        <v>20</v>
      </c>
      <c r="V11" s="17">
        <f t="shared" si="3"/>
        <v>173.28571428571431</v>
      </c>
      <c r="W11" s="17">
        <f t="shared" si="3"/>
        <v>1.4285714285714286</v>
      </c>
      <c r="X11" s="17">
        <f t="shared" si="3"/>
        <v>1.1428571428571428</v>
      </c>
      <c r="Y11" s="17">
        <f t="shared" si="3"/>
        <v>29.714285714285715</v>
      </c>
      <c r="Z11" s="17">
        <f t="shared" si="3"/>
        <v>7</v>
      </c>
      <c r="AA11" s="17">
        <f t="shared" si="3"/>
        <v>2.5714285714285712</v>
      </c>
      <c r="AB11" s="17">
        <f t="shared" si="3"/>
        <v>0.5714285714285714</v>
      </c>
      <c r="AC11" s="17">
        <f t="shared" si="3"/>
        <v>920.14285714285722</v>
      </c>
      <c r="AD11" s="17">
        <f t="shared" si="3"/>
        <v>0</v>
      </c>
      <c r="AE11" s="31">
        <f t="shared" si="3"/>
        <v>498.28571428571428</v>
      </c>
      <c r="AF11" s="31">
        <f t="shared" si="3"/>
        <v>1418.4285714285711</v>
      </c>
    </row>
    <row r="12" spans="2:32" ht="23.1" customHeight="1" x14ac:dyDescent="0.25">
      <c r="B12" s="23" t="s">
        <v>39</v>
      </c>
      <c r="C12" s="49">
        <f>AVERAGE('22.07 Kalerwe-Kampala'!C12,'23.07 Kalerwe-Kampala'!C12,'24.07 Kalewre-Kampala'!C12,'25.07 Kalewre-Kampala'!C12,'26.07 Kalerwe-Kampala-24h'!C12,'27.07 Kalerwe-Kampala-24h'!C12,'28.07 Kalerwe-Kampala'!C12)</f>
        <v>55.142857142857146</v>
      </c>
      <c r="D12" s="49">
        <f>AVERAGE('22.07 Kalerwe-Kampala'!D12,'23.07 Kalerwe-Kampala'!D12,'24.07 Kalewre-Kampala'!D12,'25.07 Kalewre-Kampala'!D12,'26.07 Kalerwe-Kampala-24h'!D12,'27.07 Kalerwe-Kampala-24h'!D12,'28.07 Kalerwe-Kampala'!D12)</f>
        <v>17</v>
      </c>
      <c r="E12" s="49">
        <f>AVERAGE('22.07 Kalerwe-Kampala'!E12,'23.07 Kalerwe-Kampala'!E12,'24.07 Kalewre-Kampala'!E12,'25.07 Kalewre-Kampala'!E12,'26.07 Kalerwe-Kampala-24h'!E12,'27.07 Kalerwe-Kampala-24h'!E12,'28.07 Kalerwe-Kampala'!E12)</f>
        <v>7.4285714285714288</v>
      </c>
      <c r="F12" s="49">
        <f>AVERAGE('22.07 Kalerwe-Kampala'!F12,'23.07 Kalerwe-Kampala'!F12,'24.07 Kalewre-Kampala'!F12,'25.07 Kalewre-Kampala'!F12,'26.07 Kalerwe-Kampala-24h'!F12,'27.07 Kalerwe-Kampala-24h'!F12,'28.07 Kalerwe-Kampala'!F12)</f>
        <v>36.571428571428569</v>
      </c>
      <c r="G12" s="49">
        <f>AVERAGE('22.07 Kalerwe-Kampala'!G12,'23.07 Kalerwe-Kampala'!G12,'24.07 Kalewre-Kampala'!G12,'25.07 Kalewre-Kampala'!G12,'26.07 Kalerwe-Kampala-24h'!G12,'27.07 Kalerwe-Kampala-24h'!G12,'28.07 Kalerwe-Kampala'!G12)</f>
        <v>1.1428571428571428</v>
      </c>
      <c r="H12" s="49">
        <f>AVERAGE('22.07 Kalerwe-Kampala'!H12,'23.07 Kalerwe-Kampala'!H12,'24.07 Kalewre-Kampala'!H12,'25.07 Kalewre-Kampala'!H12,'26.07 Kalerwe-Kampala-24h'!H12,'27.07 Kalerwe-Kampala-24h'!H12,'28.07 Kalerwe-Kampala'!H12)</f>
        <v>0.5714285714285714</v>
      </c>
      <c r="I12" s="49">
        <f>AVERAGE('22.07 Kalerwe-Kampala'!I12,'23.07 Kalerwe-Kampala'!I12,'24.07 Kalewre-Kampala'!I12,'25.07 Kalewre-Kampala'!I12,'26.07 Kalerwe-Kampala-24h'!I12,'27.07 Kalerwe-Kampala-24h'!I12,'28.07 Kalerwe-Kampala'!I12)</f>
        <v>6.1428571428571432</v>
      </c>
      <c r="J12" s="49">
        <f>AVERAGE('22.07 Kalerwe-Kampala'!J12,'23.07 Kalerwe-Kampala'!J12,'24.07 Kalewre-Kampala'!J12,'25.07 Kalewre-Kampala'!J12,'26.07 Kalerwe-Kampala-24h'!J12,'27.07 Kalerwe-Kampala-24h'!J12,'28.07 Kalerwe-Kampala'!J12)</f>
        <v>1.4285714285714286</v>
      </c>
      <c r="K12" s="49">
        <f>AVERAGE('22.07 Kalerwe-Kampala'!K12,'23.07 Kalerwe-Kampala'!K12,'24.07 Kalewre-Kampala'!K12,'25.07 Kalewre-Kampala'!K12,'26.07 Kalerwe-Kampala-24h'!K12,'27.07 Kalerwe-Kampala-24h'!K12,'28.07 Kalerwe-Kampala'!K12)</f>
        <v>0.42857142857142855</v>
      </c>
      <c r="L12" s="49">
        <f>AVERAGE('22.07 Kalerwe-Kampala'!L12,'23.07 Kalerwe-Kampala'!L12,'24.07 Kalewre-Kampala'!L12,'25.07 Kalewre-Kampala'!L12,'26.07 Kalerwe-Kampala-24h'!L12,'27.07 Kalerwe-Kampala-24h'!L12,'28.07 Kalerwe-Kampala'!L12)</f>
        <v>0</v>
      </c>
      <c r="M12" s="49">
        <f>AVERAGE('22.07 Kalerwe-Kampala'!M12,'23.07 Kalerwe-Kampala'!M12,'24.07 Kalewre-Kampala'!M12,'25.07 Kalewre-Kampala'!M12,'26.07 Kalerwe-Kampala-24h'!M12,'27.07 Kalerwe-Kampala-24h'!M12,'28.07 Kalerwe-Kampala'!M12)</f>
        <v>201</v>
      </c>
      <c r="N12" s="49">
        <f>AVERAGE('22.07 Kalerwe-Kampala'!N12,'23.07 Kalerwe-Kampala'!N12,'24.07 Kalewre-Kampala'!N12,'25.07 Kalewre-Kampala'!N12,'26.07 Kalerwe-Kampala-24h'!N12,'27.07 Kalerwe-Kampala-24h'!N12,'28.07 Kalerwe-Kampala'!N12)</f>
        <v>0</v>
      </c>
      <c r="O12" s="15">
        <f t="shared" si="0"/>
        <v>125.85714285714285</v>
      </c>
      <c r="P12" s="15">
        <f t="shared" si="1"/>
        <v>326.85714285714283</v>
      </c>
      <c r="R12" s="1" t="s">
        <v>8</v>
      </c>
      <c r="S12" s="17">
        <f t="shared" ref="S12:AF12" si="4">SUM(C18:C21)</f>
        <v>216.85714285714286</v>
      </c>
      <c r="T12" s="17">
        <f t="shared" si="4"/>
        <v>64.857142857142861</v>
      </c>
      <c r="U12" s="17">
        <f t="shared" si="4"/>
        <v>26.142857142857142</v>
      </c>
      <c r="V12" s="17">
        <f t="shared" si="4"/>
        <v>181.85714285714283</v>
      </c>
      <c r="W12" s="17">
        <f t="shared" si="4"/>
        <v>5.8571428571428577</v>
      </c>
      <c r="X12" s="17">
        <f t="shared" si="4"/>
        <v>3.1428571428571423</v>
      </c>
      <c r="Y12" s="17">
        <f t="shared" si="4"/>
        <v>31.571428571428573</v>
      </c>
      <c r="Z12" s="17">
        <f t="shared" si="4"/>
        <v>8.5714285714285712</v>
      </c>
      <c r="AA12" s="17">
        <f t="shared" si="4"/>
        <v>3.5714285714285712</v>
      </c>
      <c r="AB12" s="17">
        <f t="shared" si="4"/>
        <v>2.4285714285714284</v>
      </c>
      <c r="AC12" s="17">
        <f t="shared" si="4"/>
        <v>780.71428571428578</v>
      </c>
      <c r="AD12" s="17">
        <f t="shared" si="4"/>
        <v>0</v>
      </c>
      <c r="AE12" s="31">
        <f t="shared" si="4"/>
        <v>544.85714285714278</v>
      </c>
      <c r="AF12" s="31">
        <f t="shared" si="4"/>
        <v>1325.5714285714287</v>
      </c>
    </row>
    <row r="13" spans="2:32" ht="23.1" customHeight="1" x14ac:dyDescent="0.25">
      <c r="B13" s="23" t="s">
        <v>40</v>
      </c>
      <c r="C13" s="49">
        <f>AVERAGE('22.07 Kalerwe-Kampala'!C13,'23.07 Kalerwe-Kampala'!C13,'24.07 Kalewre-Kampala'!C13,'25.07 Kalewre-Kampala'!C13,'26.07 Kalerwe-Kampala-24h'!C13,'27.07 Kalerwe-Kampala-24h'!C13,'28.07 Kalerwe-Kampala'!C13)</f>
        <v>43.142857142857146</v>
      </c>
      <c r="D13" s="49">
        <f>AVERAGE('22.07 Kalerwe-Kampala'!D13,'23.07 Kalerwe-Kampala'!D13,'24.07 Kalewre-Kampala'!D13,'25.07 Kalewre-Kampala'!D13,'26.07 Kalerwe-Kampala-24h'!D13,'27.07 Kalerwe-Kampala-24h'!D13,'28.07 Kalerwe-Kampala'!D13)</f>
        <v>17.285714285714285</v>
      </c>
      <c r="E13" s="49">
        <f>AVERAGE('22.07 Kalerwe-Kampala'!E13,'23.07 Kalerwe-Kampala'!E13,'24.07 Kalewre-Kampala'!E13,'25.07 Kalewre-Kampala'!E13,'26.07 Kalerwe-Kampala-24h'!E13,'27.07 Kalerwe-Kampala-24h'!E13,'28.07 Kalerwe-Kampala'!E13)</f>
        <v>12.857142857142858</v>
      </c>
      <c r="F13" s="49">
        <f>AVERAGE('22.07 Kalerwe-Kampala'!F13,'23.07 Kalerwe-Kampala'!F13,'24.07 Kalewre-Kampala'!F13,'25.07 Kalewre-Kampala'!F13,'26.07 Kalerwe-Kampala-24h'!F13,'27.07 Kalerwe-Kampala-24h'!F13,'28.07 Kalerwe-Kampala'!F13)</f>
        <v>35.285714285714285</v>
      </c>
      <c r="G13" s="49">
        <f>AVERAGE('22.07 Kalerwe-Kampala'!G13,'23.07 Kalerwe-Kampala'!G13,'24.07 Kalewre-Kampala'!G13,'25.07 Kalewre-Kampala'!G13,'26.07 Kalerwe-Kampala-24h'!G13,'27.07 Kalerwe-Kampala-24h'!G13,'28.07 Kalerwe-Kampala'!G13)</f>
        <v>0.8571428571428571</v>
      </c>
      <c r="H13" s="49">
        <f>AVERAGE('22.07 Kalerwe-Kampala'!H13,'23.07 Kalerwe-Kampala'!H13,'24.07 Kalewre-Kampala'!H13,'25.07 Kalewre-Kampala'!H13,'26.07 Kalerwe-Kampala-24h'!H13,'27.07 Kalerwe-Kampala-24h'!H13,'28.07 Kalerwe-Kampala'!H13)</f>
        <v>1.2857142857142858</v>
      </c>
      <c r="I13" s="49">
        <f>AVERAGE('22.07 Kalerwe-Kampala'!I13,'23.07 Kalerwe-Kampala'!I13,'24.07 Kalewre-Kampala'!I13,'25.07 Kalewre-Kampala'!I13,'26.07 Kalerwe-Kampala-24h'!I13,'27.07 Kalerwe-Kampala-24h'!I13,'28.07 Kalerwe-Kampala'!I13)</f>
        <v>4.8571428571428568</v>
      </c>
      <c r="J13" s="49">
        <f>AVERAGE('22.07 Kalerwe-Kampala'!J13,'23.07 Kalerwe-Kampala'!J13,'24.07 Kalewre-Kampala'!J13,'25.07 Kalewre-Kampala'!J13,'26.07 Kalerwe-Kampala-24h'!J13,'27.07 Kalerwe-Kampala-24h'!J13,'28.07 Kalerwe-Kampala'!J13)</f>
        <v>0.7142857142857143</v>
      </c>
      <c r="K13" s="49">
        <f>AVERAGE('22.07 Kalerwe-Kampala'!K13,'23.07 Kalerwe-Kampala'!K13,'24.07 Kalewre-Kampala'!K13,'25.07 Kalewre-Kampala'!K13,'26.07 Kalerwe-Kampala-24h'!K13,'27.07 Kalerwe-Kampala-24h'!K13,'28.07 Kalerwe-Kampala'!K13)</f>
        <v>0</v>
      </c>
      <c r="L13" s="49">
        <f>AVERAGE('22.07 Kalerwe-Kampala'!L13,'23.07 Kalerwe-Kampala'!L13,'24.07 Kalewre-Kampala'!L13,'25.07 Kalewre-Kampala'!L13,'26.07 Kalerwe-Kampala-24h'!L13,'27.07 Kalerwe-Kampala-24h'!L13,'28.07 Kalerwe-Kampala'!L13)</f>
        <v>0</v>
      </c>
      <c r="M13" s="49">
        <f>AVERAGE('22.07 Kalerwe-Kampala'!M13,'23.07 Kalerwe-Kampala'!M13,'24.07 Kalewre-Kampala'!M13,'25.07 Kalewre-Kampala'!M13,'26.07 Kalerwe-Kampala-24h'!M13,'27.07 Kalerwe-Kampala-24h'!M13,'28.07 Kalerwe-Kampala'!M13)</f>
        <v>239.71428571428572</v>
      </c>
      <c r="N13" s="49">
        <f>AVERAGE('22.07 Kalerwe-Kampala'!N13,'23.07 Kalerwe-Kampala'!N13,'24.07 Kalewre-Kampala'!N13,'25.07 Kalewre-Kampala'!N13,'26.07 Kalerwe-Kampala-24h'!N13,'27.07 Kalerwe-Kampala-24h'!N13,'28.07 Kalerwe-Kampala'!N13)</f>
        <v>0</v>
      </c>
      <c r="O13" s="15">
        <f t="shared" si="0"/>
        <v>116.28571428571431</v>
      </c>
      <c r="P13" s="15">
        <f t="shared" si="1"/>
        <v>356</v>
      </c>
      <c r="R13" s="1" t="s">
        <v>9</v>
      </c>
      <c r="S13" s="17">
        <f t="shared" ref="S13:AF13" si="5">SUM(C22:C25)</f>
        <v>181.42857142857142</v>
      </c>
      <c r="T13" s="17">
        <f t="shared" si="5"/>
        <v>78</v>
      </c>
      <c r="U13" s="17">
        <f t="shared" si="5"/>
        <v>25.857142857142858</v>
      </c>
      <c r="V13" s="17">
        <f t="shared" si="5"/>
        <v>166.28571428571428</v>
      </c>
      <c r="W13" s="17">
        <f t="shared" si="5"/>
        <v>4.7142857142857144</v>
      </c>
      <c r="X13" s="17">
        <f t="shared" si="5"/>
        <v>3.5714285714285716</v>
      </c>
      <c r="Y13" s="17">
        <f t="shared" si="5"/>
        <v>29</v>
      </c>
      <c r="Z13" s="17">
        <f t="shared" si="5"/>
        <v>6.1428571428571432</v>
      </c>
      <c r="AA13" s="17">
        <f t="shared" si="5"/>
        <v>3.5714285714285712</v>
      </c>
      <c r="AB13" s="17">
        <f t="shared" si="5"/>
        <v>2.7142857142857144</v>
      </c>
      <c r="AC13" s="17">
        <f t="shared" si="5"/>
        <v>623.57142857142867</v>
      </c>
      <c r="AD13" s="17">
        <f t="shared" si="5"/>
        <v>0</v>
      </c>
      <c r="AE13" s="31">
        <f t="shared" si="5"/>
        <v>501.28571428571433</v>
      </c>
      <c r="AF13" s="31">
        <f t="shared" si="5"/>
        <v>1124.8571428571427</v>
      </c>
    </row>
    <row r="14" spans="2:32" ht="23.1" customHeight="1" x14ac:dyDescent="0.25">
      <c r="B14" s="23" t="s">
        <v>41</v>
      </c>
      <c r="C14" s="49">
        <f>AVERAGE('22.07 Kalerwe-Kampala'!C14,'23.07 Kalerwe-Kampala'!C14,'24.07 Kalewre-Kampala'!C14,'25.07 Kalewre-Kampala'!C14,'26.07 Kalerwe-Kampala-24h'!C14,'27.07 Kalerwe-Kampala-24h'!C14,'28.07 Kalerwe-Kampala'!C14)</f>
        <v>51.142857142857146</v>
      </c>
      <c r="D14" s="49">
        <f>AVERAGE('22.07 Kalerwe-Kampala'!D14,'23.07 Kalerwe-Kampala'!D14,'24.07 Kalewre-Kampala'!D14,'25.07 Kalewre-Kampala'!D14,'26.07 Kalerwe-Kampala-24h'!D14,'27.07 Kalerwe-Kampala-24h'!D14,'28.07 Kalerwe-Kampala'!D14)</f>
        <v>19.428571428571427</v>
      </c>
      <c r="E14" s="49">
        <f>AVERAGE('22.07 Kalerwe-Kampala'!E14,'23.07 Kalerwe-Kampala'!E14,'24.07 Kalewre-Kampala'!E14,'25.07 Kalewre-Kampala'!E14,'26.07 Kalerwe-Kampala-24h'!E14,'27.07 Kalerwe-Kampala-24h'!E14,'28.07 Kalerwe-Kampala'!E14)</f>
        <v>5.5714285714285712</v>
      </c>
      <c r="F14" s="49">
        <f>AVERAGE('22.07 Kalerwe-Kampala'!F14,'23.07 Kalerwe-Kampala'!F14,'24.07 Kalewre-Kampala'!F14,'25.07 Kalewre-Kampala'!F14,'26.07 Kalerwe-Kampala-24h'!F14,'27.07 Kalerwe-Kampala-24h'!F14,'28.07 Kalerwe-Kampala'!F14)</f>
        <v>47.142857142857146</v>
      </c>
      <c r="G14" s="49">
        <f>AVERAGE('22.07 Kalerwe-Kampala'!G14,'23.07 Kalerwe-Kampala'!G14,'24.07 Kalewre-Kampala'!G14,'25.07 Kalewre-Kampala'!G14,'26.07 Kalerwe-Kampala-24h'!G14,'27.07 Kalerwe-Kampala-24h'!G14,'28.07 Kalerwe-Kampala'!G14)</f>
        <v>0.7142857142857143</v>
      </c>
      <c r="H14" s="49">
        <f>AVERAGE('22.07 Kalerwe-Kampala'!H14,'23.07 Kalerwe-Kampala'!H14,'24.07 Kalewre-Kampala'!H14,'25.07 Kalewre-Kampala'!H14,'26.07 Kalerwe-Kampala-24h'!H14,'27.07 Kalerwe-Kampala-24h'!H14,'28.07 Kalerwe-Kampala'!H14)</f>
        <v>0.14285714285714285</v>
      </c>
      <c r="I14" s="49">
        <f>AVERAGE('22.07 Kalerwe-Kampala'!I14,'23.07 Kalerwe-Kampala'!I14,'24.07 Kalewre-Kampala'!I14,'25.07 Kalewre-Kampala'!I14,'26.07 Kalerwe-Kampala-24h'!I14,'27.07 Kalerwe-Kampala-24h'!I14,'28.07 Kalerwe-Kampala'!I14)</f>
        <v>6.4285714285714288</v>
      </c>
      <c r="J14" s="49">
        <f>AVERAGE('22.07 Kalerwe-Kampala'!J14,'23.07 Kalerwe-Kampala'!J14,'24.07 Kalewre-Kampala'!J14,'25.07 Kalewre-Kampala'!J14,'26.07 Kalerwe-Kampala-24h'!J14,'27.07 Kalerwe-Kampala-24h'!J14,'28.07 Kalerwe-Kampala'!J14)</f>
        <v>1.8571428571428572</v>
      </c>
      <c r="K14" s="49">
        <f>AVERAGE('22.07 Kalerwe-Kampala'!K14,'23.07 Kalerwe-Kampala'!K14,'24.07 Kalewre-Kampala'!K14,'25.07 Kalewre-Kampala'!K14,'26.07 Kalerwe-Kampala-24h'!K14,'27.07 Kalerwe-Kampala-24h'!K14,'28.07 Kalerwe-Kampala'!K14)</f>
        <v>0.14285714285714285</v>
      </c>
      <c r="L14" s="49">
        <f>AVERAGE('22.07 Kalerwe-Kampala'!L14,'23.07 Kalerwe-Kampala'!L14,'24.07 Kalewre-Kampala'!L14,'25.07 Kalewre-Kampala'!L14,'26.07 Kalerwe-Kampala-24h'!L14,'27.07 Kalerwe-Kampala-24h'!L14,'28.07 Kalerwe-Kampala'!L14)</f>
        <v>0</v>
      </c>
      <c r="M14" s="49">
        <f>AVERAGE('22.07 Kalerwe-Kampala'!M14,'23.07 Kalerwe-Kampala'!M14,'24.07 Kalewre-Kampala'!M14,'25.07 Kalewre-Kampala'!M14,'26.07 Kalerwe-Kampala-24h'!M14,'27.07 Kalerwe-Kampala-24h'!M14,'28.07 Kalerwe-Kampala'!M14)</f>
        <v>272.42857142857144</v>
      </c>
      <c r="N14" s="49">
        <f>AVERAGE('22.07 Kalerwe-Kampala'!N14,'23.07 Kalerwe-Kampala'!N14,'24.07 Kalewre-Kampala'!N14,'25.07 Kalewre-Kampala'!N14,'26.07 Kalerwe-Kampala-24h'!N14,'27.07 Kalerwe-Kampala-24h'!N14,'28.07 Kalerwe-Kampala'!N14)</f>
        <v>0</v>
      </c>
      <c r="O14" s="15">
        <f t="shared" si="0"/>
        <v>132.57142857142856</v>
      </c>
      <c r="P14" s="15">
        <f t="shared" si="1"/>
        <v>405</v>
      </c>
      <c r="R14" s="1" t="s">
        <v>10</v>
      </c>
      <c r="S14" s="17">
        <f t="shared" ref="S14:AF14" si="6">SUM(C26:C29)</f>
        <v>238</v>
      </c>
      <c r="T14" s="17">
        <f t="shared" si="6"/>
        <v>78.714285714285722</v>
      </c>
      <c r="U14" s="17">
        <f t="shared" si="6"/>
        <v>26.428571428571427</v>
      </c>
      <c r="V14" s="17">
        <f t="shared" si="6"/>
        <v>175.85714285714286</v>
      </c>
      <c r="W14" s="17">
        <f t="shared" si="6"/>
        <v>3.5714285714285716</v>
      </c>
      <c r="X14" s="17">
        <f t="shared" si="6"/>
        <v>3</v>
      </c>
      <c r="Y14" s="17">
        <f t="shared" si="6"/>
        <v>31.285714285714285</v>
      </c>
      <c r="Z14" s="17">
        <f t="shared" si="6"/>
        <v>6.7142857142857153</v>
      </c>
      <c r="AA14" s="17">
        <f t="shared" si="6"/>
        <v>3</v>
      </c>
      <c r="AB14" s="17">
        <f t="shared" si="6"/>
        <v>2.4285714285714284</v>
      </c>
      <c r="AC14" s="17">
        <f t="shared" si="6"/>
        <v>633.42857142857144</v>
      </c>
      <c r="AD14" s="17">
        <f t="shared" si="6"/>
        <v>0</v>
      </c>
      <c r="AE14" s="31">
        <f t="shared" si="6"/>
        <v>569.00000000000011</v>
      </c>
      <c r="AF14" s="31">
        <f t="shared" si="6"/>
        <v>1202.4285714285716</v>
      </c>
    </row>
    <row r="15" spans="2:32" ht="23.1" customHeight="1" x14ac:dyDescent="0.25">
      <c r="B15" s="23" t="s">
        <v>42</v>
      </c>
      <c r="C15" s="49">
        <f>AVERAGE('22.07 Kalerwe-Kampala'!C15,'23.07 Kalerwe-Kampala'!C15,'24.07 Kalewre-Kampala'!C15,'25.07 Kalewre-Kampala'!C15,'26.07 Kalerwe-Kampala-24h'!C15,'27.07 Kalerwe-Kampala-24h'!C15,'28.07 Kalerwe-Kampala'!C15)</f>
        <v>39.428571428571431</v>
      </c>
      <c r="D15" s="49">
        <f>AVERAGE('22.07 Kalerwe-Kampala'!D15,'23.07 Kalerwe-Kampala'!D15,'24.07 Kalewre-Kampala'!D15,'25.07 Kalewre-Kampala'!D15,'26.07 Kalerwe-Kampala-24h'!D15,'27.07 Kalerwe-Kampala-24h'!D15,'28.07 Kalerwe-Kampala'!D15)</f>
        <v>16.714285714285715</v>
      </c>
      <c r="E15" s="49">
        <f>AVERAGE('22.07 Kalerwe-Kampala'!E15,'23.07 Kalerwe-Kampala'!E15,'24.07 Kalewre-Kampala'!E15,'25.07 Kalewre-Kampala'!E15,'26.07 Kalerwe-Kampala-24h'!E15,'27.07 Kalerwe-Kampala-24h'!E15,'28.07 Kalerwe-Kampala'!E15)</f>
        <v>4</v>
      </c>
      <c r="F15" s="49">
        <f>AVERAGE('22.07 Kalerwe-Kampala'!F15,'23.07 Kalerwe-Kampala'!F15,'24.07 Kalewre-Kampala'!F15,'25.07 Kalewre-Kampala'!F15,'26.07 Kalerwe-Kampala-24h'!F15,'27.07 Kalerwe-Kampala-24h'!F15,'28.07 Kalerwe-Kampala'!F15)</f>
        <v>36.142857142857146</v>
      </c>
      <c r="G15" s="49">
        <f>AVERAGE('22.07 Kalerwe-Kampala'!G15,'23.07 Kalerwe-Kampala'!G15,'24.07 Kalewre-Kampala'!G15,'25.07 Kalewre-Kampala'!G15,'26.07 Kalerwe-Kampala-24h'!G15,'27.07 Kalerwe-Kampala-24h'!G15,'28.07 Kalerwe-Kampala'!G15)</f>
        <v>0.14285714285714285</v>
      </c>
      <c r="H15" s="49">
        <f>AVERAGE('22.07 Kalerwe-Kampala'!H15,'23.07 Kalerwe-Kampala'!H15,'24.07 Kalewre-Kampala'!H15,'25.07 Kalewre-Kampala'!H15,'26.07 Kalerwe-Kampala-24h'!H15,'27.07 Kalerwe-Kampala-24h'!H15,'28.07 Kalerwe-Kampala'!H15)</f>
        <v>0.42857142857142855</v>
      </c>
      <c r="I15" s="49">
        <f>AVERAGE('22.07 Kalerwe-Kampala'!I15,'23.07 Kalerwe-Kampala'!I15,'24.07 Kalewre-Kampala'!I15,'25.07 Kalewre-Kampala'!I15,'26.07 Kalerwe-Kampala-24h'!I15,'27.07 Kalerwe-Kampala-24h'!I15,'28.07 Kalerwe-Kampala'!I15)</f>
        <v>6.5714285714285712</v>
      </c>
      <c r="J15" s="49">
        <f>AVERAGE('22.07 Kalerwe-Kampala'!J15,'23.07 Kalerwe-Kampala'!J15,'24.07 Kalewre-Kampala'!J15,'25.07 Kalewre-Kampala'!J15,'26.07 Kalerwe-Kampala-24h'!J15,'27.07 Kalerwe-Kampala-24h'!J15,'28.07 Kalerwe-Kampala'!J15)</f>
        <v>1</v>
      </c>
      <c r="K15" s="49">
        <f>AVERAGE('22.07 Kalerwe-Kampala'!K15,'23.07 Kalerwe-Kampala'!K15,'24.07 Kalewre-Kampala'!K15,'25.07 Kalewre-Kampala'!K15,'26.07 Kalerwe-Kampala-24h'!K15,'27.07 Kalerwe-Kampala-24h'!K15,'28.07 Kalerwe-Kampala'!K15)</f>
        <v>0</v>
      </c>
      <c r="L15" s="49">
        <f>AVERAGE('22.07 Kalerwe-Kampala'!L15,'23.07 Kalerwe-Kampala'!L15,'24.07 Kalewre-Kampala'!L15,'25.07 Kalewre-Kampala'!L15,'26.07 Kalerwe-Kampala-24h'!L15,'27.07 Kalerwe-Kampala-24h'!L15,'28.07 Kalerwe-Kampala'!L15)</f>
        <v>0.42857142857142855</v>
      </c>
      <c r="M15" s="49">
        <f>AVERAGE('22.07 Kalerwe-Kampala'!M15,'23.07 Kalerwe-Kampala'!M15,'24.07 Kalewre-Kampala'!M15,'25.07 Kalewre-Kampala'!M15,'26.07 Kalerwe-Kampala-24h'!M15,'27.07 Kalerwe-Kampala-24h'!M15,'28.07 Kalerwe-Kampala'!M15)</f>
        <v>189.42857142857142</v>
      </c>
      <c r="N15" s="49">
        <f>AVERAGE('22.07 Kalerwe-Kampala'!N15,'23.07 Kalerwe-Kampala'!N15,'24.07 Kalewre-Kampala'!N15,'25.07 Kalewre-Kampala'!N15,'26.07 Kalerwe-Kampala-24h'!N15,'27.07 Kalerwe-Kampala-24h'!N15,'28.07 Kalerwe-Kampala'!N15)</f>
        <v>0</v>
      </c>
      <c r="O15" s="15">
        <f t="shared" si="0"/>
        <v>104.85714285714286</v>
      </c>
      <c r="P15" s="15">
        <f t="shared" si="1"/>
        <v>294.28571428571428</v>
      </c>
      <c r="R15" s="1" t="s">
        <v>11</v>
      </c>
      <c r="S15" s="17">
        <f t="shared" ref="S15:AF15" si="7">SUM(C30:C33)</f>
        <v>184.71428571428572</v>
      </c>
      <c r="T15" s="17">
        <f t="shared" si="7"/>
        <v>95.142857142857153</v>
      </c>
      <c r="U15" s="17">
        <f t="shared" si="7"/>
        <v>31.285714285714285</v>
      </c>
      <c r="V15" s="17">
        <f t="shared" si="7"/>
        <v>153.28571428571428</v>
      </c>
      <c r="W15" s="17">
        <f t="shared" si="7"/>
        <v>5</v>
      </c>
      <c r="X15" s="17">
        <f t="shared" si="7"/>
        <v>1.5714285714285714</v>
      </c>
      <c r="Y15" s="17">
        <f t="shared" si="7"/>
        <v>36.142857142857139</v>
      </c>
      <c r="Z15" s="17">
        <f t="shared" si="7"/>
        <v>7.5714285714285712</v>
      </c>
      <c r="AA15" s="17">
        <f t="shared" si="7"/>
        <v>3.8571428571428577</v>
      </c>
      <c r="AB15" s="17">
        <f t="shared" si="7"/>
        <v>1.2857142857142856</v>
      </c>
      <c r="AC15" s="17">
        <f t="shared" si="7"/>
        <v>581.28571428571422</v>
      </c>
      <c r="AD15" s="17">
        <f t="shared" si="7"/>
        <v>0</v>
      </c>
      <c r="AE15" s="31">
        <f t="shared" si="7"/>
        <v>519.85714285714278</v>
      </c>
      <c r="AF15" s="31">
        <f t="shared" si="7"/>
        <v>1101.1428571428571</v>
      </c>
    </row>
    <row r="16" spans="2:32" ht="23.1" customHeight="1" x14ac:dyDescent="0.25">
      <c r="B16" s="23" t="s">
        <v>43</v>
      </c>
      <c r="C16" s="49">
        <f>AVERAGE('22.07 Kalerwe-Kampala'!C16,'23.07 Kalerwe-Kampala'!C16,'24.07 Kalewre-Kampala'!C16,'25.07 Kalewre-Kampala'!C16,'26.07 Kalerwe-Kampala-24h'!C16,'27.07 Kalerwe-Kampala-24h'!C16,'28.07 Kalerwe-Kampala'!C16)</f>
        <v>48</v>
      </c>
      <c r="D16" s="49">
        <f>AVERAGE('22.07 Kalerwe-Kampala'!D16,'23.07 Kalerwe-Kampala'!D16,'24.07 Kalewre-Kampala'!D16,'25.07 Kalewre-Kampala'!D16,'26.07 Kalerwe-Kampala-24h'!D16,'27.07 Kalerwe-Kampala-24h'!D16,'28.07 Kalerwe-Kampala'!D16)</f>
        <v>23.428571428571427</v>
      </c>
      <c r="E16" s="49">
        <f>AVERAGE('22.07 Kalerwe-Kampala'!E16,'23.07 Kalerwe-Kampala'!E16,'24.07 Kalewre-Kampala'!E16,'25.07 Kalewre-Kampala'!E16,'26.07 Kalerwe-Kampala-24h'!E16,'27.07 Kalerwe-Kampala-24h'!E16,'28.07 Kalerwe-Kampala'!E16)</f>
        <v>6.1428571428571432</v>
      </c>
      <c r="F16" s="49">
        <f>AVERAGE('22.07 Kalerwe-Kampala'!F16,'23.07 Kalerwe-Kampala'!F16,'24.07 Kalewre-Kampala'!F16,'25.07 Kalewre-Kampala'!F16,'26.07 Kalerwe-Kampala-24h'!F16,'27.07 Kalerwe-Kampala-24h'!F16,'28.07 Kalerwe-Kampala'!F16)</f>
        <v>45.285714285714285</v>
      </c>
      <c r="G16" s="49">
        <f>AVERAGE('22.07 Kalerwe-Kampala'!G16,'23.07 Kalerwe-Kampala'!G16,'24.07 Kalewre-Kampala'!G16,'25.07 Kalewre-Kampala'!G16,'26.07 Kalerwe-Kampala-24h'!G16,'27.07 Kalerwe-Kampala-24h'!G16,'28.07 Kalerwe-Kampala'!G16)</f>
        <v>0.42857142857142855</v>
      </c>
      <c r="H16" s="49">
        <f>AVERAGE('22.07 Kalerwe-Kampala'!H16,'23.07 Kalerwe-Kampala'!H16,'24.07 Kalewre-Kampala'!H16,'25.07 Kalewre-Kampala'!H16,'26.07 Kalerwe-Kampala-24h'!H16,'27.07 Kalerwe-Kampala-24h'!H16,'28.07 Kalerwe-Kampala'!H16)</f>
        <v>0.5714285714285714</v>
      </c>
      <c r="I16" s="49">
        <f>AVERAGE('22.07 Kalerwe-Kampala'!I16,'23.07 Kalerwe-Kampala'!I16,'24.07 Kalewre-Kampala'!I16,'25.07 Kalewre-Kampala'!I16,'26.07 Kalerwe-Kampala-24h'!I16,'27.07 Kalerwe-Kampala-24h'!I16,'28.07 Kalerwe-Kampala'!I16)</f>
        <v>6.8571428571428568</v>
      </c>
      <c r="J16" s="49">
        <f>AVERAGE('22.07 Kalerwe-Kampala'!J16,'23.07 Kalerwe-Kampala'!J16,'24.07 Kalewre-Kampala'!J16,'25.07 Kalewre-Kampala'!J16,'26.07 Kalerwe-Kampala-24h'!J16,'27.07 Kalerwe-Kampala-24h'!J16,'28.07 Kalerwe-Kampala'!J16)</f>
        <v>1.5714285714285714</v>
      </c>
      <c r="K16" s="49">
        <f>AVERAGE('22.07 Kalerwe-Kampala'!K16,'23.07 Kalerwe-Kampala'!K16,'24.07 Kalewre-Kampala'!K16,'25.07 Kalewre-Kampala'!K16,'26.07 Kalerwe-Kampala-24h'!K16,'27.07 Kalerwe-Kampala-24h'!K16,'28.07 Kalerwe-Kampala'!K16)</f>
        <v>0.2857142857142857</v>
      </c>
      <c r="L16" s="49">
        <f>AVERAGE('22.07 Kalerwe-Kampala'!L16,'23.07 Kalerwe-Kampala'!L16,'24.07 Kalewre-Kampala'!L16,'25.07 Kalewre-Kampala'!L16,'26.07 Kalerwe-Kampala-24h'!L16,'27.07 Kalerwe-Kampala-24h'!L16,'28.07 Kalerwe-Kampala'!L16)</f>
        <v>0.14285714285714285</v>
      </c>
      <c r="M16" s="49">
        <f>AVERAGE('22.07 Kalerwe-Kampala'!M16,'23.07 Kalerwe-Kampala'!M16,'24.07 Kalewre-Kampala'!M16,'25.07 Kalewre-Kampala'!M16,'26.07 Kalerwe-Kampala-24h'!M16,'27.07 Kalerwe-Kampala-24h'!M16,'28.07 Kalerwe-Kampala'!M16)</f>
        <v>236.85714285714286</v>
      </c>
      <c r="N16" s="49">
        <f>AVERAGE('22.07 Kalerwe-Kampala'!N16,'23.07 Kalerwe-Kampala'!N16,'24.07 Kalewre-Kampala'!N16,'25.07 Kalewre-Kampala'!N16,'26.07 Kalerwe-Kampala-24h'!N16,'27.07 Kalerwe-Kampala-24h'!N16,'28.07 Kalerwe-Kampala'!N16)</f>
        <v>0</v>
      </c>
      <c r="O16" s="15">
        <f t="shared" si="0"/>
        <v>132.71428571428572</v>
      </c>
      <c r="P16" s="15">
        <f t="shared" si="1"/>
        <v>369.57142857142856</v>
      </c>
      <c r="R16" s="1" t="s">
        <v>12</v>
      </c>
      <c r="S16" s="17">
        <f t="shared" ref="S16:AF16" si="8">SUM(C34:C37)</f>
        <v>187.57142857142858</v>
      </c>
      <c r="T16" s="17">
        <f t="shared" si="8"/>
        <v>82.142857142857139</v>
      </c>
      <c r="U16" s="17">
        <f t="shared" si="8"/>
        <v>36.428571428571431</v>
      </c>
      <c r="V16" s="17">
        <f t="shared" si="8"/>
        <v>150.71428571428572</v>
      </c>
      <c r="W16" s="17">
        <f t="shared" si="8"/>
        <v>4.2857142857142856</v>
      </c>
      <c r="X16" s="17">
        <f t="shared" si="8"/>
        <v>3.8571428571428568</v>
      </c>
      <c r="Y16" s="17">
        <f t="shared" si="8"/>
        <v>41.857142857142861</v>
      </c>
      <c r="Z16" s="17">
        <f t="shared" si="8"/>
        <v>8.5714285714285712</v>
      </c>
      <c r="AA16" s="17">
        <f t="shared" si="8"/>
        <v>6.4285714285714288</v>
      </c>
      <c r="AB16" s="17">
        <f t="shared" si="8"/>
        <v>2.8571428571428568</v>
      </c>
      <c r="AC16" s="17">
        <f t="shared" si="8"/>
        <v>592.28571428571422</v>
      </c>
      <c r="AD16" s="17">
        <f t="shared" si="8"/>
        <v>0</v>
      </c>
      <c r="AE16" s="31">
        <f t="shared" si="8"/>
        <v>524.71428571428578</v>
      </c>
      <c r="AF16" s="31">
        <f t="shared" si="8"/>
        <v>1117</v>
      </c>
    </row>
    <row r="17" spans="2:32" ht="23.1" customHeight="1" x14ac:dyDescent="0.25">
      <c r="B17" s="23" t="s">
        <v>44</v>
      </c>
      <c r="C17" s="49">
        <f>AVERAGE('22.07 Kalerwe-Kampala'!C17,'23.07 Kalerwe-Kampala'!C17,'24.07 Kalewre-Kampala'!C17,'25.07 Kalewre-Kampala'!C17,'26.07 Kalerwe-Kampala-24h'!C17,'27.07 Kalerwe-Kampala-24h'!C17,'28.07 Kalerwe-Kampala'!C17)</f>
        <v>47.142857142857146</v>
      </c>
      <c r="D17" s="49">
        <f>AVERAGE('22.07 Kalerwe-Kampala'!D17,'23.07 Kalerwe-Kampala'!D17,'24.07 Kalewre-Kampala'!D17,'25.07 Kalewre-Kampala'!D17,'26.07 Kalerwe-Kampala-24h'!D17,'27.07 Kalerwe-Kampala-24h'!D17,'28.07 Kalerwe-Kampala'!D17)</f>
        <v>17.285714285714285</v>
      </c>
      <c r="E17" s="49">
        <f>AVERAGE('22.07 Kalerwe-Kampala'!E17,'23.07 Kalerwe-Kampala'!E17,'24.07 Kalewre-Kampala'!E17,'25.07 Kalewre-Kampala'!E17,'26.07 Kalerwe-Kampala-24h'!E17,'27.07 Kalerwe-Kampala-24h'!E17,'28.07 Kalerwe-Kampala'!E17)</f>
        <v>4.2857142857142856</v>
      </c>
      <c r="F17" s="49">
        <f>AVERAGE('22.07 Kalerwe-Kampala'!F17,'23.07 Kalerwe-Kampala'!F17,'24.07 Kalewre-Kampala'!F17,'25.07 Kalewre-Kampala'!F17,'26.07 Kalerwe-Kampala-24h'!F17,'27.07 Kalerwe-Kampala-24h'!F17,'28.07 Kalerwe-Kampala'!F17)</f>
        <v>44.714285714285715</v>
      </c>
      <c r="G17" s="49">
        <f>AVERAGE('22.07 Kalerwe-Kampala'!G17,'23.07 Kalerwe-Kampala'!G17,'24.07 Kalewre-Kampala'!G17,'25.07 Kalewre-Kampala'!G17,'26.07 Kalerwe-Kampala-24h'!G17,'27.07 Kalerwe-Kampala-24h'!G17,'28.07 Kalerwe-Kampala'!G17)</f>
        <v>0.14285714285714285</v>
      </c>
      <c r="H17" s="49">
        <f>AVERAGE('22.07 Kalerwe-Kampala'!H17,'23.07 Kalerwe-Kampala'!H17,'24.07 Kalewre-Kampala'!H17,'25.07 Kalewre-Kampala'!H17,'26.07 Kalerwe-Kampala-24h'!H17,'27.07 Kalerwe-Kampala-24h'!H17,'28.07 Kalerwe-Kampala'!H17)</f>
        <v>0</v>
      </c>
      <c r="I17" s="49">
        <f>AVERAGE('22.07 Kalerwe-Kampala'!I17,'23.07 Kalerwe-Kampala'!I17,'24.07 Kalewre-Kampala'!I17,'25.07 Kalewre-Kampala'!I17,'26.07 Kalerwe-Kampala-24h'!I17,'27.07 Kalerwe-Kampala-24h'!I17,'28.07 Kalerwe-Kampala'!I17)</f>
        <v>9.8571428571428577</v>
      </c>
      <c r="J17" s="49">
        <f>AVERAGE('22.07 Kalerwe-Kampala'!J17,'23.07 Kalerwe-Kampala'!J17,'24.07 Kalewre-Kampala'!J17,'25.07 Kalewre-Kampala'!J17,'26.07 Kalerwe-Kampala-24h'!J17,'27.07 Kalerwe-Kampala-24h'!J17,'28.07 Kalerwe-Kampala'!J17)</f>
        <v>2.5714285714285716</v>
      </c>
      <c r="K17" s="49">
        <f>AVERAGE('22.07 Kalerwe-Kampala'!K17,'23.07 Kalerwe-Kampala'!K17,'24.07 Kalewre-Kampala'!K17,'25.07 Kalewre-Kampala'!K17,'26.07 Kalerwe-Kampala-24h'!K17,'27.07 Kalerwe-Kampala-24h'!K17,'28.07 Kalerwe-Kampala'!K17)</f>
        <v>2.1428571428571428</v>
      </c>
      <c r="L17" s="49">
        <f>AVERAGE('22.07 Kalerwe-Kampala'!L17,'23.07 Kalerwe-Kampala'!L17,'24.07 Kalewre-Kampala'!L17,'25.07 Kalewre-Kampala'!L17,'26.07 Kalerwe-Kampala-24h'!L17,'27.07 Kalerwe-Kampala-24h'!L17,'28.07 Kalerwe-Kampala'!L17)</f>
        <v>0</v>
      </c>
      <c r="M17" s="49">
        <f>AVERAGE('22.07 Kalerwe-Kampala'!M17,'23.07 Kalerwe-Kampala'!M17,'24.07 Kalewre-Kampala'!M17,'25.07 Kalewre-Kampala'!M17,'26.07 Kalerwe-Kampala-24h'!M17,'27.07 Kalerwe-Kampala-24h'!M17,'28.07 Kalerwe-Kampala'!M17)</f>
        <v>221.42857142857142</v>
      </c>
      <c r="N17" s="49">
        <f>AVERAGE('22.07 Kalerwe-Kampala'!N17,'23.07 Kalerwe-Kampala'!N17,'24.07 Kalewre-Kampala'!N17,'25.07 Kalewre-Kampala'!N17,'26.07 Kalerwe-Kampala-24h'!N17,'27.07 Kalerwe-Kampala-24h'!N17,'28.07 Kalerwe-Kampala'!N17)</f>
        <v>0</v>
      </c>
      <c r="O17" s="15">
        <f t="shared" si="0"/>
        <v>128.14285714285717</v>
      </c>
      <c r="P17" s="15">
        <f t="shared" si="1"/>
        <v>349.57142857142856</v>
      </c>
      <c r="R17" s="1" t="s">
        <v>13</v>
      </c>
      <c r="S17" s="17">
        <f t="shared" ref="S17:AF17" si="9">SUM(C38:C41)</f>
        <v>212.71428571428569</v>
      </c>
      <c r="T17" s="17">
        <f t="shared" si="9"/>
        <v>86</v>
      </c>
      <c r="U17" s="17">
        <f t="shared" si="9"/>
        <v>29.142857142857139</v>
      </c>
      <c r="V17" s="17">
        <f t="shared" si="9"/>
        <v>177.28571428571428</v>
      </c>
      <c r="W17" s="17">
        <f t="shared" si="9"/>
        <v>4</v>
      </c>
      <c r="X17" s="17">
        <f t="shared" si="9"/>
        <v>2.4285714285714284</v>
      </c>
      <c r="Y17" s="17">
        <f t="shared" si="9"/>
        <v>44.428571428571423</v>
      </c>
      <c r="Z17" s="17">
        <f t="shared" si="9"/>
        <v>6.2857142857142847</v>
      </c>
      <c r="AA17" s="17">
        <f t="shared" si="9"/>
        <v>2.7142857142857144</v>
      </c>
      <c r="AB17" s="17">
        <f t="shared" si="9"/>
        <v>1.5714285714285712</v>
      </c>
      <c r="AC17" s="17">
        <f t="shared" si="9"/>
        <v>634.71428571428578</v>
      </c>
      <c r="AD17" s="17">
        <f t="shared" si="9"/>
        <v>0</v>
      </c>
      <c r="AE17" s="31">
        <f t="shared" si="9"/>
        <v>566.57142857142867</v>
      </c>
      <c r="AF17" s="31">
        <f t="shared" si="9"/>
        <v>1201.2857142857142</v>
      </c>
    </row>
    <row r="18" spans="2:32" ht="23.1" customHeight="1" x14ac:dyDescent="0.25">
      <c r="B18" s="23" t="s">
        <v>45</v>
      </c>
      <c r="C18" s="49">
        <f>AVERAGE('22.07 Kalerwe-Kampala'!C18,'23.07 Kalerwe-Kampala'!C18,'24.07 Kalewre-Kampala'!C18,'25.07 Kalewre-Kampala'!C18,'26.07 Kalerwe-Kampala-24h'!C18,'27.07 Kalerwe-Kampala-24h'!C18,'28.07 Kalerwe-Kampala'!C18)</f>
        <v>51.285714285714285</v>
      </c>
      <c r="D18" s="49">
        <f>AVERAGE('22.07 Kalerwe-Kampala'!D18,'23.07 Kalerwe-Kampala'!D18,'24.07 Kalewre-Kampala'!D18,'25.07 Kalewre-Kampala'!D18,'26.07 Kalerwe-Kampala-24h'!D18,'27.07 Kalerwe-Kampala-24h'!D18,'28.07 Kalerwe-Kampala'!D18)</f>
        <v>19.428571428571427</v>
      </c>
      <c r="E18" s="49">
        <f>AVERAGE('22.07 Kalerwe-Kampala'!E18,'23.07 Kalerwe-Kampala'!E18,'24.07 Kalewre-Kampala'!E18,'25.07 Kalewre-Kampala'!E18,'26.07 Kalerwe-Kampala-24h'!E18,'27.07 Kalerwe-Kampala-24h'!E18,'28.07 Kalerwe-Kampala'!E18)</f>
        <v>7.1428571428571432</v>
      </c>
      <c r="F18" s="49">
        <f>AVERAGE('22.07 Kalerwe-Kampala'!F18,'23.07 Kalerwe-Kampala'!F18,'24.07 Kalewre-Kampala'!F18,'25.07 Kalewre-Kampala'!F18,'26.07 Kalerwe-Kampala-24h'!F18,'27.07 Kalerwe-Kampala-24h'!F18,'28.07 Kalerwe-Kampala'!F18)</f>
        <v>46.714285714285715</v>
      </c>
      <c r="G18" s="49">
        <f>AVERAGE('22.07 Kalerwe-Kampala'!G18,'23.07 Kalerwe-Kampala'!G18,'24.07 Kalewre-Kampala'!G18,'25.07 Kalewre-Kampala'!G18,'26.07 Kalerwe-Kampala-24h'!G18,'27.07 Kalerwe-Kampala-24h'!G18,'28.07 Kalerwe-Kampala'!G18)</f>
        <v>1.2857142857142858</v>
      </c>
      <c r="H18" s="49">
        <f>AVERAGE('22.07 Kalerwe-Kampala'!H18,'23.07 Kalerwe-Kampala'!H18,'24.07 Kalewre-Kampala'!H18,'25.07 Kalewre-Kampala'!H18,'26.07 Kalerwe-Kampala-24h'!H18,'27.07 Kalerwe-Kampala-24h'!H18,'28.07 Kalerwe-Kampala'!H18)</f>
        <v>0.42857142857142855</v>
      </c>
      <c r="I18" s="49">
        <f>AVERAGE('22.07 Kalerwe-Kampala'!I18,'23.07 Kalerwe-Kampala'!I18,'24.07 Kalewre-Kampala'!I18,'25.07 Kalewre-Kampala'!I18,'26.07 Kalerwe-Kampala-24h'!I18,'27.07 Kalerwe-Kampala-24h'!I18,'28.07 Kalerwe-Kampala'!I18)</f>
        <v>8.1428571428571423</v>
      </c>
      <c r="J18" s="49">
        <f>AVERAGE('22.07 Kalerwe-Kampala'!J18,'23.07 Kalerwe-Kampala'!J18,'24.07 Kalewre-Kampala'!J18,'25.07 Kalewre-Kampala'!J18,'26.07 Kalerwe-Kampala-24h'!J18,'27.07 Kalerwe-Kampala-24h'!J18,'28.07 Kalerwe-Kampala'!J18)</f>
        <v>3.4285714285714284</v>
      </c>
      <c r="K18" s="49">
        <f>AVERAGE('22.07 Kalerwe-Kampala'!K18,'23.07 Kalerwe-Kampala'!K18,'24.07 Kalewre-Kampala'!K18,'25.07 Kalewre-Kampala'!K18,'26.07 Kalerwe-Kampala-24h'!K18,'27.07 Kalerwe-Kampala-24h'!K18,'28.07 Kalerwe-Kampala'!K18)</f>
        <v>0.8571428571428571</v>
      </c>
      <c r="L18" s="49">
        <f>AVERAGE('22.07 Kalerwe-Kampala'!L18,'23.07 Kalerwe-Kampala'!L18,'24.07 Kalewre-Kampala'!L18,'25.07 Kalewre-Kampala'!L18,'26.07 Kalerwe-Kampala-24h'!L18,'27.07 Kalerwe-Kampala-24h'!L18,'28.07 Kalerwe-Kampala'!L18)</f>
        <v>0.8571428571428571</v>
      </c>
      <c r="M18" s="49">
        <f>AVERAGE('22.07 Kalerwe-Kampala'!M18,'23.07 Kalerwe-Kampala'!M18,'24.07 Kalewre-Kampala'!M18,'25.07 Kalewre-Kampala'!M18,'26.07 Kalerwe-Kampala-24h'!M18,'27.07 Kalerwe-Kampala-24h'!M18,'28.07 Kalerwe-Kampala'!M18)</f>
        <v>236.85714285714286</v>
      </c>
      <c r="N18" s="49">
        <f>AVERAGE('22.07 Kalerwe-Kampala'!N18,'23.07 Kalerwe-Kampala'!N18,'24.07 Kalewre-Kampala'!N18,'25.07 Kalewre-Kampala'!N18,'26.07 Kalerwe-Kampala-24h'!N18,'27.07 Kalerwe-Kampala-24h'!N18,'28.07 Kalerwe-Kampala'!N18)</f>
        <v>0</v>
      </c>
      <c r="O18" s="15">
        <f t="shared" si="0"/>
        <v>139.57142857142856</v>
      </c>
      <c r="P18" s="15">
        <f t="shared" si="1"/>
        <v>376.42857142857144</v>
      </c>
      <c r="R18" s="1" t="s">
        <v>14</v>
      </c>
      <c r="S18" s="17">
        <f t="shared" ref="S18:AF18" si="10">SUM(C42:C45)</f>
        <v>217.71428571428572</v>
      </c>
      <c r="T18" s="17">
        <f t="shared" si="10"/>
        <v>76.428571428571431</v>
      </c>
      <c r="U18" s="17">
        <f t="shared" si="10"/>
        <v>41.714285714285708</v>
      </c>
      <c r="V18" s="17">
        <f t="shared" si="10"/>
        <v>170.71428571428572</v>
      </c>
      <c r="W18" s="17">
        <f t="shared" si="10"/>
        <v>5.8571428571428568</v>
      </c>
      <c r="X18" s="17">
        <f t="shared" si="10"/>
        <v>2.4285714285714284</v>
      </c>
      <c r="Y18" s="17">
        <f t="shared" si="10"/>
        <v>58.714285714285715</v>
      </c>
      <c r="Z18" s="17">
        <f t="shared" si="10"/>
        <v>8.1428571428571423</v>
      </c>
      <c r="AA18" s="17">
        <f t="shared" si="10"/>
        <v>0.99999999999999989</v>
      </c>
      <c r="AB18" s="17">
        <f t="shared" si="10"/>
        <v>2.8571428571428572</v>
      </c>
      <c r="AC18" s="17">
        <f t="shared" si="10"/>
        <v>648</v>
      </c>
      <c r="AD18" s="17">
        <f t="shared" si="10"/>
        <v>0</v>
      </c>
      <c r="AE18" s="31">
        <f t="shared" si="10"/>
        <v>585.57142857142856</v>
      </c>
      <c r="AF18" s="31">
        <f t="shared" si="10"/>
        <v>1233.5714285714284</v>
      </c>
    </row>
    <row r="19" spans="2:32" ht="23.1" customHeight="1" x14ac:dyDescent="0.25">
      <c r="B19" s="23" t="s">
        <v>46</v>
      </c>
      <c r="C19" s="49">
        <f>AVERAGE('22.07 Kalerwe-Kampala'!C19,'23.07 Kalerwe-Kampala'!C19,'24.07 Kalewre-Kampala'!C19,'25.07 Kalewre-Kampala'!C19,'26.07 Kalerwe-Kampala-24h'!C19,'27.07 Kalerwe-Kampala-24h'!C19,'28.07 Kalerwe-Kampala'!C19)</f>
        <v>45.142857142857146</v>
      </c>
      <c r="D19" s="49">
        <f>AVERAGE('22.07 Kalerwe-Kampala'!D19,'23.07 Kalerwe-Kampala'!D19,'24.07 Kalewre-Kampala'!D19,'25.07 Kalewre-Kampala'!D19,'26.07 Kalerwe-Kampala-24h'!D19,'27.07 Kalerwe-Kampala-24h'!D19,'28.07 Kalerwe-Kampala'!D19)</f>
        <v>15.857142857142858</v>
      </c>
      <c r="E19" s="49">
        <f>AVERAGE('22.07 Kalerwe-Kampala'!E19,'23.07 Kalerwe-Kampala'!E19,'24.07 Kalewre-Kampala'!E19,'25.07 Kalewre-Kampala'!E19,'26.07 Kalerwe-Kampala-24h'!E19,'27.07 Kalerwe-Kampala-24h'!E19,'28.07 Kalerwe-Kampala'!E19)</f>
        <v>6</v>
      </c>
      <c r="F19" s="49">
        <f>AVERAGE('22.07 Kalerwe-Kampala'!F19,'23.07 Kalerwe-Kampala'!F19,'24.07 Kalewre-Kampala'!F19,'25.07 Kalewre-Kampala'!F19,'26.07 Kalerwe-Kampala-24h'!F19,'27.07 Kalerwe-Kampala-24h'!F19,'28.07 Kalerwe-Kampala'!F19)</f>
        <v>34.571428571428569</v>
      </c>
      <c r="G19" s="49">
        <f>AVERAGE('22.07 Kalerwe-Kampala'!G19,'23.07 Kalerwe-Kampala'!G19,'24.07 Kalewre-Kampala'!G19,'25.07 Kalewre-Kampala'!G19,'26.07 Kalerwe-Kampala-24h'!G19,'27.07 Kalerwe-Kampala-24h'!G19,'28.07 Kalerwe-Kampala'!G19)</f>
        <v>1.1428571428571428</v>
      </c>
      <c r="H19" s="49">
        <f>AVERAGE('22.07 Kalerwe-Kampala'!H19,'23.07 Kalerwe-Kampala'!H19,'24.07 Kalewre-Kampala'!H19,'25.07 Kalewre-Kampala'!H19,'26.07 Kalerwe-Kampala-24h'!H19,'27.07 Kalerwe-Kampala-24h'!H19,'28.07 Kalerwe-Kampala'!H19)</f>
        <v>1</v>
      </c>
      <c r="I19" s="49">
        <f>AVERAGE('22.07 Kalerwe-Kampala'!I19,'23.07 Kalerwe-Kampala'!I19,'24.07 Kalewre-Kampala'!I19,'25.07 Kalewre-Kampala'!I19,'26.07 Kalerwe-Kampala-24h'!I19,'27.07 Kalerwe-Kampala-24h'!I19,'28.07 Kalerwe-Kampala'!I19)</f>
        <v>7.7142857142857144</v>
      </c>
      <c r="J19" s="49">
        <f>AVERAGE('22.07 Kalerwe-Kampala'!J19,'23.07 Kalerwe-Kampala'!J19,'24.07 Kalewre-Kampala'!J19,'25.07 Kalewre-Kampala'!J19,'26.07 Kalerwe-Kampala-24h'!J19,'27.07 Kalerwe-Kampala-24h'!J19,'28.07 Kalerwe-Kampala'!J19)</f>
        <v>1.5714285714285714</v>
      </c>
      <c r="K19" s="49">
        <f>AVERAGE('22.07 Kalerwe-Kampala'!K19,'23.07 Kalerwe-Kampala'!K19,'24.07 Kalewre-Kampala'!K19,'25.07 Kalewre-Kampala'!K19,'26.07 Kalerwe-Kampala-24h'!K19,'27.07 Kalerwe-Kampala-24h'!K19,'28.07 Kalerwe-Kampala'!K19)</f>
        <v>0.5714285714285714</v>
      </c>
      <c r="L19" s="49">
        <f>AVERAGE('22.07 Kalerwe-Kampala'!L19,'23.07 Kalerwe-Kampala'!L19,'24.07 Kalewre-Kampala'!L19,'25.07 Kalewre-Kampala'!L19,'26.07 Kalerwe-Kampala-24h'!L19,'27.07 Kalerwe-Kampala-24h'!L19,'28.07 Kalerwe-Kampala'!L19)</f>
        <v>0.5714285714285714</v>
      </c>
      <c r="M19" s="49">
        <f>AVERAGE('22.07 Kalerwe-Kampala'!M19,'23.07 Kalerwe-Kampala'!M19,'24.07 Kalewre-Kampala'!M19,'25.07 Kalewre-Kampala'!M19,'26.07 Kalerwe-Kampala-24h'!M19,'27.07 Kalerwe-Kampala-24h'!M19,'28.07 Kalerwe-Kampala'!M19)</f>
        <v>178.85714285714286</v>
      </c>
      <c r="N19" s="49">
        <f>AVERAGE('22.07 Kalerwe-Kampala'!N19,'23.07 Kalerwe-Kampala'!N19,'24.07 Kalewre-Kampala'!N19,'25.07 Kalewre-Kampala'!N19,'26.07 Kalerwe-Kampala-24h'!N19,'27.07 Kalerwe-Kampala-24h'!N19,'28.07 Kalerwe-Kampala'!N19)</f>
        <v>0</v>
      </c>
      <c r="O19" s="15">
        <f t="shared" si="0"/>
        <v>114.14285714285712</v>
      </c>
      <c r="P19" s="15">
        <f t="shared" si="1"/>
        <v>293</v>
      </c>
      <c r="R19" s="1" t="s">
        <v>15</v>
      </c>
      <c r="S19" s="17">
        <f t="shared" ref="S19:AF19" si="11">SUM(C46:C49)</f>
        <v>203.42857142857144</v>
      </c>
      <c r="T19" s="17">
        <f t="shared" si="11"/>
        <v>75.285714285714278</v>
      </c>
      <c r="U19" s="17">
        <f t="shared" si="11"/>
        <v>26.714285714285715</v>
      </c>
      <c r="V19" s="17">
        <f t="shared" si="11"/>
        <v>167</v>
      </c>
      <c r="W19" s="17">
        <f t="shared" si="11"/>
        <v>5.5714285714285712</v>
      </c>
      <c r="X19" s="17">
        <f t="shared" si="11"/>
        <v>0.5714285714285714</v>
      </c>
      <c r="Y19" s="17">
        <f t="shared" si="11"/>
        <v>45.428571428571431</v>
      </c>
      <c r="Z19" s="17">
        <f t="shared" si="11"/>
        <v>3.9999999999999996</v>
      </c>
      <c r="AA19" s="17">
        <f t="shared" si="11"/>
        <v>1.5714285714285714</v>
      </c>
      <c r="AB19" s="17">
        <f t="shared" si="11"/>
        <v>1.1428571428571428</v>
      </c>
      <c r="AC19" s="17">
        <f t="shared" si="11"/>
        <v>639.85714285714289</v>
      </c>
      <c r="AD19" s="17">
        <f t="shared" si="11"/>
        <v>0</v>
      </c>
      <c r="AE19" s="31">
        <f t="shared" si="11"/>
        <v>530.71428571428567</v>
      </c>
      <c r="AF19" s="31">
        <f t="shared" si="11"/>
        <v>1170.5714285714287</v>
      </c>
    </row>
    <row r="20" spans="2:32" ht="23.1" customHeight="1" x14ac:dyDescent="0.25">
      <c r="B20" s="23" t="s">
        <v>47</v>
      </c>
      <c r="C20" s="49">
        <f>AVERAGE('22.07 Kalerwe-Kampala'!C20,'23.07 Kalerwe-Kampala'!C20,'24.07 Kalewre-Kampala'!C20,'25.07 Kalewre-Kampala'!C20,'26.07 Kalerwe-Kampala-24h'!C20,'27.07 Kalerwe-Kampala-24h'!C20,'28.07 Kalerwe-Kampala'!C20)</f>
        <v>58.428571428571431</v>
      </c>
      <c r="D20" s="49">
        <f>AVERAGE('22.07 Kalerwe-Kampala'!D20,'23.07 Kalerwe-Kampala'!D20,'24.07 Kalewre-Kampala'!D20,'25.07 Kalewre-Kampala'!D20,'26.07 Kalerwe-Kampala-24h'!D20,'27.07 Kalerwe-Kampala-24h'!D20,'28.07 Kalerwe-Kampala'!D20)</f>
        <v>13.285714285714286</v>
      </c>
      <c r="E20" s="49">
        <f>AVERAGE('22.07 Kalerwe-Kampala'!E20,'23.07 Kalerwe-Kampala'!E20,'24.07 Kalewre-Kampala'!E20,'25.07 Kalewre-Kampala'!E20,'26.07 Kalerwe-Kampala-24h'!E20,'27.07 Kalerwe-Kampala-24h'!E20,'28.07 Kalerwe-Kampala'!E20)</f>
        <v>6.1428571428571432</v>
      </c>
      <c r="F20" s="49">
        <f>AVERAGE('22.07 Kalerwe-Kampala'!F20,'23.07 Kalerwe-Kampala'!F20,'24.07 Kalewre-Kampala'!F20,'25.07 Kalewre-Kampala'!F20,'26.07 Kalerwe-Kampala-24h'!F20,'27.07 Kalerwe-Kampala-24h'!F20,'28.07 Kalerwe-Kampala'!F20)</f>
        <v>53</v>
      </c>
      <c r="G20" s="49">
        <f>AVERAGE('22.07 Kalerwe-Kampala'!G20,'23.07 Kalerwe-Kampala'!G20,'24.07 Kalewre-Kampala'!G20,'25.07 Kalewre-Kampala'!G20,'26.07 Kalerwe-Kampala-24h'!G20,'27.07 Kalerwe-Kampala-24h'!G20,'28.07 Kalerwe-Kampala'!G20)</f>
        <v>1</v>
      </c>
      <c r="H20" s="49">
        <f>AVERAGE('22.07 Kalerwe-Kampala'!H20,'23.07 Kalerwe-Kampala'!H20,'24.07 Kalewre-Kampala'!H20,'25.07 Kalewre-Kampala'!H20,'26.07 Kalerwe-Kampala-24h'!H20,'27.07 Kalerwe-Kampala-24h'!H20,'28.07 Kalerwe-Kampala'!H20)</f>
        <v>1.1428571428571428</v>
      </c>
      <c r="I20" s="49">
        <f>AVERAGE('22.07 Kalerwe-Kampala'!I20,'23.07 Kalerwe-Kampala'!I20,'24.07 Kalewre-Kampala'!I20,'25.07 Kalewre-Kampala'!I20,'26.07 Kalerwe-Kampala-24h'!I20,'27.07 Kalerwe-Kampala-24h'!I20,'28.07 Kalerwe-Kampala'!I20)</f>
        <v>7.5714285714285712</v>
      </c>
      <c r="J20" s="49">
        <f>AVERAGE('22.07 Kalerwe-Kampala'!J20,'23.07 Kalerwe-Kampala'!J20,'24.07 Kalewre-Kampala'!J20,'25.07 Kalewre-Kampala'!J20,'26.07 Kalerwe-Kampala-24h'!J20,'27.07 Kalerwe-Kampala-24h'!J20,'28.07 Kalerwe-Kampala'!J20)</f>
        <v>1.2857142857142858</v>
      </c>
      <c r="K20" s="49">
        <f>AVERAGE('22.07 Kalerwe-Kampala'!K20,'23.07 Kalerwe-Kampala'!K20,'24.07 Kalewre-Kampala'!K20,'25.07 Kalewre-Kampala'!K20,'26.07 Kalerwe-Kampala-24h'!K20,'27.07 Kalerwe-Kampala-24h'!K20,'28.07 Kalerwe-Kampala'!K20)</f>
        <v>0.8571428571428571</v>
      </c>
      <c r="L20" s="49">
        <f>AVERAGE('22.07 Kalerwe-Kampala'!L20,'23.07 Kalerwe-Kampala'!L20,'24.07 Kalewre-Kampala'!L20,'25.07 Kalewre-Kampala'!L20,'26.07 Kalerwe-Kampala-24h'!L20,'27.07 Kalerwe-Kampala-24h'!L20,'28.07 Kalerwe-Kampala'!L20)</f>
        <v>0.42857142857142855</v>
      </c>
      <c r="M20" s="49">
        <f>AVERAGE('22.07 Kalerwe-Kampala'!M20,'23.07 Kalerwe-Kampala'!M20,'24.07 Kalewre-Kampala'!M20,'25.07 Kalewre-Kampala'!M20,'26.07 Kalerwe-Kampala-24h'!M20,'27.07 Kalerwe-Kampala-24h'!M20,'28.07 Kalerwe-Kampala'!M20)</f>
        <v>196.14285714285714</v>
      </c>
      <c r="N20" s="49">
        <f>AVERAGE('22.07 Kalerwe-Kampala'!N20,'23.07 Kalerwe-Kampala'!N20,'24.07 Kalewre-Kampala'!N20,'25.07 Kalewre-Kampala'!N20,'26.07 Kalerwe-Kampala-24h'!N20,'27.07 Kalerwe-Kampala-24h'!N20,'28.07 Kalerwe-Kampala'!N20)</f>
        <v>0</v>
      </c>
      <c r="O20" s="15">
        <f t="shared" si="0"/>
        <v>143.14285714285714</v>
      </c>
      <c r="P20" s="15">
        <f t="shared" si="1"/>
        <v>339.28571428571428</v>
      </c>
      <c r="R20" s="1" t="s">
        <v>16</v>
      </c>
      <c r="S20" s="17">
        <f t="shared" ref="S20:AF20" si="12">SUM(C50:C53)</f>
        <v>204</v>
      </c>
      <c r="T20" s="17">
        <f t="shared" si="12"/>
        <v>79.142857142857139</v>
      </c>
      <c r="U20" s="17">
        <f t="shared" si="12"/>
        <v>24.857142857142854</v>
      </c>
      <c r="V20" s="17">
        <f t="shared" si="12"/>
        <v>170.42857142857144</v>
      </c>
      <c r="W20" s="17">
        <f t="shared" si="12"/>
        <v>5.5714285714285712</v>
      </c>
      <c r="X20" s="17">
        <f t="shared" si="12"/>
        <v>1.9999999999999998</v>
      </c>
      <c r="Y20" s="17">
        <f t="shared" si="12"/>
        <v>32</v>
      </c>
      <c r="Z20" s="17">
        <f t="shared" si="12"/>
        <v>4.7142857142857135</v>
      </c>
      <c r="AA20" s="17">
        <f t="shared" si="12"/>
        <v>2.2857142857142856</v>
      </c>
      <c r="AB20" s="17">
        <f t="shared" si="12"/>
        <v>1.7142857142857142</v>
      </c>
      <c r="AC20" s="17">
        <f t="shared" si="12"/>
        <v>698</v>
      </c>
      <c r="AD20" s="17">
        <f t="shared" si="12"/>
        <v>0</v>
      </c>
      <c r="AE20" s="31">
        <f t="shared" si="12"/>
        <v>526.71428571428567</v>
      </c>
      <c r="AF20" s="31">
        <f t="shared" si="12"/>
        <v>1224.7142857142858</v>
      </c>
    </row>
    <row r="21" spans="2:32" ht="23.1" customHeight="1" x14ac:dyDescent="0.25">
      <c r="B21" s="23" t="s">
        <v>48</v>
      </c>
      <c r="C21" s="49">
        <f>AVERAGE('22.07 Kalerwe-Kampala'!C21,'23.07 Kalerwe-Kampala'!C21,'24.07 Kalewre-Kampala'!C21,'25.07 Kalewre-Kampala'!C21,'26.07 Kalerwe-Kampala-24h'!C21,'27.07 Kalerwe-Kampala-24h'!C21,'28.07 Kalerwe-Kampala'!C21)</f>
        <v>62</v>
      </c>
      <c r="D21" s="49">
        <f>AVERAGE('22.07 Kalerwe-Kampala'!D21,'23.07 Kalerwe-Kampala'!D21,'24.07 Kalewre-Kampala'!D21,'25.07 Kalewre-Kampala'!D21,'26.07 Kalerwe-Kampala-24h'!D21,'27.07 Kalerwe-Kampala-24h'!D21,'28.07 Kalerwe-Kampala'!D21)</f>
        <v>16.285714285714285</v>
      </c>
      <c r="E21" s="49">
        <f>AVERAGE('22.07 Kalerwe-Kampala'!E21,'23.07 Kalerwe-Kampala'!E21,'24.07 Kalewre-Kampala'!E21,'25.07 Kalewre-Kampala'!E21,'26.07 Kalerwe-Kampala-24h'!E21,'27.07 Kalerwe-Kampala-24h'!E21,'28.07 Kalerwe-Kampala'!E21)</f>
        <v>6.8571428571428568</v>
      </c>
      <c r="F21" s="49">
        <f>AVERAGE('22.07 Kalerwe-Kampala'!F21,'23.07 Kalerwe-Kampala'!F21,'24.07 Kalewre-Kampala'!F21,'25.07 Kalewre-Kampala'!F21,'26.07 Kalerwe-Kampala-24h'!F21,'27.07 Kalerwe-Kampala-24h'!F21,'28.07 Kalerwe-Kampala'!F21)</f>
        <v>47.571428571428569</v>
      </c>
      <c r="G21" s="49">
        <f>AVERAGE('22.07 Kalerwe-Kampala'!G21,'23.07 Kalerwe-Kampala'!G21,'24.07 Kalewre-Kampala'!G21,'25.07 Kalewre-Kampala'!G21,'26.07 Kalerwe-Kampala-24h'!G21,'27.07 Kalerwe-Kampala-24h'!G21,'28.07 Kalerwe-Kampala'!G21)</f>
        <v>2.4285714285714284</v>
      </c>
      <c r="H21" s="49">
        <f>AVERAGE('22.07 Kalerwe-Kampala'!H21,'23.07 Kalerwe-Kampala'!H21,'24.07 Kalewre-Kampala'!H21,'25.07 Kalewre-Kampala'!H21,'26.07 Kalerwe-Kampala-24h'!H21,'27.07 Kalerwe-Kampala-24h'!H21,'28.07 Kalerwe-Kampala'!H21)</f>
        <v>0.5714285714285714</v>
      </c>
      <c r="I21" s="49">
        <f>AVERAGE('22.07 Kalerwe-Kampala'!I21,'23.07 Kalerwe-Kampala'!I21,'24.07 Kalewre-Kampala'!I21,'25.07 Kalewre-Kampala'!I21,'26.07 Kalerwe-Kampala-24h'!I21,'27.07 Kalerwe-Kampala-24h'!I21,'28.07 Kalerwe-Kampala'!I21)</f>
        <v>8.1428571428571423</v>
      </c>
      <c r="J21" s="49">
        <f>AVERAGE('22.07 Kalerwe-Kampala'!J21,'23.07 Kalerwe-Kampala'!J21,'24.07 Kalewre-Kampala'!J21,'25.07 Kalewre-Kampala'!J21,'26.07 Kalerwe-Kampala-24h'!J21,'27.07 Kalerwe-Kampala-24h'!J21,'28.07 Kalerwe-Kampala'!J21)</f>
        <v>2.2857142857142856</v>
      </c>
      <c r="K21" s="49">
        <f>AVERAGE('22.07 Kalerwe-Kampala'!K21,'23.07 Kalerwe-Kampala'!K21,'24.07 Kalewre-Kampala'!K21,'25.07 Kalewre-Kampala'!K21,'26.07 Kalerwe-Kampala-24h'!K21,'27.07 Kalerwe-Kampala-24h'!K21,'28.07 Kalerwe-Kampala'!K21)</f>
        <v>1.2857142857142858</v>
      </c>
      <c r="L21" s="49">
        <f>AVERAGE('22.07 Kalerwe-Kampala'!L21,'23.07 Kalerwe-Kampala'!L21,'24.07 Kalewre-Kampala'!L21,'25.07 Kalewre-Kampala'!L21,'26.07 Kalerwe-Kampala-24h'!L21,'27.07 Kalerwe-Kampala-24h'!L21,'28.07 Kalerwe-Kampala'!L21)</f>
        <v>0.5714285714285714</v>
      </c>
      <c r="M21" s="49">
        <f>AVERAGE('22.07 Kalerwe-Kampala'!M21,'23.07 Kalerwe-Kampala'!M21,'24.07 Kalewre-Kampala'!M21,'25.07 Kalewre-Kampala'!M21,'26.07 Kalerwe-Kampala-24h'!M21,'27.07 Kalerwe-Kampala-24h'!M21,'28.07 Kalerwe-Kampala'!M21)</f>
        <v>168.85714285714286</v>
      </c>
      <c r="N21" s="49">
        <f>AVERAGE('22.07 Kalerwe-Kampala'!N21,'23.07 Kalerwe-Kampala'!N21,'24.07 Kalewre-Kampala'!N21,'25.07 Kalewre-Kampala'!N21,'26.07 Kalerwe-Kampala-24h'!N21,'27.07 Kalerwe-Kampala-24h'!N21,'28.07 Kalerwe-Kampala'!N21)</f>
        <v>0</v>
      </c>
      <c r="O21" s="15">
        <f t="shared" si="0"/>
        <v>148</v>
      </c>
      <c r="P21" s="15">
        <f t="shared" si="1"/>
        <v>316.85714285714289</v>
      </c>
      <c r="R21" s="36" t="s">
        <v>20</v>
      </c>
      <c r="S21" s="34">
        <f t="shared" ref="S21:AF21" si="13">SUM(C54:C57)</f>
        <v>168</v>
      </c>
      <c r="T21" s="17">
        <f t="shared" si="13"/>
        <v>47.428571428571431</v>
      </c>
      <c r="U21" s="17">
        <f t="shared" si="13"/>
        <v>23.714285714285715</v>
      </c>
      <c r="V21" s="17">
        <f t="shared" si="13"/>
        <v>169.85714285714286</v>
      </c>
      <c r="W21" s="17">
        <f t="shared" si="13"/>
        <v>5.8571428571428577</v>
      </c>
      <c r="X21" s="17">
        <f t="shared" si="13"/>
        <v>3.5714285714285716</v>
      </c>
      <c r="Y21" s="17">
        <f t="shared" si="13"/>
        <v>24.285714285714285</v>
      </c>
      <c r="Z21" s="17">
        <f t="shared" si="13"/>
        <v>2.5714285714285712</v>
      </c>
      <c r="AA21" s="17">
        <f t="shared" si="13"/>
        <v>1.4285714285714284</v>
      </c>
      <c r="AB21" s="17">
        <f t="shared" si="13"/>
        <v>0.71428571428571419</v>
      </c>
      <c r="AC21" s="17">
        <f t="shared" si="13"/>
        <v>685.28571428571422</v>
      </c>
      <c r="AD21" s="17">
        <f t="shared" si="13"/>
        <v>0</v>
      </c>
      <c r="AE21" s="31">
        <f t="shared" si="13"/>
        <v>447.42857142857144</v>
      </c>
      <c r="AF21" s="31">
        <f t="shared" si="13"/>
        <v>1132.7142857142858</v>
      </c>
    </row>
    <row r="22" spans="2:32" ht="23.1" customHeight="1" x14ac:dyDescent="0.25">
      <c r="B22" s="23" t="s">
        <v>49</v>
      </c>
      <c r="C22" s="49">
        <f>AVERAGE('22.07 Kalerwe-Kampala'!C22,'23.07 Kalerwe-Kampala'!C22,'24.07 Kalewre-Kampala'!C22,'25.07 Kalewre-Kampala'!C22,'26.07 Kalerwe-Kampala-24h'!C22,'27.07 Kalerwe-Kampala-24h'!C22,'28.07 Kalerwe-Kampala'!C22)</f>
        <v>42.857142857142854</v>
      </c>
      <c r="D22" s="49">
        <f>AVERAGE('22.07 Kalerwe-Kampala'!D22,'23.07 Kalerwe-Kampala'!D22,'24.07 Kalewre-Kampala'!D22,'25.07 Kalewre-Kampala'!D22,'26.07 Kalerwe-Kampala-24h'!D22,'27.07 Kalerwe-Kampala-24h'!D22,'28.07 Kalerwe-Kampala'!D22)</f>
        <v>20.857142857142858</v>
      </c>
      <c r="E22" s="49">
        <f>AVERAGE('22.07 Kalerwe-Kampala'!E22,'23.07 Kalerwe-Kampala'!E22,'24.07 Kalewre-Kampala'!E22,'25.07 Kalewre-Kampala'!E22,'26.07 Kalerwe-Kampala-24h'!E22,'27.07 Kalerwe-Kampala-24h'!E22,'28.07 Kalerwe-Kampala'!E22)</f>
        <v>10.571428571428571</v>
      </c>
      <c r="F22" s="49">
        <f>AVERAGE('22.07 Kalerwe-Kampala'!F22,'23.07 Kalerwe-Kampala'!F22,'24.07 Kalewre-Kampala'!F22,'25.07 Kalewre-Kampala'!F22,'26.07 Kalerwe-Kampala-24h'!F22,'27.07 Kalerwe-Kampala-24h'!F22,'28.07 Kalerwe-Kampala'!F22)</f>
        <v>25.285714285714285</v>
      </c>
      <c r="G22" s="49">
        <f>AVERAGE('22.07 Kalerwe-Kampala'!G22,'23.07 Kalerwe-Kampala'!G22,'24.07 Kalewre-Kampala'!G22,'25.07 Kalewre-Kampala'!G22,'26.07 Kalerwe-Kampala-24h'!G22,'27.07 Kalerwe-Kampala-24h'!G22,'28.07 Kalerwe-Kampala'!G22)</f>
        <v>1.4285714285714286</v>
      </c>
      <c r="H22" s="49">
        <f>AVERAGE('22.07 Kalerwe-Kampala'!H22,'23.07 Kalerwe-Kampala'!H22,'24.07 Kalewre-Kampala'!H22,'25.07 Kalewre-Kampala'!H22,'26.07 Kalerwe-Kampala-24h'!H22,'27.07 Kalerwe-Kampala-24h'!H22,'28.07 Kalerwe-Kampala'!H22)</f>
        <v>2.1428571428571428</v>
      </c>
      <c r="I22" s="49">
        <f>AVERAGE('22.07 Kalerwe-Kampala'!I22,'23.07 Kalerwe-Kampala'!I22,'24.07 Kalewre-Kampala'!I22,'25.07 Kalewre-Kampala'!I22,'26.07 Kalerwe-Kampala-24h'!I22,'27.07 Kalerwe-Kampala-24h'!I22,'28.07 Kalerwe-Kampala'!I22)</f>
        <v>5.4285714285714288</v>
      </c>
      <c r="J22" s="49">
        <f>AVERAGE('22.07 Kalerwe-Kampala'!J22,'23.07 Kalerwe-Kampala'!J22,'24.07 Kalewre-Kampala'!J22,'25.07 Kalewre-Kampala'!J22,'26.07 Kalerwe-Kampala-24h'!J22,'27.07 Kalerwe-Kampala-24h'!J22,'28.07 Kalerwe-Kampala'!J22)</f>
        <v>1.2857142857142858</v>
      </c>
      <c r="K22" s="49">
        <f>AVERAGE('22.07 Kalerwe-Kampala'!K22,'23.07 Kalerwe-Kampala'!K22,'24.07 Kalewre-Kampala'!K22,'25.07 Kalewre-Kampala'!K22,'26.07 Kalerwe-Kampala-24h'!K22,'27.07 Kalerwe-Kampala-24h'!K22,'28.07 Kalerwe-Kampala'!K22)</f>
        <v>1.1428571428571428</v>
      </c>
      <c r="L22" s="49">
        <f>AVERAGE('22.07 Kalerwe-Kampala'!L22,'23.07 Kalerwe-Kampala'!L22,'24.07 Kalewre-Kampala'!L22,'25.07 Kalewre-Kampala'!L22,'26.07 Kalerwe-Kampala-24h'!L22,'27.07 Kalerwe-Kampala-24h'!L22,'28.07 Kalerwe-Kampala'!L22)</f>
        <v>0.42857142857142855</v>
      </c>
      <c r="M22" s="49">
        <f>AVERAGE('22.07 Kalerwe-Kampala'!M22,'23.07 Kalerwe-Kampala'!M22,'24.07 Kalewre-Kampala'!M22,'25.07 Kalewre-Kampala'!M22,'26.07 Kalerwe-Kampala-24h'!M22,'27.07 Kalerwe-Kampala-24h'!M22,'28.07 Kalerwe-Kampala'!M22)</f>
        <v>145.57142857142858</v>
      </c>
      <c r="N22" s="49">
        <f>AVERAGE('22.07 Kalerwe-Kampala'!N22,'23.07 Kalerwe-Kampala'!N22,'24.07 Kalewre-Kampala'!N22,'25.07 Kalewre-Kampala'!N22,'26.07 Kalerwe-Kampala-24h'!N22,'27.07 Kalerwe-Kampala-24h'!N22,'28.07 Kalerwe-Kampala'!N22)</f>
        <v>0</v>
      </c>
      <c r="O22" s="15">
        <f t="shared" si="0"/>
        <v>111.42857142857142</v>
      </c>
      <c r="P22" s="15">
        <f t="shared" si="1"/>
        <v>257</v>
      </c>
      <c r="R22" s="1" t="s">
        <v>146</v>
      </c>
      <c r="S22" s="34">
        <f>SUM(C58:C61)</f>
        <v>306.5</v>
      </c>
      <c r="T22" s="34">
        <f t="shared" ref="T22:AF22" si="14">SUM(D58:D61)</f>
        <v>13</v>
      </c>
      <c r="U22" s="34">
        <f t="shared" si="14"/>
        <v>11</v>
      </c>
      <c r="V22" s="34">
        <f t="shared" si="14"/>
        <v>86</v>
      </c>
      <c r="W22" s="34">
        <f t="shared" si="14"/>
        <v>18.5</v>
      </c>
      <c r="X22" s="34">
        <f t="shared" si="14"/>
        <v>7</v>
      </c>
      <c r="Y22" s="34">
        <f t="shared" si="14"/>
        <v>35</v>
      </c>
      <c r="Z22" s="34">
        <f t="shared" si="14"/>
        <v>12.5</v>
      </c>
      <c r="AA22" s="34">
        <f t="shared" si="14"/>
        <v>5</v>
      </c>
      <c r="AB22" s="34">
        <f t="shared" si="14"/>
        <v>2</v>
      </c>
      <c r="AC22" s="34">
        <f t="shared" si="14"/>
        <v>597.5</v>
      </c>
      <c r="AD22" s="34">
        <f t="shared" si="14"/>
        <v>0</v>
      </c>
      <c r="AE22" s="31">
        <f t="shared" si="14"/>
        <v>496.5</v>
      </c>
      <c r="AF22" s="31">
        <f t="shared" si="14"/>
        <v>1094</v>
      </c>
    </row>
    <row r="23" spans="2:32" ht="23.1" customHeight="1" x14ac:dyDescent="0.25">
      <c r="B23" s="23" t="s">
        <v>50</v>
      </c>
      <c r="C23" s="49">
        <f>AVERAGE('22.07 Kalerwe-Kampala'!C23,'23.07 Kalerwe-Kampala'!C23,'24.07 Kalewre-Kampala'!C23,'25.07 Kalewre-Kampala'!C23,'26.07 Kalerwe-Kampala-24h'!C23,'27.07 Kalerwe-Kampala-24h'!C23,'28.07 Kalerwe-Kampala'!C23)</f>
        <v>45.571428571428569</v>
      </c>
      <c r="D23" s="49">
        <f>AVERAGE('22.07 Kalerwe-Kampala'!D23,'23.07 Kalerwe-Kampala'!D23,'24.07 Kalewre-Kampala'!D23,'25.07 Kalewre-Kampala'!D23,'26.07 Kalerwe-Kampala-24h'!D23,'27.07 Kalerwe-Kampala-24h'!D23,'28.07 Kalerwe-Kampala'!D23)</f>
        <v>20.285714285714285</v>
      </c>
      <c r="E23" s="49">
        <f>AVERAGE('22.07 Kalerwe-Kampala'!E23,'23.07 Kalerwe-Kampala'!E23,'24.07 Kalewre-Kampala'!E23,'25.07 Kalewre-Kampala'!E23,'26.07 Kalerwe-Kampala-24h'!E23,'27.07 Kalerwe-Kampala-24h'!E23,'28.07 Kalerwe-Kampala'!E23)</f>
        <v>4.8571428571428568</v>
      </c>
      <c r="F23" s="49">
        <f>AVERAGE('22.07 Kalerwe-Kampala'!F23,'23.07 Kalerwe-Kampala'!F23,'24.07 Kalewre-Kampala'!F23,'25.07 Kalewre-Kampala'!F23,'26.07 Kalerwe-Kampala-24h'!F23,'27.07 Kalerwe-Kampala-24h'!F23,'28.07 Kalerwe-Kampala'!F23)</f>
        <v>47.142857142857146</v>
      </c>
      <c r="G23" s="49">
        <f>AVERAGE('22.07 Kalerwe-Kampala'!G23,'23.07 Kalerwe-Kampala'!G23,'24.07 Kalewre-Kampala'!G23,'25.07 Kalewre-Kampala'!G23,'26.07 Kalerwe-Kampala-24h'!G23,'27.07 Kalerwe-Kampala-24h'!G23,'28.07 Kalerwe-Kampala'!G23)</f>
        <v>0.7142857142857143</v>
      </c>
      <c r="H23" s="49">
        <f>AVERAGE('22.07 Kalerwe-Kampala'!H23,'23.07 Kalerwe-Kampala'!H23,'24.07 Kalewre-Kampala'!H23,'25.07 Kalewre-Kampala'!H23,'26.07 Kalerwe-Kampala-24h'!H23,'27.07 Kalerwe-Kampala-24h'!H23,'28.07 Kalerwe-Kampala'!H23)</f>
        <v>0.7142857142857143</v>
      </c>
      <c r="I23" s="49">
        <f>AVERAGE('22.07 Kalerwe-Kampala'!I23,'23.07 Kalerwe-Kampala'!I23,'24.07 Kalewre-Kampala'!I23,'25.07 Kalewre-Kampala'!I23,'26.07 Kalerwe-Kampala-24h'!I23,'27.07 Kalerwe-Kampala-24h'!I23,'28.07 Kalerwe-Kampala'!I23)</f>
        <v>5.4285714285714288</v>
      </c>
      <c r="J23" s="49">
        <f>AVERAGE('22.07 Kalerwe-Kampala'!J23,'23.07 Kalerwe-Kampala'!J23,'24.07 Kalewre-Kampala'!J23,'25.07 Kalewre-Kampala'!J23,'26.07 Kalerwe-Kampala-24h'!J23,'27.07 Kalerwe-Kampala-24h'!J23,'28.07 Kalerwe-Kampala'!J23)</f>
        <v>1.5714285714285714</v>
      </c>
      <c r="K23" s="49">
        <f>AVERAGE('22.07 Kalerwe-Kampala'!K23,'23.07 Kalerwe-Kampala'!K23,'24.07 Kalewre-Kampala'!K23,'25.07 Kalewre-Kampala'!K23,'26.07 Kalerwe-Kampala-24h'!K23,'27.07 Kalerwe-Kampala-24h'!K23,'28.07 Kalerwe-Kampala'!K23)</f>
        <v>1</v>
      </c>
      <c r="L23" s="49">
        <f>AVERAGE('22.07 Kalerwe-Kampala'!L23,'23.07 Kalerwe-Kampala'!L23,'24.07 Kalewre-Kampala'!L23,'25.07 Kalewre-Kampala'!L23,'26.07 Kalerwe-Kampala-24h'!L23,'27.07 Kalerwe-Kampala-24h'!L23,'28.07 Kalerwe-Kampala'!L23)</f>
        <v>0.8571428571428571</v>
      </c>
      <c r="M23" s="49">
        <f>AVERAGE('22.07 Kalerwe-Kampala'!M23,'23.07 Kalerwe-Kampala'!M23,'24.07 Kalewre-Kampala'!M23,'25.07 Kalewre-Kampala'!M23,'26.07 Kalerwe-Kampala-24h'!M23,'27.07 Kalerwe-Kampala-24h'!M23,'28.07 Kalerwe-Kampala'!M23)</f>
        <v>153.85714285714286</v>
      </c>
      <c r="N23" s="49">
        <f>AVERAGE('22.07 Kalerwe-Kampala'!N23,'23.07 Kalerwe-Kampala'!N23,'24.07 Kalewre-Kampala'!N23,'25.07 Kalewre-Kampala'!N23,'26.07 Kalerwe-Kampala-24h'!N23,'27.07 Kalerwe-Kampala-24h'!N23,'28.07 Kalerwe-Kampala'!N23)</f>
        <v>0</v>
      </c>
      <c r="O23" s="15">
        <f t="shared" si="0"/>
        <v>128.14285714285714</v>
      </c>
      <c r="P23" s="15">
        <f t="shared" si="1"/>
        <v>282</v>
      </c>
      <c r="R23" s="1" t="s">
        <v>147</v>
      </c>
      <c r="S23" s="34">
        <f>SUM(C62:C65)</f>
        <v>275</v>
      </c>
      <c r="T23" s="34">
        <f t="shared" ref="T23:AF23" si="15">SUM(D62:D65)</f>
        <v>9.5</v>
      </c>
      <c r="U23" s="34">
        <f t="shared" si="15"/>
        <v>15</v>
      </c>
      <c r="V23" s="34">
        <f t="shared" si="15"/>
        <v>221.5</v>
      </c>
      <c r="W23" s="34">
        <f t="shared" si="15"/>
        <v>14.5</v>
      </c>
      <c r="X23" s="34">
        <f t="shared" si="15"/>
        <v>27</v>
      </c>
      <c r="Y23" s="34">
        <f t="shared" si="15"/>
        <v>33</v>
      </c>
      <c r="Z23" s="34">
        <f t="shared" si="15"/>
        <v>8.5</v>
      </c>
      <c r="AA23" s="34">
        <f t="shared" si="15"/>
        <v>1.5</v>
      </c>
      <c r="AB23" s="34">
        <f t="shared" si="15"/>
        <v>1.5</v>
      </c>
      <c r="AC23" s="34">
        <f t="shared" si="15"/>
        <v>280</v>
      </c>
      <c r="AD23" s="34">
        <f t="shared" si="15"/>
        <v>0</v>
      </c>
      <c r="AE23" s="31">
        <f t="shared" si="15"/>
        <v>607</v>
      </c>
      <c r="AF23" s="31">
        <f t="shared" si="15"/>
        <v>887</v>
      </c>
    </row>
    <row r="24" spans="2:32" ht="23.1" customHeight="1" x14ac:dyDescent="0.25">
      <c r="B24" s="23" t="s">
        <v>51</v>
      </c>
      <c r="C24" s="49">
        <f>AVERAGE('22.07 Kalerwe-Kampala'!C24,'23.07 Kalerwe-Kampala'!C24,'24.07 Kalewre-Kampala'!C24,'25.07 Kalewre-Kampala'!C24,'26.07 Kalerwe-Kampala-24h'!C24,'27.07 Kalerwe-Kampala-24h'!C24,'28.07 Kalerwe-Kampala'!C24)</f>
        <v>43.857142857142854</v>
      </c>
      <c r="D24" s="49">
        <f>AVERAGE('22.07 Kalerwe-Kampala'!D24,'23.07 Kalerwe-Kampala'!D24,'24.07 Kalewre-Kampala'!D24,'25.07 Kalewre-Kampala'!D24,'26.07 Kalerwe-Kampala-24h'!D24,'27.07 Kalerwe-Kampala-24h'!D24,'28.07 Kalerwe-Kampala'!D24)</f>
        <v>15.857142857142858</v>
      </c>
      <c r="E24" s="49">
        <f>AVERAGE('22.07 Kalerwe-Kampala'!E24,'23.07 Kalerwe-Kampala'!E24,'24.07 Kalewre-Kampala'!E24,'25.07 Kalewre-Kampala'!E24,'26.07 Kalerwe-Kampala-24h'!E24,'27.07 Kalerwe-Kampala-24h'!E24,'28.07 Kalerwe-Kampala'!E24)</f>
        <v>5.5714285714285712</v>
      </c>
      <c r="F24" s="49">
        <f>AVERAGE('22.07 Kalerwe-Kampala'!F24,'23.07 Kalerwe-Kampala'!F24,'24.07 Kalewre-Kampala'!F24,'25.07 Kalewre-Kampala'!F24,'26.07 Kalerwe-Kampala-24h'!F24,'27.07 Kalerwe-Kampala-24h'!F24,'28.07 Kalerwe-Kampala'!F24)</f>
        <v>43.714285714285715</v>
      </c>
      <c r="G24" s="49">
        <f>AVERAGE('22.07 Kalerwe-Kampala'!G24,'23.07 Kalerwe-Kampala'!G24,'24.07 Kalewre-Kampala'!G24,'25.07 Kalewre-Kampala'!G24,'26.07 Kalerwe-Kampala-24h'!G24,'27.07 Kalerwe-Kampala-24h'!G24,'28.07 Kalerwe-Kampala'!G24)</f>
        <v>1.1428571428571428</v>
      </c>
      <c r="H24" s="49">
        <f>AVERAGE('22.07 Kalerwe-Kampala'!H24,'23.07 Kalerwe-Kampala'!H24,'24.07 Kalewre-Kampala'!H24,'25.07 Kalewre-Kampala'!H24,'26.07 Kalerwe-Kampala-24h'!H24,'27.07 Kalerwe-Kampala-24h'!H24,'28.07 Kalerwe-Kampala'!H24)</f>
        <v>0.7142857142857143</v>
      </c>
      <c r="I24" s="49">
        <f>AVERAGE('22.07 Kalerwe-Kampala'!I24,'23.07 Kalerwe-Kampala'!I24,'24.07 Kalewre-Kampala'!I24,'25.07 Kalewre-Kampala'!I24,'26.07 Kalerwe-Kampala-24h'!I24,'27.07 Kalerwe-Kampala-24h'!I24,'28.07 Kalerwe-Kampala'!I24)</f>
        <v>7</v>
      </c>
      <c r="J24" s="49">
        <f>AVERAGE('22.07 Kalerwe-Kampala'!J24,'23.07 Kalerwe-Kampala'!J24,'24.07 Kalewre-Kampala'!J24,'25.07 Kalewre-Kampala'!J24,'26.07 Kalerwe-Kampala-24h'!J24,'27.07 Kalerwe-Kampala-24h'!J24,'28.07 Kalerwe-Kampala'!J24)</f>
        <v>1.5714285714285714</v>
      </c>
      <c r="K24" s="49">
        <f>AVERAGE('22.07 Kalerwe-Kampala'!K24,'23.07 Kalerwe-Kampala'!K24,'24.07 Kalewre-Kampala'!K24,'25.07 Kalewre-Kampala'!K24,'26.07 Kalerwe-Kampala-24h'!K24,'27.07 Kalerwe-Kampala-24h'!K24,'28.07 Kalerwe-Kampala'!K24)</f>
        <v>0.8571428571428571</v>
      </c>
      <c r="L24" s="49">
        <f>AVERAGE('22.07 Kalerwe-Kampala'!L24,'23.07 Kalerwe-Kampala'!L24,'24.07 Kalewre-Kampala'!L24,'25.07 Kalewre-Kampala'!L24,'26.07 Kalerwe-Kampala-24h'!L24,'27.07 Kalerwe-Kampala-24h'!L24,'28.07 Kalerwe-Kampala'!L24)</f>
        <v>0.7142857142857143</v>
      </c>
      <c r="M24" s="49">
        <f>AVERAGE('22.07 Kalerwe-Kampala'!M24,'23.07 Kalerwe-Kampala'!M24,'24.07 Kalewre-Kampala'!M24,'25.07 Kalewre-Kampala'!M24,'26.07 Kalerwe-Kampala-24h'!M24,'27.07 Kalerwe-Kampala-24h'!M24,'28.07 Kalerwe-Kampala'!M24)</f>
        <v>160.42857142857142</v>
      </c>
      <c r="N24" s="49">
        <f>AVERAGE('22.07 Kalerwe-Kampala'!N24,'23.07 Kalerwe-Kampala'!N24,'24.07 Kalewre-Kampala'!N24,'25.07 Kalewre-Kampala'!N24,'26.07 Kalerwe-Kampala-24h'!N24,'27.07 Kalerwe-Kampala-24h'!N24,'28.07 Kalerwe-Kampala'!N24)</f>
        <v>0</v>
      </c>
      <c r="O24" s="15">
        <f t="shared" si="0"/>
        <v>120.99999999999999</v>
      </c>
      <c r="P24" s="15">
        <f t="shared" si="1"/>
        <v>281.42857142857139</v>
      </c>
      <c r="R24" s="1" t="s">
        <v>148</v>
      </c>
      <c r="S24" s="34">
        <f>SUM(C66:C69)</f>
        <v>103</v>
      </c>
      <c r="T24" s="34">
        <f t="shared" ref="T24:AF24" si="16">SUM(D66:D69)</f>
        <v>18</v>
      </c>
      <c r="U24" s="34">
        <f t="shared" si="16"/>
        <v>19.5</v>
      </c>
      <c r="V24" s="34">
        <f t="shared" si="16"/>
        <v>143</v>
      </c>
      <c r="W24" s="34">
        <f t="shared" si="16"/>
        <v>12</v>
      </c>
      <c r="X24" s="34">
        <f t="shared" si="16"/>
        <v>9</v>
      </c>
      <c r="Y24" s="34">
        <f t="shared" si="16"/>
        <v>20.5</v>
      </c>
      <c r="Z24" s="34">
        <f t="shared" si="16"/>
        <v>6.5</v>
      </c>
      <c r="AA24" s="34">
        <f t="shared" si="16"/>
        <v>7</v>
      </c>
      <c r="AB24" s="34">
        <f t="shared" si="16"/>
        <v>1</v>
      </c>
      <c r="AC24" s="34">
        <f t="shared" si="16"/>
        <v>396.5</v>
      </c>
      <c r="AD24" s="34">
        <f t="shared" si="16"/>
        <v>0</v>
      </c>
      <c r="AE24" s="31">
        <f t="shared" si="16"/>
        <v>339.5</v>
      </c>
      <c r="AF24" s="31">
        <f t="shared" si="16"/>
        <v>736</v>
      </c>
    </row>
    <row r="25" spans="2:32" ht="23.1" customHeight="1" x14ac:dyDescent="0.25">
      <c r="B25" s="23" t="s">
        <v>52</v>
      </c>
      <c r="C25" s="49">
        <f>AVERAGE('22.07 Kalerwe-Kampala'!C25,'23.07 Kalerwe-Kampala'!C25,'24.07 Kalewre-Kampala'!C25,'25.07 Kalewre-Kampala'!C25,'26.07 Kalerwe-Kampala-24h'!C25,'27.07 Kalerwe-Kampala-24h'!C25,'28.07 Kalerwe-Kampala'!C25)</f>
        <v>49.142857142857146</v>
      </c>
      <c r="D25" s="49">
        <f>AVERAGE('22.07 Kalerwe-Kampala'!D25,'23.07 Kalerwe-Kampala'!D25,'24.07 Kalewre-Kampala'!D25,'25.07 Kalewre-Kampala'!D25,'26.07 Kalerwe-Kampala-24h'!D25,'27.07 Kalerwe-Kampala-24h'!D25,'28.07 Kalerwe-Kampala'!D25)</f>
        <v>21</v>
      </c>
      <c r="E25" s="49">
        <f>AVERAGE('22.07 Kalerwe-Kampala'!E25,'23.07 Kalerwe-Kampala'!E25,'24.07 Kalewre-Kampala'!E25,'25.07 Kalewre-Kampala'!E25,'26.07 Kalerwe-Kampala-24h'!E25,'27.07 Kalerwe-Kampala-24h'!E25,'28.07 Kalerwe-Kampala'!E25)</f>
        <v>4.8571428571428568</v>
      </c>
      <c r="F25" s="49">
        <f>AVERAGE('22.07 Kalerwe-Kampala'!F25,'23.07 Kalerwe-Kampala'!F25,'24.07 Kalewre-Kampala'!F25,'25.07 Kalewre-Kampala'!F25,'26.07 Kalerwe-Kampala-24h'!F25,'27.07 Kalerwe-Kampala-24h'!F25,'28.07 Kalerwe-Kampala'!F25)</f>
        <v>50.142857142857146</v>
      </c>
      <c r="G25" s="49">
        <f>AVERAGE('22.07 Kalerwe-Kampala'!G25,'23.07 Kalerwe-Kampala'!G25,'24.07 Kalewre-Kampala'!G25,'25.07 Kalewre-Kampala'!G25,'26.07 Kalerwe-Kampala-24h'!G25,'27.07 Kalerwe-Kampala-24h'!G25,'28.07 Kalerwe-Kampala'!G25)</f>
        <v>1.4285714285714286</v>
      </c>
      <c r="H25" s="49">
        <f>AVERAGE('22.07 Kalerwe-Kampala'!H25,'23.07 Kalerwe-Kampala'!H25,'24.07 Kalewre-Kampala'!H25,'25.07 Kalewre-Kampala'!H25,'26.07 Kalerwe-Kampala-24h'!H25,'27.07 Kalerwe-Kampala-24h'!H25,'28.07 Kalerwe-Kampala'!H25)</f>
        <v>0</v>
      </c>
      <c r="I25" s="49">
        <f>AVERAGE('22.07 Kalerwe-Kampala'!I25,'23.07 Kalerwe-Kampala'!I25,'24.07 Kalewre-Kampala'!I25,'25.07 Kalewre-Kampala'!I25,'26.07 Kalerwe-Kampala-24h'!I25,'27.07 Kalerwe-Kampala-24h'!I25,'28.07 Kalerwe-Kampala'!I25)</f>
        <v>11.142857142857142</v>
      </c>
      <c r="J25" s="49">
        <f>AVERAGE('22.07 Kalerwe-Kampala'!J25,'23.07 Kalerwe-Kampala'!J25,'24.07 Kalewre-Kampala'!J25,'25.07 Kalewre-Kampala'!J25,'26.07 Kalerwe-Kampala-24h'!J25,'27.07 Kalerwe-Kampala-24h'!J25,'28.07 Kalerwe-Kampala'!J25)</f>
        <v>1.7142857142857142</v>
      </c>
      <c r="K25" s="49">
        <f>AVERAGE('22.07 Kalerwe-Kampala'!K25,'23.07 Kalerwe-Kampala'!K25,'24.07 Kalewre-Kampala'!K25,'25.07 Kalewre-Kampala'!K25,'26.07 Kalerwe-Kampala-24h'!K25,'27.07 Kalerwe-Kampala-24h'!K25,'28.07 Kalerwe-Kampala'!K25)</f>
        <v>0.5714285714285714</v>
      </c>
      <c r="L25" s="49">
        <f>AVERAGE('22.07 Kalerwe-Kampala'!L25,'23.07 Kalerwe-Kampala'!L25,'24.07 Kalewre-Kampala'!L25,'25.07 Kalewre-Kampala'!L25,'26.07 Kalerwe-Kampala-24h'!L25,'27.07 Kalerwe-Kampala-24h'!L25,'28.07 Kalerwe-Kampala'!L25)</f>
        <v>0.7142857142857143</v>
      </c>
      <c r="M25" s="49">
        <f>AVERAGE('22.07 Kalerwe-Kampala'!M25,'23.07 Kalerwe-Kampala'!M25,'24.07 Kalewre-Kampala'!M25,'25.07 Kalewre-Kampala'!M25,'26.07 Kalerwe-Kampala-24h'!M25,'27.07 Kalerwe-Kampala-24h'!M25,'28.07 Kalerwe-Kampala'!M25)</f>
        <v>163.71428571428572</v>
      </c>
      <c r="N25" s="49">
        <f>AVERAGE('22.07 Kalerwe-Kampala'!N25,'23.07 Kalerwe-Kampala'!N25,'24.07 Kalewre-Kampala'!N25,'25.07 Kalewre-Kampala'!N25,'26.07 Kalerwe-Kampala-24h'!N25,'27.07 Kalerwe-Kampala-24h'!N25,'28.07 Kalerwe-Kampala'!N25)</f>
        <v>0</v>
      </c>
      <c r="O25" s="15">
        <f t="shared" si="0"/>
        <v>140.71428571428575</v>
      </c>
      <c r="P25" s="15">
        <f t="shared" si="1"/>
        <v>304.42857142857144</v>
      </c>
      <c r="R25" s="1" t="s">
        <v>149</v>
      </c>
      <c r="S25" s="34">
        <f>SUM(C70:C73)</f>
        <v>105.5</v>
      </c>
      <c r="T25" s="34">
        <f t="shared" ref="T25:AF25" si="17">SUM(D70:D73)</f>
        <v>16.5</v>
      </c>
      <c r="U25" s="34">
        <f t="shared" si="17"/>
        <v>30</v>
      </c>
      <c r="V25" s="34">
        <f t="shared" si="17"/>
        <v>132.5</v>
      </c>
      <c r="W25" s="34">
        <f t="shared" si="17"/>
        <v>23</v>
      </c>
      <c r="X25" s="34">
        <f t="shared" si="17"/>
        <v>13</v>
      </c>
      <c r="Y25" s="34">
        <f t="shared" si="17"/>
        <v>32</v>
      </c>
      <c r="Z25" s="34">
        <f t="shared" si="17"/>
        <v>36.5</v>
      </c>
      <c r="AA25" s="34">
        <f t="shared" si="17"/>
        <v>12</v>
      </c>
      <c r="AB25" s="34">
        <f t="shared" si="17"/>
        <v>2</v>
      </c>
      <c r="AC25" s="34">
        <f t="shared" si="17"/>
        <v>245</v>
      </c>
      <c r="AD25" s="34">
        <f t="shared" si="17"/>
        <v>0</v>
      </c>
      <c r="AE25" s="31">
        <f t="shared" si="17"/>
        <v>403</v>
      </c>
      <c r="AF25" s="31">
        <f t="shared" si="17"/>
        <v>648</v>
      </c>
    </row>
    <row r="26" spans="2:32" ht="23.1" customHeight="1" x14ac:dyDescent="0.25">
      <c r="B26" s="23" t="s">
        <v>53</v>
      </c>
      <c r="C26" s="49">
        <f>AVERAGE('22.07 Kalerwe-Kampala'!C26,'23.07 Kalerwe-Kampala'!C26,'24.07 Kalewre-Kampala'!C26,'25.07 Kalewre-Kampala'!C26,'26.07 Kalerwe-Kampala-24h'!C26,'27.07 Kalerwe-Kampala-24h'!C26,'28.07 Kalerwe-Kampala'!C26)</f>
        <v>55.142857142857146</v>
      </c>
      <c r="D26" s="49">
        <f>AVERAGE('22.07 Kalerwe-Kampala'!D26,'23.07 Kalerwe-Kampala'!D26,'24.07 Kalewre-Kampala'!D26,'25.07 Kalewre-Kampala'!D26,'26.07 Kalerwe-Kampala-24h'!D26,'27.07 Kalerwe-Kampala-24h'!D26,'28.07 Kalerwe-Kampala'!D26)</f>
        <v>20.285714285714285</v>
      </c>
      <c r="E26" s="49">
        <f>AVERAGE('22.07 Kalerwe-Kampala'!E26,'23.07 Kalerwe-Kampala'!E26,'24.07 Kalewre-Kampala'!E26,'25.07 Kalewre-Kampala'!E26,'26.07 Kalerwe-Kampala-24h'!E26,'27.07 Kalerwe-Kampala-24h'!E26,'28.07 Kalerwe-Kampala'!E26)</f>
        <v>6.5714285714285712</v>
      </c>
      <c r="F26" s="49">
        <f>AVERAGE('22.07 Kalerwe-Kampala'!F26,'23.07 Kalerwe-Kampala'!F26,'24.07 Kalewre-Kampala'!F26,'25.07 Kalewre-Kampala'!F26,'26.07 Kalerwe-Kampala-24h'!F26,'27.07 Kalerwe-Kampala-24h'!F26,'28.07 Kalerwe-Kampala'!F26)</f>
        <v>53</v>
      </c>
      <c r="G26" s="49">
        <f>AVERAGE('22.07 Kalerwe-Kampala'!G26,'23.07 Kalerwe-Kampala'!G26,'24.07 Kalewre-Kampala'!G26,'25.07 Kalewre-Kampala'!G26,'26.07 Kalerwe-Kampala-24h'!G26,'27.07 Kalerwe-Kampala-24h'!G26,'28.07 Kalerwe-Kampala'!G26)</f>
        <v>0.8571428571428571</v>
      </c>
      <c r="H26" s="49">
        <f>AVERAGE('22.07 Kalerwe-Kampala'!H26,'23.07 Kalerwe-Kampala'!H26,'24.07 Kalewre-Kampala'!H26,'25.07 Kalewre-Kampala'!H26,'26.07 Kalerwe-Kampala-24h'!H26,'27.07 Kalerwe-Kampala-24h'!H26,'28.07 Kalerwe-Kampala'!H26)</f>
        <v>0.7142857142857143</v>
      </c>
      <c r="I26" s="49">
        <f>AVERAGE('22.07 Kalerwe-Kampala'!I26,'23.07 Kalerwe-Kampala'!I26,'24.07 Kalewre-Kampala'!I26,'25.07 Kalewre-Kampala'!I26,'26.07 Kalerwe-Kampala-24h'!I26,'27.07 Kalerwe-Kampala-24h'!I26,'28.07 Kalerwe-Kampala'!I26)</f>
        <v>7.5714285714285712</v>
      </c>
      <c r="J26" s="49">
        <f>AVERAGE('22.07 Kalerwe-Kampala'!J26,'23.07 Kalerwe-Kampala'!J26,'24.07 Kalewre-Kampala'!J26,'25.07 Kalewre-Kampala'!J26,'26.07 Kalerwe-Kampala-24h'!J26,'27.07 Kalerwe-Kampala-24h'!J26,'28.07 Kalerwe-Kampala'!J26)</f>
        <v>1</v>
      </c>
      <c r="K26" s="49">
        <f>AVERAGE('22.07 Kalerwe-Kampala'!K26,'23.07 Kalerwe-Kampala'!K26,'24.07 Kalewre-Kampala'!K26,'25.07 Kalewre-Kampala'!K26,'26.07 Kalerwe-Kampala-24h'!K26,'27.07 Kalerwe-Kampala-24h'!K26,'28.07 Kalerwe-Kampala'!K26)</f>
        <v>0.7142857142857143</v>
      </c>
      <c r="L26" s="49">
        <f>AVERAGE('22.07 Kalerwe-Kampala'!L26,'23.07 Kalerwe-Kampala'!L26,'24.07 Kalewre-Kampala'!L26,'25.07 Kalewre-Kampala'!L26,'26.07 Kalerwe-Kampala-24h'!L26,'27.07 Kalerwe-Kampala-24h'!L26,'28.07 Kalerwe-Kampala'!L26)</f>
        <v>0.42857142857142855</v>
      </c>
      <c r="M26" s="49">
        <f>AVERAGE('22.07 Kalerwe-Kampala'!M26,'23.07 Kalerwe-Kampala'!M26,'24.07 Kalewre-Kampala'!M26,'25.07 Kalewre-Kampala'!M26,'26.07 Kalerwe-Kampala-24h'!M26,'27.07 Kalerwe-Kampala-24h'!M26,'28.07 Kalerwe-Kampala'!M26)</f>
        <v>149.71428571428572</v>
      </c>
      <c r="N26" s="49">
        <f>AVERAGE('22.07 Kalerwe-Kampala'!N26,'23.07 Kalerwe-Kampala'!N26,'24.07 Kalewre-Kampala'!N26,'25.07 Kalewre-Kampala'!N26,'26.07 Kalerwe-Kampala-24h'!N26,'27.07 Kalerwe-Kampala-24h'!N26,'28.07 Kalerwe-Kampala'!N26)</f>
        <v>0</v>
      </c>
      <c r="O26" s="15">
        <f t="shared" si="0"/>
        <v>146.28571428571431</v>
      </c>
      <c r="P26" s="15">
        <f t="shared" si="1"/>
        <v>296</v>
      </c>
      <c r="R26" s="1" t="s">
        <v>150</v>
      </c>
      <c r="S26" s="34">
        <f>SUM(C74:C77)</f>
        <v>92.5</v>
      </c>
      <c r="T26" s="34">
        <f t="shared" ref="T26:AF26" si="18">SUM(D74:D77)</f>
        <v>7.5</v>
      </c>
      <c r="U26" s="34">
        <f t="shared" si="18"/>
        <v>14.5</v>
      </c>
      <c r="V26" s="34">
        <f t="shared" si="18"/>
        <v>68</v>
      </c>
      <c r="W26" s="34">
        <f t="shared" si="18"/>
        <v>9</v>
      </c>
      <c r="X26" s="34">
        <f t="shared" si="18"/>
        <v>4</v>
      </c>
      <c r="Y26" s="34">
        <f t="shared" si="18"/>
        <v>13</v>
      </c>
      <c r="Z26" s="34">
        <f t="shared" si="18"/>
        <v>17</v>
      </c>
      <c r="AA26" s="34">
        <f t="shared" si="18"/>
        <v>2.5</v>
      </c>
      <c r="AB26" s="34">
        <f t="shared" si="18"/>
        <v>2</v>
      </c>
      <c r="AC26" s="34">
        <f t="shared" si="18"/>
        <v>147.5</v>
      </c>
      <c r="AD26" s="34">
        <f t="shared" si="18"/>
        <v>0</v>
      </c>
      <c r="AE26" s="31">
        <f t="shared" si="18"/>
        <v>230</v>
      </c>
      <c r="AF26" s="31">
        <f t="shared" si="18"/>
        <v>377.5</v>
      </c>
    </row>
    <row r="27" spans="2:32" ht="23.1" customHeight="1" x14ac:dyDescent="0.25">
      <c r="B27" s="23" t="s">
        <v>54</v>
      </c>
      <c r="C27" s="49">
        <f>AVERAGE('22.07 Kalerwe-Kampala'!C27,'23.07 Kalerwe-Kampala'!C27,'24.07 Kalewre-Kampala'!C27,'25.07 Kalewre-Kampala'!C27,'26.07 Kalerwe-Kampala-24h'!C27,'27.07 Kalerwe-Kampala-24h'!C27,'28.07 Kalerwe-Kampala'!C27)</f>
        <v>57.428571428571431</v>
      </c>
      <c r="D27" s="49">
        <f>AVERAGE('22.07 Kalerwe-Kampala'!D27,'23.07 Kalerwe-Kampala'!D27,'24.07 Kalewre-Kampala'!D27,'25.07 Kalewre-Kampala'!D27,'26.07 Kalerwe-Kampala-24h'!D27,'27.07 Kalerwe-Kampala-24h'!D27,'28.07 Kalerwe-Kampala'!D27)</f>
        <v>19.285714285714285</v>
      </c>
      <c r="E27" s="49">
        <f>AVERAGE('22.07 Kalerwe-Kampala'!E27,'23.07 Kalerwe-Kampala'!E27,'24.07 Kalewre-Kampala'!E27,'25.07 Kalewre-Kampala'!E27,'26.07 Kalerwe-Kampala-24h'!E27,'27.07 Kalerwe-Kampala-24h'!E27,'28.07 Kalerwe-Kampala'!E27)</f>
        <v>7.4285714285714288</v>
      </c>
      <c r="F27" s="49">
        <f>AVERAGE('22.07 Kalerwe-Kampala'!F27,'23.07 Kalerwe-Kampala'!F27,'24.07 Kalewre-Kampala'!F27,'25.07 Kalewre-Kampala'!F27,'26.07 Kalerwe-Kampala-24h'!F27,'27.07 Kalerwe-Kampala-24h'!F27,'28.07 Kalerwe-Kampala'!F27)</f>
        <v>40.857142857142854</v>
      </c>
      <c r="G27" s="49">
        <f>AVERAGE('22.07 Kalerwe-Kampala'!G27,'23.07 Kalerwe-Kampala'!G27,'24.07 Kalewre-Kampala'!G27,'25.07 Kalewre-Kampala'!G27,'26.07 Kalerwe-Kampala-24h'!G27,'27.07 Kalerwe-Kampala-24h'!G27,'28.07 Kalerwe-Kampala'!G27)</f>
        <v>0.7142857142857143</v>
      </c>
      <c r="H27" s="49">
        <f>AVERAGE('22.07 Kalerwe-Kampala'!H27,'23.07 Kalerwe-Kampala'!H27,'24.07 Kalewre-Kampala'!H27,'25.07 Kalewre-Kampala'!H27,'26.07 Kalerwe-Kampala-24h'!H27,'27.07 Kalerwe-Kampala-24h'!H27,'28.07 Kalerwe-Kampala'!H27)</f>
        <v>0.7142857142857143</v>
      </c>
      <c r="I27" s="49">
        <f>AVERAGE('22.07 Kalerwe-Kampala'!I27,'23.07 Kalerwe-Kampala'!I27,'24.07 Kalewre-Kampala'!I27,'25.07 Kalewre-Kampala'!I27,'26.07 Kalerwe-Kampala-24h'!I27,'27.07 Kalerwe-Kampala-24h'!I27,'28.07 Kalerwe-Kampala'!I27)</f>
        <v>8.1428571428571423</v>
      </c>
      <c r="J27" s="49">
        <f>AVERAGE('22.07 Kalerwe-Kampala'!J27,'23.07 Kalerwe-Kampala'!J27,'24.07 Kalewre-Kampala'!J27,'25.07 Kalewre-Kampala'!J27,'26.07 Kalerwe-Kampala-24h'!J27,'27.07 Kalerwe-Kampala-24h'!J27,'28.07 Kalerwe-Kampala'!J27)</f>
        <v>1.2857142857142858</v>
      </c>
      <c r="K27" s="49">
        <f>AVERAGE('22.07 Kalerwe-Kampala'!K27,'23.07 Kalerwe-Kampala'!K27,'24.07 Kalewre-Kampala'!K27,'25.07 Kalewre-Kampala'!K27,'26.07 Kalerwe-Kampala-24h'!K27,'27.07 Kalerwe-Kampala-24h'!K27,'28.07 Kalerwe-Kampala'!K27)</f>
        <v>0.5714285714285714</v>
      </c>
      <c r="L27" s="49">
        <f>AVERAGE('22.07 Kalerwe-Kampala'!L27,'23.07 Kalerwe-Kampala'!L27,'24.07 Kalewre-Kampala'!L27,'25.07 Kalewre-Kampala'!L27,'26.07 Kalerwe-Kampala-24h'!L27,'27.07 Kalerwe-Kampala-24h'!L27,'28.07 Kalerwe-Kampala'!L27)</f>
        <v>0.14285714285714285</v>
      </c>
      <c r="M27" s="49">
        <f>AVERAGE('22.07 Kalerwe-Kampala'!M27,'23.07 Kalerwe-Kampala'!M27,'24.07 Kalewre-Kampala'!M27,'25.07 Kalewre-Kampala'!M27,'26.07 Kalerwe-Kampala-24h'!M27,'27.07 Kalerwe-Kampala-24h'!M27,'28.07 Kalerwe-Kampala'!M27)</f>
        <v>169.42857142857142</v>
      </c>
      <c r="N27" s="49">
        <f>AVERAGE('22.07 Kalerwe-Kampala'!N27,'23.07 Kalerwe-Kampala'!N27,'24.07 Kalewre-Kampala'!N27,'25.07 Kalewre-Kampala'!N27,'26.07 Kalerwe-Kampala-24h'!N27,'27.07 Kalerwe-Kampala-24h'!N27,'28.07 Kalerwe-Kampala'!N27)</f>
        <v>0</v>
      </c>
      <c r="O27" s="15">
        <f t="shared" si="0"/>
        <v>136.57142857142856</v>
      </c>
      <c r="P27" s="15">
        <f t="shared" si="1"/>
        <v>306</v>
      </c>
      <c r="R27" s="1" t="s">
        <v>151</v>
      </c>
      <c r="S27" s="34">
        <f>SUM(C78:C81)</f>
        <v>76</v>
      </c>
      <c r="T27" s="34">
        <f t="shared" ref="T27:AF27" si="19">SUM(D78:D81)</f>
        <v>8.5</v>
      </c>
      <c r="U27" s="34">
        <f t="shared" si="19"/>
        <v>13</v>
      </c>
      <c r="V27" s="34">
        <f t="shared" si="19"/>
        <v>72.5</v>
      </c>
      <c r="W27" s="34">
        <f t="shared" si="19"/>
        <v>3</v>
      </c>
      <c r="X27" s="34">
        <f t="shared" si="19"/>
        <v>3</v>
      </c>
      <c r="Y27" s="34">
        <f t="shared" si="19"/>
        <v>23</v>
      </c>
      <c r="Z27" s="34">
        <f t="shared" si="19"/>
        <v>11.5</v>
      </c>
      <c r="AA27" s="34">
        <f t="shared" si="19"/>
        <v>3</v>
      </c>
      <c r="AB27" s="34">
        <f t="shared" si="19"/>
        <v>4.5</v>
      </c>
      <c r="AC27" s="34">
        <f t="shared" si="19"/>
        <v>110.5</v>
      </c>
      <c r="AD27" s="34">
        <f t="shared" si="19"/>
        <v>0</v>
      </c>
      <c r="AE27" s="31">
        <f t="shared" si="19"/>
        <v>218</v>
      </c>
      <c r="AF27" s="31">
        <f t="shared" si="19"/>
        <v>328.5</v>
      </c>
    </row>
    <row r="28" spans="2:32" ht="23.1" customHeight="1" x14ac:dyDescent="0.25">
      <c r="B28" s="23" t="s">
        <v>55</v>
      </c>
      <c r="C28" s="49">
        <f>AVERAGE('22.07 Kalerwe-Kampala'!C28,'23.07 Kalerwe-Kampala'!C28,'24.07 Kalewre-Kampala'!C28,'25.07 Kalewre-Kampala'!C28,'26.07 Kalerwe-Kampala-24h'!C28,'27.07 Kalerwe-Kampala-24h'!C28,'28.07 Kalerwe-Kampala'!C28)</f>
        <v>56.857142857142854</v>
      </c>
      <c r="D28" s="49">
        <f>AVERAGE('22.07 Kalerwe-Kampala'!D28,'23.07 Kalerwe-Kampala'!D28,'24.07 Kalewre-Kampala'!D28,'25.07 Kalewre-Kampala'!D28,'26.07 Kalerwe-Kampala-24h'!D28,'27.07 Kalerwe-Kampala-24h'!D28,'28.07 Kalerwe-Kampala'!D28)</f>
        <v>21.857142857142858</v>
      </c>
      <c r="E28" s="49">
        <f>AVERAGE('22.07 Kalerwe-Kampala'!E28,'23.07 Kalerwe-Kampala'!E28,'24.07 Kalewre-Kampala'!E28,'25.07 Kalewre-Kampala'!E28,'26.07 Kalerwe-Kampala-24h'!E28,'27.07 Kalerwe-Kampala-24h'!E28,'28.07 Kalerwe-Kampala'!E28)</f>
        <v>7.2857142857142856</v>
      </c>
      <c r="F28" s="49">
        <f>AVERAGE('22.07 Kalerwe-Kampala'!F28,'23.07 Kalerwe-Kampala'!F28,'24.07 Kalewre-Kampala'!F28,'25.07 Kalewre-Kampala'!F28,'26.07 Kalerwe-Kampala-24h'!F28,'27.07 Kalerwe-Kampala-24h'!F28,'28.07 Kalerwe-Kampala'!F28)</f>
        <v>36</v>
      </c>
      <c r="G28" s="49">
        <f>AVERAGE('22.07 Kalerwe-Kampala'!G28,'23.07 Kalerwe-Kampala'!G28,'24.07 Kalewre-Kampala'!G28,'25.07 Kalewre-Kampala'!G28,'26.07 Kalerwe-Kampala-24h'!G28,'27.07 Kalerwe-Kampala-24h'!G28,'28.07 Kalerwe-Kampala'!G28)</f>
        <v>1.2857142857142858</v>
      </c>
      <c r="H28" s="49">
        <f>AVERAGE('22.07 Kalerwe-Kampala'!H28,'23.07 Kalerwe-Kampala'!H28,'24.07 Kalewre-Kampala'!H28,'25.07 Kalewre-Kampala'!H28,'26.07 Kalerwe-Kampala-24h'!H28,'27.07 Kalerwe-Kampala-24h'!H28,'28.07 Kalerwe-Kampala'!H28)</f>
        <v>0.8571428571428571</v>
      </c>
      <c r="I28" s="49">
        <f>AVERAGE('22.07 Kalerwe-Kampala'!I28,'23.07 Kalerwe-Kampala'!I28,'24.07 Kalewre-Kampala'!I28,'25.07 Kalewre-Kampala'!I28,'26.07 Kalerwe-Kampala-24h'!I28,'27.07 Kalerwe-Kampala-24h'!I28,'28.07 Kalerwe-Kampala'!I28)</f>
        <v>8</v>
      </c>
      <c r="J28" s="49">
        <f>AVERAGE('22.07 Kalerwe-Kampala'!J28,'23.07 Kalerwe-Kampala'!J28,'24.07 Kalewre-Kampala'!J28,'25.07 Kalewre-Kampala'!J28,'26.07 Kalerwe-Kampala-24h'!J28,'27.07 Kalerwe-Kampala-24h'!J28,'28.07 Kalerwe-Kampala'!J28)</f>
        <v>2.5714285714285716</v>
      </c>
      <c r="K28" s="49">
        <f>AVERAGE('22.07 Kalerwe-Kampala'!K28,'23.07 Kalerwe-Kampala'!K28,'24.07 Kalewre-Kampala'!K28,'25.07 Kalewre-Kampala'!K28,'26.07 Kalerwe-Kampala-24h'!K28,'27.07 Kalerwe-Kampala-24h'!K28,'28.07 Kalerwe-Kampala'!K28)</f>
        <v>0.7142857142857143</v>
      </c>
      <c r="L28" s="49">
        <f>AVERAGE('22.07 Kalerwe-Kampala'!L28,'23.07 Kalerwe-Kampala'!L28,'24.07 Kalewre-Kampala'!L28,'25.07 Kalewre-Kampala'!L28,'26.07 Kalerwe-Kampala-24h'!L28,'27.07 Kalerwe-Kampala-24h'!L28,'28.07 Kalerwe-Kampala'!L28)</f>
        <v>1.1428571428571428</v>
      </c>
      <c r="M28" s="49">
        <f>AVERAGE('22.07 Kalerwe-Kampala'!M28,'23.07 Kalerwe-Kampala'!M28,'24.07 Kalewre-Kampala'!M28,'25.07 Kalewre-Kampala'!M28,'26.07 Kalerwe-Kampala-24h'!M28,'27.07 Kalerwe-Kampala-24h'!M28,'28.07 Kalerwe-Kampala'!M28)</f>
        <v>155.42857142857142</v>
      </c>
      <c r="N28" s="49">
        <f>AVERAGE('22.07 Kalerwe-Kampala'!N28,'23.07 Kalerwe-Kampala'!N28,'24.07 Kalewre-Kampala'!N28,'25.07 Kalewre-Kampala'!N28,'26.07 Kalerwe-Kampala-24h'!N28,'27.07 Kalerwe-Kampala-24h'!N28,'28.07 Kalerwe-Kampala'!N28)</f>
        <v>0</v>
      </c>
      <c r="O28" s="15">
        <f t="shared" si="0"/>
        <v>136.57142857142861</v>
      </c>
      <c r="P28" s="15">
        <f t="shared" si="1"/>
        <v>292</v>
      </c>
      <c r="R28" s="1" t="s">
        <v>152</v>
      </c>
      <c r="S28" s="34">
        <f>SUM(C82:C85)</f>
        <v>97</v>
      </c>
      <c r="T28" s="34">
        <f t="shared" ref="T28:AF28" si="20">SUM(D82:D85)</f>
        <v>21.5</v>
      </c>
      <c r="U28" s="34">
        <f t="shared" si="20"/>
        <v>7.5</v>
      </c>
      <c r="V28" s="34">
        <f t="shared" si="20"/>
        <v>22.5</v>
      </c>
      <c r="W28" s="34">
        <f t="shared" si="20"/>
        <v>6</v>
      </c>
      <c r="X28" s="34">
        <f t="shared" si="20"/>
        <v>4.5</v>
      </c>
      <c r="Y28" s="34">
        <f t="shared" si="20"/>
        <v>20.5</v>
      </c>
      <c r="Z28" s="34">
        <f t="shared" si="20"/>
        <v>16</v>
      </c>
      <c r="AA28" s="34">
        <f t="shared" si="20"/>
        <v>5</v>
      </c>
      <c r="AB28" s="34">
        <f t="shared" si="20"/>
        <v>1</v>
      </c>
      <c r="AC28" s="34">
        <f t="shared" si="20"/>
        <v>113.5</v>
      </c>
      <c r="AD28" s="34">
        <f t="shared" si="20"/>
        <v>0</v>
      </c>
      <c r="AE28" s="31">
        <f t="shared" si="20"/>
        <v>201.5</v>
      </c>
      <c r="AF28" s="31">
        <f t="shared" si="20"/>
        <v>315</v>
      </c>
    </row>
    <row r="29" spans="2:32" ht="23.1" customHeight="1" x14ac:dyDescent="0.25">
      <c r="B29" s="23" t="s">
        <v>56</v>
      </c>
      <c r="C29" s="49">
        <f>AVERAGE('22.07 Kalerwe-Kampala'!C29,'23.07 Kalerwe-Kampala'!C29,'24.07 Kalewre-Kampala'!C29,'25.07 Kalewre-Kampala'!C29,'26.07 Kalerwe-Kampala-24h'!C29,'27.07 Kalerwe-Kampala-24h'!C29,'28.07 Kalerwe-Kampala'!C29)</f>
        <v>68.571428571428569</v>
      </c>
      <c r="D29" s="49">
        <f>AVERAGE('22.07 Kalerwe-Kampala'!D29,'23.07 Kalerwe-Kampala'!D29,'24.07 Kalewre-Kampala'!D29,'25.07 Kalewre-Kampala'!D29,'26.07 Kalerwe-Kampala-24h'!D29,'27.07 Kalerwe-Kampala-24h'!D29,'28.07 Kalerwe-Kampala'!D29)</f>
        <v>17.285714285714285</v>
      </c>
      <c r="E29" s="49">
        <f>AVERAGE('22.07 Kalerwe-Kampala'!E29,'23.07 Kalerwe-Kampala'!E29,'24.07 Kalewre-Kampala'!E29,'25.07 Kalewre-Kampala'!E29,'26.07 Kalerwe-Kampala-24h'!E29,'27.07 Kalerwe-Kampala-24h'!E29,'28.07 Kalerwe-Kampala'!E29)</f>
        <v>5.1428571428571432</v>
      </c>
      <c r="F29" s="49">
        <f>AVERAGE('22.07 Kalerwe-Kampala'!F29,'23.07 Kalerwe-Kampala'!F29,'24.07 Kalewre-Kampala'!F29,'25.07 Kalewre-Kampala'!F29,'26.07 Kalerwe-Kampala-24h'!F29,'27.07 Kalerwe-Kampala-24h'!F29,'28.07 Kalerwe-Kampala'!F29)</f>
        <v>46</v>
      </c>
      <c r="G29" s="49">
        <f>AVERAGE('22.07 Kalerwe-Kampala'!G29,'23.07 Kalerwe-Kampala'!G29,'24.07 Kalewre-Kampala'!G29,'25.07 Kalewre-Kampala'!G29,'26.07 Kalerwe-Kampala-24h'!G29,'27.07 Kalerwe-Kampala-24h'!G29,'28.07 Kalerwe-Kampala'!G29)</f>
        <v>0.7142857142857143</v>
      </c>
      <c r="H29" s="49">
        <f>AVERAGE('22.07 Kalerwe-Kampala'!H29,'23.07 Kalerwe-Kampala'!H29,'24.07 Kalewre-Kampala'!H29,'25.07 Kalewre-Kampala'!H29,'26.07 Kalerwe-Kampala-24h'!H29,'27.07 Kalerwe-Kampala-24h'!H29,'28.07 Kalerwe-Kampala'!H29)</f>
        <v>0.7142857142857143</v>
      </c>
      <c r="I29" s="49">
        <f>AVERAGE('22.07 Kalerwe-Kampala'!I29,'23.07 Kalerwe-Kampala'!I29,'24.07 Kalewre-Kampala'!I29,'25.07 Kalewre-Kampala'!I29,'26.07 Kalerwe-Kampala-24h'!I29,'27.07 Kalerwe-Kampala-24h'!I29,'28.07 Kalerwe-Kampala'!I29)</f>
        <v>7.5714285714285712</v>
      </c>
      <c r="J29" s="49">
        <f>AVERAGE('22.07 Kalerwe-Kampala'!J29,'23.07 Kalerwe-Kampala'!J29,'24.07 Kalewre-Kampala'!J29,'25.07 Kalewre-Kampala'!J29,'26.07 Kalerwe-Kampala-24h'!J29,'27.07 Kalerwe-Kampala-24h'!J29,'28.07 Kalerwe-Kampala'!J29)</f>
        <v>1.8571428571428572</v>
      </c>
      <c r="K29" s="49">
        <f>AVERAGE('22.07 Kalerwe-Kampala'!K29,'23.07 Kalerwe-Kampala'!K29,'24.07 Kalewre-Kampala'!K29,'25.07 Kalewre-Kampala'!K29,'26.07 Kalerwe-Kampala-24h'!K29,'27.07 Kalerwe-Kampala-24h'!K29,'28.07 Kalerwe-Kampala'!K29)</f>
        <v>1</v>
      </c>
      <c r="L29" s="49">
        <f>AVERAGE('22.07 Kalerwe-Kampala'!L29,'23.07 Kalerwe-Kampala'!L29,'24.07 Kalewre-Kampala'!L29,'25.07 Kalewre-Kampala'!L29,'26.07 Kalerwe-Kampala-24h'!L29,'27.07 Kalerwe-Kampala-24h'!L29,'28.07 Kalerwe-Kampala'!L29)</f>
        <v>0.7142857142857143</v>
      </c>
      <c r="M29" s="49">
        <f>AVERAGE('22.07 Kalerwe-Kampala'!M29,'23.07 Kalerwe-Kampala'!M29,'24.07 Kalewre-Kampala'!M29,'25.07 Kalewre-Kampala'!M29,'26.07 Kalerwe-Kampala-24h'!M29,'27.07 Kalerwe-Kampala-24h'!M29,'28.07 Kalerwe-Kampala'!M29)</f>
        <v>158.85714285714286</v>
      </c>
      <c r="N29" s="49">
        <f>AVERAGE('22.07 Kalerwe-Kampala'!N29,'23.07 Kalerwe-Kampala'!N29,'24.07 Kalewre-Kampala'!N29,'25.07 Kalewre-Kampala'!N29,'26.07 Kalerwe-Kampala-24h'!N29,'27.07 Kalerwe-Kampala-24h'!N29,'28.07 Kalerwe-Kampala'!N29)</f>
        <v>0</v>
      </c>
      <c r="O29" s="15">
        <f t="shared" si="0"/>
        <v>149.57142857142861</v>
      </c>
      <c r="P29" s="15">
        <f t="shared" si="1"/>
        <v>308.42857142857144</v>
      </c>
      <c r="R29" s="1" t="s">
        <v>153</v>
      </c>
      <c r="S29" s="34">
        <f>SUM(C86:C89)</f>
        <v>71.5</v>
      </c>
      <c r="T29" s="34">
        <f t="shared" ref="T29:AF29" si="21">SUM(D86:D89)</f>
        <v>5</v>
      </c>
      <c r="U29" s="34">
        <f t="shared" si="21"/>
        <v>8</v>
      </c>
      <c r="V29" s="34">
        <f t="shared" si="21"/>
        <v>36.5</v>
      </c>
      <c r="W29" s="34">
        <f t="shared" si="21"/>
        <v>3.5</v>
      </c>
      <c r="X29" s="34">
        <f t="shared" si="21"/>
        <v>3</v>
      </c>
      <c r="Y29" s="34">
        <f t="shared" si="21"/>
        <v>17.5</v>
      </c>
      <c r="Z29" s="34">
        <f t="shared" si="21"/>
        <v>23</v>
      </c>
      <c r="AA29" s="34">
        <f t="shared" si="21"/>
        <v>8.5</v>
      </c>
      <c r="AB29" s="34">
        <f t="shared" si="21"/>
        <v>0.5</v>
      </c>
      <c r="AC29" s="34">
        <f t="shared" si="21"/>
        <v>124</v>
      </c>
      <c r="AD29" s="34">
        <f t="shared" si="21"/>
        <v>0</v>
      </c>
      <c r="AE29" s="31">
        <f t="shared" si="21"/>
        <v>177</v>
      </c>
      <c r="AF29" s="31">
        <f t="shared" si="21"/>
        <v>301</v>
      </c>
    </row>
    <row r="30" spans="2:32" ht="23.1" customHeight="1" x14ac:dyDescent="0.25">
      <c r="B30" s="23" t="s">
        <v>57</v>
      </c>
      <c r="C30" s="49">
        <f>AVERAGE('22.07 Kalerwe-Kampala'!C30,'23.07 Kalerwe-Kampala'!C30,'24.07 Kalewre-Kampala'!C30,'25.07 Kalewre-Kampala'!C30,'26.07 Kalerwe-Kampala-24h'!C30,'27.07 Kalerwe-Kampala-24h'!C30,'28.07 Kalerwe-Kampala'!C30)</f>
        <v>47.142857142857146</v>
      </c>
      <c r="D30" s="49">
        <f>AVERAGE('22.07 Kalerwe-Kampala'!D30,'23.07 Kalerwe-Kampala'!D30,'24.07 Kalewre-Kampala'!D30,'25.07 Kalewre-Kampala'!D30,'26.07 Kalerwe-Kampala-24h'!D30,'27.07 Kalerwe-Kampala-24h'!D30,'28.07 Kalerwe-Kampala'!D30)</f>
        <v>26.714285714285715</v>
      </c>
      <c r="E30" s="49">
        <f>AVERAGE('22.07 Kalerwe-Kampala'!E30,'23.07 Kalerwe-Kampala'!E30,'24.07 Kalewre-Kampala'!E30,'25.07 Kalewre-Kampala'!E30,'26.07 Kalerwe-Kampala-24h'!E30,'27.07 Kalerwe-Kampala-24h'!E30,'28.07 Kalerwe-Kampala'!E30)</f>
        <v>8.1428571428571423</v>
      </c>
      <c r="F30" s="49">
        <f>AVERAGE('22.07 Kalerwe-Kampala'!F30,'23.07 Kalerwe-Kampala'!F30,'24.07 Kalewre-Kampala'!F30,'25.07 Kalewre-Kampala'!F30,'26.07 Kalerwe-Kampala-24h'!F30,'27.07 Kalerwe-Kampala-24h'!F30,'28.07 Kalerwe-Kampala'!F30)</f>
        <v>34.285714285714285</v>
      </c>
      <c r="G30" s="49">
        <f>AVERAGE('22.07 Kalerwe-Kampala'!G30,'23.07 Kalerwe-Kampala'!G30,'24.07 Kalewre-Kampala'!G30,'25.07 Kalewre-Kampala'!G30,'26.07 Kalerwe-Kampala-24h'!G30,'27.07 Kalerwe-Kampala-24h'!G30,'28.07 Kalerwe-Kampala'!G30)</f>
        <v>0.2857142857142857</v>
      </c>
      <c r="H30" s="49">
        <f>AVERAGE('22.07 Kalerwe-Kampala'!H30,'23.07 Kalerwe-Kampala'!H30,'24.07 Kalewre-Kampala'!H30,'25.07 Kalewre-Kampala'!H30,'26.07 Kalerwe-Kampala-24h'!H30,'27.07 Kalerwe-Kampala-24h'!H30,'28.07 Kalerwe-Kampala'!H30)</f>
        <v>0.14285714285714285</v>
      </c>
      <c r="I30" s="49">
        <f>AVERAGE('22.07 Kalerwe-Kampala'!I30,'23.07 Kalerwe-Kampala'!I30,'24.07 Kalewre-Kampala'!I30,'25.07 Kalewre-Kampala'!I30,'26.07 Kalerwe-Kampala-24h'!I30,'27.07 Kalerwe-Kampala-24h'!I30,'28.07 Kalerwe-Kampala'!I30)</f>
        <v>5.5714285714285712</v>
      </c>
      <c r="J30" s="49">
        <f>AVERAGE('22.07 Kalerwe-Kampala'!J30,'23.07 Kalerwe-Kampala'!J30,'24.07 Kalewre-Kampala'!J30,'25.07 Kalewre-Kampala'!J30,'26.07 Kalerwe-Kampala-24h'!J30,'27.07 Kalerwe-Kampala-24h'!J30,'28.07 Kalerwe-Kampala'!J30)</f>
        <v>1.7142857142857142</v>
      </c>
      <c r="K30" s="49">
        <f>AVERAGE('22.07 Kalerwe-Kampala'!K30,'23.07 Kalerwe-Kampala'!K30,'24.07 Kalewre-Kampala'!K30,'25.07 Kalewre-Kampala'!K30,'26.07 Kalerwe-Kampala-24h'!K30,'27.07 Kalerwe-Kampala-24h'!K30,'28.07 Kalerwe-Kampala'!K30)</f>
        <v>0.7142857142857143</v>
      </c>
      <c r="L30" s="49">
        <f>AVERAGE('22.07 Kalerwe-Kampala'!L30,'23.07 Kalerwe-Kampala'!L30,'24.07 Kalewre-Kampala'!L30,'25.07 Kalewre-Kampala'!L30,'26.07 Kalerwe-Kampala-24h'!L30,'27.07 Kalerwe-Kampala-24h'!L30,'28.07 Kalerwe-Kampala'!L30)</f>
        <v>0.14285714285714285</v>
      </c>
      <c r="M30" s="49">
        <f>AVERAGE('22.07 Kalerwe-Kampala'!M30,'23.07 Kalerwe-Kampala'!M30,'24.07 Kalewre-Kampala'!M30,'25.07 Kalewre-Kampala'!M30,'26.07 Kalerwe-Kampala-24h'!M30,'27.07 Kalerwe-Kampala-24h'!M30,'28.07 Kalerwe-Kampala'!M30)</f>
        <v>123.57142857142857</v>
      </c>
      <c r="N30" s="49">
        <f>AVERAGE('22.07 Kalerwe-Kampala'!N30,'23.07 Kalerwe-Kampala'!N30,'24.07 Kalewre-Kampala'!N30,'25.07 Kalewre-Kampala'!N30,'26.07 Kalerwe-Kampala-24h'!N30,'27.07 Kalerwe-Kampala-24h'!N30,'28.07 Kalerwe-Kampala'!N30)</f>
        <v>0</v>
      </c>
      <c r="O30" s="15">
        <f t="shared" si="0"/>
        <v>124.85714285714283</v>
      </c>
      <c r="P30" s="15">
        <f t="shared" si="1"/>
        <v>248.42857142857139</v>
      </c>
      <c r="R30" s="1" t="s">
        <v>154</v>
      </c>
      <c r="S30" s="34">
        <f>SUM(C90:C93)</f>
        <v>65</v>
      </c>
      <c r="T30" s="34">
        <f t="shared" ref="T30:AF30" si="22">SUM(D90:D93)</f>
        <v>5</v>
      </c>
      <c r="U30" s="34">
        <f t="shared" si="22"/>
        <v>14.5</v>
      </c>
      <c r="V30" s="34">
        <f t="shared" si="22"/>
        <v>37</v>
      </c>
      <c r="W30" s="34">
        <f t="shared" si="22"/>
        <v>8.5</v>
      </c>
      <c r="X30" s="34">
        <f t="shared" si="22"/>
        <v>11.5</v>
      </c>
      <c r="Y30" s="34">
        <f t="shared" si="22"/>
        <v>11</v>
      </c>
      <c r="Z30" s="34">
        <f t="shared" si="22"/>
        <v>12</v>
      </c>
      <c r="AA30" s="34">
        <f t="shared" si="22"/>
        <v>6.5</v>
      </c>
      <c r="AB30" s="34">
        <f t="shared" si="22"/>
        <v>1</v>
      </c>
      <c r="AC30" s="34">
        <f t="shared" si="22"/>
        <v>100</v>
      </c>
      <c r="AD30" s="34">
        <f t="shared" si="22"/>
        <v>0</v>
      </c>
      <c r="AE30" s="31">
        <f t="shared" si="22"/>
        <v>172</v>
      </c>
      <c r="AF30" s="31">
        <f t="shared" si="22"/>
        <v>272</v>
      </c>
    </row>
    <row r="31" spans="2:32" ht="23.1" customHeight="1" x14ac:dyDescent="0.25">
      <c r="B31" s="24" t="s">
        <v>58</v>
      </c>
      <c r="C31" s="49">
        <f>AVERAGE('22.07 Kalerwe-Kampala'!C31,'23.07 Kalerwe-Kampala'!C31,'24.07 Kalewre-Kampala'!C31,'25.07 Kalewre-Kampala'!C31,'26.07 Kalerwe-Kampala-24h'!C31,'27.07 Kalerwe-Kampala-24h'!C31,'28.07 Kalerwe-Kampala'!C31)</f>
        <v>47.714285714285715</v>
      </c>
      <c r="D31" s="49">
        <f>AVERAGE('22.07 Kalerwe-Kampala'!D31,'23.07 Kalerwe-Kampala'!D31,'24.07 Kalewre-Kampala'!D31,'25.07 Kalewre-Kampala'!D31,'26.07 Kalerwe-Kampala-24h'!D31,'27.07 Kalerwe-Kampala-24h'!D31,'28.07 Kalerwe-Kampala'!D31)</f>
        <v>24.714285714285715</v>
      </c>
      <c r="E31" s="49">
        <f>AVERAGE('22.07 Kalerwe-Kampala'!E31,'23.07 Kalerwe-Kampala'!E31,'24.07 Kalewre-Kampala'!E31,'25.07 Kalewre-Kampala'!E31,'26.07 Kalerwe-Kampala-24h'!E31,'27.07 Kalerwe-Kampala-24h'!E31,'28.07 Kalerwe-Kampala'!E31)</f>
        <v>6.7142857142857144</v>
      </c>
      <c r="F31" s="49">
        <f>AVERAGE('22.07 Kalerwe-Kampala'!F31,'23.07 Kalerwe-Kampala'!F31,'24.07 Kalewre-Kampala'!F31,'25.07 Kalewre-Kampala'!F31,'26.07 Kalerwe-Kampala-24h'!F31,'27.07 Kalerwe-Kampala-24h'!F31,'28.07 Kalerwe-Kampala'!F31)</f>
        <v>42.428571428571431</v>
      </c>
      <c r="G31" s="49">
        <f>AVERAGE('22.07 Kalerwe-Kampala'!G31,'23.07 Kalerwe-Kampala'!G31,'24.07 Kalewre-Kampala'!G31,'25.07 Kalewre-Kampala'!G31,'26.07 Kalerwe-Kampala-24h'!G31,'27.07 Kalerwe-Kampala-24h'!G31,'28.07 Kalerwe-Kampala'!G31)</f>
        <v>1.2857142857142858</v>
      </c>
      <c r="H31" s="49">
        <f>AVERAGE('22.07 Kalerwe-Kampala'!H31,'23.07 Kalerwe-Kampala'!H31,'24.07 Kalewre-Kampala'!H31,'25.07 Kalewre-Kampala'!H31,'26.07 Kalerwe-Kampala-24h'!H31,'27.07 Kalerwe-Kampala-24h'!H31,'28.07 Kalerwe-Kampala'!H31)</f>
        <v>0.2857142857142857</v>
      </c>
      <c r="I31" s="49">
        <f>AVERAGE('22.07 Kalerwe-Kampala'!I31,'23.07 Kalerwe-Kampala'!I31,'24.07 Kalewre-Kampala'!I31,'25.07 Kalewre-Kampala'!I31,'26.07 Kalerwe-Kampala-24h'!I31,'27.07 Kalerwe-Kampala-24h'!I31,'28.07 Kalerwe-Kampala'!I31)</f>
        <v>8.8571428571428577</v>
      </c>
      <c r="J31" s="49">
        <f>AVERAGE('22.07 Kalerwe-Kampala'!J31,'23.07 Kalerwe-Kampala'!J31,'24.07 Kalewre-Kampala'!J31,'25.07 Kalewre-Kampala'!J31,'26.07 Kalerwe-Kampala-24h'!J31,'27.07 Kalerwe-Kampala-24h'!J31,'28.07 Kalerwe-Kampala'!J31)</f>
        <v>2.8571428571428572</v>
      </c>
      <c r="K31" s="49">
        <f>AVERAGE('22.07 Kalerwe-Kampala'!K31,'23.07 Kalerwe-Kampala'!K31,'24.07 Kalewre-Kampala'!K31,'25.07 Kalewre-Kampala'!K31,'26.07 Kalerwe-Kampala-24h'!K31,'27.07 Kalerwe-Kampala-24h'!K31,'28.07 Kalerwe-Kampala'!K31)</f>
        <v>0.2857142857142857</v>
      </c>
      <c r="L31" s="49">
        <f>AVERAGE('22.07 Kalerwe-Kampala'!L31,'23.07 Kalerwe-Kampala'!L31,'24.07 Kalewre-Kampala'!L31,'25.07 Kalewre-Kampala'!L31,'26.07 Kalerwe-Kampala-24h'!L31,'27.07 Kalerwe-Kampala-24h'!L31,'28.07 Kalerwe-Kampala'!L31)</f>
        <v>0.42857142857142855</v>
      </c>
      <c r="M31" s="49">
        <f>AVERAGE('22.07 Kalerwe-Kampala'!M31,'23.07 Kalerwe-Kampala'!M31,'24.07 Kalewre-Kampala'!M31,'25.07 Kalewre-Kampala'!M31,'26.07 Kalerwe-Kampala-24h'!M31,'27.07 Kalerwe-Kampala-24h'!M31,'28.07 Kalerwe-Kampala'!M31)</f>
        <v>151.14285714285714</v>
      </c>
      <c r="N31" s="49">
        <f>AVERAGE('22.07 Kalerwe-Kampala'!N31,'23.07 Kalerwe-Kampala'!N31,'24.07 Kalewre-Kampala'!N31,'25.07 Kalewre-Kampala'!N31,'26.07 Kalerwe-Kampala-24h'!N31,'27.07 Kalerwe-Kampala-24h'!N31,'28.07 Kalerwe-Kampala'!N31)</f>
        <v>0</v>
      </c>
      <c r="O31" s="15">
        <f t="shared" si="0"/>
        <v>135.57142857142856</v>
      </c>
      <c r="P31" s="15">
        <f t="shared" si="1"/>
        <v>286.71428571428567</v>
      </c>
      <c r="R31" s="1" t="s">
        <v>155</v>
      </c>
      <c r="S31" s="34">
        <f>SUM(C94:C97)</f>
        <v>28</v>
      </c>
      <c r="T31" s="34">
        <f t="shared" ref="T31:AF31" si="23">SUM(D94:D97)</f>
        <v>1</v>
      </c>
      <c r="U31" s="34">
        <f t="shared" si="23"/>
        <v>2.5</v>
      </c>
      <c r="V31" s="34">
        <f t="shared" si="23"/>
        <v>30</v>
      </c>
      <c r="W31" s="34">
        <f t="shared" si="23"/>
        <v>1</v>
      </c>
      <c r="X31" s="34">
        <f t="shared" si="23"/>
        <v>0.5</v>
      </c>
      <c r="Y31" s="34">
        <f t="shared" si="23"/>
        <v>6</v>
      </c>
      <c r="Z31" s="34">
        <f t="shared" si="23"/>
        <v>7.5</v>
      </c>
      <c r="AA31" s="34">
        <f t="shared" si="23"/>
        <v>2.5</v>
      </c>
      <c r="AB31" s="34">
        <f t="shared" si="23"/>
        <v>0</v>
      </c>
      <c r="AC31" s="34">
        <f t="shared" si="23"/>
        <v>59</v>
      </c>
      <c r="AD31" s="34">
        <f t="shared" si="23"/>
        <v>0</v>
      </c>
      <c r="AE31" s="31">
        <f t="shared" si="23"/>
        <v>79</v>
      </c>
      <c r="AF31" s="31">
        <f t="shared" si="23"/>
        <v>138</v>
      </c>
    </row>
    <row r="32" spans="2:32" ht="23.1" customHeight="1" x14ac:dyDescent="0.25">
      <c r="B32" s="24" t="s">
        <v>59</v>
      </c>
      <c r="C32" s="49">
        <f>AVERAGE('22.07 Kalerwe-Kampala'!C32,'23.07 Kalerwe-Kampala'!C32,'24.07 Kalewre-Kampala'!C32,'25.07 Kalewre-Kampala'!C32,'26.07 Kalerwe-Kampala-24h'!C32,'27.07 Kalerwe-Kampala-24h'!C32,'28.07 Kalerwe-Kampala'!C32)</f>
        <v>46.714285714285715</v>
      </c>
      <c r="D32" s="49">
        <f>AVERAGE('22.07 Kalerwe-Kampala'!D32,'23.07 Kalerwe-Kampala'!D32,'24.07 Kalewre-Kampala'!D32,'25.07 Kalewre-Kampala'!D32,'26.07 Kalerwe-Kampala-24h'!D32,'27.07 Kalerwe-Kampala-24h'!D32,'28.07 Kalerwe-Kampala'!D32)</f>
        <v>22.285714285714285</v>
      </c>
      <c r="E32" s="49">
        <f>AVERAGE('22.07 Kalerwe-Kampala'!E32,'23.07 Kalerwe-Kampala'!E32,'24.07 Kalewre-Kampala'!E32,'25.07 Kalewre-Kampala'!E32,'26.07 Kalerwe-Kampala-24h'!E32,'27.07 Kalerwe-Kampala-24h'!E32,'28.07 Kalerwe-Kampala'!E32)</f>
        <v>9.4285714285714288</v>
      </c>
      <c r="F32" s="49">
        <f>AVERAGE('22.07 Kalerwe-Kampala'!F32,'23.07 Kalerwe-Kampala'!F32,'24.07 Kalewre-Kampala'!F32,'25.07 Kalewre-Kampala'!F32,'26.07 Kalerwe-Kampala-24h'!F32,'27.07 Kalerwe-Kampala-24h'!F32,'28.07 Kalerwe-Kampala'!F32)</f>
        <v>38.571428571428569</v>
      </c>
      <c r="G32" s="49">
        <f>AVERAGE('22.07 Kalerwe-Kampala'!G32,'23.07 Kalerwe-Kampala'!G32,'24.07 Kalewre-Kampala'!G32,'25.07 Kalewre-Kampala'!G32,'26.07 Kalerwe-Kampala-24h'!G32,'27.07 Kalerwe-Kampala-24h'!G32,'28.07 Kalerwe-Kampala'!G32)</f>
        <v>1.2857142857142858</v>
      </c>
      <c r="H32" s="49">
        <f>AVERAGE('22.07 Kalerwe-Kampala'!H32,'23.07 Kalerwe-Kampala'!H32,'24.07 Kalewre-Kampala'!H32,'25.07 Kalewre-Kampala'!H32,'26.07 Kalerwe-Kampala-24h'!H32,'27.07 Kalerwe-Kampala-24h'!H32,'28.07 Kalerwe-Kampala'!H32)</f>
        <v>0.42857142857142855</v>
      </c>
      <c r="I32" s="49">
        <f>AVERAGE('22.07 Kalerwe-Kampala'!I32,'23.07 Kalerwe-Kampala'!I32,'24.07 Kalewre-Kampala'!I32,'25.07 Kalewre-Kampala'!I32,'26.07 Kalerwe-Kampala-24h'!I32,'27.07 Kalerwe-Kampala-24h'!I32,'28.07 Kalerwe-Kampala'!I32)</f>
        <v>10.857142857142858</v>
      </c>
      <c r="J32" s="49">
        <f>AVERAGE('22.07 Kalerwe-Kampala'!J32,'23.07 Kalerwe-Kampala'!J32,'24.07 Kalewre-Kampala'!J32,'25.07 Kalewre-Kampala'!J32,'26.07 Kalerwe-Kampala-24h'!J32,'27.07 Kalerwe-Kampala-24h'!J32,'28.07 Kalerwe-Kampala'!J32)</f>
        <v>1.7142857142857142</v>
      </c>
      <c r="K32" s="49">
        <f>AVERAGE('22.07 Kalerwe-Kampala'!K32,'23.07 Kalerwe-Kampala'!K32,'24.07 Kalewre-Kampala'!K32,'25.07 Kalewre-Kampala'!K32,'26.07 Kalerwe-Kampala-24h'!K32,'27.07 Kalerwe-Kampala-24h'!K32,'28.07 Kalerwe-Kampala'!K32)</f>
        <v>1.4285714285714286</v>
      </c>
      <c r="L32" s="49">
        <f>AVERAGE('22.07 Kalerwe-Kampala'!L32,'23.07 Kalerwe-Kampala'!L32,'24.07 Kalewre-Kampala'!L32,'25.07 Kalewre-Kampala'!L32,'26.07 Kalerwe-Kampala-24h'!L32,'27.07 Kalerwe-Kampala-24h'!L32,'28.07 Kalerwe-Kampala'!L32)</f>
        <v>0.14285714285714285</v>
      </c>
      <c r="M32" s="49">
        <f>AVERAGE('22.07 Kalerwe-Kampala'!M32,'23.07 Kalerwe-Kampala'!M32,'24.07 Kalewre-Kampala'!M32,'25.07 Kalewre-Kampala'!M32,'26.07 Kalerwe-Kampala-24h'!M32,'27.07 Kalerwe-Kampala-24h'!M32,'28.07 Kalerwe-Kampala'!M32)</f>
        <v>152.28571428571428</v>
      </c>
      <c r="N32" s="49">
        <f>AVERAGE('22.07 Kalerwe-Kampala'!N32,'23.07 Kalerwe-Kampala'!N32,'24.07 Kalewre-Kampala'!N32,'25.07 Kalewre-Kampala'!N32,'26.07 Kalerwe-Kampala-24h'!N32,'27.07 Kalerwe-Kampala-24h'!N32,'28.07 Kalerwe-Kampala'!N32)</f>
        <v>0</v>
      </c>
      <c r="O32" s="15">
        <f t="shared" si="0"/>
        <v>132.85714285714286</v>
      </c>
      <c r="P32" s="15">
        <f t="shared" si="1"/>
        <v>285.14285714285711</v>
      </c>
      <c r="R32" s="1" t="s">
        <v>156</v>
      </c>
      <c r="S32" s="34">
        <f>SUM(C98:C101)</f>
        <v>75</v>
      </c>
      <c r="T32" s="34">
        <f t="shared" ref="T32:AF32" si="24">SUM(D98:D101)</f>
        <v>5.5</v>
      </c>
      <c r="U32" s="34">
        <f t="shared" si="24"/>
        <v>8</v>
      </c>
      <c r="V32" s="34">
        <f t="shared" si="24"/>
        <v>153</v>
      </c>
      <c r="W32" s="34">
        <f t="shared" si="24"/>
        <v>4</v>
      </c>
      <c r="X32" s="34">
        <f t="shared" si="24"/>
        <v>2</v>
      </c>
      <c r="Y32" s="34">
        <f t="shared" si="24"/>
        <v>19.5</v>
      </c>
      <c r="Z32" s="34">
        <f t="shared" si="24"/>
        <v>22</v>
      </c>
      <c r="AA32" s="34">
        <f t="shared" si="24"/>
        <v>5.5</v>
      </c>
      <c r="AB32" s="34">
        <f t="shared" si="24"/>
        <v>0.5</v>
      </c>
      <c r="AC32" s="34">
        <f t="shared" si="24"/>
        <v>119</v>
      </c>
      <c r="AD32" s="34">
        <f t="shared" si="24"/>
        <v>0.5</v>
      </c>
      <c r="AE32" s="31">
        <f t="shared" si="24"/>
        <v>295.5</v>
      </c>
      <c r="AF32" s="31">
        <f t="shared" si="24"/>
        <v>414.5</v>
      </c>
    </row>
    <row r="33" spans="2:32" ht="23.1" customHeight="1" x14ac:dyDescent="0.25">
      <c r="B33" s="23" t="s">
        <v>60</v>
      </c>
      <c r="C33" s="49">
        <f>AVERAGE('22.07 Kalerwe-Kampala'!C33,'23.07 Kalerwe-Kampala'!C33,'24.07 Kalewre-Kampala'!C33,'25.07 Kalewre-Kampala'!C33,'26.07 Kalerwe-Kampala-24h'!C33,'27.07 Kalerwe-Kampala-24h'!C33,'28.07 Kalerwe-Kampala'!C33)</f>
        <v>43.142857142857146</v>
      </c>
      <c r="D33" s="49">
        <f>AVERAGE('22.07 Kalerwe-Kampala'!D33,'23.07 Kalerwe-Kampala'!D33,'24.07 Kalewre-Kampala'!D33,'25.07 Kalewre-Kampala'!D33,'26.07 Kalerwe-Kampala-24h'!D33,'27.07 Kalerwe-Kampala-24h'!D33,'28.07 Kalerwe-Kampala'!D33)</f>
        <v>21.428571428571427</v>
      </c>
      <c r="E33" s="49">
        <f>AVERAGE('22.07 Kalerwe-Kampala'!E33,'23.07 Kalerwe-Kampala'!E33,'24.07 Kalewre-Kampala'!E33,'25.07 Kalewre-Kampala'!E33,'26.07 Kalerwe-Kampala-24h'!E33,'27.07 Kalerwe-Kampala-24h'!E33,'28.07 Kalerwe-Kampala'!E33)</f>
        <v>7</v>
      </c>
      <c r="F33" s="49">
        <f>AVERAGE('22.07 Kalerwe-Kampala'!F33,'23.07 Kalerwe-Kampala'!F33,'24.07 Kalewre-Kampala'!F33,'25.07 Kalewre-Kampala'!F33,'26.07 Kalerwe-Kampala-24h'!F33,'27.07 Kalerwe-Kampala-24h'!F33,'28.07 Kalerwe-Kampala'!F33)</f>
        <v>38</v>
      </c>
      <c r="G33" s="49">
        <f>AVERAGE('22.07 Kalerwe-Kampala'!G33,'23.07 Kalerwe-Kampala'!G33,'24.07 Kalewre-Kampala'!G33,'25.07 Kalewre-Kampala'!G33,'26.07 Kalerwe-Kampala-24h'!G33,'27.07 Kalerwe-Kampala-24h'!G33,'28.07 Kalerwe-Kampala'!G33)</f>
        <v>2.1428571428571428</v>
      </c>
      <c r="H33" s="49">
        <f>AVERAGE('22.07 Kalerwe-Kampala'!H33,'23.07 Kalerwe-Kampala'!H33,'24.07 Kalewre-Kampala'!H33,'25.07 Kalewre-Kampala'!H33,'26.07 Kalerwe-Kampala-24h'!H33,'27.07 Kalerwe-Kampala-24h'!H33,'28.07 Kalerwe-Kampala'!H33)</f>
        <v>0.7142857142857143</v>
      </c>
      <c r="I33" s="49">
        <f>AVERAGE('22.07 Kalerwe-Kampala'!I33,'23.07 Kalerwe-Kampala'!I33,'24.07 Kalewre-Kampala'!I33,'25.07 Kalewre-Kampala'!I33,'26.07 Kalerwe-Kampala-24h'!I33,'27.07 Kalerwe-Kampala-24h'!I33,'28.07 Kalerwe-Kampala'!I33)</f>
        <v>10.857142857142858</v>
      </c>
      <c r="J33" s="49">
        <f>AVERAGE('22.07 Kalerwe-Kampala'!J33,'23.07 Kalerwe-Kampala'!J33,'24.07 Kalewre-Kampala'!J33,'25.07 Kalewre-Kampala'!J33,'26.07 Kalerwe-Kampala-24h'!J33,'27.07 Kalerwe-Kampala-24h'!J33,'28.07 Kalerwe-Kampala'!J33)</f>
        <v>1.2857142857142858</v>
      </c>
      <c r="K33" s="49">
        <f>AVERAGE('22.07 Kalerwe-Kampala'!K33,'23.07 Kalerwe-Kampala'!K33,'24.07 Kalewre-Kampala'!K33,'25.07 Kalewre-Kampala'!K33,'26.07 Kalerwe-Kampala-24h'!K33,'27.07 Kalerwe-Kampala-24h'!K33,'28.07 Kalerwe-Kampala'!K33)</f>
        <v>1.4285714285714286</v>
      </c>
      <c r="L33" s="49">
        <f>AVERAGE('22.07 Kalerwe-Kampala'!L33,'23.07 Kalerwe-Kampala'!L33,'24.07 Kalewre-Kampala'!L33,'25.07 Kalewre-Kampala'!L33,'26.07 Kalerwe-Kampala-24h'!L33,'27.07 Kalerwe-Kampala-24h'!L33,'28.07 Kalerwe-Kampala'!L33)</f>
        <v>0.5714285714285714</v>
      </c>
      <c r="M33" s="49">
        <f>AVERAGE('22.07 Kalerwe-Kampala'!M33,'23.07 Kalerwe-Kampala'!M33,'24.07 Kalewre-Kampala'!M33,'25.07 Kalewre-Kampala'!M33,'26.07 Kalerwe-Kampala-24h'!M33,'27.07 Kalerwe-Kampala-24h'!M33,'28.07 Kalerwe-Kampala'!M33)</f>
        <v>154.28571428571428</v>
      </c>
      <c r="N33" s="49">
        <f>AVERAGE('22.07 Kalerwe-Kampala'!N33,'23.07 Kalerwe-Kampala'!N33,'24.07 Kalewre-Kampala'!N33,'25.07 Kalewre-Kampala'!N33,'26.07 Kalerwe-Kampala-24h'!N33,'27.07 Kalerwe-Kampala-24h'!N33,'28.07 Kalerwe-Kampala'!N33)</f>
        <v>0</v>
      </c>
      <c r="O33" s="15">
        <f t="shared" si="0"/>
        <v>126.57142857142857</v>
      </c>
      <c r="P33" s="15">
        <f t="shared" si="1"/>
        <v>280.85714285714283</v>
      </c>
      <c r="R33" s="1" t="s">
        <v>157</v>
      </c>
      <c r="S33" s="34">
        <f>SUM(C102:C105)</f>
        <v>76</v>
      </c>
      <c r="T33" s="34">
        <f t="shared" ref="T33:AF33" si="25">SUM(D102:D105)</f>
        <v>7.5</v>
      </c>
      <c r="U33" s="34">
        <f t="shared" si="25"/>
        <v>23</v>
      </c>
      <c r="V33" s="34">
        <f t="shared" si="25"/>
        <v>225.5</v>
      </c>
      <c r="W33" s="34">
        <f t="shared" si="25"/>
        <v>16</v>
      </c>
      <c r="X33" s="34">
        <f t="shared" si="25"/>
        <v>5.5</v>
      </c>
      <c r="Y33" s="34">
        <f t="shared" si="25"/>
        <v>36.5</v>
      </c>
      <c r="Z33" s="34">
        <f t="shared" si="25"/>
        <v>21</v>
      </c>
      <c r="AA33" s="34">
        <f t="shared" si="25"/>
        <v>8</v>
      </c>
      <c r="AB33" s="34">
        <f t="shared" si="25"/>
        <v>2.5</v>
      </c>
      <c r="AC33" s="34">
        <f t="shared" si="25"/>
        <v>296.5</v>
      </c>
      <c r="AD33" s="34">
        <f t="shared" si="25"/>
        <v>0</v>
      </c>
      <c r="AE33" s="31">
        <f t="shared" si="25"/>
        <v>421.5</v>
      </c>
      <c r="AF33" s="31">
        <f t="shared" si="25"/>
        <v>718</v>
      </c>
    </row>
    <row r="34" spans="2:32" ht="23.1" customHeight="1" x14ac:dyDescent="0.25">
      <c r="B34" s="24" t="s">
        <v>61</v>
      </c>
      <c r="C34" s="49">
        <f>AVERAGE('22.07 Kalerwe-Kampala'!C34,'23.07 Kalerwe-Kampala'!C34,'24.07 Kalewre-Kampala'!C34,'25.07 Kalewre-Kampala'!C34,'26.07 Kalerwe-Kampala-24h'!C34,'27.07 Kalerwe-Kampala-24h'!C34,'28.07 Kalerwe-Kampala'!C34)</f>
        <v>43.857142857142854</v>
      </c>
      <c r="D34" s="49">
        <f>AVERAGE('22.07 Kalerwe-Kampala'!D34,'23.07 Kalerwe-Kampala'!D34,'24.07 Kalewre-Kampala'!D34,'25.07 Kalewre-Kampala'!D34,'26.07 Kalerwe-Kampala-24h'!D34,'27.07 Kalerwe-Kampala-24h'!D34,'28.07 Kalerwe-Kampala'!D34)</f>
        <v>24</v>
      </c>
      <c r="E34" s="49">
        <f>AVERAGE('22.07 Kalerwe-Kampala'!E34,'23.07 Kalerwe-Kampala'!E34,'24.07 Kalewre-Kampala'!E34,'25.07 Kalewre-Kampala'!E34,'26.07 Kalerwe-Kampala-24h'!E34,'27.07 Kalerwe-Kampala-24h'!E34,'28.07 Kalerwe-Kampala'!E34)</f>
        <v>8</v>
      </c>
      <c r="F34" s="49">
        <f>AVERAGE('22.07 Kalerwe-Kampala'!F34,'23.07 Kalerwe-Kampala'!F34,'24.07 Kalewre-Kampala'!F34,'25.07 Kalewre-Kampala'!F34,'26.07 Kalerwe-Kampala-24h'!F34,'27.07 Kalerwe-Kampala-24h'!F34,'28.07 Kalerwe-Kampala'!F34)</f>
        <v>41</v>
      </c>
      <c r="G34" s="49">
        <f>AVERAGE('22.07 Kalerwe-Kampala'!G34,'23.07 Kalerwe-Kampala'!G34,'24.07 Kalewre-Kampala'!G34,'25.07 Kalewre-Kampala'!G34,'26.07 Kalerwe-Kampala-24h'!G34,'27.07 Kalerwe-Kampala-24h'!G34,'28.07 Kalerwe-Kampala'!G34)</f>
        <v>1.2857142857142858</v>
      </c>
      <c r="H34" s="49">
        <f>AVERAGE('22.07 Kalerwe-Kampala'!H34,'23.07 Kalerwe-Kampala'!H34,'24.07 Kalewre-Kampala'!H34,'25.07 Kalewre-Kampala'!H34,'26.07 Kalerwe-Kampala-24h'!H34,'27.07 Kalerwe-Kampala-24h'!H34,'28.07 Kalerwe-Kampala'!H34)</f>
        <v>0.42857142857142855</v>
      </c>
      <c r="I34" s="49">
        <f>AVERAGE('22.07 Kalerwe-Kampala'!I34,'23.07 Kalerwe-Kampala'!I34,'24.07 Kalewre-Kampala'!I34,'25.07 Kalewre-Kampala'!I34,'26.07 Kalerwe-Kampala-24h'!I34,'27.07 Kalerwe-Kampala-24h'!I34,'28.07 Kalerwe-Kampala'!I34)</f>
        <v>12.571428571428571</v>
      </c>
      <c r="J34" s="49">
        <f>AVERAGE('22.07 Kalerwe-Kampala'!J34,'23.07 Kalerwe-Kampala'!J34,'24.07 Kalewre-Kampala'!J34,'25.07 Kalewre-Kampala'!J34,'26.07 Kalerwe-Kampala-24h'!J34,'27.07 Kalerwe-Kampala-24h'!J34,'28.07 Kalerwe-Kampala'!J34)</f>
        <v>3</v>
      </c>
      <c r="K34" s="49">
        <f>AVERAGE('22.07 Kalerwe-Kampala'!K34,'23.07 Kalerwe-Kampala'!K34,'24.07 Kalewre-Kampala'!K34,'25.07 Kalewre-Kampala'!K34,'26.07 Kalerwe-Kampala-24h'!K34,'27.07 Kalerwe-Kampala-24h'!K34,'28.07 Kalerwe-Kampala'!K34)</f>
        <v>2</v>
      </c>
      <c r="L34" s="49">
        <f>AVERAGE('22.07 Kalerwe-Kampala'!L34,'23.07 Kalerwe-Kampala'!L34,'24.07 Kalewre-Kampala'!L34,'25.07 Kalewre-Kampala'!L34,'26.07 Kalerwe-Kampala-24h'!L34,'27.07 Kalerwe-Kampala-24h'!L34,'28.07 Kalerwe-Kampala'!L34)</f>
        <v>0.8571428571428571</v>
      </c>
      <c r="M34" s="49">
        <f>AVERAGE('22.07 Kalerwe-Kampala'!M34,'23.07 Kalerwe-Kampala'!M34,'24.07 Kalewre-Kampala'!M34,'25.07 Kalewre-Kampala'!M34,'26.07 Kalerwe-Kampala-24h'!M34,'27.07 Kalerwe-Kampala-24h'!M34,'28.07 Kalerwe-Kampala'!M34)</f>
        <v>166.85714285714286</v>
      </c>
      <c r="N34" s="49">
        <f>AVERAGE('22.07 Kalerwe-Kampala'!N34,'23.07 Kalerwe-Kampala'!N34,'24.07 Kalewre-Kampala'!N34,'25.07 Kalewre-Kampala'!N34,'26.07 Kalerwe-Kampala-24h'!N34,'27.07 Kalerwe-Kampala-24h'!N34,'28.07 Kalerwe-Kampala'!N34)</f>
        <v>0</v>
      </c>
      <c r="O34" s="15">
        <f t="shared" si="0"/>
        <v>137.00000000000003</v>
      </c>
      <c r="P34" s="15">
        <f t="shared" si="1"/>
        <v>303.85714285714289</v>
      </c>
      <c r="R34" s="38" t="s">
        <v>90</v>
      </c>
      <c r="S34" s="39">
        <f t="shared" ref="S34:AF34" si="26">MAX(S10:S12)</f>
        <v>216.85714285714286</v>
      </c>
      <c r="T34" s="39">
        <f t="shared" si="26"/>
        <v>76.857142857142861</v>
      </c>
      <c r="U34" s="39">
        <f t="shared" si="26"/>
        <v>37.285714285714292</v>
      </c>
      <c r="V34" s="39">
        <f t="shared" si="26"/>
        <v>181.85714285714283</v>
      </c>
      <c r="W34" s="39">
        <f t="shared" si="26"/>
        <v>5.8571428571428577</v>
      </c>
      <c r="X34" s="39">
        <f t="shared" si="26"/>
        <v>3.1428571428571423</v>
      </c>
      <c r="Y34" s="39">
        <f t="shared" si="26"/>
        <v>31.571428571428573</v>
      </c>
      <c r="Z34" s="39">
        <f t="shared" si="26"/>
        <v>8.5714285714285712</v>
      </c>
      <c r="AA34" s="39">
        <f t="shared" si="26"/>
        <v>3.5714285714285712</v>
      </c>
      <c r="AB34" s="39">
        <f t="shared" si="26"/>
        <v>2.4285714285714284</v>
      </c>
      <c r="AC34" s="39">
        <f t="shared" si="26"/>
        <v>920.14285714285722</v>
      </c>
      <c r="AD34" s="39">
        <f t="shared" si="26"/>
        <v>0</v>
      </c>
      <c r="AE34" s="40">
        <f t="shared" si="26"/>
        <v>544.85714285714278</v>
      </c>
      <c r="AF34" s="40">
        <f t="shared" si="26"/>
        <v>1418.4285714285711</v>
      </c>
    </row>
    <row r="35" spans="2:32" ht="23.1" customHeight="1" x14ac:dyDescent="0.25">
      <c r="B35" s="24" t="s">
        <v>62</v>
      </c>
      <c r="C35" s="49">
        <f>AVERAGE('22.07 Kalerwe-Kampala'!C35,'23.07 Kalerwe-Kampala'!C35,'24.07 Kalewre-Kampala'!C35,'25.07 Kalewre-Kampala'!C35,'26.07 Kalerwe-Kampala-24h'!C35,'27.07 Kalerwe-Kampala-24h'!C35,'28.07 Kalerwe-Kampala'!C35)</f>
        <v>53.142857142857146</v>
      </c>
      <c r="D35" s="49">
        <f>AVERAGE('22.07 Kalerwe-Kampala'!D35,'23.07 Kalerwe-Kampala'!D35,'24.07 Kalewre-Kampala'!D35,'25.07 Kalewre-Kampala'!D35,'26.07 Kalerwe-Kampala-24h'!D35,'27.07 Kalerwe-Kampala-24h'!D35,'28.07 Kalerwe-Kampala'!D35)</f>
        <v>24</v>
      </c>
      <c r="E35" s="49">
        <f>AVERAGE('22.07 Kalerwe-Kampala'!E35,'23.07 Kalerwe-Kampala'!E35,'24.07 Kalewre-Kampala'!E35,'25.07 Kalewre-Kampala'!E35,'26.07 Kalerwe-Kampala-24h'!E35,'27.07 Kalerwe-Kampala-24h'!E35,'28.07 Kalerwe-Kampala'!E35)</f>
        <v>9.8571428571428577</v>
      </c>
      <c r="F35" s="49">
        <f>AVERAGE('22.07 Kalerwe-Kampala'!F35,'23.07 Kalerwe-Kampala'!F35,'24.07 Kalewre-Kampala'!F35,'25.07 Kalewre-Kampala'!F35,'26.07 Kalerwe-Kampala-24h'!F35,'27.07 Kalerwe-Kampala-24h'!F35,'28.07 Kalerwe-Kampala'!F35)</f>
        <v>35.857142857142854</v>
      </c>
      <c r="G35" s="49">
        <f>AVERAGE('22.07 Kalerwe-Kampala'!G35,'23.07 Kalerwe-Kampala'!G35,'24.07 Kalewre-Kampala'!G35,'25.07 Kalewre-Kampala'!G35,'26.07 Kalerwe-Kampala-24h'!G35,'27.07 Kalerwe-Kampala-24h'!G35,'28.07 Kalerwe-Kampala'!G35)</f>
        <v>2.1428571428571428</v>
      </c>
      <c r="H35" s="49">
        <f>AVERAGE('22.07 Kalerwe-Kampala'!H35,'23.07 Kalerwe-Kampala'!H35,'24.07 Kalewre-Kampala'!H35,'25.07 Kalewre-Kampala'!H35,'26.07 Kalerwe-Kampala-24h'!H35,'27.07 Kalerwe-Kampala-24h'!H35,'28.07 Kalerwe-Kampala'!H35)</f>
        <v>0.42857142857142855</v>
      </c>
      <c r="I35" s="49">
        <f>AVERAGE('22.07 Kalerwe-Kampala'!I35,'23.07 Kalerwe-Kampala'!I35,'24.07 Kalewre-Kampala'!I35,'25.07 Kalewre-Kampala'!I35,'26.07 Kalerwe-Kampala-24h'!I35,'27.07 Kalerwe-Kampala-24h'!I35,'28.07 Kalerwe-Kampala'!I35)</f>
        <v>9.4285714285714288</v>
      </c>
      <c r="J35" s="49">
        <f>AVERAGE('22.07 Kalerwe-Kampala'!J35,'23.07 Kalerwe-Kampala'!J35,'24.07 Kalewre-Kampala'!J35,'25.07 Kalewre-Kampala'!J35,'26.07 Kalerwe-Kampala-24h'!J35,'27.07 Kalerwe-Kampala-24h'!J35,'28.07 Kalerwe-Kampala'!J35)</f>
        <v>2.2857142857142856</v>
      </c>
      <c r="K35" s="49">
        <f>AVERAGE('22.07 Kalerwe-Kampala'!K35,'23.07 Kalerwe-Kampala'!K35,'24.07 Kalewre-Kampala'!K35,'25.07 Kalewre-Kampala'!K35,'26.07 Kalerwe-Kampala-24h'!K35,'27.07 Kalerwe-Kampala-24h'!K35,'28.07 Kalerwe-Kampala'!K35)</f>
        <v>1.8571428571428572</v>
      </c>
      <c r="L35" s="49">
        <f>AVERAGE('22.07 Kalerwe-Kampala'!L35,'23.07 Kalerwe-Kampala'!L35,'24.07 Kalewre-Kampala'!L35,'25.07 Kalewre-Kampala'!L35,'26.07 Kalerwe-Kampala-24h'!L35,'27.07 Kalerwe-Kampala-24h'!L35,'28.07 Kalerwe-Kampala'!L35)</f>
        <v>1.1428571428571428</v>
      </c>
      <c r="M35" s="49">
        <f>AVERAGE('22.07 Kalerwe-Kampala'!M35,'23.07 Kalerwe-Kampala'!M35,'24.07 Kalewre-Kampala'!M35,'25.07 Kalewre-Kampala'!M35,'26.07 Kalerwe-Kampala-24h'!M35,'27.07 Kalerwe-Kampala-24h'!M35,'28.07 Kalerwe-Kampala'!M35)</f>
        <v>135.57142857142858</v>
      </c>
      <c r="N35" s="49">
        <f>AVERAGE('22.07 Kalerwe-Kampala'!N35,'23.07 Kalerwe-Kampala'!N35,'24.07 Kalewre-Kampala'!N35,'25.07 Kalewre-Kampala'!N35,'26.07 Kalerwe-Kampala-24h'!N35,'27.07 Kalerwe-Kampala-24h'!N35,'28.07 Kalerwe-Kampala'!N35)</f>
        <v>0</v>
      </c>
      <c r="O35" s="15">
        <f t="shared" si="0"/>
        <v>140.14285714285714</v>
      </c>
      <c r="P35" s="15">
        <f t="shared" si="1"/>
        <v>275.71428571428572</v>
      </c>
      <c r="R35" s="38" t="s">
        <v>91</v>
      </c>
      <c r="S35" s="39">
        <f t="shared" ref="S35:AF35" si="27">MAX(S13:S18)</f>
        <v>238</v>
      </c>
      <c r="T35" s="39">
        <f t="shared" si="27"/>
        <v>95.142857142857153</v>
      </c>
      <c r="U35" s="39">
        <f t="shared" si="27"/>
        <v>41.714285714285708</v>
      </c>
      <c r="V35" s="39">
        <f t="shared" si="27"/>
        <v>177.28571428571428</v>
      </c>
      <c r="W35" s="39">
        <f t="shared" si="27"/>
        <v>5.8571428571428568</v>
      </c>
      <c r="X35" s="39">
        <f t="shared" si="27"/>
        <v>3.8571428571428568</v>
      </c>
      <c r="Y35" s="39">
        <f t="shared" si="27"/>
        <v>58.714285714285715</v>
      </c>
      <c r="Z35" s="39">
        <f t="shared" si="27"/>
        <v>8.5714285714285712</v>
      </c>
      <c r="AA35" s="39">
        <f t="shared" si="27"/>
        <v>6.4285714285714288</v>
      </c>
      <c r="AB35" s="39">
        <f t="shared" si="27"/>
        <v>2.8571428571428572</v>
      </c>
      <c r="AC35" s="39">
        <f t="shared" si="27"/>
        <v>648</v>
      </c>
      <c r="AD35" s="39">
        <f t="shared" si="27"/>
        <v>0</v>
      </c>
      <c r="AE35" s="40">
        <f t="shared" si="27"/>
        <v>585.57142857142856</v>
      </c>
      <c r="AF35" s="40">
        <f t="shared" si="27"/>
        <v>1233.5714285714284</v>
      </c>
    </row>
    <row r="36" spans="2:32" ht="23.1" customHeight="1" x14ac:dyDescent="0.25">
      <c r="B36" s="24" t="s">
        <v>63</v>
      </c>
      <c r="C36" s="49">
        <f>AVERAGE('22.07 Kalerwe-Kampala'!C36,'23.07 Kalerwe-Kampala'!C36,'24.07 Kalewre-Kampala'!C36,'25.07 Kalewre-Kampala'!C36,'26.07 Kalerwe-Kampala-24h'!C36,'27.07 Kalerwe-Kampala-24h'!C36,'28.07 Kalerwe-Kampala'!C36)</f>
        <v>40.857142857142854</v>
      </c>
      <c r="D36" s="49">
        <f>AVERAGE('22.07 Kalerwe-Kampala'!D36,'23.07 Kalerwe-Kampala'!D36,'24.07 Kalewre-Kampala'!D36,'25.07 Kalewre-Kampala'!D36,'26.07 Kalerwe-Kampala-24h'!D36,'27.07 Kalerwe-Kampala-24h'!D36,'28.07 Kalerwe-Kampala'!D36)</f>
        <v>16.285714285714285</v>
      </c>
      <c r="E36" s="49">
        <f>AVERAGE('22.07 Kalerwe-Kampala'!E36,'23.07 Kalerwe-Kampala'!E36,'24.07 Kalewre-Kampala'!E36,'25.07 Kalewre-Kampala'!E36,'26.07 Kalerwe-Kampala-24h'!E36,'27.07 Kalerwe-Kampala-24h'!E36,'28.07 Kalerwe-Kampala'!E36)</f>
        <v>10</v>
      </c>
      <c r="F36" s="49">
        <f>AVERAGE('22.07 Kalerwe-Kampala'!F36,'23.07 Kalerwe-Kampala'!F36,'24.07 Kalewre-Kampala'!F36,'25.07 Kalewre-Kampala'!F36,'26.07 Kalerwe-Kampala-24h'!F36,'27.07 Kalerwe-Kampala-24h'!F36,'28.07 Kalerwe-Kampala'!F36)</f>
        <v>38.142857142857146</v>
      </c>
      <c r="G36" s="49">
        <f>AVERAGE('22.07 Kalerwe-Kampala'!G36,'23.07 Kalerwe-Kampala'!G36,'24.07 Kalewre-Kampala'!G36,'25.07 Kalewre-Kampala'!G36,'26.07 Kalerwe-Kampala-24h'!G36,'27.07 Kalerwe-Kampala-24h'!G36,'28.07 Kalerwe-Kampala'!G36)</f>
        <v>0.5714285714285714</v>
      </c>
      <c r="H36" s="49">
        <f>AVERAGE('22.07 Kalerwe-Kampala'!H36,'23.07 Kalerwe-Kampala'!H36,'24.07 Kalewre-Kampala'!H36,'25.07 Kalewre-Kampala'!H36,'26.07 Kalerwe-Kampala-24h'!H36,'27.07 Kalerwe-Kampala-24h'!H36,'28.07 Kalerwe-Kampala'!H36)</f>
        <v>0.5714285714285714</v>
      </c>
      <c r="I36" s="49">
        <f>AVERAGE('22.07 Kalerwe-Kampala'!I36,'23.07 Kalerwe-Kampala'!I36,'24.07 Kalewre-Kampala'!I36,'25.07 Kalewre-Kampala'!I36,'26.07 Kalerwe-Kampala-24h'!I36,'27.07 Kalerwe-Kampala-24h'!I36,'28.07 Kalerwe-Kampala'!I36)</f>
        <v>8</v>
      </c>
      <c r="J36" s="49">
        <f>AVERAGE('22.07 Kalerwe-Kampala'!J36,'23.07 Kalerwe-Kampala'!J36,'24.07 Kalewre-Kampala'!J36,'25.07 Kalewre-Kampala'!J36,'26.07 Kalerwe-Kampala-24h'!J36,'27.07 Kalerwe-Kampala-24h'!J36,'28.07 Kalerwe-Kampala'!J36)</f>
        <v>1.7142857142857142</v>
      </c>
      <c r="K36" s="49">
        <f>AVERAGE('22.07 Kalerwe-Kampala'!K36,'23.07 Kalerwe-Kampala'!K36,'24.07 Kalewre-Kampala'!K36,'25.07 Kalewre-Kampala'!K36,'26.07 Kalerwe-Kampala-24h'!K36,'27.07 Kalerwe-Kampala-24h'!K36,'28.07 Kalerwe-Kampala'!K36)</f>
        <v>1.5714285714285714</v>
      </c>
      <c r="L36" s="49">
        <f>AVERAGE('22.07 Kalerwe-Kampala'!L36,'23.07 Kalerwe-Kampala'!L36,'24.07 Kalewre-Kampala'!L36,'25.07 Kalewre-Kampala'!L36,'26.07 Kalerwe-Kampala-24h'!L36,'27.07 Kalerwe-Kampala-24h'!L36,'28.07 Kalerwe-Kampala'!L36)</f>
        <v>0.5714285714285714</v>
      </c>
      <c r="M36" s="49">
        <f>AVERAGE('22.07 Kalerwe-Kampala'!M36,'23.07 Kalerwe-Kampala'!M36,'24.07 Kalewre-Kampala'!M36,'25.07 Kalewre-Kampala'!M36,'26.07 Kalerwe-Kampala-24h'!M36,'27.07 Kalerwe-Kampala-24h'!M36,'28.07 Kalerwe-Kampala'!M36)</f>
        <v>136.14285714285714</v>
      </c>
      <c r="N36" s="49">
        <f>AVERAGE('22.07 Kalerwe-Kampala'!N36,'23.07 Kalerwe-Kampala'!N36,'24.07 Kalewre-Kampala'!N36,'25.07 Kalewre-Kampala'!N36,'26.07 Kalerwe-Kampala-24h'!N36,'27.07 Kalerwe-Kampala-24h'!N36,'28.07 Kalerwe-Kampala'!N36)</f>
        <v>0</v>
      </c>
      <c r="O36" s="15">
        <f t="shared" si="0"/>
        <v>118.28571428571426</v>
      </c>
      <c r="P36" s="15">
        <f t="shared" si="1"/>
        <v>254.42857142857139</v>
      </c>
      <c r="R36" s="38" t="s">
        <v>92</v>
      </c>
      <c r="S36" s="39">
        <f t="shared" ref="S36:AF36" si="28">MAX(S19:S21)</f>
        <v>204</v>
      </c>
      <c r="T36" s="39">
        <f t="shared" si="28"/>
        <v>79.142857142857139</v>
      </c>
      <c r="U36" s="39">
        <f t="shared" si="28"/>
        <v>26.714285714285715</v>
      </c>
      <c r="V36" s="39">
        <f t="shared" si="28"/>
        <v>170.42857142857144</v>
      </c>
      <c r="W36" s="39">
        <f t="shared" si="28"/>
        <v>5.8571428571428577</v>
      </c>
      <c r="X36" s="39">
        <f t="shared" si="28"/>
        <v>3.5714285714285716</v>
      </c>
      <c r="Y36" s="39">
        <f t="shared" si="28"/>
        <v>45.428571428571431</v>
      </c>
      <c r="Z36" s="39">
        <f t="shared" si="28"/>
        <v>4.7142857142857135</v>
      </c>
      <c r="AA36" s="39">
        <f t="shared" si="28"/>
        <v>2.2857142857142856</v>
      </c>
      <c r="AB36" s="39">
        <f t="shared" si="28"/>
        <v>1.7142857142857142</v>
      </c>
      <c r="AC36" s="39">
        <f t="shared" si="28"/>
        <v>698</v>
      </c>
      <c r="AD36" s="39">
        <f t="shared" si="28"/>
        <v>0</v>
      </c>
      <c r="AE36" s="40">
        <f t="shared" si="28"/>
        <v>530.71428571428567</v>
      </c>
      <c r="AF36" s="40">
        <f t="shared" si="28"/>
        <v>1224.7142857142858</v>
      </c>
    </row>
    <row r="37" spans="2:32" ht="23.1" customHeight="1" x14ac:dyDescent="0.25">
      <c r="B37" s="23" t="s">
        <v>64</v>
      </c>
      <c r="C37" s="49">
        <f>AVERAGE('22.07 Kalerwe-Kampala'!C37,'23.07 Kalerwe-Kampala'!C37,'24.07 Kalewre-Kampala'!C37,'25.07 Kalewre-Kampala'!C37,'26.07 Kalerwe-Kampala-24h'!C37,'27.07 Kalerwe-Kampala-24h'!C37,'28.07 Kalerwe-Kampala'!C37)</f>
        <v>49.714285714285715</v>
      </c>
      <c r="D37" s="49">
        <f>AVERAGE('22.07 Kalerwe-Kampala'!D37,'23.07 Kalerwe-Kampala'!D37,'24.07 Kalewre-Kampala'!D37,'25.07 Kalewre-Kampala'!D37,'26.07 Kalerwe-Kampala-24h'!D37,'27.07 Kalerwe-Kampala-24h'!D37,'28.07 Kalerwe-Kampala'!D37)</f>
        <v>17.857142857142858</v>
      </c>
      <c r="E37" s="49">
        <f>AVERAGE('22.07 Kalerwe-Kampala'!E37,'23.07 Kalerwe-Kampala'!E37,'24.07 Kalewre-Kampala'!E37,'25.07 Kalewre-Kampala'!E37,'26.07 Kalerwe-Kampala-24h'!E37,'27.07 Kalerwe-Kampala-24h'!E37,'28.07 Kalerwe-Kampala'!E37)</f>
        <v>8.5714285714285712</v>
      </c>
      <c r="F37" s="49">
        <f>AVERAGE('22.07 Kalerwe-Kampala'!F37,'23.07 Kalerwe-Kampala'!F37,'24.07 Kalewre-Kampala'!F37,'25.07 Kalewre-Kampala'!F37,'26.07 Kalerwe-Kampala-24h'!F37,'27.07 Kalerwe-Kampala-24h'!F37,'28.07 Kalerwe-Kampala'!F37)</f>
        <v>35.714285714285715</v>
      </c>
      <c r="G37" s="49">
        <f>AVERAGE('22.07 Kalerwe-Kampala'!G37,'23.07 Kalerwe-Kampala'!G37,'24.07 Kalewre-Kampala'!G37,'25.07 Kalewre-Kampala'!G37,'26.07 Kalerwe-Kampala-24h'!G37,'27.07 Kalerwe-Kampala-24h'!G37,'28.07 Kalerwe-Kampala'!G37)</f>
        <v>0.2857142857142857</v>
      </c>
      <c r="H37" s="49">
        <f>AVERAGE('22.07 Kalerwe-Kampala'!H37,'23.07 Kalerwe-Kampala'!H37,'24.07 Kalewre-Kampala'!H37,'25.07 Kalewre-Kampala'!H37,'26.07 Kalerwe-Kampala-24h'!H37,'27.07 Kalerwe-Kampala-24h'!H37,'28.07 Kalerwe-Kampala'!H37)</f>
        <v>2.4285714285714284</v>
      </c>
      <c r="I37" s="49">
        <f>AVERAGE('22.07 Kalerwe-Kampala'!I37,'23.07 Kalerwe-Kampala'!I37,'24.07 Kalewre-Kampala'!I37,'25.07 Kalewre-Kampala'!I37,'26.07 Kalerwe-Kampala-24h'!I37,'27.07 Kalerwe-Kampala-24h'!I37,'28.07 Kalerwe-Kampala'!I37)</f>
        <v>11.857142857142858</v>
      </c>
      <c r="J37" s="49">
        <f>AVERAGE('22.07 Kalerwe-Kampala'!J37,'23.07 Kalerwe-Kampala'!J37,'24.07 Kalewre-Kampala'!J37,'25.07 Kalewre-Kampala'!J37,'26.07 Kalerwe-Kampala-24h'!J37,'27.07 Kalerwe-Kampala-24h'!J37,'28.07 Kalerwe-Kampala'!J37)</f>
        <v>1.5714285714285714</v>
      </c>
      <c r="K37" s="49">
        <f>AVERAGE('22.07 Kalerwe-Kampala'!K37,'23.07 Kalerwe-Kampala'!K37,'24.07 Kalewre-Kampala'!K37,'25.07 Kalewre-Kampala'!K37,'26.07 Kalerwe-Kampala-24h'!K37,'27.07 Kalerwe-Kampala-24h'!K37,'28.07 Kalerwe-Kampala'!K37)</f>
        <v>1</v>
      </c>
      <c r="L37" s="49">
        <f>AVERAGE('22.07 Kalerwe-Kampala'!L37,'23.07 Kalerwe-Kampala'!L37,'24.07 Kalewre-Kampala'!L37,'25.07 Kalewre-Kampala'!L37,'26.07 Kalerwe-Kampala-24h'!L37,'27.07 Kalerwe-Kampala-24h'!L37,'28.07 Kalerwe-Kampala'!L37)</f>
        <v>0.2857142857142857</v>
      </c>
      <c r="M37" s="49">
        <f>AVERAGE('22.07 Kalerwe-Kampala'!M37,'23.07 Kalerwe-Kampala'!M37,'24.07 Kalewre-Kampala'!M37,'25.07 Kalewre-Kampala'!M37,'26.07 Kalerwe-Kampala-24h'!M37,'27.07 Kalerwe-Kampala-24h'!M37,'28.07 Kalerwe-Kampala'!M37)</f>
        <v>153.71428571428572</v>
      </c>
      <c r="N37" s="49">
        <f>AVERAGE('22.07 Kalerwe-Kampala'!N37,'23.07 Kalerwe-Kampala'!N37,'24.07 Kalewre-Kampala'!N37,'25.07 Kalewre-Kampala'!N37,'26.07 Kalerwe-Kampala-24h'!N37,'27.07 Kalerwe-Kampala-24h'!N37,'28.07 Kalerwe-Kampala'!N37)</f>
        <v>0</v>
      </c>
      <c r="O37" s="15">
        <f t="shared" si="0"/>
        <v>129.28571428571431</v>
      </c>
      <c r="P37" s="15">
        <f t="shared" si="1"/>
        <v>283</v>
      </c>
      <c r="R37" s="37" t="s">
        <v>85</v>
      </c>
      <c r="S37" s="35">
        <f t="shared" ref="S37:AF37" si="29">SUM(S10:S12)</f>
        <v>578.71428571428578</v>
      </c>
      <c r="T37" s="16">
        <f t="shared" si="29"/>
        <v>206.85714285714286</v>
      </c>
      <c r="U37" s="16">
        <f t="shared" si="29"/>
        <v>83.428571428571431</v>
      </c>
      <c r="V37" s="16">
        <f t="shared" si="29"/>
        <v>505</v>
      </c>
      <c r="W37" s="16">
        <f t="shared" si="29"/>
        <v>11.857142857142858</v>
      </c>
      <c r="X37" s="16">
        <f t="shared" si="29"/>
        <v>7.2857142857142847</v>
      </c>
      <c r="Y37" s="16">
        <f t="shared" si="29"/>
        <v>88.571428571428569</v>
      </c>
      <c r="Z37" s="16">
        <f t="shared" si="29"/>
        <v>19.142857142857142</v>
      </c>
      <c r="AA37" s="16">
        <f t="shared" si="29"/>
        <v>7.5714285714285712</v>
      </c>
      <c r="AB37" s="16">
        <f t="shared" si="29"/>
        <v>3.5714285714285712</v>
      </c>
      <c r="AC37" s="16">
        <f t="shared" si="29"/>
        <v>2529</v>
      </c>
      <c r="AD37" s="16">
        <f t="shared" si="29"/>
        <v>0</v>
      </c>
      <c r="AE37" s="32">
        <f t="shared" si="29"/>
        <v>1512</v>
      </c>
      <c r="AF37" s="32">
        <f t="shared" si="29"/>
        <v>4041</v>
      </c>
    </row>
    <row r="38" spans="2:32" ht="23.1" customHeight="1" x14ac:dyDescent="0.25">
      <c r="B38" s="24" t="s">
        <v>65</v>
      </c>
      <c r="C38" s="49">
        <f>AVERAGE('22.07 Kalerwe-Kampala'!C38,'23.07 Kalerwe-Kampala'!C38,'24.07 Kalewre-Kampala'!C38,'25.07 Kalewre-Kampala'!C38,'26.07 Kalerwe-Kampala-24h'!C38,'27.07 Kalerwe-Kampala-24h'!C38,'28.07 Kalerwe-Kampala'!C38)</f>
        <v>48.714285714285715</v>
      </c>
      <c r="D38" s="49">
        <f>AVERAGE('22.07 Kalerwe-Kampala'!D38,'23.07 Kalerwe-Kampala'!D38,'24.07 Kalewre-Kampala'!D38,'25.07 Kalewre-Kampala'!D38,'26.07 Kalerwe-Kampala-24h'!D38,'27.07 Kalerwe-Kampala-24h'!D38,'28.07 Kalerwe-Kampala'!D38)</f>
        <v>16.714285714285715</v>
      </c>
      <c r="E38" s="49">
        <f>AVERAGE('22.07 Kalerwe-Kampala'!E38,'23.07 Kalerwe-Kampala'!E38,'24.07 Kalewre-Kampala'!E38,'25.07 Kalewre-Kampala'!E38,'26.07 Kalerwe-Kampala-24h'!E38,'27.07 Kalerwe-Kampala-24h'!E38,'28.07 Kalerwe-Kampala'!E38)</f>
        <v>6.1428571428571432</v>
      </c>
      <c r="F38" s="49">
        <f>AVERAGE('22.07 Kalerwe-Kampala'!F38,'23.07 Kalerwe-Kampala'!F38,'24.07 Kalewre-Kampala'!F38,'25.07 Kalewre-Kampala'!F38,'26.07 Kalerwe-Kampala-24h'!F38,'27.07 Kalerwe-Kampala-24h'!F38,'28.07 Kalerwe-Kampala'!F38)</f>
        <v>44</v>
      </c>
      <c r="G38" s="49">
        <f>AVERAGE('22.07 Kalerwe-Kampala'!G38,'23.07 Kalerwe-Kampala'!G38,'24.07 Kalewre-Kampala'!G38,'25.07 Kalewre-Kampala'!G38,'26.07 Kalerwe-Kampala-24h'!G38,'27.07 Kalerwe-Kampala-24h'!G38,'28.07 Kalerwe-Kampala'!G38)</f>
        <v>1.8571428571428572</v>
      </c>
      <c r="H38" s="49">
        <f>AVERAGE('22.07 Kalerwe-Kampala'!H38,'23.07 Kalerwe-Kampala'!H38,'24.07 Kalewre-Kampala'!H38,'25.07 Kalewre-Kampala'!H38,'26.07 Kalerwe-Kampala-24h'!H38,'27.07 Kalerwe-Kampala-24h'!H38,'28.07 Kalerwe-Kampala'!H38)</f>
        <v>0.14285714285714285</v>
      </c>
      <c r="I38" s="49">
        <f>AVERAGE('22.07 Kalerwe-Kampala'!I38,'23.07 Kalerwe-Kampala'!I38,'24.07 Kalewre-Kampala'!I38,'25.07 Kalewre-Kampala'!I38,'26.07 Kalerwe-Kampala-24h'!I38,'27.07 Kalerwe-Kampala-24h'!I38,'28.07 Kalerwe-Kampala'!I38)</f>
        <v>12.428571428571429</v>
      </c>
      <c r="J38" s="49">
        <f>AVERAGE('22.07 Kalerwe-Kampala'!J38,'23.07 Kalerwe-Kampala'!J38,'24.07 Kalewre-Kampala'!J38,'25.07 Kalewre-Kampala'!J38,'26.07 Kalerwe-Kampala-24h'!J38,'27.07 Kalerwe-Kampala-24h'!J38,'28.07 Kalerwe-Kampala'!J38)</f>
        <v>2</v>
      </c>
      <c r="K38" s="49">
        <f>AVERAGE('22.07 Kalerwe-Kampala'!K38,'23.07 Kalerwe-Kampala'!K38,'24.07 Kalewre-Kampala'!K38,'25.07 Kalewre-Kampala'!K38,'26.07 Kalerwe-Kampala-24h'!K38,'27.07 Kalerwe-Kampala-24h'!K38,'28.07 Kalerwe-Kampala'!K38)</f>
        <v>0.5714285714285714</v>
      </c>
      <c r="L38" s="49">
        <f>AVERAGE('22.07 Kalerwe-Kampala'!L38,'23.07 Kalerwe-Kampala'!L38,'24.07 Kalewre-Kampala'!L38,'25.07 Kalewre-Kampala'!L38,'26.07 Kalerwe-Kampala-24h'!L38,'27.07 Kalerwe-Kampala-24h'!L38,'28.07 Kalerwe-Kampala'!L38)</f>
        <v>0.5714285714285714</v>
      </c>
      <c r="M38" s="49">
        <f>AVERAGE('22.07 Kalerwe-Kampala'!M38,'23.07 Kalerwe-Kampala'!M38,'24.07 Kalewre-Kampala'!M38,'25.07 Kalewre-Kampala'!M38,'26.07 Kalerwe-Kampala-24h'!M38,'27.07 Kalerwe-Kampala-24h'!M38,'28.07 Kalerwe-Kampala'!M38)</f>
        <v>165.42857142857142</v>
      </c>
      <c r="N38" s="49">
        <f>AVERAGE('22.07 Kalerwe-Kampala'!N38,'23.07 Kalerwe-Kampala'!N38,'24.07 Kalewre-Kampala'!N38,'25.07 Kalewre-Kampala'!N38,'26.07 Kalerwe-Kampala-24h'!N38,'27.07 Kalerwe-Kampala-24h'!N38,'28.07 Kalerwe-Kampala'!N38)</f>
        <v>0</v>
      </c>
      <c r="O38" s="15">
        <f t="shared" si="0"/>
        <v>133.14285714285717</v>
      </c>
      <c r="P38" s="15">
        <f t="shared" si="1"/>
        <v>298.57142857142856</v>
      </c>
      <c r="R38" s="28" t="s">
        <v>86</v>
      </c>
      <c r="S38" s="16">
        <f t="shared" ref="S38:AF38" si="30">SUM(S13:S18)</f>
        <v>1222.1428571428571</v>
      </c>
      <c r="T38" s="16">
        <f t="shared" si="30"/>
        <v>496.42857142857144</v>
      </c>
      <c r="U38" s="16">
        <f t="shared" si="30"/>
        <v>190.85714285714283</v>
      </c>
      <c r="V38" s="16">
        <f t="shared" si="30"/>
        <v>994.14285714285711</v>
      </c>
      <c r="W38" s="16">
        <f t="shared" si="30"/>
        <v>27.428571428571431</v>
      </c>
      <c r="X38" s="16">
        <f t="shared" si="30"/>
        <v>16.857142857142858</v>
      </c>
      <c r="Y38" s="16">
        <f t="shared" si="30"/>
        <v>241.42857142857142</v>
      </c>
      <c r="Z38" s="16">
        <f t="shared" si="30"/>
        <v>43.428571428571431</v>
      </c>
      <c r="AA38" s="16">
        <f t="shared" si="30"/>
        <v>20.571428571428573</v>
      </c>
      <c r="AB38" s="16">
        <f t="shared" si="30"/>
        <v>13.714285714285714</v>
      </c>
      <c r="AC38" s="16">
        <f t="shared" si="30"/>
        <v>3713.2857142857142</v>
      </c>
      <c r="AD38" s="16">
        <f t="shared" si="30"/>
        <v>0</v>
      </c>
      <c r="AE38" s="32">
        <f t="shared" si="30"/>
        <v>3267</v>
      </c>
      <c r="AF38" s="32">
        <f t="shared" si="30"/>
        <v>6980.2857142857147</v>
      </c>
    </row>
    <row r="39" spans="2:32" ht="23.1" customHeight="1" x14ac:dyDescent="0.25">
      <c r="B39" s="24" t="s">
        <v>66</v>
      </c>
      <c r="C39" s="49">
        <f>AVERAGE('22.07 Kalerwe-Kampala'!C39,'23.07 Kalerwe-Kampala'!C39,'24.07 Kalewre-Kampala'!C39,'25.07 Kalewre-Kampala'!C39,'26.07 Kalerwe-Kampala-24h'!C39,'27.07 Kalerwe-Kampala-24h'!C39,'28.07 Kalerwe-Kampala'!C39)</f>
        <v>53.571428571428569</v>
      </c>
      <c r="D39" s="49">
        <f>AVERAGE('22.07 Kalerwe-Kampala'!D39,'23.07 Kalerwe-Kampala'!D39,'24.07 Kalewre-Kampala'!D39,'25.07 Kalewre-Kampala'!D39,'26.07 Kalerwe-Kampala-24h'!D39,'27.07 Kalerwe-Kampala-24h'!D39,'28.07 Kalerwe-Kampala'!D39)</f>
        <v>15.285714285714286</v>
      </c>
      <c r="E39" s="49">
        <f>AVERAGE('22.07 Kalerwe-Kampala'!E39,'23.07 Kalerwe-Kampala'!E39,'24.07 Kalewre-Kampala'!E39,'25.07 Kalewre-Kampala'!E39,'26.07 Kalerwe-Kampala-24h'!E39,'27.07 Kalerwe-Kampala-24h'!E39,'28.07 Kalerwe-Kampala'!E39)</f>
        <v>8</v>
      </c>
      <c r="F39" s="49">
        <f>AVERAGE('22.07 Kalerwe-Kampala'!F39,'23.07 Kalerwe-Kampala'!F39,'24.07 Kalewre-Kampala'!F39,'25.07 Kalewre-Kampala'!F39,'26.07 Kalerwe-Kampala-24h'!F39,'27.07 Kalerwe-Kampala-24h'!F39,'28.07 Kalerwe-Kampala'!F39)</f>
        <v>44.428571428571431</v>
      </c>
      <c r="G39" s="49">
        <f>AVERAGE('22.07 Kalerwe-Kampala'!G39,'23.07 Kalerwe-Kampala'!G39,'24.07 Kalewre-Kampala'!G39,'25.07 Kalewre-Kampala'!G39,'26.07 Kalerwe-Kampala-24h'!G39,'27.07 Kalerwe-Kampala-24h'!G39,'28.07 Kalerwe-Kampala'!G39)</f>
        <v>0.42857142857142855</v>
      </c>
      <c r="H39" s="49">
        <f>AVERAGE('22.07 Kalerwe-Kampala'!H39,'23.07 Kalerwe-Kampala'!H39,'24.07 Kalewre-Kampala'!H39,'25.07 Kalewre-Kampala'!H39,'26.07 Kalerwe-Kampala-24h'!H39,'27.07 Kalerwe-Kampala-24h'!H39,'28.07 Kalerwe-Kampala'!H39)</f>
        <v>0.5714285714285714</v>
      </c>
      <c r="I39" s="49">
        <f>AVERAGE('22.07 Kalerwe-Kampala'!I39,'23.07 Kalerwe-Kampala'!I39,'24.07 Kalewre-Kampala'!I39,'25.07 Kalewre-Kampala'!I39,'26.07 Kalerwe-Kampala-24h'!I39,'27.07 Kalerwe-Kampala-24h'!I39,'28.07 Kalerwe-Kampala'!I39)</f>
        <v>10.142857142857142</v>
      </c>
      <c r="J39" s="49">
        <f>AVERAGE('22.07 Kalerwe-Kampala'!J39,'23.07 Kalerwe-Kampala'!J39,'24.07 Kalewre-Kampala'!J39,'25.07 Kalewre-Kampala'!J39,'26.07 Kalerwe-Kampala-24h'!J39,'27.07 Kalerwe-Kampala-24h'!J39,'28.07 Kalerwe-Kampala'!J39)</f>
        <v>1.2857142857142858</v>
      </c>
      <c r="K39" s="49">
        <f>AVERAGE('22.07 Kalerwe-Kampala'!K39,'23.07 Kalerwe-Kampala'!K39,'24.07 Kalewre-Kampala'!K39,'25.07 Kalewre-Kampala'!K39,'26.07 Kalerwe-Kampala-24h'!K39,'27.07 Kalerwe-Kampala-24h'!K39,'28.07 Kalerwe-Kampala'!K39)</f>
        <v>1.2857142857142858</v>
      </c>
      <c r="L39" s="49">
        <f>AVERAGE('22.07 Kalerwe-Kampala'!L39,'23.07 Kalerwe-Kampala'!L39,'24.07 Kalewre-Kampala'!L39,'25.07 Kalewre-Kampala'!L39,'26.07 Kalerwe-Kampala-24h'!L39,'27.07 Kalerwe-Kampala-24h'!L39,'28.07 Kalerwe-Kampala'!L39)</f>
        <v>0.2857142857142857</v>
      </c>
      <c r="M39" s="49">
        <f>AVERAGE('22.07 Kalerwe-Kampala'!M39,'23.07 Kalerwe-Kampala'!M39,'24.07 Kalewre-Kampala'!M39,'25.07 Kalewre-Kampala'!M39,'26.07 Kalerwe-Kampala-24h'!M39,'27.07 Kalerwe-Kampala-24h'!M39,'28.07 Kalerwe-Kampala'!M39)</f>
        <v>147.85714285714286</v>
      </c>
      <c r="N39" s="49">
        <f>AVERAGE('22.07 Kalerwe-Kampala'!N39,'23.07 Kalerwe-Kampala'!N39,'24.07 Kalewre-Kampala'!N39,'25.07 Kalewre-Kampala'!N39,'26.07 Kalerwe-Kampala-24h'!N39,'27.07 Kalerwe-Kampala-24h'!N39,'28.07 Kalerwe-Kampala'!N39)</f>
        <v>0</v>
      </c>
      <c r="O39" s="15">
        <f t="shared" si="0"/>
        <v>135.28571428571428</v>
      </c>
      <c r="P39" s="15">
        <f t="shared" si="1"/>
        <v>283.14285714285711</v>
      </c>
      <c r="R39" s="29" t="s">
        <v>87</v>
      </c>
      <c r="S39" s="16">
        <f t="shared" ref="S39:AF39" si="31">SUM(S19:S21)</f>
        <v>575.42857142857144</v>
      </c>
      <c r="T39" s="16">
        <f t="shared" si="31"/>
        <v>201.85714285714283</v>
      </c>
      <c r="U39" s="16">
        <f t="shared" si="31"/>
        <v>75.285714285714278</v>
      </c>
      <c r="V39" s="16">
        <f t="shared" si="31"/>
        <v>507.28571428571433</v>
      </c>
      <c r="W39" s="16">
        <f t="shared" si="31"/>
        <v>17</v>
      </c>
      <c r="X39" s="16">
        <f t="shared" si="31"/>
        <v>6.1428571428571423</v>
      </c>
      <c r="Y39" s="16">
        <f t="shared" si="31"/>
        <v>101.71428571428572</v>
      </c>
      <c r="Z39" s="16">
        <f t="shared" si="31"/>
        <v>11.285714285714285</v>
      </c>
      <c r="AA39" s="16">
        <f t="shared" si="31"/>
        <v>5.2857142857142847</v>
      </c>
      <c r="AB39" s="16">
        <f t="shared" si="31"/>
        <v>3.5714285714285712</v>
      </c>
      <c r="AC39" s="16">
        <f t="shared" si="31"/>
        <v>2023.1428571428571</v>
      </c>
      <c r="AD39" s="16">
        <f t="shared" si="31"/>
        <v>0</v>
      </c>
      <c r="AE39" s="32">
        <f t="shared" si="31"/>
        <v>1504.8571428571427</v>
      </c>
      <c r="AF39" s="32">
        <f t="shared" si="31"/>
        <v>3528.0000000000005</v>
      </c>
    </row>
    <row r="40" spans="2:32" ht="23.1" customHeight="1" x14ac:dyDescent="0.25">
      <c r="B40" s="24" t="s">
        <v>67</v>
      </c>
      <c r="C40" s="49">
        <f>AVERAGE('22.07 Kalerwe-Kampala'!C40,'23.07 Kalerwe-Kampala'!C40,'24.07 Kalewre-Kampala'!C40,'25.07 Kalewre-Kampala'!C40,'26.07 Kalerwe-Kampala-24h'!C40,'27.07 Kalerwe-Kampala-24h'!C40,'28.07 Kalerwe-Kampala'!C40)</f>
        <v>48.571428571428569</v>
      </c>
      <c r="D40" s="49">
        <f>AVERAGE('22.07 Kalerwe-Kampala'!D40,'23.07 Kalerwe-Kampala'!D40,'24.07 Kalewre-Kampala'!D40,'25.07 Kalewre-Kampala'!D40,'26.07 Kalerwe-Kampala-24h'!D40,'27.07 Kalerwe-Kampala-24h'!D40,'28.07 Kalerwe-Kampala'!D40)</f>
        <v>29.857142857142858</v>
      </c>
      <c r="E40" s="49">
        <f>AVERAGE('22.07 Kalerwe-Kampala'!E40,'23.07 Kalerwe-Kampala'!E40,'24.07 Kalewre-Kampala'!E40,'25.07 Kalewre-Kampala'!E40,'26.07 Kalerwe-Kampala-24h'!E40,'27.07 Kalerwe-Kampala-24h'!E40,'28.07 Kalerwe-Kampala'!E40)</f>
        <v>6.2857142857142856</v>
      </c>
      <c r="F40" s="49">
        <f>AVERAGE('22.07 Kalerwe-Kampala'!F40,'23.07 Kalerwe-Kampala'!F40,'24.07 Kalewre-Kampala'!F40,'25.07 Kalewre-Kampala'!F40,'26.07 Kalerwe-Kampala-24h'!F40,'27.07 Kalerwe-Kampala-24h'!F40,'28.07 Kalerwe-Kampala'!F40)</f>
        <v>45.571428571428569</v>
      </c>
      <c r="G40" s="49">
        <f>AVERAGE('22.07 Kalerwe-Kampala'!G40,'23.07 Kalerwe-Kampala'!G40,'24.07 Kalewre-Kampala'!G40,'25.07 Kalewre-Kampala'!G40,'26.07 Kalerwe-Kampala-24h'!G40,'27.07 Kalerwe-Kampala-24h'!G40,'28.07 Kalerwe-Kampala'!G40)</f>
        <v>0.8571428571428571</v>
      </c>
      <c r="H40" s="49">
        <f>AVERAGE('22.07 Kalerwe-Kampala'!H40,'23.07 Kalerwe-Kampala'!H40,'24.07 Kalewre-Kampala'!H40,'25.07 Kalewre-Kampala'!H40,'26.07 Kalerwe-Kampala-24h'!H40,'27.07 Kalerwe-Kampala-24h'!H40,'28.07 Kalerwe-Kampala'!H40)</f>
        <v>1.1428571428571428</v>
      </c>
      <c r="I40" s="49">
        <f>AVERAGE('22.07 Kalerwe-Kampala'!I40,'23.07 Kalerwe-Kampala'!I40,'24.07 Kalewre-Kampala'!I40,'25.07 Kalewre-Kampala'!I40,'26.07 Kalerwe-Kampala-24h'!I40,'27.07 Kalerwe-Kampala-24h'!I40,'28.07 Kalerwe-Kampala'!I40)</f>
        <v>13.285714285714286</v>
      </c>
      <c r="J40" s="49">
        <f>AVERAGE('22.07 Kalerwe-Kampala'!J40,'23.07 Kalerwe-Kampala'!J40,'24.07 Kalewre-Kampala'!J40,'25.07 Kalewre-Kampala'!J40,'26.07 Kalerwe-Kampala-24h'!J40,'27.07 Kalerwe-Kampala-24h'!J40,'28.07 Kalerwe-Kampala'!J40)</f>
        <v>1.8571428571428572</v>
      </c>
      <c r="K40" s="49">
        <f>AVERAGE('22.07 Kalerwe-Kampala'!K40,'23.07 Kalerwe-Kampala'!K40,'24.07 Kalewre-Kampala'!K40,'25.07 Kalewre-Kampala'!K40,'26.07 Kalerwe-Kampala-24h'!K40,'27.07 Kalerwe-Kampala-24h'!K40,'28.07 Kalerwe-Kampala'!K40)</f>
        <v>0.5714285714285714</v>
      </c>
      <c r="L40" s="49">
        <f>AVERAGE('22.07 Kalerwe-Kampala'!L40,'23.07 Kalerwe-Kampala'!L40,'24.07 Kalewre-Kampala'!L40,'25.07 Kalewre-Kampala'!L40,'26.07 Kalerwe-Kampala-24h'!L40,'27.07 Kalerwe-Kampala-24h'!L40,'28.07 Kalerwe-Kampala'!L40)</f>
        <v>0.42857142857142855</v>
      </c>
      <c r="M40" s="49">
        <f>AVERAGE('22.07 Kalerwe-Kampala'!M40,'23.07 Kalerwe-Kampala'!M40,'24.07 Kalewre-Kampala'!M40,'25.07 Kalewre-Kampala'!M40,'26.07 Kalerwe-Kampala-24h'!M40,'27.07 Kalerwe-Kampala-24h'!M40,'28.07 Kalerwe-Kampala'!M40)</f>
        <v>173.57142857142858</v>
      </c>
      <c r="N40" s="49">
        <f>AVERAGE('22.07 Kalerwe-Kampala'!N40,'23.07 Kalerwe-Kampala'!N40,'24.07 Kalewre-Kampala'!N40,'25.07 Kalewre-Kampala'!N40,'26.07 Kalerwe-Kampala-24h'!N40,'27.07 Kalerwe-Kampala-24h'!N40,'28.07 Kalerwe-Kampala'!N40)</f>
        <v>0</v>
      </c>
      <c r="O40" s="15">
        <f t="shared" si="0"/>
        <v>148.42857142857142</v>
      </c>
      <c r="P40" s="15">
        <f t="shared" si="1"/>
        <v>322</v>
      </c>
      <c r="R40" s="5" t="s">
        <v>17</v>
      </c>
      <c r="S40" s="16">
        <f t="shared" ref="S40:AF40" si="32">SUM(S10:S21)</f>
        <v>2376.2857142857147</v>
      </c>
      <c r="T40" s="16">
        <f t="shared" si="32"/>
        <v>905.14285714285722</v>
      </c>
      <c r="U40" s="16">
        <f t="shared" si="32"/>
        <v>349.57142857142856</v>
      </c>
      <c r="V40" s="16">
        <f t="shared" si="32"/>
        <v>2006.4285714285713</v>
      </c>
      <c r="W40" s="16">
        <f t="shared" si="32"/>
        <v>56.285714285714278</v>
      </c>
      <c r="X40" s="16">
        <f t="shared" si="32"/>
        <v>30.285714285714285</v>
      </c>
      <c r="Y40" s="16">
        <f t="shared" si="32"/>
        <v>431.71428571428572</v>
      </c>
      <c r="Z40" s="16">
        <f t="shared" si="32"/>
        <v>73.857142857142847</v>
      </c>
      <c r="AA40" s="16">
        <f t="shared" si="32"/>
        <v>33.428571428571438</v>
      </c>
      <c r="AB40" s="16">
        <f t="shared" si="32"/>
        <v>20.857142857142858</v>
      </c>
      <c r="AC40" s="16">
        <f t="shared" si="32"/>
        <v>8265.4285714285706</v>
      </c>
      <c r="AD40" s="16">
        <f t="shared" si="32"/>
        <v>0</v>
      </c>
      <c r="AE40" s="32">
        <f t="shared" si="32"/>
        <v>6283.8571428571422</v>
      </c>
      <c r="AF40" s="32">
        <f t="shared" si="32"/>
        <v>14549.285714285716</v>
      </c>
    </row>
    <row r="41" spans="2:32" ht="23.1" customHeight="1" x14ac:dyDescent="0.25">
      <c r="B41" s="23" t="s">
        <v>68</v>
      </c>
      <c r="C41" s="49">
        <f>AVERAGE('22.07 Kalerwe-Kampala'!C41,'23.07 Kalerwe-Kampala'!C41,'24.07 Kalewre-Kampala'!C41,'25.07 Kalewre-Kampala'!C41,'26.07 Kalerwe-Kampala-24h'!C41,'27.07 Kalerwe-Kampala-24h'!C41,'28.07 Kalerwe-Kampala'!C41)</f>
        <v>61.857142857142854</v>
      </c>
      <c r="D41" s="49">
        <f>AVERAGE('22.07 Kalerwe-Kampala'!D41,'23.07 Kalerwe-Kampala'!D41,'24.07 Kalewre-Kampala'!D41,'25.07 Kalewre-Kampala'!D41,'26.07 Kalerwe-Kampala-24h'!D41,'27.07 Kalerwe-Kampala-24h'!D41,'28.07 Kalerwe-Kampala'!D41)</f>
        <v>24.142857142857142</v>
      </c>
      <c r="E41" s="49">
        <f>AVERAGE('22.07 Kalerwe-Kampala'!E41,'23.07 Kalerwe-Kampala'!E41,'24.07 Kalewre-Kampala'!E41,'25.07 Kalewre-Kampala'!E41,'26.07 Kalerwe-Kampala-24h'!E41,'27.07 Kalerwe-Kampala-24h'!E41,'28.07 Kalerwe-Kampala'!E41)</f>
        <v>8.7142857142857135</v>
      </c>
      <c r="F41" s="49">
        <f>AVERAGE('22.07 Kalerwe-Kampala'!F41,'23.07 Kalerwe-Kampala'!F41,'24.07 Kalewre-Kampala'!F41,'25.07 Kalewre-Kampala'!F41,'26.07 Kalerwe-Kampala-24h'!F41,'27.07 Kalerwe-Kampala-24h'!F41,'28.07 Kalerwe-Kampala'!F41)</f>
        <v>43.285714285714285</v>
      </c>
      <c r="G41" s="49">
        <f>AVERAGE('22.07 Kalerwe-Kampala'!G41,'23.07 Kalerwe-Kampala'!G41,'24.07 Kalewre-Kampala'!G41,'25.07 Kalewre-Kampala'!G41,'26.07 Kalerwe-Kampala-24h'!G41,'27.07 Kalerwe-Kampala-24h'!G41,'28.07 Kalerwe-Kampala'!G41)</f>
        <v>0.8571428571428571</v>
      </c>
      <c r="H41" s="49">
        <f>AVERAGE('22.07 Kalerwe-Kampala'!H41,'23.07 Kalerwe-Kampala'!H41,'24.07 Kalewre-Kampala'!H41,'25.07 Kalewre-Kampala'!H41,'26.07 Kalerwe-Kampala-24h'!H41,'27.07 Kalerwe-Kampala-24h'!H41,'28.07 Kalerwe-Kampala'!H41)</f>
        <v>0.5714285714285714</v>
      </c>
      <c r="I41" s="49">
        <f>AVERAGE('22.07 Kalerwe-Kampala'!I41,'23.07 Kalerwe-Kampala'!I41,'24.07 Kalewre-Kampala'!I41,'25.07 Kalewre-Kampala'!I41,'26.07 Kalerwe-Kampala-24h'!I41,'27.07 Kalerwe-Kampala-24h'!I41,'28.07 Kalerwe-Kampala'!I41)</f>
        <v>8.5714285714285712</v>
      </c>
      <c r="J41" s="49">
        <f>AVERAGE('22.07 Kalerwe-Kampala'!J41,'23.07 Kalerwe-Kampala'!J41,'24.07 Kalewre-Kampala'!J41,'25.07 Kalewre-Kampala'!J41,'26.07 Kalerwe-Kampala-24h'!J41,'27.07 Kalerwe-Kampala-24h'!J41,'28.07 Kalerwe-Kampala'!J41)</f>
        <v>1.1428571428571428</v>
      </c>
      <c r="K41" s="49">
        <f>AVERAGE('22.07 Kalerwe-Kampala'!K41,'23.07 Kalerwe-Kampala'!K41,'24.07 Kalewre-Kampala'!K41,'25.07 Kalewre-Kampala'!K41,'26.07 Kalerwe-Kampala-24h'!K41,'27.07 Kalerwe-Kampala-24h'!K41,'28.07 Kalerwe-Kampala'!K41)</f>
        <v>0.2857142857142857</v>
      </c>
      <c r="L41" s="49">
        <f>AVERAGE('22.07 Kalerwe-Kampala'!L41,'23.07 Kalerwe-Kampala'!L41,'24.07 Kalewre-Kampala'!L41,'25.07 Kalewre-Kampala'!L41,'26.07 Kalerwe-Kampala-24h'!L41,'27.07 Kalerwe-Kampala-24h'!L41,'28.07 Kalerwe-Kampala'!L41)</f>
        <v>0.2857142857142857</v>
      </c>
      <c r="M41" s="49">
        <f>AVERAGE('22.07 Kalerwe-Kampala'!M41,'23.07 Kalerwe-Kampala'!M41,'24.07 Kalewre-Kampala'!M41,'25.07 Kalewre-Kampala'!M41,'26.07 Kalerwe-Kampala-24h'!M41,'27.07 Kalerwe-Kampala-24h'!M41,'28.07 Kalerwe-Kampala'!M41)</f>
        <v>147.85714285714286</v>
      </c>
      <c r="N41" s="49">
        <f>AVERAGE('22.07 Kalerwe-Kampala'!N41,'23.07 Kalerwe-Kampala'!N41,'24.07 Kalewre-Kampala'!N41,'25.07 Kalewre-Kampala'!N41,'26.07 Kalerwe-Kampala-24h'!N41,'27.07 Kalerwe-Kampala-24h'!N41,'28.07 Kalerwe-Kampala'!N41)</f>
        <v>0</v>
      </c>
      <c r="O41" s="15">
        <f t="shared" si="0"/>
        <v>149.71428571428572</v>
      </c>
      <c r="P41" s="15">
        <f t="shared" si="1"/>
        <v>297.57142857142856</v>
      </c>
      <c r="R41" s="5" t="s">
        <v>182</v>
      </c>
      <c r="S41" s="16">
        <f>SUM(S10:S33)</f>
        <v>3747.2857142857147</v>
      </c>
      <c r="T41" s="16">
        <f t="shared" ref="T41:AD41" si="33">SUM(T10:T33)</f>
        <v>1023.6428571428572</v>
      </c>
      <c r="U41" s="16">
        <f t="shared" si="33"/>
        <v>516.07142857142856</v>
      </c>
      <c r="V41" s="16">
        <f t="shared" si="33"/>
        <v>3234.4285714285716</v>
      </c>
      <c r="W41" s="16">
        <f t="shared" si="33"/>
        <v>175.28571428571428</v>
      </c>
      <c r="X41" s="16">
        <f t="shared" si="33"/>
        <v>120.28571428571428</v>
      </c>
      <c r="Y41" s="16">
        <f t="shared" si="33"/>
        <v>699.21428571428578</v>
      </c>
      <c r="Z41" s="16">
        <f t="shared" si="33"/>
        <v>267.85714285714283</v>
      </c>
      <c r="AA41" s="16">
        <f t="shared" si="33"/>
        <v>100.42857142857144</v>
      </c>
      <c r="AB41" s="16">
        <f t="shared" si="33"/>
        <v>39.357142857142861</v>
      </c>
      <c r="AC41" s="16">
        <f t="shared" si="33"/>
        <v>10854.428571428571</v>
      </c>
      <c r="AD41" s="16">
        <f t="shared" si="33"/>
        <v>0.5</v>
      </c>
      <c r="AE41" s="32">
        <f>SUM(AE10:AE33)</f>
        <v>9924.3571428571413</v>
      </c>
      <c r="AF41" s="32">
        <f>SUM(AF10:AF33)</f>
        <v>20778.785714285717</v>
      </c>
    </row>
    <row r="42" spans="2:32" ht="23.1" customHeight="1" x14ac:dyDescent="0.25">
      <c r="B42" s="24" t="s">
        <v>69</v>
      </c>
      <c r="C42" s="49">
        <f>AVERAGE('22.07 Kalerwe-Kampala'!C42,'23.07 Kalerwe-Kampala'!C42,'24.07 Kalewre-Kampala'!C42,'25.07 Kalewre-Kampala'!C42,'26.07 Kalerwe-Kampala-24h'!C42,'27.07 Kalerwe-Kampala-24h'!C42,'28.07 Kalerwe-Kampala'!C42)</f>
        <v>57</v>
      </c>
      <c r="D42" s="49">
        <f>AVERAGE('22.07 Kalerwe-Kampala'!D42,'23.07 Kalerwe-Kampala'!D42,'24.07 Kalewre-Kampala'!D42,'25.07 Kalewre-Kampala'!D42,'26.07 Kalerwe-Kampala-24h'!D42,'27.07 Kalerwe-Kampala-24h'!D42,'28.07 Kalerwe-Kampala'!D42)</f>
        <v>17.142857142857142</v>
      </c>
      <c r="E42" s="49">
        <f>AVERAGE('22.07 Kalerwe-Kampala'!E42,'23.07 Kalerwe-Kampala'!E42,'24.07 Kalewre-Kampala'!E42,'25.07 Kalewre-Kampala'!E42,'26.07 Kalerwe-Kampala-24h'!E42,'27.07 Kalerwe-Kampala-24h'!E42,'28.07 Kalerwe-Kampala'!E42)</f>
        <v>11</v>
      </c>
      <c r="F42" s="49">
        <f>AVERAGE('22.07 Kalerwe-Kampala'!F42,'23.07 Kalerwe-Kampala'!F42,'24.07 Kalewre-Kampala'!F42,'25.07 Kalewre-Kampala'!F42,'26.07 Kalerwe-Kampala-24h'!F42,'27.07 Kalerwe-Kampala-24h'!F42,'28.07 Kalerwe-Kampala'!F42)</f>
        <v>44.285714285714285</v>
      </c>
      <c r="G42" s="49">
        <f>AVERAGE('22.07 Kalerwe-Kampala'!G42,'23.07 Kalerwe-Kampala'!G42,'24.07 Kalewre-Kampala'!G42,'25.07 Kalewre-Kampala'!G42,'26.07 Kalerwe-Kampala-24h'!G42,'27.07 Kalerwe-Kampala-24h'!G42,'28.07 Kalerwe-Kampala'!G42)</f>
        <v>1.7142857142857142</v>
      </c>
      <c r="H42" s="49">
        <f>AVERAGE('22.07 Kalerwe-Kampala'!H42,'23.07 Kalerwe-Kampala'!H42,'24.07 Kalewre-Kampala'!H42,'25.07 Kalewre-Kampala'!H42,'26.07 Kalerwe-Kampala-24h'!H42,'27.07 Kalerwe-Kampala-24h'!H42,'28.07 Kalerwe-Kampala'!H42)</f>
        <v>0.42857142857142855</v>
      </c>
      <c r="I42" s="49">
        <f>AVERAGE('22.07 Kalerwe-Kampala'!I42,'23.07 Kalerwe-Kampala'!I42,'24.07 Kalewre-Kampala'!I42,'25.07 Kalewre-Kampala'!I42,'26.07 Kalerwe-Kampala-24h'!I42,'27.07 Kalerwe-Kampala-24h'!I42,'28.07 Kalerwe-Kampala'!I42)</f>
        <v>12.857142857142858</v>
      </c>
      <c r="J42" s="49">
        <f>AVERAGE('22.07 Kalerwe-Kampala'!J42,'23.07 Kalerwe-Kampala'!J42,'24.07 Kalewre-Kampala'!J42,'25.07 Kalewre-Kampala'!J42,'26.07 Kalerwe-Kampala-24h'!J42,'27.07 Kalerwe-Kampala-24h'!J42,'28.07 Kalerwe-Kampala'!J42)</f>
        <v>1.2857142857142858</v>
      </c>
      <c r="K42" s="49">
        <f>AVERAGE('22.07 Kalerwe-Kampala'!K42,'23.07 Kalerwe-Kampala'!K42,'24.07 Kalewre-Kampala'!K42,'25.07 Kalewre-Kampala'!K42,'26.07 Kalerwe-Kampala-24h'!K42,'27.07 Kalerwe-Kampala-24h'!K42,'28.07 Kalerwe-Kampala'!K42)</f>
        <v>0.5714285714285714</v>
      </c>
      <c r="L42" s="49">
        <f>AVERAGE('22.07 Kalerwe-Kampala'!L42,'23.07 Kalerwe-Kampala'!L42,'24.07 Kalewre-Kampala'!L42,'25.07 Kalewre-Kampala'!L42,'26.07 Kalerwe-Kampala-24h'!L42,'27.07 Kalerwe-Kampala-24h'!L42,'28.07 Kalerwe-Kampala'!L42)</f>
        <v>0.8571428571428571</v>
      </c>
      <c r="M42" s="49">
        <f>AVERAGE('22.07 Kalerwe-Kampala'!M42,'23.07 Kalerwe-Kampala'!M42,'24.07 Kalewre-Kampala'!M42,'25.07 Kalewre-Kampala'!M42,'26.07 Kalerwe-Kampala-24h'!M42,'27.07 Kalerwe-Kampala-24h'!M42,'28.07 Kalerwe-Kampala'!M42)</f>
        <v>183.57142857142858</v>
      </c>
      <c r="N42" s="49">
        <f>AVERAGE('22.07 Kalerwe-Kampala'!N42,'23.07 Kalerwe-Kampala'!N42,'24.07 Kalewre-Kampala'!N42,'25.07 Kalewre-Kampala'!N42,'26.07 Kalerwe-Kampala-24h'!N42,'27.07 Kalerwe-Kampala-24h'!N42,'28.07 Kalerwe-Kampala'!N42)</f>
        <v>0</v>
      </c>
      <c r="O42" s="15">
        <f t="shared" si="0"/>
        <v>147.14285714285714</v>
      </c>
      <c r="P42" s="15">
        <f t="shared" si="1"/>
        <v>330.71428571428572</v>
      </c>
      <c r="R42" s="5" t="s">
        <v>160</v>
      </c>
      <c r="S42" s="48">
        <f>S41/S40</f>
        <v>1.576950823614284</v>
      </c>
      <c r="T42" s="48">
        <f t="shared" ref="T42:AF42" si="34">T41/T40</f>
        <v>1.1309185606060606</v>
      </c>
      <c r="U42" s="48">
        <f t="shared" si="34"/>
        <v>1.4762975071516142</v>
      </c>
      <c r="V42" s="48">
        <f t="shared" si="34"/>
        <v>1.6120327518689928</v>
      </c>
      <c r="W42" s="48">
        <f t="shared" si="34"/>
        <v>3.1142131979695433</v>
      </c>
      <c r="X42" s="48">
        <f t="shared" si="34"/>
        <v>3.9716981132075468</v>
      </c>
      <c r="Y42" s="48">
        <f t="shared" si="34"/>
        <v>1.619622766379881</v>
      </c>
      <c r="Z42" s="48">
        <f t="shared" si="34"/>
        <v>3.6266924564796907</v>
      </c>
      <c r="AA42" s="48">
        <f t="shared" si="34"/>
        <v>3.0042735042735038</v>
      </c>
      <c r="AB42" s="48">
        <f t="shared" si="34"/>
        <v>1.8869863013698631</v>
      </c>
      <c r="AC42" s="48">
        <f t="shared" si="34"/>
        <v>1.313232396557088</v>
      </c>
      <c r="AD42" s="48" t="e">
        <f t="shared" si="34"/>
        <v>#DIV/0!</v>
      </c>
      <c r="AE42" s="52">
        <f t="shared" si="34"/>
        <v>1.5793416236615363</v>
      </c>
      <c r="AF42" s="52">
        <f t="shared" si="34"/>
        <v>1.428165349305317</v>
      </c>
    </row>
    <row r="43" spans="2:32" ht="23.1" customHeight="1" x14ac:dyDescent="0.25">
      <c r="B43" s="23" t="s">
        <v>70</v>
      </c>
      <c r="C43" s="49">
        <f>AVERAGE('22.07 Kalerwe-Kampala'!C43,'23.07 Kalerwe-Kampala'!C43,'24.07 Kalewre-Kampala'!C43,'25.07 Kalewre-Kampala'!C43,'26.07 Kalerwe-Kampala-24h'!C43,'27.07 Kalerwe-Kampala-24h'!C43,'28.07 Kalerwe-Kampala'!C43)</f>
        <v>53</v>
      </c>
      <c r="D43" s="49">
        <f>AVERAGE('22.07 Kalerwe-Kampala'!D43,'23.07 Kalerwe-Kampala'!D43,'24.07 Kalewre-Kampala'!D43,'25.07 Kalewre-Kampala'!D43,'26.07 Kalerwe-Kampala-24h'!D43,'27.07 Kalerwe-Kampala-24h'!D43,'28.07 Kalerwe-Kampala'!D43)</f>
        <v>23.285714285714285</v>
      </c>
      <c r="E43" s="49">
        <f>AVERAGE('22.07 Kalerwe-Kampala'!E43,'23.07 Kalerwe-Kampala'!E43,'24.07 Kalewre-Kampala'!E43,'25.07 Kalewre-Kampala'!E43,'26.07 Kalerwe-Kampala-24h'!E43,'27.07 Kalerwe-Kampala-24h'!E43,'28.07 Kalerwe-Kampala'!E43)</f>
        <v>8.2857142857142865</v>
      </c>
      <c r="F43" s="49">
        <f>AVERAGE('22.07 Kalerwe-Kampala'!F43,'23.07 Kalerwe-Kampala'!F43,'24.07 Kalewre-Kampala'!F43,'25.07 Kalewre-Kampala'!F43,'26.07 Kalerwe-Kampala-24h'!F43,'27.07 Kalerwe-Kampala-24h'!F43,'28.07 Kalerwe-Kampala'!F43)</f>
        <v>45.428571428571431</v>
      </c>
      <c r="G43" s="49">
        <f>AVERAGE('22.07 Kalerwe-Kampala'!G43,'23.07 Kalerwe-Kampala'!G43,'24.07 Kalewre-Kampala'!G43,'25.07 Kalewre-Kampala'!G43,'26.07 Kalerwe-Kampala-24h'!G43,'27.07 Kalerwe-Kampala-24h'!G43,'28.07 Kalerwe-Kampala'!G43)</f>
        <v>1.5714285714285714</v>
      </c>
      <c r="H43" s="49">
        <f>AVERAGE('22.07 Kalerwe-Kampala'!H43,'23.07 Kalerwe-Kampala'!H43,'24.07 Kalewre-Kampala'!H43,'25.07 Kalewre-Kampala'!H43,'26.07 Kalerwe-Kampala-24h'!H43,'27.07 Kalerwe-Kampala-24h'!H43,'28.07 Kalerwe-Kampala'!H43)</f>
        <v>0.42857142857142855</v>
      </c>
      <c r="I43" s="49">
        <f>AVERAGE('22.07 Kalerwe-Kampala'!I43,'23.07 Kalerwe-Kampala'!I43,'24.07 Kalewre-Kampala'!I43,'25.07 Kalewre-Kampala'!I43,'26.07 Kalerwe-Kampala-24h'!I43,'27.07 Kalerwe-Kampala-24h'!I43,'28.07 Kalerwe-Kampala'!I43)</f>
        <v>18.285714285714285</v>
      </c>
      <c r="J43" s="49">
        <f>AVERAGE('22.07 Kalerwe-Kampala'!J43,'23.07 Kalerwe-Kampala'!J43,'24.07 Kalewre-Kampala'!J43,'25.07 Kalewre-Kampala'!J43,'26.07 Kalerwe-Kampala-24h'!J43,'27.07 Kalerwe-Kampala-24h'!J43,'28.07 Kalerwe-Kampala'!J43)</f>
        <v>1.7142857142857142</v>
      </c>
      <c r="K43" s="49">
        <f>AVERAGE('22.07 Kalerwe-Kampala'!K43,'23.07 Kalerwe-Kampala'!K43,'24.07 Kalewre-Kampala'!K43,'25.07 Kalewre-Kampala'!K43,'26.07 Kalerwe-Kampala-24h'!K43,'27.07 Kalerwe-Kampala-24h'!K43,'28.07 Kalerwe-Kampala'!K43)</f>
        <v>0.14285714285714285</v>
      </c>
      <c r="L43" s="49">
        <f>AVERAGE('22.07 Kalerwe-Kampala'!L43,'23.07 Kalerwe-Kampala'!L43,'24.07 Kalewre-Kampala'!L43,'25.07 Kalewre-Kampala'!L43,'26.07 Kalerwe-Kampala-24h'!L43,'27.07 Kalerwe-Kampala-24h'!L43,'28.07 Kalerwe-Kampala'!L43)</f>
        <v>0.42857142857142855</v>
      </c>
      <c r="M43" s="49">
        <f>AVERAGE('22.07 Kalerwe-Kampala'!M43,'23.07 Kalerwe-Kampala'!M43,'24.07 Kalewre-Kampala'!M43,'25.07 Kalewre-Kampala'!M43,'26.07 Kalerwe-Kampala-24h'!M43,'27.07 Kalerwe-Kampala-24h'!M43,'28.07 Kalerwe-Kampala'!M43)</f>
        <v>169.85714285714286</v>
      </c>
      <c r="N43" s="49">
        <f>AVERAGE('22.07 Kalerwe-Kampala'!N43,'23.07 Kalerwe-Kampala'!N43,'24.07 Kalewre-Kampala'!N43,'25.07 Kalewre-Kampala'!N43,'26.07 Kalerwe-Kampala-24h'!N43,'27.07 Kalerwe-Kampala-24h'!N43,'28.07 Kalerwe-Kampala'!N43)</f>
        <v>0</v>
      </c>
      <c r="O43" s="15">
        <f t="shared" si="0"/>
        <v>152.57142857142856</v>
      </c>
      <c r="P43" s="15">
        <f t="shared" si="1"/>
        <v>322.42857142857144</v>
      </c>
    </row>
    <row r="44" spans="2:32" ht="23.1" customHeight="1" x14ac:dyDescent="0.25">
      <c r="B44" s="25" t="s">
        <v>71</v>
      </c>
      <c r="C44" s="49">
        <f>AVERAGE('22.07 Kalerwe-Kampala'!C44,'23.07 Kalerwe-Kampala'!C44,'24.07 Kalewre-Kampala'!C44,'25.07 Kalewre-Kampala'!C44,'26.07 Kalerwe-Kampala-24h'!C44,'27.07 Kalerwe-Kampala-24h'!C44,'28.07 Kalerwe-Kampala'!C44)</f>
        <v>61.428571428571431</v>
      </c>
      <c r="D44" s="49">
        <f>AVERAGE('22.07 Kalerwe-Kampala'!D44,'23.07 Kalerwe-Kampala'!D44,'24.07 Kalewre-Kampala'!D44,'25.07 Kalewre-Kampala'!D44,'26.07 Kalerwe-Kampala-24h'!D44,'27.07 Kalerwe-Kampala-24h'!D44,'28.07 Kalerwe-Kampala'!D44)</f>
        <v>17.571428571428573</v>
      </c>
      <c r="E44" s="49">
        <f>AVERAGE('22.07 Kalerwe-Kampala'!E44,'23.07 Kalerwe-Kampala'!E44,'24.07 Kalewre-Kampala'!E44,'25.07 Kalewre-Kampala'!E44,'26.07 Kalerwe-Kampala-24h'!E44,'27.07 Kalerwe-Kampala-24h'!E44,'28.07 Kalerwe-Kampala'!E44)</f>
        <v>16.428571428571427</v>
      </c>
      <c r="F44" s="49">
        <f>AVERAGE('22.07 Kalerwe-Kampala'!F44,'23.07 Kalerwe-Kampala'!F44,'24.07 Kalewre-Kampala'!F44,'25.07 Kalewre-Kampala'!F44,'26.07 Kalerwe-Kampala-24h'!F44,'27.07 Kalerwe-Kampala-24h'!F44,'28.07 Kalerwe-Kampala'!F44)</f>
        <v>44.285714285714285</v>
      </c>
      <c r="G44" s="49">
        <f>AVERAGE('22.07 Kalerwe-Kampala'!G44,'23.07 Kalerwe-Kampala'!G44,'24.07 Kalewre-Kampala'!G44,'25.07 Kalewre-Kampala'!G44,'26.07 Kalerwe-Kampala-24h'!G44,'27.07 Kalerwe-Kampala-24h'!G44,'28.07 Kalerwe-Kampala'!G44)</f>
        <v>1.5714285714285714</v>
      </c>
      <c r="H44" s="49">
        <f>AVERAGE('22.07 Kalerwe-Kampala'!H44,'23.07 Kalerwe-Kampala'!H44,'24.07 Kalewre-Kampala'!H44,'25.07 Kalewre-Kampala'!H44,'26.07 Kalerwe-Kampala-24h'!H44,'27.07 Kalerwe-Kampala-24h'!H44,'28.07 Kalerwe-Kampala'!H44)</f>
        <v>0.5714285714285714</v>
      </c>
      <c r="I44" s="49">
        <f>AVERAGE('22.07 Kalerwe-Kampala'!I44,'23.07 Kalerwe-Kampala'!I44,'24.07 Kalewre-Kampala'!I44,'25.07 Kalewre-Kampala'!I44,'26.07 Kalerwe-Kampala-24h'!I44,'27.07 Kalerwe-Kampala-24h'!I44,'28.07 Kalerwe-Kampala'!I44)</f>
        <v>17.142857142857142</v>
      </c>
      <c r="J44" s="49">
        <f>AVERAGE('22.07 Kalerwe-Kampala'!J44,'23.07 Kalerwe-Kampala'!J44,'24.07 Kalewre-Kampala'!J44,'25.07 Kalewre-Kampala'!J44,'26.07 Kalerwe-Kampala-24h'!J44,'27.07 Kalerwe-Kampala-24h'!J44,'28.07 Kalerwe-Kampala'!J44)</f>
        <v>3.2857142857142856</v>
      </c>
      <c r="K44" s="49">
        <f>AVERAGE('22.07 Kalerwe-Kampala'!K44,'23.07 Kalerwe-Kampala'!K44,'24.07 Kalewre-Kampala'!K44,'25.07 Kalewre-Kampala'!K44,'26.07 Kalerwe-Kampala-24h'!K44,'27.07 Kalerwe-Kampala-24h'!K44,'28.07 Kalerwe-Kampala'!K44)</f>
        <v>0.2857142857142857</v>
      </c>
      <c r="L44" s="49">
        <f>AVERAGE('22.07 Kalerwe-Kampala'!L44,'23.07 Kalerwe-Kampala'!L44,'24.07 Kalewre-Kampala'!L44,'25.07 Kalewre-Kampala'!L44,'26.07 Kalerwe-Kampala-24h'!L44,'27.07 Kalerwe-Kampala-24h'!L44,'28.07 Kalerwe-Kampala'!L44)</f>
        <v>0.7142857142857143</v>
      </c>
      <c r="M44" s="49">
        <f>AVERAGE('22.07 Kalerwe-Kampala'!M44,'23.07 Kalerwe-Kampala'!M44,'24.07 Kalewre-Kampala'!M44,'25.07 Kalewre-Kampala'!M44,'26.07 Kalerwe-Kampala-24h'!M44,'27.07 Kalerwe-Kampala-24h'!M44,'28.07 Kalerwe-Kampala'!M44)</f>
        <v>152.14285714285714</v>
      </c>
      <c r="N44" s="49">
        <f>AVERAGE('22.07 Kalerwe-Kampala'!N44,'23.07 Kalerwe-Kampala'!N44,'24.07 Kalewre-Kampala'!N44,'25.07 Kalewre-Kampala'!N44,'26.07 Kalerwe-Kampala-24h'!N44,'27.07 Kalerwe-Kampala-24h'!N44,'28.07 Kalerwe-Kampala'!N44)</f>
        <v>0</v>
      </c>
      <c r="O44" s="15">
        <f t="shared" si="0"/>
        <v>163.28571428571431</v>
      </c>
      <c r="P44" s="15">
        <f t="shared" si="1"/>
        <v>315.42857142857144</v>
      </c>
    </row>
    <row r="45" spans="2:32" ht="23.1" customHeight="1" x14ac:dyDescent="0.25">
      <c r="B45" s="23" t="s">
        <v>72</v>
      </c>
      <c r="C45" s="49">
        <f>AVERAGE('22.07 Kalerwe-Kampala'!C45,'23.07 Kalerwe-Kampala'!C45,'24.07 Kalewre-Kampala'!C45,'25.07 Kalewre-Kampala'!C45,'26.07 Kalerwe-Kampala-24h'!C45,'27.07 Kalerwe-Kampala-24h'!C45,'28.07 Kalerwe-Kampala'!C45)</f>
        <v>46.285714285714285</v>
      </c>
      <c r="D45" s="49">
        <f>AVERAGE('22.07 Kalerwe-Kampala'!D45,'23.07 Kalerwe-Kampala'!D45,'24.07 Kalewre-Kampala'!D45,'25.07 Kalewre-Kampala'!D45,'26.07 Kalerwe-Kampala-24h'!D45,'27.07 Kalerwe-Kampala-24h'!D45,'28.07 Kalerwe-Kampala'!D45)</f>
        <v>18.428571428571427</v>
      </c>
      <c r="E45" s="49">
        <f>AVERAGE('22.07 Kalerwe-Kampala'!E45,'23.07 Kalerwe-Kampala'!E45,'24.07 Kalewre-Kampala'!E45,'25.07 Kalewre-Kampala'!E45,'26.07 Kalerwe-Kampala-24h'!E45,'27.07 Kalerwe-Kampala-24h'!E45,'28.07 Kalerwe-Kampala'!E45)</f>
        <v>6</v>
      </c>
      <c r="F45" s="49">
        <f>AVERAGE('22.07 Kalerwe-Kampala'!F45,'23.07 Kalerwe-Kampala'!F45,'24.07 Kalewre-Kampala'!F45,'25.07 Kalewre-Kampala'!F45,'26.07 Kalerwe-Kampala-24h'!F45,'27.07 Kalerwe-Kampala-24h'!F45,'28.07 Kalerwe-Kampala'!F45)</f>
        <v>36.714285714285715</v>
      </c>
      <c r="G45" s="49">
        <f>AVERAGE('22.07 Kalerwe-Kampala'!G45,'23.07 Kalerwe-Kampala'!G45,'24.07 Kalewre-Kampala'!G45,'25.07 Kalewre-Kampala'!G45,'26.07 Kalerwe-Kampala-24h'!G45,'27.07 Kalerwe-Kampala-24h'!G45,'28.07 Kalerwe-Kampala'!G45)</f>
        <v>1</v>
      </c>
      <c r="H45" s="49">
        <f>AVERAGE('22.07 Kalerwe-Kampala'!H45,'23.07 Kalerwe-Kampala'!H45,'24.07 Kalewre-Kampala'!H45,'25.07 Kalewre-Kampala'!H45,'26.07 Kalerwe-Kampala-24h'!H45,'27.07 Kalerwe-Kampala-24h'!H45,'28.07 Kalerwe-Kampala'!H45)</f>
        <v>1</v>
      </c>
      <c r="I45" s="49">
        <f>AVERAGE('22.07 Kalerwe-Kampala'!I45,'23.07 Kalerwe-Kampala'!I45,'24.07 Kalewre-Kampala'!I45,'25.07 Kalewre-Kampala'!I45,'26.07 Kalerwe-Kampala-24h'!I45,'27.07 Kalerwe-Kampala-24h'!I45,'28.07 Kalerwe-Kampala'!I45)</f>
        <v>10.428571428571429</v>
      </c>
      <c r="J45" s="49">
        <f>AVERAGE('22.07 Kalerwe-Kampala'!J45,'23.07 Kalerwe-Kampala'!J45,'24.07 Kalewre-Kampala'!J45,'25.07 Kalewre-Kampala'!J45,'26.07 Kalerwe-Kampala-24h'!J45,'27.07 Kalerwe-Kampala-24h'!J45,'28.07 Kalerwe-Kampala'!J45)</f>
        <v>1.8571428571428572</v>
      </c>
      <c r="K45" s="49">
        <f>AVERAGE('22.07 Kalerwe-Kampala'!K45,'23.07 Kalerwe-Kampala'!K45,'24.07 Kalewre-Kampala'!K45,'25.07 Kalewre-Kampala'!K45,'26.07 Kalerwe-Kampala-24h'!K45,'27.07 Kalerwe-Kampala-24h'!K45,'28.07 Kalerwe-Kampala'!K45)</f>
        <v>0</v>
      </c>
      <c r="L45" s="49">
        <f>AVERAGE('22.07 Kalerwe-Kampala'!L45,'23.07 Kalerwe-Kampala'!L45,'24.07 Kalewre-Kampala'!L45,'25.07 Kalewre-Kampala'!L45,'26.07 Kalerwe-Kampala-24h'!L45,'27.07 Kalerwe-Kampala-24h'!L45,'28.07 Kalerwe-Kampala'!L45)</f>
        <v>0.8571428571428571</v>
      </c>
      <c r="M45" s="49">
        <f>AVERAGE('22.07 Kalerwe-Kampala'!M45,'23.07 Kalerwe-Kampala'!M45,'24.07 Kalewre-Kampala'!M45,'25.07 Kalewre-Kampala'!M45,'26.07 Kalerwe-Kampala-24h'!M45,'27.07 Kalerwe-Kampala-24h'!M45,'28.07 Kalerwe-Kampala'!M45)</f>
        <v>142.42857142857142</v>
      </c>
      <c r="N45" s="49">
        <f>AVERAGE('22.07 Kalerwe-Kampala'!N45,'23.07 Kalerwe-Kampala'!N45,'24.07 Kalewre-Kampala'!N45,'25.07 Kalewre-Kampala'!N45,'26.07 Kalerwe-Kampala-24h'!N45,'27.07 Kalerwe-Kampala-24h'!N45,'28.07 Kalerwe-Kampala'!N45)</f>
        <v>0</v>
      </c>
      <c r="O45" s="15">
        <f t="shared" si="0"/>
        <v>122.57142857142857</v>
      </c>
      <c r="P45" s="15">
        <f t="shared" si="1"/>
        <v>265</v>
      </c>
    </row>
    <row r="46" spans="2:32" ht="23.1" customHeight="1" x14ac:dyDescent="0.25">
      <c r="B46" s="24" t="s">
        <v>73</v>
      </c>
      <c r="C46" s="49">
        <f>AVERAGE('22.07 Kalerwe-Kampala'!C46,'23.07 Kalerwe-Kampala'!C46,'24.07 Kalewre-Kampala'!C46,'25.07 Kalewre-Kampala'!C46,'26.07 Kalerwe-Kampala-24h'!C46,'27.07 Kalerwe-Kampala-24h'!C46,'28.07 Kalerwe-Kampala'!C46)</f>
        <v>52.142857142857146</v>
      </c>
      <c r="D46" s="49">
        <f>AVERAGE('22.07 Kalerwe-Kampala'!D46,'23.07 Kalerwe-Kampala'!D46,'24.07 Kalewre-Kampala'!D46,'25.07 Kalewre-Kampala'!D46,'26.07 Kalerwe-Kampala-24h'!D46,'27.07 Kalerwe-Kampala-24h'!D46,'28.07 Kalerwe-Kampala'!D46)</f>
        <v>15.142857142857142</v>
      </c>
      <c r="E46" s="49">
        <f>AVERAGE('22.07 Kalerwe-Kampala'!E46,'23.07 Kalerwe-Kampala'!E46,'24.07 Kalewre-Kampala'!E46,'25.07 Kalewre-Kampala'!E46,'26.07 Kalerwe-Kampala-24h'!E46,'27.07 Kalerwe-Kampala-24h'!E46,'28.07 Kalerwe-Kampala'!E46)</f>
        <v>10.428571428571429</v>
      </c>
      <c r="F46" s="49">
        <f>AVERAGE('22.07 Kalerwe-Kampala'!F46,'23.07 Kalerwe-Kampala'!F46,'24.07 Kalewre-Kampala'!F46,'25.07 Kalewre-Kampala'!F46,'26.07 Kalerwe-Kampala-24h'!F46,'27.07 Kalerwe-Kampala-24h'!F46,'28.07 Kalerwe-Kampala'!F46)</f>
        <v>42.142857142857146</v>
      </c>
      <c r="G46" s="49">
        <f>AVERAGE('22.07 Kalerwe-Kampala'!G46,'23.07 Kalerwe-Kampala'!G46,'24.07 Kalewre-Kampala'!G46,'25.07 Kalewre-Kampala'!G46,'26.07 Kalerwe-Kampala-24h'!G46,'27.07 Kalerwe-Kampala-24h'!G46,'28.07 Kalerwe-Kampala'!G46)</f>
        <v>1.2857142857142858</v>
      </c>
      <c r="H46" s="49">
        <f>AVERAGE('22.07 Kalerwe-Kampala'!H46,'23.07 Kalerwe-Kampala'!H46,'24.07 Kalewre-Kampala'!H46,'25.07 Kalewre-Kampala'!H46,'26.07 Kalerwe-Kampala-24h'!H46,'27.07 Kalerwe-Kampala-24h'!H46,'28.07 Kalerwe-Kampala'!H46)</f>
        <v>0.42857142857142855</v>
      </c>
      <c r="I46" s="49">
        <f>AVERAGE('22.07 Kalerwe-Kampala'!I46,'23.07 Kalerwe-Kampala'!I46,'24.07 Kalewre-Kampala'!I46,'25.07 Kalewre-Kampala'!I46,'26.07 Kalerwe-Kampala-24h'!I46,'27.07 Kalerwe-Kampala-24h'!I46,'28.07 Kalerwe-Kampala'!I46)</f>
        <v>13.714285714285714</v>
      </c>
      <c r="J46" s="49">
        <f>AVERAGE('22.07 Kalerwe-Kampala'!J46,'23.07 Kalerwe-Kampala'!J46,'24.07 Kalewre-Kampala'!J46,'25.07 Kalewre-Kampala'!J46,'26.07 Kalerwe-Kampala-24h'!J46,'27.07 Kalerwe-Kampala-24h'!J46,'28.07 Kalerwe-Kampala'!J46)</f>
        <v>1</v>
      </c>
      <c r="K46" s="49">
        <f>AVERAGE('22.07 Kalerwe-Kampala'!K46,'23.07 Kalerwe-Kampala'!K46,'24.07 Kalewre-Kampala'!K46,'25.07 Kalewre-Kampala'!K46,'26.07 Kalerwe-Kampala-24h'!K46,'27.07 Kalerwe-Kampala-24h'!K46,'28.07 Kalerwe-Kampala'!K46)</f>
        <v>0</v>
      </c>
      <c r="L46" s="49">
        <f>AVERAGE('22.07 Kalerwe-Kampala'!L46,'23.07 Kalerwe-Kampala'!L46,'24.07 Kalewre-Kampala'!L46,'25.07 Kalewre-Kampala'!L46,'26.07 Kalerwe-Kampala-24h'!L46,'27.07 Kalerwe-Kampala-24h'!L46,'28.07 Kalerwe-Kampala'!L46)</f>
        <v>0.2857142857142857</v>
      </c>
      <c r="M46" s="49">
        <f>AVERAGE('22.07 Kalerwe-Kampala'!M46,'23.07 Kalerwe-Kampala'!M46,'24.07 Kalewre-Kampala'!M46,'25.07 Kalewre-Kampala'!M46,'26.07 Kalerwe-Kampala-24h'!M46,'27.07 Kalerwe-Kampala-24h'!M46,'28.07 Kalerwe-Kampala'!M46)</f>
        <v>158.85714285714286</v>
      </c>
      <c r="N46" s="49">
        <f>AVERAGE('22.07 Kalerwe-Kampala'!N46,'23.07 Kalerwe-Kampala'!N46,'24.07 Kalewre-Kampala'!N46,'25.07 Kalewre-Kampala'!N46,'26.07 Kalerwe-Kampala-24h'!N46,'27.07 Kalerwe-Kampala-24h'!N46,'28.07 Kalerwe-Kampala'!N46)</f>
        <v>0</v>
      </c>
      <c r="O46" s="15">
        <f t="shared" si="0"/>
        <v>136.57142857142858</v>
      </c>
      <c r="P46" s="15">
        <f t="shared" si="1"/>
        <v>295.42857142857144</v>
      </c>
      <c r="R46" s="8"/>
      <c r="T46"/>
    </row>
    <row r="47" spans="2:32" ht="23.1" customHeight="1" x14ac:dyDescent="0.25">
      <c r="B47" s="24" t="s">
        <v>74</v>
      </c>
      <c r="C47" s="49">
        <f>AVERAGE('22.07 Kalerwe-Kampala'!C47,'23.07 Kalerwe-Kampala'!C47,'24.07 Kalewre-Kampala'!C47,'25.07 Kalewre-Kampala'!C47,'26.07 Kalerwe-Kampala-24h'!C47,'27.07 Kalerwe-Kampala-24h'!C47,'28.07 Kalerwe-Kampala'!C47)</f>
        <v>47.571428571428569</v>
      </c>
      <c r="D47" s="49">
        <f>AVERAGE('22.07 Kalerwe-Kampala'!D47,'23.07 Kalerwe-Kampala'!D47,'24.07 Kalewre-Kampala'!D47,'25.07 Kalewre-Kampala'!D47,'26.07 Kalerwe-Kampala-24h'!D47,'27.07 Kalerwe-Kampala-24h'!D47,'28.07 Kalerwe-Kampala'!D47)</f>
        <v>17.857142857142858</v>
      </c>
      <c r="E47" s="49">
        <f>AVERAGE('22.07 Kalerwe-Kampala'!E47,'23.07 Kalerwe-Kampala'!E47,'24.07 Kalewre-Kampala'!E47,'25.07 Kalewre-Kampala'!E47,'26.07 Kalerwe-Kampala-24h'!E47,'27.07 Kalerwe-Kampala-24h'!E47,'28.07 Kalerwe-Kampala'!E47)</f>
        <v>5.7142857142857144</v>
      </c>
      <c r="F47" s="49">
        <f>AVERAGE('22.07 Kalerwe-Kampala'!F47,'23.07 Kalerwe-Kampala'!F47,'24.07 Kalewre-Kampala'!F47,'25.07 Kalewre-Kampala'!F47,'26.07 Kalerwe-Kampala-24h'!F47,'27.07 Kalerwe-Kampala-24h'!F47,'28.07 Kalerwe-Kampala'!F47)</f>
        <v>45.285714285714285</v>
      </c>
      <c r="G47" s="49">
        <f>AVERAGE('22.07 Kalerwe-Kampala'!G47,'23.07 Kalerwe-Kampala'!G47,'24.07 Kalewre-Kampala'!G47,'25.07 Kalewre-Kampala'!G47,'26.07 Kalerwe-Kampala-24h'!G47,'27.07 Kalerwe-Kampala-24h'!G47,'28.07 Kalerwe-Kampala'!G47)</f>
        <v>1.4285714285714286</v>
      </c>
      <c r="H47" s="49">
        <f>AVERAGE('22.07 Kalerwe-Kampala'!H47,'23.07 Kalerwe-Kampala'!H47,'24.07 Kalewre-Kampala'!H47,'25.07 Kalewre-Kampala'!H47,'26.07 Kalerwe-Kampala-24h'!H47,'27.07 Kalerwe-Kampala-24h'!H47,'28.07 Kalerwe-Kampala'!H47)</f>
        <v>0</v>
      </c>
      <c r="I47" s="49">
        <f>AVERAGE('22.07 Kalerwe-Kampala'!I47,'23.07 Kalerwe-Kampala'!I47,'24.07 Kalewre-Kampala'!I47,'25.07 Kalewre-Kampala'!I47,'26.07 Kalerwe-Kampala-24h'!I47,'27.07 Kalerwe-Kampala-24h'!I47,'28.07 Kalerwe-Kampala'!I47)</f>
        <v>10</v>
      </c>
      <c r="J47" s="49">
        <f>AVERAGE('22.07 Kalerwe-Kampala'!J47,'23.07 Kalerwe-Kampala'!J47,'24.07 Kalewre-Kampala'!J47,'25.07 Kalewre-Kampala'!J47,'26.07 Kalerwe-Kampala-24h'!J47,'27.07 Kalerwe-Kampala-24h'!J47,'28.07 Kalerwe-Kampala'!J47)</f>
        <v>1.5714285714285714</v>
      </c>
      <c r="K47" s="49">
        <f>AVERAGE('22.07 Kalerwe-Kampala'!K47,'23.07 Kalerwe-Kampala'!K47,'24.07 Kalewre-Kampala'!K47,'25.07 Kalewre-Kampala'!K47,'26.07 Kalerwe-Kampala-24h'!K47,'27.07 Kalerwe-Kampala-24h'!K47,'28.07 Kalerwe-Kampala'!K47)</f>
        <v>0.42857142857142855</v>
      </c>
      <c r="L47" s="49">
        <f>AVERAGE('22.07 Kalerwe-Kampala'!L47,'23.07 Kalerwe-Kampala'!L47,'24.07 Kalewre-Kampala'!L47,'25.07 Kalewre-Kampala'!L47,'26.07 Kalerwe-Kampala-24h'!L47,'27.07 Kalerwe-Kampala-24h'!L47,'28.07 Kalerwe-Kampala'!L47)</f>
        <v>0.7142857142857143</v>
      </c>
      <c r="M47" s="49">
        <f>AVERAGE('22.07 Kalerwe-Kampala'!M47,'23.07 Kalerwe-Kampala'!M47,'24.07 Kalewre-Kampala'!M47,'25.07 Kalewre-Kampala'!M47,'26.07 Kalerwe-Kampala-24h'!M47,'27.07 Kalerwe-Kampala-24h'!M47,'28.07 Kalerwe-Kampala'!M47)</f>
        <v>152.14285714285714</v>
      </c>
      <c r="N47" s="49">
        <f>AVERAGE('22.07 Kalerwe-Kampala'!N47,'23.07 Kalerwe-Kampala'!N47,'24.07 Kalewre-Kampala'!N47,'25.07 Kalewre-Kampala'!N47,'26.07 Kalerwe-Kampala-24h'!N47,'27.07 Kalerwe-Kampala-24h'!N47,'28.07 Kalerwe-Kampala'!N47)</f>
        <v>0</v>
      </c>
      <c r="O47" s="15">
        <f t="shared" si="0"/>
        <v>130.57142857142856</v>
      </c>
      <c r="P47" s="15">
        <f t="shared" si="1"/>
        <v>282.71428571428567</v>
      </c>
      <c r="R47" s="8"/>
      <c r="T47"/>
    </row>
    <row r="48" spans="2:32" ht="23.1" customHeight="1" x14ac:dyDescent="0.25">
      <c r="B48" s="24" t="s">
        <v>75</v>
      </c>
      <c r="C48" s="49">
        <f>AVERAGE('22.07 Kalerwe-Kampala'!C48,'23.07 Kalerwe-Kampala'!C48,'24.07 Kalewre-Kampala'!C48,'25.07 Kalewre-Kampala'!C48,'26.07 Kalerwe-Kampala-24h'!C48,'27.07 Kalerwe-Kampala-24h'!C48,'28.07 Kalerwe-Kampala'!C48)</f>
        <v>53.857142857142854</v>
      </c>
      <c r="D48" s="49">
        <f>AVERAGE('22.07 Kalerwe-Kampala'!D48,'23.07 Kalerwe-Kampala'!D48,'24.07 Kalewre-Kampala'!D48,'25.07 Kalewre-Kampala'!D48,'26.07 Kalerwe-Kampala-24h'!D48,'27.07 Kalerwe-Kampala-24h'!D48,'28.07 Kalerwe-Kampala'!D48)</f>
        <v>20</v>
      </c>
      <c r="E48" s="49">
        <f>AVERAGE('22.07 Kalerwe-Kampala'!E48,'23.07 Kalerwe-Kampala'!E48,'24.07 Kalewre-Kampala'!E48,'25.07 Kalewre-Kampala'!E48,'26.07 Kalerwe-Kampala-24h'!E48,'27.07 Kalerwe-Kampala-24h'!E48,'28.07 Kalerwe-Kampala'!E48)</f>
        <v>5</v>
      </c>
      <c r="F48" s="49">
        <f>AVERAGE('22.07 Kalerwe-Kampala'!F48,'23.07 Kalerwe-Kampala'!F48,'24.07 Kalewre-Kampala'!F48,'25.07 Kalewre-Kampala'!F48,'26.07 Kalerwe-Kampala-24h'!F48,'27.07 Kalerwe-Kampala-24h'!F48,'28.07 Kalerwe-Kampala'!F48)</f>
        <v>42.142857142857146</v>
      </c>
      <c r="G48" s="49">
        <f>AVERAGE('22.07 Kalerwe-Kampala'!G48,'23.07 Kalerwe-Kampala'!G48,'24.07 Kalewre-Kampala'!G48,'25.07 Kalewre-Kampala'!G48,'26.07 Kalerwe-Kampala-24h'!G48,'27.07 Kalerwe-Kampala-24h'!G48,'28.07 Kalerwe-Kampala'!G48)</f>
        <v>0.7142857142857143</v>
      </c>
      <c r="H48" s="49">
        <f>AVERAGE('22.07 Kalerwe-Kampala'!H48,'23.07 Kalerwe-Kampala'!H48,'24.07 Kalewre-Kampala'!H48,'25.07 Kalewre-Kampala'!H48,'26.07 Kalerwe-Kampala-24h'!H48,'27.07 Kalerwe-Kampala-24h'!H48,'28.07 Kalerwe-Kampala'!H48)</f>
        <v>0.14285714285714285</v>
      </c>
      <c r="I48" s="49">
        <f>AVERAGE('22.07 Kalerwe-Kampala'!I48,'23.07 Kalerwe-Kampala'!I48,'24.07 Kalewre-Kampala'!I48,'25.07 Kalewre-Kampala'!I48,'26.07 Kalerwe-Kampala-24h'!I48,'27.07 Kalerwe-Kampala-24h'!I48,'28.07 Kalerwe-Kampala'!I48)</f>
        <v>12.714285714285714</v>
      </c>
      <c r="J48" s="49">
        <f>AVERAGE('22.07 Kalerwe-Kampala'!J48,'23.07 Kalerwe-Kampala'!J48,'24.07 Kalewre-Kampala'!J48,'25.07 Kalewre-Kampala'!J48,'26.07 Kalerwe-Kampala-24h'!J48,'27.07 Kalerwe-Kampala-24h'!J48,'28.07 Kalerwe-Kampala'!J48)</f>
        <v>0.5714285714285714</v>
      </c>
      <c r="K48" s="49">
        <f>AVERAGE('22.07 Kalerwe-Kampala'!K48,'23.07 Kalerwe-Kampala'!K48,'24.07 Kalewre-Kampala'!K48,'25.07 Kalewre-Kampala'!K48,'26.07 Kalerwe-Kampala-24h'!K48,'27.07 Kalerwe-Kampala-24h'!K48,'28.07 Kalerwe-Kampala'!K48)</f>
        <v>0.7142857142857143</v>
      </c>
      <c r="L48" s="49">
        <f>AVERAGE('22.07 Kalerwe-Kampala'!L48,'23.07 Kalerwe-Kampala'!L48,'24.07 Kalewre-Kampala'!L48,'25.07 Kalewre-Kampala'!L48,'26.07 Kalerwe-Kampala-24h'!L48,'27.07 Kalerwe-Kampala-24h'!L48,'28.07 Kalerwe-Kampala'!L48)</f>
        <v>0.14285714285714285</v>
      </c>
      <c r="M48" s="49">
        <f>AVERAGE('22.07 Kalerwe-Kampala'!M48,'23.07 Kalerwe-Kampala'!M48,'24.07 Kalewre-Kampala'!M48,'25.07 Kalewre-Kampala'!M48,'26.07 Kalerwe-Kampala-24h'!M48,'27.07 Kalerwe-Kampala-24h'!M48,'28.07 Kalerwe-Kampala'!M48)</f>
        <v>175.71428571428572</v>
      </c>
      <c r="N48" s="49">
        <f>AVERAGE('22.07 Kalerwe-Kampala'!N48,'23.07 Kalerwe-Kampala'!N48,'24.07 Kalewre-Kampala'!N48,'25.07 Kalewre-Kampala'!N48,'26.07 Kalerwe-Kampala-24h'!N48,'27.07 Kalerwe-Kampala-24h'!N48,'28.07 Kalerwe-Kampala'!N48)</f>
        <v>0</v>
      </c>
      <c r="O48" s="15">
        <f t="shared" si="0"/>
        <v>136</v>
      </c>
      <c r="P48" s="15">
        <f t="shared" si="1"/>
        <v>311.71428571428572</v>
      </c>
      <c r="R48" s="8"/>
      <c r="T48"/>
    </row>
    <row r="49" spans="2:20" ht="23.1" customHeight="1" x14ac:dyDescent="0.25">
      <c r="B49" s="23" t="s">
        <v>76</v>
      </c>
      <c r="C49" s="49">
        <f>AVERAGE('22.07 Kalerwe-Kampala'!C49,'23.07 Kalerwe-Kampala'!C49,'24.07 Kalewre-Kampala'!C49,'25.07 Kalewre-Kampala'!C49,'26.07 Kalerwe-Kampala-24h'!C49,'27.07 Kalerwe-Kampala-24h'!C49,'28.07 Kalerwe-Kampala'!C49)</f>
        <v>49.857142857142854</v>
      </c>
      <c r="D49" s="49">
        <f>AVERAGE('22.07 Kalerwe-Kampala'!D49,'23.07 Kalerwe-Kampala'!D49,'24.07 Kalewre-Kampala'!D49,'25.07 Kalewre-Kampala'!D49,'26.07 Kalerwe-Kampala-24h'!D49,'27.07 Kalerwe-Kampala-24h'!D49,'28.07 Kalerwe-Kampala'!D49)</f>
        <v>22.285714285714285</v>
      </c>
      <c r="E49" s="49">
        <f>AVERAGE('22.07 Kalerwe-Kampala'!E49,'23.07 Kalerwe-Kampala'!E49,'24.07 Kalewre-Kampala'!E49,'25.07 Kalewre-Kampala'!E49,'26.07 Kalerwe-Kampala-24h'!E49,'27.07 Kalerwe-Kampala-24h'!E49,'28.07 Kalerwe-Kampala'!E49)</f>
        <v>5.5714285714285712</v>
      </c>
      <c r="F49" s="49">
        <f>AVERAGE('22.07 Kalerwe-Kampala'!F49,'23.07 Kalerwe-Kampala'!F49,'24.07 Kalewre-Kampala'!F49,'25.07 Kalewre-Kampala'!F49,'26.07 Kalerwe-Kampala-24h'!F49,'27.07 Kalerwe-Kampala-24h'!F49,'28.07 Kalerwe-Kampala'!F49)</f>
        <v>37.428571428571431</v>
      </c>
      <c r="G49" s="49">
        <f>AVERAGE('22.07 Kalerwe-Kampala'!G49,'23.07 Kalerwe-Kampala'!G49,'24.07 Kalewre-Kampala'!G49,'25.07 Kalewre-Kampala'!G49,'26.07 Kalerwe-Kampala-24h'!G49,'27.07 Kalerwe-Kampala-24h'!G49,'28.07 Kalerwe-Kampala'!G49)</f>
        <v>2.1428571428571428</v>
      </c>
      <c r="H49" s="49">
        <f>AVERAGE('22.07 Kalerwe-Kampala'!H49,'23.07 Kalerwe-Kampala'!H49,'24.07 Kalewre-Kampala'!H49,'25.07 Kalewre-Kampala'!H49,'26.07 Kalerwe-Kampala-24h'!H49,'27.07 Kalerwe-Kampala-24h'!H49,'28.07 Kalerwe-Kampala'!H49)</f>
        <v>0</v>
      </c>
      <c r="I49" s="49">
        <f>AVERAGE('22.07 Kalerwe-Kampala'!I49,'23.07 Kalerwe-Kampala'!I49,'24.07 Kalewre-Kampala'!I49,'25.07 Kalewre-Kampala'!I49,'26.07 Kalerwe-Kampala-24h'!I49,'27.07 Kalerwe-Kampala-24h'!I49,'28.07 Kalerwe-Kampala'!I49)</f>
        <v>9</v>
      </c>
      <c r="J49" s="49">
        <f>AVERAGE('22.07 Kalerwe-Kampala'!J49,'23.07 Kalerwe-Kampala'!J49,'24.07 Kalewre-Kampala'!J49,'25.07 Kalewre-Kampala'!J49,'26.07 Kalerwe-Kampala-24h'!J49,'27.07 Kalerwe-Kampala-24h'!J49,'28.07 Kalerwe-Kampala'!J49)</f>
        <v>0.8571428571428571</v>
      </c>
      <c r="K49" s="49">
        <f>AVERAGE('22.07 Kalerwe-Kampala'!K49,'23.07 Kalerwe-Kampala'!K49,'24.07 Kalewre-Kampala'!K49,'25.07 Kalewre-Kampala'!K49,'26.07 Kalerwe-Kampala-24h'!K49,'27.07 Kalerwe-Kampala-24h'!K49,'28.07 Kalerwe-Kampala'!K49)</f>
        <v>0.42857142857142855</v>
      </c>
      <c r="L49" s="49">
        <f>AVERAGE('22.07 Kalerwe-Kampala'!L49,'23.07 Kalerwe-Kampala'!L49,'24.07 Kalewre-Kampala'!L49,'25.07 Kalewre-Kampala'!L49,'26.07 Kalerwe-Kampala-24h'!L49,'27.07 Kalerwe-Kampala-24h'!L49,'28.07 Kalerwe-Kampala'!L49)</f>
        <v>0</v>
      </c>
      <c r="M49" s="49">
        <f>AVERAGE('22.07 Kalerwe-Kampala'!M49,'23.07 Kalerwe-Kampala'!M49,'24.07 Kalewre-Kampala'!M49,'25.07 Kalewre-Kampala'!M49,'26.07 Kalerwe-Kampala-24h'!M49,'27.07 Kalerwe-Kampala-24h'!M49,'28.07 Kalerwe-Kampala'!M49)</f>
        <v>153.14285714285714</v>
      </c>
      <c r="N49" s="49">
        <f>AVERAGE('22.07 Kalerwe-Kampala'!N49,'23.07 Kalerwe-Kampala'!N49,'24.07 Kalewre-Kampala'!N49,'25.07 Kalewre-Kampala'!N49,'26.07 Kalerwe-Kampala-24h'!N49,'27.07 Kalerwe-Kampala-24h'!N49,'28.07 Kalerwe-Kampala'!N49)</f>
        <v>0</v>
      </c>
      <c r="O49" s="15">
        <f t="shared" si="0"/>
        <v>127.57142857142857</v>
      </c>
      <c r="P49" s="15">
        <f t="shared" si="1"/>
        <v>280.71428571428572</v>
      </c>
      <c r="R49" s="8"/>
      <c r="T49"/>
    </row>
    <row r="50" spans="2:20" ht="23.1" customHeight="1" x14ac:dyDescent="0.25">
      <c r="B50" s="24" t="s">
        <v>77</v>
      </c>
      <c r="C50" s="49">
        <f>AVERAGE('22.07 Kalerwe-Kampala'!C50,'23.07 Kalerwe-Kampala'!C50,'24.07 Kalewre-Kampala'!C50,'25.07 Kalewre-Kampala'!C50,'26.07 Kalerwe-Kampala-24h'!C50,'27.07 Kalerwe-Kampala-24h'!C50,'28.07 Kalerwe-Kampala'!C50)</f>
        <v>45.142857142857146</v>
      </c>
      <c r="D50" s="49">
        <f>AVERAGE('22.07 Kalerwe-Kampala'!D50,'23.07 Kalerwe-Kampala'!D50,'24.07 Kalewre-Kampala'!D50,'25.07 Kalewre-Kampala'!D50,'26.07 Kalerwe-Kampala-24h'!D50,'27.07 Kalerwe-Kampala-24h'!D50,'28.07 Kalerwe-Kampala'!D50)</f>
        <v>20.428571428571427</v>
      </c>
      <c r="E50" s="49">
        <f>AVERAGE('22.07 Kalerwe-Kampala'!E50,'23.07 Kalerwe-Kampala'!E50,'24.07 Kalewre-Kampala'!E50,'25.07 Kalewre-Kampala'!E50,'26.07 Kalerwe-Kampala-24h'!E50,'27.07 Kalerwe-Kampala-24h'!E50,'28.07 Kalerwe-Kampala'!E50)</f>
        <v>6.7142857142857144</v>
      </c>
      <c r="F50" s="49">
        <f>AVERAGE('22.07 Kalerwe-Kampala'!F50,'23.07 Kalerwe-Kampala'!F50,'24.07 Kalewre-Kampala'!F50,'25.07 Kalewre-Kampala'!F50,'26.07 Kalerwe-Kampala-24h'!F50,'27.07 Kalerwe-Kampala-24h'!F50,'28.07 Kalerwe-Kampala'!F50)</f>
        <v>42.428571428571431</v>
      </c>
      <c r="G50" s="49">
        <f>AVERAGE('22.07 Kalerwe-Kampala'!G50,'23.07 Kalerwe-Kampala'!G50,'24.07 Kalewre-Kampala'!G50,'25.07 Kalewre-Kampala'!G50,'26.07 Kalerwe-Kampala-24h'!G50,'27.07 Kalerwe-Kampala-24h'!G50,'28.07 Kalerwe-Kampala'!G50)</f>
        <v>0.8571428571428571</v>
      </c>
      <c r="H50" s="49">
        <f>AVERAGE('22.07 Kalerwe-Kampala'!H50,'23.07 Kalerwe-Kampala'!H50,'24.07 Kalewre-Kampala'!H50,'25.07 Kalewre-Kampala'!H50,'26.07 Kalerwe-Kampala-24h'!H50,'27.07 Kalerwe-Kampala-24h'!H50,'28.07 Kalerwe-Kampala'!H50)</f>
        <v>0.5714285714285714</v>
      </c>
      <c r="I50" s="49">
        <f>AVERAGE('22.07 Kalerwe-Kampala'!I50,'23.07 Kalerwe-Kampala'!I50,'24.07 Kalewre-Kampala'!I50,'25.07 Kalewre-Kampala'!I50,'26.07 Kalerwe-Kampala-24h'!I50,'27.07 Kalerwe-Kampala-24h'!I50,'28.07 Kalerwe-Kampala'!I50)</f>
        <v>9.7142857142857135</v>
      </c>
      <c r="J50" s="49">
        <f>AVERAGE('22.07 Kalerwe-Kampala'!J50,'23.07 Kalerwe-Kampala'!J50,'24.07 Kalewre-Kampala'!J50,'25.07 Kalewre-Kampala'!J50,'26.07 Kalerwe-Kampala-24h'!J50,'27.07 Kalerwe-Kampala-24h'!J50,'28.07 Kalerwe-Kampala'!J50)</f>
        <v>1.7142857142857142</v>
      </c>
      <c r="K50" s="49">
        <f>AVERAGE('22.07 Kalerwe-Kampala'!K50,'23.07 Kalerwe-Kampala'!K50,'24.07 Kalewre-Kampala'!K50,'25.07 Kalewre-Kampala'!K50,'26.07 Kalerwe-Kampala-24h'!K50,'27.07 Kalerwe-Kampala-24h'!K50,'28.07 Kalerwe-Kampala'!K50)</f>
        <v>0.5714285714285714</v>
      </c>
      <c r="L50" s="49">
        <f>AVERAGE('22.07 Kalerwe-Kampala'!L50,'23.07 Kalerwe-Kampala'!L50,'24.07 Kalewre-Kampala'!L50,'25.07 Kalewre-Kampala'!L50,'26.07 Kalerwe-Kampala-24h'!L50,'27.07 Kalerwe-Kampala-24h'!L50,'28.07 Kalerwe-Kampala'!L50)</f>
        <v>0.42857142857142855</v>
      </c>
      <c r="M50" s="49">
        <f>AVERAGE('22.07 Kalerwe-Kampala'!M50,'23.07 Kalerwe-Kampala'!M50,'24.07 Kalewre-Kampala'!M50,'25.07 Kalewre-Kampala'!M50,'26.07 Kalerwe-Kampala-24h'!M50,'27.07 Kalerwe-Kampala-24h'!M50,'28.07 Kalerwe-Kampala'!M50)</f>
        <v>168.57142857142858</v>
      </c>
      <c r="N50" s="49">
        <f>AVERAGE('22.07 Kalerwe-Kampala'!N50,'23.07 Kalerwe-Kampala'!N50,'24.07 Kalewre-Kampala'!N50,'25.07 Kalewre-Kampala'!N50,'26.07 Kalerwe-Kampala-24h'!N50,'27.07 Kalerwe-Kampala-24h'!N50,'28.07 Kalerwe-Kampala'!N50)</f>
        <v>0</v>
      </c>
      <c r="O50" s="15">
        <f t="shared" si="0"/>
        <v>128.57142857142856</v>
      </c>
      <c r="P50" s="15">
        <f t="shared" si="1"/>
        <v>297.14285714285711</v>
      </c>
      <c r="R50" s="8"/>
      <c r="T50"/>
    </row>
    <row r="51" spans="2:20" ht="23.1" customHeight="1" x14ac:dyDescent="0.25">
      <c r="B51" s="24" t="s">
        <v>78</v>
      </c>
      <c r="C51" s="49">
        <f>AVERAGE('22.07 Kalerwe-Kampala'!C51,'23.07 Kalerwe-Kampala'!C51,'24.07 Kalewre-Kampala'!C51,'25.07 Kalewre-Kampala'!C51,'26.07 Kalerwe-Kampala-24h'!C51,'27.07 Kalerwe-Kampala-24h'!C51,'28.07 Kalerwe-Kampala'!C51)</f>
        <v>52.857142857142854</v>
      </c>
      <c r="D51" s="49">
        <f>AVERAGE('22.07 Kalerwe-Kampala'!D51,'23.07 Kalerwe-Kampala'!D51,'24.07 Kalewre-Kampala'!D51,'25.07 Kalewre-Kampala'!D51,'26.07 Kalerwe-Kampala-24h'!D51,'27.07 Kalerwe-Kampala-24h'!D51,'28.07 Kalerwe-Kampala'!D51)</f>
        <v>17.428571428571427</v>
      </c>
      <c r="E51" s="49">
        <f>AVERAGE('22.07 Kalerwe-Kampala'!E51,'23.07 Kalerwe-Kampala'!E51,'24.07 Kalewre-Kampala'!E51,'25.07 Kalewre-Kampala'!E51,'26.07 Kalerwe-Kampala-24h'!E51,'27.07 Kalerwe-Kampala-24h'!E51,'28.07 Kalerwe-Kampala'!E51)</f>
        <v>5.5714285714285712</v>
      </c>
      <c r="F51" s="49">
        <f>AVERAGE('22.07 Kalerwe-Kampala'!F51,'23.07 Kalerwe-Kampala'!F51,'24.07 Kalewre-Kampala'!F51,'25.07 Kalewre-Kampala'!F51,'26.07 Kalerwe-Kampala-24h'!F51,'27.07 Kalerwe-Kampala-24h'!F51,'28.07 Kalerwe-Kampala'!F51)</f>
        <v>48.142857142857146</v>
      </c>
      <c r="G51" s="49">
        <f>AVERAGE('22.07 Kalerwe-Kampala'!G51,'23.07 Kalerwe-Kampala'!G51,'24.07 Kalewre-Kampala'!G51,'25.07 Kalewre-Kampala'!G51,'26.07 Kalerwe-Kampala-24h'!G51,'27.07 Kalerwe-Kampala-24h'!G51,'28.07 Kalerwe-Kampala'!G51)</f>
        <v>0.5714285714285714</v>
      </c>
      <c r="H51" s="49">
        <f>AVERAGE('22.07 Kalerwe-Kampala'!H51,'23.07 Kalerwe-Kampala'!H51,'24.07 Kalewre-Kampala'!H51,'25.07 Kalewre-Kampala'!H51,'26.07 Kalerwe-Kampala-24h'!H51,'27.07 Kalerwe-Kampala-24h'!H51,'28.07 Kalerwe-Kampala'!H51)</f>
        <v>0.14285714285714285</v>
      </c>
      <c r="I51" s="49">
        <f>AVERAGE('22.07 Kalerwe-Kampala'!I51,'23.07 Kalerwe-Kampala'!I51,'24.07 Kalewre-Kampala'!I51,'25.07 Kalewre-Kampala'!I51,'26.07 Kalerwe-Kampala-24h'!I51,'27.07 Kalerwe-Kampala-24h'!I51,'28.07 Kalerwe-Kampala'!I51)</f>
        <v>10.857142857142858</v>
      </c>
      <c r="J51" s="49">
        <f>AVERAGE('22.07 Kalerwe-Kampala'!J51,'23.07 Kalerwe-Kampala'!J51,'24.07 Kalewre-Kampala'!J51,'25.07 Kalewre-Kampala'!J51,'26.07 Kalerwe-Kampala-24h'!J51,'27.07 Kalerwe-Kampala-24h'!J51,'28.07 Kalerwe-Kampala'!J51)</f>
        <v>0.5714285714285714</v>
      </c>
      <c r="K51" s="49">
        <f>AVERAGE('22.07 Kalerwe-Kampala'!K51,'23.07 Kalerwe-Kampala'!K51,'24.07 Kalewre-Kampala'!K51,'25.07 Kalewre-Kampala'!K51,'26.07 Kalerwe-Kampala-24h'!K51,'27.07 Kalerwe-Kampala-24h'!K51,'28.07 Kalerwe-Kampala'!K51)</f>
        <v>0</v>
      </c>
      <c r="L51" s="49">
        <f>AVERAGE('22.07 Kalerwe-Kampala'!L51,'23.07 Kalerwe-Kampala'!L51,'24.07 Kalewre-Kampala'!L51,'25.07 Kalewre-Kampala'!L51,'26.07 Kalerwe-Kampala-24h'!L51,'27.07 Kalerwe-Kampala-24h'!L51,'28.07 Kalerwe-Kampala'!L51)</f>
        <v>0.14285714285714285</v>
      </c>
      <c r="M51" s="49">
        <f>AVERAGE('22.07 Kalerwe-Kampala'!M51,'23.07 Kalerwe-Kampala'!M51,'24.07 Kalewre-Kampala'!M51,'25.07 Kalewre-Kampala'!M51,'26.07 Kalerwe-Kampala-24h'!M51,'27.07 Kalerwe-Kampala-24h'!M51,'28.07 Kalerwe-Kampala'!M51)</f>
        <v>166.14285714285714</v>
      </c>
      <c r="N51" s="49">
        <f>AVERAGE('22.07 Kalerwe-Kampala'!N51,'23.07 Kalerwe-Kampala'!N51,'24.07 Kalewre-Kampala'!N51,'25.07 Kalewre-Kampala'!N51,'26.07 Kalerwe-Kampala-24h'!N51,'27.07 Kalerwe-Kampala-24h'!N51,'28.07 Kalerwe-Kampala'!N51)</f>
        <v>0</v>
      </c>
      <c r="O51" s="15">
        <f t="shared" si="0"/>
        <v>136.28571428571428</v>
      </c>
      <c r="P51" s="15">
        <f t="shared" si="1"/>
        <v>302.42857142857144</v>
      </c>
      <c r="R51" s="8"/>
      <c r="T51"/>
    </row>
    <row r="52" spans="2:20" ht="23.1" customHeight="1" x14ac:dyDescent="0.25">
      <c r="B52" s="24" t="s">
        <v>79</v>
      </c>
      <c r="C52" s="49">
        <f>AVERAGE('22.07 Kalerwe-Kampala'!C52,'23.07 Kalerwe-Kampala'!C52,'24.07 Kalewre-Kampala'!C52,'25.07 Kalewre-Kampala'!C52,'26.07 Kalerwe-Kampala-24h'!C52,'27.07 Kalerwe-Kampala-24h'!C52,'28.07 Kalerwe-Kampala'!C52)</f>
        <v>51.571428571428569</v>
      </c>
      <c r="D52" s="49">
        <f>AVERAGE('22.07 Kalerwe-Kampala'!D52,'23.07 Kalerwe-Kampala'!D52,'24.07 Kalewre-Kampala'!D52,'25.07 Kalewre-Kampala'!D52,'26.07 Kalerwe-Kampala-24h'!D52,'27.07 Kalerwe-Kampala-24h'!D52,'28.07 Kalerwe-Kampala'!D52)</f>
        <v>21.714285714285715</v>
      </c>
      <c r="E52" s="49">
        <f>AVERAGE('22.07 Kalerwe-Kampala'!E52,'23.07 Kalerwe-Kampala'!E52,'24.07 Kalewre-Kampala'!E52,'25.07 Kalewre-Kampala'!E52,'26.07 Kalerwe-Kampala-24h'!E52,'27.07 Kalerwe-Kampala-24h'!E52,'28.07 Kalerwe-Kampala'!E52)</f>
        <v>5.1428571428571432</v>
      </c>
      <c r="F52" s="49">
        <f>AVERAGE('22.07 Kalerwe-Kampala'!F52,'23.07 Kalerwe-Kampala'!F52,'24.07 Kalewre-Kampala'!F52,'25.07 Kalewre-Kampala'!F52,'26.07 Kalerwe-Kampala-24h'!F52,'27.07 Kalerwe-Kampala-24h'!F52,'28.07 Kalerwe-Kampala'!F52)</f>
        <v>39</v>
      </c>
      <c r="G52" s="49">
        <f>AVERAGE('22.07 Kalerwe-Kampala'!G52,'23.07 Kalerwe-Kampala'!G52,'24.07 Kalewre-Kampala'!G52,'25.07 Kalewre-Kampala'!G52,'26.07 Kalerwe-Kampala-24h'!G52,'27.07 Kalerwe-Kampala-24h'!G52,'28.07 Kalerwe-Kampala'!G52)</f>
        <v>1.4285714285714286</v>
      </c>
      <c r="H52" s="49">
        <f>AVERAGE('22.07 Kalerwe-Kampala'!H52,'23.07 Kalerwe-Kampala'!H52,'24.07 Kalewre-Kampala'!H52,'25.07 Kalewre-Kampala'!H52,'26.07 Kalerwe-Kampala-24h'!H52,'27.07 Kalerwe-Kampala-24h'!H52,'28.07 Kalerwe-Kampala'!H52)</f>
        <v>0.8571428571428571</v>
      </c>
      <c r="I52" s="49">
        <f>AVERAGE('22.07 Kalerwe-Kampala'!I52,'23.07 Kalerwe-Kampala'!I52,'24.07 Kalewre-Kampala'!I52,'25.07 Kalewre-Kampala'!I52,'26.07 Kalerwe-Kampala-24h'!I52,'27.07 Kalerwe-Kampala-24h'!I52,'28.07 Kalerwe-Kampala'!I52)</f>
        <v>6.4285714285714288</v>
      </c>
      <c r="J52" s="49">
        <f>AVERAGE('22.07 Kalerwe-Kampala'!J52,'23.07 Kalerwe-Kampala'!J52,'24.07 Kalewre-Kampala'!J52,'25.07 Kalewre-Kampala'!J52,'26.07 Kalerwe-Kampala-24h'!J52,'27.07 Kalerwe-Kampala-24h'!J52,'28.07 Kalerwe-Kampala'!J52)</f>
        <v>0.5714285714285714</v>
      </c>
      <c r="K52" s="49">
        <f>AVERAGE('22.07 Kalerwe-Kampala'!K52,'23.07 Kalerwe-Kampala'!K52,'24.07 Kalewre-Kampala'!K52,'25.07 Kalewre-Kampala'!K52,'26.07 Kalerwe-Kampala-24h'!K52,'27.07 Kalerwe-Kampala-24h'!K52,'28.07 Kalerwe-Kampala'!K52)</f>
        <v>0.7142857142857143</v>
      </c>
      <c r="L52" s="49">
        <f>AVERAGE('22.07 Kalerwe-Kampala'!L52,'23.07 Kalerwe-Kampala'!L52,'24.07 Kalewre-Kampala'!L52,'25.07 Kalewre-Kampala'!L52,'26.07 Kalerwe-Kampala-24h'!L52,'27.07 Kalerwe-Kampala-24h'!L52,'28.07 Kalerwe-Kampala'!L52)</f>
        <v>0.5714285714285714</v>
      </c>
      <c r="M52" s="49">
        <f>AVERAGE('22.07 Kalerwe-Kampala'!M52,'23.07 Kalerwe-Kampala'!M52,'24.07 Kalewre-Kampala'!M52,'25.07 Kalewre-Kampala'!M52,'26.07 Kalerwe-Kampala-24h'!M52,'27.07 Kalerwe-Kampala-24h'!M52,'28.07 Kalerwe-Kampala'!M52)</f>
        <v>185</v>
      </c>
      <c r="N52" s="49">
        <f>AVERAGE('22.07 Kalerwe-Kampala'!N52,'23.07 Kalerwe-Kampala'!N52,'24.07 Kalewre-Kampala'!N52,'25.07 Kalewre-Kampala'!N52,'26.07 Kalerwe-Kampala-24h'!N52,'27.07 Kalerwe-Kampala-24h'!N52,'28.07 Kalerwe-Kampala'!N52)</f>
        <v>0</v>
      </c>
      <c r="O52" s="15">
        <f t="shared" si="0"/>
        <v>127.99999999999999</v>
      </c>
      <c r="P52" s="15">
        <f t="shared" si="1"/>
        <v>313</v>
      </c>
      <c r="R52" s="8"/>
      <c r="T52"/>
    </row>
    <row r="53" spans="2:20" ht="23.1" customHeight="1" x14ac:dyDescent="0.25">
      <c r="B53" s="23" t="s">
        <v>80</v>
      </c>
      <c r="C53" s="49">
        <f>AVERAGE('22.07 Kalerwe-Kampala'!C53,'23.07 Kalerwe-Kampala'!C53,'24.07 Kalewre-Kampala'!C53,'25.07 Kalewre-Kampala'!C53,'26.07 Kalerwe-Kampala-24h'!C53,'27.07 Kalerwe-Kampala-24h'!C53,'28.07 Kalerwe-Kampala'!C53)</f>
        <v>54.428571428571431</v>
      </c>
      <c r="D53" s="49">
        <f>AVERAGE('22.07 Kalerwe-Kampala'!D53,'23.07 Kalerwe-Kampala'!D53,'24.07 Kalewre-Kampala'!D53,'25.07 Kalewre-Kampala'!D53,'26.07 Kalerwe-Kampala-24h'!D53,'27.07 Kalerwe-Kampala-24h'!D53,'28.07 Kalerwe-Kampala'!D53)</f>
        <v>19.571428571428573</v>
      </c>
      <c r="E53" s="49">
        <f>AVERAGE('22.07 Kalerwe-Kampala'!E53,'23.07 Kalerwe-Kampala'!E53,'24.07 Kalewre-Kampala'!E53,'25.07 Kalewre-Kampala'!E53,'26.07 Kalerwe-Kampala-24h'!E53,'27.07 Kalerwe-Kampala-24h'!E53,'28.07 Kalerwe-Kampala'!E53)</f>
        <v>7.4285714285714288</v>
      </c>
      <c r="F53" s="49">
        <f>AVERAGE('22.07 Kalerwe-Kampala'!F53,'23.07 Kalerwe-Kampala'!F53,'24.07 Kalewre-Kampala'!F53,'25.07 Kalewre-Kampala'!F53,'26.07 Kalerwe-Kampala-24h'!F53,'27.07 Kalerwe-Kampala-24h'!F53,'28.07 Kalerwe-Kampala'!F53)</f>
        <v>40.857142857142854</v>
      </c>
      <c r="G53" s="49">
        <f>AVERAGE('22.07 Kalerwe-Kampala'!G53,'23.07 Kalerwe-Kampala'!G53,'24.07 Kalewre-Kampala'!G53,'25.07 Kalewre-Kampala'!G53,'26.07 Kalerwe-Kampala-24h'!G53,'27.07 Kalerwe-Kampala-24h'!G53,'28.07 Kalerwe-Kampala'!G53)</f>
        <v>2.7142857142857144</v>
      </c>
      <c r="H53" s="49">
        <f>AVERAGE('22.07 Kalerwe-Kampala'!H53,'23.07 Kalerwe-Kampala'!H53,'24.07 Kalewre-Kampala'!H53,'25.07 Kalewre-Kampala'!H53,'26.07 Kalerwe-Kampala-24h'!H53,'27.07 Kalerwe-Kampala-24h'!H53,'28.07 Kalerwe-Kampala'!H53)</f>
        <v>0.42857142857142855</v>
      </c>
      <c r="I53" s="49">
        <f>AVERAGE('22.07 Kalerwe-Kampala'!I53,'23.07 Kalerwe-Kampala'!I53,'24.07 Kalewre-Kampala'!I53,'25.07 Kalewre-Kampala'!I53,'26.07 Kalerwe-Kampala-24h'!I53,'27.07 Kalerwe-Kampala-24h'!I53,'28.07 Kalerwe-Kampala'!I53)</f>
        <v>5</v>
      </c>
      <c r="J53" s="49">
        <f>AVERAGE('22.07 Kalerwe-Kampala'!J53,'23.07 Kalerwe-Kampala'!J53,'24.07 Kalewre-Kampala'!J53,'25.07 Kalewre-Kampala'!J53,'26.07 Kalerwe-Kampala-24h'!J53,'27.07 Kalerwe-Kampala-24h'!J53,'28.07 Kalerwe-Kampala'!J53)</f>
        <v>1.8571428571428572</v>
      </c>
      <c r="K53" s="49">
        <f>AVERAGE('22.07 Kalerwe-Kampala'!K53,'23.07 Kalerwe-Kampala'!K53,'24.07 Kalewre-Kampala'!K53,'25.07 Kalewre-Kampala'!K53,'26.07 Kalerwe-Kampala-24h'!K53,'27.07 Kalerwe-Kampala-24h'!K53,'28.07 Kalerwe-Kampala'!K53)</f>
        <v>1</v>
      </c>
      <c r="L53" s="49">
        <f>AVERAGE('22.07 Kalerwe-Kampala'!L53,'23.07 Kalerwe-Kampala'!L53,'24.07 Kalewre-Kampala'!L53,'25.07 Kalewre-Kampala'!L53,'26.07 Kalerwe-Kampala-24h'!L53,'27.07 Kalerwe-Kampala-24h'!L53,'28.07 Kalerwe-Kampala'!L53)</f>
        <v>0.5714285714285714</v>
      </c>
      <c r="M53" s="49">
        <f>AVERAGE('22.07 Kalerwe-Kampala'!M53,'23.07 Kalerwe-Kampala'!M53,'24.07 Kalewre-Kampala'!M53,'25.07 Kalewre-Kampala'!M53,'26.07 Kalerwe-Kampala-24h'!M53,'27.07 Kalerwe-Kampala-24h'!M53,'28.07 Kalerwe-Kampala'!M53)</f>
        <v>178.28571428571428</v>
      </c>
      <c r="N53" s="49">
        <f>AVERAGE('22.07 Kalerwe-Kampala'!N53,'23.07 Kalerwe-Kampala'!N53,'24.07 Kalewre-Kampala'!N53,'25.07 Kalewre-Kampala'!N53,'26.07 Kalerwe-Kampala-24h'!N53,'27.07 Kalerwe-Kampala-24h'!N53,'28.07 Kalerwe-Kampala'!N53)</f>
        <v>0</v>
      </c>
      <c r="O53" s="15">
        <f t="shared" si="0"/>
        <v>133.85714285714286</v>
      </c>
      <c r="P53" s="15">
        <f t="shared" si="1"/>
        <v>312.14285714285711</v>
      </c>
      <c r="R53" s="8"/>
      <c r="T53"/>
    </row>
    <row r="54" spans="2:20" ht="23.1" customHeight="1" x14ac:dyDescent="0.25">
      <c r="B54" s="23" t="s">
        <v>81</v>
      </c>
      <c r="C54" s="49">
        <f>AVERAGE('22.07 Kalerwe-Kampala'!C54,'23.07 Kalerwe-Kampala'!C54,'24.07 Kalewre-Kampala'!C54,'25.07 Kalewre-Kampala'!C54,'26.07 Kalerwe-Kampala-24h'!C54,'27.07 Kalerwe-Kampala-24h'!C54,'28.07 Kalerwe-Kampala'!C54)</f>
        <v>54.428571428571431</v>
      </c>
      <c r="D54" s="49">
        <f>AVERAGE('22.07 Kalerwe-Kampala'!D54,'23.07 Kalerwe-Kampala'!D54,'24.07 Kalewre-Kampala'!D54,'25.07 Kalewre-Kampala'!D54,'26.07 Kalerwe-Kampala-24h'!D54,'27.07 Kalerwe-Kampala-24h'!D54,'28.07 Kalerwe-Kampala'!D54)</f>
        <v>15</v>
      </c>
      <c r="E54" s="49">
        <f>AVERAGE('22.07 Kalerwe-Kampala'!E54,'23.07 Kalerwe-Kampala'!E54,'24.07 Kalewre-Kampala'!E54,'25.07 Kalewre-Kampala'!E54,'26.07 Kalerwe-Kampala-24h'!E54,'27.07 Kalerwe-Kampala-24h'!E54,'28.07 Kalerwe-Kampala'!E54)</f>
        <v>8</v>
      </c>
      <c r="F54" s="49">
        <f>AVERAGE('22.07 Kalerwe-Kampala'!F54,'23.07 Kalerwe-Kampala'!F54,'24.07 Kalewre-Kampala'!F54,'25.07 Kalewre-Kampala'!F54,'26.07 Kalerwe-Kampala-24h'!F54,'27.07 Kalerwe-Kampala-24h'!F54,'28.07 Kalerwe-Kampala'!F54)</f>
        <v>38.714285714285715</v>
      </c>
      <c r="G54" s="49">
        <f>AVERAGE('22.07 Kalerwe-Kampala'!G54,'23.07 Kalerwe-Kampala'!G54,'24.07 Kalewre-Kampala'!G54,'25.07 Kalewre-Kampala'!G54,'26.07 Kalerwe-Kampala-24h'!G54,'27.07 Kalerwe-Kampala-24h'!G54,'28.07 Kalerwe-Kampala'!G54)</f>
        <v>1.5714285714285714</v>
      </c>
      <c r="H54" s="49">
        <f>AVERAGE('22.07 Kalerwe-Kampala'!H54,'23.07 Kalerwe-Kampala'!H54,'24.07 Kalewre-Kampala'!H54,'25.07 Kalewre-Kampala'!H54,'26.07 Kalerwe-Kampala-24h'!H54,'27.07 Kalerwe-Kampala-24h'!H54,'28.07 Kalerwe-Kampala'!H54)</f>
        <v>0.7142857142857143</v>
      </c>
      <c r="I54" s="49">
        <f>AVERAGE('22.07 Kalerwe-Kampala'!I54,'23.07 Kalerwe-Kampala'!I54,'24.07 Kalewre-Kampala'!I54,'25.07 Kalewre-Kampala'!I54,'26.07 Kalerwe-Kampala-24h'!I54,'27.07 Kalerwe-Kampala-24h'!I54,'28.07 Kalerwe-Kampala'!I54)</f>
        <v>7.1428571428571432</v>
      </c>
      <c r="J54" s="49">
        <f>AVERAGE('22.07 Kalerwe-Kampala'!J54,'23.07 Kalerwe-Kampala'!J54,'24.07 Kalewre-Kampala'!J54,'25.07 Kalewre-Kampala'!J54,'26.07 Kalerwe-Kampala-24h'!J54,'27.07 Kalerwe-Kampala-24h'!J54,'28.07 Kalerwe-Kampala'!J54)</f>
        <v>1</v>
      </c>
      <c r="K54" s="49">
        <f>AVERAGE('22.07 Kalerwe-Kampala'!K54,'23.07 Kalerwe-Kampala'!K54,'24.07 Kalewre-Kampala'!K54,'25.07 Kalewre-Kampala'!K54,'26.07 Kalerwe-Kampala-24h'!K54,'27.07 Kalerwe-Kampala-24h'!K54,'28.07 Kalerwe-Kampala'!K54)</f>
        <v>0.42857142857142855</v>
      </c>
      <c r="L54" s="49">
        <f>AVERAGE('22.07 Kalerwe-Kampala'!L54,'23.07 Kalerwe-Kampala'!L54,'24.07 Kalewre-Kampala'!L54,'25.07 Kalewre-Kampala'!L54,'26.07 Kalerwe-Kampala-24h'!L54,'27.07 Kalerwe-Kampala-24h'!L54,'28.07 Kalerwe-Kampala'!L54)</f>
        <v>0.2857142857142857</v>
      </c>
      <c r="M54" s="49">
        <f>AVERAGE('22.07 Kalerwe-Kampala'!M54,'23.07 Kalerwe-Kampala'!M54,'24.07 Kalewre-Kampala'!M54,'25.07 Kalewre-Kampala'!M54,'26.07 Kalerwe-Kampala-24h'!M54,'27.07 Kalerwe-Kampala-24h'!M54,'28.07 Kalerwe-Kampala'!M54)</f>
        <v>170</v>
      </c>
      <c r="N54" s="49">
        <f>AVERAGE('22.07 Kalerwe-Kampala'!N54,'23.07 Kalerwe-Kampala'!N54,'24.07 Kalewre-Kampala'!N54,'25.07 Kalewre-Kampala'!N54,'26.07 Kalerwe-Kampala-24h'!N54,'27.07 Kalerwe-Kampala-24h'!N54,'28.07 Kalerwe-Kampala'!N54)</f>
        <v>0</v>
      </c>
      <c r="O54" s="15">
        <f t="shared" si="0"/>
        <v>127.28571428571428</v>
      </c>
      <c r="P54" s="15">
        <f t="shared" si="1"/>
        <v>297.28571428571428</v>
      </c>
      <c r="R54" s="8"/>
      <c r="T54"/>
    </row>
    <row r="55" spans="2:20" ht="23.1" customHeight="1" x14ac:dyDescent="0.25">
      <c r="B55" s="23" t="s">
        <v>82</v>
      </c>
      <c r="C55" s="49">
        <f>AVERAGE('22.07 Kalerwe-Kampala'!C55,'23.07 Kalerwe-Kampala'!C55,'24.07 Kalewre-Kampala'!C55,'25.07 Kalewre-Kampala'!C55,'26.07 Kalerwe-Kampala-24h'!C55,'27.07 Kalerwe-Kampala-24h'!C55,'28.07 Kalerwe-Kampala'!C55)</f>
        <v>42.428571428571431</v>
      </c>
      <c r="D55" s="49">
        <f>AVERAGE('22.07 Kalerwe-Kampala'!D55,'23.07 Kalerwe-Kampala'!D55,'24.07 Kalewre-Kampala'!D55,'25.07 Kalewre-Kampala'!D55,'26.07 Kalerwe-Kampala-24h'!D55,'27.07 Kalerwe-Kampala-24h'!D55,'28.07 Kalerwe-Kampala'!D55)</f>
        <v>14</v>
      </c>
      <c r="E55" s="49">
        <f>AVERAGE('22.07 Kalerwe-Kampala'!E55,'23.07 Kalerwe-Kampala'!E55,'24.07 Kalewre-Kampala'!E55,'25.07 Kalewre-Kampala'!E55,'26.07 Kalerwe-Kampala-24h'!E55,'27.07 Kalerwe-Kampala-24h'!E55,'28.07 Kalerwe-Kampala'!E55)</f>
        <v>6.7142857142857144</v>
      </c>
      <c r="F55" s="49">
        <f>AVERAGE('22.07 Kalerwe-Kampala'!F55,'23.07 Kalerwe-Kampala'!F55,'24.07 Kalewre-Kampala'!F55,'25.07 Kalewre-Kampala'!F55,'26.07 Kalerwe-Kampala-24h'!F55,'27.07 Kalerwe-Kampala-24h'!F55,'28.07 Kalerwe-Kampala'!F55)</f>
        <v>42.714285714285715</v>
      </c>
      <c r="G55" s="49">
        <f>AVERAGE('22.07 Kalerwe-Kampala'!G55,'23.07 Kalerwe-Kampala'!G55,'24.07 Kalewre-Kampala'!G55,'25.07 Kalewre-Kampala'!G55,'26.07 Kalerwe-Kampala-24h'!G55,'27.07 Kalerwe-Kampala-24h'!G55,'28.07 Kalerwe-Kampala'!G55)</f>
        <v>1.1428571428571428</v>
      </c>
      <c r="H55" s="49">
        <f>AVERAGE('22.07 Kalerwe-Kampala'!H55,'23.07 Kalerwe-Kampala'!H55,'24.07 Kalewre-Kampala'!H55,'25.07 Kalewre-Kampala'!H55,'26.07 Kalerwe-Kampala-24h'!H55,'27.07 Kalerwe-Kampala-24h'!H55,'28.07 Kalerwe-Kampala'!H55)</f>
        <v>1.8571428571428572</v>
      </c>
      <c r="I55" s="49">
        <f>AVERAGE('22.07 Kalerwe-Kampala'!I55,'23.07 Kalerwe-Kampala'!I55,'24.07 Kalewre-Kampala'!I55,'25.07 Kalewre-Kampala'!I55,'26.07 Kalerwe-Kampala-24h'!I55,'27.07 Kalerwe-Kampala-24h'!I55,'28.07 Kalerwe-Kampala'!I55)</f>
        <v>4.5714285714285712</v>
      </c>
      <c r="J55" s="49">
        <f>AVERAGE('22.07 Kalerwe-Kampala'!J55,'23.07 Kalerwe-Kampala'!J55,'24.07 Kalewre-Kampala'!J55,'25.07 Kalewre-Kampala'!J55,'26.07 Kalerwe-Kampala-24h'!J55,'27.07 Kalerwe-Kampala-24h'!J55,'28.07 Kalerwe-Kampala'!J55)</f>
        <v>0.2857142857142857</v>
      </c>
      <c r="K55" s="49">
        <f>AVERAGE('22.07 Kalerwe-Kampala'!K55,'23.07 Kalerwe-Kampala'!K55,'24.07 Kalewre-Kampala'!K55,'25.07 Kalewre-Kampala'!K55,'26.07 Kalerwe-Kampala-24h'!K55,'27.07 Kalerwe-Kampala-24h'!K55,'28.07 Kalerwe-Kampala'!K55)</f>
        <v>0.2857142857142857</v>
      </c>
      <c r="L55" s="49">
        <f>AVERAGE('22.07 Kalerwe-Kampala'!L55,'23.07 Kalerwe-Kampala'!L55,'24.07 Kalewre-Kampala'!L55,'25.07 Kalewre-Kampala'!L55,'26.07 Kalerwe-Kampala-24h'!L55,'27.07 Kalerwe-Kampala-24h'!L55,'28.07 Kalerwe-Kampala'!L55)</f>
        <v>0</v>
      </c>
      <c r="M55" s="49">
        <f>AVERAGE('22.07 Kalerwe-Kampala'!M55,'23.07 Kalerwe-Kampala'!M55,'24.07 Kalewre-Kampala'!M55,'25.07 Kalewre-Kampala'!M55,'26.07 Kalerwe-Kampala-24h'!M55,'27.07 Kalerwe-Kampala-24h'!M55,'28.07 Kalerwe-Kampala'!M55)</f>
        <v>167.85714285714286</v>
      </c>
      <c r="N55" s="49">
        <f>AVERAGE('22.07 Kalerwe-Kampala'!N55,'23.07 Kalerwe-Kampala'!N55,'24.07 Kalewre-Kampala'!N55,'25.07 Kalewre-Kampala'!N55,'26.07 Kalerwe-Kampala-24h'!N55,'27.07 Kalerwe-Kampala-24h'!N55,'28.07 Kalerwe-Kampala'!N55)</f>
        <v>0</v>
      </c>
      <c r="O55" s="15">
        <f t="shared" si="0"/>
        <v>114.00000000000001</v>
      </c>
      <c r="P55" s="15">
        <f t="shared" si="1"/>
        <v>281.85714285714289</v>
      </c>
      <c r="R55" s="8"/>
      <c r="T55"/>
    </row>
    <row r="56" spans="2:20" ht="23.1" customHeight="1" x14ac:dyDescent="0.25">
      <c r="B56" s="23" t="s">
        <v>83</v>
      </c>
      <c r="C56" s="49">
        <f>AVERAGE('22.07 Kalerwe-Kampala'!C56,'23.07 Kalerwe-Kampala'!C56,'24.07 Kalewre-Kampala'!C56,'25.07 Kalewre-Kampala'!C56,'26.07 Kalerwe-Kampala-24h'!C56,'27.07 Kalerwe-Kampala-24h'!C56,'28.07 Kalerwe-Kampala'!C56)</f>
        <v>37.142857142857146</v>
      </c>
      <c r="D56" s="49">
        <f>AVERAGE('22.07 Kalerwe-Kampala'!D56,'23.07 Kalerwe-Kampala'!D56,'24.07 Kalewre-Kampala'!D56,'25.07 Kalewre-Kampala'!D56,'26.07 Kalerwe-Kampala-24h'!D56,'27.07 Kalerwe-Kampala-24h'!D56,'28.07 Kalerwe-Kampala'!D56)</f>
        <v>10.428571428571429</v>
      </c>
      <c r="E56" s="49">
        <f>AVERAGE('22.07 Kalerwe-Kampala'!E56,'23.07 Kalerwe-Kampala'!E56,'24.07 Kalewre-Kampala'!E56,'25.07 Kalewre-Kampala'!E56,'26.07 Kalerwe-Kampala-24h'!E56,'27.07 Kalerwe-Kampala-24h'!E56,'28.07 Kalerwe-Kampala'!E56)</f>
        <v>4.7142857142857144</v>
      </c>
      <c r="F56" s="49">
        <f>AVERAGE('22.07 Kalerwe-Kampala'!F56,'23.07 Kalerwe-Kampala'!F56,'24.07 Kalewre-Kampala'!F56,'25.07 Kalewre-Kampala'!F56,'26.07 Kalerwe-Kampala-24h'!F56,'27.07 Kalerwe-Kampala-24h'!F56,'28.07 Kalerwe-Kampala'!F56)</f>
        <v>48.285714285714285</v>
      </c>
      <c r="G56" s="49">
        <f>AVERAGE('22.07 Kalerwe-Kampala'!G56,'23.07 Kalerwe-Kampala'!G56,'24.07 Kalewre-Kampala'!G56,'25.07 Kalewre-Kampala'!G56,'26.07 Kalerwe-Kampala-24h'!G56,'27.07 Kalerwe-Kampala-24h'!G56,'28.07 Kalerwe-Kampala'!G56)</f>
        <v>1.7142857142857142</v>
      </c>
      <c r="H56" s="49">
        <f>AVERAGE('22.07 Kalerwe-Kampala'!H56,'23.07 Kalerwe-Kampala'!H56,'24.07 Kalewre-Kampala'!H56,'25.07 Kalewre-Kampala'!H56,'26.07 Kalerwe-Kampala-24h'!H56,'27.07 Kalerwe-Kampala-24h'!H56,'28.07 Kalerwe-Kampala'!H56)</f>
        <v>0.5714285714285714</v>
      </c>
      <c r="I56" s="49">
        <f>AVERAGE('22.07 Kalerwe-Kampala'!I56,'23.07 Kalerwe-Kampala'!I56,'24.07 Kalewre-Kampala'!I56,'25.07 Kalewre-Kampala'!I56,'26.07 Kalerwe-Kampala-24h'!I56,'27.07 Kalerwe-Kampala-24h'!I56,'28.07 Kalerwe-Kampala'!I56)</f>
        <v>7.2857142857142856</v>
      </c>
      <c r="J56" s="49">
        <f>AVERAGE('22.07 Kalerwe-Kampala'!J56,'23.07 Kalerwe-Kampala'!J56,'24.07 Kalewre-Kampala'!J56,'25.07 Kalewre-Kampala'!J56,'26.07 Kalerwe-Kampala-24h'!J56,'27.07 Kalerwe-Kampala-24h'!J56,'28.07 Kalerwe-Kampala'!J56)</f>
        <v>0.42857142857142855</v>
      </c>
      <c r="K56" s="49">
        <f>AVERAGE('22.07 Kalerwe-Kampala'!K56,'23.07 Kalerwe-Kampala'!K56,'24.07 Kalewre-Kampala'!K56,'25.07 Kalewre-Kampala'!K56,'26.07 Kalerwe-Kampala-24h'!K56,'27.07 Kalerwe-Kampala-24h'!K56,'28.07 Kalerwe-Kampala'!K56)</f>
        <v>0.14285714285714285</v>
      </c>
      <c r="L56" s="49">
        <f>AVERAGE('22.07 Kalerwe-Kampala'!L56,'23.07 Kalerwe-Kampala'!L56,'24.07 Kalewre-Kampala'!L56,'25.07 Kalewre-Kampala'!L56,'26.07 Kalerwe-Kampala-24h'!L56,'27.07 Kalerwe-Kampala-24h'!L56,'28.07 Kalerwe-Kampala'!L56)</f>
        <v>0.14285714285714285</v>
      </c>
      <c r="M56" s="49">
        <f>AVERAGE('22.07 Kalerwe-Kampala'!M56,'23.07 Kalerwe-Kampala'!M56,'24.07 Kalewre-Kampala'!M56,'25.07 Kalewre-Kampala'!M56,'26.07 Kalerwe-Kampala-24h'!M56,'27.07 Kalerwe-Kampala-24h'!M56,'28.07 Kalerwe-Kampala'!M56)</f>
        <v>192.14285714285714</v>
      </c>
      <c r="N56" s="49">
        <f>AVERAGE('22.07 Kalerwe-Kampala'!N56,'23.07 Kalerwe-Kampala'!N56,'24.07 Kalewre-Kampala'!N56,'25.07 Kalewre-Kampala'!N56,'26.07 Kalerwe-Kampala-24h'!N56,'27.07 Kalerwe-Kampala-24h'!N56,'28.07 Kalerwe-Kampala'!N56)</f>
        <v>0</v>
      </c>
      <c r="O56" s="15">
        <f t="shared" si="0"/>
        <v>110.85714285714286</v>
      </c>
      <c r="P56" s="15">
        <f t="shared" si="1"/>
        <v>303</v>
      </c>
      <c r="R56" s="8"/>
      <c r="T56"/>
    </row>
    <row r="57" spans="2:20" ht="23.1" customHeight="1" x14ac:dyDescent="0.25">
      <c r="B57" s="23" t="s">
        <v>84</v>
      </c>
      <c r="C57" s="49">
        <f>AVERAGE('22.07 Kalerwe-Kampala'!C57,'23.07 Kalerwe-Kampala'!C57,'24.07 Kalewre-Kampala'!C57,'25.07 Kalewre-Kampala'!C57,'26.07 Kalerwe-Kampala-24h'!C57,'27.07 Kalerwe-Kampala-24h'!C57,'28.07 Kalerwe-Kampala'!C57)</f>
        <v>34</v>
      </c>
      <c r="D57" s="49">
        <f>AVERAGE('22.07 Kalerwe-Kampala'!D57,'23.07 Kalerwe-Kampala'!D57,'24.07 Kalewre-Kampala'!D57,'25.07 Kalewre-Kampala'!D57,'26.07 Kalerwe-Kampala-24h'!D57,'27.07 Kalerwe-Kampala-24h'!D57,'28.07 Kalerwe-Kampala'!D57)</f>
        <v>8</v>
      </c>
      <c r="E57" s="49">
        <f>AVERAGE('22.07 Kalerwe-Kampala'!E57,'23.07 Kalerwe-Kampala'!E57,'24.07 Kalewre-Kampala'!E57,'25.07 Kalewre-Kampala'!E57,'26.07 Kalerwe-Kampala-24h'!E57,'27.07 Kalerwe-Kampala-24h'!E57,'28.07 Kalerwe-Kampala'!E57)</f>
        <v>4.2857142857142856</v>
      </c>
      <c r="F57" s="49">
        <f>AVERAGE('22.07 Kalerwe-Kampala'!F57,'23.07 Kalerwe-Kampala'!F57,'24.07 Kalewre-Kampala'!F57,'25.07 Kalewre-Kampala'!F57,'26.07 Kalerwe-Kampala-24h'!F57,'27.07 Kalerwe-Kampala-24h'!F57,'28.07 Kalerwe-Kampala'!F57)</f>
        <v>40.142857142857146</v>
      </c>
      <c r="G57" s="49">
        <f>AVERAGE('22.07 Kalerwe-Kampala'!G57,'23.07 Kalerwe-Kampala'!G57,'24.07 Kalewre-Kampala'!G57,'25.07 Kalewre-Kampala'!G57,'26.07 Kalerwe-Kampala-24h'!G57,'27.07 Kalerwe-Kampala-24h'!G57,'28.07 Kalerwe-Kampala'!G57)</f>
        <v>1.4285714285714286</v>
      </c>
      <c r="H57" s="49">
        <f>AVERAGE('22.07 Kalerwe-Kampala'!H57,'23.07 Kalerwe-Kampala'!H57,'24.07 Kalewre-Kampala'!H57,'25.07 Kalewre-Kampala'!H57,'26.07 Kalerwe-Kampala-24h'!H57,'27.07 Kalerwe-Kampala-24h'!H57,'28.07 Kalerwe-Kampala'!H57)</f>
        <v>0.42857142857142855</v>
      </c>
      <c r="I57" s="49">
        <f>AVERAGE('22.07 Kalerwe-Kampala'!I57,'23.07 Kalerwe-Kampala'!I57,'24.07 Kalewre-Kampala'!I57,'25.07 Kalewre-Kampala'!I57,'26.07 Kalerwe-Kampala-24h'!I57,'27.07 Kalerwe-Kampala-24h'!I57,'28.07 Kalerwe-Kampala'!I57)</f>
        <v>5.2857142857142856</v>
      </c>
      <c r="J57" s="49">
        <f>AVERAGE('22.07 Kalerwe-Kampala'!J57,'23.07 Kalerwe-Kampala'!J57,'24.07 Kalewre-Kampala'!J57,'25.07 Kalewre-Kampala'!J57,'26.07 Kalerwe-Kampala-24h'!J57,'27.07 Kalerwe-Kampala-24h'!J57,'28.07 Kalerwe-Kampala'!J57)</f>
        <v>0.8571428571428571</v>
      </c>
      <c r="K57" s="49">
        <f>AVERAGE('22.07 Kalerwe-Kampala'!K57,'23.07 Kalerwe-Kampala'!K57,'24.07 Kalewre-Kampala'!K57,'25.07 Kalewre-Kampala'!K57,'26.07 Kalerwe-Kampala-24h'!K57,'27.07 Kalerwe-Kampala-24h'!K57,'28.07 Kalerwe-Kampala'!K57)</f>
        <v>0.5714285714285714</v>
      </c>
      <c r="L57" s="49">
        <f>AVERAGE('22.07 Kalerwe-Kampala'!L57,'23.07 Kalerwe-Kampala'!L57,'24.07 Kalewre-Kampala'!L57,'25.07 Kalewre-Kampala'!L57,'26.07 Kalerwe-Kampala-24h'!L57,'27.07 Kalerwe-Kampala-24h'!L57,'28.07 Kalerwe-Kampala'!L57)</f>
        <v>0.2857142857142857</v>
      </c>
      <c r="M57" s="49">
        <f>AVERAGE('22.07 Kalerwe-Kampala'!M57,'23.07 Kalerwe-Kampala'!M57,'24.07 Kalewre-Kampala'!M57,'25.07 Kalewre-Kampala'!M57,'26.07 Kalerwe-Kampala-24h'!M57,'27.07 Kalerwe-Kampala-24h'!M57,'28.07 Kalerwe-Kampala'!M57)</f>
        <v>155.28571428571428</v>
      </c>
      <c r="N57" s="49">
        <f>AVERAGE('22.07 Kalerwe-Kampala'!N57,'23.07 Kalerwe-Kampala'!N57,'24.07 Kalewre-Kampala'!N57,'25.07 Kalewre-Kampala'!N57,'26.07 Kalerwe-Kampala-24h'!N57,'27.07 Kalerwe-Kampala-24h'!N57,'28.07 Kalerwe-Kampala'!N57)</f>
        <v>0</v>
      </c>
      <c r="O57" s="15">
        <f t="shared" si="0"/>
        <v>95.285714285714306</v>
      </c>
      <c r="P57" s="15">
        <f t="shared" si="1"/>
        <v>250.57142857142858</v>
      </c>
      <c r="R57" s="8"/>
      <c r="T57"/>
    </row>
    <row r="58" spans="2:20" ht="23.1" customHeight="1" x14ac:dyDescent="0.25">
      <c r="B58" s="23" t="s">
        <v>99</v>
      </c>
      <c r="C58" s="49">
        <f>AVERAGE('26.07 Kalerwe-Kampala-24h'!C58,'27.07 Kalerwe-Kampala-24h'!C58)</f>
        <v>65</v>
      </c>
      <c r="D58" s="49">
        <f>AVERAGE('26.07 Kalerwe-Kampala-24h'!D58,'27.07 Kalerwe-Kampala-24h'!D58)</f>
        <v>3</v>
      </c>
      <c r="E58" s="49">
        <f>AVERAGE('26.07 Kalerwe-Kampala-24h'!E58,'27.07 Kalerwe-Kampala-24h'!E58)</f>
        <v>3.5</v>
      </c>
      <c r="F58" s="49">
        <f>AVERAGE('26.07 Kalerwe-Kampala-24h'!F58,'27.07 Kalerwe-Kampala-24h'!F58)</f>
        <v>40</v>
      </c>
      <c r="G58" s="49">
        <f>AVERAGE('26.07 Kalerwe-Kampala-24h'!G58,'27.07 Kalerwe-Kampala-24h'!G58)</f>
        <v>3</v>
      </c>
      <c r="H58" s="49">
        <f>AVERAGE('26.07 Kalerwe-Kampala-24h'!H58,'27.07 Kalerwe-Kampala-24h'!H58)</f>
        <v>1.5</v>
      </c>
      <c r="I58" s="49">
        <f>AVERAGE('26.07 Kalerwe-Kampala-24h'!I58,'27.07 Kalerwe-Kampala-24h'!I58)</f>
        <v>8</v>
      </c>
      <c r="J58" s="49">
        <f>AVERAGE('26.07 Kalerwe-Kampala-24h'!J58,'27.07 Kalerwe-Kampala-24h'!J58)</f>
        <v>1.5</v>
      </c>
      <c r="K58" s="49">
        <f>AVERAGE('26.07 Kalerwe-Kampala-24h'!K58,'27.07 Kalerwe-Kampala-24h'!K58)</f>
        <v>2</v>
      </c>
      <c r="L58" s="49">
        <f>AVERAGE('26.07 Kalerwe-Kampala-24h'!L58,'27.07 Kalerwe-Kampala-24h'!L58)</f>
        <v>0.5</v>
      </c>
      <c r="M58" s="49">
        <f>AVERAGE('26.07 Kalerwe-Kampala-24h'!M58,'27.07 Kalerwe-Kampala-24h'!M58)</f>
        <v>157.5</v>
      </c>
      <c r="N58" s="49">
        <f>AVERAGE('26.07 Kalerwe-Kampala-24h'!N58,'27.07 Kalerwe-Kampala-24h'!N58)</f>
        <v>0</v>
      </c>
      <c r="O58" s="15">
        <f t="shared" si="0"/>
        <v>128</v>
      </c>
      <c r="P58" s="15">
        <f t="shared" si="1"/>
        <v>285.5</v>
      </c>
      <c r="R58" s="8"/>
      <c r="T58"/>
    </row>
    <row r="59" spans="2:20" ht="23.1" customHeight="1" x14ac:dyDescent="0.25">
      <c r="B59" s="23" t="s">
        <v>100</v>
      </c>
      <c r="C59" s="49">
        <f>AVERAGE('26.07 Kalerwe-Kampala-24h'!C59,'27.07 Kalerwe-Kampala-24h'!C59)</f>
        <v>86.5</v>
      </c>
      <c r="D59" s="49">
        <f>AVERAGE('26.07 Kalerwe-Kampala-24h'!D59,'27.07 Kalerwe-Kampala-24h'!D59)</f>
        <v>3</v>
      </c>
      <c r="E59" s="49">
        <f>AVERAGE('26.07 Kalerwe-Kampala-24h'!E59,'27.07 Kalerwe-Kampala-24h'!E59)</f>
        <v>2.5</v>
      </c>
      <c r="F59" s="49">
        <f>AVERAGE('26.07 Kalerwe-Kampala-24h'!F59,'27.07 Kalerwe-Kampala-24h'!F59)</f>
        <v>41</v>
      </c>
      <c r="G59" s="49">
        <f>AVERAGE('26.07 Kalerwe-Kampala-24h'!G59,'27.07 Kalerwe-Kampala-24h'!G59)</f>
        <v>1.5</v>
      </c>
      <c r="H59" s="49">
        <f>AVERAGE('26.07 Kalerwe-Kampala-24h'!H59,'27.07 Kalerwe-Kampala-24h'!H59)</f>
        <v>2</v>
      </c>
      <c r="I59" s="49">
        <f>AVERAGE('26.07 Kalerwe-Kampala-24h'!I59,'27.07 Kalerwe-Kampala-24h'!I59)</f>
        <v>14.5</v>
      </c>
      <c r="J59" s="49">
        <f>AVERAGE('26.07 Kalerwe-Kampala-24h'!J59,'27.07 Kalerwe-Kampala-24h'!J59)</f>
        <v>7.5</v>
      </c>
      <c r="K59" s="49">
        <f>AVERAGE('26.07 Kalerwe-Kampala-24h'!K59,'27.07 Kalerwe-Kampala-24h'!K59)</f>
        <v>0.5</v>
      </c>
      <c r="L59" s="49">
        <f>AVERAGE('26.07 Kalerwe-Kampala-24h'!L59,'27.07 Kalerwe-Kampala-24h'!L59)</f>
        <v>0.5</v>
      </c>
      <c r="M59" s="49">
        <f>AVERAGE('26.07 Kalerwe-Kampala-24h'!M59,'27.07 Kalerwe-Kampala-24h'!M59)</f>
        <v>142.5</v>
      </c>
      <c r="N59" s="49">
        <f>AVERAGE('26.07 Kalerwe-Kampala-24h'!N59,'27.07 Kalerwe-Kampala-24h'!N59)</f>
        <v>0</v>
      </c>
      <c r="O59" s="15">
        <f t="shared" si="0"/>
        <v>159.5</v>
      </c>
      <c r="P59" s="15">
        <f t="shared" si="1"/>
        <v>302</v>
      </c>
      <c r="R59" s="8"/>
      <c r="T59"/>
    </row>
    <row r="60" spans="2:20" ht="23.1" customHeight="1" x14ac:dyDescent="0.25">
      <c r="B60" s="23" t="s">
        <v>101</v>
      </c>
      <c r="C60" s="49">
        <f>AVERAGE('26.07 Kalerwe-Kampala-24h'!C60,'27.07 Kalerwe-Kampala-24h'!C60)</f>
        <v>80</v>
      </c>
      <c r="D60" s="49">
        <f>AVERAGE('26.07 Kalerwe-Kampala-24h'!D60,'27.07 Kalerwe-Kampala-24h'!D60)</f>
        <v>1</v>
      </c>
      <c r="E60" s="49">
        <f>AVERAGE('26.07 Kalerwe-Kampala-24h'!E60,'27.07 Kalerwe-Kampala-24h'!E60)</f>
        <v>1</v>
      </c>
      <c r="F60" s="49">
        <f>AVERAGE('26.07 Kalerwe-Kampala-24h'!F60,'27.07 Kalerwe-Kampala-24h'!F60)</f>
        <v>2</v>
      </c>
      <c r="G60" s="49">
        <f>AVERAGE('26.07 Kalerwe-Kampala-24h'!G60,'27.07 Kalerwe-Kampala-24h'!G60)</f>
        <v>6.5</v>
      </c>
      <c r="H60" s="49">
        <f>AVERAGE('26.07 Kalerwe-Kampala-24h'!H60,'27.07 Kalerwe-Kampala-24h'!H60)</f>
        <v>0.5</v>
      </c>
      <c r="I60" s="49">
        <f>AVERAGE('26.07 Kalerwe-Kampala-24h'!I60,'27.07 Kalerwe-Kampala-24h'!I60)</f>
        <v>9</v>
      </c>
      <c r="J60" s="49">
        <f>AVERAGE('26.07 Kalerwe-Kampala-24h'!J60,'27.07 Kalerwe-Kampala-24h'!J60)</f>
        <v>1.5</v>
      </c>
      <c r="K60" s="49">
        <f>AVERAGE('26.07 Kalerwe-Kampala-24h'!K60,'27.07 Kalerwe-Kampala-24h'!K60)</f>
        <v>2</v>
      </c>
      <c r="L60" s="49">
        <f>AVERAGE('26.07 Kalerwe-Kampala-24h'!L60,'27.07 Kalerwe-Kampala-24h'!L60)</f>
        <v>0</v>
      </c>
      <c r="M60" s="49">
        <f>AVERAGE('26.07 Kalerwe-Kampala-24h'!M60,'27.07 Kalerwe-Kampala-24h'!M60)</f>
        <v>162.5</v>
      </c>
      <c r="N60" s="49">
        <f>AVERAGE('26.07 Kalerwe-Kampala-24h'!N60,'27.07 Kalerwe-Kampala-24h'!N60)</f>
        <v>0</v>
      </c>
      <c r="O60" s="15">
        <f t="shared" si="0"/>
        <v>103.5</v>
      </c>
      <c r="P60" s="15">
        <f t="shared" si="1"/>
        <v>266</v>
      </c>
      <c r="R60" s="8"/>
      <c r="T60"/>
    </row>
    <row r="61" spans="2:20" ht="23.1" customHeight="1" x14ac:dyDescent="0.25">
      <c r="B61" s="23" t="s">
        <v>102</v>
      </c>
      <c r="C61" s="49">
        <f>AVERAGE('26.07 Kalerwe-Kampala-24h'!C61,'27.07 Kalerwe-Kampala-24h'!C61)</f>
        <v>75</v>
      </c>
      <c r="D61" s="49">
        <f>AVERAGE('26.07 Kalerwe-Kampala-24h'!D61,'27.07 Kalerwe-Kampala-24h'!D61)</f>
        <v>6</v>
      </c>
      <c r="E61" s="49">
        <f>AVERAGE('26.07 Kalerwe-Kampala-24h'!E61,'27.07 Kalerwe-Kampala-24h'!E61)</f>
        <v>4</v>
      </c>
      <c r="F61" s="49">
        <f>AVERAGE('26.07 Kalerwe-Kampala-24h'!F61,'27.07 Kalerwe-Kampala-24h'!F61)</f>
        <v>3</v>
      </c>
      <c r="G61" s="49">
        <f>AVERAGE('26.07 Kalerwe-Kampala-24h'!G61,'27.07 Kalerwe-Kampala-24h'!G61)</f>
        <v>7.5</v>
      </c>
      <c r="H61" s="49">
        <f>AVERAGE('26.07 Kalerwe-Kampala-24h'!H61,'27.07 Kalerwe-Kampala-24h'!H61)</f>
        <v>3</v>
      </c>
      <c r="I61" s="49">
        <f>AVERAGE('26.07 Kalerwe-Kampala-24h'!I61,'27.07 Kalerwe-Kampala-24h'!I61)</f>
        <v>3.5</v>
      </c>
      <c r="J61" s="49">
        <f>AVERAGE('26.07 Kalerwe-Kampala-24h'!J61,'27.07 Kalerwe-Kampala-24h'!J61)</f>
        <v>2</v>
      </c>
      <c r="K61" s="49">
        <f>AVERAGE('26.07 Kalerwe-Kampala-24h'!K61,'27.07 Kalerwe-Kampala-24h'!K61)</f>
        <v>0.5</v>
      </c>
      <c r="L61" s="49">
        <f>AVERAGE('26.07 Kalerwe-Kampala-24h'!L61,'27.07 Kalerwe-Kampala-24h'!L61)</f>
        <v>1</v>
      </c>
      <c r="M61" s="49">
        <f>AVERAGE('26.07 Kalerwe-Kampala-24h'!M61,'27.07 Kalerwe-Kampala-24h'!M61)</f>
        <v>135</v>
      </c>
      <c r="N61" s="49">
        <f>AVERAGE('26.07 Kalerwe-Kampala-24h'!N61,'27.07 Kalerwe-Kampala-24h'!N61)</f>
        <v>0</v>
      </c>
      <c r="O61" s="15">
        <f t="shared" si="0"/>
        <v>105.5</v>
      </c>
      <c r="P61" s="15">
        <f t="shared" si="1"/>
        <v>240.5</v>
      </c>
      <c r="R61" s="8"/>
      <c r="T61"/>
    </row>
    <row r="62" spans="2:20" ht="23.1" customHeight="1" x14ac:dyDescent="0.25">
      <c r="B62" s="23" t="s">
        <v>107</v>
      </c>
      <c r="C62" s="49">
        <f>AVERAGE('26.07 Kalerwe-Kampala-24h'!C62,'27.07 Kalerwe-Kampala-24h'!C62)</f>
        <v>72.5</v>
      </c>
      <c r="D62" s="49">
        <f>AVERAGE('26.07 Kalerwe-Kampala-24h'!D62,'27.07 Kalerwe-Kampala-24h'!D62)</f>
        <v>3.5</v>
      </c>
      <c r="E62" s="49">
        <f>AVERAGE('26.07 Kalerwe-Kampala-24h'!E62,'27.07 Kalerwe-Kampala-24h'!E62)</f>
        <v>6</v>
      </c>
      <c r="F62" s="49">
        <f>AVERAGE('26.07 Kalerwe-Kampala-24h'!F62,'27.07 Kalerwe-Kampala-24h'!F62)</f>
        <v>85</v>
      </c>
      <c r="G62" s="49">
        <f>AVERAGE('26.07 Kalerwe-Kampala-24h'!G62,'27.07 Kalerwe-Kampala-24h'!G62)</f>
        <v>2.5</v>
      </c>
      <c r="H62" s="49">
        <f>AVERAGE('26.07 Kalerwe-Kampala-24h'!H62,'27.07 Kalerwe-Kampala-24h'!H62)</f>
        <v>20.5</v>
      </c>
      <c r="I62" s="49">
        <f>AVERAGE('26.07 Kalerwe-Kampala-24h'!I62,'27.07 Kalerwe-Kampala-24h'!I62)</f>
        <v>1.5</v>
      </c>
      <c r="J62" s="49">
        <f>AVERAGE('26.07 Kalerwe-Kampala-24h'!J62,'27.07 Kalerwe-Kampala-24h'!J62)</f>
        <v>2</v>
      </c>
      <c r="K62" s="49">
        <f>AVERAGE('26.07 Kalerwe-Kampala-24h'!K62,'27.07 Kalerwe-Kampala-24h'!K62)</f>
        <v>0</v>
      </c>
      <c r="L62" s="49">
        <f>AVERAGE('26.07 Kalerwe-Kampala-24h'!L62,'27.07 Kalerwe-Kampala-24h'!L62)</f>
        <v>0</v>
      </c>
      <c r="M62" s="49">
        <f>AVERAGE('26.07 Kalerwe-Kampala-24h'!M62,'27.07 Kalerwe-Kampala-24h'!M62)</f>
        <v>80</v>
      </c>
      <c r="N62" s="49">
        <f>AVERAGE('26.07 Kalerwe-Kampala-24h'!N62,'27.07 Kalerwe-Kampala-24h'!N62)</f>
        <v>0</v>
      </c>
      <c r="O62" s="15">
        <f t="shared" si="0"/>
        <v>193.5</v>
      </c>
      <c r="P62" s="15">
        <f t="shared" si="1"/>
        <v>273.5</v>
      </c>
      <c r="R62" s="8"/>
      <c r="T62"/>
    </row>
    <row r="63" spans="2:20" ht="23.1" customHeight="1" x14ac:dyDescent="0.25">
      <c r="B63" s="23" t="s">
        <v>108</v>
      </c>
      <c r="C63" s="49">
        <f>AVERAGE('26.07 Kalerwe-Kampala-24h'!C63,'27.07 Kalerwe-Kampala-24h'!C63)</f>
        <v>52.5</v>
      </c>
      <c r="D63" s="49">
        <f>AVERAGE('26.07 Kalerwe-Kampala-24h'!D63,'27.07 Kalerwe-Kampala-24h'!D63)</f>
        <v>1.5</v>
      </c>
      <c r="E63" s="49">
        <f>AVERAGE('26.07 Kalerwe-Kampala-24h'!E63,'27.07 Kalerwe-Kampala-24h'!E63)</f>
        <v>2.5</v>
      </c>
      <c r="F63" s="49">
        <f>AVERAGE('26.07 Kalerwe-Kampala-24h'!F63,'27.07 Kalerwe-Kampala-24h'!F63)</f>
        <v>41.5</v>
      </c>
      <c r="G63" s="49">
        <f>AVERAGE('26.07 Kalerwe-Kampala-24h'!G63,'27.07 Kalerwe-Kampala-24h'!G63)</f>
        <v>6.5</v>
      </c>
      <c r="H63" s="49">
        <f>AVERAGE('26.07 Kalerwe-Kampala-24h'!H63,'27.07 Kalerwe-Kampala-24h'!H63)</f>
        <v>1.5</v>
      </c>
      <c r="I63" s="49">
        <f>AVERAGE('26.07 Kalerwe-Kampala-24h'!I63,'27.07 Kalerwe-Kampala-24h'!I63)</f>
        <v>4.5</v>
      </c>
      <c r="J63" s="49">
        <f>AVERAGE('26.07 Kalerwe-Kampala-24h'!J63,'27.07 Kalerwe-Kampala-24h'!J63)</f>
        <v>0</v>
      </c>
      <c r="K63" s="49">
        <f>AVERAGE('26.07 Kalerwe-Kampala-24h'!K63,'27.07 Kalerwe-Kampala-24h'!K63)</f>
        <v>0.5</v>
      </c>
      <c r="L63" s="49">
        <f>AVERAGE('26.07 Kalerwe-Kampala-24h'!L63,'27.07 Kalerwe-Kampala-24h'!L63)</f>
        <v>0.5</v>
      </c>
      <c r="M63" s="49">
        <f>AVERAGE('26.07 Kalerwe-Kampala-24h'!M63,'27.07 Kalerwe-Kampala-24h'!M63)</f>
        <v>75</v>
      </c>
      <c r="N63" s="49">
        <f>AVERAGE('26.07 Kalerwe-Kampala-24h'!N63,'27.07 Kalerwe-Kampala-24h'!N63)</f>
        <v>0</v>
      </c>
      <c r="O63" s="15">
        <f t="shared" si="0"/>
        <v>111.5</v>
      </c>
      <c r="P63" s="15">
        <f t="shared" si="1"/>
        <v>186.5</v>
      </c>
      <c r="R63" s="8"/>
      <c r="T63"/>
    </row>
    <row r="64" spans="2:20" ht="23.1" customHeight="1" x14ac:dyDescent="0.25">
      <c r="B64" s="23" t="s">
        <v>109</v>
      </c>
      <c r="C64" s="49">
        <f>AVERAGE('26.07 Kalerwe-Kampala-24h'!C64,'27.07 Kalerwe-Kampala-24h'!C64)</f>
        <v>62.5</v>
      </c>
      <c r="D64" s="49">
        <f>AVERAGE('26.07 Kalerwe-Kampala-24h'!D64,'27.07 Kalerwe-Kampala-24h'!D64)</f>
        <v>1.5</v>
      </c>
      <c r="E64" s="49">
        <f>AVERAGE('26.07 Kalerwe-Kampala-24h'!E64,'27.07 Kalerwe-Kampala-24h'!E64)</f>
        <v>4</v>
      </c>
      <c r="F64" s="49">
        <f>AVERAGE('26.07 Kalerwe-Kampala-24h'!F64,'27.07 Kalerwe-Kampala-24h'!F64)</f>
        <v>40</v>
      </c>
      <c r="G64" s="49">
        <f>AVERAGE('26.07 Kalerwe-Kampala-24h'!G64,'27.07 Kalerwe-Kampala-24h'!G64)</f>
        <v>4.5</v>
      </c>
      <c r="H64" s="49">
        <f>AVERAGE('26.07 Kalerwe-Kampala-24h'!H64,'27.07 Kalerwe-Kampala-24h'!H64)</f>
        <v>2.5</v>
      </c>
      <c r="I64" s="49">
        <f>AVERAGE('26.07 Kalerwe-Kampala-24h'!I64,'27.07 Kalerwe-Kampala-24h'!I64)</f>
        <v>23.5</v>
      </c>
      <c r="J64" s="49">
        <f>AVERAGE('26.07 Kalerwe-Kampala-24h'!J64,'27.07 Kalerwe-Kampala-24h'!J64)</f>
        <v>1.5</v>
      </c>
      <c r="K64" s="49">
        <f>AVERAGE('26.07 Kalerwe-Kampala-24h'!K64,'27.07 Kalerwe-Kampala-24h'!K64)</f>
        <v>1</v>
      </c>
      <c r="L64" s="49">
        <f>AVERAGE('26.07 Kalerwe-Kampala-24h'!L64,'27.07 Kalerwe-Kampala-24h'!L64)</f>
        <v>1</v>
      </c>
      <c r="M64" s="49">
        <f>AVERAGE('26.07 Kalerwe-Kampala-24h'!M64,'27.07 Kalerwe-Kampala-24h'!M64)</f>
        <v>72.5</v>
      </c>
      <c r="N64" s="49">
        <f>AVERAGE('26.07 Kalerwe-Kampala-24h'!N64,'27.07 Kalerwe-Kampala-24h'!N64)</f>
        <v>0</v>
      </c>
      <c r="O64" s="15">
        <f t="shared" si="0"/>
        <v>142</v>
      </c>
      <c r="P64" s="15">
        <f t="shared" si="1"/>
        <v>214.5</v>
      </c>
      <c r="R64" s="8"/>
      <c r="T64"/>
    </row>
    <row r="65" spans="2:20" ht="23.1" customHeight="1" x14ac:dyDescent="0.25">
      <c r="B65" s="23" t="s">
        <v>158</v>
      </c>
      <c r="C65" s="49">
        <f>AVERAGE('26.07 Kalerwe-Kampala-24h'!C65,'27.07 Kalerwe-Kampala-24h'!C65)</f>
        <v>87.5</v>
      </c>
      <c r="D65" s="49">
        <f>AVERAGE('26.07 Kalerwe-Kampala-24h'!D65,'27.07 Kalerwe-Kampala-24h'!D65)</f>
        <v>3</v>
      </c>
      <c r="E65" s="49">
        <f>AVERAGE('26.07 Kalerwe-Kampala-24h'!E65,'27.07 Kalerwe-Kampala-24h'!E65)</f>
        <v>2.5</v>
      </c>
      <c r="F65" s="49">
        <f>AVERAGE('26.07 Kalerwe-Kampala-24h'!F65,'27.07 Kalerwe-Kampala-24h'!F65)</f>
        <v>55</v>
      </c>
      <c r="G65" s="49">
        <f>AVERAGE('26.07 Kalerwe-Kampala-24h'!G65,'27.07 Kalerwe-Kampala-24h'!G65)</f>
        <v>1</v>
      </c>
      <c r="H65" s="49">
        <f>AVERAGE('26.07 Kalerwe-Kampala-24h'!H65,'27.07 Kalerwe-Kampala-24h'!H65)</f>
        <v>2.5</v>
      </c>
      <c r="I65" s="49">
        <f>AVERAGE('26.07 Kalerwe-Kampala-24h'!I65,'27.07 Kalerwe-Kampala-24h'!I65)</f>
        <v>3.5</v>
      </c>
      <c r="J65" s="49">
        <f>AVERAGE('26.07 Kalerwe-Kampala-24h'!J65,'27.07 Kalerwe-Kampala-24h'!J65)</f>
        <v>5</v>
      </c>
      <c r="K65" s="49">
        <f>AVERAGE('26.07 Kalerwe-Kampala-24h'!K65,'27.07 Kalerwe-Kampala-24h'!K65)</f>
        <v>0</v>
      </c>
      <c r="L65" s="49">
        <f>AVERAGE('26.07 Kalerwe-Kampala-24h'!L65,'27.07 Kalerwe-Kampala-24h'!L65)</f>
        <v>0</v>
      </c>
      <c r="M65" s="49">
        <f>AVERAGE('26.07 Kalerwe-Kampala-24h'!M65,'27.07 Kalerwe-Kampala-24h'!M65)</f>
        <v>52.5</v>
      </c>
      <c r="N65" s="49">
        <f>AVERAGE('26.07 Kalerwe-Kampala-24h'!N65,'27.07 Kalerwe-Kampala-24h'!N65)</f>
        <v>0</v>
      </c>
      <c r="O65" s="15">
        <f t="shared" si="0"/>
        <v>160</v>
      </c>
      <c r="P65" s="15">
        <f t="shared" si="1"/>
        <v>212.5</v>
      </c>
      <c r="R65" s="8"/>
      <c r="T65"/>
    </row>
    <row r="66" spans="2:20" ht="23.1" customHeight="1" x14ac:dyDescent="0.25">
      <c r="B66" s="23" t="s">
        <v>103</v>
      </c>
      <c r="C66" s="49">
        <f>AVERAGE('26.07 Kalerwe-Kampala-24h'!C66,'27.07 Kalerwe-Kampala-24h'!C66)</f>
        <v>27</v>
      </c>
      <c r="D66" s="49">
        <f>AVERAGE('26.07 Kalerwe-Kampala-24h'!D66,'27.07 Kalerwe-Kampala-24h'!D66)</f>
        <v>5</v>
      </c>
      <c r="E66" s="49">
        <f>AVERAGE('26.07 Kalerwe-Kampala-24h'!E66,'27.07 Kalerwe-Kampala-24h'!E66)</f>
        <v>6</v>
      </c>
      <c r="F66" s="49">
        <f>AVERAGE('26.07 Kalerwe-Kampala-24h'!F66,'27.07 Kalerwe-Kampala-24h'!F66)</f>
        <v>30.5</v>
      </c>
      <c r="G66" s="49">
        <f>AVERAGE('26.07 Kalerwe-Kampala-24h'!G66,'27.07 Kalerwe-Kampala-24h'!G66)</f>
        <v>2</v>
      </c>
      <c r="H66" s="49">
        <f>AVERAGE('26.07 Kalerwe-Kampala-24h'!H66,'27.07 Kalerwe-Kampala-24h'!H66)</f>
        <v>3.5</v>
      </c>
      <c r="I66" s="49">
        <f>AVERAGE('26.07 Kalerwe-Kampala-24h'!I66,'27.07 Kalerwe-Kampala-24h'!I66)</f>
        <v>7</v>
      </c>
      <c r="J66" s="49">
        <f>AVERAGE('26.07 Kalerwe-Kampala-24h'!J66,'27.07 Kalerwe-Kampala-24h'!J66)</f>
        <v>3</v>
      </c>
      <c r="K66" s="49">
        <f>AVERAGE('26.07 Kalerwe-Kampala-24h'!K66,'27.07 Kalerwe-Kampala-24h'!K66)</f>
        <v>2</v>
      </c>
      <c r="L66" s="49">
        <f>AVERAGE('26.07 Kalerwe-Kampala-24h'!L66,'27.07 Kalerwe-Kampala-24h'!L66)</f>
        <v>1</v>
      </c>
      <c r="M66" s="49">
        <f>AVERAGE('26.07 Kalerwe-Kampala-24h'!M66,'27.07 Kalerwe-Kampala-24h'!M66)</f>
        <v>123.5</v>
      </c>
      <c r="N66" s="49">
        <f>AVERAGE('26.07 Kalerwe-Kampala-24h'!N66,'27.07 Kalerwe-Kampala-24h'!N66)</f>
        <v>0</v>
      </c>
      <c r="O66" s="15">
        <f t="shared" si="0"/>
        <v>87</v>
      </c>
      <c r="P66" s="15">
        <f t="shared" si="1"/>
        <v>210.5</v>
      </c>
      <c r="R66" s="8"/>
      <c r="T66"/>
    </row>
    <row r="67" spans="2:20" ht="23.1" customHeight="1" x14ac:dyDescent="0.25">
      <c r="B67" s="23" t="s">
        <v>104</v>
      </c>
      <c r="C67" s="49">
        <f>AVERAGE('26.07 Kalerwe-Kampala-24h'!C67,'27.07 Kalerwe-Kampala-24h'!C67)</f>
        <v>22.5</v>
      </c>
      <c r="D67" s="49">
        <f>AVERAGE('26.07 Kalerwe-Kampala-24h'!D67,'27.07 Kalerwe-Kampala-24h'!D67)</f>
        <v>5</v>
      </c>
      <c r="E67" s="49">
        <f>AVERAGE('26.07 Kalerwe-Kampala-24h'!E67,'27.07 Kalerwe-Kampala-24h'!E67)</f>
        <v>2</v>
      </c>
      <c r="F67" s="49">
        <f>AVERAGE('26.07 Kalerwe-Kampala-24h'!F67,'27.07 Kalerwe-Kampala-24h'!F67)</f>
        <v>32.5</v>
      </c>
      <c r="G67" s="49">
        <f>AVERAGE('26.07 Kalerwe-Kampala-24h'!G67,'27.07 Kalerwe-Kampala-24h'!G67)</f>
        <v>0.5</v>
      </c>
      <c r="H67" s="49">
        <f>AVERAGE('26.07 Kalerwe-Kampala-24h'!H67,'27.07 Kalerwe-Kampala-24h'!H67)</f>
        <v>1</v>
      </c>
      <c r="I67" s="49">
        <f>AVERAGE('26.07 Kalerwe-Kampala-24h'!I67,'27.07 Kalerwe-Kampala-24h'!I67)</f>
        <v>4.5</v>
      </c>
      <c r="J67" s="49">
        <f>AVERAGE('26.07 Kalerwe-Kampala-24h'!J67,'27.07 Kalerwe-Kampala-24h'!J67)</f>
        <v>1</v>
      </c>
      <c r="K67" s="49">
        <f>AVERAGE('26.07 Kalerwe-Kampala-24h'!K67,'27.07 Kalerwe-Kampala-24h'!K67)</f>
        <v>1.5</v>
      </c>
      <c r="L67" s="49">
        <f>AVERAGE('26.07 Kalerwe-Kampala-24h'!L67,'27.07 Kalerwe-Kampala-24h'!L67)</f>
        <v>0</v>
      </c>
      <c r="M67" s="49">
        <f>AVERAGE('26.07 Kalerwe-Kampala-24h'!M67,'27.07 Kalerwe-Kampala-24h'!M67)</f>
        <v>70.5</v>
      </c>
      <c r="N67" s="49">
        <f>AVERAGE('26.07 Kalerwe-Kampala-24h'!N67,'27.07 Kalerwe-Kampala-24h'!N67)</f>
        <v>0</v>
      </c>
      <c r="O67" s="15">
        <f t="shared" si="0"/>
        <v>70.5</v>
      </c>
      <c r="P67" s="15">
        <f t="shared" si="1"/>
        <v>141</v>
      </c>
      <c r="R67" s="8"/>
      <c r="T67"/>
    </row>
    <row r="68" spans="2:20" ht="23.1" customHeight="1" x14ac:dyDescent="0.25">
      <c r="B68" s="23" t="s">
        <v>105</v>
      </c>
      <c r="C68" s="49">
        <f>AVERAGE('26.07 Kalerwe-Kampala-24h'!C68,'27.07 Kalerwe-Kampala-24h'!C68)</f>
        <v>23.5</v>
      </c>
      <c r="D68" s="49">
        <f>AVERAGE('26.07 Kalerwe-Kampala-24h'!D68,'27.07 Kalerwe-Kampala-24h'!D68)</f>
        <v>5</v>
      </c>
      <c r="E68" s="49">
        <f>AVERAGE('26.07 Kalerwe-Kampala-24h'!E68,'27.07 Kalerwe-Kampala-24h'!E68)</f>
        <v>8</v>
      </c>
      <c r="F68" s="49">
        <f>AVERAGE('26.07 Kalerwe-Kampala-24h'!F68,'27.07 Kalerwe-Kampala-24h'!F68)</f>
        <v>30</v>
      </c>
      <c r="G68" s="49">
        <f>AVERAGE('26.07 Kalerwe-Kampala-24h'!G68,'27.07 Kalerwe-Kampala-24h'!G68)</f>
        <v>5</v>
      </c>
      <c r="H68" s="49">
        <f>AVERAGE('26.07 Kalerwe-Kampala-24h'!H68,'27.07 Kalerwe-Kampala-24h'!H68)</f>
        <v>3.5</v>
      </c>
      <c r="I68" s="49">
        <f>AVERAGE('26.07 Kalerwe-Kampala-24h'!I68,'27.07 Kalerwe-Kampala-24h'!I68)</f>
        <v>6.5</v>
      </c>
      <c r="J68" s="49">
        <f>AVERAGE('26.07 Kalerwe-Kampala-24h'!J68,'27.07 Kalerwe-Kampala-24h'!J68)</f>
        <v>0.5</v>
      </c>
      <c r="K68" s="49">
        <f>AVERAGE('26.07 Kalerwe-Kampala-24h'!K68,'27.07 Kalerwe-Kampala-24h'!K68)</f>
        <v>1.5</v>
      </c>
      <c r="L68" s="49">
        <f>AVERAGE('26.07 Kalerwe-Kampala-24h'!L68,'27.07 Kalerwe-Kampala-24h'!L68)</f>
        <v>0</v>
      </c>
      <c r="M68" s="49">
        <f>AVERAGE('26.07 Kalerwe-Kampala-24h'!M68,'27.07 Kalerwe-Kampala-24h'!M68)</f>
        <v>80</v>
      </c>
      <c r="N68" s="49">
        <f>AVERAGE('26.07 Kalerwe-Kampala-24h'!N68,'27.07 Kalerwe-Kampala-24h'!N68)</f>
        <v>0</v>
      </c>
      <c r="O68" s="15">
        <f t="shared" si="0"/>
        <v>83.5</v>
      </c>
      <c r="P68" s="15">
        <f t="shared" si="1"/>
        <v>163.5</v>
      </c>
      <c r="R68" s="8"/>
      <c r="T68"/>
    </row>
    <row r="69" spans="2:20" ht="23.1" customHeight="1" x14ac:dyDescent="0.25">
      <c r="B69" s="23" t="s">
        <v>106</v>
      </c>
      <c r="C69" s="49">
        <f>AVERAGE('26.07 Kalerwe-Kampala-24h'!C69,'27.07 Kalerwe-Kampala-24h'!C69)</f>
        <v>30</v>
      </c>
      <c r="D69" s="49">
        <f>AVERAGE('26.07 Kalerwe-Kampala-24h'!D69,'27.07 Kalerwe-Kampala-24h'!D69)</f>
        <v>3</v>
      </c>
      <c r="E69" s="49">
        <f>AVERAGE('26.07 Kalerwe-Kampala-24h'!E69,'27.07 Kalerwe-Kampala-24h'!E69)</f>
        <v>3.5</v>
      </c>
      <c r="F69" s="49">
        <f>AVERAGE('26.07 Kalerwe-Kampala-24h'!F69,'27.07 Kalerwe-Kampala-24h'!F69)</f>
        <v>50</v>
      </c>
      <c r="G69" s="49">
        <f>AVERAGE('26.07 Kalerwe-Kampala-24h'!G69,'27.07 Kalerwe-Kampala-24h'!G69)</f>
        <v>4.5</v>
      </c>
      <c r="H69" s="49">
        <f>AVERAGE('26.07 Kalerwe-Kampala-24h'!H69,'27.07 Kalerwe-Kampala-24h'!H69)</f>
        <v>1</v>
      </c>
      <c r="I69" s="49">
        <f>AVERAGE('26.07 Kalerwe-Kampala-24h'!I69,'27.07 Kalerwe-Kampala-24h'!I69)</f>
        <v>2.5</v>
      </c>
      <c r="J69" s="49">
        <f>AVERAGE('26.07 Kalerwe-Kampala-24h'!J69,'27.07 Kalerwe-Kampala-24h'!J69)</f>
        <v>2</v>
      </c>
      <c r="K69" s="49">
        <f>AVERAGE('26.07 Kalerwe-Kampala-24h'!K69,'27.07 Kalerwe-Kampala-24h'!K69)</f>
        <v>2</v>
      </c>
      <c r="L69" s="49">
        <f>AVERAGE('26.07 Kalerwe-Kampala-24h'!L69,'27.07 Kalerwe-Kampala-24h'!L69)</f>
        <v>0</v>
      </c>
      <c r="M69" s="49">
        <f>AVERAGE('26.07 Kalerwe-Kampala-24h'!M69,'27.07 Kalerwe-Kampala-24h'!M69)</f>
        <v>122.5</v>
      </c>
      <c r="N69" s="49">
        <f>AVERAGE('26.07 Kalerwe-Kampala-24h'!N69,'27.07 Kalerwe-Kampala-24h'!N69)</f>
        <v>0</v>
      </c>
      <c r="O69" s="15">
        <f t="shared" si="0"/>
        <v>98.5</v>
      </c>
      <c r="P69" s="15">
        <f t="shared" si="1"/>
        <v>221</v>
      </c>
      <c r="R69" s="8"/>
      <c r="T69"/>
    </row>
    <row r="70" spans="2:20" ht="23.1" customHeight="1" x14ac:dyDescent="0.25">
      <c r="B70" s="23" t="s">
        <v>110</v>
      </c>
      <c r="C70" s="49">
        <f>AVERAGE('26.07 Kalerwe-Kampala-24h'!C70,'27.07 Kalerwe-Kampala-24h'!C70)</f>
        <v>42.5</v>
      </c>
      <c r="D70" s="49">
        <f>AVERAGE('26.07 Kalerwe-Kampala-24h'!D70,'27.07 Kalerwe-Kampala-24h'!D70)</f>
        <v>3.5</v>
      </c>
      <c r="E70" s="49">
        <f>AVERAGE('26.07 Kalerwe-Kampala-24h'!E70,'27.07 Kalerwe-Kampala-24h'!E70)</f>
        <v>4</v>
      </c>
      <c r="F70" s="49">
        <f>AVERAGE('26.07 Kalerwe-Kampala-24h'!F70,'27.07 Kalerwe-Kampala-24h'!F70)</f>
        <v>35</v>
      </c>
      <c r="G70" s="49">
        <f>AVERAGE('26.07 Kalerwe-Kampala-24h'!G70,'27.07 Kalerwe-Kampala-24h'!G70)</f>
        <v>5.5</v>
      </c>
      <c r="H70" s="49">
        <f>AVERAGE('26.07 Kalerwe-Kampala-24h'!H70,'27.07 Kalerwe-Kampala-24h'!H70)</f>
        <v>7</v>
      </c>
      <c r="I70" s="49">
        <f>AVERAGE('26.07 Kalerwe-Kampala-24h'!I70,'27.07 Kalerwe-Kampala-24h'!I70)</f>
        <v>13</v>
      </c>
      <c r="J70" s="49">
        <f>AVERAGE('26.07 Kalerwe-Kampala-24h'!J70,'27.07 Kalerwe-Kampala-24h'!J70)</f>
        <v>12</v>
      </c>
      <c r="K70" s="49">
        <f>AVERAGE('26.07 Kalerwe-Kampala-24h'!K70,'27.07 Kalerwe-Kampala-24h'!K70)</f>
        <v>5</v>
      </c>
      <c r="L70" s="49">
        <f>AVERAGE('26.07 Kalerwe-Kampala-24h'!L70,'27.07 Kalerwe-Kampala-24h'!L70)</f>
        <v>0.5</v>
      </c>
      <c r="M70" s="49">
        <f>AVERAGE('26.07 Kalerwe-Kampala-24h'!M70,'27.07 Kalerwe-Kampala-24h'!M70)</f>
        <v>87.5</v>
      </c>
      <c r="N70" s="49">
        <f>AVERAGE('26.07 Kalerwe-Kampala-24h'!N70,'27.07 Kalerwe-Kampala-24h'!N70)</f>
        <v>0</v>
      </c>
      <c r="O70" s="15">
        <f t="shared" si="0"/>
        <v>128</v>
      </c>
      <c r="P70" s="15">
        <f t="shared" si="1"/>
        <v>215.5</v>
      </c>
      <c r="R70" s="8"/>
      <c r="T70"/>
    </row>
    <row r="71" spans="2:20" ht="23.1" customHeight="1" x14ac:dyDescent="0.25">
      <c r="B71" s="23" t="s">
        <v>111</v>
      </c>
      <c r="C71" s="49">
        <f>AVERAGE('26.07 Kalerwe-Kampala-24h'!C71,'27.07 Kalerwe-Kampala-24h'!C71)</f>
        <v>25</v>
      </c>
      <c r="D71" s="49">
        <f>AVERAGE('26.07 Kalerwe-Kampala-24h'!D71,'27.07 Kalerwe-Kampala-24h'!D71)</f>
        <v>2</v>
      </c>
      <c r="E71" s="49">
        <f>AVERAGE('26.07 Kalerwe-Kampala-24h'!E71,'27.07 Kalerwe-Kampala-24h'!E71)</f>
        <v>9</v>
      </c>
      <c r="F71" s="49">
        <f>AVERAGE('26.07 Kalerwe-Kampala-24h'!F71,'27.07 Kalerwe-Kampala-24h'!F71)</f>
        <v>42.5</v>
      </c>
      <c r="G71" s="49">
        <f>AVERAGE('26.07 Kalerwe-Kampala-24h'!G71,'27.07 Kalerwe-Kampala-24h'!G71)</f>
        <v>6</v>
      </c>
      <c r="H71" s="49">
        <f>AVERAGE('26.07 Kalerwe-Kampala-24h'!H71,'27.07 Kalerwe-Kampala-24h'!H71)</f>
        <v>3</v>
      </c>
      <c r="I71" s="49">
        <f>AVERAGE('26.07 Kalerwe-Kampala-24h'!I71,'27.07 Kalerwe-Kampala-24h'!I71)</f>
        <v>7.5</v>
      </c>
      <c r="J71" s="49">
        <f>AVERAGE('26.07 Kalerwe-Kampala-24h'!J71,'27.07 Kalerwe-Kampala-24h'!J71)</f>
        <v>13.5</v>
      </c>
      <c r="K71" s="49">
        <f>AVERAGE('26.07 Kalerwe-Kampala-24h'!K71,'27.07 Kalerwe-Kampala-24h'!K71)</f>
        <v>4</v>
      </c>
      <c r="L71" s="49">
        <f>AVERAGE('26.07 Kalerwe-Kampala-24h'!L71,'27.07 Kalerwe-Kampala-24h'!L71)</f>
        <v>1</v>
      </c>
      <c r="M71" s="49">
        <f>AVERAGE('26.07 Kalerwe-Kampala-24h'!M71,'27.07 Kalerwe-Kampala-24h'!M71)</f>
        <v>57.5</v>
      </c>
      <c r="N71" s="49">
        <f>AVERAGE('26.07 Kalerwe-Kampala-24h'!N71,'27.07 Kalerwe-Kampala-24h'!N71)</f>
        <v>0</v>
      </c>
      <c r="O71" s="15">
        <f t="shared" si="0"/>
        <v>113.5</v>
      </c>
      <c r="P71" s="15">
        <f t="shared" si="1"/>
        <v>171</v>
      </c>
      <c r="R71" s="8"/>
      <c r="T71"/>
    </row>
    <row r="72" spans="2:20" ht="23.1" customHeight="1" x14ac:dyDescent="0.25">
      <c r="B72" s="23" t="s">
        <v>112</v>
      </c>
      <c r="C72" s="49">
        <f>AVERAGE('26.07 Kalerwe-Kampala-24h'!C72,'27.07 Kalerwe-Kampala-24h'!C72)</f>
        <v>20</v>
      </c>
      <c r="D72" s="49">
        <f>AVERAGE('26.07 Kalerwe-Kampala-24h'!D72,'27.07 Kalerwe-Kampala-24h'!D72)</f>
        <v>5</v>
      </c>
      <c r="E72" s="49">
        <f>AVERAGE('26.07 Kalerwe-Kampala-24h'!E72,'27.07 Kalerwe-Kampala-24h'!E72)</f>
        <v>6</v>
      </c>
      <c r="F72" s="49">
        <f>AVERAGE('26.07 Kalerwe-Kampala-24h'!F72,'27.07 Kalerwe-Kampala-24h'!F72)</f>
        <v>27.5</v>
      </c>
      <c r="G72" s="49">
        <f>AVERAGE('26.07 Kalerwe-Kampala-24h'!G72,'27.07 Kalerwe-Kampala-24h'!G72)</f>
        <v>3</v>
      </c>
      <c r="H72" s="49">
        <f>AVERAGE('26.07 Kalerwe-Kampala-24h'!H72,'27.07 Kalerwe-Kampala-24h'!H72)</f>
        <v>2.5</v>
      </c>
      <c r="I72" s="49">
        <f>AVERAGE('26.07 Kalerwe-Kampala-24h'!I72,'27.07 Kalerwe-Kampala-24h'!I72)</f>
        <v>4.5</v>
      </c>
      <c r="J72" s="49">
        <f>AVERAGE('26.07 Kalerwe-Kampala-24h'!J72,'27.07 Kalerwe-Kampala-24h'!J72)</f>
        <v>4</v>
      </c>
      <c r="K72" s="49">
        <f>AVERAGE('26.07 Kalerwe-Kampala-24h'!K72,'27.07 Kalerwe-Kampala-24h'!K72)</f>
        <v>1</v>
      </c>
      <c r="L72" s="49">
        <f>AVERAGE('26.07 Kalerwe-Kampala-24h'!L72,'27.07 Kalerwe-Kampala-24h'!L72)</f>
        <v>0.5</v>
      </c>
      <c r="M72" s="49">
        <f>AVERAGE('26.07 Kalerwe-Kampala-24h'!M72,'27.07 Kalerwe-Kampala-24h'!M72)</f>
        <v>52.5</v>
      </c>
      <c r="N72" s="49">
        <f>AVERAGE('26.07 Kalerwe-Kampala-24h'!N72,'27.07 Kalerwe-Kampala-24h'!N72)</f>
        <v>0</v>
      </c>
      <c r="O72" s="15">
        <f t="shared" si="0"/>
        <v>74</v>
      </c>
      <c r="P72" s="15">
        <f t="shared" si="1"/>
        <v>126.5</v>
      </c>
      <c r="R72" s="8"/>
      <c r="T72"/>
    </row>
    <row r="73" spans="2:20" ht="23.1" customHeight="1" x14ac:dyDescent="0.25">
      <c r="B73" s="23" t="s">
        <v>113</v>
      </c>
      <c r="C73" s="49">
        <f>AVERAGE('26.07 Kalerwe-Kampala-24h'!C73,'27.07 Kalerwe-Kampala-24h'!C73)</f>
        <v>18</v>
      </c>
      <c r="D73" s="49">
        <f>AVERAGE('26.07 Kalerwe-Kampala-24h'!D73,'27.07 Kalerwe-Kampala-24h'!D73)</f>
        <v>6</v>
      </c>
      <c r="E73" s="49">
        <f>AVERAGE('26.07 Kalerwe-Kampala-24h'!E73,'27.07 Kalerwe-Kampala-24h'!E73)</f>
        <v>11</v>
      </c>
      <c r="F73" s="49">
        <f>AVERAGE('26.07 Kalerwe-Kampala-24h'!F73,'27.07 Kalerwe-Kampala-24h'!F73)</f>
        <v>27.5</v>
      </c>
      <c r="G73" s="49">
        <f>AVERAGE('26.07 Kalerwe-Kampala-24h'!G73,'27.07 Kalerwe-Kampala-24h'!G73)</f>
        <v>8.5</v>
      </c>
      <c r="H73" s="49">
        <f>AVERAGE('26.07 Kalerwe-Kampala-24h'!H73,'27.07 Kalerwe-Kampala-24h'!H73)</f>
        <v>0.5</v>
      </c>
      <c r="I73" s="49">
        <f>AVERAGE('26.07 Kalerwe-Kampala-24h'!I73,'27.07 Kalerwe-Kampala-24h'!I73)</f>
        <v>7</v>
      </c>
      <c r="J73" s="49">
        <f>AVERAGE('26.07 Kalerwe-Kampala-24h'!J73,'27.07 Kalerwe-Kampala-24h'!J73)</f>
        <v>7</v>
      </c>
      <c r="K73" s="49">
        <f>AVERAGE('26.07 Kalerwe-Kampala-24h'!K73,'27.07 Kalerwe-Kampala-24h'!K73)</f>
        <v>2</v>
      </c>
      <c r="L73" s="49">
        <f>AVERAGE('26.07 Kalerwe-Kampala-24h'!L73,'27.07 Kalerwe-Kampala-24h'!L73)</f>
        <v>0</v>
      </c>
      <c r="M73" s="49">
        <f>AVERAGE('26.07 Kalerwe-Kampala-24h'!M73,'27.07 Kalerwe-Kampala-24h'!M73)</f>
        <v>47.5</v>
      </c>
      <c r="N73" s="49">
        <f>AVERAGE('26.07 Kalerwe-Kampala-24h'!N73,'27.07 Kalerwe-Kampala-24h'!N73)</f>
        <v>0</v>
      </c>
      <c r="O73" s="15">
        <f t="shared" si="0"/>
        <v>87.5</v>
      </c>
      <c r="P73" s="15">
        <f t="shared" si="1"/>
        <v>135</v>
      </c>
      <c r="R73" s="8"/>
      <c r="T73"/>
    </row>
    <row r="74" spans="2:20" ht="23.1" customHeight="1" x14ac:dyDescent="0.25">
      <c r="B74" s="23" t="s">
        <v>114</v>
      </c>
      <c r="C74" s="49">
        <f>AVERAGE('26.07 Kalerwe-Kampala-24h'!C74,'27.07 Kalerwe-Kampala-24h'!C74)</f>
        <v>36.5</v>
      </c>
      <c r="D74" s="49">
        <f>AVERAGE('26.07 Kalerwe-Kampala-24h'!D74,'27.07 Kalerwe-Kampala-24h'!D74)</f>
        <v>2</v>
      </c>
      <c r="E74" s="49">
        <f>AVERAGE('26.07 Kalerwe-Kampala-24h'!E74,'27.07 Kalerwe-Kampala-24h'!E74)</f>
        <v>4.5</v>
      </c>
      <c r="F74" s="49">
        <f>AVERAGE('26.07 Kalerwe-Kampala-24h'!F74,'27.07 Kalerwe-Kampala-24h'!F74)</f>
        <v>29</v>
      </c>
      <c r="G74" s="49">
        <f>AVERAGE('26.07 Kalerwe-Kampala-24h'!G74,'27.07 Kalerwe-Kampala-24h'!G74)</f>
        <v>3.5</v>
      </c>
      <c r="H74" s="49">
        <f>AVERAGE('26.07 Kalerwe-Kampala-24h'!H74,'27.07 Kalerwe-Kampala-24h'!H74)</f>
        <v>2</v>
      </c>
      <c r="I74" s="49">
        <f>AVERAGE('26.07 Kalerwe-Kampala-24h'!I74,'27.07 Kalerwe-Kampala-24h'!I74)</f>
        <v>3</v>
      </c>
      <c r="J74" s="49">
        <f>AVERAGE('26.07 Kalerwe-Kampala-24h'!J74,'27.07 Kalerwe-Kampala-24h'!J74)</f>
        <v>4.5</v>
      </c>
      <c r="K74" s="49">
        <f>AVERAGE('26.07 Kalerwe-Kampala-24h'!K74,'27.07 Kalerwe-Kampala-24h'!K74)</f>
        <v>1.5</v>
      </c>
      <c r="L74" s="49">
        <f>AVERAGE('26.07 Kalerwe-Kampala-24h'!L74,'27.07 Kalerwe-Kampala-24h'!L74)</f>
        <v>0.5</v>
      </c>
      <c r="M74" s="49">
        <f>AVERAGE('26.07 Kalerwe-Kampala-24h'!M74,'27.07 Kalerwe-Kampala-24h'!M74)</f>
        <v>52.5</v>
      </c>
      <c r="N74" s="49">
        <f>AVERAGE('26.07 Kalerwe-Kampala-24h'!N74,'27.07 Kalerwe-Kampala-24h'!N74)</f>
        <v>0</v>
      </c>
      <c r="O74" s="15">
        <f t="shared" ref="O74:O105" si="35">SUM(C74:L74,N74)</f>
        <v>87</v>
      </c>
      <c r="P74" s="15">
        <f t="shared" ref="P74:P105" si="36">SUM(C74:N74)</f>
        <v>139.5</v>
      </c>
      <c r="R74" s="8"/>
      <c r="T74"/>
    </row>
    <row r="75" spans="2:20" ht="23.1" customHeight="1" x14ac:dyDescent="0.25">
      <c r="B75" s="23" t="s">
        <v>115</v>
      </c>
      <c r="C75" s="49">
        <f>AVERAGE('26.07 Kalerwe-Kampala-24h'!C75,'27.07 Kalerwe-Kampala-24h'!C75)</f>
        <v>25</v>
      </c>
      <c r="D75" s="49">
        <f>AVERAGE('26.07 Kalerwe-Kampala-24h'!D75,'27.07 Kalerwe-Kampala-24h'!D75)</f>
        <v>0.5</v>
      </c>
      <c r="E75" s="49">
        <f>AVERAGE('26.07 Kalerwe-Kampala-24h'!E75,'27.07 Kalerwe-Kampala-24h'!E75)</f>
        <v>3.5</v>
      </c>
      <c r="F75" s="49">
        <f>AVERAGE('26.07 Kalerwe-Kampala-24h'!F75,'27.07 Kalerwe-Kampala-24h'!F75)</f>
        <v>12.5</v>
      </c>
      <c r="G75" s="49">
        <f>AVERAGE('26.07 Kalerwe-Kampala-24h'!G75,'27.07 Kalerwe-Kampala-24h'!G75)</f>
        <v>2.5</v>
      </c>
      <c r="H75" s="49">
        <f>AVERAGE('26.07 Kalerwe-Kampala-24h'!H75,'27.07 Kalerwe-Kampala-24h'!H75)</f>
        <v>1.5</v>
      </c>
      <c r="I75" s="49">
        <f>AVERAGE('26.07 Kalerwe-Kampala-24h'!I75,'27.07 Kalerwe-Kampala-24h'!I75)</f>
        <v>2.5</v>
      </c>
      <c r="J75" s="49">
        <f>AVERAGE('26.07 Kalerwe-Kampala-24h'!J75,'27.07 Kalerwe-Kampala-24h'!J75)</f>
        <v>3</v>
      </c>
      <c r="K75" s="49">
        <f>AVERAGE('26.07 Kalerwe-Kampala-24h'!K75,'27.07 Kalerwe-Kampala-24h'!K75)</f>
        <v>0</v>
      </c>
      <c r="L75" s="49">
        <f>AVERAGE('26.07 Kalerwe-Kampala-24h'!L75,'27.07 Kalerwe-Kampala-24h'!L75)</f>
        <v>1</v>
      </c>
      <c r="M75" s="49">
        <f>AVERAGE('26.07 Kalerwe-Kampala-24h'!M75,'27.07 Kalerwe-Kampala-24h'!M75)</f>
        <v>30</v>
      </c>
      <c r="N75" s="49">
        <f>AVERAGE('26.07 Kalerwe-Kampala-24h'!N75,'27.07 Kalerwe-Kampala-24h'!N75)</f>
        <v>0</v>
      </c>
      <c r="O75" s="15">
        <f t="shared" si="35"/>
        <v>52</v>
      </c>
      <c r="P75" s="15">
        <f t="shared" si="36"/>
        <v>82</v>
      </c>
      <c r="R75" s="8"/>
      <c r="T75"/>
    </row>
    <row r="76" spans="2:20" ht="23.1" customHeight="1" x14ac:dyDescent="0.25">
      <c r="B76" s="23" t="s">
        <v>116</v>
      </c>
      <c r="C76" s="49">
        <f>AVERAGE('26.07 Kalerwe-Kampala-24h'!C76,'27.07 Kalerwe-Kampala-24h'!C76)</f>
        <v>20</v>
      </c>
      <c r="D76" s="49">
        <f>AVERAGE('26.07 Kalerwe-Kampala-24h'!D76,'27.07 Kalerwe-Kampala-24h'!D76)</f>
        <v>2.5</v>
      </c>
      <c r="E76" s="49">
        <f>AVERAGE('26.07 Kalerwe-Kampala-24h'!E76,'27.07 Kalerwe-Kampala-24h'!E76)</f>
        <v>4</v>
      </c>
      <c r="F76" s="49">
        <f>AVERAGE('26.07 Kalerwe-Kampala-24h'!F76,'27.07 Kalerwe-Kampala-24h'!F76)</f>
        <v>15</v>
      </c>
      <c r="G76" s="49">
        <f>AVERAGE('26.07 Kalerwe-Kampala-24h'!G76,'27.07 Kalerwe-Kampala-24h'!G76)</f>
        <v>2</v>
      </c>
      <c r="H76" s="49">
        <f>AVERAGE('26.07 Kalerwe-Kampala-24h'!H76,'27.07 Kalerwe-Kampala-24h'!H76)</f>
        <v>0</v>
      </c>
      <c r="I76" s="49">
        <f>AVERAGE('26.07 Kalerwe-Kampala-24h'!I76,'27.07 Kalerwe-Kampala-24h'!I76)</f>
        <v>5</v>
      </c>
      <c r="J76" s="49">
        <f>AVERAGE('26.07 Kalerwe-Kampala-24h'!J76,'27.07 Kalerwe-Kampala-24h'!J76)</f>
        <v>5.5</v>
      </c>
      <c r="K76" s="49">
        <f>AVERAGE('26.07 Kalerwe-Kampala-24h'!K76,'27.07 Kalerwe-Kampala-24h'!K76)</f>
        <v>1</v>
      </c>
      <c r="L76" s="49">
        <f>AVERAGE('26.07 Kalerwe-Kampala-24h'!L76,'27.07 Kalerwe-Kampala-24h'!L76)</f>
        <v>0.5</v>
      </c>
      <c r="M76" s="49">
        <f>AVERAGE('26.07 Kalerwe-Kampala-24h'!M76,'27.07 Kalerwe-Kampala-24h'!M76)</f>
        <v>27.5</v>
      </c>
      <c r="N76" s="49">
        <f>AVERAGE('26.07 Kalerwe-Kampala-24h'!N76,'27.07 Kalerwe-Kampala-24h'!N76)</f>
        <v>0</v>
      </c>
      <c r="O76" s="15">
        <f t="shared" si="35"/>
        <v>55.5</v>
      </c>
      <c r="P76" s="15">
        <f t="shared" si="36"/>
        <v>83</v>
      </c>
      <c r="R76" s="8"/>
      <c r="T76"/>
    </row>
    <row r="77" spans="2:20" ht="23.1" customHeight="1" x14ac:dyDescent="0.25">
      <c r="B77" s="23" t="s">
        <v>117</v>
      </c>
      <c r="C77" s="49">
        <f>AVERAGE('26.07 Kalerwe-Kampala-24h'!C77,'27.07 Kalerwe-Kampala-24h'!C77)</f>
        <v>11</v>
      </c>
      <c r="D77" s="49">
        <f>AVERAGE('26.07 Kalerwe-Kampala-24h'!D77,'27.07 Kalerwe-Kampala-24h'!D77)</f>
        <v>2.5</v>
      </c>
      <c r="E77" s="49">
        <f>AVERAGE('26.07 Kalerwe-Kampala-24h'!E77,'27.07 Kalerwe-Kampala-24h'!E77)</f>
        <v>2.5</v>
      </c>
      <c r="F77" s="49">
        <f>AVERAGE('26.07 Kalerwe-Kampala-24h'!F77,'27.07 Kalerwe-Kampala-24h'!F77)</f>
        <v>11.5</v>
      </c>
      <c r="G77" s="49">
        <f>AVERAGE('26.07 Kalerwe-Kampala-24h'!G77,'27.07 Kalerwe-Kampala-24h'!G77)</f>
        <v>1</v>
      </c>
      <c r="H77" s="49">
        <f>AVERAGE('26.07 Kalerwe-Kampala-24h'!H77,'27.07 Kalerwe-Kampala-24h'!H77)</f>
        <v>0.5</v>
      </c>
      <c r="I77" s="49">
        <f>AVERAGE('26.07 Kalerwe-Kampala-24h'!I77,'27.07 Kalerwe-Kampala-24h'!I77)</f>
        <v>2.5</v>
      </c>
      <c r="J77" s="49">
        <f>AVERAGE('26.07 Kalerwe-Kampala-24h'!J77,'27.07 Kalerwe-Kampala-24h'!J77)</f>
        <v>4</v>
      </c>
      <c r="K77" s="49">
        <f>AVERAGE('26.07 Kalerwe-Kampala-24h'!K77,'27.07 Kalerwe-Kampala-24h'!K77)</f>
        <v>0</v>
      </c>
      <c r="L77" s="49">
        <f>AVERAGE('26.07 Kalerwe-Kampala-24h'!L77,'27.07 Kalerwe-Kampala-24h'!L77)</f>
        <v>0</v>
      </c>
      <c r="M77" s="49">
        <f>AVERAGE('26.07 Kalerwe-Kampala-24h'!M77,'27.07 Kalerwe-Kampala-24h'!M77)</f>
        <v>37.5</v>
      </c>
      <c r="N77" s="49">
        <f>AVERAGE('26.07 Kalerwe-Kampala-24h'!N77,'27.07 Kalerwe-Kampala-24h'!N77)</f>
        <v>0</v>
      </c>
      <c r="O77" s="15">
        <f t="shared" si="35"/>
        <v>35.5</v>
      </c>
      <c r="P77" s="15">
        <f t="shared" si="36"/>
        <v>73</v>
      </c>
      <c r="R77" s="8"/>
      <c r="T77"/>
    </row>
    <row r="78" spans="2:20" ht="23.1" customHeight="1" x14ac:dyDescent="0.25">
      <c r="B78" s="24" t="s">
        <v>118</v>
      </c>
      <c r="C78" s="49">
        <f>AVERAGE('26.07 Kalerwe-Kampala-24h'!C78,'27.07 Kalerwe-Kampala-24h'!C78)</f>
        <v>22.5</v>
      </c>
      <c r="D78" s="49">
        <f>AVERAGE('26.07 Kalerwe-Kampala-24h'!D78,'27.07 Kalerwe-Kampala-24h'!D78)</f>
        <v>2.5</v>
      </c>
      <c r="E78" s="49">
        <f>AVERAGE('26.07 Kalerwe-Kampala-24h'!E78,'27.07 Kalerwe-Kampala-24h'!E78)</f>
        <v>1</v>
      </c>
      <c r="F78" s="49">
        <f>AVERAGE('26.07 Kalerwe-Kampala-24h'!F78,'27.07 Kalerwe-Kampala-24h'!F78)</f>
        <v>35</v>
      </c>
      <c r="G78" s="49">
        <f>AVERAGE('26.07 Kalerwe-Kampala-24h'!G78,'27.07 Kalerwe-Kampala-24h'!G78)</f>
        <v>1.5</v>
      </c>
      <c r="H78" s="49">
        <f>AVERAGE('26.07 Kalerwe-Kampala-24h'!H78,'27.07 Kalerwe-Kampala-24h'!H78)</f>
        <v>1.5</v>
      </c>
      <c r="I78" s="49">
        <f>AVERAGE('26.07 Kalerwe-Kampala-24h'!I78,'27.07 Kalerwe-Kampala-24h'!I78)</f>
        <v>8.5</v>
      </c>
      <c r="J78" s="49">
        <f>AVERAGE('26.07 Kalerwe-Kampala-24h'!J78,'27.07 Kalerwe-Kampala-24h'!J78)</f>
        <v>2</v>
      </c>
      <c r="K78" s="49">
        <f>AVERAGE('26.07 Kalerwe-Kampala-24h'!K78,'27.07 Kalerwe-Kampala-24h'!K78)</f>
        <v>1.5</v>
      </c>
      <c r="L78" s="49">
        <f>AVERAGE('26.07 Kalerwe-Kampala-24h'!L78,'27.07 Kalerwe-Kampala-24h'!L78)</f>
        <v>0</v>
      </c>
      <c r="M78" s="49">
        <f>AVERAGE('26.07 Kalerwe-Kampala-24h'!M78,'27.07 Kalerwe-Kampala-24h'!M78)</f>
        <v>17</v>
      </c>
      <c r="N78" s="49">
        <f>AVERAGE('26.07 Kalerwe-Kampala-24h'!N78,'27.07 Kalerwe-Kampala-24h'!N78)</f>
        <v>0</v>
      </c>
      <c r="O78" s="15">
        <f t="shared" si="35"/>
        <v>76</v>
      </c>
      <c r="P78" s="15">
        <f t="shared" si="36"/>
        <v>93</v>
      </c>
      <c r="R78" s="8"/>
      <c r="T78"/>
    </row>
    <row r="79" spans="2:20" ht="23.1" customHeight="1" x14ac:dyDescent="0.25">
      <c r="B79" s="23" t="s">
        <v>119</v>
      </c>
      <c r="C79" s="49">
        <f>AVERAGE('26.07 Kalerwe-Kampala-24h'!C79,'27.07 Kalerwe-Kampala-24h'!C79)</f>
        <v>16</v>
      </c>
      <c r="D79" s="49">
        <f>AVERAGE('26.07 Kalerwe-Kampala-24h'!D79,'27.07 Kalerwe-Kampala-24h'!D79)</f>
        <v>2.5</v>
      </c>
      <c r="E79" s="49">
        <f>AVERAGE('26.07 Kalerwe-Kampala-24h'!E79,'27.07 Kalerwe-Kampala-24h'!E79)</f>
        <v>2</v>
      </c>
      <c r="F79" s="49">
        <f>AVERAGE('26.07 Kalerwe-Kampala-24h'!F79,'27.07 Kalerwe-Kampala-24h'!F79)</f>
        <v>12.5</v>
      </c>
      <c r="G79" s="49">
        <f>AVERAGE('26.07 Kalerwe-Kampala-24h'!G79,'27.07 Kalerwe-Kampala-24h'!G79)</f>
        <v>1</v>
      </c>
      <c r="H79" s="49">
        <f>AVERAGE('26.07 Kalerwe-Kampala-24h'!H79,'27.07 Kalerwe-Kampala-24h'!H79)</f>
        <v>0.5</v>
      </c>
      <c r="I79" s="49">
        <f>AVERAGE('26.07 Kalerwe-Kampala-24h'!I79,'27.07 Kalerwe-Kampala-24h'!I79)</f>
        <v>8.5</v>
      </c>
      <c r="J79" s="49">
        <f>AVERAGE('26.07 Kalerwe-Kampala-24h'!J79,'27.07 Kalerwe-Kampala-24h'!J79)</f>
        <v>4</v>
      </c>
      <c r="K79" s="49">
        <f>AVERAGE('26.07 Kalerwe-Kampala-24h'!K79,'27.07 Kalerwe-Kampala-24h'!K79)</f>
        <v>0</v>
      </c>
      <c r="L79" s="49">
        <f>AVERAGE('26.07 Kalerwe-Kampala-24h'!L79,'27.07 Kalerwe-Kampala-24h'!L79)</f>
        <v>0.5</v>
      </c>
      <c r="M79" s="49">
        <f>AVERAGE('26.07 Kalerwe-Kampala-24h'!M79,'27.07 Kalerwe-Kampala-24h'!M79)</f>
        <v>27.5</v>
      </c>
      <c r="N79" s="49">
        <f>AVERAGE('26.07 Kalerwe-Kampala-24h'!N79,'27.07 Kalerwe-Kampala-24h'!N79)</f>
        <v>0</v>
      </c>
      <c r="O79" s="15">
        <f t="shared" si="35"/>
        <v>47.5</v>
      </c>
      <c r="P79" s="15">
        <f t="shared" si="36"/>
        <v>75</v>
      </c>
      <c r="R79" s="8"/>
      <c r="T79"/>
    </row>
    <row r="80" spans="2:20" ht="23.1" customHeight="1" x14ac:dyDescent="0.25">
      <c r="B80" s="25" t="s">
        <v>120</v>
      </c>
      <c r="C80" s="49">
        <f>AVERAGE('26.07 Kalerwe-Kampala-24h'!C80,'27.07 Kalerwe-Kampala-24h'!C80)</f>
        <v>16.5</v>
      </c>
      <c r="D80" s="49">
        <f>AVERAGE('26.07 Kalerwe-Kampala-24h'!D80,'27.07 Kalerwe-Kampala-24h'!D80)</f>
        <v>0</v>
      </c>
      <c r="E80" s="49">
        <f>AVERAGE('26.07 Kalerwe-Kampala-24h'!E80,'27.07 Kalerwe-Kampala-24h'!E80)</f>
        <v>8</v>
      </c>
      <c r="F80" s="49">
        <f>AVERAGE('26.07 Kalerwe-Kampala-24h'!F80,'27.07 Kalerwe-Kampala-24h'!F80)</f>
        <v>13.5</v>
      </c>
      <c r="G80" s="49">
        <f>AVERAGE('26.07 Kalerwe-Kampala-24h'!G80,'27.07 Kalerwe-Kampala-24h'!G80)</f>
        <v>0.5</v>
      </c>
      <c r="H80" s="49">
        <f>AVERAGE('26.07 Kalerwe-Kampala-24h'!H80,'27.07 Kalerwe-Kampala-24h'!H80)</f>
        <v>1</v>
      </c>
      <c r="I80" s="49">
        <f>AVERAGE('26.07 Kalerwe-Kampala-24h'!I80,'27.07 Kalerwe-Kampala-24h'!I80)</f>
        <v>1</v>
      </c>
      <c r="J80" s="49">
        <f>AVERAGE('26.07 Kalerwe-Kampala-24h'!J80,'27.07 Kalerwe-Kampala-24h'!J80)</f>
        <v>3</v>
      </c>
      <c r="K80" s="49">
        <f>AVERAGE('26.07 Kalerwe-Kampala-24h'!K80,'27.07 Kalerwe-Kampala-24h'!K80)</f>
        <v>0</v>
      </c>
      <c r="L80" s="49">
        <f>AVERAGE('26.07 Kalerwe-Kampala-24h'!L80,'27.07 Kalerwe-Kampala-24h'!L80)</f>
        <v>1.5</v>
      </c>
      <c r="M80" s="49">
        <f>AVERAGE('26.07 Kalerwe-Kampala-24h'!M80,'27.07 Kalerwe-Kampala-24h'!M80)</f>
        <v>36</v>
      </c>
      <c r="N80" s="49">
        <f>AVERAGE('26.07 Kalerwe-Kampala-24h'!N80,'27.07 Kalerwe-Kampala-24h'!N80)</f>
        <v>0</v>
      </c>
      <c r="O80" s="15">
        <f t="shared" si="35"/>
        <v>45</v>
      </c>
      <c r="P80" s="15">
        <f t="shared" si="36"/>
        <v>81</v>
      </c>
      <c r="R80" s="8"/>
      <c r="T80"/>
    </row>
    <row r="81" spans="2:20" ht="23.1" customHeight="1" x14ac:dyDescent="0.25">
      <c r="B81" s="23" t="s">
        <v>121</v>
      </c>
      <c r="C81" s="49">
        <f>AVERAGE('26.07 Kalerwe-Kampala-24h'!C81,'27.07 Kalerwe-Kampala-24h'!C81)</f>
        <v>21</v>
      </c>
      <c r="D81" s="49">
        <f>AVERAGE('26.07 Kalerwe-Kampala-24h'!D81,'27.07 Kalerwe-Kampala-24h'!D81)</f>
        <v>3.5</v>
      </c>
      <c r="E81" s="49">
        <f>AVERAGE('26.07 Kalerwe-Kampala-24h'!E81,'27.07 Kalerwe-Kampala-24h'!E81)</f>
        <v>2</v>
      </c>
      <c r="F81" s="49">
        <f>AVERAGE('26.07 Kalerwe-Kampala-24h'!F81,'27.07 Kalerwe-Kampala-24h'!F81)</f>
        <v>11.5</v>
      </c>
      <c r="G81" s="49">
        <f>AVERAGE('26.07 Kalerwe-Kampala-24h'!G81,'27.07 Kalerwe-Kampala-24h'!G81)</f>
        <v>0</v>
      </c>
      <c r="H81" s="49">
        <f>AVERAGE('26.07 Kalerwe-Kampala-24h'!H81,'27.07 Kalerwe-Kampala-24h'!H81)</f>
        <v>0</v>
      </c>
      <c r="I81" s="49">
        <f>AVERAGE('26.07 Kalerwe-Kampala-24h'!I81,'27.07 Kalerwe-Kampala-24h'!I81)</f>
        <v>5</v>
      </c>
      <c r="J81" s="49">
        <f>AVERAGE('26.07 Kalerwe-Kampala-24h'!J81,'27.07 Kalerwe-Kampala-24h'!J81)</f>
        <v>2.5</v>
      </c>
      <c r="K81" s="49">
        <f>AVERAGE('26.07 Kalerwe-Kampala-24h'!K81,'27.07 Kalerwe-Kampala-24h'!K81)</f>
        <v>1.5</v>
      </c>
      <c r="L81" s="49">
        <f>AVERAGE('26.07 Kalerwe-Kampala-24h'!L81,'27.07 Kalerwe-Kampala-24h'!L81)</f>
        <v>2.5</v>
      </c>
      <c r="M81" s="49">
        <f>AVERAGE('26.07 Kalerwe-Kampala-24h'!M81,'27.07 Kalerwe-Kampala-24h'!M81)</f>
        <v>30</v>
      </c>
      <c r="N81" s="49">
        <f>AVERAGE('26.07 Kalerwe-Kampala-24h'!N81,'27.07 Kalerwe-Kampala-24h'!N81)</f>
        <v>0</v>
      </c>
      <c r="O81" s="15">
        <f t="shared" si="35"/>
        <v>49.5</v>
      </c>
      <c r="P81" s="15">
        <f t="shared" si="36"/>
        <v>79.5</v>
      </c>
      <c r="R81" s="8"/>
      <c r="T81"/>
    </row>
    <row r="82" spans="2:20" ht="23.1" customHeight="1" x14ac:dyDescent="0.25">
      <c r="B82" s="24" t="s">
        <v>122</v>
      </c>
      <c r="C82" s="49">
        <f>AVERAGE('26.07 Kalerwe-Kampala-24h'!C82,'27.07 Kalerwe-Kampala-24h'!C82)</f>
        <v>43</v>
      </c>
      <c r="D82" s="49">
        <f>AVERAGE('26.07 Kalerwe-Kampala-24h'!D82,'27.07 Kalerwe-Kampala-24h'!D82)</f>
        <v>1</v>
      </c>
      <c r="E82" s="49">
        <f>AVERAGE('26.07 Kalerwe-Kampala-24h'!E82,'27.07 Kalerwe-Kampala-24h'!E82)</f>
        <v>2.5</v>
      </c>
      <c r="F82" s="49">
        <f>AVERAGE('26.07 Kalerwe-Kampala-24h'!F82,'27.07 Kalerwe-Kampala-24h'!F82)</f>
        <v>8.5</v>
      </c>
      <c r="G82" s="49">
        <f>AVERAGE('26.07 Kalerwe-Kampala-24h'!G82,'27.07 Kalerwe-Kampala-24h'!G82)</f>
        <v>2.5</v>
      </c>
      <c r="H82" s="49">
        <f>AVERAGE('26.07 Kalerwe-Kampala-24h'!H82,'27.07 Kalerwe-Kampala-24h'!H82)</f>
        <v>1.5</v>
      </c>
      <c r="I82" s="49">
        <f>AVERAGE('26.07 Kalerwe-Kampala-24h'!I82,'27.07 Kalerwe-Kampala-24h'!I82)</f>
        <v>8.5</v>
      </c>
      <c r="J82" s="49">
        <f>AVERAGE('26.07 Kalerwe-Kampala-24h'!J82,'27.07 Kalerwe-Kampala-24h'!J82)</f>
        <v>6</v>
      </c>
      <c r="K82" s="49">
        <f>AVERAGE('26.07 Kalerwe-Kampala-24h'!K82,'27.07 Kalerwe-Kampala-24h'!K82)</f>
        <v>1.5</v>
      </c>
      <c r="L82" s="49">
        <f>AVERAGE('26.07 Kalerwe-Kampala-24h'!L82,'27.07 Kalerwe-Kampala-24h'!L82)</f>
        <v>0.5</v>
      </c>
      <c r="M82" s="49">
        <f>AVERAGE('26.07 Kalerwe-Kampala-24h'!M82,'27.07 Kalerwe-Kampala-24h'!M82)</f>
        <v>25</v>
      </c>
      <c r="N82" s="49">
        <f>AVERAGE('26.07 Kalerwe-Kampala-24h'!N82,'27.07 Kalerwe-Kampala-24h'!N82)</f>
        <v>0</v>
      </c>
      <c r="O82" s="15">
        <f t="shared" si="35"/>
        <v>75.5</v>
      </c>
      <c r="P82" s="15">
        <f t="shared" si="36"/>
        <v>100.5</v>
      </c>
      <c r="R82" s="8"/>
      <c r="T82"/>
    </row>
    <row r="83" spans="2:20" ht="23.1" customHeight="1" x14ac:dyDescent="0.25">
      <c r="B83" s="23" t="s">
        <v>123</v>
      </c>
      <c r="C83" s="49">
        <f>AVERAGE('26.07 Kalerwe-Kampala-24h'!C83,'27.07 Kalerwe-Kampala-24h'!C83)</f>
        <v>22.5</v>
      </c>
      <c r="D83" s="49">
        <f>AVERAGE('26.07 Kalerwe-Kampala-24h'!D83,'27.07 Kalerwe-Kampala-24h'!D83)</f>
        <v>6</v>
      </c>
      <c r="E83" s="49">
        <f>AVERAGE('26.07 Kalerwe-Kampala-24h'!E83,'27.07 Kalerwe-Kampala-24h'!E83)</f>
        <v>1.5</v>
      </c>
      <c r="F83" s="49">
        <f>AVERAGE('26.07 Kalerwe-Kampala-24h'!F83,'27.07 Kalerwe-Kampala-24h'!F83)</f>
        <v>2.5</v>
      </c>
      <c r="G83" s="49">
        <f>AVERAGE('26.07 Kalerwe-Kampala-24h'!G83,'27.07 Kalerwe-Kampala-24h'!G83)</f>
        <v>1</v>
      </c>
      <c r="H83" s="49">
        <f>AVERAGE('26.07 Kalerwe-Kampala-24h'!H83,'27.07 Kalerwe-Kampala-24h'!H83)</f>
        <v>1</v>
      </c>
      <c r="I83" s="49">
        <f>AVERAGE('26.07 Kalerwe-Kampala-24h'!I83,'27.07 Kalerwe-Kampala-24h'!I83)</f>
        <v>3.5</v>
      </c>
      <c r="J83" s="49">
        <f>AVERAGE('26.07 Kalerwe-Kampala-24h'!J83,'27.07 Kalerwe-Kampala-24h'!J83)</f>
        <v>7.5</v>
      </c>
      <c r="K83" s="49">
        <f>AVERAGE('26.07 Kalerwe-Kampala-24h'!K83,'27.07 Kalerwe-Kampala-24h'!K83)</f>
        <v>2</v>
      </c>
      <c r="L83" s="49">
        <f>AVERAGE('26.07 Kalerwe-Kampala-24h'!L83,'27.07 Kalerwe-Kampala-24h'!L83)</f>
        <v>0.5</v>
      </c>
      <c r="M83" s="49">
        <f>AVERAGE('26.07 Kalerwe-Kampala-24h'!M83,'27.07 Kalerwe-Kampala-24h'!M83)</f>
        <v>26</v>
      </c>
      <c r="N83" s="49">
        <f>AVERAGE('26.07 Kalerwe-Kampala-24h'!N83,'27.07 Kalerwe-Kampala-24h'!N83)</f>
        <v>0</v>
      </c>
      <c r="O83" s="15">
        <f t="shared" si="35"/>
        <v>48</v>
      </c>
      <c r="P83" s="15">
        <f t="shared" si="36"/>
        <v>74</v>
      </c>
      <c r="R83" s="8"/>
      <c r="T83"/>
    </row>
    <row r="84" spans="2:20" ht="23.1" customHeight="1" x14ac:dyDescent="0.25">
      <c r="B84" s="25" t="s">
        <v>124</v>
      </c>
      <c r="C84" s="49">
        <f>AVERAGE('26.07 Kalerwe-Kampala-24h'!C84,'27.07 Kalerwe-Kampala-24h'!C84)</f>
        <v>19</v>
      </c>
      <c r="D84" s="49">
        <f>AVERAGE('26.07 Kalerwe-Kampala-24h'!D84,'27.07 Kalerwe-Kampala-24h'!D84)</f>
        <v>10</v>
      </c>
      <c r="E84" s="49">
        <f>AVERAGE('26.07 Kalerwe-Kampala-24h'!E84,'27.07 Kalerwe-Kampala-24h'!E84)</f>
        <v>2.5</v>
      </c>
      <c r="F84" s="49">
        <f>AVERAGE('26.07 Kalerwe-Kampala-24h'!F84,'27.07 Kalerwe-Kampala-24h'!F84)</f>
        <v>5</v>
      </c>
      <c r="G84" s="49">
        <f>AVERAGE('26.07 Kalerwe-Kampala-24h'!G84,'27.07 Kalerwe-Kampala-24h'!G84)</f>
        <v>0.5</v>
      </c>
      <c r="H84" s="49">
        <f>AVERAGE('26.07 Kalerwe-Kampala-24h'!H84,'27.07 Kalerwe-Kampala-24h'!H84)</f>
        <v>0.5</v>
      </c>
      <c r="I84" s="49">
        <f>AVERAGE('26.07 Kalerwe-Kampala-24h'!I84,'27.07 Kalerwe-Kampala-24h'!I84)</f>
        <v>4</v>
      </c>
      <c r="J84" s="49">
        <f>AVERAGE('26.07 Kalerwe-Kampala-24h'!J84,'27.07 Kalerwe-Kampala-24h'!J84)</f>
        <v>1.5</v>
      </c>
      <c r="K84" s="49">
        <f>AVERAGE('26.07 Kalerwe-Kampala-24h'!K84,'27.07 Kalerwe-Kampala-24h'!K84)</f>
        <v>1</v>
      </c>
      <c r="L84" s="49">
        <f>AVERAGE('26.07 Kalerwe-Kampala-24h'!L84,'27.07 Kalerwe-Kampala-24h'!L84)</f>
        <v>0</v>
      </c>
      <c r="M84" s="49">
        <f>AVERAGE('26.07 Kalerwe-Kampala-24h'!M84,'27.07 Kalerwe-Kampala-24h'!M84)</f>
        <v>22.5</v>
      </c>
      <c r="N84" s="49">
        <f>AVERAGE('26.07 Kalerwe-Kampala-24h'!N84,'27.07 Kalerwe-Kampala-24h'!N84)</f>
        <v>0</v>
      </c>
      <c r="O84" s="15">
        <f t="shared" si="35"/>
        <v>44</v>
      </c>
      <c r="P84" s="15">
        <f t="shared" si="36"/>
        <v>66.5</v>
      </c>
      <c r="R84" s="8"/>
      <c r="T84"/>
    </row>
    <row r="85" spans="2:20" ht="23.1" customHeight="1" x14ac:dyDescent="0.25">
      <c r="B85" s="23" t="s">
        <v>125</v>
      </c>
      <c r="C85" s="49">
        <f>AVERAGE('26.07 Kalerwe-Kampala-24h'!C85,'27.07 Kalerwe-Kampala-24h'!C85)</f>
        <v>12.5</v>
      </c>
      <c r="D85" s="49">
        <f>AVERAGE('26.07 Kalerwe-Kampala-24h'!D85,'27.07 Kalerwe-Kampala-24h'!D85)</f>
        <v>4.5</v>
      </c>
      <c r="E85" s="49">
        <f>AVERAGE('26.07 Kalerwe-Kampala-24h'!E85,'27.07 Kalerwe-Kampala-24h'!E85)</f>
        <v>1</v>
      </c>
      <c r="F85" s="49">
        <f>AVERAGE('26.07 Kalerwe-Kampala-24h'!F85,'27.07 Kalerwe-Kampala-24h'!F85)</f>
        <v>6.5</v>
      </c>
      <c r="G85" s="49">
        <f>AVERAGE('26.07 Kalerwe-Kampala-24h'!G85,'27.07 Kalerwe-Kampala-24h'!G85)</f>
        <v>2</v>
      </c>
      <c r="H85" s="49">
        <f>AVERAGE('26.07 Kalerwe-Kampala-24h'!H85,'27.07 Kalerwe-Kampala-24h'!H85)</f>
        <v>1.5</v>
      </c>
      <c r="I85" s="49">
        <f>AVERAGE('26.07 Kalerwe-Kampala-24h'!I85,'27.07 Kalerwe-Kampala-24h'!I85)</f>
        <v>4.5</v>
      </c>
      <c r="J85" s="49">
        <f>AVERAGE('26.07 Kalerwe-Kampala-24h'!J85,'27.07 Kalerwe-Kampala-24h'!J85)</f>
        <v>1</v>
      </c>
      <c r="K85" s="49">
        <f>AVERAGE('26.07 Kalerwe-Kampala-24h'!K85,'27.07 Kalerwe-Kampala-24h'!K85)</f>
        <v>0.5</v>
      </c>
      <c r="L85" s="49">
        <f>AVERAGE('26.07 Kalerwe-Kampala-24h'!L85,'27.07 Kalerwe-Kampala-24h'!L85)</f>
        <v>0</v>
      </c>
      <c r="M85" s="49">
        <f>AVERAGE('26.07 Kalerwe-Kampala-24h'!M85,'27.07 Kalerwe-Kampala-24h'!M85)</f>
        <v>40</v>
      </c>
      <c r="N85" s="49">
        <f>AVERAGE('26.07 Kalerwe-Kampala-24h'!N85,'27.07 Kalerwe-Kampala-24h'!N85)</f>
        <v>0</v>
      </c>
      <c r="O85" s="15">
        <f t="shared" si="35"/>
        <v>34</v>
      </c>
      <c r="P85" s="15">
        <f t="shared" si="36"/>
        <v>74</v>
      </c>
      <c r="R85" s="8"/>
      <c r="T85"/>
    </row>
    <row r="86" spans="2:20" ht="23.1" customHeight="1" x14ac:dyDescent="0.25">
      <c r="B86" s="24" t="s">
        <v>126</v>
      </c>
      <c r="C86" s="49">
        <f>AVERAGE('26.07 Kalerwe-Kampala-24h'!C86,'27.07 Kalerwe-Kampala-24h'!C86)</f>
        <v>12.5</v>
      </c>
      <c r="D86" s="49">
        <f>AVERAGE('26.07 Kalerwe-Kampala-24h'!D86,'27.07 Kalerwe-Kampala-24h'!D86)</f>
        <v>1.5</v>
      </c>
      <c r="E86" s="49">
        <f>AVERAGE('26.07 Kalerwe-Kampala-24h'!E86,'27.07 Kalerwe-Kampala-24h'!E86)</f>
        <v>1.5</v>
      </c>
      <c r="F86" s="49">
        <f>AVERAGE('26.07 Kalerwe-Kampala-24h'!F86,'27.07 Kalerwe-Kampala-24h'!F86)</f>
        <v>7</v>
      </c>
      <c r="G86" s="49">
        <f>AVERAGE('26.07 Kalerwe-Kampala-24h'!G86,'27.07 Kalerwe-Kampala-24h'!G86)</f>
        <v>0.5</v>
      </c>
      <c r="H86" s="49">
        <f>AVERAGE('26.07 Kalerwe-Kampala-24h'!H86,'27.07 Kalerwe-Kampala-24h'!H86)</f>
        <v>0.5</v>
      </c>
      <c r="I86" s="49">
        <f>AVERAGE('26.07 Kalerwe-Kampala-24h'!I86,'27.07 Kalerwe-Kampala-24h'!I86)</f>
        <v>5</v>
      </c>
      <c r="J86" s="49">
        <f>AVERAGE('26.07 Kalerwe-Kampala-24h'!J86,'27.07 Kalerwe-Kampala-24h'!J86)</f>
        <v>5.5</v>
      </c>
      <c r="K86" s="49">
        <f>AVERAGE('26.07 Kalerwe-Kampala-24h'!K86,'27.07 Kalerwe-Kampala-24h'!K86)</f>
        <v>1</v>
      </c>
      <c r="L86" s="49">
        <f>AVERAGE('26.07 Kalerwe-Kampala-24h'!L86,'27.07 Kalerwe-Kampala-24h'!L86)</f>
        <v>0.5</v>
      </c>
      <c r="M86" s="49">
        <f>AVERAGE('26.07 Kalerwe-Kampala-24h'!M86,'27.07 Kalerwe-Kampala-24h'!M86)</f>
        <v>31</v>
      </c>
      <c r="N86" s="49">
        <f>AVERAGE('26.07 Kalerwe-Kampala-24h'!N86,'27.07 Kalerwe-Kampala-24h'!N86)</f>
        <v>0</v>
      </c>
      <c r="O86" s="15">
        <f t="shared" si="35"/>
        <v>35.5</v>
      </c>
      <c r="P86" s="15">
        <f t="shared" si="36"/>
        <v>66.5</v>
      </c>
      <c r="R86" s="8"/>
      <c r="T86"/>
    </row>
    <row r="87" spans="2:20" ht="23.1" customHeight="1" x14ac:dyDescent="0.25">
      <c r="B87" s="23" t="s">
        <v>127</v>
      </c>
      <c r="C87" s="49">
        <f>AVERAGE('26.07 Kalerwe-Kampala-24h'!C87,'27.07 Kalerwe-Kampala-24h'!C87)</f>
        <v>18.5</v>
      </c>
      <c r="D87" s="49">
        <f>AVERAGE('26.07 Kalerwe-Kampala-24h'!D87,'27.07 Kalerwe-Kampala-24h'!D87)</f>
        <v>2</v>
      </c>
      <c r="E87" s="49">
        <f>AVERAGE('26.07 Kalerwe-Kampala-24h'!E87,'27.07 Kalerwe-Kampala-24h'!E87)</f>
        <v>3</v>
      </c>
      <c r="F87" s="49">
        <f>AVERAGE('26.07 Kalerwe-Kampala-24h'!F87,'27.07 Kalerwe-Kampala-24h'!F87)</f>
        <v>8.5</v>
      </c>
      <c r="G87" s="49">
        <f>AVERAGE('26.07 Kalerwe-Kampala-24h'!G87,'27.07 Kalerwe-Kampala-24h'!G87)</f>
        <v>1</v>
      </c>
      <c r="H87" s="49">
        <f>AVERAGE('26.07 Kalerwe-Kampala-24h'!H87,'27.07 Kalerwe-Kampala-24h'!H87)</f>
        <v>0</v>
      </c>
      <c r="I87" s="49">
        <f>AVERAGE('26.07 Kalerwe-Kampala-24h'!I87,'27.07 Kalerwe-Kampala-24h'!I87)</f>
        <v>2.5</v>
      </c>
      <c r="J87" s="49">
        <f>AVERAGE('26.07 Kalerwe-Kampala-24h'!J87,'27.07 Kalerwe-Kampala-24h'!J87)</f>
        <v>6.5</v>
      </c>
      <c r="K87" s="49">
        <f>AVERAGE('26.07 Kalerwe-Kampala-24h'!K87,'27.07 Kalerwe-Kampala-24h'!K87)</f>
        <v>1.5</v>
      </c>
      <c r="L87" s="49">
        <f>AVERAGE('26.07 Kalerwe-Kampala-24h'!L87,'27.07 Kalerwe-Kampala-24h'!L87)</f>
        <v>0</v>
      </c>
      <c r="M87" s="49">
        <f>AVERAGE('26.07 Kalerwe-Kampala-24h'!M87,'27.07 Kalerwe-Kampala-24h'!M87)</f>
        <v>25.5</v>
      </c>
      <c r="N87" s="49">
        <f>AVERAGE('26.07 Kalerwe-Kampala-24h'!N87,'27.07 Kalerwe-Kampala-24h'!N87)</f>
        <v>0</v>
      </c>
      <c r="O87" s="15">
        <f t="shared" si="35"/>
        <v>43.5</v>
      </c>
      <c r="P87" s="15">
        <f t="shared" si="36"/>
        <v>69</v>
      </c>
      <c r="R87" s="8"/>
      <c r="T87"/>
    </row>
    <row r="88" spans="2:20" ht="23.1" customHeight="1" x14ac:dyDescent="0.25">
      <c r="B88" s="25" t="s">
        <v>128</v>
      </c>
      <c r="C88" s="49">
        <f>AVERAGE('26.07 Kalerwe-Kampala-24h'!C88,'27.07 Kalerwe-Kampala-24h'!C88)</f>
        <v>25.5</v>
      </c>
      <c r="D88" s="49">
        <f>AVERAGE('26.07 Kalerwe-Kampala-24h'!D88,'27.07 Kalerwe-Kampala-24h'!D88)</f>
        <v>1</v>
      </c>
      <c r="E88" s="49">
        <f>AVERAGE('26.07 Kalerwe-Kampala-24h'!E88,'27.07 Kalerwe-Kampala-24h'!E88)</f>
        <v>2.5</v>
      </c>
      <c r="F88" s="49">
        <f>AVERAGE('26.07 Kalerwe-Kampala-24h'!F88,'27.07 Kalerwe-Kampala-24h'!F88)</f>
        <v>11</v>
      </c>
      <c r="G88" s="49">
        <f>AVERAGE('26.07 Kalerwe-Kampala-24h'!G88,'27.07 Kalerwe-Kampala-24h'!G88)</f>
        <v>1.5</v>
      </c>
      <c r="H88" s="49">
        <f>AVERAGE('26.07 Kalerwe-Kampala-24h'!H88,'27.07 Kalerwe-Kampala-24h'!H88)</f>
        <v>2.5</v>
      </c>
      <c r="I88" s="49">
        <f>AVERAGE('26.07 Kalerwe-Kampala-24h'!I88,'27.07 Kalerwe-Kampala-24h'!I88)</f>
        <v>8</v>
      </c>
      <c r="J88" s="49">
        <f>AVERAGE('26.07 Kalerwe-Kampala-24h'!J88,'27.07 Kalerwe-Kampala-24h'!J88)</f>
        <v>6</v>
      </c>
      <c r="K88" s="49">
        <f>AVERAGE('26.07 Kalerwe-Kampala-24h'!K88,'27.07 Kalerwe-Kampala-24h'!K88)</f>
        <v>2</v>
      </c>
      <c r="L88" s="49">
        <f>AVERAGE('26.07 Kalerwe-Kampala-24h'!L88,'27.07 Kalerwe-Kampala-24h'!L88)</f>
        <v>0</v>
      </c>
      <c r="M88" s="49">
        <f>AVERAGE('26.07 Kalerwe-Kampala-24h'!M88,'27.07 Kalerwe-Kampala-24h'!M88)</f>
        <v>30</v>
      </c>
      <c r="N88" s="49">
        <f>AVERAGE('26.07 Kalerwe-Kampala-24h'!N88,'27.07 Kalerwe-Kampala-24h'!N88)</f>
        <v>0</v>
      </c>
      <c r="O88" s="15">
        <f t="shared" si="35"/>
        <v>60</v>
      </c>
      <c r="P88" s="15">
        <f t="shared" si="36"/>
        <v>90</v>
      </c>
      <c r="R88" s="8"/>
      <c r="T88"/>
    </row>
    <row r="89" spans="2:20" ht="23.1" customHeight="1" x14ac:dyDescent="0.25">
      <c r="B89" s="23" t="s">
        <v>129</v>
      </c>
      <c r="C89" s="49">
        <f>AVERAGE('26.07 Kalerwe-Kampala-24h'!C89,'27.07 Kalerwe-Kampala-24h'!C89)</f>
        <v>15</v>
      </c>
      <c r="D89" s="49">
        <f>AVERAGE('26.07 Kalerwe-Kampala-24h'!D89,'27.07 Kalerwe-Kampala-24h'!D89)</f>
        <v>0.5</v>
      </c>
      <c r="E89" s="49">
        <f>AVERAGE('26.07 Kalerwe-Kampala-24h'!E89,'27.07 Kalerwe-Kampala-24h'!E89)</f>
        <v>1</v>
      </c>
      <c r="F89" s="49">
        <f>AVERAGE('26.07 Kalerwe-Kampala-24h'!F89,'27.07 Kalerwe-Kampala-24h'!F89)</f>
        <v>10</v>
      </c>
      <c r="G89" s="49">
        <f>AVERAGE('26.07 Kalerwe-Kampala-24h'!G89,'27.07 Kalerwe-Kampala-24h'!G89)</f>
        <v>0.5</v>
      </c>
      <c r="H89" s="49">
        <f>AVERAGE('26.07 Kalerwe-Kampala-24h'!H89,'27.07 Kalerwe-Kampala-24h'!H89)</f>
        <v>0</v>
      </c>
      <c r="I89" s="49">
        <f>AVERAGE('26.07 Kalerwe-Kampala-24h'!I89,'27.07 Kalerwe-Kampala-24h'!I89)</f>
        <v>2</v>
      </c>
      <c r="J89" s="49">
        <f>AVERAGE('26.07 Kalerwe-Kampala-24h'!J89,'27.07 Kalerwe-Kampala-24h'!J89)</f>
        <v>5</v>
      </c>
      <c r="K89" s="49">
        <f>AVERAGE('26.07 Kalerwe-Kampala-24h'!K89,'27.07 Kalerwe-Kampala-24h'!K89)</f>
        <v>4</v>
      </c>
      <c r="L89" s="49">
        <f>AVERAGE('26.07 Kalerwe-Kampala-24h'!L89,'27.07 Kalerwe-Kampala-24h'!L89)</f>
        <v>0</v>
      </c>
      <c r="M89" s="49">
        <f>AVERAGE('26.07 Kalerwe-Kampala-24h'!M89,'27.07 Kalerwe-Kampala-24h'!M89)</f>
        <v>37.5</v>
      </c>
      <c r="N89" s="49">
        <f>AVERAGE('26.07 Kalerwe-Kampala-24h'!N89,'27.07 Kalerwe-Kampala-24h'!N89)</f>
        <v>0</v>
      </c>
      <c r="O89" s="15">
        <f t="shared" si="35"/>
        <v>38</v>
      </c>
      <c r="P89" s="15">
        <f t="shared" si="36"/>
        <v>75.5</v>
      </c>
      <c r="R89" s="8"/>
      <c r="T89"/>
    </row>
    <row r="90" spans="2:20" ht="23.1" customHeight="1" x14ac:dyDescent="0.25">
      <c r="B90" s="24" t="s">
        <v>130</v>
      </c>
      <c r="C90" s="49">
        <f>AVERAGE('26.07 Kalerwe-Kampala-24h'!C90,'27.07 Kalerwe-Kampala-24h'!C90)</f>
        <v>15</v>
      </c>
      <c r="D90" s="49">
        <f>AVERAGE('26.07 Kalerwe-Kampala-24h'!D90,'27.07 Kalerwe-Kampala-24h'!D90)</f>
        <v>1</v>
      </c>
      <c r="E90" s="49">
        <f>AVERAGE('26.07 Kalerwe-Kampala-24h'!E90,'27.07 Kalerwe-Kampala-24h'!E90)</f>
        <v>1.5</v>
      </c>
      <c r="F90" s="49">
        <f>AVERAGE('26.07 Kalerwe-Kampala-24h'!F90,'27.07 Kalerwe-Kampala-24h'!F90)</f>
        <v>20</v>
      </c>
      <c r="G90" s="49">
        <f>AVERAGE('26.07 Kalerwe-Kampala-24h'!G90,'27.07 Kalerwe-Kampala-24h'!G90)</f>
        <v>2</v>
      </c>
      <c r="H90" s="49">
        <f>AVERAGE('26.07 Kalerwe-Kampala-24h'!H90,'27.07 Kalerwe-Kampala-24h'!H90)</f>
        <v>7.5</v>
      </c>
      <c r="I90" s="49">
        <f>AVERAGE('26.07 Kalerwe-Kampala-24h'!I90,'27.07 Kalerwe-Kampala-24h'!I90)</f>
        <v>2.5</v>
      </c>
      <c r="J90" s="49">
        <f>AVERAGE('26.07 Kalerwe-Kampala-24h'!J90,'27.07 Kalerwe-Kampala-24h'!J90)</f>
        <v>4</v>
      </c>
      <c r="K90" s="49">
        <f>AVERAGE('26.07 Kalerwe-Kampala-24h'!K90,'27.07 Kalerwe-Kampala-24h'!K90)</f>
        <v>2.5</v>
      </c>
      <c r="L90" s="49">
        <f>AVERAGE('26.07 Kalerwe-Kampala-24h'!L90,'27.07 Kalerwe-Kampala-24h'!L90)</f>
        <v>0</v>
      </c>
      <c r="M90" s="49">
        <f>AVERAGE('26.07 Kalerwe-Kampala-24h'!M90,'27.07 Kalerwe-Kampala-24h'!M90)</f>
        <v>30</v>
      </c>
      <c r="N90" s="49">
        <f>AVERAGE('26.07 Kalerwe-Kampala-24h'!N90,'27.07 Kalerwe-Kampala-24h'!N90)</f>
        <v>0</v>
      </c>
      <c r="O90" s="15">
        <f t="shared" si="35"/>
        <v>56</v>
      </c>
      <c r="P90" s="15">
        <f t="shared" si="36"/>
        <v>86</v>
      </c>
      <c r="R90" s="8"/>
      <c r="T90"/>
    </row>
    <row r="91" spans="2:20" ht="23.1" customHeight="1" x14ac:dyDescent="0.25">
      <c r="B91" s="23" t="s">
        <v>131</v>
      </c>
      <c r="C91" s="49">
        <f>AVERAGE('26.07 Kalerwe-Kampala-24h'!C91,'27.07 Kalerwe-Kampala-24h'!C91)</f>
        <v>17.5</v>
      </c>
      <c r="D91" s="49">
        <f>AVERAGE('26.07 Kalerwe-Kampala-24h'!D91,'27.07 Kalerwe-Kampala-24h'!D91)</f>
        <v>2</v>
      </c>
      <c r="E91" s="49">
        <f>AVERAGE('26.07 Kalerwe-Kampala-24h'!E91,'27.07 Kalerwe-Kampala-24h'!E91)</f>
        <v>3.5</v>
      </c>
      <c r="F91" s="49">
        <f>AVERAGE('26.07 Kalerwe-Kampala-24h'!F91,'27.07 Kalerwe-Kampala-24h'!F91)</f>
        <v>8.5</v>
      </c>
      <c r="G91" s="49">
        <f>AVERAGE('26.07 Kalerwe-Kampala-24h'!G91,'27.07 Kalerwe-Kampala-24h'!G91)</f>
        <v>5.5</v>
      </c>
      <c r="H91" s="49">
        <f>AVERAGE('26.07 Kalerwe-Kampala-24h'!H91,'27.07 Kalerwe-Kampala-24h'!H91)</f>
        <v>2.5</v>
      </c>
      <c r="I91" s="49">
        <f>AVERAGE('26.07 Kalerwe-Kampala-24h'!I91,'27.07 Kalerwe-Kampala-24h'!I91)</f>
        <v>7</v>
      </c>
      <c r="J91" s="49">
        <f>AVERAGE('26.07 Kalerwe-Kampala-24h'!J91,'27.07 Kalerwe-Kampala-24h'!J91)</f>
        <v>2.5</v>
      </c>
      <c r="K91" s="49">
        <f>AVERAGE('26.07 Kalerwe-Kampala-24h'!K91,'27.07 Kalerwe-Kampala-24h'!K91)</f>
        <v>1</v>
      </c>
      <c r="L91" s="49">
        <f>AVERAGE('26.07 Kalerwe-Kampala-24h'!L91,'27.07 Kalerwe-Kampala-24h'!L91)</f>
        <v>0</v>
      </c>
      <c r="M91" s="49">
        <f>AVERAGE('26.07 Kalerwe-Kampala-24h'!M91,'27.07 Kalerwe-Kampala-24h'!M91)</f>
        <v>22.5</v>
      </c>
      <c r="N91" s="49">
        <f>AVERAGE('26.07 Kalerwe-Kampala-24h'!N91,'27.07 Kalerwe-Kampala-24h'!N91)</f>
        <v>0</v>
      </c>
      <c r="O91" s="15">
        <f t="shared" si="35"/>
        <v>50</v>
      </c>
      <c r="P91" s="15">
        <f t="shared" si="36"/>
        <v>72.5</v>
      </c>
      <c r="R91" s="8"/>
      <c r="T91"/>
    </row>
    <row r="92" spans="2:20" ht="23.1" customHeight="1" x14ac:dyDescent="0.25">
      <c r="B92" s="25" t="s">
        <v>132</v>
      </c>
      <c r="C92" s="49">
        <f>AVERAGE('26.07 Kalerwe-Kampala-24h'!C92,'27.07 Kalerwe-Kampala-24h'!C92)</f>
        <v>20.5</v>
      </c>
      <c r="D92" s="49">
        <f>AVERAGE('26.07 Kalerwe-Kampala-24h'!D92,'27.07 Kalerwe-Kampala-24h'!D92)</f>
        <v>1.5</v>
      </c>
      <c r="E92" s="49">
        <f>AVERAGE('26.07 Kalerwe-Kampala-24h'!E92,'27.07 Kalerwe-Kampala-24h'!E92)</f>
        <v>6</v>
      </c>
      <c r="F92" s="49">
        <f>AVERAGE('26.07 Kalerwe-Kampala-24h'!F92,'27.07 Kalerwe-Kampala-24h'!F92)</f>
        <v>6</v>
      </c>
      <c r="G92" s="49">
        <f>AVERAGE('26.07 Kalerwe-Kampala-24h'!G92,'27.07 Kalerwe-Kampala-24h'!G92)</f>
        <v>1</v>
      </c>
      <c r="H92" s="49">
        <f>AVERAGE('26.07 Kalerwe-Kampala-24h'!H92,'27.07 Kalerwe-Kampala-24h'!H92)</f>
        <v>0</v>
      </c>
      <c r="I92" s="49">
        <f>AVERAGE('26.07 Kalerwe-Kampala-24h'!I92,'27.07 Kalerwe-Kampala-24h'!I92)</f>
        <v>1</v>
      </c>
      <c r="J92" s="49">
        <f>AVERAGE('26.07 Kalerwe-Kampala-24h'!J92,'27.07 Kalerwe-Kampala-24h'!J92)</f>
        <v>5</v>
      </c>
      <c r="K92" s="49">
        <f>AVERAGE('26.07 Kalerwe-Kampala-24h'!K92,'27.07 Kalerwe-Kampala-24h'!K92)</f>
        <v>1.5</v>
      </c>
      <c r="L92" s="49">
        <f>AVERAGE('26.07 Kalerwe-Kampala-24h'!L92,'27.07 Kalerwe-Kampala-24h'!L92)</f>
        <v>0.5</v>
      </c>
      <c r="M92" s="49">
        <f>AVERAGE('26.07 Kalerwe-Kampala-24h'!M92,'27.07 Kalerwe-Kampala-24h'!M92)</f>
        <v>21.5</v>
      </c>
      <c r="N92" s="49">
        <f>AVERAGE('26.07 Kalerwe-Kampala-24h'!N92,'27.07 Kalerwe-Kampala-24h'!N92)</f>
        <v>0</v>
      </c>
      <c r="O92" s="15">
        <f t="shared" si="35"/>
        <v>43</v>
      </c>
      <c r="P92" s="15">
        <f t="shared" si="36"/>
        <v>64.5</v>
      </c>
      <c r="R92" s="8"/>
      <c r="T92"/>
    </row>
    <row r="93" spans="2:20" ht="23.1" customHeight="1" x14ac:dyDescent="0.25">
      <c r="B93" s="23" t="s">
        <v>133</v>
      </c>
      <c r="C93" s="49">
        <f>AVERAGE('26.07 Kalerwe-Kampala-24h'!C93,'27.07 Kalerwe-Kampala-24h'!C93)</f>
        <v>12</v>
      </c>
      <c r="D93" s="49">
        <f>AVERAGE('26.07 Kalerwe-Kampala-24h'!D93,'27.07 Kalerwe-Kampala-24h'!D93)</f>
        <v>0.5</v>
      </c>
      <c r="E93" s="49">
        <f>AVERAGE('26.07 Kalerwe-Kampala-24h'!E93,'27.07 Kalerwe-Kampala-24h'!E93)</f>
        <v>3.5</v>
      </c>
      <c r="F93" s="49">
        <f>AVERAGE('26.07 Kalerwe-Kampala-24h'!F93,'27.07 Kalerwe-Kampala-24h'!F93)</f>
        <v>2.5</v>
      </c>
      <c r="G93" s="49">
        <f>AVERAGE('26.07 Kalerwe-Kampala-24h'!G93,'27.07 Kalerwe-Kampala-24h'!G93)</f>
        <v>0</v>
      </c>
      <c r="H93" s="49">
        <f>AVERAGE('26.07 Kalerwe-Kampala-24h'!H93,'27.07 Kalerwe-Kampala-24h'!H93)</f>
        <v>1.5</v>
      </c>
      <c r="I93" s="49">
        <f>AVERAGE('26.07 Kalerwe-Kampala-24h'!I93,'27.07 Kalerwe-Kampala-24h'!I93)</f>
        <v>0.5</v>
      </c>
      <c r="J93" s="49">
        <f>AVERAGE('26.07 Kalerwe-Kampala-24h'!J93,'27.07 Kalerwe-Kampala-24h'!J93)</f>
        <v>0.5</v>
      </c>
      <c r="K93" s="49">
        <f>AVERAGE('26.07 Kalerwe-Kampala-24h'!K93,'27.07 Kalerwe-Kampala-24h'!K93)</f>
        <v>1.5</v>
      </c>
      <c r="L93" s="49">
        <f>AVERAGE('26.07 Kalerwe-Kampala-24h'!L93,'27.07 Kalerwe-Kampala-24h'!L93)</f>
        <v>0.5</v>
      </c>
      <c r="M93" s="49">
        <f>AVERAGE('26.07 Kalerwe-Kampala-24h'!M93,'27.07 Kalerwe-Kampala-24h'!M93)</f>
        <v>26</v>
      </c>
      <c r="N93" s="49">
        <f>AVERAGE('26.07 Kalerwe-Kampala-24h'!N93,'27.07 Kalerwe-Kampala-24h'!N93)</f>
        <v>0</v>
      </c>
      <c r="O93" s="15">
        <f t="shared" si="35"/>
        <v>23</v>
      </c>
      <c r="P93" s="15">
        <f t="shared" si="36"/>
        <v>49</v>
      </c>
      <c r="R93" s="8"/>
      <c r="T93"/>
    </row>
    <row r="94" spans="2:20" ht="23.1" customHeight="1" x14ac:dyDescent="0.25">
      <c r="B94" s="24" t="s">
        <v>134</v>
      </c>
      <c r="C94" s="49">
        <f>AVERAGE('26.07 Kalerwe-Kampala-24h'!C94,'27.07 Kalerwe-Kampala-24h'!C94)</f>
        <v>4</v>
      </c>
      <c r="D94" s="49">
        <f>AVERAGE('26.07 Kalerwe-Kampala-24h'!D94,'27.07 Kalerwe-Kampala-24h'!D94)</f>
        <v>0.5</v>
      </c>
      <c r="E94" s="49">
        <f>AVERAGE('26.07 Kalerwe-Kampala-24h'!E94,'27.07 Kalerwe-Kampala-24h'!E94)</f>
        <v>1</v>
      </c>
      <c r="F94" s="49">
        <f>AVERAGE('26.07 Kalerwe-Kampala-24h'!F94,'27.07 Kalerwe-Kampala-24h'!F94)</f>
        <v>7.5</v>
      </c>
      <c r="G94" s="49">
        <f>AVERAGE('26.07 Kalerwe-Kampala-24h'!G94,'27.07 Kalerwe-Kampala-24h'!G94)</f>
        <v>0.5</v>
      </c>
      <c r="H94" s="49">
        <f>AVERAGE('26.07 Kalerwe-Kampala-24h'!H94,'27.07 Kalerwe-Kampala-24h'!H94)</f>
        <v>0</v>
      </c>
      <c r="I94" s="49">
        <f>AVERAGE('26.07 Kalerwe-Kampala-24h'!I94,'27.07 Kalerwe-Kampala-24h'!I94)</f>
        <v>2.5</v>
      </c>
      <c r="J94" s="49">
        <f>AVERAGE('26.07 Kalerwe-Kampala-24h'!J94,'27.07 Kalerwe-Kampala-24h'!J94)</f>
        <v>1.5</v>
      </c>
      <c r="K94" s="49">
        <f>AVERAGE('26.07 Kalerwe-Kampala-24h'!K94,'27.07 Kalerwe-Kampala-24h'!K94)</f>
        <v>0</v>
      </c>
      <c r="L94" s="49">
        <f>AVERAGE('26.07 Kalerwe-Kampala-24h'!L94,'27.07 Kalerwe-Kampala-24h'!L94)</f>
        <v>0</v>
      </c>
      <c r="M94" s="49">
        <f>AVERAGE('26.07 Kalerwe-Kampala-24h'!M94,'27.07 Kalerwe-Kampala-24h'!M94)</f>
        <v>13</v>
      </c>
      <c r="N94" s="49">
        <f>AVERAGE('26.07 Kalerwe-Kampala-24h'!N94,'27.07 Kalerwe-Kampala-24h'!N94)</f>
        <v>0</v>
      </c>
      <c r="O94" s="15">
        <f t="shared" si="35"/>
        <v>17.5</v>
      </c>
      <c r="P94" s="15">
        <f t="shared" si="36"/>
        <v>30.5</v>
      </c>
      <c r="R94" s="8"/>
      <c r="T94"/>
    </row>
    <row r="95" spans="2:20" ht="23.1" customHeight="1" x14ac:dyDescent="0.25">
      <c r="B95" s="23" t="s">
        <v>135</v>
      </c>
      <c r="C95" s="49">
        <f>AVERAGE('26.07 Kalerwe-Kampala-24h'!C95,'27.07 Kalerwe-Kampala-24h'!C95)</f>
        <v>4.5</v>
      </c>
      <c r="D95" s="49">
        <f>AVERAGE('26.07 Kalerwe-Kampala-24h'!D95,'27.07 Kalerwe-Kampala-24h'!D95)</f>
        <v>0.5</v>
      </c>
      <c r="E95" s="49">
        <f>AVERAGE('26.07 Kalerwe-Kampala-24h'!E95,'27.07 Kalerwe-Kampala-24h'!E95)</f>
        <v>1</v>
      </c>
      <c r="F95" s="49">
        <f>AVERAGE('26.07 Kalerwe-Kampala-24h'!F95,'27.07 Kalerwe-Kampala-24h'!F95)</f>
        <v>7</v>
      </c>
      <c r="G95" s="49">
        <f>AVERAGE('26.07 Kalerwe-Kampala-24h'!G95,'27.07 Kalerwe-Kampala-24h'!G95)</f>
        <v>0.5</v>
      </c>
      <c r="H95" s="49">
        <f>AVERAGE('26.07 Kalerwe-Kampala-24h'!H95,'27.07 Kalerwe-Kampala-24h'!H95)</f>
        <v>0.5</v>
      </c>
      <c r="I95" s="49">
        <f>AVERAGE('26.07 Kalerwe-Kampala-24h'!I95,'27.07 Kalerwe-Kampala-24h'!I95)</f>
        <v>1.5</v>
      </c>
      <c r="J95" s="49">
        <f>AVERAGE('26.07 Kalerwe-Kampala-24h'!J95,'27.07 Kalerwe-Kampala-24h'!J95)</f>
        <v>4</v>
      </c>
      <c r="K95" s="49">
        <f>AVERAGE('26.07 Kalerwe-Kampala-24h'!K95,'27.07 Kalerwe-Kampala-24h'!K95)</f>
        <v>0</v>
      </c>
      <c r="L95" s="49">
        <f>AVERAGE('26.07 Kalerwe-Kampala-24h'!L95,'27.07 Kalerwe-Kampala-24h'!L95)</f>
        <v>0</v>
      </c>
      <c r="M95" s="49">
        <f>AVERAGE('26.07 Kalerwe-Kampala-24h'!M95,'27.07 Kalerwe-Kampala-24h'!M95)</f>
        <v>20.5</v>
      </c>
      <c r="N95" s="49">
        <f>AVERAGE('26.07 Kalerwe-Kampala-24h'!N95,'27.07 Kalerwe-Kampala-24h'!N95)</f>
        <v>0</v>
      </c>
      <c r="O95" s="15">
        <f t="shared" si="35"/>
        <v>19.5</v>
      </c>
      <c r="P95" s="15">
        <f t="shared" si="36"/>
        <v>40</v>
      </c>
      <c r="R95" s="8"/>
      <c r="T95"/>
    </row>
    <row r="96" spans="2:20" ht="23.1" customHeight="1" x14ac:dyDescent="0.25">
      <c r="B96" s="25" t="s">
        <v>136</v>
      </c>
      <c r="C96" s="49">
        <f>AVERAGE('26.07 Kalerwe-Kampala-24h'!C96,'27.07 Kalerwe-Kampala-24h'!C96)</f>
        <v>5.5</v>
      </c>
      <c r="D96" s="49">
        <f>AVERAGE('26.07 Kalerwe-Kampala-24h'!D96,'27.07 Kalerwe-Kampala-24h'!D96)</f>
        <v>0</v>
      </c>
      <c r="E96" s="49">
        <f>AVERAGE('26.07 Kalerwe-Kampala-24h'!E96,'27.07 Kalerwe-Kampala-24h'!E96)</f>
        <v>0</v>
      </c>
      <c r="F96" s="49">
        <f>AVERAGE('26.07 Kalerwe-Kampala-24h'!F96,'27.07 Kalerwe-Kampala-24h'!F96)</f>
        <v>4</v>
      </c>
      <c r="G96" s="49">
        <f>AVERAGE('26.07 Kalerwe-Kampala-24h'!G96,'27.07 Kalerwe-Kampala-24h'!G96)</f>
        <v>0</v>
      </c>
      <c r="H96" s="49">
        <f>AVERAGE('26.07 Kalerwe-Kampala-24h'!H96,'27.07 Kalerwe-Kampala-24h'!H96)</f>
        <v>0</v>
      </c>
      <c r="I96" s="49">
        <f>AVERAGE('26.07 Kalerwe-Kampala-24h'!I96,'27.07 Kalerwe-Kampala-24h'!I96)</f>
        <v>0.5</v>
      </c>
      <c r="J96" s="49">
        <f>AVERAGE('26.07 Kalerwe-Kampala-24h'!J96,'27.07 Kalerwe-Kampala-24h'!J96)</f>
        <v>0.5</v>
      </c>
      <c r="K96" s="49">
        <f>AVERAGE('26.07 Kalerwe-Kampala-24h'!K96,'27.07 Kalerwe-Kampala-24h'!K96)</f>
        <v>1</v>
      </c>
      <c r="L96" s="49">
        <f>AVERAGE('26.07 Kalerwe-Kampala-24h'!L96,'27.07 Kalerwe-Kampala-24h'!L96)</f>
        <v>0</v>
      </c>
      <c r="M96" s="49">
        <f>AVERAGE('26.07 Kalerwe-Kampala-24h'!M96,'27.07 Kalerwe-Kampala-24h'!M96)</f>
        <v>11.5</v>
      </c>
      <c r="N96" s="49">
        <f>AVERAGE('26.07 Kalerwe-Kampala-24h'!N96,'27.07 Kalerwe-Kampala-24h'!N96)</f>
        <v>0</v>
      </c>
      <c r="O96" s="15">
        <f t="shared" si="35"/>
        <v>11.5</v>
      </c>
      <c r="P96" s="15">
        <f t="shared" si="36"/>
        <v>23</v>
      </c>
      <c r="R96" s="8"/>
      <c r="T96"/>
    </row>
    <row r="97" spans="2:20" ht="23.1" customHeight="1" x14ac:dyDescent="0.25">
      <c r="B97" s="23" t="s">
        <v>137</v>
      </c>
      <c r="C97" s="49">
        <f>AVERAGE('26.07 Kalerwe-Kampala-24h'!C97,'27.07 Kalerwe-Kampala-24h'!C97)</f>
        <v>14</v>
      </c>
      <c r="D97" s="49">
        <f>AVERAGE('26.07 Kalerwe-Kampala-24h'!D97,'27.07 Kalerwe-Kampala-24h'!D97)</f>
        <v>0</v>
      </c>
      <c r="E97" s="49">
        <f>AVERAGE('26.07 Kalerwe-Kampala-24h'!E97,'27.07 Kalerwe-Kampala-24h'!E97)</f>
        <v>0.5</v>
      </c>
      <c r="F97" s="49">
        <f>AVERAGE('26.07 Kalerwe-Kampala-24h'!F97,'27.07 Kalerwe-Kampala-24h'!F97)</f>
        <v>11.5</v>
      </c>
      <c r="G97" s="49">
        <f>AVERAGE('26.07 Kalerwe-Kampala-24h'!G97,'27.07 Kalerwe-Kampala-24h'!G97)</f>
        <v>0</v>
      </c>
      <c r="H97" s="49">
        <f>AVERAGE('26.07 Kalerwe-Kampala-24h'!H97,'27.07 Kalerwe-Kampala-24h'!H97)</f>
        <v>0</v>
      </c>
      <c r="I97" s="49">
        <f>AVERAGE('26.07 Kalerwe-Kampala-24h'!I97,'27.07 Kalerwe-Kampala-24h'!I97)</f>
        <v>1.5</v>
      </c>
      <c r="J97" s="49">
        <f>AVERAGE('26.07 Kalerwe-Kampala-24h'!J97,'27.07 Kalerwe-Kampala-24h'!J97)</f>
        <v>1.5</v>
      </c>
      <c r="K97" s="49">
        <f>AVERAGE('26.07 Kalerwe-Kampala-24h'!K97,'27.07 Kalerwe-Kampala-24h'!K97)</f>
        <v>1.5</v>
      </c>
      <c r="L97" s="49">
        <f>AVERAGE('26.07 Kalerwe-Kampala-24h'!L97,'27.07 Kalerwe-Kampala-24h'!L97)</f>
        <v>0</v>
      </c>
      <c r="M97" s="49">
        <f>AVERAGE('26.07 Kalerwe-Kampala-24h'!M97,'27.07 Kalerwe-Kampala-24h'!M97)</f>
        <v>14</v>
      </c>
      <c r="N97" s="49">
        <f>AVERAGE('26.07 Kalerwe-Kampala-24h'!N97,'27.07 Kalerwe-Kampala-24h'!N97)</f>
        <v>0</v>
      </c>
      <c r="O97" s="15">
        <f t="shared" si="35"/>
        <v>30.5</v>
      </c>
      <c r="P97" s="15">
        <f t="shared" si="36"/>
        <v>44.5</v>
      </c>
      <c r="R97" s="8"/>
      <c r="T97"/>
    </row>
    <row r="98" spans="2:20" ht="23.1" customHeight="1" x14ac:dyDescent="0.25">
      <c r="B98" s="24" t="s">
        <v>138</v>
      </c>
      <c r="C98" s="49">
        <f>AVERAGE('26.07 Kalerwe-Kampala-24h'!C98,'27.07 Kalerwe-Kampala-24h'!C98)</f>
        <v>11</v>
      </c>
      <c r="D98" s="49">
        <f>AVERAGE('26.07 Kalerwe-Kampala-24h'!D98,'27.07 Kalerwe-Kampala-24h'!D98)</f>
        <v>2</v>
      </c>
      <c r="E98" s="49">
        <f>AVERAGE('26.07 Kalerwe-Kampala-24h'!E98,'27.07 Kalerwe-Kampala-24h'!E98)</f>
        <v>3</v>
      </c>
      <c r="F98" s="49">
        <f>AVERAGE('26.07 Kalerwe-Kampala-24h'!F98,'27.07 Kalerwe-Kampala-24h'!F98)</f>
        <v>27.5</v>
      </c>
      <c r="G98" s="49">
        <f>AVERAGE('26.07 Kalerwe-Kampala-24h'!G98,'27.07 Kalerwe-Kampala-24h'!G98)</f>
        <v>1.5</v>
      </c>
      <c r="H98" s="49">
        <f>AVERAGE('26.07 Kalerwe-Kampala-24h'!H98,'27.07 Kalerwe-Kampala-24h'!H98)</f>
        <v>0.5</v>
      </c>
      <c r="I98" s="49">
        <f>AVERAGE('26.07 Kalerwe-Kampala-24h'!I98,'27.07 Kalerwe-Kampala-24h'!I98)</f>
        <v>6</v>
      </c>
      <c r="J98" s="49">
        <f>AVERAGE('26.07 Kalerwe-Kampala-24h'!J98,'27.07 Kalerwe-Kampala-24h'!J98)</f>
        <v>1.5</v>
      </c>
      <c r="K98" s="49">
        <f>AVERAGE('26.07 Kalerwe-Kampala-24h'!K98,'27.07 Kalerwe-Kampala-24h'!K98)</f>
        <v>2</v>
      </c>
      <c r="L98" s="49">
        <f>AVERAGE('26.07 Kalerwe-Kampala-24h'!L98,'27.07 Kalerwe-Kampala-24h'!L98)</f>
        <v>0</v>
      </c>
      <c r="M98" s="49">
        <f>AVERAGE('26.07 Kalerwe-Kampala-24h'!M98,'27.07 Kalerwe-Kampala-24h'!M98)</f>
        <v>35</v>
      </c>
      <c r="N98" s="49">
        <f>AVERAGE('26.07 Kalerwe-Kampala-24h'!N98,'27.07 Kalerwe-Kampala-24h'!N98)</f>
        <v>0</v>
      </c>
      <c r="O98" s="15">
        <f t="shared" si="35"/>
        <v>55</v>
      </c>
      <c r="P98" s="15">
        <f t="shared" si="36"/>
        <v>90</v>
      </c>
      <c r="R98" s="8"/>
      <c r="T98"/>
    </row>
    <row r="99" spans="2:20" ht="23.1" customHeight="1" x14ac:dyDescent="0.25">
      <c r="B99" s="23" t="s">
        <v>139</v>
      </c>
      <c r="C99" s="49">
        <f>AVERAGE('26.07 Kalerwe-Kampala-24h'!C99,'27.07 Kalerwe-Kampala-24h'!C99)</f>
        <v>30</v>
      </c>
      <c r="D99" s="49">
        <f>AVERAGE('26.07 Kalerwe-Kampala-24h'!D99,'27.07 Kalerwe-Kampala-24h'!D99)</f>
        <v>1</v>
      </c>
      <c r="E99" s="49">
        <f>AVERAGE('26.07 Kalerwe-Kampala-24h'!E99,'27.07 Kalerwe-Kampala-24h'!E99)</f>
        <v>1.5</v>
      </c>
      <c r="F99" s="49">
        <f>AVERAGE('26.07 Kalerwe-Kampala-24h'!F99,'27.07 Kalerwe-Kampala-24h'!F99)</f>
        <v>43</v>
      </c>
      <c r="G99" s="49">
        <f>AVERAGE('26.07 Kalerwe-Kampala-24h'!G99,'27.07 Kalerwe-Kampala-24h'!G99)</f>
        <v>0.5</v>
      </c>
      <c r="H99" s="49">
        <f>AVERAGE('26.07 Kalerwe-Kampala-24h'!H99,'27.07 Kalerwe-Kampala-24h'!H99)</f>
        <v>0</v>
      </c>
      <c r="I99" s="49">
        <f>AVERAGE('26.07 Kalerwe-Kampala-24h'!I99,'27.07 Kalerwe-Kampala-24h'!I99)</f>
        <v>3</v>
      </c>
      <c r="J99" s="49">
        <f>AVERAGE('26.07 Kalerwe-Kampala-24h'!J99,'27.07 Kalerwe-Kampala-24h'!J99)</f>
        <v>2</v>
      </c>
      <c r="K99" s="49">
        <f>AVERAGE('26.07 Kalerwe-Kampala-24h'!K99,'27.07 Kalerwe-Kampala-24h'!K99)</f>
        <v>0</v>
      </c>
      <c r="L99" s="49">
        <f>AVERAGE('26.07 Kalerwe-Kampala-24h'!L99,'27.07 Kalerwe-Kampala-24h'!L99)</f>
        <v>0</v>
      </c>
      <c r="M99" s="49">
        <f>AVERAGE('26.07 Kalerwe-Kampala-24h'!M99,'27.07 Kalerwe-Kampala-24h'!M99)</f>
        <v>33.5</v>
      </c>
      <c r="N99" s="49">
        <f>AVERAGE('26.07 Kalerwe-Kampala-24h'!N99,'27.07 Kalerwe-Kampala-24h'!N99)</f>
        <v>0.5</v>
      </c>
      <c r="O99" s="15">
        <f t="shared" si="35"/>
        <v>81.5</v>
      </c>
      <c r="P99" s="15">
        <f t="shared" si="36"/>
        <v>115</v>
      </c>
      <c r="R99" s="8"/>
      <c r="T99"/>
    </row>
    <row r="100" spans="2:20" ht="23.1" customHeight="1" x14ac:dyDescent="0.25">
      <c r="B100" s="25" t="s">
        <v>140</v>
      </c>
      <c r="C100" s="49">
        <f>AVERAGE('26.07 Kalerwe-Kampala-24h'!C100,'27.07 Kalerwe-Kampala-24h'!C100)</f>
        <v>18</v>
      </c>
      <c r="D100" s="49">
        <f>AVERAGE('26.07 Kalerwe-Kampala-24h'!D100,'27.07 Kalerwe-Kampala-24h'!D100)</f>
        <v>1.5</v>
      </c>
      <c r="E100" s="49">
        <f>AVERAGE('26.07 Kalerwe-Kampala-24h'!E100,'27.07 Kalerwe-Kampala-24h'!E100)</f>
        <v>2.5</v>
      </c>
      <c r="F100" s="49">
        <f>AVERAGE('26.07 Kalerwe-Kampala-24h'!F100,'27.07 Kalerwe-Kampala-24h'!F100)</f>
        <v>40</v>
      </c>
      <c r="G100" s="49">
        <f>AVERAGE('26.07 Kalerwe-Kampala-24h'!G100,'27.07 Kalerwe-Kampala-24h'!G100)</f>
        <v>0.5</v>
      </c>
      <c r="H100" s="49">
        <f>AVERAGE('26.07 Kalerwe-Kampala-24h'!H100,'27.07 Kalerwe-Kampala-24h'!H100)</f>
        <v>1</v>
      </c>
      <c r="I100" s="49">
        <f>AVERAGE('26.07 Kalerwe-Kampala-24h'!I100,'27.07 Kalerwe-Kampala-24h'!I100)</f>
        <v>4.5</v>
      </c>
      <c r="J100" s="49">
        <f>AVERAGE('26.07 Kalerwe-Kampala-24h'!J100,'27.07 Kalerwe-Kampala-24h'!J100)</f>
        <v>16.5</v>
      </c>
      <c r="K100" s="49">
        <f>AVERAGE('26.07 Kalerwe-Kampala-24h'!K100,'27.07 Kalerwe-Kampala-24h'!K100)</f>
        <v>3</v>
      </c>
      <c r="L100" s="49">
        <f>AVERAGE('26.07 Kalerwe-Kampala-24h'!L100,'27.07 Kalerwe-Kampala-24h'!L100)</f>
        <v>0.5</v>
      </c>
      <c r="M100" s="49">
        <f>AVERAGE('26.07 Kalerwe-Kampala-24h'!M100,'27.07 Kalerwe-Kampala-24h'!M100)</f>
        <v>25</v>
      </c>
      <c r="N100" s="49">
        <f>AVERAGE('26.07 Kalerwe-Kampala-24h'!N100,'27.07 Kalerwe-Kampala-24h'!N100)</f>
        <v>0</v>
      </c>
      <c r="O100" s="15">
        <f t="shared" si="35"/>
        <v>88</v>
      </c>
      <c r="P100" s="15">
        <f t="shared" si="36"/>
        <v>113</v>
      </c>
      <c r="R100" s="8"/>
      <c r="T100"/>
    </row>
    <row r="101" spans="2:20" ht="23.1" customHeight="1" x14ac:dyDescent="0.25">
      <c r="B101" s="23" t="s">
        <v>141</v>
      </c>
      <c r="C101" s="49">
        <f>AVERAGE('26.07 Kalerwe-Kampala-24h'!C101,'27.07 Kalerwe-Kampala-24h'!C101)</f>
        <v>16</v>
      </c>
      <c r="D101" s="49">
        <f>AVERAGE('26.07 Kalerwe-Kampala-24h'!D101,'27.07 Kalerwe-Kampala-24h'!D101)</f>
        <v>1</v>
      </c>
      <c r="E101" s="49">
        <f>AVERAGE('26.07 Kalerwe-Kampala-24h'!E101,'27.07 Kalerwe-Kampala-24h'!E101)</f>
        <v>1</v>
      </c>
      <c r="F101" s="49">
        <f>AVERAGE('26.07 Kalerwe-Kampala-24h'!F101,'27.07 Kalerwe-Kampala-24h'!F101)</f>
        <v>42.5</v>
      </c>
      <c r="G101" s="49">
        <f>AVERAGE('26.07 Kalerwe-Kampala-24h'!G101,'27.07 Kalerwe-Kampala-24h'!G101)</f>
        <v>1.5</v>
      </c>
      <c r="H101" s="49">
        <f>AVERAGE('26.07 Kalerwe-Kampala-24h'!H101,'27.07 Kalerwe-Kampala-24h'!H101)</f>
        <v>0.5</v>
      </c>
      <c r="I101" s="49">
        <f>AVERAGE('26.07 Kalerwe-Kampala-24h'!I101,'27.07 Kalerwe-Kampala-24h'!I101)</f>
        <v>6</v>
      </c>
      <c r="J101" s="49">
        <f>AVERAGE('26.07 Kalerwe-Kampala-24h'!J101,'27.07 Kalerwe-Kampala-24h'!J101)</f>
        <v>2</v>
      </c>
      <c r="K101" s="49">
        <f>AVERAGE('26.07 Kalerwe-Kampala-24h'!K101,'27.07 Kalerwe-Kampala-24h'!K101)</f>
        <v>0.5</v>
      </c>
      <c r="L101" s="49">
        <f>AVERAGE('26.07 Kalerwe-Kampala-24h'!L101,'27.07 Kalerwe-Kampala-24h'!L101)</f>
        <v>0</v>
      </c>
      <c r="M101" s="49">
        <f>AVERAGE('26.07 Kalerwe-Kampala-24h'!M101,'27.07 Kalerwe-Kampala-24h'!M101)</f>
        <v>25.5</v>
      </c>
      <c r="N101" s="49">
        <f>AVERAGE('26.07 Kalerwe-Kampala-24h'!N101,'27.07 Kalerwe-Kampala-24h'!N101)</f>
        <v>0</v>
      </c>
      <c r="O101" s="15">
        <f t="shared" si="35"/>
        <v>71</v>
      </c>
      <c r="P101" s="15">
        <f t="shared" si="36"/>
        <v>96.5</v>
      </c>
      <c r="R101" s="8"/>
      <c r="T101"/>
    </row>
    <row r="102" spans="2:20" ht="23.1" customHeight="1" x14ac:dyDescent="0.25">
      <c r="B102" s="24" t="s">
        <v>142</v>
      </c>
      <c r="C102" s="49">
        <f>AVERAGE('26.07 Kalerwe-Kampala-24h'!C102,'27.07 Kalerwe-Kampala-24h'!C102)</f>
        <v>13.5</v>
      </c>
      <c r="D102" s="49">
        <f>AVERAGE('26.07 Kalerwe-Kampala-24h'!D102,'27.07 Kalerwe-Kampala-24h'!D102)</f>
        <v>1</v>
      </c>
      <c r="E102" s="49">
        <f>AVERAGE('26.07 Kalerwe-Kampala-24h'!E102,'27.07 Kalerwe-Kampala-24h'!E102)</f>
        <v>6</v>
      </c>
      <c r="F102" s="49">
        <f>AVERAGE('26.07 Kalerwe-Kampala-24h'!F102,'27.07 Kalerwe-Kampala-24h'!F102)</f>
        <v>45</v>
      </c>
      <c r="G102" s="49">
        <f>AVERAGE('26.07 Kalerwe-Kampala-24h'!G102,'27.07 Kalerwe-Kampala-24h'!G102)</f>
        <v>2.5</v>
      </c>
      <c r="H102" s="49">
        <f>AVERAGE('26.07 Kalerwe-Kampala-24h'!H102,'27.07 Kalerwe-Kampala-24h'!H102)</f>
        <v>2</v>
      </c>
      <c r="I102" s="49">
        <f>AVERAGE('26.07 Kalerwe-Kampala-24h'!I102,'27.07 Kalerwe-Kampala-24h'!I102)</f>
        <v>10</v>
      </c>
      <c r="J102" s="49">
        <f>AVERAGE('26.07 Kalerwe-Kampala-24h'!J102,'27.07 Kalerwe-Kampala-24h'!J102)</f>
        <v>2.5</v>
      </c>
      <c r="K102" s="49">
        <f>AVERAGE('26.07 Kalerwe-Kampala-24h'!K102,'27.07 Kalerwe-Kampala-24h'!K102)</f>
        <v>2</v>
      </c>
      <c r="L102" s="49">
        <f>AVERAGE('26.07 Kalerwe-Kampala-24h'!L102,'27.07 Kalerwe-Kampala-24h'!L102)</f>
        <v>0</v>
      </c>
      <c r="M102" s="49">
        <f>AVERAGE('26.07 Kalerwe-Kampala-24h'!M102,'27.07 Kalerwe-Kampala-24h'!M102)</f>
        <v>57.5</v>
      </c>
      <c r="N102" s="49">
        <f>AVERAGE('26.07 Kalerwe-Kampala-24h'!N102,'27.07 Kalerwe-Kampala-24h'!N102)</f>
        <v>0</v>
      </c>
      <c r="O102" s="15">
        <f t="shared" si="35"/>
        <v>84.5</v>
      </c>
      <c r="P102" s="15">
        <f t="shared" si="36"/>
        <v>142</v>
      </c>
      <c r="R102" s="8"/>
      <c r="T102"/>
    </row>
    <row r="103" spans="2:20" ht="23.1" customHeight="1" x14ac:dyDescent="0.25">
      <c r="B103" s="23" t="s">
        <v>143</v>
      </c>
      <c r="C103" s="49">
        <f>AVERAGE('26.07 Kalerwe-Kampala-24h'!C103,'27.07 Kalerwe-Kampala-24h'!C103)</f>
        <v>13</v>
      </c>
      <c r="D103" s="49">
        <f>AVERAGE('26.07 Kalerwe-Kampala-24h'!D103,'27.07 Kalerwe-Kampala-24h'!D103)</f>
        <v>3</v>
      </c>
      <c r="E103" s="49">
        <f>AVERAGE('26.07 Kalerwe-Kampala-24h'!E103,'27.07 Kalerwe-Kampala-24h'!E103)</f>
        <v>2</v>
      </c>
      <c r="F103" s="49">
        <f>AVERAGE('26.07 Kalerwe-Kampala-24h'!F103,'27.07 Kalerwe-Kampala-24h'!F103)</f>
        <v>66</v>
      </c>
      <c r="G103" s="49">
        <f>AVERAGE('26.07 Kalerwe-Kampala-24h'!G103,'27.07 Kalerwe-Kampala-24h'!G103)</f>
        <v>7.5</v>
      </c>
      <c r="H103" s="49">
        <f>AVERAGE('26.07 Kalerwe-Kampala-24h'!H103,'27.07 Kalerwe-Kampala-24h'!H103)</f>
        <v>1</v>
      </c>
      <c r="I103" s="49">
        <f>AVERAGE('26.07 Kalerwe-Kampala-24h'!I103,'27.07 Kalerwe-Kampala-24h'!I103)</f>
        <v>6.5</v>
      </c>
      <c r="J103" s="49">
        <f>AVERAGE('26.07 Kalerwe-Kampala-24h'!J103,'27.07 Kalerwe-Kampala-24h'!J103)</f>
        <v>2.5</v>
      </c>
      <c r="K103" s="49">
        <f>AVERAGE('26.07 Kalerwe-Kampala-24h'!K103,'27.07 Kalerwe-Kampala-24h'!K103)</f>
        <v>0.5</v>
      </c>
      <c r="L103" s="49">
        <f>AVERAGE('26.07 Kalerwe-Kampala-24h'!L103,'27.07 Kalerwe-Kampala-24h'!L103)</f>
        <v>0</v>
      </c>
      <c r="M103" s="49">
        <f>AVERAGE('26.07 Kalerwe-Kampala-24h'!M103,'27.07 Kalerwe-Kampala-24h'!M103)</f>
        <v>47.5</v>
      </c>
      <c r="N103" s="49">
        <f>AVERAGE('26.07 Kalerwe-Kampala-24h'!N103,'27.07 Kalerwe-Kampala-24h'!N103)</f>
        <v>0</v>
      </c>
      <c r="O103" s="15">
        <f t="shared" si="35"/>
        <v>102</v>
      </c>
      <c r="P103" s="15">
        <f t="shared" si="36"/>
        <v>149.5</v>
      </c>
      <c r="R103" s="8"/>
      <c r="T103"/>
    </row>
    <row r="104" spans="2:20" ht="23.1" customHeight="1" x14ac:dyDescent="0.25">
      <c r="B104" s="25" t="s">
        <v>144</v>
      </c>
      <c r="C104" s="49">
        <f>AVERAGE('26.07 Kalerwe-Kampala-24h'!C104,'27.07 Kalerwe-Kampala-24h'!C104)</f>
        <v>27.5</v>
      </c>
      <c r="D104" s="49">
        <f>AVERAGE('26.07 Kalerwe-Kampala-24h'!D104,'27.07 Kalerwe-Kampala-24h'!D104)</f>
        <v>1</v>
      </c>
      <c r="E104" s="49">
        <f>AVERAGE('26.07 Kalerwe-Kampala-24h'!E104,'27.07 Kalerwe-Kampala-24h'!E104)</f>
        <v>5</v>
      </c>
      <c r="F104" s="49">
        <f>AVERAGE('26.07 Kalerwe-Kampala-24h'!F104,'27.07 Kalerwe-Kampala-24h'!F104)</f>
        <v>50.5</v>
      </c>
      <c r="G104" s="49">
        <f>AVERAGE('26.07 Kalerwe-Kampala-24h'!G104,'27.07 Kalerwe-Kampala-24h'!G104)</f>
        <v>4</v>
      </c>
      <c r="H104" s="49">
        <f>AVERAGE('26.07 Kalerwe-Kampala-24h'!H104,'27.07 Kalerwe-Kampala-24h'!H104)</f>
        <v>1</v>
      </c>
      <c r="I104" s="49">
        <f>AVERAGE('26.07 Kalerwe-Kampala-24h'!I104,'27.07 Kalerwe-Kampala-24h'!I104)</f>
        <v>12</v>
      </c>
      <c r="J104" s="49">
        <f>AVERAGE('26.07 Kalerwe-Kampala-24h'!J104,'27.07 Kalerwe-Kampala-24h'!J104)</f>
        <v>11</v>
      </c>
      <c r="K104" s="49">
        <f>AVERAGE('26.07 Kalerwe-Kampala-24h'!K104,'27.07 Kalerwe-Kampala-24h'!K104)</f>
        <v>2.5</v>
      </c>
      <c r="L104" s="49">
        <f>AVERAGE('26.07 Kalerwe-Kampala-24h'!L104,'27.07 Kalerwe-Kampala-24h'!L104)</f>
        <v>0.5</v>
      </c>
      <c r="M104" s="49">
        <f>AVERAGE('26.07 Kalerwe-Kampala-24h'!M104,'27.07 Kalerwe-Kampala-24h'!M104)</f>
        <v>73.5</v>
      </c>
      <c r="N104" s="49">
        <f>AVERAGE('26.07 Kalerwe-Kampala-24h'!N104,'27.07 Kalerwe-Kampala-24h'!N104)</f>
        <v>0</v>
      </c>
      <c r="O104" s="15">
        <f t="shared" si="35"/>
        <v>115</v>
      </c>
      <c r="P104" s="15">
        <f t="shared" si="36"/>
        <v>188.5</v>
      </c>
      <c r="R104" s="8"/>
      <c r="T104"/>
    </row>
    <row r="105" spans="2:20" ht="23.1" customHeight="1" x14ac:dyDescent="0.25">
      <c r="B105" s="23" t="s">
        <v>145</v>
      </c>
      <c r="C105" s="49">
        <f>AVERAGE('26.07 Kalerwe-Kampala-24h'!C105,'27.07 Kalerwe-Kampala-24h'!C105)</f>
        <v>22</v>
      </c>
      <c r="D105" s="49">
        <f>AVERAGE('26.07 Kalerwe-Kampala-24h'!D105,'27.07 Kalerwe-Kampala-24h'!D105)</f>
        <v>2.5</v>
      </c>
      <c r="E105" s="49">
        <f>AVERAGE('26.07 Kalerwe-Kampala-24h'!E105,'27.07 Kalerwe-Kampala-24h'!E105)</f>
        <v>10</v>
      </c>
      <c r="F105" s="49">
        <f>AVERAGE('26.07 Kalerwe-Kampala-24h'!F105,'27.07 Kalerwe-Kampala-24h'!F105)</f>
        <v>64</v>
      </c>
      <c r="G105" s="49">
        <f>AVERAGE('26.07 Kalerwe-Kampala-24h'!G105,'27.07 Kalerwe-Kampala-24h'!G105)</f>
        <v>2</v>
      </c>
      <c r="H105" s="49">
        <f>AVERAGE('26.07 Kalerwe-Kampala-24h'!H105,'27.07 Kalerwe-Kampala-24h'!H105)</f>
        <v>1.5</v>
      </c>
      <c r="I105" s="49">
        <f>AVERAGE('26.07 Kalerwe-Kampala-24h'!I105,'27.07 Kalerwe-Kampala-24h'!I105)</f>
        <v>8</v>
      </c>
      <c r="J105" s="49">
        <f>AVERAGE('26.07 Kalerwe-Kampala-24h'!J105,'27.07 Kalerwe-Kampala-24h'!J105)</f>
        <v>5</v>
      </c>
      <c r="K105" s="49">
        <f>AVERAGE('26.07 Kalerwe-Kampala-24h'!K105,'27.07 Kalerwe-Kampala-24h'!K105)</f>
        <v>3</v>
      </c>
      <c r="L105" s="49">
        <f>AVERAGE('26.07 Kalerwe-Kampala-24h'!L105,'27.07 Kalerwe-Kampala-24h'!L105)</f>
        <v>2</v>
      </c>
      <c r="M105" s="49">
        <f>AVERAGE('26.07 Kalerwe-Kampala-24h'!M105,'27.07 Kalerwe-Kampala-24h'!M105)</f>
        <v>118</v>
      </c>
      <c r="N105" s="49">
        <f>AVERAGE('26.07 Kalerwe-Kampala-24h'!N105,'27.07 Kalerwe-Kampala-24h'!N105)</f>
        <v>0</v>
      </c>
      <c r="O105" s="15">
        <f t="shared" si="35"/>
        <v>120</v>
      </c>
      <c r="P105" s="15">
        <f t="shared" si="36"/>
        <v>238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3747.2857142857151</v>
      </c>
      <c r="D106" s="16">
        <f t="shared" ref="D106:P106" si="37">SUM(D10:D105)</f>
        <v>1023.6428571428572</v>
      </c>
      <c r="E106" s="16">
        <f t="shared" si="37"/>
        <v>516.07142857142867</v>
      </c>
      <c r="F106" s="16">
        <f t="shared" si="37"/>
        <v>3234.4285714285711</v>
      </c>
      <c r="G106" s="16">
        <f t="shared" si="37"/>
        <v>175.28571428571428</v>
      </c>
      <c r="H106" s="16">
        <f t="shared" si="37"/>
        <v>120.28571428571428</v>
      </c>
      <c r="I106" s="16">
        <f t="shared" si="37"/>
        <v>699.21428571428578</v>
      </c>
      <c r="J106" s="16">
        <f t="shared" si="37"/>
        <v>267.85714285714289</v>
      </c>
      <c r="K106" s="16">
        <f t="shared" si="37"/>
        <v>100.42857142857143</v>
      </c>
      <c r="L106" s="16">
        <f t="shared" si="37"/>
        <v>39.357142857142861</v>
      </c>
      <c r="M106" s="16">
        <f t="shared" si="37"/>
        <v>10854.428571428571</v>
      </c>
      <c r="N106" s="16">
        <f t="shared" si="37"/>
        <v>0.5</v>
      </c>
      <c r="O106" s="16">
        <f t="shared" si="37"/>
        <v>9924.3571428571431</v>
      </c>
      <c r="P106" s="16">
        <f t="shared" si="37"/>
        <v>20778.785714285714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0.18034190090855032</v>
      </c>
      <c r="D107" s="43">
        <f t="shared" si="38"/>
        <v>4.9263843961732952E-2</v>
      </c>
      <c r="E107" s="43">
        <f t="shared" si="38"/>
        <v>2.4836457513329191E-2</v>
      </c>
      <c r="F107" s="43">
        <f t="shared" si="38"/>
        <v>0.15566013413405841</v>
      </c>
      <c r="G107" s="43">
        <f t="shared" si="38"/>
        <v>8.4358016245965148E-3</v>
      </c>
      <c r="H107" s="43">
        <f t="shared" si="38"/>
        <v>5.7888712044908436E-3</v>
      </c>
      <c r="I107" s="43">
        <f t="shared" si="38"/>
        <v>3.3650392055083654E-2</v>
      </c>
      <c r="J107" s="43">
        <f t="shared" si="38"/>
        <v>1.2890894903112037E-2</v>
      </c>
      <c r="K107" s="43">
        <f t="shared" si="38"/>
        <v>4.8332261956734717E-3</v>
      </c>
      <c r="L107" s="43">
        <f t="shared" si="38"/>
        <v>1.8941021577639284E-3</v>
      </c>
      <c r="M107" s="43">
        <f t="shared" si="38"/>
        <v>0.52238031233778959</v>
      </c>
      <c r="N107" s="43">
        <f t="shared" si="38"/>
        <v>2.4063003819142464E-5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0.37758473020922556</v>
      </c>
      <c r="D108" s="44">
        <f t="shared" ref="D108:N108" si="39">D106/$O$106</f>
        <v>0.10314450018353115</v>
      </c>
      <c r="E108" s="44">
        <f t="shared" si="39"/>
        <v>5.2000489416370983E-2</v>
      </c>
      <c r="F108" s="44">
        <f t="shared" si="39"/>
        <v>0.32590811927364849</v>
      </c>
      <c r="G108" s="44">
        <f t="shared" si="39"/>
        <v>1.7662173152633132E-2</v>
      </c>
      <c r="H108" s="44">
        <f t="shared" si="39"/>
        <v>1.2120252481269026E-2</v>
      </c>
      <c r="I108" s="44">
        <f t="shared" si="39"/>
        <v>7.0454365522056125E-2</v>
      </c>
      <c r="J108" s="44">
        <f t="shared" si="39"/>
        <v>2.698987339950051E-2</v>
      </c>
      <c r="K108" s="44">
        <f t="shared" si="39"/>
        <v>1.0119403199919391E-2</v>
      </c>
      <c r="L108" s="44">
        <f t="shared" si="39"/>
        <v>3.9657120648332747E-3</v>
      </c>
      <c r="M108" s="44"/>
      <c r="N108" s="44">
        <f t="shared" si="39"/>
        <v>5.0381097012400945E-5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R126" s="8"/>
      <c r="T126"/>
    </row>
    <row r="127" spans="2:20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R127" s="8"/>
      <c r="T127"/>
    </row>
    <row r="128" spans="2:20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R128" s="8"/>
      <c r="T128"/>
    </row>
    <row r="129" spans="2:20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R129" s="8"/>
      <c r="T129"/>
    </row>
    <row r="130" spans="2:20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R130" s="8"/>
      <c r="T130"/>
    </row>
    <row r="131" spans="2:20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R131" s="8"/>
      <c r="T131"/>
    </row>
    <row r="132" spans="2:20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R132" s="8"/>
      <c r="T132"/>
    </row>
    <row r="133" spans="2:20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R133" s="8"/>
      <c r="T133"/>
    </row>
    <row r="134" spans="2:20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R134" s="8"/>
      <c r="T134"/>
    </row>
    <row r="135" spans="2:20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R135" s="8"/>
      <c r="T135"/>
    </row>
    <row r="136" spans="2:20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R136" s="8"/>
      <c r="T136"/>
    </row>
    <row r="137" spans="2:20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R137" s="8"/>
      <c r="T137"/>
    </row>
    <row r="138" spans="2:20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R138" s="8"/>
      <c r="T138"/>
    </row>
    <row r="139" spans="2:20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R139" s="8"/>
      <c r="T139"/>
    </row>
    <row r="140" spans="2:20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R140" s="8"/>
      <c r="T140"/>
    </row>
    <row r="141" spans="2:20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R141" s="8"/>
      <c r="T141"/>
    </row>
    <row r="142" spans="2:20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R142" s="8"/>
      <c r="T142"/>
    </row>
    <row r="143" spans="2:20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R143" s="8"/>
      <c r="T143"/>
    </row>
    <row r="144" spans="2:20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R144" s="8"/>
      <c r="T144"/>
    </row>
    <row r="145" spans="2:20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R145" s="8"/>
      <c r="T145"/>
    </row>
    <row r="146" spans="2:20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R146" s="8"/>
      <c r="T146"/>
    </row>
    <row r="147" spans="2:20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R147" s="8"/>
      <c r="T147"/>
    </row>
    <row r="148" spans="2:20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R148" s="8"/>
      <c r="T148"/>
    </row>
    <row r="149" spans="2:20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R149" s="8"/>
      <c r="T149"/>
    </row>
    <row r="150" spans="2:20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R150" s="8"/>
      <c r="T150"/>
    </row>
    <row r="151" spans="2:20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R151" s="8"/>
      <c r="T151"/>
    </row>
    <row r="152" spans="2:20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R152" s="8"/>
      <c r="T152"/>
    </row>
    <row r="153" spans="2:20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R153" s="8"/>
      <c r="T153"/>
    </row>
    <row r="154" spans="2:20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R154" s="8"/>
      <c r="T154"/>
    </row>
    <row r="155" spans="2:20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R155" s="8"/>
      <c r="T155"/>
    </row>
    <row r="156" spans="2:20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R156" s="8"/>
      <c r="T156"/>
    </row>
    <row r="157" spans="2:20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R157" s="8"/>
      <c r="T157"/>
    </row>
    <row r="158" spans="2:20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R158" s="8"/>
      <c r="T158"/>
    </row>
    <row r="159" spans="2:20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R159" s="8"/>
      <c r="T159"/>
    </row>
    <row r="160" spans="2:20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R160" s="8"/>
      <c r="T160"/>
    </row>
    <row r="161" spans="2:20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R161" s="8"/>
      <c r="T161"/>
    </row>
    <row r="162" spans="2:20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R162" s="8"/>
      <c r="T162"/>
    </row>
    <row r="163" spans="2:20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R163" s="8"/>
      <c r="T163"/>
    </row>
    <row r="164" spans="2:20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R164" s="8"/>
      <c r="T164"/>
    </row>
    <row r="165" spans="2:20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R165" s="8"/>
      <c r="T165"/>
    </row>
    <row r="166" spans="2:20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R166" s="8"/>
      <c r="T166"/>
    </row>
    <row r="167" spans="2:20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R167" s="8"/>
      <c r="T167"/>
    </row>
    <row r="168" spans="2:20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R168" s="8"/>
      <c r="T168"/>
    </row>
    <row r="169" spans="2:20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R169" s="8"/>
      <c r="T169"/>
    </row>
    <row r="170" spans="2:20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R170" s="8"/>
      <c r="T170"/>
    </row>
    <row r="171" spans="2:20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R171" s="8"/>
      <c r="T171"/>
    </row>
    <row r="172" spans="2:20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R172" s="8"/>
      <c r="T172"/>
    </row>
    <row r="173" spans="2:20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R173" s="8"/>
      <c r="T173"/>
    </row>
    <row r="174" spans="2:20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R174" s="8"/>
      <c r="T174"/>
    </row>
    <row r="175" spans="2:20" ht="23.1" customHeight="1" x14ac:dyDescent="0.25">
      <c r="R175" s="8"/>
      <c r="T175"/>
    </row>
    <row r="176" spans="2:20" ht="23.1" customHeight="1" x14ac:dyDescent="0.25">
      <c r="R176" s="8"/>
      <c r="T176"/>
    </row>
    <row r="177" spans="18:20" ht="23.1" customHeight="1" x14ac:dyDescent="0.25">
      <c r="R177" s="8"/>
      <c r="T177"/>
    </row>
    <row r="178" spans="18:20" ht="23.1" customHeight="1" x14ac:dyDescent="0.25">
      <c r="R178" s="8"/>
      <c r="T178"/>
    </row>
    <row r="179" spans="18:20" ht="23.1" customHeight="1" x14ac:dyDescent="0.25">
      <c r="R179" s="8"/>
      <c r="T179"/>
    </row>
    <row r="180" spans="18:20" ht="23.1" customHeight="1" x14ac:dyDescent="0.25">
      <c r="R180" s="8"/>
      <c r="T180"/>
    </row>
    <row r="181" spans="18:20" ht="23.1" customHeight="1" x14ac:dyDescent="0.25">
      <c r="R181" s="8"/>
      <c r="T181"/>
    </row>
    <row r="182" spans="18:20" ht="23.1" customHeight="1" x14ac:dyDescent="0.25">
      <c r="R182" s="8"/>
      <c r="T182"/>
    </row>
    <row r="183" spans="18:20" ht="23.1" customHeight="1" x14ac:dyDescent="0.25">
      <c r="R183" s="8"/>
      <c r="T183"/>
    </row>
    <row r="184" spans="18:20" ht="23.1" customHeight="1" x14ac:dyDescent="0.25">
      <c r="R184" s="8"/>
      <c r="T184"/>
    </row>
    <row r="185" spans="18:20" ht="23.1" customHeight="1" x14ac:dyDescent="0.25">
      <c r="R185" s="8"/>
      <c r="T185"/>
    </row>
    <row r="186" spans="18:20" ht="23.1" customHeight="1" x14ac:dyDescent="0.25">
      <c r="R186" s="8"/>
      <c r="T186"/>
    </row>
    <row r="187" spans="18:20" ht="23.1" customHeight="1" x14ac:dyDescent="0.25">
      <c r="R187" s="8"/>
      <c r="T187"/>
    </row>
    <row r="188" spans="18:20" ht="23.1" customHeight="1" x14ac:dyDescent="0.25">
      <c r="R188" s="8"/>
      <c r="T188"/>
    </row>
    <row r="189" spans="18:20" ht="23.1" customHeight="1" x14ac:dyDescent="0.25">
      <c r="R189" s="8"/>
      <c r="T189"/>
    </row>
    <row r="190" spans="18:20" ht="23.1" customHeight="1" x14ac:dyDescent="0.25">
      <c r="R190" s="8"/>
      <c r="T190"/>
    </row>
    <row r="191" spans="18:20" ht="23.1" customHeight="1" x14ac:dyDescent="0.25">
      <c r="R191" s="8"/>
      <c r="T191"/>
    </row>
    <row r="192" spans="18:20" ht="23.1" customHeight="1" x14ac:dyDescent="0.25">
      <c r="R192" s="8"/>
      <c r="T192"/>
    </row>
    <row r="193" spans="2:20" ht="23.1" customHeight="1" x14ac:dyDescent="0.25">
      <c r="Q193" s="7"/>
      <c r="R193" s="8"/>
      <c r="T193"/>
    </row>
    <row r="194" spans="2:20" ht="20.100000000000001" customHeight="1" x14ac:dyDescent="0.25">
      <c r="Q194" s="7"/>
      <c r="R194" s="8"/>
      <c r="T194"/>
    </row>
    <row r="195" spans="2:20" ht="20.100000000000001" customHeight="1" x14ac:dyDescent="0.25">
      <c r="Q195" s="7"/>
      <c r="R195" s="8"/>
      <c r="T195"/>
    </row>
    <row r="196" spans="2:20" ht="20.100000000000001" customHeight="1" x14ac:dyDescent="0.25">
      <c r="Q196" s="7"/>
    </row>
    <row r="197" spans="2:20" ht="20.100000000000001" customHeight="1" x14ac:dyDescent="0.25">
      <c r="Q197" s="7"/>
    </row>
    <row r="198" spans="2:20" s="7" customFormat="1" ht="20.100000000000001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S198" s="8"/>
      <c r="T198" s="8"/>
    </row>
    <row r="199" spans="2:20" s="7" customFormat="1" ht="20.100000000000001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S199" s="8"/>
      <c r="T199" s="8"/>
    </row>
    <row r="200" spans="2:20" s="7" customFormat="1" ht="20.100000000000001" customHeight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S200" s="8"/>
      <c r="T200" s="8"/>
    </row>
    <row r="201" spans="2:20" s="7" customFormat="1" ht="20.100000000000001" customHeight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S201" s="8"/>
      <c r="T201" s="8"/>
    </row>
    <row r="202" spans="2:20" s="7" customFormat="1" ht="20.100000000000001" customHeight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S202" s="8"/>
      <c r="T202" s="8"/>
    </row>
    <row r="203" spans="2:20" s="7" customFormat="1" ht="20.100000000000001" customHeight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S203" s="8"/>
      <c r="T203" s="8"/>
    </row>
    <row r="204" spans="2:20" s="7" customFormat="1" ht="20.100000000000001" customHeight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S204" s="8"/>
      <c r="T204" s="8"/>
    </row>
    <row r="205" spans="2:20" s="7" customFormat="1" ht="20.100000000000001" customHeight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S205" s="8"/>
      <c r="T205" s="8"/>
    </row>
    <row r="206" spans="2:20" s="7" customFormat="1" ht="20.100000000000001" customHeight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S206" s="8"/>
      <c r="T206" s="8"/>
    </row>
    <row r="207" spans="2:20" s="7" customFormat="1" ht="20.100000000000001" customHeight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S207" s="8"/>
      <c r="T207" s="8"/>
    </row>
    <row r="208" spans="2:20" s="7" customFormat="1" ht="20.100000000000001" customHeight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S208" s="8"/>
      <c r="T208" s="8"/>
    </row>
    <row r="209" spans="2:20" s="7" customFormat="1" ht="20.100000000000001" customHeight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S209" s="8"/>
      <c r="T209" s="8"/>
    </row>
    <row r="210" spans="2:20" s="7" customFormat="1" ht="20.100000000000001" customHeight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S210" s="8"/>
      <c r="T210" s="8"/>
    </row>
    <row r="211" spans="2:20" s="7" customFormat="1" ht="20.100000000000001" customHeight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S211" s="8"/>
      <c r="T211" s="8"/>
    </row>
    <row r="212" spans="2:20" s="7" customFormat="1" ht="20.100000000000001" customHeight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S212" s="8"/>
      <c r="T212" s="8"/>
    </row>
    <row r="213" spans="2:20" s="7" customFormat="1" ht="20.100000000000001" customHeight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S213" s="8"/>
      <c r="T213" s="8"/>
    </row>
    <row r="237" ht="22.5" customHeight="1" x14ac:dyDescent="0.25"/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1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264"/>
  <sheetViews>
    <sheetView view="pageBreakPreview" topLeftCell="L50" zoomScale="60" workbookViewId="0">
      <selection activeCell="AD53" sqref="AD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'28.07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'28.07 Kampala-Kalerwe'!G5:H5</f>
        <v>Wandegeya</v>
      </c>
      <c r="H5" s="66"/>
      <c r="I5" s="14"/>
      <c r="J5" s="2" t="s">
        <v>5</v>
      </c>
      <c r="K5" s="65" t="str">
        <f>'28.07 Kampala-Kalerwe'!K5:L5</f>
        <v>Beteth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'28.07 Kampala-Kalerwe'!D6:E6</f>
        <v>Kampala</v>
      </c>
      <c r="E6" s="66"/>
      <c r="F6" s="2" t="s">
        <v>2</v>
      </c>
      <c r="G6" s="65" t="str">
        <f>'28.07 Kampala-Kalerwe'!G6:H6</f>
        <v>Kalerwe</v>
      </c>
      <c r="H6" s="66"/>
      <c r="J6" s="2" t="s">
        <v>21</v>
      </c>
      <c r="K6" s="65" t="str">
        <f>'28.07 Kampala-Kalerwe'!K6:L6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Kampala-Kalerwe'!C10,'23.07 Kampala-Kalerwe'!C10,'24.07 Kampala-Kalewre'!C10,'25.07 Kampala-Kalewre'!C10,'26.07 Kampala-Kalerwe-24h'!C10,'27.07 Kampala-Kalerwe-24h'!C10,'28.07 Kampala-Kalerwe'!C10)</f>
        <v>32.285714285714285</v>
      </c>
      <c r="D10" s="49">
        <f>AVERAGE('22.07 Kampala-Kalerwe'!D10,'23.07 Kampala-Kalerwe'!D10,'24.07 Kampala-Kalewre'!D10,'25.07 Kampala-Kalewre'!D10,'26.07 Kampala-Kalerwe-24h'!D10,'27.07 Kampala-Kalerwe-24h'!D10,'28.07 Kampala-Kalerwe'!D10)</f>
        <v>13.428571428571429</v>
      </c>
      <c r="E10" s="49">
        <f>AVERAGE('22.07 Kampala-Kalerwe'!E10,'23.07 Kampala-Kalerwe'!E10,'24.07 Kampala-Kalewre'!E10,'25.07 Kampala-Kalewre'!E10,'26.07 Kampala-Kalerwe-24h'!E10,'27.07 Kampala-Kalerwe-24h'!E10,'28.07 Kampala-Kalerwe'!E10)</f>
        <v>10.285714285714286</v>
      </c>
      <c r="F10" s="49">
        <f>AVERAGE('22.07 Kampala-Kalerwe'!F10,'23.07 Kampala-Kalerwe'!F10,'24.07 Kampala-Kalewre'!F10,'25.07 Kampala-Kalewre'!F10,'26.07 Kampala-Kalerwe-24h'!F10,'27.07 Kampala-Kalerwe-24h'!F10,'28.07 Kampala-Kalerwe'!F10)</f>
        <v>48.428571428571431</v>
      </c>
      <c r="G10" s="49">
        <f>AVERAGE('22.07 Kampala-Kalerwe'!G10,'23.07 Kampala-Kalerwe'!G10,'24.07 Kampala-Kalewre'!G10,'25.07 Kampala-Kalewre'!G10,'26.07 Kampala-Kalerwe-24h'!G10,'27.07 Kampala-Kalerwe-24h'!G10,'28.07 Kampala-Kalerwe'!G10)</f>
        <v>1.7142857142857142</v>
      </c>
      <c r="H10" s="49">
        <f>AVERAGE('22.07 Kampala-Kalerwe'!H10,'23.07 Kampala-Kalerwe'!H10,'24.07 Kampala-Kalewre'!H10,'25.07 Kampala-Kalewre'!H10,'26.07 Kampala-Kalerwe-24h'!H10,'27.07 Kampala-Kalerwe-24h'!H10,'28.07 Kampala-Kalerwe'!H10)</f>
        <v>3.4285714285714284</v>
      </c>
      <c r="I10" s="49">
        <f>AVERAGE('22.07 Kampala-Kalerwe'!I10,'23.07 Kampala-Kalerwe'!I10,'24.07 Kampala-Kalewre'!I10,'25.07 Kampala-Kalewre'!I10,'26.07 Kampala-Kalerwe-24h'!I10,'27.07 Kampala-Kalerwe-24h'!I10,'28.07 Kampala-Kalerwe'!I10)</f>
        <v>4.8571428571428568</v>
      </c>
      <c r="J10" s="49">
        <f>AVERAGE('22.07 Kampala-Kalerwe'!J10,'23.07 Kampala-Kalerwe'!J10,'24.07 Kampala-Kalewre'!J10,'25.07 Kampala-Kalewre'!J10,'26.07 Kampala-Kalerwe-24h'!J10,'27.07 Kampala-Kalerwe-24h'!J10,'28.07 Kampala-Kalerwe'!J10)</f>
        <v>0.2857142857142857</v>
      </c>
      <c r="K10" s="49">
        <f>AVERAGE('22.07 Kampala-Kalerwe'!K10,'23.07 Kampala-Kalerwe'!K10,'24.07 Kampala-Kalewre'!K10,'25.07 Kampala-Kalewre'!K10,'26.07 Kampala-Kalerwe-24h'!K10,'27.07 Kampala-Kalerwe-24h'!K10,'28.07 Kampala-Kalerwe'!K10)</f>
        <v>1.1428571428571428</v>
      </c>
      <c r="L10" s="49">
        <f>AVERAGE('22.07 Kampala-Kalerwe'!L10,'23.07 Kampala-Kalerwe'!L10,'24.07 Kampala-Kalewre'!L10,'25.07 Kampala-Kalewre'!L10,'26.07 Kampala-Kalerwe-24h'!L10,'27.07 Kampala-Kalerwe-24h'!L10,'28.07 Kampala-Kalerwe'!L10)</f>
        <v>0.2857142857142857</v>
      </c>
      <c r="M10" s="49">
        <f>AVERAGE('22.07 Kampala-Kalerwe'!M10,'23.07 Kampala-Kalerwe'!M10,'24.07 Kampala-Kalewre'!M10,'25.07 Kampala-Kalewre'!M10,'26.07 Kampala-Kalerwe-24h'!M10,'27.07 Kampala-Kalerwe-24h'!M10,'28.07 Kampala-Kalerwe'!M10)</f>
        <v>140.57142857142858</v>
      </c>
      <c r="N10" s="49">
        <f>AVERAGE('22.07 Kampala-Kalerwe'!N10,'23.07 Kampala-Kalerwe'!N10,'24.07 Kampala-Kalewre'!N10,'25.07 Kampala-Kalewre'!N10,'26.07 Kampala-Kalerwe-24h'!N10,'27.07 Kampala-Kalerwe-24h'!N10,'28.07 Kampala-Kalerwe'!N10)</f>
        <v>0</v>
      </c>
      <c r="O10" s="15">
        <f t="shared" ref="O10:O73" si="0">SUM(C10:L10,N10)</f>
        <v>116.14285714285715</v>
      </c>
      <c r="P10" s="15">
        <f t="shared" ref="P10:P73" si="1">SUM(C10:N10)</f>
        <v>256.71428571428572</v>
      </c>
      <c r="R10" s="1" t="s">
        <v>6</v>
      </c>
      <c r="S10" s="17">
        <f t="shared" ref="S10:AF10" si="2">SUM(C10:C13)</f>
        <v>127.85714285714285</v>
      </c>
      <c r="T10" s="17">
        <f t="shared" si="2"/>
        <v>49.142857142857139</v>
      </c>
      <c r="U10" s="17">
        <f t="shared" si="2"/>
        <v>31.285714285714285</v>
      </c>
      <c r="V10" s="17">
        <f t="shared" si="2"/>
        <v>216.71428571428572</v>
      </c>
      <c r="W10" s="17">
        <f t="shared" si="2"/>
        <v>5.5714285714285712</v>
      </c>
      <c r="X10" s="17">
        <f t="shared" si="2"/>
        <v>8.1428571428571423</v>
      </c>
      <c r="Y10" s="17">
        <f t="shared" si="2"/>
        <v>24</v>
      </c>
      <c r="Z10" s="17">
        <f t="shared" si="2"/>
        <v>4.5714285714285712</v>
      </c>
      <c r="AA10" s="17">
        <f t="shared" si="2"/>
        <v>4.2857142857142856</v>
      </c>
      <c r="AB10" s="17">
        <f t="shared" si="2"/>
        <v>1.2857142857142856</v>
      </c>
      <c r="AC10" s="17">
        <f t="shared" si="2"/>
        <v>678.14285714285711</v>
      </c>
      <c r="AD10" s="17">
        <f t="shared" si="2"/>
        <v>1.2857142857142858</v>
      </c>
      <c r="AE10" s="31">
        <f t="shared" si="2"/>
        <v>474.14285714285711</v>
      </c>
      <c r="AF10" s="31">
        <f t="shared" si="2"/>
        <v>1152.2857142857142</v>
      </c>
    </row>
    <row r="11" spans="2:32" s="6" customFormat="1" ht="23.1" customHeight="1" x14ac:dyDescent="0.25">
      <c r="B11" s="23" t="s">
        <v>38</v>
      </c>
      <c r="C11" s="49">
        <f>AVERAGE('22.07 Kampala-Kalerwe'!C11,'23.07 Kampala-Kalerwe'!C11,'24.07 Kampala-Kalewre'!C11,'25.07 Kampala-Kalewre'!C11,'26.07 Kampala-Kalerwe-24h'!C11,'27.07 Kampala-Kalerwe-24h'!C11,'28.07 Kampala-Kalerwe'!C11)</f>
        <v>34.857142857142854</v>
      </c>
      <c r="D11" s="49">
        <f>AVERAGE('22.07 Kampala-Kalerwe'!D11,'23.07 Kampala-Kalerwe'!D11,'24.07 Kampala-Kalewre'!D11,'25.07 Kampala-Kalewre'!D11,'26.07 Kampala-Kalerwe-24h'!D11,'27.07 Kampala-Kalerwe-24h'!D11,'28.07 Kampala-Kalerwe'!D11)</f>
        <v>10.428571428571429</v>
      </c>
      <c r="E11" s="49">
        <f>AVERAGE('22.07 Kampala-Kalerwe'!E11,'23.07 Kampala-Kalerwe'!E11,'24.07 Kampala-Kalewre'!E11,'25.07 Kampala-Kalewre'!E11,'26.07 Kampala-Kalerwe-24h'!E11,'27.07 Kampala-Kalerwe-24h'!E11,'28.07 Kampala-Kalerwe'!E11)</f>
        <v>11.285714285714286</v>
      </c>
      <c r="F11" s="49">
        <f>AVERAGE('22.07 Kampala-Kalerwe'!F11,'23.07 Kampala-Kalerwe'!F11,'24.07 Kampala-Kalewre'!F11,'25.07 Kampala-Kalewre'!F11,'26.07 Kampala-Kalerwe-24h'!F11,'27.07 Kampala-Kalerwe-24h'!F11,'28.07 Kampala-Kalerwe'!F11)</f>
        <v>51</v>
      </c>
      <c r="G11" s="49">
        <f>AVERAGE('22.07 Kampala-Kalerwe'!G11,'23.07 Kampala-Kalerwe'!G11,'24.07 Kampala-Kalewre'!G11,'25.07 Kampala-Kalewre'!G11,'26.07 Kampala-Kalerwe-24h'!G11,'27.07 Kampala-Kalerwe-24h'!G11,'28.07 Kampala-Kalerwe'!G11)</f>
        <v>1.2857142857142858</v>
      </c>
      <c r="H11" s="49">
        <f>AVERAGE('22.07 Kampala-Kalerwe'!H11,'23.07 Kampala-Kalerwe'!H11,'24.07 Kampala-Kalewre'!H11,'25.07 Kampala-Kalewre'!H11,'26.07 Kampala-Kalerwe-24h'!H11,'27.07 Kampala-Kalerwe-24h'!H11,'28.07 Kampala-Kalerwe'!H11)</f>
        <v>2.4285714285714284</v>
      </c>
      <c r="I11" s="49">
        <f>AVERAGE('22.07 Kampala-Kalerwe'!I11,'23.07 Kampala-Kalerwe'!I11,'24.07 Kampala-Kalewre'!I11,'25.07 Kampala-Kalewre'!I11,'26.07 Kampala-Kalerwe-24h'!I11,'27.07 Kampala-Kalerwe-24h'!I11,'28.07 Kampala-Kalerwe'!I11)</f>
        <v>7.1428571428571432</v>
      </c>
      <c r="J11" s="49">
        <f>AVERAGE('22.07 Kampala-Kalerwe'!J11,'23.07 Kampala-Kalerwe'!J11,'24.07 Kampala-Kalewre'!J11,'25.07 Kampala-Kalewre'!J11,'26.07 Kampala-Kalerwe-24h'!J11,'27.07 Kampala-Kalerwe-24h'!J11,'28.07 Kampala-Kalerwe'!J11)</f>
        <v>1.5714285714285714</v>
      </c>
      <c r="K11" s="49">
        <f>AVERAGE('22.07 Kampala-Kalerwe'!K11,'23.07 Kampala-Kalerwe'!K11,'24.07 Kampala-Kalewre'!K11,'25.07 Kampala-Kalewre'!K11,'26.07 Kampala-Kalerwe-24h'!K11,'27.07 Kampala-Kalerwe-24h'!K11,'28.07 Kampala-Kalerwe'!K11)</f>
        <v>0.7142857142857143</v>
      </c>
      <c r="L11" s="49">
        <f>AVERAGE('22.07 Kampala-Kalerwe'!L11,'23.07 Kampala-Kalerwe'!L11,'24.07 Kampala-Kalewre'!L11,'25.07 Kampala-Kalewre'!L11,'26.07 Kampala-Kalerwe-24h'!L11,'27.07 Kampala-Kalerwe-24h'!L11,'28.07 Kampala-Kalerwe'!L11)</f>
        <v>0.7142857142857143</v>
      </c>
      <c r="M11" s="49">
        <f>AVERAGE('22.07 Kampala-Kalerwe'!M11,'23.07 Kampala-Kalerwe'!M11,'24.07 Kampala-Kalewre'!M11,'25.07 Kampala-Kalewre'!M11,'26.07 Kampala-Kalerwe-24h'!M11,'27.07 Kampala-Kalerwe-24h'!M11,'28.07 Kampala-Kalerwe'!M11)</f>
        <v>151</v>
      </c>
      <c r="N11" s="49">
        <f>AVERAGE('22.07 Kampala-Kalerwe'!N11,'23.07 Kampala-Kalerwe'!N11,'24.07 Kampala-Kalewre'!N11,'25.07 Kampala-Kalewre'!N11,'26.07 Kampala-Kalerwe-24h'!N11,'27.07 Kampala-Kalerwe-24h'!N11,'28.07 Kampala-Kalerwe'!N11)</f>
        <v>0</v>
      </c>
      <c r="O11" s="15">
        <f t="shared" si="0"/>
        <v>121.42857142857142</v>
      </c>
      <c r="P11" s="15">
        <f t="shared" si="1"/>
        <v>272.42857142857144</v>
      </c>
      <c r="R11" s="1" t="s">
        <v>7</v>
      </c>
      <c r="S11" s="17">
        <f t="shared" ref="S11:AF11" si="3">SUM(C14:C17)</f>
        <v>91.428571428571416</v>
      </c>
      <c r="T11" s="17">
        <f t="shared" si="3"/>
        <v>22.142857142857142</v>
      </c>
      <c r="U11" s="17">
        <f t="shared" si="3"/>
        <v>15.285714285714286</v>
      </c>
      <c r="V11" s="17">
        <f t="shared" si="3"/>
        <v>233.42857142857144</v>
      </c>
      <c r="W11" s="17">
        <f t="shared" si="3"/>
        <v>4.2857142857142856</v>
      </c>
      <c r="X11" s="17">
        <f t="shared" si="3"/>
        <v>2.1428571428571428</v>
      </c>
      <c r="Y11" s="17">
        <f t="shared" si="3"/>
        <v>30</v>
      </c>
      <c r="Z11" s="17">
        <f t="shared" si="3"/>
        <v>2.2857142857142856</v>
      </c>
      <c r="AA11" s="17">
        <f t="shared" si="3"/>
        <v>2.714285714285714</v>
      </c>
      <c r="AB11" s="17">
        <f t="shared" si="3"/>
        <v>1</v>
      </c>
      <c r="AC11" s="17">
        <f t="shared" si="3"/>
        <v>942.28571428571422</v>
      </c>
      <c r="AD11" s="17">
        <f t="shared" si="3"/>
        <v>0</v>
      </c>
      <c r="AE11" s="31">
        <f t="shared" si="3"/>
        <v>404.71428571428572</v>
      </c>
      <c r="AF11" s="31">
        <f t="shared" si="3"/>
        <v>1347</v>
      </c>
    </row>
    <row r="12" spans="2:32" ht="23.1" customHeight="1" x14ac:dyDescent="0.25">
      <c r="B12" s="23" t="s">
        <v>39</v>
      </c>
      <c r="C12" s="49">
        <f>AVERAGE('22.07 Kampala-Kalerwe'!C12,'23.07 Kampala-Kalerwe'!C12,'24.07 Kampala-Kalewre'!C12,'25.07 Kampala-Kalewre'!C12,'26.07 Kampala-Kalerwe-24h'!C12,'27.07 Kampala-Kalerwe-24h'!C12,'28.07 Kampala-Kalerwe'!C12)</f>
        <v>29.142857142857142</v>
      </c>
      <c r="D12" s="49">
        <f>AVERAGE('22.07 Kampala-Kalerwe'!D12,'23.07 Kampala-Kalerwe'!D12,'24.07 Kampala-Kalewre'!D12,'25.07 Kampala-Kalewre'!D12,'26.07 Kampala-Kalerwe-24h'!D12,'27.07 Kampala-Kalerwe-24h'!D12,'28.07 Kampala-Kalerwe'!D12)</f>
        <v>15.428571428571429</v>
      </c>
      <c r="E12" s="49">
        <f>AVERAGE('22.07 Kampala-Kalerwe'!E12,'23.07 Kampala-Kalerwe'!E12,'24.07 Kampala-Kalewre'!E12,'25.07 Kampala-Kalewre'!E12,'26.07 Kampala-Kalerwe-24h'!E12,'27.07 Kampala-Kalerwe-24h'!E12,'28.07 Kampala-Kalerwe'!E12)</f>
        <v>3.1428571428571428</v>
      </c>
      <c r="F12" s="49">
        <f>AVERAGE('22.07 Kampala-Kalerwe'!F12,'23.07 Kampala-Kalerwe'!F12,'24.07 Kampala-Kalewre'!F12,'25.07 Kampala-Kalewre'!F12,'26.07 Kampala-Kalerwe-24h'!F12,'27.07 Kampala-Kalerwe-24h'!F12,'28.07 Kampala-Kalerwe'!F12)</f>
        <v>59.714285714285715</v>
      </c>
      <c r="G12" s="49">
        <f>AVERAGE('22.07 Kampala-Kalerwe'!G12,'23.07 Kampala-Kalerwe'!G12,'24.07 Kampala-Kalewre'!G12,'25.07 Kampala-Kalewre'!G12,'26.07 Kampala-Kalerwe-24h'!G12,'27.07 Kampala-Kalerwe-24h'!G12,'28.07 Kampala-Kalerwe'!G12)</f>
        <v>1.7142857142857142</v>
      </c>
      <c r="H12" s="49">
        <f>AVERAGE('22.07 Kampala-Kalerwe'!H12,'23.07 Kampala-Kalerwe'!H12,'24.07 Kampala-Kalewre'!H12,'25.07 Kampala-Kalewre'!H12,'26.07 Kampala-Kalerwe-24h'!H12,'27.07 Kampala-Kalerwe-24h'!H12,'28.07 Kampala-Kalerwe'!H12)</f>
        <v>1.4285714285714286</v>
      </c>
      <c r="I12" s="49">
        <f>AVERAGE('22.07 Kampala-Kalerwe'!I12,'23.07 Kampala-Kalerwe'!I12,'24.07 Kampala-Kalewre'!I12,'25.07 Kampala-Kalewre'!I12,'26.07 Kampala-Kalerwe-24h'!I12,'27.07 Kampala-Kalerwe-24h'!I12,'28.07 Kampala-Kalerwe'!I12)</f>
        <v>7</v>
      </c>
      <c r="J12" s="49">
        <f>AVERAGE('22.07 Kampala-Kalerwe'!J12,'23.07 Kampala-Kalerwe'!J12,'24.07 Kampala-Kalewre'!J12,'25.07 Kampala-Kalewre'!J12,'26.07 Kampala-Kalerwe-24h'!J12,'27.07 Kampala-Kalerwe-24h'!J12,'28.07 Kampala-Kalerwe'!J12)</f>
        <v>1.4285714285714286</v>
      </c>
      <c r="K12" s="49">
        <f>AVERAGE('22.07 Kampala-Kalerwe'!K12,'23.07 Kampala-Kalerwe'!K12,'24.07 Kampala-Kalewre'!K12,'25.07 Kampala-Kalewre'!K12,'26.07 Kampala-Kalerwe-24h'!K12,'27.07 Kampala-Kalerwe-24h'!K12,'28.07 Kampala-Kalerwe'!K12)</f>
        <v>0.8571428571428571</v>
      </c>
      <c r="L12" s="49">
        <f>AVERAGE('22.07 Kampala-Kalerwe'!L12,'23.07 Kampala-Kalerwe'!L12,'24.07 Kampala-Kalewre'!L12,'25.07 Kampala-Kalewre'!L12,'26.07 Kampala-Kalerwe-24h'!L12,'27.07 Kampala-Kalerwe-24h'!L12,'28.07 Kampala-Kalerwe'!L12)</f>
        <v>0.14285714285714285</v>
      </c>
      <c r="M12" s="49">
        <f>AVERAGE('22.07 Kampala-Kalerwe'!M12,'23.07 Kampala-Kalerwe'!M12,'24.07 Kampala-Kalewre'!M12,'25.07 Kampala-Kalewre'!M12,'26.07 Kampala-Kalerwe-24h'!M12,'27.07 Kampala-Kalerwe-24h'!M12,'28.07 Kampala-Kalerwe'!M12)</f>
        <v>181.57142857142858</v>
      </c>
      <c r="N12" s="49">
        <f>AVERAGE('22.07 Kampala-Kalerwe'!N12,'23.07 Kampala-Kalerwe'!N12,'24.07 Kampala-Kalewre'!N12,'25.07 Kampala-Kalewre'!N12,'26.07 Kampala-Kalerwe-24h'!N12,'27.07 Kampala-Kalerwe-24h'!N12,'28.07 Kampala-Kalerwe'!N12)</f>
        <v>0</v>
      </c>
      <c r="O12" s="15">
        <f t="shared" si="0"/>
        <v>120</v>
      </c>
      <c r="P12" s="15">
        <f t="shared" si="1"/>
        <v>301.57142857142856</v>
      </c>
      <c r="R12" s="1" t="s">
        <v>8</v>
      </c>
      <c r="S12" s="17">
        <f t="shared" ref="S12:AF12" si="4">SUM(C18:C21)</f>
        <v>125.42857142857142</v>
      </c>
      <c r="T12" s="17">
        <f t="shared" si="4"/>
        <v>33.714285714285715</v>
      </c>
      <c r="U12" s="17">
        <f t="shared" si="4"/>
        <v>17.428571428571427</v>
      </c>
      <c r="V12" s="17">
        <f t="shared" si="4"/>
        <v>262.00000000000006</v>
      </c>
      <c r="W12" s="17">
        <f t="shared" si="4"/>
        <v>6.7142857142857144</v>
      </c>
      <c r="X12" s="17">
        <f t="shared" si="4"/>
        <v>1.7142857142857144</v>
      </c>
      <c r="Y12" s="17">
        <f t="shared" si="4"/>
        <v>37.428571428571431</v>
      </c>
      <c r="Z12" s="17">
        <f t="shared" si="4"/>
        <v>6.5714285714285712</v>
      </c>
      <c r="AA12" s="17">
        <f t="shared" si="4"/>
        <v>2</v>
      </c>
      <c r="AB12" s="17">
        <f t="shared" si="4"/>
        <v>1.5714285714285714</v>
      </c>
      <c r="AC12" s="17">
        <f t="shared" si="4"/>
        <v>908.57142857142867</v>
      </c>
      <c r="AD12" s="17">
        <f t="shared" si="4"/>
        <v>0</v>
      </c>
      <c r="AE12" s="31">
        <f t="shared" si="4"/>
        <v>494.57142857142856</v>
      </c>
      <c r="AF12" s="31">
        <f t="shared" si="4"/>
        <v>1403.1428571428573</v>
      </c>
    </row>
    <row r="13" spans="2:32" ht="23.1" customHeight="1" x14ac:dyDescent="0.25">
      <c r="B13" s="23" t="s">
        <v>40</v>
      </c>
      <c r="C13" s="49">
        <f>AVERAGE('22.07 Kampala-Kalerwe'!C13,'23.07 Kampala-Kalerwe'!C13,'24.07 Kampala-Kalewre'!C13,'25.07 Kampala-Kalewre'!C13,'26.07 Kampala-Kalerwe-24h'!C13,'27.07 Kampala-Kalerwe-24h'!C13,'28.07 Kampala-Kalerwe'!C13)</f>
        <v>31.571428571428573</v>
      </c>
      <c r="D13" s="49">
        <f>AVERAGE('22.07 Kampala-Kalerwe'!D13,'23.07 Kampala-Kalerwe'!D13,'24.07 Kampala-Kalewre'!D13,'25.07 Kampala-Kalewre'!D13,'26.07 Kampala-Kalerwe-24h'!D13,'27.07 Kampala-Kalerwe-24h'!D13,'28.07 Kampala-Kalerwe'!D13)</f>
        <v>9.8571428571428577</v>
      </c>
      <c r="E13" s="49">
        <f>AVERAGE('22.07 Kampala-Kalerwe'!E13,'23.07 Kampala-Kalerwe'!E13,'24.07 Kampala-Kalewre'!E13,'25.07 Kampala-Kalewre'!E13,'26.07 Kampala-Kalerwe-24h'!E13,'27.07 Kampala-Kalerwe-24h'!E13,'28.07 Kampala-Kalerwe'!E13)</f>
        <v>6.5714285714285712</v>
      </c>
      <c r="F13" s="49">
        <f>AVERAGE('22.07 Kampala-Kalerwe'!F13,'23.07 Kampala-Kalerwe'!F13,'24.07 Kampala-Kalewre'!F13,'25.07 Kampala-Kalewre'!F13,'26.07 Kampala-Kalerwe-24h'!F13,'27.07 Kampala-Kalerwe-24h'!F13,'28.07 Kampala-Kalerwe'!F13)</f>
        <v>57.571428571428569</v>
      </c>
      <c r="G13" s="49">
        <f>AVERAGE('22.07 Kampala-Kalerwe'!G13,'23.07 Kampala-Kalerwe'!G13,'24.07 Kampala-Kalewre'!G13,'25.07 Kampala-Kalewre'!G13,'26.07 Kampala-Kalerwe-24h'!G13,'27.07 Kampala-Kalerwe-24h'!G13,'28.07 Kampala-Kalerwe'!G13)</f>
        <v>0.8571428571428571</v>
      </c>
      <c r="H13" s="49">
        <f>AVERAGE('22.07 Kampala-Kalerwe'!H13,'23.07 Kampala-Kalerwe'!H13,'24.07 Kampala-Kalewre'!H13,'25.07 Kampala-Kalewre'!H13,'26.07 Kampala-Kalerwe-24h'!H13,'27.07 Kampala-Kalerwe-24h'!H13,'28.07 Kampala-Kalerwe'!H13)</f>
        <v>0.8571428571428571</v>
      </c>
      <c r="I13" s="49">
        <f>AVERAGE('22.07 Kampala-Kalerwe'!I13,'23.07 Kampala-Kalerwe'!I13,'24.07 Kampala-Kalewre'!I13,'25.07 Kampala-Kalewre'!I13,'26.07 Kampala-Kalerwe-24h'!I13,'27.07 Kampala-Kalerwe-24h'!I13,'28.07 Kampala-Kalerwe'!I13)</f>
        <v>5</v>
      </c>
      <c r="J13" s="49">
        <f>AVERAGE('22.07 Kampala-Kalerwe'!J13,'23.07 Kampala-Kalerwe'!J13,'24.07 Kampala-Kalewre'!J13,'25.07 Kampala-Kalewre'!J13,'26.07 Kampala-Kalerwe-24h'!J13,'27.07 Kampala-Kalerwe-24h'!J13,'28.07 Kampala-Kalerwe'!J13)</f>
        <v>1.2857142857142858</v>
      </c>
      <c r="K13" s="49">
        <f>AVERAGE('22.07 Kampala-Kalerwe'!K13,'23.07 Kampala-Kalerwe'!K13,'24.07 Kampala-Kalewre'!K13,'25.07 Kampala-Kalewre'!K13,'26.07 Kampala-Kalerwe-24h'!K13,'27.07 Kampala-Kalerwe-24h'!K13,'28.07 Kampala-Kalerwe'!K13)</f>
        <v>1.5714285714285714</v>
      </c>
      <c r="L13" s="49">
        <f>AVERAGE('22.07 Kampala-Kalerwe'!L13,'23.07 Kampala-Kalerwe'!L13,'24.07 Kampala-Kalewre'!L13,'25.07 Kampala-Kalewre'!L13,'26.07 Kampala-Kalerwe-24h'!L13,'27.07 Kampala-Kalerwe-24h'!L13,'28.07 Kampala-Kalerwe'!L13)</f>
        <v>0.14285714285714285</v>
      </c>
      <c r="M13" s="49">
        <f>AVERAGE('22.07 Kampala-Kalerwe'!M13,'23.07 Kampala-Kalerwe'!M13,'24.07 Kampala-Kalewre'!M13,'25.07 Kampala-Kalewre'!M13,'26.07 Kampala-Kalerwe-24h'!M13,'27.07 Kampala-Kalerwe-24h'!M13,'28.07 Kampala-Kalerwe'!M13)</f>
        <v>205</v>
      </c>
      <c r="N13" s="49">
        <f>AVERAGE('22.07 Kampala-Kalerwe'!N13,'23.07 Kampala-Kalerwe'!N13,'24.07 Kampala-Kalewre'!N13,'25.07 Kampala-Kalewre'!N13,'26.07 Kampala-Kalerwe-24h'!N13,'27.07 Kampala-Kalerwe-24h'!N13,'28.07 Kampala-Kalerwe'!N13)</f>
        <v>1.2857142857142858</v>
      </c>
      <c r="O13" s="15">
        <f t="shared" si="0"/>
        <v>116.57142857142858</v>
      </c>
      <c r="P13" s="15">
        <f t="shared" si="1"/>
        <v>321.57142857142856</v>
      </c>
      <c r="R13" s="1" t="s">
        <v>9</v>
      </c>
      <c r="S13" s="17">
        <f t="shared" ref="S13:AF13" si="5">SUM(C22:C25)</f>
        <v>125.85714285714286</v>
      </c>
      <c r="T13" s="17">
        <f t="shared" si="5"/>
        <v>37</v>
      </c>
      <c r="U13" s="17">
        <f t="shared" si="5"/>
        <v>17.857142857142854</v>
      </c>
      <c r="V13" s="17">
        <f t="shared" si="5"/>
        <v>189.57142857142856</v>
      </c>
      <c r="W13" s="17">
        <f t="shared" si="5"/>
        <v>6</v>
      </c>
      <c r="X13" s="17">
        <f t="shared" si="5"/>
        <v>3.7142857142857144</v>
      </c>
      <c r="Y13" s="17">
        <f t="shared" si="5"/>
        <v>35.571428571428569</v>
      </c>
      <c r="Z13" s="17">
        <f t="shared" si="5"/>
        <v>8.7142857142857135</v>
      </c>
      <c r="AA13" s="17">
        <f t="shared" si="5"/>
        <v>2.8571428571428572</v>
      </c>
      <c r="AB13" s="17">
        <f t="shared" si="5"/>
        <v>1.8571428571428572</v>
      </c>
      <c r="AC13" s="17">
        <f t="shared" si="5"/>
        <v>809.57142857142867</v>
      </c>
      <c r="AD13" s="17">
        <f t="shared" si="5"/>
        <v>0</v>
      </c>
      <c r="AE13" s="31">
        <f t="shared" si="5"/>
        <v>429</v>
      </c>
      <c r="AF13" s="31">
        <f t="shared" si="5"/>
        <v>1238.5714285714284</v>
      </c>
    </row>
    <row r="14" spans="2:32" ht="23.1" customHeight="1" x14ac:dyDescent="0.25">
      <c r="B14" s="23" t="s">
        <v>41</v>
      </c>
      <c r="C14" s="49">
        <f>AVERAGE('22.07 Kampala-Kalerwe'!C14,'23.07 Kampala-Kalerwe'!C14,'24.07 Kampala-Kalewre'!C14,'25.07 Kampala-Kalewre'!C14,'26.07 Kampala-Kalerwe-24h'!C14,'27.07 Kampala-Kalerwe-24h'!C14,'28.07 Kampala-Kalerwe'!C14)</f>
        <v>23.714285714285715</v>
      </c>
      <c r="D14" s="49">
        <f>AVERAGE('22.07 Kampala-Kalerwe'!D14,'23.07 Kampala-Kalerwe'!D14,'24.07 Kampala-Kalewre'!D14,'25.07 Kampala-Kalewre'!D14,'26.07 Kampala-Kalerwe-24h'!D14,'27.07 Kampala-Kalerwe-24h'!D14,'28.07 Kampala-Kalerwe'!D14)</f>
        <v>6.4285714285714288</v>
      </c>
      <c r="E14" s="49">
        <f>AVERAGE('22.07 Kampala-Kalerwe'!E14,'23.07 Kampala-Kalerwe'!E14,'24.07 Kampala-Kalewre'!E14,'25.07 Kampala-Kalewre'!E14,'26.07 Kampala-Kalerwe-24h'!E14,'27.07 Kampala-Kalerwe-24h'!E14,'28.07 Kampala-Kalerwe'!E14)</f>
        <v>3.5714285714285716</v>
      </c>
      <c r="F14" s="49">
        <f>AVERAGE('22.07 Kampala-Kalerwe'!F14,'23.07 Kampala-Kalerwe'!F14,'24.07 Kampala-Kalewre'!F14,'25.07 Kampala-Kalewre'!F14,'26.07 Kampala-Kalerwe-24h'!F14,'27.07 Kampala-Kalerwe-24h'!F14,'28.07 Kampala-Kalerwe'!F14)</f>
        <v>53.285714285714285</v>
      </c>
      <c r="G14" s="49">
        <f>AVERAGE('22.07 Kampala-Kalerwe'!G14,'23.07 Kampala-Kalerwe'!G14,'24.07 Kampala-Kalewre'!G14,'25.07 Kampala-Kalewre'!G14,'26.07 Kampala-Kalerwe-24h'!G14,'27.07 Kampala-Kalerwe-24h'!G14,'28.07 Kampala-Kalerwe'!G14)</f>
        <v>1.8571428571428572</v>
      </c>
      <c r="H14" s="49">
        <f>AVERAGE('22.07 Kampala-Kalerwe'!H14,'23.07 Kampala-Kalerwe'!H14,'24.07 Kampala-Kalewre'!H14,'25.07 Kampala-Kalewre'!H14,'26.07 Kampala-Kalerwe-24h'!H14,'27.07 Kampala-Kalerwe-24h'!H14,'28.07 Kampala-Kalerwe'!H14)</f>
        <v>0.5714285714285714</v>
      </c>
      <c r="I14" s="49">
        <f>AVERAGE('22.07 Kampala-Kalerwe'!I14,'23.07 Kampala-Kalerwe'!I14,'24.07 Kampala-Kalewre'!I14,'25.07 Kampala-Kalewre'!I14,'26.07 Kampala-Kalerwe-24h'!I14,'27.07 Kampala-Kalerwe-24h'!I14,'28.07 Kampala-Kalerwe'!I14)</f>
        <v>7.1428571428571432</v>
      </c>
      <c r="J14" s="49">
        <f>AVERAGE('22.07 Kampala-Kalerwe'!J14,'23.07 Kampala-Kalerwe'!J14,'24.07 Kampala-Kalewre'!J14,'25.07 Kampala-Kalewre'!J14,'26.07 Kampala-Kalerwe-24h'!J14,'27.07 Kampala-Kalerwe-24h'!J14,'28.07 Kampala-Kalerwe'!J14)</f>
        <v>0.7142857142857143</v>
      </c>
      <c r="K14" s="49">
        <f>AVERAGE('22.07 Kampala-Kalerwe'!K14,'23.07 Kampala-Kalerwe'!K14,'24.07 Kampala-Kalewre'!K14,'25.07 Kampala-Kalewre'!K14,'26.07 Kampala-Kalerwe-24h'!K14,'27.07 Kampala-Kalerwe-24h'!K14,'28.07 Kampala-Kalerwe'!K14)</f>
        <v>0.7142857142857143</v>
      </c>
      <c r="L14" s="49">
        <f>AVERAGE('22.07 Kampala-Kalerwe'!L14,'23.07 Kampala-Kalerwe'!L14,'24.07 Kampala-Kalewre'!L14,'25.07 Kampala-Kalewre'!L14,'26.07 Kampala-Kalerwe-24h'!L14,'27.07 Kampala-Kalerwe-24h'!L14,'28.07 Kampala-Kalerwe'!L14)</f>
        <v>0.2857142857142857</v>
      </c>
      <c r="M14" s="49">
        <f>AVERAGE('22.07 Kampala-Kalerwe'!M14,'23.07 Kampala-Kalerwe'!M14,'24.07 Kampala-Kalewre'!M14,'25.07 Kampala-Kalewre'!M14,'26.07 Kampala-Kalerwe-24h'!M14,'27.07 Kampala-Kalerwe-24h'!M14,'28.07 Kampala-Kalerwe'!M14)</f>
        <v>234.28571428571428</v>
      </c>
      <c r="N14" s="49">
        <f>AVERAGE('22.07 Kampala-Kalerwe'!N14,'23.07 Kampala-Kalerwe'!N14,'24.07 Kampala-Kalewre'!N14,'25.07 Kampala-Kalewre'!N14,'26.07 Kampala-Kalerwe-24h'!N14,'27.07 Kampala-Kalerwe-24h'!N14,'28.07 Kampala-Kalerwe'!N14)</f>
        <v>0</v>
      </c>
      <c r="O14" s="15">
        <f t="shared" si="0"/>
        <v>98.285714285714278</v>
      </c>
      <c r="P14" s="15">
        <f t="shared" si="1"/>
        <v>332.57142857142856</v>
      </c>
      <c r="R14" s="1" t="s">
        <v>10</v>
      </c>
      <c r="S14" s="17">
        <f t="shared" ref="S14:AF14" si="6">SUM(C26:C29)</f>
        <v>118.85714285714286</v>
      </c>
      <c r="T14" s="17">
        <f t="shared" si="6"/>
        <v>34.142857142857139</v>
      </c>
      <c r="U14" s="17">
        <f t="shared" si="6"/>
        <v>23.285714285714285</v>
      </c>
      <c r="V14" s="17">
        <f t="shared" si="6"/>
        <v>164.85714285714286</v>
      </c>
      <c r="W14" s="17">
        <f t="shared" si="6"/>
        <v>6</v>
      </c>
      <c r="X14" s="17">
        <f t="shared" si="6"/>
        <v>2</v>
      </c>
      <c r="Y14" s="17">
        <f t="shared" si="6"/>
        <v>34.428571428571431</v>
      </c>
      <c r="Z14" s="17">
        <f t="shared" si="6"/>
        <v>4.2857142857142856</v>
      </c>
      <c r="AA14" s="17">
        <f t="shared" si="6"/>
        <v>1.1428571428571428</v>
      </c>
      <c r="AB14" s="17">
        <f t="shared" si="6"/>
        <v>2</v>
      </c>
      <c r="AC14" s="17">
        <f t="shared" si="6"/>
        <v>688</v>
      </c>
      <c r="AD14" s="17">
        <f t="shared" si="6"/>
        <v>0</v>
      </c>
      <c r="AE14" s="31">
        <f t="shared" si="6"/>
        <v>391</v>
      </c>
      <c r="AF14" s="31">
        <f t="shared" si="6"/>
        <v>1079</v>
      </c>
    </row>
    <row r="15" spans="2:32" ht="23.1" customHeight="1" x14ac:dyDescent="0.25">
      <c r="B15" s="23" t="s">
        <v>42</v>
      </c>
      <c r="C15" s="49">
        <f>AVERAGE('22.07 Kampala-Kalerwe'!C15,'23.07 Kampala-Kalerwe'!C15,'24.07 Kampala-Kalewre'!C15,'25.07 Kampala-Kalewre'!C15,'26.07 Kampala-Kalerwe-24h'!C15,'27.07 Kampala-Kalerwe-24h'!C15,'28.07 Kampala-Kalerwe'!C15)</f>
        <v>20.857142857142858</v>
      </c>
      <c r="D15" s="49">
        <f>AVERAGE('22.07 Kampala-Kalerwe'!D15,'23.07 Kampala-Kalerwe'!D15,'24.07 Kampala-Kalewre'!D15,'25.07 Kampala-Kalewre'!D15,'26.07 Kampala-Kalerwe-24h'!D15,'27.07 Kampala-Kalerwe-24h'!D15,'28.07 Kampala-Kalerwe'!D15)</f>
        <v>6.1428571428571432</v>
      </c>
      <c r="E15" s="49">
        <f>AVERAGE('22.07 Kampala-Kalerwe'!E15,'23.07 Kampala-Kalerwe'!E15,'24.07 Kampala-Kalewre'!E15,'25.07 Kampala-Kalewre'!E15,'26.07 Kampala-Kalerwe-24h'!E15,'27.07 Kampala-Kalerwe-24h'!E15,'28.07 Kampala-Kalerwe'!E15)</f>
        <v>6</v>
      </c>
      <c r="F15" s="49">
        <f>AVERAGE('22.07 Kampala-Kalerwe'!F15,'23.07 Kampala-Kalerwe'!F15,'24.07 Kampala-Kalewre'!F15,'25.07 Kampala-Kalewre'!F15,'26.07 Kampala-Kalerwe-24h'!F15,'27.07 Kampala-Kalerwe-24h'!F15,'28.07 Kampala-Kalerwe'!F15)</f>
        <v>55.142857142857146</v>
      </c>
      <c r="G15" s="49">
        <f>AVERAGE('22.07 Kampala-Kalerwe'!G15,'23.07 Kampala-Kalerwe'!G15,'24.07 Kampala-Kalewre'!G15,'25.07 Kampala-Kalewre'!G15,'26.07 Kampala-Kalerwe-24h'!G15,'27.07 Kampala-Kalerwe-24h'!G15,'28.07 Kampala-Kalerwe'!G15)</f>
        <v>1.5714285714285714</v>
      </c>
      <c r="H15" s="49">
        <f>AVERAGE('22.07 Kampala-Kalerwe'!H15,'23.07 Kampala-Kalerwe'!H15,'24.07 Kampala-Kalewre'!H15,'25.07 Kampala-Kalewre'!H15,'26.07 Kampala-Kalerwe-24h'!H15,'27.07 Kampala-Kalerwe-24h'!H15,'28.07 Kampala-Kalerwe'!H15)</f>
        <v>1</v>
      </c>
      <c r="I15" s="49">
        <f>AVERAGE('22.07 Kampala-Kalerwe'!I15,'23.07 Kampala-Kalerwe'!I15,'24.07 Kampala-Kalewre'!I15,'25.07 Kampala-Kalewre'!I15,'26.07 Kampala-Kalerwe-24h'!I15,'27.07 Kampala-Kalerwe-24h'!I15,'28.07 Kampala-Kalerwe'!I15)</f>
        <v>9</v>
      </c>
      <c r="J15" s="49">
        <f>AVERAGE('22.07 Kampala-Kalerwe'!J15,'23.07 Kampala-Kalerwe'!J15,'24.07 Kampala-Kalewre'!J15,'25.07 Kampala-Kalewre'!J15,'26.07 Kampala-Kalerwe-24h'!J15,'27.07 Kampala-Kalerwe-24h'!J15,'28.07 Kampala-Kalerwe'!J15)</f>
        <v>0.5714285714285714</v>
      </c>
      <c r="K15" s="49">
        <f>AVERAGE('22.07 Kampala-Kalerwe'!K15,'23.07 Kampala-Kalerwe'!K15,'24.07 Kampala-Kalewre'!K15,'25.07 Kampala-Kalewre'!K15,'26.07 Kampala-Kalerwe-24h'!K15,'27.07 Kampala-Kalerwe-24h'!K15,'28.07 Kampala-Kalerwe'!K15)</f>
        <v>0.8571428571428571</v>
      </c>
      <c r="L15" s="49">
        <f>AVERAGE('22.07 Kampala-Kalerwe'!L15,'23.07 Kampala-Kalerwe'!L15,'24.07 Kampala-Kalewre'!L15,'25.07 Kampala-Kalewre'!L15,'26.07 Kampala-Kalerwe-24h'!L15,'27.07 Kampala-Kalerwe-24h'!L15,'28.07 Kampala-Kalerwe'!L15)</f>
        <v>0.14285714285714285</v>
      </c>
      <c r="M15" s="49">
        <f>AVERAGE('22.07 Kampala-Kalerwe'!M15,'23.07 Kampala-Kalerwe'!M15,'24.07 Kampala-Kalewre'!M15,'25.07 Kampala-Kalewre'!M15,'26.07 Kampala-Kalerwe-24h'!M15,'27.07 Kampala-Kalerwe-24h'!M15,'28.07 Kampala-Kalerwe'!M15)</f>
        <v>220.42857142857142</v>
      </c>
      <c r="N15" s="49">
        <f>AVERAGE('22.07 Kampala-Kalerwe'!N15,'23.07 Kampala-Kalerwe'!N15,'24.07 Kampala-Kalewre'!N15,'25.07 Kampala-Kalewre'!N15,'26.07 Kampala-Kalerwe-24h'!N15,'27.07 Kampala-Kalerwe-24h'!N15,'28.07 Kampala-Kalerwe'!N15)</f>
        <v>0</v>
      </c>
      <c r="O15" s="15">
        <f t="shared" si="0"/>
        <v>101.28571428571428</v>
      </c>
      <c r="P15" s="15">
        <f t="shared" si="1"/>
        <v>321.71428571428567</v>
      </c>
      <c r="R15" s="1" t="s">
        <v>11</v>
      </c>
      <c r="S15" s="17">
        <f t="shared" ref="S15:AF15" si="7">SUM(C30:C33)</f>
        <v>139.71428571428572</v>
      </c>
      <c r="T15" s="17">
        <f t="shared" si="7"/>
        <v>38.571428571428569</v>
      </c>
      <c r="U15" s="17">
        <f t="shared" si="7"/>
        <v>17.142857142857142</v>
      </c>
      <c r="V15" s="17">
        <f t="shared" si="7"/>
        <v>157.57142857142856</v>
      </c>
      <c r="W15" s="17">
        <f t="shared" si="7"/>
        <v>8.5714285714285712</v>
      </c>
      <c r="X15" s="17">
        <f t="shared" si="7"/>
        <v>2.714285714285714</v>
      </c>
      <c r="Y15" s="17">
        <f t="shared" si="7"/>
        <v>34.571428571428569</v>
      </c>
      <c r="Z15" s="17">
        <f t="shared" si="7"/>
        <v>7</v>
      </c>
      <c r="AA15" s="17">
        <f t="shared" si="7"/>
        <v>2.4285714285714284</v>
      </c>
      <c r="AB15" s="17">
        <f t="shared" si="7"/>
        <v>2</v>
      </c>
      <c r="AC15" s="17">
        <f t="shared" si="7"/>
        <v>623.85714285714289</v>
      </c>
      <c r="AD15" s="17">
        <f t="shared" si="7"/>
        <v>0</v>
      </c>
      <c r="AE15" s="31">
        <f t="shared" si="7"/>
        <v>410.28571428571433</v>
      </c>
      <c r="AF15" s="31">
        <f t="shared" si="7"/>
        <v>1034.1428571428571</v>
      </c>
    </row>
    <row r="16" spans="2:32" ht="23.1" customHeight="1" x14ac:dyDescent="0.25">
      <c r="B16" s="23" t="s">
        <v>43</v>
      </c>
      <c r="C16" s="49">
        <f>AVERAGE('22.07 Kampala-Kalerwe'!C16,'23.07 Kampala-Kalerwe'!C16,'24.07 Kampala-Kalewre'!C16,'25.07 Kampala-Kalewre'!C16,'26.07 Kampala-Kalerwe-24h'!C16,'27.07 Kampala-Kalerwe-24h'!C16,'28.07 Kampala-Kalerwe'!C16)</f>
        <v>22.571428571428573</v>
      </c>
      <c r="D16" s="49">
        <f>AVERAGE('22.07 Kampala-Kalerwe'!D16,'23.07 Kampala-Kalerwe'!D16,'24.07 Kampala-Kalewre'!D16,'25.07 Kampala-Kalewre'!D16,'26.07 Kampala-Kalerwe-24h'!D16,'27.07 Kampala-Kalerwe-24h'!D16,'28.07 Kampala-Kalerwe'!D16)</f>
        <v>5.4285714285714288</v>
      </c>
      <c r="E16" s="49">
        <f>AVERAGE('22.07 Kampala-Kalerwe'!E16,'23.07 Kampala-Kalerwe'!E16,'24.07 Kampala-Kalewre'!E16,'25.07 Kampala-Kalewre'!E16,'26.07 Kampala-Kalerwe-24h'!E16,'27.07 Kampala-Kalerwe-24h'!E16,'28.07 Kampala-Kalerwe'!E16)</f>
        <v>3.2857142857142856</v>
      </c>
      <c r="F16" s="49">
        <f>AVERAGE('22.07 Kampala-Kalerwe'!F16,'23.07 Kampala-Kalerwe'!F16,'24.07 Kampala-Kalewre'!F16,'25.07 Kampala-Kalewre'!F16,'26.07 Kampala-Kalerwe-24h'!F16,'27.07 Kampala-Kalerwe-24h'!F16,'28.07 Kampala-Kalerwe'!F16)</f>
        <v>59.142857142857146</v>
      </c>
      <c r="G16" s="49">
        <f>AVERAGE('22.07 Kampala-Kalerwe'!G16,'23.07 Kampala-Kalerwe'!G16,'24.07 Kampala-Kalewre'!G16,'25.07 Kampala-Kalewre'!G16,'26.07 Kampala-Kalerwe-24h'!G16,'27.07 Kampala-Kalerwe-24h'!G16,'28.07 Kampala-Kalerwe'!G16)</f>
        <v>0.2857142857142857</v>
      </c>
      <c r="H16" s="49">
        <f>AVERAGE('22.07 Kampala-Kalerwe'!H16,'23.07 Kampala-Kalerwe'!H16,'24.07 Kampala-Kalewre'!H16,'25.07 Kampala-Kalewre'!H16,'26.07 Kampala-Kalerwe-24h'!H16,'27.07 Kampala-Kalerwe-24h'!H16,'28.07 Kampala-Kalerwe'!H16)</f>
        <v>0</v>
      </c>
      <c r="I16" s="49">
        <f>AVERAGE('22.07 Kampala-Kalerwe'!I16,'23.07 Kampala-Kalerwe'!I16,'24.07 Kampala-Kalewre'!I16,'25.07 Kampala-Kalewre'!I16,'26.07 Kampala-Kalerwe-24h'!I16,'27.07 Kampala-Kalerwe-24h'!I16,'28.07 Kampala-Kalerwe'!I16)</f>
        <v>8.4285714285714288</v>
      </c>
      <c r="J16" s="49">
        <f>AVERAGE('22.07 Kampala-Kalerwe'!J16,'23.07 Kampala-Kalerwe'!J16,'24.07 Kampala-Kalewre'!J16,'25.07 Kampala-Kalewre'!J16,'26.07 Kampala-Kalerwe-24h'!J16,'27.07 Kampala-Kalerwe-24h'!J16,'28.07 Kampala-Kalerwe'!J16)</f>
        <v>0.42857142857142855</v>
      </c>
      <c r="K16" s="49">
        <f>AVERAGE('22.07 Kampala-Kalerwe'!K16,'23.07 Kampala-Kalerwe'!K16,'24.07 Kampala-Kalewre'!K16,'25.07 Kampala-Kalewre'!K16,'26.07 Kampala-Kalerwe-24h'!K16,'27.07 Kampala-Kalerwe-24h'!K16,'28.07 Kampala-Kalerwe'!K16)</f>
        <v>0.7142857142857143</v>
      </c>
      <c r="L16" s="49">
        <f>AVERAGE('22.07 Kampala-Kalerwe'!L16,'23.07 Kampala-Kalerwe'!L16,'24.07 Kampala-Kalewre'!L16,'25.07 Kampala-Kalewre'!L16,'26.07 Kampala-Kalerwe-24h'!L16,'27.07 Kampala-Kalerwe-24h'!L16,'28.07 Kampala-Kalerwe'!L16)</f>
        <v>0.14285714285714285</v>
      </c>
      <c r="M16" s="49">
        <f>AVERAGE('22.07 Kampala-Kalerwe'!M16,'23.07 Kampala-Kalerwe'!M16,'24.07 Kampala-Kalewre'!M16,'25.07 Kampala-Kalewre'!M16,'26.07 Kampala-Kalerwe-24h'!M16,'27.07 Kampala-Kalerwe-24h'!M16,'28.07 Kampala-Kalerwe'!M16)</f>
        <v>251</v>
      </c>
      <c r="N16" s="49">
        <f>AVERAGE('22.07 Kampala-Kalerwe'!N16,'23.07 Kampala-Kalerwe'!N16,'24.07 Kampala-Kalewre'!N16,'25.07 Kampala-Kalewre'!N16,'26.07 Kampala-Kalerwe-24h'!N16,'27.07 Kampala-Kalerwe-24h'!N16,'28.07 Kampala-Kalerwe'!N16)</f>
        <v>0</v>
      </c>
      <c r="O16" s="15">
        <f t="shared" si="0"/>
        <v>100.42857142857143</v>
      </c>
      <c r="P16" s="15">
        <f t="shared" si="1"/>
        <v>351.42857142857144</v>
      </c>
      <c r="R16" s="1" t="s">
        <v>12</v>
      </c>
      <c r="S16" s="17">
        <f t="shared" ref="S16:AF16" si="8">SUM(C34:C37)</f>
        <v>134.57142857142856</v>
      </c>
      <c r="T16" s="17">
        <f t="shared" si="8"/>
        <v>38.285714285714285</v>
      </c>
      <c r="U16" s="17">
        <f t="shared" si="8"/>
        <v>13.285714285714285</v>
      </c>
      <c r="V16" s="17">
        <f t="shared" si="8"/>
        <v>159.28571428571428</v>
      </c>
      <c r="W16" s="17">
        <f t="shared" si="8"/>
        <v>4.8571428571428568</v>
      </c>
      <c r="X16" s="17">
        <f t="shared" si="8"/>
        <v>2.714285714285714</v>
      </c>
      <c r="Y16" s="17">
        <f t="shared" si="8"/>
        <v>36.142857142857139</v>
      </c>
      <c r="Z16" s="17">
        <f t="shared" si="8"/>
        <v>5.4285714285714288</v>
      </c>
      <c r="AA16" s="17">
        <f t="shared" si="8"/>
        <v>3.7142857142857144</v>
      </c>
      <c r="AB16" s="17">
        <f t="shared" si="8"/>
        <v>1.5714285714285712</v>
      </c>
      <c r="AC16" s="17">
        <f t="shared" si="8"/>
        <v>609.57142857142856</v>
      </c>
      <c r="AD16" s="17">
        <f t="shared" si="8"/>
        <v>0</v>
      </c>
      <c r="AE16" s="31">
        <f t="shared" si="8"/>
        <v>399.85714285714289</v>
      </c>
      <c r="AF16" s="31">
        <f t="shared" si="8"/>
        <v>1009.4285714285716</v>
      </c>
    </row>
    <row r="17" spans="2:32" ht="23.1" customHeight="1" x14ac:dyDescent="0.25">
      <c r="B17" s="23" t="s">
        <v>44</v>
      </c>
      <c r="C17" s="49">
        <f>AVERAGE('22.07 Kampala-Kalerwe'!C17,'23.07 Kampala-Kalerwe'!C17,'24.07 Kampala-Kalewre'!C17,'25.07 Kampala-Kalewre'!C17,'26.07 Kampala-Kalerwe-24h'!C17,'27.07 Kampala-Kalerwe-24h'!C17,'28.07 Kampala-Kalerwe'!C17)</f>
        <v>24.285714285714285</v>
      </c>
      <c r="D17" s="49">
        <f>AVERAGE('22.07 Kampala-Kalerwe'!D17,'23.07 Kampala-Kalerwe'!D17,'24.07 Kampala-Kalewre'!D17,'25.07 Kampala-Kalewre'!D17,'26.07 Kampala-Kalerwe-24h'!D17,'27.07 Kampala-Kalerwe-24h'!D17,'28.07 Kampala-Kalerwe'!D17)</f>
        <v>4.1428571428571432</v>
      </c>
      <c r="E17" s="49">
        <f>AVERAGE('22.07 Kampala-Kalerwe'!E17,'23.07 Kampala-Kalerwe'!E17,'24.07 Kampala-Kalewre'!E17,'25.07 Kampala-Kalewre'!E17,'26.07 Kampala-Kalerwe-24h'!E17,'27.07 Kampala-Kalerwe-24h'!E17,'28.07 Kampala-Kalerwe'!E17)</f>
        <v>2.4285714285714284</v>
      </c>
      <c r="F17" s="49">
        <f>AVERAGE('22.07 Kampala-Kalerwe'!F17,'23.07 Kampala-Kalerwe'!F17,'24.07 Kampala-Kalewre'!F17,'25.07 Kampala-Kalewre'!F17,'26.07 Kampala-Kalerwe-24h'!F17,'27.07 Kampala-Kalerwe-24h'!F17,'28.07 Kampala-Kalerwe'!F17)</f>
        <v>65.857142857142861</v>
      </c>
      <c r="G17" s="49">
        <f>AVERAGE('22.07 Kampala-Kalerwe'!G17,'23.07 Kampala-Kalerwe'!G17,'24.07 Kampala-Kalewre'!G17,'25.07 Kampala-Kalewre'!G17,'26.07 Kampala-Kalerwe-24h'!G17,'27.07 Kampala-Kalerwe-24h'!G17,'28.07 Kampala-Kalerwe'!G17)</f>
        <v>0.5714285714285714</v>
      </c>
      <c r="H17" s="49">
        <f>AVERAGE('22.07 Kampala-Kalerwe'!H17,'23.07 Kampala-Kalerwe'!H17,'24.07 Kampala-Kalewre'!H17,'25.07 Kampala-Kalewre'!H17,'26.07 Kampala-Kalerwe-24h'!H17,'27.07 Kampala-Kalerwe-24h'!H17,'28.07 Kampala-Kalerwe'!H17)</f>
        <v>0.5714285714285714</v>
      </c>
      <c r="I17" s="49">
        <f>AVERAGE('22.07 Kampala-Kalerwe'!I17,'23.07 Kampala-Kalerwe'!I17,'24.07 Kampala-Kalewre'!I17,'25.07 Kampala-Kalewre'!I17,'26.07 Kampala-Kalerwe-24h'!I17,'27.07 Kampala-Kalerwe-24h'!I17,'28.07 Kampala-Kalerwe'!I17)</f>
        <v>5.4285714285714288</v>
      </c>
      <c r="J17" s="49">
        <f>AVERAGE('22.07 Kampala-Kalerwe'!J17,'23.07 Kampala-Kalerwe'!J17,'24.07 Kampala-Kalewre'!J17,'25.07 Kampala-Kalewre'!J17,'26.07 Kampala-Kalerwe-24h'!J17,'27.07 Kampala-Kalerwe-24h'!J17,'28.07 Kampala-Kalerwe'!J17)</f>
        <v>0.5714285714285714</v>
      </c>
      <c r="K17" s="49">
        <f>AVERAGE('22.07 Kampala-Kalerwe'!K17,'23.07 Kampala-Kalerwe'!K17,'24.07 Kampala-Kalewre'!K17,'25.07 Kampala-Kalewre'!K17,'26.07 Kampala-Kalerwe-24h'!K17,'27.07 Kampala-Kalerwe-24h'!K17,'28.07 Kampala-Kalerwe'!K17)</f>
        <v>0.42857142857142855</v>
      </c>
      <c r="L17" s="49">
        <f>AVERAGE('22.07 Kampala-Kalerwe'!L17,'23.07 Kampala-Kalerwe'!L17,'24.07 Kampala-Kalewre'!L17,'25.07 Kampala-Kalewre'!L17,'26.07 Kampala-Kalerwe-24h'!L17,'27.07 Kampala-Kalerwe-24h'!L17,'28.07 Kampala-Kalerwe'!L17)</f>
        <v>0.42857142857142855</v>
      </c>
      <c r="M17" s="49">
        <f>AVERAGE('22.07 Kampala-Kalerwe'!M17,'23.07 Kampala-Kalerwe'!M17,'24.07 Kampala-Kalewre'!M17,'25.07 Kampala-Kalewre'!M17,'26.07 Kampala-Kalerwe-24h'!M17,'27.07 Kampala-Kalerwe-24h'!M17,'28.07 Kampala-Kalerwe'!M17)</f>
        <v>236.57142857142858</v>
      </c>
      <c r="N17" s="49">
        <f>AVERAGE('22.07 Kampala-Kalerwe'!N17,'23.07 Kampala-Kalerwe'!N17,'24.07 Kampala-Kalewre'!N17,'25.07 Kampala-Kalewre'!N17,'26.07 Kampala-Kalerwe-24h'!N17,'27.07 Kampala-Kalerwe-24h'!N17,'28.07 Kampala-Kalerwe'!N17)</f>
        <v>0</v>
      </c>
      <c r="O17" s="15">
        <f t="shared" si="0"/>
        <v>104.71428571428572</v>
      </c>
      <c r="P17" s="15">
        <f t="shared" si="1"/>
        <v>341.28571428571433</v>
      </c>
      <c r="R17" s="1" t="s">
        <v>13</v>
      </c>
      <c r="S17" s="17">
        <f t="shared" ref="S17:AF17" si="9">SUM(C38:C41)</f>
        <v>141</v>
      </c>
      <c r="T17" s="17">
        <f t="shared" si="9"/>
        <v>38</v>
      </c>
      <c r="U17" s="17">
        <f t="shared" si="9"/>
        <v>15.142857142857142</v>
      </c>
      <c r="V17" s="17">
        <f t="shared" si="9"/>
        <v>167.57142857142858</v>
      </c>
      <c r="W17" s="17">
        <f t="shared" si="9"/>
        <v>4.7142857142857144</v>
      </c>
      <c r="X17" s="17">
        <f t="shared" si="9"/>
        <v>3.1428571428571432</v>
      </c>
      <c r="Y17" s="17">
        <f t="shared" si="9"/>
        <v>50.571428571428569</v>
      </c>
      <c r="Z17" s="17">
        <f t="shared" si="9"/>
        <v>5.8571428571428568</v>
      </c>
      <c r="AA17" s="17">
        <f t="shared" si="9"/>
        <v>3.5714285714285712</v>
      </c>
      <c r="AB17" s="17">
        <f t="shared" si="9"/>
        <v>2.5714285714285712</v>
      </c>
      <c r="AC17" s="17">
        <f t="shared" si="9"/>
        <v>648.71428571428578</v>
      </c>
      <c r="AD17" s="17">
        <f t="shared" si="9"/>
        <v>0</v>
      </c>
      <c r="AE17" s="31">
        <f t="shared" si="9"/>
        <v>432.14285714285711</v>
      </c>
      <c r="AF17" s="31">
        <f t="shared" si="9"/>
        <v>1080.8571428571427</v>
      </c>
    </row>
    <row r="18" spans="2:32" ht="23.1" customHeight="1" x14ac:dyDescent="0.25">
      <c r="B18" s="23" t="s">
        <v>45</v>
      </c>
      <c r="C18" s="49">
        <f>AVERAGE('22.07 Kampala-Kalerwe'!C18,'23.07 Kampala-Kalerwe'!C18,'24.07 Kampala-Kalewre'!C18,'25.07 Kampala-Kalewre'!C18,'26.07 Kampala-Kalerwe-24h'!C18,'27.07 Kampala-Kalerwe-24h'!C18,'28.07 Kampala-Kalerwe'!C18)</f>
        <v>27.714285714285715</v>
      </c>
      <c r="D18" s="49">
        <f>AVERAGE('22.07 Kampala-Kalerwe'!D18,'23.07 Kampala-Kalerwe'!D18,'24.07 Kampala-Kalewre'!D18,'25.07 Kampala-Kalewre'!D18,'26.07 Kampala-Kalerwe-24h'!D18,'27.07 Kampala-Kalerwe-24h'!D18,'28.07 Kampala-Kalerwe'!D18)</f>
        <v>8.7142857142857135</v>
      </c>
      <c r="E18" s="49">
        <f>AVERAGE('22.07 Kampala-Kalerwe'!E18,'23.07 Kampala-Kalerwe'!E18,'24.07 Kampala-Kalewre'!E18,'25.07 Kampala-Kalewre'!E18,'26.07 Kampala-Kalerwe-24h'!E18,'27.07 Kampala-Kalerwe-24h'!E18,'28.07 Kampala-Kalerwe'!E18)</f>
        <v>5.8571428571428568</v>
      </c>
      <c r="F18" s="49">
        <f>AVERAGE('22.07 Kampala-Kalerwe'!F18,'23.07 Kampala-Kalerwe'!F18,'24.07 Kampala-Kalewre'!F18,'25.07 Kampala-Kalewre'!F18,'26.07 Kampala-Kalerwe-24h'!F18,'27.07 Kampala-Kalerwe-24h'!F18,'28.07 Kampala-Kalerwe'!F18)</f>
        <v>62.571428571428569</v>
      </c>
      <c r="G18" s="49">
        <f>AVERAGE('22.07 Kampala-Kalerwe'!G18,'23.07 Kampala-Kalerwe'!G18,'24.07 Kampala-Kalewre'!G18,'25.07 Kampala-Kalewre'!G18,'26.07 Kampala-Kalerwe-24h'!G18,'27.07 Kampala-Kalerwe-24h'!G18,'28.07 Kampala-Kalerwe'!G18)</f>
        <v>2.5714285714285716</v>
      </c>
      <c r="H18" s="49">
        <f>AVERAGE('22.07 Kampala-Kalerwe'!H18,'23.07 Kampala-Kalerwe'!H18,'24.07 Kampala-Kalewre'!H18,'25.07 Kampala-Kalewre'!H18,'26.07 Kampala-Kalerwe-24h'!H18,'27.07 Kampala-Kalerwe-24h'!H18,'28.07 Kampala-Kalerwe'!H18)</f>
        <v>0.5714285714285714</v>
      </c>
      <c r="I18" s="49">
        <f>AVERAGE('22.07 Kampala-Kalerwe'!I18,'23.07 Kampala-Kalerwe'!I18,'24.07 Kampala-Kalewre'!I18,'25.07 Kampala-Kalewre'!I18,'26.07 Kampala-Kalerwe-24h'!I18,'27.07 Kampala-Kalerwe-24h'!I18,'28.07 Kampala-Kalerwe'!I18)</f>
        <v>7.5714285714285712</v>
      </c>
      <c r="J18" s="49">
        <f>AVERAGE('22.07 Kampala-Kalerwe'!J18,'23.07 Kampala-Kalerwe'!J18,'24.07 Kampala-Kalewre'!J18,'25.07 Kampala-Kalewre'!J18,'26.07 Kampala-Kalerwe-24h'!J18,'27.07 Kampala-Kalerwe-24h'!J18,'28.07 Kampala-Kalerwe'!J18)</f>
        <v>1.7142857142857142</v>
      </c>
      <c r="K18" s="49">
        <f>AVERAGE('22.07 Kampala-Kalerwe'!K18,'23.07 Kampala-Kalerwe'!K18,'24.07 Kampala-Kalewre'!K18,'25.07 Kampala-Kalewre'!K18,'26.07 Kampala-Kalerwe-24h'!K18,'27.07 Kampala-Kalerwe-24h'!K18,'28.07 Kampala-Kalerwe'!K18)</f>
        <v>0.42857142857142855</v>
      </c>
      <c r="L18" s="49">
        <f>AVERAGE('22.07 Kampala-Kalerwe'!L18,'23.07 Kampala-Kalerwe'!L18,'24.07 Kampala-Kalewre'!L18,'25.07 Kampala-Kalewre'!L18,'26.07 Kampala-Kalerwe-24h'!L18,'27.07 Kampala-Kalerwe-24h'!L18,'28.07 Kampala-Kalerwe'!L18)</f>
        <v>0.2857142857142857</v>
      </c>
      <c r="M18" s="49">
        <f>AVERAGE('22.07 Kampala-Kalerwe'!M18,'23.07 Kampala-Kalerwe'!M18,'24.07 Kampala-Kalewre'!M18,'25.07 Kampala-Kalewre'!M18,'26.07 Kampala-Kalerwe-24h'!M18,'27.07 Kampala-Kalerwe-24h'!M18,'28.07 Kampala-Kalerwe'!M18)</f>
        <v>229</v>
      </c>
      <c r="N18" s="49">
        <f>AVERAGE('22.07 Kampala-Kalerwe'!N18,'23.07 Kampala-Kalerwe'!N18,'24.07 Kampala-Kalewre'!N18,'25.07 Kampala-Kalewre'!N18,'26.07 Kampala-Kalerwe-24h'!N18,'27.07 Kampala-Kalerwe-24h'!N18,'28.07 Kampala-Kalerwe'!N18)</f>
        <v>0</v>
      </c>
      <c r="O18" s="15">
        <f t="shared" si="0"/>
        <v>118</v>
      </c>
      <c r="P18" s="15">
        <f t="shared" si="1"/>
        <v>347</v>
      </c>
      <c r="R18" s="1" t="s">
        <v>14</v>
      </c>
      <c r="S18" s="17">
        <f t="shared" ref="S18:AF18" si="10">SUM(C42:C45)</f>
        <v>149</v>
      </c>
      <c r="T18" s="17">
        <f t="shared" si="10"/>
        <v>49.571428571428569</v>
      </c>
      <c r="U18" s="17">
        <f t="shared" si="10"/>
        <v>22.857142857142858</v>
      </c>
      <c r="V18" s="17">
        <f t="shared" si="10"/>
        <v>167</v>
      </c>
      <c r="W18" s="17">
        <f t="shared" si="10"/>
        <v>5.5714285714285712</v>
      </c>
      <c r="X18" s="17">
        <f t="shared" si="10"/>
        <v>2.2857142857142856</v>
      </c>
      <c r="Y18" s="17">
        <f t="shared" si="10"/>
        <v>32.857142857142861</v>
      </c>
      <c r="Z18" s="17">
        <f t="shared" si="10"/>
        <v>8.2857142857142865</v>
      </c>
      <c r="AA18" s="17">
        <f t="shared" si="10"/>
        <v>3.1428571428571428</v>
      </c>
      <c r="AB18" s="17">
        <f t="shared" si="10"/>
        <v>2.8571428571428568</v>
      </c>
      <c r="AC18" s="17">
        <f t="shared" si="10"/>
        <v>653.71428571428578</v>
      </c>
      <c r="AD18" s="17">
        <f t="shared" si="10"/>
        <v>0</v>
      </c>
      <c r="AE18" s="31">
        <f t="shared" si="10"/>
        <v>443.42857142857144</v>
      </c>
      <c r="AF18" s="31">
        <f t="shared" si="10"/>
        <v>1097.1428571428571</v>
      </c>
    </row>
    <row r="19" spans="2:32" ht="23.1" customHeight="1" x14ac:dyDescent="0.25">
      <c r="B19" s="23" t="s">
        <v>46</v>
      </c>
      <c r="C19" s="49">
        <f>AVERAGE('22.07 Kampala-Kalerwe'!C19,'23.07 Kampala-Kalerwe'!C19,'24.07 Kampala-Kalewre'!C19,'25.07 Kampala-Kalewre'!C19,'26.07 Kampala-Kalerwe-24h'!C19,'27.07 Kampala-Kalerwe-24h'!C19,'28.07 Kampala-Kalerwe'!C19)</f>
        <v>26.285714285714285</v>
      </c>
      <c r="D19" s="49">
        <f>AVERAGE('22.07 Kampala-Kalerwe'!D19,'23.07 Kampala-Kalerwe'!D19,'24.07 Kampala-Kalewre'!D19,'25.07 Kampala-Kalewre'!D19,'26.07 Kampala-Kalerwe-24h'!D19,'27.07 Kampala-Kalerwe-24h'!D19,'28.07 Kampala-Kalerwe'!D19)</f>
        <v>7.2857142857142856</v>
      </c>
      <c r="E19" s="49">
        <f>AVERAGE('22.07 Kampala-Kalerwe'!E19,'23.07 Kampala-Kalerwe'!E19,'24.07 Kampala-Kalewre'!E19,'25.07 Kampala-Kalewre'!E19,'26.07 Kampala-Kalerwe-24h'!E19,'27.07 Kampala-Kalerwe-24h'!E19,'28.07 Kampala-Kalerwe'!E19)</f>
        <v>3.8571428571428572</v>
      </c>
      <c r="F19" s="49">
        <f>AVERAGE('22.07 Kampala-Kalerwe'!F19,'23.07 Kampala-Kalerwe'!F19,'24.07 Kampala-Kalewre'!F19,'25.07 Kampala-Kalewre'!F19,'26.07 Kampala-Kalerwe-24h'!F19,'27.07 Kampala-Kalerwe-24h'!F19,'28.07 Kampala-Kalerwe'!F19)</f>
        <v>72.857142857142861</v>
      </c>
      <c r="G19" s="49">
        <f>AVERAGE('22.07 Kampala-Kalerwe'!G19,'23.07 Kampala-Kalerwe'!G19,'24.07 Kampala-Kalewre'!G19,'25.07 Kampala-Kalewre'!G19,'26.07 Kampala-Kalerwe-24h'!G19,'27.07 Kampala-Kalerwe-24h'!G19,'28.07 Kampala-Kalerwe'!G19)</f>
        <v>1.7142857142857142</v>
      </c>
      <c r="H19" s="49">
        <f>AVERAGE('22.07 Kampala-Kalerwe'!H19,'23.07 Kampala-Kalerwe'!H19,'24.07 Kampala-Kalewre'!H19,'25.07 Kampala-Kalewre'!H19,'26.07 Kampala-Kalerwe-24h'!H19,'27.07 Kampala-Kalerwe-24h'!H19,'28.07 Kampala-Kalerwe'!H19)</f>
        <v>0.42857142857142855</v>
      </c>
      <c r="I19" s="49">
        <f>AVERAGE('22.07 Kampala-Kalerwe'!I19,'23.07 Kampala-Kalerwe'!I19,'24.07 Kampala-Kalewre'!I19,'25.07 Kampala-Kalewre'!I19,'26.07 Kampala-Kalerwe-24h'!I19,'27.07 Kampala-Kalerwe-24h'!I19,'28.07 Kampala-Kalerwe'!I19)</f>
        <v>9.8571428571428577</v>
      </c>
      <c r="J19" s="49">
        <f>AVERAGE('22.07 Kampala-Kalerwe'!J19,'23.07 Kampala-Kalerwe'!J19,'24.07 Kampala-Kalewre'!J19,'25.07 Kampala-Kalewre'!J19,'26.07 Kampala-Kalerwe-24h'!J19,'27.07 Kampala-Kalerwe-24h'!J19,'28.07 Kampala-Kalerwe'!J19)</f>
        <v>1.4285714285714286</v>
      </c>
      <c r="K19" s="49">
        <f>AVERAGE('22.07 Kampala-Kalerwe'!K19,'23.07 Kampala-Kalerwe'!K19,'24.07 Kampala-Kalewre'!K19,'25.07 Kampala-Kalewre'!K19,'26.07 Kampala-Kalerwe-24h'!K19,'27.07 Kampala-Kalerwe-24h'!K19,'28.07 Kampala-Kalerwe'!K19)</f>
        <v>0.42857142857142855</v>
      </c>
      <c r="L19" s="49">
        <f>AVERAGE('22.07 Kampala-Kalerwe'!L19,'23.07 Kampala-Kalerwe'!L19,'24.07 Kampala-Kalewre'!L19,'25.07 Kampala-Kalewre'!L19,'26.07 Kampala-Kalerwe-24h'!L19,'27.07 Kampala-Kalerwe-24h'!L19,'28.07 Kampala-Kalerwe'!L19)</f>
        <v>0.5714285714285714</v>
      </c>
      <c r="M19" s="49">
        <f>AVERAGE('22.07 Kampala-Kalerwe'!M19,'23.07 Kampala-Kalerwe'!M19,'24.07 Kampala-Kalewre'!M19,'25.07 Kampala-Kalewre'!M19,'26.07 Kampala-Kalerwe-24h'!M19,'27.07 Kampala-Kalerwe-24h'!M19,'28.07 Kampala-Kalerwe'!M19)</f>
        <v>227.85714285714286</v>
      </c>
      <c r="N19" s="49">
        <f>AVERAGE('22.07 Kampala-Kalerwe'!N19,'23.07 Kampala-Kalerwe'!N19,'24.07 Kampala-Kalewre'!N19,'25.07 Kampala-Kalewre'!N19,'26.07 Kampala-Kalerwe-24h'!N19,'27.07 Kampala-Kalerwe-24h'!N19,'28.07 Kampala-Kalerwe'!N19)</f>
        <v>0</v>
      </c>
      <c r="O19" s="15">
        <f t="shared" si="0"/>
        <v>124.71428571428571</v>
      </c>
      <c r="P19" s="15">
        <f t="shared" si="1"/>
        <v>352.57142857142856</v>
      </c>
      <c r="R19" s="1" t="s">
        <v>15</v>
      </c>
      <c r="S19" s="17">
        <f t="shared" ref="S19:AF19" si="11">SUM(C46:C49)</f>
        <v>188.85714285714286</v>
      </c>
      <c r="T19" s="17">
        <f t="shared" si="11"/>
        <v>72</v>
      </c>
      <c r="U19" s="17">
        <f t="shared" si="11"/>
        <v>24.428571428571431</v>
      </c>
      <c r="V19" s="17">
        <f t="shared" si="11"/>
        <v>166.85714285714283</v>
      </c>
      <c r="W19" s="17">
        <f t="shared" si="11"/>
        <v>5.4285714285714288</v>
      </c>
      <c r="X19" s="17">
        <f t="shared" si="11"/>
        <v>2.2857142857142856</v>
      </c>
      <c r="Y19" s="17">
        <f t="shared" si="11"/>
        <v>44.714285714285708</v>
      </c>
      <c r="Z19" s="17">
        <f t="shared" si="11"/>
        <v>4.9999999999999991</v>
      </c>
      <c r="AA19" s="17">
        <f t="shared" si="11"/>
        <v>2</v>
      </c>
      <c r="AB19" s="17">
        <f t="shared" si="11"/>
        <v>1.714285714285714</v>
      </c>
      <c r="AC19" s="17">
        <f t="shared" si="11"/>
        <v>668.42857142857144</v>
      </c>
      <c r="AD19" s="17">
        <f t="shared" si="11"/>
        <v>0</v>
      </c>
      <c r="AE19" s="31">
        <f t="shared" si="11"/>
        <v>513.28571428571422</v>
      </c>
      <c r="AF19" s="31">
        <f t="shared" si="11"/>
        <v>1181.7142857142858</v>
      </c>
    </row>
    <row r="20" spans="2:32" ht="23.1" customHeight="1" x14ac:dyDescent="0.25">
      <c r="B20" s="23" t="s">
        <v>47</v>
      </c>
      <c r="C20" s="49">
        <f>AVERAGE('22.07 Kampala-Kalerwe'!C20,'23.07 Kampala-Kalerwe'!C20,'24.07 Kampala-Kalewre'!C20,'25.07 Kampala-Kalewre'!C20,'26.07 Kampala-Kalerwe-24h'!C20,'27.07 Kampala-Kalerwe-24h'!C20,'28.07 Kampala-Kalerwe'!C20)</f>
        <v>32.142857142857146</v>
      </c>
      <c r="D20" s="49">
        <f>AVERAGE('22.07 Kampala-Kalerwe'!D20,'23.07 Kampala-Kalerwe'!D20,'24.07 Kampala-Kalewre'!D20,'25.07 Kampala-Kalewre'!D20,'26.07 Kampala-Kalerwe-24h'!D20,'27.07 Kampala-Kalerwe-24h'!D20,'28.07 Kampala-Kalerwe'!D20)</f>
        <v>10</v>
      </c>
      <c r="E20" s="49">
        <f>AVERAGE('22.07 Kampala-Kalerwe'!E20,'23.07 Kampala-Kalerwe'!E20,'24.07 Kampala-Kalewre'!E20,'25.07 Kampala-Kalewre'!E20,'26.07 Kampala-Kalerwe-24h'!E20,'27.07 Kampala-Kalerwe-24h'!E20,'28.07 Kampala-Kalerwe'!E20)</f>
        <v>3.1428571428571428</v>
      </c>
      <c r="F20" s="49">
        <f>AVERAGE('22.07 Kampala-Kalerwe'!F20,'23.07 Kampala-Kalerwe'!F20,'24.07 Kampala-Kalewre'!F20,'25.07 Kampala-Kalewre'!F20,'26.07 Kampala-Kalerwe-24h'!F20,'27.07 Kampala-Kalerwe-24h'!F20,'28.07 Kampala-Kalerwe'!F20)</f>
        <v>69.428571428571431</v>
      </c>
      <c r="G20" s="49">
        <f>AVERAGE('22.07 Kampala-Kalerwe'!G20,'23.07 Kampala-Kalerwe'!G20,'24.07 Kampala-Kalewre'!G20,'25.07 Kampala-Kalewre'!G20,'26.07 Kampala-Kalerwe-24h'!G20,'27.07 Kampala-Kalerwe-24h'!G20,'28.07 Kampala-Kalerwe'!G20)</f>
        <v>1.1428571428571428</v>
      </c>
      <c r="H20" s="49">
        <f>AVERAGE('22.07 Kampala-Kalerwe'!H20,'23.07 Kampala-Kalerwe'!H20,'24.07 Kampala-Kalewre'!H20,'25.07 Kampala-Kalewre'!H20,'26.07 Kampala-Kalerwe-24h'!H20,'27.07 Kampala-Kalerwe-24h'!H20,'28.07 Kampala-Kalerwe'!H20)</f>
        <v>0.42857142857142855</v>
      </c>
      <c r="I20" s="49">
        <f>AVERAGE('22.07 Kampala-Kalerwe'!I20,'23.07 Kampala-Kalerwe'!I20,'24.07 Kampala-Kalewre'!I20,'25.07 Kampala-Kalewre'!I20,'26.07 Kampala-Kalerwe-24h'!I20,'27.07 Kampala-Kalerwe-24h'!I20,'28.07 Kampala-Kalerwe'!I20)</f>
        <v>10.285714285714286</v>
      </c>
      <c r="J20" s="49">
        <f>AVERAGE('22.07 Kampala-Kalerwe'!J20,'23.07 Kampala-Kalerwe'!J20,'24.07 Kampala-Kalewre'!J20,'25.07 Kampala-Kalewre'!J20,'26.07 Kampala-Kalerwe-24h'!J20,'27.07 Kampala-Kalerwe-24h'!J20,'28.07 Kampala-Kalerwe'!J20)</f>
        <v>2.2857142857142856</v>
      </c>
      <c r="K20" s="49">
        <f>AVERAGE('22.07 Kampala-Kalerwe'!K20,'23.07 Kampala-Kalerwe'!K20,'24.07 Kampala-Kalewre'!K20,'25.07 Kampala-Kalewre'!K20,'26.07 Kampala-Kalerwe-24h'!K20,'27.07 Kampala-Kalerwe-24h'!K20,'28.07 Kampala-Kalerwe'!K20)</f>
        <v>0.2857142857142857</v>
      </c>
      <c r="L20" s="49">
        <f>AVERAGE('22.07 Kampala-Kalerwe'!L20,'23.07 Kampala-Kalerwe'!L20,'24.07 Kampala-Kalewre'!L20,'25.07 Kampala-Kalewre'!L20,'26.07 Kampala-Kalerwe-24h'!L20,'27.07 Kampala-Kalerwe-24h'!L20,'28.07 Kampala-Kalerwe'!L20)</f>
        <v>0.2857142857142857</v>
      </c>
      <c r="M20" s="49">
        <f>AVERAGE('22.07 Kampala-Kalerwe'!M20,'23.07 Kampala-Kalerwe'!M20,'24.07 Kampala-Kalewre'!M20,'25.07 Kampala-Kalewre'!M20,'26.07 Kampala-Kalerwe-24h'!M20,'27.07 Kampala-Kalerwe-24h'!M20,'28.07 Kampala-Kalerwe'!M20)</f>
        <v>221.71428571428572</v>
      </c>
      <c r="N20" s="49">
        <f>AVERAGE('22.07 Kampala-Kalerwe'!N20,'23.07 Kampala-Kalerwe'!N20,'24.07 Kampala-Kalewre'!N20,'25.07 Kampala-Kalewre'!N20,'26.07 Kampala-Kalerwe-24h'!N20,'27.07 Kampala-Kalerwe-24h'!N20,'28.07 Kampala-Kalerwe'!N20)</f>
        <v>0</v>
      </c>
      <c r="O20" s="15">
        <f t="shared" si="0"/>
        <v>129.42857142857142</v>
      </c>
      <c r="P20" s="15">
        <f t="shared" si="1"/>
        <v>351.14285714285711</v>
      </c>
      <c r="R20" s="1" t="s">
        <v>16</v>
      </c>
      <c r="S20" s="17">
        <f t="shared" ref="S20:AF20" si="12">SUM(C50:C53)</f>
        <v>238.42857142857142</v>
      </c>
      <c r="T20" s="17">
        <f t="shared" si="12"/>
        <v>52</v>
      </c>
      <c r="U20" s="17">
        <f t="shared" si="12"/>
        <v>18</v>
      </c>
      <c r="V20" s="17">
        <f t="shared" si="12"/>
        <v>144.28571428571428</v>
      </c>
      <c r="W20" s="17">
        <f t="shared" si="12"/>
        <v>4.8571428571428577</v>
      </c>
      <c r="X20" s="17">
        <f t="shared" si="12"/>
        <v>2.714285714285714</v>
      </c>
      <c r="Y20" s="17">
        <f t="shared" si="12"/>
        <v>38.714285714285715</v>
      </c>
      <c r="Z20" s="17">
        <f t="shared" si="12"/>
        <v>5.1428571428571432</v>
      </c>
      <c r="AA20" s="17">
        <f t="shared" si="12"/>
        <v>4</v>
      </c>
      <c r="AB20" s="17">
        <f t="shared" si="12"/>
        <v>2.5714285714285712</v>
      </c>
      <c r="AC20" s="17">
        <f t="shared" si="12"/>
        <v>663.14285714285722</v>
      </c>
      <c r="AD20" s="17">
        <f t="shared" si="12"/>
        <v>0</v>
      </c>
      <c r="AE20" s="31">
        <f t="shared" si="12"/>
        <v>510.71428571428567</v>
      </c>
      <c r="AF20" s="31">
        <f t="shared" si="12"/>
        <v>1173.8571428571429</v>
      </c>
    </row>
    <row r="21" spans="2:32" ht="23.1" customHeight="1" x14ac:dyDescent="0.25">
      <c r="B21" s="23" t="s">
        <v>48</v>
      </c>
      <c r="C21" s="49">
        <f>AVERAGE('22.07 Kampala-Kalerwe'!C21,'23.07 Kampala-Kalerwe'!C21,'24.07 Kampala-Kalewre'!C21,'25.07 Kampala-Kalewre'!C21,'26.07 Kampala-Kalerwe-24h'!C21,'27.07 Kampala-Kalerwe-24h'!C21,'28.07 Kampala-Kalerwe'!C21)</f>
        <v>39.285714285714285</v>
      </c>
      <c r="D21" s="49">
        <f>AVERAGE('22.07 Kampala-Kalerwe'!D21,'23.07 Kampala-Kalerwe'!D21,'24.07 Kampala-Kalewre'!D21,'25.07 Kampala-Kalewre'!D21,'26.07 Kampala-Kalerwe-24h'!D21,'27.07 Kampala-Kalerwe-24h'!D21,'28.07 Kampala-Kalerwe'!D21)</f>
        <v>7.7142857142857144</v>
      </c>
      <c r="E21" s="49">
        <f>AVERAGE('22.07 Kampala-Kalerwe'!E21,'23.07 Kampala-Kalerwe'!E21,'24.07 Kampala-Kalewre'!E21,'25.07 Kampala-Kalewre'!E21,'26.07 Kampala-Kalerwe-24h'!E21,'27.07 Kampala-Kalerwe-24h'!E21,'28.07 Kampala-Kalerwe'!E21)</f>
        <v>4.5714285714285712</v>
      </c>
      <c r="F21" s="49">
        <f>AVERAGE('22.07 Kampala-Kalerwe'!F21,'23.07 Kampala-Kalerwe'!F21,'24.07 Kampala-Kalewre'!F21,'25.07 Kampala-Kalewre'!F21,'26.07 Kampala-Kalerwe-24h'!F21,'27.07 Kampala-Kalerwe-24h'!F21,'28.07 Kampala-Kalerwe'!F21)</f>
        <v>57.142857142857146</v>
      </c>
      <c r="G21" s="49">
        <f>AVERAGE('22.07 Kampala-Kalerwe'!G21,'23.07 Kampala-Kalerwe'!G21,'24.07 Kampala-Kalewre'!G21,'25.07 Kampala-Kalewre'!G21,'26.07 Kampala-Kalerwe-24h'!G21,'27.07 Kampala-Kalerwe-24h'!G21,'28.07 Kampala-Kalerwe'!G21)</f>
        <v>1.2857142857142858</v>
      </c>
      <c r="H21" s="49">
        <f>AVERAGE('22.07 Kampala-Kalerwe'!H21,'23.07 Kampala-Kalerwe'!H21,'24.07 Kampala-Kalewre'!H21,'25.07 Kampala-Kalewre'!H21,'26.07 Kampala-Kalerwe-24h'!H21,'27.07 Kampala-Kalerwe-24h'!H21,'28.07 Kampala-Kalerwe'!H21)</f>
        <v>0.2857142857142857</v>
      </c>
      <c r="I21" s="49">
        <f>AVERAGE('22.07 Kampala-Kalerwe'!I21,'23.07 Kampala-Kalerwe'!I21,'24.07 Kampala-Kalewre'!I21,'25.07 Kampala-Kalewre'!I21,'26.07 Kampala-Kalerwe-24h'!I21,'27.07 Kampala-Kalerwe-24h'!I21,'28.07 Kampala-Kalerwe'!I21)</f>
        <v>9.7142857142857135</v>
      </c>
      <c r="J21" s="49">
        <f>AVERAGE('22.07 Kampala-Kalerwe'!J21,'23.07 Kampala-Kalerwe'!J21,'24.07 Kampala-Kalewre'!J21,'25.07 Kampala-Kalewre'!J21,'26.07 Kampala-Kalerwe-24h'!J21,'27.07 Kampala-Kalerwe-24h'!J21,'28.07 Kampala-Kalerwe'!J21)</f>
        <v>1.1428571428571428</v>
      </c>
      <c r="K21" s="49">
        <f>AVERAGE('22.07 Kampala-Kalerwe'!K21,'23.07 Kampala-Kalerwe'!K21,'24.07 Kampala-Kalewre'!K21,'25.07 Kampala-Kalewre'!K21,'26.07 Kampala-Kalerwe-24h'!K21,'27.07 Kampala-Kalerwe-24h'!K21,'28.07 Kampala-Kalerwe'!K21)</f>
        <v>0.8571428571428571</v>
      </c>
      <c r="L21" s="49">
        <f>AVERAGE('22.07 Kampala-Kalerwe'!L21,'23.07 Kampala-Kalerwe'!L21,'24.07 Kampala-Kalewre'!L21,'25.07 Kampala-Kalewre'!L21,'26.07 Kampala-Kalerwe-24h'!L21,'27.07 Kampala-Kalerwe-24h'!L21,'28.07 Kampala-Kalerwe'!L21)</f>
        <v>0.42857142857142855</v>
      </c>
      <c r="M21" s="49">
        <f>AVERAGE('22.07 Kampala-Kalerwe'!M21,'23.07 Kampala-Kalerwe'!M21,'24.07 Kampala-Kalewre'!M21,'25.07 Kampala-Kalewre'!M21,'26.07 Kampala-Kalerwe-24h'!M21,'27.07 Kampala-Kalerwe-24h'!M21,'28.07 Kampala-Kalerwe'!M21)</f>
        <v>230</v>
      </c>
      <c r="N21" s="49">
        <f>AVERAGE('22.07 Kampala-Kalerwe'!N21,'23.07 Kampala-Kalerwe'!N21,'24.07 Kampala-Kalewre'!N21,'25.07 Kampala-Kalewre'!N21,'26.07 Kampala-Kalerwe-24h'!N21,'27.07 Kampala-Kalerwe-24h'!N21,'28.07 Kampala-Kalerwe'!N21)</f>
        <v>0</v>
      </c>
      <c r="O21" s="15">
        <f t="shared" si="0"/>
        <v>122.42857142857144</v>
      </c>
      <c r="P21" s="15">
        <f t="shared" si="1"/>
        <v>352.42857142857144</v>
      </c>
      <c r="R21" s="36" t="s">
        <v>20</v>
      </c>
      <c r="S21" s="34">
        <f t="shared" ref="S21:AF21" si="13">SUM(C54:C57)</f>
        <v>227.28571428571428</v>
      </c>
      <c r="T21" s="17">
        <f t="shared" si="13"/>
        <v>57.428571428571431</v>
      </c>
      <c r="U21" s="17">
        <f t="shared" si="13"/>
        <v>17.714285714285715</v>
      </c>
      <c r="V21" s="17">
        <f t="shared" si="13"/>
        <v>140.14285714285714</v>
      </c>
      <c r="W21" s="17">
        <f t="shared" si="13"/>
        <v>5.4285714285714288</v>
      </c>
      <c r="X21" s="17">
        <f t="shared" si="13"/>
        <v>2.5714285714285712</v>
      </c>
      <c r="Y21" s="17">
        <f t="shared" si="13"/>
        <v>30.285714285714285</v>
      </c>
      <c r="Z21" s="17">
        <f t="shared" si="13"/>
        <v>6.5714285714285721</v>
      </c>
      <c r="AA21" s="17">
        <f t="shared" si="13"/>
        <v>4.1428571428571423</v>
      </c>
      <c r="AB21" s="17">
        <f t="shared" si="13"/>
        <v>2</v>
      </c>
      <c r="AC21" s="17">
        <f t="shared" si="13"/>
        <v>759.57142857142856</v>
      </c>
      <c r="AD21" s="17">
        <f t="shared" si="13"/>
        <v>0</v>
      </c>
      <c r="AE21" s="31">
        <f t="shared" si="13"/>
        <v>493.5714285714285</v>
      </c>
      <c r="AF21" s="31">
        <f t="shared" si="13"/>
        <v>1253.1428571428571</v>
      </c>
    </row>
    <row r="22" spans="2:32" ht="23.1" customHeight="1" x14ac:dyDescent="0.25">
      <c r="B22" s="23" t="s">
        <v>49</v>
      </c>
      <c r="C22" s="49">
        <f>AVERAGE('22.07 Kampala-Kalerwe'!C22,'23.07 Kampala-Kalerwe'!C22,'24.07 Kampala-Kalewre'!C22,'25.07 Kampala-Kalewre'!C22,'26.07 Kampala-Kalerwe-24h'!C22,'27.07 Kampala-Kalerwe-24h'!C22,'28.07 Kampala-Kalerwe'!C22)</f>
        <v>31.285714285714285</v>
      </c>
      <c r="D22" s="49">
        <f>AVERAGE('22.07 Kampala-Kalerwe'!D22,'23.07 Kampala-Kalerwe'!D22,'24.07 Kampala-Kalewre'!D22,'25.07 Kampala-Kalewre'!D22,'26.07 Kampala-Kalerwe-24h'!D22,'27.07 Kampala-Kalerwe-24h'!D22,'28.07 Kampala-Kalerwe'!D22)</f>
        <v>8.4285714285714288</v>
      </c>
      <c r="E22" s="49">
        <f>AVERAGE('22.07 Kampala-Kalerwe'!E22,'23.07 Kampala-Kalerwe'!E22,'24.07 Kampala-Kalewre'!E22,'25.07 Kampala-Kalewre'!E22,'26.07 Kampala-Kalerwe-24h'!E22,'27.07 Kampala-Kalerwe-24h'!E22,'28.07 Kampala-Kalerwe'!E22)</f>
        <v>3</v>
      </c>
      <c r="F22" s="49">
        <f>AVERAGE('22.07 Kampala-Kalerwe'!F22,'23.07 Kampala-Kalerwe'!F22,'24.07 Kampala-Kalewre'!F22,'25.07 Kampala-Kalewre'!F22,'26.07 Kampala-Kalerwe-24h'!F22,'27.07 Kampala-Kalerwe-24h'!F22,'28.07 Kampala-Kalerwe'!F22)</f>
        <v>47.571428571428569</v>
      </c>
      <c r="G22" s="49">
        <f>AVERAGE('22.07 Kampala-Kalerwe'!G22,'23.07 Kampala-Kalerwe'!G22,'24.07 Kampala-Kalewre'!G22,'25.07 Kampala-Kalewre'!G22,'26.07 Kampala-Kalerwe-24h'!G22,'27.07 Kampala-Kalerwe-24h'!G22,'28.07 Kampala-Kalerwe'!G22)</f>
        <v>0.5714285714285714</v>
      </c>
      <c r="H22" s="49">
        <f>AVERAGE('22.07 Kampala-Kalerwe'!H22,'23.07 Kampala-Kalerwe'!H22,'24.07 Kampala-Kalewre'!H22,'25.07 Kampala-Kalewre'!H22,'26.07 Kampala-Kalerwe-24h'!H22,'27.07 Kampala-Kalerwe-24h'!H22,'28.07 Kampala-Kalerwe'!H22)</f>
        <v>1.5714285714285714</v>
      </c>
      <c r="I22" s="49">
        <f>AVERAGE('22.07 Kampala-Kalerwe'!I22,'23.07 Kampala-Kalerwe'!I22,'24.07 Kampala-Kalewre'!I22,'25.07 Kampala-Kalewre'!I22,'26.07 Kampala-Kalerwe-24h'!I22,'27.07 Kampala-Kalerwe-24h'!I22,'28.07 Kampala-Kalerwe'!I22)</f>
        <v>8.8571428571428577</v>
      </c>
      <c r="J22" s="49">
        <f>AVERAGE('22.07 Kampala-Kalerwe'!J22,'23.07 Kampala-Kalerwe'!J22,'24.07 Kampala-Kalewre'!J22,'25.07 Kampala-Kalewre'!J22,'26.07 Kampala-Kalerwe-24h'!J22,'27.07 Kampala-Kalerwe-24h'!J22,'28.07 Kampala-Kalerwe'!J22)</f>
        <v>2</v>
      </c>
      <c r="K22" s="49">
        <f>AVERAGE('22.07 Kampala-Kalerwe'!K22,'23.07 Kampala-Kalerwe'!K22,'24.07 Kampala-Kalewre'!K22,'25.07 Kampala-Kalewre'!K22,'26.07 Kampala-Kalerwe-24h'!K22,'27.07 Kampala-Kalerwe-24h'!K22,'28.07 Kampala-Kalerwe'!K22)</f>
        <v>0.7142857142857143</v>
      </c>
      <c r="L22" s="49">
        <f>AVERAGE('22.07 Kampala-Kalerwe'!L22,'23.07 Kampala-Kalerwe'!L22,'24.07 Kampala-Kalewre'!L22,'25.07 Kampala-Kalewre'!L22,'26.07 Kampala-Kalerwe-24h'!L22,'27.07 Kampala-Kalerwe-24h'!L22,'28.07 Kampala-Kalerwe'!L22)</f>
        <v>0.42857142857142855</v>
      </c>
      <c r="M22" s="49">
        <f>AVERAGE('22.07 Kampala-Kalerwe'!M22,'23.07 Kampala-Kalerwe'!M22,'24.07 Kampala-Kalewre'!M22,'25.07 Kampala-Kalewre'!M22,'26.07 Kampala-Kalerwe-24h'!M22,'27.07 Kampala-Kalerwe-24h'!M22,'28.07 Kampala-Kalerwe'!M22)</f>
        <v>205.71428571428572</v>
      </c>
      <c r="N22" s="49">
        <f>AVERAGE('22.07 Kampala-Kalerwe'!N22,'23.07 Kampala-Kalerwe'!N22,'24.07 Kampala-Kalewre'!N22,'25.07 Kampala-Kalewre'!N22,'26.07 Kampala-Kalerwe-24h'!N22,'27.07 Kampala-Kalerwe-24h'!N22,'28.07 Kampala-Kalerwe'!N22)</f>
        <v>0</v>
      </c>
      <c r="O22" s="15">
        <f t="shared" si="0"/>
        <v>104.42857142857142</v>
      </c>
      <c r="P22" s="15">
        <f t="shared" si="1"/>
        <v>310.14285714285711</v>
      </c>
      <c r="R22" s="1" t="s">
        <v>146</v>
      </c>
      <c r="S22" s="34">
        <f>SUM(C58:C61)</f>
        <v>180.5</v>
      </c>
      <c r="T22" s="34">
        <f t="shared" ref="T22:AF22" si="14">SUM(D58:D61)</f>
        <v>69.5</v>
      </c>
      <c r="U22" s="34">
        <f t="shared" si="14"/>
        <v>7.5</v>
      </c>
      <c r="V22" s="34">
        <f t="shared" si="14"/>
        <v>157.5</v>
      </c>
      <c r="W22" s="34">
        <f t="shared" si="14"/>
        <v>12.5</v>
      </c>
      <c r="X22" s="34">
        <f t="shared" si="14"/>
        <v>1</v>
      </c>
      <c r="Y22" s="34">
        <f t="shared" si="14"/>
        <v>51.5</v>
      </c>
      <c r="Z22" s="34">
        <f t="shared" si="14"/>
        <v>12.5</v>
      </c>
      <c r="AA22" s="34">
        <f t="shared" si="14"/>
        <v>5</v>
      </c>
      <c r="AB22" s="34">
        <f t="shared" si="14"/>
        <v>4.5</v>
      </c>
      <c r="AC22" s="34">
        <f t="shared" si="14"/>
        <v>629</v>
      </c>
      <c r="AD22" s="34">
        <f t="shared" si="14"/>
        <v>0</v>
      </c>
      <c r="AE22" s="31">
        <f t="shared" si="14"/>
        <v>502</v>
      </c>
      <c r="AF22" s="31">
        <f t="shared" si="14"/>
        <v>1131</v>
      </c>
    </row>
    <row r="23" spans="2:32" ht="23.1" customHeight="1" x14ac:dyDescent="0.25">
      <c r="B23" s="23" t="s">
        <v>50</v>
      </c>
      <c r="C23" s="49">
        <f>AVERAGE('22.07 Kampala-Kalerwe'!C23,'23.07 Kampala-Kalerwe'!C23,'24.07 Kampala-Kalewre'!C23,'25.07 Kampala-Kalewre'!C23,'26.07 Kampala-Kalerwe-24h'!C23,'27.07 Kampala-Kalerwe-24h'!C23,'28.07 Kampala-Kalerwe'!C23)</f>
        <v>28.142857142857142</v>
      </c>
      <c r="D23" s="49">
        <f>AVERAGE('22.07 Kampala-Kalerwe'!D23,'23.07 Kampala-Kalerwe'!D23,'24.07 Kampala-Kalewre'!D23,'25.07 Kampala-Kalewre'!D23,'26.07 Kampala-Kalerwe-24h'!D23,'27.07 Kampala-Kalerwe-24h'!D23,'28.07 Kampala-Kalerwe'!D23)</f>
        <v>9.5714285714285712</v>
      </c>
      <c r="E23" s="49">
        <f>AVERAGE('22.07 Kampala-Kalerwe'!E23,'23.07 Kampala-Kalerwe'!E23,'24.07 Kampala-Kalewre'!E23,'25.07 Kampala-Kalewre'!E23,'26.07 Kampala-Kalerwe-24h'!E23,'27.07 Kampala-Kalerwe-24h'!E23,'28.07 Kampala-Kalerwe'!E23)</f>
        <v>4.5714285714285712</v>
      </c>
      <c r="F23" s="49">
        <f>AVERAGE('22.07 Kampala-Kalerwe'!F23,'23.07 Kampala-Kalerwe'!F23,'24.07 Kampala-Kalewre'!F23,'25.07 Kampala-Kalewre'!F23,'26.07 Kampala-Kalerwe-24h'!F23,'27.07 Kampala-Kalerwe-24h'!F23,'28.07 Kampala-Kalerwe'!F23)</f>
        <v>46.428571428571431</v>
      </c>
      <c r="G23" s="49">
        <f>AVERAGE('22.07 Kampala-Kalerwe'!G23,'23.07 Kampala-Kalerwe'!G23,'24.07 Kampala-Kalewre'!G23,'25.07 Kampala-Kalewre'!G23,'26.07 Kampala-Kalerwe-24h'!G23,'27.07 Kampala-Kalerwe-24h'!G23,'28.07 Kampala-Kalerwe'!G23)</f>
        <v>1.5714285714285714</v>
      </c>
      <c r="H23" s="49">
        <f>AVERAGE('22.07 Kampala-Kalerwe'!H23,'23.07 Kampala-Kalerwe'!H23,'24.07 Kampala-Kalewre'!H23,'25.07 Kampala-Kalewre'!H23,'26.07 Kampala-Kalerwe-24h'!H23,'27.07 Kampala-Kalerwe-24h'!H23,'28.07 Kampala-Kalerwe'!H23)</f>
        <v>0.5714285714285714</v>
      </c>
      <c r="I23" s="49">
        <f>AVERAGE('22.07 Kampala-Kalerwe'!I23,'23.07 Kampala-Kalerwe'!I23,'24.07 Kampala-Kalewre'!I23,'25.07 Kampala-Kalewre'!I23,'26.07 Kampala-Kalerwe-24h'!I23,'27.07 Kampala-Kalerwe-24h'!I23,'28.07 Kampala-Kalerwe'!I23)</f>
        <v>8.7142857142857135</v>
      </c>
      <c r="J23" s="49">
        <f>AVERAGE('22.07 Kampala-Kalerwe'!J23,'23.07 Kampala-Kalerwe'!J23,'24.07 Kampala-Kalewre'!J23,'25.07 Kampala-Kalewre'!J23,'26.07 Kampala-Kalerwe-24h'!J23,'27.07 Kampala-Kalerwe-24h'!J23,'28.07 Kampala-Kalerwe'!J23)</f>
        <v>1</v>
      </c>
      <c r="K23" s="49">
        <f>AVERAGE('22.07 Kampala-Kalerwe'!K23,'23.07 Kampala-Kalerwe'!K23,'24.07 Kampala-Kalewre'!K23,'25.07 Kampala-Kalewre'!K23,'26.07 Kampala-Kalerwe-24h'!K23,'27.07 Kampala-Kalerwe-24h'!K23,'28.07 Kampala-Kalerwe'!K23)</f>
        <v>0.8571428571428571</v>
      </c>
      <c r="L23" s="49">
        <f>AVERAGE('22.07 Kampala-Kalerwe'!L23,'23.07 Kampala-Kalerwe'!L23,'24.07 Kampala-Kalewre'!L23,'25.07 Kampala-Kalewre'!L23,'26.07 Kampala-Kalerwe-24h'!L23,'27.07 Kampala-Kalerwe-24h'!L23,'28.07 Kampala-Kalerwe'!L23)</f>
        <v>0.5714285714285714</v>
      </c>
      <c r="M23" s="49">
        <f>AVERAGE('22.07 Kampala-Kalerwe'!M23,'23.07 Kampala-Kalerwe'!M23,'24.07 Kampala-Kalewre'!M23,'25.07 Kampala-Kalewre'!M23,'26.07 Kampala-Kalerwe-24h'!M23,'27.07 Kampala-Kalerwe-24h'!M23,'28.07 Kampala-Kalerwe'!M23)</f>
        <v>212.57142857142858</v>
      </c>
      <c r="N23" s="49">
        <f>AVERAGE('22.07 Kampala-Kalerwe'!N23,'23.07 Kampala-Kalerwe'!N23,'24.07 Kampala-Kalewre'!N23,'25.07 Kampala-Kalewre'!N23,'26.07 Kampala-Kalerwe-24h'!N23,'27.07 Kampala-Kalerwe-24h'!N23,'28.07 Kampala-Kalerwe'!N23)</f>
        <v>0</v>
      </c>
      <c r="O23" s="15">
        <f t="shared" si="0"/>
        <v>102</v>
      </c>
      <c r="P23" s="15">
        <f t="shared" si="1"/>
        <v>314.57142857142856</v>
      </c>
      <c r="R23" s="1" t="s">
        <v>147</v>
      </c>
      <c r="S23" s="34">
        <f>SUM(C62:C65)</f>
        <v>221.5</v>
      </c>
      <c r="T23" s="34">
        <f t="shared" ref="T23:AF23" si="15">SUM(D62:D65)</f>
        <v>92</v>
      </c>
      <c r="U23" s="34">
        <f t="shared" si="15"/>
        <v>28</v>
      </c>
      <c r="V23" s="34">
        <f t="shared" si="15"/>
        <v>195</v>
      </c>
      <c r="W23" s="34">
        <f t="shared" si="15"/>
        <v>21.5</v>
      </c>
      <c r="X23" s="34">
        <f t="shared" si="15"/>
        <v>12</v>
      </c>
      <c r="Y23" s="34">
        <f t="shared" si="15"/>
        <v>17.5</v>
      </c>
      <c r="Z23" s="34">
        <f t="shared" si="15"/>
        <v>10</v>
      </c>
      <c r="AA23" s="34">
        <f t="shared" si="15"/>
        <v>5</v>
      </c>
      <c r="AB23" s="34">
        <f t="shared" si="15"/>
        <v>2</v>
      </c>
      <c r="AC23" s="34">
        <f t="shared" si="15"/>
        <v>616.5</v>
      </c>
      <c r="AD23" s="34">
        <f t="shared" si="15"/>
        <v>0.5</v>
      </c>
      <c r="AE23" s="31">
        <f t="shared" si="15"/>
        <v>605</v>
      </c>
      <c r="AF23" s="31">
        <f t="shared" si="15"/>
        <v>1221.5</v>
      </c>
    </row>
    <row r="24" spans="2:32" ht="23.1" customHeight="1" x14ac:dyDescent="0.25">
      <c r="B24" s="23" t="s">
        <v>51</v>
      </c>
      <c r="C24" s="49">
        <f>AVERAGE('22.07 Kampala-Kalerwe'!C24,'23.07 Kampala-Kalerwe'!C24,'24.07 Kampala-Kalewre'!C24,'25.07 Kampala-Kalewre'!C24,'26.07 Kampala-Kalerwe-24h'!C24,'27.07 Kampala-Kalerwe-24h'!C24,'28.07 Kampala-Kalerwe'!C24)</f>
        <v>33.714285714285715</v>
      </c>
      <c r="D24" s="49">
        <f>AVERAGE('22.07 Kampala-Kalerwe'!D24,'23.07 Kampala-Kalerwe'!D24,'24.07 Kampala-Kalewre'!D24,'25.07 Kampala-Kalewre'!D24,'26.07 Kampala-Kalerwe-24h'!D24,'27.07 Kampala-Kalerwe-24h'!D24,'28.07 Kampala-Kalerwe'!D24)</f>
        <v>9.7142857142857135</v>
      </c>
      <c r="E24" s="49">
        <f>AVERAGE('22.07 Kampala-Kalerwe'!E24,'23.07 Kampala-Kalerwe'!E24,'24.07 Kampala-Kalewre'!E24,'25.07 Kampala-Kalewre'!E24,'26.07 Kampala-Kalerwe-24h'!E24,'27.07 Kampala-Kalerwe-24h'!E24,'28.07 Kampala-Kalerwe'!E24)</f>
        <v>5.8571428571428568</v>
      </c>
      <c r="F24" s="49">
        <f>AVERAGE('22.07 Kampala-Kalerwe'!F24,'23.07 Kampala-Kalerwe'!F24,'24.07 Kampala-Kalewre'!F24,'25.07 Kampala-Kalewre'!F24,'26.07 Kampala-Kalerwe-24h'!F24,'27.07 Kampala-Kalerwe-24h'!F24,'28.07 Kampala-Kalerwe'!F24)</f>
        <v>46</v>
      </c>
      <c r="G24" s="49">
        <f>AVERAGE('22.07 Kampala-Kalerwe'!G24,'23.07 Kampala-Kalerwe'!G24,'24.07 Kampala-Kalewre'!G24,'25.07 Kampala-Kalewre'!G24,'26.07 Kampala-Kalerwe-24h'!G24,'27.07 Kampala-Kalerwe-24h'!G24,'28.07 Kampala-Kalerwe'!G24)</f>
        <v>0.7142857142857143</v>
      </c>
      <c r="H24" s="49">
        <f>AVERAGE('22.07 Kampala-Kalerwe'!H24,'23.07 Kampala-Kalerwe'!H24,'24.07 Kampala-Kalewre'!H24,'25.07 Kampala-Kalewre'!H24,'26.07 Kampala-Kalerwe-24h'!H24,'27.07 Kampala-Kalerwe-24h'!H24,'28.07 Kampala-Kalerwe'!H24)</f>
        <v>0.7142857142857143</v>
      </c>
      <c r="I24" s="49">
        <f>AVERAGE('22.07 Kampala-Kalerwe'!I24,'23.07 Kampala-Kalerwe'!I24,'24.07 Kampala-Kalewre'!I24,'25.07 Kampala-Kalewre'!I24,'26.07 Kampala-Kalerwe-24h'!I24,'27.07 Kampala-Kalerwe-24h'!I24,'28.07 Kampala-Kalerwe'!I24)</f>
        <v>10.857142857142858</v>
      </c>
      <c r="J24" s="49">
        <f>AVERAGE('22.07 Kampala-Kalerwe'!J24,'23.07 Kampala-Kalerwe'!J24,'24.07 Kampala-Kalewre'!J24,'25.07 Kampala-Kalewre'!J24,'26.07 Kampala-Kalerwe-24h'!J24,'27.07 Kampala-Kalerwe-24h'!J24,'28.07 Kampala-Kalerwe'!J24)</f>
        <v>2.2857142857142856</v>
      </c>
      <c r="K24" s="49">
        <f>AVERAGE('22.07 Kampala-Kalerwe'!K24,'23.07 Kampala-Kalerwe'!K24,'24.07 Kampala-Kalewre'!K24,'25.07 Kampala-Kalewre'!K24,'26.07 Kampala-Kalerwe-24h'!K24,'27.07 Kampala-Kalerwe-24h'!K24,'28.07 Kampala-Kalerwe'!K24)</f>
        <v>0.5714285714285714</v>
      </c>
      <c r="L24" s="49">
        <f>AVERAGE('22.07 Kampala-Kalerwe'!L24,'23.07 Kampala-Kalerwe'!L24,'24.07 Kampala-Kalewre'!L24,'25.07 Kampala-Kalewre'!L24,'26.07 Kampala-Kalerwe-24h'!L24,'27.07 Kampala-Kalerwe-24h'!L24,'28.07 Kampala-Kalerwe'!L24)</f>
        <v>0.42857142857142855</v>
      </c>
      <c r="M24" s="49">
        <f>AVERAGE('22.07 Kampala-Kalerwe'!M24,'23.07 Kampala-Kalerwe'!M24,'24.07 Kampala-Kalewre'!M24,'25.07 Kampala-Kalewre'!M24,'26.07 Kampala-Kalerwe-24h'!M24,'27.07 Kampala-Kalerwe-24h'!M24,'28.07 Kampala-Kalerwe'!M24)</f>
        <v>202</v>
      </c>
      <c r="N24" s="49">
        <f>AVERAGE('22.07 Kampala-Kalerwe'!N24,'23.07 Kampala-Kalerwe'!N24,'24.07 Kampala-Kalewre'!N24,'25.07 Kampala-Kalewre'!N24,'26.07 Kampala-Kalerwe-24h'!N24,'27.07 Kampala-Kalerwe-24h'!N24,'28.07 Kampala-Kalerwe'!N24)</f>
        <v>0</v>
      </c>
      <c r="O24" s="15">
        <f t="shared" si="0"/>
        <v>110.85714285714285</v>
      </c>
      <c r="P24" s="15">
        <f t="shared" si="1"/>
        <v>312.85714285714283</v>
      </c>
      <c r="R24" s="1" t="s">
        <v>148</v>
      </c>
      <c r="S24" s="34">
        <f>SUM(C66:C69)</f>
        <v>149</v>
      </c>
      <c r="T24" s="34">
        <f t="shared" ref="T24:AF24" si="16">SUM(D66:D69)</f>
        <v>47.5</v>
      </c>
      <c r="U24" s="34">
        <f t="shared" si="16"/>
        <v>10</v>
      </c>
      <c r="V24" s="34">
        <f t="shared" si="16"/>
        <v>77.5</v>
      </c>
      <c r="W24" s="34">
        <f t="shared" si="16"/>
        <v>8.5</v>
      </c>
      <c r="X24" s="34">
        <f t="shared" si="16"/>
        <v>9</v>
      </c>
      <c r="Y24" s="34">
        <f t="shared" si="16"/>
        <v>16</v>
      </c>
      <c r="Z24" s="34">
        <f t="shared" si="16"/>
        <v>9.5</v>
      </c>
      <c r="AA24" s="34">
        <f t="shared" si="16"/>
        <v>1</v>
      </c>
      <c r="AB24" s="34">
        <f t="shared" si="16"/>
        <v>0.5</v>
      </c>
      <c r="AC24" s="34">
        <f t="shared" si="16"/>
        <v>639.5</v>
      </c>
      <c r="AD24" s="34">
        <f t="shared" si="16"/>
        <v>0</v>
      </c>
      <c r="AE24" s="31">
        <f t="shared" si="16"/>
        <v>328.5</v>
      </c>
      <c r="AF24" s="31">
        <f t="shared" si="16"/>
        <v>968</v>
      </c>
    </row>
    <row r="25" spans="2:32" ht="23.1" customHeight="1" x14ac:dyDescent="0.25">
      <c r="B25" s="23" t="s">
        <v>52</v>
      </c>
      <c r="C25" s="49">
        <f>AVERAGE('22.07 Kampala-Kalerwe'!C25,'23.07 Kampala-Kalerwe'!C25,'24.07 Kampala-Kalewre'!C25,'25.07 Kampala-Kalewre'!C25,'26.07 Kampala-Kalerwe-24h'!C25,'27.07 Kampala-Kalerwe-24h'!C25,'28.07 Kampala-Kalerwe'!C25)</f>
        <v>32.714285714285715</v>
      </c>
      <c r="D25" s="49">
        <f>AVERAGE('22.07 Kampala-Kalerwe'!D25,'23.07 Kampala-Kalerwe'!D25,'24.07 Kampala-Kalewre'!D25,'25.07 Kampala-Kalewre'!D25,'26.07 Kampala-Kalerwe-24h'!D25,'27.07 Kampala-Kalerwe-24h'!D25,'28.07 Kampala-Kalerwe'!D25)</f>
        <v>9.2857142857142865</v>
      </c>
      <c r="E25" s="49">
        <f>AVERAGE('22.07 Kampala-Kalerwe'!E25,'23.07 Kampala-Kalerwe'!E25,'24.07 Kampala-Kalewre'!E25,'25.07 Kampala-Kalewre'!E25,'26.07 Kampala-Kalerwe-24h'!E25,'27.07 Kampala-Kalerwe-24h'!E25,'28.07 Kampala-Kalerwe'!E25)</f>
        <v>4.4285714285714288</v>
      </c>
      <c r="F25" s="49">
        <f>AVERAGE('22.07 Kampala-Kalerwe'!F25,'23.07 Kampala-Kalerwe'!F25,'24.07 Kampala-Kalewre'!F25,'25.07 Kampala-Kalewre'!F25,'26.07 Kampala-Kalerwe-24h'!F25,'27.07 Kampala-Kalerwe-24h'!F25,'28.07 Kampala-Kalerwe'!F25)</f>
        <v>49.571428571428569</v>
      </c>
      <c r="G25" s="49">
        <f>AVERAGE('22.07 Kampala-Kalerwe'!G25,'23.07 Kampala-Kalerwe'!G25,'24.07 Kampala-Kalewre'!G25,'25.07 Kampala-Kalewre'!G25,'26.07 Kampala-Kalerwe-24h'!G25,'27.07 Kampala-Kalerwe-24h'!G25,'28.07 Kampala-Kalerwe'!G25)</f>
        <v>3.1428571428571428</v>
      </c>
      <c r="H25" s="49">
        <f>AVERAGE('22.07 Kampala-Kalerwe'!H25,'23.07 Kampala-Kalerwe'!H25,'24.07 Kampala-Kalewre'!H25,'25.07 Kampala-Kalewre'!H25,'26.07 Kampala-Kalerwe-24h'!H25,'27.07 Kampala-Kalerwe-24h'!H25,'28.07 Kampala-Kalerwe'!H25)</f>
        <v>0.8571428571428571</v>
      </c>
      <c r="I25" s="49">
        <f>AVERAGE('22.07 Kampala-Kalerwe'!I25,'23.07 Kampala-Kalerwe'!I25,'24.07 Kampala-Kalewre'!I25,'25.07 Kampala-Kalewre'!I25,'26.07 Kampala-Kalerwe-24h'!I25,'27.07 Kampala-Kalerwe-24h'!I25,'28.07 Kampala-Kalerwe'!I25)</f>
        <v>7.1428571428571432</v>
      </c>
      <c r="J25" s="49">
        <f>AVERAGE('22.07 Kampala-Kalerwe'!J25,'23.07 Kampala-Kalerwe'!J25,'24.07 Kampala-Kalewre'!J25,'25.07 Kampala-Kalewre'!J25,'26.07 Kampala-Kalerwe-24h'!J25,'27.07 Kampala-Kalerwe-24h'!J25,'28.07 Kampala-Kalerwe'!J25)</f>
        <v>3.4285714285714284</v>
      </c>
      <c r="K25" s="49">
        <f>AVERAGE('22.07 Kampala-Kalerwe'!K25,'23.07 Kampala-Kalerwe'!K25,'24.07 Kampala-Kalewre'!K25,'25.07 Kampala-Kalewre'!K25,'26.07 Kampala-Kalerwe-24h'!K25,'27.07 Kampala-Kalerwe-24h'!K25,'28.07 Kampala-Kalerwe'!K25)</f>
        <v>0.7142857142857143</v>
      </c>
      <c r="L25" s="49">
        <f>AVERAGE('22.07 Kampala-Kalerwe'!L25,'23.07 Kampala-Kalerwe'!L25,'24.07 Kampala-Kalewre'!L25,'25.07 Kampala-Kalewre'!L25,'26.07 Kampala-Kalerwe-24h'!L25,'27.07 Kampala-Kalerwe-24h'!L25,'28.07 Kampala-Kalerwe'!L25)</f>
        <v>0.42857142857142855</v>
      </c>
      <c r="M25" s="49">
        <f>AVERAGE('22.07 Kampala-Kalerwe'!M25,'23.07 Kampala-Kalerwe'!M25,'24.07 Kampala-Kalewre'!M25,'25.07 Kampala-Kalewre'!M25,'26.07 Kampala-Kalerwe-24h'!M25,'27.07 Kampala-Kalerwe-24h'!M25,'28.07 Kampala-Kalerwe'!M25)</f>
        <v>189.28571428571428</v>
      </c>
      <c r="N25" s="49">
        <f>AVERAGE('22.07 Kampala-Kalerwe'!N25,'23.07 Kampala-Kalerwe'!N25,'24.07 Kampala-Kalewre'!N25,'25.07 Kampala-Kalewre'!N25,'26.07 Kampala-Kalerwe-24h'!N25,'27.07 Kampala-Kalerwe-24h'!N25,'28.07 Kampala-Kalerwe'!N25)</f>
        <v>0</v>
      </c>
      <c r="O25" s="15">
        <f t="shared" si="0"/>
        <v>111.71428571428571</v>
      </c>
      <c r="P25" s="15">
        <f t="shared" si="1"/>
        <v>301</v>
      </c>
      <c r="R25" s="1" t="s">
        <v>149</v>
      </c>
      <c r="S25" s="34">
        <f>SUM(C70:C73)</f>
        <v>138</v>
      </c>
      <c r="T25" s="34">
        <f t="shared" ref="T25:AF25" si="17">SUM(D70:D73)</f>
        <v>81</v>
      </c>
      <c r="U25" s="34">
        <f t="shared" si="17"/>
        <v>5</v>
      </c>
      <c r="V25" s="34">
        <f t="shared" si="17"/>
        <v>102.5</v>
      </c>
      <c r="W25" s="34">
        <f t="shared" si="17"/>
        <v>17.5</v>
      </c>
      <c r="X25" s="34">
        <f t="shared" si="17"/>
        <v>4</v>
      </c>
      <c r="Y25" s="34">
        <f t="shared" si="17"/>
        <v>6.5</v>
      </c>
      <c r="Z25" s="34">
        <f t="shared" si="17"/>
        <v>11.5</v>
      </c>
      <c r="AA25" s="34">
        <f t="shared" si="17"/>
        <v>4.5</v>
      </c>
      <c r="AB25" s="34">
        <f t="shared" si="17"/>
        <v>3</v>
      </c>
      <c r="AC25" s="34">
        <f t="shared" si="17"/>
        <v>433.5</v>
      </c>
      <c r="AD25" s="34">
        <f t="shared" si="17"/>
        <v>0</v>
      </c>
      <c r="AE25" s="31">
        <f t="shared" si="17"/>
        <v>373.5</v>
      </c>
      <c r="AF25" s="31">
        <f t="shared" si="17"/>
        <v>807</v>
      </c>
    </row>
    <row r="26" spans="2:32" ht="23.1" customHeight="1" x14ac:dyDescent="0.25">
      <c r="B26" s="23" t="s">
        <v>53</v>
      </c>
      <c r="C26" s="49">
        <f>AVERAGE('22.07 Kampala-Kalerwe'!C26,'23.07 Kampala-Kalerwe'!C26,'24.07 Kampala-Kalewre'!C26,'25.07 Kampala-Kalewre'!C26,'26.07 Kampala-Kalerwe-24h'!C26,'27.07 Kampala-Kalerwe-24h'!C26,'28.07 Kampala-Kalerwe'!C26)</f>
        <v>26.857142857142858</v>
      </c>
      <c r="D26" s="49">
        <f>AVERAGE('22.07 Kampala-Kalerwe'!D26,'23.07 Kampala-Kalerwe'!D26,'24.07 Kampala-Kalewre'!D26,'25.07 Kampala-Kalewre'!D26,'26.07 Kampala-Kalerwe-24h'!D26,'27.07 Kampala-Kalerwe-24h'!D26,'28.07 Kampala-Kalerwe'!D26)</f>
        <v>9.5714285714285712</v>
      </c>
      <c r="E26" s="49">
        <f>AVERAGE('22.07 Kampala-Kalerwe'!E26,'23.07 Kampala-Kalerwe'!E26,'24.07 Kampala-Kalewre'!E26,'25.07 Kampala-Kalewre'!E26,'26.07 Kampala-Kalerwe-24h'!E26,'27.07 Kampala-Kalerwe-24h'!E26,'28.07 Kampala-Kalerwe'!E26)</f>
        <v>6.7142857142857144</v>
      </c>
      <c r="F26" s="49">
        <f>AVERAGE('22.07 Kampala-Kalerwe'!F26,'23.07 Kampala-Kalerwe'!F26,'24.07 Kampala-Kalewre'!F26,'25.07 Kampala-Kalewre'!F26,'26.07 Kampala-Kalerwe-24h'!F26,'27.07 Kampala-Kalerwe-24h'!F26,'28.07 Kampala-Kalerwe'!F26)</f>
        <v>37.428571428571431</v>
      </c>
      <c r="G26" s="49">
        <f>AVERAGE('22.07 Kampala-Kalerwe'!G26,'23.07 Kampala-Kalerwe'!G26,'24.07 Kampala-Kalewre'!G26,'25.07 Kampala-Kalewre'!G26,'26.07 Kampala-Kalerwe-24h'!G26,'27.07 Kampala-Kalerwe-24h'!G26,'28.07 Kampala-Kalerwe'!G26)</f>
        <v>1</v>
      </c>
      <c r="H26" s="49">
        <f>AVERAGE('22.07 Kampala-Kalerwe'!H26,'23.07 Kampala-Kalerwe'!H26,'24.07 Kampala-Kalewre'!H26,'25.07 Kampala-Kalewre'!H26,'26.07 Kampala-Kalerwe-24h'!H26,'27.07 Kampala-Kalerwe-24h'!H26,'28.07 Kampala-Kalerwe'!H26)</f>
        <v>0.42857142857142855</v>
      </c>
      <c r="I26" s="49">
        <f>AVERAGE('22.07 Kampala-Kalerwe'!I26,'23.07 Kampala-Kalerwe'!I26,'24.07 Kampala-Kalewre'!I26,'25.07 Kampala-Kalewre'!I26,'26.07 Kampala-Kalerwe-24h'!I26,'27.07 Kampala-Kalerwe-24h'!I26,'28.07 Kampala-Kalerwe'!I26)</f>
        <v>9</v>
      </c>
      <c r="J26" s="49">
        <f>AVERAGE('22.07 Kampala-Kalerwe'!J26,'23.07 Kampala-Kalerwe'!J26,'24.07 Kampala-Kalewre'!J26,'25.07 Kampala-Kalewre'!J26,'26.07 Kampala-Kalerwe-24h'!J26,'27.07 Kampala-Kalerwe-24h'!J26,'28.07 Kampala-Kalerwe'!J26)</f>
        <v>1.4285714285714286</v>
      </c>
      <c r="K26" s="49">
        <f>AVERAGE('22.07 Kampala-Kalerwe'!K26,'23.07 Kampala-Kalerwe'!K26,'24.07 Kampala-Kalewre'!K26,'25.07 Kampala-Kalewre'!K26,'26.07 Kampala-Kalerwe-24h'!K26,'27.07 Kampala-Kalerwe-24h'!K26,'28.07 Kampala-Kalerwe'!K26)</f>
        <v>0.14285714285714285</v>
      </c>
      <c r="L26" s="49">
        <f>AVERAGE('22.07 Kampala-Kalerwe'!L26,'23.07 Kampala-Kalerwe'!L26,'24.07 Kampala-Kalewre'!L26,'25.07 Kampala-Kalewre'!L26,'26.07 Kampala-Kalerwe-24h'!L26,'27.07 Kampala-Kalerwe-24h'!L26,'28.07 Kampala-Kalerwe'!L26)</f>
        <v>0.2857142857142857</v>
      </c>
      <c r="M26" s="49">
        <f>AVERAGE('22.07 Kampala-Kalerwe'!M26,'23.07 Kampala-Kalerwe'!M26,'24.07 Kampala-Kalewre'!M26,'25.07 Kampala-Kalewre'!M26,'26.07 Kampala-Kalerwe-24h'!M26,'27.07 Kampala-Kalerwe-24h'!M26,'28.07 Kampala-Kalerwe'!M26)</f>
        <v>173.85714285714286</v>
      </c>
      <c r="N26" s="49">
        <f>AVERAGE('22.07 Kampala-Kalerwe'!N26,'23.07 Kampala-Kalerwe'!N26,'24.07 Kampala-Kalewre'!N26,'25.07 Kampala-Kalewre'!N26,'26.07 Kampala-Kalerwe-24h'!N26,'27.07 Kampala-Kalerwe-24h'!N26,'28.07 Kampala-Kalerwe'!N26)</f>
        <v>0</v>
      </c>
      <c r="O26" s="15">
        <f t="shared" si="0"/>
        <v>92.857142857142875</v>
      </c>
      <c r="P26" s="15">
        <f t="shared" si="1"/>
        <v>266.71428571428572</v>
      </c>
      <c r="R26" s="1" t="s">
        <v>150</v>
      </c>
      <c r="S26" s="34">
        <f>SUM(C74:C77)</f>
        <v>98.5</v>
      </c>
      <c r="T26" s="34">
        <f t="shared" ref="T26:AF26" si="18">SUM(D74:D77)</f>
        <v>42.5</v>
      </c>
      <c r="U26" s="34">
        <f t="shared" si="18"/>
        <v>7</v>
      </c>
      <c r="V26" s="34">
        <f t="shared" si="18"/>
        <v>67</v>
      </c>
      <c r="W26" s="34">
        <f t="shared" si="18"/>
        <v>0</v>
      </c>
      <c r="X26" s="34">
        <f t="shared" si="18"/>
        <v>1.5</v>
      </c>
      <c r="Y26" s="34">
        <f t="shared" si="18"/>
        <v>12.5</v>
      </c>
      <c r="Z26" s="34">
        <f t="shared" si="18"/>
        <v>5</v>
      </c>
      <c r="AA26" s="34">
        <f t="shared" si="18"/>
        <v>6</v>
      </c>
      <c r="AB26" s="34">
        <f t="shared" si="18"/>
        <v>8</v>
      </c>
      <c r="AC26" s="34">
        <f t="shared" si="18"/>
        <v>282.5</v>
      </c>
      <c r="AD26" s="34">
        <f t="shared" si="18"/>
        <v>0</v>
      </c>
      <c r="AE26" s="31">
        <f t="shared" si="18"/>
        <v>248</v>
      </c>
      <c r="AF26" s="31">
        <f t="shared" si="18"/>
        <v>530.5</v>
      </c>
    </row>
    <row r="27" spans="2:32" ht="23.1" customHeight="1" x14ac:dyDescent="0.25">
      <c r="B27" s="23" t="s">
        <v>54</v>
      </c>
      <c r="C27" s="49">
        <f>AVERAGE('22.07 Kampala-Kalerwe'!C27,'23.07 Kampala-Kalerwe'!C27,'24.07 Kampala-Kalewre'!C27,'25.07 Kampala-Kalewre'!C27,'26.07 Kampala-Kalerwe-24h'!C27,'27.07 Kampala-Kalerwe-24h'!C27,'28.07 Kampala-Kalerwe'!C27)</f>
        <v>31.571428571428573</v>
      </c>
      <c r="D27" s="49">
        <f>AVERAGE('22.07 Kampala-Kalerwe'!D27,'23.07 Kampala-Kalerwe'!D27,'24.07 Kampala-Kalewre'!D27,'25.07 Kampala-Kalewre'!D27,'26.07 Kampala-Kalerwe-24h'!D27,'27.07 Kampala-Kalerwe-24h'!D27,'28.07 Kampala-Kalerwe'!D27)</f>
        <v>10.571428571428571</v>
      </c>
      <c r="E27" s="49">
        <f>AVERAGE('22.07 Kampala-Kalerwe'!E27,'23.07 Kampala-Kalerwe'!E27,'24.07 Kampala-Kalewre'!E27,'25.07 Kampala-Kalewre'!E27,'26.07 Kampala-Kalerwe-24h'!E27,'27.07 Kampala-Kalerwe-24h'!E27,'28.07 Kampala-Kalerwe'!E27)</f>
        <v>2.8571428571428572</v>
      </c>
      <c r="F27" s="49">
        <f>AVERAGE('22.07 Kampala-Kalerwe'!F27,'23.07 Kampala-Kalerwe'!F27,'24.07 Kampala-Kalewre'!F27,'25.07 Kampala-Kalewre'!F27,'26.07 Kampala-Kalerwe-24h'!F27,'27.07 Kampala-Kalerwe-24h'!F27,'28.07 Kampala-Kalerwe'!F27)</f>
        <v>44</v>
      </c>
      <c r="G27" s="49">
        <f>AVERAGE('22.07 Kampala-Kalerwe'!G27,'23.07 Kampala-Kalerwe'!G27,'24.07 Kampala-Kalewre'!G27,'25.07 Kampala-Kalewre'!G27,'26.07 Kampala-Kalerwe-24h'!G27,'27.07 Kampala-Kalerwe-24h'!G27,'28.07 Kampala-Kalerwe'!G27)</f>
        <v>1</v>
      </c>
      <c r="H27" s="49">
        <f>AVERAGE('22.07 Kampala-Kalerwe'!H27,'23.07 Kampala-Kalerwe'!H27,'24.07 Kampala-Kalewre'!H27,'25.07 Kampala-Kalewre'!H27,'26.07 Kampala-Kalerwe-24h'!H27,'27.07 Kampala-Kalerwe-24h'!H27,'28.07 Kampala-Kalerwe'!H27)</f>
        <v>0.14285714285714285</v>
      </c>
      <c r="I27" s="49">
        <f>AVERAGE('22.07 Kampala-Kalerwe'!I27,'23.07 Kampala-Kalerwe'!I27,'24.07 Kampala-Kalewre'!I27,'25.07 Kampala-Kalewre'!I27,'26.07 Kampala-Kalerwe-24h'!I27,'27.07 Kampala-Kalerwe-24h'!I27,'28.07 Kampala-Kalerwe'!I27)</f>
        <v>7</v>
      </c>
      <c r="J27" s="49">
        <f>AVERAGE('22.07 Kampala-Kalerwe'!J27,'23.07 Kampala-Kalerwe'!J27,'24.07 Kampala-Kalewre'!J27,'25.07 Kampala-Kalewre'!J27,'26.07 Kampala-Kalerwe-24h'!J27,'27.07 Kampala-Kalerwe-24h'!J27,'28.07 Kampala-Kalerwe'!J27)</f>
        <v>1.4285714285714286</v>
      </c>
      <c r="K27" s="49">
        <f>AVERAGE('22.07 Kampala-Kalerwe'!K27,'23.07 Kampala-Kalerwe'!K27,'24.07 Kampala-Kalewre'!K27,'25.07 Kampala-Kalewre'!K27,'26.07 Kampala-Kalerwe-24h'!K27,'27.07 Kampala-Kalerwe-24h'!K27,'28.07 Kampala-Kalerwe'!K27)</f>
        <v>0.42857142857142855</v>
      </c>
      <c r="L27" s="49">
        <f>AVERAGE('22.07 Kampala-Kalerwe'!L27,'23.07 Kampala-Kalerwe'!L27,'24.07 Kampala-Kalewre'!L27,'25.07 Kampala-Kalewre'!L27,'26.07 Kampala-Kalerwe-24h'!L27,'27.07 Kampala-Kalerwe-24h'!L27,'28.07 Kampala-Kalerwe'!L27)</f>
        <v>0.14285714285714285</v>
      </c>
      <c r="M27" s="49">
        <f>AVERAGE('22.07 Kampala-Kalerwe'!M27,'23.07 Kampala-Kalerwe'!M27,'24.07 Kampala-Kalewre'!M27,'25.07 Kampala-Kalewre'!M27,'26.07 Kampala-Kalerwe-24h'!M27,'27.07 Kampala-Kalerwe-24h'!M27,'28.07 Kampala-Kalerwe'!M27)</f>
        <v>170</v>
      </c>
      <c r="N27" s="49">
        <f>AVERAGE('22.07 Kampala-Kalerwe'!N27,'23.07 Kampala-Kalerwe'!N27,'24.07 Kampala-Kalewre'!N27,'25.07 Kampala-Kalewre'!N27,'26.07 Kampala-Kalerwe-24h'!N27,'27.07 Kampala-Kalerwe-24h'!N27,'28.07 Kampala-Kalerwe'!N27)</f>
        <v>0</v>
      </c>
      <c r="O27" s="15">
        <f t="shared" si="0"/>
        <v>99.142857142857139</v>
      </c>
      <c r="P27" s="15">
        <f t="shared" si="1"/>
        <v>269.14285714285711</v>
      </c>
      <c r="R27" s="1" t="s">
        <v>151</v>
      </c>
      <c r="S27" s="34">
        <f>SUM(C78:C81)</f>
        <v>48</v>
      </c>
      <c r="T27" s="34">
        <f t="shared" ref="T27:AF27" si="19">SUM(D78:D81)</f>
        <v>36</v>
      </c>
      <c r="U27" s="34">
        <f t="shared" si="19"/>
        <v>2.5</v>
      </c>
      <c r="V27" s="34">
        <f t="shared" si="19"/>
        <v>34</v>
      </c>
      <c r="W27" s="34">
        <f t="shared" si="19"/>
        <v>0</v>
      </c>
      <c r="X27" s="34">
        <f t="shared" si="19"/>
        <v>0</v>
      </c>
      <c r="Y27" s="34">
        <f t="shared" si="19"/>
        <v>12.5</v>
      </c>
      <c r="Z27" s="34">
        <f t="shared" si="19"/>
        <v>11</v>
      </c>
      <c r="AA27" s="34">
        <f t="shared" si="19"/>
        <v>4</v>
      </c>
      <c r="AB27" s="34">
        <f t="shared" si="19"/>
        <v>4.5</v>
      </c>
      <c r="AC27" s="34">
        <f t="shared" si="19"/>
        <v>254.5</v>
      </c>
      <c r="AD27" s="34">
        <f t="shared" si="19"/>
        <v>0</v>
      </c>
      <c r="AE27" s="31">
        <f t="shared" si="19"/>
        <v>152.5</v>
      </c>
      <c r="AF27" s="31">
        <f t="shared" si="19"/>
        <v>407</v>
      </c>
    </row>
    <row r="28" spans="2:32" ht="23.1" customHeight="1" x14ac:dyDescent="0.25">
      <c r="B28" s="23" t="s">
        <v>55</v>
      </c>
      <c r="C28" s="49">
        <f>AVERAGE('22.07 Kampala-Kalerwe'!C28,'23.07 Kampala-Kalerwe'!C28,'24.07 Kampala-Kalewre'!C28,'25.07 Kampala-Kalewre'!C28,'26.07 Kampala-Kalerwe-24h'!C28,'27.07 Kampala-Kalerwe-24h'!C28,'28.07 Kampala-Kalerwe'!C28)</f>
        <v>28</v>
      </c>
      <c r="D28" s="49">
        <f>AVERAGE('22.07 Kampala-Kalerwe'!D28,'23.07 Kampala-Kalerwe'!D28,'24.07 Kampala-Kalewre'!D28,'25.07 Kampala-Kalewre'!D28,'26.07 Kampala-Kalerwe-24h'!D28,'27.07 Kampala-Kalerwe-24h'!D28,'28.07 Kampala-Kalerwe'!D28)</f>
        <v>9</v>
      </c>
      <c r="E28" s="49">
        <f>AVERAGE('22.07 Kampala-Kalerwe'!E28,'23.07 Kampala-Kalerwe'!E28,'24.07 Kampala-Kalewre'!E28,'25.07 Kampala-Kalewre'!E28,'26.07 Kampala-Kalerwe-24h'!E28,'27.07 Kampala-Kalerwe-24h'!E28,'28.07 Kampala-Kalerwe'!E28)</f>
        <v>6.8571428571428568</v>
      </c>
      <c r="F28" s="49">
        <f>AVERAGE('22.07 Kampala-Kalerwe'!F28,'23.07 Kampala-Kalerwe'!F28,'24.07 Kampala-Kalewre'!F28,'25.07 Kampala-Kalewre'!F28,'26.07 Kampala-Kalerwe-24h'!F28,'27.07 Kampala-Kalerwe-24h'!F28,'28.07 Kampala-Kalerwe'!F28)</f>
        <v>44.285714285714285</v>
      </c>
      <c r="G28" s="49">
        <f>AVERAGE('22.07 Kampala-Kalerwe'!G28,'23.07 Kampala-Kalerwe'!G28,'24.07 Kampala-Kalewre'!G28,'25.07 Kampala-Kalewre'!G28,'26.07 Kampala-Kalerwe-24h'!G28,'27.07 Kampala-Kalerwe-24h'!G28,'28.07 Kampala-Kalerwe'!G28)</f>
        <v>2.7142857142857144</v>
      </c>
      <c r="H28" s="49">
        <f>AVERAGE('22.07 Kampala-Kalerwe'!H28,'23.07 Kampala-Kalerwe'!H28,'24.07 Kampala-Kalewre'!H28,'25.07 Kampala-Kalewre'!H28,'26.07 Kampala-Kalerwe-24h'!H28,'27.07 Kampala-Kalerwe-24h'!H28,'28.07 Kampala-Kalerwe'!H28)</f>
        <v>0.2857142857142857</v>
      </c>
      <c r="I28" s="49">
        <f>AVERAGE('22.07 Kampala-Kalerwe'!I28,'23.07 Kampala-Kalerwe'!I28,'24.07 Kampala-Kalewre'!I28,'25.07 Kampala-Kalewre'!I28,'26.07 Kampala-Kalerwe-24h'!I28,'27.07 Kampala-Kalerwe-24h'!I28,'28.07 Kampala-Kalerwe'!I28)</f>
        <v>7.2857142857142856</v>
      </c>
      <c r="J28" s="49">
        <f>AVERAGE('22.07 Kampala-Kalerwe'!J28,'23.07 Kampala-Kalerwe'!J28,'24.07 Kampala-Kalewre'!J28,'25.07 Kampala-Kalewre'!J28,'26.07 Kampala-Kalerwe-24h'!J28,'27.07 Kampala-Kalerwe-24h'!J28,'28.07 Kampala-Kalerwe'!J28)</f>
        <v>0.5714285714285714</v>
      </c>
      <c r="K28" s="49">
        <f>AVERAGE('22.07 Kampala-Kalerwe'!K28,'23.07 Kampala-Kalerwe'!K28,'24.07 Kampala-Kalewre'!K28,'25.07 Kampala-Kalewre'!K28,'26.07 Kampala-Kalerwe-24h'!K28,'27.07 Kampala-Kalerwe-24h'!K28,'28.07 Kampala-Kalerwe'!K28)</f>
        <v>0.2857142857142857</v>
      </c>
      <c r="L28" s="49">
        <f>AVERAGE('22.07 Kampala-Kalerwe'!L28,'23.07 Kampala-Kalerwe'!L28,'24.07 Kampala-Kalewre'!L28,'25.07 Kampala-Kalewre'!L28,'26.07 Kampala-Kalerwe-24h'!L28,'27.07 Kampala-Kalerwe-24h'!L28,'28.07 Kampala-Kalerwe'!L28)</f>
        <v>0.8571428571428571</v>
      </c>
      <c r="M28" s="49">
        <f>AVERAGE('22.07 Kampala-Kalerwe'!M28,'23.07 Kampala-Kalerwe'!M28,'24.07 Kampala-Kalewre'!M28,'25.07 Kampala-Kalewre'!M28,'26.07 Kampala-Kalerwe-24h'!M28,'27.07 Kampala-Kalerwe-24h'!M28,'28.07 Kampala-Kalerwe'!M28)</f>
        <v>172.14285714285714</v>
      </c>
      <c r="N28" s="49">
        <f>AVERAGE('22.07 Kampala-Kalerwe'!N28,'23.07 Kampala-Kalerwe'!N28,'24.07 Kampala-Kalewre'!N28,'25.07 Kampala-Kalewre'!N28,'26.07 Kampala-Kalerwe-24h'!N28,'27.07 Kampala-Kalerwe-24h'!N28,'28.07 Kampala-Kalerwe'!N28)</f>
        <v>0</v>
      </c>
      <c r="O28" s="15">
        <f t="shared" si="0"/>
        <v>100.14285714285715</v>
      </c>
      <c r="P28" s="15">
        <f t="shared" si="1"/>
        <v>272.28571428571428</v>
      </c>
      <c r="R28" s="1" t="s">
        <v>152</v>
      </c>
      <c r="S28" s="34">
        <f>SUM(C82:C85)</f>
        <v>56</v>
      </c>
      <c r="T28" s="34">
        <f t="shared" ref="T28:AF28" si="20">SUM(D82:D85)</f>
        <v>42</v>
      </c>
      <c r="U28" s="34">
        <f t="shared" si="20"/>
        <v>0.5</v>
      </c>
      <c r="V28" s="34">
        <f t="shared" si="20"/>
        <v>22.5</v>
      </c>
      <c r="W28" s="34">
        <f t="shared" si="20"/>
        <v>0.5</v>
      </c>
      <c r="X28" s="34">
        <f t="shared" si="20"/>
        <v>0</v>
      </c>
      <c r="Y28" s="34">
        <f t="shared" si="20"/>
        <v>5.5</v>
      </c>
      <c r="Z28" s="34">
        <f t="shared" si="20"/>
        <v>6.5</v>
      </c>
      <c r="AA28" s="34">
        <f t="shared" si="20"/>
        <v>6.5</v>
      </c>
      <c r="AB28" s="34">
        <f t="shared" si="20"/>
        <v>1.5</v>
      </c>
      <c r="AC28" s="34">
        <f t="shared" si="20"/>
        <v>179.5</v>
      </c>
      <c r="AD28" s="34">
        <f t="shared" si="20"/>
        <v>0</v>
      </c>
      <c r="AE28" s="31">
        <f t="shared" si="20"/>
        <v>141.5</v>
      </c>
      <c r="AF28" s="31">
        <f t="shared" si="20"/>
        <v>321</v>
      </c>
    </row>
    <row r="29" spans="2:32" ht="23.1" customHeight="1" x14ac:dyDescent="0.25">
      <c r="B29" s="23" t="s">
        <v>56</v>
      </c>
      <c r="C29" s="49">
        <f>AVERAGE('22.07 Kampala-Kalerwe'!C29,'23.07 Kampala-Kalerwe'!C29,'24.07 Kampala-Kalewre'!C29,'25.07 Kampala-Kalewre'!C29,'26.07 Kampala-Kalerwe-24h'!C29,'27.07 Kampala-Kalerwe-24h'!C29,'28.07 Kampala-Kalerwe'!C29)</f>
        <v>32.428571428571431</v>
      </c>
      <c r="D29" s="49">
        <f>AVERAGE('22.07 Kampala-Kalerwe'!D29,'23.07 Kampala-Kalerwe'!D29,'24.07 Kampala-Kalewre'!D29,'25.07 Kampala-Kalewre'!D29,'26.07 Kampala-Kalerwe-24h'!D29,'27.07 Kampala-Kalerwe-24h'!D29,'28.07 Kampala-Kalerwe'!D29)</f>
        <v>5</v>
      </c>
      <c r="E29" s="49">
        <f>AVERAGE('22.07 Kampala-Kalerwe'!E29,'23.07 Kampala-Kalerwe'!E29,'24.07 Kampala-Kalewre'!E29,'25.07 Kampala-Kalewre'!E29,'26.07 Kampala-Kalerwe-24h'!E29,'27.07 Kampala-Kalerwe-24h'!E29,'28.07 Kampala-Kalerwe'!E29)</f>
        <v>6.8571428571428568</v>
      </c>
      <c r="F29" s="49">
        <f>AVERAGE('22.07 Kampala-Kalerwe'!F29,'23.07 Kampala-Kalerwe'!F29,'24.07 Kampala-Kalewre'!F29,'25.07 Kampala-Kalewre'!F29,'26.07 Kampala-Kalerwe-24h'!F29,'27.07 Kampala-Kalerwe-24h'!F29,'28.07 Kampala-Kalerwe'!F29)</f>
        <v>39.142857142857146</v>
      </c>
      <c r="G29" s="49">
        <f>AVERAGE('22.07 Kampala-Kalerwe'!G29,'23.07 Kampala-Kalerwe'!G29,'24.07 Kampala-Kalewre'!G29,'25.07 Kampala-Kalewre'!G29,'26.07 Kampala-Kalerwe-24h'!G29,'27.07 Kampala-Kalerwe-24h'!G29,'28.07 Kampala-Kalerwe'!G29)</f>
        <v>1.2857142857142858</v>
      </c>
      <c r="H29" s="49">
        <f>AVERAGE('22.07 Kampala-Kalerwe'!H29,'23.07 Kampala-Kalerwe'!H29,'24.07 Kampala-Kalewre'!H29,'25.07 Kampala-Kalewre'!H29,'26.07 Kampala-Kalerwe-24h'!H29,'27.07 Kampala-Kalerwe-24h'!H29,'28.07 Kampala-Kalerwe'!H29)</f>
        <v>1.1428571428571428</v>
      </c>
      <c r="I29" s="49">
        <f>AVERAGE('22.07 Kampala-Kalerwe'!I29,'23.07 Kampala-Kalerwe'!I29,'24.07 Kampala-Kalewre'!I29,'25.07 Kampala-Kalewre'!I29,'26.07 Kampala-Kalerwe-24h'!I29,'27.07 Kampala-Kalerwe-24h'!I29,'28.07 Kampala-Kalerwe'!I29)</f>
        <v>11.142857142857142</v>
      </c>
      <c r="J29" s="49">
        <f>AVERAGE('22.07 Kampala-Kalerwe'!J29,'23.07 Kampala-Kalerwe'!J29,'24.07 Kampala-Kalewre'!J29,'25.07 Kampala-Kalewre'!J29,'26.07 Kampala-Kalerwe-24h'!J29,'27.07 Kampala-Kalerwe-24h'!J29,'28.07 Kampala-Kalerwe'!J29)</f>
        <v>0.8571428571428571</v>
      </c>
      <c r="K29" s="49">
        <f>AVERAGE('22.07 Kampala-Kalerwe'!K29,'23.07 Kampala-Kalerwe'!K29,'24.07 Kampala-Kalewre'!K29,'25.07 Kampala-Kalewre'!K29,'26.07 Kampala-Kalerwe-24h'!K29,'27.07 Kampala-Kalerwe-24h'!K29,'28.07 Kampala-Kalerwe'!K29)</f>
        <v>0.2857142857142857</v>
      </c>
      <c r="L29" s="49">
        <f>AVERAGE('22.07 Kampala-Kalerwe'!L29,'23.07 Kampala-Kalerwe'!L29,'24.07 Kampala-Kalewre'!L29,'25.07 Kampala-Kalewre'!L29,'26.07 Kampala-Kalerwe-24h'!L29,'27.07 Kampala-Kalerwe-24h'!L29,'28.07 Kampala-Kalerwe'!L29)</f>
        <v>0.7142857142857143</v>
      </c>
      <c r="M29" s="49">
        <f>AVERAGE('22.07 Kampala-Kalerwe'!M29,'23.07 Kampala-Kalerwe'!M29,'24.07 Kampala-Kalewre'!M29,'25.07 Kampala-Kalewre'!M29,'26.07 Kampala-Kalerwe-24h'!M29,'27.07 Kampala-Kalerwe-24h'!M29,'28.07 Kampala-Kalerwe'!M29)</f>
        <v>172</v>
      </c>
      <c r="N29" s="49">
        <f>AVERAGE('22.07 Kampala-Kalerwe'!N29,'23.07 Kampala-Kalerwe'!N29,'24.07 Kampala-Kalewre'!N29,'25.07 Kampala-Kalewre'!N29,'26.07 Kampala-Kalerwe-24h'!N29,'27.07 Kampala-Kalerwe-24h'!N29,'28.07 Kampala-Kalerwe'!N29)</f>
        <v>0</v>
      </c>
      <c r="O29" s="15">
        <f t="shared" si="0"/>
        <v>98.857142857142861</v>
      </c>
      <c r="P29" s="15">
        <f t="shared" si="1"/>
        <v>270.85714285714289</v>
      </c>
      <c r="R29" s="1" t="s">
        <v>153</v>
      </c>
      <c r="S29" s="34">
        <f>SUM(C86:C89)</f>
        <v>57.5</v>
      </c>
      <c r="T29" s="34">
        <f t="shared" ref="T29:AF29" si="21">SUM(D86:D89)</f>
        <v>25.5</v>
      </c>
      <c r="U29" s="34">
        <f t="shared" si="21"/>
        <v>0.5</v>
      </c>
      <c r="V29" s="34">
        <f t="shared" si="21"/>
        <v>7.5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4</v>
      </c>
      <c r="AA29" s="34">
        <f t="shared" si="21"/>
        <v>1</v>
      </c>
      <c r="AB29" s="34">
        <f t="shared" si="21"/>
        <v>0.5</v>
      </c>
      <c r="AC29" s="34">
        <f t="shared" si="21"/>
        <v>148</v>
      </c>
      <c r="AD29" s="34">
        <f t="shared" si="21"/>
        <v>0</v>
      </c>
      <c r="AE29" s="31">
        <f t="shared" si="21"/>
        <v>98.5</v>
      </c>
      <c r="AF29" s="31">
        <f t="shared" si="21"/>
        <v>246.5</v>
      </c>
    </row>
    <row r="30" spans="2:32" ht="23.1" customHeight="1" x14ac:dyDescent="0.25">
      <c r="B30" s="23" t="s">
        <v>57</v>
      </c>
      <c r="C30" s="49">
        <f>AVERAGE('22.07 Kampala-Kalerwe'!C30,'23.07 Kampala-Kalerwe'!C30,'24.07 Kampala-Kalewre'!C30,'25.07 Kampala-Kalewre'!C30,'26.07 Kampala-Kalerwe-24h'!C30,'27.07 Kampala-Kalerwe-24h'!C30,'28.07 Kampala-Kalerwe'!C30)</f>
        <v>30.714285714285715</v>
      </c>
      <c r="D30" s="49">
        <f>AVERAGE('22.07 Kampala-Kalerwe'!D30,'23.07 Kampala-Kalerwe'!D30,'24.07 Kampala-Kalewre'!D30,'25.07 Kampala-Kalewre'!D30,'26.07 Kampala-Kalerwe-24h'!D30,'27.07 Kampala-Kalerwe-24h'!D30,'28.07 Kampala-Kalerwe'!D30)</f>
        <v>6.8571428571428568</v>
      </c>
      <c r="E30" s="49">
        <f>AVERAGE('22.07 Kampala-Kalerwe'!E30,'23.07 Kampala-Kalerwe'!E30,'24.07 Kampala-Kalewre'!E30,'25.07 Kampala-Kalewre'!E30,'26.07 Kampala-Kalerwe-24h'!E30,'27.07 Kampala-Kalerwe-24h'!E30,'28.07 Kampala-Kalerwe'!E30)</f>
        <v>3.2857142857142856</v>
      </c>
      <c r="F30" s="49">
        <f>AVERAGE('22.07 Kampala-Kalerwe'!F30,'23.07 Kampala-Kalerwe'!F30,'24.07 Kampala-Kalewre'!F30,'25.07 Kampala-Kalewre'!F30,'26.07 Kampala-Kalerwe-24h'!F30,'27.07 Kampala-Kalerwe-24h'!F30,'28.07 Kampala-Kalerwe'!F30)</f>
        <v>35</v>
      </c>
      <c r="G30" s="49">
        <f>AVERAGE('22.07 Kampala-Kalerwe'!G30,'23.07 Kampala-Kalerwe'!G30,'24.07 Kampala-Kalewre'!G30,'25.07 Kampala-Kalewre'!G30,'26.07 Kampala-Kalerwe-24h'!G30,'27.07 Kampala-Kalerwe-24h'!G30,'28.07 Kampala-Kalerwe'!G30)</f>
        <v>1.8571428571428572</v>
      </c>
      <c r="H30" s="49">
        <f>AVERAGE('22.07 Kampala-Kalerwe'!H30,'23.07 Kampala-Kalerwe'!H30,'24.07 Kampala-Kalewre'!H30,'25.07 Kampala-Kalewre'!H30,'26.07 Kampala-Kalerwe-24h'!H30,'27.07 Kampala-Kalerwe-24h'!H30,'28.07 Kampala-Kalerwe'!H30)</f>
        <v>0.5714285714285714</v>
      </c>
      <c r="I30" s="49">
        <f>AVERAGE('22.07 Kampala-Kalerwe'!I30,'23.07 Kampala-Kalerwe'!I30,'24.07 Kampala-Kalewre'!I30,'25.07 Kampala-Kalewre'!I30,'26.07 Kampala-Kalerwe-24h'!I30,'27.07 Kampala-Kalerwe-24h'!I30,'28.07 Kampala-Kalerwe'!I30)</f>
        <v>8.7142857142857135</v>
      </c>
      <c r="J30" s="49">
        <f>AVERAGE('22.07 Kampala-Kalerwe'!J30,'23.07 Kampala-Kalerwe'!J30,'24.07 Kampala-Kalewre'!J30,'25.07 Kampala-Kalewre'!J30,'26.07 Kampala-Kalerwe-24h'!J30,'27.07 Kampala-Kalerwe-24h'!J30,'28.07 Kampala-Kalerwe'!J30)</f>
        <v>2.2857142857142856</v>
      </c>
      <c r="K30" s="49">
        <f>AVERAGE('22.07 Kampala-Kalerwe'!K30,'23.07 Kampala-Kalerwe'!K30,'24.07 Kampala-Kalewre'!K30,'25.07 Kampala-Kalewre'!K30,'26.07 Kampala-Kalerwe-24h'!K30,'27.07 Kampala-Kalerwe-24h'!K30,'28.07 Kampala-Kalerwe'!K30)</f>
        <v>0.42857142857142855</v>
      </c>
      <c r="L30" s="49">
        <f>AVERAGE('22.07 Kampala-Kalerwe'!L30,'23.07 Kampala-Kalerwe'!L30,'24.07 Kampala-Kalewre'!L30,'25.07 Kampala-Kalewre'!L30,'26.07 Kampala-Kalerwe-24h'!L30,'27.07 Kampala-Kalerwe-24h'!L30,'28.07 Kampala-Kalerwe'!L30)</f>
        <v>0.5714285714285714</v>
      </c>
      <c r="M30" s="49">
        <f>AVERAGE('22.07 Kampala-Kalerwe'!M30,'23.07 Kampala-Kalerwe'!M30,'24.07 Kampala-Kalewre'!M30,'25.07 Kampala-Kalewre'!M30,'26.07 Kampala-Kalerwe-24h'!M30,'27.07 Kampala-Kalerwe-24h'!M30,'28.07 Kampala-Kalerwe'!M30)</f>
        <v>149</v>
      </c>
      <c r="N30" s="49">
        <f>AVERAGE('22.07 Kampala-Kalerwe'!N30,'23.07 Kampala-Kalerwe'!N30,'24.07 Kampala-Kalewre'!N30,'25.07 Kampala-Kalewre'!N30,'26.07 Kampala-Kalerwe-24h'!N30,'27.07 Kampala-Kalerwe-24h'!N30,'28.07 Kampala-Kalerwe'!N30)</f>
        <v>0</v>
      </c>
      <c r="O30" s="15">
        <f t="shared" si="0"/>
        <v>90.285714285714292</v>
      </c>
      <c r="P30" s="15">
        <f t="shared" si="1"/>
        <v>239.28571428571428</v>
      </c>
      <c r="R30" s="1" t="s">
        <v>154</v>
      </c>
      <c r="S30" s="34">
        <f>SUM(C90:C93)</f>
        <v>33.5</v>
      </c>
      <c r="T30" s="34">
        <f t="shared" ref="T30:AF30" si="22">SUM(D90:D93)</f>
        <v>7</v>
      </c>
      <c r="U30" s="34">
        <f t="shared" si="22"/>
        <v>3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5.5</v>
      </c>
      <c r="AA30" s="34">
        <f t="shared" si="22"/>
        <v>1.5</v>
      </c>
      <c r="AB30" s="34">
        <f t="shared" si="22"/>
        <v>1.5</v>
      </c>
      <c r="AC30" s="34">
        <f t="shared" si="22"/>
        <v>92</v>
      </c>
      <c r="AD30" s="34">
        <f t="shared" si="22"/>
        <v>0</v>
      </c>
      <c r="AE30" s="31">
        <f t="shared" si="22"/>
        <v>57</v>
      </c>
      <c r="AF30" s="31">
        <f t="shared" si="22"/>
        <v>149</v>
      </c>
    </row>
    <row r="31" spans="2:32" ht="23.1" customHeight="1" x14ac:dyDescent="0.25">
      <c r="B31" s="24" t="s">
        <v>58</v>
      </c>
      <c r="C31" s="49">
        <f>AVERAGE('22.07 Kampala-Kalerwe'!C31,'23.07 Kampala-Kalerwe'!C31,'24.07 Kampala-Kalewre'!C31,'25.07 Kampala-Kalewre'!C31,'26.07 Kampala-Kalerwe-24h'!C31,'27.07 Kampala-Kalerwe-24h'!C31,'28.07 Kampala-Kalerwe'!C31)</f>
        <v>34.857142857142854</v>
      </c>
      <c r="D31" s="49">
        <f>AVERAGE('22.07 Kampala-Kalerwe'!D31,'23.07 Kampala-Kalerwe'!D31,'24.07 Kampala-Kalewre'!D31,'25.07 Kampala-Kalewre'!D31,'26.07 Kampala-Kalerwe-24h'!D31,'27.07 Kampala-Kalerwe-24h'!D31,'28.07 Kampala-Kalerwe'!D31)</f>
        <v>8.7142857142857135</v>
      </c>
      <c r="E31" s="49">
        <f>AVERAGE('22.07 Kampala-Kalerwe'!E31,'23.07 Kampala-Kalerwe'!E31,'24.07 Kampala-Kalewre'!E31,'25.07 Kampala-Kalewre'!E31,'26.07 Kampala-Kalerwe-24h'!E31,'27.07 Kampala-Kalerwe-24h'!E31,'28.07 Kampala-Kalerwe'!E31)</f>
        <v>4.8571428571428568</v>
      </c>
      <c r="F31" s="49">
        <f>AVERAGE('22.07 Kampala-Kalerwe'!F31,'23.07 Kampala-Kalerwe'!F31,'24.07 Kampala-Kalewre'!F31,'25.07 Kampala-Kalewre'!F31,'26.07 Kampala-Kalerwe-24h'!F31,'27.07 Kampala-Kalerwe-24h'!F31,'28.07 Kampala-Kalerwe'!F31)</f>
        <v>37.285714285714285</v>
      </c>
      <c r="G31" s="49">
        <f>AVERAGE('22.07 Kampala-Kalerwe'!G31,'23.07 Kampala-Kalerwe'!G31,'24.07 Kampala-Kalewre'!G31,'25.07 Kampala-Kalewre'!G31,'26.07 Kampala-Kalerwe-24h'!G31,'27.07 Kampala-Kalerwe-24h'!G31,'28.07 Kampala-Kalerwe'!G31)</f>
        <v>1.4285714285714286</v>
      </c>
      <c r="H31" s="49">
        <f>AVERAGE('22.07 Kampala-Kalerwe'!H31,'23.07 Kampala-Kalerwe'!H31,'24.07 Kampala-Kalewre'!H31,'25.07 Kampala-Kalewre'!H31,'26.07 Kampala-Kalerwe-24h'!H31,'27.07 Kampala-Kalerwe-24h'!H31,'28.07 Kampala-Kalerwe'!H31)</f>
        <v>0.2857142857142857</v>
      </c>
      <c r="I31" s="49">
        <f>AVERAGE('22.07 Kampala-Kalerwe'!I31,'23.07 Kampala-Kalerwe'!I31,'24.07 Kampala-Kalewre'!I31,'25.07 Kampala-Kalewre'!I31,'26.07 Kampala-Kalerwe-24h'!I31,'27.07 Kampala-Kalerwe-24h'!I31,'28.07 Kampala-Kalerwe'!I31)</f>
        <v>8.5714285714285712</v>
      </c>
      <c r="J31" s="49">
        <f>AVERAGE('22.07 Kampala-Kalerwe'!J31,'23.07 Kampala-Kalerwe'!J31,'24.07 Kampala-Kalewre'!J31,'25.07 Kampala-Kalewre'!J31,'26.07 Kampala-Kalerwe-24h'!J31,'27.07 Kampala-Kalerwe-24h'!J31,'28.07 Kampala-Kalerwe'!J31)</f>
        <v>2.5714285714285716</v>
      </c>
      <c r="K31" s="49">
        <f>AVERAGE('22.07 Kampala-Kalerwe'!K31,'23.07 Kampala-Kalerwe'!K31,'24.07 Kampala-Kalewre'!K31,'25.07 Kampala-Kalewre'!K31,'26.07 Kampala-Kalerwe-24h'!K31,'27.07 Kampala-Kalerwe-24h'!K31,'28.07 Kampala-Kalerwe'!K31)</f>
        <v>0.7142857142857143</v>
      </c>
      <c r="L31" s="49">
        <f>AVERAGE('22.07 Kampala-Kalerwe'!L31,'23.07 Kampala-Kalerwe'!L31,'24.07 Kampala-Kalewre'!L31,'25.07 Kampala-Kalewre'!L31,'26.07 Kampala-Kalerwe-24h'!L31,'27.07 Kampala-Kalerwe-24h'!L31,'28.07 Kampala-Kalerwe'!L31)</f>
        <v>0.42857142857142855</v>
      </c>
      <c r="M31" s="49">
        <f>AVERAGE('22.07 Kampala-Kalerwe'!M31,'23.07 Kampala-Kalerwe'!M31,'24.07 Kampala-Kalewre'!M31,'25.07 Kampala-Kalewre'!M31,'26.07 Kampala-Kalerwe-24h'!M31,'27.07 Kampala-Kalerwe-24h'!M31,'28.07 Kampala-Kalerwe'!M31)</f>
        <v>146.57142857142858</v>
      </c>
      <c r="N31" s="49">
        <f>AVERAGE('22.07 Kampala-Kalerwe'!N31,'23.07 Kampala-Kalerwe'!N31,'24.07 Kampala-Kalewre'!N31,'25.07 Kampala-Kalewre'!N31,'26.07 Kampala-Kalerwe-24h'!N31,'27.07 Kampala-Kalerwe-24h'!N31,'28.07 Kampala-Kalerwe'!N31)</f>
        <v>0</v>
      </c>
      <c r="O31" s="15">
        <f t="shared" si="0"/>
        <v>99.714285714285708</v>
      </c>
      <c r="P31" s="15">
        <f t="shared" si="1"/>
        <v>246.28571428571428</v>
      </c>
      <c r="R31" s="1" t="s">
        <v>155</v>
      </c>
      <c r="S31" s="34">
        <f>SUM(C94:C97)</f>
        <v>35.5</v>
      </c>
      <c r="T31" s="34">
        <f t="shared" ref="T31:AF31" si="23">SUM(D94:D97)</f>
        <v>16</v>
      </c>
      <c r="U31" s="34">
        <f t="shared" si="23"/>
        <v>2.5</v>
      </c>
      <c r="V31" s="34">
        <f t="shared" si="23"/>
        <v>6.5</v>
      </c>
      <c r="W31" s="34">
        <f t="shared" si="23"/>
        <v>0</v>
      </c>
      <c r="X31" s="34">
        <f t="shared" si="23"/>
        <v>2</v>
      </c>
      <c r="Y31" s="34">
        <f t="shared" si="23"/>
        <v>3.5</v>
      </c>
      <c r="Z31" s="34">
        <f t="shared" si="23"/>
        <v>5</v>
      </c>
      <c r="AA31" s="34">
        <f t="shared" si="23"/>
        <v>0</v>
      </c>
      <c r="AB31" s="34">
        <f t="shared" si="23"/>
        <v>0</v>
      </c>
      <c r="AC31" s="34">
        <f t="shared" si="23"/>
        <v>80</v>
      </c>
      <c r="AD31" s="34">
        <f t="shared" si="23"/>
        <v>0</v>
      </c>
      <c r="AE31" s="31">
        <f t="shared" si="23"/>
        <v>71</v>
      </c>
      <c r="AF31" s="31">
        <f t="shared" si="23"/>
        <v>151</v>
      </c>
    </row>
    <row r="32" spans="2:32" ht="23.1" customHeight="1" x14ac:dyDescent="0.25">
      <c r="B32" s="24" t="s">
        <v>59</v>
      </c>
      <c r="C32" s="49">
        <f>AVERAGE('22.07 Kampala-Kalerwe'!C32,'23.07 Kampala-Kalerwe'!C32,'24.07 Kampala-Kalewre'!C32,'25.07 Kampala-Kalewre'!C32,'26.07 Kampala-Kalerwe-24h'!C32,'27.07 Kampala-Kalerwe-24h'!C32,'28.07 Kampala-Kalerwe'!C32)</f>
        <v>36.428571428571431</v>
      </c>
      <c r="D32" s="49">
        <f>AVERAGE('22.07 Kampala-Kalerwe'!D32,'23.07 Kampala-Kalerwe'!D32,'24.07 Kampala-Kalewre'!D32,'25.07 Kampala-Kalewre'!D32,'26.07 Kampala-Kalerwe-24h'!D32,'27.07 Kampala-Kalerwe-24h'!D32,'28.07 Kampala-Kalerwe'!D32)</f>
        <v>8.8571428571428577</v>
      </c>
      <c r="E32" s="49">
        <f>AVERAGE('22.07 Kampala-Kalerwe'!E32,'23.07 Kampala-Kalerwe'!E32,'24.07 Kampala-Kalewre'!E32,'25.07 Kampala-Kalewre'!E32,'26.07 Kampala-Kalerwe-24h'!E32,'27.07 Kampala-Kalerwe-24h'!E32,'28.07 Kampala-Kalerwe'!E32)</f>
        <v>4.4285714285714288</v>
      </c>
      <c r="F32" s="49">
        <f>AVERAGE('22.07 Kampala-Kalerwe'!F32,'23.07 Kampala-Kalerwe'!F32,'24.07 Kampala-Kalewre'!F32,'25.07 Kampala-Kalewre'!F32,'26.07 Kampala-Kalerwe-24h'!F32,'27.07 Kampala-Kalerwe-24h'!F32,'28.07 Kampala-Kalerwe'!F32)</f>
        <v>41.857142857142854</v>
      </c>
      <c r="G32" s="49">
        <f>AVERAGE('22.07 Kampala-Kalerwe'!G32,'23.07 Kampala-Kalerwe'!G32,'24.07 Kampala-Kalewre'!G32,'25.07 Kampala-Kalewre'!G32,'26.07 Kampala-Kalerwe-24h'!G32,'27.07 Kampala-Kalerwe-24h'!G32,'28.07 Kampala-Kalerwe'!G32)</f>
        <v>1</v>
      </c>
      <c r="H32" s="49">
        <f>AVERAGE('22.07 Kampala-Kalerwe'!H32,'23.07 Kampala-Kalerwe'!H32,'24.07 Kampala-Kalewre'!H32,'25.07 Kampala-Kalewre'!H32,'26.07 Kampala-Kalerwe-24h'!H32,'27.07 Kampala-Kalerwe-24h'!H32,'28.07 Kampala-Kalerwe'!H32)</f>
        <v>1.4285714285714286</v>
      </c>
      <c r="I32" s="49">
        <f>AVERAGE('22.07 Kampala-Kalerwe'!I32,'23.07 Kampala-Kalerwe'!I32,'24.07 Kampala-Kalewre'!I32,'25.07 Kampala-Kalewre'!I32,'26.07 Kampala-Kalerwe-24h'!I32,'27.07 Kampala-Kalerwe-24h'!I32,'28.07 Kampala-Kalerwe'!I32)</f>
        <v>8.8571428571428577</v>
      </c>
      <c r="J32" s="49">
        <f>AVERAGE('22.07 Kampala-Kalerwe'!J32,'23.07 Kampala-Kalerwe'!J32,'24.07 Kampala-Kalewre'!J32,'25.07 Kampala-Kalewre'!J32,'26.07 Kampala-Kalerwe-24h'!J32,'27.07 Kampala-Kalerwe-24h'!J32,'28.07 Kampala-Kalerwe'!J32)</f>
        <v>1</v>
      </c>
      <c r="K32" s="49">
        <f>AVERAGE('22.07 Kampala-Kalerwe'!K32,'23.07 Kampala-Kalerwe'!K32,'24.07 Kampala-Kalewre'!K32,'25.07 Kampala-Kalewre'!K32,'26.07 Kampala-Kalerwe-24h'!K32,'27.07 Kampala-Kalerwe-24h'!K32,'28.07 Kampala-Kalerwe'!K32)</f>
        <v>0.42857142857142855</v>
      </c>
      <c r="L32" s="49">
        <f>AVERAGE('22.07 Kampala-Kalerwe'!L32,'23.07 Kampala-Kalerwe'!L32,'24.07 Kampala-Kalewre'!L32,'25.07 Kampala-Kalewre'!L32,'26.07 Kampala-Kalerwe-24h'!L32,'27.07 Kampala-Kalerwe-24h'!L32,'28.07 Kampala-Kalerwe'!L32)</f>
        <v>0.7142857142857143</v>
      </c>
      <c r="M32" s="49">
        <f>AVERAGE('22.07 Kampala-Kalerwe'!M32,'23.07 Kampala-Kalerwe'!M32,'24.07 Kampala-Kalewre'!M32,'25.07 Kampala-Kalewre'!M32,'26.07 Kampala-Kalerwe-24h'!M32,'27.07 Kampala-Kalerwe-24h'!M32,'28.07 Kampala-Kalerwe'!M32)</f>
        <v>158.85714285714286</v>
      </c>
      <c r="N32" s="49">
        <f>AVERAGE('22.07 Kampala-Kalerwe'!N32,'23.07 Kampala-Kalerwe'!N32,'24.07 Kampala-Kalewre'!N32,'25.07 Kampala-Kalewre'!N32,'26.07 Kampala-Kalerwe-24h'!N32,'27.07 Kampala-Kalerwe-24h'!N32,'28.07 Kampala-Kalerwe'!N32)</f>
        <v>0</v>
      </c>
      <c r="O32" s="15">
        <f t="shared" si="0"/>
        <v>105.00000000000001</v>
      </c>
      <c r="P32" s="15">
        <f t="shared" si="1"/>
        <v>263.85714285714289</v>
      </c>
      <c r="R32" s="1" t="s">
        <v>156</v>
      </c>
      <c r="S32" s="34">
        <f>SUM(C98:C101)</f>
        <v>135.5</v>
      </c>
      <c r="T32" s="34">
        <f t="shared" ref="T32:AF32" si="24">SUM(D98:D101)</f>
        <v>82</v>
      </c>
      <c r="U32" s="34">
        <f t="shared" si="24"/>
        <v>4.5</v>
      </c>
      <c r="V32" s="34">
        <f t="shared" si="24"/>
        <v>73.5</v>
      </c>
      <c r="W32" s="34">
        <f t="shared" si="24"/>
        <v>0</v>
      </c>
      <c r="X32" s="34">
        <f t="shared" si="24"/>
        <v>1</v>
      </c>
      <c r="Y32" s="34">
        <f t="shared" si="24"/>
        <v>15</v>
      </c>
      <c r="Z32" s="34">
        <f t="shared" si="24"/>
        <v>16</v>
      </c>
      <c r="AA32" s="34">
        <f t="shared" si="24"/>
        <v>10.5</v>
      </c>
      <c r="AB32" s="34">
        <f t="shared" si="24"/>
        <v>6</v>
      </c>
      <c r="AC32" s="34">
        <f t="shared" si="24"/>
        <v>217</v>
      </c>
      <c r="AD32" s="34">
        <f t="shared" si="24"/>
        <v>0</v>
      </c>
      <c r="AE32" s="31">
        <f t="shared" si="24"/>
        <v>344</v>
      </c>
      <c r="AF32" s="31">
        <f t="shared" si="24"/>
        <v>561</v>
      </c>
    </row>
    <row r="33" spans="2:32" ht="23.1" customHeight="1" x14ac:dyDescent="0.25">
      <c r="B33" s="23" t="s">
        <v>60</v>
      </c>
      <c r="C33" s="49">
        <f>AVERAGE('22.07 Kampala-Kalerwe'!C33,'23.07 Kampala-Kalerwe'!C33,'24.07 Kampala-Kalewre'!C33,'25.07 Kampala-Kalewre'!C33,'26.07 Kampala-Kalerwe-24h'!C33,'27.07 Kampala-Kalerwe-24h'!C33,'28.07 Kampala-Kalerwe'!C33)</f>
        <v>37.714285714285715</v>
      </c>
      <c r="D33" s="49">
        <f>AVERAGE('22.07 Kampala-Kalerwe'!D33,'23.07 Kampala-Kalerwe'!D33,'24.07 Kampala-Kalewre'!D33,'25.07 Kampala-Kalewre'!D33,'26.07 Kampala-Kalerwe-24h'!D33,'27.07 Kampala-Kalerwe-24h'!D33,'28.07 Kampala-Kalerwe'!D33)</f>
        <v>14.142857142857142</v>
      </c>
      <c r="E33" s="49">
        <f>AVERAGE('22.07 Kampala-Kalerwe'!E33,'23.07 Kampala-Kalerwe'!E33,'24.07 Kampala-Kalewre'!E33,'25.07 Kampala-Kalewre'!E33,'26.07 Kampala-Kalerwe-24h'!E33,'27.07 Kampala-Kalerwe-24h'!E33,'28.07 Kampala-Kalerwe'!E33)</f>
        <v>4.5714285714285712</v>
      </c>
      <c r="F33" s="49">
        <f>AVERAGE('22.07 Kampala-Kalerwe'!F33,'23.07 Kampala-Kalerwe'!F33,'24.07 Kampala-Kalewre'!F33,'25.07 Kampala-Kalewre'!F33,'26.07 Kampala-Kalerwe-24h'!F33,'27.07 Kampala-Kalerwe-24h'!F33,'28.07 Kampala-Kalerwe'!F33)</f>
        <v>43.428571428571431</v>
      </c>
      <c r="G33" s="49">
        <f>AVERAGE('22.07 Kampala-Kalerwe'!G33,'23.07 Kampala-Kalerwe'!G33,'24.07 Kampala-Kalewre'!G33,'25.07 Kampala-Kalewre'!G33,'26.07 Kampala-Kalerwe-24h'!G33,'27.07 Kampala-Kalerwe-24h'!G33,'28.07 Kampala-Kalerwe'!G33)</f>
        <v>4.2857142857142856</v>
      </c>
      <c r="H33" s="49">
        <f>AVERAGE('22.07 Kampala-Kalerwe'!H33,'23.07 Kampala-Kalerwe'!H33,'24.07 Kampala-Kalewre'!H33,'25.07 Kampala-Kalewre'!H33,'26.07 Kampala-Kalerwe-24h'!H33,'27.07 Kampala-Kalerwe-24h'!H33,'28.07 Kampala-Kalerwe'!H33)</f>
        <v>0.42857142857142855</v>
      </c>
      <c r="I33" s="49">
        <f>AVERAGE('22.07 Kampala-Kalerwe'!I33,'23.07 Kampala-Kalerwe'!I33,'24.07 Kampala-Kalewre'!I33,'25.07 Kampala-Kalewre'!I33,'26.07 Kampala-Kalerwe-24h'!I33,'27.07 Kampala-Kalerwe-24h'!I33,'28.07 Kampala-Kalerwe'!I33)</f>
        <v>8.4285714285714288</v>
      </c>
      <c r="J33" s="49">
        <f>AVERAGE('22.07 Kampala-Kalerwe'!J33,'23.07 Kampala-Kalerwe'!J33,'24.07 Kampala-Kalewre'!J33,'25.07 Kampala-Kalewre'!J33,'26.07 Kampala-Kalerwe-24h'!J33,'27.07 Kampala-Kalerwe-24h'!J33,'28.07 Kampala-Kalerwe'!J33)</f>
        <v>1.1428571428571428</v>
      </c>
      <c r="K33" s="49">
        <f>AVERAGE('22.07 Kampala-Kalerwe'!K33,'23.07 Kampala-Kalerwe'!K33,'24.07 Kampala-Kalewre'!K33,'25.07 Kampala-Kalewre'!K33,'26.07 Kampala-Kalerwe-24h'!K33,'27.07 Kampala-Kalerwe-24h'!K33,'28.07 Kampala-Kalerwe'!K33)</f>
        <v>0.8571428571428571</v>
      </c>
      <c r="L33" s="49">
        <f>AVERAGE('22.07 Kampala-Kalerwe'!L33,'23.07 Kampala-Kalerwe'!L33,'24.07 Kampala-Kalewre'!L33,'25.07 Kampala-Kalewre'!L33,'26.07 Kampala-Kalerwe-24h'!L33,'27.07 Kampala-Kalerwe-24h'!L33,'28.07 Kampala-Kalerwe'!L33)</f>
        <v>0.2857142857142857</v>
      </c>
      <c r="M33" s="49">
        <f>AVERAGE('22.07 Kampala-Kalerwe'!M33,'23.07 Kampala-Kalerwe'!M33,'24.07 Kampala-Kalewre'!M33,'25.07 Kampala-Kalewre'!M33,'26.07 Kampala-Kalerwe-24h'!M33,'27.07 Kampala-Kalerwe-24h'!M33,'28.07 Kampala-Kalerwe'!M33)</f>
        <v>169.42857142857142</v>
      </c>
      <c r="N33" s="49">
        <f>AVERAGE('22.07 Kampala-Kalerwe'!N33,'23.07 Kampala-Kalerwe'!N33,'24.07 Kampala-Kalewre'!N33,'25.07 Kampala-Kalewre'!N33,'26.07 Kampala-Kalerwe-24h'!N33,'27.07 Kampala-Kalerwe-24h'!N33,'28.07 Kampala-Kalerwe'!N33)</f>
        <v>0</v>
      </c>
      <c r="O33" s="15">
        <f t="shared" si="0"/>
        <v>115.28571428571431</v>
      </c>
      <c r="P33" s="15">
        <f t="shared" si="1"/>
        <v>284.71428571428572</v>
      </c>
      <c r="R33" s="1" t="s">
        <v>157</v>
      </c>
      <c r="S33" s="34">
        <f>SUM(C102:C105)</f>
        <v>139.5</v>
      </c>
      <c r="T33" s="34">
        <f t="shared" ref="T33:AF33" si="25">SUM(D102:D105)</f>
        <v>93.5</v>
      </c>
      <c r="U33" s="34">
        <f t="shared" si="25"/>
        <v>13.5</v>
      </c>
      <c r="V33" s="34">
        <f t="shared" si="25"/>
        <v>127.5</v>
      </c>
      <c r="W33" s="34">
        <f t="shared" si="25"/>
        <v>1.5</v>
      </c>
      <c r="X33" s="34">
        <f t="shared" si="25"/>
        <v>3</v>
      </c>
      <c r="Y33" s="34">
        <f t="shared" si="25"/>
        <v>24</v>
      </c>
      <c r="Z33" s="34">
        <f t="shared" si="25"/>
        <v>21</v>
      </c>
      <c r="AA33" s="34">
        <f t="shared" si="25"/>
        <v>3</v>
      </c>
      <c r="AB33" s="34">
        <f t="shared" si="25"/>
        <v>2.5</v>
      </c>
      <c r="AC33" s="34">
        <f t="shared" si="25"/>
        <v>496</v>
      </c>
      <c r="AD33" s="34">
        <f t="shared" si="25"/>
        <v>0</v>
      </c>
      <c r="AE33" s="31">
        <f t="shared" si="25"/>
        <v>429</v>
      </c>
      <c r="AF33" s="31">
        <f t="shared" si="25"/>
        <v>925</v>
      </c>
    </row>
    <row r="34" spans="2:32" ht="23.1" customHeight="1" x14ac:dyDescent="0.25">
      <c r="B34" s="24" t="s">
        <v>61</v>
      </c>
      <c r="C34" s="49">
        <f>AVERAGE('22.07 Kampala-Kalerwe'!C34,'23.07 Kampala-Kalerwe'!C34,'24.07 Kampala-Kalewre'!C34,'25.07 Kampala-Kalewre'!C34,'26.07 Kampala-Kalerwe-24h'!C34,'27.07 Kampala-Kalerwe-24h'!C34,'28.07 Kampala-Kalerwe'!C34)</f>
        <v>35.714285714285715</v>
      </c>
      <c r="D34" s="49">
        <f>AVERAGE('22.07 Kampala-Kalerwe'!D34,'23.07 Kampala-Kalerwe'!D34,'24.07 Kampala-Kalewre'!D34,'25.07 Kampala-Kalewre'!D34,'26.07 Kampala-Kalerwe-24h'!D34,'27.07 Kampala-Kalerwe-24h'!D34,'28.07 Kampala-Kalerwe'!D34)</f>
        <v>9</v>
      </c>
      <c r="E34" s="49">
        <f>AVERAGE('22.07 Kampala-Kalerwe'!E34,'23.07 Kampala-Kalerwe'!E34,'24.07 Kampala-Kalewre'!E34,'25.07 Kampala-Kalewre'!E34,'26.07 Kampala-Kalerwe-24h'!E34,'27.07 Kampala-Kalerwe-24h'!E34,'28.07 Kampala-Kalerwe'!E34)</f>
        <v>2.7142857142857144</v>
      </c>
      <c r="F34" s="49">
        <f>AVERAGE('22.07 Kampala-Kalerwe'!F34,'23.07 Kampala-Kalerwe'!F34,'24.07 Kampala-Kalewre'!F34,'25.07 Kampala-Kalewre'!F34,'26.07 Kampala-Kalerwe-24h'!F34,'27.07 Kampala-Kalerwe-24h'!F34,'28.07 Kampala-Kalerwe'!F34)</f>
        <v>44.285714285714285</v>
      </c>
      <c r="G34" s="49">
        <f>AVERAGE('22.07 Kampala-Kalerwe'!G34,'23.07 Kampala-Kalerwe'!G34,'24.07 Kampala-Kalewre'!G34,'25.07 Kampala-Kalewre'!G34,'26.07 Kampala-Kalerwe-24h'!G34,'27.07 Kampala-Kalerwe-24h'!G34,'28.07 Kampala-Kalerwe'!G34)</f>
        <v>1.7142857142857142</v>
      </c>
      <c r="H34" s="49">
        <f>AVERAGE('22.07 Kampala-Kalerwe'!H34,'23.07 Kampala-Kalerwe'!H34,'24.07 Kampala-Kalewre'!H34,'25.07 Kampala-Kalewre'!H34,'26.07 Kampala-Kalerwe-24h'!H34,'27.07 Kampala-Kalerwe-24h'!H34,'28.07 Kampala-Kalerwe'!H34)</f>
        <v>1.1428571428571428</v>
      </c>
      <c r="I34" s="49">
        <f>AVERAGE('22.07 Kampala-Kalerwe'!I34,'23.07 Kampala-Kalerwe'!I34,'24.07 Kampala-Kalewre'!I34,'25.07 Kampala-Kalewre'!I34,'26.07 Kampala-Kalerwe-24h'!I34,'27.07 Kampala-Kalerwe-24h'!I34,'28.07 Kampala-Kalerwe'!I34)</f>
        <v>10.428571428571429</v>
      </c>
      <c r="J34" s="49">
        <f>AVERAGE('22.07 Kampala-Kalerwe'!J34,'23.07 Kampala-Kalerwe'!J34,'24.07 Kampala-Kalewre'!J34,'25.07 Kampala-Kalewre'!J34,'26.07 Kampala-Kalerwe-24h'!J34,'27.07 Kampala-Kalerwe-24h'!J34,'28.07 Kampala-Kalerwe'!J34)</f>
        <v>2.2857142857142856</v>
      </c>
      <c r="K34" s="49">
        <f>AVERAGE('22.07 Kampala-Kalerwe'!K34,'23.07 Kampala-Kalerwe'!K34,'24.07 Kampala-Kalewre'!K34,'25.07 Kampala-Kalewre'!K34,'26.07 Kampala-Kalerwe-24h'!K34,'27.07 Kampala-Kalerwe-24h'!K34,'28.07 Kampala-Kalerwe'!K34)</f>
        <v>1</v>
      </c>
      <c r="L34" s="49">
        <f>AVERAGE('22.07 Kampala-Kalerwe'!L34,'23.07 Kampala-Kalerwe'!L34,'24.07 Kampala-Kalewre'!L34,'25.07 Kampala-Kalewre'!L34,'26.07 Kampala-Kalerwe-24h'!L34,'27.07 Kampala-Kalerwe-24h'!L34,'28.07 Kampala-Kalerwe'!L34)</f>
        <v>0.2857142857142857</v>
      </c>
      <c r="M34" s="49">
        <f>AVERAGE('22.07 Kampala-Kalerwe'!M34,'23.07 Kampala-Kalerwe'!M34,'24.07 Kampala-Kalewre'!M34,'25.07 Kampala-Kalewre'!M34,'26.07 Kampala-Kalerwe-24h'!M34,'27.07 Kampala-Kalerwe-24h'!M34,'28.07 Kampala-Kalerwe'!M34)</f>
        <v>147.14285714285714</v>
      </c>
      <c r="N34" s="49">
        <f>AVERAGE('22.07 Kampala-Kalerwe'!N34,'23.07 Kampala-Kalerwe'!N34,'24.07 Kampala-Kalewre'!N34,'25.07 Kampala-Kalewre'!N34,'26.07 Kampala-Kalerwe-24h'!N34,'27.07 Kampala-Kalerwe-24h'!N34,'28.07 Kampala-Kalerwe'!N34)</f>
        <v>0</v>
      </c>
      <c r="O34" s="15">
        <f t="shared" si="0"/>
        <v>108.57142857142858</v>
      </c>
      <c r="P34" s="15">
        <f t="shared" si="1"/>
        <v>255.71428571428572</v>
      </c>
      <c r="R34" s="38" t="s">
        <v>90</v>
      </c>
      <c r="S34" s="39">
        <f t="shared" ref="S34:AF34" si="26">MAX(S10:S12)</f>
        <v>127.85714285714285</v>
      </c>
      <c r="T34" s="39">
        <f t="shared" si="26"/>
        <v>49.142857142857139</v>
      </c>
      <c r="U34" s="39">
        <f t="shared" si="26"/>
        <v>31.285714285714285</v>
      </c>
      <c r="V34" s="39">
        <f t="shared" si="26"/>
        <v>262.00000000000006</v>
      </c>
      <c r="W34" s="39">
        <f t="shared" si="26"/>
        <v>6.7142857142857144</v>
      </c>
      <c r="X34" s="39">
        <f t="shared" si="26"/>
        <v>8.1428571428571423</v>
      </c>
      <c r="Y34" s="39">
        <f t="shared" si="26"/>
        <v>37.428571428571431</v>
      </c>
      <c r="Z34" s="39">
        <f t="shared" si="26"/>
        <v>6.5714285714285712</v>
      </c>
      <c r="AA34" s="39">
        <f t="shared" si="26"/>
        <v>4.2857142857142856</v>
      </c>
      <c r="AB34" s="39">
        <f t="shared" si="26"/>
        <v>1.5714285714285714</v>
      </c>
      <c r="AC34" s="39">
        <f t="shared" si="26"/>
        <v>942.28571428571422</v>
      </c>
      <c r="AD34" s="39">
        <f t="shared" si="26"/>
        <v>1.2857142857142858</v>
      </c>
      <c r="AE34" s="40">
        <f t="shared" si="26"/>
        <v>494.57142857142856</v>
      </c>
      <c r="AF34" s="40">
        <f t="shared" si="26"/>
        <v>1403.1428571428573</v>
      </c>
    </row>
    <row r="35" spans="2:32" ht="23.1" customHeight="1" x14ac:dyDescent="0.25">
      <c r="B35" s="24" t="s">
        <v>62</v>
      </c>
      <c r="C35" s="49">
        <f>AVERAGE('22.07 Kampala-Kalerwe'!C35,'23.07 Kampala-Kalerwe'!C35,'24.07 Kampala-Kalewre'!C35,'25.07 Kampala-Kalewre'!C35,'26.07 Kampala-Kalerwe-24h'!C35,'27.07 Kampala-Kalerwe-24h'!C35,'28.07 Kampala-Kalerwe'!C35)</f>
        <v>26.428571428571427</v>
      </c>
      <c r="D35" s="49">
        <f>AVERAGE('22.07 Kampala-Kalerwe'!D35,'23.07 Kampala-Kalerwe'!D35,'24.07 Kampala-Kalewre'!D35,'25.07 Kampala-Kalewre'!D35,'26.07 Kampala-Kalerwe-24h'!D35,'27.07 Kampala-Kalerwe-24h'!D35,'28.07 Kampala-Kalerwe'!D35)</f>
        <v>9</v>
      </c>
      <c r="E35" s="49">
        <f>AVERAGE('22.07 Kampala-Kalerwe'!E35,'23.07 Kampala-Kalerwe'!E35,'24.07 Kampala-Kalewre'!E35,'25.07 Kampala-Kalewre'!E35,'26.07 Kampala-Kalerwe-24h'!E35,'27.07 Kampala-Kalerwe-24h'!E35,'28.07 Kampala-Kalerwe'!E35)</f>
        <v>2.7142857142857144</v>
      </c>
      <c r="F35" s="49">
        <f>AVERAGE('22.07 Kampala-Kalerwe'!F35,'23.07 Kampala-Kalerwe'!F35,'24.07 Kampala-Kalewre'!F35,'25.07 Kampala-Kalewre'!F35,'26.07 Kampala-Kalerwe-24h'!F35,'27.07 Kampala-Kalerwe-24h'!F35,'28.07 Kampala-Kalerwe'!F35)</f>
        <v>43</v>
      </c>
      <c r="G35" s="49">
        <f>AVERAGE('22.07 Kampala-Kalerwe'!G35,'23.07 Kampala-Kalerwe'!G35,'24.07 Kampala-Kalewre'!G35,'25.07 Kampala-Kalewre'!G35,'26.07 Kampala-Kalerwe-24h'!G35,'27.07 Kampala-Kalerwe-24h'!G35,'28.07 Kampala-Kalerwe'!G35)</f>
        <v>0.5714285714285714</v>
      </c>
      <c r="H35" s="49">
        <f>AVERAGE('22.07 Kampala-Kalerwe'!H35,'23.07 Kampala-Kalerwe'!H35,'24.07 Kampala-Kalewre'!H35,'25.07 Kampala-Kalewre'!H35,'26.07 Kampala-Kalerwe-24h'!H35,'27.07 Kampala-Kalerwe-24h'!H35,'28.07 Kampala-Kalerwe'!H35)</f>
        <v>0.2857142857142857</v>
      </c>
      <c r="I35" s="49">
        <f>AVERAGE('22.07 Kampala-Kalerwe'!I35,'23.07 Kampala-Kalerwe'!I35,'24.07 Kampala-Kalewre'!I35,'25.07 Kampala-Kalewre'!I35,'26.07 Kampala-Kalerwe-24h'!I35,'27.07 Kampala-Kalerwe-24h'!I35,'28.07 Kampala-Kalerwe'!I35)</f>
        <v>7.1428571428571432</v>
      </c>
      <c r="J35" s="49">
        <f>AVERAGE('22.07 Kampala-Kalerwe'!J35,'23.07 Kampala-Kalerwe'!J35,'24.07 Kampala-Kalewre'!J35,'25.07 Kampala-Kalewre'!J35,'26.07 Kampala-Kalerwe-24h'!J35,'27.07 Kampala-Kalerwe-24h'!J35,'28.07 Kampala-Kalerwe'!J35)</f>
        <v>0.8571428571428571</v>
      </c>
      <c r="K35" s="49">
        <f>AVERAGE('22.07 Kampala-Kalerwe'!K35,'23.07 Kampala-Kalerwe'!K35,'24.07 Kampala-Kalewre'!K35,'25.07 Kampala-Kalewre'!K35,'26.07 Kampala-Kalerwe-24h'!K35,'27.07 Kampala-Kalerwe-24h'!K35,'28.07 Kampala-Kalerwe'!K35)</f>
        <v>0.7142857142857143</v>
      </c>
      <c r="L35" s="49">
        <f>AVERAGE('22.07 Kampala-Kalerwe'!L35,'23.07 Kampala-Kalerwe'!L35,'24.07 Kampala-Kalewre'!L35,'25.07 Kampala-Kalewre'!L35,'26.07 Kampala-Kalerwe-24h'!L35,'27.07 Kampala-Kalerwe-24h'!L35,'28.07 Kampala-Kalerwe'!L35)</f>
        <v>0.42857142857142855</v>
      </c>
      <c r="M35" s="49">
        <f>AVERAGE('22.07 Kampala-Kalerwe'!M35,'23.07 Kampala-Kalerwe'!M35,'24.07 Kampala-Kalewre'!M35,'25.07 Kampala-Kalewre'!M35,'26.07 Kampala-Kalerwe-24h'!M35,'27.07 Kampala-Kalerwe-24h'!M35,'28.07 Kampala-Kalerwe'!M35)</f>
        <v>150</v>
      </c>
      <c r="N35" s="49">
        <f>AVERAGE('22.07 Kampala-Kalerwe'!N35,'23.07 Kampala-Kalerwe'!N35,'24.07 Kampala-Kalewre'!N35,'25.07 Kampala-Kalewre'!N35,'26.07 Kampala-Kalerwe-24h'!N35,'27.07 Kampala-Kalerwe-24h'!N35,'28.07 Kampala-Kalerwe'!N35)</f>
        <v>0</v>
      </c>
      <c r="O35" s="15">
        <f t="shared" si="0"/>
        <v>91.142857142857139</v>
      </c>
      <c r="P35" s="15">
        <f t="shared" si="1"/>
        <v>241.14285714285714</v>
      </c>
      <c r="R35" s="38" t="s">
        <v>91</v>
      </c>
      <c r="S35" s="39">
        <f t="shared" ref="S35:AF35" si="27">MAX(S13:S18)</f>
        <v>149</v>
      </c>
      <c r="T35" s="39">
        <f t="shared" si="27"/>
        <v>49.571428571428569</v>
      </c>
      <c r="U35" s="39">
        <f t="shared" si="27"/>
        <v>23.285714285714285</v>
      </c>
      <c r="V35" s="39">
        <f t="shared" si="27"/>
        <v>189.57142857142856</v>
      </c>
      <c r="W35" s="39">
        <f t="shared" si="27"/>
        <v>8.5714285714285712</v>
      </c>
      <c r="X35" s="39">
        <f t="shared" si="27"/>
        <v>3.7142857142857144</v>
      </c>
      <c r="Y35" s="39">
        <f t="shared" si="27"/>
        <v>50.571428571428569</v>
      </c>
      <c r="Z35" s="39">
        <f t="shared" si="27"/>
        <v>8.7142857142857135</v>
      </c>
      <c r="AA35" s="39">
        <f t="shared" si="27"/>
        <v>3.7142857142857144</v>
      </c>
      <c r="AB35" s="39">
        <f t="shared" si="27"/>
        <v>2.8571428571428568</v>
      </c>
      <c r="AC35" s="39">
        <f t="shared" si="27"/>
        <v>809.57142857142867</v>
      </c>
      <c r="AD35" s="39">
        <f t="shared" si="27"/>
        <v>0</v>
      </c>
      <c r="AE35" s="40">
        <f t="shared" si="27"/>
        <v>443.42857142857144</v>
      </c>
      <c r="AF35" s="40">
        <f t="shared" si="27"/>
        <v>1238.5714285714284</v>
      </c>
    </row>
    <row r="36" spans="2:32" ht="23.1" customHeight="1" x14ac:dyDescent="0.25">
      <c r="B36" s="24" t="s">
        <v>63</v>
      </c>
      <c r="C36" s="49">
        <f>AVERAGE('22.07 Kampala-Kalerwe'!C36,'23.07 Kampala-Kalerwe'!C36,'24.07 Kampala-Kalewre'!C36,'25.07 Kampala-Kalewre'!C36,'26.07 Kampala-Kalerwe-24h'!C36,'27.07 Kampala-Kalerwe-24h'!C36,'28.07 Kampala-Kalerwe'!C36)</f>
        <v>33.285714285714285</v>
      </c>
      <c r="D36" s="49">
        <f>AVERAGE('22.07 Kampala-Kalerwe'!D36,'23.07 Kampala-Kalerwe'!D36,'24.07 Kampala-Kalewre'!D36,'25.07 Kampala-Kalewre'!D36,'26.07 Kampala-Kalerwe-24h'!D36,'27.07 Kampala-Kalerwe-24h'!D36,'28.07 Kampala-Kalerwe'!D36)</f>
        <v>11</v>
      </c>
      <c r="E36" s="49">
        <f>AVERAGE('22.07 Kampala-Kalerwe'!E36,'23.07 Kampala-Kalerwe'!E36,'24.07 Kampala-Kalewre'!E36,'25.07 Kampala-Kalewre'!E36,'26.07 Kampala-Kalerwe-24h'!E36,'27.07 Kampala-Kalerwe-24h'!E36,'28.07 Kampala-Kalerwe'!E36)</f>
        <v>2.7142857142857144</v>
      </c>
      <c r="F36" s="49">
        <f>AVERAGE('22.07 Kampala-Kalerwe'!F36,'23.07 Kampala-Kalerwe'!F36,'24.07 Kampala-Kalewre'!F36,'25.07 Kampala-Kalewre'!F36,'26.07 Kampala-Kalerwe-24h'!F36,'27.07 Kampala-Kalerwe-24h'!F36,'28.07 Kampala-Kalerwe'!F36)</f>
        <v>36.857142857142854</v>
      </c>
      <c r="G36" s="49">
        <f>AVERAGE('22.07 Kampala-Kalerwe'!G36,'23.07 Kampala-Kalerwe'!G36,'24.07 Kampala-Kalewre'!G36,'25.07 Kampala-Kalewre'!G36,'26.07 Kampala-Kalerwe-24h'!G36,'27.07 Kampala-Kalerwe-24h'!G36,'28.07 Kampala-Kalerwe'!G36)</f>
        <v>1.8571428571428572</v>
      </c>
      <c r="H36" s="49">
        <f>AVERAGE('22.07 Kampala-Kalerwe'!H36,'23.07 Kampala-Kalerwe'!H36,'24.07 Kampala-Kalewre'!H36,'25.07 Kampala-Kalewre'!H36,'26.07 Kampala-Kalerwe-24h'!H36,'27.07 Kampala-Kalerwe-24h'!H36,'28.07 Kampala-Kalerwe'!H36)</f>
        <v>1</v>
      </c>
      <c r="I36" s="49">
        <f>AVERAGE('22.07 Kampala-Kalerwe'!I36,'23.07 Kampala-Kalerwe'!I36,'24.07 Kampala-Kalewre'!I36,'25.07 Kampala-Kalewre'!I36,'26.07 Kampala-Kalerwe-24h'!I36,'27.07 Kampala-Kalerwe-24h'!I36,'28.07 Kampala-Kalerwe'!I36)</f>
        <v>9.7142857142857135</v>
      </c>
      <c r="J36" s="49">
        <f>AVERAGE('22.07 Kampala-Kalerwe'!J36,'23.07 Kampala-Kalerwe'!J36,'24.07 Kampala-Kalewre'!J36,'25.07 Kampala-Kalewre'!J36,'26.07 Kampala-Kalerwe-24h'!J36,'27.07 Kampala-Kalerwe-24h'!J36,'28.07 Kampala-Kalerwe'!J36)</f>
        <v>1.5714285714285714</v>
      </c>
      <c r="K36" s="49">
        <f>AVERAGE('22.07 Kampala-Kalerwe'!K36,'23.07 Kampala-Kalerwe'!K36,'24.07 Kampala-Kalewre'!K36,'25.07 Kampala-Kalewre'!K36,'26.07 Kampala-Kalerwe-24h'!K36,'27.07 Kampala-Kalerwe-24h'!K36,'28.07 Kampala-Kalerwe'!K36)</f>
        <v>1.4285714285714286</v>
      </c>
      <c r="L36" s="49">
        <f>AVERAGE('22.07 Kampala-Kalerwe'!L36,'23.07 Kampala-Kalerwe'!L36,'24.07 Kampala-Kalewre'!L36,'25.07 Kampala-Kalewre'!L36,'26.07 Kampala-Kalerwe-24h'!L36,'27.07 Kampala-Kalerwe-24h'!L36,'28.07 Kampala-Kalerwe'!L36)</f>
        <v>0.2857142857142857</v>
      </c>
      <c r="M36" s="49">
        <f>AVERAGE('22.07 Kampala-Kalerwe'!M36,'23.07 Kampala-Kalerwe'!M36,'24.07 Kampala-Kalewre'!M36,'25.07 Kampala-Kalewre'!M36,'26.07 Kampala-Kalerwe-24h'!M36,'27.07 Kampala-Kalerwe-24h'!M36,'28.07 Kampala-Kalerwe'!M36)</f>
        <v>155.71428571428572</v>
      </c>
      <c r="N36" s="49">
        <f>AVERAGE('22.07 Kampala-Kalerwe'!N36,'23.07 Kampala-Kalerwe'!N36,'24.07 Kampala-Kalewre'!N36,'25.07 Kampala-Kalewre'!N36,'26.07 Kampala-Kalerwe-24h'!N36,'27.07 Kampala-Kalerwe-24h'!N36,'28.07 Kampala-Kalerwe'!N36)</f>
        <v>0</v>
      </c>
      <c r="O36" s="15">
        <f t="shared" si="0"/>
        <v>99.714285714285722</v>
      </c>
      <c r="P36" s="15">
        <f t="shared" si="1"/>
        <v>255.42857142857144</v>
      </c>
      <c r="R36" s="38" t="s">
        <v>92</v>
      </c>
      <c r="S36" s="39">
        <f t="shared" ref="S36:AF36" si="28">MAX(S19:S21)</f>
        <v>238.42857142857142</v>
      </c>
      <c r="T36" s="39">
        <f t="shared" si="28"/>
        <v>72</v>
      </c>
      <c r="U36" s="39">
        <f t="shared" si="28"/>
        <v>24.428571428571431</v>
      </c>
      <c r="V36" s="39">
        <f t="shared" si="28"/>
        <v>166.85714285714283</v>
      </c>
      <c r="W36" s="39">
        <f t="shared" si="28"/>
        <v>5.4285714285714288</v>
      </c>
      <c r="X36" s="39">
        <f t="shared" si="28"/>
        <v>2.714285714285714</v>
      </c>
      <c r="Y36" s="39">
        <f t="shared" si="28"/>
        <v>44.714285714285708</v>
      </c>
      <c r="Z36" s="39">
        <f t="shared" si="28"/>
        <v>6.5714285714285721</v>
      </c>
      <c r="AA36" s="39">
        <f t="shared" si="28"/>
        <v>4.1428571428571423</v>
      </c>
      <c r="AB36" s="39">
        <f t="shared" si="28"/>
        <v>2.5714285714285712</v>
      </c>
      <c r="AC36" s="39">
        <f t="shared" si="28"/>
        <v>759.57142857142856</v>
      </c>
      <c r="AD36" s="39">
        <f t="shared" si="28"/>
        <v>0</v>
      </c>
      <c r="AE36" s="40">
        <f t="shared" si="28"/>
        <v>513.28571428571422</v>
      </c>
      <c r="AF36" s="40">
        <f t="shared" si="28"/>
        <v>1253.1428571428571</v>
      </c>
    </row>
    <row r="37" spans="2:32" ht="23.1" customHeight="1" x14ac:dyDescent="0.25">
      <c r="B37" s="23" t="s">
        <v>64</v>
      </c>
      <c r="C37" s="49">
        <f>AVERAGE('22.07 Kampala-Kalerwe'!C37,'23.07 Kampala-Kalerwe'!C37,'24.07 Kampala-Kalewre'!C37,'25.07 Kampala-Kalewre'!C37,'26.07 Kampala-Kalerwe-24h'!C37,'27.07 Kampala-Kalerwe-24h'!C37,'28.07 Kampala-Kalerwe'!C37)</f>
        <v>39.142857142857146</v>
      </c>
      <c r="D37" s="49">
        <f>AVERAGE('22.07 Kampala-Kalerwe'!D37,'23.07 Kampala-Kalerwe'!D37,'24.07 Kampala-Kalewre'!D37,'25.07 Kampala-Kalewre'!D37,'26.07 Kampala-Kalerwe-24h'!D37,'27.07 Kampala-Kalerwe-24h'!D37,'28.07 Kampala-Kalerwe'!D37)</f>
        <v>9.2857142857142865</v>
      </c>
      <c r="E37" s="49">
        <f>AVERAGE('22.07 Kampala-Kalerwe'!E37,'23.07 Kampala-Kalerwe'!E37,'24.07 Kampala-Kalewre'!E37,'25.07 Kampala-Kalewre'!E37,'26.07 Kampala-Kalerwe-24h'!E37,'27.07 Kampala-Kalerwe-24h'!E37,'28.07 Kampala-Kalerwe'!E37)</f>
        <v>5.1428571428571432</v>
      </c>
      <c r="F37" s="49">
        <f>AVERAGE('22.07 Kampala-Kalerwe'!F37,'23.07 Kampala-Kalerwe'!F37,'24.07 Kampala-Kalewre'!F37,'25.07 Kampala-Kalewre'!F37,'26.07 Kampala-Kalerwe-24h'!F37,'27.07 Kampala-Kalerwe-24h'!F37,'28.07 Kampala-Kalerwe'!F37)</f>
        <v>35.142857142857146</v>
      </c>
      <c r="G37" s="49">
        <f>AVERAGE('22.07 Kampala-Kalerwe'!G37,'23.07 Kampala-Kalerwe'!G37,'24.07 Kampala-Kalewre'!G37,'25.07 Kampala-Kalewre'!G37,'26.07 Kampala-Kalerwe-24h'!G37,'27.07 Kampala-Kalerwe-24h'!G37,'28.07 Kampala-Kalerwe'!G37)</f>
        <v>0.7142857142857143</v>
      </c>
      <c r="H37" s="49">
        <f>AVERAGE('22.07 Kampala-Kalerwe'!H37,'23.07 Kampala-Kalerwe'!H37,'24.07 Kampala-Kalewre'!H37,'25.07 Kampala-Kalewre'!H37,'26.07 Kampala-Kalerwe-24h'!H37,'27.07 Kampala-Kalerwe-24h'!H37,'28.07 Kampala-Kalerwe'!H37)</f>
        <v>0.2857142857142857</v>
      </c>
      <c r="I37" s="49">
        <f>AVERAGE('22.07 Kampala-Kalerwe'!I37,'23.07 Kampala-Kalerwe'!I37,'24.07 Kampala-Kalewre'!I37,'25.07 Kampala-Kalewre'!I37,'26.07 Kampala-Kalerwe-24h'!I37,'27.07 Kampala-Kalerwe-24h'!I37,'28.07 Kampala-Kalerwe'!I37)</f>
        <v>8.8571428571428577</v>
      </c>
      <c r="J37" s="49">
        <f>AVERAGE('22.07 Kampala-Kalerwe'!J37,'23.07 Kampala-Kalerwe'!J37,'24.07 Kampala-Kalewre'!J37,'25.07 Kampala-Kalewre'!J37,'26.07 Kampala-Kalerwe-24h'!J37,'27.07 Kampala-Kalerwe-24h'!J37,'28.07 Kampala-Kalerwe'!J37)</f>
        <v>0.7142857142857143</v>
      </c>
      <c r="K37" s="49">
        <f>AVERAGE('22.07 Kampala-Kalerwe'!K37,'23.07 Kampala-Kalerwe'!K37,'24.07 Kampala-Kalewre'!K37,'25.07 Kampala-Kalewre'!K37,'26.07 Kampala-Kalerwe-24h'!K37,'27.07 Kampala-Kalerwe-24h'!K37,'28.07 Kampala-Kalerwe'!K37)</f>
        <v>0.5714285714285714</v>
      </c>
      <c r="L37" s="49">
        <f>AVERAGE('22.07 Kampala-Kalerwe'!L37,'23.07 Kampala-Kalerwe'!L37,'24.07 Kampala-Kalewre'!L37,'25.07 Kampala-Kalewre'!L37,'26.07 Kampala-Kalerwe-24h'!L37,'27.07 Kampala-Kalerwe-24h'!L37,'28.07 Kampala-Kalerwe'!L37)</f>
        <v>0.5714285714285714</v>
      </c>
      <c r="M37" s="49">
        <f>AVERAGE('22.07 Kampala-Kalerwe'!M37,'23.07 Kampala-Kalerwe'!M37,'24.07 Kampala-Kalewre'!M37,'25.07 Kampala-Kalewre'!M37,'26.07 Kampala-Kalerwe-24h'!M37,'27.07 Kampala-Kalerwe-24h'!M37,'28.07 Kampala-Kalerwe'!M37)</f>
        <v>156.71428571428572</v>
      </c>
      <c r="N37" s="49">
        <f>AVERAGE('22.07 Kampala-Kalerwe'!N37,'23.07 Kampala-Kalerwe'!N37,'24.07 Kampala-Kalewre'!N37,'25.07 Kampala-Kalewre'!N37,'26.07 Kampala-Kalerwe-24h'!N37,'27.07 Kampala-Kalerwe-24h'!N37,'28.07 Kampala-Kalerwe'!N37)</f>
        <v>0</v>
      </c>
      <c r="O37" s="15">
        <f t="shared" si="0"/>
        <v>100.42857142857143</v>
      </c>
      <c r="P37" s="15">
        <f t="shared" si="1"/>
        <v>257.14285714285717</v>
      </c>
      <c r="R37" s="37" t="s">
        <v>85</v>
      </c>
      <c r="S37" s="35">
        <f t="shared" ref="S37:AF37" si="29">SUM(S10:S12)</f>
        <v>344.71428571428567</v>
      </c>
      <c r="T37" s="16">
        <f t="shared" si="29"/>
        <v>105</v>
      </c>
      <c r="U37" s="16">
        <f t="shared" si="29"/>
        <v>64</v>
      </c>
      <c r="V37" s="16">
        <f t="shared" si="29"/>
        <v>712.14285714285722</v>
      </c>
      <c r="W37" s="16">
        <f t="shared" si="29"/>
        <v>16.571428571428573</v>
      </c>
      <c r="X37" s="16">
        <f t="shared" si="29"/>
        <v>12</v>
      </c>
      <c r="Y37" s="16">
        <f t="shared" si="29"/>
        <v>91.428571428571431</v>
      </c>
      <c r="Z37" s="16">
        <f t="shared" si="29"/>
        <v>13.428571428571427</v>
      </c>
      <c r="AA37" s="16">
        <f t="shared" si="29"/>
        <v>9</v>
      </c>
      <c r="AB37" s="16">
        <f t="shared" si="29"/>
        <v>3.8571428571428568</v>
      </c>
      <c r="AC37" s="16">
        <f t="shared" si="29"/>
        <v>2529</v>
      </c>
      <c r="AD37" s="16">
        <f t="shared" si="29"/>
        <v>1.2857142857142858</v>
      </c>
      <c r="AE37" s="32">
        <f t="shared" si="29"/>
        <v>1373.4285714285716</v>
      </c>
      <c r="AF37" s="32">
        <f t="shared" si="29"/>
        <v>3902.4285714285716</v>
      </c>
    </row>
    <row r="38" spans="2:32" ht="23.1" customHeight="1" x14ac:dyDescent="0.25">
      <c r="B38" s="24" t="s">
        <v>65</v>
      </c>
      <c r="C38" s="49">
        <f>AVERAGE('22.07 Kampala-Kalerwe'!C38,'23.07 Kampala-Kalerwe'!C38,'24.07 Kampala-Kalewre'!C38,'25.07 Kampala-Kalewre'!C38,'26.07 Kampala-Kalerwe-24h'!C38,'27.07 Kampala-Kalerwe-24h'!C38,'28.07 Kampala-Kalerwe'!C38)</f>
        <v>32</v>
      </c>
      <c r="D38" s="49">
        <f>AVERAGE('22.07 Kampala-Kalerwe'!D38,'23.07 Kampala-Kalerwe'!D38,'24.07 Kampala-Kalewre'!D38,'25.07 Kampala-Kalewre'!D38,'26.07 Kampala-Kalerwe-24h'!D38,'27.07 Kampala-Kalerwe-24h'!D38,'28.07 Kampala-Kalerwe'!D38)</f>
        <v>6.7142857142857144</v>
      </c>
      <c r="E38" s="49">
        <f>AVERAGE('22.07 Kampala-Kalerwe'!E38,'23.07 Kampala-Kalerwe'!E38,'24.07 Kampala-Kalewre'!E38,'25.07 Kampala-Kalewre'!E38,'26.07 Kampala-Kalerwe-24h'!E38,'27.07 Kampala-Kalerwe-24h'!E38,'28.07 Kampala-Kalerwe'!E38)</f>
        <v>3.7142857142857144</v>
      </c>
      <c r="F38" s="49">
        <f>AVERAGE('22.07 Kampala-Kalerwe'!F38,'23.07 Kampala-Kalerwe'!F38,'24.07 Kampala-Kalewre'!F38,'25.07 Kampala-Kalewre'!F38,'26.07 Kampala-Kalerwe-24h'!F38,'27.07 Kampala-Kalerwe-24h'!F38,'28.07 Kampala-Kalerwe'!F38)</f>
        <v>40.142857142857146</v>
      </c>
      <c r="G38" s="49">
        <f>AVERAGE('22.07 Kampala-Kalerwe'!G38,'23.07 Kampala-Kalerwe'!G38,'24.07 Kampala-Kalewre'!G38,'25.07 Kampala-Kalewre'!G38,'26.07 Kampala-Kalerwe-24h'!G38,'27.07 Kampala-Kalerwe-24h'!G38,'28.07 Kampala-Kalerwe'!G38)</f>
        <v>2.1428571428571428</v>
      </c>
      <c r="H38" s="49">
        <f>AVERAGE('22.07 Kampala-Kalerwe'!H38,'23.07 Kampala-Kalerwe'!H38,'24.07 Kampala-Kalewre'!H38,'25.07 Kampala-Kalewre'!H38,'26.07 Kampala-Kalerwe-24h'!H38,'27.07 Kampala-Kalerwe-24h'!H38,'28.07 Kampala-Kalerwe'!H38)</f>
        <v>0.8571428571428571</v>
      </c>
      <c r="I38" s="49">
        <f>AVERAGE('22.07 Kampala-Kalerwe'!I38,'23.07 Kampala-Kalerwe'!I38,'24.07 Kampala-Kalewre'!I38,'25.07 Kampala-Kalewre'!I38,'26.07 Kampala-Kalerwe-24h'!I38,'27.07 Kampala-Kalerwe-24h'!I38,'28.07 Kampala-Kalerwe'!I38)</f>
        <v>11.714285714285714</v>
      </c>
      <c r="J38" s="49">
        <f>AVERAGE('22.07 Kampala-Kalerwe'!J38,'23.07 Kampala-Kalerwe'!J38,'24.07 Kampala-Kalewre'!J38,'25.07 Kampala-Kalewre'!J38,'26.07 Kampala-Kalerwe-24h'!J38,'27.07 Kampala-Kalerwe-24h'!J38,'28.07 Kampala-Kalerwe'!J38)</f>
        <v>1.7142857142857142</v>
      </c>
      <c r="K38" s="49">
        <f>AVERAGE('22.07 Kampala-Kalerwe'!K38,'23.07 Kampala-Kalerwe'!K38,'24.07 Kampala-Kalewre'!K38,'25.07 Kampala-Kalewre'!K38,'26.07 Kampala-Kalerwe-24h'!K38,'27.07 Kampala-Kalerwe-24h'!K38,'28.07 Kampala-Kalerwe'!K38)</f>
        <v>0.8571428571428571</v>
      </c>
      <c r="L38" s="49">
        <f>AVERAGE('22.07 Kampala-Kalerwe'!L38,'23.07 Kampala-Kalerwe'!L38,'24.07 Kampala-Kalewre'!L38,'25.07 Kampala-Kalewre'!L38,'26.07 Kampala-Kalerwe-24h'!L38,'27.07 Kampala-Kalerwe-24h'!L38,'28.07 Kampala-Kalerwe'!L38)</f>
        <v>0.2857142857142857</v>
      </c>
      <c r="M38" s="49">
        <f>AVERAGE('22.07 Kampala-Kalerwe'!M38,'23.07 Kampala-Kalerwe'!M38,'24.07 Kampala-Kalewre'!M38,'25.07 Kampala-Kalewre'!M38,'26.07 Kampala-Kalerwe-24h'!M38,'27.07 Kampala-Kalerwe-24h'!M38,'28.07 Kampala-Kalerwe'!M38)</f>
        <v>167.57142857142858</v>
      </c>
      <c r="N38" s="49">
        <f>AVERAGE('22.07 Kampala-Kalerwe'!N38,'23.07 Kampala-Kalerwe'!N38,'24.07 Kampala-Kalewre'!N38,'25.07 Kampala-Kalewre'!N38,'26.07 Kampala-Kalerwe-24h'!N38,'27.07 Kampala-Kalerwe-24h'!N38,'28.07 Kampala-Kalerwe'!N38)</f>
        <v>0</v>
      </c>
      <c r="O38" s="15">
        <f t="shared" si="0"/>
        <v>100.14285714285715</v>
      </c>
      <c r="P38" s="15">
        <f t="shared" si="1"/>
        <v>267.71428571428572</v>
      </c>
      <c r="R38" s="28" t="s">
        <v>86</v>
      </c>
      <c r="S38" s="16">
        <f t="shared" ref="S38:AF38" si="30">SUM(S13:S18)</f>
        <v>809</v>
      </c>
      <c r="T38" s="16">
        <f t="shared" si="30"/>
        <v>235.57142857142856</v>
      </c>
      <c r="U38" s="16">
        <f t="shared" si="30"/>
        <v>109.57142857142856</v>
      </c>
      <c r="V38" s="16">
        <f t="shared" si="30"/>
        <v>1005.8571428571428</v>
      </c>
      <c r="W38" s="16">
        <f t="shared" si="30"/>
        <v>35.714285714285715</v>
      </c>
      <c r="X38" s="16">
        <f t="shared" si="30"/>
        <v>16.571428571428569</v>
      </c>
      <c r="Y38" s="16">
        <f t="shared" si="30"/>
        <v>224.14285714285714</v>
      </c>
      <c r="Z38" s="16">
        <f t="shared" si="30"/>
        <v>39.571428571428577</v>
      </c>
      <c r="AA38" s="16">
        <f t="shared" si="30"/>
        <v>16.857142857142858</v>
      </c>
      <c r="AB38" s="16">
        <f t="shared" si="30"/>
        <v>12.857142857142858</v>
      </c>
      <c r="AC38" s="16">
        <f t="shared" si="30"/>
        <v>4033.4285714285716</v>
      </c>
      <c r="AD38" s="16">
        <f t="shared" si="30"/>
        <v>0</v>
      </c>
      <c r="AE38" s="32">
        <f t="shared" si="30"/>
        <v>2505.7142857142858</v>
      </c>
      <c r="AF38" s="32">
        <f t="shared" si="30"/>
        <v>6539.1428571428569</v>
      </c>
    </row>
    <row r="39" spans="2:32" ht="23.1" customHeight="1" x14ac:dyDescent="0.25">
      <c r="B39" s="24" t="s">
        <v>66</v>
      </c>
      <c r="C39" s="49">
        <f>AVERAGE('22.07 Kampala-Kalerwe'!C39,'23.07 Kampala-Kalerwe'!C39,'24.07 Kampala-Kalewre'!C39,'25.07 Kampala-Kalewre'!C39,'26.07 Kampala-Kalerwe-24h'!C39,'27.07 Kampala-Kalerwe-24h'!C39,'28.07 Kampala-Kalerwe'!C39)</f>
        <v>30.714285714285715</v>
      </c>
      <c r="D39" s="49">
        <f>AVERAGE('22.07 Kampala-Kalerwe'!D39,'23.07 Kampala-Kalerwe'!D39,'24.07 Kampala-Kalewre'!D39,'25.07 Kampala-Kalewre'!D39,'26.07 Kampala-Kalerwe-24h'!D39,'27.07 Kampala-Kalerwe-24h'!D39,'28.07 Kampala-Kalerwe'!D39)</f>
        <v>9</v>
      </c>
      <c r="E39" s="49">
        <f>AVERAGE('22.07 Kampala-Kalerwe'!E39,'23.07 Kampala-Kalerwe'!E39,'24.07 Kampala-Kalewre'!E39,'25.07 Kampala-Kalewre'!E39,'26.07 Kampala-Kalerwe-24h'!E39,'27.07 Kampala-Kalerwe-24h'!E39,'28.07 Kampala-Kalerwe'!E39)</f>
        <v>2.8571428571428572</v>
      </c>
      <c r="F39" s="49">
        <f>AVERAGE('22.07 Kampala-Kalerwe'!F39,'23.07 Kampala-Kalerwe'!F39,'24.07 Kampala-Kalewre'!F39,'25.07 Kampala-Kalewre'!F39,'26.07 Kampala-Kalerwe-24h'!F39,'27.07 Kampala-Kalerwe-24h'!F39,'28.07 Kampala-Kalerwe'!F39)</f>
        <v>43.285714285714285</v>
      </c>
      <c r="G39" s="49">
        <f>AVERAGE('22.07 Kampala-Kalerwe'!G39,'23.07 Kampala-Kalerwe'!G39,'24.07 Kampala-Kalewre'!G39,'25.07 Kampala-Kalewre'!G39,'26.07 Kampala-Kalerwe-24h'!G39,'27.07 Kampala-Kalerwe-24h'!G39,'28.07 Kampala-Kalerwe'!G39)</f>
        <v>0.5714285714285714</v>
      </c>
      <c r="H39" s="49">
        <f>AVERAGE('22.07 Kampala-Kalerwe'!H39,'23.07 Kampala-Kalerwe'!H39,'24.07 Kampala-Kalewre'!H39,'25.07 Kampala-Kalewre'!H39,'26.07 Kampala-Kalerwe-24h'!H39,'27.07 Kampala-Kalerwe-24h'!H39,'28.07 Kampala-Kalerwe'!H39)</f>
        <v>1</v>
      </c>
      <c r="I39" s="49">
        <f>AVERAGE('22.07 Kampala-Kalerwe'!I39,'23.07 Kampala-Kalerwe'!I39,'24.07 Kampala-Kalewre'!I39,'25.07 Kampala-Kalewre'!I39,'26.07 Kampala-Kalerwe-24h'!I39,'27.07 Kampala-Kalerwe-24h'!I39,'28.07 Kampala-Kalerwe'!I39)</f>
        <v>15.571428571428571</v>
      </c>
      <c r="J39" s="49">
        <f>AVERAGE('22.07 Kampala-Kalerwe'!J39,'23.07 Kampala-Kalerwe'!J39,'24.07 Kampala-Kalewre'!J39,'25.07 Kampala-Kalewre'!J39,'26.07 Kampala-Kalerwe-24h'!J39,'27.07 Kampala-Kalerwe-24h'!J39,'28.07 Kampala-Kalerwe'!J39)</f>
        <v>0.7142857142857143</v>
      </c>
      <c r="K39" s="49">
        <f>AVERAGE('22.07 Kampala-Kalerwe'!K39,'23.07 Kampala-Kalerwe'!K39,'24.07 Kampala-Kalewre'!K39,'25.07 Kampala-Kalewre'!K39,'26.07 Kampala-Kalerwe-24h'!K39,'27.07 Kampala-Kalerwe-24h'!K39,'28.07 Kampala-Kalerwe'!K39)</f>
        <v>0.7142857142857143</v>
      </c>
      <c r="L39" s="49">
        <f>AVERAGE('22.07 Kampala-Kalerwe'!L39,'23.07 Kampala-Kalerwe'!L39,'24.07 Kampala-Kalewre'!L39,'25.07 Kampala-Kalewre'!L39,'26.07 Kampala-Kalerwe-24h'!L39,'27.07 Kampala-Kalerwe-24h'!L39,'28.07 Kampala-Kalerwe'!L39)</f>
        <v>0.5714285714285714</v>
      </c>
      <c r="M39" s="49">
        <f>AVERAGE('22.07 Kampala-Kalerwe'!M39,'23.07 Kampala-Kalerwe'!M39,'24.07 Kampala-Kalewre'!M39,'25.07 Kampala-Kalewre'!M39,'26.07 Kampala-Kalerwe-24h'!M39,'27.07 Kampala-Kalerwe-24h'!M39,'28.07 Kampala-Kalerwe'!M39)</f>
        <v>165.71428571428572</v>
      </c>
      <c r="N39" s="49">
        <f>AVERAGE('22.07 Kampala-Kalerwe'!N39,'23.07 Kampala-Kalerwe'!N39,'24.07 Kampala-Kalewre'!N39,'25.07 Kampala-Kalewre'!N39,'26.07 Kampala-Kalerwe-24h'!N39,'27.07 Kampala-Kalerwe-24h'!N39,'28.07 Kampala-Kalerwe'!N39)</f>
        <v>0</v>
      </c>
      <c r="O39" s="15">
        <f t="shared" si="0"/>
        <v>104.99999999999999</v>
      </c>
      <c r="P39" s="15">
        <f t="shared" si="1"/>
        <v>270.71428571428572</v>
      </c>
      <c r="R39" s="29" t="s">
        <v>87</v>
      </c>
      <c r="S39" s="16">
        <f t="shared" ref="S39:AF39" si="31">SUM(S19:S21)</f>
        <v>654.57142857142856</v>
      </c>
      <c r="T39" s="16">
        <f t="shared" si="31"/>
        <v>181.42857142857144</v>
      </c>
      <c r="U39" s="16">
        <f t="shared" si="31"/>
        <v>60.142857142857146</v>
      </c>
      <c r="V39" s="16">
        <f t="shared" si="31"/>
        <v>451.28571428571422</v>
      </c>
      <c r="W39" s="16">
        <f t="shared" si="31"/>
        <v>15.714285714285715</v>
      </c>
      <c r="X39" s="16">
        <f t="shared" si="31"/>
        <v>7.5714285714285712</v>
      </c>
      <c r="Y39" s="16">
        <f t="shared" si="31"/>
        <v>113.71428571428569</v>
      </c>
      <c r="Z39" s="16">
        <f t="shared" si="31"/>
        <v>16.714285714285715</v>
      </c>
      <c r="AA39" s="16">
        <f t="shared" si="31"/>
        <v>10.142857142857142</v>
      </c>
      <c r="AB39" s="16">
        <f t="shared" si="31"/>
        <v>6.2857142857142847</v>
      </c>
      <c r="AC39" s="16">
        <f t="shared" si="31"/>
        <v>2091.1428571428573</v>
      </c>
      <c r="AD39" s="16">
        <f t="shared" si="31"/>
        <v>0</v>
      </c>
      <c r="AE39" s="32">
        <f t="shared" si="31"/>
        <v>1517.5714285714284</v>
      </c>
      <c r="AF39" s="32">
        <f t="shared" si="31"/>
        <v>3608.7142857142853</v>
      </c>
    </row>
    <row r="40" spans="2:32" ht="23.1" customHeight="1" x14ac:dyDescent="0.25">
      <c r="B40" s="24" t="s">
        <v>67</v>
      </c>
      <c r="C40" s="49">
        <f>AVERAGE('22.07 Kampala-Kalerwe'!C40,'23.07 Kampala-Kalerwe'!C40,'24.07 Kampala-Kalewre'!C40,'25.07 Kampala-Kalewre'!C40,'26.07 Kampala-Kalerwe-24h'!C40,'27.07 Kampala-Kalerwe-24h'!C40,'28.07 Kampala-Kalerwe'!C40)</f>
        <v>40.714285714285715</v>
      </c>
      <c r="D40" s="49">
        <f>AVERAGE('22.07 Kampala-Kalerwe'!D40,'23.07 Kampala-Kalerwe'!D40,'24.07 Kampala-Kalewre'!D40,'25.07 Kampala-Kalewre'!D40,'26.07 Kampala-Kalerwe-24h'!D40,'27.07 Kampala-Kalerwe-24h'!D40,'28.07 Kampala-Kalerwe'!D40)</f>
        <v>10</v>
      </c>
      <c r="E40" s="49">
        <f>AVERAGE('22.07 Kampala-Kalerwe'!E40,'23.07 Kampala-Kalerwe'!E40,'24.07 Kampala-Kalewre'!E40,'25.07 Kampala-Kalewre'!E40,'26.07 Kampala-Kalerwe-24h'!E40,'27.07 Kampala-Kalerwe-24h'!E40,'28.07 Kampala-Kalerwe'!E40)</f>
        <v>4.4285714285714288</v>
      </c>
      <c r="F40" s="49">
        <f>AVERAGE('22.07 Kampala-Kalerwe'!F40,'23.07 Kampala-Kalerwe'!F40,'24.07 Kampala-Kalewre'!F40,'25.07 Kampala-Kalewre'!F40,'26.07 Kampala-Kalerwe-24h'!F40,'27.07 Kampala-Kalerwe-24h'!F40,'28.07 Kampala-Kalerwe'!F40)</f>
        <v>45.285714285714285</v>
      </c>
      <c r="G40" s="49">
        <f>AVERAGE('22.07 Kampala-Kalerwe'!G40,'23.07 Kampala-Kalerwe'!G40,'24.07 Kampala-Kalewre'!G40,'25.07 Kampala-Kalewre'!G40,'26.07 Kampala-Kalerwe-24h'!G40,'27.07 Kampala-Kalerwe-24h'!G40,'28.07 Kampala-Kalerwe'!G40)</f>
        <v>1.1428571428571428</v>
      </c>
      <c r="H40" s="49">
        <f>AVERAGE('22.07 Kampala-Kalerwe'!H40,'23.07 Kampala-Kalerwe'!H40,'24.07 Kampala-Kalewre'!H40,'25.07 Kampala-Kalewre'!H40,'26.07 Kampala-Kalerwe-24h'!H40,'27.07 Kampala-Kalerwe-24h'!H40,'28.07 Kampala-Kalerwe'!H40)</f>
        <v>0.5714285714285714</v>
      </c>
      <c r="I40" s="49">
        <f>AVERAGE('22.07 Kampala-Kalerwe'!I40,'23.07 Kampala-Kalerwe'!I40,'24.07 Kampala-Kalewre'!I40,'25.07 Kampala-Kalewre'!I40,'26.07 Kampala-Kalerwe-24h'!I40,'27.07 Kampala-Kalerwe-24h'!I40,'28.07 Kampala-Kalerwe'!I40)</f>
        <v>10.857142857142858</v>
      </c>
      <c r="J40" s="49">
        <f>AVERAGE('22.07 Kampala-Kalerwe'!J40,'23.07 Kampala-Kalerwe'!J40,'24.07 Kampala-Kalewre'!J40,'25.07 Kampala-Kalewre'!J40,'26.07 Kampala-Kalerwe-24h'!J40,'27.07 Kampala-Kalerwe-24h'!J40,'28.07 Kampala-Kalerwe'!J40)</f>
        <v>2.4285714285714284</v>
      </c>
      <c r="K40" s="49">
        <f>AVERAGE('22.07 Kampala-Kalerwe'!K40,'23.07 Kampala-Kalerwe'!K40,'24.07 Kampala-Kalewre'!K40,'25.07 Kampala-Kalewre'!K40,'26.07 Kampala-Kalerwe-24h'!K40,'27.07 Kampala-Kalerwe-24h'!K40,'28.07 Kampala-Kalerwe'!K40)</f>
        <v>1.4285714285714286</v>
      </c>
      <c r="L40" s="49">
        <f>AVERAGE('22.07 Kampala-Kalerwe'!L40,'23.07 Kampala-Kalerwe'!L40,'24.07 Kampala-Kalewre'!L40,'25.07 Kampala-Kalewre'!L40,'26.07 Kampala-Kalerwe-24h'!L40,'27.07 Kampala-Kalerwe-24h'!L40,'28.07 Kampala-Kalerwe'!L40)</f>
        <v>0.5714285714285714</v>
      </c>
      <c r="M40" s="49">
        <f>AVERAGE('22.07 Kampala-Kalerwe'!M40,'23.07 Kampala-Kalerwe'!M40,'24.07 Kampala-Kalewre'!M40,'25.07 Kampala-Kalewre'!M40,'26.07 Kampala-Kalerwe-24h'!M40,'27.07 Kampala-Kalerwe-24h'!M40,'28.07 Kampala-Kalerwe'!M40)</f>
        <v>155.42857142857142</v>
      </c>
      <c r="N40" s="49">
        <f>AVERAGE('22.07 Kampala-Kalerwe'!N40,'23.07 Kampala-Kalerwe'!N40,'24.07 Kampala-Kalewre'!N40,'25.07 Kampala-Kalewre'!N40,'26.07 Kampala-Kalerwe-24h'!N40,'27.07 Kampala-Kalerwe-24h'!N40,'28.07 Kampala-Kalerwe'!N40)</f>
        <v>0</v>
      </c>
      <c r="O40" s="15">
        <f t="shared" si="0"/>
        <v>117.42857142857143</v>
      </c>
      <c r="P40" s="15">
        <f t="shared" si="1"/>
        <v>272.85714285714283</v>
      </c>
      <c r="R40" s="5" t="s">
        <v>17</v>
      </c>
      <c r="S40" s="16">
        <f t="shared" ref="S40:AF40" si="32">SUM(S10:S21)</f>
        <v>1808.2857142857142</v>
      </c>
      <c r="T40" s="16">
        <f t="shared" si="32"/>
        <v>522</v>
      </c>
      <c r="U40" s="16">
        <f t="shared" si="32"/>
        <v>233.71428571428572</v>
      </c>
      <c r="V40" s="16">
        <f t="shared" si="32"/>
        <v>2169.2857142857147</v>
      </c>
      <c r="W40" s="16">
        <f t="shared" si="32"/>
        <v>68</v>
      </c>
      <c r="X40" s="16">
        <f t="shared" si="32"/>
        <v>36.142857142857139</v>
      </c>
      <c r="Y40" s="16">
        <f t="shared" si="32"/>
        <v>429.28571428571428</v>
      </c>
      <c r="Z40" s="16">
        <f t="shared" si="32"/>
        <v>69.714285714285708</v>
      </c>
      <c r="AA40" s="16">
        <f t="shared" si="32"/>
        <v>36</v>
      </c>
      <c r="AB40" s="16">
        <f t="shared" si="32"/>
        <v>23</v>
      </c>
      <c r="AC40" s="16">
        <f t="shared" si="32"/>
        <v>8653.5714285714294</v>
      </c>
      <c r="AD40" s="16">
        <f t="shared" si="32"/>
        <v>1.2857142857142858</v>
      </c>
      <c r="AE40" s="32">
        <f t="shared" si="32"/>
        <v>5396.7142857142844</v>
      </c>
      <c r="AF40" s="32">
        <f t="shared" si="32"/>
        <v>14050.285714285714</v>
      </c>
    </row>
    <row r="41" spans="2:32" ht="23.1" customHeight="1" x14ac:dyDescent="0.25">
      <c r="B41" s="23" t="s">
        <v>68</v>
      </c>
      <c r="C41" s="49">
        <f>AVERAGE('22.07 Kampala-Kalerwe'!C41,'23.07 Kampala-Kalerwe'!C41,'24.07 Kampala-Kalewre'!C41,'25.07 Kampala-Kalewre'!C41,'26.07 Kampala-Kalerwe-24h'!C41,'27.07 Kampala-Kalerwe-24h'!C41,'28.07 Kampala-Kalerwe'!C41)</f>
        <v>37.571428571428569</v>
      </c>
      <c r="D41" s="49">
        <f>AVERAGE('22.07 Kampala-Kalerwe'!D41,'23.07 Kampala-Kalerwe'!D41,'24.07 Kampala-Kalewre'!D41,'25.07 Kampala-Kalewre'!D41,'26.07 Kampala-Kalerwe-24h'!D41,'27.07 Kampala-Kalerwe-24h'!D41,'28.07 Kampala-Kalerwe'!D41)</f>
        <v>12.285714285714286</v>
      </c>
      <c r="E41" s="49">
        <f>AVERAGE('22.07 Kampala-Kalerwe'!E41,'23.07 Kampala-Kalerwe'!E41,'24.07 Kampala-Kalewre'!E41,'25.07 Kampala-Kalewre'!E41,'26.07 Kampala-Kalerwe-24h'!E41,'27.07 Kampala-Kalerwe-24h'!E41,'28.07 Kampala-Kalerwe'!E41)</f>
        <v>4.1428571428571432</v>
      </c>
      <c r="F41" s="49">
        <f>AVERAGE('22.07 Kampala-Kalerwe'!F41,'23.07 Kampala-Kalerwe'!F41,'24.07 Kampala-Kalewre'!F41,'25.07 Kampala-Kalewre'!F41,'26.07 Kampala-Kalerwe-24h'!F41,'27.07 Kampala-Kalerwe-24h'!F41,'28.07 Kampala-Kalerwe'!F41)</f>
        <v>38.857142857142854</v>
      </c>
      <c r="G41" s="49">
        <f>AVERAGE('22.07 Kampala-Kalerwe'!G41,'23.07 Kampala-Kalerwe'!G41,'24.07 Kampala-Kalewre'!G41,'25.07 Kampala-Kalewre'!G41,'26.07 Kampala-Kalerwe-24h'!G41,'27.07 Kampala-Kalerwe-24h'!G41,'28.07 Kampala-Kalerwe'!G41)</f>
        <v>0.8571428571428571</v>
      </c>
      <c r="H41" s="49">
        <f>AVERAGE('22.07 Kampala-Kalerwe'!H41,'23.07 Kampala-Kalerwe'!H41,'24.07 Kampala-Kalewre'!H41,'25.07 Kampala-Kalewre'!H41,'26.07 Kampala-Kalerwe-24h'!H41,'27.07 Kampala-Kalerwe-24h'!H41,'28.07 Kampala-Kalerwe'!H41)</f>
        <v>0.7142857142857143</v>
      </c>
      <c r="I41" s="49">
        <f>AVERAGE('22.07 Kampala-Kalerwe'!I41,'23.07 Kampala-Kalerwe'!I41,'24.07 Kampala-Kalewre'!I41,'25.07 Kampala-Kalewre'!I41,'26.07 Kampala-Kalerwe-24h'!I41,'27.07 Kampala-Kalerwe-24h'!I41,'28.07 Kampala-Kalerwe'!I41)</f>
        <v>12.428571428571429</v>
      </c>
      <c r="J41" s="49">
        <f>AVERAGE('22.07 Kampala-Kalerwe'!J41,'23.07 Kampala-Kalerwe'!J41,'24.07 Kampala-Kalewre'!J41,'25.07 Kampala-Kalewre'!J41,'26.07 Kampala-Kalerwe-24h'!J41,'27.07 Kampala-Kalerwe-24h'!J41,'28.07 Kampala-Kalerwe'!J41)</f>
        <v>1</v>
      </c>
      <c r="K41" s="49">
        <f>AVERAGE('22.07 Kampala-Kalerwe'!K41,'23.07 Kampala-Kalerwe'!K41,'24.07 Kampala-Kalewre'!K41,'25.07 Kampala-Kalewre'!K41,'26.07 Kampala-Kalerwe-24h'!K41,'27.07 Kampala-Kalerwe-24h'!K41,'28.07 Kampala-Kalerwe'!K41)</f>
        <v>0.5714285714285714</v>
      </c>
      <c r="L41" s="49">
        <f>AVERAGE('22.07 Kampala-Kalerwe'!L41,'23.07 Kampala-Kalerwe'!L41,'24.07 Kampala-Kalewre'!L41,'25.07 Kampala-Kalewre'!L41,'26.07 Kampala-Kalerwe-24h'!L41,'27.07 Kampala-Kalerwe-24h'!L41,'28.07 Kampala-Kalerwe'!L41)</f>
        <v>1.1428571428571428</v>
      </c>
      <c r="M41" s="49">
        <f>AVERAGE('22.07 Kampala-Kalerwe'!M41,'23.07 Kampala-Kalerwe'!M41,'24.07 Kampala-Kalewre'!M41,'25.07 Kampala-Kalewre'!M41,'26.07 Kampala-Kalerwe-24h'!M41,'27.07 Kampala-Kalerwe-24h'!M41,'28.07 Kampala-Kalerwe'!M41)</f>
        <v>160</v>
      </c>
      <c r="N41" s="49">
        <f>AVERAGE('22.07 Kampala-Kalerwe'!N41,'23.07 Kampala-Kalerwe'!N41,'24.07 Kampala-Kalewre'!N41,'25.07 Kampala-Kalewre'!N41,'26.07 Kampala-Kalerwe-24h'!N41,'27.07 Kampala-Kalerwe-24h'!N41,'28.07 Kampala-Kalerwe'!N41)</f>
        <v>0</v>
      </c>
      <c r="O41" s="15">
        <f t="shared" si="0"/>
        <v>109.57142857142857</v>
      </c>
      <c r="P41" s="15">
        <f t="shared" si="1"/>
        <v>269.57142857142856</v>
      </c>
      <c r="R41" s="5" t="s">
        <v>182</v>
      </c>
      <c r="S41" s="53">
        <f>SUM(S10:S33)</f>
        <v>3101.2857142857142</v>
      </c>
      <c r="T41" s="53">
        <f t="shared" ref="T41:AD41" si="33">SUM(T10:T33)</f>
        <v>1156.5</v>
      </c>
      <c r="U41" s="53">
        <f t="shared" si="33"/>
        <v>318.21428571428572</v>
      </c>
      <c r="V41" s="53">
        <f t="shared" si="33"/>
        <v>3044.2857142857147</v>
      </c>
      <c r="W41" s="53">
        <f t="shared" si="33"/>
        <v>130</v>
      </c>
      <c r="X41" s="53">
        <f t="shared" si="33"/>
        <v>69.642857142857139</v>
      </c>
      <c r="Y41" s="53">
        <f t="shared" si="33"/>
        <v>596.78571428571422</v>
      </c>
      <c r="Z41" s="53">
        <f t="shared" si="33"/>
        <v>187.21428571428572</v>
      </c>
      <c r="AA41" s="53">
        <f t="shared" si="33"/>
        <v>84</v>
      </c>
      <c r="AB41" s="53">
        <f t="shared" si="33"/>
        <v>57.5</v>
      </c>
      <c r="AC41" s="53">
        <f t="shared" si="33"/>
        <v>12721.571428571429</v>
      </c>
      <c r="AD41" s="53">
        <f t="shared" si="33"/>
        <v>1.7857142857142858</v>
      </c>
      <c r="AE41" s="54">
        <f>SUM(AE10:AE33)</f>
        <v>8747.2142857142844</v>
      </c>
      <c r="AF41" s="54">
        <f>SUM(AF10:AF33)</f>
        <v>21468.785714285714</v>
      </c>
    </row>
    <row r="42" spans="2:32" ht="23.1" customHeight="1" x14ac:dyDescent="0.25">
      <c r="B42" s="24" t="s">
        <v>69</v>
      </c>
      <c r="C42" s="49">
        <f>AVERAGE('22.07 Kampala-Kalerwe'!C42,'23.07 Kampala-Kalerwe'!C42,'24.07 Kampala-Kalewre'!C42,'25.07 Kampala-Kalewre'!C42,'26.07 Kampala-Kalerwe-24h'!C42,'27.07 Kampala-Kalerwe-24h'!C42,'28.07 Kampala-Kalerwe'!C42)</f>
        <v>41.714285714285715</v>
      </c>
      <c r="D42" s="49">
        <f>AVERAGE('22.07 Kampala-Kalerwe'!D42,'23.07 Kampala-Kalerwe'!D42,'24.07 Kampala-Kalewre'!D42,'25.07 Kampala-Kalewre'!D42,'26.07 Kampala-Kalerwe-24h'!D42,'27.07 Kampala-Kalerwe-24h'!D42,'28.07 Kampala-Kalerwe'!D42)</f>
        <v>12</v>
      </c>
      <c r="E42" s="49">
        <f>AVERAGE('22.07 Kampala-Kalerwe'!E42,'23.07 Kampala-Kalerwe'!E42,'24.07 Kampala-Kalewre'!E42,'25.07 Kampala-Kalewre'!E42,'26.07 Kampala-Kalerwe-24h'!E42,'27.07 Kampala-Kalerwe-24h'!E42,'28.07 Kampala-Kalerwe'!E42)</f>
        <v>6.5714285714285712</v>
      </c>
      <c r="F42" s="49">
        <f>AVERAGE('22.07 Kampala-Kalerwe'!F42,'23.07 Kampala-Kalerwe'!F42,'24.07 Kampala-Kalewre'!F42,'25.07 Kampala-Kalewre'!F42,'26.07 Kampala-Kalerwe-24h'!F42,'27.07 Kampala-Kalerwe-24h'!F42,'28.07 Kampala-Kalerwe'!F42)</f>
        <v>48.857142857142854</v>
      </c>
      <c r="G42" s="49">
        <f>AVERAGE('22.07 Kampala-Kalerwe'!G42,'23.07 Kampala-Kalerwe'!G42,'24.07 Kampala-Kalewre'!G42,'25.07 Kampala-Kalewre'!G42,'26.07 Kampala-Kalerwe-24h'!G42,'27.07 Kampala-Kalerwe-24h'!G42,'28.07 Kampala-Kalerwe'!G42)</f>
        <v>1.1428571428571428</v>
      </c>
      <c r="H42" s="49">
        <f>AVERAGE('22.07 Kampala-Kalerwe'!H42,'23.07 Kampala-Kalerwe'!H42,'24.07 Kampala-Kalewre'!H42,'25.07 Kampala-Kalewre'!H42,'26.07 Kampala-Kalerwe-24h'!H42,'27.07 Kampala-Kalerwe-24h'!H42,'28.07 Kampala-Kalerwe'!H42)</f>
        <v>0.5714285714285714</v>
      </c>
      <c r="I42" s="49">
        <f>AVERAGE('22.07 Kampala-Kalerwe'!I42,'23.07 Kampala-Kalerwe'!I42,'24.07 Kampala-Kalewre'!I42,'25.07 Kampala-Kalewre'!I42,'26.07 Kampala-Kalerwe-24h'!I42,'27.07 Kampala-Kalerwe-24h'!I42,'28.07 Kampala-Kalerwe'!I42)</f>
        <v>11.142857142857142</v>
      </c>
      <c r="J42" s="49">
        <f>AVERAGE('22.07 Kampala-Kalerwe'!J42,'23.07 Kampala-Kalerwe'!J42,'24.07 Kampala-Kalewre'!J42,'25.07 Kampala-Kalewre'!J42,'26.07 Kampala-Kalerwe-24h'!J42,'27.07 Kampala-Kalerwe-24h'!J42,'28.07 Kampala-Kalerwe'!J42)</f>
        <v>3.1428571428571428</v>
      </c>
      <c r="K42" s="49">
        <f>AVERAGE('22.07 Kampala-Kalerwe'!K42,'23.07 Kampala-Kalerwe'!K42,'24.07 Kampala-Kalewre'!K42,'25.07 Kampala-Kalewre'!K42,'26.07 Kampala-Kalerwe-24h'!K42,'27.07 Kampala-Kalerwe-24h'!K42,'28.07 Kampala-Kalerwe'!K42)</f>
        <v>0.8571428571428571</v>
      </c>
      <c r="L42" s="49">
        <f>AVERAGE('22.07 Kampala-Kalerwe'!L42,'23.07 Kampala-Kalerwe'!L42,'24.07 Kampala-Kalewre'!L42,'25.07 Kampala-Kalewre'!L42,'26.07 Kampala-Kalerwe-24h'!L42,'27.07 Kampala-Kalerwe-24h'!L42,'28.07 Kampala-Kalerwe'!L42)</f>
        <v>0.5714285714285714</v>
      </c>
      <c r="M42" s="49">
        <f>AVERAGE('22.07 Kampala-Kalerwe'!M42,'23.07 Kampala-Kalerwe'!M42,'24.07 Kampala-Kalewre'!M42,'25.07 Kampala-Kalewre'!M42,'26.07 Kampala-Kalerwe-24h'!M42,'27.07 Kampala-Kalerwe-24h'!M42,'28.07 Kampala-Kalerwe'!M42)</f>
        <v>162.28571428571428</v>
      </c>
      <c r="N42" s="49">
        <f>AVERAGE('22.07 Kampala-Kalerwe'!N42,'23.07 Kampala-Kalerwe'!N42,'24.07 Kampala-Kalewre'!N42,'25.07 Kampala-Kalewre'!N42,'26.07 Kampala-Kalerwe-24h'!N42,'27.07 Kampala-Kalerwe-24h'!N42,'28.07 Kampala-Kalerwe'!N42)</f>
        <v>0</v>
      </c>
      <c r="O42" s="15">
        <f t="shared" si="0"/>
        <v>126.57142857142856</v>
      </c>
      <c r="P42" s="15">
        <f t="shared" si="1"/>
        <v>288.85714285714283</v>
      </c>
      <c r="R42" s="5" t="s">
        <v>160</v>
      </c>
      <c r="S42" s="48">
        <f>S41/S40</f>
        <v>1.7150418707536736</v>
      </c>
      <c r="T42" s="48">
        <f t="shared" ref="T42:AF42" si="34">T41/T40</f>
        <v>2.2155172413793105</v>
      </c>
      <c r="U42" s="48">
        <f t="shared" si="34"/>
        <v>1.3615525672371638</v>
      </c>
      <c r="V42" s="48">
        <f t="shared" si="34"/>
        <v>1.4033585775436286</v>
      </c>
      <c r="W42" s="48">
        <f t="shared" si="34"/>
        <v>1.911764705882353</v>
      </c>
      <c r="X42" s="48">
        <f t="shared" si="34"/>
        <v>1.9268774703557314</v>
      </c>
      <c r="Y42" s="48">
        <f t="shared" si="34"/>
        <v>1.3901830282861896</v>
      </c>
      <c r="Z42" s="48">
        <f t="shared" si="34"/>
        <v>2.6854508196721314</v>
      </c>
      <c r="AA42" s="48">
        <f t="shared" si="34"/>
        <v>2.3333333333333335</v>
      </c>
      <c r="AB42" s="48">
        <f t="shared" si="34"/>
        <v>2.5</v>
      </c>
      <c r="AC42" s="48">
        <f t="shared" si="34"/>
        <v>1.4700949236483698</v>
      </c>
      <c r="AD42" s="48">
        <f t="shared" si="34"/>
        <v>1.3888888888888888</v>
      </c>
      <c r="AE42" s="52">
        <f t="shared" si="34"/>
        <v>1.62084072319136</v>
      </c>
      <c r="AF42" s="52">
        <f t="shared" si="34"/>
        <v>1.5279963803481373</v>
      </c>
    </row>
    <row r="43" spans="2:32" ht="23.1" customHeight="1" x14ac:dyDescent="0.25">
      <c r="B43" s="23" t="s">
        <v>70</v>
      </c>
      <c r="C43" s="49">
        <f>AVERAGE('22.07 Kampala-Kalerwe'!C43,'23.07 Kampala-Kalerwe'!C43,'24.07 Kampala-Kalewre'!C43,'25.07 Kampala-Kalewre'!C43,'26.07 Kampala-Kalerwe-24h'!C43,'27.07 Kampala-Kalerwe-24h'!C43,'28.07 Kampala-Kalerwe'!C43)</f>
        <v>31</v>
      </c>
      <c r="D43" s="49">
        <f>AVERAGE('22.07 Kampala-Kalerwe'!D43,'23.07 Kampala-Kalerwe'!D43,'24.07 Kampala-Kalewre'!D43,'25.07 Kampala-Kalewre'!D43,'26.07 Kampala-Kalerwe-24h'!D43,'27.07 Kampala-Kalerwe-24h'!D43,'28.07 Kampala-Kalerwe'!D43)</f>
        <v>11.142857142857142</v>
      </c>
      <c r="E43" s="49">
        <f>AVERAGE('22.07 Kampala-Kalerwe'!E43,'23.07 Kampala-Kalerwe'!E43,'24.07 Kampala-Kalewre'!E43,'25.07 Kampala-Kalewre'!E43,'26.07 Kampala-Kalerwe-24h'!E43,'27.07 Kampala-Kalerwe-24h'!E43,'28.07 Kampala-Kalerwe'!E43)</f>
        <v>4.2857142857142856</v>
      </c>
      <c r="F43" s="49">
        <f>AVERAGE('22.07 Kampala-Kalerwe'!F43,'23.07 Kampala-Kalerwe'!F43,'24.07 Kampala-Kalewre'!F43,'25.07 Kampala-Kalewre'!F43,'26.07 Kampala-Kalerwe-24h'!F43,'27.07 Kampala-Kalerwe-24h'!F43,'28.07 Kampala-Kalerwe'!F43)</f>
        <v>38.285714285714285</v>
      </c>
      <c r="G43" s="49">
        <f>AVERAGE('22.07 Kampala-Kalerwe'!G43,'23.07 Kampala-Kalerwe'!G43,'24.07 Kampala-Kalewre'!G43,'25.07 Kampala-Kalewre'!G43,'26.07 Kampala-Kalerwe-24h'!G43,'27.07 Kampala-Kalerwe-24h'!G43,'28.07 Kampala-Kalerwe'!G43)</f>
        <v>1.8571428571428572</v>
      </c>
      <c r="H43" s="49">
        <f>AVERAGE('22.07 Kampala-Kalerwe'!H43,'23.07 Kampala-Kalerwe'!H43,'24.07 Kampala-Kalewre'!H43,'25.07 Kampala-Kalewre'!H43,'26.07 Kampala-Kalerwe-24h'!H43,'27.07 Kampala-Kalerwe-24h'!H43,'28.07 Kampala-Kalerwe'!H43)</f>
        <v>0.2857142857142857</v>
      </c>
      <c r="I43" s="49">
        <f>AVERAGE('22.07 Kampala-Kalerwe'!I43,'23.07 Kampala-Kalerwe'!I43,'24.07 Kampala-Kalewre'!I43,'25.07 Kampala-Kalewre'!I43,'26.07 Kampala-Kalerwe-24h'!I43,'27.07 Kampala-Kalerwe-24h'!I43,'28.07 Kampala-Kalerwe'!I43)</f>
        <v>8</v>
      </c>
      <c r="J43" s="49">
        <f>AVERAGE('22.07 Kampala-Kalerwe'!J43,'23.07 Kampala-Kalerwe'!J43,'24.07 Kampala-Kalewre'!J43,'25.07 Kampala-Kalewre'!J43,'26.07 Kampala-Kalerwe-24h'!J43,'27.07 Kampala-Kalerwe-24h'!J43,'28.07 Kampala-Kalerwe'!J43)</f>
        <v>1.2857142857142858</v>
      </c>
      <c r="K43" s="49">
        <f>AVERAGE('22.07 Kampala-Kalerwe'!K43,'23.07 Kampala-Kalerwe'!K43,'24.07 Kampala-Kalewre'!K43,'25.07 Kampala-Kalewre'!K43,'26.07 Kampala-Kalerwe-24h'!K43,'27.07 Kampala-Kalerwe-24h'!K43,'28.07 Kampala-Kalerwe'!K43)</f>
        <v>0.8571428571428571</v>
      </c>
      <c r="L43" s="49">
        <f>AVERAGE('22.07 Kampala-Kalerwe'!L43,'23.07 Kampala-Kalerwe'!L43,'24.07 Kampala-Kalewre'!L43,'25.07 Kampala-Kalewre'!L43,'26.07 Kampala-Kalerwe-24h'!L43,'27.07 Kampala-Kalerwe-24h'!L43,'28.07 Kampala-Kalerwe'!L43)</f>
        <v>0.8571428571428571</v>
      </c>
      <c r="M43" s="49">
        <f>AVERAGE('22.07 Kampala-Kalerwe'!M43,'23.07 Kampala-Kalerwe'!M43,'24.07 Kampala-Kalewre'!M43,'25.07 Kampala-Kalewre'!M43,'26.07 Kampala-Kalerwe-24h'!M43,'27.07 Kampala-Kalerwe-24h'!M43,'28.07 Kampala-Kalerwe'!M43)</f>
        <v>158.57142857142858</v>
      </c>
      <c r="N43" s="49">
        <f>AVERAGE('22.07 Kampala-Kalerwe'!N43,'23.07 Kampala-Kalerwe'!N43,'24.07 Kampala-Kalewre'!N43,'25.07 Kampala-Kalewre'!N43,'26.07 Kampala-Kalerwe-24h'!N43,'27.07 Kampala-Kalerwe-24h'!N43,'28.07 Kampala-Kalerwe'!N43)</f>
        <v>0</v>
      </c>
      <c r="O43" s="15">
        <f t="shared" si="0"/>
        <v>97.857142857142875</v>
      </c>
      <c r="P43" s="15">
        <f t="shared" si="1"/>
        <v>256.42857142857144</v>
      </c>
    </row>
    <row r="44" spans="2:32" ht="23.1" customHeight="1" x14ac:dyDescent="0.25">
      <c r="B44" s="25" t="s">
        <v>71</v>
      </c>
      <c r="C44" s="49">
        <f>AVERAGE('22.07 Kampala-Kalerwe'!C44,'23.07 Kampala-Kalerwe'!C44,'24.07 Kampala-Kalewre'!C44,'25.07 Kampala-Kalewre'!C44,'26.07 Kampala-Kalerwe-24h'!C44,'27.07 Kampala-Kalerwe-24h'!C44,'28.07 Kampala-Kalerwe'!C44)</f>
        <v>40.285714285714285</v>
      </c>
      <c r="D44" s="49">
        <f>AVERAGE('22.07 Kampala-Kalerwe'!D44,'23.07 Kampala-Kalerwe'!D44,'24.07 Kampala-Kalewre'!D44,'25.07 Kampala-Kalewre'!D44,'26.07 Kampala-Kalerwe-24h'!D44,'27.07 Kampala-Kalerwe-24h'!D44,'28.07 Kampala-Kalerwe'!D44)</f>
        <v>13.285714285714286</v>
      </c>
      <c r="E44" s="49">
        <f>AVERAGE('22.07 Kampala-Kalerwe'!E44,'23.07 Kampala-Kalerwe'!E44,'24.07 Kampala-Kalewre'!E44,'25.07 Kampala-Kalewre'!E44,'26.07 Kampala-Kalerwe-24h'!E44,'27.07 Kampala-Kalerwe-24h'!E44,'28.07 Kampala-Kalerwe'!E44)</f>
        <v>4.2857142857142856</v>
      </c>
      <c r="F44" s="49">
        <f>AVERAGE('22.07 Kampala-Kalerwe'!F44,'23.07 Kampala-Kalerwe'!F44,'24.07 Kampala-Kalewre'!F44,'25.07 Kampala-Kalewre'!F44,'26.07 Kampala-Kalerwe-24h'!F44,'27.07 Kampala-Kalerwe-24h'!F44,'28.07 Kampala-Kalerwe'!F44)</f>
        <v>35.142857142857146</v>
      </c>
      <c r="G44" s="49">
        <f>AVERAGE('22.07 Kampala-Kalerwe'!G44,'23.07 Kampala-Kalerwe'!G44,'24.07 Kampala-Kalewre'!G44,'25.07 Kampala-Kalewre'!G44,'26.07 Kampala-Kalerwe-24h'!G44,'27.07 Kampala-Kalerwe-24h'!G44,'28.07 Kampala-Kalerwe'!G44)</f>
        <v>1.4285714285714286</v>
      </c>
      <c r="H44" s="49">
        <f>AVERAGE('22.07 Kampala-Kalerwe'!H44,'23.07 Kampala-Kalerwe'!H44,'24.07 Kampala-Kalewre'!H44,'25.07 Kampala-Kalewre'!H44,'26.07 Kampala-Kalerwe-24h'!H44,'27.07 Kampala-Kalerwe-24h'!H44,'28.07 Kampala-Kalerwe'!H44)</f>
        <v>0.14285714285714285</v>
      </c>
      <c r="I44" s="49">
        <f>AVERAGE('22.07 Kampala-Kalerwe'!I44,'23.07 Kampala-Kalerwe'!I44,'24.07 Kampala-Kalewre'!I44,'25.07 Kampala-Kalewre'!I44,'26.07 Kampala-Kalerwe-24h'!I44,'27.07 Kampala-Kalerwe-24h'!I44,'28.07 Kampala-Kalerwe'!I44)</f>
        <v>5.7142857142857144</v>
      </c>
      <c r="J44" s="49">
        <f>AVERAGE('22.07 Kampala-Kalerwe'!J44,'23.07 Kampala-Kalerwe'!J44,'24.07 Kampala-Kalewre'!J44,'25.07 Kampala-Kalewre'!J44,'26.07 Kampala-Kalerwe-24h'!J44,'27.07 Kampala-Kalerwe-24h'!J44,'28.07 Kampala-Kalerwe'!J44)</f>
        <v>2</v>
      </c>
      <c r="K44" s="49">
        <f>AVERAGE('22.07 Kampala-Kalerwe'!K44,'23.07 Kampala-Kalerwe'!K44,'24.07 Kampala-Kalewre'!K44,'25.07 Kampala-Kalewre'!K44,'26.07 Kampala-Kalerwe-24h'!K44,'27.07 Kampala-Kalerwe-24h'!K44,'28.07 Kampala-Kalerwe'!K44)</f>
        <v>0.7142857142857143</v>
      </c>
      <c r="L44" s="49">
        <f>AVERAGE('22.07 Kampala-Kalerwe'!L44,'23.07 Kampala-Kalerwe'!L44,'24.07 Kampala-Kalewre'!L44,'25.07 Kampala-Kalewre'!L44,'26.07 Kampala-Kalerwe-24h'!L44,'27.07 Kampala-Kalerwe-24h'!L44,'28.07 Kampala-Kalerwe'!L44)</f>
        <v>1</v>
      </c>
      <c r="M44" s="49">
        <f>AVERAGE('22.07 Kampala-Kalerwe'!M44,'23.07 Kampala-Kalerwe'!M44,'24.07 Kampala-Kalewre'!M44,'25.07 Kampala-Kalewre'!M44,'26.07 Kampala-Kalerwe-24h'!M44,'27.07 Kampala-Kalerwe-24h'!M44,'28.07 Kampala-Kalerwe'!M44)</f>
        <v>167.14285714285714</v>
      </c>
      <c r="N44" s="49">
        <f>AVERAGE('22.07 Kampala-Kalerwe'!N44,'23.07 Kampala-Kalerwe'!N44,'24.07 Kampala-Kalewre'!N44,'25.07 Kampala-Kalewre'!N44,'26.07 Kampala-Kalerwe-24h'!N44,'27.07 Kampala-Kalerwe-24h'!N44,'28.07 Kampala-Kalerwe'!N44)</f>
        <v>0</v>
      </c>
      <c r="O44" s="15">
        <f t="shared" si="0"/>
        <v>103.99999999999999</v>
      </c>
      <c r="P44" s="15">
        <f t="shared" si="1"/>
        <v>271.14285714285711</v>
      </c>
    </row>
    <row r="45" spans="2:32" ht="23.1" customHeight="1" x14ac:dyDescent="0.25">
      <c r="B45" s="23" t="s">
        <v>72</v>
      </c>
      <c r="C45" s="49">
        <f>AVERAGE('22.07 Kampala-Kalerwe'!C45,'23.07 Kampala-Kalerwe'!C45,'24.07 Kampala-Kalewre'!C45,'25.07 Kampala-Kalewre'!C45,'26.07 Kampala-Kalerwe-24h'!C45,'27.07 Kampala-Kalerwe-24h'!C45,'28.07 Kampala-Kalerwe'!C45)</f>
        <v>36</v>
      </c>
      <c r="D45" s="49">
        <f>AVERAGE('22.07 Kampala-Kalerwe'!D45,'23.07 Kampala-Kalerwe'!D45,'24.07 Kampala-Kalewre'!D45,'25.07 Kampala-Kalewre'!D45,'26.07 Kampala-Kalerwe-24h'!D45,'27.07 Kampala-Kalerwe-24h'!D45,'28.07 Kampala-Kalerwe'!D45)</f>
        <v>13.142857142857142</v>
      </c>
      <c r="E45" s="49">
        <f>AVERAGE('22.07 Kampala-Kalerwe'!E45,'23.07 Kampala-Kalerwe'!E45,'24.07 Kampala-Kalewre'!E45,'25.07 Kampala-Kalewre'!E45,'26.07 Kampala-Kalerwe-24h'!E45,'27.07 Kampala-Kalerwe-24h'!E45,'28.07 Kampala-Kalerwe'!E45)</f>
        <v>7.7142857142857144</v>
      </c>
      <c r="F45" s="49">
        <f>AVERAGE('22.07 Kampala-Kalerwe'!F45,'23.07 Kampala-Kalerwe'!F45,'24.07 Kampala-Kalewre'!F45,'25.07 Kampala-Kalewre'!F45,'26.07 Kampala-Kalerwe-24h'!F45,'27.07 Kampala-Kalerwe-24h'!F45,'28.07 Kampala-Kalerwe'!F45)</f>
        <v>44.714285714285715</v>
      </c>
      <c r="G45" s="49">
        <f>AVERAGE('22.07 Kampala-Kalerwe'!G45,'23.07 Kampala-Kalerwe'!G45,'24.07 Kampala-Kalewre'!G45,'25.07 Kampala-Kalewre'!G45,'26.07 Kampala-Kalerwe-24h'!G45,'27.07 Kampala-Kalerwe-24h'!G45,'28.07 Kampala-Kalerwe'!G45)</f>
        <v>1.1428571428571428</v>
      </c>
      <c r="H45" s="49">
        <f>AVERAGE('22.07 Kampala-Kalerwe'!H45,'23.07 Kampala-Kalerwe'!H45,'24.07 Kampala-Kalewre'!H45,'25.07 Kampala-Kalewre'!H45,'26.07 Kampala-Kalerwe-24h'!H45,'27.07 Kampala-Kalerwe-24h'!H45,'28.07 Kampala-Kalerwe'!H45)</f>
        <v>1.2857142857142858</v>
      </c>
      <c r="I45" s="49">
        <f>AVERAGE('22.07 Kampala-Kalerwe'!I45,'23.07 Kampala-Kalerwe'!I45,'24.07 Kampala-Kalewre'!I45,'25.07 Kampala-Kalewre'!I45,'26.07 Kampala-Kalerwe-24h'!I45,'27.07 Kampala-Kalerwe-24h'!I45,'28.07 Kampala-Kalerwe'!I45)</f>
        <v>8</v>
      </c>
      <c r="J45" s="49">
        <f>AVERAGE('22.07 Kampala-Kalerwe'!J45,'23.07 Kampala-Kalerwe'!J45,'24.07 Kampala-Kalewre'!J45,'25.07 Kampala-Kalewre'!J45,'26.07 Kampala-Kalerwe-24h'!J45,'27.07 Kampala-Kalerwe-24h'!J45,'28.07 Kampala-Kalerwe'!J45)</f>
        <v>1.8571428571428572</v>
      </c>
      <c r="K45" s="49">
        <f>AVERAGE('22.07 Kampala-Kalerwe'!K45,'23.07 Kampala-Kalerwe'!K45,'24.07 Kampala-Kalewre'!K45,'25.07 Kampala-Kalewre'!K45,'26.07 Kampala-Kalerwe-24h'!K45,'27.07 Kampala-Kalerwe-24h'!K45,'28.07 Kampala-Kalerwe'!K45)</f>
        <v>0.7142857142857143</v>
      </c>
      <c r="L45" s="49">
        <f>AVERAGE('22.07 Kampala-Kalerwe'!L45,'23.07 Kampala-Kalerwe'!L45,'24.07 Kampala-Kalewre'!L45,'25.07 Kampala-Kalewre'!L45,'26.07 Kampala-Kalerwe-24h'!L45,'27.07 Kampala-Kalerwe-24h'!L45,'28.07 Kampala-Kalerwe'!L45)</f>
        <v>0.42857142857142855</v>
      </c>
      <c r="M45" s="49">
        <f>AVERAGE('22.07 Kampala-Kalerwe'!M45,'23.07 Kampala-Kalerwe'!M45,'24.07 Kampala-Kalewre'!M45,'25.07 Kampala-Kalewre'!M45,'26.07 Kampala-Kalerwe-24h'!M45,'27.07 Kampala-Kalerwe-24h'!M45,'28.07 Kampala-Kalerwe'!M45)</f>
        <v>165.71428571428572</v>
      </c>
      <c r="N45" s="49">
        <f>AVERAGE('22.07 Kampala-Kalerwe'!N45,'23.07 Kampala-Kalerwe'!N45,'24.07 Kampala-Kalewre'!N45,'25.07 Kampala-Kalewre'!N45,'26.07 Kampala-Kalerwe-24h'!N45,'27.07 Kampala-Kalerwe-24h'!N45,'28.07 Kampala-Kalerwe'!N45)</f>
        <v>0</v>
      </c>
      <c r="O45" s="15">
        <f t="shared" si="0"/>
        <v>115</v>
      </c>
      <c r="P45" s="15">
        <f t="shared" si="1"/>
        <v>280.71428571428572</v>
      </c>
    </row>
    <row r="46" spans="2:32" ht="23.1" customHeight="1" x14ac:dyDescent="0.25">
      <c r="B46" s="24" t="s">
        <v>73</v>
      </c>
      <c r="C46" s="49">
        <f>AVERAGE('22.07 Kampala-Kalerwe'!C46,'23.07 Kampala-Kalerwe'!C46,'24.07 Kampala-Kalewre'!C46,'25.07 Kampala-Kalewre'!C46,'26.07 Kampala-Kalerwe-24h'!C46,'27.07 Kampala-Kalerwe-24h'!C46,'28.07 Kampala-Kalerwe'!C46)</f>
        <v>46.428571428571431</v>
      </c>
      <c r="D46" s="49">
        <f>AVERAGE('22.07 Kampala-Kalerwe'!D46,'23.07 Kampala-Kalerwe'!D46,'24.07 Kampala-Kalewre'!D46,'25.07 Kampala-Kalewre'!D46,'26.07 Kampala-Kalerwe-24h'!D46,'27.07 Kampala-Kalerwe-24h'!D46,'28.07 Kampala-Kalerwe'!D46)</f>
        <v>18</v>
      </c>
      <c r="E46" s="49">
        <f>AVERAGE('22.07 Kampala-Kalerwe'!E46,'23.07 Kampala-Kalerwe'!E46,'24.07 Kampala-Kalewre'!E46,'25.07 Kampala-Kalewre'!E46,'26.07 Kampala-Kalerwe-24h'!E46,'27.07 Kampala-Kalerwe-24h'!E46,'28.07 Kampala-Kalerwe'!E46)</f>
        <v>3.2857142857142856</v>
      </c>
      <c r="F46" s="49">
        <f>AVERAGE('22.07 Kampala-Kalerwe'!F46,'23.07 Kampala-Kalerwe'!F46,'24.07 Kampala-Kalewre'!F46,'25.07 Kampala-Kalewre'!F46,'26.07 Kampala-Kalerwe-24h'!F46,'27.07 Kampala-Kalerwe-24h'!F46,'28.07 Kampala-Kalerwe'!F46)</f>
        <v>47.571428571428569</v>
      </c>
      <c r="G46" s="49">
        <f>AVERAGE('22.07 Kampala-Kalerwe'!G46,'23.07 Kampala-Kalerwe'!G46,'24.07 Kampala-Kalewre'!G46,'25.07 Kampala-Kalewre'!G46,'26.07 Kampala-Kalerwe-24h'!G46,'27.07 Kampala-Kalerwe-24h'!G46,'28.07 Kampala-Kalerwe'!G46)</f>
        <v>2.1428571428571428</v>
      </c>
      <c r="H46" s="49">
        <f>AVERAGE('22.07 Kampala-Kalerwe'!H46,'23.07 Kampala-Kalerwe'!H46,'24.07 Kampala-Kalewre'!H46,'25.07 Kampala-Kalewre'!H46,'26.07 Kampala-Kalerwe-24h'!H46,'27.07 Kampala-Kalerwe-24h'!H46,'28.07 Kampala-Kalerwe'!H46)</f>
        <v>0.2857142857142857</v>
      </c>
      <c r="I46" s="49">
        <f>AVERAGE('22.07 Kampala-Kalerwe'!I46,'23.07 Kampala-Kalerwe'!I46,'24.07 Kampala-Kalewre'!I46,'25.07 Kampala-Kalewre'!I46,'26.07 Kampala-Kalerwe-24h'!I46,'27.07 Kampala-Kalerwe-24h'!I46,'28.07 Kampala-Kalerwe'!I46)</f>
        <v>14.571428571428571</v>
      </c>
      <c r="J46" s="49">
        <f>AVERAGE('22.07 Kampala-Kalerwe'!J46,'23.07 Kampala-Kalerwe'!J46,'24.07 Kampala-Kalewre'!J46,'25.07 Kampala-Kalewre'!J46,'26.07 Kampala-Kalerwe-24h'!J46,'27.07 Kampala-Kalerwe-24h'!J46,'28.07 Kampala-Kalerwe'!J46)</f>
        <v>2.1428571428571428</v>
      </c>
      <c r="K46" s="49">
        <f>AVERAGE('22.07 Kampala-Kalerwe'!K46,'23.07 Kampala-Kalerwe'!K46,'24.07 Kampala-Kalewre'!K46,'25.07 Kampala-Kalewre'!K46,'26.07 Kampala-Kalerwe-24h'!K46,'27.07 Kampala-Kalerwe-24h'!K46,'28.07 Kampala-Kalerwe'!K46)</f>
        <v>0.5714285714285714</v>
      </c>
      <c r="L46" s="49">
        <f>AVERAGE('22.07 Kampala-Kalerwe'!L46,'23.07 Kampala-Kalerwe'!L46,'24.07 Kampala-Kalewre'!L46,'25.07 Kampala-Kalewre'!L46,'26.07 Kampala-Kalerwe-24h'!L46,'27.07 Kampala-Kalerwe-24h'!L46,'28.07 Kampala-Kalerwe'!L46)</f>
        <v>0.2857142857142857</v>
      </c>
      <c r="M46" s="49">
        <f>AVERAGE('22.07 Kampala-Kalerwe'!M46,'23.07 Kampala-Kalerwe'!M46,'24.07 Kampala-Kalewre'!M46,'25.07 Kampala-Kalewre'!M46,'26.07 Kampala-Kalerwe-24h'!M46,'27.07 Kampala-Kalerwe-24h'!M46,'28.07 Kampala-Kalerwe'!M46)</f>
        <v>171.42857142857142</v>
      </c>
      <c r="N46" s="49">
        <f>AVERAGE('22.07 Kampala-Kalerwe'!N46,'23.07 Kampala-Kalerwe'!N46,'24.07 Kampala-Kalewre'!N46,'25.07 Kampala-Kalewre'!N46,'26.07 Kampala-Kalerwe-24h'!N46,'27.07 Kampala-Kalerwe-24h'!N46,'28.07 Kampala-Kalerwe'!N46)</f>
        <v>0</v>
      </c>
      <c r="O46" s="15">
        <f t="shared" si="0"/>
        <v>135.28571428571431</v>
      </c>
      <c r="P46" s="15">
        <f t="shared" si="1"/>
        <v>306.71428571428572</v>
      </c>
      <c r="R46" s="8"/>
      <c r="T46"/>
    </row>
    <row r="47" spans="2:32" ht="23.1" customHeight="1" x14ac:dyDescent="0.25">
      <c r="B47" s="24" t="s">
        <v>74</v>
      </c>
      <c r="C47" s="49">
        <f>AVERAGE('22.07 Kampala-Kalerwe'!C47,'23.07 Kampala-Kalerwe'!C47,'24.07 Kampala-Kalewre'!C47,'25.07 Kampala-Kalewre'!C47,'26.07 Kampala-Kalerwe-24h'!C47,'27.07 Kampala-Kalerwe-24h'!C47,'28.07 Kampala-Kalerwe'!C47)</f>
        <v>36.714285714285715</v>
      </c>
      <c r="D47" s="49">
        <f>AVERAGE('22.07 Kampala-Kalerwe'!D47,'23.07 Kampala-Kalerwe'!D47,'24.07 Kampala-Kalewre'!D47,'25.07 Kampala-Kalewre'!D47,'26.07 Kampala-Kalerwe-24h'!D47,'27.07 Kampala-Kalerwe-24h'!D47,'28.07 Kampala-Kalerwe'!D47)</f>
        <v>21</v>
      </c>
      <c r="E47" s="49">
        <f>AVERAGE('22.07 Kampala-Kalerwe'!E47,'23.07 Kampala-Kalerwe'!E47,'24.07 Kampala-Kalewre'!E47,'25.07 Kampala-Kalewre'!E47,'26.07 Kampala-Kalerwe-24h'!E47,'27.07 Kampala-Kalerwe-24h'!E47,'28.07 Kampala-Kalerwe'!E47)</f>
        <v>7.5714285714285712</v>
      </c>
      <c r="F47" s="49">
        <f>AVERAGE('22.07 Kampala-Kalerwe'!F47,'23.07 Kampala-Kalerwe'!F47,'24.07 Kampala-Kalewre'!F47,'25.07 Kampala-Kalewre'!F47,'26.07 Kampala-Kalerwe-24h'!F47,'27.07 Kampala-Kalerwe-24h'!F47,'28.07 Kampala-Kalerwe'!F47)</f>
        <v>41.142857142857146</v>
      </c>
      <c r="G47" s="49">
        <f>AVERAGE('22.07 Kampala-Kalerwe'!G47,'23.07 Kampala-Kalerwe'!G47,'24.07 Kampala-Kalewre'!G47,'25.07 Kampala-Kalewre'!G47,'26.07 Kampala-Kalerwe-24h'!G47,'27.07 Kampala-Kalerwe-24h'!G47,'28.07 Kampala-Kalerwe'!G47)</f>
        <v>1.5714285714285714</v>
      </c>
      <c r="H47" s="49">
        <f>AVERAGE('22.07 Kampala-Kalerwe'!H47,'23.07 Kampala-Kalerwe'!H47,'24.07 Kampala-Kalewre'!H47,'25.07 Kampala-Kalewre'!H47,'26.07 Kampala-Kalerwe-24h'!H47,'27.07 Kampala-Kalerwe-24h'!H47,'28.07 Kampala-Kalerwe'!H47)</f>
        <v>0.7142857142857143</v>
      </c>
      <c r="I47" s="49">
        <f>AVERAGE('22.07 Kampala-Kalerwe'!I47,'23.07 Kampala-Kalerwe'!I47,'24.07 Kampala-Kalewre'!I47,'25.07 Kampala-Kalewre'!I47,'26.07 Kampala-Kalerwe-24h'!I47,'27.07 Kampala-Kalerwe-24h'!I47,'28.07 Kampala-Kalerwe'!I47)</f>
        <v>9.8571428571428577</v>
      </c>
      <c r="J47" s="49">
        <f>AVERAGE('22.07 Kampala-Kalerwe'!J47,'23.07 Kampala-Kalerwe'!J47,'24.07 Kampala-Kalewre'!J47,'25.07 Kampala-Kalewre'!J47,'26.07 Kampala-Kalerwe-24h'!J47,'27.07 Kampala-Kalerwe-24h'!J47,'28.07 Kampala-Kalerwe'!J47)</f>
        <v>0.8571428571428571</v>
      </c>
      <c r="K47" s="49">
        <f>AVERAGE('22.07 Kampala-Kalerwe'!K47,'23.07 Kampala-Kalerwe'!K47,'24.07 Kampala-Kalewre'!K47,'25.07 Kampala-Kalewre'!K47,'26.07 Kampala-Kalerwe-24h'!K47,'27.07 Kampala-Kalerwe-24h'!K47,'28.07 Kampala-Kalerwe'!K47)</f>
        <v>0.14285714285714285</v>
      </c>
      <c r="L47" s="49">
        <f>AVERAGE('22.07 Kampala-Kalerwe'!L47,'23.07 Kampala-Kalerwe'!L47,'24.07 Kampala-Kalewre'!L47,'25.07 Kampala-Kalewre'!L47,'26.07 Kampala-Kalerwe-24h'!L47,'27.07 Kampala-Kalerwe-24h'!L47,'28.07 Kampala-Kalerwe'!L47)</f>
        <v>0.42857142857142855</v>
      </c>
      <c r="M47" s="49">
        <f>AVERAGE('22.07 Kampala-Kalerwe'!M47,'23.07 Kampala-Kalerwe'!M47,'24.07 Kampala-Kalewre'!M47,'25.07 Kampala-Kalewre'!M47,'26.07 Kampala-Kalerwe-24h'!M47,'27.07 Kampala-Kalerwe-24h'!M47,'28.07 Kampala-Kalerwe'!M47)</f>
        <v>162.57142857142858</v>
      </c>
      <c r="N47" s="49">
        <f>AVERAGE('22.07 Kampala-Kalerwe'!N47,'23.07 Kampala-Kalerwe'!N47,'24.07 Kampala-Kalewre'!N47,'25.07 Kampala-Kalewre'!N47,'26.07 Kampala-Kalerwe-24h'!N47,'27.07 Kampala-Kalerwe-24h'!N47,'28.07 Kampala-Kalerwe'!N47)</f>
        <v>0</v>
      </c>
      <c r="O47" s="15">
        <f t="shared" si="0"/>
        <v>120.00000000000001</v>
      </c>
      <c r="P47" s="15">
        <f t="shared" si="1"/>
        <v>282.57142857142861</v>
      </c>
      <c r="R47" s="8"/>
      <c r="T47"/>
    </row>
    <row r="48" spans="2:32" ht="23.1" customHeight="1" x14ac:dyDescent="0.25">
      <c r="B48" s="24" t="s">
        <v>75</v>
      </c>
      <c r="C48" s="49">
        <f>AVERAGE('22.07 Kampala-Kalerwe'!C48,'23.07 Kampala-Kalerwe'!C48,'24.07 Kampala-Kalewre'!C48,'25.07 Kampala-Kalewre'!C48,'26.07 Kampala-Kalerwe-24h'!C48,'27.07 Kampala-Kalerwe-24h'!C48,'28.07 Kampala-Kalerwe'!C48)</f>
        <v>49</v>
      </c>
      <c r="D48" s="49">
        <f>AVERAGE('22.07 Kampala-Kalerwe'!D48,'23.07 Kampala-Kalerwe'!D48,'24.07 Kampala-Kalewre'!D48,'25.07 Kampala-Kalewre'!D48,'26.07 Kampala-Kalerwe-24h'!D48,'27.07 Kampala-Kalerwe-24h'!D48,'28.07 Kampala-Kalerwe'!D48)</f>
        <v>18.142857142857142</v>
      </c>
      <c r="E48" s="49">
        <f>AVERAGE('22.07 Kampala-Kalerwe'!E48,'23.07 Kampala-Kalerwe'!E48,'24.07 Kampala-Kalewre'!E48,'25.07 Kampala-Kalewre'!E48,'26.07 Kampala-Kalerwe-24h'!E48,'27.07 Kampala-Kalerwe-24h'!E48,'28.07 Kampala-Kalerwe'!E48)</f>
        <v>7.7142857142857144</v>
      </c>
      <c r="F48" s="49">
        <f>AVERAGE('22.07 Kampala-Kalerwe'!F48,'23.07 Kampala-Kalerwe'!F48,'24.07 Kampala-Kalewre'!F48,'25.07 Kampala-Kalewre'!F48,'26.07 Kampala-Kalerwe-24h'!F48,'27.07 Kampala-Kalerwe-24h'!F48,'28.07 Kampala-Kalerwe'!F48)</f>
        <v>45.571428571428569</v>
      </c>
      <c r="G48" s="49">
        <f>AVERAGE('22.07 Kampala-Kalerwe'!G48,'23.07 Kampala-Kalerwe'!G48,'24.07 Kampala-Kalewre'!G48,'25.07 Kampala-Kalewre'!G48,'26.07 Kampala-Kalerwe-24h'!G48,'27.07 Kampala-Kalerwe-24h'!G48,'28.07 Kampala-Kalerwe'!G48)</f>
        <v>0.7142857142857143</v>
      </c>
      <c r="H48" s="49">
        <f>AVERAGE('22.07 Kampala-Kalerwe'!H48,'23.07 Kampala-Kalerwe'!H48,'24.07 Kampala-Kalewre'!H48,'25.07 Kampala-Kalewre'!H48,'26.07 Kampala-Kalerwe-24h'!H48,'27.07 Kampala-Kalerwe-24h'!H48,'28.07 Kampala-Kalerwe'!H48)</f>
        <v>0.5714285714285714</v>
      </c>
      <c r="I48" s="49">
        <f>AVERAGE('22.07 Kampala-Kalerwe'!I48,'23.07 Kampala-Kalerwe'!I48,'24.07 Kampala-Kalewre'!I48,'25.07 Kampala-Kalewre'!I48,'26.07 Kampala-Kalerwe-24h'!I48,'27.07 Kampala-Kalerwe-24h'!I48,'28.07 Kampala-Kalerwe'!I48)</f>
        <v>12.142857142857142</v>
      </c>
      <c r="J48" s="49">
        <f>AVERAGE('22.07 Kampala-Kalerwe'!J48,'23.07 Kampala-Kalerwe'!J48,'24.07 Kampala-Kalewre'!J48,'25.07 Kampala-Kalewre'!J48,'26.07 Kampala-Kalerwe-24h'!J48,'27.07 Kampala-Kalerwe-24h'!J48,'28.07 Kampala-Kalerwe'!J48)</f>
        <v>1.1428571428571428</v>
      </c>
      <c r="K48" s="49">
        <f>AVERAGE('22.07 Kampala-Kalerwe'!K48,'23.07 Kampala-Kalerwe'!K48,'24.07 Kampala-Kalewre'!K48,'25.07 Kampala-Kalewre'!K48,'26.07 Kampala-Kalerwe-24h'!K48,'27.07 Kampala-Kalerwe-24h'!K48,'28.07 Kampala-Kalerwe'!K48)</f>
        <v>0.5714285714285714</v>
      </c>
      <c r="L48" s="49">
        <f>AVERAGE('22.07 Kampala-Kalerwe'!L48,'23.07 Kampala-Kalerwe'!L48,'24.07 Kampala-Kalewre'!L48,'25.07 Kampala-Kalewre'!L48,'26.07 Kampala-Kalerwe-24h'!L48,'27.07 Kampala-Kalerwe-24h'!L48,'28.07 Kampala-Kalerwe'!L48)</f>
        <v>0.14285714285714285</v>
      </c>
      <c r="M48" s="49">
        <f>AVERAGE('22.07 Kampala-Kalerwe'!M48,'23.07 Kampala-Kalerwe'!M48,'24.07 Kampala-Kalewre'!M48,'25.07 Kampala-Kalewre'!M48,'26.07 Kampala-Kalerwe-24h'!M48,'27.07 Kampala-Kalerwe-24h'!M48,'28.07 Kampala-Kalerwe'!M48)</f>
        <v>168.71428571428572</v>
      </c>
      <c r="N48" s="49">
        <f>AVERAGE('22.07 Kampala-Kalerwe'!N48,'23.07 Kampala-Kalerwe'!N48,'24.07 Kampala-Kalewre'!N48,'25.07 Kampala-Kalewre'!N48,'26.07 Kampala-Kalerwe-24h'!N48,'27.07 Kampala-Kalerwe-24h'!N48,'28.07 Kampala-Kalerwe'!N48)</f>
        <v>0</v>
      </c>
      <c r="O48" s="15">
        <f t="shared" si="0"/>
        <v>135.71428571428569</v>
      </c>
      <c r="P48" s="15">
        <f t="shared" si="1"/>
        <v>304.42857142857144</v>
      </c>
      <c r="R48" s="8"/>
      <c r="T48"/>
    </row>
    <row r="49" spans="2:20" ht="23.1" customHeight="1" x14ac:dyDescent="0.25">
      <c r="B49" s="23" t="s">
        <v>76</v>
      </c>
      <c r="C49" s="49">
        <f>AVERAGE('22.07 Kampala-Kalerwe'!C49,'23.07 Kampala-Kalerwe'!C49,'24.07 Kampala-Kalewre'!C49,'25.07 Kampala-Kalewre'!C49,'26.07 Kampala-Kalerwe-24h'!C49,'27.07 Kampala-Kalerwe-24h'!C49,'28.07 Kampala-Kalerwe'!C49)</f>
        <v>56.714285714285715</v>
      </c>
      <c r="D49" s="49">
        <f>AVERAGE('22.07 Kampala-Kalerwe'!D49,'23.07 Kampala-Kalerwe'!D49,'24.07 Kampala-Kalewre'!D49,'25.07 Kampala-Kalewre'!D49,'26.07 Kampala-Kalerwe-24h'!D49,'27.07 Kampala-Kalerwe-24h'!D49,'28.07 Kampala-Kalerwe'!D49)</f>
        <v>14.857142857142858</v>
      </c>
      <c r="E49" s="49">
        <f>AVERAGE('22.07 Kampala-Kalerwe'!E49,'23.07 Kampala-Kalerwe'!E49,'24.07 Kampala-Kalewre'!E49,'25.07 Kampala-Kalewre'!E49,'26.07 Kampala-Kalerwe-24h'!E49,'27.07 Kampala-Kalerwe-24h'!E49,'28.07 Kampala-Kalerwe'!E49)</f>
        <v>5.8571428571428568</v>
      </c>
      <c r="F49" s="49">
        <f>AVERAGE('22.07 Kampala-Kalerwe'!F49,'23.07 Kampala-Kalerwe'!F49,'24.07 Kampala-Kalewre'!F49,'25.07 Kampala-Kalewre'!F49,'26.07 Kampala-Kalerwe-24h'!F49,'27.07 Kampala-Kalerwe-24h'!F49,'28.07 Kampala-Kalerwe'!F49)</f>
        <v>32.571428571428569</v>
      </c>
      <c r="G49" s="49">
        <f>AVERAGE('22.07 Kampala-Kalerwe'!G49,'23.07 Kampala-Kalerwe'!G49,'24.07 Kampala-Kalewre'!G49,'25.07 Kampala-Kalewre'!G49,'26.07 Kampala-Kalerwe-24h'!G49,'27.07 Kampala-Kalerwe-24h'!G49,'28.07 Kampala-Kalerwe'!G49)</f>
        <v>1</v>
      </c>
      <c r="H49" s="49">
        <f>AVERAGE('22.07 Kampala-Kalerwe'!H49,'23.07 Kampala-Kalerwe'!H49,'24.07 Kampala-Kalewre'!H49,'25.07 Kampala-Kalewre'!H49,'26.07 Kampala-Kalerwe-24h'!H49,'27.07 Kampala-Kalerwe-24h'!H49,'28.07 Kampala-Kalerwe'!H49)</f>
        <v>0.7142857142857143</v>
      </c>
      <c r="I49" s="49">
        <f>AVERAGE('22.07 Kampala-Kalerwe'!I49,'23.07 Kampala-Kalerwe'!I49,'24.07 Kampala-Kalewre'!I49,'25.07 Kampala-Kalewre'!I49,'26.07 Kampala-Kalerwe-24h'!I49,'27.07 Kampala-Kalerwe-24h'!I49,'28.07 Kampala-Kalerwe'!I49)</f>
        <v>8.1428571428571423</v>
      </c>
      <c r="J49" s="49">
        <f>AVERAGE('22.07 Kampala-Kalerwe'!J49,'23.07 Kampala-Kalerwe'!J49,'24.07 Kampala-Kalewre'!J49,'25.07 Kampala-Kalewre'!J49,'26.07 Kampala-Kalerwe-24h'!J49,'27.07 Kampala-Kalerwe-24h'!J49,'28.07 Kampala-Kalerwe'!J49)</f>
        <v>0.8571428571428571</v>
      </c>
      <c r="K49" s="49">
        <f>AVERAGE('22.07 Kampala-Kalerwe'!K49,'23.07 Kampala-Kalerwe'!K49,'24.07 Kampala-Kalewre'!K49,'25.07 Kampala-Kalewre'!K49,'26.07 Kampala-Kalerwe-24h'!K49,'27.07 Kampala-Kalerwe-24h'!K49,'28.07 Kampala-Kalerwe'!K49)</f>
        <v>0.7142857142857143</v>
      </c>
      <c r="L49" s="49">
        <f>AVERAGE('22.07 Kampala-Kalerwe'!L49,'23.07 Kampala-Kalerwe'!L49,'24.07 Kampala-Kalewre'!L49,'25.07 Kampala-Kalewre'!L49,'26.07 Kampala-Kalerwe-24h'!L49,'27.07 Kampala-Kalerwe-24h'!L49,'28.07 Kampala-Kalerwe'!L49)</f>
        <v>0.8571428571428571</v>
      </c>
      <c r="M49" s="49">
        <f>AVERAGE('22.07 Kampala-Kalerwe'!M49,'23.07 Kampala-Kalerwe'!M49,'24.07 Kampala-Kalewre'!M49,'25.07 Kampala-Kalewre'!M49,'26.07 Kampala-Kalerwe-24h'!M49,'27.07 Kampala-Kalerwe-24h'!M49,'28.07 Kampala-Kalerwe'!M49)</f>
        <v>165.71428571428572</v>
      </c>
      <c r="N49" s="49">
        <f>AVERAGE('22.07 Kampala-Kalerwe'!N49,'23.07 Kampala-Kalerwe'!N49,'24.07 Kampala-Kalewre'!N49,'25.07 Kampala-Kalewre'!N49,'26.07 Kampala-Kalerwe-24h'!N49,'27.07 Kampala-Kalerwe-24h'!N49,'28.07 Kampala-Kalerwe'!N49)</f>
        <v>0</v>
      </c>
      <c r="O49" s="15">
        <f t="shared" si="0"/>
        <v>122.28571428571428</v>
      </c>
      <c r="P49" s="15">
        <f t="shared" si="1"/>
        <v>288</v>
      </c>
      <c r="R49" s="8"/>
      <c r="T49"/>
    </row>
    <row r="50" spans="2:20" ht="23.1" customHeight="1" x14ac:dyDescent="0.25">
      <c r="B50" s="24" t="s">
        <v>77</v>
      </c>
      <c r="C50" s="49">
        <f>AVERAGE('22.07 Kampala-Kalerwe'!C50,'23.07 Kampala-Kalerwe'!C50,'24.07 Kampala-Kalewre'!C50,'25.07 Kampala-Kalewre'!C50,'26.07 Kampala-Kalerwe-24h'!C50,'27.07 Kampala-Kalerwe-24h'!C50,'28.07 Kampala-Kalerwe'!C50)</f>
        <v>53</v>
      </c>
      <c r="D50" s="49">
        <f>AVERAGE('22.07 Kampala-Kalerwe'!D50,'23.07 Kampala-Kalerwe'!D50,'24.07 Kampala-Kalewre'!D50,'25.07 Kampala-Kalewre'!D50,'26.07 Kampala-Kalerwe-24h'!D50,'27.07 Kampala-Kalerwe-24h'!D50,'28.07 Kampala-Kalerwe'!D50)</f>
        <v>14.857142857142858</v>
      </c>
      <c r="E50" s="49">
        <f>AVERAGE('22.07 Kampala-Kalerwe'!E50,'23.07 Kampala-Kalerwe'!E50,'24.07 Kampala-Kalewre'!E50,'25.07 Kampala-Kalewre'!E50,'26.07 Kampala-Kalerwe-24h'!E50,'27.07 Kampala-Kalerwe-24h'!E50,'28.07 Kampala-Kalerwe'!E50)</f>
        <v>5.4285714285714288</v>
      </c>
      <c r="F50" s="49">
        <f>AVERAGE('22.07 Kampala-Kalerwe'!F50,'23.07 Kampala-Kalerwe'!F50,'24.07 Kampala-Kalewre'!F50,'25.07 Kampala-Kalewre'!F50,'26.07 Kampala-Kalerwe-24h'!F50,'27.07 Kampala-Kalerwe-24h'!F50,'28.07 Kampala-Kalerwe'!F50)</f>
        <v>36.428571428571431</v>
      </c>
      <c r="G50" s="49">
        <f>AVERAGE('22.07 Kampala-Kalerwe'!G50,'23.07 Kampala-Kalerwe'!G50,'24.07 Kampala-Kalewre'!G50,'25.07 Kampala-Kalewre'!G50,'26.07 Kampala-Kalerwe-24h'!G50,'27.07 Kampala-Kalerwe-24h'!G50,'28.07 Kampala-Kalerwe'!G50)</f>
        <v>1.5714285714285714</v>
      </c>
      <c r="H50" s="49">
        <f>AVERAGE('22.07 Kampala-Kalerwe'!H50,'23.07 Kampala-Kalerwe'!H50,'24.07 Kampala-Kalewre'!H50,'25.07 Kampala-Kalewre'!H50,'26.07 Kampala-Kalerwe-24h'!H50,'27.07 Kampala-Kalerwe-24h'!H50,'28.07 Kampala-Kalerwe'!H50)</f>
        <v>0.5714285714285714</v>
      </c>
      <c r="I50" s="49">
        <f>AVERAGE('22.07 Kampala-Kalerwe'!I50,'23.07 Kampala-Kalerwe'!I50,'24.07 Kampala-Kalewre'!I50,'25.07 Kampala-Kalewre'!I50,'26.07 Kampala-Kalerwe-24h'!I50,'27.07 Kampala-Kalerwe-24h'!I50,'28.07 Kampala-Kalerwe'!I50)</f>
        <v>10.571428571428571</v>
      </c>
      <c r="J50" s="49">
        <f>AVERAGE('22.07 Kampala-Kalerwe'!J50,'23.07 Kampala-Kalerwe'!J50,'24.07 Kampala-Kalewre'!J50,'25.07 Kampala-Kalewre'!J50,'26.07 Kampala-Kalerwe-24h'!J50,'27.07 Kampala-Kalerwe-24h'!J50,'28.07 Kampala-Kalerwe'!J50)</f>
        <v>0.7142857142857143</v>
      </c>
      <c r="K50" s="49">
        <f>AVERAGE('22.07 Kampala-Kalerwe'!K50,'23.07 Kampala-Kalerwe'!K50,'24.07 Kampala-Kalewre'!K50,'25.07 Kampala-Kalewre'!K50,'26.07 Kampala-Kalerwe-24h'!K50,'27.07 Kampala-Kalerwe-24h'!K50,'28.07 Kampala-Kalerwe'!K50)</f>
        <v>1.2857142857142858</v>
      </c>
      <c r="L50" s="49">
        <f>AVERAGE('22.07 Kampala-Kalerwe'!L50,'23.07 Kampala-Kalerwe'!L50,'24.07 Kampala-Kalewre'!L50,'25.07 Kampala-Kalewre'!L50,'26.07 Kampala-Kalerwe-24h'!L50,'27.07 Kampala-Kalerwe-24h'!L50,'28.07 Kampala-Kalerwe'!L50)</f>
        <v>1</v>
      </c>
      <c r="M50" s="49">
        <f>AVERAGE('22.07 Kampala-Kalerwe'!M50,'23.07 Kampala-Kalerwe'!M50,'24.07 Kampala-Kalewre'!M50,'25.07 Kampala-Kalewre'!M50,'26.07 Kampala-Kalerwe-24h'!M50,'27.07 Kampala-Kalerwe-24h'!M50,'28.07 Kampala-Kalerwe'!M50)</f>
        <v>174.28571428571428</v>
      </c>
      <c r="N50" s="49">
        <f>AVERAGE('22.07 Kampala-Kalerwe'!N50,'23.07 Kampala-Kalerwe'!N50,'24.07 Kampala-Kalewre'!N50,'25.07 Kampala-Kalewre'!N50,'26.07 Kampala-Kalerwe-24h'!N50,'27.07 Kampala-Kalerwe-24h'!N50,'28.07 Kampala-Kalerwe'!N50)</f>
        <v>0</v>
      </c>
      <c r="O50" s="15">
        <f t="shared" si="0"/>
        <v>125.42857142857143</v>
      </c>
      <c r="P50" s="15">
        <f t="shared" si="1"/>
        <v>299.71428571428572</v>
      </c>
      <c r="R50" s="8"/>
      <c r="T50"/>
    </row>
    <row r="51" spans="2:20" ht="23.1" customHeight="1" x14ac:dyDescent="0.25">
      <c r="B51" s="24" t="s">
        <v>78</v>
      </c>
      <c r="C51" s="49">
        <f>AVERAGE('22.07 Kampala-Kalerwe'!C51,'23.07 Kampala-Kalerwe'!C51,'24.07 Kampala-Kalewre'!C51,'25.07 Kampala-Kalewre'!C51,'26.07 Kampala-Kalerwe-24h'!C51,'27.07 Kampala-Kalerwe-24h'!C51,'28.07 Kampala-Kalerwe'!C51)</f>
        <v>57.285714285714285</v>
      </c>
      <c r="D51" s="49">
        <f>AVERAGE('22.07 Kampala-Kalerwe'!D51,'23.07 Kampala-Kalerwe'!D51,'24.07 Kampala-Kalewre'!D51,'25.07 Kampala-Kalewre'!D51,'26.07 Kampala-Kalerwe-24h'!D51,'27.07 Kampala-Kalerwe-24h'!D51,'28.07 Kampala-Kalerwe'!D51)</f>
        <v>11.857142857142858</v>
      </c>
      <c r="E51" s="49">
        <f>AVERAGE('22.07 Kampala-Kalerwe'!E51,'23.07 Kampala-Kalerwe'!E51,'24.07 Kampala-Kalewre'!E51,'25.07 Kampala-Kalewre'!E51,'26.07 Kampala-Kalerwe-24h'!E51,'27.07 Kampala-Kalerwe-24h'!E51,'28.07 Kampala-Kalerwe'!E51)</f>
        <v>3.2857142857142856</v>
      </c>
      <c r="F51" s="49">
        <f>AVERAGE('22.07 Kampala-Kalerwe'!F51,'23.07 Kampala-Kalerwe'!F51,'24.07 Kampala-Kalewre'!F51,'25.07 Kampala-Kalewre'!F51,'26.07 Kampala-Kalerwe-24h'!F51,'27.07 Kampala-Kalerwe-24h'!F51,'28.07 Kampala-Kalerwe'!F51)</f>
        <v>36.714285714285715</v>
      </c>
      <c r="G51" s="49">
        <f>AVERAGE('22.07 Kampala-Kalerwe'!G51,'23.07 Kampala-Kalerwe'!G51,'24.07 Kampala-Kalewre'!G51,'25.07 Kampala-Kalewre'!G51,'26.07 Kampala-Kalerwe-24h'!G51,'27.07 Kampala-Kalerwe-24h'!G51,'28.07 Kampala-Kalerwe'!G51)</f>
        <v>1.1428571428571428</v>
      </c>
      <c r="H51" s="49">
        <f>AVERAGE('22.07 Kampala-Kalerwe'!H51,'23.07 Kampala-Kalerwe'!H51,'24.07 Kampala-Kalewre'!H51,'25.07 Kampala-Kalewre'!H51,'26.07 Kampala-Kalerwe-24h'!H51,'27.07 Kampala-Kalerwe-24h'!H51,'28.07 Kampala-Kalerwe'!H51)</f>
        <v>1</v>
      </c>
      <c r="I51" s="49">
        <f>AVERAGE('22.07 Kampala-Kalerwe'!I51,'23.07 Kampala-Kalerwe'!I51,'24.07 Kampala-Kalewre'!I51,'25.07 Kampala-Kalewre'!I51,'26.07 Kampala-Kalerwe-24h'!I51,'27.07 Kampala-Kalerwe-24h'!I51,'28.07 Kampala-Kalerwe'!I51)</f>
        <v>9.4285714285714288</v>
      </c>
      <c r="J51" s="49">
        <f>AVERAGE('22.07 Kampala-Kalerwe'!J51,'23.07 Kampala-Kalerwe'!J51,'24.07 Kampala-Kalewre'!J51,'25.07 Kampala-Kalewre'!J51,'26.07 Kampala-Kalerwe-24h'!J51,'27.07 Kampala-Kalerwe-24h'!J51,'28.07 Kampala-Kalerwe'!J51)</f>
        <v>1.2857142857142858</v>
      </c>
      <c r="K51" s="49">
        <f>AVERAGE('22.07 Kampala-Kalerwe'!K51,'23.07 Kampala-Kalerwe'!K51,'24.07 Kampala-Kalewre'!K51,'25.07 Kampala-Kalewre'!K51,'26.07 Kampala-Kalerwe-24h'!K51,'27.07 Kampala-Kalerwe-24h'!K51,'28.07 Kampala-Kalerwe'!K51)</f>
        <v>0.7142857142857143</v>
      </c>
      <c r="L51" s="49">
        <f>AVERAGE('22.07 Kampala-Kalerwe'!L51,'23.07 Kampala-Kalerwe'!L51,'24.07 Kampala-Kalewre'!L51,'25.07 Kampala-Kalewre'!L51,'26.07 Kampala-Kalerwe-24h'!L51,'27.07 Kampala-Kalerwe-24h'!L51,'28.07 Kampala-Kalerwe'!L51)</f>
        <v>0.42857142857142855</v>
      </c>
      <c r="M51" s="49">
        <f>AVERAGE('22.07 Kampala-Kalerwe'!M51,'23.07 Kampala-Kalerwe'!M51,'24.07 Kampala-Kalewre'!M51,'25.07 Kampala-Kalewre'!M51,'26.07 Kampala-Kalerwe-24h'!M51,'27.07 Kampala-Kalerwe-24h'!M51,'28.07 Kampala-Kalerwe'!M51)</f>
        <v>157.14285714285714</v>
      </c>
      <c r="N51" s="49">
        <f>AVERAGE('22.07 Kampala-Kalerwe'!N51,'23.07 Kampala-Kalerwe'!N51,'24.07 Kampala-Kalewre'!N51,'25.07 Kampala-Kalewre'!N51,'26.07 Kampala-Kalerwe-24h'!N51,'27.07 Kampala-Kalerwe-24h'!N51,'28.07 Kampala-Kalerwe'!N51)</f>
        <v>0</v>
      </c>
      <c r="O51" s="15">
        <f t="shared" si="0"/>
        <v>123.14285714285714</v>
      </c>
      <c r="P51" s="15">
        <f t="shared" si="1"/>
        <v>280.28571428571428</v>
      </c>
      <c r="R51" s="8"/>
      <c r="T51"/>
    </row>
    <row r="52" spans="2:20" ht="23.1" customHeight="1" x14ac:dyDescent="0.25">
      <c r="B52" s="24" t="s">
        <v>79</v>
      </c>
      <c r="C52" s="49">
        <f>AVERAGE('22.07 Kampala-Kalerwe'!C52,'23.07 Kampala-Kalerwe'!C52,'24.07 Kampala-Kalewre'!C52,'25.07 Kampala-Kalewre'!C52,'26.07 Kampala-Kalerwe-24h'!C52,'27.07 Kampala-Kalerwe-24h'!C52,'28.07 Kampala-Kalerwe'!C52)</f>
        <v>64.285714285714292</v>
      </c>
      <c r="D52" s="49">
        <f>AVERAGE('22.07 Kampala-Kalerwe'!D52,'23.07 Kampala-Kalerwe'!D52,'24.07 Kampala-Kalewre'!D52,'25.07 Kampala-Kalewre'!D52,'26.07 Kampala-Kalerwe-24h'!D52,'27.07 Kampala-Kalerwe-24h'!D52,'28.07 Kampala-Kalerwe'!D52)</f>
        <v>12</v>
      </c>
      <c r="E52" s="49">
        <f>AVERAGE('22.07 Kampala-Kalerwe'!E52,'23.07 Kampala-Kalerwe'!E52,'24.07 Kampala-Kalewre'!E52,'25.07 Kampala-Kalewre'!E52,'26.07 Kampala-Kalerwe-24h'!E52,'27.07 Kampala-Kalerwe-24h'!E52,'28.07 Kampala-Kalerwe'!E52)</f>
        <v>4</v>
      </c>
      <c r="F52" s="49">
        <f>AVERAGE('22.07 Kampala-Kalerwe'!F52,'23.07 Kampala-Kalerwe'!F52,'24.07 Kampala-Kalewre'!F52,'25.07 Kampala-Kalewre'!F52,'26.07 Kampala-Kalerwe-24h'!F52,'27.07 Kampala-Kalerwe-24h'!F52,'28.07 Kampala-Kalerwe'!F52)</f>
        <v>35.428571428571431</v>
      </c>
      <c r="G52" s="49">
        <f>AVERAGE('22.07 Kampala-Kalerwe'!G52,'23.07 Kampala-Kalerwe'!G52,'24.07 Kampala-Kalewre'!G52,'25.07 Kampala-Kalewre'!G52,'26.07 Kampala-Kalerwe-24h'!G52,'27.07 Kampala-Kalerwe-24h'!G52,'28.07 Kampala-Kalerwe'!G52)</f>
        <v>0.8571428571428571</v>
      </c>
      <c r="H52" s="49">
        <f>AVERAGE('22.07 Kampala-Kalerwe'!H52,'23.07 Kampala-Kalerwe'!H52,'24.07 Kampala-Kalewre'!H52,'25.07 Kampala-Kalewre'!H52,'26.07 Kampala-Kalerwe-24h'!H52,'27.07 Kampala-Kalerwe-24h'!H52,'28.07 Kampala-Kalerwe'!H52)</f>
        <v>0.8571428571428571</v>
      </c>
      <c r="I52" s="49">
        <f>AVERAGE('22.07 Kampala-Kalerwe'!I52,'23.07 Kampala-Kalerwe'!I52,'24.07 Kampala-Kalewre'!I52,'25.07 Kampala-Kalewre'!I52,'26.07 Kampala-Kalerwe-24h'!I52,'27.07 Kampala-Kalerwe-24h'!I52,'28.07 Kampala-Kalerwe'!I52)</f>
        <v>9.4285714285714288</v>
      </c>
      <c r="J52" s="49">
        <f>AVERAGE('22.07 Kampala-Kalerwe'!J52,'23.07 Kampala-Kalerwe'!J52,'24.07 Kampala-Kalewre'!J52,'25.07 Kampala-Kalewre'!J52,'26.07 Kampala-Kalerwe-24h'!J52,'27.07 Kampala-Kalerwe-24h'!J52,'28.07 Kampala-Kalerwe'!J52)</f>
        <v>1.8571428571428572</v>
      </c>
      <c r="K52" s="49">
        <f>AVERAGE('22.07 Kampala-Kalerwe'!K52,'23.07 Kampala-Kalerwe'!K52,'24.07 Kampala-Kalewre'!K52,'25.07 Kampala-Kalewre'!K52,'26.07 Kampala-Kalerwe-24h'!K52,'27.07 Kampala-Kalerwe-24h'!K52,'28.07 Kampala-Kalerwe'!K52)</f>
        <v>0.5714285714285714</v>
      </c>
      <c r="L52" s="49">
        <f>AVERAGE('22.07 Kampala-Kalerwe'!L52,'23.07 Kampala-Kalerwe'!L52,'24.07 Kampala-Kalewre'!L52,'25.07 Kampala-Kalewre'!L52,'26.07 Kampala-Kalerwe-24h'!L52,'27.07 Kampala-Kalerwe-24h'!L52,'28.07 Kampala-Kalerwe'!L52)</f>
        <v>0.8571428571428571</v>
      </c>
      <c r="M52" s="49">
        <f>AVERAGE('22.07 Kampala-Kalerwe'!M52,'23.07 Kampala-Kalerwe'!M52,'24.07 Kampala-Kalewre'!M52,'25.07 Kampala-Kalewre'!M52,'26.07 Kampala-Kalerwe-24h'!M52,'27.07 Kampala-Kalerwe-24h'!M52,'28.07 Kampala-Kalerwe'!M52)</f>
        <v>178.85714285714286</v>
      </c>
      <c r="N52" s="49">
        <f>AVERAGE('22.07 Kampala-Kalerwe'!N52,'23.07 Kampala-Kalerwe'!N52,'24.07 Kampala-Kalewre'!N52,'25.07 Kampala-Kalewre'!N52,'26.07 Kampala-Kalerwe-24h'!N52,'27.07 Kampala-Kalerwe-24h'!N52,'28.07 Kampala-Kalerwe'!N52)</f>
        <v>0</v>
      </c>
      <c r="O52" s="15">
        <f t="shared" si="0"/>
        <v>130.14285714285717</v>
      </c>
      <c r="P52" s="15">
        <f t="shared" si="1"/>
        <v>309</v>
      </c>
      <c r="R52" s="8"/>
      <c r="T52"/>
    </row>
    <row r="53" spans="2:20" ht="23.1" customHeight="1" x14ac:dyDescent="0.25">
      <c r="B53" s="23" t="s">
        <v>80</v>
      </c>
      <c r="C53" s="49">
        <f>AVERAGE('22.07 Kampala-Kalerwe'!C53,'23.07 Kampala-Kalerwe'!C53,'24.07 Kampala-Kalewre'!C53,'25.07 Kampala-Kalewre'!C53,'26.07 Kampala-Kalerwe-24h'!C53,'27.07 Kampala-Kalerwe-24h'!C53,'28.07 Kampala-Kalerwe'!C53)</f>
        <v>63.857142857142854</v>
      </c>
      <c r="D53" s="49">
        <f>AVERAGE('22.07 Kampala-Kalerwe'!D53,'23.07 Kampala-Kalerwe'!D53,'24.07 Kampala-Kalewre'!D53,'25.07 Kampala-Kalewre'!D53,'26.07 Kampala-Kalerwe-24h'!D53,'27.07 Kampala-Kalerwe-24h'!D53,'28.07 Kampala-Kalerwe'!D53)</f>
        <v>13.285714285714286</v>
      </c>
      <c r="E53" s="49">
        <f>AVERAGE('22.07 Kampala-Kalerwe'!E53,'23.07 Kampala-Kalerwe'!E53,'24.07 Kampala-Kalewre'!E53,'25.07 Kampala-Kalewre'!E53,'26.07 Kampala-Kalerwe-24h'!E53,'27.07 Kampala-Kalerwe-24h'!E53,'28.07 Kampala-Kalerwe'!E53)</f>
        <v>5.2857142857142856</v>
      </c>
      <c r="F53" s="49">
        <f>AVERAGE('22.07 Kampala-Kalerwe'!F53,'23.07 Kampala-Kalerwe'!F53,'24.07 Kampala-Kalewre'!F53,'25.07 Kampala-Kalewre'!F53,'26.07 Kampala-Kalerwe-24h'!F53,'27.07 Kampala-Kalerwe-24h'!F53,'28.07 Kampala-Kalerwe'!F53)</f>
        <v>35.714285714285715</v>
      </c>
      <c r="G53" s="49">
        <f>AVERAGE('22.07 Kampala-Kalerwe'!G53,'23.07 Kampala-Kalerwe'!G53,'24.07 Kampala-Kalewre'!G53,'25.07 Kampala-Kalewre'!G53,'26.07 Kampala-Kalerwe-24h'!G53,'27.07 Kampala-Kalerwe-24h'!G53,'28.07 Kampala-Kalerwe'!G53)</f>
        <v>1.2857142857142858</v>
      </c>
      <c r="H53" s="49">
        <f>AVERAGE('22.07 Kampala-Kalerwe'!H53,'23.07 Kampala-Kalerwe'!H53,'24.07 Kampala-Kalewre'!H53,'25.07 Kampala-Kalewre'!H53,'26.07 Kampala-Kalerwe-24h'!H53,'27.07 Kampala-Kalerwe-24h'!H53,'28.07 Kampala-Kalerwe'!H53)</f>
        <v>0.2857142857142857</v>
      </c>
      <c r="I53" s="49">
        <f>AVERAGE('22.07 Kampala-Kalerwe'!I53,'23.07 Kampala-Kalerwe'!I53,'24.07 Kampala-Kalewre'!I53,'25.07 Kampala-Kalewre'!I53,'26.07 Kampala-Kalerwe-24h'!I53,'27.07 Kampala-Kalerwe-24h'!I53,'28.07 Kampala-Kalerwe'!I53)</f>
        <v>9.2857142857142865</v>
      </c>
      <c r="J53" s="49">
        <f>AVERAGE('22.07 Kampala-Kalerwe'!J53,'23.07 Kampala-Kalerwe'!J53,'24.07 Kampala-Kalewre'!J53,'25.07 Kampala-Kalewre'!J53,'26.07 Kampala-Kalerwe-24h'!J53,'27.07 Kampala-Kalerwe-24h'!J53,'28.07 Kampala-Kalerwe'!J53)</f>
        <v>1.2857142857142858</v>
      </c>
      <c r="K53" s="49">
        <f>AVERAGE('22.07 Kampala-Kalerwe'!K53,'23.07 Kampala-Kalerwe'!K53,'24.07 Kampala-Kalewre'!K53,'25.07 Kampala-Kalewre'!K53,'26.07 Kampala-Kalerwe-24h'!K53,'27.07 Kampala-Kalerwe-24h'!K53,'28.07 Kampala-Kalerwe'!K53)</f>
        <v>1.4285714285714286</v>
      </c>
      <c r="L53" s="49">
        <f>AVERAGE('22.07 Kampala-Kalerwe'!L53,'23.07 Kampala-Kalerwe'!L53,'24.07 Kampala-Kalewre'!L53,'25.07 Kampala-Kalewre'!L53,'26.07 Kampala-Kalerwe-24h'!L53,'27.07 Kampala-Kalerwe-24h'!L53,'28.07 Kampala-Kalerwe'!L53)</f>
        <v>0.2857142857142857</v>
      </c>
      <c r="M53" s="49">
        <f>AVERAGE('22.07 Kampala-Kalerwe'!M53,'23.07 Kampala-Kalerwe'!M53,'24.07 Kampala-Kalewre'!M53,'25.07 Kampala-Kalewre'!M53,'26.07 Kampala-Kalerwe-24h'!M53,'27.07 Kampala-Kalerwe-24h'!M53,'28.07 Kampala-Kalerwe'!M53)</f>
        <v>152.85714285714286</v>
      </c>
      <c r="N53" s="49">
        <f>AVERAGE('22.07 Kampala-Kalerwe'!N53,'23.07 Kampala-Kalerwe'!N53,'24.07 Kampala-Kalewre'!N53,'25.07 Kampala-Kalewre'!N53,'26.07 Kampala-Kalerwe-24h'!N53,'27.07 Kampala-Kalerwe-24h'!N53,'28.07 Kampala-Kalerwe'!N53)</f>
        <v>0</v>
      </c>
      <c r="O53" s="15">
        <f t="shared" si="0"/>
        <v>131.99999999999997</v>
      </c>
      <c r="P53" s="15">
        <f t="shared" si="1"/>
        <v>284.85714285714283</v>
      </c>
      <c r="R53" s="8"/>
      <c r="T53"/>
    </row>
    <row r="54" spans="2:20" ht="23.1" customHeight="1" x14ac:dyDescent="0.25">
      <c r="B54" s="23" t="s">
        <v>81</v>
      </c>
      <c r="C54" s="49">
        <f>AVERAGE('22.07 Kampala-Kalerwe'!C54,'23.07 Kampala-Kalerwe'!C54,'24.07 Kampala-Kalewre'!C54,'25.07 Kampala-Kalewre'!C54,'26.07 Kampala-Kalerwe-24h'!C54,'27.07 Kampala-Kalerwe-24h'!C54,'28.07 Kampala-Kalerwe'!C54)</f>
        <v>54.571428571428569</v>
      </c>
      <c r="D54" s="49">
        <f>AVERAGE('22.07 Kampala-Kalerwe'!D54,'23.07 Kampala-Kalerwe'!D54,'24.07 Kampala-Kalewre'!D54,'25.07 Kampala-Kalewre'!D54,'26.07 Kampala-Kalerwe-24h'!D54,'27.07 Kampala-Kalerwe-24h'!D54,'28.07 Kampala-Kalerwe'!D54)</f>
        <v>13.571428571428571</v>
      </c>
      <c r="E54" s="49">
        <f>AVERAGE('22.07 Kampala-Kalerwe'!E54,'23.07 Kampala-Kalerwe'!E54,'24.07 Kampala-Kalewre'!E54,'25.07 Kampala-Kalewre'!E54,'26.07 Kampala-Kalerwe-24h'!E54,'27.07 Kampala-Kalerwe-24h'!E54,'28.07 Kampala-Kalerwe'!E54)</f>
        <v>3.4285714285714284</v>
      </c>
      <c r="F54" s="49">
        <f>AVERAGE('22.07 Kampala-Kalerwe'!F54,'23.07 Kampala-Kalerwe'!F54,'24.07 Kampala-Kalewre'!F54,'25.07 Kampala-Kalewre'!F54,'26.07 Kampala-Kalerwe-24h'!F54,'27.07 Kampala-Kalerwe-24h'!F54,'28.07 Kampala-Kalerwe'!F54)</f>
        <v>32</v>
      </c>
      <c r="G54" s="49">
        <f>AVERAGE('22.07 Kampala-Kalerwe'!G54,'23.07 Kampala-Kalerwe'!G54,'24.07 Kampala-Kalewre'!G54,'25.07 Kampala-Kalewre'!G54,'26.07 Kampala-Kalerwe-24h'!G54,'27.07 Kampala-Kalerwe-24h'!G54,'28.07 Kampala-Kalerwe'!G54)</f>
        <v>1.1428571428571428</v>
      </c>
      <c r="H54" s="49">
        <f>AVERAGE('22.07 Kampala-Kalerwe'!H54,'23.07 Kampala-Kalerwe'!H54,'24.07 Kampala-Kalewre'!H54,'25.07 Kampala-Kalewre'!H54,'26.07 Kampala-Kalerwe-24h'!H54,'27.07 Kampala-Kalerwe-24h'!H54,'28.07 Kampala-Kalerwe'!H54)</f>
        <v>0.42857142857142855</v>
      </c>
      <c r="I54" s="49">
        <f>AVERAGE('22.07 Kampala-Kalerwe'!I54,'23.07 Kampala-Kalerwe'!I54,'24.07 Kampala-Kalewre'!I54,'25.07 Kampala-Kalewre'!I54,'26.07 Kampala-Kalerwe-24h'!I54,'27.07 Kampala-Kalerwe-24h'!I54,'28.07 Kampala-Kalerwe'!I54)</f>
        <v>8</v>
      </c>
      <c r="J54" s="49">
        <f>AVERAGE('22.07 Kampala-Kalerwe'!J54,'23.07 Kampala-Kalerwe'!J54,'24.07 Kampala-Kalewre'!J54,'25.07 Kampala-Kalewre'!J54,'26.07 Kampala-Kalerwe-24h'!J54,'27.07 Kampala-Kalerwe-24h'!J54,'28.07 Kampala-Kalerwe'!J54)</f>
        <v>1.4285714285714286</v>
      </c>
      <c r="K54" s="49">
        <f>AVERAGE('22.07 Kampala-Kalerwe'!K54,'23.07 Kampala-Kalerwe'!K54,'24.07 Kampala-Kalewre'!K54,'25.07 Kampala-Kalewre'!K54,'26.07 Kampala-Kalerwe-24h'!K54,'27.07 Kampala-Kalerwe-24h'!K54,'28.07 Kampala-Kalerwe'!K54)</f>
        <v>0.7142857142857143</v>
      </c>
      <c r="L54" s="49">
        <f>AVERAGE('22.07 Kampala-Kalerwe'!L54,'23.07 Kampala-Kalerwe'!L54,'24.07 Kampala-Kalewre'!L54,'25.07 Kampala-Kalewre'!L54,'26.07 Kampala-Kalerwe-24h'!L54,'27.07 Kampala-Kalerwe-24h'!L54,'28.07 Kampala-Kalerwe'!L54)</f>
        <v>0.5714285714285714</v>
      </c>
      <c r="M54" s="49">
        <f>AVERAGE('22.07 Kampala-Kalerwe'!M54,'23.07 Kampala-Kalerwe'!M54,'24.07 Kampala-Kalewre'!M54,'25.07 Kampala-Kalewre'!M54,'26.07 Kampala-Kalerwe-24h'!M54,'27.07 Kampala-Kalerwe-24h'!M54,'28.07 Kampala-Kalerwe'!M54)</f>
        <v>189.28571428571428</v>
      </c>
      <c r="N54" s="49">
        <f>AVERAGE('22.07 Kampala-Kalerwe'!N54,'23.07 Kampala-Kalerwe'!N54,'24.07 Kampala-Kalewre'!N54,'25.07 Kampala-Kalewre'!N54,'26.07 Kampala-Kalerwe-24h'!N54,'27.07 Kampala-Kalerwe-24h'!N54,'28.07 Kampala-Kalerwe'!N54)</f>
        <v>0</v>
      </c>
      <c r="O54" s="15">
        <f t="shared" si="0"/>
        <v>115.85714285714285</v>
      </c>
      <c r="P54" s="15">
        <f t="shared" si="1"/>
        <v>305.14285714285711</v>
      </c>
      <c r="R54" s="8"/>
      <c r="T54"/>
    </row>
    <row r="55" spans="2:20" ht="23.1" customHeight="1" x14ac:dyDescent="0.25">
      <c r="B55" s="23" t="s">
        <v>82</v>
      </c>
      <c r="C55" s="49">
        <f>AVERAGE('22.07 Kampala-Kalerwe'!C55,'23.07 Kampala-Kalerwe'!C55,'24.07 Kampala-Kalewre'!C55,'25.07 Kampala-Kalewre'!C55,'26.07 Kampala-Kalerwe-24h'!C55,'27.07 Kampala-Kalerwe-24h'!C55,'28.07 Kampala-Kalerwe'!C55)</f>
        <v>60.714285714285715</v>
      </c>
      <c r="D55" s="49">
        <f>AVERAGE('22.07 Kampala-Kalerwe'!D55,'23.07 Kampala-Kalerwe'!D55,'24.07 Kampala-Kalewre'!D55,'25.07 Kampala-Kalewre'!D55,'26.07 Kampala-Kalerwe-24h'!D55,'27.07 Kampala-Kalerwe-24h'!D55,'28.07 Kampala-Kalerwe'!D55)</f>
        <v>15.571428571428571</v>
      </c>
      <c r="E55" s="49">
        <f>AVERAGE('22.07 Kampala-Kalerwe'!E55,'23.07 Kampala-Kalerwe'!E55,'24.07 Kampala-Kalewre'!E55,'25.07 Kampala-Kalewre'!E55,'26.07 Kampala-Kalerwe-24h'!E55,'27.07 Kampala-Kalerwe-24h'!E55,'28.07 Kampala-Kalerwe'!E55)</f>
        <v>5</v>
      </c>
      <c r="F55" s="49">
        <f>AVERAGE('22.07 Kampala-Kalerwe'!F55,'23.07 Kampala-Kalerwe'!F55,'24.07 Kampala-Kalewre'!F55,'25.07 Kampala-Kalewre'!F55,'26.07 Kampala-Kalerwe-24h'!F55,'27.07 Kampala-Kalerwe-24h'!F55,'28.07 Kampala-Kalerwe'!F55)</f>
        <v>38</v>
      </c>
      <c r="G55" s="49">
        <f>AVERAGE('22.07 Kampala-Kalerwe'!G55,'23.07 Kampala-Kalerwe'!G55,'24.07 Kampala-Kalewre'!G55,'25.07 Kampala-Kalewre'!G55,'26.07 Kampala-Kalerwe-24h'!G55,'27.07 Kampala-Kalerwe-24h'!G55,'28.07 Kampala-Kalerwe'!G55)</f>
        <v>1.1428571428571428</v>
      </c>
      <c r="H55" s="49">
        <f>AVERAGE('22.07 Kampala-Kalerwe'!H55,'23.07 Kampala-Kalerwe'!H55,'24.07 Kampala-Kalewre'!H55,'25.07 Kampala-Kalewre'!H55,'26.07 Kampala-Kalerwe-24h'!H55,'27.07 Kampala-Kalerwe-24h'!H55,'28.07 Kampala-Kalerwe'!H55)</f>
        <v>0.14285714285714285</v>
      </c>
      <c r="I55" s="49">
        <f>AVERAGE('22.07 Kampala-Kalerwe'!I55,'23.07 Kampala-Kalerwe'!I55,'24.07 Kampala-Kalewre'!I55,'25.07 Kampala-Kalewre'!I55,'26.07 Kampala-Kalerwe-24h'!I55,'27.07 Kampala-Kalerwe-24h'!I55,'28.07 Kampala-Kalerwe'!I55)</f>
        <v>6.5714285714285712</v>
      </c>
      <c r="J55" s="49">
        <f>AVERAGE('22.07 Kampala-Kalerwe'!J55,'23.07 Kampala-Kalerwe'!J55,'24.07 Kampala-Kalewre'!J55,'25.07 Kampala-Kalewre'!J55,'26.07 Kampala-Kalerwe-24h'!J55,'27.07 Kampala-Kalerwe-24h'!J55,'28.07 Kampala-Kalerwe'!J55)</f>
        <v>1.5714285714285714</v>
      </c>
      <c r="K55" s="49">
        <f>AVERAGE('22.07 Kampala-Kalerwe'!K55,'23.07 Kampala-Kalerwe'!K55,'24.07 Kampala-Kalewre'!K55,'25.07 Kampala-Kalewre'!K55,'26.07 Kampala-Kalerwe-24h'!K55,'27.07 Kampala-Kalerwe-24h'!K55,'28.07 Kampala-Kalerwe'!K55)</f>
        <v>0.8571428571428571</v>
      </c>
      <c r="L55" s="49">
        <f>AVERAGE('22.07 Kampala-Kalerwe'!L55,'23.07 Kampala-Kalerwe'!L55,'24.07 Kampala-Kalewre'!L55,'25.07 Kampala-Kalewre'!L55,'26.07 Kampala-Kalerwe-24h'!L55,'27.07 Kampala-Kalerwe-24h'!L55,'28.07 Kampala-Kalerwe'!L55)</f>
        <v>0.42857142857142855</v>
      </c>
      <c r="M55" s="49">
        <f>AVERAGE('22.07 Kampala-Kalerwe'!M55,'23.07 Kampala-Kalerwe'!M55,'24.07 Kampala-Kalewre'!M55,'25.07 Kampala-Kalewre'!M55,'26.07 Kampala-Kalerwe-24h'!M55,'27.07 Kampala-Kalerwe-24h'!M55,'28.07 Kampala-Kalerwe'!M55)</f>
        <v>229</v>
      </c>
      <c r="N55" s="49">
        <f>AVERAGE('22.07 Kampala-Kalerwe'!N55,'23.07 Kampala-Kalerwe'!N55,'24.07 Kampala-Kalewre'!N55,'25.07 Kampala-Kalewre'!N55,'26.07 Kampala-Kalerwe-24h'!N55,'27.07 Kampala-Kalerwe-24h'!N55,'28.07 Kampala-Kalerwe'!N55)</f>
        <v>0</v>
      </c>
      <c r="O55" s="15">
        <f t="shared" si="0"/>
        <v>130</v>
      </c>
      <c r="P55" s="15">
        <f t="shared" si="1"/>
        <v>359</v>
      </c>
      <c r="R55" s="8"/>
      <c r="T55"/>
    </row>
    <row r="56" spans="2:20" ht="23.1" customHeight="1" x14ac:dyDescent="0.25">
      <c r="B56" s="23" t="s">
        <v>83</v>
      </c>
      <c r="C56" s="49">
        <f>AVERAGE('22.07 Kampala-Kalerwe'!C56,'23.07 Kampala-Kalerwe'!C56,'24.07 Kampala-Kalewre'!C56,'25.07 Kampala-Kalewre'!C56,'26.07 Kampala-Kalerwe-24h'!C56,'27.07 Kampala-Kalerwe-24h'!C56,'28.07 Kampala-Kalerwe'!C56)</f>
        <v>60.571428571428569</v>
      </c>
      <c r="D56" s="49">
        <f>AVERAGE('22.07 Kampala-Kalerwe'!D56,'23.07 Kampala-Kalerwe'!D56,'24.07 Kampala-Kalewre'!D56,'25.07 Kampala-Kalewre'!D56,'26.07 Kampala-Kalerwe-24h'!D56,'27.07 Kampala-Kalerwe-24h'!D56,'28.07 Kampala-Kalerwe'!D56)</f>
        <v>14.857142857142858</v>
      </c>
      <c r="E56" s="49">
        <f>AVERAGE('22.07 Kampala-Kalerwe'!E56,'23.07 Kampala-Kalerwe'!E56,'24.07 Kampala-Kalewre'!E56,'25.07 Kampala-Kalewre'!E56,'26.07 Kampala-Kalerwe-24h'!E56,'27.07 Kampala-Kalerwe-24h'!E56,'28.07 Kampala-Kalerwe'!E56)</f>
        <v>5</v>
      </c>
      <c r="F56" s="49">
        <f>AVERAGE('22.07 Kampala-Kalerwe'!F56,'23.07 Kampala-Kalerwe'!F56,'24.07 Kampala-Kalewre'!F56,'25.07 Kampala-Kalewre'!F56,'26.07 Kampala-Kalerwe-24h'!F56,'27.07 Kampala-Kalerwe-24h'!F56,'28.07 Kampala-Kalerwe'!F56)</f>
        <v>39.714285714285715</v>
      </c>
      <c r="G56" s="49">
        <f>AVERAGE('22.07 Kampala-Kalerwe'!G56,'23.07 Kampala-Kalerwe'!G56,'24.07 Kampala-Kalewre'!G56,'25.07 Kampala-Kalewre'!G56,'26.07 Kampala-Kalerwe-24h'!G56,'27.07 Kampala-Kalerwe-24h'!G56,'28.07 Kampala-Kalerwe'!G56)</f>
        <v>1.4285714285714286</v>
      </c>
      <c r="H56" s="49">
        <f>AVERAGE('22.07 Kampala-Kalerwe'!H56,'23.07 Kampala-Kalerwe'!H56,'24.07 Kampala-Kalewre'!H56,'25.07 Kampala-Kalewre'!H56,'26.07 Kampala-Kalerwe-24h'!H56,'27.07 Kampala-Kalerwe-24h'!H56,'28.07 Kampala-Kalerwe'!H56)</f>
        <v>1.1428571428571428</v>
      </c>
      <c r="I56" s="49">
        <f>AVERAGE('22.07 Kampala-Kalerwe'!I56,'23.07 Kampala-Kalerwe'!I56,'24.07 Kampala-Kalewre'!I56,'25.07 Kampala-Kalewre'!I56,'26.07 Kampala-Kalerwe-24h'!I56,'27.07 Kampala-Kalerwe-24h'!I56,'28.07 Kampala-Kalerwe'!I56)</f>
        <v>9</v>
      </c>
      <c r="J56" s="49">
        <f>AVERAGE('22.07 Kampala-Kalerwe'!J56,'23.07 Kampala-Kalerwe'!J56,'24.07 Kampala-Kalewre'!J56,'25.07 Kampala-Kalewre'!J56,'26.07 Kampala-Kalerwe-24h'!J56,'27.07 Kampala-Kalerwe-24h'!J56,'28.07 Kampala-Kalerwe'!J56)</f>
        <v>1.8571428571428572</v>
      </c>
      <c r="K56" s="49">
        <f>AVERAGE('22.07 Kampala-Kalerwe'!K56,'23.07 Kampala-Kalerwe'!K56,'24.07 Kampala-Kalewre'!K56,'25.07 Kampala-Kalewre'!K56,'26.07 Kampala-Kalerwe-24h'!K56,'27.07 Kampala-Kalerwe-24h'!K56,'28.07 Kampala-Kalerwe'!K56)</f>
        <v>1.4285714285714286</v>
      </c>
      <c r="L56" s="49">
        <f>AVERAGE('22.07 Kampala-Kalerwe'!L56,'23.07 Kampala-Kalerwe'!L56,'24.07 Kampala-Kalewre'!L56,'25.07 Kampala-Kalewre'!L56,'26.07 Kampala-Kalerwe-24h'!L56,'27.07 Kampala-Kalerwe-24h'!L56,'28.07 Kampala-Kalerwe'!L56)</f>
        <v>0.42857142857142855</v>
      </c>
      <c r="M56" s="49">
        <f>AVERAGE('22.07 Kampala-Kalerwe'!M56,'23.07 Kampala-Kalerwe'!M56,'24.07 Kampala-Kalewre'!M56,'25.07 Kampala-Kalewre'!M56,'26.07 Kampala-Kalerwe-24h'!M56,'27.07 Kampala-Kalerwe-24h'!M56,'28.07 Kampala-Kalerwe'!M56)</f>
        <v>192.42857142857142</v>
      </c>
      <c r="N56" s="49">
        <f>AVERAGE('22.07 Kampala-Kalerwe'!N56,'23.07 Kampala-Kalerwe'!N56,'24.07 Kampala-Kalewre'!N56,'25.07 Kampala-Kalewre'!N56,'26.07 Kampala-Kalerwe-24h'!N56,'27.07 Kampala-Kalerwe-24h'!N56,'28.07 Kampala-Kalerwe'!N56)</f>
        <v>0</v>
      </c>
      <c r="O56" s="15">
        <f t="shared" si="0"/>
        <v>135.42857142857142</v>
      </c>
      <c r="P56" s="15">
        <f t="shared" si="1"/>
        <v>327.85714285714283</v>
      </c>
      <c r="R56" s="8"/>
      <c r="T56"/>
    </row>
    <row r="57" spans="2:20" ht="23.1" customHeight="1" x14ac:dyDescent="0.25">
      <c r="B57" s="23" t="s">
        <v>84</v>
      </c>
      <c r="C57" s="49">
        <f>AVERAGE('22.07 Kampala-Kalerwe'!C57,'23.07 Kampala-Kalerwe'!C57,'24.07 Kampala-Kalewre'!C57,'25.07 Kampala-Kalewre'!C57,'26.07 Kampala-Kalerwe-24h'!C57,'27.07 Kampala-Kalerwe-24h'!C57,'28.07 Kampala-Kalerwe'!C57)</f>
        <v>51.428571428571431</v>
      </c>
      <c r="D57" s="49">
        <f>AVERAGE('22.07 Kampala-Kalerwe'!D57,'23.07 Kampala-Kalerwe'!D57,'24.07 Kampala-Kalewre'!D57,'25.07 Kampala-Kalewre'!D57,'26.07 Kampala-Kalerwe-24h'!D57,'27.07 Kampala-Kalerwe-24h'!D57,'28.07 Kampala-Kalerwe'!D57)</f>
        <v>13.428571428571429</v>
      </c>
      <c r="E57" s="49">
        <f>AVERAGE('22.07 Kampala-Kalerwe'!E57,'23.07 Kampala-Kalerwe'!E57,'24.07 Kampala-Kalewre'!E57,'25.07 Kampala-Kalewre'!E57,'26.07 Kampala-Kalerwe-24h'!E57,'27.07 Kampala-Kalerwe-24h'!E57,'28.07 Kampala-Kalerwe'!E57)</f>
        <v>4.2857142857142856</v>
      </c>
      <c r="F57" s="49">
        <f>AVERAGE('22.07 Kampala-Kalerwe'!F57,'23.07 Kampala-Kalerwe'!F57,'24.07 Kampala-Kalewre'!F57,'25.07 Kampala-Kalewre'!F57,'26.07 Kampala-Kalerwe-24h'!F57,'27.07 Kampala-Kalerwe-24h'!F57,'28.07 Kampala-Kalerwe'!F57)</f>
        <v>30.428571428571427</v>
      </c>
      <c r="G57" s="49">
        <f>AVERAGE('22.07 Kampala-Kalerwe'!G57,'23.07 Kampala-Kalerwe'!G57,'24.07 Kampala-Kalewre'!G57,'25.07 Kampala-Kalewre'!G57,'26.07 Kampala-Kalerwe-24h'!G57,'27.07 Kampala-Kalerwe-24h'!G57,'28.07 Kampala-Kalerwe'!G57)</f>
        <v>1.7142857142857142</v>
      </c>
      <c r="H57" s="49">
        <f>AVERAGE('22.07 Kampala-Kalerwe'!H57,'23.07 Kampala-Kalerwe'!H57,'24.07 Kampala-Kalewre'!H57,'25.07 Kampala-Kalewre'!H57,'26.07 Kampala-Kalerwe-24h'!H57,'27.07 Kampala-Kalerwe-24h'!H57,'28.07 Kampala-Kalerwe'!H57)</f>
        <v>0.8571428571428571</v>
      </c>
      <c r="I57" s="49">
        <f>AVERAGE('22.07 Kampala-Kalerwe'!I57,'23.07 Kampala-Kalerwe'!I57,'24.07 Kampala-Kalewre'!I57,'25.07 Kampala-Kalewre'!I57,'26.07 Kampala-Kalerwe-24h'!I57,'27.07 Kampala-Kalerwe-24h'!I57,'28.07 Kampala-Kalerwe'!I57)</f>
        <v>6.7142857142857144</v>
      </c>
      <c r="J57" s="49">
        <f>AVERAGE('22.07 Kampala-Kalerwe'!J57,'23.07 Kampala-Kalerwe'!J57,'24.07 Kampala-Kalewre'!J57,'25.07 Kampala-Kalewre'!J57,'26.07 Kampala-Kalerwe-24h'!J57,'27.07 Kampala-Kalerwe-24h'!J57,'28.07 Kampala-Kalerwe'!J57)</f>
        <v>1.7142857142857142</v>
      </c>
      <c r="K57" s="49">
        <f>AVERAGE('22.07 Kampala-Kalerwe'!K57,'23.07 Kampala-Kalerwe'!K57,'24.07 Kampala-Kalewre'!K57,'25.07 Kampala-Kalewre'!K57,'26.07 Kampala-Kalerwe-24h'!K57,'27.07 Kampala-Kalerwe-24h'!K57,'28.07 Kampala-Kalerwe'!K57)</f>
        <v>1.1428571428571428</v>
      </c>
      <c r="L57" s="49">
        <f>AVERAGE('22.07 Kampala-Kalerwe'!L57,'23.07 Kampala-Kalerwe'!L57,'24.07 Kampala-Kalewre'!L57,'25.07 Kampala-Kalewre'!L57,'26.07 Kampala-Kalerwe-24h'!L57,'27.07 Kampala-Kalerwe-24h'!L57,'28.07 Kampala-Kalerwe'!L57)</f>
        <v>0.5714285714285714</v>
      </c>
      <c r="M57" s="49">
        <f>AVERAGE('22.07 Kampala-Kalerwe'!M57,'23.07 Kampala-Kalerwe'!M57,'24.07 Kampala-Kalewre'!M57,'25.07 Kampala-Kalewre'!M57,'26.07 Kampala-Kalerwe-24h'!M57,'27.07 Kampala-Kalerwe-24h'!M57,'28.07 Kampala-Kalerwe'!M57)</f>
        <v>148.85714285714286</v>
      </c>
      <c r="N57" s="49">
        <f>AVERAGE('22.07 Kampala-Kalerwe'!N57,'23.07 Kampala-Kalerwe'!N57,'24.07 Kampala-Kalewre'!N57,'25.07 Kampala-Kalewre'!N57,'26.07 Kampala-Kalerwe-24h'!N57,'27.07 Kampala-Kalerwe-24h'!N57,'28.07 Kampala-Kalerwe'!N57)</f>
        <v>0</v>
      </c>
      <c r="O57" s="15">
        <f t="shared" si="0"/>
        <v>112.28571428571428</v>
      </c>
      <c r="P57" s="15">
        <f t="shared" si="1"/>
        <v>261.14285714285711</v>
      </c>
      <c r="R57" s="8"/>
      <c r="T57"/>
    </row>
    <row r="58" spans="2:20" ht="23.1" customHeight="1" x14ac:dyDescent="0.25">
      <c r="B58" s="23" t="s">
        <v>99</v>
      </c>
      <c r="C58" s="49">
        <f>AVERAGE('26.07 Kampala-Kalerwe-24h'!C58,'27.07 Kampala-Kalerwe-24h'!C58)</f>
        <v>47</v>
      </c>
      <c r="D58" s="49">
        <f>AVERAGE('26.07 Kampala-Kalerwe-24h'!D58,'27.07 Kampala-Kalerwe-24h'!D58)</f>
        <v>16.5</v>
      </c>
      <c r="E58" s="49">
        <f>AVERAGE('26.07 Kampala-Kalerwe-24h'!E58,'27.07 Kampala-Kalerwe-24h'!E58)</f>
        <v>2.5</v>
      </c>
      <c r="F58" s="49">
        <f>AVERAGE('26.07 Kampala-Kalerwe-24h'!F58,'27.07 Kampala-Kalerwe-24h'!F58)</f>
        <v>49</v>
      </c>
      <c r="G58" s="49">
        <f>AVERAGE('26.07 Kampala-Kalerwe-24h'!G58,'27.07 Kampala-Kalerwe-24h'!G58)</f>
        <v>3.5</v>
      </c>
      <c r="H58" s="49">
        <f>AVERAGE('26.07 Kampala-Kalerwe-24h'!H58,'27.07 Kampala-Kalerwe-24h'!H58)</f>
        <v>0</v>
      </c>
      <c r="I58" s="49">
        <f>AVERAGE('26.07 Kampala-Kalerwe-24h'!I58,'27.07 Kampala-Kalerwe-24h'!I58)</f>
        <v>7</v>
      </c>
      <c r="J58" s="49">
        <f>AVERAGE('26.07 Kampala-Kalerwe-24h'!J58,'27.07 Kampala-Kalerwe-24h'!J58)</f>
        <v>1.5</v>
      </c>
      <c r="K58" s="49">
        <f>AVERAGE('26.07 Kampala-Kalerwe-24h'!K58,'27.07 Kampala-Kalerwe-24h'!K58)</f>
        <v>1</v>
      </c>
      <c r="L58" s="49">
        <f>AVERAGE('26.07 Kampala-Kalerwe-24h'!L58,'27.07 Kampala-Kalerwe-24h'!L58)</f>
        <v>0</v>
      </c>
      <c r="M58" s="49">
        <f>AVERAGE('26.07 Kampala-Kalerwe-24h'!M58,'27.07 Kampala-Kalerwe-24h'!M58)</f>
        <v>162.5</v>
      </c>
      <c r="N58" s="49">
        <f>AVERAGE('26.07 Kampala-Kalerwe-24h'!N58,'27.07 Kampala-Kalerwe-24h'!N58)</f>
        <v>0</v>
      </c>
      <c r="O58" s="15">
        <f t="shared" si="0"/>
        <v>128</v>
      </c>
      <c r="P58" s="15">
        <f t="shared" si="1"/>
        <v>290.5</v>
      </c>
      <c r="R58" s="8"/>
      <c r="T58"/>
    </row>
    <row r="59" spans="2:20" ht="23.1" customHeight="1" x14ac:dyDescent="0.25">
      <c r="B59" s="23" t="s">
        <v>100</v>
      </c>
      <c r="C59" s="49">
        <f>AVERAGE('26.07 Kampala-Kalerwe-24h'!C59,'27.07 Kampala-Kalerwe-24h'!C59)</f>
        <v>43.5</v>
      </c>
      <c r="D59" s="49">
        <f>AVERAGE('26.07 Kampala-Kalerwe-24h'!D59,'27.07 Kampala-Kalerwe-24h'!D59)</f>
        <v>18.5</v>
      </c>
      <c r="E59" s="49">
        <f>AVERAGE('26.07 Kampala-Kalerwe-24h'!E59,'27.07 Kampala-Kalerwe-24h'!E59)</f>
        <v>0</v>
      </c>
      <c r="F59" s="49">
        <f>AVERAGE('26.07 Kampala-Kalerwe-24h'!F59,'27.07 Kampala-Kalerwe-24h'!F59)</f>
        <v>38</v>
      </c>
      <c r="G59" s="49">
        <f>AVERAGE('26.07 Kampala-Kalerwe-24h'!G59,'27.07 Kampala-Kalerwe-24h'!G59)</f>
        <v>2</v>
      </c>
      <c r="H59" s="49">
        <f>AVERAGE('26.07 Kampala-Kalerwe-24h'!H59,'27.07 Kampala-Kalerwe-24h'!H59)</f>
        <v>0</v>
      </c>
      <c r="I59" s="49">
        <f>AVERAGE('26.07 Kampala-Kalerwe-24h'!I59,'27.07 Kampala-Kalerwe-24h'!I59)</f>
        <v>16.5</v>
      </c>
      <c r="J59" s="49">
        <f>AVERAGE('26.07 Kampala-Kalerwe-24h'!J59,'27.07 Kampala-Kalerwe-24h'!J59)</f>
        <v>0.5</v>
      </c>
      <c r="K59" s="49">
        <f>AVERAGE('26.07 Kampala-Kalerwe-24h'!K59,'27.07 Kampala-Kalerwe-24h'!K59)</f>
        <v>0</v>
      </c>
      <c r="L59" s="49">
        <f>AVERAGE('26.07 Kampala-Kalerwe-24h'!L59,'27.07 Kampala-Kalerwe-24h'!L59)</f>
        <v>1</v>
      </c>
      <c r="M59" s="49">
        <f>AVERAGE('26.07 Kampala-Kalerwe-24h'!M59,'27.07 Kampala-Kalerwe-24h'!M59)</f>
        <v>145</v>
      </c>
      <c r="N59" s="49">
        <f>AVERAGE('26.07 Kampala-Kalerwe-24h'!N59,'27.07 Kampala-Kalerwe-24h'!N59)</f>
        <v>0</v>
      </c>
      <c r="O59" s="15">
        <f t="shared" si="0"/>
        <v>120</v>
      </c>
      <c r="P59" s="15">
        <f t="shared" si="1"/>
        <v>265</v>
      </c>
      <c r="R59" s="8"/>
      <c r="T59"/>
    </row>
    <row r="60" spans="2:20" ht="23.1" customHeight="1" x14ac:dyDescent="0.25">
      <c r="B60" s="23" t="s">
        <v>101</v>
      </c>
      <c r="C60" s="49">
        <f>AVERAGE('26.07 Kampala-Kalerwe-24h'!C60,'27.07 Kampala-Kalerwe-24h'!C60)</f>
        <v>45</v>
      </c>
      <c r="D60" s="49">
        <f>AVERAGE('26.07 Kampala-Kalerwe-24h'!D60,'27.07 Kampala-Kalerwe-24h'!D60)</f>
        <v>17.5</v>
      </c>
      <c r="E60" s="49">
        <f>AVERAGE('26.07 Kampala-Kalerwe-24h'!E60,'27.07 Kampala-Kalerwe-24h'!E60)</f>
        <v>3</v>
      </c>
      <c r="F60" s="49">
        <f>AVERAGE('26.07 Kampala-Kalerwe-24h'!F60,'27.07 Kampala-Kalerwe-24h'!F60)</f>
        <v>41</v>
      </c>
      <c r="G60" s="49">
        <f>AVERAGE('26.07 Kampala-Kalerwe-24h'!G60,'27.07 Kampala-Kalerwe-24h'!G60)</f>
        <v>2.5</v>
      </c>
      <c r="H60" s="49">
        <f>AVERAGE('26.07 Kampala-Kalerwe-24h'!H60,'27.07 Kampala-Kalerwe-24h'!H60)</f>
        <v>0</v>
      </c>
      <c r="I60" s="49">
        <f>AVERAGE('26.07 Kampala-Kalerwe-24h'!I60,'27.07 Kampala-Kalerwe-24h'!I60)</f>
        <v>12.5</v>
      </c>
      <c r="J60" s="49">
        <f>AVERAGE('26.07 Kampala-Kalerwe-24h'!J60,'27.07 Kampala-Kalerwe-24h'!J60)</f>
        <v>3</v>
      </c>
      <c r="K60" s="49">
        <f>AVERAGE('26.07 Kampala-Kalerwe-24h'!K60,'27.07 Kampala-Kalerwe-24h'!K60)</f>
        <v>1.5</v>
      </c>
      <c r="L60" s="49">
        <f>AVERAGE('26.07 Kampala-Kalerwe-24h'!L60,'27.07 Kampala-Kalerwe-24h'!L60)</f>
        <v>0.5</v>
      </c>
      <c r="M60" s="49">
        <f>AVERAGE('26.07 Kampala-Kalerwe-24h'!M60,'27.07 Kampala-Kalerwe-24h'!M60)</f>
        <v>144</v>
      </c>
      <c r="N60" s="49">
        <f>AVERAGE('26.07 Kampala-Kalerwe-24h'!N60,'27.07 Kampala-Kalerwe-24h'!N60)</f>
        <v>0</v>
      </c>
      <c r="O60" s="15">
        <f t="shared" si="0"/>
        <v>126.5</v>
      </c>
      <c r="P60" s="15">
        <f t="shared" si="1"/>
        <v>270.5</v>
      </c>
      <c r="R60" s="8"/>
      <c r="T60"/>
    </row>
    <row r="61" spans="2:20" ht="23.1" customHeight="1" x14ac:dyDescent="0.25">
      <c r="B61" s="23" t="s">
        <v>102</v>
      </c>
      <c r="C61" s="49">
        <f>AVERAGE('26.07 Kampala-Kalerwe-24h'!C61,'27.07 Kampala-Kalerwe-24h'!C61)</f>
        <v>45</v>
      </c>
      <c r="D61" s="49">
        <f>AVERAGE('26.07 Kampala-Kalerwe-24h'!D61,'27.07 Kampala-Kalerwe-24h'!D61)</f>
        <v>17</v>
      </c>
      <c r="E61" s="49">
        <f>AVERAGE('26.07 Kampala-Kalerwe-24h'!E61,'27.07 Kampala-Kalerwe-24h'!E61)</f>
        <v>2</v>
      </c>
      <c r="F61" s="49">
        <f>AVERAGE('26.07 Kampala-Kalerwe-24h'!F61,'27.07 Kampala-Kalerwe-24h'!F61)</f>
        <v>29.5</v>
      </c>
      <c r="G61" s="49">
        <f>AVERAGE('26.07 Kampala-Kalerwe-24h'!G61,'27.07 Kampala-Kalerwe-24h'!G61)</f>
        <v>4.5</v>
      </c>
      <c r="H61" s="49">
        <f>AVERAGE('26.07 Kampala-Kalerwe-24h'!H61,'27.07 Kampala-Kalerwe-24h'!H61)</f>
        <v>1</v>
      </c>
      <c r="I61" s="49">
        <f>AVERAGE('26.07 Kampala-Kalerwe-24h'!I61,'27.07 Kampala-Kalerwe-24h'!I61)</f>
        <v>15.5</v>
      </c>
      <c r="J61" s="49">
        <f>AVERAGE('26.07 Kampala-Kalerwe-24h'!J61,'27.07 Kampala-Kalerwe-24h'!J61)</f>
        <v>7.5</v>
      </c>
      <c r="K61" s="49">
        <f>AVERAGE('26.07 Kampala-Kalerwe-24h'!K61,'27.07 Kampala-Kalerwe-24h'!K61)</f>
        <v>2.5</v>
      </c>
      <c r="L61" s="49">
        <f>AVERAGE('26.07 Kampala-Kalerwe-24h'!L61,'27.07 Kampala-Kalerwe-24h'!L61)</f>
        <v>3</v>
      </c>
      <c r="M61" s="49">
        <f>AVERAGE('26.07 Kampala-Kalerwe-24h'!M61,'27.07 Kampala-Kalerwe-24h'!M61)</f>
        <v>177.5</v>
      </c>
      <c r="N61" s="49">
        <f>AVERAGE('26.07 Kampala-Kalerwe-24h'!N61,'27.07 Kampala-Kalerwe-24h'!N61)</f>
        <v>0</v>
      </c>
      <c r="O61" s="15">
        <f t="shared" si="0"/>
        <v>127.5</v>
      </c>
      <c r="P61" s="15">
        <f t="shared" si="1"/>
        <v>305</v>
      </c>
      <c r="R61" s="8"/>
      <c r="T61"/>
    </row>
    <row r="62" spans="2:20" ht="23.1" customHeight="1" x14ac:dyDescent="0.25">
      <c r="B62" s="23" t="s">
        <v>107</v>
      </c>
      <c r="C62" s="49">
        <f>AVERAGE('26.07 Kampala-Kalerwe-24h'!C62,'27.07 Kampala-Kalerwe-24h'!C62)</f>
        <v>52</v>
      </c>
      <c r="D62" s="49">
        <f>AVERAGE('26.07 Kampala-Kalerwe-24h'!D62,'27.07 Kampala-Kalerwe-24h'!D62)</f>
        <v>28.5</v>
      </c>
      <c r="E62" s="49">
        <f>AVERAGE('26.07 Kampala-Kalerwe-24h'!E62,'27.07 Kampala-Kalerwe-24h'!E62)</f>
        <v>10.5</v>
      </c>
      <c r="F62" s="49">
        <f>AVERAGE('26.07 Kampala-Kalerwe-24h'!F62,'27.07 Kampala-Kalerwe-24h'!F62)</f>
        <v>59.5</v>
      </c>
      <c r="G62" s="49">
        <f>AVERAGE('26.07 Kampala-Kalerwe-24h'!G62,'27.07 Kampala-Kalerwe-24h'!G62)</f>
        <v>5</v>
      </c>
      <c r="H62" s="49">
        <f>AVERAGE('26.07 Kampala-Kalerwe-24h'!H62,'27.07 Kampala-Kalerwe-24h'!H62)</f>
        <v>0.5</v>
      </c>
      <c r="I62" s="49">
        <f>AVERAGE('26.07 Kampala-Kalerwe-24h'!I62,'27.07 Kampala-Kalerwe-24h'!I62)</f>
        <v>8</v>
      </c>
      <c r="J62" s="49">
        <f>AVERAGE('26.07 Kampala-Kalerwe-24h'!J62,'27.07 Kampala-Kalerwe-24h'!J62)</f>
        <v>3</v>
      </c>
      <c r="K62" s="49">
        <f>AVERAGE('26.07 Kampala-Kalerwe-24h'!K62,'27.07 Kampala-Kalerwe-24h'!K62)</f>
        <v>4</v>
      </c>
      <c r="L62" s="49">
        <f>AVERAGE('26.07 Kampala-Kalerwe-24h'!L62,'27.07 Kampala-Kalerwe-24h'!L62)</f>
        <v>0.5</v>
      </c>
      <c r="M62" s="49">
        <f>AVERAGE('26.07 Kampala-Kalerwe-24h'!M62,'27.07 Kampala-Kalerwe-24h'!M62)</f>
        <v>155</v>
      </c>
      <c r="N62" s="49">
        <f>AVERAGE('26.07 Kampala-Kalerwe-24h'!N62,'27.07 Kampala-Kalerwe-24h'!N62)</f>
        <v>0</v>
      </c>
      <c r="O62" s="15">
        <f t="shared" si="0"/>
        <v>171.5</v>
      </c>
      <c r="P62" s="15">
        <f t="shared" si="1"/>
        <v>326.5</v>
      </c>
      <c r="R62" s="8"/>
      <c r="T62"/>
    </row>
    <row r="63" spans="2:20" ht="23.1" customHeight="1" x14ac:dyDescent="0.25">
      <c r="B63" s="23" t="s">
        <v>108</v>
      </c>
      <c r="C63" s="49">
        <f>AVERAGE('26.07 Kampala-Kalerwe-24h'!C63,'27.07 Kampala-Kalerwe-24h'!C63)</f>
        <v>53.5</v>
      </c>
      <c r="D63" s="49">
        <f>AVERAGE('26.07 Kampala-Kalerwe-24h'!D63,'27.07 Kampala-Kalerwe-24h'!D63)</f>
        <v>20</v>
      </c>
      <c r="E63" s="49">
        <f>AVERAGE('26.07 Kampala-Kalerwe-24h'!E63,'27.07 Kampala-Kalerwe-24h'!E63)</f>
        <v>4</v>
      </c>
      <c r="F63" s="49">
        <f>AVERAGE('26.07 Kampala-Kalerwe-24h'!F63,'27.07 Kampala-Kalerwe-24h'!F63)</f>
        <v>42.5</v>
      </c>
      <c r="G63" s="49">
        <f>AVERAGE('26.07 Kampala-Kalerwe-24h'!G63,'27.07 Kampala-Kalerwe-24h'!G63)</f>
        <v>5</v>
      </c>
      <c r="H63" s="49">
        <f>AVERAGE('26.07 Kampala-Kalerwe-24h'!H63,'27.07 Kampala-Kalerwe-24h'!H63)</f>
        <v>6</v>
      </c>
      <c r="I63" s="49">
        <f>AVERAGE('26.07 Kampala-Kalerwe-24h'!I63,'27.07 Kampala-Kalerwe-24h'!I63)</f>
        <v>4.5</v>
      </c>
      <c r="J63" s="49">
        <f>AVERAGE('26.07 Kampala-Kalerwe-24h'!J63,'27.07 Kampala-Kalerwe-24h'!J63)</f>
        <v>3</v>
      </c>
      <c r="K63" s="49">
        <f>AVERAGE('26.07 Kampala-Kalerwe-24h'!K63,'27.07 Kampala-Kalerwe-24h'!K63)</f>
        <v>0</v>
      </c>
      <c r="L63" s="49">
        <f>AVERAGE('26.07 Kampala-Kalerwe-24h'!L63,'27.07 Kampala-Kalerwe-24h'!L63)</f>
        <v>0</v>
      </c>
      <c r="M63" s="49">
        <f>AVERAGE('26.07 Kampala-Kalerwe-24h'!M63,'27.07 Kampala-Kalerwe-24h'!M63)</f>
        <v>152.5</v>
      </c>
      <c r="N63" s="49">
        <f>AVERAGE('26.07 Kampala-Kalerwe-24h'!N63,'27.07 Kampala-Kalerwe-24h'!N63)</f>
        <v>0.5</v>
      </c>
      <c r="O63" s="15">
        <f t="shared" si="0"/>
        <v>139</v>
      </c>
      <c r="P63" s="15">
        <f t="shared" si="1"/>
        <v>291.5</v>
      </c>
      <c r="R63" s="8"/>
      <c r="T63"/>
    </row>
    <row r="64" spans="2:20" ht="23.1" customHeight="1" x14ac:dyDescent="0.25">
      <c r="B64" s="23" t="s">
        <v>109</v>
      </c>
      <c r="C64" s="49">
        <f>AVERAGE('26.07 Kampala-Kalerwe-24h'!C64,'27.07 Kampala-Kalerwe-24h'!C64)</f>
        <v>46.5</v>
      </c>
      <c r="D64" s="49">
        <f>AVERAGE('26.07 Kampala-Kalerwe-24h'!D64,'27.07 Kampala-Kalerwe-24h'!D64)</f>
        <v>24.5</v>
      </c>
      <c r="E64" s="49">
        <f>AVERAGE('26.07 Kampala-Kalerwe-24h'!E64,'27.07 Kampala-Kalerwe-24h'!E64)</f>
        <v>3.5</v>
      </c>
      <c r="F64" s="49">
        <f>AVERAGE('26.07 Kampala-Kalerwe-24h'!F64,'27.07 Kampala-Kalerwe-24h'!F64)</f>
        <v>31</v>
      </c>
      <c r="G64" s="49">
        <f>AVERAGE('26.07 Kampala-Kalerwe-24h'!G64,'27.07 Kampala-Kalerwe-24h'!G64)</f>
        <v>11</v>
      </c>
      <c r="H64" s="49">
        <f>AVERAGE('26.07 Kampala-Kalerwe-24h'!H64,'27.07 Kampala-Kalerwe-24h'!H64)</f>
        <v>0.5</v>
      </c>
      <c r="I64" s="49">
        <f>AVERAGE('26.07 Kampala-Kalerwe-24h'!I64,'27.07 Kampala-Kalerwe-24h'!I64)</f>
        <v>2</v>
      </c>
      <c r="J64" s="49">
        <f>AVERAGE('26.07 Kampala-Kalerwe-24h'!J64,'27.07 Kampala-Kalerwe-24h'!J64)</f>
        <v>2</v>
      </c>
      <c r="K64" s="49">
        <f>AVERAGE('26.07 Kampala-Kalerwe-24h'!K64,'27.07 Kampala-Kalerwe-24h'!K64)</f>
        <v>0</v>
      </c>
      <c r="L64" s="49">
        <f>AVERAGE('26.07 Kampala-Kalerwe-24h'!L64,'27.07 Kampala-Kalerwe-24h'!L64)</f>
        <v>1.5</v>
      </c>
      <c r="M64" s="49">
        <f>AVERAGE('26.07 Kampala-Kalerwe-24h'!M64,'27.07 Kampala-Kalerwe-24h'!M64)</f>
        <v>140</v>
      </c>
      <c r="N64" s="49">
        <f>AVERAGE('26.07 Kampala-Kalerwe-24h'!N64,'27.07 Kampala-Kalerwe-24h'!N64)</f>
        <v>0</v>
      </c>
      <c r="O64" s="15">
        <f t="shared" si="0"/>
        <v>122.5</v>
      </c>
      <c r="P64" s="15">
        <f t="shared" si="1"/>
        <v>262.5</v>
      </c>
      <c r="R64" s="8"/>
      <c r="T64"/>
    </row>
    <row r="65" spans="2:20" ht="23.1" customHeight="1" x14ac:dyDescent="0.25">
      <c r="B65" s="23" t="s">
        <v>158</v>
      </c>
      <c r="C65" s="49">
        <f>AVERAGE('26.07 Kampala-Kalerwe-24h'!C65,'27.07 Kampala-Kalerwe-24h'!C65)</f>
        <v>69.5</v>
      </c>
      <c r="D65" s="49">
        <f>AVERAGE('26.07 Kampala-Kalerwe-24h'!D65,'27.07 Kampala-Kalerwe-24h'!D65)</f>
        <v>19</v>
      </c>
      <c r="E65" s="49">
        <f>AVERAGE('26.07 Kampala-Kalerwe-24h'!E65,'27.07 Kampala-Kalerwe-24h'!E65)</f>
        <v>10</v>
      </c>
      <c r="F65" s="49">
        <f>AVERAGE('26.07 Kampala-Kalerwe-24h'!F65,'27.07 Kampala-Kalerwe-24h'!F65)</f>
        <v>62</v>
      </c>
      <c r="G65" s="49">
        <f>AVERAGE('26.07 Kampala-Kalerwe-24h'!G65,'27.07 Kampala-Kalerwe-24h'!G65)</f>
        <v>0.5</v>
      </c>
      <c r="H65" s="49">
        <f>AVERAGE('26.07 Kampala-Kalerwe-24h'!H65,'27.07 Kampala-Kalerwe-24h'!H65)</f>
        <v>5</v>
      </c>
      <c r="I65" s="49">
        <f>AVERAGE('26.07 Kampala-Kalerwe-24h'!I65,'27.07 Kampala-Kalerwe-24h'!I65)</f>
        <v>3</v>
      </c>
      <c r="J65" s="49">
        <f>AVERAGE('26.07 Kampala-Kalerwe-24h'!J65,'27.07 Kampala-Kalerwe-24h'!J65)</f>
        <v>2</v>
      </c>
      <c r="K65" s="49">
        <f>AVERAGE('26.07 Kampala-Kalerwe-24h'!K65,'27.07 Kampala-Kalerwe-24h'!K65)</f>
        <v>1</v>
      </c>
      <c r="L65" s="49">
        <f>AVERAGE('26.07 Kampala-Kalerwe-24h'!L65,'27.07 Kampala-Kalerwe-24h'!L65)</f>
        <v>0</v>
      </c>
      <c r="M65" s="49">
        <f>AVERAGE('26.07 Kampala-Kalerwe-24h'!M65,'27.07 Kampala-Kalerwe-24h'!M65)</f>
        <v>169</v>
      </c>
      <c r="N65" s="49">
        <f>AVERAGE('26.07 Kampala-Kalerwe-24h'!N65,'27.07 Kampala-Kalerwe-24h'!N65)</f>
        <v>0</v>
      </c>
      <c r="O65" s="15">
        <f t="shared" si="0"/>
        <v>172</v>
      </c>
      <c r="P65" s="15">
        <f t="shared" si="1"/>
        <v>341</v>
      </c>
      <c r="R65" s="8"/>
      <c r="T65"/>
    </row>
    <row r="66" spans="2:20" ht="23.1" customHeight="1" x14ac:dyDescent="0.25">
      <c r="B66" s="23" t="s">
        <v>103</v>
      </c>
      <c r="C66" s="49">
        <f>AVERAGE('26.07 Kampala-Kalerwe-24h'!C66,'27.07 Kampala-Kalerwe-24h'!C66)</f>
        <v>27</v>
      </c>
      <c r="D66" s="49">
        <f>AVERAGE('26.07 Kampala-Kalerwe-24h'!D66,'27.07 Kampala-Kalerwe-24h'!D66)</f>
        <v>9.5</v>
      </c>
      <c r="E66" s="49">
        <f>AVERAGE('26.07 Kampala-Kalerwe-24h'!E66,'27.07 Kampala-Kalerwe-24h'!E66)</f>
        <v>1</v>
      </c>
      <c r="F66" s="49">
        <f>AVERAGE('26.07 Kampala-Kalerwe-24h'!F66,'27.07 Kampala-Kalerwe-24h'!F66)</f>
        <v>10</v>
      </c>
      <c r="G66" s="49">
        <f>AVERAGE('26.07 Kampala-Kalerwe-24h'!G66,'27.07 Kampala-Kalerwe-24h'!G66)</f>
        <v>0</v>
      </c>
      <c r="H66" s="49">
        <f>AVERAGE('26.07 Kampala-Kalerwe-24h'!H66,'27.07 Kampala-Kalerwe-24h'!H66)</f>
        <v>2.5</v>
      </c>
      <c r="I66" s="49">
        <f>AVERAGE('26.07 Kampala-Kalerwe-24h'!I66,'27.07 Kampala-Kalerwe-24h'!I66)</f>
        <v>3</v>
      </c>
      <c r="J66" s="49">
        <f>AVERAGE('26.07 Kampala-Kalerwe-24h'!J66,'27.07 Kampala-Kalerwe-24h'!J66)</f>
        <v>1</v>
      </c>
      <c r="K66" s="49">
        <f>AVERAGE('26.07 Kampala-Kalerwe-24h'!K66,'27.07 Kampala-Kalerwe-24h'!K66)</f>
        <v>0</v>
      </c>
      <c r="L66" s="49">
        <f>AVERAGE('26.07 Kampala-Kalerwe-24h'!L66,'27.07 Kampala-Kalerwe-24h'!L66)</f>
        <v>0</v>
      </c>
      <c r="M66" s="49">
        <f>AVERAGE('26.07 Kampala-Kalerwe-24h'!M66,'27.07 Kampala-Kalerwe-24h'!M66)</f>
        <v>120</v>
      </c>
      <c r="N66" s="49">
        <f>AVERAGE('26.07 Kampala-Kalerwe-24h'!N66,'27.07 Kampala-Kalerwe-24h'!N66)</f>
        <v>0</v>
      </c>
      <c r="O66" s="15">
        <f t="shared" si="0"/>
        <v>54</v>
      </c>
      <c r="P66" s="15">
        <f t="shared" si="1"/>
        <v>174</v>
      </c>
      <c r="R66" s="8"/>
      <c r="T66"/>
    </row>
    <row r="67" spans="2:20" ht="23.1" customHeight="1" x14ac:dyDescent="0.25">
      <c r="B67" s="23" t="s">
        <v>104</v>
      </c>
      <c r="C67" s="49">
        <f>AVERAGE('26.07 Kampala-Kalerwe-24h'!C67,'27.07 Kampala-Kalerwe-24h'!C67)</f>
        <v>56</v>
      </c>
      <c r="D67" s="49">
        <f>AVERAGE('26.07 Kampala-Kalerwe-24h'!D67,'27.07 Kampala-Kalerwe-24h'!D67)</f>
        <v>10</v>
      </c>
      <c r="E67" s="49">
        <f>AVERAGE('26.07 Kampala-Kalerwe-24h'!E67,'27.07 Kampala-Kalerwe-24h'!E67)</f>
        <v>3.5</v>
      </c>
      <c r="F67" s="49">
        <f>AVERAGE('26.07 Kampala-Kalerwe-24h'!F67,'27.07 Kampala-Kalerwe-24h'!F67)</f>
        <v>16</v>
      </c>
      <c r="G67" s="49">
        <f>AVERAGE('26.07 Kampala-Kalerwe-24h'!G67,'27.07 Kampala-Kalerwe-24h'!G67)</f>
        <v>1</v>
      </c>
      <c r="H67" s="49">
        <f>AVERAGE('26.07 Kampala-Kalerwe-24h'!H67,'27.07 Kampala-Kalerwe-24h'!H67)</f>
        <v>1</v>
      </c>
      <c r="I67" s="49">
        <f>AVERAGE('26.07 Kampala-Kalerwe-24h'!I67,'27.07 Kampala-Kalerwe-24h'!I67)</f>
        <v>2</v>
      </c>
      <c r="J67" s="49">
        <f>AVERAGE('26.07 Kampala-Kalerwe-24h'!J67,'27.07 Kampala-Kalerwe-24h'!J67)</f>
        <v>2.5</v>
      </c>
      <c r="K67" s="49">
        <f>AVERAGE('26.07 Kampala-Kalerwe-24h'!K67,'27.07 Kampala-Kalerwe-24h'!K67)</f>
        <v>0</v>
      </c>
      <c r="L67" s="49">
        <f>AVERAGE('26.07 Kampala-Kalerwe-24h'!L67,'27.07 Kampala-Kalerwe-24h'!L67)</f>
        <v>0.5</v>
      </c>
      <c r="M67" s="49">
        <f>AVERAGE('26.07 Kampala-Kalerwe-24h'!M67,'27.07 Kampala-Kalerwe-24h'!M67)</f>
        <v>167.5</v>
      </c>
      <c r="N67" s="49">
        <f>AVERAGE('26.07 Kampala-Kalerwe-24h'!N67,'27.07 Kampala-Kalerwe-24h'!N67)</f>
        <v>0</v>
      </c>
      <c r="O67" s="15">
        <f t="shared" si="0"/>
        <v>92.5</v>
      </c>
      <c r="P67" s="15">
        <f t="shared" si="1"/>
        <v>260</v>
      </c>
      <c r="R67" s="8"/>
      <c r="T67"/>
    </row>
    <row r="68" spans="2:20" ht="23.1" customHeight="1" x14ac:dyDescent="0.25">
      <c r="B68" s="23" t="s">
        <v>105</v>
      </c>
      <c r="C68" s="49">
        <f>AVERAGE('26.07 Kampala-Kalerwe-24h'!C68,'27.07 Kampala-Kalerwe-24h'!C68)</f>
        <v>41.5</v>
      </c>
      <c r="D68" s="49">
        <f>AVERAGE('26.07 Kampala-Kalerwe-24h'!D68,'27.07 Kampala-Kalerwe-24h'!D68)</f>
        <v>17</v>
      </c>
      <c r="E68" s="49">
        <f>AVERAGE('26.07 Kampala-Kalerwe-24h'!E68,'27.07 Kampala-Kalerwe-24h'!E68)</f>
        <v>4</v>
      </c>
      <c r="F68" s="49">
        <f>AVERAGE('26.07 Kampala-Kalerwe-24h'!F68,'27.07 Kampala-Kalerwe-24h'!F68)</f>
        <v>30.5</v>
      </c>
      <c r="G68" s="49">
        <f>AVERAGE('26.07 Kampala-Kalerwe-24h'!G68,'27.07 Kampala-Kalerwe-24h'!G68)</f>
        <v>6</v>
      </c>
      <c r="H68" s="49">
        <f>AVERAGE('26.07 Kampala-Kalerwe-24h'!H68,'27.07 Kampala-Kalerwe-24h'!H68)</f>
        <v>3.5</v>
      </c>
      <c r="I68" s="49">
        <f>AVERAGE('26.07 Kampala-Kalerwe-24h'!I68,'27.07 Kampala-Kalerwe-24h'!I68)</f>
        <v>7</v>
      </c>
      <c r="J68" s="49">
        <f>AVERAGE('26.07 Kampala-Kalerwe-24h'!J68,'27.07 Kampala-Kalerwe-24h'!J68)</f>
        <v>3.5</v>
      </c>
      <c r="K68" s="49">
        <f>AVERAGE('26.07 Kampala-Kalerwe-24h'!K68,'27.07 Kampala-Kalerwe-24h'!K68)</f>
        <v>1</v>
      </c>
      <c r="L68" s="49">
        <f>AVERAGE('26.07 Kampala-Kalerwe-24h'!L68,'27.07 Kampala-Kalerwe-24h'!L68)</f>
        <v>0</v>
      </c>
      <c r="M68" s="49">
        <f>AVERAGE('26.07 Kampala-Kalerwe-24h'!M68,'27.07 Kampala-Kalerwe-24h'!M68)</f>
        <v>187.5</v>
      </c>
      <c r="N68" s="49">
        <f>AVERAGE('26.07 Kampala-Kalerwe-24h'!N68,'27.07 Kampala-Kalerwe-24h'!N68)</f>
        <v>0</v>
      </c>
      <c r="O68" s="15">
        <f t="shared" si="0"/>
        <v>114</v>
      </c>
      <c r="P68" s="15">
        <f t="shared" si="1"/>
        <v>301.5</v>
      </c>
      <c r="R68" s="8"/>
      <c r="T68"/>
    </row>
    <row r="69" spans="2:20" ht="23.1" customHeight="1" x14ac:dyDescent="0.25">
      <c r="B69" s="23" t="s">
        <v>106</v>
      </c>
      <c r="C69" s="49">
        <f>AVERAGE('26.07 Kampala-Kalerwe-24h'!C69,'27.07 Kampala-Kalerwe-24h'!C69)</f>
        <v>24.5</v>
      </c>
      <c r="D69" s="49">
        <f>AVERAGE('26.07 Kampala-Kalerwe-24h'!D69,'27.07 Kampala-Kalerwe-24h'!D69)</f>
        <v>11</v>
      </c>
      <c r="E69" s="49">
        <f>AVERAGE('26.07 Kampala-Kalerwe-24h'!E69,'27.07 Kampala-Kalerwe-24h'!E69)</f>
        <v>1.5</v>
      </c>
      <c r="F69" s="49">
        <f>AVERAGE('26.07 Kampala-Kalerwe-24h'!F69,'27.07 Kampala-Kalerwe-24h'!F69)</f>
        <v>21</v>
      </c>
      <c r="G69" s="49">
        <f>AVERAGE('26.07 Kampala-Kalerwe-24h'!G69,'27.07 Kampala-Kalerwe-24h'!G69)</f>
        <v>1.5</v>
      </c>
      <c r="H69" s="49">
        <f>AVERAGE('26.07 Kampala-Kalerwe-24h'!H69,'27.07 Kampala-Kalerwe-24h'!H69)</f>
        <v>2</v>
      </c>
      <c r="I69" s="49">
        <f>AVERAGE('26.07 Kampala-Kalerwe-24h'!I69,'27.07 Kampala-Kalerwe-24h'!I69)</f>
        <v>4</v>
      </c>
      <c r="J69" s="49">
        <f>AVERAGE('26.07 Kampala-Kalerwe-24h'!J69,'27.07 Kampala-Kalerwe-24h'!J69)</f>
        <v>2.5</v>
      </c>
      <c r="K69" s="49">
        <f>AVERAGE('26.07 Kampala-Kalerwe-24h'!K69,'27.07 Kampala-Kalerwe-24h'!K69)</f>
        <v>0</v>
      </c>
      <c r="L69" s="49">
        <f>AVERAGE('26.07 Kampala-Kalerwe-24h'!L69,'27.07 Kampala-Kalerwe-24h'!L69)</f>
        <v>0</v>
      </c>
      <c r="M69" s="49">
        <f>AVERAGE('26.07 Kampala-Kalerwe-24h'!M69,'27.07 Kampala-Kalerwe-24h'!M69)</f>
        <v>164.5</v>
      </c>
      <c r="N69" s="49">
        <f>AVERAGE('26.07 Kampala-Kalerwe-24h'!N69,'27.07 Kampala-Kalerwe-24h'!N69)</f>
        <v>0</v>
      </c>
      <c r="O69" s="15">
        <f t="shared" si="0"/>
        <v>68</v>
      </c>
      <c r="P69" s="15">
        <f t="shared" si="1"/>
        <v>232.5</v>
      </c>
      <c r="R69" s="8"/>
      <c r="T69"/>
    </row>
    <row r="70" spans="2:20" ht="23.1" customHeight="1" x14ac:dyDescent="0.25">
      <c r="B70" s="23" t="s">
        <v>110</v>
      </c>
      <c r="C70" s="49">
        <f>AVERAGE('26.07 Kampala-Kalerwe-24h'!C70,'27.07 Kampala-Kalerwe-24h'!C70)</f>
        <v>33.5</v>
      </c>
      <c r="D70" s="49">
        <f>AVERAGE('26.07 Kampala-Kalerwe-24h'!D70,'27.07 Kampala-Kalerwe-24h'!D70)</f>
        <v>16.5</v>
      </c>
      <c r="E70" s="49">
        <f>AVERAGE('26.07 Kampala-Kalerwe-24h'!E70,'27.07 Kampala-Kalerwe-24h'!E70)</f>
        <v>2</v>
      </c>
      <c r="F70" s="49">
        <f>AVERAGE('26.07 Kampala-Kalerwe-24h'!F70,'27.07 Kampala-Kalerwe-24h'!F70)</f>
        <v>38.5</v>
      </c>
      <c r="G70" s="49">
        <f>AVERAGE('26.07 Kampala-Kalerwe-24h'!G70,'27.07 Kampala-Kalerwe-24h'!G70)</f>
        <v>13</v>
      </c>
      <c r="H70" s="49">
        <f>AVERAGE('26.07 Kampala-Kalerwe-24h'!H70,'27.07 Kampala-Kalerwe-24h'!H70)</f>
        <v>2</v>
      </c>
      <c r="I70" s="49">
        <f>AVERAGE('26.07 Kampala-Kalerwe-24h'!I70,'27.07 Kampala-Kalerwe-24h'!I70)</f>
        <v>4.5</v>
      </c>
      <c r="J70" s="49">
        <f>AVERAGE('26.07 Kampala-Kalerwe-24h'!J70,'27.07 Kampala-Kalerwe-24h'!J70)</f>
        <v>4</v>
      </c>
      <c r="K70" s="49">
        <f>AVERAGE('26.07 Kampala-Kalerwe-24h'!K70,'27.07 Kampala-Kalerwe-24h'!K70)</f>
        <v>0.5</v>
      </c>
      <c r="L70" s="49">
        <f>AVERAGE('26.07 Kampala-Kalerwe-24h'!L70,'27.07 Kampala-Kalerwe-24h'!L70)</f>
        <v>0</v>
      </c>
      <c r="M70" s="49">
        <f>AVERAGE('26.07 Kampala-Kalerwe-24h'!M70,'27.07 Kampala-Kalerwe-24h'!M70)</f>
        <v>121.5</v>
      </c>
      <c r="N70" s="49">
        <f>AVERAGE('26.07 Kampala-Kalerwe-24h'!N70,'27.07 Kampala-Kalerwe-24h'!N70)</f>
        <v>0</v>
      </c>
      <c r="O70" s="15">
        <f t="shared" si="0"/>
        <v>114.5</v>
      </c>
      <c r="P70" s="15">
        <f t="shared" si="1"/>
        <v>236</v>
      </c>
      <c r="R70" s="8"/>
      <c r="T70"/>
    </row>
    <row r="71" spans="2:20" ht="23.1" customHeight="1" x14ac:dyDescent="0.25">
      <c r="B71" s="23" t="s">
        <v>111</v>
      </c>
      <c r="C71" s="49">
        <f>AVERAGE('26.07 Kampala-Kalerwe-24h'!C71,'27.07 Kampala-Kalerwe-24h'!C71)</f>
        <v>36.5</v>
      </c>
      <c r="D71" s="49">
        <f>AVERAGE('26.07 Kampala-Kalerwe-24h'!D71,'27.07 Kampala-Kalerwe-24h'!D71)</f>
        <v>25</v>
      </c>
      <c r="E71" s="49">
        <f>AVERAGE('26.07 Kampala-Kalerwe-24h'!E71,'27.07 Kampala-Kalerwe-24h'!E71)</f>
        <v>1.5</v>
      </c>
      <c r="F71" s="49">
        <f>AVERAGE('26.07 Kampala-Kalerwe-24h'!F71,'27.07 Kampala-Kalerwe-24h'!F71)</f>
        <v>31</v>
      </c>
      <c r="G71" s="49">
        <f>AVERAGE('26.07 Kampala-Kalerwe-24h'!G71,'27.07 Kampala-Kalerwe-24h'!G71)</f>
        <v>2.5</v>
      </c>
      <c r="H71" s="49">
        <f>AVERAGE('26.07 Kampala-Kalerwe-24h'!H71,'27.07 Kampala-Kalerwe-24h'!H71)</f>
        <v>1</v>
      </c>
      <c r="I71" s="49">
        <f>AVERAGE('26.07 Kampala-Kalerwe-24h'!I71,'27.07 Kampala-Kalerwe-24h'!I71)</f>
        <v>1</v>
      </c>
      <c r="J71" s="49">
        <f>AVERAGE('26.07 Kampala-Kalerwe-24h'!J71,'27.07 Kampala-Kalerwe-24h'!J71)</f>
        <v>1.5</v>
      </c>
      <c r="K71" s="49">
        <f>AVERAGE('26.07 Kampala-Kalerwe-24h'!K71,'27.07 Kampala-Kalerwe-24h'!K71)</f>
        <v>1</v>
      </c>
      <c r="L71" s="49">
        <f>AVERAGE('26.07 Kampala-Kalerwe-24h'!L71,'27.07 Kampala-Kalerwe-24h'!L71)</f>
        <v>0.5</v>
      </c>
      <c r="M71" s="49">
        <f>AVERAGE('26.07 Kampala-Kalerwe-24h'!M71,'27.07 Kampala-Kalerwe-24h'!M71)</f>
        <v>112.5</v>
      </c>
      <c r="N71" s="49">
        <f>AVERAGE('26.07 Kampala-Kalerwe-24h'!N71,'27.07 Kampala-Kalerwe-24h'!N71)</f>
        <v>0</v>
      </c>
      <c r="O71" s="15">
        <f t="shared" si="0"/>
        <v>101.5</v>
      </c>
      <c r="P71" s="15">
        <f t="shared" si="1"/>
        <v>214</v>
      </c>
      <c r="R71" s="8"/>
      <c r="T71"/>
    </row>
    <row r="72" spans="2:20" ht="23.1" customHeight="1" x14ac:dyDescent="0.25">
      <c r="B72" s="23" t="s">
        <v>112</v>
      </c>
      <c r="C72" s="49">
        <f>AVERAGE('26.07 Kampala-Kalerwe-24h'!C72,'27.07 Kampala-Kalerwe-24h'!C72)</f>
        <v>29.5</v>
      </c>
      <c r="D72" s="49">
        <f>AVERAGE('26.07 Kampala-Kalerwe-24h'!D72,'27.07 Kampala-Kalerwe-24h'!D72)</f>
        <v>19.5</v>
      </c>
      <c r="E72" s="49">
        <f>AVERAGE('26.07 Kampala-Kalerwe-24h'!E72,'27.07 Kampala-Kalerwe-24h'!E72)</f>
        <v>1</v>
      </c>
      <c r="F72" s="49">
        <f>AVERAGE('26.07 Kampala-Kalerwe-24h'!F72,'27.07 Kampala-Kalerwe-24h'!F72)</f>
        <v>6.5</v>
      </c>
      <c r="G72" s="49">
        <f>AVERAGE('26.07 Kampala-Kalerwe-24h'!G72,'27.07 Kampala-Kalerwe-24h'!G72)</f>
        <v>0</v>
      </c>
      <c r="H72" s="49">
        <f>AVERAGE('26.07 Kampala-Kalerwe-24h'!H72,'27.07 Kampala-Kalerwe-24h'!H72)</f>
        <v>0</v>
      </c>
      <c r="I72" s="49">
        <f>AVERAGE('26.07 Kampala-Kalerwe-24h'!I72,'27.07 Kampala-Kalerwe-24h'!I72)</f>
        <v>1</v>
      </c>
      <c r="J72" s="49">
        <f>AVERAGE('26.07 Kampala-Kalerwe-24h'!J72,'27.07 Kampala-Kalerwe-24h'!J72)</f>
        <v>2.5</v>
      </c>
      <c r="K72" s="49">
        <f>AVERAGE('26.07 Kampala-Kalerwe-24h'!K72,'27.07 Kampala-Kalerwe-24h'!K72)</f>
        <v>1.5</v>
      </c>
      <c r="L72" s="49">
        <f>AVERAGE('26.07 Kampala-Kalerwe-24h'!L72,'27.07 Kampala-Kalerwe-24h'!L72)</f>
        <v>1.5</v>
      </c>
      <c r="M72" s="49">
        <f>AVERAGE('26.07 Kampala-Kalerwe-24h'!M72,'27.07 Kampala-Kalerwe-24h'!M72)</f>
        <v>97</v>
      </c>
      <c r="N72" s="49">
        <f>AVERAGE('26.07 Kampala-Kalerwe-24h'!N72,'27.07 Kampala-Kalerwe-24h'!N72)</f>
        <v>0</v>
      </c>
      <c r="O72" s="15">
        <f t="shared" si="0"/>
        <v>63</v>
      </c>
      <c r="P72" s="15">
        <f t="shared" si="1"/>
        <v>160</v>
      </c>
      <c r="R72" s="8"/>
      <c r="T72"/>
    </row>
    <row r="73" spans="2:20" ht="23.1" customHeight="1" x14ac:dyDescent="0.25">
      <c r="B73" s="23" t="s">
        <v>113</v>
      </c>
      <c r="C73" s="49">
        <f>AVERAGE('26.07 Kampala-Kalerwe-24h'!C73,'27.07 Kampala-Kalerwe-24h'!C73)</f>
        <v>38.5</v>
      </c>
      <c r="D73" s="49">
        <f>AVERAGE('26.07 Kampala-Kalerwe-24h'!D73,'27.07 Kampala-Kalerwe-24h'!D73)</f>
        <v>20</v>
      </c>
      <c r="E73" s="49">
        <f>AVERAGE('26.07 Kampala-Kalerwe-24h'!E73,'27.07 Kampala-Kalerwe-24h'!E73)</f>
        <v>0.5</v>
      </c>
      <c r="F73" s="49">
        <f>AVERAGE('26.07 Kampala-Kalerwe-24h'!F73,'27.07 Kampala-Kalerwe-24h'!F73)</f>
        <v>26.5</v>
      </c>
      <c r="G73" s="49">
        <f>AVERAGE('26.07 Kampala-Kalerwe-24h'!G73,'27.07 Kampala-Kalerwe-24h'!G73)</f>
        <v>2</v>
      </c>
      <c r="H73" s="49">
        <f>AVERAGE('26.07 Kampala-Kalerwe-24h'!H73,'27.07 Kampala-Kalerwe-24h'!H73)</f>
        <v>1</v>
      </c>
      <c r="I73" s="49">
        <f>AVERAGE('26.07 Kampala-Kalerwe-24h'!I73,'27.07 Kampala-Kalerwe-24h'!I73)</f>
        <v>0</v>
      </c>
      <c r="J73" s="49">
        <f>AVERAGE('26.07 Kampala-Kalerwe-24h'!J73,'27.07 Kampala-Kalerwe-24h'!J73)</f>
        <v>3.5</v>
      </c>
      <c r="K73" s="49">
        <f>AVERAGE('26.07 Kampala-Kalerwe-24h'!K73,'27.07 Kampala-Kalerwe-24h'!K73)</f>
        <v>1.5</v>
      </c>
      <c r="L73" s="49">
        <f>AVERAGE('26.07 Kampala-Kalerwe-24h'!L73,'27.07 Kampala-Kalerwe-24h'!L73)</f>
        <v>1</v>
      </c>
      <c r="M73" s="49">
        <f>AVERAGE('26.07 Kampala-Kalerwe-24h'!M73,'27.07 Kampala-Kalerwe-24h'!M73)</f>
        <v>102.5</v>
      </c>
      <c r="N73" s="49">
        <f>AVERAGE('26.07 Kampala-Kalerwe-24h'!N73,'27.07 Kampala-Kalerwe-24h'!N73)</f>
        <v>0</v>
      </c>
      <c r="O73" s="15">
        <f t="shared" si="0"/>
        <v>94.5</v>
      </c>
      <c r="P73" s="15">
        <f t="shared" si="1"/>
        <v>197</v>
      </c>
      <c r="R73" s="8"/>
      <c r="T73"/>
    </row>
    <row r="74" spans="2:20" ht="23.1" customHeight="1" x14ac:dyDescent="0.25">
      <c r="B74" s="23" t="s">
        <v>114</v>
      </c>
      <c r="C74" s="49">
        <f>AVERAGE('26.07 Kampala-Kalerwe-24h'!C74,'27.07 Kampala-Kalerwe-24h'!C74)</f>
        <v>26</v>
      </c>
      <c r="D74" s="49">
        <f>AVERAGE('26.07 Kampala-Kalerwe-24h'!D74,'27.07 Kampala-Kalerwe-24h'!D74)</f>
        <v>14</v>
      </c>
      <c r="E74" s="49">
        <f>AVERAGE('26.07 Kampala-Kalerwe-24h'!E74,'27.07 Kampala-Kalerwe-24h'!E74)</f>
        <v>0.5</v>
      </c>
      <c r="F74" s="49">
        <f>AVERAGE('26.07 Kampala-Kalerwe-24h'!F74,'27.07 Kampala-Kalerwe-24h'!F74)</f>
        <v>12.5</v>
      </c>
      <c r="G74" s="49">
        <f>AVERAGE('26.07 Kampala-Kalerwe-24h'!G74,'27.07 Kampala-Kalerwe-24h'!G74)</f>
        <v>0</v>
      </c>
      <c r="H74" s="49">
        <f>AVERAGE('26.07 Kampala-Kalerwe-24h'!H74,'27.07 Kampala-Kalerwe-24h'!H74)</f>
        <v>1</v>
      </c>
      <c r="I74" s="49">
        <f>AVERAGE('26.07 Kampala-Kalerwe-24h'!I74,'27.07 Kampala-Kalerwe-24h'!I74)</f>
        <v>1</v>
      </c>
      <c r="J74" s="49">
        <f>AVERAGE('26.07 Kampala-Kalerwe-24h'!J74,'27.07 Kampala-Kalerwe-24h'!J74)</f>
        <v>1</v>
      </c>
      <c r="K74" s="49">
        <f>AVERAGE('26.07 Kampala-Kalerwe-24h'!K74,'27.07 Kampala-Kalerwe-24h'!K74)</f>
        <v>0</v>
      </c>
      <c r="L74" s="49">
        <f>AVERAGE('26.07 Kampala-Kalerwe-24h'!L74,'27.07 Kampala-Kalerwe-24h'!L74)</f>
        <v>0.5</v>
      </c>
      <c r="M74" s="49">
        <f>AVERAGE('26.07 Kampala-Kalerwe-24h'!M74,'27.07 Kampala-Kalerwe-24h'!M74)</f>
        <v>67</v>
      </c>
      <c r="N74" s="49">
        <f>AVERAGE('26.07 Kampala-Kalerwe-24h'!N74,'27.07 Kampala-Kalerwe-24h'!N74)</f>
        <v>0</v>
      </c>
      <c r="O74" s="15">
        <f t="shared" ref="O74:O105" si="35">SUM(C74:L74,N74)</f>
        <v>56.5</v>
      </c>
      <c r="P74" s="15">
        <f t="shared" ref="P74:P105" si="36">SUM(C74:N74)</f>
        <v>123.5</v>
      </c>
      <c r="R74" s="8"/>
      <c r="T74"/>
    </row>
    <row r="75" spans="2:20" ht="23.1" customHeight="1" x14ac:dyDescent="0.25">
      <c r="B75" s="23" t="s">
        <v>115</v>
      </c>
      <c r="C75" s="49">
        <f>AVERAGE('26.07 Kampala-Kalerwe-24h'!C75,'27.07 Kampala-Kalerwe-24h'!C75)</f>
        <v>25</v>
      </c>
      <c r="D75" s="49">
        <f>AVERAGE('26.07 Kampala-Kalerwe-24h'!D75,'27.07 Kampala-Kalerwe-24h'!D75)</f>
        <v>8.5</v>
      </c>
      <c r="E75" s="49">
        <f>AVERAGE('26.07 Kampala-Kalerwe-24h'!E75,'27.07 Kampala-Kalerwe-24h'!E75)</f>
        <v>1.5</v>
      </c>
      <c r="F75" s="49">
        <f>AVERAGE('26.07 Kampala-Kalerwe-24h'!F75,'27.07 Kampala-Kalerwe-24h'!F75)</f>
        <v>19.5</v>
      </c>
      <c r="G75" s="49">
        <f>AVERAGE('26.07 Kampala-Kalerwe-24h'!G75,'27.07 Kampala-Kalerwe-24h'!G75)</f>
        <v>0</v>
      </c>
      <c r="H75" s="49">
        <f>AVERAGE('26.07 Kampala-Kalerwe-24h'!H75,'27.07 Kampala-Kalerwe-24h'!H75)</f>
        <v>0.5</v>
      </c>
      <c r="I75" s="49">
        <f>AVERAGE('26.07 Kampala-Kalerwe-24h'!I75,'27.07 Kampala-Kalerwe-24h'!I75)</f>
        <v>4</v>
      </c>
      <c r="J75" s="49">
        <f>AVERAGE('26.07 Kampala-Kalerwe-24h'!J75,'27.07 Kampala-Kalerwe-24h'!J75)</f>
        <v>1.5</v>
      </c>
      <c r="K75" s="49">
        <f>AVERAGE('26.07 Kampala-Kalerwe-24h'!K75,'27.07 Kampala-Kalerwe-24h'!K75)</f>
        <v>0.5</v>
      </c>
      <c r="L75" s="49">
        <f>AVERAGE('26.07 Kampala-Kalerwe-24h'!L75,'27.07 Kampala-Kalerwe-24h'!L75)</f>
        <v>2.5</v>
      </c>
      <c r="M75" s="49">
        <f>AVERAGE('26.07 Kampala-Kalerwe-24h'!M75,'27.07 Kampala-Kalerwe-24h'!M75)</f>
        <v>65.5</v>
      </c>
      <c r="N75" s="49">
        <f>AVERAGE('26.07 Kampala-Kalerwe-24h'!N75,'27.07 Kampala-Kalerwe-24h'!N75)</f>
        <v>0</v>
      </c>
      <c r="O75" s="15">
        <f t="shared" si="35"/>
        <v>63.5</v>
      </c>
      <c r="P75" s="15">
        <f t="shared" si="36"/>
        <v>129</v>
      </c>
      <c r="R75" s="8"/>
      <c r="T75"/>
    </row>
    <row r="76" spans="2:20" ht="23.1" customHeight="1" x14ac:dyDescent="0.25">
      <c r="B76" s="23" t="s">
        <v>116</v>
      </c>
      <c r="C76" s="49">
        <f>AVERAGE('26.07 Kampala-Kalerwe-24h'!C76,'27.07 Kampala-Kalerwe-24h'!C76)</f>
        <v>23.5</v>
      </c>
      <c r="D76" s="49">
        <f>AVERAGE('26.07 Kampala-Kalerwe-24h'!D76,'27.07 Kampala-Kalerwe-24h'!D76)</f>
        <v>10.5</v>
      </c>
      <c r="E76" s="49">
        <f>AVERAGE('26.07 Kampala-Kalerwe-24h'!E76,'27.07 Kampala-Kalerwe-24h'!E76)</f>
        <v>5</v>
      </c>
      <c r="F76" s="49">
        <f>AVERAGE('26.07 Kampala-Kalerwe-24h'!F76,'27.07 Kampala-Kalerwe-24h'!F76)</f>
        <v>20.5</v>
      </c>
      <c r="G76" s="49">
        <f>AVERAGE('26.07 Kampala-Kalerwe-24h'!G76,'27.07 Kampala-Kalerwe-24h'!G76)</f>
        <v>0</v>
      </c>
      <c r="H76" s="49">
        <f>AVERAGE('26.07 Kampala-Kalerwe-24h'!H76,'27.07 Kampala-Kalerwe-24h'!H76)</f>
        <v>0</v>
      </c>
      <c r="I76" s="49">
        <f>AVERAGE('26.07 Kampala-Kalerwe-24h'!I76,'27.07 Kampala-Kalerwe-24h'!I76)</f>
        <v>5.5</v>
      </c>
      <c r="J76" s="49">
        <f>AVERAGE('26.07 Kampala-Kalerwe-24h'!J76,'27.07 Kampala-Kalerwe-24h'!J76)</f>
        <v>1</v>
      </c>
      <c r="K76" s="49">
        <f>AVERAGE('26.07 Kampala-Kalerwe-24h'!K76,'27.07 Kampala-Kalerwe-24h'!K76)</f>
        <v>2.5</v>
      </c>
      <c r="L76" s="49">
        <f>AVERAGE('26.07 Kampala-Kalerwe-24h'!L76,'27.07 Kampala-Kalerwe-24h'!L76)</f>
        <v>4</v>
      </c>
      <c r="M76" s="49">
        <f>AVERAGE('26.07 Kampala-Kalerwe-24h'!M76,'27.07 Kampala-Kalerwe-24h'!M76)</f>
        <v>71</v>
      </c>
      <c r="N76" s="49">
        <f>AVERAGE('26.07 Kampala-Kalerwe-24h'!N76,'27.07 Kampala-Kalerwe-24h'!N76)</f>
        <v>0</v>
      </c>
      <c r="O76" s="15">
        <f t="shared" si="35"/>
        <v>72.5</v>
      </c>
      <c r="P76" s="15">
        <f t="shared" si="36"/>
        <v>143.5</v>
      </c>
      <c r="R76" s="8"/>
      <c r="T76"/>
    </row>
    <row r="77" spans="2:20" ht="23.1" customHeight="1" x14ac:dyDescent="0.25">
      <c r="B77" s="23" t="s">
        <v>117</v>
      </c>
      <c r="C77" s="49">
        <f>AVERAGE('26.07 Kampala-Kalerwe-24h'!C77,'27.07 Kampala-Kalerwe-24h'!C77)</f>
        <v>24</v>
      </c>
      <c r="D77" s="49">
        <f>AVERAGE('26.07 Kampala-Kalerwe-24h'!D77,'27.07 Kampala-Kalerwe-24h'!D77)</f>
        <v>9.5</v>
      </c>
      <c r="E77" s="49">
        <f>AVERAGE('26.07 Kampala-Kalerwe-24h'!E77,'27.07 Kampala-Kalerwe-24h'!E77)</f>
        <v>0</v>
      </c>
      <c r="F77" s="49">
        <f>AVERAGE('26.07 Kampala-Kalerwe-24h'!F77,'27.07 Kampala-Kalerwe-24h'!F77)</f>
        <v>14.5</v>
      </c>
      <c r="G77" s="49">
        <f>AVERAGE('26.07 Kampala-Kalerwe-24h'!G77,'27.07 Kampala-Kalerwe-24h'!G77)</f>
        <v>0</v>
      </c>
      <c r="H77" s="49">
        <f>AVERAGE('26.07 Kampala-Kalerwe-24h'!H77,'27.07 Kampala-Kalerwe-24h'!H77)</f>
        <v>0</v>
      </c>
      <c r="I77" s="49">
        <f>AVERAGE('26.07 Kampala-Kalerwe-24h'!I77,'27.07 Kampala-Kalerwe-24h'!I77)</f>
        <v>2</v>
      </c>
      <c r="J77" s="49">
        <f>AVERAGE('26.07 Kampala-Kalerwe-24h'!J77,'27.07 Kampala-Kalerwe-24h'!J77)</f>
        <v>1.5</v>
      </c>
      <c r="K77" s="49">
        <f>AVERAGE('26.07 Kampala-Kalerwe-24h'!K77,'27.07 Kampala-Kalerwe-24h'!K77)</f>
        <v>3</v>
      </c>
      <c r="L77" s="49">
        <f>AVERAGE('26.07 Kampala-Kalerwe-24h'!L77,'27.07 Kampala-Kalerwe-24h'!L77)</f>
        <v>1</v>
      </c>
      <c r="M77" s="49">
        <f>AVERAGE('26.07 Kampala-Kalerwe-24h'!M77,'27.07 Kampala-Kalerwe-24h'!M77)</f>
        <v>79</v>
      </c>
      <c r="N77" s="49">
        <f>AVERAGE('26.07 Kampala-Kalerwe-24h'!N77,'27.07 Kampala-Kalerwe-24h'!N77)</f>
        <v>0</v>
      </c>
      <c r="O77" s="15">
        <f t="shared" si="35"/>
        <v>55.5</v>
      </c>
      <c r="P77" s="15">
        <f t="shared" si="36"/>
        <v>134.5</v>
      </c>
      <c r="R77" s="8"/>
      <c r="T77"/>
    </row>
    <row r="78" spans="2:20" ht="23.1" customHeight="1" x14ac:dyDescent="0.25">
      <c r="B78" s="24" t="s">
        <v>118</v>
      </c>
      <c r="C78" s="49">
        <f>AVERAGE('26.07 Kampala-Kalerwe-24h'!C78,'27.07 Kampala-Kalerwe-24h'!C78)</f>
        <v>14</v>
      </c>
      <c r="D78" s="49">
        <f>AVERAGE('26.07 Kampala-Kalerwe-24h'!D78,'27.07 Kampala-Kalerwe-24h'!D78)</f>
        <v>6.5</v>
      </c>
      <c r="E78" s="49">
        <f>AVERAGE('26.07 Kampala-Kalerwe-24h'!E78,'27.07 Kampala-Kalerwe-24h'!E78)</f>
        <v>0.5</v>
      </c>
      <c r="F78" s="49">
        <f>AVERAGE('26.07 Kampala-Kalerwe-24h'!F78,'27.07 Kampala-Kalerwe-24h'!F78)</f>
        <v>7.5</v>
      </c>
      <c r="G78" s="49">
        <f>AVERAGE('26.07 Kampala-Kalerwe-24h'!G78,'27.07 Kampala-Kalerwe-24h'!G78)</f>
        <v>0</v>
      </c>
      <c r="H78" s="49">
        <f>AVERAGE('26.07 Kampala-Kalerwe-24h'!H78,'27.07 Kampala-Kalerwe-24h'!H78)</f>
        <v>0</v>
      </c>
      <c r="I78" s="49">
        <f>AVERAGE('26.07 Kampala-Kalerwe-24h'!I78,'27.07 Kampala-Kalerwe-24h'!I78)</f>
        <v>2</v>
      </c>
      <c r="J78" s="49">
        <f>AVERAGE('26.07 Kampala-Kalerwe-24h'!J78,'27.07 Kampala-Kalerwe-24h'!J78)</f>
        <v>1</v>
      </c>
      <c r="K78" s="49">
        <f>AVERAGE('26.07 Kampala-Kalerwe-24h'!K78,'27.07 Kampala-Kalerwe-24h'!K78)</f>
        <v>0</v>
      </c>
      <c r="L78" s="49">
        <f>AVERAGE('26.07 Kampala-Kalerwe-24h'!L78,'27.07 Kampala-Kalerwe-24h'!L78)</f>
        <v>0.5</v>
      </c>
      <c r="M78" s="49">
        <f>AVERAGE('26.07 Kampala-Kalerwe-24h'!M78,'27.07 Kampala-Kalerwe-24h'!M78)</f>
        <v>65.5</v>
      </c>
      <c r="N78" s="49">
        <f>AVERAGE('26.07 Kampala-Kalerwe-24h'!N78,'27.07 Kampala-Kalerwe-24h'!N78)</f>
        <v>0</v>
      </c>
      <c r="O78" s="15">
        <f t="shared" si="35"/>
        <v>32</v>
      </c>
      <c r="P78" s="15">
        <f t="shared" si="36"/>
        <v>97.5</v>
      </c>
      <c r="R78" s="8"/>
      <c r="T78"/>
    </row>
    <row r="79" spans="2:20" ht="23.1" customHeight="1" x14ac:dyDescent="0.25">
      <c r="B79" s="23" t="s">
        <v>119</v>
      </c>
      <c r="C79" s="49">
        <f>AVERAGE('26.07 Kampala-Kalerwe-24h'!C79,'27.07 Kampala-Kalerwe-24h'!C79)</f>
        <v>10</v>
      </c>
      <c r="D79" s="49">
        <f>AVERAGE('26.07 Kampala-Kalerwe-24h'!D79,'27.07 Kampala-Kalerwe-24h'!D79)</f>
        <v>8.5</v>
      </c>
      <c r="E79" s="49">
        <f>AVERAGE('26.07 Kampala-Kalerwe-24h'!E79,'27.07 Kampala-Kalerwe-24h'!E79)</f>
        <v>1.5</v>
      </c>
      <c r="F79" s="49">
        <f>AVERAGE('26.07 Kampala-Kalerwe-24h'!F79,'27.07 Kampala-Kalerwe-24h'!F79)</f>
        <v>5.5</v>
      </c>
      <c r="G79" s="49">
        <f>AVERAGE('26.07 Kampala-Kalerwe-24h'!G79,'27.07 Kampala-Kalerwe-24h'!G79)</f>
        <v>0</v>
      </c>
      <c r="H79" s="49">
        <f>AVERAGE('26.07 Kampala-Kalerwe-24h'!H79,'27.07 Kampala-Kalerwe-24h'!H79)</f>
        <v>0</v>
      </c>
      <c r="I79" s="49">
        <f>AVERAGE('26.07 Kampala-Kalerwe-24h'!I79,'27.07 Kampala-Kalerwe-24h'!I79)</f>
        <v>2.5</v>
      </c>
      <c r="J79" s="49">
        <f>AVERAGE('26.07 Kampala-Kalerwe-24h'!J79,'27.07 Kampala-Kalerwe-24h'!J79)</f>
        <v>3.5</v>
      </c>
      <c r="K79" s="49">
        <f>AVERAGE('26.07 Kampala-Kalerwe-24h'!K79,'27.07 Kampala-Kalerwe-24h'!K79)</f>
        <v>0.5</v>
      </c>
      <c r="L79" s="49">
        <f>AVERAGE('26.07 Kampala-Kalerwe-24h'!L79,'27.07 Kampala-Kalerwe-24h'!L79)</f>
        <v>1.5</v>
      </c>
      <c r="M79" s="49">
        <f>AVERAGE('26.07 Kampala-Kalerwe-24h'!M79,'27.07 Kampala-Kalerwe-24h'!M79)</f>
        <v>68</v>
      </c>
      <c r="N79" s="49">
        <f>AVERAGE('26.07 Kampala-Kalerwe-24h'!N79,'27.07 Kampala-Kalerwe-24h'!N79)</f>
        <v>0</v>
      </c>
      <c r="O79" s="15">
        <f t="shared" si="35"/>
        <v>33.5</v>
      </c>
      <c r="P79" s="15">
        <f t="shared" si="36"/>
        <v>101.5</v>
      </c>
      <c r="R79" s="8"/>
      <c r="T79"/>
    </row>
    <row r="80" spans="2:20" ht="23.1" customHeight="1" x14ac:dyDescent="0.25">
      <c r="B80" s="25" t="s">
        <v>120</v>
      </c>
      <c r="C80" s="49">
        <f>AVERAGE('26.07 Kampala-Kalerwe-24h'!C80,'27.07 Kampala-Kalerwe-24h'!C80)</f>
        <v>11</v>
      </c>
      <c r="D80" s="49">
        <f>AVERAGE('26.07 Kampala-Kalerwe-24h'!D80,'27.07 Kampala-Kalerwe-24h'!D80)</f>
        <v>10</v>
      </c>
      <c r="E80" s="49">
        <f>AVERAGE('26.07 Kampala-Kalerwe-24h'!E80,'27.07 Kampala-Kalerwe-24h'!E80)</f>
        <v>0.5</v>
      </c>
      <c r="F80" s="49">
        <f>AVERAGE('26.07 Kampala-Kalerwe-24h'!F80,'27.07 Kampala-Kalerwe-24h'!F80)</f>
        <v>9.5</v>
      </c>
      <c r="G80" s="49">
        <f>AVERAGE('26.07 Kampala-Kalerwe-24h'!G80,'27.07 Kampala-Kalerwe-24h'!G80)</f>
        <v>0</v>
      </c>
      <c r="H80" s="49">
        <f>AVERAGE('26.07 Kampala-Kalerwe-24h'!H80,'27.07 Kampala-Kalerwe-24h'!H80)</f>
        <v>0</v>
      </c>
      <c r="I80" s="49">
        <f>AVERAGE('26.07 Kampala-Kalerwe-24h'!I80,'27.07 Kampala-Kalerwe-24h'!I80)</f>
        <v>2</v>
      </c>
      <c r="J80" s="49">
        <f>AVERAGE('26.07 Kampala-Kalerwe-24h'!J80,'27.07 Kampala-Kalerwe-24h'!J80)</f>
        <v>4</v>
      </c>
      <c r="K80" s="49">
        <f>AVERAGE('26.07 Kampala-Kalerwe-24h'!K80,'27.07 Kampala-Kalerwe-24h'!K80)</f>
        <v>3</v>
      </c>
      <c r="L80" s="49">
        <f>AVERAGE('26.07 Kampala-Kalerwe-24h'!L80,'27.07 Kampala-Kalerwe-24h'!L80)</f>
        <v>2.5</v>
      </c>
      <c r="M80" s="49">
        <f>AVERAGE('26.07 Kampala-Kalerwe-24h'!M80,'27.07 Kampala-Kalerwe-24h'!M80)</f>
        <v>57.5</v>
      </c>
      <c r="N80" s="49">
        <f>AVERAGE('26.07 Kampala-Kalerwe-24h'!N80,'27.07 Kampala-Kalerwe-24h'!N80)</f>
        <v>0</v>
      </c>
      <c r="O80" s="15">
        <f t="shared" si="35"/>
        <v>42.5</v>
      </c>
      <c r="P80" s="15">
        <f t="shared" si="36"/>
        <v>100</v>
      </c>
      <c r="R80" s="8"/>
      <c r="T80"/>
    </row>
    <row r="81" spans="2:20" ht="23.1" customHeight="1" x14ac:dyDescent="0.25">
      <c r="B81" s="23" t="s">
        <v>121</v>
      </c>
      <c r="C81" s="49">
        <f>AVERAGE('26.07 Kampala-Kalerwe-24h'!C81,'27.07 Kampala-Kalerwe-24h'!C81)</f>
        <v>13</v>
      </c>
      <c r="D81" s="49">
        <f>AVERAGE('26.07 Kampala-Kalerwe-24h'!D81,'27.07 Kampala-Kalerwe-24h'!D81)</f>
        <v>11</v>
      </c>
      <c r="E81" s="49">
        <f>AVERAGE('26.07 Kampala-Kalerwe-24h'!E81,'27.07 Kampala-Kalerwe-24h'!E81)</f>
        <v>0</v>
      </c>
      <c r="F81" s="49">
        <f>AVERAGE('26.07 Kampala-Kalerwe-24h'!F81,'27.07 Kampala-Kalerwe-24h'!F81)</f>
        <v>11.5</v>
      </c>
      <c r="G81" s="49">
        <f>AVERAGE('26.07 Kampala-Kalerwe-24h'!G81,'27.07 Kampala-Kalerwe-24h'!G81)</f>
        <v>0</v>
      </c>
      <c r="H81" s="49">
        <f>AVERAGE('26.07 Kampala-Kalerwe-24h'!H81,'27.07 Kampala-Kalerwe-24h'!H81)</f>
        <v>0</v>
      </c>
      <c r="I81" s="49">
        <f>AVERAGE('26.07 Kampala-Kalerwe-24h'!I81,'27.07 Kampala-Kalerwe-24h'!I81)</f>
        <v>6</v>
      </c>
      <c r="J81" s="49">
        <f>AVERAGE('26.07 Kampala-Kalerwe-24h'!J81,'27.07 Kampala-Kalerwe-24h'!J81)</f>
        <v>2.5</v>
      </c>
      <c r="K81" s="49">
        <f>AVERAGE('26.07 Kampala-Kalerwe-24h'!K81,'27.07 Kampala-Kalerwe-24h'!K81)</f>
        <v>0.5</v>
      </c>
      <c r="L81" s="49">
        <f>AVERAGE('26.07 Kampala-Kalerwe-24h'!L81,'27.07 Kampala-Kalerwe-24h'!L81)</f>
        <v>0</v>
      </c>
      <c r="M81" s="49">
        <f>AVERAGE('26.07 Kampala-Kalerwe-24h'!M81,'27.07 Kampala-Kalerwe-24h'!M81)</f>
        <v>63.5</v>
      </c>
      <c r="N81" s="49">
        <f>AVERAGE('26.07 Kampala-Kalerwe-24h'!N81,'27.07 Kampala-Kalerwe-24h'!N81)</f>
        <v>0</v>
      </c>
      <c r="O81" s="15">
        <f t="shared" si="35"/>
        <v>44.5</v>
      </c>
      <c r="P81" s="15">
        <f t="shared" si="36"/>
        <v>108</v>
      </c>
      <c r="R81" s="8"/>
      <c r="T81"/>
    </row>
    <row r="82" spans="2:20" ht="23.1" customHeight="1" x14ac:dyDescent="0.25">
      <c r="B82" s="24" t="s">
        <v>122</v>
      </c>
      <c r="C82" s="49">
        <f>AVERAGE('26.07 Kampala-Kalerwe-24h'!C82,'27.07 Kampala-Kalerwe-24h'!C82)</f>
        <v>8.5</v>
      </c>
      <c r="D82" s="49">
        <f>AVERAGE('26.07 Kampala-Kalerwe-24h'!D82,'27.07 Kampala-Kalerwe-24h'!D82)</f>
        <v>6</v>
      </c>
      <c r="E82" s="49">
        <f>AVERAGE('26.07 Kampala-Kalerwe-24h'!E82,'27.07 Kampala-Kalerwe-24h'!E82)</f>
        <v>0</v>
      </c>
      <c r="F82" s="49">
        <f>AVERAGE('26.07 Kampala-Kalerwe-24h'!F82,'27.07 Kampala-Kalerwe-24h'!F82)</f>
        <v>5.5</v>
      </c>
      <c r="G82" s="49">
        <f>AVERAGE('26.07 Kampala-Kalerwe-24h'!G82,'27.07 Kampala-Kalerwe-24h'!G82)</f>
        <v>0</v>
      </c>
      <c r="H82" s="49">
        <f>AVERAGE('26.07 Kampala-Kalerwe-24h'!H82,'27.07 Kampala-Kalerwe-24h'!H82)</f>
        <v>0</v>
      </c>
      <c r="I82" s="49">
        <f>AVERAGE('26.07 Kampala-Kalerwe-24h'!I82,'27.07 Kampala-Kalerwe-24h'!I82)</f>
        <v>2</v>
      </c>
      <c r="J82" s="49">
        <f>AVERAGE('26.07 Kampala-Kalerwe-24h'!J82,'27.07 Kampala-Kalerwe-24h'!J82)</f>
        <v>1.5</v>
      </c>
      <c r="K82" s="49">
        <f>AVERAGE('26.07 Kampala-Kalerwe-24h'!K82,'27.07 Kampala-Kalerwe-24h'!K82)</f>
        <v>1.5</v>
      </c>
      <c r="L82" s="49">
        <f>AVERAGE('26.07 Kampala-Kalerwe-24h'!L82,'27.07 Kampala-Kalerwe-24h'!L82)</f>
        <v>0.5</v>
      </c>
      <c r="M82" s="49">
        <f>AVERAGE('26.07 Kampala-Kalerwe-24h'!M82,'27.07 Kampala-Kalerwe-24h'!M82)</f>
        <v>47.5</v>
      </c>
      <c r="N82" s="49">
        <f>AVERAGE('26.07 Kampala-Kalerwe-24h'!N82,'27.07 Kampala-Kalerwe-24h'!N82)</f>
        <v>0</v>
      </c>
      <c r="O82" s="15">
        <f t="shared" si="35"/>
        <v>25.5</v>
      </c>
      <c r="P82" s="15">
        <f t="shared" si="36"/>
        <v>73</v>
      </c>
      <c r="R82" s="8"/>
      <c r="T82"/>
    </row>
    <row r="83" spans="2:20" ht="23.1" customHeight="1" x14ac:dyDescent="0.25">
      <c r="B83" s="23" t="s">
        <v>123</v>
      </c>
      <c r="C83" s="49">
        <f>AVERAGE('26.07 Kampala-Kalerwe-24h'!C83,'27.07 Kampala-Kalerwe-24h'!C83)</f>
        <v>16.5</v>
      </c>
      <c r="D83" s="49">
        <f>AVERAGE('26.07 Kampala-Kalerwe-24h'!D83,'27.07 Kampala-Kalerwe-24h'!D83)</f>
        <v>10.5</v>
      </c>
      <c r="E83" s="49">
        <f>AVERAGE('26.07 Kampala-Kalerwe-24h'!E83,'27.07 Kampala-Kalerwe-24h'!E83)</f>
        <v>0.5</v>
      </c>
      <c r="F83" s="49">
        <f>AVERAGE('26.07 Kampala-Kalerwe-24h'!F83,'27.07 Kampala-Kalerwe-24h'!F83)</f>
        <v>8</v>
      </c>
      <c r="G83" s="49">
        <f>AVERAGE('26.07 Kampala-Kalerwe-24h'!G83,'27.07 Kampala-Kalerwe-24h'!G83)</f>
        <v>0.5</v>
      </c>
      <c r="H83" s="49">
        <f>AVERAGE('26.07 Kampala-Kalerwe-24h'!H83,'27.07 Kampala-Kalerwe-24h'!H83)</f>
        <v>0</v>
      </c>
      <c r="I83" s="49">
        <f>AVERAGE('26.07 Kampala-Kalerwe-24h'!I83,'27.07 Kampala-Kalerwe-24h'!I83)</f>
        <v>2.5</v>
      </c>
      <c r="J83" s="49">
        <f>AVERAGE('26.07 Kampala-Kalerwe-24h'!J83,'27.07 Kampala-Kalerwe-24h'!J83)</f>
        <v>0.5</v>
      </c>
      <c r="K83" s="49">
        <f>AVERAGE('26.07 Kampala-Kalerwe-24h'!K83,'27.07 Kampala-Kalerwe-24h'!K83)</f>
        <v>0.5</v>
      </c>
      <c r="L83" s="49">
        <f>AVERAGE('26.07 Kampala-Kalerwe-24h'!L83,'27.07 Kampala-Kalerwe-24h'!L83)</f>
        <v>0</v>
      </c>
      <c r="M83" s="49">
        <f>AVERAGE('26.07 Kampala-Kalerwe-24h'!M83,'27.07 Kampala-Kalerwe-24h'!M83)</f>
        <v>52</v>
      </c>
      <c r="N83" s="49">
        <f>AVERAGE('26.07 Kampala-Kalerwe-24h'!N83,'27.07 Kampala-Kalerwe-24h'!N83)</f>
        <v>0</v>
      </c>
      <c r="O83" s="15">
        <f t="shared" si="35"/>
        <v>39.5</v>
      </c>
      <c r="P83" s="15">
        <f t="shared" si="36"/>
        <v>91.5</v>
      </c>
      <c r="R83" s="8"/>
      <c r="T83"/>
    </row>
    <row r="84" spans="2:20" ht="23.1" customHeight="1" x14ac:dyDescent="0.25">
      <c r="B84" s="25" t="s">
        <v>124</v>
      </c>
      <c r="C84" s="49">
        <f>AVERAGE('26.07 Kampala-Kalerwe-24h'!C84,'27.07 Kampala-Kalerwe-24h'!C84)</f>
        <v>18.5</v>
      </c>
      <c r="D84" s="49">
        <f>AVERAGE('26.07 Kampala-Kalerwe-24h'!D84,'27.07 Kampala-Kalerwe-24h'!D84)</f>
        <v>11.5</v>
      </c>
      <c r="E84" s="49">
        <f>AVERAGE('26.07 Kampala-Kalerwe-24h'!E84,'27.07 Kampala-Kalerwe-24h'!E84)</f>
        <v>0</v>
      </c>
      <c r="F84" s="49">
        <f>AVERAGE('26.07 Kampala-Kalerwe-24h'!F84,'27.07 Kampala-Kalerwe-24h'!F84)</f>
        <v>3.5</v>
      </c>
      <c r="G84" s="49">
        <f>AVERAGE('26.07 Kampala-Kalerwe-24h'!G84,'27.07 Kampala-Kalerwe-24h'!G84)</f>
        <v>0</v>
      </c>
      <c r="H84" s="49">
        <f>AVERAGE('26.07 Kampala-Kalerwe-24h'!H84,'27.07 Kampala-Kalerwe-24h'!H84)</f>
        <v>0</v>
      </c>
      <c r="I84" s="49">
        <f>AVERAGE('26.07 Kampala-Kalerwe-24h'!I84,'27.07 Kampala-Kalerwe-24h'!I84)</f>
        <v>0</v>
      </c>
      <c r="J84" s="49">
        <f>AVERAGE('26.07 Kampala-Kalerwe-24h'!J84,'27.07 Kampala-Kalerwe-24h'!J84)</f>
        <v>1.5</v>
      </c>
      <c r="K84" s="49">
        <f>AVERAGE('26.07 Kampala-Kalerwe-24h'!K84,'27.07 Kampala-Kalerwe-24h'!K84)</f>
        <v>2</v>
      </c>
      <c r="L84" s="49">
        <f>AVERAGE('26.07 Kampala-Kalerwe-24h'!L84,'27.07 Kampala-Kalerwe-24h'!L84)</f>
        <v>1</v>
      </c>
      <c r="M84" s="49">
        <f>AVERAGE('26.07 Kampala-Kalerwe-24h'!M84,'27.07 Kampala-Kalerwe-24h'!M84)</f>
        <v>43</v>
      </c>
      <c r="N84" s="49">
        <f>AVERAGE('26.07 Kampala-Kalerwe-24h'!N84,'27.07 Kampala-Kalerwe-24h'!N84)</f>
        <v>0</v>
      </c>
      <c r="O84" s="15">
        <f t="shared" si="35"/>
        <v>38</v>
      </c>
      <c r="P84" s="15">
        <f t="shared" si="36"/>
        <v>81</v>
      </c>
      <c r="R84" s="8"/>
      <c r="T84"/>
    </row>
    <row r="85" spans="2:20" ht="23.1" customHeight="1" x14ac:dyDescent="0.25">
      <c r="B85" s="23" t="s">
        <v>125</v>
      </c>
      <c r="C85" s="49">
        <f>AVERAGE('26.07 Kampala-Kalerwe-24h'!C85,'27.07 Kampala-Kalerwe-24h'!C85)</f>
        <v>12.5</v>
      </c>
      <c r="D85" s="49">
        <f>AVERAGE('26.07 Kampala-Kalerwe-24h'!D85,'27.07 Kampala-Kalerwe-24h'!D85)</f>
        <v>14</v>
      </c>
      <c r="E85" s="49">
        <f>AVERAGE('26.07 Kampala-Kalerwe-24h'!E85,'27.07 Kampala-Kalerwe-24h'!E85)</f>
        <v>0</v>
      </c>
      <c r="F85" s="49">
        <f>AVERAGE('26.07 Kampala-Kalerwe-24h'!F85,'27.07 Kampala-Kalerwe-24h'!F85)</f>
        <v>5.5</v>
      </c>
      <c r="G85" s="49">
        <f>AVERAGE('26.07 Kampala-Kalerwe-24h'!G85,'27.07 Kampala-Kalerwe-24h'!G85)</f>
        <v>0</v>
      </c>
      <c r="H85" s="49">
        <f>AVERAGE('26.07 Kampala-Kalerwe-24h'!H85,'27.07 Kampala-Kalerwe-24h'!H85)</f>
        <v>0</v>
      </c>
      <c r="I85" s="49">
        <f>AVERAGE('26.07 Kampala-Kalerwe-24h'!I85,'27.07 Kampala-Kalerwe-24h'!I85)</f>
        <v>1</v>
      </c>
      <c r="J85" s="49">
        <f>AVERAGE('26.07 Kampala-Kalerwe-24h'!J85,'27.07 Kampala-Kalerwe-24h'!J85)</f>
        <v>3</v>
      </c>
      <c r="K85" s="49">
        <f>AVERAGE('26.07 Kampala-Kalerwe-24h'!K85,'27.07 Kampala-Kalerwe-24h'!K85)</f>
        <v>2.5</v>
      </c>
      <c r="L85" s="49">
        <f>AVERAGE('26.07 Kampala-Kalerwe-24h'!L85,'27.07 Kampala-Kalerwe-24h'!L85)</f>
        <v>0</v>
      </c>
      <c r="M85" s="49">
        <f>AVERAGE('26.07 Kampala-Kalerwe-24h'!M85,'27.07 Kampala-Kalerwe-24h'!M85)</f>
        <v>37</v>
      </c>
      <c r="N85" s="49">
        <f>AVERAGE('26.07 Kampala-Kalerwe-24h'!N85,'27.07 Kampala-Kalerwe-24h'!N85)</f>
        <v>0</v>
      </c>
      <c r="O85" s="15">
        <f t="shared" si="35"/>
        <v>38.5</v>
      </c>
      <c r="P85" s="15">
        <f t="shared" si="36"/>
        <v>75.5</v>
      </c>
      <c r="R85" s="8"/>
      <c r="T85"/>
    </row>
    <row r="86" spans="2:20" ht="23.1" customHeight="1" x14ac:dyDescent="0.25">
      <c r="B86" s="24" t="s">
        <v>126</v>
      </c>
      <c r="C86" s="49">
        <f>AVERAGE('26.07 Kampala-Kalerwe-24h'!C86,'27.07 Kampala-Kalerwe-24h'!C86)</f>
        <v>7</v>
      </c>
      <c r="D86" s="49">
        <f>AVERAGE('26.07 Kampala-Kalerwe-24h'!D86,'27.07 Kampala-Kalerwe-24h'!D86)</f>
        <v>1.5</v>
      </c>
      <c r="E86" s="49">
        <f>AVERAGE('26.07 Kampala-Kalerwe-24h'!E86,'27.07 Kampala-Kalerwe-24h'!E86)</f>
        <v>0</v>
      </c>
      <c r="F86" s="49">
        <f>AVERAGE('26.07 Kampala-Kalerwe-24h'!F86,'27.07 Kampala-Kalerwe-24h'!F86)</f>
        <v>1</v>
      </c>
      <c r="G86" s="49">
        <f>AVERAGE('26.07 Kampala-Kalerwe-24h'!G86,'27.07 Kampala-Kalerwe-24h'!G86)</f>
        <v>0</v>
      </c>
      <c r="H86" s="49">
        <f>AVERAGE('26.07 Kampala-Kalerwe-24h'!H86,'27.07 Kampala-Kalerwe-24h'!H86)</f>
        <v>0</v>
      </c>
      <c r="I86" s="49">
        <f>AVERAGE('26.07 Kampala-Kalerwe-24h'!I86,'27.07 Kampala-Kalerwe-24h'!I86)</f>
        <v>0.5</v>
      </c>
      <c r="J86" s="49">
        <f>AVERAGE('26.07 Kampala-Kalerwe-24h'!J86,'27.07 Kampala-Kalerwe-24h'!J86)</f>
        <v>2.5</v>
      </c>
      <c r="K86" s="49">
        <f>AVERAGE('26.07 Kampala-Kalerwe-24h'!K86,'27.07 Kampala-Kalerwe-24h'!K86)</f>
        <v>0.5</v>
      </c>
      <c r="L86" s="49">
        <f>AVERAGE('26.07 Kampala-Kalerwe-24h'!L86,'27.07 Kampala-Kalerwe-24h'!L86)</f>
        <v>0</v>
      </c>
      <c r="M86" s="49">
        <f>AVERAGE('26.07 Kampala-Kalerwe-24h'!M86,'27.07 Kampala-Kalerwe-24h'!M86)</f>
        <v>41.5</v>
      </c>
      <c r="N86" s="49">
        <f>AVERAGE('26.07 Kampala-Kalerwe-24h'!N86,'27.07 Kampala-Kalerwe-24h'!N86)</f>
        <v>0</v>
      </c>
      <c r="O86" s="15">
        <f t="shared" si="35"/>
        <v>13</v>
      </c>
      <c r="P86" s="15">
        <f t="shared" si="36"/>
        <v>54.5</v>
      </c>
      <c r="R86" s="8"/>
      <c r="T86"/>
    </row>
    <row r="87" spans="2:20" ht="23.1" customHeight="1" x14ac:dyDescent="0.25">
      <c r="B87" s="23" t="s">
        <v>127</v>
      </c>
      <c r="C87" s="49">
        <f>AVERAGE('26.07 Kampala-Kalerwe-24h'!C87,'27.07 Kampala-Kalerwe-24h'!C87)</f>
        <v>12.5</v>
      </c>
      <c r="D87" s="49">
        <f>AVERAGE('26.07 Kampala-Kalerwe-24h'!D87,'27.07 Kampala-Kalerwe-24h'!D87)</f>
        <v>6</v>
      </c>
      <c r="E87" s="49">
        <f>AVERAGE('26.07 Kampala-Kalerwe-24h'!E87,'27.07 Kampala-Kalerwe-24h'!E87)</f>
        <v>0.5</v>
      </c>
      <c r="F87" s="49">
        <f>AVERAGE('26.07 Kampala-Kalerwe-24h'!F87,'27.07 Kampala-Kalerwe-24h'!F87)</f>
        <v>1.5</v>
      </c>
      <c r="G87" s="49">
        <f>AVERAGE('26.07 Kampala-Kalerwe-24h'!G87,'27.07 Kampala-Kalerwe-24h'!G87)</f>
        <v>0</v>
      </c>
      <c r="H87" s="49">
        <f>AVERAGE('26.07 Kampala-Kalerwe-24h'!H87,'27.07 Kampala-Kalerwe-24h'!H87)</f>
        <v>0</v>
      </c>
      <c r="I87" s="49">
        <f>AVERAGE('26.07 Kampala-Kalerwe-24h'!I87,'27.07 Kampala-Kalerwe-24h'!I87)</f>
        <v>1</v>
      </c>
      <c r="J87" s="49">
        <f>AVERAGE('26.07 Kampala-Kalerwe-24h'!J87,'27.07 Kampala-Kalerwe-24h'!J87)</f>
        <v>1.5</v>
      </c>
      <c r="K87" s="49">
        <f>AVERAGE('26.07 Kampala-Kalerwe-24h'!K87,'27.07 Kampala-Kalerwe-24h'!K87)</f>
        <v>0.5</v>
      </c>
      <c r="L87" s="49">
        <f>AVERAGE('26.07 Kampala-Kalerwe-24h'!L87,'27.07 Kampala-Kalerwe-24h'!L87)</f>
        <v>0.5</v>
      </c>
      <c r="M87" s="49">
        <f>AVERAGE('26.07 Kampala-Kalerwe-24h'!M87,'27.07 Kampala-Kalerwe-24h'!M87)</f>
        <v>25.5</v>
      </c>
      <c r="N87" s="49">
        <f>AVERAGE('26.07 Kampala-Kalerwe-24h'!N87,'27.07 Kampala-Kalerwe-24h'!N87)</f>
        <v>0</v>
      </c>
      <c r="O87" s="15">
        <f t="shared" si="35"/>
        <v>24</v>
      </c>
      <c r="P87" s="15">
        <f t="shared" si="36"/>
        <v>49.5</v>
      </c>
      <c r="R87" s="8"/>
      <c r="T87"/>
    </row>
    <row r="88" spans="2:20" ht="23.1" customHeight="1" x14ac:dyDescent="0.25">
      <c r="B88" s="25" t="s">
        <v>128</v>
      </c>
      <c r="C88" s="49">
        <f>AVERAGE('26.07 Kampala-Kalerwe-24h'!C88,'27.07 Kampala-Kalerwe-24h'!C88)</f>
        <v>15</v>
      </c>
      <c r="D88" s="49">
        <f>AVERAGE('26.07 Kampala-Kalerwe-24h'!D88,'27.07 Kampala-Kalerwe-24h'!D88)</f>
        <v>7</v>
      </c>
      <c r="E88" s="49">
        <f>AVERAGE('26.07 Kampala-Kalerwe-24h'!E88,'27.07 Kampala-Kalerwe-24h'!E88)</f>
        <v>0</v>
      </c>
      <c r="F88" s="49">
        <f>AVERAGE('26.07 Kampala-Kalerwe-24h'!F88,'27.07 Kampala-Kalerwe-24h'!F88)</f>
        <v>1.5</v>
      </c>
      <c r="G88" s="49">
        <f>AVERAGE('26.07 Kampala-Kalerwe-24h'!G88,'27.07 Kampala-Kalerwe-24h'!G88)</f>
        <v>0</v>
      </c>
      <c r="H88" s="49">
        <f>AVERAGE('26.07 Kampala-Kalerwe-24h'!H88,'27.07 Kampala-Kalerwe-24h'!H88)</f>
        <v>0</v>
      </c>
      <c r="I88" s="49">
        <f>AVERAGE('26.07 Kampala-Kalerwe-24h'!I88,'27.07 Kampala-Kalerwe-24h'!I88)</f>
        <v>0.5</v>
      </c>
      <c r="J88" s="49">
        <f>AVERAGE('26.07 Kampala-Kalerwe-24h'!J88,'27.07 Kampala-Kalerwe-24h'!J88)</f>
        <v>0</v>
      </c>
      <c r="K88" s="49">
        <f>AVERAGE('26.07 Kampala-Kalerwe-24h'!K88,'27.07 Kampala-Kalerwe-24h'!K88)</f>
        <v>0</v>
      </c>
      <c r="L88" s="49">
        <f>AVERAGE('26.07 Kampala-Kalerwe-24h'!L88,'27.07 Kampala-Kalerwe-24h'!L88)</f>
        <v>0</v>
      </c>
      <c r="M88" s="49">
        <f>AVERAGE('26.07 Kampala-Kalerwe-24h'!M88,'27.07 Kampala-Kalerwe-24h'!M88)</f>
        <v>38</v>
      </c>
      <c r="N88" s="49">
        <f>AVERAGE('26.07 Kampala-Kalerwe-24h'!N88,'27.07 Kampala-Kalerwe-24h'!N88)</f>
        <v>0</v>
      </c>
      <c r="O88" s="15">
        <f t="shared" si="35"/>
        <v>24</v>
      </c>
      <c r="P88" s="15">
        <f t="shared" si="36"/>
        <v>62</v>
      </c>
      <c r="R88" s="8"/>
      <c r="T88"/>
    </row>
    <row r="89" spans="2:20" ht="23.1" customHeight="1" x14ac:dyDescent="0.25">
      <c r="B89" s="23" t="s">
        <v>129</v>
      </c>
      <c r="C89" s="49">
        <f>AVERAGE('26.07 Kampala-Kalerwe-24h'!C89,'27.07 Kampala-Kalerwe-24h'!C89)</f>
        <v>23</v>
      </c>
      <c r="D89" s="49">
        <f>AVERAGE('26.07 Kampala-Kalerwe-24h'!D89,'27.07 Kampala-Kalerwe-24h'!D89)</f>
        <v>11</v>
      </c>
      <c r="E89" s="49">
        <f>AVERAGE('26.07 Kampala-Kalerwe-24h'!E89,'27.07 Kampala-Kalerwe-24h'!E89)</f>
        <v>0</v>
      </c>
      <c r="F89" s="49">
        <f>AVERAGE('26.07 Kampala-Kalerwe-24h'!F89,'27.07 Kampala-Kalerwe-24h'!F89)</f>
        <v>3.5</v>
      </c>
      <c r="G89" s="49">
        <f>AVERAGE('26.07 Kampala-Kalerwe-24h'!G89,'27.07 Kampala-Kalerwe-24h'!G89)</f>
        <v>0</v>
      </c>
      <c r="H89" s="49">
        <f>AVERAGE('26.07 Kampala-Kalerwe-24h'!H89,'27.07 Kampala-Kalerwe-24h'!H89)</f>
        <v>0</v>
      </c>
      <c r="I89" s="49">
        <f>AVERAGE('26.07 Kampala-Kalerwe-24h'!I89,'27.07 Kampala-Kalerwe-24h'!I89)</f>
        <v>0</v>
      </c>
      <c r="J89" s="49">
        <f>AVERAGE('26.07 Kampala-Kalerwe-24h'!J89,'27.07 Kampala-Kalerwe-24h'!J89)</f>
        <v>0</v>
      </c>
      <c r="K89" s="49">
        <f>AVERAGE('26.07 Kampala-Kalerwe-24h'!K89,'27.07 Kampala-Kalerwe-24h'!K89)</f>
        <v>0</v>
      </c>
      <c r="L89" s="49">
        <f>AVERAGE('26.07 Kampala-Kalerwe-24h'!L89,'27.07 Kampala-Kalerwe-24h'!L89)</f>
        <v>0</v>
      </c>
      <c r="M89" s="49">
        <f>AVERAGE('26.07 Kampala-Kalerwe-24h'!M89,'27.07 Kampala-Kalerwe-24h'!M89)</f>
        <v>43</v>
      </c>
      <c r="N89" s="49">
        <f>AVERAGE('26.07 Kampala-Kalerwe-24h'!N89,'27.07 Kampala-Kalerwe-24h'!N89)</f>
        <v>0</v>
      </c>
      <c r="O89" s="15">
        <f t="shared" si="35"/>
        <v>37.5</v>
      </c>
      <c r="P89" s="15">
        <f t="shared" si="36"/>
        <v>80.5</v>
      </c>
      <c r="R89" s="8"/>
      <c r="T89"/>
    </row>
    <row r="90" spans="2:20" ht="23.1" customHeight="1" x14ac:dyDescent="0.25">
      <c r="B90" s="24" t="s">
        <v>130</v>
      </c>
      <c r="C90" s="49">
        <f>AVERAGE('26.07 Kampala-Kalerwe-24h'!C90,'27.07 Kampala-Kalerwe-24h'!C90)</f>
        <v>12</v>
      </c>
      <c r="D90" s="49">
        <f>AVERAGE('26.07 Kampala-Kalerwe-24h'!D90,'27.07 Kampala-Kalerwe-24h'!D90)</f>
        <v>1.5</v>
      </c>
      <c r="E90" s="49">
        <f>AVERAGE('26.07 Kampala-Kalerwe-24h'!E90,'27.07 Kampala-Kalerwe-24h'!E90)</f>
        <v>0</v>
      </c>
      <c r="F90" s="49">
        <f>AVERAGE('26.07 Kampala-Kalerwe-24h'!F90,'27.07 Kampala-Kalerwe-24h'!F90)</f>
        <v>2</v>
      </c>
      <c r="G90" s="49">
        <f>AVERAGE('26.07 Kampala-Kalerwe-24h'!G90,'27.07 Kampala-Kalerwe-24h'!G90)</f>
        <v>0</v>
      </c>
      <c r="H90" s="49">
        <f>AVERAGE('26.07 Kampala-Kalerwe-24h'!H90,'27.07 Kampala-Kalerwe-24h'!H90)</f>
        <v>0</v>
      </c>
      <c r="I90" s="49">
        <f>AVERAGE('26.07 Kampala-Kalerwe-24h'!I90,'27.07 Kampala-Kalerwe-24h'!I90)</f>
        <v>1</v>
      </c>
      <c r="J90" s="49">
        <f>AVERAGE('26.07 Kampala-Kalerwe-24h'!J90,'27.07 Kampala-Kalerwe-24h'!J90)</f>
        <v>1.5</v>
      </c>
      <c r="K90" s="49">
        <f>AVERAGE('26.07 Kampala-Kalerwe-24h'!K90,'27.07 Kampala-Kalerwe-24h'!K90)</f>
        <v>0</v>
      </c>
      <c r="L90" s="49">
        <f>AVERAGE('26.07 Kampala-Kalerwe-24h'!L90,'27.07 Kampala-Kalerwe-24h'!L90)</f>
        <v>0</v>
      </c>
      <c r="M90" s="49">
        <f>AVERAGE('26.07 Kampala-Kalerwe-24h'!M90,'27.07 Kampala-Kalerwe-24h'!M90)</f>
        <v>21</v>
      </c>
      <c r="N90" s="49">
        <f>AVERAGE('26.07 Kampala-Kalerwe-24h'!N90,'27.07 Kampala-Kalerwe-24h'!N90)</f>
        <v>0</v>
      </c>
      <c r="O90" s="15">
        <f t="shared" si="35"/>
        <v>18</v>
      </c>
      <c r="P90" s="15">
        <f t="shared" si="36"/>
        <v>39</v>
      </c>
      <c r="R90" s="8"/>
      <c r="T90"/>
    </row>
    <row r="91" spans="2:20" ht="23.1" customHeight="1" x14ac:dyDescent="0.25">
      <c r="B91" s="23" t="s">
        <v>131</v>
      </c>
      <c r="C91" s="49">
        <f>AVERAGE('26.07 Kampala-Kalerwe-24h'!C91,'27.07 Kampala-Kalerwe-24h'!C91)</f>
        <v>10</v>
      </c>
      <c r="D91" s="49">
        <f>AVERAGE('26.07 Kampala-Kalerwe-24h'!D91,'27.07 Kampala-Kalerwe-24h'!D91)</f>
        <v>3.5</v>
      </c>
      <c r="E91" s="49">
        <f>AVERAGE('26.07 Kampala-Kalerwe-24h'!E91,'27.07 Kampala-Kalerwe-24h'!E91)</f>
        <v>0.5</v>
      </c>
      <c r="F91" s="49">
        <f>AVERAGE('26.07 Kampala-Kalerwe-24h'!F91,'27.07 Kampala-Kalerwe-24h'!F91)</f>
        <v>0</v>
      </c>
      <c r="G91" s="49">
        <f>AVERAGE('26.07 Kampala-Kalerwe-24h'!G91,'27.07 Kampala-Kalerwe-24h'!G91)</f>
        <v>0</v>
      </c>
      <c r="H91" s="49">
        <f>AVERAGE('26.07 Kampala-Kalerwe-24h'!H91,'27.07 Kampala-Kalerwe-24h'!H91)</f>
        <v>0</v>
      </c>
      <c r="I91" s="49">
        <f>AVERAGE('26.07 Kampala-Kalerwe-24h'!I91,'27.07 Kampala-Kalerwe-24h'!I91)</f>
        <v>0</v>
      </c>
      <c r="J91" s="49">
        <f>AVERAGE('26.07 Kampala-Kalerwe-24h'!J91,'27.07 Kampala-Kalerwe-24h'!J91)</f>
        <v>1.5</v>
      </c>
      <c r="K91" s="49">
        <f>AVERAGE('26.07 Kampala-Kalerwe-24h'!K91,'27.07 Kampala-Kalerwe-24h'!K91)</f>
        <v>0</v>
      </c>
      <c r="L91" s="49">
        <f>AVERAGE('26.07 Kampala-Kalerwe-24h'!L91,'27.07 Kampala-Kalerwe-24h'!L91)</f>
        <v>0</v>
      </c>
      <c r="M91" s="49">
        <f>AVERAGE('26.07 Kampala-Kalerwe-24h'!M91,'27.07 Kampala-Kalerwe-24h'!M91)</f>
        <v>24.5</v>
      </c>
      <c r="N91" s="49">
        <f>AVERAGE('26.07 Kampala-Kalerwe-24h'!N91,'27.07 Kampala-Kalerwe-24h'!N91)</f>
        <v>0</v>
      </c>
      <c r="O91" s="15">
        <f t="shared" si="35"/>
        <v>15.5</v>
      </c>
      <c r="P91" s="15">
        <f t="shared" si="36"/>
        <v>40</v>
      </c>
      <c r="R91" s="8"/>
      <c r="T91"/>
    </row>
    <row r="92" spans="2:20" ht="23.1" customHeight="1" x14ac:dyDescent="0.25">
      <c r="B92" s="25" t="s">
        <v>132</v>
      </c>
      <c r="C92" s="49">
        <f>AVERAGE('26.07 Kampala-Kalerwe-24h'!C92,'27.07 Kampala-Kalerwe-24h'!C92)</f>
        <v>3</v>
      </c>
      <c r="D92" s="49">
        <f>AVERAGE('26.07 Kampala-Kalerwe-24h'!D92,'27.07 Kampala-Kalerwe-24h'!D92)</f>
        <v>1.5</v>
      </c>
      <c r="E92" s="49">
        <f>AVERAGE('26.07 Kampala-Kalerwe-24h'!E92,'27.07 Kampala-Kalerwe-24h'!E92)</f>
        <v>0.5</v>
      </c>
      <c r="F92" s="49">
        <f>AVERAGE('26.07 Kampala-Kalerwe-24h'!F92,'27.07 Kampala-Kalerwe-24h'!F92)</f>
        <v>0</v>
      </c>
      <c r="G92" s="49">
        <f>AVERAGE('26.07 Kampala-Kalerwe-24h'!G92,'27.07 Kampala-Kalerwe-24h'!G92)</f>
        <v>0</v>
      </c>
      <c r="H92" s="49">
        <f>AVERAGE('26.07 Kampala-Kalerwe-24h'!H92,'27.07 Kampala-Kalerwe-24h'!H92)</f>
        <v>0</v>
      </c>
      <c r="I92" s="49">
        <f>AVERAGE('26.07 Kampala-Kalerwe-24h'!I92,'27.07 Kampala-Kalerwe-24h'!I92)</f>
        <v>0</v>
      </c>
      <c r="J92" s="49">
        <f>AVERAGE('26.07 Kampala-Kalerwe-24h'!J92,'27.07 Kampala-Kalerwe-24h'!J92)</f>
        <v>1.5</v>
      </c>
      <c r="K92" s="49">
        <f>AVERAGE('26.07 Kampala-Kalerwe-24h'!K92,'27.07 Kampala-Kalerwe-24h'!K92)</f>
        <v>0</v>
      </c>
      <c r="L92" s="49">
        <f>AVERAGE('26.07 Kampala-Kalerwe-24h'!L92,'27.07 Kampala-Kalerwe-24h'!L92)</f>
        <v>0</v>
      </c>
      <c r="M92" s="49">
        <f>AVERAGE('26.07 Kampala-Kalerwe-24h'!M92,'27.07 Kampala-Kalerwe-24h'!M92)</f>
        <v>20</v>
      </c>
      <c r="N92" s="49">
        <f>AVERAGE('26.07 Kampala-Kalerwe-24h'!N92,'27.07 Kampala-Kalerwe-24h'!N92)</f>
        <v>0</v>
      </c>
      <c r="O92" s="15">
        <f t="shared" si="35"/>
        <v>6.5</v>
      </c>
      <c r="P92" s="15">
        <f t="shared" si="36"/>
        <v>26.5</v>
      </c>
      <c r="R92" s="8"/>
      <c r="T92"/>
    </row>
    <row r="93" spans="2:20" ht="23.1" customHeight="1" x14ac:dyDescent="0.25">
      <c r="B93" s="23" t="s">
        <v>133</v>
      </c>
      <c r="C93" s="49">
        <f>AVERAGE('26.07 Kampala-Kalerwe-24h'!C93,'27.07 Kampala-Kalerwe-24h'!C93)</f>
        <v>8.5</v>
      </c>
      <c r="D93" s="49">
        <f>AVERAGE('26.07 Kampala-Kalerwe-24h'!D93,'27.07 Kampala-Kalerwe-24h'!D93)</f>
        <v>0.5</v>
      </c>
      <c r="E93" s="49">
        <f>AVERAGE('26.07 Kampala-Kalerwe-24h'!E93,'27.07 Kampala-Kalerwe-24h'!E93)</f>
        <v>2</v>
      </c>
      <c r="F93" s="49">
        <f>AVERAGE('26.07 Kampala-Kalerwe-24h'!F93,'27.07 Kampala-Kalerwe-24h'!F93)</f>
        <v>2</v>
      </c>
      <c r="G93" s="49">
        <f>AVERAGE('26.07 Kampala-Kalerwe-24h'!G93,'27.07 Kampala-Kalerwe-24h'!G93)</f>
        <v>0</v>
      </c>
      <c r="H93" s="49">
        <f>AVERAGE('26.07 Kampala-Kalerwe-24h'!H93,'27.07 Kampala-Kalerwe-24h'!H93)</f>
        <v>0</v>
      </c>
      <c r="I93" s="49">
        <f>AVERAGE('26.07 Kampala-Kalerwe-24h'!I93,'27.07 Kampala-Kalerwe-24h'!I93)</f>
        <v>0</v>
      </c>
      <c r="J93" s="49">
        <f>AVERAGE('26.07 Kampala-Kalerwe-24h'!J93,'27.07 Kampala-Kalerwe-24h'!J93)</f>
        <v>1</v>
      </c>
      <c r="K93" s="49">
        <f>AVERAGE('26.07 Kampala-Kalerwe-24h'!K93,'27.07 Kampala-Kalerwe-24h'!K93)</f>
        <v>1.5</v>
      </c>
      <c r="L93" s="49">
        <f>AVERAGE('26.07 Kampala-Kalerwe-24h'!L93,'27.07 Kampala-Kalerwe-24h'!L93)</f>
        <v>1.5</v>
      </c>
      <c r="M93" s="49">
        <f>AVERAGE('26.07 Kampala-Kalerwe-24h'!M93,'27.07 Kampala-Kalerwe-24h'!M93)</f>
        <v>26.5</v>
      </c>
      <c r="N93" s="49">
        <f>AVERAGE('26.07 Kampala-Kalerwe-24h'!N93,'27.07 Kampala-Kalerwe-24h'!N93)</f>
        <v>0</v>
      </c>
      <c r="O93" s="15">
        <f t="shared" si="35"/>
        <v>17</v>
      </c>
      <c r="P93" s="15">
        <f t="shared" si="36"/>
        <v>43.5</v>
      </c>
      <c r="R93" s="8"/>
      <c r="T93"/>
    </row>
    <row r="94" spans="2:20" ht="23.1" customHeight="1" x14ac:dyDescent="0.25">
      <c r="B94" s="24" t="s">
        <v>134</v>
      </c>
      <c r="C94" s="49">
        <f>AVERAGE('26.07 Kampala-Kalerwe-24h'!C94,'27.07 Kampala-Kalerwe-24h'!C94)</f>
        <v>13.5</v>
      </c>
      <c r="D94" s="49">
        <f>AVERAGE('26.07 Kampala-Kalerwe-24h'!D94,'27.07 Kampala-Kalerwe-24h'!D94)</f>
        <v>5</v>
      </c>
      <c r="E94" s="49">
        <f>AVERAGE('26.07 Kampala-Kalerwe-24h'!E94,'27.07 Kampala-Kalerwe-24h'!E94)</f>
        <v>0.5</v>
      </c>
      <c r="F94" s="49">
        <f>AVERAGE('26.07 Kampala-Kalerwe-24h'!F94,'27.07 Kampala-Kalerwe-24h'!F94)</f>
        <v>1</v>
      </c>
      <c r="G94" s="49">
        <f>AVERAGE('26.07 Kampala-Kalerwe-24h'!G94,'27.07 Kampala-Kalerwe-24h'!G94)</f>
        <v>0</v>
      </c>
      <c r="H94" s="49">
        <f>AVERAGE('26.07 Kampala-Kalerwe-24h'!H94,'27.07 Kampala-Kalerwe-24h'!H94)</f>
        <v>0</v>
      </c>
      <c r="I94" s="49">
        <f>AVERAGE('26.07 Kampala-Kalerwe-24h'!I94,'27.07 Kampala-Kalerwe-24h'!I94)</f>
        <v>0</v>
      </c>
      <c r="J94" s="49">
        <f>AVERAGE('26.07 Kampala-Kalerwe-24h'!J94,'27.07 Kampala-Kalerwe-24h'!J94)</f>
        <v>0</v>
      </c>
      <c r="K94" s="49">
        <f>AVERAGE('26.07 Kampala-Kalerwe-24h'!K94,'27.07 Kampala-Kalerwe-24h'!K94)</f>
        <v>0</v>
      </c>
      <c r="L94" s="49">
        <f>AVERAGE('26.07 Kampala-Kalerwe-24h'!L94,'27.07 Kampala-Kalerwe-24h'!L94)</f>
        <v>0</v>
      </c>
      <c r="M94" s="49">
        <f>AVERAGE('26.07 Kampala-Kalerwe-24h'!M94,'27.07 Kampala-Kalerwe-24h'!M94)</f>
        <v>27</v>
      </c>
      <c r="N94" s="49">
        <f>AVERAGE('26.07 Kampala-Kalerwe-24h'!N94,'27.07 Kampala-Kalerwe-24h'!N94)</f>
        <v>0</v>
      </c>
      <c r="O94" s="15">
        <f t="shared" si="35"/>
        <v>20</v>
      </c>
      <c r="P94" s="15">
        <f t="shared" si="36"/>
        <v>47</v>
      </c>
      <c r="R94" s="8"/>
      <c r="T94"/>
    </row>
    <row r="95" spans="2:20" ht="23.1" customHeight="1" x14ac:dyDescent="0.25">
      <c r="B95" s="23" t="s">
        <v>135</v>
      </c>
      <c r="C95" s="49">
        <f>AVERAGE('26.07 Kampala-Kalerwe-24h'!C95,'27.07 Kampala-Kalerwe-24h'!C95)</f>
        <v>4</v>
      </c>
      <c r="D95" s="49">
        <f>AVERAGE('26.07 Kampala-Kalerwe-24h'!D95,'27.07 Kampala-Kalerwe-24h'!D95)</f>
        <v>2.5</v>
      </c>
      <c r="E95" s="49">
        <f>AVERAGE('26.07 Kampala-Kalerwe-24h'!E95,'27.07 Kampala-Kalerwe-24h'!E95)</f>
        <v>0.5</v>
      </c>
      <c r="F95" s="49">
        <f>AVERAGE('26.07 Kampala-Kalerwe-24h'!F95,'27.07 Kampala-Kalerwe-24h'!F95)</f>
        <v>2</v>
      </c>
      <c r="G95" s="49">
        <f>AVERAGE('26.07 Kampala-Kalerwe-24h'!G95,'27.07 Kampala-Kalerwe-24h'!G95)</f>
        <v>0</v>
      </c>
      <c r="H95" s="49">
        <f>AVERAGE('26.07 Kampala-Kalerwe-24h'!H95,'27.07 Kampala-Kalerwe-24h'!H95)</f>
        <v>1</v>
      </c>
      <c r="I95" s="49">
        <f>AVERAGE('26.07 Kampala-Kalerwe-24h'!I95,'27.07 Kampala-Kalerwe-24h'!I95)</f>
        <v>1</v>
      </c>
      <c r="J95" s="49">
        <f>AVERAGE('26.07 Kampala-Kalerwe-24h'!J95,'27.07 Kampala-Kalerwe-24h'!J95)</f>
        <v>0</v>
      </c>
      <c r="K95" s="49">
        <f>AVERAGE('26.07 Kampala-Kalerwe-24h'!K95,'27.07 Kampala-Kalerwe-24h'!K95)</f>
        <v>0</v>
      </c>
      <c r="L95" s="49">
        <f>AVERAGE('26.07 Kampala-Kalerwe-24h'!L95,'27.07 Kampala-Kalerwe-24h'!L95)</f>
        <v>0</v>
      </c>
      <c r="M95" s="49">
        <f>AVERAGE('26.07 Kampala-Kalerwe-24h'!M95,'27.07 Kampala-Kalerwe-24h'!M95)</f>
        <v>17</v>
      </c>
      <c r="N95" s="49">
        <f>AVERAGE('26.07 Kampala-Kalerwe-24h'!N95,'27.07 Kampala-Kalerwe-24h'!N95)</f>
        <v>0</v>
      </c>
      <c r="O95" s="15">
        <f t="shared" si="35"/>
        <v>11</v>
      </c>
      <c r="P95" s="15">
        <f t="shared" si="36"/>
        <v>28</v>
      </c>
      <c r="R95" s="8"/>
      <c r="T95"/>
    </row>
    <row r="96" spans="2:20" ht="23.1" customHeight="1" x14ac:dyDescent="0.25">
      <c r="B96" s="25" t="s">
        <v>136</v>
      </c>
      <c r="C96" s="49">
        <f>AVERAGE('26.07 Kampala-Kalerwe-24h'!C96,'27.07 Kampala-Kalerwe-24h'!C96)</f>
        <v>7</v>
      </c>
      <c r="D96" s="49">
        <f>AVERAGE('26.07 Kampala-Kalerwe-24h'!D96,'27.07 Kampala-Kalerwe-24h'!D96)</f>
        <v>1.5</v>
      </c>
      <c r="E96" s="49">
        <f>AVERAGE('26.07 Kampala-Kalerwe-24h'!E96,'27.07 Kampala-Kalerwe-24h'!E96)</f>
        <v>0</v>
      </c>
      <c r="F96" s="49">
        <f>AVERAGE('26.07 Kampala-Kalerwe-24h'!F96,'27.07 Kampala-Kalerwe-24h'!F96)</f>
        <v>2.5</v>
      </c>
      <c r="G96" s="49">
        <f>AVERAGE('26.07 Kampala-Kalerwe-24h'!G96,'27.07 Kampala-Kalerwe-24h'!G96)</f>
        <v>0</v>
      </c>
      <c r="H96" s="49">
        <f>AVERAGE('26.07 Kampala-Kalerwe-24h'!H96,'27.07 Kampala-Kalerwe-24h'!H96)</f>
        <v>0</v>
      </c>
      <c r="I96" s="49">
        <f>AVERAGE('26.07 Kampala-Kalerwe-24h'!I96,'27.07 Kampala-Kalerwe-24h'!I96)</f>
        <v>2</v>
      </c>
      <c r="J96" s="49">
        <f>AVERAGE('26.07 Kampala-Kalerwe-24h'!J96,'27.07 Kampala-Kalerwe-24h'!J96)</f>
        <v>1</v>
      </c>
      <c r="K96" s="49">
        <f>AVERAGE('26.07 Kampala-Kalerwe-24h'!K96,'27.07 Kampala-Kalerwe-24h'!K96)</f>
        <v>0</v>
      </c>
      <c r="L96" s="49">
        <f>AVERAGE('26.07 Kampala-Kalerwe-24h'!L96,'27.07 Kampala-Kalerwe-24h'!L96)</f>
        <v>0</v>
      </c>
      <c r="M96" s="49">
        <f>AVERAGE('26.07 Kampala-Kalerwe-24h'!M96,'27.07 Kampala-Kalerwe-24h'!M96)</f>
        <v>22</v>
      </c>
      <c r="N96" s="49">
        <f>AVERAGE('26.07 Kampala-Kalerwe-24h'!N96,'27.07 Kampala-Kalerwe-24h'!N96)</f>
        <v>0</v>
      </c>
      <c r="O96" s="15">
        <f t="shared" si="35"/>
        <v>14</v>
      </c>
      <c r="P96" s="15">
        <f t="shared" si="36"/>
        <v>36</v>
      </c>
      <c r="R96" s="8"/>
      <c r="T96"/>
    </row>
    <row r="97" spans="2:20" ht="23.1" customHeight="1" x14ac:dyDescent="0.25">
      <c r="B97" s="23" t="s">
        <v>137</v>
      </c>
      <c r="C97" s="49">
        <f>AVERAGE('26.07 Kampala-Kalerwe-24h'!C97,'27.07 Kampala-Kalerwe-24h'!C97)</f>
        <v>11</v>
      </c>
      <c r="D97" s="49">
        <f>AVERAGE('26.07 Kampala-Kalerwe-24h'!D97,'27.07 Kampala-Kalerwe-24h'!D97)</f>
        <v>7</v>
      </c>
      <c r="E97" s="49">
        <f>AVERAGE('26.07 Kampala-Kalerwe-24h'!E97,'27.07 Kampala-Kalerwe-24h'!E97)</f>
        <v>1.5</v>
      </c>
      <c r="F97" s="49">
        <f>AVERAGE('26.07 Kampala-Kalerwe-24h'!F97,'27.07 Kampala-Kalerwe-24h'!F97)</f>
        <v>1</v>
      </c>
      <c r="G97" s="49">
        <f>AVERAGE('26.07 Kampala-Kalerwe-24h'!G97,'27.07 Kampala-Kalerwe-24h'!G97)</f>
        <v>0</v>
      </c>
      <c r="H97" s="49">
        <f>AVERAGE('26.07 Kampala-Kalerwe-24h'!H97,'27.07 Kampala-Kalerwe-24h'!H97)</f>
        <v>1</v>
      </c>
      <c r="I97" s="49">
        <f>AVERAGE('26.07 Kampala-Kalerwe-24h'!I97,'27.07 Kampala-Kalerwe-24h'!I97)</f>
        <v>0.5</v>
      </c>
      <c r="J97" s="49">
        <f>AVERAGE('26.07 Kampala-Kalerwe-24h'!J97,'27.07 Kampala-Kalerwe-24h'!J97)</f>
        <v>4</v>
      </c>
      <c r="K97" s="49">
        <f>AVERAGE('26.07 Kampala-Kalerwe-24h'!K97,'27.07 Kampala-Kalerwe-24h'!K97)</f>
        <v>0</v>
      </c>
      <c r="L97" s="49">
        <f>AVERAGE('26.07 Kampala-Kalerwe-24h'!L97,'27.07 Kampala-Kalerwe-24h'!L97)</f>
        <v>0</v>
      </c>
      <c r="M97" s="49">
        <f>AVERAGE('26.07 Kampala-Kalerwe-24h'!M97,'27.07 Kampala-Kalerwe-24h'!M97)</f>
        <v>14</v>
      </c>
      <c r="N97" s="49">
        <f>AVERAGE('26.07 Kampala-Kalerwe-24h'!N97,'27.07 Kampala-Kalerwe-24h'!N97)</f>
        <v>0</v>
      </c>
      <c r="O97" s="15">
        <f t="shared" si="35"/>
        <v>26</v>
      </c>
      <c r="P97" s="15">
        <f t="shared" si="36"/>
        <v>40</v>
      </c>
      <c r="R97" s="8"/>
      <c r="T97"/>
    </row>
    <row r="98" spans="2:20" ht="23.1" customHeight="1" x14ac:dyDescent="0.25">
      <c r="B98" s="24" t="s">
        <v>138</v>
      </c>
      <c r="C98" s="49">
        <f>AVERAGE('26.07 Kampala-Kalerwe-24h'!C98,'27.07 Kampala-Kalerwe-24h'!C98)</f>
        <v>17</v>
      </c>
      <c r="D98" s="49">
        <f>AVERAGE('26.07 Kampala-Kalerwe-24h'!D98,'27.07 Kampala-Kalerwe-24h'!D98)</f>
        <v>8</v>
      </c>
      <c r="E98" s="49">
        <f>AVERAGE('26.07 Kampala-Kalerwe-24h'!E98,'27.07 Kampala-Kalerwe-24h'!E98)</f>
        <v>0</v>
      </c>
      <c r="F98" s="49">
        <f>AVERAGE('26.07 Kampala-Kalerwe-24h'!F98,'27.07 Kampala-Kalerwe-24h'!F98)</f>
        <v>13</v>
      </c>
      <c r="G98" s="49">
        <f>AVERAGE('26.07 Kampala-Kalerwe-24h'!G98,'27.07 Kampala-Kalerwe-24h'!G98)</f>
        <v>0</v>
      </c>
      <c r="H98" s="49">
        <f>AVERAGE('26.07 Kampala-Kalerwe-24h'!H98,'27.07 Kampala-Kalerwe-24h'!H98)</f>
        <v>0.5</v>
      </c>
      <c r="I98" s="49">
        <f>AVERAGE('26.07 Kampala-Kalerwe-24h'!I98,'27.07 Kampala-Kalerwe-24h'!I98)</f>
        <v>2.5</v>
      </c>
      <c r="J98" s="49">
        <f>AVERAGE('26.07 Kampala-Kalerwe-24h'!J98,'27.07 Kampala-Kalerwe-24h'!J98)</f>
        <v>6</v>
      </c>
      <c r="K98" s="49">
        <f>AVERAGE('26.07 Kampala-Kalerwe-24h'!K98,'27.07 Kampala-Kalerwe-24h'!K98)</f>
        <v>6</v>
      </c>
      <c r="L98" s="49">
        <f>AVERAGE('26.07 Kampala-Kalerwe-24h'!L98,'27.07 Kampala-Kalerwe-24h'!L98)</f>
        <v>4</v>
      </c>
      <c r="M98" s="49">
        <f>AVERAGE('26.07 Kampala-Kalerwe-24h'!M98,'27.07 Kampala-Kalerwe-24h'!M98)</f>
        <v>40.5</v>
      </c>
      <c r="N98" s="49">
        <f>AVERAGE('26.07 Kampala-Kalerwe-24h'!N98,'27.07 Kampala-Kalerwe-24h'!N98)</f>
        <v>0</v>
      </c>
      <c r="O98" s="15">
        <f t="shared" si="35"/>
        <v>57</v>
      </c>
      <c r="P98" s="15">
        <f t="shared" si="36"/>
        <v>97.5</v>
      </c>
      <c r="R98" s="8"/>
      <c r="T98"/>
    </row>
    <row r="99" spans="2:20" ht="23.1" customHeight="1" x14ac:dyDescent="0.25">
      <c r="B99" s="23" t="s">
        <v>139</v>
      </c>
      <c r="C99" s="49">
        <f>AVERAGE('26.07 Kampala-Kalerwe-24h'!C99,'27.07 Kampala-Kalerwe-24h'!C99)</f>
        <v>30.5</v>
      </c>
      <c r="D99" s="49">
        <f>AVERAGE('26.07 Kampala-Kalerwe-24h'!D99,'27.07 Kampala-Kalerwe-24h'!D99)</f>
        <v>13</v>
      </c>
      <c r="E99" s="49">
        <f>AVERAGE('26.07 Kampala-Kalerwe-24h'!E99,'27.07 Kampala-Kalerwe-24h'!E99)</f>
        <v>0.5</v>
      </c>
      <c r="F99" s="49">
        <f>AVERAGE('26.07 Kampala-Kalerwe-24h'!F99,'27.07 Kampala-Kalerwe-24h'!F99)</f>
        <v>16</v>
      </c>
      <c r="G99" s="49">
        <f>AVERAGE('26.07 Kampala-Kalerwe-24h'!G99,'27.07 Kampala-Kalerwe-24h'!G99)</f>
        <v>0</v>
      </c>
      <c r="H99" s="49">
        <f>AVERAGE('26.07 Kampala-Kalerwe-24h'!H99,'27.07 Kampala-Kalerwe-24h'!H99)</f>
        <v>0</v>
      </c>
      <c r="I99" s="49">
        <f>AVERAGE('26.07 Kampala-Kalerwe-24h'!I99,'27.07 Kampala-Kalerwe-24h'!I99)</f>
        <v>2.5</v>
      </c>
      <c r="J99" s="49">
        <f>AVERAGE('26.07 Kampala-Kalerwe-24h'!J99,'27.07 Kampala-Kalerwe-24h'!J99)</f>
        <v>3.5</v>
      </c>
      <c r="K99" s="49">
        <f>AVERAGE('26.07 Kampala-Kalerwe-24h'!K99,'27.07 Kampala-Kalerwe-24h'!K99)</f>
        <v>2</v>
      </c>
      <c r="L99" s="49">
        <f>AVERAGE('26.07 Kampala-Kalerwe-24h'!L99,'27.07 Kampala-Kalerwe-24h'!L99)</f>
        <v>2</v>
      </c>
      <c r="M99" s="49">
        <f>AVERAGE('26.07 Kampala-Kalerwe-24h'!M99,'27.07 Kampala-Kalerwe-24h'!M99)</f>
        <v>40</v>
      </c>
      <c r="N99" s="49">
        <f>AVERAGE('26.07 Kampala-Kalerwe-24h'!N99,'27.07 Kampala-Kalerwe-24h'!N99)</f>
        <v>0</v>
      </c>
      <c r="O99" s="15">
        <f t="shared" si="35"/>
        <v>70</v>
      </c>
      <c r="P99" s="15">
        <f t="shared" si="36"/>
        <v>110</v>
      </c>
      <c r="R99" s="8"/>
      <c r="T99"/>
    </row>
    <row r="100" spans="2:20" ht="23.1" customHeight="1" x14ac:dyDescent="0.25">
      <c r="B100" s="25" t="s">
        <v>140</v>
      </c>
      <c r="C100" s="49">
        <f>AVERAGE('26.07 Kampala-Kalerwe-24h'!C100,'27.07 Kampala-Kalerwe-24h'!C100)</f>
        <v>44</v>
      </c>
      <c r="D100" s="49">
        <f>AVERAGE('26.07 Kampala-Kalerwe-24h'!D100,'27.07 Kampala-Kalerwe-24h'!D100)</f>
        <v>31</v>
      </c>
      <c r="E100" s="49">
        <f>AVERAGE('26.07 Kampala-Kalerwe-24h'!E100,'27.07 Kampala-Kalerwe-24h'!E100)</f>
        <v>1.5</v>
      </c>
      <c r="F100" s="49">
        <f>AVERAGE('26.07 Kampala-Kalerwe-24h'!F100,'27.07 Kampala-Kalerwe-24h'!F100)</f>
        <v>17</v>
      </c>
      <c r="G100" s="49">
        <f>AVERAGE('26.07 Kampala-Kalerwe-24h'!G100,'27.07 Kampala-Kalerwe-24h'!G100)</f>
        <v>0</v>
      </c>
      <c r="H100" s="49">
        <f>AVERAGE('26.07 Kampala-Kalerwe-24h'!H100,'27.07 Kampala-Kalerwe-24h'!H100)</f>
        <v>0</v>
      </c>
      <c r="I100" s="49">
        <f>AVERAGE('26.07 Kampala-Kalerwe-24h'!I100,'27.07 Kampala-Kalerwe-24h'!I100)</f>
        <v>5</v>
      </c>
      <c r="J100" s="49">
        <f>AVERAGE('26.07 Kampala-Kalerwe-24h'!J100,'27.07 Kampala-Kalerwe-24h'!J100)</f>
        <v>2</v>
      </c>
      <c r="K100" s="49">
        <f>AVERAGE('26.07 Kampala-Kalerwe-24h'!K100,'27.07 Kampala-Kalerwe-24h'!K100)</f>
        <v>1</v>
      </c>
      <c r="L100" s="49">
        <f>AVERAGE('26.07 Kampala-Kalerwe-24h'!L100,'27.07 Kampala-Kalerwe-24h'!L100)</f>
        <v>0</v>
      </c>
      <c r="M100" s="49">
        <f>AVERAGE('26.07 Kampala-Kalerwe-24h'!M100,'27.07 Kampala-Kalerwe-24h'!M100)</f>
        <v>60</v>
      </c>
      <c r="N100" s="49">
        <f>AVERAGE('26.07 Kampala-Kalerwe-24h'!N100,'27.07 Kampala-Kalerwe-24h'!N100)</f>
        <v>0</v>
      </c>
      <c r="O100" s="15">
        <f t="shared" si="35"/>
        <v>101.5</v>
      </c>
      <c r="P100" s="15">
        <f t="shared" si="36"/>
        <v>161.5</v>
      </c>
      <c r="R100" s="8"/>
      <c r="T100"/>
    </row>
    <row r="101" spans="2:20" ht="23.1" customHeight="1" x14ac:dyDescent="0.25">
      <c r="B101" s="23" t="s">
        <v>141</v>
      </c>
      <c r="C101" s="49">
        <f>AVERAGE('26.07 Kampala-Kalerwe-24h'!C101,'27.07 Kampala-Kalerwe-24h'!C101)</f>
        <v>44</v>
      </c>
      <c r="D101" s="49">
        <f>AVERAGE('26.07 Kampala-Kalerwe-24h'!D101,'27.07 Kampala-Kalerwe-24h'!D101)</f>
        <v>30</v>
      </c>
      <c r="E101" s="49">
        <f>AVERAGE('26.07 Kampala-Kalerwe-24h'!E101,'27.07 Kampala-Kalerwe-24h'!E101)</f>
        <v>2.5</v>
      </c>
      <c r="F101" s="49">
        <f>AVERAGE('26.07 Kampala-Kalerwe-24h'!F101,'27.07 Kampala-Kalerwe-24h'!F101)</f>
        <v>27.5</v>
      </c>
      <c r="G101" s="49">
        <f>AVERAGE('26.07 Kampala-Kalerwe-24h'!G101,'27.07 Kampala-Kalerwe-24h'!G101)</f>
        <v>0</v>
      </c>
      <c r="H101" s="49">
        <f>AVERAGE('26.07 Kampala-Kalerwe-24h'!H101,'27.07 Kampala-Kalerwe-24h'!H101)</f>
        <v>0.5</v>
      </c>
      <c r="I101" s="49">
        <f>AVERAGE('26.07 Kampala-Kalerwe-24h'!I101,'27.07 Kampala-Kalerwe-24h'!I101)</f>
        <v>5</v>
      </c>
      <c r="J101" s="49">
        <f>AVERAGE('26.07 Kampala-Kalerwe-24h'!J101,'27.07 Kampala-Kalerwe-24h'!J101)</f>
        <v>4.5</v>
      </c>
      <c r="K101" s="49">
        <f>AVERAGE('26.07 Kampala-Kalerwe-24h'!K101,'27.07 Kampala-Kalerwe-24h'!K101)</f>
        <v>1.5</v>
      </c>
      <c r="L101" s="49">
        <f>AVERAGE('26.07 Kampala-Kalerwe-24h'!L101,'27.07 Kampala-Kalerwe-24h'!L101)</f>
        <v>0</v>
      </c>
      <c r="M101" s="49">
        <f>AVERAGE('26.07 Kampala-Kalerwe-24h'!M101,'27.07 Kampala-Kalerwe-24h'!M101)</f>
        <v>76.5</v>
      </c>
      <c r="N101" s="49">
        <f>AVERAGE('26.07 Kampala-Kalerwe-24h'!N101,'27.07 Kampala-Kalerwe-24h'!N101)</f>
        <v>0</v>
      </c>
      <c r="O101" s="15">
        <f t="shared" si="35"/>
        <v>115.5</v>
      </c>
      <c r="P101" s="15">
        <f t="shared" si="36"/>
        <v>192</v>
      </c>
      <c r="R101" s="8"/>
      <c r="T101"/>
    </row>
    <row r="102" spans="2:20" ht="23.1" customHeight="1" x14ac:dyDescent="0.25">
      <c r="B102" s="24" t="s">
        <v>142</v>
      </c>
      <c r="C102" s="49">
        <f>AVERAGE('26.07 Kampala-Kalerwe-24h'!C102,'27.07 Kampala-Kalerwe-24h'!C102)</f>
        <v>33.5</v>
      </c>
      <c r="D102" s="49">
        <f>AVERAGE('26.07 Kampala-Kalerwe-24h'!D102,'27.07 Kampala-Kalerwe-24h'!D102)</f>
        <v>28</v>
      </c>
      <c r="E102" s="49">
        <f>AVERAGE('26.07 Kampala-Kalerwe-24h'!E102,'27.07 Kampala-Kalerwe-24h'!E102)</f>
        <v>1.5</v>
      </c>
      <c r="F102" s="49">
        <f>AVERAGE('26.07 Kampala-Kalerwe-24h'!F102,'27.07 Kampala-Kalerwe-24h'!F102)</f>
        <v>21.5</v>
      </c>
      <c r="G102" s="49">
        <f>AVERAGE('26.07 Kampala-Kalerwe-24h'!G102,'27.07 Kampala-Kalerwe-24h'!G102)</f>
        <v>1</v>
      </c>
      <c r="H102" s="49">
        <f>AVERAGE('26.07 Kampala-Kalerwe-24h'!H102,'27.07 Kampala-Kalerwe-24h'!H102)</f>
        <v>0.5</v>
      </c>
      <c r="I102" s="49">
        <f>AVERAGE('26.07 Kampala-Kalerwe-24h'!I102,'27.07 Kampala-Kalerwe-24h'!I102)</f>
        <v>5.5</v>
      </c>
      <c r="J102" s="49">
        <f>AVERAGE('26.07 Kampala-Kalerwe-24h'!J102,'27.07 Kampala-Kalerwe-24h'!J102)</f>
        <v>6</v>
      </c>
      <c r="K102" s="49">
        <f>AVERAGE('26.07 Kampala-Kalerwe-24h'!K102,'27.07 Kampala-Kalerwe-24h'!K102)</f>
        <v>1</v>
      </c>
      <c r="L102" s="49">
        <f>AVERAGE('26.07 Kampala-Kalerwe-24h'!L102,'27.07 Kampala-Kalerwe-24h'!L102)</f>
        <v>0</v>
      </c>
      <c r="M102" s="49">
        <f>AVERAGE('26.07 Kampala-Kalerwe-24h'!M102,'27.07 Kampala-Kalerwe-24h'!M102)</f>
        <v>96.5</v>
      </c>
      <c r="N102" s="49">
        <f>AVERAGE('26.07 Kampala-Kalerwe-24h'!N102,'27.07 Kampala-Kalerwe-24h'!N102)</f>
        <v>0</v>
      </c>
      <c r="O102" s="15">
        <f t="shared" si="35"/>
        <v>98.5</v>
      </c>
      <c r="P102" s="15">
        <f t="shared" si="36"/>
        <v>195</v>
      </c>
      <c r="R102" s="8"/>
      <c r="T102"/>
    </row>
    <row r="103" spans="2:20" ht="23.1" customHeight="1" x14ac:dyDescent="0.25">
      <c r="B103" s="23" t="s">
        <v>143</v>
      </c>
      <c r="C103" s="49">
        <f>AVERAGE('26.07 Kampala-Kalerwe-24h'!C103,'27.07 Kampala-Kalerwe-24h'!C103)</f>
        <v>36.5</v>
      </c>
      <c r="D103" s="49">
        <f>AVERAGE('26.07 Kampala-Kalerwe-24h'!D103,'27.07 Kampala-Kalerwe-24h'!D103)</f>
        <v>18.5</v>
      </c>
      <c r="E103" s="49">
        <f>AVERAGE('26.07 Kampala-Kalerwe-24h'!E103,'27.07 Kampala-Kalerwe-24h'!E103)</f>
        <v>3</v>
      </c>
      <c r="F103" s="49">
        <f>AVERAGE('26.07 Kampala-Kalerwe-24h'!F103,'27.07 Kampala-Kalerwe-24h'!F103)</f>
        <v>23.5</v>
      </c>
      <c r="G103" s="49">
        <f>AVERAGE('26.07 Kampala-Kalerwe-24h'!G103,'27.07 Kampala-Kalerwe-24h'!G103)</f>
        <v>0</v>
      </c>
      <c r="H103" s="49">
        <f>AVERAGE('26.07 Kampala-Kalerwe-24h'!H103,'27.07 Kampala-Kalerwe-24h'!H103)</f>
        <v>0.5</v>
      </c>
      <c r="I103" s="49">
        <f>AVERAGE('26.07 Kampala-Kalerwe-24h'!I103,'27.07 Kampala-Kalerwe-24h'!I103)</f>
        <v>3</v>
      </c>
      <c r="J103" s="49">
        <f>AVERAGE('26.07 Kampala-Kalerwe-24h'!J103,'27.07 Kampala-Kalerwe-24h'!J103)</f>
        <v>7.5</v>
      </c>
      <c r="K103" s="49">
        <f>AVERAGE('26.07 Kampala-Kalerwe-24h'!K103,'27.07 Kampala-Kalerwe-24h'!K103)</f>
        <v>1</v>
      </c>
      <c r="L103" s="49">
        <f>AVERAGE('26.07 Kampala-Kalerwe-24h'!L103,'27.07 Kampala-Kalerwe-24h'!L103)</f>
        <v>0.5</v>
      </c>
      <c r="M103" s="49">
        <f>AVERAGE('26.07 Kampala-Kalerwe-24h'!M103,'27.07 Kampala-Kalerwe-24h'!M103)</f>
        <v>108</v>
      </c>
      <c r="N103" s="49">
        <f>AVERAGE('26.07 Kampala-Kalerwe-24h'!N103,'27.07 Kampala-Kalerwe-24h'!N103)</f>
        <v>0</v>
      </c>
      <c r="O103" s="15">
        <f t="shared" si="35"/>
        <v>94</v>
      </c>
      <c r="P103" s="15">
        <f t="shared" si="36"/>
        <v>202</v>
      </c>
      <c r="R103" s="8"/>
      <c r="T103"/>
    </row>
    <row r="104" spans="2:20" ht="23.1" customHeight="1" x14ac:dyDescent="0.25">
      <c r="B104" s="25" t="s">
        <v>144</v>
      </c>
      <c r="C104" s="49">
        <f>AVERAGE('26.07 Kampala-Kalerwe-24h'!C104,'27.07 Kampala-Kalerwe-24h'!C104)</f>
        <v>25</v>
      </c>
      <c r="D104" s="49">
        <f>AVERAGE('26.07 Kampala-Kalerwe-24h'!D104,'27.07 Kampala-Kalerwe-24h'!D104)</f>
        <v>18.5</v>
      </c>
      <c r="E104" s="49">
        <f>AVERAGE('26.07 Kampala-Kalerwe-24h'!E104,'27.07 Kampala-Kalerwe-24h'!E104)</f>
        <v>4</v>
      </c>
      <c r="F104" s="49">
        <f>AVERAGE('26.07 Kampala-Kalerwe-24h'!F104,'27.07 Kampala-Kalerwe-24h'!F104)</f>
        <v>32.5</v>
      </c>
      <c r="G104" s="49">
        <f>AVERAGE('26.07 Kampala-Kalerwe-24h'!G104,'27.07 Kampala-Kalerwe-24h'!G104)</f>
        <v>0.5</v>
      </c>
      <c r="H104" s="49">
        <f>AVERAGE('26.07 Kampala-Kalerwe-24h'!H104,'27.07 Kampala-Kalerwe-24h'!H104)</f>
        <v>2</v>
      </c>
      <c r="I104" s="49">
        <f>AVERAGE('26.07 Kampala-Kalerwe-24h'!I104,'27.07 Kampala-Kalerwe-24h'!I104)</f>
        <v>7.5</v>
      </c>
      <c r="J104" s="49">
        <f>AVERAGE('26.07 Kampala-Kalerwe-24h'!J104,'27.07 Kampala-Kalerwe-24h'!J104)</f>
        <v>3.5</v>
      </c>
      <c r="K104" s="49">
        <f>AVERAGE('26.07 Kampala-Kalerwe-24h'!K104,'27.07 Kampala-Kalerwe-24h'!K104)</f>
        <v>0</v>
      </c>
      <c r="L104" s="49">
        <f>AVERAGE('26.07 Kampala-Kalerwe-24h'!L104,'27.07 Kampala-Kalerwe-24h'!L104)</f>
        <v>0.5</v>
      </c>
      <c r="M104" s="49">
        <f>AVERAGE('26.07 Kampala-Kalerwe-24h'!M104,'27.07 Kampala-Kalerwe-24h'!M104)</f>
        <v>131.5</v>
      </c>
      <c r="N104" s="49">
        <f>AVERAGE('26.07 Kampala-Kalerwe-24h'!N104,'27.07 Kampala-Kalerwe-24h'!N104)</f>
        <v>0</v>
      </c>
      <c r="O104" s="15">
        <f t="shared" si="35"/>
        <v>94</v>
      </c>
      <c r="P104" s="15">
        <f t="shared" si="36"/>
        <v>225.5</v>
      </c>
      <c r="R104" s="8"/>
      <c r="T104"/>
    </row>
    <row r="105" spans="2:20" ht="23.1" customHeight="1" x14ac:dyDescent="0.25">
      <c r="B105" s="23" t="s">
        <v>145</v>
      </c>
      <c r="C105" s="49">
        <f>AVERAGE('26.07 Kampala-Kalerwe-24h'!C105,'27.07 Kampala-Kalerwe-24h'!C105)</f>
        <v>44.5</v>
      </c>
      <c r="D105" s="49">
        <f>AVERAGE('26.07 Kampala-Kalerwe-24h'!D105,'27.07 Kampala-Kalerwe-24h'!D105)</f>
        <v>28.5</v>
      </c>
      <c r="E105" s="49">
        <f>AVERAGE('26.07 Kampala-Kalerwe-24h'!E105,'27.07 Kampala-Kalerwe-24h'!E105)</f>
        <v>5</v>
      </c>
      <c r="F105" s="49">
        <f>AVERAGE('26.07 Kampala-Kalerwe-24h'!F105,'27.07 Kampala-Kalerwe-24h'!F105)</f>
        <v>50</v>
      </c>
      <c r="G105" s="49">
        <f>AVERAGE('26.07 Kampala-Kalerwe-24h'!G105,'27.07 Kampala-Kalerwe-24h'!G105)</f>
        <v>0</v>
      </c>
      <c r="H105" s="49">
        <f>AVERAGE('26.07 Kampala-Kalerwe-24h'!H105,'27.07 Kampala-Kalerwe-24h'!H105)</f>
        <v>0</v>
      </c>
      <c r="I105" s="49">
        <f>AVERAGE('26.07 Kampala-Kalerwe-24h'!I105,'27.07 Kampala-Kalerwe-24h'!I105)</f>
        <v>8</v>
      </c>
      <c r="J105" s="49">
        <f>AVERAGE('26.07 Kampala-Kalerwe-24h'!J105,'27.07 Kampala-Kalerwe-24h'!J105)</f>
        <v>4</v>
      </c>
      <c r="K105" s="49">
        <f>AVERAGE('26.07 Kampala-Kalerwe-24h'!K105,'27.07 Kampala-Kalerwe-24h'!K105)</f>
        <v>1</v>
      </c>
      <c r="L105" s="49">
        <f>AVERAGE('26.07 Kampala-Kalerwe-24h'!L105,'27.07 Kampala-Kalerwe-24h'!L105)</f>
        <v>1.5</v>
      </c>
      <c r="M105" s="49">
        <f>AVERAGE('26.07 Kampala-Kalerwe-24h'!M105,'27.07 Kampala-Kalerwe-24h'!M105)</f>
        <v>160</v>
      </c>
      <c r="N105" s="49">
        <f>AVERAGE('26.07 Kampala-Kalerwe-24h'!N105,'27.07 Kampala-Kalerwe-24h'!N105)</f>
        <v>0</v>
      </c>
      <c r="O105" s="15">
        <f t="shared" si="35"/>
        <v>142.5</v>
      </c>
      <c r="P105" s="15">
        <f t="shared" si="36"/>
        <v>302.5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3101.2857142857142</v>
      </c>
      <c r="D106" s="16">
        <f t="shared" ref="D106:P106" si="37">SUM(D10:D105)</f>
        <v>1156.5</v>
      </c>
      <c r="E106" s="16">
        <f t="shared" si="37"/>
        <v>318.21428571428567</v>
      </c>
      <c r="F106" s="16">
        <f t="shared" si="37"/>
        <v>3044.2857142857142</v>
      </c>
      <c r="G106" s="16">
        <f t="shared" si="37"/>
        <v>130</v>
      </c>
      <c r="H106" s="16">
        <f t="shared" si="37"/>
        <v>69.642857142857139</v>
      </c>
      <c r="I106" s="16">
        <f t="shared" si="37"/>
        <v>596.78571428571433</v>
      </c>
      <c r="J106" s="16">
        <f t="shared" si="37"/>
        <v>187.21428571428569</v>
      </c>
      <c r="K106" s="16">
        <f t="shared" si="37"/>
        <v>84.000000000000014</v>
      </c>
      <c r="L106" s="16">
        <f t="shared" si="37"/>
        <v>57.499999999999993</v>
      </c>
      <c r="M106" s="16">
        <f t="shared" si="37"/>
        <v>12721.571428571428</v>
      </c>
      <c r="N106" s="16">
        <f t="shared" si="37"/>
        <v>1.7857142857142858</v>
      </c>
      <c r="O106" s="16">
        <f t="shared" si="37"/>
        <v>8747.2142857142862</v>
      </c>
      <c r="P106" s="16">
        <f t="shared" si="37"/>
        <v>21468.785714285717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0.14445557171042342</v>
      </c>
      <c r="D107" s="43">
        <f t="shared" si="38"/>
        <v>5.3868906019703018E-2</v>
      </c>
      <c r="E107" s="43">
        <f t="shared" si="38"/>
        <v>1.4822183701919393E-2</v>
      </c>
      <c r="F107" s="43">
        <f t="shared" si="38"/>
        <v>0.14180055429310992</v>
      </c>
      <c r="G107" s="43">
        <f t="shared" si="38"/>
        <v>6.0553028815922109E-3</v>
      </c>
      <c r="H107" s="43">
        <f t="shared" si="38"/>
        <v>3.2439122579958272E-3</v>
      </c>
      <c r="I107" s="43">
        <f t="shared" si="38"/>
        <v>2.7797832733902707E-2</v>
      </c>
      <c r="J107" s="43">
        <f t="shared" si="38"/>
        <v>8.7203015673918589E-3</v>
      </c>
      <c r="K107" s="43">
        <f t="shared" si="38"/>
        <v>3.9126572465672752E-3</v>
      </c>
      <c r="L107" s="43">
        <f t="shared" si="38"/>
        <v>2.6783070437811701E-3</v>
      </c>
      <c r="M107" s="43">
        <f t="shared" si="38"/>
        <v>0.59256129330622853</v>
      </c>
      <c r="N107" s="43">
        <f t="shared" si="38"/>
        <v>8.3177237384508392E-5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0.35454552878059137</v>
      </c>
      <c r="D108" s="44">
        <f t="shared" ref="D108:N108" si="39">D106/$O$106</f>
        <v>0.1322135210393513</v>
      </c>
      <c r="E108" s="44">
        <f t="shared" si="39"/>
        <v>3.6378928801822613E-2</v>
      </c>
      <c r="F108" s="44">
        <f t="shared" si="39"/>
        <v>0.34802916846996185</v>
      </c>
      <c r="G108" s="44">
        <f t="shared" si="39"/>
        <v>1.4861874392663786E-2</v>
      </c>
      <c r="H108" s="44">
        <f t="shared" si="39"/>
        <v>7.961718424641313E-3</v>
      </c>
      <c r="I108" s="44">
        <f t="shared" si="39"/>
        <v>6.8225802500387886E-2</v>
      </c>
      <c r="J108" s="44">
        <f t="shared" si="39"/>
        <v>2.1402732298446032E-2</v>
      </c>
      <c r="K108" s="44">
        <f t="shared" si="39"/>
        <v>9.6030572998750639E-3</v>
      </c>
      <c r="L108" s="44">
        <f t="shared" si="39"/>
        <v>6.5735213659859045E-3</v>
      </c>
      <c r="M108" s="44"/>
      <c r="N108" s="44">
        <f t="shared" si="39"/>
        <v>2.0414662627285421E-4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R126" s="8"/>
      <c r="T126"/>
    </row>
    <row r="127" spans="2:20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R127" s="8"/>
      <c r="T127"/>
    </row>
    <row r="128" spans="2:20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R128" s="8"/>
      <c r="T128"/>
    </row>
    <row r="129" spans="2:20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R129" s="8"/>
      <c r="T129"/>
    </row>
    <row r="130" spans="2:20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R130" s="8"/>
      <c r="T130"/>
    </row>
    <row r="131" spans="2:20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R131" s="8"/>
      <c r="T131"/>
    </row>
    <row r="132" spans="2:20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R132" s="8"/>
      <c r="T132"/>
    </row>
    <row r="133" spans="2:20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R133" s="8"/>
      <c r="T133"/>
    </row>
    <row r="134" spans="2:20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R134" s="8"/>
      <c r="T134"/>
    </row>
    <row r="135" spans="2:20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R135" s="8"/>
      <c r="T135"/>
    </row>
    <row r="136" spans="2:20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R136" s="8"/>
      <c r="T136"/>
    </row>
    <row r="137" spans="2:20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R137" s="8"/>
      <c r="T137"/>
    </row>
    <row r="138" spans="2:20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R138" s="8"/>
      <c r="T138"/>
    </row>
    <row r="139" spans="2:20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R139" s="8"/>
      <c r="T139"/>
    </row>
    <row r="140" spans="2:20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R140" s="8"/>
      <c r="T140"/>
    </row>
    <row r="141" spans="2:20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R141" s="8"/>
      <c r="T141"/>
    </row>
    <row r="142" spans="2:20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R142" s="8"/>
      <c r="T142"/>
    </row>
    <row r="143" spans="2:20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R143" s="8"/>
      <c r="T143"/>
    </row>
    <row r="144" spans="2:20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R144" s="8"/>
      <c r="T144"/>
    </row>
    <row r="145" spans="2:20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R145" s="8"/>
      <c r="T145"/>
    </row>
    <row r="146" spans="2:20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R146" s="8"/>
      <c r="T146"/>
    </row>
    <row r="147" spans="2:20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R147" s="8"/>
      <c r="T147"/>
    </row>
    <row r="148" spans="2:20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R148" s="8"/>
      <c r="T148"/>
    </row>
    <row r="149" spans="2:20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R149" s="8"/>
      <c r="T149"/>
    </row>
    <row r="150" spans="2:20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R150" s="8"/>
      <c r="T150"/>
    </row>
    <row r="151" spans="2:20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R151" s="8"/>
      <c r="T151"/>
    </row>
    <row r="152" spans="2:20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R152" s="8"/>
      <c r="T152"/>
    </row>
    <row r="153" spans="2:20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R153" s="8"/>
      <c r="T153"/>
    </row>
    <row r="154" spans="2:20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R154" s="8"/>
      <c r="T154"/>
    </row>
    <row r="155" spans="2:20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R155" s="8"/>
      <c r="T155"/>
    </row>
    <row r="156" spans="2:20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R156" s="8"/>
      <c r="T156"/>
    </row>
    <row r="157" spans="2:20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R157" s="8"/>
      <c r="T157"/>
    </row>
    <row r="158" spans="2:20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R158" s="8"/>
      <c r="T158"/>
    </row>
    <row r="159" spans="2:20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R159" s="8"/>
      <c r="T159"/>
    </row>
    <row r="160" spans="2:20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R160" s="8"/>
      <c r="T160"/>
    </row>
    <row r="161" spans="2:20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R161" s="8"/>
      <c r="T161"/>
    </row>
    <row r="162" spans="2:20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R162" s="8"/>
      <c r="T162"/>
    </row>
    <row r="163" spans="2:20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R163" s="8"/>
      <c r="T163"/>
    </row>
    <row r="164" spans="2:20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R164" s="8"/>
      <c r="T164"/>
    </row>
    <row r="165" spans="2:20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R165" s="8"/>
      <c r="T165"/>
    </row>
    <row r="166" spans="2:20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R166" s="8"/>
      <c r="T166"/>
    </row>
    <row r="167" spans="2:20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R167" s="8"/>
      <c r="T167"/>
    </row>
    <row r="168" spans="2:20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R168" s="8"/>
      <c r="T168"/>
    </row>
    <row r="169" spans="2:20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R169" s="8"/>
      <c r="T169"/>
    </row>
    <row r="170" spans="2:20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R170" s="8"/>
      <c r="T170"/>
    </row>
    <row r="171" spans="2:20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R171" s="8"/>
      <c r="T171"/>
    </row>
    <row r="172" spans="2:20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R172" s="8"/>
      <c r="T172"/>
    </row>
    <row r="173" spans="2:20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R173" s="8"/>
      <c r="T173"/>
    </row>
    <row r="174" spans="2:20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R174" s="8"/>
      <c r="T174"/>
    </row>
    <row r="175" spans="2:20" ht="23.1" customHeight="1" x14ac:dyDescent="0.25">
      <c r="R175" s="8"/>
      <c r="T175"/>
    </row>
    <row r="176" spans="2:20" ht="23.1" customHeight="1" x14ac:dyDescent="0.25">
      <c r="R176" s="8"/>
      <c r="T176"/>
    </row>
    <row r="177" spans="18:20" ht="23.1" customHeight="1" x14ac:dyDescent="0.25">
      <c r="R177" s="8"/>
      <c r="T177"/>
    </row>
    <row r="178" spans="18:20" ht="23.1" customHeight="1" x14ac:dyDescent="0.25">
      <c r="R178" s="8"/>
      <c r="T178"/>
    </row>
    <row r="179" spans="18:20" ht="23.1" customHeight="1" x14ac:dyDescent="0.25">
      <c r="R179" s="8"/>
      <c r="T179"/>
    </row>
    <row r="180" spans="18:20" ht="23.1" customHeight="1" x14ac:dyDescent="0.25">
      <c r="R180" s="8"/>
      <c r="T180"/>
    </row>
    <row r="181" spans="18:20" ht="23.1" customHeight="1" x14ac:dyDescent="0.25">
      <c r="R181" s="8"/>
      <c r="T181"/>
    </row>
    <row r="182" spans="18:20" ht="23.1" customHeight="1" x14ac:dyDescent="0.25">
      <c r="R182" s="8"/>
      <c r="T182"/>
    </row>
    <row r="183" spans="18:20" ht="23.1" customHeight="1" x14ac:dyDescent="0.25">
      <c r="R183" s="8"/>
      <c r="T183"/>
    </row>
    <row r="184" spans="18:20" ht="23.1" customHeight="1" x14ac:dyDescent="0.25">
      <c r="R184" s="8"/>
      <c r="T184"/>
    </row>
    <row r="185" spans="18:20" ht="23.1" customHeight="1" x14ac:dyDescent="0.25">
      <c r="R185" s="8"/>
      <c r="T185"/>
    </row>
    <row r="186" spans="18:20" ht="23.1" customHeight="1" x14ac:dyDescent="0.25">
      <c r="R186" s="8"/>
      <c r="T186"/>
    </row>
    <row r="187" spans="18:20" ht="23.1" customHeight="1" x14ac:dyDescent="0.25">
      <c r="R187" s="8"/>
      <c r="T187"/>
    </row>
    <row r="188" spans="18:20" ht="23.1" customHeight="1" x14ac:dyDescent="0.25">
      <c r="R188" s="8"/>
      <c r="T188"/>
    </row>
    <row r="189" spans="18:20" ht="23.1" customHeight="1" x14ac:dyDescent="0.25">
      <c r="R189" s="8"/>
      <c r="T189"/>
    </row>
    <row r="190" spans="18:20" ht="23.1" customHeight="1" x14ac:dyDescent="0.25">
      <c r="R190" s="8"/>
      <c r="T190"/>
    </row>
    <row r="191" spans="18:20" ht="23.1" customHeight="1" x14ac:dyDescent="0.25">
      <c r="R191" s="8"/>
      <c r="T191"/>
    </row>
    <row r="192" spans="18:20" ht="23.1" customHeight="1" x14ac:dyDescent="0.25">
      <c r="R192" s="8"/>
      <c r="T192"/>
    </row>
    <row r="193" spans="18:20" ht="23.1" customHeight="1" x14ac:dyDescent="0.25">
      <c r="R193" s="8"/>
      <c r="T193"/>
    </row>
    <row r="194" spans="18:20" ht="23.1" customHeight="1" x14ac:dyDescent="0.25">
      <c r="R194" s="8"/>
      <c r="T194"/>
    </row>
    <row r="195" spans="18:20" ht="23.1" customHeight="1" x14ac:dyDescent="0.25">
      <c r="R195" s="8"/>
      <c r="T195"/>
    </row>
    <row r="196" spans="18:20" ht="23.1" customHeight="1" x14ac:dyDescent="0.25">
      <c r="R196" s="8"/>
      <c r="T196"/>
    </row>
    <row r="197" spans="18:20" ht="23.1" customHeight="1" x14ac:dyDescent="0.25">
      <c r="R197" s="8"/>
      <c r="T197"/>
    </row>
    <row r="198" spans="18:20" ht="23.1" customHeight="1" x14ac:dyDescent="0.25">
      <c r="R198" s="8"/>
      <c r="T198"/>
    </row>
    <row r="199" spans="18:20" ht="23.1" customHeight="1" x14ac:dyDescent="0.25">
      <c r="R199" s="8"/>
      <c r="T199"/>
    </row>
    <row r="200" spans="18:20" ht="23.1" customHeight="1" x14ac:dyDescent="0.25">
      <c r="R200" s="8"/>
      <c r="T200"/>
    </row>
    <row r="201" spans="18:20" ht="23.1" customHeight="1" x14ac:dyDescent="0.25">
      <c r="R201" s="8"/>
      <c r="T201"/>
    </row>
    <row r="202" spans="18:20" ht="23.1" customHeight="1" x14ac:dyDescent="0.25">
      <c r="R202" s="8"/>
      <c r="T202"/>
    </row>
    <row r="203" spans="18:20" ht="23.1" customHeight="1" x14ac:dyDescent="0.25">
      <c r="R203" s="8"/>
      <c r="T203"/>
    </row>
    <row r="204" spans="18:20" ht="23.1" customHeight="1" x14ac:dyDescent="0.25">
      <c r="R204" s="8"/>
      <c r="T204"/>
    </row>
    <row r="205" spans="18:20" ht="23.1" customHeight="1" x14ac:dyDescent="0.25">
      <c r="R205" s="8"/>
      <c r="T205"/>
    </row>
    <row r="206" spans="18:20" ht="23.1" customHeight="1" x14ac:dyDescent="0.25">
      <c r="R206" s="8"/>
      <c r="T206"/>
    </row>
    <row r="207" spans="18:20" ht="23.1" customHeight="1" x14ac:dyDescent="0.25">
      <c r="R207" s="8"/>
      <c r="T207"/>
    </row>
    <row r="208" spans="18:20" ht="23.1" customHeight="1" x14ac:dyDescent="0.25">
      <c r="R208" s="8"/>
      <c r="T208"/>
    </row>
    <row r="209" spans="17:20" ht="23.1" customHeight="1" x14ac:dyDescent="0.25">
      <c r="R209" s="8"/>
      <c r="T209"/>
    </row>
    <row r="210" spans="17:20" ht="23.1" customHeight="1" x14ac:dyDescent="0.25">
      <c r="R210" s="8"/>
      <c r="T210"/>
    </row>
    <row r="211" spans="17:20" ht="23.1" customHeight="1" x14ac:dyDescent="0.25">
      <c r="R211" s="8"/>
      <c r="T211"/>
    </row>
    <row r="212" spans="17:20" ht="23.1" customHeight="1" x14ac:dyDescent="0.25">
      <c r="R212" s="8"/>
      <c r="T212"/>
    </row>
    <row r="213" spans="17:20" ht="23.1" customHeight="1" x14ac:dyDescent="0.25">
      <c r="R213" s="8"/>
      <c r="T213"/>
    </row>
    <row r="214" spans="17:20" ht="23.1" customHeight="1" x14ac:dyDescent="0.25">
      <c r="R214" s="8"/>
      <c r="T214"/>
    </row>
    <row r="215" spans="17:20" ht="23.1" customHeight="1" x14ac:dyDescent="0.25">
      <c r="R215" s="8"/>
      <c r="T215"/>
    </row>
    <row r="216" spans="17:20" ht="23.1" customHeight="1" x14ac:dyDescent="0.25">
      <c r="R216" s="8"/>
      <c r="T216"/>
    </row>
    <row r="217" spans="17:20" ht="23.1" customHeight="1" x14ac:dyDescent="0.25">
      <c r="R217" s="8"/>
      <c r="T217"/>
    </row>
    <row r="218" spans="17:20" ht="23.1" customHeight="1" x14ac:dyDescent="0.25">
      <c r="R218" s="8"/>
      <c r="T218"/>
    </row>
    <row r="219" spans="17:20" ht="23.1" customHeight="1" x14ac:dyDescent="0.25">
      <c r="R219" s="8"/>
      <c r="T219"/>
    </row>
    <row r="220" spans="17:20" ht="23.1" customHeight="1" x14ac:dyDescent="0.25">
      <c r="Q220" s="7"/>
      <c r="R220" s="8"/>
      <c r="T220"/>
    </row>
    <row r="221" spans="17:20" ht="20.100000000000001" customHeight="1" x14ac:dyDescent="0.25">
      <c r="Q221" s="7"/>
      <c r="R221" s="8"/>
      <c r="T221"/>
    </row>
    <row r="222" spans="17:20" ht="20.100000000000001" customHeight="1" x14ac:dyDescent="0.25">
      <c r="Q222" s="7"/>
      <c r="R222" s="8"/>
      <c r="T222"/>
    </row>
    <row r="223" spans="17:20" ht="20.100000000000001" customHeight="1" x14ac:dyDescent="0.25">
      <c r="Q223" s="7"/>
    </row>
    <row r="224" spans="17:20" ht="20.100000000000001" customHeight="1" x14ac:dyDescent="0.25">
      <c r="Q224" s="7"/>
    </row>
    <row r="225" spans="2:20" s="7" customFormat="1" ht="20.100000000000001" customHeight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S225" s="8"/>
      <c r="T225" s="8"/>
    </row>
    <row r="226" spans="2:20" s="7" customFormat="1" ht="20.100000000000001" customHeight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S226" s="8"/>
      <c r="T226" s="8"/>
    </row>
    <row r="227" spans="2:20" s="7" customFormat="1" ht="20.100000000000001" customHeight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S227" s="8"/>
      <c r="T227" s="8"/>
    </row>
    <row r="228" spans="2:20" s="7" customFormat="1" ht="20.100000000000001" customHeight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S228" s="8"/>
      <c r="T228" s="8"/>
    </row>
    <row r="229" spans="2:20" s="7" customFormat="1" ht="20.100000000000001" customHeight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S229" s="8"/>
      <c r="T229" s="8"/>
    </row>
    <row r="230" spans="2:20" s="7" customFormat="1" ht="20.100000000000001" customHeight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S230" s="8"/>
      <c r="T230" s="8"/>
    </row>
    <row r="231" spans="2:20" s="7" customFormat="1" ht="20.100000000000001" customHeight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S231" s="8"/>
      <c r="T231" s="8"/>
    </row>
    <row r="232" spans="2:20" s="7" customFormat="1" ht="20.100000000000001" customHeight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S232" s="8"/>
      <c r="T232" s="8"/>
    </row>
    <row r="233" spans="2:20" s="7" customFormat="1" ht="20.100000000000001" customHeight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S233" s="8"/>
      <c r="T233" s="8"/>
    </row>
    <row r="234" spans="2:20" s="7" customFormat="1" ht="20.100000000000001" customHeight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S234" s="8"/>
      <c r="T234" s="8"/>
    </row>
    <row r="235" spans="2:20" s="7" customFormat="1" ht="20.100000000000001" customHeight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S235" s="8"/>
      <c r="T235" s="8"/>
    </row>
    <row r="236" spans="2:20" s="7" customFormat="1" ht="20.100000000000001" customHeight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S236" s="8"/>
      <c r="T236" s="8"/>
    </row>
    <row r="237" spans="2:20" s="7" customFormat="1" ht="20.100000000000001" customHeight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S237" s="8"/>
      <c r="T237" s="8"/>
    </row>
    <row r="238" spans="2:20" s="7" customFormat="1" ht="20.100000000000001" customHeight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S238" s="8"/>
      <c r="T238" s="8"/>
    </row>
    <row r="239" spans="2:20" s="7" customFormat="1" ht="20.100000000000001" customHeight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S239" s="8"/>
      <c r="T239" s="8"/>
    </row>
    <row r="240" spans="2:20" s="7" customFormat="1" ht="20.100000000000001" customHeight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S240" s="8"/>
      <c r="T240" s="8"/>
    </row>
    <row r="264" ht="22.5" customHeight="1" x14ac:dyDescent="0.25"/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1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A76" zoomScale="60" workbookViewId="0">
      <selection activeCell="V94" sqref="V9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8" width="10.7109375" customWidth="1"/>
    <col min="29" max="29" width="15.85546875" style="19" customWidth="1"/>
    <col min="30" max="31" width="10.7109375" customWidth="1"/>
    <col min="32" max="32" width="11.85546875" bestFit="1" customWidth="1"/>
    <col min="33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2" t="str">
        <f>'28.07 Kampala-Kalerwe'!C3:G3</f>
        <v>MCC - C1 - STN24 GAYAZA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'Avg Week Kampala-Kalerwe'!G5:H5</f>
        <v>Wandegeya</v>
      </c>
      <c r="H5" s="66"/>
      <c r="I5" s="14"/>
      <c r="J5" s="2" t="s">
        <v>5</v>
      </c>
      <c r="K5" s="65" t="str">
        <f>'Avg Week Kampala-Kalerwe'!K5:L5</f>
        <v>Beteth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Kampala-Kalerwe'!K6:L6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Kalerwe-Kampala'!C10+'Avg Week Kampala-Kalerwe'!C10</f>
        <v>75.571428571428569</v>
      </c>
      <c r="D10" s="49">
        <f>'Avg Week Kalerwe-Kampala'!D10+'Avg Week Kampala-Kalerwe'!D10</f>
        <v>30.857142857142854</v>
      </c>
      <c r="E10" s="49">
        <f>'Avg Week Kalerwe-Kampala'!E10+'Avg Week Kampala-Kalerwe'!E10</f>
        <v>22.428571428571431</v>
      </c>
      <c r="F10" s="49">
        <f>'Avg Week Kalerwe-Kampala'!F10+'Avg Week Kampala-Kalerwe'!F10</f>
        <v>92.285714285714278</v>
      </c>
      <c r="G10" s="49">
        <f>'Avg Week Kalerwe-Kampala'!G10+'Avg Week Kampala-Kalerwe'!G10</f>
        <v>2.7142857142857144</v>
      </c>
      <c r="H10" s="49">
        <f>'Avg Week Kalerwe-Kampala'!H10+'Avg Week Kampala-Kalerwe'!H10</f>
        <v>4</v>
      </c>
      <c r="I10" s="49">
        <f>'Avg Week Kalerwe-Kampala'!I10+'Avg Week Kampala-Kalerwe'!I10</f>
        <v>12.285714285714285</v>
      </c>
      <c r="J10" s="49">
        <f>'Avg Week Kalerwe-Kampala'!J10+'Avg Week Kampala-Kalerwe'!J10</f>
        <v>0.8571428571428571</v>
      </c>
      <c r="K10" s="49">
        <f>'Avg Week Kalerwe-Kampala'!K10+'Avg Week Kampala-Kalerwe'!K10</f>
        <v>1.1428571428571428</v>
      </c>
      <c r="L10" s="49">
        <f>'Avg Week Kalerwe-Kampala'!L10+'Avg Week Kampala-Kalerwe'!L10</f>
        <v>0.2857142857142857</v>
      </c>
      <c r="M10" s="49">
        <f>'Avg Week Kalerwe-Kampala'!M10+'Avg Week Kampala-Kalerwe'!M10</f>
        <v>349.14285714285717</v>
      </c>
      <c r="N10" s="49">
        <f>'Avg Week Kalerwe-Kampala'!N10+'Avg Week Kampala-Kalerwe'!N10</f>
        <v>0</v>
      </c>
      <c r="O10" s="15">
        <f t="shared" ref="O10:O73" si="0">SUM(C10:L10,N10)</f>
        <v>242.42857142857139</v>
      </c>
      <c r="P10" s="15">
        <f t="shared" ref="P10:P73" si="1">SUM(C10:N10)</f>
        <v>591.57142857142856</v>
      </c>
      <c r="R10" s="1" t="s">
        <v>6</v>
      </c>
      <c r="S10" s="17">
        <f t="shared" ref="S10:AF10" si="2">SUM(C10:C13)</f>
        <v>304</v>
      </c>
      <c r="T10" s="17">
        <f t="shared" si="2"/>
        <v>114.28571428571428</v>
      </c>
      <c r="U10" s="17">
        <f t="shared" si="2"/>
        <v>68.571428571428569</v>
      </c>
      <c r="V10" s="17">
        <f t="shared" si="2"/>
        <v>366.57142857142856</v>
      </c>
      <c r="W10" s="17">
        <f t="shared" si="2"/>
        <v>10.142857142857141</v>
      </c>
      <c r="X10" s="17">
        <f t="shared" si="2"/>
        <v>11.142857142857142</v>
      </c>
      <c r="Y10" s="17">
        <f t="shared" si="2"/>
        <v>51.285714285714292</v>
      </c>
      <c r="Z10" s="17">
        <f t="shared" si="2"/>
        <v>8.1428571428571423</v>
      </c>
      <c r="AA10" s="17">
        <f t="shared" si="2"/>
        <v>5.7142857142857135</v>
      </c>
      <c r="AB10" s="17">
        <f t="shared" si="2"/>
        <v>1.8571428571428568</v>
      </c>
      <c r="AC10" s="17">
        <f t="shared" si="2"/>
        <v>1506.2857142857142</v>
      </c>
      <c r="AD10" s="17">
        <f t="shared" si="2"/>
        <v>1.2857142857142858</v>
      </c>
      <c r="AE10" s="31">
        <f t="shared" si="2"/>
        <v>943</v>
      </c>
      <c r="AF10" s="31">
        <f t="shared" si="2"/>
        <v>2449.2857142857142</v>
      </c>
    </row>
    <row r="11" spans="2:32" s="6" customFormat="1" ht="23.1" customHeight="1" x14ac:dyDescent="0.25">
      <c r="B11" s="23" t="s">
        <v>38</v>
      </c>
      <c r="C11" s="49">
        <f>'Avg Week Kalerwe-Kampala'!C11+'Avg Week Kampala-Kalerwe'!C11</f>
        <v>69.428571428571416</v>
      </c>
      <c r="D11" s="49">
        <f>'Avg Week Kalerwe-Kampala'!D11+'Avg Week Kampala-Kalerwe'!D11</f>
        <v>23.857142857142858</v>
      </c>
      <c r="E11" s="49">
        <f>'Avg Week Kalerwe-Kampala'!E11+'Avg Week Kampala-Kalerwe'!E11</f>
        <v>16.142857142857142</v>
      </c>
      <c r="F11" s="49">
        <f>'Avg Week Kalerwe-Kampala'!F11+'Avg Week Kampala-Kalerwe'!F11</f>
        <v>85.142857142857139</v>
      </c>
      <c r="G11" s="49">
        <f>'Avg Week Kalerwe-Kampala'!G11+'Avg Week Kampala-Kalerwe'!G11</f>
        <v>2.8571428571428572</v>
      </c>
      <c r="H11" s="49">
        <f>'Avg Week Kalerwe-Kampala'!H11+'Avg Week Kampala-Kalerwe'!H11</f>
        <v>3</v>
      </c>
      <c r="I11" s="49">
        <f>'Avg Week Kalerwe-Kampala'!I11+'Avg Week Kampala-Kalerwe'!I11</f>
        <v>16</v>
      </c>
      <c r="J11" s="49">
        <f>'Avg Week Kalerwe-Kampala'!J11+'Avg Week Kampala-Kalerwe'!J11</f>
        <v>2.4285714285714284</v>
      </c>
      <c r="K11" s="49">
        <f>'Avg Week Kalerwe-Kampala'!K11+'Avg Week Kampala-Kalerwe'!K11</f>
        <v>1.7142857142857144</v>
      </c>
      <c r="L11" s="49">
        <f>'Avg Week Kalerwe-Kampala'!L11+'Avg Week Kampala-Kalerwe'!L11</f>
        <v>1.2857142857142856</v>
      </c>
      <c r="M11" s="49">
        <f>'Avg Week Kalerwe-Kampala'!M11+'Avg Week Kampala-Kalerwe'!M11</f>
        <v>329.85714285714289</v>
      </c>
      <c r="N11" s="49">
        <f>'Avg Week Kalerwe-Kampala'!N11+'Avg Week Kampala-Kalerwe'!N11</f>
        <v>0</v>
      </c>
      <c r="O11" s="15">
        <f t="shared" si="0"/>
        <v>221.85714285714283</v>
      </c>
      <c r="P11" s="15">
        <f t="shared" si="1"/>
        <v>551.71428571428578</v>
      </c>
      <c r="R11" s="1" t="s">
        <v>7</v>
      </c>
      <c r="S11" s="17">
        <f t="shared" ref="S11:AF11" si="3">SUM(C14:C17)</f>
        <v>277.14285714285717</v>
      </c>
      <c r="T11" s="17">
        <f t="shared" si="3"/>
        <v>98.999999999999986</v>
      </c>
      <c r="U11" s="17">
        <f t="shared" si="3"/>
        <v>35.285714285714285</v>
      </c>
      <c r="V11" s="17">
        <f t="shared" si="3"/>
        <v>406.71428571428578</v>
      </c>
      <c r="W11" s="17">
        <f t="shared" si="3"/>
        <v>5.7142857142857144</v>
      </c>
      <c r="X11" s="17">
        <f t="shared" si="3"/>
        <v>3.2857142857142856</v>
      </c>
      <c r="Y11" s="17">
        <f t="shared" si="3"/>
        <v>59.714285714285715</v>
      </c>
      <c r="Z11" s="17">
        <f t="shared" si="3"/>
        <v>9.2857142857142865</v>
      </c>
      <c r="AA11" s="17">
        <f t="shared" si="3"/>
        <v>5.2857142857142856</v>
      </c>
      <c r="AB11" s="17">
        <f t="shared" si="3"/>
        <v>1.5714285714285714</v>
      </c>
      <c r="AC11" s="17">
        <f t="shared" si="3"/>
        <v>1862.4285714285716</v>
      </c>
      <c r="AD11" s="17">
        <f t="shared" si="3"/>
        <v>0</v>
      </c>
      <c r="AE11" s="31">
        <f t="shared" si="3"/>
        <v>903.00000000000011</v>
      </c>
      <c r="AF11" s="31">
        <f t="shared" si="3"/>
        <v>2765.4285714285716</v>
      </c>
    </row>
    <row r="12" spans="2:32" ht="23.1" customHeight="1" x14ac:dyDescent="0.25">
      <c r="B12" s="23" t="s">
        <v>39</v>
      </c>
      <c r="C12" s="49">
        <f>'Avg Week Kalerwe-Kampala'!C12+'Avg Week Kampala-Kalerwe'!C12</f>
        <v>84.285714285714292</v>
      </c>
      <c r="D12" s="49">
        <f>'Avg Week Kalerwe-Kampala'!D12+'Avg Week Kampala-Kalerwe'!D12</f>
        <v>32.428571428571431</v>
      </c>
      <c r="E12" s="49">
        <f>'Avg Week Kalerwe-Kampala'!E12+'Avg Week Kampala-Kalerwe'!E12</f>
        <v>10.571428571428571</v>
      </c>
      <c r="F12" s="49">
        <f>'Avg Week Kalerwe-Kampala'!F12+'Avg Week Kampala-Kalerwe'!F12</f>
        <v>96.285714285714278</v>
      </c>
      <c r="G12" s="49">
        <f>'Avg Week Kalerwe-Kampala'!G12+'Avg Week Kampala-Kalerwe'!G12</f>
        <v>2.8571428571428568</v>
      </c>
      <c r="H12" s="49">
        <f>'Avg Week Kalerwe-Kampala'!H12+'Avg Week Kampala-Kalerwe'!H12</f>
        <v>2</v>
      </c>
      <c r="I12" s="49">
        <f>'Avg Week Kalerwe-Kampala'!I12+'Avg Week Kampala-Kalerwe'!I12</f>
        <v>13.142857142857142</v>
      </c>
      <c r="J12" s="49">
        <f>'Avg Week Kalerwe-Kampala'!J12+'Avg Week Kampala-Kalerwe'!J12</f>
        <v>2.8571428571428572</v>
      </c>
      <c r="K12" s="49">
        <f>'Avg Week Kalerwe-Kampala'!K12+'Avg Week Kampala-Kalerwe'!K12</f>
        <v>1.2857142857142856</v>
      </c>
      <c r="L12" s="49">
        <f>'Avg Week Kalerwe-Kampala'!L12+'Avg Week Kampala-Kalerwe'!L12</f>
        <v>0.14285714285714285</v>
      </c>
      <c r="M12" s="49">
        <f>'Avg Week Kalerwe-Kampala'!M12+'Avg Week Kampala-Kalerwe'!M12</f>
        <v>382.57142857142856</v>
      </c>
      <c r="N12" s="49">
        <f>'Avg Week Kalerwe-Kampala'!N12+'Avg Week Kampala-Kalerwe'!N12</f>
        <v>0</v>
      </c>
      <c r="O12" s="15">
        <f t="shared" si="0"/>
        <v>245.85714285714283</v>
      </c>
      <c r="P12" s="15">
        <f t="shared" si="1"/>
        <v>628.42857142857133</v>
      </c>
      <c r="R12" s="1" t="s">
        <v>8</v>
      </c>
      <c r="S12" s="17">
        <f t="shared" ref="S12:AF12" si="4">SUM(C18:C21)</f>
        <v>342.28571428571433</v>
      </c>
      <c r="T12" s="17">
        <f t="shared" si="4"/>
        <v>98.571428571428555</v>
      </c>
      <c r="U12" s="17">
        <f t="shared" si="4"/>
        <v>43.571428571428569</v>
      </c>
      <c r="V12" s="17">
        <f t="shared" si="4"/>
        <v>443.85714285714289</v>
      </c>
      <c r="W12" s="17">
        <f t="shared" si="4"/>
        <v>12.571428571428573</v>
      </c>
      <c r="X12" s="17">
        <f t="shared" si="4"/>
        <v>4.8571428571428568</v>
      </c>
      <c r="Y12" s="17">
        <f t="shared" si="4"/>
        <v>69</v>
      </c>
      <c r="Z12" s="17">
        <f t="shared" si="4"/>
        <v>15.142857142857142</v>
      </c>
      <c r="AA12" s="17">
        <f t="shared" si="4"/>
        <v>5.5714285714285712</v>
      </c>
      <c r="AB12" s="17">
        <f t="shared" si="4"/>
        <v>4</v>
      </c>
      <c r="AC12" s="17">
        <f t="shared" si="4"/>
        <v>1689.2857142857144</v>
      </c>
      <c r="AD12" s="17">
        <f t="shared" si="4"/>
        <v>0</v>
      </c>
      <c r="AE12" s="31">
        <f t="shared" si="4"/>
        <v>1039.4285714285716</v>
      </c>
      <c r="AF12" s="31">
        <f t="shared" si="4"/>
        <v>2728.7142857142858</v>
      </c>
    </row>
    <row r="13" spans="2:32" ht="23.1" customHeight="1" x14ac:dyDescent="0.25">
      <c r="B13" s="23" t="s">
        <v>40</v>
      </c>
      <c r="C13" s="49">
        <f>'Avg Week Kalerwe-Kampala'!C13+'Avg Week Kampala-Kalerwe'!C13</f>
        <v>74.714285714285722</v>
      </c>
      <c r="D13" s="49">
        <f>'Avg Week Kalerwe-Kampala'!D13+'Avg Week Kampala-Kalerwe'!D13</f>
        <v>27.142857142857142</v>
      </c>
      <c r="E13" s="49">
        <f>'Avg Week Kalerwe-Kampala'!E13+'Avg Week Kampala-Kalerwe'!E13</f>
        <v>19.428571428571431</v>
      </c>
      <c r="F13" s="49">
        <f>'Avg Week Kalerwe-Kampala'!F13+'Avg Week Kampala-Kalerwe'!F13</f>
        <v>92.857142857142861</v>
      </c>
      <c r="G13" s="49">
        <f>'Avg Week Kalerwe-Kampala'!G13+'Avg Week Kampala-Kalerwe'!G13</f>
        <v>1.7142857142857142</v>
      </c>
      <c r="H13" s="49">
        <f>'Avg Week Kalerwe-Kampala'!H13+'Avg Week Kampala-Kalerwe'!H13</f>
        <v>2.1428571428571428</v>
      </c>
      <c r="I13" s="49">
        <f>'Avg Week Kalerwe-Kampala'!I13+'Avg Week Kampala-Kalerwe'!I13</f>
        <v>9.8571428571428577</v>
      </c>
      <c r="J13" s="49">
        <f>'Avg Week Kalerwe-Kampala'!J13+'Avg Week Kampala-Kalerwe'!J13</f>
        <v>2</v>
      </c>
      <c r="K13" s="49">
        <f>'Avg Week Kalerwe-Kampala'!K13+'Avg Week Kampala-Kalerwe'!K13</f>
        <v>1.5714285714285714</v>
      </c>
      <c r="L13" s="49">
        <f>'Avg Week Kalerwe-Kampala'!L13+'Avg Week Kampala-Kalerwe'!L13</f>
        <v>0.14285714285714285</v>
      </c>
      <c r="M13" s="49">
        <f>'Avg Week Kalerwe-Kampala'!M13+'Avg Week Kampala-Kalerwe'!M13</f>
        <v>444.71428571428572</v>
      </c>
      <c r="N13" s="49">
        <f>'Avg Week Kalerwe-Kampala'!N13+'Avg Week Kampala-Kalerwe'!N13</f>
        <v>1.2857142857142858</v>
      </c>
      <c r="O13" s="15">
        <f t="shared" si="0"/>
        <v>232.85714285714289</v>
      </c>
      <c r="P13" s="15">
        <f t="shared" si="1"/>
        <v>677.57142857142867</v>
      </c>
      <c r="R13" s="1" t="s">
        <v>9</v>
      </c>
      <c r="S13" s="17">
        <f t="shared" ref="S13:AF13" si="5">SUM(C22:C25)</f>
        <v>307.28571428571422</v>
      </c>
      <c r="T13" s="17">
        <f t="shared" si="5"/>
        <v>115</v>
      </c>
      <c r="U13" s="17">
        <f t="shared" si="5"/>
        <v>43.714285714285715</v>
      </c>
      <c r="V13" s="17">
        <f t="shared" si="5"/>
        <v>355.85714285714289</v>
      </c>
      <c r="W13" s="17">
        <f t="shared" si="5"/>
        <v>10.714285714285714</v>
      </c>
      <c r="X13" s="17">
        <f t="shared" si="5"/>
        <v>7.2857142857142856</v>
      </c>
      <c r="Y13" s="17">
        <f t="shared" si="5"/>
        <v>64.571428571428584</v>
      </c>
      <c r="Z13" s="17">
        <f t="shared" si="5"/>
        <v>14.857142857142856</v>
      </c>
      <c r="AA13" s="17">
        <f t="shared" si="5"/>
        <v>6.4285714285714279</v>
      </c>
      <c r="AB13" s="17">
        <f t="shared" si="5"/>
        <v>4.5714285714285712</v>
      </c>
      <c r="AC13" s="17">
        <f t="shared" si="5"/>
        <v>1433.1428571428573</v>
      </c>
      <c r="AD13" s="17">
        <f t="shared" si="5"/>
        <v>0</v>
      </c>
      <c r="AE13" s="31">
        <f t="shared" si="5"/>
        <v>930.28571428571422</v>
      </c>
      <c r="AF13" s="31">
        <f t="shared" si="5"/>
        <v>2363.4285714285716</v>
      </c>
    </row>
    <row r="14" spans="2:32" ht="23.1" customHeight="1" x14ac:dyDescent="0.25">
      <c r="B14" s="23" t="s">
        <v>41</v>
      </c>
      <c r="C14" s="49">
        <f>'Avg Week Kalerwe-Kampala'!C14+'Avg Week Kampala-Kalerwe'!C14</f>
        <v>74.857142857142861</v>
      </c>
      <c r="D14" s="49">
        <f>'Avg Week Kalerwe-Kampala'!D14+'Avg Week Kampala-Kalerwe'!D14</f>
        <v>25.857142857142854</v>
      </c>
      <c r="E14" s="49">
        <f>'Avg Week Kalerwe-Kampala'!E14+'Avg Week Kampala-Kalerwe'!E14</f>
        <v>9.1428571428571423</v>
      </c>
      <c r="F14" s="49">
        <f>'Avg Week Kalerwe-Kampala'!F14+'Avg Week Kampala-Kalerwe'!F14</f>
        <v>100.42857142857143</v>
      </c>
      <c r="G14" s="49">
        <f>'Avg Week Kalerwe-Kampala'!G14+'Avg Week Kampala-Kalerwe'!G14</f>
        <v>2.5714285714285716</v>
      </c>
      <c r="H14" s="49">
        <f>'Avg Week Kalerwe-Kampala'!H14+'Avg Week Kampala-Kalerwe'!H14</f>
        <v>0.71428571428571419</v>
      </c>
      <c r="I14" s="49">
        <f>'Avg Week Kalerwe-Kampala'!I14+'Avg Week Kampala-Kalerwe'!I14</f>
        <v>13.571428571428573</v>
      </c>
      <c r="J14" s="49">
        <f>'Avg Week Kalerwe-Kampala'!J14+'Avg Week Kampala-Kalerwe'!J14</f>
        <v>2.5714285714285716</v>
      </c>
      <c r="K14" s="49">
        <f>'Avg Week Kalerwe-Kampala'!K14+'Avg Week Kampala-Kalerwe'!K14</f>
        <v>0.85714285714285721</v>
      </c>
      <c r="L14" s="49">
        <f>'Avg Week Kalerwe-Kampala'!L14+'Avg Week Kampala-Kalerwe'!L14</f>
        <v>0.2857142857142857</v>
      </c>
      <c r="M14" s="49">
        <f>'Avg Week Kalerwe-Kampala'!M14+'Avg Week Kampala-Kalerwe'!M14</f>
        <v>506.71428571428572</v>
      </c>
      <c r="N14" s="49">
        <f>'Avg Week Kalerwe-Kampala'!N14+'Avg Week Kampala-Kalerwe'!N14</f>
        <v>0</v>
      </c>
      <c r="O14" s="15">
        <f t="shared" si="0"/>
        <v>230.85714285714289</v>
      </c>
      <c r="P14" s="15">
        <f t="shared" si="1"/>
        <v>737.57142857142867</v>
      </c>
      <c r="R14" s="1" t="s">
        <v>10</v>
      </c>
      <c r="S14" s="17">
        <f t="shared" ref="S14:AF14" si="6">SUM(C26:C29)</f>
        <v>356.85714285714289</v>
      </c>
      <c r="T14" s="17">
        <f t="shared" si="6"/>
        <v>112.85714285714286</v>
      </c>
      <c r="U14" s="17">
        <f t="shared" si="6"/>
        <v>49.714285714285708</v>
      </c>
      <c r="V14" s="17">
        <f t="shared" si="6"/>
        <v>340.71428571428567</v>
      </c>
      <c r="W14" s="17">
        <f t="shared" si="6"/>
        <v>9.5714285714285712</v>
      </c>
      <c r="X14" s="17">
        <f t="shared" si="6"/>
        <v>5</v>
      </c>
      <c r="Y14" s="17">
        <f t="shared" si="6"/>
        <v>65.714285714285722</v>
      </c>
      <c r="Z14" s="17">
        <f t="shared" si="6"/>
        <v>11</v>
      </c>
      <c r="AA14" s="17">
        <f t="shared" si="6"/>
        <v>4.1428571428571423</v>
      </c>
      <c r="AB14" s="17">
        <f t="shared" si="6"/>
        <v>4.4285714285714288</v>
      </c>
      <c r="AC14" s="17">
        <f t="shared" si="6"/>
        <v>1321.4285714285716</v>
      </c>
      <c r="AD14" s="17">
        <f t="shared" si="6"/>
        <v>0</v>
      </c>
      <c r="AE14" s="31">
        <f t="shared" si="6"/>
        <v>960</v>
      </c>
      <c r="AF14" s="31">
        <f t="shared" si="6"/>
        <v>2281.4285714285711</v>
      </c>
    </row>
    <row r="15" spans="2:32" ht="23.1" customHeight="1" x14ac:dyDescent="0.25">
      <c r="B15" s="23" t="s">
        <v>42</v>
      </c>
      <c r="C15" s="49">
        <f>'Avg Week Kalerwe-Kampala'!C15+'Avg Week Kampala-Kalerwe'!C15</f>
        <v>60.285714285714292</v>
      </c>
      <c r="D15" s="49">
        <f>'Avg Week Kalerwe-Kampala'!D15+'Avg Week Kampala-Kalerwe'!D15</f>
        <v>22.857142857142858</v>
      </c>
      <c r="E15" s="49">
        <f>'Avg Week Kalerwe-Kampala'!E15+'Avg Week Kampala-Kalerwe'!E15</f>
        <v>10</v>
      </c>
      <c r="F15" s="49">
        <f>'Avg Week Kalerwe-Kampala'!F15+'Avg Week Kampala-Kalerwe'!F15</f>
        <v>91.285714285714292</v>
      </c>
      <c r="G15" s="49">
        <f>'Avg Week Kalerwe-Kampala'!G15+'Avg Week Kampala-Kalerwe'!G15</f>
        <v>1.7142857142857142</v>
      </c>
      <c r="H15" s="49">
        <f>'Avg Week Kalerwe-Kampala'!H15+'Avg Week Kampala-Kalerwe'!H15</f>
        <v>1.4285714285714286</v>
      </c>
      <c r="I15" s="49">
        <f>'Avg Week Kalerwe-Kampala'!I15+'Avg Week Kampala-Kalerwe'!I15</f>
        <v>15.571428571428571</v>
      </c>
      <c r="J15" s="49">
        <f>'Avg Week Kalerwe-Kampala'!J15+'Avg Week Kampala-Kalerwe'!J15</f>
        <v>1.5714285714285714</v>
      </c>
      <c r="K15" s="49">
        <f>'Avg Week Kalerwe-Kampala'!K15+'Avg Week Kampala-Kalerwe'!K15</f>
        <v>0.8571428571428571</v>
      </c>
      <c r="L15" s="49">
        <f>'Avg Week Kalerwe-Kampala'!L15+'Avg Week Kampala-Kalerwe'!L15</f>
        <v>0.5714285714285714</v>
      </c>
      <c r="M15" s="49">
        <f>'Avg Week Kalerwe-Kampala'!M15+'Avg Week Kampala-Kalerwe'!M15</f>
        <v>409.85714285714283</v>
      </c>
      <c r="N15" s="49">
        <f>'Avg Week Kalerwe-Kampala'!N15+'Avg Week Kampala-Kalerwe'!N15</f>
        <v>0</v>
      </c>
      <c r="O15" s="15">
        <f t="shared" si="0"/>
        <v>206.1428571428572</v>
      </c>
      <c r="P15" s="15">
        <f t="shared" si="1"/>
        <v>616</v>
      </c>
      <c r="R15" s="1" t="s">
        <v>11</v>
      </c>
      <c r="S15" s="17">
        <f t="shared" ref="S15:AF15" si="7">SUM(C30:C33)</f>
        <v>324.42857142857144</v>
      </c>
      <c r="T15" s="17">
        <f t="shared" si="7"/>
        <v>133.71428571428572</v>
      </c>
      <c r="U15" s="17">
        <f t="shared" si="7"/>
        <v>48.428571428571431</v>
      </c>
      <c r="V15" s="17">
        <f t="shared" si="7"/>
        <v>310.85714285714283</v>
      </c>
      <c r="W15" s="17">
        <f t="shared" si="7"/>
        <v>13.571428571428573</v>
      </c>
      <c r="X15" s="17">
        <f t="shared" si="7"/>
        <v>4.2857142857142856</v>
      </c>
      <c r="Y15" s="17">
        <f t="shared" si="7"/>
        <v>70.714285714285722</v>
      </c>
      <c r="Z15" s="17">
        <f t="shared" si="7"/>
        <v>14.571428571428571</v>
      </c>
      <c r="AA15" s="17">
        <f t="shared" si="7"/>
        <v>6.2857142857142856</v>
      </c>
      <c r="AB15" s="17">
        <f t="shared" si="7"/>
        <v>3.2857142857142856</v>
      </c>
      <c r="AC15" s="17">
        <f t="shared" si="7"/>
        <v>1205.1428571428569</v>
      </c>
      <c r="AD15" s="17">
        <f t="shared" si="7"/>
        <v>0</v>
      </c>
      <c r="AE15" s="31">
        <f t="shared" si="7"/>
        <v>930.14285714285711</v>
      </c>
      <c r="AF15" s="31">
        <f t="shared" si="7"/>
        <v>2135.2857142857142</v>
      </c>
    </row>
    <row r="16" spans="2:32" ht="23.1" customHeight="1" x14ac:dyDescent="0.25">
      <c r="B16" s="23" t="s">
        <v>43</v>
      </c>
      <c r="C16" s="49">
        <f>'Avg Week Kalerwe-Kampala'!C16+'Avg Week Kampala-Kalerwe'!C16</f>
        <v>70.571428571428569</v>
      </c>
      <c r="D16" s="49">
        <f>'Avg Week Kalerwe-Kampala'!D16+'Avg Week Kampala-Kalerwe'!D16</f>
        <v>28.857142857142854</v>
      </c>
      <c r="E16" s="49">
        <f>'Avg Week Kalerwe-Kampala'!E16+'Avg Week Kampala-Kalerwe'!E16</f>
        <v>9.4285714285714288</v>
      </c>
      <c r="F16" s="49">
        <f>'Avg Week Kalerwe-Kampala'!F16+'Avg Week Kampala-Kalerwe'!F16</f>
        <v>104.42857142857143</v>
      </c>
      <c r="G16" s="49">
        <f>'Avg Week Kalerwe-Kampala'!G16+'Avg Week Kampala-Kalerwe'!G16</f>
        <v>0.71428571428571419</v>
      </c>
      <c r="H16" s="49">
        <f>'Avg Week Kalerwe-Kampala'!H16+'Avg Week Kampala-Kalerwe'!H16</f>
        <v>0.5714285714285714</v>
      </c>
      <c r="I16" s="49">
        <f>'Avg Week Kalerwe-Kampala'!I16+'Avg Week Kampala-Kalerwe'!I16</f>
        <v>15.285714285714285</v>
      </c>
      <c r="J16" s="49">
        <f>'Avg Week Kalerwe-Kampala'!J16+'Avg Week Kampala-Kalerwe'!J16</f>
        <v>2</v>
      </c>
      <c r="K16" s="49">
        <f>'Avg Week Kalerwe-Kampala'!K16+'Avg Week Kampala-Kalerwe'!K16</f>
        <v>1</v>
      </c>
      <c r="L16" s="49">
        <f>'Avg Week Kalerwe-Kampala'!L16+'Avg Week Kampala-Kalerwe'!L16</f>
        <v>0.2857142857142857</v>
      </c>
      <c r="M16" s="49">
        <f>'Avg Week Kalerwe-Kampala'!M16+'Avg Week Kampala-Kalerwe'!M16</f>
        <v>487.85714285714289</v>
      </c>
      <c r="N16" s="49">
        <f>'Avg Week Kalerwe-Kampala'!N16+'Avg Week Kampala-Kalerwe'!N16</f>
        <v>0</v>
      </c>
      <c r="O16" s="15">
        <f t="shared" si="0"/>
        <v>233.14285714285714</v>
      </c>
      <c r="P16" s="15">
        <f t="shared" si="1"/>
        <v>721</v>
      </c>
      <c r="R16" s="1" t="s">
        <v>12</v>
      </c>
      <c r="S16" s="17">
        <f t="shared" ref="S16:AF16" si="8">SUM(C34:C37)</f>
        <v>322.14285714285711</v>
      </c>
      <c r="T16" s="17">
        <f t="shared" si="8"/>
        <v>120.42857142857142</v>
      </c>
      <c r="U16" s="17">
        <f t="shared" si="8"/>
        <v>49.714285714285715</v>
      </c>
      <c r="V16" s="17">
        <f t="shared" si="8"/>
        <v>310</v>
      </c>
      <c r="W16" s="17">
        <f t="shared" si="8"/>
        <v>9.1428571428571423</v>
      </c>
      <c r="X16" s="17">
        <f t="shared" si="8"/>
        <v>6.5714285714285712</v>
      </c>
      <c r="Y16" s="17">
        <f t="shared" si="8"/>
        <v>78</v>
      </c>
      <c r="Z16" s="17">
        <f t="shared" si="8"/>
        <v>14</v>
      </c>
      <c r="AA16" s="17">
        <f t="shared" si="8"/>
        <v>10.142857142857142</v>
      </c>
      <c r="AB16" s="17">
        <f t="shared" si="8"/>
        <v>4.4285714285714288</v>
      </c>
      <c r="AC16" s="17">
        <f t="shared" si="8"/>
        <v>1201.8571428571429</v>
      </c>
      <c r="AD16" s="17">
        <f t="shared" si="8"/>
        <v>0</v>
      </c>
      <c r="AE16" s="31">
        <f t="shared" si="8"/>
        <v>924.57142857142867</v>
      </c>
      <c r="AF16" s="31">
        <f t="shared" si="8"/>
        <v>2126.4285714285716</v>
      </c>
    </row>
    <row r="17" spans="2:32" ht="23.1" customHeight="1" x14ac:dyDescent="0.25">
      <c r="B17" s="23" t="s">
        <v>44</v>
      </c>
      <c r="C17" s="49">
        <f>'Avg Week Kalerwe-Kampala'!C17+'Avg Week Kampala-Kalerwe'!C17</f>
        <v>71.428571428571431</v>
      </c>
      <c r="D17" s="49">
        <f>'Avg Week Kalerwe-Kampala'!D17+'Avg Week Kampala-Kalerwe'!D17</f>
        <v>21.428571428571427</v>
      </c>
      <c r="E17" s="49">
        <f>'Avg Week Kalerwe-Kampala'!E17+'Avg Week Kampala-Kalerwe'!E17</f>
        <v>6.7142857142857135</v>
      </c>
      <c r="F17" s="49">
        <f>'Avg Week Kalerwe-Kampala'!F17+'Avg Week Kampala-Kalerwe'!F17</f>
        <v>110.57142857142858</v>
      </c>
      <c r="G17" s="49">
        <f>'Avg Week Kalerwe-Kampala'!G17+'Avg Week Kampala-Kalerwe'!G17</f>
        <v>0.71428571428571419</v>
      </c>
      <c r="H17" s="49">
        <f>'Avg Week Kalerwe-Kampala'!H17+'Avg Week Kampala-Kalerwe'!H17</f>
        <v>0.5714285714285714</v>
      </c>
      <c r="I17" s="49">
        <f>'Avg Week Kalerwe-Kampala'!I17+'Avg Week Kampala-Kalerwe'!I17</f>
        <v>15.285714285714286</v>
      </c>
      <c r="J17" s="49">
        <f>'Avg Week Kalerwe-Kampala'!J17+'Avg Week Kampala-Kalerwe'!J17</f>
        <v>3.1428571428571432</v>
      </c>
      <c r="K17" s="49">
        <f>'Avg Week Kalerwe-Kampala'!K17+'Avg Week Kampala-Kalerwe'!K17</f>
        <v>2.5714285714285712</v>
      </c>
      <c r="L17" s="49">
        <f>'Avg Week Kalerwe-Kampala'!L17+'Avg Week Kampala-Kalerwe'!L17</f>
        <v>0.42857142857142855</v>
      </c>
      <c r="M17" s="49">
        <f>'Avg Week Kalerwe-Kampala'!M17+'Avg Week Kampala-Kalerwe'!M17</f>
        <v>458</v>
      </c>
      <c r="N17" s="49">
        <f>'Avg Week Kalerwe-Kampala'!N17+'Avg Week Kampala-Kalerwe'!N17</f>
        <v>0</v>
      </c>
      <c r="O17" s="15">
        <f t="shared" si="0"/>
        <v>232.85714285714289</v>
      </c>
      <c r="P17" s="15">
        <f t="shared" si="1"/>
        <v>690.85714285714289</v>
      </c>
      <c r="R17" s="1" t="s">
        <v>13</v>
      </c>
      <c r="S17" s="17">
        <f t="shared" ref="S17:AF17" si="9">SUM(C38:C41)</f>
        <v>353.71428571428567</v>
      </c>
      <c r="T17" s="17">
        <f t="shared" si="9"/>
        <v>124.00000000000001</v>
      </c>
      <c r="U17" s="17">
        <f t="shared" si="9"/>
        <v>44.285714285714292</v>
      </c>
      <c r="V17" s="17">
        <f t="shared" si="9"/>
        <v>344.85714285714289</v>
      </c>
      <c r="W17" s="17">
        <f t="shared" si="9"/>
        <v>8.7142857142857135</v>
      </c>
      <c r="X17" s="17">
        <f t="shared" si="9"/>
        <v>5.5714285714285712</v>
      </c>
      <c r="Y17" s="17">
        <f t="shared" si="9"/>
        <v>95</v>
      </c>
      <c r="Z17" s="17">
        <f t="shared" si="9"/>
        <v>12.142857142857142</v>
      </c>
      <c r="AA17" s="17">
        <f t="shared" si="9"/>
        <v>6.2857142857142856</v>
      </c>
      <c r="AB17" s="17">
        <f t="shared" si="9"/>
        <v>4.1428571428571423</v>
      </c>
      <c r="AC17" s="17">
        <f t="shared" si="9"/>
        <v>1283.4285714285716</v>
      </c>
      <c r="AD17" s="17">
        <f t="shared" si="9"/>
        <v>0</v>
      </c>
      <c r="AE17" s="31">
        <f t="shared" si="9"/>
        <v>998.71428571428578</v>
      </c>
      <c r="AF17" s="31">
        <f t="shared" si="9"/>
        <v>2282.1428571428573</v>
      </c>
    </row>
    <row r="18" spans="2:32" ht="23.1" customHeight="1" x14ac:dyDescent="0.25">
      <c r="B18" s="23" t="s">
        <v>45</v>
      </c>
      <c r="C18" s="49">
        <f>'Avg Week Kalerwe-Kampala'!C18+'Avg Week Kampala-Kalerwe'!C18</f>
        <v>79</v>
      </c>
      <c r="D18" s="49">
        <f>'Avg Week Kalerwe-Kampala'!D18+'Avg Week Kampala-Kalerwe'!D18</f>
        <v>28.142857142857139</v>
      </c>
      <c r="E18" s="49">
        <f>'Avg Week Kalerwe-Kampala'!E18+'Avg Week Kampala-Kalerwe'!E18</f>
        <v>13</v>
      </c>
      <c r="F18" s="49">
        <f>'Avg Week Kalerwe-Kampala'!F18+'Avg Week Kampala-Kalerwe'!F18</f>
        <v>109.28571428571428</v>
      </c>
      <c r="G18" s="49">
        <f>'Avg Week Kalerwe-Kampala'!G18+'Avg Week Kampala-Kalerwe'!G18</f>
        <v>3.8571428571428577</v>
      </c>
      <c r="H18" s="49">
        <f>'Avg Week Kalerwe-Kampala'!H18+'Avg Week Kampala-Kalerwe'!H18</f>
        <v>1</v>
      </c>
      <c r="I18" s="49">
        <f>'Avg Week Kalerwe-Kampala'!I18+'Avg Week Kampala-Kalerwe'!I18</f>
        <v>15.714285714285714</v>
      </c>
      <c r="J18" s="49">
        <f>'Avg Week Kalerwe-Kampala'!J18+'Avg Week Kampala-Kalerwe'!J18</f>
        <v>5.1428571428571423</v>
      </c>
      <c r="K18" s="49">
        <f>'Avg Week Kalerwe-Kampala'!K18+'Avg Week Kampala-Kalerwe'!K18</f>
        <v>1.2857142857142856</v>
      </c>
      <c r="L18" s="49">
        <f>'Avg Week Kalerwe-Kampala'!L18+'Avg Week Kampala-Kalerwe'!L18</f>
        <v>1.1428571428571428</v>
      </c>
      <c r="M18" s="49">
        <f>'Avg Week Kalerwe-Kampala'!M18+'Avg Week Kampala-Kalerwe'!M18</f>
        <v>465.85714285714289</v>
      </c>
      <c r="N18" s="49">
        <f>'Avg Week Kalerwe-Kampala'!N18+'Avg Week Kampala-Kalerwe'!N18</f>
        <v>0</v>
      </c>
      <c r="O18" s="15">
        <f t="shared" si="0"/>
        <v>257.57142857142861</v>
      </c>
      <c r="P18" s="15">
        <f t="shared" si="1"/>
        <v>723.42857142857156</v>
      </c>
      <c r="R18" s="1" t="s">
        <v>14</v>
      </c>
      <c r="S18" s="17">
        <f t="shared" ref="S18:AF18" si="10">SUM(C42:C45)</f>
        <v>366.71428571428572</v>
      </c>
      <c r="T18" s="17">
        <f t="shared" si="10"/>
        <v>126</v>
      </c>
      <c r="U18" s="17">
        <f t="shared" si="10"/>
        <v>64.571428571428569</v>
      </c>
      <c r="V18" s="17">
        <f t="shared" si="10"/>
        <v>337.71428571428572</v>
      </c>
      <c r="W18" s="17">
        <f t="shared" si="10"/>
        <v>11.428571428571427</v>
      </c>
      <c r="X18" s="17">
        <f t="shared" si="10"/>
        <v>4.7142857142857135</v>
      </c>
      <c r="Y18" s="17">
        <f t="shared" si="10"/>
        <v>91.571428571428569</v>
      </c>
      <c r="Z18" s="17">
        <f t="shared" si="10"/>
        <v>16.428571428571431</v>
      </c>
      <c r="AA18" s="17">
        <f t="shared" si="10"/>
        <v>4.1428571428571423</v>
      </c>
      <c r="AB18" s="17">
        <f t="shared" si="10"/>
        <v>5.7142857142857144</v>
      </c>
      <c r="AC18" s="17">
        <f t="shared" si="10"/>
        <v>1301.7142857142858</v>
      </c>
      <c r="AD18" s="17">
        <f t="shared" si="10"/>
        <v>0</v>
      </c>
      <c r="AE18" s="31">
        <f t="shared" si="10"/>
        <v>1029</v>
      </c>
      <c r="AF18" s="31">
        <f t="shared" si="10"/>
        <v>2330.7142857142858</v>
      </c>
    </row>
    <row r="19" spans="2:32" ht="23.1" customHeight="1" x14ac:dyDescent="0.25">
      <c r="B19" s="23" t="s">
        <v>46</v>
      </c>
      <c r="C19" s="49">
        <f>'Avg Week Kalerwe-Kampala'!C19+'Avg Week Kampala-Kalerwe'!C19</f>
        <v>71.428571428571431</v>
      </c>
      <c r="D19" s="49">
        <f>'Avg Week Kalerwe-Kampala'!D19+'Avg Week Kampala-Kalerwe'!D19</f>
        <v>23.142857142857142</v>
      </c>
      <c r="E19" s="49">
        <f>'Avg Week Kalerwe-Kampala'!E19+'Avg Week Kampala-Kalerwe'!E19</f>
        <v>9.8571428571428577</v>
      </c>
      <c r="F19" s="49">
        <f>'Avg Week Kalerwe-Kampala'!F19+'Avg Week Kampala-Kalerwe'!F19</f>
        <v>107.42857142857143</v>
      </c>
      <c r="G19" s="49">
        <f>'Avg Week Kalerwe-Kampala'!G19+'Avg Week Kampala-Kalerwe'!G19</f>
        <v>2.8571428571428568</v>
      </c>
      <c r="H19" s="49">
        <f>'Avg Week Kalerwe-Kampala'!H19+'Avg Week Kampala-Kalerwe'!H19</f>
        <v>1.4285714285714286</v>
      </c>
      <c r="I19" s="49">
        <f>'Avg Week Kalerwe-Kampala'!I19+'Avg Week Kampala-Kalerwe'!I19</f>
        <v>17.571428571428573</v>
      </c>
      <c r="J19" s="49">
        <f>'Avg Week Kalerwe-Kampala'!J19+'Avg Week Kampala-Kalerwe'!J19</f>
        <v>3</v>
      </c>
      <c r="K19" s="49">
        <f>'Avg Week Kalerwe-Kampala'!K19+'Avg Week Kampala-Kalerwe'!K19</f>
        <v>1</v>
      </c>
      <c r="L19" s="49">
        <f>'Avg Week Kalerwe-Kampala'!L19+'Avg Week Kampala-Kalerwe'!L19</f>
        <v>1.1428571428571428</v>
      </c>
      <c r="M19" s="49">
        <f>'Avg Week Kalerwe-Kampala'!M19+'Avg Week Kampala-Kalerwe'!M19</f>
        <v>406.71428571428572</v>
      </c>
      <c r="N19" s="49">
        <f>'Avg Week Kalerwe-Kampala'!N19+'Avg Week Kampala-Kalerwe'!N19</f>
        <v>0</v>
      </c>
      <c r="O19" s="15">
        <f t="shared" si="0"/>
        <v>238.85714285714286</v>
      </c>
      <c r="P19" s="15">
        <f t="shared" si="1"/>
        <v>645.57142857142856</v>
      </c>
      <c r="R19" s="1" t="s">
        <v>15</v>
      </c>
      <c r="S19" s="17">
        <f t="shared" ref="S19:AF19" si="11">SUM(C46:C49)</f>
        <v>392.28571428571428</v>
      </c>
      <c r="T19" s="17">
        <f t="shared" si="11"/>
        <v>147.28571428571428</v>
      </c>
      <c r="U19" s="17">
        <f t="shared" si="11"/>
        <v>51.142857142857139</v>
      </c>
      <c r="V19" s="17">
        <f t="shared" si="11"/>
        <v>333.85714285714289</v>
      </c>
      <c r="W19" s="17">
        <f t="shared" si="11"/>
        <v>11</v>
      </c>
      <c r="X19" s="17">
        <f t="shared" si="11"/>
        <v>2.8571428571428568</v>
      </c>
      <c r="Y19" s="17">
        <f t="shared" si="11"/>
        <v>90.142857142857139</v>
      </c>
      <c r="Z19" s="17">
        <f t="shared" si="11"/>
        <v>9</v>
      </c>
      <c r="AA19" s="17">
        <f t="shared" si="11"/>
        <v>3.5714285714285712</v>
      </c>
      <c r="AB19" s="17">
        <f t="shared" si="11"/>
        <v>2.8571428571428572</v>
      </c>
      <c r="AC19" s="17">
        <f t="shared" si="11"/>
        <v>1308.2857142857142</v>
      </c>
      <c r="AD19" s="17">
        <f t="shared" si="11"/>
        <v>0</v>
      </c>
      <c r="AE19" s="31">
        <f t="shared" si="11"/>
        <v>1044</v>
      </c>
      <c r="AF19" s="31">
        <f t="shared" si="11"/>
        <v>2352.2857142857142</v>
      </c>
    </row>
    <row r="20" spans="2:32" ht="23.1" customHeight="1" x14ac:dyDescent="0.25">
      <c r="B20" s="23" t="s">
        <v>47</v>
      </c>
      <c r="C20" s="49">
        <f>'Avg Week Kalerwe-Kampala'!C20+'Avg Week Kampala-Kalerwe'!C20</f>
        <v>90.571428571428584</v>
      </c>
      <c r="D20" s="49">
        <f>'Avg Week Kalerwe-Kampala'!D20+'Avg Week Kampala-Kalerwe'!D20</f>
        <v>23.285714285714285</v>
      </c>
      <c r="E20" s="49">
        <f>'Avg Week Kalerwe-Kampala'!E20+'Avg Week Kampala-Kalerwe'!E20</f>
        <v>9.2857142857142865</v>
      </c>
      <c r="F20" s="49">
        <f>'Avg Week Kalerwe-Kampala'!F20+'Avg Week Kampala-Kalerwe'!F20</f>
        <v>122.42857142857143</v>
      </c>
      <c r="G20" s="49">
        <f>'Avg Week Kalerwe-Kampala'!G20+'Avg Week Kampala-Kalerwe'!G20</f>
        <v>2.1428571428571428</v>
      </c>
      <c r="H20" s="49">
        <f>'Avg Week Kalerwe-Kampala'!H20+'Avg Week Kampala-Kalerwe'!H20</f>
        <v>1.5714285714285714</v>
      </c>
      <c r="I20" s="49">
        <f>'Avg Week Kalerwe-Kampala'!I20+'Avg Week Kampala-Kalerwe'!I20</f>
        <v>17.857142857142858</v>
      </c>
      <c r="J20" s="49">
        <f>'Avg Week Kalerwe-Kampala'!J20+'Avg Week Kampala-Kalerwe'!J20</f>
        <v>3.5714285714285712</v>
      </c>
      <c r="K20" s="49">
        <f>'Avg Week Kalerwe-Kampala'!K20+'Avg Week Kampala-Kalerwe'!K20</f>
        <v>1.1428571428571428</v>
      </c>
      <c r="L20" s="49">
        <f>'Avg Week Kalerwe-Kampala'!L20+'Avg Week Kampala-Kalerwe'!L20</f>
        <v>0.71428571428571419</v>
      </c>
      <c r="M20" s="49">
        <f>'Avg Week Kalerwe-Kampala'!M20+'Avg Week Kampala-Kalerwe'!M20</f>
        <v>417.85714285714289</v>
      </c>
      <c r="N20" s="49">
        <f>'Avg Week Kalerwe-Kampala'!N20+'Avg Week Kampala-Kalerwe'!N20</f>
        <v>0</v>
      </c>
      <c r="O20" s="15">
        <f t="shared" si="0"/>
        <v>272.57142857142861</v>
      </c>
      <c r="P20" s="15">
        <f t="shared" si="1"/>
        <v>690.42857142857156</v>
      </c>
      <c r="R20" s="1" t="s">
        <v>16</v>
      </c>
      <c r="S20" s="17">
        <f t="shared" ref="S20:AF20" si="12">SUM(C50:C53)</f>
        <v>442.42857142857139</v>
      </c>
      <c r="T20" s="17">
        <f t="shared" si="12"/>
        <v>131.14285714285714</v>
      </c>
      <c r="U20" s="17">
        <f t="shared" si="12"/>
        <v>42.857142857142861</v>
      </c>
      <c r="V20" s="17">
        <f t="shared" si="12"/>
        <v>314.71428571428572</v>
      </c>
      <c r="W20" s="17">
        <f t="shared" si="12"/>
        <v>10.428571428571427</v>
      </c>
      <c r="X20" s="17">
        <f t="shared" si="12"/>
        <v>4.7142857142857144</v>
      </c>
      <c r="Y20" s="17">
        <f t="shared" si="12"/>
        <v>70.714285714285722</v>
      </c>
      <c r="Z20" s="17">
        <f t="shared" si="12"/>
        <v>9.8571428571428577</v>
      </c>
      <c r="AA20" s="17">
        <f t="shared" si="12"/>
        <v>6.2857142857142865</v>
      </c>
      <c r="AB20" s="17">
        <f t="shared" si="12"/>
        <v>4.2857142857142856</v>
      </c>
      <c r="AC20" s="17">
        <f t="shared" si="12"/>
        <v>1361.1428571428571</v>
      </c>
      <c r="AD20" s="17">
        <f t="shared" si="12"/>
        <v>0</v>
      </c>
      <c r="AE20" s="31">
        <f t="shared" si="12"/>
        <v>1037.4285714285713</v>
      </c>
      <c r="AF20" s="31">
        <f t="shared" si="12"/>
        <v>2398.5714285714284</v>
      </c>
    </row>
    <row r="21" spans="2:32" ht="23.1" customHeight="1" x14ac:dyDescent="0.25">
      <c r="B21" s="23" t="s">
        <v>48</v>
      </c>
      <c r="C21" s="49">
        <f>'Avg Week Kalerwe-Kampala'!C21+'Avg Week Kampala-Kalerwe'!C21</f>
        <v>101.28571428571428</v>
      </c>
      <c r="D21" s="49">
        <f>'Avg Week Kalerwe-Kampala'!D21+'Avg Week Kampala-Kalerwe'!D21</f>
        <v>24</v>
      </c>
      <c r="E21" s="49">
        <f>'Avg Week Kalerwe-Kampala'!E21+'Avg Week Kampala-Kalerwe'!E21</f>
        <v>11.428571428571427</v>
      </c>
      <c r="F21" s="49">
        <f>'Avg Week Kalerwe-Kampala'!F21+'Avg Week Kampala-Kalerwe'!F21</f>
        <v>104.71428571428572</v>
      </c>
      <c r="G21" s="49">
        <f>'Avg Week Kalerwe-Kampala'!G21+'Avg Week Kampala-Kalerwe'!G21</f>
        <v>3.7142857142857144</v>
      </c>
      <c r="H21" s="49">
        <f>'Avg Week Kalerwe-Kampala'!H21+'Avg Week Kampala-Kalerwe'!H21</f>
        <v>0.8571428571428571</v>
      </c>
      <c r="I21" s="49">
        <f>'Avg Week Kalerwe-Kampala'!I21+'Avg Week Kampala-Kalerwe'!I21</f>
        <v>17.857142857142854</v>
      </c>
      <c r="J21" s="49">
        <f>'Avg Week Kalerwe-Kampala'!J21+'Avg Week Kampala-Kalerwe'!J21</f>
        <v>3.4285714285714284</v>
      </c>
      <c r="K21" s="49">
        <f>'Avg Week Kalerwe-Kampala'!K21+'Avg Week Kampala-Kalerwe'!K21</f>
        <v>2.1428571428571428</v>
      </c>
      <c r="L21" s="49">
        <f>'Avg Week Kalerwe-Kampala'!L21+'Avg Week Kampala-Kalerwe'!L21</f>
        <v>1</v>
      </c>
      <c r="M21" s="49">
        <f>'Avg Week Kalerwe-Kampala'!M21+'Avg Week Kampala-Kalerwe'!M21</f>
        <v>398.85714285714289</v>
      </c>
      <c r="N21" s="49">
        <f>'Avg Week Kalerwe-Kampala'!N21+'Avg Week Kampala-Kalerwe'!N21</f>
        <v>0</v>
      </c>
      <c r="O21" s="15">
        <f t="shared" si="0"/>
        <v>270.42857142857144</v>
      </c>
      <c r="P21" s="15">
        <f t="shared" si="1"/>
        <v>669.28571428571433</v>
      </c>
      <c r="R21" s="36" t="s">
        <v>20</v>
      </c>
      <c r="S21" s="34">
        <f t="shared" ref="S21:AF21" si="13">SUM(C54:C57)</f>
        <v>395.28571428571433</v>
      </c>
      <c r="T21" s="17">
        <f t="shared" si="13"/>
        <v>104.85714285714285</v>
      </c>
      <c r="U21" s="17">
        <f t="shared" si="13"/>
        <v>41.428571428571431</v>
      </c>
      <c r="V21" s="17">
        <f t="shared" si="13"/>
        <v>310</v>
      </c>
      <c r="W21" s="17">
        <f t="shared" si="13"/>
        <v>11.285714285714285</v>
      </c>
      <c r="X21" s="17">
        <f t="shared" si="13"/>
        <v>6.1428571428571423</v>
      </c>
      <c r="Y21" s="17">
        <f t="shared" si="13"/>
        <v>54.571428571428569</v>
      </c>
      <c r="Z21" s="17">
        <f t="shared" si="13"/>
        <v>9.1428571428571423</v>
      </c>
      <c r="AA21" s="17">
        <f t="shared" si="13"/>
        <v>5.5714285714285712</v>
      </c>
      <c r="AB21" s="17">
        <f t="shared" si="13"/>
        <v>2.714285714285714</v>
      </c>
      <c r="AC21" s="17">
        <f t="shared" si="13"/>
        <v>1444.8571428571429</v>
      </c>
      <c r="AD21" s="17">
        <f t="shared" si="13"/>
        <v>0</v>
      </c>
      <c r="AE21" s="31">
        <f t="shared" si="13"/>
        <v>941</v>
      </c>
      <c r="AF21" s="31">
        <f t="shared" si="13"/>
        <v>2385.8571428571427</v>
      </c>
    </row>
    <row r="22" spans="2:32" ht="23.1" customHeight="1" x14ac:dyDescent="0.25">
      <c r="B22" s="23" t="s">
        <v>49</v>
      </c>
      <c r="C22" s="49">
        <f>'Avg Week Kalerwe-Kampala'!C22+'Avg Week Kampala-Kalerwe'!C22</f>
        <v>74.142857142857139</v>
      </c>
      <c r="D22" s="49">
        <f>'Avg Week Kalerwe-Kampala'!D22+'Avg Week Kampala-Kalerwe'!D22</f>
        <v>29.285714285714285</v>
      </c>
      <c r="E22" s="49">
        <f>'Avg Week Kalerwe-Kampala'!E22+'Avg Week Kampala-Kalerwe'!E22</f>
        <v>13.571428571428571</v>
      </c>
      <c r="F22" s="49">
        <f>'Avg Week Kalerwe-Kampala'!F22+'Avg Week Kampala-Kalerwe'!F22</f>
        <v>72.857142857142861</v>
      </c>
      <c r="G22" s="49">
        <f>'Avg Week Kalerwe-Kampala'!G22+'Avg Week Kampala-Kalerwe'!G22</f>
        <v>2</v>
      </c>
      <c r="H22" s="49">
        <f>'Avg Week Kalerwe-Kampala'!H22+'Avg Week Kampala-Kalerwe'!H22</f>
        <v>3.7142857142857144</v>
      </c>
      <c r="I22" s="49">
        <f>'Avg Week Kalerwe-Kampala'!I22+'Avg Week Kampala-Kalerwe'!I22</f>
        <v>14.285714285714286</v>
      </c>
      <c r="J22" s="49">
        <f>'Avg Week Kalerwe-Kampala'!J22+'Avg Week Kampala-Kalerwe'!J22</f>
        <v>3.2857142857142856</v>
      </c>
      <c r="K22" s="49">
        <f>'Avg Week Kalerwe-Kampala'!K22+'Avg Week Kampala-Kalerwe'!K22</f>
        <v>1.8571428571428572</v>
      </c>
      <c r="L22" s="49">
        <f>'Avg Week Kalerwe-Kampala'!L22+'Avg Week Kampala-Kalerwe'!L22</f>
        <v>0.8571428571428571</v>
      </c>
      <c r="M22" s="49">
        <f>'Avg Week Kalerwe-Kampala'!M22+'Avg Week Kampala-Kalerwe'!M22</f>
        <v>351.28571428571433</v>
      </c>
      <c r="N22" s="49">
        <f>'Avg Week Kalerwe-Kampala'!N22+'Avg Week Kampala-Kalerwe'!N22</f>
        <v>0</v>
      </c>
      <c r="O22" s="15">
        <f t="shared" si="0"/>
        <v>215.85714285714283</v>
      </c>
      <c r="P22" s="15">
        <f t="shared" si="1"/>
        <v>567.14285714285711</v>
      </c>
      <c r="R22" s="1" t="s">
        <v>146</v>
      </c>
      <c r="S22" s="34">
        <f>SUM(C58:C61)</f>
        <v>487</v>
      </c>
      <c r="T22" s="34">
        <f t="shared" ref="T22:AF22" si="14">SUM(D58:D61)</f>
        <v>82.5</v>
      </c>
      <c r="U22" s="34">
        <f t="shared" si="14"/>
        <v>18.5</v>
      </c>
      <c r="V22" s="34">
        <f t="shared" si="14"/>
        <v>243.5</v>
      </c>
      <c r="W22" s="34">
        <f t="shared" si="14"/>
        <v>31</v>
      </c>
      <c r="X22" s="34">
        <f t="shared" si="14"/>
        <v>8</v>
      </c>
      <c r="Y22" s="34">
        <f t="shared" si="14"/>
        <v>86.5</v>
      </c>
      <c r="Z22" s="34">
        <f t="shared" si="14"/>
        <v>25</v>
      </c>
      <c r="AA22" s="34">
        <f t="shared" si="14"/>
        <v>10</v>
      </c>
      <c r="AB22" s="34">
        <f t="shared" si="14"/>
        <v>6.5</v>
      </c>
      <c r="AC22" s="34">
        <f t="shared" si="14"/>
        <v>1226.5</v>
      </c>
      <c r="AD22" s="34">
        <f t="shared" si="14"/>
        <v>0</v>
      </c>
      <c r="AE22" s="31">
        <f t="shared" si="14"/>
        <v>998.5</v>
      </c>
      <c r="AF22" s="31">
        <f t="shared" si="14"/>
        <v>2225</v>
      </c>
    </row>
    <row r="23" spans="2:32" ht="23.1" customHeight="1" x14ac:dyDescent="0.25">
      <c r="B23" s="23" t="s">
        <v>50</v>
      </c>
      <c r="C23" s="49">
        <f>'Avg Week Kalerwe-Kampala'!C23+'Avg Week Kampala-Kalerwe'!C23</f>
        <v>73.714285714285708</v>
      </c>
      <c r="D23" s="49">
        <f>'Avg Week Kalerwe-Kampala'!D23+'Avg Week Kampala-Kalerwe'!D23</f>
        <v>29.857142857142854</v>
      </c>
      <c r="E23" s="49">
        <f>'Avg Week Kalerwe-Kampala'!E23+'Avg Week Kampala-Kalerwe'!E23</f>
        <v>9.428571428571427</v>
      </c>
      <c r="F23" s="49">
        <f>'Avg Week Kalerwe-Kampala'!F23+'Avg Week Kampala-Kalerwe'!F23</f>
        <v>93.571428571428584</v>
      </c>
      <c r="G23" s="49">
        <f>'Avg Week Kalerwe-Kampala'!G23+'Avg Week Kampala-Kalerwe'!G23</f>
        <v>2.2857142857142856</v>
      </c>
      <c r="H23" s="49">
        <f>'Avg Week Kalerwe-Kampala'!H23+'Avg Week Kampala-Kalerwe'!H23</f>
        <v>1.2857142857142856</v>
      </c>
      <c r="I23" s="49">
        <f>'Avg Week Kalerwe-Kampala'!I23+'Avg Week Kampala-Kalerwe'!I23</f>
        <v>14.142857142857142</v>
      </c>
      <c r="J23" s="49">
        <f>'Avg Week Kalerwe-Kampala'!J23+'Avg Week Kampala-Kalerwe'!J23</f>
        <v>2.5714285714285712</v>
      </c>
      <c r="K23" s="49">
        <f>'Avg Week Kalerwe-Kampala'!K23+'Avg Week Kampala-Kalerwe'!K23</f>
        <v>1.8571428571428572</v>
      </c>
      <c r="L23" s="49">
        <f>'Avg Week Kalerwe-Kampala'!L23+'Avg Week Kampala-Kalerwe'!L23</f>
        <v>1.4285714285714284</v>
      </c>
      <c r="M23" s="49">
        <f>'Avg Week Kalerwe-Kampala'!M23+'Avg Week Kampala-Kalerwe'!M23</f>
        <v>366.42857142857144</v>
      </c>
      <c r="N23" s="49">
        <f>'Avg Week Kalerwe-Kampala'!N23+'Avg Week Kampala-Kalerwe'!N23</f>
        <v>0</v>
      </c>
      <c r="O23" s="15">
        <f t="shared" si="0"/>
        <v>230.14285714285711</v>
      </c>
      <c r="P23" s="15">
        <f t="shared" si="1"/>
        <v>596.57142857142856</v>
      </c>
      <c r="R23" s="1" t="s">
        <v>147</v>
      </c>
      <c r="S23" s="34">
        <f>SUM(C62:C65)</f>
        <v>496.5</v>
      </c>
      <c r="T23" s="34">
        <f t="shared" ref="T23:AF23" si="15">SUM(D62:D65)</f>
        <v>101.5</v>
      </c>
      <c r="U23" s="34">
        <f t="shared" si="15"/>
        <v>43</v>
      </c>
      <c r="V23" s="34">
        <f t="shared" si="15"/>
        <v>416.5</v>
      </c>
      <c r="W23" s="34">
        <f t="shared" si="15"/>
        <v>36</v>
      </c>
      <c r="X23" s="34">
        <f t="shared" si="15"/>
        <v>39</v>
      </c>
      <c r="Y23" s="34">
        <f t="shared" si="15"/>
        <v>50.5</v>
      </c>
      <c r="Z23" s="34">
        <f t="shared" si="15"/>
        <v>18.5</v>
      </c>
      <c r="AA23" s="34">
        <f t="shared" si="15"/>
        <v>6.5</v>
      </c>
      <c r="AB23" s="34">
        <f t="shared" si="15"/>
        <v>3.5</v>
      </c>
      <c r="AC23" s="34">
        <f t="shared" si="15"/>
        <v>896.5</v>
      </c>
      <c r="AD23" s="34">
        <f t="shared" si="15"/>
        <v>0.5</v>
      </c>
      <c r="AE23" s="31">
        <f t="shared" si="15"/>
        <v>1212</v>
      </c>
      <c r="AF23" s="31">
        <f t="shared" si="15"/>
        <v>2108.5</v>
      </c>
    </row>
    <row r="24" spans="2:32" ht="23.1" customHeight="1" x14ac:dyDescent="0.25">
      <c r="B24" s="23" t="s">
        <v>51</v>
      </c>
      <c r="C24" s="49">
        <f>'Avg Week Kalerwe-Kampala'!C24+'Avg Week Kampala-Kalerwe'!C24</f>
        <v>77.571428571428569</v>
      </c>
      <c r="D24" s="49">
        <f>'Avg Week Kalerwe-Kampala'!D24+'Avg Week Kampala-Kalerwe'!D24</f>
        <v>25.571428571428569</v>
      </c>
      <c r="E24" s="49">
        <f>'Avg Week Kalerwe-Kampala'!E24+'Avg Week Kampala-Kalerwe'!E24</f>
        <v>11.428571428571427</v>
      </c>
      <c r="F24" s="49">
        <f>'Avg Week Kalerwe-Kampala'!F24+'Avg Week Kampala-Kalerwe'!F24</f>
        <v>89.714285714285722</v>
      </c>
      <c r="G24" s="49">
        <f>'Avg Week Kalerwe-Kampala'!G24+'Avg Week Kampala-Kalerwe'!G24</f>
        <v>1.8571428571428572</v>
      </c>
      <c r="H24" s="49">
        <f>'Avg Week Kalerwe-Kampala'!H24+'Avg Week Kampala-Kalerwe'!H24</f>
        <v>1.4285714285714286</v>
      </c>
      <c r="I24" s="49">
        <f>'Avg Week Kalerwe-Kampala'!I24+'Avg Week Kampala-Kalerwe'!I24</f>
        <v>17.857142857142858</v>
      </c>
      <c r="J24" s="49">
        <f>'Avg Week Kalerwe-Kampala'!J24+'Avg Week Kampala-Kalerwe'!J24</f>
        <v>3.8571428571428568</v>
      </c>
      <c r="K24" s="49">
        <f>'Avg Week Kalerwe-Kampala'!K24+'Avg Week Kampala-Kalerwe'!K24</f>
        <v>1.4285714285714284</v>
      </c>
      <c r="L24" s="49">
        <f>'Avg Week Kalerwe-Kampala'!L24+'Avg Week Kampala-Kalerwe'!L24</f>
        <v>1.1428571428571428</v>
      </c>
      <c r="M24" s="49">
        <f>'Avg Week Kalerwe-Kampala'!M24+'Avg Week Kampala-Kalerwe'!M24</f>
        <v>362.42857142857144</v>
      </c>
      <c r="N24" s="49">
        <f>'Avg Week Kalerwe-Kampala'!N24+'Avg Week Kampala-Kalerwe'!N24</f>
        <v>0</v>
      </c>
      <c r="O24" s="15">
        <f t="shared" si="0"/>
        <v>231.85714285714283</v>
      </c>
      <c r="P24" s="15">
        <f t="shared" si="1"/>
        <v>594.28571428571422</v>
      </c>
      <c r="R24" s="1" t="s">
        <v>148</v>
      </c>
      <c r="S24" s="34">
        <f>SUM(C66:C69)</f>
        <v>252</v>
      </c>
      <c r="T24" s="34">
        <f t="shared" ref="T24:AF24" si="16">SUM(D66:D69)</f>
        <v>65.5</v>
      </c>
      <c r="U24" s="34">
        <f t="shared" si="16"/>
        <v>29.5</v>
      </c>
      <c r="V24" s="34">
        <f t="shared" si="16"/>
        <v>220.5</v>
      </c>
      <c r="W24" s="34">
        <f t="shared" si="16"/>
        <v>20.5</v>
      </c>
      <c r="X24" s="34">
        <f t="shared" si="16"/>
        <v>18</v>
      </c>
      <c r="Y24" s="34">
        <f t="shared" si="16"/>
        <v>36.5</v>
      </c>
      <c r="Z24" s="34">
        <f t="shared" si="16"/>
        <v>16</v>
      </c>
      <c r="AA24" s="34">
        <f t="shared" si="16"/>
        <v>8</v>
      </c>
      <c r="AB24" s="34">
        <f t="shared" si="16"/>
        <v>1.5</v>
      </c>
      <c r="AC24" s="34">
        <f t="shared" si="16"/>
        <v>1036</v>
      </c>
      <c r="AD24" s="34">
        <f t="shared" si="16"/>
        <v>0</v>
      </c>
      <c r="AE24" s="31">
        <f t="shared" si="16"/>
        <v>668</v>
      </c>
      <c r="AF24" s="31">
        <f t="shared" si="16"/>
        <v>1704</v>
      </c>
    </row>
    <row r="25" spans="2:32" ht="23.1" customHeight="1" x14ac:dyDescent="0.25">
      <c r="B25" s="23" t="s">
        <v>52</v>
      </c>
      <c r="C25" s="49">
        <f>'Avg Week Kalerwe-Kampala'!C25+'Avg Week Kampala-Kalerwe'!C25</f>
        <v>81.857142857142861</v>
      </c>
      <c r="D25" s="49">
        <f>'Avg Week Kalerwe-Kampala'!D25+'Avg Week Kampala-Kalerwe'!D25</f>
        <v>30.285714285714285</v>
      </c>
      <c r="E25" s="49">
        <f>'Avg Week Kalerwe-Kampala'!E25+'Avg Week Kampala-Kalerwe'!E25</f>
        <v>9.2857142857142847</v>
      </c>
      <c r="F25" s="49">
        <f>'Avg Week Kalerwe-Kampala'!F25+'Avg Week Kampala-Kalerwe'!F25</f>
        <v>99.714285714285722</v>
      </c>
      <c r="G25" s="49">
        <f>'Avg Week Kalerwe-Kampala'!G25+'Avg Week Kampala-Kalerwe'!G25</f>
        <v>4.5714285714285712</v>
      </c>
      <c r="H25" s="49">
        <f>'Avg Week Kalerwe-Kampala'!H25+'Avg Week Kampala-Kalerwe'!H25</f>
        <v>0.8571428571428571</v>
      </c>
      <c r="I25" s="49">
        <f>'Avg Week Kalerwe-Kampala'!I25+'Avg Week Kampala-Kalerwe'!I25</f>
        <v>18.285714285714285</v>
      </c>
      <c r="J25" s="49">
        <f>'Avg Week Kalerwe-Kampala'!J25+'Avg Week Kampala-Kalerwe'!J25</f>
        <v>5.1428571428571423</v>
      </c>
      <c r="K25" s="49">
        <f>'Avg Week Kalerwe-Kampala'!K25+'Avg Week Kampala-Kalerwe'!K25</f>
        <v>1.2857142857142856</v>
      </c>
      <c r="L25" s="49">
        <f>'Avg Week Kalerwe-Kampala'!L25+'Avg Week Kampala-Kalerwe'!L25</f>
        <v>1.1428571428571428</v>
      </c>
      <c r="M25" s="49">
        <f>'Avg Week Kalerwe-Kampala'!M25+'Avg Week Kampala-Kalerwe'!M25</f>
        <v>353</v>
      </c>
      <c r="N25" s="49">
        <f>'Avg Week Kalerwe-Kampala'!N25+'Avg Week Kampala-Kalerwe'!N25</f>
        <v>0</v>
      </c>
      <c r="O25" s="15">
        <f t="shared" si="0"/>
        <v>252.42857142857142</v>
      </c>
      <c r="P25" s="15">
        <f t="shared" si="1"/>
        <v>605.42857142857144</v>
      </c>
      <c r="R25" s="1" t="s">
        <v>149</v>
      </c>
      <c r="S25" s="34">
        <f>SUM(C70:C73)</f>
        <v>243.5</v>
      </c>
      <c r="T25" s="34">
        <f t="shared" ref="T25:AF25" si="17">SUM(D70:D73)</f>
        <v>97.5</v>
      </c>
      <c r="U25" s="34">
        <f t="shared" si="17"/>
        <v>35</v>
      </c>
      <c r="V25" s="34">
        <f t="shared" si="17"/>
        <v>235</v>
      </c>
      <c r="W25" s="34">
        <f t="shared" si="17"/>
        <v>40.5</v>
      </c>
      <c r="X25" s="34">
        <f t="shared" si="17"/>
        <v>17</v>
      </c>
      <c r="Y25" s="34">
        <f t="shared" si="17"/>
        <v>38.5</v>
      </c>
      <c r="Z25" s="34">
        <f t="shared" si="17"/>
        <v>48</v>
      </c>
      <c r="AA25" s="34">
        <f t="shared" si="17"/>
        <v>16.5</v>
      </c>
      <c r="AB25" s="34">
        <f t="shared" si="17"/>
        <v>5</v>
      </c>
      <c r="AC25" s="34">
        <f t="shared" si="17"/>
        <v>678.5</v>
      </c>
      <c r="AD25" s="34">
        <f t="shared" si="17"/>
        <v>0</v>
      </c>
      <c r="AE25" s="31">
        <f t="shared" si="17"/>
        <v>776.5</v>
      </c>
      <c r="AF25" s="31">
        <f t="shared" si="17"/>
        <v>1455</v>
      </c>
    </row>
    <row r="26" spans="2:32" ht="23.1" customHeight="1" x14ac:dyDescent="0.25">
      <c r="B26" s="23" t="s">
        <v>53</v>
      </c>
      <c r="C26" s="49">
        <f>'Avg Week Kalerwe-Kampala'!C26+'Avg Week Kampala-Kalerwe'!C26</f>
        <v>82</v>
      </c>
      <c r="D26" s="49">
        <f>'Avg Week Kalerwe-Kampala'!D26+'Avg Week Kampala-Kalerwe'!D26</f>
        <v>29.857142857142854</v>
      </c>
      <c r="E26" s="49">
        <f>'Avg Week Kalerwe-Kampala'!E26+'Avg Week Kampala-Kalerwe'!E26</f>
        <v>13.285714285714285</v>
      </c>
      <c r="F26" s="49">
        <f>'Avg Week Kalerwe-Kampala'!F26+'Avg Week Kampala-Kalerwe'!F26</f>
        <v>90.428571428571431</v>
      </c>
      <c r="G26" s="49">
        <f>'Avg Week Kalerwe-Kampala'!G26+'Avg Week Kampala-Kalerwe'!G26</f>
        <v>1.8571428571428572</v>
      </c>
      <c r="H26" s="49">
        <f>'Avg Week Kalerwe-Kampala'!H26+'Avg Week Kampala-Kalerwe'!H26</f>
        <v>1.1428571428571428</v>
      </c>
      <c r="I26" s="49">
        <f>'Avg Week Kalerwe-Kampala'!I26+'Avg Week Kampala-Kalerwe'!I26</f>
        <v>16.571428571428569</v>
      </c>
      <c r="J26" s="49">
        <f>'Avg Week Kalerwe-Kampala'!J26+'Avg Week Kampala-Kalerwe'!J26</f>
        <v>2.4285714285714288</v>
      </c>
      <c r="K26" s="49">
        <f>'Avg Week Kalerwe-Kampala'!K26+'Avg Week Kampala-Kalerwe'!K26</f>
        <v>0.85714285714285721</v>
      </c>
      <c r="L26" s="49">
        <f>'Avg Week Kalerwe-Kampala'!L26+'Avg Week Kampala-Kalerwe'!L26</f>
        <v>0.71428571428571419</v>
      </c>
      <c r="M26" s="49">
        <f>'Avg Week Kalerwe-Kampala'!M26+'Avg Week Kampala-Kalerwe'!M26</f>
        <v>323.57142857142856</v>
      </c>
      <c r="N26" s="49">
        <f>'Avg Week Kalerwe-Kampala'!N26+'Avg Week Kampala-Kalerwe'!N26</f>
        <v>0</v>
      </c>
      <c r="O26" s="15">
        <f t="shared" si="0"/>
        <v>239.14285714285711</v>
      </c>
      <c r="P26" s="15">
        <f t="shared" si="1"/>
        <v>562.71428571428567</v>
      </c>
      <c r="R26" s="1" t="s">
        <v>150</v>
      </c>
      <c r="S26" s="34">
        <f>SUM(C74:C77)</f>
        <v>191</v>
      </c>
      <c r="T26" s="34">
        <f t="shared" ref="T26:AF26" si="18">SUM(D74:D77)</f>
        <v>50</v>
      </c>
      <c r="U26" s="34">
        <f t="shared" si="18"/>
        <v>21.5</v>
      </c>
      <c r="V26" s="34">
        <f t="shared" si="18"/>
        <v>135</v>
      </c>
      <c r="W26" s="34">
        <f t="shared" si="18"/>
        <v>9</v>
      </c>
      <c r="X26" s="34">
        <f t="shared" si="18"/>
        <v>5.5</v>
      </c>
      <c r="Y26" s="34">
        <f t="shared" si="18"/>
        <v>25.5</v>
      </c>
      <c r="Z26" s="34">
        <f t="shared" si="18"/>
        <v>22</v>
      </c>
      <c r="AA26" s="34">
        <f t="shared" si="18"/>
        <v>8.5</v>
      </c>
      <c r="AB26" s="34">
        <f t="shared" si="18"/>
        <v>10</v>
      </c>
      <c r="AC26" s="34">
        <f t="shared" si="18"/>
        <v>430</v>
      </c>
      <c r="AD26" s="34">
        <f t="shared" si="18"/>
        <v>0</v>
      </c>
      <c r="AE26" s="31">
        <f t="shared" si="18"/>
        <v>478</v>
      </c>
      <c r="AF26" s="31">
        <f t="shared" si="18"/>
        <v>908</v>
      </c>
    </row>
    <row r="27" spans="2:32" ht="23.1" customHeight="1" x14ac:dyDescent="0.25">
      <c r="B27" s="23" t="s">
        <v>54</v>
      </c>
      <c r="C27" s="49">
        <f>'Avg Week Kalerwe-Kampala'!C27+'Avg Week Kampala-Kalerwe'!C27</f>
        <v>89</v>
      </c>
      <c r="D27" s="49">
        <f>'Avg Week Kalerwe-Kampala'!D27+'Avg Week Kampala-Kalerwe'!D27</f>
        <v>29.857142857142854</v>
      </c>
      <c r="E27" s="49">
        <f>'Avg Week Kalerwe-Kampala'!E27+'Avg Week Kampala-Kalerwe'!E27</f>
        <v>10.285714285714286</v>
      </c>
      <c r="F27" s="49">
        <f>'Avg Week Kalerwe-Kampala'!F27+'Avg Week Kampala-Kalerwe'!F27</f>
        <v>84.857142857142861</v>
      </c>
      <c r="G27" s="49">
        <f>'Avg Week Kalerwe-Kampala'!G27+'Avg Week Kampala-Kalerwe'!G27</f>
        <v>1.7142857142857144</v>
      </c>
      <c r="H27" s="49">
        <f>'Avg Week Kalerwe-Kampala'!H27+'Avg Week Kampala-Kalerwe'!H27</f>
        <v>0.85714285714285721</v>
      </c>
      <c r="I27" s="49">
        <f>'Avg Week Kalerwe-Kampala'!I27+'Avg Week Kampala-Kalerwe'!I27</f>
        <v>15.142857142857142</v>
      </c>
      <c r="J27" s="49">
        <f>'Avg Week Kalerwe-Kampala'!J27+'Avg Week Kampala-Kalerwe'!J27</f>
        <v>2.7142857142857144</v>
      </c>
      <c r="K27" s="49">
        <f>'Avg Week Kalerwe-Kampala'!K27+'Avg Week Kampala-Kalerwe'!K27</f>
        <v>1</v>
      </c>
      <c r="L27" s="49">
        <f>'Avg Week Kalerwe-Kampala'!L27+'Avg Week Kampala-Kalerwe'!L27</f>
        <v>0.2857142857142857</v>
      </c>
      <c r="M27" s="49">
        <f>'Avg Week Kalerwe-Kampala'!M27+'Avg Week Kampala-Kalerwe'!M27</f>
        <v>339.42857142857144</v>
      </c>
      <c r="N27" s="49">
        <f>'Avg Week Kalerwe-Kampala'!N27+'Avg Week Kampala-Kalerwe'!N27</f>
        <v>0</v>
      </c>
      <c r="O27" s="15">
        <f t="shared" si="0"/>
        <v>235.71428571428572</v>
      </c>
      <c r="P27" s="15">
        <f t="shared" si="1"/>
        <v>575.14285714285711</v>
      </c>
      <c r="R27" s="1" t="s">
        <v>151</v>
      </c>
      <c r="S27" s="34">
        <f>SUM(C78:C81)</f>
        <v>124</v>
      </c>
      <c r="T27" s="34">
        <f t="shared" ref="T27:AF27" si="19">SUM(D78:D81)</f>
        <v>44.5</v>
      </c>
      <c r="U27" s="34">
        <f t="shared" si="19"/>
        <v>15.5</v>
      </c>
      <c r="V27" s="34">
        <f t="shared" si="19"/>
        <v>106.5</v>
      </c>
      <c r="W27" s="34">
        <f t="shared" si="19"/>
        <v>3</v>
      </c>
      <c r="X27" s="34">
        <f t="shared" si="19"/>
        <v>3</v>
      </c>
      <c r="Y27" s="34">
        <f t="shared" si="19"/>
        <v>35.5</v>
      </c>
      <c r="Z27" s="34">
        <f t="shared" si="19"/>
        <v>22.5</v>
      </c>
      <c r="AA27" s="34">
        <f t="shared" si="19"/>
        <v>7</v>
      </c>
      <c r="AB27" s="34">
        <f t="shared" si="19"/>
        <v>9</v>
      </c>
      <c r="AC27" s="34">
        <f t="shared" si="19"/>
        <v>365</v>
      </c>
      <c r="AD27" s="34">
        <f t="shared" si="19"/>
        <v>0</v>
      </c>
      <c r="AE27" s="31">
        <f t="shared" si="19"/>
        <v>370.5</v>
      </c>
      <c r="AF27" s="31">
        <f t="shared" si="19"/>
        <v>735.5</v>
      </c>
    </row>
    <row r="28" spans="2:32" ht="23.1" customHeight="1" x14ac:dyDescent="0.25">
      <c r="B28" s="23" t="s">
        <v>55</v>
      </c>
      <c r="C28" s="49">
        <f>'Avg Week Kalerwe-Kampala'!C28+'Avg Week Kampala-Kalerwe'!C28</f>
        <v>84.857142857142861</v>
      </c>
      <c r="D28" s="49">
        <f>'Avg Week Kalerwe-Kampala'!D28+'Avg Week Kampala-Kalerwe'!D28</f>
        <v>30.857142857142858</v>
      </c>
      <c r="E28" s="49">
        <f>'Avg Week Kalerwe-Kampala'!E28+'Avg Week Kampala-Kalerwe'!E28</f>
        <v>14.142857142857142</v>
      </c>
      <c r="F28" s="49">
        <f>'Avg Week Kalerwe-Kampala'!F28+'Avg Week Kampala-Kalerwe'!F28</f>
        <v>80.285714285714278</v>
      </c>
      <c r="G28" s="49">
        <f>'Avg Week Kalerwe-Kampala'!G28+'Avg Week Kampala-Kalerwe'!G28</f>
        <v>4</v>
      </c>
      <c r="H28" s="49">
        <f>'Avg Week Kalerwe-Kampala'!H28+'Avg Week Kampala-Kalerwe'!H28</f>
        <v>1.1428571428571428</v>
      </c>
      <c r="I28" s="49">
        <f>'Avg Week Kalerwe-Kampala'!I28+'Avg Week Kampala-Kalerwe'!I28</f>
        <v>15.285714285714285</v>
      </c>
      <c r="J28" s="49">
        <f>'Avg Week Kalerwe-Kampala'!J28+'Avg Week Kampala-Kalerwe'!J28</f>
        <v>3.1428571428571432</v>
      </c>
      <c r="K28" s="49">
        <f>'Avg Week Kalerwe-Kampala'!K28+'Avg Week Kampala-Kalerwe'!K28</f>
        <v>1</v>
      </c>
      <c r="L28" s="49">
        <f>'Avg Week Kalerwe-Kampala'!L28+'Avg Week Kampala-Kalerwe'!L28</f>
        <v>2</v>
      </c>
      <c r="M28" s="49">
        <f>'Avg Week Kalerwe-Kampala'!M28+'Avg Week Kampala-Kalerwe'!M28</f>
        <v>327.57142857142856</v>
      </c>
      <c r="N28" s="49">
        <f>'Avg Week Kalerwe-Kampala'!N28+'Avg Week Kampala-Kalerwe'!N28</f>
        <v>0</v>
      </c>
      <c r="O28" s="15">
        <f t="shared" si="0"/>
        <v>236.71428571428569</v>
      </c>
      <c r="P28" s="15">
        <f t="shared" si="1"/>
        <v>564.28571428571422</v>
      </c>
      <c r="R28" s="1" t="s">
        <v>152</v>
      </c>
      <c r="S28" s="34">
        <f>SUM(C82:C85)</f>
        <v>153</v>
      </c>
      <c r="T28" s="34">
        <f t="shared" ref="T28:AF28" si="20">SUM(D82:D85)</f>
        <v>63.5</v>
      </c>
      <c r="U28" s="34">
        <f t="shared" si="20"/>
        <v>8</v>
      </c>
      <c r="V28" s="34">
        <f t="shared" si="20"/>
        <v>45</v>
      </c>
      <c r="W28" s="34">
        <f t="shared" si="20"/>
        <v>6.5</v>
      </c>
      <c r="X28" s="34">
        <f t="shared" si="20"/>
        <v>4.5</v>
      </c>
      <c r="Y28" s="34">
        <f t="shared" si="20"/>
        <v>26</v>
      </c>
      <c r="Z28" s="34">
        <f t="shared" si="20"/>
        <v>22.5</v>
      </c>
      <c r="AA28" s="34">
        <f t="shared" si="20"/>
        <v>11.5</v>
      </c>
      <c r="AB28" s="34">
        <f t="shared" si="20"/>
        <v>2.5</v>
      </c>
      <c r="AC28" s="34">
        <f t="shared" si="20"/>
        <v>293</v>
      </c>
      <c r="AD28" s="34">
        <f t="shared" si="20"/>
        <v>0</v>
      </c>
      <c r="AE28" s="31">
        <f t="shared" si="20"/>
        <v>343</v>
      </c>
      <c r="AF28" s="31">
        <f t="shared" si="20"/>
        <v>636</v>
      </c>
    </row>
    <row r="29" spans="2:32" ht="23.1" customHeight="1" x14ac:dyDescent="0.25">
      <c r="B29" s="23" t="s">
        <v>56</v>
      </c>
      <c r="C29" s="49">
        <f>'Avg Week Kalerwe-Kampala'!C29+'Avg Week Kampala-Kalerwe'!C29</f>
        <v>101</v>
      </c>
      <c r="D29" s="49">
        <f>'Avg Week Kalerwe-Kampala'!D29+'Avg Week Kampala-Kalerwe'!D29</f>
        <v>22.285714285714285</v>
      </c>
      <c r="E29" s="49">
        <f>'Avg Week Kalerwe-Kampala'!E29+'Avg Week Kampala-Kalerwe'!E29</f>
        <v>12</v>
      </c>
      <c r="F29" s="49">
        <f>'Avg Week Kalerwe-Kampala'!F29+'Avg Week Kampala-Kalerwe'!F29</f>
        <v>85.142857142857139</v>
      </c>
      <c r="G29" s="49">
        <f>'Avg Week Kalerwe-Kampala'!G29+'Avg Week Kampala-Kalerwe'!G29</f>
        <v>2</v>
      </c>
      <c r="H29" s="49">
        <f>'Avg Week Kalerwe-Kampala'!H29+'Avg Week Kampala-Kalerwe'!H29</f>
        <v>1.8571428571428572</v>
      </c>
      <c r="I29" s="49">
        <f>'Avg Week Kalerwe-Kampala'!I29+'Avg Week Kampala-Kalerwe'!I29</f>
        <v>18.714285714285715</v>
      </c>
      <c r="J29" s="49">
        <f>'Avg Week Kalerwe-Kampala'!J29+'Avg Week Kampala-Kalerwe'!J29</f>
        <v>2.7142857142857144</v>
      </c>
      <c r="K29" s="49">
        <f>'Avg Week Kalerwe-Kampala'!K29+'Avg Week Kampala-Kalerwe'!K29</f>
        <v>1.2857142857142856</v>
      </c>
      <c r="L29" s="49">
        <f>'Avg Week Kalerwe-Kampala'!L29+'Avg Week Kampala-Kalerwe'!L29</f>
        <v>1.4285714285714286</v>
      </c>
      <c r="M29" s="49">
        <f>'Avg Week Kalerwe-Kampala'!M29+'Avg Week Kampala-Kalerwe'!M29</f>
        <v>330.85714285714289</v>
      </c>
      <c r="N29" s="49">
        <f>'Avg Week Kalerwe-Kampala'!N29+'Avg Week Kampala-Kalerwe'!N29</f>
        <v>0</v>
      </c>
      <c r="O29" s="15">
        <f t="shared" si="0"/>
        <v>248.42857142857142</v>
      </c>
      <c r="P29" s="15">
        <f t="shared" si="1"/>
        <v>579.28571428571433</v>
      </c>
      <c r="R29" s="1" t="s">
        <v>153</v>
      </c>
      <c r="S29" s="34">
        <f>SUM(C86:C89)</f>
        <v>129</v>
      </c>
      <c r="T29" s="34">
        <f t="shared" ref="T29:AF29" si="21">SUM(D86:D89)</f>
        <v>30.5</v>
      </c>
      <c r="U29" s="34">
        <f t="shared" si="21"/>
        <v>8.5</v>
      </c>
      <c r="V29" s="34">
        <f t="shared" si="21"/>
        <v>44</v>
      </c>
      <c r="W29" s="34">
        <f t="shared" si="21"/>
        <v>3.5</v>
      </c>
      <c r="X29" s="34">
        <f t="shared" si="21"/>
        <v>3</v>
      </c>
      <c r="Y29" s="34">
        <f t="shared" si="21"/>
        <v>19.5</v>
      </c>
      <c r="Z29" s="34">
        <f t="shared" si="21"/>
        <v>27</v>
      </c>
      <c r="AA29" s="34">
        <f t="shared" si="21"/>
        <v>9.5</v>
      </c>
      <c r="AB29" s="34">
        <f t="shared" si="21"/>
        <v>1</v>
      </c>
      <c r="AC29" s="34">
        <f t="shared" si="21"/>
        <v>272</v>
      </c>
      <c r="AD29" s="34">
        <f t="shared" si="21"/>
        <v>0</v>
      </c>
      <c r="AE29" s="31">
        <f t="shared" si="21"/>
        <v>275.5</v>
      </c>
      <c r="AF29" s="31">
        <f t="shared" si="21"/>
        <v>547.5</v>
      </c>
    </row>
    <row r="30" spans="2:32" ht="23.1" customHeight="1" x14ac:dyDescent="0.25">
      <c r="B30" s="23" t="s">
        <v>57</v>
      </c>
      <c r="C30" s="49">
        <f>'Avg Week Kalerwe-Kampala'!C30+'Avg Week Kampala-Kalerwe'!C30</f>
        <v>77.857142857142861</v>
      </c>
      <c r="D30" s="49">
        <f>'Avg Week Kalerwe-Kampala'!D30+'Avg Week Kampala-Kalerwe'!D30</f>
        <v>33.571428571428569</v>
      </c>
      <c r="E30" s="49">
        <f>'Avg Week Kalerwe-Kampala'!E30+'Avg Week Kampala-Kalerwe'!E30</f>
        <v>11.428571428571427</v>
      </c>
      <c r="F30" s="49">
        <f>'Avg Week Kalerwe-Kampala'!F30+'Avg Week Kampala-Kalerwe'!F30</f>
        <v>69.285714285714278</v>
      </c>
      <c r="G30" s="49">
        <f>'Avg Week Kalerwe-Kampala'!G30+'Avg Week Kampala-Kalerwe'!G30</f>
        <v>2.1428571428571428</v>
      </c>
      <c r="H30" s="49">
        <f>'Avg Week Kalerwe-Kampala'!H30+'Avg Week Kampala-Kalerwe'!H30</f>
        <v>0.71428571428571419</v>
      </c>
      <c r="I30" s="49">
        <f>'Avg Week Kalerwe-Kampala'!I30+'Avg Week Kampala-Kalerwe'!I30</f>
        <v>14.285714285714285</v>
      </c>
      <c r="J30" s="49">
        <f>'Avg Week Kalerwe-Kampala'!J30+'Avg Week Kampala-Kalerwe'!J30</f>
        <v>4</v>
      </c>
      <c r="K30" s="49">
        <f>'Avg Week Kalerwe-Kampala'!K30+'Avg Week Kampala-Kalerwe'!K30</f>
        <v>1.1428571428571428</v>
      </c>
      <c r="L30" s="49">
        <f>'Avg Week Kalerwe-Kampala'!L30+'Avg Week Kampala-Kalerwe'!L30</f>
        <v>0.71428571428571419</v>
      </c>
      <c r="M30" s="49">
        <f>'Avg Week Kalerwe-Kampala'!M30+'Avg Week Kampala-Kalerwe'!M30</f>
        <v>272.57142857142856</v>
      </c>
      <c r="N30" s="49">
        <f>'Avg Week Kalerwe-Kampala'!N30+'Avg Week Kampala-Kalerwe'!N30</f>
        <v>0</v>
      </c>
      <c r="O30" s="15">
        <f t="shared" si="0"/>
        <v>215.14285714285714</v>
      </c>
      <c r="P30" s="15">
        <f t="shared" si="1"/>
        <v>487.71428571428567</v>
      </c>
      <c r="R30" s="1" t="s">
        <v>154</v>
      </c>
      <c r="S30" s="34">
        <f>SUM(C90:C93)</f>
        <v>98.5</v>
      </c>
      <c r="T30" s="34">
        <f t="shared" ref="T30:AF30" si="22">SUM(D90:D93)</f>
        <v>12</v>
      </c>
      <c r="U30" s="34">
        <f t="shared" si="22"/>
        <v>17.5</v>
      </c>
      <c r="V30" s="34">
        <f t="shared" si="22"/>
        <v>41</v>
      </c>
      <c r="W30" s="34">
        <f t="shared" si="22"/>
        <v>8.5</v>
      </c>
      <c r="X30" s="34">
        <f t="shared" si="22"/>
        <v>11.5</v>
      </c>
      <c r="Y30" s="34">
        <f t="shared" si="22"/>
        <v>12</v>
      </c>
      <c r="Z30" s="34">
        <f t="shared" si="22"/>
        <v>17.5</v>
      </c>
      <c r="AA30" s="34">
        <f t="shared" si="22"/>
        <v>8</v>
      </c>
      <c r="AB30" s="34">
        <f t="shared" si="22"/>
        <v>2.5</v>
      </c>
      <c r="AC30" s="34">
        <f t="shared" si="22"/>
        <v>192</v>
      </c>
      <c r="AD30" s="34">
        <f t="shared" si="22"/>
        <v>0</v>
      </c>
      <c r="AE30" s="31">
        <f t="shared" si="22"/>
        <v>229</v>
      </c>
      <c r="AF30" s="31">
        <f t="shared" si="22"/>
        <v>421</v>
      </c>
    </row>
    <row r="31" spans="2:32" ht="23.1" customHeight="1" x14ac:dyDescent="0.25">
      <c r="B31" s="24" t="s">
        <v>58</v>
      </c>
      <c r="C31" s="49">
        <f>'Avg Week Kalerwe-Kampala'!C31+'Avg Week Kampala-Kalerwe'!C31</f>
        <v>82.571428571428569</v>
      </c>
      <c r="D31" s="49">
        <f>'Avg Week Kalerwe-Kampala'!D31+'Avg Week Kampala-Kalerwe'!D31</f>
        <v>33.428571428571431</v>
      </c>
      <c r="E31" s="49">
        <f>'Avg Week Kalerwe-Kampala'!E31+'Avg Week Kampala-Kalerwe'!E31</f>
        <v>11.571428571428571</v>
      </c>
      <c r="F31" s="49">
        <f>'Avg Week Kalerwe-Kampala'!F31+'Avg Week Kampala-Kalerwe'!F31</f>
        <v>79.714285714285722</v>
      </c>
      <c r="G31" s="49">
        <f>'Avg Week Kalerwe-Kampala'!G31+'Avg Week Kampala-Kalerwe'!G31</f>
        <v>2.7142857142857144</v>
      </c>
      <c r="H31" s="49">
        <f>'Avg Week Kalerwe-Kampala'!H31+'Avg Week Kampala-Kalerwe'!H31</f>
        <v>0.5714285714285714</v>
      </c>
      <c r="I31" s="49">
        <f>'Avg Week Kalerwe-Kampala'!I31+'Avg Week Kampala-Kalerwe'!I31</f>
        <v>17.428571428571431</v>
      </c>
      <c r="J31" s="49">
        <f>'Avg Week Kalerwe-Kampala'!J31+'Avg Week Kampala-Kalerwe'!J31</f>
        <v>5.4285714285714288</v>
      </c>
      <c r="K31" s="49">
        <f>'Avg Week Kalerwe-Kampala'!K31+'Avg Week Kampala-Kalerwe'!K31</f>
        <v>1</v>
      </c>
      <c r="L31" s="49">
        <f>'Avg Week Kalerwe-Kampala'!L31+'Avg Week Kampala-Kalerwe'!L31</f>
        <v>0.8571428571428571</v>
      </c>
      <c r="M31" s="49">
        <f>'Avg Week Kalerwe-Kampala'!M31+'Avg Week Kampala-Kalerwe'!M31</f>
        <v>297.71428571428572</v>
      </c>
      <c r="N31" s="49">
        <f>'Avg Week Kalerwe-Kampala'!N31+'Avg Week Kampala-Kalerwe'!N31</f>
        <v>0</v>
      </c>
      <c r="O31" s="15">
        <f t="shared" si="0"/>
        <v>235.28571428571428</v>
      </c>
      <c r="P31" s="15">
        <f t="shared" si="1"/>
        <v>533</v>
      </c>
      <c r="R31" s="1" t="s">
        <v>155</v>
      </c>
      <c r="S31" s="34">
        <f>SUM(C94:C97)</f>
        <v>63.5</v>
      </c>
      <c r="T31" s="34">
        <f t="shared" ref="T31:AF31" si="23">SUM(D94:D97)</f>
        <v>17</v>
      </c>
      <c r="U31" s="34">
        <f t="shared" si="23"/>
        <v>5</v>
      </c>
      <c r="V31" s="34">
        <f t="shared" si="23"/>
        <v>36.5</v>
      </c>
      <c r="W31" s="34">
        <f t="shared" si="23"/>
        <v>1</v>
      </c>
      <c r="X31" s="34">
        <f t="shared" si="23"/>
        <v>2.5</v>
      </c>
      <c r="Y31" s="34">
        <f t="shared" si="23"/>
        <v>9.5</v>
      </c>
      <c r="Z31" s="34">
        <f t="shared" si="23"/>
        <v>12.5</v>
      </c>
      <c r="AA31" s="34">
        <f t="shared" si="23"/>
        <v>2.5</v>
      </c>
      <c r="AB31" s="34">
        <f t="shared" si="23"/>
        <v>0</v>
      </c>
      <c r="AC31" s="34">
        <f t="shared" si="23"/>
        <v>139</v>
      </c>
      <c r="AD31" s="34">
        <f t="shared" si="23"/>
        <v>0</v>
      </c>
      <c r="AE31" s="31">
        <f t="shared" si="23"/>
        <v>150</v>
      </c>
      <c r="AF31" s="31">
        <f t="shared" si="23"/>
        <v>289</v>
      </c>
    </row>
    <row r="32" spans="2:32" ht="23.1" customHeight="1" x14ac:dyDescent="0.25">
      <c r="B32" s="24" t="s">
        <v>59</v>
      </c>
      <c r="C32" s="49">
        <f>'Avg Week Kalerwe-Kampala'!C32+'Avg Week Kampala-Kalerwe'!C32</f>
        <v>83.142857142857139</v>
      </c>
      <c r="D32" s="49">
        <f>'Avg Week Kalerwe-Kampala'!D32+'Avg Week Kampala-Kalerwe'!D32</f>
        <v>31.142857142857142</v>
      </c>
      <c r="E32" s="49">
        <f>'Avg Week Kalerwe-Kampala'!E32+'Avg Week Kampala-Kalerwe'!E32</f>
        <v>13.857142857142858</v>
      </c>
      <c r="F32" s="49">
        <f>'Avg Week Kalerwe-Kampala'!F32+'Avg Week Kampala-Kalerwe'!F32</f>
        <v>80.428571428571416</v>
      </c>
      <c r="G32" s="49">
        <f>'Avg Week Kalerwe-Kampala'!G32+'Avg Week Kampala-Kalerwe'!G32</f>
        <v>2.2857142857142856</v>
      </c>
      <c r="H32" s="49">
        <f>'Avg Week Kalerwe-Kampala'!H32+'Avg Week Kampala-Kalerwe'!H32</f>
        <v>1.8571428571428572</v>
      </c>
      <c r="I32" s="49">
        <f>'Avg Week Kalerwe-Kampala'!I32+'Avg Week Kampala-Kalerwe'!I32</f>
        <v>19.714285714285715</v>
      </c>
      <c r="J32" s="49">
        <f>'Avg Week Kalerwe-Kampala'!J32+'Avg Week Kampala-Kalerwe'!J32</f>
        <v>2.7142857142857144</v>
      </c>
      <c r="K32" s="49">
        <f>'Avg Week Kalerwe-Kampala'!K32+'Avg Week Kampala-Kalerwe'!K32</f>
        <v>1.8571428571428572</v>
      </c>
      <c r="L32" s="49">
        <f>'Avg Week Kalerwe-Kampala'!L32+'Avg Week Kampala-Kalerwe'!L32</f>
        <v>0.85714285714285721</v>
      </c>
      <c r="M32" s="49">
        <f>'Avg Week Kalerwe-Kampala'!M32+'Avg Week Kampala-Kalerwe'!M32</f>
        <v>311.14285714285711</v>
      </c>
      <c r="N32" s="49">
        <f>'Avg Week Kalerwe-Kampala'!N32+'Avg Week Kampala-Kalerwe'!N32</f>
        <v>0</v>
      </c>
      <c r="O32" s="15">
        <f t="shared" si="0"/>
        <v>237.85714285714286</v>
      </c>
      <c r="P32" s="15">
        <f t="shared" si="1"/>
        <v>549</v>
      </c>
      <c r="R32" s="1" t="s">
        <v>156</v>
      </c>
      <c r="S32" s="34">
        <f>SUM(C98:C101)</f>
        <v>210.5</v>
      </c>
      <c r="T32" s="34">
        <f t="shared" ref="T32:AF32" si="24">SUM(D98:D101)</f>
        <v>87.5</v>
      </c>
      <c r="U32" s="34">
        <f t="shared" si="24"/>
        <v>12.5</v>
      </c>
      <c r="V32" s="34">
        <f t="shared" si="24"/>
        <v>226.5</v>
      </c>
      <c r="W32" s="34">
        <f t="shared" si="24"/>
        <v>4</v>
      </c>
      <c r="X32" s="34">
        <f t="shared" si="24"/>
        <v>3</v>
      </c>
      <c r="Y32" s="34">
        <f t="shared" si="24"/>
        <v>34.5</v>
      </c>
      <c r="Z32" s="34">
        <f t="shared" si="24"/>
        <v>38</v>
      </c>
      <c r="AA32" s="34">
        <f t="shared" si="24"/>
        <v>16</v>
      </c>
      <c r="AB32" s="34">
        <f t="shared" si="24"/>
        <v>6.5</v>
      </c>
      <c r="AC32" s="34">
        <f t="shared" si="24"/>
        <v>336</v>
      </c>
      <c r="AD32" s="34">
        <f t="shared" si="24"/>
        <v>0.5</v>
      </c>
      <c r="AE32" s="31">
        <f t="shared" si="24"/>
        <v>639.5</v>
      </c>
      <c r="AF32" s="31">
        <f t="shared" si="24"/>
        <v>975.5</v>
      </c>
    </row>
    <row r="33" spans="2:32" ht="23.1" customHeight="1" x14ac:dyDescent="0.25">
      <c r="B33" s="23" t="s">
        <v>60</v>
      </c>
      <c r="C33" s="49">
        <f>'Avg Week Kalerwe-Kampala'!C33+'Avg Week Kampala-Kalerwe'!C33</f>
        <v>80.857142857142861</v>
      </c>
      <c r="D33" s="49">
        <f>'Avg Week Kalerwe-Kampala'!D33+'Avg Week Kampala-Kalerwe'!D33</f>
        <v>35.571428571428569</v>
      </c>
      <c r="E33" s="49">
        <f>'Avg Week Kalerwe-Kampala'!E33+'Avg Week Kampala-Kalerwe'!E33</f>
        <v>11.571428571428571</v>
      </c>
      <c r="F33" s="49">
        <f>'Avg Week Kalerwe-Kampala'!F33+'Avg Week Kampala-Kalerwe'!F33</f>
        <v>81.428571428571431</v>
      </c>
      <c r="G33" s="49">
        <f>'Avg Week Kalerwe-Kampala'!G33+'Avg Week Kampala-Kalerwe'!G33</f>
        <v>6.4285714285714288</v>
      </c>
      <c r="H33" s="49">
        <f>'Avg Week Kalerwe-Kampala'!H33+'Avg Week Kampala-Kalerwe'!H33</f>
        <v>1.1428571428571428</v>
      </c>
      <c r="I33" s="49">
        <f>'Avg Week Kalerwe-Kampala'!I33+'Avg Week Kampala-Kalerwe'!I33</f>
        <v>19.285714285714285</v>
      </c>
      <c r="J33" s="49">
        <f>'Avg Week Kalerwe-Kampala'!J33+'Avg Week Kampala-Kalerwe'!J33</f>
        <v>2.4285714285714288</v>
      </c>
      <c r="K33" s="49">
        <f>'Avg Week Kalerwe-Kampala'!K33+'Avg Week Kampala-Kalerwe'!K33</f>
        <v>2.2857142857142856</v>
      </c>
      <c r="L33" s="49">
        <f>'Avg Week Kalerwe-Kampala'!L33+'Avg Week Kampala-Kalerwe'!L33</f>
        <v>0.8571428571428571</v>
      </c>
      <c r="M33" s="49">
        <f>'Avg Week Kalerwe-Kampala'!M33+'Avg Week Kampala-Kalerwe'!M33</f>
        <v>323.71428571428567</v>
      </c>
      <c r="N33" s="49">
        <f>'Avg Week Kalerwe-Kampala'!N33+'Avg Week Kampala-Kalerwe'!N33</f>
        <v>0</v>
      </c>
      <c r="O33" s="15">
        <f t="shared" si="0"/>
        <v>241.85714285714283</v>
      </c>
      <c r="P33" s="15">
        <f t="shared" si="1"/>
        <v>565.57142857142844</v>
      </c>
      <c r="R33" s="1" t="s">
        <v>157</v>
      </c>
      <c r="S33" s="34">
        <f>SUM(C102:C105)</f>
        <v>215.5</v>
      </c>
      <c r="T33" s="34">
        <f t="shared" ref="T33:AF33" si="25">SUM(D102:D105)</f>
        <v>101</v>
      </c>
      <c r="U33" s="34">
        <f t="shared" si="25"/>
        <v>36.5</v>
      </c>
      <c r="V33" s="34">
        <f t="shared" si="25"/>
        <v>353</v>
      </c>
      <c r="W33" s="34">
        <f t="shared" si="25"/>
        <v>17.5</v>
      </c>
      <c r="X33" s="34">
        <f t="shared" si="25"/>
        <v>8.5</v>
      </c>
      <c r="Y33" s="34">
        <f t="shared" si="25"/>
        <v>60.5</v>
      </c>
      <c r="Z33" s="34">
        <f t="shared" si="25"/>
        <v>42</v>
      </c>
      <c r="AA33" s="34">
        <f t="shared" si="25"/>
        <v>11</v>
      </c>
      <c r="AB33" s="34">
        <f t="shared" si="25"/>
        <v>5</v>
      </c>
      <c r="AC33" s="34">
        <f t="shared" si="25"/>
        <v>792.5</v>
      </c>
      <c r="AD33" s="34">
        <f t="shared" si="25"/>
        <v>0</v>
      </c>
      <c r="AE33" s="31">
        <f t="shared" si="25"/>
        <v>850.5</v>
      </c>
      <c r="AF33" s="31">
        <f t="shared" si="25"/>
        <v>1643</v>
      </c>
    </row>
    <row r="34" spans="2:32" ht="23.1" customHeight="1" x14ac:dyDescent="0.25">
      <c r="B34" s="24" t="s">
        <v>61</v>
      </c>
      <c r="C34" s="49">
        <f>'Avg Week Kalerwe-Kampala'!C34+'Avg Week Kampala-Kalerwe'!C34</f>
        <v>79.571428571428569</v>
      </c>
      <c r="D34" s="49">
        <f>'Avg Week Kalerwe-Kampala'!D34+'Avg Week Kampala-Kalerwe'!D34</f>
        <v>33</v>
      </c>
      <c r="E34" s="49">
        <f>'Avg Week Kalerwe-Kampala'!E34+'Avg Week Kampala-Kalerwe'!E34</f>
        <v>10.714285714285715</v>
      </c>
      <c r="F34" s="49">
        <f>'Avg Week Kalerwe-Kampala'!F34+'Avg Week Kampala-Kalerwe'!F34</f>
        <v>85.285714285714278</v>
      </c>
      <c r="G34" s="49">
        <f>'Avg Week Kalerwe-Kampala'!G34+'Avg Week Kampala-Kalerwe'!G34</f>
        <v>3</v>
      </c>
      <c r="H34" s="49">
        <f>'Avg Week Kalerwe-Kampala'!H34+'Avg Week Kampala-Kalerwe'!H34</f>
        <v>1.5714285714285714</v>
      </c>
      <c r="I34" s="49">
        <f>'Avg Week Kalerwe-Kampala'!I34+'Avg Week Kampala-Kalerwe'!I34</f>
        <v>23</v>
      </c>
      <c r="J34" s="49">
        <f>'Avg Week Kalerwe-Kampala'!J34+'Avg Week Kampala-Kalerwe'!J34</f>
        <v>5.2857142857142856</v>
      </c>
      <c r="K34" s="49">
        <f>'Avg Week Kalerwe-Kampala'!K34+'Avg Week Kampala-Kalerwe'!K34</f>
        <v>3</v>
      </c>
      <c r="L34" s="49">
        <f>'Avg Week Kalerwe-Kampala'!L34+'Avg Week Kampala-Kalerwe'!L34</f>
        <v>1.1428571428571428</v>
      </c>
      <c r="M34" s="49">
        <f>'Avg Week Kalerwe-Kampala'!M34+'Avg Week Kampala-Kalerwe'!M34</f>
        <v>314</v>
      </c>
      <c r="N34" s="49">
        <f>'Avg Week Kalerwe-Kampala'!N34+'Avg Week Kampala-Kalerwe'!N34</f>
        <v>0</v>
      </c>
      <c r="O34" s="15">
        <f t="shared" si="0"/>
        <v>245.57142857142856</v>
      </c>
      <c r="P34" s="15">
        <f t="shared" si="1"/>
        <v>559.57142857142856</v>
      </c>
      <c r="R34" s="38" t="s">
        <v>90</v>
      </c>
      <c r="S34" s="39">
        <f t="shared" ref="S34:AF34" si="26">MAX(S10:S12)</f>
        <v>342.28571428571433</v>
      </c>
      <c r="T34" s="39">
        <f t="shared" si="26"/>
        <v>114.28571428571428</v>
      </c>
      <c r="U34" s="39">
        <f t="shared" si="26"/>
        <v>68.571428571428569</v>
      </c>
      <c r="V34" s="39">
        <f t="shared" si="26"/>
        <v>443.85714285714289</v>
      </c>
      <c r="W34" s="39">
        <f t="shared" si="26"/>
        <v>12.571428571428573</v>
      </c>
      <c r="X34" s="39">
        <f t="shared" si="26"/>
        <v>11.142857142857142</v>
      </c>
      <c r="Y34" s="39">
        <f t="shared" si="26"/>
        <v>69</v>
      </c>
      <c r="Z34" s="39">
        <f t="shared" si="26"/>
        <v>15.142857142857142</v>
      </c>
      <c r="AA34" s="39">
        <f t="shared" si="26"/>
        <v>5.7142857142857135</v>
      </c>
      <c r="AB34" s="39">
        <f t="shared" si="26"/>
        <v>4</v>
      </c>
      <c r="AC34" s="39">
        <f t="shared" si="26"/>
        <v>1862.4285714285716</v>
      </c>
      <c r="AD34" s="39">
        <f t="shared" si="26"/>
        <v>1.2857142857142858</v>
      </c>
      <c r="AE34" s="40">
        <f t="shared" si="26"/>
        <v>1039.4285714285716</v>
      </c>
      <c r="AF34" s="40">
        <f t="shared" si="26"/>
        <v>2765.4285714285716</v>
      </c>
    </row>
    <row r="35" spans="2:32" ht="23.1" customHeight="1" x14ac:dyDescent="0.25">
      <c r="B35" s="24" t="s">
        <v>62</v>
      </c>
      <c r="C35" s="49">
        <f>'Avg Week Kalerwe-Kampala'!C35+'Avg Week Kampala-Kalerwe'!C35</f>
        <v>79.571428571428569</v>
      </c>
      <c r="D35" s="49">
        <f>'Avg Week Kalerwe-Kampala'!D35+'Avg Week Kampala-Kalerwe'!D35</f>
        <v>33</v>
      </c>
      <c r="E35" s="49">
        <f>'Avg Week Kalerwe-Kampala'!E35+'Avg Week Kampala-Kalerwe'!E35</f>
        <v>12.571428571428573</v>
      </c>
      <c r="F35" s="49">
        <f>'Avg Week Kalerwe-Kampala'!F35+'Avg Week Kampala-Kalerwe'!F35</f>
        <v>78.857142857142861</v>
      </c>
      <c r="G35" s="49">
        <f>'Avg Week Kalerwe-Kampala'!G35+'Avg Week Kampala-Kalerwe'!G35</f>
        <v>2.7142857142857144</v>
      </c>
      <c r="H35" s="49">
        <f>'Avg Week Kalerwe-Kampala'!H35+'Avg Week Kampala-Kalerwe'!H35</f>
        <v>0.71428571428571419</v>
      </c>
      <c r="I35" s="49">
        <f>'Avg Week Kalerwe-Kampala'!I35+'Avg Week Kampala-Kalerwe'!I35</f>
        <v>16.571428571428573</v>
      </c>
      <c r="J35" s="49">
        <f>'Avg Week Kalerwe-Kampala'!J35+'Avg Week Kampala-Kalerwe'!J35</f>
        <v>3.1428571428571428</v>
      </c>
      <c r="K35" s="49">
        <f>'Avg Week Kalerwe-Kampala'!K35+'Avg Week Kampala-Kalerwe'!K35</f>
        <v>2.5714285714285716</v>
      </c>
      <c r="L35" s="49">
        <f>'Avg Week Kalerwe-Kampala'!L35+'Avg Week Kampala-Kalerwe'!L35</f>
        <v>1.5714285714285714</v>
      </c>
      <c r="M35" s="49">
        <f>'Avg Week Kalerwe-Kampala'!M35+'Avg Week Kampala-Kalerwe'!M35</f>
        <v>285.57142857142856</v>
      </c>
      <c r="N35" s="49">
        <f>'Avg Week Kalerwe-Kampala'!N35+'Avg Week Kampala-Kalerwe'!N35</f>
        <v>0</v>
      </c>
      <c r="O35" s="15">
        <f t="shared" si="0"/>
        <v>231.28571428571433</v>
      </c>
      <c r="P35" s="15">
        <f t="shared" si="1"/>
        <v>516.85714285714289</v>
      </c>
      <c r="R35" s="38" t="s">
        <v>91</v>
      </c>
      <c r="S35" s="39">
        <f t="shared" ref="S35:AF35" si="27">MAX(S13:S18)</f>
        <v>366.71428571428572</v>
      </c>
      <c r="T35" s="39">
        <f t="shared" si="27"/>
        <v>133.71428571428572</v>
      </c>
      <c r="U35" s="39">
        <f t="shared" si="27"/>
        <v>64.571428571428569</v>
      </c>
      <c r="V35" s="39">
        <f t="shared" si="27"/>
        <v>355.85714285714289</v>
      </c>
      <c r="W35" s="39">
        <f t="shared" si="27"/>
        <v>13.571428571428573</v>
      </c>
      <c r="X35" s="39">
        <f t="shared" si="27"/>
        <v>7.2857142857142856</v>
      </c>
      <c r="Y35" s="39">
        <f t="shared" si="27"/>
        <v>95</v>
      </c>
      <c r="Z35" s="39">
        <f t="shared" si="27"/>
        <v>16.428571428571431</v>
      </c>
      <c r="AA35" s="39">
        <f t="shared" si="27"/>
        <v>10.142857142857142</v>
      </c>
      <c r="AB35" s="39">
        <f t="shared" si="27"/>
        <v>5.7142857142857144</v>
      </c>
      <c r="AC35" s="39">
        <f t="shared" si="27"/>
        <v>1433.1428571428573</v>
      </c>
      <c r="AD35" s="39">
        <f t="shared" si="27"/>
        <v>0</v>
      </c>
      <c r="AE35" s="40">
        <f t="shared" si="27"/>
        <v>1029</v>
      </c>
      <c r="AF35" s="40">
        <f t="shared" si="27"/>
        <v>2363.4285714285716</v>
      </c>
    </row>
    <row r="36" spans="2:32" ht="23.1" customHeight="1" x14ac:dyDescent="0.25">
      <c r="B36" s="24" t="s">
        <v>63</v>
      </c>
      <c r="C36" s="49">
        <f>'Avg Week Kalerwe-Kampala'!C36+'Avg Week Kampala-Kalerwe'!C36</f>
        <v>74.142857142857139</v>
      </c>
      <c r="D36" s="49">
        <f>'Avg Week Kalerwe-Kampala'!D36+'Avg Week Kampala-Kalerwe'!D36</f>
        <v>27.285714285714285</v>
      </c>
      <c r="E36" s="49">
        <f>'Avg Week Kalerwe-Kampala'!E36+'Avg Week Kampala-Kalerwe'!E36</f>
        <v>12.714285714285715</v>
      </c>
      <c r="F36" s="49">
        <f>'Avg Week Kalerwe-Kampala'!F36+'Avg Week Kampala-Kalerwe'!F36</f>
        <v>75</v>
      </c>
      <c r="G36" s="49">
        <f>'Avg Week Kalerwe-Kampala'!G36+'Avg Week Kampala-Kalerwe'!G36</f>
        <v>2.4285714285714288</v>
      </c>
      <c r="H36" s="49">
        <f>'Avg Week Kalerwe-Kampala'!H36+'Avg Week Kampala-Kalerwe'!H36</f>
        <v>1.5714285714285714</v>
      </c>
      <c r="I36" s="49">
        <f>'Avg Week Kalerwe-Kampala'!I36+'Avg Week Kampala-Kalerwe'!I36</f>
        <v>17.714285714285715</v>
      </c>
      <c r="J36" s="49">
        <f>'Avg Week Kalerwe-Kampala'!J36+'Avg Week Kampala-Kalerwe'!J36</f>
        <v>3.2857142857142856</v>
      </c>
      <c r="K36" s="49">
        <f>'Avg Week Kalerwe-Kampala'!K36+'Avg Week Kampala-Kalerwe'!K36</f>
        <v>3</v>
      </c>
      <c r="L36" s="49">
        <f>'Avg Week Kalerwe-Kampala'!L36+'Avg Week Kampala-Kalerwe'!L36</f>
        <v>0.8571428571428571</v>
      </c>
      <c r="M36" s="49">
        <f>'Avg Week Kalerwe-Kampala'!M36+'Avg Week Kampala-Kalerwe'!M36</f>
        <v>291.85714285714289</v>
      </c>
      <c r="N36" s="49">
        <f>'Avg Week Kalerwe-Kampala'!N36+'Avg Week Kampala-Kalerwe'!N36</f>
        <v>0</v>
      </c>
      <c r="O36" s="15">
        <f t="shared" si="0"/>
        <v>218</v>
      </c>
      <c r="P36" s="15">
        <f t="shared" si="1"/>
        <v>509.85714285714289</v>
      </c>
      <c r="R36" s="38" t="s">
        <v>92</v>
      </c>
      <c r="S36" s="39">
        <f t="shared" ref="S36:AF36" si="28">MAX(S19:S21)</f>
        <v>442.42857142857139</v>
      </c>
      <c r="T36" s="39">
        <f t="shared" si="28"/>
        <v>147.28571428571428</v>
      </c>
      <c r="U36" s="39">
        <f t="shared" si="28"/>
        <v>51.142857142857139</v>
      </c>
      <c r="V36" s="39">
        <f t="shared" si="28"/>
        <v>333.85714285714289</v>
      </c>
      <c r="W36" s="39">
        <f t="shared" si="28"/>
        <v>11.285714285714285</v>
      </c>
      <c r="X36" s="39">
        <f t="shared" si="28"/>
        <v>6.1428571428571423</v>
      </c>
      <c r="Y36" s="39">
        <f t="shared" si="28"/>
        <v>90.142857142857139</v>
      </c>
      <c r="Z36" s="39">
        <f t="shared" si="28"/>
        <v>9.8571428571428577</v>
      </c>
      <c r="AA36" s="39">
        <f t="shared" si="28"/>
        <v>6.2857142857142865</v>
      </c>
      <c r="AB36" s="39">
        <f t="shared" si="28"/>
        <v>4.2857142857142856</v>
      </c>
      <c r="AC36" s="39">
        <f t="shared" si="28"/>
        <v>1444.8571428571429</v>
      </c>
      <c r="AD36" s="39">
        <f t="shared" si="28"/>
        <v>0</v>
      </c>
      <c r="AE36" s="40">
        <f t="shared" si="28"/>
        <v>1044</v>
      </c>
      <c r="AF36" s="40">
        <f t="shared" si="28"/>
        <v>2398.5714285714284</v>
      </c>
    </row>
    <row r="37" spans="2:32" ht="23.1" customHeight="1" x14ac:dyDescent="0.25">
      <c r="B37" s="23" t="s">
        <v>64</v>
      </c>
      <c r="C37" s="49">
        <f>'Avg Week Kalerwe-Kampala'!C37+'Avg Week Kampala-Kalerwe'!C37</f>
        <v>88.857142857142861</v>
      </c>
      <c r="D37" s="49">
        <f>'Avg Week Kalerwe-Kampala'!D37+'Avg Week Kampala-Kalerwe'!D37</f>
        <v>27.142857142857146</v>
      </c>
      <c r="E37" s="49">
        <f>'Avg Week Kalerwe-Kampala'!E37+'Avg Week Kampala-Kalerwe'!E37</f>
        <v>13.714285714285715</v>
      </c>
      <c r="F37" s="49">
        <f>'Avg Week Kalerwe-Kampala'!F37+'Avg Week Kampala-Kalerwe'!F37</f>
        <v>70.857142857142861</v>
      </c>
      <c r="G37" s="49">
        <f>'Avg Week Kalerwe-Kampala'!G37+'Avg Week Kampala-Kalerwe'!G37</f>
        <v>1</v>
      </c>
      <c r="H37" s="49">
        <f>'Avg Week Kalerwe-Kampala'!H37+'Avg Week Kampala-Kalerwe'!H37</f>
        <v>2.714285714285714</v>
      </c>
      <c r="I37" s="49">
        <f>'Avg Week Kalerwe-Kampala'!I37+'Avg Week Kampala-Kalerwe'!I37</f>
        <v>20.714285714285715</v>
      </c>
      <c r="J37" s="49">
        <f>'Avg Week Kalerwe-Kampala'!J37+'Avg Week Kampala-Kalerwe'!J37</f>
        <v>2.2857142857142856</v>
      </c>
      <c r="K37" s="49">
        <f>'Avg Week Kalerwe-Kampala'!K37+'Avg Week Kampala-Kalerwe'!K37</f>
        <v>1.5714285714285714</v>
      </c>
      <c r="L37" s="49">
        <f>'Avg Week Kalerwe-Kampala'!L37+'Avg Week Kampala-Kalerwe'!L37</f>
        <v>0.8571428571428571</v>
      </c>
      <c r="M37" s="49">
        <f>'Avg Week Kalerwe-Kampala'!M37+'Avg Week Kampala-Kalerwe'!M37</f>
        <v>310.42857142857144</v>
      </c>
      <c r="N37" s="49">
        <f>'Avg Week Kalerwe-Kampala'!N37+'Avg Week Kampala-Kalerwe'!N37</f>
        <v>0</v>
      </c>
      <c r="O37" s="15">
        <f t="shared" si="0"/>
        <v>229.71428571428575</v>
      </c>
      <c r="P37" s="15">
        <f t="shared" si="1"/>
        <v>540.14285714285722</v>
      </c>
      <c r="R37" s="37" t="s">
        <v>85</v>
      </c>
      <c r="S37" s="35">
        <f t="shared" ref="S37:AF37" si="29">SUM(S10:S12)</f>
        <v>923.42857142857144</v>
      </c>
      <c r="T37" s="16">
        <f t="shared" si="29"/>
        <v>311.85714285714283</v>
      </c>
      <c r="U37" s="16">
        <f t="shared" si="29"/>
        <v>147.42857142857144</v>
      </c>
      <c r="V37" s="16">
        <f t="shared" si="29"/>
        <v>1217.1428571428573</v>
      </c>
      <c r="W37" s="16">
        <f t="shared" si="29"/>
        <v>28.428571428571427</v>
      </c>
      <c r="X37" s="16">
        <f t="shared" si="29"/>
        <v>19.285714285714285</v>
      </c>
      <c r="Y37" s="16">
        <f t="shared" si="29"/>
        <v>180</v>
      </c>
      <c r="Z37" s="16">
        <f t="shared" si="29"/>
        <v>32.571428571428569</v>
      </c>
      <c r="AA37" s="16">
        <f t="shared" si="29"/>
        <v>16.571428571428569</v>
      </c>
      <c r="AB37" s="16">
        <f t="shared" si="29"/>
        <v>7.4285714285714279</v>
      </c>
      <c r="AC37" s="16">
        <f t="shared" si="29"/>
        <v>5058</v>
      </c>
      <c r="AD37" s="16">
        <f t="shared" si="29"/>
        <v>1.2857142857142858</v>
      </c>
      <c r="AE37" s="32">
        <f t="shared" si="29"/>
        <v>2885.4285714285716</v>
      </c>
      <c r="AF37" s="32">
        <f t="shared" si="29"/>
        <v>7943.4285714285725</v>
      </c>
    </row>
    <row r="38" spans="2:32" ht="23.1" customHeight="1" x14ac:dyDescent="0.25">
      <c r="B38" s="24" t="s">
        <v>65</v>
      </c>
      <c r="C38" s="49">
        <f>'Avg Week Kalerwe-Kampala'!C38+'Avg Week Kampala-Kalerwe'!C38</f>
        <v>80.714285714285722</v>
      </c>
      <c r="D38" s="49">
        <f>'Avg Week Kalerwe-Kampala'!D38+'Avg Week Kampala-Kalerwe'!D38</f>
        <v>23.428571428571431</v>
      </c>
      <c r="E38" s="49">
        <f>'Avg Week Kalerwe-Kampala'!E38+'Avg Week Kampala-Kalerwe'!E38</f>
        <v>9.8571428571428577</v>
      </c>
      <c r="F38" s="49">
        <f>'Avg Week Kalerwe-Kampala'!F38+'Avg Week Kampala-Kalerwe'!F38</f>
        <v>84.142857142857139</v>
      </c>
      <c r="G38" s="49">
        <f>'Avg Week Kalerwe-Kampala'!G38+'Avg Week Kampala-Kalerwe'!G38</f>
        <v>4</v>
      </c>
      <c r="H38" s="49">
        <f>'Avg Week Kalerwe-Kampala'!H38+'Avg Week Kampala-Kalerwe'!H38</f>
        <v>1</v>
      </c>
      <c r="I38" s="49">
        <f>'Avg Week Kalerwe-Kampala'!I38+'Avg Week Kampala-Kalerwe'!I38</f>
        <v>24.142857142857142</v>
      </c>
      <c r="J38" s="49">
        <f>'Avg Week Kalerwe-Kampala'!J38+'Avg Week Kampala-Kalerwe'!J38</f>
        <v>3.7142857142857144</v>
      </c>
      <c r="K38" s="49">
        <f>'Avg Week Kalerwe-Kampala'!K38+'Avg Week Kampala-Kalerwe'!K38</f>
        <v>1.4285714285714284</v>
      </c>
      <c r="L38" s="49">
        <f>'Avg Week Kalerwe-Kampala'!L38+'Avg Week Kampala-Kalerwe'!L38</f>
        <v>0.8571428571428571</v>
      </c>
      <c r="M38" s="49">
        <f>'Avg Week Kalerwe-Kampala'!M38+'Avg Week Kampala-Kalerwe'!M38</f>
        <v>333</v>
      </c>
      <c r="N38" s="49">
        <f>'Avg Week Kalerwe-Kampala'!N38+'Avg Week Kampala-Kalerwe'!N38</f>
        <v>0</v>
      </c>
      <c r="O38" s="15">
        <f t="shared" si="0"/>
        <v>233.28571428571431</v>
      </c>
      <c r="P38" s="15">
        <f t="shared" si="1"/>
        <v>566.28571428571433</v>
      </c>
      <c r="R38" s="28" t="s">
        <v>86</v>
      </c>
      <c r="S38" s="16">
        <f t="shared" ref="S38:AF38" si="30">SUM(S13:S18)</f>
        <v>2031.1428571428573</v>
      </c>
      <c r="T38" s="16">
        <f t="shared" si="30"/>
        <v>732</v>
      </c>
      <c r="U38" s="16">
        <f t="shared" si="30"/>
        <v>300.42857142857139</v>
      </c>
      <c r="V38" s="16">
        <f t="shared" si="30"/>
        <v>2000</v>
      </c>
      <c r="W38" s="16">
        <f t="shared" si="30"/>
        <v>63.142857142857139</v>
      </c>
      <c r="X38" s="16">
        <f t="shared" si="30"/>
        <v>33.428571428571423</v>
      </c>
      <c r="Y38" s="16">
        <f t="shared" si="30"/>
        <v>465.57142857142856</v>
      </c>
      <c r="Z38" s="16">
        <f t="shared" si="30"/>
        <v>83</v>
      </c>
      <c r="AA38" s="16">
        <f t="shared" si="30"/>
        <v>37.428571428571431</v>
      </c>
      <c r="AB38" s="16">
        <f t="shared" si="30"/>
        <v>26.571428571428573</v>
      </c>
      <c r="AC38" s="16">
        <f t="shared" si="30"/>
        <v>7746.7142857142862</v>
      </c>
      <c r="AD38" s="16">
        <f t="shared" si="30"/>
        <v>0</v>
      </c>
      <c r="AE38" s="32">
        <f t="shared" si="30"/>
        <v>5772.7142857142862</v>
      </c>
      <c r="AF38" s="32">
        <f t="shared" si="30"/>
        <v>13519.428571428571</v>
      </c>
    </row>
    <row r="39" spans="2:32" ht="23.1" customHeight="1" x14ac:dyDescent="0.25">
      <c r="B39" s="24" t="s">
        <v>66</v>
      </c>
      <c r="C39" s="49">
        <f>'Avg Week Kalerwe-Kampala'!C39+'Avg Week Kampala-Kalerwe'!C39</f>
        <v>84.285714285714278</v>
      </c>
      <c r="D39" s="49">
        <f>'Avg Week Kalerwe-Kampala'!D39+'Avg Week Kampala-Kalerwe'!D39</f>
        <v>24.285714285714285</v>
      </c>
      <c r="E39" s="49">
        <f>'Avg Week Kalerwe-Kampala'!E39+'Avg Week Kampala-Kalerwe'!E39</f>
        <v>10.857142857142858</v>
      </c>
      <c r="F39" s="49">
        <f>'Avg Week Kalerwe-Kampala'!F39+'Avg Week Kampala-Kalerwe'!F39</f>
        <v>87.714285714285722</v>
      </c>
      <c r="G39" s="49">
        <f>'Avg Week Kalerwe-Kampala'!G39+'Avg Week Kampala-Kalerwe'!G39</f>
        <v>1</v>
      </c>
      <c r="H39" s="49">
        <f>'Avg Week Kalerwe-Kampala'!H39+'Avg Week Kampala-Kalerwe'!H39</f>
        <v>1.5714285714285714</v>
      </c>
      <c r="I39" s="49">
        <f>'Avg Week Kalerwe-Kampala'!I39+'Avg Week Kampala-Kalerwe'!I39</f>
        <v>25.714285714285715</v>
      </c>
      <c r="J39" s="49">
        <f>'Avg Week Kalerwe-Kampala'!J39+'Avg Week Kampala-Kalerwe'!J39</f>
        <v>2</v>
      </c>
      <c r="K39" s="49">
        <f>'Avg Week Kalerwe-Kampala'!K39+'Avg Week Kampala-Kalerwe'!K39</f>
        <v>2</v>
      </c>
      <c r="L39" s="49">
        <f>'Avg Week Kalerwe-Kampala'!L39+'Avg Week Kampala-Kalerwe'!L39</f>
        <v>0.8571428571428571</v>
      </c>
      <c r="M39" s="49">
        <f>'Avg Week Kalerwe-Kampala'!M39+'Avg Week Kampala-Kalerwe'!M39</f>
        <v>313.57142857142856</v>
      </c>
      <c r="N39" s="49">
        <f>'Avg Week Kalerwe-Kampala'!N39+'Avg Week Kampala-Kalerwe'!N39</f>
        <v>0</v>
      </c>
      <c r="O39" s="15">
        <f t="shared" si="0"/>
        <v>240.28571428571431</v>
      </c>
      <c r="P39" s="15">
        <f t="shared" si="1"/>
        <v>553.85714285714289</v>
      </c>
      <c r="R39" s="29" t="s">
        <v>87</v>
      </c>
      <c r="S39" s="16">
        <f t="shared" ref="S39:AF39" si="31">SUM(S19:S21)</f>
        <v>1230</v>
      </c>
      <c r="T39" s="16">
        <f t="shared" si="31"/>
        <v>383.28571428571428</v>
      </c>
      <c r="U39" s="16">
        <f t="shared" si="31"/>
        <v>135.42857142857144</v>
      </c>
      <c r="V39" s="16">
        <f t="shared" si="31"/>
        <v>958.57142857142867</v>
      </c>
      <c r="W39" s="16">
        <f t="shared" si="31"/>
        <v>32.714285714285708</v>
      </c>
      <c r="X39" s="16">
        <f t="shared" si="31"/>
        <v>13.714285714285714</v>
      </c>
      <c r="Y39" s="16">
        <f t="shared" si="31"/>
        <v>215.42857142857144</v>
      </c>
      <c r="Z39" s="16">
        <f t="shared" si="31"/>
        <v>28</v>
      </c>
      <c r="AA39" s="16">
        <f t="shared" si="31"/>
        <v>15.428571428571429</v>
      </c>
      <c r="AB39" s="16">
        <f t="shared" si="31"/>
        <v>9.8571428571428559</v>
      </c>
      <c r="AC39" s="16">
        <f t="shared" si="31"/>
        <v>4114.2857142857147</v>
      </c>
      <c r="AD39" s="16">
        <f t="shared" si="31"/>
        <v>0</v>
      </c>
      <c r="AE39" s="32">
        <f t="shared" si="31"/>
        <v>3022.4285714285716</v>
      </c>
      <c r="AF39" s="32">
        <f t="shared" si="31"/>
        <v>7136.7142857142862</v>
      </c>
    </row>
    <row r="40" spans="2:32" ht="23.1" customHeight="1" x14ac:dyDescent="0.25">
      <c r="B40" s="24" t="s">
        <v>67</v>
      </c>
      <c r="C40" s="49">
        <f>'Avg Week Kalerwe-Kampala'!C40+'Avg Week Kampala-Kalerwe'!C40</f>
        <v>89.285714285714278</v>
      </c>
      <c r="D40" s="49">
        <f>'Avg Week Kalerwe-Kampala'!D40+'Avg Week Kampala-Kalerwe'!D40</f>
        <v>39.857142857142861</v>
      </c>
      <c r="E40" s="49">
        <f>'Avg Week Kalerwe-Kampala'!E40+'Avg Week Kampala-Kalerwe'!E40</f>
        <v>10.714285714285715</v>
      </c>
      <c r="F40" s="49">
        <f>'Avg Week Kalerwe-Kampala'!F40+'Avg Week Kampala-Kalerwe'!F40</f>
        <v>90.857142857142861</v>
      </c>
      <c r="G40" s="49">
        <f>'Avg Week Kalerwe-Kampala'!G40+'Avg Week Kampala-Kalerwe'!G40</f>
        <v>2</v>
      </c>
      <c r="H40" s="49">
        <f>'Avg Week Kalerwe-Kampala'!H40+'Avg Week Kampala-Kalerwe'!H40</f>
        <v>1.7142857142857142</v>
      </c>
      <c r="I40" s="49">
        <f>'Avg Week Kalerwe-Kampala'!I40+'Avg Week Kampala-Kalerwe'!I40</f>
        <v>24.142857142857146</v>
      </c>
      <c r="J40" s="49">
        <f>'Avg Week Kalerwe-Kampala'!J40+'Avg Week Kampala-Kalerwe'!J40</f>
        <v>4.2857142857142856</v>
      </c>
      <c r="K40" s="49">
        <f>'Avg Week Kalerwe-Kampala'!K40+'Avg Week Kampala-Kalerwe'!K40</f>
        <v>2</v>
      </c>
      <c r="L40" s="49">
        <f>'Avg Week Kalerwe-Kampala'!L40+'Avg Week Kampala-Kalerwe'!L40</f>
        <v>1</v>
      </c>
      <c r="M40" s="49">
        <f>'Avg Week Kalerwe-Kampala'!M40+'Avg Week Kampala-Kalerwe'!M40</f>
        <v>329</v>
      </c>
      <c r="N40" s="49">
        <f>'Avg Week Kalerwe-Kampala'!N40+'Avg Week Kampala-Kalerwe'!N40</f>
        <v>0</v>
      </c>
      <c r="O40" s="15">
        <f t="shared" si="0"/>
        <v>265.85714285714289</v>
      </c>
      <c r="P40" s="15">
        <f t="shared" si="1"/>
        <v>594.85714285714289</v>
      </c>
      <c r="R40" s="5" t="s">
        <v>17</v>
      </c>
      <c r="S40" s="16">
        <f t="shared" ref="S40:AF40" si="32">SUM(S10:S21)</f>
        <v>4184.5714285714284</v>
      </c>
      <c r="T40" s="16">
        <f t="shared" si="32"/>
        <v>1427.1428571428569</v>
      </c>
      <c r="U40" s="16">
        <f t="shared" si="32"/>
        <v>583.28571428571433</v>
      </c>
      <c r="V40" s="16">
        <f t="shared" si="32"/>
        <v>4175.7142857142862</v>
      </c>
      <c r="W40" s="16">
        <f t="shared" si="32"/>
        <v>124.28571428571428</v>
      </c>
      <c r="X40" s="16">
        <f t="shared" si="32"/>
        <v>66.428571428571416</v>
      </c>
      <c r="Y40" s="16">
        <f t="shared" si="32"/>
        <v>860.99999999999989</v>
      </c>
      <c r="Z40" s="16">
        <f t="shared" si="32"/>
        <v>143.57142857142856</v>
      </c>
      <c r="AA40" s="16">
        <f t="shared" si="32"/>
        <v>69.428571428571431</v>
      </c>
      <c r="AB40" s="16">
        <f t="shared" si="32"/>
        <v>43.857142857142854</v>
      </c>
      <c r="AC40" s="16">
        <f t="shared" si="32"/>
        <v>16919</v>
      </c>
      <c r="AD40" s="16">
        <f t="shared" si="32"/>
        <v>1.2857142857142858</v>
      </c>
      <c r="AE40" s="32">
        <f t="shared" si="32"/>
        <v>11680.571428571428</v>
      </c>
      <c r="AF40" s="32">
        <f t="shared" si="32"/>
        <v>28599.571428571428</v>
      </c>
    </row>
    <row r="41" spans="2:32" ht="23.1" customHeight="1" x14ac:dyDescent="0.25">
      <c r="B41" s="23" t="s">
        <v>68</v>
      </c>
      <c r="C41" s="49">
        <f>'Avg Week Kalerwe-Kampala'!C41+'Avg Week Kampala-Kalerwe'!C41</f>
        <v>99.428571428571416</v>
      </c>
      <c r="D41" s="49">
        <f>'Avg Week Kalerwe-Kampala'!D41+'Avg Week Kampala-Kalerwe'!D41</f>
        <v>36.428571428571431</v>
      </c>
      <c r="E41" s="49">
        <f>'Avg Week Kalerwe-Kampala'!E41+'Avg Week Kampala-Kalerwe'!E41</f>
        <v>12.857142857142858</v>
      </c>
      <c r="F41" s="49">
        <f>'Avg Week Kalerwe-Kampala'!F41+'Avg Week Kampala-Kalerwe'!F41</f>
        <v>82.142857142857139</v>
      </c>
      <c r="G41" s="49">
        <f>'Avg Week Kalerwe-Kampala'!G41+'Avg Week Kampala-Kalerwe'!G41</f>
        <v>1.7142857142857142</v>
      </c>
      <c r="H41" s="49">
        <f>'Avg Week Kalerwe-Kampala'!H41+'Avg Week Kampala-Kalerwe'!H41</f>
        <v>1.2857142857142856</v>
      </c>
      <c r="I41" s="49">
        <f>'Avg Week Kalerwe-Kampala'!I41+'Avg Week Kampala-Kalerwe'!I41</f>
        <v>21</v>
      </c>
      <c r="J41" s="49">
        <f>'Avg Week Kalerwe-Kampala'!J41+'Avg Week Kampala-Kalerwe'!J41</f>
        <v>2.1428571428571428</v>
      </c>
      <c r="K41" s="49">
        <f>'Avg Week Kalerwe-Kampala'!K41+'Avg Week Kampala-Kalerwe'!K41</f>
        <v>0.8571428571428571</v>
      </c>
      <c r="L41" s="49">
        <f>'Avg Week Kalerwe-Kampala'!L41+'Avg Week Kampala-Kalerwe'!L41</f>
        <v>1.4285714285714284</v>
      </c>
      <c r="M41" s="49">
        <f>'Avg Week Kalerwe-Kampala'!M41+'Avg Week Kampala-Kalerwe'!M41</f>
        <v>307.85714285714289</v>
      </c>
      <c r="N41" s="49">
        <f>'Avg Week Kalerwe-Kampala'!N41+'Avg Week Kampala-Kalerwe'!N41</f>
        <v>0</v>
      </c>
      <c r="O41" s="15">
        <f t="shared" si="0"/>
        <v>259.28571428571428</v>
      </c>
      <c r="P41" s="15">
        <f t="shared" si="1"/>
        <v>567.14285714285711</v>
      </c>
      <c r="R41" s="5" t="s">
        <v>182</v>
      </c>
      <c r="S41" s="53">
        <f>SUM(S10:S33)</f>
        <v>6848.5714285714284</v>
      </c>
      <c r="T41" s="53">
        <f t="shared" ref="T41:AD41" si="33">SUM(T10:T33)</f>
        <v>2180.1428571428569</v>
      </c>
      <c r="U41" s="53">
        <f t="shared" si="33"/>
        <v>834.28571428571433</v>
      </c>
      <c r="V41" s="53">
        <f t="shared" si="33"/>
        <v>6278.7142857142862</v>
      </c>
      <c r="W41" s="53">
        <f t="shared" si="33"/>
        <v>305.28571428571428</v>
      </c>
      <c r="X41" s="53">
        <f t="shared" si="33"/>
        <v>189.92857142857142</v>
      </c>
      <c r="Y41" s="53">
        <f t="shared" si="33"/>
        <v>1296</v>
      </c>
      <c r="Z41" s="53">
        <f t="shared" si="33"/>
        <v>455.07142857142856</v>
      </c>
      <c r="AA41" s="53">
        <f t="shared" si="33"/>
        <v>184.42857142857144</v>
      </c>
      <c r="AB41" s="53">
        <f t="shared" si="33"/>
        <v>96.857142857142861</v>
      </c>
      <c r="AC41" s="55">
        <f t="shared" si="33"/>
        <v>23576</v>
      </c>
      <c r="AD41" s="53">
        <f t="shared" si="33"/>
        <v>2.2857142857142856</v>
      </c>
      <c r="AE41" s="54">
        <f>SUM(AE10:AE33)</f>
        <v>18671.571428571428</v>
      </c>
      <c r="AF41" s="54">
        <f>SUM(AF10:AF33)</f>
        <v>42247.571428571428</v>
      </c>
    </row>
    <row r="42" spans="2:32" ht="23.1" customHeight="1" x14ac:dyDescent="0.25">
      <c r="B42" s="24" t="s">
        <v>69</v>
      </c>
      <c r="C42" s="49">
        <f>'Avg Week Kalerwe-Kampala'!C42+'Avg Week Kampala-Kalerwe'!C42</f>
        <v>98.714285714285722</v>
      </c>
      <c r="D42" s="49">
        <f>'Avg Week Kalerwe-Kampala'!D42+'Avg Week Kampala-Kalerwe'!D42</f>
        <v>29.142857142857142</v>
      </c>
      <c r="E42" s="49">
        <f>'Avg Week Kalerwe-Kampala'!E42+'Avg Week Kampala-Kalerwe'!E42</f>
        <v>17.571428571428569</v>
      </c>
      <c r="F42" s="49">
        <f>'Avg Week Kalerwe-Kampala'!F42+'Avg Week Kampala-Kalerwe'!F42</f>
        <v>93.142857142857139</v>
      </c>
      <c r="G42" s="49">
        <f>'Avg Week Kalerwe-Kampala'!G42+'Avg Week Kampala-Kalerwe'!G42</f>
        <v>2.8571428571428568</v>
      </c>
      <c r="H42" s="49">
        <f>'Avg Week Kalerwe-Kampala'!H42+'Avg Week Kampala-Kalerwe'!H42</f>
        <v>1</v>
      </c>
      <c r="I42" s="49">
        <f>'Avg Week Kalerwe-Kampala'!I42+'Avg Week Kampala-Kalerwe'!I42</f>
        <v>24</v>
      </c>
      <c r="J42" s="49">
        <f>'Avg Week Kalerwe-Kampala'!J42+'Avg Week Kampala-Kalerwe'!J42</f>
        <v>4.4285714285714288</v>
      </c>
      <c r="K42" s="49">
        <f>'Avg Week Kalerwe-Kampala'!K42+'Avg Week Kampala-Kalerwe'!K42</f>
        <v>1.4285714285714284</v>
      </c>
      <c r="L42" s="49">
        <f>'Avg Week Kalerwe-Kampala'!L42+'Avg Week Kampala-Kalerwe'!L42</f>
        <v>1.4285714285714284</v>
      </c>
      <c r="M42" s="49">
        <f>'Avg Week Kalerwe-Kampala'!M42+'Avg Week Kampala-Kalerwe'!M42</f>
        <v>345.85714285714289</v>
      </c>
      <c r="N42" s="49">
        <f>'Avg Week Kalerwe-Kampala'!N42+'Avg Week Kampala-Kalerwe'!N42</f>
        <v>0</v>
      </c>
      <c r="O42" s="15">
        <f t="shared" si="0"/>
        <v>273.71428571428578</v>
      </c>
      <c r="P42" s="15">
        <f t="shared" si="1"/>
        <v>619.57142857142867</v>
      </c>
      <c r="R42" s="5" t="s">
        <v>160</v>
      </c>
      <c r="S42" s="48">
        <f>S41/S40</f>
        <v>1.6366243342892257</v>
      </c>
      <c r="T42" s="48">
        <f t="shared" ref="T42:AF42" si="34">T41/T40</f>
        <v>1.5276276276276277</v>
      </c>
      <c r="U42" s="48">
        <f t="shared" si="34"/>
        <v>1.4303208425177565</v>
      </c>
      <c r="V42" s="48">
        <f t="shared" si="34"/>
        <v>1.5036264112213478</v>
      </c>
      <c r="W42" s="48">
        <f t="shared" si="34"/>
        <v>2.4563218390804598</v>
      </c>
      <c r="X42" s="48">
        <f t="shared" si="34"/>
        <v>2.8591397849462368</v>
      </c>
      <c r="Y42" s="48">
        <f t="shared" si="34"/>
        <v>1.5052264808362372</v>
      </c>
      <c r="Z42" s="48">
        <f t="shared" si="34"/>
        <v>3.1696517412935328</v>
      </c>
      <c r="AA42" s="48">
        <f t="shared" si="34"/>
        <v>2.6563786008230452</v>
      </c>
      <c r="AB42" s="48">
        <f t="shared" si="34"/>
        <v>2.2084690553745929</v>
      </c>
      <c r="AC42" s="48">
        <f t="shared" si="34"/>
        <v>1.3934629706247414</v>
      </c>
      <c r="AD42" s="48">
        <f t="shared" si="34"/>
        <v>1.7777777777777775</v>
      </c>
      <c r="AE42" s="52">
        <f t="shared" si="34"/>
        <v>1.5985152389804804</v>
      </c>
      <c r="AF42" s="52">
        <f t="shared" si="34"/>
        <v>1.4772099482010219</v>
      </c>
    </row>
    <row r="43" spans="2:32" ht="23.1" customHeight="1" x14ac:dyDescent="0.25">
      <c r="B43" s="23" t="s">
        <v>70</v>
      </c>
      <c r="C43" s="49">
        <f>'Avg Week Kalerwe-Kampala'!C43+'Avg Week Kampala-Kalerwe'!C43</f>
        <v>84</v>
      </c>
      <c r="D43" s="49">
        <f>'Avg Week Kalerwe-Kampala'!D43+'Avg Week Kampala-Kalerwe'!D43</f>
        <v>34.428571428571431</v>
      </c>
      <c r="E43" s="49">
        <f>'Avg Week Kalerwe-Kampala'!E43+'Avg Week Kampala-Kalerwe'!E43</f>
        <v>12.571428571428573</v>
      </c>
      <c r="F43" s="49">
        <f>'Avg Week Kalerwe-Kampala'!F43+'Avg Week Kampala-Kalerwe'!F43</f>
        <v>83.714285714285722</v>
      </c>
      <c r="G43" s="49">
        <f>'Avg Week Kalerwe-Kampala'!G43+'Avg Week Kampala-Kalerwe'!G43</f>
        <v>3.4285714285714288</v>
      </c>
      <c r="H43" s="49">
        <f>'Avg Week Kalerwe-Kampala'!H43+'Avg Week Kampala-Kalerwe'!H43</f>
        <v>0.71428571428571419</v>
      </c>
      <c r="I43" s="49">
        <f>'Avg Week Kalerwe-Kampala'!I43+'Avg Week Kampala-Kalerwe'!I43</f>
        <v>26.285714285714285</v>
      </c>
      <c r="J43" s="49">
        <f>'Avg Week Kalerwe-Kampala'!J43+'Avg Week Kampala-Kalerwe'!J43</f>
        <v>3</v>
      </c>
      <c r="K43" s="49">
        <f>'Avg Week Kalerwe-Kampala'!K43+'Avg Week Kampala-Kalerwe'!K43</f>
        <v>1</v>
      </c>
      <c r="L43" s="49">
        <f>'Avg Week Kalerwe-Kampala'!L43+'Avg Week Kampala-Kalerwe'!L43</f>
        <v>1.2857142857142856</v>
      </c>
      <c r="M43" s="49">
        <f>'Avg Week Kalerwe-Kampala'!M43+'Avg Week Kampala-Kalerwe'!M43</f>
        <v>328.42857142857144</v>
      </c>
      <c r="N43" s="49">
        <f>'Avg Week Kalerwe-Kampala'!N43+'Avg Week Kampala-Kalerwe'!N43</f>
        <v>0</v>
      </c>
      <c r="O43" s="15">
        <f t="shared" si="0"/>
        <v>250.42857142857142</v>
      </c>
      <c r="P43" s="15">
        <f t="shared" si="1"/>
        <v>578.85714285714289</v>
      </c>
    </row>
    <row r="44" spans="2:32" ht="23.1" customHeight="1" x14ac:dyDescent="0.25">
      <c r="B44" s="25" t="s">
        <v>71</v>
      </c>
      <c r="C44" s="49">
        <f>'Avg Week Kalerwe-Kampala'!C44+'Avg Week Kampala-Kalerwe'!C44</f>
        <v>101.71428571428572</v>
      </c>
      <c r="D44" s="49">
        <f>'Avg Week Kalerwe-Kampala'!D44+'Avg Week Kampala-Kalerwe'!D44</f>
        <v>30.857142857142861</v>
      </c>
      <c r="E44" s="49">
        <f>'Avg Week Kalerwe-Kampala'!E44+'Avg Week Kampala-Kalerwe'!E44</f>
        <v>20.714285714285712</v>
      </c>
      <c r="F44" s="49">
        <f>'Avg Week Kalerwe-Kampala'!F44+'Avg Week Kampala-Kalerwe'!F44</f>
        <v>79.428571428571431</v>
      </c>
      <c r="G44" s="49">
        <f>'Avg Week Kalerwe-Kampala'!G44+'Avg Week Kampala-Kalerwe'!G44</f>
        <v>3</v>
      </c>
      <c r="H44" s="49">
        <f>'Avg Week Kalerwe-Kampala'!H44+'Avg Week Kampala-Kalerwe'!H44</f>
        <v>0.71428571428571419</v>
      </c>
      <c r="I44" s="49">
        <f>'Avg Week Kalerwe-Kampala'!I44+'Avg Week Kampala-Kalerwe'!I44</f>
        <v>22.857142857142858</v>
      </c>
      <c r="J44" s="49">
        <f>'Avg Week Kalerwe-Kampala'!J44+'Avg Week Kampala-Kalerwe'!J44</f>
        <v>5.2857142857142856</v>
      </c>
      <c r="K44" s="49">
        <f>'Avg Week Kalerwe-Kampala'!K44+'Avg Week Kampala-Kalerwe'!K44</f>
        <v>1</v>
      </c>
      <c r="L44" s="49">
        <f>'Avg Week Kalerwe-Kampala'!L44+'Avg Week Kampala-Kalerwe'!L44</f>
        <v>1.7142857142857144</v>
      </c>
      <c r="M44" s="49">
        <f>'Avg Week Kalerwe-Kampala'!M44+'Avg Week Kampala-Kalerwe'!M44</f>
        <v>319.28571428571428</v>
      </c>
      <c r="N44" s="49">
        <f>'Avg Week Kalerwe-Kampala'!N44+'Avg Week Kampala-Kalerwe'!N44</f>
        <v>0</v>
      </c>
      <c r="O44" s="15">
        <f t="shared" si="0"/>
        <v>267.28571428571428</v>
      </c>
      <c r="P44" s="15">
        <f t="shared" si="1"/>
        <v>586.57142857142856</v>
      </c>
    </row>
    <row r="45" spans="2:32" ht="23.1" customHeight="1" x14ac:dyDescent="0.25">
      <c r="B45" s="23" t="s">
        <v>72</v>
      </c>
      <c r="C45" s="49">
        <f>'Avg Week Kalerwe-Kampala'!C45+'Avg Week Kampala-Kalerwe'!C45</f>
        <v>82.285714285714278</v>
      </c>
      <c r="D45" s="49">
        <f>'Avg Week Kalerwe-Kampala'!D45+'Avg Week Kampala-Kalerwe'!D45</f>
        <v>31.571428571428569</v>
      </c>
      <c r="E45" s="49">
        <f>'Avg Week Kalerwe-Kampala'!E45+'Avg Week Kampala-Kalerwe'!E45</f>
        <v>13.714285714285715</v>
      </c>
      <c r="F45" s="49">
        <f>'Avg Week Kalerwe-Kampala'!F45+'Avg Week Kampala-Kalerwe'!F45</f>
        <v>81.428571428571431</v>
      </c>
      <c r="G45" s="49">
        <f>'Avg Week Kalerwe-Kampala'!G45+'Avg Week Kampala-Kalerwe'!G45</f>
        <v>2.1428571428571428</v>
      </c>
      <c r="H45" s="49">
        <f>'Avg Week Kalerwe-Kampala'!H45+'Avg Week Kampala-Kalerwe'!H45</f>
        <v>2.2857142857142856</v>
      </c>
      <c r="I45" s="49">
        <f>'Avg Week Kalerwe-Kampala'!I45+'Avg Week Kampala-Kalerwe'!I45</f>
        <v>18.428571428571431</v>
      </c>
      <c r="J45" s="49">
        <f>'Avg Week Kalerwe-Kampala'!J45+'Avg Week Kampala-Kalerwe'!J45</f>
        <v>3.7142857142857144</v>
      </c>
      <c r="K45" s="49">
        <f>'Avg Week Kalerwe-Kampala'!K45+'Avg Week Kampala-Kalerwe'!K45</f>
        <v>0.7142857142857143</v>
      </c>
      <c r="L45" s="49">
        <f>'Avg Week Kalerwe-Kampala'!L45+'Avg Week Kampala-Kalerwe'!L45</f>
        <v>1.2857142857142856</v>
      </c>
      <c r="M45" s="49">
        <f>'Avg Week Kalerwe-Kampala'!M45+'Avg Week Kampala-Kalerwe'!M45</f>
        <v>308.14285714285711</v>
      </c>
      <c r="N45" s="49">
        <f>'Avg Week Kalerwe-Kampala'!N45+'Avg Week Kampala-Kalerwe'!N45</f>
        <v>0</v>
      </c>
      <c r="O45" s="15">
        <f t="shared" si="0"/>
        <v>237.57142857142856</v>
      </c>
      <c r="P45" s="15">
        <f t="shared" si="1"/>
        <v>545.71428571428567</v>
      </c>
    </row>
    <row r="46" spans="2:32" ht="23.1" customHeight="1" x14ac:dyDescent="0.25">
      <c r="B46" s="24" t="s">
        <v>73</v>
      </c>
      <c r="C46" s="49">
        <f>'Avg Week Kalerwe-Kampala'!C46+'Avg Week Kampala-Kalerwe'!C46</f>
        <v>98.571428571428584</v>
      </c>
      <c r="D46" s="49">
        <f>'Avg Week Kalerwe-Kampala'!D46+'Avg Week Kampala-Kalerwe'!D46</f>
        <v>33.142857142857139</v>
      </c>
      <c r="E46" s="49">
        <f>'Avg Week Kalerwe-Kampala'!E46+'Avg Week Kampala-Kalerwe'!E46</f>
        <v>13.714285714285715</v>
      </c>
      <c r="F46" s="49">
        <f>'Avg Week Kalerwe-Kampala'!F46+'Avg Week Kampala-Kalerwe'!F46</f>
        <v>89.714285714285722</v>
      </c>
      <c r="G46" s="49">
        <f>'Avg Week Kalerwe-Kampala'!G46+'Avg Week Kampala-Kalerwe'!G46</f>
        <v>3.4285714285714288</v>
      </c>
      <c r="H46" s="49">
        <f>'Avg Week Kalerwe-Kampala'!H46+'Avg Week Kampala-Kalerwe'!H46</f>
        <v>0.71428571428571419</v>
      </c>
      <c r="I46" s="49">
        <f>'Avg Week Kalerwe-Kampala'!I46+'Avg Week Kampala-Kalerwe'!I46</f>
        <v>28.285714285714285</v>
      </c>
      <c r="J46" s="49">
        <f>'Avg Week Kalerwe-Kampala'!J46+'Avg Week Kampala-Kalerwe'!J46</f>
        <v>3.1428571428571428</v>
      </c>
      <c r="K46" s="49">
        <f>'Avg Week Kalerwe-Kampala'!K46+'Avg Week Kampala-Kalerwe'!K46</f>
        <v>0.5714285714285714</v>
      </c>
      <c r="L46" s="49">
        <f>'Avg Week Kalerwe-Kampala'!L46+'Avg Week Kampala-Kalerwe'!L46</f>
        <v>0.5714285714285714</v>
      </c>
      <c r="M46" s="49">
        <f>'Avg Week Kalerwe-Kampala'!M46+'Avg Week Kampala-Kalerwe'!M46</f>
        <v>330.28571428571428</v>
      </c>
      <c r="N46" s="49">
        <f>'Avg Week Kalerwe-Kampala'!N46+'Avg Week Kampala-Kalerwe'!N46</f>
        <v>0</v>
      </c>
      <c r="O46" s="15">
        <f t="shared" si="0"/>
        <v>271.85714285714289</v>
      </c>
      <c r="P46" s="15">
        <f t="shared" si="1"/>
        <v>602.14285714285711</v>
      </c>
      <c r="R46" s="8"/>
      <c r="T46"/>
    </row>
    <row r="47" spans="2:32" ht="23.1" customHeight="1" x14ac:dyDescent="0.25">
      <c r="B47" s="24" t="s">
        <v>74</v>
      </c>
      <c r="C47" s="49">
        <f>'Avg Week Kalerwe-Kampala'!C47+'Avg Week Kampala-Kalerwe'!C47</f>
        <v>84.285714285714278</v>
      </c>
      <c r="D47" s="49">
        <f>'Avg Week Kalerwe-Kampala'!D47+'Avg Week Kampala-Kalerwe'!D47</f>
        <v>38.857142857142861</v>
      </c>
      <c r="E47" s="49">
        <f>'Avg Week Kalerwe-Kampala'!E47+'Avg Week Kampala-Kalerwe'!E47</f>
        <v>13.285714285714285</v>
      </c>
      <c r="F47" s="49">
        <f>'Avg Week Kalerwe-Kampala'!F47+'Avg Week Kampala-Kalerwe'!F47</f>
        <v>86.428571428571431</v>
      </c>
      <c r="G47" s="49">
        <f>'Avg Week Kalerwe-Kampala'!G47+'Avg Week Kampala-Kalerwe'!G47</f>
        <v>3</v>
      </c>
      <c r="H47" s="49">
        <f>'Avg Week Kalerwe-Kampala'!H47+'Avg Week Kampala-Kalerwe'!H47</f>
        <v>0.7142857142857143</v>
      </c>
      <c r="I47" s="49">
        <f>'Avg Week Kalerwe-Kampala'!I47+'Avg Week Kampala-Kalerwe'!I47</f>
        <v>19.857142857142858</v>
      </c>
      <c r="J47" s="49">
        <f>'Avg Week Kalerwe-Kampala'!J47+'Avg Week Kampala-Kalerwe'!J47</f>
        <v>2.4285714285714284</v>
      </c>
      <c r="K47" s="49">
        <f>'Avg Week Kalerwe-Kampala'!K47+'Avg Week Kampala-Kalerwe'!K47</f>
        <v>0.5714285714285714</v>
      </c>
      <c r="L47" s="49">
        <f>'Avg Week Kalerwe-Kampala'!L47+'Avg Week Kampala-Kalerwe'!L47</f>
        <v>1.1428571428571428</v>
      </c>
      <c r="M47" s="49">
        <f>'Avg Week Kalerwe-Kampala'!M47+'Avg Week Kampala-Kalerwe'!M47</f>
        <v>314.71428571428572</v>
      </c>
      <c r="N47" s="49">
        <f>'Avg Week Kalerwe-Kampala'!N47+'Avg Week Kampala-Kalerwe'!N47</f>
        <v>0</v>
      </c>
      <c r="O47" s="15">
        <f t="shared" si="0"/>
        <v>250.57142857142856</v>
      </c>
      <c r="P47" s="15">
        <f t="shared" si="1"/>
        <v>565.28571428571422</v>
      </c>
      <c r="R47" s="8"/>
      <c r="T47"/>
    </row>
    <row r="48" spans="2:32" ht="23.1" customHeight="1" x14ac:dyDescent="0.25">
      <c r="B48" s="24" t="s">
        <v>75</v>
      </c>
      <c r="C48" s="49">
        <f>'Avg Week Kalerwe-Kampala'!C48+'Avg Week Kampala-Kalerwe'!C48</f>
        <v>102.85714285714286</v>
      </c>
      <c r="D48" s="49">
        <f>'Avg Week Kalerwe-Kampala'!D48+'Avg Week Kampala-Kalerwe'!D48</f>
        <v>38.142857142857139</v>
      </c>
      <c r="E48" s="49">
        <f>'Avg Week Kalerwe-Kampala'!E48+'Avg Week Kampala-Kalerwe'!E48</f>
        <v>12.714285714285715</v>
      </c>
      <c r="F48" s="49">
        <f>'Avg Week Kalerwe-Kampala'!F48+'Avg Week Kampala-Kalerwe'!F48</f>
        <v>87.714285714285722</v>
      </c>
      <c r="G48" s="49">
        <f>'Avg Week Kalerwe-Kampala'!G48+'Avg Week Kampala-Kalerwe'!G48</f>
        <v>1.4285714285714286</v>
      </c>
      <c r="H48" s="49">
        <f>'Avg Week Kalerwe-Kampala'!H48+'Avg Week Kampala-Kalerwe'!H48</f>
        <v>0.71428571428571419</v>
      </c>
      <c r="I48" s="49">
        <f>'Avg Week Kalerwe-Kampala'!I48+'Avg Week Kampala-Kalerwe'!I48</f>
        <v>24.857142857142854</v>
      </c>
      <c r="J48" s="49">
        <f>'Avg Week Kalerwe-Kampala'!J48+'Avg Week Kampala-Kalerwe'!J48</f>
        <v>1.7142857142857142</v>
      </c>
      <c r="K48" s="49">
        <f>'Avg Week Kalerwe-Kampala'!K48+'Avg Week Kampala-Kalerwe'!K48</f>
        <v>1.2857142857142856</v>
      </c>
      <c r="L48" s="49">
        <f>'Avg Week Kalerwe-Kampala'!L48+'Avg Week Kampala-Kalerwe'!L48</f>
        <v>0.2857142857142857</v>
      </c>
      <c r="M48" s="49">
        <f>'Avg Week Kalerwe-Kampala'!M48+'Avg Week Kampala-Kalerwe'!M48</f>
        <v>344.42857142857144</v>
      </c>
      <c r="N48" s="49">
        <f>'Avg Week Kalerwe-Kampala'!N48+'Avg Week Kampala-Kalerwe'!N48</f>
        <v>0</v>
      </c>
      <c r="O48" s="15">
        <f t="shared" si="0"/>
        <v>271.71428571428572</v>
      </c>
      <c r="P48" s="15">
        <f t="shared" si="1"/>
        <v>616.14285714285711</v>
      </c>
      <c r="R48" s="8"/>
      <c r="T48"/>
    </row>
    <row r="49" spans="2:20" ht="23.1" customHeight="1" x14ac:dyDescent="0.25">
      <c r="B49" s="23" t="s">
        <v>76</v>
      </c>
      <c r="C49" s="49">
        <f>'Avg Week Kalerwe-Kampala'!C49+'Avg Week Kampala-Kalerwe'!C49</f>
        <v>106.57142857142857</v>
      </c>
      <c r="D49" s="49">
        <f>'Avg Week Kalerwe-Kampala'!D49+'Avg Week Kampala-Kalerwe'!D49</f>
        <v>37.142857142857139</v>
      </c>
      <c r="E49" s="49">
        <f>'Avg Week Kalerwe-Kampala'!E49+'Avg Week Kampala-Kalerwe'!E49</f>
        <v>11.428571428571427</v>
      </c>
      <c r="F49" s="49">
        <f>'Avg Week Kalerwe-Kampala'!F49+'Avg Week Kampala-Kalerwe'!F49</f>
        <v>70</v>
      </c>
      <c r="G49" s="49">
        <f>'Avg Week Kalerwe-Kampala'!G49+'Avg Week Kampala-Kalerwe'!G49</f>
        <v>3.1428571428571428</v>
      </c>
      <c r="H49" s="49">
        <f>'Avg Week Kalerwe-Kampala'!H49+'Avg Week Kampala-Kalerwe'!H49</f>
        <v>0.7142857142857143</v>
      </c>
      <c r="I49" s="49">
        <f>'Avg Week Kalerwe-Kampala'!I49+'Avg Week Kampala-Kalerwe'!I49</f>
        <v>17.142857142857142</v>
      </c>
      <c r="J49" s="49">
        <f>'Avg Week Kalerwe-Kampala'!J49+'Avg Week Kampala-Kalerwe'!J49</f>
        <v>1.7142857142857142</v>
      </c>
      <c r="K49" s="49">
        <f>'Avg Week Kalerwe-Kampala'!K49+'Avg Week Kampala-Kalerwe'!K49</f>
        <v>1.1428571428571428</v>
      </c>
      <c r="L49" s="49">
        <f>'Avg Week Kalerwe-Kampala'!L49+'Avg Week Kampala-Kalerwe'!L49</f>
        <v>0.8571428571428571</v>
      </c>
      <c r="M49" s="49">
        <f>'Avg Week Kalerwe-Kampala'!M49+'Avg Week Kampala-Kalerwe'!M49</f>
        <v>318.85714285714289</v>
      </c>
      <c r="N49" s="49">
        <f>'Avg Week Kalerwe-Kampala'!N49+'Avg Week Kampala-Kalerwe'!N49</f>
        <v>0</v>
      </c>
      <c r="O49" s="15">
        <f t="shared" si="0"/>
        <v>249.85714285714286</v>
      </c>
      <c r="P49" s="15">
        <f t="shared" si="1"/>
        <v>568.71428571428578</v>
      </c>
      <c r="R49" s="8"/>
      <c r="T49"/>
    </row>
    <row r="50" spans="2:20" ht="23.1" customHeight="1" x14ac:dyDescent="0.25">
      <c r="B50" s="24" t="s">
        <v>77</v>
      </c>
      <c r="C50" s="49">
        <f>'Avg Week Kalerwe-Kampala'!C50+'Avg Week Kampala-Kalerwe'!C50</f>
        <v>98.142857142857139</v>
      </c>
      <c r="D50" s="49">
        <f>'Avg Week Kalerwe-Kampala'!D50+'Avg Week Kampala-Kalerwe'!D50</f>
        <v>35.285714285714285</v>
      </c>
      <c r="E50" s="49">
        <f>'Avg Week Kalerwe-Kampala'!E50+'Avg Week Kampala-Kalerwe'!E50</f>
        <v>12.142857142857142</v>
      </c>
      <c r="F50" s="49">
        <f>'Avg Week Kalerwe-Kampala'!F50+'Avg Week Kampala-Kalerwe'!F50</f>
        <v>78.857142857142861</v>
      </c>
      <c r="G50" s="49">
        <f>'Avg Week Kalerwe-Kampala'!G50+'Avg Week Kampala-Kalerwe'!G50</f>
        <v>2.4285714285714284</v>
      </c>
      <c r="H50" s="49">
        <f>'Avg Week Kalerwe-Kampala'!H50+'Avg Week Kampala-Kalerwe'!H50</f>
        <v>1.1428571428571428</v>
      </c>
      <c r="I50" s="49">
        <f>'Avg Week Kalerwe-Kampala'!I50+'Avg Week Kampala-Kalerwe'!I50</f>
        <v>20.285714285714285</v>
      </c>
      <c r="J50" s="49">
        <f>'Avg Week Kalerwe-Kampala'!J50+'Avg Week Kampala-Kalerwe'!J50</f>
        <v>2.4285714285714284</v>
      </c>
      <c r="K50" s="49">
        <f>'Avg Week Kalerwe-Kampala'!K50+'Avg Week Kampala-Kalerwe'!K50</f>
        <v>1.8571428571428572</v>
      </c>
      <c r="L50" s="49">
        <f>'Avg Week Kalerwe-Kampala'!L50+'Avg Week Kampala-Kalerwe'!L50</f>
        <v>1.4285714285714286</v>
      </c>
      <c r="M50" s="49">
        <f>'Avg Week Kalerwe-Kampala'!M50+'Avg Week Kampala-Kalerwe'!M50</f>
        <v>342.85714285714289</v>
      </c>
      <c r="N50" s="49">
        <f>'Avg Week Kalerwe-Kampala'!N50+'Avg Week Kampala-Kalerwe'!N50</f>
        <v>0</v>
      </c>
      <c r="O50" s="15">
        <f t="shared" si="0"/>
        <v>253.99999999999994</v>
      </c>
      <c r="P50" s="15">
        <f t="shared" si="1"/>
        <v>596.85714285714289</v>
      </c>
      <c r="R50" s="8"/>
      <c r="T50"/>
    </row>
    <row r="51" spans="2:20" ht="23.1" customHeight="1" x14ac:dyDescent="0.25">
      <c r="B51" s="24" t="s">
        <v>78</v>
      </c>
      <c r="C51" s="49">
        <f>'Avg Week Kalerwe-Kampala'!C51+'Avg Week Kampala-Kalerwe'!C51</f>
        <v>110.14285714285714</v>
      </c>
      <c r="D51" s="49">
        <f>'Avg Week Kalerwe-Kampala'!D51+'Avg Week Kampala-Kalerwe'!D51</f>
        <v>29.285714285714285</v>
      </c>
      <c r="E51" s="49">
        <f>'Avg Week Kalerwe-Kampala'!E51+'Avg Week Kampala-Kalerwe'!E51</f>
        <v>8.8571428571428577</v>
      </c>
      <c r="F51" s="49">
        <f>'Avg Week Kalerwe-Kampala'!F51+'Avg Week Kampala-Kalerwe'!F51</f>
        <v>84.857142857142861</v>
      </c>
      <c r="G51" s="49">
        <f>'Avg Week Kalerwe-Kampala'!G51+'Avg Week Kampala-Kalerwe'!G51</f>
        <v>1.7142857142857142</v>
      </c>
      <c r="H51" s="49">
        <f>'Avg Week Kalerwe-Kampala'!H51+'Avg Week Kampala-Kalerwe'!H51</f>
        <v>1.1428571428571428</v>
      </c>
      <c r="I51" s="49">
        <f>'Avg Week Kalerwe-Kampala'!I51+'Avg Week Kampala-Kalerwe'!I51</f>
        <v>20.285714285714285</v>
      </c>
      <c r="J51" s="49">
        <f>'Avg Week Kalerwe-Kampala'!J51+'Avg Week Kampala-Kalerwe'!J51</f>
        <v>1.8571428571428572</v>
      </c>
      <c r="K51" s="49">
        <f>'Avg Week Kalerwe-Kampala'!K51+'Avg Week Kampala-Kalerwe'!K51</f>
        <v>0.7142857142857143</v>
      </c>
      <c r="L51" s="49">
        <f>'Avg Week Kalerwe-Kampala'!L51+'Avg Week Kampala-Kalerwe'!L51</f>
        <v>0.5714285714285714</v>
      </c>
      <c r="M51" s="49">
        <f>'Avg Week Kalerwe-Kampala'!M51+'Avg Week Kampala-Kalerwe'!M51</f>
        <v>323.28571428571428</v>
      </c>
      <c r="N51" s="49">
        <f>'Avg Week Kalerwe-Kampala'!N51+'Avg Week Kampala-Kalerwe'!N51</f>
        <v>0</v>
      </c>
      <c r="O51" s="15">
        <f t="shared" si="0"/>
        <v>259.42857142857139</v>
      </c>
      <c r="P51" s="15">
        <f t="shared" si="1"/>
        <v>582.71428571428567</v>
      </c>
      <c r="R51" s="8"/>
      <c r="T51"/>
    </row>
    <row r="52" spans="2:20" ht="23.1" customHeight="1" x14ac:dyDescent="0.25">
      <c r="B52" s="24" t="s">
        <v>79</v>
      </c>
      <c r="C52" s="49">
        <f>'Avg Week Kalerwe-Kampala'!C52+'Avg Week Kampala-Kalerwe'!C52</f>
        <v>115.85714285714286</v>
      </c>
      <c r="D52" s="49">
        <f>'Avg Week Kalerwe-Kampala'!D52+'Avg Week Kampala-Kalerwe'!D52</f>
        <v>33.714285714285715</v>
      </c>
      <c r="E52" s="49">
        <f>'Avg Week Kalerwe-Kampala'!E52+'Avg Week Kampala-Kalerwe'!E52</f>
        <v>9.1428571428571423</v>
      </c>
      <c r="F52" s="49">
        <f>'Avg Week Kalerwe-Kampala'!F52+'Avg Week Kampala-Kalerwe'!F52</f>
        <v>74.428571428571431</v>
      </c>
      <c r="G52" s="49">
        <f>'Avg Week Kalerwe-Kampala'!G52+'Avg Week Kampala-Kalerwe'!G52</f>
        <v>2.2857142857142856</v>
      </c>
      <c r="H52" s="49">
        <f>'Avg Week Kalerwe-Kampala'!H52+'Avg Week Kampala-Kalerwe'!H52</f>
        <v>1.7142857142857142</v>
      </c>
      <c r="I52" s="49">
        <f>'Avg Week Kalerwe-Kampala'!I52+'Avg Week Kampala-Kalerwe'!I52</f>
        <v>15.857142857142858</v>
      </c>
      <c r="J52" s="49">
        <f>'Avg Week Kalerwe-Kampala'!J52+'Avg Week Kampala-Kalerwe'!J52</f>
        <v>2.4285714285714288</v>
      </c>
      <c r="K52" s="49">
        <f>'Avg Week Kalerwe-Kampala'!K52+'Avg Week Kampala-Kalerwe'!K52</f>
        <v>1.2857142857142856</v>
      </c>
      <c r="L52" s="49">
        <f>'Avg Week Kalerwe-Kampala'!L52+'Avg Week Kampala-Kalerwe'!L52</f>
        <v>1.4285714285714284</v>
      </c>
      <c r="M52" s="49">
        <f>'Avg Week Kalerwe-Kampala'!M52+'Avg Week Kampala-Kalerwe'!M52</f>
        <v>363.85714285714289</v>
      </c>
      <c r="N52" s="49">
        <f>'Avg Week Kalerwe-Kampala'!N52+'Avg Week Kampala-Kalerwe'!N52</f>
        <v>0</v>
      </c>
      <c r="O52" s="15">
        <f t="shared" si="0"/>
        <v>258.14285714285717</v>
      </c>
      <c r="P52" s="15">
        <f t="shared" si="1"/>
        <v>622</v>
      </c>
      <c r="R52" s="8"/>
      <c r="T52"/>
    </row>
    <row r="53" spans="2:20" ht="23.1" customHeight="1" x14ac:dyDescent="0.25">
      <c r="B53" s="23" t="s">
        <v>80</v>
      </c>
      <c r="C53" s="49">
        <f>'Avg Week Kalerwe-Kampala'!C53+'Avg Week Kampala-Kalerwe'!C53</f>
        <v>118.28571428571428</v>
      </c>
      <c r="D53" s="49">
        <f>'Avg Week Kalerwe-Kampala'!D53+'Avg Week Kampala-Kalerwe'!D53</f>
        <v>32.857142857142861</v>
      </c>
      <c r="E53" s="49">
        <f>'Avg Week Kalerwe-Kampala'!E53+'Avg Week Kampala-Kalerwe'!E53</f>
        <v>12.714285714285715</v>
      </c>
      <c r="F53" s="49">
        <f>'Avg Week Kalerwe-Kampala'!F53+'Avg Week Kampala-Kalerwe'!F53</f>
        <v>76.571428571428569</v>
      </c>
      <c r="G53" s="49">
        <f>'Avg Week Kalerwe-Kampala'!G53+'Avg Week Kampala-Kalerwe'!G53</f>
        <v>4</v>
      </c>
      <c r="H53" s="49">
        <f>'Avg Week Kalerwe-Kampala'!H53+'Avg Week Kampala-Kalerwe'!H53</f>
        <v>0.71428571428571419</v>
      </c>
      <c r="I53" s="49">
        <f>'Avg Week Kalerwe-Kampala'!I53+'Avg Week Kampala-Kalerwe'!I53</f>
        <v>14.285714285714286</v>
      </c>
      <c r="J53" s="49">
        <f>'Avg Week Kalerwe-Kampala'!J53+'Avg Week Kampala-Kalerwe'!J53</f>
        <v>3.1428571428571432</v>
      </c>
      <c r="K53" s="49">
        <f>'Avg Week Kalerwe-Kampala'!K53+'Avg Week Kampala-Kalerwe'!K53</f>
        <v>2.4285714285714288</v>
      </c>
      <c r="L53" s="49">
        <f>'Avg Week Kalerwe-Kampala'!L53+'Avg Week Kampala-Kalerwe'!L53</f>
        <v>0.8571428571428571</v>
      </c>
      <c r="M53" s="49">
        <f>'Avg Week Kalerwe-Kampala'!M53+'Avg Week Kampala-Kalerwe'!M53</f>
        <v>331.14285714285711</v>
      </c>
      <c r="N53" s="49">
        <f>'Avg Week Kalerwe-Kampala'!N53+'Avg Week Kampala-Kalerwe'!N53</f>
        <v>0</v>
      </c>
      <c r="O53" s="15">
        <f t="shared" si="0"/>
        <v>265.85714285714289</v>
      </c>
      <c r="P53" s="15">
        <f t="shared" si="1"/>
        <v>597</v>
      </c>
      <c r="R53" s="8"/>
      <c r="T53"/>
    </row>
    <row r="54" spans="2:20" ht="23.1" customHeight="1" x14ac:dyDescent="0.25">
      <c r="B54" s="23" t="s">
        <v>81</v>
      </c>
      <c r="C54" s="49">
        <f>'Avg Week Kalerwe-Kampala'!C54+'Avg Week Kampala-Kalerwe'!C54</f>
        <v>109</v>
      </c>
      <c r="D54" s="49">
        <f>'Avg Week Kalerwe-Kampala'!D54+'Avg Week Kampala-Kalerwe'!D54</f>
        <v>28.571428571428569</v>
      </c>
      <c r="E54" s="49">
        <f>'Avg Week Kalerwe-Kampala'!E54+'Avg Week Kampala-Kalerwe'!E54</f>
        <v>11.428571428571429</v>
      </c>
      <c r="F54" s="49">
        <f>'Avg Week Kalerwe-Kampala'!F54+'Avg Week Kampala-Kalerwe'!F54</f>
        <v>70.714285714285722</v>
      </c>
      <c r="G54" s="49">
        <f>'Avg Week Kalerwe-Kampala'!G54+'Avg Week Kampala-Kalerwe'!G54</f>
        <v>2.7142857142857144</v>
      </c>
      <c r="H54" s="49">
        <f>'Avg Week Kalerwe-Kampala'!H54+'Avg Week Kampala-Kalerwe'!H54</f>
        <v>1.1428571428571428</v>
      </c>
      <c r="I54" s="49">
        <f>'Avg Week Kalerwe-Kampala'!I54+'Avg Week Kampala-Kalerwe'!I54</f>
        <v>15.142857142857142</v>
      </c>
      <c r="J54" s="49">
        <f>'Avg Week Kalerwe-Kampala'!J54+'Avg Week Kampala-Kalerwe'!J54</f>
        <v>2.4285714285714288</v>
      </c>
      <c r="K54" s="49">
        <f>'Avg Week Kalerwe-Kampala'!K54+'Avg Week Kampala-Kalerwe'!K54</f>
        <v>1.1428571428571428</v>
      </c>
      <c r="L54" s="49">
        <f>'Avg Week Kalerwe-Kampala'!L54+'Avg Week Kampala-Kalerwe'!L54</f>
        <v>0.8571428571428571</v>
      </c>
      <c r="M54" s="49">
        <f>'Avg Week Kalerwe-Kampala'!M54+'Avg Week Kampala-Kalerwe'!M54</f>
        <v>359.28571428571428</v>
      </c>
      <c r="N54" s="49">
        <f>'Avg Week Kalerwe-Kampala'!N54+'Avg Week Kampala-Kalerwe'!N54</f>
        <v>0</v>
      </c>
      <c r="O54" s="15">
        <f t="shared" si="0"/>
        <v>243.14285714285711</v>
      </c>
      <c r="P54" s="15">
        <f t="shared" si="1"/>
        <v>602.42857142857133</v>
      </c>
      <c r="R54" s="8"/>
      <c r="T54"/>
    </row>
    <row r="55" spans="2:20" ht="23.1" customHeight="1" x14ac:dyDescent="0.25">
      <c r="B55" s="23" t="s">
        <v>82</v>
      </c>
      <c r="C55" s="49">
        <f>'Avg Week Kalerwe-Kampala'!C55+'Avg Week Kampala-Kalerwe'!C55</f>
        <v>103.14285714285714</v>
      </c>
      <c r="D55" s="49">
        <f>'Avg Week Kalerwe-Kampala'!D55+'Avg Week Kampala-Kalerwe'!D55</f>
        <v>29.571428571428569</v>
      </c>
      <c r="E55" s="49">
        <f>'Avg Week Kalerwe-Kampala'!E55+'Avg Week Kampala-Kalerwe'!E55</f>
        <v>11.714285714285715</v>
      </c>
      <c r="F55" s="49">
        <f>'Avg Week Kalerwe-Kampala'!F55+'Avg Week Kampala-Kalerwe'!F55</f>
        <v>80.714285714285722</v>
      </c>
      <c r="G55" s="49">
        <f>'Avg Week Kalerwe-Kampala'!G55+'Avg Week Kampala-Kalerwe'!G55</f>
        <v>2.2857142857142856</v>
      </c>
      <c r="H55" s="49">
        <f>'Avg Week Kalerwe-Kampala'!H55+'Avg Week Kampala-Kalerwe'!H55</f>
        <v>2</v>
      </c>
      <c r="I55" s="49">
        <f>'Avg Week Kalerwe-Kampala'!I55+'Avg Week Kampala-Kalerwe'!I55</f>
        <v>11.142857142857142</v>
      </c>
      <c r="J55" s="49">
        <f>'Avg Week Kalerwe-Kampala'!J55+'Avg Week Kampala-Kalerwe'!J55</f>
        <v>1.8571428571428572</v>
      </c>
      <c r="K55" s="49">
        <f>'Avg Week Kalerwe-Kampala'!K55+'Avg Week Kampala-Kalerwe'!K55</f>
        <v>1.1428571428571428</v>
      </c>
      <c r="L55" s="49">
        <f>'Avg Week Kalerwe-Kampala'!L55+'Avg Week Kampala-Kalerwe'!L55</f>
        <v>0.42857142857142855</v>
      </c>
      <c r="M55" s="49">
        <f>'Avg Week Kalerwe-Kampala'!M55+'Avg Week Kampala-Kalerwe'!M55</f>
        <v>396.85714285714289</v>
      </c>
      <c r="N55" s="49">
        <f>'Avg Week Kalerwe-Kampala'!N55+'Avg Week Kampala-Kalerwe'!N55</f>
        <v>0</v>
      </c>
      <c r="O55" s="15">
        <f t="shared" si="0"/>
        <v>244</v>
      </c>
      <c r="P55" s="15">
        <f t="shared" si="1"/>
        <v>640.85714285714289</v>
      </c>
      <c r="R55" s="8"/>
      <c r="T55"/>
    </row>
    <row r="56" spans="2:20" ht="23.1" customHeight="1" x14ac:dyDescent="0.25">
      <c r="B56" s="23" t="s">
        <v>83</v>
      </c>
      <c r="C56" s="49">
        <f>'Avg Week Kalerwe-Kampala'!C56+'Avg Week Kampala-Kalerwe'!C56</f>
        <v>97.714285714285722</v>
      </c>
      <c r="D56" s="49">
        <f>'Avg Week Kalerwe-Kampala'!D56+'Avg Week Kampala-Kalerwe'!D56</f>
        <v>25.285714285714285</v>
      </c>
      <c r="E56" s="49">
        <f>'Avg Week Kalerwe-Kampala'!E56+'Avg Week Kampala-Kalerwe'!E56</f>
        <v>9.7142857142857153</v>
      </c>
      <c r="F56" s="49">
        <f>'Avg Week Kalerwe-Kampala'!F56+'Avg Week Kampala-Kalerwe'!F56</f>
        <v>88</v>
      </c>
      <c r="G56" s="49">
        <f>'Avg Week Kalerwe-Kampala'!G56+'Avg Week Kampala-Kalerwe'!G56</f>
        <v>3.1428571428571428</v>
      </c>
      <c r="H56" s="49">
        <f>'Avg Week Kalerwe-Kampala'!H56+'Avg Week Kampala-Kalerwe'!H56</f>
        <v>1.7142857142857142</v>
      </c>
      <c r="I56" s="49">
        <f>'Avg Week Kalerwe-Kampala'!I56+'Avg Week Kampala-Kalerwe'!I56</f>
        <v>16.285714285714285</v>
      </c>
      <c r="J56" s="49">
        <f>'Avg Week Kalerwe-Kampala'!J56+'Avg Week Kampala-Kalerwe'!J56</f>
        <v>2.2857142857142856</v>
      </c>
      <c r="K56" s="49">
        <f>'Avg Week Kalerwe-Kampala'!K56+'Avg Week Kampala-Kalerwe'!K56</f>
        <v>1.5714285714285714</v>
      </c>
      <c r="L56" s="49">
        <f>'Avg Week Kalerwe-Kampala'!L56+'Avg Week Kampala-Kalerwe'!L56</f>
        <v>0.5714285714285714</v>
      </c>
      <c r="M56" s="49">
        <f>'Avg Week Kalerwe-Kampala'!M56+'Avg Week Kampala-Kalerwe'!M56</f>
        <v>384.57142857142856</v>
      </c>
      <c r="N56" s="49">
        <f>'Avg Week Kalerwe-Kampala'!N56+'Avg Week Kampala-Kalerwe'!N56</f>
        <v>0</v>
      </c>
      <c r="O56" s="15">
        <f t="shared" si="0"/>
        <v>246.28571428571431</v>
      </c>
      <c r="P56" s="15">
        <f t="shared" si="1"/>
        <v>630.85714285714289</v>
      </c>
      <c r="R56" s="8"/>
      <c r="T56"/>
    </row>
    <row r="57" spans="2:20" ht="23.1" customHeight="1" x14ac:dyDescent="0.25">
      <c r="B57" s="23" t="s">
        <v>84</v>
      </c>
      <c r="C57" s="49">
        <f>'Avg Week Kalerwe-Kampala'!C57+'Avg Week Kampala-Kalerwe'!C57</f>
        <v>85.428571428571431</v>
      </c>
      <c r="D57" s="49">
        <f>'Avg Week Kalerwe-Kampala'!D57+'Avg Week Kampala-Kalerwe'!D57</f>
        <v>21.428571428571431</v>
      </c>
      <c r="E57" s="49">
        <f>'Avg Week Kalerwe-Kampala'!E57+'Avg Week Kampala-Kalerwe'!E57</f>
        <v>8.5714285714285712</v>
      </c>
      <c r="F57" s="49">
        <f>'Avg Week Kalerwe-Kampala'!F57+'Avg Week Kampala-Kalerwe'!F57</f>
        <v>70.571428571428569</v>
      </c>
      <c r="G57" s="49">
        <f>'Avg Week Kalerwe-Kampala'!G57+'Avg Week Kampala-Kalerwe'!G57</f>
        <v>3.1428571428571428</v>
      </c>
      <c r="H57" s="49">
        <f>'Avg Week Kalerwe-Kampala'!H57+'Avg Week Kampala-Kalerwe'!H57</f>
        <v>1.2857142857142856</v>
      </c>
      <c r="I57" s="49">
        <f>'Avg Week Kalerwe-Kampala'!I57+'Avg Week Kampala-Kalerwe'!I57</f>
        <v>12</v>
      </c>
      <c r="J57" s="49">
        <f>'Avg Week Kalerwe-Kampala'!J57+'Avg Week Kampala-Kalerwe'!J57</f>
        <v>2.5714285714285712</v>
      </c>
      <c r="K57" s="49">
        <f>'Avg Week Kalerwe-Kampala'!K57+'Avg Week Kampala-Kalerwe'!K57</f>
        <v>1.7142857142857142</v>
      </c>
      <c r="L57" s="49">
        <f>'Avg Week Kalerwe-Kampala'!L57+'Avg Week Kampala-Kalerwe'!L57</f>
        <v>0.8571428571428571</v>
      </c>
      <c r="M57" s="49">
        <f>'Avg Week Kalerwe-Kampala'!M57+'Avg Week Kampala-Kalerwe'!M57</f>
        <v>304.14285714285711</v>
      </c>
      <c r="N57" s="49">
        <f>'Avg Week Kalerwe-Kampala'!N57+'Avg Week Kampala-Kalerwe'!N57</f>
        <v>0</v>
      </c>
      <c r="O57" s="15">
        <f t="shared" si="0"/>
        <v>207.57142857142858</v>
      </c>
      <c r="P57" s="15">
        <f t="shared" si="1"/>
        <v>511.71428571428567</v>
      </c>
      <c r="R57" s="8"/>
      <c r="T57"/>
    </row>
    <row r="58" spans="2:20" ht="23.1" customHeight="1" x14ac:dyDescent="0.25">
      <c r="B58" s="23" t="s">
        <v>99</v>
      </c>
      <c r="C58" s="49">
        <f>'Avg Week Kalerwe-Kampala'!C58+'Avg Week Kampala-Kalerwe'!C58</f>
        <v>112</v>
      </c>
      <c r="D58" s="49">
        <f>'Avg Week Kalerwe-Kampala'!D58+'Avg Week Kampala-Kalerwe'!D58</f>
        <v>19.5</v>
      </c>
      <c r="E58" s="49">
        <f>'Avg Week Kalerwe-Kampala'!E58+'Avg Week Kampala-Kalerwe'!E58</f>
        <v>6</v>
      </c>
      <c r="F58" s="49">
        <f>'Avg Week Kalerwe-Kampala'!F58+'Avg Week Kampala-Kalerwe'!F58</f>
        <v>89</v>
      </c>
      <c r="G58" s="49">
        <f>'Avg Week Kalerwe-Kampala'!G58+'Avg Week Kampala-Kalerwe'!G58</f>
        <v>6.5</v>
      </c>
      <c r="H58" s="49">
        <f>'Avg Week Kalerwe-Kampala'!H58+'Avg Week Kampala-Kalerwe'!H58</f>
        <v>1.5</v>
      </c>
      <c r="I58" s="49">
        <f>'Avg Week Kalerwe-Kampala'!I58+'Avg Week Kampala-Kalerwe'!I58</f>
        <v>15</v>
      </c>
      <c r="J58" s="49">
        <f>'Avg Week Kalerwe-Kampala'!J58+'Avg Week Kampala-Kalerwe'!J58</f>
        <v>3</v>
      </c>
      <c r="K58" s="49">
        <f>'Avg Week Kalerwe-Kampala'!K58+'Avg Week Kampala-Kalerwe'!K58</f>
        <v>3</v>
      </c>
      <c r="L58" s="49">
        <f>'Avg Week Kalerwe-Kampala'!L58+'Avg Week Kampala-Kalerwe'!L58</f>
        <v>0.5</v>
      </c>
      <c r="M58" s="49">
        <f>'Avg Week Kalerwe-Kampala'!M58+'Avg Week Kampala-Kalerwe'!M58</f>
        <v>320</v>
      </c>
      <c r="N58" s="49">
        <f>'Avg Week Kalerwe-Kampala'!N58+'Avg Week Kampala-Kalerwe'!N58</f>
        <v>0</v>
      </c>
      <c r="O58" s="15">
        <f t="shared" si="0"/>
        <v>256</v>
      </c>
      <c r="P58" s="15">
        <f t="shared" si="1"/>
        <v>576</v>
      </c>
      <c r="R58" s="8"/>
      <c r="T58"/>
    </row>
    <row r="59" spans="2:20" ht="23.1" customHeight="1" x14ac:dyDescent="0.25">
      <c r="B59" s="23" t="s">
        <v>100</v>
      </c>
      <c r="C59" s="49">
        <f>'Avg Week Kalerwe-Kampala'!C59+'Avg Week Kampala-Kalerwe'!C59</f>
        <v>130</v>
      </c>
      <c r="D59" s="49">
        <f>'Avg Week Kalerwe-Kampala'!D59+'Avg Week Kampala-Kalerwe'!D59</f>
        <v>21.5</v>
      </c>
      <c r="E59" s="49">
        <f>'Avg Week Kalerwe-Kampala'!E59+'Avg Week Kampala-Kalerwe'!E59</f>
        <v>2.5</v>
      </c>
      <c r="F59" s="49">
        <f>'Avg Week Kalerwe-Kampala'!F59+'Avg Week Kampala-Kalerwe'!F59</f>
        <v>79</v>
      </c>
      <c r="G59" s="49">
        <f>'Avg Week Kalerwe-Kampala'!G59+'Avg Week Kampala-Kalerwe'!G59</f>
        <v>3.5</v>
      </c>
      <c r="H59" s="49">
        <f>'Avg Week Kalerwe-Kampala'!H59+'Avg Week Kampala-Kalerwe'!H59</f>
        <v>2</v>
      </c>
      <c r="I59" s="49">
        <f>'Avg Week Kalerwe-Kampala'!I59+'Avg Week Kampala-Kalerwe'!I59</f>
        <v>31</v>
      </c>
      <c r="J59" s="49">
        <f>'Avg Week Kalerwe-Kampala'!J59+'Avg Week Kampala-Kalerwe'!J59</f>
        <v>8</v>
      </c>
      <c r="K59" s="49">
        <f>'Avg Week Kalerwe-Kampala'!K59+'Avg Week Kampala-Kalerwe'!K59</f>
        <v>0.5</v>
      </c>
      <c r="L59" s="49">
        <f>'Avg Week Kalerwe-Kampala'!L59+'Avg Week Kampala-Kalerwe'!L59</f>
        <v>1.5</v>
      </c>
      <c r="M59" s="49">
        <f>'Avg Week Kalerwe-Kampala'!M59+'Avg Week Kampala-Kalerwe'!M59</f>
        <v>287.5</v>
      </c>
      <c r="N59" s="49">
        <f>'Avg Week Kalerwe-Kampala'!N59+'Avg Week Kampala-Kalerwe'!N59</f>
        <v>0</v>
      </c>
      <c r="O59" s="15">
        <f t="shared" si="0"/>
        <v>279.5</v>
      </c>
      <c r="P59" s="15">
        <f t="shared" si="1"/>
        <v>567</v>
      </c>
      <c r="R59" s="8"/>
      <c r="T59"/>
    </row>
    <row r="60" spans="2:20" ht="23.1" customHeight="1" x14ac:dyDescent="0.25">
      <c r="B60" s="23" t="s">
        <v>101</v>
      </c>
      <c r="C60" s="49">
        <f>'Avg Week Kalerwe-Kampala'!C60+'Avg Week Kampala-Kalerwe'!C60</f>
        <v>125</v>
      </c>
      <c r="D60" s="49">
        <f>'Avg Week Kalerwe-Kampala'!D60+'Avg Week Kampala-Kalerwe'!D60</f>
        <v>18.5</v>
      </c>
      <c r="E60" s="49">
        <f>'Avg Week Kalerwe-Kampala'!E60+'Avg Week Kampala-Kalerwe'!E60</f>
        <v>4</v>
      </c>
      <c r="F60" s="49">
        <f>'Avg Week Kalerwe-Kampala'!F60+'Avg Week Kampala-Kalerwe'!F60</f>
        <v>43</v>
      </c>
      <c r="G60" s="49">
        <f>'Avg Week Kalerwe-Kampala'!G60+'Avg Week Kampala-Kalerwe'!G60</f>
        <v>9</v>
      </c>
      <c r="H60" s="49">
        <f>'Avg Week Kalerwe-Kampala'!H60+'Avg Week Kampala-Kalerwe'!H60</f>
        <v>0.5</v>
      </c>
      <c r="I60" s="49">
        <f>'Avg Week Kalerwe-Kampala'!I60+'Avg Week Kampala-Kalerwe'!I60</f>
        <v>21.5</v>
      </c>
      <c r="J60" s="49">
        <f>'Avg Week Kalerwe-Kampala'!J60+'Avg Week Kampala-Kalerwe'!J60</f>
        <v>4.5</v>
      </c>
      <c r="K60" s="49">
        <f>'Avg Week Kalerwe-Kampala'!K60+'Avg Week Kampala-Kalerwe'!K60</f>
        <v>3.5</v>
      </c>
      <c r="L60" s="49">
        <f>'Avg Week Kalerwe-Kampala'!L60+'Avg Week Kampala-Kalerwe'!L60</f>
        <v>0.5</v>
      </c>
      <c r="M60" s="49">
        <f>'Avg Week Kalerwe-Kampala'!M60+'Avg Week Kampala-Kalerwe'!M60</f>
        <v>306.5</v>
      </c>
      <c r="N60" s="49">
        <f>'Avg Week Kalerwe-Kampala'!N60+'Avg Week Kampala-Kalerwe'!N60</f>
        <v>0</v>
      </c>
      <c r="O60" s="15">
        <f t="shared" si="0"/>
        <v>230</v>
      </c>
      <c r="P60" s="15">
        <f t="shared" si="1"/>
        <v>536.5</v>
      </c>
      <c r="R60" s="8"/>
      <c r="T60"/>
    </row>
    <row r="61" spans="2:20" ht="23.1" customHeight="1" x14ac:dyDescent="0.25">
      <c r="B61" s="23" t="s">
        <v>102</v>
      </c>
      <c r="C61" s="49">
        <f>'Avg Week Kalerwe-Kampala'!C61+'Avg Week Kampala-Kalerwe'!C61</f>
        <v>120</v>
      </c>
      <c r="D61" s="49">
        <f>'Avg Week Kalerwe-Kampala'!D61+'Avg Week Kampala-Kalerwe'!D61</f>
        <v>23</v>
      </c>
      <c r="E61" s="49">
        <f>'Avg Week Kalerwe-Kampala'!E61+'Avg Week Kampala-Kalerwe'!E61</f>
        <v>6</v>
      </c>
      <c r="F61" s="49">
        <f>'Avg Week Kalerwe-Kampala'!F61+'Avg Week Kampala-Kalerwe'!F61</f>
        <v>32.5</v>
      </c>
      <c r="G61" s="49">
        <f>'Avg Week Kalerwe-Kampala'!G61+'Avg Week Kampala-Kalerwe'!G61</f>
        <v>12</v>
      </c>
      <c r="H61" s="49">
        <f>'Avg Week Kalerwe-Kampala'!H61+'Avg Week Kampala-Kalerwe'!H61</f>
        <v>4</v>
      </c>
      <c r="I61" s="49">
        <f>'Avg Week Kalerwe-Kampala'!I61+'Avg Week Kampala-Kalerwe'!I61</f>
        <v>19</v>
      </c>
      <c r="J61" s="49">
        <f>'Avg Week Kalerwe-Kampala'!J61+'Avg Week Kampala-Kalerwe'!J61</f>
        <v>9.5</v>
      </c>
      <c r="K61" s="49">
        <f>'Avg Week Kalerwe-Kampala'!K61+'Avg Week Kampala-Kalerwe'!K61</f>
        <v>3</v>
      </c>
      <c r="L61" s="49">
        <f>'Avg Week Kalerwe-Kampala'!L61+'Avg Week Kampala-Kalerwe'!L61</f>
        <v>4</v>
      </c>
      <c r="M61" s="49">
        <f>'Avg Week Kalerwe-Kampala'!M61+'Avg Week Kampala-Kalerwe'!M61</f>
        <v>312.5</v>
      </c>
      <c r="N61" s="49">
        <f>'Avg Week Kalerwe-Kampala'!N61+'Avg Week Kampala-Kalerwe'!N61</f>
        <v>0</v>
      </c>
      <c r="O61" s="15">
        <f t="shared" si="0"/>
        <v>233</v>
      </c>
      <c r="P61" s="15">
        <f t="shared" si="1"/>
        <v>545.5</v>
      </c>
      <c r="R61" s="8"/>
      <c r="T61"/>
    </row>
    <row r="62" spans="2:20" ht="23.1" customHeight="1" x14ac:dyDescent="0.25">
      <c r="B62" s="23" t="s">
        <v>107</v>
      </c>
      <c r="C62" s="49">
        <f>'Avg Week Kalerwe-Kampala'!C62+'Avg Week Kampala-Kalerwe'!C62</f>
        <v>124.5</v>
      </c>
      <c r="D62" s="49">
        <f>'Avg Week Kalerwe-Kampala'!D62+'Avg Week Kampala-Kalerwe'!D62</f>
        <v>32</v>
      </c>
      <c r="E62" s="49">
        <f>'Avg Week Kalerwe-Kampala'!E62+'Avg Week Kampala-Kalerwe'!E62</f>
        <v>16.5</v>
      </c>
      <c r="F62" s="49">
        <f>'Avg Week Kalerwe-Kampala'!F62+'Avg Week Kampala-Kalerwe'!F62</f>
        <v>144.5</v>
      </c>
      <c r="G62" s="49">
        <f>'Avg Week Kalerwe-Kampala'!G62+'Avg Week Kampala-Kalerwe'!G62</f>
        <v>7.5</v>
      </c>
      <c r="H62" s="49">
        <f>'Avg Week Kalerwe-Kampala'!H62+'Avg Week Kampala-Kalerwe'!H62</f>
        <v>21</v>
      </c>
      <c r="I62" s="49">
        <f>'Avg Week Kalerwe-Kampala'!I62+'Avg Week Kampala-Kalerwe'!I62</f>
        <v>9.5</v>
      </c>
      <c r="J62" s="49">
        <f>'Avg Week Kalerwe-Kampala'!J62+'Avg Week Kampala-Kalerwe'!J62</f>
        <v>5</v>
      </c>
      <c r="K62" s="49">
        <f>'Avg Week Kalerwe-Kampala'!K62+'Avg Week Kampala-Kalerwe'!K62</f>
        <v>4</v>
      </c>
      <c r="L62" s="49">
        <f>'Avg Week Kalerwe-Kampala'!L62+'Avg Week Kampala-Kalerwe'!L62</f>
        <v>0.5</v>
      </c>
      <c r="M62" s="49">
        <f>'Avg Week Kalerwe-Kampala'!M62+'Avg Week Kampala-Kalerwe'!M62</f>
        <v>235</v>
      </c>
      <c r="N62" s="49">
        <f>'Avg Week Kalerwe-Kampala'!N62+'Avg Week Kampala-Kalerwe'!N62</f>
        <v>0</v>
      </c>
      <c r="O62" s="15">
        <f t="shared" si="0"/>
        <v>365</v>
      </c>
      <c r="P62" s="15">
        <f t="shared" si="1"/>
        <v>600</v>
      </c>
      <c r="R62" s="8"/>
      <c r="T62"/>
    </row>
    <row r="63" spans="2:20" ht="23.1" customHeight="1" x14ac:dyDescent="0.25">
      <c r="B63" s="23" t="s">
        <v>108</v>
      </c>
      <c r="C63" s="49">
        <f>'Avg Week Kalerwe-Kampala'!C63+'Avg Week Kampala-Kalerwe'!C63</f>
        <v>106</v>
      </c>
      <c r="D63" s="49">
        <f>'Avg Week Kalerwe-Kampala'!D63+'Avg Week Kampala-Kalerwe'!D63</f>
        <v>21.5</v>
      </c>
      <c r="E63" s="49">
        <f>'Avg Week Kalerwe-Kampala'!E63+'Avg Week Kampala-Kalerwe'!E63</f>
        <v>6.5</v>
      </c>
      <c r="F63" s="49">
        <f>'Avg Week Kalerwe-Kampala'!F63+'Avg Week Kampala-Kalerwe'!F63</f>
        <v>84</v>
      </c>
      <c r="G63" s="49">
        <f>'Avg Week Kalerwe-Kampala'!G63+'Avg Week Kampala-Kalerwe'!G63</f>
        <v>11.5</v>
      </c>
      <c r="H63" s="49">
        <f>'Avg Week Kalerwe-Kampala'!H63+'Avg Week Kampala-Kalerwe'!H63</f>
        <v>7.5</v>
      </c>
      <c r="I63" s="49">
        <f>'Avg Week Kalerwe-Kampala'!I63+'Avg Week Kampala-Kalerwe'!I63</f>
        <v>9</v>
      </c>
      <c r="J63" s="49">
        <f>'Avg Week Kalerwe-Kampala'!J63+'Avg Week Kampala-Kalerwe'!J63</f>
        <v>3</v>
      </c>
      <c r="K63" s="49">
        <f>'Avg Week Kalerwe-Kampala'!K63+'Avg Week Kampala-Kalerwe'!K63</f>
        <v>0.5</v>
      </c>
      <c r="L63" s="49">
        <f>'Avg Week Kalerwe-Kampala'!L63+'Avg Week Kampala-Kalerwe'!L63</f>
        <v>0.5</v>
      </c>
      <c r="M63" s="49">
        <f>'Avg Week Kalerwe-Kampala'!M63+'Avg Week Kampala-Kalerwe'!M63</f>
        <v>227.5</v>
      </c>
      <c r="N63" s="49">
        <f>'Avg Week Kalerwe-Kampala'!N63+'Avg Week Kampala-Kalerwe'!N63</f>
        <v>0.5</v>
      </c>
      <c r="O63" s="15">
        <f t="shared" si="0"/>
        <v>250.5</v>
      </c>
      <c r="P63" s="15">
        <f t="shared" si="1"/>
        <v>478</v>
      </c>
      <c r="R63" s="8"/>
      <c r="T63"/>
    </row>
    <row r="64" spans="2:20" ht="23.1" customHeight="1" x14ac:dyDescent="0.25">
      <c r="B64" s="23" t="s">
        <v>109</v>
      </c>
      <c r="C64" s="49">
        <f>'Avg Week Kalerwe-Kampala'!C64+'Avg Week Kampala-Kalerwe'!C64</f>
        <v>109</v>
      </c>
      <c r="D64" s="49">
        <f>'Avg Week Kalerwe-Kampala'!D64+'Avg Week Kampala-Kalerwe'!D64</f>
        <v>26</v>
      </c>
      <c r="E64" s="49">
        <f>'Avg Week Kalerwe-Kampala'!E64+'Avg Week Kampala-Kalerwe'!E64</f>
        <v>7.5</v>
      </c>
      <c r="F64" s="49">
        <f>'Avg Week Kalerwe-Kampala'!F64+'Avg Week Kampala-Kalerwe'!F64</f>
        <v>71</v>
      </c>
      <c r="G64" s="49">
        <f>'Avg Week Kalerwe-Kampala'!G64+'Avg Week Kampala-Kalerwe'!G64</f>
        <v>15.5</v>
      </c>
      <c r="H64" s="49">
        <f>'Avg Week Kalerwe-Kampala'!H64+'Avg Week Kampala-Kalerwe'!H64</f>
        <v>3</v>
      </c>
      <c r="I64" s="49">
        <f>'Avg Week Kalerwe-Kampala'!I64+'Avg Week Kampala-Kalerwe'!I64</f>
        <v>25.5</v>
      </c>
      <c r="J64" s="49">
        <f>'Avg Week Kalerwe-Kampala'!J64+'Avg Week Kampala-Kalerwe'!J64</f>
        <v>3.5</v>
      </c>
      <c r="K64" s="49">
        <f>'Avg Week Kalerwe-Kampala'!K64+'Avg Week Kampala-Kalerwe'!K64</f>
        <v>1</v>
      </c>
      <c r="L64" s="49">
        <f>'Avg Week Kalerwe-Kampala'!L64+'Avg Week Kampala-Kalerwe'!L64</f>
        <v>2.5</v>
      </c>
      <c r="M64" s="49">
        <f>'Avg Week Kalerwe-Kampala'!M64+'Avg Week Kampala-Kalerwe'!M64</f>
        <v>212.5</v>
      </c>
      <c r="N64" s="49">
        <f>'Avg Week Kalerwe-Kampala'!N64+'Avg Week Kampala-Kalerwe'!N64</f>
        <v>0</v>
      </c>
      <c r="O64" s="15">
        <f t="shared" si="0"/>
        <v>264.5</v>
      </c>
      <c r="P64" s="15">
        <f t="shared" si="1"/>
        <v>477</v>
      </c>
      <c r="R64" s="8"/>
      <c r="T64"/>
    </row>
    <row r="65" spans="2:20" ht="23.1" customHeight="1" x14ac:dyDescent="0.25">
      <c r="B65" s="23" t="s">
        <v>158</v>
      </c>
      <c r="C65" s="49">
        <f>'Avg Week Kalerwe-Kampala'!C65+'Avg Week Kampala-Kalerwe'!C65</f>
        <v>157</v>
      </c>
      <c r="D65" s="49">
        <f>'Avg Week Kalerwe-Kampala'!D65+'Avg Week Kampala-Kalerwe'!D65</f>
        <v>22</v>
      </c>
      <c r="E65" s="49">
        <f>'Avg Week Kalerwe-Kampala'!E65+'Avg Week Kampala-Kalerwe'!E65</f>
        <v>12.5</v>
      </c>
      <c r="F65" s="49">
        <f>'Avg Week Kalerwe-Kampala'!F65+'Avg Week Kampala-Kalerwe'!F65</f>
        <v>117</v>
      </c>
      <c r="G65" s="49">
        <f>'Avg Week Kalerwe-Kampala'!G65+'Avg Week Kampala-Kalerwe'!G65</f>
        <v>1.5</v>
      </c>
      <c r="H65" s="49">
        <f>'Avg Week Kalerwe-Kampala'!H65+'Avg Week Kampala-Kalerwe'!H65</f>
        <v>7.5</v>
      </c>
      <c r="I65" s="49">
        <f>'Avg Week Kalerwe-Kampala'!I65+'Avg Week Kampala-Kalerwe'!I65</f>
        <v>6.5</v>
      </c>
      <c r="J65" s="49">
        <f>'Avg Week Kalerwe-Kampala'!J65+'Avg Week Kampala-Kalerwe'!J65</f>
        <v>7</v>
      </c>
      <c r="K65" s="49">
        <f>'Avg Week Kalerwe-Kampala'!K65+'Avg Week Kampala-Kalerwe'!K65</f>
        <v>1</v>
      </c>
      <c r="L65" s="49">
        <f>'Avg Week Kalerwe-Kampala'!L65+'Avg Week Kampala-Kalerwe'!L65</f>
        <v>0</v>
      </c>
      <c r="M65" s="49">
        <f>'Avg Week Kalerwe-Kampala'!M65+'Avg Week Kampala-Kalerwe'!M65</f>
        <v>221.5</v>
      </c>
      <c r="N65" s="49">
        <f>'Avg Week Kalerwe-Kampala'!N65+'Avg Week Kampala-Kalerwe'!N65</f>
        <v>0</v>
      </c>
      <c r="O65" s="15">
        <f t="shared" si="0"/>
        <v>332</v>
      </c>
      <c r="P65" s="15">
        <f t="shared" si="1"/>
        <v>553.5</v>
      </c>
      <c r="R65" s="8"/>
      <c r="T65"/>
    </row>
    <row r="66" spans="2:20" ht="23.1" customHeight="1" x14ac:dyDescent="0.25">
      <c r="B66" s="23" t="s">
        <v>103</v>
      </c>
      <c r="C66" s="49">
        <f>'Avg Week Kalerwe-Kampala'!C66+'Avg Week Kampala-Kalerwe'!C66</f>
        <v>54</v>
      </c>
      <c r="D66" s="49">
        <f>'Avg Week Kalerwe-Kampala'!D66+'Avg Week Kampala-Kalerwe'!D66</f>
        <v>14.5</v>
      </c>
      <c r="E66" s="49">
        <f>'Avg Week Kalerwe-Kampala'!E66+'Avg Week Kampala-Kalerwe'!E66</f>
        <v>7</v>
      </c>
      <c r="F66" s="49">
        <f>'Avg Week Kalerwe-Kampala'!F66+'Avg Week Kampala-Kalerwe'!F66</f>
        <v>40.5</v>
      </c>
      <c r="G66" s="49">
        <f>'Avg Week Kalerwe-Kampala'!G66+'Avg Week Kampala-Kalerwe'!G66</f>
        <v>2</v>
      </c>
      <c r="H66" s="49">
        <f>'Avg Week Kalerwe-Kampala'!H66+'Avg Week Kampala-Kalerwe'!H66</f>
        <v>6</v>
      </c>
      <c r="I66" s="49">
        <f>'Avg Week Kalerwe-Kampala'!I66+'Avg Week Kampala-Kalerwe'!I66</f>
        <v>10</v>
      </c>
      <c r="J66" s="49">
        <f>'Avg Week Kalerwe-Kampala'!J66+'Avg Week Kampala-Kalerwe'!J66</f>
        <v>4</v>
      </c>
      <c r="K66" s="49">
        <f>'Avg Week Kalerwe-Kampala'!K66+'Avg Week Kampala-Kalerwe'!K66</f>
        <v>2</v>
      </c>
      <c r="L66" s="49">
        <f>'Avg Week Kalerwe-Kampala'!L66+'Avg Week Kampala-Kalerwe'!L66</f>
        <v>1</v>
      </c>
      <c r="M66" s="49">
        <f>'Avg Week Kalerwe-Kampala'!M66+'Avg Week Kampala-Kalerwe'!M66</f>
        <v>243.5</v>
      </c>
      <c r="N66" s="49">
        <f>'Avg Week Kalerwe-Kampala'!N66+'Avg Week Kampala-Kalerwe'!N66</f>
        <v>0</v>
      </c>
      <c r="O66" s="15">
        <f t="shared" si="0"/>
        <v>141</v>
      </c>
      <c r="P66" s="15">
        <f t="shared" si="1"/>
        <v>384.5</v>
      </c>
      <c r="R66" s="8"/>
      <c r="T66"/>
    </row>
    <row r="67" spans="2:20" ht="23.1" customHeight="1" x14ac:dyDescent="0.25">
      <c r="B67" s="23" t="s">
        <v>104</v>
      </c>
      <c r="C67" s="49">
        <f>'Avg Week Kalerwe-Kampala'!C67+'Avg Week Kampala-Kalerwe'!C67</f>
        <v>78.5</v>
      </c>
      <c r="D67" s="49">
        <f>'Avg Week Kalerwe-Kampala'!D67+'Avg Week Kampala-Kalerwe'!D67</f>
        <v>15</v>
      </c>
      <c r="E67" s="49">
        <f>'Avg Week Kalerwe-Kampala'!E67+'Avg Week Kampala-Kalerwe'!E67</f>
        <v>5.5</v>
      </c>
      <c r="F67" s="49">
        <f>'Avg Week Kalerwe-Kampala'!F67+'Avg Week Kampala-Kalerwe'!F67</f>
        <v>48.5</v>
      </c>
      <c r="G67" s="49">
        <f>'Avg Week Kalerwe-Kampala'!G67+'Avg Week Kampala-Kalerwe'!G67</f>
        <v>1.5</v>
      </c>
      <c r="H67" s="49">
        <f>'Avg Week Kalerwe-Kampala'!H67+'Avg Week Kampala-Kalerwe'!H67</f>
        <v>2</v>
      </c>
      <c r="I67" s="49">
        <f>'Avg Week Kalerwe-Kampala'!I67+'Avg Week Kampala-Kalerwe'!I67</f>
        <v>6.5</v>
      </c>
      <c r="J67" s="49">
        <f>'Avg Week Kalerwe-Kampala'!J67+'Avg Week Kampala-Kalerwe'!J67</f>
        <v>3.5</v>
      </c>
      <c r="K67" s="49">
        <f>'Avg Week Kalerwe-Kampala'!K67+'Avg Week Kampala-Kalerwe'!K67</f>
        <v>1.5</v>
      </c>
      <c r="L67" s="49">
        <f>'Avg Week Kalerwe-Kampala'!L67+'Avg Week Kampala-Kalerwe'!L67</f>
        <v>0.5</v>
      </c>
      <c r="M67" s="49">
        <f>'Avg Week Kalerwe-Kampala'!M67+'Avg Week Kampala-Kalerwe'!M67</f>
        <v>238</v>
      </c>
      <c r="N67" s="49">
        <f>'Avg Week Kalerwe-Kampala'!N67+'Avg Week Kampala-Kalerwe'!N67</f>
        <v>0</v>
      </c>
      <c r="O67" s="15">
        <f t="shared" si="0"/>
        <v>163</v>
      </c>
      <c r="P67" s="15">
        <f t="shared" si="1"/>
        <v>401</v>
      </c>
      <c r="R67" s="8"/>
      <c r="T67"/>
    </row>
    <row r="68" spans="2:20" ht="23.1" customHeight="1" x14ac:dyDescent="0.25">
      <c r="B68" s="23" t="s">
        <v>105</v>
      </c>
      <c r="C68" s="49">
        <f>'Avg Week Kalerwe-Kampala'!C68+'Avg Week Kampala-Kalerwe'!C68</f>
        <v>65</v>
      </c>
      <c r="D68" s="49">
        <f>'Avg Week Kalerwe-Kampala'!D68+'Avg Week Kampala-Kalerwe'!D68</f>
        <v>22</v>
      </c>
      <c r="E68" s="49">
        <f>'Avg Week Kalerwe-Kampala'!E68+'Avg Week Kampala-Kalerwe'!E68</f>
        <v>12</v>
      </c>
      <c r="F68" s="49">
        <f>'Avg Week Kalerwe-Kampala'!F68+'Avg Week Kampala-Kalerwe'!F68</f>
        <v>60.5</v>
      </c>
      <c r="G68" s="49">
        <f>'Avg Week Kalerwe-Kampala'!G68+'Avg Week Kampala-Kalerwe'!G68</f>
        <v>11</v>
      </c>
      <c r="H68" s="49">
        <f>'Avg Week Kalerwe-Kampala'!H68+'Avg Week Kampala-Kalerwe'!H68</f>
        <v>7</v>
      </c>
      <c r="I68" s="49">
        <f>'Avg Week Kalerwe-Kampala'!I68+'Avg Week Kampala-Kalerwe'!I68</f>
        <v>13.5</v>
      </c>
      <c r="J68" s="49">
        <f>'Avg Week Kalerwe-Kampala'!J68+'Avg Week Kampala-Kalerwe'!J68</f>
        <v>4</v>
      </c>
      <c r="K68" s="49">
        <f>'Avg Week Kalerwe-Kampala'!K68+'Avg Week Kampala-Kalerwe'!K68</f>
        <v>2.5</v>
      </c>
      <c r="L68" s="49">
        <f>'Avg Week Kalerwe-Kampala'!L68+'Avg Week Kampala-Kalerwe'!L68</f>
        <v>0</v>
      </c>
      <c r="M68" s="49">
        <f>'Avg Week Kalerwe-Kampala'!M68+'Avg Week Kampala-Kalerwe'!M68</f>
        <v>267.5</v>
      </c>
      <c r="N68" s="49">
        <f>'Avg Week Kalerwe-Kampala'!N68+'Avg Week Kampala-Kalerwe'!N68</f>
        <v>0</v>
      </c>
      <c r="O68" s="15">
        <f t="shared" si="0"/>
        <v>197.5</v>
      </c>
      <c r="P68" s="15">
        <f t="shared" si="1"/>
        <v>465</v>
      </c>
      <c r="R68" s="8"/>
      <c r="T68"/>
    </row>
    <row r="69" spans="2:20" ht="23.1" customHeight="1" x14ac:dyDescent="0.25">
      <c r="B69" s="23" t="s">
        <v>106</v>
      </c>
      <c r="C69" s="49">
        <f>'Avg Week Kalerwe-Kampala'!C69+'Avg Week Kampala-Kalerwe'!C69</f>
        <v>54.5</v>
      </c>
      <c r="D69" s="49">
        <f>'Avg Week Kalerwe-Kampala'!D69+'Avg Week Kampala-Kalerwe'!D69</f>
        <v>14</v>
      </c>
      <c r="E69" s="49">
        <f>'Avg Week Kalerwe-Kampala'!E69+'Avg Week Kampala-Kalerwe'!E69</f>
        <v>5</v>
      </c>
      <c r="F69" s="49">
        <f>'Avg Week Kalerwe-Kampala'!F69+'Avg Week Kampala-Kalerwe'!F69</f>
        <v>71</v>
      </c>
      <c r="G69" s="49">
        <f>'Avg Week Kalerwe-Kampala'!G69+'Avg Week Kampala-Kalerwe'!G69</f>
        <v>6</v>
      </c>
      <c r="H69" s="49">
        <f>'Avg Week Kalerwe-Kampala'!H69+'Avg Week Kampala-Kalerwe'!H69</f>
        <v>3</v>
      </c>
      <c r="I69" s="49">
        <f>'Avg Week Kalerwe-Kampala'!I69+'Avg Week Kampala-Kalerwe'!I69</f>
        <v>6.5</v>
      </c>
      <c r="J69" s="49">
        <f>'Avg Week Kalerwe-Kampala'!J69+'Avg Week Kampala-Kalerwe'!J69</f>
        <v>4.5</v>
      </c>
      <c r="K69" s="49">
        <f>'Avg Week Kalerwe-Kampala'!K69+'Avg Week Kampala-Kalerwe'!K69</f>
        <v>2</v>
      </c>
      <c r="L69" s="49">
        <f>'Avg Week Kalerwe-Kampala'!L69+'Avg Week Kampala-Kalerwe'!L69</f>
        <v>0</v>
      </c>
      <c r="M69" s="49">
        <f>'Avg Week Kalerwe-Kampala'!M69+'Avg Week Kampala-Kalerwe'!M69</f>
        <v>287</v>
      </c>
      <c r="N69" s="49">
        <f>'Avg Week Kalerwe-Kampala'!N69+'Avg Week Kampala-Kalerwe'!N69</f>
        <v>0</v>
      </c>
      <c r="O69" s="15">
        <f t="shared" si="0"/>
        <v>166.5</v>
      </c>
      <c r="P69" s="15">
        <f t="shared" si="1"/>
        <v>453.5</v>
      </c>
      <c r="R69" s="8"/>
      <c r="T69"/>
    </row>
    <row r="70" spans="2:20" ht="23.1" customHeight="1" x14ac:dyDescent="0.25">
      <c r="B70" s="23" t="s">
        <v>110</v>
      </c>
      <c r="C70" s="49">
        <f>'Avg Week Kalerwe-Kampala'!C70+'Avg Week Kampala-Kalerwe'!C70</f>
        <v>76</v>
      </c>
      <c r="D70" s="49">
        <f>'Avg Week Kalerwe-Kampala'!D70+'Avg Week Kampala-Kalerwe'!D70</f>
        <v>20</v>
      </c>
      <c r="E70" s="49">
        <f>'Avg Week Kalerwe-Kampala'!E70+'Avg Week Kampala-Kalerwe'!E70</f>
        <v>6</v>
      </c>
      <c r="F70" s="49">
        <f>'Avg Week Kalerwe-Kampala'!F70+'Avg Week Kampala-Kalerwe'!F70</f>
        <v>73.5</v>
      </c>
      <c r="G70" s="49">
        <f>'Avg Week Kalerwe-Kampala'!G70+'Avg Week Kampala-Kalerwe'!G70</f>
        <v>18.5</v>
      </c>
      <c r="H70" s="49">
        <f>'Avg Week Kalerwe-Kampala'!H70+'Avg Week Kampala-Kalerwe'!H70</f>
        <v>9</v>
      </c>
      <c r="I70" s="49">
        <f>'Avg Week Kalerwe-Kampala'!I70+'Avg Week Kampala-Kalerwe'!I70</f>
        <v>17.5</v>
      </c>
      <c r="J70" s="49">
        <f>'Avg Week Kalerwe-Kampala'!J70+'Avg Week Kampala-Kalerwe'!J70</f>
        <v>16</v>
      </c>
      <c r="K70" s="49">
        <f>'Avg Week Kalerwe-Kampala'!K70+'Avg Week Kampala-Kalerwe'!K70</f>
        <v>5.5</v>
      </c>
      <c r="L70" s="49">
        <f>'Avg Week Kalerwe-Kampala'!L70+'Avg Week Kampala-Kalerwe'!L70</f>
        <v>0.5</v>
      </c>
      <c r="M70" s="49">
        <f>'Avg Week Kalerwe-Kampala'!M70+'Avg Week Kampala-Kalerwe'!M70</f>
        <v>209</v>
      </c>
      <c r="N70" s="49">
        <f>'Avg Week Kalerwe-Kampala'!N70+'Avg Week Kampala-Kalerwe'!N70</f>
        <v>0</v>
      </c>
      <c r="O70" s="15">
        <f t="shared" si="0"/>
        <v>242.5</v>
      </c>
      <c r="P70" s="15">
        <f t="shared" si="1"/>
        <v>451.5</v>
      </c>
      <c r="R70" s="8"/>
      <c r="T70"/>
    </row>
    <row r="71" spans="2:20" ht="23.1" customHeight="1" x14ac:dyDescent="0.25">
      <c r="B71" s="23" t="s">
        <v>111</v>
      </c>
      <c r="C71" s="49">
        <f>'Avg Week Kalerwe-Kampala'!C71+'Avg Week Kampala-Kalerwe'!C71</f>
        <v>61.5</v>
      </c>
      <c r="D71" s="49">
        <f>'Avg Week Kalerwe-Kampala'!D71+'Avg Week Kampala-Kalerwe'!D71</f>
        <v>27</v>
      </c>
      <c r="E71" s="49">
        <f>'Avg Week Kalerwe-Kampala'!E71+'Avg Week Kampala-Kalerwe'!E71</f>
        <v>10.5</v>
      </c>
      <c r="F71" s="49">
        <f>'Avg Week Kalerwe-Kampala'!F71+'Avg Week Kampala-Kalerwe'!F71</f>
        <v>73.5</v>
      </c>
      <c r="G71" s="49">
        <f>'Avg Week Kalerwe-Kampala'!G71+'Avg Week Kampala-Kalerwe'!G71</f>
        <v>8.5</v>
      </c>
      <c r="H71" s="49">
        <f>'Avg Week Kalerwe-Kampala'!H71+'Avg Week Kampala-Kalerwe'!H71</f>
        <v>4</v>
      </c>
      <c r="I71" s="49">
        <f>'Avg Week Kalerwe-Kampala'!I71+'Avg Week Kampala-Kalerwe'!I71</f>
        <v>8.5</v>
      </c>
      <c r="J71" s="49">
        <f>'Avg Week Kalerwe-Kampala'!J71+'Avg Week Kampala-Kalerwe'!J71</f>
        <v>15</v>
      </c>
      <c r="K71" s="49">
        <f>'Avg Week Kalerwe-Kampala'!K71+'Avg Week Kampala-Kalerwe'!K71</f>
        <v>5</v>
      </c>
      <c r="L71" s="49">
        <f>'Avg Week Kalerwe-Kampala'!L71+'Avg Week Kampala-Kalerwe'!L71</f>
        <v>1.5</v>
      </c>
      <c r="M71" s="49">
        <f>'Avg Week Kalerwe-Kampala'!M71+'Avg Week Kampala-Kalerwe'!M71</f>
        <v>170</v>
      </c>
      <c r="N71" s="49">
        <f>'Avg Week Kalerwe-Kampala'!N71+'Avg Week Kampala-Kalerwe'!N71</f>
        <v>0</v>
      </c>
      <c r="O71" s="15">
        <f t="shared" si="0"/>
        <v>215</v>
      </c>
      <c r="P71" s="15">
        <f t="shared" si="1"/>
        <v>385</v>
      </c>
      <c r="R71" s="8"/>
      <c r="T71"/>
    </row>
    <row r="72" spans="2:20" ht="23.1" customHeight="1" x14ac:dyDescent="0.25">
      <c r="B72" s="23" t="s">
        <v>112</v>
      </c>
      <c r="C72" s="49">
        <f>'Avg Week Kalerwe-Kampala'!C72+'Avg Week Kampala-Kalerwe'!C72</f>
        <v>49.5</v>
      </c>
      <c r="D72" s="49">
        <f>'Avg Week Kalerwe-Kampala'!D72+'Avg Week Kampala-Kalerwe'!D72</f>
        <v>24.5</v>
      </c>
      <c r="E72" s="49">
        <f>'Avg Week Kalerwe-Kampala'!E72+'Avg Week Kampala-Kalerwe'!E72</f>
        <v>7</v>
      </c>
      <c r="F72" s="49">
        <f>'Avg Week Kalerwe-Kampala'!F72+'Avg Week Kampala-Kalerwe'!F72</f>
        <v>34</v>
      </c>
      <c r="G72" s="49">
        <f>'Avg Week Kalerwe-Kampala'!G72+'Avg Week Kampala-Kalerwe'!G72</f>
        <v>3</v>
      </c>
      <c r="H72" s="49">
        <f>'Avg Week Kalerwe-Kampala'!H72+'Avg Week Kampala-Kalerwe'!H72</f>
        <v>2.5</v>
      </c>
      <c r="I72" s="49">
        <f>'Avg Week Kalerwe-Kampala'!I72+'Avg Week Kampala-Kalerwe'!I72</f>
        <v>5.5</v>
      </c>
      <c r="J72" s="49">
        <f>'Avg Week Kalerwe-Kampala'!J72+'Avg Week Kampala-Kalerwe'!J72</f>
        <v>6.5</v>
      </c>
      <c r="K72" s="49">
        <f>'Avg Week Kalerwe-Kampala'!K72+'Avg Week Kampala-Kalerwe'!K72</f>
        <v>2.5</v>
      </c>
      <c r="L72" s="49">
        <f>'Avg Week Kalerwe-Kampala'!L72+'Avg Week Kampala-Kalerwe'!L72</f>
        <v>2</v>
      </c>
      <c r="M72" s="49">
        <f>'Avg Week Kalerwe-Kampala'!M72+'Avg Week Kampala-Kalerwe'!M72</f>
        <v>149.5</v>
      </c>
      <c r="N72" s="49">
        <f>'Avg Week Kalerwe-Kampala'!N72+'Avg Week Kampala-Kalerwe'!N72</f>
        <v>0</v>
      </c>
      <c r="O72" s="15">
        <f t="shared" si="0"/>
        <v>137</v>
      </c>
      <c r="P72" s="15">
        <f t="shared" si="1"/>
        <v>286.5</v>
      </c>
      <c r="R72" s="8"/>
      <c r="T72"/>
    </row>
    <row r="73" spans="2:20" ht="23.1" customHeight="1" x14ac:dyDescent="0.25">
      <c r="B73" s="23" t="s">
        <v>113</v>
      </c>
      <c r="C73" s="49">
        <f>'Avg Week Kalerwe-Kampala'!C73+'Avg Week Kampala-Kalerwe'!C73</f>
        <v>56.5</v>
      </c>
      <c r="D73" s="49">
        <f>'Avg Week Kalerwe-Kampala'!D73+'Avg Week Kampala-Kalerwe'!D73</f>
        <v>26</v>
      </c>
      <c r="E73" s="49">
        <f>'Avg Week Kalerwe-Kampala'!E73+'Avg Week Kampala-Kalerwe'!E73</f>
        <v>11.5</v>
      </c>
      <c r="F73" s="49">
        <f>'Avg Week Kalerwe-Kampala'!F73+'Avg Week Kampala-Kalerwe'!F73</f>
        <v>54</v>
      </c>
      <c r="G73" s="49">
        <f>'Avg Week Kalerwe-Kampala'!G73+'Avg Week Kampala-Kalerwe'!G73</f>
        <v>10.5</v>
      </c>
      <c r="H73" s="49">
        <f>'Avg Week Kalerwe-Kampala'!H73+'Avg Week Kampala-Kalerwe'!H73</f>
        <v>1.5</v>
      </c>
      <c r="I73" s="49">
        <f>'Avg Week Kalerwe-Kampala'!I73+'Avg Week Kampala-Kalerwe'!I73</f>
        <v>7</v>
      </c>
      <c r="J73" s="49">
        <f>'Avg Week Kalerwe-Kampala'!J73+'Avg Week Kampala-Kalerwe'!J73</f>
        <v>10.5</v>
      </c>
      <c r="K73" s="49">
        <f>'Avg Week Kalerwe-Kampala'!K73+'Avg Week Kampala-Kalerwe'!K73</f>
        <v>3.5</v>
      </c>
      <c r="L73" s="49">
        <f>'Avg Week Kalerwe-Kampala'!L73+'Avg Week Kampala-Kalerwe'!L73</f>
        <v>1</v>
      </c>
      <c r="M73" s="49">
        <f>'Avg Week Kalerwe-Kampala'!M73+'Avg Week Kampala-Kalerwe'!M73</f>
        <v>150</v>
      </c>
      <c r="N73" s="49">
        <f>'Avg Week Kalerwe-Kampala'!N73+'Avg Week Kampala-Kalerwe'!N73</f>
        <v>0</v>
      </c>
      <c r="O73" s="15">
        <f t="shared" si="0"/>
        <v>182</v>
      </c>
      <c r="P73" s="15">
        <f t="shared" si="1"/>
        <v>332</v>
      </c>
      <c r="R73" s="8"/>
      <c r="T73"/>
    </row>
    <row r="74" spans="2:20" ht="23.1" customHeight="1" x14ac:dyDescent="0.25">
      <c r="B74" s="23" t="s">
        <v>114</v>
      </c>
      <c r="C74" s="49">
        <f>'Avg Week Kalerwe-Kampala'!C74+'Avg Week Kampala-Kalerwe'!C74</f>
        <v>62.5</v>
      </c>
      <c r="D74" s="49">
        <f>'Avg Week Kalerwe-Kampala'!D74+'Avg Week Kampala-Kalerwe'!D74</f>
        <v>16</v>
      </c>
      <c r="E74" s="49">
        <f>'Avg Week Kalerwe-Kampala'!E74+'Avg Week Kampala-Kalerwe'!E74</f>
        <v>5</v>
      </c>
      <c r="F74" s="49">
        <f>'Avg Week Kalerwe-Kampala'!F74+'Avg Week Kampala-Kalerwe'!F74</f>
        <v>41.5</v>
      </c>
      <c r="G74" s="49">
        <f>'Avg Week Kalerwe-Kampala'!G74+'Avg Week Kampala-Kalerwe'!G74</f>
        <v>3.5</v>
      </c>
      <c r="H74" s="49">
        <f>'Avg Week Kalerwe-Kampala'!H74+'Avg Week Kampala-Kalerwe'!H74</f>
        <v>3</v>
      </c>
      <c r="I74" s="49">
        <f>'Avg Week Kalerwe-Kampala'!I74+'Avg Week Kampala-Kalerwe'!I74</f>
        <v>4</v>
      </c>
      <c r="J74" s="49">
        <f>'Avg Week Kalerwe-Kampala'!J74+'Avg Week Kampala-Kalerwe'!J74</f>
        <v>5.5</v>
      </c>
      <c r="K74" s="49">
        <f>'Avg Week Kalerwe-Kampala'!K74+'Avg Week Kampala-Kalerwe'!K74</f>
        <v>1.5</v>
      </c>
      <c r="L74" s="49">
        <f>'Avg Week Kalerwe-Kampala'!L74+'Avg Week Kampala-Kalerwe'!L74</f>
        <v>1</v>
      </c>
      <c r="M74" s="49">
        <f>'Avg Week Kalerwe-Kampala'!M74+'Avg Week Kampala-Kalerwe'!M74</f>
        <v>119.5</v>
      </c>
      <c r="N74" s="49">
        <f>'Avg Week Kalerwe-Kampala'!N74+'Avg Week Kampala-Kalerwe'!N74</f>
        <v>0</v>
      </c>
      <c r="O74" s="15">
        <f t="shared" ref="O74:O105" si="35">SUM(C74:L74,N74)</f>
        <v>143.5</v>
      </c>
      <c r="P74" s="15">
        <f t="shared" ref="P74:P105" si="36">SUM(C74:N74)</f>
        <v>263</v>
      </c>
      <c r="R74" s="8"/>
      <c r="T74"/>
    </row>
    <row r="75" spans="2:20" ht="23.1" customHeight="1" x14ac:dyDescent="0.25">
      <c r="B75" s="23" t="s">
        <v>115</v>
      </c>
      <c r="C75" s="49">
        <f>'Avg Week Kalerwe-Kampala'!C75+'Avg Week Kampala-Kalerwe'!C75</f>
        <v>50</v>
      </c>
      <c r="D75" s="49">
        <f>'Avg Week Kalerwe-Kampala'!D75+'Avg Week Kampala-Kalerwe'!D75</f>
        <v>9</v>
      </c>
      <c r="E75" s="49">
        <f>'Avg Week Kalerwe-Kampala'!E75+'Avg Week Kampala-Kalerwe'!E75</f>
        <v>5</v>
      </c>
      <c r="F75" s="49">
        <f>'Avg Week Kalerwe-Kampala'!F75+'Avg Week Kampala-Kalerwe'!F75</f>
        <v>32</v>
      </c>
      <c r="G75" s="49">
        <f>'Avg Week Kalerwe-Kampala'!G75+'Avg Week Kampala-Kalerwe'!G75</f>
        <v>2.5</v>
      </c>
      <c r="H75" s="49">
        <f>'Avg Week Kalerwe-Kampala'!H75+'Avg Week Kampala-Kalerwe'!H75</f>
        <v>2</v>
      </c>
      <c r="I75" s="49">
        <f>'Avg Week Kalerwe-Kampala'!I75+'Avg Week Kampala-Kalerwe'!I75</f>
        <v>6.5</v>
      </c>
      <c r="J75" s="49">
        <f>'Avg Week Kalerwe-Kampala'!J75+'Avg Week Kampala-Kalerwe'!J75</f>
        <v>4.5</v>
      </c>
      <c r="K75" s="49">
        <f>'Avg Week Kalerwe-Kampala'!K75+'Avg Week Kampala-Kalerwe'!K75</f>
        <v>0.5</v>
      </c>
      <c r="L75" s="49">
        <f>'Avg Week Kalerwe-Kampala'!L75+'Avg Week Kampala-Kalerwe'!L75</f>
        <v>3.5</v>
      </c>
      <c r="M75" s="49">
        <f>'Avg Week Kalerwe-Kampala'!M75+'Avg Week Kampala-Kalerwe'!M75</f>
        <v>95.5</v>
      </c>
      <c r="N75" s="49">
        <f>'Avg Week Kalerwe-Kampala'!N75+'Avg Week Kampala-Kalerwe'!N75</f>
        <v>0</v>
      </c>
      <c r="O75" s="15">
        <f t="shared" si="35"/>
        <v>115.5</v>
      </c>
      <c r="P75" s="15">
        <f t="shared" si="36"/>
        <v>211</v>
      </c>
      <c r="R75" s="8"/>
      <c r="T75"/>
    </row>
    <row r="76" spans="2:20" ht="23.1" customHeight="1" x14ac:dyDescent="0.25">
      <c r="B76" s="23" t="s">
        <v>116</v>
      </c>
      <c r="C76" s="49">
        <f>'Avg Week Kalerwe-Kampala'!C76+'Avg Week Kampala-Kalerwe'!C76</f>
        <v>43.5</v>
      </c>
      <c r="D76" s="49">
        <f>'Avg Week Kalerwe-Kampala'!D76+'Avg Week Kampala-Kalerwe'!D76</f>
        <v>13</v>
      </c>
      <c r="E76" s="49">
        <f>'Avg Week Kalerwe-Kampala'!E76+'Avg Week Kampala-Kalerwe'!E76</f>
        <v>9</v>
      </c>
      <c r="F76" s="49">
        <f>'Avg Week Kalerwe-Kampala'!F76+'Avg Week Kampala-Kalerwe'!F76</f>
        <v>35.5</v>
      </c>
      <c r="G76" s="49">
        <f>'Avg Week Kalerwe-Kampala'!G76+'Avg Week Kampala-Kalerwe'!G76</f>
        <v>2</v>
      </c>
      <c r="H76" s="49">
        <f>'Avg Week Kalerwe-Kampala'!H76+'Avg Week Kampala-Kalerwe'!H76</f>
        <v>0</v>
      </c>
      <c r="I76" s="49">
        <f>'Avg Week Kalerwe-Kampala'!I76+'Avg Week Kampala-Kalerwe'!I76</f>
        <v>10.5</v>
      </c>
      <c r="J76" s="49">
        <f>'Avg Week Kalerwe-Kampala'!J76+'Avg Week Kampala-Kalerwe'!J76</f>
        <v>6.5</v>
      </c>
      <c r="K76" s="49">
        <f>'Avg Week Kalerwe-Kampala'!K76+'Avg Week Kampala-Kalerwe'!K76</f>
        <v>3.5</v>
      </c>
      <c r="L76" s="49">
        <f>'Avg Week Kalerwe-Kampala'!L76+'Avg Week Kampala-Kalerwe'!L76</f>
        <v>4.5</v>
      </c>
      <c r="M76" s="49">
        <f>'Avg Week Kalerwe-Kampala'!M76+'Avg Week Kampala-Kalerwe'!M76</f>
        <v>98.5</v>
      </c>
      <c r="N76" s="49">
        <f>'Avg Week Kalerwe-Kampala'!N76+'Avg Week Kampala-Kalerwe'!N76</f>
        <v>0</v>
      </c>
      <c r="O76" s="15">
        <f t="shared" si="35"/>
        <v>128</v>
      </c>
      <c r="P76" s="15">
        <f t="shared" si="36"/>
        <v>226.5</v>
      </c>
      <c r="R76" s="8"/>
      <c r="T76"/>
    </row>
    <row r="77" spans="2:20" ht="23.1" customHeight="1" x14ac:dyDescent="0.25">
      <c r="B77" s="23" t="s">
        <v>117</v>
      </c>
      <c r="C77" s="49">
        <f>'Avg Week Kalerwe-Kampala'!C77+'Avg Week Kampala-Kalerwe'!C77</f>
        <v>35</v>
      </c>
      <c r="D77" s="49">
        <f>'Avg Week Kalerwe-Kampala'!D77+'Avg Week Kampala-Kalerwe'!D77</f>
        <v>12</v>
      </c>
      <c r="E77" s="49">
        <f>'Avg Week Kalerwe-Kampala'!E77+'Avg Week Kampala-Kalerwe'!E77</f>
        <v>2.5</v>
      </c>
      <c r="F77" s="49">
        <f>'Avg Week Kalerwe-Kampala'!F77+'Avg Week Kampala-Kalerwe'!F77</f>
        <v>26</v>
      </c>
      <c r="G77" s="49">
        <f>'Avg Week Kalerwe-Kampala'!G77+'Avg Week Kampala-Kalerwe'!G77</f>
        <v>1</v>
      </c>
      <c r="H77" s="49">
        <f>'Avg Week Kalerwe-Kampala'!H77+'Avg Week Kampala-Kalerwe'!H77</f>
        <v>0.5</v>
      </c>
      <c r="I77" s="49">
        <f>'Avg Week Kalerwe-Kampala'!I77+'Avg Week Kampala-Kalerwe'!I77</f>
        <v>4.5</v>
      </c>
      <c r="J77" s="49">
        <f>'Avg Week Kalerwe-Kampala'!J77+'Avg Week Kampala-Kalerwe'!J77</f>
        <v>5.5</v>
      </c>
      <c r="K77" s="49">
        <f>'Avg Week Kalerwe-Kampala'!K77+'Avg Week Kampala-Kalerwe'!K77</f>
        <v>3</v>
      </c>
      <c r="L77" s="49">
        <f>'Avg Week Kalerwe-Kampala'!L77+'Avg Week Kampala-Kalerwe'!L77</f>
        <v>1</v>
      </c>
      <c r="M77" s="49">
        <f>'Avg Week Kalerwe-Kampala'!M77+'Avg Week Kampala-Kalerwe'!M77</f>
        <v>116.5</v>
      </c>
      <c r="N77" s="49">
        <f>'Avg Week Kalerwe-Kampala'!N77+'Avg Week Kampala-Kalerwe'!N77</f>
        <v>0</v>
      </c>
      <c r="O77" s="15">
        <f t="shared" si="35"/>
        <v>91</v>
      </c>
      <c r="P77" s="15">
        <f t="shared" si="36"/>
        <v>207.5</v>
      </c>
      <c r="R77" s="8"/>
      <c r="T77"/>
    </row>
    <row r="78" spans="2:20" ht="23.1" customHeight="1" x14ac:dyDescent="0.25">
      <c r="B78" s="24" t="s">
        <v>118</v>
      </c>
      <c r="C78" s="49">
        <f>'Avg Week Kalerwe-Kampala'!C78+'Avg Week Kampala-Kalerwe'!C78</f>
        <v>36.5</v>
      </c>
      <c r="D78" s="49">
        <f>'Avg Week Kalerwe-Kampala'!D78+'Avg Week Kampala-Kalerwe'!D78</f>
        <v>9</v>
      </c>
      <c r="E78" s="49">
        <f>'Avg Week Kalerwe-Kampala'!E78+'Avg Week Kampala-Kalerwe'!E78</f>
        <v>1.5</v>
      </c>
      <c r="F78" s="49">
        <f>'Avg Week Kalerwe-Kampala'!F78+'Avg Week Kampala-Kalerwe'!F78</f>
        <v>42.5</v>
      </c>
      <c r="G78" s="49">
        <f>'Avg Week Kalerwe-Kampala'!G78+'Avg Week Kampala-Kalerwe'!G78</f>
        <v>1.5</v>
      </c>
      <c r="H78" s="49">
        <f>'Avg Week Kalerwe-Kampala'!H78+'Avg Week Kampala-Kalerwe'!H78</f>
        <v>1.5</v>
      </c>
      <c r="I78" s="49">
        <f>'Avg Week Kalerwe-Kampala'!I78+'Avg Week Kampala-Kalerwe'!I78</f>
        <v>10.5</v>
      </c>
      <c r="J78" s="49">
        <f>'Avg Week Kalerwe-Kampala'!J78+'Avg Week Kampala-Kalerwe'!J78</f>
        <v>3</v>
      </c>
      <c r="K78" s="49">
        <f>'Avg Week Kalerwe-Kampala'!K78+'Avg Week Kampala-Kalerwe'!K78</f>
        <v>1.5</v>
      </c>
      <c r="L78" s="49">
        <f>'Avg Week Kalerwe-Kampala'!L78+'Avg Week Kampala-Kalerwe'!L78</f>
        <v>0.5</v>
      </c>
      <c r="M78" s="49">
        <f>'Avg Week Kalerwe-Kampala'!M78+'Avg Week Kampala-Kalerwe'!M78</f>
        <v>82.5</v>
      </c>
      <c r="N78" s="49">
        <f>'Avg Week Kalerwe-Kampala'!N78+'Avg Week Kampala-Kalerwe'!N78</f>
        <v>0</v>
      </c>
      <c r="O78" s="15">
        <f t="shared" si="35"/>
        <v>108</v>
      </c>
      <c r="P78" s="15">
        <f t="shared" si="36"/>
        <v>190.5</v>
      </c>
      <c r="R78" s="8"/>
      <c r="T78"/>
    </row>
    <row r="79" spans="2:20" ht="23.1" customHeight="1" x14ac:dyDescent="0.25">
      <c r="B79" s="23" t="s">
        <v>119</v>
      </c>
      <c r="C79" s="49">
        <f>'Avg Week Kalerwe-Kampala'!C79+'Avg Week Kampala-Kalerwe'!C79</f>
        <v>26</v>
      </c>
      <c r="D79" s="49">
        <f>'Avg Week Kalerwe-Kampala'!D79+'Avg Week Kampala-Kalerwe'!D79</f>
        <v>11</v>
      </c>
      <c r="E79" s="49">
        <f>'Avg Week Kalerwe-Kampala'!E79+'Avg Week Kampala-Kalerwe'!E79</f>
        <v>3.5</v>
      </c>
      <c r="F79" s="49">
        <f>'Avg Week Kalerwe-Kampala'!F79+'Avg Week Kampala-Kalerwe'!F79</f>
        <v>18</v>
      </c>
      <c r="G79" s="49">
        <f>'Avg Week Kalerwe-Kampala'!G79+'Avg Week Kampala-Kalerwe'!G79</f>
        <v>1</v>
      </c>
      <c r="H79" s="49">
        <f>'Avg Week Kalerwe-Kampala'!H79+'Avg Week Kampala-Kalerwe'!H79</f>
        <v>0.5</v>
      </c>
      <c r="I79" s="49">
        <f>'Avg Week Kalerwe-Kampala'!I79+'Avg Week Kampala-Kalerwe'!I79</f>
        <v>11</v>
      </c>
      <c r="J79" s="49">
        <f>'Avg Week Kalerwe-Kampala'!J79+'Avg Week Kampala-Kalerwe'!J79</f>
        <v>7.5</v>
      </c>
      <c r="K79" s="49">
        <f>'Avg Week Kalerwe-Kampala'!K79+'Avg Week Kampala-Kalerwe'!K79</f>
        <v>0.5</v>
      </c>
      <c r="L79" s="49">
        <f>'Avg Week Kalerwe-Kampala'!L79+'Avg Week Kampala-Kalerwe'!L79</f>
        <v>2</v>
      </c>
      <c r="M79" s="49">
        <f>'Avg Week Kalerwe-Kampala'!M79+'Avg Week Kampala-Kalerwe'!M79</f>
        <v>95.5</v>
      </c>
      <c r="N79" s="49">
        <f>'Avg Week Kalerwe-Kampala'!N79+'Avg Week Kampala-Kalerwe'!N79</f>
        <v>0</v>
      </c>
      <c r="O79" s="15">
        <f t="shared" si="35"/>
        <v>81</v>
      </c>
      <c r="P79" s="15">
        <f t="shared" si="36"/>
        <v>176.5</v>
      </c>
      <c r="R79" s="8"/>
      <c r="T79"/>
    </row>
    <row r="80" spans="2:20" ht="23.1" customHeight="1" x14ac:dyDescent="0.25">
      <c r="B80" s="25" t="s">
        <v>120</v>
      </c>
      <c r="C80" s="49">
        <f>'Avg Week Kalerwe-Kampala'!C80+'Avg Week Kampala-Kalerwe'!C80</f>
        <v>27.5</v>
      </c>
      <c r="D80" s="49">
        <f>'Avg Week Kalerwe-Kampala'!D80+'Avg Week Kampala-Kalerwe'!D80</f>
        <v>10</v>
      </c>
      <c r="E80" s="49">
        <f>'Avg Week Kalerwe-Kampala'!E80+'Avg Week Kampala-Kalerwe'!E80</f>
        <v>8.5</v>
      </c>
      <c r="F80" s="49">
        <f>'Avg Week Kalerwe-Kampala'!F80+'Avg Week Kampala-Kalerwe'!F80</f>
        <v>23</v>
      </c>
      <c r="G80" s="49">
        <f>'Avg Week Kalerwe-Kampala'!G80+'Avg Week Kampala-Kalerwe'!G80</f>
        <v>0.5</v>
      </c>
      <c r="H80" s="49">
        <f>'Avg Week Kalerwe-Kampala'!H80+'Avg Week Kampala-Kalerwe'!H80</f>
        <v>1</v>
      </c>
      <c r="I80" s="49">
        <f>'Avg Week Kalerwe-Kampala'!I80+'Avg Week Kampala-Kalerwe'!I80</f>
        <v>3</v>
      </c>
      <c r="J80" s="49">
        <f>'Avg Week Kalerwe-Kampala'!J80+'Avg Week Kampala-Kalerwe'!J80</f>
        <v>7</v>
      </c>
      <c r="K80" s="49">
        <f>'Avg Week Kalerwe-Kampala'!K80+'Avg Week Kampala-Kalerwe'!K80</f>
        <v>3</v>
      </c>
      <c r="L80" s="49">
        <f>'Avg Week Kalerwe-Kampala'!L80+'Avg Week Kampala-Kalerwe'!L80</f>
        <v>4</v>
      </c>
      <c r="M80" s="49">
        <f>'Avg Week Kalerwe-Kampala'!M80+'Avg Week Kampala-Kalerwe'!M80</f>
        <v>93.5</v>
      </c>
      <c r="N80" s="49">
        <f>'Avg Week Kalerwe-Kampala'!N80+'Avg Week Kampala-Kalerwe'!N80</f>
        <v>0</v>
      </c>
      <c r="O80" s="15">
        <f t="shared" si="35"/>
        <v>87.5</v>
      </c>
      <c r="P80" s="15">
        <f t="shared" si="36"/>
        <v>181</v>
      </c>
      <c r="R80" s="8"/>
      <c r="T80"/>
    </row>
    <row r="81" spans="2:20" ht="23.1" customHeight="1" x14ac:dyDescent="0.25">
      <c r="B81" s="23" t="s">
        <v>121</v>
      </c>
      <c r="C81" s="49">
        <f>'Avg Week Kalerwe-Kampala'!C81+'Avg Week Kampala-Kalerwe'!C81</f>
        <v>34</v>
      </c>
      <c r="D81" s="49">
        <f>'Avg Week Kalerwe-Kampala'!D81+'Avg Week Kampala-Kalerwe'!D81</f>
        <v>14.5</v>
      </c>
      <c r="E81" s="49">
        <f>'Avg Week Kalerwe-Kampala'!E81+'Avg Week Kampala-Kalerwe'!E81</f>
        <v>2</v>
      </c>
      <c r="F81" s="49">
        <f>'Avg Week Kalerwe-Kampala'!F81+'Avg Week Kampala-Kalerwe'!F81</f>
        <v>23</v>
      </c>
      <c r="G81" s="49">
        <f>'Avg Week Kalerwe-Kampala'!G81+'Avg Week Kampala-Kalerwe'!G81</f>
        <v>0</v>
      </c>
      <c r="H81" s="49">
        <f>'Avg Week Kalerwe-Kampala'!H81+'Avg Week Kampala-Kalerwe'!H81</f>
        <v>0</v>
      </c>
      <c r="I81" s="49">
        <f>'Avg Week Kalerwe-Kampala'!I81+'Avg Week Kampala-Kalerwe'!I81</f>
        <v>11</v>
      </c>
      <c r="J81" s="49">
        <f>'Avg Week Kalerwe-Kampala'!J81+'Avg Week Kampala-Kalerwe'!J81</f>
        <v>5</v>
      </c>
      <c r="K81" s="49">
        <f>'Avg Week Kalerwe-Kampala'!K81+'Avg Week Kampala-Kalerwe'!K81</f>
        <v>2</v>
      </c>
      <c r="L81" s="49">
        <f>'Avg Week Kalerwe-Kampala'!L81+'Avg Week Kampala-Kalerwe'!L81</f>
        <v>2.5</v>
      </c>
      <c r="M81" s="49">
        <f>'Avg Week Kalerwe-Kampala'!M81+'Avg Week Kampala-Kalerwe'!M81</f>
        <v>93.5</v>
      </c>
      <c r="N81" s="49">
        <f>'Avg Week Kalerwe-Kampala'!N81+'Avg Week Kampala-Kalerwe'!N81</f>
        <v>0</v>
      </c>
      <c r="O81" s="15">
        <f t="shared" si="35"/>
        <v>94</v>
      </c>
      <c r="P81" s="15">
        <f t="shared" si="36"/>
        <v>187.5</v>
      </c>
      <c r="R81" s="8"/>
      <c r="T81"/>
    </row>
    <row r="82" spans="2:20" ht="23.1" customHeight="1" x14ac:dyDescent="0.25">
      <c r="B82" s="24" t="s">
        <v>122</v>
      </c>
      <c r="C82" s="49">
        <f>'Avg Week Kalerwe-Kampala'!C82+'Avg Week Kampala-Kalerwe'!C82</f>
        <v>51.5</v>
      </c>
      <c r="D82" s="49">
        <f>'Avg Week Kalerwe-Kampala'!D82+'Avg Week Kampala-Kalerwe'!D82</f>
        <v>7</v>
      </c>
      <c r="E82" s="49">
        <f>'Avg Week Kalerwe-Kampala'!E82+'Avg Week Kampala-Kalerwe'!E82</f>
        <v>2.5</v>
      </c>
      <c r="F82" s="49">
        <f>'Avg Week Kalerwe-Kampala'!F82+'Avg Week Kampala-Kalerwe'!F82</f>
        <v>14</v>
      </c>
      <c r="G82" s="49">
        <f>'Avg Week Kalerwe-Kampala'!G82+'Avg Week Kampala-Kalerwe'!G82</f>
        <v>2.5</v>
      </c>
      <c r="H82" s="49">
        <f>'Avg Week Kalerwe-Kampala'!H82+'Avg Week Kampala-Kalerwe'!H82</f>
        <v>1.5</v>
      </c>
      <c r="I82" s="49">
        <f>'Avg Week Kalerwe-Kampala'!I82+'Avg Week Kampala-Kalerwe'!I82</f>
        <v>10.5</v>
      </c>
      <c r="J82" s="49">
        <f>'Avg Week Kalerwe-Kampala'!J82+'Avg Week Kampala-Kalerwe'!J82</f>
        <v>7.5</v>
      </c>
      <c r="K82" s="49">
        <f>'Avg Week Kalerwe-Kampala'!K82+'Avg Week Kampala-Kalerwe'!K82</f>
        <v>3</v>
      </c>
      <c r="L82" s="49">
        <f>'Avg Week Kalerwe-Kampala'!L82+'Avg Week Kampala-Kalerwe'!L82</f>
        <v>1</v>
      </c>
      <c r="M82" s="49">
        <f>'Avg Week Kalerwe-Kampala'!M82+'Avg Week Kampala-Kalerwe'!M82</f>
        <v>72.5</v>
      </c>
      <c r="N82" s="49">
        <f>'Avg Week Kalerwe-Kampala'!N82+'Avg Week Kampala-Kalerwe'!N82</f>
        <v>0</v>
      </c>
      <c r="O82" s="15">
        <f t="shared" si="35"/>
        <v>101</v>
      </c>
      <c r="P82" s="15">
        <f t="shared" si="36"/>
        <v>173.5</v>
      </c>
      <c r="R82" s="8"/>
      <c r="T82"/>
    </row>
    <row r="83" spans="2:20" ht="23.1" customHeight="1" x14ac:dyDescent="0.25">
      <c r="B83" s="23" t="s">
        <v>123</v>
      </c>
      <c r="C83" s="49">
        <f>'Avg Week Kalerwe-Kampala'!C83+'Avg Week Kampala-Kalerwe'!C83</f>
        <v>39</v>
      </c>
      <c r="D83" s="49">
        <f>'Avg Week Kalerwe-Kampala'!D83+'Avg Week Kampala-Kalerwe'!D83</f>
        <v>16.5</v>
      </c>
      <c r="E83" s="49">
        <f>'Avg Week Kalerwe-Kampala'!E83+'Avg Week Kampala-Kalerwe'!E83</f>
        <v>2</v>
      </c>
      <c r="F83" s="49">
        <f>'Avg Week Kalerwe-Kampala'!F83+'Avg Week Kampala-Kalerwe'!F83</f>
        <v>10.5</v>
      </c>
      <c r="G83" s="49">
        <f>'Avg Week Kalerwe-Kampala'!G83+'Avg Week Kampala-Kalerwe'!G83</f>
        <v>1.5</v>
      </c>
      <c r="H83" s="49">
        <f>'Avg Week Kalerwe-Kampala'!H83+'Avg Week Kampala-Kalerwe'!H83</f>
        <v>1</v>
      </c>
      <c r="I83" s="49">
        <f>'Avg Week Kalerwe-Kampala'!I83+'Avg Week Kampala-Kalerwe'!I83</f>
        <v>6</v>
      </c>
      <c r="J83" s="49">
        <f>'Avg Week Kalerwe-Kampala'!J83+'Avg Week Kampala-Kalerwe'!J83</f>
        <v>8</v>
      </c>
      <c r="K83" s="49">
        <f>'Avg Week Kalerwe-Kampala'!K83+'Avg Week Kampala-Kalerwe'!K83</f>
        <v>2.5</v>
      </c>
      <c r="L83" s="49">
        <f>'Avg Week Kalerwe-Kampala'!L83+'Avg Week Kampala-Kalerwe'!L83</f>
        <v>0.5</v>
      </c>
      <c r="M83" s="49">
        <f>'Avg Week Kalerwe-Kampala'!M83+'Avg Week Kampala-Kalerwe'!M83</f>
        <v>78</v>
      </c>
      <c r="N83" s="49">
        <f>'Avg Week Kalerwe-Kampala'!N83+'Avg Week Kampala-Kalerwe'!N83</f>
        <v>0</v>
      </c>
      <c r="O83" s="15">
        <f t="shared" si="35"/>
        <v>87.5</v>
      </c>
      <c r="P83" s="15">
        <f t="shared" si="36"/>
        <v>165.5</v>
      </c>
      <c r="R83" s="8"/>
      <c r="T83"/>
    </row>
    <row r="84" spans="2:20" ht="23.1" customHeight="1" x14ac:dyDescent="0.25">
      <c r="B84" s="25" t="s">
        <v>124</v>
      </c>
      <c r="C84" s="49">
        <f>'Avg Week Kalerwe-Kampala'!C84+'Avg Week Kampala-Kalerwe'!C84</f>
        <v>37.5</v>
      </c>
      <c r="D84" s="49">
        <f>'Avg Week Kalerwe-Kampala'!D84+'Avg Week Kampala-Kalerwe'!D84</f>
        <v>21.5</v>
      </c>
      <c r="E84" s="49">
        <f>'Avg Week Kalerwe-Kampala'!E84+'Avg Week Kampala-Kalerwe'!E84</f>
        <v>2.5</v>
      </c>
      <c r="F84" s="49">
        <f>'Avg Week Kalerwe-Kampala'!F84+'Avg Week Kampala-Kalerwe'!F84</f>
        <v>8.5</v>
      </c>
      <c r="G84" s="49">
        <f>'Avg Week Kalerwe-Kampala'!G84+'Avg Week Kampala-Kalerwe'!G84</f>
        <v>0.5</v>
      </c>
      <c r="H84" s="49">
        <f>'Avg Week Kalerwe-Kampala'!H84+'Avg Week Kampala-Kalerwe'!H84</f>
        <v>0.5</v>
      </c>
      <c r="I84" s="49">
        <f>'Avg Week Kalerwe-Kampala'!I84+'Avg Week Kampala-Kalerwe'!I84</f>
        <v>4</v>
      </c>
      <c r="J84" s="49">
        <f>'Avg Week Kalerwe-Kampala'!J84+'Avg Week Kampala-Kalerwe'!J84</f>
        <v>3</v>
      </c>
      <c r="K84" s="49">
        <f>'Avg Week Kalerwe-Kampala'!K84+'Avg Week Kampala-Kalerwe'!K84</f>
        <v>3</v>
      </c>
      <c r="L84" s="49">
        <f>'Avg Week Kalerwe-Kampala'!L84+'Avg Week Kampala-Kalerwe'!L84</f>
        <v>1</v>
      </c>
      <c r="M84" s="49">
        <f>'Avg Week Kalerwe-Kampala'!M84+'Avg Week Kampala-Kalerwe'!M84</f>
        <v>65.5</v>
      </c>
      <c r="N84" s="49">
        <f>'Avg Week Kalerwe-Kampala'!N84+'Avg Week Kampala-Kalerwe'!N84</f>
        <v>0</v>
      </c>
      <c r="O84" s="15">
        <f t="shared" si="35"/>
        <v>82</v>
      </c>
      <c r="P84" s="15">
        <f t="shared" si="36"/>
        <v>147.5</v>
      </c>
      <c r="R84" s="8"/>
      <c r="T84"/>
    </row>
    <row r="85" spans="2:20" ht="23.1" customHeight="1" x14ac:dyDescent="0.25">
      <c r="B85" s="23" t="s">
        <v>125</v>
      </c>
      <c r="C85" s="49">
        <f>'Avg Week Kalerwe-Kampala'!C85+'Avg Week Kampala-Kalerwe'!C85</f>
        <v>25</v>
      </c>
      <c r="D85" s="49">
        <f>'Avg Week Kalerwe-Kampala'!D85+'Avg Week Kampala-Kalerwe'!D85</f>
        <v>18.5</v>
      </c>
      <c r="E85" s="49">
        <f>'Avg Week Kalerwe-Kampala'!E85+'Avg Week Kampala-Kalerwe'!E85</f>
        <v>1</v>
      </c>
      <c r="F85" s="49">
        <f>'Avg Week Kalerwe-Kampala'!F85+'Avg Week Kampala-Kalerwe'!F85</f>
        <v>12</v>
      </c>
      <c r="G85" s="49">
        <f>'Avg Week Kalerwe-Kampala'!G85+'Avg Week Kampala-Kalerwe'!G85</f>
        <v>2</v>
      </c>
      <c r="H85" s="49">
        <f>'Avg Week Kalerwe-Kampala'!H85+'Avg Week Kampala-Kalerwe'!H85</f>
        <v>1.5</v>
      </c>
      <c r="I85" s="49">
        <f>'Avg Week Kalerwe-Kampala'!I85+'Avg Week Kampala-Kalerwe'!I85</f>
        <v>5.5</v>
      </c>
      <c r="J85" s="49">
        <f>'Avg Week Kalerwe-Kampala'!J85+'Avg Week Kampala-Kalerwe'!J85</f>
        <v>4</v>
      </c>
      <c r="K85" s="49">
        <f>'Avg Week Kalerwe-Kampala'!K85+'Avg Week Kampala-Kalerwe'!K85</f>
        <v>3</v>
      </c>
      <c r="L85" s="49">
        <f>'Avg Week Kalerwe-Kampala'!L85+'Avg Week Kampala-Kalerwe'!L85</f>
        <v>0</v>
      </c>
      <c r="M85" s="49">
        <f>'Avg Week Kalerwe-Kampala'!M85+'Avg Week Kampala-Kalerwe'!M85</f>
        <v>77</v>
      </c>
      <c r="N85" s="49">
        <f>'Avg Week Kalerwe-Kampala'!N85+'Avg Week Kampala-Kalerwe'!N85</f>
        <v>0</v>
      </c>
      <c r="O85" s="15">
        <f t="shared" si="35"/>
        <v>72.5</v>
      </c>
      <c r="P85" s="15">
        <f t="shared" si="36"/>
        <v>149.5</v>
      </c>
      <c r="R85" s="8"/>
      <c r="T85"/>
    </row>
    <row r="86" spans="2:20" ht="23.1" customHeight="1" x14ac:dyDescent="0.25">
      <c r="B86" s="24" t="s">
        <v>126</v>
      </c>
      <c r="C86" s="49">
        <f>'Avg Week Kalerwe-Kampala'!C86+'Avg Week Kampala-Kalerwe'!C86</f>
        <v>19.5</v>
      </c>
      <c r="D86" s="49">
        <f>'Avg Week Kalerwe-Kampala'!D86+'Avg Week Kampala-Kalerwe'!D86</f>
        <v>3</v>
      </c>
      <c r="E86" s="49">
        <f>'Avg Week Kalerwe-Kampala'!E86+'Avg Week Kampala-Kalerwe'!E86</f>
        <v>1.5</v>
      </c>
      <c r="F86" s="49">
        <f>'Avg Week Kalerwe-Kampala'!F86+'Avg Week Kampala-Kalerwe'!F86</f>
        <v>8</v>
      </c>
      <c r="G86" s="49">
        <f>'Avg Week Kalerwe-Kampala'!G86+'Avg Week Kampala-Kalerwe'!G86</f>
        <v>0.5</v>
      </c>
      <c r="H86" s="49">
        <f>'Avg Week Kalerwe-Kampala'!H86+'Avg Week Kampala-Kalerwe'!H86</f>
        <v>0.5</v>
      </c>
      <c r="I86" s="49">
        <f>'Avg Week Kalerwe-Kampala'!I86+'Avg Week Kampala-Kalerwe'!I86</f>
        <v>5.5</v>
      </c>
      <c r="J86" s="49">
        <f>'Avg Week Kalerwe-Kampala'!J86+'Avg Week Kampala-Kalerwe'!J86</f>
        <v>8</v>
      </c>
      <c r="K86" s="49">
        <f>'Avg Week Kalerwe-Kampala'!K86+'Avg Week Kampala-Kalerwe'!K86</f>
        <v>1.5</v>
      </c>
      <c r="L86" s="49">
        <f>'Avg Week Kalerwe-Kampala'!L86+'Avg Week Kampala-Kalerwe'!L86</f>
        <v>0.5</v>
      </c>
      <c r="M86" s="49">
        <f>'Avg Week Kalerwe-Kampala'!M86+'Avg Week Kampala-Kalerwe'!M86</f>
        <v>72.5</v>
      </c>
      <c r="N86" s="49">
        <f>'Avg Week Kalerwe-Kampala'!N86+'Avg Week Kampala-Kalerwe'!N86</f>
        <v>0</v>
      </c>
      <c r="O86" s="15">
        <f t="shared" si="35"/>
        <v>48.5</v>
      </c>
      <c r="P86" s="15">
        <f t="shared" si="36"/>
        <v>121</v>
      </c>
      <c r="R86" s="8"/>
      <c r="T86"/>
    </row>
    <row r="87" spans="2:20" ht="23.1" customHeight="1" x14ac:dyDescent="0.25">
      <c r="B87" s="23" t="s">
        <v>127</v>
      </c>
      <c r="C87" s="49">
        <f>'Avg Week Kalerwe-Kampala'!C87+'Avg Week Kampala-Kalerwe'!C87</f>
        <v>31</v>
      </c>
      <c r="D87" s="49">
        <f>'Avg Week Kalerwe-Kampala'!D87+'Avg Week Kampala-Kalerwe'!D87</f>
        <v>8</v>
      </c>
      <c r="E87" s="49">
        <f>'Avg Week Kalerwe-Kampala'!E87+'Avg Week Kampala-Kalerwe'!E87</f>
        <v>3.5</v>
      </c>
      <c r="F87" s="49">
        <f>'Avg Week Kalerwe-Kampala'!F87+'Avg Week Kampala-Kalerwe'!F87</f>
        <v>10</v>
      </c>
      <c r="G87" s="49">
        <f>'Avg Week Kalerwe-Kampala'!G87+'Avg Week Kampala-Kalerwe'!G87</f>
        <v>1</v>
      </c>
      <c r="H87" s="49">
        <f>'Avg Week Kalerwe-Kampala'!H87+'Avg Week Kampala-Kalerwe'!H87</f>
        <v>0</v>
      </c>
      <c r="I87" s="49">
        <f>'Avg Week Kalerwe-Kampala'!I87+'Avg Week Kampala-Kalerwe'!I87</f>
        <v>3.5</v>
      </c>
      <c r="J87" s="49">
        <f>'Avg Week Kalerwe-Kampala'!J87+'Avg Week Kampala-Kalerwe'!J87</f>
        <v>8</v>
      </c>
      <c r="K87" s="49">
        <f>'Avg Week Kalerwe-Kampala'!K87+'Avg Week Kampala-Kalerwe'!K87</f>
        <v>2</v>
      </c>
      <c r="L87" s="49">
        <f>'Avg Week Kalerwe-Kampala'!L87+'Avg Week Kampala-Kalerwe'!L87</f>
        <v>0.5</v>
      </c>
      <c r="M87" s="49">
        <f>'Avg Week Kalerwe-Kampala'!M87+'Avg Week Kampala-Kalerwe'!M87</f>
        <v>51</v>
      </c>
      <c r="N87" s="49">
        <f>'Avg Week Kalerwe-Kampala'!N87+'Avg Week Kampala-Kalerwe'!N87</f>
        <v>0</v>
      </c>
      <c r="O87" s="15">
        <f t="shared" si="35"/>
        <v>67.5</v>
      </c>
      <c r="P87" s="15">
        <f t="shared" si="36"/>
        <v>118.5</v>
      </c>
      <c r="R87" s="8"/>
      <c r="T87"/>
    </row>
    <row r="88" spans="2:20" ht="23.1" customHeight="1" x14ac:dyDescent="0.25">
      <c r="B88" s="25" t="s">
        <v>128</v>
      </c>
      <c r="C88" s="49">
        <f>'Avg Week Kalerwe-Kampala'!C88+'Avg Week Kampala-Kalerwe'!C88</f>
        <v>40.5</v>
      </c>
      <c r="D88" s="49">
        <f>'Avg Week Kalerwe-Kampala'!D88+'Avg Week Kampala-Kalerwe'!D88</f>
        <v>8</v>
      </c>
      <c r="E88" s="49">
        <f>'Avg Week Kalerwe-Kampala'!E88+'Avg Week Kampala-Kalerwe'!E88</f>
        <v>2.5</v>
      </c>
      <c r="F88" s="49">
        <f>'Avg Week Kalerwe-Kampala'!F88+'Avg Week Kampala-Kalerwe'!F88</f>
        <v>12.5</v>
      </c>
      <c r="G88" s="49">
        <f>'Avg Week Kalerwe-Kampala'!G88+'Avg Week Kampala-Kalerwe'!G88</f>
        <v>1.5</v>
      </c>
      <c r="H88" s="49">
        <f>'Avg Week Kalerwe-Kampala'!H88+'Avg Week Kampala-Kalerwe'!H88</f>
        <v>2.5</v>
      </c>
      <c r="I88" s="49">
        <f>'Avg Week Kalerwe-Kampala'!I88+'Avg Week Kampala-Kalerwe'!I88</f>
        <v>8.5</v>
      </c>
      <c r="J88" s="49">
        <f>'Avg Week Kalerwe-Kampala'!J88+'Avg Week Kampala-Kalerwe'!J88</f>
        <v>6</v>
      </c>
      <c r="K88" s="49">
        <f>'Avg Week Kalerwe-Kampala'!K88+'Avg Week Kampala-Kalerwe'!K88</f>
        <v>2</v>
      </c>
      <c r="L88" s="49">
        <f>'Avg Week Kalerwe-Kampala'!L88+'Avg Week Kampala-Kalerwe'!L88</f>
        <v>0</v>
      </c>
      <c r="M88" s="49">
        <f>'Avg Week Kalerwe-Kampala'!M88+'Avg Week Kampala-Kalerwe'!M88</f>
        <v>68</v>
      </c>
      <c r="N88" s="49">
        <f>'Avg Week Kalerwe-Kampala'!N88+'Avg Week Kampala-Kalerwe'!N88</f>
        <v>0</v>
      </c>
      <c r="O88" s="15">
        <f t="shared" si="35"/>
        <v>84</v>
      </c>
      <c r="P88" s="15">
        <f t="shared" si="36"/>
        <v>152</v>
      </c>
      <c r="R88" s="8"/>
      <c r="T88"/>
    </row>
    <row r="89" spans="2:20" ht="23.1" customHeight="1" x14ac:dyDescent="0.25">
      <c r="B89" s="23" t="s">
        <v>129</v>
      </c>
      <c r="C89" s="49">
        <f>'Avg Week Kalerwe-Kampala'!C89+'Avg Week Kampala-Kalerwe'!C89</f>
        <v>38</v>
      </c>
      <c r="D89" s="49">
        <f>'Avg Week Kalerwe-Kampala'!D89+'Avg Week Kampala-Kalerwe'!D89</f>
        <v>11.5</v>
      </c>
      <c r="E89" s="49">
        <f>'Avg Week Kalerwe-Kampala'!E89+'Avg Week Kampala-Kalerwe'!E89</f>
        <v>1</v>
      </c>
      <c r="F89" s="49">
        <f>'Avg Week Kalerwe-Kampala'!F89+'Avg Week Kampala-Kalerwe'!F89</f>
        <v>13.5</v>
      </c>
      <c r="G89" s="49">
        <f>'Avg Week Kalerwe-Kampala'!G89+'Avg Week Kampala-Kalerwe'!G89</f>
        <v>0.5</v>
      </c>
      <c r="H89" s="49">
        <f>'Avg Week Kalerwe-Kampala'!H89+'Avg Week Kampala-Kalerwe'!H89</f>
        <v>0</v>
      </c>
      <c r="I89" s="49">
        <f>'Avg Week Kalerwe-Kampala'!I89+'Avg Week Kampala-Kalerwe'!I89</f>
        <v>2</v>
      </c>
      <c r="J89" s="49">
        <f>'Avg Week Kalerwe-Kampala'!J89+'Avg Week Kampala-Kalerwe'!J89</f>
        <v>5</v>
      </c>
      <c r="K89" s="49">
        <f>'Avg Week Kalerwe-Kampala'!K89+'Avg Week Kampala-Kalerwe'!K89</f>
        <v>4</v>
      </c>
      <c r="L89" s="49">
        <f>'Avg Week Kalerwe-Kampala'!L89+'Avg Week Kampala-Kalerwe'!L89</f>
        <v>0</v>
      </c>
      <c r="M89" s="49">
        <f>'Avg Week Kalerwe-Kampala'!M89+'Avg Week Kampala-Kalerwe'!M89</f>
        <v>80.5</v>
      </c>
      <c r="N89" s="49">
        <f>'Avg Week Kalerwe-Kampala'!N89+'Avg Week Kampala-Kalerwe'!N89</f>
        <v>0</v>
      </c>
      <c r="O89" s="15">
        <f t="shared" si="35"/>
        <v>75.5</v>
      </c>
      <c r="P89" s="15">
        <f t="shared" si="36"/>
        <v>156</v>
      </c>
      <c r="R89" s="8"/>
      <c r="T89"/>
    </row>
    <row r="90" spans="2:20" ht="23.1" customHeight="1" x14ac:dyDescent="0.25">
      <c r="B90" s="24" t="s">
        <v>130</v>
      </c>
      <c r="C90" s="49">
        <f>'Avg Week Kalerwe-Kampala'!C90+'Avg Week Kampala-Kalerwe'!C90</f>
        <v>27</v>
      </c>
      <c r="D90" s="49">
        <f>'Avg Week Kalerwe-Kampala'!D90+'Avg Week Kampala-Kalerwe'!D90</f>
        <v>2.5</v>
      </c>
      <c r="E90" s="49">
        <f>'Avg Week Kalerwe-Kampala'!E90+'Avg Week Kampala-Kalerwe'!E90</f>
        <v>1.5</v>
      </c>
      <c r="F90" s="49">
        <f>'Avg Week Kalerwe-Kampala'!F90+'Avg Week Kampala-Kalerwe'!F90</f>
        <v>22</v>
      </c>
      <c r="G90" s="49">
        <f>'Avg Week Kalerwe-Kampala'!G90+'Avg Week Kampala-Kalerwe'!G90</f>
        <v>2</v>
      </c>
      <c r="H90" s="49">
        <f>'Avg Week Kalerwe-Kampala'!H90+'Avg Week Kampala-Kalerwe'!H90</f>
        <v>7.5</v>
      </c>
      <c r="I90" s="49">
        <f>'Avg Week Kalerwe-Kampala'!I90+'Avg Week Kampala-Kalerwe'!I90</f>
        <v>3.5</v>
      </c>
      <c r="J90" s="49">
        <f>'Avg Week Kalerwe-Kampala'!J90+'Avg Week Kampala-Kalerwe'!J90</f>
        <v>5.5</v>
      </c>
      <c r="K90" s="49">
        <f>'Avg Week Kalerwe-Kampala'!K90+'Avg Week Kampala-Kalerwe'!K90</f>
        <v>2.5</v>
      </c>
      <c r="L90" s="49">
        <f>'Avg Week Kalerwe-Kampala'!L90+'Avg Week Kampala-Kalerwe'!L90</f>
        <v>0</v>
      </c>
      <c r="M90" s="49">
        <f>'Avg Week Kalerwe-Kampala'!M90+'Avg Week Kampala-Kalerwe'!M90</f>
        <v>51</v>
      </c>
      <c r="N90" s="49">
        <f>'Avg Week Kalerwe-Kampala'!N90+'Avg Week Kampala-Kalerwe'!N90</f>
        <v>0</v>
      </c>
      <c r="O90" s="15">
        <f t="shared" si="35"/>
        <v>74</v>
      </c>
      <c r="P90" s="15">
        <f t="shared" si="36"/>
        <v>125</v>
      </c>
      <c r="R90" s="8"/>
      <c r="T90"/>
    </row>
    <row r="91" spans="2:20" ht="23.1" customHeight="1" x14ac:dyDescent="0.25">
      <c r="B91" s="23" t="s">
        <v>131</v>
      </c>
      <c r="C91" s="49">
        <f>'Avg Week Kalerwe-Kampala'!C91+'Avg Week Kampala-Kalerwe'!C91</f>
        <v>27.5</v>
      </c>
      <c r="D91" s="49">
        <f>'Avg Week Kalerwe-Kampala'!D91+'Avg Week Kampala-Kalerwe'!D91</f>
        <v>5.5</v>
      </c>
      <c r="E91" s="49">
        <f>'Avg Week Kalerwe-Kampala'!E91+'Avg Week Kampala-Kalerwe'!E91</f>
        <v>4</v>
      </c>
      <c r="F91" s="49">
        <f>'Avg Week Kalerwe-Kampala'!F91+'Avg Week Kampala-Kalerwe'!F91</f>
        <v>8.5</v>
      </c>
      <c r="G91" s="49">
        <f>'Avg Week Kalerwe-Kampala'!G91+'Avg Week Kampala-Kalerwe'!G91</f>
        <v>5.5</v>
      </c>
      <c r="H91" s="49">
        <f>'Avg Week Kalerwe-Kampala'!H91+'Avg Week Kampala-Kalerwe'!H91</f>
        <v>2.5</v>
      </c>
      <c r="I91" s="49">
        <f>'Avg Week Kalerwe-Kampala'!I91+'Avg Week Kampala-Kalerwe'!I91</f>
        <v>7</v>
      </c>
      <c r="J91" s="49">
        <f>'Avg Week Kalerwe-Kampala'!J91+'Avg Week Kampala-Kalerwe'!J91</f>
        <v>4</v>
      </c>
      <c r="K91" s="49">
        <f>'Avg Week Kalerwe-Kampala'!K91+'Avg Week Kampala-Kalerwe'!K91</f>
        <v>1</v>
      </c>
      <c r="L91" s="49">
        <f>'Avg Week Kalerwe-Kampala'!L91+'Avg Week Kampala-Kalerwe'!L91</f>
        <v>0</v>
      </c>
      <c r="M91" s="49">
        <f>'Avg Week Kalerwe-Kampala'!M91+'Avg Week Kampala-Kalerwe'!M91</f>
        <v>47</v>
      </c>
      <c r="N91" s="49">
        <f>'Avg Week Kalerwe-Kampala'!N91+'Avg Week Kampala-Kalerwe'!N91</f>
        <v>0</v>
      </c>
      <c r="O91" s="15">
        <f t="shared" si="35"/>
        <v>65.5</v>
      </c>
      <c r="P91" s="15">
        <f t="shared" si="36"/>
        <v>112.5</v>
      </c>
      <c r="R91" s="8"/>
      <c r="T91"/>
    </row>
    <row r="92" spans="2:20" ht="23.1" customHeight="1" x14ac:dyDescent="0.25">
      <c r="B92" s="25" t="s">
        <v>132</v>
      </c>
      <c r="C92" s="49">
        <f>'Avg Week Kalerwe-Kampala'!C92+'Avg Week Kampala-Kalerwe'!C92</f>
        <v>23.5</v>
      </c>
      <c r="D92" s="49">
        <f>'Avg Week Kalerwe-Kampala'!D92+'Avg Week Kampala-Kalerwe'!D92</f>
        <v>3</v>
      </c>
      <c r="E92" s="49">
        <f>'Avg Week Kalerwe-Kampala'!E92+'Avg Week Kampala-Kalerwe'!E92</f>
        <v>6.5</v>
      </c>
      <c r="F92" s="49">
        <f>'Avg Week Kalerwe-Kampala'!F92+'Avg Week Kampala-Kalerwe'!F92</f>
        <v>6</v>
      </c>
      <c r="G92" s="49">
        <f>'Avg Week Kalerwe-Kampala'!G92+'Avg Week Kampala-Kalerwe'!G92</f>
        <v>1</v>
      </c>
      <c r="H92" s="49">
        <f>'Avg Week Kalerwe-Kampala'!H92+'Avg Week Kampala-Kalerwe'!H92</f>
        <v>0</v>
      </c>
      <c r="I92" s="49">
        <f>'Avg Week Kalerwe-Kampala'!I92+'Avg Week Kampala-Kalerwe'!I92</f>
        <v>1</v>
      </c>
      <c r="J92" s="49">
        <f>'Avg Week Kalerwe-Kampala'!J92+'Avg Week Kampala-Kalerwe'!J92</f>
        <v>6.5</v>
      </c>
      <c r="K92" s="49">
        <f>'Avg Week Kalerwe-Kampala'!K92+'Avg Week Kampala-Kalerwe'!K92</f>
        <v>1.5</v>
      </c>
      <c r="L92" s="49">
        <f>'Avg Week Kalerwe-Kampala'!L92+'Avg Week Kampala-Kalerwe'!L92</f>
        <v>0.5</v>
      </c>
      <c r="M92" s="49">
        <f>'Avg Week Kalerwe-Kampala'!M92+'Avg Week Kampala-Kalerwe'!M92</f>
        <v>41.5</v>
      </c>
      <c r="N92" s="49">
        <f>'Avg Week Kalerwe-Kampala'!N92+'Avg Week Kampala-Kalerwe'!N92</f>
        <v>0</v>
      </c>
      <c r="O92" s="15">
        <f t="shared" si="35"/>
        <v>49.5</v>
      </c>
      <c r="P92" s="15">
        <f t="shared" si="36"/>
        <v>91</v>
      </c>
      <c r="R92" s="8"/>
      <c r="T92"/>
    </row>
    <row r="93" spans="2:20" ht="23.1" customHeight="1" x14ac:dyDescent="0.25">
      <c r="B93" s="23" t="s">
        <v>133</v>
      </c>
      <c r="C93" s="49">
        <f>'Avg Week Kalerwe-Kampala'!C93+'Avg Week Kampala-Kalerwe'!C93</f>
        <v>20.5</v>
      </c>
      <c r="D93" s="49">
        <f>'Avg Week Kalerwe-Kampala'!D93+'Avg Week Kampala-Kalerwe'!D93</f>
        <v>1</v>
      </c>
      <c r="E93" s="49">
        <f>'Avg Week Kalerwe-Kampala'!E93+'Avg Week Kampala-Kalerwe'!E93</f>
        <v>5.5</v>
      </c>
      <c r="F93" s="49">
        <f>'Avg Week Kalerwe-Kampala'!F93+'Avg Week Kampala-Kalerwe'!F93</f>
        <v>4.5</v>
      </c>
      <c r="G93" s="49">
        <f>'Avg Week Kalerwe-Kampala'!G93+'Avg Week Kampala-Kalerwe'!G93</f>
        <v>0</v>
      </c>
      <c r="H93" s="49">
        <f>'Avg Week Kalerwe-Kampala'!H93+'Avg Week Kampala-Kalerwe'!H93</f>
        <v>1.5</v>
      </c>
      <c r="I93" s="49">
        <f>'Avg Week Kalerwe-Kampala'!I93+'Avg Week Kampala-Kalerwe'!I93</f>
        <v>0.5</v>
      </c>
      <c r="J93" s="49">
        <f>'Avg Week Kalerwe-Kampala'!J93+'Avg Week Kampala-Kalerwe'!J93</f>
        <v>1.5</v>
      </c>
      <c r="K93" s="49">
        <f>'Avg Week Kalerwe-Kampala'!K93+'Avg Week Kampala-Kalerwe'!K93</f>
        <v>3</v>
      </c>
      <c r="L93" s="49">
        <f>'Avg Week Kalerwe-Kampala'!L93+'Avg Week Kampala-Kalerwe'!L93</f>
        <v>2</v>
      </c>
      <c r="M93" s="49">
        <f>'Avg Week Kalerwe-Kampala'!M93+'Avg Week Kampala-Kalerwe'!M93</f>
        <v>52.5</v>
      </c>
      <c r="N93" s="49">
        <f>'Avg Week Kalerwe-Kampala'!N93+'Avg Week Kampala-Kalerwe'!N93</f>
        <v>0</v>
      </c>
      <c r="O93" s="15">
        <f t="shared" si="35"/>
        <v>40</v>
      </c>
      <c r="P93" s="15">
        <f t="shared" si="36"/>
        <v>92.5</v>
      </c>
      <c r="R93" s="8"/>
      <c r="T93"/>
    </row>
    <row r="94" spans="2:20" ht="23.1" customHeight="1" x14ac:dyDescent="0.25">
      <c r="B94" s="24" t="s">
        <v>134</v>
      </c>
      <c r="C94" s="49">
        <f>'Avg Week Kalerwe-Kampala'!C94+'Avg Week Kampala-Kalerwe'!C94</f>
        <v>17.5</v>
      </c>
      <c r="D94" s="49">
        <f>'Avg Week Kalerwe-Kampala'!D94+'Avg Week Kampala-Kalerwe'!D94</f>
        <v>5.5</v>
      </c>
      <c r="E94" s="49">
        <f>'Avg Week Kalerwe-Kampala'!E94+'Avg Week Kampala-Kalerwe'!E94</f>
        <v>1.5</v>
      </c>
      <c r="F94" s="49">
        <f>'Avg Week Kalerwe-Kampala'!F94+'Avg Week Kampala-Kalerwe'!F94</f>
        <v>8.5</v>
      </c>
      <c r="G94" s="49">
        <f>'Avg Week Kalerwe-Kampala'!G94+'Avg Week Kampala-Kalerwe'!G94</f>
        <v>0.5</v>
      </c>
      <c r="H94" s="49">
        <f>'Avg Week Kalerwe-Kampala'!H94+'Avg Week Kampala-Kalerwe'!H94</f>
        <v>0</v>
      </c>
      <c r="I94" s="49">
        <f>'Avg Week Kalerwe-Kampala'!I94+'Avg Week Kampala-Kalerwe'!I94</f>
        <v>2.5</v>
      </c>
      <c r="J94" s="49">
        <f>'Avg Week Kalerwe-Kampala'!J94+'Avg Week Kampala-Kalerwe'!J94</f>
        <v>1.5</v>
      </c>
      <c r="K94" s="49">
        <f>'Avg Week Kalerwe-Kampala'!K94+'Avg Week Kampala-Kalerwe'!K94</f>
        <v>0</v>
      </c>
      <c r="L94" s="49">
        <f>'Avg Week Kalerwe-Kampala'!L94+'Avg Week Kampala-Kalerwe'!L94</f>
        <v>0</v>
      </c>
      <c r="M94" s="49">
        <f>'Avg Week Kalerwe-Kampala'!M94+'Avg Week Kampala-Kalerwe'!M94</f>
        <v>40</v>
      </c>
      <c r="N94" s="49">
        <f>'Avg Week Kalerwe-Kampala'!N94+'Avg Week Kampala-Kalerwe'!N94</f>
        <v>0</v>
      </c>
      <c r="O94" s="15">
        <f t="shared" si="35"/>
        <v>37.5</v>
      </c>
      <c r="P94" s="15">
        <f t="shared" si="36"/>
        <v>77.5</v>
      </c>
      <c r="R94" s="8"/>
      <c r="T94"/>
    </row>
    <row r="95" spans="2:20" ht="23.1" customHeight="1" x14ac:dyDescent="0.25">
      <c r="B95" s="23" t="s">
        <v>135</v>
      </c>
      <c r="C95" s="49">
        <f>'Avg Week Kalerwe-Kampala'!C95+'Avg Week Kampala-Kalerwe'!C95</f>
        <v>8.5</v>
      </c>
      <c r="D95" s="49">
        <f>'Avg Week Kalerwe-Kampala'!D95+'Avg Week Kampala-Kalerwe'!D95</f>
        <v>3</v>
      </c>
      <c r="E95" s="49">
        <f>'Avg Week Kalerwe-Kampala'!E95+'Avg Week Kampala-Kalerwe'!E95</f>
        <v>1.5</v>
      </c>
      <c r="F95" s="49">
        <f>'Avg Week Kalerwe-Kampala'!F95+'Avg Week Kampala-Kalerwe'!F95</f>
        <v>9</v>
      </c>
      <c r="G95" s="49">
        <f>'Avg Week Kalerwe-Kampala'!G95+'Avg Week Kampala-Kalerwe'!G95</f>
        <v>0.5</v>
      </c>
      <c r="H95" s="49">
        <f>'Avg Week Kalerwe-Kampala'!H95+'Avg Week Kampala-Kalerwe'!H95</f>
        <v>1.5</v>
      </c>
      <c r="I95" s="49">
        <f>'Avg Week Kalerwe-Kampala'!I95+'Avg Week Kampala-Kalerwe'!I95</f>
        <v>2.5</v>
      </c>
      <c r="J95" s="49">
        <f>'Avg Week Kalerwe-Kampala'!J95+'Avg Week Kampala-Kalerwe'!J95</f>
        <v>4</v>
      </c>
      <c r="K95" s="49">
        <f>'Avg Week Kalerwe-Kampala'!K95+'Avg Week Kampala-Kalerwe'!K95</f>
        <v>0</v>
      </c>
      <c r="L95" s="49">
        <f>'Avg Week Kalerwe-Kampala'!L95+'Avg Week Kampala-Kalerwe'!L95</f>
        <v>0</v>
      </c>
      <c r="M95" s="49">
        <f>'Avg Week Kalerwe-Kampala'!M95+'Avg Week Kampala-Kalerwe'!M95</f>
        <v>37.5</v>
      </c>
      <c r="N95" s="49">
        <f>'Avg Week Kalerwe-Kampala'!N95+'Avg Week Kampala-Kalerwe'!N95</f>
        <v>0</v>
      </c>
      <c r="O95" s="15">
        <f t="shared" si="35"/>
        <v>30.5</v>
      </c>
      <c r="P95" s="15">
        <f t="shared" si="36"/>
        <v>68</v>
      </c>
      <c r="R95" s="8"/>
      <c r="T95"/>
    </row>
    <row r="96" spans="2:20" ht="23.1" customHeight="1" x14ac:dyDescent="0.25">
      <c r="B96" s="25" t="s">
        <v>136</v>
      </c>
      <c r="C96" s="49">
        <f>'Avg Week Kalerwe-Kampala'!C96+'Avg Week Kampala-Kalerwe'!C96</f>
        <v>12.5</v>
      </c>
      <c r="D96" s="49">
        <f>'Avg Week Kalerwe-Kampala'!D96+'Avg Week Kampala-Kalerwe'!D96</f>
        <v>1.5</v>
      </c>
      <c r="E96" s="49">
        <f>'Avg Week Kalerwe-Kampala'!E96+'Avg Week Kampala-Kalerwe'!E96</f>
        <v>0</v>
      </c>
      <c r="F96" s="49">
        <f>'Avg Week Kalerwe-Kampala'!F96+'Avg Week Kampala-Kalerwe'!F96</f>
        <v>6.5</v>
      </c>
      <c r="G96" s="49">
        <f>'Avg Week Kalerwe-Kampala'!G96+'Avg Week Kampala-Kalerwe'!G96</f>
        <v>0</v>
      </c>
      <c r="H96" s="49">
        <f>'Avg Week Kalerwe-Kampala'!H96+'Avg Week Kampala-Kalerwe'!H96</f>
        <v>0</v>
      </c>
      <c r="I96" s="49">
        <f>'Avg Week Kalerwe-Kampala'!I96+'Avg Week Kampala-Kalerwe'!I96</f>
        <v>2.5</v>
      </c>
      <c r="J96" s="49">
        <f>'Avg Week Kalerwe-Kampala'!J96+'Avg Week Kampala-Kalerwe'!J96</f>
        <v>1.5</v>
      </c>
      <c r="K96" s="49">
        <f>'Avg Week Kalerwe-Kampala'!K96+'Avg Week Kampala-Kalerwe'!K96</f>
        <v>1</v>
      </c>
      <c r="L96" s="49">
        <f>'Avg Week Kalerwe-Kampala'!L96+'Avg Week Kampala-Kalerwe'!L96</f>
        <v>0</v>
      </c>
      <c r="M96" s="49">
        <f>'Avg Week Kalerwe-Kampala'!M96+'Avg Week Kampala-Kalerwe'!M96</f>
        <v>33.5</v>
      </c>
      <c r="N96" s="49">
        <f>'Avg Week Kalerwe-Kampala'!N96+'Avg Week Kampala-Kalerwe'!N96</f>
        <v>0</v>
      </c>
      <c r="O96" s="15">
        <f t="shared" si="35"/>
        <v>25.5</v>
      </c>
      <c r="P96" s="15">
        <f t="shared" si="36"/>
        <v>59</v>
      </c>
      <c r="R96" s="8"/>
      <c r="T96"/>
    </row>
    <row r="97" spans="2:20" ht="23.1" customHeight="1" x14ac:dyDescent="0.25">
      <c r="B97" s="23" t="s">
        <v>137</v>
      </c>
      <c r="C97" s="49">
        <f>'Avg Week Kalerwe-Kampala'!C97+'Avg Week Kampala-Kalerwe'!C97</f>
        <v>25</v>
      </c>
      <c r="D97" s="49">
        <f>'Avg Week Kalerwe-Kampala'!D97+'Avg Week Kampala-Kalerwe'!D97</f>
        <v>7</v>
      </c>
      <c r="E97" s="49">
        <f>'Avg Week Kalerwe-Kampala'!E97+'Avg Week Kampala-Kalerwe'!E97</f>
        <v>2</v>
      </c>
      <c r="F97" s="49">
        <f>'Avg Week Kalerwe-Kampala'!F97+'Avg Week Kampala-Kalerwe'!F97</f>
        <v>12.5</v>
      </c>
      <c r="G97" s="49">
        <f>'Avg Week Kalerwe-Kampala'!G97+'Avg Week Kampala-Kalerwe'!G97</f>
        <v>0</v>
      </c>
      <c r="H97" s="49">
        <f>'Avg Week Kalerwe-Kampala'!H97+'Avg Week Kampala-Kalerwe'!H97</f>
        <v>1</v>
      </c>
      <c r="I97" s="49">
        <f>'Avg Week Kalerwe-Kampala'!I97+'Avg Week Kampala-Kalerwe'!I97</f>
        <v>2</v>
      </c>
      <c r="J97" s="49">
        <f>'Avg Week Kalerwe-Kampala'!J97+'Avg Week Kampala-Kalerwe'!J97</f>
        <v>5.5</v>
      </c>
      <c r="K97" s="49">
        <f>'Avg Week Kalerwe-Kampala'!K97+'Avg Week Kampala-Kalerwe'!K97</f>
        <v>1.5</v>
      </c>
      <c r="L97" s="49">
        <f>'Avg Week Kalerwe-Kampala'!L97+'Avg Week Kampala-Kalerwe'!L97</f>
        <v>0</v>
      </c>
      <c r="M97" s="49">
        <f>'Avg Week Kalerwe-Kampala'!M97+'Avg Week Kampala-Kalerwe'!M97</f>
        <v>28</v>
      </c>
      <c r="N97" s="49">
        <f>'Avg Week Kalerwe-Kampala'!N97+'Avg Week Kampala-Kalerwe'!N97</f>
        <v>0</v>
      </c>
      <c r="O97" s="15">
        <f t="shared" si="35"/>
        <v>56.5</v>
      </c>
      <c r="P97" s="15">
        <f t="shared" si="36"/>
        <v>84.5</v>
      </c>
      <c r="R97" s="8"/>
      <c r="T97"/>
    </row>
    <row r="98" spans="2:20" ht="23.1" customHeight="1" x14ac:dyDescent="0.25">
      <c r="B98" s="24" t="s">
        <v>138</v>
      </c>
      <c r="C98" s="49">
        <f>'Avg Week Kalerwe-Kampala'!C98+'Avg Week Kampala-Kalerwe'!C98</f>
        <v>28</v>
      </c>
      <c r="D98" s="49">
        <f>'Avg Week Kalerwe-Kampala'!D98+'Avg Week Kampala-Kalerwe'!D98</f>
        <v>10</v>
      </c>
      <c r="E98" s="49">
        <f>'Avg Week Kalerwe-Kampala'!E98+'Avg Week Kampala-Kalerwe'!E98</f>
        <v>3</v>
      </c>
      <c r="F98" s="49">
        <f>'Avg Week Kalerwe-Kampala'!F98+'Avg Week Kampala-Kalerwe'!F98</f>
        <v>40.5</v>
      </c>
      <c r="G98" s="49">
        <f>'Avg Week Kalerwe-Kampala'!G98+'Avg Week Kampala-Kalerwe'!G98</f>
        <v>1.5</v>
      </c>
      <c r="H98" s="49">
        <f>'Avg Week Kalerwe-Kampala'!H98+'Avg Week Kampala-Kalerwe'!H98</f>
        <v>1</v>
      </c>
      <c r="I98" s="49">
        <f>'Avg Week Kalerwe-Kampala'!I98+'Avg Week Kampala-Kalerwe'!I98</f>
        <v>8.5</v>
      </c>
      <c r="J98" s="49">
        <f>'Avg Week Kalerwe-Kampala'!J98+'Avg Week Kampala-Kalerwe'!J98</f>
        <v>7.5</v>
      </c>
      <c r="K98" s="49">
        <f>'Avg Week Kalerwe-Kampala'!K98+'Avg Week Kampala-Kalerwe'!K98</f>
        <v>8</v>
      </c>
      <c r="L98" s="49">
        <f>'Avg Week Kalerwe-Kampala'!L98+'Avg Week Kampala-Kalerwe'!L98</f>
        <v>4</v>
      </c>
      <c r="M98" s="49">
        <f>'Avg Week Kalerwe-Kampala'!M98+'Avg Week Kampala-Kalerwe'!M98</f>
        <v>75.5</v>
      </c>
      <c r="N98" s="49">
        <f>'Avg Week Kalerwe-Kampala'!N98+'Avg Week Kampala-Kalerwe'!N98</f>
        <v>0</v>
      </c>
      <c r="O98" s="15">
        <f t="shared" si="35"/>
        <v>112</v>
      </c>
      <c r="P98" s="15">
        <f t="shared" si="36"/>
        <v>187.5</v>
      </c>
      <c r="R98" s="8"/>
      <c r="T98"/>
    </row>
    <row r="99" spans="2:20" ht="23.1" customHeight="1" x14ac:dyDescent="0.25">
      <c r="B99" s="23" t="s">
        <v>139</v>
      </c>
      <c r="C99" s="49">
        <f>'Avg Week Kalerwe-Kampala'!C99+'Avg Week Kampala-Kalerwe'!C99</f>
        <v>60.5</v>
      </c>
      <c r="D99" s="49">
        <f>'Avg Week Kalerwe-Kampala'!D99+'Avg Week Kampala-Kalerwe'!D99</f>
        <v>14</v>
      </c>
      <c r="E99" s="49">
        <f>'Avg Week Kalerwe-Kampala'!E99+'Avg Week Kampala-Kalerwe'!E99</f>
        <v>2</v>
      </c>
      <c r="F99" s="49">
        <f>'Avg Week Kalerwe-Kampala'!F99+'Avg Week Kampala-Kalerwe'!F99</f>
        <v>59</v>
      </c>
      <c r="G99" s="49">
        <f>'Avg Week Kalerwe-Kampala'!G99+'Avg Week Kampala-Kalerwe'!G99</f>
        <v>0.5</v>
      </c>
      <c r="H99" s="49">
        <f>'Avg Week Kalerwe-Kampala'!H99+'Avg Week Kampala-Kalerwe'!H99</f>
        <v>0</v>
      </c>
      <c r="I99" s="49">
        <f>'Avg Week Kalerwe-Kampala'!I99+'Avg Week Kampala-Kalerwe'!I99</f>
        <v>5.5</v>
      </c>
      <c r="J99" s="49">
        <f>'Avg Week Kalerwe-Kampala'!J99+'Avg Week Kampala-Kalerwe'!J99</f>
        <v>5.5</v>
      </c>
      <c r="K99" s="49">
        <f>'Avg Week Kalerwe-Kampala'!K99+'Avg Week Kampala-Kalerwe'!K99</f>
        <v>2</v>
      </c>
      <c r="L99" s="49">
        <f>'Avg Week Kalerwe-Kampala'!L99+'Avg Week Kampala-Kalerwe'!L99</f>
        <v>2</v>
      </c>
      <c r="M99" s="49">
        <f>'Avg Week Kalerwe-Kampala'!M99+'Avg Week Kampala-Kalerwe'!M99</f>
        <v>73.5</v>
      </c>
      <c r="N99" s="49">
        <f>'Avg Week Kalerwe-Kampala'!N99+'Avg Week Kampala-Kalerwe'!N99</f>
        <v>0.5</v>
      </c>
      <c r="O99" s="15">
        <f t="shared" si="35"/>
        <v>151.5</v>
      </c>
      <c r="P99" s="15">
        <f t="shared" si="36"/>
        <v>225</v>
      </c>
      <c r="R99" s="8"/>
      <c r="T99"/>
    </row>
    <row r="100" spans="2:20" ht="23.1" customHeight="1" x14ac:dyDescent="0.25">
      <c r="B100" s="25" t="s">
        <v>140</v>
      </c>
      <c r="C100" s="49">
        <f>'Avg Week Kalerwe-Kampala'!C100+'Avg Week Kampala-Kalerwe'!C100</f>
        <v>62</v>
      </c>
      <c r="D100" s="49">
        <f>'Avg Week Kalerwe-Kampala'!D100+'Avg Week Kampala-Kalerwe'!D100</f>
        <v>32.5</v>
      </c>
      <c r="E100" s="49">
        <f>'Avg Week Kalerwe-Kampala'!E100+'Avg Week Kampala-Kalerwe'!E100</f>
        <v>4</v>
      </c>
      <c r="F100" s="49">
        <f>'Avg Week Kalerwe-Kampala'!F100+'Avg Week Kampala-Kalerwe'!F100</f>
        <v>57</v>
      </c>
      <c r="G100" s="49">
        <f>'Avg Week Kalerwe-Kampala'!G100+'Avg Week Kampala-Kalerwe'!G100</f>
        <v>0.5</v>
      </c>
      <c r="H100" s="49">
        <f>'Avg Week Kalerwe-Kampala'!H100+'Avg Week Kampala-Kalerwe'!H100</f>
        <v>1</v>
      </c>
      <c r="I100" s="49">
        <f>'Avg Week Kalerwe-Kampala'!I100+'Avg Week Kampala-Kalerwe'!I100</f>
        <v>9.5</v>
      </c>
      <c r="J100" s="49">
        <f>'Avg Week Kalerwe-Kampala'!J100+'Avg Week Kampala-Kalerwe'!J100</f>
        <v>18.5</v>
      </c>
      <c r="K100" s="49">
        <f>'Avg Week Kalerwe-Kampala'!K100+'Avg Week Kampala-Kalerwe'!K100</f>
        <v>4</v>
      </c>
      <c r="L100" s="49">
        <f>'Avg Week Kalerwe-Kampala'!L100+'Avg Week Kampala-Kalerwe'!L100</f>
        <v>0.5</v>
      </c>
      <c r="M100" s="49">
        <f>'Avg Week Kalerwe-Kampala'!M100+'Avg Week Kampala-Kalerwe'!M100</f>
        <v>85</v>
      </c>
      <c r="N100" s="49">
        <f>'Avg Week Kalerwe-Kampala'!N100+'Avg Week Kampala-Kalerwe'!N100</f>
        <v>0</v>
      </c>
      <c r="O100" s="15">
        <f t="shared" si="35"/>
        <v>189.5</v>
      </c>
      <c r="P100" s="15">
        <f t="shared" si="36"/>
        <v>274.5</v>
      </c>
      <c r="R100" s="8"/>
      <c r="T100"/>
    </row>
    <row r="101" spans="2:20" ht="23.1" customHeight="1" x14ac:dyDescent="0.25">
      <c r="B101" s="23" t="s">
        <v>141</v>
      </c>
      <c r="C101" s="49">
        <f>'Avg Week Kalerwe-Kampala'!C101+'Avg Week Kampala-Kalerwe'!C101</f>
        <v>60</v>
      </c>
      <c r="D101" s="49">
        <f>'Avg Week Kalerwe-Kampala'!D101+'Avg Week Kampala-Kalerwe'!D101</f>
        <v>31</v>
      </c>
      <c r="E101" s="49">
        <f>'Avg Week Kalerwe-Kampala'!E101+'Avg Week Kampala-Kalerwe'!E101</f>
        <v>3.5</v>
      </c>
      <c r="F101" s="49">
        <f>'Avg Week Kalerwe-Kampala'!F101+'Avg Week Kampala-Kalerwe'!F101</f>
        <v>70</v>
      </c>
      <c r="G101" s="49">
        <f>'Avg Week Kalerwe-Kampala'!G101+'Avg Week Kampala-Kalerwe'!G101</f>
        <v>1.5</v>
      </c>
      <c r="H101" s="49">
        <f>'Avg Week Kalerwe-Kampala'!H101+'Avg Week Kampala-Kalerwe'!H101</f>
        <v>1</v>
      </c>
      <c r="I101" s="49">
        <f>'Avg Week Kalerwe-Kampala'!I101+'Avg Week Kampala-Kalerwe'!I101</f>
        <v>11</v>
      </c>
      <c r="J101" s="49">
        <f>'Avg Week Kalerwe-Kampala'!J101+'Avg Week Kampala-Kalerwe'!J101</f>
        <v>6.5</v>
      </c>
      <c r="K101" s="49">
        <f>'Avg Week Kalerwe-Kampala'!K101+'Avg Week Kampala-Kalerwe'!K101</f>
        <v>2</v>
      </c>
      <c r="L101" s="49">
        <f>'Avg Week Kalerwe-Kampala'!L101+'Avg Week Kampala-Kalerwe'!L101</f>
        <v>0</v>
      </c>
      <c r="M101" s="49">
        <f>'Avg Week Kalerwe-Kampala'!M101+'Avg Week Kampala-Kalerwe'!M101</f>
        <v>102</v>
      </c>
      <c r="N101" s="49">
        <f>'Avg Week Kalerwe-Kampala'!N101+'Avg Week Kampala-Kalerwe'!N101</f>
        <v>0</v>
      </c>
      <c r="O101" s="15">
        <f t="shared" si="35"/>
        <v>186.5</v>
      </c>
      <c r="P101" s="15">
        <f t="shared" si="36"/>
        <v>288.5</v>
      </c>
      <c r="R101" s="8"/>
      <c r="T101"/>
    </row>
    <row r="102" spans="2:20" ht="23.1" customHeight="1" x14ac:dyDescent="0.25">
      <c r="B102" s="24" t="s">
        <v>142</v>
      </c>
      <c r="C102" s="49">
        <f>'Avg Week Kalerwe-Kampala'!C102+'Avg Week Kampala-Kalerwe'!C102</f>
        <v>47</v>
      </c>
      <c r="D102" s="49">
        <f>'Avg Week Kalerwe-Kampala'!D102+'Avg Week Kampala-Kalerwe'!D102</f>
        <v>29</v>
      </c>
      <c r="E102" s="49">
        <f>'Avg Week Kalerwe-Kampala'!E102+'Avg Week Kampala-Kalerwe'!E102</f>
        <v>7.5</v>
      </c>
      <c r="F102" s="49">
        <f>'Avg Week Kalerwe-Kampala'!F102+'Avg Week Kampala-Kalerwe'!F102</f>
        <v>66.5</v>
      </c>
      <c r="G102" s="49">
        <f>'Avg Week Kalerwe-Kampala'!G102+'Avg Week Kampala-Kalerwe'!G102</f>
        <v>3.5</v>
      </c>
      <c r="H102" s="49">
        <f>'Avg Week Kalerwe-Kampala'!H102+'Avg Week Kampala-Kalerwe'!H102</f>
        <v>2.5</v>
      </c>
      <c r="I102" s="49">
        <f>'Avg Week Kalerwe-Kampala'!I102+'Avg Week Kampala-Kalerwe'!I102</f>
        <v>15.5</v>
      </c>
      <c r="J102" s="49">
        <f>'Avg Week Kalerwe-Kampala'!J102+'Avg Week Kampala-Kalerwe'!J102</f>
        <v>8.5</v>
      </c>
      <c r="K102" s="49">
        <f>'Avg Week Kalerwe-Kampala'!K102+'Avg Week Kampala-Kalerwe'!K102</f>
        <v>3</v>
      </c>
      <c r="L102" s="49">
        <f>'Avg Week Kalerwe-Kampala'!L102+'Avg Week Kampala-Kalerwe'!L102</f>
        <v>0</v>
      </c>
      <c r="M102" s="49">
        <f>'Avg Week Kalerwe-Kampala'!M102+'Avg Week Kampala-Kalerwe'!M102</f>
        <v>154</v>
      </c>
      <c r="N102" s="49">
        <f>'Avg Week Kalerwe-Kampala'!N102+'Avg Week Kampala-Kalerwe'!N102</f>
        <v>0</v>
      </c>
      <c r="O102" s="15">
        <f t="shared" si="35"/>
        <v>183</v>
      </c>
      <c r="P102" s="15">
        <f t="shared" si="36"/>
        <v>337</v>
      </c>
      <c r="R102" s="8"/>
      <c r="T102"/>
    </row>
    <row r="103" spans="2:20" ht="23.1" customHeight="1" x14ac:dyDescent="0.25">
      <c r="B103" s="23" t="s">
        <v>143</v>
      </c>
      <c r="C103" s="49">
        <f>'Avg Week Kalerwe-Kampala'!C103+'Avg Week Kampala-Kalerwe'!C103</f>
        <v>49.5</v>
      </c>
      <c r="D103" s="49">
        <f>'Avg Week Kalerwe-Kampala'!D103+'Avg Week Kampala-Kalerwe'!D103</f>
        <v>21.5</v>
      </c>
      <c r="E103" s="49">
        <f>'Avg Week Kalerwe-Kampala'!E103+'Avg Week Kampala-Kalerwe'!E103</f>
        <v>5</v>
      </c>
      <c r="F103" s="49">
        <f>'Avg Week Kalerwe-Kampala'!F103+'Avg Week Kampala-Kalerwe'!F103</f>
        <v>89.5</v>
      </c>
      <c r="G103" s="49">
        <f>'Avg Week Kalerwe-Kampala'!G103+'Avg Week Kampala-Kalerwe'!G103</f>
        <v>7.5</v>
      </c>
      <c r="H103" s="49">
        <f>'Avg Week Kalerwe-Kampala'!H103+'Avg Week Kampala-Kalerwe'!H103</f>
        <v>1.5</v>
      </c>
      <c r="I103" s="49">
        <f>'Avg Week Kalerwe-Kampala'!I103+'Avg Week Kampala-Kalerwe'!I103</f>
        <v>9.5</v>
      </c>
      <c r="J103" s="49">
        <f>'Avg Week Kalerwe-Kampala'!J103+'Avg Week Kampala-Kalerwe'!J103</f>
        <v>10</v>
      </c>
      <c r="K103" s="49">
        <f>'Avg Week Kalerwe-Kampala'!K103+'Avg Week Kampala-Kalerwe'!K103</f>
        <v>1.5</v>
      </c>
      <c r="L103" s="49">
        <f>'Avg Week Kalerwe-Kampala'!L103+'Avg Week Kampala-Kalerwe'!L103</f>
        <v>0.5</v>
      </c>
      <c r="M103" s="49">
        <f>'Avg Week Kalerwe-Kampala'!M103+'Avg Week Kampala-Kalerwe'!M103</f>
        <v>155.5</v>
      </c>
      <c r="N103" s="49">
        <f>'Avg Week Kalerwe-Kampala'!N103+'Avg Week Kampala-Kalerwe'!N103</f>
        <v>0</v>
      </c>
      <c r="O103" s="15">
        <f t="shared" si="35"/>
        <v>196</v>
      </c>
      <c r="P103" s="15">
        <f t="shared" si="36"/>
        <v>351.5</v>
      </c>
      <c r="R103" s="8"/>
      <c r="T103"/>
    </row>
    <row r="104" spans="2:20" ht="23.1" customHeight="1" x14ac:dyDescent="0.25">
      <c r="B104" s="25" t="s">
        <v>144</v>
      </c>
      <c r="C104" s="49">
        <f>'Avg Week Kalerwe-Kampala'!C104+'Avg Week Kampala-Kalerwe'!C104</f>
        <v>52.5</v>
      </c>
      <c r="D104" s="49">
        <f>'Avg Week Kalerwe-Kampala'!D104+'Avg Week Kampala-Kalerwe'!D104</f>
        <v>19.5</v>
      </c>
      <c r="E104" s="49">
        <f>'Avg Week Kalerwe-Kampala'!E104+'Avg Week Kampala-Kalerwe'!E104</f>
        <v>9</v>
      </c>
      <c r="F104" s="49">
        <f>'Avg Week Kalerwe-Kampala'!F104+'Avg Week Kampala-Kalerwe'!F104</f>
        <v>83</v>
      </c>
      <c r="G104" s="49">
        <f>'Avg Week Kalerwe-Kampala'!G104+'Avg Week Kampala-Kalerwe'!G104</f>
        <v>4.5</v>
      </c>
      <c r="H104" s="49">
        <f>'Avg Week Kalerwe-Kampala'!H104+'Avg Week Kampala-Kalerwe'!H104</f>
        <v>3</v>
      </c>
      <c r="I104" s="49">
        <f>'Avg Week Kalerwe-Kampala'!I104+'Avg Week Kampala-Kalerwe'!I104</f>
        <v>19.5</v>
      </c>
      <c r="J104" s="49">
        <f>'Avg Week Kalerwe-Kampala'!J104+'Avg Week Kampala-Kalerwe'!J104</f>
        <v>14.5</v>
      </c>
      <c r="K104" s="49">
        <f>'Avg Week Kalerwe-Kampala'!K104+'Avg Week Kampala-Kalerwe'!K104</f>
        <v>2.5</v>
      </c>
      <c r="L104" s="49">
        <f>'Avg Week Kalerwe-Kampala'!L104+'Avg Week Kampala-Kalerwe'!L104</f>
        <v>1</v>
      </c>
      <c r="M104" s="49">
        <f>'Avg Week Kalerwe-Kampala'!M104+'Avg Week Kampala-Kalerwe'!M104</f>
        <v>205</v>
      </c>
      <c r="N104" s="49">
        <f>'Avg Week Kalerwe-Kampala'!N104+'Avg Week Kampala-Kalerwe'!N104</f>
        <v>0</v>
      </c>
      <c r="O104" s="15">
        <f t="shared" si="35"/>
        <v>209</v>
      </c>
      <c r="P104" s="15">
        <f t="shared" si="36"/>
        <v>414</v>
      </c>
      <c r="R104" s="8"/>
      <c r="T104"/>
    </row>
    <row r="105" spans="2:20" ht="23.1" customHeight="1" x14ac:dyDescent="0.25">
      <c r="B105" s="23" t="s">
        <v>145</v>
      </c>
      <c r="C105" s="49">
        <f>'Avg Week Kalerwe-Kampala'!C105+'Avg Week Kampala-Kalerwe'!C105</f>
        <v>66.5</v>
      </c>
      <c r="D105" s="49">
        <f>'Avg Week Kalerwe-Kampala'!D105+'Avg Week Kampala-Kalerwe'!D105</f>
        <v>31</v>
      </c>
      <c r="E105" s="49">
        <f>'Avg Week Kalerwe-Kampala'!E105+'Avg Week Kampala-Kalerwe'!E105</f>
        <v>15</v>
      </c>
      <c r="F105" s="49">
        <f>'Avg Week Kalerwe-Kampala'!F105+'Avg Week Kampala-Kalerwe'!F105</f>
        <v>114</v>
      </c>
      <c r="G105" s="49">
        <f>'Avg Week Kalerwe-Kampala'!G105+'Avg Week Kampala-Kalerwe'!G105</f>
        <v>2</v>
      </c>
      <c r="H105" s="49">
        <f>'Avg Week Kalerwe-Kampala'!H105+'Avg Week Kampala-Kalerwe'!H105</f>
        <v>1.5</v>
      </c>
      <c r="I105" s="49">
        <f>'Avg Week Kalerwe-Kampala'!I105+'Avg Week Kampala-Kalerwe'!I105</f>
        <v>16</v>
      </c>
      <c r="J105" s="49">
        <f>'Avg Week Kalerwe-Kampala'!J105+'Avg Week Kampala-Kalerwe'!J105</f>
        <v>9</v>
      </c>
      <c r="K105" s="49">
        <f>'Avg Week Kalerwe-Kampala'!K105+'Avg Week Kampala-Kalerwe'!K105</f>
        <v>4</v>
      </c>
      <c r="L105" s="49">
        <f>'Avg Week Kalerwe-Kampala'!L105+'Avg Week Kampala-Kalerwe'!L105</f>
        <v>3.5</v>
      </c>
      <c r="M105" s="49">
        <f>'Avg Week Kalerwe-Kampala'!M105+'Avg Week Kampala-Kalerwe'!M105</f>
        <v>278</v>
      </c>
      <c r="N105" s="49">
        <f>'Avg Week Kalerwe-Kampala'!N105+'Avg Week Kampala-Kalerwe'!N105</f>
        <v>0</v>
      </c>
      <c r="O105" s="15">
        <f t="shared" si="35"/>
        <v>262.5</v>
      </c>
      <c r="P105" s="15">
        <f t="shared" si="36"/>
        <v>540.5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4184.5714285714284</v>
      </c>
      <c r="D106" s="16">
        <f t="shared" si="37"/>
        <v>1427.1428571428571</v>
      </c>
      <c r="E106" s="16">
        <f t="shared" si="37"/>
        <v>583.28571428571399</v>
      </c>
      <c r="F106" s="16">
        <f t="shared" si="37"/>
        <v>4175.7142857142862</v>
      </c>
      <c r="G106" s="16">
        <f t="shared" si="37"/>
        <v>124.28571428571426</v>
      </c>
      <c r="H106" s="16">
        <f t="shared" si="37"/>
        <v>66.428571428571445</v>
      </c>
      <c r="I106" s="16">
        <f t="shared" si="37"/>
        <v>861.00000000000045</v>
      </c>
      <c r="J106" s="16">
        <f t="shared" si="37"/>
        <v>143.57142857142853</v>
      </c>
      <c r="K106" s="16">
        <f t="shared" si="37"/>
        <v>69.428571428571402</v>
      </c>
      <c r="L106" s="16">
        <f t="shared" si="37"/>
        <v>43.857142857142847</v>
      </c>
      <c r="M106" s="16">
        <f t="shared" si="37"/>
        <v>16919</v>
      </c>
      <c r="N106" s="16">
        <f t="shared" si="37"/>
        <v>1.2857142857142858</v>
      </c>
      <c r="O106" s="16">
        <f t="shared" si="37"/>
        <v>11680.571428571431</v>
      </c>
      <c r="P106" s="16">
        <f t="shared" si="37"/>
        <v>28599.571428571424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0.14631587885932359</v>
      </c>
      <c r="D107" s="43">
        <f t="shared" si="38"/>
        <v>4.990084766504993E-2</v>
      </c>
      <c r="E107" s="43">
        <f t="shared" si="38"/>
        <v>2.039491101265253E-2</v>
      </c>
      <c r="F107" s="43">
        <f t="shared" si="38"/>
        <v>0.14600618390884981</v>
      </c>
      <c r="G107" s="43">
        <f t="shared" si="38"/>
        <v>4.3457194663256695E-3</v>
      </c>
      <c r="H107" s="43">
        <f t="shared" si="38"/>
        <v>2.3227121285533761E-3</v>
      </c>
      <c r="I107" s="43">
        <f t="shared" si="38"/>
        <v>3.0105346233959572E-2</v>
      </c>
      <c r="J107" s="43">
        <f t="shared" si="38"/>
        <v>5.0200552455830997E-3</v>
      </c>
      <c r="K107" s="43">
        <f t="shared" si="38"/>
        <v>2.4276088053267527E-3</v>
      </c>
      <c r="L107" s="43">
        <f t="shared" si="38"/>
        <v>1.5334895128298624E-3</v>
      </c>
      <c r="M107" s="43">
        <f t="shared" si="38"/>
        <v>0.59158229144292884</v>
      </c>
      <c r="N107" s="43">
        <f t="shared" si="38"/>
        <v>4.4955718617162107E-5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0.3582505748251063</v>
      </c>
      <c r="D108" s="44">
        <f t="shared" ref="D108:N108" si="39">D106/$O$106</f>
        <v>0.1221809109143388</v>
      </c>
      <c r="E108" s="44">
        <f t="shared" si="39"/>
        <v>4.9936402328653158E-2</v>
      </c>
      <c r="F108" s="44">
        <f t="shared" si="39"/>
        <v>0.35749229489750989</v>
      </c>
      <c r="G108" s="44">
        <f t="shared" si="39"/>
        <v>1.064037962917665E-2</v>
      </c>
      <c r="H108" s="44">
        <f t="shared" si="39"/>
        <v>5.687099456973729E-3</v>
      </c>
      <c r="I108" s="44">
        <f t="shared" si="39"/>
        <v>7.3712147155227267E-2</v>
      </c>
      <c r="J108" s="44">
        <f t="shared" si="39"/>
        <v>1.2291473019910957E-2</v>
      </c>
      <c r="K108" s="44">
        <f t="shared" si="39"/>
        <v>5.9439362066435074E-3</v>
      </c>
      <c r="L108" s="44">
        <f t="shared" si="39"/>
        <v>3.7547086737439441E-3</v>
      </c>
      <c r="M108" s="44"/>
      <c r="N108" s="44">
        <f t="shared" si="39"/>
        <v>1.1007289271562056E-4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R126" s="8"/>
      <c r="T126"/>
    </row>
    <row r="127" spans="2:20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R127" s="8"/>
      <c r="T127"/>
    </row>
    <row r="128" spans="2:20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R128" s="8"/>
      <c r="T128"/>
    </row>
    <row r="129" spans="2:29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Q129" s="7"/>
      <c r="R129" s="8"/>
      <c r="T129"/>
    </row>
    <row r="130" spans="2:29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Q130" s="7"/>
      <c r="R130" s="8"/>
      <c r="T130"/>
    </row>
    <row r="131" spans="2:29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Q131" s="7"/>
      <c r="R131" s="8"/>
      <c r="T131"/>
    </row>
    <row r="132" spans="2:29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Q132" s="7"/>
    </row>
    <row r="133" spans="2:29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Q133" s="7"/>
    </row>
    <row r="134" spans="2:29" s="7" customFormat="1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/>
      <c r="P134"/>
      <c r="S134" s="8"/>
      <c r="T134" s="8"/>
      <c r="AC134" s="8"/>
    </row>
    <row r="135" spans="2:29" s="7" customFormat="1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/>
      <c r="P135"/>
      <c r="S135" s="8"/>
      <c r="T135" s="8"/>
      <c r="AC135" s="8"/>
    </row>
    <row r="136" spans="2:29" s="7" customFormat="1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/>
      <c r="P136"/>
      <c r="S136" s="8"/>
      <c r="T136" s="8"/>
      <c r="AC136" s="8"/>
    </row>
    <row r="137" spans="2:29" s="7" customFormat="1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/>
      <c r="P137"/>
      <c r="S137" s="8"/>
      <c r="T137" s="8"/>
      <c r="AC137" s="8"/>
    </row>
    <row r="138" spans="2:29" s="7" customFormat="1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/>
      <c r="P138"/>
      <c r="S138" s="8"/>
      <c r="T138" s="8"/>
      <c r="AC138" s="8"/>
    </row>
    <row r="139" spans="2:29" s="7" customFormat="1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/>
      <c r="P139"/>
      <c r="S139" s="8"/>
      <c r="T139" s="8"/>
      <c r="AC139" s="8"/>
    </row>
    <row r="140" spans="2:29" s="7" customFormat="1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/>
      <c r="P140"/>
      <c r="S140" s="8"/>
      <c r="T140" s="8"/>
      <c r="AC140" s="8"/>
    </row>
    <row r="141" spans="2:29" s="7" customFormat="1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/>
      <c r="P141"/>
      <c r="S141" s="8"/>
      <c r="T141" s="8"/>
      <c r="AC141" s="8"/>
    </row>
    <row r="142" spans="2:29" s="7" customFormat="1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/>
      <c r="P142"/>
      <c r="S142" s="8"/>
      <c r="T142" s="8"/>
      <c r="AC142" s="8"/>
    </row>
    <row r="143" spans="2:29" s="7" customFormat="1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/>
      <c r="P143"/>
      <c r="S143" s="8"/>
      <c r="T143" s="8"/>
      <c r="AC143" s="8"/>
    </row>
    <row r="144" spans="2:29" s="7" customFormat="1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/>
      <c r="P144"/>
      <c r="S144" s="8"/>
      <c r="T144" s="8"/>
      <c r="AC144" s="8"/>
    </row>
    <row r="145" spans="2:29" s="7" customFormat="1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/>
      <c r="P145"/>
      <c r="S145" s="8"/>
      <c r="T145" s="8"/>
      <c r="AC145" s="8"/>
    </row>
    <row r="146" spans="2:29" s="7" customFormat="1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/>
      <c r="P146"/>
      <c r="Q146"/>
      <c r="S146" s="8"/>
      <c r="T146" s="8"/>
      <c r="AC146" s="8"/>
    </row>
    <row r="147" spans="2:29" s="7" customFormat="1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/>
      <c r="P147"/>
      <c r="Q147"/>
      <c r="S147" s="8"/>
      <c r="T147" s="8"/>
      <c r="AC147" s="8"/>
    </row>
    <row r="148" spans="2:29" s="7" customFormat="1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/>
      <c r="P148"/>
      <c r="Q148"/>
      <c r="S148" s="8"/>
      <c r="T148" s="8"/>
      <c r="AC148" s="8"/>
    </row>
    <row r="149" spans="2:29" s="7" customFormat="1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/>
      <c r="P149"/>
      <c r="Q149"/>
      <c r="S149" s="8"/>
      <c r="T149" s="8"/>
      <c r="AC149" s="8"/>
    </row>
    <row r="150" spans="2:29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29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29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29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29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9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9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9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9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9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9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2.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Kalerwe-Kampala</vt:lpstr>
      <vt:lpstr>22.07 Kampala-Kalerwe</vt:lpstr>
      <vt:lpstr>23.07 Kalerwe-Kampala</vt:lpstr>
      <vt:lpstr>23.07 Kampala-Kalerwe</vt:lpstr>
      <vt:lpstr>24.07 Kalewre-Kampala</vt:lpstr>
      <vt:lpstr>24.07 Kampala-Kalewre</vt:lpstr>
      <vt:lpstr>25.07 Kalewre-Kampala</vt:lpstr>
      <vt:lpstr>25.07 Kampala-Kalewre</vt:lpstr>
      <vt:lpstr>26.07 Kalerwe-Kampala-24h</vt:lpstr>
      <vt:lpstr>26.07 Kampala-Kalerwe-24h</vt:lpstr>
      <vt:lpstr>27.07 Kalerwe-Kampala-24h</vt:lpstr>
      <vt:lpstr>27.07 Kampala-Kalerwe-24h</vt:lpstr>
      <vt:lpstr>28.07 Kalerwe-Kampala</vt:lpstr>
      <vt:lpstr>28.07 Kampala-Kalerwe</vt:lpstr>
      <vt:lpstr>Avg Week Kalerwe-Kampala</vt:lpstr>
      <vt:lpstr>Avg Week Kampala-Kalerwe</vt:lpstr>
      <vt:lpstr>Avg Week Kalerwe-Kampala-2Dir</vt:lpstr>
      <vt:lpstr>'22.07 Kalerwe-Kampala'!Print_Area</vt:lpstr>
      <vt:lpstr>'22.07 Kampala-Kalerwe'!Print_Area</vt:lpstr>
      <vt:lpstr>'23.07 Kalerwe-Kampala'!Print_Area</vt:lpstr>
      <vt:lpstr>'23.07 Kampala-Kalerwe'!Print_Area</vt:lpstr>
      <vt:lpstr>'24.07 Kalewre-Kampala'!Print_Area</vt:lpstr>
      <vt:lpstr>'24.07 Kampala-Kalewre'!Print_Area</vt:lpstr>
      <vt:lpstr>'25.07 Kalewre-Kampala'!Print_Area</vt:lpstr>
      <vt:lpstr>'25.07 Kampala-Kalewre'!Print_Area</vt:lpstr>
      <vt:lpstr>'26.07 Kalerwe-Kampala-24h'!Print_Area</vt:lpstr>
      <vt:lpstr>'26.07 Kampala-Kalerwe-24h'!Print_Area</vt:lpstr>
      <vt:lpstr>'27.07 Kalerwe-Kampala-24h'!Print_Area</vt:lpstr>
      <vt:lpstr>'27.07 Kampala-Kalerwe-24h'!Print_Area</vt:lpstr>
      <vt:lpstr>'28.07 Kalerwe-Kampala'!Print_Area</vt:lpstr>
      <vt:lpstr>'28.07 Kampala-Kalerwe'!Print_Area</vt:lpstr>
      <vt:lpstr>'Avg Week Kalerwe-Kampala'!Print_Area</vt:lpstr>
      <vt:lpstr>'Avg Week Kalerwe-Kampala-2Dir'!Print_Area</vt:lpstr>
      <vt:lpstr>'Avg Week Kampala-Kalerwe'!Print_Area</vt:lpstr>
      <vt:lpstr>'22.07 Kalerwe-Kampala'!Print_Titles</vt:lpstr>
      <vt:lpstr>'22.07 Kampala-Kalerwe'!Print_Titles</vt:lpstr>
      <vt:lpstr>'23.07 Kalerwe-Kampala'!Print_Titles</vt:lpstr>
      <vt:lpstr>'23.07 Kampala-Kalerwe'!Print_Titles</vt:lpstr>
      <vt:lpstr>'24.07 Kalewre-Kampala'!Print_Titles</vt:lpstr>
      <vt:lpstr>'24.07 Kampala-Kalewre'!Print_Titles</vt:lpstr>
      <vt:lpstr>'25.07 Kalewre-Kampala'!Print_Titles</vt:lpstr>
      <vt:lpstr>'25.07 Kampala-Kalewre'!Print_Titles</vt:lpstr>
      <vt:lpstr>'26.07 Kalerwe-Kampala-24h'!Print_Titles</vt:lpstr>
      <vt:lpstr>'26.07 Kampala-Kalerwe-24h'!Print_Titles</vt:lpstr>
      <vt:lpstr>'27.07 Kalerwe-Kampala-24h'!Print_Titles</vt:lpstr>
      <vt:lpstr>'27.07 Kampala-Kalerwe-24h'!Print_Titles</vt:lpstr>
      <vt:lpstr>'28.07 Kalerwe-Kampala'!Print_Titles</vt:lpstr>
      <vt:lpstr>'28.07 Kampala-Kalerwe'!Print_Titles</vt:lpstr>
      <vt:lpstr>'Avg Week Kalerwe-Kampala'!Print_Titles</vt:lpstr>
      <vt:lpstr>'Avg Week Kalerwe-Kampala-2Dir'!Print_Titles</vt:lpstr>
      <vt:lpstr>'Avg Week Kampala-Kalerwe'!Print_Titles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2020-01-15T20:50:14Z</dcterms:modified>
</cp:coreProperties>
</file>