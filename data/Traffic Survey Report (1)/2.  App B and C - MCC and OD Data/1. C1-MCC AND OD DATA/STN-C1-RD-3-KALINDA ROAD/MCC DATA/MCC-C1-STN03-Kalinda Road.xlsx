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3-KALINDA ROAD\MCC DATA\"/>
    </mc:Choice>
  </mc:AlternateContent>
  <bookViews>
    <workbookView xWindow="-120" yWindow="-120" windowWidth="20730" windowHeight="11160" tabRatio="949" firstSheet="14" activeTab="16"/>
  </bookViews>
  <sheets>
    <sheet name="22.07 Lubiri -Ndeeba" sheetId="93" r:id="rId1"/>
    <sheet name="22.07 Ndeeba-Lubiri" sheetId="94" r:id="rId2"/>
    <sheet name="23.07 Lubiri-Ndeeba" sheetId="95" r:id="rId3"/>
    <sheet name="23.07 Ndeeba-Lubiri" sheetId="96" r:id="rId4"/>
    <sheet name="24.07 Lubiri-Ndeeba" sheetId="97" r:id="rId5"/>
    <sheet name="24.07 Ndeeba-Lubiri" sheetId="98" r:id="rId6"/>
    <sheet name="25.07 Lubiri-Ndeeba" sheetId="99" r:id="rId7"/>
    <sheet name="25.07 Ndeeba-Lubiri" sheetId="100" r:id="rId8"/>
    <sheet name="26.07 Lubiri-Ndeeba-24h" sheetId="101" r:id="rId9"/>
    <sheet name="26.07 Ndeeba-Lubiri-24h" sheetId="109" r:id="rId10"/>
    <sheet name="27.07 Lubiri-Ndeeba-24h" sheetId="105" r:id="rId11"/>
    <sheet name="27.07 Ndeeba-Lubiri-24h" sheetId="110" r:id="rId12"/>
    <sheet name="28.07 Lubiri-Ndeeba" sheetId="103" r:id="rId13"/>
    <sheet name="28.07 Ndeeba-Lubiri" sheetId="104" r:id="rId14"/>
    <sheet name="Avg Week Lubiri-Ndeeba" sheetId="107" r:id="rId15"/>
    <sheet name="Avg Week Ndeeba-Lubiri" sheetId="108" r:id="rId16"/>
    <sheet name="Avg Week Ndeeba-Lubiri-2Dir" sheetId="112" r:id="rId17"/>
  </sheets>
  <definedNames>
    <definedName name="_xlnm.Print_Area" localSheetId="0">'22.07 Lubiri -Ndeeba'!$A$1:$AF$60</definedName>
    <definedName name="_xlnm.Print_Area" localSheetId="1">'22.07 Ndeeba-Lubiri'!$A$1:$AF$60</definedName>
    <definedName name="_xlnm.Print_Area" localSheetId="2">'23.07 Lubiri-Ndeeba'!$A$1:$AF$60</definedName>
    <definedName name="_xlnm.Print_Area" localSheetId="3">'23.07 Ndeeba-Lubiri'!$A$1:$AF$60</definedName>
    <definedName name="_xlnm.Print_Area" localSheetId="4">'24.07 Lubiri-Ndeeba'!$A$1:$AF$60</definedName>
    <definedName name="_xlnm.Print_Area" localSheetId="5">'24.07 Ndeeba-Lubiri'!$A$1:$AF$60</definedName>
    <definedName name="_xlnm.Print_Area" localSheetId="6">'25.07 Lubiri-Ndeeba'!$A$1:$AF$60</definedName>
    <definedName name="_xlnm.Print_Area" localSheetId="7">'25.07 Ndeeba-Lubiri'!$A$1:$AF$60</definedName>
    <definedName name="_xlnm.Print_Area" localSheetId="8">'26.07 Lubiri-Ndeeba-24h'!$A$1:$AF$108</definedName>
    <definedName name="_xlnm.Print_Area" localSheetId="9">'26.07 Ndeeba-Lubiri-24h'!$A$1:$AF$108</definedName>
    <definedName name="_xlnm.Print_Area" localSheetId="10">'27.07 Lubiri-Ndeeba-24h'!$A$1:$AF$108</definedName>
    <definedName name="_xlnm.Print_Area" localSheetId="11">'27.07 Ndeeba-Lubiri-24h'!$A$1:$AF$108</definedName>
    <definedName name="_xlnm.Print_Area" localSheetId="12">'28.07 Lubiri-Ndeeba'!$A$1:$AF$60</definedName>
    <definedName name="_xlnm.Print_Area" localSheetId="13">'28.07 Ndeeba-Lubiri'!$A$1:$AF$60</definedName>
    <definedName name="_xlnm.Print_Area" localSheetId="14">'Avg Week Lubiri-Ndeeba'!$A$1:$AF$108</definedName>
    <definedName name="_xlnm.Print_Area" localSheetId="15">'Avg Week Ndeeba-Lubiri'!$A$1:$AF$108</definedName>
    <definedName name="_xlnm.Print_Area" localSheetId="16">'Avg Week Ndeeba-Lubiri-2Dir'!$A$1:$AF$108</definedName>
    <definedName name="_xlnm.Print_Titles" localSheetId="0">'22.07 Lubiri -Ndeeba'!$1:$8</definedName>
    <definedName name="_xlnm.Print_Titles" localSheetId="1">'22.07 Ndeeba-Lubiri'!$1:$8</definedName>
    <definedName name="_xlnm.Print_Titles" localSheetId="2">'23.07 Lubiri-Ndeeba'!$1:$8</definedName>
    <definedName name="_xlnm.Print_Titles" localSheetId="3">'23.07 Ndeeba-Lubiri'!$1:$8</definedName>
    <definedName name="_xlnm.Print_Titles" localSheetId="4">'24.07 Lubiri-Ndeeba'!$1:$8</definedName>
    <definedName name="_xlnm.Print_Titles" localSheetId="5">'24.07 Ndeeba-Lubiri'!$1:$8</definedName>
    <definedName name="_xlnm.Print_Titles" localSheetId="6">'25.07 Lubiri-Ndeeba'!$1:$8</definedName>
    <definedName name="_xlnm.Print_Titles" localSheetId="7">'25.07 Ndeeba-Lubiri'!$1:$8</definedName>
    <definedName name="_xlnm.Print_Titles" localSheetId="8">'26.07 Lubiri-Ndeeba-24h'!$1:$8</definedName>
    <definedName name="_xlnm.Print_Titles" localSheetId="9">'26.07 Ndeeba-Lubiri-24h'!$1:$8</definedName>
    <definedName name="_xlnm.Print_Titles" localSheetId="10">'27.07 Lubiri-Ndeeba-24h'!$1:$8</definedName>
    <definedName name="_xlnm.Print_Titles" localSheetId="11">'27.07 Ndeeba-Lubiri-24h'!$1:$8</definedName>
    <definedName name="_xlnm.Print_Titles" localSheetId="12">'28.07 Lubiri-Ndeeba'!$1:$8</definedName>
    <definedName name="_xlnm.Print_Titles" localSheetId="13">'28.07 Ndeeba-Lubiri'!$1:$8</definedName>
    <definedName name="_xlnm.Print_Titles" localSheetId="14">'Avg Week Lubiri-Ndeeba'!$1:$8</definedName>
    <definedName name="_xlnm.Print_Titles" localSheetId="15">'Avg Week Ndeeba-Lubiri'!$1:$8</definedName>
    <definedName name="_xlnm.Print_Titles" localSheetId="16">'Avg Week Ndeeba-Lubiri-2Dir'!$1:$8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3" i="112" l="1"/>
  <c r="G5" i="112"/>
  <c r="K6" i="112"/>
  <c r="K5" i="112"/>
  <c r="N105" i="112" l="1"/>
  <c r="M105" i="112"/>
  <c r="L105" i="112"/>
  <c r="K105" i="112"/>
  <c r="J105" i="112"/>
  <c r="I105" i="112"/>
  <c r="H105" i="112"/>
  <c r="G105" i="112"/>
  <c r="F105" i="112"/>
  <c r="E105" i="112"/>
  <c r="D105" i="112"/>
  <c r="C105" i="112"/>
  <c r="N104" i="112"/>
  <c r="M104" i="112"/>
  <c r="L104" i="112"/>
  <c r="K104" i="112"/>
  <c r="J104" i="112"/>
  <c r="I104" i="112"/>
  <c r="H104" i="112"/>
  <c r="G104" i="112"/>
  <c r="F104" i="112"/>
  <c r="E104" i="112"/>
  <c r="D104" i="112"/>
  <c r="C104" i="112"/>
  <c r="P104" i="112" s="1"/>
  <c r="N103" i="112"/>
  <c r="M103" i="112"/>
  <c r="L103" i="112"/>
  <c r="K103" i="112"/>
  <c r="J103" i="112"/>
  <c r="I103" i="112"/>
  <c r="H103" i="112"/>
  <c r="G103" i="112"/>
  <c r="F103" i="112"/>
  <c r="E103" i="112"/>
  <c r="D103" i="112"/>
  <c r="C103" i="112"/>
  <c r="O103" i="112" s="1"/>
  <c r="N102" i="112"/>
  <c r="M102" i="112"/>
  <c r="L102" i="112"/>
  <c r="K102" i="112"/>
  <c r="AA33" i="112" s="1"/>
  <c r="J102" i="112"/>
  <c r="I102" i="112"/>
  <c r="H102" i="112"/>
  <c r="G102" i="112"/>
  <c r="W33" i="112" s="1"/>
  <c r="F102" i="112"/>
  <c r="E102" i="112"/>
  <c r="D102" i="112"/>
  <c r="C102" i="112"/>
  <c r="S33" i="112" s="1"/>
  <c r="N101" i="112"/>
  <c r="M101" i="112"/>
  <c r="L101" i="112"/>
  <c r="K101" i="112"/>
  <c r="J101" i="112"/>
  <c r="I101" i="112"/>
  <c r="H101" i="112"/>
  <c r="G101" i="112"/>
  <c r="F101" i="112"/>
  <c r="E101" i="112"/>
  <c r="D101" i="112"/>
  <c r="C101" i="112"/>
  <c r="P101" i="112" s="1"/>
  <c r="N100" i="112"/>
  <c r="M100" i="112"/>
  <c r="L100" i="112"/>
  <c r="K100" i="112"/>
  <c r="J100" i="112"/>
  <c r="I100" i="112"/>
  <c r="H100" i="112"/>
  <c r="G100" i="112"/>
  <c r="F100" i="112"/>
  <c r="E100" i="112"/>
  <c r="D100" i="112"/>
  <c r="C100" i="112"/>
  <c r="P100" i="112" s="1"/>
  <c r="N99" i="112"/>
  <c r="M99" i="112"/>
  <c r="L99" i="112"/>
  <c r="K99" i="112"/>
  <c r="J99" i="112"/>
  <c r="I99" i="112"/>
  <c r="H99" i="112"/>
  <c r="G99" i="112"/>
  <c r="F99" i="112"/>
  <c r="E99" i="112"/>
  <c r="D99" i="112"/>
  <c r="C99" i="112"/>
  <c r="N98" i="112"/>
  <c r="M98" i="112"/>
  <c r="L98" i="112"/>
  <c r="K98" i="112"/>
  <c r="AA32" i="112" s="1"/>
  <c r="J98" i="112"/>
  <c r="I98" i="112"/>
  <c r="H98" i="112"/>
  <c r="G98" i="112"/>
  <c r="W32" i="112" s="1"/>
  <c r="F98" i="112"/>
  <c r="E98" i="112"/>
  <c r="D98" i="112"/>
  <c r="C98" i="112"/>
  <c r="P98" i="112" s="1"/>
  <c r="N97" i="112"/>
  <c r="M97" i="112"/>
  <c r="L97" i="112"/>
  <c r="K97" i="112"/>
  <c r="J97" i="112"/>
  <c r="I97" i="112"/>
  <c r="H97" i="112"/>
  <c r="G97" i="112"/>
  <c r="F97" i="112"/>
  <c r="E97" i="112"/>
  <c r="D97" i="112"/>
  <c r="C97" i="112"/>
  <c r="N96" i="112"/>
  <c r="M96" i="112"/>
  <c r="L96" i="112"/>
  <c r="K96" i="112"/>
  <c r="J96" i="112"/>
  <c r="I96" i="112"/>
  <c r="H96" i="112"/>
  <c r="G96" i="112"/>
  <c r="F96" i="112"/>
  <c r="E96" i="112"/>
  <c r="D96" i="112"/>
  <c r="C96" i="112"/>
  <c r="P96" i="112" s="1"/>
  <c r="N95" i="112"/>
  <c r="M95" i="112"/>
  <c r="L95" i="112"/>
  <c r="K95" i="112"/>
  <c r="J95" i="112"/>
  <c r="I95" i="112"/>
  <c r="H95" i="112"/>
  <c r="G95" i="112"/>
  <c r="F95" i="112"/>
  <c r="E95" i="112"/>
  <c r="D95" i="112"/>
  <c r="C95" i="112"/>
  <c r="N94" i="112"/>
  <c r="M94" i="112"/>
  <c r="L94" i="112"/>
  <c r="K94" i="112"/>
  <c r="AA31" i="112" s="1"/>
  <c r="J94" i="112"/>
  <c r="I94" i="112"/>
  <c r="H94" i="112"/>
  <c r="G94" i="112"/>
  <c r="W31" i="112" s="1"/>
  <c r="F94" i="112"/>
  <c r="E94" i="112"/>
  <c r="D94" i="112"/>
  <c r="C94" i="112"/>
  <c r="P94" i="112" s="1"/>
  <c r="N93" i="112"/>
  <c r="M93" i="112"/>
  <c r="L93" i="112"/>
  <c r="K93" i="112"/>
  <c r="J93" i="112"/>
  <c r="I93" i="112"/>
  <c r="H93" i="112"/>
  <c r="G93" i="112"/>
  <c r="F93" i="112"/>
  <c r="E93" i="112"/>
  <c r="D93" i="112"/>
  <c r="C93" i="112"/>
  <c r="P93" i="112" s="1"/>
  <c r="N92" i="112"/>
  <c r="M92" i="112"/>
  <c r="L92" i="112"/>
  <c r="K92" i="112"/>
  <c r="J92" i="112"/>
  <c r="I92" i="112"/>
  <c r="H92" i="112"/>
  <c r="G92" i="112"/>
  <c r="F92" i="112"/>
  <c r="E92" i="112"/>
  <c r="D92" i="112"/>
  <c r="C92" i="112"/>
  <c r="N91" i="112"/>
  <c r="M91" i="112"/>
  <c r="L91" i="112"/>
  <c r="K91" i="112"/>
  <c r="J91" i="112"/>
  <c r="I91" i="112"/>
  <c r="H91" i="112"/>
  <c r="G91" i="112"/>
  <c r="F91" i="112"/>
  <c r="E91" i="112"/>
  <c r="D91" i="112"/>
  <c r="C91" i="112"/>
  <c r="N90" i="112"/>
  <c r="M90" i="112"/>
  <c r="L90" i="112"/>
  <c r="K90" i="112"/>
  <c r="AA30" i="112" s="1"/>
  <c r="J90" i="112"/>
  <c r="I90" i="112"/>
  <c r="H90" i="112"/>
  <c r="G90" i="112"/>
  <c r="W30" i="112" s="1"/>
  <c r="F90" i="112"/>
  <c r="E90" i="112"/>
  <c r="D90" i="112"/>
  <c r="C90" i="112"/>
  <c r="S30" i="112" s="1"/>
  <c r="N89" i="112"/>
  <c r="M89" i="112"/>
  <c r="L89" i="112"/>
  <c r="K89" i="112"/>
  <c r="J89" i="112"/>
  <c r="I89" i="112"/>
  <c r="H89" i="112"/>
  <c r="G89" i="112"/>
  <c r="F89" i="112"/>
  <c r="E89" i="112"/>
  <c r="D89" i="112"/>
  <c r="C89" i="112"/>
  <c r="N88" i="112"/>
  <c r="M88" i="112"/>
  <c r="L88" i="112"/>
  <c r="K88" i="112"/>
  <c r="J88" i="112"/>
  <c r="I88" i="112"/>
  <c r="H88" i="112"/>
  <c r="G88" i="112"/>
  <c r="F88" i="112"/>
  <c r="E88" i="112"/>
  <c r="D88" i="112"/>
  <c r="C88" i="112"/>
  <c r="N87" i="112"/>
  <c r="M87" i="112"/>
  <c r="L87" i="112"/>
  <c r="K87" i="112"/>
  <c r="J87" i="112"/>
  <c r="I87" i="112"/>
  <c r="H87" i="112"/>
  <c r="G87" i="112"/>
  <c r="F87" i="112"/>
  <c r="E87" i="112"/>
  <c r="D87" i="112"/>
  <c r="C87" i="112"/>
  <c r="P87" i="112" s="1"/>
  <c r="N86" i="112"/>
  <c r="M86" i="112"/>
  <c r="L86" i="112"/>
  <c r="K86" i="112"/>
  <c r="AA29" i="112" s="1"/>
  <c r="J86" i="112"/>
  <c r="I86" i="112"/>
  <c r="H86" i="112"/>
  <c r="G86" i="112"/>
  <c r="W29" i="112" s="1"/>
  <c r="F86" i="112"/>
  <c r="E86" i="112"/>
  <c r="D86" i="112"/>
  <c r="C86" i="112"/>
  <c r="S29" i="112" s="1"/>
  <c r="N85" i="112"/>
  <c r="M85" i="112"/>
  <c r="L85" i="112"/>
  <c r="K85" i="112"/>
  <c r="J85" i="112"/>
  <c r="I85" i="112"/>
  <c r="H85" i="112"/>
  <c r="G85" i="112"/>
  <c r="F85" i="112"/>
  <c r="E85" i="112"/>
  <c r="D85" i="112"/>
  <c r="C85" i="112"/>
  <c r="P85" i="112" s="1"/>
  <c r="N84" i="112"/>
  <c r="M84" i="112"/>
  <c r="L84" i="112"/>
  <c r="K84" i="112"/>
  <c r="J84" i="112"/>
  <c r="I84" i="112"/>
  <c r="H84" i="112"/>
  <c r="G84" i="112"/>
  <c r="F84" i="112"/>
  <c r="E84" i="112"/>
  <c r="D84" i="112"/>
  <c r="C84" i="112"/>
  <c r="N83" i="112"/>
  <c r="M83" i="112"/>
  <c r="L83" i="112"/>
  <c r="K83" i="112"/>
  <c r="J83" i="112"/>
  <c r="I83" i="112"/>
  <c r="H83" i="112"/>
  <c r="G83" i="112"/>
  <c r="F83" i="112"/>
  <c r="E83" i="112"/>
  <c r="D83" i="112"/>
  <c r="C83" i="112"/>
  <c r="N82" i="112"/>
  <c r="M82" i="112"/>
  <c r="L82" i="112"/>
  <c r="K82" i="112"/>
  <c r="AA28" i="112" s="1"/>
  <c r="J82" i="112"/>
  <c r="I82" i="112"/>
  <c r="H82" i="112"/>
  <c r="G82" i="112"/>
  <c r="W28" i="112" s="1"/>
  <c r="F82" i="112"/>
  <c r="E82" i="112"/>
  <c r="D82" i="112"/>
  <c r="C82" i="112"/>
  <c r="S28" i="112" s="1"/>
  <c r="N81" i="112"/>
  <c r="M81" i="112"/>
  <c r="L81" i="112"/>
  <c r="K81" i="112"/>
  <c r="J81" i="112"/>
  <c r="I81" i="112"/>
  <c r="H81" i="112"/>
  <c r="G81" i="112"/>
  <c r="F81" i="112"/>
  <c r="E81" i="112"/>
  <c r="D81" i="112"/>
  <c r="C81" i="112"/>
  <c r="N80" i="112"/>
  <c r="M80" i="112"/>
  <c r="L80" i="112"/>
  <c r="K80" i="112"/>
  <c r="J80" i="112"/>
  <c r="I80" i="112"/>
  <c r="H80" i="112"/>
  <c r="G80" i="112"/>
  <c r="F80" i="112"/>
  <c r="E80" i="112"/>
  <c r="D80" i="112"/>
  <c r="C80" i="112"/>
  <c r="N79" i="112"/>
  <c r="M79" i="112"/>
  <c r="L79" i="112"/>
  <c r="K79" i="112"/>
  <c r="J79" i="112"/>
  <c r="I79" i="112"/>
  <c r="H79" i="112"/>
  <c r="G79" i="112"/>
  <c r="F79" i="112"/>
  <c r="E79" i="112"/>
  <c r="D79" i="112"/>
  <c r="C79" i="112"/>
  <c r="P79" i="112" s="1"/>
  <c r="N78" i="112"/>
  <c r="M78" i="112"/>
  <c r="L78" i="112"/>
  <c r="K78" i="112"/>
  <c r="AA27" i="112" s="1"/>
  <c r="J78" i="112"/>
  <c r="I78" i="112"/>
  <c r="H78" i="112"/>
  <c r="G78" i="112"/>
  <c r="W27" i="112" s="1"/>
  <c r="F78" i="112"/>
  <c r="E78" i="112"/>
  <c r="D78" i="112"/>
  <c r="C78" i="112"/>
  <c r="P78" i="112" s="1"/>
  <c r="N77" i="112"/>
  <c r="M77" i="112"/>
  <c r="L77" i="112"/>
  <c r="K77" i="112"/>
  <c r="J77" i="112"/>
  <c r="I77" i="112"/>
  <c r="H77" i="112"/>
  <c r="G77" i="112"/>
  <c r="F77" i="112"/>
  <c r="E77" i="112"/>
  <c r="D77" i="112"/>
  <c r="C77" i="112"/>
  <c r="N76" i="112"/>
  <c r="M76" i="112"/>
  <c r="L76" i="112"/>
  <c r="K76" i="112"/>
  <c r="J76" i="112"/>
  <c r="I76" i="112"/>
  <c r="H76" i="112"/>
  <c r="G76" i="112"/>
  <c r="F76" i="112"/>
  <c r="E76" i="112"/>
  <c r="D76" i="112"/>
  <c r="C76" i="112"/>
  <c r="P76" i="112" s="1"/>
  <c r="N75" i="112"/>
  <c r="M75" i="112"/>
  <c r="L75" i="112"/>
  <c r="K75" i="112"/>
  <c r="J75" i="112"/>
  <c r="I75" i="112"/>
  <c r="H75" i="112"/>
  <c r="G75" i="112"/>
  <c r="F75" i="112"/>
  <c r="E75" i="112"/>
  <c r="D75" i="112"/>
  <c r="C75" i="112"/>
  <c r="N74" i="112"/>
  <c r="M74" i="112"/>
  <c r="L74" i="112"/>
  <c r="K74" i="112"/>
  <c r="AA26" i="112" s="1"/>
  <c r="J74" i="112"/>
  <c r="I74" i="112"/>
  <c r="H74" i="112"/>
  <c r="G74" i="112"/>
  <c r="W26" i="112" s="1"/>
  <c r="F74" i="112"/>
  <c r="E74" i="112"/>
  <c r="D74" i="112"/>
  <c r="C74" i="112"/>
  <c r="P74" i="112" s="1"/>
  <c r="N73" i="112"/>
  <c r="M73" i="112"/>
  <c r="L73" i="112"/>
  <c r="K73" i="112"/>
  <c r="J73" i="112"/>
  <c r="I73" i="112"/>
  <c r="H73" i="112"/>
  <c r="G73" i="112"/>
  <c r="F73" i="112"/>
  <c r="E73" i="112"/>
  <c r="D73" i="112"/>
  <c r="C73" i="112"/>
  <c r="N72" i="112"/>
  <c r="M72" i="112"/>
  <c r="L72" i="112"/>
  <c r="K72" i="112"/>
  <c r="J72" i="112"/>
  <c r="I72" i="112"/>
  <c r="H72" i="112"/>
  <c r="G72" i="112"/>
  <c r="F72" i="112"/>
  <c r="E72" i="112"/>
  <c r="D72" i="112"/>
  <c r="C72" i="112"/>
  <c r="P72" i="112" s="1"/>
  <c r="N71" i="112"/>
  <c r="M71" i="112"/>
  <c r="L71" i="112"/>
  <c r="K71" i="112"/>
  <c r="J71" i="112"/>
  <c r="I71" i="112"/>
  <c r="H71" i="112"/>
  <c r="G71" i="112"/>
  <c r="F71" i="112"/>
  <c r="E71" i="112"/>
  <c r="D71" i="112"/>
  <c r="C71" i="112"/>
  <c r="P71" i="112" s="1"/>
  <c r="N70" i="112"/>
  <c r="M70" i="112"/>
  <c r="L70" i="112"/>
  <c r="K70" i="112"/>
  <c r="AA25" i="112" s="1"/>
  <c r="J70" i="112"/>
  <c r="I70" i="112"/>
  <c r="H70" i="112"/>
  <c r="G70" i="112"/>
  <c r="W25" i="112" s="1"/>
  <c r="F70" i="112"/>
  <c r="E70" i="112"/>
  <c r="D70" i="112"/>
  <c r="C70" i="112"/>
  <c r="P70" i="112" s="1"/>
  <c r="N69" i="112"/>
  <c r="M69" i="112"/>
  <c r="L69" i="112"/>
  <c r="K69" i="112"/>
  <c r="J69" i="112"/>
  <c r="I69" i="112"/>
  <c r="H69" i="112"/>
  <c r="G69" i="112"/>
  <c r="F69" i="112"/>
  <c r="E69" i="112"/>
  <c r="D69" i="112"/>
  <c r="C69" i="112"/>
  <c r="N68" i="112"/>
  <c r="M68" i="112"/>
  <c r="L68" i="112"/>
  <c r="K68" i="112"/>
  <c r="J68" i="112"/>
  <c r="I68" i="112"/>
  <c r="H68" i="112"/>
  <c r="G68" i="112"/>
  <c r="F68" i="112"/>
  <c r="E68" i="112"/>
  <c r="D68" i="112"/>
  <c r="C68" i="112"/>
  <c r="P68" i="112" s="1"/>
  <c r="N67" i="112"/>
  <c r="M67" i="112"/>
  <c r="L67" i="112"/>
  <c r="K67" i="112"/>
  <c r="J67" i="112"/>
  <c r="I67" i="112"/>
  <c r="H67" i="112"/>
  <c r="G67" i="112"/>
  <c r="F67" i="112"/>
  <c r="E67" i="112"/>
  <c r="D67" i="112"/>
  <c r="C67" i="112"/>
  <c r="N66" i="112"/>
  <c r="M66" i="112"/>
  <c r="L66" i="112"/>
  <c r="K66" i="112"/>
  <c r="J66" i="112"/>
  <c r="I66" i="112"/>
  <c r="H66" i="112"/>
  <c r="G66" i="112"/>
  <c r="W24" i="112" s="1"/>
  <c r="F66" i="112"/>
  <c r="E66" i="112"/>
  <c r="D66" i="112"/>
  <c r="C66" i="112"/>
  <c r="P66" i="112" s="1"/>
  <c r="N65" i="112"/>
  <c r="M65" i="112"/>
  <c r="L65" i="112"/>
  <c r="K65" i="112"/>
  <c r="J65" i="112"/>
  <c r="I65" i="112"/>
  <c r="H65" i="112"/>
  <c r="G65" i="112"/>
  <c r="F65" i="112"/>
  <c r="E65" i="112"/>
  <c r="D65" i="112"/>
  <c r="C65" i="112"/>
  <c r="N64" i="112"/>
  <c r="M64" i="112"/>
  <c r="L64" i="112"/>
  <c r="K64" i="112"/>
  <c r="J64" i="112"/>
  <c r="I64" i="112"/>
  <c r="H64" i="112"/>
  <c r="G64" i="112"/>
  <c r="F64" i="112"/>
  <c r="E64" i="112"/>
  <c r="D64" i="112"/>
  <c r="C64" i="112"/>
  <c r="P64" i="112" s="1"/>
  <c r="N63" i="112"/>
  <c r="M63" i="112"/>
  <c r="L63" i="112"/>
  <c r="K63" i="112"/>
  <c r="J63" i="112"/>
  <c r="I63" i="112"/>
  <c r="H63" i="112"/>
  <c r="G63" i="112"/>
  <c r="F63" i="112"/>
  <c r="E63" i="112"/>
  <c r="D63" i="112"/>
  <c r="C63" i="112"/>
  <c r="P63" i="112" s="1"/>
  <c r="N62" i="112"/>
  <c r="M62" i="112"/>
  <c r="L62" i="112"/>
  <c r="K62" i="112"/>
  <c r="AA23" i="112" s="1"/>
  <c r="J62" i="112"/>
  <c r="I62" i="112"/>
  <c r="H62" i="112"/>
  <c r="G62" i="112"/>
  <c r="W23" i="112" s="1"/>
  <c r="F62" i="112"/>
  <c r="E62" i="112"/>
  <c r="D62" i="112"/>
  <c r="C62" i="112"/>
  <c r="N61" i="112"/>
  <c r="M61" i="112"/>
  <c r="L61" i="112"/>
  <c r="K61" i="112"/>
  <c r="J61" i="112"/>
  <c r="I61" i="112"/>
  <c r="H61" i="112"/>
  <c r="G61" i="112"/>
  <c r="F61" i="112"/>
  <c r="E61" i="112"/>
  <c r="D61" i="112"/>
  <c r="C61" i="112"/>
  <c r="P61" i="112" s="1"/>
  <c r="N60" i="112"/>
  <c r="M60" i="112"/>
  <c r="L60" i="112"/>
  <c r="K60" i="112"/>
  <c r="J60" i="112"/>
  <c r="I60" i="112"/>
  <c r="H60" i="112"/>
  <c r="G60" i="112"/>
  <c r="F60" i="112"/>
  <c r="E60" i="112"/>
  <c r="D60" i="112"/>
  <c r="C60" i="112"/>
  <c r="P60" i="112" s="1"/>
  <c r="N59" i="112"/>
  <c r="M59" i="112"/>
  <c r="L59" i="112"/>
  <c r="K59" i="112"/>
  <c r="J59" i="112"/>
  <c r="I59" i="112"/>
  <c r="H59" i="112"/>
  <c r="G59" i="112"/>
  <c r="F59" i="112"/>
  <c r="E59" i="112"/>
  <c r="D59" i="112"/>
  <c r="C59" i="112"/>
  <c r="N58" i="112"/>
  <c r="M58" i="112"/>
  <c r="L58" i="112"/>
  <c r="K58" i="112"/>
  <c r="AA22" i="112" s="1"/>
  <c r="J58" i="112"/>
  <c r="I58" i="112"/>
  <c r="H58" i="112"/>
  <c r="G58" i="112"/>
  <c r="F58" i="112"/>
  <c r="E58" i="112"/>
  <c r="D58" i="112"/>
  <c r="C58" i="112"/>
  <c r="P58" i="112" s="1"/>
  <c r="N57" i="112"/>
  <c r="M57" i="112"/>
  <c r="L57" i="112"/>
  <c r="K57" i="112"/>
  <c r="J57" i="112"/>
  <c r="I57" i="112"/>
  <c r="H57" i="112"/>
  <c r="G57" i="112"/>
  <c r="F57" i="112"/>
  <c r="E57" i="112"/>
  <c r="D57" i="112"/>
  <c r="C57" i="112"/>
  <c r="N56" i="112"/>
  <c r="M56" i="112"/>
  <c r="L56" i="112"/>
  <c r="K56" i="112"/>
  <c r="J56" i="112"/>
  <c r="I56" i="112"/>
  <c r="H56" i="112"/>
  <c r="G56" i="112"/>
  <c r="F56" i="112"/>
  <c r="E56" i="112"/>
  <c r="D56" i="112"/>
  <c r="C56" i="112"/>
  <c r="P56" i="112" s="1"/>
  <c r="N55" i="112"/>
  <c r="M55" i="112"/>
  <c r="L55" i="112"/>
  <c r="K55" i="112"/>
  <c r="J55" i="112"/>
  <c r="I55" i="112"/>
  <c r="H55" i="112"/>
  <c r="G55" i="112"/>
  <c r="F55" i="112"/>
  <c r="E55" i="112"/>
  <c r="D55" i="112"/>
  <c r="C55" i="112"/>
  <c r="P55" i="112" s="1"/>
  <c r="N54" i="112"/>
  <c r="M54" i="112"/>
  <c r="L54" i="112"/>
  <c r="K54" i="112"/>
  <c r="AA21" i="112" s="1"/>
  <c r="J54" i="112"/>
  <c r="I54" i="112"/>
  <c r="H54" i="112"/>
  <c r="G54" i="112"/>
  <c r="F54" i="112"/>
  <c r="E54" i="112"/>
  <c r="D54" i="112"/>
  <c r="C54" i="112"/>
  <c r="S21" i="112" s="1"/>
  <c r="N53" i="112"/>
  <c r="M53" i="112"/>
  <c r="L53" i="112"/>
  <c r="K53" i="112"/>
  <c r="J53" i="112"/>
  <c r="I53" i="112"/>
  <c r="H53" i="112"/>
  <c r="G53" i="112"/>
  <c r="F53" i="112"/>
  <c r="E53" i="112"/>
  <c r="D53" i="112"/>
  <c r="C53" i="112"/>
  <c r="P53" i="112" s="1"/>
  <c r="N52" i="112"/>
  <c r="M52" i="112"/>
  <c r="L52" i="112"/>
  <c r="K52" i="112"/>
  <c r="J52" i="112"/>
  <c r="I52" i="112"/>
  <c r="H52" i="112"/>
  <c r="G52" i="112"/>
  <c r="F52" i="112"/>
  <c r="E52" i="112"/>
  <c r="D52" i="112"/>
  <c r="C52" i="112"/>
  <c r="P52" i="112" s="1"/>
  <c r="N51" i="112"/>
  <c r="M51" i="112"/>
  <c r="L51" i="112"/>
  <c r="K51" i="112"/>
  <c r="J51" i="112"/>
  <c r="I51" i="112"/>
  <c r="H51" i="112"/>
  <c r="G51" i="112"/>
  <c r="F51" i="112"/>
  <c r="E51" i="112"/>
  <c r="D51" i="112"/>
  <c r="C51" i="112"/>
  <c r="N50" i="112"/>
  <c r="M50" i="112"/>
  <c r="L50" i="112"/>
  <c r="K50" i="112"/>
  <c r="AA20" i="112" s="1"/>
  <c r="J50" i="112"/>
  <c r="I50" i="112"/>
  <c r="H50" i="112"/>
  <c r="G50" i="112"/>
  <c r="W20" i="112" s="1"/>
  <c r="F50" i="112"/>
  <c r="E50" i="112"/>
  <c r="D50" i="112"/>
  <c r="C50" i="112"/>
  <c r="P50" i="112" s="1"/>
  <c r="N49" i="112"/>
  <c r="M49" i="112"/>
  <c r="L49" i="112"/>
  <c r="K49" i="112"/>
  <c r="J49" i="112"/>
  <c r="I49" i="112"/>
  <c r="H49" i="112"/>
  <c r="G49" i="112"/>
  <c r="F49" i="112"/>
  <c r="E49" i="112"/>
  <c r="D49" i="112"/>
  <c r="C49" i="112"/>
  <c r="N48" i="112"/>
  <c r="M48" i="112"/>
  <c r="L48" i="112"/>
  <c r="K48" i="112"/>
  <c r="J48" i="112"/>
  <c r="I48" i="112"/>
  <c r="H48" i="112"/>
  <c r="G48" i="112"/>
  <c r="F48" i="112"/>
  <c r="E48" i="112"/>
  <c r="D48" i="112"/>
  <c r="C48" i="112"/>
  <c r="P48" i="112" s="1"/>
  <c r="N47" i="112"/>
  <c r="M47" i="112"/>
  <c r="L47" i="112"/>
  <c r="K47" i="112"/>
  <c r="J47" i="112"/>
  <c r="I47" i="112"/>
  <c r="H47" i="112"/>
  <c r="G47" i="112"/>
  <c r="F47" i="112"/>
  <c r="E47" i="112"/>
  <c r="D47" i="112"/>
  <c r="C47" i="112"/>
  <c r="N46" i="112"/>
  <c r="M46" i="112"/>
  <c r="L46" i="112"/>
  <c r="K46" i="112"/>
  <c r="AA19" i="112" s="1"/>
  <c r="J46" i="112"/>
  <c r="I46" i="112"/>
  <c r="H46" i="112"/>
  <c r="G46" i="112"/>
  <c r="W19" i="112" s="1"/>
  <c r="F46" i="112"/>
  <c r="E46" i="112"/>
  <c r="D46" i="112"/>
  <c r="C46" i="112"/>
  <c r="P46" i="112" s="1"/>
  <c r="N45" i="112"/>
  <c r="M45" i="112"/>
  <c r="L45" i="112"/>
  <c r="K45" i="112"/>
  <c r="J45" i="112"/>
  <c r="I45" i="112"/>
  <c r="H45" i="112"/>
  <c r="G45" i="112"/>
  <c r="F45" i="112"/>
  <c r="E45" i="112"/>
  <c r="D45" i="112"/>
  <c r="C45" i="112"/>
  <c r="N44" i="112"/>
  <c r="M44" i="112"/>
  <c r="L44" i="112"/>
  <c r="K44" i="112"/>
  <c r="J44" i="112"/>
  <c r="I44" i="112"/>
  <c r="H44" i="112"/>
  <c r="G44" i="112"/>
  <c r="F44" i="112"/>
  <c r="E44" i="112"/>
  <c r="D44" i="112"/>
  <c r="C44" i="112"/>
  <c r="P44" i="112" s="1"/>
  <c r="N43" i="112"/>
  <c r="M43" i="112"/>
  <c r="L43" i="112"/>
  <c r="K43" i="112"/>
  <c r="J43" i="112"/>
  <c r="I43" i="112"/>
  <c r="H43" i="112"/>
  <c r="G43" i="112"/>
  <c r="F43" i="112"/>
  <c r="E43" i="112"/>
  <c r="D43" i="112"/>
  <c r="C43" i="112"/>
  <c r="N42" i="112"/>
  <c r="M42" i="112"/>
  <c r="L42" i="112"/>
  <c r="K42" i="112"/>
  <c r="AA18" i="112" s="1"/>
  <c r="J42" i="112"/>
  <c r="I42" i="112"/>
  <c r="H42" i="112"/>
  <c r="G42" i="112"/>
  <c r="W18" i="112" s="1"/>
  <c r="F42" i="112"/>
  <c r="E42" i="112"/>
  <c r="D42" i="112"/>
  <c r="C42" i="112"/>
  <c r="S18" i="112" s="1"/>
  <c r="N41" i="112"/>
  <c r="M41" i="112"/>
  <c r="L41" i="112"/>
  <c r="K41" i="112"/>
  <c r="J41" i="112"/>
  <c r="I41" i="112"/>
  <c r="H41" i="112"/>
  <c r="G41" i="112"/>
  <c r="F41" i="112"/>
  <c r="E41" i="112"/>
  <c r="D41" i="112"/>
  <c r="C41" i="112"/>
  <c r="N40" i="112"/>
  <c r="M40" i="112"/>
  <c r="L40" i="112"/>
  <c r="K40" i="112"/>
  <c r="J40" i="112"/>
  <c r="I40" i="112"/>
  <c r="H40" i="112"/>
  <c r="G40" i="112"/>
  <c r="F40" i="112"/>
  <c r="E40" i="112"/>
  <c r="D40" i="112"/>
  <c r="C40" i="112"/>
  <c r="N39" i="112"/>
  <c r="M39" i="112"/>
  <c r="L39" i="112"/>
  <c r="K39" i="112"/>
  <c r="J39" i="112"/>
  <c r="I39" i="112"/>
  <c r="H39" i="112"/>
  <c r="G39" i="112"/>
  <c r="F39" i="112"/>
  <c r="E39" i="112"/>
  <c r="D39" i="112"/>
  <c r="C39" i="112"/>
  <c r="N38" i="112"/>
  <c r="M38" i="112"/>
  <c r="L38" i="112"/>
  <c r="K38" i="112"/>
  <c r="J38" i="112"/>
  <c r="I38" i="112"/>
  <c r="H38" i="112"/>
  <c r="G38" i="112"/>
  <c r="W17" i="112" s="1"/>
  <c r="F38" i="112"/>
  <c r="E38" i="112"/>
  <c r="D38" i="112"/>
  <c r="C38" i="112"/>
  <c r="S17" i="112" s="1"/>
  <c r="N37" i="112"/>
  <c r="M37" i="112"/>
  <c r="L37" i="112"/>
  <c r="K37" i="112"/>
  <c r="J37" i="112"/>
  <c r="I37" i="112"/>
  <c r="H37" i="112"/>
  <c r="G37" i="112"/>
  <c r="F37" i="112"/>
  <c r="E37" i="112"/>
  <c r="D37" i="112"/>
  <c r="C37" i="112"/>
  <c r="N36" i="112"/>
  <c r="M36" i="112"/>
  <c r="L36" i="112"/>
  <c r="K36" i="112"/>
  <c r="J36" i="112"/>
  <c r="I36" i="112"/>
  <c r="H36" i="112"/>
  <c r="G36" i="112"/>
  <c r="F36" i="112"/>
  <c r="E36" i="112"/>
  <c r="D36" i="112"/>
  <c r="C36" i="112"/>
  <c r="N35" i="112"/>
  <c r="M35" i="112"/>
  <c r="L35" i="112"/>
  <c r="K35" i="112"/>
  <c r="J35" i="112"/>
  <c r="I35" i="112"/>
  <c r="H35" i="112"/>
  <c r="G35" i="112"/>
  <c r="F35" i="112"/>
  <c r="E35" i="112"/>
  <c r="D35" i="112"/>
  <c r="C35" i="112"/>
  <c r="N34" i="112"/>
  <c r="M34" i="112"/>
  <c r="L34" i="112"/>
  <c r="K34" i="112"/>
  <c r="AA16" i="112" s="1"/>
  <c r="J34" i="112"/>
  <c r="I34" i="112"/>
  <c r="H34" i="112"/>
  <c r="G34" i="112"/>
  <c r="W16" i="112" s="1"/>
  <c r="F34" i="112"/>
  <c r="E34" i="112"/>
  <c r="D34" i="112"/>
  <c r="C34" i="112"/>
  <c r="N33" i="112"/>
  <c r="M33" i="112"/>
  <c r="L33" i="112"/>
  <c r="K33" i="112"/>
  <c r="J33" i="112"/>
  <c r="I33" i="112"/>
  <c r="H33" i="112"/>
  <c r="G33" i="112"/>
  <c r="F33" i="112"/>
  <c r="E33" i="112"/>
  <c r="D33" i="112"/>
  <c r="C33" i="112"/>
  <c r="P33" i="112" s="1"/>
  <c r="N32" i="112"/>
  <c r="M32" i="112"/>
  <c r="L32" i="112"/>
  <c r="K32" i="112"/>
  <c r="J32" i="112"/>
  <c r="I32" i="112"/>
  <c r="H32" i="112"/>
  <c r="G32" i="112"/>
  <c r="F32" i="112"/>
  <c r="E32" i="112"/>
  <c r="D32" i="112"/>
  <c r="C32" i="112"/>
  <c r="N31" i="112"/>
  <c r="M31" i="112"/>
  <c r="L31" i="112"/>
  <c r="K31" i="112"/>
  <c r="J31" i="112"/>
  <c r="I31" i="112"/>
  <c r="H31" i="112"/>
  <c r="G31" i="112"/>
  <c r="F31" i="112"/>
  <c r="E31" i="112"/>
  <c r="D31" i="112"/>
  <c r="C31" i="112"/>
  <c r="N30" i="112"/>
  <c r="M30" i="112"/>
  <c r="L30" i="112"/>
  <c r="K30" i="112"/>
  <c r="J30" i="112"/>
  <c r="I30" i="112"/>
  <c r="H30" i="112"/>
  <c r="G30" i="112"/>
  <c r="W15" i="112" s="1"/>
  <c r="F30" i="112"/>
  <c r="E30" i="112"/>
  <c r="D30" i="112"/>
  <c r="C30" i="112"/>
  <c r="S15" i="112" s="1"/>
  <c r="N29" i="112"/>
  <c r="M29" i="112"/>
  <c r="L29" i="112"/>
  <c r="K29" i="112"/>
  <c r="J29" i="112"/>
  <c r="I29" i="112"/>
  <c r="H29" i="112"/>
  <c r="G29" i="112"/>
  <c r="F29" i="112"/>
  <c r="E29" i="112"/>
  <c r="D29" i="112"/>
  <c r="C29" i="112"/>
  <c r="N28" i="112"/>
  <c r="M28" i="112"/>
  <c r="L28" i="112"/>
  <c r="K28" i="112"/>
  <c r="J28" i="112"/>
  <c r="I28" i="112"/>
  <c r="H28" i="112"/>
  <c r="G28" i="112"/>
  <c r="F28" i="112"/>
  <c r="E28" i="112"/>
  <c r="D28" i="112"/>
  <c r="C28" i="112"/>
  <c r="P28" i="112" s="1"/>
  <c r="N27" i="112"/>
  <c r="M27" i="112"/>
  <c r="L27" i="112"/>
  <c r="K27" i="112"/>
  <c r="J27" i="112"/>
  <c r="I27" i="112"/>
  <c r="H27" i="112"/>
  <c r="G27" i="112"/>
  <c r="F27" i="112"/>
  <c r="E27" i="112"/>
  <c r="D27" i="112"/>
  <c r="C27" i="112"/>
  <c r="P27" i="112" s="1"/>
  <c r="N26" i="112"/>
  <c r="M26" i="112"/>
  <c r="L26" i="112"/>
  <c r="K26" i="112"/>
  <c r="AA14" i="112" s="1"/>
  <c r="J26" i="112"/>
  <c r="I26" i="112"/>
  <c r="H26" i="112"/>
  <c r="G26" i="112"/>
  <c r="W14" i="112" s="1"/>
  <c r="F26" i="112"/>
  <c r="E26" i="112"/>
  <c r="D26" i="112"/>
  <c r="C26" i="112"/>
  <c r="S14" i="112" s="1"/>
  <c r="N25" i="112"/>
  <c r="M25" i="112"/>
  <c r="L25" i="112"/>
  <c r="K25" i="112"/>
  <c r="J25" i="112"/>
  <c r="I25" i="112"/>
  <c r="H25" i="112"/>
  <c r="G25" i="112"/>
  <c r="F25" i="112"/>
  <c r="E25" i="112"/>
  <c r="D25" i="112"/>
  <c r="C25" i="112"/>
  <c r="P25" i="112" s="1"/>
  <c r="N24" i="112"/>
  <c r="M24" i="112"/>
  <c r="L24" i="112"/>
  <c r="K24" i="112"/>
  <c r="J24" i="112"/>
  <c r="I24" i="112"/>
  <c r="H24" i="112"/>
  <c r="G24" i="112"/>
  <c r="F24" i="112"/>
  <c r="E24" i="112"/>
  <c r="D24" i="112"/>
  <c r="C24" i="112"/>
  <c r="P24" i="112" s="1"/>
  <c r="N23" i="112"/>
  <c r="M23" i="112"/>
  <c r="L23" i="112"/>
  <c r="K23" i="112"/>
  <c r="J23" i="112"/>
  <c r="I23" i="112"/>
  <c r="H23" i="112"/>
  <c r="G23" i="112"/>
  <c r="F23" i="112"/>
  <c r="E23" i="112"/>
  <c r="D23" i="112"/>
  <c r="C23" i="112"/>
  <c r="P23" i="112" s="1"/>
  <c r="N22" i="112"/>
  <c r="M22" i="112"/>
  <c r="L22" i="112"/>
  <c r="K22" i="112"/>
  <c r="AA13" i="112" s="1"/>
  <c r="AA38" i="112" s="1"/>
  <c r="J22" i="112"/>
  <c r="I22" i="112"/>
  <c r="H22" i="112"/>
  <c r="G22" i="112"/>
  <c r="W13" i="112" s="1"/>
  <c r="W35" i="112" s="1"/>
  <c r="F22" i="112"/>
  <c r="E22" i="112"/>
  <c r="D22" i="112"/>
  <c r="C22" i="112"/>
  <c r="S13" i="112" s="1"/>
  <c r="N21" i="112"/>
  <c r="M21" i="112"/>
  <c r="L21" i="112"/>
  <c r="K21" i="112"/>
  <c r="J21" i="112"/>
  <c r="I21" i="112"/>
  <c r="H21" i="112"/>
  <c r="G21" i="112"/>
  <c r="F21" i="112"/>
  <c r="E21" i="112"/>
  <c r="D21" i="112"/>
  <c r="C21" i="112"/>
  <c r="P21" i="112" s="1"/>
  <c r="N20" i="112"/>
  <c r="M20" i="112"/>
  <c r="L20" i="112"/>
  <c r="K20" i="112"/>
  <c r="J20" i="112"/>
  <c r="I20" i="112"/>
  <c r="H20" i="112"/>
  <c r="G20" i="112"/>
  <c r="F20" i="112"/>
  <c r="E20" i="112"/>
  <c r="D20" i="112"/>
  <c r="C20" i="112"/>
  <c r="P20" i="112" s="1"/>
  <c r="N19" i="112"/>
  <c r="M19" i="112"/>
  <c r="L19" i="112"/>
  <c r="K19" i="112"/>
  <c r="J19" i="112"/>
  <c r="I19" i="112"/>
  <c r="H19" i="112"/>
  <c r="G19" i="112"/>
  <c r="F19" i="112"/>
  <c r="E19" i="112"/>
  <c r="D19" i="112"/>
  <c r="C19" i="112"/>
  <c r="N18" i="112"/>
  <c r="M18" i="112"/>
  <c r="L18" i="112"/>
  <c r="K18" i="112"/>
  <c r="AA12" i="112" s="1"/>
  <c r="J18" i="112"/>
  <c r="I18" i="112"/>
  <c r="H18" i="112"/>
  <c r="G18" i="112"/>
  <c r="F18" i="112"/>
  <c r="E18" i="112"/>
  <c r="D18" i="112"/>
  <c r="C18" i="112"/>
  <c r="O18" i="112" s="1"/>
  <c r="N17" i="112"/>
  <c r="M17" i="112"/>
  <c r="L17" i="112"/>
  <c r="K17" i="112"/>
  <c r="J17" i="112"/>
  <c r="I17" i="112"/>
  <c r="H17" i="112"/>
  <c r="G17" i="112"/>
  <c r="F17" i="112"/>
  <c r="E17" i="112"/>
  <c r="D17" i="112"/>
  <c r="C17" i="112"/>
  <c r="P17" i="112" s="1"/>
  <c r="N16" i="112"/>
  <c r="M16" i="112"/>
  <c r="L16" i="112"/>
  <c r="K16" i="112"/>
  <c r="J16" i="112"/>
  <c r="I16" i="112"/>
  <c r="H16" i="112"/>
  <c r="G16" i="112"/>
  <c r="F16" i="112"/>
  <c r="E16" i="112"/>
  <c r="D16" i="112"/>
  <c r="C16" i="112"/>
  <c r="P16" i="112" s="1"/>
  <c r="N15" i="112"/>
  <c r="M15" i="112"/>
  <c r="L15" i="112"/>
  <c r="K15" i="112"/>
  <c r="J15" i="112"/>
  <c r="I15" i="112"/>
  <c r="H15" i="112"/>
  <c r="G15" i="112"/>
  <c r="F15" i="112"/>
  <c r="E15" i="112"/>
  <c r="D15" i="112"/>
  <c r="C15" i="112"/>
  <c r="P15" i="112" s="1"/>
  <c r="N14" i="112"/>
  <c r="M14" i="112"/>
  <c r="L14" i="112"/>
  <c r="K14" i="112"/>
  <c r="AA11" i="112" s="1"/>
  <c r="J14" i="112"/>
  <c r="I14" i="112"/>
  <c r="H14" i="112"/>
  <c r="G14" i="112"/>
  <c r="W11" i="112" s="1"/>
  <c r="F14" i="112"/>
  <c r="E14" i="112"/>
  <c r="D14" i="112"/>
  <c r="C14" i="112"/>
  <c r="P14" i="112" s="1"/>
  <c r="AF11" i="112" s="1"/>
  <c r="N13" i="112"/>
  <c r="M13" i="112"/>
  <c r="L13" i="112"/>
  <c r="K13" i="112"/>
  <c r="J13" i="112"/>
  <c r="I13" i="112"/>
  <c r="H13" i="112"/>
  <c r="G13" i="112"/>
  <c r="F13" i="112"/>
  <c r="E13" i="112"/>
  <c r="D13" i="112"/>
  <c r="C13" i="112"/>
  <c r="N12" i="112"/>
  <c r="M12" i="112"/>
  <c r="L12" i="112"/>
  <c r="K12" i="112"/>
  <c r="J12" i="112"/>
  <c r="I12" i="112"/>
  <c r="H12" i="112"/>
  <c r="G12" i="112"/>
  <c r="F12" i="112"/>
  <c r="E12" i="112"/>
  <c r="D12" i="112"/>
  <c r="C12" i="112"/>
  <c r="P12" i="112" s="1"/>
  <c r="N11" i="112"/>
  <c r="M11" i="112"/>
  <c r="L11" i="112"/>
  <c r="K11" i="112"/>
  <c r="J11" i="112"/>
  <c r="I11" i="112"/>
  <c r="H11" i="112"/>
  <c r="G11" i="112"/>
  <c r="F11" i="112"/>
  <c r="E11" i="112"/>
  <c r="D11" i="112"/>
  <c r="C11" i="112"/>
  <c r="P11" i="112" s="1"/>
  <c r="N10" i="112"/>
  <c r="M10" i="112"/>
  <c r="L10" i="112"/>
  <c r="K10" i="112"/>
  <c r="AA10" i="112" s="1"/>
  <c r="J10" i="112"/>
  <c r="I10" i="112"/>
  <c r="H10" i="112"/>
  <c r="G10" i="112"/>
  <c r="W10" i="112" s="1"/>
  <c r="F10" i="112"/>
  <c r="E10" i="112"/>
  <c r="D10" i="112"/>
  <c r="C10" i="112"/>
  <c r="O10" i="112" s="1"/>
  <c r="P102" i="112"/>
  <c r="AC32" i="112"/>
  <c r="Y32" i="112"/>
  <c r="U32" i="112"/>
  <c r="AC31" i="112"/>
  <c r="Y31" i="112"/>
  <c r="U31" i="112"/>
  <c r="P95" i="112"/>
  <c r="P92" i="112"/>
  <c r="AC30" i="112"/>
  <c r="Y30" i="112"/>
  <c r="U30" i="112"/>
  <c r="P90" i="112"/>
  <c r="AC29" i="112"/>
  <c r="Y29" i="112"/>
  <c r="U29" i="112"/>
  <c r="P88" i="112"/>
  <c r="P84" i="112"/>
  <c r="AC28" i="112"/>
  <c r="Y28" i="112"/>
  <c r="U28" i="112"/>
  <c r="P82" i="112"/>
  <c r="AC27" i="112"/>
  <c r="Y27" i="112"/>
  <c r="U27" i="112"/>
  <c r="P80" i="112"/>
  <c r="P77" i="112"/>
  <c r="AC26" i="112"/>
  <c r="Y26" i="112"/>
  <c r="U26" i="112"/>
  <c r="AC25" i="112"/>
  <c r="Y25" i="112"/>
  <c r="U25" i="112"/>
  <c r="P69" i="112"/>
  <c r="AC24" i="112"/>
  <c r="Y24" i="112"/>
  <c r="U24" i="112"/>
  <c r="AC23" i="112"/>
  <c r="Y23" i="112"/>
  <c r="U23" i="112"/>
  <c r="P62" i="112"/>
  <c r="AC22" i="112"/>
  <c r="Y22" i="112"/>
  <c r="U22" i="112"/>
  <c r="AC21" i="112"/>
  <c r="Y21" i="112"/>
  <c r="U21" i="112"/>
  <c r="P54" i="112"/>
  <c r="AC20" i="112"/>
  <c r="Y20" i="112"/>
  <c r="U20" i="112"/>
  <c r="P47" i="112"/>
  <c r="P45" i="112"/>
  <c r="AC18" i="112"/>
  <c r="Y18" i="112"/>
  <c r="U18" i="112"/>
  <c r="AC17" i="112"/>
  <c r="Y17" i="112"/>
  <c r="U17" i="112"/>
  <c r="AC16" i="112"/>
  <c r="Y16" i="112"/>
  <c r="U16" i="112"/>
  <c r="AD33" i="112"/>
  <c r="AB33" i="112"/>
  <c r="Z33" i="112"/>
  <c r="X33" i="112"/>
  <c r="V33" i="112"/>
  <c r="T33" i="112"/>
  <c r="AD32" i="112"/>
  <c r="AB32" i="112"/>
  <c r="Z32" i="112"/>
  <c r="X32" i="112"/>
  <c r="V32" i="112"/>
  <c r="T32" i="112"/>
  <c r="S32" i="112"/>
  <c r="AD31" i="112"/>
  <c r="AB31" i="112"/>
  <c r="Z31" i="112"/>
  <c r="X31" i="112"/>
  <c r="V31" i="112"/>
  <c r="T31" i="112"/>
  <c r="P31" i="112"/>
  <c r="AD30" i="112"/>
  <c r="AB30" i="112"/>
  <c r="Z30" i="112"/>
  <c r="X30" i="112"/>
  <c r="V30" i="112"/>
  <c r="T30" i="112"/>
  <c r="AC15" i="112"/>
  <c r="Y15" i="112"/>
  <c r="P30" i="112"/>
  <c r="AD29" i="112"/>
  <c r="AB29" i="112"/>
  <c r="Z29" i="112"/>
  <c r="X29" i="112"/>
  <c r="V29" i="112"/>
  <c r="T29" i="112"/>
  <c r="AB14" i="112"/>
  <c r="X14" i="112"/>
  <c r="P29" i="112"/>
  <c r="AD28" i="112"/>
  <c r="AB28" i="112"/>
  <c r="Z28" i="112"/>
  <c r="X28" i="112"/>
  <c r="V28" i="112"/>
  <c r="T28" i="112"/>
  <c r="AD27" i="112"/>
  <c r="AB27" i="112"/>
  <c r="Z27" i="112"/>
  <c r="X27" i="112"/>
  <c r="V27" i="112"/>
  <c r="T27" i="112"/>
  <c r="AD26" i="112"/>
  <c r="AB26" i="112"/>
  <c r="Z26" i="112"/>
  <c r="X26" i="112"/>
  <c r="V26" i="112"/>
  <c r="T26" i="112"/>
  <c r="S26" i="112"/>
  <c r="AC14" i="112"/>
  <c r="Y14" i="112"/>
  <c r="AD25" i="112"/>
  <c r="AB25" i="112"/>
  <c r="Z25" i="112"/>
  <c r="X25" i="112"/>
  <c r="V25" i="112"/>
  <c r="T25" i="112"/>
  <c r="S25" i="112"/>
  <c r="AD24" i="112"/>
  <c r="AB24" i="112"/>
  <c r="AA24" i="112"/>
  <c r="Z24" i="112"/>
  <c r="X24" i="112"/>
  <c r="V24" i="112"/>
  <c r="T24" i="112"/>
  <c r="O24" i="112"/>
  <c r="AD23" i="112"/>
  <c r="AB23" i="112"/>
  <c r="Z23" i="112"/>
  <c r="X23" i="112"/>
  <c r="V23" i="112"/>
  <c r="T23" i="112"/>
  <c r="AB13" i="112"/>
  <c r="X13" i="112"/>
  <c r="AD22" i="112"/>
  <c r="AB22" i="112"/>
  <c r="Z22" i="112"/>
  <c r="X22" i="112"/>
  <c r="W22" i="112"/>
  <c r="V22" i="112"/>
  <c r="T22" i="112"/>
  <c r="AC13" i="112"/>
  <c r="Y13" i="112"/>
  <c r="U13" i="112"/>
  <c r="AD21" i="112"/>
  <c r="AB21" i="112"/>
  <c r="Z21" i="112"/>
  <c r="X21" i="112"/>
  <c r="W21" i="112"/>
  <c r="V21" i="112"/>
  <c r="T21" i="112"/>
  <c r="AC12" i="112"/>
  <c r="Y12" i="112"/>
  <c r="U12" i="112"/>
  <c r="AD20" i="112"/>
  <c r="AB20" i="112"/>
  <c r="Z20" i="112"/>
  <c r="X20" i="112"/>
  <c r="V20" i="112"/>
  <c r="T20" i="112"/>
  <c r="S20" i="112"/>
  <c r="AD19" i="112"/>
  <c r="AC19" i="112"/>
  <c r="AB19" i="112"/>
  <c r="Z19" i="112"/>
  <c r="Y19" i="112"/>
  <c r="X19" i="112"/>
  <c r="V19" i="112"/>
  <c r="U19" i="112"/>
  <c r="T19" i="112"/>
  <c r="P19" i="112"/>
  <c r="AD18" i="112"/>
  <c r="AB18" i="112"/>
  <c r="Z18" i="112"/>
  <c r="X18" i="112"/>
  <c r="V18" i="112"/>
  <c r="T18" i="112"/>
  <c r="AB12" i="112"/>
  <c r="X12" i="112"/>
  <c r="P18" i="112"/>
  <c r="AD17" i="112"/>
  <c r="AB17" i="112"/>
  <c r="AA17" i="112"/>
  <c r="Z17" i="112"/>
  <c r="X17" i="112"/>
  <c r="V17" i="112"/>
  <c r="T17" i="112"/>
  <c r="AD16" i="112"/>
  <c r="AB16" i="112"/>
  <c r="Z16" i="112"/>
  <c r="X16" i="112"/>
  <c r="V16" i="112"/>
  <c r="T16" i="112"/>
  <c r="S16" i="112"/>
  <c r="AD15" i="112"/>
  <c r="AB15" i="112"/>
  <c r="AA15" i="112"/>
  <c r="Z15" i="112"/>
  <c r="X15" i="112"/>
  <c r="V15" i="112"/>
  <c r="T15" i="112"/>
  <c r="AD14" i="112"/>
  <c r="Z14" i="112"/>
  <c r="V14" i="112"/>
  <c r="AC11" i="112"/>
  <c r="Y11" i="112"/>
  <c r="U11" i="112"/>
  <c r="AD13" i="112"/>
  <c r="Z13" i="112"/>
  <c r="V13" i="112"/>
  <c r="P13" i="112"/>
  <c r="AD12" i="112"/>
  <c r="Z12" i="112"/>
  <c r="W12" i="112"/>
  <c r="V12" i="112"/>
  <c r="AD11" i="112"/>
  <c r="AB11" i="112"/>
  <c r="Z11" i="112"/>
  <c r="X11" i="112"/>
  <c r="V11" i="112"/>
  <c r="T11" i="112"/>
  <c r="S11" i="112"/>
  <c r="S10" i="112"/>
  <c r="N106" i="112"/>
  <c r="M106" i="112"/>
  <c r="AB10" i="112"/>
  <c r="K106" i="112"/>
  <c r="J106" i="112"/>
  <c r="I106" i="112"/>
  <c r="X10" i="112"/>
  <c r="F106" i="112"/>
  <c r="E106" i="112"/>
  <c r="T10" i="112"/>
  <c r="S22" i="112" l="1"/>
  <c r="P26" i="112"/>
  <c r="AF14" i="112" s="1"/>
  <c r="O28" i="112"/>
  <c r="S12" i="112"/>
  <c r="S37" i="112" s="1"/>
  <c r="O20" i="112"/>
  <c r="S24" i="112"/>
  <c r="P86" i="112"/>
  <c r="O101" i="112"/>
  <c r="W39" i="112"/>
  <c r="W36" i="112"/>
  <c r="X41" i="112"/>
  <c r="X40" i="112"/>
  <c r="X37" i="112"/>
  <c r="X34" i="112"/>
  <c r="AB41" i="112"/>
  <c r="AB40" i="112"/>
  <c r="AB37" i="112"/>
  <c r="AB34" i="112"/>
  <c r="W40" i="112"/>
  <c r="AE12" i="112"/>
  <c r="AA40" i="112"/>
  <c r="AF12" i="112"/>
  <c r="AA36" i="112"/>
  <c r="AA39" i="112"/>
  <c r="Y38" i="112"/>
  <c r="Y35" i="112"/>
  <c r="AC38" i="112"/>
  <c r="AC35" i="112"/>
  <c r="X38" i="112"/>
  <c r="X35" i="112"/>
  <c r="AB38" i="112"/>
  <c r="AB35" i="112"/>
  <c r="O19" i="112"/>
  <c r="W41" i="112"/>
  <c r="W42" i="112" s="1"/>
  <c r="O46" i="112"/>
  <c r="O78" i="112"/>
  <c r="O94" i="112"/>
  <c r="T12" i="112"/>
  <c r="T37" i="112" s="1"/>
  <c r="T13" i="112"/>
  <c r="T14" i="112"/>
  <c r="V39" i="112"/>
  <c r="V36" i="112"/>
  <c r="Z39" i="112"/>
  <c r="Z36" i="112"/>
  <c r="AD39" i="112"/>
  <c r="AD36" i="112"/>
  <c r="S36" i="112"/>
  <c r="O23" i="112"/>
  <c r="O27" i="112"/>
  <c r="O31" i="112"/>
  <c r="AA35" i="112"/>
  <c r="AA37" i="112"/>
  <c r="AA41" i="112"/>
  <c r="O48" i="112"/>
  <c r="O64" i="112"/>
  <c r="O80" i="112"/>
  <c r="O96" i="112"/>
  <c r="Y39" i="112"/>
  <c r="Y36" i="112"/>
  <c r="W37" i="112"/>
  <c r="G106" i="112"/>
  <c r="AC10" i="112"/>
  <c r="O11" i="112"/>
  <c r="O12" i="112"/>
  <c r="O13" i="112"/>
  <c r="U14" i="112"/>
  <c r="U38" i="112" s="1"/>
  <c r="U15" i="112"/>
  <c r="O16" i="112"/>
  <c r="O17" i="112"/>
  <c r="S19" i="112"/>
  <c r="S39" i="112" s="1"/>
  <c r="O21" i="112"/>
  <c r="O22" i="112"/>
  <c r="P22" i="112"/>
  <c r="AF13" i="112" s="1"/>
  <c r="S23" i="112"/>
  <c r="O26" i="112"/>
  <c r="S27" i="112"/>
  <c r="O30" i="112"/>
  <c r="S31" i="112"/>
  <c r="W34" i="112"/>
  <c r="W38" i="112"/>
  <c r="O54" i="112"/>
  <c r="O70" i="112"/>
  <c r="O86" i="112"/>
  <c r="O102" i="112"/>
  <c r="S38" i="112"/>
  <c r="S35" i="112"/>
  <c r="U39" i="112"/>
  <c r="U36" i="112"/>
  <c r="AC39" i="112"/>
  <c r="AC36" i="112"/>
  <c r="O62" i="112"/>
  <c r="C106" i="112"/>
  <c r="U10" i="112"/>
  <c r="Y10" i="112"/>
  <c r="O14" i="112"/>
  <c r="O15" i="112"/>
  <c r="D106" i="112"/>
  <c r="H106" i="112"/>
  <c r="L106" i="112"/>
  <c r="P10" i="112"/>
  <c r="V10" i="112"/>
  <c r="Z10" i="112"/>
  <c r="AD10" i="112"/>
  <c r="V38" i="112"/>
  <c r="V35" i="112"/>
  <c r="Z38" i="112"/>
  <c r="Z35" i="112"/>
  <c r="AD38" i="112"/>
  <c r="AD35" i="112"/>
  <c r="O25" i="112"/>
  <c r="O29" i="112"/>
  <c r="AA34" i="112"/>
  <c r="O56" i="112"/>
  <c r="O72" i="112"/>
  <c r="O88" i="112"/>
  <c r="P99" i="112"/>
  <c r="O104" i="112"/>
  <c r="T39" i="112"/>
  <c r="T36" i="112"/>
  <c r="X39" i="112"/>
  <c r="X36" i="112"/>
  <c r="AB39" i="112"/>
  <c r="AB36" i="112"/>
  <c r="P49" i="112"/>
  <c r="AF19" i="112" s="1"/>
  <c r="O50" i="112"/>
  <c r="P57" i="112"/>
  <c r="AF21" i="112" s="1"/>
  <c r="O58" i="112"/>
  <c r="P65" i="112"/>
  <c r="AF23" i="112" s="1"/>
  <c r="O66" i="112"/>
  <c r="P73" i="112"/>
  <c r="AF25" i="112" s="1"/>
  <c r="O74" i="112"/>
  <c r="P81" i="112"/>
  <c r="AF27" i="112" s="1"/>
  <c r="O82" i="112"/>
  <c r="P89" i="112"/>
  <c r="AF29" i="112" s="1"/>
  <c r="O90" i="112"/>
  <c r="P97" i="112"/>
  <c r="AF31" i="112" s="1"/>
  <c r="AF32" i="112"/>
  <c r="O98" i="112"/>
  <c r="P103" i="112"/>
  <c r="O105" i="112"/>
  <c r="P32" i="112"/>
  <c r="AF15" i="112" s="1"/>
  <c r="O32" i="112"/>
  <c r="P34" i="112"/>
  <c r="P35" i="112"/>
  <c r="P36" i="112"/>
  <c r="P37" i="112"/>
  <c r="P38" i="112"/>
  <c r="P39" i="112"/>
  <c r="P40" i="112"/>
  <c r="P41" i="112"/>
  <c r="P42" i="112"/>
  <c r="P43" i="112"/>
  <c r="O44" i="112"/>
  <c r="P51" i="112"/>
  <c r="AF20" i="112" s="1"/>
  <c r="O52" i="112"/>
  <c r="P59" i="112"/>
  <c r="AF22" i="112" s="1"/>
  <c r="O60" i="112"/>
  <c r="P67" i="112"/>
  <c r="AF24" i="112" s="1"/>
  <c r="O68" i="112"/>
  <c r="P75" i="112"/>
  <c r="AF26" i="112" s="1"/>
  <c r="O76" i="112"/>
  <c r="P83" i="112"/>
  <c r="AF28" i="112" s="1"/>
  <c r="O84" i="112"/>
  <c r="P91" i="112"/>
  <c r="AF30" i="112" s="1"/>
  <c r="O92" i="112"/>
  <c r="O99" i="112"/>
  <c r="O100" i="112"/>
  <c r="U33" i="112"/>
  <c r="Y33" i="112"/>
  <c r="AC33" i="112"/>
  <c r="P105" i="112"/>
  <c r="O33" i="112"/>
  <c r="O34" i="112"/>
  <c r="O35" i="112"/>
  <c r="O36" i="112"/>
  <c r="O37" i="112"/>
  <c r="O38" i="112"/>
  <c r="O39" i="112"/>
  <c r="O40" i="112"/>
  <c r="O41" i="112"/>
  <c r="O42" i="112"/>
  <c r="O43" i="112"/>
  <c r="O45" i="112"/>
  <c r="O47" i="112"/>
  <c r="O49" i="112"/>
  <c r="O51" i="112"/>
  <c r="O53" i="112"/>
  <c r="O55" i="112"/>
  <c r="O57" i="112"/>
  <c r="O59" i="112"/>
  <c r="O61" i="112"/>
  <c r="O63" i="112"/>
  <c r="O65" i="112"/>
  <c r="O67" i="112"/>
  <c r="O69" i="112"/>
  <c r="O71" i="112"/>
  <c r="O73" i="112"/>
  <c r="O75" i="112"/>
  <c r="O77" i="112"/>
  <c r="O79" i="112"/>
  <c r="O81" i="112"/>
  <c r="O83" i="112"/>
  <c r="O85" i="112"/>
  <c r="O87" i="112"/>
  <c r="O89" i="112"/>
  <c r="O91" i="112"/>
  <c r="O93" i="112"/>
  <c r="O95" i="112"/>
  <c r="O97" i="112"/>
  <c r="AE21" i="112" l="1"/>
  <c r="S34" i="112"/>
  <c r="AE19" i="112"/>
  <c r="AF18" i="112"/>
  <c r="AF33" i="112"/>
  <c r="AE11" i="112"/>
  <c r="AE23" i="112"/>
  <c r="AE10" i="112"/>
  <c r="AE34" i="112" s="1"/>
  <c r="AE31" i="112"/>
  <c r="AF39" i="112"/>
  <c r="AF36" i="112"/>
  <c r="AE37" i="112"/>
  <c r="AD41" i="112"/>
  <c r="AD40" i="112"/>
  <c r="AD37" i="112"/>
  <c r="AD34" i="112"/>
  <c r="S41" i="112"/>
  <c r="U35" i="112"/>
  <c r="AE18" i="112"/>
  <c r="AE17" i="112"/>
  <c r="AE16" i="112"/>
  <c r="AE28" i="112"/>
  <c r="AE24" i="112"/>
  <c r="AE20" i="112"/>
  <c r="Z41" i="112"/>
  <c r="Z40" i="112"/>
  <c r="Z37" i="112"/>
  <c r="Z34" i="112"/>
  <c r="Y41" i="112"/>
  <c r="Y40" i="112"/>
  <c r="Y37" i="112"/>
  <c r="Y34" i="112"/>
  <c r="AE15" i="112"/>
  <c r="O106" i="112"/>
  <c r="H108" i="112" s="1"/>
  <c r="AB42" i="112"/>
  <c r="X42" i="112"/>
  <c r="T41" i="112"/>
  <c r="AE32" i="112"/>
  <c r="AE29" i="112"/>
  <c r="AC41" i="112"/>
  <c r="AC42" i="112" s="1"/>
  <c r="AC40" i="112"/>
  <c r="AC37" i="112"/>
  <c r="AC34" i="112"/>
  <c r="T38" i="112"/>
  <c r="T35" i="112"/>
  <c r="AE39" i="112"/>
  <c r="AE36" i="112"/>
  <c r="T40" i="112"/>
  <c r="V41" i="112"/>
  <c r="V40" i="112"/>
  <c r="V37" i="112"/>
  <c r="V34" i="112"/>
  <c r="U41" i="112"/>
  <c r="U40" i="112"/>
  <c r="U37" i="112"/>
  <c r="U34" i="112"/>
  <c r="AE33" i="112"/>
  <c r="AE25" i="112"/>
  <c r="AE13" i="112"/>
  <c r="AA42" i="112"/>
  <c r="AE27" i="112"/>
  <c r="T34" i="112"/>
  <c r="AF17" i="112"/>
  <c r="AF16" i="112"/>
  <c r="AF38" i="112" s="1"/>
  <c r="AE30" i="112"/>
  <c r="AE26" i="112"/>
  <c r="AE22" i="112"/>
  <c r="P106" i="112"/>
  <c r="D107" i="112" s="1"/>
  <c r="AF10" i="112"/>
  <c r="AE14" i="112"/>
  <c r="S40" i="112"/>
  <c r="AE40" i="112" l="1"/>
  <c r="D108" i="112"/>
  <c r="V42" i="112"/>
  <c r="G108" i="112"/>
  <c r="C108" i="112"/>
  <c r="L108" i="112"/>
  <c r="AE41" i="112"/>
  <c r="AE42" i="112" s="1"/>
  <c r="Y42" i="112"/>
  <c r="H107" i="112"/>
  <c r="C107" i="112"/>
  <c r="U42" i="112"/>
  <c r="AF35" i="112"/>
  <c r="Z42" i="112"/>
  <c r="S42" i="112"/>
  <c r="AD42" i="112"/>
  <c r="L107" i="112"/>
  <c r="F108" i="112"/>
  <c r="K108" i="112"/>
  <c r="N108" i="112"/>
  <c r="J108" i="112"/>
  <c r="E108" i="112"/>
  <c r="I108" i="112"/>
  <c r="N107" i="112"/>
  <c r="M107" i="112"/>
  <c r="F107" i="112"/>
  <c r="J107" i="112"/>
  <c r="K107" i="112"/>
  <c r="E107" i="112"/>
  <c r="I107" i="112"/>
  <c r="AF41" i="112"/>
  <c r="AF40" i="112"/>
  <c r="AF37" i="112"/>
  <c r="AF34" i="112"/>
  <c r="AE38" i="112"/>
  <c r="AE35" i="112"/>
  <c r="T42" i="112"/>
  <c r="G107" i="112"/>
  <c r="AF42" i="112" l="1"/>
  <c r="C61" i="108" l="1"/>
  <c r="I104" i="108"/>
  <c r="C59" i="108"/>
  <c r="D59" i="108"/>
  <c r="E59" i="108"/>
  <c r="F59" i="108"/>
  <c r="G59" i="108"/>
  <c r="H59" i="108"/>
  <c r="I59" i="108"/>
  <c r="J59" i="108"/>
  <c r="K59" i="108"/>
  <c r="L59" i="108"/>
  <c r="M59" i="108"/>
  <c r="N59" i="108"/>
  <c r="C60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C62" i="108"/>
  <c r="D62" i="108"/>
  <c r="E62" i="108"/>
  <c r="F62" i="108"/>
  <c r="G62" i="108"/>
  <c r="H62" i="108"/>
  <c r="I62" i="108"/>
  <c r="J62" i="108"/>
  <c r="K62" i="108"/>
  <c r="L62" i="108"/>
  <c r="M62" i="108"/>
  <c r="N62" i="108"/>
  <c r="C63" i="108"/>
  <c r="D63" i="108"/>
  <c r="E63" i="108"/>
  <c r="F63" i="108"/>
  <c r="G63" i="108"/>
  <c r="H63" i="108"/>
  <c r="I63" i="108"/>
  <c r="J63" i="108"/>
  <c r="K63" i="108"/>
  <c r="L63" i="108"/>
  <c r="M63" i="108"/>
  <c r="N63" i="108"/>
  <c r="C64" i="108"/>
  <c r="D64" i="108"/>
  <c r="E64" i="108"/>
  <c r="F64" i="108"/>
  <c r="G64" i="108"/>
  <c r="H64" i="108"/>
  <c r="I64" i="108"/>
  <c r="J64" i="108"/>
  <c r="K64" i="108"/>
  <c r="L64" i="108"/>
  <c r="M64" i="108"/>
  <c r="N64" i="108"/>
  <c r="C65" i="108"/>
  <c r="D65" i="108"/>
  <c r="E65" i="108"/>
  <c r="F65" i="108"/>
  <c r="G65" i="108"/>
  <c r="H65" i="108"/>
  <c r="I65" i="108"/>
  <c r="J65" i="108"/>
  <c r="K65" i="108"/>
  <c r="L65" i="108"/>
  <c r="M65" i="108"/>
  <c r="N65" i="108"/>
  <c r="C66" i="108"/>
  <c r="D66" i="108"/>
  <c r="E66" i="108"/>
  <c r="F66" i="108"/>
  <c r="G66" i="108"/>
  <c r="H66" i="108"/>
  <c r="I66" i="108"/>
  <c r="J66" i="108"/>
  <c r="K66" i="108"/>
  <c r="L66" i="108"/>
  <c r="M66" i="108"/>
  <c r="N66" i="108"/>
  <c r="C67" i="108"/>
  <c r="D67" i="108"/>
  <c r="E67" i="108"/>
  <c r="F67" i="108"/>
  <c r="G67" i="108"/>
  <c r="H67" i="108"/>
  <c r="I67" i="108"/>
  <c r="J67" i="108"/>
  <c r="K67" i="108"/>
  <c r="L67" i="108"/>
  <c r="M67" i="108"/>
  <c r="N67" i="108"/>
  <c r="C68" i="108"/>
  <c r="D68" i="108"/>
  <c r="E68" i="108"/>
  <c r="F68" i="108"/>
  <c r="G68" i="108"/>
  <c r="H68" i="108"/>
  <c r="I68" i="108"/>
  <c r="J68" i="108"/>
  <c r="K68" i="108"/>
  <c r="L68" i="108"/>
  <c r="M68" i="108"/>
  <c r="N68" i="108"/>
  <c r="C69" i="108"/>
  <c r="D69" i="108"/>
  <c r="E69" i="108"/>
  <c r="F69" i="108"/>
  <c r="G69" i="108"/>
  <c r="H69" i="108"/>
  <c r="I69" i="108"/>
  <c r="J69" i="108"/>
  <c r="K69" i="108"/>
  <c r="L69" i="108"/>
  <c r="M69" i="108"/>
  <c r="N69" i="108"/>
  <c r="C70" i="108"/>
  <c r="D70" i="108"/>
  <c r="E70" i="108"/>
  <c r="F70" i="108"/>
  <c r="G70" i="108"/>
  <c r="H70" i="108"/>
  <c r="I70" i="108"/>
  <c r="J70" i="108"/>
  <c r="K70" i="108"/>
  <c r="L70" i="108"/>
  <c r="M70" i="108"/>
  <c r="N70" i="108"/>
  <c r="C71" i="108"/>
  <c r="D71" i="108"/>
  <c r="E71" i="108"/>
  <c r="F71" i="108"/>
  <c r="G71" i="108"/>
  <c r="H71" i="108"/>
  <c r="I71" i="108"/>
  <c r="J71" i="108"/>
  <c r="K71" i="108"/>
  <c r="L71" i="108"/>
  <c r="M71" i="108"/>
  <c r="N71" i="108"/>
  <c r="C72" i="108"/>
  <c r="D72" i="108"/>
  <c r="E72" i="108"/>
  <c r="F72" i="108"/>
  <c r="G72" i="108"/>
  <c r="H72" i="108"/>
  <c r="I72" i="108"/>
  <c r="J72" i="108"/>
  <c r="K72" i="108"/>
  <c r="L72" i="108"/>
  <c r="M72" i="108"/>
  <c r="N72" i="108"/>
  <c r="C73" i="108"/>
  <c r="D73" i="108"/>
  <c r="E73" i="108"/>
  <c r="F73" i="108"/>
  <c r="G73" i="108"/>
  <c r="H73" i="108"/>
  <c r="I73" i="108"/>
  <c r="J73" i="108"/>
  <c r="K73" i="108"/>
  <c r="L73" i="108"/>
  <c r="M73" i="108"/>
  <c r="N73" i="108"/>
  <c r="C74" i="108"/>
  <c r="D74" i="108"/>
  <c r="E74" i="108"/>
  <c r="F74" i="108"/>
  <c r="G74" i="108"/>
  <c r="H74" i="108"/>
  <c r="I74" i="108"/>
  <c r="J74" i="108"/>
  <c r="K74" i="108"/>
  <c r="L74" i="108"/>
  <c r="M74" i="108"/>
  <c r="N74" i="108"/>
  <c r="C75" i="108"/>
  <c r="D75" i="108"/>
  <c r="E75" i="108"/>
  <c r="F75" i="108"/>
  <c r="G75" i="108"/>
  <c r="H75" i="108"/>
  <c r="I75" i="108"/>
  <c r="J75" i="108"/>
  <c r="K75" i="108"/>
  <c r="L75" i="108"/>
  <c r="M75" i="108"/>
  <c r="N75" i="108"/>
  <c r="C76" i="108"/>
  <c r="D76" i="108"/>
  <c r="E76" i="108"/>
  <c r="F76" i="108"/>
  <c r="G76" i="108"/>
  <c r="H76" i="108"/>
  <c r="I76" i="108"/>
  <c r="J76" i="108"/>
  <c r="K76" i="108"/>
  <c r="L76" i="108"/>
  <c r="M76" i="108"/>
  <c r="N76" i="108"/>
  <c r="C77" i="108"/>
  <c r="D77" i="108"/>
  <c r="E77" i="108"/>
  <c r="F77" i="108"/>
  <c r="G77" i="108"/>
  <c r="H77" i="108"/>
  <c r="I77" i="108"/>
  <c r="J77" i="108"/>
  <c r="K77" i="108"/>
  <c r="L77" i="108"/>
  <c r="M77" i="108"/>
  <c r="N77" i="108"/>
  <c r="C78" i="108"/>
  <c r="D78" i="108"/>
  <c r="E78" i="108"/>
  <c r="F78" i="108"/>
  <c r="G78" i="108"/>
  <c r="H78" i="108"/>
  <c r="I78" i="108"/>
  <c r="J78" i="108"/>
  <c r="K78" i="108"/>
  <c r="L78" i="108"/>
  <c r="M78" i="108"/>
  <c r="N78" i="108"/>
  <c r="C79" i="108"/>
  <c r="D79" i="108"/>
  <c r="E79" i="108"/>
  <c r="F79" i="108"/>
  <c r="G79" i="108"/>
  <c r="H79" i="108"/>
  <c r="I79" i="108"/>
  <c r="J79" i="108"/>
  <c r="K79" i="108"/>
  <c r="L79" i="108"/>
  <c r="M79" i="108"/>
  <c r="N79" i="108"/>
  <c r="C80" i="108"/>
  <c r="D80" i="108"/>
  <c r="E80" i="108"/>
  <c r="F80" i="108"/>
  <c r="G80" i="108"/>
  <c r="H80" i="108"/>
  <c r="I80" i="108"/>
  <c r="J80" i="108"/>
  <c r="K80" i="108"/>
  <c r="L80" i="108"/>
  <c r="M80" i="108"/>
  <c r="N80" i="108"/>
  <c r="C81" i="108"/>
  <c r="D81" i="108"/>
  <c r="E81" i="108"/>
  <c r="F81" i="108"/>
  <c r="G81" i="108"/>
  <c r="H81" i="108"/>
  <c r="I81" i="108"/>
  <c r="J81" i="108"/>
  <c r="K81" i="108"/>
  <c r="L81" i="108"/>
  <c r="M81" i="108"/>
  <c r="N81" i="108"/>
  <c r="C82" i="108"/>
  <c r="D82" i="108"/>
  <c r="E82" i="108"/>
  <c r="F82" i="108"/>
  <c r="G82" i="108"/>
  <c r="H82" i="108"/>
  <c r="I82" i="108"/>
  <c r="J82" i="108"/>
  <c r="K82" i="108"/>
  <c r="L82" i="108"/>
  <c r="M82" i="108"/>
  <c r="N82" i="108"/>
  <c r="C83" i="108"/>
  <c r="D83" i="108"/>
  <c r="E83" i="108"/>
  <c r="F83" i="108"/>
  <c r="G83" i="108"/>
  <c r="H83" i="108"/>
  <c r="I83" i="108"/>
  <c r="J83" i="108"/>
  <c r="K83" i="108"/>
  <c r="L83" i="108"/>
  <c r="M83" i="108"/>
  <c r="N83" i="108"/>
  <c r="C84" i="108"/>
  <c r="D84" i="108"/>
  <c r="E84" i="108"/>
  <c r="F84" i="108"/>
  <c r="G84" i="108"/>
  <c r="H84" i="108"/>
  <c r="I84" i="108"/>
  <c r="J84" i="108"/>
  <c r="K84" i="108"/>
  <c r="L84" i="108"/>
  <c r="M84" i="108"/>
  <c r="N84" i="108"/>
  <c r="C85" i="108"/>
  <c r="D85" i="108"/>
  <c r="E85" i="108"/>
  <c r="F85" i="108"/>
  <c r="G85" i="108"/>
  <c r="H85" i="108"/>
  <c r="I85" i="108"/>
  <c r="J85" i="108"/>
  <c r="K85" i="108"/>
  <c r="L85" i="108"/>
  <c r="M85" i="108"/>
  <c r="N85" i="108"/>
  <c r="C86" i="108"/>
  <c r="D86" i="108"/>
  <c r="E86" i="108"/>
  <c r="F86" i="108"/>
  <c r="G86" i="108"/>
  <c r="H86" i="108"/>
  <c r="I86" i="108"/>
  <c r="J86" i="108"/>
  <c r="K86" i="108"/>
  <c r="L86" i="108"/>
  <c r="M86" i="108"/>
  <c r="N86" i="108"/>
  <c r="C87" i="108"/>
  <c r="D87" i="108"/>
  <c r="E87" i="108"/>
  <c r="F87" i="108"/>
  <c r="G87" i="108"/>
  <c r="H87" i="108"/>
  <c r="I87" i="108"/>
  <c r="J87" i="108"/>
  <c r="K87" i="108"/>
  <c r="L87" i="108"/>
  <c r="M87" i="108"/>
  <c r="N87" i="108"/>
  <c r="C88" i="108"/>
  <c r="D88" i="108"/>
  <c r="E88" i="108"/>
  <c r="F88" i="108"/>
  <c r="G88" i="108"/>
  <c r="H88" i="108"/>
  <c r="I88" i="108"/>
  <c r="J88" i="108"/>
  <c r="K88" i="108"/>
  <c r="L88" i="108"/>
  <c r="M88" i="108"/>
  <c r="N88" i="108"/>
  <c r="C89" i="108"/>
  <c r="D89" i="108"/>
  <c r="E89" i="108"/>
  <c r="F89" i="108"/>
  <c r="G89" i="108"/>
  <c r="H89" i="108"/>
  <c r="I89" i="108"/>
  <c r="J89" i="108"/>
  <c r="K89" i="108"/>
  <c r="L89" i="108"/>
  <c r="M89" i="108"/>
  <c r="N89" i="108"/>
  <c r="C90" i="108"/>
  <c r="D90" i="108"/>
  <c r="E90" i="108"/>
  <c r="F90" i="108"/>
  <c r="G90" i="108"/>
  <c r="H90" i="108"/>
  <c r="I90" i="108"/>
  <c r="J90" i="108"/>
  <c r="K90" i="108"/>
  <c r="L90" i="108"/>
  <c r="M90" i="108"/>
  <c r="N90" i="108"/>
  <c r="C91" i="108"/>
  <c r="D91" i="108"/>
  <c r="E91" i="108"/>
  <c r="F91" i="108"/>
  <c r="G91" i="108"/>
  <c r="H91" i="108"/>
  <c r="I91" i="108"/>
  <c r="J91" i="108"/>
  <c r="K91" i="108"/>
  <c r="L91" i="108"/>
  <c r="M91" i="108"/>
  <c r="N91" i="108"/>
  <c r="C92" i="108"/>
  <c r="D92" i="108"/>
  <c r="E92" i="108"/>
  <c r="F92" i="108"/>
  <c r="G92" i="108"/>
  <c r="H92" i="108"/>
  <c r="I92" i="108"/>
  <c r="J92" i="108"/>
  <c r="K92" i="108"/>
  <c r="L92" i="108"/>
  <c r="M92" i="108"/>
  <c r="N92" i="108"/>
  <c r="C93" i="108"/>
  <c r="D93" i="108"/>
  <c r="E93" i="108"/>
  <c r="F93" i="108"/>
  <c r="G93" i="108"/>
  <c r="H93" i="108"/>
  <c r="I93" i="108"/>
  <c r="J93" i="108"/>
  <c r="K93" i="108"/>
  <c r="L93" i="108"/>
  <c r="M93" i="108"/>
  <c r="N93" i="108"/>
  <c r="C94" i="108"/>
  <c r="D94" i="108"/>
  <c r="E94" i="108"/>
  <c r="F94" i="108"/>
  <c r="G94" i="108"/>
  <c r="H94" i="108"/>
  <c r="I94" i="108"/>
  <c r="J94" i="108"/>
  <c r="K94" i="108"/>
  <c r="L94" i="108"/>
  <c r="M94" i="108"/>
  <c r="N94" i="108"/>
  <c r="C95" i="108"/>
  <c r="D95" i="108"/>
  <c r="E95" i="108"/>
  <c r="F95" i="108"/>
  <c r="G95" i="108"/>
  <c r="H95" i="108"/>
  <c r="I95" i="108"/>
  <c r="J95" i="108"/>
  <c r="K95" i="108"/>
  <c r="L95" i="108"/>
  <c r="M95" i="108"/>
  <c r="N95" i="108"/>
  <c r="C96" i="108"/>
  <c r="D96" i="108"/>
  <c r="E96" i="108"/>
  <c r="F96" i="108"/>
  <c r="G96" i="108"/>
  <c r="H96" i="108"/>
  <c r="I96" i="108"/>
  <c r="J96" i="108"/>
  <c r="K96" i="108"/>
  <c r="L96" i="108"/>
  <c r="M96" i="108"/>
  <c r="N96" i="108"/>
  <c r="C97" i="108"/>
  <c r="D97" i="108"/>
  <c r="E97" i="108"/>
  <c r="F97" i="108"/>
  <c r="G97" i="108"/>
  <c r="H97" i="108"/>
  <c r="I97" i="108"/>
  <c r="J97" i="108"/>
  <c r="K97" i="108"/>
  <c r="L97" i="108"/>
  <c r="M97" i="108"/>
  <c r="N97" i="108"/>
  <c r="C98" i="108"/>
  <c r="D98" i="108"/>
  <c r="E98" i="108"/>
  <c r="F98" i="108"/>
  <c r="G98" i="108"/>
  <c r="H98" i="108"/>
  <c r="I98" i="108"/>
  <c r="J98" i="108"/>
  <c r="K98" i="108"/>
  <c r="L98" i="108"/>
  <c r="M98" i="108"/>
  <c r="N98" i="108"/>
  <c r="C99" i="108"/>
  <c r="D99" i="108"/>
  <c r="E99" i="108"/>
  <c r="F99" i="108"/>
  <c r="G99" i="108"/>
  <c r="H99" i="108"/>
  <c r="I99" i="108"/>
  <c r="J99" i="108"/>
  <c r="K99" i="108"/>
  <c r="L99" i="108"/>
  <c r="M99" i="108"/>
  <c r="N99" i="108"/>
  <c r="C100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C101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C102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C103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C104" i="108"/>
  <c r="D104" i="108"/>
  <c r="E104" i="108"/>
  <c r="F104" i="108"/>
  <c r="G104" i="108"/>
  <c r="H104" i="108"/>
  <c r="J104" i="108"/>
  <c r="K104" i="108"/>
  <c r="L104" i="108"/>
  <c r="M104" i="108"/>
  <c r="N104" i="108"/>
  <c r="C105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D58" i="108"/>
  <c r="E58" i="108"/>
  <c r="F58" i="108"/>
  <c r="G58" i="108"/>
  <c r="H58" i="108"/>
  <c r="I58" i="108"/>
  <c r="J58" i="108"/>
  <c r="K58" i="108"/>
  <c r="L58" i="108"/>
  <c r="M58" i="108"/>
  <c r="N58" i="108"/>
  <c r="C58" i="108"/>
  <c r="J105" i="107"/>
  <c r="C59" i="107"/>
  <c r="D59" i="107"/>
  <c r="E59" i="107"/>
  <c r="F59" i="107"/>
  <c r="G59" i="107"/>
  <c r="H59" i="107"/>
  <c r="I59" i="107"/>
  <c r="J59" i="107"/>
  <c r="K59" i="107"/>
  <c r="L59" i="107"/>
  <c r="M59" i="107"/>
  <c r="N59" i="107"/>
  <c r="C60" i="107"/>
  <c r="D60" i="107"/>
  <c r="E60" i="107"/>
  <c r="F60" i="107"/>
  <c r="G60" i="107"/>
  <c r="H60" i="107"/>
  <c r="I60" i="107"/>
  <c r="J60" i="107"/>
  <c r="K60" i="107"/>
  <c r="L60" i="107"/>
  <c r="M60" i="107"/>
  <c r="N60" i="107"/>
  <c r="C61" i="107"/>
  <c r="D61" i="107"/>
  <c r="E61" i="107"/>
  <c r="F61" i="107"/>
  <c r="G61" i="107"/>
  <c r="H61" i="107"/>
  <c r="I61" i="107"/>
  <c r="J61" i="107"/>
  <c r="K61" i="107"/>
  <c r="L61" i="107"/>
  <c r="M61" i="107"/>
  <c r="N61" i="107"/>
  <c r="C62" i="107"/>
  <c r="D62" i="107"/>
  <c r="E62" i="107"/>
  <c r="F62" i="107"/>
  <c r="G62" i="107"/>
  <c r="H62" i="107"/>
  <c r="I62" i="107"/>
  <c r="J62" i="107"/>
  <c r="K62" i="107"/>
  <c r="L62" i="107"/>
  <c r="M62" i="107"/>
  <c r="N62" i="107"/>
  <c r="C63" i="107"/>
  <c r="D63" i="107"/>
  <c r="E63" i="107"/>
  <c r="F63" i="107"/>
  <c r="G63" i="107"/>
  <c r="H63" i="107"/>
  <c r="I63" i="107"/>
  <c r="J63" i="107"/>
  <c r="K63" i="107"/>
  <c r="L63" i="107"/>
  <c r="M63" i="107"/>
  <c r="N63" i="107"/>
  <c r="C64" i="107"/>
  <c r="D64" i="107"/>
  <c r="E64" i="107"/>
  <c r="F64" i="107"/>
  <c r="G64" i="107"/>
  <c r="H64" i="107"/>
  <c r="I64" i="107"/>
  <c r="J64" i="107"/>
  <c r="K64" i="107"/>
  <c r="L64" i="107"/>
  <c r="M64" i="107"/>
  <c r="N64" i="107"/>
  <c r="C65" i="107"/>
  <c r="D65" i="107"/>
  <c r="E65" i="107"/>
  <c r="F65" i="107"/>
  <c r="G65" i="107"/>
  <c r="H65" i="107"/>
  <c r="I65" i="107"/>
  <c r="J65" i="107"/>
  <c r="K65" i="107"/>
  <c r="L65" i="107"/>
  <c r="M65" i="107"/>
  <c r="N65" i="107"/>
  <c r="C66" i="107"/>
  <c r="D66" i="107"/>
  <c r="E66" i="107"/>
  <c r="F66" i="107"/>
  <c r="G66" i="107"/>
  <c r="H66" i="107"/>
  <c r="I66" i="107"/>
  <c r="J66" i="107"/>
  <c r="K66" i="107"/>
  <c r="L66" i="107"/>
  <c r="M66" i="107"/>
  <c r="N66" i="107"/>
  <c r="C67" i="107"/>
  <c r="D67" i="107"/>
  <c r="E67" i="107"/>
  <c r="F67" i="107"/>
  <c r="G67" i="107"/>
  <c r="H67" i="107"/>
  <c r="I67" i="107"/>
  <c r="J67" i="107"/>
  <c r="K67" i="107"/>
  <c r="L67" i="107"/>
  <c r="M67" i="107"/>
  <c r="N67" i="107"/>
  <c r="C68" i="107"/>
  <c r="D68" i="107"/>
  <c r="E68" i="107"/>
  <c r="F68" i="107"/>
  <c r="G68" i="107"/>
  <c r="H68" i="107"/>
  <c r="I68" i="107"/>
  <c r="J68" i="107"/>
  <c r="K68" i="107"/>
  <c r="L68" i="107"/>
  <c r="M68" i="107"/>
  <c r="N68" i="107"/>
  <c r="C69" i="107"/>
  <c r="D69" i="107"/>
  <c r="E69" i="107"/>
  <c r="F69" i="107"/>
  <c r="G69" i="107"/>
  <c r="H69" i="107"/>
  <c r="I69" i="107"/>
  <c r="J69" i="107"/>
  <c r="K69" i="107"/>
  <c r="L69" i="107"/>
  <c r="M69" i="107"/>
  <c r="N69" i="107"/>
  <c r="C70" i="107"/>
  <c r="D70" i="107"/>
  <c r="E70" i="107"/>
  <c r="F70" i="107"/>
  <c r="G70" i="107"/>
  <c r="H70" i="107"/>
  <c r="I70" i="107"/>
  <c r="J70" i="107"/>
  <c r="K70" i="107"/>
  <c r="L70" i="107"/>
  <c r="M70" i="107"/>
  <c r="N70" i="107"/>
  <c r="C71" i="107"/>
  <c r="D71" i="107"/>
  <c r="E71" i="107"/>
  <c r="F71" i="107"/>
  <c r="G71" i="107"/>
  <c r="H71" i="107"/>
  <c r="I71" i="107"/>
  <c r="J71" i="107"/>
  <c r="K71" i="107"/>
  <c r="L71" i="107"/>
  <c r="M71" i="107"/>
  <c r="N71" i="107"/>
  <c r="C72" i="107"/>
  <c r="D72" i="107"/>
  <c r="E72" i="107"/>
  <c r="F72" i="107"/>
  <c r="G72" i="107"/>
  <c r="H72" i="107"/>
  <c r="I72" i="107"/>
  <c r="J72" i="107"/>
  <c r="K72" i="107"/>
  <c r="L72" i="107"/>
  <c r="M72" i="107"/>
  <c r="N72" i="107"/>
  <c r="C73" i="107"/>
  <c r="D73" i="107"/>
  <c r="E73" i="107"/>
  <c r="F73" i="107"/>
  <c r="G73" i="107"/>
  <c r="H73" i="107"/>
  <c r="I73" i="107"/>
  <c r="J73" i="107"/>
  <c r="K73" i="107"/>
  <c r="L73" i="107"/>
  <c r="M73" i="107"/>
  <c r="N73" i="107"/>
  <c r="C74" i="107"/>
  <c r="D74" i="107"/>
  <c r="E74" i="107"/>
  <c r="F74" i="107"/>
  <c r="G74" i="107"/>
  <c r="H74" i="107"/>
  <c r="I74" i="107"/>
  <c r="J74" i="107"/>
  <c r="K74" i="107"/>
  <c r="L74" i="107"/>
  <c r="M74" i="107"/>
  <c r="N74" i="107"/>
  <c r="C75" i="107"/>
  <c r="D75" i="107"/>
  <c r="E75" i="107"/>
  <c r="F75" i="107"/>
  <c r="G75" i="107"/>
  <c r="H75" i="107"/>
  <c r="I75" i="107"/>
  <c r="J75" i="107"/>
  <c r="K75" i="107"/>
  <c r="L75" i="107"/>
  <c r="M75" i="107"/>
  <c r="N75" i="107"/>
  <c r="C76" i="107"/>
  <c r="D76" i="107"/>
  <c r="E76" i="107"/>
  <c r="F76" i="107"/>
  <c r="G76" i="107"/>
  <c r="H76" i="107"/>
  <c r="I76" i="107"/>
  <c r="J76" i="107"/>
  <c r="K76" i="107"/>
  <c r="L76" i="107"/>
  <c r="M76" i="107"/>
  <c r="N76" i="107"/>
  <c r="C77" i="107"/>
  <c r="D77" i="107"/>
  <c r="E77" i="107"/>
  <c r="F77" i="107"/>
  <c r="G77" i="107"/>
  <c r="H77" i="107"/>
  <c r="I77" i="107"/>
  <c r="J77" i="107"/>
  <c r="K77" i="107"/>
  <c r="L77" i="107"/>
  <c r="M77" i="107"/>
  <c r="N77" i="107"/>
  <c r="C78" i="107"/>
  <c r="D78" i="107"/>
  <c r="E78" i="107"/>
  <c r="F78" i="107"/>
  <c r="G78" i="107"/>
  <c r="H78" i="107"/>
  <c r="I78" i="107"/>
  <c r="J78" i="107"/>
  <c r="K78" i="107"/>
  <c r="L78" i="107"/>
  <c r="M78" i="107"/>
  <c r="N78" i="107"/>
  <c r="C79" i="107"/>
  <c r="D79" i="107"/>
  <c r="E79" i="107"/>
  <c r="F79" i="107"/>
  <c r="G79" i="107"/>
  <c r="H79" i="107"/>
  <c r="I79" i="107"/>
  <c r="J79" i="107"/>
  <c r="K79" i="107"/>
  <c r="L79" i="107"/>
  <c r="M79" i="107"/>
  <c r="N79" i="107"/>
  <c r="C80" i="107"/>
  <c r="D80" i="107"/>
  <c r="E80" i="107"/>
  <c r="F80" i="107"/>
  <c r="G80" i="107"/>
  <c r="H80" i="107"/>
  <c r="I80" i="107"/>
  <c r="J80" i="107"/>
  <c r="K80" i="107"/>
  <c r="L80" i="107"/>
  <c r="M80" i="107"/>
  <c r="N80" i="107"/>
  <c r="C81" i="107"/>
  <c r="D81" i="107"/>
  <c r="E81" i="107"/>
  <c r="F81" i="107"/>
  <c r="G81" i="107"/>
  <c r="H81" i="107"/>
  <c r="I81" i="107"/>
  <c r="J81" i="107"/>
  <c r="K81" i="107"/>
  <c r="L81" i="107"/>
  <c r="M81" i="107"/>
  <c r="N81" i="107"/>
  <c r="C82" i="107"/>
  <c r="D82" i="107"/>
  <c r="E82" i="107"/>
  <c r="F82" i="107"/>
  <c r="G82" i="107"/>
  <c r="H82" i="107"/>
  <c r="I82" i="107"/>
  <c r="J82" i="107"/>
  <c r="K82" i="107"/>
  <c r="L82" i="107"/>
  <c r="M82" i="107"/>
  <c r="N82" i="107"/>
  <c r="C83" i="107"/>
  <c r="D83" i="107"/>
  <c r="E83" i="107"/>
  <c r="F83" i="107"/>
  <c r="G83" i="107"/>
  <c r="H83" i="107"/>
  <c r="I83" i="107"/>
  <c r="J83" i="107"/>
  <c r="K83" i="107"/>
  <c r="L83" i="107"/>
  <c r="M83" i="107"/>
  <c r="N83" i="107"/>
  <c r="C84" i="107"/>
  <c r="D84" i="107"/>
  <c r="E84" i="107"/>
  <c r="F84" i="107"/>
  <c r="G84" i="107"/>
  <c r="H84" i="107"/>
  <c r="I84" i="107"/>
  <c r="J84" i="107"/>
  <c r="K84" i="107"/>
  <c r="L84" i="107"/>
  <c r="M84" i="107"/>
  <c r="N84" i="107"/>
  <c r="C85" i="107"/>
  <c r="D85" i="107"/>
  <c r="E85" i="107"/>
  <c r="F85" i="107"/>
  <c r="G85" i="107"/>
  <c r="H85" i="107"/>
  <c r="I85" i="107"/>
  <c r="J85" i="107"/>
  <c r="K85" i="107"/>
  <c r="L85" i="107"/>
  <c r="M85" i="107"/>
  <c r="N85" i="107"/>
  <c r="C86" i="107"/>
  <c r="D86" i="107"/>
  <c r="E86" i="107"/>
  <c r="F86" i="107"/>
  <c r="G86" i="107"/>
  <c r="H86" i="107"/>
  <c r="I86" i="107"/>
  <c r="J86" i="107"/>
  <c r="K86" i="107"/>
  <c r="L86" i="107"/>
  <c r="M86" i="107"/>
  <c r="N86" i="107"/>
  <c r="C87" i="107"/>
  <c r="D87" i="107"/>
  <c r="E87" i="107"/>
  <c r="F87" i="107"/>
  <c r="G87" i="107"/>
  <c r="H87" i="107"/>
  <c r="I87" i="107"/>
  <c r="J87" i="107"/>
  <c r="K87" i="107"/>
  <c r="L87" i="107"/>
  <c r="M87" i="107"/>
  <c r="N87" i="107"/>
  <c r="C88" i="107"/>
  <c r="D88" i="107"/>
  <c r="E88" i="107"/>
  <c r="F88" i="107"/>
  <c r="G88" i="107"/>
  <c r="H88" i="107"/>
  <c r="I88" i="107"/>
  <c r="J88" i="107"/>
  <c r="K88" i="107"/>
  <c r="L88" i="107"/>
  <c r="M88" i="107"/>
  <c r="N88" i="107"/>
  <c r="C89" i="107"/>
  <c r="D89" i="107"/>
  <c r="E89" i="107"/>
  <c r="F89" i="107"/>
  <c r="G89" i="107"/>
  <c r="H89" i="107"/>
  <c r="I89" i="107"/>
  <c r="J89" i="107"/>
  <c r="K89" i="107"/>
  <c r="L89" i="107"/>
  <c r="M89" i="107"/>
  <c r="N89" i="107"/>
  <c r="C90" i="107"/>
  <c r="D90" i="107"/>
  <c r="E90" i="107"/>
  <c r="F90" i="107"/>
  <c r="G90" i="107"/>
  <c r="H90" i="107"/>
  <c r="I90" i="107"/>
  <c r="J90" i="107"/>
  <c r="K90" i="107"/>
  <c r="L90" i="107"/>
  <c r="M90" i="107"/>
  <c r="N90" i="107"/>
  <c r="C91" i="107"/>
  <c r="D91" i="107"/>
  <c r="E91" i="107"/>
  <c r="F91" i="107"/>
  <c r="G91" i="107"/>
  <c r="H91" i="107"/>
  <c r="I91" i="107"/>
  <c r="J91" i="107"/>
  <c r="K91" i="107"/>
  <c r="L91" i="107"/>
  <c r="M91" i="107"/>
  <c r="N91" i="107"/>
  <c r="C92" i="107"/>
  <c r="D92" i="107"/>
  <c r="E92" i="107"/>
  <c r="F92" i="107"/>
  <c r="G92" i="107"/>
  <c r="H92" i="107"/>
  <c r="I92" i="107"/>
  <c r="J92" i="107"/>
  <c r="K92" i="107"/>
  <c r="L92" i="107"/>
  <c r="M92" i="107"/>
  <c r="N92" i="107"/>
  <c r="C93" i="107"/>
  <c r="D93" i="107"/>
  <c r="E93" i="107"/>
  <c r="F93" i="107"/>
  <c r="G93" i="107"/>
  <c r="H93" i="107"/>
  <c r="I93" i="107"/>
  <c r="J93" i="107"/>
  <c r="K93" i="107"/>
  <c r="L93" i="107"/>
  <c r="M93" i="107"/>
  <c r="N93" i="107"/>
  <c r="C94" i="107"/>
  <c r="D94" i="107"/>
  <c r="E94" i="107"/>
  <c r="F94" i="107"/>
  <c r="G94" i="107"/>
  <c r="H94" i="107"/>
  <c r="I94" i="107"/>
  <c r="J94" i="107"/>
  <c r="K94" i="107"/>
  <c r="L94" i="107"/>
  <c r="M94" i="107"/>
  <c r="N94" i="107"/>
  <c r="C95" i="107"/>
  <c r="D95" i="107"/>
  <c r="E95" i="107"/>
  <c r="F95" i="107"/>
  <c r="G95" i="107"/>
  <c r="H95" i="107"/>
  <c r="I95" i="107"/>
  <c r="J95" i="107"/>
  <c r="K95" i="107"/>
  <c r="L95" i="107"/>
  <c r="M95" i="107"/>
  <c r="N95" i="107"/>
  <c r="C96" i="107"/>
  <c r="D96" i="107"/>
  <c r="E96" i="107"/>
  <c r="F96" i="107"/>
  <c r="G96" i="107"/>
  <c r="H96" i="107"/>
  <c r="I96" i="107"/>
  <c r="J96" i="107"/>
  <c r="K96" i="107"/>
  <c r="L96" i="107"/>
  <c r="M96" i="107"/>
  <c r="N96" i="107"/>
  <c r="C97" i="107"/>
  <c r="D97" i="107"/>
  <c r="E97" i="107"/>
  <c r="F97" i="107"/>
  <c r="G97" i="107"/>
  <c r="H97" i="107"/>
  <c r="I97" i="107"/>
  <c r="J97" i="107"/>
  <c r="K97" i="107"/>
  <c r="L97" i="107"/>
  <c r="M97" i="107"/>
  <c r="N97" i="107"/>
  <c r="C98" i="107"/>
  <c r="D98" i="107"/>
  <c r="E98" i="107"/>
  <c r="F98" i="107"/>
  <c r="G98" i="107"/>
  <c r="H98" i="107"/>
  <c r="I98" i="107"/>
  <c r="J98" i="107"/>
  <c r="K98" i="107"/>
  <c r="L98" i="107"/>
  <c r="M98" i="107"/>
  <c r="N98" i="107"/>
  <c r="C99" i="107"/>
  <c r="D99" i="107"/>
  <c r="E99" i="107"/>
  <c r="F99" i="107"/>
  <c r="G99" i="107"/>
  <c r="H99" i="107"/>
  <c r="I99" i="107"/>
  <c r="J99" i="107"/>
  <c r="K99" i="107"/>
  <c r="L99" i="107"/>
  <c r="M99" i="107"/>
  <c r="N99" i="107"/>
  <c r="C100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C101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C102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C103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C104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C105" i="107"/>
  <c r="D105" i="107"/>
  <c r="E105" i="107"/>
  <c r="F105" i="107"/>
  <c r="G105" i="107"/>
  <c r="H105" i="107"/>
  <c r="I105" i="107"/>
  <c r="K105" i="107"/>
  <c r="L105" i="107"/>
  <c r="M105" i="107"/>
  <c r="N105" i="107"/>
  <c r="D58" i="107"/>
  <c r="E58" i="107"/>
  <c r="F58" i="107"/>
  <c r="G58" i="107"/>
  <c r="H58" i="107"/>
  <c r="I58" i="107"/>
  <c r="J58" i="107"/>
  <c r="K58" i="107"/>
  <c r="L58" i="107"/>
  <c r="M58" i="107"/>
  <c r="N58" i="107"/>
  <c r="M57" i="107"/>
  <c r="C58" i="107"/>
  <c r="O104" i="107" l="1"/>
  <c r="O102" i="107"/>
  <c r="O101" i="107"/>
  <c r="O100" i="107"/>
  <c r="O99" i="107"/>
  <c r="O98" i="107"/>
  <c r="O91" i="107"/>
  <c r="O90" i="107"/>
  <c r="O89" i="107"/>
  <c r="O88" i="107"/>
  <c r="O84" i="107"/>
  <c r="O83" i="107"/>
  <c r="O82" i="107"/>
  <c r="O81" i="107"/>
  <c r="O80" i="107"/>
  <c r="O76" i="107"/>
  <c r="O75" i="107"/>
  <c r="O74" i="107"/>
  <c r="O73" i="107"/>
  <c r="O72" i="107"/>
  <c r="O71" i="107"/>
  <c r="O70" i="107"/>
  <c r="O69" i="107"/>
  <c r="O68" i="107"/>
  <c r="O67" i="107"/>
  <c r="O66" i="107"/>
  <c r="O65" i="107"/>
  <c r="O64" i="107"/>
  <c r="O63" i="107"/>
  <c r="O62" i="107"/>
  <c r="O61" i="107"/>
  <c r="P101" i="108"/>
  <c r="P93" i="108"/>
  <c r="P89" i="108"/>
  <c r="P79" i="108"/>
  <c r="O68" i="108"/>
  <c r="O63" i="108"/>
  <c r="O105" i="107"/>
  <c r="O103" i="107"/>
  <c r="O97" i="107"/>
  <c r="O96" i="107"/>
  <c r="O95" i="107"/>
  <c r="O94" i="107"/>
  <c r="O93" i="107"/>
  <c r="O92" i="107"/>
  <c r="O87" i="107"/>
  <c r="O86" i="107"/>
  <c r="O85" i="107"/>
  <c r="O79" i="107"/>
  <c r="O78" i="107"/>
  <c r="O77" i="107"/>
  <c r="O60" i="107"/>
  <c r="O59" i="107"/>
  <c r="P103" i="108"/>
  <c r="P99" i="108"/>
  <c r="P97" i="108"/>
  <c r="P95" i="108"/>
  <c r="P91" i="108"/>
  <c r="P87" i="108"/>
  <c r="P85" i="108"/>
  <c r="P83" i="108"/>
  <c r="P81" i="108"/>
  <c r="P77" i="108"/>
  <c r="O76" i="108"/>
  <c r="O75" i="108"/>
  <c r="O74" i="108"/>
  <c r="O73" i="108"/>
  <c r="O72" i="108"/>
  <c r="O71" i="108"/>
  <c r="O70" i="108"/>
  <c r="O69" i="108"/>
  <c r="O67" i="108"/>
  <c r="O66" i="108"/>
  <c r="O65" i="108"/>
  <c r="O64" i="108"/>
  <c r="O62" i="108"/>
  <c r="O58" i="108"/>
  <c r="P58" i="107"/>
  <c r="O105" i="108"/>
  <c r="P60" i="108"/>
  <c r="P59" i="108"/>
  <c r="P61" i="108"/>
  <c r="O60" i="108"/>
  <c r="P105" i="107"/>
  <c r="P104" i="107"/>
  <c r="P103" i="107"/>
  <c r="P102" i="107"/>
  <c r="P101" i="107"/>
  <c r="P100" i="107"/>
  <c r="P99" i="107"/>
  <c r="P98" i="107"/>
  <c r="P97" i="107"/>
  <c r="P96" i="107"/>
  <c r="P95" i="107"/>
  <c r="P94" i="107"/>
  <c r="P93" i="107"/>
  <c r="P92" i="107"/>
  <c r="P91" i="107"/>
  <c r="P90" i="107"/>
  <c r="P89" i="107"/>
  <c r="P88" i="107"/>
  <c r="P87" i="107"/>
  <c r="P86" i="107"/>
  <c r="P85" i="107"/>
  <c r="P84" i="107"/>
  <c r="P83" i="107"/>
  <c r="P82" i="107"/>
  <c r="P81" i="107"/>
  <c r="P80" i="107"/>
  <c r="P79" i="107"/>
  <c r="P78" i="107"/>
  <c r="P77" i="107"/>
  <c r="P76" i="107"/>
  <c r="P75" i="107"/>
  <c r="P74" i="107"/>
  <c r="P73" i="107"/>
  <c r="P72" i="107"/>
  <c r="P71" i="107"/>
  <c r="P70" i="107"/>
  <c r="P69" i="107"/>
  <c r="P68" i="107"/>
  <c r="P67" i="107"/>
  <c r="P66" i="107"/>
  <c r="P65" i="107"/>
  <c r="P64" i="107"/>
  <c r="P63" i="107"/>
  <c r="P62" i="107"/>
  <c r="P61" i="107"/>
  <c r="P60" i="107"/>
  <c r="P59" i="107"/>
  <c r="P58" i="108"/>
  <c r="P76" i="108"/>
  <c r="P75" i="108"/>
  <c r="P74" i="108"/>
  <c r="P73" i="108"/>
  <c r="P72" i="108"/>
  <c r="P71" i="108"/>
  <c r="P70" i="108"/>
  <c r="P69" i="108"/>
  <c r="P68" i="108"/>
  <c r="P67" i="108"/>
  <c r="P66" i="108"/>
  <c r="P65" i="108"/>
  <c r="P64" i="108"/>
  <c r="P63" i="108"/>
  <c r="P62" i="108"/>
  <c r="O58" i="107"/>
  <c r="O59" i="108"/>
  <c r="O61" i="108"/>
  <c r="P105" i="108"/>
  <c r="O104" i="108"/>
  <c r="O103" i="108"/>
  <c r="O102" i="108"/>
  <c r="O101" i="108"/>
  <c r="O100" i="108"/>
  <c r="O99" i="108"/>
  <c r="O98" i="108"/>
  <c r="O97" i="108"/>
  <c r="O96" i="108"/>
  <c r="O95" i="108"/>
  <c r="O94" i="108"/>
  <c r="O93" i="108"/>
  <c r="O92" i="108"/>
  <c r="O91" i="108"/>
  <c r="O90" i="108"/>
  <c r="O89" i="108"/>
  <c r="O88" i="108"/>
  <c r="O87" i="108"/>
  <c r="O86" i="108"/>
  <c r="O85" i="108"/>
  <c r="O84" i="108"/>
  <c r="O83" i="108"/>
  <c r="O82" i="108"/>
  <c r="O81" i="108"/>
  <c r="O80" i="108"/>
  <c r="O79" i="108"/>
  <c r="O78" i="108"/>
  <c r="O77" i="108"/>
  <c r="P78" i="108"/>
  <c r="P80" i="108"/>
  <c r="P82" i="108"/>
  <c r="P84" i="108"/>
  <c r="P86" i="108"/>
  <c r="P88" i="108"/>
  <c r="P90" i="108"/>
  <c r="P92" i="108"/>
  <c r="P94" i="108"/>
  <c r="P96" i="108"/>
  <c r="P98" i="108"/>
  <c r="P100" i="108"/>
  <c r="P102" i="108"/>
  <c r="P104" i="108"/>
  <c r="C26" i="108" l="1"/>
  <c r="D26" i="108"/>
  <c r="E26" i="108"/>
  <c r="F26" i="108"/>
  <c r="G26" i="108"/>
  <c r="H26" i="108"/>
  <c r="I26" i="108"/>
  <c r="J26" i="108"/>
  <c r="K26" i="108"/>
  <c r="L26" i="108"/>
  <c r="M26" i="108"/>
  <c r="N26" i="108"/>
  <c r="C27" i="108"/>
  <c r="D27" i="108"/>
  <c r="E27" i="108"/>
  <c r="F27" i="108"/>
  <c r="G27" i="108"/>
  <c r="H27" i="108"/>
  <c r="I27" i="108"/>
  <c r="J27" i="108"/>
  <c r="K27" i="108"/>
  <c r="L27" i="108"/>
  <c r="M27" i="108"/>
  <c r="N27" i="108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C38" i="108"/>
  <c r="D38" i="108"/>
  <c r="E38" i="108"/>
  <c r="F38" i="108"/>
  <c r="G38" i="108"/>
  <c r="H38" i="108"/>
  <c r="I38" i="108"/>
  <c r="J38" i="108"/>
  <c r="K38" i="108"/>
  <c r="L38" i="108"/>
  <c r="M38" i="108"/>
  <c r="N38" i="108"/>
  <c r="C39" i="108"/>
  <c r="D39" i="108"/>
  <c r="E39" i="108"/>
  <c r="F39" i="108"/>
  <c r="G39" i="108"/>
  <c r="H39" i="108"/>
  <c r="I39" i="108"/>
  <c r="J39" i="108"/>
  <c r="K39" i="108"/>
  <c r="L39" i="108"/>
  <c r="M39" i="108"/>
  <c r="N39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C46" i="108"/>
  <c r="D46" i="108"/>
  <c r="E46" i="108"/>
  <c r="F46" i="108"/>
  <c r="G46" i="108"/>
  <c r="H46" i="108"/>
  <c r="I46" i="108"/>
  <c r="J46" i="108"/>
  <c r="K46" i="108"/>
  <c r="L46" i="108"/>
  <c r="M46" i="108"/>
  <c r="N46" i="108"/>
  <c r="C47" i="108"/>
  <c r="D47" i="108"/>
  <c r="E47" i="108"/>
  <c r="F47" i="108"/>
  <c r="G47" i="108"/>
  <c r="H47" i="108"/>
  <c r="I47" i="108"/>
  <c r="J47" i="108"/>
  <c r="K47" i="108"/>
  <c r="L47" i="108"/>
  <c r="M47" i="108"/>
  <c r="N47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C50" i="108"/>
  <c r="D50" i="108"/>
  <c r="E50" i="108"/>
  <c r="F50" i="108"/>
  <c r="G50" i="108"/>
  <c r="H50" i="108"/>
  <c r="I50" i="108"/>
  <c r="J50" i="108"/>
  <c r="K50" i="108"/>
  <c r="L50" i="108"/>
  <c r="M50" i="108"/>
  <c r="N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C54" i="108"/>
  <c r="D54" i="108"/>
  <c r="E54" i="108"/>
  <c r="F54" i="108"/>
  <c r="G54" i="108"/>
  <c r="H54" i="108"/>
  <c r="I54" i="108"/>
  <c r="J54" i="108"/>
  <c r="K54" i="108"/>
  <c r="L54" i="108"/>
  <c r="M54" i="108"/>
  <c r="N54" i="108"/>
  <c r="C55" i="108"/>
  <c r="D55" i="108"/>
  <c r="E55" i="108"/>
  <c r="F55" i="108"/>
  <c r="G55" i="108"/>
  <c r="H55" i="108"/>
  <c r="I55" i="108"/>
  <c r="J55" i="108"/>
  <c r="K55" i="108"/>
  <c r="L55" i="108"/>
  <c r="M55" i="108"/>
  <c r="N55" i="108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D25" i="108"/>
  <c r="E25" i="108"/>
  <c r="F25" i="108"/>
  <c r="G25" i="108"/>
  <c r="H25" i="108"/>
  <c r="I25" i="108"/>
  <c r="J25" i="108"/>
  <c r="K25" i="108"/>
  <c r="L25" i="108"/>
  <c r="M25" i="108"/>
  <c r="N25" i="108"/>
  <c r="C24" i="108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N57" i="107"/>
  <c r="D42" i="107"/>
  <c r="E42" i="107"/>
  <c r="F42" i="107"/>
  <c r="G42" i="107"/>
  <c r="H42" i="107"/>
  <c r="I42" i="107"/>
  <c r="J42" i="107"/>
  <c r="K42" i="107"/>
  <c r="L42" i="107"/>
  <c r="M42" i="107"/>
  <c r="N42" i="107"/>
  <c r="C42" i="107"/>
  <c r="C25" i="107"/>
  <c r="C26" i="107"/>
  <c r="C27" i="107"/>
  <c r="C28" i="107"/>
  <c r="C29" i="107"/>
  <c r="C30" i="107"/>
  <c r="C31" i="107"/>
  <c r="C32" i="107"/>
  <c r="C33" i="107"/>
  <c r="C34" i="107"/>
  <c r="C35" i="107"/>
  <c r="C36" i="107"/>
  <c r="C37" i="107"/>
  <c r="C38" i="107"/>
  <c r="C39" i="107"/>
  <c r="C40" i="107"/>
  <c r="C41" i="107"/>
  <c r="C24" i="107"/>
  <c r="S16" i="107" l="1"/>
  <c r="P57" i="108"/>
  <c r="O57" i="108"/>
  <c r="P57" i="107"/>
  <c r="O57" i="107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AF31" i="108"/>
  <c r="AE31" i="108"/>
  <c r="AD31" i="108"/>
  <c r="AC31" i="108"/>
  <c r="AB31" i="108"/>
  <c r="AA31" i="108"/>
  <c r="Z31" i="108"/>
  <c r="Y31" i="108"/>
  <c r="X31" i="108"/>
  <c r="W31" i="108"/>
  <c r="V31" i="108"/>
  <c r="U31" i="108"/>
  <c r="T31" i="108"/>
  <c r="S31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T23" i="107"/>
  <c r="U23" i="107"/>
  <c r="V23" i="107"/>
  <c r="W23" i="107"/>
  <c r="X23" i="107"/>
  <c r="Y23" i="107"/>
  <c r="Z23" i="107"/>
  <c r="AA23" i="107"/>
  <c r="AB23" i="107"/>
  <c r="AC23" i="107"/>
  <c r="AD23" i="107"/>
  <c r="AF23" i="107"/>
  <c r="S22" i="107"/>
  <c r="S23" i="107"/>
  <c r="S24" i="107"/>
  <c r="T24" i="107"/>
  <c r="U24" i="107"/>
  <c r="V24" i="107"/>
  <c r="W24" i="107"/>
  <c r="X24" i="107"/>
  <c r="Y24" i="107"/>
  <c r="Z24" i="107"/>
  <c r="AA24" i="107"/>
  <c r="AB24" i="107"/>
  <c r="AC24" i="107"/>
  <c r="AD24" i="107"/>
  <c r="AF24" i="107"/>
  <c r="S25" i="107"/>
  <c r="T25" i="107"/>
  <c r="U25" i="107"/>
  <c r="V25" i="107"/>
  <c r="W25" i="107"/>
  <c r="X25" i="107"/>
  <c r="Y25" i="107"/>
  <c r="Z25" i="107"/>
  <c r="AA25" i="107"/>
  <c r="AB25" i="107"/>
  <c r="AC25" i="107"/>
  <c r="AD25" i="107"/>
  <c r="AF25" i="107"/>
  <c r="S26" i="107"/>
  <c r="T26" i="107"/>
  <c r="U26" i="107"/>
  <c r="V26" i="107"/>
  <c r="W26" i="107"/>
  <c r="X26" i="107"/>
  <c r="Y26" i="107"/>
  <c r="Z26" i="107"/>
  <c r="AA26" i="107"/>
  <c r="AB26" i="107"/>
  <c r="AC26" i="107"/>
  <c r="AD26" i="107"/>
  <c r="AF26" i="107"/>
  <c r="S27" i="107"/>
  <c r="T27" i="107"/>
  <c r="U27" i="107"/>
  <c r="V27" i="107"/>
  <c r="W27" i="107"/>
  <c r="X27" i="107"/>
  <c r="Y27" i="107"/>
  <c r="Z27" i="107"/>
  <c r="AA27" i="107"/>
  <c r="AB27" i="107"/>
  <c r="AC27" i="107"/>
  <c r="AD27" i="107"/>
  <c r="AF27" i="107"/>
  <c r="S28" i="107"/>
  <c r="T28" i="107"/>
  <c r="U28" i="107"/>
  <c r="V28" i="107"/>
  <c r="W28" i="107"/>
  <c r="X28" i="107"/>
  <c r="Y28" i="107"/>
  <c r="Z28" i="107"/>
  <c r="AA28" i="107"/>
  <c r="AB28" i="107"/>
  <c r="AC28" i="107"/>
  <c r="AD28" i="107"/>
  <c r="AF28" i="107"/>
  <c r="S29" i="107"/>
  <c r="T29" i="107"/>
  <c r="U29" i="107"/>
  <c r="V29" i="107"/>
  <c r="W29" i="107"/>
  <c r="X29" i="107"/>
  <c r="Y29" i="107"/>
  <c r="Z29" i="107"/>
  <c r="AA29" i="107"/>
  <c r="AB29" i="107"/>
  <c r="AC29" i="107"/>
  <c r="AD29" i="107"/>
  <c r="AF29" i="107"/>
  <c r="S30" i="107"/>
  <c r="T30" i="107"/>
  <c r="U30" i="107"/>
  <c r="V30" i="107"/>
  <c r="W30" i="107"/>
  <c r="X30" i="107"/>
  <c r="Y30" i="107"/>
  <c r="Z30" i="107"/>
  <c r="AA30" i="107"/>
  <c r="AB30" i="107"/>
  <c r="AC30" i="107"/>
  <c r="AD30" i="107"/>
  <c r="AF30" i="107"/>
  <c r="S31" i="107"/>
  <c r="T31" i="107"/>
  <c r="U31" i="107"/>
  <c r="V31" i="107"/>
  <c r="W31" i="107"/>
  <c r="X31" i="107"/>
  <c r="Y31" i="107"/>
  <c r="Z31" i="107"/>
  <c r="AA31" i="107"/>
  <c r="AB31" i="107"/>
  <c r="AC31" i="107"/>
  <c r="AD31" i="107"/>
  <c r="AF31" i="107"/>
  <c r="S32" i="107"/>
  <c r="T32" i="107"/>
  <c r="U32" i="107"/>
  <c r="V32" i="107"/>
  <c r="W32" i="107"/>
  <c r="X32" i="107"/>
  <c r="Y32" i="107"/>
  <c r="Z32" i="107"/>
  <c r="AA32" i="107"/>
  <c r="AB32" i="107"/>
  <c r="AC32" i="107"/>
  <c r="AD32" i="107"/>
  <c r="AF32" i="107"/>
  <c r="S33" i="107"/>
  <c r="T33" i="107"/>
  <c r="U33" i="107"/>
  <c r="V33" i="107"/>
  <c r="W33" i="107"/>
  <c r="X33" i="107"/>
  <c r="Y33" i="107"/>
  <c r="Z33" i="107"/>
  <c r="AA33" i="107"/>
  <c r="AB33" i="107"/>
  <c r="AC33" i="107"/>
  <c r="AD33" i="107"/>
  <c r="AF33" i="107"/>
  <c r="S21" i="107"/>
  <c r="AF22" i="107"/>
  <c r="AE22" i="107"/>
  <c r="AD22" i="107"/>
  <c r="AC22" i="107"/>
  <c r="AB22" i="107"/>
  <c r="AA22" i="107"/>
  <c r="Z22" i="107"/>
  <c r="Y22" i="107"/>
  <c r="X22" i="107"/>
  <c r="W22" i="107"/>
  <c r="V22" i="107"/>
  <c r="U22" i="107"/>
  <c r="T22" i="107"/>
  <c r="S20" i="107"/>
  <c r="C3" i="94"/>
  <c r="AE32" i="107" l="1"/>
  <c r="AE31" i="107"/>
  <c r="AE30" i="107"/>
  <c r="AE29" i="107"/>
  <c r="AE28" i="107"/>
  <c r="AE27" i="107"/>
  <c r="AE26" i="107"/>
  <c r="AE25" i="107"/>
  <c r="AE24" i="107"/>
  <c r="AE23" i="107"/>
  <c r="AE33" i="107"/>
  <c r="K6" i="98"/>
  <c r="K6" i="99" s="1"/>
  <c r="K6" i="100" s="1"/>
  <c r="K6" i="101" s="1"/>
  <c r="K6" i="109" s="1"/>
  <c r="K6" i="105" s="1"/>
  <c r="K6" i="110" s="1"/>
  <c r="K6" i="103" s="1"/>
  <c r="K5" i="101"/>
  <c r="K5" i="109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G5" i="96"/>
  <c r="K6" i="95"/>
  <c r="K5" i="95"/>
  <c r="G5" i="95"/>
  <c r="G5" i="94"/>
  <c r="G6" i="104"/>
  <c r="G6" i="108" s="1"/>
  <c r="G6" i="110"/>
  <c r="G6" i="109"/>
  <c r="G6" i="100"/>
  <c r="G6" i="98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6" i="104" l="1"/>
  <c r="K6" i="108" s="1"/>
  <c r="K6" i="107"/>
  <c r="K5" i="107"/>
  <c r="K5" i="108"/>
  <c r="G5" i="107"/>
  <c r="G5" i="104"/>
  <c r="G5" i="108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Y39" i="109" s="1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Z19" i="105"/>
  <c r="Z39" i="105" s="1"/>
  <c r="Y19" i="105"/>
  <c r="X19" i="105"/>
  <c r="X39" i="105" s="1"/>
  <c r="W19" i="105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AA27" i="99" s="1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X26" i="98" l="1"/>
  <c r="W39" i="105"/>
  <c r="AA39" i="105"/>
  <c r="AA39" i="101"/>
  <c r="AA26" i="95"/>
  <c r="Z39" i="101"/>
  <c r="AB39" i="101"/>
  <c r="AD39" i="101"/>
  <c r="W26" i="95"/>
  <c r="AD26" i="95"/>
  <c r="C3" i="108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W38" i="110" s="1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E24" i="108"/>
  <c r="G24" i="108"/>
  <c r="I24" i="108"/>
  <c r="K24" i="108"/>
  <c r="M24" i="108"/>
  <c r="C25" i="108"/>
  <c r="P23" i="110"/>
  <c r="S13" i="110"/>
  <c r="P31" i="110"/>
  <c r="S15" i="110"/>
  <c r="X10" i="110"/>
  <c r="P13" i="110"/>
  <c r="P15" i="110"/>
  <c r="W11" i="110"/>
  <c r="AA14" i="94"/>
  <c r="AA15" i="94"/>
  <c r="AA16" i="94"/>
  <c r="AA18" i="94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T19" i="108"/>
  <c r="V19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H106" i="108" s="1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Y38" i="105" s="1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38" i="108" s="1"/>
  <c r="O42" i="94"/>
  <c r="O42" i="108" s="1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4" i="108" s="1"/>
  <c r="P38" i="94"/>
  <c r="P42" i="94"/>
  <c r="P46" i="94"/>
  <c r="P46" i="108" s="1"/>
  <c r="P50" i="94"/>
  <c r="P50" i="108" s="1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O32" i="108" s="1"/>
  <c r="P32" i="94"/>
  <c r="P33" i="94"/>
  <c r="O36" i="94"/>
  <c r="P36" i="94"/>
  <c r="P36" i="108" s="1"/>
  <c r="P37" i="94"/>
  <c r="O40" i="94"/>
  <c r="P40" i="94"/>
  <c r="P41" i="94"/>
  <c r="P41" i="108" s="1"/>
  <c r="O44" i="94"/>
  <c r="P44" i="94"/>
  <c r="P45" i="94"/>
  <c r="O48" i="94"/>
  <c r="O48" i="108" s="1"/>
  <c r="P48" i="94"/>
  <c r="P49" i="94"/>
  <c r="O52" i="94"/>
  <c r="O52" i="108" s="1"/>
  <c r="P52" i="94"/>
  <c r="P52" i="108" s="1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P39" i="108" s="1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P55" i="108" s="1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5" i="108" s="1"/>
  <c r="O26" i="94"/>
  <c r="O27" i="94"/>
  <c r="O28" i="94"/>
  <c r="O29" i="94"/>
  <c r="O29" i="108" s="1"/>
  <c r="O31" i="94"/>
  <c r="O33" i="94"/>
  <c r="O35" i="94"/>
  <c r="O35" i="108" s="1"/>
  <c r="O37" i="94"/>
  <c r="O37" i="108" s="1"/>
  <c r="O39" i="94"/>
  <c r="O41" i="94"/>
  <c r="O43" i="94"/>
  <c r="O43" i="108" s="1"/>
  <c r="O45" i="94"/>
  <c r="O45" i="108" s="1"/>
  <c r="O47" i="94"/>
  <c r="O49" i="94"/>
  <c r="O51" i="94"/>
  <c r="O53" i="94"/>
  <c r="O53" i="108" s="1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D24" i="107"/>
  <c r="E24" i="107"/>
  <c r="F24" i="107"/>
  <c r="G24" i="107"/>
  <c r="H24" i="107"/>
  <c r="I24" i="107"/>
  <c r="J24" i="107"/>
  <c r="K24" i="107"/>
  <c r="L24" i="107"/>
  <c r="M24" i="107"/>
  <c r="N24" i="107"/>
  <c r="D25" i="107"/>
  <c r="E25" i="107"/>
  <c r="F25" i="107"/>
  <c r="G25" i="107"/>
  <c r="H25" i="107"/>
  <c r="I25" i="107"/>
  <c r="J25" i="107"/>
  <c r="K25" i="107"/>
  <c r="L25" i="107"/>
  <c r="M25" i="107"/>
  <c r="N25" i="107"/>
  <c r="D26" i="107"/>
  <c r="E26" i="107"/>
  <c r="F26" i="107"/>
  <c r="G26" i="107"/>
  <c r="H26" i="107"/>
  <c r="I26" i="107"/>
  <c r="J26" i="107"/>
  <c r="K26" i="107"/>
  <c r="L26" i="107"/>
  <c r="M26" i="107"/>
  <c r="N26" i="107"/>
  <c r="D27" i="107"/>
  <c r="E27" i="107"/>
  <c r="F27" i="107"/>
  <c r="G27" i="107"/>
  <c r="H27" i="107"/>
  <c r="I27" i="107"/>
  <c r="J27" i="107"/>
  <c r="K27" i="107"/>
  <c r="L27" i="107"/>
  <c r="M27" i="107"/>
  <c r="N27" i="107"/>
  <c r="D28" i="107"/>
  <c r="E28" i="107"/>
  <c r="F28" i="107"/>
  <c r="G28" i="107"/>
  <c r="H28" i="107"/>
  <c r="I28" i="107"/>
  <c r="J28" i="107"/>
  <c r="K28" i="107"/>
  <c r="L28" i="107"/>
  <c r="M28" i="107"/>
  <c r="N28" i="107"/>
  <c r="D29" i="107"/>
  <c r="E29" i="107"/>
  <c r="F29" i="107"/>
  <c r="G29" i="107"/>
  <c r="H29" i="107"/>
  <c r="I29" i="107"/>
  <c r="J29" i="107"/>
  <c r="K29" i="107"/>
  <c r="L29" i="107"/>
  <c r="M29" i="107"/>
  <c r="N29" i="107"/>
  <c r="D30" i="107"/>
  <c r="E30" i="107"/>
  <c r="F30" i="107"/>
  <c r="G30" i="107"/>
  <c r="H30" i="107"/>
  <c r="I30" i="107"/>
  <c r="J30" i="107"/>
  <c r="K30" i="107"/>
  <c r="L30" i="107"/>
  <c r="M30" i="107"/>
  <c r="N30" i="107"/>
  <c r="D31" i="107"/>
  <c r="E31" i="107"/>
  <c r="F31" i="107"/>
  <c r="G31" i="107"/>
  <c r="H31" i="107"/>
  <c r="I31" i="107"/>
  <c r="J31" i="107"/>
  <c r="K31" i="107"/>
  <c r="L31" i="107"/>
  <c r="M31" i="107"/>
  <c r="N31" i="107"/>
  <c r="D32" i="107"/>
  <c r="E32" i="107"/>
  <c r="F32" i="107"/>
  <c r="G32" i="107"/>
  <c r="H32" i="107"/>
  <c r="I32" i="107"/>
  <c r="J32" i="107"/>
  <c r="K32" i="107"/>
  <c r="L32" i="107"/>
  <c r="M32" i="107"/>
  <c r="N32" i="107"/>
  <c r="D33" i="107"/>
  <c r="E33" i="107"/>
  <c r="F33" i="107"/>
  <c r="G33" i="107"/>
  <c r="H33" i="107"/>
  <c r="I33" i="107"/>
  <c r="J33" i="107"/>
  <c r="K33" i="107"/>
  <c r="L33" i="107"/>
  <c r="M33" i="107"/>
  <c r="N33" i="107"/>
  <c r="D34" i="107"/>
  <c r="E34" i="107"/>
  <c r="F34" i="107"/>
  <c r="G34" i="107"/>
  <c r="H34" i="107"/>
  <c r="I34" i="107"/>
  <c r="J34" i="107"/>
  <c r="K34" i="107"/>
  <c r="L34" i="107"/>
  <c r="M34" i="107"/>
  <c r="N34" i="107"/>
  <c r="D35" i="107"/>
  <c r="E35" i="107"/>
  <c r="F35" i="107"/>
  <c r="G35" i="107"/>
  <c r="H35" i="107"/>
  <c r="I35" i="107"/>
  <c r="J35" i="107"/>
  <c r="K35" i="107"/>
  <c r="L35" i="107"/>
  <c r="M35" i="107"/>
  <c r="N35" i="107"/>
  <c r="D36" i="107"/>
  <c r="E36" i="107"/>
  <c r="F36" i="107"/>
  <c r="G36" i="107"/>
  <c r="H36" i="107"/>
  <c r="I36" i="107"/>
  <c r="J36" i="107"/>
  <c r="K36" i="107"/>
  <c r="L36" i="107"/>
  <c r="M36" i="107"/>
  <c r="N36" i="107"/>
  <c r="D37" i="107"/>
  <c r="E37" i="107"/>
  <c r="F37" i="107"/>
  <c r="G37" i="107"/>
  <c r="H37" i="107"/>
  <c r="I37" i="107"/>
  <c r="J37" i="107"/>
  <c r="K37" i="107"/>
  <c r="L37" i="107"/>
  <c r="M37" i="107"/>
  <c r="N37" i="107"/>
  <c r="D38" i="107"/>
  <c r="E38" i="107"/>
  <c r="F38" i="107"/>
  <c r="G38" i="107"/>
  <c r="H38" i="107"/>
  <c r="I38" i="107"/>
  <c r="J38" i="107"/>
  <c r="K38" i="107"/>
  <c r="L38" i="107"/>
  <c r="M38" i="107"/>
  <c r="N38" i="107"/>
  <c r="D39" i="107"/>
  <c r="E39" i="107"/>
  <c r="F39" i="107"/>
  <c r="G39" i="107"/>
  <c r="H39" i="107"/>
  <c r="I39" i="107"/>
  <c r="J39" i="107"/>
  <c r="K39" i="107"/>
  <c r="L39" i="107"/>
  <c r="M39" i="107"/>
  <c r="N39" i="107"/>
  <c r="D40" i="107"/>
  <c r="E40" i="107"/>
  <c r="F40" i="107"/>
  <c r="G40" i="107"/>
  <c r="H40" i="107"/>
  <c r="I40" i="107"/>
  <c r="J40" i="107"/>
  <c r="K40" i="107"/>
  <c r="L40" i="107"/>
  <c r="M40" i="107"/>
  <c r="N40" i="107"/>
  <c r="D41" i="107"/>
  <c r="E41" i="107"/>
  <c r="F41" i="107"/>
  <c r="G41" i="107"/>
  <c r="H41" i="107"/>
  <c r="I41" i="107"/>
  <c r="J41" i="107"/>
  <c r="K41" i="107"/>
  <c r="L41" i="107"/>
  <c r="M41" i="107"/>
  <c r="N41" i="107"/>
  <c r="D10" i="107"/>
  <c r="E10" i="107"/>
  <c r="F10" i="107"/>
  <c r="G10" i="107"/>
  <c r="G106" i="107" s="1"/>
  <c r="H10" i="107"/>
  <c r="I10" i="107"/>
  <c r="J10" i="107"/>
  <c r="K10" i="107"/>
  <c r="K106" i="107" s="1"/>
  <c r="L10" i="107"/>
  <c r="M10" i="107"/>
  <c r="N10" i="107"/>
  <c r="C10" i="107"/>
  <c r="C106" i="107" s="1"/>
  <c r="N106" i="107" l="1"/>
  <c r="J106" i="107"/>
  <c r="F106" i="107"/>
  <c r="O51" i="108"/>
  <c r="O28" i="108"/>
  <c r="P43" i="108"/>
  <c r="P26" i="108"/>
  <c r="P56" i="108"/>
  <c r="P45" i="108"/>
  <c r="P40" i="108"/>
  <c r="O36" i="108"/>
  <c r="P29" i="108"/>
  <c r="P30" i="108"/>
  <c r="O54" i="108"/>
  <c r="L106" i="108"/>
  <c r="E106" i="107"/>
  <c r="O49" i="108"/>
  <c r="O41" i="108"/>
  <c r="O33" i="108"/>
  <c r="O27" i="108"/>
  <c r="P47" i="108"/>
  <c r="P31" i="108"/>
  <c r="O56" i="108"/>
  <c r="P49" i="108"/>
  <c r="P44" i="108"/>
  <c r="O40" i="108"/>
  <c r="P33" i="108"/>
  <c r="P28" i="108"/>
  <c r="P42" i="108"/>
  <c r="O50" i="108"/>
  <c r="O34" i="108"/>
  <c r="AF25" i="101"/>
  <c r="AF28" i="101"/>
  <c r="S38" i="105"/>
  <c r="S35" i="110"/>
  <c r="C106" i="108"/>
  <c r="M106" i="107"/>
  <c r="I106" i="107"/>
  <c r="L106" i="107"/>
  <c r="H106" i="107"/>
  <c r="D106" i="107"/>
  <c r="O55" i="108"/>
  <c r="O47" i="108"/>
  <c r="O39" i="108"/>
  <c r="O31" i="108"/>
  <c r="O26" i="108"/>
  <c r="P51" i="108"/>
  <c r="P35" i="108"/>
  <c r="P25" i="108"/>
  <c r="P53" i="108"/>
  <c r="P48" i="108"/>
  <c r="O44" i="108"/>
  <c r="P37" i="108"/>
  <c r="P32" i="108"/>
  <c r="P27" i="108"/>
  <c r="P54" i="108"/>
  <c r="P38" i="108"/>
  <c r="O46" i="108"/>
  <c r="O30" i="108"/>
  <c r="U38" i="109"/>
  <c r="D106" i="108"/>
  <c r="N106" i="108"/>
  <c r="F106" i="108"/>
  <c r="K106" i="108"/>
  <c r="G106" i="108"/>
  <c r="J106" i="108"/>
  <c r="M106" i="108"/>
  <c r="I106" i="108"/>
  <c r="E106" i="108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S24" i="94"/>
  <c r="AD21" i="108"/>
  <c r="Z20" i="108"/>
  <c r="W27" i="95"/>
  <c r="W24" i="95"/>
  <c r="AB24" i="98"/>
  <c r="W26" i="96"/>
  <c r="V21" i="108"/>
  <c r="AD19" i="108"/>
  <c r="Z21" i="108"/>
  <c r="AD20" i="108"/>
  <c r="V20" i="108"/>
  <c r="V36" i="108" s="1"/>
  <c r="Z19" i="108"/>
  <c r="AC26" i="97"/>
  <c r="AC23" i="97"/>
  <c r="AC24" i="94"/>
  <c r="Y24" i="94"/>
  <c r="S27" i="94"/>
  <c r="AA38" i="110"/>
  <c r="W24" i="94"/>
  <c r="W27" i="94"/>
  <c r="S26" i="94"/>
  <c r="U23" i="97"/>
  <c r="AA27" i="94"/>
  <c r="U27" i="95"/>
  <c r="U24" i="95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S15" i="108"/>
  <c r="T17" i="108"/>
  <c r="O11" i="108"/>
  <c r="X18" i="108"/>
  <c r="AB15" i="108"/>
  <c r="AB17" i="108"/>
  <c r="X16" i="108"/>
  <c r="T15" i="108"/>
  <c r="O10" i="108"/>
  <c r="AA26" i="94"/>
  <c r="AB18" i="108"/>
  <c r="T18" i="108"/>
  <c r="X17" i="108"/>
  <c r="AB16" i="108"/>
  <c r="T16" i="108"/>
  <c r="X15" i="108"/>
  <c r="T13" i="108"/>
  <c r="AC11" i="108"/>
  <c r="Y12" i="108"/>
  <c r="O16" i="108"/>
  <c r="Y10" i="108"/>
  <c r="P22" i="108"/>
  <c r="AD18" i="108"/>
  <c r="Z18" i="108"/>
  <c r="V18" i="108"/>
  <c r="AD16" i="108"/>
  <c r="Z16" i="108"/>
  <c r="V16" i="108"/>
  <c r="W15" i="108"/>
  <c r="W19" i="108"/>
  <c r="S20" i="108"/>
  <c r="AA20" i="108"/>
  <c r="W21" i="108"/>
  <c r="S13" i="108"/>
  <c r="O20" i="108"/>
  <c r="AA15" i="108"/>
  <c r="AA17" i="108"/>
  <c r="Y19" i="108"/>
  <c r="U20" i="108"/>
  <c r="AC20" i="108"/>
  <c r="Y21" i="108"/>
  <c r="P21" i="108"/>
  <c r="O13" i="108"/>
  <c r="P12" i="108"/>
  <c r="AA10" i="108"/>
  <c r="AB13" i="108"/>
  <c r="X13" i="108"/>
  <c r="P24" i="108"/>
  <c r="P17" i="108"/>
  <c r="O14" i="108"/>
  <c r="S11" i="108"/>
  <c r="W18" i="108"/>
  <c r="W16" i="108"/>
  <c r="AC12" i="108"/>
  <c r="U12" i="108"/>
  <c r="Y11" i="108"/>
  <c r="Y34" i="108" s="1"/>
  <c r="P13" i="108"/>
  <c r="O12" i="108"/>
  <c r="P11" i="108"/>
  <c r="AC10" i="108"/>
  <c r="P10" i="108"/>
  <c r="U24" i="94"/>
  <c r="AC26" i="94"/>
  <c r="O22" i="108"/>
  <c r="O18" i="108"/>
  <c r="U1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AB14" i="108"/>
  <c r="X14" i="108"/>
  <c r="T14" i="108"/>
  <c r="V13" i="108"/>
  <c r="AA13" i="108"/>
  <c r="S18" i="108"/>
  <c r="S16" i="108"/>
  <c r="S14" i="108"/>
  <c r="AD17" i="108"/>
  <c r="Z17" i="108"/>
  <c r="V17" i="108"/>
  <c r="AD15" i="108"/>
  <c r="Z15" i="108"/>
  <c r="P23" i="108"/>
  <c r="O21" i="108"/>
  <c r="P19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V15" i="108"/>
  <c r="O23" i="108"/>
  <c r="O19" i="108"/>
  <c r="O15" i="108"/>
  <c r="S12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AD39" i="107" s="1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AC21" i="107"/>
  <c r="AA21" i="107"/>
  <c r="Y21" i="107"/>
  <c r="W21" i="107"/>
  <c r="U21" i="107"/>
  <c r="AC20" i="107"/>
  <c r="AA20" i="107"/>
  <c r="Y20" i="107"/>
  <c r="W20" i="107"/>
  <c r="U20" i="107"/>
  <c r="AC19" i="107"/>
  <c r="AA19" i="107"/>
  <c r="Y19" i="107"/>
  <c r="W19" i="107"/>
  <c r="U19" i="107"/>
  <c r="S19" i="107"/>
  <c r="S36" i="107" s="1"/>
  <c r="AC18" i="107"/>
  <c r="AA18" i="107"/>
  <c r="Y18" i="107"/>
  <c r="W18" i="107"/>
  <c r="U18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O30" i="107"/>
  <c r="Y10" i="107"/>
  <c r="AB38" i="105"/>
  <c r="T38" i="105"/>
  <c r="AD10" i="107"/>
  <c r="V10" i="107"/>
  <c r="AA10" i="107"/>
  <c r="P10" i="107"/>
  <c r="S10" i="107"/>
  <c r="O10" i="107"/>
  <c r="X35" i="105"/>
  <c r="U39" i="107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50" i="107" s="1"/>
  <c r="P18" i="93"/>
  <c r="N58" i="93"/>
  <c r="P42" i="93"/>
  <c r="P42" i="107" s="1"/>
  <c r="P26" i="93"/>
  <c r="P56" i="93"/>
  <c r="P56" i="107" s="1"/>
  <c r="P46" i="93"/>
  <c r="P46" i="107" s="1"/>
  <c r="P38" i="93"/>
  <c r="P30" i="93"/>
  <c r="P22" i="93"/>
  <c r="P14" i="93"/>
  <c r="F58" i="93"/>
  <c r="P10" i="93"/>
  <c r="P52" i="93"/>
  <c r="P52" i="107" s="1"/>
  <c r="P48" i="93"/>
  <c r="P48" i="107" s="1"/>
  <c r="P44" i="93"/>
  <c r="P44" i="107" s="1"/>
  <c r="P40" i="93"/>
  <c r="P36" i="93"/>
  <c r="P32" i="93"/>
  <c r="P28" i="93"/>
  <c r="P24" i="93"/>
  <c r="P23" i="93"/>
  <c r="P20" i="93"/>
  <c r="P16" i="93"/>
  <c r="P12" i="93"/>
  <c r="P54" i="93"/>
  <c r="P54" i="107" s="1"/>
  <c r="P51" i="93"/>
  <c r="P51" i="107" s="1"/>
  <c r="P49" i="93"/>
  <c r="P49" i="107" s="1"/>
  <c r="P35" i="93"/>
  <c r="P33" i="93"/>
  <c r="P31" i="93"/>
  <c r="P21" i="93"/>
  <c r="P19" i="93"/>
  <c r="P17" i="93"/>
  <c r="P15" i="93"/>
  <c r="P13" i="93"/>
  <c r="P11" i="93"/>
  <c r="P47" i="93"/>
  <c r="P47" i="107" s="1"/>
  <c r="P45" i="93"/>
  <c r="P45" i="107" s="1"/>
  <c r="P43" i="93"/>
  <c r="P43" i="107" s="1"/>
  <c r="P41" i="93"/>
  <c r="P39" i="93"/>
  <c r="P37" i="93"/>
  <c r="P29" i="93"/>
  <c r="P27" i="93"/>
  <c r="P25" i="93"/>
  <c r="K58" i="93"/>
  <c r="G58" i="93"/>
  <c r="P57" i="93"/>
  <c r="P55" i="93"/>
  <c r="P55" i="107" s="1"/>
  <c r="H58" i="93"/>
  <c r="D58" i="93"/>
  <c r="L58" i="93"/>
  <c r="P53" i="93"/>
  <c r="P53" i="107" s="1"/>
  <c r="J58" i="93"/>
  <c r="E58" i="93"/>
  <c r="I58" i="93"/>
  <c r="O27" i="93"/>
  <c r="O29" i="93"/>
  <c r="O31" i="93"/>
  <c r="O33" i="93"/>
  <c r="O35" i="93"/>
  <c r="O37" i="93"/>
  <c r="O39" i="93"/>
  <c r="O41" i="93"/>
  <c r="O43" i="93"/>
  <c r="O43" i="107" s="1"/>
  <c r="O45" i="93"/>
  <c r="O45" i="107" s="1"/>
  <c r="O47" i="93"/>
  <c r="O47" i="107" s="1"/>
  <c r="O49" i="93"/>
  <c r="O49" i="107" s="1"/>
  <c r="O51" i="93"/>
  <c r="O51" i="107" s="1"/>
  <c r="O53" i="93"/>
  <c r="O53" i="107" s="1"/>
  <c r="O55" i="93"/>
  <c r="O55" i="107" s="1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2" i="107" s="1"/>
  <c r="O44" i="93"/>
  <c r="O44" i="107" s="1"/>
  <c r="O46" i="93"/>
  <c r="O46" i="107" s="1"/>
  <c r="O48" i="93"/>
  <c r="O48" i="107" s="1"/>
  <c r="O50" i="93"/>
  <c r="O50" i="107" s="1"/>
  <c r="O52" i="93"/>
  <c r="O52" i="107" s="1"/>
  <c r="O54" i="93"/>
  <c r="O54" i="107" s="1"/>
  <c r="O56" i="93"/>
  <c r="O56" i="107" s="1"/>
  <c r="C58" i="93"/>
  <c r="V22" i="93" l="1"/>
  <c r="AE24" i="98"/>
  <c r="S41" i="107"/>
  <c r="V39" i="107"/>
  <c r="X42" i="109"/>
  <c r="S37" i="107"/>
  <c r="S34" i="107"/>
  <c r="AF10" i="108"/>
  <c r="P106" i="108"/>
  <c r="X41" i="108"/>
  <c r="O106" i="108"/>
  <c r="O106" i="107"/>
  <c r="P106" i="107"/>
  <c r="Y41" i="108"/>
  <c r="W41" i="108"/>
  <c r="AA41" i="108"/>
  <c r="AD41" i="108"/>
  <c r="U41" i="108"/>
  <c r="AC41" i="108"/>
  <c r="V41" i="108"/>
  <c r="AB41" i="108"/>
  <c r="S41" i="108"/>
  <c r="T41" i="108"/>
  <c r="Z41" i="108"/>
  <c r="U36" i="107"/>
  <c r="AB41" i="107"/>
  <c r="W41" i="107"/>
  <c r="AA41" i="107"/>
  <c r="T41" i="107"/>
  <c r="X41" i="107"/>
  <c r="U41" i="107"/>
  <c r="Y41" i="107"/>
  <c r="AC41" i="107"/>
  <c r="V41" i="107"/>
  <c r="Z41" i="107"/>
  <c r="AD41" i="107"/>
  <c r="AE21" i="107"/>
  <c r="AD36" i="108"/>
  <c r="Z36" i="108"/>
  <c r="V39" i="108"/>
  <c r="AB36" i="108"/>
  <c r="AD37" i="108"/>
  <c r="AD39" i="108"/>
  <c r="Z39" i="108"/>
  <c r="T39" i="108"/>
  <c r="C108" i="110"/>
  <c r="X36" i="108"/>
  <c r="V34" i="108"/>
  <c r="X39" i="108"/>
  <c r="T36" i="108"/>
  <c r="AB39" i="108"/>
  <c r="V37" i="108"/>
  <c r="T34" i="108"/>
  <c r="F108" i="110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D42" i="108" s="1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C42" i="108" s="1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V37" i="107"/>
  <c r="Y37" i="107"/>
  <c r="W34" i="107"/>
  <c r="U40" i="108"/>
  <c r="AF12" i="108"/>
  <c r="AF18" i="108"/>
  <c r="AA38" i="108"/>
  <c r="AE11" i="108"/>
  <c r="AD36" i="107"/>
  <c r="Y34" i="107"/>
  <c r="Z40" i="107"/>
  <c r="Z42" i="107" s="1"/>
  <c r="AB35" i="107"/>
  <c r="Z36" i="107"/>
  <c r="AD34" i="108"/>
  <c r="U37" i="108"/>
  <c r="AB38" i="108"/>
  <c r="AB40" i="108"/>
  <c r="S38" i="108"/>
  <c r="S40" i="108"/>
  <c r="AA34" i="108"/>
  <c r="Y40" i="108"/>
  <c r="Y42" i="108" s="1"/>
  <c r="V35" i="108"/>
  <c r="AD35" i="108"/>
  <c r="AF13" i="108"/>
  <c r="AF15" i="108"/>
  <c r="AE16" i="108"/>
  <c r="Z40" i="108"/>
  <c r="Z42" i="108" s="1"/>
  <c r="F107" i="105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T42" i="108" s="1"/>
  <c r="S34" i="108"/>
  <c r="AF16" i="108"/>
  <c r="AA37" i="108"/>
  <c r="AA36" i="108"/>
  <c r="AB34" i="108"/>
  <c r="AB37" i="108"/>
  <c r="W40" i="108"/>
  <c r="W42" i="108" s="1"/>
  <c r="W37" i="108"/>
  <c r="W34" i="108"/>
  <c r="Y38" i="108"/>
  <c r="Y35" i="108"/>
  <c r="T37" i="108"/>
  <c r="X37" i="108"/>
  <c r="Y40" i="107"/>
  <c r="Y42" i="107" s="1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V42" i="107" s="1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X40" i="107"/>
  <c r="X42" i="107" s="1"/>
  <c r="AB40" i="107"/>
  <c r="AB42" i="107" s="1"/>
  <c r="X38" i="107"/>
  <c r="Z35" i="107"/>
  <c r="AF35" i="105"/>
  <c r="AE17" i="107"/>
  <c r="AE13" i="107"/>
  <c r="AF15" i="107"/>
  <c r="T40" i="107"/>
  <c r="AE11" i="107"/>
  <c r="V35" i="107"/>
  <c r="AD40" i="107"/>
  <c r="AD42" i="107" s="1"/>
  <c r="AB38" i="107"/>
  <c r="X39" i="107"/>
  <c r="Z39" i="107"/>
  <c r="W40" i="107"/>
  <c r="W42" i="107" s="1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42" i="107" s="1"/>
  <c r="AA37" i="107"/>
  <c r="AA34" i="107"/>
  <c r="S40" i="107"/>
  <c r="S42" i="107" s="1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C42" i="107" l="1"/>
  <c r="U42" i="108"/>
  <c r="X42" i="108"/>
  <c r="T42" i="107"/>
  <c r="AB42" i="108"/>
  <c r="AA42" i="108"/>
  <c r="AF41" i="108"/>
  <c r="AE41" i="108"/>
  <c r="V42" i="108"/>
  <c r="S42" i="108"/>
  <c r="U42" i="107"/>
  <c r="AF41" i="107"/>
  <c r="AE41" i="107"/>
  <c r="AF34" i="107"/>
  <c r="AF40" i="107"/>
  <c r="AF37" i="107"/>
  <c r="AF38" i="107"/>
  <c r="AF35" i="107"/>
  <c r="AF36" i="107"/>
  <c r="AF39" i="107"/>
  <c r="J108" i="107"/>
  <c r="C107" i="107"/>
  <c r="H108" i="107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AF42" i="108" s="1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E42" i="108" s="1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E40" i="107"/>
  <c r="AE38" i="107"/>
  <c r="AE36" i="107"/>
  <c r="AE34" i="107"/>
  <c r="D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E42" i="107" l="1"/>
  <c r="AF42" i="107"/>
</calcChain>
</file>

<file path=xl/sharedStrings.xml><?xml version="1.0" encoding="utf-8"?>
<sst xmlns="http://schemas.openxmlformats.org/spreadsheetml/2006/main" count="2337" uniqueCount="184">
  <si>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</si>
  <si>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</si>
  <si>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</si>
  <si>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</si>
  <si>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</si>
  <si>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</si>
  <si>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</si>
  <si>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</si>
  <si>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</si>
  <si>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</si>
  <si>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</si>
  <si>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</si>
  <si>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</si>
  <si>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</si>
  <si>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</si>
  <si>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</si>
  <si>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</si>
  <si>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</si>
  <si>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</si>
  <si>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</si>
  <si>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</si>
  <si>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</si>
  <si>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</si>
  <si>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</si>
  <si>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</si>
  <si>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</si>
  <si>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</si>
  <si>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</si>
  <si>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</si>
  <si>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</si>
  <si>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</si>
  <si>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</si>
  <si>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</si>
  <si>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</si>
  <si>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</si>
  <si>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</si>
  <si>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</si>
  <si>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</si>
  <si>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</si>
  <si>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</si>
  <si>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</si>
  <si>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</si>
  <si>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</si>
  <si>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</si>
  <si>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</si>
  <si>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</si>
  <si>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</si>
  <si>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</si>
  <si>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</si>
  <si>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</si>
  <si>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</si>
  <si>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</si>
  <si>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</si>
  <si>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</si>
  <si>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</si>
  <si>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</si>
  <si>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</si>
  <si>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</si>
  <si>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</si>
  <si>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</si>
  <si>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</si>
  <si>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</si>
  <si>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</si>
  <si>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</si>
  <si>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</si>
  <si>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</si>
  <si>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</si>
  <si>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</si>
  <si>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</si>
  <si>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</si>
  <si>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</si>
  <si>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</si>
  <si>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</si>
  <si>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</si>
  <si>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</si>
  <si>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</si>
  <si>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</si>
  <si>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</si>
  <si>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</si>
  <si>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</si>
  <si>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</si>
  <si>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</si>
  <si>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</si>
  <si>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</si>
  <si>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</si>
  <si>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</si>
  <si>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</si>
  <si>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</si>
  <si>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</si>
  <si>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</si>
  <si>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</si>
  <si>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</si>
  <si>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</si>
  <si>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</si>
  <si>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</si>
  <si>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</si>
  <si>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</si>
  <si>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</si>
  <si>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</si>
  <si>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</si>
  <si>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</si>
  <si>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</si>
  <si>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</si>
  <si>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</si>
  <si>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</si>
  <si>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</si>
  <si>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</si>
  <si>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</si>
  <si>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</si>
  <si>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</si>
  <si>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</si>
  <si>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</si>
  <si>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</si>
  <si>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</si>
  <si>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</si>
  <si>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</si>
  <si>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</si>
  <si>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</si>
  <si>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</si>
  <si>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</si>
  <si>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</si>
  <si>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</si>
  <si>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</si>
  <si>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</si>
  <si>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</si>
  <si>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</si>
  <si>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</si>
  <si>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</si>
  <si>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</si>
  <si>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</si>
  <si>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</si>
  <si>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</si>
  <si>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</si>
  <si>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</si>
  <si>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</si>
  <si>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</si>
  <si>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</si>
  <si>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</si>
  <si>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</si>
  <si>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</si>
  <si>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</si>
  <si>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</si>
  <si>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</si>
  <si>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</si>
  <si>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</si>
  <si>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</si>
  <si>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</si>
  <si>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</si>
  <si>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</si>
  <si>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</si>
  <si>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</si>
  <si>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</si>
  <si>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</si>
  <si>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</si>
  <si>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</si>
  <si>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</si>
  <si>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</si>
  <si>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</si>
  <si>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</si>
  <si>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</si>
  <si>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</si>
  <si>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</si>
  <si>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22.07.19</t>
  </si>
  <si>
    <t>23.07.19</t>
  </si>
  <si>
    <t>24.07.19</t>
  </si>
  <si>
    <t>25.07.19</t>
  </si>
  <si>
    <t>26.07.19</t>
  </si>
  <si>
    <t>27.07.19</t>
  </si>
  <si>
    <t>28.07.19</t>
  </si>
  <si>
    <t>AVERAGE WEEK</t>
  </si>
  <si>
    <t>Ndeeba</t>
  </si>
  <si>
    <t>Lubiri</t>
  </si>
  <si>
    <t>MCC - CI - STN03 - KALINDA ROAD</t>
  </si>
  <si>
    <t>MCC - C1 - STN03- KALINDA ROAD</t>
  </si>
  <si>
    <t>Before Shell</t>
  </si>
  <si>
    <t>Maiso. M. Gadafi</t>
  </si>
  <si>
    <t>Denis</t>
  </si>
  <si>
    <t>Kizito Geofrey</t>
  </si>
  <si>
    <t>Kaisuka</t>
  </si>
  <si>
    <t>Maiso.M. Gadafi</t>
  </si>
  <si>
    <t>Kizito Gerfrey &amp; Kayondo Drake</t>
  </si>
  <si>
    <t>Nakusasira Catherine &amp; Kagweri Martin</t>
  </si>
  <si>
    <t>Maiso.M.Gadafi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</si>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</sst>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164" formatCode="_-* #,##0_-;\-* #,##0_-;_-* &quot;-&quot;_-;_-@_-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164" fontId="1" fillId="0" borderId="8" xfId="3" applyFont="1" applyBorder="1" applyAlignment="1">
      <alignment horizontal="center"/>
    </xf>
    <xf numFmtId="164" fontId="1" fillId="0" borderId="1" xfId="3" applyFont="1" applyBorder="1" applyAlignment="1">
      <alignment horizontal="center"/>
    </xf>
    <xf numFmtId="164" fontId="1" fillId="3" borderId="1" xfId="3" applyFont="1" applyFill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/>
    </xf>
  </cellXfs>
  <cellStyles count="4">
    <cellStyle name="Comma [0]" xfId="2" builtinId="6"/>
    <cellStyle name="Comma [0] 2" xf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8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Lubiri -Ndeeba'!$AE$9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Lubiri 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Lubiri -Ndeeba'!$AE$10:$AE$21</c:f>
              <c:numCache>
                <c:formatCode>0</c:formatCode>
                <c:ptCount val="12"/>
                <c:pt idx="0">
                  <c:v>147</c:v>
                </c:pt>
                <c:pt idx="1">
                  <c:v>254</c:v>
                </c:pt>
                <c:pt idx="2">
                  <c:v>302</c:v>
                </c:pt>
                <c:pt idx="3">
                  <c:v>296</c:v>
                </c:pt>
                <c:pt idx="4">
                  <c:v>280</c:v>
                </c:pt>
                <c:pt idx="5">
                  <c:v>297</c:v>
                </c:pt>
                <c:pt idx="6">
                  <c:v>303</c:v>
                </c:pt>
                <c:pt idx="7">
                  <c:v>245</c:v>
                </c:pt>
                <c:pt idx="8">
                  <c:v>315</c:v>
                </c:pt>
                <c:pt idx="9">
                  <c:v>344</c:v>
                </c:pt>
                <c:pt idx="10">
                  <c:v>426</c:v>
                </c:pt>
                <c:pt idx="11">
                  <c:v>397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'22.07 Lubiri -Ndeeba'!$AF$9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Lubiri 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Lubiri -Ndeeba'!$AF$10:$AF$21</c:f>
              <c:numCache>
                <c:formatCode>0</c:formatCode>
                <c:ptCount val="12"/>
                <c:pt idx="0">
                  <c:v>562</c:v>
                </c:pt>
                <c:pt idx="1">
                  <c:v>927</c:v>
                </c:pt>
                <c:pt idx="2">
                  <c:v>883</c:v>
                </c:pt>
                <c:pt idx="3">
                  <c:v>1169</c:v>
                </c:pt>
                <c:pt idx="4">
                  <c:v>1302</c:v>
                </c:pt>
                <c:pt idx="5">
                  <c:v>1384</c:v>
                </c:pt>
                <c:pt idx="6">
                  <c:v>1006</c:v>
                </c:pt>
                <c:pt idx="7">
                  <c:v>988</c:v>
                </c:pt>
                <c:pt idx="8">
                  <c:v>645</c:v>
                </c:pt>
                <c:pt idx="9">
                  <c:v>1443</c:v>
                </c:pt>
                <c:pt idx="10">
                  <c:v>1826</c:v>
                </c:pt>
                <c:pt idx="11">
                  <c:v>1621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313248"/>
        <c:axId val="441309440"/>
      </c:lineChart>
      <c:catAx>
        <c:axId val="4413132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309440"/>
        <c:crosses val="autoZero"/>
        <c:auto val="1"/>
        <c:lblAlgn val="ctr"/>
        <c:lblOffset val="100"/>
        <c:noMultiLvlLbl val="0"/>
      </c:catAx>
      <c:valAx>
        <c:axId val="441309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31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Lubiri 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Lubiri -Ndeeba'!$C$59:$N$59</c:f>
              <c:numCache>
                <c:formatCode>0.0%</c:formatCode>
                <c:ptCount val="12"/>
                <c:pt idx="0">
                  <c:v>0.12787147426577494</c:v>
                </c:pt>
                <c:pt idx="1">
                  <c:v>2.3844140738586799E-2</c:v>
                </c:pt>
                <c:pt idx="2">
                  <c:v>1.2140157022390229E-2</c:v>
                </c:pt>
                <c:pt idx="3">
                  <c:v>5.3067752253562084E-2</c:v>
                </c:pt>
                <c:pt idx="4">
                  <c:v>1.8900843268391974E-3</c:v>
                </c:pt>
                <c:pt idx="5">
                  <c:v>2.1808665309683048E-4</c:v>
                </c:pt>
                <c:pt idx="6">
                  <c:v>1.9409712125617911E-2</c:v>
                </c:pt>
                <c:pt idx="7">
                  <c:v>1.7446932247746436E-2</c:v>
                </c:pt>
                <c:pt idx="8">
                  <c:v>4.2890375109043326E-3</c:v>
                </c:pt>
                <c:pt idx="9">
                  <c:v>1.671997673742367E-3</c:v>
                </c:pt>
                <c:pt idx="10">
                  <c:v>0.73785984297760976</c:v>
                </c:pt>
                <c:pt idx="11">
                  <c:v>2.9078220412910729E-4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Lubiri 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Lubiri -Ndeeba'!$C$60:$N$60</c:f>
              <c:numCache>
                <c:formatCode>0.00%</c:formatCode>
                <c:ptCount val="12"/>
                <c:pt idx="0">
                  <c:v>0.48779811425402109</c:v>
                </c:pt>
                <c:pt idx="1">
                  <c:v>9.0959511924570163E-2</c:v>
                </c:pt>
                <c:pt idx="2">
                  <c:v>4.6311702717692735E-2</c:v>
                </c:pt>
                <c:pt idx="3">
                  <c:v>0.20244037714919577</c:v>
                </c:pt>
                <c:pt idx="4">
                  <c:v>7.2102052135330002E-3</c:v>
                </c:pt>
                <c:pt idx="5">
                  <c:v>8.3194675540765393E-4</c:v>
                </c:pt>
                <c:pt idx="6">
                  <c:v>7.4043261231281202E-2</c:v>
                </c:pt>
                <c:pt idx="7">
                  <c:v>6.6555740432612309E-2</c:v>
                </c:pt>
                <c:pt idx="8">
                  <c:v>1.6361619523017193E-2</c:v>
                </c:pt>
                <c:pt idx="9">
                  <c:v>6.3782584581253471E-3</c:v>
                </c:pt>
                <c:pt idx="11">
                  <c:v>1.1092623405435386E-3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8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Ndeeba-Lubiri'!$AE$9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Ndeeba-Lubiri'!$R$10:$R$21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Ndeeba-Lubiri'!$AE$10:$AE$21</c:f>
              <c:numCache>
                <c:formatCode>0</c:formatCode>
                <c:ptCount val="12"/>
                <c:pt idx="0">
                  <c:v>423</c:v>
                </c:pt>
                <c:pt idx="1">
                  <c:v>388</c:v>
                </c:pt>
                <c:pt idx="2">
                  <c:v>454</c:v>
                </c:pt>
                <c:pt idx="3">
                  <c:v>501</c:v>
                </c:pt>
                <c:pt idx="4">
                  <c:v>405</c:v>
                </c:pt>
                <c:pt idx="5">
                  <c:v>404</c:v>
                </c:pt>
                <c:pt idx="6">
                  <c:v>318</c:v>
                </c:pt>
                <c:pt idx="7">
                  <c:v>293</c:v>
                </c:pt>
                <c:pt idx="8">
                  <c:v>240</c:v>
                </c:pt>
                <c:pt idx="9">
                  <c:v>390</c:v>
                </c:pt>
                <c:pt idx="10">
                  <c:v>437</c:v>
                </c:pt>
                <c:pt idx="11">
                  <c:v>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'22.07 Ndeeba-Lubiri'!$AF$9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Ndeeba-Lubiri'!$R$10:$R$21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Ndeeba-Lubiri'!$AF$10:$AF$21</c:f>
              <c:numCache>
                <c:formatCode>0</c:formatCode>
                <c:ptCount val="12"/>
                <c:pt idx="0">
                  <c:v>824</c:v>
                </c:pt>
                <c:pt idx="1">
                  <c:v>854</c:v>
                </c:pt>
                <c:pt idx="2">
                  <c:v>1110</c:v>
                </c:pt>
                <c:pt idx="3">
                  <c:v>1306</c:v>
                </c:pt>
                <c:pt idx="4">
                  <c:v>1098</c:v>
                </c:pt>
                <c:pt idx="5">
                  <c:v>1144</c:v>
                </c:pt>
                <c:pt idx="6">
                  <c:v>929</c:v>
                </c:pt>
                <c:pt idx="7">
                  <c:v>892</c:v>
                </c:pt>
                <c:pt idx="8">
                  <c:v>468</c:v>
                </c:pt>
                <c:pt idx="9">
                  <c:v>1058</c:v>
                </c:pt>
                <c:pt idx="10">
                  <c:v>1230</c:v>
                </c:pt>
                <c:pt idx="11">
                  <c:v>1252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313792"/>
        <c:axId val="441314336"/>
      </c:lineChart>
      <c:catAx>
        <c:axId val="441313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314336"/>
        <c:crosses val="autoZero"/>
        <c:auto val="1"/>
        <c:lblAlgn val="ctr"/>
        <c:lblOffset val="100"/>
        <c:noMultiLvlLbl val="0"/>
      </c:catAx>
      <c:valAx>
        <c:axId val="441314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31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Ndeeba-Lubiri'!$C$9:$N$9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Ndeeba-Lubiri'!$C$59:$N$59</c:f>
              <c:numCache>
                <c:formatCode>0.0%</c:formatCode>
                <c:ptCount val="12"/>
                <c:pt idx="0">
                  <c:v>0.23230579531442663</c:v>
                </c:pt>
                <c:pt idx="1">
                  <c:v>3.3210028771064527E-2</c:v>
                </c:pt>
                <c:pt idx="2">
                  <c:v>3.2059186189889025E-2</c:v>
                </c:pt>
                <c:pt idx="3">
                  <c:v>4.4882860665844633E-2</c:v>
                </c:pt>
                <c:pt idx="4">
                  <c:v>1.0686395396629674E-3</c:v>
                </c:pt>
                <c:pt idx="5">
                  <c:v>3.2881216605014385E-4</c:v>
                </c:pt>
                <c:pt idx="6">
                  <c:v>1.8084669132757913E-2</c:v>
                </c:pt>
                <c:pt idx="7">
                  <c:v>1.5700780928894369E-2</c:v>
                </c:pt>
                <c:pt idx="8">
                  <c:v>1.6440608302507192E-3</c:v>
                </c:pt>
                <c:pt idx="9">
                  <c:v>1.6440608302507192E-3</c:v>
                </c:pt>
                <c:pt idx="10">
                  <c:v>0.61898890258939576</c:v>
                </c:pt>
                <c:pt idx="11">
                  <c:v>8.2203041512535961E-5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54"/>
          <c:y val="2.29602266373237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Ndeeba-Lubiri'!$S$9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'22.07 Ndeeba-Lubiri'!$R$10:$R$21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Ndeeba-Lubiri'!$S$10:$S$21</c:f>
              <c:numCache>
                <c:formatCode>0</c:formatCode>
                <c:ptCount val="12"/>
                <c:pt idx="0">
                  <c:v>259</c:v>
                </c:pt>
                <c:pt idx="1">
                  <c:v>212</c:v>
                </c:pt>
                <c:pt idx="2">
                  <c:v>302</c:v>
                </c:pt>
                <c:pt idx="3">
                  <c:v>278</c:v>
                </c:pt>
                <c:pt idx="4">
                  <c:v>252</c:v>
                </c:pt>
                <c:pt idx="5">
                  <c:v>257</c:v>
                </c:pt>
                <c:pt idx="6">
                  <c:v>190</c:v>
                </c:pt>
                <c:pt idx="7">
                  <c:v>144</c:v>
                </c:pt>
                <c:pt idx="8">
                  <c:v>143</c:v>
                </c:pt>
                <c:pt idx="9">
                  <c:v>254</c:v>
                </c:pt>
                <c:pt idx="10">
                  <c:v>310</c:v>
                </c:pt>
                <c:pt idx="11">
                  <c:v>225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'22.07 Ndeeba-Lubiri'!$T$9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'22.07 Ndeeba-Lubiri'!$R$10:$R$21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Ndeeba-Lubiri'!$T$10:$T$21</c:f>
              <c:numCache>
                <c:formatCode>0</c:formatCode>
                <c:ptCount val="12"/>
                <c:pt idx="0">
                  <c:v>29</c:v>
                </c:pt>
                <c:pt idx="1">
                  <c:v>35</c:v>
                </c:pt>
                <c:pt idx="2">
                  <c:v>26</c:v>
                </c:pt>
                <c:pt idx="3">
                  <c:v>44</c:v>
                </c:pt>
                <c:pt idx="4">
                  <c:v>33</c:v>
                </c:pt>
                <c:pt idx="5">
                  <c:v>36</c:v>
                </c:pt>
                <c:pt idx="6">
                  <c:v>25</c:v>
                </c:pt>
                <c:pt idx="7">
                  <c:v>44</c:v>
                </c:pt>
                <c:pt idx="8">
                  <c:v>22</c:v>
                </c:pt>
                <c:pt idx="9">
                  <c:v>42</c:v>
                </c:pt>
                <c:pt idx="10">
                  <c:v>34</c:v>
                </c:pt>
                <c:pt idx="11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'22.07 Ndeeba-Lubiri'!$U$9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'22.07 Ndeeba-Lubiri'!$U$10:$U$21</c:f>
              <c:numCache>
                <c:formatCode>0</c:formatCode>
                <c:ptCount val="12"/>
                <c:pt idx="0">
                  <c:v>23</c:v>
                </c:pt>
                <c:pt idx="1">
                  <c:v>17</c:v>
                </c:pt>
                <c:pt idx="2">
                  <c:v>28</c:v>
                </c:pt>
                <c:pt idx="3">
                  <c:v>44</c:v>
                </c:pt>
                <c:pt idx="4">
                  <c:v>39</c:v>
                </c:pt>
                <c:pt idx="5">
                  <c:v>45</c:v>
                </c:pt>
                <c:pt idx="6">
                  <c:v>34</c:v>
                </c:pt>
                <c:pt idx="7">
                  <c:v>37</c:v>
                </c:pt>
                <c:pt idx="8">
                  <c:v>34</c:v>
                </c:pt>
                <c:pt idx="9">
                  <c:v>35</c:v>
                </c:pt>
                <c:pt idx="10">
                  <c:v>30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'22.07 Ndeeba-Lubiri'!$V$9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'22.07 Ndeeba-Lubiri'!$V$10:$V$21</c:f>
              <c:numCache>
                <c:formatCode>0</c:formatCode>
                <c:ptCount val="12"/>
                <c:pt idx="0">
                  <c:v>89</c:v>
                </c:pt>
                <c:pt idx="1">
                  <c:v>85</c:v>
                </c:pt>
                <c:pt idx="2">
                  <c:v>64</c:v>
                </c:pt>
                <c:pt idx="3">
                  <c:v>60</c:v>
                </c:pt>
                <c:pt idx="4">
                  <c:v>31</c:v>
                </c:pt>
                <c:pt idx="5">
                  <c:v>26</c:v>
                </c:pt>
                <c:pt idx="6">
                  <c:v>23</c:v>
                </c:pt>
                <c:pt idx="7">
                  <c:v>24</c:v>
                </c:pt>
                <c:pt idx="8">
                  <c:v>18</c:v>
                </c:pt>
                <c:pt idx="9">
                  <c:v>28</c:v>
                </c:pt>
                <c:pt idx="10">
                  <c:v>29</c:v>
                </c:pt>
                <c:pt idx="1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'22.07 Ndeeba-Lubiri'!$W$9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'22.07 Ndeeba-Lubiri'!$W$10:$W$21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'22.07 Ndeeba-Lubiri'!$X$9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'22.07 Ndeeba-Lubiri'!$X$10:$X$21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'22.07 Ndeeba-Lubiri'!$Y$9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Ndeeba-Lubiri'!$Y$10:$Y$21</c:f>
              <c:numCache>
                <c:formatCode>0</c:formatCode>
                <c:ptCount val="12"/>
                <c:pt idx="0">
                  <c:v>6</c:v>
                </c:pt>
                <c:pt idx="1">
                  <c:v>11</c:v>
                </c:pt>
                <c:pt idx="2">
                  <c:v>18</c:v>
                </c:pt>
                <c:pt idx="3">
                  <c:v>51</c:v>
                </c:pt>
                <c:pt idx="4">
                  <c:v>24</c:v>
                </c:pt>
                <c:pt idx="5">
                  <c:v>16</c:v>
                </c:pt>
                <c:pt idx="6">
                  <c:v>19</c:v>
                </c:pt>
                <c:pt idx="7">
                  <c:v>21</c:v>
                </c:pt>
                <c:pt idx="8">
                  <c:v>15</c:v>
                </c:pt>
                <c:pt idx="9">
                  <c:v>15</c:v>
                </c:pt>
                <c:pt idx="10">
                  <c:v>12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'22.07 Ndeeba-Lubiri'!$Z$9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Ndeeba-Lubiri'!$Z$10:$Z$21</c:f>
              <c:numCache>
                <c:formatCode>0</c:formatCode>
                <c:ptCount val="12"/>
                <c:pt idx="0">
                  <c:v>13</c:v>
                </c:pt>
                <c:pt idx="1">
                  <c:v>27</c:v>
                </c:pt>
                <c:pt idx="2">
                  <c:v>12</c:v>
                </c:pt>
                <c:pt idx="3">
                  <c:v>17</c:v>
                </c:pt>
                <c:pt idx="4">
                  <c:v>18</c:v>
                </c:pt>
                <c:pt idx="5">
                  <c:v>20</c:v>
                </c:pt>
                <c:pt idx="6">
                  <c:v>20</c:v>
                </c:pt>
                <c:pt idx="7">
                  <c:v>13</c:v>
                </c:pt>
                <c:pt idx="8">
                  <c:v>8</c:v>
                </c:pt>
                <c:pt idx="9">
                  <c:v>16</c:v>
                </c:pt>
                <c:pt idx="10">
                  <c:v>17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'22.07 Ndeeba-Lubiri'!$AA$9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Ndeeba-Lubiri'!$AA$10:$AA$21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'22.07 Ndeeba-Lubiri'!$AB$9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Ndeeba-Lubiri'!$AB$10:$AB$21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'22.07 Ndeeba-Lubiri'!$AC$9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Ndeeba-Lubiri'!$AC$10:$AC$21</c:f>
              <c:numCache>
                <c:formatCode>0</c:formatCode>
                <c:ptCount val="12"/>
                <c:pt idx="0">
                  <c:v>401</c:v>
                </c:pt>
                <c:pt idx="1">
                  <c:v>466</c:v>
                </c:pt>
                <c:pt idx="2">
                  <c:v>656</c:v>
                </c:pt>
                <c:pt idx="3">
                  <c:v>805</c:v>
                </c:pt>
                <c:pt idx="4">
                  <c:v>693</c:v>
                </c:pt>
                <c:pt idx="5">
                  <c:v>740</c:v>
                </c:pt>
                <c:pt idx="6">
                  <c:v>611</c:v>
                </c:pt>
                <c:pt idx="7">
                  <c:v>599</c:v>
                </c:pt>
                <c:pt idx="8">
                  <c:v>228</c:v>
                </c:pt>
                <c:pt idx="9">
                  <c:v>668</c:v>
                </c:pt>
                <c:pt idx="10">
                  <c:v>793</c:v>
                </c:pt>
                <c:pt idx="11">
                  <c:v>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'22.07 Ndeeba-Lubiri'!$AD$9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Ndeeba-Lubiri'!$AD$10:$AD$21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311616"/>
        <c:axId val="441316512"/>
      </c:lineChart>
      <c:catAx>
        <c:axId val="44131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316512"/>
        <c:crosses val="autoZero"/>
        <c:auto val="1"/>
        <c:lblAlgn val="ctr"/>
        <c:lblOffset val="100"/>
        <c:noMultiLvlLbl val="0"/>
      </c:catAx>
      <c:valAx>
        <c:axId val="44131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31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Ndeeba-Lubiri'!$C$9:$N$9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Ndeeba-Lubiri'!$C$60:$N$60</c:f>
              <c:numCache>
                <c:formatCode>0.00%</c:formatCode>
                <c:ptCount val="12"/>
                <c:pt idx="0">
                  <c:v>0.60970873786407764</c:v>
                </c:pt>
                <c:pt idx="1">
                  <c:v>8.7162891046386193E-2</c:v>
                </c:pt>
                <c:pt idx="2">
                  <c:v>8.4142394822006472E-2</c:v>
                </c:pt>
                <c:pt idx="3">
                  <c:v>0.11779935275080906</c:v>
                </c:pt>
                <c:pt idx="4">
                  <c:v>2.8047464940668823E-3</c:v>
                </c:pt>
                <c:pt idx="5">
                  <c:v>8.6299892125134845E-4</c:v>
                </c:pt>
                <c:pt idx="6">
                  <c:v>4.7464940668824167E-2</c:v>
                </c:pt>
                <c:pt idx="7">
                  <c:v>4.1208198489751886E-2</c:v>
                </c:pt>
                <c:pt idx="8">
                  <c:v>4.3149946062567418E-3</c:v>
                </c:pt>
                <c:pt idx="9">
                  <c:v>4.3149946062567418E-3</c:v>
                </c:pt>
                <c:pt idx="11">
                  <c:v>2.1574973031283711E-4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8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Lubiri-Ndeeba'!$AE$9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Lubiri-Ndeeba'!$R$10:$R$21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Lubiri-Ndeeba'!$AE$10:$AE$21</c:f>
              <c:numCache>
                <c:formatCode>0</c:formatCode>
                <c:ptCount val="12"/>
                <c:pt idx="0">
                  <c:v>165</c:v>
                </c:pt>
                <c:pt idx="1">
                  <c:v>205</c:v>
                </c:pt>
                <c:pt idx="2">
                  <c:v>243</c:v>
                </c:pt>
                <c:pt idx="3">
                  <c:v>267</c:v>
                </c:pt>
                <c:pt idx="4">
                  <c:v>302</c:v>
                </c:pt>
                <c:pt idx="5">
                  <c:v>313</c:v>
                </c:pt>
                <c:pt idx="6">
                  <c:v>307</c:v>
                </c:pt>
                <c:pt idx="7">
                  <c:v>285</c:v>
                </c:pt>
                <c:pt idx="8">
                  <c:v>329</c:v>
                </c:pt>
                <c:pt idx="9">
                  <c:v>337</c:v>
                </c:pt>
                <c:pt idx="10">
                  <c:v>458</c:v>
                </c:pt>
                <c:pt idx="11">
                  <c:v>385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'23.07 Lubiri-Ndeeba'!$AF$9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Lubiri-Ndeeba'!$R$10:$R$21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Lubiri-Ndeeba'!$AF$10:$AF$21</c:f>
              <c:numCache>
                <c:formatCode>0</c:formatCode>
                <c:ptCount val="12"/>
                <c:pt idx="0">
                  <c:v>732</c:v>
                </c:pt>
                <c:pt idx="1">
                  <c:v>1500</c:v>
                </c:pt>
                <c:pt idx="2">
                  <c:v>1442</c:v>
                </c:pt>
                <c:pt idx="3">
                  <c:v>1231</c:v>
                </c:pt>
                <c:pt idx="4">
                  <c:v>1312</c:v>
                </c:pt>
                <c:pt idx="5">
                  <c:v>1415</c:v>
                </c:pt>
                <c:pt idx="6">
                  <c:v>1262</c:v>
                </c:pt>
                <c:pt idx="7">
                  <c:v>1007</c:v>
                </c:pt>
                <c:pt idx="8">
                  <c:v>1219</c:v>
                </c:pt>
                <c:pt idx="9">
                  <c:v>1147</c:v>
                </c:pt>
                <c:pt idx="10">
                  <c:v>1675</c:v>
                </c:pt>
                <c:pt idx="11">
                  <c:v>1348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318688"/>
        <c:axId val="441315968"/>
      </c:lineChart>
      <c:catAx>
        <c:axId val="4413186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315968"/>
        <c:crosses val="autoZero"/>
        <c:auto val="1"/>
        <c:lblAlgn val="ctr"/>
        <c:lblOffset val="100"/>
        <c:noMultiLvlLbl val="0"/>
      </c:catAx>
      <c:valAx>
        <c:axId val="441315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31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Lubiri-Ndeeba'!$C$9:$N$9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Lubiri-Ndeeba'!$C$59:$N$59</c:f>
              <c:numCache>
                <c:formatCode>0.0%</c:formatCode>
                <c:ptCount val="12"/>
                <c:pt idx="0">
                  <c:v>0.11425768476128188</c:v>
                </c:pt>
                <c:pt idx="1">
                  <c:v>2.1713538260300851E-2</c:v>
                </c:pt>
                <c:pt idx="2">
                  <c:v>1.1379986919555265E-2</c:v>
                </c:pt>
                <c:pt idx="3">
                  <c:v>5.2583387835186395E-2</c:v>
                </c:pt>
                <c:pt idx="4">
                  <c:v>1.3734466971877044E-3</c:v>
                </c:pt>
                <c:pt idx="5">
                  <c:v>6.540222367560497E-5</c:v>
                </c:pt>
                <c:pt idx="6">
                  <c:v>1.7789404839764551E-2</c:v>
                </c:pt>
                <c:pt idx="7">
                  <c:v>1.3865271419228253E-2</c:v>
                </c:pt>
                <c:pt idx="8">
                  <c:v>1.3734466971877044E-3</c:v>
                </c:pt>
                <c:pt idx="9">
                  <c:v>6.5402223675604975E-4</c:v>
                </c:pt>
                <c:pt idx="10">
                  <c:v>0.76481360366252449</c:v>
                </c:pt>
                <c:pt idx="11">
                  <c:v>1.3080444735120994E-4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54"/>
          <c:y val="2.29602266373237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Lubiri-Ndeeba'!$S$9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Lubiri-Ndeeba'!$R$10:$R$21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Lubiri-Ndeeba'!$S$10:$S$21</c:f>
              <c:numCache>
                <c:formatCode>0</c:formatCode>
                <c:ptCount val="12"/>
                <c:pt idx="0">
                  <c:v>81</c:v>
                </c:pt>
                <c:pt idx="1">
                  <c:v>81</c:v>
                </c:pt>
                <c:pt idx="2">
                  <c:v>86</c:v>
                </c:pt>
                <c:pt idx="3">
                  <c:v>118</c:v>
                </c:pt>
                <c:pt idx="4">
                  <c:v>143</c:v>
                </c:pt>
                <c:pt idx="5">
                  <c:v>135</c:v>
                </c:pt>
                <c:pt idx="6">
                  <c:v>147</c:v>
                </c:pt>
                <c:pt idx="7">
                  <c:v>155</c:v>
                </c:pt>
                <c:pt idx="8">
                  <c:v>160</c:v>
                </c:pt>
                <c:pt idx="9">
                  <c:v>162</c:v>
                </c:pt>
                <c:pt idx="10">
                  <c:v>283</c:v>
                </c:pt>
                <c:pt idx="11">
                  <c:v>196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'23.07 Lubiri-Ndeeba'!$T$9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Lubiri-Ndeeba'!$R$10:$R$21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Lubiri-Ndeeba'!$T$10:$T$21</c:f>
              <c:numCache>
                <c:formatCode>0</c:formatCode>
                <c:ptCount val="12"/>
                <c:pt idx="0">
                  <c:v>7</c:v>
                </c:pt>
                <c:pt idx="1">
                  <c:v>14</c:v>
                </c:pt>
                <c:pt idx="2">
                  <c:v>23</c:v>
                </c:pt>
                <c:pt idx="3">
                  <c:v>25</c:v>
                </c:pt>
                <c:pt idx="4">
                  <c:v>28</c:v>
                </c:pt>
                <c:pt idx="5">
                  <c:v>42</c:v>
                </c:pt>
                <c:pt idx="6">
                  <c:v>29</c:v>
                </c:pt>
                <c:pt idx="7">
                  <c:v>25</c:v>
                </c:pt>
                <c:pt idx="8">
                  <c:v>24</c:v>
                </c:pt>
                <c:pt idx="9">
                  <c:v>40</c:v>
                </c:pt>
                <c:pt idx="10">
                  <c:v>47</c:v>
                </c:pt>
                <c:pt idx="11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'23.07 Lubiri-Ndeeba'!$U$9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Lubiri-Ndeeba'!$U$10:$U$21</c:f>
              <c:numCache>
                <c:formatCode>0</c:formatCode>
                <c:ptCount val="12"/>
                <c:pt idx="0">
                  <c:v>6</c:v>
                </c:pt>
                <c:pt idx="1">
                  <c:v>11</c:v>
                </c:pt>
                <c:pt idx="2">
                  <c:v>15</c:v>
                </c:pt>
                <c:pt idx="3">
                  <c:v>12</c:v>
                </c:pt>
                <c:pt idx="4">
                  <c:v>15</c:v>
                </c:pt>
                <c:pt idx="5">
                  <c:v>17</c:v>
                </c:pt>
                <c:pt idx="6">
                  <c:v>19</c:v>
                </c:pt>
                <c:pt idx="7">
                  <c:v>12</c:v>
                </c:pt>
                <c:pt idx="8">
                  <c:v>13</c:v>
                </c:pt>
                <c:pt idx="9">
                  <c:v>19</c:v>
                </c:pt>
                <c:pt idx="10">
                  <c:v>18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'23.07 Lubiri-Ndeeba'!$V$9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Lubiri-Ndeeba'!$V$10:$V$21</c:f>
              <c:numCache>
                <c:formatCode>0</c:formatCode>
                <c:ptCount val="12"/>
                <c:pt idx="0">
                  <c:v>58</c:v>
                </c:pt>
                <c:pt idx="1">
                  <c:v>82</c:v>
                </c:pt>
                <c:pt idx="2">
                  <c:v>68</c:v>
                </c:pt>
                <c:pt idx="3">
                  <c:v>64</c:v>
                </c:pt>
                <c:pt idx="4">
                  <c:v>59</c:v>
                </c:pt>
                <c:pt idx="5">
                  <c:v>58</c:v>
                </c:pt>
                <c:pt idx="6">
                  <c:v>57</c:v>
                </c:pt>
                <c:pt idx="7">
                  <c:v>48</c:v>
                </c:pt>
                <c:pt idx="8">
                  <c:v>71</c:v>
                </c:pt>
                <c:pt idx="9">
                  <c:v>63</c:v>
                </c:pt>
                <c:pt idx="10">
                  <c:v>69</c:v>
                </c:pt>
                <c:pt idx="11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'23.07 Lubiri-Ndeeba'!$W$9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Lubiri-Ndeeba'!$W$10:$W$21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2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'23.07 Lubiri-Ndeeba'!$X$9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Lubiri-Ndeeba'!$X$10:$X$21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'23.07 Lubiri-Ndeeba'!$Y$9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Lubiri-Ndeeba'!$Y$10:$Y$21</c:f>
              <c:numCache>
                <c:formatCode>0</c:formatCode>
                <c:ptCount val="12"/>
                <c:pt idx="0">
                  <c:v>4</c:v>
                </c:pt>
                <c:pt idx="1">
                  <c:v>10</c:v>
                </c:pt>
                <c:pt idx="2">
                  <c:v>25</c:v>
                </c:pt>
                <c:pt idx="3">
                  <c:v>33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25</c:v>
                </c:pt>
                <c:pt idx="8">
                  <c:v>27</c:v>
                </c:pt>
                <c:pt idx="9">
                  <c:v>24</c:v>
                </c:pt>
                <c:pt idx="10">
                  <c:v>22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'23.07 Lubiri-Ndeeba'!$Z$9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Lubiri-Ndeeba'!$Z$10:$Z$21</c:f>
              <c:numCache>
                <c:formatCode>0</c:formatCode>
                <c:ptCount val="12"/>
                <c:pt idx="0">
                  <c:v>9</c:v>
                </c:pt>
                <c:pt idx="1">
                  <c:v>4</c:v>
                </c:pt>
                <c:pt idx="2">
                  <c:v>17</c:v>
                </c:pt>
                <c:pt idx="3">
                  <c:v>13</c:v>
                </c:pt>
                <c:pt idx="4">
                  <c:v>24</c:v>
                </c:pt>
                <c:pt idx="5">
                  <c:v>23</c:v>
                </c:pt>
                <c:pt idx="6">
                  <c:v>22</c:v>
                </c:pt>
                <c:pt idx="7">
                  <c:v>17</c:v>
                </c:pt>
                <c:pt idx="8">
                  <c:v>30</c:v>
                </c:pt>
                <c:pt idx="9">
                  <c:v>21</c:v>
                </c:pt>
                <c:pt idx="10">
                  <c:v>14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'23.07 Lubiri-Ndeeba'!$AA$9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Lubiri-Ndeeba'!$AA$10:$AA$21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'23.07 Lubiri-Ndeeba'!$AB$9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Lubiri-Ndeeba'!$AB$10:$AB$21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'23.07 Lubiri-Ndeeba'!$AC$9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Lubiri-Ndeeba'!$AC$10:$AC$21</c:f>
              <c:numCache>
                <c:formatCode>0</c:formatCode>
                <c:ptCount val="12"/>
                <c:pt idx="0">
                  <c:v>567</c:v>
                </c:pt>
                <c:pt idx="1">
                  <c:v>1295</c:v>
                </c:pt>
                <c:pt idx="2">
                  <c:v>1199</c:v>
                </c:pt>
                <c:pt idx="3">
                  <c:v>964</c:v>
                </c:pt>
                <c:pt idx="4">
                  <c:v>1010</c:v>
                </c:pt>
                <c:pt idx="5">
                  <c:v>1102</c:v>
                </c:pt>
                <c:pt idx="6">
                  <c:v>955</c:v>
                </c:pt>
                <c:pt idx="7">
                  <c:v>722</c:v>
                </c:pt>
                <c:pt idx="8">
                  <c:v>890</c:v>
                </c:pt>
                <c:pt idx="9">
                  <c:v>810</c:v>
                </c:pt>
                <c:pt idx="10">
                  <c:v>1217</c:v>
                </c:pt>
                <c:pt idx="11">
                  <c:v>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'23.07 Lubiri-Ndeeba'!$AD$9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Lubiri-Ndeeba'!$AD$10:$AD$21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479136"/>
        <c:axId val="482475872"/>
      </c:lineChart>
      <c:catAx>
        <c:axId val="48247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2475872"/>
        <c:crosses val="autoZero"/>
        <c:auto val="1"/>
        <c:lblAlgn val="ctr"/>
        <c:lblOffset val="100"/>
        <c:noMultiLvlLbl val="0"/>
      </c:catAx>
      <c:valAx>
        <c:axId val="48247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247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Lubiri-Ndeeba'!$C$9:$N$9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Lubiri-Ndeeba'!$C$60:$N$60</c:f>
              <c:numCache>
                <c:formatCode>0.00%</c:formatCode>
                <c:ptCount val="12"/>
                <c:pt idx="0">
                  <c:v>0.48581757508342605</c:v>
                </c:pt>
                <c:pt idx="1">
                  <c:v>9.2324805339265847E-2</c:v>
                </c:pt>
                <c:pt idx="2">
                  <c:v>4.8387096774193547E-2</c:v>
                </c:pt>
                <c:pt idx="3">
                  <c:v>0.22358175750834261</c:v>
                </c:pt>
                <c:pt idx="4">
                  <c:v>5.8398220244716354E-3</c:v>
                </c:pt>
                <c:pt idx="5">
                  <c:v>2.7808676307007786E-4</c:v>
                </c:pt>
                <c:pt idx="6">
                  <c:v>7.5639599555061179E-2</c:v>
                </c:pt>
                <c:pt idx="7">
                  <c:v>5.8954393770856504E-2</c:v>
                </c:pt>
                <c:pt idx="8">
                  <c:v>5.8398220244716354E-3</c:v>
                </c:pt>
                <c:pt idx="9">
                  <c:v>2.7808676307007787E-3</c:v>
                </c:pt>
                <c:pt idx="11">
                  <c:v>5.5617352614015572E-4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8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Ndeeba-Lubiri'!$AE$9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Ndeeba-Lubiri'!$R$10:$R$21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Ndeeba-Lubiri'!$AE$10:$AE$21</c:f>
              <c:numCache>
                <c:formatCode>0</c:formatCode>
                <c:ptCount val="12"/>
                <c:pt idx="0">
                  <c:v>778</c:v>
                </c:pt>
                <c:pt idx="1">
                  <c:v>757</c:v>
                </c:pt>
                <c:pt idx="2">
                  <c:v>658</c:v>
                </c:pt>
                <c:pt idx="3">
                  <c:v>427</c:v>
                </c:pt>
                <c:pt idx="4">
                  <c:v>462</c:v>
                </c:pt>
                <c:pt idx="5">
                  <c:v>445</c:v>
                </c:pt>
                <c:pt idx="6">
                  <c:v>478</c:v>
                </c:pt>
                <c:pt idx="7">
                  <c:v>313</c:v>
                </c:pt>
                <c:pt idx="8">
                  <c:v>423</c:v>
                </c:pt>
                <c:pt idx="9">
                  <c:v>400</c:v>
                </c:pt>
                <c:pt idx="10">
                  <c:v>502</c:v>
                </c:pt>
                <c:pt idx="11">
                  <c:v>593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'23.07 Ndeeba-Lubiri'!$AF$9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Ndeeba-Lubiri'!$R$10:$R$21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Ndeeba-Lubiri'!$AF$10:$AF$21</c:f>
              <c:numCache>
                <c:formatCode>0</c:formatCode>
                <c:ptCount val="12"/>
                <c:pt idx="0">
                  <c:v>1398</c:v>
                </c:pt>
                <c:pt idx="1">
                  <c:v>1602</c:v>
                </c:pt>
                <c:pt idx="2">
                  <c:v>1663</c:v>
                </c:pt>
                <c:pt idx="3">
                  <c:v>1427</c:v>
                </c:pt>
                <c:pt idx="4">
                  <c:v>1367</c:v>
                </c:pt>
                <c:pt idx="5">
                  <c:v>1245</c:v>
                </c:pt>
                <c:pt idx="6">
                  <c:v>1318</c:v>
                </c:pt>
                <c:pt idx="7">
                  <c:v>1068</c:v>
                </c:pt>
                <c:pt idx="8">
                  <c:v>1270</c:v>
                </c:pt>
                <c:pt idx="9">
                  <c:v>1098</c:v>
                </c:pt>
                <c:pt idx="10">
                  <c:v>1377</c:v>
                </c:pt>
                <c:pt idx="11">
                  <c:v>1478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476416"/>
        <c:axId val="482480768"/>
      </c:lineChart>
      <c:catAx>
        <c:axId val="4824764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2480768"/>
        <c:crosses val="autoZero"/>
        <c:auto val="1"/>
        <c:lblAlgn val="ctr"/>
        <c:lblOffset val="100"/>
        <c:noMultiLvlLbl val="0"/>
      </c:catAx>
      <c:valAx>
        <c:axId val="4824807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247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Ndeeba-Lubiri'!$C$9:$N$9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Ndeeba-Lubiri'!$C$59:$N$59</c:f>
              <c:numCache>
                <c:formatCode>0.0%</c:formatCode>
                <c:ptCount val="12"/>
                <c:pt idx="0">
                  <c:v>0.25755625038317698</c:v>
                </c:pt>
                <c:pt idx="1">
                  <c:v>2.5810802525902767E-2</c:v>
                </c:pt>
                <c:pt idx="2">
                  <c:v>2.7098277236220956E-2</c:v>
                </c:pt>
                <c:pt idx="3">
                  <c:v>4.2854515357734047E-2</c:v>
                </c:pt>
                <c:pt idx="4">
                  <c:v>1.5940163080129975E-3</c:v>
                </c:pt>
                <c:pt idx="5">
                  <c:v>1.839249586168843E-4</c:v>
                </c:pt>
                <c:pt idx="6">
                  <c:v>1.5449696523818283E-2</c:v>
                </c:pt>
                <c:pt idx="7">
                  <c:v>8.705781374532524E-3</c:v>
                </c:pt>
                <c:pt idx="8">
                  <c:v>2.2070995034026118E-3</c:v>
                </c:pt>
                <c:pt idx="9">
                  <c:v>8.5831647354546014E-4</c:v>
                </c:pt>
                <c:pt idx="10">
                  <c:v>0.61768131935503645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54"/>
          <c:y val="2.29602266373237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Ndeeba-Lubiri'!$S$9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Ndeeba-Lubiri'!$R$10:$R$21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Ndeeba-Lubiri'!$S$10:$S$21</c:f>
              <c:numCache>
                <c:formatCode>0</c:formatCode>
                <c:ptCount val="12"/>
                <c:pt idx="0">
                  <c:v>460</c:v>
                </c:pt>
                <c:pt idx="1">
                  <c:v>450</c:v>
                </c:pt>
                <c:pt idx="2">
                  <c:v>480</c:v>
                </c:pt>
                <c:pt idx="3">
                  <c:v>295</c:v>
                </c:pt>
                <c:pt idx="4">
                  <c:v>318</c:v>
                </c:pt>
                <c:pt idx="5">
                  <c:v>284</c:v>
                </c:pt>
                <c:pt idx="6">
                  <c:v>360</c:v>
                </c:pt>
                <c:pt idx="7">
                  <c:v>216</c:v>
                </c:pt>
                <c:pt idx="8">
                  <c:v>299</c:v>
                </c:pt>
                <c:pt idx="9">
                  <c:v>281</c:v>
                </c:pt>
                <c:pt idx="10">
                  <c:v>363</c:v>
                </c:pt>
                <c:pt idx="11">
                  <c:v>395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'23.07 Ndeeba-Lubiri'!$T$9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Ndeeba-Lubiri'!$R$10:$R$21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Ndeeba-Lubiri'!$T$10:$T$21</c:f>
              <c:numCache>
                <c:formatCode>0</c:formatCode>
                <c:ptCount val="12"/>
                <c:pt idx="0">
                  <c:v>43</c:v>
                </c:pt>
                <c:pt idx="1">
                  <c:v>60</c:v>
                </c:pt>
                <c:pt idx="2">
                  <c:v>40</c:v>
                </c:pt>
                <c:pt idx="3">
                  <c:v>39</c:v>
                </c:pt>
                <c:pt idx="4">
                  <c:v>34</c:v>
                </c:pt>
                <c:pt idx="5">
                  <c:v>36</c:v>
                </c:pt>
                <c:pt idx="6">
                  <c:v>31</c:v>
                </c:pt>
                <c:pt idx="7">
                  <c:v>23</c:v>
                </c:pt>
                <c:pt idx="8">
                  <c:v>25</c:v>
                </c:pt>
                <c:pt idx="9">
                  <c:v>26</c:v>
                </c:pt>
                <c:pt idx="10">
                  <c:v>28</c:v>
                </c:pt>
                <c:pt idx="11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'23.07 Ndeeba-Lubiri'!$U$9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Ndeeba-Lubiri'!$U$10:$U$21</c:f>
              <c:numCache>
                <c:formatCode>0</c:formatCode>
                <c:ptCount val="12"/>
                <c:pt idx="0">
                  <c:v>61</c:v>
                </c:pt>
                <c:pt idx="1">
                  <c:v>47</c:v>
                </c:pt>
                <c:pt idx="2">
                  <c:v>42</c:v>
                </c:pt>
                <c:pt idx="3">
                  <c:v>23</c:v>
                </c:pt>
                <c:pt idx="4">
                  <c:v>41</c:v>
                </c:pt>
                <c:pt idx="5">
                  <c:v>50</c:v>
                </c:pt>
                <c:pt idx="6">
                  <c:v>34</c:v>
                </c:pt>
                <c:pt idx="7">
                  <c:v>23</c:v>
                </c:pt>
                <c:pt idx="8">
                  <c:v>36</c:v>
                </c:pt>
                <c:pt idx="9">
                  <c:v>34</c:v>
                </c:pt>
                <c:pt idx="10">
                  <c:v>37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'23.07 Ndeeba-Lubiri'!$V$9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Ndeeba-Lubiri'!$V$10:$V$21</c:f>
              <c:numCache>
                <c:formatCode>0</c:formatCode>
                <c:ptCount val="12"/>
                <c:pt idx="0">
                  <c:v>177</c:v>
                </c:pt>
                <c:pt idx="1">
                  <c:v>164</c:v>
                </c:pt>
                <c:pt idx="2">
                  <c:v>58</c:v>
                </c:pt>
                <c:pt idx="3">
                  <c:v>34</c:v>
                </c:pt>
                <c:pt idx="4">
                  <c:v>27</c:v>
                </c:pt>
                <c:pt idx="5">
                  <c:v>23</c:v>
                </c:pt>
                <c:pt idx="6">
                  <c:v>14</c:v>
                </c:pt>
                <c:pt idx="7">
                  <c:v>16</c:v>
                </c:pt>
                <c:pt idx="8">
                  <c:v>19</c:v>
                </c:pt>
                <c:pt idx="9">
                  <c:v>31</c:v>
                </c:pt>
                <c:pt idx="10">
                  <c:v>28</c:v>
                </c:pt>
                <c:pt idx="11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'23.07 Ndeeba-Lubiri'!$W$9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Ndeeba-Lubiri'!$W$10:$W$21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'23.07 Ndeeba-Lubiri'!$X$9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Ndeeba-Lubiri'!$X$10:$X$21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'23.07 Ndeeba-Lubiri'!$Y$9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Ndeeba-Lubiri'!$Y$10:$Y$21</c:f>
              <c:numCache>
                <c:formatCode>0</c:formatCode>
                <c:ptCount val="12"/>
                <c:pt idx="0">
                  <c:v>19</c:v>
                </c:pt>
                <c:pt idx="1">
                  <c:v>27</c:v>
                </c:pt>
                <c:pt idx="2">
                  <c:v>27</c:v>
                </c:pt>
                <c:pt idx="3">
                  <c:v>24</c:v>
                </c:pt>
                <c:pt idx="4">
                  <c:v>24</c:v>
                </c:pt>
                <c:pt idx="5">
                  <c:v>32</c:v>
                </c:pt>
                <c:pt idx="6">
                  <c:v>15</c:v>
                </c:pt>
                <c:pt idx="7">
                  <c:v>14</c:v>
                </c:pt>
                <c:pt idx="8">
                  <c:v>19</c:v>
                </c:pt>
                <c:pt idx="9">
                  <c:v>12</c:v>
                </c:pt>
                <c:pt idx="10">
                  <c:v>26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'23.07 Ndeeba-Lubiri'!$Z$9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Ndeeba-Lubiri'!$Z$10:$Z$21</c:f>
              <c:numCache>
                <c:formatCode>0</c:formatCode>
                <c:ptCount val="12"/>
                <c:pt idx="0">
                  <c:v>10</c:v>
                </c:pt>
                <c:pt idx="1">
                  <c:v>5</c:v>
                </c:pt>
                <c:pt idx="2">
                  <c:v>6</c:v>
                </c:pt>
                <c:pt idx="3">
                  <c:v>10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13</c:v>
                </c:pt>
                <c:pt idx="8">
                  <c:v>19</c:v>
                </c:pt>
                <c:pt idx="9">
                  <c:v>11</c:v>
                </c:pt>
                <c:pt idx="10">
                  <c:v>12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'23.07 Ndeeba-Lubiri'!$AA$9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Ndeeba-Lubiri'!$AA$10:$AA$21</c:f>
              <c:numCache>
                <c:formatCode>0</c:formatCode>
                <c:ptCount val="12"/>
                <c:pt idx="0">
                  <c:v>7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'23.07 Ndeeba-Lubiri'!$AB$9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Ndeeba-Lubiri'!$AB$10:$AB$21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'23.07 Ndeeba-Lubiri'!$AC$9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Ndeeba-Lubiri'!$AC$10:$AC$21</c:f>
              <c:numCache>
                <c:formatCode>0</c:formatCode>
                <c:ptCount val="12"/>
                <c:pt idx="0">
                  <c:v>620</c:v>
                </c:pt>
                <c:pt idx="1">
                  <c:v>845</c:v>
                </c:pt>
                <c:pt idx="2">
                  <c:v>1005</c:v>
                </c:pt>
                <c:pt idx="3">
                  <c:v>1000</c:v>
                </c:pt>
                <c:pt idx="4">
                  <c:v>905</c:v>
                </c:pt>
                <c:pt idx="5">
                  <c:v>800</c:v>
                </c:pt>
                <c:pt idx="6">
                  <c:v>840</c:v>
                </c:pt>
                <c:pt idx="7">
                  <c:v>755</c:v>
                </c:pt>
                <c:pt idx="8">
                  <c:v>847</c:v>
                </c:pt>
                <c:pt idx="9">
                  <c:v>698</c:v>
                </c:pt>
                <c:pt idx="10">
                  <c:v>875</c:v>
                </c:pt>
                <c:pt idx="11">
                  <c:v>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'23.07 Ndeeba-Lubiri'!$AD$9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Ndeeba-Lubiri'!$AD$10:$AD$21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472608"/>
        <c:axId val="482478048"/>
      </c:lineChart>
      <c:catAx>
        <c:axId val="48247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2478048"/>
        <c:crosses val="autoZero"/>
        <c:auto val="1"/>
        <c:lblAlgn val="ctr"/>
        <c:lblOffset val="100"/>
        <c:noMultiLvlLbl val="0"/>
      </c:catAx>
      <c:valAx>
        <c:axId val="48247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247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Ndeeba-Lubiri'!$C$9:$N$9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Ndeeba-Lubiri'!$C$60:$N$60</c:f>
              <c:numCache>
                <c:formatCode>0.00%</c:formatCode>
                <c:ptCount val="12"/>
                <c:pt idx="0">
                  <c:v>0.67366901860166772</c:v>
                </c:pt>
                <c:pt idx="1">
                  <c:v>6.7511225144323284E-2</c:v>
                </c:pt>
                <c:pt idx="2">
                  <c:v>7.0878768441308526E-2</c:v>
                </c:pt>
                <c:pt idx="3">
                  <c:v>0.11209108402822322</c:v>
                </c:pt>
                <c:pt idx="4">
                  <c:v>4.1693393200769721E-3</c:v>
                </c:pt>
                <c:pt idx="5">
                  <c:v>4.8107761385503527E-4</c:v>
                </c:pt>
                <c:pt idx="6">
                  <c:v>4.0410519563822966E-2</c:v>
                </c:pt>
                <c:pt idx="7">
                  <c:v>2.2771007055805002E-2</c:v>
                </c:pt>
                <c:pt idx="8">
                  <c:v>5.7729313662604233E-3</c:v>
                </c:pt>
                <c:pt idx="9">
                  <c:v>2.2450288646568314E-3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8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Lubiri-Ndeeba'!$AE$9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Lubiri-Ndeeba'!$R$10:$R$21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Lubiri-Ndeeba'!$AE$10:$AE$21</c:f>
              <c:numCache>
                <c:formatCode>0</c:formatCode>
                <c:ptCount val="12"/>
                <c:pt idx="0">
                  <c:v>197</c:v>
                </c:pt>
                <c:pt idx="1">
                  <c:v>212</c:v>
                </c:pt>
                <c:pt idx="2">
                  <c:v>242</c:v>
                </c:pt>
                <c:pt idx="3">
                  <c:v>289</c:v>
                </c:pt>
                <c:pt idx="4">
                  <c:v>287</c:v>
                </c:pt>
                <c:pt idx="5">
                  <c:v>309</c:v>
                </c:pt>
                <c:pt idx="6">
                  <c:v>263</c:v>
                </c:pt>
                <c:pt idx="7">
                  <c:v>300</c:v>
                </c:pt>
                <c:pt idx="8">
                  <c:v>302</c:v>
                </c:pt>
                <c:pt idx="9">
                  <c:v>286</c:v>
                </c:pt>
                <c:pt idx="10">
                  <c:v>400</c:v>
                </c:pt>
                <c:pt idx="11">
                  <c:v>364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'24.07 Lubiri-Ndeeba'!$AF$9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Lubiri-Ndeeba'!$R$10:$R$21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Lubiri-Ndeeba'!$AF$10:$AF$21</c:f>
              <c:numCache>
                <c:formatCode>0</c:formatCode>
                <c:ptCount val="12"/>
                <c:pt idx="0">
                  <c:v>751</c:v>
                </c:pt>
                <c:pt idx="1">
                  <c:v>1304</c:v>
                </c:pt>
                <c:pt idx="2">
                  <c:v>1916</c:v>
                </c:pt>
                <c:pt idx="3">
                  <c:v>1423</c:v>
                </c:pt>
                <c:pt idx="4">
                  <c:v>1373</c:v>
                </c:pt>
                <c:pt idx="5">
                  <c:v>1494</c:v>
                </c:pt>
                <c:pt idx="6">
                  <c:v>1214</c:v>
                </c:pt>
                <c:pt idx="7">
                  <c:v>1088</c:v>
                </c:pt>
                <c:pt idx="8">
                  <c:v>1274</c:v>
                </c:pt>
                <c:pt idx="9">
                  <c:v>1463</c:v>
                </c:pt>
                <c:pt idx="10">
                  <c:v>1615</c:v>
                </c:pt>
                <c:pt idx="11">
                  <c:v>1362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481856"/>
        <c:axId val="482467712"/>
      </c:lineChart>
      <c:catAx>
        <c:axId val="4824818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2467712"/>
        <c:crosses val="autoZero"/>
        <c:auto val="1"/>
        <c:lblAlgn val="ctr"/>
        <c:lblOffset val="100"/>
        <c:noMultiLvlLbl val="0"/>
      </c:catAx>
      <c:valAx>
        <c:axId val="482467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248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Lubiri-Ndeeba'!$C$9:$N$9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Lubiri-Ndeeba'!$C$59:$N$59</c:f>
              <c:numCache>
                <c:formatCode>0.0%</c:formatCode>
                <c:ptCount val="12"/>
                <c:pt idx="0">
                  <c:v>0.10474903237697364</c:v>
                </c:pt>
                <c:pt idx="1">
                  <c:v>1.5973459482705659E-2</c:v>
                </c:pt>
                <c:pt idx="2">
                  <c:v>1.118142163789396E-2</c:v>
                </c:pt>
                <c:pt idx="3">
                  <c:v>4.8411869509123302E-2</c:v>
                </c:pt>
                <c:pt idx="4">
                  <c:v>1.7816550961479388E-3</c:v>
                </c:pt>
                <c:pt idx="5">
                  <c:v>6.1436382625790995E-5</c:v>
                </c:pt>
                <c:pt idx="6">
                  <c:v>1.6280641395834614E-2</c:v>
                </c:pt>
                <c:pt idx="7">
                  <c:v>1.0689930576887633E-2</c:v>
                </c:pt>
                <c:pt idx="8">
                  <c:v>1.5973459482705658E-3</c:v>
                </c:pt>
                <c:pt idx="9">
                  <c:v>1.1672912698900289E-3</c:v>
                </c:pt>
                <c:pt idx="10">
                  <c:v>0.78798304355839532</c:v>
                </c:pt>
                <c:pt idx="11">
                  <c:v>1.2287276525158199E-4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54"/>
          <c:y val="2.29602266373237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Lubiri-Ndeeba'!$S$9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'24.07 Lubiri-Ndeeba'!$R$10:$R$21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Lubiri-Ndeeba'!$S$10:$S$21</c:f>
              <c:numCache>
                <c:formatCode>0</c:formatCode>
                <c:ptCount val="12"/>
                <c:pt idx="0">
                  <c:v>97</c:v>
                </c:pt>
                <c:pt idx="1">
                  <c:v>77</c:v>
                </c:pt>
                <c:pt idx="2">
                  <c:v>94</c:v>
                </c:pt>
                <c:pt idx="3">
                  <c:v>118</c:v>
                </c:pt>
                <c:pt idx="4">
                  <c:v>128</c:v>
                </c:pt>
                <c:pt idx="5">
                  <c:v>154</c:v>
                </c:pt>
                <c:pt idx="6">
                  <c:v>127</c:v>
                </c:pt>
                <c:pt idx="7">
                  <c:v>142</c:v>
                </c:pt>
                <c:pt idx="8">
                  <c:v>149</c:v>
                </c:pt>
                <c:pt idx="9">
                  <c:v>150</c:v>
                </c:pt>
                <c:pt idx="10">
                  <c:v>264</c:v>
                </c:pt>
                <c:pt idx="11">
                  <c:v>205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'24.07 Lubiri-Ndeeba'!$T$9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'24.07 Lubiri-Ndeeba'!$R$10:$R$21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Lubiri-Ndeeba'!$T$10:$T$21</c:f>
              <c:numCache>
                <c:formatCode>0</c:formatCode>
                <c:ptCount val="12"/>
                <c:pt idx="0">
                  <c:v>11</c:v>
                </c:pt>
                <c:pt idx="1">
                  <c:v>11</c:v>
                </c:pt>
                <c:pt idx="2">
                  <c:v>15</c:v>
                </c:pt>
                <c:pt idx="3">
                  <c:v>25</c:v>
                </c:pt>
                <c:pt idx="4">
                  <c:v>17</c:v>
                </c:pt>
                <c:pt idx="5">
                  <c:v>26</c:v>
                </c:pt>
                <c:pt idx="6">
                  <c:v>24</c:v>
                </c:pt>
                <c:pt idx="7">
                  <c:v>32</c:v>
                </c:pt>
                <c:pt idx="8">
                  <c:v>24</c:v>
                </c:pt>
                <c:pt idx="9">
                  <c:v>17</c:v>
                </c:pt>
                <c:pt idx="10">
                  <c:v>34</c:v>
                </c:pt>
                <c:pt idx="11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'24.07 Lubiri-Ndeeba'!$U$9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'24.07 Lubiri-Ndeeba'!$U$10:$U$21</c:f>
              <c:numCache>
                <c:formatCode>0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13</c:v>
                </c:pt>
                <c:pt idx="3">
                  <c:v>20</c:v>
                </c:pt>
                <c:pt idx="4">
                  <c:v>17</c:v>
                </c:pt>
                <c:pt idx="5">
                  <c:v>22</c:v>
                </c:pt>
                <c:pt idx="6">
                  <c:v>16</c:v>
                </c:pt>
                <c:pt idx="7">
                  <c:v>20</c:v>
                </c:pt>
                <c:pt idx="8">
                  <c:v>19</c:v>
                </c:pt>
                <c:pt idx="9">
                  <c:v>14</c:v>
                </c:pt>
                <c:pt idx="10">
                  <c:v>11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'24.07 Lubiri-Ndeeba'!$V$9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'24.07 Lubiri-Ndeeba'!$V$10:$V$21</c:f>
              <c:numCache>
                <c:formatCode>0</c:formatCode>
                <c:ptCount val="12"/>
                <c:pt idx="0">
                  <c:v>63</c:v>
                </c:pt>
                <c:pt idx="1">
                  <c:v>86</c:v>
                </c:pt>
                <c:pt idx="2">
                  <c:v>86</c:v>
                </c:pt>
                <c:pt idx="3">
                  <c:v>68</c:v>
                </c:pt>
                <c:pt idx="4">
                  <c:v>63</c:v>
                </c:pt>
                <c:pt idx="5">
                  <c:v>57</c:v>
                </c:pt>
                <c:pt idx="6">
                  <c:v>46</c:v>
                </c:pt>
                <c:pt idx="7">
                  <c:v>59</c:v>
                </c:pt>
                <c:pt idx="8">
                  <c:v>56</c:v>
                </c:pt>
                <c:pt idx="9">
                  <c:v>57</c:v>
                </c:pt>
                <c:pt idx="10">
                  <c:v>57</c:v>
                </c:pt>
                <c:pt idx="11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'24.07 Lubiri-Ndeeba'!$W$9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'24.07 Lubiri-Ndeeba'!$W$10:$W$21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'24.07 Lubiri-Ndeeba'!$X$9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'24.07 Lubiri-Ndeeba'!$X$10:$X$21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'24.07 Lubiri-Ndeeba'!$Y$9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Lubiri-Ndeeba'!$Y$10:$Y$21</c:f>
              <c:numCache>
                <c:formatCode>0</c:formatCode>
                <c:ptCount val="12"/>
                <c:pt idx="0">
                  <c:v>10</c:v>
                </c:pt>
                <c:pt idx="1">
                  <c:v>12</c:v>
                </c:pt>
                <c:pt idx="2">
                  <c:v>19</c:v>
                </c:pt>
                <c:pt idx="3">
                  <c:v>28</c:v>
                </c:pt>
                <c:pt idx="4">
                  <c:v>34</c:v>
                </c:pt>
                <c:pt idx="5">
                  <c:v>22</c:v>
                </c:pt>
                <c:pt idx="6">
                  <c:v>31</c:v>
                </c:pt>
                <c:pt idx="7">
                  <c:v>26</c:v>
                </c:pt>
                <c:pt idx="8">
                  <c:v>19</c:v>
                </c:pt>
                <c:pt idx="9">
                  <c:v>24</c:v>
                </c:pt>
                <c:pt idx="10">
                  <c:v>19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'24.07 Lubiri-Ndeeba'!$Z$9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Lubiri-Ndeeba'!$Z$10:$Z$21</c:f>
              <c:numCache>
                <c:formatCode>0</c:formatCode>
                <c:ptCount val="12"/>
                <c:pt idx="0">
                  <c:v>4</c:v>
                </c:pt>
                <c:pt idx="1">
                  <c:v>16</c:v>
                </c:pt>
                <c:pt idx="2">
                  <c:v>11</c:v>
                </c:pt>
                <c:pt idx="3">
                  <c:v>18</c:v>
                </c:pt>
                <c:pt idx="4">
                  <c:v>25</c:v>
                </c:pt>
                <c:pt idx="5">
                  <c:v>19</c:v>
                </c:pt>
                <c:pt idx="6">
                  <c:v>13</c:v>
                </c:pt>
                <c:pt idx="7">
                  <c:v>16</c:v>
                </c:pt>
                <c:pt idx="8">
                  <c:v>20</c:v>
                </c:pt>
                <c:pt idx="9">
                  <c:v>15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'24.07 Lubiri-Ndeeba'!$AA$9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Lubiri-Ndeeba'!$AA$10:$AA$21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8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'24.07 Lubiri-Ndeeba'!$AB$9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Lubiri-Ndeeba'!$AB$10:$AB$21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'24.07 Lubiri-Ndeeba'!$AC$9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Lubiri-Ndeeba'!$AC$10:$AC$21</c:f>
              <c:numCache>
                <c:formatCode>0</c:formatCode>
                <c:ptCount val="12"/>
                <c:pt idx="0">
                  <c:v>554</c:v>
                </c:pt>
                <c:pt idx="1">
                  <c:v>1092</c:v>
                </c:pt>
                <c:pt idx="2">
                  <c:v>1674</c:v>
                </c:pt>
                <c:pt idx="3">
                  <c:v>1134</c:v>
                </c:pt>
                <c:pt idx="4">
                  <c:v>1086</c:v>
                </c:pt>
                <c:pt idx="5">
                  <c:v>1185</c:v>
                </c:pt>
                <c:pt idx="6">
                  <c:v>951</c:v>
                </c:pt>
                <c:pt idx="7">
                  <c:v>788</c:v>
                </c:pt>
                <c:pt idx="8">
                  <c:v>972</c:v>
                </c:pt>
                <c:pt idx="9">
                  <c:v>1177</c:v>
                </c:pt>
                <c:pt idx="10">
                  <c:v>1215</c:v>
                </c:pt>
                <c:pt idx="11">
                  <c:v>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'24.07 Lubiri-Ndeeba'!$AD$9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Lubiri-Ndeeba'!$AD$10:$AD$21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472064"/>
        <c:axId val="482473152"/>
      </c:lineChart>
      <c:catAx>
        <c:axId val="48247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2473152"/>
        <c:crosses val="autoZero"/>
        <c:auto val="1"/>
        <c:lblAlgn val="ctr"/>
        <c:lblOffset val="100"/>
        <c:noMultiLvlLbl val="0"/>
      </c:catAx>
      <c:valAx>
        <c:axId val="48247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247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Lubiri-Ndeeba'!$C$9:$N$9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Lubiri-Ndeeba'!$C$60:$N$60</c:f>
              <c:numCache>
                <c:formatCode>0.00%</c:formatCode>
                <c:ptCount val="12"/>
                <c:pt idx="0">
                  <c:v>0.49405969284265433</c:v>
                </c:pt>
                <c:pt idx="1">
                  <c:v>7.5340481019994202E-2</c:v>
                </c:pt>
                <c:pt idx="2">
                  <c:v>5.2738336713995942E-2</c:v>
                </c:pt>
                <c:pt idx="3">
                  <c:v>0.22833961170675166</c:v>
                </c:pt>
                <c:pt idx="4">
                  <c:v>8.4033613445378148E-3</c:v>
                </c:pt>
                <c:pt idx="5">
                  <c:v>2.8977108084613158E-4</c:v>
                </c:pt>
                <c:pt idx="6">
                  <c:v>7.6789336424224863E-2</c:v>
                </c:pt>
                <c:pt idx="7">
                  <c:v>5.0420168067226892E-2</c:v>
                </c:pt>
                <c:pt idx="8">
                  <c:v>7.5340481019994208E-3</c:v>
                </c:pt>
                <c:pt idx="9">
                  <c:v>5.5056505360765E-3</c:v>
                </c:pt>
                <c:pt idx="11">
                  <c:v>5.7954216169226315E-4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8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Ndeeba-Lubiri'!$AE$9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Ndeeba-Lubiri'!$R$10:$R$21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Ndeeba-Lubiri'!$AE$10:$AE$21</c:f>
              <c:numCache>
                <c:formatCode>0</c:formatCode>
                <c:ptCount val="12"/>
                <c:pt idx="0">
                  <c:v>830</c:v>
                </c:pt>
                <c:pt idx="1">
                  <c:v>743</c:v>
                </c:pt>
                <c:pt idx="2">
                  <c:v>630</c:v>
                </c:pt>
                <c:pt idx="3">
                  <c:v>530</c:v>
                </c:pt>
                <c:pt idx="4">
                  <c:v>562</c:v>
                </c:pt>
                <c:pt idx="5">
                  <c:v>531</c:v>
                </c:pt>
                <c:pt idx="6">
                  <c:v>423</c:v>
                </c:pt>
                <c:pt idx="7">
                  <c:v>460</c:v>
                </c:pt>
                <c:pt idx="8">
                  <c:v>344</c:v>
                </c:pt>
                <c:pt idx="9">
                  <c:v>384</c:v>
                </c:pt>
                <c:pt idx="10">
                  <c:v>397</c:v>
                </c:pt>
                <c:pt idx="11">
                  <c:v>490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'24.07 Ndeeba-Lubiri'!$AF$9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Ndeeba-Lubiri'!$R$10:$R$21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Ndeeba-Lubiri'!$AF$10:$AF$21</c:f>
              <c:numCache>
                <c:formatCode>0</c:formatCode>
                <c:ptCount val="12"/>
                <c:pt idx="0">
                  <c:v>1710</c:v>
                </c:pt>
                <c:pt idx="1">
                  <c:v>1663</c:v>
                </c:pt>
                <c:pt idx="2">
                  <c:v>1540</c:v>
                </c:pt>
                <c:pt idx="3">
                  <c:v>1430</c:v>
                </c:pt>
                <c:pt idx="4">
                  <c:v>1457</c:v>
                </c:pt>
                <c:pt idx="5">
                  <c:v>1567</c:v>
                </c:pt>
                <c:pt idx="6">
                  <c:v>1364</c:v>
                </c:pt>
                <c:pt idx="7">
                  <c:v>1021</c:v>
                </c:pt>
                <c:pt idx="8">
                  <c:v>994</c:v>
                </c:pt>
                <c:pt idx="9">
                  <c:v>1170</c:v>
                </c:pt>
                <c:pt idx="10">
                  <c:v>1197</c:v>
                </c:pt>
                <c:pt idx="11">
                  <c:v>1415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118864"/>
        <c:axId val="484118320"/>
      </c:lineChart>
      <c:catAx>
        <c:axId val="4841188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4118320"/>
        <c:crosses val="autoZero"/>
        <c:auto val="1"/>
        <c:lblAlgn val="ctr"/>
        <c:lblOffset val="100"/>
        <c:noMultiLvlLbl val="0"/>
      </c:catAx>
      <c:valAx>
        <c:axId val="484118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411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Ndeeba-Lubiri'!$C$9:$N$9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Ndeeba-Lubiri'!$C$59:$N$59</c:f>
              <c:numCache>
                <c:formatCode>0.0%</c:formatCode>
                <c:ptCount val="12"/>
                <c:pt idx="0">
                  <c:v>0.25677637947725074</c:v>
                </c:pt>
                <c:pt idx="1">
                  <c:v>2.6137463697967087E-2</c:v>
                </c:pt>
                <c:pt idx="2">
                  <c:v>2.4685382381413358E-2</c:v>
                </c:pt>
                <c:pt idx="3">
                  <c:v>4.144482090997096E-2</c:v>
                </c:pt>
                <c:pt idx="4">
                  <c:v>2.0571151984511132E-3</c:v>
                </c:pt>
                <c:pt idx="5">
                  <c:v>3.6302032913843176E-4</c:v>
                </c:pt>
                <c:pt idx="6">
                  <c:v>1.627541142303969E-2</c:v>
                </c:pt>
                <c:pt idx="7">
                  <c:v>9.9830590513068727E-3</c:v>
                </c:pt>
                <c:pt idx="8">
                  <c:v>2.9646660212971927E-3</c:v>
                </c:pt>
                <c:pt idx="9">
                  <c:v>1.6940948693126815E-3</c:v>
                </c:pt>
                <c:pt idx="10">
                  <c:v>0.61737657308809291</c:v>
                </c:pt>
                <c:pt idx="11">
                  <c:v>2.4201355275895451E-4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Ndeeba-Lubiri'!$C$9:$N$9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Ndeeba-Lubiri'!$C$60:$N$60</c:f>
              <c:numCache>
                <c:formatCode>0.00%</c:formatCode>
                <c:ptCount val="12"/>
                <c:pt idx="0">
                  <c:v>0.67109424414927266</c:v>
                </c:pt>
                <c:pt idx="1">
                  <c:v>6.8311195445920306E-2</c:v>
                </c:pt>
                <c:pt idx="2">
                  <c:v>6.4516129032258063E-2</c:v>
                </c:pt>
                <c:pt idx="3">
                  <c:v>0.10831752055660974</c:v>
                </c:pt>
                <c:pt idx="4">
                  <c:v>5.3763440860215058E-3</c:v>
                </c:pt>
                <c:pt idx="5">
                  <c:v>9.4876660341555979E-4</c:v>
                </c:pt>
                <c:pt idx="6">
                  <c:v>4.2536369386464261E-2</c:v>
                </c:pt>
                <c:pt idx="7">
                  <c:v>2.6091081593927895E-2</c:v>
                </c:pt>
                <c:pt idx="8">
                  <c:v>7.7482605945604051E-3</c:v>
                </c:pt>
                <c:pt idx="9">
                  <c:v>4.4275774826059459E-3</c:v>
                </c:pt>
                <c:pt idx="11">
                  <c:v>6.3251106894370653E-4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8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Lubiri-Ndeeba'!$AE$9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Lubiri-Ndeeba'!$R$10:$R$21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Lubiri-Ndeeba'!$AE$10:$AE$21</c:f>
              <c:numCache>
                <c:formatCode>0</c:formatCode>
                <c:ptCount val="12"/>
                <c:pt idx="0">
                  <c:v>235</c:v>
                </c:pt>
                <c:pt idx="1">
                  <c:v>183</c:v>
                </c:pt>
                <c:pt idx="2">
                  <c:v>228</c:v>
                </c:pt>
                <c:pt idx="3">
                  <c:v>225</c:v>
                </c:pt>
                <c:pt idx="4">
                  <c:v>287</c:v>
                </c:pt>
                <c:pt idx="5">
                  <c:v>277</c:v>
                </c:pt>
                <c:pt idx="6">
                  <c:v>261</c:v>
                </c:pt>
                <c:pt idx="7">
                  <c:v>258</c:v>
                </c:pt>
                <c:pt idx="8">
                  <c:v>274</c:v>
                </c:pt>
                <c:pt idx="9">
                  <c:v>291</c:v>
                </c:pt>
                <c:pt idx="10">
                  <c:v>358</c:v>
                </c:pt>
                <c:pt idx="11">
                  <c:v>280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'25.07 Lubiri-Ndeeba'!$AF$9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Lubiri-Ndeeba'!$R$10:$R$21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Lubiri-Ndeeba'!$AF$10:$AF$21</c:f>
              <c:numCache>
                <c:formatCode>0</c:formatCode>
                <c:ptCount val="12"/>
                <c:pt idx="0">
                  <c:v>787</c:v>
                </c:pt>
                <c:pt idx="1">
                  <c:v>1128</c:v>
                </c:pt>
                <c:pt idx="2">
                  <c:v>1188</c:v>
                </c:pt>
                <c:pt idx="3">
                  <c:v>1060</c:v>
                </c:pt>
                <c:pt idx="4">
                  <c:v>1261</c:v>
                </c:pt>
                <c:pt idx="5">
                  <c:v>1413</c:v>
                </c:pt>
                <c:pt idx="6">
                  <c:v>1203</c:v>
                </c:pt>
                <c:pt idx="7">
                  <c:v>1051</c:v>
                </c:pt>
                <c:pt idx="8">
                  <c:v>1551</c:v>
                </c:pt>
                <c:pt idx="9">
                  <c:v>1110</c:v>
                </c:pt>
                <c:pt idx="10">
                  <c:v>1363</c:v>
                </c:pt>
                <c:pt idx="11">
                  <c:v>1048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112336"/>
        <c:axId val="484117232"/>
      </c:lineChart>
      <c:catAx>
        <c:axId val="4841123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4117232"/>
        <c:crosses val="autoZero"/>
        <c:auto val="1"/>
        <c:lblAlgn val="ctr"/>
        <c:lblOffset val="100"/>
        <c:noMultiLvlLbl val="0"/>
      </c:catAx>
      <c:valAx>
        <c:axId val="484117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411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Lubiri-Ndeeba'!$C$9:$N$9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Lubiri-Ndeeba'!$C$59:$N$59</c:f>
              <c:numCache>
                <c:formatCode>0.0%</c:formatCode>
                <c:ptCount val="12"/>
                <c:pt idx="0">
                  <c:v>0.11134646614417849</c:v>
                </c:pt>
                <c:pt idx="1">
                  <c:v>1.6380710301489798E-2</c:v>
                </c:pt>
                <c:pt idx="2">
                  <c:v>1.2426745745957778E-2</c:v>
                </c:pt>
                <c:pt idx="3">
                  <c:v>4.6459083527501235E-2</c:v>
                </c:pt>
                <c:pt idx="4">
                  <c:v>1.2709171785638637E-3</c:v>
                </c:pt>
                <c:pt idx="5">
                  <c:v>2.1181952976064393E-4</c:v>
                </c:pt>
                <c:pt idx="6">
                  <c:v>1.8357692579255808E-2</c:v>
                </c:pt>
                <c:pt idx="7">
                  <c:v>1.3344630374920568E-2</c:v>
                </c:pt>
                <c:pt idx="8">
                  <c:v>1.4121301984042929E-3</c:v>
                </c:pt>
                <c:pt idx="9">
                  <c:v>1.5533432182447222E-3</c:v>
                </c:pt>
                <c:pt idx="10">
                  <c:v>0.77709524818188236</c:v>
                </c:pt>
                <c:pt idx="11">
                  <c:v>1.412130198404293E-4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54"/>
          <c:y val="2.29602266373237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Lubiri-Ndeeba'!$S$9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Lubiri-Ndeeba'!$R$10:$R$21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Lubiri-Ndeeba'!$S$10:$S$21</c:f>
              <c:numCache>
                <c:formatCode>0</c:formatCode>
                <c:ptCount val="12"/>
                <c:pt idx="0">
                  <c:v>112</c:v>
                </c:pt>
                <c:pt idx="1">
                  <c:v>83</c:v>
                </c:pt>
                <c:pt idx="2">
                  <c:v>85</c:v>
                </c:pt>
                <c:pt idx="3">
                  <c:v>89</c:v>
                </c:pt>
                <c:pt idx="4">
                  <c:v>122</c:v>
                </c:pt>
                <c:pt idx="5">
                  <c:v>135</c:v>
                </c:pt>
                <c:pt idx="6">
                  <c:v>135</c:v>
                </c:pt>
                <c:pt idx="7">
                  <c:v>142</c:v>
                </c:pt>
                <c:pt idx="8">
                  <c:v>133</c:v>
                </c:pt>
                <c:pt idx="9">
                  <c:v>180</c:v>
                </c:pt>
                <c:pt idx="10">
                  <c:v>210</c:v>
                </c:pt>
                <c:pt idx="11">
                  <c:v>151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'25.07 Lubiri-Ndeeba'!$T$9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Lubiri-Ndeeba'!$R$10:$R$21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Lubiri-Ndeeba'!$T$10:$T$21</c:f>
              <c:numCache>
                <c:formatCode>0</c:formatCode>
                <c:ptCount val="12"/>
                <c:pt idx="0">
                  <c:v>13</c:v>
                </c:pt>
                <c:pt idx="1">
                  <c:v>10</c:v>
                </c:pt>
                <c:pt idx="2">
                  <c:v>22</c:v>
                </c:pt>
                <c:pt idx="3">
                  <c:v>9</c:v>
                </c:pt>
                <c:pt idx="4">
                  <c:v>19</c:v>
                </c:pt>
                <c:pt idx="5">
                  <c:v>27</c:v>
                </c:pt>
                <c:pt idx="6">
                  <c:v>15</c:v>
                </c:pt>
                <c:pt idx="7">
                  <c:v>29</c:v>
                </c:pt>
                <c:pt idx="8">
                  <c:v>26</c:v>
                </c:pt>
                <c:pt idx="9">
                  <c:v>15</c:v>
                </c:pt>
                <c:pt idx="10">
                  <c:v>28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'25.07 Lubiri-Ndeeba'!$U$9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Lubiri-Ndeeba'!$U$10:$U$21</c:f>
              <c:numCache>
                <c:formatCode>0</c:formatCode>
                <c:ptCount val="12"/>
                <c:pt idx="0">
                  <c:v>14</c:v>
                </c:pt>
                <c:pt idx="1">
                  <c:v>7</c:v>
                </c:pt>
                <c:pt idx="2">
                  <c:v>8</c:v>
                </c:pt>
                <c:pt idx="3">
                  <c:v>13</c:v>
                </c:pt>
                <c:pt idx="4">
                  <c:v>19</c:v>
                </c:pt>
                <c:pt idx="5">
                  <c:v>21</c:v>
                </c:pt>
                <c:pt idx="6">
                  <c:v>17</c:v>
                </c:pt>
                <c:pt idx="7">
                  <c:v>15</c:v>
                </c:pt>
                <c:pt idx="8">
                  <c:v>18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'25.07 Lubiri-Ndeeba'!$V$9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Lubiri-Ndeeba'!$V$10:$V$21</c:f>
              <c:numCache>
                <c:formatCode>0</c:formatCode>
                <c:ptCount val="12"/>
                <c:pt idx="0">
                  <c:v>79</c:v>
                </c:pt>
                <c:pt idx="1">
                  <c:v>61</c:v>
                </c:pt>
                <c:pt idx="2">
                  <c:v>66</c:v>
                </c:pt>
                <c:pt idx="3">
                  <c:v>59</c:v>
                </c:pt>
                <c:pt idx="4">
                  <c:v>58</c:v>
                </c:pt>
                <c:pt idx="5">
                  <c:v>42</c:v>
                </c:pt>
                <c:pt idx="6">
                  <c:v>41</c:v>
                </c:pt>
                <c:pt idx="7">
                  <c:v>39</c:v>
                </c:pt>
                <c:pt idx="8">
                  <c:v>40</c:v>
                </c:pt>
                <c:pt idx="9">
                  <c:v>49</c:v>
                </c:pt>
                <c:pt idx="10">
                  <c:v>65</c:v>
                </c:pt>
                <c:pt idx="11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'25.07 Lubiri-Ndeeba'!$W$9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Lubiri-Ndeeba'!$W$10:$W$21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'25.07 Lubiri-Ndeeba'!$X$9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Lubiri-Ndeeba'!$X$10:$X$21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'25.07 Lubiri-Ndeeba'!$Y$9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Lubiri-Ndeeba'!$Y$10:$Y$21</c:f>
              <c:numCache>
                <c:formatCode>0</c:formatCode>
                <c:ptCount val="12"/>
                <c:pt idx="0">
                  <c:v>10</c:v>
                </c:pt>
                <c:pt idx="1">
                  <c:v>13</c:v>
                </c:pt>
                <c:pt idx="2">
                  <c:v>25</c:v>
                </c:pt>
                <c:pt idx="3">
                  <c:v>29</c:v>
                </c:pt>
                <c:pt idx="4">
                  <c:v>40</c:v>
                </c:pt>
                <c:pt idx="5">
                  <c:v>27</c:v>
                </c:pt>
                <c:pt idx="6">
                  <c:v>29</c:v>
                </c:pt>
                <c:pt idx="7">
                  <c:v>16</c:v>
                </c:pt>
                <c:pt idx="8">
                  <c:v>28</c:v>
                </c:pt>
                <c:pt idx="9">
                  <c:v>13</c:v>
                </c:pt>
                <c:pt idx="10">
                  <c:v>20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'25.07 Lubiri-Ndeeba'!$Z$9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Lubiri-Ndeeba'!$Z$10:$Z$21</c:f>
              <c:numCache>
                <c:formatCode>0</c:formatCode>
                <c:ptCount val="12"/>
                <c:pt idx="0">
                  <c:v>5</c:v>
                </c:pt>
                <c:pt idx="1">
                  <c:v>8</c:v>
                </c:pt>
                <c:pt idx="2">
                  <c:v>16</c:v>
                </c:pt>
                <c:pt idx="3">
                  <c:v>23</c:v>
                </c:pt>
                <c:pt idx="4">
                  <c:v>23</c:v>
                </c:pt>
                <c:pt idx="5">
                  <c:v>21</c:v>
                </c:pt>
                <c:pt idx="6">
                  <c:v>19</c:v>
                </c:pt>
                <c:pt idx="7">
                  <c:v>10</c:v>
                </c:pt>
                <c:pt idx="8">
                  <c:v>19</c:v>
                </c:pt>
                <c:pt idx="9">
                  <c:v>15</c:v>
                </c:pt>
                <c:pt idx="10">
                  <c:v>13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'25.07 Lubiri-Ndeeba'!$AA$9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Lubiri-Ndeeba'!$AA$10:$AA$21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'25.07 Lubiri-Ndeeba'!$AB$9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Lubiri-Ndeeba'!$AB$10:$AB$21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'25.07 Lubiri-Ndeeba'!$AC$9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Lubiri-Ndeeba'!$AC$10:$AC$21</c:f>
              <c:numCache>
                <c:formatCode>0</c:formatCode>
                <c:ptCount val="12"/>
                <c:pt idx="0">
                  <c:v>552</c:v>
                </c:pt>
                <c:pt idx="1">
                  <c:v>945</c:v>
                </c:pt>
                <c:pt idx="2">
                  <c:v>960</c:v>
                </c:pt>
                <c:pt idx="3">
                  <c:v>835</c:v>
                </c:pt>
                <c:pt idx="4">
                  <c:v>974</c:v>
                </c:pt>
                <c:pt idx="5">
                  <c:v>1136</c:v>
                </c:pt>
                <c:pt idx="6">
                  <c:v>942</c:v>
                </c:pt>
                <c:pt idx="7">
                  <c:v>793</c:v>
                </c:pt>
                <c:pt idx="8">
                  <c:v>1277</c:v>
                </c:pt>
                <c:pt idx="9">
                  <c:v>819</c:v>
                </c:pt>
                <c:pt idx="10">
                  <c:v>1005</c:v>
                </c:pt>
                <c:pt idx="11">
                  <c:v>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'25.07 Lubiri-Ndeeba'!$AD$9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Lubiri-Ndeeba'!$AD$10:$AD$21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107440"/>
        <c:axId val="484117776"/>
      </c:lineChart>
      <c:catAx>
        <c:axId val="48410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4117776"/>
        <c:crosses val="autoZero"/>
        <c:auto val="1"/>
        <c:lblAlgn val="ctr"/>
        <c:lblOffset val="100"/>
        <c:noMultiLvlLbl val="0"/>
      </c:catAx>
      <c:valAx>
        <c:axId val="48411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410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Lubiri-Ndeeba'!$C$9:$N$9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Lubiri-Ndeeba'!$C$60:$N$60</c:f>
              <c:numCache>
                <c:formatCode>0.00%</c:formatCode>
                <c:ptCount val="12"/>
                <c:pt idx="0">
                  <c:v>0.49952486537852392</c:v>
                </c:pt>
                <c:pt idx="1">
                  <c:v>7.348748812163447E-2</c:v>
                </c:pt>
                <c:pt idx="2">
                  <c:v>5.5749128919860627E-2</c:v>
                </c:pt>
                <c:pt idx="3">
                  <c:v>0.20842572062084258</c:v>
                </c:pt>
                <c:pt idx="4">
                  <c:v>5.7016154577130187E-3</c:v>
                </c:pt>
                <c:pt idx="5">
                  <c:v>9.5026924295216978E-4</c:v>
                </c:pt>
                <c:pt idx="6">
                  <c:v>8.2356667722521384E-2</c:v>
                </c:pt>
                <c:pt idx="7">
                  <c:v>5.9866962305986697E-2</c:v>
                </c:pt>
                <c:pt idx="8">
                  <c:v>6.3351282863477985E-3</c:v>
                </c:pt>
                <c:pt idx="9">
                  <c:v>6.9686411149825784E-3</c:v>
                </c:pt>
                <c:pt idx="11">
                  <c:v>6.3351282863477985E-4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8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Ndeeba-Lubiri'!$AE$9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Ndeeba-Lubiri'!$R$10:$R$21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Ndeeba-Lubiri'!$AE$10:$AE$21</c:f>
              <c:numCache>
                <c:formatCode>0</c:formatCode>
                <c:ptCount val="12"/>
                <c:pt idx="0">
                  <c:v>1230</c:v>
                </c:pt>
                <c:pt idx="1">
                  <c:v>779</c:v>
                </c:pt>
                <c:pt idx="2">
                  <c:v>635</c:v>
                </c:pt>
                <c:pt idx="3">
                  <c:v>477</c:v>
                </c:pt>
                <c:pt idx="4">
                  <c:v>433</c:v>
                </c:pt>
                <c:pt idx="5">
                  <c:v>272</c:v>
                </c:pt>
                <c:pt idx="6">
                  <c:v>219</c:v>
                </c:pt>
                <c:pt idx="7">
                  <c:v>279</c:v>
                </c:pt>
                <c:pt idx="8">
                  <c:v>395</c:v>
                </c:pt>
                <c:pt idx="9">
                  <c:v>322</c:v>
                </c:pt>
                <c:pt idx="10">
                  <c:v>548</c:v>
                </c:pt>
                <c:pt idx="11">
                  <c:v>606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'25.07 Ndeeba-Lubiri'!$AF$9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Ndeeba-Lubiri'!$R$10:$R$21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Ndeeba-Lubiri'!$AF$10:$AF$21</c:f>
              <c:numCache>
                <c:formatCode>0</c:formatCode>
                <c:ptCount val="12"/>
                <c:pt idx="0">
                  <c:v>2165</c:v>
                </c:pt>
                <c:pt idx="1">
                  <c:v>1700</c:v>
                </c:pt>
                <c:pt idx="2">
                  <c:v>1440</c:v>
                </c:pt>
                <c:pt idx="3">
                  <c:v>1328</c:v>
                </c:pt>
                <c:pt idx="4">
                  <c:v>1310</c:v>
                </c:pt>
                <c:pt idx="5">
                  <c:v>1192</c:v>
                </c:pt>
                <c:pt idx="6">
                  <c:v>1205</c:v>
                </c:pt>
                <c:pt idx="7">
                  <c:v>1130</c:v>
                </c:pt>
                <c:pt idx="8">
                  <c:v>1325</c:v>
                </c:pt>
                <c:pt idx="9">
                  <c:v>1017</c:v>
                </c:pt>
                <c:pt idx="10">
                  <c:v>1453</c:v>
                </c:pt>
                <c:pt idx="11">
                  <c:v>1527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106352"/>
        <c:axId val="484116144"/>
      </c:lineChart>
      <c:catAx>
        <c:axId val="4841063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4116144"/>
        <c:crosses val="autoZero"/>
        <c:auto val="1"/>
        <c:lblAlgn val="ctr"/>
        <c:lblOffset val="100"/>
        <c:noMultiLvlLbl val="0"/>
      </c:catAx>
      <c:valAx>
        <c:axId val="484116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410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Ndeeba-Lubiri'!$C$9:$N$9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Ndeeba-Lubiri'!$C$59:$N$59</c:f>
              <c:numCache>
                <c:formatCode>0.0%</c:formatCode>
                <c:ptCount val="12"/>
                <c:pt idx="0">
                  <c:v>0.24660552644116246</c:v>
                </c:pt>
                <c:pt idx="1">
                  <c:v>2.4059075750357314E-2</c:v>
                </c:pt>
                <c:pt idx="2">
                  <c:v>1.9473558837541687E-2</c:v>
                </c:pt>
                <c:pt idx="3">
                  <c:v>3.6565030967127203E-2</c:v>
                </c:pt>
                <c:pt idx="4">
                  <c:v>7.7417818008575516E-4</c:v>
                </c:pt>
                <c:pt idx="5">
                  <c:v>1.7865650309671272E-4</c:v>
                </c:pt>
                <c:pt idx="6">
                  <c:v>1.560266793711291E-2</c:v>
                </c:pt>
                <c:pt idx="7">
                  <c:v>8.2777513101476886E-3</c:v>
                </c:pt>
                <c:pt idx="8">
                  <c:v>1.6079085278704144E-3</c:v>
                </c:pt>
                <c:pt idx="9">
                  <c:v>1.5781324440209625E-2</c:v>
                </c:pt>
                <c:pt idx="10">
                  <c:v>0.63107432110528827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54"/>
          <c:y val="2.29602266373237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Ndeeba-Lubiri'!$S$9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Ndeeba-Lubiri'!$R$10:$R$21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Ndeeba-Lubiri'!$S$10:$S$21</c:f>
              <c:numCache>
                <c:formatCode>0</c:formatCode>
                <c:ptCount val="12"/>
                <c:pt idx="0">
                  <c:v>586</c:v>
                </c:pt>
                <c:pt idx="1">
                  <c:v>551</c:v>
                </c:pt>
                <c:pt idx="2">
                  <c:v>473</c:v>
                </c:pt>
                <c:pt idx="3">
                  <c:v>325</c:v>
                </c:pt>
                <c:pt idx="4">
                  <c:v>315</c:v>
                </c:pt>
                <c:pt idx="5">
                  <c:v>173</c:v>
                </c:pt>
                <c:pt idx="6">
                  <c:v>130</c:v>
                </c:pt>
                <c:pt idx="7">
                  <c:v>177</c:v>
                </c:pt>
                <c:pt idx="8">
                  <c:v>276</c:v>
                </c:pt>
                <c:pt idx="9">
                  <c:v>222</c:v>
                </c:pt>
                <c:pt idx="10">
                  <c:v>425</c:v>
                </c:pt>
                <c:pt idx="11">
                  <c:v>488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'25.07 Ndeeba-Lubiri'!$T$9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Ndeeba-Lubiri'!$R$10:$R$21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Ndeeba-Lubiri'!$T$10:$T$21</c:f>
              <c:numCache>
                <c:formatCode>0</c:formatCode>
                <c:ptCount val="12"/>
                <c:pt idx="0">
                  <c:v>67</c:v>
                </c:pt>
                <c:pt idx="1">
                  <c:v>40</c:v>
                </c:pt>
                <c:pt idx="2">
                  <c:v>30</c:v>
                </c:pt>
                <c:pt idx="3">
                  <c:v>44</c:v>
                </c:pt>
                <c:pt idx="4">
                  <c:v>29</c:v>
                </c:pt>
                <c:pt idx="5">
                  <c:v>21</c:v>
                </c:pt>
                <c:pt idx="6">
                  <c:v>21</c:v>
                </c:pt>
                <c:pt idx="7">
                  <c:v>20</c:v>
                </c:pt>
                <c:pt idx="8">
                  <c:v>21</c:v>
                </c:pt>
                <c:pt idx="9">
                  <c:v>26</c:v>
                </c:pt>
                <c:pt idx="10">
                  <c:v>50</c:v>
                </c:pt>
                <c:pt idx="11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'25.07 Ndeeba-Lubiri'!$U$9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Ndeeba-Lubiri'!$U$10:$U$21</c:f>
              <c:numCache>
                <c:formatCode>0</c:formatCode>
                <c:ptCount val="12"/>
                <c:pt idx="0">
                  <c:v>44</c:v>
                </c:pt>
                <c:pt idx="1">
                  <c:v>41</c:v>
                </c:pt>
                <c:pt idx="2">
                  <c:v>29</c:v>
                </c:pt>
                <c:pt idx="3">
                  <c:v>32</c:v>
                </c:pt>
                <c:pt idx="4">
                  <c:v>28</c:v>
                </c:pt>
                <c:pt idx="5">
                  <c:v>28</c:v>
                </c:pt>
                <c:pt idx="6">
                  <c:v>24</c:v>
                </c:pt>
                <c:pt idx="7">
                  <c:v>15</c:v>
                </c:pt>
                <c:pt idx="8">
                  <c:v>31</c:v>
                </c:pt>
                <c:pt idx="9">
                  <c:v>20</c:v>
                </c:pt>
                <c:pt idx="10">
                  <c:v>18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'25.07 Ndeeba-Lubiri'!$V$9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Ndeeba-Lubiri'!$V$10:$V$21</c:f>
              <c:numCache>
                <c:formatCode>0</c:formatCode>
                <c:ptCount val="12"/>
                <c:pt idx="0">
                  <c:v>239</c:v>
                </c:pt>
                <c:pt idx="1">
                  <c:v>110</c:v>
                </c:pt>
                <c:pt idx="2">
                  <c:v>56</c:v>
                </c:pt>
                <c:pt idx="3">
                  <c:v>23</c:v>
                </c:pt>
                <c:pt idx="4">
                  <c:v>23</c:v>
                </c:pt>
                <c:pt idx="5">
                  <c:v>18</c:v>
                </c:pt>
                <c:pt idx="6">
                  <c:v>14</c:v>
                </c:pt>
                <c:pt idx="7">
                  <c:v>37</c:v>
                </c:pt>
                <c:pt idx="8">
                  <c:v>30</c:v>
                </c:pt>
                <c:pt idx="9">
                  <c:v>18</c:v>
                </c:pt>
                <c:pt idx="10">
                  <c:v>15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'25.07 Ndeeba-Lubiri'!$W$9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Ndeeba-Lubiri'!$W$10:$W$21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'25.07 Ndeeba-Lubiri'!$X$9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Ndeeba-Lubiri'!$X$10:$X$21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'25.07 Ndeeba-Lubiri'!$Y$9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Ndeeba-Lubiri'!$Y$10:$Y$21</c:f>
              <c:numCache>
                <c:formatCode>0</c:formatCode>
                <c:ptCount val="12"/>
                <c:pt idx="0">
                  <c:v>28</c:v>
                </c:pt>
                <c:pt idx="1">
                  <c:v>23</c:v>
                </c:pt>
                <c:pt idx="2">
                  <c:v>27</c:v>
                </c:pt>
                <c:pt idx="3">
                  <c:v>36</c:v>
                </c:pt>
                <c:pt idx="4">
                  <c:v>20</c:v>
                </c:pt>
                <c:pt idx="5">
                  <c:v>19</c:v>
                </c:pt>
                <c:pt idx="6">
                  <c:v>20</c:v>
                </c:pt>
                <c:pt idx="7">
                  <c:v>14</c:v>
                </c:pt>
                <c:pt idx="8">
                  <c:v>22</c:v>
                </c:pt>
                <c:pt idx="9">
                  <c:v>15</c:v>
                </c:pt>
                <c:pt idx="10">
                  <c:v>24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'25.07 Ndeeba-Lubiri'!$Z$9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Ndeeba-Lubiri'!$Z$10:$Z$21</c:f>
              <c:numCache>
                <c:formatCode>0</c:formatCode>
                <c:ptCount val="12"/>
                <c:pt idx="0">
                  <c:v>6</c:v>
                </c:pt>
                <c:pt idx="1">
                  <c:v>9</c:v>
                </c:pt>
                <c:pt idx="2">
                  <c:v>16</c:v>
                </c:pt>
                <c:pt idx="3">
                  <c:v>8</c:v>
                </c:pt>
                <c:pt idx="4">
                  <c:v>16</c:v>
                </c:pt>
                <c:pt idx="5">
                  <c:v>11</c:v>
                </c:pt>
                <c:pt idx="6">
                  <c:v>5</c:v>
                </c:pt>
                <c:pt idx="7">
                  <c:v>9</c:v>
                </c:pt>
                <c:pt idx="8">
                  <c:v>12</c:v>
                </c:pt>
                <c:pt idx="9">
                  <c:v>17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'25.07 Ndeeba-Lubiri'!$AA$9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Ndeeba-Lubiri'!$AA$10:$AA$21</c:f>
              <c:numCache>
                <c:formatCode>0</c:formatCode>
                <c:ptCount val="12"/>
                <c:pt idx="0">
                  <c:v>9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'25.07 Ndeeba-Lubiri'!$AB$9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Ndeeba-Lubiri'!$AB$10:$AB$21</c:f>
              <c:numCache>
                <c:formatCode>0</c:formatCode>
                <c:ptCount val="12"/>
                <c:pt idx="0">
                  <c:v>250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'25.07 Ndeeba-Lubiri'!$AC$9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Ndeeba-Lubiri'!$AC$10:$AC$21</c:f>
              <c:numCache>
                <c:formatCode>0</c:formatCode>
                <c:ptCount val="12"/>
                <c:pt idx="0">
                  <c:v>935</c:v>
                </c:pt>
                <c:pt idx="1">
                  <c:v>921</c:v>
                </c:pt>
                <c:pt idx="2">
                  <c:v>805</c:v>
                </c:pt>
                <c:pt idx="3">
                  <c:v>851</c:v>
                </c:pt>
                <c:pt idx="4">
                  <c:v>877</c:v>
                </c:pt>
                <c:pt idx="5">
                  <c:v>920</c:v>
                </c:pt>
                <c:pt idx="6">
                  <c:v>986</c:v>
                </c:pt>
                <c:pt idx="7">
                  <c:v>851</c:v>
                </c:pt>
                <c:pt idx="8">
                  <c:v>930</c:v>
                </c:pt>
                <c:pt idx="9">
                  <c:v>695</c:v>
                </c:pt>
                <c:pt idx="10">
                  <c:v>905</c:v>
                </c:pt>
                <c:pt idx="11">
                  <c:v>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'25.07 Ndeeba-Lubiri'!$AD$9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Ndeeba-Lubiri'!$AD$10:$AD$21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111248"/>
        <c:axId val="484111792"/>
      </c:lineChart>
      <c:catAx>
        <c:axId val="48411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4111792"/>
        <c:crosses val="autoZero"/>
        <c:auto val="1"/>
        <c:lblAlgn val="ctr"/>
        <c:lblOffset val="100"/>
        <c:noMultiLvlLbl val="0"/>
      </c:catAx>
      <c:valAx>
        <c:axId val="48411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411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Ndeeba-Lubiri'!$C$9:$N$9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Ndeeba-Lubiri'!$C$60:$N$60</c:f>
              <c:numCache>
                <c:formatCode>0.00%</c:formatCode>
                <c:ptCount val="12"/>
                <c:pt idx="0">
                  <c:v>0.66844229217110573</c:v>
                </c:pt>
                <c:pt idx="1">
                  <c:v>6.5213882163034712E-2</c:v>
                </c:pt>
                <c:pt idx="2">
                  <c:v>5.2784503631961258E-2</c:v>
                </c:pt>
                <c:pt idx="3">
                  <c:v>9.9112187247780467E-2</c:v>
                </c:pt>
                <c:pt idx="4">
                  <c:v>2.0984665052461663E-3</c:v>
                </c:pt>
                <c:pt idx="5">
                  <c:v>4.8426150121065375E-4</c:v>
                </c:pt>
                <c:pt idx="6">
                  <c:v>4.2292171105730428E-2</c:v>
                </c:pt>
                <c:pt idx="7">
                  <c:v>2.2437449556093624E-2</c:v>
                </c:pt>
                <c:pt idx="8">
                  <c:v>4.3583535108958835E-3</c:v>
                </c:pt>
                <c:pt idx="9">
                  <c:v>4.2776432606941084E-2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Lubiri-Ndeeba-24h'!$AE$9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Lubiri-Ndeeba-24h'!$R$10:$R$33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Lubiri-Ndeeba-24h'!$AE$10:$AE$33</c:f>
              <c:numCache>
                <c:formatCode>0</c:formatCode>
                <c:ptCount val="24"/>
                <c:pt idx="0">
                  <c:v>203</c:v>
                </c:pt>
                <c:pt idx="1">
                  <c:v>194</c:v>
                </c:pt>
                <c:pt idx="2">
                  <c:v>258</c:v>
                </c:pt>
                <c:pt idx="3">
                  <c:v>235</c:v>
                </c:pt>
                <c:pt idx="4">
                  <c:v>320</c:v>
                </c:pt>
                <c:pt idx="5">
                  <c:v>325</c:v>
                </c:pt>
                <c:pt idx="6">
                  <c:v>318</c:v>
                </c:pt>
                <c:pt idx="7">
                  <c:v>309</c:v>
                </c:pt>
                <c:pt idx="8">
                  <c:v>339</c:v>
                </c:pt>
                <c:pt idx="9">
                  <c:v>391</c:v>
                </c:pt>
                <c:pt idx="10">
                  <c:v>338</c:v>
                </c:pt>
                <c:pt idx="11">
                  <c:v>311</c:v>
                </c:pt>
                <c:pt idx="12">
                  <c:v>634</c:v>
                </c:pt>
                <c:pt idx="13">
                  <c:v>461</c:v>
                </c:pt>
                <c:pt idx="14">
                  <c:v>390</c:v>
                </c:pt>
                <c:pt idx="15">
                  <c:v>182</c:v>
                </c:pt>
                <c:pt idx="16">
                  <c:v>124</c:v>
                </c:pt>
                <c:pt idx="17">
                  <c:v>64</c:v>
                </c:pt>
                <c:pt idx="18">
                  <c:v>18</c:v>
                </c:pt>
                <c:pt idx="19">
                  <c:v>17</c:v>
                </c:pt>
                <c:pt idx="20">
                  <c:v>14</c:v>
                </c:pt>
                <c:pt idx="21">
                  <c:v>18</c:v>
                </c:pt>
                <c:pt idx="22">
                  <c:v>44</c:v>
                </c:pt>
                <c:pt idx="23">
                  <c:v>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'26.07 Lubiri-Ndeeba-24h'!$AF$9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Lubiri-Ndeeba-24h'!$R$10:$R$33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Lubiri-Ndeeba-24h'!$AF$10:$AF$33</c:f>
              <c:numCache>
                <c:formatCode>0</c:formatCode>
                <c:ptCount val="24"/>
                <c:pt idx="0">
                  <c:v>643</c:v>
                </c:pt>
                <c:pt idx="1">
                  <c:v>1254</c:v>
                </c:pt>
                <c:pt idx="2">
                  <c:v>1463</c:v>
                </c:pt>
                <c:pt idx="3">
                  <c:v>1443</c:v>
                </c:pt>
                <c:pt idx="4">
                  <c:v>1355</c:v>
                </c:pt>
                <c:pt idx="5">
                  <c:v>1268</c:v>
                </c:pt>
                <c:pt idx="6">
                  <c:v>1333</c:v>
                </c:pt>
                <c:pt idx="7">
                  <c:v>1279</c:v>
                </c:pt>
                <c:pt idx="8">
                  <c:v>1419</c:v>
                </c:pt>
                <c:pt idx="9">
                  <c:v>1256</c:v>
                </c:pt>
                <c:pt idx="10">
                  <c:v>1188</c:v>
                </c:pt>
                <c:pt idx="11">
                  <c:v>1061</c:v>
                </c:pt>
                <c:pt idx="12">
                  <c:v>1562</c:v>
                </c:pt>
                <c:pt idx="13">
                  <c:v>1471</c:v>
                </c:pt>
                <c:pt idx="14">
                  <c:v>935</c:v>
                </c:pt>
                <c:pt idx="15">
                  <c:v>376</c:v>
                </c:pt>
                <c:pt idx="16">
                  <c:v>270</c:v>
                </c:pt>
                <c:pt idx="17">
                  <c:v>117</c:v>
                </c:pt>
                <c:pt idx="18">
                  <c:v>39</c:v>
                </c:pt>
                <c:pt idx="19">
                  <c:v>34</c:v>
                </c:pt>
                <c:pt idx="20">
                  <c:v>22</c:v>
                </c:pt>
                <c:pt idx="21">
                  <c:v>41</c:v>
                </c:pt>
                <c:pt idx="22">
                  <c:v>65</c:v>
                </c:pt>
                <c:pt idx="23">
                  <c:v>185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040512"/>
        <c:axId val="486046496"/>
      </c:lineChart>
      <c:catAx>
        <c:axId val="4860405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6046496"/>
        <c:crosses val="autoZero"/>
        <c:auto val="1"/>
        <c:lblAlgn val="ctr"/>
        <c:lblOffset val="100"/>
        <c:noMultiLvlLbl val="0"/>
      </c:catAx>
      <c:valAx>
        <c:axId val="486046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604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Lubiri-Ndeeba-24h'!$C$9:$N$9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Lubiri-Ndeeba-24h'!$C$107:$N$107</c:f>
              <c:numCache>
                <c:formatCode>0.0%</c:formatCode>
                <c:ptCount val="12"/>
                <c:pt idx="0">
                  <c:v>0.13521589720603616</c:v>
                </c:pt>
                <c:pt idx="1">
                  <c:v>2.2311868120922358E-2</c:v>
                </c:pt>
                <c:pt idx="2">
                  <c:v>1.2500622540963196E-2</c:v>
                </c:pt>
                <c:pt idx="3">
                  <c:v>6.8130883012102197E-2</c:v>
                </c:pt>
                <c:pt idx="4">
                  <c:v>2.6395736839484036E-3</c:v>
                </c:pt>
                <c:pt idx="5">
                  <c:v>3.4862293938941184E-4</c:v>
                </c:pt>
                <c:pt idx="6">
                  <c:v>1.8178196125305045E-2</c:v>
                </c:pt>
                <c:pt idx="7">
                  <c:v>1.5638228995467903E-2</c:v>
                </c:pt>
                <c:pt idx="8">
                  <c:v>2.4403605757258827E-3</c:v>
                </c:pt>
                <c:pt idx="9">
                  <c:v>1.7929179740026895E-3</c:v>
                </c:pt>
                <c:pt idx="10">
                  <c:v>0.72070322227202555</c:v>
                </c:pt>
                <c:pt idx="11">
                  <c:v>9.9606554111260519E-5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Lubiri-Ndeeba-24h'!$C$9:$N$9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Lubiri-Ndeeba-24h'!$C$108:$N$108</c:f>
              <c:numCache>
                <c:formatCode>0.00%</c:formatCode>
                <c:ptCount val="12"/>
                <c:pt idx="0">
                  <c:v>0.48412981455064191</c:v>
                </c:pt>
                <c:pt idx="1">
                  <c:v>7.9885877318116971E-2</c:v>
                </c:pt>
                <c:pt idx="2">
                  <c:v>4.4757489300998571E-2</c:v>
                </c:pt>
                <c:pt idx="3">
                  <c:v>0.24393723252496433</c:v>
                </c:pt>
                <c:pt idx="4">
                  <c:v>9.4507845934379466E-3</c:v>
                </c:pt>
                <c:pt idx="5">
                  <c:v>1.2482168330955777E-3</c:v>
                </c:pt>
                <c:pt idx="6">
                  <c:v>6.5085592011412272E-2</c:v>
                </c:pt>
                <c:pt idx="7">
                  <c:v>5.5991440798858774E-2</c:v>
                </c:pt>
                <c:pt idx="8">
                  <c:v>8.7375178316690446E-3</c:v>
                </c:pt>
                <c:pt idx="9">
                  <c:v>6.4194008559201139E-3</c:v>
                </c:pt>
                <c:pt idx="11">
                  <c:v>3.566333808844508E-4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Ndeeba-Lubiri-24h'!$AE$9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Ndeeba-Lubiri-24h'!$R$10:$R$33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Ndeeba-Lubiri-24h'!$AE$10:$AE$33</c:f>
              <c:numCache>
                <c:formatCode>0</c:formatCode>
                <c:ptCount val="24"/>
                <c:pt idx="0">
                  <c:v>762</c:v>
                </c:pt>
                <c:pt idx="1">
                  <c:v>780</c:v>
                </c:pt>
                <c:pt idx="2">
                  <c:v>557</c:v>
                </c:pt>
                <c:pt idx="3">
                  <c:v>411</c:v>
                </c:pt>
                <c:pt idx="4">
                  <c:v>448</c:v>
                </c:pt>
                <c:pt idx="5">
                  <c:v>384</c:v>
                </c:pt>
                <c:pt idx="6">
                  <c:v>345</c:v>
                </c:pt>
                <c:pt idx="7">
                  <c:v>379</c:v>
                </c:pt>
                <c:pt idx="8">
                  <c:v>427</c:v>
                </c:pt>
                <c:pt idx="9">
                  <c:v>442</c:v>
                </c:pt>
                <c:pt idx="10">
                  <c:v>423</c:v>
                </c:pt>
                <c:pt idx="11">
                  <c:v>580</c:v>
                </c:pt>
                <c:pt idx="12">
                  <c:v>438</c:v>
                </c:pt>
                <c:pt idx="13">
                  <c:v>471</c:v>
                </c:pt>
                <c:pt idx="14">
                  <c:v>394</c:v>
                </c:pt>
                <c:pt idx="15">
                  <c:v>121</c:v>
                </c:pt>
                <c:pt idx="16">
                  <c:v>74</c:v>
                </c:pt>
                <c:pt idx="17">
                  <c:v>64</c:v>
                </c:pt>
                <c:pt idx="18">
                  <c:v>44</c:v>
                </c:pt>
                <c:pt idx="19">
                  <c:v>10</c:v>
                </c:pt>
                <c:pt idx="20">
                  <c:v>16</c:v>
                </c:pt>
                <c:pt idx="21">
                  <c:v>23</c:v>
                </c:pt>
                <c:pt idx="22">
                  <c:v>45</c:v>
                </c:pt>
                <c:pt idx="23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'26.07 Ndeeba-Lubiri-24h'!$AF$9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Ndeeba-Lubiri-24h'!$R$10:$R$33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Ndeeba-Lubiri-24h'!$AF$10:$AF$33</c:f>
              <c:numCache>
                <c:formatCode>0</c:formatCode>
                <c:ptCount val="24"/>
                <c:pt idx="0">
                  <c:v>1712</c:v>
                </c:pt>
                <c:pt idx="1">
                  <c:v>1751</c:v>
                </c:pt>
                <c:pt idx="2">
                  <c:v>1465</c:v>
                </c:pt>
                <c:pt idx="3">
                  <c:v>1211</c:v>
                </c:pt>
                <c:pt idx="4">
                  <c:v>1228</c:v>
                </c:pt>
                <c:pt idx="5">
                  <c:v>1014</c:v>
                </c:pt>
                <c:pt idx="6">
                  <c:v>995</c:v>
                </c:pt>
                <c:pt idx="7">
                  <c:v>1079</c:v>
                </c:pt>
                <c:pt idx="8">
                  <c:v>942</c:v>
                </c:pt>
                <c:pt idx="9">
                  <c:v>1109</c:v>
                </c:pt>
                <c:pt idx="10">
                  <c:v>1263</c:v>
                </c:pt>
                <c:pt idx="11">
                  <c:v>1445</c:v>
                </c:pt>
                <c:pt idx="12">
                  <c:v>1349</c:v>
                </c:pt>
                <c:pt idx="13">
                  <c:v>1331</c:v>
                </c:pt>
                <c:pt idx="14">
                  <c:v>1114</c:v>
                </c:pt>
                <c:pt idx="15">
                  <c:v>280</c:v>
                </c:pt>
                <c:pt idx="16">
                  <c:v>304</c:v>
                </c:pt>
                <c:pt idx="17">
                  <c:v>144</c:v>
                </c:pt>
                <c:pt idx="18">
                  <c:v>98</c:v>
                </c:pt>
                <c:pt idx="19">
                  <c:v>28</c:v>
                </c:pt>
                <c:pt idx="20">
                  <c:v>38</c:v>
                </c:pt>
                <c:pt idx="21">
                  <c:v>42</c:v>
                </c:pt>
                <c:pt idx="22">
                  <c:v>84</c:v>
                </c:pt>
                <c:pt idx="23">
                  <c:v>112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039424"/>
        <c:axId val="486044864"/>
      </c:lineChart>
      <c:catAx>
        <c:axId val="4860394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6044864"/>
        <c:crosses val="autoZero"/>
        <c:auto val="1"/>
        <c:lblAlgn val="ctr"/>
        <c:lblOffset val="100"/>
        <c:noMultiLvlLbl val="0"/>
      </c:catAx>
      <c:valAx>
        <c:axId val="4860448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603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Ndeeba-Lubiri-24h'!$C$9:$N$9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Ndeeba-Lubiri-24h'!$C$107:$N$107</c:f>
              <c:numCache>
                <c:formatCode>0.0%</c:formatCode>
                <c:ptCount val="12"/>
                <c:pt idx="0">
                  <c:v>0.26080047671069617</c:v>
                </c:pt>
                <c:pt idx="1">
                  <c:v>2.4183136359122059E-2</c:v>
                </c:pt>
                <c:pt idx="2">
                  <c:v>2.1948554970702156E-2</c:v>
                </c:pt>
                <c:pt idx="3">
                  <c:v>4.6330320786572649E-2</c:v>
                </c:pt>
                <c:pt idx="4">
                  <c:v>1.7876651107359221E-3</c:v>
                </c:pt>
                <c:pt idx="5">
                  <c:v>3.4760154930976261E-4</c:v>
                </c:pt>
                <c:pt idx="6">
                  <c:v>1.4350978250074486E-2</c:v>
                </c:pt>
                <c:pt idx="7">
                  <c:v>9.4845565597378098E-3</c:v>
                </c:pt>
                <c:pt idx="8">
                  <c:v>1.5890356539874863E-3</c:v>
                </c:pt>
                <c:pt idx="9">
                  <c:v>1.4897209256132685E-3</c:v>
                </c:pt>
                <c:pt idx="10">
                  <c:v>0.61768795312344815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Ndeeba-Lubiri-24h'!$C$9:$N$9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Ndeeba-Lubiri-24h'!$C$108:$N$108</c:f>
              <c:numCache>
                <c:formatCode>0.00%</c:formatCode>
                <c:ptCount val="12"/>
                <c:pt idx="0">
                  <c:v>0.68216651513183535</c:v>
                </c:pt>
                <c:pt idx="1">
                  <c:v>6.3254968177685417E-2</c:v>
                </c:pt>
                <c:pt idx="2">
                  <c:v>5.741005325366931E-2</c:v>
                </c:pt>
                <c:pt idx="3">
                  <c:v>0.1211845694246006</c:v>
                </c:pt>
                <c:pt idx="4">
                  <c:v>4.6759319392128849E-3</c:v>
                </c:pt>
                <c:pt idx="5">
                  <c:v>9.0920898818028315E-4</c:v>
                </c:pt>
                <c:pt idx="6">
                  <c:v>3.753734251201455E-2</c:v>
                </c:pt>
                <c:pt idx="7">
                  <c:v>2.4808416677490584E-2</c:v>
                </c:pt>
                <c:pt idx="8">
                  <c:v>4.1563839459670083E-3</c:v>
                </c:pt>
                <c:pt idx="9">
                  <c:v>3.8966099493440705E-3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Lubiri-Ndeeba-24h'!$AE$9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Lubiri-Ndeeba-24h'!$R$10:$R$33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Lubiri-Ndeeba-24h'!$AE$10:$AE$33</c:f>
              <c:numCache>
                <c:formatCode>0</c:formatCode>
                <c:ptCount val="24"/>
                <c:pt idx="0">
                  <c:v>232</c:v>
                </c:pt>
                <c:pt idx="1">
                  <c:v>541</c:v>
                </c:pt>
                <c:pt idx="2">
                  <c:v>209</c:v>
                </c:pt>
                <c:pt idx="3">
                  <c:v>499</c:v>
                </c:pt>
                <c:pt idx="4">
                  <c:v>505</c:v>
                </c:pt>
                <c:pt idx="5">
                  <c:v>480</c:v>
                </c:pt>
                <c:pt idx="6">
                  <c:v>396</c:v>
                </c:pt>
                <c:pt idx="7">
                  <c:v>410</c:v>
                </c:pt>
                <c:pt idx="8">
                  <c:v>466</c:v>
                </c:pt>
                <c:pt idx="9">
                  <c:v>352</c:v>
                </c:pt>
                <c:pt idx="10">
                  <c:v>324</c:v>
                </c:pt>
                <c:pt idx="11">
                  <c:v>328</c:v>
                </c:pt>
                <c:pt idx="12">
                  <c:v>353</c:v>
                </c:pt>
                <c:pt idx="13">
                  <c:v>428</c:v>
                </c:pt>
                <c:pt idx="14">
                  <c:v>309</c:v>
                </c:pt>
                <c:pt idx="15">
                  <c:v>250</c:v>
                </c:pt>
                <c:pt idx="16">
                  <c:v>138</c:v>
                </c:pt>
                <c:pt idx="17">
                  <c:v>63</c:v>
                </c:pt>
                <c:pt idx="18">
                  <c:v>29</c:v>
                </c:pt>
                <c:pt idx="19">
                  <c:v>18</c:v>
                </c:pt>
                <c:pt idx="20">
                  <c:v>12</c:v>
                </c:pt>
                <c:pt idx="21">
                  <c:v>21</c:v>
                </c:pt>
                <c:pt idx="22">
                  <c:v>16</c:v>
                </c:pt>
                <c:pt idx="23">
                  <c:v>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'27.07 Lubiri-Ndeeba-24h'!$AF$9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Lubiri-Ndeeba-24h'!$R$10:$R$33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Lubiri-Ndeeba-24h'!$AF$10:$AF$33</c:f>
              <c:numCache>
                <c:formatCode>0</c:formatCode>
                <c:ptCount val="24"/>
                <c:pt idx="0">
                  <c:v>902</c:v>
                </c:pt>
                <c:pt idx="1">
                  <c:v>945</c:v>
                </c:pt>
                <c:pt idx="2">
                  <c:v>695</c:v>
                </c:pt>
                <c:pt idx="3">
                  <c:v>1519</c:v>
                </c:pt>
                <c:pt idx="4">
                  <c:v>1510</c:v>
                </c:pt>
                <c:pt idx="5">
                  <c:v>1738</c:v>
                </c:pt>
                <c:pt idx="6">
                  <c:v>1459</c:v>
                </c:pt>
                <c:pt idx="7">
                  <c:v>1326</c:v>
                </c:pt>
                <c:pt idx="8">
                  <c:v>1407</c:v>
                </c:pt>
                <c:pt idx="9">
                  <c:v>1382</c:v>
                </c:pt>
                <c:pt idx="10">
                  <c:v>1451</c:v>
                </c:pt>
                <c:pt idx="11">
                  <c:v>1321</c:v>
                </c:pt>
                <c:pt idx="12">
                  <c:v>699</c:v>
                </c:pt>
                <c:pt idx="13">
                  <c:v>912</c:v>
                </c:pt>
                <c:pt idx="14">
                  <c:v>578</c:v>
                </c:pt>
                <c:pt idx="15">
                  <c:v>463</c:v>
                </c:pt>
                <c:pt idx="16">
                  <c:v>266</c:v>
                </c:pt>
                <c:pt idx="17">
                  <c:v>154</c:v>
                </c:pt>
                <c:pt idx="18">
                  <c:v>74</c:v>
                </c:pt>
                <c:pt idx="19">
                  <c:v>35</c:v>
                </c:pt>
                <c:pt idx="20">
                  <c:v>35</c:v>
                </c:pt>
                <c:pt idx="21">
                  <c:v>60</c:v>
                </c:pt>
                <c:pt idx="22">
                  <c:v>73</c:v>
                </c:pt>
                <c:pt idx="23">
                  <c:v>132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045952"/>
        <c:axId val="486047040"/>
      </c:lineChart>
      <c:catAx>
        <c:axId val="486045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6047040"/>
        <c:crosses val="autoZero"/>
        <c:auto val="1"/>
        <c:lblAlgn val="ctr"/>
        <c:lblOffset val="100"/>
        <c:noMultiLvlLbl val="0"/>
      </c:catAx>
      <c:valAx>
        <c:axId val="4860470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604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Lubiri-Ndeeba-24h'!$C$9:$N$9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Lubiri-Ndeeba-24h'!$C$107:$N$107</c:f>
              <c:numCache>
                <c:formatCode>0.0%</c:formatCode>
                <c:ptCount val="12"/>
                <c:pt idx="0">
                  <c:v>0.1827445652173913</c:v>
                </c:pt>
                <c:pt idx="1">
                  <c:v>3.9297658862876256E-2</c:v>
                </c:pt>
                <c:pt idx="2">
                  <c:v>2.639005016722408E-2</c:v>
                </c:pt>
                <c:pt idx="3">
                  <c:v>5.98871237458194E-2</c:v>
                </c:pt>
                <c:pt idx="4">
                  <c:v>3.5535117056856185E-3</c:v>
                </c:pt>
                <c:pt idx="5">
                  <c:v>3.6580267558528425E-4</c:v>
                </c:pt>
                <c:pt idx="6">
                  <c:v>1.69314381270903E-2</c:v>
                </c:pt>
                <c:pt idx="7">
                  <c:v>4.4418896321070231E-3</c:v>
                </c:pt>
                <c:pt idx="8">
                  <c:v>1.6199832775919732E-3</c:v>
                </c:pt>
                <c:pt idx="9">
                  <c:v>7.8386287625418062E-4</c:v>
                </c:pt>
                <c:pt idx="10">
                  <c:v>0.66387959866220736</c:v>
                </c:pt>
                <c:pt idx="11">
                  <c:v>1.0451505016722408E-4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Lubiri-Ndeeba-24h'!$C$9:$N$9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Lubiri-Ndeeba-24h'!$C$108:$N$108</c:f>
              <c:numCache>
                <c:formatCode>0.00%</c:formatCode>
                <c:ptCount val="12"/>
                <c:pt idx="0">
                  <c:v>0.54368781094527363</c:v>
                </c:pt>
                <c:pt idx="1">
                  <c:v>0.11691542288557213</c:v>
                </c:pt>
                <c:pt idx="2">
                  <c:v>7.8513681592039808E-2</c:v>
                </c:pt>
                <c:pt idx="3">
                  <c:v>0.17817164179104478</c:v>
                </c:pt>
                <c:pt idx="4">
                  <c:v>1.0572139303482588E-2</c:v>
                </c:pt>
                <c:pt idx="5">
                  <c:v>1.0883084577114428E-3</c:v>
                </c:pt>
                <c:pt idx="6">
                  <c:v>5.0373134328358209E-2</c:v>
                </c:pt>
                <c:pt idx="7">
                  <c:v>1.3215174129353234E-2</c:v>
                </c:pt>
                <c:pt idx="8">
                  <c:v>4.8196517412935321E-3</c:v>
                </c:pt>
                <c:pt idx="9">
                  <c:v>2.3320895522388058E-3</c:v>
                </c:pt>
                <c:pt idx="11">
                  <c:v>3.1094527363184079E-4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Ndeeba-Lubiri-24h'!$AE$9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Ndeeba-Lubiri-24h'!$R$10:$R$33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Ndeeba-Lubiri-24h'!$AE$10:$AE$33</c:f>
              <c:numCache>
                <c:formatCode>0</c:formatCode>
                <c:ptCount val="24"/>
                <c:pt idx="0">
                  <c:v>716</c:v>
                </c:pt>
                <c:pt idx="1">
                  <c:v>750</c:v>
                </c:pt>
                <c:pt idx="2">
                  <c:v>804</c:v>
                </c:pt>
                <c:pt idx="3">
                  <c:v>883</c:v>
                </c:pt>
                <c:pt idx="4">
                  <c:v>773</c:v>
                </c:pt>
                <c:pt idx="5">
                  <c:v>795</c:v>
                </c:pt>
                <c:pt idx="6">
                  <c:v>852</c:v>
                </c:pt>
                <c:pt idx="7">
                  <c:v>766</c:v>
                </c:pt>
                <c:pt idx="8">
                  <c:v>663</c:v>
                </c:pt>
                <c:pt idx="9">
                  <c:v>696</c:v>
                </c:pt>
                <c:pt idx="10">
                  <c:v>809</c:v>
                </c:pt>
                <c:pt idx="11">
                  <c:v>768</c:v>
                </c:pt>
                <c:pt idx="12">
                  <c:v>462</c:v>
                </c:pt>
                <c:pt idx="13">
                  <c:v>453</c:v>
                </c:pt>
                <c:pt idx="14">
                  <c:v>358</c:v>
                </c:pt>
                <c:pt idx="15">
                  <c:v>222</c:v>
                </c:pt>
                <c:pt idx="16">
                  <c:v>116</c:v>
                </c:pt>
                <c:pt idx="17">
                  <c:v>95</c:v>
                </c:pt>
                <c:pt idx="18">
                  <c:v>32</c:v>
                </c:pt>
                <c:pt idx="19">
                  <c:v>32</c:v>
                </c:pt>
                <c:pt idx="20">
                  <c:v>23</c:v>
                </c:pt>
                <c:pt idx="21">
                  <c:v>21</c:v>
                </c:pt>
                <c:pt idx="22">
                  <c:v>19</c:v>
                </c:pt>
                <c:pt idx="23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'27.07 Ndeeba-Lubiri-24h'!$AF$9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Ndeeba-Lubiri-24h'!$R$10:$R$33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Ndeeba-Lubiri-24h'!$AF$10:$AF$33</c:f>
              <c:numCache>
                <c:formatCode>0</c:formatCode>
                <c:ptCount val="24"/>
                <c:pt idx="0">
                  <c:v>1189</c:v>
                </c:pt>
                <c:pt idx="1">
                  <c:v>1445</c:v>
                </c:pt>
                <c:pt idx="2">
                  <c:v>1749</c:v>
                </c:pt>
                <c:pt idx="3">
                  <c:v>1818</c:v>
                </c:pt>
                <c:pt idx="4">
                  <c:v>1638</c:v>
                </c:pt>
                <c:pt idx="5">
                  <c:v>1810</c:v>
                </c:pt>
                <c:pt idx="6">
                  <c:v>1667</c:v>
                </c:pt>
                <c:pt idx="7">
                  <c:v>1341</c:v>
                </c:pt>
                <c:pt idx="8">
                  <c:v>1340</c:v>
                </c:pt>
                <c:pt idx="9">
                  <c:v>1415</c:v>
                </c:pt>
                <c:pt idx="10">
                  <c:v>1499</c:v>
                </c:pt>
                <c:pt idx="11">
                  <c:v>1443</c:v>
                </c:pt>
                <c:pt idx="12">
                  <c:v>1032</c:v>
                </c:pt>
                <c:pt idx="13">
                  <c:v>923</c:v>
                </c:pt>
                <c:pt idx="14">
                  <c:v>718</c:v>
                </c:pt>
                <c:pt idx="15">
                  <c:v>490</c:v>
                </c:pt>
                <c:pt idx="16">
                  <c:v>372</c:v>
                </c:pt>
                <c:pt idx="17">
                  <c:v>219</c:v>
                </c:pt>
                <c:pt idx="18">
                  <c:v>107</c:v>
                </c:pt>
                <c:pt idx="19">
                  <c:v>98</c:v>
                </c:pt>
                <c:pt idx="20">
                  <c:v>60</c:v>
                </c:pt>
                <c:pt idx="21">
                  <c:v>63</c:v>
                </c:pt>
                <c:pt idx="22">
                  <c:v>77</c:v>
                </c:pt>
                <c:pt idx="23">
                  <c:v>139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038880"/>
        <c:axId val="486779968"/>
      </c:lineChart>
      <c:catAx>
        <c:axId val="4860388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6779968"/>
        <c:crosses val="autoZero"/>
        <c:auto val="1"/>
        <c:lblAlgn val="ctr"/>
        <c:lblOffset val="100"/>
        <c:noMultiLvlLbl val="0"/>
      </c:catAx>
      <c:valAx>
        <c:axId val="486779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603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Ndeeba-Lubiri-24h'!$C$9:$N$9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Ndeeba-Lubiri-24h'!$C$107:$N$107</c:f>
              <c:numCache>
                <c:formatCode>0.0%</c:formatCode>
                <c:ptCount val="12"/>
                <c:pt idx="0">
                  <c:v>0.3118488433692389</c:v>
                </c:pt>
                <c:pt idx="1">
                  <c:v>5.1651068338336568E-2</c:v>
                </c:pt>
                <c:pt idx="2">
                  <c:v>2.6222850079463181E-2</c:v>
                </c:pt>
                <c:pt idx="3">
                  <c:v>6.8382482782977219E-2</c:v>
                </c:pt>
                <c:pt idx="4">
                  <c:v>1.9424333392194949E-3</c:v>
                </c:pt>
                <c:pt idx="5">
                  <c:v>2.9577962210842312E-3</c:v>
                </c:pt>
                <c:pt idx="6">
                  <c:v>1.4700688680911178E-2</c:v>
                </c:pt>
                <c:pt idx="7">
                  <c:v>9.9770439696274058E-3</c:v>
                </c:pt>
                <c:pt idx="8">
                  <c:v>2.9136500088292423E-3</c:v>
                </c:pt>
                <c:pt idx="9">
                  <c:v>1.8099947024545293E-3</c:v>
                </c:pt>
                <c:pt idx="10">
                  <c:v>0.50754900229560307</c:v>
                </c:pt>
                <c:pt idx="11">
                  <c:v>4.4146212254988522E-5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Ndeeba-Lubiri-24h'!$C$9:$N$9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Ndeeba-Lubiri-24h'!$C$108:$N$108</c:f>
              <c:numCache>
                <c:formatCode>0.00%</c:formatCode>
                <c:ptCount val="12"/>
                <c:pt idx="0">
                  <c:v>0.63325862841774994</c:v>
                </c:pt>
                <c:pt idx="1">
                  <c:v>0.10488570147915732</c:v>
                </c:pt>
                <c:pt idx="2">
                  <c:v>5.3249663827879871E-2</c:v>
                </c:pt>
                <c:pt idx="3">
                  <c:v>0.1388614970865083</c:v>
                </c:pt>
                <c:pt idx="4">
                  <c:v>3.9444195428059168E-3</c:v>
                </c:pt>
                <c:pt idx="5">
                  <c:v>6.0062752129090092E-3</c:v>
                </c:pt>
                <c:pt idx="6">
                  <c:v>2.9852084267144779E-2</c:v>
                </c:pt>
                <c:pt idx="7">
                  <c:v>2.025997310623039E-2</c:v>
                </c:pt>
                <c:pt idx="8">
                  <c:v>5.9166293142088747E-3</c:v>
                </c:pt>
                <c:pt idx="9">
                  <c:v>3.6754818467055134E-3</c:v>
                </c:pt>
                <c:pt idx="11">
                  <c:v>8.9645898700134466E-5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8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Lubiri-Ndeeba'!$AE$9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Lubiri-Ndeeba'!$R$10:$R$21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Lubiri-Ndeeba'!$AE$10:$AE$21</c:f>
              <c:numCache>
                <c:formatCode>0</c:formatCode>
                <c:ptCount val="12"/>
                <c:pt idx="0">
                  <c:v>81</c:v>
                </c:pt>
                <c:pt idx="1">
                  <c:v>115</c:v>
                </c:pt>
                <c:pt idx="2">
                  <c:v>179</c:v>
                </c:pt>
                <c:pt idx="3">
                  <c:v>237</c:v>
                </c:pt>
                <c:pt idx="4">
                  <c:v>283</c:v>
                </c:pt>
                <c:pt idx="5">
                  <c:v>262</c:v>
                </c:pt>
                <c:pt idx="6">
                  <c:v>263</c:v>
                </c:pt>
                <c:pt idx="7">
                  <c:v>269</c:v>
                </c:pt>
                <c:pt idx="8">
                  <c:v>241</c:v>
                </c:pt>
                <c:pt idx="9">
                  <c:v>219</c:v>
                </c:pt>
                <c:pt idx="10">
                  <c:v>287</c:v>
                </c:pt>
                <c:pt idx="11">
                  <c:v>258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'28.07 Lubiri-Ndeeba'!$AF$9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Lubiri-Ndeeba'!$R$10:$R$21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Lubiri-Ndeeba'!$AF$10:$AF$21</c:f>
              <c:numCache>
                <c:formatCode>0</c:formatCode>
                <c:ptCount val="12"/>
                <c:pt idx="0">
                  <c:v>294</c:v>
                </c:pt>
                <c:pt idx="1">
                  <c:v>495</c:v>
                </c:pt>
                <c:pt idx="2">
                  <c:v>761</c:v>
                </c:pt>
                <c:pt idx="3">
                  <c:v>867</c:v>
                </c:pt>
                <c:pt idx="4">
                  <c:v>1008</c:v>
                </c:pt>
                <c:pt idx="5">
                  <c:v>822</c:v>
                </c:pt>
                <c:pt idx="6">
                  <c:v>828</c:v>
                </c:pt>
                <c:pt idx="7">
                  <c:v>769</c:v>
                </c:pt>
                <c:pt idx="8">
                  <c:v>841</c:v>
                </c:pt>
                <c:pt idx="9">
                  <c:v>899</c:v>
                </c:pt>
                <c:pt idx="10">
                  <c:v>922</c:v>
                </c:pt>
                <c:pt idx="11">
                  <c:v>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775616"/>
        <c:axId val="486774528"/>
      </c:lineChart>
      <c:catAx>
        <c:axId val="4867756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6774528"/>
        <c:crosses val="autoZero"/>
        <c:auto val="1"/>
        <c:lblAlgn val="ctr"/>
        <c:lblOffset val="100"/>
        <c:noMultiLvlLbl val="0"/>
      </c:catAx>
      <c:valAx>
        <c:axId val="486774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677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Lubiri-Ndeeba'!$C$9:$N$9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Lubiri-Ndeeba'!$C$59:$N$59</c:f>
              <c:numCache>
                <c:formatCode>0.0%</c:formatCode>
                <c:ptCount val="12"/>
                <c:pt idx="0">
                  <c:v>0.16698903932946485</c:v>
                </c:pt>
                <c:pt idx="1">
                  <c:v>2.3748119492800344E-2</c:v>
                </c:pt>
                <c:pt idx="2">
                  <c:v>1.1283043197936816E-2</c:v>
                </c:pt>
                <c:pt idx="3">
                  <c:v>4.8033526756931011E-2</c:v>
                </c:pt>
                <c:pt idx="4">
                  <c:v>9.6711798839458415E-4</c:v>
                </c:pt>
                <c:pt idx="5">
                  <c:v>2.149151085321298E-4</c:v>
                </c:pt>
                <c:pt idx="6">
                  <c:v>2.0416935310552331E-2</c:v>
                </c:pt>
                <c:pt idx="7">
                  <c:v>1.4506769825918761E-2</c:v>
                </c:pt>
                <c:pt idx="8">
                  <c:v>1.6118633139909735E-3</c:v>
                </c:pt>
                <c:pt idx="9">
                  <c:v>1.6118633139909735E-3</c:v>
                </c:pt>
                <c:pt idx="10">
                  <c:v>0.71050934880722116</c:v>
                </c:pt>
                <c:pt idx="11">
                  <c:v>1.074575542660649E-4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54"/>
          <c:y val="2.29602266373237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Lubiri-Ndeeba'!$S$9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Lubiri-Ndeeba'!$R$10:$R$21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Lubiri-Ndeeba'!$S$10:$S$21</c:f>
              <c:numCache>
                <c:formatCode>0</c:formatCode>
                <c:ptCount val="12"/>
                <c:pt idx="0">
                  <c:v>30</c:v>
                </c:pt>
                <c:pt idx="1">
                  <c:v>39</c:v>
                </c:pt>
                <c:pt idx="2">
                  <c:v>84</c:v>
                </c:pt>
                <c:pt idx="3">
                  <c:v>141</c:v>
                </c:pt>
                <c:pt idx="4">
                  <c:v>151</c:v>
                </c:pt>
                <c:pt idx="5">
                  <c:v>144</c:v>
                </c:pt>
                <c:pt idx="6">
                  <c:v>174</c:v>
                </c:pt>
                <c:pt idx="7">
                  <c:v>162</c:v>
                </c:pt>
                <c:pt idx="8">
                  <c:v>151</c:v>
                </c:pt>
                <c:pt idx="9">
                  <c:v>131</c:v>
                </c:pt>
                <c:pt idx="10">
                  <c:v>203</c:v>
                </c:pt>
                <c:pt idx="11">
                  <c:v>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'28.07 Lubiri-Ndeeba'!$T$9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Lubiri-Ndeeba'!$R$10:$R$21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Lubiri-Ndeeba'!$T$10:$T$21</c:f>
              <c:numCache>
                <c:formatCode>0</c:formatCode>
                <c:ptCount val="12"/>
                <c:pt idx="0">
                  <c:v>5</c:v>
                </c:pt>
                <c:pt idx="1">
                  <c:v>11</c:v>
                </c:pt>
                <c:pt idx="2">
                  <c:v>22</c:v>
                </c:pt>
                <c:pt idx="3">
                  <c:v>20</c:v>
                </c:pt>
                <c:pt idx="4">
                  <c:v>25</c:v>
                </c:pt>
                <c:pt idx="5">
                  <c:v>23</c:v>
                </c:pt>
                <c:pt idx="6">
                  <c:v>17</c:v>
                </c:pt>
                <c:pt idx="7">
                  <c:v>25</c:v>
                </c:pt>
                <c:pt idx="8">
                  <c:v>18</c:v>
                </c:pt>
                <c:pt idx="9">
                  <c:v>17</c:v>
                </c:pt>
                <c:pt idx="10">
                  <c:v>21</c:v>
                </c:pt>
                <c:pt idx="11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'28.07 Lubiri-Ndeeba'!$U$9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Lubiri-Ndeeba'!$U$10:$U$21</c:f>
              <c:numCache>
                <c:formatCode>0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11</c:v>
                </c:pt>
                <c:pt idx="4">
                  <c:v>11</c:v>
                </c:pt>
                <c:pt idx="5">
                  <c:v>12</c:v>
                </c:pt>
                <c:pt idx="6">
                  <c:v>7</c:v>
                </c:pt>
                <c:pt idx="7">
                  <c:v>9</c:v>
                </c:pt>
                <c:pt idx="8">
                  <c:v>8</c:v>
                </c:pt>
                <c:pt idx="9">
                  <c:v>10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'28.07 Lubiri-Ndeeba'!$V$9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Lubiri-Ndeeba'!$V$10:$V$21</c:f>
              <c:numCache>
                <c:formatCode>0</c:formatCode>
                <c:ptCount val="12"/>
                <c:pt idx="0">
                  <c:v>26</c:v>
                </c:pt>
                <c:pt idx="1">
                  <c:v>29</c:v>
                </c:pt>
                <c:pt idx="2">
                  <c:v>35</c:v>
                </c:pt>
                <c:pt idx="3">
                  <c:v>40</c:v>
                </c:pt>
                <c:pt idx="4">
                  <c:v>44</c:v>
                </c:pt>
                <c:pt idx="5">
                  <c:v>43</c:v>
                </c:pt>
                <c:pt idx="6">
                  <c:v>36</c:v>
                </c:pt>
                <c:pt idx="7">
                  <c:v>44</c:v>
                </c:pt>
                <c:pt idx="8">
                  <c:v>37</c:v>
                </c:pt>
                <c:pt idx="9">
                  <c:v>32</c:v>
                </c:pt>
                <c:pt idx="10">
                  <c:v>22</c:v>
                </c:pt>
                <c:pt idx="11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'28.07 Lubiri-Ndeeba'!$W$9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Lubiri-Ndeeba'!$W$10:$W$21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'28.07 Lubiri-Ndeeba'!$X$9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Lubiri-Ndeeba'!$X$10:$X$21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'28.07 Lubiri-Ndeeba'!$Y$9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Lubiri-Ndeeba'!$Y$10:$Y$21</c:f>
              <c:numCache>
                <c:formatCode>0</c:formatCode>
                <c:ptCount val="12"/>
                <c:pt idx="0">
                  <c:v>5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29</c:v>
                </c:pt>
                <c:pt idx="5">
                  <c:v>22</c:v>
                </c:pt>
                <c:pt idx="6">
                  <c:v>14</c:v>
                </c:pt>
                <c:pt idx="7">
                  <c:v>18</c:v>
                </c:pt>
                <c:pt idx="8">
                  <c:v>13</c:v>
                </c:pt>
                <c:pt idx="9">
                  <c:v>12</c:v>
                </c:pt>
                <c:pt idx="10">
                  <c:v>19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'28.07 Lubiri-Ndeeba'!$Z$9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Lubiri-Ndeeba'!$Z$10:$Z$21</c:f>
              <c:numCache>
                <c:formatCode>0</c:formatCode>
                <c:ptCount val="12"/>
                <c:pt idx="0">
                  <c:v>10</c:v>
                </c:pt>
                <c:pt idx="1">
                  <c:v>14</c:v>
                </c:pt>
                <c:pt idx="2">
                  <c:v>15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13</c:v>
                </c:pt>
                <c:pt idx="7">
                  <c:v>7</c:v>
                </c:pt>
                <c:pt idx="8">
                  <c:v>11</c:v>
                </c:pt>
                <c:pt idx="9">
                  <c:v>10</c:v>
                </c:pt>
                <c:pt idx="10">
                  <c:v>13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'28.07 Lubiri-Ndeeba'!$AA$9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Lubiri-Ndeeba'!$AA$10:$AA$21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'28.07 Lubiri-Ndeeba'!$AB$9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Lubiri-Ndeeba'!$AB$10:$AB$21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6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'28.07 Lubiri-Ndeeba'!$AC$9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Lubiri-Ndeeba'!$AC$10:$AC$21</c:f>
              <c:numCache>
                <c:formatCode>0</c:formatCode>
                <c:ptCount val="12"/>
                <c:pt idx="0">
                  <c:v>213</c:v>
                </c:pt>
                <c:pt idx="1">
                  <c:v>380</c:v>
                </c:pt>
                <c:pt idx="2">
                  <c:v>582</c:v>
                </c:pt>
                <c:pt idx="3">
                  <c:v>630</c:v>
                </c:pt>
                <c:pt idx="4">
                  <c:v>725</c:v>
                </c:pt>
                <c:pt idx="5">
                  <c:v>560</c:v>
                </c:pt>
                <c:pt idx="6">
                  <c:v>565</c:v>
                </c:pt>
                <c:pt idx="7">
                  <c:v>500</c:v>
                </c:pt>
                <c:pt idx="8">
                  <c:v>600</c:v>
                </c:pt>
                <c:pt idx="9">
                  <c:v>680</c:v>
                </c:pt>
                <c:pt idx="10">
                  <c:v>635</c:v>
                </c:pt>
                <c:pt idx="11">
                  <c:v>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'28.07 Lubiri-Ndeeba'!$AD$9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Lubiri-Ndeeba'!$AD$10:$AD$21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773440"/>
        <c:axId val="486773984"/>
      </c:lineChart>
      <c:catAx>
        <c:axId val="48677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6773984"/>
        <c:crosses val="autoZero"/>
        <c:auto val="1"/>
        <c:lblAlgn val="ctr"/>
        <c:lblOffset val="100"/>
        <c:noMultiLvlLbl val="0"/>
      </c:catAx>
      <c:valAx>
        <c:axId val="48677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677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Lubiri-Ndeeba'!$C$9:$N$9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Lubiri-Ndeeba'!$C$60:$N$60</c:f>
              <c:numCache>
                <c:formatCode>0.00%</c:formatCode>
                <c:ptCount val="12"/>
                <c:pt idx="0">
                  <c:v>0.57683741648106901</c:v>
                </c:pt>
                <c:pt idx="1">
                  <c:v>8.203414996288047E-2</c:v>
                </c:pt>
                <c:pt idx="2">
                  <c:v>3.8975501113585748E-2</c:v>
                </c:pt>
                <c:pt idx="3">
                  <c:v>0.16592427616926503</c:v>
                </c:pt>
                <c:pt idx="4">
                  <c:v>3.3407572383073497E-3</c:v>
                </c:pt>
                <c:pt idx="5">
                  <c:v>7.4239049740163323E-4</c:v>
                </c:pt>
                <c:pt idx="6">
                  <c:v>7.052709725315516E-2</c:v>
                </c:pt>
                <c:pt idx="7">
                  <c:v>5.0111358574610243E-2</c:v>
                </c:pt>
                <c:pt idx="8">
                  <c:v>5.5679287305122494E-3</c:v>
                </c:pt>
                <c:pt idx="9">
                  <c:v>5.5679287305122494E-3</c:v>
                </c:pt>
                <c:pt idx="11">
                  <c:v>3.7119524870081661E-4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8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Ndeeba-Lubiri'!$AE$9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Ndeeba-Lubiri'!$R$10:$R$21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Ndeeba-Lubiri'!$AE$10:$AE$21</c:f>
              <c:numCache>
                <c:formatCode>0</c:formatCode>
                <c:ptCount val="12"/>
                <c:pt idx="0">
                  <c:v>133</c:v>
                </c:pt>
                <c:pt idx="1">
                  <c:v>291</c:v>
                </c:pt>
                <c:pt idx="2">
                  <c:v>347</c:v>
                </c:pt>
                <c:pt idx="3">
                  <c:v>484</c:v>
                </c:pt>
                <c:pt idx="4">
                  <c:v>513</c:v>
                </c:pt>
                <c:pt idx="5">
                  <c:v>422</c:v>
                </c:pt>
                <c:pt idx="6">
                  <c:v>432</c:v>
                </c:pt>
                <c:pt idx="7">
                  <c:v>522</c:v>
                </c:pt>
                <c:pt idx="8">
                  <c:v>424</c:v>
                </c:pt>
                <c:pt idx="9">
                  <c:v>458</c:v>
                </c:pt>
                <c:pt idx="10">
                  <c:v>353</c:v>
                </c:pt>
                <c:pt idx="11">
                  <c:v>419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'28.07 Ndeeba-Lubiri'!$AF$9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Ndeeba-Lubiri'!$R$10:$R$21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Ndeeba-Lubiri'!$AF$10:$AF$21</c:f>
              <c:numCache>
                <c:formatCode>0</c:formatCode>
                <c:ptCount val="12"/>
                <c:pt idx="0">
                  <c:v>399</c:v>
                </c:pt>
                <c:pt idx="1">
                  <c:v>791</c:v>
                </c:pt>
                <c:pt idx="2">
                  <c:v>962</c:v>
                </c:pt>
                <c:pt idx="3">
                  <c:v>1359</c:v>
                </c:pt>
                <c:pt idx="4">
                  <c:v>1128</c:v>
                </c:pt>
                <c:pt idx="5">
                  <c:v>1107</c:v>
                </c:pt>
                <c:pt idx="6">
                  <c:v>1137</c:v>
                </c:pt>
                <c:pt idx="7">
                  <c:v>1297</c:v>
                </c:pt>
                <c:pt idx="8">
                  <c:v>994</c:v>
                </c:pt>
                <c:pt idx="9">
                  <c:v>1168</c:v>
                </c:pt>
                <c:pt idx="10">
                  <c:v>1013</c:v>
                </c:pt>
                <c:pt idx="11">
                  <c:v>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768544"/>
        <c:axId val="486764736"/>
      </c:lineChart>
      <c:catAx>
        <c:axId val="4867685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6764736"/>
        <c:crosses val="autoZero"/>
        <c:auto val="1"/>
        <c:lblAlgn val="ctr"/>
        <c:lblOffset val="100"/>
        <c:noMultiLvlLbl val="0"/>
      </c:catAx>
      <c:valAx>
        <c:axId val="486764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676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Ndeeba-Lubiri'!$C$9:$N$9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Ndeeba-Lubiri'!$C$59:$N$59</c:f>
              <c:numCache>
                <c:formatCode>0.0%</c:formatCode>
                <c:ptCount val="12"/>
                <c:pt idx="0">
                  <c:v>0.31398737251092762</c:v>
                </c:pt>
                <c:pt idx="1">
                  <c:v>2.3797960174842158E-2</c:v>
                </c:pt>
                <c:pt idx="2">
                  <c:v>1.7079488424801684E-2</c:v>
                </c:pt>
                <c:pt idx="3">
                  <c:v>1.3679779828395661E-2</c:v>
                </c:pt>
                <c:pt idx="4">
                  <c:v>7.2850898494414762E-4</c:v>
                </c:pt>
                <c:pt idx="5">
                  <c:v>8.0945442771571965E-4</c:v>
                </c:pt>
                <c:pt idx="6">
                  <c:v>9.7134531325886349E-3</c:v>
                </c:pt>
                <c:pt idx="7">
                  <c:v>6.3946899789541845E-3</c:v>
                </c:pt>
                <c:pt idx="8">
                  <c:v>9.7134531325886349E-4</c:v>
                </c:pt>
                <c:pt idx="9">
                  <c:v>1.2141816415735794E-3</c:v>
                </c:pt>
                <c:pt idx="10">
                  <c:v>0.61162376558199771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54"/>
          <c:y val="2.29602266373237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Ndeeba-Lubiri'!$S$9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Ndeeba-Lubiri'!$R$10:$R$21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Ndeeba-Lubiri'!$S$10:$S$21</c:f>
              <c:numCache>
                <c:formatCode>0</c:formatCode>
                <c:ptCount val="12"/>
                <c:pt idx="0">
                  <c:v>92</c:v>
                </c:pt>
                <c:pt idx="1">
                  <c:v>231</c:v>
                </c:pt>
                <c:pt idx="2">
                  <c:v>275</c:v>
                </c:pt>
                <c:pt idx="3">
                  <c:v>406</c:v>
                </c:pt>
                <c:pt idx="4">
                  <c:v>385</c:v>
                </c:pt>
                <c:pt idx="5">
                  <c:v>336</c:v>
                </c:pt>
                <c:pt idx="6">
                  <c:v>383</c:v>
                </c:pt>
                <c:pt idx="7">
                  <c:v>455</c:v>
                </c:pt>
                <c:pt idx="8">
                  <c:v>345</c:v>
                </c:pt>
                <c:pt idx="9">
                  <c:v>370</c:v>
                </c:pt>
                <c:pt idx="10">
                  <c:v>280</c:v>
                </c:pt>
                <c:pt idx="11">
                  <c:v>321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'28.07 Ndeeba-Lubiri'!$T$9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Ndeeba-Lubiri'!$R$10:$R$21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Ndeeba-Lubiri'!$T$10:$T$21</c:f>
              <c:numCache>
                <c:formatCode>0</c:formatCode>
                <c:ptCount val="12"/>
                <c:pt idx="0">
                  <c:v>6</c:v>
                </c:pt>
                <c:pt idx="1">
                  <c:v>14</c:v>
                </c:pt>
                <c:pt idx="2">
                  <c:v>22</c:v>
                </c:pt>
                <c:pt idx="3">
                  <c:v>15</c:v>
                </c:pt>
                <c:pt idx="4">
                  <c:v>63</c:v>
                </c:pt>
                <c:pt idx="5">
                  <c:v>27</c:v>
                </c:pt>
                <c:pt idx="6">
                  <c:v>19</c:v>
                </c:pt>
                <c:pt idx="7">
                  <c:v>23</c:v>
                </c:pt>
                <c:pt idx="8">
                  <c:v>28</c:v>
                </c:pt>
                <c:pt idx="9">
                  <c:v>25</c:v>
                </c:pt>
                <c:pt idx="10">
                  <c:v>26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'28.07 Ndeeba-Lubiri'!$U$9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Ndeeba-Lubiri'!$U$10:$U$21</c:f>
              <c:numCache>
                <c:formatCode>0</c:formatCode>
                <c:ptCount val="12"/>
                <c:pt idx="0">
                  <c:v>11</c:v>
                </c:pt>
                <c:pt idx="1">
                  <c:v>17</c:v>
                </c:pt>
                <c:pt idx="2">
                  <c:v>19</c:v>
                </c:pt>
                <c:pt idx="3">
                  <c:v>18</c:v>
                </c:pt>
                <c:pt idx="4">
                  <c:v>21</c:v>
                </c:pt>
                <c:pt idx="5">
                  <c:v>15</c:v>
                </c:pt>
                <c:pt idx="6">
                  <c:v>9</c:v>
                </c:pt>
                <c:pt idx="7">
                  <c:v>18</c:v>
                </c:pt>
                <c:pt idx="8">
                  <c:v>16</c:v>
                </c:pt>
                <c:pt idx="9">
                  <c:v>23</c:v>
                </c:pt>
                <c:pt idx="10">
                  <c:v>16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'28.07 Ndeeba-Lubiri'!$V$9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Ndeeba-Lubiri'!$V$10:$V$21</c:f>
              <c:numCache>
                <c:formatCode>0</c:formatCode>
                <c:ptCount val="12"/>
                <c:pt idx="0">
                  <c:v>6</c:v>
                </c:pt>
                <c:pt idx="1">
                  <c:v>11</c:v>
                </c:pt>
                <c:pt idx="2">
                  <c:v>17</c:v>
                </c:pt>
                <c:pt idx="3">
                  <c:v>16</c:v>
                </c:pt>
                <c:pt idx="4">
                  <c:v>21</c:v>
                </c:pt>
                <c:pt idx="5">
                  <c:v>20</c:v>
                </c:pt>
                <c:pt idx="6">
                  <c:v>8</c:v>
                </c:pt>
                <c:pt idx="7">
                  <c:v>8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'28.07 Ndeeba-Lubiri'!$W$9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Ndeeba-Lubiri'!$W$10:$W$21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'28.07 Ndeeba-Lubiri'!$X$9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Ndeeba-Lubiri'!$X$10:$X$21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'28.07 Ndeeba-Lubiri'!$Y$9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Ndeeba-Lubiri'!$Y$10:$Y$21</c:f>
              <c:numCache>
                <c:formatCode>0</c:formatCode>
                <c:ptCount val="12"/>
                <c:pt idx="0">
                  <c:v>6</c:v>
                </c:pt>
                <c:pt idx="1">
                  <c:v>9</c:v>
                </c:pt>
                <c:pt idx="2">
                  <c:v>9</c:v>
                </c:pt>
                <c:pt idx="3">
                  <c:v>20</c:v>
                </c:pt>
                <c:pt idx="4">
                  <c:v>11</c:v>
                </c:pt>
                <c:pt idx="5">
                  <c:v>8</c:v>
                </c:pt>
                <c:pt idx="6">
                  <c:v>7</c:v>
                </c:pt>
                <c:pt idx="7">
                  <c:v>12</c:v>
                </c:pt>
                <c:pt idx="8">
                  <c:v>9</c:v>
                </c:pt>
                <c:pt idx="9">
                  <c:v>12</c:v>
                </c:pt>
                <c:pt idx="10">
                  <c:v>10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'28.07 Ndeeba-Lubiri'!$Z$9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Ndeeba-Lubiri'!$Z$10:$Z$21</c:f>
              <c:numCache>
                <c:formatCode>0</c:formatCode>
                <c:ptCount val="12"/>
                <c:pt idx="0">
                  <c:v>9</c:v>
                </c:pt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4">
                  <c:v>8</c:v>
                </c:pt>
                <c:pt idx="5">
                  <c:v>12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'28.07 Ndeeba-Lubiri'!$AA$9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Ndeeba-Lubiri'!$AA$10:$AA$21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'28.07 Ndeeba-Lubiri'!$AB$9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Ndeeba-Lubiri'!$AB$10:$AB$21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'28.07 Ndeeba-Lubiri'!$AC$9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Ndeeba-Lubiri'!$AC$10:$AC$21</c:f>
              <c:numCache>
                <c:formatCode>0</c:formatCode>
                <c:ptCount val="12"/>
                <c:pt idx="0">
                  <c:v>266</c:v>
                </c:pt>
                <c:pt idx="1">
                  <c:v>500</c:v>
                </c:pt>
                <c:pt idx="2">
                  <c:v>615</c:v>
                </c:pt>
                <c:pt idx="3">
                  <c:v>875</c:v>
                </c:pt>
                <c:pt idx="4">
                  <c:v>615</c:v>
                </c:pt>
                <c:pt idx="5">
                  <c:v>685</c:v>
                </c:pt>
                <c:pt idx="6">
                  <c:v>705</c:v>
                </c:pt>
                <c:pt idx="7">
                  <c:v>775</c:v>
                </c:pt>
                <c:pt idx="8">
                  <c:v>570</c:v>
                </c:pt>
                <c:pt idx="9">
                  <c:v>710</c:v>
                </c:pt>
                <c:pt idx="10">
                  <c:v>660</c:v>
                </c:pt>
                <c:pt idx="11">
                  <c:v>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'28.07 Ndeeba-Lubiri'!$AD$9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Ndeeba-Lubiri'!$AD$10:$AD$21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770176"/>
        <c:axId val="486770720"/>
      </c:lineChart>
      <c:catAx>
        <c:axId val="48677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6770720"/>
        <c:crosses val="autoZero"/>
        <c:auto val="1"/>
        <c:lblAlgn val="ctr"/>
        <c:lblOffset val="100"/>
        <c:noMultiLvlLbl val="0"/>
      </c:catAx>
      <c:valAx>
        <c:axId val="48677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677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Ndeeba-Lubiri'!$C$9:$N$9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Ndeeba-Lubiri'!$C$60:$N$60</c:f>
              <c:numCache>
                <c:formatCode>0.00%</c:formatCode>
                <c:ptCount val="12"/>
                <c:pt idx="0">
                  <c:v>0.80846185910796164</c:v>
                </c:pt>
                <c:pt idx="1">
                  <c:v>6.1275531471446439E-2</c:v>
                </c:pt>
                <c:pt idx="2">
                  <c:v>4.397665694039183E-2</c:v>
                </c:pt>
                <c:pt idx="3">
                  <c:v>3.5223009587328054E-2</c:v>
                </c:pt>
                <c:pt idx="4">
                  <c:v>1.8757815756565235E-3</c:v>
                </c:pt>
                <c:pt idx="5">
                  <c:v>2.0842017507294707E-3</c:v>
                </c:pt>
                <c:pt idx="6">
                  <c:v>2.5010421008753649E-2</c:v>
                </c:pt>
                <c:pt idx="7">
                  <c:v>1.6465193830762819E-2</c:v>
                </c:pt>
                <c:pt idx="8">
                  <c:v>2.5010421008753647E-3</c:v>
                </c:pt>
                <c:pt idx="9">
                  <c:v>3.1263026260942061E-3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8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Lubiri-Ndeeba'!$AE$9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Lubiri-Ndeeba'!$R$10:$R$33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Lubiri-Ndeeba'!$AE$10:$AE$33</c:f>
              <c:numCache>
                <c:formatCode>0</c:formatCode>
                <c:ptCount val="24"/>
                <c:pt idx="0">
                  <c:v>180</c:v>
                </c:pt>
                <c:pt idx="1">
                  <c:v>243.42857142857144</c:v>
                </c:pt>
                <c:pt idx="2">
                  <c:v>237.28571428571428</c:v>
                </c:pt>
                <c:pt idx="3">
                  <c:v>292.57142857142856</c:v>
                </c:pt>
                <c:pt idx="4">
                  <c:v>323.42857142857139</c:v>
                </c:pt>
                <c:pt idx="5">
                  <c:v>323.28571428571433</c:v>
                </c:pt>
                <c:pt idx="6">
                  <c:v>301.57142857142861</c:v>
                </c:pt>
                <c:pt idx="7">
                  <c:v>296.5714285714285</c:v>
                </c:pt>
                <c:pt idx="8">
                  <c:v>323.71428571428567</c:v>
                </c:pt>
                <c:pt idx="9">
                  <c:v>317.14285714285711</c:v>
                </c:pt>
                <c:pt idx="10">
                  <c:v>370.14285714285711</c:v>
                </c:pt>
                <c:pt idx="11">
                  <c:v>331.85714285714289</c:v>
                </c:pt>
                <c:pt idx="12">
                  <c:v>493.5</c:v>
                </c:pt>
                <c:pt idx="13">
                  <c:v>444.5</c:v>
                </c:pt>
                <c:pt idx="14">
                  <c:v>349.5</c:v>
                </c:pt>
                <c:pt idx="15">
                  <c:v>216</c:v>
                </c:pt>
                <c:pt idx="16">
                  <c:v>131</c:v>
                </c:pt>
                <c:pt idx="17">
                  <c:v>63.5</c:v>
                </c:pt>
                <c:pt idx="18">
                  <c:v>23.5</c:v>
                </c:pt>
                <c:pt idx="19">
                  <c:v>17.5</c:v>
                </c:pt>
                <c:pt idx="20">
                  <c:v>13</c:v>
                </c:pt>
                <c:pt idx="21">
                  <c:v>19.5</c:v>
                </c:pt>
                <c:pt idx="22">
                  <c:v>30</c:v>
                </c:pt>
                <c:pt idx="23">
                  <c:v>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Lubiri-Ndeeba'!$AF$9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Lubiri-Ndeeba'!$R$10:$R$33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Lubiri-Ndeeba'!$AF$10:$AF$33</c:f>
              <c:numCache>
                <c:formatCode>0</c:formatCode>
                <c:ptCount val="24"/>
                <c:pt idx="0">
                  <c:v>667.28571428571422</c:v>
                </c:pt>
                <c:pt idx="1">
                  <c:v>1079</c:v>
                </c:pt>
                <c:pt idx="2">
                  <c:v>1192.5714285714284</c:v>
                </c:pt>
                <c:pt idx="3">
                  <c:v>1244.5714285714287</c:v>
                </c:pt>
                <c:pt idx="4">
                  <c:v>1303</c:v>
                </c:pt>
                <c:pt idx="5">
                  <c:v>1362</c:v>
                </c:pt>
                <c:pt idx="6">
                  <c:v>1186.4285714285716</c:v>
                </c:pt>
                <c:pt idx="7">
                  <c:v>1072.5714285714287</c:v>
                </c:pt>
                <c:pt idx="8">
                  <c:v>1193.7142857142858</c:v>
                </c:pt>
                <c:pt idx="9">
                  <c:v>1242.8571428571429</c:v>
                </c:pt>
                <c:pt idx="10">
                  <c:v>1434.2857142857142</c:v>
                </c:pt>
                <c:pt idx="11">
                  <c:v>1223</c:v>
                </c:pt>
                <c:pt idx="12">
                  <c:v>1130.5</c:v>
                </c:pt>
                <c:pt idx="13">
                  <c:v>1191.5</c:v>
                </c:pt>
                <c:pt idx="14">
                  <c:v>756.5</c:v>
                </c:pt>
                <c:pt idx="15">
                  <c:v>419.5</c:v>
                </c:pt>
                <c:pt idx="16">
                  <c:v>268</c:v>
                </c:pt>
                <c:pt idx="17">
                  <c:v>135.5</c:v>
                </c:pt>
                <c:pt idx="18">
                  <c:v>56.5</c:v>
                </c:pt>
                <c:pt idx="19">
                  <c:v>34.5</c:v>
                </c:pt>
                <c:pt idx="20">
                  <c:v>28.5</c:v>
                </c:pt>
                <c:pt idx="21">
                  <c:v>50.5</c:v>
                </c:pt>
                <c:pt idx="22">
                  <c:v>69</c:v>
                </c:pt>
                <c:pt idx="23">
                  <c:v>158.5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124464"/>
        <c:axId val="490127728"/>
      </c:lineChart>
      <c:catAx>
        <c:axId val="4901244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0127728"/>
        <c:crosses val="autoZero"/>
        <c:auto val="1"/>
        <c:lblAlgn val="ctr"/>
        <c:lblOffset val="100"/>
        <c:noMultiLvlLbl val="0"/>
      </c:catAx>
      <c:valAx>
        <c:axId val="4901277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012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1615843474111184E-3"/>
          <c:y val="0.24803848483436605"/>
          <c:w val="0.82101228366016787"/>
          <c:h val="0.74460584035387301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Lubiri-Ndeeba'!$C$9:$N$9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Lubiri-Ndeeba'!$C$107:$N$107</c:f>
              <c:numCache>
                <c:formatCode>0.0%</c:formatCode>
                <c:ptCount val="12"/>
                <c:pt idx="0">
                  <c:v>0.15041466541057277</c:v>
                </c:pt>
                <c:pt idx="1">
                  <c:v>2.5254436224923165E-2</c:v>
                </c:pt>
                <c:pt idx="2">
                  <c:v>1.4980463622183434E-2</c:v>
                </c:pt>
                <c:pt idx="3">
                  <c:v>6.5624469120168019E-2</c:v>
                </c:pt>
                <c:pt idx="4">
                  <c:v>2.5791107473243651E-3</c:v>
                </c:pt>
                <c:pt idx="5">
                  <c:v>2.4323948664885475E-4</c:v>
                </c:pt>
                <c:pt idx="6">
                  <c:v>1.7571157202205367E-2</c:v>
                </c:pt>
                <c:pt idx="7">
                  <c:v>1.2521042146067239E-2</c:v>
                </c:pt>
                <c:pt idx="8">
                  <c:v>2.2084601010023009E-3</c:v>
                </c:pt>
                <c:pt idx="9">
                  <c:v>1.3925138865294225E-3</c:v>
                </c:pt>
                <c:pt idx="10">
                  <c:v>0.70705857824589569</c:v>
                </c:pt>
                <c:pt idx="11">
                  <c:v>1.5443776930086018E-4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460173529264258"/>
          <c:y val="0.24140291429639296"/>
          <c:w val="0.81894939565675295"/>
          <c:h val="0.75069063883129528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Lubiri-Ndeeba'!$C$9:$N$9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Lubiri-Ndeeba'!$C$108:$N$108</c:f>
              <c:numCache>
                <c:formatCode>0.00%</c:formatCode>
                <c:ptCount val="12"/>
                <c:pt idx="0">
                  <c:v>0.51346328733541569</c:v>
                </c:pt>
                <c:pt idx="1">
                  <c:v>8.6209850671516888E-2</c:v>
                </c:pt>
                <c:pt idx="2">
                  <c:v>5.1138086012151869E-2</c:v>
                </c:pt>
                <c:pt idx="3">
                  <c:v>0.22401908452282104</c:v>
                </c:pt>
                <c:pt idx="4">
                  <c:v>8.8041859422983131E-3</c:v>
                </c:pt>
                <c:pt idx="5">
                  <c:v>8.303349017437031E-4</c:v>
                </c:pt>
                <c:pt idx="6">
                  <c:v>5.9981811711676089E-2</c:v>
                </c:pt>
                <c:pt idx="7">
                  <c:v>4.2742477561187771E-2</c:v>
                </c:pt>
                <c:pt idx="8">
                  <c:v>7.5389137110698145E-3</c:v>
                </c:pt>
                <c:pt idx="9">
                  <c:v>4.75355747982374E-3</c:v>
                </c:pt>
                <c:pt idx="11">
                  <c:v>5.2719676301187499E-4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87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Ndeeba-Lubiri'!$AE$9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Ndeeba-Lubiri'!$R$10:$R$33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Ndeeba-Lubiri'!$AE$10:$AE$33</c:f>
              <c:numCache>
                <c:formatCode>0</c:formatCode>
                <c:ptCount val="24"/>
                <c:pt idx="0">
                  <c:v>695.99999999999989</c:v>
                </c:pt>
                <c:pt idx="1">
                  <c:v>641.14285714285722</c:v>
                </c:pt>
                <c:pt idx="2">
                  <c:v>583.57142857142856</c:v>
                </c:pt>
                <c:pt idx="3">
                  <c:v>530.42857142857144</c:v>
                </c:pt>
                <c:pt idx="4">
                  <c:v>513.71428571428567</c:v>
                </c:pt>
                <c:pt idx="5">
                  <c:v>464.71428571428572</c:v>
                </c:pt>
                <c:pt idx="6">
                  <c:v>438.14285714285711</c:v>
                </c:pt>
                <c:pt idx="7">
                  <c:v>430.28571428571428</c:v>
                </c:pt>
                <c:pt idx="8">
                  <c:v>416.57142857142856</c:v>
                </c:pt>
                <c:pt idx="9">
                  <c:v>441.71428571428572</c:v>
                </c:pt>
                <c:pt idx="10">
                  <c:v>495.57142857142856</c:v>
                </c:pt>
                <c:pt idx="11">
                  <c:v>548.28571428571422</c:v>
                </c:pt>
                <c:pt idx="12">
                  <c:v>450</c:v>
                </c:pt>
                <c:pt idx="13">
                  <c:v>462</c:v>
                </c:pt>
                <c:pt idx="14">
                  <c:v>376</c:v>
                </c:pt>
                <c:pt idx="15">
                  <c:v>171.5</c:v>
                </c:pt>
                <c:pt idx="16">
                  <c:v>95</c:v>
                </c:pt>
                <c:pt idx="17">
                  <c:v>79.5</c:v>
                </c:pt>
                <c:pt idx="18">
                  <c:v>38</c:v>
                </c:pt>
                <c:pt idx="19">
                  <c:v>21</c:v>
                </c:pt>
                <c:pt idx="20">
                  <c:v>19.5</c:v>
                </c:pt>
                <c:pt idx="21">
                  <c:v>22</c:v>
                </c:pt>
                <c:pt idx="22">
                  <c:v>32</c:v>
                </c:pt>
                <c:pt idx="23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Ndeeba-Lubiri'!$AF$9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Ndeeba-Lubiri'!$R$10:$R$33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Ndeeba-Lubiri'!$AF$10:$AF$33</c:f>
              <c:numCache>
                <c:formatCode>0</c:formatCode>
                <c:ptCount val="24"/>
                <c:pt idx="0">
                  <c:v>1342.4285714285713</c:v>
                </c:pt>
                <c:pt idx="1">
                  <c:v>1400.8571428571427</c:v>
                </c:pt>
                <c:pt idx="2">
                  <c:v>1418.4285714285713</c:v>
                </c:pt>
                <c:pt idx="3">
                  <c:v>1411.2857142857144</c:v>
                </c:pt>
                <c:pt idx="4">
                  <c:v>1318</c:v>
                </c:pt>
                <c:pt idx="5">
                  <c:v>1297</c:v>
                </c:pt>
                <c:pt idx="6">
                  <c:v>1230.7142857142858</c:v>
                </c:pt>
                <c:pt idx="7">
                  <c:v>1118.2857142857142</c:v>
                </c:pt>
                <c:pt idx="8">
                  <c:v>1047.5714285714287</c:v>
                </c:pt>
                <c:pt idx="9">
                  <c:v>1147.8571428571429</c:v>
                </c:pt>
                <c:pt idx="10">
                  <c:v>1290.2857142857142</c:v>
                </c:pt>
                <c:pt idx="11">
                  <c:v>1365.5714285714284</c:v>
                </c:pt>
                <c:pt idx="12">
                  <c:v>1190.5</c:v>
                </c:pt>
                <c:pt idx="13">
                  <c:v>1127</c:v>
                </c:pt>
                <c:pt idx="14">
                  <c:v>916</c:v>
                </c:pt>
                <c:pt idx="15">
                  <c:v>385</c:v>
                </c:pt>
                <c:pt idx="16">
                  <c:v>338</c:v>
                </c:pt>
                <c:pt idx="17">
                  <c:v>181.5</c:v>
                </c:pt>
                <c:pt idx="18">
                  <c:v>102.5</c:v>
                </c:pt>
                <c:pt idx="19">
                  <c:v>63</c:v>
                </c:pt>
                <c:pt idx="20">
                  <c:v>49</c:v>
                </c:pt>
                <c:pt idx="21">
                  <c:v>52.5</c:v>
                </c:pt>
                <c:pt idx="22">
                  <c:v>80.5</c:v>
                </c:pt>
                <c:pt idx="23">
                  <c:v>125.5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117936"/>
        <c:axId val="490125552"/>
      </c:lineChart>
      <c:catAx>
        <c:axId val="4901179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0125552"/>
        <c:crosses val="autoZero"/>
        <c:auto val="1"/>
        <c:lblAlgn val="ctr"/>
        <c:lblOffset val="100"/>
        <c:noMultiLvlLbl val="0"/>
      </c:catAx>
      <c:valAx>
        <c:axId val="490125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011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6.8604533994985742E-2"/>
          <c:w val="0.8769669347672675"/>
          <c:h val="0.794837521281084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Ndeeba-Lubiri'!$C$9:$N$9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Ndeeba-Lubiri'!$C$107:$N$107</c:f>
              <c:numCache>
                <c:formatCode>0.0%</c:formatCode>
                <c:ptCount val="12"/>
                <c:pt idx="0">
                  <c:v>0.25989856780599302</c:v>
                </c:pt>
                <c:pt idx="1">
                  <c:v>3.1801135754848379E-2</c:v>
                </c:pt>
                <c:pt idx="2">
                  <c:v>2.3082967248830317E-2</c:v>
                </c:pt>
                <c:pt idx="3">
                  <c:v>5.2680452873316901E-2</c:v>
                </c:pt>
                <c:pt idx="4">
                  <c:v>1.7500625022322223E-3</c:v>
                </c:pt>
                <c:pt idx="5">
                  <c:v>8.9288903175113363E-4</c:v>
                </c:pt>
                <c:pt idx="6">
                  <c:v>1.5786278081360045E-2</c:v>
                </c:pt>
                <c:pt idx="7">
                  <c:v>9.5931997571341836E-3</c:v>
                </c:pt>
                <c:pt idx="8">
                  <c:v>2.3179399264259431E-3</c:v>
                </c:pt>
                <c:pt idx="9">
                  <c:v>3.2072574020500745E-3</c:v>
                </c:pt>
                <c:pt idx="10">
                  <c:v>0.59895353405478757</c:v>
                </c:pt>
                <c:pt idx="11">
                  <c:v>4.2858673524054415E-5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684292830963008"/>
          <c:y val="0.22768661118479641"/>
          <c:w val="0.81909914509838599"/>
          <c:h val="0.7639014487519706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78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Ndeeba-Lubiri'!$C$9:$N$9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Ndeeba-Lubiri'!$C$108:$N$108</c:f>
              <c:numCache>
                <c:formatCode>0.00%</c:formatCode>
                <c:ptCount val="12"/>
                <c:pt idx="0">
                  <c:v>0.64805101122995146</c:v>
                </c:pt>
                <c:pt idx="1">
                  <c:v>7.9295389575114242E-2</c:v>
                </c:pt>
                <c:pt idx="2">
                  <c:v>5.7556839939798231E-2</c:v>
                </c:pt>
                <c:pt idx="3">
                  <c:v>0.13135747936129102</c:v>
                </c:pt>
                <c:pt idx="4">
                  <c:v>4.3637399923411929E-3</c:v>
                </c:pt>
                <c:pt idx="5">
                  <c:v>2.2263979552761184E-3</c:v>
                </c:pt>
                <c:pt idx="6">
                  <c:v>3.9362715849281769E-2</c:v>
                </c:pt>
                <c:pt idx="7">
                  <c:v>2.3920419631486622E-2</c:v>
                </c:pt>
                <c:pt idx="8">
                  <c:v>5.7797290918968035E-3</c:v>
                </c:pt>
                <c:pt idx="9">
                  <c:v>7.9972214553518228E-3</c:v>
                </c:pt>
                <c:pt idx="11">
                  <c:v>1.0686710185325367E-4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Ndeeba-Lubiri-2Dir'!$AE$9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Ndeeba-Lubiri-2Dir'!$R$10:$R$33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Ndeeba-Lubiri-2Dir'!$AE$10:$AE$33</c:f>
              <c:numCache>
                <c:formatCode>0</c:formatCode>
                <c:ptCount val="24"/>
                <c:pt idx="0">
                  <c:v>876.00000000000011</c:v>
                </c:pt>
                <c:pt idx="1">
                  <c:v>884.57142857142856</c:v>
                </c:pt>
                <c:pt idx="2">
                  <c:v>820.85714285714289</c:v>
                </c:pt>
                <c:pt idx="3">
                  <c:v>823.00000000000023</c:v>
                </c:pt>
                <c:pt idx="4">
                  <c:v>837.14285714285711</c:v>
                </c:pt>
                <c:pt idx="5">
                  <c:v>788</c:v>
                </c:pt>
                <c:pt idx="6">
                  <c:v>739.78571428571433</c:v>
                </c:pt>
                <c:pt idx="7">
                  <c:v>726.85714285714278</c:v>
                </c:pt>
                <c:pt idx="8">
                  <c:v>740.28571428571433</c:v>
                </c:pt>
                <c:pt idx="9">
                  <c:v>758.90476190476193</c:v>
                </c:pt>
                <c:pt idx="10">
                  <c:v>865.78571428571422</c:v>
                </c:pt>
                <c:pt idx="11">
                  <c:v>880.14285714285711</c:v>
                </c:pt>
                <c:pt idx="12">
                  <c:v>943.5</c:v>
                </c:pt>
                <c:pt idx="13">
                  <c:v>906.5</c:v>
                </c:pt>
                <c:pt idx="14">
                  <c:v>725.5</c:v>
                </c:pt>
                <c:pt idx="15">
                  <c:v>387.5</c:v>
                </c:pt>
                <c:pt idx="16">
                  <c:v>226</c:v>
                </c:pt>
                <c:pt idx="17">
                  <c:v>143</c:v>
                </c:pt>
                <c:pt idx="18">
                  <c:v>61.5</c:v>
                </c:pt>
                <c:pt idx="19">
                  <c:v>38.5</c:v>
                </c:pt>
                <c:pt idx="20">
                  <c:v>32.5</c:v>
                </c:pt>
                <c:pt idx="21">
                  <c:v>41.5</c:v>
                </c:pt>
                <c:pt idx="22">
                  <c:v>62</c:v>
                </c:pt>
                <c:pt idx="23">
                  <c:v>131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27-497F-A499-0119514771DA}"/>
            </c:ext>
          </c:extLst>
        </c:ser>
        <c:ser>
          <c:idx val="1"/>
          <c:order val="1"/>
          <c:tx>
            <c:strRef>
              <c:f>'Avg Week Ndeeba-Lubiri-2Dir'!$AF$9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Ndeeba-Lubiri-2Dir'!$R$10:$R$33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Ndeeba-Lubiri-2Dir'!$AF$10:$AF$33</c:f>
              <c:numCache>
                <c:formatCode>0</c:formatCode>
                <c:ptCount val="24"/>
                <c:pt idx="0">
                  <c:v>2009.7142857142858</c:v>
                </c:pt>
                <c:pt idx="1">
                  <c:v>2479.8571428571427</c:v>
                </c:pt>
                <c:pt idx="2">
                  <c:v>2611</c:v>
                </c:pt>
                <c:pt idx="3">
                  <c:v>2655.8571428571431</c:v>
                </c:pt>
                <c:pt idx="4">
                  <c:v>2621</c:v>
                </c:pt>
                <c:pt idx="5">
                  <c:v>2659</c:v>
                </c:pt>
                <c:pt idx="6">
                  <c:v>2417.2142857142858</c:v>
                </c:pt>
                <c:pt idx="7">
                  <c:v>2190.8571428571427</c:v>
                </c:pt>
                <c:pt idx="8">
                  <c:v>2241.2857142857142</c:v>
                </c:pt>
                <c:pt idx="9">
                  <c:v>2390.761904761905</c:v>
                </c:pt>
                <c:pt idx="10">
                  <c:v>2724.6428571428569</c:v>
                </c:pt>
                <c:pt idx="11">
                  <c:v>2588.5714285714284</c:v>
                </c:pt>
                <c:pt idx="12">
                  <c:v>2321</c:v>
                </c:pt>
                <c:pt idx="13">
                  <c:v>2318.5</c:v>
                </c:pt>
                <c:pt idx="14">
                  <c:v>1672.5</c:v>
                </c:pt>
                <c:pt idx="15">
                  <c:v>804.5</c:v>
                </c:pt>
                <c:pt idx="16">
                  <c:v>606</c:v>
                </c:pt>
                <c:pt idx="17">
                  <c:v>317</c:v>
                </c:pt>
                <c:pt idx="18">
                  <c:v>159</c:v>
                </c:pt>
                <c:pt idx="19">
                  <c:v>97.5</c:v>
                </c:pt>
                <c:pt idx="20">
                  <c:v>77.5</c:v>
                </c:pt>
                <c:pt idx="21">
                  <c:v>103</c:v>
                </c:pt>
                <c:pt idx="22">
                  <c:v>149.5</c:v>
                </c:pt>
                <c:pt idx="23">
                  <c:v>284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27-497F-A499-0119514771DA}"/>
            </c:ext>
          </c:extLst>
        </c:ser>
        <c:ser>
          <c:idx val="5"/>
          <c:order val="2"/>
          <c:tx>
            <c:strRef>
              <c:f>'Avg Week Ndeeba-Lubiri-2Dir'!$AC$9</c:f>
              <c:strCache>
                <c:ptCount val="1"/>
                <c:pt idx="0">
                  <c:v>11. Motorcycles</c:v>
                </c:pt>
              </c:strCache>
            </c:strRef>
          </c:tx>
          <c:val>
            <c:numRef>
              <c:f>'Avg Week Ndeeba-Lubiri-2Dir'!$AC$10:$AC$33</c:f>
              <c:numCache>
                <c:formatCode>0</c:formatCode>
                <c:ptCount val="24"/>
                <c:pt idx="0">
                  <c:v>1133.7142857142858</c:v>
                </c:pt>
                <c:pt idx="1">
                  <c:v>1595.2857142857142</c:v>
                </c:pt>
                <c:pt idx="2">
                  <c:v>1790.1428571428571</c:v>
                </c:pt>
                <c:pt idx="3">
                  <c:v>1832.8571428571429</c:v>
                </c:pt>
                <c:pt idx="4">
                  <c:v>1783.8571428571431</c:v>
                </c:pt>
                <c:pt idx="5">
                  <c:v>1871</c:v>
                </c:pt>
                <c:pt idx="6">
                  <c:v>1677.4285714285713</c:v>
                </c:pt>
                <c:pt idx="7">
                  <c:v>1464</c:v>
                </c:pt>
                <c:pt idx="8">
                  <c:v>1501</c:v>
                </c:pt>
                <c:pt idx="9">
                  <c:v>1631.8571428571427</c:v>
                </c:pt>
                <c:pt idx="10">
                  <c:v>1858.8571428571427</c:v>
                </c:pt>
                <c:pt idx="11">
                  <c:v>1708.4285714285716</c:v>
                </c:pt>
                <c:pt idx="12">
                  <c:v>1377.5</c:v>
                </c:pt>
                <c:pt idx="13">
                  <c:v>1412</c:v>
                </c:pt>
                <c:pt idx="14">
                  <c:v>947</c:v>
                </c:pt>
                <c:pt idx="15">
                  <c:v>417</c:v>
                </c:pt>
                <c:pt idx="16">
                  <c:v>380</c:v>
                </c:pt>
                <c:pt idx="17">
                  <c:v>174</c:v>
                </c:pt>
                <c:pt idx="18">
                  <c:v>97.5</c:v>
                </c:pt>
                <c:pt idx="19">
                  <c:v>59</c:v>
                </c:pt>
                <c:pt idx="20">
                  <c:v>45</c:v>
                </c:pt>
                <c:pt idx="21">
                  <c:v>61.5</c:v>
                </c:pt>
                <c:pt idx="22">
                  <c:v>87.5</c:v>
                </c:pt>
                <c:pt idx="23">
                  <c:v>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27-497F-A499-01195147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Including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66"/>
      <c:depthPercent val="10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77465720024135E-2"/>
          <c:y val="8.013560502587487E-2"/>
          <c:w val="0.87655985254857882"/>
          <c:h val="0.8032534322981568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6A6-4738-8027-89A1605683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6A6-4738-8027-89A1605683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6A6-4738-8027-89A1605683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6A6-4738-8027-89A1605683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6A6-4738-8027-89A1605683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6A6-4738-8027-89A1605683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6A6-4738-8027-89A1605683C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6A6-4738-8027-89A1605683C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6A6-4738-8027-89A1605683C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6A6-4738-8027-89A1605683C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6A6-4738-8027-89A1605683C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6A6-4738-8027-89A1605683C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6A6-4738-8027-89A1605683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Ndeeba-Lubiri-2Dir'!$C$9:$N$9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Ndeeba-Lubiri-2Dir'!$C$107:$N$107</c:f>
              <c:numCache>
                <c:formatCode>0.0%</c:formatCode>
                <c:ptCount val="12"/>
                <c:pt idx="0">
                  <c:v>0.20728699620900559</c:v>
                </c:pt>
                <c:pt idx="1">
                  <c:v>2.8655093723523331E-2</c:v>
                </c:pt>
                <c:pt idx="2">
                  <c:v>1.9189358004687726E-2</c:v>
                </c:pt>
                <c:pt idx="3">
                  <c:v>5.8900178727141178E-2</c:v>
                </c:pt>
                <c:pt idx="4">
                  <c:v>2.1484362921230186E-3</c:v>
                </c:pt>
                <c:pt idx="5">
                  <c:v>5.8070860054793157E-4</c:v>
                </c:pt>
                <c:pt idx="6">
                  <c:v>1.6643887717301898E-2</c:v>
                </c:pt>
                <c:pt idx="7">
                  <c:v>1.100006802763159E-2</c:v>
                </c:pt>
                <c:pt idx="8">
                  <c:v>2.2653201318499185E-3</c:v>
                </c:pt>
                <c:pt idx="9">
                  <c:v>2.3352030624802871E-3</c:v>
                </c:pt>
                <c:pt idx="10">
                  <c:v>0.65089827395345667</c:v>
                </c:pt>
                <c:pt idx="11">
                  <c:v>9.6475550250774565E-5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A6-4738-8027-89A160568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Excluding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439859291678195"/>
          <c:y val="0.23083401768157408"/>
          <c:w val="0.83261086583830202"/>
          <c:h val="0.76871916342946045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1C2-41BF-B999-7343821FAF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1C2-41BF-B999-7343821FAF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1C2-41BF-B999-7343821FAF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1C2-41BF-B999-7343821FAF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1C2-41BF-B999-7343821FAF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1C2-41BF-B999-7343821FAF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1C2-41BF-B999-7343821FAF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1C2-41BF-B999-7343821FAF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1C2-41BF-B999-7343821FAF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1C2-41BF-B999-7343821FAF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1C2-41BF-B999-7343821FAF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1C2-41BF-B999-7343821FAF9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1C2-41BF-B999-7343821FAF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Ndeeba-Lubiri-2Dir'!$C$9:$N$9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Ndeeba-Lubiri-2Dir'!$C$108:$N$108</c:f>
              <c:numCache>
                <c:formatCode>0.00%</c:formatCode>
                <c:ptCount val="12"/>
                <c:pt idx="0">
                  <c:v>0.59377247588105464</c:v>
                </c:pt>
                <c:pt idx="1">
                  <c:v>8.2082360485673897E-2</c:v>
                </c:pt>
                <c:pt idx="2">
                  <c:v>5.4967811881082899E-2</c:v>
                </c:pt>
                <c:pt idx="3">
                  <c:v>0.16871924236572938</c:v>
                </c:pt>
                <c:pt idx="4">
                  <c:v>6.1541841011596241E-3</c:v>
                </c:pt>
                <c:pt idx="5">
                  <c:v>1.6634366352875317E-3</c:v>
                </c:pt>
                <c:pt idx="6">
                  <c:v>4.7676326054838493E-2</c:v>
                </c:pt>
                <c:pt idx="7">
                  <c:v>3.1509635177698975E-2</c:v>
                </c:pt>
                <c:pt idx="8">
                  <c:v>6.4889972258341108E-3</c:v>
                </c:pt>
                <c:pt idx="9">
                  <c:v>6.6891765014331422E-3</c:v>
                </c:pt>
                <c:pt idx="11">
                  <c:v>2.7635369020751323E-4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1C2-41BF-B999-7343821FA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Ndeeba-Lubiri-2Dir'!$S$9:$AF$9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Ndeeba-Lubiri-2Dir'!$S$41:$AF$41</c:f>
              <c:numCache>
                <c:formatCode>_-* #,##0_-;\-* #,##0_-;_-* "-"_-;_-@_-</c:formatCode>
                <c:ptCount val="14"/>
                <c:pt idx="0">
                  <c:v>7980.5</c:v>
                </c:pt>
                <c:pt idx="1">
                  <c:v>1103.2142857142858</c:v>
                </c:pt>
                <c:pt idx="2">
                  <c:v>738.78571428571433</c:v>
                </c:pt>
                <c:pt idx="3">
                  <c:v>2267.6428571428569</c:v>
                </c:pt>
                <c:pt idx="4">
                  <c:v>82.714285714285708</c:v>
                </c:pt>
                <c:pt idx="5">
                  <c:v>22.357142857142858</c:v>
                </c:pt>
                <c:pt idx="6">
                  <c:v>640.78571428571422</c:v>
                </c:pt>
                <c:pt idx="7">
                  <c:v>423.5</c:v>
                </c:pt>
                <c:pt idx="8">
                  <c:v>87.214285714285722</c:v>
                </c:pt>
                <c:pt idx="9">
                  <c:v>89.904761904761898</c:v>
                </c:pt>
                <c:pt idx="10">
                  <c:v>25059.428571428572</c:v>
                </c:pt>
                <c:pt idx="11">
                  <c:v>3.7142857142857144</c:v>
                </c:pt>
                <c:pt idx="12">
                  <c:v>13440.333333333334</c:v>
                </c:pt>
                <c:pt idx="13">
                  <c:v>38499.761904761901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E-4B33-A855-8EB801C82A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Ndeeba-Lubiri-2Dir'!$S$9:$AF$9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Ndeeba-Lubiri-2Dir'!$S$42:$AF$42</c:f>
              <c:numCache>
                <c:formatCode>0.000</c:formatCode>
                <c:ptCount val="14"/>
                <c:pt idx="0">
                  <c:v>1.3212748344370862</c:v>
                </c:pt>
                <c:pt idx="1">
                  <c:v>1.3864452423698381</c:v>
                </c:pt>
                <c:pt idx="2">
                  <c:v>1.2753390875462391</c:v>
                </c:pt>
                <c:pt idx="3">
                  <c:v>1.7177253543988744</c:v>
                </c:pt>
                <c:pt idx="4">
                  <c:v>1.7706422018348624</c:v>
                </c:pt>
                <c:pt idx="5">
                  <c:v>1.4099099099099099</c:v>
                </c:pt>
                <c:pt idx="6">
                  <c:v>1.3314039774413771</c:v>
                </c:pt>
                <c:pt idx="7">
                  <c:v>1.2951070336391437</c:v>
                </c:pt>
                <c:pt idx="8">
                  <c:v>1.511138613861386</c:v>
                </c:pt>
                <c:pt idx="9">
                  <c:v>1.200254291163382</c:v>
                </c:pt>
                <c:pt idx="10">
                  <c:v>1.2625396756850129</c:v>
                </c:pt>
                <c:pt idx="11">
                  <c:v>1.368421052631579</c:v>
                </c:pt>
                <c:pt idx="12">
                  <c:v>1.3797221461812208</c:v>
                </c:pt>
                <c:pt idx="13">
                  <c:v>1.3011176645718838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A-43A6-B256-9263064004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7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20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9.png"/><Relationship Id="rId17" Type="http://schemas.openxmlformats.org/officeDocument/2006/relationships/chart" Target="../charts/chart61.xml"/><Relationship Id="rId2" Type="http://schemas.openxmlformats.org/officeDocument/2006/relationships/image" Target="../media/image1.emf"/><Relationship Id="rId16" Type="http://schemas.openxmlformats.org/officeDocument/2006/relationships/chart" Target="../charts/chart60.xml"/><Relationship Id="rId1" Type="http://schemas.openxmlformats.org/officeDocument/2006/relationships/chart" Target="../charts/chart5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337461</xdr:colOff>
      <xdr:row>29</xdr:row>
      <xdr:rowOff>260349</xdr:rowOff>
    </xdr:from>
    <xdr:to>
      <xdr:col>26</xdr:col>
      <xdr:colOff>317501</xdr:colOff>
      <xdr:row>44</xdr:row>
      <xdr:rowOff>53524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956586</xdr:colOff>
      <xdr:row>29</xdr:row>
      <xdr:rowOff>196849</xdr:rowOff>
    </xdr:from>
    <xdr:to>
      <xdr:col>25</xdr:col>
      <xdr:colOff>682626</xdr:colOff>
      <xdr:row>43</xdr:row>
      <xdr:rowOff>275774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146961</xdr:colOff>
      <xdr:row>29</xdr:row>
      <xdr:rowOff>38099</xdr:rowOff>
    </xdr:from>
    <xdr:to>
      <xdr:col>20</xdr:col>
      <xdr:colOff>269876</xdr:colOff>
      <xdr:row>43</xdr:row>
      <xdr:rowOff>117024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0</xdr:rowOff>
    </xdr:from>
    <xdr:to>
      <xdr:col>27</xdr:col>
      <xdr:colOff>698499</xdr:colOff>
      <xdr:row>59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59</xdr:row>
      <xdr:rowOff>279400</xdr:rowOff>
    </xdr:from>
    <xdr:to>
      <xdr:col>31</xdr:col>
      <xdr:colOff>508000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60</xdr:row>
      <xdr:rowOff>1</xdr:rowOff>
    </xdr:from>
    <xdr:to>
      <xdr:col>24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146961</xdr:colOff>
      <xdr:row>43</xdr:row>
      <xdr:rowOff>1</xdr:rowOff>
    </xdr:from>
    <xdr:to>
      <xdr:col>28</xdr:col>
      <xdr:colOff>0</xdr:colOff>
      <xdr:row>59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716882</xdr:colOff>
      <xdr:row>60</xdr:row>
      <xdr:rowOff>17880</xdr:rowOff>
    </xdr:from>
    <xdr:to>
      <xdr:col>31</xdr:col>
      <xdr:colOff>618289</xdr:colOff>
      <xdr:row>76</xdr:row>
      <xdr:rowOff>267368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148724</xdr:colOff>
      <xdr:row>60</xdr:row>
      <xdr:rowOff>0</xdr:rowOff>
    </xdr:from>
    <xdr:to>
      <xdr:col>24</xdr:col>
      <xdr:colOff>0</xdr:colOff>
      <xdr:row>76</xdr:row>
      <xdr:rowOff>267369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911</xdr:colOff>
      <xdr:row>43</xdr:row>
      <xdr:rowOff>0</xdr:rowOff>
    </xdr:from>
    <xdr:to>
      <xdr:col>28</xdr:col>
      <xdr:colOff>0</xdr:colOff>
      <xdr:row>60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3A367C-1CFB-49F6-BA8F-3BE7A1577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5C8D35-8381-445E-BDC2-8204866E4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238367-D99F-4B42-B51C-B558E1244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337AD1-6372-42D4-876A-5745F3D52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1FE22D-DE5D-47DB-A10F-7823B5C6C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E0B7E1-CA1F-4EC4-9379-56E07E8A1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A7B734F-82AC-4B93-A751-9ED2A9D5B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214F76F-FFFD-42C5-9A18-7F8E922B6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252CF9-C753-48DD-B7D7-D055E08DD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5E7524A-D871-40F5-AE56-2BE5A93CB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2135683E-EA9E-41D3-BD40-8FD570637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9674D09-AFAB-402C-BCEC-0EDDEDD0E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37B1D0A-0AA4-4BFF-BE04-6EA95555B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6349</xdr:colOff>
      <xdr:row>74</xdr:row>
      <xdr:rowOff>247650</xdr:rowOff>
    </xdr:from>
    <xdr:to>
      <xdr:col>25</xdr:col>
      <xdr:colOff>16949</xdr:colOff>
      <xdr:row>90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CE72AF9-C6C5-4370-A0AD-D6BF7F325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146050</xdr:colOff>
      <xdr:row>59</xdr:row>
      <xdr:rowOff>279401</xdr:rowOff>
    </xdr:from>
    <xdr:to>
      <xdr:col>25</xdr:col>
      <xdr:colOff>4762</xdr:colOff>
      <xdr:row>75</xdr:row>
      <xdr:rowOff>276225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667AF25-0648-4087-B18A-5A6DD2D9C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19050</xdr:colOff>
      <xdr:row>59</xdr:row>
      <xdr:rowOff>277812</xdr:rowOff>
    </xdr:from>
    <xdr:to>
      <xdr:col>31</xdr:col>
      <xdr:colOff>606425</xdr:colOff>
      <xdr:row>75</xdr:row>
      <xdr:rowOff>276225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90C8AFC-C520-4AF3-A45C-E8F169E1B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75</xdr:row>
      <xdr:rowOff>274637</xdr:rowOff>
    </xdr:from>
    <xdr:to>
      <xdr:col>31</xdr:col>
      <xdr:colOff>666750</xdr:colOff>
      <xdr:row>91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65FE813-1B00-49DB-A983-1BCCF5C32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4" zoomScale="60" workbookViewId="0">
      <selection activeCell="E23" sqref="E2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1" t="s">
        <v>96</v>
      </c>
      <c r="C3" s="67" t="s">
        <v>173</v>
      </c>
      <c r="D3" s="67"/>
      <c r="E3" s="67"/>
      <c r="F3" s="67"/>
      <c r="G3" s="67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162</v>
      </c>
      <c r="E5" s="3"/>
      <c r="F5" s="41" t="s">
        <v>1</v>
      </c>
      <c r="G5" s="62" t="s">
        <v>174</v>
      </c>
      <c r="H5" s="63"/>
      <c r="I5" s="14"/>
      <c r="J5" s="2" t="s">
        <v>5</v>
      </c>
      <c r="K5" s="62" t="s">
        <v>175</v>
      </c>
      <c r="L5" s="63"/>
      <c r="M5" s="10"/>
      <c r="N5" s="10"/>
      <c r="O5" s="3"/>
      <c r="P5" s="3"/>
    </row>
    <row r="6" spans="2:32" ht="23.25" customHeight="1" x14ac:dyDescent="0.25">
      <c r="C6" s="2" t="s">
        <v>4</v>
      </c>
      <c r="D6" s="62" t="s">
        <v>171</v>
      </c>
      <c r="E6" s="63"/>
      <c r="F6" s="2" t="s">
        <v>2</v>
      </c>
      <c r="G6" s="62" t="s">
        <v>170</v>
      </c>
      <c r="H6" s="63"/>
      <c r="J6" s="2" t="s">
        <v>21</v>
      </c>
      <c r="K6" s="62" t="s">
        <v>176</v>
      </c>
      <c r="L6" s="63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</v>
      </c>
      <c r="D10" s="50">
        <v>5</v>
      </c>
      <c r="E10" s="50">
        <v>1</v>
      </c>
      <c r="F10" s="50">
        <v>10</v>
      </c>
      <c r="G10" s="50">
        <v>0</v>
      </c>
      <c r="H10" s="50">
        <v>1</v>
      </c>
      <c r="I10" s="50">
        <v>1</v>
      </c>
      <c r="J10" s="50">
        <v>0</v>
      </c>
      <c r="K10" s="50">
        <v>0</v>
      </c>
      <c r="L10" s="50">
        <v>0</v>
      </c>
      <c r="M10" s="50">
        <v>40</v>
      </c>
      <c r="N10" s="50">
        <v>0</v>
      </c>
      <c r="O10" s="15">
        <f t="shared" ref="O10:O57" si="0">SUM(C10:L10,N10)</f>
        <v>23</v>
      </c>
      <c r="P10" s="15">
        <f t="shared" ref="P10:P57" si="1">SUM(C10:N10)</f>
        <v>63</v>
      </c>
      <c r="R10" s="1" t="s">
        <v>6</v>
      </c>
      <c r="S10" s="17">
        <f t="shared" ref="S10:AF10" si="2">SUM(C10:C13)</f>
        <v>58</v>
      </c>
      <c r="T10" s="17">
        <f t="shared" si="2"/>
        <v>16</v>
      </c>
      <c r="U10" s="17">
        <f t="shared" si="2"/>
        <v>7</v>
      </c>
      <c r="V10" s="17">
        <f t="shared" si="2"/>
        <v>52</v>
      </c>
      <c r="W10" s="17">
        <f t="shared" si="2"/>
        <v>1</v>
      </c>
      <c r="X10" s="17">
        <f t="shared" si="2"/>
        <v>1</v>
      </c>
      <c r="Y10" s="17">
        <f t="shared" si="2"/>
        <v>8</v>
      </c>
      <c r="Z10" s="17">
        <f t="shared" si="2"/>
        <v>2</v>
      </c>
      <c r="AA10" s="17">
        <f t="shared" si="2"/>
        <v>2</v>
      </c>
      <c r="AB10" s="17">
        <f t="shared" si="2"/>
        <v>0</v>
      </c>
      <c r="AC10" s="17">
        <f t="shared" si="2"/>
        <v>415</v>
      </c>
      <c r="AD10" s="17">
        <f t="shared" si="2"/>
        <v>0</v>
      </c>
      <c r="AE10" s="31">
        <f t="shared" si="2"/>
        <v>147</v>
      </c>
      <c r="AF10" s="31">
        <f t="shared" si="2"/>
        <v>562</v>
      </c>
    </row>
    <row r="11" spans="2:32" s="6" customFormat="1" ht="23.1" customHeight="1" x14ac:dyDescent="0.25">
      <c r="B11" s="23" t="s">
        <v>38</v>
      </c>
      <c r="C11" s="50">
        <v>4</v>
      </c>
      <c r="D11" s="50">
        <v>2</v>
      </c>
      <c r="E11" s="50">
        <v>0</v>
      </c>
      <c r="F11" s="50">
        <v>3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25</v>
      </c>
      <c r="N11" s="50">
        <v>0</v>
      </c>
      <c r="O11" s="15">
        <f t="shared" si="0"/>
        <v>10</v>
      </c>
      <c r="P11" s="15">
        <f t="shared" si="1"/>
        <v>35</v>
      </c>
      <c r="R11" s="1" t="s">
        <v>7</v>
      </c>
      <c r="S11" s="17">
        <f t="shared" ref="S11:AF11" si="3">SUM(C14:C17)</f>
        <v>86</v>
      </c>
      <c r="T11" s="17">
        <f t="shared" si="3"/>
        <v>21</v>
      </c>
      <c r="U11" s="17">
        <f t="shared" si="3"/>
        <v>6</v>
      </c>
      <c r="V11" s="17">
        <f t="shared" si="3"/>
        <v>103</v>
      </c>
      <c r="W11" s="17">
        <f t="shared" si="3"/>
        <v>4</v>
      </c>
      <c r="X11" s="17">
        <f t="shared" si="3"/>
        <v>0</v>
      </c>
      <c r="Y11" s="17">
        <f t="shared" si="3"/>
        <v>20</v>
      </c>
      <c r="Z11" s="17">
        <f t="shared" si="3"/>
        <v>9</v>
      </c>
      <c r="AA11" s="17">
        <f t="shared" si="3"/>
        <v>4</v>
      </c>
      <c r="AB11" s="17">
        <f t="shared" si="3"/>
        <v>1</v>
      </c>
      <c r="AC11" s="17">
        <f t="shared" si="3"/>
        <v>673</v>
      </c>
      <c r="AD11" s="17">
        <f t="shared" si="3"/>
        <v>0</v>
      </c>
      <c r="AE11" s="31">
        <f t="shared" si="3"/>
        <v>254</v>
      </c>
      <c r="AF11" s="31">
        <f t="shared" si="3"/>
        <v>927</v>
      </c>
    </row>
    <row r="12" spans="2:32" ht="23.1" customHeight="1" x14ac:dyDescent="0.25">
      <c r="B12" s="23" t="s">
        <v>39</v>
      </c>
      <c r="C12" s="50">
        <v>22</v>
      </c>
      <c r="D12" s="50">
        <v>3</v>
      </c>
      <c r="E12" s="50">
        <v>3</v>
      </c>
      <c r="F12" s="50">
        <v>17</v>
      </c>
      <c r="G12" s="50">
        <v>1</v>
      </c>
      <c r="H12" s="50">
        <v>0</v>
      </c>
      <c r="I12" s="50">
        <v>2</v>
      </c>
      <c r="J12" s="50">
        <v>1</v>
      </c>
      <c r="K12" s="50">
        <v>2</v>
      </c>
      <c r="L12" s="50">
        <v>0</v>
      </c>
      <c r="M12" s="50">
        <v>153</v>
      </c>
      <c r="N12" s="50">
        <v>0</v>
      </c>
      <c r="O12" s="15">
        <f t="shared" si="0"/>
        <v>51</v>
      </c>
      <c r="P12" s="15">
        <f t="shared" si="1"/>
        <v>204</v>
      </c>
      <c r="R12" s="1" t="s">
        <v>8</v>
      </c>
      <c r="S12" s="17">
        <f t="shared" ref="S12:AF12" si="4">SUM(C18:C21)</f>
        <v>95</v>
      </c>
      <c r="T12" s="17">
        <f t="shared" si="4"/>
        <v>37</v>
      </c>
      <c r="U12" s="17">
        <f t="shared" si="4"/>
        <v>15</v>
      </c>
      <c r="V12" s="17">
        <f t="shared" si="4"/>
        <v>89</v>
      </c>
      <c r="W12" s="17">
        <f t="shared" si="4"/>
        <v>8</v>
      </c>
      <c r="X12" s="17">
        <f t="shared" si="4"/>
        <v>0</v>
      </c>
      <c r="Y12" s="17">
        <f t="shared" si="4"/>
        <v>22</v>
      </c>
      <c r="Z12" s="17">
        <f t="shared" si="4"/>
        <v>22</v>
      </c>
      <c r="AA12" s="17">
        <f t="shared" si="4"/>
        <v>8</v>
      </c>
      <c r="AB12" s="17">
        <f t="shared" si="4"/>
        <v>6</v>
      </c>
      <c r="AC12" s="17">
        <f t="shared" si="4"/>
        <v>581</v>
      </c>
      <c r="AD12" s="17">
        <f t="shared" si="4"/>
        <v>0</v>
      </c>
      <c r="AE12" s="31">
        <f t="shared" si="4"/>
        <v>302</v>
      </c>
      <c r="AF12" s="31">
        <f t="shared" si="4"/>
        <v>883</v>
      </c>
    </row>
    <row r="13" spans="2:32" ht="23.1" customHeight="1" x14ac:dyDescent="0.25">
      <c r="B13" s="23" t="s">
        <v>40</v>
      </c>
      <c r="C13" s="50">
        <v>27</v>
      </c>
      <c r="D13" s="50">
        <v>6</v>
      </c>
      <c r="E13" s="50">
        <v>3</v>
      </c>
      <c r="F13" s="50">
        <v>22</v>
      </c>
      <c r="G13" s="50">
        <v>0</v>
      </c>
      <c r="H13" s="50">
        <v>0</v>
      </c>
      <c r="I13" s="50">
        <v>4</v>
      </c>
      <c r="J13" s="50">
        <v>1</v>
      </c>
      <c r="K13" s="50">
        <v>0</v>
      </c>
      <c r="L13" s="50">
        <v>0</v>
      </c>
      <c r="M13" s="50">
        <v>197</v>
      </c>
      <c r="N13" s="50">
        <v>0</v>
      </c>
      <c r="O13" s="15">
        <f t="shared" si="0"/>
        <v>63</v>
      </c>
      <c r="P13" s="15">
        <f t="shared" si="1"/>
        <v>260</v>
      </c>
      <c r="R13" s="1" t="s">
        <v>9</v>
      </c>
      <c r="S13" s="17">
        <f t="shared" ref="S13:AF13" si="5">SUM(C22:C25)</f>
        <v>131</v>
      </c>
      <c r="T13" s="17">
        <f t="shared" si="5"/>
        <v>37</v>
      </c>
      <c r="U13" s="17">
        <f t="shared" si="5"/>
        <v>15</v>
      </c>
      <c r="V13" s="17">
        <f t="shared" si="5"/>
        <v>57</v>
      </c>
      <c r="W13" s="17">
        <f t="shared" si="5"/>
        <v>0</v>
      </c>
      <c r="X13" s="17">
        <f t="shared" si="5"/>
        <v>0</v>
      </c>
      <c r="Y13" s="17">
        <f t="shared" si="5"/>
        <v>21</v>
      </c>
      <c r="Z13" s="17">
        <f t="shared" si="5"/>
        <v>27</v>
      </c>
      <c r="AA13" s="17">
        <f t="shared" si="5"/>
        <v>6</v>
      </c>
      <c r="AB13" s="17">
        <f t="shared" si="5"/>
        <v>2</v>
      </c>
      <c r="AC13" s="17">
        <f t="shared" si="5"/>
        <v>873</v>
      </c>
      <c r="AD13" s="17">
        <f t="shared" si="5"/>
        <v>0</v>
      </c>
      <c r="AE13" s="31">
        <f t="shared" si="5"/>
        <v>296</v>
      </c>
      <c r="AF13" s="31">
        <f t="shared" si="5"/>
        <v>1169</v>
      </c>
    </row>
    <row r="14" spans="2:32" ht="23.1" customHeight="1" x14ac:dyDescent="0.25">
      <c r="B14" s="23" t="s">
        <v>41</v>
      </c>
      <c r="C14" s="50">
        <v>26</v>
      </c>
      <c r="D14" s="50">
        <v>3</v>
      </c>
      <c r="E14" s="50">
        <v>4</v>
      </c>
      <c r="F14" s="50">
        <v>21</v>
      </c>
      <c r="G14" s="50">
        <v>0</v>
      </c>
      <c r="H14" s="50">
        <v>0</v>
      </c>
      <c r="I14" s="50">
        <v>7</v>
      </c>
      <c r="J14" s="50">
        <v>1</v>
      </c>
      <c r="K14" s="50">
        <v>0</v>
      </c>
      <c r="L14" s="50">
        <v>0</v>
      </c>
      <c r="M14" s="50">
        <v>164</v>
      </c>
      <c r="N14" s="50">
        <v>0</v>
      </c>
      <c r="O14" s="15">
        <f t="shared" si="0"/>
        <v>62</v>
      </c>
      <c r="P14" s="15">
        <f t="shared" si="1"/>
        <v>226</v>
      </c>
      <c r="R14" s="1" t="s">
        <v>10</v>
      </c>
      <c r="S14" s="17">
        <f t="shared" ref="S14:AF14" si="6">SUM(C26:C29)</f>
        <v>139</v>
      </c>
      <c r="T14" s="17">
        <f t="shared" si="6"/>
        <v>19</v>
      </c>
      <c r="U14" s="17">
        <f t="shared" si="6"/>
        <v>8</v>
      </c>
      <c r="V14" s="17">
        <f t="shared" si="6"/>
        <v>52</v>
      </c>
      <c r="W14" s="17">
        <f t="shared" si="6"/>
        <v>2</v>
      </c>
      <c r="X14" s="17">
        <f t="shared" si="6"/>
        <v>0</v>
      </c>
      <c r="Y14" s="17">
        <f t="shared" si="6"/>
        <v>38</v>
      </c>
      <c r="Z14" s="17">
        <f t="shared" si="6"/>
        <v>16</v>
      </c>
      <c r="AA14" s="17">
        <f t="shared" si="6"/>
        <v>4</v>
      </c>
      <c r="AB14" s="17">
        <f t="shared" si="6"/>
        <v>2</v>
      </c>
      <c r="AC14" s="17">
        <f t="shared" si="6"/>
        <v>1022</v>
      </c>
      <c r="AD14" s="17">
        <f t="shared" si="6"/>
        <v>0</v>
      </c>
      <c r="AE14" s="31">
        <f t="shared" si="6"/>
        <v>280</v>
      </c>
      <c r="AF14" s="31">
        <f t="shared" si="6"/>
        <v>1302</v>
      </c>
    </row>
    <row r="15" spans="2:32" ht="23.1" customHeight="1" x14ac:dyDescent="0.25">
      <c r="B15" s="23" t="s">
        <v>42</v>
      </c>
      <c r="C15" s="50">
        <v>21</v>
      </c>
      <c r="D15" s="50">
        <v>5</v>
      </c>
      <c r="E15" s="50">
        <v>0</v>
      </c>
      <c r="F15" s="50">
        <v>35</v>
      </c>
      <c r="G15" s="50">
        <v>0</v>
      </c>
      <c r="H15" s="50">
        <v>0</v>
      </c>
      <c r="I15" s="50">
        <v>5</v>
      </c>
      <c r="J15" s="50">
        <v>2</v>
      </c>
      <c r="K15" s="50">
        <v>1</v>
      </c>
      <c r="L15" s="50">
        <v>1</v>
      </c>
      <c r="M15" s="50">
        <v>254</v>
      </c>
      <c r="N15" s="50">
        <v>0</v>
      </c>
      <c r="O15" s="15">
        <f t="shared" si="0"/>
        <v>70</v>
      </c>
      <c r="P15" s="15">
        <f t="shared" si="1"/>
        <v>324</v>
      </c>
      <c r="R15" s="1" t="s">
        <v>11</v>
      </c>
      <c r="S15" s="17">
        <f t="shared" ref="S15:AF15" si="7">SUM(C30:C33)</f>
        <v>137</v>
      </c>
      <c r="T15" s="17">
        <f t="shared" si="7"/>
        <v>29</v>
      </c>
      <c r="U15" s="17">
        <f t="shared" si="7"/>
        <v>16</v>
      </c>
      <c r="V15" s="17">
        <f t="shared" si="7"/>
        <v>63</v>
      </c>
      <c r="W15" s="17">
        <f t="shared" si="7"/>
        <v>2</v>
      </c>
      <c r="X15" s="17">
        <f t="shared" si="7"/>
        <v>0</v>
      </c>
      <c r="Y15" s="17">
        <f t="shared" si="7"/>
        <v>18</v>
      </c>
      <c r="Z15" s="17">
        <f t="shared" si="7"/>
        <v>26</v>
      </c>
      <c r="AA15" s="17">
        <f t="shared" si="7"/>
        <v>4</v>
      </c>
      <c r="AB15" s="17">
        <f t="shared" si="7"/>
        <v>2</v>
      </c>
      <c r="AC15" s="17">
        <f t="shared" si="7"/>
        <v>1087</v>
      </c>
      <c r="AD15" s="17">
        <f t="shared" si="7"/>
        <v>0</v>
      </c>
      <c r="AE15" s="31">
        <f t="shared" si="7"/>
        <v>297</v>
      </c>
      <c r="AF15" s="31">
        <f t="shared" si="7"/>
        <v>1384</v>
      </c>
    </row>
    <row r="16" spans="2:32" ht="23.1" customHeight="1" x14ac:dyDescent="0.25">
      <c r="B16" s="23" t="s">
        <v>43</v>
      </c>
      <c r="C16" s="50">
        <v>21</v>
      </c>
      <c r="D16" s="50">
        <v>4</v>
      </c>
      <c r="E16" s="50">
        <v>2</v>
      </c>
      <c r="F16" s="50">
        <v>23</v>
      </c>
      <c r="G16" s="50">
        <v>3</v>
      </c>
      <c r="H16" s="50">
        <v>0</v>
      </c>
      <c r="I16" s="50">
        <v>3</v>
      </c>
      <c r="J16" s="50">
        <v>3</v>
      </c>
      <c r="K16" s="50">
        <v>1</v>
      </c>
      <c r="L16" s="50">
        <v>0</v>
      </c>
      <c r="M16" s="50">
        <v>145</v>
      </c>
      <c r="N16" s="50">
        <v>0</v>
      </c>
      <c r="O16" s="15">
        <f t="shared" si="0"/>
        <v>60</v>
      </c>
      <c r="P16" s="15">
        <f t="shared" si="1"/>
        <v>205</v>
      </c>
      <c r="R16" s="1" t="s">
        <v>12</v>
      </c>
      <c r="S16" s="17">
        <f t="shared" ref="S16:AF16" si="8">SUM(C34:C37)</f>
        <v>152</v>
      </c>
      <c r="T16" s="17">
        <f t="shared" si="8"/>
        <v>34</v>
      </c>
      <c r="U16" s="17">
        <f t="shared" si="8"/>
        <v>10</v>
      </c>
      <c r="V16" s="17">
        <f t="shared" si="8"/>
        <v>52</v>
      </c>
      <c r="W16" s="17">
        <f t="shared" si="8"/>
        <v>1</v>
      </c>
      <c r="X16" s="17">
        <f t="shared" si="8"/>
        <v>0</v>
      </c>
      <c r="Y16" s="17">
        <f t="shared" si="8"/>
        <v>26</v>
      </c>
      <c r="Z16" s="17">
        <f t="shared" si="8"/>
        <v>24</v>
      </c>
      <c r="AA16" s="17">
        <f t="shared" si="8"/>
        <v>0</v>
      </c>
      <c r="AB16" s="17">
        <f t="shared" si="8"/>
        <v>3</v>
      </c>
      <c r="AC16" s="17">
        <f t="shared" si="8"/>
        <v>703</v>
      </c>
      <c r="AD16" s="17">
        <f t="shared" si="8"/>
        <v>1</v>
      </c>
      <c r="AE16" s="31">
        <f t="shared" si="8"/>
        <v>303</v>
      </c>
      <c r="AF16" s="31">
        <f t="shared" si="8"/>
        <v>1006</v>
      </c>
    </row>
    <row r="17" spans="2:32" ht="23.1" customHeight="1" x14ac:dyDescent="0.25">
      <c r="B17" s="23" t="s">
        <v>44</v>
      </c>
      <c r="C17" s="50">
        <v>18</v>
      </c>
      <c r="D17" s="50">
        <v>9</v>
      </c>
      <c r="E17" s="50">
        <v>0</v>
      </c>
      <c r="F17" s="50">
        <v>24</v>
      </c>
      <c r="G17" s="50">
        <v>1</v>
      </c>
      <c r="H17" s="50">
        <v>0</v>
      </c>
      <c r="I17" s="50">
        <v>5</v>
      </c>
      <c r="J17" s="50">
        <v>3</v>
      </c>
      <c r="K17" s="50">
        <v>2</v>
      </c>
      <c r="L17" s="50">
        <v>0</v>
      </c>
      <c r="M17" s="50">
        <v>110</v>
      </c>
      <c r="N17" s="50">
        <v>0</v>
      </c>
      <c r="O17" s="15">
        <f t="shared" si="0"/>
        <v>62</v>
      </c>
      <c r="P17" s="15">
        <f t="shared" si="1"/>
        <v>172</v>
      </c>
      <c r="R17" s="1" t="s">
        <v>13</v>
      </c>
      <c r="S17" s="17">
        <f t="shared" ref="S17:AF17" si="9">SUM(C38:C41)</f>
        <v>128</v>
      </c>
      <c r="T17" s="17">
        <f t="shared" si="9"/>
        <v>15</v>
      </c>
      <c r="U17" s="17">
        <f t="shared" si="9"/>
        <v>17</v>
      </c>
      <c r="V17" s="17">
        <f t="shared" si="9"/>
        <v>25</v>
      </c>
      <c r="W17" s="17">
        <f t="shared" si="9"/>
        <v>2</v>
      </c>
      <c r="X17" s="17">
        <f t="shared" si="9"/>
        <v>1</v>
      </c>
      <c r="Y17" s="17">
        <f t="shared" si="9"/>
        <v>19</v>
      </c>
      <c r="Z17" s="17">
        <f t="shared" si="9"/>
        <v>22</v>
      </c>
      <c r="AA17" s="17">
        <f t="shared" si="9"/>
        <v>15</v>
      </c>
      <c r="AB17" s="17">
        <f t="shared" si="9"/>
        <v>0</v>
      </c>
      <c r="AC17" s="17">
        <f t="shared" si="9"/>
        <v>743</v>
      </c>
      <c r="AD17" s="17">
        <f t="shared" si="9"/>
        <v>1</v>
      </c>
      <c r="AE17" s="31">
        <f t="shared" si="9"/>
        <v>245</v>
      </c>
      <c r="AF17" s="31">
        <f t="shared" si="9"/>
        <v>988</v>
      </c>
    </row>
    <row r="18" spans="2:32" ht="23.1" customHeight="1" x14ac:dyDescent="0.25">
      <c r="B18" s="23" t="s">
        <v>45</v>
      </c>
      <c r="C18" s="50">
        <v>18</v>
      </c>
      <c r="D18" s="50">
        <v>8</v>
      </c>
      <c r="E18" s="50">
        <v>1</v>
      </c>
      <c r="F18" s="50">
        <v>26</v>
      </c>
      <c r="G18" s="50">
        <v>2</v>
      </c>
      <c r="H18" s="50">
        <v>0</v>
      </c>
      <c r="I18" s="50">
        <v>4</v>
      </c>
      <c r="J18" s="50">
        <v>1</v>
      </c>
      <c r="K18" s="50">
        <v>0</v>
      </c>
      <c r="L18" s="50">
        <v>0</v>
      </c>
      <c r="M18" s="50">
        <v>102</v>
      </c>
      <c r="N18" s="50">
        <v>0</v>
      </c>
      <c r="O18" s="15">
        <f t="shared" si="0"/>
        <v>60</v>
      </c>
      <c r="P18" s="15">
        <f t="shared" si="1"/>
        <v>162</v>
      </c>
      <c r="R18" s="1" t="s">
        <v>14</v>
      </c>
      <c r="S18" s="17">
        <f t="shared" ref="S18:AF18" si="10">SUM(C42:C45)</f>
        <v>164</v>
      </c>
      <c r="T18" s="17">
        <f t="shared" si="10"/>
        <v>30</v>
      </c>
      <c r="U18" s="17">
        <f t="shared" si="10"/>
        <v>18</v>
      </c>
      <c r="V18" s="17">
        <f t="shared" si="10"/>
        <v>47</v>
      </c>
      <c r="W18" s="17">
        <f t="shared" si="10"/>
        <v>0</v>
      </c>
      <c r="X18" s="17">
        <f t="shared" si="10"/>
        <v>0</v>
      </c>
      <c r="Y18" s="17">
        <f t="shared" si="10"/>
        <v>25</v>
      </c>
      <c r="Z18" s="17">
        <f t="shared" si="10"/>
        <v>27</v>
      </c>
      <c r="AA18" s="17">
        <f t="shared" si="10"/>
        <v>2</v>
      </c>
      <c r="AB18" s="17">
        <f t="shared" si="10"/>
        <v>2</v>
      </c>
      <c r="AC18" s="17">
        <f t="shared" si="10"/>
        <v>330</v>
      </c>
      <c r="AD18" s="17">
        <f t="shared" si="10"/>
        <v>0</v>
      </c>
      <c r="AE18" s="31">
        <f t="shared" si="10"/>
        <v>315</v>
      </c>
      <c r="AF18" s="31">
        <f t="shared" si="10"/>
        <v>645</v>
      </c>
    </row>
    <row r="19" spans="2:32" ht="23.1" customHeight="1" x14ac:dyDescent="0.25">
      <c r="B19" s="23" t="s">
        <v>46</v>
      </c>
      <c r="C19" s="50">
        <v>24</v>
      </c>
      <c r="D19" s="50">
        <v>7</v>
      </c>
      <c r="E19" s="50">
        <v>2</v>
      </c>
      <c r="F19" s="50">
        <v>21</v>
      </c>
      <c r="G19" s="50">
        <v>1</v>
      </c>
      <c r="H19" s="50">
        <v>0</v>
      </c>
      <c r="I19" s="50">
        <v>6</v>
      </c>
      <c r="J19" s="50">
        <v>4</v>
      </c>
      <c r="K19" s="50">
        <v>2</v>
      </c>
      <c r="L19" s="50">
        <v>2</v>
      </c>
      <c r="M19" s="50">
        <v>195</v>
      </c>
      <c r="N19" s="50">
        <v>0</v>
      </c>
      <c r="O19" s="15">
        <f t="shared" si="0"/>
        <v>69</v>
      </c>
      <c r="P19" s="15">
        <f t="shared" si="1"/>
        <v>264</v>
      </c>
      <c r="R19" s="1" t="s">
        <v>15</v>
      </c>
      <c r="S19" s="17">
        <f t="shared" ref="S19:AF19" si="11">SUM(C46:C49)</f>
        <v>178</v>
      </c>
      <c r="T19" s="17">
        <f t="shared" si="11"/>
        <v>25</v>
      </c>
      <c r="U19" s="17">
        <f t="shared" si="11"/>
        <v>18</v>
      </c>
      <c r="V19" s="17">
        <f t="shared" si="11"/>
        <v>60</v>
      </c>
      <c r="W19" s="17">
        <f t="shared" si="11"/>
        <v>3</v>
      </c>
      <c r="X19" s="17">
        <f t="shared" si="11"/>
        <v>0</v>
      </c>
      <c r="Y19" s="17">
        <f t="shared" si="11"/>
        <v>36</v>
      </c>
      <c r="Z19" s="17">
        <f t="shared" si="11"/>
        <v>19</v>
      </c>
      <c r="AA19" s="17">
        <f t="shared" si="11"/>
        <v>3</v>
      </c>
      <c r="AB19" s="17">
        <f t="shared" si="11"/>
        <v>2</v>
      </c>
      <c r="AC19" s="17">
        <f t="shared" si="11"/>
        <v>1099</v>
      </c>
      <c r="AD19" s="17">
        <f t="shared" si="11"/>
        <v>0</v>
      </c>
      <c r="AE19" s="31">
        <f t="shared" si="11"/>
        <v>344</v>
      </c>
      <c r="AF19" s="31">
        <f t="shared" si="11"/>
        <v>1443</v>
      </c>
    </row>
    <row r="20" spans="2:32" ht="23.1" customHeight="1" x14ac:dyDescent="0.25">
      <c r="B20" s="23" t="s">
        <v>47</v>
      </c>
      <c r="C20" s="50">
        <v>31</v>
      </c>
      <c r="D20" s="50">
        <v>13</v>
      </c>
      <c r="E20" s="50">
        <v>4</v>
      </c>
      <c r="F20" s="50">
        <v>22</v>
      </c>
      <c r="G20" s="50">
        <v>4</v>
      </c>
      <c r="H20" s="50">
        <v>0</v>
      </c>
      <c r="I20" s="50">
        <v>8</v>
      </c>
      <c r="J20" s="50">
        <v>9</v>
      </c>
      <c r="K20" s="50">
        <v>2</v>
      </c>
      <c r="L20" s="50">
        <v>0</v>
      </c>
      <c r="M20" s="50">
        <v>136</v>
      </c>
      <c r="N20" s="50">
        <v>0</v>
      </c>
      <c r="O20" s="15">
        <f t="shared" si="0"/>
        <v>93</v>
      </c>
      <c r="P20" s="15">
        <f t="shared" si="1"/>
        <v>229</v>
      </c>
      <c r="R20" s="1" t="s">
        <v>16</v>
      </c>
      <c r="S20" s="17">
        <f t="shared" ref="S20:AF20" si="12">SUM(C50:C53)</f>
        <v>230</v>
      </c>
      <c r="T20" s="17">
        <f t="shared" si="12"/>
        <v>36</v>
      </c>
      <c r="U20" s="17">
        <f t="shared" si="12"/>
        <v>16</v>
      </c>
      <c r="V20" s="17">
        <f t="shared" si="12"/>
        <v>100</v>
      </c>
      <c r="W20" s="17">
        <f t="shared" si="12"/>
        <v>2</v>
      </c>
      <c r="X20" s="17">
        <f t="shared" si="12"/>
        <v>1</v>
      </c>
      <c r="Y20" s="17">
        <f t="shared" si="12"/>
        <v>13</v>
      </c>
      <c r="Z20" s="17">
        <f t="shared" si="12"/>
        <v>25</v>
      </c>
      <c r="AA20" s="17">
        <f t="shared" si="12"/>
        <v>2</v>
      </c>
      <c r="AB20" s="17">
        <f t="shared" si="12"/>
        <v>1</v>
      </c>
      <c r="AC20" s="17">
        <f t="shared" si="12"/>
        <v>1400</v>
      </c>
      <c r="AD20" s="17">
        <f t="shared" si="12"/>
        <v>0</v>
      </c>
      <c r="AE20" s="31">
        <f t="shared" si="12"/>
        <v>426</v>
      </c>
      <c r="AF20" s="31">
        <f t="shared" si="12"/>
        <v>1826</v>
      </c>
    </row>
    <row r="21" spans="2:32" ht="23.1" customHeight="1" x14ac:dyDescent="0.25">
      <c r="B21" s="23" t="s">
        <v>48</v>
      </c>
      <c r="C21" s="50">
        <v>22</v>
      </c>
      <c r="D21" s="50">
        <v>9</v>
      </c>
      <c r="E21" s="50">
        <v>8</v>
      </c>
      <c r="F21" s="50">
        <v>20</v>
      </c>
      <c r="G21" s="50">
        <v>1</v>
      </c>
      <c r="H21" s="50">
        <v>0</v>
      </c>
      <c r="I21" s="50">
        <v>4</v>
      </c>
      <c r="J21" s="50">
        <v>8</v>
      </c>
      <c r="K21" s="50">
        <v>4</v>
      </c>
      <c r="L21" s="50">
        <v>4</v>
      </c>
      <c r="M21" s="50">
        <v>148</v>
      </c>
      <c r="N21" s="50">
        <v>0</v>
      </c>
      <c r="O21" s="15">
        <f t="shared" si="0"/>
        <v>80</v>
      </c>
      <c r="P21" s="15">
        <f t="shared" si="1"/>
        <v>228</v>
      </c>
      <c r="R21" s="36" t="s">
        <v>20</v>
      </c>
      <c r="S21" s="34">
        <f t="shared" ref="S21:AF21" si="13">SUM(C54:C57)</f>
        <v>261</v>
      </c>
      <c r="T21" s="17">
        <f t="shared" si="13"/>
        <v>29</v>
      </c>
      <c r="U21" s="17">
        <f t="shared" si="13"/>
        <v>21</v>
      </c>
      <c r="V21" s="17">
        <f t="shared" si="13"/>
        <v>30</v>
      </c>
      <c r="W21" s="17">
        <f t="shared" si="13"/>
        <v>1</v>
      </c>
      <c r="X21" s="17">
        <f t="shared" si="13"/>
        <v>0</v>
      </c>
      <c r="Y21" s="17">
        <f t="shared" si="13"/>
        <v>21</v>
      </c>
      <c r="Z21" s="17">
        <f t="shared" si="13"/>
        <v>21</v>
      </c>
      <c r="AA21" s="17">
        <f t="shared" si="13"/>
        <v>9</v>
      </c>
      <c r="AB21" s="17">
        <f t="shared" si="13"/>
        <v>2</v>
      </c>
      <c r="AC21" s="17">
        <f t="shared" si="13"/>
        <v>1224</v>
      </c>
      <c r="AD21" s="17">
        <f t="shared" si="13"/>
        <v>2</v>
      </c>
      <c r="AE21" s="31">
        <f t="shared" si="13"/>
        <v>397</v>
      </c>
      <c r="AF21" s="31">
        <f t="shared" si="13"/>
        <v>1621</v>
      </c>
    </row>
    <row r="22" spans="2:32" ht="23.1" customHeight="1" x14ac:dyDescent="0.25">
      <c r="B22" s="23" t="s">
        <v>49</v>
      </c>
      <c r="C22" s="50">
        <v>46</v>
      </c>
      <c r="D22" s="50">
        <v>8</v>
      </c>
      <c r="E22" s="50">
        <v>5</v>
      </c>
      <c r="F22" s="50">
        <v>13</v>
      </c>
      <c r="G22" s="50">
        <v>0</v>
      </c>
      <c r="H22" s="50">
        <v>0</v>
      </c>
      <c r="I22" s="50">
        <v>7</v>
      </c>
      <c r="J22" s="50">
        <v>20</v>
      </c>
      <c r="K22" s="50">
        <v>3</v>
      </c>
      <c r="L22" s="50">
        <v>1</v>
      </c>
      <c r="M22" s="50">
        <v>183</v>
      </c>
      <c r="N22" s="50">
        <v>0</v>
      </c>
      <c r="O22" s="15">
        <f t="shared" si="0"/>
        <v>103</v>
      </c>
      <c r="P22" s="15">
        <f t="shared" si="1"/>
        <v>286</v>
      </c>
      <c r="R22" s="38" t="s">
        <v>90</v>
      </c>
      <c r="S22" s="39">
        <f>MAX(S10:S12)</f>
        <v>95</v>
      </c>
      <c r="T22" s="39">
        <f t="shared" ref="T22:AF22" si="14">MAX(T10:T12)</f>
        <v>37</v>
      </c>
      <c r="U22" s="39">
        <f t="shared" si="14"/>
        <v>15</v>
      </c>
      <c r="V22" s="39">
        <f t="shared" si="14"/>
        <v>103</v>
      </c>
      <c r="W22" s="39">
        <f t="shared" si="14"/>
        <v>8</v>
      </c>
      <c r="X22" s="39">
        <f t="shared" si="14"/>
        <v>1</v>
      </c>
      <c r="Y22" s="39">
        <f t="shared" si="14"/>
        <v>22</v>
      </c>
      <c r="Z22" s="39">
        <f t="shared" si="14"/>
        <v>22</v>
      </c>
      <c r="AA22" s="39">
        <f t="shared" si="14"/>
        <v>8</v>
      </c>
      <c r="AB22" s="39">
        <f t="shared" si="14"/>
        <v>6</v>
      </c>
      <c r="AC22" s="39">
        <f t="shared" si="14"/>
        <v>673</v>
      </c>
      <c r="AD22" s="39">
        <f t="shared" si="14"/>
        <v>0</v>
      </c>
      <c r="AE22" s="40">
        <f t="shared" si="14"/>
        <v>302</v>
      </c>
      <c r="AF22" s="40">
        <f t="shared" si="14"/>
        <v>927</v>
      </c>
    </row>
    <row r="23" spans="2:32" ht="23.1" customHeight="1" x14ac:dyDescent="0.25">
      <c r="B23" s="23" t="s">
        <v>50</v>
      </c>
      <c r="C23" s="50">
        <v>34</v>
      </c>
      <c r="D23" s="50">
        <v>4</v>
      </c>
      <c r="E23" s="50">
        <v>2</v>
      </c>
      <c r="F23" s="50">
        <v>12</v>
      </c>
      <c r="G23" s="50">
        <v>0</v>
      </c>
      <c r="H23" s="50">
        <v>0</v>
      </c>
      <c r="I23" s="50">
        <v>5</v>
      </c>
      <c r="J23" s="50">
        <v>2</v>
      </c>
      <c r="K23" s="50">
        <v>0</v>
      </c>
      <c r="L23" s="50">
        <v>0</v>
      </c>
      <c r="M23" s="50">
        <v>228</v>
      </c>
      <c r="N23" s="50">
        <v>0</v>
      </c>
      <c r="O23" s="15">
        <f t="shared" si="0"/>
        <v>59</v>
      </c>
      <c r="P23" s="15">
        <f t="shared" si="1"/>
        <v>287</v>
      </c>
      <c r="R23" s="38" t="s">
        <v>91</v>
      </c>
      <c r="S23" s="39">
        <f>MAX(S13:S18)</f>
        <v>164</v>
      </c>
      <c r="T23" s="39">
        <f t="shared" ref="T23:AF23" si="15">MAX(T13:T18)</f>
        <v>37</v>
      </c>
      <c r="U23" s="39">
        <f t="shared" si="15"/>
        <v>18</v>
      </c>
      <c r="V23" s="39">
        <f t="shared" si="15"/>
        <v>63</v>
      </c>
      <c r="W23" s="39">
        <f t="shared" si="15"/>
        <v>2</v>
      </c>
      <c r="X23" s="39">
        <f t="shared" si="15"/>
        <v>1</v>
      </c>
      <c r="Y23" s="39">
        <f t="shared" si="15"/>
        <v>38</v>
      </c>
      <c r="Z23" s="39">
        <f t="shared" si="15"/>
        <v>27</v>
      </c>
      <c r="AA23" s="39">
        <f t="shared" si="15"/>
        <v>15</v>
      </c>
      <c r="AB23" s="39">
        <f t="shared" si="15"/>
        <v>3</v>
      </c>
      <c r="AC23" s="39">
        <f t="shared" si="15"/>
        <v>1087</v>
      </c>
      <c r="AD23" s="39">
        <f t="shared" si="15"/>
        <v>1</v>
      </c>
      <c r="AE23" s="40">
        <f t="shared" si="15"/>
        <v>315</v>
      </c>
      <c r="AF23" s="40">
        <f t="shared" si="15"/>
        <v>1384</v>
      </c>
    </row>
    <row r="24" spans="2:32" ht="23.1" customHeight="1" x14ac:dyDescent="0.25">
      <c r="B24" s="23" t="s">
        <v>51</v>
      </c>
      <c r="C24" s="50">
        <v>27</v>
      </c>
      <c r="D24" s="50">
        <v>14</v>
      </c>
      <c r="E24" s="50">
        <v>3</v>
      </c>
      <c r="F24" s="50">
        <v>16</v>
      </c>
      <c r="G24" s="50">
        <v>0</v>
      </c>
      <c r="H24" s="50">
        <v>0</v>
      </c>
      <c r="I24" s="50">
        <v>4</v>
      </c>
      <c r="J24" s="50">
        <v>4</v>
      </c>
      <c r="K24" s="50">
        <v>1</v>
      </c>
      <c r="L24" s="50">
        <v>1</v>
      </c>
      <c r="M24" s="50">
        <v>254</v>
      </c>
      <c r="N24" s="50">
        <v>0</v>
      </c>
      <c r="O24" s="15">
        <f t="shared" si="0"/>
        <v>70</v>
      </c>
      <c r="P24" s="15">
        <f t="shared" si="1"/>
        <v>324</v>
      </c>
      <c r="R24" s="38" t="s">
        <v>92</v>
      </c>
      <c r="S24" s="39">
        <f>MAX(S19:S21)</f>
        <v>261</v>
      </c>
      <c r="T24" s="39">
        <f t="shared" ref="T24:AF24" si="16">MAX(T19:T21)</f>
        <v>36</v>
      </c>
      <c r="U24" s="39">
        <f t="shared" si="16"/>
        <v>21</v>
      </c>
      <c r="V24" s="39">
        <f t="shared" si="16"/>
        <v>100</v>
      </c>
      <c r="W24" s="39">
        <f t="shared" si="16"/>
        <v>3</v>
      </c>
      <c r="X24" s="39">
        <f t="shared" si="16"/>
        <v>1</v>
      </c>
      <c r="Y24" s="39">
        <f t="shared" si="16"/>
        <v>36</v>
      </c>
      <c r="Z24" s="39">
        <f t="shared" si="16"/>
        <v>25</v>
      </c>
      <c r="AA24" s="39">
        <f t="shared" si="16"/>
        <v>9</v>
      </c>
      <c r="AB24" s="39">
        <f t="shared" si="16"/>
        <v>2</v>
      </c>
      <c r="AC24" s="39">
        <f t="shared" si="16"/>
        <v>1400</v>
      </c>
      <c r="AD24" s="39">
        <f t="shared" si="16"/>
        <v>2</v>
      </c>
      <c r="AE24" s="40">
        <f t="shared" si="16"/>
        <v>426</v>
      </c>
      <c r="AF24" s="40">
        <f t="shared" si="16"/>
        <v>1826</v>
      </c>
    </row>
    <row r="25" spans="2:32" ht="23.1" customHeight="1" x14ac:dyDescent="0.25">
      <c r="B25" s="23" t="s">
        <v>52</v>
      </c>
      <c r="C25" s="50">
        <v>24</v>
      </c>
      <c r="D25" s="50">
        <v>11</v>
      </c>
      <c r="E25" s="50">
        <v>5</v>
      </c>
      <c r="F25" s="50">
        <v>16</v>
      </c>
      <c r="G25" s="50">
        <v>0</v>
      </c>
      <c r="H25" s="50">
        <v>0</v>
      </c>
      <c r="I25" s="50">
        <v>5</v>
      </c>
      <c r="J25" s="50">
        <v>1</v>
      </c>
      <c r="K25" s="50">
        <v>2</v>
      </c>
      <c r="L25" s="50">
        <v>0</v>
      </c>
      <c r="M25" s="50">
        <v>208</v>
      </c>
      <c r="N25" s="50">
        <v>0</v>
      </c>
      <c r="O25" s="15">
        <f t="shared" si="0"/>
        <v>64</v>
      </c>
      <c r="P25" s="15">
        <f t="shared" si="1"/>
        <v>272</v>
      </c>
      <c r="R25" s="37" t="s">
        <v>85</v>
      </c>
      <c r="S25" s="35">
        <f t="shared" ref="S25:AF25" si="17">SUM(S10:S12)</f>
        <v>239</v>
      </c>
      <c r="T25" s="16">
        <f t="shared" si="17"/>
        <v>74</v>
      </c>
      <c r="U25" s="16">
        <f t="shared" si="17"/>
        <v>28</v>
      </c>
      <c r="V25" s="16">
        <f t="shared" si="17"/>
        <v>244</v>
      </c>
      <c r="W25" s="16">
        <f t="shared" si="17"/>
        <v>13</v>
      </c>
      <c r="X25" s="16">
        <f t="shared" si="17"/>
        <v>1</v>
      </c>
      <c r="Y25" s="16">
        <f t="shared" si="17"/>
        <v>50</v>
      </c>
      <c r="Z25" s="16">
        <f t="shared" si="17"/>
        <v>33</v>
      </c>
      <c r="AA25" s="16">
        <f t="shared" si="17"/>
        <v>14</v>
      </c>
      <c r="AB25" s="16">
        <f t="shared" si="17"/>
        <v>7</v>
      </c>
      <c r="AC25" s="16">
        <f t="shared" si="17"/>
        <v>1669</v>
      </c>
      <c r="AD25" s="16">
        <f t="shared" si="17"/>
        <v>0</v>
      </c>
      <c r="AE25" s="32">
        <f t="shared" si="17"/>
        <v>703</v>
      </c>
      <c r="AF25" s="32">
        <f t="shared" si="17"/>
        <v>2372</v>
      </c>
    </row>
    <row r="26" spans="2:32" ht="23.1" customHeight="1" x14ac:dyDescent="0.25">
      <c r="B26" s="23" t="s">
        <v>53</v>
      </c>
      <c r="C26" s="50">
        <v>29</v>
      </c>
      <c r="D26" s="50">
        <v>3</v>
      </c>
      <c r="E26" s="50">
        <v>4</v>
      </c>
      <c r="F26" s="50">
        <v>9</v>
      </c>
      <c r="G26" s="50">
        <v>1</v>
      </c>
      <c r="H26" s="50">
        <v>0</v>
      </c>
      <c r="I26" s="50">
        <v>7</v>
      </c>
      <c r="J26" s="50">
        <v>2</v>
      </c>
      <c r="K26" s="50">
        <v>0</v>
      </c>
      <c r="L26" s="50">
        <v>0</v>
      </c>
      <c r="M26" s="50">
        <v>284</v>
      </c>
      <c r="N26" s="50">
        <v>0</v>
      </c>
      <c r="O26" s="15">
        <f t="shared" si="0"/>
        <v>55</v>
      </c>
      <c r="P26" s="15">
        <f t="shared" si="1"/>
        <v>339</v>
      </c>
      <c r="R26" s="28" t="s">
        <v>86</v>
      </c>
      <c r="S26" s="16">
        <f t="shared" ref="S26:AF26" si="18">SUM(S13:S18)</f>
        <v>851</v>
      </c>
      <c r="T26" s="16">
        <f t="shared" si="18"/>
        <v>164</v>
      </c>
      <c r="U26" s="16">
        <f t="shared" si="18"/>
        <v>84</v>
      </c>
      <c r="V26" s="16">
        <f t="shared" si="18"/>
        <v>296</v>
      </c>
      <c r="W26" s="16">
        <f t="shared" si="18"/>
        <v>7</v>
      </c>
      <c r="X26" s="16">
        <f t="shared" si="18"/>
        <v>1</v>
      </c>
      <c r="Y26" s="16">
        <f t="shared" si="18"/>
        <v>147</v>
      </c>
      <c r="Z26" s="16">
        <f t="shared" si="18"/>
        <v>142</v>
      </c>
      <c r="AA26" s="16">
        <f t="shared" si="18"/>
        <v>31</v>
      </c>
      <c r="AB26" s="16">
        <f t="shared" si="18"/>
        <v>11</v>
      </c>
      <c r="AC26" s="16">
        <f t="shared" si="18"/>
        <v>4758</v>
      </c>
      <c r="AD26" s="16">
        <f t="shared" si="18"/>
        <v>2</v>
      </c>
      <c r="AE26" s="32">
        <f t="shared" si="18"/>
        <v>1736</v>
      </c>
      <c r="AF26" s="32">
        <f t="shared" si="18"/>
        <v>6494</v>
      </c>
    </row>
    <row r="27" spans="2:32" ht="23.1" customHeight="1" x14ac:dyDescent="0.25">
      <c r="B27" s="23" t="s">
        <v>54</v>
      </c>
      <c r="C27" s="50">
        <v>29</v>
      </c>
      <c r="D27" s="50">
        <v>6</v>
      </c>
      <c r="E27" s="50">
        <v>0</v>
      </c>
      <c r="F27" s="50">
        <v>12</v>
      </c>
      <c r="G27" s="50">
        <v>0</v>
      </c>
      <c r="H27" s="50">
        <v>0</v>
      </c>
      <c r="I27" s="50">
        <v>8</v>
      </c>
      <c r="J27" s="50">
        <v>5</v>
      </c>
      <c r="K27" s="50">
        <v>0</v>
      </c>
      <c r="L27" s="50">
        <v>1</v>
      </c>
      <c r="M27" s="50">
        <v>315</v>
      </c>
      <c r="N27" s="50">
        <v>0</v>
      </c>
      <c r="O27" s="15">
        <f t="shared" si="0"/>
        <v>61</v>
      </c>
      <c r="P27" s="15">
        <f t="shared" si="1"/>
        <v>376</v>
      </c>
      <c r="R27" s="29" t="s">
        <v>87</v>
      </c>
      <c r="S27" s="16">
        <f t="shared" ref="S27:AF27" si="19">SUM(S19:S21)</f>
        <v>669</v>
      </c>
      <c r="T27" s="16">
        <f t="shared" si="19"/>
        <v>90</v>
      </c>
      <c r="U27" s="16">
        <f t="shared" si="19"/>
        <v>55</v>
      </c>
      <c r="V27" s="16">
        <f t="shared" si="19"/>
        <v>190</v>
      </c>
      <c r="W27" s="16">
        <f t="shared" si="19"/>
        <v>6</v>
      </c>
      <c r="X27" s="16">
        <f t="shared" si="19"/>
        <v>1</v>
      </c>
      <c r="Y27" s="16">
        <f t="shared" si="19"/>
        <v>70</v>
      </c>
      <c r="Z27" s="16">
        <f t="shared" si="19"/>
        <v>65</v>
      </c>
      <c r="AA27" s="16">
        <f t="shared" si="19"/>
        <v>14</v>
      </c>
      <c r="AB27" s="16">
        <f t="shared" si="19"/>
        <v>5</v>
      </c>
      <c r="AC27" s="16">
        <f t="shared" si="19"/>
        <v>3723</v>
      </c>
      <c r="AD27" s="16">
        <f t="shared" si="19"/>
        <v>2</v>
      </c>
      <c r="AE27" s="32">
        <f t="shared" si="19"/>
        <v>1167</v>
      </c>
      <c r="AF27" s="32">
        <f t="shared" si="19"/>
        <v>4890</v>
      </c>
    </row>
    <row r="28" spans="2:32" ht="23.1" customHeight="1" x14ac:dyDescent="0.25">
      <c r="B28" s="23" t="s">
        <v>55</v>
      </c>
      <c r="C28" s="50">
        <v>49</v>
      </c>
      <c r="D28" s="50">
        <v>6</v>
      </c>
      <c r="E28" s="50">
        <v>3</v>
      </c>
      <c r="F28" s="50">
        <v>18</v>
      </c>
      <c r="G28" s="50">
        <v>0</v>
      </c>
      <c r="H28" s="50">
        <v>0</v>
      </c>
      <c r="I28" s="50">
        <v>8</v>
      </c>
      <c r="J28" s="50">
        <v>7</v>
      </c>
      <c r="K28" s="50">
        <v>4</v>
      </c>
      <c r="L28" s="50">
        <v>0</v>
      </c>
      <c r="M28" s="50">
        <v>180</v>
      </c>
      <c r="N28" s="50">
        <v>0</v>
      </c>
      <c r="O28" s="15">
        <f t="shared" si="0"/>
        <v>95</v>
      </c>
      <c r="P28" s="15">
        <f t="shared" si="1"/>
        <v>275</v>
      </c>
      <c r="R28" s="5" t="s">
        <v>17</v>
      </c>
      <c r="S28" s="16">
        <f t="shared" ref="S28:AF28" si="20">SUM(S10:S21)</f>
        <v>1759</v>
      </c>
      <c r="T28" s="16">
        <f t="shared" si="20"/>
        <v>328</v>
      </c>
      <c r="U28" s="16">
        <f t="shared" si="20"/>
        <v>167</v>
      </c>
      <c r="V28" s="16">
        <f t="shared" si="20"/>
        <v>730</v>
      </c>
      <c r="W28" s="16">
        <f t="shared" si="20"/>
        <v>26</v>
      </c>
      <c r="X28" s="16">
        <f t="shared" si="20"/>
        <v>3</v>
      </c>
      <c r="Y28" s="16">
        <f t="shared" si="20"/>
        <v>267</v>
      </c>
      <c r="Z28" s="16">
        <f t="shared" si="20"/>
        <v>240</v>
      </c>
      <c r="AA28" s="16">
        <f t="shared" si="20"/>
        <v>59</v>
      </c>
      <c r="AB28" s="16">
        <f t="shared" si="20"/>
        <v>23</v>
      </c>
      <c r="AC28" s="16">
        <f t="shared" si="20"/>
        <v>10150</v>
      </c>
      <c r="AD28" s="16">
        <f t="shared" si="20"/>
        <v>4</v>
      </c>
      <c r="AE28" s="32">
        <f t="shared" si="20"/>
        <v>3606</v>
      </c>
      <c r="AF28" s="32">
        <f t="shared" si="20"/>
        <v>13756</v>
      </c>
    </row>
    <row r="29" spans="2:32" ht="23.1" customHeight="1" x14ac:dyDescent="0.25">
      <c r="B29" s="23" t="s">
        <v>56</v>
      </c>
      <c r="C29" s="50">
        <v>32</v>
      </c>
      <c r="D29" s="50">
        <v>4</v>
      </c>
      <c r="E29" s="50">
        <v>1</v>
      </c>
      <c r="F29" s="50">
        <v>13</v>
      </c>
      <c r="G29" s="50">
        <v>1</v>
      </c>
      <c r="H29" s="50">
        <v>0</v>
      </c>
      <c r="I29" s="50">
        <v>15</v>
      </c>
      <c r="J29" s="50">
        <v>2</v>
      </c>
      <c r="K29" s="50">
        <v>0</v>
      </c>
      <c r="L29" s="50">
        <v>1</v>
      </c>
      <c r="M29" s="50">
        <v>243</v>
      </c>
      <c r="N29" s="50">
        <v>0</v>
      </c>
      <c r="O29" s="15">
        <f t="shared" si="0"/>
        <v>69</v>
      </c>
      <c r="P29" s="15">
        <f t="shared" si="1"/>
        <v>312</v>
      </c>
      <c r="R29"/>
      <c r="S29" s="20"/>
      <c r="T29" s="19"/>
    </row>
    <row r="30" spans="2:32" ht="23.1" customHeight="1" x14ac:dyDescent="0.25">
      <c r="B30" s="23" t="s">
        <v>57</v>
      </c>
      <c r="C30" s="50">
        <v>36</v>
      </c>
      <c r="D30" s="50">
        <v>8</v>
      </c>
      <c r="E30" s="50">
        <v>6</v>
      </c>
      <c r="F30" s="50">
        <v>22</v>
      </c>
      <c r="G30" s="50">
        <v>2</v>
      </c>
      <c r="H30" s="50">
        <v>0</v>
      </c>
      <c r="I30" s="50">
        <v>6</v>
      </c>
      <c r="J30" s="50">
        <v>6</v>
      </c>
      <c r="K30" s="50">
        <v>1</v>
      </c>
      <c r="L30" s="50">
        <v>0</v>
      </c>
      <c r="M30" s="50">
        <v>164</v>
      </c>
      <c r="N30" s="50">
        <v>0</v>
      </c>
      <c r="O30" s="15">
        <f t="shared" si="0"/>
        <v>87</v>
      </c>
      <c r="P30" s="15">
        <f t="shared" si="1"/>
        <v>251</v>
      </c>
    </row>
    <row r="31" spans="2:32" ht="23.1" customHeight="1" x14ac:dyDescent="0.25">
      <c r="B31" s="24" t="s">
        <v>58</v>
      </c>
      <c r="C31" s="50">
        <v>41</v>
      </c>
      <c r="D31" s="50">
        <v>9</v>
      </c>
      <c r="E31" s="50">
        <v>4</v>
      </c>
      <c r="F31" s="50">
        <v>12</v>
      </c>
      <c r="G31" s="50">
        <v>0</v>
      </c>
      <c r="H31" s="50">
        <v>0</v>
      </c>
      <c r="I31" s="50">
        <v>5</v>
      </c>
      <c r="J31" s="50">
        <v>7</v>
      </c>
      <c r="K31" s="50">
        <v>2</v>
      </c>
      <c r="L31" s="50">
        <v>1</v>
      </c>
      <c r="M31" s="50">
        <v>282</v>
      </c>
      <c r="N31" s="50">
        <v>0</v>
      </c>
      <c r="O31" s="15">
        <f t="shared" si="0"/>
        <v>81</v>
      </c>
      <c r="P31" s="15">
        <f t="shared" si="1"/>
        <v>363</v>
      </c>
    </row>
    <row r="32" spans="2:32" ht="23.1" customHeight="1" x14ac:dyDescent="0.25">
      <c r="B32" s="24" t="s">
        <v>59</v>
      </c>
      <c r="C32" s="50">
        <v>28</v>
      </c>
      <c r="D32" s="50">
        <v>8</v>
      </c>
      <c r="E32" s="50">
        <v>2</v>
      </c>
      <c r="F32" s="50">
        <v>18</v>
      </c>
      <c r="G32" s="50">
        <v>0</v>
      </c>
      <c r="H32" s="50">
        <v>0</v>
      </c>
      <c r="I32" s="50">
        <v>4</v>
      </c>
      <c r="J32" s="50">
        <v>5</v>
      </c>
      <c r="K32" s="50">
        <v>0</v>
      </c>
      <c r="L32" s="50">
        <v>0</v>
      </c>
      <c r="M32" s="50">
        <v>313</v>
      </c>
      <c r="N32" s="50">
        <v>0</v>
      </c>
      <c r="O32" s="15">
        <f t="shared" si="0"/>
        <v>65</v>
      </c>
      <c r="P32" s="15">
        <f t="shared" si="1"/>
        <v>378</v>
      </c>
    </row>
    <row r="33" spans="2:20" ht="23.1" customHeight="1" x14ac:dyDescent="0.25">
      <c r="B33" s="23" t="s">
        <v>60</v>
      </c>
      <c r="C33" s="50">
        <v>32</v>
      </c>
      <c r="D33" s="50">
        <v>4</v>
      </c>
      <c r="E33" s="50">
        <v>4</v>
      </c>
      <c r="F33" s="50">
        <v>11</v>
      </c>
      <c r="G33" s="50">
        <v>0</v>
      </c>
      <c r="H33" s="50">
        <v>0</v>
      </c>
      <c r="I33" s="50">
        <v>3</v>
      </c>
      <c r="J33" s="50">
        <v>8</v>
      </c>
      <c r="K33" s="50">
        <v>1</v>
      </c>
      <c r="L33" s="50">
        <v>1</v>
      </c>
      <c r="M33" s="50">
        <v>328</v>
      </c>
      <c r="N33" s="50">
        <v>0</v>
      </c>
      <c r="O33" s="15">
        <f t="shared" si="0"/>
        <v>64</v>
      </c>
      <c r="P33" s="15">
        <f t="shared" si="1"/>
        <v>392</v>
      </c>
    </row>
    <row r="34" spans="2:20" ht="23.1" customHeight="1" x14ac:dyDescent="0.25">
      <c r="B34" s="24" t="s">
        <v>61</v>
      </c>
      <c r="C34" s="50">
        <v>38</v>
      </c>
      <c r="D34" s="50">
        <v>6</v>
      </c>
      <c r="E34" s="50">
        <v>3</v>
      </c>
      <c r="F34" s="50">
        <v>11</v>
      </c>
      <c r="G34" s="50">
        <v>0</v>
      </c>
      <c r="H34" s="50">
        <v>0</v>
      </c>
      <c r="I34" s="50">
        <v>5</v>
      </c>
      <c r="J34" s="50">
        <v>6</v>
      </c>
      <c r="K34" s="50">
        <v>0</v>
      </c>
      <c r="L34" s="50">
        <v>0</v>
      </c>
      <c r="M34" s="50">
        <v>135</v>
      </c>
      <c r="N34" s="50">
        <v>0</v>
      </c>
      <c r="O34" s="15">
        <f t="shared" si="0"/>
        <v>69</v>
      </c>
      <c r="P34" s="15">
        <f t="shared" si="1"/>
        <v>204</v>
      </c>
    </row>
    <row r="35" spans="2:20" ht="23.1" customHeight="1" x14ac:dyDescent="0.25">
      <c r="B35" s="24" t="s">
        <v>62</v>
      </c>
      <c r="C35" s="50">
        <v>38</v>
      </c>
      <c r="D35" s="50">
        <v>15</v>
      </c>
      <c r="E35" s="50">
        <v>4</v>
      </c>
      <c r="F35" s="50">
        <v>12</v>
      </c>
      <c r="G35" s="50">
        <v>0</v>
      </c>
      <c r="H35" s="50">
        <v>0</v>
      </c>
      <c r="I35" s="50">
        <v>7</v>
      </c>
      <c r="J35" s="50">
        <v>6</v>
      </c>
      <c r="K35" s="50">
        <v>0</v>
      </c>
      <c r="L35" s="50">
        <v>0</v>
      </c>
      <c r="M35" s="50">
        <v>148</v>
      </c>
      <c r="N35" s="50">
        <v>0</v>
      </c>
      <c r="O35" s="15">
        <f t="shared" si="0"/>
        <v>82</v>
      </c>
      <c r="P35" s="15">
        <f t="shared" si="1"/>
        <v>230</v>
      </c>
    </row>
    <row r="36" spans="2:20" ht="23.1" customHeight="1" x14ac:dyDescent="0.25">
      <c r="B36" s="24" t="s">
        <v>63</v>
      </c>
      <c r="C36" s="50">
        <v>42</v>
      </c>
      <c r="D36" s="50">
        <v>6</v>
      </c>
      <c r="E36" s="50">
        <v>1</v>
      </c>
      <c r="F36" s="50">
        <v>15</v>
      </c>
      <c r="G36" s="50">
        <v>0</v>
      </c>
      <c r="H36" s="50">
        <v>0</v>
      </c>
      <c r="I36" s="50">
        <v>5</v>
      </c>
      <c r="J36" s="50">
        <v>4</v>
      </c>
      <c r="K36" s="50">
        <v>0</v>
      </c>
      <c r="L36" s="50">
        <v>2</v>
      </c>
      <c r="M36" s="50">
        <v>235</v>
      </c>
      <c r="N36" s="50">
        <v>1</v>
      </c>
      <c r="O36" s="15">
        <f t="shared" si="0"/>
        <v>76</v>
      </c>
      <c r="P36" s="15">
        <f t="shared" si="1"/>
        <v>311</v>
      </c>
    </row>
    <row r="37" spans="2:20" ht="23.1" customHeight="1" x14ac:dyDescent="0.25">
      <c r="B37" s="23" t="s">
        <v>64</v>
      </c>
      <c r="C37" s="50">
        <v>34</v>
      </c>
      <c r="D37" s="50">
        <v>7</v>
      </c>
      <c r="E37" s="50">
        <v>2</v>
      </c>
      <c r="F37" s="50">
        <v>14</v>
      </c>
      <c r="G37" s="50">
        <v>1</v>
      </c>
      <c r="H37" s="50">
        <v>0</v>
      </c>
      <c r="I37" s="50">
        <v>9</v>
      </c>
      <c r="J37" s="50">
        <v>8</v>
      </c>
      <c r="K37" s="50">
        <v>0</v>
      </c>
      <c r="L37" s="50">
        <v>1</v>
      </c>
      <c r="M37" s="50">
        <v>185</v>
      </c>
      <c r="N37" s="50">
        <v>0</v>
      </c>
      <c r="O37" s="15">
        <f t="shared" si="0"/>
        <v>76</v>
      </c>
      <c r="P37" s="15">
        <f t="shared" si="1"/>
        <v>261</v>
      </c>
    </row>
    <row r="38" spans="2:20" ht="23.1" customHeight="1" x14ac:dyDescent="0.25">
      <c r="B38" s="24" t="s">
        <v>65</v>
      </c>
      <c r="C38" s="50">
        <v>49</v>
      </c>
      <c r="D38" s="50">
        <v>4</v>
      </c>
      <c r="E38" s="50">
        <v>6</v>
      </c>
      <c r="F38" s="50">
        <v>6</v>
      </c>
      <c r="G38" s="50">
        <v>0</v>
      </c>
      <c r="H38" s="50">
        <v>0</v>
      </c>
      <c r="I38" s="50">
        <v>8</v>
      </c>
      <c r="J38" s="50">
        <v>8</v>
      </c>
      <c r="K38" s="50">
        <v>1</v>
      </c>
      <c r="L38" s="50">
        <v>0</v>
      </c>
      <c r="M38" s="50">
        <v>158</v>
      </c>
      <c r="N38" s="50">
        <v>0</v>
      </c>
      <c r="O38" s="15">
        <f t="shared" si="0"/>
        <v>82</v>
      </c>
      <c r="P38" s="15">
        <f t="shared" si="1"/>
        <v>240</v>
      </c>
    </row>
    <row r="39" spans="2:20" ht="23.1" customHeight="1" x14ac:dyDescent="0.25">
      <c r="B39" s="24" t="s">
        <v>66</v>
      </c>
      <c r="C39" s="50">
        <v>25</v>
      </c>
      <c r="D39" s="50">
        <v>4</v>
      </c>
      <c r="E39" s="50">
        <v>5</v>
      </c>
      <c r="F39" s="50">
        <v>4</v>
      </c>
      <c r="G39" s="50">
        <v>0</v>
      </c>
      <c r="H39" s="50">
        <v>1</v>
      </c>
      <c r="I39" s="50">
        <v>3</v>
      </c>
      <c r="J39" s="50">
        <v>7</v>
      </c>
      <c r="K39" s="50">
        <v>3</v>
      </c>
      <c r="L39" s="50">
        <v>0</v>
      </c>
      <c r="M39" s="50">
        <v>225</v>
      </c>
      <c r="N39" s="50">
        <v>0</v>
      </c>
      <c r="O39" s="15">
        <f t="shared" si="0"/>
        <v>52</v>
      </c>
      <c r="P39" s="15">
        <f t="shared" si="1"/>
        <v>277</v>
      </c>
    </row>
    <row r="40" spans="2:20" ht="23.1" customHeight="1" x14ac:dyDescent="0.25">
      <c r="B40" s="24" t="s">
        <v>67</v>
      </c>
      <c r="C40" s="50">
        <v>38</v>
      </c>
      <c r="D40" s="50">
        <v>5</v>
      </c>
      <c r="E40" s="50">
        <v>3</v>
      </c>
      <c r="F40" s="50">
        <v>13</v>
      </c>
      <c r="G40" s="50">
        <v>2</v>
      </c>
      <c r="H40" s="50">
        <v>0</v>
      </c>
      <c r="I40" s="50">
        <v>6</v>
      </c>
      <c r="J40" s="50">
        <v>6</v>
      </c>
      <c r="K40" s="50">
        <v>11</v>
      </c>
      <c r="L40" s="50">
        <v>0</v>
      </c>
      <c r="M40" s="50">
        <v>210</v>
      </c>
      <c r="N40" s="50">
        <v>0</v>
      </c>
      <c r="O40" s="15">
        <f t="shared" si="0"/>
        <v>84</v>
      </c>
      <c r="P40" s="15">
        <f t="shared" si="1"/>
        <v>294</v>
      </c>
    </row>
    <row r="41" spans="2:20" ht="23.1" customHeight="1" x14ac:dyDescent="0.25">
      <c r="B41" s="23" t="s">
        <v>68</v>
      </c>
      <c r="C41" s="50">
        <v>16</v>
      </c>
      <c r="D41" s="50">
        <v>2</v>
      </c>
      <c r="E41" s="50">
        <v>3</v>
      </c>
      <c r="F41" s="50">
        <v>2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0</v>
      </c>
      <c r="M41" s="50">
        <v>150</v>
      </c>
      <c r="N41" s="50">
        <v>1</v>
      </c>
      <c r="O41" s="15">
        <f t="shared" si="0"/>
        <v>27</v>
      </c>
      <c r="P41" s="15">
        <f t="shared" si="1"/>
        <v>177</v>
      </c>
    </row>
    <row r="42" spans="2:20" ht="23.1" customHeight="1" x14ac:dyDescent="0.25">
      <c r="B42" s="24" t="s">
        <v>69</v>
      </c>
      <c r="C42" s="50">
        <v>57</v>
      </c>
      <c r="D42" s="50">
        <v>16</v>
      </c>
      <c r="E42" s="50">
        <v>5</v>
      </c>
      <c r="F42" s="50">
        <v>20</v>
      </c>
      <c r="G42" s="50">
        <v>0</v>
      </c>
      <c r="H42" s="50">
        <v>0</v>
      </c>
      <c r="I42" s="50">
        <v>9</v>
      </c>
      <c r="J42" s="50">
        <v>11</v>
      </c>
      <c r="K42" s="50">
        <v>2</v>
      </c>
      <c r="L42" s="50">
        <v>1</v>
      </c>
      <c r="M42" s="50">
        <v>103</v>
      </c>
      <c r="N42" s="50">
        <v>0</v>
      </c>
      <c r="O42" s="15">
        <f t="shared" si="0"/>
        <v>121</v>
      </c>
      <c r="P42" s="15">
        <f t="shared" si="1"/>
        <v>224</v>
      </c>
    </row>
    <row r="43" spans="2:20" ht="23.1" customHeight="1" x14ac:dyDescent="0.25">
      <c r="B43" s="23" t="s">
        <v>70</v>
      </c>
      <c r="C43" s="50">
        <v>40</v>
      </c>
      <c r="D43" s="50">
        <v>5</v>
      </c>
      <c r="E43" s="50">
        <v>2</v>
      </c>
      <c r="F43" s="50">
        <v>5</v>
      </c>
      <c r="G43" s="50">
        <v>0</v>
      </c>
      <c r="H43" s="50">
        <v>0</v>
      </c>
      <c r="I43" s="50">
        <v>3</v>
      </c>
      <c r="J43" s="50">
        <v>3</v>
      </c>
      <c r="K43" s="50">
        <v>0</v>
      </c>
      <c r="L43" s="50">
        <v>1</v>
      </c>
      <c r="M43" s="50">
        <v>15</v>
      </c>
      <c r="N43" s="50">
        <v>0</v>
      </c>
      <c r="O43" s="15">
        <f t="shared" si="0"/>
        <v>59</v>
      </c>
      <c r="P43" s="15">
        <f t="shared" si="1"/>
        <v>74</v>
      </c>
    </row>
    <row r="44" spans="2:20" ht="23.1" customHeight="1" x14ac:dyDescent="0.25">
      <c r="B44" s="25" t="s">
        <v>71</v>
      </c>
      <c r="C44" s="50">
        <v>34</v>
      </c>
      <c r="D44" s="50">
        <v>6</v>
      </c>
      <c r="E44" s="50">
        <v>4</v>
      </c>
      <c r="F44" s="50">
        <v>10</v>
      </c>
      <c r="G44" s="50">
        <v>0</v>
      </c>
      <c r="H44" s="50">
        <v>0</v>
      </c>
      <c r="I44" s="50">
        <v>7</v>
      </c>
      <c r="J44" s="50">
        <v>6</v>
      </c>
      <c r="K44" s="50">
        <v>0</v>
      </c>
      <c r="L44" s="50">
        <v>0</v>
      </c>
      <c r="M44" s="50">
        <v>22</v>
      </c>
      <c r="N44" s="50">
        <v>0</v>
      </c>
      <c r="O44" s="15">
        <f t="shared" si="0"/>
        <v>67</v>
      </c>
      <c r="P44" s="15">
        <f t="shared" si="1"/>
        <v>89</v>
      </c>
    </row>
    <row r="45" spans="2:20" ht="23.1" customHeight="1" x14ac:dyDescent="0.25">
      <c r="B45" s="23" t="s">
        <v>72</v>
      </c>
      <c r="C45" s="50">
        <v>33</v>
      </c>
      <c r="D45" s="50">
        <v>3</v>
      </c>
      <c r="E45" s="50">
        <v>7</v>
      </c>
      <c r="F45" s="50">
        <v>12</v>
      </c>
      <c r="G45" s="50">
        <v>0</v>
      </c>
      <c r="H45" s="50">
        <v>0</v>
      </c>
      <c r="I45" s="50">
        <v>6</v>
      </c>
      <c r="J45" s="50">
        <v>7</v>
      </c>
      <c r="K45" s="50">
        <v>0</v>
      </c>
      <c r="L45" s="50">
        <v>0</v>
      </c>
      <c r="M45" s="50">
        <v>190</v>
      </c>
      <c r="N45" s="50">
        <v>0</v>
      </c>
      <c r="O45" s="15">
        <f t="shared" si="0"/>
        <v>68</v>
      </c>
      <c r="P45" s="15">
        <f t="shared" si="1"/>
        <v>258</v>
      </c>
    </row>
    <row r="46" spans="2:20" ht="23.1" customHeight="1" x14ac:dyDescent="0.25">
      <c r="B46" s="24" t="s">
        <v>73</v>
      </c>
      <c r="C46" s="50">
        <v>45</v>
      </c>
      <c r="D46" s="50">
        <v>5</v>
      </c>
      <c r="E46" s="50">
        <v>5</v>
      </c>
      <c r="F46" s="50">
        <v>12</v>
      </c>
      <c r="G46" s="50">
        <v>1</v>
      </c>
      <c r="H46" s="50">
        <v>0</v>
      </c>
      <c r="I46" s="50">
        <v>13</v>
      </c>
      <c r="J46" s="50">
        <v>7</v>
      </c>
      <c r="K46" s="50">
        <v>0</v>
      </c>
      <c r="L46" s="50">
        <v>1</v>
      </c>
      <c r="M46" s="50">
        <v>270</v>
      </c>
      <c r="N46" s="50">
        <v>0</v>
      </c>
      <c r="O46" s="15">
        <f t="shared" si="0"/>
        <v>89</v>
      </c>
      <c r="P46" s="15">
        <f t="shared" si="1"/>
        <v>359</v>
      </c>
      <c r="R46" s="8"/>
      <c r="T46"/>
    </row>
    <row r="47" spans="2:20" ht="23.1" customHeight="1" x14ac:dyDescent="0.25">
      <c r="B47" s="24" t="s">
        <v>74</v>
      </c>
      <c r="C47" s="50">
        <v>43</v>
      </c>
      <c r="D47" s="50">
        <v>9</v>
      </c>
      <c r="E47" s="50">
        <v>5</v>
      </c>
      <c r="F47" s="50">
        <v>17</v>
      </c>
      <c r="G47" s="50">
        <v>0</v>
      </c>
      <c r="H47" s="50">
        <v>0</v>
      </c>
      <c r="I47" s="50">
        <v>5</v>
      </c>
      <c r="J47" s="50">
        <v>8</v>
      </c>
      <c r="K47" s="50">
        <v>2</v>
      </c>
      <c r="L47" s="50"/>
      <c r="M47" s="50">
        <v>290</v>
      </c>
      <c r="N47" s="50">
        <v>0</v>
      </c>
      <c r="O47" s="15">
        <f t="shared" si="0"/>
        <v>89</v>
      </c>
      <c r="P47" s="15">
        <f t="shared" si="1"/>
        <v>379</v>
      </c>
      <c r="R47" s="8"/>
      <c r="T47"/>
    </row>
    <row r="48" spans="2:20" ht="23.1" customHeight="1" x14ac:dyDescent="0.25">
      <c r="B48" s="24" t="s">
        <v>75</v>
      </c>
      <c r="C48" s="50">
        <v>36</v>
      </c>
      <c r="D48" s="50">
        <v>6</v>
      </c>
      <c r="E48" s="50">
        <v>4</v>
      </c>
      <c r="F48" s="50">
        <v>10</v>
      </c>
      <c r="G48" s="50">
        <v>0</v>
      </c>
      <c r="H48" s="50">
        <v>0</v>
      </c>
      <c r="I48" s="50">
        <v>13</v>
      </c>
      <c r="J48" s="50">
        <v>3</v>
      </c>
      <c r="K48" s="50">
        <v>0</v>
      </c>
      <c r="L48" s="50">
        <v>0</v>
      </c>
      <c r="M48" s="50">
        <v>254</v>
      </c>
      <c r="N48" s="50">
        <v>0</v>
      </c>
      <c r="O48" s="15">
        <f t="shared" si="0"/>
        <v>72</v>
      </c>
      <c r="P48" s="15">
        <f t="shared" si="1"/>
        <v>326</v>
      </c>
      <c r="R48" s="8"/>
      <c r="T48"/>
    </row>
    <row r="49" spans="2:20" ht="23.1" customHeight="1" x14ac:dyDescent="0.25">
      <c r="B49" s="23" t="s">
        <v>76</v>
      </c>
      <c r="C49" s="50">
        <v>54</v>
      </c>
      <c r="D49" s="50">
        <v>5</v>
      </c>
      <c r="E49" s="50">
        <v>4</v>
      </c>
      <c r="F49" s="50">
        <v>21</v>
      </c>
      <c r="G49" s="50">
        <v>2</v>
      </c>
      <c r="H49" s="50">
        <v>0</v>
      </c>
      <c r="I49" s="50">
        <v>5</v>
      </c>
      <c r="J49" s="50">
        <v>1</v>
      </c>
      <c r="K49" s="50">
        <v>1</v>
      </c>
      <c r="L49" s="50">
        <v>1</v>
      </c>
      <c r="M49" s="50">
        <v>285</v>
      </c>
      <c r="N49" s="50">
        <v>0</v>
      </c>
      <c r="O49" s="15">
        <f t="shared" si="0"/>
        <v>94</v>
      </c>
      <c r="P49" s="15">
        <f t="shared" si="1"/>
        <v>379</v>
      </c>
      <c r="R49" s="8"/>
      <c r="T49"/>
    </row>
    <row r="50" spans="2:20" ht="23.1" customHeight="1" x14ac:dyDescent="0.25">
      <c r="B50" s="24" t="s">
        <v>77</v>
      </c>
      <c r="C50" s="50">
        <v>63</v>
      </c>
      <c r="D50" s="50">
        <v>6</v>
      </c>
      <c r="E50" s="50">
        <v>5</v>
      </c>
      <c r="F50" s="50">
        <v>20</v>
      </c>
      <c r="G50" s="50">
        <v>1</v>
      </c>
      <c r="H50" s="50">
        <v>1</v>
      </c>
      <c r="I50" s="50">
        <v>5</v>
      </c>
      <c r="J50" s="50">
        <v>8</v>
      </c>
      <c r="K50" s="50">
        <v>1</v>
      </c>
      <c r="L50" s="50">
        <v>0</v>
      </c>
      <c r="M50" s="50">
        <v>315</v>
      </c>
      <c r="N50" s="50">
        <v>0</v>
      </c>
      <c r="O50" s="15">
        <f t="shared" si="0"/>
        <v>110</v>
      </c>
      <c r="P50" s="15">
        <f t="shared" si="1"/>
        <v>425</v>
      </c>
      <c r="R50" s="8"/>
      <c r="T50"/>
    </row>
    <row r="51" spans="2:20" ht="23.1" customHeight="1" x14ac:dyDescent="0.25">
      <c r="B51" s="24" t="s">
        <v>78</v>
      </c>
      <c r="C51" s="50">
        <v>55</v>
      </c>
      <c r="D51" s="50">
        <v>16</v>
      </c>
      <c r="E51" s="50">
        <v>4</v>
      </c>
      <c r="F51" s="50">
        <v>31</v>
      </c>
      <c r="G51" s="50">
        <v>0</v>
      </c>
      <c r="H51" s="50">
        <v>0</v>
      </c>
      <c r="I51" s="50">
        <v>3</v>
      </c>
      <c r="J51" s="50">
        <v>7</v>
      </c>
      <c r="K51" s="50">
        <v>0</v>
      </c>
      <c r="L51" s="50">
        <v>0</v>
      </c>
      <c r="M51" s="50">
        <v>350</v>
      </c>
      <c r="N51" s="50">
        <v>0</v>
      </c>
      <c r="O51" s="15">
        <f t="shared" si="0"/>
        <v>116</v>
      </c>
      <c r="P51" s="15">
        <f t="shared" si="1"/>
        <v>466</v>
      </c>
      <c r="R51" s="8"/>
      <c r="T51"/>
    </row>
    <row r="52" spans="2:20" ht="23.1" customHeight="1" x14ac:dyDescent="0.25">
      <c r="B52" s="24" t="s">
        <v>79</v>
      </c>
      <c r="C52" s="50">
        <v>51</v>
      </c>
      <c r="D52" s="50">
        <v>12</v>
      </c>
      <c r="E52" s="50">
        <v>7</v>
      </c>
      <c r="F52" s="50">
        <v>33</v>
      </c>
      <c r="G52" s="50">
        <v>1</v>
      </c>
      <c r="H52" s="50">
        <v>0</v>
      </c>
      <c r="I52" s="50">
        <v>4</v>
      </c>
      <c r="J52" s="50">
        <v>7</v>
      </c>
      <c r="K52" s="50">
        <v>1</v>
      </c>
      <c r="L52" s="50">
        <v>1</v>
      </c>
      <c r="M52" s="50">
        <v>310</v>
      </c>
      <c r="N52" s="50">
        <v>0</v>
      </c>
      <c r="O52" s="15">
        <f t="shared" si="0"/>
        <v>117</v>
      </c>
      <c r="P52" s="15">
        <f t="shared" si="1"/>
        <v>427</v>
      </c>
      <c r="R52" s="8"/>
      <c r="T52"/>
    </row>
    <row r="53" spans="2:20" ht="23.1" customHeight="1" x14ac:dyDescent="0.25">
      <c r="B53" s="23" t="s">
        <v>80</v>
      </c>
      <c r="C53" s="50">
        <v>61</v>
      </c>
      <c r="D53" s="50">
        <v>2</v>
      </c>
      <c r="E53" s="50">
        <v>0</v>
      </c>
      <c r="F53" s="50">
        <v>16</v>
      </c>
      <c r="G53" s="50">
        <v>0</v>
      </c>
      <c r="H53" s="50">
        <v>0</v>
      </c>
      <c r="I53" s="50">
        <v>1</v>
      </c>
      <c r="J53" s="50">
        <v>3</v>
      </c>
      <c r="K53" s="50">
        <v>0</v>
      </c>
      <c r="L53" s="50">
        <v>0</v>
      </c>
      <c r="M53" s="50">
        <v>425</v>
      </c>
      <c r="N53" s="50">
        <v>0</v>
      </c>
      <c r="O53" s="15">
        <f t="shared" si="0"/>
        <v>83</v>
      </c>
      <c r="P53" s="15">
        <f t="shared" si="1"/>
        <v>508</v>
      </c>
      <c r="R53" s="8"/>
      <c r="T53"/>
    </row>
    <row r="54" spans="2:20" ht="23.1" customHeight="1" x14ac:dyDescent="0.25">
      <c r="B54" s="23" t="s">
        <v>81</v>
      </c>
      <c r="C54" s="50">
        <v>63</v>
      </c>
      <c r="D54" s="50">
        <v>11</v>
      </c>
      <c r="E54" s="50">
        <v>4</v>
      </c>
      <c r="F54" s="50">
        <v>8</v>
      </c>
      <c r="G54" s="50">
        <v>0</v>
      </c>
      <c r="H54" s="50">
        <v>0</v>
      </c>
      <c r="I54" s="50">
        <v>8</v>
      </c>
      <c r="J54" s="50">
        <v>3</v>
      </c>
      <c r="K54" s="50">
        <v>3</v>
      </c>
      <c r="L54" s="50">
        <v>1</v>
      </c>
      <c r="M54" s="50">
        <v>310</v>
      </c>
      <c r="N54" s="50">
        <v>2</v>
      </c>
      <c r="O54" s="15">
        <f t="shared" si="0"/>
        <v>103</v>
      </c>
      <c r="P54" s="15">
        <f t="shared" si="1"/>
        <v>413</v>
      </c>
      <c r="R54" s="8"/>
      <c r="T54"/>
    </row>
    <row r="55" spans="2:20" ht="23.1" customHeight="1" x14ac:dyDescent="0.25">
      <c r="B55" s="23" t="s">
        <v>82</v>
      </c>
      <c r="C55" s="50">
        <v>70</v>
      </c>
      <c r="D55" s="50">
        <v>11</v>
      </c>
      <c r="E55" s="50">
        <v>4</v>
      </c>
      <c r="F55" s="50">
        <v>12</v>
      </c>
      <c r="G55" s="50">
        <v>1</v>
      </c>
      <c r="H55" s="50">
        <v>0</v>
      </c>
      <c r="I55" s="50">
        <v>3</v>
      </c>
      <c r="J55" s="50">
        <v>2</v>
      </c>
      <c r="K55" s="50">
        <v>4</v>
      </c>
      <c r="L55" s="50">
        <v>0</v>
      </c>
      <c r="M55" s="50">
        <v>350</v>
      </c>
      <c r="N55" s="50">
        <v>0</v>
      </c>
      <c r="O55" s="15">
        <f t="shared" si="0"/>
        <v>107</v>
      </c>
      <c r="P55" s="15">
        <f t="shared" si="1"/>
        <v>457</v>
      </c>
      <c r="R55" s="8"/>
      <c r="T55"/>
    </row>
    <row r="56" spans="2:20" ht="23.1" customHeight="1" x14ac:dyDescent="0.25">
      <c r="B56" s="23" t="s">
        <v>83</v>
      </c>
      <c r="C56" s="50">
        <v>65</v>
      </c>
      <c r="D56" s="50">
        <v>6</v>
      </c>
      <c r="E56" s="50">
        <v>5</v>
      </c>
      <c r="F56" s="50">
        <v>7</v>
      </c>
      <c r="G56" s="50">
        <v>0</v>
      </c>
      <c r="H56" s="50">
        <v>0</v>
      </c>
      <c r="I56" s="50">
        <v>7</v>
      </c>
      <c r="J56" s="50">
        <v>14</v>
      </c>
      <c r="K56" s="50">
        <v>2</v>
      </c>
      <c r="L56" s="50">
        <v>1</v>
      </c>
      <c r="M56" s="50">
        <v>271</v>
      </c>
      <c r="N56" s="50">
        <v>0</v>
      </c>
      <c r="O56" s="15">
        <f t="shared" si="0"/>
        <v>107</v>
      </c>
      <c r="P56" s="15">
        <f t="shared" si="1"/>
        <v>378</v>
      </c>
      <c r="R56" s="8"/>
      <c r="T56"/>
    </row>
    <row r="57" spans="2:20" ht="23.1" customHeight="1" x14ac:dyDescent="0.25">
      <c r="B57" s="23" t="s">
        <v>84</v>
      </c>
      <c r="C57" s="50">
        <v>63</v>
      </c>
      <c r="D57" s="50">
        <v>1</v>
      </c>
      <c r="E57" s="50">
        <v>8</v>
      </c>
      <c r="F57" s="50">
        <v>3</v>
      </c>
      <c r="G57" s="50">
        <v>0</v>
      </c>
      <c r="H57" s="50">
        <v>0</v>
      </c>
      <c r="I57" s="50">
        <v>3</v>
      </c>
      <c r="J57" s="50">
        <v>2</v>
      </c>
      <c r="K57" s="50">
        <v>0</v>
      </c>
      <c r="L57" s="50">
        <v>0</v>
      </c>
      <c r="M57" s="50">
        <v>293</v>
      </c>
      <c r="N57" s="50">
        <v>0</v>
      </c>
      <c r="O57" s="15">
        <f t="shared" si="0"/>
        <v>80</v>
      </c>
      <c r="P57" s="15">
        <f t="shared" si="1"/>
        <v>373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1759</v>
      </c>
      <c r="D58" s="16">
        <f t="shared" si="21"/>
        <v>328</v>
      </c>
      <c r="E58" s="16">
        <f t="shared" si="21"/>
        <v>167</v>
      </c>
      <c r="F58" s="16">
        <f t="shared" si="21"/>
        <v>730</v>
      </c>
      <c r="G58" s="16">
        <f t="shared" si="21"/>
        <v>26</v>
      </c>
      <c r="H58" s="16">
        <f t="shared" si="21"/>
        <v>3</v>
      </c>
      <c r="I58" s="16">
        <f t="shared" si="21"/>
        <v>267</v>
      </c>
      <c r="J58" s="16">
        <f t="shared" si="21"/>
        <v>240</v>
      </c>
      <c r="K58" s="16">
        <f t="shared" si="21"/>
        <v>59</v>
      </c>
      <c r="L58" s="16">
        <f t="shared" si="21"/>
        <v>23</v>
      </c>
      <c r="M58" s="16">
        <f t="shared" si="21"/>
        <v>10150</v>
      </c>
      <c r="N58" s="16">
        <f t="shared" si="21"/>
        <v>4</v>
      </c>
      <c r="O58" s="16">
        <f t="shared" si="21"/>
        <v>3606</v>
      </c>
      <c r="P58" s="16">
        <f t="shared" si="21"/>
        <v>13756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0.12787147426577494</v>
      </c>
      <c r="D59" s="43">
        <f t="shared" si="22"/>
        <v>2.3844140738586799E-2</v>
      </c>
      <c r="E59" s="43">
        <f t="shared" si="22"/>
        <v>1.2140157022390229E-2</v>
      </c>
      <c r="F59" s="43">
        <f t="shared" si="22"/>
        <v>5.3067752253562084E-2</v>
      </c>
      <c r="G59" s="43">
        <f t="shared" si="22"/>
        <v>1.8900843268391974E-3</v>
      </c>
      <c r="H59" s="43">
        <f t="shared" si="22"/>
        <v>2.1808665309683048E-4</v>
      </c>
      <c r="I59" s="43">
        <f t="shared" si="22"/>
        <v>1.9409712125617911E-2</v>
      </c>
      <c r="J59" s="43">
        <f t="shared" si="22"/>
        <v>1.7446932247746436E-2</v>
      </c>
      <c r="K59" s="43">
        <f t="shared" si="22"/>
        <v>4.2890375109043326E-3</v>
      </c>
      <c r="L59" s="43">
        <f t="shared" si="22"/>
        <v>1.671997673742367E-3</v>
      </c>
      <c r="M59" s="43">
        <f t="shared" si="22"/>
        <v>0.73785984297760976</v>
      </c>
      <c r="N59" s="43">
        <f t="shared" si="22"/>
        <v>2.9078220412910729E-4</v>
      </c>
      <c r="R59" s="8"/>
      <c r="T59"/>
    </row>
    <row r="60" spans="2:20" ht="23.1" customHeight="1" x14ac:dyDescent="0.25">
      <c r="B60" s="42" t="s">
        <v>94</v>
      </c>
      <c r="C60" s="44">
        <f>C58/$O$58</f>
        <v>0.48779811425402109</v>
      </c>
      <c r="D60" s="44">
        <f t="shared" ref="D60:N60" si="23">D58/$O$58</f>
        <v>9.0959511924570163E-2</v>
      </c>
      <c r="E60" s="44">
        <f t="shared" si="23"/>
        <v>4.6311702717692735E-2</v>
      </c>
      <c r="F60" s="44">
        <f t="shared" si="23"/>
        <v>0.20244037714919577</v>
      </c>
      <c r="G60" s="44">
        <f t="shared" si="23"/>
        <v>7.2102052135330002E-3</v>
      </c>
      <c r="H60" s="44">
        <f t="shared" si="23"/>
        <v>8.3194675540765393E-4</v>
      </c>
      <c r="I60" s="44">
        <f t="shared" si="23"/>
        <v>7.4043261231281202E-2</v>
      </c>
      <c r="J60" s="44">
        <f t="shared" si="23"/>
        <v>6.6555740432612309E-2</v>
      </c>
      <c r="K60" s="44">
        <f t="shared" si="23"/>
        <v>1.6361619523017193E-2</v>
      </c>
      <c r="L60" s="44">
        <f t="shared" si="23"/>
        <v>6.3782584581253471E-3</v>
      </c>
      <c r="M60" s="44"/>
      <c r="N60" s="44">
        <f t="shared" si="23"/>
        <v>1.1092623405435386E-3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3" zoomScale="60" workbookViewId="0">
      <selection activeCell="D6" sqref="D6:E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'22.07 Lubiri -Ndeeba'!C3:G3</f>
        <v>MCC - C1 - STN03- KALINDA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'22.07 Lubiri -Ndeeba'!D5</f>
        <v>22.07.19</v>
      </c>
      <c r="E5" s="3"/>
      <c r="F5" s="41" t="s">
        <v>1</v>
      </c>
      <c r="G5" s="68" t="str">
        <f>'22.07 Lubiri -Ndeeba'!G5:H5</f>
        <v>Before Shell</v>
      </c>
      <c r="H5" s="69"/>
      <c r="I5" s="14"/>
      <c r="J5" s="2" t="s">
        <v>5</v>
      </c>
      <c r="K5" s="68" t="s">
        <v>177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2" t="s">
        <v>170</v>
      </c>
      <c r="E6" s="63"/>
      <c r="F6" s="2" t="s">
        <v>2</v>
      </c>
      <c r="G6" s="62" t="s">
        <v>171</v>
      </c>
      <c r="H6" s="63"/>
      <c r="J6" s="2" t="s">
        <v>21</v>
      </c>
      <c r="K6" s="68" t="s">
        <v>178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71</v>
      </c>
      <c r="D10" s="50">
        <v>6</v>
      </c>
      <c r="E10" s="50">
        <v>10</v>
      </c>
      <c r="F10" s="50">
        <v>25</v>
      </c>
      <c r="G10" s="50">
        <v>0</v>
      </c>
      <c r="H10" s="50">
        <v>3</v>
      </c>
      <c r="I10" s="50">
        <v>0</v>
      </c>
      <c r="J10" s="50">
        <v>2</v>
      </c>
      <c r="K10" s="50">
        <v>0</v>
      </c>
      <c r="L10" s="50">
        <v>0</v>
      </c>
      <c r="M10" s="50">
        <v>128</v>
      </c>
      <c r="N10" s="50">
        <v>0</v>
      </c>
      <c r="O10" s="15">
        <f t="shared" ref="O10:O57" si="0">SUM(C10:L10,N10)</f>
        <v>117</v>
      </c>
      <c r="P10" s="15">
        <f t="shared" ref="P10:P57" si="1">SUM(C10:N10)</f>
        <v>245</v>
      </c>
      <c r="R10" s="1" t="s">
        <v>6</v>
      </c>
      <c r="S10" s="17">
        <f t="shared" ref="S10:AF10" si="2">SUM(C10:C13)</f>
        <v>259</v>
      </c>
      <c r="T10" s="17">
        <f t="shared" si="2"/>
        <v>29</v>
      </c>
      <c r="U10" s="17">
        <f t="shared" si="2"/>
        <v>23</v>
      </c>
      <c r="V10" s="17">
        <f t="shared" si="2"/>
        <v>89</v>
      </c>
      <c r="W10" s="17">
        <f t="shared" si="2"/>
        <v>0</v>
      </c>
      <c r="X10" s="17">
        <f t="shared" si="2"/>
        <v>3</v>
      </c>
      <c r="Y10" s="17">
        <f t="shared" si="2"/>
        <v>6</v>
      </c>
      <c r="Z10" s="17">
        <f t="shared" si="2"/>
        <v>13</v>
      </c>
      <c r="AA10" s="17">
        <f t="shared" si="2"/>
        <v>0</v>
      </c>
      <c r="AB10" s="17">
        <f t="shared" si="2"/>
        <v>1</v>
      </c>
      <c r="AC10" s="17">
        <f t="shared" si="2"/>
        <v>401</v>
      </c>
      <c r="AD10" s="17">
        <f t="shared" si="2"/>
        <v>0</v>
      </c>
      <c r="AE10" s="31">
        <f t="shared" si="2"/>
        <v>423</v>
      </c>
      <c r="AF10" s="31">
        <f t="shared" si="2"/>
        <v>824</v>
      </c>
    </row>
    <row r="11" spans="2:32" s="6" customFormat="1" ht="23.1" customHeight="1" x14ac:dyDescent="0.25">
      <c r="B11" s="23" t="s">
        <v>38</v>
      </c>
      <c r="C11" s="50">
        <v>83</v>
      </c>
      <c r="D11" s="50">
        <v>10</v>
      </c>
      <c r="E11" s="50">
        <v>3</v>
      </c>
      <c r="F11" s="50">
        <v>20</v>
      </c>
      <c r="G11" s="50">
        <v>0</v>
      </c>
      <c r="H11" s="50">
        <v>0</v>
      </c>
      <c r="I11" s="50">
        <v>4</v>
      </c>
      <c r="J11" s="50">
        <v>5</v>
      </c>
      <c r="K11" s="50">
        <v>0</v>
      </c>
      <c r="L11" s="50">
        <v>1</v>
      </c>
      <c r="M11" s="50">
        <v>107</v>
      </c>
      <c r="N11" s="50">
        <v>0</v>
      </c>
      <c r="O11" s="15">
        <f t="shared" si="0"/>
        <v>126</v>
      </c>
      <c r="P11" s="15">
        <f t="shared" si="1"/>
        <v>233</v>
      </c>
      <c r="R11" s="1" t="s">
        <v>7</v>
      </c>
      <c r="S11" s="17">
        <f t="shared" ref="S11:AF11" si="3">SUM(C14:C17)</f>
        <v>212</v>
      </c>
      <c r="T11" s="17">
        <f t="shared" si="3"/>
        <v>35</v>
      </c>
      <c r="U11" s="17">
        <f t="shared" si="3"/>
        <v>17</v>
      </c>
      <c r="V11" s="17">
        <f t="shared" si="3"/>
        <v>85</v>
      </c>
      <c r="W11" s="17">
        <f t="shared" si="3"/>
        <v>1</v>
      </c>
      <c r="X11" s="17">
        <f t="shared" si="3"/>
        <v>0</v>
      </c>
      <c r="Y11" s="17">
        <f t="shared" si="3"/>
        <v>11</v>
      </c>
      <c r="Z11" s="17">
        <f t="shared" si="3"/>
        <v>27</v>
      </c>
      <c r="AA11" s="17">
        <f t="shared" si="3"/>
        <v>0</v>
      </c>
      <c r="AB11" s="17">
        <f t="shared" si="3"/>
        <v>0</v>
      </c>
      <c r="AC11" s="17">
        <f t="shared" si="3"/>
        <v>466</v>
      </c>
      <c r="AD11" s="17">
        <f t="shared" si="3"/>
        <v>0</v>
      </c>
      <c r="AE11" s="31">
        <f t="shared" si="3"/>
        <v>388</v>
      </c>
      <c r="AF11" s="31">
        <f t="shared" si="3"/>
        <v>854</v>
      </c>
    </row>
    <row r="12" spans="2:32" ht="23.1" customHeight="1" x14ac:dyDescent="0.25">
      <c r="B12" s="23" t="s">
        <v>39</v>
      </c>
      <c r="C12" s="50">
        <v>67</v>
      </c>
      <c r="D12" s="50">
        <v>12</v>
      </c>
      <c r="E12" s="50">
        <v>7</v>
      </c>
      <c r="F12" s="50">
        <v>27</v>
      </c>
      <c r="G12" s="50">
        <v>0</v>
      </c>
      <c r="H12" s="50">
        <v>0</v>
      </c>
      <c r="I12" s="50">
        <v>2</v>
      </c>
      <c r="J12" s="50">
        <v>5</v>
      </c>
      <c r="K12" s="50">
        <v>0</v>
      </c>
      <c r="L12" s="50">
        <v>0</v>
      </c>
      <c r="M12" s="50">
        <v>96</v>
      </c>
      <c r="N12" s="50">
        <v>0</v>
      </c>
      <c r="O12" s="15">
        <f t="shared" si="0"/>
        <v>120</v>
      </c>
      <c r="P12" s="15">
        <f t="shared" si="1"/>
        <v>216</v>
      </c>
      <c r="R12" s="1" t="s">
        <v>8</v>
      </c>
      <c r="S12" s="17">
        <f t="shared" ref="S12:AF12" si="4">SUM(C18:C21)</f>
        <v>302</v>
      </c>
      <c r="T12" s="17">
        <f t="shared" si="4"/>
        <v>26</v>
      </c>
      <c r="U12" s="17">
        <f t="shared" si="4"/>
        <v>28</v>
      </c>
      <c r="V12" s="17">
        <f t="shared" si="4"/>
        <v>64</v>
      </c>
      <c r="W12" s="17">
        <f t="shared" si="4"/>
        <v>2</v>
      </c>
      <c r="X12" s="17">
        <f t="shared" si="4"/>
        <v>0</v>
      </c>
      <c r="Y12" s="17">
        <f t="shared" si="4"/>
        <v>18</v>
      </c>
      <c r="Z12" s="17">
        <f t="shared" si="4"/>
        <v>12</v>
      </c>
      <c r="AA12" s="17">
        <f t="shared" si="4"/>
        <v>2</v>
      </c>
      <c r="AB12" s="17">
        <f t="shared" si="4"/>
        <v>0</v>
      </c>
      <c r="AC12" s="17">
        <f t="shared" si="4"/>
        <v>656</v>
      </c>
      <c r="AD12" s="17">
        <f t="shared" si="4"/>
        <v>0</v>
      </c>
      <c r="AE12" s="31">
        <f t="shared" si="4"/>
        <v>454</v>
      </c>
      <c r="AF12" s="31">
        <f t="shared" si="4"/>
        <v>1110</v>
      </c>
    </row>
    <row r="13" spans="2:32" ht="23.1" customHeight="1" x14ac:dyDescent="0.25">
      <c r="B13" s="23" t="s">
        <v>40</v>
      </c>
      <c r="C13" s="50">
        <v>38</v>
      </c>
      <c r="D13" s="50">
        <v>1</v>
      </c>
      <c r="E13" s="50">
        <v>3</v>
      </c>
      <c r="F13" s="50">
        <v>17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70</v>
      </c>
      <c r="N13" s="50">
        <v>0</v>
      </c>
      <c r="O13" s="15">
        <f t="shared" si="0"/>
        <v>60</v>
      </c>
      <c r="P13" s="15">
        <f t="shared" si="1"/>
        <v>130</v>
      </c>
      <c r="R13" s="1" t="s">
        <v>9</v>
      </c>
      <c r="S13" s="17">
        <f t="shared" ref="S13:AF13" si="5">SUM(C22:C25)</f>
        <v>278</v>
      </c>
      <c r="T13" s="17">
        <f t="shared" si="5"/>
        <v>44</v>
      </c>
      <c r="U13" s="17">
        <f t="shared" si="5"/>
        <v>44</v>
      </c>
      <c r="V13" s="17">
        <f t="shared" si="5"/>
        <v>60</v>
      </c>
      <c r="W13" s="17">
        <f t="shared" si="5"/>
        <v>2</v>
      </c>
      <c r="X13" s="17">
        <f t="shared" si="5"/>
        <v>0</v>
      </c>
      <c r="Y13" s="17">
        <f t="shared" si="5"/>
        <v>51</v>
      </c>
      <c r="Z13" s="17">
        <f t="shared" si="5"/>
        <v>17</v>
      </c>
      <c r="AA13" s="17">
        <f t="shared" si="5"/>
        <v>3</v>
      </c>
      <c r="AB13" s="17">
        <f t="shared" si="5"/>
        <v>1</v>
      </c>
      <c r="AC13" s="17">
        <f t="shared" si="5"/>
        <v>805</v>
      </c>
      <c r="AD13" s="17">
        <f t="shared" si="5"/>
        <v>1</v>
      </c>
      <c r="AE13" s="31">
        <f t="shared" si="5"/>
        <v>501</v>
      </c>
      <c r="AF13" s="31">
        <f t="shared" si="5"/>
        <v>1306</v>
      </c>
    </row>
    <row r="14" spans="2:32" ht="23.1" customHeight="1" x14ac:dyDescent="0.25">
      <c r="B14" s="23" t="s">
        <v>41</v>
      </c>
      <c r="C14" s="50">
        <v>22</v>
      </c>
      <c r="D14" s="50">
        <v>3</v>
      </c>
      <c r="E14" s="50">
        <v>3</v>
      </c>
      <c r="F14" s="50">
        <v>12</v>
      </c>
      <c r="G14" s="50">
        <v>1</v>
      </c>
      <c r="H14" s="50">
        <v>0</v>
      </c>
      <c r="I14" s="50">
        <v>2</v>
      </c>
      <c r="J14" s="50">
        <v>2</v>
      </c>
      <c r="K14" s="50">
        <v>0</v>
      </c>
      <c r="L14" s="50">
        <v>0</v>
      </c>
      <c r="M14" s="50">
        <v>81</v>
      </c>
      <c r="N14" s="50">
        <v>0</v>
      </c>
      <c r="O14" s="15">
        <f t="shared" si="0"/>
        <v>45</v>
      </c>
      <c r="P14" s="15">
        <f t="shared" si="1"/>
        <v>126</v>
      </c>
      <c r="R14" s="1" t="s">
        <v>10</v>
      </c>
      <c r="S14" s="17">
        <f t="shared" ref="S14:AF14" si="6">SUM(C26:C29)</f>
        <v>252</v>
      </c>
      <c r="T14" s="17">
        <f t="shared" si="6"/>
        <v>33</v>
      </c>
      <c r="U14" s="17">
        <f t="shared" si="6"/>
        <v>39</v>
      </c>
      <c r="V14" s="17">
        <f t="shared" si="6"/>
        <v>31</v>
      </c>
      <c r="W14" s="17">
        <f t="shared" si="6"/>
        <v>4</v>
      </c>
      <c r="X14" s="17">
        <f t="shared" si="6"/>
        <v>0</v>
      </c>
      <c r="Y14" s="17">
        <f t="shared" si="6"/>
        <v>24</v>
      </c>
      <c r="Z14" s="17">
        <f t="shared" si="6"/>
        <v>18</v>
      </c>
      <c r="AA14" s="17">
        <f t="shared" si="6"/>
        <v>2</v>
      </c>
      <c r="AB14" s="17">
        <f t="shared" si="6"/>
        <v>2</v>
      </c>
      <c r="AC14" s="17">
        <f t="shared" si="6"/>
        <v>693</v>
      </c>
      <c r="AD14" s="17">
        <f t="shared" si="6"/>
        <v>0</v>
      </c>
      <c r="AE14" s="31">
        <f t="shared" si="6"/>
        <v>405</v>
      </c>
      <c r="AF14" s="31">
        <f t="shared" si="6"/>
        <v>1098</v>
      </c>
    </row>
    <row r="15" spans="2:32" ht="23.1" customHeight="1" x14ac:dyDescent="0.25">
      <c r="B15" s="23" t="s">
        <v>42</v>
      </c>
      <c r="C15" s="50">
        <v>35</v>
      </c>
      <c r="D15" s="50">
        <v>10</v>
      </c>
      <c r="E15" s="50">
        <v>5</v>
      </c>
      <c r="F15" s="50">
        <v>12</v>
      </c>
      <c r="G15" s="50">
        <v>0</v>
      </c>
      <c r="H15" s="50">
        <v>0</v>
      </c>
      <c r="I15" s="50">
        <v>7</v>
      </c>
      <c r="J15" s="50">
        <v>13</v>
      </c>
      <c r="K15" s="50">
        <v>0</v>
      </c>
      <c r="L15" s="50">
        <v>0</v>
      </c>
      <c r="M15" s="50">
        <v>80</v>
      </c>
      <c r="N15" s="50">
        <v>0</v>
      </c>
      <c r="O15" s="15">
        <f t="shared" si="0"/>
        <v>82</v>
      </c>
      <c r="P15" s="15">
        <f t="shared" si="1"/>
        <v>162</v>
      </c>
      <c r="R15" s="1" t="s">
        <v>11</v>
      </c>
      <c r="S15" s="17">
        <f t="shared" ref="S15:AF15" si="7">SUM(C30:C33)</f>
        <v>257</v>
      </c>
      <c r="T15" s="17">
        <f t="shared" si="7"/>
        <v>36</v>
      </c>
      <c r="U15" s="17">
        <f t="shared" si="7"/>
        <v>45</v>
      </c>
      <c r="V15" s="17">
        <f t="shared" si="7"/>
        <v>26</v>
      </c>
      <c r="W15" s="17">
        <f t="shared" si="7"/>
        <v>0</v>
      </c>
      <c r="X15" s="17">
        <f t="shared" si="7"/>
        <v>0</v>
      </c>
      <c r="Y15" s="17">
        <f t="shared" si="7"/>
        <v>16</v>
      </c>
      <c r="Z15" s="17">
        <f t="shared" si="7"/>
        <v>20</v>
      </c>
      <c r="AA15" s="17">
        <f t="shared" si="7"/>
        <v>0</v>
      </c>
      <c r="AB15" s="17">
        <f t="shared" si="7"/>
        <v>4</v>
      </c>
      <c r="AC15" s="17">
        <f t="shared" si="7"/>
        <v>740</v>
      </c>
      <c r="AD15" s="17">
        <f t="shared" si="7"/>
        <v>0</v>
      </c>
      <c r="AE15" s="31">
        <f t="shared" si="7"/>
        <v>404</v>
      </c>
      <c r="AF15" s="31">
        <f t="shared" si="7"/>
        <v>1144</v>
      </c>
    </row>
    <row r="16" spans="2:32" ht="23.1" customHeight="1" x14ac:dyDescent="0.25">
      <c r="B16" s="23" t="s">
        <v>43</v>
      </c>
      <c r="C16" s="50">
        <v>68</v>
      </c>
      <c r="D16" s="50">
        <v>17</v>
      </c>
      <c r="E16" s="50">
        <v>2</v>
      </c>
      <c r="F16" s="50">
        <v>45</v>
      </c>
      <c r="G16" s="50">
        <v>0</v>
      </c>
      <c r="H16" s="50">
        <v>0</v>
      </c>
      <c r="I16" s="50">
        <v>0</v>
      </c>
      <c r="J16" s="50">
        <v>6</v>
      </c>
      <c r="K16" s="50">
        <v>0</v>
      </c>
      <c r="L16" s="50">
        <v>0</v>
      </c>
      <c r="M16" s="50">
        <v>165</v>
      </c>
      <c r="N16" s="50">
        <v>0</v>
      </c>
      <c r="O16" s="15">
        <f t="shared" si="0"/>
        <v>138</v>
      </c>
      <c r="P16" s="15">
        <f t="shared" si="1"/>
        <v>303</v>
      </c>
      <c r="R16" s="1" t="s">
        <v>12</v>
      </c>
      <c r="S16" s="17">
        <f t="shared" ref="S16:AF16" si="8">SUM(C34:C37)</f>
        <v>190</v>
      </c>
      <c r="T16" s="17">
        <f t="shared" si="8"/>
        <v>25</v>
      </c>
      <c r="U16" s="17">
        <f t="shared" si="8"/>
        <v>34</v>
      </c>
      <c r="V16" s="17">
        <f t="shared" si="8"/>
        <v>23</v>
      </c>
      <c r="W16" s="17">
        <f t="shared" si="8"/>
        <v>1</v>
      </c>
      <c r="X16" s="17">
        <f t="shared" si="8"/>
        <v>0</v>
      </c>
      <c r="Y16" s="17">
        <f t="shared" si="8"/>
        <v>19</v>
      </c>
      <c r="Z16" s="17">
        <f t="shared" si="8"/>
        <v>20</v>
      </c>
      <c r="AA16" s="17">
        <f t="shared" si="8"/>
        <v>2</v>
      </c>
      <c r="AB16" s="17">
        <f t="shared" si="8"/>
        <v>4</v>
      </c>
      <c r="AC16" s="17">
        <f t="shared" si="8"/>
        <v>611</v>
      </c>
      <c r="AD16" s="17">
        <f t="shared" si="8"/>
        <v>0</v>
      </c>
      <c r="AE16" s="31">
        <f t="shared" si="8"/>
        <v>318</v>
      </c>
      <c r="AF16" s="31">
        <f t="shared" si="8"/>
        <v>929</v>
      </c>
    </row>
    <row r="17" spans="2:32" ht="23.1" customHeight="1" x14ac:dyDescent="0.25">
      <c r="B17" s="23" t="s">
        <v>44</v>
      </c>
      <c r="C17" s="50">
        <v>87</v>
      </c>
      <c r="D17" s="50">
        <v>5</v>
      </c>
      <c r="E17" s="50">
        <v>7</v>
      </c>
      <c r="F17" s="50">
        <v>16</v>
      </c>
      <c r="G17" s="50">
        <v>0</v>
      </c>
      <c r="H17" s="50">
        <v>0</v>
      </c>
      <c r="I17" s="50">
        <v>2</v>
      </c>
      <c r="J17" s="50">
        <v>6</v>
      </c>
      <c r="K17" s="50">
        <v>0</v>
      </c>
      <c r="L17" s="50">
        <v>0</v>
      </c>
      <c r="M17" s="50">
        <v>140</v>
      </c>
      <c r="N17" s="50">
        <v>0</v>
      </c>
      <c r="O17" s="15">
        <f t="shared" si="0"/>
        <v>123</v>
      </c>
      <c r="P17" s="15">
        <f t="shared" si="1"/>
        <v>263</v>
      </c>
      <c r="R17" s="1" t="s">
        <v>13</v>
      </c>
      <c r="S17" s="17">
        <f t="shared" ref="S17:AF17" si="9">SUM(C38:C41)</f>
        <v>144</v>
      </c>
      <c r="T17" s="17">
        <f t="shared" si="9"/>
        <v>44</v>
      </c>
      <c r="U17" s="17">
        <f t="shared" si="9"/>
        <v>37</v>
      </c>
      <c r="V17" s="17">
        <f t="shared" si="9"/>
        <v>24</v>
      </c>
      <c r="W17" s="17">
        <f t="shared" si="9"/>
        <v>0</v>
      </c>
      <c r="X17" s="17">
        <f t="shared" si="9"/>
        <v>0</v>
      </c>
      <c r="Y17" s="17">
        <f t="shared" si="9"/>
        <v>21</v>
      </c>
      <c r="Z17" s="17">
        <f t="shared" si="9"/>
        <v>13</v>
      </c>
      <c r="AA17" s="17">
        <f t="shared" si="9"/>
        <v>3</v>
      </c>
      <c r="AB17" s="17">
        <f t="shared" si="9"/>
        <v>7</v>
      </c>
      <c r="AC17" s="17">
        <f t="shared" si="9"/>
        <v>599</v>
      </c>
      <c r="AD17" s="17">
        <f t="shared" si="9"/>
        <v>0</v>
      </c>
      <c r="AE17" s="31">
        <f t="shared" si="9"/>
        <v>293</v>
      </c>
      <c r="AF17" s="31">
        <f t="shared" si="9"/>
        <v>892</v>
      </c>
    </row>
    <row r="18" spans="2:32" ht="23.1" customHeight="1" x14ac:dyDescent="0.25">
      <c r="B18" s="23" t="s">
        <v>45</v>
      </c>
      <c r="C18" s="50">
        <v>80</v>
      </c>
      <c r="D18" s="50">
        <v>10</v>
      </c>
      <c r="E18" s="50">
        <v>6</v>
      </c>
      <c r="F18" s="50">
        <v>28</v>
      </c>
      <c r="G18" s="50">
        <v>0</v>
      </c>
      <c r="H18" s="50">
        <v>0</v>
      </c>
      <c r="I18" s="50">
        <v>5</v>
      </c>
      <c r="J18" s="50">
        <v>1</v>
      </c>
      <c r="K18" s="50">
        <v>0</v>
      </c>
      <c r="L18" s="50">
        <v>0</v>
      </c>
      <c r="M18" s="50">
        <v>175</v>
      </c>
      <c r="N18" s="50">
        <v>0</v>
      </c>
      <c r="O18" s="15">
        <f t="shared" si="0"/>
        <v>130</v>
      </c>
      <c r="P18" s="15">
        <f t="shared" si="1"/>
        <v>305</v>
      </c>
      <c r="R18" s="1" t="s">
        <v>14</v>
      </c>
      <c r="S18" s="17">
        <f t="shared" ref="S18:AF18" si="10">SUM(C42:C45)</f>
        <v>143</v>
      </c>
      <c r="T18" s="17">
        <f t="shared" si="10"/>
        <v>22</v>
      </c>
      <c r="U18" s="17">
        <f t="shared" si="10"/>
        <v>34</v>
      </c>
      <c r="V18" s="17">
        <f t="shared" si="10"/>
        <v>18</v>
      </c>
      <c r="W18" s="17">
        <f t="shared" si="10"/>
        <v>0</v>
      </c>
      <c r="X18" s="17">
        <f t="shared" si="10"/>
        <v>0</v>
      </c>
      <c r="Y18" s="17">
        <f t="shared" si="10"/>
        <v>15</v>
      </c>
      <c r="Z18" s="17">
        <f t="shared" si="10"/>
        <v>8</v>
      </c>
      <c r="AA18" s="17">
        <f t="shared" si="10"/>
        <v>0</v>
      </c>
      <c r="AB18" s="17">
        <f t="shared" si="10"/>
        <v>0</v>
      </c>
      <c r="AC18" s="17">
        <f t="shared" si="10"/>
        <v>228</v>
      </c>
      <c r="AD18" s="17">
        <f t="shared" si="10"/>
        <v>0</v>
      </c>
      <c r="AE18" s="31">
        <f t="shared" si="10"/>
        <v>240</v>
      </c>
      <c r="AF18" s="31">
        <f t="shared" si="10"/>
        <v>468</v>
      </c>
    </row>
    <row r="19" spans="2:32" ht="23.1" customHeight="1" x14ac:dyDescent="0.25">
      <c r="B19" s="23" t="s">
        <v>46</v>
      </c>
      <c r="C19" s="50">
        <v>80</v>
      </c>
      <c r="D19" s="50">
        <v>8</v>
      </c>
      <c r="E19" s="50">
        <v>8</v>
      </c>
      <c r="F19" s="50">
        <v>15</v>
      </c>
      <c r="G19" s="50">
        <v>1</v>
      </c>
      <c r="H19" s="50">
        <v>0</v>
      </c>
      <c r="I19" s="50">
        <v>6</v>
      </c>
      <c r="J19" s="50">
        <v>11</v>
      </c>
      <c r="K19" s="50">
        <v>0</v>
      </c>
      <c r="L19" s="50">
        <v>0</v>
      </c>
      <c r="M19" s="50">
        <v>180</v>
      </c>
      <c r="N19" s="50">
        <v>0</v>
      </c>
      <c r="O19" s="15">
        <f t="shared" si="0"/>
        <v>129</v>
      </c>
      <c r="P19" s="15">
        <f t="shared" si="1"/>
        <v>309</v>
      </c>
      <c r="R19" s="1" t="s">
        <v>15</v>
      </c>
      <c r="S19" s="17">
        <f t="shared" ref="S19:AF19" si="11">SUM(C46:C49)</f>
        <v>254</v>
      </c>
      <c r="T19" s="17">
        <f t="shared" si="11"/>
        <v>42</v>
      </c>
      <c r="U19" s="17">
        <f t="shared" si="11"/>
        <v>35</v>
      </c>
      <c r="V19" s="17">
        <f t="shared" si="11"/>
        <v>28</v>
      </c>
      <c r="W19" s="17">
        <f t="shared" si="11"/>
        <v>0</v>
      </c>
      <c r="X19" s="17">
        <f t="shared" si="11"/>
        <v>0</v>
      </c>
      <c r="Y19" s="17">
        <f t="shared" si="11"/>
        <v>15</v>
      </c>
      <c r="Z19" s="17">
        <f t="shared" si="11"/>
        <v>16</v>
      </c>
      <c r="AA19" s="17">
        <f t="shared" si="11"/>
        <v>0</v>
      </c>
      <c r="AB19" s="17">
        <f t="shared" si="11"/>
        <v>0</v>
      </c>
      <c r="AC19" s="17">
        <f t="shared" si="11"/>
        <v>668</v>
      </c>
      <c r="AD19" s="17">
        <f t="shared" si="11"/>
        <v>0</v>
      </c>
      <c r="AE19" s="31">
        <f t="shared" si="11"/>
        <v>390</v>
      </c>
      <c r="AF19" s="31">
        <f t="shared" si="11"/>
        <v>1058</v>
      </c>
    </row>
    <row r="20" spans="2:32" ht="23.1" customHeight="1" x14ac:dyDescent="0.25">
      <c r="B20" s="23" t="s">
        <v>47</v>
      </c>
      <c r="C20" s="50">
        <v>89</v>
      </c>
      <c r="D20" s="50">
        <v>4</v>
      </c>
      <c r="E20" s="50">
        <v>7</v>
      </c>
      <c r="F20" s="50">
        <v>10</v>
      </c>
      <c r="G20" s="50">
        <v>1</v>
      </c>
      <c r="H20" s="50">
        <v>0</v>
      </c>
      <c r="I20" s="50">
        <v>5</v>
      </c>
      <c r="J20" s="50">
        <v>0</v>
      </c>
      <c r="K20" s="50">
        <v>0</v>
      </c>
      <c r="L20" s="50">
        <v>0</v>
      </c>
      <c r="M20" s="50">
        <v>146</v>
      </c>
      <c r="N20" s="50">
        <v>0</v>
      </c>
      <c r="O20" s="15">
        <f t="shared" si="0"/>
        <v>116</v>
      </c>
      <c r="P20" s="15">
        <f t="shared" si="1"/>
        <v>262</v>
      </c>
      <c r="R20" s="1" t="s">
        <v>16</v>
      </c>
      <c r="S20" s="17">
        <f t="shared" ref="S20:AF20" si="12">SUM(C50:C53)</f>
        <v>310</v>
      </c>
      <c r="T20" s="17">
        <f t="shared" si="12"/>
        <v>34</v>
      </c>
      <c r="U20" s="17">
        <f t="shared" si="12"/>
        <v>30</v>
      </c>
      <c r="V20" s="17">
        <f t="shared" si="12"/>
        <v>29</v>
      </c>
      <c r="W20" s="17">
        <f t="shared" si="12"/>
        <v>1</v>
      </c>
      <c r="X20" s="17">
        <f t="shared" si="12"/>
        <v>0</v>
      </c>
      <c r="Y20" s="17">
        <f t="shared" si="12"/>
        <v>12</v>
      </c>
      <c r="Z20" s="17">
        <f t="shared" si="12"/>
        <v>17</v>
      </c>
      <c r="AA20" s="17">
        <f t="shared" si="12"/>
        <v>3</v>
      </c>
      <c r="AB20" s="17">
        <f t="shared" si="12"/>
        <v>1</v>
      </c>
      <c r="AC20" s="17">
        <f t="shared" si="12"/>
        <v>793</v>
      </c>
      <c r="AD20" s="17">
        <f t="shared" si="12"/>
        <v>0</v>
      </c>
      <c r="AE20" s="31">
        <f t="shared" si="12"/>
        <v>437</v>
      </c>
      <c r="AF20" s="31">
        <f t="shared" si="12"/>
        <v>1230</v>
      </c>
    </row>
    <row r="21" spans="2:32" ht="23.1" customHeight="1" x14ac:dyDescent="0.25">
      <c r="B21" s="23" t="s">
        <v>48</v>
      </c>
      <c r="C21" s="50">
        <v>53</v>
      </c>
      <c r="D21" s="50">
        <v>4</v>
      </c>
      <c r="E21" s="50">
        <v>7</v>
      </c>
      <c r="F21" s="50">
        <v>11</v>
      </c>
      <c r="G21" s="50">
        <v>0</v>
      </c>
      <c r="H21" s="50">
        <v>0</v>
      </c>
      <c r="I21" s="50">
        <v>2</v>
      </c>
      <c r="J21" s="50">
        <v>0</v>
      </c>
      <c r="K21" s="50">
        <v>2</v>
      </c>
      <c r="L21" s="50">
        <v>0</v>
      </c>
      <c r="M21" s="50">
        <v>155</v>
      </c>
      <c r="N21" s="50">
        <v>0</v>
      </c>
      <c r="O21" s="15">
        <f t="shared" si="0"/>
        <v>79</v>
      </c>
      <c r="P21" s="15">
        <f t="shared" si="1"/>
        <v>234</v>
      </c>
      <c r="R21" s="36" t="s">
        <v>20</v>
      </c>
      <c r="S21" s="34">
        <f t="shared" ref="S21:AF21" si="13">SUM(C54:C57)</f>
        <v>225</v>
      </c>
      <c r="T21" s="17">
        <f t="shared" si="13"/>
        <v>34</v>
      </c>
      <c r="U21" s="17">
        <f t="shared" si="13"/>
        <v>24</v>
      </c>
      <c r="V21" s="17">
        <f t="shared" si="13"/>
        <v>69</v>
      </c>
      <c r="W21" s="17">
        <f t="shared" si="13"/>
        <v>2</v>
      </c>
      <c r="X21" s="17">
        <f t="shared" si="13"/>
        <v>1</v>
      </c>
      <c r="Y21" s="17">
        <f t="shared" si="13"/>
        <v>12</v>
      </c>
      <c r="Z21" s="17">
        <f t="shared" si="13"/>
        <v>10</v>
      </c>
      <c r="AA21" s="17">
        <f t="shared" si="13"/>
        <v>5</v>
      </c>
      <c r="AB21" s="17">
        <f t="shared" si="13"/>
        <v>0</v>
      </c>
      <c r="AC21" s="17">
        <f t="shared" si="13"/>
        <v>870</v>
      </c>
      <c r="AD21" s="17">
        <f t="shared" si="13"/>
        <v>0</v>
      </c>
      <c r="AE21" s="31">
        <f t="shared" si="13"/>
        <v>382</v>
      </c>
      <c r="AF21" s="31">
        <f t="shared" si="13"/>
        <v>1252</v>
      </c>
    </row>
    <row r="22" spans="2:32" ht="23.1" customHeight="1" x14ac:dyDescent="0.25">
      <c r="B22" s="23" t="s">
        <v>49</v>
      </c>
      <c r="C22" s="50">
        <v>100</v>
      </c>
      <c r="D22" s="50">
        <v>8</v>
      </c>
      <c r="E22" s="50">
        <v>8</v>
      </c>
      <c r="F22" s="50">
        <v>13</v>
      </c>
      <c r="G22" s="50">
        <v>0</v>
      </c>
      <c r="H22" s="50">
        <v>0</v>
      </c>
      <c r="I22" s="50">
        <v>14</v>
      </c>
      <c r="J22" s="50">
        <v>1</v>
      </c>
      <c r="K22" s="50">
        <v>1</v>
      </c>
      <c r="L22" s="50">
        <v>1</v>
      </c>
      <c r="M22" s="50">
        <v>191</v>
      </c>
      <c r="N22" s="50">
        <v>1</v>
      </c>
      <c r="O22" s="15">
        <f t="shared" si="0"/>
        <v>147</v>
      </c>
      <c r="P22" s="15">
        <f t="shared" si="1"/>
        <v>338</v>
      </c>
      <c r="R22" s="38" t="s">
        <v>90</v>
      </c>
      <c r="S22" s="39">
        <f>MAX(S10:S12)</f>
        <v>302</v>
      </c>
      <c r="T22" s="39">
        <f t="shared" ref="T22:AF22" si="14">MAX(T10:T12)</f>
        <v>35</v>
      </c>
      <c r="U22" s="39">
        <f t="shared" si="14"/>
        <v>28</v>
      </c>
      <c r="V22" s="39">
        <f t="shared" si="14"/>
        <v>89</v>
      </c>
      <c r="W22" s="39">
        <f t="shared" si="14"/>
        <v>2</v>
      </c>
      <c r="X22" s="39">
        <f t="shared" si="14"/>
        <v>3</v>
      </c>
      <c r="Y22" s="39">
        <f t="shared" si="14"/>
        <v>18</v>
      </c>
      <c r="Z22" s="39">
        <f t="shared" si="14"/>
        <v>27</v>
      </c>
      <c r="AA22" s="39">
        <f t="shared" si="14"/>
        <v>2</v>
      </c>
      <c r="AB22" s="39">
        <f t="shared" si="14"/>
        <v>1</v>
      </c>
      <c r="AC22" s="39">
        <f t="shared" si="14"/>
        <v>656</v>
      </c>
      <c r="AD22" s="39">
        <f t="shared" si="14"/>
        <v>0</v>
      </c>
      <c r="AE22" s="40">
        <f t="shared" si="14"/>
        <v>454</v>
      </c>
      <c r="AF22" s="40">
        <f t="shared" si="14"/>
        <v>1110</v>
      </c>
    </row>
    <row r="23" spans="2:32" ht="23.1" customHeight="1" x14ac:dyDescent="0.25">
      <c r="B23" s="23" t="s">
        <v>50</v>
      </c>
      <c r="C23" s="50">
        <v>85</v>
      </c>
      <c r="D23" s="50">
        <v>20</v>
      </c>
      <c r="E23" s="50">
        <v>19</v>
      </c>
      <c r="F23" s="50">
        <v>25</v>
      </c>
      <c r="G23" s="50">
        <v>1</v>
      </c>
      <c r="H23" s="50">
        <v>0</v>
      </c>
      <c r="I23" s="50">
        <v>22</v>
      </c>
      <c r="J23" s="50">
        <v>10</v>
      </c>
      <c r="K23" s="50">
        <v>1</v>
      </c>
      <c r="L23" s="50">
        <v>0</v>
      </c>
      <c r="M23" s="50">
        <v>195</v>
      </c>
      <c r="N23" s="50">
        <v>0</v>
      </c>
      <c r="O23" s="15">
        <f t="shared" si="0"/>
        <v>183</v>
      </c>
      <c r="P23" s="15">
        <f t="shared" si="1"/>
        <v>378</v>
      </c>
      <c r="R23" s="38" t="s">
        <v>91</v>
      </c>
      <c r="S23" s="39">
        <f>MAX(S13:S18)</f>
        <v>278</v>
      </c>
      <c r="T23" s="39">
        <f t="shared" ref="T23:AF23" si="15">MAX(T13:T18)</f>
        <v>44</v>
      </c>
      <c r="U23" s="39">
        <f t="shared" si="15"/>
        <v>45</v>
      </c>
      <c r="V23" s="39">
        <f t="shared" si="15"/>
        <v>60</v>
      </c>
      <c r="W23" s="39">
        <f t="shared" si="15"/>
        <v>4</v>
      </c>
      <c r="X23" s="39">
        <f t="shared" si="15"/>
        <v>0</v>
      </c>
      <c r="Y23" s="39">
        <f t="shared" si="15"/>
        <v>51</v>
      </c>
      <c r="Z23" s="39">
        <f t="shared" si="15"/>
        <v>20</v>
      </c>
      <c r="AA23" s="39">
        <f t="shared" si="15"/>
        <v>3</v>
      </c>
      <c r="AB23" s="39">
        <f t="shared" si="15"/>
        <v>7</v>
      </c>
      <c r="AC23" s="39">
        <f t="shared" si="15"/>
        <v>805</v>
      </c>
      <c r="AD23" s="39">
        <f t="shared" si="15"/>
        <v>1</v>
      </c>
      <c r="AE23" s="40">
        <f t="shared" si="15"/>
        <v>501</v>
      </c>
      <c r="AF23" s="40">
        <f t="shared" si="15"/>
        <v>1306</v>
      </c>
    </row>
    <row r="24" spans="2:32" ht="23.1" customHeight="1" x14ac:dyDescent="0.25">
      <c r="B24" s="23" t="s">
        <v>51</v>
      </c>
      <c r="C24" s="50">
        <v>48</v>
      </c>
      <c r="D24" s="50">
        <v>10</v>
      </c>
      <c r="E24" s="50">
        <v>9</v>
      </c>
      <c r="F24" s="50">
        <v>7</v>
      </c>
      <c r="G24" s="50">
        <v>0</v>
      </c>
      <c r="H24" s="50">
        <v>0</v>
      </c>
      <c r="I24" s="50">
        <v>6</v>
      </c>
      <c r="J24" s="50">
        <v>2</v>
      </c>
      <c r="K24" s="50">
        <v>0</v>
      </c>
      <c r="L24" s="50">
        <v>0</v>
      </c>
      <c r="M24" s="50">
        <v>230</v>
      </c>
      <c r="N24" s="50">
        <v>0</v>
      </c>
      <c r="O24" s="15">
        <f t="shared" si="0"/>
        <v>82</v>
      </c>
      <c r="P24" s="15">
        <f t="shared" si="1"/>
        <v>312</v>
      </c>
      <c r="R24" s="38" t="s">
        <v>92</v>
      </c>
      <c r="S24" s="39">
        <f>MAX(S19:S21)</f>
        <v>310</v>
      </c>
      <c r="T24" s="39">
        <f t="shared" ref="T24:AF24" si="16">MAX(T19:T21)</f>
        <v>42</v>
      </c>
      <c r="U24" s="39">
        <f t="shared" si="16"/>
        <v>35</v>
      </c>
      <c r="V24" s="39">
        <f t="shared" si="16"/>
        <v>69</v>
      </c>
      <c r="W24" s="39">
        <f t="shared" si="16"/>
        <v>2</v>
      </c>
      <c r="X24" s="39">
        <f t="shared" si="16"/>
        <v>1</v>
      </c>
      <c r="Y24" s="39">
        <f t="shared" si="16"/>
        <v>15</v>
      </c>
      <c r="Z24" s="39">
        <f t="shared" si="16"/>
        <v>17</v>
      </c>
      <c r="AA24" s="39">
        <f t="shared" si="16"/>
        <v>5</v>
      </c>
      <c r="AB24" s="39">
        <f t="shared" si="16"/>
        <v>1</v>
      </c>
      <c r="AC24" s="39">
        <f t="shared" si="16"/>
        <v>870</v>
      </c>
      <c r="AD24" s="39">
        <f t="shared" si="16"/>
        <v>0</v>
      </c>
      <c r="AE24" s="40">
        <f t="shared" si="16"/>
        <v>437</v>
      </c>
      <c r="AF24" s="40">
        <f t="shared" si="16"/>
        <v>1252</v>
      </c>
    </row>
    <row r="25" spans="2:32" ht="23.1" customHeight="1" x14ac:dyDescent="0.25">
      <c r="B25" s="23" t="s">
        <v>52</v>
      </c>
      <c r="C25" s="50">
        <v>45</v>
      </c>
      <c r="D25" s="50">
        <v>6</v>
      </c>
      <c r="E25" s="50">
        <v>8</v>
      </c>
      <c r="F25" s="50">
        <v>15</v>
      </c>
      <c r="G25" s="50">
        <v>1</v>
      </c>
      <c r="H25" s="50">
        <v>0</v>
      </c>
      <c r="I25" s="50">
        <v>9</v>
      </c>
      <c r="J25" s="50">
        <v>4</v>
      </c>
      <c r="K25" s="50">
        <v>1</v>
      </c>
      <c r="L25" s="50">
        <v>0</v>
      </c>
      <c r="M25" s="50">
        <v>189</v>
      </c>
      <c r="N25" s="50">
        <v>0</v>
      </c>
      <c r="O25" s="15">
        <f t="shared" si="0"/>
        <v>89</v>
      </c>
      <c r="P25" s="15">
        <f t="shared" si="1"/>
        <v>278</v>
      </c>
      <c r="R25" s="37" t="s">
        <v>85</v>
      </c>
      <c r="S25" s="35">
        <f t="shared" ref="S25:AF25" si="17">SUM(S10:S12)</f>
        <v>773</v>
      </c>
      <c r="T25" s="16">
        <f t="shared" si="17"/>
        <v>90</v>
      </c>
      <c r="U25" s="16">
        <f t="shared" si="17"/>
        <v>68</v>
      </c>
      <c r="V25" s="16">
        <f t="shared" si="17"/>
        <v>238</v>
      </c>
      <c r="W25" s="16">
        <f t="shared" si="17"/>
        <v>3</v>
      </c>
      <c r="X25" s="16">
        <f t="shared" si="17"/>
        <v>3</v>
      </c>
      <c r="Y25" s="16">
        <f t="shared" si="17"/>
        <v>35</v>
      </c>
      <c r="Z25" s="16">
        <f t="shared" si="17"/>
        <v>52</v>
      </c>
      <c r="AA25" s="16">
        <f t="shared" si="17"/>
        <v>2</v>
      </c>
      <c r="AB25" s="16">
        <f t="shared" si="17"/>
        <v>1</v>
      </c>
      <c r="AC25" s="16">
        <f t="shared" si="17"/>
        <v>1523</v>
      </c>
      <c r="AD25" s="16">
        <f t="shared" si="17"/>
        <v>0</v>
      </c>
      <c r="AE25" s="32">
        <f t="shared" si="17"/>
        <v>1265</v>
      </c>
      <c r="AF25" s="32">
        <f t="shared" si="17"/>
        <v>2788</v>
      </c>
    </row>
    <row r="26" spans="2:32" ht="23.1" customHeight="1" x14ac:dyDescent="0.25">
      <c r="B26" s="23" t="s">
        <v>53</v>
      </c>
      <c r="C26" s="50">
        <v>75</v>
      </c>
      <c r="D26" s="50">
        <v>7</v>
      </c>
      <c r="E26" s="50">
        <v>13</v>
      </c>
      <c r="F26" s="50">
        <v>5</v>
      </c>
      <c r="G26" s="50">
        <v>0</v>
      </c>
      <c r="H26" s="50">
        <v>0</v>
      </c>
      <c r="I26" s="50">
        <v>7</v>
      </c>
      <c r="J26" s="50">
        <v>5</v>
      </c>
      <c r="K26" s="50">
        <v>1</v>
      </c>
      <c r="L26" s="50">
        <v>0</v>
      </c>
      <c r="M26" s="50">
        <v>196</v>
      </c>
      <c r="N26" s="50">
        <v>0</v>
      </c>
      <c r="O26" s="15">
        <f t="shared" si="0"/>
        <v>113</v>
      </c>
      <c r="P26" s="15">
        <f t="shared" si="1"/>
        <v>309</v>
      </c>
      <c r="R26" s="28" t="s">
        <v>86</v>
      </c>
      <c r="S26" s="16">
        <f t="shared" ref="S26:AF26" si="18">SUM(S13:S18)</f>
        <v>1264</v>
      </c>
      <c r="T26" s="16">
        <f t="shared" si="18"/>
        <v>204</v>
      </c>
      <c r="U26" s="16">
        <f t="shared" si="18"/>
        <v>233</v>
      </c>
      <c r="V26" s="16">
        <f t="shared" si="18"/>
        <v>182</v>
      </c>
      <c r="W26" s="16">
        <f t="shared" si="18"/>
        <v>7</v>
      </c>
      <c r="X26" s="16">
        <f t="shared" si="18"/>
        <v>0</v>
      </c>
      <c r="Y26" s="16">
        <f t="shared" si="18"/>
        <v>146</v>
      </c>
      <c r="Z26" s="16">
        <f t="shared" si="18"/>
        <v>96</v>
      </c>
      <c r="AA26" s="16">
        <f t="shared" si="18"/>
        <v>10</v>
      </c>
      <c r="AB26" s="16">
        <f t="shared" si="18"/>
        <v>18</v>
      </c>
      <c r="AC26" s="16">
        <f t="shared" si="18"/>
        <v>3676</v>
      </c>
      <c r="AD26" s="16">
        <f t="shared" si="18"/>
        <v>1</v>
      </c>
      <c r="AE26" s="32">
        <f t="shared" si="18"/>
        <v>2161</v>
      </c>
      <c r="AF26" s="32">
        <f t="shared" si="18"/>
        <v>5837</v>
      </c>
    </row>
    <row r="27" spans="2:32" ht="23.1" customHeight="1" x14ac:dyDescent="0.25">
      <c r="B27" s="23" t="s">
        <v>54</v>
      </c>
      <c r="C27" s="50">
        <v>78</v>
      </c>
      <c r="D27" s="50">
        <v>13</v>
      </c>
      <c r="E27" s="50">
        <v>9</v>
      </c>
      <c r="F27" s="50">
        <v>9</v>
      </c>
      <c r="G27" s="50">
        <v>2</v>
      </c>
      <c r="H27" s="50">
        <v>0</v>
      </c>
      <c r="I27" s="50">
        <v>13</v>
      </c>
      <c r="J27" s="50">
        <v>10</v>
      </c>
      <c r="K27" s="50">
        <v>1</v>
      </c>
      <c r="L27" s="50">
        <v>0</v>
      </c>
      <c r="M27" s="50">
        <v>198</v>
      </c>
      <c r="N27" s="50">
        <v>0</v>
      </c>
      <c r="O27" s="15">
        <f t="shared" si="0"/>
        <v>135</v>
      </c>
      <c r="P27" s="15">
        <f t="shared" si="1"/>
        <v>333</v>
      </c>
      <c r="R27" s="29" t="s">
        <v>87</v>
      </c>
      <c r="S27" s="16">
        <f t="shared" ref="S27:AF27" si="19">SUM(S19:S21)</f>
        <v>789</v>
      </c>
      <c r="T27" s="16">
        <f t="shared" si="19"/>
        <v>110</v>
      </c>
      <c r="U27" s="16">
        <f t="shared" si="19"/>
        <v>89</v>
      </c>
      <c r="V27" s="16">
        <f t="shared" si="19"/>
        <v>126</v>
      </c>
      <c r="W27" s="16">
        <f t="shared" si="19"/>
        <v>3</v>
      </c>
      <c r="X27" s="16">
        <f t="shared" si="19"/>
        <v>1</v>
      </c>
      <c r="Y27" s="16">
        <f t="shared" si="19"/>
        <v>39</v>
      </c>
      <c r="Z27" s="16">
        <f t="shared" si="19"/>
        <v>43</v>
      </c>
      <c r="AA27" s="16">
        <f t="shared" si="19"/>
        <v>8</v>
      </c>
      <c r="AB27" s="16">
        <f t="shared" si="19"/>
        <v>1</v>
      </c>
      <c r="AC27" s="16">
        <f t="shared" si="19"/>
        <v>2331</v>
      </c>
      <c r="AD27" s="16">
        <f t="shared" si="19"/>
        <v>0</v>
      </c>
      <c r="AE27" s="32">
        <f t="shared" si="19"/>
        <v>1209</v>
      </c>
      <c r="AF27" s="32">
        <f t="shared" si="19"/>
        <v>3540</v>
      </c>
    </row>
    <row r="28" spans="2:32" ht="23.1" customHeight="1" x14ac:dyDescent="0.25">
      <c r="B28" s="23" t="s">
        <v>55</v>
      </c>
      <c r="C28" s="50">
        <v>51</v>
      </c>
      <c r="D28" s="50">
        <v>2</v>
      </c>
      <c r="E28" s="50">
        <v>5</v>
      </c>
      <c r="F28" s="50">
        <v>12</v>
      </c>
      <c r="G28" s="50">
        <v>0</v>
      </c>
      <c r="H28" s="50">
        <v>0</v>
      </c>
      <c r="I28" s="50">
        <v>2</v>
      </c>
      <c r="J28" s="50">
        <v>2</v>
      </c>
      <c r="K28" s="50">
        <v>0</v>
      </c>
      <c r="L28" s="50">
        <v>1</v>
      </c>
      <c r="M28" s="50">
        <v>132</v>
      </c>
      <c r="N28" s="50">
        <v>0</v>
      </c>
      <c r="O28" s="15">
        <f t="shared" si="0"/>
        <v>75</v>
      </c>
      <c r="P28" s="15">
        <f t="shared" si="1"/>
        <v>207</v>
      </c>
      <c r="R28" s="5" t="s">
        <v>17</v>
      </c>
      <c r="S28" s="16">
        <f t="shared" ref="S28:AF28" si="20">SUM(S10:S21)</f>
        <v>2826</v>
      </c>
      <c r="T28" s="16">
        <f t="shared" si="20"/>
        <v>404</v>
      </c>
      <c r="U28" s="16">
        <f t="shared" si="20"/>
        <v>390</v>
      </c>
      <c r="V28" s="16">
        <f t="shared" si="20"/>
        <v>546</v>
      </c>
      <c r="W28" s="16">
        <f t="shared" si="20"/>
        <v>13</v>
      </c>
      <c r="X28" s="16">
        <f t="shared" si="20"/>
        <v>4</v>
      </c>
      <c r="Y28" s="16">
        <f t="shared" si="20"/>
        <v>220</v>
      </c>
      <c r="Z28" s="16">
        <f t="shared" si="20"/>
        <v>191</v>
      </c>
      <c r="AA28" s="16">
        <f t="shared" si="20"/>
        <v>20</v>
      </c>
      <c r="AB28" s="16">
        <f t="shared" si="20"/>
        <v>20</v>
      </c>
      <c r="AC28" s="16">
        <f t="shared" si="20"/>
        <v>7530</v>
      </c>
      <c r="AD28" s="16">
        <f t="shared" si="20"/>
        <v>1</v>
      </c>
      <c r="AE28" s="32">
        <f t="shared" si="20"/>
        <v>4635</v>
      </c>
      <c r="AF28" s="32">
        <f t="shared" si="20"/>
        <v>12165</v>
      </c>
    </row>
    <row r="29" spans="2:32" ht="23.1" customHeight="1" x14ac:dyDescent="0.25">
      <c r="B29" s="23" t="s">
        <v>56</v>
      </c>
      <c r="C29" s="50">
        <v>48</v>
      </c>
      <c r="D29" s="50">
        <v>11</v>
      </c>
      <c r="E29" s="50">
        <v>12</v>
      </c>
      <c r="F29" s="50">
        <v>5</v>
      </c>
      <c r="G29" s="50">
        <v>2</v>
      </c>
      <c r="H29" s="50">
        <v>0</v>
      </c>
      <c r="I29" s="50">
        <v>2</v>
      </c>
      <c r="J29" s="50">
        <v>1</v>
      </c>
      <c r="K29" s="50">
        <v>0</v>
      </c>
      <c r="L29" s="50">
        <v>1</v>
      </c>
      <c r="M29" s="50">
        <v>167</v>
      </c>
      <c r="N29" s="50">
        <v>0</v>
      </c>
      <c r="O29" s="15">
        <f t="shared" si="0"/>
        <v>82</v>
      </c>
      <c r="P29" s="15">
        <f t="shared" si="1"/>
        <v>249</v>
      </c>
      <c r="R29"/>
      <c r="S29" s="20"/>
      <c r="T29" s="19"/>
    </row>
    <row r="30" spans="2:32" ht="23.1" customHeight="1" x14ac:dyDescent="0.25">
      <c r="B30" s="23" t="s">
        <v>57</v>
      </c>
      <c r="C30" s="50">
        <v>65</v>
      </c>
      <c r="D30" s="50">
        <v>9</v>
      </c>
      <c r="E30" s="50">
        <v>11</v>
      </c>
      <c r="F30" s="50">
        <v>7</v>
      </c>
      <c r="G30" s="50">
        <v>0</v>
      </c>
      <c r="H30" s="50">
        <v>0</v>
      </c>
      <c r="I30" s="50">
        <v>2</v>
      </c>
      <c r="J30" s="50">
        <v>4</v>
      </c>
      <c r="K30" s="50">
        <v>0</v>
      </c>
      <c r="L30" s="50">
        <v>1</v>
      </c>
      <c r="M30" s="50">
        <v>180</v>
      </c>
      <c r="N30" s="50">
        <v>0</v>
      </c>
      <c r="O30" s="15">
        <f t="shared" si="0"/>
        <v>99</v>
      </c>
      <c r="P30" s="15">
        <f t="shared" si="1"/>
        <v>279</v>
      </c>
    </row>
    <row r="31" spans="2:32" ht="23.1" customHeight="1" x14ac:dyDescent="0.25">
      <c r="B31" s="24" t="s">
        <v>58</v>
      </c>
      <c r="C31" s="50">
        <v>102</v>
      </c>
      <c r="D31" s="50">
        <v>14</v>
      </c>
      <c r="E31" s="50">
        <v>10</v>
      </c>
      <c r="F31" s="50">
        <v>4</v>
      </c>
      <c r="G31" s="50">
        <v>0</v>
      </c>
      <c r="H31" s="50">
        <v>0</v>
      </c>
      <c r="I31" s="50">
        <v>3</v>
      </c>
      <c r="J31" s="50">
        <v>6</v>
      </c>
      <c r="K31" s="50">
        <v>0</v>
      </c>
      <c r="L31" s="50">
        <v>2</v>
      </c>
      <c r="M31" s="50">
        <v>180</v>
      </c>
      <c r="N31" s="50">
        <v>0</v>
      </c>
      <c r="O31" s="15">
        <f t="shared" si="0"/>
        <v>141</v>
      </c>
      <c r="P31" s="15">
        <f t="shared" si="1"/>
        <v>321</v>
      </c>
    </row>
    <row r="32" spans="2:32" ht="23.1" customHeight="1" x14ac:dyDescent="0.25">
      <c r="B32" s="24" t="s">
        <v>59</v>
      </c>
      <c r="C32" s="50">
        <v>43</v>
      </c>
      <c r="D32" s="50">
        <v>5</v>
      </c>
      <c r="E32" s="50">
        <v>10</v>
      </c>
      <c r="F32" s="50">
        <v>7</v>
      </c>
      <c r="G32" s="50">
        <v>0</v>
      </c>
      <c r="H32" s="50">
        <v>0</v>
      </c>
      <c r="I32" s="50">
        <v>3</v>
      </c>
      <c r="J32" s="50">
        <v>6</v>
      </c>
      <c r="K32" s="50">
        <v>0</v>
      </c>
      <c r="L32" s="50">
        <v>0</v>
      </c>
      <c r="M32" s="50">
        <v>215</v>
      </c>
      <c r="N32" s="50">
        <v>0</v>
      </c>
      <c r="O32" s="15">
        <f t="shared" si="0"/>
        <v>74</v>
      </c>
      <c r="P32" s="15">
        <f t="shared" si="1"/>
        <v>289</v>
      </c>
    </row>
    <row r="33" spans="2:20" ht="23.1" customHeight="1" x14ac:dyDescent="0.25">
      <c r="B33" s="23" t="s">
        <v>60</v>
      </c>
      <c r="C33" s="50">
        <v>47</v>
      </c>
      <c r="D33" s="50">
        <v>8</v>
      </c>
      <c r="E33" s="50">
        <v>14</v>
      </c>
      <c r="F33" s="50">
        <v>8</v>
      </c>
      <c r="G33" s="50">
        <v>0</v>
      </c>
      <c r="H33" s="50">
        <v>0</v>
      </c>
      <c r="I33" s="50">
        <v>8</v>
      </c>
      <c r="J33" s="50">
        <v>4</v>
      </c>
      <c r="K33" s="50">
        <v>0</v>
      </c>
      <c r="L33" s="50">
        <v>1</v>
      </c>
      <c r="M33" s="50">
        <v>165</v>
      </c>
      <c r="N33" s="50">
        <v>0</v>
      </c>
      <c r="O33" s="15">
        <f t="shared" si="0"/>
        <v>90</v>
      </c>
      <c r="P33" s="15">
        <f t="shared" si="1"/>
        <v>255</v>
      </c>
    </row>
    <row r="34" spans="2:20" ht="23.1" customHeight="1" x14ac:dyDescent="0.25">
      <c r="B34" s="24" t="s">
        <v>61</v>
      </c>
      <c r="C34" s="50">
        <v>51</v>
      </c>
      <c r="D34" s="50">
        <v>8</v>
      </c>
      <c r="E34" s="50">
        <v>11</v>
      </c>
      <c r="F34" s="50">
        <v>6</v>
      </c>
      <c r="G34" s="50">
        <v>1</v>
      </c>
      <c r="H34" s="50">
        <v>0</v>
      </c>
      <c r="I34" s="50">
        <v>6</v>
      </c>
      <c r="J34" s="50">
        <v>4</v>
      </c>
      <c r="K34" s="50">
        <v>0</v>
      </c>
      <c r="L34" s="50">
        <v>1</v>
      </c>
      <c r="M34" s="50">
        <v>154</v>
      </c>
      <c r="N34" s="50">
        <v>0</v>
      </c>
      <c r="O34" s="15">
        <f t="shared" si="0"/>
        <v>88</v>
      </c>
      <c r="P34" s="15">
        <f t="shared" si="1"/>
        <v>242</v>
      </c>
    </row>
    <row r="35" spans="2:20" ht="23.1" customHeight="1" x14ac:dyDescent="0.25">
      <c r="B35" s="24" t="s">
        <v>62</v>
      </c>
      <c r="C35" s="50">
        <v>69</v>
      </c>
      <c r="D35" s="50">
        <v>9</v>
      </c>
      <c r="E35" s="50">
        <v>7</v>
      </c>
      <c r="F35" s="50">
        <v>5</v>
      </c>
      <c r="G35" s="50">
        <v>0</v>
      </c>
      <c r="H35" s="50">
        <v>0</v>
      </c>
      <c r="I35" s="50">
        <v>7</v>
      </c>
      <c r="J35" s="50">
        <v>4</v>
      </c>
      <c r="K35" s="50">
        <v>1</v>
      </c>
      <c r="L35" s="50">
        <v>1</v>
      </c>
      <c r="M35" s="50">
        <v>128</v>
      </c>
      <c r="N35" s="50">
        <v>0</v>
      </c>
      <c r="O35" s="15">
        <f t="shared" si="0"/>
        <v>103</v>
      </c>
      <c r="P35" s="15">
        <f t="shared" si="1"/>
        <v>231</v>
      </c>
    </row>
    <row r="36" spans="2:20" ht="23.1" customHeight="1" x14ac:dyDescent="0.25">
      <c r="B36" s="24" t="s">
        <v>63</v>
      </c>
      <c r="C36" s="50">
        <v>39</v>
      </c>
      <c r="D36" s="50">
        <v>4</v>
      </c>
      <c r="E36" s="50">
        <v>7</v>
      </c>
      <c r="F36" s="50">
        <v>4</v>
      </c>
      <c r="G36" s="50">
        <v>0</v>
      </c>
      <c r="H36" s="50">
        <v>0</v>
      </c>
      <c r="I36" s="50">
        <v>2</v>
      </c>
      <c r="J36" s="50">
        <v>4</v>
      </c>
      <c r="K36" s="50">
        <v>1</v>
      </c>
      <c r="L36" s="50">
        <v>1</v>
      </c>
      <c r="M36" s="50">
        <v>166</v>
      </c>
      <c r="N36" s="50">
        <v>0</v>
      </c>
      <c r="O36" s="15">
        <f t="shared" si="0"/>
        <v>62</v>
      </c>
      <c r="P36" s="15">
        <f t="shared" si="1"/>
        <v>228</v>
      </c>
    </row>
    <row r="37" spans="2:20" ht="23.1" customHeight="1" x14ac:dyDescent="0.25">
      <c r="B37" s="23" t="s">
        <v>64</v>
      </c>
      <c r="C37" s="50">
        <v>31</v>
      </c>
      <c r="D37" s="50">
        <v>4</v>
      </c>
      <c r="E37" s="50">
        <v>9</v>
      </c>
      <c r="F37" s="50">
        <v>8</v>
      </c>
      <c r="G37" s="50">
        <v>0</v>
      </c>
      <c r="H37" s="50">
        <v>0</v>
      </c>
      <c r="I37" s="50">
        <v>4</v>
      </c>
      <c r="J37" s="50">
        <v>8</v>
      </c>
      <c r="K37" s="50">
        <v>0</v>
      </c>
      <c r="L37" s="50">
        <v>1</v>
      </c>
      <c r="M37" s="50">
        <v>163</v>
      </c>
      <c r="N37" s="50">
        <v>0</v>
      </c>
      <c r="O37" s="15">
        <f t="shared" si="0"/>
        <v>65</v>
      </c>
      <c r="P37" s="15">
        <f t="shared" si="1"/>
        <v>228</v>
      </c>
    </row>
    <row r="38" spans="2:20" ht="23.1" customHeight="1" x14ac:dyDescent="0.25">
      <c r="B38" s="24" t="s">
        <v>65</v>
      </c>
      <c r="C38" s="50">
        <v>40</v>
      </c>
      <c r="D38" s="50">
        <v>8</v>
      </c>
      <c r="E38" s="50">
        <v>5</v>
      </c>
      <c r="F38" s="50">
        <v>8</v>
      </c>
      <c r="G38" s="50">
        <v>0</v>
      </c>
      <c r="H38" s="50">
        <v>0</v>
      </c>
      <c r="I38" s="50">
        <v>4</v>
      </c>
      <c r="J38" s="50">
        <v>3</v>
      </c>
      <c r="K38" s="50">
        <v>1</v>
      </c>
      <c r="L38" s="50">
        <v>1</v>
      </c>
      <c r="M38" s="50">
        <v>180</v>
      </c>
      <c r="N38" s="50">
        <v>0</v>
      </c>
      <c r="O38" s="15">
        <f t="shared" si="0"/>
        <v>70</v>
      </c>
      <c r="P38" s="15">
        <f t="shared" si="1"/>
        <v>250</v>
      </c>
    </row>
    <row r="39" spans="2:20" ht="23.1" customHeight="1" x14ac:dyDescent="0.25">
      <c r="B39" s="24" t="s">
        <v>66</v>
      </c>
      <c r="C39" s="50">
        <v>38</v>
      </c>
      <c r="D39" s="50">
        <v>16</v>
      </c>
      <c r="E39" s="50">
        <v>13</v>
      </c>
      <c r="F39" s="50">
        <v>2</v>
      </c>
      <c r="G39" s="50">
        <v>0</v>
      </c>
      <c r="H39" s="50">
        <v>0</v>
      </c>
      <c r="I39" s="50">
        <v>6</v>
      </c>
      <c r="J39" s="50">
        <v>4</v>
      </c>
      <c r="K39" s="50">
        <v>2</v>
      </c>
      <c r="L39" s="50">
        <v>4</v>
      </c>
      <c r="M39" s="50">
        <v>140</v>
      </c>
      <c r="N39" s="50">
        <v>0</v>
      </c>
      <c r="O39" s="15">
        <f t="shared" si="0"/>
        <v>85</v>
      </c>
      <c r="P39" s="15">
        <f t="shared" si="1"/>
        <v>225</v>
      </c>
    </row>
    <row r="40" spans="2:20" ht="23.1" customHeight="1" x14ac:dyDescent="0.25">
      <c r="B40" s="24" t="s">
        <v>67</v>
      </c>
      <c r="C40" s="50">
        <v>22</v>
      </c>
      <c r="D40" s="50">
        <v>9</v>
      </c>
      <c r="E40" s="50">
        <v>9</v>
      </c>
      <c r="F40" s="50">
        <v>7</v>
      </c>
      <c r="G40" s="50">
        <v>0</v>
      </c>
      <c r="H40" s="50">
        <v>0</v>
      </c>
      <c r="I40" s="50">
        <v>7</v>
      </c>
      <c r="J40" s="50">
        <v>2</v>
      </c>
      <c r="K40" s="50">
        <v>0</v>
      </c>
      <c r="L40" s="50">
        <v>0</v>
      </c>
      <c r="M40" s="50">
        <v>129</v>
      </c>
      <c r="N40" s="50">
        <v>0</v>
      </c>
      <c r="O40" s="15">
        <f t="shared" si="0"/>
        <v>56</v>
      </c>
      <c r="P40" s="15">
        <f t="shared" si="1"/>
        <v>185</v>
      </c>
    </row>
    <row r="41" spans="2:20" ht="23.1" customHeight="1" x14ac:dyDescent="0.25">
      <c r="B41" s="23" t="s">
        <v>68</v>
      </c>
      <c r="C41" s="50">
        <v>44</v>
      </c>
      <c r="D41" s="50">
        <v>11</v>
      </c>
      <c r="E41" s="50">
        <v>10</v>
      </c>
      <c r="F41" s="50">
        <v>7</v>
      </c>
      <c r="G41" s="50">
        <v>0</v>
      </c>
      <c r="H41" s="50">
        <v>0</v>
      </c>
      <c r="I41" s="50">
        <v>4</v>
      </c>
      <c r="J41" s="50">
        <v>4</v>
      </c>
      <c r="K41" s="50">
        <v>0</v>
      </c>
      <c r="L41" s="50">
        <v>2</v>
      </c>
      <c r="M41" s="50">
        <v>150</v>
      </c>
      <c r="N41" s="50">
        <v>0</v>
      </c>
      <c r="O41" s="15">
        <f t="shared" si="0"/>
        <v>82</v>
      </c>
      <c r="P41" s="15">
        <f t="shared" si="1"/>
        <v>232</v>
      </c>
    </row>
    <row r="42" spans="2:20" ht="23.1" customHeight="1" x14ac:dyDescent="0.25">
      <c r="B42" s="24" t="s">
        <v>69</v>
      </c>
      <c r="C42" s="50">
        <v>35</v>
      </c>
      <c r="D42" s="50">
        <v>6</v>
      </c>
      <c r="E42" s="50">
        <v>15</v>
      </c>
      <c r="F42" s="50">
        <v>5</v>
      </c>
      <c r="G42" s="50">
        <v>0</v>
      </c>
      <c r="H42" s="50">
        <v>0</v>
      </c>
      <c r="I42" s="50">
        <v>2</v>
      </c>
      <c r="J42" s="50">
        <v>2</v>
      </c>
      <c r="K42" s="50">
        <v>0</v>
      </c>
      <c r="L42" s="50">
        <v>0</v>
      </c>
      <c r="M42" s="50">
        <v>11</v>
      </c>
      <c r="N42" s="50">
        <v>0</v>
      </c>
      <c r="O42" s="15">
        <f t="shared" si="0"/>
        <v>65</v>
      </c>
      <c r="P42" s="15">
        <f t="shared" si="1"/>
        <v>76</v>
      </c>
    </row>
    <row r="43" spans="2:20" ht="23.1" customHeight="1" x14ac:dyDescent="0.25">
      <c r="B43" s="23" t="s">
        <v>70</v>
      </c>
      <c r="C43" s="50">
        <v>38</v>
      </c>
      <c r="D43" s="50">
        <v>5</v>
      </c>
      <c r="E43" s="50">
        <v>10</v>
      </c>
      <c r="F43" s="50">
        <v>8</v>
      </c>
      <c r="G43" s="50">
        <v>0</v>
      </c>
      <c r="H43" s="50">
        <v>0</v>
      </c>
      <c r="I43" s="50">
        <v>6</v>
      </c>
      <c r="J43" s="50">
        <v>2</v>
      </c>
      <c r="K43" s="50">
        <v>0</v>
      </c>
      <c r="L43" s="50">
        <v>0</v>
      </c>
      <c r="M43" s="50">
        <v>7</v>
      </c>
      <c r="N43" s="50">
        <v>0</v>
      </c>
      <c r="O43" s="15">
        <f t="shared" si="0"/>
        <v>69</v>
      </c>
      <c r="P43" s="15">
        <f t="shared" si="1"/>
        <v>76</v>
      </c>
    </row>
    <row r="44" spans="2:20" ht="23.1" customHeight="1" x14ac:dyDescent="0.25">
      <c r="B44" s="25" t="s">
        <v>71</v>
      </c>
      <c r="C44" s="50">
        <v>39</v>
      </c>
      <c r="D44" s="50">
        <v>5</v>
      </c>
      <c r="E44" s="50">
        <v>4</v>
      </c>
      <c r="F44" s="50">
        <v>3</v>
      </c>
      <c r="G44" s="50">
        <v>0</v>
      </c>
      <c r="H44" s="50">
        <v>0</v>
      </c>
      <c r="I44" s="50">
        <v>4</v>
      </c>
      <c r="J44" s="50">
        <v>3</v>
      </c>
      <c r="K44" s="50">
        <v>0</v>
      </c>
      <c r="L44" s="50">
        <v>0</v>
      </c>
      <c r="M44" s="50">
        <v>85</v>
      </c>
      <c r="N44" s="50">
        <v>0</v>
      </c>
      <c r="O44" s="15">
        <f t="shared" si="0"/>
        <v>58</v>
      </c>
      <c r="P44" s="15">
        <f t="shared" si="1"/>
        <v>143</v>
      </c>
    </row>
    <row r="45" spans="2:20" ht="23.1" customHeight="1" x14ac:dyDescent="0.25">
      <c r="B45" s="23" t="s">
        <v>72</v>
      </c>
      <c r="C45" s="50">
        <v>31</v>
      </c>
      <c r="D45" s="50">
        <v>6</v>
      </c>
      <c r="E45" s="50">
        <v>5</v>
      </c>
      <c r="F45" s="50">
        <v>2</v>
      </c>
      <c r="G45" s="50">
        <v>0</v>
      </c>
      <c r="H45" s="50">
        <v>0</v>
      </c>
      <c r="I45" s="50">
        <v>3</v>
      </c>
      <c r="J45" s="50">
        <v>1</v>
      </c>
      <c r="K45" s="50">
        <v>0</v>
      </c>
      <c r="L45" s="50">
        <v>0</v>
      </c>
      <c r="M45" s="50">
        <v>125</v>
      </c>
      <c r="N45" s="50">
        <v>0</v>
      </c>
      <c r="O45" s="15">
        <f t="shared" si="0"/>
        <v>48</v>
      </c>
      <c r="P45" s="15">
        <f t="shared" si="1"/>
        <v>173</v>
      </c>
    </row>
    <row r="46" spans="2:20" ht="23.1" customHeight="1" x14ac:dyDescent="0.25">
      <c r="B46" s="24" t="s">
        <v>73</v>
      </c>
      <c r="C46" s="50">
        <v>68</v>
      </c>
      <c r="D46" s="50">
        <v>17</v>
      </c>
      <c r="E46" s="50">
        <v>9</v>
      </c>
      <c r="F46" s="50">
        <v>4</v>
      </c>
      <c r="G46" s="50">
        <v>0</v>
      </c>
      <c r="H46" s="50">
        <v>0</v>
      </c>
      <c r="I46" s="50">
        <v>5</v>
      </c>
      <c r="J46" s="50">
        <v>2</v>
      </c>
      <c r="K46" s="50">
        <v>0</v>
      </c>
      <c r="L46" s="50">
        <v>0</v>
      </c>
      <c r="M46" s="50">
        <v>175</v>
      </c>
      <c r="N46" s="50">
        <v>0</v>
      </c>
      <c r="O46" s="15">
        <f t="shared" si="0"/>
        <v>105</v>
      </c>
      <c r="P46" s="15">
        <f t="shared" si="1"/>
        <v>280</v>
      </c>
      <c r="R46" s="8"/>
      <c r="T46"/>
    </row>
    <row r="47" spans="2:20" ht="23.1" customHeight="1" x14ac:dyDescent="0.25">
      <c r="B47" s="24" t="s">
        <v>74</v>
      </c>
      <c r="C47" s="50">
        <v>48</v>
      </c>
      <c r="D47" s="50">
        <v>6</v>
      </c>
      <c r="E47" s="50">
        <v>10</v>
      </c>
      <c r="F47" s="50">
        <v>6</v>
      </c>
      <c r="G47" s="50">
        <v>0</v>
      </c>
      <c r="H47" s="50">
        <v>0</v>
      </c>
      <c r="I47" s="50">
        <v>3</v>
      </c>
      <c r="J47" s="50">
        <v>4</v>
      </c>
      <c r="K47" s="50">
        <v>0</v>
      </c>
      <c r="L47" s="50">
        <v>0</v>
      </c>
      <c r="M47" s="50">
        <v>146</v>
      </c>
      <c r="N47" s="50">
        <v>0</v>
      </c>
      <c r="O47" s="15">
        <f t="shared" si="0"/>
        <v>77</v>
      </c>
      <c r="P47" s="15">
        <f t="shared" si="1"/>
        <v>223</v>
      </c>
      <c r="R47" s="8"/>
      <c r="T47"/>
    </row>
    <row r="48" spans="2:20" ht="23.1" customHeight="1" x14ac:dyDescent="0.25">
      <c r="B48" s="24" t="s">
        <v>75</v>
      </c>
      <c r="C48" s="50">
        <v>68</v>
      </c>
      <c r="D48" s="50">
        <v>7</v>
      </c>
      <c r="E48" s="50">
        <v>9</v>
      </c>
      <c r="F48" s="50">
        <v>7</v>
      </c>
      <c r="G48" s="50">
        <v>0</v>
      </c>
      <c r="H48" s="50">
        <v>0</v>
      </c>
      <c r="I48" s="50">
        <v>5</v>
      </c>
      <c r="J48" s="50">
        <v>5</v>
      </c>
      <c r="K48" s="50">
        <v>0</v>
      </c>
      <c r="L48" s="50">
        <v>0</v>
      </c>
      <c r="M48" s="50">
        <v>160</v>
      </c>
      <c r="N48" s="50">
        <v>0</v>
      </c>
      <c r="O48" s="15">
        <f t="shared" si="0"/>
        <v>101</v>
      </c>
      <c r="P48" s="15">
        <f t="shared" si="1"/>
        <v>261</v>
      </c>
      <c r="R48" s="8"/>
      <c r="T48"/>
    </row>
    <row r="49" spans="2:20" ht="23.1" customHeight="1" x14ac:dyDescent="0.25">
      <c r="B49" s="23" t="s">
        <v>76</v>
      </c>
      <c r="C49" s="50">
        <v>70</v>
      </c>
      <c r="D49" s="50">
        <v>12</v>
      </c>
      <c r="E49" s="50">
        <v>7</v>
      </c>
      <c r="F49" s="50">
        <v>11</v>
      </c>
      <c r="G49" s="50">
        <v>0</v>
      </c>
      <c r="H49" s="50">
        <v>0</v>
      </c>
      <c r="I49" s="50">
        <v>2</v>
      </c>
      <c r="J49" s="50">
        <v>5</v>
      </c>
      <c r="K49" s="50">
        <v>0</v>
      </c>
      <c r="L49" s="50">
        <v>0</v>
      </c>
      <c r="M49" s="50">
        <v>187</v>
      </c>
      <c r="N49" s="50">
        <v>0</v>
      </c>
      <c r="O49" s="15">
        <f t="shared" si="0"/>
        <v>107</v>
      </c>
      <c r="P49" s="15">
        <f t="shared" si="1"/>
        <v>294</v>
      </c>
      <c r="R49" s="8"/>
      <c r="T49"/>
    </row>
    <row r="50" spans="2:20" ht="23.1" customHeight="1" x14ac:dyDescent="0.25">
      <c r="B50" s="24" t="s">
        <v>77</v>
      </c>
      <c r="C50" s="50">
        <v>71</v>
      </c>
      <c r="D50" s="50">
        <v>7</v>
      </c>
      <c r="E50" s="50">
        <v>7</v>
      </c>
      <c r="F50" s="50">
        <v>9</v>
      </c>
      <c r="G50" s="50">
        <v>0</v>
      </c>
      <c r="H50" s="50">
        <v>0</v>
      </c>
      <c r="I50" s="50">
        <v>4</v>
      </c>
      <c r="J50" s="50">
        <v>8</v>
      </c>
      <c r="K50" s="50">
        <v>1</v>
      </c>
      <c r="L50" s="50">
        <v>1</v>
      </c>
      <c r="M50" s="50">
        <v>195</v>
      </c>
      <c r="N50" s="50">
        <v>0</v>
      </c>
      <c r="O50" s="15">
        <f t="shared" si="0"/>
        <v>108</v>
      </c>
      <c r="P50" s="15">
        <f t="shared" si="1"/>
        <v>303</v>
      </c>
      <c r="R50" s="8"/>
      <c r="T50"/>
    </row>
    <row r="51" spans="2:20" ht="23.1" customHeight="1" x14ac:dyDescent="0.25">
      <c r="B51" s="24" t="s">
        <v>78</v>
      </c>
      <c r="C51" s="50">
        <v>74</v>
      </c>
      <c r="D51" s="50">
        <v>11</v>
      </c>
      <c r="E51" s="50">
        <v>10</v>
      </c>
      <c r="F51" s="50">
        <v>4</v>
      </c>
      <c r="G51" s="50">
        <v>1</v>
      </c>
      <c r="H51" s="50">
        <v>0</v>
      </c>
      <c r="I51" s="50">
        <v>1</v>
      </c>
      <c r="J51" s="50">
        <v>4</v>
      </c>
      <c r="K51" s="50">
        <v>0</v>
      </c>
      <c r="L51" s="50">
        <v>0</v>
      </c>
      <c r="M51" s="50">
        <v>193</v>
      </c>
      <c r="N51" s="50">
        <v>0</v>
      </c>
      <c r="O51" s="15">
        <f t="shared" si="0"/>
        <v>105</v>
      </c>
      <c r="P51" s="15">
        <f t="shared" si="1"/>
        <v>298</v>
      </c>
      <c r="R51" s="8"/>
      <c r="T51"/>
    </row>
    <row r="52" spans="2:20" ht="23.1" customHeight="1" x14ac:dyDescent="0.25">
      <c r="B52" s="24" t="s">
        <v>79</v>
      </c>
      <c r="C52" s="50">
        <v>75</v>
      </c>
      <c r="D52" s="50">
        <v>4</v>
      </c>
      <c r="E52" s="50">
        <v>6</v>
      </c>
      <c r="F52" s="50">
        <v>6</v>
      </c>
      <c r="G52" s="50">
        <v>0</v>
      </c>
      <c r="H52" s="50">
        <v>0</v>
      </c>
      <c r="I52" s="50">
        <v>5</v>
      </c>
      <c r="J52" s="50">
        <v>4</v>
      </c>
      <c r="K52" s="50">
        <v>2</v>
      </c>
      <c r="L52" s="50">
        <v>0</v>
      </c>
      <c r="M52" s="50">
        <v>190</v>
      </c>
      <c r="N52" s="50">
        <v>0</v>
      </c>
      <c r="O52" s="15">
        <f t="shared" si="0"/>
        <v>102</v>
      </c>
      <c r="P52" s="15">
        <f t="shared" si="1"/>
        <v>292</v>
      </c>
      <c r="R52" s="8"/>
      <c r="T52"/>
    </row>
    <row r="53" spans="2:20" ht="23.1" customHeight="1" x14ac:dyDescent="0.25">
      <c r="B53" s="23" t="s">
        <v>80</v>
      </c>
      <c r="C53" s="50">
        <v>90</v>
      </c>
      <c r="D53" s="50">
        <v>12</v>
      </c>
      <c r="E53" s="50">
        <v>7</v>
      </c>
      <c r="F53" s="50">
        <v>10</v>
      </c>
      <c r="G53" s="50">
        <v>0</v>
      </c>
      <c r="H53" s="50">
        <v>0</v>
      </c>
      <c r="I53" s="50">
        <v>2</v>
      </c>
      <c r="J53" s="50">
        <v>1</v>
      </c>
      <c r="K53" s="50">
        <v>0</v>
      </c>
      <c r="L53" s="50">
        <v>0</v>
      </c>
      <c r="M53" s="50">
        <v>215</v>
      </c>
      <c r="N53" s="50">
        <v>0</v>
      </c>
      <c r="O53" s="15">
        <f t="shared" si="0"/>
        <v>122</v>
      </c>
      <c r="P53" s="15">
        <f t="shared" si="1"/>
        <v>337</v>
      </c>
      <c r="R53" s="8"/>
      <c r="T53"/>
    </row>
    <row r="54" spans="2:20" ht="23.1" customHeight="1" x14ac:dyDescent="0.25">
      <c r="B54" s="23" t="s">
        <v>81</v>
      </c>
      <c r="C54" s="50">
        <v>63</v>
      </c>
      <c r="D54" s="50">
        <v>4</v>
      </c>
      <c r="E54" s="50">
        <v>7</v>
      </c>
      <c r="F54" s="50">
        <v>23</v>
      </c>
      <c r="G54" s="50">
        <v>0</v>
      </c>
      <c r="H54" s="50">
        <v>0</v>
      </c>
      <c r="I54" s="50">
        <v>1</v>
      </c>
      <c r="J54" s="50">
        <v>4</v>
      </c>
      <c r="K54" s="50">
        <v>2</v>
      </c>
      <c r="L54" s="50">
        <v>0</v>
      </c>
      <c r="M54" s="50">
        <v>235</v>
      </c>
      <c r="N54" s="50">
        <v>0</v>
      </c>
      <c r="O54" s="15">
        <f t="shared" si="0"/>
        <v>104</v>
      </c>
      <c r="P54" s="15">
        <f t="shared" si="1"/>
        <v>339</v>
      </c>
      <c r="R54" s="8"/>
      <c r="T54"/>
    </row>
    <row r="55" spans="2:20" ht="23.1" customHeight="1" x14ac:dyDescent="0.25">
      <c r="B55" s="23" t="s">
        <v>82</v>
      </c>
      <c r="C55" s="50">
        <v>62</v>
      </c>
      <c r="D55" s="50">
        <v>10</v>
      </c>
      <c r="E55" s="50">
        <v>8</v>
      </c>
      <c r="F55" s="50">
        <v>27</v>
      </c>
      <c r="G55" s="50">
        <v>0</v>
      </c>
      <c r="H55" s="50">
        <v>0</v>
      </c>
      <c r="I55" s="50">
        <v>5</v>
      </c>
      <c r="J55" s="50">
        <v>3</v>
      </c>
      <c r="K55" s="50">
        <v>3</v>
      </c>
      <c r="L55" s="50">
        <v>0</v>
      </c>
      <c r="M55" s="50">
        <v>220</v>
      </c>
      <c r="N55" s="50">
        <v>0</v>
      </c>
      <c r="O55" s="15">
        <f t="shared" si="0"/>
        <v>118</v>
      </c>
      <c r="P55" s="15">
        <f t="shared" si="1"/>
        <v>338</v>
      </c>
      <c r="R55" s="8"/>
      <c r="T55"/>
    </row>
    <row r="56" spans="2:20" ht="23.1" customHeight="1" x14ac:dyDescent="0.25">
      <c r="B56" s="23" t="s">
        <v>83</v>
      </c>
      <c r="C56" s="50">
        <v>40</v>
      </c>
      <c r="D56" s="50">
        <v>7</v>
      </c>
      <c r="E56" s="50">
        <v>3</v>
      </c>
      <c r="F56" s="50">
        <v>14</v>
      </c>
      <c r="G56" s="50">
        <v>2</v>
      </c>
      <c r="H56" s="50">
        <v>1</v>
      </c>
      <c r="I56" s="50">
        <v>5</v>
      </c>
      <c r="J56" s="50">
        <v>3</v>
      </c>
      <c r="K56" s="50">
        <v>0</v>
      </c>
      <c r="L56" s="50">
        <v>0</v>
      </c>
      <c r="M56" s="50">
        <v>230</v>
      </c>
      <c r="N56" s="50">
        <v>0</v>
      </c>
      <c r="O56" s="15">
        <f t="shared" si="0"/>
        <v>75</v>
      </c>
      <c r="P56" s="15">
        <f t="shared" si="1"/>
        <v>305</v>
      </c>
      <c r="R56" s="8"/>
      <c r="T56"/>
    </row>
    <row r="57" spans="2:20" ht="23.1" customHeight="1" x14ac:dyDescent="0.25">
      <c r="B57" s="23" t="s">
        <v>84</v>
      </c>
      <c r="C57" s="50">
        <v>60</v>
      </c>
      <c r="D57" s="50">
        <v>13</v>
      </c>
      <c r="E57" s="50">
        <v>6</v>
      </c>
      <c r="F57" s="50">
        <v>5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185</v>
      </c>
      <c r="N57" s="50">
        <v>0</v>
      </c>
      <c r="O57" s="15">
        <f t="shared" si="0"/>
        <v>85</v>
      </c>
      <c r="P57" s="15">
        <f t="shared" si="1"/>
        <v>270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2826</v>
      </c>
      <c r="D58" s="16">
        <f t="shared" si="21"/>
        <v>404</v>
      </c>
      <c r="E58" s="16">
        <f t="shared" si="21"/>
        <v>390</v>
      </c>
      <c r="F58" s="16">
        <f t="shared" si="21"/>
        <v>546</v>
      </c>
      <c r="G58" s="16">
        <f t="shared" si="21"/>
        <v>13</v>
      </c>
      <c r="H58" s="16">
        <f t="shared" si="21"/>
        <v>4</v>
      </c>
      <c r="I58" s="16">
        <f t="shared" si="21"/>
        <v>220</v>
      </c>
      <c r="J58" s="16">
        <f t="shared" si="21"/>
        <v>191</v>
      </c>
      <c r="K58" s="16">
        <f t="shared" si="21"/>
        <v>20</v>
      </c>
      <c r="L58" s="16">
        <f t="shared" si="21"/>
        <v>20</v>
      </c>
      <c r="M58" s="16">
        <f t="shared" si="21"/>
        <v>7530</v>
      </c>
      <c r="N58" s="16">
        <f t="shared" si="21"/>
        <v>1</v>
      </c>
      <c r="O58" s="16">
        <f t="shared" si="21"/>
        <v>4635</v>
      </c>
      <c r="P58" s="16">
        <f t="shared" si="21"/>
        <v>12165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0.23230579531442663</v>
      </c>
      <c r="D59" s="43">
        <f t="shared" si="22"/>
        <v>3.3210028771064527E-2</v>
      </c>
      <c r="E59" s="43">
        <f t="shared" si="22"/>
        <v>3.2059186189889025E-2</v>
      </c>
      <c r="F59" s="43">
        <f t="shared" si="22"/>
        <v>4.4882860665844633E-2</v>
      </c>
      <c r="G59" s="43">
        <f t="shared" si="22"/>
        <v>1.0686395396629674E-3</v>
      </c>
      <c r="H59" s="43">
        <f t="shared" si="22"/>
        <v>3.2881216605014385E-4</v>
      </c>
      <c r="I59" s="43">
        <f t="shared" si="22"/>
        <v>1.8084669132757913E-2</v>
      </c>
      <c r="J59" s="43">
        <f t="shared" si="22"/>
        <v>1.5700780928894369E-2</v>
      </c>
      <c r="K59" s="43">
        <f t="shared" si="22"/>
        <v>1.6440608302507192E-3</v>
      </c>
      <c r="L59" s="43">
        <f t="shared" si="22"/>
        <v>1.6440608302507192E-3</v>
      </c>
      <c r="M59" s="43">
        <f t="shared" si="22"/>
        <v>0.61898890258939576</v>
      </c>
      <c r="N59" s="43">
        <f t="shared" si="22"/>
        <v>8.2203041512535961E-5</v>
      </c>
      <c r="R59" s="8"/>
      <c r="T59"/>
    </row>
    <row r="60" spans="2:20" ht="23.1" customHeight="1" x14ac:dyDescent="0.25">
      <c r="B60" s="42" t="s">
        <v>94</v>
      </c>
      <c r="C60" s="44">
        <f>C58/$O$58</f>
        <v>0.60970873786407764</v>
      </c>
      <c r="D60" s="44">
        <f t="shared" ref="D60:N60" si="23">D58/$O$58</f>
        <v>8.7162891046386193E-2</v>
      </c>
      <c r="E60" s="44">
        <f t="shared" si="23"/>
        <v>8.4142394822006472E-2</v>
      </c>
      <c r="F60" s="44">
        <f t="shared" si="23"/>
        <v>0.11779935275080906</v>
      </c>
      <c r="G60" s="44">
        <f t="shared" si="23"/>
        <v>2.8047464940668823E-3</v>
      </c>
      <c r="H60" s="44">
        <f t="shared" si="23"/>
        <v>8.6299892125134845E-4</v>
      </c>
      <c r="I60" s="44">
        <f t="shared" si="23"/>
        <v>4.7464940668824167E-2</v>
      </c>
      <c r="J60" s="44">
        <f t="shared" si="23"/>
        <v>4.1208198489751886E-2</v>
      </c>
      <c r="K60" s="44">
        <f t="shared" si="23"/>
        <v>4.3149946062567418E-3</v>
      </c>
      <c r="L60" s="44">
        <f t="shared" si="23"/>
        <v>4.3149946062567418E-3</v>
      </c>
      <c r="M60" s="44"/>
      <c r="N60" s="44">
        <f t="shared" si="23"/>
        <v>2.1574973031283711E-4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">
        <v>172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71" t="str">
        <f>'22.07 Lubiri -Ndeeba'!G5:H5</f>
        <v>Before Shell</v>
      </c>
      <c r="H5" s="72"/>
      <c r="I5" s="14"/>
      <c r="J5" s="2" t="s">
        <v>5</v>
      </c>
      <c r="K5" s="71" t="str">
        <f>'22.07 Lubiri -Ndeeba'!K5:L5</f>
        <v>Maiso. M. Gadafi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'22.07 Lubiri -Ndeeba'!D6:E6</f>
        <v>Lubiri</v>
      </c>
      <c r="E6" s="72"/>
      <c r="F6" s="2" t="s">
        <v>2</v>
      </c>
      <c r="G6" s="71" t="str">
        <f>'22.07 Lubiri -Ndeeba'!G6:H6</f>
        <v>Ndeeba</v>
      </c>
      <c r="H6" s="72"/>
      <c r="J6" s="2" t="s">
        <v>21</v>
      </c>
      <c r="K6" s="71" t="str">
        <f>'22.07 Lubiri -Ndeeba'!K6:L6</f>
        <v>Denis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22</v>
      </c>
      <c r="D10" s="50">
        <v>1</v>
      </c>
      <c r="E10" s="50">
        <v>0</v>
      </c>
      <c r="F10" s="50">
        <v>10</v>
      </c>
      <c r="G10" s="50">
        <v>0</v>
      </c>
      <c r="H10" s="50">
        <v>0</v>
      </c>
      <c r="I10" s="50">
        <v>0</v>
      </c>
      <c r="J10" s="50">
        <v>2</v>
      </c>
      <c r="K10" s="50">
        <v>0</v>
      </c>
      <c r="L10" s="50">
        <v>0</v>
      </c>
      <c r="M10" s="50">
        <v>91</v>
      </c>
      <c r="N10" s="50">
        <v>0</v>
      </c>
      <c r="O10" s="15">
        <f t="shared" ref="O10:O57" si="0">SUM(C10:L10,N10)</f>
        <v>35</v>
      </c>
      <c r="P10" s="15">
        <f t="shared" ref="P10:P57" si="1">SUM(C10:N10)</f>
        <v>126</v>
      </c>
      <c r="R10" s="1" t="s">
        <v>6</v>
      </c>
      <c r="S10" s="17">
        <f t="shared" ref="S10:AF10" si="2">SUM(C10:C13)</f>
        <v>81</v>
      </c>
      <c r="T10" s="17">
        <f t="shared" si="2"/>
        <v>7</v>
      </c>
      <c r="U10" s="17">
        <f t="shared" si="2"/>
        <v>6</v>
      </c>
      <c r="V10" s="17">
        <f t="shared" si="2"/>
        <v>58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9</v>
      </c>
      <c r="AA10" s="17">
        <f t="shared" si="2"/>
        <v>0</v>
      </c>
      <c r="AB10" s="17">
        <f t="shared" si="2"/>
        <v>0</v>
      </c>
      <c r="AC10" s="17">
        <f t="shared" si="2"/>
        <v>567</v>
      </c>
      <c r="AD10" s="17">
        <f t="shared" si="2"/>
        <v>0</v>
      </c>
      <c r="AE10" s="31">
        <f t="shared" si="2"/>
        <v>165</v>
      </c>
      <c r="AF10" s="31">
        <f t="shared" si="2"/>
        <v>732</v>
      </c>
    </row>
    <row r="11" spans="2:32" s="6" customFormat="1" ht="23.1" customHeight="1" x14ac:dyDescent="0.25">
      <c r="B11" s="23" t="s">
        <v>38</v>
      </c>
      <c r="C11" s="50">
        <v>27</v>
      </c>
      <c r="D11" s="50">
        <v>2</v>
      </c>
      <c r="E11" s="50">
        <v>1</v>
      </c>
      <c r="F11" s="50">
        <v>15</v>
      </c>
      <c r="G11" s="50">
        <v>0</v>
      </c>
      <c r="H11" s="50">
        <v>0</v>
      </c>
      <c r="I11" s="50">
        <v>2</v>
      </c>
      <c r="J11" s="50">
        <v>1</v>
      </c>
      <c r="K11" s="50">
        <v>0</v>
      </c>
      <c r="L11" s="50">
        <v>0</v>
      </c>
      <c r="M11" s="50">
        <v>123</v>
      </c>
      <c r="N11" s="50">
        <v>0</v>
      </c>
      <c r="O11" s="15">
        <f t="shared" si="0"/>
        <v>48</v>
      </c>
      <c r="P11" s="15">
        <f t="shared" si="1"/>
        <v>171</v>
      </c>
      <c r="R11" s="1" t="s">
        <v>7</v>
      </c>
      <c r="S11" s="17">
        <f t="shared" ref="S11:AF11" si="3">SUM(C14:C17)</f>
        <v>81</v>
      </c>
      <c r="T11" s="17">
        <f t="shared" si="3"/>
        <v>14</v>
      </c>
      <c r="U11" s="17">
        <f t="shared" si="3"/>
        <v>11</v>
      </c>
      <c r="V11" s="17">
        <f t="shared" si="3"/>
        <v>82</v>
      </c>
      <c r="W11" s="17">
        <f t="shared" si="3"/>
        <v>1</v>
      </c>
      <c r="X11" s="17">
        <f t="shared" si="3"/>
        <v>0</v>
      </c>
      <c r="Y11" s="17">
        <f t="shared" si="3"/>
        <v>10</v>
      </c>
      <c r="Z11" s="17">
        <f t="shared" si="3"/>
        <v>4</v>
      </c>
      <c r="AA11" s="17">
        <f t="shared" si="3"/>
        <v>2</v>
      </c>
      <c r="AB11" s="17">
        <f t="shared" si="3"/>
        <v>0</v>
      </c>
      <c r="AC11" s="17">
        <f t="shared" si="3"/>
        <v>1295</v>
      </c>
      <c r="AD11" s="17">
        <f t="shared" si="3"/>
        <v>0</v>
      </c>
      <c r="AE11" s="31">
        <f t="shared" si="3"/>
        <v>205</v>
      </c>
      <c r="AF11" s="31">
        <f t="shared" si="3"/>
        <v>1500</v>
      </c>
    </row>
    <row r="12" spans="2:32" ht="23.1" customHeight="1" x14ac:dyDescent="0.25">
      <c r="B12" s="23" t="s">
        <v>39</v>
      </c>
      <c r="C12" s="50">
        <v>23</v>
      </c>
      <c r="D12" s="50">
        <v>1</v>
      </c>
      <c r="E12" s="50">
        <v>3</v>
      </c>
      <c r="F12" s="50">
        <v>17</v>
      </c>
      <c r="G12" s="50">
        <v>0</v>
      </c>
      <c r="H12" s="50">
        <v>0</v>
      </c>
      <c r="I12" s="50">
        <v>1</v>
      </c>
      <c r="J12" s="50">
        <v>3</v>
      </c>
      <c r="K12" s="50">
        <v>0</v>
      </c>
      <c r="L12" s="50">
        <v>0</v>
      </c>
      <c r="M12" s="50">
        <v>163</v>
      </c>
      <c r="N12" s="50">
        <v>0</v>
      </c>
      <c r="O12" s="15">
        <f t="shared" si="0"/>
        <v>48</v>
      </c>
      <c r="P12" s="15">
        <f t="shared" si="1"/>
        <v>211</v>
      </c>
      <c r="R12" s="1" t="s">
        <v>8</v>
      </c>
      <c r="S12" s="17">
        <f t="shared" ref="S12:AF12" si="4">SUM(C18:C21)</f>
        <v>86</v>
      </c>
      <c r="T12" s="17">
        <f t="shared" si="4"/>
        <v>23</v>
      </c>
      <c r="U12" s="17">
        <f t="shared" si="4"/>
        <v>15</v>
      </c>
      <c r="V12" s="17">
        <f t="shared" si="4"/>
        <v>68</v>
      </c>
      <c r="W12" s="17">
        <f t="shared" si="4"/>
        <v>4</v>
      </c>
      <c r="X12" s="17">
        <f t="shared" si="4"/>
        <v>0</v>
      </c>
      <c r="Y12" s="17">
        <f t="shared" si="4"/>
        <v>25</v>
      </c>
      <c r="Z12" s="17">
        <f t="shared" si="4"/>
        <v>17</v>
      </c>
      <c r="AA12" s="17">
        <f t="shared" si="4"/>
        <v>5</v>
      </c>
      <c r="AB12" s="17">
        <f t="shared" si="4"/>
        <v>0</v>
      </c>
      <c r="AC12" s="17">
        <f t="shared" si="4"/>
        <v>1199</v>
      </c>
      <c r="AD12" s="17">
        <f t="shared" si="4"/>
        <v>0</v>
      </c>
      <c r="AE12" s="31">
        <f t="shared" si="4"/>
        <v>243</v>
      </c>
      <c r="AF12" s="31">
        <f t="shared" si="4"/>
        <v>1442</v>
      </c>
    </row>
    <row r="13" spans="2:32" ht="23.1" customHeight="1" x14ac:dyDescent="0.25">
      <c r="B13" s="23" t="s">
        <v>40</v>
      </c>
      <c r="C13" s="50">
        <v>9</v>
      </c>
      <c r="D13" s="50">
        <v>3</v>
      </c>
      <c r="E13" s="50">
        <v>2</v>
      </c>
      <c r="F13" s="50">
        <v>16</v>
      </c>
      <c r="G13" s="50">
        <v>0</v>
      </c>
      <c r="H13" s="50">
        <v>0</v>
      </c>
      <c r="I13" s="50">
        <v>1</v>
      </c>
      <c r="J13" s="50">
        <v>3</v>
      </c>
      <c r="K13" s="50">
        <v>0</v>
      </c>
      <c r="L13" s="50">
        <v>0</v>
      </c>
      <c r="M13" s="50">
        <v>190</v>
      </c>
      <c r="N13" s="50">
        <v>0</v>
      </c>
      <c r="O13" s="15">
        <f t="shared" si="0"/>
        <v>34</v>
      </c>
      <c r="P13" s="15">
        <f t="shared" si="1"/>
        <v>224</v>
      </c>
      <c r="R13" s="1" t="s">
        <v>9</v>
      </c>
      <c r="S13" s="17">
        <f t="shared" ref="S13:AF13" si="5">SUM(C22:C25)</f>
        <v>118</v>
      </c>
      <c r="T13" s="17">
        <f t="shared" si="5"/>
        <v>25</v>
      </c>
      <c r="U13" s="17">
        <f t="shared" si="5"/>
        <v>12</v>
      </c>
      <c r="V13" s="17">
        <f t="shared" si="5"/>
        <v>64</v>
      </c>
      <c r="W13" s="17">
        <f t="shared" si="5"/>
        <v>0</v>
      </c>
      <c r="X13" s="17">
        <f t="shared" si="5"/>
        <v>1</v>
      </c>
      <c r="Y13" s="17">
        <f t="shared" si="5"/>
        <v>33</v>
      </c>
      <c r="Z13" s="17">
        <f t="shared" si="5"/>
        <v>13</v>
      </c>
      <c r="AA13" s="17">
        <f t="shared" si="5"/>
        <v>0</v>
      </c>
      <c r="AB13" s="17">
        <f t="shared" si="5"/>
        <v>1</v>
      </c>
      <c r="AC13" s="17">
        <f t="shared" si="5"/>
        <v>964</v>
      </c>
      <c r="AD13" s="17">
        <f t="shared" si="5"/>
        <v>0</v>
      </c>
      <c r="AE13" s="31">
        <f t="shared" si="5"/>
        <v>267</v>
      </c>
      <c r="AF13" s="31">
        <f t="shared" si="5"/>
        <v>1231</v>
      </c>
    </row>
    <row r="14" spans="2:32" ht="23.1" customHeight="1" x14ac:dyDescent="0.25">
      <c r="B14" s="23" t="s">
        <v>41</v>
      </c>
      <c r="C14" s="50">
        <v>28</v>
      </c>
      <c r="D14" s="50">
        <v>4</v>
      </c>
      <c r="E14" s="50">
        <v>3</v>
      </c>
      <c r="F14" s="50">
        <v>28</v>
      </c>
      <c r="G14" s="50">
        <v>0</v>
      </c>
      <c r="H14" s="50">
        <v>0</v>
      </c>
      <c r="I14" s="50">
        <v>2</v>
      </c>
      <c r="J14" s="50">
        <v>0</v>
      </c>
      <c r="K14" s="50">
        <v>1</v>
      </c>
      <c r="L14" s="50">
        <v>0</v>
      </c>
      <c r="M14" s="50">
        <v>310</v>
      </c>
      <c r="N14" s="50">
        <v>0</v>
      </c>
      <c r="O14" s="15">
        <f t="shared" si="0"/>
        <v>66</v>
      </c>
      <c r="P14" s="15">
        <f t="shared" si="1"/>
        <v>376</v>
      </c>
      <c r="R14" s="1" t="s">
        <v>10</v>
      </c>
      <c r="S14" s="17">
        <f t="shared" ref="S14:AF14" si="6">SUM(C26:C29)</f>
        <v>143</v>
      </c>
      <c r="T14" s="17">
        <f t="shared" si="6"/>
        <v>28</v>
      </c>
      <c r="U14" s="17">
        <f t="shared" si="6"/>
        <v>15</v>
      </c>
      <c r="V14" s="17">
        <f t="shared" si="6"/>
        <v>59</v>
      </c>
      <c r="W14" s="17">
        <f t="shared" si="6"/>
        <v>2</v>
      </c>
      <c r="X14" s="17">
        <f t="shared" si="6"/>
        <v>0</v>
      </c>
      <c r="Y14" s="17">
        <f t="shared" si="6"/>
        <v>29</v>
      </c>
      <c r="Z14" s="17">
        <f t="shared" si="6"/>
        <v>24</v>
      </c>
      <c r="AA14" s="17">
        <f t="shared" si="6"/>
        <v>0</v>
      </c>
      <c r="AB14" s="17">
        <f t="shared" si="6"/>
        <v>1</v>
      </c>
      <c r="AC14" s="17">
        <f t="shared" si="6"/>
        <v>1010</v>
      </c>
      <c r="AD14" s="17">
        <f t="shared" si="6"/>
        <v>1</v>
      </c>
      <c r="AE14" s="31">
        <f t="shared" si="6"/>
        <v>302</v>
      </c>
      <c r="AF14" s="31">
        <f t="shared" si="6"/>
        <v>1312</v>
      </c>
    </row>
    <row r="15" spans="2:32" ht="23.1" customHeight="1" x14ac:dyDescent="0.25">
      <c r="B15" s="23" t="s">
        <v>42</v>
      </c>
      <c r="C15" s="50">
        <v>18</v>
      </c>
      <c r="D15" s="50">
        <v>2</v>
      </c>
      <c r="E15" s="50">
        <v>3</v>
      </c>
      <c r="F15" s="50">
        <v>20</v>
      </c>
      <c r="G15" s="50">
        <v>0</v>
      </c>
      <c r="H15" s="50">
        <v>0</v>
      </c>
      <c r="I15" s="50">
        <v>6</v>
      </c>
      <c r="J15" s="50">
        <v>0</v>
      </c>
      <c r="K15" s="50">
        <v>0</v>
      </c>
      <c r="L15" s="50">
        <v>0</v>
      </c>
      <c r="M15" s="50">
        <v>290</v>
      </c>
      <c r="N15" s="50">
        <v>0</v>
      </c>
      <c r="O15" s="15">
        <f t="shared" si="0"/>
        <v>49</v>
      </c>
      <c r="P15" s="15">
        <f t="shared" si="1"/>
        <v>339</v>
      </c>
      <c r="R15" s="1" t="s">
        <v>11</v>
      </c>
      <c r="S15" s="17">
        <f t="shared" ref="S15:AF15" si="7">SUM(C30:C33)</f>
        <v>135</v>
      </c>
      <c r="T15" s="17">
        <f t="shared" si="7"/>
        <v>42</v>
      </c>
      <c r="U15" s="17">
        <f t="shared" si="7"/>
        <v>17</v>
      </c>
      <c r="V15" s="17">
        <f t="shared" si="7"/>
        <v>58</v>
      </c>
      <c r="W15" s="17">
        <f t="shared" si="7"/>
        <v>5</v>
      </c>
      <c r="X15" s="17">
        <f t="shared" si="7"/>
        <v>0</v>
      </c>
      <c r="Y15" s="17">
        <f t="shared" si="7"/>
        <v>29</v>
      </c>
      <c r="Z15" s="17">
        <f t="shared" si="7"/>
        <v>23</v>
      </c>
      <c r="AA15" s="17">
        <f t="shared" si="7"/>
        <v>2</v>
      </c>
      <c r="AB15" s="17">
        <f t="shared" si="7"/>
        <v>2</v>
      </c>
      <c r="AC15" s="17">
        <f t="shared" si="7"/>
        <v>1102</v>
      </c>
      <c r="AD15" s="17">
        <f t="shared" si="7"/>
        <v>0</v>
      </c>
      <c r="AE15" s="31">
        <f t="shared" si="7"/>
        <v>313</v>
      </c>
      <c r="AF15" s="31">
        <f t="shared" si="7"/>
        <v>1415</v>
      </c>
    </row>
    <row r="16" spans="2:32" ht="23.1" customHeight="1" x14ac:dyDescent="0.25">
      <c r="B16" s="23" t="s">
        <v>43</v>
      </c>
      <c r="C16" s="50">
        <v>19</v>
      </c>
      <c r="D16" s="50">
        <v>4</v>
      </c>
      <c r="E16" s="50">
        <v>2</v>
      </c>
      <c r="F16" s="50">
        <v>18</v>
      </c>
      <c r="G16" s="50">
        <v>1</v>
      </c>
      <c r="H16" s="50">
        <v>0</v>
      </c>
      <c r="I16" s="50">
        <v>0</v>
      </c>
      <c r="J16" s="50">
        <v>1</v>
      </c>
      <c r="K16" s="50">
        <v>1</v>
      </c>
      <c r="L16" s="50">
        <v>0</v>
      </c>
      <c r="M16" s="50">
        <v>350</v>
      </c>
      <c r="N16" s="50">
        <v>0</v>
      </c>
      <c r="O16" s="15">
        <f t="shared" si="0"/>
        <v>46</v>
      </c>
      <c r="P16" s="15">
        <f t="shared" si="1"/>
        <v>396</v>
      </c>
      <c r="R16" s="1" t="s">
        <v>12</v>
      </c>
      <c r="S16" s="17">
        <f t="shared" ref="S16:AF16" si="8">SUM(C34:C37)</f>
        <v>147</v>
      </c>
      <c r="T16" s="17">
        <f t="shared" si="8"/>
        <v>29</v>
      </c>
      <c r="U16" s="17">
        <f t="shared" si="8"/>
        <v>19</v>
      </c>
      <c r="V16" s="17">
        <f t="shared" si="8"/>
        <v>57</v>
      </c>
      <c r="W16" s="17">
        <f t="shared" si="8"/>
        <v>1</v>
      </c>
      <c r="X16" s="17">
        <f t="shared" si="8"/>
        <v>0</v>
      </c>
      <c r="Y16" s="17">
        <f t="shared" si="8"/>
        <v>29</v>
      </c>
      <c r="Z16" s="17">
        <f t="shared" si="8"/>
        <v>22</v>
      </c>
      <c r="AA16" s="17">
        <f t="shared" si="8"/>
        <v>0</v>
      </c>
      <c r="AB16" s="17">
        <f t="shared" si="8"/>
        <v>2</v>
      </c>
      <c r="AC16" s="17">
        <f t="shared" si="8"/>
        <v>955</v>
      </c>
      <c r="AD16" s="17">
        <f t="shared" si="8"/>
        <v>1</v>
      </c>
      <c r="AE16" s="31">
        <f t="shared" si="8"/>
        <v>307</v>
      </c>
      <c r="AF16" s="31">
        <f t="shared" si="8"/>
        <v>1262</v>
      </c>
    </row>
    <row r="17" spans="2:32" ht="23.1" customHeight="1" x14ac:dyDescent="0.25">
      <c r="B17" s="23" t="s">
        <v>44</v>
      </c>
      <c r="C17" s="50">
        <v>16</v>
      </c>
      <c r="D17" s="50">
        <v>4</v>
      </c>
      <c r="E17" s="50">
        <v>3</v>
      </c>
      <c r="F17" s="50">
        <v>16</v>
      </c>
      <c r="G17" s="50">
        <v>0</v>
      </c>
      <c r="H17" s="50">
        <v>0</v>
      </c>
      <c r="I17" s="50">
        <v>2</v>
      </c>
      <c r="J17" s="50">
        <v>3</v>
      </c>
      <c r="K17" s="50">
        <v>0</v>
      </c>
      <c r="L17" s="50">
        <v>0</v>
      </c>
      <c r="M17" s="50">
        <v>345</v>
      </c>
      <c r="N17" s="50">
        <v>0</v>
      </c>
      <c r="O17" s="15">
        <f t="shared" si="0"/>
        <v>44</v>
      </c>
      <c r="P17" s="15">
        <f t="shared" si="1"/>
        <v>389</v>
      </c>
      <c r="R17" s="1" t="s">
        <v>13</v>
      </c>
      <c r="S17" s="17">
        <f t="shared" ref="S17:AF17" si="9">SUM(C38:C41)</f>
        <v>155</v>
      </c>
      <c r="T17" s="17">
        <f t="shared" si="9"/>
        <v>25</v>
      </c>
      <c r="U17" s="17">
        <f t="shared" si="9"/>
        <v>12</v>
      </c>
      <c r="V17" s="17">
        <f t="shared" si="9"/>
        <v>48</v>
      </c>
      <c r="W17" s="17">
        <f t="shared" si="9"/>
        <v>1</v>
      </c>
      <c r="X17" s="17">
        <f t="shared" si="9"/>
        <v>0</v>
      </c>
      <c r="Y17" s="17">
        <f t="shared" si="9"/>
        <v>25</v>
      </c>
      <c r="Z17" s="17">
        <f t="shared" si="9"/>
        <v>17</v>
      </c>
      <c r="AA17" s="17">
        <f t="shared" si="9"/>
        <v>2</v>
      </c>
      <c r="AB17" s="17">
        <f t="shared" si="9"/>
        <v>0</v>
      </c>
      <c r="AC17" s="17">
        <f t="shared" si="9"/>
        <v>722</v>
      </c>
      <c r="AD17" s="17">
        <f t="shared" si="9"/>
        <v>0</v>
      </c>
      <c r="AE17" s="31">
        <f t="shared" si="9"/>
        <v>285</v>
      </c>
      <c r="AF17" s="31">
        <f t="shared" si="9"/>
        <v>1007</v>
      </c>
    </row>
    <row r="18" spans="2:32" ht="23.1" customHeight="1" x14ac:dyDescent="0.25">
      <c r="B18" s="23" t="s">
        <v>45</v>
      </c>
      <c r="C18" s="50">
        <v>19</v>
      </c>
      <c r="D18" s="50">
        <v>4</v>
      </c>
      <c r="E18" s="50">
        <v>2</v>
      </c>
      <c r="F18" s="50">
        <v>12</v>
      </c>
      <c r="G18" s="50">
        <v>0</v>
      </c>
      <c r="H18" s="50">
        <v>0</v>
      </c>
      <c r="I18" s="50">
        <v>5</v>
      </c>
      <c r="J18" s="50">
        <v>2</v>
      </c>
      <c r="K18" s="50">
        <v>1</v>
      </c>
      <c r="L18" s="50">
        <v>0</v>
      </c>
      <c r="M18" s="50">
        <v>238</v>
      </c>
      <c r="N18" s="50">
        <v>0</v>
      </c>
      <c r="O18" s="15">
        <f t="shared" si="0"/>
        <v>45</v>
      </c>
      <c r="P18" s="15">
        <f t="shared" si="1"/>
        <v>283</v>
      </c>
      <c r="R18" s="1" t="s">
        <v>14</v>
      </c>
      <c r="S18" s="17">
        <f t="shared" ref="S18:AF18" si="10">SUM(C42:C45)</f>
        <v>160</v>
      </c>
      <c r="T18" s="17">
        <f t="shared" si="10"/>
        <v>24</v>
      </c>
      <c r="U18" s="17">
        <f t="shared" si="10"/>
        <v>13</v>
      </c>
      <c r="V18" s="17">
        <f t="shared" si="10"/>
        <v>71</v>
      </c>
      <c r="W18" s="17">
        <f t="shared" si="10"/>
        <v>1</v>
      </c>
      <c r="X18" s="17">
        <f t="shared" si="10"/>
        <v>0</v>
      </c>
      <c r="Y18" s="17">
        <f t="shared" si="10"/>
        <v>27</v>
      </c>
      <c r="Z18" s="17">
        <f t="shared" si="10"/>
        <v>30</v>
      </c>
      <c r="AA18" s="17">
        <f t="shared" si="10"/>
        <v>3</v>
      </c>
      <c r="AB18" s="17">
        <f t="shared" si="10"/>
        <v>0</v>
      </c>
      <c r="AC18" s="17">
        <f t="shared" si="10"/>
        <v>890</v>
      </c>
      <c r="AD18" s="17">
        <f t="shared" si="10"/>
        <v>0</v>
      </c>
      <c r="AE18" s="31">
        <f t="shared" si="10"/>
        <v>329</v>
      </c>
      <c r="AF18" s="31">
        <f t="shared" si="10"/>
        <v>1219</v>
      </c>
    </row>
    <row r="19" spans="2:32" ht="23.1" customHeight="1" x14ac:dyDescent="0.25">
      <c r="B19" s="23" t="s">
        <v>46</v>
      </c>
      <c r="C19" s="50">
        <v>25</v>
      </c>
      <c r="D19" s="50">
        <v>3</v>
      </c>
      <c r="E19" s="50">
        <v>2</v>
      </c>
      <c r="F19" s="50">
        <v>22</v>
      </c>
      <c r="G19" s="50">
        <v>2</v>
      </c>
      <c r="H19" s="50">
        <v>0</v>
      </c>
      <c r="I19" s="50">
        <v>7</v>
      </c>
      <c r="J19" s="50">
        <v>4</v>
      </c>
      <c r="K19" s="50">
        <v>2</v>
      </c>
      <c r="L19" s="50">
        <v>0</v>
      </c>
      <c r="M19" s="50">
        <v>296</v>
      </c>
      <c r="N19" s="50">
        <v>0</v>
      </c>
      <c r="O19" s="15">
        <f t="shared" si="0"/>
        <v>67</v>
      </c>
      <c r="P19" s="15">
        <f t="shared" si="1"/>
        <v>363</v>
      </c>
      <c r="R19" s="1" t="s">
        <v>15</v>
      </c>
      <c r="S19" s="17">
        <f t="shared" ref="S19:AF19" si="11">SUM(C46:C49)</f>
        <v>162</v>
      </c>
      <c r="T19" s="17">
        <f t="shared" si="11"/>
        <v>40</v>
      </c>
      <c r="U19" s="17">
        <f t="shared" si="11"/>
        <v>19</v>
      </c>
      <c r="V19" s="17">
        <f t="shared" si="11"/>
        <v>63</v>
      </c>
      <c r="W19" s="17">
        <f t="shared" si="11"/>
        <v>4</v>
      </c>
      <c r="X19" s="17">
        <f t="shared" si="11"/>
        <v>0</v>
      </c>
      <c r="Y19" s="17">
        <f t="shared" si="11"/>
        <v>24</v>
      </c>
      <c r="Z19" s="17">
        <f t="shared" si="11"/>
        <v>21</v>
      </c>
      <c r="AA19" s="17">
        <f t="shared" si="11"/>
        <v>3</v>
      </c>
      <c r="AB19" s="17">
        <f t="shared" si="11"/>
        <v>1</v>
      </c>
      <c r="AC19" s="17">
        <f t="shared" si="11"/>
        <v>810</v>
      </c>
      <c r="AD19" s="17">
        <f t="shared" si="11"/>
        <v>0</v>
      </c>
      <c r="AE19" s="31">
        <f t="shared" si="11"/>
        <v>337</v>
      </c>
      <c r="AF19" s="31">
        <f t="shared" si="11"/>
        <v>1147</v>
      </c>
    </row>
    <row r="20" spans="2:32" ht="23.1" customHeight="1" x14ac:dyDescent="0.25">
      <c r="B20" s="23" t="s">
        <v>47</v>
      </c>
      <c r="C20" s="50">
        <v>21</v>
      </c>
      <c r="D20" s="50">
        <v>6</v>
      </c>
      <c r="E20" s="50">
        <v>2</v>
      </c>
      <c r="F20" s="50">
        <v>16</v>
      </c>
      <c r="G20" s="50">
        <v>2</v>
      </c>
      <c r="H20" s="50">
        <v>0</v>
      </c>
      <c r="I20" s="50">
        <v>7</v>
      </c>
      <c r="J20" s="50">
        <v>10</v>
      </c>
      <c r="K20" s="50">
        <v>0</v>
      </c>
      <c r="L20" s="50">
        <v>0</v>
      </c>
      <c r="M20" s="50">
        <v>326</v>
      </c>
      <c r="N20" s="50">
        <v>0</v>
      </c>
      <c r="O20" s="15">
        <f t="shared" si="0"/>
        <v>64</v>
      </c>
      <c r="P20" s="15">
        <f t="shared" si="1"/>
        <v>390</v>
      </c>
      <c r="R20" s="1" t="s">
        <v>16</v>
      </c>
      <c r="S20" s="17">
        <f t="shared" ref="S20:AF20" si="12">SUM(C50:C53)</f>
        <v>283</v>
      </c>
      <c r="T20" s="17">
        <f t="shared" si="12"/>
        <v>47</v>
      </c>
      <c r="U20" s="17">
        <f t="shared" si="12"/>
        <v>18</v>
      </c>
      <c r="V20" s="17">
        <f t="shared" si="12"/>
        <v>69</v>
      </c>
      <c r="W20" s="17">
        <f t="shared" si="12"/>
        <v>0</v>
      </c>
      <c r="X20" s="17">
        <f t="shared" si="12"/>
        <v>0</v>
      </c>
      <c r="Y20" s="17">
        <f t="shared" si="12"/>
        <v>22</v>
      </c>
      <c r="Z20" s="17">
        <f t="shared" si="12"/>
        <v>14</v>
      </c>
      <c r="AA20" s="17">
        <f t="shared" si="12"/>
        <v>4</v>
      </c>
      <c r="AB20" s="17">
        <f t="shared" si="12"/>
        <v>1</v>
      </c>
      <c r="AC20" s="17">
        <f t="shared" si="12"/>
        <v>1217</v>
      </c>
      <c r="AD20" s="17">
        <f t="shared" si="12"/>
        <v>0</v>
      </c>
      <c r="AE20" s="31">
        <f t="shared" si="12"/>
        <v>458</v>
      </c>
      <c r="AF20" s="31">
        <f t="shared" si="12"/>
        <v>1675</v>
      </c>
    </row>
    <row r="21" spans="2:32" ht="23.1" customHeight="1" x14ac:dyDescent="0.25">
      <c r="B21" s="23" t="s">
        <v>48</v>
      </c>
      <c r="C21" s="50">
        <v>21</v>
      </c>
      <c r="D21" s="50">
        <v>10</v>
      </c>
      <c r="E21" s="50">
        <v>9</v>
      </c>
      <c r="F21" s="50">
        <v>18</v>
      </c>
      <c r="G21" s="50">
        <v>0</v>
      </c>
      <c r="H21" s="50">
        <v>0</v>
      </c>
      <c r="I21" s="50">
        <v>6</v>
      </c>
      <c r="J21" s="50">
        <v>1</v>
      </c>
      <c r="K21" s="50">
        <v>2</v>
      </c>
      <c r="L21" s="50">
        <v>0</v>
      </c>
      <c r="M21" s="50">
        <v>339</v>
      </c>
      <c r="N21" s="50">
        <v>0</v>
      </c>
      <c r="O21" s="15">
        <f t="shared" si="0"/>
        <v>67</v>
      </c>
      <c r="P21" s="15">
        <f t="shared" si="1"/>
        <v>406</v>
      </c>
      <c r="R21" s="36" t="s">
        <v>20</v>
      </c>
      <c r="S21" s="34">
        <f t="shared" ref="S21:AF21" si="13">SUM(C54:C57)</f>
        <v>196</v>
      </c>
      <c r="T21" s="17">
        <f t="shared" si="13"/>
        <v>28</v>
      </c>
      <c r="U21" s="17">
        <f t="shared" si="13"/>
        <v>17</v>
      </c>
      <c r="V21" s="17">
        <f t="shared" si="13"/>
        <v>107</v>
      </c>
      <c r="W21" s="17">
        <f t="shared" si="13"/>
        <v>2</v>
      </c>
      <c r="X21" s="17">
        <f t="shared" si="13"/>
        <v>0</v>
      </c>
      <c r="Y21" s="17">
        <f t="shared" si="13"/>
        <v>15</v>
      </c>
      <c r="Z21" s="17">
        <f t="shared" si="13"/>
        <v>18</v>
      </c>
      <c r="AA21" s="17">
        <f t="shared" si="13"/>
        <v>0</v>
      </c>
      <c r="AB21" s="17">
        <f t="shared" si="13"/>
        <v>2</v>
      </c>
      <c r="AC21" s="17">
        <f t="shared" si="13"/>
        <v>963</v>
      </c>
      <c r="AD21" s="17">
        <f t="shared" si="13"/>
        <v>0</v>
      </c>
      <c r="AE21" s="31">
        <f t="shared" si="13"/>
        <v>385</v>
      </c>
      <c r="AF21" s="31">
        <f t="shared" si="13"/>
        <v>1348</v>
      </c>
    </row>
    <row r="22" spans="2:32" ht="23.1" customHeight="1" x14ac:dyDescent="0.25">
      <c r="B22" s="23" t="s">
        <v>49</v>
      </c>
      <c r="C22" s="50">
        <v>25</v>
      </c>
      <c r="D22" s="50">
        <v>10</v>
      </c>
      <c r="E22" s="50">
        <v>3</v>
      </c>
      <c r="F22" s="50">
        <v>17</v>
      </c>
      <c r="G22" s="50">
        <v>0</v>
      </c>
      <c r="H22" s="50">
        <v>0</v>
      </c>
      <c r="I22" s="50">
        <v>9</v>
      </c>
      <c r="J22" s="50">
        <v>0</v>
      </c>
      <c r="K22" s="50">
        <v>0</v>
      </c>
      <c r="L22" s="50">
        <v>0</v>
      </c>
      <c r="M22" s="50">
        <v>294</v>
      </c>
      <c r="N22" s="50">
        <v>0</v>
      </c>
      <c r="O22" s="15">
        <f t="shared" si="0"/>
        <v>64</v>
      </c>
      <c r="P22" s="15">
        <f t="shared" si="1"/>
        <v>358</v>
      </c>
      <c r="R22" s="38" t="s">
        <v>90</v>
      </c>
      <c r="S22" s="39">
        <f>MAX(S10:S12)</f>
        <v>86</v>
      </c>
      <c r="T22" s="39">
        <f t="shared" ref="T22:AF22" si="14">MAX(T10:T12)</f>
        <v>23</v>
      </c>
      <c r="U22" s="39">
        <f t="shared" si="14"/>
        <v>15</v>
      </c>
      <c r="V22" s="39">
        <f t="shared" si="14"/>
        <v>82</v>
      </c>
      <c r="W22" s="39">
        <f t="shared" si="14"/>
        <v>4</v>
      </c>
      <c r="X22" s="39">
        <f t="shared" si="14"/>
        <v>0</v>
      </c>
      <c r="Y22" s="39">
        <f t="shared" si="14"/>
        <v>25</v>
      </c>
      <c r="Z22" s="39">
        <f t="shared" si="14"/>
        <v>17</v>
      </c>
      <c r="AA22" s="39">
        <f t="shared" si="14"/>
        <v>5</v>
      </c>
      <c r="AB22" s="39">
        <f t="shared" si="14"/>
        <v>0</v>
      </c>
      <c r="AC22" s="39">
        <f t="shared" si="14"/>
        <v>1295</v>
      </c>
      <c r="AD22" s="39">
        <f t="shared" si="14"/>
        <v>0</v>
      </c>
      <c r="AE22" s="40">
        <f t="shared" si="14"/>
        <v>243</v>
      </c>
      <c r="AF22" s="40">
        <f t="shared" si="14"/>
        <v>1500</v>
      </c>
    </row>
    <row r="23" spans="2:32" ht="23.1" customHeight="1" x14ac:dyDescent="0.25">
      <c r="B23" s="23" t="s">
        <v>50</v>
      </c>
      <c r="C23" s="50">
        <v>28</v>
      </c>
      <c r="D23" s="50">
        <v>6</v>
      </c>
      <c r="E23" s="50">
        <v>2</v>
      </c>
      <c r="F23" s="50">
        <v>13</v>
      </c>
      <c r="G23" s="50">
        <v>0</v>
      </c>
      <c r="H23" s="50">
        <v>1</v>
      </c>
      <c r="I23" s="50">
        <v>8</v>
      </c>
      <c r="J23" s="50">
        <v>4</v>
      </c>
      <c r="K23" s="50">
        <v>0</v>
      </c>
      <c r="L23" s="50">
        <v>1</v>
      </c>
      <c r="M23" s="50">
        <v>240</v>
      </c>
      <c r="N23" s="50">
        <v>0</v>
      </c>
      <c r="O23" s="15">
        <f t="shared" si="0"/>
        <v>63</v>
      </c>
      <c r="P23" s="15">
        <f t="shared" si="1"/>
        <v>303</v>
      </c>
      <c r="R23" s="38" t="s">
        <v>91</v>
      </c>
      <c r="S23" s="39">
        <f>MAX(S13:S18)</f>
        <v>160</v>
      </c>
      <c r="T23" s="39">
        <f t="shared" ref="T23:AF23" si="15">MAX(T13:T18)</f>
        <v>42</v>
      </c>
      <c r="U23" s="39">
        <f t="shared" si="15"/>
        <v>19</v>
      </c>
      <c r="V23" s="39">
        <f t="shared" si="15"/>
        <v>71</v>
      </c>
      <c r="W23" s="39">
        <f t="shared" si="15"/>
        <v>5</v>
      </c>
      <c r="X23" s="39">
        <f t="shared" si="15"/>
        <v>1</v>
      </c>
      <c r="Y23" s="39">
        <f t="shared" si="15"/>
        <v>33</v>
      </c>
      <c r="Z23" s="39">
        <f t="shared" si="15"/>
        <v>30</v>
      </c>
      <c r="AA23" s="39">
        <f t="shared" si="15"/>
        <v>3</v>
      </c>
      <c r="AB23" s="39">
        <f t="shared" si="15"/>
        <v>2</v>
      </c>
      <c r="AC23" s="39">
        <f t="shared" si="15"/>
        <v>1102</v>
      </c>
      <c r="AD23" s="39">
        <f t="shared" si="15"/>
        <v>1</v>
      </c>
      <c r="AE23" s="40">
        <f t="shared" si="15"/>
        <v>329</v>
      </c>
      <c r="AF23" s="40">
        <f t="shared" si="15"/>
        <v>1415</v>
      </c>
    </row>
    <row r="24" spans="2:32" ht="23.1" customHeight="1" x14ac:dyDescent="0.25">
      <c r="B24" s="23" t="s">
        <v>51</v>
      </c>
      <c r="C24" s="50">
        <v>34</v>
      </c>
      <c r="D24" s="50">
        <v>6</v>
      </c>
      <c r="E24" s="50">
        <v>3</v>
      </c>
      <c r="F24" s="50">
        <v>16</v>
      </c>
      <c r="G24" s="50">
        <v>0</v>
      </c>
      <c r="H24" s="50">
        <v>0</v>
      </c>
      <c r="I24" s="50">
        <v>7</v>
      </c>
      <c r="J24" s="50">
        <v>8</v>
      </c>
      <c r="K24" s="50">
        <v>0</v>
      </c>
      <c r="L24" s="50">
        <v>0</v>
      </c>
      <c r="M24" s="50">
        <v>235</v>
      </c>
      <c r="N24" s="50">
        <v>0</v>
      </c>
      <c r="O24" s="15">
        <f t="shared" si="0"/>
        <v>74</v>
      </c>
      <c r="P24" s="15">
        <f t="shared" si="1"/>
        <v>309</v>
      </c>
      <c r="R24" s="38" t="s">
        <v>92</v>
      </c>
      <c r="S24" s="39">
        <f>MAX(S19:S21)</f>
        <v>283</v>
      </c>
      <c r="T24" s="39">
        <f t="shared" ref="T24:AF24" si="16">MAX(T19:T21)</f>
        <v>47</v>
      </c>
      <c r="U24" s="39">
        <f t="shared" si="16"/>
        <v>19</v>
      </c>
      <c r="V24" s="39">
        <f t="shared" si="16"/>
        <v>107</v>
      </c>
      <c r="W24" s="39">
        <f t="shared" si="16"/>
        <v>4</v>
      </c>
      <c r="X24" s="39">
        <f t="shared" si="16"/>
        <v>0</v>
      </c>
      <c r="Y24" s="39">
        <f t="shared" si="16"/>
        <v>24</v>
      </c>
      <c r="Z24" s="39">
        <f t="shared" si="16"/>
        <v>21</v>
      </c>
      <c r="AA24" s="39">
        <f t="shared" si="16"/>
        <v>4</v>
      </c>
      <c r="AB24" s="39">
        <f t="shared" si="16"/>
        <v>2</v>
      </c>
      <c r="AC24" s="39">
        <f t="shared" si="16"/>
        <v>1217</v>
      </c>
      <c r="AD24" s="39">
        <f t="shared" si="16"/>
        <v>0</v>
      </c>
      <c r="AE24" s="40">
        <f t="shared" si="16"/>
        <v>458</v>
      </c>
      <c r="AF24" s="40">
        <f t="shared" si="16"/>
        <v>1675</v>
      </c>
    </row>
    <row r="25" spans="2:32" ht="23.1" customHeight="1" x14ac:dyDescent="0.25">
      <c r="B25" s="23" t="s">
        <v>52</v>
      </c>
      <c r="C25" s="50">
        <v>31</v>
      </c>
      <c r="D25" s="50">
        <v>3</v>
      </c>
      <c r="E25" s="50">
        <v>4</v>
      </c>
      <c r="F25" s="50">
        <v>18</v>
      </c>
      <c r="G25" s="50">
        <v>0</v>
      </c>
      <c r="H25" s="50">
        <v>0</v>
      </c>
      <c r="I25" s="50">
        <v>9</v>
      </c>
      <c r="J25" s="50">
        <v>1</v>
      </c>
      <c r="K25" s="50">
        <v>0</v>
      </c>
      <c r="L25" s="50">
        <v>0</v>
      </c>
      <c r="M25" s="50">
        <v>195</v>
      </c>
      <c r="N25" s="50">
        <v>0</v>
      </c>
      <c r="O25" s="15">
        <f t="shared" si="0"/>
        <v>66</v>
      </c>
      <c r="P25" s="15">
        <f t="shared" si="1"/>
        <v>261</v>
      </c>
      <c r="R25" s="37" t="s">
        <v>85</v>
      </c>
      <c r="S25" s="35">
        <f t="shared" ref="S25:AF25" si="17">SUM(S10:S12)</f>
        <v>248</v>
      </c>
      <c r="T25" s="16">
        <f t="shared" si="17"/>
        <v>44</v>
      </c>
      <c r="U25" s="16">
        <f t="shared" si="17"/>
        <v>32</v>
      </c>
      <c r="V25" s="16">
        <f t="shared" si="17"/>
        <v>208</v>
      </c>
      <c r="W25" s="16">
        <f t="shared" si="17"/>
        <v>5</v>
      </c>
      <c r="X25" s="16">
        <f t="shared" si="17"/>
        <v>0</v>
      </c>
      <c r="Y25" s="16">
        <f t="shared" si="17"/>
        <v>39</v>
      </c>
      <c r="Z25" s="16">
        <f t="shared" si="17"/>
        <v>30</v>
      </c>
      <c r="AA25" s="16">
        <f t="shared" si="17"/>
        <v>7</v>
      </c>
      <c r="AB25" s="16">
        <f t="shared" si="17"/>
        <v>0</v>
      </c>
      <c r="AC25" s="16">
        <f t="shared" si="17"/>
        <v>3061</v>
      </c>
      <c r="AD25" s="16">
        <f t="shared" si="17"/>
        <v>0</v>
      </c>
      <c r="AE25" s="32">
        <f t="shared" si="17"/>
        <v>613</v>
      </c>
      <c r="AF25" s="32">
        <f t="shared" si="17"/>
        <v>3674</v>
      </c>
    </row>
    <row r="26" spans="2:32" ht="23.1" customHeight="1" x14ac:dyDescent="0.25">
      <c r="B26" s="23" t="s">
        <v>53</v>
      </c>
      <c r="C26" s="50">
        <v>37</v>
      </c>
      <c r="D26" s="50">
        <v>6</v>
      </c>
      <c r="E26" s="50">
        <v>4</v>
      </c>
      <c r="F26" s="50">
        <v>19</v>
      </c>
      <c r="G26" s="50">
        <v>0</v>
      </c>
      <c r="H26" s="50">
        <v>0</v>
      </c>
      <c r="I26" s="50">
        <v>9</v>
      </c>
      <c r="J26" s="50">
        <v>8</v>
      </c>
      <c r="K26" s="50">
        <v>0</v>
      </c>
      <c r="L26" s="50">
        <v>0</v>
      </c>
      <c r="M26" s="50">
        <v>310</v>
      </c>
      <c r="N26" s="50">
        <v>1</v>
      </c>
      <c r="O26" s="15">
        <f t="shared" si="0"/>
        <v>84</v>
      </c>
      <c r="P26" s="15">
        <f t="shared" si="1"/>
        <v>394</v>
      </c>
      <c r="R26" s="28" t="s">
        <v>86</v>
      </c>
      <c r="S26" s="16">
        <f t="shared" ref="S26:AF26" si="18">SUM(S13:S18)</f>
        <v>858</v>
      </c>
      <c r="T26" s="16">
        <f t="shared" si="18"/>
        <v>173</v>
      </c>
      <c r="U26" s="16">
        <f t="shared" si="18"/>
        <v>88</v>
      </c>
      <c r="V26" s="16">
        <f t="shared" si="18"/>
        <v>357</v>
      </c>
      <c r="W26" s="16">
        <f t="shared" si="18"/>
        <v>10</v>
      </c>
      <c r="X26" s="16">
        <f t="shared" si="18"/>
        <v>1</v>
      </c>
      <c r="Y26" s="16">
        <f t="shared" si="18"/>
        <v>172</v>
      </c>
      <c r="Z26" s="16">
        <f t="shared" si="18"/>
        <v>129</v>
      </c>
      <c r="AA26" s="16">
        <f t="shared" si="18"/>
        <v>7</v>
      </c>
      <c r="AB26" s="16">
        <f t="shared" si="18"/>
        <v>6</v>
      </c>
      <c r="AC26" s="16">
        <f t="shared" si="18"/>
        <v>5643</v>
      </c>
      <c r="AD26" s="16">
        <f t="shared" si="18"/>
        <v>2</v>
      </c>
      <c r="AE26" s="32">
        <f t="shared" si="18"/>
        <v>1803</v>
      </c>
      <c r="AF26" s="32">
        <f t="shared" si="18"/>
        <v>7446</v>
      </c>
    </row>
    <row r="27" spans="2:32" ht="23.1" customHeight="1" x14ac:dyDescent="0.25">
      <c r="B27" s="23" t="s">
        <v>54</v>
      </c>
      <c r="C27" s="50">
        <v>39</v>
      </c>
      <c r="D27" s="50">
        <v>6</v>
      </c>
      <c r="E27" s="50">
        <v>5</v>
      </c>
      <c r="F27" s="50">
        <v>19</v>
      </c>
      <c r="G27" s="50">
        <v>2</v>
      </c>
      <c r="H27" s="50">
        <v>0</v>
      </c>
      <c r="I27" s="50">
        <v>7</v>
      </c>
      <c r="J27" s="50">
        <v>7</v>
      </c>
      <c r="K27" s="50">
        <v>0</v>
      </c>
      <c r="L27" s="50">
        <v>0</v>
      </c>
      <c r="M27" s="50">
        <v>245</v>
      </c>
      <c r="N27" s="50">
        <v>0</v>
      </c>
      <c r="O27" s="15">
        <f t="shared" si="0"/>
        <v>85</v>
      </c>
      <c r="P27" s="15">
        <f t="shared" si="1"/>
        <v>330</v>
      </c>
      <c r="R27" s="29" t="s">
        <v>87</v>
      </c>
      <c r="S27" s="16">
        <f t="shared" ref="S27:AF27" si="19">SUM(S19:S21)</f>
        <v>641</v>
      </c>
      <c r="T27" s="16">
        <f t="shared" si="19"/>
        <v>115</v>
      </c>
      <c r="U27" s="16">
        <f t="shared" si="19"/>
        <v>54</v>
      </c>
      <c r="V27" s="16">
        <f t="shared" si="19"/>
        <v>239</v>
      </c>
      <c r="W27" s="16">
        <f t="shared" si="19"/>
        <v>6</v>
      </c>
      <c r="X27" s="16">
        <f t="shared" si="19"/>
        <v>0</v>
      </c>
      <c r="Y27" s="16">
        <f t="shared" si="19"/>
        <v>61</v>
      </c>
      <c r="Z27" s="16">
        <f t="shared" si="19"/>
        <v>53</v>
      </c>
      <c r="AA27" s="16">
        <f t="shared" si="19"/>
        <v>7</v>
      </c>
      <c r="AB27" s="16">
        <f t="shared" si="19"/>
        <v>4</v>
      </c>
      <c r="AC27" s="16">
        <f t="shared" si="19"/>
        <v>2990</v>
      </c>
      <c r="AD27" s="16">
        <f t="shared" si="19"/>
        <v>0</v>
      </c>
      <c r="AE27" s="32">
        <f t="shared" si="19"/>
        <v>1180</v>
      </c>
      <c r="AF27" s="32">
        <f t="shared" si="19"/>
        <v>4170</v>
      </c>
    </row>
    <row r="28" spans="2:32" ht="23.1" customHeight="1" x14ac:dyDescent="0.25">
      <c r="B28" s="23" t="s">
        <v>55</v>
      </c>
      <c r="C28" s="50">
        <v>35</v>
      </c>
      <c r="D28" s="50">
        <v>7</v>
      </c>
      <c r="E28" s="50">
        <v>2</v>
      </c>
      <c r="F28" s="50">
        <v>7</v>
      </c>
      <c r="G28" s="50">
        <v>0</v>
      </c>
      <c r="H28" s="50">
        <v>0</v>
      </c>
      <c r="I28" s="50">
        <v>6</v>
      </c>
      <c r="J28" s="50">
        <v>7</v>
      </c>
      <c r="K28" s="50">
        <v>0</v>
      </c>
      <c r="L28" s="50">
        <v>1</v>
      </c>
      <c r="M28" s="50">
        <v>210</v>
      </c>
      <c r="N28" s="50">
        <v>0</v>
      </c>
      <c r="O28" s="15">
        <f t="shared" si="0"/>
        <v>65</v>
      </c>
      <c r="P28" s="15">
        <f t="shared" si="1"/>
        <v>275</v>
      </c>
      <c r="R28" s="5" t="s">
        <v>17</v>
      </c>
      <c r="S28" s="16">
        <f t="shared" ref="S28:AF28" si="20">SUM(S10:S21)</f>
        <v>1747</v>
      </c>
      <c r="T28" s="16">
        <f t="shared" si="20"/>
        <v>332</v>
      </c>
      <c r="U28" s="16">
        <f t="shared" si="20"/>
        <v>174</v>
      </c>
      <c r="V28" s="16">
        <f t="shared" si="20"/>
        <v>804</v>
      </c>
      <c r="W28" s="16">
        <f t="shared" si="20"/>
        <v>21</v>
      </c>
      <c r="X28" s="16">
        <f t="shared" si="20"/>
        <v>1</v>
      </c>
      <c r="Y28" s="16">
        <f t="shared" si="20"/>
        <v>272</v>
      </c>
      <c r="Z28" s="16">
        <f t="shared" si="20"/>
        <v>212</v>
      </c>
      <c r="AA28" s="16">
        <f t="shared" si="20"/>
        <v>21</v>
      </c>
      <c r="AB28" s="16">
        <f t="shared" si="20"/>
        <v>10</v>
      </c>
      <c r="AC28" s="16">
        <f t="shared" si="20"/>
        <v>11694</v>
      </c>
      <c r="AD28" s="16">
        <f t="shared" si="20"/>
        <v>2</v>
      </c>
      <c r="AE28" s="32">
        <f t="shared" si="20"/>
        <v>3596</v>
      </c>
      <c r="AF28" s="32">
        <f t="shared" si="20"/>
        <v>15290</v>
      </c>
    </row>
    <row r="29" spans="2:32" ht="23.1" customHeight="1" x14ac:dyDescent="0.25">
      <c r="B29" s="23" t="s">
        <v>56</v>
      </c>
      <c r="C29" s="50">
        <v>32</v>
      </c>
      <c r="D29" s="50">
        <v>9</v>
      </c>
      <c r="E29" s="50">
        <v>4</v>
      </c>
      <c r="F29" s="50">
        <v>14</v>
      </c>
      <c r="G29" s="50">
        <v>0</v>
      </c>
      <c r="H29" s="50">
        <v>0</v>
      </c>
      <c r="I29" s="50">
        <v>7</v>
      </c>
      <c r="J29" s="50">
        <v>2</v>
      </c>
      <c r="K29" s="50">
        <v>0</v>
      </c>
      <c r="L29" s="50">
        <v>0</v>
      </c>
      <c r="M29" s="50">
        <v>245</v>
      </c>
      <c r="N29" s="50">
        <v>0</v>
      </c>
      <c r="O29" s="15">
        <f t="shared" si="0"/>
        <v>68</v>
      </c>
      <c r="P29" s="15">
        <f t="shared" si="1"/>
        <v>313</v>
      </c>
      <c r="R29"/>
      <c r="S29" s="20"/>
      <c r="T29" s="19"/>
    </row>
    <row r="30" spans="2:32" ht="23.1" customHeight="1" x14ac:dyDescent="0.25">
      <c r="B30" s="23" t="s">
        <v>57</v>
      </c>
      <c r="C30" s="50">
        <v>34</v>
      </c>
      <c r="D30" s="50">
        <v>19</v>
      </c>
      <c r="E30" s="50">
        <v>6</v>
      </c>
      <c r="F30" s="50">
        <v>15</v>
      </c>
      <c r="G30" s="50">
        <v>0</v>
      </c>
      <c r="H30" s="50">
        <v>0</v>
      </c>
      <c r="I30" s="50">
        <v>15</v>
      </c>
      <c r="J30" s="50">
        <v>8</v>
      </c>
      <c r="K30" s="50">
        <v>0</v>
      </c>
      <c r="L30" s="50">
        <v>0</v>
      </c>
      <c r="M30" s="50">
        <v>292</v>
      </c>
      <c r="N30" s="50">
        <v>0</v>
      </c>
      <c r="O30" s="15">
        <f t="shared" si="0"/>
        <v>97</v>
      </c>
      <c r="P30" s="15">
        <f t="shared" si="1"/>
        <v>389</v>
      </c>
    </row>
    <row r="31" spans="2:32" ht="23.1" customHeight="1" x14ac:dyDescent="0.25">
      <c r="B31" s="24" t="s">
        <v>58</v>
      </c>
      <c r="C31" s="50">
        <v>30</v>
      </c>
      <c r="D31" s="50">
        <v>8</v>
      </c>
      <c r="E31" s="50">
        <v>2</v>
      </c>
      <c r="F31" s="50">
        <v>8</v>
      </c>
      <c r="G31" s="50">
        <v>2</v>
      </c>
      <c r="H31" s="50">
        <v>0</v>
      </c>
      <c r="I31" s="50">
        <v>6</v>
      </c>
      <c r="J31" s="50">
        <v>11</v>
      </c>
      <c r="K31" s="50">
        <v>0</v>
      </c>
      <c r="L31" s="50">
        <v>0</v>
      </c>
      <c r="M31" s="50">
        <v>250</v>
      </c>
      <c r="N31" s="50">
        <v>0</v>
      </c>
      <c r="O31" s="15">
        <f t="shared" si="0"/>
        <v>67</v>
      </c>
      <c r="P31" s="15">
        <f t="shared" si="1"/>
        <v>317</v>
      </c>
    </row>
    <row r="32" spans="2:32" ht="23.1" customHeight="1" x14ac:dyDescent="0.25">
      <c r="B32" s="24" t="s">
        <v>59</v>
      </c>
      <c r="C32" s="50">
        <v>32</v>
      </c>
      <c r="D32" s="50">
        <v>9</v>
      </c>
      <c r="E32" s="50">
        <v>5</v>
      </c>
      <c r="F32" s="50">
        <v>17</v>
      </c>
      <c r="G32" s="50">
        <v>3</v>
      </c>
      <c r="H32" s="50">
        <v>0</v>
      </c>
      <c r="I32" s="50">
        <v>1</v>
      </c>
      <c r="J32" s="50">
        <v>2</v>
      </c>
      <c r="K32" s="50">
        <v>1</v>
      </c>
      <c r="L32" s="50">
        <v>0</v>
      </c>
      <c r="M32" s="50">
        <v>285</v>
      </c>
      <c r="N32" s="50">
        <v>0</v>
      </c>
      <c r="O32" s="15">
        <f t="shared" si="0"/>
        <v>70</v>
      </c>
      <c r="P32" s="15">
        <f t="shared" si="1"/>
        <v>355</v>
      </c>
    </row>
    <row r="33" spans="2:20" ht="23.1" customHeight="1" x14ac:dyDescent="0.25">
      <c r="B33" s="23" t="s">
        <v>60</v>
      </c>
      <c r="C33" s="50">
        <v>39</v>
      </c>
      <c r="D33" s="50">
        <v>6</v>
      </c>
      <c r="E33" s="50">
        <v>4</v>
      </c>
      <c r="F33" s="50">
        <v>18</v>
      </c>
      <c r="G33" s="50">
        <v>0</v>
      </c>
      <c r="H33" s="50">
        <v>0</v>
      </c>
      <c r="I33" s="50">
        <v>7</v>
      </c>
      <c r="J33" s="50">
        <v>2</v>
      </c>
      <c r="K33" s="50">
        <v>1</v>
      </c>
      <c r="L33" s="50">
        <v>2</v>
      </c>
      <c r="M33" s="50">
        <v>275</v>
      </c>
      <c r="N33" s="50">
        <v>0</v>
      </c>
      <c r="O33" s="15">
        <f t="shared" si="0"/>
        <v>79</v>
      </c>
      <c r="P33" s="15">
        <f t="shared" si="1"/>
        <v>354</v>
      </c>
    </row>
    <row r="34" spans="2:20" ht="23.1" customHeight="1" x14ac:dyDescent="0.25">
      <c r="B34" s="24" t="s">
        <v>61</v>
      </c>
      <c r="C34" s="50">
        <v>34</v>
      </c>
      <c r="D34" s="50">
        <v>5</v>
      </c>
      <c r="E34" s="50">
        <v>4</v>
      </c>
      <c r="F34" s="50">
        <v>18</v>
      </c>
      <c r="G34" s="50">
        <v>0</v>
      </c>
      <c r="H34" s="50">
        <v>0</v>
      </c>
      <c r="I34" s="50">
        <v>7</v>
      </c>
      <c r="J34" s="50">
        <v>2</v>
      </c>
      <c r="K34" s="50">
        <v>0</v>
      </c>
      <c r="L34" s="50">
        <v>0</v>
      </c>
      <c r="M34" s="50">
        <v>222</v>
      </c>
      <c r="N34" s="50">
        <v>0</v>
      </c>
      <c r="O34" s="15">
        <f t="shared" si="0"/>
        <v>70</v>
      </c>
      <c r="P34" s="15">
        <f t="shared" si="1"/>
        <v>292</v>
      </c>
    </row>
    <row r="35" spans="2:20" ht="23.1" customHeight="1" x14ac:dyDescent="0.25">
      <c r="B35" s="24" t="s">
        <v>62</v>
      </c>
      <c r="C35" s="50">
        <v>31</v>
      </c>
      <c r="D35" s="50">
        <v>5</v>
      </c>
      <c r="E35" s="50">
        <v>5</v>
      </c>
      <c r="F35" s="50">
        <v>13</v>
      </c>
      <c r="G35" s="50">
        <v>0</v>
      </c>
      <c r="H35" s="50">
        <v>0</v>
      </c>
      <c r="I35" s="50">
        <v>8</v>
      </c>
      <c r="J35" s="50">
        <v>10</v>
      </c>
      <c r="K35" s="50">
        <v>0</v>
      </c>
      <c r="L35" s="50">
        <v>0</v>
      </c>
      <c r="M35" s="50">
        <v>245</v>
      </c>
      <c r="N35" s="50">
        <v>0</v>
      </c>
      <c r="O35" s="15">
        <f t="shared" si="0"/>
        <v>72</v>
      </c>
      <c r="P35" s="15">
        <f t="shared" si="1"/>
        <v>317</v>
      </c>
    </row>
    <row r="36" spans="2:20" ht="23.1" customHeight="1" x14ac:dyDescent="0.25">
      <c r="B36" s="24" t="s">
        <v>63</v>
      </c>
      <c r="C36" s="50">
        <v>37</v>
      </c>
      <c r="D36" s="50">
        <v>6</v>
      </c>
      <c r="E36" s="50">
        <v>4</v>
      </c>
      <c r="F36" s="50">
        <v>9</v>
      </c>
      <c r="G36" s="50">
        <v>1</v>
      </c>
      <c r="H36" s="50">
        <v>0</v>
      </c>
      <c r="I36" s="50">
        <v>5</v>
      </c>
      <c r="J36" s="50">
        <v>0</v>
      </c>
      <c r="K36" s="50">
        <v>0</v>
      </c>
      <c r="L36" s="50">
        <v>2</v>
      </c>
      <c r="M36" s="50">
        <v>198</v>
      </c>
      <c r="N36" s="50">
        <v>1</v>
      </c>
      <c r="O36" s="15">
        <f t="shared" si="0"/>
        <v>65</v>
      </c>
      <c r="P36" s="15">
        <f t="shared" si="1"/>
        <v>263</v>
      </c>
    </row>
    <row r="37" spans="2:20" ht="23.1" customHeight="1" x14ac:dyDescent="0.25">
      <c r="B37" s="23" t="s">
        <v>64</v>
      </c>
      <c r="C37" s="50">
        <v>45</v>
      </c>
      <c r="D37" s="50">
        <v>13</v>
      </c>
      <c r="E37" s="50">
        <v>6</v>
      </c>
      <c r="F37" s="50">
        <v>17</v>
      </c>
      <c r="G37" s="50">
        <v>0</v>
      </c>
      <c r="H37" s="50">
        <v>0</v>
      </c>
      <c r="I37" s="50">
        <v>9</v>
      </c>
      <c r="J37" s="50">
        <v>10</v>
      </c>
      <c r="K37" s="50">
        <v>0</v>
      </c>
      <c r="L37" s="50">
        <v>0</v>
      </c>
      <c r="M37" s="50">
        <v>290</v>
      </c>
      <c r="N37" s="50">
        <v>0</v>
      </c>
      <c r="O37" s="15">
        <f t="shared" si="0"/>
        <v>100</v>
      </c>
      <c r="P37" s="15">
        <f t="shared" si="1"/>
        <v>390</v>
      </c>
    </row>
    <row r="38" spans="2:20" ht="23.1" customHeight="1" x14ac:dyDescent="0.25">
      <c r="B38" s="24" t="s">
        <v>65</v>
      </c>
      <c r="C38" s="50">
        <v>46</v>
      </c>
      <c r="D38" s="50">
        <v>6</v>
      </c>
      <c r="E38" s="50">
        <v>5</v>
      </c>
      <c r="F38" s="50">
        <v>11</v>
      </c>
      <c r="G38" s="50">
        <v>0</v>
      </c>
      <c r="H38" s="50">
        <v>0</v>
      </c>
      <c r="I38" s="50">
        <v>6</v>
      </c>
      <c r="J38" s="50">
        <v>4</v>
      </c>
      <c r="K38" s="50">
        <v>0</v>
      </c>
      <c r="L38" s="50">
        <v>0</v>
      </c>
      <c r="M38" s="50">
        <v>220</v>
      </c>
      <c r="N38" s="50">
        <v>0</v>
      </c>
      <c r="O38" s="15">
        <f t="shared" si="0"/>
        <v>78</v>
      </c>
      <c r="P38" s="15">
        <f t="shared" si="1"/>
        <v>298</v>
      </c>
    </row>
    <row r="39" spans="2:20" ht="23.1" customHeight="1" x14ac:dyDescent="0.25">
      <c r="B39" s="24" t="s">
        <v>66</v>
      </c>
      <c r="C39" s="50">
        <v>43</v>
      </c>
      <c r="D39" s="50">
        <v>5</v>
      </c>
      <c r="E39" s="50">
        <v>3</v>
      </c>
      <c r="F39" s="50">
        <v>11</v>
      </c>
      <c r="G39" s="50">
        <v>0</v>
      </c>
      <c r="H39" s="50">
        <v>0</v>
      </c>
      <c r="I39" s="50">
        <v>10</v>
      </c>
      <c r="J39" s="50">
        <v>9</v>
      </c>
      <c r="K39" s="50">
        <v>0</v>
      </c>
      <c r="L39" s="50">
        <v>0</v>
      </c>
      <c r="M39" s="50">
        <v>167</v>
      </c>
      <c r="N39" s="50">
        <v>0</v>
      </c>
      <c r="O39" s="15">
        <f t="shared" si="0"/>
        <v>81</v>
      </c>
      <c r="P39" s="15">
        <f t="shared" si="1"/>
        <v>248</v>
      </c>
    </row>
    <row r="40" spans="2:20" ht="23.1" customHeight="1" x14ac:dyDescent="0.25">
      <c r="B40" s="24" t="s">
        <v>67</v>
      </c>
      <c r="C40" s="50">
        <v>35</v>
      </c>
      <c r="D40" s="50">
        <v>7</v>
      </c>
      <c r="E40" s="50">
        <v>2</v>
      </c>
      <c r="F40" s="50">
        <v>13</v>
      </c>
      <c r="G40" s="50">
        <v>1</v>
      </c>
      <c r="H40" s="50">
        <v>0</v>
      </c>
      <c r="I40" s="50">
        <v>4</v>
      </c>
      <c r="J40" s="50">
        <v>3</v>
      </c>
      <c r="K40" s="50">
        <v>1</v>
      </c>
      <c r="L40" s="50">
        <v>0</v>
      </c>
      <c r="M40" s="50">
        <v>135</v>
      </c>
      <c r="N40" s="50">
        <v>0</v>
      </c>
      <c r="O40" s="15">
        <f t="shared" si="0"/>
        <v>66</v>
      </c>
      <c r="P40" s="15">
        <f t="shared" si="1"/>
        <v>201</v>
      </c>
    </row>
    <row r="41" spans="2:20" ht="23.1" customHeight="1" x14ac:dyDescent="0.25">
      <c r="B41" s="23" t="s">
        <v>68</v>
      </c>
      <c r="C41" s="50">
        <v>31</v>
      </c>
      <c r="D41" s="50">
        <v>7</v>
      </c>
      <c r="E41" s="50">
        <v>2</v>
      </c>
      <c r="F41" s="50">
        <v>13</v>
      </c>
      <c r="G41" s="50">
        <v>0</v>
      </c>
      <c r="H41" s="50">
        <v>0</v>
      </c>
      <c r="I41" s="50">
        <v>5</v>
      </c>
      <c r="J41" s="50">
        <v>1</v>
      </c>
      <c r="K41" s="50">
        <v>1</v>
      </c>
      <c r="L41" s="50">
        <v>0</v>
      </c>
      <c r="M41" s="50">
        <v>200</v>
      </c>
      <c r="N41" s="50">
        <v>0</v>
      </c>
      <c r="O41" s="15">
        <f t="shared" si="0"/>
        <v>60</v>
      </c>
      <c r="P41" s="15">
        <f t="shared" si="1"/>
        <v>260</v>
      </c>
    </row>
    <row r="42" spans="2:20" ht="23.1" customHeight="1" x14ac:dyDescent="0.25">
      <c r="B42" s="24" t="s">
        <v>69</v>
      </c>
      <c r="C42" s="50">
        <v>33</v>
      </c>
      <c r="D42" s="50">
        <v>6</v>
      </c>
      <c r="E42" s="50">
        <v>1</v>
      </c>
      <c r="F42" s="50">
        <v>15</v>
      </c>
      <c r="G42" s="50">
        <v>0</v>
      </c>
      <c r="H42" s="50">
        <v>0</v>
      </c>
      <c r="I42" s="50">
        <v>4</v>
      </c>
      <c r="J42" s="50">
        <v>9</v>
      </c>
      <c r="K42" s="50">
        <v>0</v>
      </c>
      <c r="L42" s="50">
        <v>0</v>
      </c>
      <c r="M42" s="50">
        <v>240</v>
      </c>
      <c r="N42" s="50">
        <v>0</v>
      </c>
      <c r="O42" s="15">
        <f t="shared" si="0"/>
        <v>68</v>
      </c>
      <c r="P42" s="15">
        <f t="shared" si="1"/>
        <v>308</v>
      </c>
    </row>
    <row r="43" spans="2:20" ht="23.1" customHeight="1" x14ac:dyDescent="0.25">
      <c r="B43" s="23" t="s">
        <v>70</v>
      </c>
      <c r="C43" s="50">
        <v>37</v>
      </c>
      <c r="D43" s="50">
        <v>4</v>
      </c>
      <c r="E43" s="50">
        <v>6</v>
      </c>
      <c r="F43" s="50">
        <v>22</v>
      </c>
      <c r="G43" s="50">
        <v>1</v>
      </c>
      <c r="H43" s="50">
        <v>0</v>
      </c>
      <c r="I43" s="50">
        <v>7</v>
      </c>
      <c r="J43" s="50">
        <v>12</v>
      </c>
      <c r="K43" s="50">
        <v>2</v>
      </c>
      <c r="L43" s="50">
        <v>0</v>
      </c>
      <c r="M43" s="50">
        <v>170</v>
      </c>
      <c r="N43" s="50">
        <v>0</v>
      </c>
      <c r="O43" s="15">
        <f t="shared" si="0"/>
        <v>91</v>
      </c>
      <c r="P43" s="15">
        <f t="shared" si="1"/>
        <v>261</v>
      </c>
    </row>
    <row r="44" spans="2:20" ht="23.1" customHeight="1" x14ac:dyDescent="0.25">
      <c r="B44" s="25" t="s">
        <v>71</v>
      </c>
      <c r="C44" s="50">
        <v>42</v>
      </c>
      <c r="D44" s="50">
        <v>11</v>
      </c>
      <c r="E44" s="50">
        <v>4</v>
      </c>
      <c r="F44" s="50">
        <v>27</v>
      </c>
      <c r="G44" s="50">
        <v>0</v>
      </c>
      <c r="H44" s="50">
        <v>0</v>
      </c>
      <c r="I44" s="50">
        <v>9</v>
      </c>
      <c r="J44" s="50">
        <v>4</v>
      </c>
      <c r="K44" s="50">
        <v>0</v>
      </c>
      <c r="L44" s="50">
        <v>0</v>
      </c>
      <c r="M44" s="50">
        <v>185</v>
      </c>
      <c r="N44" s="50">
        <v>0</v>
      </c>
      <c r="O44" s="15">
        <f t="shared" si="0"/>
        <v>97</v>
      </c>
      <c r="P44" s="15">
        <f t="shared" si="1"/>
        <v>282</v>
      </c>
    </row>
    <row r="45" spans="2:20" ht="23.1" customHeight="1" x14ac:dyDescent="0.25">
      <c r="B45" s="23" t="s">
        <v>72</v>
      </c>
      <c r="C45" s="50">
        <v>48</v>
      </c>
      <c r="D45" s="50">
        <v>3</v>
      </c>
      <c r="E45" s="50">
        <v>2</v>
      </c>
      <c r="F45" s="50">
        <v>7</v>
      </c>
      <c r="G45" s="50">
        <v>0</v>
      </c>
      <c r="H45" s="50">
        <v>0</v>
      </c>
      <c r="I45" s="50">
        <v>7</v>
      </c>
      <c r="J45" s="50">
        <v>5</v>
      </c>
      <c r="K45" s="50">
        <v>1</v>
      </c>
      <c r="L45" s="50">
        <v>0</v>
      </c>
      <c r="M45" s="50">
        <v>295</v>
      </c>
      <c r="N45" s="50">
        <v>0</v>
      </c>
      <c r="O45" s="15">
        <f t="shared" si="0"/>
        <v>73</v>
      </c>
      <c r="P45" s="15">
        <f t="shared" si="1"/>
        <v>368</v>
      </c>
    </row>
    <row r="46" spans="2:20" ht="23.1" customHeight="1" x14ac:dyDescent="0.25">
      <c r="B46" s="24" t="s">
        <v>73</v>
      </c>
      <c r="C46" s="50">
        <v>46</v>
      </c>
      <c r="D46" s="50">
        <v>9</v>
      </c>
      <c r="E46" s="50">
        <v>7</v>
      </c>
      <c r="F46" s="50">
        <v>12</v>
      </c>
      <c r="G46" s="50">
        <v>1</v>
      </c>
      <c r="H46" s="50">
        <v>0</v>
      </c>
      <c r="I46" s="50">
        <v>3</v>
      </c>
      <c r="J46" s="50">
        <v>3</v>
      </c>
      <c r="K46" s="50">
        <v>0</v>
      </c>
      <c r="L46" s="50">
        <v>1</v>
      </c>
      <c r="M46" s="50">
        <v>85</v>
      </c>
      <c r="N46" s="50">
        <v>0</v>
      </c>
      <c r="O46" s="15">
        <f t="shared" si="0"/>
        <v>82</v>
      </c>
      <c r="P46" s="15">
        <f t="shared" si="1"/>
        <v>167</v>
      </c>
      <c r="R46" s="8"/>
      <c r="T46"/>
    </row>
    <row r="47" spans="2:20" ht="23.1" customHeight="1" x14ac:dyDescent="0.25">
      <c r="B47" s="24" t="s">
        <v>74</v>
      </c>
      <c r="C47" s="50">
        <v>48</v>
      </c>
      <c r="D47" s="50">
        <v>12</v>
      </c>
      <c r="E47" s="50">
        <v>1</v>
      </c>
      <c r="F47" s="50">
        <v>20</v>
      </c>
      <c r="G47" s="50">
        <v>1</v>
      </c>
      <c r="H47" s="50">
        <v>0</v>
      </c>
      <c r="I47" s="50">
        <v>8</v>
      </c>
      <c r="J47" s="50">
        <v>5</v>
      </c>
      <c r="K47" s="50">
        <v>1</v>
      </c>
      <c r="L47" s="50">
        <v>0</v>
      </c>
      <c r="M47" s="50">
        <v>135</v>
      </c>
      <c r="N47" s="50">
        <v>0</v>
      </c>
      <c r="O47" s="15">
        <f t="shared" si="0"/>
        <v>96</v>
      </c>
      <c r="P47" s="15">
        <f t="shared" si="1"/>
        <v>231</v>
      </c>
      <c r="R47" s="8"/>
      <c r="T47"/>
    </row>
    <row r="48" spans="2:20" ht="23.1" customHeight="1" x14ac:dyDescent="0.25">
      <c r="B48" s="24" t="s">
        <v>75</v>
      </c>
      <c r="C48" s="50">
        <v>36</v>
      </c>
      <c r="D48" s="50">
        <v>7</v>
      </c>
      <c r="E48" s="50">
        <v>6</v>
      </c>
      <c r="F48" s="50">
        <v>14</v>
      </c>
      <c r="G48" s="50">
        <v>2</v>
      </c>
      <c r="H48" s="50">
        <v>0</v>
      </c>
      <c r="I48" s="50">
        <v>6</v>
      </c>
      <c r="J48" s="50">
        <v>7</v>
      </c>
      <c r="K48" s="50">
        <v>1</v>
      </c>
      <c r="L48" s="50">
        <v>0</v>
      </c>
      <c r="M48" s="50">
        <v>280</v>
      </c>
      <c r="N48" s="50">
        <v>0</v>
      </c>
      <c r="O48" s="15">
        <f t="shared" si="0"/>
        <v>79</v>
      </c>
      <c r="P48" s="15">
        <f t="shared" si="1"/>
        <v>359</v>
      </c>
      <c r="R48" s="8"/>
      <c r="T48"/>
    </row>
    <row r="49" spans="2:20" ht="23.1" customHeight="1" x14ac:dyDescent="0.25">
      <c r="B49" s="23" t="s">
        <v>76</v>
      </c>
      <c r="C49" s="50">
        <v>32</v>
      </c>
      <c r="D49" s="50">
        <v>12</v>
      </c>
      <c r="E49" s="50">
        <v>5</v>
      </c>
      <c r="F49" s="50">
        <v>17</v>
      </c>
      <c r="G49" s="50">
        <v>0</v>
      </c>
      <c r="H49" s="50">
        <v>0</v>
      </c>
      <c r="I49" s="50">
        <v>7</v>
      </c>
      <c r="J49" s="50">
        <v>6</v>
      </c>
      <c r="K49" s="50">
        <v>1</v>
      </c>
      <c r="L49" s="50">
        <v>0</v>
      </c>
      <c r="M49" s="50">
        <v>310</v>
      </c>
      <c r="N49" s="50">
        <v>0</v>
      </c>
      <c r="O49" s="15">
        <f t="shared" si="0"/>
        <v>80</v>
      </c>
      <c r="P49" s="15">
        <f t="shared" si="1"/>
        <v>390</v>
      </c>
      <c r="R49" s="8"/>
      <c r="T49"/>
    </row>
    <row r="50" spans="2:20" ht="23.1" customHeight="1" x14ac:dyDescent="0.25">
      <c r="B50" s="24" t="s">
        <v>77</v>
      </c>
      <c r="C50" s="50">
        <v>58</v>
      </c>
      <c r="D50" s="50">
        <v>8</v>
      </c>
      <c r="E50" s="50">
        <v>3</v>
      </c>
      <c r="F50" s="50">
        <v>15</v>
      </c>
      <c r="G50" s="50">
        <v>0</v>
      </c>
      <c r="H50" s="50">
        <v>0</v>
      </c>
      <c r="I50" s="50">
        <v>6</v>
      </c>
      <c r="J50" s="50">
        <v>4</v>
      </c>
      <c r="K50" s="50">
        <v>1</v>
      </c>
      <c r="L50" s="50">
        <v>0</v>
      </c>
      <c r="M50" s="50">
        <v>370</v>
      </c>
      <c r="N50" s="50">
        <v>0</v>
      </c>
      <c r="O50" s="15">
        <f t="shared" si="0"/>
        <v>95</v>
      </c>
      <c r="P50" s="15">
        <f t="shared" si="1"/>
        <v>465</v>
      </c>
      <c r="R50" s="8"/>
      <c r="T50"/>
    </row>
    <row r="51" spans="2:20" ht="23.1" customHeight="1" x14ac:dyDescent="0.25">
      <c r="B51" s="24" t="s">
        <v>78</v>
      </c>
      <c r="C51" s="50">
        <v>75</v>
      </c>
      <c r="D51" s="50">
        <v>11</v>
      </c>
      <c r="E51" s="50">
        <v>1</v>
      </c>
      <c r="F51" s="50">
        <v>7</v>
      </c>
      <c r="G51" s="50">
        <v>0</v>
      </c>
      <c r="H51" s="50">
        <v>0</v>
      </c>
      <c r="I51" s="50">
        <v>6</v>
      </c>
      <c r="J51" s="50">
        <v>4</v>
      </c>
      <c r="K51" s="50">
        <v>2</v>
      </c>
      <c r="L51" s="50">
        <v>0</v>
      </c>
      <c r="M51" s="50">
        <v>360</v>
      </c>
      <c r="N51" s="50">
        <v>0</v>
      </c>
      <c r="O51" s="15">
        <f t="shared" si="0"/>
        <v>106</v>
      </c>
      <c r="P51" s="15">
        <f t="shared" si="1"/>
        <v>466</v>
      </c>
      <c r="R51" s="8"/>
      <c r="T51"/>
    </row>
    <row r="52" spans="2:20" ht="23.1" customHeight="1" x14ac:dyDescent="0.25">
      <c r="B52" s="24" t="s">
        <v>79</v>
      </c>
      <c r="C52" s="50">
        <v>66</v>
      </c>
      <c r="D52" s="50">
        <v>12</v>
      </c>
      <c r="E52" s="50">
        <v>7</v>
      </c>
      <c r="F52" s="50">
        <v>21</v>
      </c>
      <c r="G52" s="50">
        <v>0</v>
      </c>
      <c r="H52" s="50">
        <v>0</v>
      </c>
      <c r="I52" s="50">
        <v>5</v>
      </c>
      <c r="J52" s="50">
        <v>2</v>
      </c>
      <c r="K52" s="50">
        <v>0</v>
      </c>
      <c r="L52" s="50">
        <v>1</v>
      </c>
      <c r="M52" s="50">
        <v>235</v>
      </c>
      <c r="N52" s="50">
        <v>0</v>
      </c>
      <c r="O52" s="15">
        <f t="shared" si="0"/>
        <v>114</v>
      </c>
      <c r="P52" s="15">
        <f t="shared" si="1"/>
        <v>349</v>
      </c>
      <c r="R52" s="8"/>
      <c r="T52"/>
    </row>
    <row r="53" spans="2:20" ht="23.1" customHeight="1" x14ac:dyDescent="0.25">
      <c r="B53" s="23" t="s">
        <v>80</v>
      </c>
      <c r="C53" s="50">
        <v>84</v>
      </c>
      <c r="D53" s="50">
        <v>16</v>
      </c>
      <c r="E53" s="50">
        <v>7</v>
      </c>
      <c r="F53" s="50">
        <v>26</v>
      </c>
      <c r="G53" s="50">
        <v>0</v>
      </c>
      <c r="H53" s="50">
        <v>0</v>
      </c>
      <c r="I53" s="50">
        <v>5</v>
      </c>
      <c r="J53" s="50">
        <v>4</v>
      </c>
      <c r="K53" s="50">
        <v>1</v>
      </c>
      <c r="L53" s="50">
        <v>0</v>
      </c>
      <c r="M53" s="50">
        <v>252</v>
      </c>
      <c r="N53" s="50">
        <v>0</v>
      </c>
      <c r="O53" s="15">
        <f t="shared" si="0"/>
        <v>143</v>
      </c>
      <c r="P53" s="15">
        <f t="shared" si="1"/>
        <v>395</v>
      </c>
      <c r="R53" s="8"/>
      <c r="T53"/>
    </row>
    <row r="54" spans="2:20" ht="23.1" customHeight="1" x14ac:dyDescent="0.25">
      <c r="B54" s="23" t="s">
        <v>81</v>
      </c>
      <c r="C54" s="50">
        <v>60</v>
      </c>
      <c r="D54" s="50">
        <v>11</v>
      </c>
      <c r="E54" s="50">
        <v>5</v>
      </c>
      <c r="F54" s="50">
        <v>25</v>
      </c>
      <c r="G54" s="50">
        <v>1</v>
      </c>
      <c r="H54" s="50">
        <v>0</v>
      </c>
      <c r="I54" s="50">
        <v>3</v>
      </c>
      <c r="J54" s="50">
        <v>6</v>
      </c>
      <c r="K54" s="50">
        <v>0</v>
      </c>
      <c r="L54" s="50">
        <v>0</v>
      </c>
      <c r="M54" s="50">
        <v>193</v>
      </c>
      <c r="N54" s="50">
        <v>0</v>
      </c>
      <c r="O54" s="15">
        <f t="shared" si="0"/>
        <v>111</v>
      </c>
      <c r="P54" s="15">
        <f t="shared" si="1"/>
        <v>304</v>
      </c>
      <c r="R54" s="8"/>
      <c r="T54"/>
    </row>
    <row r="55" spans="2:20" ht="23.1" customHeight="1" x14ac:dyDescent="0.25">
      <c r="B55" s="23" t="s">
        <v>82</v>
      </c>
      <c r="C55" s="50">
        <v>52</v>
      </c>
      <c r="D55" s="50">
        <v>4</v>
      </c>
      <c r="E55" s="50">
        <v>3</v>
      </c>
      <c r="F55" s="50">
        <v>16</v>
      </c>
      <c r="G55" s="50">
        <v>1</v>
      </c>
      <c r="H55" s="50">
        <v>0</v>
      </c>
      <c r="I55" s="50">
        <v>3</v>
      </c>
      <c r="J55" s="50">
        <v>7</v>
      </c>
      <c r="K55" s="50">
        <v>0</v>
      </c>
      <c r="L55" s="50">
        <v>0</v>
      </c>
      <c r="M55" s="50">
        <v>323</v>
      </c>
      <c r="N55" s="50">
        <v>0</v>
      </c>
      <c r="O55" s="15">
        <f t="shared" si="0"/>
        <v>86</v>
      </c>
      <c r="P55" s="15">
        <f t="shared" si="1"/>
        <v>409</v>
      </c>
      <c r="R55" s="8"/>
      <c r="T55"/>
    </row>
    <row r="56" spans="2:20" ht="23.1" customHeight="1" x14ac:dyDescent="0.25">
      <c r="B56" s="23" t="s">
        <v>83</v>
      </c>
      <c r="C56" s="50">
        <v>46</v>
      </c>
      <c r="D56" s="50">
        <v>8</v>
      </c>
      <c r="E56" s="50">
        <v>1</v>
      </c>
      <c r="F56" s="50">
        <v>28</v>
      </c>
      <c r="G56" s="50">
        <v>0</v>
      </c>
      <c r="H56" s="50">
        <v>0</v>
      </c>
      <c r="I56" s="50">
        <v>5</v>
      </c>
      <c r="J56" s="50">
        <v>3</v>
      </c>
      <c r="K56" s="50">
        <v>0</v>
      </c>
      <c r="L56" s="50">
        <v>0</v>
      </c>
      <c r="M56" s="50">
        <v>335</v>
      </c>
      <c r="N56" s="50">
        <v>0</v>
      </c>
      <c r="O56" s="15">
        <f t="shared" si="0"/>
        <v>91</v>
      </c>
      <c r="P56" s="15">
        <f t="shared" si="1"/>
        <v>426</v>
      </c>
      <c r="R56" s="8"/>
      <c r="T56"/>
    </row>
    <row r="57" spans="2:20" ht="23.1" customHeight="1" x14ac:dyDescent="0.25">
      <c r="B57" s="23" t="s">
        <v>84</v>
      </c>
      <c r="C57" s="50">
        <v>38</v>
      </c>
      <c r="D57" s="50">
        <v>5</v>
      </c>
      <c r="E57" s="50">
        <v>8</v>
      </c>
      <c r="F57" s="50">
        <v>38</v>
      </c>
      <c r="G57" s="50">
        <v>0</v>
      </c>
      <c r="H57" s="50">
        <v>0</v>
      </c>
      <c r="I57" s="50">
        <v>4</v>
      </c>
      <c r="J57" s="50">
        <v>2</v>
      </c>
      <c r="K57" s="50">
        <v>0</v>
      </c>
      <c r="L57" s="50">
        <v>2</v>
      </c>
      <c r="M57" s="50">
        <v>112</v>
      </c>
      <c r="N57" s="50">
        <v>0</v>
      </c>
      <c r="O57" s="15">
        <f t="shared" si="0"/>
        <v>97</v>
      </c>
      <c r="P57" s="15">
        <f t="shared" si="1"/>
        <v>209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1747</v>
      </c>
      <c r="D58" s="16">
        <f t="shared" si="21"/>
        <v>332</v>
      </c>
      <c r="E58" s="16">
        <f t="shared" si="21"/>
        <v>174</v>
      </c>
      <c r="F58" s="16">
        <f t="shared" si="21"/>
        <v>804</v>
      </c>
      <c r="G58" s="16">
        <f t="shared" si="21"/>
        <v>21</v>
      </c>
      <c r="H58" s="16">
        <f t="shared" si="21"/>
        <v>1</v>
      </c>
      <c r="I58" s="16">
        <f t="shared" si="21"/>
        <v>272</v>
      </c>
      <c r="J58" s="16">
        <f t="shared" si="21"/>
        <v>212</v>
      </c>
      <c r="K58" s="16">
        <f t="shared" si="21"/>
        <v>21</v>
      </c>
      <c r="L58" s="16">
        <f t="shared" si="21"/>
        <v>10</v>
      </c>
      <c r="M58" s="16">
        <f t="shared" si="21"/>
        <v>11694</v>
      </c>
      <c r="N58" s="16">
        <f t="shared" si="21"/>
        <v>2</v>
      </c>
      <c r="O58" s="16">
        <f t="shared" si="21"/>
        <v>3596</v>
      </c>
      <c r="P58" s="16">
        <f t="shared" si="21"/>
        <v>15290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0.11425768476128188</v>
      </c>
      <c r="D59" s="43">
        <f t="shared" si="22"/>
        <v>2.1713538260300851E-2</v>
      </c>
      <c r="E59" s="43">
        <f t="shared" si="22"/>
        <v>1.1379986919555265E-2</v>
      </c>
      <c r="F59" s="43">
        <f t="shared" si="22"/>
        <v>5.2583387835186395E-2</v>
      </c>
      <c r="G59" s="43">
        <f t="shared" si="22"/>
        <v>1.3734466971877044E-3</v>
      </c>
      <c r="H59" s="43">
        <f t="shared" si="22"/>
        <v>6.540222367560497E-5</v>
      </c>
      <c r="I59" s="43">
        <f t="shared" si="22"/>
        <v>1.7789404839764551E-2</v>
      </c>
      <c r="J59" s="43">
        <f t="shared" si="22"/>
        <v>1.3865271419228253E-2</v>
      </c>
      <c r="K59" s="43">
        <f t="shared" si="22"/>
        <v>1.3734466971877044E-3</v>
      </c>
      <c r="L59" s="43">
        <f t="shared" si="22"/>
        <v>6.5402223675604975E-4</v>
      </c>
      <c r="M59" s="43">
        <f t="shared" si="22"/>
        <v>0.76481360366252449</v>
      </c>
      <c r="N59" s="43">
        <f t="shared" si="22"/>
        <v>1.3080444735120994E-4</v>
      </c>
      <c r="R59" s="8"/>
      <c r="T59"/>
    </row>
    <row r="60" spans="2:20" ht="23.1" customHeight="1" x14ac:dyDescent="0.25">
      <c r="B60" s="42" t="s">
        <v>94</v>
      </c>
      <c r="C60" s="44">
        <f>C58/$O$58</f>
        <v>0.48581757508342605</v>
      </c>
      <c r="D60" s="44">
        <f t="shared" ref="D60:N60" si="23">D58/$O$58</f>
        <v>9.2324805339265847E-2</v>
      </c>
      <c r="E60" s="44">
        <f t="shared" si="23"/>
        <v>4.8387096774193547E-2</v>
      </c>
      <c r="F60" s="44">
        <f t="shared" si="23"/>
        <v>0.22358175750834261</v>
      </c>
      <c r="G60" s="44">
        <f t="shared" si="23"/>
        <v>5.8398220244716354E-3</v>
      </c>
      <c r="H60" s="44">
        <f t="shared" si="23"/>
        <v>2.7808676307007786E-4</v>
      </c>
      <c r="I60" s="44">
        <f t="shared" si="23"/>
        <v>7.5639599555061179E-2</v>
      </c>
      <c r="J60" s="44">
        <f t="shared" si="23"/>
        <v>5.8954393770856504E-2</v>
      </c>
      <c r="K60" s="44">
        <f t="shared" si="23"/>
        <v>5.8398220244716354E-3</v>
      </c>
      <c r="L60" s="44">
        <f t="shared" si="23"/>
        <v>2.7808676307007787E-3</v>
      </c>
      <c r="M60" s="44"/>
      <c r="N60" s="44">
        <f t="shared" si="23"/>
        <v>5.5617352614015572E-4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J14" sqref="J1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'22.07 Ndeeba-Lubiri'!C3:G3</f>
        <v>MCC - C1 - STN03- KALINDA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'23.07 Lubiri-Ndeeba'!D5</f>
        <v>23.07.19</v>
      </c>
      <c r="E5" s="3"/>
      <c r="F5" s="41" t="s">
        <v>1</v>
      </c>
      <c r="G5" s="71" t="str">
        <f>'22.07 Lubiri -Ndeeba'!G5:H5</f>
        <v>Before Shell</v>
      </c>
      <c r="H5" s="72"/>
      <c r="I5" s="14"/>
      <c r="J5" s="2" t="s">
        <v>5</v>
      </c>
      <c r="K5" s="71" t="s">
        <v>177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">
        <v>170</v>
      </c>
      <c r="E6" s="72"/>
      <c r="F6" s="2" t="s">
        <v>2</v>
      </c>
      <c r="G6" s="71" t="s">
        <v>171</v>
      </c>
      <c r="H6" s="72"/>
      <c r="J6" s="2" t="s">
        <v>21</v>
      </c>
      <c r="K6" s="71" t="str">
        <f>'22.07 Lubiri -Ndeeba'!K6:L6</f>
        <v>Denis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100</v>
      </c>
      <c r="D10" s="50">
        <v>13</v>
      </c>
      <c r="E10" s="50">
        <v>9</v>
      </c>
      <c r="F10" s="50">
        <v>36</v>
      </c>
      <c r="G10" s="50">
        <v>0</v>
      </c>
      <c r="H10" s="50">
        <v>0</v>
      </c>
      <c r="I10" s="50">
        <v>5</v>
      </c>
      <c r="J10" s="50">
        <v>2</v>
      </c>
      <c r="K10" s="50">
        <v>0</v>
      </c>
      <c r="L10" s="50">
        <v>0</v>
      </c>
      <c r="M10" s="50">
        <v>120</v>
      </c>
      <c r="N10" s="50">
        <v>0</v>
      </c>
      <c r="O10" s="15">
        <f t="shared" ref="O10:O57" si="0">SUM(C10:L10,N10)</f>
        <v>165</v>
      </c>
      <c r="P10" s="15">
        <f t="shared" ref="P10:P57" si="1">SUM(C10:N10)</f>
        <v>285</v>
      </c>
      <c r="R10" s="1" t="s">
        <v>6</v>
      </c>
      <c r="S10" s="17">
        <f t="shared" ref="S10:AF10" si="2">SUM(C10:C13)</f>
        <v>460</v>
      </c>
      <c r="T10" s="17">
        <f t="shared" si="2"/>
        <v>43</v>
      </c>
      <c r="U10" s="17">
        <f t="shared" si="2"/>
        <v>61</v>
      </c>
      <c r="V10" s="17">
        <f t="shared" si="2"/>
        <v>177</v>
      </c>
      <c r="W10" s="17">
        <f t="shared" si="2"/>
        <v>1</v>
      </c>
      <c r="X10" s="17">
        <f t="shared" si="2"/>
        <v>0</v>
      </c>
      <c r="Y10" s="17">
        <f t="shared" si="2"/>
        <v>19</v>
      </c>
      <c r="Z10" s="17">
        <f t="shared" si="2"/>
        <v>10</v>
      </c>
      <c r="AA10" s="17">
        <f t="shared" si="2"/>
        <v>7</v>
      </c>
      <c r="AB10" s="17">
        <f t="shared" si="2"/>
        <v>0</v>
      </c>
      <c r="AC10" s="17">
        <f t="shared" si="2"/>
        <v>620</v>
      </c>
      <c r="AD10" s="17">
        <f t="shared" si="2"/>
        <v>0</v>
      </c>
      <c r="AE10" s="31">
        <f t="shared" si="2"/>
        <v>778</v>
      </c>
      <c r="AF10" s="31">
        <f t="shared" si="2"/>
        <v>1398</v>
      </c>
    </row>
    <row r="11" spans="2:32" s="6" customFormat="1" ht="23.1" customHeight="1" x14ac:dyDescent="0.25">
      <c r="B11" s="23" t="s">
        <v>38</v>
      </c>
      <c r="C11" s="50">
        <v>110</v>
      </c>
      <c r="D11" s="50">
        <v>11</v>
      </c>
      <c r="E11" s="50">
        <v>20</v>
      </c>
      <c r="F11" s="50">
        <v>42</v>
      </c>
      <c r="G11" s="50">
        <v>1</v>
      </c>
      <c r="H11" s="50">
        <v>0</v>
      </c>
      <c r="I11" s="50">
        <v>6</v>
      </c>
      <c r="J11" s="50">
        <v>4</v>
      </c>
      <c r="K11" s="50">
        <v>0</v>
      </c>
      <c r="L11" s="50">
        <v>0</v>
      </c>
      <c r="M11" s="50">
        <v>145</v>
      </c>
      <c r="N11" s="50">
        <v>0</v>
      </c>
      <c r="O11" s="15">
        <f t="shared" si="0"/>
        <v>194</v>
      </c>
      <c r="P11" s="15">
        <f t="shared" si="1"/>
        <v>339</v>
      </c>
      <c r="R11" s="1" t="s">
        <v>7</v>
      </c>
      <c r="S11" s="17">
        <f t="shared" ref="S11:AF11" si="3">SUM(C14:C17)</f>
        <v>450</v>
      </c>
      <c r="T11" s="17">
        <f t="shared" si="3"/>
        <v>60</v>
      </c>
      <c r="U11" s="17">
        <f t="shared" si="3"/>
        <v>47</v>
      </c>
      <c r="V11" s="17">
        <f t="shared" si="3"/>
        <v>164</v>
      </c>
      <c r="W11" s="17">
        <f t="shared" si="3"/>
        <v>2</v>
      </c>
      <c r="X11" s="17">
        <f t="shared" si="3"/>
        <v>1</v>
      </c>
      <c r="Y11" s="17">
        <f t="shared" si="3"/>
        <v>27</v>
      </c>
      <c r="Z11" s="17">
        <f t="shared" si="3"/>
        <v>5</v>
      </c>
      <c r="AA11" s="17">
        <f t="shared" si="3"/>
        <v>1</v>
      </c>
      <c r="AB11" s="17">
        <f t="shared" si="3"/>
        <v>0</v>
      </c>
      <c r="AC11" s="17">
        <f t="shared" si="3"/>
        <v>845</v>
      </c>
      <c r="AD11" s="17">
        <f t="shared" si="3"/>
        <v>0</v>
      </c>
      <c r="AE11" s="31">
        <f t="shared" si="3"/>
        <v>757</v>
      </c>
      <c r="AF11" s="31">
        <f t="shared" si="3"/>
        <v>1602</v>
      </c>
    </row>
    <row r="12" spans="2:32" ht="23.1" customHeight="1" x14ac:dyDescent="0.25">
      <c r="B12" s="23" t="s">
        <v>39</v>
      </c>
      <c r="C12" s="50">
        <v>110</v>
      </c>
      <c r="D12" s="50">
        <v>8</v>
      </c>
      <c r="E12" s="50">
        <v>5</v>
      </c>
      <c r="F12" s="50">
        <v>49</v>
      </c>
      <c r="G12" s="50">
        <v>0</v>
      </c>
      <c r="H12" s="50">
        <v>0</v>
      </c>
      <c r="I12" s="50">
        <v>5</v>
      </c>
      <c r="J12" s="50">
        <v>3</v>
      </c>
      <c r="K12" s="50">
        <v>4</v>
      </c>
      <c r="L12" s="50">
        <v>0</v>
      </c>
      <c r="M12" s="50">
        <v>175</v>
      </c>
      <c r="N12" s="50">
        <v>0</v>
      </c>
      <c r="O12" s="15">
        <f t="shared" si="0"/>
        <v>184</v>
      </c>
      <c r="P12" s="15">
        <f t="shared" si="1"/>
        <v>359</v>
      </c>
      <c r="R12" s="1" t="s">
        <v>8</v>
      </c>
      <c r="S12" s="17">
        <f t="shared" ref="S12:AF12" si="4">SUM(C18:C21)</f>
        <v>480</v>
      </c>
      <c r="T12" s="17">
        <f t="shared" si="4"/>
        <v>40</v>
      </c>
      <c r="U12" s="17">
        <f t="shared" si="4"/>
        <v>42</v>
      </c>
      <c r="V12" s="17">
        <f t="shared" si="4"/>
        <v>58</v>
      </c>
      <c r="W12" s="17">
        <f t="shared" si="4"/>
        <v>1</v>
      </c>
      <c r="X12" s="17">
        <f t="shared" si="4"/>
        <v>0</v>
      </c>
      <c r="Y12" s="17">
        <f t="shared" si="4"/>
        <v>27</v>
      </c>
      <c r="Z12" s="17">
        <f t="shared" si="4"/>
        <v>6</v>
      </c>
      <c r="AA12" s="17">
        <f t="shared" si="4"/>
        <v>4</v>
      </c>
      <c r="AB12" s="17">
        <f t="shared" si="4"/>
        <v>0</v>
      </c>
      <c r="AC12" s="17">
        <f t="shared" si="4"/>
        <v>1005</v>
      </c>
      <c r="AD12" s="17">
        <f t="shared" si="4"/>
        <v>0</v>
      </c>
      <c r="AE12" s="31">
        <f t="shared" si="4"/>
        <v>658</v>
      </c>
      <c r="AF12" s="31">
        <f t="shared" si="4"/>
        <v>1663</v>
      </c>
    </row>
    <row r="13" spans="2:32" ht="23.1" customHeight="1" x14ac:dyDescent="0.25">
      <c r="B13" s="23" t="s">
        <v>40</v>
      </c>
      <c r="C13" s="50">
        <v>140</v>
      </c>
      <c r="D13" s="50">
        <v>11</v>
      </c>
      <c r="E13" s="50">
        <v>27</v>
      </c>
      <c r="F13" s="50">
        <v>50</v>
      </c>
      <c r="G13" s="50">
        <v>0</v>
      </c>
      <c r="H13" s="50">
        <v>0</v>
      </c>
      <c r="I13" s="50">
        <v>3</v>
      </c>
      <c r="J13" s="50">
        <v>1</v>
      </c>
      <c r="K13" s="50">
        <v>3</v>
      </c>
      <c r="L13" s="50">
        <v>0</v>
      </c>
      <c r="M13" s="50">
        <v>180</v>
      </c>
      <c r="N13" s="50">
        <v>0</v>
      </c>
      <c r="O13" s="15">
        <f t="shared" si="0"/>
        <v>235</v>
      </c>
      <c r="P13" s="15">
        <f t="shared" si="1"/>
        <v>415</v>
      </c>
      <c r="R13" s="1" t="s">
        <v>9</v>
      </c>
      <c r="S13" s="17">
        <f t="shared" ref="S13:AF13" si="5">SUM(C22:C25)</f>
        <v>295</v>
      </c>
      <c r="T13" s="17">
        <f t="shared" si="5"/>
        <v>39</v>
      </c>
      <c r="U13" s="17">
        <f t="shared" si="5"/>
        <v>23</v>
      </c>
      <c r="V13" s="17">
        <f t="shared" si="5"/>
        <v>34</v>
      </c>
      <c r="W13" s="17">
        <f t="shared" si="5"/>
        <v>0</v>
      </c>
      <c r="X13" s="17">
        <f t="shared" si="5"/>
        <v>0</v>
      </c>
      <c r="Y13" s="17">
        <f t="shared" si="5"/>
        <v>24</v>
      </c>
      <c r="Z13" s="17">
        <f t="shared" si="5"/>
        <v>10</v>
      </c>
      <c r="AA13" s="17">
        <f t="shared" si="5"/>
        <v>2</v>
      </c>
      <c r="AB13" s="17">
        <f t="shared" si="5"/>
        <v>0</v>
      </c>
      <c r="AC13" s="17">
        <f t="shared" si="5"/>
        <v>1000</v>
      </c>
      <c r="AD13" s="17">
        <f t="shared" si="5"/>
        <v>0</v>
      </c>
      <c r="AE13" s="31">
        <f t="shared" si="5"/>
        <v>427</v>
      </c>
      <c r="AF13" s="31">
        <f t="shared" si="5"/>
        <v>1427</v>
      </c>
    </row>
    <row r="14" spans="2:32" ht="23.1" customHeight="1" x14ac:dyDescent="0.25">
      <c r="B14" s="23" t="s">
        <v>41</v>
      </c>
      <c r="C14" s="50">
        <v>110</v>
      </c>
      <c r="D14" s="50">
        <v>11</v>
      </c>
      <c r="E14" s="50">
        <v>10</v>
      </c>
      <c r="F14" s="50">
        <v>37</v>
      </c>
      <c r="G14" s="50">
        <v>0</v>
      </c>
      <c r="H14" s="50">
        <v>0</v>
      </c>
      <c r="I14" s="50">
        <v>5</v>
      </c>
      <c r="J14" s="50">
        <v>0</v>
      </c>
      <c r="K14" s="50">
        <v>0</v>
      </c>
      <c r="L14" s="50">
        <v>0</v>
      </c>
      <c r="M14" s="50">
        <v>195</v>
      </c>
      <c r="N14" s="50">
        <v>0</v>
      </c>
      <c r="O14" s="15">
        <f t="shared" si="0"/>
        <v>173</v>
      </c>
      <c r="P14" s="15">
        <f t="shared" si="1"/>
        <v>368</v>
      </c>
      <c r="R14" s="1" t="s">
        <v>10</v>
      </c>
      <c r="S14" s="17">
        <f t="shared" ref="S14:AF14" si="6">SUM(C26:C29)</f>
        <v>318</v>
      </c>
      <c r="T14" s="17">
        <f t="shared" si="6"/>
        <v>34</v>
      </c>
      <c r="U14" s="17">
        <f t="shared" si="6"/>
        <v>41</v>
      </c>
      <c r="V14" s="17">
        <f t="shared" si="6"/>
        <v>27</v>
      </c>
      <c r="W14" s="17">
        <f t="shared" si="6"/>
        <v>2</v>
      </c>
      <c r="X14" s="17">
        <f t="shared" si="6"/>
        <v>0</v>
      </c>
      <c r="Y14" s="17">
        <f t="shared" si="6"/>
        <v>24</v>
      </c>
      <c r="Z14" s="17">
        <f t="shared" si="6"/>
        <v>10</v>
      </c>
      <c r="AA14" s="17">
        <f t="shared" si="6"/>
        <v>4</v>
      </c>
      <c r="AB14" s="17">
        <f t="shared" si="6"/>
        <v>2</v>
      </c>
      <c r="AC14" s="17">
        <f t="shared" si="6"/>
        <v>905</v>
      </c>
      <c r="AD14" s="17">
        <f t="shared" si="6"/>
        <v>0</v>
      </c>
      <c r="AE14" s="31">
        <f t="shared" si="6"/>
        <v>462</v>
      </c>
      <c r="AF14" s="31">
        <f t="shared" si="6"/>
        <v>1367</v>
      </c>
    </row>
    <row r="15" spans="2:32" ht="23.1" customHeight="1" x14ac:dyDescent="0.25">
      <c r="B15" s="23" t="s">
        <v>42</v>
      </c>
      <c r="C15" s="50">
        <v>115</v>
      </c>
      <c r="D15" s="50">
        <v>22</v>
      </c>
      <c r="E15" s="50">
        <v>12</v>
      </c>
      <c r="F15" s="50">
        <v>59</v>
      </c>
      <c r="G15" s="50">
        <v>0</v>
      </c>
      <c r="H15" s="50">
        <v>0</v>
      </c>
      <c r="I15" s="50">
        <v>6</v>
      </c>
      <c r="J15" s="50">
        <v>2</v>
      </c>
      <c r="K15" s="50">
        <v>0</v>
      </c>
      <c r="L15" s="50">
        <v>0</v>
      </c>
      <c r="M15" s="50">
        <v>190</v>
      </c>
      <c r="N15" s="50">
        <v>0</v>
      </c>
      <c r="O15" s="15">
        <f t="shared" si="0"/>
        <v>216</v>
      </c>
      <c r="P15" s="15">
        <f t="shared" si="1"/>
        <v>406</v>
      </c>
      <c r="R15" s="1" t="s">
        <v>11</v>
      </c>
      <c r="S15" s="17">
        <f t="shared" ref="S15:AF15" si="7">SUM(C30:C33)</f>
        <v>284</v>
      </c>
      <c r="T15" s="17">
        <f t="shared" si="7"/>
        <v>36</v>
      </c>
      <c r="U15" s="17">
        <f t="shared" si="7"/>
        <v>50</v>
      </c>
      <c r="V15" s="17">
        <f t="shared" si="7"/>
        <v>23</v>
      </c>
      <c r="W15" s="17">
        <f t="shared" si="7"/>
        <v>2</v>
      </c>
      <c r="X15" s="17">
        <f t="shared" si="7"/>
        <v>0</v>
      </c>
      <c r="Y15" s="17">
        <f t="shared" si="7"/>
        <v>32</v>
      </c>
      <c r="Z15" s="17">
        <f t="shared" si="7"/>
        <v>15</v>
      </c>
      <c r="AA15" s="17">
        <f t="shared" si="7"/>
        <v>1</v>
      </c>
      <c r="AB15" s="17">
        <f t="shared" si="7"/>
        <v>2</v>
      </c>
      <c r="AC15" s="17">
        <f t="shared" si="7"/>
        <v>800</v>
      </c>
      <c r="AD15" s="17">
        <f t="shared" si="7"/>
        <v>0</v>
      </c>
      <c r="AE15" s="31">
        <f t="shared" si="7"/>
        <v>445</v>
      </c>
      <c r="AF15" s="31">
        <f t="shared" si="7"/>
        <v>1245</v>
      </c>
    </row>
    <row r="16" spans="2:32" ht="23.1" customHeight="1" x14ac:dyDescent="0.25">
      <c r="B16" s="23" t="s">
        <v>43</v>
      </c>
      <c r="C16" s="50">
        <v>115</v>
      </c>
      <c r="D16" s="50">
        <v>14</v>
      </c>
      <c r="E16" s="50">
        <v>13</v>
      </c>
      <c r="F16" s="50">
        <v>36</v>
      </c>
      <c r="G16" s="50">
        <v>2</v>
      </c>
      <c r="H16" s="50">
        <v>1</v>
      </c>
      <c r="I16" s="50">
        <v>12</v>
      </c>
      <c r="J16" s="50">
        <v>1</v>
      </c>
      <c r="K16" s="50">
        <v>0</v>
      </c>
      <c r="L16" s="50">
        <v>0</v>
      </c>
      <c r="M16" s="50">
        <v>220</v>
      </c>
      <c r="N16" s="50">
        <v>0</v>
      </c>
      <c r="O16" s="15">
        <f t="shared" si="0"/>
        <v>194</v>
      </c>
      <c r="P16" s="15">
        <f t="shared" si="1"/>
        <v>414</v>
      </c>
      <c r="R16" s="1" t="s">
        <v>12</v>
      </c>
      <c r="S16" s="17">
        <f t="shared" ref="S16:AF16" si="8">SUM(C34:C37)</f>
        <v>360</v>
      </c>
      <c r="T16" s="17">
        <f t="shared" si="8"/>
        <v>31</v>
      </c>
      <c r="U16" s="17">
        <f t="shared" si="8"/>
        <v>34</v>
      </c>
      <c r="V16" s="17">
        <f t="shared" si="8"/>
        <v>14</v>
      </c>
      <c r="W16" s="17">
        <f t="shared" si="8"/>
        <v>2</v>
      </c>
      <c r="X16" s="17">
        <f t="shared" si="8"/>
        <v>0</v>
      </c>
      <c r="Y16" s="17">
        <f t="shared" si="8"/>
        <v>15</v>
      </c>
      <c r="Z16" s="17">
        <f t="shared" si="8"/>
        <v>20</v>
      </c>
      <c r="AA16" s="17">
        <f t="shared" si="8"/>
        <v>2</v>
      </c>
      <c r="AB16" s="17">
        <f t="shared" si="8"/>
        <v>0</v>
      </c>
      <c r="AC16" s="17">
        <f t="shared" si="8"/>
        <v>840</v>
      </c>
      <c r="AD16" s="17">
        <f t="shared" si="8"/>
        <v>0</v>
      </c>
      <c r="AE16" s="31">
        <f t="shared" si="8"/>
        <v>478</v>
      </c>
      <c r="AF16" s="31">
        <f t="shared" si="8"/>
        <v>1318</v>
      </c>
    </row>
    <row r="17" spans="2:32" ht="23.1" customHeight="1" x14ac:dyDescent="0.25">
      <c r="B17" s="23" t="s">
        <v>44</v>
      </c>
      <c r="C17" s="50">
        <v>110</v>
      </c>
      <c r="D17" s="50">
        <v>13</v>
      </c>
      <c r="E17" s="50">
        <v>12</v>
      </c>
      <c r="F17" s="50">
        <v>32</v>
      </c>
      <c r="G17" s="50">
        <v>0</v>
      </c>
      <c r="H17" s="50">
        <v>0</v>
      </c>
      <c r="I17" s="50">
        <v>4</v>
      </c>
      <c r="J17" s="50">
        <v>2</v>
      </c>
      <c r="K17" s="50">
        <v>1</v>
      </c>
      <c r="L17" s="50">
        <v>0</v>
      </c>
      <c r="M17" s="50">
        <v>240</v>
      </c>
      <c r="N17" s="50">
        <v>0</v>
      </c>
      <c r="O17" s="15">
        <f t="shared" si="0"/>
        <v>174</v>
      </c>
      <c r="P17" s="15">
        <f t="shared" si="1"/>
        <v>414</v>
      </c>
      <c r="R17" s="1" t="s">
        <v>13</v>
      </c>
      <c r="S17" s="17">
        <f t="shared" ref="S17:AF17" si="9">SUM(C38:C41)</f>
        <v>216</v>
      </c>
      <c r="T17" s="17">
        <f t="shared" si="9"/>
        <v>23</v>
      </c>
      <c r="U17" s="17">
        <f t="shared" si="9"/>
        <v>23</v>
      </c>
      <c r="V17" s="17">
        <f t="shared" si="9"/>
        <v>16</v>
      </c>
      <c r="W17" s="17">
        <f t="shared" si="9"/>
        <v>2</v>
      </c>
      <c r="X17" s="17">
        <f t="shared" si="9"/>
        <v>0</v>
      </c>
      <c r="Y17" s="17">
        <f t="shared" si="9"/>
        <v>14</v>
      </c>
      <c r="Z17" s="17">
        <f t="shared" si="9"/>
        <v>13</v>
      </c>
      <c r="AA17" s="17">
        <f t="shared" si="9"/>
        <v>5</v>
      </c>
      <c r="AB17" s="17">
        <f t="shared" si="9"/>
        <v>1</v>
      </c>
      <c r="AC17" s="17">
        <f t="shared" si="9"/>
        <v>755</v>
      </c>
      <c r="AD17" s="17">
        <f t="shared" si="9"/>
        <v>0</v>
      </c>
      <c r="AE17" s="31">
        <f t="shared" si="9"/>
        <v>313</v>
      </c>
      <c r="AF17" s="31">
        <f t="shared" si="9"/>
        <v>1068</v>
      </c>
    </row>
    <row r="18" spans="2:32" ht="23.1" customHeight="1" x14ac:dyDescent="0.25">
      <c r="B18" s="23" t="s">
        <v>45</v>
      </c>
      <c r="C18" s="50">
        <v>110</v>
      </c>
      <c r="D18" s="50">
        <v>10</v>
      </c>
      <c r="E18" s="50">
        <v>6</v>
      </c>
      <c r="F18" s="50">
        <v>15</v>
      </c>
      <c r="G18" s="50">
        <v>1</v>
      </c>
      <c r="H18" s="50">
        <v>0</v>
      </c>
      <c r="I18" s="50">
        <v>8</v>
      </c>
      <c r="J18" s="50">
        <v>0</v>
      </c>
      <c r="K18" s="50">
        <v>2</v>
      </c>
      <c r="L18" s="50">
        <v>0</v>
      </c>
      <c r="M18" s="50">
        <v>225</v>
      </c>
      <c r="N18" s="50">
        <v>0</v>
      </c>
      <c r="O18" s="15">
        <f t="shared" si="0"/>
        <v>152</v>
      </c>
      <c r="P18" s="15">
        <f t="shared" si="1"/>
        <v>377</v>
      </c>
      <c r="R18" s="1" t="s">
        <v>14</v>
      </c>
      <c r="S18" s="17">
        <f t="shared" ref="S18:AF18" si="10">SUM(C42:C45)</f>
        <v>299</v>
      </c>
      <c r="T18" s="17">
        <f t="shared" si="10"/>
        <v>25</v>
      </c>
      <c r="U18" s="17">
        <f t="shared" si="10"/>
        <v>36</v>
      </c>
      <c r="V18" s="17">
        <f t="shared" si="10"/>
        <v>19</v>
      </c>
      <c r="W18" s="17">
        <f t="shared" si="10"/>
        <v>1</v>
      </c>
      <c r="X18" s="17">
        <f t="shared" si="10"/>
        <v>0</v>
      </c>
      <c r="Y18" s="17">
        <f t="shared" si="10"/>
        <v>19</v>
      </c>
      <c r="Z18" s="17">
        <f t="shared" si="10"/>
        <v>19</v>
      </c>
      <c r="AA18" s="17">
        <f t="shared" si="10"/>
        <v>2</v>
      </c>
      <c r="AB18" s="17">
        <f t="shared" si="10"/>
        <v>3</v>
      </c>
      <c r="AC18" s="17">
        <f t="shared" si="10"/>
        <v>847</v>
      </c>
      <c r="AD18" s="17">
        <f t="shared" si="10"/>
        <v>0</v>
      </c>
      <c r="AE18" s="31">
        <f t="shared" si="10"/>
        <v>423</v>
      </c>
      <c r="AF18" s="31">
        <f t="shared" si="10"/>
        <v>1270</v>
      </c>
    </row>
    <row r="19" spans="2:32" ht="23.1" customHeight="1" x14ac:dyDescent="0.25">
      <c r="B19" s="23" t="s">
        <v>46</v>
      </c>
      <c r="C19" s="50">
        <v>120</v>
      </c>
      <c r="D19" s="50">
        <v>10</v>
      </c>
      <c r="E19" s="50">
        <v>15</v>
      </c>
      <c r="F19" s="50">
        <v>18</v>
      </c>
      <c r="G19" s="50">
        <v>0</v>
      </c>
      <c r="H19" s="50">
        <v>0</v>
      </c>
      <c r="I19" s="50">
        <v>7</v>
      </c>
      <c r="J19" s="50">
        <v>1</v>
      </c>
      <c r="K19" s="50">
        <v>0</v>
      </c>
      <c r="L19" s="50">
        <v>0</v>
      </c>
      <c r="M19" s="50">
        <v>265</v>
      </c>
      <c r="N19" s="50">
        <v>0</v>
      </c>
      <c r="O19" s="15">
        <f t="shared" si="0"/>
        <v>171</v>
      </c>
      <c r="P19" s="15">
        <f t="shared" si="1"/>
        <v>436</v>
      </c>
      <c r="R19" s="1" t="s">
        <v>15</v>
      </c>
      <c r="S19" s="17">
        <f t="shared" ref="S19:AF19" si="11">SUM(C46:C49)</f>
        <v>281</v>
      </c>
      <c r="T19" s="17">
        <f t="shared" si="11"/>
        <v>26</v>
      </c>
      <c r="U19" s="17">
        <f t="shared" si="11"/>
        <v>34</v>
      </c>
      <c r="V19" s="17">
        <f t="shared" si="11"/>
        <v>31</v>
      </c>
      <c r="W19" s="17">
        <f t="shared" si="11"/>
        <v>1</v>
      </c>
      <c r="X19" s="17">
        <f t="shared" si="11"/>
        <v>0</v>
      </c>
      <c r="Y19" s="17">
        <f t="shared" si="11"/>
        <v>12</v>
      </c>
      <c r="Z19" s="17">
        <f t="shared" si="11"/>
        <v>11</v>
      </c>
      <c r="AA19" s="17">
        <f t="shared" si="11"/>
        <v>1</v>
      </c>
      <c r="AB19" s="17">
        <f t="shared" si="11"/>
        <v>3</v>
      </c>
      <c r="AC19" s="17">
        <f t="shared" si="11"/>
        <v>698</v>
      </c>
      <c r="AD19" s="17">
        <f t="shared" si="11"/>
        <v>0</v>
      </c>
      <c r="AE19" s="31">
        <f t="shared" si="11"/>
        <v>400</v>
      </c>
      <c r="AF19" s="31">
        <f t="shared" si="11"/>
        <v>1098</v>
      </c>
    </row>
    <row r="20" spans="2:32" ht="23.1" customHeight="1" x14ac:dyDescent="0.25">
      <c r="B20" s="23" t="s">
        <v>47</v>
      </c>
      <c r="C20" s="50">
        <v>135</v>
      </c>
      <c r="D20" s="50">
        <v>4</v>
      </c>
      <c r="E20" s="50">
        <v>8</v>
      </c>
      <c r="F20" s="50">
        <v>10</v>
      </c>
      <c r="G20" s="50">
        <v>0</v>
      </c>
      <c r="H20" s="50">
        <v>0</v>
      </c>
      <c r="I20" s="50">
        <v>5</v>
      </c>
      <c r="J20" s="50">
        <v>2</v>
      </c>
      <c r="K20" s="50">
        <v>2</v>
      </c>
      <c r="L20" s="50">
        <v>0</v>
      </c>
      <c r="M20" s="50">
        <v>235</v>
      </c>
      <c r="N20" s="50">
        <v>0</v>
      </c>
      <c r="O20" s="15">
        <f t="shared" si="0"/>
        <v>166</v>
      </c>
      <c r="P20" s="15">
        <f t="shared" si="1"/>
        <v>401</v>
      </c>
      <c r="R20" s="1" t="s">
        <v>16</v>
      </c>
      <c r="S20" s="17">
        <f t="shared" ref="S20:AF20" si="12">SUM(C50:C53)</f>
        <v>363</v>
      </c>
      <c r="T20" s="17">
        <f t="shared" si="12"/>
        <v>28</v>
      </c>
      <c r="U20" s="17">
        <f t="shared" si="12"/>
        <v>37</v>
      </c>
      <c r="V20" s="17">
        <f t="shared" si="12"/>
        <v>28</v>
      </c>
      <c r="W20" s="17">
        <f t="shared" si="12"/>
        <v>4</v>
      </c>
      <c r="X20" s="17">
        <f t="shared" si="12"/>
        <v>1</v>
      </c>
      <c r="Y20" s="17">
        <f t="shared" si="12"/>
        <v>26</v>
      </c>
      <c r="Z20" s="17">
        <f t="shared" si="12"/>
        <v>12</v>
      </c>
      <c r="AA20" s="17">
        <f t="shared" si="12"/>
        <v>1</v>
      </c>
      <c r="AB20" s="17">
        <f t="shared" si="12"/>
        <v>2</v>
      </c>
      <c r="AC20" s="17">
        <f t="shared" si="12"/>
        <v>875</v>
      </c>
      <c r="AD20" s="17">
        <f t="shared" si="12"/>
        <v>0</v>
      </c>
      <c r="AE20" s="31">
        <f t="shared" si="12"/>
        <v>502</v>
      </c>
      <c r="AF20" s="31">
        <f t="shared" si="12"/>
        <v>1377</v>
      </c>
    </row>
    <row r="21" spans="2:32" ht="23.1" customHeight="1" x14ac:dyDescent="0.25">
      <c r="B21" s="23" t="s">
        <v>48</v>
      </c>
      <c r="C21" s="50">
        <v>115</v>
      </c>
      <c r="D21" s="50">
        <v>16</v>
      </c>
      <c r="E21" s="50">
        <v>13</v>
      </c>
      <c r="F21" s="50">
        <v>15</v>
      </c>
      <c r="G21" s="50">
        <v>0</v>
      </c>
      <c r="H21" s="50">
        <v>0</v>
      </c>
      <c r="I21" s="50">
        <v>7</v>
      </c>
      <c r="J21" s="50">
        <v>3</v>
      </c>
      <c r="K21" s="50">
        <v>0</v>
      </c>
      <c r="L21" s="50">
        <v>0</v>
      </c>
      <c r="M21" s="50">
        <v>280</v>
      </c>
      <c r="N21" s="50">
        <v>0</v>
      </c>
      <c r="O21" s="15">
        <f t="shared" si="0"/>
        <v>169</v>
      </c>
      <c r="P21" s="15">
        <f t="shared" si="1"/>
        <v>449</v>
      </c>
      <c r="R21" s="36" t="s">
        <v>20</v>
      </c>
      <c r="S21" s="34">
        <f t="shared" ref="S21:AF21" si="13">SUM(C54:C57)</f>
        <v>395</v>
      </c>
      <c r="T21" s="17">
        <f t="shared" si="13"/>
        <v>36</v>
      </c>
      <c r="U21" s="17">
        <f t="shared" si="13"/>
        <v>14</v>
      </c>
      <c r="V21" s="17">
        <f t="shared" si="13"/>
        <v>108</v>
      </c>
      <c r="W21" s="17">
        <f t="shared" si="13"/>
        <v>8</v>
      </c>
      <c r="X21" s="17">
        <f t="shared" si="13"/>
        <v>1</v>
      </c>
      <c r="Y21" s="17">
        <f t="shared" si="13"/>
        <v>13</v>
      </c>
      <c r="Z21" s="17">
        <f t="shared" si="13"/>
        <v>11</v>
      </c>
      <c r="AA21" s="17">
        <f t="shared" si="13"/>
        <v>6</v>
      </c>
      <c r="AB21" s="17">
        <f t="shared" si="13"/>
        <v>1</v>
      </c>
      <c r="AC21" s="17">
        <f t="shared" si="13"/>
        <v>885</v>
      </c>
      <c r="AD21" s="17">
        <f t="shared" si="13"/>
        <v>0</v>
      </c>
      <c r="AE21" s="31">
        <f t="shared" si="13"/>
        <v>593</v>
      </c>
      <c r="AF21" s="31">
        <f t="shared" si="13"/>
        <v>1478</v>
      </c>
    </row>
    <row r="22" spans="2:32" ht="23.1" customHeight="1" x14ac:dyDescent="0.25">
      <c r="B22" s="23" t="s">
        <v>49</v>
      </c>
      <c r="C22" s="50">
        <v>100</v>
      </c>
      <c r="D22" s="50">
        <v>8</v>
      </c>
      <c r="E22" s="50">
        <v>4</v>
      </c>
      <c r="F22" s="50">
        <v>10</v>
      </c>
      <c r="G22" s="50">
        <v>0</v>
      </c>
      <c r="H22" s="50">
        <v>0</v>
      </c>
      <c r="I22" s="50">
        <v>8</v>
      </c>
      <c r="J22" s="50">
        <v>4</v>
      </c>
      <c r="K22" s="50">
        <v>1</v>
      </c>
      <c r="L22" s="50">
        <v>0</v>
      </c>
      <c r="M22" s="50">
        <v>270</v>
      </c>
      <c r="N22" s="50">
        <v>0</v>
      </c>
      <c r="O22" s="15">
        <f t="shared" si="0"/>
        <v>135</v>
      </c>
      <c r="P22" s="15">
        <f t="shared" si="1"/>
        <v>405</v>
      </c>
      <c r="R22" s="38" t="s">
        <v>90</v>
      </c>
      <c r="S22" s="39">
        <f>MAX(S10:S12)</f>
        <v>480</v>
      </c>
      <c r="T22" s="39">
        <f t="shared" ref="T22:AF22" si="14">MAX(T10:T12)</f>
        <v>60</v>
      </c>
      <c r="U22" s="39">
        <f t="shared" si="14"/>
        <v>61</v>
      </c>
      <c r="V22" s="39">
        <f t="shared" si="14"/>
        <v>177</v>
      </c>
      <c r="W22" s="39">
        <f t="shared" si="14"/>
        <v>2</v>
      </c>
      <c r="X22" s="39">
        <f t="shared" si="14"/>
        <v>1</v>
      </c>
      <c r="Y22" s="39">
        <f t="shared" si="14"/>
        <v>27</v>
      </c>
      <c r="Z22" s="39">
        <f t="shared" si="14"/>
        <v>10</v>
      </c>
      <c r="AA22" s="39">
        <f t="shared" si="14"/>
        <v>7</v>
      </c>
      <c r="AB22" s="39">
        <f t="shared" si="14"/>
        <v>0</v>
      </c>
      <c r="AC22" s="39">
        <f t="shared" si="14"/>
        <v>1005</v>
      </c>
      <c r="AD22" s="39">
        <f t="shared" si="14"/>
        <v>0</v>
      </c>
      <c r="AE22" s="40">
        <f t="shared" si="14"/>
        <v>778</v>
      </c>
      <c r="AF22" s="40">
        <f t="shared" si="14"/>
        <v>1663</v>
      </c>
    </row>
    <row r="23" spans="2:32" ht="23.1" customHeight="1" x14ac:dyDescent="0.25">
      <c r="B23" s="23" t="s">
        <v>50</v>
      </c>
      <c r="C23" s="50">
        <v>77</v>
      </c>
      <c r="D23" s="50">
        <v>9</v>
      </c>
      <c r="E23" s="50">
        <v>7</v>
      </c>
      <c r="F23" s="50">
        <v>10</v>
      </c>
      <c r="G23" s="50">
        <v>0</v>
      </c>
      <c r="H23" s="50">
        <v>0</v>
      </c>
      <c r="I23" s="50">
        <v>4</v>
      </c>
      <c r="J23" s="50">
        <v>2</v>
      </c>
      <c r="K23" s="50">
        <v>1</v>
      </c>
      <c r="L23" s="50">
        <v>0</v>
      </c>
      <c r="M23" s="50">
        <v>255</v>
      </c>
      <c r="N23" s="50">
        <v>0</v>
      </c>
      <c r="O23" s="15">
        <f t="shared" si="0"/>
        <v>110</v>
      </c>
      <c r="P23" s="15">
        <f t="shared" si="1"/>
        <v>365</v>
      </c>
      <c r="R23" s="38" t="s">
        <v>91</v>
      </c>
      <c r="S23" s="39">
        <f>MAX(S13:S18)</f>
        <v>360</v>
      </c>
      <c r="T23" s="39">
        <f t="shared" ref="T23:AF23" si="15">MAX(T13:T18)</f>
        <v>39</v>
      </c>
      <c r="U23" s="39">
        <f t="shared" si="15"/>
        <v>50</v>
      </c>
      <c r="V23" s="39">
        <f t="shared" si="15"/>
        <v>34</v>
      </c>
      <c r="W23" s="39">
        <f t="shared" si="15"/>
        <v>2</v>
      </c>
      <c r="X23" s="39">
        <f t="shared" si="15"/>
        <v>0</v>
      </c>
      <c r="Y23" s="39">
        <f t="shared" si="15"/>
        <v>32</v>
      </c>
      <c r="Z23" s="39">
        <f t="shared" si="15"/>
        <v>20</v>
      </c>
      <c r="AA23" s="39">
        <f t="shared" si="15"/>
        <v>5</v>
      </c>
      <c r="AB23" s="39">
        <f t="shared" si="15"/>
        <v>3</v>
      </c>
      <c r="AC23" s="39">
        <f t="shared" si="15"/>
        <v>1000</v>
      </c>
      <c r="AD23" s="39">
        <f t="shared" si="15"/>
        <v>0</v>
      </c>
      <c r="AE23" s="40">
        <f t="shared" si="15"/>
        <v>478</v>
      </c>
      <c r="AF23" s="40">
        <f t="shared" si="15"/>
        <v>1427</v>
      </c>
    </row>
    <row r="24" spans="2:32" ht="23.1" customHeight="1" x14ac:dyDescent="0.25">
      <c r="B24" s="23" t="s">
        <v>51</v>
      </c>
      <c r="C24" s="50">
        <v>58</v>
      </c>
      <c r="D24" s="50">
        <v>13</v>
      </c>
      <c r="E24" s="50">
        <v>8</v>
      </c>
      <c r="F24" s="50">
        <v>8</v>
      </c>
      <c r="G24" s="50">
        <v>0</v>
      </c>
      <c r="H24" s="50">
        <v>0</v>
      </c>
      <c r="I24" s="50">
        <v>7</v>
      </c>
      <c r="J24" s="50">
        <v>2</v>
      </c>
      <c r="K24" s="50">
        <v>0</v>
      </c>
      <c r="L24" s="50">
        <v>0</v>
      </c>
      <c r="M24" s="50">
        <v>250</v>
      </c>
      <c r="N24" s="50">
        <v>0</v>
      </c>
      <c r="O24" s="15">
        <f t="shared" si="0"/>
        <v>96</v>
      </c>
      <c r="P24" s="15">
        <f t="shared" si="1"/>
        <v>346</v>
      </c>
      <c r="R24" s="38" t="s">
        <v>92</v>
      </c>
      <c r="S24" s="39">
        <f>MAX(S19:S21)</f>
        <v>395</v>
      </c>
      <c r="T24" s="39">
        <f t="shared" ref="T24:AF24" si="16">MAX(T19:T21)</f>
        <v>36</v>
      </c>
      <c r="U24" s="39">
        <f t="shared" si="16"/>
        <v>37</v>
      </c>
      <c r="V24" s="39">
        <f t="shared" si="16"/>
        <v>108</v>
      </c>
      <c r="W24" s="39">
        <f t="shared" si="16"/>
        <v>8</v>
      </c>
      <c r="X24" s="39">
        <f t="shared" si="16"/>
        <v>1</v>
      </c>
      <c r="Y24" s="39">
        <f t="shared" si="16"/>
        <v>26</v>
      </c>
      <c r="Z24" s="39">
        <f t="shared" si="16"/>
        <v>12</v>
      </c>
      <c r="AA24" s="39">
        <f t="shared" si="16"/>
        <v>6</v>
      </c>
      <c r="AB24" s="39">
        <f t="shared" si="16"/>
        <v>3</v>
      </c>
      <c r="AC24" s="39">
        <f t="shared" si="16"/>
        <v>885</v>
      </c>
      <c r="AD24" s="39">
        <f t="shared" si="16"/>
        <v>0</v>
      </c>
      <c r="AE24" s="40">
        <f t="shared" si="16"/>
        <v>593</v>
      </c>
      <c r="AF24" s="40">
        <f t="shared" si="16"/>
        <v>1478</v>
      </c>
    </row>
    <row r="25" spans="2:32" ht="23.1" customHeight="1" x14ac:dyDescent="0.25">
      <c r="B25" s="23" t="s">
        <v>52</v>
      </c>
      <c r="C25" s="50">
        <v>60</v>
      </c>
      <c r="D25" s="50">
        <v>9</v>
      </c>
      <c r="E25" s="50">
        <v>4</v>
      </c>
      <c r="F25" s="50">
        <v>6</v>
      </c>
      <c r="G25" s="50">
        <v>0</v>
      </c>
      <c r="H25" s="50">
        <v>0</v>
      </c>
      <c r="I25" s="50">
        <v>5</v>
      </c>
      <c r="J25" s="50">
        <v>2</v>
      </c>
      <c r="K25" s="50">
        <v>0</v>
      </c>
      <c r="L25" s="50">
        <v>0</v>
      </c>
      <c r="M25" s="50">
        <v>225</v>
      </c>
      <c r="N25" s="50">
        <v>0</v>
      </c>
      <c r="O25" s="15">
        <f t="shared" si="0"/>
        <v>86</v>
      </c>
      <c r="P25" s="15">
        <f t="shared" si="1"/>
        <v>311</v>
      </c>
      <c r="R25" s="37" t="s">
        <v>85</v>
      </c>
      <c r="S25" s="35">
        <f t="shared" ref="S25:AF25" si="17">SUM(S10:S12)</f>
        <v>1390</v>
      </c>
      <c r="T25" s="16">
        <f t="shared" si="17"/>
        <v>143</v>
      </c>
      <c r="U25" s="16">
        <f t="shared" si="17"/>
        <v>150</v>
      </c>
      <c r="V25" s="16">
        <f t="shared" si="17"/>
        <v>399</v>
      </c>
      <c r="W25" s="16">
        <f t="shared" si="17"/>
        <v>4</v>
      </c>
      <c r="X25" s="16">
        <f t="shared" si="17"/>
        <v>1</v>
      </c>
      <c r="Y25" s="16">
        <f t="shared" si="17"/>
        <v>73</v>
      </c>
      <c r="Z25" s="16">
        <f t="shared" si="17"/>
        <v>21</v>
      </c>
      <c r="AA25" s="16">
        <f t="shared" si="17"/>
        <v>12</v>
      </c>
      <c r="AB25" s="16">
        <f t="shared" si="17"/>
        <v>0</v>
      </c>
      <c r="AC25" s="16">
        <f t="shared" si="17"/>
        <v>2470</v>
      </c>
      <c r="AD25" s="16">
        <f t="shared" si="17"/>
        <v>0</v>
      </c>
      <c r="AE25" s="32">
        <f t="shared" si="17"/>
        <v>2193</v>
      </c>
      <c r="AF25" s="32">
        <f t="shared" si="17"/>
        <v>4663</v>
      </c>
    </row>
    <row r="26" spans="2:32" ht="23.1" customHeight="1" x14ac:dyDescent="0.25">
      <c r="B26" s="23" t="s">
        <v>53</v>
      </c>
      <c r="C26" s="50">
        <v>63</v>
      </c>
      <c r="D26" s="50">
        <v>8</v>
      </c>
      <c r="E26" s="50">
        <v>12</v>
      </c>
      <c r="F26" s="50">
        <v>5</v>
      </c>
      <c r="G26" s="50">
        <v>0</v>
      </c>
      <c r="H26" s="50">
        <v>0</v>
      </c>
      <c r="I26" s="50">
        <v>8</v>
      </c>
      <c r="J26" s="50">
        <v>1</v>
      </c>
      <c r="K26" s="50">
        <v>1</v>
      </c>
      <c r="L26" s="50">
        <v>1</v>
      </c>
      <c r="M26" s="50">
        <v>195</v>
      </c>
      <c r="N26" s="50">
        <v>0</v>
      </c>
      <c r="O26" s="15">
        <f t="shared" si="0"/>
        <v>99</v>
      </c>
      <c r="P26" s="15">
        <f t="shared" si="1"/>
        <v>294</v>
      </c>
      <c r="R26" s="28" t="s">
        <v>86</v>
      </c>
      <c r="S26" s="16">
        <f t="shared" ref="S26:AF26" si="18">SUM(S13:S18)</f>
        <v>1772</v>
      </c>
      <c r="T26" s="16">
        <f t="shared" si="18"/>
        <v>188</v>
      </c>
      <c r="U26" s="16">
        <f t="shared" si="18"/>
        <v>207</v>
      </c>
      <c r="V26" s="16">
        <f t="shared" si="18"/>
        <v>133</v>
      </c>
      <c r="W26" s="16">
        <f t="shared" si="18"/>
        <v>9</v>
      </c>
      <c r="X26" s="16">
        <f t="shared" si="18"/>
        <v>0</v>
      </c>
      <c r="Y26" s="16">
        <f t="shared" si="18"/>
        <v>128</v>
      </c>
      <c r="Z26" s="16">
        <f t="shared" si="18"/>
        <v>87</v>
      </c>
      <c r="AA26" s="16">
        <f t="shared" si="18"/>
        <v>16</v>
      </c>
      <c r="AB26" s="16">
        <f t="shared" si="18"/>
        <v>8</v>
      </c>
      <c r="AC26" s="16">
        <f t="shared" si="18"/>
        <v>5147</v>
      </c>
      <c r="AD26" s="16">
        <f t="shared" si="18"/>
        <v>0</v>
      </c>
      <c r="AE26" s="32">
        <f t="shared" si="18"/>
        <v>2548</v>
      </c>
      <c r="AF26" s="32">
        <f t="shared" si="18"/>
        <v>7695</v>
      </c>
    </row>
    <row r="27" spans="2:32" ht="23.1" customHeight="1" x14ac:dyDescent="0.25">
      <c r="B27" s="23" t="s">
        <v>54</v>
      </c>
      <c r="C27" s="50">
        <v>90</v>
      </c>
      <c r="D27" s="50">
        <v>10</v>
      </c>
      <c r="E27" s="50">
        <v>8</v>
      </c>
      <c r="F27" s="50">
        <v>8</v>
      </c>
      <c r="G27" s="50">
        <v>1</v>
      </c>
      <c r="H27" s="50">
        <v>0</v>
      </c>
      <c r="I27" s="50">
        <v>3</v>
      </c>
      <c r="J27" s="50">
        <v>1</v>
      </c>
      <c r="K27" s="50">
        <v>0</v>
      </c>
      <c r="L27" s="50">
        <v>0</v>
      </c>
      <c r="M27" s="50">
        <v>250</v>
      </c>
      <c r="N27" s="50">
        <v>0</v>
      </c>
      <c r="O27" s="15">
        <f t="shared" si="0"/>
        <v>121</v>
      </c>
      <c r="P27" s="15">
        <f t="shared" si="1"/>
        <v>371</v>
      </c>
      <c r="R27" s="29" t="s">
        <v>87</v>
      </c>
      <c r="S27" s="16">
        <f t="shared" ref="S27:AF27" si="19">SUM(S19:S21)</f>
        <v>1039</v>
      </c>
      <c r="T27" s="16">
        <f t="shared" si="19"/>
        <v>90</v>
      </c>
      <c r="U27" s="16">
        <f t="shared" si="19"/>
        <v>85</v>
      </c>
      <c r="V27" s="16">
        <f t="shared" si="19"/>
        <v>167</v>
      </c>
      <c r="W27" s="16">
        <f t="shared" si="19"/>
        <v>13</v>
      </c>
      <c r="X27" s="16">
        <f t="shared" si="19"/>
        <v>2</v>
      </c>
      <c r="Y27" s="16">
        <f t="shared" si="19"/>
        <v>51</v>
      </c>
      <c r="Z27" s="16">
        <f t="shared" si="19"/>
        <v>34</v>
      </c>
      <c r="AA27" s="16">
        <f t="shared" si="19"/>
        <v>8</v>
      </c>
      <c r="AB27" s="16">
        <f t="shared" si="19"/>
        <v>6</v>
      </c>
      <c r="AC27" s="16">
        <f t="shared" si="19"/>
        <v>2458</v>
      </c>
      <c r="AD27" s="16">
        <f t="shared" si="19"/>
        <v>0</v>
      </c>
      <c r="AE27" s="32">
        <f t="shared" si="19"/>
        <v>1495</v>
      </c>
      <c r="AF27" s="32">
        <f t="shared" si="19"/>
        <v>3953</v>
      </c>
    </row>
    <row r="28" spans="2:32" ht="23.1" customHeight="1" x14ac:dyDescent="0.25">
      <c r="B28" s="23" t="s">
        <v>55</v>
      </c>
      <c r="C28" s="50">
        <v>85</v>
      </c>
      <c r="D28" s="50">
        <v>9</v>
      </c>
      <c r="E28" s="50">
        <v>15</v>
      </c>
      <c r="F28" s="50">
        <v>5</v>
      </c>
      <c r="G28" s="50">
        <v>0</v>
      </c>
      <c r="H28" s="50">
        <v>0</v>
      </c>
      <c r="I28" s="50">
        <v>4</v>
      </c>
      <c r="J28" s="50">
        <v>3</v>
      </c>
      <c r="K28" s="50">
        <v>1</v>
      </c>
      <c r="L28" s="50">
        <v>1</v>
      </c>
      <c r="M28" s="50">
        <v>240</v>
      </c>
      <c r="N28" s="50">
        <v>0</v>
      </c>
      <c r="O28" s="15">
        <f t="shared" si="0"/>
        <v>123</v>
      </c>
      <c r="P28" s="15">
        <f t="shared" si="1"/>
        <v>363</v>
      </c>
      <c r="R28" s="5" t="s">
        <v>17</v>
      </c>
      <c r="S28" s="16">
        <f t="shared" ref="S28:AF28" si="20">SUM(S10:S21)</f>
        <v>4201</v>
      </c>
      <c r="T28" s="16">
        <f t="shared" si="20"/>
        <v>421</v>
      </c>
      <c r="U28" s="16">
        <f t="shared" si="20"/>
        <v>442</v>
      </c>
      <c r="V28" s="16">
        <f t="shared" si="20"/>
        <v>699</v>
      </c>
      <c r="W28" s="16">
        <f t="shared" si="20"/>
        <v>26</v>
      </c>
      <c r="X28" s="16">
        <f t="shared" si="20"/>
        <v>3</v>
      </c>
      <c r="Y28" s="16">
        <f t="shared" si="20"/>
        <v>252</v>
      </c>
      <c r="Z28" s="16">
        <f t="shared" si="20"/>
        <v>142</v>
      </c>
      <c r="AA28" s="16">
        <f t="shared" si="20"/>
        <v>36</v>
      </c>
      <c r="AB28" s="16">
        <f t="shared" si="20"/>
        <v>14</v>
      </c>
      <c r="AC28" s="16">
        <f t="shared" si="20"/>
        <v>10075</v>
      </c>
      <c r="AD28" s="16">
        <f t="shared" si="20"/>
        <v>0</v>
      </c>
      <c r="AE28" s="32">
        <f t="shared" si="20"/>
        <v>6236</v>
      </c>
      <c r="AF28" s="32">
        <f t="shared" si="20"/>
        <v>16311</v>
      </c>
    </row>
    <row r="29" spans="2:32" ht="23.1" customHeight="1" x14ac:dyDescent="0.25">
      <c r="B29" s="23" t="s">
        <v>56</v>
      </c>
      <c r="C29" s="50">
        <v>80</v>
      </c>
      <c r="D29" s="50">
        <v>7</v>
      </c>
      <c r="E29" s="50">
        <v>6</v>
      </c>
      <c r="F29" s="50">
        <v>9</v>
      </c>
      <c r="G29" s="50">
        <v>1</v>
      </c>
      <c r="H29" s="50">
        <v>0</v>
      </c>
      <c r="I29" s="50">
        <v>9</v>
      </c>
      <c r="J29" s="50">
        <v>5</v>
      </c>
      <c r="K29" s="50">
        <v>2</v>
      </c>
      <c r="L29" s="50">
        <v>0</v>
      </c>
      <c r="M29" s="50">
        <v>220</v>
      </c>
      <c r="N29" s="50">
        <v>0</v>
      </c>
      <c r="O29" s="15">
        <f t="shared" si="0"/>
        <v>119</v>
      </c>
      <c r="P29" s="15">
        <f t="shared" si="1"/>
        <v>339</v>
      </c>
      <c r="R29"/>
      <c r="S29" s="20"/>
      <c r="T29" s="19"/>
    </row>
    <row r="30" spans="2:32" ht="23.1" customHeight="1" x14ac:dyDescent="0.25">
      <c r="B30" s="23" t="s">
        <v>57</v>
      </c>
      <c r="C30" s="50">
        <v>80</v>
      </c>
      <c r="D30" s="50">
        <v>11</v>
      </c>
      <c r="E30" s="50">
        <v>23</v>
      </c>
      <c r="F30" s="50">
        <v>8</v>
      </c>
      <c r="G30" s="50">
        <v>1</v>
      </c>
      <c r="H30" s="50">
        <v>0</v>
      </c>
      <c r="I30" s="50">
        <v>9</v>
      </c>
      <c r="J30" s="50">
        <v>1</v>
      </c>
      <c r="K30" s="50">
        <v>0</v>
      </c>
      <c r="L30" s="50">
        <v>2</v>
      </c>
      <c r="M30" s="50">
        <v>210</v>
      </c>
      <c r="N30" s="50">
        <v>0</v>
      </c>
      <c r="O30" s="15">
        <f t="shared" si="0"/>
        <v>135</v>
      </c>
      <c r="P30" s="15">
        <f t="shared" si="1"/>
        <v>345</v>
      </c>
    </row>
    <row r="31" spans="2:32" ht="23.1" customHeight="1" x14ac:dyDescent="0.25">
      <c r="B31" s="24" t="s">
        <v>58</v>
      </c>
      <c r="C31" s="50">
        <v>80</v>
      </c>
      <c r="D31" s="50">
        <v>5</v>
      </c>
      <c r="E31" s="50">
        <v>8</v>
      </c>
      <c r="F31" s="50">
        <v>3</v>
      </c>
      <c r="G31" s="50">
        <v>1</v>
      </c>
      <c r="H31" s="50">
        <v>0</v>
      </c>
      <c r="I31" s="50">
        <v>6</v>
      </c>
      <c r="J31" s="50">
        <v>5</v>
      </c>
      <c r="K31" s="50">
        <v>1</v>
      </c>
      <c r="L31" s="50">
        <v>0</v>
      </c>
      <c r="M31" s="50">
        <v>170</v>
      </c>
      <c r="N31" s="50">
        <v>0</v>
      </c>
      <c r="O31" s="15">
        <f t="shared" si="0"/>
        <v>109</v>
      </c>
      <c r="P31" s="15">
        <f t="shared" si="1"/>
        <v>279</v>
      </c>
    </row>
    <row r="32" spans="2:32" ht="23.1" customHeight="1" x14ac:dyDescent="0.25">
      <c r="B32" s="24" t="s">
        <v>59</v>
      </c>
      <c r="C32" s="50">
        <v>67</v>
      </c>
      <c r="D32" s="50">
        <v>9</v>
      </c>
      <c r="E32" s="50">
        <v>9</v>
      </c>
      <c r="F32" s="50">
        <v>8</v>
      </c>
      <c r="G32" s="50">
        <v>0</v>
      </c>
      <c r="H32" s="50">
        <v>0</v>
      </c>
      <c r="I32" s="50">
        <v>7</v>
      </c>
      <c r="J32" s="50">
        <v>6</v>
      </c>
      <c r="K32" s="50">
        <v>0</v>
      </c>
      <c r="L32" s="50">
        <v>0</v>
      </c>
      <c r="M32" s="50">
        <v>200</v>
      </c>
      <c r="N32" s="50">
        <v>0</v>
      </c>
      <c r="O32" s="15">
        <f t="shared" si="0"/>
        <v>106</v>
      </c>
      <c r="P32" s="15">
        <f t="shared" si="1"/>
        <v>306</v>
      </c>
    </row>
    <row r="33" spans="2:20" ht="23.1" customHeight="1" x14ac:dyDescent="0.25">
      <c r="B33" s="23" t="s">
        <v>60</v>
      </c>
      <c r="C33" s="50">
        <v>57</v>
      </c>
      <c r="D33" s="50">
        <v>11</v>
      </c>
      <c r="E33" s="50">
        <v>10</v>
      </c>
      <c r="F33" s="50">
        <v>4</v>
      </c>
      <c r="G33" s="50">
        <v>0</v>
      </c>
      <c r="H33" s="50">
        <v>0</v>
      </c>
      <c r="I33" s="50">
        <v>10</v>
      </c>
      <c r="J33" s="50">
        <v>3</v>
      </c>
      <c r="K33" s="50">
        <v>0</v>
      </c>
      <c r="L33" s="50">
        <v>0</v>
      </c>
      <c r="M33" s="50">
        <v>220</v>
      </c>
      <c r="N33" s="50">
        <v>0</v>
      </c>
      <c r="O33" s="15">
        <f t="shared" si="0"/>
        <v>95</v>
      </c>
      <c r="P33" s="15">
        <f t="shared" si="1"/>
        <v>315</v>
      </c>
    </row>
    <row r="34" spans="2:20" ht="23.1" customHeight="1" x14ac:dyDescent="0.25">
      <c r="B34" s="24" t="s">
        <v>61</v>
      </c>
      <c r="C34" s="50">
        <v>80</v>
      </c>
      <c r="D34" s="50">
        <v>7</v>
      </c>
      <c r="E34" s="50">
        <v>16</v>
      </c>
      <c r="F34" s="50">
        <v>2</v>
      </c>
      <c r="G34" s="50">
        <v>0</v>
      </c>
      <c r="H34" s="50">
        <v>0</v>
      </c>
      <c r="I34" s="50">
        <v>5</v>
      </c>
      <c r="J34" s="50">
        <v>3</v>
      </c>
      <c r="K34" s="50">
        <v>2</v>
      </c>
      <c r="L34" s="50">
        <v>0</v>
      </c>
      <c r="M34" s="50">
        <v>225</v>
      </c>
      <c r="N34" s="50">
        <v>0</v>
      </c>
      <c r="O34" s="15">
        <f t="shared" si="0"/>
        <v>115</v>
      </c>
      <c r="P34" s="15">
        <f t="shared" si="1"/>
        <v>340</v>
      </c>
    </row>
    <row r="35" spans="2:20" ht="23.1" customHeight="1" x14ac:dyDescent="0.25">
      <c r="B35" s="24" t="s">
        <v>62</v>
      </c>
      <c r="C35" s="50">
        <v>95</v>
      </c>
      <c r="D35" s="50">
        <v>7</v>
      </c>
      <c r="E35" s="50">
        <v>4</v>
      </c>
      <c r="F35" s="50">
        <v>0</v>
      </c>
      <c r="G35" s="50">
        <v>1</v>
      </c>
      <c r="H35" s="50">
        <v>0</v>
      </c>
      <c r="I35" s="50">
        <v>3</v>
      </c>
      <c r="J35" s="50">
        <v>2</v>
      </c>
      <c r="K35" s="50">
        <v>0</v>
      </c>
      <c r="L35" s="50">
        <v>0</v>
      </c>
      <c r="M35" s="50">
        <v>210</v>
      </c>
      <c r="N35" s="50">
        <v>0</v>
      </c>
      <c r="O35" s="15">
        <f t="shared" si="0"/>
        <v>112</v>
      </c>
      <c r="P35" s="15">
        <f t="shared" si="1"/>
        <v>322</v>
      </c>
    </row>
    <row r="36" spans="2:20" ht="23.1" customHeight="1" x14ac:dyDescent="0.25">
      <c r="B36" s="24" t="s">
        <v>63</v>
      </c>
      <c r="C36" s="50">
        <v>90</v>
      </c>
      <c r="D36" s="50">
        <v>9</v>
      </c>
      <c r="E36" s="50">
        <v>9</v>
      </c>
      <c r="F36" s="50">
        <v>5</v>
      </c>
      <c r="G36" s="50">
        <v>0</v>
      </c>
      <c r="H36" s="50">
        <v>0</v>
      </c>
      <c r="I36" s="50">
        <v>5</v>
      </c>
      <c r="J36" s="50">
        <v>6</v>
      </c>
      <c r="K36" s="50">
        <v>0</v>
      </c>
      <c r="L36" s="50"/>
      <c r="M36" s="50">
        <v>225</v>
      </c>
      <c r="N36" s="50">
        <v>0</v>
      </c>
      <c r="O36" s="15">
        <f t="shared" si="0"/>
        <v>124</v>
      </c>
      <c r="P36" s="15">
        <f t="shared" si="1"/>
        <v>349</v>
      </c>
    </row>
    <row r="37" spans="2:20" ht="23.1" customHeight="1" x14ac:dyDescent="0.25">
      <c r="B37" s="23" t="s">
        <v>64</v>
      </c>
      <c r="C37" s="50">
        <v>95</v>
      </c>
      <c r="D37" s="50">
        <v>8</v>
      </c>
      <c r="E37" s="50">
        <v>5</v>
      </c>
      <c r="F37" s="50">
        <v>7</v>
      </c>
      <c r="G37" s="50">
        <v>1</v>
      </c>
      <c r="H37" s="50">
        <v>0</v>
      </c>
      <c r="I37" s="50">
        <v>2</v>
      </c>
      <c r="J37" s="50">
        <v>9</v>
      </c>
      <c r="K37" s="50">
        <v>0</v>
      </c>
      <c r="L37" s="50">
        <v>0</v>
      </c>
      <c r="M37" s="50">
        <v>180</v>
      </c>
      <c r="N37" s="50">
        <v>0</v>
      </c>
      <c r="O37" s="15">
        <f t="shared" si="0"/>
        <v>127</v>
      </c>
      <c r="P37" s="15">
        <f t="shared" si="1"/>
        <v>307</v>
      </c>
    </row>
    <row r="38" spans="2:20" ht="23.1" customHeight="1" x14ac:dyDescent="0.25">
      <c r="B38" s="24" t="s">
        <v>65</v>
      </c>
      <c r="C38" s="50">
        <v>68</v>
      </c>
      <c r="D38" s="50">
        <v>1</v>
      </c>
      <c r="E38" s="50">
        <v>5</v>
      </c>
      <c r="F38" s="50">
        <v>2</v>
      </c>
      <c r="G38" s="50">
        <v>1</v>
      </c>
      <c r="H38" s="50">
        <v>0</v>
      </c>
      <c r="I38" s="50">
        <v>1</v>
      </c>
      <c r="J38" s="50">
        <v>1</v>
      </c>
      <c r="K38" s="50">
        <v>2</v>
      </c>
      <c r="L38" s="50">
        <v>0</v>
      </c>
      <c r="M38" s="50">
        <v>160</v>
      </c>
      <c r="N38" s="50">
        <v>0</v>
      </c>
      <c r="O38" s="15">
        <f t="shared" si="0"/>
        <v>81</v>
      </c>
      <c r="P38" s="15">
        <f t="shared" si="1"/>
        <v>241</v>
      </c>
    </row>
    <row r="39" spans="2:20" ht="23.1" customHeight="1" x14ac:dyDescent="0.25">
      <c r="B39" s="24" t="s">
        <v>66</v>
      </c>
      <c r="C39" s="50">
        <v>51</v>
      </c>
      <c r="D39" s="50">
        <v>5</v>
      </c>
      <c r="E39" s="50">
        <v>6</v>
      </c>
      <c r="F39" s="50">
        <v>6</v>
      </c>
      <c r="G39" s="50">
        <v>1</v>
      </c>
      <c r="H39" s="50">
        <v>0</v>
      </c>
      <c r="I39" s="50">
        <v>6</v>
      </c>
      <c r="J39" s="50">
        <v>5</v>
      </c>
      <c r="K39" s="50">
        <v>0</v>
      </c>
      <c r="L39" s="50">
        <v>0</v>
      </c>
      <c r="M39" s="50">
        <v>210</v>
      </c>
      <c r="N39" s="50">
        <v>0</v>
      </c>
      <c r="O39" s="15">
        <f t="shared" si="0"/>
        <v>80</v>
      </c>
      <c r="P39" s="15">
        <f t="shared" si="1"/>
        <v>290</v>
      </c>
    </row>
    <row r="40" spans="2:20" ht="23.1" customHeight="1" x14ac:dyDescent="0.25">
      <c r="B40" s="24" t="s">
        <v>67</v>
      </c>
      <c r="C40" s="50">
        <v>40</v>
      </c>
      <c r="D40" s="50">
        <v>9</v>
      </c>
      <c r="E40" s="50">
        <v>6</v>
      </c>
      <c r="F40" s="50">
        <v>4</v>
      </c>
      <c r="G40" s="50">
        <v>0</v>
      </c>
      <c r="H40" s="50">
        <v>0</v>
      </c>
      <c r="I40" s="50">
        <v>5</v>
      </c>
      <c r="J40" s="50">
        <v>5</v>
      </c>
      <c r="K40" s="50">
        <v>2</v>
      </c>
      <c r="L40" s="50">
        <v>1</v>
      </c>
      <c r="M40" s="50">
        <v>200</v>
      </c>
      <c r="N40" s="50">
        <v>0</v>
      </c>
      <c r="O40" s="15">
        <f t="shared" si="0"/>
        <v>72</v>
      </c>
      <c r="P40" s="15">
        <f t="shared" si="1"/>
        <v>272</v>
      </c>
    </row>
    <row r="41" spans="2:20" ht="23.1" customHeight="1" x14ac:dyDescent="0.25">
      <c r="B41" s="23" t="s">
        <v>68</v>
      </c>
      <c r="C41" s="50">
        <v>57</v>
      </c>
      <c r="D41" s="50">
        <v>8</v>
      </c>
      <c r="E41" s="50">
        <v>6</v>
      </c>
      <c r="F41" s="50">
        <v>4</v>
      </c>
      <c r="G41" s="50">
        <v>0</v>
      </c>
      <c r="H41" s="50">
        <v>0</v>
      </c>
      <c r="I41" s="50">
        <v>2</v>
      </c>
      <c r="J41" s="50">
        <v>2</v>
      </c>
      <c r="K41" s="50">
        <v>1</v>
      </c>
      <c r="L41" s="50">
        <v>0</v>
      </c>
      <c r="M41" s="50">
        <v>185</v>
      </c>
      <c r="N41" s="50">
        <v>0</v>
      </c>
      <c r="O41" s="15">
        <f t="shared" si="0"/>
        <v>80</v>
      </c>
      <c r="P41" s="15">
        <f t="shared" si="1"/>
        <v>265</v>
      </c>
    </row>
    <row r="42" spans="2:20" ht="23.1" customHeight="1" x14ac:dyDescent="0.25">
      <c r="B42" s="24" t="s">
        <v>69</v>
      </c>
      <c r="C42" s="50">
        <v>60</v>
      </c>
      <c r="D42" s="50">
        <v>5</v>
      </c>
      <c r="E42" s="50">
        <v>13</v>
      </c>
      <c r="F42" s="50">
        <v>6</v>
      </c>
      <c r="G42" s="50">
        <v>1</v>
      </c>
      <c r="H42" s="50">
        <v>0</v>
      </c>
      <c r="I42" s="50">
        <v>5</v>
      </c>
      <c r="J42" s="50">
        <v>6</v>
      </c>
      <c r="K42" s="50">
        <v>1</v>
      </c>
      <c r="L42" s="50">
        <v>3</v>
      </c>
      <c r="M42" s="50">
        <v>260</v>
      </c>
      <c r="N42" s="50">
        <v>0</v>
      </c>
      <c r="O42" s="15">
        <f t="shared" si="0"/>
        <v>100</v>
      </c>
      <c r="P42" s="15">
        <f t="shared" si="1"/>
        <v>360</v>
      </c>
    </row>
    <row r="43" spans="2:20" ht="23.1" customHeight="1" x14ac:dyDescent="0.25">
      <c r="B43" s="23" t="s">
        <v>70</v>
      </c>
      <c r="C43" s="50">
        <v>104</v>
      </c>
      <c r="D43" s="50">
        <v>5</v>
      </c>
      <c r="E43" s="50">
        <v>6</v>
      </c>
      <c r="F43" s="50">
        <v>7</v>
      </c>
      <c r="G43" s="50">
        <v>0</v>
      </c>
      <c r="H43" s="50">
        <v>0</v>
      </c>
      <c r="I43" s="50">
        <v>6</v>
      </c>
      <c r="J43" s="50">
        <v>7</v>
      </c>
      <c r="K43" s="50">
        <v>1</v>
      </c>
      <c r="L43" s="50">
        <v>0</v>
      </c>
      <c r="M43" s="50">
        <v>202</v>
      </c>
      <c r="N43" s="50">
        <v>0</v>
      </c>
      <c r="O43" s="15">
        <f t="shared" si="0"/>
        <v>136</v>
      </c>
      <c r="P43" s="15">
        <f t="shared" si="1"/>
        <v>338</v>
      </c>
    </row>
    <row r="44" spans="2:20" ht="23.1" customHeight="1" x14ac:dyDescent="0.25">
      <c r="B44" s="25" t="s">
        <v>71</v>
      </c>
      <c r="C44" s="50">
        <v>65</v>
      </c>
      <c r="D44" s="50">
        <v>7</v>
      </c>
      <c r="E44" s="50">
        <v>10</v>
      </c>
      <c r="F44" s="50">
        <v>5</v>
      </c>
      <c r="G44" s="50">
        <v>0</v>
      </c>
      <c r="H44" s="50">
        <v>0</v>
      </c>
      <c r="I44" s="50">
        <v>2</v>
      </c>
      <c r="J44" s="50">
        <v>5</v>
      </c>
      <c r="K44" s="50">
        <v>0</v>
      </c>
      <c r="L44" s="50">
        <v>0</v>
      </c>
      <c r="M44" s="50">
        <v>205</v>
      </c>
      <c r="N44" s="50">
        <v>0</v>
      </c>
      <c r="O44" s="15">
        <f t="shared" si="0"/>
        <v>94</v>
      </c>
      <c r="P44" s="15">
        <f t="shared" si="1"/>
        <v>299</v>
      </c>
    </row>
    <row r="45" spans="2:20" ht="23.1" customHeight="1" x14ac:dyDescent="0.25">
      <c r="B45" s="23" t="s">
        <v>72</v>
      </c>
      <c r="C45" s="50">
        <v>70</v>
      </c>
      <c r="D45" s="50">
        <v>8</v>
      </c>
      <c r="E45" s="50">
        <v>7</v>
      </c>
      <c r="F45" s="50">
        <v>1</v>
      </c>
      <c r="G45" s="50">
        <v>0</v>
      </c>
      <c r="H45" s="50">
        <v>0</v>
      </c>
      <c r="I45" s="50">
        <v>6</v>
      </c>
      <c r="J45" s="50">
        <v>1</v>
      </c>
      <c r="K45" s="50">
        <v>0</v>
      </c>
      <c r="L45" s="50">
        <v>0</v>
      </c>
      <c r="M45" s="50">
        <v>180</v>
      </c>
      <c r="N45" s="50">
        <v>0</v>
      </c>
      <c r="O45" s="15">
        <f t="shared" si="0"/>
        <v>93</v>
      </c>
      <c r="P45" s="15">
        <f t="shared" si="1"/>
        <v>273</v>
      </c>
    </row>
    <row r="46" spans="2:20" ht="23.1" customHeight="1" x14ac:dyDescent="0.25">
      <c r="B46" s="24" t="s">
        <v>73</v>
      </c>
      <c r="C46" s="50">
        <v>58</v>
      </c>
      <c r="D46" s="50">
        <v>5</v>
      </c>
      <c r="E46" s="50">
        <v>11</v>
      </c>
      <c r="F46" s="50">
        <v>10</v>
      </c>
      <c r="G46" s="50">
        <v>0</v>
      </c>
      <c r="H46" s="50">
        <v>0</v>
      </c>
      <c r="I46" s="50">
        <v>5</v>
      </c>
      <c r="J46" s="50">
        <v>2</v>
      </c>
      <c r="K46" s="50">
        <v>0</v>
      </c>
      <c r="L46" s="50">
        <v>1</v>
      </c>
      <c r="M46" s="50">
        <v>150</v>
      </c>
      <c r="N46" s="50">
        <v>0</v>
      </c>
      <c r="O46" s="15">
        <f t="shared" si="0"/>
        <v>92</v>
      </c>
      <c r="P46" s="15">
        <f t="shared" si="1"/>
        <v>242</v>
      </c>
      <c r="R46" s="8"/>
      <c r="T46"/>
    </row>
    <row r="47" spans="2:20" ht="23.1" customHeight="1" x14ac:dyDescent="0.25">
      <c r="B47" s="24" t="s">
        <v>74</v>
      </c>
      <c r="C47" s="50">
        <v>90</v>
      </c>
      <c r="D47" s="50">
        <v>5</v>
      </c>
      <c r="E47" s="50">
        <v>3</v>
      </c>
      <c r="F47" s="50">
        <v>10</v>
      </c>
      <c r="G47" s="50">
        <v>0</v>
      </c>
      <c r="H47" s="50">
        <v>0</v>
      </c>
      <c r="I47" s="50">
        <v>2</v>
      </c>
      <c r="J47" s="50">
        <v>3</v>
      </c>
      <c r="K47" s="50">
        <v>0</v>
      </c>
      <c r="L47" s="50">
        <v>0</v>
      </c>
      <c r="M47" s="50">
        <v>170</v>
      </c>
      <c r="N47" s="50">
        <v>0</v>
      </c>
      <c r="O47" s="15">
        <f t="shared" si="0"/>
        <v>113</v>
      </c>
      <c r="P47" s="15">
        <f t="shared" si="1"/>
        <v>283</v>
      </c>
      <c r="R47" s="8"/>
      <c r="T47"/>
    </row>
    <row r="48" spans="2:20" ht="23.1" customHeight="1" x14ac:dyDescent="0.25">
      <c r="B48" s="24" t="s">
        <v>75</v>
      </c>
      <c r="C48" s="50">
        <v>47</v>
      </c>
      <c r="D48" s="50">
        <v>8</v>
      </c>
      <c r="E48" s="50">
        <v>12</v>
      </c>
      <c r="F48" s="50">
        <v>4</v>
      </c>
      <c r="G48" s="50">
        <v>0</v>
      </c>
      <c r="H48" s="50">
        <v>0</v>
      </c>
      <c r="I48" s="50">
        <v>2</v>
      </c>
      <c r="J48" s="50">
        <v>1</v>
      </c>
      <c r="K48" s="50">
        <v>1</v>
      </c>
      <c r="L48" s="50">
        <v>1</v>
      </c>
      <c r="M48" s="50">
        <v>198</v>
      </c>
      <c r="N48" s="50">
        <v>0</v>
      </c>
      <c r="O48" s="15">
        <f t="shared" si="0"/>
        <v>76</v>
      </c>
      <c r="P48" s="15">
        <f t="shared" si="1"/>
        <v>274</v>
      </c>
      <c r="R48" s="8"/>
      <c r="T48"/>
    </row>
    <row r="49" spans="2:20" ht="23.1" customHeight="1" x14ac:dyDescent="0.25">
      <c r="B49" s="23" t="s">
        <v>76</v>
      </c>
      <c r="C49" s="50">
        <v>86</v>
      </c>
      <c r="D49" s="50">
        <v>8</v>
      </c>
      <c r="E49" s="50">
        <v>8</v>
      </c>
      <c r="F49" s="50">
        <v>7</v>
      </c>
      <c r="G49" s="50">
        <v>1</v>
      </c>
      <c r="H49" s="50">
        <v>0</v>
      </c>
      <c r="I49" s="50">
        <v>3</v>
      </c>
      <c r="J49" s="50">
        <v>5</v>
      </c>
      <c r="K49" s="50">
        <v>0</v>
      </c>
      <c r="L49" s="50">
        <v>1</v>
      </c>
      <c r="M49" s="50">
        <v>180</v>
      </c>
      <c r="N49" s="50">
        <v>0</v>
      </c>
      <c r="O49" s="15">
        <f t="shared" si="0"/>
        <v>119</v>
      </c>
      <c r="P49" s="15">
        <f t="shared" si="1"/>
        <v>299</v>
      </c>
      <c r="R49" s="8"/>
      <c r="T49"/>
    </row>
    <row r="50" spans="2:20" ht="23.1" customHeight="1" x14ac:dyDescent="0.25">
      <c r="B50" s="24" t="s">
        <v>77</v>
      </c>
      <c r="C50" s="50">
        <v>110</v>
      </c>
      <c r="D50" s="50">
        <v>7</v>
      </c>
      <c r="E50" s="50">
        <v>6</v>
      </c>
      <c r="F50" s="50">
        <v>6</v>
      </c>
      <c r="G50" s="50">
        <v>1</v>
      </c>
      <c r="H50" s="50">
        <v>0</v>
      </c>
      <c r="I50" s="50">
        <v>8</v>
      </c>
      <c r="J50" s="50">
        <v>4</v>
      </c>
      <c r="K50" s="50">
        <v>0</v>
      </c>
      <c r="L50" s="50">
        <v>0</v>
      </c>
      <c r="M50" s="50">
        <v>210</v>
      </c>
      <c r="N50" s="50">
        <v>0</v>
      </c>
      <c r="O50" s="15">
        <f t="shared" si="0"/>
        <v>142</v>
      </c>
      <c r="P50" s="15">
        <f t="shared" si="1"/>
        <v>352</v>
      </c>
      <c r="R50" s="8"/>
      <c r="T50"/>
    </row>
    <row r="51" spans="2:20" ht="23.1" customHeight="1" x14ac:dyDescent="0.25">
      <c r="B51" s="24" t="s">
        <v>78</v>
      </c>
      <c r="C51" s="50">
        <v>108</v>
      </c>
      <c r="D51" s="50">
        <v>3</v>
      </c>
      <c r="E51" s="50">
        <v>11</v>
      </c>
      <c r="F51" s="50">
        <v>4</v>
      </c>
      <c r="G51" s="50">
        <v>0</v>
      </c>
      <c r="H51" s="50">
        <v>0</v>
      </c>
      <c r="I51" s="50">
        <v>6</v>
      </c>
      <c r="J51" s="50">
        <v>1</v>
      </c>
      <c r="K51" s="50">
        <v>0</v>
      </c>
      <c r="L51" s="50">
        <v>0</v>
      </c>
      <c r="M51" s="50">
        <v>195</v>
      </c>
      <c r="N51" s="50">
        <v>0</v>
      </c>
      <c r="O51" s="15">
        <f t="shared" si="0"/>
        <v>133</v>
      </c>
      <c r="P51" s="15">
        <f t="shared" si="1"/>
        <v>328</v>
      </c>
      <c r="R51" s="8"/>
      <c r="T51"/>
    </row>
    <row r="52" spans="2:20" ht="23.1" customHeight="1" x14ac:dyDescent="0.25">
      <c r="B52" s="24" t="s">
        <v>79</v>
      </c>
      <c r="C52" s="50">
        <v>85</v>
      </c>
      <c r="D52" s="50">
        <v>8</v>
      </c>
      <c r="E52" s="50">
        <v>10</v>
      </c>
      <c r="F52" s="50">
        <v>7</v>
      </c>
      <c r="G52" s="50">
        <v>1</v>
      </c>
      <c r="H52" s="50">
        <v>1</v>
      </c>
      <c r="I52" s="50">
        <v>6</v>
      </c>
      <c r="J52" s="50">
        <v>6</v>
      </c>
      <c r="K52" s="50">
        <v>0</v>
      </c>
      <c r="L52" s="50"/>
      <c r="M52" s="50">
        <v>240</v>
      </c>
      <c r="N52" s="50">
        <v>0</v>
      </c>
      <c r="O52" s="15">
        <f t="shared" si="0"/>
        <v>124</v>
      </c>
      <c r="P52" s="15">
        <f t="shared" si="1"/>
        <v>364</v>
      </c>
      <c r="R52" s="8"/>
      <c r="T52"/>
    </row>
    <row r="53" spans="2:20" ht="23.1" customHeight="1" x14ac:dyDescent="0.25">
      <c r="B53" s="23" t="s">
        <v>80</v>
      </c>
      <c r="C53" s="50">
        <v>60</v>
      </c>
      <c r="D53" s="50">
        <v>10</v>
      </c>
      <c r="E53" s="50">
        <v>10</v>
      </c>
      <c r="F53" s="50">
        <v>11</v>
      </c>
      <c r="G53" s="50">
        <v>2</v>
      </c>
      <c r="H53" s="50">
        <v>0</v>
      </c>
      <c r="I53" s="50">
        <v>6</v>
      </c>
      <c r="J53" s="50">
        <v>1</v>
      </c>
      <c r="K53" s="50">
        <v>1</v>
      </c>
      <c r="L53" s="50">
        <v>2</v>
      </c>
      <c r="M53" s="50">
        <v>230</v>
      </c>
      <c r="N53" s="50">
        <v>0</v>
      </c>
      <c r="O53" s="15">
        <f t="shared" si="0"/>
        <v>103</v>
      </c>
      <c r="P53" s="15">
        <f t="shared" si="1"/>
        <v>333</v>
      </c>
      <c r="R53" s="8"/>
      <c r="T53"/>
    </row>
    <row r="54" spans="2:20" ht="23.1" customHeight="1" x14ac:dyDescent="0.25">
      <c r="B54" s="23" t="s">
        <v>81</v>
      </c>
      <c r="C54" s="50">
        <v>110</v>
      </c>
      <c r="D54" s="50">
        <v>3</v>
      </c>
      <c r="E54" s="50">
        <v>5</v>
      </c>
      <c r="F54" s="50">
        <v>11</v>
      </c>
      <c r="G54" s="50">
        <v>3</v>
      </c>
      <c r="H54" s="50">
        <v>0</v>
      </c>
      <c r="I54" s="50">
        <v>4</v>
      </c>
      <c r="J54" s="50">
        <v>3</v>
      </c>
      <c r="K54" s="50">
        <v>4</v>
      </c>
      <c r="L54" s="50">
        <v>0</v>
      </c>
      <c r="M54" s="50">
        <v>210</v>
      </c>
      <c r="N54" s="50">
        <v>0</v>
      </c>
      <c r="O54" s="15">
        <f t="shared" si="0"/>
        <v>143</v>
      </c>
      <c r="P54" s="15">
        <f t="shared" si="1"/>
        <v>353</v>
      </c>
      <c r="R54" s="8"/>
      <c r="T54"/>
    </row>
    <row r="55" spans="2:20" ht="23.1" customHeight="1" x14ac:dyDescent="0.25">
      <c r="B55" s="23" t="s">
        <v>82</v>
      </c>
      <c r="C55" s="50">
        <v>90</v>
      </c>
      <c r="D55" s="50">
        <v>4</v>
      </c>
      <c r="E55" s="50">
        <v>7</v>
      </c>
      <c r="F55" s="50">
        <v>25</v>
      </c>
      <c r="G55" s="50">
        <v>1</v>
      </c>
      <c r="H55" s="50">
        <v>1</v>
      </c>
      <c r="I55" s="50">
        <v>4</v>
      </c>
      <c r="J55" s="50">
        <v>4</v>
      </c>
      <c r="K55" s="50">
        <v>1</v>
      </c>
      <c r="L55" s="50">
        <v>1</v>
      </c>
      <c r="M55" s="50">
        <v>195</v>
      </c>
      <c r="N55" s="50">
        <v>0</v>
      </c>
      <c r="O55" s="15">
        <f t="shared" si="0"/>
        <v>138</v>
      </c>
      <c r="P55" s="15">
        <f t="shared" si="1"/>
        <v>333</v>
      </c>
      <c r="R55" s="8"/>
      <c r="T55"/>
    </row>
    <row r="56" spans="2:20" ht="23.1" customHeight="1" x14ac:dyDescent="0.25">
      <c r="B56" s="23" t="s">
        <v>83</v>
      </c>
      <c r="C56" s="50">
        <v>115</v>
      </c>
      <c r="D56" s="50">
        <v>9</v>
      </c>
      <c r="E56" s="50">
        <v>2</v>
      </c>
      <c r="F56" s="50">
        <v>27</v>
      </c>
      <c r="G56" s="50">
        <v>1</v>
      </c>
      <c r="H56" s="50">
        <v>0</v>
      </c>
      <c r="I56" s="50">
        <v>3</v>
      </c>
      <c r="J56" s="50">
        <v>3</v>
      </c>
      <c r="K56" s="50">
        <v>1</v>
      </c>
      <c r="L56" s="50">
        <v>0</v>
      </c>
      <c r="M56" s="50">
        <v>285</v>
      </c>
      <c r="N56" s="50">
        <v>0</v>
      </c>
      <c r="O56" s="15">
        <f t="shared" si="0"/>
        <v>161</v>
      </c>
      <c r="P56" s="15">
        <f t="shared" si="1"/>
        <v>446</v>
      </c>
      <c r="R56" s="8"/>
      <c r="T56"/>
    </row>
    <row r="57" spans="2:20" ht="23.1" customHeight="1" x14ac:dyDescent="0.25">
      <c r="B57" s="23" t="s">
        <v>84</v>
      </c>
      <c r="C57" s="50">
        <v>80</v>
      </c>
      <c r="D57" s="50">
        <v>20</v>
      </c>
      <c r="E57" s="50">
        <v>0</v>
      </c>
      <c r="F57" s="50">
        <v>45</v>
      </c>
      <c r="G57" s="50">
        <v>3</v>
      </c>
      <c r="H57" s="50">
        <v>0</v>
      </c>
      <c r="I57" s="50">
        <v>2</v>
      </c>
      <c r="J57" s="50">
        <v>1</v>
      </c>
      <c r="K57" s="50">
        <v>0</v>
      </c>
      <c r="L57" s="50">
        <v>0</v>
      </c>
      <c r="M57" s="50">
        <v>195</v>
      </c>
      <c r="N57" s="50">
        <v>0</v>
      </c>
      <c r="O57" s="15">
        <f t="shared" si="0"/>
        <v>151</v>
      </c>
      <c r="P57" s="15">
        <f t="shared" si="1"/>
        <v>346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4201</v>
      </c>
      <c r="D58" s="16">
        <f t="shared" si="21"/>
        <v>421</v>
      </c>
      <c r="E58" s="16">
        <f t="shared" si="21"/>
        <v>442</v>
      </c>
      <c r="F58" s="16">
        <f t="shared" si="21"/>
        <v>699</v>
      </c>
      <c r="G58" s="16">
        <f t="shared" si="21"/>
        <v>26</v>
      </c>
      <c r="H58" s="16">
        <f t="shared" si="21"/>
        <v>3</v>
      </c>
      <c r="I58" s="16">
        <f t="shared" si="21"/>
        <v>252</v>
      </c>
      <c r="J58" s="16">
        <f t="shared" si="21"/>
        <v>142</v>
      </c>
      <c r="K58" s="16">
        <f t="shared" si="21"/>
        <v>36</v>
      </c>
      <c r="L58" s="16">
        <f t="shared" si="21"/>
        <v>14</v>
      </c>
      <c r="M58" s="16">
        <f t="shared" si="21"/>
        <v>10075</v>
      </c>
      <c r="N58" s="16">
        <f t="shared" si="21"/>
        <v>0</v>
      </c>
      <c r="O58" s="16">
        <f t="shared" si="21"/>
        <v>6236</v>
      </c>
      <c r="P58" s="16">
        <f t="shared" si="21"/>
        <v>16311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0.25755625038317698</v>
      </c>
      <c r="D59" s="43">
        <f t="shared" si="22"/>
        <v>2.5810802525902767E-2</v>
      </c>
      <c r="E59" s="43">
        <f t="shared" si="22"/>
        <v>2.7098277236220956E-2</v>
      </c>
      <c r="F59" s="43">
        <f t="shared" si="22"/>
        <v>4.2854515357734047E-2</v>
      </c>
      <c r="G59" s="43">
        <f t="shared" si="22"/>
        <v>1.5940163080129975E-3</v>
      </c>
      <c r="H59" s="43">
        <f t="shared" si="22"/>
        <v>1.839249586168843E-4</v>
      </c>
      <c r="I59" s="43">
        <f t="shared" si="22"/>
        <v>1.5449696523818283E-2</v>
      </c>
      <c r="J59" s="43">
        <f t="shared" si="22"/>
        <v>8.705781374532524E-3</v>
      </c>
      <c r="K59" s="43">
        <f t="shared" si="22"/>
        <v>2.2070995034026118E-3</v>
      </c>
      <c r="L59" s="43">
        <f t="shared" si="22"/>
        <v>8.5831647354546014E-4</v>
      </c>
      <c r="M59" s="43">
        <f t="shared" si="22"/>
        <v>0.61768131935503645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0.67366901860166772</v>
      </c>
      <c r="D60" s="44">
        <f t="shared" ref="D60:N60" si="23">D58/$O$58</f>
        <v>6.7511225144323284E-2</v>
      </c>
      <c r="E60" s="44">
        <f t="shared" si="23"/>
        <v>7.0878768441308526E-2</v>
      </c>
      <c r="F60" s="44">
        <f t="shared" si="23"/>
        <v>0.11209108402822322</v>
      </c>
      <c r="G60" s="44">
        <f t="shared" si="23"/>
        <v>4.1693393200769721E-3</v>
      </c>
      <c r="H60" s="44">
        <f t="shared" si="23"/>
        <v>4.8107761385503527E-4</v>
      </c>
      <c r="I60" s="44">
        <f t="shared" si="23"/>
        <v>4.0410519563822966E-2</v>
      </c>
      <c r="J60" s="44">
        <f t="shared" si="23"/>
        <v>2.2771007055805002E-2</v>
      </c>
      <c r="K60" s="44">
        <f t="shared" si="23"/>
        <v>5.7729313662604233E-3</v>
      </c>
      <c r="L60" s="44">
        <f t="shared" si="23"/>
        <v>2.2450288646568314E-3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'22.07 Lubiri -Ndeeba'!C3:G3</f>
        <v>MCC - C1 - STN03- KALINDA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71" t="str">
        <f>'22.07 Lubiri -Ndeeba'!G5:H5</f>
        <v>Before Shell</v>
      </c>
      <c r="H5" s="72"/>
      <c r="I5" s="14"/>
      <c r="J5" s="2" t="s">
        <v>5</v>
      </c>
      <c r="K5" s="71" t="str">
        <f>'22.07 Lubiri -Ndeeba'!K5:L5</f>
        <v>Maiso. M. Gadafi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'22.07 Lubiri -Ndeeba'!D6:E6</f>
        <v>Lubiri</v>
      </c>
      <c r="E6" s="72"/>
      <c r="F6" s="2" t="s">
        <v>2</v>
      </c>
      <c r="G6" s="71" t="str">
        <f>'22.07 Lubiri -Ndeeba'!G6:H6</f>
        <v>Ndeeba</v>
      </c>
      <c r="H6" s="72"/>
      <c r="J6" s="2" t="s">
        <v>21</v>
      </c>
      <c r="K6" s="71" t="str">
        <f>'22.07 Lubiri -Ndeeba'!K6:L6</f>
        <v>Denis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35</v>
      </c>
      <c r="D10" s="50">
        <v>5</v>
      </c>
      <c r="E10" s="50">
        <v>1</v>
      </c>
      <c r="F10" s="50">
        <v>4</v>
      </c>
      <c r="G10" s="50">
        <v>2</v>
      </c>
      <c r="H10" s="50">
        <v>0</v>
      </c>
      <c r="I10" s="50">
        <v>3</v>
      </c>
      <c r="J10" s="50">
        <v>1</v>
      </c>
      <c r="K10" s="50">
        <v>1</v>
      </c>
      <c r="L10" s="50">
        <v>0</v>
      </c>
      <c r="M10" s="50">
        <v>72</v>
      </c>
      <c r="N10" s="50">
        <v>0</v>
      </c>
      <c r="O10" s="15">
        <f t="shared" ref="O10:O57" si="0">SUM(C10:L10,N10)</f>
        <v>52</v>
      </c>
      <c r="P10" s="15">
        <f t="shared" ref="P10:P57" si="1">SUM(C10:N10)</f>
        <v>124</v>
      </c>
      <c r="R10" s="1" t="s">
        <v>6</v>
      </c>
      <c r="S10" s="17">
        <f t="shared" ref="S10:AF10" si="2">SUM(C10:C13)</f>
        <v>97</v>
      </c>
      <c r="T10" s="17">
        <f t="shared" si="2"/>
        <v>11</v>
      </c>
      <c r="U10" s="17">
        <f t="shared" si="2"/>
        <v>8</v>
      </c>
      <c r="V10" s="17">
        <f t="shared" si="2"/>
        <v>63</v>
      </c>
      <c r="W10" s="17">
        <f t="shared" si="2"/>
        <v>2</v>
      </c>
      <c r="X10" s="17">
        <f t="shared" si="2"/>
        <v>0</v>
      </c>
      <c r="Y10" s="17">
        <f t="shared" si="2"/>
        <v>10</v>
      </c>
      <c r="Z10" s="17">
        <f t="shared" si="2"/>
        <v>4</v>
      </c>
      <c r="AA10" s="17">
        <f t="shared" si="2"/>
        <v>2</v>
      </c>
      <c r="AB10" s="17">
        <f t="shared" si="2"/>
        <v>0</v>
      </c>
      <c r="AC10" s="17">
        <f t="shared" si="2"/>
        <v>554</v>
      </c>
      <c r="AD10" s="17">
        <f t="shared" si="2"/>
        <v>0</v>
      </c>
      <c r="AE10" s="31">
        <f t="shared" si="2"/>
        <v>197</v>
      </c>
      <c r="AF10" s="31">
        <f t="shared" si="2"/>
        <v>751</v>
      </c>
    </row>
    <row r="11" spans="2:32" s="6" customFormat="1" ht="23.1" customHeight="1" x14ac:dyDescent="0.25">
      <c r="B11" s="23" t="s">
        <v>38</v>
      </c>
      <c r="C11" s="50">
        <v>27</v>
      </c>
      <c r="D11" s="50">
        <v>3</v>
      </c>
      <c r="E11" s="50">
        <v>2</v>
      </c>
      <c r="F11" s="50">
        <v>19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108</v>
      </c>
      <c r="N11" s="50">
        <v>0</v>
      </c>
      <c r="O11" s="15">
        <f t="shared" si="0"/>
        <v>53</v>
      </c>
      <c r="P11" s="15">
        <f t="shared" si="1"/>
        <v>161</v>
      </c>
      <c r="R11" s="1" t="s">
        <v>7</v>
      </c>
      <c r="S11" s="17">
        <f t="shared" ref="S11:AF11" si="3">SUM(C14:C17)</f>
        <v>77</v>
      </c>
      <c r="T11" s="17">
        <f t="shared" si="3"/>
        <v>11</v>
      </c>
      <c r="U11" s="17">
        <f t="shared" si="3"/>
        <v>7</v>
      </c>
      <c r="V11" s="17">
        <f t="shared" si="3"/>
        <v>86</v>
      </c>
      <c r="W11" s="17">
        <f t="shared" si="3"/>
        <v>3</v>
      </c>
      <c r="X11" s="17">
        <f t="shared" si="3"/>
        <v>0</v>
      </c>
      <c r="Y11" s="17">
        <f t="shared" si="3"/>
        <v>12</v>
      </c>
      <c r="Z11" s="17">
        <f t="shared" si="3"/>
        <v>16</v>
      </c>
      <c r="AA11" s="17">
        <f t="shared" si="3"/>
        <v>0</v>
      </c>
      <c r="AB11" s="17">
        <f t="shared" si="3"/>
        <v>0</v>
      </c>
      <c r="AC11" s="17">
        <f t="shared" si="3"/>
        <v>1092</v>
      </c>
      <c r="AD11" s="17">
        <f t="shared" si="3"/>
        <v>0</v>
      </c>
      <c r="AE11" s="31">
        <f t="shared" si="3"/>
        <v>212</v>
      </c>
      <c r="AF11" s="31">
        <f t="shared" si="3"/>
        <v>1304</v>
      </c>
    </row>
    <row r="12" spans="2:32" ht="23.1" customHeight="1" x14ac:dyDescent="0.25">
      <c r="B12" s="23" t="s">
        <v>39</v>
      </c>
      <c r="C12" s="50">
        <v>23</v>
      </c>
      <c r="D12" s="50">
        <v>2</v>
      </c>
      <c r="E12" s="50">
        <v>1</v>
      </c>
      <c r="F12" s="50">
        <v>23</v>
      </c>
      <c r="G12" s="50">
        <v>0</v>
      </c>
      <c r="H12" s="50">
        <v>0</v>
      </c>
      <c r="I12" s="50">
        <v>2</v>
      </c>
      <c r="J12" s="50">
        <v>1</v>
      </c>
      <c r="K12" s="50">
        <v>1</v>
      </c>
      <c r="L12" s="50">
        <v>0</v>
      </c>
      <c r="M12" s="50">
        <v>180</v>
      </c>
      <c r="N12" s="50">
        <v>0</v>
      </c>
      <c r="O12" s="15">
        <f t="shared" si="0"/>
        <v>53</v>
      </c>
      <c r="P12" s="15">
        <f t="shared" si="1"/>
        <v>233</v>
      </c>
      <c r="R12" s="1" t="s">
        <v>8</v>
      </c>
      <c r="S12" s="17">
        <f t="shared" ref="S12:AF12" si="4">SUM(C18:C21)</f>
        <v>94</v>
      </c>
      <c r="T12" s="17">
        <f t="shared" si="4"/>
        <v>15</v>
      </c>
      <c r="U12" s="17">
        <f t="shared" si="4"/>
        <v>13</v>
      </c>
      <c r="V12" s="17">
        <f t="shared" si="4"/>
        <v>86</v>
      </c>
      <c r="W12" s="17">
        <f t="shared" si="4"/>
        <v>1</v>
      </c>
      <c r="X12" s="17">
        <f t="shared" si="4"/>
        <v>0</v>
      </c>
      <c r="Y12" s="17">
        <f t="shared" si="4"/>
        <v>19</v>
      </c>
      <c r="Z12" s="17">
        <f t="shared" si="4"/>
        <v>11</v>
      </c>
      <c r="AA12" s="17">
        <f t="shared" si="4"/>
        <v>2</v>
      </c>
      <c r="AB12" s="17">
        <f t="shared" si="4"/>
        <v>1</v>
      </c>
      <c r="AC12" s="17">
        <f t="shared" si="4"/>
        <v>1674</v>
      </c>
      <c r="AD12" s="17">
        <f t="shared" si="4"/>
        <v>0</v>
      </c>
      <c r="AE12" s="31">
        <f t="shared" si="4"/>
        <v>242</v>
      </c>
      <c r="AF12" s="31">
        <f t="shared" si="4"/>
        <v>1916</v>
      </c>
    </row>
    <row r="13" spans="2:32" ht="23.1" customHeight="1" x14ac:dyDescent="0.25">
      <c r="B13" s="23" t="s">
        <v>40</v>
      </c>
      <c r="C13" s="50">
        <v>12</v>
      </c>
      <c r="D13" s="50">
        <v>1</v>
      </c>
      <c r="E13" s="50">
        <v>4</v>
      </c>
      <c r="F13" s="50">
        <v>17</v>
      </c>
      <c r="G13" s="50">
        <v>0</v>
      </c>
      <c r="H13" s="50">
        <v>0</v>
      </c>
      <c r="I13" s="50">
        <v>4</v>
      </c>
      <c r="J13" s="50">
        <v>1</v>
      </c>
      <c r="K13" s="50">
        <v>0</v>
      </c>
      <c r="L13" s="50">
        <v>0</v>
      </c>
      <c r="M13" s="50">
        <v>194</v>
      </c>
      <c r="N13" s="50">
        <v>0</v>
      </c>
      <c r="O13" s="15">
        <f t="shared" si="0"/>
        <v>39</v>
      </c>
      <c r="P13" s="15">
        <f t="shared" si="1"/>
        <v>233</v>
      </c>
      <c r="R13" s="1" t="s">
        <v>9</v>
      </c>
      <c r="S13" s="17">
        <f t="shared" ref="S13:AF13" si="5">SUM(C22:C25)</f>
        <v>118</v>
      </c>
      <c r="T13" s="17">
        <f t="shared" si="5"/>
        <v>25</v>
      </c>
      <c r="U13" s="17">
        <f t="shared" si="5"/>
        <v>20</v>
      </c>
      <c r="V13" s="17">
        <f t="shared" si="5"/>
        <v>68</v>
      </c>
      <c r="W13" s="17">
        <f t="shared" si="5"/>
        <v>5</v>
      </c>
      <c r="X13" s="17">
        <f t="shared" si="5"/>
        <v>0</v>
      </c>
      <c r="Y13" s="17">
        <f t="shared" si="5"/>
        <v>28</v>
      </c>
      <c r="Z13" s="17">
        <f t="shared" si="5"/>
        <v>18</v>
      </c>
      <c r="AA13" s="17">
        <f t="shared" si="5"/>
        <v>1</v>
      </c>
      <c r="AB13" s="17">
        <f t="shared" si="5"/>
        <v>5</v>
      </c>
      <c r="AC13" s="17">
        <f t="shared" si="5"/>
        <v>1134</v>
      </c>
      <c r="AD13" s="17">
        <f t="shared" si="5"/>
        <v>1</v>
      </c>
      <c r="AE13" s="31">
        <f t="shared" si="5"/>
        <v>289</v>
      </c>
      <c r="AF13" s="31">
        <f t="shared" si="5"/>
        <v>1423</v>
      </c>
    </row>
    <row r="14" spans="2:32" ht="23.1" customHeight="1" x14ac:dyDescent="0.25">
      <c r="B14" s="23" t="s">
        <v>41</v>
      </c>
      <c r="C14" s="50">
        <v>21</v>
      </c>
      <c r="D14" s="50">
        <v>4</v>
      </c>
      <c r="E14" s="50">
        <v>3</v>
      </c>
      <c r="F14" s="50">
        <v>22</v>
      </c>
      <c r="G14" s="50">
        <v>0</v>
      </c>
      <c r="H14" s="50">
        <v>0</v>
      </c>
      <c r="I14" s="50">
        <v>1</v>
      </c>
      <c r="J14" s="50">
        <v>3</v>
      </c>
      <c r="K14" s="50">
        <v>0</v>
      </c>
      <c r="L14" s="50">
        <v>0</v>
      </c>
      <c r="M14" s="50">
        <v>240</v>
      </c>
      <c r="N14" s="50">
        <v>0</v>
      </c>
      <c r="O14" s="15">
        <f t="shared" si="0"/>
        <v>54</v>
      </c>
      <c r="P14" s="15">
        <f t="shared" si="1"/>
        <v>294</v>
      </c>
      <c r="R14" s="1" t="s">
        <v>10</v>
      </c>
      <c r="S14" s="17">
        <f t="shared" ref="S14:AF14" si="6">SUM(C26:C29)</f>
        <v>128</v>
      </c>
      <c r="T14" s="17">
        <f t="shared" si="6"/>
        <v>17</v>
      </c>
      <c r="U14" s="17">
        <f t="shared" si="6"/>
        <v>17</v>
      </c>
      <c r="V14" s="17">
        <f t="shared" si="6"/>
        <v>63</v>
      </c>
      <c r="W14" s="17">
        <f t="shared" si="6"/>
        <v>1</v>
      </c>
      <c r="X14" s="17">
        <f t="shared" si="6"/>
        <v>0</v>
      </c>
      <c r="Y14" s="17">
        <f t="shared" si="6"/>
        <v>34</v>
      </c>
      <c r="Z14" s="17">
        <f t="shared" si="6"/>
        <v>25</v>
      </c>
      <c r="AA14" s="17">
        <f t="shared" si="6"/>
        <v>1</v>
      </c>
      <c r="AB14" s="17">
        <f t="shared" si="6"/>
        <v>1</v>
      </c>
      <c r="AC14" s="17">
        <f t="shared" si="6"/>
        <v>1086</v>
      </c>
      <c r="AD14" s="17">
        <f t="shared" si="6"/>
        <v>0</v>
      </c>
      <c r="AE14" s="31">
        <f t="shared" si="6"/>
        <v>287</v>
      </c>
      <c r="AF14" s="31">
        <f t="shared" si="6"/>
        <v>1373</v>
      </c>
    </row>
    <row r="15" spans="2:32" ht="23.1" customHeight="1" x14ac:dyDescent="0.25">
      <c r="B15" s="23" t="s">
        <v>42</v>
      </c>
      <c r="C15" s="50">
        <v>25</v>
      </c>
      <c r="D15" s="50">
        <v>2</v>
      </c>
      <c r="E15" s="50">
        <v>2</v>
      </c>
      <c r="F15" s="50">
        <v>25</v>
      </c>
      <c r="G15" s="50">
        <v>1</v>
      </c>
      <c r="H15" s="50">
        <v>0</v>
      </c>
      <c r="I15" s="50">
        <v>4</v>
      </c>
      <c r="J15" s="50">
        <v>5</v>
      </c>
      <c r="K15" s="50">
        <v>0</v>
      </c>
      <c r="L15" s="50">
        <v>0</v>
      </c>
      <c r="M15" s="50">
        <v>285</v>
      </c>
      <c r="N15" s="50">
        <v>0</v>
      </c>
      <c r="O15" s="15">
        <f t="shared" si="0"/>
        <v>64</v>
      </c>
      <c r="P15" s="15">
        <f t="shared" si="1"/>
        <v>349</v>
      </c>
      <c r="R15" s="1" t="s">
        <v>11</v>
      </c>
      <c r="S15" s="17">
        <f t="shared" ref="S15:AF15" si="7">SUM(C30:C33)</f>
        <v>154</v>
      </c>
      <c r="T15" s="17">
        <f t="shared" si="7"/>
        <v>26</v>
      </c>
      <c r="U15" s="17">
        <f t="shared" si="7"/>
        <v>22</v>
      </c>
      <c r="V15" s="17">
        <f t="shared" si="7"/>
        <v>57</v>
      </c>
      <c r="W15" s="17">
        <f t="shared" si="7"/>
        <v>3</v>
      </c>
      <c r="X15" s="17">
        <f t="shared" si="7"/>
        <v>1</v>
      </c>
      <c r="Y15" s="17">
        <f t="shared" si="7"/>
        <v>22</v>
      </c>
      <c r="Z15" s="17">
        <f t="shared" si="7"/>
        <v>19</v>
      </c>
      <c r="AA15" s="17">
        <f t="shared" si="7"/>
        <v>3</v>
      </c>
      <c r="AB15" s="17">
        <f t="shared" si="7"/>
        <v>2</v>
      </c>
      <c r="AC15" s="17">
        <f t="shared" si="7"/>
        <v>1185</v>
      </c>
      <c r="AD15" s="17">
        <f t="shared" si="7"/>
        <v>0</v>
      </c>
      <c r="AE15" s="31">
        <f t="shared" si="7"/>
        <v>309</v>
      </c>
      <c r="AF15" s="31">
        <f t="shared" si="7"/>
        <v>1494</v>
      </c>
    </row>
    <row r="16" spans="2:32" ht="23.1" customHeight="1" x14ac:dyDescent="0.25">
      <c r="B16" s="23" t="s">
        <v>43</v>
      </c>
      <c r="C16" s="50">
        <v>15</v>
      </c>
      <c r="D16" s="50">
        <v>1</v>
      </c>
      <c r="E16" s="50">
        <v>2</v>
      </c>
      <c r="F16" s="50">
        <v>24</v>
      </c>
      <c r="G16" s="50">
        <v>0</v>
      </c>
      <c r="H16" s="50">
        <v>0</v>
      </c>
      <c r="I16" s="50">
        <v>7</v>
      </c>
      <c r="J16" s="50">
        <v>3</v>
      </c>
      <c r="K16" s="50">
        <v>0</v>
      </c>
      <c r="L16" s="50">
        <v>0</v>
      </c>
      <c r="M16" s="50">
        <v>262</v>
      </c>
      <c r="N16" s="50">
        <v>0</v>
      </c>
      <c r="O16" s="15">
        <f t="shared" si="0"/>
        <v>52</v>
      </c>
      <c r="P16" s="15">
        <f t="shared" si="1"/>
        <v>314</v>
      </c>
      <c r="R16" s="1" t="s">
        <v>12</v>
      </c>
      <c r="S16" s="17">
        <f t="shared" ref="S16:AF16" si="8">SUM(C34:C37)</f>
        <v>127</v>
      </c>
      <c r="T16" s="17">
        <f t="shared" si="8"/>
        <v>24</v>
      </c>
      <c r="U16" s="17">
        <f t="shared" si="8"/>
        <v>16</v>
      </c>
      <c r="V16" s="17">
        <f t="shared" si="8"/>
        <v>46</v>
      </c>
      <c r="W16" s="17">
        <f t="shared" si="8"/>
        <v>0</v>
      </c>
      <c r="X16" s="17">
        <f t="shared" si="8"/>
        <v>0</v>
      </c>
      <c r="Y16" s="17">
        <f t="shared" si="8"/>
        <v>31</v>
      </c>
      <c r="Z16" s="17">
        <f t="shared" si="8"/>
        <v>13</v>
      </c>
      <c r="AA16" s="17">
        <f t="shared" si="8"/>
        <v>4</v>
      </c>
      <c r="AB16" s="17">
        <f t="shared" si="8"/>
        <v>2</v>
      </c>
      <c r="AC16" s="17">
        <f t="shared" si="8"/>
        <v>951</v>
      </c>
      <c r="AD16" s="17">
        <f t="shared" si="8"/>
        <v>0</v>
      </c>
      <c r="AE16" s="31">
        <f t="shared" si="8"/>
        <v>263</v>
      </c>
      <c r="AF16" s="31">
        <f t="shared" si="8"/>
        <v>1214</v>
      </c>
    </row>
    <row r="17" spans="2:32" ht="23.1" customHeight="1" x14ac:dyDescent="0.25">
      <c r="B17" s="23" t="s">
        <v>44</v>
      </c>
      <c r="C17" s="50">
        <v>16</v>
      </c>
      <c r="D17" s="50">
        <v>4</v>
      </c>
      <c r="E17" s="50">
        <v>0</v>
      </c>
      <c r="F17" s="50">
        <v>15</v>
      </c>
      <c r="G17" s="50">
        <v>2</v>
      </c>
      <c r="H17" s="50">
        <v>0</v>
      </c>
      <c r="I17" s="50">
        <v>0</v>
      </c>
      <c r="J17" s="50">
        <v>5</v>
      </c>
      <c r="K17" s="50">
        <v>0</v>
      </c>
      <c r="L17" s="50">
        <v>0</v>
      </c>
      <c r="M17" s="50">
        <v>305</v>
      </c>
      <c r="N17" s="50">
        <v>0</v>
      </c>
      <c r="O17" s="15">
        <f t="shared" si="0"/>
        <v>42</v>
      </c>
      <c r="P17" s="15">
        <f t="shared" si="1"/>
        <v>347</v>
      </c>
      <c r="R17" s="1" t="s">
        <v>13</v>
      </c>
      <c r="S17" s="17">
        <f t="shared" ref="S17:AF17" si="9">SUM(C38:C41)</f>
        <v>142</v>
      </c>
      <c r="T17" s="17">
        <f t="shared" si="9"/>
        <v>32</v>
      </c>
      <c r="U17" s="17">
        <f t="shared" si="9"/>
        <v>20</v>
      </c>
      <c r="V17" s="17">
        <f t="shared" si="9"/>
        <v>59</v>
      </c>
      <c r="W17" s="17">
        <f t="shared" si="9"/>
        <v>3</v>
      </c>
      <c r="X17" s="17">
        <f t="shared" si="9"/>
        <v>0</v>
      </c>
      <c r="Y17" s="17">
        <f t="shared" si="9"/>
        <v>26</v>
      </c>
      <c r="Z17" s="17">
        <f t="shared" si="9"/>
        <v>16</v>
      </c>
      <c r="AA17" s="17">
        <f t="shared" si="9"/>
        <v>1</v>
      </c>
      <c r="AB17" s="17">
        <f t="shared" si="9"/>
        <v>1</v>
      </c>
      <c r="AC17" s="17">
        <f t="shared" si="9"/>
        <v>788</v>
      </c>
      <c r="AD17" s="17">
        <f t="shared" si="9"/>
        <v>0</v>
      </c>
      <c r="AE17" s="31">
        <f t="shared" si="9"/>
        <v>300</v>
      </c>
      <c r="AF17" s="31">
        <f t="shared" si="9"/>
        <v>1088</v>
      </c>
    </row>
    <row r="18" spans="2:32" ht="23.1" customHeight="1" x14ac:dyDescent="0.25">
      <c r="B18" s="23" t="s">
        <v>45</v>
      </c>
      <c r="C18" s="50">
        <v>25</v>
      </c>
      <c r="D18" s="50">
        <v>4</v>
      </c>
      <c r="E18" s="50">
        <v>5</v>
      </c>
      <c r="F18" s="50">
        <v>16</v>
      </c>
      <c r="G18" s="50">
        <v>0</v>
      </c>
      <c r="H18" s="50">
        <v>0</v>
      </c>
      <c r="I18" s="50">
        <v>5</v>
      </c>
      <c r="J18" s="50">
        <v>4</v>
      </c>
      <c r="K18" s="50">
        <v>0</v>
      </c>
      <c r="L18" s="50">
        <v>1</v>
      </c>
      <c r="M18" s="50">
        <v>420</v>
      </c>
      <c r="N18" s="50">
        <v>0</v>
      </c>
      <c r="O18" s="15">
        <f t="shared" si="0"/>
        <v>60</v>
      </c>
      <c r="P18" s="15">
        <f t="shared" si="1"/>
        <v>480</v>
      </c>
      <c r="R18" s="1" t="s">
        <v>14</v>
      </c>
      <c r="S18" s="17">
        <f t="shared" ref="S18:AF18" si="10">SUM(C42:C45)</f>
        <v>149</v>
      </c>
      <c r="T18" s="17">
        <f t="shared" si="10"/>
        <v>24</v>
      </c>
      <c r="U18" s="17">
        <f t="shared" si="10"/>
        <v>19</v>
      </c>
      <c r="V18" s="17">
        <f t="shared" si="10"/>
        <v>56</v>
      </c>
      <c r="W18" s="17">
        <f t="shared" si="10"/>
        <v>3</v>
      </c>
      <c r="X18" s="17">
        <f t="shared" si="10"/>
        <v>0</v>
      </c>
      <c r="Y18" s="17">
        <f t="shared" si="10"/>
        <v>19</v>
      </c>
      <c r="Z18" s="17">
        <f t="shared" si="10"/>
        <v>20</v>
      </c>
      <c r="AA18" s="17">
        <f t="shared" si="10"/>
        <v>8</v>
      </c>
      <c r="AB18" s="17">
        <f t="shared" si="10"/>
        <v>3</v>
      </c>
      <c r="AC18" s="17">
        <f t="shared" si="10"/>
        <v>972</v>
      </c>
      <c r="AD18" s="17">
        <f t="shared" si="10"/>
        <v>1</v>
      </c>
      <c r="AE18" s="31">
        <f t="shared" si="10"/>
        <v>302</v>
      </c>
      <c r="AF18" s="31">
        <f t="shared" si="10"/>
        <v>1274</v>
      </c>
    </row>
    <row r="19" spans="2:32" ht="23.1" customHeight="1" x14ac:dyDescent="0.25">
      <c r="B19" s="23" t="s">
        <v>46</v>
      </c>
      <c r="C19" s="50">
        <v>16</v>
      </c>
      <c r="D19" s="50">
        <v>3</v>
      </c>
      <c r="E19" s="50">
        <v>0</v>
      </c>
      <c r="F19" s="50">
        <v>20</v>
      </c>
      <c r="G19" s="50">
        <v>0</v>
      </c>
      <c r="H19" s="50">
        <v>0</v>
      </c>
      <c r="I19" s="50">
        <v>3</v>
      </c>
      <c r="J19" s="50">
        <v>1</v>
      </c>
      <c r="K19" s="50">
        <v>2</v>
      </c>
      <c r="L19" s="50">
        <v>0</v>
      </c>
      <c r="M19" s="50">
        <v>473</v>
      </c>
      <c r="N19" s="50">
        <v>0</v>
      </c>
      <c r="O19" s="15">
        <f t="shared" si="0"/>
        <v>45</v>
      </c>
      <c r="P19" s="15">
        <f t="shared" si="1"/>
        <v>518</v>
      </c>
      <c r="R19" s="1" t="s">
        <v>15</v>
      </c>
      <c r="S19" s="17">
        <f t="shared" ref="S19:AF19" si="11">SUM(C46:C49)</f>
        <v>150</v>
      </c>
      <c r="T19" s="17">
        <f t="shared" si="11"/>
        <v>17</v>
      </c>
      <c r="U19" s="17">
        <f t="shared" si="11"/>
        <v>14</v>
      </c>
      <c r="V19" s="17">
        <f t="shared" si="11"/>
        <v>57</v>
      </c>
      <c r="W19" s="17">
        <f t="shared" si="11"/>
        <v>5</v>
      </c>
      <c r="X19" s="17">
        <f t="shared" si="11"/>
        <v>0</v>
      </c>
      <c r="Y19" s="17">
        <f t="shared" si="11"/>
        <v>24</v>
      </c>
      <c r="Z19" s="17">
        <f t="shared" si="11"/>
        <v>15</v>
      </c>
      <c r="AA19" s="17">
        <f t="shared" si="11"/>
        <v>2</v>
      </c>
      <c r="AB19" s="17">
        <f t="shared" si="11"/>
        <v>2</v>
      </c>
      <c r="AC19" s="17">
        <f t="shared" si="11"/>
        <v>1177</v>
      </c>
      <c r="AD19" s="17">
        <f t="shared" si="11"/>
        <v>0</v>
      </c>
      <c r="AE19" s="31">
        <f t="shared" si="11"/>
        <v>286</v>
      </c>
      <c r="AF19" s="31">
        <f t="shared" si="11"/>
        <v>1463</v>
      </c>
    </row>
    <row r="20" spans="2:32" ht="23.1" customHeight="1" x14ac:dyDescent="0.25">
      <c r="B20" s="23" t="s">
        <v>47</v>
      </c>
      <c r="C20" s="50">
        <v>29</v>
      </c>
      <c r="D20" s="50">
        <v>3</v>
      </c>
      <c r="E20" s="50">
        <v>3</v>
      </c>
      <c r="F20" s="50">
        <v>21</v>
      </c>
      <c r="G20" s="50">
        <v>0</v>
      </c>
      <c r="H20" s="50">
        <v>0</v>
      </c>
      <c r="I20" s="50">
        <v>4</v>
      </c>
      <c r="J20" s="50">
        <v>3</v>
      </c>
      <c r="K20" s="50">
        <v>0</v>
      </c>
      <c r="L20" s="50">
        <v>0</v>
      </c>
      <c r="M20" s="50">
        <v>394</v>
      </c>
      <c r="N20" s="50">
        <v>0</v>
      </c>
      <c r="O20" s="15">
        <f t="shared" si="0"/>
        <v>63</v>
      </c>
      <c r="P20" s="15">
        <f t="shared" si="1"/>
        <v>457</v>
      </c>
      <c r="R20" s="1" t="s">
        <v>16</v>
      </c>
      <c r="S20" s="17">
        <f t="shared" ref="S20:AF20" si="12">SUM(C50:C53)</f>
        <v>264</v>
      </c>
      <c r="T20" s="17">
        <f t="shared" si="12"/>
        <v>34</v>
      </c>
      <c r="U20" s="17">
        <f t="shared" si="12"/>
        <v>11</v>
      </c>
      <c r="V20" s="17">
        <f t="shared" si="12"/>
        <v>57</v>
      </c>
      <c r="W20" s="17">
        <f t="shared" si="12"/>
        <v>3</v>
      </c>
      <c r="X20" s="17">
        <f t="shared" si="12"/>
        <v>0</v>
      </c>
      <c r="Y20" s="17">
        <f t="shared" si="12"/>
        <v>19</v>
      </c>
      <c r="Z20" s="17">
        <f t="shared" si="12"/>
        <v>8</v>
      </c>
      <c r="AA20" s="17">
        <f t="shared" si="12"/>
        <v>2</v>
      </c>
      <c r="AB20" s="17">
        <f t="shared" si="12"/>
        <v>2</v>
      </c>
      <c r="AC20" s="17">
        <f t="shared" si="12"/>
        <v>1215</v>
      </c>
      <c r="AD20" s="17">
        <f t="shared" si="12"/>
        <v>0</v>
      </c>
      <c r="AE20" s="31">
        <f t="shared" si="12"/>
        <v>400</v>
      </c>
      <c r="AF20" s="31">
        <f t="shared" si="12"/>
        <v>1615</v>
      </c>
    </row>
    <row r="21" spans="2:32" ht="23.1" customHeight="1" x14ac:dyDescent="0.25">
      <c r="B21" s="23" t="s">
        <v>48</v>
      </c>
      <c r="C21" s="50">
        <v>24</v>
      </c>
      <c r="D21" s="50">
        <v>5</v>
      </c>
      <c r="E21" s="50">
        <v>5</v>
      </c>
      <c r="F21" s="50">
        <v>29</v>
      </c>
      <c r="G21" s="50">
        <v>1</v>
      </c>
      <c r="H21" s="50">
        <v>0</v>
      </c>
      <c r="I21" s="50">
        <v>7</v>
      </c>
      <c r="J21" s="50">
        <v>3</v>
      </c>
      <c r="K21" s="50">
        <v>0</v>
      </c>
      <c r="L21" s="50">
        <v>0</v>
      </c>
      <c r="M21" s="50">
        <v>387</v>
      </c>
      <c r="N21" s="50">
        <v>0</v>
      </c>
      <c r="O21" s="15">
        <f t="shared" si="0"/>
        <v>74</v>
      </c>
      <c r="P21" s="15">
        <f t="shared" si="1"/>
        <v>461</v>
      </c>
      <c r="R21" s="36" t="s">
        <v>20</v>
      </c>
      <c r="S21" s="34">
        <f t="shared" ref="S21:AF21" si="13">SUM(C54:C57)</f>
        <v>205</v>
      </c>
      <c r="T21" s="17">
        <f t="shared" si="13"/>
        <v>24</v>
      </c>
      <c r="U21" s="17">
        <f t="shared" si="13"/>
        <v>15</v>
      </c>
      <c r="V21" s="17">
        <f t="shared" si="13"/>
        <v>90</v>
      </c>
      <c r="W21" s="17">
        <f t="shared" si="13"/>
        <v>0</v>
      </c>
      <c r="X21" s="17">
        <f t="shared" si="13"/>
        <v>0</v>
      </c>
      <c r="Y21" s="17">
        <f t="shared" si="13"/>
        <v>21</v>
      </c>
      <c r="Z21" s="17">
        <f t="shared" si="13"/>
        <v>9</v>
      </c>
      <c r="AA21" s="17">
        <f t="shared" si="13"/>
        <v>0</v>
      </c>
      <c r="AB21" s="17">
        <f t="shared" si="13"/>
        <v>0</v>
      </c>
      <c r="AC21" s="17">
        <f t="shared" si="13"/>
        <v>998</v>
      </c>
      <c r="AD21" s="17">
        <f t="shared" si="13"/>
        <v>0</v>
      </c>
      <c r="AE21" s="31">
        <f t="shared" si="13"/>
        <v>364</v>
      </c>
      <c r="AF21" s="31">
        <f t="shared" si="13"/>
        <v>1362</v>
      </c>
    </row>
    <row r="22" spans="2:32" ht="23.1" customHeight="1" x14ac:dyDescent="0.25">
      <c r="B22" s="23" t="s">
        <v>49</v>
      </c>
      <c r="C22" s="50">
        <v>29</v>
      </c>
      <c r="D22" s="50">
        <v>9</v>
      </c>
      <c r="E22" s="50">
        <v>3</v>
      </c>
      <c r="F22" s="50">
        <v>20</v>
      </c>
      <c r="G22" s="50">
        <v>1</v>
      </c>
      <c r="H22" s="50">
        <v>0</v>
      </c>
      <c r="I22" s="50">
        <v>6</v>
      </c>
      <c r="J22" s="50">
        <v>5</v>
      </c>
      <c r="K22" s="50">
        <v>0</v>
      </c>
      <c r="L22" s="50">
        <v>0</v>
      </c>
      <c r="M22" s="50">
        <v>318</v>
      </c>
      <c r="N22" s="50">
        <v>0</v>
      </c>
      <c r="O22" s="15">
        <f t="shared" si="0"/>
        <v>73</v>
      </c>
      <c r="P22" s="15">
        <f t="shared" si="1"/>
        <v>391</v>
      </c>
      <c r="R22" s="38" t="s">
        <v>90</v>
      </c>
      <c r="S22" s="39">
        <f>MAX(S10:S12)</f>
        <v>97</v>
      </c>
      <c r="T22" s="39">
        <f t="shared" ref="T22:AF22" si="14">MAX(T10:T12)</f>
        <v>15</v>
      </c>
      <c r="U22" s="39">
        <f t="shared" si="14"/>
        <v>13</v>
      </c>
      <c r="V22" s="39">
        <f t="shared" si="14"/>
        <v>86</v>
      </c>
      <c r="W22" s="39">
        <f t="shared" si="14"/>
        <v>3</v>
      </c>
      <c r="X22" s="39">
        <f t="shared" si="14"/>
        <v>0</v>
      </c>
      <c r="Y22" s="39">
        <f t="shared" si="14"/>
        <v>19</v>
      </c>
      <c r="Z22" s="39">
        <f t="shared" si="14"/>
        <v>16</v>
      </c>
      <c r="AA22" s="39">
        <f t="shared" si="14"/>
        <v>2</v>
      </c>
      <c r="AB22" s="39">
        <f t="shared" si="14"/>
        <v>1</v>
      </c>
      <c r="AC22" s="39">
        <f t="shared" si="14"/>
        <v>1674</v>
      </c>
      <c r="AD22" s="39">
        <f t="shared" si="14"/>
        <v>0</v>
      </c>
      <c r="AE22" s="40">
        <f t="shared" si="14"/>
        <v>242</v>
      </c>
      <c r="AF22" s="40">
        <f t="shared" si="14"/>
        <v>1916</v>
      </c>
    </row>
    <row r="23" spans="2:32" ht="23.1" customHeight="1" x14ac:dyDescent="0.25">
      <c r="B23" s="23" t="s">
        <v>50</v>
      </c>
      <c r="C23" s="50">
        <v>31</v>
      </c>
      <c r="D23" s="50">
        <v>2</v>
      </c>
      <c r="E23" s="50">
        <v>7</v>
      </c>
      <c r="F23" s="50">
        <v>9</v>
      </c>
      <c r="G23" s="50">
        <v>2</v>
      </c>
      <c r="H23" s="50">
        <v>0</v>
      </c>
      <c r="I23" s="50">
        <v>7</v>
      </c>
      <c r="J23" s="50">
        <v>5</v>
      </c>
      <c r="K23" s="50">
        <v>0</v>
      </c>
      <c r="L23" s="50">
        <v>2</v>
      </c>
      <c r="M23" s="50">
        <v>305</v>
      </c>
      <c r="N23" s="50">
        <v>0</v>
      </c>
      <c r="O23" s="15">
        <f t="shared" si="0"/>
        <v>65</v>
      </c>
      <c r="P23" s="15">
        <f t="shared" si="1"/>
        <v>370</v>
      </c>
      <c r="R23" s="38" t="s">
        <v>91</v>
      </c>
      <c r="S23" s="39">
        <f>MAX(S13:S18)</f>
        <v>154</v>
      </c>
      <c r="T23" s="39">
        <f t="shared" ref="T23:AF23" si="15">MAX(T13:T18)</f>
        <v>32</v>
      </c>
      <c r="U23" s="39">
        <f t="shared" si="15"/>
        <v>22</v>
      </c>
      <c r="V23" s="39">
        <f t="shared" si="15"/>
        <v>68</v>
      </c>
      <c r="W23" s="39">
        <f t="shared" si="15"/>
        <v>5</v>
      </c>
      <c r="X23" s="39">
        <f t="shared" si="15"/>
        <v>1</v>
      </c>
      <c r="Y23" s="39">
        <f t="shared" si="15"/>
        <v>34</v>
      </c>
      <c r="Z23" s="39">
        <f t="shared" si="15"/>
        <v>25</v>
      </c>
      <c r="AA23" s="39">
        <f t="shared" si="15"/>
        <v>8</v>
      </c>
      <c r="AB23" s="39">
        <f t="shared" si="15"/>
        <v>5</v>
      </c>
      <c r="AC23" s="39">
        <f t="shared" si="15"/>
        <v>1185</v>
      </c>
      <c r="AD23" s="39">
        <f t="shared" si="15"/>
        <v>1</v>
      </c>
      <c r="AE23" s="40">
        <f t="shared" si="15"/>
        <v>309</v>
      </c>
      <c r="AF23" s="40">
        <f t="shared" si="15"/>
        <v>1494</v>
      </c>
    </row>
    <row r="24" spans="2:32" ht="23.1" customHeight="1" x14ac:dyDescent="0.25">
      <c r="B24" s="23" t="s">
        <v>51</v>
      </c>
      <c r="C24" s="50">
        <v>26</v>
      </c>
      <c r="D24" s="50">
        <v>7</v>
      </c>
      <c r="E24" s="50">
        <v>8</v>
      </c>
      <c r="F24" s="50">
        <v>18</v>
      </c>
      <c r="G24" s="50">
        <v>2</v>
      </c>
      <c r="H24" s="50">
        <v>0</v>
      </c>
      <c r="I24" s="50">
        <v>7</v>
      </c>
      <c r="J24" s="50">
        <v>1</v>
      </c>
      <c r="K24" s="50">
        <v>1</v>
      </c>
      <c r="L24" s="50">
        <v>2</v>
      </c>
      <c r="M24" s="50">
        <v>166</v>
      </c>
      <c r="N24" s="50">
        <v>0</v>
      </c>
      <c r="O24" s="15">
        <f t="shared" si="0"/>
        <v>72</v>
      </c>
      <c r="P24" s="15">
        <f t="shared" si="1"/>
        <v>238</v>
      </c>
      <c r="R24" s="38" t="s">
        <v>92</v>
      </c>
      <c r="S24" s="39">
        <f>MAX(S19:S21)</f>
        <v>264</v>
      </c>
      <c r="T24" s="39">
        <f t="shared" ref="T24:AF24" si="16">MAX(T19:T21)</f>
        <v>34</v>
      </c>
      <c r="U24" s="39">
        <f t="shared" si="16"/>
        <v>15</v>
      </c>
      <c r="V24" s="39">
        <f t="shared" si="16"/>
        <v>90</v>
      </c>
      <c r="W24" s="39">
        <f t="shared" si="16"/>
        <v>5</v>
      </c>
      <c r="X24" s="39">
        <f t="shared" si="16"/>
        <v>0</v>
      </c>
      <c r="Y24" s="39">
        <f t="shared" si="16"/>
        <v>24</v>
      </c>
      <c r="Z24" s="39">
        <f t="shared" si="16"/>
        <v>15</v>
      </c>
      <c r="AA24" s="39">
        <f t="shared" si="16"/>
        <v>2</v>
      </c>
      <c r="AB24" s="39">
        <f t="shared" si="16"/>
        <v>2</v>
      </c>
      <c r="AC24" s="39">
        <f t="shared" si="16"/>
        <v>1215</v>
      </c>
      <c r="AD24" s="39">
        <f t="shared" si="16"/>
        <v>0</v>
      </c>
      <c r="AE24" s="40">
        <f t="shared" si="16"/>
        <v>400</v>
      </c>
      <c r="AF24" s="40">
        <f t="shared" si="16"/>
        <v>1615</v>
      </c>
    </row>
    <row r="25" spans="2:32" ht="23.1" customHeight="1" x14ac:dyDescent="0.25">
      <c r="B25" s="23" t="s">
        <v>52</v>
      </c>
      <c r="C25" s="50">
        <v>32</v>
      </c>
      <c r="D25" s="50">
        <v>7</v>
      </c>
      <c r="E25" s="50">
        <v>2</v>
      </c>
      <c r="F25" s="50">
        <v>21</v>
      </c>
      <c r="G25" s="50">
        <v>0</v>
      </c>
      <c r="H25" s="50">
        <v>0</v>
      </c>
      <c r="I25" s="50">
        <v>8</v>
      </c>
      <c r="J25" s="50">
        <v>7</v>
      </c>
      <c r="K25" s="50">
        <v>0</v>
      </c>
      <c r="L25" s="50">
        <v>1</v>
      </c>
      <c r="M25" s="50">
        <v>345</v>
      </c>
      <c r="N25" s="50">
        <v>1</v>
      </c>
      <c r="O25" s="15">
        <f t="shared" si="0"/>
        <v>79</v>
      </c>
      <c r="P25" s="15">
        <f t="shared" si="1"/>
        <v>424</v>
      </c>
      <c r="R25" s="37" t="s">
        <v>85</v>
      </c>
      <c r="S25" s="35">
        <f t="shared" ref="S25:AF25" si="17">SUM(S10:S12)</f>
        <v>268</v>
      </c>
      <c r="T25" s="16">
        <f t="shared" si="17"/>
        <v>37</v>
      </c>
      <c r="U25" s="16">
        <f t="shared" si="17"/>
        <v>28</v>
      </c>
      <c r="V25" s="16">
        <f t="shared" si="17"/>
        <v>235</v>
      </c>
      <c r="W25" s="16">
        <f t="shared" si="17"/>
        <v>6</v>
      </c>
      <c r="X25" s="16">
        <f t="shared" si="17"/>
        <v>0</v>
      </c>
      <c r="Y25" s="16">
        <f t="shared" si="17"/>
        <v>41</v>
      </c>
      <c r="Z25" s="16">
        <f t="shared" si="17"/>
        <v>31</v>
      </c>
      <c r="AA25" s="16">
        <f t="shared" si="17"/>
        <v>4</v>
      </c>
      <c r="AB25" s="16">
        <f t="shared" si="17"/>
        <v>1</v>
      </c>
      <c r="AC25" s="16">
        <f t="shared" si="17"/>
        <v>3320</v>
      </c>
      <c r="AD25" s="16">
        <f t="shared" si="17"/>
        <v>0</v>
      </c>
      <c r="AE25" s="32">
        <f t="shared" si="17"/>
        <v>651</v>
      </c>
      <c r="AF25" s="32">
        <f t="shared" si="17"/>
        <v>3971</v>
      </c>
    </row>
    <row r="26" spans="2:32" ht="23.1" customHeight="1" x14ac:dyDescent="0.25">
      <c r="B26" s="23" t="s">
        <v>53</v>
      </c>
      <c r="C26" s="50">
        <v>34</v>
      </c>
      <c r="D26" s="50">
        <v>6</v>
      </c>
      <c r="E26" s="50">
        <v>2</v>
      </c>
      <c r="F26" s="50">
        <v>17</v>
      </c>
      <c r="G26" s="50">
        <v>0</v>
      </c>
      <c r="H26" s="50">
        <v>0</v>
      </c>
      <c r="I26" s="50">
        <v>10</v>
      </c>
      <c r="J26" s="50">
        <v>9</v>
      </c>
      <c r="K26" s="50">
        <v>0</v>
      </c>
      <c r="L26" s="50">
        <v>0</v>
      </c>
      <c r="M26" s="50">
        <v>220</v>
      </c>
      <c r="N26" s="50">
        <v>0</v>
      </c>
      <c r="O26" s="15">
        <f t="shared" si="0"/>
        <v>78</v>
      </c>
      <c r="P26" s="15">
        <f t="shared" si="1"/>
        <v>298</v>
      </c>
      <c r="R26" s="28" t="s">
        <v>86</v>
      </c>
      <c r="S26" s="16">
        <f t="shared" ref="S26:AF26" si="18">SUM(S13:S18)</f>
        <v>818</v>
      </c>
      <c r="T26" s="16">
        <f t="shared" si="18"/>
        <v>148</v>
      </c>
      <c r="U26" s="16">
        <f t="shared" si="18"/>
        <v>114</v>
      </c>
      <c r="V26" s="16">
        <f t="shared" si="18"/>
        <v>349</v>
      </c>
      <c r="W26" s="16">
        <f t="shared" si="18"/>
        <v>15</v>
      </c>
      <c r="X26" s="16">
        <f t="shared" si="18"/>
        <v>1</v>
      </c>
      <c r="Y26" s="16">
        <f t="shared" si="18"/>
        <v>160</v>
      </c>
      <c r="Z26" s="16">
        <f t="shared" si="18"/>
        <v>111</v>
      </c>
      <c r="AA26" s="16">
        <f t="shared" si="18"/>
        <v>18</v>
      </c>
      <c r="AB26" s="16">
        <f t="shared" si="18"/>
        <v>14</v>
      </c>
      <c r="AC26" s="16">
        <f t="shared" si="18"/>
        <v>6116</v>
      </c>
      <c r="AD26" s="16">
        <f t="shared" si="18"/>
        <v>2</v>
      </c>
      <c r="AE26" s="32">
        <f t="shared" si="18"/>
        <v>1750</v>
      </c>
      <c r="AF26" s="32">
        <f t="shared" si="18"/>
        <v>7866</v>
      </c>
    </row>
    <row r="27" spans="2:32" ht="23.1" customHeight="1" x14ac:dyDescent="0.25">
      <c r="B27" s="23" t="s">
        <v>54</v>
      </c>
      <c r="C27" s="50">
        <v>27</v>
      </c>
      <c r="D27" s="50">
        <v>1</v>
      </c>
      <c r="E27" s="50">
        <v>3</v>
      </c>
      <c r="F27" s="50">
        <v>12</v>
      </c>
      <c r="G27" s="50">
        <v>1</v>
      </c>
      <c r="H27" s="50">
        <v>0</v>
      </c>
      <c r="I27" s="50">
        <v>5</v>
      </c>
      <c r="J27" s="50">
        <v>5</v>
      </c>
      <c r="K27" s="50">
        <v>1</v>
      </c>
      <c r="L27" s="50">
        <v>0</v>
      </c>
      <c r="M27" s="50">
        <v>260</v>
      </c>
      <c r="N27" s="50">
        <v>0</v>
      </c>
      <c r="O27" s="15">
        <f t="shared" si="0"/>
        <v>55</v>
      </c>
      <c r="P27" s="15">
        <f t="shared" si="1"/>
        <v>315</v>
      </c>
      <c r="R27" s="29" t="s">
        <v>87</v>
      </c>
      <c r="S27" s="16">
        <f t="shared" ref="S27:AF27" si="19">SUM(S19:S21)</f>
        <v>619</v>
      </c>
      <c r="T27" s="16">
        <f t="shared" si="19"/>
        <v>75</v>
      </c>
      <c r="U27" s="16">
        <f t="shared" si="19"/>
        <v>40</v>
      </c>
      <c r="V27" s="16">
        <f t="shared" si="19"/>
        <v>204</v>
      </c>
      <c r="W27" s="16">
        <f t="shared" si="19"/>
        <v>8</v>
      </c>
      <c r="X27" s="16">
        <f t="shared" si="19"/>
        <v>0</v>
      </c>
      <c r="Y27" s="16">
        <f t="shared" si="19"/>
        <v>64</v>
      </c>
      <c r="Z27" s="16">
        <f t="shared" si="19"/>
        <v>32</v>
      </c>
      <c r="AA27" s="16">
        <f t="shared" si="19"/>
        <v>4</v>
      </c>
      <c r="AB27" s="16">
        <f t="shared" si="19"/>
        <v>4</v>
      </c>
      <c r="AC27" s="16">
        <f t="shared" si="19"/>
        <v>3390</v>
      </c>
      <c r="AD27" s="16">
        <f t="shared" si="19"/>
        <v>0</v>
      </c>
      <c r="AE27" s="32">
        <f t="shared" si="19"/>
        <v>1050</v>
      </c>
      <c r="AF27" s="32">
        <f t="shared" si="19"/>
        <v>4440</v>
      </c>
    </row>
    <row r="28" spans="2:32" ht="23.1" customHeight="1" x14ac:dyDescent="0.25">
      <c r="B28" s="23" t="s">
        <v>55</v>
      </c>
      <c r="C28" s="50">
        <v>30</v>
      </c>
      <c r="D28" s="50">
        <v>7</v>
      </c>
      <c r="E28" s="50">
        <v>4</v>
      </c>
      <c r="F28" s="50">
        <v>13</v>
      </c>
      <c r="G28" s="50">
        <v>0</v>
      </c>
      <c r="H28" s="50">
        <v>0</v>
      </c>
      <c r="I28" s="50">
        <v>7</v>
      </c>
      <c r="J28" s="50">
        <v>4</v>
      </c>
      <c r="K28" s="50">
        <v>0</v>
      </c>
      <c r="L28" s="50">
        <v>0</v>
      </c>
      <c r="M28" s="50">
        <v>236</v>
      </c>
      <c r="N28" s="50">
        <v>0</v>
      </c>
      <c r="O28" s="15">
        <f t="shared" si="0"/>
        <v>65</v>
      </c>
      <c r="P28" s="15">
        <f t="shared" si="1"/>
        <v>301</v>
      </c>
      <c r="R28" s="5" t="s">
        <v>17</v>
      </c>
      <c r="S28" s="16">
        <f t="shared" ref="S28:AF28" si="20">SUM(S10:S21)</f>
        <v>1705</v>
      </c>
      <c r="T28" s="16">
        <f t="shared" si="20"/>
        <v>260</v>
      </c>
      <c r="U28" s="16">
        <f t="shared" si="20"/>
        <v>182</v>
      </c>
      <c r="V28" s="16">
        <f t="shared" si="20"/>
        <v>788</v>
      </c>
      <c r="W28" s="16">
        <f t="shared" si="20"/>
        <v>29</v>
      </c>
      <c r="X28" s="16">
        <f t="shared" si="20"/>
        <v>1</v>
      </c>
      <c r="Y28" s="16">
        <f t="shared" si="20"/>
        <v>265</v>
      </c>
      <c r="Z28" s="16">
        <f t="shared" si="20"/>
        <v>174</v>
      </c>
      <c r="AA28" s="16">
        <f t="shared" si="20"/>
        <v>26</v>
      </c>
      <c r="AB28" s="16">
        <f t="shared" si="20"/>
        <v>19</v>
      </c>
      <c r="AC28" s="16">
        <f t="shared" si="20"/>
        <v>12826</v>
      </c>
      <c r="AD28" s="16">
        <f t="shared" si="20"/>
        <v>2</v>
      </c>
      <c r="AE28" s="32">
        <f t="shared" si="20"/>
        <v>3451</v>
      </c>
      <c r="AF28" s="32">
        <f t="shared" si="20"/>
        <v>16277</v>
      </c>
    </row>
    <row r="29" spans="2:32" ht="23.1" customHeight="1" x14ac:dyDescent="0.25">
      <c r="B29" s="23" t="s">
        <v>56</v>
      </c>
      <c r="C29" s="50">
        <v>37</v>
      </c>
      <c r="D29" s="50">
        <v>3</v>
      </c>
      <c r="E29" s="50">
        <v>8</v>
      </c>
      <c r="F29" s="50">
        <v>21</v>
      </c>
      <c r="G29" s="50">
        <v>0</v>
      </c>
      <c r="H29" s="50">
        <v>0</v>
      </c>
      <c r="I29" s="50">
        <v>12</v>
      </c>
      <c r="J29" s="50">
        <v>7</v>
      </c>
      <c r="K29" s="50">
        <v>0</v>
      </c>
      <c r="L29" s="50">
        <v>1</v>
      </c>
      <c r="M29" s="50">
        <v>370</v>
      </c>
      <c r="N29" s="50">
        <v>0</v>
      </c>
      <c r="O29" s="15">
        <f t="shared" si="0"/>
        <v>89</v>
      </c>
      <c r="P29" s="15">
        <f t="shared" si="1"/>
        <v>459</v>
      </c>
      <c r="R29"/>
      <c r="S29" s="20"/>
      <c r="T29" s="19"/>
    </row>
    <row r="30" spans="2:32" ht="23.1" customHeight="1" x14ac:dyDescent="0.25">
      <c r="B30" s="23" t="s">
        <v>57</v>
      </c>
      <c r="C30" s="50">
        <v>41</v>
      </c>
      <c r="D30" s="50">
        <v>7</v>
      </c>
      <c r="E30" s="50">
        <v>4</v>
      </c>
      <c r="F30" s="50">
        <v>13</v>
      </c>
      <c r="G30" s="50">
        <v>0</v>
      </c>
      <c r="H30" s="50">
        <v>0</v>
      </c>
      <c r="I30" s="50">
        <v>7</v>
      </c>
      <c r="J30" s="50">
        <v>3</v>
      </c>
      <c r="K30" s="50">
        <v>0</v>
      </c>
      <c r="L30" s="50">
        <v>0</v>
      </c>
      <c r="M30" s="50">
        <v>350</v>
      </c>
      <c r="N30" s="50">
        <v>0</v>
      </c>
      <c r="O30" s="15">
        <f t="shared" si="0"/>
        <v>75</v>
      </c>
      <c r="P30" s="15">
        <f t="shared" si="1"/>
        <v>425</v>
      </c>
    </row>
    <row r="31" spans="2:32" ht="23.1" customHeight="1" x14ac:dyDescent="0.25">
      <c r="B31" s="24" t="s">
        <v>58</v>
      </c>
      <c r="C31" s="50">
        <v>34</v>
      </c>
      <c r="D31" s="50">
        <v>6</v>
      </c>
      <c r="E31" s="50">
        <v>7</v>
      </c>
      <c r="F31" s="50">
        <v>10</v>
      </c>
      <c r="G31" s="50">
        <v>0</v>
      </c>
      <c r="H31" s="50">
        <v>0</v>
      </c>
      <c r="I31" s="50">
        <v>4</v>
      </c>
      <c r="J31" s="50">
        <v>8</v>
      </c>
      <c r="K31" s="50">
        <v>2</v>
      </c>
      <c r="L31" s="50">
        <v>1</v>
      </c>
      <c r="M31" s="50">
        <v>365</v>
      </c>
      <c r="N31" s="50">
        <v>0</v>
      </c>
      <c r="O31" s="15">
        <f t="shared" si="0"/>
        <v>72</v>
      </c>
      <c r="P31" s="15">
        <f t="shared" si="1"/>
        <v>437</v>
      </c>
    </row>
    <row r="32" spans="2:32" ht="23.1" customHeight="1" x14ac:dyDescent="0.25">
      <c r="B32" s="24" t="s">
        <v>59</v>
      </c>
      <c r="C32" s="50">
        <v>35</v>
      </c>
      <c r="D32" s="50">
        <v>7</v>
      </c>
      <c r="E32" s="50">
        <v>5</v>
      </c>
      <c r="F32" s="50">
        <v>21</v>
      </c>
      <c r="G32" s="50">
        <v>3</v>
      </c>
      <c r="H32" s="50">
        <v>1</v>
      </c>
      <c r="I32" s="50">
        <v>5</v>
      </c>
      <c r="J32" s="50">
        <v>5</v>
      </c>
      <c r="K32" s="50">
        <v>0</v>
      </c>
      <c r="L32" s="50">
        <v>1</v>
      </c>
      <c r="M32" s="50">
        <v>290</v>
      </c>
      <c r="N32" s="50">
        <v>0</v>
      </c>
      <c r="O32" s="15">
        <f t="shared" si="0"/>
        <v>83</v>
      </c>
      <c r="P32" s="15">
        <f t="shared" si="1"/>
        <v>373</v>
      </c>
    </row>
    <row r="33" spans="2:20" ht="23.1" customHeight="1" x14ac:dyDescent="0.25">
      <c r="B33" s="23" t="s">
        <v>60</v>
      </c>
      <c r="C33" s="50">
        <v>44</v>
      </c>
      <c r="D33" s="50">
        <v>6</v>
      </c>
      <c r="E33" s="50">
        <v>6</v>
      </c>
      <c r="F33" s="50">
        <v>13</v>
      </c>
      <c r="G33" s="50">
        <v>0</v>
      </c>
      <c r="H33" s="50">
        <v>0</v>
      </c>
      <c r="I33" s="50">
        <v>6</v>
      </c>
      <c r="J33" s="50">
        <v>3</v>
      </c>
      <c r="K33" s="50">
        <v>1</v>
      </c>
      <c r="L33" s="50">
        <v>0</v>
      </c>
      <c r="M33" s="50">
        <v>180</v>
      </c>
      <c r="N33" s="50">
        <v>0</v>
      </c>
      <c r="O33" s="15">
        <f t="shared" si="0"/>
        <v>79</v>
      </c>
      <c r="P33" s="15">
        <f t="shared" si="1"/>
        <v>259</v>
      </c>
    </row>
    <row r="34" spans="2:20" ht="23.1" customHeight="1" x14ac:dyDescent="0.25">
      <c r="B34" s="24" t="s">
        <v>61</v>
      </c>
      <c r="C34" s="50">
        <v>30</v>
      </c>
      <c r="D34" s="50">
        <v>7</v>
      </c>
      <c r="E34" s="50">
        <v>8</v>
      </c>
      <c r="F34" s="50">
        <v>17</v>
      </c>
      <c r="G34" s="50">
        <v>0</v>
      </c>
      <c r="H34" s="50">
        <v>0</v>
      </c>
      <c r="I34" s="50">
        <v>10</v>
      </c>
      <c r="J34" s="50">
        <v>6</v>
      </c>
      <c r="K34" s="50">
        <v>0</v>
      </c>
      <c r="L34" s="50">
        <v>0</v>
      </c>
      <c r="M34" s="50">
        <v>198</v>
      </c>
      <c r="N34" s="50">
        <v>0</v>
      </c>
      <c r="O34" s="15">
        <f t="shared" si="0"/>
        <v>78</v>
      </c>
      <c r="P34" s="15">
        <f t="shared" si="1"/>
        <v>276</v>
      </c>
    </row>
    <row r="35" spans="2:20" ht="23.1" customHeight="1" x14ac:dyDescent="0.25">
      <c r="B35" s="24" t="s">
        <v>62</v>
      </c>
      <c r="C35" s="50">
        <v>23</v>
      </c>
      <c r="D35" s="50">
        <v>6</v>
      </c>
      <c r="E35" s="50">
        <v>2</v>
      </c>
      <c r="F35" s="50">
        <v>10</v>
      </c>
      <c r="G35" s="50">
        <v>0</v>
      </c>
      <c r="H35" s="50">
        <v>0</v>
      </c>
      <c r="I35" s="50">
        <v>9</v>
      </c>
      <c r="J35" s="50">
        <v>2</v>
      </c>
      <c r="K35" s="50">
        <v>1</v>
      </c>
      <c r="L35" s="50">
        <v>1</v>
      </c>
      <c r="M35" s="50">
        <v>255</v>
      </c>
      <c r="N35" s="50">
        <v>0</v>
      </c>
      <c r="O35" s="15">
        <f t="shared" si="0"/>
        <v>54</v>
      </c>
      <c r="P35" s="15">
        <f t="shared" si="1"/>
        <v>309</v>
      </c>
    </row>
    <row r="36" spans="2:20" ht="23.1" customHeight="1" x14ac:dyDescent="0.25">
      <c r="B36" s="24" t="s">
        <v>63</v>
      </c>
      <c r="C36" s="50">
        <v>34</v>
      </c>
      <c r="D36" s="50">
        <v>8</v>
      </c>
      <c r="E36" s="50">
        <v>2</v>
      </c>
      <c r="F36" s="50">
        <v>12</v>
      </c>
      <c r="G36" s="50">
        <v>0</v>
      </c>
      <c r="H36" s="50">
        <v>0</v>
      </c>
      <c r="I36" s="50">
        <v>8</v>
      </c>
      <c r="J36" s="50">
        <v>3</v>
      </c>
      <c r="K36" s="50">
        <v>2</v>
      </c>
      <c r="L36" s="50">
        <v>0</v>
      </c>
      <c r="M36" s="50">
        <v>265</v>
      </c>
      <c r="N36" s="50">
        <v>0</v>
      </c>
      <c r="O36" s="15">
        <f t="shared" si="0"/>
        <v>69</v>
      </c>
      <c r="P36" s="15">
        <f t="shared" si="1"/>
        <v>334</v>
      </c>
    </row>
    <row r="37" spans="2:20" ht="23.1" customHeight="1" x14ac:dyDescent="0.25">
      <c r="B37" s="23" t="s">
        <v>64</v>
      </c>
      <c r="C37" s="50">
        <v>40</v>
      </c>
      <c r="D37" s="50">
        <v>3</v>
      </c>
      <c r="E37" s="50">
        <v>4</v>
      </c>
      <c r="F37" s="50">
        <v>7</v>
      </c>
      <c r="G37" s="50">
        <v>0</v>
      </c>
      <c r="H37" s="50">
        <v>0</v>
      </c>
      <c r="I37" s="50">
        <v>4</v>
      </c>
      <c r="J37" s="50">
        <v>2</v>
      </c>
      <c r="K37" s="50">
        <v>1</v>
      </c>
      <c r="L37" s="50">
        <v>1</v>
      </c>
      <c r="M37" s="50">
        <v>233</v>
      </c>
      <c r="N37" s="50">
        <v>0</v>
      </c>
      <c r="O37" s="15">
        <f t="shared" si="0"/>
        <v>62</v>
      </c>
      <c r="P37" s="15">
        <f t="shared" si="1"/>
        <v>295</v>
      </c>
    </row>
    <row r="38" spans="2:20" ht="23.1" customHeight="1" x14ac:dyDescent="0.25">
      <c r="B38" s="24" t="s">
        <v>65</v>
      </c>
      <c r="C38" s="50">
        <v>35</v>
      </c>
      <c r="D38" s="50">
        <v>15</v>
      </c>
      <c r="E38" s="50">
        <v>5</v>
      </c>
      <c r="F38" s="50">
        <v>13</v>
      </c>
      <c r="G38" s="50">
        <v>1</v>
      </c>
      <c r="H38" s="50">
        <v>0</v>
      </c>
      <c r="I38" s="50">
        <v>11</v>
      </c>
      <c r="J38" s="50">
        <v>6</v>
      </c>
      <c r="K38" s="50">
        <v>0</v>
      </c>
      <c r="L38" s="50">
        <v>0</v>
      </c>
      <c r="M38" s="50">
        <v>210</v>
      </c>
      <c r="N38" s="50">
        <v>0</v>
      </c>
      <c r="O38" s="15">
        <f t="shared" si="0"/>
        <v>86</v>
      </c>
      <c r="P38" s="15">
        <f t="shared" si="1"/>
        <v>296</v>
      </c>
    </row>
    <row r="39" spans="2:20" ht="23.1" customHeight="1" x14ac:dyDescent="0.25">
      <c r="B39" s="24" t="s">
        <v>66</v>
      </c>
      <c r="C39" s="50">
        <v>36</v>
      </c>
      <c r="D39" s="50">
        <v>7</v>
      </c>
      <c r="E39" s="50">
        <v>6</v>
      </c>
      <c r="F39" s="50">
        <v>11</v>
      </c>
      <c r="G39" s="50">
        <v>0</v>
      </c>
      <c r="H39" s="50">
        <v>0</v>
      </c>
      <c r="I39" s="50">
        <v>4</v>
      </c>
      <c r="J39" s="50">
        <v>3</v>
      </c>
      <c r="K39" s="50">
        <v>1</v>
      </c>
      <c r="L39" s="50">
        <v>0</v>
      </c>
      <c r="M39" s="50">
        <v>260</v>
      </c>
      <c r="N39" s="50">
        <v>0</v>
      </c>
      <c r="O39" s="15">
        <f t="shared" si="0"/>
        <v>68</v>
      </c>
      <c r="P39" s="15">
        <f t="shared" si="1"/>
        <v>328</v>
      </c>
    </row>
    <row r="40" spans="2:20" ht="23.1" customHeight="1" x14ac:dyDescent="0.25">
      <c r="B40" s="24" t="s">
        <v>67</v>
      </c>
      <c r="C40" s="50">
        <v>34</v>
      </c>
      <c r="D40" s="50">
        <v>2</v>
      </c>
      <c r="E40" s="50">
        <v>6</v>
      </c>
      <c r="F40" s="50">
        <v>13</v>
      </c>
      <c r="G40" s="50">
        <v>0</v>
      </c>
      <c r="H40" s="50">
        <v>0</v>
      </c>
      <c r="I40" s="50">
        <v>8</v>
      </c>
      <c r="J40" s="50">
        <v>4</v>
      </c>
      <c r="K40" s="50">
        <v>0</v>
      </c>
      <c r="L40" s="50">
        <v>1</v>
      </c>
      <c r="M40" s="50">
        <v>128</v>
      </c>
      <c r="N40" s="50">
        <v>0</v>
      </c>
      <c r="O40" s="15">
        <f t="shared" si="0"/>
        <v>68</v>
      </c>
      <c r="P40" s="15">
        <f t="shared" si="1"/>
        <v>196</v>
      </c>
    </row>
    <row r="41" spans="2:20" ht="23.1" customHeight="1" x14ac:dyDescent="0.25">
      <c r="B41" s="23" t="s">
        <v>68</v>
      </c>
      <c r="C41" s="50">
        <v>37</v>
      </c>
      <c r="D41" s="50">
        <v>8</v>
      </c>
      <c r="E41" s="50">
        <v>3</v>
      </c>
      <c r="F41" s="50">
        <v>22</v>
      </c>
      <c r="G41" s="50">
        <v>2</v>
      </c>
      <c r="H41" s="50">
        <v>0</v>
      </c>
      <c r="I41" s="50">
        <v>3</v>
      </c>
      <c r="J41" s="50">
        <v>3</v>
      </c>
      <c r="K41" s="50">
        <v>0</v>
      </c>
      <c r="L41" s="50">
        <v>0</v>
      </c>
      <c r="M41" s="50">
        <v>190</v>
      </c>
      <c r="N41" s="50">
        <v>0</v>
      </c>
      <c r="O41" s="15">
        <f t="shared" si="0"/>
        <v>78</v>
      </c>
      <c r="P41" s="15">
        <f t="shared" si="1"/>
        <v>268</v>
      </c>
    </row>
    <row r="42" spans="2:20" ht="23.1" customHeight="1" x14ac:dyDescent="0.25">
      <c r="B42" s="24" t="s">
        <v>69</v>
      </c>
      <c r="C42" s="50">
        <v>32</v>
      </c>
      <c r="D42" s="50">
        <v>4</v>
      </c>
      <c r="E42" s="50">
        <v>5</v>
      </c>
      <c r="F42" s="50">
        <v>18</v>
      </c>
      <c r="G42" s="50">
        <v>0</v>
      </c>
      <c r="H42" s="50">
        <v>0</v>
      </c>
      <c r="I42" s="50">
        <v>4</v>
      </c>
      <c r="J42" s="50">
        <v>4</v>
      </c>
      <c r="K42" s="50">
        <v>3</v>
      </c>
      <c r="L42" s="50">
        <v>1</v>
      </c>
      <c r="M42" s="50">
        <v>140</v>
      </c>
      <c r="N42" s="50">
        <v>0</v>
      </c>
      <c r="O42" s="15">
        <f t="shared" si="0"/>
        <v>71</v>
      </c>
      <c r="P42" s="15">
        <f t="shared" si="1"/>
        <v>211</v>
      </c>
    </row>
    <row r="43" spans="2:20" ht="23.1" customHeight="1" x14ac:dyDescent="0.25">
      <c r="B43" s="23" t="s">
        <v>70</v>
      </c>
      <c r="C43" s="50">
        <v>24</v>
      </c>
      <c r="D43" s="50">
        <v>8</v>
      </c>
      <c r="E43" s="50">
        <v>4</v>
      </c>
      <c r="F43" s="50">
        <v>9</v>
      </c>
      <c r="G43" s="50">
        <v>0</v>
      </c>
      <c r="H43" s="50">
        <v>0</v>
      </c>
      <c r="I43" s="50">
        <v>3</v>
      </c>
      <c r="J43" s="50">
        <v>1</v>
      </c>
      <c r="K43" s="50">
        <v>1</v>
      </c>
      <c r="L43" s="50">
        <v>0</v>
      </c>
      <c r="M43" s="50">
        <v>180</v>
      </c>
      <c r="N43" s="50">
        <v>0</v>
      </c>
      <c r="O43" s="15">
        <f t="shared" si="0"/>
        <v>50</v>
      </c>
      <c r="P43" s="15">
        <f t="shared" si="1"/>
        <v>230</v>
      </c>
    </row>
    <row r="44" spans="2:20" ht="23.1" customHeight="1" x14ac:dyDescent="0.25">
      <c r="B44" s="25" t="s">
        <v>71</v>
      </c>
      <c r="C44" s="50">
        <v>50</v>
      </c>
      <c r="D44" s="50">
        <v>5</v>
      </c>
      <c r="E44" s="50">
        <v>8</v>
      </c>
      <c r="F44" s="50">
        <v>21</v>
      </c>
      <c r="G44" s="50">
        <v>0</v>
      </c>
      <c r="H44" s="50">
        <v>0</v>
      </c>
      <c r="I44" s="50">
        <v>10</v>
      </c>
      <c r="J44" s="50">
        <v>11</v>
      </c>
      <c r="K44" s="50">
        <v>3</v>
      </c>
      <c r="L44" s="50">
        <v>2</v>
      </c>
      <c r="M44" s="50">
        <v>275</v>
      </c>
      <c r="N44" s="50">
        <v>0</v>
      </c>
      <c r="O44" s="15">
        <f t="shared" si="0"/>
        <v>110</v>
      </c>
      <c r="P44" s="15">
        <f t="shared" si="1"/>
        <v>385</v>
      </c>
    </row>
    <row r="45" spans="2:20" ht="23.1" customHeight="1" x14ac:dyDescent="0.25">
      <c r="B45" s="23" t="s">
        <v>72</v>
      </c>
      <c r="C45" s="50">
        <v>43</v>
      </c>
      <c r="D45" s="50">
        <v>7</v>
      </c>
      <c r="E45" s="50">
        <v>2</v>
      </c>
      <c r="F45" s="50">
        <v>8</v>
      </c>
      <c r="G45" s="50">
        <v>3</v>
      </c>
      <c r="H45" s="50">
        <v>0</v>
      </c>
      <c r="I45" s="50">
        <v>2</v>
      </c>
      <c r="J45" s="50">
        <v>4</v>
      </c>
      <c r="K45" s="50">
        <v>1</v>
      </c>
      <c r="L45" s="50">
        <v>0</v>
      </c>
      <c r="M45" s="50">
        <v>377</v>
      </c>
      <c r="N45" s="50">
        <v>1</v>
      </c>
      <c r="O45" s="15">
        <f t="shared" si="0"/>
        <v>71</v>
      </c>
      <c r="P45" s="15">
        <f t="shared" si="1"/>
        <v>448</v>
      </c>
    </row>
    <row r="46" spans="2:20" ht="23.1" customHeight="1" x14ac:dyDescent="0.25">
      <c r="B46" s="24" t="s">
        <v>73</v>
      </c>
      <c r="C46" s="50">
        <v>48</v>
      </c>
      <c r="D46" s="50">
        <v>4</v>
      </c>
      <c r="E46" s="50">
        <v>2</v>
      </c>
      <c r="F46" s="50">
        <v>25</v>
      </c>
      <c r="G46" s="50">
        <v>2</v>
      </c>
      <c r="H46" s="50">
        <v>0</v>
      </c>
      <c r="I46" s="50">
        <v>4</v>
      </c>
      <c r="J46" s="50">
        <v>3</v>
      </c>
      <c r="K46" s="50">
        <v>1</v>
      </c>
      <c r="L46" s="50">
        <v>1</v>
      </c>
      <c r="M46" s="50">
        <v>275</v>
      </c>
      <c r="N46" s="50">
        <v>0</v>
      </c>
      <c r="O46" s="15">
        <f t="shared" si="0"/>
        <v>90</v>
      </c>
      <c r="P46" s="15">
        <f t="shared" si="1"/>
        <v>365</v>
      </c>
      <c r="R46" s="8"/>
      <c r="T46"/>
    </row>
    <row r="47" spans="2:20" ht="23.1" customHeight="1" x14ac:dyDescent="0.25">
      <c r="B47" s="24" t="s">
        <v>74</v>
      </c>
      <c r="C47" s="50">
        <v>32</v>
      </c>
      <c r="D47" s="50">
        <v>1</v>
      </c>
      <c r="E47" s="50">
        <v>3</v>
      </c>
      <c r="F47" s="50">
        <v>13</v>
      </c>
      <c r="G47" s="50">
        <v>0</v>
      </c>
      <c r="H47" s="50">
        <v>0</v>
      </c>
      <c r="I47" s="50">
        <v>7</v>
      </c>
      <c r="J47" s="50">
        <v>4</v>
      </c>
      <c r="K47" s="50">
        <v>1</v>
      </c>
      <c r="L47" s="50">
        <v>1</v>
      </c>
      <c r="M47" s="50">
        <v>287</v>
      </c>
      <c r="N47" s="50">
        <v>0</v>
      </c>
      <c r="O47" s="15">
        <f t="shared" si="0"/>
        <v>62</v>
      </c>
      <c r="P47" s="15">
        <f t="shared" si="1"/>
        <v>349</v>
      </c>
      <c r="R47" s="8"/>
      <c r="T47"/>
    </row>
    <row r="48" spans="2:20" ht="23.1" customHeight="1" x14ac:dyDescent="0.25">
      <c r="B48" s="24" t="s">
        <v>75</v>
      </c>
      <c r="C48" s="50">
        <v>33</v>
      </c>
      <c r="D48" s="50">
        <v>9</v>
      </c>
      <c r="E48" s="50">
        <v>8</v>
      </c>
      <c r="F48" s="50">
        <v>10</v>
      </c>
      <c r="G48" s="50">
        <v>3</v>
      </c>
      <c r="H48" s="50">
        <v>0</v>
      </c>
      <c r="I48" s="50">
        <v>9</v>
      </c>
      <c r="J48" s="50">
        <v>5</v>
      </c>
      <c r="K48" s="50">
        <v>0</v>
      </c>
      <c r="L48" s="50">
        <v>0</v>
      </c>
      <c r="M48" s="50">
        <v>295</v>
      </c>
      <c r="N48" s="50">
        <v>0</v>
      </c>
      <c r="O48" s="15">
        <f t="shared" si="0"/>
        <v>77</v>
      </c>
      <c r="P48" s="15">
        <f t="shared" si="1"/>
        <v>372</v>
      </c>
      <c r="R48" s="8"/>
      <c r="T48"/>
    </row>
    <row r="49" spans="2:20" ht="23.1" customHeight="1" x14ac:dyDescent="0.25">
      <c r="B49" s="23" t="s">
        <v>76</v>
      </c>
      <c r="C49" s="50">
        <v>37</v>
      </c>
      <c r="D49" s="50">
        <v>3</v>
      </c>
      <c r="E49" s="50">
        <v>1</v>
      </c>
      <c r="F49" s="50">
        <v>9</v>
      </c>
      <c r="G49" s="50">
        <v>0</v>
      </c>
      <c r="H49" s="50">
        <v>0</v>
      </c>
      <c r="I49" s="50">
        <v>4</v>
      </c>
      <c r="J49" s="50">
        <v>3</v>
      </c>
      <c r="K49" s="50">
        <v>0</v>
      </c>
      <c r="L49" s="50">
        <v>0</v>
      </c>
      <c r="M49" s="50">
        <v>320</v>
      </c>
      <c r="N49" s="50">
        <v>0</v>
      </c>
      <c r="O49" s="15">
        <f t="shared" si="0"/>
        <v>57</v>
      </c>
      <c r="P49" s="15">
        <f t="shared" si="1"/>
        <v>377</v>
      </c>
      <c r="R49" s="8"/>
      <c r="T49"/>
    </row>
    <row r="50" spans="2:20" ht="23.1" customHeight="1" x14ac:dyDescent="0.25">
      <c r="B50" s="24" t="s">
        <v>77</v>
      </c>
      <c r="C50" s="50">
        <v>57</v>
      </c>
      <c r="D50" s="50">
        <v>12</v>
      </c>
      <c r="E50" s="50">
        <v>2</v>
      </c>
      <c r="F50" s="50">
        <v>12</v>
      </c>
      <c r="G50" s="50">
        <v>0</v>
      </c>
      <c r="H50" s="50">
        <v>0</v>
      </c>
      <c r="I50" s="50">
        <v>8</v>
      </c>
      <c r="J50" s="50">
        <v>4</v>
      </c>
      <c r="K50" s="50">
        <v>1</v>
      </c>
      <c r="L50" s="50">
        <v>0</v>
      </c>
      <c r="M50" s="50">
        <v>245</v>
      </c>
      <c r="N50" s="50">
        <v>0</v>
      </c>
      <c r="O50" s="15">
        <f t="shared" si="0"/>
        <v>96</v>
      </c>
      <c r="P50" s="15">
        <f t="shared" si="1"/>
        <v>341</v>
      </c>
      <c r="R50" s="8"/>
      <c r="T50"/>
    </row>
    <row r="51" spans="2:20" ht="23.1" customHeight="1" x14ac:dyDescent="0.25">
      <c r="B51" s="24" t="s">
        <v>78</v>
      </c>
      <c r="C51" s="50">
        <v>44</v>
      </c>
      <c r="D51" s="50">
        <v>12</v>
      </c>
      <c r="E51" s="50">
        <v>0</v>
      </c>
      <c r="F51" s="50">
        <v>10</v>
      </c>
      <c r="G51" s="50">
        <v>0</v>
      </c>
      <c r="H51" s="50">
        <v>0</v>
      </c>
      <c r="I51" s="50">
        <v>2</v>
      </c>
      <c r="J51" s="50">
        <v>2</v>
      </c>
      <c r="K51" s="50">
        <v>1</v>
      </c>
      <c r="L51" s="50">
        <v>1</v>
      </c>
      <c r="M51" s="50">
        <v>230</v>
      </c>
      <c r="N51" s="50">
        <v>0</v>
      </c>
      <c r="O51" s="15">
        <f t="shared" si="0"/>
        <v>72</v>
      </c>
      <c r="P51" s="15">
        <f t="shared" si="1"/>
        <v>302</v>
      </c>
      <c r="R51" s="8"/>
      <c r="T51"/>
    </row>
    <row r="52" spans="2:20" ht="23.1" customHeight="1" x14ac:dyDescent="0.25">
      <c r="B52" s="24" t="s">
        <v>79</v>
      </c>
      <c r="C52" s="50">
        <v>88</v>
      </c>
      <c r="D52" s="50">
        <v>6</v>
      </c>
      <c r="E52" s="50">
        <v>5</v>
      </c>
      <c r="F52" s="50">
        <v>20</v>
      </c>
      <c r="G52" s="50">
        <v>3</v>
      </c>
      <c r="H52" s="50">
        <v>0</v>
      </c>
      <c r="I52" s="50">
        <v>6</v>
      </c>
      <c r="J52" s="50">
        <v>2</v>
      </c>
      <c r="K52" s="50">
        <v>0</v>
      </c>
      <c r="L52" s="50">
        <v>1</v>
      </c>
      <c r="M52" s="50">
        <v>380</v>
      </c>
      <c r="N52" s="50">
        <v>0</v>
      </c>
      <c r="O52" s="15">
        <f t="shared" si="0"/>
        <v>131</v>
      </c>
      <c r="P52" s="15">
        <f t="shared" si="1"/>
        <v>511</v>
      </c>
      <c r="R52" s="8"/>
      <c r="T52"/>
    </row>
    <row r="53" spans="2:20" ht="23.1" customHeight="1" x14ac:dyDescent="0.25">
      <c r="B53" s="23" t="s">
        <v>80</v>
      </c>
      <c r="C53" s="50">
        <v>75</v>
      </c>
      <c r="D53" s="50">
        <v>4</v>
      </c>
      <c r="E53" s="50">
        <v>4</v>
      </c>
      <c r="F53" s="50">
        <v>15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360</v>
      </c>
      <c r="N53" s="50">
        <v>0</v>
      </c>
      <c r="O53" s="15">
        <f t="shared" si="0"/>
        <v>101</v>
      </c>
      <c r="P53" s="15">
        <f t="shared" si="1"/>
        <v>461</v>
      </c>
      <c r="R53" s="8"/>
      <c r="T53"/>
    </row>
    <row r="54" spans="2:20" ht="23.1" customHeight="1" x14ac:dyDescent="0.25">
      <c r="B54" s="23" t="s">
        <v>81</v>
      </c>
      <c r="C54" s="50">
        <v>65</v>
      </c>
      <c r="D54" s="50">
        <v>4</v>
      </c>
      <c r="E54" s="50">
        <v>5</v>
      </c>
      <c r="F54" s="50">
        <v>25</v>
      </c>
      <c r="G54" s="50">
        <v>0</v>
      </c>
      <c r="H54" s="50">
        <v>0</v>
      </c>
      <c r="I54" s="50">
        <v>4</v>
      </c>
      <c r="J54" s="50">
        <v>2</v>
      </c>
      <c r="K54" s="50">
        <v>0</v>
      </c>
      <c r="L54" s="50">
        <v>0</v>
      </c>
      <c r="M54" s="50">
        <v>250</v>
      </c>
      <c r="N54" s="50">
        <v>0</v>
      </c>
      <c r="O54" s="15">
        <f t="shared" si="0"/>
        <v>105</v>
      </c>
      <c r="P54" s="15">
        <f t="shared" si="1"/>
        <v>355</v>
      </c>
      <c r="R54" s="8"/>
      <c r="T54"/>
    </row>
    <row r="55" spans="2:20" ht="23.1" customHeight="1" x14ac:dyDescent="0.25">
      <c r="B55" s="23" t="s">
        <v>82</v>
      </c>
      <c r="C55" s="50">
        <v>57</v>
      </c>
      <c r="D55" s="50">
        <v>9</v>
      </c>
      <c r="E55" s="50">
        <v>4</v>
      </c>
      <c r="F55" s="50">
        <v>43</v>
      </c>
      <c r="G55" s="50">
        <v>0</v>
      </c>
      <c r="H55" s="50">
        <v>0</v>
      </c>
      <c r="I55" s="50">
        <v>9</v>
      </c>
      <c r="J55" s="50">
        <v>5</v>
      </c>
      <c r="K55" s="50">
        <v>0</v>
      </c>
      <c r="L55" s="50">
        <v>0</v>
      </c>
      <c r="M55" s="50">
        <v>285</v>
      </c>
      <c r="N55" s="50">
        <v>0</v>
      </c>
      <c r="O55" s="15">
        <f t="shared" si="0"/>
        <v>127</v>
      </c>
      <c r="P55" s="15">
        <f t="shared" si="1"/>
        <v>412</v>
      </c>
      <c r="R55" s="8"/>
      <c r="T55"/>
    </row>
    <row r="56" spans="2:20" ht="23.1" customHeight="1" x14ac:dyDescent="0.25">
      <c r="B56" s="23" t="s">
        <v>83</v>
      </c>
      <c r="C56" s="50">
        <v>45</v>
      </c>
      <c r="D56" s="50">
        <v>8</v>
      </c>
      <c r="E56" s="50">
        <v>4</v>
      </c>
      <c r="F56" s="50">
        <v>20</v>
      </c>
      <c r="G56" s="50">
        <v>0</v>
      </c>
      <c r="H56" s="50">
        <v>0</v>
      </c>
      <c r="I56" s="50">
        <v>5</v>
      </c>
      <c r="J56" s="50">
        <v>1</v>
      </c>
      <c r="K56" s="50">
        <v>0</v>
      </c>
      <c r="L56" s="50">
        <v>0</v>
      </c>
      <c r="M56" s="50">
        <v>253</v>
      </c>
      <c r="N56" s="50">
        <v>0</v>
      </c>
      <c r="O56" s="15">
        <f t="shared" si="0"/>
        <v>83</v>
      </c>
      <c r="P56" s="15">
        <f t="shared" si="1"/>
        <v>336</v>
      </c>
      <c r="R56" s="8"/>
      <c r="T56"/>
    </row>
    <row r="57" spans="2:20" ht="23.1" customHeight="1" x14ac:dyDescent="0.25">
      <c r="B57" s="23" t="s">
        <v>84</v>
      </c>
      <c r="C57" s="50">
        <v>38</v>
      </c>
      <c r="D57" s="50">
        <v>3</v>
      </c>
      <c r="E57" s="50">
        <v>2</v>
      </c>
      <c r="F57" s="50">
        <v>2</v>
      </c>
      <c r="G57" s="50">
        <v>0</v>
      </c>
      <c r="H57" s="50">
        <v>0</v>
      </c>
      <c r="I57" s="50">
        <v>3</v>
      </c>
      <c r="J57" s="50">
        <v>1</v>
      </c>
      <c r="K57" s="50">
        <v>0</v>
      </c>
      <c r="L57" s="50">
        <v>0</v>
      </c>
      <c r="M57" s="50">
        <v>210</v>
      </c>
      <c r="N57" s="50">
        <v>0</v>
      </c>
      <c r="O57" s="15">
        <f t="shared" si="0"/>
        <v>49</v>
      </c>
      <c r="P57" s="15">
        <f t="shared" si="1"/>
        <v>259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1705</v>
      </c>
      <c r="D58" s="16">
        <f t="shared" si="21"/>
        <v>260</v>
      </c>
      <c r="E58" s="16">
        <f t="shared" si="21"/>
        <v>182</v>
      </c>
      <c r="F58" s="16">
        <f t="shared" si="21"/>
        <v>788</v>
      </c>
      <c r="G58" s="16">
        <f t="shared" si="21"/>
        <v>29</v>
      </c>
      <c r="H58" s="16">
        <f t="shared" si="21"/>
        <v>1</v>
      </c>
      <c r="I58" s="16">
        <f t="shared" si="21"/>
        <v>265</v>
      </c>
      <c r="J58" s="16">
        <f t="shared" si="21"/>
        <v>174</v>
      </c>
      <c r="K58" s="16">
        <f t="shared" si="21"/>
        <v>26</v>
      </c>
      <c r="L58" s="16">
        <f t="shared" si="21"/>
        <v>19</v>
      </c>
      <c r="M58" s="16">
        <f t="shared" si="21"/>
        <v>12826</v>
      </c>
      <c r="N58" s="16">
        <f t="shared" si="21"/>
        <v>2</v>
      </c>
      <c r="O58" s="16">
        <f t="shared" si="21"/>
        <v>3451</v>
      </c>
      <c r="P58" s="16">
        <f t="shared" si="21"/>
        <v>16277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0.10474903237697364</v>
      </c>
      <c r="D59" s="43">
        <f t="shared" si="22"/>
        <v>1.5973459482705659E-2</v>
      </c>
      <c r="E59" s="43">
        <f t="shared" si="22"/>
        <v>1.118142163789396E-2</v>
      </c>
      <c r="F59" s="43">
        <f t="shared" si="22"/>
        <v>4.8411869509123302E-2</v>
      </c>
      <c r="G59" s="43">
        <f t="shared" si="22"/>
        <v>1.7816550961479388E-3</v>
      </c>
      <c r="H59" s="43">
        <f t="shared" si="22"/>
        <v>6.1436382625790995E-5</v>
      </c>
      <c r="I59" s="43">
        <f t="shared" si="22"/>
        <v>1.6280641395834614E-2</v>
      </c>
      <c r="J59" s="43">
        <f t="shared" si="22"/>
        <v>1.0689930576887633E-2</v>
      </c>
      <c r="K59" s="43">
        <f t="shared" si="22"/>
        <v>1.5973459482705658E-3</v>
      </c>
      <c r="L59" s="43">
        <f t="shared" si="22"/>
        <v>1.1672912698900289E-3</v>
      </c>
      <c r="M59" s="43">
        <f t="shared" si="22"/>
        <v>0.78798304355839532</v>
      </c>
      <c r="N59" s="43">
        <f t="shared" si="22"/>
        <v>1.2287276525158199E-4</v>
      </c>
      <c r="R59" s="8"/>
      <c r="T59"/>
    </row>
    <row r="60" spans="2:20" ht="23.1" customHeight="1" x14ac:dyDescent="0.25">
      <c r="B60" s="42" t="s">
        <v>94</v>
      </c>
      <c r="C60" s="44">
        <f>C58/$O$58</f>
        <v>0.49405969284265433</v>
      </c>
      <c r="D60" s="44">
        <f t="shared" ref="D60:N60" si="23">D58/$O$58</f>
        <v>7.5340481019994202E-2</v>
      </c>
      <c r="E60" s="44">
        <f t="shared" si="23"/>
        <v>5.2738336713995942E-2</v>
      </c>
      <c r="F60" s="44">
        <f t="shared" si="23"/>
        <v>0.22833961170675166</v>
      </c>
      <c r="G60" s="44">
        <f t="shared" si="23"/>
        <v>8.4033613445378148E-3</v>
      </c>
      <c r="H60" s="44">
        <f t="shared" si="23"/>
        <v>2.8977108084613158E-4</v>
      </c>
      <c r="I60" s="44">
        <f t="shared" si="23"/>
        <v>7.6789336424224863E-2</v>
      </c>
      <c r="J60" s="44">
        <f t="shared" si="23"/>
        <v>5.0420168067226892E-2</v>
      </c>
      <c r="K60" s="44">
        <f t="shared" si="23"/>
        <v>7.5340481019994208E-3</v>
      </c>
      <c r="L60" s="44">
        <f t="shared" si="23"/>
        <v>5.5056505360765E-3</v>
      </c>
      <c r="M60" s="44"/>
      <c r="N60" s="44">
        <f t="shared" si="23"/>
        <v>5.7954216169226315E-4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F13" sqref="F1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'22.07 Ndeeba-Lubiri'!C3:G3</f>
        <v>MCC - C1 - STN03- KALINDA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'24.07 Lubiri-Ndeeba'!D5</f>
        <v>24.07.19</v>
      </c>
      <c r="E5" s="3"/>
      <c r="F5" s="41" t="s">
        <v>1</v>
      </c>
      <c r="G5" s="71" t="str">
        <f>'22.07 Lubiri -Ndeeba'!G5:H5</f>
        <v>Before Shell</v>
      </c>
      <c r="H5" s="72"/>
      <c r="I5" s="14"/>
      <c r="J5" s="2" t="s">
        <v>5</v>
      </c>
      <c r="K5" s="71" t="s">
        <v>177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'22.07 Ndeeba-Lubiri'!D6:E6</f>
        <v>Ndeeba</v>
      </c>
      <c r="E6" s="72"/>
      <c r="F6" s="2" t="s">
        <v>2</v>
      </c>
      <c r="G6" s="71" t="str">
        <f>'22.07 Ndeeba-Lubiri'!G6:H6</f>
        <v>Lubiri</v>
      </c>
      <c r="H6" s="72"/>
      <c r="J6" s="2" t="s">
        <v>21</v>
      </c>
      <c r="K6" s="71" t="str">
        <f>'22.07 Lubiri -Ndeeba'!K6:L6</f>
        <v>Denis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85</v>
      </c>
      <c r="D10" s="50">
        <v>21</v>
      </c>
      <c r="E10" s="50">
        <v>13</v>
      </c>
      <c r="F10" s="50">
        <v>56</v>
      </c>
      <c r="G10" s="50">
        <v>0</v>
      </c>
      <c r="H10" s="50">
        <v>0</v>
      </c>
      <c r="I10" s="50">
        <v>5</v>
      </c>
      <c r="J10" s="50">
        <v>4</v>
      </c>
      <c r="K10" s="50">
        <v>0</v>
      </c>
      <c r="L10" s="50">
        <v>0</v>
      </c>
      <c r="M10" s="50">
        <v>175</v>
      </c>
      <c r="N10" s="50">
        <v>0</v>
      </c>
      <c r="O10" s="15">
        <f t="shared" ref="O10:O57" si="0">SUM(C10:L10,N10)</f>
        <v>184</v>
      </c>
      <c r="P10" s="15">
        <f t="shared" ref="P10:P57" si="1">SUM(C10:N10)</f>
        <v>359</v>
      </c>
      <c r="R10" s="1" t="s">
        <v>6</v>
      </c>
      <c r="S10" s="17">
        <f t="shared" ref="S10:AF10" si="2">SUM(C10:C13)</f>
        <v>470</v>
      </c>
      <c r="T10" s="17">
        <f t="shared" si="2"/>
        <v>69</v>
      </c>
      <c r="U10" s="17">
        <f t="shared" si="2"/>
        <v>49</v>
      </c>
      <c r="V10" s="17">
        <f t="shared" si="2"/>
        <v>204</v>
      </c>
      <c r="W10" s="17">
        <f t="shared" si="2"/>
        <v>2</v>
      </c>
      <c r="X10" s="17">
        <f t="shared" si="2"/>
        <v>0</v>
      </c>
      <c r="Y10" s="17">
        <f t="shared" si="2"/>
        <v>19</v>
      </c>
      <c r="Z10" s="17">
        <f t="shared" si="2"/>
        <v>9</v>
      </c>
      <c r="AA10" s="17">
        <f t="shared" si="2"/>
        <v>7</v>
      </c>
      <c r="AB10" s="17">
        <f t="shared" si="2"/>
        <v>1</v>
      </c>
      <c r="AC10" s="17">
        <f t="shared" si="2"/>
        <v>880</v>
      </c>
      <c r="AD10" s="17">
        <f t="shared" si="2"/>
        <v>0</v>
      </c>
      <c r="AE10" s="31">
        <f t="shared" si="2"/>
        <v>830</v>
      </c>
      <c r="AF10" s="31">
        <f t="shared" si="2"/>
        <v>1710</v>
      </c>
    </row>
    <row r="11" spans="2:32" s="6" customFormat="1" ht="23.1" customHeight="1" x14ac:dyDescent="0.25">
      <c r="B11" s="23" t="s">
        <v>38</v>
      </c>
      <c r="C11" s="50">
        <v>120</v>
      </c>
      <c r="D11" s="50">
        <v>22</v>
      </c>
      <c r="E11" s="50">
        <v>12</v>
      </c>
      <c r="F11" s="50">
        <v>48</v>
      </c>
      <c r="G11" s="50">
        <v>1</v>
      </c>
      <c r="H11" s="50">
        <v>0</v>
      </c>
      <c r="I11" s="50">
        <v>6</v>
      </c>
      <c r="J11" s="50">
        <v>1</v>
      </c>
      <c r="K11" s="50">
        <v>1</v>
      </c>
      <c r="L11" s="50">
        <v>0</v>
      </c>
      <c r="M11" s="50">
        <v>250</v>
      </c>
      <c r="N11" s="50">
        <v>0</v>
      </c>
      <c r="O11" s="15">
        <f t="shared" si="0"/>
        <v>211</v>
      </c>
      <c r="P11" s="15">
        <f t="shared" si="1"/>
        <v>461</v>
      </c>
      <c r="R11" s="1" t="s">
        <v>7</v>
      </c>
      <c r="S11" s="17">
        <f t="shared" ref="S11:AF11" si="3">SUM(C14:C17)</f>
        <v>465</v>
      </c>
      <c r="T11" s="17">
        <f t="shared" si="3"/>
        <v>50</v>
      </c>
      <c r="U11" s="17">
        <f t="shared" si="3"/>
        <v>30</v>
      </c>
      <c r="V11" s="17">
        <f t="shared" si="3"/>
        <v>154</v>
      </c>
      <c r="W11" s="17">
        <f t="shared" si="3"/>
        <v>3</v>
      </c>
      <c r="X11" s="17">
        <f t="shared" si="3"/>
        <v>0</v>
      </c>
      <c r="Y11" s="17">
        <f t="shared" si="3"/>
        <v>26</v>
      </c>
      <c r="Z11" s="17">
        <f t="shared" si="3"/>
        <v>12</v>
      </c>
      <c r="AA11" s="17">
        <f t="shared" si="3"/>
        <v>1</v>
      </c>
      <c r="AB11" s="17">
        <f t="shared" si="3"/>
        <v>2</v>
      </c>
      <c r="AC11" s="17">
        <f t="shared" si="3"/>
        <v>920</v>
      </c>
      <c r="AD11" s="17">
        <f t="shared" si="3"/>
        <v>0</v>
      </c>
      <c r="AE11" s="31">
        <f t="shared" si="3"/>
        <v>743</v>
      </c>
      <c r="AF11" s="31">
        <f t="shared" si="3"/>
        <v>1663</v>
      </c>
    </row>
    <row r="12" spans="2:32" ht="23.1" customHeight="1" x14ac:dyDescent="0.25">
      <c r="B12" s="23" t="s">
        <v>39</v>
      </c>
      <c r="C12" s="50">
        <v>135</v>
      </c>
      <c r="D12" s="50">
        <v>10</v>
      </c>
      <c r="E12" s="50">
        <v>11</v>
      </c>
      <c r="F12" s="50">
        <v>56</v>
      </c>
      <c r="G12" s="50">
        <v>0</v>
      </c>
      <c r="H12" s="50">
        <v>0</v>
      </c>
      <c r="I12" s="50">
        <v>5</v>
      </c>
      <c r="J12" s="50">
        <v>4</v>
      </c>
      <c r="K12" s="50">
        <v>6</v>
      </c>
      <c r="L12" s="50">
        <v>0</v>
      </c>
      <c r="M12" s="50">
        <v>245</v>
      </c>
      <c r="N12" s="50">
        <v>0</v>
      </c>
      <c r="O12" s="15">
        <f t="shared" si="0"/>
        <v>227</v>
      </c>
      <c r="P12" s="15">
        <f t="shared" si="1"/>
        <v>472</v>
      </c>
      <c r="R12" s="1" t="s">
        <v>8</v>
      </c>
      <c r="S12" s="17">
        <f t="shared" ref="S12:AF12" si="4">SUM(C18:C21)</f>
        <v>406</v>
      </c>
      <c r="T12" s="17">
        <f t="shared" si="4"/>
        <v>49</v>
      </c>
      <c r="U12" s="17">
        <f t="shared" si="4"/>
        <v>33</v>
      </c>
      <c r="V12" s="17">
        <f t="shared" si="4"/>
        <v>93</v>
      </c>
      <c r="W12" s="17">
        <f t="shared" si="4"/>
        <v>0</v>
      </c>
      <c r="X12" s="17">
        <f t="shared" si="4"/>
        <v>0</v>
      </c>
      <c r="Y12" s="17">
        <f t="shared" si="4"/>
        <v>35</v>
      </c>
      <c r="Z12" s="17">
        <f t="shared" si="4"/>
        <v>9</v>
      </c>
      <c r="AA12" s="17">
        <f t="shared" si="4"/>
        <v>2</v>
      </c>
      <c r="AB12" s="17">
        <f t="shared" si="4"/>
        <v>3</v>
      </c>
      <c r="AC12" s="17">
        <f t="shared" si="4"/>
        <v>910</v>
      </c>
      <c r="AD12" s="17">
        <f t="shared" si="4"/>
        <v>0</v>
      </c>
      <c r="AE12" s="31">
        <f t="shared" si="4"/>
        <v>630</v>
      </c>
      <c r="AF12" s="31">
        <f t="shared" si="4"/>
        <v>1540</v>
      </c>
    </row>
    <row r="13" spans="2:32" ht="23.1" customHeight="1" x14ac:dyDescent="0.25">
      <c r="B13" s="23" t="s">
        <v>40</v>
      </c>
      <c r="C13" s="50">
        <v>130</v>
      </c>
      <c r="D13" s="50">
        <v>16</v>
      </c>
      <c r="E13" s="50">
        <v>13</v>
      </c>
      <c r="F13" s="50">
        <v>44</v>
      </c>
      <c r="G13" s="50">
        <v>1</v>
      </c>
      <c r="H13" s="50">
        <v>0</v>
      </c>
      <c r="I13" s="50">
        <v>3</v>
      </c>
      <c r="J13" s="50">
        <v>0</v>
      </c>
      <c r="K13" s="50">
        <v>0</v>
      </c>
      <c r="L13" s="50">
        <v>1</v>
      </c>
      <c r="M13" s="50">
        <v>210</v>
      </c>
      <c r="N13" s="50">
        <v>0</v>
      </c>
      <c r="O13" s="15">
        <f t="shared" si="0"/>
        <v>208</v>
      </c>
      <c r="P13" s="15">
        <f t="shared" si="1"/>
        <v>418</v>
      </c>
      <c r="R13" s="1" t="s">
        <v>9</v>
      </c>
      <c r="S13" s="17">
        <f t="shared" ref="S13:AF13" si="5">SUM(C22:C25)</f>
        <v>390</v>
      </c>
      <c r="T13" s="17">
        <f t="shared" si="5"/>
        <v>40</v>
      </c>
      <c r="U13" s="17">
        <f t="shared" si="5"/>
        <v>40</v>
      </c>
      <c r="V13" s="17">
        <f t="shared" si="5"/>
        <v>24</v>
      </c>
      <c r="W13" s="17">
        <f t="shared" si="5"/>
        <v>0</v>
      </c>
      <c r="X13" s="17">
        <f t="shared" si="5"/>
        <v>1</v>
      </c>
      <c r="Y13" s="17">
        <f t="shared" si="5"/>
        <v>19</v>
      </c>
      <c r="Z13" s="17">
        <f t="shared" si="5"/>
        <v>14</v>
      </c>
      <c r="AA13" s="17">
        <f t="shared" si="5"/>
        <v>1</v>
      </c>
      <c r="AB13" s="17">
        <f t="shared" si="5"/>
        <v>1</v>
      </c>
      <c r="AC13" s="17">
        <f t="shared" si="5"/>
        <v>900</v>
      </c>
      <c r="AD13" s="17">
        <f t="shared" si="5"/>
        <v>0</v>
      </c>
      <c r="AE13" s="31">
        <f t="shared" si="5"/>
        <v>530</v>
      </c>
      <c r="AF13" s="31">
        <f t="shared" si="5"/>
        <v>1430</v>
      </c>
    </row>
    <row r="14" spans="2:32" ht="23.1" customHeight="1" x14ac:dyDescent="0.25">
      <c r="B14" s="23" t="s">
        <v>41</v>
      </c>
      <c r="C14" s="50">
        <v>115</v>
      </c>
      <c r="D14" s="50">
        <v>24</v>
      </c>
      <c r="E14" s="50">
        <v>7</v>
      </c>
      <c r="F14" s="50">
        <v>55</v>
      </c>
      <c r="G14" s="50">
        <v>1</v>
      </c>
      <c r="H14" s="50">
        <v>0</v>
      </c>
      <c r="I14" s="50">
        <v>5</v>
      </c>
      <c r="J14" s="50">
        <v>2</v>
      </c>
      <c r="K14" s="50">
        <v>1</v>
      </c>
      <c r="L14" s="50">
        <v>1</v>
      </c>
      <c r="M14" s="50">
        <v>190</v>
      </c>
      <c r="N14" s="50">
        <v>0</v>
      </c>
      <c r="O14" s="15">
        <f t="shared" si="0"/>
        <v>211</v>
      </c>
      <c r="P14" s="15">
        <f t="shared" si="1"/>
        <v>401</v>
      </c>
      <c r="R14" s="1" t="s">
        <v>10</v>
      </c>
      <c r="S14" s="17">
        <f t="shared" ref="S14:AF14" si="6">SUM(C26:C29)</f>
        <v>410</v>
      </c>
      <c r="T14" s="17">
        <f t="shared" si="6"/>
        <v>48</v>
      </c>
      <c r="U14" s="17">
        <f t="shared" si="6"/>
        <v>34</v>
      </c>
      <c r="V14" s="17">
        <f t="shared" si="6"/>
        <v>21</v>
      </c>
      <c r="W14" s="17">
        <f t="shared" si="6"/>
        <v>5</v>
      </c>
      <c r="X14" s="17">
        <f t="shared" si="6"/>
        <v>0</v>
      </c>
      <c r="Y14" s="17">
        <f t="shared" si="6"/>
        <v>30</v>
      </c>
      <c r="Z14" s="17">
        <f t="shared" si="6"/>
        <v>11</v>
      </c>
      <c r="AA14" s="17">
        <f t="shared" si="6"/>
        <v>2</v>
      </c>
      <c r="AB14" s="17">
        <f t="shared" si="6"/>
        <v>1</v>
      </c>
      <c r="AC14" s="17">
        <f t="shared" si="6"/>
        <v>895</v>
      </c>
      <c r="AD14" s="17">
        <f t="shared" si="6"/>
        <v>0</v>
      </c>
      <c r="AE14" s="31">
        <f t="shared" si="6"/>
        <v>562</v>
      </c>
      <c r="AF14" s="31">
        <f t="shared" si="6"/>
        <v>1457</v>
      </c>
    </row>
    <row r="15" spans="2:32" ht="23.1" customHeight="1" x14ac:dyDescent="0.25">
      <c r="B15" s="23" t="s">
        <v>42</v>
      </c>
      <c r="C15" s="50">
        <v>125</v>
      </c>
      <c r="D15" s="50">
        <v>7</v>
      </c>
      <c r="E15" s="50">
        <v>8</v>
      </c>
      <c r="F15" s="50">
        <v>38</v>
      </c>
      <c r="G15" s="50">
        <v>0</v>
      </c>
      <c r="H15" s="50">
        <v>0</v>
      </c>
      <c r="I15" s="50">
        <v>11</v>
      </c>
      <c r="J15" s="50">
        <v>1</v>
      </c>
      <c r="K15" s="50">
        <v>0</v>
      </c>
      <c r="L15" s="50">
        <v>0</v>
      </c>
      <c r="M15" s="50">
        <v>240</v>
      </c>
      <c r="N15" s="50">
        <v>0</v>
      </c>
      <c r="O15" s="15">
        <f t="shared" si="0"/>
        <v>190</v>
      </c>
      <c r="P15" s="15">
        <f t="shared" si="1"/>
        <v>430</v>
      </c>
      <c r="R15" s="1" t="s">
        <v>11</v>
      </c>
      <c r="S15" s="17">
        <f t="shared" ref="S15:AF15" si="7">SUM(C30:C33)</f>
        <v>403</v>
      </c>
      <c r="T15" s="17">
        <f t="shared" si="7"/>
        <v>39</v>
      </c>
      <c r="U15" s="17">
        <f t="shared" si="7"/>
        <v>30</v>
      </c>
      <c r="V15" s="17">
        <f t="shared" si="7"/>
        <v>16</v>
      </c>
      <c r="W15" s="17">
        <f t="shared" si="7"/>
        <v>3</v>
      </c>
      <c r="X15" s="17">
        <f t="shared" si="7"/>
        <v>0</v>
      </c>
      <c r="Y15" s="17">
        <f t="shared" si="7"/>
        <v>20</v>
      </c>
      <c r="Z15" s="17">
        <f t="shared" si="7"/>
        <v>18</v>
      </c>
      <c r="AA15" s="17">
        <f t="shared" si="7"/>
        <v>1</v>
      </c>
      <c r="AB15" s="17">
        <f t="shared" si="7"/>
        <v>1</v>
      </c>
      <c r="AC15" s="17">
        <f t="shared" si="7"/>
        <v>1036</v>
      </c>
      <c r="AD15" s="17">
        <f t="shared" si="7"/>
        <v>0</v>
      </c>
      <c r="AE15" s="31">
        <f t="shared" si="7"/>
        <v>531</v>
      </c>
      <c r="AF15" s="31">
        <f t="shared" si="7"/>
        <v>1567</v>
      </c>
    </row>
    <row r="16" spans="2:32" ht="23.1" customHeight="1" x14ac:dyDescent="0.25">
      <c r="B16" s="23" t="s">
        <v>43</v>
      </c>
      <c r="C16" s="50">
        <v>100</v>
      </c>
      <c r="D16" s="50">
        <v>10</v>
      </c>
      <c r="E16" s="50">
        <v>10</v>
      </c>
      <c r="F16" s="50">
        <v>34</v>
      </c>
      <c r="G16" s="50">
        <v>1</v>
      </c>
      <c r="H16" s="50">
        <v>0</v>
      </c>
      <c r="I16" s="50">
        <v>4</v>
      </c>
      <c r="J16" s="50">
        <v>3</v>
      </c>
      <c r="K16" s="50">
        <v>0</v>
      </c>
      <c r="L16" s="50">
        <v>1</v>
      </c>
      <c r="M16" s="50">
        <v>235</v>
      </c>
      <c r="N16" s="50">
        <v>0</v>
      </c>
      <c r="O16" s="15">
        <f t="shared" si="0"/>
        <v>163</v>
      </c>
      <c r="P16" s="15">
        <f t="shared" si="1"/>
        <v>398</v>
      </c>
      <c r="R16" s="1" t="s">
        <v>12</v>
      </c>
      <c r="S16" s="17">
        <f t="shared" ref="S16:AF16" si="8">SUM(C34:C37)</f>
        <v>290</v>
      </c>
      <c r="T16" s="17">
        <f t="shared" si="8"/>
        <v>22</v>
      </c>
      <c r="U16" s="17">
        <f t="shared" si="8"/>
        <v>40</v>
      </c>
      <c r="V16" s="17">
        <f t="shared" si="8"/>
        <v>23</v>
      </c>
      <c r="W16" s="17">
        <f t="shared" si="8"/>
        <v>0</v>
      </c>
      <c r="X16" s="17">
        <f t="shared" si="8"/>
        <v>0</v>
      </c>
      <c r="Y16" s="17">
        <f t="shared" si="8"/>
        <v>27</v>
      </c>
      <c r="Z16" s="17">
        <f t="shared" si="8"/>
        <v>16</v>
      </c>
      <c r="AA16" s="17">
        <f t="shared" si="8"/>
        <v>1</v>
      </c>
      <c r="AB16" s="17">
        <f t="shared" si="8"/>
        <v>4</v>
      </c>
      <c r="AC16" s="17">
        <f t="shared" si="8"/>
        <v>941</v>
      </c>
      <c r="AD16" s="17">
        <f t="shared" si="8"/>
        <v>0</v>
      </c>
      <c r="AE16" s="31">
        <f t="shared" si="8"/>
        <v>423</v>
      </c>
      <c r="AF16" s="31">
        <f t="shared" si="8"/>
        <v>1364</v>
      </c>
    </row>
    <row r="17" spans="2:32" ht="23.1" customHeight="1" x14ac:dyDescent="0.25">
      <c r="B17" s="23" t="s">
        <v>44</v>
      </c>
      <c r="C17" s="50">
        <v>125</v>
      </c>
      <c r="D17" s="50">
        <v>9</v>
      </c>
      <c r="E17" s="50">
        <v>5</v>
      </c>
      <c r="F17" s="50">
        <v>27</v>
      </c>
      <c r="G17" s="50">
        <v>1</v>
      </c>
      <c r="H17" s="50">
        <v>0</v>
      </c>
      <c r="I17" s="50">
        <v>6</v>
      </c>
      <c r="J17" s="50">
        <v>6</v>
      </c>
      <c r="K17" s="50">
        <v>0</v>
      </c>
      <c r="L17" s="50">
        <v>0</v>
      </c>
      <c r="M17" s="50">
        <v>255</v>
      </c>
      <c r="N17" s="50">
        <v>0</v>
      </c>
      <c r="O17" s="15">
        <f t="shared" si="0"/>
        <v>179</v>
      </c>
      <c r="P17" s="15">
        <f t="shared" si="1"/>
        <v>434</v>
      </c>
      <c r="R17" s="1" t="s">
        <v>13</v>
      </c>
      <c r="S17" s="17">
        <f t="shared" ref="S17:AF17" si="9">SUM(C38:C41)</f>
        <v>270</v>
      </c>
      <c r="T17" s="17">
        <f t="shared" si="9"/>
        <v>27</v>
      </c>
      <c r="U17" s="17">
        <f t="shared" si="9"/>
        <v>44</v>
      </c>
      <c r="V17" s="17">
        <f t="shared" si="9"/>
        <v>27</v>
      </c>
      <c r="W17" s="17">
        <f t="shared" si="9"/>
        <v>7</v>
      </c>
      <c r="X17" s="17">
        <f t="shared" si="9"/>
        <v>1</v>
      </c>
      <c r="Y17" s="17">
        <f t="shared" si="9"/>
        <v>31</v>
      </c>
      <c r="Z17" s="17">
        <f t="shared" si="9"/>
        <v>25</v>
      </c>
      <c r="AA17" s="17">
        <f t="shared" si="9"/>
        <v>22</v>
      </c>
      <c r="AB17" s="17">
        <f t="shared" si="9"/>
        <v>5</v>
      </c>
      <c r="AC17" s="17">
        <f t="shared" si="9"/>
        <v>561</v>
      </c>
      <c r="AD17" s="17">
        <f t="shared" si="9"/>
        <v>1</v>
      </c>
      <c r="AE17" s="31">
        <f t="shared" si="9"/>
        <v>460</v>
      </c>
      <c r="AF17" s="31">
        <f t="shared" si="9"/>
        <v>1021</v>
      </c>
    </row>
    <row r="18" spans="2:32" ht="23.1" customHeight="1" x14ac:dyDescent="0.25">
      <c r="B18" s="23" t="s">
        <v>45</v>
      </c>
      <c r="C18" s="50">
        <v>96</v>
      </c>
      <c r="D18" s="50">
        <v>15</v>
      </c>
      <c r="E18" s="50">
        <v>8</v>
      </c>
      <c r="F18" s="50">
        <v>35</v>
      </c>
      <c r="G18" s="50">
        <v>0</v>
      </c>
      <c r="H18" s="50">
        <v>0</v>
      </c>
      <c r="I18" s="50">
        <v>4</v>
      </c>
      <c r="J18" s="50">
        <v>0</v>
      </c>
      <c r="K18" s="50">
        <v>0</v>
      </c>
      <c r="L18" s="50">
        <v>0</v>
      </c>
      <c r="M18" s="50">
        <v>210</v>
      </c>
      <c r="N18" s="50">
        <v>0</v>
      </c>
      <c r="O18" s="15">
        <f t="shared" si="0"/>
        <v>158</v>
      </c>
      <c r="P18" s="15">
        <f t="shared" si="1"/>
        <v>368</v>
      </c>
      <c r="R18" s="1" t="s">
        <v>14</v>
      </c>
      <c r="S18" s="17">
        <f t="shared" ref="S18:AF18" si="10">SUM(C42:C45)</f>
        <v>220</v>
      </c>
      <c r="T18" s="17">
        <f t="shared" si="10"/>
        <v>31</v>
      </c>
      <c r="U18" s="17">
        <f t="shared" si="10"/>
        <v>33</v>
      </c>
      <c r="V18" s="17">
        <f t="shared" si="10"/>
        <v>27</v>
      </c>
      <c r="W18" s="17">
        <f t="shared" si="10"/>
        <v>2</v>
      </c>
      <c r="X18" s="17">
        <f t="shared" si="10"/>
        <v>1</v>
      </c>
      <c r="Y18" s="17">
        <f t="shared" si="10"/>
        <v>9</v>
      </c>
      <c r="Z18" s="17">
        <f t="shared" si="10"/>
        <v>16</v>
      </c>
      <c r="AA18" s="17">
        <f t="shared" si="10"/>
        <v>3</v>
      </c>
      <c r="AB18" s="17">
        <f t="shared" si="10"/>
        <v>2</v>
      </c>
      <c r="AC18" s="17">
        <f t="shared" si="10"/>
        <v>650</v>
      </c>
      <c r="AD18" s="17">
        <f t="shared" si="10"/>
        <v>0</v>
      </c>
      <c r="AE18" s="31">
        <f t="shared" si="10"/>
        <v>344</v>
      </c>
      <c r="AF18" s="31">
        <f t="shared" si="10"/>
        <v>994</v>
      </c>
    </row>
    <row r="19" spans="2:32" ht="23.1" customHeight="1" x14ac:dyDescent="0.25">
      <c r="B19" s="23" t="s">
        <v>46</v>
      </c>
      <c r="C19" s="50">
        <v>80</v>
      </c>
      <c r="D19" s="50">
        <v>15</v>
      </c>
      <c r="E19" s="50">
        <v>12</v>
      </c>
      <c r="F19" s="50">
        <v>17</v>
      </c>
      <c r="G19" s="50">
        <v>0</v>
      </c>
      <c r="H19" s="50">
        <v>0</v>
      </c>
      <c r="I19" s="50">
        <v>12</v>
      </c>
      <c r="J19" s="50">
        <v>3</v>
      </c>
      <c r="K19" s="50">
        <v>0</v>
      </c>
      <c r="L19" s="50">
        <v>1</v>
      </c>
      <c r="M19" s="50">
        <v>220</v>
      </c>
      <c r="N19" s="50">
        <v>0</v>
      </c>
      <c r="O19" s="15">
        <f t="shared" si="0"/>
        <v>140</v>
      </c>
      <c r="P19" s="15">
        <f t="shared" si="1"/>
        <v>360</v>
      </c>
      <c r="R19" s="1" t="s">
        <v>15</v>
      </c>
      <c r="S19" s="17">
        <f t="shared" ref="S19:AF19" si="11">SUM(C46:C49)</f>
        <v>268</v>
      </c>
      <c r="T19" s="17">
        <f t="shared" si="11"/>
        <v>17</v>
      </c>
      <c r="U19" s="17">
        <f t="shared" si="11"/>
        <v>33</v>
      </c>
      <c r="V19" s="17">
        <f t="shared" si="11"/>
        <v>22</v>
      </c>
      <c r="W19" s="17">
        <f t="shared" si="11"/>
        <v>5</v>
      </c>
      <c r="X19" s="17">
        <f t="shared" si="11"/>
        <v>1</v>
      </c>
      <c r="Y19" s="17">
        <f t="shared" si="11"/>
        <v>17</v>
      </c>
      <c r="Z19" s="17">
        <f t="shared" si="11"/>
        <v>13</v>
      </c>
      <c r="AA19" s="17">
        <f t="shared" si="11"/>
        <v>3</v>
      </c>
      <c r="AB19" s="17">
        <f t="shared" si="11"/>
        <v>3</v>
      </c>
      <c r="AC19" s="17">
        <f t="shared" si="11"/>
        <v>786</v>
      </c>
      <c r="AD19" s="17">
        <f t="shared" si="11"/>
        <v>2</v>
      </c>
      <c r="AE19" s="31">
        <f t="shared" si="11"/>
        <v>384</v>
      </c>
      <c r="AF19" s="31">
        <f t="shared" si="11"/>
        <v>1170</v>
      </c>
    </row>
    <row r="20" spans="2:32" ht="23.1" customHeight="1" x14ac:dyDescent="0.25">
      <c r="B20" s="23" t="s">
        <v>47</v>
      </c>
      <c r="C20" s="50">
        <v>110</v>
      </c>
      <c r="D20" s="50">
        <v>8</v>
      </c>
      <c r="E20" s="50">
        <v>4</v>
      </c>
      <c r="F20" s="50">
        <v>21</v>
      </c>
      <c r="G20" s="50">
        <v>0</v>
      </c>
      <c r="H20" s="50">
        <v>0</v>
      </c>
      <c r="I20" s="50">
        <v>9</v>
      </c>
      <c r="J20" s="50">
        <v>5</v>
      </c>
      <c r="K20" s="50">
        <v>1</v>
      </c>
      <c r="L20" s="50">
        <v>1</v>
      </c>
      <c r="M20" s="50">
        <v>255</v>
      </c>
      <c r="N20" s="50">
        <v>0</v>
      </c>
      <c r="O20" s="15">
        <f t="shared" si="0"/>
        <v>159</v>
      </c>
      <c r="P20" s="15">
        <f t="shared" si="1"/>
        <v>414</v>
      </c>
      <c r="R20" s="1" t="s">
        <v>16</v>
      </c>
      <c r="S20" s="17">
        <f t="shared" ref="S20:AF20" si="12">SUM(C50:C53)</f>
        <v>287</v>
      </c>
      <c r="T20" s="17">
        <f t="shared" si="12"/>
        <v>21</v>
      </c>
      <c r="U20" s="17">
        <f t="shared" si="12"/>
        <v>22</v>
      </c>
      <c r="V20" s="17">
        <f t="shared" si="12"/>
        <v>28</v>
      </c>
      <c r="W20" s="17">
        <f t="shared" si="12"/>
        <v>2</v>
      </c>
      <c r="X20" s="17">
        <f t="shared" si="12"/>
        <v>0</v>
      </c>
      <c r="Y20" s="17">
        <f t="shared" si="12"/>
        <v>22</v>
      </c>
      <c r="Z20" s="17">
        <f t="shared" si="12"/>
        <v>10</v>
      </c>
      <c r="AA20" s="17">
        <f t="shared" si="12"/>
        <v>5</v>
      </c>
      <c r="AB20" s="17">
        <f t="shared" si="12"/>
        <v>0</v>
      </c>
      <c r="AC20" s="17">
        <f t="shared" si="12"/>
        <v>800</v>
      </c>
      <c r="AD20" s="17">
        <f t="shared" si="12"/>
        <v>0</v>
      </c>
      <c r="AE20" s="31">
        <f t="shared" si="12"/>
        <v>397</v>
      </c>
      <c r="AF20" s="31">
        <f t="shared" si="12"/>
        <v>1197</v>
      </c>
    </row>
    <row r="21" spans="2:32" ht="23.1" customHeight="1" x14ac:dyDescent="0.25">
      <c r="B21" s="23" t="s">
        <v>48</v>
      </c>
      <c r="C21" s="50">
        <v>120</v>
      </c>
      <c r="D21" s="50">
        <v>11</v>
      </c>
      <c r="E21" s="50">
        <v>9</v>
      </c>
      <c r="F21" s="50">
        <v>20</v>
      </c>
      <c r="G21" s="50">
        <v>0</v>
      </c>
      <c r="H21" s="50">
        <v>0</v>
      </c>
      <c r="I21" s="50">
        <v>10</v>
      </c>
      <c r="J21" s="50">
        <v>1</v>
      </c>
      <c r="K21" s="50">
        <v>1</v>
      </c>
      <c r="L21" s="50">
        <v>1</v>
      </c>
      <c r="M21" s="50">
        <v>225</v>
      </c>
      <c r="N21" s="50">
        <v>0</v>
      </c>
      <c r="O21" s="15">
        <f t="shared" si="0"/>
        <v>173</v>
      </c>
      <c r="P21" s="15">
        <f t="shared" si="1"/>
        <v>398</v>
      </c>
      <c r="R21" s="36" t="s">
        <v>20</v>
      </c>
      <c r="S21" s="34">
        <f t="shared" ref="S21:AF21" si="13">SUM(C54:C57)</f>
        <v>365</v>
      </c>
      <c r="T21" s="17">
        <f t="shared" si="13"/>
        <v>19</v>
      </c>
      <c r="U21" s="17">
        <f t="shared" si="13"/>
        <v>20</v>
      </c>
      <c r="V21" s="17">
        <f t="shared" si="13"/>
        <v>46</v>
      </c>
      <c r="W21" s="17">
        <f t="shared" si="13"/>
        <v>5</v>
      </c>
      <c r="X21" s="17">
        <f t="shared" si="13"/>
        <v>2</v>
      </c>
      <c r="Y21" s="17">
        <f t="shared" si="13"/>
        <v>14</v>
      </c>
      <c r="Z21" s="17">
        <f t="shared" si="13"/>
        <v>12</v>
      </c>
      <c r="AA21" s="17">
        <f t="shared" si="13"/>
        <v>1</v>
      </c>
      <c r="AB21" s="17">
        <f t="shared" si="13"/>
        <v>5</v>
      </c>
      <c r="AC21" s="17">
        <f t="shared" si="13"/>
        <v>925</v>
      </c>
      <c r="AD21" s="17">
        <f t="shared" si="13"/>
        <v>1</v>
      </c>
      <c r="AE21" s="31">
        <f t="shared" si="13"/>
        <v>490</v>
      </c>
      <c r="AF21" s="31">
        <f t="shared" si="13"/>
        <v>1415</v>
      </c>
    </row>
    <row r="22" spans="2:32" ht="23.1" customHeight="1" x14ac:dyDescent="0.25">
      <c r="B22" s="23" t="s">
        <v>49</v>
      </c>
      <c r="C22" s="50">
        <v>80</v>
      </c>
      <c r="D22" s="50">
        <v>6</v>
      </c>
      <c r="E22" s="50">
        <v>5</v>
      </c>
      <c r="F22" s="50">
        <v>4</v>
      </c>
      <c r="G22" s="50">
        <v>0</v>
      </c>
      <c r="H22" s="50">
        <v>0</v>
      </c>
      <c r="I22" s="50">
        <v>5</v>
      </c>
      <c r="J22" s="50">
        <v>1</v>
      </c>
      <c r="K22" s="50">
        <v>1</v>
      </c>
      <c r="L22" s="50">
        <v>0</v>
      </c>
      <c r="M22" s="50">
        <v>170</v>
      </c>
      <c r="N22" s="50">
        <v>0</v>
      </c>
      <c r="O22" s="15">
        <f t="shared" si="0"/>
        <v>102</v>
      </c>
      <c r="P22" s="15">
        <f t="shared" si="1"/>
        <v>272</v>
      </c>
      <c r="R22" s="38" t="s">
        <v>90</v>
      </c>
      <c r="S22" s="39">
        <f>MAX(S10:S12)</f>
        <v>470</v>
      </c>
      <c r="T22" s="39">
        <f t="shared" ref="T22:AF22" si="14">MAX(T10:T12)</f>
        <v>69</v>
      </c>
      <c r="U22" s="39">
        <f t="shared" si="14"/>
        <v>49</v>
      </c>
      <c r="V22" s="39">
        <f t="shared" si="14"/>
        <v>204</v>
      </c>
      <c r="W22" s="39">
        <f t="shared" si="14"/>
        <v>3</v>
      </c>
      <c r="X22" s="39">
        <f t="shared" si="14"/>
        <v>0</v>
      </c>
      <c r="Y22" s="39">
        <f t="shared" si="14"/>
        <v>35</v>
      </c>
      <c r="Z22" s="39">
        <f t="shared" si="14"/>
        <v>12</v>
      </c>
      <c r="AA22" s="39">
        <f t="shared" si="14"/>
        <v>7</v>
      </c>
      <c r="AB22" s="39">
        <f t="shared" si="14"/>
        <v>3</v>
      </c>
      <c r="AC22" s="39">
        <f t="shared" si="14"/>
        <v>920</v>
      </c>
      <c r="AD22" s="39">
        <f t="shared" si="14"/>
        <v>0</v>
      </c>
      <c r="AE22" s="40">
        <f t="shared" si="14"/>
        <v>830</v>
      </c>
      <c r="AF22" s="40">
        <f t="shared" si="14"/>
        <v>1710</v>
      </c>
    </row>
    <row r="23" spans="2:32" ht="23.1" customHeight="1" x14ac:dyDescent="0.25">
      <c r="B23" s="23" t="s">
        <v>50</v>
      </c>
      <c r="C23" s="50">
        <v>95</v>
      </c>
      <c r="D23" s="50">
        <v>7</v>
      </c>
      <c r="E23" s="50">
        <v>10</v>
      </c>
      <c r="F23" s="50">
        <v>8</v>
      </c>
      <c r="G23" s="50">
        <v>0</v>
      </c>
      <c r="H23" s="50">
        <v>0</v>
      </c>
      <c r="I23" s="50">
        <v>3</v>
      </c>
      <c r="J23" s="50">
        <v>4</v>
      </c>
      <c r="K23" s="50">
        <v>0</v>
      </c>
      <c r="L23" s="50">
        <v>0</v>
      </c>
      <c r="M23" s="50">
        <v>230</v>
      </c>
      <c r="N23" s="50">
        <v>0</v>
      </c>
      <c r="O23" s="15">
        <f t="shared" si="0"/>
        <v>127</v>
      </c>
      <c r="P23" s="15">
        <f t="shared" si="1"/>
        <v>357</v>
      </c>
      <c r="R23" s="38" t="s">
        <v>91</v>
      </c>
      <c r="S23" s="39">
        <f>MAX(S13:S18)</f>
        <v>410</v>
      </c>
      <c r="T23" s="39">
        <f t="shared" ref="T23:AF23" si="15">MAX(T13:T18)</f>
        <v>48</v>
      </c>
      <c r="U23" s="39">
        <f t="shared" si="15"/>
        <v>44</v>
      </c>
      <c r="V23" s="39">
        <f t="shared" si="15"/>
        <v>27</v>
      </c>
      <c r="W23" s="39">
        <f t="shared" si="15"/>
        <v>7</v>
      </c>
      <c r="X23" s="39">
        <f t="shared" si="15"/>
        <v>1</v>
      </c>
      <c r="Y23" s="39">
        <f t="shared" si="15"/>
        <v>31</v>
      </c>
      <c r="Z23" s="39">
        <f t="shared" si="15"/>
        <v>25</v>
      </c>
      <c r="AA23" s="39">
        <f t="shared" si="15"/>
        <v>22</v>
      </c>
      <c r="AB23" s="39">
        <f t="shared" si="15"/>
        <v>5</v>
      </c>
      <c r="AC23" s="39">
        <f t="shared" si="15"/>
        <v>1036</v>
      </c>
      <c r="AD23" s="39">
        <f t="shared" si="15"/>
        <v>1</v>
      </c>
      <c r="AE23" s="40">
        <f t="shared" si="15"/>
        <v>562</v>
      </c>
      <c r="AF23" s="40">
        <f t="shared" si="15"/>
        <v>1567</v>
      </c>
    </row>
    <row r="24" spans="2:32" ht="23.1" customHeight="1" x14ac:dyDescent="0.25">
      <c r="B24" s="23" t="s">
        <v>51</v>
      </c>
      <c r="C24" s="50">
        <v>110</v>
      </c>
      <c r="D24" s="50">
        <v>13</v>
      </c>
      <c r="E24" s="50">
        <v>8</v>
      </c>
      <c r="F24" s="50">
        <v>5</v>
      </c>
      <c r="G24" s="50">
        <v>0</v>
      </c>
      <c r="H24" s="50">
        <v>0</v>
      </c>
      <c r="I24" s="50">
        <v>8</v>
      </c>
      <c r="J24" s="50">
        <v>2</v>
      </c>
      <c r="K24" s="50">
        <v>0</v>
      </c>
      <c r="L24" s="50">
        <v>1</v>
      </c>
      <c r="M24" s="50">
        <v>250</v>
      </c>
      <c r="N24" s="50">
        <v>0</v>
      </c>
      <c r="O24" s="15">
        <f t="shared" si="0"/>
        <v>147</v>
      </c>
      <c r="P24" s="15">
        <f t="shared" si="1"/>
        <v>397</v>
      </c>
      <c r="R24" s="38" t="s">
        <v>92</v>
      </c>
      <c r="S24" s="39">
        <f>MAX(S19:S21)</f>
        <v>365</v>
      </c>
      <c r="T24" s="39">
        <f t="shared" ref="T24:AF24" si="16">MAX(T19:T21)</f>
        <v>21</v>
      </c>
      <c r="U24" s="39">
        <f t="shared" si="16"/>
        <v>33</v>
      </c>
      <c r="V24" s="39">
        <f t="shared" si="16"/>
        <v>46</v>
      </c>
      <c r="W24" s="39">
        <f t="shared" si="16"/>
        <v>5</v>
      </c>
      <c r="X24" s="39">
        <f t="shared" si="16"/>
        <v>2</v>
      </c>
      <c r="Y24" s="39">
        <f t="shared" si="16"/>
        <v>22</v>
      </c>
      <c r="Z24" s="39">
        <f t="shared" si="16"/>
        <v>13</v>
      </c>
      <c r="AA24" s="39">
        <f t="shared" si="16"/>
        <v>5</v>
      </c>
      <c r="AB24" s="39">
        <f t="shared" si="16"/>
        <v>5</v>
      </c>
      <c r="AC24" s="39">
        <f t="shared" si="16"/>
        <v>925</v>
      </c>
      <c r="AD24" s="39">
        <f t="shared" si="16"/>
        <v>2</v>
      </c>
      <c r="AE24" s="40">
        <f t="shared" si="16"/>
        <v>490</v>
      </c>
      <c r="AF24" s="40">
        <f t="shared" si="16"/>
        <v>1415</v>
      </c>
    </row>
    <row r="25" spans="2:32" ht="23.1" customHeight="1" x14ac:dyDescent="0.25">
      <c r="B25" s="23" t="s">
        <v>52</v>
      </c>
      <c r="C25" s="50">
        <v>105</v>
      </c>
      <c r="D25" s="50">
        <v>14</v>
      </c>
      <c r="E25" s="50">
        <v>17</v>
      </c>
      <c r="F25" s="50">
        <v>7</v>
      </c>
      <c r="G25" s="50">
        <v>0</v>
      </c>
      <c r="H25" s="50">
        <v>1</v>
      </c>
      <c r="I25" s="50">
        <v>3</v>
      </c>
      <c r="J25" s="50">
        <v>7</v>
      </c>
      <c r="K25" s="50">
        <v>0</v>
      </c>
      <c r="L25" s="50">
        <v>0</v>
      </c>
      <c r="M25" s="50">
        <v>250</v>
      </c>
      <c r="N25" s="50">
        <v>0</v>
      </c>
      <c r="O25" s="15">
        <f t="shared" si="0"/>
        <v>154</v>
      </c>
      <c r="P25" s="15">
        <f t="shared" si="1"/>
        <v>404</v>
      </c>
      <c r="R25" s="37" t="s">
        <v>85</v>
      </c>
      <c r="S25" s="35">
        <f t="shared" ref="S25:AF25" si="17">SUM(S10:S12)</f>
        <v>1341</v>
      </c>
      <c r="T25" s="16">
        <f t="shared" si="17"/>
        <v>168</v>
      </c>
      <c r="U25" s="16">
        <f t="shared" si="17"/>
        <v>112</v>
      </c>
      <c r="V25" s="16">
        <f t="shared" si="17"/>
        <v>451</v>
      </c>
      <c r="W25" s="16">
        <f t="shared" si="17"/>
        <v>5</v>
      </c>
      <c r="X25" s="16">
        <f t="shared" si="17"/>
        <v>0</v>
      </c>
      <c r="Y25" s="16">
        <f t="shared" si="17"/>
        <v>80</v>
      </c>
      <c r="Z25" s="16">
        <f t="shared" si="17"/>
        <v>30</v>
      </c>
      <c r="AA25" s="16">
        <f t="shared" si="17"/>
        <v>10</v>
      </c>
      <c r="AB25" s="16">
        <f t="shared" si="17"/>
        <v>6</v>
      </c>
      <c r="AC25" s="16">
        <f t="shared" si="17"/>
        <v>2710</v>
      </c>
      <c r="AD25" s="16">
        <f t="shared" si="17"/>
        <v>0</v>
      </c>
      <c r="AE25" s="32">
        <f t="shared" si="17"/>
        <v>2203</v>
      </c>
      <c r="AF25" s="32">
        <f t="shared" si="17"/>
        <v>4913</v>
      </c>
    </row>
    <row r="26" spans="2:32" ht="23.1" customHeight="1" x14ac:dyDescent="0.25">
      <c r="B26" s="23" t="s">
        <v>53</v>
      </c>
      <c r="C26" s="50">
        <v>95</v>
      </c>
      <c r="D26" s="50">
        <v>10</v>
      </c>
      <c r="E26" s="50">
        <v>11</v>
      </c>
      <c r="F26" s="50">
        <v>4</v>
      </c>
      <c r="G26" s="50">
        <v>0</v>
      </c>
      <c r="H26" s="50">
        <v>0</v>
      </c>
      <c r="I26" s="50">
        <v>8</v>
      </c>
      <c r="J26" s="50">
        <v>2</v>
      </c>
      <c r="K26" s="50">
        <v>0</v>
      </c>
      <c r="L26" s="50">
        <v>0</v>
      </c>
      <c r="M26" s="50">
        <v>225</v>
      </c>
      <c r="N26" s="50">
        <v>0</v>
      </c>
      <c r="O26" s="15">
        <f t="shared" si="0"/>
        <v>130</v>
      </c>
      <c r="P26" s="15">
        <f t="shared" si="1"/>
        <v>355</v>
      </c>
      <c r="R26" s="28" t="s">
        <v>86</v>
      </c>
      <c r="S26" s="16">
        <f t="shared" ref="S26:AF26" si="18">SUM(S13:S18)</f>
        <v>1983</v>
      </c>
      <c r="T26" s="16">
        <f t="shared" si="18"/>
        <v>207</v>
      </c>
      <c r="U26" s="16">
        <f t="shared" si="18"/>
        <v>221</v>
      </c>
      <c r="V26" s="16">
        <f t="shared" si="18"/>
        <v>138</v>
      </c>
      <c r="W26" s="16">
        <f t="shared" si="18"/>
        <v>17</v>
      </c>
      <c r="X26" s="16">
        <f t="shared" si="18"/>
        <v>3</v>
      </c>
      <c r="Y26" s="16">
        <f t="shared" si="18"/>
        <v>136</v>
      </c>
      <c r="Z26" s="16">
        <f t="shared" si="18"/>
        <v>100</v>
      </c>
      <c r="AA26" s="16">
        <f t="shared" si="18"/>
        <v>30</v>
      </c>
      <c r="AB26" s="16">
        <f t="shared" si="18"/>
        <v>14</v>
      </c>
      <c r="AC26" s="16">
        <f t="shared" si="18"/>
        <v>4983</v>
      </c>
      <c r="AD26" s="16">
        <f t="shared" si="18"/>
        <v>1</v>
      </c>
      <c r="AE26" s="32">
        <f t="shared" si="18"/>
        <v>2850</v>
      </c>
      <c r="AF26" s="32">
        <f t="shared" si="18"/>
        <v>7833</v>
      </c>
    </row>
    <row r="27" spans="2:32" ht="23.1" customHeight="1" x14ac:dyDescent="0.25">
      <c r="B27" s="23" t="s">
        <v>54</v>
      </c>
      <c r="C27" s="50">
        <v>115</v>
      </c>
      <c r="D27" s="50">
        <v>7</v>
      </c>
      <c r="E27" s="50">
        <v>3</v>
      </c>
      <c r="F27" s="50">
        <v>7</v>
      </c>
      <c r="G27" s="50">
        <v>3</v>
      </c>
      <c r="H27" s="50">
        <v>0</v>
      </c>
      <c r="I27" s="50">
        <v>10</v>
      </c>
      <c r="J27" s="50">
        <v>1</v>
      </c>
      <c r="K27" s="50">
        <v>1</v>
      </c>
      <c r="L27" s="50">
        <v>0</v>
      </c>
      <c r="M27" s="50">
        <v>220</v>
      </c>
      <c r="N27" s="50">
        <v>0</v>
      </c>
      <c r="O27" s="15">
        <f t="shared" si="0"/>
        <v>147</v>
      </c>
      <c r="P27" s="15">
        <f t="shared" si="1"/>
        <v>367</v>
      </c>
      <c r="R27" s="29" t="s">
        <v>87</v>
      </c>
      <c r="S27" s="16">
        <f t="shared" ref="S27:AF27" si="19">SUM(S19:S21)</f>
        <v>920</v>
      </c>
      <c r="T27" s="16">
        <f t="shared" si="19"/>
        <v>57</v>
      </c>
      <c r="U27" s="16">
        <f t="shared" si="19"/>
        <v>75</v>
      </c>
      <c r="V27" s="16">
        <f t="shared" si="19"/>
        <v>96</v>
      </c>
      <c r="W27" s="16">
        <f t="shared" si="19"/>
        <v>12</v>
      </c>
      <c r="X27" s="16">
        <f t="shared" si="19"/>
        <v>3</v>
      </c>
      <c r="Y27" s="16">
        <f t="shared" si="19"/>
        <v>53</v>
      </c>
      <c r="Z27" s="16">
        <f t="shared" si="19"/>
        <v>35</v>
      </c>
      <c r="AA27" s="16">
        <f t="shared" si="19"/>
        <v>9</v>
      </c>
      <c r="AB27" s="16">
        <f t="shared" si="19"/>
        <v>8</v>
      </c>
      <c r="AC27" s="16">
        <f t="shared" si="19"/>
        <v>2511</v>
      </c>
      <c r="AD27" s="16">
        <f t="shared" si="19"/>
        <v>3</v>
      </c>
      <c r="AE27" s="32">
        <f t="shared" si="19"/>
        <v>1271</v>
      </c>
      <c r="AF27" s="32">
        <f t="shared" si="19"/>
        <v>3782</v>
      </c>
    </row>
    <row r="28" spans="2:32" ht="23.1" customHeight="1" x14ac:dyDescent="0.25">
      <c r="B28" s="23" t="s">
        <v>55</v>
      </c>
      <c r="C28" s="50">
        <v>100</v>
      </c>
      <c r="D28" s="50">
        <v>25</v>
      </c>
      <c r="E28" s="50">
        <v>6</v>
      </c>
      <c r="F28" s="50">
        <v>6</v>
      </c>
      <c r="G28" s="50">
        <v>0</v>
      </c>
      <c r="H28" s="50">
        <v>0</v>
      </c>
      <c r="I28" s="50">
        <v>10</v>
      </c>
      <c r="J28" s="50">
        <v>7</v>
      </c>
      <c r="K28" s="50">
        <v>0</v>
      </c>
      <c r="L28" s="50">
        <v>0</v>
      </c>
      <c r="M28" s="50">
        <v>240</v>
      </c>
      <c r="N28" s="50">
        <v>0</v>
      </c>
      <c r="O28" s="15">
        <f t="shared" si="0"/>
        <v>154</v>
      </c>
      <c r="P28" s="15">
        <f t="shared" si="1"/>
        <v>394</v>
      </c>
      <c r="R28" s="5" t="s">
        <v>17</v>
      </c>
      <c r="S28" s="16">
        <f t="shared" ref="S28:AF28" si="20">SUM(S10:S21)</f>
        <v>4244</v>
      </c>
      <c r="T28" s="16">
        <f t="shared" si="20"/>
        <v>432</v>
      </c>
      <c r="U28" s="16">
        <f t="shared" si="20"/>
        <v>408</v>
      </c>
      <c r="V28" s="16">
        <f t="shared" si="20"/>
        <v>685</v>
      </c>
      <c r="W28" s="16">
        <f t="shared" si="20"/>
        <v>34</v>
      </c>
      <c r="X28" s="16">
        <f t="shared" si="20"/>
        <v>6</v>
      </c>
      <c r="Y28" s="16">
        <f t="shared" si="20"/>
        <v>269</v>
      </c>
      <c r="Z28" s="16">
        <f t="shared" si="20"/>
        <v>165</v>
      </c>
      <c r="AA28" s="16">
        <f t="shared" si="20"/>
        <v>49</v>
      </c>
      <c r="AB28" s="16">
        <f t="shared" si="20"/>
        <v>28</v>
      </c>
      <c r="AC28" s="16">
        <f t="shared" si="20"/>
        <v>10204</v>
      </c>
      <c r="AD28" s="16">
        <f t="shared" si="20"/>
        <v>4</v>
      </c>
      <c r="AE28" s="32">
        <f t="shared" si="20"/>
        <v>6324</v>
      </c>
      <c r="AF28" s="32">
        <f t="shared" si="20"/>
        <v>16528</v>
      </c>
    </row>
    <row r="29" spans="2:32" ht="23.1" customHeight="1" x14ac:dyDescent="0.25">
      <c r="B29" s="23" t="s">
        <v>56</v>
      </c>
      <c r="C29" s="50">
        <v>100</v>
      </c>
      <c r="D29" s="50">
        <v>6</v>
      </c>
      <c r="E29" s="50">
        <v>14</v>
      </c>
      <c r="F29" s="50">
        <v>4</v>
      </c>
      <c r="G29" s="50">
        <v>2</v>
      </c>
      <c r="H29" s="50">
        <v>0</v>
      </c>
      <c r="I29" s="50">
        <v>2</v>
      </c>
      <c r="J29" s="50">
        <v>1</v>
      </c>
      <c r="K29" s="50">
        <v>1</v>
      </c>
      <c r="L29" s="50">
        <v>1</v>
      </c>
      <c r="M29" s="50">
        <v>210</v>
      </c>
      <c r="N29" s="50">
        <v>0</v>
      </c>
      <c r="O29" s="15">
        <f t="shared" si="0"/>
        <v>131</v>
      </c>
      <c r="P29" s="15">
        <f t="shared" si="1"/>
        <v>341</v>
      </c>
      <c r="R29"/>
      <c r="S29" s="20"/>
      <c r="T29" s="19"/>
    </row>
    <row r="30" spans="2:32" ht="23.1" customHeight="1" x14ac:dyDescent="0.25">
      <c r="B30" s="23" t="s">
        <v>57</v>
      </c>
      <c r="C30" s="50">
        <v>103</v>
      </c>
      <c r="D30" s="50">
        <v>18</v>
      </c>
      <c r="E30" s="50">
        <v>7</v>
      </c>
      <c r="F30" s="50">
        <v>3</v>
      </c>
      <c r="G30" s="50">
        <v>0</v>
      </c>
      <c r="H30" s="50">
        <v>0</v>
      </c>
      <c r="I30" s="50">
        <v>3</v>
      </c>
      <c r="J30" s="50">
        <v>4</v>
      </c>
      <c r="K30" s="50">
        <v>1</v>
      </c>
      <c r="L30" s="50">
        <v>0</v>
      </c>
      <c r="M30" s="50">
        <v>240</v>
      </c>
      <c r="N30" s="50">
        <v>0</v>
      </c>
      <c r="O30" s="15">
        <f t="shared" si="0"/>
        <v>139</v>
      </c>
      <c r="P30" s="15">
        <f t="shared" si="1"/>
        <v>379</v>
      </c>
    </row>
    <row r="31" spans="2:32" ht="23.1" customHeight="1" x14ac:dyDescent="0.25">
      <c r="B31" s="24" t="s">
        <v>58</v>
      </c>
      <c r="C31" s="50">
        <v>95</v>
      </c>
      <c r="D31" s="50">
        <v>8</v>
      </c>
      <c r="E31" s="50">
        <v>7</v>
      </c>
      <c r="F31" s="50">
        <v>2</v>
      </c>
      <c r="G31" s="50">
        <v>0</v>
      </c>
      <c r="H31" s="50">
        <v>0</v>
      </c>
      <c r="I31" s="50">
        <v>7</v>
      </c>
      <c r="J31" s="50">
        <v>4</v>
      </c>
      <c r="K31" s="50">
        <v>0</v>
      </c>
      <c r="L31" s="50">
        <v>0</v>
      </c>
      <c r="M31" s="50">
        <v>216</v>
      </c>
      <c r="N31" s="50">
        <v>0</v>
      </c>
      <c r="O31" s="15">
        <f t="shared" si="0"/>
        <v>123</v>
      </c>
      <c r="P31" s="15">
        <f t="shared" si="1"/>
        <v>339</v>
      </c>
    </row>
    <row r="32" spans="2:32" ht="23.1" customHeight="1" x14ac:dyDescent="0.25">
      <c r="B32" s="24" t="s">
        <v>59</v>
      </c>
      <c r="C32" s="50">
        <v>110</v>
      </c>
      <c r="D32" s="50">
        <v>4</v>
      </c>
      <c r="E32" s="50">
        <v>8</v>
      </c>
      <c r="F32" s="50">
        <v>3</v>
      </c>
      <c r="G32" s="50">
        <v>0</v>
      </c>
      <c r="H32" s="50">
        <v>0</v>
      </c>
      <c r="I32" s="50">
        <v>4</v>
      </c>
      <c r="J32" s="50">
        <v>4</v>
      </c>
      <c r="K32" s="50">
        <v>0</v>
      </c>
      <c r="L32" s="50">
        <v>1</v>
      </c>
      <c r="M32" s="50">
        <v>280</v>
      </c>
      <c r="N32" s="50">
        <v>0</v>
      </c>
      <c r="O32" s="15">
        <f t="shared" si="0"/>
        <v>134</v>
      </c>
      <c r="P32" s="15">
        <f t="shared" si="1"/>
        <v>414</v>
      </c>
    </row>
    <row r="33" spans="2:20" ht="23.1" customHeight="1" x14ac:dyDescent="0.25">
      <c r="B33" s="23" t="s">
        <v>60</v>
      </c>
      <c r="C33" s="50">
        <v>95</v>
      </c>
      <c r="D33" s="50">
        <v>9</v>
      </c>
      <c r="E33" s="50">
        <v>8</v>
      </c>
      <c r="F33" s="50">
        <v>8</v>
      </c>
      <c r="G33" s="50">
        <v>3</v>
      </c>
      <c r="H33" s="50">
        <v>0</v>
      </c>
      <c r="I33" s="50">
        <v>6</v>
      </c>
      <c r="J33" s="50">
        <v>6</v>
      </c>
      <c r="K33" s="50">
        <v>0</v>
      </c>
      <c r="L33" s="50">
        <v>0</v>
      </c>
      <c r="M33" s="50">
        <v>300</v>
      </c>
      <c r="N33" s="50">
        <v>0</v>
      </c>
      <c r="O33" s="15">
        <f t="shared" si="0"/>
        <v>135</v>
      </c>
      <c r="P33" s="15">
        <f t="shared" si="1"/>
        <v>435</v>
      </c>
    </row>
    <row r="34" spans="2:20" ht="23.1" customHeight="1" x14ac:dyDescent="0.25">
      <c r="B34" s="24" t="s">
        <v>61</v>
      </c>
      <c r="C34" s="50">
        <v>104</v>
      </c>
      <c r="D34" s="50">
        <v>3</v>
      </c>
      <c r="E34" s="50">
        <v>16</v>
      </c>
      <c r="F34" s="50">
        <v>10</v>
      </c>
      <c r="G34" s="50">
        <v>0</v>
      </c>
      <c r="H34" s="50">
        <v>0</v>
      </c>
      <c r="I34" s="50">
        <v>7</v>
      </c>
      <c r="J34" s="50">
        <v>2</v>
      </c>
      <c r="K34" s="50">
        <v>1</v>
      </c>
      <c r="L34" s="50">
        <v>2</v>
      </c>
      <c r="M34" s="50">
        <v>276</v>
      </c>
      <c r="N34" s="50">
        <v>0</v>
      </c>
      <c r="O34" s="15">
        <f t="shared" si="0"/>
        <v>145</v>
      </c>
      <c r="P34" s="15">
        <f t="shared" si="1"/>
        <v>421</v>
      </c>
    </row>
    <row r="35" spans="2:20" ht="23.1" customHeight="1" x14ac:dyDescent="0.25">
      <c r="B35" s="24" t="s">
        <v>62</v>
      </c>
      <c r="C35" s="50">
        <v>50</v>
      </c>
      <c r="D35" s="50">
        <v>5</v>
      </c>
      <c r="E35" s="50">
        <v>6</v>
      </c>
      <c r="F35" s="50">
        <v>4</v>
      </c>
      <c r="G35" s="50">
        <v>0</v>
      </c>
      <c r="H35" s="50">
        <v>0</v>
      </c>
      <c r="I35" s="50">
        <v>9</v>
      </c>
      <c r="J35" s="50">
        <v>5</v>
      </c>
      <c r="K35" s="50">
        <v>0</v>
      </c>
      <c r="L35" s="50">
        <v>2</v>
      </c>
      <c r="M35" s="50">
        <v>255</v>
      </c>
      <c r="N35" s="50">
        <v>0</v>
      </c>
      <c r="O35" s="15">
        <f t="shared" si="0"/>
        <v>81</v>
      </c>
      <c r="P35" s="15">
        <f t="shared" si="1"/>
        <v>336</v>
      </c>
    </row>
    <row r="36" spans="2:20" ht="23.1" customHeight="1" x14ac:dyDescent="0.25">
      <c r="B36" s="24" t="s">
        <v>63</v>
      </c>
      <c r="C36" s="50">
        <v>71</v>
      </c>
      <c r="D36" s="50">
        <v>7</v>
      </c>
      <c r="E36" s="50">
        <v>5</v>
      </c>
      <c r="F36" s="50">
        <v>3</v>
      </c>
      <c r="G36" s="50">
        <v>0</v>
      </c>
      <c r="H36" s="50">
        <v>0</v>
      </c>
      <c r="I36" s="50">
        <v>3</v>
      </c>
      <c r="J36" s="50">
        <v>4</v>
      </c>
      <c r="K36" s="50">
        <v>0</v>
      </c>
      <c r="L36" s="50">
        <v>0</v>
      </c>
      <c r="M36" s="50">
        <v>209</v>
      </c>
      <c r="N36" s="50">
        <v>0</v>
      </c>
      <c r="O36" s="15">
        <f t="shared" si="0"/>
        <v>93</v>
      </c>
      <c r="P36" s="15">
        <f t="shared" si="1"/>
        <v>302</v>
      </c>
    </row>
    <row r="37" spans="2:20" ht="23.1" customHeight="1" x14ac:dyDescent="0.25">
      <c r="B37" s="23" t="s">
        <v>64</v>
      </c>
      <c r="C37" s="50">
        <v>65</v>
      </c>
      <c r="D37" s="50">
        <v>7</v>
      </c>
      <c r="E37" s="50">
        <v>13</v>
      </c>
      <c r="F37" s="50">
        <v>6</v>
      </c>
      <c r="G37" s="50">
        <v>0</v>
      </c>
      <c r="H37" s="50">
        <v>0</v>
      </c>
      <c r="I37" s="50">
        <v>8</v>
      </c>
      <c r="J37" s="50">
        <v>5</v>
      </c>
      <c r="K37" s="50">
        <v>0</v>
      </c>
      <c r="L37" s="50">
        <v>0</v>
      </c>
      <c r="M37" s="50">
        <v>201</v>
      </c>
      <c r="N37" s="50">
        <v>0</v>
      </c>
      <c r="O37" s="15">
        <f t="shared" si="0"/>
        <v>104</v>
      </c>
      <c r="P37" s="15">
        <f t="shared" si="1"/>
        <v>305</v>
      </c>
    </row>
    <row r="38" spans="2:20" ht="23.1" customHeight="1" x14ac:dyDescent="0.25">
      <c r="B38" s="24" t="s">
        <v>65</v>
      </c>
      <c r="C38" s="50">
        <v>63</v>
      </c>
      <c r="D38" s="50">
        <v>6</v>
      </c>
      <c r="E38" s="50">
        <v>11</v>
      </c>
      <c r="F38" s="50">
        <v>5</v>
      </c>
      <c r="G38" s="50">
        <v>1</v>
      </c>
      <c r="H38" s="50">
        <v>0</v>
      </c>
      <c r="I38" s="50">
        <v>7</v>
      </c>
      <c r="J38" s="50">
        <v>1</v>
      </c>
      <c r="K38" s="50">
        <v>1</v>
      </c>
      <c r="L38" s="50">
        <v>2</v>
      </c>
      <c r="M38" s="50">
        <v>140</v>
      </c>
      <c r="N38" s="50">
        <v>0</v>
      </c>
      <c r="O38" s="15">
        <f t="shared" si="0"/>
        <v>97</v>
      </c>
      <c r="P38" s="15">
        <f t="shared" si="1"/>
        <v>237</v>
      </c>
    </row>
    <row r="39" spans="2:20" ht="23.1" customHeight="1" x14ac:dyDescent="0.25">
      <c r="B39" s="24" t="s">
        <v>66</v>
      </c>
      <c r="C39" s="50">
        <v>67</v>
      </c>
      <c r="D39" s="50">
        <v>11</v>
      </c>
      <c r="E39" s="50">
        <v>11</v>
      </c>
      <c r="F39" s="50">
        <v>6</v>
      </c>
      <c r="G39" s="50">
        <v>1</v>
      </c>
      <c r="H39" s="50">
        <v>1</v>
      </c>
      <c r="I39" s="50">
        <v>11</v>
      </c>
      <c r="J39" s="50">
        <v>8</v>
      </c>
      <c r="K39" s="50">
        <v>6</v>
      </c>
      <c r="L39" s="50">
        <v>1</v>
      </c>
      <c r="M39" s="50">
        <v>165</v>
      </c>
      <c r="N39" s="50">
        <v>0</v>
      </c>
      <c r="O39" s="15">
        <f t="shared" si="0"/>
        <v>123</v>
      </c>
      <c r="P39" s="15">
        <f t="shared" si="1"/>
        <v>288</v>
      </c>
    </row>
    <row r="40" spans="2:20" ht="23.1" customHeight="1" x14ac:dyDescent="0.25">
      <c r="B40" s="24" t="s">
        <v>67</v>
      </c>
      <c r="C40" s="50">
        <v>53</v>
      </c>
      <c r="D40" s="50">
        <v>9</v>
      </c>
      <c r="E40" s="50">
        <v>6</v>
      </c>
      <c r="F40" s="50">
        <v>8</v>
      </c>
      <c r="G40" s="50">
        <v>2</v>
      </c>
      <c r="H40" s="50">
        <v>0</v>
      </c>
      <c r="I40" s="50">
        <v>7</v>
      </c>
      <c r="J40" s="50">
        <v>5</v>
      </c>
      <c r="K40" s="50">
        <v>6</v>
      </c>
      <c r="L40" s="50">
        <v>2</v>
      </c>
      <c r="M40" s="50">
        <v>126</v>
      </c>
      <c r="N40" s="50">
        <v>1</v>
      </c>
      <c r="O40" s="15">
        <f t="shared" si="0"/>
        <v>99</v>
      </c>
      <c r="P40" s="15">
        <f t="shared" si="1"/>
        <v>225</v>
      </c>
    </row>
    <row r="41" spans="2:20" ht="23.1" customHeight="1" x14ac:dyDescent="0.25">
      <c r="B41" s="23" t="s">
        <v>68</v>
      </c>
      <c r="C41" s="50">
        <v>87</v>
      </c>
      <c r="D41" s="50">
        <v>1</v>
      </c>
      <c r="E41" s="50">
        <v>16</v>
      </c>
      <c r="F41" s="50">
        <v>8</v>
      </c>
      <c r="G41" s="50">
        <v>3</v>
      </c>
      <c r="H41" s="50">
        <v>0</v>
      </c>
      <c r="I41" s="50">
        <v>6</v>
      </c>
      <c r="J41" s="50">
        <v>11</v>
      </c>
      <c r="K41" s="50">
        <v>9</v>
      </c>
      <c r="L41" s="50">
        <v>0</v>
      </c>
      <c r="M41" s="50">
        <v>130</v>
      </c>
      <c r="N41" s="50">
        <v>0</v>
      </c>
      <c r="O41" s="15">
        <f t="shared" si="0"/>
        <v>141</v>
      </c>
      <c r="P41" s="15">
        <f t="shared" si="1"/>
        <v>271</v>
      </c>
    </row>
    <row r="42" spans="2:20" ht="23.1" customHeight="1" x14ac:dyDescent="0.25">
      <c r="B42" s="24" t="s">
        <v>69</v>
      </c>
      <c r="C42" s="50">
        <v>45</v>
      </c>
      <c r="D42" s="50">
        <v>5</v>
      </c>
      <c r="E42" s="50">
        <v>4</v>
      </c>
      <c r="F42" s="50">
        <v>9</v>
      </c>
      <c r="G42" s="50">
        <v>0</v>
      </c>
      <c r="H42" s="50">
        <v>1</v>
      </c>
      <c r="I42" s="50">
        <v>2</v>
      </c>
      <c r="J42" s="50">
        <v>2</v>
      </c>
      <c r="K42" s="50">
        <v>2</v>
      </c>
      <c r="L42" s="50">
        <v>0</v>
      </c>
      <c r="M42" s="50">
        <v>130</v>
      </c>
      <c r="N42" s="50">
        <v>0</v>
      </c>
      <c r="O42" s="15">
        <f t="shared" si="0"/>
        <v>70</v>
      </c>
      <c r="P42" s="15">
        <f t="shared" si="1"/>
        <v>200</v>
      </c>
    </row>
    <row r="43" spans="2:20" ht="23.1" customHeight="1" x14ac:dyDescent="0.25">
      <c r="B43" s="23" t="s">
        <v>70</v>
      </c>
      <c r="C43" s="50">
        <v>51</v>
      </c>
      <c r="D43" s="50">
        <v>6</v>
      </c>
      <c r="E43" s="50">
        <v>8</v>
      </c>
      <c r="F43" s="50">
        <v>3</v>
      </c>
      <c r="G43" s="50">
        <v>1</v>
      </c>
      <c r="H43" s="50">
        <v>0</v>
      </c>
      <c r="I43" s="50">
        <v>3</v>
      </c>
      <c r="J43" s="50">
        <v>4</v>
      </c>
      <c r="K43" s="50">
        <v>0</v>
      </c>
      <c r="L43" s="50">
        <v>0</v>
      </c>
      <c r="M43" s="50">
        <v>165</v>
      </c>
      <c r="N43" s="50">
        <v>0</v>
      </c>
      <c r="O43" s="15">
        <f t="shared" si="0"/>
        <v>76</v>
      </c>
      <c r="P43" s="15">
        <f t="shared" si="1"/>
        <v>241</v>
      </c>
    </row>
    <row r="44" spans="2:20" ht="23.1" customHeight="1" x14ac:dyDescent="0.25">
      <c r="B44" s="25" t="s">
        <v>71</v>
      </c>
      <c r="C44" s="50">
        <v>60</v>
      </c>
      <c r="D44" s="50">
        <v>12</v>
      </c>
      <c r="E44" s="50">
        <v>13</v>
      </c>
      <c r="F44" s="50">
        <v>9</v>
      </c>
      <c r="G44" s="50">
        <v>1</v>
      </c>
      <c r="H44" s="50">
        <v>0</v>
      </c>
      <c r="I44" s="50">
        <v>3</v>
      </c>
      <c r="J44" s="50">
        <v>6</v>
      </c>
      <c r="K44" s="50">
        <v>1</v>
      </c>
      <c r="L44" s="50">
        <v>2</v>
      </c>
      <c r="M44" s="50">
        <v>175</v>
      </c>
      <c r="N44" s="50">
        <v>0</v>
      </c>
      <c r="O44" s="15">
        <f t="shared" si="0"/>
        <v>107</v>
      </c>
      <c r="P44" s="15">
        <f t="shared" si="1"/>
        <v>282</v>
      </c>
    </row>
    <row r="45" spans="2:20" ht="23.1" customHeight="1" x14ac:dyDescent="0.25">
      <c r="B45" s="23" t="s">
        <v>72</v>
      </c>
      <c r="C45" s="50">
        <v>64</v>
      </c>
      <c r="D45" s="50">
        <v>8</v>
      </c>
      <c r="E45" s="50">
        <v>8</v>
      </c>
      <c r="F45" s="50">
        <v>6</v>
      </c>
      <c r="G45" s="50">
        <v>0</v>
      </c>
      <c r="H45" s="50">
        <v>0</v>
      </c>
      <c r="I45" s="50">
        <v>1</v>
      </c>
      <c r="J45" s="50">
        <v>4</v>
      </c>
      <c r="K45" s="50">
        <v>0</v>
      </c>
      <c r="L45" s="50">
        <v>0</v>
      </c>
      <c r="M45" s="50">
        <v>180</v>
      </c>
      <c r="N45" s="50">
        <v>0</v>
      </c>
      <c r="O45" s="15">
        <f t="shared" si="0"/>
        <v>91</v>
      </c>
      <c r="P45" s="15">
        <f t="shared" si="1"/>
        <v>271</v>
      </c>
    </row>
    <row r="46" spans="2:20" ht="23.1" customHeight="1" x14ac:dyDescent="0.25">
      <c r="B46" s="24" t="s">
        <v>73</v>
      </c>
      <c r="C46" s="50">
        <v>45</v>
      </c>
      <c r="D46" s="50">
        <v>5</v>
      </c>
      <c r="E46" s="50">
        <v>8</v>
      </c>
      <c r="F46" s="50">
        <v>7</v>
      </c>
      <c r="G46" s="50">
        <v>0</v>
      </c>
      <c r="H46" s="50">
        <v>1</v>
      </c>
      <c r="I46" s="50">
        <v>4</v>
      </c>
      <c r="J46" s="50">
        <v>3</v>
      </c>
      <c r="K46" s="50">
        <v>1</v>
      </c>
      <c r="L46" s="50">
        <v>0</v>
      </c>
      <c r="M46" s="50">
        <v>170</v>
      </c>
      <c r="N46" s="50">
        <v>0</v>
      </c>
      <c r="O46" s="15">
        <f t="shared" si="0"/>
        <v>74</v>
      </c>
      <c r="P46" s="15">
        <f t="shared" si="1"/>
        <v>244</v>
      </c>
      <c r="R46" s="8"/>
      <c r="T46"/>
    </row>
    <row r="47" spans="2:20" ht="23.1" customHeight="1" x14ac:dyDescent="0.25">
      <c r="B47" s="24" t="s">
        <v>74</v>
      </c>
      <c r="C47" s="50">
        <v>61</v>
      </c>
      <c r="D47" s="50">
        <v>1</v>
      </c>
      <c r="E47" s="50">
        <v>10</v>
      </c>
      <c r="F47" s="50">
        <v>2</v>
      </c>
      <c r="G47" s="50">
        <v>1</v>
      </c>
      <c r="H47" s="50">
        <v>0</v>
      </c>
      <c r="I47" s="50">
        <v>3</v>
      </c>
      <c r="J47" s="50">
        <v>5</v>
      </c>
      <c r="K47" s="50">
        <v>1</v>
      </c>
      <c r="L47" s="50">
        <v>2</v>
      </c>
      <c r="M47" s="50">
        <v>221</v>
      </c>
      <c r="N47" s="50">
        <v>0</v>
      </c>
      <c r="O47" s="15">
        <f t="shared" si="0"/>
        <v>86</v>
      </c>
      <c r="P47" s="15">
        <f t="shared" si="1"/>
        <v>307</v>
      </c>
      <c r="R47" s="8"/>
      <c r="T47"/>
    </row>
    <row r="48" spans="2:20" ht="23.1" customHeight="1" x14ac:dyDescent="0.25">
      <c r="B48" s="24" t="s">
        <v>75</v>
      </c>
      <c r="C48" s="50">
        <v>71</v>
      </c>
      <c r="D48" s="50">
        <v>7</v>
      </c>
      <c r="E48" s="50">
        <v>12</v>
      </c>
      <c r="F48" s="50">
        <v>1</v>
      </c>
      <c r="G48" s="50">
        <v>1</v>
      </c>
      <c r="H48" s="50">
        <v>0</v>
      </c>
      <c r="I48" s="50">
        <v>5</v>
      </c>
      <c r="J48" s="50">
        <v>4</v>
      </c>
      <c r="K48" s="50">
        <v>1</v>
      </c>
      <c r="L48" s="50">
        <v>0</v>
      </c>
      <c r="M48" s="50">
        <v>195</v>
      </c>
      <c r="N48" s="50">
        <v>2</v>
      </c>
      <c r="O48" s="15">
        <f t="shared" si="0"/>
        <v>104</v>
      </c>
      <c r="P48" s="15">
        <f t="shared" si="1"/>
        <v>299</v>
      </c>
      <c r="R48" s="8"/>
      <c r="T48"/>
    </row>
    <row r="49" spans="2:20" ht="23.1" customHeight="1" x14ac:dyDescent="0.25">
      <c r="B49" s="23" t="s">
        <v>76</v>
      </c>
      <c r="C49" s="50">
        <v>91</v>
      </c>
      <c r="D49" s="50">
        <v>4</v>
      </c>
      <c r="E49" s="50">
        <v>3</v>
      </c>
      <c r="F49" s="50">
        <v>12</v>
      </c>
      <c r="G49" s="50">
        <v>3</v>
      </c>
      <c r="H49" s="50">
        <v>0</v>
      </c>
      <c r="I49" s="50">
        <v>5</v>
      </c>
      <c r="J49" s="50">
        <v>1</v>
      </c>
      <c r="K49" s="50">
        <v>0</v>
      </c>
      <c r="L49" s="50">
        <v>1</v>
      </c>
      <c r="M49" s="50">
        <v>200</v>
      </c>
      <c r="N49" s="50">
        <v>0</v>
      </c>
      <c r="O49" s="15">
        <f t="shared" si="0"/>
        <v>120</v>
      </c>
      <c r="P49" s="15">
        <f t="shared" si="1"/>
        <v>320</v>
      </c>
      <c r="R49" s="8"/>
      <c r="T49"/>
    </row>
    <row r="50" spans="2:20" ht="23.1" customHeight="1" x14ac:dyDescent="0.25">
      <c r="B50" s="24" t="s">
        <v>77</v>
      </c>
      <c r="C50" s="50">
        <v>66</v>
      </c>
      <c r="D50" s="50">
        <v>6</v>
      </c>
      <c r="E50" s="50">
        <v>4</v>
      </c>
      <c r="F50" s="50">
        <v>6</v>
      </c>
      <c r="G50" s="50">
        <v>0</v>
      </c>
      <c r="H50" s="50">
        <v>0</v>
      </c>
      <c r="I50" s="50">
        <v>8</v>
      </c>
      <c r="J50" s="50">
        <v>4</v>
      </c>
      <c r="K50" s="50">
        <v>0</v>
      </c>
      <c r="L50" s="50">
        <v>0</v>
      </c>
      <c r="M50" s="50">
        <v>180</v>
      </c>
      <c r="N50" s="50">
        <v>0</v>
      </c>
      <c r="O50" s="15">
        <f t="shared" si="0"/>
        <v>94</v>
      </c>
      <c r="P50" s="15">
        <f t="shared" si="1"/>
        <v>274</v>
      </c>
      <c r="R50" s="8"/>
      <c r="T50"/>
    </row>
    <row r="51" spans="2:20" ht="23.1" customHeight="1" x14ac:dyDescent="0.25">
      <c r="B51" s="24" t="s">
        <v>78</v>
      </c>
      <c r="C51" s="50">
        <v>76</v>
      </c>
      <c r="D51" s="50">
        <v>4</v>
      </c>
      <c r="E51" s="50">
        <v>6</v>
      </c>
      <c r="F51" s="50">
        <v>10</v>
      </c>
      <c r="G51" s="50">
        <v>0</v>
      </c>
      <c r="H51" s="50">
        <v>0</v>
      </c>
      <c r="I51" s="50">
        <v>5</v>
      </c>
      <c r="J51" s="50">
        <v>2</v>
      </c>
      <c r="K51" s="50">
        <v>0</v>
      </c>
      <c r="L51" s="50">
        <v>0</v>
      </c>
      <c r="M51" s="50">
        <v>210</v>
      </c>
      <c r="N51" s="50">
        <v>0</v>
      </c>
      <c r="O51" s="15">
        <f t="shared" si="0"/>
        <v>103</v>
      </c>
      <c r="P51" s="15">
        <f t="shared" si="1"/>
        <v>313</v>
      </c>
      <c r="R51" s="8"/>
      <c r="T51"/>
    </row>
    <row r="52" spans="2:20" ht="23.1" customHeight="1" x14ac:dyDescent="0.25">
      <c r="B52" s="24" t="s">
        <v>79</v>
      </c>
      <c r="C52" s="50">
        <v>80</v>
      </c>
      <c r="D52" s="50">
        <v>5</v>
      </c>
      <c r="E52" s="50">
        <v>11</v>
      </c>
      <c r="F52" s="50">
        <v>7</v>
      </c>
      <c r="G52" s="50">
        <v>2</v>
      </c>
      <c r="H52" s="50">
        <v>0</v>
      </c>
      <c r="I52" s="50">
        <v>6</v>
      </c>
      <c r="J52" s="50">
        <v>2</v>
      </c>
      <c r="K52" s="50">
        <v>4</v>
      </c>
      <c r="L52" s="50">
        <v>0</v>
      </c>
      <c r="M52" s="50">
        <v>265</v>
      </c>
      <c r="N52" s="50">
        <v>0</v>
      </c>
      <c r="O52" s="15">
        <f t="shared" si="0"/>
        <v>117</v>
      </c>
      <c r="P52" s="15">
        <f t="shared" si="1"/>
        <v>382</v>
      </c>
      <c r="R52" s="8"/>
      <c r="T52"/>
    </row>
    <row r="53" spans="2:20" ht="23.1" customHeight="1" x14ac:dyDescent="0.25">
      <c r="B53" s="23" t="s">
        <v>80</v>
      </c>
      <c r="C53" s="50">
        <v>65</v>
      </c>
      <c r="D53" s="50">
        <v>6</v>
      </c>
      <c r="E53" s="50">
        <v>1</v>
      </c>
      <c r="F53" s="50">
        <v>5</v>
      </c>
      <c r="G53" s="50">
        <v>0</v>
      </c>
      <c r="H53" s="50">
        <v>0</v>
      </c>
      <c r="I53" s="50">
        <v>3</v>
      </c>
      <c r="J53" s="50">
        <v>2</v>
      </c>
      <c r="K53" s="50">
        <v>1</v>
      </c>
      <c r="L53" s="50">
        <v>0</v>
      </c>
      <c r="M53" s="50">
        <v>145</v>
      </c>
      <c r="N53" s="50">
        <v>0</v>
      </c>
      <c r="O53" s="15">
        <f t="shared" si="0"/>
        <v>83</v>
      </c>
      <c r="P53" s="15">
        <f t="shared" si="1"/>
        <v>228</v>
      </c>
      <c r="R53" s="8"/>
      <c r="T53"/>
    </row>
    <row r="54" spans="2:20" ht="23.1" customHeight="1" x14ac:dyDescent="0.25">
      <c r="B54" s="23" t="s">
        <v>81</v>
      </c>
      <c r="C54" s="50">
        <v>90</v>
      </c>
      <c r="D54" s="50">
        <v>4</v>
      </c>
      <c r="E54" s="50">
        <v>3</v>
      </c>
      <c r="F54" s="50">
        <v>3</v>
      </c>
      <c r="G54" s="50">
        <v>1</v>
      </c>
      <c r="H54" s="50">
        <v>0</v>
      </c>
      <c r="I54" s="50">
        <v>2</v>
      </c>
      <c r="J54" s="50">
        <v>2</v>
      </c>
      <c r="K54" s="50">
        <v>0</v>
      </c>
      <c r="L54" s="50">
        <v>3</v>
      </c>
      <c r="M54" s="50">
        <v>240</v>
      </c>
      <c r="N54" s="50">
        <v>1</v>
      </c>
      <c r="O54" s="15">
        <f t="shared" si="0"/>
        <v>109</v>
      </c>
      <c r="P54" s="15">
        <f t="shared" si="1"/>
        <v>349</v>
      </c>
      <c r="R54" s="8"/>
      <c r="T54"/>
    </row>
    <row r="55" spans="2:20" ht="23.1" customHeight="1" x14ac:dyDescent="0.25">
      <c r="B55" s="23" t="s">
        <v>82</v>
      </c>
      <c r="C55" s="50">
        <v>70</v>
      </c>
      <c r="D55" s="50">
        <v>4</v>
      </c>
      <c r="E55" s="50">
        <v>9</v>
      </c>
      <c r="F55" s="50">
        <v>20</v>
      </c>
      <c r="G55" s="50">
        <v>0</v>
      </c>
      <c r="H55" s="50">
        <v>1</v>
      </c>
      <c r="I55" s="50">
        <v>3</v>
      </c>
      <c r="J55" s="50">
        <v>3</v>
      </c>
      <c r="K55" s="50">
        <v>1</v>
      </c>
      <c r="L55" s="50">
        <v>2</v>
      </c>
      <c r="M55" s="50">
        <v>250</v>
      </c>
      <c r="N55" s="50">
        <v>0</v>
      </c>
      <c r="O55" s="15">
        <f t="shared" si="0"/>
        <v>113</v>
      </c>
      <c r="P55" s="15">
        <f t="shared" si="1"/>
        <v>363</v>
      </c>
      <c r="R55" s="8"/>
      <c r="T55"/>
    </row>
    <row r="56" spans="2:20" ht="23.1" customHeight="1" x14ac:dyDescent="0.25">
      <c r="B56" s="23" t="s">
        <v>83</v>
      </c>
      <c r="C56" s="50">
        <v>115</v>
      </c>
      <c r="D56" s="50">
        <v>5</v>
      </c>
      <c r="E56" s="50">
        <v>3</v>
      </c>
      <c r="F56" s="50">
        <v>16</v>
      </c>
      <c r="G56" s="50">
        <v>4</v>
      </c>
      <c r="H56" s="50">
        <v>1</v>
      </c>
      <c r="I56" s="50">
        <v>7</v>
      </c>
      <c r="J56" s="50">
        <v>5</v>
      </c>
      <c r="K56" s="50">
        <v>0</v>
      </c>
      <c r="L56" s="50">
        <v>0</v>
      </c>
      <c r="M56" s="50">
        <v>235</v>
      </c>
      <c r="N56" s="50">
        <v>0</v>
      </c>
      <c r="O56" s="15">
        <f t="shared" si="0"/>
        <v>156</v>
      </c>
      <c r="P56" s="15">
        <f t="shared" si="1"/>
        <v>391</v>
      </c>
      <c r="R56" s="8"/>
      <c r="T56"/>
    </row>
    <row r="57" spans="2:20" ht="23.1" customHeight="1" x14ac:dyDescent="0.25">
      <c r="B57" s="23" t="s">
        <v>84</v>
      </c>
      <c r="C57" s="50">
        <v>90</v>
      </c>
      <c r="D57" s="50">
        <v>6</v>
      </c>
      <c r="E57" s="50">
        <v>5</v>
      </c>
      <c r="F57" s="50">
        <v>7</v>
      </c>
      <c r="G57" s="50">
        <v>0</v>
      </c>
      <c r="H57" s="50">
        <v>0</v>
      </c>
      <c r="I57" s="50">
        <v>2</v>
      </c>
      <c r="J57" s="50">
        <v>2</v>
      </c>
      <c r="K57" s="50">
        <v>0</v>
      </c>
      <c r="L57" s="50">
        <v>0</v>
      </c>
      <c r="M57" s="50">
        <v>200</v>
      </c>
      <c r="N57" s="50">
        <v>0</v>
      </c>
      <c r="O57" s="15">
        <f t="shared" si="0"/>
        <v>112</v>
      </c>
      <c r="P57" s="15">
        <f t="shared" si="1"/>
        <v>312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4244</v>
      </c>
      <c r="D58" s="16">
        <f t="shared" si="21"/>
        <v>432</v>
      </c>
      <c r="E58" s="16">
        <f t="shared" si="21"/>
        <v>408</v>
      </c>
      <c r="F58" s="16">
        <f t="shared" si="21"/>
        <v>685</v>
      </c>
      <c r="G58" s="16">
        <f t="shared" si="21"/>
        <v>34</v>
      </c>
      <c r="H58" s="16">
        <f t="shared" si="21"/>
        <v>6</v>
      </c>
      <c r="I58" s="16">
        <f t="shared" si="21"/>
        <v>269</v>
      </c>
      <c r="J58" s="16">
        <f t="shared" si="21"/>
        <v>165</v>
      </c>
      <c r="K58" s="16">
        <f t="shared" si="21"/>
        <v>49</v>
      </c>
      <c r="L58" s="16">
        <f t="shared" si="21"/>
        <v>28</v>
      </c>
      <c r="M58" s="16">
        <f t="shared" si="21"/>
        <v>10204</v>
      </c>
      <c r="N58" s="16">
        <f t="shared" si="21"/>
        <v>4</v>
      </c>
      <c r="O58" s="16">
        <f t="shared" si="21"/>
        <v>6324</v>
      </c>
      <c r="P58" s="16">
        <f t="shared" si="21"/>
        <v>16528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0.25677637947725074</v>
      </c>
      <c r="D59" s="43">
        <f t="shared" si="22"/>
        <v>2.6137463697967087E-2</v>
      </c>
      <c r="E59" s="43">
        <f t="shared" si="22"/>
        <v>2.4685382381413358E-2</v>
      </c>
      <c r="F59" s="43">
        <f t="shared" si="22"/>
        <v>4.144482090997096E-2</v>
      </c>
      <c r="G59" s="43">
        <f t="shared" si="22"/>
        <v>2.0571151984511132E-3</v>
      </c>
      <c r="H59" s="43">
        <f t="shared" si="22"/>
        <v>3.6302032913843176E-4</v>
      </c>
      <c r="I59" s="43">
        <f t="shared" si="22"/>
        <v>1.627541142303969E-2</v>
      </c>
      <c r="J59" s="43">
        <f t="shared" si="22"/>
        <v>9.9830590513068727E-3</v>
      </c>
      <c r="K59" s="43">
        <f t="shared" si="22"/>
        <v>2.9646660212971927E-3</v>
      </c>
      <c r="L59" s="43">
        <f t="shared" si="22"/>
        <v>1.6940948693126815E-3</v>
      </c>
      <c r="M59" s="43">
        <f t="shared" si="22"/>
        <v>0.61737657308809291</v>
      </c>
      <c r="N59" s="43">
        <f t="shared" si="22"/>
        <v>2.4201355275895451E-4</v>
      </c>
      <c r="R59" s="8"/>
      <c r="T59"/>
    </row>
    <row r="60" spans="2:20" ht="23.1" customHeight="1" x14ac:dyDescent="0.25">
      <c r="B60" s="42" t="s">
        <v>94</v>
      </c>
      <c r="C60" s="44">
        <f>C58/$O$58</f>
        <v>0.67109424414927266</v>
      </c>
      <c r="D60" s="44">
        <f t="shared" ref="D60:N60" si="23">D58/$O$58</f>
        <v>6.8311195445920306E-2</v>
      </c>
      <c r="E60" s="44">
        <f t="shared" si="23"/>
        <v>6.4516129032258063E-2</v>
      </c>
      <c r="F60" s="44">
        <f t="shared" si="23"/>
        <v>0.10831752055660974</v>
      </c>
      <c r="G60" s="44">
        <f t="shared" si="23"/>
        <v>5.3763440860215058E-3</v>
      </c>
      <c r="H60" s="44">
        <f t="shared" si="23"/>
        <v>9.4876660341555979E-4</v>
      </c>
      <c r="I60" s="44">
        <f t="shared" si="23"/>
        <v>4.2536369386464261E-2</v>
      </c>
      <c r="J60" s="44">
        <f t="shared" si="23"/>
        <v>2.6091081593927895E-2</v>
      </c>
      <c r="K60" s="44">
        <f t="shared" si="23"/>
        <v>7.7482605945604051E-3</v>
      </c>
      <c r="L60" s="44">
        <f t="shared" si="23"/>
        <v>4.4275774826059459E-3</v>
      </c>
      <c r="M60" s="44"/>
      <c r="N60" s="44">
        <f t="shared" si="23"/>
        <v>6.3251106894370653E-4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'22.07 Lubiri -Ndeeba'!C3:G3</f>
        <v>MCC - C1 - STN03- KALINDA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71" t="str">
        <f>'24.07 Ndeeba-Lubiri'!G5:H5</f>
        <v>Before Shell</v>
      </c>
      <c r="H5" s="72"/>
      <c r="I5" s="14"/>
      <c r="J5" s="2" t="s">
        <v>5</v>
      </c>
      <c r="K5" s="71" t="s">
        <v>179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'22.07 Lubiri -Ndeeba'!D6:E6</f>
        <v>Lubiri</v>
      </c>
      <c r="E6" s="72"/>
      <c r="F6" s="2" t="s">
        <v>2</v>
      </c>
      <c r="G6" s="71" t="str">
        <f>'22.07 Lubiri -Ndeeba'!G6:H6</f>
        <v>Ndeeba</v>
      </c>
      <c r="H6" s="72"/>
      <c r="J6" s="2" t="s">
        <v>21</v>
      </c>
      <c r="K6" s="71" t="str">
        <f>'24.07 Ndeeba-Lubiri'!K6:L6</f>
        <v>Denis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33</v>
      </c>
      <c r="D10" s="50">
        <v>3</v>
      </c>
      <c r="E10" s="50">
        <v>5</v>
      </c>
      <c r="F10" s="50">
        <v>20</v>
      </c>
      <c r="G10" s="50">
        <v>1</v>
      </c>
      <c r="H10" s="50">
        <v>0</v>
      </c>
      <c r="I10" s="50">
        <v>2</v>
      </c>
      <c r="J10" s="50">
        <v>2</v>
      </c>
      <c r="K10" s="50">
        <v>0</v>
      </c>
      <c r="L10" s="50">
        <v>0</v>
      </c>
      <c r="M10" s="50">
        <v>75</v>
      </c>
      <c r="N10" s="50">
        <v>0</v>
      </c>
      <c r="O10" s="15">
        <f t="shared" ref="O10:O57" si="0">SUM(C10:L10,N10)</f>
        <v>66</v>
      </c>
      <c r="P10" s="15">
        <f t="shared" ref="P10:P57" si="1">SUM(C10:N10)</f>
        <v>141</v>
      </c>
      <c r="R10" s="1" t="s">
        <v>6</v>
      </c>
      <c r="S10" s="17">
        <f t="shared" ref="S10:AF10" si="2">SUM(C10:C13)</f>
        <v>112</v>
      </c>
      <c r="T10" s="17">
        <f t="shared" si="2"/>
        <v>13</v>
      </c>
      <c r="U10" s="17">
        <f t="shared" si="2"/>
        <v>14</v>
      </c>
      <c r="V10" s="17">
        <f t="shared" si="2"/>
        <v>79</v>
      </c>
      <c r="W10" s="17">
        <f t="shared" si="2"/>
        <v>2</v>
      </c>
      <c r="X10" s="17">
        <f t="shared" si="2"/>
        <v>0</v>
      </c>
      <c r="Y10" s="17">
        <f t="shared" si="2"/>
        <v>10</v>
      </c>
      <c r="Z10" s="17">
        <f t="shared" si="2"/>
        <v>5</v>
      </c>
      <c r="AA10" s="17">
        <f t="shared" si="2"/>
        <v>0</v>
      </c>
      <c r="AB10" s="17">
        <f t="shared" si="2"/>
        <v>0</v>
      </c>
      <c r="AC10" s="17">
        <f t="shared" si="2"/>
        <v>552</v>
      </c>
      <c r="AD10" s="17">
        <f t="shared" si="2"/>
        <v>0</v>
      </c>
      <c r="AE10" s="31">
        <f t="shared" si="2"/>
        <v>235</v>
      </c>
      <c r="AF10" s="31">
        <f t="shared" si="2"/>
        <v>787</v>
      </c>
    </row>
    <row r="11" spans="2:32" s="6" customFormat="1" ht="23.1" customHeight="1" x14ac:dyDescent="0.25">
      <c r="B11" s="23" t="s">
        <v>38</v>
      </c>
      <c r="C11" s="50">
        <v>34</v>
      </c>
      <c r="D11" s="50">
        <v>3</v>
      </c>
      <c r="E11" s="50">
        <v>4</v>
      </c>
      <c r="F11" s="50">
        <v>19</v>
      </c>
      <c r="G11" s="50">
        <v>0</v>
      </c>
      <c r="H11" s="50">
        <v>0</v>
      </c>
      <c r="I11" s="50">
        <v>2</v>
      </c>
      <c r="J11" s="50">
        <v>1</v>
      </c>
      <c r="K11" s="50">
        <v>0</v>
      </c>
      <c r="L11" s="50">
        <v>0</v>
      </c>
      <c r="M11" s="50">
        <v>127</v>
      </c>
      <c r="N11" s="50">
        <v>0</v>
      </c>
      <c r="O11" s="15">
        <f t="shared" si="0"/>
        <v>63</v>
      </c>
      <c r="P11" s="15">
        <f t="shared" si="1"/>
        <v>190</v>
      </c>
      <c r="R11" s="1" t="s">
        <v>7</v>
      </c>
      <c r="S11" s="17">
        <f t="shared" ref="S11:AF11" si="3">SUM(C14:C17)</f>
        <v>83</v>
      </c>
      <c r="T11" s="17">
        <f t="shared" si="3"/>
        <v>10</v>
      </c>
      <c r="U11" s="17">
        <f t="shared" si="3"/>
        <v>7</v>
      </c>
      <c r="V11" s="17">
        <f t="shared" si="3"/>
        <v>61</v>
      </c>
      <c r="W11" s="17">
        <f t="shared" si="3"/>
        <v>0</v>
      </c>
      <c r="X11" s="17">
        <f t="shared" si="3"/>
        <v>0</v>
      </c>
      <c r="Y11" s="17">
        <f t="shared" si="3"/>
        <v>13</v>
      </c>
      <c r="Z11" s="17">
        <f t="shared" si="3"/>
        <v>8</v>
      </c>
      <c r="AA11" s="17">
        <f t="shared" si="3"/>
        <v>1</v>
      </c>
      <c r="AB11" s="17">
        <f t="shared" si="3"/>
        <v>0</v>
      </c>
      <c r="AC11" s="17">
        <f t="shared" si="3"/>
        <v>945</v>
      </c>
      <c r="AD11" s="17">
        <f t="shared" si="3"/>
        <v>0</v>
      </c>
      <c r="AE11" s="31">
        <f t="shared" si="3"/>
        <v>183</v>
      </c>
      <c r="AF11" s="31">
        <f t="shared" si="3"/>
        <v>1128</v>
      </c>
    </row>
    <row r="12" spans="2:32" ht="23.1" customHeight="1" x14ac:dyDescent="0.25">
      <c r="B12" s="23" t="s">
        <v>39</v>
      </c>
      <c r="C12" s="50">
        <v>19</v>
      </c>
      <c r="D12" s="50">
        <v>5</v>
      </c>
      <c r="E12" s="50">
        <v>2</v>
      </c>
      <c r="F12" s="50">
        <v>19</v>
      </c>
      <c r="G12" s="50">
        <v>0</v>
      </c>
      <c r="H12" s="50">
        <v>0</v>
      </c>
      <c r="I12" s="50">
        <v>3</v>
      </c>
      <c r="J12" s="50">
        <v>1</v>
      </c>
      <c r="K12" s="50">
        <v>0</v>
      </c>
      <c r="L12" s="50">
        <v>0</v>
      </c>
      <c r="M12" s="50">
        <v>185</v>
      </c>
      <c r="N12" s="50">
        <v>0</v>
      </c>
      <c r="O12" s="15">
        <f t="shared" si="0"/>
        <v>49</v>
      </c>
      <c r="P12" s="15">
        <f t="shared" si="1"/>
        <v>234</v>
      </c>
      <c r="R12" s="1" t="s">
        <v>8</v>
      </c>
      <c r="S12" s="17">
        <f t="shared" ref="S12:AF12" si="4">SUM(C18:C21)</f>
        <v>85</v>
      </c>
      <c r="T12" s="17">
        <f t="shared" si="4"/>
        <v>22</v>
      </c>
      <c r="U12" s="17">
        <f t="shared" si="4"/>
        <v>8</v>
      </c>
      <c r="V12" s="17">
        <f t="shared" si="4"/>
        <v>66</v>
      </c>
      <c r="W12" s="17">
        <f t="shared" si="4"/>
        <v>1</v>
      </c>
      <c r="X12" s="17">
        <f t="shared" si="4"/>
        <v>0</v>
      </c>
      <c r="Y12" s="17">
        <f t="shared" si="4"/>
        <v>25</v>
      </c>
      <c r="Z12" s="17">
        <f t="shared" si="4"/>
        <v>16</v>
      </c>
      <c r="AA12" s="17">
        <f t="shared" si="4"/>
        <v>5</v>
      </c>
      <c r="AB12" s="17">
        <f t="shared" si="4"/>
        <v>0</v>
      </c>
      <c r="AC12" s="17">
        <f t="shared" si="4"/>
        <v>960</v>
      </c>
      <c r="AD12" s="17">
        <f t="shared" si="4"/>
        <v>0</v>
      </c>
      <c r="AE12" s="31">
        <f t="shared" si="4"/>
        <v>228</v>
      </c>
      <c r="AF12" s="31">
        <f t="shared" si="4"/>
        <v>1188</v>
      </c>
    </row>
    <row r="13" spans="2:32" ht="23.1" customHeight="1" x14ac:dyDescent="0.25">
      <c r="B13" s="23" t="s">
        <v>40</v>
      </c>
      <c r="C13" s="50">
        <v>26</v>
      </c>
      <c r="D13" s="50">
        <v>2</v>
      </c>
      <c r="E13" s="50">
        <v>3</v>
      </c>
      <c r="F13" s="50">
        <v>21</v>
      </c>
      <c r="G13" s="50">
        <v>1</v>
      </c>
      <c r="H13" s="50">
        <v>0</v>
      </c>
      <c r="I13" s="50">
        <v>3</v>
      </c>
      <c r="J13" s="50">
        <v>1</v>
      </c>
      <c r="K13" s="50">
        <v>0</v>
      </c>
      <c r="L13" s="50">
        <v>0</v>
      </c>
      <c r="M13" s="50">
        <v>165</v>
      </c>
      <c r="N13" s="50">
        <v>0</v>
      </c>
      <c r="O13" s="15">
        <f t="shared" si="0"/>
        <v>57</v>
      </c>
      <c r="P13" s="15">
        <f t="shared" si="1"/>
        <v>222</v>
      </c>
      <c r="R13" s="1" t="s">
        <v>9</v>
      </c>
      <c r="S13" s="17">
        <f t="shared" ref="S13:AF13" si="5">SUM(C22:C25)</f>
        <v>89</v>
      </c>
      <c r="T13" s="17">
        <f t="shared" si="5"/>
        <v>9</v>
      </c>
      <c r="U13" s="17">
        <f t="shared" si="5"/>
        <v>13</v>
      </c>
      <c r="V13" s="17">
        <f t="shared" si="5"/>
        <v>59</v>
      </c>
      <c r="W13" s="17">
        <f t="shared" si="5"/>
        <v>0</v>
      </c>
      <c r="X13" s="17">
        <f t="shared" si="5"/>
        <v>1</v>
      </c>
      <c r="Y13" s="17">
        <f t="shared" si="5"/>
        <v>29</v>
      </c>
      <c r="Z13" s="17">
        <f t="shared" si="5"/>
        <v>23</v>
      </c>
      <c r="AA13" s="17">
        <f t="shared" si="5"/>
        <v>2</v>
      </c>
      <c r="AB13" s="17">
        <f t="shared" si="5"/>
        <v>0</v>
      </c>
      <c r="AC13" s="17">
        <f t="shared" si="5"/>
        <v>835</v>
      </c>
      <c r="AD13" s="17">
        <f t="shared" si="5"/>
        <v>0</v>
      </c>
      <c r="AE13" s="31">
        <f t="shared" si="5"/>
        <v>225</v>
      </c>
      <c r="AF13" s="31">
        <f t="shared" si="5"/>
        <v>1060</v>
      </c>
    </row>
    <row r="14" spans="2:32" ht="23.1" customHeight="1" x14ac:dyDescent="0.25">
      <c r="B14" s="23" t="s">
        <v>41</v>
      </c>
      <c r="C14" s="50">
        <v>34</v>
      </c>
      <c r="D14" s="50">
        <v>3</v>
      </c>
      <c r="E14" s="50">
        <v>4</v>
      </c>
      <c r="F14" s="50">
        <v>19</v>
      </c>
      <c r="G14" s="50">
        <v>0</v>
      </c>
      <c r="H14" s="50">
        <v>0</v>
      </c>
      <c r="I14" s="50">
        <v>4</v>
      </c>
      <c r="J14" s="50">
        <v>1</v>
      </c>
      <c r="K14" s="50">
        <v>0</v>
      </c>
      <c r="L14" s="50">
        <v>0</v>
      </c>
      <c r="M14" s="50">
        <v>240</v>
      </c>
      <c r="N14" s="50">
        <v>0</v>
      </c>
      <c r="O14" s="15">
        <f t="shared" si="0"/>
        <v>65</v>
      </c>
      <c r="P14" s="15">
        <f t="shared" si="1"/>
        <v>305</v>
      </c>
      <c r="R14" s="1" t="s">
        <v>10</v>
      </c>
      <c r="S14" s="17">
        <f t="shared" ref="S14:AF14" si="6">SUM(C26:C29)</f>
        <v>122</v>
      </c>
      <c r="T14" s="17">
        <f t="shared" si="6"/>
        <v>19</v>
      </c>
      <c r="U14" s="17">
        <f t="shared" si="6"/>
        <v>19</v>
      </c>
      <c r="V14" s="17">
        <f t="shared" si="6"/>
        <v>58</v>
      </c>
      <c r="W14" s="17">
        <f t="shared" si="6"/>
        <v>1</v>
      </c>
      <c r="X14" s="17">
        <f t="shared" si="6"/>
        <v>0</v>
      </c>
      <c r="Y14" s="17">
        <f t="shared" si="6"/>
        <v>40</v>
      </c>
      <c r="Z14" s="17">
        <f t="shared" si="6"/>
        <v>23</v>
      </c>
      <c r="AA14" s="17">
        <f t="shared" si="6"/>
        <v>1</v>
      </c>
      <c r="AB14" s="17">
        <f t="shared" si="6"/>
        <v>3</v>
      </c>
      <c r="AC14" s="17">
        <f t="shared" si="6"/>
        <v>974</v>
      </c>
      <c r="AD14" s="17">
        <f t="shared" si="6"/>
        <v>1</v>
      </c>
      <c r="AE14" s="31">
        <f t="shared" si="6"/>
        <v>287</v>
      </c>
      <c r="AF14" s="31">
        <f t="shared" si="6"/>
        <v>1261</v>
      </c>
    </row>
    <row r="15" spans="2:32" ht="23.1" customHeight="1" x14ac:dyDescent="0.25">
      <c r="B15" s="23" t="s">
        <v>42</v>
      </c>
      <c r="C15" s="50">
        <v>12</v>
      </c>
      <c r="D15" s="50">
        <v>0</v>
      </c>
      <c r="E15" s="50">
        <v>0</v>
      </c>
      <c r="F15" s="50">
        <v>13</v>
      </c>
      <c r="G15" s="50">
        <v>0</v>
      </c>
      <c r="H15" s="50">
        <v>0</v>
      </c>
      <c r="I15" s="50">
        <v>3</v>
      </c>
      <c r="J15" s="50">
        <v>1</v>
      </c>
      <c r="K15" s="50">
        <v>1</v>
      </c>
      <c r="L15" s="50">
        <v>0</v>
      </c>
      <c r="M15" s="50">
        <v>210</v>
      </c>
      <c r="N15" s="50">
        <v>0</v>
      </c>
      <c r="O15" s="15">
        <f t="shared" si="0"/>
        <v>30</v>
      </c>
      <c r="P15" s="15">
        <f t="shared" si="1"/>
        <v>240</v>
      </c>
      <c r="R15" s="1" t="s">
        <v>11</v>
      </c>
      <c r="S15" s="17">
        <f t="shared" ref="S15:AF15" si="7">SUM(C30:C33)</f>
        <v>135</v>
      </c>
      <c r="T15" s="17">
        <f t="shared" si="7"/>
        <v>27</v>
      </c>
      <c r="U15" s="17">
        <f t="shared" si="7"/>
        <v>21</v>
      </c>
      <c r="V15" s="17">
        <f t="shared" si="7"/>
        <v>42</v>
      </c>
      <c r="W15" s="17">
        <f t="shared" si="7"/>
        <v>1</v>
      </c>
      <c r="X15" s="17">
        <f t="shared" si="7"/>
        <v>0</v>
      </c>
      <c r="Y15" s="17">
        <f t="shared" si="7"/>
        <v>27</v>
      </c>
      <c r="Z15" s="17">
        <f t="shared" si="7"/>
        <v>21</v>
      </c>
      <c r="AA15" s="17">
        <f t="shared" si="7"/>
        <v>3</v>
      </c>
      <c r="AB15" s="17">
        <f t="shared" si="7"/>
        <v>0</v>
      </c>
      <c r="AC15" s="17">
        <f t="shared" si="7"/>
        <v>1136</v>
      </c>
      <c r="AD15" s="17">
        <f t="shared" si="7"/>
        <v>0</v>
      </c>
      <c r="AE15" s="31">
        <f t="shared" si="7"/>
        <v>277</v>
      </c>
      <c r="AF15" s="31">
        <f t="shared" si="7"/>
        <v>1413</v>
      </c>
    </row>
    <row r="16" spans="2:32" ht="23.1" customHeight="1" x14ac:dyDescent="0.25">
      <c r="B16" s="23" t="s">
        <v>43</v>
      </c>
      <c r="C16" s="50">
        <v>19</v>
      </c>
      <c r="D16" s="50">
        <v>3</v>
      </c>
      <c r="E16" s="50">
        <v>2</v>
      </c>
      <c r="F16" s="50">
        <v>16</v>
      </c>
      <c r="G16" s="50">
        <v>0</v>
      </c>
      <c r="H16" s="50">
        <v>0</v>
      </c>
      <c r="I16" s="50">
        <v>0</v>
      </c>
      <c r="J16" s="50">
        <v>3</v>
      </c>
      <c r="K16" s="50">
        <v>0</v>
      </c>
      <c r="L16" s="50">
        <v>0</v>
      </c>
      <c r="M16" s="50">
        <v>265</v>
      </c>
      <c r="N16" s="50">
        <v>0</v>
      </c>
      <c r="O16" s="15">
        <f t="shared" si="0"/>
        <v>43</v>
      </c>
      <c r="P16" s="15">
        <f t="shared" si="1"/>
        <v>308</v>
      </c>
      <c r="R16" s="1" t="s">
        <v>12</v>
      </c>
      <c r="S16" s="17">
        <f t="shared" ref="S16:AF16" si="8">SUM(C34:C37)</f>
        <v>135</v>
      </c>
      <c r="T16" s="17">
        <f t="shared" si="8"/>
        <v>15</v>
      </c>
      <c r="U16" s="17">
        <f t="shared" si="8"/>
        <v>17</v>
      </c>
      <c r="V16" s="17">
        <f t="shared" si="8"/>
        <v>41</v>
      </c>
      <c r="W16" s="17">
        <f t="shared" si="8"/>
        <v>3</v>
      </c>
      <c r="X16" s="17">
        <f t="shared" si="8"/>
        <v>1</v>
      </c>
      <c r="Y16" s="17">
        <f t="shared" si="8"/>
        <v>29</v>
      </c>
      <c r="Z16" s="17">
        <f t="shared" si="8"/>
        <v>19</v>
      </c>
      <c r="AA16" s="17">
        <f t="shared" si="8"/>
        <v>0</v>
      </c>
      <c r="AB16" s="17">
        <f t="shared" si="8"/>
        <v>1</v>
      </c>
      <c r="AC16" s="17">
        <f t="shared" si="8"/>
        <v>942</v>
      </c>
      <c r="AD16" s="17">
        <f t="shared" si="8"/>
        <v>0</v>
      </c>
      <c r="AE16" s="31">
        <f t="shared" si="8"/>
        <v>261</v>
      </c>
      <c r="AF16" s="31">
        <f t="shared" si="8"/>
        <v>1203</v>
      </c>
    </row>
    <row r="17" spans="2:32" ht="23.1" customHeight="1" x14ac:dyDescent="0.25">
      <c r="B17" s="23" t="s">
        <v>44</v>
      </c>
      <c r="C17" s="50">
        <v>18</v>
      </c>
      <c r="D17" s="50">
        <v>4</v>
      </c>
      <c r="E17" s="50">
        <v>1</v>
      </c>
      <c r="F17" s="50">
        <v>13</v>
      </c>
      <c r="G17" s="50">
        <v>0</v>
      </c>
      <c r="H17" s="50">
        <v>0</v>
      </c>
      <c r="I17" s="50">
        <v>6</v>
      </c>
      <c r="J17" s="50">
        <v>3</v>
      </c>
      <c r="K17" s="50">
        <v>0</v>
      </c>
      <c r="L17" s="50">
        <v>0</v>
      </c>
      <c r="M17" s="50">
        <v>230</v>
      </c>
      <c r="N17" s="50">
        <v>0</v>
      </c>
      <c r="O17" s="15">
        <f t="shared" si="0"/>
        <v>45</v>
      </c>
      <c r="P17" s="15">
        <f t="shared" si="1"/>
        <v>275</v>
      </c>
      <c r="R17" s="1" t="s">
        <v>13</v>
      </c>
      <c r="S17" s="17">
        <f t="shared" ref="S17:AF17" si="9">SUM(C38:C41)</f>
        <v>142</v>
      </c>
      <c r="T17" s="17">
        <f t="shared" si="9"/>
        <v>29</v>
      </c>
      <c r="U17" s="17">
        <f t="shared" si="9"/>
        <v>15</v>
      </c>
      <c r="V17" s="17">
        <f t="shared" si="9"/>
        <v>39</v>
      </c>
      <c r="W17" s="17">
        <f t="shared" si="9"/>
        <v>2</v>
      </c>
      <c r="X17" s="17">
        <f t="shared" si="9"/>
        <v>1</v>
      </c>
      <c r="Y17" s="17">
        <f t="shared" si="9"/>
        <v>16</v>
      </c>
      <c r="Z17" s="17">
        <f t="shared" si="9"/>
        <v>10</v>
      </c>
      <c r="AA17" s="17">
        <f t="shared" si="9"/>
        <v>0</v>
      </c>
      <c r="AB17" s="17">
        <f t="shared" si="9"/>
        <v>3</v>
      </c>
      <c r="AC17" s="17">
        <f t="shared" si="9"/>
        <v>793</v>
      </c>
      <c r="AD17" s="17">
        <f t="shared" si="9"/>
        <v>1</v>
      </c>
      <c r="AE17" s="31">
        <f t="shared" si="9"/>
        <v>258</v>
      </c>
      <c r="AF17" s="31">
        <f t="shared" si="9"/>
        <v>1051</v>
      </c>
    </row>
    <row r="18" spans="2:32" ht="23.1" customHeight="1" x14ac:dyDescent="0.25">
      <c r="B18" s="23" t="s">
        <v>45</v>
      </c>
      <c r="C18" s="50">
        <v>19</v>
      </c>
      <c r="D18" s="50">
        <v>6</v>
      </c>
      <c r="E18" s="50">
        <v>1</v>
      </c>
      <c r="F18" s="50">
        <v>13</v>
      </c>
      <c r="G18" s="50">
        <v>1</v>
      </c>
      <c r="H18" s="50">
        <v>0</v>
      </c>
      <c r="I18" s="50">
        <v>3</v>
      </c>
      <c r="J18" s="50">
        <v>2</v>
      </c>
      <c r="K18" s="50">
        <v>3</v>
      </c>
      <c r="L18" s="50">
        <v>0</v>
      </c>
      <c r="M18" s="50">
        <v>265</v>
      </c>
      <c r="N18" s="50">
        <v>0</v>
      </c>
      <c r="O18" s="15">
        <f t="shared" si="0"/>
        <v>48</v>
      </c>
      <c r="P18" s="15">
        <f t="shared" si="1"/>
        <v>313</v>
      </c>
      <c r="R18" s="1" t="s">
        <v>14</v>
      </c>
      <c r="S18" s="17">
        <f t="shared" ref="S18:AF18" si="10">SUM(C42:C45)</f>
        <v>133</v>
      </c>
      <c r="T18" s="17">
        <f t="shared" si="10"/>
        <v>26</v>
      </c>
      <c r="U18" s="17">
        <f t="shared" si="10"/>
        <v>18</v>
      </c>
      <c r="V18" s="17">
        <f t="shared" si="10"/>
        <v>40</v>
      </c>
      <c r="W18" s="17">
        <f t="shared" si="10"/>
        <v>4</v>
      </c>
      <c r="X18" s="17">
        <f t="shared" si="10"/>
        <v>0</v>
      </c>
      <c r="Y18" s="17">
        <f t="shared" si="10"/>
        <v>28</v>
      </c>
      <c r="Z18" s="17">
        <f t="shared" si="10"/>
        <v>19</v>
      </c>
      <c r="AA18" s="17">
        <f t="shared" si="10"/>
        <v>3</v>
      </c>
      <c r="AB18" s="17">
        <f t="shared" si="10"/>
        <v>3</v>
      </c>
      <c r="AC18" s="17">
        <f t="shared" si="10"/>
        <v>1277</v>
      </c>
      <c r="AD18" s="17">
        <f t="shared" si="10"/>
        <v>0</v>
      </c>
      <c r="AE18" s="31">
        <f t="shared" si="10"/>
        <v>274</v>
      </c>
      <c r="AF18" s="31">
        <f t="shared" si="10"/>
        <v>1551</v>
      </c>
    </row>
    <row r="19" spans="2:32" ht="23.1" customHeight="1" x14ac:dyDescent="0.25">
      <c r="B19" s="23" t="s">
        <v>46</v>
      </c>
      <c r="C19" s="50">
        <v>23</v>
      </c>
      <c r="D19" s="50">
        <v>7</v>
      </c>
      <c r="E19" s="50">
        <v>4</v>
      </c>
      <c r="F19" s="50">
        <v>24</v>
      </c>
      <c r="G19" s="50">
        <v>0</v>
      </c>
      <c r="H19" s="50">
        <v>0</v>
      </c>
      <c r="I19" s="50">
        <v>5</v>
      </c>
      <c r="J19" s="50">
        <v>2</v>
      </c>
      <c r="K19" s="50">
        <v>0</v>
      </c>
      <c r="L19" s="50">
        <v>0</v>
      </c>
      <c r="M19" s="50">
        <v>215</v>
      </c>
      <c r="N19" s="50">
        <v>0</v>
      </c>
      <c r="O19" s="15">
        <f t="shared" si="0"/>
        <v>65</v>
      </c>
      <c r="P19" s="15">
        <f t="shared" si="1"/>
        <v>280</v>
      </c>
      <c r="R19" s="1" t="s">
        <v>15</v>
      </c>
      <c r="S19" s="17">
        <f t="shared" ref="S19:AF19" si="11">SUM(C46:C49)</f>
        <v>180</v>
      </c>
      <c r="T19" s="17">
        <f t="shared" si="11"/>
        <v>15</v>
      </c>
      <c r="U19" s="17">
        <f t="shared" si="11"/>
        <v>13</v>
      </c>
      <c r="V19" s="17">
        <f t="shared" si="11"/>
        <v>49</v>
      </c>
      <c r="W19" s="17">
        <f t="shared" si="11"/>
        <v>3</v>
      </c>
      <c r="X19" s="17">
        <f t="shared" si="11"/>
        <v>0</v>
      </c>
      <c r="Y19" s="17">
        <f t="shared" si="11"/>
        <v>13</v>
      </c>
      <c r="Z19" s="17">
        <f t="shared" si="11"/>
        <v>15</v>
      </c>
      <c r="AA19" s="17">
        <f t="shared" si="11"/>
        <v>0</v>
      </c>
      <c r="AB19" s="17">
        <f t="shared" si="11"/>
        <v>3</v>
      </c>
      <c r="AC19" s="17">
        <f t="shared" si="11"/>
        <v>819</v>
      </c>
      <c r="AD19" s="17">
        <f t="shared" si="11"/>
        <v>0</v>
      </c>
      <c r="AE19" s="31">
        <f t="shared" si="11"/>
        <v>291</v>
      </c>
      <c r="AF19" s="31">
        <f t="shared" si="11"/>
        <v>1110</v>
      </c>
    </row>
    <row r="20" spans="2:32" ht="23.1" customHeight="1" x14ac:dyDescent="0.25">
      <c r="B20" s="23" t="s">
        <v>47</v>
      </c>
      <c r="C20" s="50">
        <v>13</v>
      </c>
      <c r="D20" s="50">
        <v>4</v>
      </c>
      <c r="E20" s="50">
        <v>2</v>
      </c>
      <c r="F20" s="50">
        <v>11</v>
      </c>
      <c r="G20" s="50">
        <v>0</v>
      </c>
      <c r="H20" s="50">
        <v>0</v>
      </c>
      <c r="I20" s="50">
        <v>8</v>
      </c>
      <c r="J20" s="50">
        <v>7</v>
      </c>
      <c r="K20" s="50">
        <v>2</v>
      </c>
      <c r="L20" s="50">
        <v>0</v>
      </c>
      <c r="M20" s="50">
        <v>260</v>
      </c>
      <c r="N20" s="50">
        <v>0</v>
      </c>
      <c r="O20" s="15">
        <f t="shared" si="0"/>
        <v>47</v>
      </c>
      <c r="P20" s="15">
        <f t="shared" si="1"/>
        <v>307</v>
      </c>
      <c r="R20" s="1" t="s">
        <v>16</v>
      </c>
      <c r="S20" s="17">
        <f t="shared" ref="S20:AF20" si="12">SUM(C50:C53)</f>
        <v>210</v>
      </c>
      <c r="T20" s="17">
        <f t="shared" si="12"/>
        <v>28</v>
      </c>
      <c r="U20" s="17">
        <f t="shared" si="12"/>
        <v>15</v>
      </c>
      <c r="V20" s="17">
        <f t="shared" si="12"/>
        <v>65</v>
      </c>
      <c r="W20" s="17">
        <f t="shared" si="12"/>
        <v>1</v>
      </c>
      <c r="X20" s="17">
        <f t="shared" si="12"/>
        <v>0</v>
      </c>
      <c r="Y20" s="17">
        <f t="shared" si="12"/>
        <v>20</v>
      </c>
      <c r="Z20" s="17">
        <f t="shared" si="12"/>
        <v>13</v>
      </c>
      <c r="AA20" s="17">
        <f t="shared" si="12"/>
        <v>3</v>
      </c>
      <c r="AB20" s="17">
        <f t="shared" si="12"/>
        <v>3</v>
      </c>
      <c r="AC20" s="17">
        <f t="shared" si="12"/>
        <v>1005</v>
      </c>
      <c r="AD20" s="17">
        <f t="shared" si="12"/>
        <v>0</v>
      </c>
      <c r="AE20" s="31">
        <f t="shared" si="12"/>
        <v>358</v>
      </c>
      <c r="AF20" s="31">
        <f t="shared" si="12"/>
        <v>1363</v>
      </c>
    </row>
    <row r="21" spans="2:32" ht="23.1" customHeight="1" x14ac:dyDescent="0.25">
      <c r="B21" s="23" t="s">
        <v>48</v>
      </c>
      <c r="C21" s="50">
        <v>30</v>
      </c>
      <c r="D21" s="50">
        <v>5</v>
      </c>
      <c r="E21" s="50">
        <v>1</v>
      </c>
      <c r="F21" s="50">
        <v>18</v>
      </c>
      <c r="G21" s="50">
        <v>0</v>
      </c>
      <c r="H21" s="50">
        <v>0</v>
      </c>
      <c r="I21" s="50">
        <v>9</v>
      </c>
      <c r="J21" s="50">
        <v>5</v>
      </c>
      <c r="K21" s="50">
        <v>0</v>
      </c>
      <c r="L21" s="50">
        <v>0</v>
      </c>
      <c r="M21" s="50">
        <v>220</v>
      </c>
      <c r="N21" s="50">
        <v>0</v>
      </c>
      <c r="O21" s="15">
        <f t="shared" si="0"/>
        <v>68</v>
      </c>
      <c r="P21" s="15">
        <f t="shared" si="1"/>
        <v>288</v>
      </c>
      <c r="R21" s="36" t="s">
        <v>20</v>
      </c>
      <c r="S21" s="34">
        <f t="shared" ref="S21:AF21" si="13">SUM(C54:C57)</f>
        <v>151</v>
      </c>
      <c r="T21" s="17">
        <f t="shared" si="13"/>
        <v>19</v>
      </c>
      <c r="U21" s="17">
        <f t="shared" si="13"/>
        <v>16</v>
      </c>
      <c r="V21" s="17">
        <f t="shared" si="13"/>
        <v>59</v>
      </c>
      <c r="W21" s="17">
        <f t="shared" si="13"/>
        <v>0</v>
      </c>
      <c r="X21" s="17">
        <f t="shared" si="13"/>
        <v>0</v>
      </c>
      <c r="Y21" s="17">
        <f t="shared" si="13"/>
        <v>10</v>
      </c>
      <c r="Z21" s="17">
        <f t="shared" si="13"/>
        <v>17</v>
      </c>
      <c r="AA21" s="17">
        <f t="shared" si="13"/>
        <v>2</v>
      </c>
      <c r="AB21" s="17">
        <f t="shared" si="13"/>
        <v>6</v>
      </c>
      <c r="AC21" s="17">
        <f t="shared" si="13"/>
        <v>768</v>
      </c>
      <c r="AD21" s="17">
        <f t="shared" si="13"/>
        <v>0</v>
      </c>
      <c r="AE21" s="31">
        <f t="shared" si="13"/>
        <v>280</v>
      </c>
      <c r="AF21" s="31">
        <f t="shared" si="13"/>
        <v>1048</v>
      </c>
    </row>
    <row r="22" spans="2:32" ht="23.1" customHeight="1" x14ac:dyDescent="0.25">
      <c r="B22" s="23" t="s">
        <v>49</v>
      </c>
      <c r="C22" s="50">
        <v>23</v>
      </c>
      <c r="D22" s="50">
        <v>3</v>
      </c>
      <c r="E22" s="50">
        <v>2</v>
      </c>
      <c r="F22" s="50">
        <v>13</v>
      </c>
      <c r="G22" s="50">
        <v>0</v>
      </c>
      <c r="H22" s="50">
        <v>0</v>
      </c>
      <c r="I22" s="50">
        <v>8</v>
      </c>
      <c r="J22" s="50">
        <v>9</v>
      </c>
      <c r="K22" s="50">
        <v>0</v>
      </c>
      <c r="L22" s="50">
        <v>0</v>
      </c>
      <c r="M22" s="50">
        <v>240</v>
      </c>
      <c r="N22" s="50">
        <v>0</v>
      </c>
      <c r="O22" s="15">
        <f t="shared" si="0"/>
        <v>58</v>
      </c>
      <c r="P22" s="15">
        <f t="shared" si="1"/>
        <v>298</v>
      </c>
      <c r="R22" s="38" t="s">
        <v>90</v>
      </c>
      <c r="S22" s="39">
        <f>MAX(S10:S12)</f>
        <v>112</v>
      </c>
      <c r="T22" s="39">
        <f t="shared" ref="T22:AF22" si="14">MAX(T10:T12)</f>
        <v>22</v>
      </c>
      <c r="U22" s="39">
        <f t="shared" si="14"/>
        <v>14</v>
      </c>
      <c r="V22" s="39">
        <f t="shared" si="14"/>
        <v>79</v>
      </c>
      <c r="W22" s="39">
        <f t="shared" si="14"/>
        <v>2</v>
      </c>
      <c r="X22" s="39">
        <f t="shared" si="14"/>
        <v>0</v>
      </c>
      <c r="Y22" s="39">
        <f t="shared" si="14"/>
        <v>25</v>
      </c>
      <c r="Z22" s="39">
        <f t="shared" si="14"/>
        <v>16</v>
      </c>
      <c r="AA22" s="39">
        <f t="shared" si="14"/>
        <v>5</v>
      </c>
      <c r="AB22" s="39">
        <f t="shared" si="14"/>
        <v>0</v>
      </c>
      <c r="AC22" s="39">
        <f t="shared" si="14"/>
        <v>960</v>
      </c>
      <c r="AD22" s="39">
        <f t="shared" si="14"/>
        <v>0</v>
      </c>
      <c r="AE22" s="40">
        <f t="shared" si="14"/>
        <v>235</v>
      </c>
      <c r="AF22" s="40">
        <f t="shared" si="14"/>
        <v>1188</v>
      </c>
    </row>
    <row r="23" spans="2:32" ht="23.1" customHeight="1" x14ac:dyDescent="0.25">
      <c r="B23" s="23" t="s">
        <v>50</v>
      </c>
      <c r="C23" s="50">
        <v>23</v>
      </c>
      <c r="D23" s="50">
        <v>1</v>
      </c>
      <c r="E23" s="50">
        <v>3</v>
      </c>
      <c r="F23" s="50">
        <v>12</v>
      </c>
      <c r="G23" s="50">
        <v>0</v>
      </c>
      <c r="H23" s="50">
        <v>0</v>
      </c>
      <c r="I23" s="50">
        <v>10</v>
      </c>
      <c r="J23" s="50">
        <v>5</v>
      </c>
      <c r="K23" s="50">
        <v>2</v>
      </c>
      <c r="L23" s="50">
        <v>0</v>
      </c>
      <c r="M23" s="50">
        <v>135</v>
      </c>
      <c r="N23" s="50">
        <v>0</v>
      </c>
      <c r="O23" s="15">
        <f t="shared" si="0"/>
        <v>56</v>
      </c>
      <c r="P23" s="15">
        <f t="shared" si="1"/>
        <v>191</v>
      </c>
      <c r="R23" s="38" t="s">
        <v>91</v>
      </c>
      <c r="S23" s="39">
        <f>MAX(S13:S18)</f>
        <v>142</v>
      </c>
      <c r="T23" s="39">
        <f t="shared" ref="T23:AF23" si="15">MAX(T13:T18)</f>
        <v>29</v>
      </c>
      <c r="U23" s="39">
        <f t="shared" si="15"/>
        <v>21</v>
      </c>
      <c r="V23" s="39">
        <f t="shared" si="15"/>
        <v>59</v>
      </c>
      <c r="W23" s="39">
        <f t="shared" si="15"/>
        <v>4</v>
      </c>
      <c r="X23" s="39">
        <f t="shared" si="15"/>
        <v>1</v>
      </c>
      <c r="Y23" s="39">
        <f t="shared" si="15"/>
        <v>40</v>
      </c>
      <c r="Z23" s="39">
        <f t="shared" si="15"/>
        <v>23</v>
      </c>
      <c r="AA23" s="39">
        <f t="shared" si="15"/>
        <v>3</v>
      </c>
      <c r="AB23" s="39">
        <f t="shared" si="15"/>
        <v>3</v>
      </c>
      <c r="AC23" s="39">
        <f t="shared" si="15"/>
        <v>1277</v>
      </c>
      <c r="AD23" s="39">
        <f t="shared" si="15"/>
        <v>1</v>
      </c>
      <c r="AE23" s="40">
        <f t="shared" si="15"/>
        <v>287</v>
      </c>
      <c r="AF23" s="40">
        <f t="shared" si="15"/>
        <v>1551</v>
      </c>
    </row>
    <row r="24" spans="2:32" ht="23.1" customHeight="1" x14ac:dyDescent="0.25">
      <c r="B24" s="23" t="s">
        <v>51</v>
      </c>
      <c r="C24" s="50">
        <v>21</v>
      </c>
      <c r="D24" s="50">
        <v>3</v>
      </c>
      <c r="E24" s="50">
        <v>5</v>
      </c>
      <c r="F24" s="50">
        <v>14</v>
      </c>
      <c r="G24" s="50">
        <v>0</v>
      </c>
      <c r="H24" s="50">
        <v>1</v>
      </c>
      <c r="I24" s="50">
        <v>6</v>
      </c>
      <c r="J24" s="50">
        <v>7</v>
      </c>
      <c r="K24" s="50">
        <v>0</v>
      </c>
      <c r="L24" s="50">
        <v>0</v>
      </c>
      <c r="M24" s="50">
        <v>250</v>
      </c>
      <c r="N24" s="50">
        <v>0</v>
      </c>
      <c r="O24" s="15">
        <f t="shared" si="0"/>
        <v>57</v>
      </c>
      <c r="P24" s="15">
        <f t="shared" si="1"/>
        <v>307</v>
      </c>
      <c r="R24" s="38" t="s">
        <v>92</v>
      </c>
      <c r="S24" s="39">
        <f>MAX(S19:S21)</f>
        <v>210</v>
      </c>
      <c r="T24" s="39">
        <f t="shared" ref="T24:AF24" si="16">MAX(T19:T21)</f>
        <v>28</v>
      </c>
      <c r="U24" s="39">
        <f t="shared" si="16"/>
        <v>16</v>
      </c>
      <c r="V24" s="39">
        <f t="shared" si="16"/>
        <v>65</v>
      </c>
      <c r="W24" s="39">
        <f t="shared" si="16"/>
        <v>3</v>
      </c>
      <c r="X24" s="39">
        <f t="shared" si="16"/>
        <v>0</v>
      </c>
      <c r="Y24" s="39">
        <f t="shared" si="16"/>
        <v>20</v>
      </c>
      <c r="Z24" s="39">
        <f t="shared" si="16"/>
        <v>17</v>
      </c>
      <c r="AA24" s="39">
        <f t="shared" si="16"/>
        <v>3</v>
      </c>
      <c r="AB24" s="39">
        <f t="shared" si="16"/>
        <v>6</v>
      </c>
      <c r="AC24" s="39">
        <f t="shared" si="16"/>
        <v>1005</v>
      </c>
      <c r="AD24" s="39">
        <f t="shared" si="16"/>
        <v>0</v>
      </c>
      <c r="AE24" s="40">
        <f t="shared" si="16"/>
        <v>358</v>
      </c>
      <c r="AF24" s="40">
        <f t="shared" si="16"/>
        <v>1363</v>
      </c>
    </row>
    <row r="25" spans="2:32" ht="23.1" customHeight="1" x14ac:dyDescent="0.25">
      <c r="B25" s="23" t="s">
        <v>52</v>
      </c>
      <c r="C25" s="50">
        <v>22</v>
      </c>
      <c r="D25" s="50">
        <v>2</v>
      </c>
      <c r="E25" s="50">
        <v>3</v>
      </c>
      <c r="F25" s="50">
        <v>20</v>
      </c>
      <c r="G25" s="50">
        <v>0</v>
      </c>
      <c r="H25" s="50">
        <v>0</v>
      </c>
      <c r="I25" s="50">
        <v>5</v>
      </c>
      <c r="J25" s="50">
        <v>2</v>
      </c>
      <c r="K25" s="50">
        <v>0</v>
      </c>
      <c r="L25" s="50">
        <v>0</v>
      </c>
      <c r="M25" s="50">
        <v>210</v>
      </c>
      <c r="N25" s="50">
        <v>0</v>
      </c>
      <c r="O25" s="15">
        <f t="shared" si="0"/>
        <v>54</v>
      </c>
      <c r="P25" s="15">
        <f t="shared" si="1"/>
        <v>264</v>
      </c>
      <c r="R25" s="37" t="s">
        <v>85</v>
      </c>
      <c r="S25" s="35">
        <f t="shared" ref="S25:AF25" si="17">SUM(S10:S12)</f>
        <v>280</v>
      </c>
      <c r="T25" s="16">
        <f t="shared" si="17"/>
        <v>45</v>
      </c>
      <c r="U25" s="16">
        <f t="shared" si="17"/>
        <v>29</v>
      </c>
      <c r="V25" s="16">
        <f t="shared" si="17"/>
        <v>206</v>
      </c>
      <c r="W25" s="16">
        <f t="shared" si="17"/>
        <v>3</v>
      </c>
      <c r="X25" s="16">
        <f t="shared" si="17"/>
        <v>0</v>
      </c>
      <c r="Y25" s="16">
        <f t="shared" si="17"/>
        <v>48</v>
      </c>
      <c r="Z25" s="16">
        <f t="shared" si="17"/>
        <v>29</v>
      </c>
      <c r="AA25" s="16">
        <f t="shared" si="17"/>
        <v>6</v>
      </c>
      <c r="AB25" s="16">
        <f t="shared" si="17"/>
        <v>0</v>
      </c>
      <c r="AC25" s="16">
        <f t="shared" si="17"/>
        <v>2457</v>
      </c>
      <c r="AD25" s="16">
        <f t="shared" si="17"/>
        <v>0</v>
      </c>
      <c r="AE25" s="32">
        <f t="shared" si="17"/>
        <v>646</v>
      </c>
      <c r="AF25" s="32">
        <f t="shared" si="17"/>
        <v>3103</v>
      </c>
    </row>
    <row r="26" spans="2:32" ht="23.1" customHeight="1" x14ac:dyDescent="0.25">
      <c r="B26" s="23" t="s">
        <v>53</v>
      </c>
      <c r="C26" s="50">
        <v>26</v>
      </c>
      <c r="D26" s="50">
        <v>2</v>
      </c>
      <c r="E26" s="50">
        <v>5</v>
      </c>
      <c r="F26" s="50">
        <v>17</v>
      </c>
      <c r="G26" s="50">
        <v>1</v>
      </c>
      <c r="H26" s="50">
        <v>0</v>
      </c>
      <c r="I26" s="50">
        <v>5</v>
      </c>
      <c r="J26" s="50">
        <v>5</v>
      </c>
      <c r="K26" s="50">
        <v>0</v>
      </c>
      <c r="L26" s="50">
        <v>1</v>
      </c>
      <c r="M26" s="50">
        <v>206</v>
      </c>
      <c r="N26" s="50">
        <v>0</v>
      </c>
      <c r="O26" s="15">
        <f t="shared" si="0"/>
        <v>62</v>
      </c>
      <c r="P26" s="15">
        <f t="shared" si="1"/>
        <v>268</v>
      </c>
      <c r="R26" s="28" t="s">
        <v>86</v>
      </c>
      <c r="S26" s="16">
        <f t="shared" ref="S26:AF26" si="18">SUM(S13:S18)</f>
        <v>756</v>
      </c>
      <c r="T26" s="16">
        <f t="shared" si="18"/>
        <v>125</v>
      </c>
      <c r="U26" s="16">
        <f t="shared" si="18"/>
        <v>103</v>
      </c>
      <c r="V26" s="16">
        <f t="shared" si="18"/>
        <v>279</v>
      </c>
      <c r="W26" s="16">
        <f t="shared" si="18"/>
        <v>11</v>
      </c>
      <c r="X26" s="16">
        <f t="shared" si="18"/>
        <v>3</v>
      </c>
      <c r="Y26" s="16">
        <f t="shared" si="18"/>
        <v>169</v>
      </c>
      <c r="Z26" s="16">
        <f t="shared" si="18"/>
        <v>115</v>
      </c>
      <c r="AA26" s="16">
        <f t="shared" si="18"/>
        <v>9</v>
      </c>
      <c r="AB26" s="16">
        <f t="shared" si="18"/>
        <v>10</v>
      </c>
      <c r="AC26" s="16">
        <f t="shared" si="18"/>
        <v>5957</v>
      </c>
      <c r="AD26" s="16">
        <f t="shared" si="18"/>
        <v>2</v>
      </c>
      <c r="AE26" s="32">
        <f t="shared" si="18"/>
        <v>1582</v>
      </c>
      <c r="AF26" s="32">
        <f t="shared" si="18"/>
        <v>7539</v>
      </c>
    </row>
    <row r="27" spans="2:32" ht="23.1" customHeight="1" x14ac:dyDescent="0.25">
      <c r="B27" s="23" t="s">
        <v>54</v>
      </c>
      <c r="C27" s="50">
        <v>36</v>
      </c>
      <c r="D27" s="50">
        <v>5</v>
      </c>
      <c r="E27" s="50">
        <v>7</v>
      </c>
      <c r="F27" s="50">
        <v>14</v>
      </c>
      <c r="G27" s="50">
        <v>0</v>
      </c>
      <c r="H27" s="50">
        <v>0</v>
      </c>
      <c r="I27" s="50">
        <v>9</v>
      </c>
      <c r="J27" s="50">
        <v>9</v>
      </c>
      <c r="K27" s="50">
        <v>0</v>
      </c>
      <c r="L27" s="50">
        <v>0</v>
      </c>
      <c r="M27" s="50">
        <v>245</v>
      </c>
      <c r="N27" s="50">
        <v>1</v>
      </c>
      <c r="O27" s="15">
        <f t="shared" si="0"/>
        <v>81</v>
      </c>
      <c r="P27" s="15">
        <f t="shared" si="1"/>
        <v>326</v>
      </c>
      <c r="R27" s="29" t="s">
        <v>87</v>
      </c>
      <c r="S27" s="16">
        <f t="shared" ref="S27:AF27" si="19">SUM(S19:S21)</f>
        <v>541</v>
      </c>
      <c r="T27" s="16">
        <f t="shared" si="19"/>
        <v>62</v>
      </c>
      <c r="U27" s="16">
        <f t="shared" si="19"/>
        <v>44</v>
      </c>
      <c r="V27" s="16">
        <f t="shared" si="19"/>
        <v>173</v>
      </c>
      <c r="W27" s="16">
        <f t="shared" si="19"/>
        <v>4</v>
      </c>
      <c r="X27" s="16">
        <f t="shared" si="19"/>
        <v>0</v>
      </c>
      <c r="Y27" s="16">
        <f t="shared" si="19"/>
        <v>43</v>
      </c>
      <c r="Z27" s="16">
        <f t="shared" si="19"/>
        <v>45</v>
      </c>
      <c r="AA27" s="16">
        <f t="shared" si="19"/>
        <v>5</v>
      </c>
      <c r="AB27" s="16">
        <f t="shared" si="19"/>
        <v>12</v>
      </c>
      <c r="AC27" s="16">
        <f t="shared" si="19"/>
        <v>2592</v>
      </c>
      <c r="AD27" s="16">
        <f t="shared" si="19"/>
        <v>0</v>
      </c>
      <c r="AE27" s="32">
        <f t="shared" si="19"/>
        <v>929</v>
      </c>
      <c r="AF27" s="32">
        <f t="shared" si="19"/>
        <v>3521</v>
      </c>
    </row>
    <row r="28" spans="2:32" ht="23.1" customHeight="1" x14ac:dyDescent="0.25">
      <c r="B28" s="23" t="s">
        <v>55</v>
      </c>
      <c r="C28" s="50">
        <v>25</v>
      </c>
      <c r="D28" s="50">
        <v>7</v>
      </c>
      <c r="E28" s="50">
        <v>6</v>
      </c>
      <c r="F28" s="50">
        <v>14</v>
      </c>
      <c r="G28" s="50">
        <v>0</v>
      </c>
      <c r="H28" s="50">
        <v>0</v>
      </c>
      <c r="I28" s="50">
        <v>7</v>
      </c>
      <c r="J28" s="50">
        <v>5</v>
      </c>
      <c r="K28" s="50">
        <v>0</v>
      </c>
      <c r="L28" s="50">
        <v>0</v>
      </c>
      <c r="M28" s="50">
        <v>250</v>
      </c>
      <c r="N28" s="50">
        <v>0</v>
      </c>
      <c r="O28" s="15">
        <f t="shared" si="0"/>
        <v>64</v>
      </c>
      <c r="P28" s="15">
        <f t="shared" si="1"/>
        <v>314</v>
      </c>
      <c r="R28" s="5" t="s">
        <v>17</v>
      </c>
      <c r="S28" s="16">
        <f t="shared" ref="S28:AF28" si="20">SUM(S10:S21)</f>
        <v>1577</v>
      </c>
      <c r="T28" s="16">
        <f t="shared" si="20"/>
        <v>232</v>
      </c>
      <c r="U28" s="16">
        <f t="shared" si="20"/>
        <v>176</v>
      </c>
      <c r="V28" s="16">
        <f t="shared" si="20"/>
        <v>658</v>
      </c>
      <c r="W28" s="16">
        <f t="shared" si="20"/>
        <v>18</v>
      </c>
      <c r="X28" s="16">
        <f t="shared" si="20"/>
        <v>3</v>
      </c>
      <c r="Y28" s="16">
        <f t="shared" si="20"/>
        <v>260</v>
      </c>
      <c r="Z28" s="16">
        <f t="shared" si="20"/>
        <v>189</v>
      </c>
      <c r="AA28" s="16">
        <f t="shared" si="20"/>
        <v>20</v>
      </c>
      <c r="AB28" s="16">
        <f t="shared" si="20"/>
        <v>22</v>
      </c>
      <c r="AC28" s="16">
        <f t="shared" si="20"/>
        <v>11006</v>
      </c>
      <c r="AD28" s="16">
        <f t="shared" si="20"/>
        <v>2</v>
      </c>
      <c r="AE28" s="32">
        <f t="shared" si="20"/>
        <v>3157</v>
      </c>
      <c r="AF28" s="32">
        <f t="shared" si="20"/>
        <v>14163</v>
      </c>
    </row>
    <row r="29" spans="2:32" ht="23.1" customHeight="1" x14ac:dyDescent="0.25">
      <c r="B29" s="23" t="s">
        <v>56</v>
      </c>
      <c r="C29" s="50">
        <v>35</v>
      </c>
      <c r="D29" s="50">
        <v>5</v>
      </c>
      <c r="E29" s="50">
        <v>1</v>
      </c>
      <c r="F29" s="50">
        <v>13</v>
      </c>
      <c r="G29" s="50">
        <v>0</v>
      </c>
      <c r="H29" s="50">
        <v>0</v>
      </c>
      <c r="I29" s="50">
        <v>19</v>
      </c>
      <c r="J29" s="50">
        <v>4</v>
      </c>
      <c r="K29" s="50">
        <v>1</v>
      </c>
      <c r="L29" s="50">
        <v>2</v>
      </c>
      <c r="M29" s="50">
        <v>273</v>
      </c>
      <c r="N29" s="50">
        <v>0</v>
      </c>
      <c r="O29" s="15">
        <f t="shared" si="0"/>
        <v>80</v>
      </c>
      <c r="P29" s="15">
        <f t="shared" si="1"/>
        <v>353</v>
      </c>
      <c r="R29"/>
      <c r="S29" s="20"/>
      <c r="T29" s="19"/>
    </row>
    <row r="30" spans="2:32" ht="23.1" customHeight="1" x14ac:dyDescent="0.25">
      <c r="B30" s="23" t="s">
        <v>57</v>
      </c>
      <c r="C30" s="50">
        <v>26</v>
      </c>
      <c r="D30" s="50">
        <v>2</v>
      </c>
      <c r="E30" s="50">
        <v>6</v>
      </c>
      <c r="F30" s="50">
        <v>13</v>
      </c>
      <c r="G30" s="50">
        <v>0</v>
      </c>
      <c r="H30" s="50">
        <v>0</v>
      </c>
      <c r="I30" s="50">
        <v>4</v>
      </c>
      <c r="J30" s="50">
        <v>4</v>
      </c>
      <c r="K30" s="50">
        <v>1</v>
      </c>
      <c r="L30" s="50">
        <v>0</v>
      </c>
      <c r="M30" s="50">
        <v>270</v>
      </c>
      <c r="N30" s="50">
        <v>0</v>
      </c>
      <c r="O30" s="15">
        <f t="shared" si="0"/>
        <v>56</v>
      </c>
      <c r="P30" s="15">
        <f t="shared" si="1"/>
        <v>326</v>
      </c>
    </row>
    <row r="31" spans="2:32" ht="23.1" customHeight="1" x14ac:dyDescent="0.25">
      <c r="B31" s="24" t="s">
        <v>58</v>
      </c>
      <c r="C31" s="50">
        <v>34</v>
      </c>
      <c r="D31" s="50">
        <v>11</v>
      </c>
      <c r="E31" s="50">
        <v>6</v>
      </c>
      <c r="F31" s="50">
        <v>12</v>
      </c>
      <c r="G31" s="50">
        <v>0</v>
      </c>
      <c r="H31" s="50">
        <v>0</v>
      </c>
      <c r="I31" s="50">
        <v>10</v>
      </c>
      <c r="J31" s="50">
        <v>6</v>
      </c>
      <c r="K31" s="50">
        <v>0</v>
      </c>
      <c r="L31" s="50">
        <v>0</v>
      </c>
      <c r="M31" s="50">
        <v>265</v>
      </c>
      <c r="N31" s="50">
        <v>0</v>
      </c>
      <c r="O31" s="15">
        <f t="shared" si="0"/>
        <v>79</v>
      </c>
      <c r="P31" s="15">
        <f t="shared" si="1"/>
        <v>344</v>
      </c>
    </row>
    <row r="32" spans="2:32" ht="23.1" customHeight="1" x14ac:dyDescent="0.25">
      <c r="B32" s="24" t="s">
        <v>59</v>
      </c>
      <c r="C32" s="50">
        <v>35</v>
      </c>
      <c r="D32" s="50">
        <v>7</v>
      </c>
      <c r="E32" s="50">
        <v>8</v>
      </c>
      <c r="F32" s="50">
        <v>10</v>
      </c>
      <c r="G32" s="50">
        <v>0</v>
      </c>
      <c r="H32" s="50">
        <v>0</v>
      </c>
      <c r="I32" s="50">
        <v>5</v>
      </c>
      <c r="J32" s="50">
        <v>7</v>
      </c>
      <c r="K32" s="50">
        <v>1</v>
      </c>
      <c r="L32" s="50">
        <v>0</v>
      </c>
      <c r="M32" s="50">
        <v>330</v>
      </c>
      <c r="N32" s="50">
        <v>0</v>
      </c>
      <c r="O32" s="15">
        <f t="shared" si="0"/>
        <v>73</v>
      </c>
      <c r="P32" s="15">
        <f t="shared" si="1"/>
        <v>403</v>
      </c>
    </row>
    <row r="33" spans="2:20" ht="23.1" customHeight="1" x14ac:dyDescent="0.25">
      <c r="B33" s="23" t="s">
        <v>60</v>
      </c>
      <c r="C33" s="50">
        <v>40</v>
      </c>
      <c r="D33" s="50">
        <v>7</v>
      </c>
      <c r="E33" s="50">
        <v>1</v>
      </c>
      <c r="F33" s="50">
        <v>7</v>
      </c>
      <c r="G33" s="50">
        <v>1</v>
      </c>
      <c r="H33" s="50">
        <v>0</v>
      </c>
      <c r="I33" s="50">
        <v>8</v>
      </c>
      <c r="J33" s="50">
        <v>4</v>
      </c>
      <c r="K33" s="50">
        <v>1</v>
      </c>
      <c r="L33" s="50">
        <v>0</v>
      </c>
      <c r="M33" s="50">
        <v>271</v>
      </c>
      <c r="N33" s="50">
        <v>0</v>
      </c>
      <c r="O33" s="15">
        <f t="shared" si="0"/>
        <v>69</v>
      </c>
      <c r="P33" s="15">
        <f t="shared" si="1"/>
        <v>340</v>
      </c>
    </row>
    <row r="34" spans="2:20" ht="23.1" customHeight="1" x14ac:dyDescent="0.25">
      <c r="B34" s="24" t="s">
        <v>61</v>
      </c>
      <c r="C34" s="50">
        <v>28</v>
      </c>
      <c r="D34" s="50">
        <v>3</v>
      </c>
      <c r="E34" s="50">
        <v>6</v>
      </c>
      <c r="F34" s="50">
        <v>6</v>
      </c>
      <c r="G34" s="50">
        <v>3</v>
      </c>
      <c r="H34" s="50">
        <v>1</v>
      </c>
      <c r="I34" s="50">
        <v>10</v>
      </c>
      <c r="J34" s="50">
        <v>7</v>
      </c>
      <c r="K34" s="50">
        <v>0</v>
      </c>
      <c r="L34" s="50">
        <v>0</v>
      </c>
      <c r="M34" s="50">
        <v>182</v>
      </c>
      <c r="N34" s="50">
        <v>0</v>
      </c>
      <c r="O34" s="15">
        <f t="shared" si="0"/>
        <v>64</v>
      </c>
      <c r="P34" s="15">
        <f t="shared" si="1"/>
        <v>246</v>
      </c>
    </row>
    <row r="35" spans="2:20" ht="23.1" customHeight="1" x14ac:dyDescent="0.25">
      <c r="B35" s="24" t="s">
        <v>62</v>
      </c>
      <c r="C35" s="50">
        <v>39</v>
      </c>
      <c r="D35" s="50">
        <v>2</v>
      </c>
      <c r="E35" s="50">
        <v>4</v>
      </c>
      <c r="F35" s="50">
        <v>15</v>
      </c>
      <c r="G35" s="50">
        <v>0</v>
      </c>
      <c r="H35" s="50">
        <v>0</v>
      </c>
      <c r="I35" s="50">
        <v>9</v>
      </c>
      <c r="J35" s="50">
        <v>6</v>
      </c>
      <c r="K35" s="50">
        <v>0</v>
      </c>
      <c r="L35" s="50">
        <v>1</v>
      </c>
      <c r="M35" s="50">
        <v>285</v>
      </c>
      <c r="N35" s="50">
        <v>0</v>
      </c>
      <c r="O35" s="15">
        <f t="shared" si="0"/>
        <v>76</v>
      </c>
      <c r="P35" s="15">
        <f t="shared" si="1"/>
        <v>361</v>
      </c>
    </row>
    <row r="36" spans="2:20" ht="23.1" customHeight="1" x14ac:dyDescent="0.25">
      <c r="B36" s="24" t="s">
        <v>63</v>
      </c>
      <c r="C36" s="50">
        <v>36</v>
      </c>
      <c r="D36" s="50">
        <v>6</v>
      </c>
      <c r="E36" s="50">
        <v>1</v>
      </c>
      <c r="F36" s="50">
        <v>9</v>
      </c>
      <c r="G36" s="50">
        <v>0</v>
      </c>
      <c r="H36" s="50">
        <v>0</v>
      </c>
      <c r="I36" s="50">
        <v>7</v>
      </c>
      <c r="J36" s="50">
        <v>2</v>
      </c>
      <c r="K36" s="50">
        <v>0</v>
      </c>
      <c r="L36" s="50">
        <v>0</v>
      </c>
      <c r="M36" s="50">
        <v>155</v>
      </c>
      <c r="N36" s="50">
        <v>0</v>
      </c>
      <c r="O36" s="15">
        <f t="shared" si="0"/>
        <v>61</v>
      </c>
      <c r="P36" s="15">
        <f t="shared" si="1"/>
        <v>216</v>
      </c>
    </row>
    <row r="37" spans="2:20" ht="23.1" customHeight="1" x14ac:dyDescent="0.25">
      <c r="B37" s="23" t="s">
        <v>64</v>
      </c>
      <c r="C37" s="50">
        <v>32</v>
      </c>
      <c r="D37" s="50">
        <v>4</v>
      </c>
      <c r="E37" s="50">
        <v>6</v>
      </c>
      <c r="F37" s="50">
        <v>11</v>
      </c>
      <c r="G37" s="50">
        <v>0</v>
      </c>
      <c r="H37" s="50">
        <v>0</v>
      </c>
      <c r="I37" s="50">
        <v>3</v>
      </c>
      <c r="J37" s="50">
        <v>4</v>
      </c>
      <c r="K37" s="50">
        <v>0</v>
      </c>
      <c r="L37" s="50">
        <v>0</v>
      </c>
      <c r="M37" s="50">
        <v>320</v>
      </c>
      <c r="N37" s="50">
        <v>0</v>
      </c>
      <c r="O37" s="15">
        <f t="shared" si="0"/>
        <v>60</v>
      </c>
      <c r="P37" s="15">
        <f t="shared" si="1"/>
        <v>380</v>
      </c>
    </row>
    <row r="38" spans="2:20" ht="23.1" customHeight="1" x14ac:dyDescent="0.25">
      <c r="B38" s="24" t="s">
        <v>65</v>
      </c>
      <c r="C38" s="50">
        <v>48</v>
      </c>
      <c r="D38" s="50">
        <v>8</v>
      </c>
      <c r="E38" s="50">
        <v>5</v>
      </c>
      <c r="F38" s="50">
        <v>7</v>
      </c>
      <c r="G38" s="50">
        <v>0</v>
      </c>
      <c r="H38" s="50">
        <v>0</v>
      </c>
      <c r="I38" s="50">
        <v>5</v>
      </c>
      <c r="J38" s="50">
        <v>0</v>
      </c>
      <c r="K38" s="50">
        <v>0</v>
      </c>
      <c r="L38" s="50">
        <v>2</v>
      </c>
      <c r="M38" s="50">
        <v>115</v>
      </c>
      <c r="N38" s="50">
        <v>1</v>
      </c>
      <c r="O38" s="15">
        <f t="shared" si="0"/>
        <v>76</v>
      </c>
      <c r="P38" s="15">
        <f t="shared" si="1"/>
        <v>191</v>
      </c>
    </row>
    <row r="39" spans="2:20" ht="23.1" customHeight="1" x14ac:dyDescent="0.25">
      <c r="B39" s="24" t="s">
        <v>66</v>
      </c>
      <c r="C39" s="50">
        <v>42</v>
      </c>
      <c r="D39" s="50">
        <v>7</v>
      </c>
      <c r="E39" s="50">
        <v>4</v>
      </c>
      <c r="F39" s="50">
        <v>7</v>
      </c>
      <c r="G39" s="50">
        <v>0</v>
      </c>
      <c r="H39" s="50">
        <v>0</v>
      </c>
      <c r="I39" s="50">
        <v>4</v>
      </c>
      <c r="J39" s="50">
        <v>3</v>
      </c>
      <c r="K39" s="50">
        <v>0</v>
      </c>
      <c r="L39" s="50">
        <v>1</v>
      </c>
      <c r="M39" s="50">
        <v>188</v>
      </c>
      <c r="N39" s="50">
        <v>0</v>
      </c>
      <c r="O39" s="15">
        <f t="shared" si="0"/>
        <v>68</v>
      </c>
      <c r="P39" s="15">
        <f t="shared" si="1"/>
        <v>256</v>
      </c>
    </row>
    <row r="40" spans="2:20" ht="23.1" customHeight="1" x14ac:dyDescent="0.25">
      <c r="B40" s="24" t="s">
        <v>67</v>
      </c>
      <c r="C40" s="50">
        <v>16</v>
      </c>
      <c r="D40" s="50">
        <v>5</v>
      </c>
      <c r="E40" s="50">
        <v>2</v>
      </c>
      <c r="F40" s="50">
        <v>12</v>
      </c>
      <c r="G40" s="50">
        <v>2</v>
      </c>
      <c r="H40" s="50">
        <v>1</v>
      </c>
      <c r="I40" s="50">
        <v>5</v>
      </c>
      <c r="J40" s="50">
        <v>3</v>
      </c>
      <c r="K40" s="50">
        <v>0</v>
      </c>
      <c r="L40" s="50">
        <v>0</v>
      </c>
      <c r="M40" s="50">
        <v>255</v>
      </c>
      <c r="N40" s="50">
        <v>0</v>
      </c>
      <c r="O40" s="15">
        <f t="shared" si="0"/>
        <v>46</v>
      </c>
      <c r="P40" s="15">
        <f t="shared" si="1"/>
        <v>301</v>
      </c>
    </row>
    <row r="41" spans="2:20" ht="23.1" customHeight="1" x14ac:dyDescent="0.25">
      <c r="B41" s="23" t="s">
        <v>68</v>
      </c>
      <c r="C41" s="50">
        <v>36</v>
      </c>
      <c r="D41" s="50">
        <v>9</v>
      </c>
      <c r="E41" s="50">
        <v>4</v>
      </c>
      <c r="F41" s="50">
        <v>13</v>
      </c>
      <c r="G41" s="50">
        <v>0</v>
      </c>
      <c r="H41" s="50">
        <v>0</v>
      </c>
      <c r="I41" s="50">
        <v>2</v>
      </c>
      <c r="J41" s="50">
        <v>4</v>
      </c>
      <c r="K41" s="50">
        <v>0</v>
      </c>
      <c r="L41" s="50">
        <v>0</v>
      </c>
      <c r="M41" s="50">
        <v>235</v>
      </c>
      <c r="N41" s="50">
        <v>0</v>
      </c>
      <c r="O41" s="15">
        <f t="shared" si="0"/>
        <v>68</v>
      </c>
      <c r="P41" s="15">
        <f t="shared" si="1"/>
        <v>303</v>
      </c>
    </row>
    <row r="42" spans="2:20" ht="23.1" customHeight="1" x14ac:dyDescent="0.25">
      <c r="B42" s="24" t="s">
        <v>69</v>
      </c>
      <c r="C42" s="50">
        <v>26</v>
      </c>
      <c r="D42" s="50">
        <v>4</v>
      </c>
      <c r="E42" s="50">
        <v>7</v>
      </c>
      <c r="F42" s="50">
        <v>13</v>
      </c>
      <c r="G42" s="50">
        <v>0</v>
      </c>
      <c r="H42" s="50">
        <v>0</v>
      </c>
      <c r="I42" s="50">
        <v>6</v>
      </c>
      <c r="J42" s="50">
        <v>8</v>
      </c>
      <c r="K42" s="50">
        <v>2</v>
      </c>
      <c r="L42" s="50">
        <v>1</v>
      </c>
      <c r="M42" s="50">
        <v>320</v>
      </c>
      <c r="N42" s="50">
        <v>0</v>
      </c>
      <c r="O42" s="15">
        <f t="shared" si="0"/>
        <v>67</v>
      </c>
      <c r="P42" s="15">
        <f t="shared" si="1"/>
        <v>387</v>
      </c>
    </row>
    <row r="43" spans="2:20" ht="23.1" customHeight="1" x14ac:dyDescent="0.25">
      <c r="B43" s="23" t="s">
        <v>70</v>
      </c>
      <c r="C43" s="50">
        <v>29</v>
      </c>
      <c r="D43" s="50">
        <v>8</v>
      </c>
      <c r="E43" s="50">
        <v>3</v>
      </c>
      <c r="F43" s="50">
        <v>9</v>
      </c>
      <c r="G43" s="50">
        <v>0</v>
      </c>
      <c r="H43" s="50">
        <v>0</v>
      </c>
      <c r="I43" s="50">
        <v>3</v>
      </c>
      <c r="J43" s="50">
        <v>4</v>
      </c>
      <c r="K43" s="50">
        <v>0</v>
      </c>
      <c r="L43" s="50">
        <v>0</v>
      </c>
      <c r="M43" s="50">
        <v>305</v>
      </c>
      <c r="N43" s="50">
        <v>0</v>
      </c>
      <c r="O43" s="15">
        <f t="shared" si="0"/>
        <v>56</v>
      </c>
      <c r="P43" s="15">
        <f t="shared" si="1"/>
        <v>361</v>
      </c>
    </row>
    <row r="44" spans="2:20" ht="23.1" customHeight="1" x14ac:dyDescent="0.25">
      <c r="B44" s="25" t="s">
        <v>71</v>
      </c>
      <c r="C44" s="50">
        <v>40</v>
      </c>
      <c r="D44" s="50">
        <v>6</v>
      </c>
      <c r="E44" s="50">
        <v>7</v>
      </c>
      <c r="F44" s="50">
        <v>8</v>
      </c>
      <c r="G44" s="50">
        <v>3</v>
      </c>
      <c r="H44" s="50">
        <v>0</v>
      </c>
      <c r="I44" s="50">
        <v>10</v>
      </c>
      <c r="J44" s="50">
        <v>5</v>
      </c>
      <c r="K44" s="50">
        <v>1</v>
      </c>
      <c r="L44" s="50">
        <v>0</v>
      </c>
      <c r="M44" s="50">
        <v>370</v>
      </c>
      <c r="N44" s="50">
        <v>0</v>
      </c>
      <c r="O44" s="15">
        <f t="shared" si="0"/>
        <v>80</v>
      </c>
      <c r="P44" s="15">
        <f t="shared" si="1"/>
        <v>450</v>
      </c>
    </row>
    <row r="45" spans="2:20" ht="23.1" customHeight="1" x14ac:dyDescent="0.25">
      <c r="B45" s="23" t="s">
        <v>72</v>
      </c>
      <c r="C45" s="50">
        <v>38</v>
      </c>
      <c r="D45" s="50">
        <v>8</v>
      </c>
      <c r="E45" s="50">
        <v>1</v>
      </c>
      <c r="F45" s="50">
        <v>10</v>
      </c>
      <c r="G45" s="50">
        <v>1</v>
      </c>
      <c r="H45" s="50">
        <v>0</v>
      </c>
      <c r="I45" s="50">
        <v>9</v>
      </c>
      <c r="J45" s="50">
        <v>2</v>
      </c>
      <c r="K45" s="50">
        <v>0</v>
      </c>
      <c r="L45" s="50">
        <v>2</v>
      </c>
      <c r="M45" s="50">
        <v>282</v>
      </c>
      <c r="N45" s="50">
        <v>0</v>
      </c>
      <c r="O45" s="15">
        <f t="shared" si="0"/>
        <v>71</v>
      </c>
      <c r="P45" s="15">
        <f t="shared" si="1"/>
        <v>353</v>
      </c>
    </row>
    <row r="46" spans="2:20" ht="23.1" customHeight="1" x14ac:dyDescent="0.25">
      <c r="B46" s="24" t="s">
        <v>73</v>
      </c>
      <c r="C46" s="50">
        <v>46</v>
      </c>
      <c r="D46" s="50">
        <v>5</v>
      </c>
      <c r="E46" s="50">
        <v>2</v>
      </c>
      <c r="F46" s="50">
        <v>8</v>
      </c>
      <c r="G46" s="50">
        <v>0</v>
      </c>
      <c r="H46" s="50">
        <v>0</v>
      </c>
      <c r="I46" s="50">
        <v>5</v>
      </c>
      <c r="J46" s="50">
        <v>3</v>
      </c>
      <c r="K46" s="50">
        <v>0</v>
      </c>
      <c r="L46" s="50">
        <v>1</v>
      </c>
      <c r="M46" s="50">
        <v>195</v>
      </c>
      <c r="N46" s="50">
        <v>0</v>
      </c>
      <c r="O46" s="15">
        <f t="shared" si="0"/>
        <v>70</v>
      </c>
      <c r="P46" s="15">
        <f t="shared" si="1"/>
        <v>265</v>
      </c>
      <c r="R46" s="8"/>
      <c r="T46"/>
    </row>
    <row r="47" spans="2:20" ht="23.1" customHeight="1" x14ac:dyDescent="0.25">
      <c r="B47" s="24" t="s">
        <v>74</v>
      </c>
      <c r="C47" s="50">
        <v>48</v>
      </c>
      <c r="D47" s="50">
        <v>7</v>
      </c>
      <c r="E47" s="50">
        <v>4</v>
      </c>
      <c r="F47" s="50">
        <v>30</v>
      </c>
      <c r="G47" s="50">
        <v>1</v>
      </c>
      <c r="H47" s="50">
        <v>0</v>
      </c>
      <c r="I47" s="50">
        <v>3</v>
      </c>
      <c r="J47" s="50">
        <v>1</v>
      </c>
      <c r="K47" s="50">
        <v>0</v>
      </c>
      <c r="L47" s="50">
        <v>0</v>
      </c>
      <c r="M47" s="50">
        <v>221</v>
      </c>
      <c r="N47" s="50">
        <v>0</v>
      </c>
      <c r="O47" s="15">
        <f t="shared" si="0"/>
        <v>94</v>
      </c>
      <c r="P47" s="15">
        <f t="shared" si="1"/>
        <v>315</v>
      </c>
      <c r="R47" s="8"/>
      <c r="T47"/>
    </row>
    <row r="48" spans="2:20" ht="23.1" customHeight="1" x14ac:dyDescent="0.25">
      <c r="B48" s="24" t="s">
        <v>75</v>
      </c>
      <c r="C48" s="50">
        <v>45</v>
      </c>
      <c r="D48" s="50">
        <v>2</v>
      </c>
      <c r="E48" s="50">
        <v>4</v>
      </c>
      <c r="F48" s="50">
        <v>4</v>
      </c>
      <c r="G48" s="50">
        <v>2</v>
      </c>
      <c r="H48" s="50">
        <v>0</v>
      </c>
      <c r="I48" s="50">
        <v>4</v>
      </c>
      <c r="J48" s="50">
        <v>5</v>
      </c>
      <c r="K48" s="50">
        <v>0</v>
      </c>
      <c r="L48" s="50">
        <v>0</v>
      </c>
      <c r="M48" s="50">
        <v>153</v>
      </c>
      <c r="N48" s="50">
        <v>0</v>
      </c>
      <c r="O48" s="15">
        <f t="shared" si="0"/>
        <v>66</v>
      </c>
      <c r="P48" s="15">
        <f t="shared" si="1"/>
        <v>219</v>
      </c>
      <c r="R48" s="8"/>
      <c r="T48"/>
    </row>
    <row r="49" spans="2:20" ht="23.1" customHeight="1" x14ac:dyDescent="0.25">
      <c r="B49" s="23" t="s">
        <v>76</v>
      </c>
      <c r="C49" s="50">
        <v>41</v>
      </c>
      <c r="D49" s="50">
        <v>1</v>
      </c>
      <c r="E49" s="50">
        <v>3</v>
      </c>
      <c r="F49" s="50">
        <v>7</v>
      </c>
      <c r="G49" s="50">
        <v>0</v>
      </c>
      <c r="H49" s="50">
        <v>0</v>
      </c>
      <c r="I49" s="50">
        <v>1</v>
      </c>
      <c r="J49" s="50">
        <v>6</v>
      </c>
      <c r="K49" s="50">
        <v>0</v>
      </c>
      <c r="L49" s="50">
        <v>2</v>
      </c>
      <c r="M49" s="50">
        <v>250</v>
      </c>
      <c r="N49" s="50">
        <v>0</v>
      </c>
      <c r="O49" s="15">
        <f t="shared" si="0"/>
        <v>61</v>
      </c>
      <c r="P49" s="15">
        <f t="shared" si="1"/>
        <v>311</v>
      </c>
      <c r="R49" s="8"/>
      <c r="T49"/>
    </row>
    <row r="50" spans="2:20" ht="23.1" customHeight="1" x14ac:dyDescent="0.25">
      <c r="B50" s="24" t="s">
        <v>77</v>
      </c>
      <c r="C50" s="50">
        <v>57</v>
      </c>
      <c r="D50" s="50">
        <v>5</v>
      </c>
      <c r="E50" s="50">
        <v>8</v>
      </c>
      <c r="F50" s="50">
        <v>10</v>
      </c>
      <c r="G50" s="50">
        <v>0</v>
      </c>
      <c r="H50" s="50">
        <v>0</v>
      </c>
      <c r="I50" s="50">
        <v>5</v>
      </c>
      <c r="J50" s="50">
        <v>7</v>
      </c>
      <c r="K50" s="50">
        <v>0</v>
      </c>
      <c r="L50" s="50">
        <v>1</v>
      </c>
      <c r="M50" s="50">
        <v>235</v>
      </c>
      <c r="N50" s="50">
        <v>0</v>
      </c>
      <c r="O50" s="15">
        <f t="shared" si="0"/>
        <v>93</v>
      </c>
      <c r="P50" s="15">
        <f t="shared" si="1"/>
        <v>328</v>
      </c>
      <c r="R50" s="8"/>
      <c r="T50"/>
    </row>
    <row r="51" spans="2:20" ht="23.1" customHeight="1" x14ac:dyDescent="0.25">
      <c r="B51" s="24" t="s">
        <v>78</v>
      </c>
      <c r="C51" s="50">
        <v>49</v>
      </c>
      <c r="D51" s="50">
        <v>8</v>
      </c>
      <c r="E51" s="50">
        <v>4</v>
      </c>
      <c r="F51" s="50">
        <v>11</v>
      </c>
      <c r="G51" s="50">
        <v>0</v>
      </c>
      <c r="H51" s="50">
        <v>0</v>
      </c>
      <c r="I51" s="50">
        <v>7</v>
      </c>
      <c r="J51" s="50">
        <v>2</v>
      </c>
      <c r="K51" s="50">
        <v>1</v>
      </c>
      <c r="L51" s="50">
        <v>0</v>
      </c>
      <c r="M51" s="50">
        <v>195</v>
      </c>
      <c r="N51" s="50">
        <v>0</v>
      </c>
      <c r="O51" s="15">
        <f t="shared" si="0"/>
        <v>82</v>
      </c>
      <c r="P51" s="15">
        <f t="shared" si="1"/>
        <v>277</v>
      </c>
      <c r="R51" s="8"/>
      <c r="T51"/>
    </row>
    <row r="52" spans="2:20" ht="23.1" customHeight="1" x14ac:dyDescent="0.25">
      <c r="B52" s="24" t="s">
        <v>79</v>
      </c>
      <c r="C52" s="50">
        <v>48</v>
      </c>
      <c r="D52" s="50">
        <v>6</v>
      </c>
      <c r="E52" s="50">
        <v>1</v>
      </c>
      <c r="F52" s="50">
        <v>25</v>
      </c>
      <c r="G52" s="50">
        <v>0</v>
      </c>
      <c r="H52" s="50">
        <v>0</v>
      </c>
      <c r="I52" s="50">
        <v>5</v>
      </c>
      <c r="J52" s="50">
        <v>3</v>
      </c>
      <c r="K52" s="50">
        <v>2</v>
      </c>
      <c r="L52" s="50">
        <v>0</v>
      </c>
      <c r="M52" s="50">
        <v>300</v>
      </c>
      <c r="N52" s="50">
        <v>0</v>
      </c>
      <c r="O52" s="15">
        <f t="shared" si="0"/>
        <v>90</v>
      </c>
      <c r="P52" s="15">
        <f t="shared" si="1"/>
        <v>390</v>
      </c>
      <c r="R52" s="8"/>
      <c r="T52"/>
    </row>
    <row r="53" spans="2:20" ht="23.1" customHeight="1" x14ac:dyDescent="0.25">
      <c r="B53" s="23" t="s">
        <v>80</v>
      </c>
      <c r="C53" s="50">
        <v>56</v>
      </c>
      <c r="D53" s="50">
        <v>9</v>
      </c>
      <c r="E53" s="50">
        <v>2</v>
      </c>
      <c r="F53" s="50">
        <v>19</v>
      </c>
      <c r="G53" s="50">
        <v>1</v>
      </c>
      <c r="H53" s="50">
        <v>0</v>
      </c>
      <c r="I53" s="50">
        <v>3</v>
      </c>
      <c r="J53" s="50">
        <v>1</v>
      </c>
      <c r="K53" s="50">
        <v>0</v>
      </c>
      <c r="L53" s="50">
        <v>2</v>
      </c>
      <c r="M53" s="50">
        <v>275</v>
      </c>
      <c r="N53" s="50">
        <v>0</v>
      </c>
      <c r="O53" s="15">
        <f t="shared" si="0"/>
        <v>93</v>
      </c>
      <c r="P53" s="15">
        <f t="shared" si="1"/>
        <v>368</v>
      </c>
      <c r="R53" s="8"/>
      <c r="T53"/>
    </row>
    <row r="54" spans="2:20" ht="23.1" customHeight="1" x14ac:dyDescent="0.25">
      <c r="B54" s="23" t="s">
        <v>81</v>
      </c>
      <c r="C54" s="50">
        <v>40</v>
      </c>
      <c r="D54" s="50">
        <v>8</v>
      </c>
      <c r="E54" s="50">
        <v>7</v>
      </c>
      <c r="F54" s="50">
        <v>23</v>
      </c>
      <c r="G54" s="50">
        <v>0</v>
      </c>
      <c r="H54" s="50">
        <v>0</v>
      </c>
      <c r="I54" s="50">
        <v>1</v>
      </c>
      <c r="J54" s="50">
        <v>3</v>
      </c>
      <c r="K54" s="50">
        <v>0</v>
      </c>
      <c r="L54" s="50">
        <v>2</v>
      </c>
      <c r="M54" s="50">
        <v>255</v>
      </c>
      <c r="N54" s="50">
        <v>0</v>
      </c>
      <c r="O54" s="15">
        <f t="shared" si="0"/>
        <v>84</v>
      </c>
      <c r="P54" s="15">
        <f t="shared" si="1"/>
        <v>339</v>
      </c>
      <c r="R54" s="8"/>
      <c r="T54"/>
    </row>
    <row r="55" spans="2:20" ht="23.1" customHeight="1" x14ac:dyDescent="0.25">
      <c r="B55" s="23" t="s">
        <v>82</v>
      </c>
      <c r="C55" s="50">
        <v>37</v>
      </c>
      <c r="D55" s="50">
        <v>4</v>
      </c>
      <c r="E55" s="50">
        <v>3</v>
      </c>
      <c r="F55" s="50">
        <v>11</v>
      </c>
      <c r="G55" s="50">
        <v>0</v>
      </c>
      <c r="H55" s="50">
        <v>0</v>
      </c>
      <c r="I55" s="50">
        <v>5</v>
      </c>
      <c r="J55" s="50">
        <v>2</v>
      </c>
      <c r="K55" s="50">
        <v>0</v>
      </c>
      <c r="L55" s="50">
        <v>1</v>
      </c>
      <c r="M55" s="50">
        <v>210</v>
      </c>
      <c r="N55" s="50">
        <v>0</v>
      </c>
      <c r="O55" s="15">
        <f t="shared" si="0"/>
        <v>63</v>
      </c>
      <c r="P55" s="15">
        <f t="shared" si="1"/>
        <v>273</v>
      </c>
      <c r="R55" s="8"/>
      <c r="T55"/>
    </row>
    <row r="56" spans="2:20" ht="23.1" customHeight="1" x14ac:dyDescent="0.25">
      <c r="B56" s="23" t="s">
        <v>83</v>
      </c>
      <c r="C56" s="50">
        <v>32</v>
      </c>
      <c r="D56" s="50">
        <v>3</v>
      </c>
      <c r="E56" s="50">
        <v>1</v>
      </c>
      <c r="F56" s="50">
        <v>18</v>
      </c>
      <c r="G56" s="50">
        <v>0</v>
      </c>
      <c r="H56" s="50">
        <v>0</v>
      </c>
      <c r="I56" s="50">
        <v>1</v>
      </c>
      <c r="J56" s="50">
        <v>5</v>
      </c>
      <c r="K56" s="50">
        <v>0</v>
      </c>
      <c r="L56" s="50">
        <v>1</v>
      </c>
      <c r="M56" s="50">
        <v>130</v>
      </c>
      <c r="N56" s="50">
        <v>0</v>
      </c>
      <c r="O56" s="15">
        <f t="shared" si="0"/>
        <v>61</v>
      </c>
      <c r="P56" s="15">
        <f t="shared" si="1"/>
        <v>191</v>
      </c>
      <c r="R56" s="8"/>
      <c r="T56"/>
    </row>
    <row r="57" spans="2:20" ht="23.1" customHeight="1" x14ac:dyDescent="0.25">
      <c r="B57" s="23" t="s">
        <v>84</v>
      </c>
      <c r="C57" s="50">
        <v>42</v>
      </c>
      <c r="D57" s="50">
        <v>4</v>
      </c>
      <c r="E57" s="50">
        <v>5</v>
      </c>
      <c r="F57" s="50">
        <v>7</v>
      </c>
      <c r="G57" s="50">
        <v>0</v>
      </c>
      <c r="H57" s="50">
        <v>0</v>
      </c>
      <c r="I57" s="50">
        <v>3</v>
      </c>
      <c r="J57" s="50">
        <v>7</v>
      </c>
      <c r="K57" s="50">
        <v>2</v>
      </c>
      <c r="L57" s="50">
        <v>2</v>
      </c>
      <c r="M57" s="50">
        <v>173</v>
      </c>
      <c r="N57" s="50">
        <v>0</v>
      </c>
      <c r="O57" s="15">
        <f t="shared" si="0"/>
        <v>72</v>
      </c>
      <c r="P57" s="15">
        <f t="shared" si="1"/>
        <v>245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1577</v>
      </c>
      <c r="D58" s="16">
        <f t="shared" si="21"/>
        <v>232</v>
      </c>
      <c r="E58" s="16">
        <f t="shared" si="21"/>
        <v>176</v>
      </c>
      <c r="F58" s="16">
        <f t="shared" si="21"/>
        <v>658</v>
      </c>
      <c r="G58" s="16">
        <f t="shared" si="21"/>
        <v>18</v>
      </c>
      <c r="H58" s="16">
        <f t="shared" si="21"/>
        <v>3</v>
      </c>
      <c r="I58" s="16">
        <f t="shared" si="21"/>
        <v>260</v>
      </c>
      <c r="J58" s="16">
        <f t="shared" si="21"/>
        <v>189</v>
      </c>
      <c r="K58" s="16">
        <f t="shared" si="21"/>
        <v>20</v>
      </c>
      <c r="L58" s="16">
        <f t="shared" si="21"/>
        <v>22</v>
      </c>
      <c r="M58" s="16">
        <f t="shared" si="21"/>
        <v>11006</v>
      </c>
      <c r="N58" s="16">
        <f t="shared" si="21"/>
        <v>2</v>
      </c>
      <c r="O58" s="16">
        <f t="shared" si="21"/>
        <v>3157</v>
      </c>
      <c r="P58" s="16">
        <f t="shared" si="21"/>
        <v>14163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0.11134646614417849</v>
      </c>
      <c r="D59" s="43">
        <f t="shared" si="22"/>
        <v>1.6380710301489798E-2</v>
      </c>
      <c r="E59" s="43">
        <f t="shared" si="22"/>
        <v>1.2426745745957778E-2</v>
      </c>
      <c r="F59" s="43">
        <f t="shared" si="22"/>
        <v>4.6459083527501235E-2</v>
      </c>
      <c r="G59" s="43">
        <f t="shared" si="22"/>
        <v>1.2709171785638637E-3</v>
      </c>
      <c r="H59" s="43">
        <f t="shared" si="22"/>
        <v>2.1181952976064393E-4</v>
      </c>
      <c r="I59" s="43">
        <f t="shared" si="22"/>
        <v>1.8357692579255808E-2</v>
      </c>
      <c r="J59" s="43">
        <f t="shared" si="22"/>
        <v>1.3344630374920568E-2</v>
      </c>
      <c r="K59" s="43">
        <f t="shared" si="22"/>
        <v>1.4121301984042929E-3</v>
      </c>
      <c r="L59" s="43">
        <f t="shared" si="22"/>
        <v>1.5533432182447222E-3</v>
      </c>
      <c r="M59" s="43">
        <f t="shared" si="22"/>
        <v>0.77709524818188236</v>
      </c>
      <c r="N59" s="43">
        <f t="shared" si="22"/>
        <v>1.412130198404293E-4</v>
      </c>
      <c r="R59" s="8"/>
      <c r="T59"/>
    </row>
    <row r="60" spans="2:20" ht="23.1" customHeight="1" x14ac:dyDescent="0.25">
      <c r="B60" s="42" t="s">
        <v>94</v>
      </c>
      <c r="C60" s="44">
        <f>C58/$O$58</f>
        <v>0.49952486537852392</v>
      </c>
      <c r="D60" s="44">
        <f t="shared" ref="D60:N60" si="23">D58/$O$58</f>
        <v>7.348748812163447E-2</v>
      </c>
      <c r="E60" s="44">
        <f t="shared" si="23"/>
        <v>5.5749128919860627E-2</v>
      </c>
      <c r="F60" s="44">
        <f t="shared" si="23"/>
        <v>0.20842572062084258</v>
      </c>
      <c r="G60" s="44">
        <f t="shared" si="23"/>
        <v>5.7016154577130187E-3</v>
      </c>
      <c r="H60" s="44">
        <f t="shared" si="23"/>
        <v>9.5026924295216978E-4</v>
      </c>
      <c r="I60" s="44">
        <f t="shared" si="23"/>
        <v>8.2356667722521384E-2</v>
      </c>
      <c r="J60" s="44">
        <f t="shared" si="23"/>
        <v>5.9866962305986697E-2</v>
      </c>
      <c r="K60" s="44">
        <f t="shared" si="23"/>
        <v>6.3351282863477985E-3</v>
      </c>
      <c r="L60" s="44">
        <f t="shared" si="23"/>
        <v>6.9686411149825784E-3</v>
      </c>
      <c r="M60" s="44"/>
      <c r="N60" s="44">
        <f t="shared" si="23"/>
        <v>6.3351282863477985E-4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'22.07 Ndeeba-Lubiri'!C3:G3</f>
        <v>MCC - C1 - STN03- KALINDA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'25.07 Lubiri-Ndeeba'!D5</f>
        <v>25.07.19</v>
      </c>
      <c r="E5" s="3"/>
      <c r="F5" s="41" t="s">
        <v>1</v>
      </c>
      <c r="G5" s="71" t="str">
        <f>'25.07 Lubiri-Ndeeba'!G5:H5</f>
        <v>Before Shell</v>
      </c>
      <c r="H5" s="72"/>
      <c r="I5" s="14"/>
      <c r="J5" s="2" t="s">
        <v>5</v>
      </c>
      <c r="K5" s="71" t="s">
        <v>177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'22.07 Ndeeba-Lubiri'!D6:E6</f>
        <v>Ndeeba</v>
      </c>
      <c r="E6" s="72"/>
      <c r="F6" s="2" t="s">
        <v>2</v>
      </c>
      <c r="G6" s="71" t="str">
        <f>'22.07 Ndeeba-Lubiri'!G6:H6</f>
        <v>Lubiri</v>
      </c>
      <c r="H6" s="72"/>
      <c r="J6" s="2" t="s">
        <v>21</v>
      </c>
      <c r="K6" s="71" t="str">
        <f>'25.07 Lubiri-Ndeeba'!K6:L6</f>
        <v>Denis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160</v>
      </c>
      <c r="D10" s="50">
        <v>16</v>
      </c>
      <c r="E10" s="50">
        <v>9</v>
      </c>
      <c r="F10" s="50">
        <v>73</v>
      </c>
      <c r="G10" s="50">
        <v>0</v>
      </c>
      <c r="H10" s="50">
        <v>0</v>
      </c>
      <c r="I10" s="50">
        <v>6</v>
      </c>
      <c r="J10" s="50">
        <v>2</v>
      </c>
      <c r="K10" s="50">
        <v>0</v>
      </c>
      <c r="L10" s="50">
        <v>0</v>
      </c>
      <c r="M10" s="50">
        <v>195</v>
      </c>
      <c r="N10" s="50">
        <v>0</v>
      </c>
      <c r="O10" s="15">
        <f t="shared" ref="O10:O57" si="0">SUM(C10:L10,N10)</f>
        <v>266</v>
      </c>
      <c r="P10" s="15">
        <f t="shared" ref="P10:P57" si="1">SUM(C10:N10)</f>
        <v>461</v>
      </c>
      <c r="R10" s="1" t="s">
        <v>6</v>
      </c>
      <c r="S10" s="17">
        <f t="shared" ref="S10:AF10" si="2">SUM(C10:C13)</f>
        <v>586</v>
      </c>
      <c r="T10" s="17">
        <f t="shared" si="2"/>
        <v>67</v>
      </c>
      <c r="U10" s="17">
        <f t="shared" si="2"/>
        <v>44</v>
      </c>
      <c r="V10" s="17">
        <f t="shared" si="2"/>
        <v>239</v>
      </c>
      <c r="W10" s="17">
        <f t="shared" si="2"/>
        <v>1</v>
      </c>
      <c r="X10" s="17">
        <f t="shared" si="2"/>
        <v>0</v>
      </c>
      <c r="Y10" s="17">
        <f t="shared" si="2"/>
        <v>28</v>
      </c>
      <c r="Z10" s="17">
        <f t="shared" si="2"/>
        <v>6</v>
      </c>
      <c r="AA10" s="17">
        <f t="shared" si="2"/>
        <v>9</v>
      </c>
      <c r="AB10" s="17">
        <f t="shared" si="2"/>
        <v>250</v>
      </c>
      <c r="AC10" s="17">
        <f t="shared" si="2"/>
        <v>935</v>
      </c>
      <c r="AD10" s="17">
        <f t="shared" si="2"/>
        <v>0</v>
      </c>
      <c r="AE10" s="31">
        <f t="shared" si="2"/>
        <v>1230</v>
      </c>
      <c r="AF10" s="31">
        <f t="shared" si="2"/>
        <v>2165</v>
      </c>
    </row>
    <row r="11" spans="2:32" s="6" customFormat="1" ht="23.1" customHeight="1" x14ac:dyDescent="0.25">
      <c r="B11" s="23" t="s">
        <v>38</v>
      </c>
      <c r="C11" s="50">
        <v>161</v>
      </c>
      <c r="D11" s="50">
        <v>18</v>
      </c>
      <c r="E11" s="50">
        <v>13</v>
      </c>
      <c r="F11" s="50">
        <v>60</v>
      </c>
      <c r="G11" s="50">
        <v>1</v>
      </c>
      <c r="H11" s="50">
        <v>0</v>
      </c>
      <c r="I11" s="50">
        <v>8</v>
      </c>
      <c r="J11" s="50">
        <v>0</v>
      </c>
      <c r="K11" s="50">
        <v>2</v>
      </c>
      <c r="L11" s="50">
        <v>250</v>
      </c>
      <c r="M11" s="50">
        <v>250</v>
      </c>
      <c r="N11" s="50">
        <v>0</v>
      </c>
      <c r="O11" s="15">
        <f t="shared" si="0"/>
        <v>513</v>
      </c>
      <c r="P11" s="15">
        <f t="shared" si="1"/>
        <v>763</v>
      </c>
      <c r="R11" s="1" t="s">
        <v>7</v>
      </c>
      <c r="S11" s="17">
        <f t="shared" ref="S11:AF11" si="3">SUM(C14:C17)</f>
        <v>551</v>
      </c>
      <c r="T11" s="17">
        <f t="shared" si="3"/>
        <v>40</v>
      </c>
      <c r="U11" s="17">
        <f t="shared" si="3"/>
        <v>41</v>
      </c>
      <c r="V11" s="17">
        <f t="shared" si="3"/>
        <v>110</v>
      </c>
      <c r="W11" s="17">
        <f t="shared" si="3"/>
        <v>3</v>
      </c>
      <c r="X11" s="17">
        <f t="shared" si="3"/>
        <v>0</v>
      </c>
      <c r="Y11" s="17">
        <f t="shared" si="3"/>
        <v>23</v>
      </c>
      <c r="Z11" s="17">
        <f t="shared" si="3"/>
        <v>9</v>
      </c>
      <c r="AA11" s="17">
        <f t="shared" si="3"/>
        <v>0</v>
      </c>
      <c r="AB11" s="17">
        <f t="shared" si="3"/>
        <v>2</v>
      </c>
      <c r="AC11" s="17">
        <f t="shared" si="3"/>
        <v>921</v>
      </c>
      <c r="AD11" s="17">
        <f t="shared" si="3"/>
        <v>0</v>
      </c>
      <c r="AE11" s="31">
        <f t="shared" si="3"/>
        <v>779</v>
      </c>
      <c r="AF11" s="31">
        <f t="shared" si="3"/>
        <v>1700</v>
      </c>
    </row>
    <row r="12" spans="2:32" ht="23.1" customHeight="1" x14ac:dyDescent="0.25">
      <c r="B12" s="23" t="s">
        <v>39</v>
      </c>
      <c r="C12" s="50">
        <v>130</v>
      </c>
      <c r="D12" s="50">
        <v>21</v>
      </c>
      <c r="E12" s="50">
        <v>15</v>
      </c>
      <c r="F12" s="50">
        <v>60</v>
      </c>
      <c r="G12" s="50">
        <v>0</v>
      </c>
      <c r="H12" s="50">
        <v>0</v>
      </c>
      <c r="I12" s="50">
        <v>7</v>
      </c>
      <c r="J12" s="50">
        <v>3</v>
      </c>
      <c r="K12" s="50">
        <v>6</v>
      </c>
      <c r="L12" s="50">
        <v>0</v>
      </c>
      <c r="M12" s="50">
        <v>195</v>
      </c>
      <c r="N12" s="50">
        <v>0</v>
      </c>
      <c r="O12" s="15">
        <f t="shared" si="0"/>
        <v>242</v>
      </c>
      <c r="P12" s="15">
        <f t="shared" si="1"/>
        <v>437</v>
      </c>
      <c r="R12" s="1" t="s">
        <v>8</v>
      </c>
      <c r="S12" s="17">
        <f t="shared" ref="S12:AF12" si="4">SUM(C18:C21)</f>
        <v>473</v>
      </c>
      <c r="T12" s="17">
        <f t="shared" si="4"/>
        <v>30</v>
      </c>
      <c r="U12" s="17">
        <f t="shared" si="4"/>
        <v>29</v>
      </c>
      <c r="V12" s="17">
        <f t="shared" si="4"/>
        <v>56</v>
      </c>
      <c r="W12" s="17">
        <f t="shared" si="4"/>
        <v>0</v>
      </c>
      <c r="X12" s="17">
        <f t="shared" si="4"/>
        <v>0</v>
      </c>
      <c r="Y12" s="17">
        <f t="shared" si="4"/>
        <v>27</v>
      </c>
      <c r="Z12" s="17">
        <f t="shared" si="4"/>
        <v>16</v>
      </c>
      <c r="AA12" s="17">
        <f t="shared" si="4"/>
        <v>1</v>
      </c>
      <c r="AB12" s="17">
        <f t="shared" si="4"/>
        <v>3</v>
      </c>
      <c r="AC12" s="17">
        <f t="shared" si="4"/>
        <v>805</v>
      </c>
      <c r="AD12" s="17">
        <f t="shared" si="4"/>
        <v>0</v>
      </c>
      <c r="AE12" s="31">
        <f t="shared" si="4"/>
        <v>635</v>
      </c>
      <c r="AF12" s="31">
        <f t="shared" si="4"/>
        <v>1440</v>
      </c>
    </row>
    <row r="13" spans="2:32" ht="23.1" customHeight="1" x14ac:dyDescent="0.25">
      <c r="B13" s="23" t="s">
        <v>40</v>
      </c>
      <c r="C13" s="50">
        <v>135</v>
      </c>
      <c r="D13" s="50">
        <v>12</v>
      </c>
      <c r="E13" s="50">
        <v>7</v>
      </c>
      <c r="F13" s="50">
        <v>46</v>
      </c>
      <c r="G13" s="50">
        <v>0</v>
      </c>
      <c r="H13" s="50">
        <v>0</v>
      </c>
      <c r="I13" s="50">
        <v>7</v>
      </c>
      <c r="J13" s="50">
        <v>1</v>
      </c>
      <c r="K13" s="50">
        <v>1</v>
      </c>
      <c r="L13" s="50">
        <v>0</v>
      </c>
      <c r="M13" s="50">
        <v>295</v>
      </c>
      <c r="N13" s="50">
        <v>0</v>
      </c>
      <c r="O13" s="15">
        <f t="shared" si="0"/>
        <v>209</v>
      </c>
      <c r="P13" s="15">
        <f t="shared" si="1"/>
        <v>504</v>
      </c>
      <c r="R13" s="1" t="s">
        <v>9</v>
      </c>
      <c r="S13" s="17">
        <f t="shared" ref="S13:AF13" si="5">SUM(C22:C25)</f>
        <v>325</v>
      </c>
      <c r="T13" s="17">
        <f t="shared" si="5"/>
        <v>44</v>
      </c>
      <c r="U13" s="17">
        <f t="shared" si="5"/>
        <v>32</v>
      </c>
      <c r="V13" s="17">
        <f t="shared" si="5"/>
        <v>23</v>
      </c>
      <c r="W13" s="17">
        <f t="shared" si="5"/>
        <v>4</v>
      </c>
      <c r="X13" s="17">
        <f t="shared" si="5"/>
        <v>0</v>
      </c>
      <c r="Y13" s="17">
        <f t="shared" si="5"/>
        <v>36</v>
      </c>
      <c r="Z13" s="17">
        <f t="shared" si="5"/>
        <v>8</v>
      </c>
      <c r="AA13" s="17">
        <f t="shared" si="5"/>
        <v>5</v>
      </c>
      <c r="AB13" s="17">
        <f t="shared" si="5"/>
        <v>0</v>
      </c>
      <c r="AC13" s="17">
        <f t="shared" si="5"/>
        <v>851</v>
      </c>
      <c r="AD13" s="17">
        <f t="shared" si="5"/>
        <v>0</v>
      </c>
      <c r="AE13" s="31">
        <f t="shared" si="5"/>
        <v>477</v>
      </c>
      <c r="AF13" s="31">
        <f t="shared" si="5"/>
        <v>1328</v>
      </c>
    </row>
    <row r="14" spans="2:32" ht="23.1" customHeight="1" x14ac:dyDescent="0.25">
      <c r="B14" s="23" t="s">
        <v>41</v>
      </c>
      <c r="C14" s="50">
        <v>125</v>
      </c>
      <c r="D14" s="50">
        <v>12</v>
      </c>
      <c r="E14" s="50">
        <v>10</v>
      </c>
      <c r="F14" s="50">
        <v>35</v>
      </c>
      <c r="G14" s="50">
        <v>2</v>
      </c>
      <c r="H14" s="50">
        <v>0</v>
      </c>
      <c r="I14" s="50">
        <v>6</v>
      </c>
      <c r="J14" s="50">
        <v>0</v>
      </c>
      <c r="K14" s="50">
        <v>0</v>
      </c>
      <c r="L14" s="50">
        <v>1</v>
      </c>
      <c r="M14" s="50">
        <v>216</v>
      </c>
      <c r="N14" s="50">
        <v>0</v>
      </c>
      <c r="O14" s="15">
        <f t="shared" si="0"/>
        <v>191</v>
      </c>
      <c r="P14" s="15">
        <f t="shared" si="1"/>
        <v>407</v>
      </c>
      <c r="R14" s="1" t="s">
        <v>10</v>
      </c>
      <c r="S14" s="17">
        <f t="shared" ref="S14:AF14" si="6">SUM(C26:C29)</f>
        <v>315</v>
      </c>
      <c r="T14" s="17">
        <f t="shared" si="6"/>
        <v>29</v>
      </c>
      <c r="U14" s="17">
        <f t="shared" si="6"/>
        <v>28</v>
      </c>
      <c r="V14" s="17">
        <f t="shared" si="6"/>
        <v>23</v>
      </c>
      <c r="W14" s="17">
        <f t="shared" si="6"/>
        <v>0</v>
      </c>
      <c r="X14" s="17">
        <f t="shared" si="6"/>
        <v>0</v>
      </c>
      <c r="Y14" s="17">
        <f t="shared" si="6"/>
        <v>20</v>
      </c>
      <c r="Z14" s="17">
        <f t="shared" si="6"/>
        <v>16</v>
      </c>
      <c r="AA14" s="17">
        <f t="shared" si="6"/>
        <v>1</v>
      </c>
      <c r="AB14" s="17">
        <f t="shared" si="6"/>
        <v>1</v>
      </c>
      <c r="AC14" s="17">
        <f t="shared" si="6"/>
        <v>877</v>
      </c>
      <c r="AD14" s="17">
        <f t="shared" si="6"/>
        <v>0</v>
      </c>
      <c r="AE14" s="31">
        <f t="shared" si="6"/>
        <v>433</v>
      </c>
      <c r="AF14" s="31">
        <f t="shared" si="6"/>
        <v>1310</v>
      </c>
    </row>
    <row r="15" spans="2:32" ht="23.1" customHeight="1" x14ac:dyDescent="0.25">
      <c r="B15" s="23" t="s">
        <v>42</v>
      </c>
      <c r="C15" s="50">
        <v>140</v>
      </c>
      <c r="D15" s="50">
        <v>11</v>
      </c>
      <c r="E15" s="50">
        <v>13</v>
      </c>
      <c r="F15" s="50">
        <v>32</v>
      </c>
      <c r="G15" s="50">
        <v>0</v>
      </c>
      <c r="H15" s="50">
        <v>0</v>
      </c>
      <c r="I15" s="50">
        <v>9</v>
      </c>
      <c r="J15" s="50">
        <v>0</v>
      </c>
      <c r="K15" s="50">
        <v>0</v>
      </c>
      <c r="L15" s="50">
        <v>0</v>
      </c>
      <c r="M15" s="50">
        <v>220</v>
      </c>
      <c r="N15" s="50">
        <v>0</v>
      </c>
      <c r="O15" s="15">
        <f t="shared" si="0"/>
        <v>205</v>
      </c>
      <c r="P15" s="15">
        <f t="shared" si="1"/>
        <v>425</v>
      </c>
      <c r="R15" s="1" t="s">
        <v>11</v>
      </c>
      <c r="S15" s="17">
        <f t="shared" ref="S15:AF15" si="7">SUM(C30:C33)</f>
        <v>173</v>
      </c>
      <c r="T15" s="17">
        <f t="shared" si="7"/>
        <v>21</v>
      </c>
      <c r="U15" s="17">
        <f t="shared" si="7"/>
        <v>28</v>
      </c>
      <c r="V15" s="17">
        <f t="shared" si="7"/>
        <v>18</v>
      </c>
      <c r="W15" s="17">
        <f t="shared" si="7"/>
        <v>0</v>
      </c>
      <c r="X15" s="17">
        <f t="shared" si="7"/>
        <v>0</v>
      </c>
      <c r="Y15" s="17">
        <f t="shared" si="7"/>
        <v>19</v>
      </c>
      <c r="Z15" s="17">
        <f t="shared" si="7"/>
        <v>11</v>
      </c>
      <c r="AA15" s="17">
        <f t="shared" si="7"/>
        <v>1</v>
      </c>
      <c r="AB15" s="17">
        <f t="shared" si="7"/>
        <v>1</v>
      </c>
      <c r="AC15" s="17">
        <f t="shared" si="7"/>
        <v>920</v>
      </c>
      <c r="AD15" s="17">
        <f t="shared" si="7"/>
        <v>0</v>
      </c>
      <c r="AE15" s="31">
        <f t="shared" si="7"/>
        <v>272</v>
      </c>
      <c r="AF15" s="31">
        <f t="shared" si="7"/>
        <v>1192</v>
      </c>
    </row>
    <row r="16" spans="2:32" ht="23.1" customHeight="1" x14ac:dyDescent="0.25">
      <c r="B16" s="23" t="s">
        <v>43</v>
      </c>
      <c r="C16" s="50">
        <v>141</v>
      </c>
      <c r="D16" s="50">
        <v>11</v>
      </c>
      <c r="E16" s="50">
        <v>8</v>
      </c>
      <c r="F16" s="50">
        <v>29</v>
      </c>
      <c r="G16" s="50">
        <v>1</v>
      </c>
      <c r="H16" s="50">
        <v>0</v>
      </c>
      <c r="I16" s="50">
        <v>6</v>
      </c>
      <c r="J16" s="50">
        <v>6</v>
      </c>
      <c r="K16" s="50">
        <v>0</v>
      </c>
      <c r="L16" s="50">
        <v>0</v>
      </c>
      <c r="M16" s="50">
        <v>235</v>
      </c>
      <c r="N16" s="50">
        <v>0</v>
      </c>
      <c r="O16" s="15">
        <f t="shared" si="0"/>
        <v>202</v>
      </c>
      <c r="P16" s="15">
        <f t="shared" si="1"/>
        <v>437</v>
      </c>
      <c r="R16" s="1" t="s">
        <v>12</v>
      </c>
      <c r="S16" s="17">
        <f t="shared" ref="S16:AF16" si="8">SUM(C34:C37)</f>
        <v>130</v>
      </c>
      <c r="T16" s="17">
        <f t="shared" si="8"/>
        <v>21</v>
      </c>
      <c r="U16" s="17">
        <f t="shared" si="8"/>
        <v>24</v>
      </c>
      <c r="V16" s="17">
        <f t="shared" si="8"/>
        <v>14</v>
      </c>
      <c r="W16" s="17">
        <f t="shared" si="8"/>
        <v>0</v>
      </c>
      <c r="X16" s="17">
        <f t="shared" si="8"/>
        <v>0</v>
      </c>
      <c r="Y16" s="17">
        <f t="shared" si="8"/>
        <v>20</v>
      </c>
      <c r="Z16" s="17">
        <f t="shared" si="8"/>
        <v>5</v>
      </c>
      <c r="AA16" s="17">
        <f t="shared" si="8"/>
        <v>3</v>
      </c>
      <c r="AB16" s="17">
        <f t="shared" si="8"/>
        <v>2</v>
      </c>
      <c r="AC16" s="17">
        <f t="shared" si="8"/>
        <v>986</v>
      </c>
      <c r="AD16" s="17">
        <f t="shared" si="8"/>
        <v>0</v>
      </c>
      <c r="AE16" s="31">
        <f t="shared" si="8"/>
        <v>219</v>
      </c>
      <c r="AF16" s="31">
        <f t="shared" si="8"/>
        <v>1205</v>
      </c>
    </row>
    <row r="17" spans="2:32" ht="23.1" customHeight="1" x14ac:dyDescent="0.25">
      <c r="B17" s="23" t="s">
        <v>44</v>
      </c>
      <c r="C17" s="50">
        <v>145</v>
      </c>
      <c r="D17" s="50">
        <v>6</v>
      </c>
      <c r="E17" s="50">
        <v>10</v>
      </c>
      <c r="F17" s="50">
        <v>14</v>
      </c>
      <c r="G17" s="50">
        <v>0</v>
      </c>
      <c r="H17" s="50">
        <v>0</v>
      </c>
      <c r="I17" s="50">
        <v>2</v>
      </c>
      <c r="J17" s="50">
        <v>3</v>
      </c>
      <c r="K17" s="50">
        <v>0</v>
      </c>
      <c r="L17" s="50">
        <v>1</v>
      </c>
      <c r="M17" s="50">
        <v>250</v>
      </c>
      <c r="N17" s="50">
        <v>0</v>
      </c>
      <c r="O17" s="15">
        <f t="shared" si="0"/>
        <v>181</v>
      </c>
      <c r="P17" s="15">
        <f t="shared" si="1"/>
        <v>431</v>
      </c>
      <c r="R17" s="1" t="s">
        <v>13</v>
      </c>
      <c r="S17" s="17">
        <f t="shared" ref="S17:AF17" si="9">SUM(C38:C41)</f>
        <v>177</v>
      </c>
      <c r="T17" s="17">
        <f t="shared" si="9"/>
        <v>20</v>
      </c>
      <c r="U17" s="17">
        <f t="shared" si="9"/>
        <v>15</v>
      </c>
      <c r="V17" s="17">
        <f t="shared" si="9"/>
        <v>37</v>
      </c>
      <c r="W17" s="17">
        <f t="shared" si="9"/>
        <v>2</v>
      </c>
      <c r="X17" s="17">
        <f t="shared" si="9"/>
        <v>1</v>
      </c>
      <c r="Y17" s="17">
        <f t="shared" si="9"/>
        <v>14</v>
      </c>
      <c r="Z17" s="17">
        <f t="shared" si="9"/>
        <v>9</v>
      </c>
      <c r="AA17" s="17">
        <f t="shared" si="9"/>
        <v>2</v>
      </c>
      <c r="AB17" s="17">
        <f t="shared" si="9"/>
        <v>2</v>
      </c>
      <c r="AC17" s="17">
        <f t="shared" si="9"/>
        <v>851</v>
      </c>
      <c r="AD17" s="17">
        <f t="shared" si="9"/>
        <v>0</v>
      </c>
      <c r="AE17" s="31">
        <f t="shared" si="9"/>
        <v>279</v>
      </c>
      <c r="AF17" s="31">
        <f t="shared" si="9"/>
        <v>1130</v>
      </c>
    </row>
    <row r="18" spans="2:32" ht="23.1" customHeight="1" x14ac:dyDescent="0.25">
      <c r="B18" s="23" t="s">
        <v>45</v>
      </c>
      <c r="C18" s="50">
        <v>128</v>
      </c>
      <c r="D18" s="50">
        <v>11</v>
      </c>
      <c r="E18" s="50">
        <v>6</v>
      </c>
      <c r="F18" s="50">
        <v>27</v>
      </c>
      <c r="G18" s="50">
        <v>0</v>
      </c>
      <c r="H18" s="50">
        <v>0</v>
      </c>
      <c r="I18" s="50">
        <v>5</v>
      </c>
      <c r="J18" s="50">
        <v>1</v>
      </c>
      <c r="K18" s="50">
        <v>0</v>
      </c>
      <c r="L18" s="50">
        <v>1</v>
      </c>
      <c r="M18" s="50">
        <v>175</v>
      </c>
      <c r="N18" s="50">
        <v>0</v>
      </c>
      <c r="O18" s="15">
        <f t="shared" si="0"/>
        <v>179</v>
      </c>
      <c r="P18" s="15">
        <f t="shared" si="1"/>
        <v>354</v>
      </c>
      <c r="R18" s="1" t="s">
        <v>14</v>
      </c>
      <c r="S18" s="17">
        <f t="shared" ref="S18:AF18" si="10">SUM(C42:C45)</f>
        <v>276</v>
      </c>
      <c r="T18" s="17">
        <f t="shared" si="10"/>
        <v>21</v>
      </c>
      <c r="U18" s="17">
        <f t="shared" si="10"/>
        <v>31</v>
      </c>
      <c r="V18" s="17">
        <f t="shared" si="10"/>
        <v>30</v>
      </c>
      <c r="W18" s="17">
        <f t="shared" si="10"/>
        <v>0</v>
      </c>
      <c r="X18" s="17">
        <f t="shared" si="10"/>
        <v>0</v>
      </c>
      <c r="Y18" s="17">
        <f t="shared" si="10"/>
        <v>22</v>
      </c>
      <c r="Z18" s="17">
        <f t="shared" si="10"/>
        <v>12</v>
      </c>
      <c r="AA18" s="17">
        <f t="shared" si="10"/>
        <v>1</v>
      </c>
      <c r="AB18" s="17">
        <f t="shared" si="10"/>
        <v>2</v>
      </c>
      <c r="AC18" s="17">
        <f t="shared" si="10"/>
        <v>930</v>
      </c>
      <c r="AD18" s="17">
        <f t="shared" si="10"/>
        <v>0</v>
      </c>
      <c r="AE18" s="31">
        <f t="shared" si="10"/>
        <v>395</v>
      </c>
      <c r="AF18" s="31">
        <f t="shared" si="10"/>
        <v>1325</v>
      </c>
    </row>
    <row r="19" spans="2:32" ht="23.1" customHeight="1" x14ac:dyDescent="0.25">
      <c r="B19" s="23" t="s">
        <v>46</v>
      </c>
      <c r="C19" s="50">
        <v>125</v>
      </c>
      <c r="D19" s="50">
        <v>7</v>
      </c>
      <c r="E19" s="50">
        <v>10</v>
      </c>
      <c r="F19" s="50">
        <v>10</v>
      </c>
      <c r="G19" s="50">
        <v>0</v>
      </c>
      <c r="H19" s="50">
        <v>0</v>
      </c>
      <c r="I19" s="50">
        <v>8</v>
      </c>
      <c r="J19" s="50">
        <v>7</v>
      </c>
      <c r="K19" s="50">
        <v>1</v>
      </c>
      <c r="L19" s="50">
        <v>0</v>
      </c>
      <c r="M19" s="50">
        <v>220</v>
      </c>
      <c r="N19" s="50">
        <v>0</v>
      </c>
      <c r="O19" s="15">
        <f t="shared" si="0"/>
        <v>168</v>
      </c>
      <c r="P19" s="15">
        <f t="shared" si="1"/>
        <v>388</v>
      </c>
      <c r="R19" s="1" t="s">
        <v>15</v>
      </c>
      <c r="S19" s="17">
        <f t="shared" ref="S19:AF19" si="11">SUM(C46:C49)</f>
        <v>222</v>
      </c>
      <c r="T19" s="17">
        <f t="shared" si="11"/>
        <v>26</v>
      </c>
      <c r="U19" s="17">
        <f t="shared" si="11"/>
        <v>20</v>
      </c>
      <c r="V19" s="17">
        <f t="shared" si="11"/>
        <v>18</v>
      </c>
      <c r="W19" s="17">
        <f t="shared" si="11"/>
        <v>1</v>
      </c>
      <c r="X19" s="17">
        <f t="shared" si="11"/>
        <v>0</v>
      </c>
      <c r="Y19" s="17">
        <f t="shared" si="11"/>
        <v>15</v>
      </c>
      <c r="Z19" s="17">
        <f t="shared" si="11"/>
        <v>17</v>
      </c>
      <c r="AA19" s="17">
        <f t="shared" si="11"/>
        <v>3</v>
      </c>
      <c r="AB19" s="17">
        <f t="shared" si="11"/>
        <v>0</v>
      </c>
      <c r="AC19" s="17">
        <f t="shared" si="11"/>
        <v>695</v>
      </c>
      <c r="AD19" s="17">
        <f t="shared" si="11"/>
        <v>0</v>
      </c>
      <c r="AE19" s="31">
        <f t="shared" si="11"/>
        <v>322</v>
      </c>
      <c r="AF19" s="31">
        <f t="shared" si="11"/>
        <v>1017</v>
      </c>
    </row>
    <row r="20" spans="2:32" ht="23.1" customHeight="1" x14ac:dyDescent="0.25">
      <c r="B20" s="23" t="s">
        <v>47</v>
      </c>
      <c r="C20" s="50">
        <v>100</v>
      </c>
      <c r="D20" s="50">
        <v>4</v>
      </c>
      <c r="E20" s="50">
        <v>8</v>
      </c>
      <c r="F20" s="50">
        <v>9</v>
      </c>
      <c r="G20" s="50">
        <v>0</v>
      </c>
      <c r="H20" s="50">
        <v>0</v>
      </c>
      <c r="I20" s="50">
        <v>5</v>
      </c>
      <c r="J20" s="50">
        <v>1</v>
      </c>
      <c r="K20" s="50">
        <v>0</v>
      </c>
      <c r="L20" s="50">
        <v>0</v>
      </c>
      <c r="M20" s="50">
        <v>210</v>
      </c>
      <c r="N20" s="50">
        <v>0</v>
      </c>
      <c r="O20" s="15">
        <f t="shared" si="0"/>
        <v>127</v>
      </c>
      <c r="P20" s="15">
        <f t="shared" si="1"/>
        <v>337</v>
      </c>
      <c r="R20" s="1" t="s">
        <v>16</v>
      </c>
      <c r="S20" s="17">
        <f t="shared" ref="S20:AF20" si="12">SUM(C50:C53)</f>
        <v>425</v>
      </c>
      <c r="T20" s="17">
        <f t="shared" si="12"/>
        <v>50</v>
      </c>
      <c r="U20" s="17">
        <f t="shared" si="12"/>
        <v>18</v>
      </c>
      <c r="V20" s="17">
        <f t="shared" si="12"/>
        <v>15</v>
      </c>
      <c r="W20" s="17">
        <f t="shared" si="12"/>
        <v>1</v>
      </c>
      <c r="X20" s="17">
        <f t="shared" si="12"/>
        <v>0</v>
      </c>
      <c r="Y20" s="17">
        <f t="shared" si="12"/>
        <v>24</v>
      </c>
      <c r="Z20" s="17">
        <f t="shared" si="12"/>
        <v>15</v>
      </c>
      <c r="AA20" s="17">
        <f t="shared" si="12"/>
        <v>0</v>
      </c>
      <c r="AB20" s="17">
        <f t="shared" si="12"/>
        <v>0</v>
      </c>
      <c r="AC20" s="17">
        <f t="shared" si="12"/>
        <v>905</v>
      </c>
      <c r="AD20" s="17">
        <f t="shared" si="12"/>
        <v>0</v>
      </c>
      <c r="AE20" s="31">
        <f t="shared" si="12"/>
        <v>548</v>
      </c>
      <c r="AF20" s="31">
        <f t="shared" si="12"/>
        <v>1453</v>
      </c>
    </row>
    <row r="21" spans="2:32" ht="23.1" customHeight="1" x14ac:dyDescent="0.25">
      <c r="B21" s="23" t="s">
        <v>48</v>
      </c>
      <c r="C21" s="50">
        <v>120</v>
      </c>
      <c r="D21" s="50">
        <v>8</v>
      </c>
      <c r="E21" s="50">
        <v>5</v>
      </c>
      <c r="F21" s="50">
        <v>10</v>
      </c>
      <c r="G21" s="50">
        <v>0</v>
      </c>
      <c r="H21" s="50">
        <v>0</v>
      </c>
      <c r="I21" s="50">
        <v>9</v>
      </c>
      <c r="J21" s="50">
        <v>7</v>
      </c>
      <c r="K21" s="50">
        <v>0</v>
      </c>
      <c r="L21" s="50">
        <v>2</v>
      </c>
      <c r="M21" s="50">
        <v>200</v>
      </c>
      <c r="N21" s="50">
        <v>0</v>
      </c>
      <c r="O21" s="15">
        <f t="shared" si="0"/>
        <v>161</v>
      </c>
      <c r="P21" s="15">
        <f t="shared" si="1"/>
        <v>361</v>
      </c>
      <c r="R21" s="36" t="s">
        <v>20</v>
      </c>
      <c r="S21" s="34">
        <f t="shared" ref="S21:AF21" si="13">SUM(C54:C57)</f>
        <v>488</v>
      </c>
      <c r="T21" s="17">
        <f t="shared" si="13"/>
        <v>35</v>
      </c>
      <c r="U21" s="17">
        <f t="shared" si="13"/>
        <v>17</v>
      </c>
      <c r="V21" s="17">
        <f t="shared" si="13"/>
        <v>31</v>
      </c>
      <c r="W21" s="17">
        <f t="shared" si="13"/>
        <v>1</v>
      </c>
      <c r="X21" s="17">
        <f t="shared" si="13"/>
        <v>2</v>
      </c>
      <c r="Y21" s="17">
        <f t="shared" si="13"/>
        <v>14</v>
      </c>
      <c r="Z21" s="17">
        <f t="shared" si="13"/>
        <v>15</v>
      </c>
      <c r="AA21" s="17">
        <f t="shared" si="13"/>
        <v>1</v>
      </c>
      <c r="AB21" s="17">
        <f t="shared" si="13"/>
        <v>2</v>
      </c>
      <c r="AC21" s="17">
        <f t="shared" si="13"/>
        <v>921</v>
      </c>
      <c r="AD21" s="17">
        <f t="shared" si="13"/>
        <v>0</v>
      </c>
      <c r="AE21" s="31">
        <f t="shared" si="13"/>
        <v>606</v>
      </c>
      <c r="AF21" s="31">
        <f t="shared" si="13"/>
        <v>1527</v>
      </c>
    </row>
    <row r="22" spans="2:32" ht="23.1" customHeight="1" x14ac:dyDescent="0.25">
      <c r="B22" s="23" t="s">
        <v>49</v>
      </c>
      <c r="C22" s="50">
        <v>90</v>
      </c>
      <c r="D22" s="50">
        <v>12</v>
      </c>
      <c r="E22" s="50">
        <v>14</v>
      </c>
      <c r="F22" s="50">
        <v>5</v>
      </c>
      <c r="G22" s="50">
        <v>2</v>
      </c>
      <c r="H22" s="50">
        <v>0</v>
      </c>
      <c r="I22" s="50">
        <v>7</v>
      </c>
      <c r="J22" s="50">
        <v>1</v>
      </c>
      <c r="K22" s="50">
        <v>3</v>
      </c>
      <c r="L22" s="50">
        <v>0</v>
      </c>
      <c r="M22" s="50">
        <v>210</v>
      </c>
      <c r="N22" s="50">
        <v>0</v>
      </c>
      <c r="O22" s="15">
        <f t="shared" si="0"/>
        <v>134</v>
      </c>
      <c r="P22" s="15">
        <f t="shared" si="1"/>
        <v>344</v>
      </c>
      <c r="R22" s="38" t="s">
        <v>90</v>
      </c>
      <c r="S22" s="39">
        <f>MAX(S10:S12)</f>
        <v>586</v>
      </c>
      <c r="T22" s="39">
        <f t="shared" ref="T22:AF22" si="14">MAX(T10:T12)</f>
        <v>67</v>
      </c>
      <c r="U22" s="39">
        <f t="shared" si="14"/>
        <v>44</v>
      </c>
      <c r="V22" s="39">
        <f t="shared" si="14"/>
        <v>239</v>
      </c>
      <c r="W22" s="39">
        <f t="shared" si="14"/>
        <v>3</v>
      </c>
      <c r="X22" s="39">
        <f t="shared" si="14"/>
        <v>0</v>
      </c>
      <c r="Y22" s="39">
        <f t="shared" si="14"/>
        <v>28</v>
      </c>
      <c r="Z22" s="39">
        <f t="shared" si="14"/>
        <v>16</v>
      </c>
      <c r="AA22" s="39">
        <f t="shared" si="14"/>
        <v>9</v>
      </c>
      <c r="AB22" s="39">
        <f t="shared" si="14"/>
        <v>250</v>
      </c>
      <c r="AC22" s="39">
        <f t="shared" si="14"/>
        <v>935</v>
      </c>
      <c r="AD22" s="39">
        <f t="shared" si="14"/>
        <v>0</v>
      </c>
      <c r="AE22" s="40">
        <f t="shared" si="14"/>
        <v>1230</v>
      </c>
      <c r="AF22" s="40">
        <f t="shared" si="14"/>
        <v>2165</v>
      </c>
    </row>
    <row r="23" spans="2:32" ht="23.1" customHeight="1" x14ac:dyDescent="0.25">
      <c r="B23" s="23" t="s">
        <v>50</v>
      </c>
      <c r="C23" s="50">
        <v>75</v>
      </c>
      <c r="D23" s="50">
        <v>8</v>
      </c>
      <c r="E23" s="50">
        <v>5</v>
      </c>
      <c r="F23" s="50">
        <v>8</v>
      </c>
      <c r="G23" s="50">
        <v>0</v>
      </c>
      <c r="H23" s="50">
        <v>0</v>
      </c>
      <c r="I23" s="50">
        <v>10</v>
      </c>
      <c r="J23" s="50">
        <v>2</v>
      </c>
      <c r="K23" s="50">
        <v>2</v>
      </c>
      <c r="L23" s="50">
        <v>0</v>
      </c>
      <c r="M23" s="50">
        <v>225</v>
      </c>
      <c r="N23" s="50">
        <v>0</v>
      </c>
      <c r="O23" s="15">
        <f t="shared" si="0"/>
        <v>110</v>
      </c>
      <c r="P23" s="15">
        <f t="shared" si="1"/>
        <v>335</v>
      </c>
      <c r="R23" s="38" t="s">
        <v>91</v>
      </c>
      <c r="S23" s="39">
        <f>MAX(S13:S18)</f>
        <v>325</v>
      </c>
      <c r="T23" s="39">
        <f t="shared" ref="T23:AF23" si="15">MAX(T13:T18)</f>
        <v>44</v>
      </c>
      <c r="U23" s="39">
        <f t="shared" si="15"/>
        <v>32</v>
      </c>
      <c r="V23" s="39">
        <f t="shared" si="15"/>
        <v>37</v>
      </c>
      <c r="W23" s="39">
        <f t="shared" si="15"/>
        <v>4</v>
      </c>
      <c r="X23" s="39">
        <f t="shared" si="15"/>
        <v>1</v>
      </c>
      <c r="Y23" s="39">
        <f t="shared" si="15"/>
        <v>36</v>
      </c>
      <c r="Z23" s="39">
        <f t="shared" si="15"/>
        <v>16</v>
      </c>
      <c r="AA23" s="39">
        <f t="shared" si="15"/>
        <v>5</v>
      </c>
      <c r="AB23" s="39">
        <f t="shared" si="15"/>
        <v>2</v>
      </c>
      <c r="AC23" s="39">
        <f t="shared" si="15"/>
        <v>986</v>
      </c>
      <c r="AD23" s="39">
        <f t="shared" si="15"/>
        <v>0</v>
      </c>
      <c r="AE23" s="40">
        <f t="shared" si="15"/>
        <v>477</v>
      </c>
      <c r="AF23" s="40">
        <f t="shared" si="15"/>
        <v>1328</v>
      </c>
    </row>
    <row r="24" spans="2:32" ht="23.1" customHeight="1" x14ac:dyDescent="0.25">
      <c r="B24" s="23" t="s">
        <v>51</v>
      </c>
      <c r="C24" s="50">
        <v>96</v>
      </c>
      <c r="D24" s="50">
        <v>14</v>
      </c>
      <c r="E24" s="50">
        <v>4</v>
      </c>
      <c r="F24" s="50">
        <v>6</v>
      </c>
      <c r="G24" s="50">
        <v>0</v>
      </c>
      <c r="H24" s="50">
        <v>0</v>
      </c>
      <c r="I24" s="50">
        <v>6</v>
      </c>
      <c r="J24" s="50">
        <v>3</v>
      </c>
      <c r="K24" s="50">
        <v>0</v>
      </c>
      <c r="L24" s="50">
        <v>0</v>
      </c>
      <c r="M24" s="50">
        <v>226</v>
      </c>
      <c r="N24" s="50">
        <v>0</v>
      </c>
      <c r="O24" s="15">
        <f t="shared" si="0"/>
        <v>129</v>
      </c>
      <c r="P24" s="15">
        <f t="shared" si="1"/>
        <v>355</v>
      </c>
      <c r="R24" s="38" t="s">
        <v>92</v>
      </c>
      <c r="S24" s="39">
        <f>MAX(S19:S21)</f>
        <v>488</v>
      </c>
      <c r="T24" s="39">
        <f t="shared" ref="T24:AF24" si="16">MAX(T19:T21)</f>
        <v>50</v>
      </c>
      <c r="U24" s="39">
        <f t="shared" si="16"/>
        <v>20</v>
      </c>
      <c r="V24" s="39">
        <f t="shared" si="16"/>
        <v>31</v>
      </c>
      <c r="W24" s="39">
        <f t="shared" si="16"/>
        <v>1</v>
      </c>
      <c r="X24" s="39">
        <f t="shared" si="16"/>
        <v>2</v>
      </c>
      <c r="Y24" s="39">
        <f t="shared" si="16"/>
        <v>24</v>
      </c>
      <c r="Z24" s="39">
        <f t="shared" si="16"/>
        <v>17</v>
      </c>
      <c r="AA24" s="39">
        <f t="shared" si="16"/>
        <v>3</v>
      </c>
      <c r="AB24" s="39">
        <f t="shared" si="16"/>
        <v>2</v>
      </c>
      <c r="AC24" s="39">
        <f t="shared" si="16"/>
        <v>921</v>
      </c>
      <c r="AD24" s="39">
        <f t="shared" si="16"/>
        <v>0</v>
      </c>
      <c r="AE24" s="40">
        <f t="shared" si="16"/>
        <v>606</v>
      </c>
      <c r="AF24" s="40">
        <f t="shared" si="16"/>
        <v>1527</v>
      </c>
    </row>
    <row r="25" spans="2:32" ht="23.1" customHeight="1" x14ac:dyDescent="0.25">
      <c r="B25" s="23" t="s">
        <v>52</v>
      </c>
      <c r="C25" s="50">
        <v>64</v>
      </c>
      <c r="D25" s="50">
        <v>10</v>
      </c>
      <c r="E25" s="50">
        <v>9</v>
      </c>
      <c r="F25" s="50">
        <v>4</v>
      </c>
      <c r="G25" s="50">
        <v>2</v>
      </c>
      <c r="H25" s="50">
        <v>0</v>
      </c>
      <c r="I25" s="50">
        <v>13</v>
      </c>
      <c r="J25" s="50">
        <v>2</v>
      </c>
      <c r="K25" s="50">
        <v>0</v>
      </c>
      <c r="L25" s="50">
        <v>0</v>
      </c>
      <c r="M25" s="50">
        <v>190</v>
      </c>
      <c r="N25" s="50">
        <v>0</v>
      </c>
      <c r="O25" s="15">
        <f t="shared" si="0"/>
        <v>104</v>
      </c>
      <c r="P25" s="15">
        <f t="shared" si="1"/>
        <v>294</v>
      </c>
      <c r="R25" s="37" t="s">
        <v>85</v>
      </c>
      <c r="S25" s="35">
        <f t="shared" ref="S25:AF25" si="17">SUM(S10:S12)</f>
        <v>1610</v>
      </c>
      <c r="T25" s="16">
        <f t="shared" si="17"/>
        <v>137</v>
      </c>
      <c r="U25" s="16">
        <f t="shared" si="17"/>
        <v>114</v>
      </c>
      <c r="V25" s="16">
        <f t="shared" si="17"/>
        <v>405</v>
      </c>
      <c r="W25" s="16">
        <f t="shared" si="17"/>
        <v>4</v>
      </c>
      <c r="X25" s="16">
        <f t="shared" si="17"/>
        <v>0</v>
      </c>
      <c r="Y25" s="16">
        <f t="shared" si="17"/>
        <v>78</v>
      </c>
      <c r="Z25" s="16">
        <f t="shared" si="17"/>
        <v>31</v>
      </c>
      <c r="AA25" s="16">
        <f t="shared" si="17"/>
        <v>10</v>
      </c>
      <c r="AB25" s="16">
        <f t="shared" si="17"/>
        <v>255</v>
      </c>
      <c r="AC25" s="16">
        <f t="shared" si="17"/>
        <v>2661</v>
      </c>
      <c r="AD25" s="16">
        <f t="shared" si="17"/>
        <v>0</v>
      </c>
      <c r="AE25" s="32">
        <f t="shared" si="17"/>
        <v>2644</v>
      </c>
      <c r="AF25" s="32">
        <f t="shared" si="17"/>
        <v>5305</v>
      </c>
    </row>
    <row r="26" spans="2:32" ht="23.1" customHeight="1" x14ac:dyDescent="0.25">
      <c r="B26" s="23" t="s">
        <v>53</v>
      </c>
      <c r="C26" s="50">
        <v>85</v>
      </c>
      <c r="D26" s="50">
        <v>6</v>
      </c>
      <c r="E26" s="50">
        <v>4</v>
      </c>
      <c r="F26" s="50">
        <v>6</v>
      </c>
      <c r="G26" s="50">
        <v>0</v>
      </c>
      <c r="H26" s="50">
        <v>0</v>
      </c>
      <c r="I26" s="50">
        <v>8</v>
      </c>
      <c r="J26" s="50">
        <v>1</v>
      </c>
      <c r="K26" s="50">
        <v>0</v>
      </c>
      <c r="L26" s="50">
        <v>0</v>
      </c>
      <c r="M26" s="50">
        <v>220</v>
      </c>
      <c r="N26" s="50">
        <v>0</v>
      </c>
      <c r="O26" s="15">
        <f t="shared" si="0"/>
        <v>110</v>
      </c>
      <c r="P26" s="15">
        <f t="shared" si="1"/>
        <v>330</v>
      </c>
      <c r="R26" s="28" t="s">
        <v>86</v>
      </c>
      <c r="S26" s="16">
        <f t="shared" ref="S26:AF26" si="18">SUM(S13:S18)</f>
        <v>1396</v>
      </c>
      <c r="T26" s="16">
        <f t="shared" si="18"/>
        <v>156</v>
      </c>
      <c r="U26" s="16">
        <f t="shared" si="18"/>
        <v>158</v>
      </c>
      <c r="V26" s="16">
        <f t="shared" si="18"/>
        <v>145</v>
      </c>
      <c r="W26" s="16">
        <f t="shared" si="18"/>
        <v>6</v>
      </c>
      <c r="X26" s="16">
        <f t="shared" si="18"/>
        <v>1</v>
      </c>
      <c r="Y26" s="16">
        <f t="shared" si="18"/>
        <v>131</v>
      </c>
      <c r="Z26" s="16">
        <f t="shared" si="18"/>
        <v>61</v>
      </c>
      <c r="AA26" s="16">
        <f t="shared" si="18"/>
        <v>13</v>
      </c>
      <c r="AB26" s="16">
        <f t="shared" si="18"/>
        <v>8</v>
      </c>
      <c r="AC26" s="16">
        <f t="shared" si="18"/>
        <v>5415</v>
      </c>
      <c r="AD26" s="16">
        <f t="shared" si="18"/>
        <v>0</v>
      </c>
      <c r="AE26" s="32">
        <f t="shared" si="18"/>
        <v>2075</v>
      </c>
      <c r="AF26" s="32">
        <f t="shared" si="18"/>
        <v>7490</v>
      </c>
    </row>
    <row r="27" spans="2:32" ht="23.1" customHeight="1" x14ac:dyDescent="0.25">
      <c r="B27" s="23" t="s">
        <v>54</v>
      </c>
      <c r="C27" s="50">
        <v>95</v>
      </c>
      <c r="D27" s="50">
        <v>7</v>
      </c>
      <c r="E27" s="50">
        <v>10</v>
      </c>
      <c r="F27" s="50">
        <v>9</v>
      </c>
      <c r="G27" s="50">
        <v>0</v>
      </c>
      <c r="H27" s="50">
        <v>0</v>
      </c>
      <c r="I27" s="50">
        <v>7</v>
      </c>
      <c r="J27" s="50">
        <v>4</v>
      </c>
      <c r="K27" s="50">
        <v>1</v>
      </c>
      <c r="L27" s="50">
        <v>1</v>
      </c>
      <c r="M27" s="50">
        <v>222</v>
      </c>
      <c r="N27" s="50">
        <v>0</v>
      </c>
      <c r="O27" s="15">
        <f t="shared" si="0"/>
        <v>134</v>
      </c>
      <c r="P27" s="15">
        <f t="shared" si="1"/>
        <v>356</v>
      </c>
      <c r="R27" s="29" t="s">
        <v>87</v>
      </c>
      <c r="S27" s="16">
        <f t="shared" ref="S27:AF27" si="19">SUM(S19:S21)</f>
        <v>1135</v>
      </c>
      <c r="T27" s="16">
        <f t="shared" si="19"/>
        <v>111</v>
      </c>
      <c r="U27" s="16">
        <f t="shared" si="19"/>
        <v>55</v>
      </c>
      <c r="V27" s="16">
        <f t="shared" si="19"/>
        <v>64</v>
      </c>
      <c r="W27" s="16">
        <f t="shared" si="19"/>
        <v>3</v>
      </c>
      <c r="X27" s="16">
        <f t="shared" si="19"/>
        <v>2</v>
      </c>
      <c r="Y27" s="16">
        <f t="shared" si="19"/>
        <v>53</v>
      </c>
      <c r="Z27" s="16">
        <f t="shared" si="19"/>
        <v>47</v>
      </c>
      <c r="AA27" s="16">
        <f t="shared" si="19"/>
        <v>4</v>
      </c>
      <c r="AB27" s="16">
        <f t="shared" si="19"/>
        <v>2</v>
      </c>
      <c r="AC27" s="16">
        <f t="shared" si="19"/>
        <v>2521</v>
      </c>
      <c r="AD27" s="16">
        <f t="shared" si="19"/>
        <v>0</v>
      </c>
      <c r="AE27" s="32">
        <f t="shared" si="19"/>
        <v>1476</v>
      </c>
      <c r="AF27" s="32">
        <f t="shared" si="19"/>
        <v>3997</v>
      </c>
    </row>
    <row r="28" spans="2:32" ht="23.1" customHeight="1" x14ac:dyDescent="0.25">
      <c r="B28" s="23" t="s">
        <v>55</v>
      </c>
      <c r="C28" s="50">
        <v>75</v>
      </c>
      <c r="D28" s="50">
        <v>6</v>
      </c>
      <c r="E28" s="50">
        <v>7</v>
      </c>
      <c r="F28" s="50">
        <v>2</v>
      </c>
      <c r="G28" s="50">
        <v>0</v>
      </c>
      <c r="H28" s="50">
        <v>0</v>
      </c>
      <c r="I28" s="50">
        <v>0</v>
      </c>
      <c r="J28" s="50">
        <v>4</v>
      </c>
      <c r="K28" s="50">
        <v>0</v>
      </c>
      <c r="L28" s="50">
        <v>0</v>
      </c>
      <c r="M28" s="50">
        <v>225</v>
      </c>
      <c r="N28" s="50">
        <v>0</v>
      </c>
      <c r="O28" s="15">
        <f t="shared" si="0"/>
        <v>94</v>
      </c>
      <c r="P28" s="15">
        <f t="shared" si="1"/>
        <v>319</v>
      </c>
      <c r="R28" s="5" t="s">
        <v>17</v>
      </c>
      <c r="S28" s="16">
        <f t="shared" ref="S28:AF28" si="20">SUM(S10:S21)</f>
        <v>4141</v>
      </c>
      <c r="T28" s="16">
        <f t="shared" si="20"/>
        <v>404</v>
      </c>
      <c r="U28" s="16">
        <f t="shared" si="20"/>
        <v>327</v>
      </c>
      <c r="V28" s="16">
        <f t="shared" si="20"/>
        <v>614</v>
      </c>
      <c r="W28" s="16">
        <f t="shared" si="20"/>
        <v>13</v>
      </c>
      <c r="X28" s="16">
        <f t="shared" si="20"/>
        <v>3</v>
      </c>
      <c r="Y28" s="16">
        <f t="shared" si="20"/>
        <v>262</v>
      </c>
      <c r="Z28" s="16">
        <f t="shared" si="20"/>
        <v>139</v>
      </c>
      <c r="AA28" s="16">
        <f t="shared" si="20"/>
        <v>27</v>
      </c>
      <c r="AB28" s="16">
        <f t="shared" si="20"/>
        <v>265</v>
      </c>
      <c r="AC28" s="16">
        <f t="shared" si="20"/>
        <v>10597</v>
      </c>
      <c r="AD28" s="16">
        <f t="shared" si="20"/>
        <v>0</v>
      </c>
      <c r="AE28" s="32">
        <f t="shared" si="20"/>
        <v>6195</v>
      </c>
      <c r="AF28" s="32">
        <f t="shared" si="20"/>
        <v>16792</v>
      </c>
    </row>
    <row r="29" spans="2:32" ht="23.1" customHeight="1" x14ac:dyDescent="0.25">
      <c r="B29" s="23" t="s">
        <v>56</v>
      </c>
      <c r="C29" s="50">
        <v>60</v>
      </c>
      <c r="D29" s="50">
        <v>10</v>
      </c>
      <c r="E29" s="50">
        <v>7</v>
      </c>
      <c r="F29" s="50">
        <v>6</v>
      </c>
      <c r="G29" s="50">
        <v>0</v>
      </c>
      <c r="H29" s="50">
        <v>0</v>
      </c>
      <c r="I29" s="50">
        <v>5</v>
      </c>
      <c r="J29" s="50">
        <v>7</v>
      </c>
      <c r="K29" s="50">
        <v>0</v>
      </c>
      <c r="L29" s="50">
        <v>0</v>
      </c>
      <c r="M29" s="50">
        <v>210</v>
      </c>
      <c r="N29" s="50">
        <v>0</v>
      </c>
      <c r="O29" s="15">
        <f t="shared" si="0"/>
        <v>95</v>
      </c>
      <c r="P29" s="15">
        <f t="shared" si="1"/>
        <v>305</v>
      </c>
      <c r="R29"/>
      <c r="S29" s="20"/>
      <c r="T29" s="19"/>
    </row>
    <row r="30" spans="2:32" ht="23.1" customHeight="1" x14ac:dyDescent="0.25">
      <c r="B30" s="23" t="s">
        <v>57</v>
      </c>
      <c r="C30" s="50">
        <v>79</v>
      </c>
      <c r="D30" s="50">
        <v>7</v>
      </c>
      <c r="E30" s="50">
        <v>9</v>
      </c>
      <c r="F30" s="50">
        <v>3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1</v>
      </c>
      <c r="M30" s="50">
        <v>215</v>
      </c>
      <c r="N30" s="50">
        <v>0</v>
      </c>
      <c r="O30" s="15">
        <f t="shared" si="0"/>
        <v>101</v>
      </c>
      <c r="P30" s="15">
        <f t="shared" si="1"/>
        <v>316</v>
      </c>
    </row>
    <row r="31" spans="2:32" ht="23.1" customHeight="1" x14ac:dyDescent="0.25">
      <c r="B31" s="24" t="s">
        <v>58</v>
      </c>
      <c r="C31" s="50">
        <v>29</v>
      </c>
      <c r="D31" s="50">
        <v>2</v>
      </c>
      <c r="E31" s="50">
        <v>9</v>
      </c>
      <c r="F31" s="50">
        <v>4</v>
      </c>
      <c r="G31" s="50">
        <v>0</v>
      </c>
      <c r="H31" s="50">
        <v>0</v>
      </c>
      <c r="I31" s="50">
        <v>4</v>
      </c>
      <c r="J31" s="50">
        <v>3</v>
      </c>
      <c r="K31" s="50">
        <v>0</v>
      </c>
      <c r="L31" s="50">
        <v>0</v>
      </c>
      <c r="M31" s="50">
        <v>205</v>
      </c>
      <c r="N31" s="50">
        <v>0</v>
      </c>
      <c r="O31" s="15">
        <f t="shared" si="0"/>
        <v>51</v>
      </c>
      <c r="P31" s="15">
        <f t="shared" si="1"/>
        <v>256</v>
      </c>
    </row>
    <row r="32" spans="2:32" ht="23.1" customHeight="1" x14ac:dyDescent="0.25">
      <c r="B32" s="24" t="s">
        <v>59</v>
      </c>
      <c r="C32" s="50">
        <v>32</v>
      </c>
      <c r="D32" s="50">
        <v>7</v>
      </c>
      <c r="E32" s="50">
        <v>5</v>
      </c>
      <c r="F32" s="50">
        <v>8</v>
      </c>
      <c r="G32" s="50">
        <v>0</v>
      </c>
      <c r="H32" s="50">
        <v>0</v>
      </c>
      <c r="I32" s="50">
        <v>7</v>
      </c>
      <c r="J32" s="50">
        <v>5</v>
      </c>
      <c r="K32" s="50">
        <v>1</v>
      </c>
      <c r="L32" s="50">
        <v>0</v>
      </c>
      <c r="M32" s="50">
        <v>300</v>
      </c>
      <c r="N32" s="50">
        <v>0</v>
      </c>
      <c r="O32" s="15">
        <f t="shared" si="0"/>
        <v>65</v>
      </c>
      <c r="P32" s="15">
        <f t="shared" si="1"/>
        <v>365</v>
      </c>
    </row>
    <row r="33" spans="2:20" ht="23.1" customHeight="1" x14ac:dyDescent="0.25">
      <c r="B33" s="23" t="s">
        <v>60</v>
      </c>
      <c r="C33" s="50">
        <v>33</v>
      </c>
      <c r="D33" s="50">
        <v>5</v>
      </c>
      <c r="E33" s="50">
        <v>5</v>
      </c>
      <c r="F33" s="50">
        <v>3</v>
      </c>
      <c r="G33" s="50">
        <v>0</v>
      </c>
      <c r="H33" s="50">
        <v>0</v>
      </c>
      <c r="I33" s="50">
        <v>7</v>
      </c>
      <c r="J33" s="50">
        <v>2</v>
      </c>
      <c r="K33" s="50">
        <v>0</v>
      </c>
      <c r="L33" s="50">
        <v>0</v>
      </c>
      <c r="M33" s="50">
        <v>200</v>
      </c>
      <c r="N33" s="50">
        <v>0</v>
      </c>
      <c r="O33" s="15">
        <f t="shared" si="0"/>
        <v>55</v>
      </c>
      <c r="P33" s="15">
        <f t="shared" si="1"/>
        <v>255</v>
      </c>
    </row>
    <row r="34" spans="2:20" ht="23.1" customHeight="1" x14ac:dyDescent="0.25">
      <c r="B34" s="24" t="s">
        <v>61</v>
      </c>
      <c r="C34" s="50">
        <v>36</v>
      </c>
      <c r="D34" s="50">
        <v>3</v>
      </c>
      <c r="E34" s="50">
        <v>7</v>
      </c>
      <c r="F34" s="50">
        <v>5</v>
      </c>
      <c r="G34" s="50">
        <v>0</v>
      </c>
      <c r="H34" s="50">
        <v>0</v>
      </c>
      <c r="I34" s="50">
        <v>4</v>
      </c>
      <c r="J34" s="50">
        <v>0</v>
      </c>
      <c r="K34" s="50">
        <v>2</v>
      </c>
      <c r="L34" s="50">
        <v>0</v>
      </c>
      <c r="M34" s="50">
        <v>276</v>
      </c>
      <c r="N34" s="50">
        <v>0</v>
      </c>
      <c r="O34" s="15">
        <f t="shared" si="0"/>
        <v>57</v>
      </c>
      <c r="P34" s="15">
        <f t="shared" si="1"/>
        <v>333</v>
      </c>
    </row>
    <row r="35" spans="2:20" ht="23.1" customHeight="1" x14ac:dyDescent="0.25">
      <c r="B35" s="24" t="s">
        <v>62</v>
      </c>
      <c r="C35" s="50">
        <v>31</v>
      </c>
      <c r="D35" s="50">
        <v>7</v>
      </c>
      <c r="E35" s="50">
        <v>3</v>
      </c>
      <c r="F35" s="50">
        <v>2</v>
      </c>
      <c r="G35" s="50">
        <v>0</v>
      </c>
      <c r="H35" s="50">
        <v>0</v>
      </c>
      <c r="I35" s="50">
        <v>6</v>
      </c>
      <c r="J35" s="50">
        <v>0</v>
      </c>
      <c r="K35" s="50">
        <v>0</v>
      </c>
      <c r="L35" s="50">
        <v>0</v>
      </c>
      <c r="M35" s="50">
        <v>245</v>
      </c>
      <c r="N35" s="50">
        <v>0</v>
      </c>
      <c r="O35" s="15">
        <f t="shared" si="0"/>
        <v>49</v>
      </c>
      <c r="P35" s="15">
        <f t="shared" si="1"/>
        <v>294</v>
      </c>
    </row>
    <row r="36" spans="2:20" ht="23.1" customHeight="1" x14ac:dyDescent="0.25">
      <c r="B36" s="24" t="s">
        <v>63</v>
      </c>
      <c r="C36" s="50">
        <v>40</v>
      </c>
      <c r="D36" s="50">
        <v>7</v>
      </c>
      <c r="E36" s="50">
        <v>10</v>
      </c>
      <c r="F36" s="50">
        <v>4</v>
      </c>
      <c r="G36" s="50">
        <v>0</v>
      </c>
      <c r="H36" s="50">
        <v>0</v>
      </c>
      <c r="I36" s="50">
        <v>6</v>
      </c>
      <c r="J36" s="50">
        <v>4</v>
      </c>
      <c r="K36" s="50">
        <v>0</v>
      </c>
      <c r="L36" s="50">
        <v>0</v>
      </c>
      <c r="M36" s="50">
        <v>195</v>
      </c>
      <c r="N36" s="50">
        <v>0</v>
      </c>
      <c r="O36" s="15">
        <f t="shared" si="0"/>
        <v>71</v>
      </c>
      <c r="P36" s="15">
        <f t="shared" si="1"/>
        <v>266</v>
      </c>
    </row>
    <row r="37" spans="2:20" ht="23.1" customHeight="1" x14ac:dyDescent="0.25">
      <c r="B37" s="23" t="s">
        <v>64</v>
      </c>
      <c r="C37" s="50">
        <v>23</v>
      </c>
      <c r="D37" s="50">
        <v>4</v>
      </c>
      <c r="E37" s="50">
        <v>4</v>
      </c>
      <c r="F37" s="50">
        <v>3</v>
      </c>
      <c r="G37" s="50">
        <v>0</v>
      </c>
      <c r="H37" s="50">
        <v>0</v>
      </c>
      <c r="I37" s="50">
        <v>4</v>
      </c>
      <c r="J37" s="50">
        <v>1</v>
      </c>
      <c r="K37" s="50">
        <v>1</v>
      </c>
      <c r="L37" s="50">
        <v>2</v>
      </c>
      <c r="M37" s="50">
        <v>270</v>
      </c>
      <c r="N37" s="50">
        <v>0</v>
      </c>
      <c r="O37" s="15">
        <f t="shared" si="0"/>
        <v>42</v>
      </c>
      <c r="P37" s="15">
        <f t="shared" si="1"/>
        <v>312</v>
      </c>
    </row>
    <row r="38" spans="2:20" ht="23.1" customHeight="1" x14ac:dyDescent="0.25">
      <c r="B38" s="24" t="s">
        <v>65</v>
      </c>
      <c r="C38" s="50">
        <v>20</v>
      </c>
      <c r="D38" s="50">
        <v>8</v>
      </c>
      <c r="E38" s="50">
        <v>4</v>
      </c>
      <c r="F38" s="50">
        <v>8</v>
      </c>
      <c r="G38" s="50">
        <v>0</v>
      </c>
      <c r="H38" s="50">
        <v>0</v>
      </c>
      <c r="I38" s="50">
        <v>2</v>
      </c>
      <c r="J38" s="50">
        <v>2</v>
      </c>
      <c r="K38" s="50">
        <v>1</v>
      </c>
      <c r="L38" s="50">
        <v>1</v>
      </c>
      <c r="M38" s="50">
        <v>210</v>
      </c>
      <c r="N38" s="50">
        <v>0</v>
      </c>
      <c r="O38" s="15">
        <f t="shared" si="0"/>
        <v>46</v>
      </c>
      <c r="P38" s="15">
        <f t="shared" si="1"/>
        <v>256</v>
      </c>
    </row>
    <row r="39" spans="2:20" ht="23.1" customHeight="1" x14ac:dyDescent="0.25">
      <c r="B39" s="24" t="s">
        <v>66</v>
      </c>
      <c r="C39" s="50">
        <v>55</v>
      </c>
      <c r="D39" s="50">
        <v>6</v>
      </c>
      <c r="E39" s="50">
        <v>4</v>
      </c>
      <c r="F39" s="50">
        <v>7</v>
      </c>
      <c r="G39" s="50">
        <v>0</v>
      </c>
      <c r="H39" s="50">
        <v>0</v>
      </c>
      <c r="I39" s="50">
        <v>8</v>
      </c>
      <c r="J39" s="50">
        <v>3</v>
      </c>
      <c r="K39" s="50">
        <v>0</v>
      </c>
      <c r="L39" s="50">
        <v>0</v>
      </c>
      <c r="M39" s="50">
        <v>180</v>
      </c>
      <c r="N39" s="50">
        <v>0</v>
      </c>
      <c r="O39" s="15">
        <f t="shared" si="0"/>
        <v>83</v>
      </c>
      <c r="P39" s="15">
        <f t="shared" si="1"/>
        <v>263</v>
      </c>
    </row>
    <row r="40" spans="2:20" ht="23.1" customHeight="1" x14ac:dyDescent="0.25">
      <c r="B40" s="24" t="s">
        <v>67</v>
      </c>
      <c r="C40" s="50">
        <v>66</v>
      </c>
      <c r="D40" s="50">
        <v>2</v>
      </c>
      <c r="E40" s="50">
        <v>6</v>
      </c>
      <c r="F40" s="50">
        <v>9</v>
      </c>
      <c r="G40" s="50">
        <v>0</v>
      </c>
      <c r="H40" s="50">
        <v>1</v>
      </c>
      <c r="I40" s="50">
        <v>3</v>
      </c>
      <c r="J40" s="50">
        <v>2</v>
      </c>
      <c r="K40" s="50">
        <v>0</v>
      </c>
      <c r="L40" s="50">
        <v>0</v>
      </c>
      <c r="M40" s="50">
        <v>230</v>
      </c>
      <c r="N40" s="50">
        <v>0</v>
      </c>
      <c r="O40" s="15">
        <f t="shared" si="0"/>
        <v>89</v>
      </c>
      <c r="P40" s="15">
        <f t="shared" si="1"/>
        <v>319</v>
      </c>
    </row>
    <row r="41" spans="2:20" ht="23.1" customHeight="1" x14ac:dyDescent="0.25">
      <c r="B41" s="23" t="s">
        <v>68</v>
      </c>
      <c r="C41" s="50">
        <v>36</v>
      </c>
      <c r="D41" s="50">
        <v>4</v>
      </c>
      <c r="E41" s="50">
        <v>1</v>
      </c>
      <c r="F41" s="50">
        <v>13</v>
      </c>
      <c r="G41" s="50">
        <v>2</v>
      </c>
      <c r="H41" s="50">
        <v>0</v>
      </c>
      <c r="I41" s="50">
        <v>1</v>
      </c>
      <c r="J41" s="50">
        <v>2</v>
      </c>
      <c r="K41" s="50">
        <v>1</v>
      </c>
      <c r="L41" s="50">
        <v>1</v>
      </c>
      <c r="M41" s="50">
        <v>231</v>
      </c>
      <c r="N41" s="50">
        <v>0</v>
      </c>
      <c r="O41" s="15">
        <f t="shared" si="0"/>
        <v>61</v>
      </c>
      <c r="P41" s="15">
        <f t="shared" si="1"/>
        <v>292</v>
      </c>
    </row>
    <row r="42" spans="2:20" ht="23.1" customHeight="1" x14ac:dyDescent="0.25">
      <c r="B42" s="24" t="s">
        <v>69</v>
      </c>
      <c r="C42" s="50">
        <v>61</v>
      </c>
      <c r="D42" s="50">
        <v>4</v>
      </c>
      <c r="E42" s="50">
        <v>11</v>
      </c>
      <c r="F42" s="50">
        <v>3</v>
      </c>
      <c r="G42" s="50">
        <v>0</v>
      </c>
      <c r="H42" s="50">
        <v>0</v>
      </c>
      <c r="I42" s="50">
        <v>6</v>
      </c>
      <c r="J42" s="50">
        <v>4</v>
      </c>
      <c r="K42" s="50">
        <v>0</v>
      </c>
      <c r="L42" s="50">
        <v>0</v>
      </c>
      <c r="M42" s="50">
        <v>190</v>
      </c>
      <c r="N42" s="50">
        <v>0</v>
      </c>
      <c r="O42" s="15">
        <f t="shared" si="0"/>
        <v>89</v>
      </c>
      <c r="P42" s="15">
        <f t="shared" si="1"/>
        <v>279</v>
      </c>
    </row>
    <row r="43" spans="2:20" ht="23.1" customHeight="1" x14ac:dyDescent="0.25">
      <c r="B43" s="23" t="s">
        <v>70</v>
      </c>
      <c r="C43" s="50">
        <v>50</v>
      </c>
      <c r="D43" s="50">
        <v>8</v>
      </c>
      <c r="E43" s="50">
        <v>7</v>
      </c>
      <c r="F43" s="50">
        <v>8</v>
      </c>
      <c r="G43" s="50">
        <v>0</v>
      </c>
      <c r="H43" s="50">
        <v>0</v>
      </c>
      <c r="I43" s="50">
        <v>4</v>
      </c>
      <c r="J43" s="50">
        <v>3</v>
      </c>
      <c r="K43" s="50">
        <v>1</v>
      </c>
      <c r="L43" s="50">
        <v>0</v>
      </c>
      <c r="M43" s="50">
        <v>235</v>
      </c>
      <c r="N43" s="50">
        <v>0</v>
      </c>
      <c r="O43" s="15">
        <f t="shared" si="0"/>
        <v>81</v>
      </c>
      <c r="P43" s="15">
        <f t="shared" si="1"/>
        <v>316</v>
      </c>
    </row>
    <row r="44" spans="2:20" ht="23.1" customHeight="1" x14ac:dyDescent="0.25">
      <c r="B44" s="25" t="s">
        <v>71</v>
      </c>
      <c r="C44" s="50">
        <v>85</v>
      </c>
      <c r="D44" s="50">
        <v>6</v>
      </c>
      <c r="E44" s="50">
        <v>8</v>
      </c>
      <c r="F44" s="50">
        <v>15</v>
      </c>
      <c r="G44" s="50">
        <v>0</v>
      </c>
      <c r="H44" s="50">
        <v>0</v>
      </c>
      <c r="I44" s="50">
        <v>5</v>
      </c>
      <c r="J44" s="50">
        <v>1</v>
      </c>
      <c r="K44" s="50">
        <v>0</v>
      </c>
      <c r="L44" s="50">
        <v>0</v>
      </c>
      <c r="M44" s="50">
        <v>275</v>
      </c>
      <c r="N44" s="50">
        <v>0</v>
      </c>
      <c r="O44" s="15">
        <f t="shared" si="0"/>
        <v>120</v>
      </c>
      <c r="P44" s="15">
        <f t="shared" si="1"/>
        <v>395</v>
      </c>
    </row>
    <row r="45" spans="2:20" ht="23.1" customHeight="1" x14ac:dyDescent="0.25">
      <c r="B45" s="23" t="s">
        <v>72</v>
      </c>
      <c r="C45" s="50">
        <v>80</v>
      </c>
      <c r="D45" s="50">
        <v>3</v>
      </c>
      <c r="E45" s="50">
        <v>5</v>
      </c>
      <c r="F45" s="50">
        <v>4</v>
      </c>
      <c r="G45" s="50">
        <v>0</v>
      </c>
      <c r="H45" s="50">
        <v>0</v>
      </c>
      <c r="I45" s="50">
        <v>7</v>
      </c>
      <c r="J45" s="50">
        <v>4</v>
      </c>
      <c r="K45" s="50">
        <v>0</v>
      </c>
      <c r="L45" s="50">
        <v>2</v>
      </c>
      <c r="M45" s="50">
        <v>230</v>
      </c>
      <c r="N45" s="50">
        <v>0</v>
      </c>
      <c r="O45" s="15">
        <f t="shared" si="0"/>
        <v>105</v>
      </c>
      <c r="P45" s="15">
        <f t="shared" si="1"/>
        <v>335</v>
      </c>
    </row>
    <row r="46" spans="2:20" ht="23.1" customHeight="1" x14ac:dyDescent="0.25">
      <c r="B46" s="24" t="s">
        <v>73</v>
      </c>
      <c r="C46" s="50">
        <v>43</v>
      </c>
      <c r="D46" s="50">
        <v>10</v>
      </c>
      <c r="E46" s="50">
        <v>6</v>
      </c>
      <c r="F46" s="50">
        <v>2</v>
      </c>
      <c r="G46" s="50">
        <v>0</v>
      </c>
      <c r="H46" s="50">
        <v>0</v>
      </c>
      <c r="I46" s="50">
        <v>3</v>
      </c>
      <c r="J46" s="50">
        <v>4</v>
      </c>
      <c r="K46" s="50">
        <v>2</v>
      </c>
      <c r="L46" s="50">
        <v>0</v>
      </c>
      <c r="M46" s="50">
        <v>195</v>
      </c>
      <c r="N46" s="50">
        <v>0</v>
      </c>
      <c r="O46" s="15">
        <f t="shared" si="0"/>
        <v>70</v>
      </c>
      <c r="P46" s="15">
        <f t="shared" si="1"/>
        <v>265</v>
      </c>
      <c r="R46" s="8"/>
      <c r="T46"/>
    </row>
    <row r="47" spans="2:20" ht="23.1" customHeight="1" x14ac:dyDescent="0.25">
      <c r="B47" s="24" t="s">
        <v>74</v>
      </c>
      <c r="C47" s="50">
        <v>22</v>
      </c>
      <c r="D47" s="50">
        <v>8</v>
      </c>
      <c r="E47" s="50">
        <v>4</v>
      </c>
      <c r="F47" s="50">
        <v>5</v>
      </c>
      <c r="G47" s="50">
        <v>0</v>
      </c>
      <c r="H47" s="50">
        <v>0</v>
      </c>
      <c r="I47" s="50">
        <v>2</v>
      </c>
      <c r="J47" s="50">
        <v>5</v>
      </c>
      <c r="K47" s="50">
        <v>0</v>
      </c>
      <c r="L47" s="50">
        <v>0</v>
      </c>
      <c r="M47" s="50">
        <v>165</v>
      </c>
      <c r="N47" s="50">
        <v>0</v>
      </c>
      <c r="O47" s="15">
        <f t="shared" si="0"/>
        <v>46</v>
      </c>
      <c r="P47" s="15">
        <f t="shared" si="1"/>
        <v>211</v>
      </c>
      <c r="R47" s="8"/>
      <c r="T47"/>
    </row>
    <row r="48" spans="2:20" ht="23.1" customHeight="1" x14ac:dyDescent="0.25">
      <c r="B48" s="24" t="s">
        <v>75</v>
      </c>
      <c r="C48" s="50">
        <v>75</v>
      </c>
      <c r="D48" s="50">
        <v>3</v>
      </c>
      <c r="E48" s="50">
        <v>7</v>
      </c>
      <c r="F48" s="50">
        <v>7</v>
      </c>
      <c r="G48" s="50">
        <v>0</v>
      </c>
      <c r="H48" s="50">
        <v>0</v>
      </c>
      <c r="I48" s="50">
        <v>0</v>
      </c>
      <c r="J48" s="50">
        <v>2</v>
      </c>
      <c r="K48" s="50">
        <v>1</v>
      </c>
      <c r="L48" s="50">
        <v>0</v>
      </c>
      <c r="M48" s="50">
        <v>145</v>
      </c>
      <c r="N48" s="50">
        <v>0</v>
      </c>
      <c r="O48" s="15">
        <f t="shared" si="0"/>
        <v>95</v>
      </c>
      <c r="P48" s="15">
        <f t="shared" si="1"/>
        <v>240</v>
      </c>
      <c r="R48" s="8"/>
      <c r="T48"/>
    </row>
    <row r="49" spans="2:20" ht="23.1" customHeight="1" x14ac:dyDescent="0.25">
      <c r="B49" s="23" t="s">
        <v>76</v>
      </c>
      <c r="C49" s="50">
        <v>82</v>
      </c>
      <c r="D49" s="50">
        <v>5</v>
      </c>
      <c r="E49" s="50">
        <v>3</v>
      </c>
      <c r="F49" s="50">
        <v>4</v>
      </c>
      <c r="G49" s="50">
        <v>1</v>
      </c>
      <c r="H49" s="50">
        <v>0</v>
      </c>
      <c r="I49" s="50">
        <v>10</v>
      </c>
      <c r="J49" s="50">
        <v>6</v>
      </c>
      <c r="K49" s="50">
        <v>0</v>
      </c>
      <c r="L49" s="50">
        <v>0</v>
      </c>
      <c r="M49" s="50">
        <v>190</v>
      </c>
      <c r="N49" s="50">
        <v>0</v>
      </c>
      <c r="O49" s="15">
        <f t="shared" si="0"/>
        <v>111</v>
      </c>
      <c r="P49" s="15">
        <f t="shared" si="1"/>
        <v>301</v>
      </c>
      <c r="R49" s="8"/>
      <c r="T49"/>
    </row>
    <row r="50" spans="2:20" ht="23.1" customHeight="1" x14ac:dyDescent="0.25">
      <c r="B50" s="24" t="s">
        <v>77</v>
      </c>
      <c r="C50" s="50">
        <v>86</v>
      </c>
      <c r="D50" s="50">
        <v>4</v>
      </c>
      <c r="E50" s="50">
        <v>7</v>
      </c>
      <c r="F50" s="50">
        <v>0</v>
      </c>
      <c r="G50" s="50">
        <v>0</v>
      </c>
      <c r="H50" s="50">
        <v>0</v>
      </c>
      <c r="I50" s="50">
        <v>7</v>
      </c>
      <c r="J50" s="50">
        <v>5</v>
      </c>
      <c r="K50" s="50">
        <v>0</v>
      </c>
      <c r="L50" s="50">
        <v>0</v>
      </c>
      <c r="M50" s="50">
        <v>180</v>
      </c>
      <c r="N50" s="50">
        <v>0</v>
      </c>
      <c r="O50" s="15">
        <f t="shared" si="0"/>
        <v>109</v>
      </c>
      <c r="P50" s="15">
        <f t="shared" si="1"/>
        <v>289</v>
      </c>
      <c r="R50" s="8"/>
      <c r="T50"/>
    </row>
    <row r="51" spans="2:20" ht="23.1" customHeight="1" x14ac:dyDescent="0.25">
      <c r="B51" s="24" t="s">
        <v>78</v>
      </c>
      <c r="C51" s="50">
        <v>124</v>
      </c>
      <c r="D51" s="50">
        <v>4</v>
      </c>
      <c r="E51" s="50">
        <v>4</v>
      </c>
      <c r="F51" s="50">
        <v>2</v>
      </c>
      <c r="G51" s="50">
        <v>0</v>
      </c>
      <c r="H51" s="50">
        <v>0</v>
      </c>
      <c r="I51" s="50">
        <v>0</v>
      </c>
      <c r="J51" s="50">
        <v>4</v>
      </c>
      <c r="K51" s="50">
        <v>0</v>
      </c>
      <c r="L51" s="50">
        <v>0</v>
      </c>
      <c r="M51" s="50">
        <v>210</v>
      </c>
      <c r="N51" s="50">
        <v>0</v>
      </c>
      <c r="O51" s="15">
        <f t="shared" si="0"/>
        <v>138</v>
      </c>
      <c r="P51" s="15">
        <f t="shared" si="1"/>
        <v>348</v>
      </c>
      <c r="R51" s="8"/>
      <c r="T51"/>
    </row>
    <row r="52" spans="2:20" ht="23.1" customHeight="1" x14ac:dyDescent="0.25">
      <c r="B52" s="24" t="s">
        <v>79</v>
      </c>
      <c r="C52" s="50">
        <v>90</v>
      </c>
      <c r="D52" s="50">
        <v>7</v>
      </c>
      <c r="E52" s="50">
        <v>7</v>
      </c>
      <c r="F52" s="50">
        <v>1</v>
      </c>
      <c r="G52" s="50">
        <v>0</v>
      </c>
      <c r="H52" s="50">
        <v>0</v>
      </c>
      <c r="I52" s="50">
        <v>3</v>
      </c>
      <c r="J52" s="50">
        <v>5</v>
      </c>
      <c r="K52" s="50">
        <v>0</v>
      </c>
      <c r="L52" s="50">
        <v>0</v>
      </c>
      <c r="M52" s="50">
        <v>235</v>
      </c>
      <c r="N52" s="50">
        <v>0</v>
      </c>
      <c r="O52" s="15">
        <f t="shared" si="0"/>
        <v>113</v>
      </c>
      <c r="P52" s="15">
        <f t="shared" si="1"/>
        <v>348</v>
      </c>
      <c r="R52" s="8"/>
      <c r="T52"/>
    </row>
    <row r="53" spans="2:20" ht="23.1" customHeight="1" x14ac:dyDescent="0.25">
      <c r="B53" s="23" t="s">
        <v>80</v>
      </c>
      <c r="C53" s="50">
        <v>125</v>
      </c>
      <c r="D53" s="50">
        <v>35</v>
      </c>
      <c r="E53" s="50">
        <v>0</v>
      </c>
      <c r="F53" s="50">
        <v>12</v>
      </c>
      <c r="G53" s="50">
        <v>1</v>
      </c>
      <c r="H53" s="50">
        <v>0</v>
      </c>
      <c r="I53" s="50">
        <v>14</v>
      </c>
      <c r="J53" s="50">
        <v>1</v>
      </c>
      <c r="K53" s="50">
        <v>0</v>
      </c>
      <c r="L53" s="50">
        <v>0</v>
      </c>
      <c r="M53" s="50">
        <v>280</v>
      </c>
      <c r="N53" s="50">
        <v>0</v>
      </c>
      <c r="O53" s="15">
        <f t="shared" si="0"/>
        <v>188</v>
      </c>
      <c r="P53" s="15">
        <f t="shared" si="1"/>
        <v>468</v>
      </c>
      <c r="R53" s="8"/>
      <c r="T53"/>
    </row>
    <row r="54" spans="2:20" ht="23.1" customHeight="1" x14ac:dyDescent="0.25">
      <c r="B54" s="23" t="s">
        <v>81</v>
      </c>
      <c r="C54" s="50">
        <v>100</v>
      </c>
      <c r="D54" s="50">
        <v>5</v>
      </c>
      <c r="E54" s="50">
        <v>5</v>
      </c>
      <c r="F54" s="50">
        <v>6</v>
      </c>
      <c r="G54" s="50">
        <v>0</v>
      </c>
      <c r="H54" s="50">
        <v>0</v>
      </c>
      <c r="I54" s="50">
        <v>2</v>
      </c>
      <c r="J54" s="50">
        <v>4</v>
      </c>
      <c r="K54" s="50">
        <v>1</v>
      </c>
      <c r="L54" s="50">
        <v>0</v>
      </c>
      <c r="M54" s="50">
        <v>255</v>
      </c>
      <c r="N54" s="50">
        <v>0</v>
      </c>
      <c r="O54" s="15">
        <f t="shared" si="0"/>
        <v>123</v>
      </c>
      <c r="P54" s="15">
        <f t="shared" si="1"/>
        <v>378</v>
      </c>
      <c r="R54" s="8"/>
      <c r="T54"/>
    </row>
    <row r="55" spans="2:20" ht="23.1" customHeight="1" x14ac:dyDescent="0.25">
      <c r="B55" s="23" t="s">
        <v>82</v>
      </c>
      <c r="C55" s="50">
        <v>135</v>
      </c>
      <c r="D55" s="50">
        <v>7</v>
      </c>
      <c r="E55" s="50">
        <v>5</v>
      </c>
      <c r="F55" s="50">
        <v>11</v>
      </c>
      <c r="G55" s="50">
        <v>0</v>
      </c>
      <c r="H55" s="50">
        <v>1</v>
      </c>
      <c r="I55" s="50">
        <v>2</v>
      </c>
      <c r="J55" s="50">
        <v>1</v>
      </c>
      <c r="K55" s="50">
        <v>0</v>
      </c>
      <c r="L55" s="50">
        <v>0</v>
      </c>
      <c r="M55" s="50">
        <v>285</v>
      </c>
      <c r="N55" s="50">
        <v>0</v>
      </c>
      <c r="O55" s="15">
        <f t="shared" si="0"/>
        <v>162</v>
      </c>
      <c r="P55" s="15">
        <f t="shared" si="1"/>
        <v>447</v>
      </c>
      <c r="R55" s="8"/>
      <c r="T55"/>
    </row>
    <row r="56" spans="2:20" ht="23.1" customHeight="1" x14ac:dyDescent="0.25">
      <c r="B56" s="23" t="s">
        <v>83</v>
      </c>
      <c r="C56" s="50">
        <v>130</v>
      </c>
      <c r="D56" s="50">
        <v>11</v>
      </c>
      <c r="E56" s="50">
        <v>1</v>
      </c>
      <c r="F56" s="50">
        <v>1</v>
      </c>
      <c r="G56" s="50">
        <v>0</v>
      </c>
      <c r="H56" s="50">
        <v>0</v>
      </c>
      <c r="I56" s="50">
        <v>0</v>
      </c>
      <c r="J56" s="50">
        <v>7</v>
      </c>
      <c r="K56" s="50">
        <v>0</v>
      </c>
      <c r="L56" s="50">
        <v>1</v>
      </c>
      <c r="M56" s="50">
        <v>190</v>
      </c>
      <c r="N56" s="50">
        <v>0</v>
      </c>
      <c r="O56" s="15">
        <f t="shared" si="0"/>
        <v>151</v>
      </c>
      <c r="P56" s="15">
        <f t="shared" si="1"/>
        <v>341</v>
      </c>
      <c r="R56" s="8"/>
      <c r="T56"/>
    </row>
    <row r="57" spans="2:20" ht="23.1" customHeight="1" x14ac:dyDescent="0.25">
      <c r="B57" s="23" t="s">
        <v>84</v>
      </c>
      <c r="C57" s="50">
        <v>123</v>
      </c>
      <c r="D57" s="50">
        <v>12</v>
      </c>
      <c r="E57" s="50">
        <v>6</v>
      </c>
      <c r="F57" s="50">
        <v>13</v>
      </c>
      <c r="G57" s="50">
        <v>1</v>
      </c>
      <c r="H57" s="50">
        <v>1</v>
      </c>
      <c r="I57" s="50">
        <v>10</v>
      </c>
      <c r="J57" s="50">
        <v>3</v>
      </c>
      <c r="K57" s="50">
        <v>0</v>
      </c>
      <c r="L57" s="50">
        <v>1</v>
      </c>
      <c r="M57" s="50">
        <v>191</v>
      </c>
      <c r="N57" s="50">
        <v>0</v>
      </c>
      <c r="O57" s="15">
        <f t="shared" si="0"/>
        <v>170</v>
      </c>
      <c r="P57" s="15">
        <f t="shared" si="1"/>
        <v>361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4141</v>
      </c>
      <c r="D58" s="16">
        <f t="shared" si="21"/>
        <v>404</v>
      </c>
      <c r="E58" s="16">
        <f t="shared" si="21"/>
        <v>327</v>
      </c>
      <c r="F58" s="16">
        <f t="shared" si="21"/>
        <v>614</v>
      </c>
      <c r="G58" s="16">
        <f t="shared" si="21"/>
        <v>13</v>
      </c>
      <c r="H58" s="16">
        <f t="shared" si="21"/>
        <v>3</v>
      </c>
      <c r="I58" s="16">
        <f t="shared" si="21"/>
        <v>262</v>
      </c>
      <c r="J58" s="16">
        <f t="shared" si="21"/>
        <v>139</v>
      </c>
      <c r="K58" s="16">
        <f t="shared" si="21"/>
        <v>27</v>
      </c>
      <c r="L58" s="16">
        <f t="shared" si="21"/>
        <v>265</v>
      </c>
      <c r="M58" s="16">
        <f t="shared" si="21"/>
        <v>10597</v>
      </c>
      <c r="N58" s="16">
        <f t="shared" si="21"/>
        <v>0</v>
      </c>
      <c r="O58" s="16">
        <f t="shared" si="21"/>
        <v>6195</v>
      </c>
      <c r="P58" s="16">
        <f t="shared" si="21"/>
        <v>16792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0.24660552644116246</v>
      </c>
      <c r="D59" s="43">
        <f t="shared" si="22"/>
        <v>2.4059075750357314E-2</v>
      </c>
      <c r="E59" s="43">
        <f t="shared" si="22"/>
        <v>1.9473558837541687E-2</v>
      </c>
      <c r="F59" s="43">
        <f t="shared" si="22"/>
        <v>3.6565030967127203E-2</v>
      </c>
      <c r="G59" s="43">
        <f t="shared" si="22"/>
        <v>7.7417818008575516E-4</v>
      </c>
      <c r="H59" s="43">
        <f t="shared" si="22"/>
        <v>1.7865650309671272E-4</v>
      </c>
      <c r="I59" s="43">
        <f t="shared" si="22"/>
        <v>1.560266793711291E-2</v>
      </c>
      <c r="J59" s="43">
        <f t="shared" si="22"/>
        <v>8.2777513101476886E-3</v>
      </c>
      <c r="K59" s="43">
        <f t="shared" si="22"/>
        <v>1.6079085278704144E-3</v>
      </c>
      <c r="L59" s="43">
        <f t="shared" si="22"/>
        <v>1.5781324440209625E-2</v>
      </c>
      <c r="M59" s="43">
        <f t="shared" si="22"/>
        <v>0.63107432110528827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0.66844229217110573</v>
      </c>
      <c r="D60" s="44">
        <f t="shared" ref="D60:N60" si="23">D58/$O$58</f>
        <v>6.5213882163034712E-2</v>
      </c>
      <c r="E60" s="44">
        <f t="shared" si="23"/>
        <v>5.2784503631961258E-2</v>
      </c>
      <c r="F60" s="44">
        <f t="shared" si="23"/>
        <v>9.9112187247780467E-2</v>
      </c>
      <c r="G60" s="44">
        <f t="shared" si="23"/>
        <v>2.0984665052461663E-3</v>
      </c>
      <c r="H60" s="44">
        <f t="shared" si="23"/>
        <v>4.8426150121065375E-4</v>
      </c>
      <c r="I60" s="44">
        <f t="shared" si="23"/>
        <v>4.2292171105730428E-2</v>
      </c>
      <c r="J60" s="44">
        <f t="shared" si="23"/>
        <v>2.2437449556093624E-2</v>
      </c>
      <c r="K60" s="44">
        <f t="shared" si="23"/>
        <v>4.3583535108958835E-3</v>
      </c>
      <c r="L60" s="44">
        <f t="shared" si="23"/>
        <v>4.2776432606941084E-2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94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'22.07 Lubiri -Ndeeba'!C3:G3</f>
        <v>MCC - C1 - STN03- KALINDA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166</v>
      </c>
      <c r="E5" s="3"/>
      <c r="F5" s="41" t="s">
        <v>1</v>
      </c>
      <c r="G5" s="71" t="str">
        <f>'25.07 Ndeeba-Lubiri'!G5:H5</f>
        <v>Before Shell</v>
      </c>
      <c r="H5" s="72"/>
      <c r="I5" s="14"/>
      <c r="J5" s="2" t="s">
        <v>5</v>
      </c>
      <c r="K5" s="71" t="str">
        <f>'25.07 Ndeeba-Lubiri'!K5:L5</f>
        <v>Kizito Geofrey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'22.07 Lubiri -Ndeeba'!D6:E6</f>
        <v>Lubiri</v>
      </c>
      <c r="E6" s="72"/>
      <c r="F6" s="2" t="s">
        <v>2</v>
      </c>
      <c r="G6" s="71" t="str">
        <f>'22.07 Lubiri -Ndeeba'!G6:H6</f>
        <v>Ndeeba</v>
      </c>
      <c r="H6" s="72"/>
      <c r="J6" s="2" t="s">
        <v>21</v>
      </c>
      <c r="K6" s="71" t="str">
        <f>'25.07 Ndeeba-Lubiri'!K6:L6</f>
        <v>Denis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19</v>
      </c>
      <c r="D10" s="50">
        <v>2</v>
      </c>
      <c r="E10" s="50">
        <v>2</v>
      </c>
      <c r="F10" s="50">
        <v>5</v>
      </c>
      <c r="G10" s="50">
        <v>0</v>
      </c>
      <c r="H10" s="50">
        <v>0</v>
      </c>
      <c r="I10" s="50">
        <v>2</v>
      </c>
      <c r="J10" s="50">
        <v>1</v>
      </c>
      <c r="K10" s="50">
        <v>0</v>
      </c>
      <c r="L10" s="50">
        <v>0</v>
      </c>
      <c r="M10" s="50">
        <v>70</v>
      </c>
      <c r="N10" s="50">
        <v>0</v>
      </c>
      <c r="O10" s="15">
        <f t="shared" ref="O10:O57" si="0">SUM(C10:L10,N10)</f>
        <v>31</v>
      </c>
      <c r="P10" s="15">
        <f t="shared" ref="P10:P57" si="1">SUM(C10:N10)</f>
        <v>101</v>
      </c>
      <c r="R10" s="1" t="s">
        <v>6</v>
      </c>
      <c r="S10" s="17">
        <f t="shared" ref="S10:AF10" si="2">SUM(C10:C13)</f>
        <v>81</v>
      </c>
      <c r="T10" s="17">
        <f t="shared" si="2"/>
        <v>11</v>
      </c>
      <c r="U10" s="17">
        <f t="shared" si="2"/>
        <v>11</v>
      </c>
      <c r="V10" s="17">
        <f t="shared" si="2"/>
        <v>55</v>
      </c>
      <c r="W10" s="17">
        <f t="shared" si="2"/>
        <v>25</v>
      </c>
      <c r="X10" s="17">
        <f t="shared" si="2"/>
        <v>2</v>
      </c>
      <c r="Y10" s="17">
        <f t="shared" si="2"/>
        <v>5</v>
      </c>
      <c r="Z10" s="17">
        <f t="shared" si="2"/>
        <v>6</v>
      </c>
      <c r="AA10" s="17">
        <f t="shared" si="2"/>
        <v>5</v>
      </c>
      <c r="AB10" s="17">
        <f t="shared" si="2"/>
        <v>2</v>
      </c>
      <c r="AC10" s="17">
        <f t="shared" si="2"/>
        <v>440</v>
      </c>
      <c r="AD10" s="17">
        <f t="shared" si="2"/>
        <v>0</v>
      </c>
      <c r="AE10" s="31">
        <f t="shared" si="2"/>
        <v>203</v>
      </c>
      <c r="AF10" s="31">
        <f t="shared" si="2"/>
        <v>643</v>
      </c>
    </row>
    <row r="11" spans="2:32" s="6" customFormat="1" ht="23.1" customHeight="1" x14ac:dyDescent="0.25">
      <c r="B11" s="45" t="s">
        <v>38</v>
      </c>
      <c r="C11" s="50">
        <v>19</v>
      </c>
      <c r="D11" s="50">
        <v>3</v>
      </c>
      <c r="E11" s="50">
        <v>4</v>
      </c>
      <c r="F11" s="50">
        <v>19</v>
      </c>
      <c r="G11" s="50">
        <v>0</v>
      </c>
      <c r="H11" s="50">
        <v>0</v>
      </c>
      <c r="I11" s="50">
        <v>0</v>
      </c>
      <c r="J11" s="50">
        <v>1</v>
      </c>
      <c r="K11" s="50">
        <v>2</v>
      </c>
      <c r="L11" s="50">
        <v>0</v>
      </c>
      <c r="M11" s="50">
        <v>135</v>
      </c>
      <c r="N11" s="50">
        <v>0</v>
      </c>
      <c r="O11" s="15">
        <f t="shared" si="0"/>
        <v>48</v>
      </c>
      <c r="P11" s="15">
        <f t="shared" si="1"/>
        <v>183</v>
      </c>
      <c r="R11" s="1" t="s">
        <v>7</v>
      </c>
      <c r="S11" s="17">
        <f t="shared" ref="S11:AF11" si="3">SUM(C14:C17)</f>
        <v>77</v>
      </c>
      <c r="T11" s="17">
        <f t="shared" si="3"/>
        <v>8</v>
      </c>
      <c r="U11" s="17">
        <f t="shared" si="3"/>
        <v>6</v>
      </c>
      <c r="V11" s="17">
        <f t="shared" si="3"/>
        <v>71</v>
      </c>
      <c r="W11" s="17">
        <f t="shared" si="3"/>
        <v>3</v>
      </c>
      <c r="X11" s="17">
        <f t="shared" si="3"/>
        <v>0</v>
      </c>
      <c r="Y11" s="17">
        <f t="shared" si="3"/>
        <v>14</v>
      </c>
      <c r="Z11" s="17">
        <f t="shared" si="3"/>
        <v>13</v>
      </c>
      <c r="AA11" s="17">
        <f t="shared" si="3"/>
        <v>2</v>
      </c>
      <c r="AB11" s="17">
        <f t="shared" si="3"/>
        <v>0</v>
      </c>
      <c r="AC11" s="17">
        <f t="shared" si="3"/>
        <v>1060</v>
      </c>
      <c r="AD11" s="17">
        <f t="shared" si="3"/>
        <v>0</v>
      </c>
      <c r="AE11" s="31">
        <f t="shared" si="3"/>
        <v>194</v>
      </c>
      <c r="AF11" s="31">
        <f t="shared" si="3"/>
        <v>1254</v>
      </c>
    </row>
    <row r="12" spans="2:32" ht="23.1" customHeight="1" x14ac:dyDescent="0.25">
      <c r="B12" s="45" t="s">
        <v>39</v>
      </c>
      <c r="C12" s="50">
        <v>20</v>
      </c>
      <c r="D12" s="50">
        <v>1</v>
      </c>
      <c r="E12" s="50">
        <v>2</v>
      </c>
      <c r="F12" s="50">
        <v>4</v>
      </c>
      <c r="G12" s="50">
        <v>24</v>
      </c>
      <c r="H12" s="50">
        <v>1</v>
      </c>
      <c r="I12" s="50">
        <v>1</v>
      </c>
      <c r="J12" s="50">
        <v>4</v>
      </c>
      <c r="K12" s="50">
        <v>3</v>
      </c>
      <c r="L12" s="50">
        <v>0</v>
      </c>
      <c r="M12" s="50">
        <v>115</v>
      </c>
      <c r="N12" s="50">
        <v>0</v>
      </c>
      <c r="O12" s="15">
        <f t="shared" si="0"/>
        <v>60</v>
      </c>
      <c r="P12" s="15">
        <f t="shared" si="1"/>
        <v>175</v>
      </c>
      <c r="R12" s="1" t="s">
        <v>8</v>
      </c>
      <c r="S12" s="17">
        <f t="shared" ref="S12:AF12" si="4">SUM(C18:C21)</f>
        <v>94</v>
      </c>
      <c r="T12" s="17">
        <f t="shared" si="4"/>
        <v>21</v>
      </c>
      <c r="U12" s="17">
        <f t="shared" si="4"/>
        <v>14</v>
      </c>
      <c r="V12" s="17">
        <f t="shared" si="4"/>
        <v>79</v>
      </c>
      <c r="W12" s="17">
        <f t="shared" si="4"/>
        <v>3</v>
      </c>
      <c r="X12" s="17">
        <f t="shared" si="4"/>
        <v>1</v>
      </c>
      <c r="Y12" s="17">
        <f t="shared" si="4"/>
        <v>24</v>
      </c>
      <c r="Z12" s="17">
        <f t="shared" si="4"/>
        <v>18</v>
      </c>
      <c r="AA12" s="17">
        <f t="shared" si="4"/>
        <v>2</v>
      </c>
      <c r="AB12" s="17">
        <f t="shared" si="4"/>
        <v>2</v>
      </c>
      <c r="AC12" s="17">
        <f t="shared" si="4"/>
        <v>1205</v>
      </c>
      <c r="AD12" s="17">
        <f t="shared" si="4"/>
        <v>0</v>
      </c>
      <c r="AE12" s="31">
        <f t="shared" si="4"/>
        <v>258</v>
      </c>
      <c r="AF12" s="31">
        <f t="shared" si="4"/>
        <v>1463</v>
      </c>
    </row>
    <row r="13" spans="2:32" ht="23.1" customHeight="1" x14ac:dyDescent="0.25">
      <c r="B13" s="45" t="s">
        <v>40</v>
      </c>
      <c r="C13" s="50">
        <v>23</v>
      </c>
      <c r="D13" s="50">
        <v>5</v>
      </c>
      <c r="E13" s="50">
        <v>3</v>
      </c>
      <c r="F13" s="50">
        <v>27</v>
      </c>
      <c r="G13" s="50">
        <v>1</v>
      </c>
      <c r="H13" s="50">
        <v>1</v>
      </c>
      <c r="I13" s="50">
        <v>2</v>
      </c>
      <c r="J13" s="50">
        <v>0</v>
      </c>
      <c r="K13" s="50">
        <v>0</v>
      </c>
      <c r="L13" s="50">
        <v>2</v>
      </c>
      <c r="M13" s="50">
        <v>120</v>
      </c>
      <c r="N13" s="50">
        <v>0</v>
      </c>
      <c r="O13" s="15">
        <f t="shared" si="0"/>
        <v>64</v>
      </c>
      <c r="P13" s="15">
        <f t="shared" si="1"/>
        <v>184</v>
      </c>
      <c r="R13" s="1" t="s">
        <v>9</v>
      </c>
      <c r="S13" s="17">
        <f t="shared" ref="S13:AF13" si="5">SUM(C22:C25)</f>
        <v>82</v>
      </c>
      <c r="T13" s="17">
        <f t="shared" si="5"/>
        <v>18</v>
      </c>
      <c r="U13" s="17">
        <f t="shared" si="5"/>
        <v>15</v>
      </c>
      <c r="V13" s="17">
        <f t="shared" si="5"/>
        <v>61</v>
      </c>
      <c r="W13" s="17">
        <f t="shared" si="5"/>
        <v>3</v>
      </c>
      <c r="X13" s="17">
        <f t="shared" si="5"/>
        <v>0</v>
      </c>
      <c r="Y13" s="17">
        <f t="shared" si="5"/>
        <v>28</v>
      </c>
      <c r="Z13" s="17">
        <f t="shared" si="5"/>
        <v>19</v>
      </c>
      <c r="AA13" s="17">
        <f t="shared" si="5"/>
        <v>4</v>
      </c>
      <c r="AB13" s="17">
        <f t="shared" si="5"/>
        <v>5</v>
      </c>
      <c r="AC13" s="17">
        <f t="shared" si="5"/>
        <v>1208</v>
      </c>
      <c r="AD13" s="17">
        <f t="shared" si="5"/>
        <v>0</v>
      </c>
      <c r="AE13" s="31">
        <f t="shared" si="5"/>
        <v>235</v>
      </c>
      <c r="AF13" s="31">
        <f t="shared" si="5"/>
        <v>1443</v>
      </c>
    </row>
    <row r="14" spans="2:32" ht="23.1" customHeight="1" x14ac:dyDescent="0.25">
      <c r="B14" s="45" t="s">
        <v>41</v>
      </c>
      <c r="C14" s="50">
        <v>17</v>
      </c>
      <c r="D14" s="50">
        <v>1</v>
      </c>
      <c r="E14" s="50">
        <v>3</v>
      </c>
      <c r="F14" s="50">
        <v>17</v>
      </c>
      <c r="G14" s="50">
        <v>0</v>
      </c>
      <c r="H14" s="50">
        <v>0</v>
      </c>
      <c r="I14" s="50">
        <v>4</v>
      </c>
      <c r="J14" s="50">
        <v>1</v>
      </c>
      <c r="K14" s="50">
        <v>0</v>
      </c>
      <c r="L14" s="50">
        <v>0</v>
      </c>
      <c r="M14" s="50">
        <v>165</v>
      </c>
      <c r="N14" s="50">
        <v>0</v>
      </c>
      <c r="O14" s="15">
        <f t="shared" si="0"/>
        <v>43</v>
      </c>
      <c r="P14" s="15">
        <f t="shared" si="1"/>
        <v>208</v>
      </c>
      <c r="R14" s="1" t="s">
        <v>10</v>
      </c>
      <c r="S14" s="17">
        <f t="shared" ref="S14:AF14" si="6">SUM(C26:C29)</f>
        <v>140</v>
      </c>
      <c r="T14" s="17">
        <f t="shared" si="6"/>
        <v>20</v>
      </c>
      <c r="U14" s="17">
        <f t="shared" si="6"/>
        <v>19</v>
      </c>
      <c r="V14" s="17">
        <f t="shared" si="6"/>
        <v>64</v>
      </c>
      <c r="W14" s="17">
        <f t="shared" si="6"/>
        <v>0</v>
      </c>
      <c r="X14" s="17">
        <f t="shared" si="6"/>
        <v>0</v>
      </c>
      <c r="Y14" s="17">
        <f t="shared" si="6"/>
        <v>34</v>
      </c>
      <c r="Z14" s="17">
        <f t="shared" si="6"/>
        <v>37</v>
      </c>
      <c r="AA14" s="17">
        <f t="shared" si="6"/>
        <v>1</v>
      </c>
      <c r="AB14" s="17">
        <f t="shared" si="6"/>
        <v>4</v>
      </c>
      <c r="AC14" s="17">
        <f t="shared" si="6"/>
        <v>1035</v>
      </c>
      <c r="AD14" s="17">
        <f t="shared" si="6"/>
        <v>1</v>
      </c>
      <c r="AE14" s="31">
        <f t="shared" si="6"/>
        <v>320</v>
      </c>
      <c r="AF14" s="31">
        <f t="shared" si="6"/>
        <v>1355</v>
      </c>
    </row>
    <row r="15" spans="2:32" ht="23.1" customHeight="1" x14ac:dyDescent="0.25">
      <c r="B15" s="45" t="s">
        <v>42</v>
      </c>
      <c r="C15" s="50">
        <v>23</v>
      </c>
      <c r="D15" s="50">
        <v>2</v>
      </c>
      <c r="E15" s="50">
        <v>1</v>
      </c>
      <c r="F15" s="50">
        <v>18</v>
      </c>
      <c r="G15" s="50">
        <v>0</v>
      </c>
      <c r="H15" s="50">
        <v>0</v>
      </c>
      <c r="I15" s="50">
        <v>3</v>
      </c>
      <c r="J15" s="50">
        <v>5</v>
      </c>
      <c r="K15" s="50">
        <v>2</v>
      </c>
      <c r="L15" s="50">
        <v>0</v>
      </c>
      <c r="M15" s="50">
        <v>335</v>
      </c>
      <c r="N15" s="50">
        <v>0</v>
      </c>
      <c r="O15" s="15">
        <f t="shared" si="0"/>
        <v>54</v>
      </c>
      <c r="P15" s="15">
        <f t="shared" si="1"/>
        <v>389</v>
      </c>
      <c r="R15" s="1" t="s">
        <v>11</v>
      </c>
      <c r="S15" s="17">
        <f t="shared" ref="S15:AF15" si="7">SUM(C30:C33)</f>
        <v>137</v>
      </c>
      <c r="T15" s="17">
        <f t="shared" si="7"/>
        <v>32</v>
      </c>
      <c r="U15" s="17">
        <f t="shared" si="7"/>
        <v>17</v>
      </c>
      <c r="V15" s="17">
        <f t="shared" si="7"/>
        <v>62</v>
      </c>
      <c r="W15" s="17">
        <f t="shared" si="7"/>
        <v>3</v>
      </c>
      <c r="X15" s="17">
        <f t="shared" si="7"/>
        <v>0</v>
      </c>
      <c r="Y15" s="17">
        <f t="shared" si="7"/>
        <v>41</v>
      </c>
      <c r="Z15" s="17">
        <f t="shared" si="7"/>
        <v>24</v>
      </c>
      <c r="AA15" s="17">
        <f t="shared" si="7"/>
        <v>5</v>
      </c>
      <c r="AB15" s="17">
        <f t="shared" si="7"/>
        <v>3</v>
      </c>
      <c r="AC15" s="17">
        <f t="shared" si="7"/>
        <v>943</v>
      </c>
      <c r="AD15" s="17">
        <f t="shared" si="7"/>
        <v>1</v>
      </c>
      <c r="AE15" s="31">
        <f t="shared" si="7"/>
        <v>325</v>
      </c>
      <c r="AF15" s="31">
        <f t="shared" si="7"/>
        <v>1268</v>
      </c>
    </row>
    <row r="16" spans="2:32" ht="23.1" customHeight="1" x14ac:dyDescent="0.25">
      <c r="B16" s="45" t="s">
        <v>43</v>
      </c>
      <c r="C16" s="50">
        <v>17</v>
      </c>
      <c r="D16" s="50">
        <v>3</v>
      </c>
      <c r="E16" s="50">
        <v>1</v>
      </c>
      <c r="F16" s="50">
        <v>20</v>
      </c>
      <c r="G16" s="50">
        <v>3</v>
      </c>
      <c r="H16" s="50">
        <v>0</v>
      </c>
      <c r="I16" s="50">
        <v>4</v>
      </c>
      <c r="J16" s="50">
        <v>4</v>
      </c>
      <c r="K16" s="50">
        <v>0</v>
      </c>
      <c r="L16" s="50">
        <v>0</v>
      </c>
      <c r="M16" s="50">
        <v>220</v>
      </c>
      <c r="N16" s="50">
        <v>0</v>
      </c>
      <c r="O16" s="15">
        <f t="shared" si="0"/>
        <v>52</v>
      </c>
      <c r="P16" s="15">
        <f t="shared" si="1"/>
        <v>272</v>
      </c>
      <c r="R16" s="1" t="s">
        <v>12</v>
      </c>
      <c r="S16" s="17">
        <f t="shared" ref="S16:AF16" si="8">SUM(C34:C37)</f>
        <v>149</v>
      </c>
      <c r="T16" s="17">
        <f t="shared" si="8"/>
        <v>20</v>
      </c>
      <c r="U16" s="17">
        <f t="shared" si="8"/>
        <v>13</v>
      </c>
      <c r="V16" s="17">
        <f t="shared" si="8"/>
        <v>90</v>
      </c>
      <c r="W16" s="17">
        <f t="shared" si="8"/>
        <v>0</v>
      </c>
      <c r="X16" s="17">
        <f t="shared" si="8"/>
        <v>0</v>
      </c>
      <c r="Y16" s="17">
        <f t="shared" si="8"/>
        <v>14</v>
      </c>
      <c r="Z16" s="17">
        <f t="shared" si="8"/>
        <v>25</v>
      </c>
      <c r="AA16" s="17">
        <f t="shared" si="8"/>
        <v>4</v>
      </c>
      <c r="AB16" s="17">
        <f t="shared" si="8"/>
        <v>3</v>
      </c>
      <c r="AC16" s="17">
        <f t="shared" si="8"/>
        <v>1015</v>
      </c>
      <c r="AD16" s="17">
        <f t="shared" si="8"/>
        <v>0</v>
      </c>
      <c r="AE16" s="31">
        <f t="shared" si="8"/>
        <v>318</v>
      </c>
      <c r="AF16" s="31">
        <f t="shared" si="8"/>
        <v>1333</v>
      </c>
    </row>
    <row r="17" spans="2:32" ht="23.1" customHeight="1" x14ac:dyDescent="0.25">
      <c r="B17" s="45" t="s">
        <v>44</v>
      </c>
      <c r="C17" s="50">
        <v>20</v>
      </c>
      <c r="D17" s="50">
        <v>2</v>
      </c>
      <c r="E17" s="50">
        <v>1</v>
      </c>
      <c r="F17" s="50">
        <v>16</v>
      </c>
      <c r="G17" s="50">
        <v>0</v>
      </c>
      <c r="H17" s="50">
        <v>0</v>
      </c>
      <c r="I17" s="50">
        <v>3</v>
      </c>
      <c r="J17" s="50">
        <v>3</v>
      </c>
      <c r="K17" s="50">
        <v>0</v>
      </c>
      <c r="L17" s="50">
        <v>0</v>
      </c>
      <c r="M17" s="50">
        <v>340</v>
      </c>
      <c r="N17" s="50">
        <v>0</v>
      </c>
      <c r="O17" s="15">
        <f t="shared" si="0"/>
        <v>45</v>
      </c>
      <c r="P17" s="15">
        <f t="shared" si="1"/>
        <v>385</v>
      </c>
      <c r="R17" s="1" t="s">
        <v>13</v>
      </c>
      <c r="S17" s="17">
        <f t="shared" ref="S17:AF17" si="9">SUM(C38:C41)</f>
        <v>147</v>
      </c>
      <c r="T17" s="17">
        <f t="shared" si="9"/>
        <v>38</v>
      </c>
      <c r="U17" s="17">
        <f t="shared" si="9"/>
        <v>25</v>
      </c>
      <c r="V17" s="17">
        <f t="shared" si="9"/>
        <v>51</v>
      </c>
      <c r="W17" s="17">
        <f t="shared" si="9"/>
        <v>0</v>
      </c>
      <c r="X17" s="17">
        <f t="shared" si="9"/>
        <v>0</v>
      </c>
      <c r="Y17" s="17">
        <f t="shared" si="9"/>
        <v>24</v>
      </c>
      <c r="Z17" s="17">
        <f t="shared" si="9"/>
        <v>23</v>
      </c>
      <c r="AA17" s="17">
        <f t="shared" si="9"/>
        <v>0</v>
      </c>
      <c r="AB17" s="17">
        <f t="shared" si="9"/>
        <v>1</v>
      </c>
      <c r="AC17" s="17">
        <f t="shared" si="9"/>
        <v>970</v>
      </c>
      <c r="AD17" s="17">
        <f t="shared" si="9"/>
        <v>0</v>
      </c>
      <c r="AE17" s="31">
        <f t="shared" si="9"/>
        <v>309</v>
      </c>
      <c r="AF17" s="31">
        <f t="shared" si="9"/>
        <v>1279</v>
      </c>
    </row>
    <row r="18" spans="2:32" ht="23.1" customHeight="1" x14ac:dyDescent="0.25">
      <c r="B18" s="45" t="s">
        <v>45</v>
      </c>
      <c r="C18" s="50">
        <v>17</v>
      </c>
      <c r="D18" s="50">
        <v>5</v>
      </c>
      <c r="E18" s="50">
        <v>5</v>
      </c>
      <c r="F18" s="50">
        <v>22</v>
      </c>
      <c r="G18" s="50">
        <v>0</v>
      </c>
      <c r="H18" s="50">
        <v>0</v>
      </c>
      <c r="I18" s="50">
        <v>3</v>
      </c>
      <c r="J18" s="50">
        <v>3</v>
      </c>
      <c r="K18" s="50">
        <v>0</v>
      </c>
      <c r="L18" s="50">
        <v>0</v>
      </c>
      <c r="M18" s="50">
        <v>210</v>
      </c>
      <c r="N18" s="50">
        <v>0</v>
      </c>
      <c r="O18" s="15">
        <f t="shared" si="0"/>
        <v>55</v>
      </c>
      <c r="P18" s="15">
        <f t="shared" si="1"/>
        <v>265</v>
      </c>
      <c r="R18" s="1" t="s">
        <v>14</v>
      </c>
      <c r="S18" s="17">
        <f t="shared" ref="S18:AF18" si="10">SUM(C42:C45)</f>
        <v>160</v>
      </c>
      <c r="T18" s="17">
        <f t="shared" si="10"/>
        <v>30</v>
      </c>
      <c r="U18" s="17">
        <f t="shared" si="10"/>
        <v>20</v>
      </c>
      <c r="V18" s="17">
        <f t="shared" si="10"/>
        <v>66</v>
      </c>
      <c r="W18" s="17">
        <f t="shared" si="10"/>
        <v>1</v>
      </c>
      <c r="X18" s="17">
        <f t="shared" si="10"/>
        <v>0</v>
      </c>
      <c r="Y18" s="17">
        <f t="shared" si="10"/>
        <v>23</v>
      </c>
      <c r="Z18" s="17">
        <f t="shared" si="10"/>
        <v>31</v>
      </c>
      <c r="AA18" s="17">
        <f t="shared" si="10"/>
        <v>6</v>
      </c>
      <c r="AB18" s="17">
        <f t="shared" si="10"/>
        <v>2</v>
      </c>
      <c r="AC18" s="17">
        <f t="shared" si="10"/>
        <v>1080</v>
      </c>
      <c r="AD18" s="17">
        <f t="shared" si="10"/>
        <v>0</v>
      </c>
      <c r="AE18" s="31">
        <f t="shared" si="10"/>
        <v>339</v>
      </c>
      <c r="AF18" s="31">
        <f t="shared" si="10"/>
        <v>1419</v>
      </c>
    </row>
    <row r="19" spans="2:32" ht="23.1" customHeight="1" x14ac:dyDescent="0.25">
      <c r="B19" s="45" t="s">
        <v>46</v>
      </c>
      <c r="C19" s="50">
        <v>24</v>
      </c>
      <c r="D19" s="50">
        <v>1</v>
      </c>
      <c r="E19" s="50">
        <v>2</v>
      </c>
      <c r="F19" s="50">
        <v>18</v>
      </c>
      <c r="G19" s="50">
        <v>0</v>
      </c>
      <c r="H19" s="50">
        <v>1</v>
      </c>
      <c r="I19" s="50">
        <v>2</v>
      </c>
      <c r="J19" s="50">
        <v>4</v>
      </c>
      <c r="K19" s="50">
        <v>1</v>
      </c>
      <c r="L19" s="50">
        <v>0</v>
      </c>
      <c r="M19" s="50">
        <v>280</v>
      </c>
      <c r="N19" s="50">
        <v>0</v>
      </c>
      <c r="O19" s="15">
        <f t="shared" si="0"/>
        <v>53</v>
      </c>
      <c r="P19" s="15">
        <f t="shared" si="1"/>
        <v>333</v>
      </c>
      <c r="R19" s="1" t="s">
        <v>15</v>
      </c>
      <c r="S19" s="17">
        <f t="shared" ref="S19:AF19" si="11">SUM(C46:C49)</f>
        <v>233</v>
      </c>
      <c r="T19" s="17">
        <f t="shared" si="11"/>
        <v>35</v>
      </c>
      <c r="U19" s="17">
        <f t="shared" si="11"/>
        <v>14</v>
      </c>
      <c r="V19" s="17">
        <f t="shared" si="11"/>
        <v>54</v>
      </c>
      <c r="W19" s="17">
        <f t="shared" si="11"/>
        <v>1</v>
      </c>
      <c r="X19" s="17">
        <f t="shared" si="11"/>
        <v>1</v>
      </c>
      <c r="Y19" s="17">
        <f t="shared" si="11"/>
        <v>25</v>
      </c>
      <c r="Z19" s="17">
        <f t="shared" si="11"/>
        <v>20</v>
      </c>
      <c r="AA19" s="17">
        <f t="shared" si="11"/>
        <v>4</v>
      </c>
      <c r="AB19" s="17">
        <f t="shared" si="11"/>
        <v>4</v>
      </c>
      <c r="AC19" s="17">
        <f t="shared" si="11"/>
        <v>865</v>
      </c>
      <c r="AD19" s="17">
        <f t="shared" si="11"/>
        <v>0</v>
      </c>
      <c r="AE19" s="31">
        <f t="shared" si="11"/>
        <v>391</v>
      </c>
      <c r="AF19" s="31">
        <f t="shared" si="11"/>
        <v>1256</v>
      </c>
    </row>
    <row r="20" spans="2:32" ht="23.1" customHeight="1" x14ac:dyDescent="0.25">
      <c r="B20" s="45" t="s">
        <v>47</v>
      </c>
      <c r="C20" s="50">
        <v>30</v>
      </c>
      <c r="D20" s="50">
        <v>6</v>
      </c>
      <c r="E20" s="50">
        <v>2</v>
      </c>
      <c r="F20" s="50">
        <v>17</v>
      </c>
      <c r="G20" s="50">
        <v>2</v>
      </c>
      <c r="H20" s="50">
        <v>0</v>
      </c>
      <c r="I20" s="50">
        <v>6</v>
      </c>
      <c r="J20" s="50">
        <v>4</v>
      </c>
      <c r="K20" s="50">
        <v>0</v>
      </c>
      <c r="L20" s="50">
        <v>0</v>
      </c>
      <c r="M20" s="50">
        <v>360</v>
      </c>
      <c r="N20" s="50">
        <v>0</v>
      </c>
      <c r="O20" s="15">
        <f t="shared" si="0"/>
        <v>67</v>
      </c>
      <c r="P20" s="15">
        <f t="shared" si="1"/>
        <v>427</v>
      </c>
      <c r="R20" s="1" t="s">
        <v>16</v>
      </c>
      <c r="S20" s="17">
        <f t="shared" ref="S20:AF20" si="12">SUM(C50:C53)</f>
        <v>192</v>
      </c>
      <c r="T20" s="17">
        <f t="shared" si="12"/>
        <v>30</v>
      </c>
      <c r="U20" s="17">
        <f t="shared" si="12"/>
        <v>14</v>
      </c>
      <c r="V20" s="17">
        <f t="shared" si="12"/>
        <v>61</v>
      </c>
      <c r="W20" s="17">
        <f t="shared" si="12"/>
        <v>2</v>
      </c>
      <c r="X20" s="17">
        <f t="shared" si="12"/>
        <v>0</v>
      </c>
      <c r="Y20" s="17">
        <f t="shared" si="12"/>
        <v>23</v>
      </c>
      <c r="Z20" s="17">
        <f t="shared" si="12"/>
        <v>15</v>
      </c>
      <c r="AA20" s="17">
        <f t="shared" si="12"/>
        <v>1</v>
      </c>
      <c r="AB20" s="17">
        <f t="shared" si="12"/>
        <v>0</v>
      </c>
      <c r="AC20" s="17">
        <f t="shared" si="12"/>
        <v>850</v>
      </c>
      <c r="AD20" s="17">
        <f t="shared" si="12"/>
        <v>0</v>
      </c>
      <c r="AE20" s="31">
        <f t="shared" si="12"/>
        <v>338</v>
      </c>
      <c r="AF20" s="31">
        <f t="shared" si="12"/>
        <v>1188</v>
      </c>
    </row>
    <row r="21" spans="2:32" ht="23.1" customHeight="1" x14ac:dyDescent="0.25">
      <c r="B21" s="45" t="s">
        <v>48</v>
      </c>
      <c r="C21" s="50">
        <v>23</v>
      </c>
      <c r="D21" s="50">
        <v>9</v>
      </c>
      <c r="E21" s="50">
        <v>5</v>
      </c>
      <c r="F21" s="50">
        <v>22</v>
      </c>
      <c r="G21" s="50">
        <v>1</v>
      </c>
      <c r="H21" s="50">
        <v>0</v>
      </c>
      <c r="I21" s="50">
        <v>13</v>
      </c>
      <c r="J21" s="50">
        <v>7</v>
      </c>
      <c r="K21" s="50">
        <v>1</v>
      </c>
      <c r="L21" s="50">
        <v>2</v>
      </c>
      <c r="M21" s="50">
        <v>355</v>
      </c>
      <c r="N21" s="50">
        <v>0</v>
      </c>
      <c r="O21" s="15">
        <f t="shared" si="0"/>
        <v>83</v>
      </c>
      <c r="P21" s="15">
        <f t="shared" si="1"/>
        <v>438</v>
      </c>
      <c r="R21" s="36" t="s">
        <v>20</v>
      </c>
      <c r="S21" s="34">
        <f t="shared" ref="S21:AF21" si="13">SUM(C54:C57)</f>
        <v>158</v>
      </c>
      <c r="T21" s="17">
        <f t="shared" si="13"/>
        <v>27</v>
      </c>
      <c r="U21" s="17">
        <f t="shared" si="13"/>
        <v>12</v>
      </c>
      <c r="V21" s="17">
        <f t="shared" si="13"/>
        <v>64</v>
      </c>
      <c r="W21" s="17">
        <f t="shared" si="13"/>
        <v>0</v>
      </c>
      <c r="X21" s="17">
        <f t="shared" si="13"/>
        <v>0</v>
      </c>
      <c r="Y21" s="17">
        <f t="shared" si="13"/>
        <v>27</v>
      </c>
      <c r="Z21" s="17">
        <f t="shared" si="13"/>
        <v>21</v>
      </c>
      <c r="AA21" s="17">
        <f t="shared" si="13"/>
        <v>1</v>
      </c>
      <c r="AB21" s="17">
        <f t="shared" si="13"/>
        <v>1</v>
      </c>
      <c r="AC21" s="17">
        <f t="shared" si="13"/>
        <v>750</v>
      </c>
      <c r="AD21" s="17">
        <f t="shared" si="13"/>
        <v>0</v>
      </c>
      <c r="AE21" s="31">
        <f t="shared" si="13"/>
        <v>311</v>
      </c>
      <c r="AF21" s="31">
        <f t="shared" si="13"/>
        <v>1061</v>
      </c>
    </row>
    <row r="22" spans="2:32" ht="23.1" customHeight="1" x14ac:dyDescent="0.25">
      <c r="B22" s="45" t="s">
        <v>49</v>
      </c>
      <c r="C22" s="50">
        <v>16</v>
      </c>
      <c r="D22" s="50">
        <v>4</v>
      </c>
      <c r="E22" s="50">
        <v>2</v>
      </c>
      <c r="F22" s="50">
        <v>20</v>
      </c>
      <c r="G22" s="50">
        <v>1</v>
      </c>
      <c r="H22" s="50">
        <v>0</v>
      </c>
      <c r="I22" s="50">
        <v>7</v>
      </c>
      <c r="J22" s="50">
        <v>4</v>
      </c>
      <c r="K22" s="50">
        <v>3</v>
      </c>
      <c r="L22" s="50">
        <v>2</v>
      </c>
      <c r="M22" s="50">
        <v>400</v>
      </c>
      <c r="N22" s="50">
        <v>0</v>
      </c>
      <c r="O22" s="15">
        <f t="shared" si="0"/>
        <v>59</v>
      </c>
      <c r="P22" s="15">
        <f t="shared" si="1"/>
        <v>459</v>
      </c>
      <c r="R22" s="36" t="s">
        <v>146</v>
      </c>
      <c r="S22" s="34">
        <f>SUM(C58:C61)</f>
        <v>318</v>
      </c>
      <c r="T22" s="34">
        <f t="shared" ref="T22:AF22" si="14">SUM(D58:D61)</f>
        <v>38</v>
      </c>
      <c r="U22" s="34">
        <f t="shared" si="14"/>
        <v>24</v>
      </c>
      <c r="V22" s="34">
        <f t="shared" si="14"/>
        <v>212</v>
      </c>
      <c r="W22" s="34">
        <f t="shared" si="14"/>
        <v>5</v>
      </c>
      <c r="X22" s="34">
        <f t="shared" si="14"/>
        <v>1</v>
      </c>
      <c r="Y22" s="34">
        <f t="shared" si="14"/>
        <v>21</v>
      </c>
      <c r="Z22" s="34">
        <f t="shared" si="14"/>
        <v>12</v>
      </c>
      <c r="AA22" s="34">
        <f t="shared" si="14"/>
        <v>2</v>
      </c>
      <c r="AB22" s="34">
        <f t="shared" si="14"/>
        <v>1</v>
      </c>
      <c r="AC22" s="34">
        <f t="shared" si="14"/>
        <v>928</v>
      </c>
      <c r="AD22" s="34">
        <f t="shared" si="14"/>
        <v>0</v>
      </c>
      <c r="AE22" s="31">
        <f t="shared" si="14"/>
        <v>634</v>
      </c>
      <c r="AF22" s="31">
        <f t="shared" si="14"/>
        <v>1562</v>
      </c>
    </row>
    <row r="23" spans="2:32" ht="23.1" customHeight="1" x14ac:dyDescent="0.25">
      <c r="B23" s="45" t="s">
        <v>50</v>
      </c>
      <c r="C23" s="50">
        <v>24</v>
      </c>
      <c r="D23" s="50">
        <v>4</v>
      </c>
      <c r="E23" s="50">
        <v>2</v>
      </c>
      <c r="F23" s="50">
        <v>13</v>
      </c>
      <c r="G23" s="50">
        <v>0</v>
      </c>
      <c r="H23" s="50">
        <v>0</v>
      </c>
      <c r="I23" s="50">
        <v>5</v>
      </c>
      <c r="J23" s="50">
        <v>4</v>
      </c>
      <c r="K23" s="50">
        <v>0</v>
      </c>
      <c r="L23" s="50">
        <v>1</v>
      </c>
      <c r="M23" s="50">
        <v>363</v>
      </c>
      <c r="N23" s="50">
        <v>0</v>
      </c>
      <c r="O23" s="15">
        <f t="shared" si="0"/>
        <v>53</v>
      </c>
      <c r="P23" s="15">
        <f t="shared" si="1"/>
        <v>416</v>
      </c>
      <c r="R23" s="36" t="s">
        <v>147</v>
      </c>
      <c r="S23" s="34">
        <f>SUM(C62:C65)</f>
        <v>215</v>
      </c>
      <c r="T23" s="34">
        <f t="shared" ref="T23:AF23" si="15">SUM(D62:D65)</f>
        <v>51</v>
      </c>
      <c r="U23" s="34">
        <f t="shared" si="15"/>
        <v>14</v>
      </c>
      <c r="V23" s="34">
        <f t="shared" si="15"/>
        <v>144</v>
      </c>
      <c r="W23" s="34">
        <f t="shared" si="15"/>
        <v>0</v>
      </c>
      <c r="X23" s="34">
        <f t="shared" si="15"/>
        <v>0</v>
      </c>
      <c r="Y23" s="34">
        <f t="shared" si="15"/>
        <v>16</v>
      </c>
      <c r="Z23" s="34">
        <f t="shared" si="15"/>
        <v>18</v>
      </c>
      <c r="AA23" s="34">
        <f t="shared" si="15"/>
        <v>3</v>
      </c>
      <c r="AB23" s="34">
        <f t="shared" si="15"/>
        <v>0</v>
      </c>
      <c r="AC23" s="34">
        <f t="shared" si="15"/>
        <v>1010</v>
      </c>
      <c r="AD23" s="34">
        <f t="shared" si="15"/>
        <v>0</v>
      </c>
      <c r="AE23" s="31">
        <f t="shared" si="15"/>
        <v>461</v>
      </c>
      <c r="AF23" s="31">
        <f t="shared" si="15"/>
        <v>1471</v>
      </c>
    </row>
    <row r="24" spans="2:32" ht="23.1" customHeight="1" x14ac:dyDescent="0.25">
      <c r="B24" s="45" t="s">
        <v>51</v>
      </c>
      <c r="C24" s="50">
        <v>20</v>
      </c>
      <c r="D24" s="50">
        <v>7</v>
      </c>
      <c r="E24" s="50">
        <v>6</v>
      </c>
      <c r="F24" s="50">
        <v>18</v>
      </c>
      <c r="G24" s="50">
        <v>2</v>
      </c>
      <c r="H24" s="50">
        <v>0</v>
      </c>
      <c r="I24" s="50">
        <v>7</v>
      </c>
      <c r="J24" s="50">
        <v>6</v>
      </c>
      <c r="K24" s="50">
        <v>1</v>
      </c>
      <c r="L24" s="50">
        <v>2</v>
      </c>
      <c r="M24" s="50">
        <v>250</v>
      </c>
      <c r="N24" s="50">
        <v>0</v>
      </c>
      <c r="O24" s="15">
        <f t="shared" si="0"/>
        <v>69</v>
      </c>
      <c r="P24" s="15">
        <f t="shared" si="1"/>
        <v>319</v>
      </c>
      <c r="R24" s="36" t="s">
        <v>148</v>
      </c>
      <c r="S24" s="34">
        <f>SUM(C66:C69)</f>
        <v>194</v>
      </c>
      <c r="T24" s="34">
        <f t="shared" ref="T24:AF24" si="16">SUM(D66:D69)</f>
        <v>16</v>
      </c>
      <c r="U24" s="34">
        <f t="shared" si="16"/>
        <v>12</v>
      </c>
      <c r="V24" s="34">
        <f t="shared" si="16"/>
        <v>142</v>
      </c>
      <c r="W24" s="34">
        <f t="shared" si="16"/>
        <v>3</v>
      </c>
      <c r="X24" s="34">
        <f t="shared" si="16"/>
        <v>0</v>
      </c>
      <c r="Y24" s="34">
        <f t="shared" si="16"/>
        <v>12</v>
      </c>
      <c r="Z24" s="34">
        <f t="shared" si="16"/>
        <v>6</v>
      </c>
      <c r="AA24" s="34">
        <f t="shared" si="16"/>
        <v>3</v>
      </c>
      <c r="AB24" s="34">
        <f t="shared" si="16"/>
        <v>2</v>
      </c>
      <c r="AC24" s="34">
        <f t="shared" si="16"/>
        <v>545</v>
      </c>
      <c r="AD24" s="34">
        <f t="shared" si="16"/>
        <v>0</v>
      </c>
      <c r="AE24" s="31">
        <f t="shared" si="16"/>
        <v>390</v>
      </c>
      <c r="AF24" s="31">
        <f t="shared" si="16"/>
        <v>935</v>
      </c>
    </row>
    <row r="25" spans="2:32" ht="23.1" customHeight="1" x14ac:dyDescent="0.25">
      <c r="B25" s="45" t="s">
        <v>52</v>
      </c>
      <c r="C25" s="50">
        <v>22</v>
      </c>
      <c r="D25" s="50">
        <v>3</v>
      </c>
      <c r="E25" s="50">
        <v>5</v>
      </c>
      <c r="F25" s="50">
        <v>10</v>
      </c>
      <c r="G25" s="50">
        <v>0</v>
      </c>
      <c r="H25" s="50">
        <v>0</v>
      </c>
      <c r="I25" s="50">
        <v>9</v>
      </c>
      <c r="J25" s="50">
        <v>5</v>
      </c>
      <c r="K25" s="50">
        <v>0</v>
      </c>
      <c r="L25" s="50">
        <v>0</v>
      </c>
      <c r="M25" s="50">
        <v>195</v>
      </c>
      <c r="N25" s="50">
        <v>0</v>
      </c>
      <c r="O25" s="15">
        <f t="shared" si="0"/>
        <v>54</v>
      </c>
      <c r="P25" s="15">
        <f t="shared" si="1"/>
        <v>249</v>
      </c>
      <c r="R25" s="36" t="s">
        <v>149</v>
      </c>
      <c r="S25" s="34">
        <f>SUM(C70:C73)</f>
        <v>110</v>
      </c>
      <c r="T25" s="34">
        <f t="shared" ref="T25:AF25" si="17">SUM(D70:D73)</f>
        <v>17</v>
      </c>
      <c r="U25" s="34">
        <f t="shared" si="17"/>
        <v>8</v>
      </c>
      <c r="V25" s="34">
        <f t="shared" si="17"/>
        <v>37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7</v>
      </c>
      <c r="AA25" s="34">
        <f t="shared" si="17"/>
        <v>0</v>
      </c>
      <c r="AB25" s="34">
        <f t="shared" si="17"/>
        <v>0</v>
      </c>
      <c r="AC25" s="34">
        <f t="shared" si="17"/>
        <v>194</v>
      </c>
      <c r="AD25" s="34">
        <f t="shared" si="17"/>
        <v>0</v>
      </c>
      <c r="AE25" s="31">
        <f t="shared" si="17"/>
        <v>182</v>
      </c>
      <c r="AF25" s="31">
        <f t="shared" si="17"/>
        <v>376</v>
      </c>
    </row>
    <row r="26" spans="2:32" ht="23.1" customHeight="1" x14ac:dyDescent="0.25">
      <c r="B26" s="45" t="s">
        <v>53</v>
      </c>
      <c r="C26" s="50">
        <v>38</v>
      </c>
      <c r="D26" s="50">
        <v>6</v>
      </c>
      <c r="E26" s="50">
        <v>6</v>
      </c>
      <c r="F26" s="50">
        <v>14</v>
      </c>
      <c r="G26" s="50">
        <v>0</v>
      </c>
      <c r="H26" s="50">
        <v>0</v>
      </c>
      <c r="I26" s="50">
        <v>12</v>
      </c>
      <c r="J26" s="50">
        <v>5</v>
      </c>
      <c r="K26" s="50">
        <v>0</v>
      </c>
      <c r="L26" s="50">
        <v>1</v>
      </c>
      <c r="M26" s="50">
        <v>270</v>
      </c>
      <c r="N26" s="50">
        <v>0</v>
      </c>
      <c r="O26" s="15">
        <f t="shared" si="0"/>
        <v>82</v>
      </c>
      <c r="P26" s="15">
        <f t="shared" si="1"/>
        <v>352</v>
      </c>
      <c r="R26" s="36" t="s">
        <v>150</v>
      </c>
      <c r="S26" s="34">
        <f>SUM(C74:C77)</f>
        <v>73</v>
      </c>
      <c r="T26" s="34">
        <f t="shared" ref="T26:AF26" si="18">SUM(D74:D77)</f>
        <v>10</v>
      </c>
      <c r="U26" s="34">
        <f t="shared" si="18"/>
        <v>4</v>
      </c>
      <c r="V26" s="34">
        <f t="shared" si="18"/>
        <v>22</v>
      </c>
      <c r="W26" s="34">
        <f t="shared" si="18"/>
        <v>3</v>
      </c>
      <c r="X26" s="34">
        <f t="shared" si="18"/>
        <v>2</v>
      </c>
      <c r="Y26" s="34">
        <f t="shared" si="18"/>
        <v>5</v>
      </c>
      <c r="Z26" s="34">
        <f t="shared" si="18"/>
        <v>4</v>
      </c>
      <c r="AA26" s="34">
        <f t="shared" si="18"/>
        <v>0</v>
      </c>
      <c r="AB26" s="34">
        <f t="shared" si="18"/>
        <v>1</v>
      </c>
      <c r="AC26" s="34">
        <f t="shared" si="18"/>
        <v>146</v>
      </c>
      <c r="AD26" s="34">
        <f t="shared" si="18"/>
        <v>0</v>
      </c>
      <c r="AE26" s="31">
        <f t="shared" si="18"/>
        <v>124</v>
      </c>
      <c r="AF26" s="31">
        <f t="shared" si="18"/>
        <v>270</v>
      </c>
    </row>
    <row r="27" spans="2:32" ht="23.1" customHeight="1" x14ac:dyDescent="0.25">
      <c r="B27" s="45" t="s">
        <v>54</v>
      </c>
      <c r="C27" s="50">
        <v>25</v>
      </c>
      <c r="D27" s="50">
        <v>3</v>
      </c>
      <c r="E27" s="50">
        <v>6</v>
      </c>
      <c r="F27" s="50">
        <v>25</v>
      </c>
      <c r="G27" s="50">
        <v>0</v>
      </c>
      <c r="H27" s="50">
        <v>0</v>
      </c>
      <c r="I27" s="50">
        <v>9</v>
      </c>
      <c r="J27" s="50">
        <v>10</v>
      </c>
      <c r="K27" s="50">
        <v>1</v>
      </c>
      <c r="L27" s="50">
        <v>1</v>
      </c>
      <c r="M27" s="50">
        <v>270</v>
      </c>
      <c r="N27" s="50">
        <v>1</v>
      </c>
      <c r="O27" s="15">
        <f t="shared" si="0"/>
        <v>81</v>
      </c>
      <c r="P27" s="15">
        <f t="shared" si="1"/>
        <v>351</v>
      </c>
      <c r="R27" s="36" t="s">
        <v>151</v>
      </c>
      <c r="S27" s="34">
        <f>SUM(C78:C81)</f>
        <v>40</v>
      </c>
      <c r="T27" s="34">
        <f t="shared" ref="T27:AF27" si="19">SUM(D78:D81)</f>
        <v>3</v>
      </c>
      <c r="U27" s="34">
        <f t="shared" si="19"/>
        <v>1</v>
      </c>
      <c r="V27" s="34">
        <f t="shared" si="19"/>
        <v>9</v>
      </c>
      <c r="W27" s="34">
        <f t="shared" si="19"/>
        <v>1</v>
      </c>
      <c r="X27" s="34">
        <f t="shared" si="19"/>
        <v>0</v>
      </c>
      <c r="Y27" s="34">
        <f t="shared" si="19"/>
        <v>7</v>
      </c>
      <c r="Z27" s="34">
        <f t="shared" si="19"/>
        <v>3</v>
      </c>
      <c r="AA27" s="34">
        <f t="shared" si="19"/>
        <v>0</v>
      </c>
      <c r="AB27" s="34">
        <f t="shared" si="19"/>
        <v>0</v>
      </c>
      <c r="AC27" s="34">
        <f t="shared" si="19"/>
        <v>53</v>
      </c>
      <c r="AD27" s="34">
        <f t="shared" si="19"/>
        <v>0</v>
      </c>
      <c r="AE27" s="31">
        <f t="shared" si="19"/>
        <v>64</v>
      </c>
      <c r="AF27" s="31">
        <f t="shared" si="19"/>
        <v>117</v>
      </c>
    </row>
    <row r="28" spans="2:32" ht="23.1" customHeight="1" x14ac:dyDescent="0.25">
      <c r="B28" s="45" t="s">
        <v>55</v>
      </c>
      <c r="C28" s="50">
        <v>34</v>
      </c>
      <c r="D28" s="50">
        <v>4</v>
      </c>
      <c r="E28" s="50">
        <v>3</v>
      </c>
      <c r="F28" s="50">
        <v>12</v>
      </c>
      <c r="G28" s="50">
        <v>0</v>
      </c>
      <c r="H28" s="50">
        <v>0</v>
      </c>
      <c r="I28" s="50">
        <v>5</v>
      </c>
      <c r="J28" s="50">
        <v>7</v>
      </c>
      <c r="K28" s="50">
        <v>0</v>
      </c>
      <c r="L28" s="50">
        <v>0</v>
      </c>
      <c r="M28" s="50">
        <v>265</v>
      </c>
      <c r="N28" s="50">
        <v>0</v>
      </c>
      <c r="O28" s="15">
        <f t="shared" si="0"/>
        <v>65</v>
      </c>
      <c r="P28" s="15">
        <f t="shared" si="1"/>
        <v>330</v>
      </c>
      <c r="R28" s="36" t="s">
        <v>152</v>
      </c>
      <c r="S28" s="34">
        <f>SUM(C82:C85)</f>
        <v>11</v>
      </c>
      <c r="T28" s="34">
        <f t="shared" ref="T28:AF28" si="20">SUM(D82:D85)</f>
        <v>2</v>
      </c>
      <c r="U28" s="34">
        <f t="shared" si="20"/>
        <v>0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3</v>
      </c>
      <c r="AA28" s="34">
        <f t="shared" si="20"/>
        <v>0</v>
      </c>
      <c r="AB28" s="34">
        <f t="shared" si="20"/>
        <v>0</v>
      </c>
      <c r="AC28" s="34">
        <f t="shared" si="20"/>
        <v>21</v>
      </c>
      <c r="AD28" s="34">
        <f t="shared" si="20"/>
        <v>0</v>
      </c>
      <c r="AE28" s="31">
        <f t="shared" si="20"/>
        <v>18</v>
      </c>
      <c r="AF28" s="31">
        <f t="shared" si="20"/>
        <v>39</v>
      </c>
    </row>
    <row r="29" spans="2:32" ht="23.1" customHeight="1" x14ac:dyDescent="0.25">
      <c r="B29" s="45" t="s">
        <v>56</v>
      </c>
      <c r="C29" s="50">
        <v>43</v>
      </c>
      <c r="D29" s="50">
        <v>7</v>
      </c>
      <c r="E29" s="50">
        <v>4</v>
      </c>
      <c r="F29" s="50">
        <v>13</v>
      </c>
      <c r="G29" s="50">
        <v>0</v>
      </c>
      <c r="H29" s="50">
        <v>0</v>
      </c>
      <c r="I29" s="50">
        <v>8</v>
      </c>
      <c r="J29" s="50">
        <v>15</v>
      </c>
      <c r="K29" s="50">
        <v>0</v>
      </c>
      <c r="L29" s="50">
        <v>2</v>
      </c>
      <c r="M29" s="50">
        <v>230</v>
      </c>
      <c r="N29" s="50">
        <v>0</v>
      </c>
      <c r="O29" s="15">
        <f t="shared" si="0"/>
        <v>92</v>
      </c>
      <c r="P29" s="15">
        <f t="shared" si="1"/>
        <v>322</v>
      </c>
      <c r="R29" s="36" t="s">
        <v>153</v>
      </c>
      <c r="S29" s="34">
        <f>SUM(C86:C89)</f>
        <v>12</v>
      </c>
      <c r="T29" s="34">
        <f t="shared" ref="T29:AF29" si="21">SUM(D86:D89)</f>
        <v>3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2</v>
      </c>
      <c r="AA29" s="34">
        <f t="shared" si="21"/>
        <v>0</v>
      </c>
      <c r="AB29" s="34">
        <f t="shared" si="21"/>
        <v>0</v>
      </c>
      <c r="AC29" s="34">
        <f t="shared" si="21"/>
        <v>17</v>
      </c>
      <c r="AD29" s="34">
        <f t="shared" si="21"/>
        <v>0</v>
      </c>
      <c r="AE29" s="31">
        <f t="shared" si="21"/>
        <v>17</v>
      </c>
      <c r="AF29" s="31">
        <f t="shared" si="21"/>
        <v>34</v>
      </c>
    </row>
    <row r="30" spans="2:32" ht="23.1" customHeight="1" x14ac:dyDescent="0.25">
      <c r="B30" s="45" t="s">
        <v>57</v>
      </c>
      <c r="C30" s="50">
        <v>29</v>
      </c>
      <c r="D30" s="50">
        <v>6</v>
      </c>
      <c r="E30" s="50">
        <v>5</v>
      </c>
      <c r="F30" s="50">
        <v>14</v>
      </c>
      <c r="G30" s="50">
        <v>1</v>
      </c>
      <c r="H30" s="50">
        <v>0</v>
      </c>
      <c r="I30" s="50">
        <v>10</v>
      </c>
      <c r="J30" s="50">
        <v>8</v>
      </c>
      <c r="K30" s="50">
        <v>1</v>
      </c>
      <c r="L30" s="50">
        <v>1</v>
      </c>
      <c r="M30" s="50">
        <v>210</v>
      </c>
      <c r="N30" s="50">
        <v>0</v>
      </c>
      <c r="O30" s="15">
        <f t="shared" si="0"/>
        <v>75</v>
      </c>
      <c r="P30" s="15">
        <f t="shared" si="1"/>
        <v>285</v>
      </c>
      <c r="R30" s="36" t="s">
        <v>154</v>
      </c>
      <c r="S30" s="34">
        <f>SUM(C90:C93)</f>
        <v>11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1</v>
      </c>
      <c r="AB30" s="34">
        <f t="shared" si="22"/>
        <v>1</v>
      </c>
      <c r="AC30" s="34">
        <f t="shared" si="22"/>
        <v>8</v>
      </c>
      <c r="AD30" s="34">
        <f t="shared" si="22"/>
        <v>0</v>
      </c>
      <c r="AE30" s="31">
        <f t="shared" si="22"/>
        <v>14</v>
      </c>
      <c r="AF30" s="31">
        <f t="shared" si="22"/>
        <v>22</v>
      </c>
    </row>
    <row r="31" spans="2:32" ht="23.1" customHeight="1" x14ac:dyDescent="0.25">
      <c r="B31" s="46" t="s">
        <v>58</v>
      </c>
      <c r="C31" s="50">
        <v>35</v>
      </c>
      <c r="D31" s="50">
        <v>7</v>
      </c>
      <c r="E31" s="50">
        <v>4</v>
      </c>
      <c r="F31" s="50">
        <v>18</v>
      </c>
      <c r="G31" s="50">
        <v>0</v>
      </c>
      <c r="H31" s="50">
        <v>0</v>
      </c>
      <c r="I31" s="50">
        <v>6</v>
      </c>
      <c r="J31" s="50">
        <v>5</v>
      </c>
      <c r="K31" s="50">
        <v>0</v>
      </c>
      <c r="L31" s="50">
        <v>1</v>
      </c>
      <c r="M31" s="50">
        <v>282</v>
      </c>
      <c r="N31" s="50">
        <v>1</v>
      </c>
      <c r="O31" s="15">
        <f t="shared" si="0"/>
        <v>77</v>
      </c>
      <c r="P31" s="15">
        <f t="shared" si="1"/>
        <v>359</v>
      </c>
      <c r="R31" s="36" t="s">
        <v>155</v>
      </c>
      <c r="S31" s="34">
        <f>SUM(C94:C97)</f>
        <v>11</v>
      </c>
      <c r="T31" s="34">
        <f t="shared" ref="T31:AF31" si="23">SUM(D94:D97)</f>
        <v>2</v>
      </c>
      <c r="U31" s="34">
        <f t="shared" si="23"/>
        <v>3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1</v>
      </c>
      <c r="AA31" s="34">
        <f t="shared" si="23"/>
        <v>1</v>
      </c>
      <c r="AB31" s="34">
        <f t="shared" si="23"/>
        <v>0</v>
      </c>
      <c r="AC31" s="34">
        <f t="shared" si="23"/>
        <v>23</v>
      </c>
      <c r="AD31" s="34">
        <f t="shared" si="23"/>
        <v>0</v>
      </c>
      <c r="AE31" s="31">
        <f t="shared" si="23"/>
        <v>18</v>
      </c>
      <c r="AF31" s="31">
        <f t="shared" si="23"/>
        <v>41</v>
      </c>
    </row>
    <row r="32" spans="2:32" ht="23.1" customHeight="1" x14ac:dyDescent="0.25">
      <c r="B32" s="46" t="s">
        <v>59</v>
      </c>
      <c r="C32" s="50">
        <v>36</v>
      </c>
      <c r="D32" s="50">
        <v>11</v>
      </c>
      <c r="E32" s="50">
        <v>6</v>
      </c>
      <c r="F32" s="50">
        <v>20</v>
      </c>
      <c r="G32" s="50">
        <v>1</v>
      </c>
      <c r="H32" s="50">
        <v>0</v>
      </c>
      <c r="I32" s="50">
        <v>16</v>
      </c>
      <c r="J32" s="50">
        <v>4</v>
      </c>
      <c r="K32" s="50">
        <v>3</v>
      </c>
      <c r="L32" s="50">
        <v>1</v>
      </c>
      <c r="M32" s="50">
        <v>215</v>
      </c>
      <c r="N32" s="50">
        <v>0</v>
      </c>
      <c r="O32" s="15">
        <f t="shared" si="0"/>
        <v>98</v>
      </c>
      <c r="P32" s="15">
        <f t="shared" si="1"/>
        <v>313</v>
      </c>
      <c r="R32" s="33" t="s">
        <v>156</v>
      </c>
      <c r="S32" s="34">
        <f>SUM(C98:C101)</f>
        <v>18</v>
      </c>
      <c r="T32" s="34">
        <f t="shared" ref="T32:AF32" si="24">SUM(D98:D101)</f>
        <v>5</v>
      </c>
      <c r="U32" s="34">
        <f t="shared" si="24"/>
        <v>1</v>
      </c>
      <c r="V32" s="34">
        <f t="shared" si="24"/>
        <v>6</v>
      </c>
      <c r="W32" s="34">
        <f t="shared" si="24"/>
        <v>0</v>
      </c>
      <c r="X32" s="34">
        <f t="shared" si="24"/>
        <v>0</v>
      </c>
      <c r="Y32" s="34">
        <f t="shared" si="24"/>
        <v>4</v>
      </c>
      <c r="Z32" s="34">
        <f t="shared" si="24"/>
        <v>3</v>
      </c>
      <c r="AA32" s="34">
        <f t="shared" si="24"/>
        <v>3</v>
      </c>
      <c r="AB32" s="34">
        <f t="shared" si="24"/>
        <v>4</v>
      </c>
      <c r="AC32" s="34">
        <f t="shared" si="24"/>
        <v>21</v>
      </c>
      <c r="AD32" s="34">
        <f t="shared" si="24"/>
        <v>0</v>
      </c>
      <c r="AE32" s="31">
        <f t="shared" si="24"/>
        <v>44</v>
      </c>
      <c r="AF32" s="31">
        <f t="shared" si="24"/>
        <v>65</v>
      </c>
    </row>
    <row r="33" spans="2:32" ht="23.1" customHeight="1" x14ac:dyDescent="0.25">
      <c r="B33" s="45" t="s">
        <v>60</v>
      </c>
      <c r="C33" s="50">
        <v>37</v>
      </c>
      <c r="D33" s="50">
        <v>8</v>
      </c>
      <c r="E33" s="50">
        <v>2</v>
      </c>
      <c r="F33" s="50">
        <v>10</v>
      </c>
      <c r="G33" s="50">
        <v>1</v>
      </c>
      <c r="H33" s="50">
        <v>0</v>
      </c>
      <c r="I33" s="50">
        <v>9</v>
      </c>
      <c r="J33" s="50">
        <v>7</v>
      </c>
      <c r="K33" s="50">
        <v>1</v>
      </c>
      <c r="L33" s="50">
        <v>0</v>
      </c>
      <c r="M33" s="50">
        <v>236</v>
      </c>
      <c r="N33" s="50">
        <v>0</v>
      </c>
      <c r="O33" s="15">
        <f t="shared" si="0"/>
        <v>75</v>
      </c>
      <c r="P33" s="15">
        <f t="shared" si="1"/>
        <v>311</v>
      </c>
      <c r="R33" s="33" t="s">
        <v>157</v>
      </c>
      <c r="S33" s="34">
        <f>SUM(C102:C105)</f>
        <v>52</v>
      </c>
      <c r="T33" s="34">
        <f t="shared" ref="T33:AF33" si="25">SUM(D102:D105)</f>
        <v>11</v>
      </c>
      <c r="U33" s="34">
        <f t="shared" si="25"/>
        <v>4</v>
      </c>
      <c r="V33" s="34">
        <f t="shared" si="25"/>
        <v>17</v>
      </c>
      <c r="W33" s="34">
        <f t="shared" si="25"/>
        <v>0</v>
      </c>
      <c r="X33" s="34">
        <f t="shared" si="25"/>
        <v>0</v>
      </c>
      <c r="Y33" s="34">
        <f t="shared" si="25"/>
        <v>13</v>
      </c>
      <c r="Z33" s="34">
        <f t="shared" si="25"/>
        <v>3</v>
      </c>
      <c r="AA33" s="34">
        <f t="shared" si="25"/>
        <v>1</v>
      </c>
      <c r="AB33" s="34">
        <f t="shared" si="25"/>
        <v>0</v>
      </c>
      <c r="AC33" s="34">
        <f t="shared" si="25"/>
        <v>84</v>
      </c>
      <c r="AD33" s="34">
        <f t="shared" si="25"/>
        <v>0</v>
      </c>
      <c r="AE33" s="31">
        <f t="shared" si="25"/>
        <v>101</v>
      </c>
      <c r="AF33" s="31">
        <f t="shared" si="25"/>
        <v>185</v>
      </c>
    </row>
    <row r="34" spans="2:32" ht="23.1" customHeight="1" x14ac:dyDescent="0.25">
      <c r="B34" s="46" t="s">
        <v>61</v>
      </c>
      <c r="C34" s="50">
        <v>32</v>
      </c>
      <c r="D34" s="50">
        <v>3</v>
      </c>
      <c r="E34" s="50">
        <v>1</v>
      </c>
      <c r="F34" s="50">
        <v>21</v>
      </c>
      <c r="G34" s="50">
        <v>0</v>
      </c>
      <c r="H34" s="50">
        <v>0</v>
      </c>
      <c r="I34" s="50">
        <v>5</v>
      </c>
      <c r="J34" s="50">
        <v>4</v>
      </c>
      <c r="K34" s="50">
        <v>1</v>
      </c>
      <c r="L34" s="50">
        <v>0</v>
      </c>
      <c r="M34" s="50">
        <v>265</v>
      </c>
      <c r="N34" s="50">
        <v>0</v>
      </c>
      <c r="O34" s="15">
        <f t="shared" si="0"/>
        <v>67</v>
      </c>
      <c r="P34" s="15">
        <f t="shared" si="1"/>
        <v>332</v>
      </c>
      <c r="R34" s="38" t="s">
        <v>90</v>
      </c>
      <c r="S34" s="39">
        <f t="shared" ref="S34:AF34" si="26">MAX(S10:S12)</f>
        <v>94</v>
      </c>
      <c r="T34" s="39">
        <f t="shared" si="26"/>
        <v>21</v>
      </c>
      <c r="U34" s="39">
        <f t="shared" si="26"/>
        <v>14</v>
      </c>
      <c r="V34" s="39">
        <f t="shared" si="26"/>
        <v>79</v>
      </c>
      <c r="W34" s="39">
        <f t="shared" si="26"/>
        <v>25</v>
      </c>
      <c r="X34" s="39">
        <f t="shared" si="26"/>
        <v>2</v>
      </c>
      <c r="Y34" s="39">
        <f t="shared" si="26"/>
        <v>24</v>
      </c>
      <c r="Z34" s="39">
        <f t="shared" si="26"/>
        <v>18</v>
      </c>
      <c r="AA34" s="39">
        <f t="shared" si="26"/>
        <v>5</v>
      </c>
      <c r="AB34" s="39">
        <f t="shared" si="26"/>
        <v>2</v>
      </c>
      <c r="AC34" s="39">
        <f t="shared" si="26"/>
        <v>1205</v>
      </c>
      <c r="AD34" s="39">
        <f t="shared" si="26"/>
        <v>0</v>
      </c>
      <c r="AE34" s="40">
        <f t="shared" si="26"/>
        <v>258</v>
      </c>
      <c r="AF34" s="40">
        <f t="shared" si="26"/>
        <v>1463</v>
      </c>
    </row>
    <row r="35" spans="2:32" ht="23.1" customHeight="1" x14ac:dyDescent="0.25">
      <c r="B35" s="46" t="s">
        <v>62</v>
      </c>
      <c r="C35" s="50">
        <v>42</v>
      </c>
      <c r="D35" s="50">
        <v>4</v>
      </c>
      <c r="E35" s="50">
        <v>5</v>
      </c>
      <c r="F35" s="50">
        <v>31</v>
      </c>
      <c r="G35" s="50">
        <v>0</v>
      </c>
      <c r="H35" s="50">
        <v>0</v>
      </c>
      <c r="I35" s="50">
        <v>4</v>
      </c>
      <c r="J35" s="50">
        <v>8</v>
      </c>
      <c r="K35" s="50">
        <v>3</v>
      </c>
      <c r="L35" s="50">
        <v>1</v>
      </c>
      <c r="M35" s="50">
        <v>237</v>
      </c>
      <c r="N35" s="50">
        <v>0</v>
      </c>
      <c r="O35" s="15">
        <f t="shared" si="0"/>
        <v>98</v>
      </c>
      <c r="P35" s="15">
        <f t="shared" si="1"/>
        <v>335</v>
      </c>
      <c r="R35" s="38" t="s">
        <v>91</v>
      </c>
      <c r="S35" s="39">
        <f t="shared" ref="S35:AF35" si="27">MAX(S13:S18)</f>
        <v>160</v>
      </c>
      <c r="T35" s="39">
        <f t="shared" si="27"/>
        <v>38</v>
      </c>
      <c r="U35" s="39">
        <f t="shared" si="27"/>
        <v>25</v>
      </c>
      <c r="V35" s="39">
        <f t="shared" si="27"/>
        <v>90</v>
      </c>
      <c r="W35" s="39">
        <f t="shared" si="27"/>
        <v>3</v>
      </c>
      <c r="X35" s="39">
        <f t="shared" si="27"/>
        <v>0</v>
      </c>
      <c r="Y35" s="39">
        <f t="shared" si="27"/>
        <v>41</v>
      </c>
      <c r="Z35" s="39">
        <f t="shared" si="27"/>
        <v>37</v>
      </c>
      <c r="AA35" s="39">
        <f t="shared" si="27"/>
        <v>6</v>
      </c>
      <c r="AB35" s="39">
        <f t="shared" si="27"/>
        <v>5</v>
      </c>
      <c r="AC35" s="39">
        <f t="shared" si="27"/>
        <v>1208</v>
      </c>
      <c r="AD35" s="39">
        <f t="shared" si="27"/>
        <v>1</v>
      </c>
      <c r="AE35" s="40">
        <f t="shared" si="27"/>
        <v>339</v>
      </c>
      <c r="AF35" s="40">
        <f t="shared" si="27"/>
        <v>1443</v>
      </c>
    </row>
    <row r="36" spans="2:32" ht="23.1" customHeight="1" x14ac:dyDescent="0.25">
      <c r="B36" s="46" t="s">
        <v>63</v>
      </c>
      <c r="C36" s="50">
        <v>37</v>
      </c>
      <c r="D36" s="50">
        <v>5</v>
      </c>
      <c r="E36" s="50">
        <v>3</v>
      </c>
      <c r="F36" s="50">
        <v>28</v>
      </c>
      <c r="G36" s="50">
        <v>0</v>
      </c>
      <c r="H36" s="50">
        <v>0</v>
      </c>
      <c r="I36" s="50">
        <v>2</v>
      </c>
      <c r="J36" s="50">
        <v>12</v>
      </c>
      <c r="K36" s="50">
        <v>0</v>
      </c>
      <c r="L36" s="50">
        <v>2</v>
      </c>
      <c r="M36" s="50">
        <v>373</v>
      </c>
      <c r="N36" s="50">
        <v>0</v>
      </c>
      <c r="O36" s="15">
        <f t="shared" si="0"/>
        <v>89</v>
      </c>
      <c r="P36" s="15">
        <f t="shared" si="1"/>
        <v>462</v>
      </c>
      <c r="R36" s="38" t="s">
        <v>92</v>
      </c>
      <c r="S36" s="39">
        <f t="shared" ref="S36:AF36" si="28">MAX(S19:S21)</f>
        <v>233</v>
      </c>
      <c r="T36" s="39">
        <f t="shared" si="28"/>
        <v>35</v>
      </c>
      <c r="U36" s="39">
        <f t="shared" si="28"/>
        <v>14</v>
      </c>
      <c r="V36" s="39">
        <f t="shared" si="28"/>
        <v>64</v>
      </c>
      <c r="W36" s="39">
        <f t="shared" si="28"/>
        <v>2</v>
      </c>
      <c r="X36" s="39">
        <f t="shared" si="28"/>
        <v>1</v>
      </c>
      <c r="Y36" s="39">
        <f t="shared" si="28"/>
        <v>27</v>
      </c>
      <c r="Z36" s="39">
        <f t="shared" si="28"/>
        <v>21</v>
      </c>
      <c r="AA36" s="39">
        <f t="shared" si="28"/>
        <v>4</v>
      </c>
      <c r="AB36" s="39">
        <f t="shared" si="28"/>
        <v>4</v>
      </c>
      <c r="AC36" s="39">
        <f t="shared" si="28"/>
        <v>865</v>
      </c>
      <c r="AD36" s="39">
        <f t="shared" si="28"/>
        <v>0</v>
      </c>
      <c r="AE36" s="40">
        <f t="shared" si="28"/>
        <v>391</v>
      </c>
      <c r="AF36" s="40">
        <f t="shared" si="28"/>
        <v>1256</v>
      </c>
    </row>
    <row r="37" spans="2:32" ht="23.1" customHeight="1" x14ac:dyDescent="0.25">
      <c r="B37" s="45" t="s">
        <v>64</v>
      </c>
      <c r="C37" s="50">
        <v>38</v>
      </c>
      <c r="D37" s="50">
        <v>8</v>
      </c>
      <c r="E37" s="50">
        <v>4</v>
      </c>
      <c r="F37" s="50">
        <v>10</v>
      </c>
      <c r="G37" s="50">
        <v>0</v>
      </c>
      <c r="H37" s="50">
        <v>0</v>
      </c>
      <c r="I37" s="50">
        <v>3</v>
      </c>
      <c r="J37" s="50">
        <v>1</v>
      </c>
      <c r="K37" s="50">
        <v>0</v>
      </c>
      <c r="L37" s="50">
        <v>0</v>
      </c>
      <c r="M37" s="50">
        <v>140</v>
      </c>
      <c r="N37" s="50">
        <v>0</v>
      </c>
      <c r="O37" s="15">
        <f t="shared" si="0"/>
        <v>64</v>
      </c>
      <c r="P37" s="15">
        <f t="shared" si="1"/>
        <v>204</v>
      </c>
      <c r="R37" s="37" t="s">
        <v>85</v>
      </c>
      <c r="S37" s="35">
        <f t="shared" ref="S37:AF37" si="29">SUM(S10:S12)</f>
        <v>252</v>
      </c>
      <c r="T37" s="16">
        <f t="shared" si="29"/>
        <v>40</v>
      </c>
      <c r="U37" s="16">
        <f t="shared" si="29"/>
        <v>31</v>
      </c>
      <c r="V37" s="16">
        <f t="shared" si="29"/>
        <v>205</v>
      </c>
      <c r="W37" s="16">
        <f t="shared" si="29"/>
        <v>31</v>
      </c>
      <c r="X37" s="16">
        <f t="shared" si="29"/>
        <v>3</v>
      </c>
      <c r="Y37" s="16">
        <f t="shared" si="29"/>
        <v>43</v>
      </c>
      <c r="Z37" s="16">
        <f t="shared" si="29"/>
        <v>37</v>
      </c>
      <c r="AA37" s="16">
        <f t="shared" si="29"/>
        <v>9</v>
      </c>
      <c r="AB37" s="16">
        <f t="shared" si="29"/>
        <v>4</v>
      </c>
      <c r="AC37" s="16">
        <f t="shared" si="29"/>
        <v>2705</v>
      </c>
      <c r="AD37" s="16">
        <f t="shared" si="29"/>
        <v>0</v>
      </c>
      <c r="AE37" s="32">
        <f t="shared" si="29"/>
        <v>655</v>
      </c>
      <c r="AF37" s="32">
        <f t="shared" si="29"/>
        <v>3360</v>
      </c>
    </row>
    <row r="38" spans="2:32" ht="23.1" customHeight="1" x14ac:dyDescent="0.25">
      <c r="B38" s="46" t="s">
        <v>65</v>
      </c>
      <c r="C38" s="50">
        <v>29</v>
      </c>
      <c r="D38" s="50">
        <v>8</v>
      </c>
      <c r="E38" s="50">
        <v>3</v>
      </c>
      <c r="F38" s="50">
        <v>18</v>
      </c>
      <c r="G38" s="50">
        <v>0</v>
      </c>
      <c r="H38" s="50">
        <v>0</v>
      </c>
      <c r="I38" s="50">
        <v>5</v>
      </c>
      <c r="J38" s="50">
        <v>6</v>
      </c>
      <c r="K38" s="50">
        <v>0</v>
      </c>
      <c r="L38" s="50">
        <v>0</v>
      </c>
      <c r="M38" s="50">
        <v>175</v>
      </c>
      <c r="N38" s="50">
        <v>0</v>
      </c>
      <c r="O38" s="15">
        <f t="shared" si="0"/>
        <v>69</v>
      </c>
      <c r="P38" s="15">
        <f t="shared" si="1"/>
        <v>244</v>
      </c>
      <c r="R38" s="28" t="s">
        <v>86</v>
      </c>
      <c r="S38" s="16">
        <f t="shared" ref="S38:AF38" si="30">SUM(S13:S18)</f>
        <v>815</v>
      </c>
      <c r="T38" s="16">
        <f t="shared" si="30"/>
        <v>158</v>
      </c>
      <c r="U38" s="16">
        <f t="shared" si="30"/>
        <v>109</v>
      </c>
      <c r="V38" s="16">
        <f t="shared" si="30"/>
        <v>394</v>
      </c>
      <c r="W38" s="16">
        <f t="shared" si="30"/>
        <v>7</v>
      </c>
      <c r="X38" s="16">
        <f t="shared" si="30"/>
        <v>0</v>
      </c>
      <c r="Y38" s="16">
        <f t="shared" si="30"/>
        <v>164</v>
      </c>
      <c r="Z38" s="16">
        <f t="shared" si="30"/>
        <v>159</v>
      </c>
      <c r="AA38" s="16">
        <f t="shared" si="30"/>
        <v>20</v>
      </c>
      <c r="AB38" s="16">
        <f t="shared" si="30"/>
        <v>18</v>
      </c>
      <c r="AC38" s="16">
        <f t="shared" si="30"/>
        <v>6251</v>
      </c>
      <c r="AD38" s="16">
        <f t="shared" si="30"/>
        <v>2</v>
      </c>
      <c r="AE38" s="32">
        <f t="shared" si="30"/>
        <v>1846</v>
      </c>
      <c r="AF38" s="32">
        <f t="shared" si="30"/>
        <v>8097</v>
      </c>
    </row>
    <row r="39" spans="2:32" ht="23.1" customHeight="1" x14ac:dyDescent="0.25">
      <c r="B39" s="46" t="s">
        <v>66</v>
      </c>
      <c r="C39" s="50">
        <v>47</v>
      </c>
      <c r="D39" s="50">
        <v>11</v>
      </c>
      <c r="E39" s="50">
        <v>5</v>
      </c>
      <c r="F39" s="50">
        <v>11</v>
      </c>
      <c r="G39" s="50">
        <v>0</v>
      </c>
      <c r="H39" s="50">
        <v>0</v>
      </c>
      <c r="I39" s="50">
        <v>7</v>
      </c>
      <c r="J39" s="50">
        <v>4</v>
      </c>
      <c r="K39" s="50">
        <v>0</v>
      </c>
      <c r="L39" s="50">
        <v>1</v>
      </c>
      <c r="M39" s="50">
        <v>250</v>
      </c>
      <c r="N39" s="50">
        <v>0</v>
      </c>
      <c r="O39" s="15">
        <f t="shared" si="0"/>
        <v>86</v>
      </c>
      <c r="P39" s="15">
        <f t="shared" si="1"/>
        <v>336</v>
      </c>
      <c r="R39" s="29" t="s">
        <v>87</v>
      </c>
      <c r="S39" s="16">
        <f t="shared" ref="S39:AF39" si="31">SUM(S19:S21)</f>
        <v>583</v>
      </c>
      <c r="T39" s="16">
        <f t="shared" si="31"/>
        <v>92</v>
      </c>
      <c r="U39" s="16">
        <f t="shared" si="31"/>
        <v>40</v>
      </c>
      <c r="V39" s="16">
        <f t="shared" si="31"/>
        <v>179</v>
      </c>
      <c r="W39" s="16">
        <f t="shared" si="31"/>
        <v>3</v>
      </c>
      <c r="X39" s="16">
        <f t="shared" si="31"/>
        <v>1</v>
      </c>
      <c r="Y39" s="16">
        <f t="shared" si="31"/>
        <v>75</v>
      </c>
      <c r="Z39" s="16">
        <f t="shared" si="31"/>
        <v>56</v>
      </c>
      <c r="AA39" s="16">
        <f t="shared" si="31"/>
        <v>6</v>
      </c>
      <c r="AB39" s="16">
        <f t="shared" si="31"/>
        <v>5</v>
      </c>
      <c r="AC39" s="16">
        <f t="shared" si="31"/>
        <v>2465</v>
      </c>
      <c r="AD39" s="16">
        <f t="shared" si="31"/>
        <v>0</v>
      </c>
      <c r="AE39" s="32">
        <f t="shared" si="31"/>
        <v>1040</v>
      </c>
      <c r="AF39" s="32">
        <f t="shared" si="31"/>
        <v>3505</v>
      </c>
    </row>
    <row r="40" spans="2:32" ht="23.1" customHeight="1" x14ac:dyDescent="0.25">
      <c r="B40" s="46" t="s">
        <v>67</v>
      </c>
      <c r="C40" s="50">
        <v>31</v>
      </c>
      <c r="D40" s="50">
        <v>11</v>
      </c>
      <c r="E40" s="50">
        <v>7</v>
      </c>
      <c r="F40" s="50">
        <v>13</v>
      </c>
      <c r="G40" s="50">
        <v>0</v>
      </c>
      <c r="H40" s="50">
        <v>0</v>
      </c>
      <c r="I40" s="50">
        <v>9</v>
      </c>
      <c r="J40" s="50">
        <v>8</v>
      </c>
      <c r="K40" s="50">
        <v>0</v>
      </c>
      <c r="L40" s="50">
        <v>0</v>
      </c>
      <c r="M40" s="50">
        <v>310</v>
      </c>
      <c r="N40" s="50">
        <v>0</v>
      </c>
      <c r="O40" s="15">
        <f t="shared" si="0"/>
        <v>79</v>
      </c>
      <c r="P40" s="15">
        <f t="shared" si="1"/>
        <v>389</v>
      </c>
      <c r="R40" s="5" t="s">
        <v>17</v>
      </c>
      <c r="S40" s="16">
        <f t="shared" ref="S40:AF40" si="32">SUM(S10:S21)</f>
        <v>1650</v>
      </c>
      <c r="T40" s="16">
        <f t="shared" si="32"/>
        <v>290</v>
      </c>
      <c r="U40" s="16">
        <f t="shared" si="32"/>
        <v>180</v>
      </c>
      <c r="V40" s="16">
        <f t="shared" si="32"/>
        <v>778</v>
      </c>
      <c r="W40" s="16">
        <f t="shared" si="32"/>
        <v>41</v>
      </c>
      <c r="X40" s="16">
        <f t="shared" si="32"/>
        <v>4</v>
      </c>
      <c r="Y40" s="16">
        <f t="shared" si="32"/>
        <v>282</v>
      </c>
      <c r="Z40" s="16">
        <f t="shared" si="32"/>
        <v>252</v>
      </c>
      <c r="AA40" s="16">
        <f t="shared" si="32"/>
        <v>35</v>
      </c>
      <c r="AB40" s="16">
        <f t="shared" si="32"/>
        <v>27</v>
      </c>
      <c r="AC40" s="16">
        <f t="shared" si="32"/>
        <v>11421</v>
      </c>
      <c r="AD40" s="16">
        <f t="shared" si="32"/>
        <v>2</v>
      </c>
      <c r="AE40" s="32">
        <f t="shared" si="32"/>
        <v>3541</v>
      </c>
      <c r="AF40" s="32">
        <f t="shared" si="32"/>
        <v>14962</v>
      </c>
    </row>
    <row r="41" spans="2:32" ht="23.1" customHeight="1" x14ac:dyDescent="0.25">
      <c r="B41" s="45" t="s">
        <v>68</v>
      </c>
      <c r="C41" s="50">
        <v>40</v>
      </c>
      <c r="D41" s="50">
        <v>8</v>
      </c>
      <c r="E41" s="50">
        <v>10</v>
      </c>
      <c r="F41" s="50">
        <v>9</v>
      </c>
      <c r="G41" s="50">
        <v>0</v>
      </c>
      <c r="H41" s="50">
        <v>0</v>
      </c>
      <c r="I41" s="50">
        <v>3</v>
      </c>
      <c r="J41" s="50">
        <v>5</v>
      </c>
      <c r="K41" s="50">
        <v>0</v>
      </c>
      <c r="L41" s="50">
        <v>0</v>
      </c>
      <c r="M41" s="50">
        <v>235</v>
      </c>
      <c r="N41" s="50">
        <v>0</v>
      </c>
      <c r="O41" s="15">
        <f t="shared" si="0"/>
        <v>75</v>
      </c>
      <c r="P41" s="15">
        <f t="shared" si="1"/>
        <v>310</v>
      </c>
      <c r="R41" s="5" t="s">
        <v>159</v>
      </c>
      <c r="S41" s="16">
        <f>SUM(S10:S33)</f>
        <v>2715</v>
      </c>
      <c r="T41" s="16">
        <f t="shared" ref="T41:AF41" si="33">SUM(T10:T33)</f>
        <v>448</v>
      </c>
      <c r="U41" s="16">
        <f t="shared" si="33"/>
        <v>251</v>
      </c>
      <c r="V41" s="16">
        <f t="shared" si="33"/>
        <v>1368</v>
      </c>
      <c r="W41" s="16">
        <f t="shared" si="33"/>
        <v>53</v>
      </c>
      <c r="X41" s="16">
        <f t="shared" si="33"/>
        <v>7</v>
      </c>
      <c r="Y41" s="16">
        <f t="shared" si="33"/>
        <v>365</v>
      </c>
      <c r="Z41" s="16">
        <f t="shared" si="33"/>
        <v>314</v>
      </c>
      <c r="AA41" s="16">
        <f t="shared" si="33"/>
        <v>49</v>
      </c>
      <c r="AB41" s="16">
        <f t="shared" si="33"/>
        <v>36</v>
      </c>
      <c r="AC41" s="16">
        <f t="shared" si="33"/>
        <v>14471</v>
      </c>
      <c r="AD41" s="16">
        <f t="shared" si="33"/>
        <v>2</v>
      </c>
      <c r="AE41" s="32">
        <f t="shared" si="33"/>
        <v>5608</v>
      </c>
      <c r="AF41" s="32">
        <f t="shared" si="33"/>
        <v>20079</v>
      </c>
    </row>
    <row r="42" spans="2:32" ht="23.1" customHeight="1" x14ac:dyDescent="0.25">
      <c r="B42" s="46" t="s">
        <v>69</v>
      </c>
      <c r="C42" s="50">
        <v>35</v>
      </c>
      <c r="D42" s="50">
        <v>4</v>
      </c>
      <c r="E42" s="50">
        <v>2</v>
      </c>
      <c r="F42" s="50">
        <v>18</v>
      </c>
      <c r="G42" s="50">
        <v>0</v>
      </c>
      <c r="H42" s="50">
        <v>0</v>
      </c>
      <c r="I42" s="50">
        <v>7</v>
      </c>
      <c r="J42" s="50">
        <v>6</v>
      </c>
      <c r="K42" s="50">
        <v>0</v>
      </c>
      <c r="L42" s="50">
        <v>0</v>
      </c>
      <c r="M42" s="50">
        <v>125</v>
      </c>
      <c r="N42" s="50">
        <v>0</v>
      </c>
      <c r="O42" s="15">
        <f t="shared" si="0"/>
        <v>72</v>
      </c>
      <c r="P42" s="15">
        <f t="shared" si="1"/>
        <v>197</v>
      </c>
      <c r="R42" s="5" t="s">
        <v>160</v>
      </c>
      <c r="S42" s="48">
        <f>S41/S40</f>
        <v>1.6454545454545455</v>
      </c>
      <c r="T42" s="48">
        <f t="shared" ref="T42:AF42" si="34">T41/T40</f>
        <v>1.5448275862068965</v>
      </c>
      <c r="U42" s="48">
        <f t="shared" si="34"/>
        <v>1.3944444444444444</v>
      </c>
      <c r="V42" s="48">
        <f t="shared" si="34"/>
        <v>1.7583547557840618</v>
      </c>
      <c r="W42" s="48">
        <f t="shared" si="34"/>
        <v>1.2926829268292683</v>
      </c>
      <c r="X42" s="48">
        <f t="shared" si="34"/>
        <v>1.75</v>
      </c>
      <c r="Y42" s="48">
        <f t="shared" si="34"/>
        <v>1.2943262411347518</v>
      </c>
      <c r="Z42" s="48">
        <f t="shared" si="34"/>
        <v>1.246031746031746</v>
      </c>
      <c r="AA42" s="48">
        <f t="shared" si="34"/>
        <v>1.4</v>
      </c>
      <c r="AB42" s="48">
        <f t="shared" si="34"/>
        <v>1.3333333333333333</v>
      </c>
      <c r="AC42" s="48">
        <f t="shared" si="34"/>
        <v>1.2670519218982577</v>
      </c>
      <c r="AD42" s="48">
        <f t="shared" si="34"/>
        <v>1</v>
      </c>
      <c r="AE42" s="48">
        <f t="shared" si="34"/>
        <v>1.5837334086416266</v>
      </c>
      <c r="AF42" s="48">
        <f t="shared" si="34"/>
        <v>1.341999732656062</v>
      </c>
    </row>
    <row r="43" spans="2:32" ht="23.1" customHeight="1" x14ac:dyDescent="0.25">
      <c r="B43" s="45" t="s">
        <v>70</v>
      </c>
      <c r="C43" s="50">
        <v>28</v>
      </c>
      <c r="D43" s="50">
        <v>7</v>
      </c>
      <c r="E43" s="50">
        <v>4</v>
      </c>
      <c r="F43" s="50">
        <v>12</v>
      </c>
      <c r="G43" s="50">
        <v>0</v>
      </c>
      <c r="H43" s="50">
        <v>0</v>
      </c>
      <c r="I43" s="50">
        <v>2</v>
      </c>
      <c r="J43" s="50">
        <v>8</v>
      </c>
      <c r="K43" s="50">
        <v>3</v>
      </c>
      <c r="L43" s="50">
        <v>0</v>
      </c>
      <c r="M43" s="50">
        <v>350</v>
      </c>
      <c r="N43" s="50">
        <v>0</v>
      </c>
      <c r="O43" s="15">
        <f t="shared" si="0"/>
        <v>64</v>
      </c>
      <c r="P43" s="15">
        <f t="shared" si="1"/>
        <v>414</v>
      </c>
    </row>
    <row r="44" spans="2:32" ht="23.1" customHeight="1" x14ac:dyDescent="0.25">
      <c r="B44" s="47" t="s">
        <v>71</v>
      </c>
      <c r="C44" s="50">
        <v>52</v>
      </c>
      <c r="D44" s="50">
        <v>11</v>
      </c>
      <c r="E44" s="50">
        <v>7</v>
      </c>
      <c r="F44" s="50">
        <v>18</v>
      </c>
      <c r="G44" s="50">
        <v>0</v>
      </c>
      <c r="H44" s="50">
        <v>0</v>
      </c>
      <c r="I44" s="50">
        <v>6</v>
      </c>
      <c r="J44" s="50">
        <v>10</v>
      </c>
      <c r="K44" s="50">
        <v>2</v>
      </c>
      <c r="L44" s="50">
        <v>2</v>
      </c>
      <c r="M44" s="50">
        <v>320</v>
      </c>
      <c r="N44" s="50">
        <v>0</v>
      </c>
      <c r="O44" s="15">
        <f t="shared" si="0"/>
        <v>108</v>
      </c>
      <c r="P44" s="15">
        <f t="shared" si="1"/>
        <v>428</v>
      </c>
    </row>
    <row r="45" spans="2:32" ht="23.1" customHeight="1" x14ac:dyDescent="0.25">
      <c r="B45" s="45" t="s">
        <v>72</v>
      </c>
      <c r="C45" s="50">
        <v>45</v>
      </c>
      <c r="D45" s="50">
        <v>8</v>
      </c>
      <c r="E45" s="50">
        <v>7</v>
      </c>
      <c r="F45" s="50">
        <v>18</v>
      </c>
      <c r="G45" s="50">
        <v>1</v>
      </c>
      <c r="H45" s="50">
        <v>0</v>
      </c>
      <c r="I45" s="50">
        <v>8</v>
      </c>
      <c r="J45" s="50">
        <v>7</v>
      </c>
      <c r="K45" s="50">
        <v>1</v>
      </c>
      <c r="L45" s="50">
        <v>0</v>
      </c>
      <c r="M45" s="50">
        <v>285</v>
      </c>
      <c r="N45" s="50">
        <v>0</v>
      </c>
      <c r="O45" s="15">
        <f t="shared" si="0"/>
        <v>95</v>
      </c>
      <c r="P45" s="15">
        <f t="shared" si="1"/>
        <v>380</v>
      </c>
    </row>
    <row r="46" spans="2:32" ht="23.1" customHeight="1" x14ac:dyDescent="0.25">
      <c r="B46" s="46" t="s">
        <v>73</v>
      </c>
      <c r="C46" s="50">
        <v>37</v>
      </c>
      <c r="D46" s="50">
        <v>12</v>
      </c>
      <c r="E46" s="50">
        <v>4</v>
      </c>
      <c r="F46" s="50">
        <v>13</v>
      </c>
      <c r="G46" s="50">
        <v>1</v>
      </c>
      <c r="H46" s="50">
        <v>1</v>
      </c>
      <c r="I46" s="50">
        <v>3</v>
      </c>
      <c r="J46" s="50">
        <v>7</v>
      </c>
      <c r="K46" s="50">
        <v>1</v>
      </c>
      <c r="L46" s="50">
        <v>1</v>
      </c>
      <c r="M46" s="50">
        <v>170</v>
      </c>
      <c r="N46" s="50">
        <v>0</v>
      </c>
      <c r="O46" s="15">
        <f t="shared" si="0"/>
        <v>80</v>
      </c>
      <c r="P46" s="15">
        <f t="shared" si="1"/>
        <v>250</v>
      </c>
      <c r="R46" s="8"/>
      <c r="T46"/>
    </row>
    <row r="47" spans="2:32" ht="23.1" customHeight="1" x14ac:dyDescent="0.25">
      <c r="B47" s="46" t="s">
        <v>74</v>
      </c>
      <c r="C47" s="50">
        <v>80</v>
      </c>
      <c r="D47" s="50">
        <v>9</v>
      </c>
      <c r="E47" s="50">
        <v>2</v>
      </c>
      <c r="F47" s="50">
        <v>15</v>
      </c>
      <c r="G47" s="50">
        <v>0</v>
      </c>
      <c r="H47" s="50">
        <v>0</v>
      </c>
      <c r="I47" s="50">
        <v>5</v>
      </c>
      <c r="J47" s="50">
        <v>8</v>
      </c>
      <c r="K47" s="50">
        <v>0</v>
      </c>
      <c r="L47" s="50">
        <v>0</v>
      </c>
      <c r="M47" s="50">
        <v>275</v>
      </c>
      <c r="N47" s="50">
        <v>0</v>
      </c>
      <c r="O47" s="15">
        <f t="shared" si="0"/>
        <v>119</v>
      </c>
      <c r="P47" s="15">
        <f t="shared" si="1"/>
        <v>394</v>
      </c>
      <c r="R47" s="8"/>
      <c r="T47"/>
    </row>
    <row r="48" spans="2:32" ht="23.1" customHeight="1" x14ac:dyDescent="0.25">
      <c r="B48" s="46" t="s">
        <v>75</v>
      </c>
      <c r="C48" s="50">
        <v>56</v>
      </c>
      <c r="D48" s="50">
        <v>11</v>
      </c>
      <c r="E48" s="50">
        <v>5</v>
      </c>
      <c r="F48" s="50">
        <v>12</v>
      </c>
      <c r="G48" s="50">
        <v>0</v>
      </c>
      <c r="H48" s="50">
        <v>0</v>
      </c>
      <c r="I48" s="50">
        <v>12</v>
      </c>
      <c r="J48" s="50">
        <v>3</v>
      </c>
      <c r="K48" s="50">
        <v>1</v>
      </c>
      <c r="L48" s="50">
        <v>1</v>
      </c>
      <c r="M48" s="50">
        <v>290</v>
      </c>
      <c r="N48" s="50">
        <v>0</v>
      </c>
      <c r="O48" s="15">
        <f t="shared" si="0"/>
        <v>101</v>
      </c>
      <c r="P48" s="15">
        <f t="shared" si="1"/>
        <v>391</v>
      </c>
      <c r="R48" s="8"/>
      <c r="T48"/>
    </row>
    <row r="49" spans="2:20" ht="23.1" customHeight="1" x14ac:dyDescent="0.25">
      <c r="B49" s="45" t="s">
        <v>76</v>
      </c>
      <c r="C49" s="50">
        <v>60</v>
      </c>
      <c r="D49" s="50">
        <v>3</v>
      </c>
      <c r="E49" s="50">
        <v>3</v>
      </c>
      <c r="F49" s="50">
        <v>14</v>
      </c>
      <c r="G49" s="50">
        <v>0</v>
      </c>
      <c r="H49" s="50">
        <v>0</v>
      </c>
      <c r="I49" s="50">
        <v>5</v>
      </c>
      <c r="J49" s="50">
        <v>2</v>
      </c>
      <c r="K49" s="50">
        <v>2</v>
      </c>
      <c r="L49" s="50">
        <v>2</v>
      </c>
      <c r="M49" s="50">
        <v>130</v>
      </c>
      <c r="N49" s="50">
        <v>0</v>
      </c>
      <c r="O49" s="15">
        <f t="shared" si="0"/>
        <v>91</v>
      </c>
      <c r="P49" s="15">
        <f t="shared" si="1"/>
        <v>221</v>
      </c>
      <c r="R49" s="8"/>
      <c r="T49"/>
    </row>
    <row r="50" spans="2:20" ht="23.1" customHeight="1" x14ac:dyDescent="0.25">
      <c r="B50" s="46" t="s">
        <v>77</v>
      </c>
      <c r="C50" s="50">
        <v>60</v>
      </c>
      <c r="D50" s="50">
        <v>8</v>
      </c>
      <c r="E50" s="50">
        <v>4</v>
      </c>
      <c r="F50" s="50">
        <v>13</v>
      </c>
      <c r="G50" s="50">
        <v>2</v>
      </c>
      <c r="H50" s="50">
        <v>0</v>
      </c>
      <c r="I50" s="50">
        <v>11</v>
      </c>
      <c r="J50" s="50">
        <v>7</v>
      </c>
      <c r="K50" s="50">
        <v>1</v>
      </c>
      <c r="L50" s="50">
        <v>0</v>
      </c>
      <c r="M50" s="50">
        <v>270</v>
      </c>
      <c r="N50" s="50">
        <v>0</v>
      </c>
      <c r="O50" s="15">
        <f t="shared" si="0"/>
        <v>106</v>
      </c>
      <c r="P50" s="15">
        <f t="shared" si="1"/>
        <v>376</v>
      </c>
      <c r="R50" s="8"/>
      <c r="T50"/>
    </row>
    <row r="51" spans="2:20" ht="23.1" customHeight="1" x14ac:dyDescent="0.25">
      <c r="B51" s="46" t="s">
        <v>78</v>
      </c>
      <c r="C51" s="50">
        <v>42</v>
      </c>
      <c r="D51" s="50">
        <v>6</v>
      </c>
      <c r="E51" s="50">
        <v>3</v>
      </c>
      <c r="F51" s="50">
        <v>9</v>
      </c>
      <c r="G51" s="50">
        <v>0</v>
      </c>
      <c r="H51" s="50">
        <v>0</v>
      </c>
      <c r="I51" s="50">
        <v>7</v>
      </c>
      <c r="J51" s="50">
        <v>1</v>
      </c>
      <c r="K51" s="50">
        <v>0</v>
      </c>
      <c r="L51" s="50">
        <v>0</v>
      </c>
      <c r="M51" s="50">
        <v>225</v>
      </c>
      <c r="N51" s="50">
        <v>0</v>
      </c>
      <c r="O51" s="15">
        <f t="shared" si="0"/>
        <v>68</v>
      </c>
      <c r="P51" s="15">
        <f t="shared" si="1"/>
        <v>293</v>
      </c>
      <c r="R51" s="8"/>
      <c r="T51"/>
    </row>
    <row r="52" spans="2:20" ht="23.1" customHeight="1" x14ac:dyDescent="0.25">
      <c r="B52" s="46" t="s">
        <v>79</v>
      </c>
      <c r="C52" s="50">
        <v>46</v>
      </c>
      <c r="D52" s="50">
        <v>9</v>
      </c>
      <c r="E52" s="50">
        <v>2</v>
      </c>
      <c r="F52" s="50">
        <v>22</v>
      </c>
      <c r="G52" s="50">
        <v>0</v>
      </c>
      <c r="H52" s="50">
        <v>0</v>
      </c>
      <c r="I52" s="50">
        <v>3</v>
      </c>
      <c r="J52" s="50">
        <v>4</v>
      </c>
      <c r="K52" s="50">
        <v>0</v>
      </c>
      <c r="L52" s="50">
        <v>0</v>
      </c>
      <c r="M52" s="50">
        <v>175</v>
      </c>
      <c r="N52" s="50">
        <v>0</v>
      </c>
      <c r="O52" s="15">
        <f t="shared" si="0"/>
        <v>86</v>
      </c>
      <c r="P52" s="15">
        <f t="shared" si="1"/>
        <v>261</v>
      </c>
      <c r="R52" s="8"/>
      <c r="T52"/>
    </row>
    <row r="53" spans="2:20" ht="23.1" customHeight="1" x14ac:dyDescent="0.25">
      <c r="B53" s="45" t="s">
        <v>80</v>
      </c>
      <c r="C53" s="50">
        <v>44</v>
      </c>
      <c r="D53" s="50">
        <v>7</v>
      </c>
      <c r="E53" s="50">
        <v>5</v>
      </c>
      <c r="F53" s="50">
        <v>17</v>
      </c>
      <c r="G53" s="50">
        <v>0</v>
      </c>
      <c r="H53" s="50">
        <v>0</v>
      </c>
      <c r="I53" s="50">
        <v>2</v>
      </c>
      <c r="J53" s="50">
        <v>3</v>
      </c>
      <c r="K53" s="50">
        <v>0</v>
      </c>
      <c r="L53" s="50">
        <v>0</v>
      </c>
      <c r="M53" s="50">
        <v>180</v>
      </c>
      <c r="N53" s="50">
        <v>0</v>
      </c>
      <c r="O53" s="15">
        <f t="shared" si="0"/>
        <v>78</v>
      </c>
      <c r="P53" s="15">
        <f t="shared" si="1"/>
        <v>258</v>
      </c>
      <c r="R53" s="8"/>
      <c r="T53"/>
    </row>
    <row r="54" spans="2:20" ht="23.1" customHeight="1" x14ac:dyDescent="0.25">
      <c r="B54" s="45" t="s">
        <v>81</v>
      </c>
      <c r="C54" s="50">
        <v>27</v>
      </c>
      <c r="D54" s="50">
        <v>3</v>
      </c>
      <c r="E54" s="50">
        <v>2</v>
      </c>
      <c r="F54" s="50">
        <v>13</v>
      </c>
      <c r="G54" s="50">
        <v>0</v>
      </c>
      <c r="H54" s="50">
        <v>0</v>
      </c>
      <c r="I54" s="50">
        <v>7</v>
      </c>
      <c r="J54" s="50">
        <v>4</v>
      </c>
      <c r="K54" s="50">
        <v>0</v>
      </c>
      <c r="L54" s="50">
        <v>0</v>
      </c>
      <c r="M54" s="50">
        <v>135</v>
      </c>
      <c r="N54" s="50">
        <v>0</v>
      </c>
      <c r="O54" s="15">
        <f t="shared" si="0"/>
        <v>56</v>
      </c>
      <c r="P54" s="15">
        <f t="shared" si="1"/>
        <v>191</v>
      </c>
      <c r="R54" s="8"/>
      <c r="T54"/>
    </row>
    <row r="55" spans="2:20" ht="23.1" customHeight="1" x14ac:dyDescent="0.25">
      <c r="B55" s="45" t="s">
        <v>82</v>
      </c>
      <c r="C55" s="50">
        <v>38</v>
      </c>
      <c r="D55" s="50">
        <v>8</v>
      </c>
      <c r="E55" s="50">
        <v>4</v>
      </c>
      <c r="F55" s="50">
        <v>9</v>
      </c>
      <c r="G55" s="50">
        <v>0</v>
      </c>
      <c r="H55" s="50">
        <v>0</v>
      </c>
      <c r="I55" s="50">
        <v>10</v>
      </c>
      <c r="J55" s="50">
        <v>5</v>
      </c>
      <c r="K55" s="50">
        <v>0</v>
      </c>
      <c r="L55" s="50">
        <v>1</v>
      </c>
      <c r="M55" s="50">
        <v>170</v>
      </c>
      <c r="N55" s="50">
        <v>0</v>
      </c>
      <c r="O55" s="15">
        <f t="shared" si="0"/>
        <v>75</v>
      </c>
      <c r="P55" s="15">
        <f t="shared" si="1"/>
        <v>245</v>
      </c>
      <c r="R55" s="8"/>
      <c r="T55"/>
    </row>
    <row r="56" spans="2:20" ht="23.1" customHeight="1" x14ac:dyDescent="0.25">
      <c r="B56" s="45" t="s">
        <v>83</v>
      </c>
      <c r="C56" s="50">
        <v>41</v>
      </c>
      <c r="D56" s="50">
        <v>5</v>
      </c>
      <c r="E56" s="50">
        <v>2</v>
      </c>
      <c r="F56" s="50">
        <v>12</v>
      </c>
      <c r="G56" s="50">
        <v>0</v>
      </c>
      <c r="H56" s="50">
        <v>0</v>
      </c>
      <c r="I56" s="50">
        <v>7</v>
      </c>
      <c r="J56" s="50">
        <v>8</v>
      </c>
      <c r="K56" s="50">
        <v>0</v>
      </c>
      <c r="L56" s="50">
        <v>0</v>
      </c>
      <c r="M56" s="50">
        <v>265</v>
      </c>
      <c r="N56" s="50">
        <v>0</v>
      </c>
      <c r="O56" s="15">
        <f t="shared" si="0"/>
        <v>75</v>
      </c>
      <c r="P56" s="15">
        <f t="shared" si="1"/>
        <v>340</v>
      </c>
      <c r="R56" s="8"/>
      <c r="T56"/>
    </row>
    <row r="57" spans="2:20" ht="23.1" customHeight="1" x14ac:dyDescent="0.25">
      <c r="B57" s="45" t="s">
        <v>84</v>
      </c>
      <c r="C57" s="50">
        <v>52</v>
      </c>
      <c r="D57" s="50">
        <v>11</v>
      </c>
      <c r="E57" s="50">
        <v>4</v>
      </c>
      <c r="F57" s="50">
        <v>30</v>
      </c>
      <c r="G57" s="50">
        <v>0</v>
      </c>
      <c r="H57" s="50">
        <v>0</v>
      </c>
      <c r="I57" s="50">
        <v>3</v>
      </c>
      <c r="J57" s="50">
        <v>4</v>
      </c>
      <c r="K57" s="50">
        <v>1</v>
      </c>
      <c r="L57" s="50">
        <v>0</v>
      </c>
      <c r="M57" s="50">
        <v>180</v>
      </c>
      <c r="N57" s="50">
        <v>0</v>
      </c>
      <c r="O57" s="15">
        <f t="shared" si="0"/>
        <v>105</v>
      </c>
      <c r="P57" s="15">
        <f t="shared" si="1"/>
        <v>285</v>
      </c>
      <c r="R57" s="8"/>
      <c r="T57"/>
    </row>
    <row r="58" spans="2:20" ht="23.1" customHeight="1" x14ac:dyDescent="0.25">
      <c r="B58" s="45" t="s">
        <v>99</v>
      </c>
      <c r="C58" s="50">
        <v>83</v>
      </c>
      <c r="D58" s="50">
        <v>10</v>
      </c>
      <c r="E58" s="50">
        <v>3</v>
      </c>
      <c r="F58" s="50">
        <v>36</v>
      </c>
      <c r="G58" s="50">
        <v>0</v>
      </c>
      <c r="H58" s="50">
        <v>0</v>
      </c>
      <c r="I58" s="50">
        <v>6</v>
      </c>
      <c r="J58" s="50">
        <v>5</v>
      </c>
      <c r="K58" s="50">
        <v>0</v>
      </c>
      <c r="L58" s="50">
        <v>1</v>
      </c>
      <c r="M58" s="50">
        <v>290</v>
      </c>
      <c r="N58" s="50">
        <v>0</v>
      </c>
      <c r="O58" s="15">
        <f t="shared" ref="O58:O105" si="35">SUM(C58:L58,N58)</f>
        <v>144</v>
      </c>
      <c r="P58" s="15">
        <f t="shared" ref="P58:P105" si="36">SUM(C58:N58)</f>
        <v>434</v>
      </c>
      <c r="R58" s="8"/>
      <c r="T58"/>
    </row>
    <row r="59" spans="2:20" ht="23.1" customHeight="1" x14ac:dyDescent="0.25">
      <c r="B59" s="45" t="s">
        <v>100</v>
      </c>
      <c r="C59" s="50">
        <v>50</v>
      </c>
      <c r="D59" s="50">
        <v>4</v>
      </c>
      <c r="E59" s="50">
        <v>2</v>
      </c>
      <c r="F59" s="50">
        <v>28</v>
      </c>
      <c r="G59" s="50">
        <v>0</v>
      </c>
      <c r="H59" s="50">
        <v>1</v>
      </c>
      <c r="I59" s="50">
        <v>5</v>
      </c>
      <c r="J59" s="50">
        <v>3</v>
      </c>
      <c r="K59" s="50">
        <v>1</v>
      </c>
      <c r="L59" s="50">
        <v>0</v>
      </c>
      <c r="M59" s="50">
        <v>273</v>
      </c>
      <c r="N59" s="50">
        <v>0</v>
      </c>
      <c r="O59" s="15">
        <f t="shared" si="35"/>
        <v>94</v>
      </c>
      <c r="P59" s="15">
        <f t="shared" si="36"/>
        <v>367</v>
      </c>
      <c r="R59" s="8"/>
      <c r="T59"/>
    </row>
    <row r="60" spans="2:20" ht="23.1" customHeight="1" x14ac:dyDescent="0.25">
      <c r="B60" s="45" t="s">
        <v>101</v>
      </c>
      <c r="C60" s="50">
        <v>105</v>
      </c>
      <c r="D60" s="50">
        <v>19</v>
      </c>
      <c r="E60" s="50">
        <v>13</v>
      </c>
      <c r="F60" s="50">
        <v>58</v>
      </c>
      <c r="G60" s="50">
        <v>5</v>
      </c>
      <c r="H60" s="50">
        <v>0</v>
      </c>
      <c r="I60" s="50">
        <v>7</v>
      </c>
      <c r="J60" s="50">
        <v>4</v>
      </c>
      <c r="K60" s="50">
        <v>0</v>
      </c>
      <c r="L60" s="50">
        <v>0</v>
      </c>
      <c r="M60" s="50">
        <v>315</v>
      </c>
      <c r="N60" s="50">
        <v>0</v>
      </c>
      <c r="O60" s="15">
        <f t="shared" si="35"/>
        <v>211</v>
      </c>
      <c r="P60" s="15">
        <f t="shared" si="36"/>
        <v>526</v>
      </c>
      <c r="R60" s="8"/>
      <c r="T60"/>
    </row>
    <row r="61" spans="2:20" ht="23.1" customHeight="1" x14ac:dyDescent="0.25">
      <c r="B61" s="45" t="s">
        <v>102</v>
      </c>
      <c r="C61" s="50">
        <v>80</v>
      </c>
      <c r="D61" s="50">
        <v>5</v>
      </c>
      <c r="E61" s="50">
        <v>6</v>
      </c>
      <c r="F61" s="50">
        <v>90</v>
      </c>
      <c r="G61" s="50">
        <v>0</v>
      </c>
      <c r="H61" s="50">
        <v>0</v>
      </c>
      <c r="I61" s="50">
        <v>3</v>
      </c>
      <c r="J61" s="50">
        <v>0</v>
      </c>
      <c r="K61" s="50">
        <v>1</v>
      </c>
      <c r="L61" s="50">
        <v>0</v>
      </c>
      <c r="M61" s="50">
        <v>50</v>
      </c>
      <c r="N61" s="50">
        <v>0</v>
      </c>
      <c r="O61" s="15">
        <f t="shared" si="35"/>
        <v>185</v>
      </c>
      <c r="P61" s="15">
        <f t="shared" si="36"/>
        <v>235</v>
      </c>
      <c r="R61" s="8"/>
      <c r="T61"/>
    </row>
    <row r="62" spans="2:20" ht="23.1" customHeight="1" x14ac:dyDescent="0.25">
      <c r="B62" s="45" t="s">
        <v>107</v>
      </c>
      <c r="C62" s="50">
        <v>80</v>
      </c>
      <c r="D62" s="50">
        <v>43</v>
      </c>
      <c r="E62" s="50">
        <v>7</v>
      </c>
      <c r="F62" s="50">
        <v>60</v>
      </c>
      <c r="G62" s="50">
        <v>0</v>
      </c>
      <c r="H62" s="50">
        <v>0</v>
      </c>
      <c r="I62" s="50">
        <v>7</v>
      </c>
      <c r="J62" s="50">
        <v>11</v>
      </c>
      <c r="K62" s="50">
        <v>2</v>
      </c>
      <c r="L62" s="50">
        <v>0</v>
      </c>
      <c r="M62" s="50">
        <v>315</v>
      </c>
      <c r="N62" s="50">
        <v>0</v>
      </c>
      <c r="O62" s="15">
        <f t="shared" si="35"/>
        <v>210</v>
      </c>
      <c r="P62" s="15">
        <f t="shared" si="36"/>
        <v>525</v>
      </c>
      <c r="R62" s="8"/>
      <c r="T62"/>
    </row>
    <row r="63" spans="2:20" ht="23.1" customHeight="1" x14ac:dyDescent="0.25">
      <c r="B63" s="45" t="s">
        <v>108</v>
      </c>
      <c r="C63" s="50">
        <v>30</v>
      </c>
      <c r="D63" s="50">
        <v>0</v>
      </c>
      <c r="E63" s="50">
        <v>2</v>
      </c>
      <c r="F63" s="50">
        <v>23</v>
      </c>
      <c r="G63" s="50">
        <v>0</v>
      </c>
      <c r="H63" s="50">
        <v>0</v>
      </c>
      <c r="I63" s="50">
        <v>0</v>
      </c>
      <c r="J63" s="50">
        <v>1</v>
      </c>
      <c r="K63" s="50">
        <v>0</v>
      </c>
      <c r="L63" s="50">
        <v>0</v>
      </c>
      <c r="M63" s="50">
        <v>290</v>
      </c>
      <c r="N63" s="50">
        <v>0</v>
      </c>
      <c r="O63" s="15">
        <f t="shared" si="35"/>
        <v>56</v>
      </c>
      <c r="P63" s="15">
        <f t="shared" si="36"/>
        <v>346</v>
      </c>
      <c r="R63" s="8"/>
      <c r="T63"/>
    </row>
    <row r="64" spans="2:20" ht="23.1" customHeight="1" x14ac:dyDescent="0.25">
      <c r="B64" s="45" t="s">
        <v>109</v>
      </c>
      <c r="C64" s="50">
        <v>45</v>
      </c>
      <c r="D64" s="50">
        <v>2</v>
      </c>
      <c r="E64" s="50">
        <v>3</v>
      </c>
      <c r="F64" s="50">
        <v>35</v>
      </c>
      <c r="G64" s="50">
        <v>0</v>
      </c>
      <c r="H64" s="50">
        <v>0</v>
      </c>
      <c r="I64" s="50">
        <v>3</v>
      </c>
      <c r="J64" s="50">
        <v>2</v>
      </c>
      <c r="K64" s="50">
        <v>1</v>
      </c>
      <c r="L64" s="50">
        <v>0</v>
      </c>
      <c r="M64" s="50">
        <v>265</v>
      </c>
      <c r="N64" s="50">
        <v>0</v>
      </c>
      <c r="O64" s="15">
        <f t="shared" si="35"/>
        <v>91</v>
      </c>
      <c r="P64" s="15">
        <f t="shared" si="36"/>
        <v>356</v>
      </c>
      <c r="R64" s="8"/>
      <c r="T64"/>
    </row>
    <row r="65" spans="2:20" ht="23.1" customHeight="1" x14ac:dyDescent="0.25">
      <c r="B65" s="45" t="s">
        <v>158</v>
      </c>
      <c r="C65" s="50">
        <v>60</v>
      </c>
      <c r="D65" s="50">
        <v>6</v>
      </c>
      <c r="E65" s="50">
        <v>2</v>
      </c>
      <c r="F65" s="50">
        <v>26</v>
      </c>
      <c r="G65" s="50">
        <v>0</v>
      </c>
      <c r="H65" s="50">
        <v>0</v>
      </c>
      <c r="I65" s="50">
        <v>6</v>
      </c>
      <c r="J65" s="50">
        <v>4</v>
      </c>
      <c r="K65" s="50">
        <v>0</v>
      </c>
      <c r="L65" s="50">
        <v>0</v>
      </c>
      <c r="M65" s="50">
        <v>140</v>
      </c>
      <c r="N65" s="50">
        <v>0</v>
      </c>
      <c r="O65" s="15">
        <f t="shared" si="35"/>
        <v>104</v>
      </c>
      <c r="P65" s="15">
        <f t="shared" si="36"/>
        <v>244</v>
      </c>
      <c r="R65" s="8"/>
      <c r="T65"/>
    </row>
    <row r="66" spans="2:20" ht="23.1" customHeight="1" x14ac:dyDescent="0.25">
      <c r="B66" s="45" t="s">
        <v>103</v>
      </c>
      <c r="C66" s="50">
        <v>60</v>
      </c>
      <c r="D66" s="50">
        <v>4</v>
      </c>
      <c r="E66" s="50">
        <v>5</v>
      </c>
      <c r="F66" s="50">
        <v>52</v>
      </c>
      <c r="G66" s="50">
        <v>1</v>
      </c>
      <c r="H66" s="50">
        <v>0</v>
      </c>
      <c r="I66" s="50">
        <v>4</v>
      </c>
      <c r="J66" s="50">
        <v>3</v>
      </c>
      <c r="K66" s="50">
        <v>0</v>
      </c>
      <c r="L66" s="50">
        <v>1</v>
      </c>
      <c r="M66" s="50">
        <v>220</v>
      </c>
      <c r="N66" s="50">
        <v>0</v>
      </c>
      <c r="O66" s="15">
        <f t="shared" si="35"/>
        <v>130</v>
      </c>
      <c r="P66" s="15">
        <f t="shared" si="36"/>
        <v>350</v>
      </c>
      <c r="R66" s="8"/>
      <c r="T66"/>
    </row>
    <row r="67" spans="2:20" ht="23.1" customHeight="1" x14ac:dyDescent="0.25">
      <c r="B67" s="45" t="s">
        <v>104</v>
      </c>
      <c r="C67" s="50">
        <v>43</v>
      </c>
      <c r="D67" s="50">
        <v>5</v>
      </c>
      <c r="E67" s="50">
        <v>3</v>
      </c>
      <c r="F67" s="50">
        <v>35</v>
      </c>
      <c r="G67" s="50">
        <v>1</v>
      </c>
      <c r="H67" s="50">
        <v>0</v>
      </c>
      <c r="I67" s="50">
        <v>3</v>
      </c>
      <c r="J67" s="50">
        <v>1</v>
      </c>
      <c r="K67" s="50">
        <v>1</v>
      </c>
      <c r="L67" s="50">
        <v>0</v>
      </c>
      <c r="M67" s="50">
        <v>135</v>
      </c>
      <c r="N67" s="50">
        <v>0</v>
      </c>
      <c r="O67" s="15">
        <f t="shared" si="35"/>
        <v>92</v>
      </c>
      <c r="P67" s="15">
        <f t="shared" si="36"/>
        <v>227</v>
      </c>
      <c r="R67" s="8"/>
      <c r="T67"/>
    </row>
    <row r="68" spans="2:20" ht="23.1" customHeight="1" x14ac:dyDescent="0.25">
      <c r="B68" s="45" t="s">
        <v>105</v>
      </c>
      <c r="C68" s="50">
        <v>41</v>
      </c>
      <c r="D68" s="50">
        <v>4</v>
      </c>
      <c r="E68" s="50">
        <v>1</v>
      </c>
      <c r="F68" s="50">
        <v>30</v>
      </c>
      <c r="G68" s="50">
        <v>1</v>
      </c>
      <c r="H68" s="50">
        <v>0</v>
      </c>
      <c r="I68" s="50">
        <v>2</v>
      </c>
      <c r="J68" s="50">
        <v>1</v>
      </c>
      <c r="K68" s="50">
        <v>1</v>
      </c>
      <c r="L68" s="50">
        <v>1</v>
      </c>
      <c r="M68" s="50">
        <v>120</v>
      </c>
      <c r="N68" s="50">
        <v>0</v>
      </c>
      <c r="O68" s="15">
        <f t="shared" si="35"/>
        <v>82</v>
      </c>
      <c r="P68" s="15">
        <f t="shared" si="36"/>
        <v>202</v>
      </c>
      <c r="R68" s="8"/>
      <c r="T68"/>
    </row>
    <row r="69" spans="2:20" ht="23.1" customHeight="1" x14ac:dyDescent="0.25">
      <c r="B69" s="45" t="s">
        <v>106</v>
      </c>
      <c r="C69" s="50">
        <v>50</v>
      </c>
      <c r="D69" s="50">
        <v>3</v>
      </c>
      <c r="E69" s="50">
        <v>3</v>
      </c>
      <c r="F69" s="50">
        <v>25</v>
      </c>
      <c r="G69" s="50">
        <v>0</v>
      </c>
      <c r="H69" s="50">
        <v>0</v>
      </c>
      <c r="I69" s="50">
        <v>3</v>
      </c>
      <c r="J69" s="50">
        <v>1</v>
      </c>
      <c r="K69" s="50">
        <v>1</v>
      </c>
      <c r="L69" s="50">
        <v>0</v>
      </c>
      <c r="M69" s="50">
        <v>70</v>
      </c>
      <c r="N69" s="50">
        <v>0</v>
      </c>
      <c r="O69" s="15">
        <f t="shared" si="35"/>
        <v>86</v>
      </c>
      <c r="P69" s="15">
        <f t="shared" si="36"/>
        <v>156</v>
      </c>
      <c r="R69" s="8"/>
      <c r="T69"/>
    </row>
    <row r="70" spans="2:20" ht="23.1" customHeight="1" x14ac:dyDescent="0.25">
      <c r="B70" s="45" t="s">
        <v>110</v>
      </c>
      <c r="C70" s="50">
        <v>33</v>
      </c>
      <c r="D70" s="50">
        <v>7</v>
      </c>
      <c r="E70" s="50">
        <v>5</v>
      </c>
      <c r="F70" s="50">
        <v>17</v>
      </c>
      <c r="G70" s="50">
        <v>0</v>
      </c>
      <c r="H70" s="50">
        <v>0</v>
      </c>
      <c r="I70" s="50">
        <v>2</v>
      </c>
      <c r="J70" s="50">
        <v>4</v>
      </c>
      <c r="K70" s="50">
        <v>0</v>
      </c>
      <c r="L70" s="50">
        <v>0</v>
      </c>
      <c r="M70" s="50">
        <v>95</v>
      </c>
      <c r="N70" s="50">
        <v>0</v>
      </c>
      <c r="O70" s="15">
        <f t="shared" si="35"/>
        <v>68</v>
      </c>
      <c r="P70" s="15">
        <f t="shared" si="36"/>
        <v>163</v>
      </c>
      <c r="R70" s="8"/>
      <c r="T70"/>
    </row>
    <row r="71" spans="2:20" ht="23.1" customHeight="1" x14ac:dyDescent="0.25">
      <c r="B71" s="45" t="s">
        <v>111</v>
      </c>
      <c r="C71" s="50">
        <v>25</v>
      </c>
      <c r="D71" s="50">
        <v>4</v>
      </c>
      <c r="E71" s="50">
        <v>1</v>
      </c>
      <c r="F71" s="50">
        <v>6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15</v>
      </c>
      <c r="N71" s="50">
        <v>0</v>
      </c>
      <c r="O71" s="15">
        <f t="shared" si="35"/>
        <v>37</v>
      </c>
      <c r="P71" s="15">
        <f t="shared" si="36"/>
        <v>52</v>
      </c>
      <c r="R71" s="8"/>
      <c r="T71"/>
    </row>
    <row r="72" spans="2:20" ht="23.1" customHeight="1" x14ac:dyDescent="0.25">
      <c r="B72" s="45" t="s">
        <v>112</v>
      </c>
      <c r="C72" s="50">
        <v>21</v>
      </c>
      <c r="D72" s="50">
        <v>3</v>
      </c>
      <c r="E72" s="50">
        <v>0</v>
      </c>
      <c r="F72" s="50">
        <v>4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25</v>
      </c>
      <c r="N72" s="50">
        <v>0</v>
      </c>
      <c r="O72" s="15">
        <f t="shared" si="35"/>
        <v>28</v>
      </c>
      <c r="P72" s="15">
        <f t="shared" si="36"/>
        <v>53</v>
      </c>
      <c r="R72" s="8"/>
      <c r="T72"/>
    </row>
    <row r="73" spans="2:20" ht="23.1" customHeight="1" x14ac:dyDescent="0.25">
      <c r="B73" s="45" t="s">
        <v>113</v>
      </c>
      <c r="C73" s="50">
        <v>31</v>
      </c>
      <c r="D73" s="50">
        <v>3</v>
      </c>
      <c r="E73" s="50">
        <v>2</v>
      </c>
      <c r="F73" s="50">
        <v>10</v>
      </c>
      <c r="G73" s="50">
        <v>0</v>
      </c>
      <c r="H73" s="50">
        <v>0</v>
      </c>
      <c r="I73" s="50">
        <v>0</v>
      </c>
      <c r="J73" s="50">
        <v>3</v>
      </c>
      <c r="K73" s="50">
        <v>0</v>
      </c>
      <c r="L73" s="50">
        <v>0</v>
      </c>
      <c r="M73" s="50">
        <v>59</v>
      </c>
      <c r="N73" s="50">
        <v>0</v>
      </c>
      <c r="O73" s="15">
        <f t="shared" si="35"/>
        <v>49</v>
      </c>
      <c r="P73" s="15">
        <f t="shared" si="36"/>
        <v>108</v>
      </c>
      <c r="R73" s="8"/>
      <c r="T73"/>
    </row>
    <row r="74" spans="2:20" ht="23.1" customHeight="1" x14ac:dyDescent="0.25">
      <c r="B74" s="45" t="s">
        <v>114</v>
      </c>
      <c r="C74" s="50">
        <v>22</v>
      </c>
      <c r="D74" s="50">
        <v>3</v>
      </c>
      <c r="E74" s="50">
        <v>2</v>
      </c>
      <c r="F74" s="50">
        <v>7</v>
      </c>
      <c r="G74" s="50">
        <v>1</v>
      </c>
      <c r="H74" s="50">
        <v>0</v>
      </c>
      <c r="I74" s="50">
        <v>2</v>
      </c>
      <c r="J74" s="50">
        <v>1</v>
      </c>
      <c r="K74" s="50">
        <v>0</v>
      </c>
      <c r="L74" s="50">
        <v>0</v>
      </c>
      <c r="M74" s="50">
        <v>35</v>
      </c>
      <c r="N74" s="50">
        <v>0</v>
      </c>
      <c r="O74" s="15">
        <f t="shared" si="35"/>
        <v>38</v>
      </c>
      <c r="P74" s="15">
        <f t="shared" si="36"/>
        <v>73</v>
      </c>
      <c r="R74" s="8"/>
      <c r="T74"/>
    </row>
    <row r="75" spans="2:20" ht="23.1" customHeight="1" x14ac:dyDescent="0.25">
      <c r="B75" s="45" t="s">
        <v>115</v>
      </c>
      <c r="C75" s="50">
        <v>16</v>
      </c>
      <c r="D75" s="50">
        <v>3</v>
      </c>
      <c r="E75" s="50">
        <v>1</v>
      </c>
      <c r="F75" s="50">
        <v>7</v>
      </c>
      <c r="G75" s="50">
        <v>2</v>
      </c>
      <c r="H75" s="50">
        <v>0</v>
      </c>
      <c r="I75" s="50">
        <v>2</v>
      </c>
      <c r="J75" s="50">
        <v>1</v>
      </c>
      <c r="K75" s="50">
        <v>0</v>
      </c>
      <c r="L75" s="50">
        <v>0</v>
      </c>
      <c r="M75" s="50">
        <v>37</v>
      </c>
      <c r="N75" s="50">
        <v>0</v>
      </c>
      <c r="O75" s="15">
        <f t="shared" si="35"/>
        <v>32</v>
      </c>
      <c r="P75" s="15">
        <f t="shared" si="36"/>
        <v>69</v>
      </c>
      <c r="R75" s="8"/>
      <c r="T75"/>
    </row>
    <row r="76" spans="2:20" ht="23.1" customHeight="1" x14ac:dyDescent="0.25">
      <c r="B76" s="45" t="s">
        <v>116</v>
      </c>
      <c r="C76" s="50">
        <v>24</v>
      </c>
      <c r="D76" s="50">
        <v>2</v>
      </c>
      <c r="E76" s="50">
        <v>0</v>
      </c>
      <c r="F76" s="50">
        <v>3</v>
      </c>
      <c r="G76" s="50">
        <v>0</v>
      </c>
      <c r="H76" s="50">
        <v>0</v>
      </c>
      <c r="I76" s="50">
        <v>1</v>
      </c>
      <c r="J76" s="50">
        <v>2</v>
      </c>
      <c r="K76" s="50">
        <v>0</v>
      </c>
      <c r="L76" s="50">
        <v>1</v>
      </c>
      <c r="M76" s="50">
        <v>41</v>
      </c>
      <c r="N76" s="50">
        <v>0</v>
      </c>
      <c r="O76" s="15">
        <f t="shared" si="35"/>
        <v>33</v>
      </c>
      <c r="P76" s="15">
        <f t="shared" si="36"/>
        <v>74</v>
      </c>
      <c r="R76" s="8"/>
      <c r="T76"/>
    </row>
    <row r="77" spans="2:20" ht="23.1" customHeight="1" x14ac:dyDescent="0.25">
      <c r="B77" s="45" t="s">
        <v>117</v>
      </c>
      <c r="C77" s="50">
        <v>11</v>
      </c>
      <c r="D77" s="50">
        <v>2</v>
      </c>
      <c r="E77" s="50">
        <v>1</v>
      </c>
      <c r="F77" s="50">
        <v>5</v>
      </c>
      <c r="G77" s="50">
        <v>0</v>
      </c>
      <c r="H77" s="50">
        <v>2</v>
      </c>
      <c r="I77" s="50">
        <v>0</v>
      </c>
      <c r="J77" s="50">
        <v>0</v>
      </c>
      <c r="K77" s="50">
        <v>0</v>
      </c>
      <c r="L77" s="50">
        <v>0</v>
      </c>
      <c r="M77" s="50">
        <v>33</v>
      </c>
      <c r="N77" s="50">
        <v>0</v>
      </c>
      <c r="O77" s="15">
        <f t="shared" si="35"/>
        <v>21</v>
      </c>
      <c r="P77" s="15">
        <f t="shared" si="36"/>
        <v>54</v>
      </c>
      <c r="R77" s="8"/>
      <c r="T77"/>
    </row>
    <row r="78" spans="2:20" ht="23.1" customHeight="1" x14ac:dyDescent="0.25">
      <c r="B78" s="46" t="s">
        <v>118</v>
      </c>
      <c r="C78" s="50">
        <v>12</v>
      </c>
      <c r="D78" s="50">
        <v>0</v>
      </c>
      <c r="E78" s="50">
        <v>1</v>
      </c>
      <c r="F78" s="50">
        <v>3</v>
      </c>
      <c r="G78" s="50">
        <v>0</v>
      </c>
      <c r="H78" s="50">
        <v>0</v>
      </c>
      <c r="I78" s="50">
        <v>0</v>
      </c>
      <c r="J78" s="50">
        <v>1</v>
      </c>
      <c r="K78" s="50">
        <v>0</v>
      </c>
      <c r="L78" s="50">
        <v>0</v>
      </c>
      <c r="M78" s="50">
        <v>18</v>
      </c>
      <c r="N78" s="50">
        <v>0</v>
      </c>
      <c r="O78" s="15">
        <f t="shared" si="35"/>
        <v>17</v>
      </c>
      <c r="P78" s="15">
        <f t="shared" si="36"/>
        <v>35</v>
      </c>
      <c r="R78" s="8"/>
      <c r="T78"/>
    </row>
    <row r="79" spans="2:20" ht="23.1" customHeight="1" x14ac:dyDescent="0.25">
      <c r="B79" s="45" t="s">
        <v>119</v>
      </c>
      <c r="C79" s="50">
        <v>13</v>
      </c>
      <c r="D79" s="50">
        <v>2</v>
      </c>
      <c r="E79" s="50">
        <v>0</v>
      </c>
      <c r="F79" s="50">
        <v>4</v>
      </c>
      <c r="G79" s="50">
        <v>1</v>
      </c>
      <c r="H79" s="50">
        <v>0</v>
      </c>
      <c r="I79" s="50">
        <v>3</v>
      </c>
      <c r="J79" s="50">
        <v>0</v>
      </c>
      <c r="K79" s="50">
        <v>0</v>
      </c>
      <c r="L79" s="50">
        <v>0</v>
      </c>
      <c r="M79" s="50">
        <v>20</v>
      </c>
      <c r="N79" s="50">
        <v>0</v>
      </c>
      <c r="O79" s="15">
        <f t="shared" si="35"/>
        <v>23</v>
      </c>
      <c r="P79" s="15">
        <f t="shared" si="36"/>
        <v>43</v>
      </c>
      <c r="R79" s="8"/>
      <c r="T79"/>
    </row>
    <row r="80" spans="2:20" ht="23.1" customHeight="1" x14ac:dyDescent="0.25">
      <c r="B80" s="47" t="s">
        <v>120</v>
      </c>
      <c r="C80" s="50">
        <v>8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1</v>
      </c>
      <c r="J80" s="50">
        <v>1</v>
      </c>
      <c r="K80" s="50">
        <v>0</v>
      </c>
      <c r="L80" s="50">
        <v>0</v>
      </c>
      <c r="M80" s="50">
        <v>6</v>
      </c>
      <c r="N80" s="50">
        <v>0</v>
      </c>
      <c r="O80" s="15">
        <f t="shared" si="35"/>
        <v>10</v>
      </c>
      <c r="P80" s="15">
        <f t="shared" si="36"/>
        <v>16</v>
      </c>
      <c r="R80" s="8"/>
      <c r="T80"/>
    </row>
    <row r="81" spans="2:20" ht="23.1" customHeight="1" x14ac:dyDescent="0.25">
      <c r="B81" s="45" t="s">
        <v>121</v>
      </c>
      <c r="C81" s="50">
        <v>7</v>
      </c>
      <c r="D81" s="50">
        <v>1</v>
      </c>
      <c r="E81" s="50">
        <v>0</v>
      </c>
      <c r="F81" s="50">
        <v>2</v>
      </c>
      <c r="G81" s="50">
        <v>0</v>
      </c>
      <c r="H81" s="50">
        <v>0</v>
      </c>
      <c r="I81" s="50">
        <v>3</v>
      </c>
      <c r="J81" s="50">
        <v>1</v>
      </c>
      <c r="K81" s="50">
        <v>0</v>
      </c>
      <c r="L81" s="50">
        <v>0</v>
      </c>
      <c r="M81" s="50">
        <v>9</v>
      </c>
      <c r="N81" s="50">
        <v>0</v>
      </c>
      <c r="O81" s="15">
        <f t="shared" si="35"/>
        <v>14</v>
      </c>
      <c r="P81" s="15">
        <f t="shared" si="36"/>
        <v>23</v>
      </c>
      <c r="R81" s="8"/>
      <c r="T81"/>
    </row>
    <row r="82" spans="2:20" ht="23.1" customHeight="1" x14ac:dyDescent="0.25">
      <c r="B82" s="46" t="s">
        <v>122</v>
      </c>
      <c r="C82" s="50">
        <v>2</v>
      </c>
      <c r="D82" s="50">
        <v>1</v>
      </c>
      <c r="E82" s="50">
        <v>0</v>
      </c>
      <c r="F82" s="50">
        <v>1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50">
        <v>5</v>
      </c>
      <c r="N82" s="50">
        <v>0</v>
      </c>
      <c r="O82" s="15">
        <f t="shared" si="35"/>
        <v>5</v>
      </c>
      <c r="P82" s="15">
        <f t="shared" si="36"/>
        <v>10</v>
      </c>
      <c r="R82" s="8"/>
      <c r="T82"/>
    </row>
    <row r="83" spans="2:20" ht="23.1" customHeight="1" x14ac:dyDescent="0.25">
      <c r="B83" s="45" t="s">
        <v>123</v>
      </c>
      <c r="C83" s="50">
        <v>3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2</v>
      </c>
      <c r="K83" s="50">
        <v>0</v>
      </c>
      <c r="L83" s="50">
        <v>0</v>
      </c>
      <c r="M83" s="50">
        <v>5</v>
      </c>
      <c r="N83" s="50">
        <v>0</v>
      </c>
      <c r="O83" s="15">
        <f t="shared" si="35"/>
        <v>5</v>
      </c>
      <c r="P83" s="15">
        <f t="shared" si="36"/>
        <v>10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2</v>
      </c>
      <c r="P84" s="15">
        <f t="shared" si="36"/>
        <v>3</v>
      </c>
      <c r="R84" s="8"/>
      <c r="T84"/>
    </row>
    <row r="85" spans="2:20" ht="23.1" customHeight="1" x14ac:dyDescent="0.25">
      <c r="B85" s="45" t="s">
        <v>125</v>
      </c>
      <c r="C85" s="50">
        <v>4</v>
      </c>
      <c r="D85" s="50">
        <v>1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0</v>
      </c>
      <c r="M85" s="50">
        <v>10</v>
      </c>
      <c r="N85" s="50">
        <v>0</v>
      </c>
      <c r="O85" s="15">
        <f t="shared" si="35"/>
        <v>6</v>
      </c>
      <c r="P85" s="15">
        <f t="shared" si="36"/>
        <v>16</v>
      </c>
      <c r="R85" s="8"/>
      <c r="T85"/>
    </row>
    <row r="86" spans="2:20" ht="23.1" customHeight="1" x14ac:dyDescent="0.25">
      <c r="B86" s="46" t="s">
        <v>126</v>
      </c>
      <c r="C86" s="50">
        <v>2</v>
      </c>
      <c r="D86" s="50">
        <v>1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3</v>
      </c>
      <c r="N86" s="50">
        <v>0</v>
      </c>
      <c r="O86" s="15">
        <f t="shared" si="35"/>
        <v>3</v>
      </c>
      <c r="P86" s="15">
        <f t="shared" si="36"/>
        <v>6</v>
      </c>
      <c r="R86" s="8"/>
      <c r="T86"/>
    </row>
    <row r="87" spans="2:20" ht="23.1" customHeight="1" x14ac:dyDescent="0.25">
      <c r="B87" s="45" t="s">
        <v>127</v>
      </c>
      <c r="C87" s="50">
        <v>3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1</v>
      </c>
      <c r="K87" s="50">
        <v>0</v>
      </c>
      <c r="L87" s="50">
        <v>0</v>
      </c>
      <c r="M87" s="50">
        <v>6</v>
      </c>
      <c r="N87" s="50">
        <v>0</v>
      </c>
      <c r="O87" s="15">
        <f t="shared" si="35"/>
        <v>4</v>
      </c>
      <c r="P87" s="15">
        <f t="shared" si="36"/>
        <v>10</v>
      </c>
      <c r="R87" s="8"/>
      <c r="T87"/>
    </row>
    <row r="88" spans="2:20" ht="23.1" customHeight="1" x14ac:dyDescent="0.25">
      <c r="B88" s="47" t="s">
        <v>128</v>
      </c>
      <c r="C88" s="50">
        <v>3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5</v>
      </c>
      <c r="N88" s="50">
        <v>0</v>
      </c>
      <c r="O88" s="15">
        <f t="shared" si="35"/>
        <v>3</v>
      </c>
      <c r="P88" s="15">
        <f t="shared" si="36"/>
        <v>8</v>
      </c>
      <c r="R88" s="8"/>
      <c r="T88"/>
    </row>
    <row r="89" spans="2:20" ht="23.1" customHeight="1" x14ac:dyDescent="0.25">
      <c r="B89" s="45" t="s">
        <v>129</v>
      </c>
      <c r="C89" s="50">
        <v>4</v>
      </c>
      <c r="D89" s="50">
        <v>2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1</v>
      </c>
      <c r="K89" s="50">
        <v>0</v>
      </c>
      <c r="L89" s="50">
        <v>0</v>
      </c>
      <c r="M89" s="50">
        <v>3</v>
      </c>
      <c r="N89" s="50">
        <v>0</v>
      </c>
      <c r="O89" s="15">
        <f t="shared" si="35"/>
        <v>7</v>
      </c>
      <c r="P89" s="15">
        <f t="shared" si="36"/>
        <v>10</v>
      </c>
      <c r="R89" s="8"/>
      <c r="T89"/>
    </row>
    <row r="90" spans="2:20" ht="23.1" customHeight="1" x14ac:dyDescent="0.25">
      <c r="B90" s="46" t="s">
        <v>130</v>
      </c>
      <c r="C90" s="50">
        <v>6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3</v>
      </c>
      <c r="N90" s="50">
        <v>0</v>
      </c>
      <c r="O90" s="15">
        <f t="shared" si="35"/>
        <v>7</v>
      </c>
      <c r="P90" s="15">
        <f t="shared" si="36"/>
        <v>10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</v>
      </c>
      <c r="N91" s="50">
        <v>0</v>
      </c>
      <c r="O91" s="15">
        <f t="shared" si="35"/>
        <v>1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2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1</v>
      </c>
      <c r="L92" s="50">
        <v>0</v>
      </c>
      <c r="M92" s="50">
        <v>2</v>
      </c>
      <c r="N92" s="50">
        <v>0</v>
      </c>
      <c r="O92" s="15">
        <f t="shared" si="35"/>
        <v>3</v>
      </c>
      <c r="P92" s="15">
        <f t="shared" si="36"/>
        <v>5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1</v>
      </c>
      <c r="M93" s="50">
        <v>2</v>
      </c>
      <c r="N93" s="50">
        <v>0</v>
      </c>
      <c r="O93" s="15">
        <f t="shared" si="35"/>
        <v>3</v>
      </c>
      <c r="P93" s="15">
        <f t="shared" si="36"/>
        <v>5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1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5">
        <f t="shared" si="35"/>
        <v>4</v>
      </c>
      <c r="P94" s="15">
        <f t="shared" si="36"/>
        <v>6</v>
      </c>
      <c r="R94" s="8"/>
      <c r="T94"/>
    </row>
    <row r="95" spans="2:20" ht="23.1" customHeight="1" x14ac:dyDescent="0.25">
      <c r="B95" s="45" t="s">
        <v>135</v>
      </c>
      <c r="C95" s="50">
        <v>3</v>
      </c>
      <c r="D95" s="50">
        <v>1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1</v>
      </c>
      <c r="K95" s="50">
        <v>0</v>
      </c>
      <c r="L95" s="50">
        <v>0</v>
      </c>
      <c r="M95" s="50">
        <v>5</v>
      </c>
      <c r="N95" s="50">
        <v>0</v>
      </c>
      <c r="O95" s="15">
        <f t="shared" si="35"/>
        <v>5</v>
      </c>
      <c r="P95" s="15">
        <f t="shared" si="36"/>
        <v>10</v>
      </c>
      <c r="R95" s="8"/>
      <c r="T95"/>
    </row>
    <row r="96" spans="2:20" ht="23.1" customHeight="1" x14ac:dyDescent="0.25">
      <c r="B96" s="47" t="s">
        <v>136</v>
      </c>
      <c r="C96" s="50">
        <v>4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1</v>
      </c>
      <c r="L96" s="50">
        <v>0</v>
      </c>
      <c r="M96" s="50">
        <v>6</v>
      </c>
      <c r="N96" s="50">
        <v>0</v>
      </c>
      <c r="O96" s="15">
        <f t="shared" si="35"/>
        <v>5</v>
      </c>
      <c r="P96" s="15">
        <f t="shared" si="36"/>
        <v>11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0</v>
      </c>
      <c r="E97" s="50">
        <v>2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10</v>
      </c>
      <c r="N97" s="50">
        <v>0</v>
      </c>
      <c r="O97" s="15">
        <f t="shared" si="35"/>
        <v>4</v>
      </c>
      <c r="P97" s="15">
        <f t="shared" si="36"/>
        <v>14</v>
      </c>
      <c r="R97" s="8"/>
      <c r="T97"/>
    </row>
    <row r="98" spans="2:20" ht="23.1" customHeight="1" x14ac:dyDescent="0.25">
      <c r="B98" s="46" t="s">
        <v>138</v>
      </c>
      <c r="C98" s="50">
        <v>6</v>
      </c>
      <c r="D98" s="50">
        <v>1</v>
      </c>
      <c r="E98" s="50">
        <v>0</v>
      </c>
      <c r="F98" s="50">
        <v>0</v>
      </c>
      <c r="G98" s="50">
        <v>0</v>
      </c>
      <c r="H98" s="50">
        <v>0</v>
      </c>
      <c r="I98" s="50">
        <v>1</v>
      </c>
      <c r="J98" s="50">
        <v>1</v>
      </c>
      <c r="K98" s="50">
        <v>0</v>
      </c>
      <c r="L98" s="50">
        <v>4</v>
      </c>
      <c r="M98" s="50">
        <v>6</v>
      </c>
      <c r="N98" s="50">
        <v>0</v>
      </c>
      <c r="O98" s="15">
        <f t="shared" si="35"/>
        <v>13</v>
      </c>
      <c r="P98" s="15">
        <f t="shared" si="36"/>
        <v>19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2</v>
      </c>
      <c r="E99" s="50">
        <v>0</v>
      </c>
      <c r="F99" s="50">
        <v>2</v>
      </c>
      <c r="G99" s="50">
        <v>0</v>
      </c>
      <c r="H99" s="50">
        <v>0</v>
      </c>
      <c r="I99" s="50">
        <v>0</v>
      </c>
      <c r="J99" s="50">
        <v>2</v>
      </c>
      <c r="K99" s="50">
        <v>0</v>
      </c>
      <c r="L99" s="50">
        <v>0</v>
      </c>
      <c r="M99" s="50">
        <v>2</v>
      </c>
      <c r="N99" s="50">
        <v>0</v>
      </c>
      <c r="O99" s="15">
        <f t="shared" si="35"/>
        <v>8</v>
      </c>
      <c r="P99" s="15">
        <f t="shared" si="36"/>
        <v>10</v>
      </c>
      <c r="R99" s="8"/>
      <c r="T99"/>
    </row>
    <row r="100" spans="2:20" ht="23.1" customHeight="1" x14ac:dyDescent="0.25">
      <c r="B100" s="47" t="s">
        <v>140</v>
      </c>
      <c r="C100" s="50">
        <v>6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1</v>
      </c>
      <c r="J100" s="50">
        <v>0</v>
      </c>
      <c r="K100" s="50">
        <v>3</v>
      </c>
      <c r="L100" s="50">
        <v>0</v>
      </c>
      <c r="M100" s="50">
        <v>0</v>
      </c>
      <c r="N100" s="50">
        <v>0</v>
      </c>
      <c r="O100" s="15">
        <f t="shared" si="35"/>
        <v>10</v>
      </c>
      <c r="P100" s="15">
        <f t="shared" si="36"/>
        <v>10</v>
      </c>
      <c r="R100" s="8"/>
      <c r="T100"/>
    </row>
    <row r="101" spans="2:20" ht="23.1" customHeight="1" x14ac:dyDescent="0.25">
      <c r="B101" s="45" t="s">
        <v>141</v>
      </c>
      <c r="C101" s="50">
        <v>4</v>
      </c>
      <c r="D101" s="50">
        <v>2</v>
      </c>
      <c r="E101" s="50">
        <v>1</v>
      </c>
      <c r="F101" s="50">
        <v>4</v>
      </c>
      <c r="G101" s="50">
        <v>0</v>
      </c>
      <c r="H101" s="50">
        <v>0</v>
      </c>
      <c r="I101" s="50">
        <v>2</v>
      </c>
      <c r="J101" s="50">
        <v>0</v>
      </c>
      <c r="K101" s="50">
        <v>0</v>
      </c>
      <c r="L101" s="50">
        <v>0</v>
      </c>
      <c r="M101" s="50">
        <v>13</v>
      </c>
      <c r="N101" s="50">
        <v>0</v>
      </c>
      <c r="O101" s="15">
        <f t="shared" si="35"/>
        <v>13</v>
      </c>
      <c r="P101" s="15">
        <f t="shared" si="36"/>
        <v>26</v>
      </c>
      <c r="R101" s="8"/>
      <c r="T101"/>
    </row>
    <row r="102" spans="2:20" ht="23.1" customHeight="1" x14ac:dyDescent="0.25">
      <c r="B102" s="46" t="s">
        <v>142</v>
      </c>
      <c r="C102" s="50">
        <v>7</v>
      </c>
      <c r="D102" s="50">
        <v>2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10</v>
      </c>
      <c r="N102" s="50">
        <v>0</v>
      </c>
      <c r="O102" s="15">
        <f t="shared" si="35"/>
        <v>9</v>
      </c>
      <c r="P102" s="15">
        <f t="shared" si="36"/>
        <v>19</v>
      </c>
      <c r="R102" s="8"/>
      <c r="T102"/>
    </row>
    <row r="103" spans="2:20" ht="23.1" customHeight="1" x14ac:dyDescent="0.25">
      <c r="B103" s="45" t="s">
        <v>143</v>
      </c>
      <c r="C103" s="50">
        <v>8</v>
      </c>
      <c r="D103" s="50">
        <v>1</v>
      </c>
      <c r="E103" s="50">
        <v>0</v>
      </c>
      <c r="F103" s="50">
        <v>1</v>
      </c>
      <c r="G103" s="50">
        <v>0</v>
      </c>
      <c r="H103" s="50">
        <v>0</v>
      </c>
      <c r="I103" s="50">
        <v>9</v>
      </c>
      <c r="J103" s="50">
        <v>2</v>
      </c>
      <c r="K103" s="50">
        <v>0</v>
      </c>
      <c r="L103" s="50">
        <v>0</v>
      </c>
      <c r="M103" s="50">
        <v>19</v>
      </c>
      <c r="N103" s="50">
        <v>0</v>
      </c>
      <c r="O103" s="15">
        <f t="shared" si="35"/>
        <v>21</v>
      </c>
      <c r="P103" s="15">
        <f t="shared" si="36"/>
        <v>40</v>
      </c>
      <c r="R103" s="8"/>
      <c r="T103"/>
    </row>
    <row r="104" spans="2:20" ht="23.1" customHeight="1" x14ac:dyDescent="0.25">
      <c r="B104" s="47" t="s">
        <v>144</v>
      </c>
      <c r="C104" s="50">
        <v>14</v>
      </c>
      <c r="D104" s="50">
        <v>3</v>
      </c>
      <c r="E104" s="50">
        <v>2</v>
      </c>
      <c r="F104" s="50">
        <v>7</v>
      </c>
      <c r="G104" s="50">
        <v>0</v>
      </c>
      <c r="H104" s="50">
        <v>0</v>
      </c>
      <c r="I104" s="50">
        <v>3</v>
      </c>
      <c r="J104" s="50">
        <v>1</v>
      </c>
      <c r="K104" s="50">
        <v>0</v>
      </c>
      <c r="L104" s="50">
        <v>0</v>
      </c>
      <c r="M104" s="50">
        <v>30</v>
      </c>
      <c r="N104" s="50">
        <v>0</v>
      </c>
      <c r="O104" s="15">
        <f t="shared" si="35"/>
        <v>30</v>
      </c>
      <c r="P104" s="15">
        <f t="shared" si="36"/>
        <v>60</v>
      </c>
      <c r="R104" s="8"/>
      <c r="T104"/>
    </row>
    <row r="105" spans="2:20" ht="23.1" customHeight="1" x14ac:dyDescent="0.25">
      <c r="B105" s="45" t="s">
        <v>145</v>
      </c>
      <c r="C105" s="50">
        <v>23</v>
      </c>
      <c r="D105" s="50">
        <v>5</v>
      </c>
      <c r="E105" s="50">
        <v>2</v>
      </c>
      <c r="F105" s="50">
        <v>9</v>
      </c>
      <c r="G105" s="50">
        <v>0</v>
      </c>
      <c r="H105" s="50">
        <v>0</v>
      </c>
      <c r="I105" s="50">
        <v>1</v>
      </c>
      <c r="J105" s="50">
        <v>0</v>
      </c>
      <c r="K105" s="50">
        <v>1</v>
      </c>
      <c r="L105" s="50">
        <v>0</v>
      </c>
      <c r="M105" s="50">
        <v>25</v>
      </c>
      <c r="N105" s="50">
        <v>0</v>
      </c>
      <c r="O105" s="15">
        <f t="shared" si="35"/>
        <v>41</v>
      </c>
      <c r="P105" s="15">
        <f t="shared" si="36"/>
        <v>66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2715</v>
      </c>
      <c r="D106" s="16">
        <f t="shared" ref="D106:P106" si="37">SUM(D10:D105)</f>
        <v>448</v>
      </c>
      <c r="E106" s="16">
        <f t="shared" si="37"/>
        <v>251</v>
      </c>
      <c r="F106" s="16">
        <f t="shared" si="37"/>
        <v>1368</v>
      </c>
      <c r="G106" s="16">
        <f t="shared" si="37"/>
        <v>53</v>
      </c>
      <c r="H106" s="16">
        <f t="shared" si="37"/>
        <v>7</v>
      </c>
      <c r="I106" s="16">
        <f t="shared" si="37"/>
        <v>365</v>
      </c>
      <c r="J106" s="16">
        <f t="shared" si="37"/>
        <v>314</v>
      </c>
      <c r="K106" s="16">
        <f t="shared" si="37"/>
        <v>49</v>
      </c>
      <c r="L106" s="16">
        <f t="shared" si="37"/>
        <v>36</v>
      </c>
      <c r="M106" s="16">
        <f t="shared" si="37"/>
        <v>14471</v>
      </c>
      <c r="N106" s="16">
        <f t="shared" si="37"/>
        <v>2</v>
      </c>
      <c r="O106" s="16">
        <f t="shared" si="37"/>
        <v>5608</v>
      </c>
      <c r="P106" s="16">
        <f t="shared" si="37"/>
        <v>20079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0.13521589720603616</v>
      </c>
      <c r="D107" s="43">
        <f t="shared" si="38"/>
        <v>2.2311868120922358E-2</v>
      </c>
      <c r="E107" s="43">
        <f t="shared" si="38"/>
        <v>1.2500622540963196E-2</v>
      </c>
      <c r="F107" s="43">
        <f t="shared" si="38"/>
        <v>6.8130883012102197E-2</v>
      </c>
      <c r="G107" s="43">
        <f t="shared" si="38"/>
        <v>2.6395736839484036E-3</v>
      </c>
      <c r="H107" s="43">
        <f t="shared" si="38"/>
        <v>3.4862293938941184E-4</v>
      </c>
      <c r="I107" s="43">
        <f t="shared" si="38"/>
        <v>1.8178196125305045E-2</v>
      </c>
      <c r="J107" s="43">
        <f t="shared" si="38"/>
        <v>1.5638228995467903E-2</v>
      </c>
      <c r="K107" s="43">
        <f t="shared" si="38"/>
        <v>2.4403605757258827E-3</v>
      </c>
      <c r="L107" s="43">
        <f t="shared" si="38"/>
        <v>1.7929179740026895E-3</v>
      </c>
      <c r="M107" s="43">
        <f t="shared" si="38"/>
        <v>0.72070322227202555</v>
      </c>
      <c r="N107" s="43">
        <f t="shared" si="38"/>
        <v>9.9606554111260519E-5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0.48412981455064191</v>
      </c>
      <c r="D108" s="44">
        <f t="shared" ref="D108:N108" si="39">D106/$O$106</f>
        <v>7.9885877318116971E-2</v>
      </c>
      <c r="E108" s="44">
        <f t="shared" si="39"/>
        <v>4.4757489300998571E-2</v>
      </c>
      <c r="F108" s="44">
        <f t="shared" si="39"/>
        <v>0.24393723252496433</v>
      </c>
      <c r="G108" s="44">
        <f t="shared" si="39"/>
        <v>9.4507845934379466E-3</v>
      </c>
      <c r="H108" s="44">
        <f t="shared" si="39"/>
        <v>1.2482168330955777E-3</v>
      </c>
      <c r="I108" s="44">
        <f t="shared" si="39"/>
        <v>6.5085592011412272E-2</v>
      </c>
      <c r="J108" s="44">
        <f t="shared" si="39"/>
        <v>5.5991440798858774E-2</v>
      </c>
      <c r="K108" s="44">
        <f t="shared" si="39"/>
        <v>8.7375178316690446E-3</v>
      </c>
      <c r="L108" s="44">
        <f t="shared" si="39"/>
        <v>6.4194008559201139E-3</v>
      </c>
      <c r="M108" s="44"/>
      <c r="N108" s="44">
        <f t="shared" si="39"/>
        <v>3.566333808844508E-4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79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'22.07 Lubiri -Ndeeba'!C3:G3</f>
        <v>MCC - C1 - STN03- KALINDA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'26.07 Lubiri-Ndeeba-24h'!D5</f>
        <v>26.07.19</v>
      </c>
      <c r="E5" s="3"/>
      <c r="F5" s="41" t="s">
        <v>1</v>
      </c>
      <c r="G5" s="71" t="str">
        <f>'26.07 Lubiri-Ndeeba-24h'!G5:H5</f>
        <v>Before Shell</v>
      </c>
      <c r="H5" s="72"/>
      <c r="I5" s="14"/>
      <c r="J5" s="2" t="s">
        <v>5</v>
      </c>
      <c r="K5" s="71" t="str">
        <f>'26.07 Lubiri-Ndeeba-24h'!K5:L5</f>
        <v>Kizito Geofrey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'22.07 Ndeeba-Lubiri'!D6:E6</f>
        <v>Ndeeba</v>
      </c>
      <c r="E6" s="72"/>
      <c r="F6" s="2" t="s">
        <v>2</v>
      </c>
      <c r="G6" s="71" t="str">
        <f>'23.07 Ndeeba-Lubiri'!G6:H6</f>
        <v>Lubiri</v>
      </c>
      <c r="H6" s="72"/>
      <c r="J6" s="2" t="s">
        <v>21</v>
      </c>
      <c r="K6" s="71" t="str">
        <f>'26.07 Lubiri-Ndeeba-24h'!K6:L6</f>
        <v>Denis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120</v>
      </c>
      <c r="D10" s="50">
        <v>19</v>
      </c>
      <c r="E10" s="50">
        <v>10</v>
      </c>
      <c r="F10" s="50">
        <v>47</v>
      </c>
      <c r="G10" s="50">
        <v>1</v>
      </c>
      <c r="H10" s="50">
        <v>1</v>
      </c>
      <c r="I10" s="50">
        <v>3</v>
      </c>
      <c r="J10" s="50">
        <v>1</v>
      </c>
      <c r="K10" s="50">
        <v>1</v>
      </c>
      <c r="L10" s="50">
        <v>1</v>
      </c>
      <c r="M10" s="50">
        <v>185</v>
      </c>
      <c r="N10" s="50">
        <v>0</v>
      </c>
      <c r="O10" s="15">
        <f t="shared" ref="O10:O73" si="0">SUM(C10:L10,N10)</f>
        <v>204</v>
      </c>
      <c r="P10" s="15">
        <f t="shared" ref="P10:P73" si="1">SUM(C10:N10)</f>
        <v>389</v>
      </c>
      <c r="R10" s="1" t="s">
        <v>6</v>
      </c>
      <c r="S10" s="17">
        <f t="shared" ref="S10:AF10" si="2">SUM(C10:C13)</f>
        <v>472</v>
      </c>
      <c r="T10" s="17">
        <f t="shared" si="2"/>
        <v>59</v>
      </c>
      <c r="U10" s="17">
        <f t="shared" si="2"/>
        <v>46</v>
      </c>
      <c r="V10" s="17">
        <f t="shared" si="2"/>
        <v>141</v>
      </c>
      <c r="W10" s="17">
        <f t="shared" si="2"/>
        <v>1</v>
      </c>
      <c r="X10" s="17">
        <f t="shared" si="2"/>
        <v>1</v>
      </c>
      <c r="Y10" s="17">
        <f t="shared" si="2"/>
        <v>24</v>
      </c>
      <c r="Z10" s="17">
        <f t="shared" si="2"/>
        <v>8</v>
      </c>
      <c r="AA10" s="17">
        <f t="shared" si="2"/>
        <v>7</v>
      </c>
      <c r="AB10" s="17">
        <f t="shared" si="2"/>
        <v>3</v>
      </c>
      <c r="AC10" s="17">
        <f t="shared" si="2"/>
        <v>950</v>
      </c>
      <c r="AD10" s="17">
        <f t="shared" si="2"/>
        <v>0</v>
      </c>
      <c r="AE10" s="31">
        <f t="shared" si="2"/>
        <v>762</v>
      </c>
      <c r="AF10" s="31">
        <f t="shared" si="2"/>
        <v>1712</v>
      </c>
    </row>
    <row r="11" spans="2:32" s="6" customFormat="1" ht="23.1" customHeight="1" x14ac:dyDescent="0.25">
      <c r="B11" s="45" t="s">
        <v>38</v>
      </c>
      <c r="C11" s="50">
        <v>140</v>
      </c>
      <c r="D11" s="50">
        <v>10</v>
      </c>
      <c r="E11" s="50">
        <v>13</v>
      </c>
      <c r="F11" s="50">
        <v>22</v>
      </c>
      <c r="G11" s="50">
        <v>0</v>
      </c>
      <c r="H11" s="50">
        <v>0</v>
      </c>
      <c r="I11" s="50">
        <v>8</v>
      </c>
      <c r="J11" s="50">
        <v>3</v>
      </c>
      <c r="K11" s="50">
        <v>0</v>
      </c>
      <c r="L11" s="50">
        <v>1</v>
      </c>
      <c r="M11" s="50">
        <v>245</v>
      </c>
      <c r="N11" s="50">
        <v>0</v>
      </c>
      <c r="O11" s="15">
        <f t="shared" si="0"/>
        <v>197</v>
      </c>
      <c r="P11" s="15">
        <f t="shared" si="1"/>
        <v>442</v>
      </c>
      <c r="R11" s="1" t="s">
        <v>7</v>
      </c>
      <c r="S11" s="17">
        <f t="shared" ref="S11:AF11" si="3">SUM(C14:C17)</f>
        <v>532</v>
      </c>
      <c r="T11" s="17">
        <f t="shared" si="3"/>
        <v>39</v>
      </c>
      <c r="U11" s="17">
        <f t="shared" si="3"/>
        <v>29</v>
      </c>
      <c r="V11" s="17">
        <f t="shared" si="3"/>
        <v>145</v>
      </c>
      <c r="W11" s="17">
        <f t="shared" si="3"/>
        <v>2</v>
      </c>
      <c r="X11" s="17">
        <f t="shared" si="3"/>
        <v>1</v>
      </c>
      <c r="Y11" s="17">
        <f t="shared" si="3"/>
        <v>18</v>
      </c>
      <c r="Z11" s="17">
        <f t="shared" si="3"/>
        <v>12</v>
      </c>
      <c r="AA11" s="17">
        <f t="shared" si="3"/>
        <v>2</v>
      </c>
      <c r="AB11" s="17">
        <f t="shared" si="3"/>
        <v>0</v>
      </c>
      <c r="AC11" s="17">
        <f t="shared" si="3"/>
        <v>971</v>
      </c>
      <c r="AD11" s="17">
        <f t="shared" si="3"/>
        <v>0</v>
      </c>
      <c r="AE11" s="31">
        <f t="shared" si="3"/>
        <v>780</v>
      </c>
      <c r="AF11" s="31">
        <f t="shared" si="3"/>
        <v>1751</v>
      </c>
    </row>
    <row r="12" spans="2:32" ht="23.1" customHeight="1" x14ac:dyDescent="0.25">
      <c r="B12" s="45" t="s">
        <v>39</v>
      </c>
      <c r="C12" s="50">
        <v>122</v>
      </c>
      <c r="D12" s="50">
        <v>10</v>
      </c>
      <c r="E12" s="50">
        <v>6</v>
      </c>
      <c r="F12" s="50">
        <v>34</v>
      </c>
      <c r="G12" s="50">
        <v>0</v>
      </c>
      <c r="H12" s="50">
        <v>0</v>
      </c>
      <c r="I12" s="50">
        <v>4</v>
      </c>
      <c r="J12" s="50">
        <v>1</v>
      </c>
      <c r="K12" s="50">
        <v>6</v>
      </c>
      <c r="L12" s="50">
        <v>0</v>
      </c>
      <c r="M12" s="50">
        <v>240</v>
      </c>
      <c r="N12" s="50">
        <v>0</v>
      </c>
      <c r="O12" s="15">
        <f t="shared" si="0"/>
        <v>183</v>
      </c>
      <c r="P12" s="15">
        <f t="shared" si="1"/>
        <v>423</v>
      </c>
      <c r="R12" s="1" t="s">
        <v>8</v>
      </c>
      <c r="S12" s="17">
        <f t="shared" ref="S12:AF12" si="4">SUM(C18:C21)</f>
        <v>405</v>
      </c>
      <c r="T12" s="17">
        <f t="shared" si="4"/>
        <v>45</v>
      </c>
      <c r="U12" s="17">
        <f t="shared" si="4"/>
        <v>28</v>
      </c>
      <c r="V12" s="17">
        <f t="shared" si="4"/>
        <v>46</v>
      </c>
      <c r="W12" s="17">
        <f t="shared" si="4"/>
        <v>2</v>
      </c>
      <c r="X12" s="17">
        <f t="shared" si="4"/>
        <v>1</v>
      </c>
      <c r="Y12" s="17">
        <f t="shared" si="4"/>
        <v>14</v>
      </c>
      <c r="Z12" s="17">
        <f t="shared" si="4"/>
        <v>11</v>
      </c>
      <c r="AA12" s="17">
        <f t="shared" si="4"/>
        <v>3</v>
      </c>
      <c r="AB12" s="17">
        <f t="shared" si="4"/>
        <v>2</v>
      </c>
      <c r="AC12" s="17">
        <f t="shared" si="4"/>
        <v>908</v>
      </c>
      <c r="AD12" s="17">
        <f t="shared" si="4"/>
        <v>0</v>
      </c>
      <c r="AE12" s="31">
        <f t="shared" si="4"/>
        <v>557</v>
      </c>
      <c r="AF12" s="31">
        <f t="shared" si="4"/>
        <v>1465</v>
      </c>
    </row>
    <row r="13" spans="2:32" ht="23.1" customHeight="1" x14ac:dyDescent="0.25">
      <c r="B13" s="45" t="s">
        <v>40</v>
      </c>
      <c r="C13" s="50">
        <v>90</v>
      </c>
      <c r="D13" s="50">
        <v>20</v>
      </c>
      <c r="E13" s="50">
        <v>17</v>
      </c>
      <c r="F13" s="50">
        <v>38</v>
      </c>
      <c r="G13" s="50">
        <v>0</v>
      </c>
      <c r="H13" s="50">
        <v>0</v>
      </c>
      <c r="I13" s="50">
        <v>9</v>
      </c>
      <c r="J13" s="50">
        <v>3</v>
      </c>
      <c r="K13" s="50">
        <v>0</v>
      </c>
      <c r="L13" s="50">
        <v>1</v>
      </c>
      <c r="M13" s="50">
        <v>280</v>
      </c>
      <c r="N13" s="50">
        <v>0</v>
      </c>
      <c r="O13" s="15">
        <f t="shared" si="0"/>
        <v>178</v>
      </c>
      <c r="P13" s="15">
        <f t="shared" si="1"/>
        <v>458</v>
      </c>
      <c r="R13" s="1" t="s">
        <v>9</v>
      </c>
      <c r="S13" s="17">
        <f t="shared" ref="S13:AF13" si="5">SUM(C22:C25)</f>
        <v>290</v>
      </c>
      <c r="T13" s="17">
        <f t="shared" si="5"/>
        <v>41</v>
      </c>
      <c r="U13" s="17">
        <f t="shared" si="5"/>
        <v>24</v>
      </c>
      <c r="V13" s="17">
        <f t="shared" si="5"/>
        <v>22</v>
      </c>
      <c r="W13" s="17">
        <f t="shared" si="5"/>
        <v>4</v>
      </c>
      <c r="X13" s="17">
        <f t="shared" si="5"/>
        <v>0</v>
      </c>
      <c r="Y13" s="17">
        <f t="shared" si="5"/>
        <v>18</v>
      </c>
      <c r="Z13" s="17">
        <f t="shared" si="5"/>
        <v>10</v>
      </c>
      <c r="AA13" s="17">
        <f t="shared" si="5"/>
        <v>0</v>
      </c>
      <c r="AB13" s="17">
        <f t="shared" si="5"/>
        <v>2</v>
      </c>
      <c r="AC13" s="17">
        <f t="shared" si="5"/>
        <v>800</v>
      </c>
      <c r="AD13" s="17">
        <f t="shared" si="5"/>
        <v>0</v>
      </c>
      <c r="AE13" s="31">
        <f t="shared" si="5"/>
        <v>411</v>
      </c>
      <c r="AF13" s="31">
        <f t="shared" si="5"/>
        <v>1211</v>
      </c>
    </row>
    <row r="14" spans="2:32" ht="23.1" customHeight="1" x14ac:dyDescent="0.25">
      <c r="B14" s="45" t="s">
        <v>41</v>
      </c>
      <c r="C14" s="50">
        <v>157</v>
      </c>
      <c r="D14" s="50">
        <v>9</v>
      </c>
      <c r="E14" s="50">
        <v>10</v>
      </c>
      <c r="F14" s="50">
        <v>60</v>
      </c>
      <c r="G14" s="50">
        <v>0</v>
      </c>
      <c r="H14" s="50">
        <v>0</v>
      </c>
      <c r="I14" s="50">
        <v>8</v>
      </c>
      <c r="J14" s="50">
        <v>4</v>
      </c>
      <c r="K14" s="50">
        <v>1</v>
      </c>
      <c r="L14" s="50">
        <v>0</v>
      </c>
      <c r="M14" s="50">
        <v>245</v>
      </c>
      <c r="N14" s="50">
        <v>0</v>
      </c>
      <c r="O14" s="15">
        <f t="shared" si="0"/>
        <v>249</v>
      </c>
      <c r="P14" s="15">
        <f t="shared" si="1"/>
        <v>494</v>
      </c>
      <c r="R14" s="1" t="s">
        <v>10</v>
      </c>
      <c r="S14" s="17">
        <f t="shared" ref="S14:AF14" si="6">SUM(C26:C29)</f>
        <v>331</v>
      </c>
      <c r="T14" s="17">
        <f t="shared" si="6"/>
        <v>33</v>
      </c>
      <c r="U14" s="17">
        <f t="shared" si="6"/>
        <v>35</v>
      </c>
      <c r="V14" s="17">
        <f t="shared" si="6"/>
        <v>17</v>
      </c>
      <c r="W14" s="17">
        <f t="shared" si="6"/>
        <v>1</v>
      </c>
      <c r="X14" s="17">
        <f t="shared" si="6"/>
        <v>0</v>
      </c>
      <c r="Y14" s="17">
        <f t="shared" si="6"/>
        <v>17</v>
      </c>
      <c r="Z14" s="17">
        <f t="shared" si="6"/>
        <v>13</v>
      </c>
      <c r="AA14" s="17">
        <f t="shared" si="6"/>
        <v>0</v>
      </c>
      <c r="AB14" s="17">
        <f t="shared" si="6"/>
        <v>1</v>
      </c>
      <c r="AC14" s="17">
        <f t="shared" si="6"/>
        <v>780</v>
      </c>
      <c r="AD14" s="17">
        <f t="shared" si="6"/>
        <v>0</v>
      </c>
      <c r="AE14" s="31">
        <f t="shared" si="6"/>
        <v>448</v>
      </c>
      <c r="AF14" s="31">
        <f t="shared" si="6"/>
        <v>1228</v>
      </c>
    </row>
    <row r="15" spans="2:32" ht="23.1" customHeight="1" x14ac:dyDescent="0.25">
      <c r="B15" s="45" t="s">
        <v>42</v>
      </c>
      <c r="C15" s="50">
        <v>105</v>
      </c>
      <c r="D15" s="50">
        <v>9</v>
      </c>
      <c r="E15" s="50">
        <v>9</v>
      </c>
      <c r="F15" s="50">
        <v>28</v>
      </c>
      <c r="G15" s="50">
        <v>0</v>
      </c>
      <c r="H15" s="50">
        <v>1</v>
      </c>
      <c r="I15" s="50">
        <v>2</v>
      </c>
      <c r="J15" s="50">
        <v>3</v>
      </c>
      <c r="K15" s="50">
        <v>1</v>
      </c>
      <c r="L15" s="50">
        <v>0</v>
      </c>
      <c r="M15" s="50">
        <v>235</v>
      </c>
      <c r="N15" s="50">
        <v>0</v>
      </c>
      <c r="O15" s="15">
        <f t="shared" si="0"/>
        <v>158</v>
      </c>
      <c r="P15" s="15">
        <f t="shared" si="1"/>
        <v>393</v>
      </c>
      <c r="R15" s="1" t="s">
        <v>11</v>
      </c>
      <c r="S15" s="17">
        <f t="shared" ref="S15:AF15" si="7">SUM(C30:C33)</f>
        <v>248</v>
      </c>
      <c r="T15" s="17">
        <f t="shared" si="7"/>
        <v>35</v>
      </c>
      <c r="U15" s="17">
        <f t="shared" si="7"/>
        <v>40</v>
      </c>
      <c r="V15" s="17">
        <f t="shared" si="7"/>
        <v>19</v>
      </c>
      <c r="W15" s="17">
        <f t="shared" si="7"/>
        <v>2</v>
      </c>
      <c r="X15" s="17">
        <f t="shared" si="7"/>
        <v>0</v>
      </c>
      <c r="Y15" s="17">
        <f t="shared" si="7"/>
        <v>27</v>
      </c>
      <c r="Z15" s="17">
        <f t="shared" si="7"/>
        <v>12</v>
      </c>
      <c r="AA15" s="17">
        <f t="shared" si="7"/>
        <v>1</v>
      </c>
      <c r="AB15" s="17">
        <f t="shared" si="7"/>
        <v>0</v>
      </c>
      <c r="AC15" s="17">
        <f t="shared" si="7"/>
        <v>630</v>
      </c>
      <c r="AD15" s="17">
        <f t="shared" si="7"/>
        <v>0</v>
      </c>
      <c r="AE15" s="31">
        <f t="shared" si="7"/>
        <v>384</v>
      </c>
      <c r="AF15" s="31">
        <f t="shared" si="7"/>
        <v>1014</v>
      </c>
    </row>
    <row r="16" spans="2:32" ht="23.1" customHeight="1" x14ac:dyDescent="0.25">
      <c r="B16" s="45" t="s">
        <v>43</v>
      </c>
      <c r="C16" s="50">
        <v>120</v>
      </c>
      <c r="D16" s="50">
        <v>15</v>
      </c>
      <c r="E16" s="50">
        <v>4</v>
      </c>
      <c r="F16" s="50">
        <v>42</v>
      </c>
      <c r="G16" s="50">
        <v>1</v>
      </c>
      <c r="H16" s="50">
        <v>0</v>
      </c>
      <c r="I16" s="50">
        <v>3</v>
      </c>
      <c r="J16" s="50">
        <v>2</v>
      </c>
      <c r="K16" s="50">
        <v>0</v>
      </c>
      <c r="L16" s="50">
        <v>0</v>
      </c>
      <c r="M16" s="50">
        <v>236</v>
      </c>
      <c r="N16" s="50">
        <v>0</v>
      </c>
      <c r="O16" s="15">
        <f t="shared" si="0"/>
        <v>187</v>
      </c>
      <c r="P16" s="15">
        <f t="shared" si="1"/>
        <v>423</v>
      </c>
      <c r="R16" s="1" t="s">
        <v>12</v>
      </c>
      <c r="S16" s="17">
        <f t="shared" ref="S16:AF16" si="8">SUM(C34:C37)</f>
        <v>270</v>
      </c>
      <c r="T16" s="17">
        <f t="shared" si="8"/>
        <v>14</v>
      </c>
      <c r="U16" s="17">
        <f t="shared" si="8"/>
        <v>22</v>
      </c>
      <c r="V16" s="17">
        <f t="shared" si="8"/>
        <v>17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10</v>
      </c>
      <c r="AA16" s="17">
        <f t="shared" si="8"/>
        <v>2</v>
      </c>
      <c r="AB16" s="17">
        <f t="shared" si="8"/>
        <v>3</v>
      </c>
      <c r="AC16" s="17">
        <f t="shared" si="8"/>
        <v>650</v>
      </c>
      <c r="AD16" s="17">
        <f t="shared" si="8"/>
        <v>0</v>
      </c>
      <c r="AE16" s="31">
        <f t="shared" si="8"/>
        <v>345</v>
      </c>
      <c r="AF16" s="31">
        <f t="shared" si="8"/>
        <v>995</v>
      </c>
    </row>
    <row r="17" spans="2:32" ht="23.1" customHeight="1" x14ac:dyDescent="0.25">
      <c r="B17" s="45" t="s">
        <v>44</v>
      </c>
      <c r="C17" s="50">
        <v>150</v>
      </c>
      <c r="D17" s="50">
        <v>6</v>
      </c>
      <c r="E17" s="50">
        <v>6</v>
      </c>
      <c r="F17" s="50">
        <v>15</v>
      </c>
      <c r="G17" s="50">
        <v>1</v>
      </c>
      <c r="H17" s="50">
        <v>0</v>
      </c>
      <c r="I17" s="50">
        <v>5</v>
      </c>
      <c r="J17" s="50">
        <v>3</v>
      </c>
      <c r="K17" s="50">
        <v>0</v>
      </c>
      <c r="L17" s="50">
        <v>0</v>
      </c>
      <c r="M17" s="50">
        <v>255</v>
      </c>
      <c r="N17" s="50">
        <v>0</v>
      </c>
      <c r="O17" s="15">
        <f t="shared" si="0"/>
        <v>186</v>
      </c>
      <c r="P17" s="15">
        <f t="shared" si="1"/>
        <v>441</v>
      </c>
      <c r="R17" s="1" t="s">
        <v>13</v>
      </c>
      <c r="S17" s="17">
        <f t="shared" ref="S17:AF17" si="9">SUM(C38:C41)</f>
        <v>291</v>
      </c>
      <c r="T17" s="17">
        <f t="shared" si="9"/>
        <v>30</v>
      </c>
      <c r="U17" s="17">
        <f t="shared" si="9"/>
        <v>19</v>
      </c>
      <c r="V17" s="17">
        <f t="shared" si="9"/>
        <v>13</v>
      </c>
      <c r="W17" s="17">
        <f t="shared" si="9"/>
        <v>0</v>
      </c>
      <c r="X17" s="17">
        <f t="shared" si="9"/>
        <v>0</v>
      </c>
      <c r="Y17" s="17">
        <f t="shared" si="9"/>
        <v>13</v>
      </c>
      <c r="Z17" s="17">
        <f t="shared" si="9"/>
        <v>10</v>
      </c>
      <c r="AA17" s="17">
        <f t="shared" si="9"/>
        <v>1</v>
      </c>
      <c r="AB17" s="17">
        <f t="shared" si="9"/>
        <v>2</v>
      </c>
      <c r="AC17" s="17">
        <f t="shared" si="9"/>
        <v>700</v>
      </c>
      <c r="AD17" s="17">
        <f t="shared" si="9"/>
        <v>0</v>
      </c>
      <c r="AE17" s="31">
        <f t="shared" si="9"/>
        <v>379</v>
      </c>
      <c r="AF17" s="31">
        <f t="shared" si="9"/>
        <v>1079</v>
      </c>
    </row>
    <row r="18" spans="2:32" ht="23.1" customHeight="1" x14ac:dyDescent="0.25">
      <c r="B18" s="45" t="s">
        <v>45</v>
      </c>
      <c r="C18" s="50">
        <v>145</v>
      </c>
      <c r="D18" s="50">
        <v>9</v>
      </c>
      <c r="E18" s="50">
        <v>8</v>
      </c>
      <c r="F18" s="50">
        <v>11</v>
      </c>
      <c r="G18" s="50">
        <v>1</v>
      </c>
      <c r="H18" s="50">
        <v>1</v>
      </c>
      <c r="I18" s="50">
        <v>5</v>
      </c>
      <c r="J18" s="50">
        <v>3</v>
      </c>
      <c r="K18" s="50">
        <v>0</v>
      </c>
      <c r="L18" s="50">
        <v>1</v>
      </c>
      <c r="M18" s="50">
        <v>290</v>
      </c>
      <c r="N18" s="50">
        <v>0</v>
      </c>
      <c r="O18" s="15">
        <f t="shared" si="0"/>
        <v>184</v>
      </c>
      <c r="P18" s="15">
        <f t="shared" si="1"/>
        <v>474</v>
      </c>
      <c r="R18" s="1" t="s">
        <v>14</v>
      </c>
      <c r="S18" s="17">
        <f t="shared" ref="S18:AF18" si="10">SUM(C42:C45)</f>
        <v>275</v>
      </c>
      <c r="T18" s="17">
        <f t="shared" si="10"/>
        <v>33</v>
      </c>
      <c r="U18" s="17">
        <f t="shared" si="10"/>
        <v>44</v>
      </c>
      <c r="V18" s="17">
        <f t="shared" si="10"/>
        <v>28</v>
      </c>
      <c r="W18" s="17">
        <f t="shared" si="10"/>
        <v>1</v>
      </c>
      <c r="X18" s="17">
        <f t="shared" si="10"/>
        <v>0</v>
      </c>
      <c r="Y18" s="17">
        <f t="shared" si="10"/>
        <v>25</v>
      </c>
      <c r="Z18" s="17">
        <f t="shared" si="10"/>
        <v>15</v>
      </c>
      <c r="AA18" s="17">
        <f t="shared" si="10"/>
        <v>3</v>
      </c>
      <c r="AB18" s="17">
        <f t="shared" si="10"/>
        <v>3</v>
      </c>
      <c r="AC18" s="17">
        <f t="shared" si="10"/>
        <v>515</v>
      </c>
      <c r="AD18" s="17">
        <f t="shared" si="10"/>
        <v>0</v>
      </c>
      <c r="AE18" s="31">
        <f t="shared" si="10"/>
        <v>427</v>
      </c>
      <c r="AF18" s="31">
        <f t="shared" si="10"/>
        <v>942</v>
      </c>
    </row>
    <row r="19" spans="2:32" ht="23.1" customHeight="1" x14ac:dyDescent="0.25">
      <c r="B19" s="45" t="s">
        <v>46</v>
      </c>
      <c r="C19" s="50">
        <v>95</v>
      </c>
      <c r="D19" s="50">
        <v>16</v>
      </c>
      <c r="E19" s="50">
        <v>11</v>
      </c>
      <c r="F19" s="50">
        <v>17</v>
      </c>
      <c r="G19" s="50">
        <v>1</v>
      </c>
      <c r="H19" s="50">
        <v>0</v>
      </c>
      <c r="I19" s="50">
        <v>5</v>
      </c>
      <c r="J19" s="50">
        <v>1</v>
      </c>
      <c r="K19" s="50">
        <v>0</v>
      </c>
      <c r="L19" s="50">
        <v>1</v>
      </c>
      <c r="M19" s="50">
        <v>215</v>
      </c>
      <c r="N19" s="50">
        <v>0</v>
      </c>
      <c r="O19" s="15">
        <f t="shared" si="0"/>
        <v>147</v>
      </c>
      <c r="P19" s="15">
        <f t="shared" si="1"/>
        <v>362</v>
      </c>
      <c r="R19" s="1" t="s">
        <v>15</v>
      </c>
      <c r="S19" s="17">
        <f t="shared" ref="S19:AF19" si="11">SUM(C46:C49)</f>
        <v>298</v>
      </c>
      <c r="T19" s="17">
        <f t="shared" si="11"/>
        <v>37</v>
      </c>
      <c r="U19" s="17">
        <f t="shared" si="11"/>
        <v>31</v>
      </c>
      <c r="V19" s="17">
        <f t="shared" si="11"/>
        <v>27</v>
      </c>
      <c r="W19" s="17">
        <f t="shared" si="11"/>
        <v>2</v>
      </c>
      <c r="X19" s="17">
        <f t="shared" si="11"/>
        <v>1</v>
      </c>
      <c r="Y19" s="17">
        <f t="shared" si="11"/>
        <v>25</v>
      </c>
      <c r="Z19" s="17">
        <f t="shared" si="11"/>
        <v>15</v>
      </c>
      <c r="AA19" s="17">
        <f t="shared" si="11"/>
        <v>2</v>
      </c>
      <c r="AB19" s="17">
        <f t="shared" si="11"/>
        <v>4</v>
      </c>
      <c r="AC19" s="17">
        <f t="shared" si="11"/>
        <v>667</v>
      </c>
      <c r="AD19" s="17">
        <f t="shared" si="11"/>
        <v>0</v>
      </c>
      <c r="AE19" s="31">
        <f t="shared" si="11"/>
        <v>442</v>
      </c>
      <c r="AF19" s="31">
        <f t="shared" si="11"/>
        <v>1109</v>
      </c>
    </row>
    <row r="20" spans="2:32" ht="23.1" customHeight="1" x14ac:dyDescent="0.25">
      <c r="B20" s="45" t="s">
        <v>47</v>
      </c>
      <c r="C20" s="50">
        <v>80</v>
      </c>
      <c r="D20" s="50">
        <v>5</v>
      </c>
      <c r="E20" s="50">
        <v>4</v>
      </c>
      <c r="F20" s="50">
        <v>5</v>
      </c>
      <c r="G20" s="50">
        <v>0</v>
      </c>
      <c r="H20" s="50">
        <v>0</v>
      </c>
      <c r="I20" s="50">
        <v>0</v>
      </c>
      <c r="J20" s="50">
        <v>3</v>
      </c>
      <c r="K20" s="50">
        <v>1</v>
      </c>
      <c r="L20" s="50">
        <v>0</v>
      </c>
      <c r="M20" s="50">
        <v>200</v>
      </c>
      <c r="N20" s="50">
        <v>0</v>
      </c>
      <c r="O20" s="15">
        <f t="shared" si="0"/>
        <v>98</v>
      </c>
      <c r="P20" s="15">
        <f t="shared" si="1"/>
        <v>298</v>
      </c>
      <c r="R20" s="1" t="s">
        <v>16</v>
      </c>
      <c r="S20" s="17">
        <f t="shared" ref="S20:AF20" si="12">SUM(C50:C53)</f>
        <v>316</v>
      </c>
      <c r="T20" s="17">
        <f t="shared" si="12"/>
        <v>25</v>
      </c>
      <c r="U20" s="17">
        <f t="shared" si="12"/>
        <v>28</v>
      </c>
      <c r="V20" s="17">
        <f t="shared" si="12"/>
        <v>19</v>
      </c>
      <c r="W20" s="17">
        <f t="shared" si="12"/>
        <v>2</v>
      </c>
      <c r="X20" s="17">
        <f t="shared" si="12"/>
        <v>0</v>
      </c>
      <c r="Y20" s="17">
        <f t="shared" si="12"/>
        <v>15</v>
      </c>
      <c r="Z20" s="17">
        <f t="shared" si="12"/>
        <v>17</v>
      </c>
      <c r="AA20" s="17">
        <f t="shared" si="12"/>
        <v>0</v>
      </c>
      <c r="AB20" s="17">
        <f t="shared" si="12"/>
        <v>1</v>
      </c>
      <c r="AC20" s="17">
        <f t="shared" si="12"/>
        <v>840</v>
      </c>
      <c r="AD20" s="17">
        <f t="shared" si="12"/>
        <v>0</v>
      </c>
      <c r="AE20" s="31">
        <f t="shared" si="12"/>
        <v>423</v>
      </c>
      <c r="AF20" s="31">
        <f t="shared" si="12"/>
        <v>1263</v>
      </c>
    </row>
    <row r="21" spans="2:32" ht="23.1" customHeight="1" x14ac:dyDescent="0.25">
      <c r="B21" s="45" t="s">
        <v>48</v>
      </c>
      <c r="C21" s="50">
        <v>85</v>
      </c>
      <c r="D21" s="50">
        <v>15</v>
      </c>
      <c r="E21" s="50">
        <v>5</v>
      </c>
      <c r="F21" s="50">
        <v>13</v>
      </c>
      <c r="G21" s="50">
        <v>0</v>
      </c>
      <c r="H21" s="50">
        <v>0</v>
      </c>
      <c r="I21" s="50">
        <v>4</v>
      </c>
      <c r="J21" s="50">
        <v>4</v>
      </c>
      <c r="K21" s="50">
        <v>2</v>
      </c>
      <c r="L21" s="50">
        <v>0</v>
      </c>
      <c r="M21" s="50">
        <v>203</v>
      </c>
      <c r="N21" s="50">
        <v>0</v>
      </c>
      <c r="O21" s="15">
        <f t="shared" si="0"/>
        <v>128</v>
      </c>
      <c r="P21" s="15">
        <f t="shared" si="1"/>
        <v>331</v>
      </c>
      <c r="R21" s="36" t="s">
        <v>20</v>
      </c>
      <c r="S21" s="34">
        <f t="shared" ref="S21:AF21" si="13">SUM(C54:C57)</f>
        <v>445</v>
      </c>
      <c r="T21" s="17">
        <f t="shared" si="13"/>
        <v>20</v>
      </c>
      <c r="U21" s="17">
        <f t="shared" si="13"/>
        <v>22</v>
      </c>
      <c r="V21" s="17">
        <f t="shared" si="13"/>
        <v>48</v>
      </c>
      <c r="W21" s="17">
        <f t="shared" si="13"/>
        <v>8</v>
      </c>
      <c r="X21" s="17">
        <f t="shared" si="13"/>
        <v>2</v>
      </c>
      <c r="Y21" s="17">
        <f t="shared" si="13"/>
        <v>15</v>
      </c>
      <c r="Z21" s="17">
        <f t="shared" si="13"/>
        <v>17</v>
      </c>
      <c r="AA21" s="17">
        <f t="shared" si="13"/>
        <v>1</v>
      </c>
      <c r="AB21" s="17">
        <f t="shared" si="13"/>
        <v>2</v>
      </c>
      <c r="AC21" s="17">
        <f t="shared" si="13"/>
        <v>865</v>
      </c>
      <c r="AD21" s="17">
        <f t="shared" si="13"/>
        <v>0</v>
      </c>
      <c r="AE21" s="31">
        <f t="shared" si="13"/>
        <v>580</v>
      </c>
      <c r="AF21" s="31">
        <f t="shared" si="13"/>
        <v>1445</v>
      </c>
    </row>
    <row r="22" spans="2:32" ht="23.1" customHeight="1" x14ac:dyDescent="0.25">
      <c r="B22" s="45" t="s">
        <v>49</v>
      </c>
      <c r="C22" s="50">
        <v>60</v>
      </c>
      <c r="D22" s="50">
        <v>11</v>
      </c>
      <c r="E22" s="50">
        <v>6</v>
      </c>
      <c r="F22" s="50">
        <v>6</v>
      </c>
      <c r="G22" s="50">
        <v>0</v>
      </c>
      <c r="H22" s="50">
        <v>0</v>
      </c>
      <c r="I22" s="50">
        <v>3</v>
      </c>
      <c r="J22" s="50">
        <v>1</v>
      </c>
      <c r="K22" s="50">
        <v>0</v>
      </c>
      <c r="L22" s="50">
        <v>0</v>
      </c>
      <c r="M22" s="50">
        <v>180</v>
      </c>
      <c r="N22" s="50">
        <v>0</v>
      </c>
      <c r="O22" s="15">
        <f t="shared" si="0"/>
        <v>87</v>
      </c>
      <c r="P22" s="15">
        <f t="shared" si="1"/>
        <v>267</v>
      </c>
      <c r="R22" s="36" t="s">
        <v>146</v>
      </c>
      <c r="S22" s="34">
        <f>SUM(C58:C61)</f>
        <v>317</v>
      </c>
      <c r="T22" s="34">
        <f t="shared" ref="T22:AF22" si="14">SUM(D58:D61)</f>
        <v>9</v>
      </c>
      <c r="U22" s="34">
        <f t="shared" si="14"/>
        <v>10</v>
      </c>
      <c r="V22" s="34">
        <f t="shared" si="14"/>
        <v>75</v>
      </c>
      <c r="W22" s="34">
        <f t="shared" si="14"/>
        <v>4</v>
      </c>
      <c r="X22" s="34">
        <f t="shared" si="14"/>
        <v>0</v>
      </c>
      <c r="Y22" s="34">
        <f t="shared" si="14"/>
        <v>17</v>
      </c>
      <c r="Z22" s="34">
        <f t="shared" si="14"/>
        <v>3</v>
      </c>
      <c r="AA22" s="34">
        <f t="shared" si="14"/>
        <v>1</v>
      </c>
      <c r="AB22" s="34">
        <f t="shared" si="14"/>
        <v>2</v>
      </c>
      <c r="AC22" s="34">
        <f t="shared" si="14"/>
        <v>911</v>
      </c>
      <c r="AD22" s="34">
        <f t="shared" si="14"/>
        <v>0</v>
      </c>
      <c r="AE22" s="31">
        <f t="shared" si="14"/>
        <v>438</v>
      </c>
      <c r="AF22" s="31">
        <f t="shared" si="14"/>
        <v>1349</v>
      </c>
    </row>
    <row r="23" spans="2:32" ht="23.1" customHeight="1" x14ac:dyDescent="0.25">
      <c r="B23" s="45" t="s">
        <v>50</v>
      </c>
      <c r="C23" s="50">
        <v>80</v>
      </c>
      <c r="D23" s="50">
        <v>9</v>
      </c>
      <c r="E23" s="50">
        <v>6</v>
      </c>
      <c r="F23" s="50">
        <v>5</v>
      </c>
      <c r="G23" s="50">
        <v>1</v>
      </c>
      <c r="H23" s="50">
        <v>0</v>
      </c>
      <c r="I23" s="50">
        <v>3</v>
      </c>
      <c r="J23" s="50">
        <v>1</v>
      </c>
      <c r="K23" s="50">
        <v>0</v>
      </c>
      <c r="L23" s="50">
        <v>1</v>
      </c>
      <c r="M23" s="50">
        <v>215</v>
      </c>
      <c r="N23" s="50">
        <v>0</v>
      </c>
      <c r="O23" s="15">
        <f t="shared" si="0"/>
        <v>106</v>
      </c>
      <c r="P23" s="15">
        <f t="shared" si="1"/>
        <v>321</v>
      </c>
      <c r="R23" s="36" t="s">
        <v>147</v>
      </c>
      <c r="S23" s="34">
        <f>SUM(C62:C65)</f>
        <v>285</v>
      </c>
      <c r="T23" s="34">
        <f t="shared" ref="T23:AF23" si="15">SUM(D62:D65)</f>
        <v>6</v>
      </c>
      <c r="U23" s="34">
        <f t="shared" si="15"/>
        <v>12</v>
      </c>
      <c r="V23" s="34">
        <f t="shared" si="15"/>
        <v>136</v>
      </c>
      <c r="W23" s="34">
        <f t="shared" si="15"/>
        <v>6</v>
      </c>
      <c r="X23" s="34">
        <f t="shared" si="15"/>
        <v>0</v>
      </c>
      <c r="Y23" s="34">
        <f t="shared" si="15"/>
        <v>14</v>
      </c>
      <c r="Z23" s="34">
        <f t="shared" si="15"/>
        <v>4</v>
      </c>
      <c r="AA23" s="34">
        <f t="shared" si="15"/>
        <v>7</v>
      </c>
      <c r="AB23" s="34">
        <f t="shared" si="15"/>
        <v>1</v>
      </c>
      <c r="AC23" s="34">
        <f t="shared" si="15"/>
        <v>860</v>
      </c>
      <c r="AD23" s="34">
        <f t="shared" si="15"/>
        <v>0</v>
      </c>
      <c r="AE23" s="31">
        <f t="shared" si="15"/>
        <v>471</v>
      </c>
      <c r="AF23" s="31">
        <f t="shared" si="15"/>
        <v>1331</v>
      </c>
    </row>
    <row r="24" spans="2:32" ht="23.1" customHeight="1" x14ac:dyDescent="0.25">
      <c r="B24" s="45" t="s">
        <v>51</v>
      </c>
      <c r="C24" s="50">
        <v>75</v>
      </c>
      <c r="D24" s="50">
        <v>9</v>
      </c>
      <c r="E24" s="50">
        <v>7</v>
      </c>
      <c r="F24" s="50">
        <v>7</v>
      </c>
      <c r="G24" s="50">
        <v>2</v>
      </c>
      <c r="H24" s="50">
        <v>0</v>
      </c>
      <c r="I24" s="50">
        <v>7</v>
      </c>
      <c r="J24" s="50">
        <v>4</v>
      </c>
      <c r="K24" s="50">
        <v>0</v>
      </c>
      <c r="L24" s="50">
        <v>0</v>
      </c>
      <c r="M24" s="50">
        <v>230</v>
      </c>
      <c r="N24" s="50">
        <v>0</v>
      </c>
      <c r="O24" s="15">
        <f t="shared" si="0"/>
        <v>111</v>
      </c>
      <c r="P24" s="15">
        <f t="shared" si="1"/>
        <v>341</v>
      </c>
      <c r="R24" s="36" t="s">
        <v>148</v>
      </c>
      <c r="S24" s="34">
        <f>SUM(C66:C69)</f>
        <v>226</v>
      </c>
      <c r="T24" s="34">
        <f t="shared" ref="T24:AF24" si="16">SUM(D66:D69)</f>
        <v>18</v>
      </c>
      <c r="U24" s="34">
        <f t="shared" si="16"/>
        <v>7</v>
      </c>
      <c r="V24" s="34">
        <f t="shared" si="16"/>
        <v>125</v>
      </c>
      <c r="W24" s="34">
        <f t="shared" si="16"/>
        <v>1</v>
      </c>
      <c r="X24" s="34">
        <f t="shared" si="16"/>
        <v>0</v>
      </c>
      <c r="Y24" s="34">
        <f t="shared" si="16"/>
        <v>12</v>
      </c>
      <c r="Z24" s="34">
        <f t="shared" si="16"/>
        <v>3</v>
      </c>
      <c r="AA24" s="34">
        <f t="shared" si="16"/>
        <v>1</v>
      </c>
      <c r="AB24" s="34">
        <f t="shared" si="16"/>
        <v>1</v>
      </c>
      <c r="AC24" s="34">
        <f t="shared" si="16"/>
        <v>720</v>
      </c>
      <c r="AD24" s="34">
        <f t="shared" si="16"/>
        <v>0</v>
      </c>
      <c r="AE24" s="31">
        <f t="shared" si="16"/>
        <v>394</v>
      </c>
      <c r="AF24" s="31">
        <f t="shared" si="16"/>
        <v>1114</v>
      </c>
    </row>
    <row r="25" spans="2:32" ht="23.1" customHeight="1" x14ac:dyDescent="0.25">
      <c r="B25" s="45" t="s">
        <v>52</v>
      </c>
      <c r="C25" s="50">
        <v>75</v>
      </c>
      <c r="D25" s="50">
        <v>12</v>
      </c>
      <c r="E25" s="50">
        <v>5</v>
      </c>
      <c r="F25" s="50">
        <v>4</v>
      </c>
      <c r="G25" s="50">
        <v>1</v>
      </c>
      <c r="H25" s="50">
        <v>0</v>
      </c>
      <c r="I25" s="50">
        <v>5</v>
      </c>
      <c r="J25" s="50">
        <v>4</v>
      </c>
      <c r="K25" s="50">
        <v>0</v>
      </c>
      <c r="L25" s="50">
        <v>1</v>
      </c>
      <c r="M25" s="50">
        <v>175</v>
      </c>
      <c r="N25" s="50">
        <v>0</v>
      </c>
      <c r="O25" s="15">
        <f t="shared" si="0"/>
        <v>107</v>
      </c>
      <c r="P25" s="15">
        <f t="shared" si="1"/>
        <v>282</v>
      </c>
      <c r="R25" s="36" t="s">
        <v>149</v>
      </c>
      <c r="S25" s="34">
        <f>SUM(C70:C73)</f>
        <v>74</v>
      </c>
      <c r="T25" s="34">
        <f t="shared" ref="T25:AF25" si="17">SUM(D70:D73)</f>
        <v>9</v>
      </c>
      <c r="U25" s="34">
        <f t="shared" si="17"/>
        <v>10</v>
      </c>
      <c r="V25" s="34">
        <f t="shared" si="17"/>
        <v>15</v>
      </c>
      <c r="W25" s="34">
        <f t="shared" si="17"/>
        <v>0</v>
      </c>
      <c r="X25" s="34">
        <f t="shared" si="17"/>
        <v>0</v>
      </c>
      <c r="Y25" s="34">
        <f t="shared" si="17"/>
        <v>5</v>
      </c>
      <c r="Z25" s="34">
        <f t="shared" si="17"/>
        <v>7</v>
      </c>
      <c r="AA25" s="34">
        <f t="shared" si="17"/>
        <v>0</v>
      </c>
      <c r="AB25" s="34">
        <f t="shared" si="17"/>
        <v>1</v>
      </c>
      <c r="AC25" s="34">
        <f t="shared" si="17"/>
        <v>159</v>
      </c>
      <c r="AD25" s="34">
        <f t="shared" si="17"/>
        <v>0</v>
      </c>
      <c r="AE25" s="31">
        <f t="shared" si="17"/>
        <v>121</v>
      </c>
      <c r="AF25" s="31">
        <f t="shared" si="17"/>
        <v>280</v>
      </c>
    </row>
    <row r="26" spans="2:32" ht="23.1" customHeight="1" x14ac:dyDescent="0.25">
      <c r="B26" s="45" t="s">
        <v>53</v>
      </c>
      <c r="C26" s="50">
        <v>95</v>
      </c>
      <c r="D26" s="50">
        <v>11</v>
      </c>
      <c r="E26" s="50">
        <v>10</v>
      </c>
      <c r="F26" s="50">
        <v>4</v>
      </c>
      <c r="G26" s="50">
        <v>0</v>
      </c>
      <c r="H26" s="50">
        <v>0</v>
      </c>
      <c r="I26" s="50">
        <v>3</v>
      </c>
      <c r="J26" s="50">
        <v>4</v>
      </c>
      <c r="K26" s="50">
        <v>0</v>
      </c>
      <c r="L26" s="50">
        <v>0</v>
      </c>
      <c r="M26" s="50">
        <v>215</v>
      </c>
      <c r="N26" s="50">
        <v>0</v>
      </c>
      <c r="O26" s="15">
        <f t="shared" si="0"/>
        <v>127</v>
      </c>
      <c r="P26" s="15">
        <f t="shared" si="1"/>
        <v>342</v>
      </c>
      <c r="R26" s="36" t="s">
        <v>150</v>
      </c>
      <c r="S26" s="34">
        <f>SUM(C74:C77)</f>
        <v>42</v>
      </c>
      <c r="T26" s="34">
        <f t="shared" ref="T26:AF26" si="18">SUM(D74:D77)</f>
        <v>7</v>
      </c>
      <c r="U26" s="34">
        <f t="shared" si="18"/>
        <v>9</v>
      </c>
      <c r="V26" s="34">
        <f t="shared" si="18"/>
        <v>8</v>
      </c>
      <c r="W26" s="34">
        <f t="shared" si="18"/>
        <v>0</v>
      </c>
      <c r="X26" s="34">
        <f t="shared" si="18"/>
        <v>0</v>
      </c>
      <c r="Y26" s="34">
        <f t="shared" si="18"/>
        <v>7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230</v>
      </c>
      <c r="AD26" s="34">
        <f t="shared" si="18"/>
        <v>0</v>
      </c>
      <c r="AE26" s="31">
        <f t="shared" si="18"/>
        <v>74</v>
      </c>
      <c r="AF26" s="31">
        <f t="shared" si="18"/>
        <v>304</v>
      </c>
    </row>
    <row r="27" spans="2:32" ht="23.1" customHeight="1" x14ac:dyDescent="0.25">
      <c r="B27" s="45" t="s">
        <v>54</v>
      </c>
      <c r="C27" s="50">
        <v>80</v>
      </c>
      <c r="D27" s="50">
        <v>7</v>
      </c>
      <c r="E27" s="50">
        <v>7</v>
      </c>
      <c r="F27" s="50">
        <v>5</v>
      </c>
      <c r="G27" s="50">
        <v>1</v>
      </c>
      <c r="H27" s="50">
        <v>0</v>
      </c>
      <c r="I27" s="50">
        <v>9</v>
      </c>
      <c r="J27" s="50">
        <v>4</v>
      </c>
      <c r="K27" s="50">
        <v>0</v>
      </c>
      <c r="L27" s="50">
        <v>0</v>
      </c>
      <c r="M27" s="50">
        <v>175</v>
      </c>
      <c r="N27" s="50">
        <v>0</v>
      </c>
      <c r="O27" s="15">
        <f t="shared" si="0"/>
        <v>113</v>
      </c>
      <c r="P27" s="15">
        <f t="shared" si="1"/>
        <v>288</v>
      </c>
      <c r="R27" s="36" t="s">
        <v>151</v>
      </c>
      <c r="S27" s="34">
        <f>SUM(C78:C81)</f>
        <v>30</v>
      </c>
      <c r="T27" s="34">
        <f t="shared" ref="T27:AF27" si="19">SUM(D78:D81)</f>
        <v>2</v>
      </c>
      <c r="U27" s="34">
        <f t="shared" si="19"/>
        <v>8</v>
      </c>
      <c r="V27" s="34">
        <f t="shared" si="19"/>
        <v>12</v>
      </c>
      <c r="W27" s="34">
        <f t="shared" si="19"/>
        <v>0</v>
      </c>
      <c r="X27" s="34">
        <f t="shared" si="19"/>
        <v>0</v>
      </c>
      <c r="Y27" s="34">
        <f t="shared" si="19"/>
        <v>5</v>
      </c>
      <c r="Z27" s="34">
        <f t="shared" si="19"/>
        <v>5</v>
      </c>
      <c r="AA27" s="34">
        <f t="shared" si="19"/>
        <v>0</v>
      </c>
      <c r="AB27" s="34">
        <f t="shared" si="19"/>
        <v>2</v>
      </c>
      <c r="AC27" s="34">
        <f t="shared" si="19"/>
        <v>80</v>
      </c>
      <c r="AD27" s="34">
        <f t="shared" si="19"/>
        <v>0</v>
      </c>
      <c r="AE27" s="31">
        <f t="shared" si="19"/>
        <v>64</v>
      </c>
      <c r="AF27" s="31">
        <f t="shared" si="19"/>
        <v>144</v>
      </c>
    </row>
    <row r="28" spans="2:32" ht="23.1" customHeight="1" x14ac:dyDescent="0.25">
      <c r="B28" s="45" t="s">
        <v>55</v>
      </c>
      <c r="C28" s="50">
        <v>75</v>
      </c>
      <c r="D28" s="50">
        <v>6</v>
      </c>
      <c r="E28" s="50">
        <v>13</v>
      </c>
      <c r="F28" s="50">
        <v>5</v>
      </c>
      <c r="G28" s="50">
        <v>0</v>
      </c>
      <c r="H28" s="50">
        <v>0</v>
      </c>
      <c r="I28" s="50">
        <v>5</v>
      </c>
      <c r="J28" s="50">
        <v>2</v>
      </c>
      <c r="K28" s="50">
        <v>0</v>
      </c>
      <c r="L28" s="50">
        <v>0</v>
      </c>
      <c r="M28" s="50">
        <v>170</v>
      </c>
      <c r="N28" s="50">
        <v>0</v>
      </c>
      <c r="O28" s="15">
        <f t="shared" si="0"/>
        <v>106</v>
      </c>
      <c r="P28" s="15">
        <f t="shared" si="1"/>
        <v>276</v>
      </c>
      <c r="R28" s="36" t="s">
        <v>152</v>
      </c>
      <c r="S28" s="34">
        <f>SUM(C82:C85)</f>
        <v>29</v>
      </c>
      <c r="T28" s="34">
        <f t="shared" ref="T28:AF28" si="20">SUM(D82:D85)</f>
        <v>3</v>
      </c>
      <c r="U28" s="34">
        <f t="shared" si="20"/>
        <v>5</v>
      </c>
      <c r="V28" s="34">
        <f t="shared" si="20"/>
        <v>3</v>
      </c>
      <c r="W28" s="34">
        <f t="shared" si="20"/>
        <v>0</v>
      </c>
      <c r="X28" s="34">
        <f t="shared" si="20"/>
        <v>1</v>
      </c>
      <c r="Y28" s="34">
        <f t="shared" si="20"/>
        <v>2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54</v>
      </c>
      <c r="AD28" s="34">
        <f t="shared" si="20"/>
        <v>0</v>
      </c>
      <c r="AE28" s="31">
        <f t="shared" si="20"/>
        <v>44</v>
      </c>
      <c r="AF28" s="31">
        <f t="shared" si="20"/>
        <v>98</v>
      </c>
    </row>
    <row r="29" spans="2:32" ht="23.1" customHeight="1" x14ac:dyDescent="0.25">
      <c r="B29" s="45" t="s">
        <v>56</v>
      </c>
      <c r="C29" s="50">
        <v>81</v>
      </c>
      <c r="D29" s="50">
        <v>9</v>
      </c>
      <c r="E29" s="50">
        <v>5</v>
      </c>
      <c r="F29" s="50">
        <v>3</v>
      </c>
      <c r="G29" s="50">
        <v>0</v>
      </c>
      <c r="H29" s="50">
        <v>0</v>
      </c>
      <c r="I29" s="50">
        <v>0</v>
      </c>
      <c r="J29" s="50">
        <v>3</v>
      </c>
      <c r="K29" s="50">
        <v>0</v>
      </c>
      <c r="L29" s="50">
        <v>1</v>
      </c>
      <c r="M29" s="50">
        <v>220</v>
      </c>
      <c r="N29" s="50">
        <v>0</v>
      </c>
      <c r="O29" s="15">
        <f t="shared" si="0"/>
        <v>102</v>
      </c>
      <c r="P29" s="15">
        <f t="shared" si="1"/>
        <v>322</v>
      </c>
      <c r="R29" s="36" t="s">
        <v>153</v>
      </c>
      <c r="S29" s="34">
        <f>SUM(C86:C89)</f>
        <v>6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2</v>
      </c>
      <c r="AA29" s="34">
        <f t="shared" si="21"/>
        <v>0</v>
      </c>
      <c r="AB29" s="34">
        <f t="shared" si="21"/>
        <v>0</v>
      </c>
      <c r="AC29" s="34">
        <f t="shared" si="21"/>
        <v>18</v>
      </c>
      <c r="AD29" s="34">
        <f t="shared" si="21"/>
        <v>0</v>
      </c>
      <c r="AE29" s="31">
        <f t="shared" si="21"/>
        <v>10</v>
      </c>
      <c r="AF29" s="31">
        <f t="shared" si="21"/>
        <v>28</v>
      </c>
    </row>
    <row r="30" spans="2:32" ht="23.1" customHeight="1" x14ac:dyDescent="0.25">
      <c r="B30" s="45" t="s">
        <v>57</v>
      </c>
      <c r="C30" s="50">
        <v>90</v>
      </c>
      <c r="D30" s="50">
        <v>2</v>
      </c>
      <c r="E30" s="50">
        <v>6</v>
      </c>
      <c r="F30" s="50">
        <v>5</v>
      </c>
      <c r="G30" s="50">
        <v>1</v>
      </c>
      <c r="H30" s="50">
        <v>0</v>
      </c>
      <c r="I30" s="50">
        <v>5</v>
      </c>
      <c r="J30" s="50">
        <v>4</v>
      </c>
      <c r="K30" s="50">
        <v>0</v>
      </c>
      <c r="L30" s="50">
        <v>0</v>
      </c>
      <c r="M30" s="50">
        <v>135</v>
      </c>
      <c r="N30" s="50">
        <v>0</v>
      </c>
      <c r="O30" s="15">
        <f t="shared" si="0"/>
        <v>113</v>
      </c>
      <c r="P30" s="15">
        <f t="shared" si="1"/>
        <v>248</v>
      </c>
      <c r="R30" s="36" t="s">
        <v>154</v>
      </c>
      <c r="S30" s="34">
        <f>SUM(C90:C93)</f>
        <v>3</v>
      </c>
      <c r="T30" s="34">
        <f t="shared" ref="T30:AF30" si="22">SUM(D90:D93)</f>
        <v>6</v>
      </c>
      <c r="U30" s="34">
        <f t="shared" si="22"/>
        <v>0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3</v>
      </c>
      <c r="AA30" s="34">
        <f t="shared" si="22"/>
        <v>0</v>
      </c>
      <c r="AB30" s="34">
        <f t="shared" si="22"/>
        <v>0</v>
      </c>
      <c r="AC30" s="34">
        <f t="shared" si="22"/>
        <v>22</v>
      </c>
      <c r="AD30" s="34">
        <f t="shared" si="22"/>
        <v>0</v>
      </c>
      <c r="AE30" s="31">
        <f t="shared" si="22"/>
        <v>16</v>
      </c>
      <c r="AF30" s="31">
        <f t="shared" si="22"/>
        <v>38</v>
      </c>
    </row>
    <row r="31" spans="2:32" ht="23.1" customHeight="1" x14ac:dyDescent="0.25">
      <c r="B31" s="46" t="s">
        <v>58</v>
      </c>
      <c r="C31" s="50">
        <v>55</v>
      </c>
      <c r="D31" s="50">
        <v>11</v>
      </c>
      <c r="E31" s="50">
        <v>8</v>
      </c>
      <c r="F31" s="50">
        <v>2</v>
      </c>
      <c r="G31" s="50">
        <v>1</v>
      </c>
      <c r="H31" s="50">
        <v>0</v>
      </c>
      <c r="I31" s="50">
        <v>5</v>
      </c>
      <c r="J31" s="50">
        <v>3</v>
      </c>
      <c r="K31" s="50">
        <v>0</v>
      </c>
      <c r="L31" s="50">
        <v>0</v>
      </c>
      <c r="M31" s="50">
        <v>170</v>
      </c>
      <c r="N31" s="50">
        <v>0</v>
      </c>
      <c r="O31" s="15">
        <f t="shared" si="0"/>
        <v>85</v>
      </c>
      <c r="P31" s="15">
        <f t="shared" si="1"/>
        <v>255</v>
      </c>
      <c r="R31" s="36" t="s">
        <v>155</v>
      </c>
      <c r="S31" s="34">
        <f>SUM(C94:C97)</f>
        <v>6</v>
      </c>
      <c r="T31" s="34">
        <f t="shared" ref="T31:AF31" si="23">SUM(D94:D97)</f>
        <v>1</v>
      </c>
      <c r="U31" s="34">
        <f t="shared" si="23"/>
        <v>1</v>
      </c>
      <c r="V31" s="34">
        <f t="shared" si="23"/>
        <v>4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7</v>
      </c>
      <c r="AA31" s="34">
        <f t="shared" si="23"/>
        <v>1</v>
      </c>
      <c r="AB31" s="34">
        <f t="shared" si="23"/>
        <v>0</v>
      </c>
      <c r="AC31" s="34">
        <f t="shared" si="23"/>
        <v>19</v>
      </c>
      <c r="AD31" s="34">
        <f t="shared" si="23"/>
        <v>0</v>
      </c>
      <c r="AE31" s="31">
        <f t="shared" si="23"/>
        <v>23</v>
      </c>
      <c r="AF31" s="31">
        <f t="shared" si="23"/>
        <v>42</v>
      </c>
    </row>
    <row r="32" spans="2:32" ht="23.1" customHeight="1" x14ac:dyDescent="0.25">
      <c r="B32" s="46" t="s">
        <v>59</v>
      </c>
      <c r="C32" s="50">
        <v>58</v>
      </c>
      <c r="D32" s="50">
        <v>13</v>
      </c>
      <c r="E32" s="50">
        <v>14</v>
      </c>
      <c r="F32" s="50">
        <v>9</v>
      </c>
      <c r="G32" s="50">
        <v>0</v>
      </c>
      <c r="H32" s="50">
        <v>0</v>
      </c>
      <c r="I32" s="50">
        <v>7</v>
      </c>
      <c r="J32" s="50">
        <v>3</v>
      </c>
      <c r="K32" s="50">
        <v>1</v>
      </c>
      <c r="L32" s="50">
        <v>0</v>
      </c>
      <c r="M32" s="50">
        <v>180</v>
      </c>
      <c r="N32" s="50">
        <v>0</v>
      </c>
      <c r="O32" s="15">
        <f t="shared" si="0"/>
        <v>105</v>
      </c>
      <c r="P32" s="15">
        <f t="shared" si="1"/>
        <v>285</v>
      </c>
      <c r="R32" s="33" t="s">
        <v>156</v>
      </c>
      <c r="S32" s="34">
        <f>SUM(C98:C101)</f>
        <v>24</v>
      </c>
      <c r="T32" s="34">
        <f t="shared" ref="T32:AF32" si="24">SUM(D98:D101)</f>
        <v>10</v>
      </c>
      <c r="U32" s="34">
        <f t="shared" si="24"/>
        <v>6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3</v>
      </c>
      <c r="AA32" s="34">
        <f t="shared" si="24"/>
        <v>0</v>
      </c>
      <c r="AB32" s="34">
        <f t="shared" si="24"/>
        <v>0</v>
      </c>
      <c r="AC32" s="34">
        <f t="shared" si="24"/>
        <v>39</v>
      </c>
      <c r="AD32" s="34">
        <f t="shared" si="24"/>
        <v>0</v>
      </c>
      <c r="AE32" s="31">
        <f t="shared" si="24"/>
        <v>45</v>
      </c>
      <c r="AF32" s="31">
        <f t="shared" si="24"/>
        <v>84</v>
      </c>
    </row>
    <row r="33" spans="2:32" ht="23.1" customHeight="1" x14ac:dyDescent="0.25">
      <c r="B33" s="45" t="s">
        <v>60</v>
      </c>
      <c r="C33" s="50">
        <v>45</v>
      </c>
      <c r="D33" s="50">
        <v>9</v>
      </c>
      <c r="E33" s="50">
        <v>12</v>
      </c>
      <c r="F33" s="50">
        <v>3</v>
      </c>
      <c r="G33" s="50">
        <v>0</v>
      </c>
      <c r="H33" s="50">
        <v>0</v>
      </c>
      <c r="I33" s="50">
        <v>10</v>
      </c>
      <c r="J33" s="50">
        <v>2</v>
      </c>
      <c r="K33" s="50">
        <v>0</v>
      </c>
      <c r="L33" s="50">
        <v>0</v>
      </c>
      <c r="M33" s="50">
        <v>145</v>
      </c>
      <c r="N33" s="50">
        <v>0</v>
      </c>
      <c r="O33" s="15">
        <f t="shared" si="0"/>
        <v>81</v>
      </c>
      <c r="P33" s="15">
        <f t="shared" si="1"/>
        <v>226</v>
      </c>
      <c r="R33" s="33" t="s">
        <v>157</v>
      </c>
      <c r="S33" s="34">
        <f>SUM(C102:C105)</f>
        <v>37</v>
      </c>
      <c r="T33" s="34">
        <f t="shared" ref="T33:AF33" si="25">SUM(D102:D105)</f>
        <v>5</v>
      </c>
      <c r="U33" s="34">
        <f t="shared" si="25"/>
        <v>5</v>
      </c>
      <c r="V33" s="34">
        <f t="shared" si="25"/>
        <v>10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2</v>
      </c>
      <c r="AA33" s="34">
        <f t="shared" si="25"/>
        <v>0</v>
      </c>
      <c r="AB33" s="34">
        <f t="shared" si="25"/>
        <v>0</v>
      </c>
      <c r="AC33" s="34">
        <f t="shared" si="25"/>
        <v>51</v>
      </c>
      <c r="AD33" s="34">
        <f t="shared" si="25"/>
        <v>0</v>
      </c>
      <c r="AE33" s="31">
        <f t="shared" si="25"/>
        <v>61</v>
      </c>
      <c r="AF33" s="31">
        <f t="shared" si="25"/>
        <v>112</v>
      </c>
    </row>
    <row r="34" spans="2:32" ht="23.1" customHeight="1" x14ac:dyDescent="0.25">
      <c r="B34" s="46" t="s">
        <v>61</v>
      </c>
      <c r="C34" s="50">
        <v>80</v>
      </c>
      <c r="D34" s="50">
        <v>3</v>
      </c>
      <c r="E34" s="50">
        <v>4</v>
      </c>
      <c r="F34" s="50">
        <v>3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200</v>
      </c>
      <c r="N34" s="50">
        <v>0</v>
      </c>
      <c r="O34" s="15">
        <f t="shared" si="0"/>
        <v>92</v>
      </c>
      <c r="P34" s="15">
        <f t="shared" si="1"/>
        <v>292</v>
      </c>
      <c r="R34" s="38" t="s">
        <v>90</v>
      </c>
      <c r="S34" s="39">
        <f t="shared" ref="S34:AF34" si="26">MAX(S10:S12)</f>
        <v>532</v>
      </c>
      <c r="T34" s="39">
        <f t="shared" si="26"/>
        <v>59</v>
      </c>
      <c r="U34" s="39">
        <f t="shared" si="26"/>
        <v>46</v>
      </c>
      <c r="V34" s="39">
        <f t="shared" si="26"/>
        <v>145</v>
      </c>
      <c r="W34" s="39">
        <f t="shared" si="26"/>
        <v>2</v>
      </c>
      <c r="X34" s="39">
        <f t="shared" si="26"/>
        <v>1</v>
      </c>
      <c r="Y34" s="39">
        <f t="shared" si="26"/>
        <v>24</v>
      </c>
      <c r="Z34" s="39">
        <f t="shared" si="26"/>
        <v>12</v>
      </c>
      <c r="AA34" s="39">
        <f t="shared" si="26"/>
        <v>7</v>
      </c>
      <c r="AB34" s="39">
        <f t="shared" si="26"/>
        <v>3</v>
      </c>
      <c r="AC34" s="39">
        <f t="shared" si="26"/>
        <v>971</v>
      </c>
      <c r="AD34" s="39">
        <f t="shared" si="26"/>
        <v>0</v>
      </c>
      <c r="AE34" s="40">
        <f t="shared" si="26"/>
        <v>780</v>
      </c>
      <c r="AF34" s="40">
        <f t="shared" si="26"/>
        <v>1751</v>
      </c>
    </row>
    <row r="35" spans="2:32" ht="23.1" customHeight="1" x14ac:dyDescent="0.25">
      <c r="B35" s="46" t="s">
        <v>62</v>
      </c>
      <c r="C35" s="50">
        <v>95</v>
      </c>
      <c r="D35" s="50">
        <v>4</v>
      </c>
      <c r="E35" s="50">
        <v>5</v>
      </c>
      <c r="F35" s="50">
        <v>3</v>
      </c>
      <c r="G35" s="50">
        <v>0</v>
      </c>
      <c r="H35" s="50">
        <v>0</v>
      </c>
      <c r="I35" s="50">
        <v>4</v>
      </c>
      <c r="J35" s="50">
        <v>1</v>
      </c>
      <c r="K35" s="50">
        <v>0</v>
      </c>
      <c r="L35" s="50">
        <v>1</v>
      </c>
      <c r="M35" s="50">
        <v>160</v>
      </c>
      <c r="N35" s="50">
        <v>0</v>
      </c>
      <c r="O35" s="15">
        <f t="shared" si="0"/>
        <v>113</v>
      </c>
      <c r="P35" s="15">
        <f t="shared" si="1"/>
        <v>273</v>
      </c>
      <c r="R35" s="38" t="s">
        <v>91</v>
      </c>
      <c r="S35" s="39">
        <f t="shared" ref="S35:AF35" si="27">MAX(S13:S18)</f>
        <v>331</v>
      </c>
      <c r="T35" s="39">
        <f t="shared" si="27"/>
        <v>41</v>
      </c>
      <c r="U35" s="39">
        <f t="shared" si="27"/>
        <v>44</v>
      </c>
      <c r="V35" s="39">
        <f t="shared" si="27"/>
        <v>28</v>
      </c>
      <c r="W35" s="39">
        <f t="shared" si="27"/>
        <v>4</v>
      </c>
      <c r="X35" s="39">
        <f t="shared" si="27"/>
        <v>0</v>
      </c>
      <c r="Y35" s="39">
        <f t="shared" si="27"/>
        <v>27</v>
      </c>
      <c r="Z35" s="39">
        <f t="shared" si="27"/>
        <v>15</v>
      </c>
      <c r="AA35" s="39">
        <f t="shared" si="27"/>
        <v>3</v>
      </c>
      <c r="AB35" s="39">
        <f t="shared" si="27"/>
        <v>3</v>
      </c>
      <c r="AC35" s="39">
        <f t="shared" si="27"/>
        <v>800</v>
      </c>
      <c r="AD35" s="39">
        <f t="shared" si="27"/>
        <v>0</v>
      </c>
      <c r="AE35" s="40">
        <f t="shared" si="27"/>
        <v>448</v>
      </c>
      <c r="AF35" s="40">
        <f t="shared" si="27"/>
        <v>1228</v>
      </c>
    </row>
    <row r="36" spans="2:32" ht="23.1" customHeight="1" x14ac:dyDescent="0.25">
      <c r="B36" s="46" t="s">
        <v>63</v>
      </c>
      <c r="C36" s="50">
        <v>45</v>
      </c>
      <c r="D36" s="50">
        <v>2</v>
      </c>
      <c r="E36" s="50">
        <v>5</v>
      </c>
      <c r="F36" s="50">
        <v>4</v>
      </c>
      <c r="G36" s="50">
        <v>0</v>
      </c>
      <c r="H36" s="50">
        <v>0</v>
      </c>
      <c r="I36" s="50">
        <v>1</v>
      </c>
      <c r="J36" s="50">
        <v>1</v>
      </c>
      <c r="K36" s="50">
        <v>0</v>
      </c>
      <c r="L36" s="50">
        <v>2</v>
      </c>
      <c r="M36" s="50">
        <v>160</v>
      </c>
      <c r="N36" s="50">
        <v>0</v>
      </c>
      <c r="O36" s="15">
        <f t="shared" si="0"/>
        <v>60</v>
      </c>
      <c r="P36" s="15">
        <f t="shared" si="1"/>
        <v>220</v>
      </c>
      <c r="R36" s="38" t="s">
        <v>92</v>
      </c>
      <c r="S36" s="39">
        <f t="shared" ref="S36:AF36" si="28">MAX(S19:S21)</f>
        <v>445</v>
      </c>
      <c r="T36" s="39">
        <f t="shared" si="28"/>
        <v>37</v>
      </c>
      <c r="U36" s="39">
        <f t="shared" si="28"/>
        <v>31</v>
      </c>
      <c r="V36" s="39">
        <f t="shared" si="28"/>
        <v>48</v>
      </c>
      <c r="W36" s="39">
        <f t="shared" si="28"/>
        <v>8</v>
      </c>
      <c r="X36" s="39">
        <f t="shared" si="28"/>
        <v>2</v>
      </c>
      <c r="Y36" s="39">
        <f t="shared" si="28"/>
        <v>25</v>
      </c>
      <c r="Z36" s="39">
        <f t="shared" si="28"/>
        <v>17</v>
      </c>
      <c r="AA36" s="39">
        <f t="shared" si="28"/>
        <v>2</v>
      </c>
      <c r="AB36" s="39">
        <f t="shared" si="28"/>
        <v>4</v>
      </c>
      <c r="AC36" s="39">
        <f t="shared" si="28"/>
        <v>865</v>
      </c>
      <c r="AD36" s="39">
        <f t="shared" si="28"/>
        <v>0</v>
      </c>
      <c r="AE36" s="40">
        <f t="shared" si="28"/>
        <v>580</v>
      </c>
      <c r="AF36" s="40">
        <f t="shared" si="28"/>
        <v>1445</v>
      </c>
    </row>
    <row r="37" spans="2:32" ht="23.1" customHeight="1" x14ac:dyDescent="0.25">
      <c r="B37" s="45" t="s">
        <v>64</v>
      </c>
      <c r="C37" s="50">
        <v>50</v>
      </c>
      <c r="D37" s="50">
        <v>5</v>
      </c>
      <c r="E37" s="50">
        <v>8</v>
      </c>
      <c r="F37" s="50">
        <v>7</v>
      </c>
      <c r="G37" s="50">
        <v>0</v>
      </c>
      <c r="H37" s="50">
        <v>0</v>
      </c>
      <c r="I37" s="50">
        <v>1</v>
      </c>
      <c r="J37" s="50">
        <v>7</v>
      </c>
      <c r="K37" s="50">
        <v>2</v>
      </c>
      <c r="L37" s="50">
        <v>0</v>
      </c>
      <c r="M37" s="50">
        <v>130</v>
      </c>
      <c r="N37" s="50">
        <v>0</v>
      </c>
      <c r="O37" s="15">
        <f t="shared" si="0"/>
        <v>80</v>
      </c>
      <c r="P37" s="15">
        <f t="shared" si="1"/>
        <v>210</v>
      </c>
      <c r="R37" s="37" t="s">
        <v>85</v>
      </c>
      <c r="S37" s="35">
        <f t="shared" ref="S37:AF37" si="29">SUM(S10:S12)</f>
        <v>1409</v>
      </c>
      <c r="T37" s="16">
        <f t="shared" si="29"/>
        <v>143</v>
      </c>
      <c r="U37" s="16">
        <f t="shared" si="29"/>
        <v>103</v>
      </c>
      <c r="V37" s="16">
        <f t="shared" si="29"/>
        <v>332</v>
      </c>
      <c r="W37" s="16">
        <f t="shared" si="29"/>
        <v>5</v>
      </c>
      <c r="X37" s="16">
        <f t="shared" si="29"/>
        <v>3</v>
      </c>
      <c r="Y37" s="16">
        <f t="shared" si="29"/>
        <v>56</v>
      </c>
      <c r="Z37" s="16">
        <f t="shared" si="29"/>
        <v>31</v>
      </c>
      <c r="AA37" s="16">
        <f t="shared" si="29"/>
        <v>12</v>
      </c>
      <c r="AB37" s="16">
        <f t="shared" si="29"/>
        <v>5</v>
      </c>
      <c r="AC37" s="16">
        <f t="shared" si="29"/>
        <v>2829</v>
      </c>
      <c r="AD37" s="16">
        <f t="shared" si="29"/>
        <v>0</v>
      </c>
      <c r="AE37" s="32">
        <f t="shared" si="29"/>
        <v>2099</v>
      </c>
      <c r="AF37" s="32">
        <f t="shared" si="29"/>
        <v>4928</v>
      </c>
    </row>
    <row r="38" spans="2:32" ht="23.1" customHeight="1" x14ac:dyDescent="0.25">
      <c r="B38" s="46" t="s">
        <v>65</v>
      </c>
      <c r="C38" s="50">
        <v>65</v>
      </c>
      <c r="D38" s="50">
        <v>4</v>
      </c>
      <c r="E38" s="50">
        <v>3</v>
      </c>
      <c r="F38" s="50">
        <v>5</v>
      </c>
      <c r="G38" s="50">
        <v>0</v>
      </c>
      <c r="H38" s="50">
        <v>0</v>
      </c>
      <c r="I38" s="50">
        <v>0</v>
      </c>
      <c r="J38" s="50">
        <v>4</v>
      </c>
      <c r="K38" s="50">
        <v>0</v>
      </c>
      <c r="L38" s="50">
        <v>0</v>
      </c>
      <c r="M38" s="50">
        <v>185</v>
      </c>
      <c r="N38" s="50">
        <v>0</v>
      </c>
      <c r="O38" s="15">
        <f t="shared" si="0"/>
        <v>81</v>
      </c>
      <c r="P38" s="15">
        <f t="shared" si="1"/>
        <v>266</v>
      </c>
      <c r="R38" s="28" t="s">
        <v>86</v>
      </c>
      <c r="S38" s="16">
        <f t="shared" ref="S38:AF38" si="30">SUM(S13:S18)</f>
        <v>1705</v>
      </c>
      <c r="T38" s="16">
        <f t="shared" si="30"/>
        <v>186</v>
      </c>
      <c r="U38" s="16">
        <f t="shared" si="30"/>
        <v>184</v>
      </c>
      <c r="V38" s="16">
        <f t="shared" si="30"/>
        <v>116</v>
      </c>
      <c r="W38" s="16">
        <f t="shared" si="30"/>
        <v>8</v>
      </c>
      <c r="X38" s="16">
        <f t="shared" si="30"/>
        <v>0</v>
      </c>
      <c r="Y38" s="16">
        <f t="shared" si="30"/>
        <v>107</v>
      </c>
      <c r="Z38" s="16">
        <f t="shared" si="30"/>
        <v>70</v>
      </c>
      <c r="AA38" s="16">
        <f t="shared" si="30"/>
        <v>7</v>
      </c>
      <c r="AB38" s="16">
        <f t="shared" si="30"/>
        <v>11</v>
      </c>
      <c r="AC38" s="16">
        <f t="shared" si="30"/>
        <v>4075</v>
      </c>
      <c r="AD38" s="16">
        <f t="shared" si="30"/>
        <v>0</v>
      </c>
      <c r="AE38" s="32">
        <f t="shared" si="30"/>
        <v>2394</v>
      </c>
      <c r="AF38" s="32">
        <f t="shared" si="30"/>
        <v>6469</v>
      </c>
    </row>
    <row r="39" spans="2:32" ht="23.1" customHeight="1" x14ac:dyDescent="0.25">
      <c r="B39" s="46" t="s">
        <v>66</v>
      </c>
      <c r="C39" s="50">
        <v>40</v>
      </c>
      <c r="D39" s="50">
        <v>13</v>
      </c>
      <c r="E39" s="50">
        <v>3</v>
      </c>
      <c r="F39" s="50">
        <v>2</v>
      </c>
      <c r="G39" s="50">
        <v>0</v>
      </c>
      <c r="H39" s="50">
        <v>0</v>
      </c>
      <c r="I39" s="50">
        <v>7</v>
      </c>
      <c r="J39" s="50">
        <v>2</v>
      </c>
      <c r="K39" s="50">
        <v>0</v>
      </c>
      <c r="L39" s="50">
        <v>1</v>
      </c>
      <c r="M39" s="50">
        <v>195</v>
      </c>
      <c r="N39" s="50">
        <v>0</v>
      </c>
      <c r="O39" s="15">
        <f t="shared" si="0"/>
        <v>68</v>
      </c>
      <c r="P39" s="15">
        <f t="shared" si="1"/>
        <v>263</v>
      </c>
      <c r="R39" s="29" t="s">
        <v>87</v>
      </c>
      <c r="S39" s="16">
        <f t="shared" ref="S39:AF39" si="31">SUM(S19:S21)</f>
        <v>1059</v>
      </c>
      <c r="T39" s="16">
        <f t="shared" si="31"/>
        <v>82</v>
      </c>
      <c r="U39" s="16">
        <f t="shared" si="31"/>
        <v>81</v>
      </c>
      <c r="V39" s="16">
        <f t="shared" si="31"/>
        <v>94</v>
      </c>
      <c r="W39" s="16">
        <f t="shared" si="31"/>
        <v>12</v>
      </c>
      <c r="X39" s="16">
        <f t="shared" si="31"/>
        <v>3</v>
      </c>
      <c r="Y39" s="16">
        <f t="shared" si="31"/>
        <v>55</v>
      </c>
      <c r="Z39" s="16">
        <f t="shared" si="31"/>
        <v>49</v>
      </c>
      <c r="AA39" s="16">
        <f t="shared" si="31"/>
        <v>3</v>
      </c>
      <c r="AB39" s="16">
        <f t="shared" si="31"/>
        <v>7</v>
      </c>
      <c r="AC39" s="16">
        <f t="shared" si="31"/>
        <v>2372</v>
      </c>
      <c r="AD39" s="16">
        <f t="shared" si="31"/>
        <v>0</v>
      </c>
      <c r="AE39" s="32">
        <f t="shared" si="31"/>
        <v>1445</v>
      </c>
      <c r="AF39" s="32">
        <f t="shared" si="31"/>
        <v>3817</v>
      </c>
    </row>
    <row r="40" spans="2:32" ht="23.1" customHeight="1" x14ac:dyDescent="0.25">
      <c r="B40" s="46" t="s">
        <v>67</v>
      </c>
      <c r="C40" s="50">
        <v>105</v>
      </c>
      <c r="D40" s="50">
        <v>11</v>
      </c>
      <c r="E40" s="50">
        <v>6</v>
      </c>
      <c r="F40" s="50">
        <v>4</v>
      </c>
      <c r="G40" s="50">
        <v>0</v>
      </c>
      <c r="H40" s="50">
        <v>0</v>
      </c>
      <c r="I40" s="50">
        <v>0</v>
      </c>
      <c r="J40" s="50">
        <v>2</v>
      </c>
      <c r="K40" s="50">
        <v>1</v>
      </c>
      <c r="L40" s="50">
        <v>1</v>
      </c>
      <c r="M40" s="50">
        <v>170</v>
      </c>
      <c r="N40" s="50">
        <v>0</v>
      </c>
      <c r="O40" s="15">
        <f t="shared" si="0"/>
        <v>130</v>
      </c>
      <c r="P40" s="15">
        <f t="shared" si="1"/>
        <v>300</v>
      </c>
      <c r="R40" s="5" t="s">
        <v>17</v>
      </c>
      <c r="S40" s="16">
        <f t="shared" ref="S40:AF40" si="32">SUM(S10:S21)</f>
        <v>4173</v>
      </c>
      <c r="T40" s="16">
        <f t="shared" si="32"/>
        <v>411</v>
      </c>
      <c r="U40" s="16">
        <f t="shared" si="32"/>
        <v>368</v>
      </c>
      <c r="V40" s="16">
        <f t="shared" si="32"/>
        <v>542</v>
      </c>
      <c r="W40" s="16">
        <f t="shared" si="32"/>
        <v>25</v>
      </c>
      <c r="X40" s="16">
        <f t="shared" si="32"/>
        <v>6</v>
      </c>
      <c r="Y40" s="16">
        <f t="shared" si="32"/>
        <v>218</v>
      </c>
      <c r="Z40" s="16">
        <f t="shared" si="32"/>
        <v>150</v>
      </c>
      <c r="AA40" s="16">
        <f t="shared" si="32"/>
        <v>22</v>
      </c>
      <c r="AB40" s="16">
        <f t="shared" si="32"/>
        <v>23</v>
      </c>
      <c r="AC40" s="16">
        <f t="shared" si="32"/>
        <v>9276</v>
      </c>
      <c r="AD40" s="16">
        <f t="shared" si="32"/>
        <v>0</v>
      </c>
      <c r="AE40" s="32">
        <f t="shared" si="32"/>
        <v>5938</v>
      </c>
      <c r="AF40" s="32">
        <f t="shared" si="32"/>
        <v>15214</v>
      </c>
    </row>
    <row r="41" spans="2:32" ht="23.1" customHeight="1" x14ac:dyDescent="0.25">
      <c r="B41" s="45" t="s">
        <v>68</v>
      </c>
      <c r="C41" s="50">
        <v>81</v>
      </c>
      <c r="D41" s="50">
        <v>2</v>
      </c>
      <c r="E41" s="50">
        <v>7</v>
      </c>
      <c r="F41" s="50">
        <v>2</v>
      </c>
      <c r="G41" s="50">
        <v>0</v>
      </c>
      <c r="H41" s="50">
        <v>0</v>
      </c>
      <c r="I41" s="50">
        <v>6</v>
      </c>
      <c r="J41" s="50">
        <v>2</v>
      </c>
      <c r="K41" s="50">
        <v>0</v>
      </c>
      <c r="L41" s="50">
        <v>0</v>
      </c>
      <c r="M41" s="50">
        <v>150</v>
      </c>
      <c r="N41" s="50">
        <v>0</v>
      </c>
      <c r="O41" s="15">
        <f t="shared" si="0"/>
        <v>100</v>
      </c>
      <c r="P41" s="15">
        <f t="shared" si="1"/>
        <v>250</v>
      </c>
      <c r="R41" s="5" t="s">
        <v>159</v>
      </c>
      <c r="S41" s="16">
        <f>SUM(S10:S33)</f>
        <v>5252</v>
      </c>
      <c r="T41" s="16">
        <f t="shared" ref="T41:AF41" si="33">SUM(T10:T33)</f>
        <v>487</v>
      </c>
      <c r="U41" s="16">
        <f t="shared" si="33"/>
        <v>442</v>
      </c>
      <c r="V41" s="16">
        <f t="shared" si="33"/>
        <v>933</v>
      </c>
      <c r="W41" s="16">
        <f t="shared" si="33"/>
        <v>36</v>
      </c>
      <c r="X41" s="16">
        <f t="shared" si="33"/>
        <v>7</v>
      </c>
      <c r="Y41" s="16">
        <f t="shared" si="33"/>
        <v>289</v>
      </c>
      <c r="Z41" s="16">
        <f t="shared" si="33"/>
        <v>191</v>
      </c>
      <c r="AA41" s="16">
        <f t="shared" si="33"/>
        <v>32</v>
      </c>
      <c r="AB41" s="16">
        <f t="shared" si="33"/>
        <v>30</v>
      </c>
      <c r="AC41" s="16">
        <f t="shared" si="33"/>
        <v>12439</v>
      </c>
      <c r="AD41" s="16">
        <f t="shared" si="33"/>
        <v>0</v>
      </c>
      <c r="AE41" s="32">
        <f t="shared" si="33"/>
        <v>7699</v>
      </c>
      <c r="AF41" s="32">
        <f t="shared" si="33"/>
        <v>20138</v>
      </c>
    </row>
    <row r="42" spans="2:32" ht="23.1" customHeight="1" x14ac:dyDescent="0.25">
      <c r="B42" s="46" t="s">
        <v>69</v>
      </c>
      <c r="C42" s="50">
        <v>65</v>
      </c>
      <c r="D42" s="50">
        <v>6</v>
      </c>
      <c r="E42" s="50">
        <v>8</v>
      </c>
      <c r="F42" s="50">
        <v>13</v>
      </c>
      <c r="G42" s="50">
        <v>0</v>
      </c>
      <c r="H42" s="50">
        <v>0</v>
      </c>
      <c r="I42" s="50">
        <v>1</v>
      </c>
      <c r="J42" s="50">
        <v>1</v>
      </c>
      <c r="K42" s="50">
        <v>1</v>
      </c>
      <c r="L42" s="50">
        <v>0</v>
      </c>
      <c r="M42" s="50">
        <v>130</v>
      </c>
      <c r="N42" s="50">
        <v>0</v>
      </c>
      <c r="O42" s="15">
        <f t="shared" si="0"/>
        <v>95</v>
      </c>
      <c r="P42" s="15">
        <f t="shared" si="1"/>
        <v>225</v>
      </c>
      <c r="R42" s="5" t="s">
        <v>160</v>
      </c>
      <c r="S42" s="48">
        <f>S41/S40</f>
        <v>1.2585669781931463</v>
      </c>
      <c r="T42" s="48">
        <f t="shared" ref="T42:AF42" si="34">T41/T40</f>
        <v>1.1849148418491484</v>
      </c>
      <c r="U42" s="48">
        <f t="shared" si="34"/>
        <v>1.201086956521739</v>
      </c>
      <c r="V42" s="48">
        <f t="shared" si="34"/>
        <v>1.7214022140221403</v>
      </c>
      <c r="W42" s="48">
        <f t="shared" si="34"/>
        <v>1.44</v>
      </c>
      <c r="X42" s="48">
        <f t="shared" si="34"/>
        <v>1.1666666666666667</v>
      </c>
      <c r="Y42" s="48">
        <f t="shared" si="34"/>
        <v>1.3256880733944953</v>
      </c>
      <c r="Z42" s="48">
        <f t="shared" si="34"/>
        <v>1.2733333333333334</v>
      </c>
      <c r="AA42" s="48">
        <f t="shared" si="34"/>
        <v>1.4545454545454546</v>
      </c>
      <c r="AB42" s="48">
        <f t="shared" si="34"/>
        <v>1.3043478260869565</v>
      </c>
      <c r="AC42" s="48">
        <f t="shared" si="34"/>
        <v>1.3409874946097455</v>
      </c>
      <c r="AD42" s="48" t="e">
        <f t="shared" si="34"/>
        <v>#DIV/0!</v>
      </c>
      <c r="AE42" s="48">
        <f t="shared" si="34"/>
        <v>1.2965644998315931</v>
      </c>
      <c r="AF42" s="48">
        <f t="shared" si="34"/>
        <v>1.3236492704088341</v>
      </c>
    </row>
    <row r="43" spans="2:32" ht="23.1" customHeight="1" x14ac:dyDescent="0.25">
      <c r="B43" s="45" t="s">
        <v>70</v>
      </c>
      <c r="C43" s="50">
        <v>75</v>
      </c>
      <c r="D43" s="50">
        <v>11</v>
      </c>
      <c r="E43" s="50">
        <v>12</v>
      </c>
      <c r="F43" s="50">
        <v>8</v>
      </c>
      <c r="G43" s="50">
        <v>1</v>
      </c>
      <c r="H43" s="50">
        <v>0</v>
      </c>
      <c r="I43" s="50">
        <v>8</v>
      </c>
      <c r="J43" s="50">
        <v>3</v>
      </c>
      <c r="K43" s="50">
        <v>0</v>
      </c>
      <c r="L43" s="50">
        <v>1</v>
      </c>
      <c r="M43" s="50">
        <v>185</v>
      </c>
      <c r="N43" s="50">
        <v>0</v>
      </c>
      <c r="O43" s="15">
        <f t="shared" si="0"/>
        <v>119</v>
      </c>
      <c r="P43" s="15">
        <f t="shared" si="1"/>
        <v>304</v>
      </c>
    </row>
    <row r="44" spans="2:32" ht="23.1" customHeight="1" x14ac:dyDescent="0.25">
      <c r="B44" s="47" t="s">
        <v>71</v>
      </c>
      <c r="C44" s="50">
        <v>90</v>
      </c>
      <c r="D44" s="50">
        <v>7</v>
      </c>
      <c r="E44" s="50">
        <v>11</v>
      </c>
      <c r="F44" s="50">
        <v>3</v>
      </c>
      <c r="G44" s="50">
        <v>0</v>
      </c>
      <c r="H44" s="50">
        <v>0</v>
      </c>
      <c r="I44" s="50">
        <v>7</v>
      </c>
      <c r="J44" s="50">
        <v>6</v>
      </c>
      <c r="K44" s="50">
        <v>2</v>
      </c>
      <c r="L44" s="50">
        <v>1</v>
      </c>
      <c r="M44" s="50">
        <v>170</v>
      </c>
      <c r="N44" s="50">
        <v>0</v>
      </c>
      <c r="O44" s="15">
        <f t="shared" si="0"/>
        <v>127</v>
      </c>
      <c r="P44" s="15">
        <f t="shared" si="1"/>
        <v>297</v>
      </c>
    </row>
    <row r="45" spans="2:32" ht="23.1" customHeight="1" x14ac:dyDescent="0.25">
      <c r="B45" s="45" t="s">
        <v>72</v>
      </c>
      <c r="C45" s="50">
        <v>45</v>
      </c>
      <c r="D45" s="50">
        <v>9</v>
      </c>
      <c r="E45" s="50">
        <v>13</v>
      </c>
      <c r="F45" s="50">
        <v>4</v>
      </c>
      <c r="G45" s="50">
        <v>0</v>
      </c>
      <c r="H45" s="50">
        <v>0</v>
      </c>
      <c r="I45" s="50">
        <v>9</v>
      </c>
      <c r="J45" s="50">
        <v>5</v>
      </c>
      <c r="K45" s="50">
        <v>0</v>
      </c>
      <c r="L45" s="50">
        <v>1</v>
      </c>
      <c r="M45" s="50">
        <v>30</v>
      </c>
      <c r="N45" s="50">
        <v>0</v>
      </c>
      <c r="O45" s="15">
        <f t="shared" si="0"/>
        <v>86</v>
      </c>
      <c r="P45" s="15">
        <f t="shared" si="1"/>
        <v>116</v>
      </c>
    </row>
    <row r="46" spans="2:32" ht="23.1" customHeight="1" x14ac:dyDescent="0.25">
      <c r="B46" s="46" t="s">
        <v>73</v>
      </c>
      <c r="C46" s="50">
        <v>82</v>
      </c>
      <c r="D46" s="50">
        <v>13</v>
      </c>
      <c r="E46" s="50">
        <v>10</v>
      </c>
      <c r="F46" s="50">
        <v>4</v>
      </c>
      <c r="G46" s="50">
        <v>0</v>
      </c>
      <c r="H46" s="50">
        <v>0</v>
      </c>
      <c r="I46" s="50">
        <v>10</v>
      </c>
      <c r="J46" s="50">
        <v>5</v>
      </c>
      <c r="K46" s="50">
        <v>0</v>
      </c>
      <c r="L46" s="50">
        <v>1</v>
      </c>
      <c r="M46" s="50">
        <v>175</v>
      </c>
      <c r="N46" s="50">
        <v>0</v>
      </c>
      <c r="O46" s="15">
        <f t="shared" si="0"/>
        <v>125</v>
      </c>
      <c r="P46" s="15">
        <f t="shared" si="1"/>
        <v>300</v>
      </c>
      <c r="R46" s="8"/>
      <c r="T46"/>
    </row>
    <row r="47" spans="2:32" ht="23.1" customHeight="1" x14ac:dyDescent="0.25">
      <c r="B47" s="46" t="s">
        <v>74</v>
      </c>
      <c r="C47" s="50">
        <v>56</v>
      </c>
      <c r="D47" s="50">
        <v>5</v>
      </c>
      <c r="E47" s="50">
        <v>6</v>
      </c>
      <c r="F47" s="50">
        <v>9</v>
      </c>
      <c r="G47" s="50">
        <v>0</v>
      </c>
      <c r="H47" s="50">
        <v>0</v>
      </c>
      <c r="I47" s="50">
        <v>4</v>
      </c>
      <c r="J47" s="50">
        <v>5</v>
      </c>
      <c r="K47" s="50">
        <v>1</v>
      </c>
      <c r="L47" s="50">
        <v>0</v>
      </c>
      <c r="M47" s="50">
        <v>145</v>
      </c>
      <c r="N47" s="50">
        <v>0</v>
      </c>
      <c r="O47" s="15">
        <f t="shared" si="0"/>
        <v>86</v>
      </c>
      <c r="P47" s="15">
        <f t="shared" si="1"/>
        <v>231</v>
      </c>
      <c r="R47" s="8"/>
      <c r="T47"/>
    </row>
    <row r="48" spans="2:32" ht="23.1" customHeight="1" x14ac:dyDescent="0.25">
      <c r="B48" s="46" t="s">
        <v>75</v>
      </c>
      <c r="C48" s="50">
        <v>75</v>
      </c>
      <c r="D48" s="50">
        <v>8</v>
      </c>
      <c r="E48" s="50">
        <v>5</v>
      </c>
      <c r="F48" s="50">
        <v>10</v>
      </c>
      <c r="G48" s="50">
        <v>0</v>
      </c>
      <c r="H48" s="50">
        <v>0</v>
      </c>
      <c r="I48" s="50">
        <v>8</v>
      </c>
      <c r="J48" s="50">
        <v>4</v>
      </c>
      <c r="K48" s="50">
        <v>1</v>
      </c>
      <c r="L48" s="50">
        <v>0</v>
      </c>
      <c r="M48" s="50">
        <v>177</v>
      </c>
      <c r="N48" s="50">
        <v>0</v>
      </c>
      <c r="O48" s="15">
        <f t="shared" si="0"/>
        <v>111</v>
      </c>
      <c r="P48" s="15">
        <f t="shared" si="1"/>
        <v>288</v>
      </c>
      <c r="R48" s="8"/>
      <c r="T48"/>
    </row>
    <row r="49" spans="2:20" ht="23.1" customHeight="1" x14ac:dyDescent="0.25">
      <c r="B49" s="45" t="s">
        <v>76</v>
      </c>
      <c r="C49" s="50">
        <v>85</v>
      </c>
      <c r="D49" s="50">
        <v>11</v>
      </c>
      <c r="E49" s="50">
        <v>10</v>
      </c>
      <c r="F49" s="50">
        <v>4</v>
      </c>
      <c r="G49" s="50">
        <v>2</v>
      </c>
      <c r="H49" s="50">
        <v>1</v>
      </c>
      <c r="I49" s="50">
        <v>3</v>
      </c>
      <c r="J49" s="50">
        <v>1</v>
      </c>
      <c r="K49" s="50">
        <v>0</v>
      </c>
      <c r="L49" s="50">
        <v>3</v>
      </c>
      <c r="M49" s="50">
        <v>170</v>
      </c>
      <c r="N49" s="50">
        <v>0</v>
      </c>
      <c r="O49" s="15">
        <f t="shared" si="0"/>
        <v>120</v>
      </c>
      <c r="P49" s="15">
        <f t="shared" si="1"/>
        <v>290</v>
      </c>
      <c r="R49" s="8"/>
      <c r="T49"/>
    </row>
    <row r="50" spans="2:20" ht="23.1" customHeight="1" x14ac:dyDescent="0.25">
      <c r="B50" s="46" t="s">
        <v>77</v>
      </c>
      <c r="C50" s="50">
        <v>75</v>
      </c>
      <c r="D50" s="50">
        <v>5</v>
      </c>
      <c r="E50" s="50">
        <v>7</v>
      </c>
      <c r="F50" s="50">
        <v>4</v>
      </c>
      <c r="G50" s="50">
        <v>0</v>
      </c>
      <c r="H50" s="50">
        <v>0</v>
      </c>
      <c r="I50" s="50">
        <v>3</v>
      </c>
      <c r="J50" s="50">
        <v>9</v>
      </c>
      <c r="K50" s="50">
        <v>0</v>
      </c>
      <c r="L50" s="50">
        <v>0</v>
      </c>
      <c r="M50" s="50">
        <v>185</v>
      </c>
      <c r="N50" s="50">
        <v>0</v>
      </c>
      <c r="O50" s="15">
        <f t="shared" si="0"/>
        <v>103</v>
      </c>
      <c r="P50" s="15">
        <f t="shared" si="1"/>
        <v>288</v>
      </c>
      <c r="R50" s="8"/>
      <c r="T50"/>
    </row>
    <row r="51" spans="2:20" ht="23.1" customHeight="1" x14ac:dyDescent="0.25">
      <c r="B51" s="46" t="s">
        <v>78</v>
      </c>
      <c r="C51" s="50">
        <v>90</v>
      </c>
      <c r="D51" s="50">
        <v>3</v>
      </c>
      <c r="E51" s="50">
        <v>11</v>
      </c>
      <c r="F51" s="50">
        <v>3</v>
      </c>
      <c r="G51" s="50">
        <v>0</v>
      </c>
      <c r="H51" s="50">
        <v>0</v>
      </c>
      <c r="I51" s="50">
        <v>5</v>
      </c>
      <c r="J51" s="50">
        <v>3</v>
      </c>
      <c r="K51" s="50">
        <v>0</v>
      </c>
      <c r="L51" s="50">
        <v>1</v>
      </c>
      <c r="M51" s="50">
        <v>230</v>
      </c>
      <c r="N51" s="50">
        <v>0</v>
      </c>
      <c r="O51" s="15">
        <f t="shared" si="0"/>
        <v>116</v>
      </c>
      <c r="P51" s="15">
        <f t="shared" si="1"/>
        <v>346</v>
      </c>
      <c r="R51" s="8"/>
      <c r="T51"/>
    </row>
    <row r="52" spans="2:20" ht="23.1" customHeight="1" x14ac:dyDescent="0.25">
      <c r="B52" s="46" t="s">
        <v>79</v>
      </c>
      <c r="C52" s="50">
        <v>81</v>
      </c>
      <c r="D52" s="50">
        <v>9</v>
      </c>
      <c r="E52" s="50">
        <v>3</v>
      </c>
      <c r="F52" s="50">
        <v>5</v>
      </c>
      <c r="G52" s="50">
        <v>2</v>
      </c>
      <c r="H52" s="50">
        <v>0</v>
      </c>
      <c r="I52" s="50">
        <v>4</v>
      </c>
      <c r="J52" s="50">
        <v>3</v>
      </c>
      <c r="K52" s="50">
        <v>0</v>
      </c>
      <c r="L52" s="50">
        <v>0</v>
      </c>
      <c r="M52" s="50">
        <v>240</v>
      </c>
      <c r="N52" s="50">
        <v>0</v>
      </c>
      <c r="O52" s="15">
        <f t="shared" si="0"/>
        <v>107</v>
      </c>
      <c r="P52" s="15">
        <f t="shared" si="1"/>
        <v>347</v>
      </c>
      <c r="R52" s="8"/>
      <c r="T52"/>
    </row>
    <row r="53" spans="2:20" ht="23.1" customHeight="1" x14ac:dyDescent="0.25">
      <c r="B53" s="45" t="s">
        <v>80</v>
      </c>
      <c r="C53" s="50">
        <v>70</v>
      </c>
      <c r="D53" s="50">
        <v>8</v>
      </c>
      <c r="E53" s="50">
        <v>7</v>
      </c>
      <c r="F53" s="50">
        <v>7</v>
      </c>
      <c r="G53" s="50">
        <v>0</v>
      </c>
      <c r="H53" s="50">
        <v>0</v>
      </c>
      <c r="I53" s="50">
        <v>3</v>
      </c>
      <c r="J53" s="50">
        <v>2</v>
      </c>
      <c r="K53" s="50">
        <v>0</v>
      </c>
      <c r="L53" s="50">
        <v>0</v>
      </c>
      <c r="M53" s="50">
        <v>185</v>
      </c>
      <c r="N53" s="50">
        <v>0</v>
      </c>
      <c r="O53" s="15">
        <f t="shared" si="0"/>
        <v>97</v>
      </c>
      <c r="P53" s="15">
        <f t="shared" si="1"/>
        <v>282</v>
      </c>
      <c r="R53" s="8"/>
      <c r="T53"/>
    </row>
    <row r="54" spans="2:20" ht="23.1" customHeight="1" x14ac:dyDescent="0.25">
      <c r="B54" s="45" t="s">
        <v>81</v>
      </c>
      <c r="C54" s="50">
        <v>90</v>
      </c>
      <c r="D54" s="50">
        <v>11</v>
      </c>
      <c r="E54" s="50">
        <v>12</v>
      </c>
      <c r="F54" s="50">
        <v>5</v>
      </c>
      <c r="G54" s="50">
        <v>0</v>
      </c>
      <c r="H54" s="50">
        <v>0</v>
      </c>
      <c r="I54" s="50">
        <v>2</v>
      </c>
      <c r="J54" s="50">
        <v>3</v>
      </c>
      <c r="K54" s="50">
        <v>0</v>
      </c>
      <c r="L54" s="50">
        <v>0</v>
      </c>
      <c r="M54" s="50">
        <v>205</v>
      </c>
      <c r="N54" s="50">
        <v>0</v>
      </c>
      <c r="O54" s="15">
        <f t="shared" si="0"/>
        <v>123</v>
      </c>
      <c r="P54" s="15">
        <f t="shared" si="1"/>
        <v>328</v>
      </c>
      <c r="R54" s="8"/>
      <c r="T54"/>
    </row>
    <row r="55" spans="2:20" ht="23.1" customHeight="1" x14ac:dyDescent="0.25">
      <c r="B55" s="45" t="s">
        <v>82</v>
      </c>
      <c r="C55" s="50">
        <v>140</v>
      </c>
      <c r="D55" s="50">
        <v>3</v>
      </c>
      <c r="E55" s="50">
        <v>4</v>
      </c>
      <c r="F55" s="50">
        <v>8</v>
      </c>
      <c r="G55" s="50">
        <v>4</v>
      </c>
      <c r="H55" s="50">
        <v>1</v>
      </c>
      <c r="I55" s="50">
        <v>4</v>
      </c>
      <c r="J55" s="50">
        <v>9</v>
      </c>
      <c r="K55" s="50">
        <v>0</v>
      </c>
      <c r="L55" s="50">
        <v>0</v>
      </c>
      <c r="M55" s="50">
        <v>235</v>
      </c>
      <c r="N55" s="50">
        <v>0</v>
      </c>
      <c r="O55" s="15">
        <f t="shared" si="0"/>
        <v>173</v>
      </c>
      <c r="P55" s="15">
        <f t="shared" si="1"/>
        <v>408</v>
      </c>
      <c r="R55" s="8"/>
      <c r="T55"/>
    </row>
    <row r="56" spans="2:20" ht="23.1" customHeight="1" x14ac:dyDescent="0.25">
      <c r="B56" s="45" t="s">
        <v>83</v>
      </c>
      <c r="C56" s="50">
        <v>100</v>
      </c>
      <c r="D56" s="50">
        <v>4</v>
      </c>
      <c r="E56" s="50">
        <v>0</v>
      </c>
      <c r="F56" s="50">
        <v>10</v>
      </c>
      <c r="G56" s="50">
        <v>3</v>
      </c>
      <c r="H56" s="50">
        <v>1</v>
      </c>
      <c r="I56" s="50">
        <v>3</v>
      </c>
      <c r="J56" s="50">
        <v>1</v>
      </c>
      <c r="K56" s="50">
        <v>0</v>
      </c>
      <c r="L56" s="50">
        <v>0</v>
      </c>
      <c r="M56" s="50">
        <v>195</v>
      </c>
      <c r="N56" s="50">
        <v>0</v>
      </c>
      <c r="O56" s="15">
        <f t="shared" si="0"/>
        <v>122</v>
      </c>
      <c r="P56" s="15">
        <f t="shared" si="1"/>
        <v>317</v>
      </c>
      <c r="R56" s="8"/>
      <c r="T56"/>
    </row>
    <row r="57" spans="2:20" ht="23.1" customHeight="1" x14ac:dyDescent="0.25">
      <c r="B57" s="45" t="s">
        <v>84</v>
      </c>
      <c r="C57" s="50">
        <v>115</v>
      </c>
      <c r="D57" s="50">
        <v>2</v>
      </c>
      <c r="E57" s="50">
        <v>6</v>
      </c>
      <c r="F57" s="50">
        <v>25</v>
      </c>
      <c r="G57" s="50">
        <v>1</v>
      </c>
      <c r="H57" s="50">
        <v>0</v>
      </c>
      <c r="I57" s="50">
        <v>6</v>
      </c>
      <c r="J57" s="50">
        <v>4</v>
      </c>
      <c r="K57" s="50">
        <v>1</v>
      </c>
      <c r="L57" s="50">
        <v>2</v>
      </c>
      <c r="M57" s="50">
        <v>230</v>
      </c>
      <c r="N57" s="50">
        <v>0</v>
      </c>
      <c r="O57" s="15">
        <f t="shared" si="0"/>
        <v>162</v>
      </c>
      <c r="P57" s="15">
        <f t="shared" si="1"/>
        <v>392</v>
      </c>
      <c r="R57" s="8"/>
      <c r="T57"/>
    </row>
    <row r="58" spans="2:20" ht="23.1" customHeight="1" x14ac:dyDescent="0.25">
      <c r="B58" s="45" t="s">
        <v>99</v>
      </c>
      <c r="C58" s="50">
        <v>86</v>
      </c>
      <c r="D58" s="50">
        <v>4</v>
      </c>
      <c r="E58" s="50">
        <v>5</v>
      </c>
      <c r="F58" s="50">
        <v>26</v>
      </c>
      <c r="G58" s="50">
        <v>1</v>
      </c>
      <c r="H58" s="50">
        <v>0</v>
      </c>
      <c r="I58" s="50">
        <v>5</v>
      </c>
      <c r="J58" s="50">
        <v>2</v>
      </c>
      <c r="K58" s="50">
        <v>1</v>
      </c>
      <c r="L58" s="50">
        <v>0</v>
      </c>
      <c r="M58" s="50">
        <v>236</v>
      </c>
      <c r="N58" s="50">
        <v>0</v>
      </c>
      <c r="O58" s="15">
        <f t="shared" si="0"/>
        <v>130</v>
      </c>
      <c r="P58" s="15">
        <f t="shared" si="1"/>
        <v>366</v>
      </c>
      <c r="R58" s="8"/>
      <c r="T58"/>
    </row>
    <row r="59" spans="2:20" ht="23.1" customHeight="1" x14ac:dyDescent="0.25">
      <c r="B59" s="45" t="s">
        <v>100</v>
      </c>
      <c r="C59" s="50">
        <v>90</v>
      </c>
      <c r="D59" s="50">
        <v>1</v>
      </c>
      <c r="E59" s="50">
        <v>3</v>
      </c>
      <c r="F59" s="50">
        <v>10</v>
      </c>
      <c r="G59" s="50">
        <v>0</v>
      </c>
      <c r="H59" s="50">
        <v>0</v>
      </c>
      <c r="I59" s="50">
        <v>4</v>
      </c>
      <c r="J59" s="50">
        <v>0</v>
      </c>
      <c r="K59" s="50">
        <v>0</v>
      </c>
      <c r="L59" s="50">
        <v>0</v>
      </c>
      <c r="M59" s="50">
        <v>220</v>
      </c>
      <c r="N59" s="50">
        <v>0</v>
      </c>
      <c r="O59" s="15">
        <f t="shared" si="0"/>
        <v>108</v>
      </c>
      <c r="P59" s="15">
        <f t="shared" si="1"/>
        <v>328</v>
      </c>
      <c r="R59" s="8"/>
      <c r="T59"/>
    </row>
    <row r="60" spans="2:20" ht="23.1" customHeight="1" x14ac:dyDescent="0.25">
      <c r="B60" s="45" t="s">
        <v>101</v>
      </c>
      <c r="C60" s="50">
        <v>71</v>
      </c>
      <c r="D60" s="50">
        <v>1</v>
      </c>
      <c r="E60" s="50">
        <v>0</v>
      </c>
      <c r="F60" s="50">
        <v>25</v>
      </c>
      <c r="G60" s="50">
        <v>1</v>
      </c>
      <c r="H60" s="50">
        <v>0</v>
      </c>
      <c r="I60" s="50">
        <v>6</v>
      </c>
      <c r="J60" s="50">
        <v>1</v>
      </c>
      <c r="K60" s="50">
        <v>0</v>
      </c>
      <c r="L60" s="50">
        <v>0</v>
      </c>
      <c r="M60" s="50">
        <v>245</v>
      </c>
      <c r="N60" s="50">
        <v>0</v>
      </c>
      <c r="O60" s="15">
        <f t="shared" si="0"/>
        <v>105</v>
      </c>
      <c r="P60" s="15">
        <f t="shared" si="1"/>
        <v>350</v>
      </c>
      <c r="R60" s="8"/>
      <c r="T60"/>
    </row>
    <row r="61" spans="2:20" ht="23.1" customHeight="1" x14ac:dyDescent="0.25">
      <c r="B61" s="45" t="s">
        <v>102</v>
      </c>
      <c r="C61" s="50">
        <v>70</v>
      </c>
      <c r="D61" s="50">
        <v>3</v>
      </c>
      <c r="E61" s="50">
        <v>2</v>
      </c>
      <c r="F61" s="50">
        <v>14</v>
      </c>
      <c r="G61" s="50">
        <v>2</v>
      </c>
      <c r="H61" s="50">
        <v>0</v>
      </c>
      <c r="I61" s="50">
        <v>2</v>
      </c>
      <c r="J61" s="50">
        <v>0</v>
      </c>
      <c r="K61" s="50">
        <v>0</v>
      </c>
      <c r="L61" s="50">
        <v>2</v>
      </c>
      <c r="M61" s="50">
        <v>210</v>
      </c>
      <c r="N61" s="50">
        <v>0</v>
      </c>
      <c r="O61" s="15">
        <f t="shared" si="0"/>
        <v>95</v>
      </c>
      <c r="P61" s="15">
        <f t="shared" si="1"/>
        <v>305</v>
      </c>
      <c r="R61" s="8"/>
      <c r="T61"/>
    </row>
    <row r="62" spans="2:20" ht="23.1" customHeight="1" x14ac:dyDescent="0.25">
      <c r="B62" s="45" t="s">
        <v>107</v>
      </c>
      <c r="C62" s="50">
        <v>80</v>
      </c>
      <c r="D62" s="50">
        <v>1</v>
      </c>
      <c r="E62" s="50">
        <v>10</v>
      </c>
      <c r="F62" s="50">
        <v>27</v>
      </c>
      <c r="G62" s="50">
        <v>4</v>
      </c>
      <c r="H62" s="50">
        <v>0</v>
      </c>
      <c r="I62" s="50">
        <v>2</v>
      </c>
      <c r="J62" s="50">
        <v>2</v>
      </c>
      <c r="K62" s="50">
        <v>1</v>
      </c>
      <c r="L62" s="50">
        <v>0</v>
      </c>
      <c r="M62" s="50">
        <v>220</v>
      </c>
      <c r="N62" s="50">
        <v>0</v>
      </c>
      <c r="O62" s="15">
        <f t="shared" si="0"/>
        <v>127</v>
      </c>
      <c r="P62" s="15">
        <f t="shared" si="1"/>
        <v>347</v>
      </c>
      <c r="R62" s="8"/>
      <c r="T62"/>
    </row>
    <row r="63" spans="2:20" ht="23.1" customHeight="1" x14ac:dyDescent="0.25">
      <c r="B63" s="45" t="s">
        <v>108</v>
      </c>
      <c r="C63" s="50">
        <v>65</v>
      </c>
      <c r="D63" s="50">
        <v>3</v>
      </c>
      <c r="E63" s="50">
        <v>0</v>
      </c>
      <c r="F63" s="50">
        <v>22</v>
      </c>
      <c r="G63" s="50">
        <v>2</v>
      </c>
      <c r="H63" s="50">
        <v>0</v>
      </c>
      <c r="I63" s="50">
        <v>2</v>
      </c>
      <c r="J63" s="50">
        <v>0</v>
      </c>
      <c r="K63" s="50">
        <v>4</v>
      </c>
      <c r="L63" s="50">
        <v>1</v>
      </c>
      <c r="M63" s="50">
        <v>230</v>
      </c>
      <c r="N63" s="50">
        <v>0</v>
      </c>
      <c r="O63" s="15">
        <f t="shared" si="0"/>
        <v>99</v>
      </c>
      <c r="P63" s="15">
        <f t="shared" si="1"/>
        <v>329</v>
      </c>
      <c r="R63" s="8"/>
      <c r="T63"/>
    </row>
    <row r="64" spans="2:20" ht="23.1" customHeight="1" x14ac:dyDescent="0.25">
      <c r="B64" s="45" t="s">
        <v>109</v>
      </c>
      <c r="C64" s="50">
        <v>65</v>
      </c>
      <c r="D64" s="50">
        <v>1</v>
      </c>
      <c r="E64" s="50">
        <v>0</v>
      </c>
      <c r="F64" s="50">
        <v>61</v>
      </c>
      <c r="G64" s="50">
        <v>0</v>
      </c>
      <c r="H64" s="50">
        <v>0</v>
      </c>
      <c r="I64" s="50">
        <v>7</v>
      </c>
      <c r="J64" s="50">
        <v>1</v>
      </c>
      <c r="K64" s="50">
        <v>2</v>
      </c>
      <c r="L64" s="50">
        <v>0</v>
      </c>
      <c r="M64" s="50">
        <v>220</v>
      </c>
      <c r="N64" s="50">
        <v>0</v>
      </c>
      <c r="O64" s="15">
        <f t="shared" si="0"/>
        <v>137</v>
      </c>
      <c r="P64" s="15">
        <f t="shared" si="1"/>
        <v>357</v>
      </c>
      <c r="R64" s="8"/>
      <c r="T64"/>
    </row>
    <row r="65" spans="2:20" ht="23.1" customHeight="1" x14ac:dyDescent="0.25">
      <c r="B65" s="45" t="s">
        <v>158</v>
      </c>
      <c r="C65" s="50">
        <v>75</v>
      </c>
      <c r="D65" s="50">
        <v>1</v>
      </c>
      <c r="E65" s="50">
        <v>2</v>
      </c>
      <c r="F65" s="50">
        <v>26</v>
      </c>
      <c r="G65" s="50">
        <v>0</v>
      </c>
      <c r="H65" s="50">
        <v>0</v>
      </c>
      <c r="I65" s="50">
        <v>3</v>
      </c>
      <c r="J65" s="50">
        <v>1</v>
      </c>
      <c r="K65" s="50">
        <v>0</v>
      </c>
      <c r="L65" s="50">
        <v>0</v>
      </c>
      <c r="M65" s="50">
        <v>190</v>
      </c>
      <c r="N65" s="50">
        <v>0</v>
      </c>
      <c r="O65" s="15">
        <f t="shared" si="0"/>
        <v>108</v>
      </c>
      <c r="P65" s="15">
        <f t="shared" si="1"/>
        <v>298</v>
      </c>
      <c r="R65" s="8"/>
      <c r="T65"/>
    </row>
    <row r="66" spans="2:20" ht="23.1" customHeight="1" x14ac:dyDescent="0.25">
      <c r="B66" s="45" t="s">
        <v>103</v>
      </c>
      <c r="C66" s="50">
        <v>85</v>
      </c>
      <c r="D66" s="50">
        <v>10</v>
      </c>
      <c r="E66" s="50">
        <v>3</v>
      </c>
      <c r="F66" s="50">
        <v>58</v>
      </c>
      <c r="G66" s="50">
        <v>0</v>
      </c>
      <c r="H66" s="50">
        <v>0</v>
      </c>
      <c r="I66" s="50">
        <v>6</v>
      </c>
      <c r="J66" s="50">
        <v>1</v>
      </c>
      <c r="K66" s="50">
        <v>1</v>
      </c>
      <c r="L66" s="50">
        <v>0</v>
      </c>
      <c r="M66" s="50">
        <v>195</v>
      </c>
      <c r="N66" s="50">
        <v>0</v>
      </c>
      <c r="O66" s="15">
        <f t="shared" si="0"/>
        <v>164</v>
      </c>
      <c r="P66" s="15">
        <f t="shared" si="1"/>
        <v>359</v>
      </c>
      <c r="R66" s="8"/>
      <c r="T66"/>
    </row>
    <row r="67" spans="2:20" ht="23.1" customHeight="1" x14ac:dyDescent="0.25">
      <c r="B67" s="45" t="s">
        <v>104</v>
      </c>
      <c r="C67" s="50">
        <v>55</v>
      </c>
      <c r="D67" s="50">
        <v>4</v>
      </c>
      <c r="E67" s="50">
        <v>1</v>
      </c>
      <c r="F67" s="50">
        <v>38</v>
      </c>
      <c r="G67" s="50">
        <v>0</v>
      </c>
      <c r="H67" s="50">
        <v>0</v>
      </c>
      <c r="I67" s="50">
        <v>3</v>
      </c>
      <c r="J67" s="50">
        <v>1</v>
      </c>
      <c r="K67" s="50">
        <v>0</v>
      </c>
      <c r="L67" s="50">
        <v>0</v>
      </c>
      <c r="M67" s="50">
        <v>235</v>
      </c>
      <c r="N67" s="50">
        <v>0</v>
      </c>
      <c r="O67" s="15">
        <f t="shared" si="0"/>
        <v>102</v>
      </c>
      <c r="P67" s="15">
        <f t="shared" si="1"/>
        <v>337</v>
      </c>
      <c r="R67" s="8"/>
      <c r="T67"/>
    </row>
    <row r="68" spans="2:20" ht="23.1" customHeight="1" x14ac:dyDescent="0.25">
      <c r="B68" s="45" t="s">
        <v>105</v>
      </c>
      <c r="C68" s="50">
        <v>60</v>
      </c>
      <c r="D68" s="50">
        <v>0</v>
      </c>
      <c r="E68" s="50">
        <v>2</v>
      </c>
      <c r="F68" s="50">
        <v>16</v>
      </c>
      <c r="G68" s="50">
        <v>1</v>
      </c>
      <c r="H68" s="50">
        <v>0</v>
      </c>
      <c r="I68" s="50">
        <v>2</v>
      </c>
      <c r="J68" s="50">
        <v>0</v>
      </c>
      <c r="K68" s="50">
        <v>0</v>
      </c>
      <c r="L68" s="50">
        <v>1</v>
      </c>
      <c r="M68" s="50">
        <v>160</v>
      </c>
      <c r="N68" s="50">
        <v>0</v>
      </c>
      <c r="O68" s="15">
        <f t="shared" si="0"/>
        <v>82</v>
      </c>
      <c r="P68" s="15">
        <f t="shared" si="1"/>
        <v>242</v>
      </c>
      <c r="R68" s="8"/>
      <c r="T68"/>
    </row>
    <row r="69" spans="2:20" ht="23.1" customHeight="1" x14ac:dyDescent="0.25">
      <c r="B69" s="45" t="s">
        <v>106</v>
      </c>
      <c r="C69" s="50">
        <v>26</v>
      </c>
      <c r="D69" s="50">
        <v>4</v>
      </c>
      <c r="E69" s="50">
        <v>1</v>
      </c>
      <c r="F69" s="50">
        <v>13</v>
      </c>
      <c r="G69" s="50">
        <v>0</v>
      </c>
      <c r="H69" s="50">
        <v>0</v>
      </c>
      <c r="I69" s="50">
        <v>1</v>
      </c>
      <c r="J69" s="50">
        <v>1</v>
      </c>
      <c r="K69" s="50">
        <v>0</v>
      </c>
      <c r="L69" s="50">
        <v>0</v>
      </c>
      <c r="M69" s="50">
        <v>130</v>
      </c>
      <c r="N69" s="50">
        <v>0</v>
      </c>
      <c r="O69" s="15">
        <f t="shared" si="0"/>
        <v>46</v>
      </c>
      <c r="P69" s="15">
        <f t="shared" si="1"/>
        <v>176</v>
      </c>
      <c r="R69" s="8"/>
      <c r="T69"/>
    </row>
    <row r="70" spans="2:20" ht="23.1" customHeight="1" x14ac:dyDescent="0.25">
      <c r="B70" s="45" t="s">
        <v>110</v>
      </c>
      <c r="C70" s="50">
        <v>33</v>
      </c>
      <c r="D70" s="50">
        <v>1</v>
      </c>
      <c r="E70" s="50">
        <v>3</v>
      </c>
      <c r="F70" s="50">
        <v>7</v>
      </c>
      <c r="G70" s="50">
        <v>0</v>
      </c>
      <c r="H70" s="50">
        <v>0</v>
      </c>
      <c r="I70" s="50">
        <v>3</v>
      </c>
      <c r="J70" s="50">
        <v>4</v>
      </c>
      <c r="K70" s="50">
        <v>0</v>
      </c>
      <c r="L70" s="50">
        <v>1</v>
      </c>
      <c r="M70" s="50">
        <v>42</v>
      </c>
      <c r="N70" s="50">
        <v>0</v>
      </c>
      <c r="O70" s="15">
        <f t="shared" si="0"/>
        <v>52</v>
      </c>
      <c r="P70" s="15">
        <f t="shared" si="1"/>
        <v>94</v>
      </c>
      <c r="R70" s="8"/>
      <c r="T70"/>
    </row>
    <row r="71" spans="2:20" ht="23.1" customHeight="1" x14ac:dyDescent="0.25">
      <c r="B71" s="45" t="s">
        <v>111</v>
      </c>
      <c r="C71" s="50">
        <v>23</v>
      </c>
      <c r="D71" s="50">
        <v>2</v>
      </c>
      <c r="E71" s="50">
        <v>5</v>
      </c>
      <c r="F71" s="50">
        <v>2</v>
      </c>
      <c r="G71" s="50">
        <v>0</v>
      </c>
      <c r="H71" s="50">
        <v>0</v>
      </c>
      <c r="I71" s="50">
        <v>1</v>
      </c>
      <c r="J71" s="50">
        <v>1</v>
      </c>
      <c r="K71" s="50">
        <v>0</v>
      </c>
      <c r="L71" s="50">
        <v>0</v>
      </c>
      <c r="M71" s="50">
        <v>38</v>
      </c>
      <c r="N71" s="50">
        <v>0</v>
      </c>
      <c r="O71" s="15">
        <f t="shared" si="0"/>
        <v>34</v>
      </c>
      <c r="P71" s="15">
        <f t="shared" si="1"/>
        <v>72</v>
      </c>
      <c r="R71" s="8"/>
      <c r="T71"/>
    </row>
    <row r="72" spans="2:20" ht="23.1" customHeight="1" x14ac:dyDescent="0.25">
      <c r="B72" s="45" t="s">
        <v>112</v>
      </c>
      <c r="C72" s="50">
        <v>7</v>
      </c>
      <c r="D72" s="50">
        <v>1</v>
      </c>
      <c r="E72" s="50">
        <v>1</v>
      </c>
      <c r="F72" s="50">
        <v>2</v>
      </c>
      <c r="G72" s="50">
        <v>0</v>
      </c>
      <c r="H72" s="50">
        <v>0</v>
      </c>
      <c r="I72" s="50">
        <v>1</v>
      </c>
      <c r="J72" s="50">
        <v>1</v>
      </c>
      <c r="K72" s="50">
        <v>0</v>
      </c>
      <c r="L72" s="50">
        <v>0</v>
      </c>
      <c r="M72" s="50">
        <v>25</v>
      </c>
      <c r="N72" s="50">
        <v>0</v>
      </c>
      <c r="O72" s="15">
        <f t="shared" si="0"/>
        <v>13</v>
      </c>
      <c r="P72" s="15">
        <f t="shared" si="1"/>
        <v>38</v>
      </c>
      <c r="R72" s="8"/>
      <c r="T72"/>
    </row>
    <row r="73" spans="2:20" ht="23.1" customHeight="1" x14ac:dyDescent="0.25">
      <c r="B73" s="45" t="s">
        <v>113</v>
      </c>
      <c r="C73" s="50">
        <v>11</v>
      </c>
      <c r="D73" s="50">
        <v>5</v>
      </c>
      <c r="E73" s="50">
        <v>1</v>
      </c>
      <c r="F73" s="50">
        <v>4</v>
      </c>
      <c r="G73" s="50">
        <v>0</v>
      </c>
      <c r="H73" s="50">
        <v>0</v>
      </c>
      <c r="I73" s="50">
        <v>0</v>
      </c>
      <c r="J73" s="50">
        <v>1</v>
      </c>
      <c r="K73" s="50">
        <v>0</v>
      </c>
      <c r="L73" s="50">
        <v>0</v>
      </c>
      <c r="M73" s="50">
        <v>54</v>
      </c>
      <c r="N73" s="50">
        <v>0</v>
      </c>
      <c r="O73" s="15">
        <f t="shared" si="0"/>
        <v>22</v>
      </c>
      <c r="P73" s="15">
        <f t="shared" si="1"/>
        <v>76</v>
      </c>
      <c r="R73" s="8"/>
      <c r="T73"/>
    </row>
    <row r="74" spans="2:20" ht="23.1" customHeight="1" x14ac:dyDescent="0.25">
      <c r="B74" s="45" t="s">
        <v>114</v>
      </c>
      <c r="C74" s="50">
        <v>13</v>
      </c>
      <c r="D74" s="50">
        <v>3</v>
      </c>
      <c r="E74" s="50">
        <v>2</v>
      </c>
      <c r="F74" s="50">
        <v>5</v>
      </c>
      <c r="G74" s="50">
        <v>0</v>
      </c>
      <c r="H74" s="50">
        <v>0</v>
      </c>
      <c r="I74" s="50">
        <v>1</v>
      </c>
      <c r="J74" s="50">
        <v>0</v>
      </c>
      <c r="K74" s="50">
        <v>0</v>
      </c>
      <c r="L74" s="50">
        <v>0</v>
      </c>
      <c r="M74" s="50">
        <v>93</v>
      </c>
      <c r="N74" s="50">
        <v>0</v>
      </c>
      <c r="O74" s="15">
        <f t="shared" ref="O74:O105" si="35">SUM(C74:L74,N74)</f>
        <v>24</v>
      </c>
      <c r="P74" s="15">
        <f t="shared" ref="P74:P105" si="36">SUM(C74:N74)</f>
        <v>117</v>
      </c>
      <c r="R74" s="8"/>
      <c r="T74"/>
    </row>
    <row r="75" spans="2:20" ht="23.1" customHeight="1" x14ac:dyDescent="0.25">
      <c r="B75" s="45" t="s">
        <v>115</v>
      </c>
      <c r="C75" s="50">
        <v>20</v>
      </c>
      <c r="D75" s="50">
        <v>3</v>
      </c>
      <c r="E75" s="50">
        <v>3</v>
      </c>
      <c r="F75" s="50">
        <v>2</v>
      </c>
      <c r="G75" s="50">
        <v>0</v>
      </c>
      <c r="H75" s="50">
        <v>0</v>
      </c>
      <c r="I75" s="50">
        <v>4</v>
      </c>
      <c r="J75" s="50">
        <v>0</v>
      </c>
      <c r="K75" s="50">
        <v>0</v>
      </c>
      <c r="L75" s="50">
        <v>0</v>
      </c>
      <c r="M75" s="50">
        <v>55</v>
      </c>
      <c r="N75" s="50">
        <v>0</v>
      </c>
      <c r="O75" s="15">
        <f t="shared" si="35"/>
        <v>32</v>
      </c>
      <c r="P75" s="15">
        <f t="shared" si="36"/>
        <v>87</v>
      </c>
      <c r="R75" s="8"/>
      <c r="T75"/>
    </row>
    <row r="76" spans="2:20" ht="23.1" customHeight="1" x14ac:dyDescent="0.25">
      <c r="B76" s="45" t="s">
        <v>116</v>
      </c>
      <c r="C76" s="50">
        <v>4</v>
      </c>
      <c r="D76" s="50">
        <v>0</v>
      </c>
      <c r="E76" s="50">
        <v>3</v>
      </c>
      <c r="F76" s="50">
        <v>1</v>
      </c>
      <c r="G76" s="50">
        <v>0</v>
      </c>
      <c r="H76" s="50">
        <v>0</v>
      </c>
      <c r="I76" s="50">
        <v>2</v>
      </c>
      <c r="J76" s="50">
        <v>1</v>
      </c>
      <c r="K76" s="50">
        <v>0</v>
      </c>
      <c r="L76" s="50">
        <v>0</v>
      </c>
      <c r="M76" s="50">
        <v>53</v>
      </c>
      <c r="N76" s="50">
        <v>0</v>
      </c>
      <c r="O76" s="15">
        <f t="shared" si="35"/>
        <v>11</v>
      </c>
      <c r="P76" s="15">
        <f t="shared" si="36"/>
        <v>64</v>
      </c>
      <c r="R76" s="8"/>
      <c r="T76"/>
    </row>
    <row r="77" spans="2:20" ht="23.1" customHeight="1" x14ac:dyDescent="0.25">
      <c r="B77" s="45" t="s">
        <v>117</v>
      </c>
      <c r="C77" s="50">
        <v>5</v>
      </c>
      <c r="D77" s="50">
        <v>1</v>
      </c>
      <c r="E77" s="50">
        <v>1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29</v>
      </c>
      <c r="N77" s="50">
        <v>0</v>
      </c>
      <c r="O77" s="15">
        <f t="shared" si="35"/>
        <v>7</v>
      </c>
      <c r="P77" s="15">
        <f t="shared" si="36"/>
        <v>36</v>
      </c>
      <c r="R77" s="8"/>
      <c r="T77"/>
    </row>
    <row r="78" spans="2:20" ht="23.1" customHeight="1" x14ac:dyDescent="0.25">
      <c r="B78" s="46" t="s">
        <v>118</v>
      </c>
      <c r="C78" s="50">
        <v>6</v>
      </c>
      <c r="D78" s="50">
        <v>0</v>
      </c>
      <c r="E78" s="50">
        <v>0</v>
      </c>
      <c r="F78" s="50">
        <v>4</v>
      </c>
      <c r="G78" s="50">
        <v>0</v>
      </c>
      <c r="H78" s="50">
        <v>0</v>
      </c>
      <c r="I78" s="50">
        <v>1</v>
      </c>
      <c r="J78" s="50">
        <v>1</v>
      </c>
      <c r="K78" s="50">
        <v>0</v>
      </c>
      <c r="L78" s="50">
        <v>0</v>
      </c>
      <c r="M78" s="50">
        <v>24</v>
      </c>
      <c r="N78" s="50">
        <v>0</v>
      </c>
      <c r="O78" s="15">
        <f t="shared" si="35"/>
        <v>12</v>
      </c>
      <c r="P78" s="15">
        <f t="shared" si="36"/>
        <v>36</v>
      </c>
      <c r="R78" s="8"/>
      <c r="T78"/>
    </row>
    <row r="79" spans="2:20" ht="23.1" customHeight="1" x14ac:dyDescent="0.25">
      <c r="B79" s="45" t="s">
        <v>119</v>
      </c>
      <c r="C79" s="50">
        <v>3</v>
      </c>
      <c r="D79" s="50">
        <v>0</v>
      </c>
      <c r="E79" s="50">
        <v>0</v>
      </c>
      <c r="F79" s="50">
        <v>1</v>
      </c>
      <c r="G79" s="50">
        <v>0</v>
      </c>
      <c r="H79" s="50">
        <v>0</v>
      </c>
      <c r="I79" s="50">
        <v>2</v>
      </c>
      <c r="J79" s="50">
        <v>1</v>
      </c>
      <c r="K79" s="50">
        <v>0</v>
      </c>
      <c r="L79" s="50">
        <v>0</v>
      </c>
      <c r="M79" s="50">
        <v>17</v>
      </c>
      <c r="N79" s="50">
        <v>0</v>
      </c>
      <c r="O79" s="15">
        <f t="shared" si="35"/>
        <v>7</v>
      </c>
      <c r="P79" s="15">
        <f t="shared" si="36"/>
        <v>24</v>
      </c>
      <c r="R79" s="8"/>
      <c r="T79"/>
    </row>
    <row r="80" spans="2:20" ht="23.1" customHeight="1" x14ac:dyDescent="0.25">
      <c r="B80" s="47" t="s">
        <v>120</v>
      </c>
      <c r="C80" s="50">
        <v>10</v>
      </c>
      <c r="D80" s="50">
        <v>1</v>
      </c>
      <c r="E80" s="50">
        <v>3</v>
      </c>
      <c r="F80" s="50">
        <v>2</v>
      </c>
      <c r="G80" s="50">
        <v>0</v>
      </c>
      <c r="H80" s="50">
        <v>0</v>
      </c>
      <c r="I80" s="50">
        <v>1</v>
      </c>
      <c r="J80" s="50">
        <v>1</v>
      </c>
      <c r="K80" s="50">
        <v>0</v>
      </c>
      <c r="L80" s="50">
        <v>1</v>
      </c>
      <c r="M80" s="50">
        <v>19</v>
      </c>
      <c r="N80" s="50">
        <v>0</v>
      </c>
      <c r="O80" s="15">
        <f t="shared" si="35"/>
        <v>19</v>
      </c>
      <c r="P80" s="15">
        <f t="shared" si="36"/>
        <v>38</v>
      </c>
      <c r="R80" s="8"/>
      <c r="T80"/>
    </row>
    <row r="81" spans="2:20" ht="23.1" customHeight="1" x14ac:dyDescent="0.25">
      <c r="B81" s="45" t="s">
        <v>121</v>
      </c>
      <c r="C81" s="50">
        <v>11</v>
      </c>
      <c r="D81" s="50">
        <v>1</v>
      </c>
      <c r="E81" s="50">
        <v>5</v>
      </c>
      <c r="F81" s="50">
        <v>5</v>
      </c>
      <c r="G81" s="50">
        <v>0</v>
      </c>
      <c r="H81" s="50">
        <v>0</v>
      </c>
      <c r="I81" s="50">
        <v>1</v>
      </c>
      <c r="J81" s="50">
        <v>2</v>
      </c>
      <c r="K81" s="50">
        <v>0</v>
      </c>
      <c r="L81" s="50">
        <v>1</v>
      </c>
      <c r="M81" s="50">
        <v>20</v>
      </c>
      <c r="N81" s="50">
        <v>0</v>
      </c>
      <c r="O81" s="15">
        <f t="shared" si="35"/>
        <v>26</v>
      </c>
      <c r="P81" s="15">
        <f t="shared" si="36"/>
        <v>46</v>
      </c>
      <c r="R81" s="8"/>
      <c r="T81"/>
    </row>
    <row r="82" spans="2:20" ht="23.1" customHeight="1" x14ac:dyDescent="0.25">
      <c r="B82" s="46" t="s">
        <v>122</v>
      </c>
      <c r="C82" s="50">
        <v>13</v>
      </c>
      <c r="D82" s="50">
        <v>0</v>
      </c>
      <c r="E82" s="50">
        <v>4</v>
      </c>
      <c r="F82" s="50">
        <v>1</v>
      </c>
      <c r="G82" s="50">
        <v>0</v>
      </c>
      <c r="H82" s="50">
        <v>0</v>
      </c>
      <c r="I82" s="50">
        <v>0</v>
      </c>
      <c r="J82" s="50">
        <v>1</v>
      </c>
      <c r="K82" s="50">
        <v>0</v>
      </c>
      <c r="L82" s="50">
        <v>0</v>
      </c>
      <c r="M82" s="50">
        <v>26</v>
      </c>
      <c r="N82" s="50">
        <v>0</v>
      </c>
      <c r="O82" s="15">
        <f t="shared" si="35"/>
        <v>19</v>
      </c>
      <c r="P82" s="15">
        <f t="shared" si="36"/>
        <v>45</v>
      </c>
      <c r="R82" s="8"/>
      <c r="T82"/>
    </row>
    <row r="83" spans="2:20" ht="23.1" customHeight="1" x14ac:dyDescent="0.25">
      <c r="B83" s="45" t="s">
        <v>123</v>
      </c>
      <c r="C83" s="50">
        <v>7</v>
      </c>
      <c r="D83" s="50">
        <v>3</v>
      </c>
      <c r="E83" s="50">
        <v>0</v>
      </c>
      <c r="F83" s="50">
        <v>1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10</v>
      </c>
      <c r="N83" s="50">
        <v>0</v>
      </c>
      <c r="O83" s="15">
        <f t="shared" si="35"/>
        <v>12</v>
      </c>
      <c r="P83" s="15">
        <f t="shared" si="36"/>
        <v>22</v>
      </c>
      <c r="R83" s="8"/>
      <c r="T83"/>
    </row>
    <row r="84" spans="2:20" ht="23.1" customHeight="1" x14ac:dyDescent="0.25">
      <c r="B84" s="47" t="s">
        <v>124</v>
      </c>
      <c r="C84" s="50">
        <v>5</v>
      </c>
      <c r="D84" s="50">
        <v>0</v>
      </c>
      <c r="E84" s="50">
        <v>1</v>
      </c>
      <c r="F84" s="50">
        <v>0</v>
      </c>
      <c r="G84" s="50">
        <v>0</v>
      </c>
      <c r="H84" s="50">
        <v>1</v>
      </c>
      <c r="I84" s="50">
        <v>0</v>
      </c>
      <c r="J84" s="50">
        <v>0</v>
      </c>
      <c r="K84" s="50">
        <v>0</v>
      </c>
      <c r="L84" s="50">
        <v>0</v>
      </c>
      <c r="M84" s="50">
        <v>12</v>
      </c>
      <c r="N84" s="50">
        <v>0</v>
      </c>
      <c r="O84" s="15">
        <f t="shared" si="35"/>
        <v>7</v>
      </c>
      <c r="P84" s="15">
        <f t="shared" si="36"/>
        <v>19</v>
      </c>
      <c r="R84" s="8"/>
      <c r="T84"/>
    </row>
    <row r="85" spans="2:20" ht="23.1" customHeight="1" x14ac:dyDescent="0.25">
      <c r="B85" s="45" t="s">
        <v>125</v>
      </c>
      <c r="C85" s="50">
        <v>4</v>
      </c>
      <c r="D85" s="50">
        <v>0</v>
      </c>
      <c r="E85" s="50">
        <v>0</v>
      </c>
      <c r="F85" s="50">
        <v>1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v>0</v>
      </c>
      <c r="M85" s="50">
        <v>6</v>
      </c>
      <c r="N85" s="50">
        <v>0</v>
      </c>
      <c r="O85" s="15">
        <f t="shared" si="35"/>
        <v>6</v>
      </c>
      <c r="P85" s="15">
        <f t="shared" si="36"/>
        <v>12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1</v>
      </c>
      <c r="F86" s="50">
        <v>0</v>
      </c>
      <c r="G86" s="50">
        <v>0</v>
      </c>
      <c r="H86" s="50">
        <v>0</v>
      </c>
      <c r="I86" s="50">
        <v>0</v>
      </c>
      <c r="J86" s="50">
        <v>1</v>
      </c>
      <c r="K86" s="50">
        <v>0</v>
      </c>
      <c r="L86" s="50">
        <v>0</v>
      </c>
      <c r="M86" s="50">
        <v>7</v>
      </c>
      <c r="N86" s="50">
        <v>0</v>
      </c>
      <c r="O86" s="15">
        <f t="shared" si="35"/>
        <v>3</v>
      </c>
      <c r="P86" s="15">
        <f t="shared" si="36"/>
        <v>10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5</v>
      </c>
      <c r="N87" s="50">
        <v>0</v>
      </c>
      <c r="O87" s="15">
        <f t="shared" si="35"/>
        <v>1</v>
      </c>
      <c r="P87" s="15">
        <f t="shared" si="36"/>
        <v>6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1</v>
      </c>
      <c r="N88" s="50">
        <v>0</v>
      </c>
      <c r="O88" s="15">
        <f t="shared" si="35"/>
        <v>1</v>
      </c>
      <c r="P88" s="15">
        <f t="shared" si="36"/>
        <v>2</v>
      </c>
      <c r="R88" s="8"/>
      <c r="T88"/>
    </row>
    <row r="89" spans="2:20" ht="23.1" customHeight="1" x14ac:dyDescent="0.25">
      <c r="B89" s="45" t="s">
        <v>129</v>
      </c>
      <c r="C89" s="50">
        <v>4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1</v>
      </c>
      <c r="K89" s="50">
        <v>0</v>
      </c>
      <c r="L89" s="50">
        <v>0</v>
      </c>
      <c r="M89" s="50">
        <v>5</v>
      </c>
      <c r="N89" s="50">
        <v>0</v>
      </c>
      <c r="O89" s="15">
        <f t="shared" si="35"/>
        <v>5</v>
      </c>
      <c r="P89" s="15">
        <f t="shared" si="36"/>
        <v>10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3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9</v>
      </c>
      <c r="N90" s="50">
        <v>0</v>
      </c>
      <c r="O90" s="15">
        <f t="shared" si="35"/>
        <v>5</v>
      </c>
      <c r="P90" s="15">
        <f t="shared" si="36"/>
        <v>14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2</v>
      </c>
      <c r="G91" s="50">
        <v>0</v>
      </c>
      <c r="H91" s="50">
        <v>0</v>
      </c>
      <c r="I91" s="50">
        <v>1</v>
      </c>
      <c r="J91" s="50">
        <v>2</v>
      </c>
      <c r="K91" s="50">
        <v>0</v>
      </c>
      <c r="L91" s="50">
        <v>0</v>
      </c>
      <c r="M91" s="50">
        <v>4</v>
      </c>
      <c r="N91" s="50">
        <v>0</v>
      </c>
      <c r="O91" s="15">
        <f t="shared" si="35"/>
        <v>6</v>
      </c>
      <c r="P91" s="15">
        <f t="shared" si="36"/>
        <v>10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2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5</v>
      </c>
      <c r="N92" s="50">
        <v>0</v>
      </c>
      <c r="O92" s="15">
        <f t="shared" si="35"/>
        <v>3</v>
      </c>
      <c r="P92" s="15">
        <f t="shared" si="36"/>
        <v>8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1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4</v>
      </c>
      <c r="N93" s="50">
        <v>0</v>
      </c>
      <c r="O93" s="15">
        <f t="shared" si="35"/>
        <v>2</v>
      </c>
      <c r="P93" s="15">
        <f t="shared" si="36"/>
        <v>6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1</v>
      </c>
      <c r="G94" s="50">
        <v>0</v>
      </c>
      <c r="H94" s="50">
        <v>0</v>
      </c>
      <c r="I94" s="50">
        <v>2</v>
      </c>
      <c r="J94" s="50">
        <v>0</v>
      </c>
      <c r="K94" s="50">
        <v>1</v>
      </c>
      <c r="L94" s="50">
        <v>0</v>
      </c>
      <c r="M94" s="50">
        <v>1</v>
      </c>
      <c r="N94" s="50">
        <v>0</v>
      </c>
      <c r="O94" s="15">
        <f t="shared" si="35"/>
        <v>5</v>
      </c>
      <c r="P94" s="15">
        <f t="shared" si="36"/>
        <v>6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3</v>
      </c>
      <c r="G95" s="50">
        <v>0</v>
      </c>
      <c r="H95" s="50">
        <v>0</v>
      </c>
      <c r="I95" s="50">
        <v>1</v>
      </c>
      <c r="J95" s="50">
        <v>1</v>
      </c>
      <c r="K95" s="50">
        <v>0</v>
      </c>
      <c r="L95" s="50">
        <v>0</v>
      </c>
      <c r="M95" s="50">
        <v>7</v>
      </c>
      <c r="N95" s="50">
        <v>0</v>
      </c>
      <c r="O95" s="15">
        <f t="shared" si="35"/>
        <v>6</v>
      </c>
      <c r="P95" s="15">
        <f t="shared" si="36"/>
        <v>13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0</v>
      </c>
      <c r="E96" s="50">
        <v>1</v>
      </c>
      <c r="F96" s="50">
        <v>0</v>
      </c>
      <c r="G96" s="50">
        <v>0</v>
      </c>
      <c r="H96" s="50">
        <v>0</v>
      </c>
      <c r="I96" s="50">
        <v>0</v>
      </c>
      <c r="J96" s="50">
        <v>1</v>
      </c>
      <c r="K96" s="50">
        <v>0</v>
      </c>
      <c r="L96" s="50">
        <v>0</v>
      </c>
      <c r="M96" s="50">
        <v>5</v>
      </c>
      <c r="N96" s="50">
        <v>0</v>
      </c>
      <c r="O96" s="15">
        <f t="shared" si="35"/>
        <v>5</v>
      </c>
      <c r="P96" s="15">
        <f t="shared" si="36"/>
        <v>10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1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5</v>
      </c>
      <c r="K97" s="50">
        <v>0</v>
      </c>
      <c r="L97" s="50">
        <v>0</v>
      </c>
      <c r="M97" s="50">
        <v>6</v>
      </c>
      <c r="N97" s="50">
        <v>0</v>
      </c>
      <c r="O97" s="15">
        <f t="shared" si="35"/>
        <v>7</v>
      </c>
      <c r="P97" s="15">
        <f t="shared" si="36"/>
        <v>13</v>
      </c>
      <c r="R97" s="8"/>
      <c r="T97"/>
    </row>
    <row r="98" spans="2:20" ht="23.1" customHeight="1" x14ac:dyDescent="0.25">
      <c r="B98" s="46" t="s">
        <v>138</v>
      </c>
      <c r="C98" s="50">
        <v>3</v>
      </c>
      <c r="D98" s="50">
        <v>2</v>
      </c>
      <c r="E98" s="50">
        <v>3</v>
      </c>
      <c r="F98" s="50">
        <v>1</v>
      </c>
      <c r="G98" s="50">
        <v>0</v>
      </c>
      <c r="H98" s="50">
        <v>0</v>
      </c>
      <c r="I98" s="50">
        <v>0</v>
      </c>
      <c r="J98" s="50">
        <v>2</v>
      </c>
      <c r="K98" s="50">
        <v>0</v>
      </c>
      <c r="L98" s="50">
        <v>0</v>
      </c>
      <c r="M98" s="50">
        <v>10</v>
      </c>
      <c r="N98" s="50">
        <v>0</v>
      </c>
      <c r="O98" s="15">
        <f t="shared" si="35"/>
        <v>11</v>
      </c>
      <c r="P98" s="15">
        <f t="shared" si="36"/>
        <v>21</v>
      </c>
      <c r="R98" s="8"/>
      <c r="T98"/>
    </row>
    <row r="99" spans="2:20" ht="23.1" customHeight="1" x14ac:dyDescent="0.25">
      <c r="B99" s="45" t="s">
        <v>139</v>
      </c>
      <c r="C99" s="50">
        <v>10</v>
      </c>
      <c r="D99" s="50">
        <v>1</v>
      </c>
      <c r="E99" s="50">
        <v>3</v>
      </c>
      <c r="F99" s="50">
        <v>0</v>
      </c>
      <c r="G99" s="50">
        <v>0</v>
      </c>
      <c r="H99" s="50">
        <v>0</v>
      </c>
      <c r="I99" s="50">
        <v>0</v>
      </c>
      <c r="J99" s="50">
        <v>1</v>
      </c>
      <c r="K99" s="50">
        <v>0</v>
      </c>
      <c r="L99" s="50">
        <v>0</v>
      </c>
      <c r="M99" s="50">
        <v>12</v>
      </c>
      <c r="N99" s="50">
        <v>0</v>
      </c>
      <c r="O99" s="15">
        <f t="shared" si="35"/>
        <v>15</v>
      </c>
      <c r="P99" s="15">
        <f t="shared" si="36"/>
        <v>27</v>
      </c>
      <c r="R99" s="8"/>
      <c r="T99"/>
    </row>
    <row r="100" spans="2:20" ht="23.1" customHeight="1" x14ac:dyDescent="0.25">
      <c r="B100" s="47" t="s">
        <v>140</v>
      </c>
      <c r="C100" s="50">
        <v>5</v>
      </c>
      <c r="D100" s="50">
        <v>3</v>
      </c>
      <c r="E100" s="50">
        <v>0</v>
      </c>
      <c r="F100" s="50">
        <v>0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2</v>
      </c>
      <c r="N100" s="50">
        <v>0</v>
      </c>
      <c r="O100" s="15">
        <f t="shared" si="35"/>
        <v>9</v>
      </c>
      <c r="P100" s="15">
        <f t="shared" si="36"/>
        <v>11</v>
      </c>
      <c r="R100" s="8"/>
      <c r="T100"/>
    </row>
    <row r="101" spans="2:20" ht="23.1" customHeight="1" x14ac:dyDescent="0.25">
      <c r="B101" s="45" t="s">
        <v>141</v>
      </c>
      <c r="C101" s="50">
        <v>6</v>
      </c>
      <c r="D101" s="50">
        <v>4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15</v>
      </c>
      <c r="N101" s="50">
        <v>0</v>
      </c>
      <c r="O101" s="15">
        <f t="shared" si="35"/>
        <v>10</v>
      </c>
      <c r="P101" s="15">
        <f t="shared" si="36"/>
        <v>25</v>
      </c>
      <c r="R101" s="8"/>
      <c r="T101"/>
    </row>
    <row r="102" spans="2:20" ht="23.1" customHeight="1" x14ac:dyDescent="0.25">
      <c r="B102" s="46" t="s">
        <v>142</v>
      </c>
      <c r="C102" s="50">
        <v>6</v>
      </c>
      <c r="D102" s="50">
        <v>2</v>
      </c>
      <c r="E102" s="50">
        <v>1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15</v>
      </c>
      <c r="N102" s="50">
        <v>0</v>
      </c>
      <c r="O102" s="15">
        <f t="shared" si="35"/>
        <v>9</v>
      </c>
      <c r="P102" s="15">
        <f t="shared" si="36"/>
        <v>24</v>
      </c>
      <c r="R102" s="8"/>
      <c r="T102"/>
    </row>
    <row r="103" spans="2:20" ht="23.1" customHeight="1" x14ac:dyDescent="0.25">
      <c r="B103" s="45" t="s">
        <v>143</v>
      </c>
      <c r="C103" s="50">
        <v>7</v>
      </c>
      <c r="D103" s="50">
        <v>3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10</v>
      </c>
      <c r="N103" s="50">
        <v>0</v>
      </c>
      <c r="O103" s="15">
        <f t="shared" si="35"/>
        <v>10</v>
      </c>
      <c r="P103" s="15">
        <f t="shared" si="36"/>
        <v>20</v>
      </c>
      <c r="R103" s="8"/>
      <c r="T103"/>
    </row>
    <row r="104" spans="2:20" ht="23.1" customHeight="1" x14ac:dyDescent="0.25">
      <c r="B104" s="47" t="s">
        <v>144</v>
      </c>
      <c r="C104" s="50">
        <v>3</v>
      </c>
      <c r="D104" s="50">
        <v>0</v>
      </c>
      <c r="E104" s="50">
        <v>2</v>
      </c>
      <c r="F104" s="50">
        <v>5</v>
      </c>
      <c r="G104" s="50">
        <v>0</v>
      </c>
      <c r="H104" s="50">
        <v>0</v>
      </c>
      <c r="I104" s="50">
        <v>1</v>
      </c>
      <c r="J104" s="50">
        <v>2</v>
      </c>
      <c r="K104" s="50">
        <v>0</v>
      </c>
      <c r="L104" s="50">
        <v>0</v>
      </c>
      <c r="M104" s="50">
        <v>3</v>
      </c>
      <c r="N104" s="50">
        <v>0</v>
      </c>
      <c r="O104" s="15">
        <f t="shared" si="35"/>
        <v>13</v>
      </c>
      <c r="P104" s="15">
        <f t="shared" si="36"/>
        <v>16</v>
      </c>
      <c r="R104" s="8"/>
      <c r="T104"/>
    </row>
    <row r="105" spans="2:20" ht="23.1" customHeight="1" x14ac:dyDescent="0.25">
      <c r="B105" s="45" t="s">
        <v>145</v>
      </c>
      <c r="C105" s="50">
        <v>21</v>
      </c>
      <c r="D105" s="50">
        <v>0</v>
      </c>
      <c r="E105" s="50">
        <v>2</v>
      </c>
      <c r="F105" s="50">
        <v>5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23</v>
      </c>
      <c r="N105" s="50">
        <v>0</v>
      </c>
      <c r="O105" s="15">
        <f t="shared" si="35"/>
        <v>29</v>
      </c>
      <c r="P105" s="15">
        <f t="shared" si="36"/>
        <v>52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5252</v>
      </c>
      <c r="D106" s="16">
        <f t="shared" ref="D106:P106" si="37">SUM(D10:D105)</f>
        <v>487</v>
      </c>
      <c r="E106" s="16">
        <f t="shared" si="37"/>
        <v>442</v>
      </c>
      <c r="F106" s="16">
        <f t="shared" si="37"/>
        <v>933</v>
      </c>
      <c r="G106" s="16">
        <f t="shared" si="37"/>
        <v>36</v>
      </c>
      <c r="H106" s="16">
        <f t="shared" si="37"/>
        <v>7</v>
      </c>
      <c r="I106" s="16">
        <f t="shared" si="37"/>
        <v>289</v>
      </c>
      <c r="J106" s="16">
        <f t="shared" si="37"/>
        <v>191</v>
      </c>
      <c r="K106" s="16">
        <f t="shared" si="37"/>
        <v>32</v>
      </c>
      <c r="L106" s="16">
        <f t="shared" si="37"/>
        <v>30</v>
      </c>
      <c r="M106" s="16">
        <f t="shared" si="37"/>
        <v>12439</v>
      </c>
      <c r="N106" s="16">
        <f t="shared" si="37"/>
        <v>0</v>
      </c>
      <c r="O106" s="16">
        <f t="shared" si="37"/>
        <v>7699</v>
      </c>
      <c r="P106" s="16">
        <f t="shared" si="37"/>
        <v>20138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0.26080047671069617</v>
      </c>
      <c r="D107" s="43">
        <f t="shared" si="38"/>
        <v>2.4183136359122059E-2</v>
      </c>
      <c r="E107" s="43">
        <f t="shared" si="38"/>
        <v>2.1948554970702156E-2</v>
      </c>
      <c r="F107" s="43">
        <f t="shared" si="38"/>
        <v>4.6330320786572649E-2</v>
      </c>
      <c r="G107" s="43">
        <f t="shared" si="38"/>
        <v>1.7876651107359221E-3</v>
      </c>
      <c r="H107" s="43">
        <f t="shared" si="38"/>
        <v>3.4760154930976261E-4</v>
      </c>
      <c r="I107" s="43">
        <f t="shared" si="38"/>
        <v>1.4350978250074486E-2</v>
      </c>
      <c r="J107" s="43">
        <f t="shared" si="38"/>
        <v>9.4845565597378098E-3</v>
      </c>
      <c r="K107" s="43">
        <f t="shared" si="38"/>
        <v>1.5890356539874863E-3</v>
      </c>
      <c r="L107" s="43">
        <f t="shared" si="38"/>
        <v>1.4897209256132685E-3</v>
      </c>
      <c r="M107" s="43">
        <f t="shared" si="38"/>
        <v>0.61768795312344815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0.68216651513183535</v>
      </c>
      <c r="D108" s="44">
        <f t="shared" ref="D108:N108" si="39">D106/$O$106</f>
        <v>6.3254968177685417E-2</v>
      </c>
      <c r="E108" s="44">
        <f t="shared" si="39"/>
        <v>5.741005325366931E-2</v>
      </c>
      <c r="F108" s="44">
        <f t="shared" si="39"/>
        <v>0.1211845694246006</v>
      </c>
      <c r="G108" s="44">
        <f t="shared" si="39"/>
        <v>4.6759319392128849E-3</v>
      </c>
      <c r="H108" s="44">
        <f t="shared" si="39"/>
        <v>9.0920898818028315E-4</v>
      </c>
      <c r="I108" s="44">
        <f t="shared" si="39"/>
        <v>3.753734251201455E-2</v>
      </c>
      <c r="J108" s="44">
        <f t="shared" si="39"/>
        <v>2.4808416677490584E-2</v>
      </c>
      <c r="K108" s="44">
        <f t="shared" si="39"/>
        <v>4.1563839459670083E-3</v>
      </c>
      <c r="L108" s="44">
        <f t="shared" si="39"/>
        <v>3.8966099493440705E-3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34" zoomScale="60" workbookViewId="0">
      <selection activeCell="L11" sqref="L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'22.07 Lubiri -Ndeeba'!C3:G3</f>
        <v>MCC - C1 - STN03- KALINDA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71" t="str">
        <f>'26.07 Ndeeba-Lubiri-24h'!G5:H5</f>
        <v>Before Shell</v>
      </c>
      <c r="H5" s="72"/>
      <c r="I5" s="14"/>
      <c r="J5" s="2" t="s">
        <v>5</v>
      </c>
      <c r="K5" s="71" t="s">
        <v>181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'22.07 Lubiri -Ndeeba'!D6:E6</f>
        <v>Lubiri</v>
      </c>
      <c r="E6" s="72"/>
      <c r="F6" s="2" t="s">
        <v>2</v>
      </c>
      <c r="G6" s="71" t="str">
        <f>'22.07 Lubiri -Ndeeba'!G6:H6</f>
        <v>Ndeeba</v>
      </c>
      <c r="H6" s="72"/>
      <c r="J6" s="2" t="s">
        <v>21</v>
      </c>
      <c r="K6" s="71" t="str">
        <f>'26.07 Ndeeba-Lubiri-24h'!K6:L6</f>
        <v>Denis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23</v>
      </c>
      <c r="D10" s="50">
        <v>13</v>
      </c>
      <c r="E10" s="50">
        <v>12</v>
      </c>
      <c r="F10" s="50">
        <v>10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145</v>
      </c>
      <c r="N10" s="50">
        <v>0</v>
      </c>
      <c r="O10" s="15">
        <f t="shared" ref="O10:O73" si="0">SUM(C10:L10,N10)</f>
        <v>60</v>
      </c>
      <c r="P10" s="15">
        <f t="shared" ref="P10:P73" si="1">SUM(C10:N10)</f>
        <v>205</v>
      </c>
      <c r="R10" s="1" t="s">
        <v>6</v>
      </c>
      <c r="S10" s="17">
        <f t="shared" ref="S10:AF10" si="2">SUM(C10:C13)</f>
        <v>118</v>
      </c>
      <c r="T10" s="17">
        <f t="shared" si="2"/>
        <v>33</v>
      </c>
      <c r="U10" s="17">
        <f t="shared" si="2"/>
        <v>36</v>
      </c>
      <c r="V10" s="17">
        <f t="shared" si="2"/>
        <v>13</v>
      </c>
      <c r="W10" s="17">
        <f t="shared" si="2"/>
        <v>19</v>
      </c>
      <c r="X10" s="17">
        <f t="shared" si="2"/>
        <v>0</v>
      </c>
      <c r="Y10" s="17">
        <f t="shared" si="2"/>
        <v>10</v>
      </c>
      <c r="Z10" s="17">
        <f t="shared" si="2"/>
        <v>3</v>
      </c>
      <c r="AA10" s="17">
        <f t="shared" si="2"/>
        <v>0</v>
      </c>
      <c r="AB10" s="17">
        <f t="shared" si="2"/>
        <v>0</v>
      </c>
      <c r="AC10" s="17">
        <f t="shared" si="2"/>
        <v>670</v>
      </c>
      <c r="AD10" s="17">
        <f t="shared" si="2"/>
        <v>0</v>
      </c>
      <c r="AE10" s="31">
        <f t="shared" si="2"/>
        <v>232</v>
      </c>
      <c r="AF10" s="31">
        <f t="shared" si="2"/>
        <v>902</v>
      </c>
    </row>
    <row r="11" spans="2:32" s="6" customFormat="1" ht="23.1" customHeight="1" x14ac:dyDescent="0.25">
      <c r="B11" s="45" t="s">
        <v>38</v>
      </c>
      <c r="C11" s="50">
        <v>32</v>
      </c>
      <c r="D11" s="50">
        <v>7</v>
      </c>
      <c r="E11" s="50">
        <v>5</v>
      </c>
      <c r="F11" s="50">
        <v>0</v>
      </c>
      <c r="G11" s="50">
        <v>1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150</v>
      </c>
      <c r="N11" s="50">
        <v>0</v>
      </c>
      <c r="O11" s="15">
        <f t="shared" si="0"/>
        <v>46</v>
      </c>
      <c r="P11" s="15">
        <f t="shared" si="1"/>
        <v>196</v>
      </c>
      <c r="R11" s="1" t="s">
        <v>7</v>
      </c>
      <c r="S11" s="17">
        <f t="shared" ref="S11:AF11" si="3">SUM(C14:C17)</f>
        <v>296</v>
      </c>
      <c r="T11" s="17">
        <f t="shared" si="3"/>
        <v>41</v>
      </c>
      <c r="U11" s="17">
        <f t="shared" si="3"/>
        <v>86</v>
      </c>
      <c r="V11" s="17">
        <f t="shared" si="3"/>
        <v>45</v>
      </c>
      <c r="W11" s="17">
        <f t="shared" si="3"/>
        <v>9</v>
      </c>
      <c r="X11" s="17">
        <f t="shared" si="3"/>
        <v>3</v>
      </c>
      <c r="Y11" s="17">
        <f t="shared" si="3"/>
        <v>36</v>
      </c>
      <c r="Z11" s="17">
        <f t="shared" si="3"/>
        <v>12</v>
      </c>
      <c r="AA11" s="17">
        <f t="shared" si="3"/>
        <v>13</v>
      </c>
      <c r="AB11" s="17">
        <f t="shared" si="3"/>
        <v>0</v>
      </c>
      <c r="AC11" s="17">
        <f t="shared" si="3"/>
        <v>404</v>
      </c>
      <c r="AD11" s="17">
        <f t="shared" si="3"/>
        <v>0</v>
      </c>
      <c r="AE11" s="31">
        <f t="shared" si="3"/>
        <v>541</v>
      </c>
      <c r="AF11" s="31">
        <f t="shared" si="3"/>
        <v>945</v>
      </c>
    </row>
    <row r="12" spans="2:32" ht="23.1" customHeight="1" x14ac:dyDescent="0.25">
      <c r="B12" s="45" t="s">
        <v>39</v>
      </c>
      <c r="C12" s="50">
        <v>22</v>
      </c>
      <c r="D12" s="50">
        <v>2</v>
      </c>
      <c r="E12" s="50">
        <v>2</v>
      </c>
      <c r="F12" s="50">
        <v>3</v>
      </c>
      <c r="G12" s="50">
        <v>17</v>
      </c>
      <c r="H12" s="50">
        <v>0</v>
      </c>
      <c r="I12" s="50">
        <v>0</v>
      </c>
      <c r="J12" s="50">
        <v>3</v>
      </c>
      <c r="K12" s="50">
        <v>0</v>
      </c>
      <c r="L12" s="50">
        <v>0</v>
      </c>
      <c r="M12" s="50">
        <v>180</v>
      </c>
      <c r="N12" s="50">
        <v>0</v>
      </c>
      <c r="O12" s="15">
        <f t="shared" si="0"/>
        <v>49</v>
      </c>
      <c r="P12" s="15">
        <f t="shared" si="1"/>
        <v>229</v>
      </c>
      <c r="R12" s="1" t="s">
        <v>8</v>
      </c>
      <c r="S12" s="17">
        <f t="shared" ref="S12:AF12" si="4">SUM(C18:C21)</f>
        <v>95</v>
      </c>
      <c r="T12" s="17">
        <f t="shared" si="4"/>
        <v>30</v>
      </c>
      <c r="U12" s="17">
        <f t="shared" si="4"/>
        <v>20</v>
      </c>
      <c r="V12" s="17">
        <f t="shared" si="4"/>
        <v>43</v>
      </c>
      <c r="W12" s="17">
        <f t="shared" si="4"/>
        <v>1</v>
      </c>
      <c r="X12" s="17">
        <f t="shared" si="4"/>
        <v>0</v>
      </c>
      <c r="Y12" s="17">
        <f t="shared" si="4"/>
        <v>20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486</v>
      </c>
      <c r="AD12" s="17">
        <f t="shared" si="4"/>
        <v>0</v>
      </c>
      <c r="AE12" s="31">
        <f t="shared" si="4"/>
        <v>209</v>
      </c>
      <c r="AF12" s="31">
        <f t="shared" si="4"/>
        <v>695</v>
      </c>
    </row>
    <row r="13" spans="2:32" ht="23.1" customHeight="1" x14ac:dyDescent="0.25">
      <c r="B13" s="45" t="s">
        <v>40</v>
      </c>
      <c r="C13" s="50">
        <v>41</v>
      </c>
      <c r="D13" s="50">
        <v>11</v>
      </c>
      <c r="E13" s="50">
        <v>17</v>
      </c>
      <c r="F13" s="50">
        <v>0</v>
      </c>
      <c r="G13" s="50">
        <v>1</v>
      </c>
      <c r="H13" s="50">
        <v>0</v>
      </c>
      <c r="I13" s="50">
        <v>7</v>
      </c>
      <c r="J13" s="50">
        <v>0</v>
      </c>
      <c r="K13" s="50">
        <v>0</v>
      </c>
      <c r="L13" s="50">
        <v>0</v>
      </c>
      <c r="M13" s="50">
        <v>195</v>
      </c>
      <c r="N13" s="50">
        <v>0</v>
      </c>
      <c r="O13" s="15">
        <f t="shared" si="0"/>
        <v>77</v>
      </c>
      <c r="P13" s="15">
        <f t="shared" si="1"/>
        <v>272</v>
      </c>
      <c r="R13" s="1" t="s">
        <v>9</v>
      </c>
      <c r="S13" s="17">
        <f t="shared" ref="S13:AF13" si="5">SUM(C22:C25)</f>
        <v>243</v>
      </c>
      <c r="T13" s="17">
        <f t="shared" si="5"/>
        <v>57</v>
      </c>
      <c r="U13" s="17">
        <f t="shared" si="5"/>
        <v>49</v>
      </c>
      <c r="V13" s="17">
        <f t="shared" si="5"/>
        <v>99</v>
      </c>
      <c r="W13" s="17">
        <f t="shared" si="5"/>
        <v>2</v>
      </c>
      <c r="X13" s="17">
        <f t="shared" si="5"/>
        <v>0</v>
      </c>
      <c r="Y13" s="17">
        <f t="shared" si="5"/>
        <v>47</v>
      </c>
      <c r="Z13" s="17">
        <f t="shared" si="5"/>
        <v>1</v>
      </c>
      <c r="AA13" s="17">
        <f t="shared" si="5"/>
        <v>1</v>
      </c>
      <c r="AB13" s="17">
        <f t="shared" si="5"/>
        <v>0</v>
      </c>
      <c r="AC13" s="17">
        <f t="shared" si="5"/>
        <v>1020</v>
      </c>
      <c r="AD13" s="17">
        <f t="shared" si="5"/>
        <v>0</v>
      </c>
      <c r="AE13" s="31">
        <f t="shared" si="5"/>
        <v>499</v>
      </c>
      <c r="AF13" s="31">
        <f t="shared" si="5"/>
        <v>1519</v>
      </c>
    </row>
    <row r="14" spans="2:32" ht="23.1" customHeight="1" x14ac:dyDescent="0.25">
      <c r="B14" s="45" t="s">
        <v>41</v>
      </c>
      <c r="C14" s="50">
        <v>87</v>
      </c>
      <c r="D14" s="50">
        <v>7</v>
      </c>
      <c r="E14" s="50">
        <v>22</v>
      </c>
      <c r="F14" s="50">
        <v>6</v>
      </c>
      <c r="G14" s="50">
        <v>1</v>
      </c>
      <c r="H14" s="50">
        <v>1</v>
      </c>
      <c r="I14" s="50">
        <v>6</v>
      </c>
      <c r="J14" s="50">
        <v>1</v>
      </c>
      <c r="K14" s="50">
        <v>1</v>
      </c>
      <c r="L14" s="50">
        <v>0</v>
      </c>
      <c r="M14" s="50">
        <v>120</v>
      </c>
      <c r="N14" s="50">
        <v>0</v>
      </c>
      <c r="O14" s="15">
        <f t="shared" si="0"/>
        <v>132</v>
      </c>
      <c r="P14" s="15">
        <f t="shared" si="1"/>
        <v>252</v>
      </c>
      <c r="R14" s="1" t="s">
        <v>10</v>
      </c>
      <c r="S14" s="17">
        <f t="shared" ref="S14:AF14" si="6">SUM(C26:C29)</f>
        <v>340</v>
      </c>
      <c r="T14" s="17">
        <f t="shared" si="6"/>
        <v>35</v>
      </c>
      <c r="U14" s="17">
        <f t="shared" si="6"/>
        <v>33</v>
      </c>
      <c r="V14" s="17">
        <f t="shared" si="6"/>
        <v>61</v>
      </c>
      <c r="W14" s="17">
        <f t="shared" si="6"/>
        <v>1</v>
      </c>
      <c r="X14" s="17">
        <f t="shared" si="6"/>
        <v>0</v>
      </c>
      <c r="Y14" s="17">
        <f t="shared" si="6"/>
        <v>32</v>
      </c>
      <c r="Z14" s="17">
        <f t="shared" si="6"/>
        <v>2</v>
      </c>
      <c r="AA14" s="17">
        <f t="shared" si="6"/>
        <v>1</v>
      </c>
      <c r="AB14" s="17">
        <f t="shared" si="6"/>
        <v>0</v>
      </c>
      <c r="AC14" s="17">
        <f t="shared" si="6"/>
        <v>1005</v>
      </c>
      <c r="AD14" s="17">
        <f t="shared" si="6"/>
        <v>0</v>
      </c>
      <c r="AE14" s="31">
        <f t="shared" si="6"/>
        <v>505</v>
      </c>
      <c r="AF14" s="31">
        <f t="shared" si="6"/>
        <v>1510</v>
      </c>
    </row>
    <row r="15" spans="2:32" ht="23.1" customHeight="1" x14ac:dyDescent="0.25">
      <c r="B15" s="45" t="s">
        <v>42</v>
      </c>
      <c r="C15" s="50">
        <v>57</v>
      </c>
      <c r="D15" s="50">
        <v>6</v>
      </c>
      <c r="E15" s="50">
        <v>21</v>
      </c>
      <c r="F15" s="50">
        <v>26</v>
      </c>
      <c r="G15" s="50">
        <v>2</v>
      </c>
      <c r="H15" s="50">
        <v>0</v>
      </c>
      <c r="I15" s="50">
        <v>11</v>
      </c>
      <c r="J15" s="50">
        <v>2</v>
      </c>
      <c r="K15" s="50">
        <v>0</v>
      </c>
      <c r="L15" s="50">
        <v>0</v>
      </c>
      <c r="M15" s="50">
        <v>126</v>
      </c>
      <c r="N15" s="50">
        <v>0</v>
      </c>
      <c r="O15" s="15">
        <f t="shared" si="0"/>
        <v>125</v>
      </c>
      <c r="P15" s="15">
        <f t="shared" si="1"/>
        <v>251</v>
      </c>
      <c r="R15" s="1" t="s">
        <v>11</v>
      </c>
      <c r="S15" s="17">
        <f t="shared" ref="S15:AF15" si="7">SUM(C30:C33)</f>
        <v>266</v>
      </c>
      <c r="T15" s="17">
        <f t="shared" si="7"/>
        <v>49</v>
      </c>
      <c r="U15" s="17">
        <f t="shared" si="7"/>
        <v>40</v>
      </c>
      <c r="V15" s="17">
        <f t="shared" si="7"/>
        <v>95</v>
      </c>
      <c r="W15" s="17">
        <f t="shared" si="7"/>
        <v>1</v>
      </c>
      <c r="X15" s="17">
        <f t="shared" si="7"/>
        <v>1</v>
      </c>
      <c r="Y15" s="17">
        <f t="shared" si="7"/>
        <v>23</v>
      </c>
      <c r="Z15" s="17">
        <f t="shared" si="7"/>
        <v>2</v>
      </c>
      <c r="AA15" s="17">
        <f t="shared" si="7"/>
        <v>1</v>
      </c>
      <c r="AB15" s="17">
        <f t="shared" si="7"/>
        <v>2</v>
      </c>
      <c r="AC15" s="17">
        <f t="shared" si="7"/>
        <v>1258</v>
      </c>
      <c r="AD15" s="17">
        <f t="shared" si="7"/>
        <v>0</v>
      </c>
      <c r="AE15" s="31">
        <f t="shared" si="7"/>
        <v>480</v>
      </c>
      <c r="AF15" s="31">
        <f t="shared" si="7"/>
        <v>1738</v>
      </c>
    </row>
    <row r="16" spans="2:32" ht="23.1" customHeight="1" x14ac:dyDescent="0.25">
      <c r="B16" s="45" t="s">
        <v>43</v>
      </c>
      <c r="C16" s="50">
        <v>70</v>
      </c>
      <c r="D16" s="50">
        <v>11</v>
      </c>
      <c r="E16" s="50">
        <v>18</v>
      </c>
      <c r="F16" s="50">
        <v>6</v>
      </c>
      <c r="G16" s="50">
        <v>5</v>
      </c>
      <c r="H16" s="50">
        <v>0</v>
      </c>
      <c r="I16" s="50">
        <v>6</v>
      </c>
      <c r="J16" s="50">
        <v>4</v>
      </c>
      <c r="K16" s="50">
        <v>6</v>
      </c>
      <c r="L16" s="50">
        <v>0</v>
      </c>
      <c r="M16" s="50">
        <v>83</v>
      </c>
      <c r="N16" s="50">
        <v>0</v>
      </c>
      <c r="O16" s="15">
        <f t="shared" si="0"/>
        <v>126</v>
      </c>
      <c r="P16" s="15">
        <f t="shared" si="1"/>
        <v>209</v>
      </c>
      <c r="R16" s="1" t="s">
        <v>12</v>
      </c>
      <c r="S16" s="17">
        <f t="shared" ref="S16:AF16" si="8">SUM(C34:C37)</f>
        <v>205</v>
      </c>
      <c r="T16" s="17">
        <f t="shared" si="8"/>
        <v>81</v>
      </c>
      <c r="U16" s="17">
        <f t="shared" si="8"/>
        <v>37</v>
      </c>
      <c r="V16" s="17">
        <f t="shared" si="8"/>
        <v>58</v>
      </c>
      <c r="W16" s="17">
        <f t="shared" si="8"/>
        <v>0</v>
      </c>
      <c r="X16" s="17">
        <f t="shared" si="8"/>
        <v>0</v>
      </c>
      <c r="Y16" s="17">
        <f t="shared" si="8"/>
        <v>13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1063</v>
      </c>
      <c r="AD16" s="17">
        <f t="shared" si="8"/>
        <v>0</v>
      </c>
      <c r="AE16" s="31">
        <f t="shared" si="8"/>
        <v>396</v>
      </c>
      <c r="AF16" s="31">
        <f t="shared" si="8"/>
        <v>1459</v>
      </c>
    </row>
    <row r="17" spans="2:32" ht="23.1" customHeight="1" x14ac:dyDescent="0.25">
      <c r="B17" s="45" t="s">
        <v>44</v>
      </c>
      <c r="C17" s="50">
        <v>82</v>
      </c>
      <c r="D17" s="50">
        <v>17</v>
      </c>
      <c r="E17" s="50">
        <v>25</v>
      </c>
      <c r="F17" s="50">
        <v>7</v>
      </c>
      <c r="G17" s="50">
        <v>1</v>
      </c>
      <c r="H17" s="50">
        <v>2</v>
      </c>
      <c r="I17" s="50">
        <v>13</v>
      </c>
      <c r="J17" s="50">
        <v>5</v>
      </c>
      <c r="K17" s="50">
        <v>6</v>
      </c>
      <c r="L17" s="50">
        <v>0</v>
      </c>
      <c r="M17" s="50">
        <v>75</v>
      </c>
      <c r="N17" s="50">
        <v>0</v>
      </c>
      <c r="O17" s="15">
        <f t="shared" si="0"/>
        <v>158</v>
      </c>
      <c r="P17" s="15">
        <f t="shared" si="1"/>
        <v>233</v>
      </c>
      <c r="R17" s="1" t="s">
        <v>13</v>
      </c>
      <c r="S17" s="17">
        <f t="shared" ref="S17:AF17" si="9">SUM(C38:C41)</f>
        <v>171</v>
      </c>
      <c r="T17" s="17">
        <f t="shared" si="9"/>
        <v>106</v>
      </c>
      <c r="U17" s="17">
        <f t="shared" si="9"/>
        <v>25</v>
      </c>
      <c r="V17" s="17">
        <f t="shared" si="9"/>
        <v>84</v>
      </c>
      <c r="W17" s="17">
        <f t="shared" si="9"/>
        <v>0</v>
      </c>
      <c r="X17" s="17">
        <f t="shared" si="9"/>
        <v>0</v>
      </c>
      <c r="Y17" s="17">
        <f t="shared" si="9"/>
        <v>19</v>
      </c>
      <c r="Z17" s="17">
        <f t="shared" si="9"/>
        <v>4</v>
      </c>
      <c r="AA17" s="17">
        <f t="shared" si="9"/>
        <v>0</v>
      </c>
      <c r="AB17" s="17">
        <f t="shared" si="9"/>
        <v>1</v>
      </c>
      <c r="AC17" s="17">
        <f t="shared" si="9"/>
        <v>916</v>
      </c>
      <c r="AD17" s="17">
        <f t="shared" si="9"/>
        <v>0</v>
      </c>
      <c r="AE17" s="31">
        <f t="shared" si="9"/>
        <v>410</v>
      </c>
      <c r="AF17" s="31">
        <f t="shared" si="9"/>
        <v>1326</v>
      </c>
    </row>
    <row r="18" spans="2:32" ht="23.1" customHeight="1" x14ac:dyDescent="0.25">
      <c r="B18" s="45" t="s">
        <v>45</v>
      </c>
      <c r="C18" s="50">
        <v>40</v>
      </c>
      <c r="D18" s="50">
        <v>3</v>
      </c>
      <c r="E18" s="50">
        <v>2</v>
      </c>
      <c r="F18" s="50">
        <v>5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97</v>
      </c>
      <c r="N18" s="50">
        <v>0</v>
      </c>
      <c r="O18" s="15">
        <f t="shared" si="0"/>
        <v>50</v>
      </c>
      <c r="P18" s="15">
        <f t="shared" si="1"/>
        <v>147</v>
      </c>
      <c r="R18" s="1" t="s">
        <v>14</v>
      </c>
      <c r="S18" s="17">
        <f t="shared" ref="S18:AF18" si="10">SUM(C42:C45)</f>
        <v>332</v>
      </c>
      <c r="T18" s="17">
        <f t="shared" si="10"/>
        <v>35</v>
      </c>
      <c r="U18" s="17">
        <f t="shared" si="10"/>
        <v>36</v>
      </c>
      <c r="V18" s="17">
        <f t="shared" si="10"/>
        <v>37</v>
      </c>
      <c r="W18" s="17">
        <f t="shared" si="10"/>
        <v>2</v>
      </c>
      <c r="X18" s="17">
        <f t="shared" si="10"/>
        <v>3</v>
      </c>
      <c r="Y18" s="17">
        <f t="shared" si="10"/>
        <v>21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941</v>
      </c>
      <c r="AD18" s="17">
        <f t="shared" si="10"/>
        <v>0</v>
      </c>
      <c r="AE18" s="31">
        <f t="shared" si="10"/>
        <v>466</v>
      </c>
      <c r="AF18" s="31">
        <f t="shared" si="10"/>
        <v>1407</v>
      </c>
    </row>
    <row r="19" spans="2:32" ht="23.1" customHeight="1" x14ac:dyDescent="0.25">
      <c r="B19" s="45" t="s">
        <v>46</v>
      </c>
      <c r="C19" s="50">
        <v>12</v>
      </c>
      <c r="D19" s="50">
        <v>5</v>
      </c>
      <c r="E19" s="50">
        <v>2</v>
      </c>
      <c r="F19" s="50">
        <v>4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80</v>
      </c>
      <c r="N19" s="50">
        <v>0</v>
      </c>
      <c r="O19" s="15">
        <f t="shared" si="0"/>
        <v>24</v>
      </c>
      <c r="P19" s="15">
        <f t="shared" si="1"/>
        <v>104</v>
      </c>
      <c r="R19" s="1" t="s">
        <v>15</v>
      </c>
      <c r="S19" s="17">
        <f t="shared" ref="S19:AF19" si="11">SUM(C46:C49)</f>
        <v>204</v>
      </c>
      <c r="T19" s="17">
        <f t="shared" si="11"/>
        <v>39</v>
      </c>
      <c r="U19" s="17">
        <f t="shared" si="11"/>
        <v>16</v>
      </c>
      <c r="V19" s="17">
        <f t="shared" si="11"/>
        <v>62</v>
      </c>
      <c r="W19" s="17">
        <f t="shared" si="11"/>
        <v>1</v>
      </c>
      <c r="X19" s="17">
        <f t="shared" si="11"/>
        <v>0</v>
      </c>
      <c r="Y19" s="17">
        <f t="shared" si="11"/>
        <v>26</v>
      </c>
      <c r="Z19" s="17">
        <f t="shared" si="11"/>
        <v>3</v>
      </c>
      <c r="AA19" s="17">
        <f t="shared" si="11"/>
        <v>0</v>
      </c>
      <c r="AB19" s="17">
        <f t="shared" si="11"/>
        <v>1</v>
      </c>
      <c r="AC19" s="17">
        <f t="shared" si="11"/>
        <v>1030</v>
      </c>
      <c r="AD19" s="17">
        <f t="shared" si="11"/>
        <v>0</v>
      </c>
      <c r="AE19" s="31">
        <f t="shared" si="11"/>
        <v>352</v>
      </c>
      <c r="AF19" s="31">
        <f t="shared" si="11"/>
        <v>1382</v>
      </c>
    </row>
    <row r="20" spans="2:32" ht="23.1" customHeight="1" x14ac:dyDescent="0.25">
      <c r="B20" s="45" t="s">
        <v>47</v>
      </c>
      <c r="C20" s="50">
        <v>20</v>
      </c>
      <c r="D20" s="50">
        <v>8</v>
      </c>
      <c r="E20" s="50">
        <v>10</v>
      </c>
      <c r="F20" s="50">
        <v>21</v>
      </c>
      <c r="G20" s="50">
        <v>0</v>
      </c>
      <c r="H20" s="50">
        <v>0</v>
      </c>
      <c r="I20" s="50">
        <v>5</v>
      </c>
      <c r="J20" s="50">
        <v>0</v>
      </c>
      <c r="K20" s="50">
        <v>0</v>
      </c>
      <c r="L20" s="50">
        <v>0</v>
      </c>
      <c r="M20" s="50">
        <v>160</v>
      </c>
      <c r="N20" s="50">
        <v>0</v>
      </c>
      <c r="O20" s="15">
        <f t="shared" si="0"/>
        <v>64</v>
      </c>
      <c r="P20" s="15">
        <f t="shared" si="1"/>
        <v>224</v>
      </c>
      <c r="R20" s="1" t="s">
        <v>16</v>
      </c>
      <c r="S20" s="17">
        <f t="shared" ref="S20:AF20" si="12">SUM(C50:C53)</f>
        <v>168</v>
      </c>
      <c r="T20" s="17">
        <f t="shared" si="12"/>
        <v>51</v>
      </c>
      <c r="U20" s="17">
        <f t="shared" si="12"/>
        <v>18</v>
      </c>
      <c r="V20" s="17">
        <f t="shared" si="12"/>
        <v>58</v>
      </c>
      <c r="W20" s="17">
        <f t="shared" si="12"/>
        <v>0</v>
      </c>
      <c r="X20" s="17">
        <f t="shared" si="12"/>
        <v>0</v>
      </c>
      <c r="Y20" s="17">
        <f t="shared" si="12"/>
        <v>18</v>
      </c>
      <c r="Z20" s="17">
        <f t="shared" si="12"/>
        <v>5</v>
      </c>
      <c r="AA20" s="17">
        <f t="shared" si="12"/>
        <v>3</v>
      </c>
      <c r="AB20" s="17">
        <f t="shared" si="12"/>
        <v>3</v>
      </c>
      <c r="AC20" s="17">
        <f t="shared" si="12"/>
        <v>1127</v>
      </c>
      <c r="AD20" s="17">
        <f t="shared" si="12"/>
        <v>0</v>
      </c>
      <c r="AE20" s="31">
        <f t="shared" si="12"/>
        <v>324</v>
      </c>
      <c r="AF20" s="31">
        <f t="shared" si="12"/>
        <v>1451</v>
      </c>
    </row>
    <row r="21" spans="2:32" ht="23.1" customHeight="1" x14ac:dyDescent="0.25">
      <c r="B21" s="45" t="s">
        <v>48</v>
      </c>
      <c r="C21" s="50">
        <v>23</v>
      </c>
      <c r="D21" s="50">
        <v>14</v>
      </c>
      <c r="E21" s="50">
        <v>6</v>
      </c>
      <c r="F21" s="50">
        <v>13</v>
      </c>
      <c r="G21" s="50">
        <v>1</v>
      </c>
      <c r="H21" s="50">
        <v>0</v>
      </c>
      <c r="I21" s="50">
        <v>14</v>
      </c>
      <c r="J21" s="50">
        <v>0</v>
      </c>
      <c r="K21" s="50">
        <v>0</v>
      </c>
      <c r="L21" s="50">
        <v>0</v>
      </c>
      <c r="M21" s="50">
        <v>149</v>
      </c>
      <c r="N21" s="50">
        <v>0</v>
      </c>
      <c r="O21" s="15">
        <f t="shared" si="0"/>
        <v>71</v>
      </c>
      <c r="P21" s="15">
        <f t="shared" si="1"/>
        <v>220</v>
      </c>
      <c r="R21" s="36" t="s">
        <v>20</v>
      </c>
      <c r="S21" s="34">
        <f t="shared" ref="S21:AF21" si="13">SUM(C54:C57)</f>
        <v>154</v>
      </c>
      <c r="T21" s="17">
        <f t="shared" si="13"/>
        <v>74</v>
      </c>
      <c r="U21" s="17">
        <f t="shared" si="13"/>
        <v>28</v>
      </c>
      <c r="V21" s="17">
        <f t="shared" si="13"/>
        <v>58</v>
      </c>
      <c r="W21" s="17">
        <f t="shared" si="13"/>
        <v>0</v>
      </c>
      <c r="X21" s="17">
        <f t="shared" si="13"/>
        <v>0</v>
      </c>
      <c r="Y21" s="17">
        <f t="shared" si="13"/>
        <v>9</v>
      </c>
      <c r="Z21" s="17">
        <f t="shared" si="13"/>
        <v>4</v>
      </c>
      <c r="AA21" s="17">
        <f t="shared" si="13"/>
        <v>0</v>
      </c>
      <c r="AB21" s="17">
        <f t="shared" si="13"/>
        <v>1</v>
      </c>
      <c r="AC21" s="17">
        <f t="shared" si="13"/>
        <v>993</v>
      </c>
      <c r="AD21" s="17">
        <f t="shared" si="13"/>
        <v>0</v>
      </c>
      <c r="AE21" s="31">
        <f t="shared" si="13"/>
        <v>328</v>
      </c>
      <c r="AF21" s="31">
        <f t="shared" si="13"/>
        <v>1321</v>
      </c>
    </row>
    <row r="22" spans="2:32" ht="23.1" customHeight="1" x14ac:dyDescent="0.25">
      <c r="B22" s="45" t="s">
        <v>49</v>
      </c>
      <c r="C22" s="50">
        <v>82</v>
      </c>
      <c r="D22" s="50">
        <v>17</v>
      </c>
      <c r="E22" s="50">
        <v>18</v>
      </c>
      <c r="F22" s="50">
        <v>37</v>
      </c>
      <c r="G22" s="50">
        <v>1</v>
      </c>
      <c r="H22" s="50">
        <v>0</v>
      </c>
      <c r="I22" s="50">
        <v>8</v>
      </c>
      <c r="J22" s="50">
        <v>0</v>
      </c>
      <c r="K22" s="50">
        <v>1</v>
      </c>
      <c r="L22" s="50">
        <v>0</v>
      </c>
      <c r="M22" s="50">
        <v>262</v>
      </c>
      <c r="N22" s="50">
        <v>0</v>
      </c>
      <c r="O22" s="15">
        <f t="shared" si="0"/>
        <v>164</v>
      </c>
      <c r="P22" s="15">
        <f t="shared" si="1"/>
        <v>426</v>
      </c>
      <c r="R22" s="36" t="s">
        <v>146</v>
      </c>
      <c r="S22" s="34">
        <f>SUM(C58:C61)</f>
        <v>156</v>
      </c>
      <c r="T22" s="34">
        <f t="shared" ref="T22:AF22" si="14">SUM(D58:D61)</f>
        <v>42</v>
      </c>
      <c r="U22" s="34">
        <f t="shared" si="14"/>
        <v>27</v>
      </c>
      <c r="V22" s="34">
        <f t="shared" si="14"/>
        <v>102</v>
      </c>
      <c r="W22" s="34">
        <f t="shared" si="14"/>
        <v>13</v>
      </c>
      <c r="X22" s="34">
        <f t="shared" si="14"/>
        <v>0</v>
      </c>
      <c r="Y22" s="34">
        <f t="shared" si="14"/>
        <v>3</v>
      </c>
      <c r="Z22" s="34">
        <f t="shared" si="14"/>
        <v>6</v>
      </c>
      <c r="AA22" s="34">
        <f t="shared" si="14"/>
        <v>3</v>
      </c>
      <c r="AB22" s="34">
        <f t="shared" si="14"/>
        <v>1</v>
      </c>
      <c r="AC22" s="34">
        <f t="shared" si="14"/>
        <v>346</v>
      </c>
      <c r="AD22" s="34">
        <f t="shared" si="14"/>
        <v>0</v>
      </c>
      <c r="AE22" s="31">
        <f t="shared" si="14"/>
        <v>353</v>
      </c>
      <c r="AF22" s="31">
        <f t="shared" si="14"/>
        <v>699</v>
      </c>
    </row>
    <row r="23" spans="2:32" ht="23.1" customHeight="1" x14ac:dyDescent="0.25">
      <c r="B23" s="45" t="s">
        <v>50</v>
      </c>
      <c r="C23" s="50">
        <v>45</v>
      </c>
      <c r="D23" s="50">
        <v>9</v>
      </c>
      <c r="E23" s="50">
        <v>11</v>
      </c>
      <c r="F23" s="50">
        <v>18</v>
      </c>
      <c r="G23" s="50">
        <v>0</v>
      </c>
      <c r="H23" s="50">
        <v>0</v>
      </c>
      <c r="I23" s="50">
        <v>13</v>
      </c>
      <c r="J23" s="50">
        <v>0</v>
      </c>
      <c r="K23" s="50">
        <v>0</v>
      </c>
      <c r="L23" s="50">
        <v>0</v>
      </c>
      <c r="M23" s="50">
        <v>253</v>
      </c>
      <c r="N23" s="50">
        <v>0</v>
      </c>
      <c r="O23" s="15">
        <f t="shared" si="0"/>
        <v>96</v>
      </c>
      <c r="P23" s="15">
        <f t="shared" si="1"/>
        <v>349</v>
      </c>
      <c r="R23" s="36" t="s">
        <v>147</v>
      </c>
      <c r="S23" s="34">
        <f>SUM(C62:C65)</f>
        <v>189</v>
      </c>
      <c r="T23" s="34">
        <f t="shared" ref="T23:AF23" si="15">SUM(D62:D65)</f>
        <v>21</v>
      </c>
      <c r="U23" s="34">
        <f t="shared" si="15"/>
        <v>17</v>
      </c>
      <c r="V23" s="34">
        <f t="shared" si="15"/>
        <v>168</v>
      </c>
      <c r="W23" s="34">
        <f t="shared" si="15"/>
        <v>1</v>
      </c>
      <c r="X23" s="34">
        <f t="shared" si="15"/>
        <v>0</v>
      </c>
      <c r="Y23" s="34">
        <f t="shared" si="15"/>
        <v>12</v>
      </c>
      <c r="Z23" s="34">
        <f t="shared" si="15"/>
        <v>12</v>
      </c>
      <c r="AA23" s="34">
        <f t="shared" si="15"/>
        <v>6</v>
      </c>
      <c r="AB23" s="34">
        <f t="shared" si="15"/>
        <v>1</v>
      </c>
      <c r="AC23" s="34">
        <f t="shared" si="15"/>
        <v>484</v>
      </c>
      <c r="AD23" s="34">
        <f t="shared" si="15"/>
        <v>1</v>
      </c>
      <c r="AE23" s="31">
        <f t="shared" si="15"/>
        <v>428</v>
      </c>
      <c r="AF23" s="31">
        <f t="shared" si="15"/>
        <v>912</v>
      </c>
    </row>
    <row r="24" spans="2:32" ht="23.1" customHeight="1" x14ac:dyDescent="0.25">
      <c r="B24" s="45" t="s">
        <v>51</v>
      </c>
      <c r="C24" s="50">
        <v>53</v>
      </c>
      <c r="D24" s="50">
        <v>11</v>
      </c>
      <c r="E24" s="50">
        <v>5</v>
      </c>
      <c r="F24" s="50">
        <v>11</v>
      </c>
      <c r="G24" s="50">
        <v>0</v>
      </c>
      <c r="H24" s="50">
        <v>0</v>
      </c>
      <c r="I24" s="50">
        <v>9</v>
      </c>
      <c r="J24" s="50">
        <v>1</v>
      </c>
      <c r="K24" s="50">
        <v>0</v>
      </c>
      <c r="L24" s="50">
        <v>0</v>
      </c>
      <c r="M24" s="50">
        <v>300</v>
      </c>
      <c r="N24" s="50">
        <v>0</v>
      </c>
      <c r="O24" s="15">
        <f t="shared" si="0"/>
        <v>90</v>
      </c>
      <c r="P24" s="15">
        <f t="shared" si="1"/>
        <v>390</v>
      </c>
      <c r="R24" s="36" t="s">
        <v>148</v>
      </c>
      <c r="S24" s="34">
        <f>SUM(C66:C69)</f>
        <v>156</v>
      </c>
      <c r="T24" s="34">
        <f t="shared" ref="T24:AF24" si="16">SUM(D66:D69)</f>
        <v>25</v>
      </c>
      <c r="U24" s="34">
        <f t="shared" si="16"/>
        <v>14</v>
      </c>
      <c r="V24" s="34">
        <f t="shared" si="16"/>
        <v>89</v>
      </c>
      <c r="W24" s="34">
        <f t="shared" si="16"/>
        <v>0</v>
      </c>
      <c r="X24" s="34">
        <f t="shared" si="16"/>
        <v>0</v>
      </c>
      <c r="Y24" s="34">
        <f t="shared" si="16"/>
        <v>13</v>
      </c>
      <c r="Z24" s="34">
        <f t="shared" si="16"/>
        <v>8</v>
      </c>
      <c r="AA24" s="34">
        <f t="shared" si="16"/>
        <v>2</v>
      </c>
      <c r="AB24" s="34">
        <f t="shared" si="16"/>
        <v>1</v>
      </c>
      <c r="AC24" s="34">
        <f t="shared" si="16"/>
        <v>269</v>
      </c>
      <c r="AD24" s="34">
        <f t="shared" si="16"/>
        <v>1</v>
      </c>
      <c r="AE24" s="31">
        <f t="shared" si="16"/>
        <v>309</v>
      </c>
      <c r="AF24" s="31">
        <f t="shared" si="16"/>
        <v>578</v>
      </c>
    </row>
    <row r="25" spans="2:32" ht="23.1" customHeight="1" x14ac:dyDescent="0.25">
      <c r="B25" s="45" t="s">
        <v>52</v>
      </c>
      <c r="C25" s="50">
        <v>63</v>
      </c>
      <c r="D25" s="50">
        <v>20</v>
      </c>
      <c r="E25" s="50">
        <v>15</v>
      </c>
      <c r="F25" s="50">
        <v>33</v>
      </c>
      <c r="G25" s="50">
        <v>1</v>
      </c>
      <c r="H25" s="50">
        <v>0</v>
      </c>
      <c r="I25" s="50">
        <v>17</v>
      </c>
      <c r="J25" s="50">
        <v>0</v>
      </c>
      <c r="K25" s="50">
        <v>0</v>
      </c>
      <c r="L25" s="50">
        <v>0</v>
      </c>
      <c r="M25" s="50">
        <v>205</v>
      </c>
      <c r="N25" s="50">
        <v>0</v>
      </c>
      <c r="O25" s="15">
        <f t="shared" si="0"/>
        <v>149</v>
      </c>
      <c r="P25" s="15">
        <f t="shared" si="1"/>
        <v>354</v>
      </c>
      <c r="R25" s="36" t="s">
        <v>149</v>
      </c>
      <c r="S25" s="34">
        <f>SUM(C70:C73)</f>
        <v>147</v>
      </c>
      <c r="T25" s="34">
        <f t="shared" ref="T25:AF25" si="17">SUM(D70:D73)</f>
        <v>17</v>
      </c>
      <c r="U25" s="34">
        <f t="shared" si="17"/>
        <v>14</v>
      </c>
      <c r="V25" s="34">
        <f t="shared" si="17"/>
        <v>52</v>
      </c>
      <c r="W25" s="34">
        <f t="shared" si="17"/>
        <v>3</v>
      </c>
      <c r="X25" s="34">
        <f t="shared" si="17"/>
        <v>0</v>
      </c>
      <c r="Y25" s="34">
        <f t="shared" si="17"/>
        <v>7</v>
      </c>
      <c r="Z25" s="34">
        <f t="shared" si="17"/>
        <v>9</v>
      </c>
      <c r="AA25" s="34">
        <f t="shared" si="17"/>
        <v>0</v>
      </c>
      <c r="AB25" s="34">
        <f t="shared" si="17"/>
        <v>1</v>
      </c>
      <c r="AC25" s="34">
        <f t="shared" si="17"/>
        <v>213</v>
      </c>
      <c r="AD25" s="34">
        <f t="shared" si="17"/>
        <v>0</v>
      </c>
      <c r="AE25" s="31">
        <f t="shared" si="17"/>
        <v>250</v>
      </c>
      <c r="AF25" s="31">
        <f t="shared" si="17"/>
        <v>463</v>
      </c>
    </row>
    <row r="26" spans="2:32" ht="23.1" customHeight="1" x14ac:dyDescent="0.25">
      <c r="B26" s="45" t="s">
        <v>53</v>
      </c>
      <c r="C26" s="50">
        <v>89</v>
      </c>
      <c r="D26" s="50">
        <v>10</v>
      </c>
      <c r="E26" s="50">
        <v>10</v>
      </c>
      <c r="F26" s="50">
        <v>14</v>
      </c>
      <c r="G26" s="50">
        <v>0</v>
      </c>
      <c r="H26" s="50">
        <v>0</v>
      </c>
      <c r="I26" s="50">
        <v>7</v>
      </c>
      <c r="J26" s="50">
        <v>0</v>
      </c>
      <c r="K26" s="50">
        <v>0</v>
      </c>
      <c r="L26" s="50">
        <v>0</v>
      </c>
      <c r="M26" s="50">
        <v>260</v>
      </c>
      <c r="N26" s="50">
        <v>0</v>
      </c>
      <c r="O26" s="15">
        <f t="shared" si="0"/>
        <v>130</v>
      </c>
      <c r="P26" s="15">
        <f t="shared" si="1"/>
        <v>390</v>
      </c>
      <c r="R26" s="36" t="s">
        <v>150</v>
      </c>
      <c r="S26" s="34">
        <f>SUM(C74:C77)</f>
        <v>108</v>
      </c>
      <c r="T26" s="34">
        <f t="shared" ref="T26:AF26" si="18">SUM(D74:D77)</f>
        <v>7</v>
      </c>
      <c r="U26" s="34">
        <f t="shared" si="18"/>
        <v>3</v>
      </c>
      <c r="V26" s="34">
        <f t="shared" si="18"/>
        <v>7</v>
      </c>
      <c r="W26" s="34">
        <f t="shared" si="18"/>
        <v>3</v>
      </c>
      <c r="X26" s="34">
        <f t="shared" si="18"/>
        <v>0</v>
      </c>
      <c r="Y26" s="34">
        <f t="shared" si="18"/>
        <v>7</v>
      </c>
      <c r="Z26" s="34">
        <f t="shared" si="18"/>
        <v>3</v>
      </c>
      <c r="AA26" s="34">
        <f t="shared" si="18"/>
        <v>0</v>
      </c>
      <c r="AB26" s="34">
        <f t="shared" si="18"/>
        <v>0</v>
      </c>
      <c r="AC26" s="34">
        <f t="shared" si="18"/>
        <v>128</v>
      </c>
      <c r="AD26" s="34">
        <f t="shared" si="18"/>
        <v>0</v>
      </c>
      <c r="AE26" s="31">
        <f t="shared" si="18"/>
        <v>138</v>
      </c>
      <c r="AF26" s="31">
        <f t="shared" si="18"/>
        <v>266</v>
      </c>
    </row>
    <row r="27" spans="2:32" ht="23.1" customHeight="1" x14ac:dyDescent="0.25">
      <c r="B27" s="45" t="s">
        <v>54</v>
      </c>
      <c r="C27" s="50">
        <v>55</v>
      </c>
      <c r="D27" s="50">
        <v>10</v>
      </c>
      <c r="E27" s="50">
        <v>10</v>
      </c>
      <c r="F27" s="50">
        <v>18</v>
      </c>
      <c r="G27" s="50">
        <v>1</v>
      </c>
      <c r="H27" s="50">
        <v>0</v>
      </c>
      <c r="I27" s="50">
        <v>7</v>
      </c>
      <c r="J27" s="50">
        <v>1</v>
      </c>
      <c r="K27" s="50">
        <v>1</v>
      </c>
      <c r="L27" s="50">
        <v>0</v>
      </c>
      <c r="M27" s="50">
        <v>298</v>
      </c>
      <c r="N27" s="50">
        <v>0</v>
      </c>
      <c r="O27" s="15">
        <f t="shared" si="0"/>
        <v>103</v>
      </c>
      <c r="P27" s="15">
        <f t="shared" si="1"/>
        <v>401</v>
      </c>
      <c r="R27" s="36" t="s">
        <v>151</v>
      </c>
      <c r="S27" s="34">
        <f>SUM(C78:C81)</f>
        <v>50</v>
      </c>
      <c r="T27" s="34">
        <f t="shared" ref="T27:AF27" si="19">SUM(D78:D81)</f>
        <v>0</v>
      </c>
      <c r="U27" s="34">
        <f t="shared" si="19"/>
        <v>2</v>
      </c>
      <c r="V27" s="34">
        <f t="shared" si="19"/>
        <v>2</v>
      </c>
      <c r="W27" s="34">
        <f t="shared" si="19"/>
        <v>7</v>
      </c>
      <c r="X27" s="34">
        <f t="shared" si="19"/>
        <v>0</v>
      </c>
      <c r="Y27" s="34">
        <f t="shared" si="19"/>
        <v>0</v>
      </c>
      <c r="Z27" s="34">
        <f t="shared" si="19"/>
        <v>2</v>
      </c>
      <c r="AA27" s="34">
        <f t="shared" si="19"/>
        <v>0</v>
      </c>
      <c r="AB27" s="34">
        <f t="shared" si="19"/>
        <v>0</v>
      </c>
      <c r="AC27" s="34">
        <f t="shared" si="19"/>
        <v>91</v>
      </c>
      <c r="AD27" s="34">
        <f t="shared" si="19"/>
        <v>0</v>
      </c>
      <c r="AE27" s="31">
        <f t="shared" si="19"/>
        <v>63</v>
      </c>
      <c r="AF27" s="31">
        <f t="shared" si="19"/>
        <v>154</v>
      </c>
    </row>
    <row r="28" spans="2:32" ht="23.1" customHeight="1" x14ac:dyDescent="0.25">
      <c r="B28" s="45" t="s">
        <v>55</v>
      </c>
      <c r="C28" s="50">
        <v>84</v>
      </c>
      <c r="D28" s="50">
        <v>7</v>
      </c>
      <c r="E28" s="50">
        <v>6</v>
      </c>
      <c r="F28" s="50">
        <v>10</v>
      </c>
      <c r="G28" s="50">
        <v>0</v>
      </c>
      <c r="H28" s="50">
        <v>0</v>
      </c>
      <c r="I28" s="50">
        <v>6</v>
      </c>
      <c r="J28" s="50">
        <v>1</v>
      </c>
      <c r="K28" s="50">
        <v>0</v>
      </c>
      <c r="L28" s="50">
        <v>0</v>
      </c>
      <c r="M28" s="50">
        <v>310</v>
      </c>
      <c r="N28" s="50">
        <v>0</v>
      </c>
      <c r="O28" s="15">
        <f t="shared" si="0"/>
        <v>114</v>
      </c>
      <c r="P28" s="15">
        <f t="shared" si="1"/>
        <v>424</v>
      </c>
      <c r="R28" s="36" t="s">
        <v>152</v>
      </c>
      <c r="S28" s="34">
        <f>SUM(C82:C85)</f>
        <v>20</v>
      </c>
      <c r="T28" s="34">
        <f t="shared" ref="T28:AF28" si="20">SUM(D82:D85)</f>
        <v>3</v>
      </c>
      <c r="U28" s="34">
        <f t="shared" si="20"/>
        <v>1</v>
      </c>
      <c r="V28" s="34">
        <f t="shared" si="20"/>
        <v>2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45</v>
      </c>
      <c r="AD28" s="34">
        <f t="shared" si="20"/>
        <v>0</v>
      </c>
      <c r="AE28" s="31">
        <f t="shared" si="20"/>
        <v>29</v>
      </c>
      <c r="AF28" s="31">
        <f t="shared" si="20"/>
        <v>74</v>
      </c>
    </row>
    <row r="29" spans="2:32" ht="23.1" customHeight="1" x14ac:dyDescent="0.25">
      <c r="B29" s="45" t="s">
        <v>56</v>
      </c>
      <c r="C29" s="50">
        <v>112</v>
      </c>
      <c r="D29" s="50">
        <v>8</v>
      </c>
      <c r="E29" s="50">
        <v>7</v>
      </c>
      <c r="F29" s="50">
        <v>19</v>
      </c>
      <c r="G29" s="50">
        <v>0</v>
      </c>
      <c r="H29" s="50">
        <v>0</v>
      </c>
      <c r="I29" s="50">
        <v>12</v>
      </c>
      <c r="J29" s="50">
        <v>0</v>
      </c>
      <c r="K29" s="50">
        <v>0</v>
      </c>
      <c r="L29" s="50">
        <v>0</v>
      </c>
      <c r="M29" s="50">
        <v>137</v>
      </c>
      <c r="N29" s="50">
        <v>0</v>
      </c>
      <c r="O29" s="15">
        <f t="shared" si="0"/>
        <v>158</v>
      </c>
      <c r="P29" s="15">
        <f t="shared" si="1"/>
        <v>295</v>
      </c>
      <c r="R29" s="36" t="s">
        <v>153</v>
      </c>
      <c r="S29" s="34">
        <f>SUM(C86:C89)</f>
        <v>14</v>
      </c>
      <c r="T29" s="34">
        <f t="shared" ref="T29:AF29" si="21">SUM(D86:D89)</f>
        <v>1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17</v>
      </c>
      <c r="AD29" s="34">
        <f t="shared" si="21"/>
        <v>0</v>
      </c>
      <c r="AE29" s="31">
        <f t="shared" si="21"/>
        <v>18</v>
      </c>
      <c r="AF29" s="31">
        <f t="shared" si="21"/>
        <v>35</v>
      </c>
    </row>
    <row r="30" spans="2:32" ht="23.1" customHeight="1" x14ac:dyDescent="0.25">
      <c r="B30" s="45" t="s">
        <v>57</v>
      </c>
      <c r="C30" s="50">
        <v>85</v>
      </c>
      <c r="D30" s="50">
        <v>17</v>
      </c>
      <c r="E30" s="50">
        <v>11</v>
      </c>
      <c r="F30" s="50">
        <v>35</v>
      </c>
      <c r="G30" s="50">
        <v>1</v>
      </c>
      <c r="H30" s="50">
        <v>1</v>
      </c>
      <c r="I30" s="50">
        <v>5</v>
      </c>
      <c r="J30" s="50">
        <v>1</v>
      </c>
      <c r="K30" s="50">
        <v>0</v>
      </c>
      <c r="L30" s="50">
        <v>0</v>
      </c>
      <c r="M30" s="50">
        <v>300</v>
      </c>
      <c r="N30" s="50">
        <v>0</v>
      </c>
      <c r="O30" s="15">
        <f t="shared" si="0"/>
        <v>156</v>
      </c>
      <c r="P30" s="15">
        <f t="shared" si="1"/>
        <v>456</v>
      </c>
      <c r="R30" s="36" t="s">
        <v>154</v>
      </c>
      <c r="S30" s="34">
        <f>SUM(C90:C93)</f>
        <v>9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23</v>
      </c>
      <c r="AD30" s="34">
        <f t="shared" si="22"/>
        <v>0</v>
      </c>
      <c r="AE30" s="31">
        <f t="shared" si="22"/>
        <v>12</v>
      </c>
      <c r="AF30" s="31">
        <f t="shared" si="22"/>
        <v>35</v>
      </c>
    </row>
    <row r="31" spans="2:32" ht="23.1" customHeight="1" x14ac:dyDescent="0.25">
      <c r="B31" s="46" t="s">
        <v>58</v>
      </c>
      <c r="C31" s="50">
        <v>76</v>
      </c>
      <c r="D31" s="50">
        <v>15</v>
      </c>
      <c r="E31" s="50">
        <v>12</v>
      </c>
      <c r="F31" s="50">
        <v>7</v>
      </c>
      <c r="G31" s="50">
        <v>0</v>
      </c>
      <c r="H31" s="50">
        <v>0</v>
      </c>
      <c r="I31" s="50">
        <v>5</v>
      </c>
      <c r="J31" s="50">
        <v>1</v>
      </c>
      <c r="K31" s="50">
        <v>0</v>
      </c>
      <c r="L31" s="50">
        <v>0</v>
      </c>
      <c r="M31" s="50">
        <v>350</v>
      </c>
      <c r="N31" s="50">
        <v>0</v>
      </c>
      <c r="O31" s="15">
        <f t="shared" si="0"/>
        <v>116</v>
      </c>
      <c r="P31" s="15">
        <f t="shared" si="1"/>
        <v>466</v>
      </c>
      <c r="R31" s="36" t="s">
        <v>155</v>
      </c>
      <c r="S31" s="34">
        <f>SUM(C94:C97)</f>
        <v>16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0</v>
      </c>
      <c r="W31" s="34">
        <f t="shared" si="23"/>
        <v>1</v>
      </c>
      <c r="X31" s="34">
        <f t="shared" si="23"/>
        <v>0</v>
      </c>
      <c r="Y31" s="34">
        <f t="shared" si="23"/>
        <v>0</v>
      </c>
      <c r="Z31" s="34">
        <f t="shared" si="23"/>
        <v>2</v>
      </c>
      <c r="AA31" s="34">
        <f t="shared" si="23"/>
        <v>1</v>
      </c>
      <c r="AB31" s="34">
        <f t="shared" si="23"/>
        <v>0</v>
      </c>
      <c r="AC31" s="34">
        <f t="shared" si="23"/>
        <v>39</v>
      </c>
      <c r="AD31" s="34">
        <f t="shared" si="23"/>
        <v>0</v>
      </c>
      <c r="AE31" s="31">
        <f t="shared" si="23"/>
        <v>21</v>
      </c>
      <c r="AF31" s="31">
        <f t="shared" si="23"/>
        <v>60</v>
      </c>
    </row>
    <row r="32" spans="2:32" ht="23.1" customHeight="1" x14ac:dyDescent="0.25">
      <c r="B32" s="46" t="s">
        <v>59</v>
      </c>
      <c r="C32" s="50">
        <v>50</v>
      </c>
      <c r="D32" s="50">
        <v>11</v>
      </c>
      <c r="E32" s="50">
        <v>9</v>
      </c>
      <c r="F32" s="50">
        <v>37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1</v>
      </c>
      <c r="M32" s="50">
        <v>243</v>
      </c>
      <c r="N32" s="50">
        <v>0</v>
      </c>
      <c r="O32" s="15">
        <f t="shared" si="0"/>
        <v>112</v>
      </c>
      <c r="P32" s="15">
        <f t="shared" si="1"/>
        <v>355</v>
      </c>
      <c r="R32" s="33" t="s">
        <v>156</v>
      </c>
      <c r="S32" s="34">
        <f>SUM(C98:C101)</f>
        <v>12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2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57</v>
      </c>
      <c r="AD32" s="34">
        <f t="shared" si="24"/>
        <v>0</v>
      </c>
      <c r="AE32" s="31">
        <f t="shared" si="24"/>
        <v>16</v>
      </c>
      <c r="AF32" s="31">
        <f t="shared" si="24"/>
        <v>73</v>
      </c>
    </row>
    <row r="33" spans="2:32" ht="23.1" customHeight="1" x14ac:dyDescent="0.25">
      <c r="B33" s="45" t="s">
        <v>60</v>
      </c>
      <c r="C33" s="50">
        <v>55</v>
      </c>
      <c r="D33" s="50">
        <v>6</v>
      </c>
      <c r="E33" s="50">
        <v>8</v>
      </c>
      <c r="F33" s="50">
        <v>16</v>
      </c>
      <c r="G33" s="50">
        <v>0</v>
      </c>
      <c r="H33" s="50">
        <v>0</v>
      </c>
      <c r="I33" s="50">
        <v>9</v>
      </c>
      <c r="J33" s="50">
        <v>0</v>
      </c>
      <c r="K33" s="50">
        <v>1</v>
      </c>
      <c r="L33" s="50">
        <v>1</v>
      </c>
      <c r="M33" s="50">
        <v>365</v>
      </c>
      <c r="N33" s="50">
        <v>0</v>
      </c>
      <c r="O33" s="15">
        <f t="shared" si="0"/>
        <v>96</v>
      </c>
      <c r="P33" s="15">
        <f t="shared" si="1"/>
        <v>461</v>
      </c>
      <c r="R33" s="33" t="s">
        <v>157</v>
      </c>
      <c r="S33" s="34">
        <f>SUM(C102:C105)</f>
        <v>28</v>
      </c>
      <c r="T33" s="34">
        <f t="shared" ref="T33:AF33" si="25">SUM(D102:D105)</f>
        <v>4</v>
      </c>
      <c r="U33" s="34">
        <f t="shared" si="25"/>
        <v>1</v>
      </c>
      <c r="V33" s="34">
        <f t="shared" si="25"/>
        <v>9</v>
      </c>
      <c r="W33" s="34">
        <f t="shared" si="25"/>
        <v>4</v>
      </c>
      <c r="X33" s="34">
        <f t="shared" si="25"/>
        <v>0</v>
      </c>
      <c r="Y33" s="34">
        <f t="shared" si="25"/>
        <v>2</v>
      </c>
      <c r="Z33" s="34">
        <f t="shared" si="25"/>
        <v>2</v>
      </c>
      <c r="AA33" s="34">
        <f t="shared" si="25"/>
        <v>0</v>
      </c>
      <c r="AB33" s="34">
        <f t="shared" si="25"/>
        <v>3</v>
      </c>
      <c r="AC33" s="34">
        <f t="shared" si="25"/>
        <v>79</v>
      </c>
      <c r="AD33" s="34">
        <f t="shared" si="25"/>
        <v>0</v>
      </c>
      <c r="AE33" s="31">
        <f t="shared" si="25"/>
        <v>53</v>
      </c>
      <c r="AF33" s="31">
        <f t="shared" si="25"/>
        <v>132</v>
      </c>
    </row>
    <row r="34" spans="2:32" ht="23.1" customHeight="1" x14ac:dyDescent="0.25">
      <c r="B34" s="46" t="s">
        <v>61</v>
      </c>
      <c r="C34" s="50">
        <v>36</v>
      </c>
      <c r="D34" s="50">
        <v>11</v>
      </c>
      <c r="E34" s="50">
        <v>9</v>
      </c>
      <c r="F34" s="50">
        <v>7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268</v>
      </c>
      <c r="N34" s="50">
        <v>0</v>
      </c>
      <c r="O34" s="15">
        <f t="shared" si="0"/>
        <v>66</v>
      </c>
      <c r="P34" s="15">
        <f t="shared" si="1"/>
        <v>334</v>
      </c>
      <c r="R34" s="38" t="s">
        <v>90</v>
      </c>
      <c r="S34" s="39">
        <f t="shared" ref="S34:AF34" si="26">MAX(S10:S12)</f>
        <v>296</v>
      </c>
      <c r="T34" s="39">
        <f t="shared" si="26"/>
        <v>41</v>
      </c>
      <c r="U34" s="39">
        <f t="shared" si="26"/>
        <v>86</v>
      </c>
      <c r="V34" s="39">
        <f t="shared" si="26"/>
        <v>45</v>
      </c>
      <c r="W34" s="39">
        <f t="shared" si="26"/>
        <v>19</v>
      </c>
      <c r="X34" s="39">
        <f t="shared" si="26"/>
        <v>3</v>
      </c>
      <c r="Y34" s="39">
        <f t="shared" si="26"/>
        <v>36</v>
      </c>
      <c r="Z34" s="39">
        <f t="shared" si="26"/>
        <v>12</v>
      </c>
      <c r="AA34" s="39">
        <f t="shared" si="26"/>
        <v>13</v>
      </c>
      <c r="AB34" s="39">
        <f t="shared" si="26"/>
        <v>0</v>
      </c>
      <c r="AC34" s="39">
        <f t="shared" si="26"/>
        <v>670</v>
      </c>
      <c r="AD34" s="39">
        <f t="shared" si="26"/>
        <v>0</v>
      </c>
      <c r="AE34" s="40">
        <f t="shared" si="26"/>
        <v>541</v>
      </c>
      <c r="AF34" s="40">
        <f t="shared" si="26"/>
        <v>945</v>
      </c>
    </row>
    <row r="35" spans="2:32" ht="23.1" customHeight="1" x14ac:dyDescent="0.25">
      <c r="B35" s="46" t="s">
        <v>62</v>
      </c>
      <c r="C35" s="50">
        <v>66</v>
      </c>
      <c r="D35" s="50">
        <v>21</v>
      </c>
      <c r="E35" s="50">
        <v>15</v>
      </c>
      <c r="F35" s="50">
        <v>20</v>
      </c>
      <c r="G35" s="50">
        <v>0</v>
      </c>
      <c r="H35" s="50">
        <v>0</v>
      </c>
      <c r="I35" s="50">
        <v>8</v>
      </c>
      <c r="J35" s="50">
        <v>0</v>
      </c>
      <c r="K35" s="50">
        <v>0</v>
      </c>
      <c r="L35" s="50">
        <v>0</v>
      </c>
      <c r="M35" s="50">
        <v>315</v>
      </c>
      <c r="N35" s="50">
        <v>0</v>
      </c>
      <c r="O35" s="15">
        <f t="shared" si="0"/>
        <v>130</v>
      </c>
      <c r="P35" s="15">
        <f t="shared" si="1"/>
        <v>445</v>
      </c>
      <c r="R35" s="38" t="s">
        <v>91</v>
      </c>
      <c r="S35" s="39">
        <f t="shared" ref="S35:AF35" si="27">MAX(S13:S18)</f>
        <v>340</v>
      </c>
      <c r="T35" s="39">
        <f t="shared" si="27"/>
        <v>106</v>
      </c>
      <c r="U35" s="39">
        <f t="shared" si="27"/>
        <v>49</v>
      </c>
      <c r="V35" s="39">
        <f t="shared" si="27"/>
        <v>99</v>
      </c>
      <c r="W35" s="39">
        <f t="shared" si="27"/>
        <v>2</v>
      </c>
      <c r="X35" s="39">
        <f t="shared" si="27"/>
        <v>3</v>
      </c>
      <c r="Y35" s="39">
        <f t="shared" si="27"/>
        <v>47</v>
      </c>
      <c r="Z35" s="39">
        <f t="shared" si="27"/>
        <v>4</v>
      </c>
      <c r="AA35" s="39">
        <f t="shared" si="27"/>
        <v>1</v>
      </c>
      <c r="AB35" s="39">
        <f t="shared" si="27"/>
        <v>2</v>
      </c>
      <c r="AC35" s="39">
        <f t="shared" si="27"/>
        <v>1258</v>
      </c>
      <c r="AD35" s="39">
        <f t="shared" si="27"/>
        <v>0</v>
      </c>
      <c r="AE35" s="40">
        <f t="shared" si="27"/>
        <v>505</v>
      </c>
      <c r="AF35" s="40">
        <f t="shared" si="27"/>
        <v>1738</v>
      </c>
    </row>
    <row r="36" spans="2:32" ht="23.1" customHeight="1" x14ac:dyDescent="0.25">
      <c r="B36" s="46" t="s">
        <v>63</v>
      </c>
      <c r="C36" s="50">
        <v>32</v>
      </c>
      <c r="D36" s="50">
        <v>26</v>
      </c>
      <c r="E36" s="50">
        <v>8</v>
      </c>
      <c r="F36" s="50">
        <v>15</v>
      </c>
      <c r="G36" s="50">
        <v>0</v>
      </c>
      <c r="H36" s="50">
        <v>0</v>
      </c>
      <c r="I36" s="50">
        <v>0</v>
      </c>
      <c r="J36" s="50">
        <v>2</v>
      </c>
      <c r="K36" s="50">
        <v>0</v>
      </c>
      <c r="L36" s="50">
        <v>0</v>
      </c>
      <c r="M36" s="50">
        <v>205</v>
      </c>
      <c r="N36" s="50">
        <v>0</v>
      </c>
      <c r="O36" s="15">
        <f t="shared" si="0"/>
        <v>83</v>
      </c>
      <c r="P36" s="15">
        <f t="shared" si="1"/>
        <v>288</v>
      </c>
      <c r="R36" s="38" t="s">
        <v>92</v>
      </c>
      <c r="S36" s="39">
        <f t="shared" ref="S36:AF36" si="28">MAX(S19:S21)</f>
        <v>204</v>
      </c>
      <c r="T36" s="39">
        <f t="shared" si="28"/>
        <v>74</v>
      </c>
      <c r="U36" s="39">
        <f t="shared" si="28"/>
        <v>28</v>
      </c>
      <c r="V36" s="39">
        <f t="shared" si="28"/>
        <v>62</v>
      </c>
      <c r="W36" s="39">
        <f t="shared" si="28"/>
        <v>1</v>
      </c>
      <c r="X36" s="39">
        <f t="shared" si="28"/>
        <v>0</v>
      </c>
      <c r="Y36" s="39">
        <f t="shared" si="28"/>
        <v>26</v>
      </c>
      <c r="Z36" s="39">
        <f t="shared" si="28"/>
        <v>5</v>
      </c>
      <c r="AA36" s="39">
        <f t="shared" si="28"/>
        <v>3</v>
      </c>
      <c r="AB36" s="39">
        <f t="shared" si="28"/>
        <v>3</v>
      </c>
      <c r="AC36" s="39">
        <f t="shared" si="28"/>
        <v>1127</v>
      </c>
      <c r="AD36" s="39">
        <f t="shared" si="28"/>
        <v>0</v>
      </c>
      <c r="AE36" s="40">
        <f t="shared" si="28"/>
        <v>352</v>
      </c>
      <c r="AF36" s="40">
        <f t="shared" si="28"/>
        <v>1451</v>
      </c>
    </row>
    <row r="37" spans="2:32" ht="23.1" customHeight="1" x14ac:dyDescent="0.25">
      <c r="B37" s="45" t="s">
        <v>64</v>
      </c>
      <c r="C37" s="50">
        <v>71</v>
      </c>
      <c r="D37" s="50">
        <v>23</v>
      </c>
      <c r="E37" s="50">
        <v>5</v>
      </c>
      <c r="F37" s="50">
        <v>16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275</v>
      </c>
      <c r="N37" s="50">
        <v>0</v>
      </c>
      <c r="O37" s="15">
        <f t="shared" si="0"/>
        <v>117</v>
      </c>
      <c r="P37" s="15">
        <f t="shared" si="1"/>
        <v>392</v>
      </c>
      <c r="R37" s="37" t="s">
        <v>85</v>
      </c>
      <c r="S37" s="35">
        <f t="shared" ref="S37:AF37" si="29">SUM(S10:S12)</f>
        <v>509</v>
      </c>
      <c r="T37" s="16">
        <f t="shared" si="29"/>
        <v>104</v>
      </c>
      <c r="U37" s="16">
        <f t="shared" si="29"/>
        <v>142</v>
      </c>
      <c r="V37" s="16">
        <f t="shared" si="29"/>
        <v>101</v>
      </c>
      <c r="W37" s="16">
        <f t="shared" si="29"/>
        <v>29</v>
      </c>
      <c r="X37" s="16">
        <f t="shared" si="29"/>
        <v>3</v>
      </c>
      <c r="Y37" s="16">
        <f t="shared" si="29"/>
        <v>66</v>
      </c>
      <c r="Z37" s="16">
        <f t="shared" si="29"/>
        <v>15</v>
      </c>
      <c r="AA37" s="16">
        <f t="shared" si="29"/>
        <v>13</v>
      </c>
      <c r="AB37" s="16">
        <f t="shared" si="29"/>
        <v>0</v>
      </c>
      <c r="AC37" s="16">
        <f t="shared" si="29"/>
        <v>1560</v>
      </c>
      <c r="AD37" s="16">
        <f t="shared" si="29"/>
        <v>0</v>
      </c>
      <c r="AE37" s="32">
        <f t="shared" si="29"/>
        <v>982</v>
      </c>
      <c r="AF37" s="32">
        <f t="shared" si="29"/>
        <v>2542</v>
      </c>
    </row>
    <row r="38" spans="2:32" ht="23.1" customHeight="1" x14ac:dyDescent="0.25">
      <c r="B38" s="46" t="s">
        <v>65</v>
      </c>
      <c r="C38" s="50">
        <v>65</v>
      </c>
      <c r="D38" s="50">
        <v>44</v>
      </c>
      <c r="E38" s="50">
        <v>17</v>
      </c>
      <c r="F38" s="50">
        <v>23</v>
      </c>
      <c r="G38" s="50">
        <v>0</v>
      </c>
      <c r="H38" s="50">
        <v>0</v>
      </c>
      <c r="I38" s="50">
        <v>8</v>
      </c>
      <c r="J38" s="50">
        <v>2</v>
      </c>
      <c r="K38" s="50">
        <v>0</v>
      </c>
      <c r="L38" s="50">
        <v>0</v>
      </c>
      <c r="M38" s="50">
        <v>250</v>
      </c>
      <c r="N38" s="50">
        <v>0</v>
      </c>
      <c r="O38" s="15">
        <f t="shared" si="0"/>
        <v>159</v>
      </c>
      <c r="P38" s="15">
        <f t="shared" si="1"/>
        <v>409</v>
      </c>
      <c r="R38" s="28" t="s">
        <v>86</v>
      </c>
      <c r="S38" s="16">
        <f t="shared" ref="S38:AF38" si="30">SUM(S13:S18)</f>
        <v>1557</v>
      </c>
      <c r="T38" s="16">
        <f t="shared" si="30"/>
        <v>363</v>
      </c>
      <c r="U38" s="16">
        <f t="shared" si="30"/>
        <v>220</v>
      </c>
      <c r="V38" s="16">
        <f t="shared" si="30"/>
        <v>434</v>
      </c>
      <c r="W38" s="16">
        <f t="shared" si="30"/>
        <v>6</v>
      </c>
      <c r="X38" s="16">
        <f t="shared" si="30"/>
        <v>4</v>
      </c>
      <c r="Y38" s="16">
        <f t="shared" si="30"/>
        <v>155</v>
      </c>
      <c r="Z38" s="16">
        <f t="shared" si="30"/>
        <v>11</v>
      </c>
      <c r="AA38" s="16">
        <f t="shared" si="30"/>
        <v>3</v>
      </c>
      <c r="AB38" s="16">
        <f t="shared" si="30"/>
        <v>3</v>
      </c>
      <c r="AC38" s="16">
        <f t="shared" si="30"/>
        <v>6203</v>
      </c>
      <c r="AD38" s="16">
        <f t="shared" si="30"/>
        <v>0</v>
      </c>
      <c r="AE38" s="32">
        <f t="shared" si="30"/>
        <v>2756</v>
      </c>
      <c r="AF38" s="32">
        <f t="shared" si="30"/>
        <v>8959</v>
      </c>
    </row>
    <row r="39" spans="2:32" ht="23.1" customHeight="1" x14ac:dyDescent="0.25">
      <c r="B39" s="46" t="s">
        <v>66</v>
      </c>
      <c r="C39" s="50">
        <v>43</v>
      </c>
      <c r="D39" s="50">
        <v>25</v>
      </c>
      <c r="E39" s="50">
        <v>1</v>
      </c>
      <c r="F39" s="50">
        <v>25</v>
      </c>
      <c r="G39" s="50">
        <v>0</v>
      </c>
      <c r="H39" s="50">
        <v>0</v>
      </c>
      <c r="I39" s="50">
        <v>4</v>
      </c>
      <c r="J39" s="50">
        <v>2</v>
      </c>
      <c r="K39" s="50">
        <v>0</v>
      </c>
      <c r="L39" s="50">
        <v>1</v>
      </c>
      <c r="M39" s="50">
        <v>235</v>
      </c>
      <c r="N39" s="50">
        <v>0</v>
      </c>
      <c r="O39" s="15">
        <f t="shared" si="0"/>
        <v>101</v>
      </c>
      <c r="P39" s="15">
        <f t="shared" si="1"/>
        <v>336</v>
      </c>
      <c r="R39" s="29" t="s">
        <v>87</v>
      </c>
      <c r="S39" s="16">
        <f t="shared" ref="S39:AF39" si="31">SUM(S19:S21)</f>
        <v>526</v>
      </c>
      <c r="T39" s="16">
        <f t="shared" si="31"/>
        <v>164</v>
      </c>
      <c r="U39" s="16">
        <f t="shared" si="31"/>
        <v>62</v>
      </c>
      <c r="V39" s="16">
        <f t="shared" si="31"/>
        <v>178</v>
      </c>
      <c r="W39" s="16">
        <f t="shared" si="31"/>
        <v>1</v>
      </c>
      <c r="X39" s="16">
        <f t="shared" si="31"/>
        <v>0</v>
      </c>
      <c r="Y39" s="16">
        <f t="shared" si="31"/>
        <v>53</v>
      </c>
      <c r="Z39" s="16">
        <f t="shared" si="31"/>
        <v>12</v>
      </c>
      <c r="AA39" s="16">
        <f t="shared" si="31"/>
        <v>3</v>
      </c>
      <c r="AB39" s="16">
        <f t="shared" si="31"/>
        <v>5</v>
      </c>
      <c r="AC39" s="16">
        <f t="shared" si="31"/>
        <v>3150</v>
      </c>
      <c r="AD39" s="16">
        <f t="shared" si="31"/>
        <v>0</v>
      </c>
      <c r="AE39" s="32">
        <f t="shared" si="31"/>
        <v>1004</v>
      </c>
      <c r="AF39" s="32">
        <f t="shared" si="31"/>
        <v>4154</v>
      </c>
    </row>
    <row r="40" spans="2:32" ht="23.1" customHeight="1" x14ac:dyDescent="0.25">
      <c r="B40" s="46" t="s">
        <v>67</v>
      </c>
      <c r="C40" s="50">
        <v>28</v>
      </c>
      <c r="D40" s="50">
        <v>7</v>
      </c>
      <c r="E40" s="50">
        <v>5</v>
      </c>
      <c r="F40" s="50">
        <v>11</v>
      </c>
      <c r="G40" s="50">
        <v>0</v>
      </c>
      <c r="H40" s="50">
        <v>0</v>
      </c>
      <c r="I40" s="50">
        <v>4</v>
      </c>
      <c r="J40" s="50">
        <v>0</v>
      </c>
      <c r="K40" s="50">
        <v>0</v>
      </c>
      <c r="L40" s="50">
        <v>0</v>
      </c>
      <c r="M40" s="50">
        <v>181</v>
      </c>
      <c r="N40" s="50">
        <v>0</v>
      </c>
      <c r="O40" s="15">
        <f t="shared" si="0"/>
        <v>55</v>
      </c>
      <c r="P40" s="15">
        <f t="shared" si="1"/>
        <v>236</v>
      </c>
      <c r="R40" s="5" t="s">
        <v>17</v>
      </c>
      <c r="S40" s="16">
        <f t="shared" ref="S40:AF40" si="32">SUM(S10:S21)</f>
        <v>2592</v>
      </c>
      <c r="T40" s="16">
        <f t="shared" si="32"/>
        <v>631</v>
      </c>
      <c r="U40" s="16">
        <f t="shared" si="32"/>
        <v>424</v>
      </c>
      <c r="V40" s="16">
        <f t="shared" si="32"/>
        <v>713</v>
      </c>
      <c r="W40" s="16">
        <f t="shared" si="32"/>
        <v>36</v>
      </c>
      <c r="X40" s="16">
        <f t="shared" si="32"/>
        <v>7</v>
      </c>
      <c r="Y40" s="16">
        <f t="shared" si="32"/>
        <v>274</v>
      </c>
      <c r="Z40" s="16">
        <f t="shared" si="32"/>
        <v>38</v>
      </c>
      <c r="AA40" s="16">
        <f t="shared" si="32"/>
        <v>19</v>
      </c>
      <c r="AB40" s="16">
        <f t="shared" si="32"/>
        <v>8</v>
      </c>
      <c r="AC40" s="16">
        <f t="shared" si="32"/>
        <v>10913</v>
      </c>
      <c r="AD40" s="16">
        <f t="shared" si="32"/>
        <v>0</v>
      </c>
      <c r="AE40" s="32">
        <f t="shared" si="32"/>
        <v>4742</v>
      </c>
      <c r="AF40" s="32">
        <f t="shared" si="32"/>
        <v>15655</v>
      </c>
    </row>
    <row r="41" spans="2:32" ht="23.1" customHeight="1" x14ac:dyDescent="0.25">
      <c r="B41" s="45" t="s">
        <v>68</v>
      </c>
      <c r="C41" s="50">
        <v>35</v>
      </c>
      <c r="D41" s="50">
        <v>30</v>
      </c>
      <c r="E41" s="50">
        <v>2</v>
      </c>
      <c r="F41" s="50">
        <v>25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250</v>
      </c>
      <c r="N41" s="50">
        <v>0</v>
      </c>
      <c r="O41" s="15">
        <f t="shared" si="0"/>
        <v>95</v>
      </c>
      <c r="P41" s="15">
        <f t="shared" si="1"/>
        <v>345</v>
      </c>
      <c r="R41" s="5" t="s">
        <v>159</v>
      </c>
      <c r="S41" s="16">
        <f>SUM(S10:S33)</f>
        <v>3497</v>
      </c>
      <c r="T41" s="16">
        <f t="shared" ref="T41:AF41" si="33">SUM(T10:T33)</f>
        <v>752</v>
      </c>
      <c r="U41" s="16">
        <f t="shared" si="33"/>
        <v>505</v>
      </c>
      <c r="V41" s="16">
        <f t="shared" si="33"/>
        <v>1146</v>
      </c>
      <c r="W41" s="16">
        <f t="shared" si="33"/>
        <v>68</v>
      </c>
      <c r="X41" s="16">
        <f t="shared" si="33"/>
        <v>7</v>
      </c>
      <c r="Y41" s="16">
        <f t="shared" si="33"/>
        <v>324</v>
      </c>
      <c r="Z41" s="16">
        <f t="shared" si="33"/>
        <v>85</v>
      </c>
      <c r="AA41" s="16">
        <f t="shared" si="33"/>
        <v>31</v>
      </c>
      <c r="AB41" s="16">
        <f t="shared" si="33"/>
        <v>15</v>
      </c>
      <c r="AC41" s="16">
        <f t="shared" si="33"/>
        <v>12704</v>
      </c>
      <c r="AD41" s="16">
        <f t="shared" si="33"/>
        <v>2</v>
      </c>
      <c r="AE41" s="32">
        <f t="shared" si="33"/>
        <v>6432</v>
      </c>
      <c r="AF41" s="32">
        <f t="shared" si="33"/>
        <v>19136</v>
      </c>
    </row>
    <row r="42" spans="2:32" ht="23.1" customHeight="1" x14ac:dyDescent="0.25">
      <c r="B42" s="46" t="s">
        <v>69</v>
      </c>
      <c r="C42" s="50">
        <v>90</v>
      </c>
      <c r="D42" s="50">
        <v>6</v>
      </c>
      <c r="E42" s="50">
        <v>22</v>
      </c>
      <c r="F42" s="50">
        <v>0</v>
      </c>
      <c r="G42" s="50">
        <v>0</v>
      </c>
      <c r="H42" s="50">
        <v>3</v>
      </c>
      <c r="I42" s="50">
        <v>0</v>
      </c>
      <c r="J42" s="50">
        <v>0</v>
      </c>
      <c r="K42" s="50">
        <v>0</v>
      </c>
      <c r="L42" s="50">
        <v>0</v>
      </c>
      <c r="M42" s="50">
        <v>215</v>
      </c>
      <c r="N42" s="50">
        <v>0</v>
      </c>
      <c r="O42" s="15">
        <f t="shared" si="0"/>
        <v>121</v>
      </c>
      <c r="P42" s="15">
        <f t="shared" si="1"/>
        <v>336</v>
      </c>
      <c r="R42" s="5" t="s">
        <v>160</v>
      </c>
      <c r="S42" s="48">
        <f>S41/S40</f>
        <v>1.3491512345679013</v>
      </c>
      <c r="T42" s="48">
        <f t="shared" ref="T42:AF42" si="34">T41/T40</f>
        <v>1.1917591125198099</v>
      </c>
      <c r="U42" s="48">
        <f t="shared" si="34"/>
        <v>1.1910377358490567</v>
      </c>
      <c r="V42" s="48">
        <f t="shared" si="34"/>
        <v>1.6072931276297335</v>
      </c>
      <c r="W42" s="48">
        <f t="shared" si="34"/>
        <v>1.8888888888888888</v>
      </c>
      <c r="X42" s="48">
        <f t="shared" si="34"/>
        <v>1</v>
      </c>
      <c r="Y42" s="48">
        <f t="shared" si="34"/>
        <v>1.1824817518248176</v>
      </c>
      <c r="Z42" s="48">
        <f t="shared" si="34"/>
        <v>2.236842105263158</v>
      </c>
      <c r="AA42" s="48">
        <f t="shared" si="34"/>
        <v>1.631578947368421</v>
      </c>
      <c r="AB42" s="48">
        <f t="shared" si="34"/>
        <v>1.875</v>
      </c>
      <c r="AC42" s="48">
        <f t="shared" si="34"/>
        <v>1.164116191697975</v>
      </c>
      <c r="AD42" s="48" t="e">
        <f t="shared" si="34"/>
        <v>#DIV/0!</v>
      </c>
      <c r="AE42" s="48">
        <f t="shared" si="34"/>
        <v>1.3563897089835513</v>
      </c>
      <c r="AF42" s="48">
        <f t="shared" si="34"/>
        <v>1.222357074417119</v>
      </c>
    </row>
    <row r="43" spans="2:32" ht="23.1" customHeight="1" x14ac:dyDescent="0.25">
      <c r="B43" s="45" t="s">
        <v>70</v>
      </c>
      <c r="C43" s="50">
        <v>60</v>
      </c>
      <c r="D43" s="50">
        <v>9</v>
      </c>
      <c r="E43" s="50">
        <v>6</v>
      </c>
      <c r="F43" s="50">
        <v>15</v>
      </c>
      <c r="G43" s="50">
        <v>1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213</v>
      </c>
      <c r="N43" s="50">
        <v>0</v>
      </c>
      <c r="O43" s="15">
        <f t="shared" si="0"/>
        <v>95</v>
      </c>
      <c r="P43" s="15">
        <f t="shared" si="1"/>
        <v>308</v>
      </c>
    </row>
    <row r="44" spans="2:32" ht="23.1" customHeight="1" x14ac:dyDescent="0.25">
      <c r="B44" s="47" t="s">
        <v>71</v>
      </c>
      <c r="C44" s="50">
        <v>65</v>
      </c>
      <c r="D44" s="50">
        <v>11</v>
      </c>
      <c r="E44" s="50">
        <v>7</v>
      </c>
      <c r="F44" s="50">
        <v>10</v>
      </c>
      <c r="G44" s="50">
        <v>0</v>
      </c>
      <c r="H44" s="50">
        <v>0</v>
      </c>
      <c r="I44" s="50">
        <v>13</v>
      </c>
      <c r="J44" s="50">
        <v>0</v>
      </c>
      <c r="K44" s="50">
        <v>0</v>
      </c>
      <c r="L44" s="50">
        <v>0</v>
      </c>
      <c r="M44" s="50">
        <v>215</v>
      </c>
      <c r="N44" s="50">
        <v>0</v>
      </c>
      <c r="O44" s="15">
        <f t="shared" si="0"/>
        <v>106</v>
      </c>
      <c r="P44" s="15">
        <f t="shared" si="1"/>
        <v>321</v>
      </c>
    </row>
    <row r="45" spans="2:32" ht="23.1" customHeight="1" x14ac:dyDescent="0.25">
      <c r="B45" s="45" t="s">
        <v>72</v>
      </c>
      <c r="C45" s="50">
        <v>117</v>
      </c>
      <c r="D45" s="50">
        <v>9</v>
      </c>
      <c r="E45" s="50">
        <v>1</v>
      </c>
      <c r="F45" s="50">
        <v>12</v>
      </c>
      <c r="G45" s="50">
        <v>1</v>
      </c>
      <c r="H45" s="50">
        <v>0</v>
      </c>
      <c r="I45" s="50">
        <v>4</v>
      </c>
      <c r="J45" s="50">
        <v>0</v>
      </c>
      <c r="K45" s="50">
        <v>0</v>
      </c>
      <c r="L45" s="50">
        <v>0</v>
      </c>
      <c r="M45" s="50">
        <v>298</v>
      </c>
      <c r="N45" s="50">
        <v>0</v>
      </c>
      <c r="O45" s="15">
        <f t="shared" si="0"/>
        <v>144</v>
      </c>
      <c r="P45" s="15">
        <f t="shared" si="1"/>
        <v>442</v>
      </c>
    </row>
    <row r="46" spans="2:32" ht="23.1" customHeight="1" x14ac:dyDescent="0.25">
      <c r="B46" s="46" t="s">
        <v>73</v>
      </c>
      <c r="C46" s="50">
        <v>40</v>
      </c>
      <c r="D46" s="50">
        <v>15</v>
      </c>
      <c r="E46" s="50">
        <v>6</v>
      </c>
      <c r="F46" s="50">
        <v>15</v>
      </c>
      <c r="G46" s="50">
        <v>0</v>
      </c>
      <c r="H46" s="50">
        <v>0</v>
      </c>
      <c r="I46" s="50">
        <v>9</v>
      </c>
      <c r="J46" s="50">
        <v>0</v>
      </c>
      <c r="K46" s="50">
        <v>0</v>
      </c>
      <c r="L46" s="50">
        <v>0</v>
      </c>
      <c r="M46" s="50">
        <v>215</v>
      </c>
      <c r="N46" s="50">
        <v>0</v>
      </c>
      <c r="O46" s="15">
        <f t="shared" si="0"/>
        <v>85</v>
      </c>
      <c r="P46" s="15">
        <f t="shared" si="1"/>
        <v>300</v>
      </c>
      <c r="R46" s="8"/>
      <c r="T46"/>
    </row>
    <row r="47" spans="2:32" ht="23.1" customHeight="1" x14ac:dyDescent="0.25">
      <c r="B47" s="46" t="s">
        <v>74</v>
      </c>
      <c r="C47" s="50">
        <v>62</v>
      </c>
      <c r="D47" s="50">
        <v>4</v>
      </c>
      <c r="E47" s="50">
        <v>2</v>
      </c>
      <c r="F47" s="50">
        <v>17</v>
      </c>
      <c r="G47" s="50">
        <v>0</v>
      </c>
      <c r="H47" s="50">
        <v>0</v>
      </c>
      <c r="I47" s="50">
        <v>5</v>
      </c>
      <c r="J47" s="50">
        <v>0</v>
      </c>
      <c r="K47" s="50">
        <v>0</v>
      </c>
      <c r="L47" s="50">
        <v>1</v>
      </c>
      <c r="M47" s="50">
        <v>205</v>
      </c>
      <c r="N47" s="50">
        <v>0</v>
      </c>
      <c r="O47" s="15">
        <f t="shared" si="0"/>
        <v>91</v>
      </c>
      <c r="P47" s="15">
        <f t="shared" si="1"/>
        <v>296</v>
      </c>
      <c r="R47" s="8"/>
      <c r="T47"/>
    </row>
    <row r="48" spans="2:32" ht="23.1" customHeight="1" x14ac:dyDescent="0.25">
      <c r="B48" s="46" t="s">
        <v>75</v>
      </c>
      <c r="C48" s="50">
        <v>48</v>
      </c>
      <c r="D48" s="50">
        <v>13</v>
      </c>
      <c r="E48" s="50">
        <v>3</v>
      </c>
      <c r="F48" s="50">
        <v>19</v>
      </c>
      <c r="G48" s="50">
        <v>1</v>
      </c>
      <c r="H48" s="50">
        <v>0</v>
      </c>
      <c r="I48" s="50">
        <v>5</v>
      </c>
      <c r="J48" s="50">
        <v>0</v>
      </c>
      <c r="K48" s="50">
        <v>0</v>
      </c>
      <c r="L48" s="50">
        <v>0</v>
      </c>
      <c r="M48" s="50">
        <v>275</v>
      </c>
      <c r="N48" s="50">
        <v>0</v>
      </c>
      <c r="O48" s="15">
        <f t="shared" si="0"/>
        <v>89</v>
      </c>
      <c r="P48" s="15">
        <f t="shared" si="1"/>
        <v>364</v>
      </c>
      <c r="R48" s="8"/>
      <c r="T48"/>
    </row>
    <row r="49" spans="2:20" ht="23.1" customHeight="1" x14ac:dyDescent="0.25">
      <c r="B49" s="45" t="s">
        <v>76</v>
      </c>
      <c r="C49" s="50">
        <v>54</v>
      </c>
      <c r="D49" s="50">
        <v>7</v>
      </c>
      <c r="E49" s="50">
        <v>5</v>
      </c>
      <c r="F49" s="50">
        <v>11</v>
      </c>
      <c r="G49" s="50">
        <v>0</v>
      </c>
      <c r="H49" s="50">
        <v>0</v>
      </c>
      <c r="I49" s="50">
        <v>7</v>
      </c>
      <c r="J49" s="50">
        <v>3</v>
      </c>
      <c r="K49" s="50">
        <v>0</v>
      </c>
      <c r="L49" s="50">
        <v>0</v>
      </c>
      <c r="M49" s="50">
        <v>335</v>
      </c>
      <c r="N49" s="50">
        <v>0</v>
      </c>
      <c r="O49" s="15">
        <f t="shared" si="0"/>
        <v>87</v>
      </c>
      <c r="P49" s="15">
        <f t="shared" si="1"/>
        <v>422</v>
      </c>
      <c r="R49" s="8"/>
      <c r="T49"/>
    </row>
    <row r="50" spans="2:20" ht="23.1" customHeight="1" x14ac:dyDescent="0.25">
      <c r="B50" s="46" t="s">
        <v>77</v>
      </c>
      <c r="C50" s="50">
        <v>23</v>
      </c>
      <c r="D50" s="50">
        <v>12</v>
      </c>
      <c r="E50" s="50">
        <v>3</v>
      </c>
      <c r="F50" s="50">
        <v>16</v>
      </c>
      <c r="G50" s="50">
        <v>0</v>
      </c>
      <c r="H50" s="50">
        <v>0</v>
      </c>
      <c r="I50" s="50">
        <v>6</v>
      </c>
      <c r="J50" s="50">
        <v>1</v>
      </c>
      <c r="K50" s="50">
        <v>0</v>
      </c>
      <c r="L50" s="50">
        <v>0</v>
      </c>
      <c r="M50" s="50">
        <v>188</v>
      </c>
      <c r="N50" s="50">
        <v>0</v>
      </c>
      <c r="O50" s="15">
        <f t="shared" si="0"/>
        <v>61</v>
      </c>
      <c r="P50" s="15">
        <f t="shared" si="1"/>
        <v>249</v>
      </c>
      <c r="R50" s="8"/>
      <c r="T50"/>
    </row>
    <row r="51" spans="2:20" ht="23.1" customHeight="1" x14ac:dyDescent="0.25">
      <c r="B51" s="46" t="s">
        <v>78</v>
      </c>
      <c r="C51" s="50">
        <v>41</v>
      </c>
      <c r="D51" s="50">
        <v>9</v>
      </c>
      <c r="E51" s="50">
        <v>7</v>
      </c>
      <c r="F51" s="50">
        <v>12</v>
      </c>
      <c r="G51" s="50">
        <v>0</v>
      </c>
      <c r="H51" s="50">
        <v>0</v>
      </c>
      <c r="I51" s="50">
        <v>5</v>
      </c>
      <c r="J51" s="50">
        <v>0</v>
      </c>
      <c r="K51" s="50">
        <v>3</v>
      </c>
      <c r="L51" s="50">
        <v>3</v>
      </c>
      <c r="M51" s="50">
        <v>329</v>
      </c>
      <c r="N51" s="50">
        <v>0</v>
      </c>
      <c r="O51" s="15">
        <f t="shared" si="0"/>
        <v>80</v>
      </c>
      <c r="P51" s="15">
        <f t="shared" si="1"/>
        <v>409</v>
      </c>
      <c r="R51" s="8"/>
      <c r="T51"/>
    </row>
    <row r="52" spans="2:20" ht="23.1" customHeight="1" x14ac:dyDescent="0.25">
      <c r="B52" s="46" t="s">
        <v>79</v>
      </c>
      <c r="C52" s="50">
        <v>61</v>
      </c>
      <c r="D52" s="50">
        <v>15</v>
      </c>
      <c r="E52" s="50">
        <v>6</v>
      </c>
      <c r="F52" s="50">
        <v>15</v>
      </c>
      <c r="G52" s="50">
        <v>0</v>
      </c>
      <c r="H52" s="50">
        <v>0</v>
      </c>
      <c r="I52" s="50">
        <v>5</v>
      </c>
      <c r="J52" s="50">
        <v>2</v>
      </c>
      <c r="K52" s="50">
        <v>0</v>
      </c>
      <c r="L52" s="50">
        <v>0</v>
      </c>
      <c r="M52" s="50">
        <v>330</v>
      </c>
      <c r="N52" s="50">
        <v>0</v>
      </c>
      <c r="O52" s="15">
        <f t="shared" si="0"/>
        <v>104</v>
      </c>
      <c r="P52" s="15">
        <f t="shared" si="1"/>
        <v>434</v>
      </c>
      <c r="R52" s="8"/>
      <c r="T52"/>
    </row>
    <row r="53" spans="2:20" ht="23.1" customHeight="1" x14ac:dyDescent="0.25">
      <c r="B53" s="45" t="s">
        <v>80</v>
      </c>
      <c r="C53" s="50">
        <v>43</v>
      </c>
      <c r="D53" s="50">
        <v>15</v>
      </c>
      <c r="E53" s="50">
        <v>2</v>
      </c>
      <c r="F53" s="50">
        <v>15</v>
      </c>
      <c r="G53" s="50">
        <v>0</v>
      </c>
      <c r="H53" s="50">
        <v>0</v>
      </c>
      <c r="I53" s="50">
        <v>2</v>
      </c>
      <c r="J53" s="50">
        <v>2</v>
      </c>
      <c r="K53" s="50">
        <v>0</v>
      </c>
      <c r="L53" s="50">
        <v>0</v>
      </c>
      <c r="M53" s="50">
        <v>280</v>
      </c>
      <c r="N53" s="50">
        <v>0</v>
      </c>
      <c r="O53" s="15">
        <f t="shared" si="0"/>
        <v>79</v>
      </c>
      <c r="P53" s="15">
        <f t="shared" si="1"/>
        <v>359</v>
      </c>
      <c r="R53" s="8"/>
      <c r="T53"/>
    </row>
    <row r="54" spans="2:20" ht="23.1" customHeight="1" x14ac:dyDescent="0.25">
      <c r="B54" s="45" t="s">
        <v>81</v>
      </c>
      <c r="C54" s="50">
        <v>39</v>
      </c>
      <c r="D54" s="50">
        <v>18</v>
      </c>
      <c r="E54" s="50">
        <v>11</v>
      </c>
      <c r="F54" s="50">
        <v>15</v>
      </c>
      <c r="G54" s="50">
        <v>0</v>
      </c>
      <c r="H54" s="50">
        <v>0</v>
      </c>
      <c r="I54" s="50">
        <v>2</v>
      </c>
      <c r="J54" s="50">
        <v>2</v>
      </c>
      <c r="K54" s="50">
        <v>0</v>
      </c>
      <c r="L54" s="50">
        <v>0</v>
      </c>
      <c r="M54" s="50">
        <v>272</v>
      </c>
      <c r="N54" s="50">
        <v>0</v>
      </c>
      <c r="O54" s="15">
        <f t="shared" si="0"/>
        <v>87</v>
      </c>
      <c r="P54" s="15">
        <f t="shared" si="1"/>
        <v>359</v>
      </c>
      <c r="R54" s="8"/>
      <c r="T54"/>
    </row>
    <row r="55" spans="2:20" ht="23.1" customHeight="1" x14ac:dyDescent="0.25">
      <c r="B55" s="45" t="s">
        <v>82</v>
      </c>
      <c r="C55" s="50">
        <v>29</v>
      </c>
      <c r="D55" s="50">
        <v>10</v>
      </c>
      <c r="E55" s="50">
        <v>5</v>
      </c>
      <c r="F55" s="50">
        <v>5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113</v>
      </c>
      <c r="N55" s="50">
        <v>0</v>
      </c>
      <c r="O55" s="15">
        <f t="shared" si="0"/>
        <v>49</v>
      </c>
      <c r="P55" s="15">
        <f t="shared" si="1"/>
        <v>162</v>
      </c>
      <c r="R55" s="8"/>
      <c r="T55"/>
    </row>
    <row r="56" spans="2:20" ht="23.1" customHeight="1" x14ac:dyDescent="0.25">
      <c r="B56" s="45" t="s">
        <v>83</v>
      </c>
      <c r="C56" s="50">
        <v>33</v>
      </c>
      <c r="D56" s="50">
        <v>23</v>
      </c>
      <c r="E56" s="50">
        <v>8</v>
      </c>
      <c r="F56" s="50">
        <v>18</v>
      </c>
      <c r="G56" s="50">
        <v>0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268</v>
      </c>
      <c r="N56" s="50">
        <v>0</v>
      </c>
      <c r="O56" s="15">
        <f t="shared" si="0"/>
        <v>84</v>
      </c>
      <c r="P56" s="15">
        <f t="shared" si="1"/>
        <v>352</v>
      </c>
      <c r="R56" s="8"/>
      <c r="T56"/>
    </row>
    <row r="57" spans="2:20" ht="23.1" customHeight="1" x14ac:dyDescent="0.25">
      <c r="B57" s="45" t="s">
        <v>84</v>
      </c>
      <c r="C57" s="50">
        <v>53</v>
      </c>
      <c r="D57" s="50">
        <v>23</v>
      </c>
      <c r="E57" s="50">
        <v>4</v>
      </c>
      <c r="F57" s="50">
        <v>20</v>
      </c>
      <c r="G57" s="50">
        <v>0</v>
      </c>
      <c r="H57" s="50">
        <v>0</v>
      </c>
      <c r="I57" s="50">
        <v>6</v>
      </c>
      <c r="J57" s="50">
        <v>1</v>
      </c>
      <c r="K57" s="50">
        <v>0</v>
      </c>
      <c r="L57" s="50">
        <v>1</v>
      </c>
      <c r="M57" s="50">
        <v>340</v>
      </c>
      <c r="N57" s="50">
        <v>0</v>
      </c>
      <c r="O57" s="15">
        <f t="shared" si="0"/>
        <v>108</v>
      </c>
      <c r="P57" s="15">
        <f t="shared" si="1"/>
        <v>448</v>
      </c>
      <c r="R57" s="8"/>
      <c r="T57"/>
    </row>
    <row r="58" spans="2:20" ht="23.1" customHeight="1" x14ac:dyDescent="0.25">
      <c r="B58" s="45" t="s">
        <v>99</v>
      </c>
      <c r="C58" s="50">
        <v>83</v>
      </c>
      <c r="D58" s="50">
        <v>19</v>
      </c>
      <c r="E58" s="50">
        <v>17</v>
      </c>
      <c r="F58" s="50">
        <v>58</v>
      </c>
      <c r="G58" s="50">
        <v>0</v>
      </c>
      <c r="H58" s="50">
        <v>0</v>
      </c>
      <c r="I58" s="50">
        <v>1</v>
      </c>
      <c r="J58" s="50">
        <v>2</v>
      </c>
      <c r="K58" s="50">
        <v>0</v>
      </c>
      <c r="L58" s="50">
        <v>0</v>
      </c>
      <c r="M58" s="50">
        <v>130</v>
      </c>
      <c r="N58" s="50">
        <v>0</v>
      </c>
      <c r="O58" s="15">
        <f t="shared" si="0"/>
        <v>180</v>
      </c>
      <c r="P58" s="15">
        <f t="shared" si="1"/>
        <v>310</v>
      </c>
      <c r="R58" s="8"/>
      <c r="T58"/>
    </row>
    <row r="59" spans="2:20" ht="23.1" customHeight="1" x14ac:dyDescent="0.25">
      <c r="B59" s="45" t="s">
        <v>100</v>
      </c>
      <c r="C59" s="50">
        <v>16</v>
      </c>
      <c r="D59" s="50">
        <v>15</v>
      </c>
      <c r="E59" s="50">
        <v>2</v>
      </c>
      <c r="F59" s="50">
        <v>0</v>
      </c>
      <c r="G59" s="50">
        <v>12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46</v>
      </c>
      <c r="N59" s="50">
        <v>0</v>
      </c>
      <c r="O59" s="15">
        <f t="shared" si="0"/>
        <v>45</v>
      </c>
      <c r="P59" s="15">
        <f t="shared" si="1"/>
        <v>91</v>
      </c>
      <c r="R59" s="8"/>
      <c r="T59"/>
    </row>
    <row r="60" spans="2:20" ht="23.1" customHeight="1" x14ac:dyDescent="0.25">
      <c r="B60" s="45" t="s">
        <v>101</v>
      </c>
      <c r="C60" s="50">
        <v>11</v>
      </c>
      <c r="D60" s="50">
        <v>3</v>
      </c>
      <c r="E60" s="50">
        <v>6</v>
      </c>
      <c r="F60" s="50">
        <v>20</v>
      </c>
      <c r="G60" s="50">
        <v>0</v>
      </c>
      <c r="H60" s="50">
        <v>0</v>
      </c>
      <c r="I60" s="50">
        <v>0</v>
      </c>
      <c r="J60" s="50">
        <v>1</v>
      </c>
      <c r="K60" s="50">
        <v>1</v>
      </c>
      <c r="L60" s="50">
        <v>1</v>
      </c>
      <c r="M60" s="50">
        <v>55</v>
      </c>
      <c r="N60" s="50">
        <v>0</v>
      </c>
      <c r="O60" s="15">
        <f t="shared" si="0"/>
        <v>43</v>
      </c>
      <c r="P60" s="15">
        <f t="shared" si="1"/>
        <v>98</v>
      </c>
      <c r="R60" s="8"/>
      <c r="T60"/>
    </row>
    <row r="61" spans="2:20" ht="23.1" customHeight="1" x14ac:dyDescent="0.25">
      <c r="B61" s="45" t="s">
        <v>102</v>
      </c>
      <c r="C61" s="50">
        <v>46</v>
      </c>
      <c r="D61" s="50">
        <v>5</v>
      </c>
      <c r="E61" s="50">
        <v>2</v>
      </c>
      <c r="F61" s="50">
        <v>24</v>
      </c>
      <c r="G61" s="50">
        <v>1</v>
      </c>
      <c r="H61" s="50">
        <v>0</v>
      </c>
      <c r="I61" s="50">
        <v>2</v>
      </c>
      <c r="J61" s="50">
        <v>3</v>
      </c>
      <c r="K61" s="50">
        <v>2</v>
      </c>
      <c r="L61" s="50">
        <v>0</v>
      </c>
      <c r="M61" s="50">
        <v>115</v>
      </c>
      <c r="N61" s="50">
        <v>0</v>
      </c>
      <c r="O61" s="15">
        <f t="shared" si="0"/>
        <v>85</v>
      </c>
      <c r="P61" s="15">
        <f t="shared" si="1"/>
        <v>200</v>
      </c>
      <c r="R61" s="8"/>
      <c r="T61"/>
    </row>
    <row r="62" spans="2:20" ht="23.1" customHeight="1" x14ac:dyDescent="0.25">
      <c r="B62" s="45" t="s">
        <v>107</v>
      </c>
      <c r="C62" s="50">
        <v>87</v>
      </c>
      <c r="D62" s="50">
        <v>13</v>
      </c>
      <c r="E62" s="50">
        <v>4</v>
      </c>
      <c r="F62" s="50">
        <v>53</v>
      </c>
      <c r="G62" s="50">
        <v>1</v>
      </c>
      <c r="H62" s="50">
        <v>0</v>
      </c>
      <c r="I62" s="50">
        <v>5</v>
      </c>
      <c r="J62" s="50">
        <v>5</v>
      </c>
      <c r="K62" s="50">
        <v>2</v>
      </c>
      <c r="L62" s="50">
        <v>1</v>
      </c>
      <c r="M62" s="50">
        <v>154</v>
      </c>
      <c r="N62" s="50">
        <v>0</v>
      </c>
      <c r="O62" s="15">
        <f t="shared" si="0"/>
        <v>171</v>
      </c>
      <c r="P62" s="15">
        <f t="shared" si="1"/>
        <v>325</v>
      </c>
      <c r="R62" s="8"/>
      <c r="T62"/>
    </row>
    <row r="63" spans="2:20" ht="23.1" customHeight="1" x14ac:dyDescent="0.25">
      <c r="B63" s="45" t="s">
        <v>108</v>
      </c>
      <c r="C63" s="50">
        <v>25</v>
      </c>
      <c r="D63" s="50">
        <v>4</v>
      </c>
      <c r="E63" s="50">
        <v>3</v>
      </c>
      <c r="F63" s="50">
        <v>36</v>
      </c>
      <c r="G63" s="50">
        <v>0</v>
      </c>
      <c r="H63" s="50">
        <v>0</v>
      </c>
      <c r="I63" s="50">
        <v>3</v>
      </c>
      <c r="J63" s="50">
        <v>2</v>
      </c>
      <c r="K63" s="50">
        <v>0</v>
      </c>
      <c r="L63" s="50">
        <v>0</v>
      </c>
      <c r="M63" s="50">
        <v>115</v>
      </c>
      <c r="N63" s="50">
        <v>0</v>
      </c>
      <c r="O63" s="15">
        <f t="shared" si="0"/>
        <v>73</v>
      </c>
      <c r="P63" s="15">
        <f t="shared" si="1"/>
        <v>188</v>
      </c>
      <c r="R63" s="8"/>
      <c r="T63"/>
    </row>
    <row r="64" spans="2:20" ht="23.1" customHeight="1" x14ac:dyDescent="0.25">
      <c r="B64" s="45" t="s">
        <v>109</v>
      </c>
      <c r="C64" s="50">
        <v>39</v>
      </c>
      <c r="D64" s="50">
        <v>2</v>
      </c>
      <c r="E64" s="50">
        <v>7</v>
      </c>
      <c r="F64" s="50">
        <v>43</v>
      </c>
      <c r="G64" s="50">
        <v>0</v>
      </c>
      <c r="H64" s="50">
        <v>0</v>
      </c>
      <c r="I64" s="50">
        <v>0</v>
      </c>
      <c r="J64" s="50">
        <v>3</v>
      </c>
      <c r="K64" s="50">
        <v>2</v>
      </c>
      <c r="L64" s="50">
        <v>0</v>
      </c>
      <c r="M64" s="50">
        <v>95</v>
      </c>
      <c r="N64" s="50">
        <v>1</v>
      </c>
      <c r="O64" s="15">
        <f t="shared" si="0"/>
        <v>97</v>
      </c>
      <c r="P64" s="15">
        <f t="shared" si="1"/>
        <v>192</v>
      </c>
      <c r="R64" s="8"/>
      <c r="T64"/>
    </row>
    <row r="65" spans="2:20" ht="23.1" customHeight="1" x14ac:dyDescent="0.25">
      <c r="B65" s="45" t="s">
        <v>158</v>
      </c>
      <c r="C65" s="50">
        <v>38</v>
      </c>
      <c r="D65" s="50">
        <v>2</v>
      </c>
      <c r="E65" s="50">
        <v>3</v>
      </c>
      <c r="F65" s="50">
        <v>36</v>
      </c>
      <c r="G65" s="50">
        <v>0</v>
      </c>
      <c r="H65" s="50">
        <v>0</v>
      </c>
      <c r="I65" s="50">
        <v>4</v>
      </c>
      <c r="J65" s="50">
        <v>2</v>
      </c>
      <c r="K65" s="50">
        <v>2</v>
      </c>
      <c r="L65" s="50">
        <v>0</v>
      </c>
      <c r="M65" s="50">
        <v>120</v>
      </c>
      <c r="N65" s="50">
        <v>0</v>
      </c>
      <c r="O65" s="15">
        <f t="shared" si="0"/>
        <v>87</v>
      </c>
      <c r="P65" s="15">
        <f t="shared" si="1"/>
        <v>207</v>
      </c>
      <c r="R65" s="8"/>
      <c r="T65"/>
    </row>
    <row r="66" spans="2:20" ht="23.1" customHeight="1" x14ac:dyDescent="0.25">
      <c r="B66" s="45" t="s">
        <v>103</v>
      </c>
      <c r="C66" s="50">
        <v>36</v>
      </c>
      <c r="D66" s="50">
        <v>5</v>
      </c>
      <c r="E66" s="50">
        <v>5</v>
      </c>
      <c r="F66" s="50">
        <v>25</v>
      </c>
      <c r="G66" s="50">
        <v>0</v>
      </c>
      <c r="H66" s="50">
        <v>0</v>
      </c>
      <c r="I66" s="50">
        <v>5</v>
      </c>
      <c r="J66" s="50">
        <v>2</v>
      </c>
      <c r="K66" s="50">
        <v>0</v>
      </c>
      <c r="L66" s="50">
        <v>1</v>
      </c>
      <c r="M66" s="50">
        <v>61</v>
      </c>
      <c r="N66" s="50">
        <v>0</v>
      </c>
      <c r="O66" s="15">
        <f t="shared" si="0"/>
        <v>79</v>
      </c>
      <c r="P66" s="15">
        <f t="shared" si="1"/>
        <v>140</v>
      </c>
      <c r="R66" s="8"/>
      <c r="T66"/>
    </row>
    <row r="67" spans="2:20" ht="23.1" customHeight="1" x14ac:dyDescent="0.25">
      <c r="B67" s="45" t="s">
        <v>104</v>
      </c>
      <c r="C67" s="50">
        <v>45</v>
      </c>
      <c r="D67" s="50">
        <v>12</v>
      </c>
      <c r="E67" s="50">
        <v>4</v>
      </c>
      <c r="F67" s="50">
        <v>20</v>
      </c>
      <c r="G67" s="50">
        <v>0</v>
      </c>
      <c r="H67" s="50">
        <v>0</v>
      </c>
      <c r="I67" s="50">
        <v>4</v>
      </c>
      <c r="J67" s="50">
        <v>2</v>
      </c>
      <c r="K67" s="50">
        <v>1</v>
      </c>
      <c r="L67" s="50">
        <v>0</v>
      </c>
      <c r="M67" s="50">
        <v>75</v>
      </c>
      <c r="N67" s="50">
        <v>0</v>
      </c>
      <c r="O67" s="15">
        <f t="shared" si="0"/>
        <v>88</v>
      </c>
      <c r="P67" s="15">
        <f t="shared" si="1"/>
        <v>163</v>
      </c>
      <c r="R67" s="8"/>
      <c r="T67"/>
    </row>
    <row r="68" spans="2:20" ht="23.1" customHeight="1" x14ac:dyDescent="0.25">
      <c r="B68" s="45" t="s">
        <v>105</v>
      </c>
      <c r="C68" s="50">
        <v>25</v>
      </c>
      <c r="D68" s="50">
        <v>2</v>
      </c>
      <c r="E68" s="50">
        <v>3</v>
      </c>
      <c r="F68" s="50">
        <v>18</v>
      </c>
      <c r="G68" s="50">
        <v>0</v>
      </c>
      <c r="H68" s="50">
        <v>0</v>
      </c>
      <c r="I68" s="50">
        <v>2</v>
      </c>
      <c r="J68" s="50">
        <v>1</v>
      </c>
      <c r="K68" s="50">
        <v>1</v>
      </c>
      <c r="L68" s="50">
        <v>0</v>
      </c>
      <c r="M68" s="50">
        <v>65</v>
      </c>
      <c r="N68" s="50">
        <v>0</v>
      </c>
      <c r="O68" s="15">
        <f t="shared" si="0"/>
        <v>52</v>
      </c>
      <c r="P68" s="15">
        <f t="shared" si="1"/>
        <v>117</v>
      </c>
      <c r="R68" s="8"/>
      <c r="T68"/>
    </row>
    <row r="69" spans="2:20" ht="23.1" customHeight="1" x14ac:dyDescent="0.25">
      <c r="B69" s="45" t="s">
        <v>106</v>
      </c>
      <c r="C69" s="50">
        <v>50</v>
      </c>
      <c r="D69" s="50">
        <v>6</v>
      </c>
      <c r="E69" s="50">
        <v>2</v>
      </c>
      <c r="F69" s="50">
        <v>26</v>
      </c>
      <c r="G69" s="50">
        <v>0</v>
      </c>
      <c r="H69" s="50">
        <v>0</v>
      </c>
      <c r="I69" s="50">
        <v>2</v>
      </c>
      <c r="J69" s="50">
        <v>3</v>
      </c>
      <c r="K69" s="50">
        <v>0</v>
      </c>
      <c r="L69" s="50">
        <v>0</v>
      </c>
      <c r="M69" s="50">
        <v>68</v>
      </c>
      <c r="N69" s="50">
        <v>1</v>
      </c>
      <c r="O69" s="15">
        <f t="shared" si="0"/>
        <v>90</v>
      </c>
      <c r="P69" s="15">
        <f t="shared" si="1"/>
        <v>158</v>
      </c>
      <c r="R69" s="8"/>
      <c r="T69"/>
    </row>
    <row r="70" spans="2:20" ht="23.1" customHeight="1" x14ac:dyDescent="0.25">
      <c r="B70" s="45" t="s">
        <v>110</v>
      </c>
      <c r="C70" s="50">
        <v>31</v>
      </c>
      <c r="D70" s="50">
        <v>5</v>
      </c>
      <c r="E70" s="50">
        <v>6</v>
      </c>
      <c r="F70" s="50">
        <v>13</v>
      </c>
      <c r="G70" s="50">
        <v>0</v>
      </c>
      <c r="H70" s="50">
        <v>0</v>
      </c>
      <c r="I70" s="50">
        <v>0</v>
      </c>
      <c r="J70" s="50">
        <v>2</v>
      </c>
      <c r="K70" s="50">
        <v>0</v>
      </c>
      <c r="L70" s="50">
        <v>1</v>
      </c>
      <c r="M70" s="50">
        <v>30</v>
      </c>
      <c r="N70" s="50">
        <v>0</v>
      </c>
      <c r="O70" s="15">
        <f t="shared" si="0"/>
        <v>58</v>
      </c>
      <c r="P70" s="15">
        <f t="shared" si="1"/>
        <v>88</v>
      </c>
      <c r="R70" s="8"/>
      <c r="T70"/>
    </row>
    <row r="71" spans="2:20" ht="23.1" customHeight="1" x14ac:dyDescent="0.25">
      <c r="B71" s="45" t="s">
        <v>111</v>
      </c>
      <c r="C71" s="50">
        <v>32</v>
      </c>
      <c r="D71" s="50">
        <v>2</v>
      </c>
      <c r="E71" s="50">
        <v>3</v>
      </c>
      <c r="F71" s="50">
        <v>16</v>
      </c>
      <c r="G71" s="50">
        <v>2</v>
      </c>
      <c r="H71" s="50">
        <v>0</v>
      </c>
      <c r="I71" s="50">
        <v>3</v>
      </c>
      <c r="J71" s="50">
        <v>3</v>
      </c>
      <c r="K71" s="50">
        <v>0</v>
      </c>
      <c r="L71" s="50">
        <v>0</v>
      </c>
      <c r="M71" s="50">
        <v>76</v>
      </c>
      <c r="N71" s="50">
        <v>0</v>
      </c>
      <c r="O71" s="15">
        <f t="shared" si="0"/>
        <v>61</v>
      </c>
      <c r="P71" s="15">
        <f t="shared" si="1"/>
        <v>137</v>
      </c>
      <c r="R71" s="8"/>
      <c r="T71"/>
    </row>
    <row r="72" spans="2:20" ht="23.1" customHeight="1" x14ac:dyDescent="0.25">
      <c r="B72" s="45" t="s">
        <v>112</v>
      </c>
      <c r="C72" s="50">
        <v>43</v>
      </c>
      <c r="D72" s="50">
        <v>2</v>
      </c>
      <c r="E72" s="50">
        <v>3</v>
      </c>
      <c r="F72" s="50">
        <v>11</v>
      </c>
      <c r="G72" s="50">
        <v>0</v>
      </c>
      <c r="H72" s="50">
        <v>0</v>
      </c>
      <c r="I72" s="50">
        <v>1</v>
      </c>
      <c r="J72" s="50">
        <v>3</v>
      </c>
      <c r="K72" s="50">
        <v>0</v>
      </c>
      <c r="L72" s="50">
        <v>0</v>
      </c>
      <c r="M72" s="50">
        <v>60</v>
      </c>
      <c r="N72" s="50">
        <v>0</v>
      </c>
      <c r="O72" s="15">
        <f t="shared" si="0"/>
        <v>63</v>
      </c>
      <c r="P72" s="15">
        <f t="shared" si="1"/>
        <v>123</v>
      </c>
      <c r="R72" s="8"/>
      <c r="T72"/>
    </row>
    <row r="73" spans="2:20" ht="23.1" customHeight="1" x14ac:dyDescent="0.25">
      <c r="B73" s="45" t="s">
        <v>113</v>
      </c>
      <c r="C73" s="50">
        <v>41</v>
      </c>
      <c r="D73" s="50">
        <v>8</v>
      </c>
      <c r="E73" s="50">
        <v>2</v>
      </c>
      <c r="F73" s="50">
        <v>12</v>
      </c>
      <c r="G73" s="50">
        <v>1</v>
      </c>
      <c r="H73" s="50">
        <v>0</v>
      </c>
      <c r="I73" s="50">
        <v>3</v>
      </c>
      <c r="J73" s="50">
        <v>1</v>
      </c>
      <c r="K73" s="50">
        <v>0</v>
      </c>
      <c r="L73" s="50">
        <v>0</v>
      </c>
      <c r="M73" s="50">
        <v>47</v>
      </c>
      <c r="N73" s="50">
        <v>0</v>
      </c>
      <c r="O73" s="15">
        <f t="shared" si="0"/>
        <v>68</v>
      </c>
      <c r="P73" s="15">
        <f t="shared" si="1"/>
        <v>115</v>
      </c>
      <c r="R73" s="8"/>
      <c r="T73"/>
    </row>
    <row r="74" spans="2:20" ht="23.1" customHeight="1" x14ac:dyDescent="0.25">
      <c r="B74" s="45" t="s">
        <v>114</v>
      </c>
      <c r="C74" s="50">
        <v>35</v>
      </c>
      <c r="D74" s="50">
        <v>6</v>
      </c>
      <c r="E74" s="50">
        <v>0</v>
      </c>
      <c r="F74" s="50">
        <v>7</v>
      </c>
      <c r="G74" s="50">
        <v>0</v>
      </c>
      <c r="H74" s="50">
        <v>0</v>
      </c>
      <c r="I74" s="50">
        <v>0</v>
      </c>
      <c r="J74" s="50">
        <v>1</v>
      </c>
      <c r="K74" s="50">
        <v>0</v>
      </c>
      <c r="L74" s="50">
        <v>0</v>
      </c>
      <c r="M74" s="50">
        <v>47</v>
      </c>
      <c r="N74" s="50">
        <v>0</v>
      </c>
      <c r="O74" s="15">
        <f t="shared" ref="O74:O105" si="35">SUM(C74:L74,N74)</f>
        <v>49</v>
      </c>
      <c r="P74" s="15">
        <f t="shared" ref="P74:P105" si="36">SUM(C74:N74)</f>
        <v>96</v>
      </c>
      <c r="R74" s="8"/>
      <c r="T74"/>
    </row>
    <row r="75" spans="2:20" ht="23.1" customHeight="1" x14ac:dyDescent="0.25">
      <c r="B75" s="45" t="s">
        <v>115</v>
      </c>
      <c r="C75" s="50">
        <v>27</v>
      </c>
      <c r="D75" s="50">
        <v>1</v>
      </c>
      <c r="E75" s="50">
        <v>2</v>
      </c>
      <c r="F75" s="50">
        <v>0</v>
      </c>
      <c r="G75" s="50">
        <v>1</v>
      </c>
      <c r="H75" s="50">
        <v>0</v>
      </c>
      <c r="I75" s="50">
        <v>3</v>
      </c>
      <c r="J75" s="50">
        <v>0</v>
      </c>
      <c r="K75" s="50">
        <v>0</v>
      </c>
      <c r="L75" s="50">
        <v>0</v>
      </c>
      <c r="M75" s="50">
        <v>15</v>
      </c>
      <c r="N75" s="50">
        <v>0</v>
      </c>
      <c r="O75" s="15">
        <f t="shared" si="35"/>
        <v>34</v>
      </c>
      <c r="P75" s="15">
        <f t="shared" si="36"/>
        <v>49</v>
      </c>
      <c r="R75" s="8"/>
      <c r="T75"/>
    </row>
    <row r="76" spans="2:20" ht="23.1" customHeight="1" x14ac:dyDescent="0.25">
      <c r="B76" s="45" t="s">
        <v>116</v>
      </c>
      <c r="C76" s="50">
        <v>30</v>
      </c>
      <c r="D76" s="50">
        <v>0</v>
      </c>
      <c r="E76" s="50">
        <v>1</v>
      </c>
      <c r="F76" s="50">
        <v>0</v>
      </c>
      <c r="G76" s="50">
        <v>1</v>
      </c>
      <c r="H76" s="50">
        <v>0</v>
      </c>
      <c r="I76" s="50">
        <v>2</v>
      </c>
      <c r="J76" s="50">
        <v>1</v>
      </c>
      <c r="K76" s="50">
        <v>0</v>
      </c>
      <c r="L76" s="50">
        <v>0</v>
      </c>
      <c r="M76" s="50">
        <v>30</v>
      </c>
      <c r="N76" s="50">
        <v>0</v>
      </c>
      <c r="O76" s="15">
        <f t="shared" si="35"/>
        <v>35</v>
      </c>
      <c r="P76" s="15">
        <f t="shared" si="36"/>
        <v>65</v>
      </c>
      <c r="R76" s="8"/>
      <c r="T76"/>
    </row>
    <row r="77" spans="2:20" ht="23.1" customHeight="1" x14ac:dyDescent="0.25">
      <c r="B77" s="45" t="s">
        <v>117</v>
      </c>
      <c r="C77" s="50">
        <v>16</v>
      </c>
      <c r="D77" s="50">
        <v>0</v>
      </c>
      <c r="E77" s="50">
        <v>0</v>
      </c>
      <c r="F77" s="50">
        <v>0</v>
      </c>
      <c r="G77" s="50">
        <v>1</v>
      </c>
      <c r="H77" s="50">
        <v>0</v>
      </c>
      <c r="I77" s="50">
        <v>2</v>
      </c>
      <c r="J77" s="50">
        <v>1</v>
      </c>
      <c r="K77" s="50">
        <v>0</v>
      </c>
      <c r="L77" s="50">
        <v>0</v>
      </c>
      <c r="M77" s="50">
        <v>36</v>
      </c>
      <c r="N77" s="50">
        <v>0</v>
      </c>
      <c r="O77" s="15">
        <f t="shared" si="35"/>
        <v>20</v>
      </c>
      <c r="P77" s="15">
        <f t="shared" si="36"/>
        <v>56</v>
      </c>
      <c r="R77" s="8"/>
      <c r="T77"/>
    </row>
    <row r="78" spans="2:20" ht="23.1" customHeight="1" x14ac:dyDescent="0.25">
      <c r="B78" s="46" t="s">
        <v>118</v>
      </c>
      <c r="C78" s="50">
        <v>16</v>
      </c>
      <c r="D78" s="50">
        <v>0</v>
      </c>
      <c r="E78" s="50">
        <v>0</v>
      </c>
      <c r="F78" s="50">
        <v>2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18</v>
      </c>
      <c r="N78" s="50">
        <v>0</v>
      </c>
      <c r="O78" s="15">
        <f t="shared" si="35"/>
        <v>18</v>
      </c>
      <c r="P78" s="15">
        <f t="shared" si="36"/>
        <v>36</v>
      </c>
      <c r="R78" s="8"/>
      <c r="T78"/>
    </row>
    <row r="79" spans="2:20" ht="23.1" customHeight="1" x14ac:dyDescent="0.25">
      <c r="B79" s="45" t="s">
        <v>119</v>
      </c>
      <c r="C79" s="50">
        <v>13</v>
      </c>
      <c r="D79" s="50">
        <v>0</v>
      </c>
      <c r="E79" s="50">
        <v>1</v>
      </c>
      <c r="F79" s="50">
        <v>0</v>
      </c>
      <c r="G79" s="50">
        <v>3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26</v>
      </c>
      <c r="N79" s="50">
        <v>0</v>
      </c>
      <c r="O79" s="15">
        <f t="shared" si="35"/>
        <v>17</v>
      </c>
      <c r="P79" s="15">
        <f t="shared" si="36"/>
        <v>43</v>
      </c>
      <c r="R79" s="8"/>
      <c r="T79"/>
    </row>
    <row r="80" spans="2:20" ht="23.1" customHeight="1" x14ac:dyDescent="0.25">
      <c r="B80" s="47" t="s">
        <v>120</v>
      </c>
      <c r="C80" s="50">
        <v>15</v>
      </c>
      <c r="D80" s="50">
        <v>0</v>
      </c>
      <c r="E80" s="50">
        <v>1</v>
      </c>
      <c r="F80" s="50">
        <v>0</v>
      </c>
      <c r="G80" s="50">
        <v>3</v>
      </c>
      <c r="H80" s="50">
        <v>0</v>
      </c>
      <c r="I80" s="50">
        <v>0</v>
      </c>
      <c r="J80" s="50">
        <v>1</v>
      </c>
      <c r="K80" s="50">
        <v>0</v>
      </c>
      <c r="L80" s="50">
        <v>0</v>
      </c>
      <c r="M80" s="50">
        <v>34</v>
      </c>
      <c r="N80" s="50">
        <v>0</v>
      </c>
      <c r="O80" s="15">
        <f t="shared" si="35"/>
        <v>20</v>
      </c>
      <c r="P80" s="15">
        <f t="shared" si="36"/>
        <v>54</v>
      </c>
      <c r="R80" s="8"/>
      <c r="T80"/>
    </row>
    <row r="81" spans="2:20" ht="23.1" customHeight="1" x14ac:dyDescent="0.25">
      <c r="B81" s="45" t="s">
        <v>121</v>
      </c>
      <c r="C81" s="50">
        <v>6</v>
      </c>
      <c r="D81" s="50">
        <v>0</v>
      </c>
      <c r="E81" s="50">
        <v>0</v>
      </c>
      <c r="F81" s="50">
        <v>0</v>
      </c>
      <c r="G81" s="50">
        <v>1</v>
      </c>
      <c r="H81" s="50">
        <v>0</v>
      </c>
      <c r="I81" s="50">
        <v>0</v>
      </c>
      <c r="J81" s="50">
        <v>1</v>
      </c>
      <c r="K81" s="50">
        <v>0</v>
      </c>
      <c r="L81" s="50">
        <v>0</v>
      </c>
      <c r="M81" s="50">
        <v>13</v>
      </c>
      <c r="N81" s="50">
        <v>0</v>
      </c>
      <c r="O81" s="15">
        <f t="shared" si="35"/>
        <v>8</v>
      </c>
      <c r="P81" s="15">
        <f t="shared" si="36"/>
        <v>21</v>
      </c>
      <c r="R81" s="8"/>
      <c r="T81"/>
    </row>
    <row r="82" spans="2:20" ht="23.1" customHeight="1" x14ac:dyDescent="0.25">
      <c r="B82" s="46" t="s">
        <v>122</v>
      </c>
      <c r="C82" s="50">
        <v>4</v>
      </c>
      <c r="D82" s="50">
        <v>1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8</v>
      </c>
      <c r="N82" s="50">
        <v>0</v>
      </c>
      <c r="O82" s="15">
        <f t="shared" si="35"/>
        <v>6</v>
      </c>
      <c r="P82" s="15">
        <f t="shared" si="36"/>
        <v>14</v>
      </c>
      <c r="R82" s="8"/>
      <c r="T82"/>
    </row>
    <row r="83" spans="2:20" ht="23.1" customHeight="1" x14ac:dyDescent="0.25">
      <c r="B83" s="45" t="s">
        <v>123</v>
      </c>
      <c r="C83" s="50">
        <v>7</v>
      </c>
      <c r="D83" s="50">
        <v>0</v>
      </c>
      <c r="E83" s="50">
        <v>0</v>
      </c>
      <c r="F83" s="50">
        <v>2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15</v>
      </c>
      <c r="N83" s="50">
        <v>0</v>
      </c>
      <c r="O83" s="15">
        <f t="shared" si="35"/>
        <v>9</v>
      </c>
      <c r="P83" s="15">
        <f t="shared" si="36"/>
        <v>24</v>
      </c>
      <c r="R83" s="8"/>
      <c r="T83"/>
    </row>
    <row r="84" spans="2:20" ht="23.1" customHeight="1" x14ac:dyDescent="0.25">
      <c r="B84" s="47" t="s">
        <v>124</v>
      </c>
      <c r="C84" s="50">
        <v>7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18</v>
      </c>
      <c r="N84" s="50">
        <v>0</v>
      </c>
      <c r="O84" s="15">
        <f t="shared" si="35"/>
        <v>8</v>
      </c>
      <c r="P84" s="15">
        <f t="shared" si="36"/>
        <v>26</v>
      </c>
      <c r="R84" s="8"/>
      <c r="T84"/>
    </row>
    <row r="85" spans="2:20" ht="23.1" customHeight="1" x14ac:dyDescent="0.25">
      <c r="B85" s="45" t="s">
        <v>125</v>
      </c>
      <c r="C85" s="50">
        <v>2</v>
      </c>
      <c r="D85" s="50">
        <v>2</v>
      </c>
      <c r="E85" s="50">
        <v>0</v>
      </c>
      <c r="F85" s="50">
        <v>0</v>
      </c>
      <c r="G85" s="50">
        <v>0</v>
      </c>
      <c r="H85" s="50">
        <v>0</v>
      </c>
      <c r="I85" s="50">
        <v>1</v>
      </c>
      <c r="J85" s="50">
        <v>1</v>
      </c>
      <c r="K85" s="50">
        <v>0</v>
      </c>
      <c r="L85" s="50">
        <v>0</v>
      </c>
      <c r="M85" s="50">
        <v>4</v>
      </c>
      <c r="N85" s="50">
        <v>0</v>
      </c>
      <c r="O85" s="15">
        <f t="shared" si="35"/>
        <v>6</v>
      </c>
      <c r="P85" s="15">
        <f t="shared" si="36"/>
        <v>10</v>
      </c>
      <c r="R85" s="8"/>
      <c r="T85"/>
    </row>
    <row r="86" spans="2:20" ht="23.1" customHeight="1" x14ac:dyDescent="0.25">
      <c r="B86" s="46" t="s">
        <v>126</v>
      </c>
      <c r="C86" s="50">
        <v>4</v>
      </c>
      <c r="D86" s="50">
        <v>1</v>
      </c>
      <c r="E86" s="50">
        <v>0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6</v>
      </c>
      <c r="N86" s="50">
        <v>0</v>
      </c>
      <c r="O86" s="15">
        <f t="shared" si="35"/>
        <v>6</v>
      </c>
      <c r="P86" s="15">
        <f t="shared" si="36"/>
        <v>12</v>
      </c>
      <c r="R86" s="8"/>
      <c r="T86"/>
    </row>
    <row r="87" spans="2:20" ht="23.1" customHeight="1" x14ac:dyDescent="0.25">
      <c r="B87" s="45" t="s">
        <v>127</v>
      </c>
      <c r="C87" s="50">
        <v>2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3</v>
      </c>
      <c r="N87" s="50">
        <v>0</v>
      </c>
      <c r="O87" s="15">
        <f t="shared" si="35"/>
        <v>2</v>
      </c>
      <c r="P87" s="15">
        <f t="shared" si="36"/>
        <v>5</v>
      </c>
      <c r="R87" s="8"/>
      <c r="T87"/>
    </row>
    <row r="88" spans="2:20" ht="23.1" customHeight="1" x14ac:dyDescent="0.25">
      <c r="B88" s="47" t="s">
        <v>128</v>
      </c>
      <c r="C88" s="50">
        <v>2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5</v>
      </c>
      <c r="N88" s="50">
        <v>0</v>
      </c>
      <c r="O88" s="15">
        <f t="shared" si="35"/>
        <v>3</v>
      </c>
      <c r="P88" s="15">
        <f t="shared" si="36"/>
        <v>8</v>
      </c>
      <c r="R88" s="8"/>
      <c r="T88"/>
    </row>
    <row r="89" spans="2:20" ht="23.1" customHeight="1" x14ac:dyDescent="0.25">
      <c r="B89" s="45" t="s">
        <v>129</v>
      </c>
      <c r="C89" s="50">
        <v>6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3</v>
      </c>
      <c r="N89" s="50">
        <v>0</v>
      </c>
      <c r="O89" s="15">
        <f t="shared" si="35"/>
        <v>7</v>
      </c>
      <c r="P89" s="15">
        <f t="shared" si="36"/>
        <v>10</v>
      </c>
      <c r="R89" s="8"/>
      <c r="T89"/>
    </row>
    <row r="90" spans="2:20" ht="23.1" customHeight="1" x14ac:dyDescent="0.25">
      <c r="B90" s="46" t="s">
        <v>130</v>
      </c>
      <c r="C90" s="50">
        <v>3</v>
      </c>
      <c r="D90" s="50">
        <v>1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1</v>
      </c>
      <c r="K90" s="50">
        <v>0</v>
      </c>
      <c r="L90" s="50">
        <v>0</v>
      </c>
      <c r="M90" s="50">
        <v>2</v>
      </c>
      <c r="N90" s="50">
        <v>0</v>
      </c>
      <c r="O90" s="15">
        <f t="shared" si="35"/>
        <v>6</v>
      </c>
      <c r="P90" s="15">
        <f t="shared" si="36"/>
        <v>8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7</v>
      </c>
      <c r="N91" s="50">
        <v>0</v>
      </c>
      <c r="O91" s="15">
        <f t="shared" si="35"/>
        <v>1</v>
      </c>
      <c r="P91" s="15">
        <f t="shared" si="36"/>
        <v>8</v>
      </c>
      <c r="R91" s="8"/>
      <c r="T91"/>
    </row>
    <row r="92" spans="2:20" ht="23.1" customHeight="1" x14ac:dyDescent="0.25">
      <c r="B92" s="47" t="s">
        <v>132</v>
      </c>
      <c r="C92" s="50">
        <v>2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6</v>
      </c>
      <c r="N92" s="50">
        <v>0</v>
      </c>
      <c r="O92" s="15">
        <f t="shared" si="35"/>
        <v>2</v>
      </c>
      <c r="P92" s="15">
        <f t="shared" si="36"/>
        <v>8</v>
      </c>
      <c r="R92" s="8"/>
      <c r="T92"/>
    </row>
    <row r="93" spans="2:20" ht="23.1" customHeight="1" x14ac:dyDescent="0.25">
      <c r="B93" s="45" t="s">
        <v>133</v>
      </c>
      <c r="C93" s="50">
        <v>3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8</v>
      </c>
      <c r="N93" s="50">
        <v>0</v>
      </c>
      <c r="O93" s="15">
        <f t="shared" si="35"/>
        <v>3</v>
      </c>
      <c r="P93" s="15">
        <f t="shared" si="36"/>
        <v>11</v>
      </c>
      <c r="R93" s="8"/>
      <c r="T93"/>
    </row>
    <row r="94" spans="2:20" ht="23.1" customHeight="1" x14ac:dyDescent="0.25">
      <c r="B94" s="46" t="s">
        <v>134</v>
      </c>
      <c r="C94" s="50">
        <v>6</v>
      </c>
      <c r="D94" s="50">
        <v>0</v>
      </c>
      <c r="E94" s="50">
        <v>1</v>
      </c>
      <c r="F94" s="50">
        <v>0</v>
      </c>
      <c r="G94" s="50">
        <v>1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14</v>
      </c>
      <c r="N94" s="50">
        <v>0</v>
      </c>
      <c r="O94" s="15">
        <f t="shared" si="35"/>
        <v>8</v>
      </c>
      <c r="P94" s="15">
        <f t="shared" si="36"/>
        <v>22</v>
      </c>
      <c r="R94" s="8"/>
      <c r="T94"/>
    </row>
    <row r="95" spans="2:20" ht="23.1" customHeight="1" x14ac:dyDescent="0.25">
      <c r="B95" s="45" t="s">
        <v>135</v>
      </c>
      <c r="C95" s="50">
        <v>5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1</v>
      </c>
      <c r="K95" s="50">
        <v>0</v>
      </c>
      <c r="L95" s="50">
        <v>0</v>
      </c>
      <c r="M95" s="50">
        <v>6</v>
      </c>
      <c r="N95" s="50">
        <v>0</v>
      </c>
      <c r="O95" s="15">
        <f t="shared" si="35"/>
        <v>6</v>
      </c>
      <c r="P95" s="15">
        <f t="shared" si="36"/>
        <v>12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1</v>
      </c>
      <c r="K96" s="50">
        <v>1</v>
      </c>
      <c r="L96" s="50">
        <v>0</v>
      </c>
      <c r="M96" s="50">
        <v>12</v>
      </c>
      <c r="N96" s="50">
        <v>0</v>
      </c>
      <c r="O96" s="15">
        <f t="shared" si="35"/>
        <v>5</v>
      </c>
      <c r="P96" s="15">
        <f t="shared" si="36"/>
        <v>17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7</v>
      </c>
      <c r="N97" s="50">
        <v>0</v>
      </c>
      <c r="O97" s="15">
        <f t="shared" si="35"/>
        <v>2</v>
      </c>
      <c r="P97" s="15">
        <f t="shared" si="36"/>
        <v>9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1</v>
      </c>
      <c r="K98" s="50">
        <v>0</v>
      </c>
      <c r="L98" s="50">
        <v>0</v>
      </c>
      <c r="M98" s="50">
        <v>2</v>
      </c>
      <c r="N98" s="50">
        <v>0</v>
      </c>
      <c r="O98" s="15">
        <f t="shared" si="35"/>
        <v>1</v>
      </c>
      <c r="P98" s="15">
        <f t="shared" si="36"/>
        <v>3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1</v>
      </c>
      <c r="J99" s="50">
        <v>0</v>
      </c>
      <c r="K99" s="50">
        <v>0</v>
      </c>
      <c r="L99" s="50">
        <v>0</v>
      </c>
      <c r="M99" s="50">
        <v>12</v>
      </c>
      <c r="N99" s="50">
        <v>0</v>
      </c>
      <c r="O99" s="15">
        <f t="shared" si="35"/>
        <v>3</v>
      </c>
      <c r="P99" s="15">
        <f t="shared" si="36"/>
        <v>15</v>
      </c>
      <c r="R99" s="8"/>
      <c r="T99"/>
    </row>
    <row r="100" spans="2:20" ht="23.1" customHeight="1" x14ac:dyDescent="0.25">
      <c r="B100" s="47" t="s">
        <v>140</v>
      </c>
      <c r="C100" s="50">
        <v>7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26</v>
      </c>
      <c r="N100" s="50">
        <v>0</v>
      </c>
      <c r="O100" s="15">
        <f t="shared" si="35"/>
        <v>7</v>
      </c>
      <c r="P100" s="15">
        <f t="shared" si="36"/>
        <v>33</v>
      </c>
      <c r="R100" s="8"/>
      <c r="T100"/>
    </row>
    <row r="101" spans="2:20" ht="23.1" customHeight="1" x14ac:dyDescent="0.25">
      <c r="B101" s="45" t="s">
        <v>141</v>
      </c>
      <c r="C101" s="50">
        <v>3</v>
      </c>
      <c r="D101" s="50">
        <v>0</v>
      </c>
      <c r="E101" s="50">
        <v>0</v>
      </c>
      <c r="F101" s="50">
        <v>2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17</v>
      </c>
      <c r="N101" s="50">
        <v>0</v>
      </c>
      <c r="O101" s="15">
        <f t="shared" si="35"/>
        <v>5</v>
      </c>
      <c r="P101" s="15">
        <f t="shared" si="36"/>
        <v>22</v>
      </c>
      <c r="R101" s="8"/>
      <c r="T101"/>
    </row>
    <row r="102" spans="2:20" ht="23.1" customHeight="1" x14ac:dyDescent="0.25">
      <c r="B102" s="46" t="s">
        <v>142</v>
      </c>
      <c r="C102" s="50">
        <v>9</v>
      </c>
      <c r="D102" s="50">
        <v>0</v>
      </c>
      <c r="E102" s="50">
        <v>1</v>
      </c>
      <c r="F102" s="50">
        <v>0</v>
      </c>
      <c r="G102" s="50">
        <v>1</v>
      </c>
      <c r="H102" s="50">
        <v>0</v>
      </c>
      <c r="I102" s="50">
        <v>0</v>
      </c>
      <c r="J102" s="50">
        <v>0</v>
      </c>
      <c r="K102" s="50">
        <v>0</v>
      </c>
      <c r="L102" s="50">
        <v>1</v>
      </c>
      <c r="M102" s="50">
        <v>7</v>
      </c>
      <c r="N102" s="50">
        <v>0</v>
      </c>
      <c r="O102" s="15">
        <f t="shared" si="35"/>
        <v>12</v>
      </c>
      <c r="P102" s="15">
        <f t="shared" si="36"/>
        <v>19</v>
      </c>
      <c r="R102" s="8"/>
      <c r="T102"/>
    </row>
    <row r="103" spans="2:20" ht="23.1" customHeight="1" x14ac:dyDescent="0.25">
      <c r="B103" s="45" t="s">
        <v>143</v>
      </c>
      <c r="C103" s="50">
        <v>5</v>
      </c>
      <c r="D103" s="50">
        <v>1</v>
      </c>
      <c r="E103" s="50">
        <v>0</v>
      </c>
      <c r="F103" s="50">
        <v>5</v>
      </c>
      <c r="G103" s="50">
        <v>3</v>
      </c>
      <c r="H103" s="50">
        <v>0</v>
      </c>
      <c r="I103" s="50">
        <v>1</v>
      </c>
      <c r="J103" s="50">
        <v>2</v>
      </c>
      <c r="K103" s="50">
        <v>0</v>
      </c>
      <c r="L103" s="50">
        <v>1</v>
      </c>
      <c r="M103" s="50">
        <v>19</v>
      </c>
      <c r="N103" s="50">
        <v>0</v>
      </c>
      <c r="O103" s="15">
        <f t="shared" si="35"/>
        <v>18</v>
      </c>
      <c r="P103" s="15">
        <f t="shared" si="36"/>
        <v>37</v>
      </c>
      <c r="R103" s="8"/>
      <c r="T103"/>
    </row>
    <row r="104" spans="2:20" ht="23.1" customHeight="1" x14ac:dyDescent="0.25">
      <c r="B104" s="47" t="s">
        <v>144</v>
      </c>
      <c r="C104" s="50">
        <v>3</v>
      </c>
      <c r="D104" s="50">
        <v>1</v>
      </c>
      <c r="E104" s="50">
        <v>0</v>
      </c>
      <c r="F104" s="50">
        <v>2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20</v>
      </c>
      <c r="N104" s="50">
        <v>0</v>
      </c>
      <c r="O104" s="15">
        <f t="shared" si="35"/>
        <v>7</v>
      </c>
      <c r="P104" s="15">
        <f t="shared" si="36"/>
        <v>27</v>
      </c>
      <c r="R104" s="8"/>
      <c r="T104"/>
    </row>
    <row r="105" spans="2:20" ht="23.1" customHeight="1" x14ac:dyDescent="0.25">
      <c r="B105" s="45" t="s">
        <v>145</v>
      </c>
      <c r="C105" s="50">
        <v>11</v>
      </c>
      <c r="D105" s="50">
        <v>2</v>
      </c>
      <c r="E105" s="50">
        <v>0</v>
      </c>
      <c r="F105" s="50">
        <v>2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1</v>
      </c>
      <c r="M105" s="50">
        <v>33</v>
      </c>
      <c r="N105" s="50">
        <v>0</v>
      </c>
      <c r="O105" s="15">
        <f t="shared" si="35"/>
        <v>16</v>
      </c>
      <c r="P105" s="15">
        <f t="shared" si="36"/>
        <v>49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3497</v>
      </c>
      <c r="D106" s="16">
        <f t="shared" ref="D106:P106" si="37">SUM(D10:D105)</f>
        <v>752</v>
      </c>
      <c r="E106" s="16">
        <f t="shared" si="37"/>
        <v>505</v>
      </c>
      <c r="F106" s="16">
        <f t="shared" si="37"/>
        <v>1146</v>
      </c>
      <c r="G106" s="16">
        <f t="shared" si="37"/>
        <v>68</v>
      </c>
      <c r="H106" s="16">
        <f t="shared" si="37"/>
        <v>7</v>
      </c>
      <c r="I106" s="16">
        <f t="shared" si="37"/>
        <v>324</v>
      </c>
      <c r="J106" s="16">
        <f t="shared" si="37"/>
        <v>85</v>
      </c>
      <c r="K106" s="16">
        <f t="shared" si="37"/>
        <v>31</v>
      </c>
      <c r="L106" s="16">
        <f t="shared" si="37"/>
        <v>15</v>
      </c>
      <c r="M106" s="16">
        <f t="shared" si="37"/>
        <v>12704</v>
      </c>
      <c r="N106" s="16">
        <f t="shared" si="37"/>
        <v>2</v>
      </c>
      <c r="O106" s="16">
        <f t="shared" si="37"/>
        <v>6432</v>
      </c>
      <c r="P106" s="16">
        <f t="shared" si="37"/>
        <v>19136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0.1827445652173913</v>
      </c>
      <c r="D107" s="43">
        <f t="shared" si="38"/>
        <v>3.9297658862876256E-2</v>
      </c>
      <c r="E107" s="43">
        <f t="shared" si="38"/>
        <v>2.639005016722408E-2</v>
      </c>
      <c r="F107" s="43">
        <f t="shared" si="38"/>
        <v>5.98871237458194E-2</v>
      </c>
      <c r="G107" s="43">
        <f t="shared" si="38"/>
        <v>3.5535117056856185E-3</v>
      </c>
      <c r="H107" s="43">
        <f t="shared" si="38"/>
        <v>3.6580267558528425E-4</v>
      </c>
      <c r="I107" s="43">
        <f t="shared" si="38"/>
        <v>1.69314381270903E-2</v>
      </c>
      <c r="J107" s="43">
        <f t="shared" si="38"/>
        <v>4.4418896321070231E-3</v>
      </c>
      <c r="K107" s="43">
        <f t="shared" si="38"/>
        <v>1.6199832775919732E-3</v>
      </c>
      <c r="L107" s="43">
        <f t="shared" si="38"/>
        <v>7.8386287625418062E-4</v>
      </c>
      <c r="M107" s="43">
        <f t="shared" si="38"/>
        <v>0.66387959866220736</v>
      </c>
      <c r="N107" s="43">
        <f t="shared" si="38"/>
        <v>1.0451505016722408E-4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0.54368781094527363</v>
      </c>
      <c r="D108" s="44">
        <f t="shared" ref="D108:N108" si="39">D106/$O$106</f>
        <v>0.11691542288557213</v>
      </c>
      <c r="E108" s="44">
        <f t="shared" si="39"/>
        <v>7.8513681592039808E-2</v>
      </c>
      <c r="F108" s="44">
        <f t="shared" si="39"/>
        <v>0.17817164179104478</v>
      </c>
      <c r="G108" s="44">
        <f t="shared" si="39"/>
        <v>1.0572139303482588E-2</v>
      </c>
      <c r="H108" s="44">
        <f t="shared" si="39"/>
        <v>1.0883084577114428E-3</v>
      </c>
      <c r="I108" s="44">
        <f t="shared" si="39"/>
        <v>5.0373134328358209E-2</v>
      </c>
      <c r="J108" s="44">
        <f t="shared" si="39"/>
        <v>1.3215174129353234E-2</v>
      </c>
      <c r="K108" s="44">
        <f t="shared" si="39"/>
        <v>4.8196517412935321E-3</v>
      </c>
      <c r="L108" s="44">
        <f t="shared" si="39"/>
        <v>2.3320895522388058E-3</v>
      </c>
      <c r="M108" s="44"/>
      <c r="N108" s="44">
        <f t="shared" si="39"/>
        <v>3.1094527363184079E-4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97" zoomScale="60" workbookViewId="0">
      <selection activeCell="L18" sqref="L1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'22.07 Lubiri -Ndeeba'!C3:G3</f>
        <v>MCC - C1 - STN03- KALINDA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'27.07 Lubiri-Ndeeba-24h'!D5</f>
        <v>27.07.19</v>
      </c>
      <c r="E5" s="3"/>
      <c r="F5" s="41" t="s">
        <v>1</v>
      </c>
      <c r="G5" s="71" t="str">
        <f>'27.07 Lubiri-Ndeeba-24h'!G5:H5</f>
        <v>Before Shell</v>
      </c>
      <c r="H5" s="72"/>
      <c r="I5" s="14"/>
      <c r="J5" s="2" t="s">
        <v>5</v>
      </c>
      <c r="K5" s="71" t="s">
        <v>180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'22.07 Ndeeba-Lubiri'!D6:E6</f>
        <v>Ndeeba</v>
      </c>
      <c r="E6" s="72"/>
      <c r="F6" s="2" t="s">
        <v>2</v>
      </c>
      <c r="G6" s="71" t="str">
        <f>'22.07 Ndeeba-Lubiri'!G6:H6</f>
        <v>Lubiri</v>
      </c>
      <c r="H6" s="72"/>
      <c r="J6" s="2" t="s">
        <v>21</v>
      </c>
      <c r="K6" s="71" t="str">
        <f>'27.07 Lubiri-Ndeeba-24h'!K6:L6</f>
        <v>Denis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76</v>
      </c>
      <c r="D10" s="50">
        <v>11</v>
      </c>
      <c r="E10" s="50">
        <v>15</v>
      </c>
      <c r="F10" s="50">
        <v>22</v>
      </c>
      <c r="G10" s="50">
        <v>1</v>
      </c>
      <c r="H10" s="50">
        <v>0</v>
      </c>
      <c r="I10" s="50">
        <v>3</v>
      </c>
      <c r="J10" s="50">
        <v>5</v>
      </c>
      <c r="K10" s="50">
        <v>1</v>
      </c>
      <c r="L10" s="50">
        <v>1</v>
      </c>
      <c r="M10" s="50">
        <v>130</v>
      </c>
      <c r="N10" s="50">
        <v>0</v>
      </c>
      <c r="O10" s="15">
        <f t="shared" ref="O10:O73" si="0">SUM(C10:L10,N10)</f>
        <v>135</v>
      </c>
      <c r="P10" s="15">
        <f t="shared" ref="P10:P73" si="1">SUM(C10:N10)</f>
        <v>265</v>
      </c>
      <c r="R10" s="1" t="s">
        <v>6</v>
      </c>
      <c r="S10" s="17">
        <f t="shared" ref="S10:AF10" si="2">SUM(C10:C13)</f>
        <v>436</v>
      </c>
      <c r="T10" s="17">
        <f t="shared" si="2"/>
        <v>32</v>
      </c>
      <c r="U10" s="17">
        <f t="shared" si="2"/>
        <v>37</v>
      </c>
      <c r="V10" s="17">
        <f t="shared" si="2"/>
        <v>163</v>
      </c>
      <c r="W10" s="17">
        <f t="shared" si="2"/>
        <v>1</v>
      </c>
      <c r="X10" s="17">
        <f t="shared" si="2"/>
        <v>0</v>
      </c>
      <c r="Y10" s="17">
        <f t="shared" si="2"/>
        <v>23</v>
      </c>
      <c r="Z10" s="17">
        <f t="shared" si="2"/>
        <v>5</v>
      </c>
      <c r="AA10" s="17">
        <f t="shared" si="2"/>
        <v>16</v>
      </c>
      <c r="AB10" s="17">
        <f t="shared" si="2"/>
        <v>3</v>
      </c>
      <c r="AC10" s="17">
        <f t="shared" si="2"/>
        <v>473</v>
      </c>
      <c r="AD10" s="17">
        <f t="shared" si="2"/>
        <v>0</v>
      </c>
      <c r="AE10" s="31">
        <f t="shared" si="2"/>
        <v>716</v>
      </c>
      <c r="AF10" s="31">
        <f t="shared" si="2"/>
        <v>1189</v>
      </c>
    </row>
    <row r="11" spans="2:32" s="6" customFormat="1" ht="23.1" customHeight="1" x14ac:dyDescent="0.25">
      <c r="B11" s="45" t="s">
        <v>38</v>
      </c>
      <c r="C11" s="50">
        <v>125</v>
      </c>
      <c r="D11" s="50">
        <v>7</v>
      </c>
      <c r="E11" s="50">
        <v>2</v>
      </c>
      <c r="F11" s="50">
        <v>120</v>
      </c>
      <c r="G11" s="50">
        <v>0</v>
      </c>
      <c r="H11" s="50">
        <v>0</v>
      </c>
      <c r="I11" s="50">
        <v>11</v>
      </c>
      <c r="J11" s="50">
        <v>0</v>
      </c>
      <c r="K11" s="50">
        <v>0</v>
      </c>
      <c r="L11" s="50">
        <v>2</v>
      </c>
      <c r="M11" s="50">
        <v>160</v>
      </c>
      <c r="N11" s="50">
        <v>0</v>
      </c>
      <c r="O11" s="15">
        <f t="shared" si="0"/>
        <v>267</v>
      </c>
      <c r="P11" s="15">
        <f t="shared" si="1"/>
        <v>427</v>
      </c>
      <c r="R11" s="1" t="s">
        <v>7</v>
      </c>
      <c r="S11" s="17">
        <f t="shared" ref="S11:AF11" si="3">SUM(C14:C17)</f>
        <v>460</v>
      </c>
      <c r="T11" s="17">
        <f t="shared" si="3"/>
        <v>60</v>
      </c>
      <c r="U11" s="17">
        <f t="shared" si="3"/>
        <v>45</v>
      </c>
      <c r="V11" s="17">
        <f t="shared" si="3"/>
        <v>142</v>
      </c>
      <c r="W11" s="17">
        <f t="shared" si="3"/>
        <v>4</v>
      </c>
      <c r="X11" s="17">
        <f t="shared" si="3"/>
        <v>0</v>
      </c>
      <c r="Y11" s="17">
        <f t="shared" si="3"/>
        <v>22</v>
      </c>
      <c r="Z11" s="17">
        <f t="shared" si="3"/>
        <v>8</v>
      </c>
      <c r="AA11" s="17">
        <f t="shared" si="3"/>
        <v>8</v>
      </c>
      <c r="AB11" s="17">
        <f t="shared" si="3"/>
        <v>1</v>
      </c>
      <c r="AC11" s="17">
        <f t="shared" si="3"/>
        <v>695</v>
      </c>
      <c r="AD11" s="17">
        <f t="shared" si="3"/>
        <v>0</v>
      </c>
      <c r="AE11" s="31">
        <f t="shared" si="3"/>
        <v>750</v>
      </c>
      <c r="AF11" s="31">
        <f t="shared" si="3"/>
        <v>1445</v>
      </c>
    </row>
    <row r="12" spans="2:32" ht="23.1" customHeight="1" x14ac:dyDescent="0.25">
      <c r="B12" s="45" t="s">
        <v>39</v>
      </c>
      <c r="C12" s="50">
        <v>115</v>
      </c>
      <c r="D12" s="50">
        <v>3</v>
      </c>
      <c r="E12" s="50">
        <v>6</v>
      </c>
      <c r="F12" s="50">
        <v>15</v>
      </c>
      <c r="G12" s="50">
        <v>0</v>
      </c>
      <c r="H12" s="50">
        <v>0</v>
      </c>
      <c r="I12" s="50">
        <v>7</v>
      </c>
      <c r="J12" s="50">
        <v>0</v>
      </c>
      <c r="K12" s="50">
        <v>0</v>
      </c>
      <c r="L12" s="50">
        <v>0</v>
      </c>
      <c r="M12" s="50">
        <v>95</v>
      </c>
      <c r="N12" s="50">
        <v>0</v>
      </c>
      <c r="O12" s="15">
        <f t="shared" si="0"/>
        <v>146</v>
      </c>
      <c r="P12" s="15">
        <f t="shared" si="1"/>
        <v>241</v>
      </c>
      <c r="R12" s="1" t="s">
        <v>8</v>
      </c>
      <c r="S12" s="17">
        <f t="shared" ref="S12:AF12" si="4">SUM(C18:C21)</f>
        <v>540</v>
      </c>
      <c r="T12" s="17">
        <f t="shared" si="4"/>
        <v>98</v>
      </c>
      <c r="U12" s="17">
        <f t="shared" si="4"/>
        <v>19</v>
      </c>
      <c r="V12" s="17">
        <f t="shared" si="4"/>
        <v>102</v>
      </c>
      <c r="W12" s="17">
        <f t="shared" si="4"/>
        <v>2</v>
      </c>
      <c r="X12" s="17">
        <f t="shared" si="4"/>
        <v>0</v>
      </c>
      <c r="Y12" s="17">
        <f t="shared" si="4"/>
        <v>27</v>
      </c>
      <c r="Z12" s="17">
        <f t="shared" si="4"/>
        <v>11</v>
      </c>
      <c r="AA12" s="17">
        <f t="shared" si="4"/>
        <v>2</v>
      </c>
      <c r="AB12" s="17">
        <f t="shared" si="4"/>
        <v>3</v>
      </c>
      <c r="AC12" s="17">
        <f t="shared" si="4"/>
        <v>945</v>
      </c>
      <c r="AD12" s="17">
        <f t="shared" si="4"/>
        <v>0</v>
      </c>
      <c r="AE12" s="31">
        <f t="shared" si="4"/>
        <v>804</v>
      </c>
      <c r="AF12" s="31">
        <f t="shared" si="4"/>
        <v>1749</v>
      </c>
    </row>
    <row r="13" spans="2:32" ht="23.1" customHeight="1" x14ac:dyDescent="0.25">
      <c r="B13" s="45" t="s">
        <v>40</v>
      </c>
      <c r="C13" s="50">
        <v>120</v>
      </c>
      <c r="D13" s="50">
        <v>11</v>
      </c>
      <c r="E13" s="50">
        <v>14</v>
      </c>
      <c r="F13" s="50">
        <v>6</v>
      </c>
      <c r="G13" s="50">
        <v>0</v>
      </c>
      <c r="H13" s="50">
        <v>0</v>
      </c>
      <c r="I13" s="50">
        <v>2</v>
      </c>
      <c r="J13" s="50">
        <v>0</v>
      </c>
      <c r="K13" s="50">
        <v>15</v>
      </c>
      <c r="L13" s="50">
        <v>0</v>
      </c>
      <c r="M13" s="50">
        <v>88</v>
      </c>
      <c r="N13" s="50">
        <v>0</v>
      </c>
      <c r="O13" s="15">
        <f t="shared" si="0"/>
        <v>168</v>
      </c>
      <c r="P13" s="15">
        <f t="shared" si="1"/>
        <v>256</v>
      </c>
      <c r="R13" s="1" t="s">
        <v>9</v>
      </c>
      <c r="S13" s="17">
        <f t="shared" ref="S13:AF13" si="5">SUM(C22:C25)</f>
        <v>625</v>
      </c>
      <c r="T13" s="17">
        <f t="shared" si="5"/>
        <v>133</v>
      </c>
      <c r="U13" s="17">
        <f t="shared" si="5"/>
        <v>27</v>
      </c>
      <c r="V13" s="17">
        <f t="shared" si="5"/>
        <v>62</v>
      </c>
      <c r="W13" s="17">
        <f t="shared" si="5"/>
        <v>7</v>
      </c>
      <c r="X13" s="17">
        <f t="shared" si="5"/>
        <v>0</v>
      </c>
      <c r="Y13" s="17">
        <f t="shared" si="5"/>
        <v>19</v>
      </c>
      <c r="Z13" s="17">
        <f t="shared" si="5"/>
        <v>6</v>
      </c>
      <c r="AA13" s="17">
        <f t="shared" si="5"/>
        <v>1</v>
      </c>
      <c r="AB13" s="17">
        <f t="shared" si="5"/>
        <v>3</v>
      </c>
      <c r="AC13" s="17">
        <f t="shared" si="5"/>
        <v>935</v>
      </c>
      <c r="AD13" s="17">
        <f t="shared" si="5"/>
        <v>0</v>
      </c>
      <c r="AE13" s="31">
        <f t="shared" si="5"/>
        <v>883</v>
      </c>
      <c r="AF13" s="31">
        <f t="shared" si="5"/>
        <v>1818</v>
      </c>
    </row>
    <row r="14" spans="2:32" ht="23.1" customHeight="1" x14ac:dyDescent="0.25">
      <c r="B14" s="45" t="s">
        <v>41</v>
      </c>
      <c r="C14" s="50">
        <v>100</v>
      </c>
      <c r="D14" s="50">
        <v>26</v>
      </c>
      <c r="E14" s="50">
        <v>12</v>
      </c>
      <c r="F14" s="50">
        <v>26</v>
      </c>
      <c r="G14" s="50">
        <v>2</v>
      </c>
      <c r="H14" s="50">
        <v>0</v>
      </c>
      <c r="I14" s="50">
        <v>14</v>
      </c>
      <c r="J14" s="50">
        <v>3</v>
      </c>
      <c r="K14" s="50">
        <v>4</v>
      </c>
      <c r="L14" s="50">
        <v>1</v>
      </c>
      <c r="M14" s="50">
        <v>140</v>
      </c>
      <c r="N14" s="50">
        <v>0</v>
      </c>
      <c r="O14" s="15">
        <f t="shared" si="0"/>
        <v>188</v>
      </c>
      <c r="P14" s="15">
        <f t="shared" si="1"/>
        <v>328</v>
      </c>
      <c r="R14" s="1" t="s">
        <v>10</v>
      </c>
      <c r="S14" s="17">
        <f t="shared" ref="S14:AF14" si="6">SUM(C26:C29)</f>
        <v>606</v>
      </c>
      <c r="T14" s="17">
        <f t="shared" si="6"/>
        <v>34</v>
      </c>
      <c r="U14" s="17">
        <f t="shared" si="6"/>
        <v>19</v>
      </c>
      <c r="V14" s="17">
        <f t="shared" si="6"/>
        <v>86</v>
      </c>
      <c r="W14" s="17">
        <f t="shared" si="6"/>
        <v>1</v>
      </c>
      <c r="X14" s="17">
        <f t="shared" si="6"/>
        <v>0</v>
      </c>
      <c r="Y14" s="17">
        <f t="shared" si="6"/>
        <v>13</v>
      </c>
      <c r="Z14" s="17">
        <f t="shared" si="6"/>
        <v>9</v>
      </c>
      <c r="AA14" s="17">
        <f t="shared" si="6"/>
        <v>5</v>
      </c>
      <c r="AB14" s="17">
        <f t="shared" si="6"/>
        <v>0</v>
      </c>
      <c r="AC14" s="17">
        <f t="shared" si="6"/>
        <v>865</v>
      </c>
      <c r="AD14" s="17">
        <f t="shared" si="6"/>
        <v>0</v>
      </c>
      <c r="AE14" s="31">
        <f t="shared" si="6"/>
        <v>773</v>
      </c>
      <c r="AF14" s="31">
        <f t="shared" si="6"/>
        <v>1638</v>
      </c>
    </row>
    <row r="15" spans="2:32" ht="23.1" customHeight="1" x14ac:dyDescent="0.25">
      <c r="B15" s="45" t="s">
        <v>42</v>
      </c>
      <c r="C15" s="50">
        <v>95</v>
      </c>
      <c r="D15" s="50">
        <v>7</v>
      </c>
      <c r="E15" s="50">
        <v>17</v>
      </c>
      <c r="F15" s="50">
        <v>40</v>
      </c>
      <c r="G15" s="50">
        <v>0</v>
      </c>
      <c r="H15" s="50">
        <v>0</v>
      </c>
      <c r="I15" s="50">
        <v>0</v>
      </c>
      <c r="J15" s="50">
        <v>2</v>
      </c>
      <c r="K15" s="50">
        <v>0</v>
      </c>
      <c r="L15" s="50">
        <v>0</v>
      </c>
      <c r="M15" s="50">
        <v>160</v>
      </c>
      <c r="N15" s="50">
        <v>0</v>
      </c>
      <c r="O15" s="15">
        <f t="shared" si="0"/>
        <v>161</v>
      </c>
      <c r="P15" s="15">
        <f t="shared" si="1"/>
        <v>321</v>
      </c>
      <c r="R15" s="1" t="s">
        <v>11</v>
      </c>
      <c r="S15" s="17">
        <f t="shared" ref="S15:AF15" si="7">SUM(C30:C33)</f>
        <v>600</v>
      </c>
      <c r="T15" s="17">
        <f t="shared" si="7"/>
        <v>66</v>
      </c>
      <c r="U15" s="17">
        <f t="shared" si="7"/>
        <v>51</v>
      </c>
      <c r="V15" s="17">
        <f t="shared" si="7"/>
        <v>49</v>
      </c>
      <c r="W15" s="17">
        <f t="shared" si="7"/>
        <v>0</v>
      </c>
      <c r="X15" s="17">
        <f t="shared" si="7"/>
        <v>0</v>
      </c>
      <c r="Y15" s="17">
        <f t="shared" si="7"/>
        <v>9</v>
      </c>
      <c r="Z15" s="17">
        <f t="shared" si="7"/>
        <v>7</v>
      </c>
      <c r="AA15" s="17">
        <f t="shared" si="7"/>
        <v>3</v>
      </c>
      <c r="AB15" s="17">
        <f t="shared" si="7"/>
        <v>10</v>
      </c>
      <c r="AC15" s="17">
        <f t="shared" si="7"/>
        <v>1015</v>
      </c>
      <c r="AD15" s="17">
        <f t="shared" si="7"/>
        <v>0</v>
      </c>
      <c r="AE15" s="31">
        <f t="shared" si="7"/>
        <v>795</v>
      </c>
      <c r="AF15" s="31">
        <f t="shared" si="7"/>
        <v>1810</v>
      </c>
    </row>
    <row r="16" spans="2:32" ht="23.1" customHeight="1" x14ac:dyDescent="0.25">
      <c r="B16" s="45" t="s">
        <v>43</v>
      </c>
      <c r="C16" s="50">
        <v>130</v>
      </c>
      <c r="D16" s="50">
        <v>22</v>
      </c>
      <c r="E16" s="50">
        <v>8</v>
      </c>
      <c r="F16" s="50">
        <v>31</v>
      </c>
      <c r="G16" s="50">
        <v>0</v>
      </c>
      <c r="H16" s="50">
        <v>0</v>
      </c>
      <c r="I16" s="50">
        <v>5</v>
      </c>
      <c r="J16" s="50">
        <v>2</v>
      </c>
      <c r="K16" s="50">
        <v>3</v>
      </c>
      <c r="L16" s="50">
        <v>0</v>
      </c>
      <c r="M16" s="50">
        <v>185</v>
      </c>
      <c r="N16" s="50">
        <v>0</v>
      </c>
      <c r="O16" s="15">
        <f t="shared" si="0"/>
        <v>201</v>
      </c>
      <c r="P16" s="15">
        <f t="shared" si="1"/>
        <v>386</v>
      </c>
      <c r="R16" s="1" t="s">
        <v>12</v>
      </c>
      <c r="S16" s="17">
        <f t="shared" ref="S16:AF16" si="8">SUM(C34:C37)</f>
        <v>540</v>
      </c>
      <c r="T16" s="17">
        <f t="shared" si="8"/>
        <v>120</v>
      </c>
      <c r="U16" s="17">
        <f t="shared" si="8"/>
        <v>24</v>
      </c>
      <c r="V16" s="17">
        <f t="shared" si="8"/>
        <v>98</v>
      </c>
      <c r="W16" s="17">
        <f t="shared" si="8"/>
        <v>0</v>
      </c>
      <c r="X16" s="17">
        <f t="shared" si="8"/>
        <v>50</v>
      </c>
      <c r="Y16" s="17">
        <f t="shared" si="8"/>
        <v>11</v>
      </c>
      <c r="Z16" s="17">
        <f t="shared" si="8"/>
        <v>7</v>
      </c>
      <c r="AA16" s="17">
        <f t="shared" si="8"/>
        <v>1</v>
      </c>
      <c r="AB16" s="17">
        <f t="shared" si="8"/>
        <v>1</v>
      </c>
      <c r="AC16" s="17">
        <f t="shared" si="8"/>
        <v>815</v>
      </c>
      <c r="AD16" s="17">
        <f t="shared" si="8"/>
        <v>0</v>
      </c>
      <c r="AE16" s="31">
        <f t="shared" si="8"/>
        <v>852</v>
      </c>
      <c r="AF16" s="31">
        <f t="shared" si="8"/>
        <v>1667</v>
      </c>
    </row>
    <row r="17" spans="2:32" ht="23.1" customHeight="1" x14ac:dyDescent="0.25">
      <c r="B17" s="45" t="s">
        <v>44</v>
      </c>
      <c r="C17" s="50">
        <v>135</v>
      </c>
      <c r="D17" s="50">
        <v>5</v>
      </c>
      <c r="E17" s="50">
        <v>8</v>
      </c>
      <c r="F17" s="50">
        <v>45</v>
      </c>
      <c r="G17" s="50">
        <v>2</v>
      </c>
      <c r="H17" s="50">
        <v>0</v>
      </c>
      <c r="I17" s="50">
        <v>3</v>
      </c>
      <c r="J17" s="50">
        <v>1</v>
      </c>
      <c r="K17" s="50">
        <v>1</v>
      </c>
      <c r="L17" s="50">
        <v>0</v>
      </c>
      <c r="M17" s="50">
        <v>210</v>
      </c>
      <c r="N17" s="50">
        <v>0</v>
      </c>
      <c r="O17" s="15">
        <f t="shared" si="0"/>
        <v>200</v>
      </c>
      <c r="P17" s="15">
        <f t="shared" si="1"/>
        <v>410</v>
      </c>
      <c r="R17" s="1" t="s">
        <v>13</v>
      </c>
      <c r="S17" s="17">
        <f t="shared" ref="S17:AF17" si="9">SUM(C38:C41)</f>
        <v>475</v>
      </c>
      <c r="T17" s="17">
        <f t="shared" si="9"/>
        <v>104</v>
      </c>
      <c r="U17" s="17">
        <f t="shared" si="9"/>
        <v>52</v>
      </c>
      <c r="V17" s="17">
        <f t="shared" si="9"/>
        <v>79</v>
      </c>
      <c r="W17" s="17">
        <f t="shared" si="9"/>
        <v>0</v>
      </c>
      <c r="X17" s="17">
        <f t="shared" si="9"/>
        <v>8</v>
      </c>
      <c r="Y17" s="17">
        <f t="shared" si="9"/>
        <v>9</v>
      </c>
      <c r="Z17" s="17">
        <f t="shared" si="9"/>
        <v>38</v>
      </c>
      <c r="AA17" s="17">
        <f t="shared" si="9"/>
        <v>0</v>
      </c>
      <c r="AB17" s="17">
        <f t="shared" si="9"/>
        <v>1</v>
      </c>
      <c r="AC17" s="17">
        <f t="shared" si="9"/>
        <v>575</v>
      </c>
      <c r="AD17" s="17">
        <f t="shared" si="9"/>
        <v>0</v>
      </c>
      <c r="AE17" s="31">
        <f t="shared" si="9"/>
        <v>766</v>
      </c>
      <c r="AF17" s="31">
        <f t="shared" si="9"/>
        <v>1341</v>
      </c>
    </row>
    <row r="18" spans="2:32" ht="23.1" customHeight="1" x14ac:dyDescent="0.25">
      <c r="B18" s="45" t="s">
        <v>45</v>
      </c>
      <c r="C18" s="50">
        <v>115</v>
      </c>
      <c r="D18" s="50">
        <v>39</v>
      </c>
      <c r="E18" s="50">
        <v>5</v>
      </c>
      <c r="F18" s="50">
        <v>45</v>
      </c>
      <c r="G18" s="50">
        <v>1</v>
      </c>
      <c r="H18" s="50">
        <v>0</v>
      </c>
      <c r="I18" s="50">
        <v>5</v>
      </c>
      <c r="J18" s="50">
        <v>1</v>
      </c>
      <c r="K18" s="50">
        <v>0</v>
      </c>
      <c r="L18" s="50">
        <v>0</v>
      </c>
      <c r="M18" s="50">
        <v>265</v>
      </c>
      <c r="N18" s="50">
        <v>0</v>
      </c>
      <c r="O18" s="15">
        <f t="shared" si="0"/>
        <v>211</v>
      </c>
      <c r="P18" s="15">
        <f t="shared" si="1"/>
        <v>476</v>
      </c>
      <c r="R18" s="1" t="s">
        <v>14</v>
      </c>
      <c r="S18" s="17">
        <f t="shared" ref="S18:AF18" si="10">SUM(C42:C45)</f>
        <v>500</v>
      </c>
      <c r="T18" s="17">
        <f t="shared" si="10"/>
        <v>65</v>
      </c>
      <c r="U18" s="17">
        <f t="shared" si="10"/>
        <v>53</v>
      </c>
      <c r="V18" s="17">
        <f t="shared" si="10"/>
        <v>23</v>
      </c>
      <c r="W18" s="17">
        <f t="shared" si="10"/>
        <v>2</v>
      </c>
      <c r="X18" s="17">
        <f t="shared" si="10"/>
        <v>0</v>
      </c>
      <c r="Y18" s="17">
        <f t="shared" si="10"/>
        <v>16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677</v>
      </c>
      <c r="AD18" s="17">
        <f t="shared" si="10"/>
        <v>0</v>
      </c>
      <c r="AE18" s="31">
        <f t="shared" si="10"/>
        <v>663</v>
      </c>
      <c r="AF18" s="31">
        <f t="shared" si="10"/>
        <v>1340</v>
      </c>
    </row>
    <row r="19" spans="2:32" ht="23.1" customHeight="1" x14ac:dyDescent="0.25">
      <c r="B19" s="45" t="s">
        <v>46</v>
      </c>
      <c r="C19" s="50">
        <v>130</v>
      </c>
      <c r="D19" s="50">
        <v>22</v>
      </c>
      <c r="E19" s="50">
        <v>6</v>
      </c>
      <c r="F19" s="50">
        <v>20</v>
      </c>
      <c r="G19" s="50">
        <v>0</v>
      </c>
      <c r="H19" s="50">
        <v>0</v>
      </c>
      <c r="I19" s="50">
        <v>5</v>
      </c>
      <c r="J19" s="50">
        <v>3</v>
      </c>
      <c r="K19" s="50">
        <v>0</v>
      </c>
      <c r="L19" s="50">
        <v>1</v>
      </c>
      <c r="M19" s="50">
        <v>170</v>
      </c>
      <c r="N19" s="50">
        <v>0</v>
      </c>
      <c r="O19" s="15">
        <f t="shared" si="0"/>
        <v>187</v>
      </c>
      <c r="P19" s="15">
        <f t="shared" si="1"/>
        <v>357</v>
      </c>
      <c r="R19" s="1" t="s">
        <v>15</v>
      </c>
      <c r="S19" s="17">
        <f t="shared" ref="S19:AF19" si="11">SUM(C46:C49)</f>
        <v>475</v>
      </c>
      <c r="T19" s="17">
        <f t="shared" si="11"/>
        <v>79</v>
      </c>
      <c r="U19" s="17">
        <f t="shared" si="11"/>
        <v>24</v>
      </c>
      <c r="V19" s="17">
        <f t="shared" si="11"/>
        <v>85</v>
      </c>
      <c r="W19" s="17">
        <f t="shared" si="11"/>
        <v>3</v>
      </c>
      <c r="X19" s="17">
        <f t="shared" si="11"/>
        <v>0</v>
      </c>
      <c r="Y19" s="17">
        <f t="shared" si="11"/>
        <v>14</v>
      </c>
      <c r="Z19" s="17">
        <f t="shared" si="11"/>
        <v>15</v>
      </c>
      <c r="AA19" s="17">
        <f t="shared" si="11"/>
        <v>1</v>
      </c>
      <c r="AB19" s="17">
        <f t="shared" si="11"/>
        <v>0</v>
      </c>
      <c r="AC19" s="17">
        <f t="shared" si="11"/>
        <v>719</v>
      </c>
      <c r="AD19" s="17">
        <f t="shared" si="11"/>
        <v>0</v>
      </c>
      <c r="AE19" s="31">
        <f t="shared" si="11"/>
        <v>696</v>
      </c>
      <c r="AF19" s="31">
        <f t="shared" si="11"/>
        <v>1415</v>
      </c>
    </row>
    <row r="20" spans="2:32" ht="23.1" customHeight="1" x14ac:dyDescent="0.25">
      <c r="B20" s="45" t="s">
        <v>47</v>
      </c>
      <c r="C20" s="50">
        <v>155</v>
      </c>
      <c r="D20" s="50">
        <v>5</v>
      </c>
      <c r="E20" s="50">
        <v>1</v>
      </c>
      <c r="F20" s="50">
        <v>17</v>
      </c>
      <c r="G20" s="50">
        <v>1</v>
      </c>
      <c r="H20" s="50">
        <v>0</v>
      </c>
      <c r="I20" s="50">
        <v>5</v>
      </c>
      <c r="J20" s="50">
        <v>5</v>
      </c>
      <c r="K20" s="50">
        <v>1</v>
      </c>
      <c r="L20" s="50">
        <v>2</v>
      </c>
      <c r="M20" s="50">
        <v>235</v>
      </c>
      <c r="N20" s="50">
        <v>0</v>
      </c>
      <c r="O20" s="15">
        <f t="shared" si="0"/>
        <v>192</v>
      </c>
      <c r="P20" s="15">
        <f t="shared" si="1"/>
        <v>427</v>
      </c>
      <c r="R20" s="1" t="s">
        <v>16</v>
      </c>
      <c r="S20" s="17">
        <f t="shared" ref="S20:AF20" si="12">SUM(C50:C53)</f>
        <v>510</v>
      </c>
      <c r="T20" s="17">
        <f t="shared" si="12"/>
        <v>55</v>
      </c>
      <c r="U20" s="17">
        <f t="shared" si="12"/>
        <v>86</v>
      </c>
      <c r="V20" s="17">
        <f t="shared" si="12"/>
        <v>108</v>
      </c>
      <c r="W20" s="17">
        <f t="shared" si="12"/>
        <v>4</v>
      </c>
      <c r="X20" s="17">
        <f t="shared" si="12"/>
        <v>0</v>
      </c>
      <c r="Y20" s="17">
        <f t="shared" si="12"/>
        <v>22</v>
      </c>
      <c r="Z20" s="17">
        <f t="shared" si="12"/>
        <v>11</v>
      </c>
      <c r="AA20" s="17">
        <f t="shared" si="12"/>
        <v>6</v>
      </c>
      <c r="AB20" s="17">
        <f t="shared" si="12"/>
        <v>7</v>
      </c>
      <c r="AC20" s="17">
        <f t="shared" si="12"/>
        <v>690</v>
      </c>
      <c r="AD20" s="17">
        <f t="shared" si="12"/>
        <v>0</v>
      </c>
      <c r="AE20" s="31">
        <f t="shared" si="12"/>
        <v>809</v>
      </c>
      <c r="AF20" s="31">
        <f t="shared" si="12"/>
        <v>1499</v>
      </c>
    </row>
    <row r="21" spans="2:32" ht="23.1" customHeight="1" x14ac:dyDescent="0.25">
      <c r="B21" s="45" t="s">
        <v>48</v>
      </c>
      <c r="C21" s="50">
        <v>140</v>
      </c>
      <c r="D21" s="50">
        <v>32</v>
      </c>
      <c r="E21" s="50">
        <v>7</v>
      </c>
      <c r="F21" s="50">
        <v>20</v>
      </c>
      <c r="G21" s="50">
        <v>0</v>
      </c>
      <c r="H21" s="50">
        <v>0</v>
      </c>
      <c r="I21" s="50">
        <v>12</v>
      </c>
      <c r="J21" s="50">
        <v>2</v>
      </c>
      <c r="K21" s="50">
        <v>1</v>
      </c>
      <c r="L21" s="50">
        <v>0</v>
      </c>
      <c r="M21" s="50">
        <v>275</v>
      </c>
      <c r="N21" s="50">
        <v>0</v>
      </c>
      <c r="O21" s="15">
        <f t="shared" si="0"/>
        <v>214</v>
      </c>
      <c r="P21" s="15">
        <f t="shared" si="1"/>
        <v>489</v>
      </c>
      <c r="R21" s="36" t="s">
        <v>20</v>
      </c>
      <c r="S21" s="34">
        <f t="shared" ref="S21:AF21" si="13">SUM(C54:C57)</f>
        <v>465</v>
      </c>
      <c r="T21" s="17">
        <f t="shared" si="13"/>
        <v>64</v>
      </c>
      <c r="U21" s="17">
        <f t="shared" si="13"/>
        <v>64</v>
      </c>
      <c r="V21" s="17">
        <f t="shared" si="13"/>
        <v>71</v>
      </c>
      <c r="W21" s="17">
        <f t="shared" si="13"/>
        <v>3</v>
      </c>
      <c r="X21" s="17">
        <f t="shared" si="13"/>
        <v>0</v>
      </c>
      <c r="Y21" s="17">
        <f t="shared" si="13"/>
        <v>33</v>
      </c>
      <c r="Z21" s="17">
        <f t="shared" si="13"/>
        <v>62</v>
      </c>
      <c r="AA21" s="17">
        <f t="shared" si="13"/>
        <v>0</v>
      </c>
      <c r="AB21" s="17">
        <f t="shared" si="13"/>
        <v>5</v>
      </c>
      <c r="AC21" s="17">
        <f t="shared" si="13"/>
        <v>675</v>
      </c>
      <c r="AD21" s="17">
        <f t="shared" si="13"/>
        <v>1</v>
      </c>
      <c r="AE21" s="31">
        <f t="shared" si="13"/>
        <v>768</v>
      </c>
      <c r="AF21" s="31">
        <f t="shared" si="13"/>
        <v>1443</v>
      </c>
    </row>
    <row r="22" spans="2:32" ht="23.1" customHeight="1" x14ac:dyDescent="0.25">
      <c r="B22" s="45" t="s">
        <v>49</v>
      </c>
      <c r="C22" s="50">
        <v>155</v>
      </c>
      <c r="D22" s="50">
        <v>7</v>
      </c>
      <c r="E22" s="50">
        <v>7</v>
      </c>
      <c r="F22" s="50">
        <v>6</v>
      </c>
      <c r="G22" s="50">
        <v>6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240</v>
      </c>
      <c r="N22" s="50">
        <v>0</v>
      </c>
      <c r="O22" s="15">
        <f t="shared" si="0"/>
        <v>184</v>
      </c>
      <c r="P22" s="15">
        <f t="shared" si="1"/>
        <v>424</v>
      </c>
      <c r="R22" s="36" t="s">
        <v>146</v>
      </c>
      <c r="S22" s="34">
        <f>SUM(C58:C61)</f>
        <v>202</v>
      </c>
      <c r="T22" s="34">
        <f t="shared" ref="T22:AF22" si="14">SUM(D58:D61)</f>
        <v>55</v>
      </c>
      <c r="U22" s="34">
        <f t="shared" si="14"/>
        <v>38</v>
      </c>
      <c r="V22" s="34">
        <f t="shared" si="14"/>
        <v>120</v>
      </c>
      <c r="W22" s="34">
        <f t="shared" si="14"/>
        <v>6</v>
      </c>
      <c r="X22" s="34">
        <f t="shared" si="14"/>
        <v>0</v>
      </c>
      <c r="Y22" s="34">
        <f t="shared" si="14"/>
        <v>24</v>
      </c>
      <c r="Z22" s="34">
        <f t="shared" si="14"/>
        <v>12</v>
      </c>
      <c r="AA22" s="34">
        <f t="shared" si="14"/>
        <v>0</v>
      </c>
      <c r="AB22" s="34">
        <f t="shared" si="14"/>
        <v>5</v>
      </c>
      <c r="AC22" s="34">
        <f t="shared" si="14"/>
        <v>570</v>
      </c>
      <c r="AD22" s="34">
        <f t="shared" si="14"/>
        <v>0</v>
      </c>
      <c r="AE22" s="31">
        <f t="shared" si="14"/>
        <v>462</v>
      </c>
      <c r="AF22" s="31">
        <f t="shared" si="14"/>
        <v>1032</v>
      </c>
    </row>
    <row r="23" spans="2:32" ht="23.1" customHeight="1" x14ac:dyDescent="0.25">
      <c r="B23" s="45" t="s">
        <v>50</v>
      </c>
      <c r="C23" s="50">
        <v>160</v>
      </c>
      <c r="D23" s="50">
        <v>25</v>
      </c>
      <c r="E23" s="50">
        <v>6</v>
      </c>
      <c r="F23" s="50">
        <v>5</v>
      </c>
      <c r="G23" s="50">
        <v>0</v>
      </c>
      <c r="H23" s="50">
        <v>0</v>
      </c>
      <c r="I23" s="50">
        <v>7</v>
      </c>
      <c r="J23" s="50">
        <v>2</v>
      </c>
      <c r="K23" s="50">
        <v>0</v>
      </c>
      <c r="L23" s="50">
        <v>1</v>
      </c>
      <c r="M23" s="50">
        <v>240</v>
      </c>
      <c r="N23" s="50">
        <v>0</v>
      </c>
      <c r="O23" s="15">
        <f t="shared" si="0"/>
        <v>206</v>
      </c>
      <c r="P23" s="15">
        <f t="shared" si="1"/>
        <v>446</v>
      </c>
      <c r="R23" s="36" t="s">
        <v>147</v>
      </c>
      <c r="S23" s="34">
        <f>SUM(C62:C65)</f>
        <v>177</v>
      </c>
      <c r="T23" s="34">
        <f t="shared" ref="T23:AF23" si="15">SUM(D62:D65)</f>
        <v>31</v>
      </c>
      <c r="U23" s="34">
        <f t="shared" si="15"/>
        <v>14</v>
      </c>
      <c r="V23" s="34">
        <f t="shared" si="15"/>
        <v>177</v>
      </c>
      <c r="W23" s="34">
        <f t="shared" si="15"/>
        <v>5</v>
      </c>
      <c r="X23" s="34">
        <f t="shared" si="15"/>
        <v>8</v>
      </c>
      <c r="Y23" s="34">
        <f t="shared" si="15"/>
        <v>32</v>
      </c>
      <c r="Z23" s="34">
        <f t="shared" si="15"/>
        <v>6</v>
      </c>
      <c r="AA23" s="34">
        <f t="shared" si="15"/>
        <v>3</v>
      </c>
      <c r="AB23" s="34">
        <f t="shared" si="15"/>
        <v>0</v>
      </c>
      <c r="AC23" s="34">
        <f t="shared" si="15"/>
        <v>470</v>
      </c>
      <c r="AD23" s="34">
        <f t="shared" si="15"/>
        <v>0</v>
      </c>
      <c r="AE23" s="31">
        <f t="shared" si="15"/>
        <v>453</v>
      </c>
      <c r="AF23" s="31">
        <f t="shared" si="15"/>
        <v>923</v>
      </c>
    </row>
    <row r="24" spans="2:32" ht="23.1" customHeight="1" x14ac:dyDescent="0.25">
      <c r="B24" s="45" t="s">
        <v>51</v>
      </c>
      <c r="C24" s="50">
        <v>180</v>
      </c>
      <c r="D24" s="50">
        <v>75</v>
      </c>
      <c r="E24" s="50">
        <v>5</v>
      </c>
      <c r="F24" s="50">
        <v>45</v>
      </c>
      <c r="G24" s="50">
        <v>0</v>
      </c>
      <c r="H24" s="50">
        <v>0</v>
      </c>
      <c r="I24" s="50">
        <v>6</v>
      </c>
      <c r="J24" s="50">
        <v>0</v>
      </c>
      <c r="K24" s="50">
        <v>0</v>
      </c>
      <c r="L24" s="50">
        <v>0</v>
      </c>
      <c r="M24" s="50">
        <v>245</v>
      </c>
      <c r="N24" s="50">
        <v>0</v>
      </c>
      <c r="O24" s="15">
        <f t="shared" si="0"/>
        <v>311</v>
      </c>
      <c r="P24" s="15">
        <f t="shared" si="1"/>
        <v>556</v>
      </c>
      <c r="R24" s="36" t="s">
        <v>148</v>
      </c>
      <c r="S24" s="34">
        <f>SUM(C66:C69)</f>
        <v>146</v>
      </c>
      <c r="T24" s="34">
        <f t="shared" ref="T24:AF24" si="16">SUM(D66:D69)</f>
        <v>33</v>
      </c>
      <c r="U24" s="34">
        <f t="shared" si="16"/>
        <v>10</v>
      </c>
      <c r="V24" s="34">
        <f t="shared" si="16"/>
        <v>127</v>
      </c>
      <c r="W24" s="34">
        <f t="shared" si="16"/>
        <v>4</v>
      </c>
      <c r="X24" s="34">
        <f t="shared" si="16"/>
        <v>1</v>
      </c>
      <c r="Y24" s="34">
        <f t="shared" si="16"/>
        <v>25</v>
      </c>
      <c r="Z24" s="34">
        <f t="shared" si="16"/>
        <v>9</v>
      </c>
      <c r="AA24" s="34">
        <f t="shared" si="16"/>
        <v>2</v>
      </c>
      <c r="AB24" s="34">
        <f t="shared" si="16"/>
        <v>1</v>
      </c>
      <c r="AC24" s="34">
        <f t="shared" si="16"/>
        <v>360</v>
      </c>
      <c r="AD24" s="34">
        <f t="shared" si="16"/>
        <v>0</v>
      </c>
      <c r="AE24" s="31">
        <f t="shared" si="16"/>
        <v>358</v>
      </c>
      <c r="AF24" s="31">
        <f t="shared" si="16"/>
        <v>718</v>
      </c>
    </row>
    <row r="25" spans="2:32" ht="23.1" customHeight="1" x14ac:dyDescent="0.25">
      <c r="B25" s="45" t="s">
        <v>52</v>
      </c>
      <c r="C25" s="50">
        <v>130</v>
      </c>
      <c r="D25" s="50">
        <v>26</v>
      </c>
      <c r="E25" s="50">
        <v>9</v>
      </c>
      <c r="F25" s="50">
        <v>6</v>
      </c>
      <c r="G25" s="50">
        <v>1</v>
      </c>
      <c r="H25" s="50">
        <v>0</v>
      </c>
      <c r="I25" s="50">
        <v>3</v>
      </c>
      <c r="J25" s="50">
        <v>4</v>
      </c>
      <c r="K25" s="50">
        <v>1</v>
      </c>
      <c r="L25" s="50">
        <v>2</v>
      </c>
      <c r="M25" s="50">
        <v>210</v>
      </c>
      <c r="N25" s="50">
        <v>0</v>
      </c>
      <c r="O25" s="15">
        <f t="shared" si="0"/>
        <v>182</v>
      </c>
      <c r="P25" s="15">
        <f t="shared" si="1"/>
        <v>392</v>
      </c>
      <c r="R25" s="36" t="s">
        <v>149</v>
      </c>
      <c r="S25" s="34">
        <f>SUM(C70:C73)</f>
        <v>112</v>
      </c>
      <c r="T25" s="34">
        <f t="shared" ref="T25:AF25" si="17">SUM(D70:D73)</f>
        <v>60</v>
      </c>
      <c r="U25" s="34">
        <f t="shared" si="17"/>
        <v>6</v>
      </c>
      <c r="V25" s="34">
        <f t="shared" si="17"/>
        <v>27</v>
      </c>
      <c r="W25" s="34">
        <f t="shared" si="17"/>
        <v>1</v>
      </c>
      <c r="X25" s="34">
        <f t="shared" si="17"/>
        <v>0</v>
      </c>
      <c r="Y25" s="34">
        <f t="shared" si="17"/>
        <v>11</v>
      </c>
      <c r="Z25" s="34">
        <f t="shared" si="17"/>
        <v>4</v>
      </c>
      <c r="AA25" s="34">
        <f t="shared" si="17"/>
        <v>1</v>
      </c>
      <c r="AB25" s="34">
        <f t="shared" si="17"/>
        <v>0</v>
      </c>
      <c r="AC25" s="34">
        <f t="shared" si="17"/>
        <v>268</v>
      </c>
      <c r="AD25" s="34">
        <f t="shared" si="17"/>
        <v>0</v>
      </c>
      <c r="AE25" s="31">
        <f t="shared" si="17"/>
        <v>222</v>
      </c>
      <c r="AF25" s="31">
        <f t="shared" si="17"/>
        <v>490</v>
      </c>
    </row>
    <row r="26" spans="2:32" ht="23.1" customHeight="1" x14ac:dyDescent="0.25">
      <c r="B26" s="45" t="s">
        <v>53</v>
      </c>
      <c r="C26" s="50">
        <v>141</v>
      </c>
      <c r="D26" s="50">
        <v>5</v>
      </c>
      <c r="E26" s="50">
        <v>8</v>
      </c>
      <c r="F26" s="50">
        <v>5</v>
      </c>
      <c r="G26" s="50">
        <v>1</v>
      </c>
      <c r="H26" s="50">
        <v>0</v>
      </c>
      <c r="I26" s="50">
        <v>6</v>
      </c>
      <c r="J26" s="50">
        <v>7</v>
      </c>
      <c r="K26" s="50">
        <v>5</v>
      </c>
      <c r="L26" s="50">
        <v>0</v>
      </c>
      <c r="M26" s="50">
        <v>260</v>
      </c>
      <c r="N26" s="50">
        <v>0</v>
      </c>
      <c r="O26" s="15">
        <f t="shared" si="0"/>
        <v>178</v>
      </c>
      <c r="P26" s="15">
        <f t="shared" si="1"/>
        <v>438</v>
      </c>
      <c r="R26" s="36" t="s">
        <v>150</v>
      </c>
      <c r="S26" s="34">
        <f>SUM(C74:C77)</f>
        <v>52</v>
      </c>
      <c r="T26" s="34">
        <f t="shared" ref="T26:AF26" si="18">SUM(D74:D77)</f>
        <v>31</v>
      </c>
      <c r="U26" s="34">
        <f t="shared" si="18"/>
        <v>8</v>
      </c>
      <c r="V26" s="34">
        <f t="shared" si="18"/>
        <v>10</v>
      </c>
      <c r="W26" s="34">
        <f t="shared" si="18"/>
        <v>0</v>
      </c>
      <c r="X26" s="34">
        <f t="shared" si="18"/>
        <v>0</v>
      </c>
      <c r="Y26" s="34">
        <f t="shared" si="18"/>
        <v>9</v>
      </c>
      <c r="Z26" s="34">
        <f t="shared" si="18"/>
        <v>1</v>
      </c>
      <c r="AA26" s="34">
        <f t="shared" si="18"/>
        <v>5</v>
      </c>
      <c r="AB26" s="34">
        <f t="shared" si="18"/>
        <v>0</v>
      </c>
      <c r="AC26" s="34">
        <f t="shared" si="18"/>
        <v>256</v>
      </c>
      <c r="AD26" s="34">
        <f t="shared" si="18"/>
        <v>0</v>
      </c>
      <c r="AE26" s="31">
        <f t="shared" si="18"/>
        <v>116</v>
      </c>
      <c r="AF26" s="31">
        <f t="shared" si="18"/>
        <v>372</v>
      </c>
    </row>
    <row r="27" spans="2:32" ht="23.1" customHeight="1" x14ac:dyDescent="0.25">
      <c r="B27" s="45" t="s">
        <v>54</v>
      </c>
      <c r="C27" s="50">
        <v>205</v>
      </c>
      <c r="D27" s="50">
        <v>15</v>
      </c>
      <c r="E27" s="50">
        <v>4</v>
      </c>
      <c r="F27" s="50">
        <v>55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0</v>
      </c>
      <c r="M27" s="50">
        <v>215</v>
      </c>
      <c r="N27" s="50">
        <v>0</v>
      </c>
      <c r="O27" s="15">
        <f t="shared" si="0"/>
        <v>282</v>
      </c>
      <c r="P27" s="15">
        <f t="shared" si="1"/>
        <v>497</v>
      </c>
      <c r="R27" s="36" t="s">
        <v>151</v>
      </c>
      <c r="S27" s="34">
        <f>SUM(C78:C81)</f>
        <v>51</v>
      </c>
      <c r="T27" s="34">
        <f t="shared" ref="T27:AF27" si="19">SUM(D78:D81)</f>
        <v>23</v>
      </c>
      <c r="U27" s="34">
        <f t="shared" si="19"/>
        <v>5</v>
      </c>
      <c r="V27" s="34">
        <f t="shared" si="19"/>
        <v>9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4</v>
      </c>
      <c r="AA27" s="34">
        <f t="shared" si="19"/>
        <v>2</v>
      </c>
      <c r="AB27" s="34">
        <f t="shared" si="19"/>
        <v>0</v>
      </c>
      <c r="AC27" s="34">
        <f t="shared" si="19"/>
        <v>124</v>
      </c>
      <c r="AD27" s="34">
        <f t="shared" si="19"/>
        <v>0</v>
      </c>
      <c r="AE27" s="31">
        <f t="shared" si="19"/>
        <v>95</v>
      </c>
      <c r="AF27" s="31">
        <f t="shared" si="19"/>
        <v>219</v>
      </c>
    </row>
    <row r="28" spans="2:32" ht="23.1" customHeight="1" x14ac:dyDescent="0.25">
      <c r="B28" s="45" t="s">
        <v>55</v>
      </c>
      <c r="C28" s="50">
        <v>140</v>
      </c>
      <c r="D28" s="50">
        <v>5</v>
      </c>
      <c r="E28" s="50">
        <v>2</v>
      </c>
      <c r="F28" s="50">
        <v>20</v>
      </c>
      <c r="G28" s="50">
        <v>0</v>
      </c>
      <c r="H28" s="50">
        <v>0</v>
      </c>
      <c r="I28" s="50">
        <v>1</v>
      </c>
      <c r="J28" s="50">
        <v>2</v>
      </c>
      <c r="K28" s="50">
        <v>0</v>
      </c>
      <c r="L28" s="50">
        <v>0</v>
      </c>
      <c r="M28" s="50">
        <v>180</v>
      </c>
      <c r="N28" s="50">
        <v>0</v>
      </c>
      <c r="O28" s="15">
        <f t="shared" si="0"/>
        <v>170</v>
      </c>
      <c r="P28" s="15">
        <f t="shared" si="1"/>
        <v>350</v>
      </c>
      <c r="R28" s="36" t="s">
        <v>152</v>
      </c>
      <c r="S28" s="34">
        <f>SUM(C82:C85)</f>
        <v>15</v>
      </c>
      <c r="T28" s="34">
        <f t="shared" ref="T28:AF28" si="20">SUM(D82:D85)</f>
        <v>9</v>
      </c>
      <c r="U28" s="34">
        <f t="shared" si="20"/>
        <v>2</v>
      </c>
      <c r="V28" s="34">
        <f t="shared" si="20"/>
        <v>3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3</v>
      </c>
      <c r="AB28" s="34">
        <f t="shared" si="20"/>
        <v>0</v>
      </c>
      <c r="AC28" s="34">
        <f t="shared" si="20"/>
        <v>75</v>
      </c>
      <c r="AD28" s="34">
        <f t="shared" si="20"/>
        <v>0</v>
      </c>
      <c r="AE28" s="31">
        <f t="shared" si="20"/>
        <v>32</v>
      </c>
      <c r="AF28" s="31">
        <f t="shared" si="20"/>
        <v>107</v>
      </c>
    </row>
    <row r="29" spans="2:32" ht="23.1" customHeight="1" x14ac:dyDescent="0.25">
      <c r="B29" s="45" t="s">
        <v>56</v>
      </c>
      <c r="C29" s="50">
        <v>120</v>
      </c>
      <c r="D29" s="50">
        <v>9</v>
      </c>
      <c r="E29" s="50">
        <v>5</v>
      </c>
      <c r="F29" s="50">
        <v>6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210</v>
      </c>
      <c r="N29" s="50">
        <v>0</v>
      </c>
      <c r="O29" s="15">
        <f t="shared" si="0"/>
        <v>143</v>
      </c>
      <c r="P29" s="15">
        <f t="shared" si="1"/>
        <v>353</v>
      </c>
      <c r="R29" s="36" t="s">
        <v>153</v>
      </c>
      <c r="S29" s="34">
        <f>SUM(C86:C89)</f>
        <v>15</v>
      </c>
      <c r="T29" s="34">
        <f t="shared" ref="T29:AF29" si="21">SUM(D86:D89)</f>
        <v>8</v>
      </c>
      <c r="U29" s="34">
        <f t="shared" si="21"/>
        <v>1</v>
      </c>
      <c r="V29" s="34">
        <f t="shared" si="21"/>
        <v>3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2</v>
      </c>
      <c r="AA29" s="34">
        <f t="shared" si="21"/>
        <v>2</v>
      </c>
      <c r="AB29" s="34">
        <f t="shared" si="21"/>
        <v>0</v>
      </c>
      <c r="AC29" s="34">
        <f t="shared" si="21"/>
        <v>66</v>
      </c>
      <c r="AD29" s="34">
        <f t="shared" si="21"/>
        <v>0</v>
      </c>
      <c r="AE29" s="31">
        <f t="shared" si="21"/>
        <v>32</v>
      </c>
      <c r="AF29" s="31">
        <f t="shared" si="21"/>
        <v>98</v>
      </c>
    </row>
    <row r="30" spans="2:32" ht="23.1" customHeight="1" x14ac:dyDescent="0.25">
      <c r="B30" s="45" t="s">
        <v>57</v>
      </c>
      <c r="C30" s="50">
        <v>185</v>
      </c>
      <c r="D30" s="50">
        <v>15</v>
      </c>
      <c r="E30" s="50">
        <v>7</v>
      </c>
      <c r="F30" s="50">
        <v>3</v>
      </c>
      <c r="G30" s="50">
        <v>0</v>
      </c>
      <c r="H30" s="50">
        <v>0</v>
      </c>
      <c r="I30" s="50">
        <v>3</v>
      </c>
      <c r="J30" s="50">
        <v>3</v>
      </c>
      <c r="K30" s="50">
        <v>0</v>
      </c>
      <c r="L30" s="50">
        <v>1</v>
      </c>
      <c r="M30" s="50">
        <v>260</v>
      </c>
      <c r="N30" s="50">
        <v>0</v>
      </c>
      <c r="O30" s="15">
        <f t="shared" si="0"/>
        <v>217</v>
      </c>
      <c r="P30" s="15">
        <f t="shared" si="1"/>
        <v>477</v>
      </c>
      <c r="R30" s="36" t="s">
        <v>154</v>
      </c>
      <c r="S30" s="34">
        <f>SUM(C90:C93)</f>
        <v>13</v>
      </c>
      <c r="T30" s="34">
        <f t="shared" ref="T30:AF30" si="22">SUM(D90:D93)</f>
        <v>4</v>
      </c>
      <c r="U30" s="34">
        <f t="shared" si="22"/>
        <v>2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3</v>
      </c>
      <c r="Z30" s="34">
        <f t="shared" si="22"/>
        <v>0</v>
      </c>
      <c r="AA30" s="34">
        <f t="shared" si="22"/>
        <v>1</v>
      </c>
      <c r="AB30" s="34">
        <f t="shared" si="22"/>
        <v>0</v>
      </c>
      <c r="AC30" s="34">
        <f t="shared" si="22"/>
        <v>37</v>
      </c>
      <c r="AD30" s="34">
        <f t="shared" si="22"/>
        <v>0</v>
      </c>
      <c r="AE30" s="31">
        <f t="shared" si="22"/>
        <v>23</v>
      </c>
      <c r="AF30" s="31">
        <f t="shared" si="22"/>
        <v>60</v>
      </c>
    </row>
    <row r="31" spans="2:32" ht="23.1" customHeight="1" x14ac:dyDescent="0.25">
      <c r="B31" s="46" t="s">
        <v>58</v>
      </c>
      <c r="C31" s="50">
        <v>135</v>
      </c>
      <c r="D31" s="50">
        <v>6</v>
      </c>
      <c r="E31" s="50">
        <v>3</v>
      </c>
      <c r="F31" s="50">
        <v>1</v>
      </c>
      <c r="G31" s="50">
        <v>0</v>
      </c>
      <c r="H31" s="50">
        <v>0</v>
      </c>
      <c r="I31" s="50">
        <v>2</v>
      </c>
      <c r="J31" s="50">
        <v>1</v>
      </c>
      <c r="K31" s="50">
        <v>1</v>
      </c>
      <c r="L31" s="50">
        <v>0</v>
      </c>
      <c r="M31" s="50">
        <v>370</v>
      </c>
      <c r="N31" s="50">
        <v>0</v>
      </c>
      <c r="O31" s="15">
        <f t="shared" si="0"/>
        <v>149</v>
      </c>
      <c r="P31" s="15">
        <f t="shared" si="1"/>
        <v>519</v>
      </c>
      <c r="R31" s="36" t="s">
        <v>155</v>
      </c>
      <c r="S31" s="34">
        <f>SUM(C94:C97)</f>
        <v>13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3</v>
      </c>
      <c r="AA31" s="34">
        <f t="shared" si="23"/>
        <v>1</v>
      </c>
      <c r="AB31" s="34">
        <f t="shared" si="23"/>
        <v>0</v>
      </c>
      <c r="AC31" s="34">
        <f t="shared" si="23"/>
        <v>42</v>
      </c>
      <c r="AD31" s="34">
        <f t="shared" si="23"/>
        <v>0</v>
      </c>
      <c r="AE31" s="31">
        <f t="shared" si="23"/>
        <v>21</v>
      </c>
      <c r="AF31" s="31">
        <f t="shared" si="23"/>
        <v>63</v>
      </c>
    </row>
    <row r="32" spans="2:32" ht="23.1" customHeight="1" x14ac:dyDescent="0.25">
      <c r="B32" s="46" t="s">
        <v>59</v>
      </c>
      <c r="C32" s="50">
        <v>160</v>
      </c>
      <c r="D32" s="50">
        <v>15</v>
      </c>
      <c r="E32" s="50">
        <v>5</v>
      </c>
      <c r="F32" s="50">
        <v>0</v>
      </c>
      <c r="G32" s="50">
        <v>0</v>
      </c>
      <c r="H32" s="50">
        <v>0</v>
      </c>
      <c r="I32" s="50">
        <v>4</v>
      </c>
      <c r="J32" s="50">
        <v>2</v>
      </c>
      <c r="K32" s="50">
        <v>2</v>
      </c>
      <c r="L32" s="50">
        <v>5</v>
      </c>
      <c r="M32" s="50">
        <v>240</v>
      </c>
      <c r="N32" s="50">
        <v>0</v>
      </c>
      <c r="O32" s="15">
        <f t="shared" si="0"/>
        <v>193</v>
      </c>
      <c r="P32" s="15">
        <f t="shared" si="1"/>
        <v>433</v>
      </c>
      <c r="R32" s="33" t="s">
        <v>156</v>
      </c>
      <c r="S32" s="34">
        <f>SUM(C98:C101)</f>
        <v>9</v>
      </c>
      <c r="T32" s="34">
        <f t="shared" ref="T32:AF32" si="24">SUM(D98:D101)</f>
        <v>1</v>
      </c>
      <c r="U32" s="34">
        <f t="shared" si="24"/>
        <v>2</v>
      </c>
      <c r="V32" s="34">
        <f t="shared" si="24"/>
        <v>0</v>
      </c>
      <c r="W32" s="34">
        <f t="shared" si="24"/>
        <v>1</v>
      </c>
      <c r="X32" s="34">
        <f t="shared" si="24"/>
        <v>0</v>
      </c>
      <c r="Y32" s="34">
        <f t="shared" si="24"/>
        <v>4</v>
      </c>
      <c r="Z32" s="34">
        <f t="shared" si="24"/>
        <v>1</v>
      </c>
      <c r="AA32" s="34">
        <f t="shared" si="24"/>
        <v>0</v>
      </c>
      <c r="AB32" s="34">
        <f t="shared" si="24"/>
        <v>1</v>
      </c>
      <c r="AC32" s="34">
        <f t="shared" si="24"/>
        <v>58</v>
      </c>
      <c r="AD32" s="34">
        <f t="shared" si="24"/>
        <v>0</v>
      </c>
      <c r="AE32" s="31">
        <f t="shared" si="24"/>
        <v>19</v>
      </c>
      <c r="AF32" s="31">
        <f t="shared" si="24"/>
        <v>77</v>
      </c>
    </row>
    <row r="33" spans="2:32" ht="23.1" customHeight="1" x14ac:dyDescent="0.25">
      <c r="B33" s="45" t="s">
        <v>60</v>
      </c>
      <c r="C33" s="50">
        <v>120</v>
      </c>
      <c r="D33" s="50">
        <v>30</v>
      </c>
      <c r="E33" s="50">
        <v>36</v>
      </c>
      <c r="F33" s="50">
        <v>45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4</v>
      </c>
      <c r="M33" s="50">
        <v>145</v>
      </c>
      <c r="N33" s="50">
        <v>0</v>
      </c>
      <c r="O33" s="15">
        <f t="shared" si="0"/>
        <v>236</v>
      </c>
      <c r="P33" s="15">
        <f t="shared" si="1"/>
        <v>381</v>
      </c>
      <c r="R33" s="33" t="s">
        <v>157</v>
      </c>
      <c r="S33" s="34">
        <f>SUM(C102:C105)</f>
        <v>27</v>
      </c>
      <c r="T33" s="34">
        <f t="shared" ref="T33:AF33" si="25">SUM(D102:D105)</f>
        <v>5</v>
      </c>
      <c r="U33" s="34">
        <f t="shared" si="25"/>
        <v>4</v>
      </c>
      <c r="V33" s="34">
        <f t="shared" si="25"/>
        <v>3</v>
      </c>
      <c r="W33" s="34">
        <f t="shared" si="25"/>
        <v>0</v>
      </c>
      <c r="X33" s="34">
        <f t="shared" si="25"/>
        <v>0</v>
      </c>
      <c r="Y33" s="34">
        <f t="shared" si="25"/>
        <v>4</v>
      </c>
      <c r="Z33" s="34">
        <f t="shared" si="25"/>
        <v>1</v>
      </c>
      <c r="AA33" s="34">
        <f t="shared" si="25"/>
        <v>3</v>
      </c>
      <c r="AB33" s="34">
        <f t="shared" si="25"/>
        <v>0</v>
      </c>
      <c r="AC33" s="34">
        <f t="shared" si="25"/>
        <v>92</v>
      </c>
      <c r="AD33" s="34">
        <f t="shared" si="25"/>
        <v>0</v>
      </c>
      <c r="AE33" s="31">
        <f t="shared" si="25"/>
        <v>47</v>
      </c>
      <c r="AF33" s="31">
        <f t="shared" si="25"/>
        <v>139</v>
      </c>
    </row>
    <row r="34" spans="2:32" ht="23.1" customHeight="1" x14ac:dyDescent="0.25">
      <c r="B34" s="46" t="s">
        <v>61</v>
      </c>
      <c r="C34" s="50">
        <v>140</v>
      </c>
      <c r="D34" s="50">
        <v>30</v>
      </c>
      <c r="E34" s="50">
        <v>6</v>
      </c>
      <c r="F34" s="50">
        <v>0</v>
      </c>
      <c r="G34" s="50">
        <v>0</v>
      </c>
      <c r="H34" s="50">
        <v>0</v>
      </c>
      <c r="I34" s="50">
        <v>3</v>
      </c>
      <c r="J34" s="50">
        <v>1</v>
      </c>
      <c r="K34" s="50">
        <v>0</v>
      </c>
      <c r="L34" s="50">
        <v>1</v>
      </c>
      <c r="M34" s="50">
        <v>280</v>
      </c>
      <c r="N34" s="50">
        <v>0</v>
      </c>
      <c r="O34" s="15">
        <f t="shared" si="0"/>
        <v>181</v>
      </c>
      <c r="P34" s="15">
        <f t="shared" si="1"/>
        <v>461</v>
      </c>
      <c r="R34" s="38" t="s">
        <v>90</v>
      </c>
      <c r="S34" s="39">
        <f t="shared" ref="S34:AF34" si="26">MAX(S10:S12)</f>
        <v>540</v>
      </c>
      <c r="T34" s="39">
        <f t="shared" si="26"/>
        <v>98</v>
      </c>
      <c r="U34" s="39">
        <f t="shared" si="26"/>
        <v>45</v>
      </c>
      <c r="V34" s="39">
        <f t="shared" si="26"/>
        <v>163</v>
      </c>
      <c r="W34" s="39">
        <f t="shared" si="26"/>
        <v>4</v>
      </c>
      <c r="X34" s="39">
        <f t="shared" si="26"/>
        <v>0</v>
      </c>
      <c r="Y34" s="39">
        <f t="shared" si="26"/>
        <v>27</v>
      </c>
      <c r="Z34" s="39">
        <f t="shared" si="26"/>
        <v>11</v>
      </c>
      <c r="AA34" s="39">
        <f t="shared" si="26"/>
        <v>16</v>
      </c>
      <c r="AB34" s="39">
        <f t="shared" si="26"/>
        <v>3</v>
      </c>
      <c r="AC34" s="39">
        <f t="shared" si="26"/>
        <v>945</v>
      </c>
      <c r="AD34" s="39">
        <f t="shared" si="26"/>
        <v>0</v>
      </c>
      <c r="AE34" s="40">
        <f t="shared" si="26"/>
        <v>804</v>
      </c>
      <c r="AF34" s="40">
        <f t="shared" si="26"/>
        <v>1749</v>
      </c>
    </row>
    <row r="35" spans="2:32" ht="23.1" customHeight="1" x14ac:dyDescent="0.25">
      <c r="B35" s="46" t="s">
        <v>62</v>
      </c>
      <c r="C35" s="50">
        <v>145</v>
      </c>
      <c r="D35" s="50">
        <v>50</v>
      </c>
      <c r="E35" s="50">
        <v>6</v>
      </c>
      <c r="F35" s="50">
        <v>40</v>
      </c>
      <c r="G35" s="50">
        <v>0</v>
      </c>
      <c r="H35" s="50">
        <v>50</v>
      </c>
      <c r="I35" s="50">
        <v>3</v>
      </c>
      <c r="J35" s="50">
        <v>0</v>
      </c>
      <c r="K35" s="50">
        <v>1</v>
      </c>
      <c r="L35" s="50">
        <v>0</v>
      </c>
      <c r="M35" s="50">
        <v>180</v>
      </c>
      <c r="N35" s="50">
        <v>0</v>
      </c>
      <c r="O35" s="15">
        <f t="shared" si="0"/>
        <v>295</v>
      </c>
      <c r="P35" s="15">
        <f t="shared" si="1"/>
        <v>475</v>
      </c>
      <c r="R35" s="38" t="s">
        <v>91</v>
      </c>
      <c r="S35" s="39">
        <f t="shared" ref="S35:AF35" si="27">MAX(S13:S18)</f>
        <v>625</v>
      </c>
      <c r="T35" s="39">
        <f t="shared" si="27"/>
        <v>133</v>
      </c>
      <c r="U35" s="39">
        <f t="shared" si="27"/>
        <v>53</v>
      </c>
      <c r="V35" s="39">
        <f t="shared" si="27"/>
        <v>98</v>
      </c>
      <c r="W35" s="39">
        <f t="shared" si="27"/>
        <v>7</v>
      </c>
      <c r="X35" s="39">
        <f t="shared" si="27"/>
        <v>50</v>
      </c>
      <c r="Y35" s="39">
        <f t="shared" si="27"/>
        <v>19</v>
      </c>
      <c r="Z35" s="39">
        <f t="shared" si="27"/>
        <v>38</v>
      </c>
      <c r="AA35" s="39">
        <f t="shared" si="27"/>
        <v>5</v>
      </c>
      <c r="AB35" s="39">
        <f t="shared" si="27"/>
        <v>10</v>
      </c>
      <c r="AC35" s="39">
        <f t="shared" si="27"/>
        <v>1015</v>
      </c>
      <c r="AD35" s="39">
        <f t="shared" si="27"/>
        <v>0</v>
      </c>
      <c r="AE35" s="40">
        <f t="shared" si="27"/>
        <v>883</v>
      </c>
      <c r="AF35" s="40">
        <f t="shared" si="27"/>
        <v>1818</v>
      </c>
    </row>
    <row r="36" spans="2:32" ht="23.1" customHeight="1" x14ac:dyDescent="0.25">
      <c r="B36" s="46" t="s">
        <v>63</v>
      </c>
      <c r="C36" s="50">
        <v>130</v>
      </c>
      <c r="D36" s="50">
        <v>35</v>
      </c>
      <c r="E36" s="50">
        <v>10</v>
      </c>
      <c r="F36" s="50">
        <v>45</v>
      </c>
      <c r="G36" s="50">
        <v>0</v>
      </c>
      <c r="H36" s="50">
        <v>0</v>
      </c>
      <c r="I36" s="50">
        <v>2</v>
      </c>
      <c r="J36" s="50">
        <v>5</v>
      </c>
      <c r="K36" s="50">
        <v>0</v>
      </c>
      <c r="L36" s="50">
        <v>0</v>
      </c>
      <c r="M36" s="50">
        <v>200</v>
      </c>
      <c r="N36" s="50">
        <v>0</v>
      </c>
      <c r="O36" s="15">
        <f t="shared" si="0"/>
        <v>227</v>
      </c>
      <c r="P36" s="15">
        <f t="shared" si="1"/>
        <v>427</v>
      </c>
      <c r="R36" s="38" t="s">
        <v>92</v>
      </c>
      <c r="S36" s="39">
        <f t="shared" ref="S36:AF36" si="28">MAX(S19:S21)</f>
        <v>510</v>
      </c>
      <c r="T36" s="39">
        <f t="shared" si="28"/>
        <v>79</v>
      </c>
      <c r="U36" s="39">
        <f t="shared" si="28"/>
        <v>86</v>
      </c>
      <c r="V36" s="39">
        <f t="shared" si="28"/>
        <v>108</v>
      </c>
      <c r="W36" s="39">
        <f t="shared" si="28"/>
        <v>4</v>
      </c>
      <c r="X36" s="39">
        <f t="shared" si="28"/>
        <v>0</v>
      </c>
      <c r="Y36" s="39">
        <f t="shared" si="28"/>
        <v>33</v>
      </c>
      <c r="Z36" s="39">
        <f t="shared" si="28"/>
        <v>62</v>
      </c>
      <c r="AA36" s="39">
        <f t="shared" si="28"/>
        <v>6</v>
      </c>
      <c r="AB36" s="39">
        <f t="shared" si="28"/>
        <v>7</v>
      </c>
      <c r="AC36" s="39">
        <f t="shared" si="28"/>
        <v>719</v>
      </c>
      <c r="AD36" s="39">
        <f t="shared" si="28"/>
        <v>1</v>
      </c>
      <c r="AE36" s="40">
        <f t="shared" si="28"/>
        <v>809</v>
      </c>
      <c r="AF36" s="40">
        <f t="shared" si="28"/>
        <v>1499</v>
      </c>
    </row>
    <row r="37" spans="2:32" ht="23.1" customHeight="1" x14ac:dyDescent="0.25">
      <c r="B37" s="45" t="s">
        <v>64</v>
      </c>
      <c r="C37" s="50">
        <v>125</v>
      </c>
      <c r="D37" s="50">
        <v>5</v>
      </c>
      <c r="E37" s="50">
        <v>2</v>
      </c>
      <c r="F37" s="50">
        <v>13</v>
      </c>
      <c r="G37" s="50">
        <v>0</v>
      </c>
      <c r="H37" s="50">
        <v>0</v>
      </c>
      <c r="I37" s="50">
        <v>3</v>
      </c>
      <c r="J37" s="50">
        <v>1</v>
      </c>
      <c r="K37" s="50">
        <v>0</v>
      </c>
      <c r="L37" s="50">
        <v>0</v>
      </c>
      <c r="M37" s="50">
        <v>155</v>
      </c>
      <c r="N37" s="50">
        <v>0</v>
      </c>
      <c r="O37" s="15">
        <f t="shared" si="0"/>
        <v>149</v>
      </c>
      <c r="P37" s="15">
        <f t="shared" si="1"/>
        <v>304</v>
      </c>
      <c r="R37" s="37" t="s">
        <v>85</v>
      </c>
      <c r="S37" s="35">
        <f t="shared" ref="S37:AF37" si="29">SUM(S10:S12)</f>
        <v>1436</v>
      </c>
      <c r="T37" s="16">
        <f t="shared" si="29"/>
        <v>190</v>
      </c>
      <c r="U37" s="16">
        <f t="shared" si="29"/>
        <v>101</v>
      </c>
      <c r="V37" s="16">
        <f t="shared" si="29"/>
        <v>407</v>
      </c>
      <c r="W37" s="16">
        <f t="shared" si="29"/>
        <v>7</v>
      </c>
      <c r="X37" s="16">
        <f t="shared" si="29"/>
        <v>0</v>
      </c>
      <c r="Y37" s="16">
        <f t="shared" si="29"/>
        <v>72</v>
      </c>
      <c r="Z37" s="16">
        <f t="shared" si="29"/>
        <v>24</v>
      </c>
      <c r="AA37" s="16">
        <f t="shared" si="29"/>
        <v>26</v>
      </c>
      <c r="AB37" s="16">
        <f t="shared" si="29"/>
        <v>7</v>
      </c>
      <c r="AC37" s="16">
        <f t="shared" si="29"/>
        <v>2113</v>
      </c>
      <c r="AD37" s="16">
        <f t="shared" si="29"/>
        <v>0</v>
      </c>
      <c r="AE37" s="32">
        <f t="shared" si="29"/>
        <v>2270</v>
      </c>
      <c r="AF37" s="32">
        <f t="shared" si="29"/>
        <v>4383</v>
      </c>
    </row>
    <row r="38" spans="2:32" ht="23.1" customHeight="1" x14ac:dyDescent="0.25">
      <c r="B38" s="46" t="s">
        <v>65</v>
      </c>
      <c r="C38" s="50">
        <v>115</v>
      </c>
      <c r="D38" s="50">
        <v>30</v>
      </c>
      <c r="E38" s="50">
        <v>14</v>
      </c>
      <c r="F38" s="50">
        <v>40</v>
      </c>
      <c r="G38" s="50">
        <v>0</v>
      </c>
      <c r="H38" s="50">
        <v>0</v>
      </c>
      <c r="I38" s="50">
        <v>1</v>
      </c>
      <c r="J38" s="50">
        <v>30</v>
      </c>
      <c r="K38" s="50">
        <v>0</v>
      </c>
      <c r="L38" s="50">
        <v>0</v>
      </c>
      <c r="M38" s="50">
        <v>140</v>
      </c>
      <c r="N38" s="50">
        <v>0</v>
      </c>
      <c r="O38" s="15">
        <f t="shared" si="0"/>
        <v>230</v>
      </c>
      <c r="P38" s="15">
        <f t="shared" si="1"/>
        <v>370</v>
      </c>
      <c r="R38" s="28" t="s">
        <v>86</v>
      </c>
      <c r="S38" s="16">
        <f t="shared" ref="S38:AF38" si="30">SUM(S13:S18)</f>
        <v>3346</v>
      </c>
      <c r="T38" s="16">
        <f t="shared" si="30"/>
        <v>522</v>
      </c>
      <c r="U38" s="16">
        <f t="shared" si="30"/>
        <v>226</v>
      </c>
      <c r="V38" s="16">
        <f t="shared" si="30"/>
        <v>397</v>
      </c>
      <c r="W38" s="16">
        <f t="shared" si="30"/>
        <v>10</v>
      </c>
      <c r="X38" s="16">
        <f t="shared" si="30"/>
        <v>58</v>
      </c>
      <c r="Y38" s="16">
        <f t="shared" si="30"/>
        <v>77</v>
      </c>
      <c r="Z38" s="16">
        <f t="shared" si="30"/>
        <v>71</v>
      </c>
      <c r="AA38" s="16">
        <f t="shared" si="30"/>
        <v>10</v>
      </c>
      <c r="AB38" s="16">
        <f t="shared" si="30"/>
        <v>15</v>
      </c>
      <c r="AC38" s="16">
        <f t="shared" si="30"/>
        <v>4882</v>
      </c>
      <c r="AD38" s="16">
        <f t="shared" si="30"/>
        <v>0</v>
      </c>
      <c r="AE38" s="32">
        <f t="shared" si="30"/>
        <v>4732</v>
      </c>
      <c r="AF38" s="32">
        <f t="shared" si="30"/>
        <v>9614</v>
      </c>
    </row>
    <row r="39" spans="2:32" ht="23.1" customHeight="1" x14ac:dyDescent="0.25">
      <c r="B39" s="46" t="s">
        <v>66</v>
      </c>
      <c r="C39" s="50">
        <v>130</v>
      </c>
      <c r="D39" s="50">
        <v>43</v>
      </c>
      <c r="E39" s="50">
        <v>19</v>
      </c>
      <c r="F39" s="50">
        <v>20</v>
      </c>
      <c r="G39" s="50">
        <v>0</v>
      </c>
      <c r="H39" s="50">
        <v>0</v>
      </c>
      <c r="I39" s="50">
        <v>3</v>
      </c>
      <c r="J39" s="50">
        <v>2</v>
      </c>
      <c r="K39" s="50">
        <v>0</v>
      </c>
      <c r="L39" s="50">
        <v>1</v>
      </c>
      <c r="M39" s="50">
        <v>152</v>
      </c>
      <c r="N39" s="50">
        <v>0</v>
      </c>
      <c r="O39" s="15">
        <f t="shared" si="0"/>
        <v>218</v>
      </c>
      <c r="P39" s="15">
        <f t="shared" si="1"/>
        <v>370</v>
      </c>
      <c r="R39" s="29" t="s">
        <v>87</v>
      </c>
      <c r="S39" s="16">
        <f t="shared" ref="S39:AF39" si="31">SUM(S19:S21)</f>
        <v>1450</v>
      </c>
      <c r="T39" s="16">
        <f t="shared" si="31"/>
        <v>198</v>
      </c>
      <c r="U39" s="16">
        <f t="shared" si="31"/>
        <v>174</v>
      </c>
      <c r="V39" s="16">
        <f t="shared" si="31"/>
        <v>264</v>
      </c>
      <c r="W39" s="16">
        <f t="shared" si="31"/>
        <v>10</v>
      </c>
      <c r="X39" s="16">
        <f t="shared" si="31"/>
        <v>0</v>
      </c>
      <c r="Y39" s="16">
        <f t="shared" si="31"/>
        <v>69</v>
      </c>
      <c r="Z39" s="16">
        <f t="shared" si="31"/>
        <v>88</v>
      </c>
      <c r="AA39" s="16">
        <f t="shared" si="31"/>
        <v>7</v>
      </c>
      <c r="AB39" s="16">
        <f t="shared" si="31"/>
        <v>12</v>
      </c>
      <c r="AC39" s="16">
        <f t="shared" si="31"/>
        <v>2084</v>
      </c>
      <c r="AD39" s="16">
        <f t="shared" si="31"/>
        <v>1</v>
      </c>
      <c r="AE39" s="32">
        <f t="shared" si="31"/>
        <v>2273</v>
      </c>
      <c r="AF39" s="32">
        <f t="shared" si="31"/>
        <v>4357</v>
      </c>
    </row>
    <row r="40" spans="2:32" ht="23.1" customHeight="1" x14ac:dyDescent="0.25">
      <c r="B40" s="46" t="s">
        <v>67</v>
      </c>
      <c r="C40" s="50">
        <v>105</v>
      </c>
      <c r="D40" s="50">
        <v>25</v>
      </c>
      <c r="E40" s="50">
        <v>13</v>
      </c>
      <c r="F40" s="50">
        <v>11</v>
      </c>
      <c r="G40" s="50">
        <v>0</v>
      </c>
      <c r="H40" s="50">
        <v>8</v>
      </c>
      <c r="I40" s="50">
        <v>2</v>
      </c>
      <c r="J40" s="50">
        <v>1</v>
      </c>
      <c r="K40" s="50">
        <v>0</v>
      </c>
      <c r="L40" s="50">
        <v>0</v>
      </c>
      <c r="M40" s="50">
        <v>137</v>
      </c>
      <c r="N40" s="50">
        <v>0</v>
      </c>
      <c r="O40" s="15">
        <f t="shared" si="0"/>
        <v>165</v>
      </c>
      <c r="P40" s="15">
        <f t="shared" si="1"/>
        <v>302</v>
      </c>
      <c r="R40" s="5" t="s">
        <v>17</v>
      </c>
      <c r="S40" s="16">
        <f t="shared" ref="S40:AF40" si="32">SUM(S10:S21)</f>
        <v>6232</v>
      </c>
      <c r="T40" s="16">
        <f t="shared" si="32"/>
        <v>910</v>
      </c>
      <c r="U40" s="16">
        <f t="shared" si="32"/>
        <v>501</v>
      </c>
      <c r="V40" s="16">
        <f t="shared" si="32"/>
        <v>1068</v>
      </c>
      <c r="W40" s="16">
        <f t="shared" si="32"/>
        <v>27</v>
      </c>
      <c r="X40" s="16">
        <f t="shared" si="32"/>
        <v>58</v>
      </c>
      <c r="Y40" s="16">
        <f t="shared" si="32"/>
        <v>218</v>
      </c>
      <c r="Z40" s="16">
        <f t="shared" si="32"/>
        <v>183</v>
      </c>
      <c r="AA40" s="16">
        <f t="shared" si="32"/>
        <v>43</v>
      </c>
      <c r="AB40" s="16">
        <f t="shared" si="32"/>
        <v>34</v>
      </c>
      <c r="AC40" s="16">
        <f t="shared" si="32"/>
        <v>9079</v>
      </c>
      <c r="AD40" s="16">
        <f t="shared" si="32"/>
        <v>1</v>
      </c>
      <c r="AE40" s="32">
        <f t="shared" si="32"/>
        <v>9275</v>
      </c>
      <c r="AF40" s="32">
        <f t="shared" si="32"/>
        <v>18354</v>
      </c>
    </row>
    <row r="41" spans="2:32" ht="23.1" customHeight="1" x14ac:dyDescent="0.25">
      <c r="B41" s="45" t="s">
        <v>68</v>
      </c>
      <c r="C41" s="50">
        <v>125</v>
      </c>
      <c r="D41" s="50">
        <v>6</v>
      </c>
      <c r="E41" s="50">
        <v>6</v>
      </c>
      <c r="F41" s="50">
        <v>8</v>
      </c>
      <c r="G41" s="50">
        <v>0</v>
      </c>
      <c r="H41" s="50">
        <v>0</v>
      </c>
      <c r="I41" s="50">
        <v>3</v>
      </c>
      <c r="J41" s="50">
        <v>5</v>
      </c>
      <c r="K41" s="50">
        <v>0</v>
      </c>
      <c r="L41" s="50">
        <v>0</v>
      </c>
      <c r="M41" s="50">
        <v>146</v>
      </c>
      <c r="N41" s="50">
        <v>0</v>
      </c>
      <c r="O41" s="15">
        <f t="shared" si="0"/>
        <v>153</v>
      </c>
      <c r="P41" s="15">
        <f t="shared" si="1"/>
        <v>299</v>
      </c>
      <c r="R41" s="5" t="s">
        <v>159</v>
      </c>
      <c r="S41" s="16">
        <f>SUM(S10:S33)</f>
        <v>7064</v>
      </c>
      <c r="T41" s="16">
        <f t="shared" ref="T41:AF41" si="33">SUM(T10:T33)</f>
        <v>1170</v>
      </c>
      <c r="U41" s="16">
        <f t="shared" si="33"/>
        <v>594</v>
      </c>
      <c r="V41" s="16">
        <f t="shared" si="33"/>
        <v>1549</v>
      </c>
      <c r="W41" s="16">
        <f t="shared" si="33"/>
        <v>44</v>
      </c>
      <c r="X41" s="16">
        <f t="shared" si="33"/>
        <v>67</v>
      </c>
      <c r="Y41" s="16">
        <f t="shared" si="33"/>
        <v>333</v>
      </c>
      <c r="Z41" s="16">
        <f t="shared" si="33"/>
        <v>226</v>
      </c>
      <c r="AA41" s="16">
        <f t="shared" si="33"/>
        <v>66</v>
      </c>
      <c r="AB41" s="16">
        <f t="shared" si="33"/>
        <v>41</v>
      </c>
      <c r="AC41" s="16">
        <f t="shared" si="33"/>
        <v>11497</v>
      </c>
      <c r="AD41" s="16">
        <f t="shared" si="33"/>
        <v>1</v>
      </c>
      <c r="AE41" s="32">
        <f t="shared" si="33"/>
        <v>11155</v>
      </c>
      <c r="AF41" s="32">
        <f t="shared" si="33"/>
        <v>22652</v>
      </c>
    </row>
    <row r="42" spans="2:32" ht="23.1" customHeight="1" x14ac:dyDescent="0.25">
      <c r="B42" s="46" t="s">
        <v>69</v>
      </c>
      <c r="C42" s="50">
        <v>130</v>
      </c>
      <c r="D42" s="50">
        <v>38</v>
      </c>
      <c r="E42" s="50">
        <v>6</v>
      </c>
      <c r="F42" s="50">
        <v>15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183</v>
      </c>
      <c r="N42" s="50">
        <v>0</v>
      </c>
      <c r="O42" s="15">
        <f t="shared" si="0"/>
        <v>192</v>
      </c>
      <c r="P42" s="15">
        <f t="shared" si="1"/>
        <v>375</v>
      </c>
      <c r="R42" s="5" t="s">
        <v>160</v>
      </c>
      <c r="S42" s="48">
        <f>S41/S40</f>
        <v>1.1335044929396663</v>
      </c>
      <c r="T42" s="48">
        <f t="shared" ref="T42:AF42" si="34">T41/T40</f>
        <v>1.2857142857142858</v>
      </c>
      <c r="U42" s="48">
        <f t="shared" si="34"/>
        <v>1.1856287425149701</v>
      </c>
      <c r="V42" s="48">
        <f t="shared" si="34"/>
        <v>1.4503745318352059</v>
      </c>
      <c r="W42" s="48">
        <f t="shared" si="34"/>
        <v>1.6296296296296295</v>
      </c>
      <c r="X42" s="48">
        <f t="shared" si="34"/>
        <v>1.1551724137931034</v>
      </c>
      <c r="Y42" s="48">
        <f t="shared" si="34"/>
        <v>1.5275229357798166</v>
      </c>
      <c r="Z42" s="48">
        <f t="shared" si="34"/>
        <v>1.2349726775956285</v>
      </c>
      <c r="AA42" s="48">
        <f t="shared" si="34"/>
        <v>1.5348837209302326</v>
      </c>
      <c r="AB42" s="48">
        <f t="shared" si="34"/>
        <v>1.2058823529411764</v>
      </c>
      <c r="AC42" s="48">
        <f t="shared" si="34"/>
        <v>1.2663288908470096</v>
      </c>
      <c r="AD42" s="48">
        <f t="shared" si="34"/>
        <v>1</v>
      </c>
      <c r="AE42" s="48">
        <f t="shared" si="34"/>
        <v>1.2026954177897573</v>
      </c>
      <c r="AF42" s="48">
        <f t="shared" si="34"/>
        <v>1.2341723874904653</v>
      </c>
    </row>
    <row r="43" spans="2:32" ht="23.1" customHeight="1" x14ac:dyDescent="0.25">
      <c r="B43" s="45" t="s">
        <v>70</v>
      </c>
      <c r="C43" s="50">
        <v>115</v>
      </c>
      <c r="D43" s="50">
        <v>3</v>
      </c>
      <c r="E43" s="50">
        <v>3</v>
      </c>
      <c r="F43" s="50">
        <v>8</v>
      </c>
      <c r="G43" s="50">
        <v>0</v>
      </c>
      <c r="H43" s="50">
        <v>0</v>
      </c>
      <c r="I43" s="50">
        <v>4</v>
      </c>
      <c r="J43" s="50">
        <v>2</v>
      </c>
      <c r="K43" s="50">
        <v>0</v>
      </c>
      <c r="L43" s="50">
        <v>0</v>
      </c>
      <c r="M43" s="50">
        <v>155</v>
      </c>
      <c r="N43" s="50">
        <v>0</v>
      </c>
      <c r="O43" s="15">
        <f t="shared" si="0"/>
        <v>135</v>
      </c>
      <c r="P43" s="15">
        <f t="shared" si="1"/>
        <v>290</v>
      </c>
    </row>
    <row r="44" spans="2:32" ht="23.1" customHeight="1" x14ac:dyDescent="0.25">
      <c r="B44" s="47" t="s">
        <v>71</v>
      </c>
      <c r="C44" s="50">
        <v>115</v>
      </c>
      <c r="D44" s="50">
        <v>11</v>
      </c>
      <c r="E44" s="50">
        <v>35</v>
      </c>
      <c r="F44" s="50">
        <v>0</v>
      </c>
      <c r="G44" s="50">
        <v>1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140</v>
      </c>
      <c r="N44" s="50">
        <v>0</v>
      </c>
      <c r="O44" s="15">
        <f t="shared" si="0"/>
        <v>163</v>
      </c>
      <c r="P44" s="15">
        <f t="shared" si="1"/>
        <v>303</v>
      </c>
    </row>
    <row r="45" spans="2:32" ht="23.1" customHeight="1" x14ac:dyDescent="0.25">
      <c r="B45" s="45" t="s">
        <v>72</v>
      </c>
      <c r="C45" s="50">
        <v>140</v>
      </c>
      <c r="D45" s="50">
        <v>13</v>
      </c>
      <c r="E45" s="50">
        <v>9</v>
      </c>
      <c r="F45" s="50">
        <v>0</v>
      </c>
      <c r="G45" s="50">
        <v>1</v>
      </c>
      <c r="H45" s="50">
        <v>0</v>
      </c>
      <c r="I45" s="50">
        <v>10</v>
      </c>
      <c r="J45" s="50">
        <v>0</v>
      </c>
      <c r="K45" s="50">
        <v>0</v>
      </c>
      <c r="L45" s="50">
        <v>0</v>
      </c>
      <c r="M45" s="50">
        <v>199</v>
      </c>
      <c r="N45" s="50">
        <v>0</v>
      </c>
      <c r="O45" s="15">
        <f t="shared" si="0"/>
        <v>173</v>
      </c>
      <c r="P45" s="15">
        <f t="shared" si="1"/>
        <v>372</v>
      </c>
    </row>
    <row r="46" spans="2:32" ht="23.1" customHeight="1" x14ac:dyDescent="0.25">
      <c r="B46" s="46" t="s">
        <v>73</v>
      </c>
      <c r="C46" s="50">
        <v>130</v>
      </c>
      <c r="D46" s="50">
        <v>8</v>
      </c>
      <c r="E46" s="50">
        <v>12</v>
      </c>
      <c r="F46" s="50">
        <v>5</v>
      </c>
      <c r="G46" s="50">
        <v>0</v>
      </c>
      <c r="H46" s="50">
        <v>0</v>
      </c>
      <c r="I46" s="50">
        <v>4</v>
      </c>
      <c r="J46" s="50">
        <v>3</v>
      </c>
      <c r="K46" s="50">
        <v>1</v>
      </c>
      <c r="L46" s="50">
        <v>0</v>
      </c>
      <c r="M46" s="50">
        <v>230</v>
      </c>
      <c r="N46" s="50">
        <v>0</v>
      </c>
      <c r="O46" s="15">
        <f t="shared" si="0"/>
        <v>163</v>
      </c>
      <c r="P46" s="15">
        <f t="shared" si="1"/>
        <v>393</v>
      </c>
      <c r="R46" s="8"/>
      <c r="T46"/>
    </row>
    <row r="47" spans="2:32" ht="23.1" customHeight="1" x14ac:dyDescent="0.25">
      <c r="B47" s="46" t="s">
        <v>74</v>
      </c>
      <c r="C47" s="50">
        <v>110</v>
      </c>
      <c r="D47" s="50">
        <v>6</v>
      </c>
      <c r="E47" s="50">
        <v>4</v>
      </c>
      <c r="F47" s="50">
        <v>45</v>
      </c>
      <c r="G47" s="50">
        <v>1</v>
      </c>
      <c r="H47" s="50">
        <v>0</v>
      </c>
      <c r="I47" s="50">
        <v>5</v>
      </c>
      <c r="J47" s="50">
        <v>4</v>
      </c>
      <c r="K47" s="50">
        <v>0</v>
      </c>
      <c r="L47" s="50">
        <v>0</v>
      </c>
      <c r="M47" s="50">
        <v>145</v>
      </c>
      <c r="N47" s="50">
        <v>0</v>
      </c>
      <c r="O47" s="15">
        <f t="shared" si="0"/>
        <v>175</v>
      </c>
      <c r="P47" s="15">
        <f t="shared" si="1"/>
        <v>320</v>
      </c>
      <c r="R47" s="8"/>
      <c r="T47"/>
    </row>
    <row r="48" spans="2:32" ht="23.1" customHeight="1" x14ac:dyDescent="0.25">
      <c r="B48" s="46" t="s">
        <v>75</v>
      </c>
      <c r="C48" s="50">
        <v>125</v>
      </c>
      <c r="D48" s="50">
        <v>50</v>
      </c>
      <c r="E48" s="50">
        <v>1</v>
      </c>
      <c r="F48" s="50">
        <v>30</v>
      </c>
      <c r="G48" s="50">
        <v>1</v>
      </c>
      <c r="H48" s="50">
        <v>0</v>
      </c>
      <c r="I48" s="50">
        <v>4</v>
      </c>
      <c r="J48" s="50">
        <v>5</v>
      </c>
      <c r="K48" s="50">
        <v>0</v>
      </c>
      <c r="L48" s="50">
        <v>0</v>
      </c>
      <c r="M48" s="50">
        <v>170</v>
      </c>
      <c r="N48" s="50">
        <v>0</v>
      </c>
      <c r="O48" s="15">
        <f t="shared" si="0"/>
        <v>216</v>
      </c>
      <c r="P48" s="15">
        <f t="shared" si="1"/>
        <v>386</v>
      </c>
      <c r="R48" s="8"/>
      <c r="T48"/>
    </row>
    <row r="49" spans="2:20" ht="23.1" customHeight="1" x14ac:dyDescent="0.25">
      <c r="B49" s="45" t="s">
        <v>76</v>
      </c>
      <c r="C49" s="50">
        <v>110</v>
      </c>
      <c r="D49" s="50">
        <v>15</v>
      </c>
      <c r="E49" s="50">
        <v>7</v>
      </c>
      <c r="F49" s="50">
        <v>5</v>
      </c>
      <c r="G49" s="50">
        <v>1</v>
      </c>
      <c r="H49" s="50">
        <v>0</v>
      </c>
      <c r="I49" s="50">
        <v>1</v>
      </c>
      <c r="J49" s="50">
        <v>3</v>
      </c>
      <c r="K49" s="50">
        <v>0</v>
      </c>
      <c r="L49" s="50">
        <v>0</v>
      </c>
      <c r="M49" s="50">
        <v>174</v>
      </c>
      <c r="N49" s="50">
        <v>0</v>
      </c>
      <c r="O49" s="15">
        <f t="shared" si="0"/>
        <v>142</v>
      </c>
      <c r="P49" s="15">
        <f t="shared" si="1"/>
        <v>316</v>
      </c>
      <c r="R49" s="8"/>
      <c r="T49"/>
    </row>
    <row r="50" spans="2:20" ht="23.1" customHeight="1" x14ac:dyDescent="0.25">
      <c r="B50" s="46" t="s">
        <v>77</v>
      </c>
      <c r="C50" s="50">
        <v>140</v>
      </c>
      <c r="D50" s="50">
        <v>30</v>
      </c>
      <c r="E50" s="50">
        <v>40</v>
      </c>
      <c r="F50" s="50">
        <v>35</v>
      </c>
      <c r="G50" s="50">
        <v>3</v>
      </c>
      <c r="H50" s="50">
        <v>0</v>
      </c>
      <c r="I50" s="50">
        <v>4</v>
      </c>
      <c r="J50" s="50">
        <v>2</v>
      </c>
      <c r="K50" s="50">
        <v>0</v>
      </c>
      <c r="L50" s="50">
        <v>0</v>
      </c>
      <c r="M50" s="50">
        <v>190</v>
      </c>
      <c r="N50" s="50">
        <v>0</v>
      </c>
      <c r="O50" s="15">
        <f t="shared" si="0"/>
        <v>254</v>
      </c>
      <c r="P50" s="15">
        <f t="shared" si="1"/>
        <v>444</v>
      </c>
      <c r="R50" s="8"/>
      <c r="T50"/>
    </row>
    <row r="51" spans="2:20" ht="23.1" customHeight="1" x14ac:dyDescent="0.25">
      <c r="B51" s="46" t="s">
        <v>78</v>
      </c>
      <c r="C51" s="50">
        <v>125</v>
      </c>
      <c r="D51" s="50">
        <v>4</v>
      </c>
      <c r="E51" s="50">
        <v>30</v>
      </c>
      <c r="F51" s="50">
        <v>37</v>
      </c>
      <c r="G51" s="50">
        <v>0</v>
      </c>
      <c r="H51" s="50">
        <v>0</v>
      </c>
      <c r="I51" s="50">
        <v>2</v>
      </c>
      <c r="J51" s="50">
        <v>1</v>
      </c>
      <c r="K51" s="50">
        <v>1</v>
      </c>
      <c r="L51" s="50">
        <v>2</v>
      </c>
      <c r="M51" s="50">
        <v>140</v>
      </c>
      <c r="N51" s="50">
        <v>0</v>
      </c>
      <c r="O51" s="15">
        <f t="shared" si="0"/>
        <v>202</v>
      </c>
      <c r="P51" s="15">
        <f t="shared" si="1"/>
        <v>342</v>
      </c>
      <c r="R51" s="8"/>
      <c r="T51"/>
    </row>
    <row r="52" spans="2:20" ht="23.1" customHeight="1" x14ac:dyDescent="0.25">
      <c r="B52" s="46" t="s">
        <v>79</v>
      </c>
      <c r="C52" s="50">
        <v>135</v>
      </c>
      <c r="D52" s="50">
        <v>6</v>
      </c>
      <c r="E52" s="50">
        <v>5</v>
      </c>
      <c r="F52" s="50">
        <v>21</v>
      </c>
      <c r="G52" s="50">
        <v>1</v>
      </c>
      <c r="H52" s="50">
        <v>0</v>
      </c>
      <c r="I52" s="50">
        <v>10</v>
      </c>
      <c r="J52" s="50">
        <v>4</v>
      </c>
      <c r="K52" s="50">
        <v>0</v>
      </c>
      <c r="L52" s="50">
        <v>3</v>
      </c>
      <c r="M52" s="50">
        <v>220</v>
      </c>
      <c r="N52" s="50">
        <v>0</v>
      </c>
      <c r="O52" s="15">
        <f t="shared" si="0"/>
        <v>185</v>
      </c>
      <c r="P52" s="15">
        <f t="shared" si="1"/>
        <v>405</v>
      </c>
      <c r="R52" s="8"/>
      <c r="T52"/>
    </row>
    <row r="53" spans="2:20" ht="23.1" customHeight="1" x14ac:dyDescent="0.25">
      <c r="B53" s="45" t="s">
        <v>80</v>
      </c>
      <c r="C53" s="50">
        <v>110</v>
      </c>
      <c r="D53" s="50">
        <v>15</v>
      </c>
      <c r="E53" s="50">
        <v>11</v>
      </c>
      <c r="F53" s="50">
        <v>15</v>
      </c>
      <c r="G53" s="50">
        <v>0</v>
      </c>
      <c r="H53" s="50">
        <v>0</v>
      </c>
      <c r="I53" s="50">
        <v>6</v>
      </c>
      <c r="J53" s="50">
        <v>4</v>
      </c>
      <c r="K53" s="50">
        <v>5</v>
      </c>
      <c r="L53" s="50">
        <v>2</v>
      </c>
      <c r="M53" s="50">
        <v>140</v>
      </c>
      <c r="N53" s="50">
        <v>0</v>
      </c>
      <c r="O53" s="15">
        <f t="shared" si="0"/>
        <v>168</v>
      </c>
      <c r="P53" s="15">
        <f t="shared" si="1"/>
        <v>308</v>
      </c>
      <c r="R53" s="8"/>
      <c r="T53"/>
    </row>
    <row r="54" spans="2:20" ht="23.1" customHeight="1" x14ac:dyDescent="0.25">
      <c r="B54" s="45" t="s">
        <v>81</v>
      </c>
      <c r="C54" s="50">
        <v>110</v>
      </c>
      <c r="D54" s="50">
        <v>5</v>
      </c>
      <c r="E54" s="50">
        <v>13</v>
      </c>
      <c r="F54" s="50">
        <v>10</v>
      </c>
      <c r="G54" s="50">
        <v>1</v>
      </c>
      <c r="H54" s="50">
        <v>0</v>
      </c>
      <c r="I54" s="50">
        <v>4</v>
      </c>
      <c r="J54" s="50">
        <v>2</v>
      </c>
      <c r="K54" s="50">
        <v>0</v>
      </c>
      <c r="L54" s="50">
        <v>0</v>
      </c>
      <c r="M54" s="50">
        <v>210</v>
      </c>
      <c r="N54" s="50">
        <v>0</v>
      </c>
      <c r="O54" s="15">
        <f t="shared" si="0"/>
        <v>145</v>
      </c>
      <c r="P54" s="15">
        <f t="shared" si="1"/>
        <v>355</v>
      </c>
      <c r="R54" s="8"/>
      <c r="T54"/>
    </row>
    <row r="55" spans="2:20" ht="23.1" customHeight="1" x14ac:dyDescent="0.25">
      <c r="B55" s="45" t="s">
        <v>82</v>
      </c>
      <c r="C55" s="50">
        <v>120</v>
      </c>
      <c r="D55" s="50">
        <v>20</v>
      </c>
      <c r="E55" s="50">
        <v>26</v>
      </c>
      <c r="F55" s="50">
        <v>25</v>
      </c>
      <c r="G55" s="50">
        <v>0</v>
      </c>
      <c r="H55" s="50">
        <v>0</v>
      </c>
      <c r="I55" s="50">
        <v>6</v>
      </c>
      <c r="J55" s="50">
        <v>45</v>
      </c>
      <c r="K55" s="50">
        <v>0</v>
      </c>
      <c r="L55" s="50">
        <v>0</v>
      </c>
      <c r="M55" s="50">
        <v>135</v>
      </c>
      <c r="N55" s="50">
        <v>0</v>
      </c>
      <c r="O55" s="15">
        <f t="shared" si="0"/>
        <v>242</v>
      </c>
      <c r="P55" s="15">
        <f t="shared" si="1"/>
        <v>377</v>
      </c>
      <c r="R55" s="8"/>
      <c r="T55"/>
    </row>
    <row r="56" spans="2:20" ht="23.1" customHeight="1" x14ac:dyDescent="0.25">
      <c r="B56" s="45" t="s">
        <v>83</v>
      </c>
      <c r="C56" s="50">
        <v>135</v>
      </c>
      <c r="D56" s="50">
        <v>14</v>
      </c>
      <c r="E56" s="50">
        <v>13</v>
      </c>
      <c r="F56" s="50">
        <v>11</v>
      </c>
      <c r="G56" s="50">
        <v>1</v>
      </c>
      <c r="H56" s="50">
        <v>0</v>
      </c>
      <c r="I56" s="50">
        <v>12</v>
      </c>
      <c r="J56" s="50">
        <v>12</v>
      </c>
      <c r="K56" s="50">
        <v>0</v>
      </c>
      <c r="L56" s="50">
        <v>4</v>
      </c>
      <c r="M56" s="50">
        <v>180</v>
      </c>
      <c r="N56" s="50">
        <v>1</v>
      </c>
      <c r="O56" s="15">
        <f t="shared" si="0"/>
        <v>203</v>
      </c>
      <c r="P56" s="15">
        <f t="shared" si="1"/>
        <v>383</v>
      </c>
      <c r="R56" s="8"/>
      <c r="T56"/>
    </row>
    <row r="57" spans="2:20" ht="23.1" customHeight="1" x14ac:dyDescent="0.25">
      <c r="B57" s="45" t="s">
        <v>84</v>
      </c>
      <c r="C57" s="50">
        <v>100</v>
      </c>
      <c r="D57" s="50">
        <v>25</v>
      </c>
      <c r="E57" s="50">
        <v>12</v>
      </c>
      <c r="F57" s="50">
        <v>25</v>
      </c>
      <c r="G57" s="50">
        <v>1</v>
      </c>
      <c r="H57" s="50">
        <v>0</v>
      </c>
      <c r="I57" s="50">
        <v>11</v>
      </c>
      <c r="J57" s="50">
        <v>3</v>
      </c>
      <c r="K57" s="50">
        <v>0</v>
      </c>
      <c r="L57" s="50">
        <v>1</v>
      </c>
      <c r="M57" s="50">
        <v>150</v>
      </c>
      <c r="N57" s="50">
        <v>0</v>
      </c>
      <c r="O57" s="15">
        <f t="shared" si="0"/>
        <v>178</v>
      </c>
      <c r="P57" s="15">
        <f t="shared" si="1"/>
        <v>328</v>
      </c>
      <c r="R57" s="8"/>
      <c r="T57"/>
    </row>
    <row r="58" spans="2:20" ht="23.1" customHeight="1" x14ac:dyDescent="0.25">
      <c r="B58" s="45" t="s">
        <v>99</v>
      </c>
      <c r="C58" s="50">
        <v>40</v>
      </c>
      <c r="D58" s="50">
        <v>8</v>
      </c>
      <c r="E58" s="50">
        <v>7</v>
      </c>
      <c r="F58" s="50">
        <v>25</v>
      </c>
      <c r="G58" s="50">
        <v>1</v>
      </c>
      <c r="H58" s="50">
        <v>0</v>
      </c>
      <c r="I58" s="50">
        <v>6</v>
      </c>
      <c r="J58" s="50">
        <v>2</v>
      </c>
      <c r="K58" s="50">
        <v>0</v>
      </c>
      <c r="L58" s="50">
        <v>1</v>
      </c>
      <c r="M58" s="50">
        <v>205</v>
      </c>
      <c r="N58" s="50">
        <v>0</v>
      </c>
      <c r="O58" s="15">
        <f t="shared" si="0"/>
        <v>90</v>
      </c>
      <c r="P58" s="15">
        <f t="shared" si="1"/>
        <v>295</v>
      </c>
      <c r="R58" s="8"/>
      <c r="T58"/>
    </row>
    <row r="59" spans="2:20" ht="23.1" customHeight="1" x14ac:dyDescent="0.25">
      <c r="B59" s="45" t="s">
        <v>100</v>
      </c>
      <c r="C59" s="50">
        <v>60</v>
      </c>
      <c r="D59" s="50">
        <v>15</v>
      </c>
      <c r="E59" s="50">
        <v>18</v>
      </c>
      <c r="F59" s="50">
        <v>40</v>
      </c>
      <c r="G59" s="50">
        <v>3</v>
      </c>
      <c r="H59" s="50">
        <v>0</v>
      </c>
      <c r="I59" s="50">
        <v>10</v>
      </c>
      <c r="J59" s="50">
        <v>3</v>
      </c>
      <c r="K59" s="50">
        <v>0</v>
      </c>
      <c r="L59" s="50">
        <v>0</v>
      </c>
      <c r="M59" s="50">
        <v>145</v>
      </c>
      <c r="N59" s="50">
        <v>0</v>
      </c>
      <c r="O59" s="15">
        <f t="shared" si="0"/>
        <v>149</v>
      </c>
      <c r="P59" s="15">
        <f t="shared" si="1"/>
        <v>294</v>
      </c>
      <c r="R59" s="8"/>
      <c r="T59"/>
    </row>
    <row r="60" spans="2:20" ht="23.1" customHeight="1" x14ac:dyDescent="0.25">
      <c r="B60" s="45" t="s">
        <v>101</v>
      </c>
      <c r="C60" s="50">
        <v>60</v>
      </c>
      <c r="D60" s="50">
        <v>15</v>
      </c>
      <c r="E60" s="50">
        <v>7</v>
      </c>
      <c r="F60" s="50">
        <v>30</v>
      </c>
      <c r="G60" s="50">
        <v>2</v>
      </c>
      <c r="H60" s="50">
        <v>0</v>
      </c>
      <c r="I60" s="50">
        <v>6</v>
      </c>
      <c r="J60" s="50">
        <v>0</v>
      </c>
      <c r="K60" s="50">
        <v>0</v>
      </c>
      <c r="L60" s="50">
        <v>1</v>
      </c>
      <c r="M60" s="50">
        <v>110</v>
      </c>
      <c r="N60" s="50">
        <v>0</v>
      </c>
      <c r="O60" s="15">
        <f t="shared" si="0"/>
        <v>121</v>
      </c>
      <c r="P60" s="15">
        <f t="shared" si="1"/>
        <v>231</v>
      </c>
      <c r="R60" s="8"/>
      <c r="T60"/>
    </row>
    <row r="61" spans="2:20" ht="23.1" customHeight="1" x14ac:dyDescent="0.25">
      <c r="B61" s="45" t="s">
        <v>102</v>
      </c>
      <c r="C61" s="50">
        <v>42</v>
      </c>
      <c r="D61" s="50">
        <v>17</v>
      </c>
      <c r="E61" s="50">
        <v>6</v>
      </c>
      <c r="F61" s="50">
        <v>25</v>
      </c>
      <c r="G61" s="50">
        <v>0</v>
      </c>
      <c r="H61" s="50">
        <v>0</v>
      </c>
      <c r="I61" s="50">
        <v>2</v>
      </c>
      <c r="J61" s="50">
        <v>7</v>
      </c>
      <c r="K61" s="50">
        <v>0</v>
      </c>
      <c r="L61" s="50">
        <v>3</v>
      </c>
      <c r="M61" s="50">
        <v>110</v>
      </c>
      <c r="N61" s="50">
        <v>0</v>
      </c>
      <c r="O61" s="15">
        <f t="shared" si="0"/>
        <v>102</v>
      </c>
      <c r="P61" s="15">
        <f t="shared" si="1"/>
        <v>212</v>
      </c>
      <c r="R61" s="8"/>
      <c r="T61"/>
    </row>
    <row r="62" spans="2:20" ht="23.1" customHeight="1" x14ac:dyDescent="0.25">
      <c r="B62" s="45" t="s">
        <v>107</v>
      </c>
      <c r="C62" s="50">
        <v>45</v>
      </c>
      <c r="D62" s="50">
        <v>8</v>
      </c>
      <c r="E62" s="50">
        <v>3</v>
      </c>
      <c r="F62" s="50">
        <v>60</v>
      </c>
      <c r="G62" s="50">
        <v>2</v>
      </c>
      <c r="H62" s="50">
        <v>0</v>
      </c>
      <c r="I62" s="50">
        <v>10</v>
      </c>
      <c r="J62" s="50">
        <v>2</v>
      </c>
      <c r="K62" s="50">
        <v>2</v>
      </c>
      <c r="L62" s="50">
        <v>0</v>
      </c>
      <c r="M62" s="50">
        <v>125</v>
      </c>
      <c r="N62" s="50">
        <v>0</v>
      </c>
      <c r="O62" s="15">
        <f t="shared" si="0"/>
        <v>132</v>
      </c>
      <c r="P62" s="15">
        <f t="shared" si="1"/>
        <v>257</v>
      </c>
      <c r="R62" s="8"/>
      <c r="T62"/>
    </row>
    <row r="63" spans="2:20" ht="23.1" customHeight="1" x14ac:dyDescent="0.25">
      <c r="B63" s="45" t="s">
        <v>108</v>
      </c>
      <c r="C63" s="50">
        <v>32</v>
      </c>
      <c r="D63" s="50">
        <v>10</v>
      </c>
      <c r="E63" s="50">
        <v>6</v>
      </c>
      <c r="F63" s="50">
        <v>52</v>
      </c>
      <c r="G63" s="50">
        <v>0</v>
      </c>
      <c r="H63" s="50">
        <v>0</v>
      </c>
      <c r="I63" s="50">
        <v>8</v>
      </c>
      <c r="J63" s="50">
        <v>3</v>
      </c>
      <c r="K63" s="50">
        <v>1</v>
      </c>
      <c r="L63" s="50">
        <v>0</v>
      </c>
      <c r="M63" s="50">
        <v>105</v>
      </c>
      <c r="N63" s="50">
        <v>0</v>
      </c>
      <c r="O63" s="15">
        <f t="shared" si="0"/>
        <v>112</v>
      </c>
      <c r="P63" s="15">
        <f t="shared" si="1"/>
        <v>217</v>
      </c>
      <c r="R63" s="8"/>
      <c r="T63"/>
    </row>
    <row r="64" spans="2:20" ht="23.1" customHeight="1" x14ac:dyDescent="0.25">
      <c r="B64" s="45" t="s">
        <v>109</v>
      </c>
      <c r="C64" s="50">
        <v>58</v>
      </c>
      <c r="D64" s="50">
        <v>3</v>
      </c>
      <c r="E64" s="50">
        <v>4</v>
      </c>
      <c r="F64" s="50">
        <v>39</v>
      </c>
      <c r="G64" s="50">
        <v>3</v>
      </c>
      <c r="H64" s="50">
        <v>0</v>
      </c>
      <c r="I64" s="50">
        <v>6</v>
      </c>
      <c r="J64" s="50">
        <v>0</v>
      </c>
      <c r="K64" s="50">
        <v>0</v>
      </c>
      <c r="L64" s="50">
        <v>0</v>
      </c>
      <c r="M64" s="50">
        <v>140</v>
      </c>
      <c r="N64" s="50">
        <v>0</v>
      </c>
      <c r="O64" s="15">
        <f t="shared" si="0"/>
        <v>113</v>
      </c>
      <c r="P64" s="15">
        <f t="shared" si="1"/>
        <v>253</v>
      </c>
      <c r="R64" s="8"/>
      <c r="T64"/>
    </row>
    <row r="65" spans="2:20" ht="23.1" customHeight="1" x14ac:dyDescent="0.25">
      <c r="B65" s="45" t="s">
        <v>158</v>
      </c>
      <c r="C65" s="50">
        <v>42</v>
      </c>
      <c r="D65" s="50">
        <v>10</v>
      </c>
      <c r="E65" s="50">
        <v>1</v>
      </c>
      <c r="F65" s="50">
        <v>26</v>
      </c>
      <c r="G65" s="50">
        <v>0</v>
      </c>
      <c r="H65" s="50">
        <v>8</v>
      </c>
      <c r="I65" s="50">
        <v>8</v>
      </c>
      <c r="J65" s="50">
        <v>1</v>
      </c>
      <c r="K65" s="50">
        <v>0</v>
      </c>
      <c r="L65" s="50">
        <v>0</v>
      </c>
      <c r="M65" s="50">
        <v>100</v>
      </c>
      <c r="N65" s="50">
        <v>0</v>
      </c>
      <c r="O65" s="15">
        <f t="shared" si="0"/>
        <v>96</v>
      </c>
      <c r="P65" s="15">
        <f t="shared" si="1"/>
        <v>196</v>
      </c>
      <c r="R65" s="8"/>
      <c r="T65"/>
    </row>
    <row r="66" spans="2:20" ht="23.1" customHeight="1" x14ac:dyDescent="0.25">
      <c r="B66" s="45" t="s">
        <v>103</v>
      </c>
      <c r="C66" s="50">
        <v>31</v>
      </c>
      <c r="D66" s="50">
        <v>8</v>
      </c>
      <c r="E66" s="50">
        <v>2</v>
      </c>
      <c r="F66" s="50">
        <v>38</v>
      </c>
      <c r="G66" s="50">
        <v>1</v>
      </c>
      <c r="H66" s="50">
        <v>0</v>
      </c>
      <c r="I66" s="50">
        <v>4</v>
      </c>
      <c r="J66" s="50">
        <v>2</v>
      </c>
      <c r="K66" s="50">
        <v>1</v>
      </c>
      <c r="L66" s="50">
        <v>1</v>
      </c>
      <c r="M66" s="50">
        <v>90</v>
      </c>
      <c r="N66" s="50">
        <v>0</v>
      </c>
      <c r="O66" s="15">
        <f t="shared" si="0"/>
        <v>88</v>
      </c>
      <c r="P66" s="15">
        <f t="shared" si="1"/>
        <v>178</v>
      </c>
      <c r="R66" s="8"/>
      <c r="T66"/>
    </row>
    <row r="67" spans="2:20" ht="23.1" customHeight="1" x14ac:dyDescent="0.25">
      <c r="B67" s="45" t="s">
        <v>104</v>
      </c>
      <c r="C67" s="50">
        <v>49</v>
      </c>
      <c r="D67" s="50">
        <v>6</v>
      </c>
      <c r="E67" s="50">
        <v>3</v>
      </c>
      <c r="F67" s="50">
        <v>30</v>
      </c>
      <c r="G67" s="50">
        <v>2</v>
      </c>
      <c r="H67" s="50">
        <v>0</v>
      </c>
      <c r="I67" s="50">
        <v>3</v>
      </c>
      <c r="J67" s="50">
        <v>1</v>
      </c>
      <c r="K67" s="50">
        <v>1</v>
      </c>
      <c r="L67" s="50">
        <v>0</v>
      </c>
      <c r="M67" s="50">
        <v>120</v>
      </c>
      <c r="N67" s="50">
        <v>0</v>
      </c>
      <c r="O67" s="15">
        <f t="shared" si="0"/>
        <v>95</v>
      </c>
      <c r="P67" s="15">
        <f t="shared" si="1"/>
        <v>215</v>
      </c>
      <c r="R67" s="8"/>
      <c r="T67"/>
    </row>
    <row r="68" spans="2:20" ht="23.1" customHeight="1" x14ac:dyDescent="0.25">
      <c r="B68" s="45" t="s">
        <v>105</v>
      </c>
      <c r="C68" s="50">
        <v>38</v>
      </c>
      <c r="D68" s="50">
        <v>7</v>
      </c>
      <c r="E68" s="50">
        <v>3</v>
      </c>
      <c r="F68" s="50">
        <v>32</v>
      </c>
      <c r="G68" s="50">
        <v>1</v>
      </c>
      <c r="H68" s="50">
        <v>0</v>
      </c>
      <c r="I68" s="50">
        <v>11</v>
      </c>
      <c r="J68" s="50">
        <v>3</v>
      </c>
      <c r="K68" s="50">
        <v>0</v>
      </c>
      <c r="L68" s="50">
        <v>0</v>
      </c>
      <c r="M68" s="50">
        <v>85</v>
      </c>
      <c r="N68" s="50">
        <v>0</v>
      </c>
      <c r="O68" s="15">
        <f t="shared" si="0"/>
        <v>95</v>
      </c>
      <c r="P68" s="15">
        <f t="shared" si="1"/>
        <v>180</v>
      </c>
      <c r="R68" s="8"/>
      <c r="T68"/>
    </row>
    <row r="69" spans="2:20" ht="23.1" customHeight="1" x14ac:dyDescent="0.25">
      <c r="B69" s="45" t="s">
        <v>106</v>
      </c>
      <c r="C69" s="50">
        <v>28</v>
      </c>
      <c r="D69" s="50">
        <v>12</v>
      </c>
      <c r="E69" s="50">
        <v>2</v>
      </c>
      <c r="F69" s="50">
        <v>27</v>
      </c>
      <c r="G69" s="50">
        <v>0</v>
      </c>
      <c r="H69" s="50">
        <v>1</v>
      </c>
      <c r="I69" s="50">
        <v>7</v>
      </c>
      <c r="J69" s="50">
        <v>3</v>
      </c>
      <c r="K69" s="50">
        <v>0</v>
      </c>
      <c r="L69" s="50">
        <v>0</v>
      </c>
      <c r="M69" s="50">
        <v>65</v>
      </c>
      <c r="N69" s="50">
        <v>0</v>
      </c>
      <c r="O69" s="15">
        <f t="shared" si="0"/>
        <v>80</v>
      </c>
      <c r="P69" s="15">
        <f t="shared" si="1"/>
        <v>145</v>
      </c>
      <c r="R69" s="8"/>
      <c r="T69"/>
    </row>
    <row r="70" spans="2:20" ht="23.1" customHeight="1" x14ac:dyDescent="0.25">
      <c r="B70" s="45" t="s">
        <v>110</v>
      </c>
      <c r="C70" s="50">
        <v>30</v>
      </c>
      <c r="D70" s="50">
        <v>17</v>
      </c>
      <c r="E70" s="50">
        <v>1</v>
      </c>
      <c r="F70" s="50">
        <v>17</v>
      </c>
      <c r="G70" s="50">
        <v>0</v>
      </c>
      <c r="H70" s="50">
        <v>0</v>
      </c>
      <c r="I70" s="50">
        <v>4</v>
      </c>
      <c r="J70" s="50">
        <v>0</v>
      </c>
      <c r="K70" s="50">
        <v>1</v>
      </c>
      <c r="L70" s="50">
        <v>0</v>
      </c>
      <c r="M70" s="50">
        <v>75</v>
      </c>
      <c r="N70" s="50">
        <v>0</v>
      </c>
      <c r="O70" s="15">
        <f t="shared" si="0"/>
        <v>70</v>
      </c>
      <c r="P70" s="15">
        <f t="shared" si="1"/>
        <v>145</v>
      </c>
      <c r="R70" s="8"/>
      <c r="T70"/>
    </row>
    <row r="71" spans="2:20" ht="23.1" customHeight="1" x14ac:dyDescent="0.25">
      <c r="B71" s="45" t="s">
        <v>111</v>
      </c>
      <c r="C71" s="50">
        <v>21</v>
      </c>
      <c r="D71" s="50">
        <v>19</v>
      </c>
      <c r="E71" s="50">
        <v>0</v>
      </c>
      <c r="F71" s="50">
        <v>2</v>
      </c>
      <c r="G71" s="50">
        <v>0</v>
      </c>
      <c r="H71" s="50">
        <v>0</v>
      </c>
      <c r="I71" s="50">
        <v>2</v>
      </c>
      <c r="J71" s="50">
        <v>0</v>
      </c>
      <c r="K71" s="50">
        <v>0</v>
      </c>
      <c r="L71" s="50">
        <v>0</v>
      </c>
      <c r="M71" s="50">
        <v>65</v>
      </c>
      <c r="N71" s="50">
        <v>0</v>
      </c>
      <c r="O71" s="15">
        <f t="shared" si="0"/>
        <v>44</v>
      </c>
      <c r="P71" s="15">
        <f t="shared" si="1"/>
        <v>109</v>
      </c>
      <c r="R71" s="8"/>
      <c r="T71"/>
    </row>
    <row r="72" spans="2:20" ht="23.1" customHeight="1" x14ac:dyDescent="0.25">
      <c r="B72" s="45" t="s">
        <v>112</v>
      </c>
      <c r="C72" s="50">
        <v>23</v>
      </c>
      <c r="D72" s="50">
        <v>17</v>
      </c>
      <c r="E72" s="50">
        <v>2</v>
      </c>
      <c r="F72" s="50">
        <v>4</v>
      </c>
      <c r="G72" s="50">
        <v>0</v>
      </c>
      <c r="H72" s="50">
        <v>0</v>
      </c>
      <c r="I72" s="50">
        <v>1</v>
      </c>
      <c r="J72" s="50">
        <v>2</v>
      </c>
      <c r="K72" s="50">
        <v>0</v>
      </c>
      <c r="L72" s="50">
        <v>0</v>
      </c>
      <c r="M72" s="50">
        <v>68</v>
      </c>
      <c r="N72" s="50">
        <v>0</v>
      </c>
      <c r="O72" s="15">
        <f t="shared" si="0"/>
        <v>49</v>
      </c>
      <c r="P72" s="15">
        <f t="shared" si="1"/>
        <v>117</v>
      </c>
      <c r="R72" s="8"/>
      <c r="T72"/>
    </row>
    <row r="73" spans="2:20" ht="23.1" customHeight="1" x14ac:dyDescent="0.25">
      <c r="B73" s="45" t="s">
        <v>113</v>
      </c>
      <c r="C73" s="50">
        <v>38</v>
      </c>
      <c r="D73" s="50">
        <v>7</v>
      </c>
      <c r="E73" s="50">
        <v>3</v>
      </c>
      <c r="F73" s="50">
        <v>4</v>
      </c>
      <c r="G73" s="50">
        <v>1</v>
      </c>
      <c r="H73" s="50">
        <v>0</v>
      </c>
      <c r="I73" s="50">
        <v>4</v>
      </c>
      <c r="J73" s="50">
        <v>2</v>
      </c>
      <c r="K73" s="50">
        <v>0</v>
      </c>
      <c r="L73" s="50">
        <v>0</v>
      </c>
      <c r="M73" s="50">
        <v>60</v>
      </c>
      <c r="N73" s="50">
        <v>0</v>
      </c>
      <c r="O73" s="15">
        <f t="shared" si="0"/>
        <v>59</v>
      </c>
      <c r="P73" s="15">
        <f t="shared" si="1"/>
        <v>119</v>
      </c>
      <c r="R73" s="8"/>
      <c r="T73"/>
    </row>
    <row r="74" spans="2:20" ht="23.1" customHeight="1" x14ac:dyDescent="0.25">
      <c r="B74" s="45" t="s">
        <v>114</v>
      </c>
      <c r="C74" s="50">
        <v>18</v>
      </c>
      <c r="D74" s="50">
        <v>10</v>
      </c>
      <c r="E74" s="50">
        <v>0</v>
      </c>
      <c r="F74" s="50">
        <v>5</v>
      </c>
      <c r="G74" s="50">
        <v>0</v>
      </c>
      <c r="H74" s="50">
        <v>0</v>
      </c>
      <c r="I74" s="50">
        <v>3</v>
      </c>
      <c r="J74" s="50">
        <v>0</v>
      </c>
      <c r="K74" s="50">
        <v>2</v>
      </c>
      <c r="L74" s="50">
        <v>0</v>
      </c>
      <c r="M74" s="50">
        <v>80</v>
      </c>
      <c r="N74" s="50">
        <v>0</v>
      </c>
      <c r="O74" s="15">
        <f t="shared" ref="O74:O105" si="35">SUM(C74:L74,N74)</f>
        <v>38</v>
      </c>
      <c r="P74" s="15">
        <f t="shared" ref="P74:P105" si="36">SUM(C74:N74)</f>
        <v>118</v>
      </c>
      <c r="R74" s="8"/>
      <c r="T74"/>
    </row>
    <row r="75" spans="2:20" ht="23.1" customHeight="1" x14ac:dyDescent="0.25">
      <c r="B75" s="45" t="s">
        <v>115</v>
      </c>
      <c r="C75" s="50">
        <v>13</v>
      </c>
      <c r="D75" s="50">
        <v>8</v>
      </c>
      <c r="E75" s="50">
        <v>6</v>
      </c>
      <c r="F75" s="50">
        <v>1</v>
      </c>
      <c r="G75" s="50">
        <v>0</v>
      </c>
      <c r="H75" s="50">
        <v>0</v>
      </c>
      <c r="I75" s="50">
        <v>1</v>
      </c>
      <c r="J75" s="50">
        <v>0</v>
      </c>
      <c r="K75" s="50">
        <v>2</v>
      </c>
      <c r="L75" s="50">
        <v>0</v>
      </c>
      <c r="M75" s="50">
        <v>68</v>
      </c>
      <c r="N75" s="50">
        <v>0</v>
      </c>
      <c r="O75" s="15">
        <f t="shared" si="35"/>
        <v>31</v>
      </c>
      <c r="P75" s="15">
        <f t="shared" si="36"/>
        <v>99</v>
      </c>
      <c r="R75" s="8"/>
      <c r="T75"/>
    </row>
    <row r="76" spans="2:20" ht="23.1" customHeight="1" x14ac:dyDescent="0.25">
      <c r="B76" s="45" t="s">
        <v>116</v>
      </c>
      <c r="C76" s="50">
        <v>18</v>
      </c>
      <c r="D76" s="50">
        <v>7</v>
      </c>
      <c r="E76" s="50">
        <v>2</v>
      </c>
      <c r="F76" s="50">
        <v>2</v>
      </c>
      <c r="G76" s="50">
        <v>0</v>
      </c>
      <c r="H76" s="50">
        <v>0</v>
      </c>
      <c r="I76" s="50">
        <v>4</v>
      </c>
      <c r="J76" s="50">
        <v>0</v>
      </c>
      <c r="K76" s="50">
        <v>1</v>
      </c>
      <c r="L76" s="50">
        <v>0</v>
      </c>
      <c r="M76" s="50">
        <v>69</v>
      </c>
      <c r="N76" s="50">
        <v>0</v>
      </c>
      <c r="O76" s="15">
        <f t="shared" si="35"/>
        <v>34</v>
      </c>
      <c r="P76" s="15">
        <f t="shared" si="36"/>
        <v>103</v>
      </c>
      <c r="R76" s="8"/>
      <c r="T76"/>
    </row>
    <row r="77" spans="2:20" ht="23.1" customHeight="1" x14ac:dyDescent="0.25">
      <c r="B77" s="45" t="s">
        <v>117</v>
      </c>
      <c r="C77" s="50">
        <v>3</v>
      </c>
      <c r="D77" s="50">
        <v>6</v>
      </c>
      <c r="E77" s="50">
        <v>0</v>
      </c>
      <c r="F77" s="50">
        <v>2</v>
      </c>
      <c r="G77" s="50">
        <v>0</v>
      </c>
      <c r="H77" s="50">
        <v>0</v>
      </c>
      <c r="I77" s="50">
        <v>1</v>
      </c>
      <c r="J77" s="50">
        <v>1</v>
      </c>
      <c r="K77" s="50">
        <v>0</v>
      </c>
      <c r="L77" s="50">
        <v>0</v>
      </c>
      <c r="M77" s="50">
        <v>39</v>
      </c>
      <c r="N77" s="50">
        <v>0</v>
      </c>
      <c r="O77" s="15">
        <f t="shared" si="35"/>
        <v>13</v>
      </c>
      <c r="P77" s="15">
        <f t="shared" si="36"/>
        <v>52</v>
      </c>
      <c r="R77" s="8"/>
      <c r="T77"/>
    </row>
    <row r="78" spans="2:20" ht="23.1" customHeight="1" x14ac:dyDescent="0.25">
      <c r="B78" s="46" t="s">
        <v>118</v>
      </c>
      <c r="C78" s="50">
        <v>22</v>
      </c>
      <c r="D78" s="50">
        <v>10</v>
      </c>
      <c r="E78" s="50">
        <v>3</v>
      </c>
      <c r="F78" s="50">
        <v>3</v>
      </c>
      <c r="G78" s="50">
        <v>0</v>
      </c>
      <c r="H78" s="50">
        <v>0</v>
      </c>
      <c r="I78" s="50">
        <v>0</v>
      </c>
      <c r="J78" s="50">
        <v>2</v>
      </c>
      <c r="K78" s="50">
        <v>0</v>
      </c>
      <c r="L78" s="50">
        <v>0</v>
      </c>
      <c r="M78" s="50">
        <v>42</v>
      </c>
      <c r="N78" s="50">
        <v>0</v>
      </c>
      <c r="O78" s="15">
        <f t="shared" si="35"/>
        <v>40</v>
      </c>
      <c r="P78" s="15">
        <f t="shared" si="36"/>
        <v>82</v>
      </c>
      <c r="R78" s="8"/>
      <c r="T78"/>
    </row>
    <row r="79" spans="2:20" ht="23.1" customHeight="1" x14ac:dyDescent="0.25">
      <c r="B79" s="45" t="s">
        <v>119</v>
      </c>
      <c r="C79" s="50">
        <v>11</v>
      </c>
      <c r="D79" s="50">
        <v>5</v>
      </c>
      <c r="E79" s="50">
        <v>0</v>
      </c>
      <c r="F79" s="50">
        <v>2</v>
      </c>
      <c r="G79" s="50">
        <v>0</v>
      </c>
      <c r="H79" s="50">
        <v>0</v>
      </c>
      <c r="I79" s="50">
        <v>0</v>
      </c>
      <c r="J79" s="50">
        <v>0</v>
      </c>
      <c r="K79" s="50">
        <v>1</v>
      </c>
      <c r="L79" s="50">
        <v>0</v>
      </c>
      <c r="M79" s="50">
        <v>27</v>
      </c>
      <c r="N79" s="50">
        <v>0</v>
      </c>
      <c r="O79" s="15">
        <f t="shared" si="35"/>
        <v>19</v>
      </c>
      <c r="P79" s="15">
        <f t="shared" si="36"/>
        <v>46</v>
      </c>
      <c r="R79" s="8"/>
      <c r="T79"/>
    </row>
    <row r="80" spans="2:20" ht="23.1" customHeight="1" x14ac:dyDescent="0.25">
      <c r="B80" s="47" t="s">
        <v>120</v>
      </c>
      <c r="C80" s="50">
        <v>11</v>
      </c>
      <c r="D80" s="50">
        <v>8</v>
      </c>
      <c r="E80" s="50">
        <v>1</v>
      </c>
      <c r="F80" s="50">
        <v>2</v>
      </c>
      <c r="G80" s="50">
        <v>0</v>
      </c>
      <c r="H80" s="50">
        <v>0</v>
      </c>
      <c r="I80" s="50">
        <v>0</v>
      </c>
      <c r="J80" s="50">
        <v>2</v>
      </c>
      <c r="K80" s="50">
        <v>1</v>
      </c>
      <c r="L80" s="50">
        <v>0</v>
      </c>
      <c r="M80" s="50">
        <v>38</v>
      </c>
      <c r="N80" s="50">
        <v>0</v>
      </c>
      <c r="O80" s="15">
        <f t="shared" si="35"/>
        <v>25</v>
      </c>
      <c r="P80" s="15">
        <f t="shared" si="36"/>
        <v>63</v>
      </c>
      <c r="R80" s="8"/>
      <c r="T80"/>
    </row>
    <row r="81" spans="2:20" ht="23.1" customHeight="1" x14ac:dyDescent="0.25">
      <c r="B81" s="45" t="s">
        <v>121</v>
      </c>
      <c r="C81" s="50">
        <v>7</v>
      </c>
      <c r="D81" s="50">
        <v>0</v>
      </c>
      <c r="E81" s="50">
        <v>1</v>
      </c>
      <c r="F81" s="50">
        <v>2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17</v>
      </c>
      <c r="N81" s="50">
        <v>0</v>
      </c>
      <c r="O81" s="15">
        <f t="shared" si="35"/>
        <v>11</v>
      </c>
      <c r="P81" s="15">
        <f t="shared" si="36"/>
        <v>28</v>
      </c>
      <c r="R81" s="8"/>
      <c r="T81"/>
    </row>
    <row r="82" spans="2:20" ht="23.1" customHeight="1" x14ac:dyDescent="0.25">
      <c r="B82" s="46" t="s">
        <v>122</v>
      </c>
      <c r="C82" s="50">
        <v>6</v>
      </c>
      <c r="D82" s="50">
        <v>2</v>
      </c>
      <c r="E82" s="50">
        <v>0</v>
      </c>
      <c r="F82" s="50">
        <v>2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18</v>
      </c>
      <c r="N82" s="50">
        <v>0</v>
      </c>
      <c r="O82" s="15">
        <f t="shared" si="35"/>
        <v>10</v>
      </c>
      <c r="P82" s="15">
        <f t="shared" si="36"/>
        <v>28</v>
      </c>
      <c r="R82" s="8"/>
      <c r="T82"/>
    </row>
    <row r="83" spans="2:20" ht="23.1" customHeight="1" x14ac:dyDescent="0.25">
      <c r="B83" s="45" t="s">
        <v>123</v>
      </c>
      <c r="C83" s="50">
        <v>3</v>
      </c>
      <c r="D83" s="50">
        <v>4</v>
      </c>
      <c r="E83" s="50">
        <v>0</v>
      </c>
      <c r="F83" s="50">
        <v>1</v>
      </c>
      <c r="G83" s="50">
        <v>0</v>
      </c>
      <c r="H83" s="50">
        <v>0</v>
      </c>
      <c r="I83" s="50">
        <v>0</v>
      </c>
      <c r="J83" s="50">
        <v>0</v>
      </c>
      <c r="K83" s="50">
        <v>2</v>
      </c>
      <c r="L83" s="50">
        <v>0</v>
      </c>
      <c r="M83" s="50">
        <v>27</v>
      </c>
      <c r="N83" s="50">
        <v>0</v>
      </c>
      <c r="O83" s="15">
        <f t="shared" si="35"/>
        <v>10</v>
      </c>
      <c r="P83" s="15">
        <f t="shared" si="36"/>
        <v>37</v>
      </c>
      <c r="R83" s="8"/>
      <c r="T83"/>
    </row>
    <row r="84" spans="2:20" ht="23.1" customHeight="1" x14ac:dyDescent="0.25">
      <c r="B84" s="47" t="s">
        <v>124</v>
      </c>
      <c r="C84" s="50">
        <v>3</v>
      </c>
      <c r="D84" s="50">
        <v>0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1</v>
      </c>
      <c r="L84" s="50">
        <v>0</v>
      </c>
      <c r="M84" s="50">
        <v>18</v>
      </c>
      <c r="N84" s="50">
        <v>0</v>
      </c>
      <c r="O84" s="15">
        <f t="shared" si="35"/>
        <v>5</v>
      </c>
      <c r="P84" s="15">
        <f t="shared" si="36"/>
        <v>23</v>
      </c>
      <c r="R84" s="8"/>
      <c r="T84"/>
    </row>
    <row r="85" spans="2:20" ht="23.1" customHeight="1" x14ac:dyDescent="0.25">
      <c r="B85" s="45" t="s">
        <v>125</v>
      </c>
      <c r="C85" s="50">
        <v>3</v>
      </c>
      <c r="D85" s="50">
        <v>3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12</v>
      </c>
      <c r="N85" s="50">
        <v>0</v>
      </c>
      <c r="O85" s="15">
        <f t="shared" si="35"/>
        <v>7</v>
      </c>
      <c r="P85" s="15">
        <f t="shared" si="36"/>
        <v>19</v>
      </c>
      <c r="R85" s="8"/>
      <c r="T85"/>
    </row>
    <row r="86" spans="2:20" ht="23.1" customHeight="1" x14ac:dyDescent="0.25">
      <c r="B86" s="46" t="s">
        <v>126</v>
      </c>
      <c r="C86" s="50">
        <v>2</v>
      </c>
      <c r="D86" s="50">
        <v>3</v>
      </c>
      <c r="E86" s="50">
        <v>0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18</v>
      </c>
      <c r="N86" s="50">
        <v>0</v>
      </c>
      <c r="O86" s="15">
        <f t="shared" si="35"/>
        <v>6</v>
      </c>
      <c r="P86" s="15">
        <f t="shared" si="36"/>
        <v>24</v>
      </c>
      <c r="R86" s="8"/>
      <c r="T86"/>
    </row>
    <row r="87" spans="2:20" ht="23.1" customHeight="1" x14ac:dyDescent="0.25">
      <c r="B87" s="45" t="s">
        <v>127</v>
      </c>
      <c r="C87" s="50">
        <v>4</v>
      </c>
      <c r="D87" s="50">
        <v>1</v>
      </c>
      <c r="E87" s="50">
        <v>1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1</v>
      </c>
      <c r="L87" s="50">
        <v>0</v>
      </c>
      <c r="M87" s="50">
        <v>18</v>
      </c>
      <c r="N87" s="50">
        <v>0</v>
      </c>
      <c r="O87" s="15">
        <f t="shared" si="35"/>
        <v>8</v>
      </c>
      <c r="P87" s="15">
        <f t="shared" si="36"/>
        <v>26</v>
      </c>
      <c r="R87" s="8"/>
      <c r="T87"/>
    </row>
    <row r="88" spans="2:20" ht="23.1" customHeight="1" x14ac:dyDescent="0.25">
      <c r="B88" s="47" t="s">
        <v>128</v>
      </c>
      <c r="C88" s="50">
        <v>6</v>
      </c>
      <c r="D88" s="50">
        <v>3</v>
      </c>
      <c r="E88" s="50">
        <v>0</v>
      </c>
      <c r="F88" s="50">
        <v>2</v>
      </c>
      <c r="G88" s="50">
        <v>0</v>
      </c>
      <c r="H88" s="50">
        <v>0</v>
      </c>
      <c r="I88" s="50">
        <v>0</v>
      </c>
      <c r="J88" s="50">
        <v>2</v>
      </c>
      <c r="K88" s="50">
        <v>1</v>
      </c>
      <c r="L88" s="50">
        <v>0</v>
      </c>
      <c r="M88" s="50">
        <v>11</v>
      </c>
      <c r="N88" s="50">
        <v>0</v>
      </c>
      <c r="O88" s="15">
        <f t="shared" si="35"/>
        <v>14</v>
      </c>
      <c r="P88" s="15">
        <f t="shared" si="36"/>
        <v>25</v>
      </c>
      <c r="R88" s="8"/>
      <c r="T88"/>
    </row>
    <row r="89" spans="2:20" ht="23.1" customHeight="1" x14ac:dyDescent="0.25">
      <c r="B89" s="45" t="s">
        <v>129</v>
      </c>
      <c r="C89" s="50">
        <v>3</v>
      </c>
      <c r="D89" s="50">
        <v>1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19</v>
      </c>
      <c r="N89" s="50">
        <v>0</v>
      </c>
      <c r="O89" s="15">
        <f t="shared" si="35"/>
        <v>4</v>
      </c>
      <c r="P89" s="15">
        <f t="shared" si="36"/>
        <v>23</v>
      </c>
      <c r="R89" s="8"/>
      <c r="T89"/>
    </row>
    <row r="90" spans="2:20" ht="23.1" customHeight="1" x14ac:dyDescent="0.25">
      <c r="B90" s="46" t="s">
        <v>130</v>
      </c>
      <c r="C90" s="50">
        <v>4</v>
      </c>
      <c r="D90" s="50">
        <v>1</v>
      </c>
      <c r="E90" s="50">
        <v>0</v>
      </c>
      <c r="F90" s="50">
        <v>0</v>
      </c>
      <c r="G90" s="50">
        <v>0</v>
      </c>
      <c r="H90" s="50">
        <v>0</v>
      </c>
      <c r="I90" s="50">
        <v>2</v>
      </c>
      <c r="J90" s="50">
        <v>0</v>
      </c>
      <c r="K90" s="50">
        <v>0</v>
      </c>
      <c r="L90" s="50">
        <v>0</v>
      </c>
      <c r="M90" s="50">
        <v>17</v>
      </c>
      <c r="N90" s="50">
        <v>0</v>
      </c>
      <c r="O90" s="15">
        <f t="shared" si="35"/>
        <v>7</v>
      </c>
      <c r="P90" s="15">
        <f t="shared" si="36"/>
        <v>24</v>
      </c>
      <c r="R90" s="8"/>
      <c r="T90"/>
    </row>
    <row r="91" spans="2:20" ht="23.1" customHeight="1" x14ac:dyDescent="0.25">
      <c r="B91" s="45" t="s">
        <v>131</v>
      </c>
      <c r="C91" s="50">
        <v>3</v>
      </c>
      <c r="D91" s="50">
        <v>0</v>
      </c>
      <c r="E91" s="50">
        <v>2</v>
      </c>
      <c r="F91" s="50">
        <v>0</v>
      </c>
      <c r="G91" s="50">
        <v>0</v>
      </c>
      <c r="H91" s="50">
        <v>0</v>
      </c>
      <c r="I91" s="50">
        <v>1</v>
      </c>
      <c r="J91" s="50">
        <v>0</v>
      </c>
      <c r="K91" s="50">
        <v>0</v>
      </c>
      <c r="L91" s="50">
        <v>0</v>
      </c>
      <c r="M91" s="50">
        <v>10</v>
      </c>
      <c r="N91" s="50">
        <v>0</v>
      </c>
      <c r="O91" s="15">
        <f t="shared" si="35"/>
        <v>6</v>
      </c>
      <c r="P91" s="15">
        <f t="shared" si="36"/>
        <v>16</v>
      </c>
      <c r="R91" s="8"/>
      <c r="T91"/>
    </row>
    <row r="92" spans="2:20" ht="23.1" customHeight="1" x14ac:dyDescent="0.25">
      <c r="B92" s="47" t="s">
        <v>132</v>
      </c>
      <c r="C92" s="50">
        <v>4</v>
      </c>
      <c r="D92" s="50">
        <v>2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1</v>
      </c>
      <c r="L92" s="50">
        <v>0</v>
      </c>
      <c r="M92" s="50">
        <v>6</v>
      </c>
      <c r="N92" s="50">
        <v>0</v>
      </c>
      <c r="O92" s="15">
        <f t="shared" si="35"/>
        <v>7</v>
      </c>
      <c r="P92" s="15">
        <f t="shared" si="36"/>
        <v>13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1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4</v>
      </c>
      <c r="N93" s="50">
        <v>0</v>
      </c>
      <c r="O93" s="15">
        <f t="shared" si="35"/>
        <v>3</v>
      </c>
      <c r="P93" s="15">
        <f t="shared" si="36"/>
        <v>7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9</v>
      </c>
      <c r="N94" s="50">
        <v>0</v>
      </c>
      <c r="O94" s="15">
        <f t="shared" si="35"/>
        <v>3</v>
      </c>
      <c r="P94" s="15">
        <f t="shared" si="36"/>
        <v>12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1</v>
      </c>
      <c r="K95" s="50">
        <v>0</v>
      </c>
      <c r="L95" s="50">
        <v>0</v>
      </c>
      <c r="M95" s="50">
        <v>7</v>
      </c>
      <c r="N95" s="50">
        <v>0</v>
      </c>
      <c r="O95" s="15">
        <f t="shared" si="35"/>
        <v>3</v>
      </c>
      <c r="P95" s="15">
        <f t="shared" si="36"/>
        <v>10</v>
      </c>
      <c r="R95" s="8"/>
      <c r="T95"/>
    </row>
    <row r="96" spans="2:20" ht="23.1" customHeight="1" x14ac:dyDescent="0.25">
      <c r="B96" s="47" t="s">
        <v>136</v>
      </c>
      <c r="C96" s="50">
        <v>4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2</v>
      </c>
      <c r="K96" s="50">
        <v>1</v>
      </c>
      <c r="L96" s="50">
        <v>0</v>
      </c>
      <c r="M96" s="50">
        <v>15</v>
      </c>
      <c r="N96" s="50">
        <v>0</v>
      </c>
      <c r="O96" s="15">
        <f t="shared" si="35"/>
        <v>7</v>
      </c>
      <c r="P96" s="15">
        <f t="shared" si="36"/>
        <v>22</v>
      </c>
      <c r="R96" s="8"/>
      <c r="T96"/>
    </row>
    <row r="97" spans="2:20" ht="23.1" customHeight="1" x14ac:dyDescent="0.25">
      <c r="B97" s="45" t="s">
        <v>137</v>
      </c>
      <c r="C97" s="50">
        <v>6</v>
      </c>
      <c r="D97" s="50">
        <v>0</v>
      </c>
      <c r="E97" s="50">
        <v>0</v>
      </c>
      <c r="F97" s="50">
        <v>2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11</v>
      </c>
      <c r="N97" s="50">
        <v>0</v>
      </c>
      <c r="O97" s="15">
        <f t="shared" si="35"/>
        <v>8</v>
      </c>
      <c r="P97" s="15">
        <f t="shared" si="36"/>
        <v>19</v>
      </c>
      <c r="R97" s="8"/>
      <c r="T97"/>
    </row>
    <row r="98" spans="2:20" ht="23.1" customHeight="1" x14ac:dyDescent="0.25">
      <c r="B98" s="46" t="s">
        <v>138</v>
      </c>
      <c r="C98" s="50">
        <v>2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1</v>
      </c>
      <c r="M98" s="50">
        <v>13</v>
      </c>
      <c r="N98" s="50">
        <v>0</v>
      </c>
      <c r="O98" s="15">
        <f t="shared" si="35"/>
        <v>4</v>
      </c>
      <c r="P98" s="15">
        <f t="shared" si="36"/>
        <v>17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0</v>
      </c>
      <c r="E99" s="50">
        <v>1</v>
      </c>
      <c r="F99" s="50">
        <v>0</v>
      </c>
      <c r="G99" s="50">
        <v>0</v>
      </c>
      <c r="H99" s="50">
        <v>0</v>
      </c>
      <c r="I99" s="50">
        <v>1</v>
      </c>
      <c r="J99" s="50">
        <v>0</v>
      </c>
      <c r="K99" s="50">
        <v>0</v>
      </c>
      <c r="L99" s="50">
        <v>0</v>
      </c>
      <c r="M99" s="50">
        <v>9</v>
      </c>
      <c r="N99" s="50">
        <v>0</v>
      </c>
      <c r="O99" s="15">
        <f t="shared" si="35"/>
        <v>4</v>
      </c>
      <c r="P99" s="15">
        <f t="shared" si="36"/>
        <v>13</v>
      </c>
      <c r="R99" s="8"/>
      <c r="T99"/>
    </row>
    <row r="100" spans="2:20" ht="23.1" customHeight="1" x14ac:dyDescent="0.25">
      <c r="B100" s="47" t="s">
        <v>140</v>
      </c>
      <c r="C100" s="50">
        <v>3</v>
      </c>
      <c r="D100" s="50">
        <v>1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1</v>
      </c>
      <c r="K100" s="50">
        <v>0</v>
      </c>
      <c r="L100" s="50">
        <v>0</v>
      </c>
      <c r="M100" s="50">
        <v>21</v>
      </c>
      <c r="N100" s="50">
        <v>0</v>
      </c>
      <c r="O100" s="15">
        <f t="shared" si="35"/>
        <v>5</v>
      </c>
      <c r="P100" s="15">
        <f t="shared" si="36"/>
        <v>26</v>
      </c>
      <c r="R100" s="8"/>
      <c r="T100"/>
    </row>
    <row r="101" spans="2:20" ht="23.1" customHeight="1" x14ac:dyDescent="0.25">
      <c r="B101" s="45" t="s">
        <v>141</v>
      </c>
      <c r="C101" s="50">
        <v>2</v>
      </c>
      <c r="D101" s="50">
        <v>0</v>
      </c>
      <c r="E101" s="50">
        <v>1</v>
      </c>
      <c r="F101" s="50">
        <v>0</v>
      </c>
      <c r="G101" s="50">
        <v>1</v>
      </c>
      <c r="H101" s="50">
        <v>0</v>
      </c>
      <c r="I101" s="50">
        <v>2</v>
      </c>
      <c r="J101" s="50">
        <v>0</v>
      </c>
      <c r="K101" s="50">
        <v>0</v>
      </c>
      <c r="L101" s="50">
        <v>0</v>
      </c>
      <c r="M101" s="50">
        <v>15</v>
      </c>
      <c r="N101" s="50">
        <v>0</v>
      </c>
      <c r="O101" s="15">
        <f t="shared" si="35"/>
        <v>6</v>
      </c>
      <c r="P101" s="15">
        <f t="shared" si="36"/>
        <v>21</v>
      </c>
      <c r="R101" s="8"/>
      <c r="T101"/>
    </row>
    <row r="102" spans="2:20" ht="23.1" customHeight="1" x14ac:dyDescent="0.25">
      <c r="B102" s="46" t="s">
        <v>142</v>
      </c>
      <c r="C102" s="50">
        <v>3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1</v>
      </c>
      <c r="J102" s="50">
        <v>0</v>
      </c>
      <c r="K102" s="50">
        <v>1</v>
      </c>
      <c r="L102" s="50">
        <v>0</v>
      </c>
      <c r="M102" s="50">
        <v>17</v>
      </c>
      <c r="N102" s="50">
        <v>0</v>
      </c>
      <c r="O102" s="15">
        <f t="shared" si="35"/>
        <v>5</v>
      </c>
      <c r="P102" s="15">
        <f t="shared" si="36"/>
        <v>22</v>
      </c>
      <c r="R102" s="8"/>
      <c r="T102"/>
    </row>
    <row r="103" spans="2:20" ht="23.1" customHeight="1" x14ac:dyDescent="0.25">
      <c r="B103" s="45" t="s">
        <v>143</v>
      </c>
      <c r="C103" s="50">
        <v>7</v>
      </c>
      <c r="D103" s="50">
        <v>1</v>
      </c>
      <c r="E103" s="50">
        <v>2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1</v>
      </c>
      <c r="L103" s="50">
        <v>0</v>
      </c>
      <c r="M103" s="50">
        <v>23</v>
      </c>
      <c r="N103" s="50">
        <v>0</v>
      </c>
      <c r="O103" s="15">
        <f t="shared" si="35"/>
        <v>11</v>
      </c>
      <c r="P103" s="15">
        <f t="shared" si="36"/>
        <v>34</v>
      </c>
      <c r="R103" s="8"/>
      <c r="T103"/>
    </row>
    <row r="104" spans="2:20" ht="23.1" customHeight="1" x14ac:dyDescent="0.25">
      <c r="B104" s="47" t="s">
        <v>144</v>
      </c>
      <c r="C104" s="50">
        <v>4</v>
      </c>
      <c r="D104" s="50">
        <v>2</v>
      </c>
      <c r="E104" s="50">
        <v>1</v>
      </c>
      <c r="F104" s="50">
        <v>0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19</v>
      </c>
      <c r="N104" s="50">
        <v>0</v>
      </c>
      <c r="O104" s="15">
        <f t="shared" si="35"/>
        <v>8</v>
      </c>
      <c r="P104" s="15">
        <f t="shared" si="36"/>
        <v>27</v>
      </c>
      <c r="R104" s="8"/>
      <c r="T104"/>
    </row>
    <row r="105" spans="2:20" ht="23.1" customHeight="1" x14ac:dyDescent="0.25">
      <c r="B105" s="45" t="s">
        <v>145</v>
      </c>
      <c r="C105" s="50">
        <v>13</v>
      </c>
      <c r="D105" s="50">
        <v>2</v>
      </c>
      <c r="E105" s="50">
        <v>1</v>
      </c>
      <c r="F105" s="50">
        <v>3</v>
      </c>
      <c r="G105" s="50">
        <v>0</v>
      </c>
      <c r="H105" s="50">
        <v>0</v>
      </c>
      <c r="I105" s="50">
        <v>2</v>
      </c>
      <c r="J105" s="50">
        <v>1</v>
      </c>
      <c r="K105" s="50">
        <v>1</v>
      </c>
      <c r="L105" s="50">
        <v>0</v>
      </c>
      <c r="M105" s="50">
        <v>33</v>
      </c>
      <c r="N105" s="50">
        <v>0</v>
      </c>
      <c r="O105" s="15">
        <f t="shared" si="35"/>
        <v>23</v>
      </c>
      <c r="P105" s="15">
        <f t="shared" si="36"/>
        <v>56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7064</v>
      </c>
      <c r="D106" s="16">
        <f t="shared" ref="D106:P106" si="37">SUM(D10:D105)</f>
        <v>1170</v>
      </c>
      <c r="E106" s="16">
        <f t="shared" si="37"/>
        <v>594</v>
      </c>
      <c r="F106" s="16">
        <f t="shared" si="37"/>
        <v>1549</v>
      </c>
      <c r="G106" s="16">
        <f t="shared" si="37"/>
        <v>44</v>
      </c>
      <c r="H106" s="16">
        <f t="shared" si="37"/>
        <v>67</v>
      </c>
      <c r="I106" s="16">
        <f t="shared" si="37"/>
        <v>333</v>
      </c>
      <c r="J106" s="16">
        <f t="shared" si="37"/>
        <v>226</v>
      </c>
      <c r="K106" s="16">
        <f t="shared" si="37"/>
        <v>66</v>
      </c>
      <c r="L106" s="16">
        <f t="shared" si="37"/>
        <v>41</v>
      </c>
      <c r="M106" s="16">
        <f t="shared" si="37"/>
        <v>11497</v>
      </c>
      <c r="N106" s="16">
        <f t="shared" si="37"/>
        <v>1</v>
      </c>
      <c r="O106" s="16">
        <f t="shared" si="37"/>
        <v>11155</v>
      </c>
      <c r="P106" s="16">
        <f t="shared" si="37"/>
        <v>22652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0.3118488433692389</v>
      </c>
      <c r="D107" s="43">
        <f t="shared" si="38"/>
        <v>5.1651068338336568E-2</v>
      </c>
      <c r="E107" s="43">
        <f t="shared" si="38"/>
        <v>2.6222850079463181E-2</v>
      </c>
      <c r="F107" s="43">
        <f t="shared" si="38"/>
        <v>6.8382482782977219E-2</v>
      </c>
      <c r="G107" s="43">
        <f t="shared" si="38"/>
        <v>1.9424333392194949E-3</v>
      </c>
      <c r="H107" s="43">
        <f t="shared" si="38"/>
        <v>2.9577962210842312E-3</v>
      </c>
      <c r="I107" s="43">
        <f t="shared" si="38"/>
        <v>1.4700688680911178E-2</v>
      </c>
      <c r="J107" s="43">
        <f t="shared" si="38"/>
        <v>9.9770439696274058E-3</v>
      </c>
      <c r="K107" s="43">
        <f t="shared" si="38"/>
        <v>2.9136500088292423E-3</v>
      </c>
      <c r="L107" s="43">
        <f t="shared" si="38"/>
        <v>1.8099947024545293E-3</v>
      </c>
      <c r="M107" s="43">
        <f t="shared" si="38"/>
        <v>0.50754900229560307</v>
      </c>
      <c r="N107" s="43">
        <f t="shared" si="38"/>
        <v>4.4146212254988522E-5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0.63325862841774994</v>
      </c>
      <c r="D108" s="44">
        <f t="shared" ref="D108:N108" si="39">D106/$O$106</f>
        <v>0.10488570147915732</v>
      </c>
      <c r="E108" s="44">
        <f t="shared" si="39"/>
        <v>5.3249663827879871E-2</v>
      </c>
      <c r="F108" s="44">
        <f t="shared" si="39"/>
        <v>0.1388614970865083</v>
      </c>
      <c r="G108" s="44">
        <f t="shared" si="39"/>
        <v>3.9444195428059168E-3</v>
      </c>
      <c r="H108" s="44">
        <f t="shared" si="39"/>
        <v>6.0062752129090092E-3</v>
      </c>
      <c r="I108" s="44">
        <f t="shared" si="39"/>
        <v>2.9852084267144779E-2</v>
      </c>
      <c r="J108" s="44">
        <f t="shared" si="39"/>
        <v>2.025997310623039E-2</v>
      </c>
      <c r="K108" s="44">
        <f t="shared" si="39"/>
        <v>5.9166293142088747E-3</v>
      </c>
      <c r="L108" s="44">
        <f t="shared" si="39"/>
        <v>3.6754818467055134E-3</v>
      </c>
      <c r="M108" s="44"/>
      <c r="N108" s="44">
        <f t="shared" si="39"/>
        <v>8.9645898700134466E-5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1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'22.07 Lubiri -Ndeeba'!C3:G3</f>
        <v>MCC - C1 - STN03- KALINDA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71" t="str">
        <f>'27.07 Ndeeba-Lubiri-24h'!G5:H5</f>
        <v>Before Shell</v>
      </c>
      <c r="H5" s="72"/>
      <c r="I5" s="14"/>
      <c r="J5" s="2" t="s">
        <v>5</v>
      </c>
      <c r="K5" s="71" t="s">
        <v>182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'22.07 Lubiri -Ndeeba'!D6:E6</f>
        <v>Lubiri</v>
      </c>
      <c r="E6" s="72"/>
      <c r="F6" s="2" t="s">
        <v>2</v>
      </c>
      <c r="G6" s="71" t="str">
        <f>'22.07 Lubiri -Ndeeba'!G6:H6</f>
        <v>Ndeeba</v>
      </c>
      <c r="H6" s="72"/>
      <c r="J6" s="2" t="s">
        <v>21</v>
      </c>
      <c r="K6" s="71" t="str">
        <f>'27.07 Ndeeba-Lubiri-24h'!K6:L6</f>
        <v>Denis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</v>
      </c>
      <c r="D10" s="50">
        <v>1</v>
      </c>
      <c r="E10" s="50">
        <v>1</v>
      </c>
      <c r="F10" s="50">
        <v>4</v>
      </c>
      <c r="G10" s="50">
        <v>0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60</v>
      </c>
      <c r="N10" s="50">
        <v>0</v>
      </c>
      <c r="O10" s="15">
        <f t="shared" ref="O10:O57" si="0">SUM(C10:L10,N10)</f>
        <v>14</v>
      </c>
      <c r="P10" s="15">
        <f t="shared" ref="P10:P57" si="1">SUM(C10:N10)</f>
        <v>74</v>
      </c>
      <c r="R10" s="1" t="s">
        <v>6</v>
      </c>
      <c r="S10" s="17">
        <f t="shared" ref="S10:AF10" si="2">SUM(C10:C13)</f>
        <v>30</v>
      </c>
      <c r="T10" s="17">
        <f t="shared" si="2"/>
        <v>5</v>
      </c>
      <c r="U10" s="17">
        <f t="shared" si="2"/>
        <v>4</v>
      </c>
      <c r="V10" s="17">
        <f t="shared" si="2"/>
        <v>26</v>
      </c>
      <c r="W10" s="17">
        <f t="shared" si="2"/>
        <v>1</v>
      </c>
      <c r="X10" s="17">
        <f t="shared" si="2"/>
        <v>0</v>
      </c>
      <c r="Y10" s="17">
        <f t="shared" si="2"/>
        <v>5</v>
      </c>
      <c r="Z10" s="17">
        <f t="shared" si="2"/>
        <v>10</v>
      </c>
      <c r="AA10" s="17">
        <f t="shared" si="2"/>
        <v>0</v>
      </c>
      <c r="AB10" s="17">
        <f t="shared" si="2"/>
        <v>0</v>
      </c>
      <c r="AC10" s="17">
        <f t="shared" si="2"/>
        <v>213</v>
      </c>
      <c r="AD10" s="17">
        <f t="shared" si="2"/>
        <v>0</v>
      </c>
      <c r="AE10" s="31">
        <f t="shared" si="2"/>
        <v>81</v>
      </c>
      <c r="AF10" s="31">
        <f t="shared" si="2"/>
        <v>294</v>
      </c>
    </row>
    <row r="11" spans="2:32" s="6" customFormat="1" ht="23.1" customHeight="1" x14ac:dyDescent="0.25">
      <c r="B11" s="23" t="s">
        <v>38</v>
      </c>
      <c r="C11" s="50">
        <v>5</v>
      </c>
      <c r="D11" s="50">
        <v>2</v>
      </c>
      <c r="E11" s="50">
        <v>0</v>
      </c>
      <c r="F11" s="50">
        <v>11</v>
      </c>
      <c r="G11" s="50">
        <v>0</v>
      </c>
      <c r="H11" s="50">
        <v>0</v>
      </c>
      <c r="I11" s="50">
        <v>0</v>
      </c>
      <c r="J11" s="50">
        <v>2</v>
      </c>
      <c r="K11" s="50">
        <v>0</v>
      </c>
      <c r="L11" s="50">
        <v>0</v>
      </c>
      <c r="M11" s="50">
        <v>65</v>
      </c>
      <c r="N11" s="50">
        <v>0</v>
      </c>
      <c r="O11" s="15">
        <f t="shared" si="0"/>
        <v>20</v>
      </c>
      <c r="P11" s="15">
        <f t="shared" si="1"/>
        <v>85</v>
      </c>
      <c r="R11" s="1" t="s">
        <v>7</v>
      </c>
      <c r="S11" s="17">
        <f t="shared" ref="S11:AF11" si="3">SUM(C14:C17)</f>
        <v>39</v>
      </c>
      <c r="T11" s="17">
        <f t="shared" si="3"/>
        <v>11</v>
      </c>
      <c r="U11" s="17">
        <f t="shared" si="3"/>
        <v>7</v>
      </c>
      <c r="V11" s="17">
        <f t="shared" si="3"/>
        <v>29</v>
      </c>
      <c r="W11" s="17">
        <f t="shared" si="3"/>
        <v>1</v>
      </c>
      <c r="X11" s="17">
        <f t="shared" si="3"/>
        <v>0</v>
      </c>
      <c r="Y11" s="17">
        <f t="shared" si="3"/>
        <v>13</v>
      </c>
      <c r="Z11" s="17">
        <f t="shared" si="3"/>
        <v>14</v>
      </c>
      <c r="AA11" s="17">
        <f t="shared" si="3"/>
        <v>1</v>
      </c>
      <c r="AB11" s="17">
        <f t="shared" si="3"/>
        <v>0</v>
      </c>
      <c r="AC11" s="17">
        <f t="shared" si="3"/>
        <v>380</v>
      </c>
      <c r="AD11" s="17">
        <f t="shared" si="3"/>
        <v>0</v>
      </c>
      <c r="AE11" s="31">
        <f t="shared" si="3"/>
        <v>115</v>
      </c>
      <c r="AF11" s="31">
        <f t="shared" si="3"/>
        <v>495</v>
      </c>
    </row>
    <row r="12" spans="2:32" ht="23.1" customHeight="1" x14ac:dyDescent="0.25">
      <c r="B12" s="23" t="s">
        <v>39</v>
      </c>
      <c r="C12" s="50">
        <v>9</v>
      </c>
      <c r="D12" s="50">
        <v>0</v>
      </c>
      <c r="E12" s="50">
        <v>0</v>
      </c>
      <c r="F12" s="50">
        <v>4</v>
      </c>
      <c r="G12" s="50">
        <v>1</v>
      </c>
      <c r="H12" s="50">
        <v>0</v>
      </c>
      <c r="I12" s="50">
        <v>3</v>
      </c>
      <c r="J12" s="50">
        <v>4</v>
      </c>
      <c r="K12" s="50">
        <v>0</v>
      </c>
      <c r="L12" s="50">
        <v>0</v>
      </c>
      <c r="M12" s="50">
        <v>60</v>
      </c>
      <c r="N12" s="50">
        <v>0</v>
      </c>
      <c r="O12" s="15">
        <f t="shared" si="0"/>
        <v>21</v>
      </c>
      <c r="P12" s="15">
        <f t="shared" si="1"/>
        <v>81</v>
      </c>
      <c r="R12" s="1" t="s">
        <v>8</v>
      </c>
      <c r="S12" s="17">
        <f t="shared" ref="S12:AF12" si="4">SUM(C18:C21)</f>
        <v>84</v>
      </c>
      <c r="T12" s="17">
        <f t="shared" si="4"/>
        <v>22</v>
      </c>
      <c r="U12" s="17">
        <f t="shared" si="4"/>
        <v>8</v>
      </c>
      <c r="V12" s="17">
        <f t="shared" si="4"/>
        <v>35</v>
      </c>
      <c r="W12" s="17">
        <f t="shared" si="4"/>
        <v>1</v>
      </c>
      <c r="X12" s="17">
        <f t="shared" si="4"/>
        <v>0</v>
      </c>
      <c r="Y12" s="17">
        <f t="shared" si="4"/>
        <v>13</v>
      </c>
      <c r="Z12" s="17">
        <f t="shared" si="4"/>
        <v>15</v>
      </c>
      <c r="AA12" s="17">
        <f t="shared" si="4"/>
        <v>0</v>
      </c>
      <c r="AB12" s="17">
        <f t="shared" si="4"/>
        <v>1</v>
      </c>
      <c r="AC12" s="17">
        <f t="shared" si="4"/>
        <v>582</v>
      </c>
      <c r="AD12" s="17">
        <f t="shared" si="4"/>
        <v>0</v>
      </c>
      <c r="AE12" s="31">
        <f t="shared" si="4"/>
        <v>179</v>
      </c>
      <c r="AF12" s="31">
        <f t="shared" si="4"/>
        <v>761</v>
      </c>
    </row>
    <row r="13" spans="2:32" ht="23.1" customHeight="1" x14ac:dyDescent="0.25">
      <c r="B13" s="23" t="s">
        <v>40</v>
      </c>
      <c r="C13" s="50">
        <v>10</v>
      </c>
      <c r="D13" s="50">
        <v>2</v>
      </c>
      <c r="E13" s="50">
        <v>3</v>
      </c>
      <c r="F13" s="50">
        <v>7</v>
      </c>
      <c r="G13" s="50">
        <v>0</v>
      </c>
      <c r="H13" s="50">
        <v>0</v>
      </c>
      <c r="I13" s="50">
        <v>1</v>
      </c>
      <c r="J13" s="50">
        <v>3</v>
      </c>
      <c r="K13" s="50">
        <v>0</v>
      </c>
      <c r="L13" s="50">
        <v>0</v>
      </c>
      <c r="M13" s="50">
        <v>28</v>
      </c>
      <c r="N13" s="50">
        <v>0</v>
      </c>
      <c r="O13" s="15">
        <f t="shared" si="0"/>
        <v>26</v>
      </c>
      <c r="P13" s="15">
        <f t="shared" si="1"/>
        <v>54</v>
      </c>
      <c r="R13" s="1" t="s">
        <v>9</v>
      </c>
      <c r="S13" s="17">
        <f t="shared" ref="S13:AF13" si="5">SUM(C22:C25)</f>
        <v>141</v>
      </c>
      <c r="T13" s="17">
        <f t="shared" si="5"/>
        <v>20</v>
      </c>
      <c r="U13" s="17">
        <f t="shared" si="5"/>
        <v>11</v>
      </c>
      <c r="V13" s="17">
        <f t="shared" si="5"/>
        <v>40</v>
      </c>
      <c r="W13" s="17">
        <f t="shared" si="5"/>
        <v>0</v>
      </c>
      <c r="X13" s="17">
        <f t="shared" si="5"/>
        <v>0</v>
      </c>
      <c r="Y13" s="17">
        <f t="shared" si="5"/>
        <v>14</v>
      </c>
      <c r="Z13" s="17">
        <f t="shared" si="5"/>
        <v>11</v>
      </c>
      <c r="AA13" s="17">
        <f t="shared" si="5"/>
        <v>0</v>
      </c>
      <c r="AB13" s="17">
        <f t="shared" si="5"/>
        <v>0</v>
      </c>
      <c r="AC13" s="17">
        <f t="shared" si="5"/>
        <v>630</v>
      </c>
      <c r="AD13" s="17">
        <f t="shared" si="5"/>
        <v>0</v>
      </c>
      <c r="AE13" s="31">
        <f t="shared" si="5"/>
        <v>237</v>
      </c>
      <c r="AF13" s="31">
        <f t="shared" si="5"/>
        <v>867</v>
      </c>
    </row>
    <row r="14" spans="2:32" ht="23.1" customHeight="1" x14ac:dyDescent="0.25">
      <c r="B14" s="23" t="s">
        <v>41</v>
      </c>
      <c r="C14" s="50">
        <v>4</v>
      </c>
      <c r="D14" s="50">
        <v>4</v>
      </c>
      <c r="E14" s="50">
        <v>2</v>
      </c>
      <c r="F14" s="50">
        <v>5</v>
      </c>
      <c r="G14" s="50">
        <v>0</v>
      </c>
      <c r="H14" s="50">
        <v>0</v>
      </c>
      <c r="I14" s="50">
        <v>1</v>
      </c>
      <c r="J14" s="50">
        <v>3</v>
      </c>
      <c r="K14" s="50">
        <v>1</v>
      </c>
      <c r="L14" s="50">
        <v>0</v>
      </c>
      <c r="M14" s="50">
        <v>55</v>
      </c>
      <c r="N14" s="50">
        <v>0</v>
      </c>
      <c r="O14" s="15">
        <f t="shared" si="0"/>
        <v>20</v>
      </c>
      <c r="P14" s="15">
        <f t="shared" si="1"/>
        <v>75</v>
      </c>
      <c r="R14" s="1" t="s">
        <v>10</v>
      </c>
      <c r="S14" s="17">
        <f t="shared" ref="S14:AF14" si="6">SUM(C26:C29)</f>
        <v>151</v>
      </c>
      <c r="T14" s="17">
        <f t="shared" si="6"/>
        <v>25</v>
      </c>
      <c r="U14" s="17">
        <f t="shared" si="6"/>
        <v>11</v>
      </c>
      <c r="V14" s="17">
        <f t="shared" si="6"/>
        <v>44</v>
      </c>
      <c r="W14" s="17">
        <f t="shared" si="6"/>
        <v>1</v>
      </c>
      <c r="X14" s="17">
        <f t="shared" si="6"/>
        <v>2</v>
      </c>
      <c r="Y14" s="17">
        <f t="shared" si="6"/>
        <v>29</v>
      </c>
      <c r="Z14" s="17">
        <f t="shared" si="6"/>
        <v>11</v>
      </c>
      <c r="AA14" s="17">
        <f t="shared" si="6"/>
        <v>2</v>
      </c>
      <c r="AB14" s="17">
        <f t="shared" si="6"/>
        <v>6</v>
      </c>
      <c r="AC14" s="17">
        <f t="shared" si="6"/>
        <v>725</v>
      </c>
      <c r="AD14" s="17">
        <f t="shared" si="6"/>
        <v>1</v>
      </c>
      <c r="AE14" s="31">
        <f t="shared" si="6"/>
        <v>283</v>
      </c>
      <c r="AF14" s="31">
        <f t="shared" si="6"/>
        <v>1008</v>
      </c>
    </row>
    <row r="15" spans="2:32" ht="23.1" customHeight="1" x14ac:dyDescent="0.25">
      <c r="B15" s="23" t="s">
        <v>42</v>
      </c>
      <c r="C15" s="50">
        <v>12</v>
      </c>
      <c r="D15" s="50">
        <v>2</v>
      </c>
      <c r="E15" s="50">
        <v>2</v>
      </c>
      <c r="F15" s="50">
        <v>4</v>
      </c>
      <c r="G15" s="50">
        <v>0</v>
      </c>
      <c r="H15" s="50">
        <v>0</v>
      </c>
      <c r="I15" s="50">
        <v>2</v>
      </c>
      <c r="J15" s="50">
        <v>3</v>
      </c>
      <c r="K15" s="50">
        <v>0</v>
      </c>
      <c r="L15" s="50">
        <v>0</v>
      </c>
      <c r="M15" s="50">
        <v>80</v>
      </c>
      <c r="N15" s="50">
        <v>0</v>
      </c>
      <c r="O15" s="15">
        <f t="shared" si="0"/>
        <v>25</v>
      </c>
      <c r="P15" s="15">
        <f t="shared" si="1"/>
        <v>105</v>
      </c>
      <c r="R15" s="1" t="s">
        <v>11</v>
      </c>
      <c r="S15" s="17">
        <f t="shared" ref="S15:AF15" si="7">SUM(C30:C33)</f>
        <v>144</v>
      </c>
      <c r="T15" s="17">
        <f t="shared" si="7"/>
        <v>23</v>
      </c>
      <c r="U15" s="17">
        <f t="shared" si="7"/>
        <v>12</v>
      </c>
      <c r="V15" s="17">
        <f t="shared" si="7"/>
        <v>43</v>
      </c>
      <c r="W15" s="17">
        <f t="shared" si="7"/>
        <v>0</v>
      </c>
      <c r="X15" s="17">
        <f t="shared" si="7"/>
        <v>0</v>
      </c>
      <c r="Y15" s="17">
        <f t="shared" si="7"/>
        <v>22</v>
      </c>
      <c r="Z15" s="17">
        <f t="shared" si="7"/>
        <v>11</v>
      </c>
      <c r="AA15" s="17">
        <f t="shared" si="7"/>
        <v>5</v>
      </c>
      <c r="AB15" s="17">
        <f t="shared" si="7"/>
        <v>2</v>
      </c>
      <c r="AC15" s="17">
        <f t="shared" si="7"/>
        <v>560</v>
      </c>
      <c r="AD15" s="17">
        <f t="shared" si="7"/>
        <v>0</v>
      </c>
      <c r="AE15" s="31">
        <f t="shared" si="7"/>
        <v>262</v>
      </c>
      <c r="AF15" s="31">
        <f t="shared" si="7"/>
        <v>822</v>
      </c>
    </row>
    <row r="16" spans="2:32" ht="23.1" customHeight="1" x14ac:dyDescent="0.25">
      <c r="B16" s="23" t="s">
        <v>43</v>
      </c>
      <c r="C16" s="50">
        <v>11</v>
      </c>
      <c r="D16" s="50">
        <v>3</v>
      </c>
      <c r="E16" s="50">
        <v>2</v>
      </c>
      <c r="F16" s="50">
        <v>14</v>
      </c>
      <c r="G16" s="50">
        <v>1</v>
      </c>
      <c r="H16" s="50">
        <v>0</v>
      </c>
      <c r="I16" s="50">
        <v>8</v>
      </c>
      <c r="J16" s="50">
        <v>7</v>
      </c>
      <c r="K16" s="50">
        <v>0</v>
      </c>
      <c r="L16" s="50">
        <v>0</v>
      </c>
      <c r="M16" s="50">
        <v>145</v>
      </c>
      <c r="N16" s="50">
        <v>0</v>
      </c>
      <c r="O16" s="15">
        <f t="shared" si="0"/>
        <v>46</v>
      </c>
      <c r="P16" s="15">
        <f t="shared" si="1"/>
        <v>191</v>
      </c>
      <c r="R16" s="1" t="s">
        <v>12</v>
      </c>
      <c r="S16" s="17">
        <f t="shared" ref="S16:AF16" si="8">SUM(C34:C37)</f>
        <v>174</v>
      </c>
      <c r="T16" s="17">
        <f t="shared" si="8"/>
        <v>17</v>
      </c>
      <c r="U16" s="17">
        <f t="shared" si="8"/>
        <v>7</v>
      </c>
      <c r="V16" s="17">
        <f t="shared" si="8"/>
        <v>36</v>
      </c>
      <c r="W16" s="17">
        <f t="shared" si="8"/>
        <v>0</v>
      </c>
      <c r="X16" s="17">
        <f t="shared" si="8"/>
        <v>0</v>
      </c>
      <c r="Y16" s="17">
        <f t="shared" si="8"/>
        <v>14</v>
      </c>
      <c r="Z16" s="17">
        <f t="shared" si="8"/>
        <v>13</v>
      </c>
      <c r="AA16" s="17">
        <f t="shared" si="8"/>
        <v>1</v>
      </c>
      <c r="AB16" s="17">
        <f t="shared" si="8"/>
        <v>1</v>
      </c>
      <c r="AC16" s="17">
        <f t="shared" si="8"/>
        <v>565</v>
      </c>
      <c r="AD16" s="17">
        <f t="shared" si="8"/>
        <v>0</v>
      </c>
      <c r="AE16" s="31">
        <f t="shared" si="8"/>
        <v>263</v>
      </c>
      <c r="AF16" s="31">
        <f t="shared" si="8"/>
        <v>828</v>
      </c>
    </row>
    <row r="17" spans="2:32" ht="23.1" customHeight="1" x14ac:dyDescent="0.25">
      <c r="B17" s="23" t="s">
        <v>44</v>
      </c>
      <c r="C17" s="50">
        <v>12</v>
      </c>
      <c r="D17" s="50">
        <v>2</v>
      </c>
      <c r="E17" s="50">
        <v>1</v>
      </c>
      <c r="F17" s="50">
        <v>6</v>
      </c>
      <c r="G17" s="50">
        <v>0</v>
      </c>
      <c r="H17" s="50">
        <v>0</v>
      </c>
      <c r="I17" s="50">
        <v>2</v>
      </c>
      <c r="J17" s="50">
        <v>1</v>
      </c>
      <c r="K17" s="50">
        <v>0</v>
      </c>
      <c r="L17" s="50">
        <v>0</v>
      </c>
      <c r="M17" s="50">
        <v>100</v>
      </c>
      <c r="N17" s="50">
        <v>0</v>
      </c>
      <c r="O17" s="15">
        <f t="shared" si="0"/>
        <v>24</v>
      </c>
      <c r="P17" s="15">
        <f t="shared" si="1"/>
        <v>124</v>
      </c>
      <c r="R17" s="1" t="s">
        <v>13</v>
      </c>
      <c r="S17" s="17">
        <f t="shared" ref="S17:AF17" si="9">SUM(C38:C41)</f>
        <v>162</v>
      </c>
      <c r="T17" s="17">
        <f t="shared" si="9"/>
        <v>25</v>
      </c>
      <c r="U17" s="17">
        <f t="shared" si="9"/>
        <v>9</v>
      </c>
      <c r="V17" s="17">
        <f t="shared" si="9"/>
        <v>44</v>
      </c>
      <c r="W17" s="17">
        <f t="shared" si="9"/>
        <v>0</v>
      </c>
      <c r="X17" s="17">
        <f t="shared" si="9"/>
        <v>0</v>
      </c>
      <c r="Y17" s="17">
        <f t="shared" si="9"/>
        <v>18</v>
      </c>
      <c r="Z17" s="17">
        <f t="shared" si="9"/>
        <v>7</v>
      </c>
      <c r="AA17" s="17">
        <f t="shared" si="9"/>
        <v>3</v>
      </c>
      <c r="AB17" s="17">
        <f t="shared" si="9"/>
        <v>1</v>
      </c>
      <c r="AC17" s="17">
        <f t="shared" si="9"/>
        <v>500</v>
      </c>
      <c r="AD17" s="17">
        <f t="shared" si="9"/>
        <v>0</v>
      </c>
      <c r="AE17" s="31">
        <f t="shared" si="9"/>
        <v>269</v>
      </c>
      <c r="AF17" s="31">
        <f t="shared" si="9"/>
        <v>769</v>
      </c>
    </row>
    <row r="18" spans="2:32" ht="23.1" customHeight="1" x14ac:dyDescent="0.25">
      <c r="B18" s="23" t="s">
        <v>45</v>
      </c>
      <c r="C18" s="50">
        <v>15</v>
      </c>
      <c r="D18" s="50">
        <v>14</v>
      </c>
      <c r="E18" s="50">
        <v>4</v>
      </c>
      <c r="F18" s="50">
        <v>10</v>
      </c>
      <c r="G18" s="50">
        <v>0</v>
      </c>
      <c r="H18" s="50">
        <v>0</v>
      </c>
      <c r="I18" s="50">
        <v>6</v>
      </c>
      <c r="J18" s="50">
        <v>4</v>
      </c>
      <c r="K18" s="50">
        <v>0</v>
      </c>
      <c r="L18" s="50">
        <v>1</v>
      </c>
      <c r="M18" s="50">
        <v>77</v>
      </c>
      <c r="N18" s="50">
        <v>0</v>
      </c>
      <c r="O18" s="15">
        <f t="shared" si="0"/>
        <v>54</v>
      </c>
      <c r="P18" s="15">
        <f t="shared" si="1"/>
        <v>131</v>
      </c>
      <c r="R18" s="1" t="s">
        <v>14</v>
      </c>
      <c r="S18" s="17">
        <f t="shared" ref="S18:AF18" si="10">SUM(C42:C45)</f>
        <v>151</v>
      </c>
      <c r="T18" s="17">
        <f t="shared" si="10"/>
        <v>18</v>
      </c>
      <c r="U18" s="17">
        <f t="shared" si="10"/>
        <v>8</v>
      </c>
      <c r="V18" s="17">
        <f t="shared" si="10"/>
        <v>37</v>
      </c>
      <c r="W18" s="17">
        <f t="shared" si="10"/>
        <v>1</v>
      </c>
      <c r="X18" s="17">
        <f t="shared" si="10"/>
        <v>0</v>
      </c>
      <c r="Y18" s="17">
        <f t="shared" si="10"/>
        <v>13</v>
      </c>
      <c r="Z18" s="17">
        <f t="shared" si="10"/>
        <v>11</v>
      </c>
      <c r="AA18" s="17">
        <f t="shared" si="10"/>
        <v>0</v>
      </c>
      <c r="AB18" s="17">
        <f t="shared" si="10"/>
        <v>2</v>
      </c>
      <c r="AC18" s="17">
        <f t="shared" si="10"/>
        <v>600</v>
      </c>
      <c r="AD18" s="17">
        <f t="shared" si="10"/>
        <v>0</v>
      </c>
      <c r="AE18" s="31">
        <f t="shared" si="10"/>
        <v>241</v>
      </c>
      <c r="AF18" s="31">
        <f t="shared" si="10"/>
        <v>841</v>
      </c>
    </row>
    <row r="19" spans="2:32" ht="23.1" customHeight="1" x14ac:dyDescent="0.25">
      <c r="B19" s="23" t="s">
        <v>46</v>
      </c>
      <c r="C19" s="50">
        <v>30</v>
      </c>
      <c r="D19" s="50">
        <v>3</v>
      </c>
      <c r="E19" s="50">
        <v>1</v>
      </c>
      <c r="F19" s="50">
        <v>8</v>
      </c>
      <c r="G19" s="50">
        <v>0</v>
      </c>
      <c r="H19" s="50">
        <v>0</v>
      </c>
      <c r="I19" s="50">
        <v>3</v>
      </c>
      <c r="J19" s="50">
        <v>6</v>
      </c>
      <c r="K19" s="50">
        <v>0</v>
      </c>
      <c r="L19" s="50">
        <v>0</v>
      </c>
      <c r="M19" s="50">
        <v>115</v>
      </c>
      <c r="N19" s="50">
        <v>0</v>
      </c>
      <c r="O19" s="15">
        <f t="shared" si="0"/>
        <v>51</v>
      </c>
      <c r="P19" s="15">
        <f t="shared" si="1"/>
        <v>166</v>
      </c>
      <c r="R19" s="1" t="s">
        <v>15</v>
      </c>
      <c r="S19" s="17">
        <f t="shared" ref="S19:AF19" si="11">SUM(C46:C49)</f>
        <v>131</v>
      </c>
      <c r="T19" s="17">
        <f t="shared" si="11"/>
        <v>17</v>
      </c>
      <c r="U19" s="17">
        <f t="shared" si="11"/>
        <v>10</v>
      </c>
      <c r="V19" s="17">
        <f t="shared" si="11"/>
        <v>32</v>
      </c>
      <c r="W19" s="17">
        <f t="shared" si="11"/>
        <v>3</v>
      </c>
      <c r="X19" s="17">
        <f t="shared" si="11"/>
        <v>0</v>
      </c>
      <c r="Y19" s="17">
        <f t="shared" si="11"/>
        <v>12</v>
      </c>
      <c r="Z19" s="17">
        <f t="shared" si="11"/>
        <v>10</v>
      </c>
      <c r="AA19" s="17">
        <f t="shared" si="11"/>
        <v>2</v>
      </c>
      <c r="AB19" s="17">
        <f t="shared" si="11"/>
        <v>2</v>
      </c>
      <c r="AC19" s="17">
        <f t="shared" si="11"/>
        <v>680</v>
      </c>
      <c r="AD19" s="17">
        <f t="shared" si="11"/>
        <v>0</v>
      </c>
      <c r="AE19" s="31">
        <f t="shared" si="11"/>
        <v>219</v>
      </c>
      <c r="AF19" s="31">
        <f t="shared" si="11"/>
        <v>899</v>
      </c>
    </row>
    <row r="20" spans="2:32" ht="23.1" customHeight="1" x14ac:dyDescent="0.25">
      <c r="B20" s="23" t="s">
        <v>47</v>
      </c>
      <c r="C20" s="50">
        <v>19</v>
      </c>
      <c r="D20" s="50">
        <v>2</v>
      </c>
      <c r="E20" s="50">
        <v>3</v>
      </c>
      <c r="F20" s="50">
        <v>9</v>
      </c>
      <c r="G20" s="50">
        <v>0</v>
      </c>
      <c r="H20" s="50">
        <v>0</v>
      </c>
      <c r="I20" s="50">
        <v>0</v>
      </c>
      <c r="J20" s="50">
        <v>4</v>
      </c>
      <c r="K20" s="50">
        <v>0</v>
      </c>
      <c r="L20" s="50">
        <v>0</v>
      </c>
      <c r="M20" s="50">
        <v>130</v>
      </c>
      <c r="N20" s="50">
        <v>0</v>
      </c>
      <c r="O20" s="15">
        <f t="shared" si="0"/>
        <v>37</v>
      </c>
      <c r="P20" s="15">
        <f t="shared" si="1"/>
        <v>167</v>
      </c>
      <c r="R20" s="1" t="s">
        <v>16</v>
      </c>
      <c r="S20" s="17">
        <f t="shared" ref="S20:AF20" si="12">SUM(C50:C53)</f>
        <v>203</v>
      </c>
      <c r="T20" s="17">
        <f t="shared" si="12"/>
        <v>21</v>
      </c>
      <c r="U20" s="17">
        <f t="shared" si="12"/>
        <v>8</v>
      </c>
      <c r="V20" s="17">
        <f t="shared" si="12"/>
        <v>22</v>
      </c>
      <c r="W20" s="17">
        <f t="shared" si="12"/>
        <v>0</v>
      </c>
      <c r="X20" s="17">
        <f t="shared" si="12"/>
        <v>0</v>
      </c>
      <c r="Y20" s="17">
        <f t="shared" si="12"/>
        <v>19</v>
      </c>
      <c r="Z20" s="17">
        <f t="shared" si="12"/>
        <v>13</v>
      </c>
      <c r="AA20" s="17">
        <f t="shared" si="12"/>
        <v>1</v>
      </c>
      <c r="AB20" s="17">
        <f t="shared" si="12"/>
        <v>0</v>
      </c>
      <c r="AC20" s="17">
        <f t="shared" si="12"/>
        <v>635</v>
      </c>
      <c r="AD20" s="17">
        <f t="shared" si="12"/>
        <v>0</v>
      </c>
      <c r="AE20" s="31">
        <f t="shared" si="12"/>
        <v>287</v>
      </c>
      <c r="AF20" s="31">
        <f t="shared" si="12"/>
        <v>922</v>
      </c>
    </row>
    <row r="21" spans="2:32" ht="23.1" customHeight="1" x14ac:dyDescent="0.25">
      <c r="B21" s="23" t="s">
        <v>48</v>
      </c>
      <c r="C21" s="50">
        <v>20</v>
      </c>
      <c r="D21" s="50">
        <v>3</v>
      </c>
      <c r="E21" s="50">
        <v>0</v>
      </c>
      <c r="F21" s="50">
        <v>8</v>
      </c>
      <c r="G21" s="50">
        <v>1</v>
      </c>
      <c r="H21" s="50">
        <v>0</v>
      </c>
      <c r="I21" s="50">
        <v>4</v>
      </c>
      <c r="J21" s="50">
        <v>1</v>
      </c>
      <c r="K21" s="50">
        <v>0</v>
      </c>
      <c r="L21" s="50">
        <v>0</v>
      </c>
      <c r="M21" s="50">
        <v>260</v>
      </c>
      <c r="N21" s="50">
        <v>0</v>
      </c>
      <c r="O21" s="15">
        <f t="shared" si="0"/>
        <v>37</v>
      </c>
      <c r="P21" s="15">
        <f t="shared" si="1"/>
        <v>297</v>
      </c>
      <c r="R21" s="36" t="s">
        <v>20</v>
      </c>
      <c r="S21" s="34">
        <f t="shared" ref="S21:AF21" si="13">SUM(C54:C57)</f>
        <v>144</v>
      </c>
      <c r="T21" s="17">
        <f t="shared" si="13"/>
        <v>17</v>
      </c>
      <c r="U21" s="17">
        <f t="shared" si="13"/>
        <v>10</v>
      </c>
      <c r="V21" s="17">
        <f t="shared" si="13"/>
        <v>59</v>
      </c>
      <c r="W21" s="17">
        <f t="shared" si="13"/>
        <v>1</v>
      </c>
      <c r="X21" s="17">
        <f t="shared" si="13"/>
        <v>0</v>
      </c>
      <c r="Y21" s="17">
        <f t="shared" si="13"/>
        <v>18</v>
      </c>
      <c r="Z21" s="17">
        <f t="shared" si="13"/>
        <v>9</v>
      </c>
      <c r="AA21" s="17">
        <f t="shared" si="13"/>
        <v>0</v>
      </c>
      <c r="AB21" s="17">
        <f t="shared" si="13"/>
        <v>0</v>
      </c>
      <c r="AC21" s="17">
        <f t="shared" si="13"/>
        <v>542</v>
      </c>
      <c r="AD21" s="17">
        <f t="shared" si="13"/>
        <v>0</v>
      </c>
      <c r="AE21" s="31">
        <f t="shared" si="13"/>
        <v>258</v>
      </c>
      <c r="AF21" s="31">
        <f t="shared" si="13"/>
        <v>800</v>
      </c>
    </row>
    <row r="22" spans="2:32" ht="23.1" customHeight="1" x14ac:dyDescent="0.25">
      <c r="B22" s="23" t="s">
        <v>49</v>
      </c>
      <c r="C22" s="50">
        <v>26</v>
      </c>
      <c r="D22" s="50">
        <v>7</v>
      </c>
      <c r="E22" s="50">
        <v>3</v>
      </c>
      <c r="F22" s="50">
        <v>8</v>
      </c>
      <c r="G22" s="50">
        <v>0</v>
      </c>
      <c r="H22" s="50">
        <v>0</v>
      </c>
      <c r="I22" s="50">
        <v>2</v>
      </c>
      <c r="J22" s="50">
        <v>1</v>
      </c>
      <c r="K22" s="50">
        <v>0</v>
      </c>
      <c r="L22" s="50">
        <v>0</v>
      </c>
      <c r="M22" s="50">
        <v>150</v>
      </c>
      <c r="N22" s="50">
        <v>0</v>
      </c>
      <c r="O22" s="15">
        <f t="shared" si="0"/>
        <v>47</v>
      </c>
      <c r="P22" s="15">
        <f t="shared" si="1"/>
        <v>197</v>
      </c>
      <c r="R22" s="38" t="s">
        <v>90</v>
      </c>
      <c r="S22" s="39">
        <f>MAX(S10:S12)</f>
        <v>84</v>
      </c>
      <c r="T22" s="39">
        <f t="shared" ref="T22:AF22" si="14">MAX(T10:T12)</f>
        <v>22</v>
      </c>
      <c r="U22" s="39">
        <f t="shared" si="14"/>
        <v>8</v>
      </c>
      <c r="V22" s="39">
        <f t="shared" si="14"/>
        <v>35</v>
      </c>
      <c r="W22" s="39">
        <f t="shared" si="14"/>
        <v>1</v>
      </c>
      <c r="X22" s="39">
        <f t="shared" si="14"/>
        <v>0</v>
      </c>
      <c r="Y22" s="39">
        <f t="shared" si="14"/>
        <v>13</v>
      </c>
      <c r="Z22" s="39">
        <f t="shared" si="14"/>
        <v>15</v>
      </c>
      <c r="AA22" s="39">
        <f t="shared" si="14"/>
        <v>1</v>
      </c>
      <c r="AB22" s="39">
        <f t="shared" si="14"/>
        <v>1</v>
      </c>
      <c r="AC22" s="39">
        <f t="shared" si="14"/>
        <v>582</v>
      </c>
      <c r="AD22" s="39">
        <f t="shared" si="14"/>
        <v>0</v>
      </c>
      <c r="AE22" s="40">
        <f t="shared" si="14"/>
        <v>179</v>
      </c>
      <c r="AF22" s="40">
        <f t="shared" si="14"/>
        <v>761</v>
      </c>
    </row>
    <row r="23" spans="2:32" ht="23.1" customHeight="1" x14ac:dyDescent="0.25">
      <c r="B23" s="23" t="s">
        <v>50</v>
      </c>
      <c r="C23" s="50">
        <v>40</v>
      </c>
      <c r="D23" s="50">
        <v>5</v>
      </c>
      <c r="E23" s="50">
        <v>2</v>
      </c>
      <c r="F23" s="50">
        <v>9</v>
      </c>
      <c r="G23" s="50">
        <v>0</v>
      </c>
      <c r="H23" s="50">
        <v>0</v>
      </c>
      <c r="I23" s="50">
        <v>7</v>
      </c>
      <c r="J23" s="50">
        <v>3</v>
      </c>
      <c r="K23" s="50">
        <v>0</v>
      </c>
      <c r="L23" s="50">
        <v>0</v>
      </c>
      <c r="M23" s="50">
        <v>145</v>
      </c>
      <c r="N23" s="50">
        <v>0</v>
      </c>
      <c r="O23" s="15">
        <f t="shared" si="0"/>
        <v>66</v>
      </c>
      <c r="P23" s="15">
        <f t="shared" si="1"/>
        <v>211</v>
      </c>
      <c r="R23" s="38" t="s">
        <v>91</v>
      </c>
      <c r="S23" s="39">
        <f>MAX(S13:S18)</f>
        <v>174</v>
      </c>
      <c r="T23" s="39">
        <f t="shared" ref="T23:AF23" si="15">MAX(T13:T18)</f>
        <v>25</v>
      </c>
      <c r="U23" s="39">
        <f t="shared" si="15"/>
        <v>12</v>
      </c>
      <c r="V23" s="39">
        <f t="shared" si="15"/>
        <v>44</v>
      </c>
      <c r="W23" s="39">
        <f t="shared" si="15"/>
        <v>1</v>
      </c>
      <c r="X23" s="39">
        <f t="shared" si="15"/>
        <v>2</v>
      </c>
      <c r="Y23" s="39">
        <f t="shared" si="15"/>
        <v>29</v>
      </c>
      <c r="Z23" s="39">
        <f t="shared" si="15"/>
        <v>13</v>
      </c>
      <c r="AA23" s="39">
        <f t="shared" si="15"/>
        <v>5</v>
      </c>
      <c r="AB23" s="39">
        <f t="shared" si="15"/>
        <v>6</v>
      </c>
      <c r="AC23" s="39">
        <f t="shared" si="15"/>
        <v>725</v>
      </c>
      <c r="AD23" s="39">
        <f t="shared" si="15"/>
        <v>1</v>
      </c>
      <c r="AE23" s="40">
        <f t="shared" si="15"/>
        <v>283</v>
      </c>
      <c r="AF23" s="40">
        <f t="shared" si="15"/>
        <v>1008</v>
      </c>
    </row>
    <row r="24" spans="2:32" ht="23.1" customHeight="1" x14ac:dyDescent="0.25">
      <c r="B24" s="23" t="s">
        <v>51</v>
      </c>
      <c r="C24" s="50">
        <v>40</v>
      </c>
      <c r="D24" s="50">
        <v>2</v>
      </c>
      <c r="E24" s="50">
        <v>2</v>
      </c>
      <c r="F24" s="50">
        <v>13</v>
      </c>
      <c r="G24" s="50">
        <v>0</v>
      </c>
      <c r="H24" s="50">
        <v>0</v>
      </c>
      <c r="I24" s="50">
        <v>3</v>
      </c>
      <c r="J24" s="50">
        <v>5</v>
      </c>
      <c r="K24" s="50">
        <v>0</v>
      </c>
      <c r="L24" s="50">
        <v>0</v>
      </c>
      <c r="M24" s="50">
        <v>170</v>
      </c>
      <c r="N24" s="50">
        <v>0</v>
      </c>
      <c r="O24" s="15">
        <f t="shared" si="0"/>
        <v>65</v>
      </c>
      <c r="P24" s="15">
        <f t="shared" si="1"/>
        <v>235</v>
      </c>
      <c r="R24" s="38" t="s">
        <v>92</v>
      </c>
      <c r="S24" s="39">
        <f>MAX(S19:S21)</f>
        <v>203</v>
      </c>
      <c r="T24" s="39">
        <f t="shared" ref="T24:AF24" si="16">MAX(T19:T21)</f>
        <v>21</v>
      </c>
      <c r="U24" s="39">
        <f t="shared" si="16"/>
        <v>10</v>
      </c>
      <c r="V24" s="39">
        <f t="shared" si="16"/>
        <v>59</v>
      </c>
      <c r="W24" s="39">
        <f t="shared" si="16"/>
        <v>3</v>
      </c>
      <c r="X24" s="39">
        <f t="shared" si="16"/>
        <v>0</v>
      </c>
      <c r="Y24" s="39">
        <f t="shared" si="16"/>
        <v>19</v>
      </c>
      <c r="Z24" s="39">
        <f t="shared" si="16"/>
        <v>13</v>
      </c>
      <c r="AA24" s="39">
        <f t="shared" si="16"/>
        <v>2</v>
      </c>
      <c r="AB24" s="39">
        <f t="shared" si="16"/>
        <v>2</v>
      </c>
      <c r="AC24" s="39">
        <f t="shared" si="16"/>
        <v>680</v>
      </c>
      <c r="AD24" s="39">
        <f t="shared" si="16"/>
        <v>0</v>
      </c>
      <c r="AE24" s="40">
        <f t="shared" si="16"/>
        <v>287</v>
      </c>
      <c r="AF24" s="40">
        <f t="shared" si="16"/>
        <v>922</v>
      </c>
    </row>
    <row r="25" spans="2:32" ht="23.1" customHeight="1" x14ac:dyDescent="0.25">
      <c r="B25" s="23" t="s">
        <v>52</v>
      </c>
      <c r="C25" s="50">
        <v>35</v>
      </c>
      <c r="D25" s="50">
        <v>6</v>
      </c>
      <c r="E25" s="50">
        <v>4</v>
      </c>
      <c r="F25" s="50">
        <v>10</v>
      </c>
      <c r="G25" s="50">
        <v>0</v>
      </c>
      <c r="H25" s="50">
        <v>0</v>
      </c>
      <c r="I25" s="50">
        <v>2</v>
      </c>
      <c r="J25" s="50">
        <v>2</v>
      </c>
      <c r="K25" s="50">
        <v>0</v>
      </c>
      <c r="L25" s="50">
        <v>0</v>
      </c>
      <c r="M25" s="50">
        <v>165</v>
      </c>
      <c r="N25" s="50">
        <v>0</v>
      </c>
      <c r="O25" s="15">
        <f t="shared" si="0"/>
        <v>59</v>
      </c>
      <c r="P25" s="15">
        <f t="shared" si="1"/>
        <v>224</v>
      </c>
      <c r="R25" s="37" t="s">
        <v>85</v>
      </c>
      <c r="S25" s="35">
        <f t="shared" ref="S25:AF25" si="17">SUM(S10:S12)</f>
        <v>153</v>
      </c>
      <c r="T25" s="16">
        <f t="shared" si="17"/>
        <v>38</v>
      </c>
      <c r="U25" s="16">
        <f t="shared" si="17"/>
        <v>19</v>
      </c>
      <c r="V25" s="16">
        <f t="shared" si="17"/>
        <v>90</v>
      </c>
      <c r="W25" s="16">
        <f t="shared" si="17"/>
        <v>3</v>
      </c>
      <c r="X25" s="16">
        <f t="shared" si="17"/>
        <v>0</v>
      </c>
      <c r="Y25" s="16">
        <f t="shared" si="17"/>
        <v>31</v>
      </c>
      <c r="Z25" s="16">
        <f t="shared" si="17"/>
        <v>39</v>
      </c>
      <c r="AA25" s="16">
        <f t="shared" si="17"/>
        <v>1</v>
      </c>
      <c r="AB25" s="16">
        <f t="shared" si="17"/>
        <v>1</v>
      </c>
      <c r="AC25" s="16">
        <f t="shared" si="17"/>
        <v>1175</v>
      </c>
      <c r="AD25" s="16">
        <f t="shared" si="17"/>
        <v>0</v>
      </c>
      <c r="AE25" s="32">
        <f t="shared" si="17"/>
        <v>375</v>
      </c>
      <c r="AF25" s="32">
        <f t="shared" si="17"/>
        <v>1550</v>
      </c>
    </row>
    <row r="26" spans="2:32" ht="23.1" customHeight="1" x14ac:dyDescent="0.25">
      <c r="B26" s="23" t="s">
        <v>53</v>
      </c>
      <c r="C26" s="50">
        <v>35</v>
      </c>
      <c r="D26" s="50">
        <v>4</v>
      </c>
      <c r="E26" s="50">
        <v>3</v>
      </c>
      <c r="F26" s="50">
        <v>11</v>
      </c>
      <c r="G26" s="50">
        <v>1</v>
      </c>
      <c r="H26" s="50">
        <v>2</v>
      </c>
      <c r="I26" s="50">
        <v>5</v>
      </c>
      <c r="J26" s="50">
        <v>3</v>
      </c>
      <c r="K26" s="50">
        <v>2</v>
      </c>
      <c r="L26" s="50">
        <v>4</v>
      </c>
      <c r="M26" s="50">
        <v>150</v>
      </c>
      <c r="N26" s="50">
        <v>0</v>
      </c>
      <c r="O26" s="15">
        <f t="shared" si="0"/>
        <v>70</v>
      </c>
      <c r="P26" s="15">
        <f t="shared" si="1"/>
        <v>220</v>
      </c>
      <c r="R26" s="28" t="s">
        <v>86</v>
      </c>
      <c r="S26" s="16">
        <f t="shared" ref="S26:AF26" si="18">SUM(S13:S18)</f>
        <v>923</v>
      </c>
      <c r="T26" s="16">
        <f t="shared" si="18"/>
        <v>128</v>
      </c>
      <c r="U26" s="16">
        <f t="shared" si="18"/>
        <v>58</v>
      </c>
      <c r="V26" s="16">
        <f t="shared" si="18"/>
        <v>244</v>
      </c>
      <c r="W26" s="16">
        <f t="shared" si="18"/>
        <v>2</v>
      </c>
      <c r="X26" s="16">
        <f t="shared" si="18"/>
        <v>2</v>
      </c>
      <c r="Y26" s="16">
        <f t="shared" si="18"/>
        <v>110</v>
      </c>
      <c r="Z26" s="16">
        <f t="shared" si="18"/>
        <v>64</v>
      </c>
      <c r="AA26" s="16">
        <f t="shared" si="18"/>
        <v>11</v>
      </c>
      <c r="AB26" s="16">
        <f t="shared" si="18"/>
        <v>12</v>
      </c>
      <c r="AC26" s="16">
        <f t="shared" si="18"/>
        <v>3580</v>
      </c>
      <c r="AD26" s="16">
        <f t="shared" si="18"/>
        <v>1</v>
      </c>
      <c r="AE26" s="32">
        <f t="shared" si="18"/>
        <v>1555</v>
      </c>
      <c r="AF26" s="32">
        <f t="shared" si="18"/>
        <v>5135</v>
      </c>
    </row>
    <row r="27" spans="2:32" ht="23.1" customHeight="1" x14ac:dyDescent="0.25">
      <c r="B27" s="23" t="s">
        <v>54</v>
      </c>
      <c r="C27" s="50">
        <v>45</v>
      </c>
      <c r="D27" s="50">
        <v>4</v>
      </c>
      <c r="E27" s="50">
        <v>2</v>
      </c>
      <c r="F27" s="50">
        <v>12</v>
      </c>
      <c r="G27" s="50">
        <v>0</v>
      </c>
      <c r="H27" s="50">
        <v>0</v>
      </c>
      <c r="I27" s="50">
        <v>6</v>
      </c>
      <c r="J27" s="50">
        <v>6</v>
      </c>
      <c r="K27" s="50">
        <v>0</v>
      </c>
      <c r="L27" s="50">
        <v>0</v>
      </c>
      <c r="M27" s="50">
        <v>195</v>
      </c>
      <c r="N27" s="50">
        <v>0</v>
      </c>
      <c r="O27" s="15">
        <f t="shared" si="0"/>
        <v>75</v>
      </c>
      <c r="P27" s="15">
        <f t="shared" si="1"/>
        <v>270</v>
      </c>
      <c r="R27" s="29" t="s">
        <v>87</v>
      </c>
      <c r="S27" s="16">
        <f t="shared" ref="S27:AF27" si="19">SUM(S19:S21)</f>
        <v>478</v>
      </c>
      <c r="T27" s="16">
        <f t="shared" si="19"/>
        <v>55</v>
      </c>
      <c r="U27" s="16">
        <f t="shared" si="19"/>
        <v>28</v>
      </c>
      <c r="V27" s="16">
        <f t="shared" si="19"/>
        <v>113</v>
      </c>
      <c r="W27" s="16">
        <f t="shared" si="19"/>
        <v>4</v>
      </c>
      <c r="X27" s="16">
        <f t="shared" si="19"/>
        <v>0</v>
      </c>
      <c r="Y27" s="16">
        <f t="shared" si="19"/>
        <v>49</v>
      </c>
      <c r="Z27" s="16">
        <f t="shared" si="19"/>
        <v>32</v>
      </c>
      <c r="AA27" s="16">
        <f t="shared" si="19"/>
        <v>3</v>
      </c>
      <c r="AB27" s="16">
        <f t="shared" si="19"/>
        <v>2</v>
      </c>
      <c r="AC27" s="16">
        <f t="shared" si="19"/>
        <v>1857</v>
      </c>
      <c r="AD27" s="16">
        <f t="shared" si="19"/>
        <v>0</v>
      </c>
      <c r="AE27" s="32">
        <f t="shared" si="19"/>
        <v>764</v>
      </c>
      <c r="AF27" s="32">
        <f t="shared" si="19"/>
        <v>2621</v>
      </c>
    </row>
    <row r="28" spans="2:32" ht="23.1" customHeight="1" x14ac:dyDescent="0.25">
      <c r="B28" s="23" t="s">
        <v>55</v>
      </c>
      <c r="C28" s="50">
        <v>34</v>
      </c>
      <c r="D28" s="50">
        <v>8</v>
      </c>
      <c r="E28" s="50">
        <v>3</v>
      </c>
      <c r="F28" s="50">
        <v>9</v>
      </c>
      <c r="G28" s="50">
        <v>0</v>
      </c>
      <c r="H28" s="50">
        <v>0</v>
      </c>
      <c r="I28" s="50">
        <v>9</v>
      </c>
      <c r="J28" s="50">
        <v>2</v>
      </c>
      <c r="K28" s="50">
        <v>0</v>
      </c>
      <c r="L28" s="50">
        <v>0</v>
      </c>
      <c r="M28" s="50">
        <v>210</v>
      </c>
      <c r="N28" s="50">
        <v>0</v>
      </c>
      <c r="O28" s="15">
        <f t="shared" si="0"/>
        <v>65</v>
      </c>
      <c r="P28" s="15">
        <f t="shared" si="1"/>
        <v>275</v>
      </c>
      <c r="R28" s="5" t="s">
        <v>17</v>
      </c>
      <c r="S28" s="16">
        <f t="shared" ref="S28:AF28" si="20">SUM(S10:S21)</f>
        <v>1554</v>
      </c>
      <c r="T28" s="16">
        <f t="shared" si="20"/>
        <v>221</v>
      </c>
      <c r="U28" s="16">
        <f t="shared" si="20"/>
        <v>105</v>
      </c>
      <c r="V28" s="16">
        <f t="shared" si="20"/>
        <v>447</v>
      </c>
      <c r="W28" s="16">
        <f t="shared" si="20"/>
        <v>9</v>
      </c>
      <c r="X28" s="16">
        <f t="shared" si="20"/>
        <v>2</v>
      </c>
      <c r="Y28" s="16">
        <f t="shared" si="20"/>
        <v>190</v>
      </c>
      <c r="Z28" s="16">
        <f t="shared" si="20"/>
        <v>135</v>
      </c>
      <c r="AA28" s="16">
        <f t="shared" si="20"/>
        <v>15</v>
      </c>
      <c r="AB28" s="16">
        <f t="shared" si="20"/>
        <v>15</v>
      </c>
      <c r="AC28" s="16">
        <f t="shared" si="20"/>
        <v>6612</v>
      </c>
      <c r="AD28" s="16">
        <f t="shared" si="20"/>
        <v>1</v>
      </c>
      <c r="AE28" s="32">
        <f t="shared" si="20"/>
        <v>2694</v>
      </c>
      <c r="AF28" s="32">
        <f t="shared" si="20"/>
        <v>9306</v>
      </c>
    </row>
    <row r="29" spans="2:32" ht="23.1" customHeight="1" x14ac:dyDescent="0.25">
      <c r="B29" s="23" t="s">
        <v>56</v>
      </c>
      <c r="C29" s="50">
        <v>37</v>
      </c>
      <c r="D29" s="50">
        <v>9</v>
      </c>
      <c r="E29" s="50">
        <v>3</v>
      </c>
      <c r="F29" s="50">
        <v>12</v>
      </c>
      <c r="G29" s="50">
        <v>0</v>
      </c>
      <c r="H29" s="50">
        <v>0</v>
      </c>
      <c r="I29" s="50">
        <v>9</v>
      </c>
      <c r="J29" s="50">
        <v>0</v>
      </c>
      <c r="K29" s="50">
        <v>0</v>
      </c>
      <c r="L29" s="50">
        <v>2</v>
      </c>
      <c r="M29" s="50">
        <v>170</v>
      </c>
      <c r="N29" s="50">
        <v>1</v>
      </c>
      <c r="O29" s="15">
        <f t="shared" si="0"/>
        <v>73</v>
      </c>
      <c r="P29" s="15">
        <f t="shared" si="1"/>
        <v>243</v>
      </c>
      <c r="R29"/>
      <c r="S29" s="20"/>
      <c r="T29" s="19"/>
    </row>
    <row r="30" spans="2:32" ht="23.1" customHeight="1" x14ac:dyDescent="0.25">
      <c r="B30" s="23" t="s">
        <v>57</v>
      </c>
      <c r="C30" s="50">
        <v>20</v>
      </c>
      <c r="D30" s="50">
        <v>5</v>
      </c>
      <c r="E30" s="50">
        <v>2</v>
      </c>
      <c r="F30" s="50">
        <v>7</v>
      </c>
      <c r="G30" s="50">
        <v>0</v>
      </c>
      <c r="H30" s="50">
        <v>0</v>
      </c>
      <c r="I30" s="50">
        <v>4</v>
      </c>
      <c r="J30" s="50">
        <v>0</v>
      </c>
      <c r="K30" s="50">
        <v>3</v>
      </c>
      <c r="L30" s="50">
        <v>0</v>
      </c>
      <c r="M30" s="50">
        <v>80</v>
      </c>
      <c r="N30" s="50">
        <v>0</v>
      </c>
      <c r="O30" s="15">
        <f t="shared" si="0"/>
        <v>41</v>
      </c>
      <c r="P30" s="15">
        <f t="shared" si="1"/>
        <v>121</v>
      </c>
    </row>
    <row r="31" spans="2:32" ht="23.1" customHeight="1" x14ac:dyDescent="0.25">
      <c r="B31" s="24" t="s">
        <v>58</v>
      </c>
      <c r="C31" s="50">
        <v>32</v>
      </c>
      <c r="D31" s="50">
        <v>8</v>
      </c>
      <c r="E31" s="50">
        <v>2</v>
      </c>
      <c r="F31" s="50">
        <v>15</v>
      </c>
      <c r="G31" s="50">
        <v>0</v>
      </c>
      <c r="H31" s="50">
        <v>0</v>
      </c>
      <c r="I31" s="50">
        <v>6</v>
      </c>
      <c r="J31" s="50">
        <v>3</v>
      </c>
      <c r="K31" s="50">
        <v>0</v>
      </c>
      <c r="L31" s="50">
        <v>0</v>
      </c>
      <c r="M31" s="50">
        <v>160</v>
      </c>
      <c r="N31" s="50">
        <v>0</v>
      </c>
      <c r="O31" s="15">
        <f t="shared" si="0"/>
        <v>66</v>
      </c>
      <c r="P31" s="15">
        <f t="shared" si="1"/>
        <v>226</v>
      </c>
    </row>
    <row r="32" spans="2:32" ht="23.1" customHeight="1" x14ac:dyDescent="0.25">
      <c r="B32" s="24" t="s">
        <v>59</v>
      </c>
      <c r="C32" s="50">
        <v>57</v>
      </c>
      <c r="D32" s="50">
        <v>7</v>
      </c>
      <c r="E32" s="50">
        <v>4</v>
      </c>
      <c r="F32" s="50">
        <v>10</v>
      </c>
      <c r="G32" s="50">
        <v>0</v>
      </c>
      <c r="H32" s="50">
        <v>0</v>
      </c>
      <c r="I32" s="50">
        <v>7</v>
      </c>
      <c r="J32" s="50">
        <v>4</v>
      </c>
      <c r="K32" s="50">
        <v>2</v>
      </c>
      <c r="L32" s="50">
        <v>2</v>
      </c>
      <c r="M32" s="50">
        <v>175</v>
      </c>
      <c r="N32" s="50">
        <v>0</v>
      </c>
      <c r="O32" s="15">
        <f t="shared" si="0"/>
        <v>93</v>
      </c>
      <c r="P32" s="15">
        <f t="shared" si="1"/>
        <v>268</v>
      </c>
    </row>
    <row r="33" spans="2:20" ht="23.1" customHeight="1" x14ac:dyDescent="0.25">
      <c r="B33" s="23" t="s">
        <v>60</v>
      </c>
      <c r="C33" s="50">
        <v>35</v>
      </c>
      <c r="D33" s="50">
        <v>3</v>
      </c>
      <c r="E33" s="50">
        <v>4</v>
      </c>
      <c r="F33" s="50">
        <v>11</v>
      </c>
      <c r="G33" s="50">
        <v>0</v>
      </c>
      <c r="H33" s="50">
        <v>0</v>
      </c>
      <c r="I33" s="50">
        <v>5</v>
      </c>
      <c r="J33" s="50">
        <v>4</v>
      </c>
      <c r="K33" s="50">
        <v>0</v>
      </c>
      <c r="L33" s="50">
        <v>0</v>
      </c>
      <c r="M33" s="50">
        <v>145</v>
      </c>
      <c r="N33" s="50">
        <v>0</v>
      </c>
      <c r="O33" s="15">
        <f t="shared" si="0"/>
        <v>62</v>
      </c>
      <c r="P33" s="15">
        <f t="shared" si="1"/>
        <v>207</v>
      </c>
    </row>
    <row r="34" spans="2:20" ht="23.1" customHeight="1" x14ac:dyDescent="0.25">
      <c r="B34" s="24" t="s">
        <v>61</v>
      </c>
      <c r="C34" s="50">
        <v>47</v>
      </c>
      <c r="D34" s="50">
        <v>5</v>
      </c>
      <c r="E34" s="50">
        <v>2</v>
      </c>
      <c r="F34" s="50">
        <v>12</v>
      </c>
      <c r="G34" s="50">
        <v>0</v>
      </c>
      <c r="H34" s="50">
        <v>0</v>
      </c>
      <c r="I34" s="50">
        <v>2</v>
      </c>
      <c r="J34" s="50">
        <v>3</v>
      </c>
      <c r="K34" s="50">
        <v>1</v>
      </c>
      <c r="L34" s="50">
        <v>0</v>
      </c>
      <c r="M34" s="50">
        <v>70</v>
      </c>
      <c r="N34" s="50">
        <v>0</v>
      </c>
      <c r="O34" s="15">
        <f t="shared" si="0"/>
        <v>72</v>
      </c>
      <c r="P34" s="15">
        <f t="shared" si="1"/>
        <v>142</v>
      </c>
    </row>
    <row r="35" spans="2:20" ht="23.1" customHeight="1" x14ac:dyDescent="0.25">
      <c r="B35" s="24" t="s">
        <v>62</v>
      </c>
      <c r="C35" s="50">
        <v>46</v>
      </c>
      <c r="D35" s="50">
        <v>6</v>
      </c>
      <c r="E35" s="50">
        <v>0</v>
      </c>
      <c r="F35" s="50">
        <v>7</v>
      </c>
      <c r="G35" s="50">
        <v>0</v>
      </c>
      <c r="H35" s="50">
        <v>0</v>
      </c>
      <c r="I35" s="50">
        <v>4</v>
      </c>
      <c r="J35" s="50">
        <v>3</v>
      </c>
      <c r="K35" s="50">
        <v>0</v>
      </c>
      <c r="L35" s="50">
        <v>0</v>
      </c>
      <c r="M35" s="50">
        <v>205</v>
      </c>
      <c r="N35" s="50">
        <v>0</v>
      </c>
      <c r="O35" s="15">
        <f t="shared" si="0"/>
        <v>66</v>
      </c>
      <c r="P35" s="15">
        <f t="shared" si="1"/>
        <v>271</v>
      </c>
    </row>
    <row r="36" spans="2:20" ht="23.1" customHeight="1" x14ac:dyDescent="0.25">
      <c r="B36" s="24" t="s">
        <v>63</v>
      </c>
      <c r="C36" s="50">
        <v>43</v>
      </c>
      <c r="D36" s="50">
        <v>3</v>
      </c>
      <c r="E36" s="50">
        <v>4</v>
      </c>
      <c r="F36" s="50">
        <v>10</v>
      </c>
      <c r="G36" s="50">
        <v>0</v>
      </c>
      <c r="H36" s="50">
        <v>0</v>
      </c>
      <c r="I36" s="50">
        <v>4</v>
      </c>
      <c r="J36" s="50">
        <v>5</v>
      </c>
      <c r="K36" s="50">
        <v>0</v>
      </c>
      <c r="L36" s="50">
        <v>0</v>
      </c>
      <c r="M36" s="50">
        <v>105</v>
      </c>
      <c r="N36" s="50">
        <v>0</v>
      </c>
      <c r="O36" s="15">
        <f t="shared" si="0"/>
        <v>69</v>
      </c>
      <c r="P36" s="15">
        <f t="shared" si="1"/>
        <v>174</v>
      </c>
    </row>
    <row r="37" spans="2:20" ht="23.1" customHeight="1" x14ac:dyDescent="0.25">
      <c r="B37" s="23" t="s">
        <v>64</v>
      </c>
      <c r="C37" s="50">
        <v>38</v>
      </c>
      <c r="D37" s="50">
        <v>3</v>
      </c>
      <c r="E37" s="50">
        <v>1</v>
      </c>
      <c r="F37" s="50">
        <v>7</v>
      </c>
      <c r="G37" s="50">
        <v>0</v>
      </c>
      <c r="H37" s="50">
        <v>0</v>
      </c>
      <c r="I37" s="50">
        <v>4</v>
      </c>
      <c r="J37" s="50">
        <v>2</v>
      </c>
      <c r="K37" s="50">
        <v>0</v>
      </c>
      <c r="L37" s="50">
        <v>1</v>
      </c>
      <c r="M37" s="50">
        <v>185</v>
      </c>
      <c r="N37" s="50">
        <v>0</v>
      </c>
      <c r="O37" s="15">
        <f t="shared" si="0"/>
        <v>56</v>
      </c>
      <c r="P37" s="15">
        <f t="shared" si="1"/>
        <v>241</v>
      </c>
    </row>
    <row r="38" spans="2:20" ht="23.1" customHeight="1" x14ac:dyDescent="0.25">
      <c r="B38" s="24" t="s">
        <v>65</v>
      </c>
      <c r="C38" s="50">
        <v>50</v>
      </c>
      <c r="D38" s="50">
        <v>11</v>
      </c>
      <c r="E38" s="50">
        <v>4</v>
      </c>
      <c r="F38" s="50">
        <v>6</v>
      </c>
      <c r="G38" s="50">
        <v>0</v>
      </c>
      <c r="H38" s="50">
        <v>0</v>
      </c>
      <c r="I38" s="50">
        <v>4</v>
      </c>
      <c r="J38" s="50">
        <v>2</v>
      </c>
      <c r="K38" s="50">
        <v>2</v>
      </c>
      <c r="L38" s="50">
        <v>1</v>
      </c>
      <c r="M38" s="50">
        <v>145</v>
      </c>
      <c r="N38" s="50">
        <v>0</v>
      </c>
      <c r="O38" s="15">
        <f t="shared" si="0"/>
        <v>80</v>
      </c>
      <c r="P38" s="15">
        <f t="shared" si="1"/>
        <v>225</v>
      </c>
    </row>
    <row r="39" spans="2:20" ht="23.1" customHeight="1" x14ac:dyDescent="0.25">
      <c r="B39" s="24" t="s">
        <v>66</v>
      </c>
      <c r="C39" s="50">
        <v>25</v>
      </c>
      <c r="D39" s="50">
        <v>6</v>
      </c>
      <c r="E39" s="50">
        <v>3</v>
      </c>
      <c r="F39" s="50">
        <v>4</v>
      </c>
      <c r="G39" s="50">
        <v>0</v>
      </c>
      <c r="H39" s="50">
        <v>0</v>
      </c>
      <c r="I39" s="50">
        <v>4</v>
      </c>
      <c r="J39" s="50">
        <v>1</v>
      </c>
      <c r="K39" s="50">
        <v>1</v>
      </c>
      <c r="L39" s="50">
        <v>0</v>
      </c>
      <c r="M39" s="50">
        <v>160</v>
      </c>
      <c r="N39" s="50">
        <v>0</v>
      </c>
      <c r="O39" s="15">
        <f t="shared" si="0"/>
        <v>44</v>
      </c>
      <c r="P39" s="15">
        <f t="shared" si="1"/>
        <v>204</v>
      </c>
    </row>
    <row r="40" spans="2:20" ht="23.1" customHeight="1" x14ac:dyDescent="0.25">
      <c r="B40" s="24" t="s">
        <v>67</v>
      </c>
      <c r="C40" s="50">
        <v>38</v>
      </c>
      <c r="D40" s="50">
        <v>3</v>
      </c>
      <c r="E40" s="50">
        <v>1</v>
      </c>
      <c r="F40" s="50">
        <v>28</v>
      </c>
      <c r="G40" s="50">
        <v>0</v>
      </c>
      <c r="H40" s="50">
        <v>0</v>
      </c>
      <c r="I40" s="50">
        <v>8</v>
      </c>
      <c r="J40" s="50">
        <v>3</v>
      </c>
      <c r="K40" s="50">
        <v>0</v>
      </c>
      <c r="L40" s="50">
        <v>0</v>
      </c>
      <c r="M40" s="50">
        <v>145</v>
      </c>
      <c r="N40" s="50">
        <v>0</v>
      </c>
      <c r="O40" s="15">
        <f t="shared" si="0"/>
        <v>81</v>
      </c>
      <c r="P40" s="15">
        <f t="shared" si="1"/>
        <v>226</v>
      </c>
    </row>
    <row r="41" spans="2:20" ht="23.1" customHeight="1" x14ac:dyDescent="0.25">
      <c r="B41" s="23" t="s">
        <v>68</v>
      </c>
      <c r="C41" s="50">
        <v>49</v>
      </c>
      <c r="D41" s="50">
        <v>5</v>
      </c>
      <c r="E41" s="50">
        <v>1</v>
      </c>
      <c r="F41" s="50">
        <v>6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0</v>
      </c>
      <c r="M41" s="50">
        <v>50</v>
      </c>
      <c r="N41" s="50">
        <v>0</v>
      </c>
      <c r="O41" s="15">
        <f t="shared" si="0"/>
        <v>64</v>
      </c>
      <c r="P41" s="15">
        <f t="shared" si="1"/>
        <v>114</v>
      </c>
    </row>
    <row r="42" spans="2:20" ht="23.1" customHeight="1" x14ac:dyDescent="0.25">
      <c r="B42" s="24" t="s">
        <v>69</v>
      </c>
      <c r="C42" s="50">
        <v>26</v>
      </c>
      <c r="D42" s="50">
        <v>6</v>
      </c>
      <c r="E42" s="50">
        <v>2</v>
      </c>
      <c r="F42" s="50">
        <v>8</v>
      </c>
      <c r="G42" s="50">
        <v>0</v>
      </c>
      <c r="H42" s="50">
        <v>0</v>
      </c>
      <c r="I42" s="50">
        <v>3</v>
      </c>
      <c r="J42" s="50">
        <v>3</v>
      </c>
      <c r="K42" s="50">
        <v>0</v>
      </c>
      <c r="L42" s="50">
        <v>1</v>
      </c>
      <c r="M42" s="50">
        <v>175</v>
      </c>
      <c r="N42" s="50">
        <v>0</v>
      </c>
      <c r="O42" s="15">
        <f t="shared" si="0"/>
        <v>49</v>
      </c>
      <c r="P42" s="15">
        <f t="shared" si="1"/>
        <v>224</v>
      </c>
    </row>
    <row r="43" spans="2:20" ht="23.1" customHeight="1" x14ac:dyDescent="0.25">
      <c r="B43" s="23" t="s">
        <v>70</v>
      </c>
      <c r="C43" s="50">
        <v>40</v>
      </c>
      <c r="D43" s="50">
        <v>4</v>
      </c>
      <c r="E43" s="50">
        <v>3</v>
      </c>
      <c r="F43" s="50">
        <v>7</v>
      </c>
      <c r="G43" s="50">
        <v>1</v>
      </c>
      <c r="H43" s="50">
        <v>0</v>
      </c>
      <c r="I43" s="50">
        <v>1</v>
      </c>
      <c r="J43" s="50">
        <v>2</v>
      </c>
      <c r="K43" s="50">
        <v>0</v>
      </c>
      <c r="L43" s="50">
        <v>0</v>
      </c>
      <c r="M43" s="50">
        <v>145</v>
      </c>
      <c r="N43" s="50">
        <v>0</v>
      </c>
      <c r="O43" s="15">
        <f t="shared" si="0"/>
        <v>58</v>
      </c>
      <c r="P43" s="15">
        <f t="shared" si="1"/>
        <v>203</v>
      </c>
    </row>
    <row r="44" spans="2:20" ht="23.1" customHeight="1" x14ac:dyDescent="0.25">
      <c r="B44" s="25" t="s">
        <v>71</v>
      </c>
      <c r="C44" s="50">
        <v>43</v>
      </c>
      <c r="D44" s="50">
        <v>3</v>
      </c>
      <c r="E44" s="50">
        <v>1</v>
      </c>
      <c r="F44" s="50">
        <v>9</v>
      </c>
      <c r="G44" s="50">
        <v>0</v>
      </c>
      <c r="H44" s="50">
        <v>0</v>
      </c>
      <c r="I44" s="50">
        <v>2</v>
      </c>
      <c r="J44" s="50">
        <v>2</v>
      </c>
      <c r="K44" s="50">
        <v>0</v>
      </c>
      <c r="L44" s="50">
        <v>0</v>
      </c>
      <c r="M44" s="50">
        <v>125</v>
      </c>
      <c r="N44" s="50">
        <v>0</v>
      </c>
      <c r="O44" s="15">
        <f t="shared" si="0"/>
        <v>60</v>
      </c>
      <c r="P44" s="15">
        <f t="shared" si="1"/>
        <v>185</v>
      </c>
    </row>
    <row r="45" spans="2:20" ht="23.1" customHeight="1" x14ac:dyDescent="0.25">
      <c r="B45" s="23" t="s">
        <v>72</v>
      </c>
      <c r="C45" s="50">
        <v>42</v>
      </c>
      <c r="D45" s="50">
        <v>5</v>
      </c>
      <c r="E45" s="50">
        <v>2</v>
      </c>
      <c r="F45" s="50">
        <v>13</v>
      </c>
      <c r="G45" s="50">
        <v>0</v>
      </c>
      <c r="H45" s="50">
        <v>0</v>
      </c>
      <c r="I45" s="50">
        <v>7</v>
      </c>
      <c r="J45" s="50">
        <v>4</v>
      </c>
      <c r="K45" s="50">
        <v>0</v>
      </c>
      <c r="L45" s="50">
        <v>1</v>
      </c>
      <c r="M45" s="50">
        <v>155</v>
      </c>
      <c r="N45" s="50">
        <v>0</v>
      </c>
      <c r="O45" s="15">
        <f t="shared" si="0"/>
        <v>74</v>
      </c>
      <c r="P45" s="15">
        <f t="shared" si="1"/>
        <v>229</v>
      </c>
    </row>
    <row r="46" spans="2:20" ht="23.1" customHeight="1" x14ac:dyDescent="0.25">
      <c r="B46" s="24" t="s">
        <v>73</v>
      </c>
      <c r="C46" s="50">
        <v>25</v>
      </c>
      <c r="D46" s="50">
        <v>5</v>
      </c>
      <c r="E46" s="50">
        <v>5</v>
      </c>
      <c r="F46" s="50">
        <v>12</v>
      </c>
      <c r="G46" s="50">
        <v>0</v>
      </c>
      <c r="H46" s="50">
        <v>0</v>
      </c>
      <c r="I46" s="50">
        <v>3</v>
      </c>
      <c r="J46" s="50">
        <v>4</v>
      </c>
      <c r="K46" s="50">
        <v>0</v>
      </c>
      <c r="L46" s="50">
        <v>0</v>
      </c>
      <c r="M46" s="50">
        <v>180</v>
      </c>
      <c r="N46" s="50">
        <v>0</v>
      </c>
      <c r="O46" s="15">
        <f t="shared" si="0"/>
        <v>54</v>
      </c>
      <c r="P46" s="15">
        <f t="shared" si="1"/>
        <v>234</v>
      </c>
      <c r="R46" s="8"/>
      <c r="T46"/>
    </row>
    <row r="47" spans="2:20" ht="23.1" customHeight="1" x14ac:dyDescent="0.25">
      <c r="B47" s="24" t="s">
        <v>74</v>
      </c>
      <c r="C47" s="50">
        <v>40</v>
      </c>
      <c r="D47" s="50">
        <v>5</v>
      </c>
      <c r="E47" s="50">
        <v>2</v>
      </c>
      <c r="F47" s="50">
        <v>7</v>
      </c>
      <c r="G47" s="50">
        <v>0</v>
      </c>
      <c r="H47" s="50">
        <v>0</v>
      </c>
      <c r="I47" s="50">
        <v>6</v>
      </c>
      <c r="J47" s="50">
        <v>4</v>
      </c>
      <c r="K47" s="50">
        <v>1</v>
      </c>
      <c r="L47" s="50">
        <v>0</v>
      </c>
      <c r="M47" s="50">
        <v>175</v>
      </c>
      <c r="N47" s="50">
        <v>0</v>
      </c>
      <c r="O47" s="15">
        <f t="shared" si="0"/>
        <v>65</v>
      </c>
      <c r="P47" s="15">
        <f t="shared" si="1"/>
        <v>240</v>
      </c>
      <c r="R47" s="8"/>
      <c r="T47"/>
    </row>
    <row r="48" spans="2:20" ht="23.1" customHeight="1" x14ac:dyDescent="0.25">
      <c r="B48" s="24" t="s">
        <v>75</v>
      </c>
      <c r="C48" s="50">
        <v>35</v>
      </c>
      <c r="D48" s="50">
        <v>3</v>
      </c>
      <c r="E48" s="50">
        <v>1</v>
      </c>
      <c r="F48" s="50">
        <v>6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2</v>
      </c>
      <c r="M48" s="50">
        <v>90</v>
      </c>
      <c r="N48" s="50">
        <v>0</v>
      </c>
      <c r="O48" s="15">
        <f t="shared" si="0"/>
        <v>47</v>
      </c>
      <c r="P48" s="15">
        <f t="shared" si="1"/>
        <v>137</v>
      </c>
      <c r="R48" s="8"/>
      <c r="T48"/>
    </row>
    <row r="49" spans="2:20" ht="23.1" customHeight="1" x14ac:dyDescent="0.25">
      <c r="B49" s="23" t="s">
        <v>76</v>
      </c>
      <c r="C49" s="50">
        <v>31</v>
      </c>
      <c r="D49" s="50">
        <v>4</v>
      </c>
      <c r="E49" s="50">
        <v>2</v>
      </c>
      <c r="F49" s="50">
        <v>7</v>
      </c>
      <c r="G49" s="50">
        <v>3</v>
      </c>
      <c r="H49" s="50">
        <v>0</v>
      </c>
      <c r="I49" s="50">
        <v>3</v>
      </c>
      <c r="J49" s="50">
        <v>2</v>
      </c>
      <c r="K49" s="50">
        <v>1</v>
      </c>
      <c r="L49" s="50">
        <v>0</v>
      </c>
      <c r="M49" s="50">
        <v>235</v>
      </c>
      <c r="N49" s="50">
        <v>0</v>
      </c>
      <c r="O49" s="15">
        <f t="shared" si="0"/>
        <v>53</v>
      </c>
      <c r="P49" s="15">
        <f t="shared" si="1"/>
        <v>288</v>
      </c>
      <c r="R49" s="8"/>
      <c r="T49"/>
    </row>
    <row r="50" spans="2:20" ht="23.1" customHeight="1" x14ac:dyDescent="0.25">
      <c r="B50" s="24" t="s">
        <v>77</v>
      </c>
      <c r="C50" s="50">
        <v>55</v>
      </c>
      <c r="D50" s="50">
        <v>5</v>
      </c>
      <c r="E50" s="50">
        <v>2</v>
      </c>
      <c r="F50" s="50">
        <v>10</v>
      </c>
      <c r="G50" s="50">
        <v>0</v>
      </c>
      <c r="H50" s="50">
        <v>0</v>
      </c>
      <c r="I50" s="50">
        <v>3</v>
      </c>
      <c r="J50" s="50">
        <v>3</v>
      </c>
      <c r="K50" s="50">
        <v>1</v>
      </c>
      <c r="L50" s="50">
        <v>0</v>
      </c>
      <c r="M50" s="50">
        <v>135</v>
      </c>
      <c r="N50" s="50">
        <v>0</v>
      </c>
      <c r="O50" s="15">
        <f t="shared" si="0"/>
        <v>79</v>
      </c>
      <c r="P50" s="15">
        <f t="shared" si="1"/>
        <v>214</v>
      </c>
      <c r="R50" s="8"/>
      <c r="T50"/>
    </row>
    <row r="51" spans="2:20" ht="23.1" customHeight="1" x14ac:dyDescent="0.25">
      <c r="B51" s="24" t="s">
        <v>78</v>
      </c>
      <c r="C51" s="50">
        <v>60</v>
      </c>
      <c r="D51" s="50">
        <v>7</v>
      </c>
      <c r="E51" s="50">
        <v>1</v>
      </c>
      <c r="F51" s="50">
        <v>4</v>
      </c>
      <c r="G51" s="50">
        <v>0</v>
      </c>
      <c r="H51" s="50">
        <v>0</v>
      </c>
      <c r="I51" s="50">
        <v>6</v>
      </c>
      <c r="J51" s="50">
        <v>2</v>
      </c>
      <c r="K51" s="50">
        <v>0</v>
      </c>
      <c r="L51" s="50">
        <v>0</v>
      </c>
      <c r="M51" s="50">
        <v>170</v>
      </c>
      <c r="N51" s="50">
        <v>0</v>
      </c>
      <c r="O51" s="15">
        <f t="shared" si="0"/>
        <v>80</v>
      </c>
      <c r="P51" s="15">
        <f t="shared" si="1"/>
        <v>250</v>
      </c>
      <c r="R51" s="8"/>
      <c r="T51"/>
    </row>
    <row r="52" spans="2:20" ht="23.1" customHeight="1" x14ac:dyDescent="0.25">
      <c r="B52" s="24" t="s">
        <v>79</v>
      </c>
      <c r="C52" s="50">
        <v>45</v>
      </c>
      <c r="D52" s="50">
        <v>6</v>
      </c>
      <c r="E52" s="50">
        <v>3</v>
      </c>
      <c r="F52" s="50">
        <v>6</v>
      </c>
      <c r="G52" s="50">
        <v>0</v>
      </c>
      <c r="H52" s="50">
        <v>0</v>
      </c>
      <c r="I52" s="50">
        <v>9</v>
      </c>
      <c r="J52" s="50">
        <v>2</v>
      </c>
      <c r="K52" s="50">
        <v>0</v>
      </c>
      <c r="L52" s="50">
        <v>0</v>
      </c>
      <c r="M52" s="50">
        <v>190</v>
      </c>
      <c r="N52" s="50">
        <v>0</v>
      </c>
      <c r="O52" s="15">
        <f t="shared" si="0"/>
        <v>71</v>
      </c>
      <c r="P52" s="15">
        <f t="shared" si="1"/>
        <v>261</v>
      </c>
      <c r="R52" s="8"/>
      <c r="T52"/>
    </row>
    <row r="53" spans="2:20" ht="23.1" customHeight="1" x14ac:dyDescent="0.25">
      <c r="B53" s="23" t="s">
        <v>80</v>
      </c>
      <c r="C53" s="50">
        <v>43</v>
      </c>
      <c r="D53" s="50">
        <v>3</v>
      </c>
      <c r="E53" s="50">
        <v>2</v>
      </c>
      <c r="F53" s="50">
        <v>2</v>
      </c>
      <c r="G53" s="50">
        <v>0</v>
      </c>
      <c r="H53" s="50">
        <v>0</v>
      </c>
      <c r="I53" s="50">
        <v>1</v>
      </c>
      <c r="J53" s="50">
        <v>6</v>
      </c>
      <c r="K53" s="50">
        <v>0</v>
      </c>
      <c r="L53" s="50">
        <v>0</v>
      </c>
      <c r="M53" s="50">
        <v>140</v>
      </c>
      <c r="N53" s="50">
        <v>0</v>
      </c>
      <c r="O53" s="15">
        <f t="shared" si="0"/>
        <v>57</v>
      </c>
      <c r="P53" s="15">
        <f t="shared" si="1"/>
        <v>197</v>
      </c>
      <c r="R53" s="8"/>
      <c r="T53"/>
    </row>
    <row r="54" spans="2:20" ht="23.1" customHeight="1" x14ac:dyDescent="0.25">
      <c r="B54" s="23" t="s">
        <v>81</v>
      </c>
      <c r="C54" s="50">
        <v>23</v>
      </c>
      <c r="D54" s="50">
        <v>2</v>
      </c>
      <c r="E54" s="50">
        <v>4</v>
      </c>
      <c r="F54" s="50">
        <v>12</v>
      </c>
      <c r="G54" s="50">
        <v>0</v>
      </c>
      <c r="H54" s="50">
        <v>0</v>
      </c>
      <c r="I54" s="50">
        <v>6</v>
      </c>
      <c r="J54" s="50">
        <v>2</v>
      </c>
      <c r="K54" s="50">
        <v>0</v>
      </c>
      <c r="L54" s="50">
        <v>0</v>
      </c>
      <c r="M54" s="50">
        <v>160</v>
      </c>
      <c r="N54" s="50">
        <v>0</v>
      </c>
      <c r="O54" s="15">
        <f t="shared" si="0"/>
        <v>49</v>
      </c>
      <c r="P54" s="15">
        <f t="shared" si="1"/>
        <v>209</v>
      </c>
      <c r="R54" s="8"/>
      <c r="T54"/>
    </row>
    <row r="55" spans="2:20" ht="23.1" customHeight="1" x14ac:dyDescent="0.25">
      <c r="B55" s="23" t="s">
        <v>82</v>
      </c>
      <c r="C55" s="50">
        <v>47</v>
      </c>
      <c r="D55" s="50">
        <v>5</v>
      </c>
      <c r="E55" s="50">
        <v>1</v>
      </c>
      <c r="F55" s="50">
        <v>14</v>
      </c>
      <c r="G55" s="50">
        <v>1</v>
      </c>
      <c r="H55" s="50">
        <v>0</v>
      </c>
      <c r="I55" s="50">
        <v>7</v>
      </c>
      <c r="J55" s="50">
        <v>5</v>
      </c>
      <c r="K55" s="50">
        <v>0</v>
      </c>
      <c r="L55" s="50">
        <v>0</v>
      </c>
      <c r="M55" s="50">
        <v>125</v>
      </c>
      <c r="N55" s="50">
        <v>0</v>
      </c>
      <c r="O55" s="15">
        <f t="shared" si="0"/>
        <v>80</v>
      </c>
      <c r="P55" s="15">
        <f t="shared" si="1"/>
        <v>205</v>
      </c>
      <c r="R55" s="8"/>
      <c r="T55"/>
    </row>
    <row r="56" spans="2:20" ht="23.1" customHeight="1" x14ac:dyDescent="0.25">
      <c r="B56" s="23" t="s">
        <v>83</v>
      </c>
      <c r="C56" s="50">
        <v>33</v>
      </c>
      <c r="D56" s="50">
        <v>7</v>
      </c>
      <c r="E56" s="50">
        <v>3</v>
      </c>
      <c r="F56" s="50">
        <v>22</v>
      </c>
      <c r="G56" s="50">
        <v>0</v>
      </c>
      <c r="H56" s="50">
        <v>0</v>
      </c>
      <c r="I56" s="50">
        <v>3</v>
      </c>
      <c r="J56" s="50">
        <v>2</v>
      </c>
      <c r="K56" s="50">
        <v>0</v>
      </c>
      <c r="L56" s="50">
        <v>0</v>
      </c>
      <c r="M56" s="50">
        <v>145</v>
      </c>
      <c r="N56" s="50">
        <v>0</v>
      </c>
      <c r="O56" s="15">
        <f t="shared" si="0"/>
        <v>70</v>
      </c>
      <c r="P56" s="15">
        <f t="shared" si="1"/>
        <v>215</v>
      </c>
      <c r="R56" s="8"/>
      <c r="T56"/>
    </row>
    <row r="57" spans="2:20" ht="23.1" customHeight="1" x14ac:dyDescent="0.25">
      <c r="B57" s="23" t="s">
        <v>84</v>
      </c>
      <c r="C57" s="50">
        <v>41</v>
      </c>
      <c r="D57" s="50">
        <v>3</v>
      </c>
      <c r="E57" s="50">
        <v>2</v>
      </c>
      <c r="F57" s="50">
        <v>11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112</v>
      </c>
      <c r="N57" s="50">
        <v>0</v>
      </c>
      <c r="O57" s="15">
        <f t="shared" si="0"/>
        <v>59</v>
      </c>
      <c r="P57" s="15">
        <f t="shared" si="1"/>
        <v>171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1554</v>
      </c>
      <c r="D58" s="16">
        <f t="shared" si="21"/>
        <v>221</v>
      </c>
      <c r="E58" s="16">
        <f t="shared" si="21"/>
        <v>105</v>
      </c>
      <c r="F58" s="16">
        <f t="shared" si="21"/>
        <v>447</v>
      </c>
      <c r="G58" s="16">
        <f t="shared" si="21"/>
        <v>9</v>
      </c>
      <c r="H58" s="16">
        <f t="shared" si="21"/>
        <v>2</v>
      </c>
      <c r="I58" s="16">
        <f t="shared" si="21"/>
        <v>190</v>
      </c>
      <c r="J58" s="16">
        <f t="shared" si="21"/>
        <v>135</v>
      </c>
      <c r="K58" s="16">
        <f t="shared" si="21"/>
        <v>15</v>
      </c>
      <c r="L58" s="16">
        <f t="shared" si="21"/>
        <v>15</v>
      </c>
      <c r="M58" s="16">
        <f t="shared" si="21"/>
        <v>6612</v>
      </c>
      <c r="N58" s="16">
        <f t="shared" si="21"/>
        <v>1</v>
      </c>
      <c r="O58" s="16">
        <f t="shared" si="21"/>
        <v>2694</v>
      </c>
      <c r="P58" s="16">
        <f t="shared" si="21"/>
        <v>9306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0.16698903932946485</v>
      </c>
      <c r="D59" s="43">
        <f t="shared" si="22"/>
        <v>2.3748119492800344E-2</v>
      </c>
      <c r="E59" s="43">
        <f t="shared" si="22"/>
        <v>1.1283043197936816E-2</v>
      </c>
      <c r="F59" s="43">
        <f t="shared" si="22"/>
        <v>4.8033526756931011E-2</v>
      </c>
      <c r="G59" s="43">
        <f t="shared" si="22"/>
        <v>9.6711798839458415E-4</v>
      </c>
      <c r="H59" s="43">
        <f t="shared" si="22"/>
        <v>2.149151085321298E-4</v>
      </c>
      <c r="I59" s="43">
        <f t="shared" si="22"/>
        <v>2.0416935310552331E-2</v>
      </c>
      <c r="J59" s="43">
        <f t="shared" si="22"/>
        <v>1.4506769825918761E-2</v>
      </c>
      <c r="K59" s="43">
        <f t="shared" si="22"/>
        <v>1.6118633139909735E-3</v>
      </c>
      <c r="L59" s="43">
        <f t="shared" si="22"/>
        <v>1.6118633139909735E-3</v>
      </c>
      <c r="M59" s="43">
        <f t="shared" si="22"/>
        <v>0.71050934880722116</v>
      </c>
      <c r="N59" s="43">
        <f t="shared" si="22"/>
        <v>1.074575542660649E-4</v>
      </c>
      <c r="R59" s="8"/>
      <c r="T59"/>
    </row>
    <row r="60" spans="2:20" ht="23.1" customHeight="1" x14ac:dyDescent="0.25">
      <c r="B60" s="42" t="s">
        <v>94</v>
      </c>
      <c r="C60" s="44">
        <f>C58/$O$58</f>
        <v>0.57683741648106901</v>
      </c>
      <c r="D60" s="44">
        <f t="shared" ref="D60:N60" si="23">D58/$O$58</f>
        <v>8.203414996288047E-2</v>
      </c>
      <c r="E60" s="44">
        <f t="shared" si="23"/>
        <v>3.8975501113585748E-2</v>
      </c>
      <c r="F60" s="44">
        <f t="shared" si="23"/>
        <v>0.16592427616926503</v>
      </c>
      <c r="G60" s="44">
        <f t="shared" si="23"/>
        <v>3.3407572383073497E-3</v>
      </c>
      <c r="H60" s="44">
        <f t="shared" si="23"/>
        <v>7.4239049740163323E-4</v>
      </c>
      <c r="I60" s="44">
        <f t="shared" si="23"/>
        <v>7.052709725315516E-2</v>
      </c>
      <c r="J60" s="44">
        <f t="shared" si="23"/>
        <v>5.0111358574610243E-2</v>
      </c>
      <c r="K60" s="44">
        <f t="shared" si="23"/>
        <v>5.5679287305122494E-3</v>
      </c>
      <c r="L60" s="44">
        <f t="shared" si="23"/>
        <v>5.5679287305122494E-3</v>
      </c>
      <c r="M60" s="44"/>
      <c r="N60" s="44">
        <f t="shared" si="23"/>
        <v>3.7119524870081661E-4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7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'22.07 Ndeeba-Lubiri'!C3:G3</f>
        <v>MCC - C1 - STN03- KALINDA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'28.07 Lubiri-Ndeeba'!D5</f>
        <v>28.07.19</v>
      </c>
      <c r="E5" s="3"/>
      <c r="F5" s="41" t="s">
        <v>1</v>
      </c>
      <c r="G5" s="71" t="str">
        <f>'28.07 Lubiri-Ndeeba'!G5:H5</f>
        <v>Before Shell</v>
      </c>
      <c r="H5" s="72"/>
      <c r="I5" s="14"/>
      <c r="J5" s="2" t="s">
        <v>5</v>
      </c>
      <c r="K5" s="71" t="s">
        <v>177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'22.07 Ndeeba-Lubiri'!D6:E6</f>
        <v>Ndeeba</v>
      </c>
      <c r="E6" s="72"/>
      <c r="F6" s="2" t="s">
        <v>2</v>
      </c>
      <c r="G6" s="71" t="str">
        <f>'22.07 Ndeeba-Lubiri'!G6:H6</f>
        <v>Lubiri</v>
      </c>
      <c r="H6" s="72"/>
      <c r="J6" s="2" t="s">
        <v>21</v>
      </c>
      <c r="K6" s="71" t="str">
        <f>'28.07 Lubiri-Ndeeba'!K6:L6</f>
        <v>Denis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35</v>
      </c>
      <c r="D10" s="50">
        <v>3</v>
      </c>
      <c r="E10" s="50">
        <v>0</v>
      </c>
      <c r="F10" s="50">
        <v>0</v>
      </c>
      <c r="G10" s="50">
        <v>0</v>
      </c>
      <c r="H10" s="50">
        <v>0</v>
      </c>
      <c r="I10" s="50">
        <v>2</v>
      </c>
      <c r="J10" s="50">
        <v>2</v>
      </c>
      <c r="K10" s="50">
        <v>0</v>
      </c>
      <c r="L10" s="50">
        <v>1</v>
      </c>
      <c r="M10" s="50">
        <v>45</v>
      </c>
      <c r="N10" s="50">
        <v>0</v>
      </c>
      <c r="O10" s="15">
        <f t="shared" ref="O10:O57" si="0">SUM(C10:L10,N10)</f>
        <v>43</v>
      </c>
      <c r="P10" s="15">
        <f t="shared" ref="P10:P57" si="1">SUM(C10:N10)</f>
        <v>88</v>
      </c>
      <c r="R10" s="1" t="s">
        <v>6</v>
      </c>
      <c r="S10" s="17">
        <f t="shared" ref="S10:AF10" si="2">SUM(C10:C13)</f>
        <v>92</v>
      </c>
      <c r="T10" s="17">
        <f t="shared" si="2"/>
        <v>6</v>
      </c>
      <c r="U10" s="17">
        <f t="shared" si="2"/>
        <v>11</v>
      </c>
      <c r="V10" s="17">
        <f t="shared" si="2"/>
        <v>6</v>
      </c>
      <c r="W10" s="17">
        <f t="shared" si="2"/>
        <v>1</v>
      </c>
      <c r="X10" s="17">
        <f t="shared" si="2"/>
        <v>0</v>
      </c>
      <c r="Y10" s="17">
        <f t="shared" si="2"/>
        <v>6</v>
      </c>
      <c r="Z10" s="17">
        <f t="shared" si="2"/>
        <v>9</v>
      </c>
      <c r="AA10" s="17">
        <f t="shared" si="2"/>
        <v>0</v>
      </c>
      <c r="AB10" s="17">
        <f t="shared" si="2"/>
        <v>2</v>
      </c>
      <c r="AC10" s="17">
        <f t="shared" si="2"/>
        <v>266</v>
      </c>
      <c r="AD10" s="17">
        <f t="shared" si="2"/>
        <v>0</v>
      </c>
      <c r="AE10" s="31">
        <f t="shared" si="2"/>
        <v>133</v>
      </c>
      <c r="AF10" s="31">
        <f t="shared" si="2"/>
        <v>399</v>
      </c>
    </row>
    <row r="11" spans="2:32" s="6" customFormat="1" ht="23.1" customHeight="1" x14ac:dyDescent="0.25">
      <c r="B11" s="23" t="s">
        <v>38</v>
      </c>
      <c r="C11" s="50">
        <v>16</v>
      </c>
      <c r="D11" s="50">
        <v>0</v>
      </c>
      <c r="E11" s="50">
        <v>2</v>
      </c>
      <c r="F11" s="50">
        <v>0</v>
      </c>
      <c r="G11" s="50">
        <v>0</v>
      </c>
      <c r="H11" s="50">
        <v>0</v>
      </c>
      <c r="I11" s="50">
        <v>1</v>
      </c>
      <c r="J11" s="50">
        <v>3</v>
      </c>
      <c r="K11" s="50">
        <v>0</v>
      </c>
      <c r="L11" s="50">
        <v>1</v>
      </c>
      <c r="M11" s="50">
        <v>52</v>
      </c>
      <c r="N11" s="50">
        <v>0</v>
      </c>
      <c r="O11" s="15">
        <f t="shared" si="0"/>
        <v>23</v>
      </c>
      <c r="P11" s="15">
        <f t="shared" si="1"/>
        <v>75</v>
      </c>
      <c r="R11" s="1" t="s">
        <v>7</v>
      </c>
      <c r="S11" s="17">
        <f t="shared" ref="S11:AF11" si="3">SUM(C14:C17)</f>
        <v>231</v>
      </c>
      <c r="T11" s="17">
        <f t="shared" si="3"/>
        <v>14</v>
      </c>
      <c r="U11" s="17">
        <f t="shared" si="3"/>
        <v>17</v>
      </c>
      <c r="V11" s="17">
        <f t="shared" si="3"/>
        <v>11</v>
      </c>
      <c r="W11" s="17">
        <f t="shared" si="3"/>
        <v>3</v>
      </c>
      <c r="X11" s="17">
        <f t="shared" si="3"/>
        <v>0</v>
      </c>
      <c r="Y11" s="17">
        <f t="shared" si="3"/>
        <v>9</v>
      </c>
      <c r="Z11" s="17">
        <f t="shared" si="3"/>
        <v>5</v>
      </c>
      <c r="AA11" s="17">
        <f t="shared" si="3"/>
        <v>0</v>
      </c>
      <c r="AB11" s="17">
        <f t="shared" si="3"/>
        <v>1</v>
      </c>
      <c r="AC11" s="17">
        <f t="shared" si="3"/>
        <v>500</v>
      </c>
      <c r="AD11" s="17">
        <f t="shared" si="3"/>
        <v>0</v>
      </c>
      <c r="AE11" s="31">
        <f t="shared" si="3"/>
        <v>291</v>
      </c>
      <c r="AF11" s="31">
        <f t="shared" si="3"/>
        <v>791</v>
      </c>
    </row>
    <row r="12" spans="2:32" ht="23.1" customHeight="1" x14ac:dyDescent="0.25">
      <c r="B12" s="23" t="s">
        <v>39</v>
      </c>
      <c r="C12" s="50">
        <v>20</v>
      </c>
      <c r="D12" s="50">
        <v>3</v>
      </c>
      <c r="E12" s="50">
        <v>7</v>
      </c>
      <c r="F12" s="50">
        <v>4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107</v>
      </c>
      <c r="N12" s="50">
        <v>0</v>
      </c>
      <c r="O12" s="15">
        <f t="shared" si="0"/>
        <v>37</v>
      </c>
      <c r="P12" s="15">
        <f t="shared" si="1"/>
        <v>144</v>
      </c>
      <c r="R12" s="1" t="s">
        <v>8</v>
      </c>
      <c r="S12" s="17">
        <f t="shared" ref="S12:AF12" si="4">SUM(C18:C21)</f>
        <v>275</v>
      </c>
      <c r="T12" s="17">
        <f t="shared" si="4"/>
        <v>22</v>
      </c>
      <c r="U12" s="17">
        <f t="shared" si="4"/>
        <v>19</v>
      </c>
      <c r="V12" s="17">
        <f t="shared" si="4"/>
        <v>17</v>
      </c>
      <c r="W12" s="17">
        <f t="shared" si="4"/>
        <v>0</v>
      </c>
      <c r="X12" s="17">
        <f t="shared" si="4"/>
        <v>0</v>
      </c>
      <c r="Y12" s="17">
        <f t="shared" si="4"/>
        <v>9</v>
      </c>
      <c r="Z12" s="17">
        <f t="shared" si="4"/>
        <v>4</v>
      </c>
      <c r="AA12" s="17">
        <f t="shared" si="4"/>
        <v>1</v>
      </c>
      <c r="AB12" s="17">
        <f t="shared" si="4"/>
        <v>0</v>
      </c>
      <c r="AC12" s="17">
        <f t="shared" si="4"/>
        <v>615</v>
      </c>
      <c r="AD12" s="17">
        <f t="shared" si="4"/>
        <v>0</v>
      </c>
      <c r="AE12" s="31">
        <f t="shared" si="4"/>
        <v>347</v>
      </c>
      <c r="AF12" s="31">
        <f t="shared" si="4"/>
        <v>962</v>
      </c>
    </row>
    <row r="13" spans="2:32" ht="23.1" customHeight="1" x14ac:dyDescent="0.25">
      <c r="B13" s="23" t="s">
        <v>40</v>
      </c>
      <c r="C13" s="50">
        <v>21</v>
      </c>
      <c r="D13" s="50">
        <v>0</v>
      </c>
      <c r="E13" s="50">
        <v>2</v>
      </c>
      <c r="F13" s="50">
        <v>2</v>
      </c>
      <c r="G13" s="50">
        <v>1</v>
      </c>
      <c r="H13" s="50">
        <v>0</v>
      </c>
      <c r="I13" s="50">
        <v>1</v>
      </c>
      <c r="J13" s="50">
        <v>3</v>
      </c>
      <c r="K13" s="50">
        <v>0</v>
      </c>
      <c r="L13" s="50">
        <v>0</v>
      </c>
      <c r="M13" s="50">
        <v>62</v>
      </c>
      <c r="N13" s="50">
        <v>0</v>
      </c>
      <c r="O13" s="15">
        <f t="shared" si="0"/>
        <v>30</v>
      </c>
      <c r="P13" s="15">
        <f t="shared" si="1"/>
        <v>92</v>
      </c>
      <c r="R13" s="1" t="s">
        <v>9</v>
      </c>
      <c r="S13" s="17">
        <f t="shared" ref="S13:AF13" si="5">SUM(C22:C25)</f>
        <v>406</v>
      </c>
      <c r="T13" s="17">
        <f t="shared" si="5"/>
        <v>15</v>
      </c>
      <c r="U13" s="17">
        <f t="shared" si="5"/>
        <v>18</v>
      </c>
      <c r="V13" s="17">
        <f t="shared" si="5"/>
        <v>16</v>
      </c>
      <c r="W13" s="17">
        <f t="shared" si="5"/>
        <v>0</v>
      </c>
      <c r="X13" s="17">
        <f t="shared" si="5"/>
        <v>0</v>
      </c>
      <c r="Y13" s="17">
        <f t="shared" si="5"/>
        <v>20</v>
      </c>
      <c r="Z13" s="17">
        <f t="shared" si="5"/>
        <v>8</v>
      </c>
      <c r="AA13" s="17">
        <f t="shared" si="5"/>
        <v>1</v>
      </c>
      <c r="AB13" s="17">
        <f t="shared" si="5"/>
        <v>0</v>
      </c>
      <c r="AC13" s="17">
        <f t="shared" si="5"/>
        <v>875</v>
      </c>
      <c r="AD13" s="17">
        <f t="shared" si="5"/>
        <v>0</v>
      </c>
      <c r="AE13" s="31">
        <f t="shared" si="5"/>
        <v>484</v>
      </c>
      <c r="AF13" s="31">
        <f t="shared" si="5"/>
        <v>1359</v>
      </c>
    </row>
    <row r="14" spans="2:32" ht="23.1" customHeight="1" x14ac:dyDescent="0.25">
      <c r="B14" s="23" t="s">
        <v>41</v>
      </c>
      <c r="C14" s="50">
        <v>56</v>
      </c>
      <c r="D14" s="50">
        <v>1</v>
      </c>
      <c r="E14" s="50">
        <v>2</v>
      </c>
      <c r="F14" s="50">
        <v>3</v>
      </c>
      <c r="G14" s="50">
        <v>0</v>
      </c>
      <c r="H14" s="50">
        <v>0</v>
      </c>
      <c r="I14" s="50">
        <v>0</v>
      </c>
      <c r="J14" s="50">
        <v>2</v>
      </c>
      <c r="K14" s="50">
        <v>0</v>
      </c>
      <c r="L14" s="50">
        <v>0</v>
      </c>
      <c r="M14" s="50">
        <v>85</v>
      </c>
      <c r="N14" s="50">
        <v>0</v>
      </c>
      <c r="O14" s="15">
        <f t="shared" si="0"/>
        <v>64</v>
      </c>
      <c r="P14" s="15">
        <f t="shared" si="1"/>
        <v>149</v>
      </c>
      <c r="R14" s="1" t="s">
        <v>10</v>
      </c>
      <c r="S14" s="17">
        <f t="shared" ref="S14:AF14" si="6">SUM(C26:C29)</f>
        <v>385</v>
      </c>
      <c r="T14" s="17">
        <f t="shared" si="6"/>
        <v>63</v>
      </c>
      <c r="U14" s="17">
        <f t="shared" si="6"/>
        <v>21</v>
      </c>
      <c r="V14" s="17">
        <f t="shared" si="6"/>
        <v>21</v>
      </c>
      <c r="W14" s="17">
        <f t="shared" si="6"/>
        <v>0</v>
      </c>
      <c r="X14" s="17">
        <f t="shared" si="6"/>
        <v>1</v>
      </c>
      <c r="Y14" s="17">
        <f t="shared" si="6"/>
        <v>11</v>
      </c>
      <c r="Z14" s="17">
        <f t="shared" si="6"/>
        <v>8</v>
      </c>
      <c r="AA14" s="17">
        <f t="shared" si="6"/>
        <v>0</v>
      </c>
      <c r="AB14" s="17">
        <f t="shared" si="6"/>
        <v>3</v>
      </c>
      <c r="AC14" s="17">
        <f t="shared" si="6"/>
        <v>615</v>
      </c>
      <c r="AD14" s="17">
        <f t="shared" si="6"/>
        <v>0</v>
      </c>
      <c r="AE14" s="31">
        <f t="shared" si="6"/>
        <v>513</v>
      </c>
      <c r="AF14" s="31">
        <f t="shared" si="6"/>
        <v>1128</v>
      </c>
    </row>
    <row r="15" spans="2:32" ht="23.1" customHeight="1" x14ac:dyDescent="0.25">
      <c r="B15" s="23" t="s">
        <v>42</v>
      </c>
      <c r="C15" s="50">
        <v>40</v>
      </c>
      <c r="D15" s="50">
        <v>3</v>
      </c>
      <c r="E15" s="50">
        <v>2</v>
      </c>
      <c r="F15" s="50">
        <v>1</v>
      </c>
      <c r="G15" s="50">
        <v>0</v>
      </c>
      <c r="H15" s="50">
        <v>0</v>
      </c>
      <c r="I15" s="50">
        <v>2</v>
      </c>
      <c r="J15" s="50">
        <v>2</v>
      </c>
      <c r="K15" s="50">
        <v>0</v>
      </c>
      <c r="L15" s="50">
        <v>0</v>
      </c>
      <c r="M15" s="50">
        <v>110</v>
      </c>
      <c r="N15" s="50">
        <v>0</v>
      </c>
      <c r="O15" s="15">
        <f t="shared" si="0"/>
        <v>50</v>
      </c>
      <c r="P15" s="15">
        <f t="shared" si="1"/>
        <v>160</v>
      </c>
      <c r="R15" s="1" t="s">
        <v>11</v>
      </c>
      <c r="S15" s="17">
        <f t="shared" ref="S15:AF15" si="7">SUM(C30:C33)</f>
        <v>336</v>
      </c>
      <c r="T15" s="17">
        <f t="shared" si="7"/>
        <v>27</v>
      </c>
      <c r="U15" s="17">
        <f t="shared" si="7"/>
        <v>15</v>
      </c>
      <c r="V15" s="17">
        <f t="shared" si="7"/>
        <v>20</v>
      </c>
      <c r="W15" s="17">
        <f t="shared" si="7"/>
        <v>1</v>
      </c>
      <c r="X15" s="17">
        <f t="shared" si="7"/>
        <v>0</v>
      </c>
      <c r="Y15" s="17">
        <f t="shared" si="7"/>
        <v>8</v>
      </c>
      <c r="Z15" s="17">
        <f t="shared" si="7"/>
        <v>12</v>
      </c>
      <c r="AA15" s="17">
        <f t="shared" si="7"/>
        <v>0</v>
      </c>
      <c r="AB15" s="17">
        <f t="shared" si="7"/>
        <v>3</v>
      </c>
      <c r="AC15" s="17">
        <f t="shared" si="7"/>
        <v>685</v>
      </c>
      <c r="AD15" s="17">
        <f t="shared" si="7"/>
        <v>0</v>
      </c>
      <c r="AE15" s="31">
        <f t="shared" si="7"/>
        <v>422</v>
      </c>
      <c r="AF15" s="31">
        <f t="shared" si="7"/>
        <v>1107</v>
      </c>
    </row>
    <row r="16" spans="2:32" ht="23.1" customHeight="1" x14ac:dyDescent="0.25">
      <c r="B16" s="23" t="s">
        <v>43</v>
      </c>
      <c r="C16" s="50">
        <v>65</v>
      </c>
      <c r="D16" s="50">
        <v>6</v>
      </c>
      <c r="E16" s="50">
        <v>3</v>
      </c>
      <c r="F16" s="50">
        <v>5</v>
      </c>
      <c r="G16" s="50">
        <v>2</v>
      </c>
      <c r="H16" s="50">
        <v>0</v>
      </c>
      <c r="I16" s="50">
        <v>3</v>
      </c>
      <c r="J16" s="50">
        <v>1</v>
      </c>
      <c r="K16" s="50">
        <v>0</v>
      </c>
      <c r="L16" s="50">
        <v>1</v>
      </c>
      <c r="M16" s="50">
        <v>155</v>
      </c>
      <c r="N16" s="50">
        <v>0</v>
      </c>
      <c r="O16" s="15">
        <f t="shared" si="0"/>
        <v>86</v>
      </c>
      <c r="P16" s="15">
        <f t="shared" si="1"/>
        <v>241</v>
      </c>
      <c r="R16" s="1" t="s">
        <v>12</v>
      </c>
      <c r="S16" s="17">
        <f t="shared" ref="S16:AF16" si="8">SUM(C34:C37)</f>
        <v>383</v>
      </c>
      <c r="T16" s="17">
        <f t="shared" si="8"/>
        <v>19</v>
      </c>
      <c r="U16" s="17">
        <f t="shared" si="8"/>
        <v>9</v>
      </c>
      <c r="V16" s="17">
        <f t="shared" si="8"/>
        <v>8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3</v>
      </c>
      <c r="AA16" s="17">
        <f t="shared" si="8"/>
        <v>3</v>
      </c>
      <c r="AB16" s="17">
        <f t="shared" si="8"/>
        <v>0</v>
      </c>
      <c r="AC16" s="17">
        <f t="shared" si="8"/>
        <v>705</v>
      </c>
      <c r="AD16" s="17">
        <f t="shared" si="8"/>
        <v>0</v>
      </c>
      <c r="AE16" s="31">
        <f t="shared" si="8"/>
        <v>432</v>
      </c>
      <c r="AF16" s="31">
        <f t="shared" si="8"/>
        <v>1137</v>
      </c>
    </row>
    <row r="17" spans="2:32" ht="23.1" customHeight="1" x14ac:dyDescent="0.25">
      <c r="B17" s="23" t="s">
        <v>44</v>
      </c>
      <c r="C17" s="50">
        <v>70</v>
      </c>
      <c r="D17" s="50">
        <v>4</v>
      </c>
      <c r="E17" s="50">
        <v>10</v>
      </c>
      <c r="F17" s="50">
        <v>2</v>
      </c>
      <c r="G17" s="50">
        <v>1</v>
      </c>
      <c r="H17" s="50">
        <v>0</v>
      </c>
      <c r="I17" s="50">
        <v>4</v>
      </c>
      <c r="J17" s="50">
        <v>0</v>
      </c>
      <c r="K17" s="50">
        <v>0</v>
      </c>
      <c r="L17" s="50">
        <v>0</v>
      </c>
      <c r="M17" s="50">
        <v>150</v>
      </c>
      <c r="N17" s="50">
        <v>0</v>
      </c>
      <c r="O17" s="15">
        <f t="shared" si="0"/>
        <v>91</v>
      </c>
      <c r="P17" s="15">
        <f t="shared" si="1"/>
        <v>241</v>
      </c>
      <c r="R17" s="1" t="s">
        <v>13</v>
      </c>
      <c r="S17" s="17">
        <f t="shared" ref="S17:AF17" si="9">SUM(C38:C41)</f>
        <v>455</v>
      </c>
      <c r="T17" s="17">
        <f t="shared" si="9"/>
        <v>23</v>
      </c>
      <c r="U17" s="17">
        <f t="shared" si="9"/>
        <v>18</v>
      </c>
      <c r="V17" s="17">
        <f t="shared" si="9"/>
        <v>8</v>
      </c>
      <c r="W17" s="17">
        <f t="shared" si="9"/>
        <v>0</v>
      </c>
      <c r="X17" s="17">
        <f t="shared" si="9"/>
        <v>0</v>
      </c>
      <c r="Y17" s="17">
        <f t="shared" si="9"/>
        <v>12</v>
      </c>
      <c r="Z17" s="17">
        <f t="shared" si="9"/>
        <v>4</v>
      </c>
      <c r="AA17" s="17">
        <f t="shared" si="9"/>
        <v>0</v>
      </c>
      <c r="AB17" s="17">
        <f t="shared" si="9"/>
        <v>2</v>
      </c>
      <c r="AC17" s="17">
        <f t="shared" si="9"/>
        <v>775</v>
      </c>
      <c r="AD17" s="17">
        <f t="shared" si="9"/>
        <v>0</v>
      </c>
      <c r="AE17" s="31">
        <f t="shared" si="9"/>
        <v>522</v>
      </c>
      <c r="AF17" s="31">
        <f t="shared" si="9"/>
        <v>1297</v>
      </c>
    </row>
    <row r="18" spans="2:32" ht="23.1" customHeight="1" x14ac:dyDescent="0.25">
      <c r="B18" s="23" t="s">
        <v>45</v>
      </c>
      <c r="C18" s="50">
        <v>90</v>
      </c>
      <c r="D18" s="50">
        <v>4</v>
      </c>
      <c r="E18" s="50">
        <v>8</v>
      </c>
      <c r="F18" s="50">
        <v>4</v>
      </c>
      <c r="G18" s="50">
        <v>0</v>
      </c>
      <c r="H18" s="50">
        <v>0</v>
      </c>
      <c r="I18" s="50">
        <v>2</v>
      </c>
      <c r="J18" s="50">
        <v>2</v>
      </c>
      <c r="K18" s="50">
        <v>1</v>
      </c>
      <c r="L18" s="50">
        <v>0</v>
      </c>
      <c r="M18" s="50">
        <v>235</v>
      </c>
      <c r="N18" s="50">
        <v>0</v>
      </c>
      <c r="O18" s="15">
        <f t="shared" si="0"/>
        <v>111</v>
      </c>
      <c r="P18" s="15">
        <f t="shared" si="1"/>
        <v>346</v>
      </c>
      <c r="R18" s="1" t="s">
        <v>14</v>
      </c>
      <c r="S18" s="17">
        <f t="shared" ref="S18:AF18" si="10">SUM(C42:C45)</f>
        <v>345</v>
      </c>
      <c r="T18" s="17">
        <f t="shared" si="10"/>
        <v>28</v>
      </c>
      <c r="U18" s="17">
        <f t="shared" si="10"/>
        <v>16</v>
      </c>
      <c r="V18" s="17">
        <f t="shared" si="10"/>
        <v>13</v>
      </c>
      <c r="W18" s="17">
        <f t="shared" si="10"/>
        <v>1</v>
      </c>
      <c r="X18" s="17">
        <f t="shared" si="10"/>
        <v>0</v>
      </c>
      <c r="Y18" s="17">
        <f t="shared" si="10"/>
        <v>9</v>
      </c>
      <c r="Z18" s="17">
        <f t="shared" si="10"/>
        <v>7</v>
      </c>
      <c r="AA18" s="17">
        <f t="shared" si="10"/>
        <v>2</v>
      </c>
      <c r="AB18" s="17">
        <f t="shared" si="10"/>
        <v>3</v>
      </c>
      <c r="AC18" s="17">
        <f t="shared" si="10"/>
        <v>570</v>
      </c>
      <c r="AD18" s="17">
        <f t="shared" si="10"/>
        <v>0</v>
      </c>
      <c r="AE18" s="31">
        <f t="shared" si="10"/>
        <v>424</v>
      </c>
      <c r="AF18" s="31">
        <f t="shared" si="10"/>
        <v>994</v>
      </c>
    </row>
    <row r="19" spans="2:32" ht="23.1" customHeight="1" x14ac:dyDescent="0.25">
      <c r="B19" s="23" t="s">
        <v>46</v>
      </c>
      <c r="C19" s="50">
        <v>60</v>
      </c>
      <c r="D19" s="50">
        <v>3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155</v>
      </c>
      <c r="N19" s="50">
        <v>0</v>
      </c>
      <c r="O19" s="15">
        <f t="shared" si="0"/>
        <v>65</v>
      </c>
      <c r="P19" s="15">
        <f t="shared" si="1"/>
        <v>220</v>
      </c>
      <c r="R19" s="1" t="s">
        <v>15</v>
      </c>
      <c r="S19" s="17">
        <f t="shared" ref="S19:AF19" si="11">SUM(C46:C49)</f>
        <v>370</v>
      </c>
      <c r="T19" s="17">
        <f t="shared" si="11"/>
        <v>25</v>
      </c>
      <c r="U19" s="17">
        <f t="shared" si="11"/>
        <v>23</v>
      </c>
      <c r="V19" s="17">
        <f t="shared" si="11"/>
        <v>14</v>
      </c>
      <c r="W19" s="17">
        <f t="shared" si="11"/>
        <v>0</v>
      </c>
      <c r="X19" s="17">
        <f t="shared" si="11"/>
        <v>6</v>
      </c>
      <c r="Y19" s="17">
        <f t="shared" si="11"/>
        <v>12</v>
      </c>
      <c r="Z19" s="17">
        <f t="shared" si="11"/>
        <v>6</v>
      </c>
      <c r="AA19" s="17">
        <f t="shared" si="11"/>
        <v>2</v>
      </c>
      <c r="AB19" s="17">
        <f t="shared" si="11"/>
        <v>0</v>
      </c>
      <c r="AC19" s="17">
        <f t="shared" si="11"/>
        <v>710</v>
      </c>
      <c r="AD19" s="17">
        <f t="shared" si="11"/>
        <v>0</v>
      </c>
      <c r="AE19" s="31">
        <f t="shared" si="11"/>
        <v>458</v>
      </c>
      <c r="AF19" s="31">
        <f t="shared" si="11"/>
        <v>1168</v>
      </c>
    </row>
    <row r="20" spans="2:32" ht="23.1" customHeight="1" x14ac:dyDescent="0.25">
      <c r="B20" s="23" t="s">
        <v>47</v>
      </c>
      <c r="C20" s="50">
        <v>70</v>
      </c>
      <c r="D20" s="50">
        <v>6</v>
      </c>
      <c r="E20" s="50">
        <v>5</v>
      </c>
      <c r="F20" s="50">
        <v>6</v>
      </c>
      <c r="G20" s="50">
        <v>0</v>
      </c>
      <c r="H20" s="50">
        <v>0</v>
      </c>
      <c r="I20" s="50">
        <v>2</v>
      </c>
      <c r="J20" s="50">
        <v>1</v>
      </c>
      <c r="K20" s="50">
        <v>0</v>
      </c>
      <c r="L20" s="50">
        <v>0</v>
      </c>
      <c r="M20" s="50">
        <v>105</v>
      </c>
      <c r="N20" s="50">
        <v>0</v>
      </c>
      <c r="O20" s="15">
        <f t="shared" si="0"/>
        <v>90</v>
      </c>
      <c r="P20" s="15">
        <f t="shared" si="1"/>
        <v>195</v>
      </c>
      <c r="R20" s="1" t="s">
        <v>16</v>
      </c>
      <c r="S20" s="17">
        <f t="shared" ref="S20:AF20" si="12">SUM(C50:C53)</f>
        <v>280</v>
      </c>
      <c r="T20" s="17">
        <f t="shared" si="12"/>
        <v>26</v>
      </c>
      <c r="U20" s="17">
        <f t="shared" si="12"/>
        <v>16</v>
      </c>
      <c r="V20" s="17">
        <f t="shared" si="12"/>
        <v>15</v>
      </c>
      <c r="W20" s="17">
        <f t="shared" si="12"/>
        <v>0</v>
      </c>
      <c r="X20" s="17">
        <f t="shared" si="12"/>
        <v>0</v>
      </c>
      <c r="Y20" s="17">
        <f t="shared" si="12"/>
        <v>10</v>
      </c>
      <c r="Z20" s="17">
        <f t="shared" si="12"/>
        <v>6</v>
      </c>
      <c r="AA20" s="17">
        <f t="shared" si="12"/>
        <v>0</v>
      </c>
      <c r="AB20" s="17">
        <f t="shared" si="12"/>
        <v>0</v>
      </c>
      <c r="AC20" s="17">
        <f t="shared" si="12"/>
        <v>660</v>
      </c>
      <c r="AD20" s="17">
        <f t="shared" si="12"/>
        <v>0</v>
      </c>
      <c r="AE20" s="31">
        <f t="shared" si="12"/>
        <v>353</v>
      </c>
      <c r="AF20" s="31">
        <f t="shared" si="12"/>
        <v>1013</v>
      </c>
    </row>
    <row r="21" spans="2:32" ht="23.1" customHeight="1" x14ac:dyDescent="0.25">
      <c r="B21" s="23" t="s">
        <v>48</v>
      </c>
      <c r="C21" s="50">
        <v>55</v>
      </c>
      <c r="D21" s="50">
        <v>9</v>
      </c>
      <c r="E21" s="50">
        <v>5</v>
      </c>
      <c r="F21" s="50">
        <v>7</v>
      </c>
      <c r="G21" s="50">
        <v>0</v>
      </c>
      <c r="H21" s="50">
        <v>0</v>
      </c>
      <c r="I21" s="50">
        <v>5</v>
      </c>
      <c r="J21" s="50">
        <v>0</v>
      </c>
      <c r="K21" s="50">
        <v>0</v>
      </c>
      <c r="L21" s="50">
        <v>0</v>
      </c>
      <c r="M21" s="50">
        <v>120</v>
      </c>
      <c r="N21" s="50">
        <v>0</v>
      </c>
      <c r="O21" s="15">
        <f t="shared" si="0"/>
        <v>81</v>
      </c>
      <c r="P21" s="15">
        <f t="shared" si="1"/>
        <v>201</v>
      </c>
      <c r="R21" s="36" t="s">
        <v>20</v>
      </c>
      <c r="S21" s="34">
        <f t="shared" ref="S21:AF21" si="13">SUM(C54:C57)</f>
        <v>321</v>
      </c>
      <c r="T21" s="17">
        <f t="shared" si="13"/>
        <v>26</v>
      </c>
      <c r="U21" s="17">
        <f t="shared" si="13"/>
        <v>28</v>
      </c>
      <c r="V21" s="17">
        <f t="shared" si="13"/>
        <v>20</v>
      </c>
      <c r="W21" s="17">
        <f t="shared" si="13"/>
        <v>3</v>
      </c>
      <c r="X21" s="17">
        <f t="shared" si="13"/>
        <v>3</v>
      </c>
      <c r="Y21" s="17">
        <f t="shared" si="13"/>
        <v>7</v>
      </c>
      <c r="Z21" s="17">
        <f t="shared" si="13"/>
        <v>7</v>
      </c>
      <c r="AA21" s="17">
        <f t="shared" si="13"/>
        <v>3</v>
      </c>
      <c r="AB21" s="17">
        <f t="shared" si="13"/>
        <v>1</v>
      </c>
      <c r="AC21" s="17">
        <f t="shared" si="13"/>
        <v>580</v>
      </c>
      <c r="AD21" s="17">
        <f t="shared" si="13"/>
        <v>0</v>
      </c>
      <c r="AE21" s="31">
        <f t="shared" si="13"/>
        <v>419</v>
      </c>
      <c r="AF21" s="31">
        <f t="shared" si="13"/>
        <v>999</v>
      </c>
    </row>
    <row r="22" spans="2:32" ht="23.1" customHeight="1" x14ac:dyDescent="0.25">
      <c r="B22" s="23" t="s">
        <v>49</v>
      </c>
      <c r="C22" s="50">
        <v>85</v>
      </c>
      <c r="D22" s="50">
        <v>3</v>
      </c>
      <c r="E22" s="50">
        <v>1</v>
      </c>
      <c r="F22" s="50">
        <v>7</v>
      </c>
      <c r="G22" s="50">
        <v>0</v>
      </c>
      <c r="H22" s="50">
        <v>0</v>
      </c>
      <c r="I22" s="50">
        <v>3</v>
      </c>
      <c r="J22" s="50">
        <v>1</v>
      </c>
      <c r="K22" s="50">
        <v>0</v>
      </c>
      <c r="L22" s="50">
        <v>0</v>
      </c>
      <c r="M22" s="50">
        <v>195</v>
      </c>
      <c r="N22" s="50">
        <v>0</v>
      </c>
      <c r="O22" s="15">
        <f t="shared" si="0"/>
        <v>100</v>
      </c>
      <c r="P22" s="15">
        <f t="shared" si="1"/>
        <v>295</v>
      </c>
      <c r="R22" s="38" t="s">
        <v>90</v>
      </c>
      <c r="S22" s="39">
        <f>MAX(S10:S12)</f>
        <v>275</v>
      </c>
      <c r="T22" s="39">
        <f t="shared" ref="T22:AF22" si="14">MAX(T10:T12)</f>
        <v>22</v>
      </c>
      <c r="U22" s="39">
        <f t="shared" si="14"/>
        <v>19</v>
      </c>
      <c r="V22" s="39">
        <f t="shared" si="14"/>
        <v>17</v>
      </c>
      <c r="W22" s="39">
        <f t="shared" si="14"/>
        <v>3</v>
      </c>
      <c r="X22" s="39">
        <f t="shared" si="14"/>
        <v>0</v>
      </c>
      <c r="Y22" s="39">
        <f t="shared" si="14"/>
        <v>9</v>
      </c>
      <c r="Z22" s="39">
        <f t="shared" si="14"/>
        <v>9</v>
      </c>
      <c r="AA22" s="39">
        <f t="shared" si="14"/>
        <v>1</v>
      </c>
      <c r="AB22" s="39">
        <f t="shared" si="14"/>
        <v>2</v>
      </c>
      <c r="AC22" s="39">
        <f t="shared" si="14"/>
        <v>615</v>
      </c>
      <c r="AD22" s="39">
        <f t="shared" si="14"/>
        <v>0</v>
      </c>
      <c r="AE22" s="40">
        <f t="shared" si="14"/>
        <v>347</v>
      </c>
      <c r="AF22" s="40">
        <f t="shared" si="14"/>
        <v>962</v>
      </c>
    </row>
    <row r="23" spans="2:32" ht="23.1" customHeight="1" x14ac:dyDescent="0.25">
      <c r="B23" s="23" t="s">
        <v>50</v>
      </c>
      <c r="C23" s="50">
        <v>95</v>
      </c>
      <c r="D23" s="50">
        <v>5</v>
      </c>
      <c r="E23" s="50">
        <v>10</v>
      </c>
      <c r="F23" s="50">
        <v>7</v>
      </c>
      <c r="G23" s="50">
        <v>0</v>
      </c>
      <c r="H23" s="50">
        <v>0</v>
      </c>
      <c r="I23" s="50">
        <v>8</v>
      </c>
      <c r="J23" s="50">
        <v>2</v>
      </c>
      <c r="K23" s="50">
        <v>1</v>
      </c>
      <c r="L23" s="50">
        <v>0</v>
      </c>
      <c r="M23" s="50">
        <v>220</v>
      </c>
      <c r="N23" s="50">
        <v>0</v>
      </c>
      <c r="O23" s="15">
        <f t="shared" si="0"/>
        <v>128</v>
      </c>
      <c r="P23" s="15">
        <f t="shared" si="1"/>
        <v>348</v>
      </c>
      <c r="R23" s="38" t="s">
        <v>91</v>
      </c>
      <c r="S23" s="39">
        <f>MAX(S13:S18)</f>
        <v>455</v>
      </c>
      <c r="T23" s="39">
        <f t="shared" ref="T23:AF23" si="15">MAX(T13:T18)</f>
        <v>63</v>
      </c>
      <c r="U23" s="39">
        <f t="shared" si="15"/>
        <v>21</v>
      </c>
      <c r="V23" s="39">
        <f t="shared" si="15"/>
        <v>21</v>
      </c>
      <c r="W23" s="39">
        <f t="shared" si="15"/>
        <v>1</v>
      </c>
      <c r="X23" s="39">
        <f t="shared" si="15"/>
        <v>1</v>
      </c>
      <c r="Y23" s="39">
        <f t="shared" si="15"/>
        <v>20</v>
      </c>
      <c r="Z23" s="39">
        <f t="shared" si="15"/>
        <v>12</v>
      </c>
      <c r="AA23" s="39">
        <f t="shared" si="15"/>
        <v>3</v>
      </c>
      <c r="AB23" s="39">
        <f t="shared" si="15"/>
        <v>3</v>
      </c>
      <c r="AC23" s="39">
        <f t="shared" si="15"/>
        <v>875</v>
      </c>
      <c r="AD23" s="39">
        <f t="shared" si="15"/>
        <v>0</v>
      </c>
      <c r="AE23" s="40">
        <f t="shared" si="15"/>
        <v>522</v>
      </c>
      <c r="AF23" s="40">
        <f t="shared" si="15"/>
        <v>1359</v>
      </c>
    </row>
    <row r="24" spans="2:32" ht="23.1" customHeight="1" x14ac:dyDescent="0.25">
      <c r="B24" s="23" t="s">
        <v>51</v>
      </c>
      <c r="C24" s="50">
        <v>111</v>
      </c>
      <c r="D24" s="50">
        <v>4</v>
      </c>
      <c r="E24" s="50">
        <v>2</v>
      </c>
      <c r="F24" s="50">
        <v>2</v>
      </c>
      <c r="G24" s="50">
        <v>0</v>
      </c>
      <c r="H24" s="50">
        <v>0</v>
      </c>
      <c r="I24" s="50">
        <v>6</v>
      </c>
      <c r="J24" s="50">
        <v>2</v>
      </c>
      <c r="K24" s="50">
        <v>0</v>
      </c>
      <c r="L24" s="50">
        <v>0</v>
      </c>
      <c r="M24" s="50">
        <v>220</v>
      </c>
      <c r="N24" s="50">
        <v>0</v>
      </c>
      <c r="O24" s="15">
        <f t="shared" si="0"/>
        <v>127</v>
      </c>
      <c r="P24" s="15">
        <f t="shared" si="1"/>
        <v>347</v>
      </c>
      <c r="R24" s="38" t="s">
        <v>92</v>
      </c>
      <c r="S24" s="39">
        <f>MAX(S19:S21)</f>
        <v>370</v>
      </c>
      <c r="T24" s="39">
        <f t="shared" ref="T24:AF24" si="16">MAX(T19:T21)</f>
        <v>26</v>
      </c>
      <c r="U24" s="39">
        <f t="shared" si="16"/>
        <v>28</v>
      </c>
      <c r="V24" s="39">
        <f t="shared" si="16"/>
        <v>20</v>
      </c>
      <c r="W24" s="39">
        <f t="shared" si="16"/>
        <v>3</v>
      </c>
      <c r="X24" s="39">
        <f t="shared" si="16"/>
        <v>6</v>
      </c>
      <c r="Y24" s="39">
        <f t="shared" si="16"/>
        <v>12</v>
      </c>
      <c r="Z24" s="39">
        <f t="shared" si="16"/>
        <v>7</v>
      </c>
      <c r="AA24" s="39">
        <f t="shared" si="16"/>
        <v>3</v>
      </c>
      <c r="AB24" s="39">
        <f t="shared" si="16"/>
        <v>1</v>
      </c>
      <c r="AC24" s="39">
        <f t="shared" si="16"/>
        <v>710</v>
      </c>
      <c r="AD24" s="39">
        <f t="shared" si="16"/>
        <v>0</v>
      </c>
      <c r="AE24" s="40">
        <f t="shared" si="16"/>
        <v>458</v>
      </c>
      <c r="AF24" s="40">
        <f t="shared" si="16"/>
        <v>1168</v>
      </c>
    </row>
    <row r="25" spans="2:32" ht="23.1" customHeight="1" x14ac:dyDescent="0.25">
      <c r="B25" s="23" t="s">
        <v>52</v>
      </c>
      <c r="C25" s="50">
        <v>115</v>
      </c>
      <c r="D25" s="50">
        <v>3</v>
      </c>
      <c r="E25" s="50">
        <v>5</v>
      </c>
      <c r="F25" s="50">
        <v>0</v>
      </c>
      <c r="G25" s="50">
        <v>0</v>
      </c>
      <c r="H25" s="50">
        <v>0</v>
      </c>
      <c r="I25" s="50">
        <v>3</v>
      </c>
      <c r="J25" s="50">
        <v>3</v>
      </c>
      <c r="K25" s="50">
        <v>0</v>
      </c>
      <c r="L25" s="50">
        <v>0</v>
      </c>
      <c r="M25" s="50">
        <v>240</v>
      </c>
      <c r="N25" s="50">
        <v>0</v>
      </c>
      <c r="O25" s="15">
        <f t="shared" si="0"/>
        <v>129</v>
      </c>
      <c r="P25" s="15">
        <f t="shared" si="1"/>
        <v>369</v>
      </c>
      <c r="R25" s="37" t="s">
        <v>85</v>
      </c>
      <c r="S25" s="35">
        <f t="shared" ref="S25:AF25" si="17">SUM(S10:S12)</f>
        <v>598</v>
      </c>
      <c r="T25" s="16">
        <f t="shared" si="17"/>
        <v>42</v>
      </c>
      <c r="U25" s="16">
        <f t="shared" si="17"/>
        <v>47</v>
      </c>
      <c r="V25" s="16">
        <f t="shared" si="17"/>
        <v>34</v>
      </c>
      <c r="W25" s="16">
        <f t="shared" si="17"/>
        <v>4</v>
      </c>
      <c r="X25" s="16">
        <f t="shared" si="17"/>
        <v>0</v>
      </c>
      <c r="Y25" s="16">
        <f t="shared" si="17"/>
        <v>24</v>
      </c>
      <c r="Z25" s="16">
        <f t="shared" si="17"/>
        <v>18</v>
      </c>
      <c r="AA25" s="16">
        <f t="shared" si="17"/>
        <v>1</v>
      </c>
      <c r="AB25" s="16">
        <f t="shared" si="17"/>
        <v>3</v>
      </c>
      <c r="AC25" s="16">
        <f t="shared" si="17"/>
        <v>1381</v>
      </c>
      <c r="AD25" s="16">
        <f t="shared" si="17"/>
        <v>0</v>
      </c>
      <c r="AE25" s="32">
        <f t="shared" si="17"/>
        <v>771</v>
      </c>
      <c r="AF25" s="32">
        <f t="shared" si="17"/>
        <v>2152</v>
      </c>
    </row>
    <row r="26" spans="2:32" ht="23.1" customHeight="1" x14ac:dyDescent="0.25">
      <c r="B26" s="23" t="s">
        <v>53</v>
      </c>
      <c r="C26" s="50">
        <v>110</v>
      </c>
      <c r="D26" s="50">
        <v>9</v>
      </c>
      <c r="E26" s="50">
        <v>4</v>
      </c>
      <c r="F26" s="50">
        <v>2</v>
      </c>
      <c r="G26" s="50">
        <v>0</v>
      </c>
      <c r="H26" s="50">
        <v>1</v>
      </c>
      <c r="I26" s="50">
        <v>3</v>
      </c>
      <c r="J26" s="50">
        <v>1</v>
      </c>
      <c r="K26" s="50">
        <v>0</v>
      </c>
      <c r="L26" s="50">
        <v>1</v>
      </c>
      <c r="M26" s="50">
        <v>165</v>
      </c>
      <c r="N26" s="50">
        <v>0</v>
      </c>
      <c r="O26" s="15">
        <f t="shared" si="0"/>
        <v>131</v>
      </c>
      <c r="P26" s="15">
        <f t="shared" si="1"/>
        <v>296</v>
      </c>
      <c r="R26" s="28" t="s">
        <v>86</v>
      </c>
      <c r="S26" s="16">
        <f t="shared" ref="S26:AF26" si="18">SUM(S13:S18)</f>
        <v>2310</v>
      </c>
      <c r="T26" s="16">
        <f t="shared" si="18"/>
        <v>175</v>
      </c>
      <c r="U26" s="16">
        <f t="shared" si="18"/>
        <v>97</v>
      </c>
      <c r="V26" s="16">
        <f t="shared" si="18"/>
        <v>86</v>
      </c>
      <c r="W26" s="16">
        <f t="shared" si="18"/>
        <v>2</v>
      </c>
      <c r="X26" s="16">
        <f t="shared" si="18"/>
        <v>1</v>
      </c>
      <c r="Y26" s="16">
        <f t="shared" si="18"/>
        <v>67</v>
      </c>
      <c r="Z26" s="16">
        <f t="shared" si="18"/>
        <v>42</v>
      </c>
      <c r="AA26" s="16">
        <f t="shared" si="18"/>
        <v>6</v>
      </c>
      <c r="AB26" s="16">
        <f t="shared" si="18"/>
        <v>11</v>
      </c>
      <c r="AC26" s="16">
        <f t="shared" si="18"/>
        <v>4225</v>
      </c>
      <c r="AD26" s="16">
        <f t="shared" si="18"/>
        <v>0</v>
      </c>
      <c r="AE26" s="32">
        <f t="shared" si="18"/>
        <v>2797</v>
      </c>
      <c r="AF26" s="32">
        <f t="shared" si="18"/>
        <v>7022</v>
      </c>
    </row>
    <row r="27" spans="2:32" ht="23.1" customHeight="1" x14ac:dyDescent="0.25">
      <c r="B27" s="23" t="s">
        <v>54</v>
      </c>
      <c r="C27" s="50">
        <v>85</v>
      </c>
      <c r="D27" s="50">
        <v>3</v>
      </c>
      <c r="E27" s="50">
        <v>9</v>
      </c>
      <c r="F27" s="50">
        <v>12</v>
      </c>
      <c r="G27" s="50">
        <v>0</v>
      </c>
      <c r="H27" s="50">
        <v>0</v>
      </c>
      <c r="I27" s="50">
        <v>2</v>
      </c>
      <c r="J27" s="50">
        <v>5</v>
      </c>
      <c r="K27" s="50">
        <v>0</v>
      </c>
      <c r="L27" s="50">
        <v>0</v>
      </c>
      <c r="M27" s="50">
        <v>110</v>
      </c>
      <c r="N27" s="50">
        <v>0</v>
      </c>
      <c r="O27" s="15">
        <f t="shared" si="0"/>
        <v>116</v>
      </c>
      <c r="P27" s="15">
        <f t="shared" si="1"/>
        <v>226</v>
      </c>
      <c r="R27" s="29" t="s">
        <v>87</v>
      </c>
      <c r="S27" s="16">
        <f t="shared" ref="S27:AF27" si="19">SUM(S19:S21)</f>
        <v>971</v>
      </c>
      <c r="T27" s="16">
        <f t="shared" si="19"/>
        <v>77</v>
      </c>
      <c r="U27" s="16">
        <f t="shared" si="19"/>
        <v>67</v>
      </c>
      <c r="V27" s="16">
        <f t="shared" si="19"/>
        <v>49</v>
      </c>
      <c r="W27" s="16">
        <f t="shared" si="19"/>
        <v>3</v>
      </c>
      <c r="X27" s="16">
        <f t="shared" si="19"/>
        <v>9</v>
      </c>
      <c r="Y27" s="16">
        <f t="shared" si="19"/>
        <v>29</v>
      </c>
      <c r="Z27" s="16">
        <f t="shared" si="19"/>
        <v>19</v>
      </c>
      <c r="AA27" s="16">
        <f t="shared" si="19"/>
        <v>5</v>
      </c>
      <c r="AB27" s="16">
        <f t="shared" si="19"/>
        <v>1</v>
      </c>
      <c r="AC27" s="16">
        <f t="shared" si="19"/>
        <v>1950</v>
      </c>
      <c r="AD27" s="16">
        <f t="shared" si="19"/>
        <v>0</v>
      </c>
      <c r="AE27" s="32">
        <f t="shared" si="19"/>
        <v>1230</v>
      </c>
      <c r="AF27" s="32">
        <f t="shared" si="19"/>
        <v>3180</v>
      </c>
    </row>
    <row r="28" spans="2:32" ht="23.1" customHeight="1" x14ac:dyDescent="0.25">
      <c r="B28" s="23" t="s">
        <v>55</v>
      </c>
      <c r="C28" s="50">
        <v>110</v>
      </c>
      <c r="D28" s="50">
        <v>6</v>
      </c>
      <c r="E28" s="50">
        <v>2</v>
      </c>
      <c r="F28" s="50">
        <v>3</v>
      </c>
      <c r="G28" s="50">
        <v>0</v>
      </c>
      <c r="H28" s="50">
        <v>0</v>
      </c>
      <c r="I28" s="50">
        <v>5</v>
      </c>
      <c r="J28" s="50">
        <v>1</v>
      </c>
      <c r="K28" s="50">
        <v>0</v>
      </c>
      <c r="L28" s="50">
        <v>0</v>
      </c>
      <c r="M28" s="50">
        <v>130</v>
      </c>
      <c r="N28" s="50">
        <v>0</v>
      </c>
      <c r="O28" s="15">
        <f t="shared" si="0"/>
        <v>127</v>
      </c>
      <c r="P28" s="15">
        <f t="shared" si="1"/>
        <v>257</v>
      </c>
      <c r="R28" s="5" t="s">
        <v>17</v>
      </c>
      <c r="S28" s="16">
        <f t="shared" ref="S28:AF28" si="20">SUM(S10:S21)</f>
        <v>3879</v>
      </c>
      <c r="T28" s="16">
        <f t="shared" si="20"/>
        <v>294</v>
      </c>
      <c r="U28" s="16">
        <f t="shared" si="20"/>
        <v>211</v>
      </c>
      <c r="V28" s="16">
        <f t="shared" si="20"/>
        <v>169</v>
      </c>
      <c r="W28" s="16">
        <f t="shared" si="20"/>
        <v>9</v>
      </c>
      <c r="X28" s="16">
        <f t="shared" si="20"/>
        <v>10</v>
      </c>
      <c r="Y28" s="16">
        <f t="shared" si="20"/>
        <v>120</v>
      </c>
      <c r="Z28" s="16">
        <f t="shared" si="20"/>
        <v>79</v>
      </c>
      <c r="AA28" s="16">
        <f t="shared" si="20"/>
        <v>12</v>
      </c>
      <c r="AB28" s="16">
        <f t="shared" si="20"/>
        <v>15</v>
      </c>
      <c r="AC28" s="16">
        <f t="shared" si="20"/>
        <v>7556</v>
      </c>
      <c r="AD28" s="16">
        <f t="shared" si="20"/>
        <v>0</v>
      </c>
      <c r="AE28" s="32">
        <f t="shared" si="20"/>
        <v>4798</v>
      </c>
      <c r="AF28" s="32">
        <f t="shared" si="20"/>
        <v>12354</v>
      </c>
    </row>
    <row r="29" spans="2:32" ht="23.1" customHeight="1" x14ac:dyDescent="0.25">
      <c r="B29" s="23" t="s">
        <v>56</v>
      </c>
      <c r="C29" s="50">
        <v>80</v>
      </c>
      <c r="D29" s="50">
        <v>45</v>
      </c>
      <c r="E29" s="50">
        <v>6</v>
      </c>
      <c r="F29" s="50">
        <v>4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2</v>
      </c>
      <c r="M29" s="50">
        <v>210</v>
      </c>
      <c r="N29" s="50">
        <v>0</v>
      </c>
      <c r="O29" s="15">
        <f t="shared" si="0"/>
        <v>139</v>
      </c>
      <c r="P29" s="15">
        <f t="shared" si="1"/>
        <v>349</v>
      </c>
      <c r="R29"/>
      <c r="S29" s="20"/>
      <c r="T29" s="19"/>
    </row>
    <row r="30" spans="2:32" ht="23.1" customHeight="1" x14ac:dyDescent="0.25">
      <c r="B30" s="23" t="s">
        <v>57</v>
      </c>
      <c r="C30" s="50">
        <v>96</v>
      </c>
      <c r="D30" s="50">
        <v>3</v>
      </c>
      <c r="E30" s="50">
        <v>4</v>
      </c>
      <c r="F30" s="50">
        <v>5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165</v>
      </c>
      <c r="N30" s="50">
        <v>0</v>
      </c>
      <c r="O30" s="15">
        <f t="shared" si="0"/>
        <v>110</v>
      </c>
      <c r="P30" s="15">
        <f t="shared" si="1"/>
        <v>275</v>
      </c>
    </row>
    <row r="31" spans="2:32" ht="23.1" customHeight="1" x14ac:dyDescent="0.25">
      <c r="B31" s="24" t="s">
        <v>58</v>
      </c>
      <c r="C31" s="50">
        <v>55</v>
      </c>
      <c r="D31" s="50">
        <v>11</v>
      </c>
      <c r="E31" s="50">
        <v>3</v>
      </c>
      <c r="F31" s="50">
        <v>3</v>
      </c>
      <c r="G31" s="50">
        <v>0</v>
      </c>
      <c r="H31" s="50">
        <v>0</v>
      </c>
      <c r="I31" s="50">
        <v>1</v>
      </c>
      <c r="J31" s="50">
        <v>3</v>
      </c>
      <c r="K31" s="50">
        <v>0</v>
      </c>
      <c r="L31" s="50">
        <v>0</v>
      </c>
      <c r="M31" s="50">
        <v>120</v>
      </c>
      <c r="N31" s="50">
        <v>0</v>
      </c>
      <c r="O31" s="15">
        <f t="shared" si="0"/>
        <v>76</v>
      </c>
      <c r="P31" s="15">
        <f t="shared" si="1"/>
        <v>196</v>
      </c>
    </row>
    <row r="32" spans="2:32" ht="23.1" customHeight="1" x14ac:dyDescent="0.25">
      <c r="B32" s="24" t="s">
        <v>59</v>
      </c>
      <c r="C32" s="50">
        <v>85</v>
      </c>
      <c r="D32" s="50">
        <v>8</v>
      </c>
      <c r="E32" s="50">
        <v>4</v>
      </c>
      <c r="F32" s="50">
        <v>9</v>
      </c>
      <c r="G32" s="50">
        <v>1</v>
      </c>
      <c r="H32" s="50">
        <v>0</v>
      </c>
      <c r="I32" s="50">
        <v>4</v>
      </c>
      <c r="J32" s="50">
        <v>6</v>
      </c>
      <c r="K32" s="50">
        <v>0</v>
      </c>
      <c r="L32" s="50">
        <v>1</v>
      </c>
      <c r="M32" s="50">
        <v>215</v>
      </c>
      <c r="N32" s="50">
        <v>0</v>
      </c>
      <c r="O32" s="15">
        <f t="shared" si="0"/>
        <v>118</v>
      </c>
      <c r="P32" s="15">
        <f t="shared" si="1"/>
        <v>333</v>
      </c>
    </row>
    <row r="33" spans="2:20" ht="23.1" customHeight="1" x14ac:dyDescent="0.25">
      <c r="B33" s="23" t="s">
        <v>60</v>
      </c>
      <c r="C33" s="50">
        <v>100</v>
      </c>
      <c r="D33" s="50">
        <v>5</v>
      </c>
      <c r="E33" s="50">
        <v>4</v>
      </c>
      <c r="F33" s="50">
        <v>3</v>
      </c>
      <c r="G33" s="50">
        <v>0</v>
      </c>
      <c r="H33" s="50">
        <v>0</v>
      </c>
      <c r="I33" s="50">
        <v>2</v>
      </c>
      <c r="J33" s="50">
        <v>2</v>
      </c>
      <c r="K33" s="50">
        <v>0</v>
      </c>
      <c r="L33" s="50">
        <v>2</v>
      </c>
      <c r="M33" s="50">
        <v>185</v>
      </c>
      <c r="N33" s="50">
        <v>0</v>
      </c>
      <c r="O33" s="15">
        <f t="shared" si="0"/>
        <v>118</v>
      </c>
      <c r="P33" s="15">
        <f t="shared" si="1"/>
        <v>303</v>
      </c>
    </row>
    <row r="34" spans="2:20" ht="23.1" customHeight="1" x14ac:dyDescent="0.25">
      <c r="B34" s="24" t="s">
        <v>61</v>
      </c>
      <c r="C34" s="50">
        <v>130</v>
      </c>
      <c r="D34" s="50">
        <v>4</v>
      </c>
      <c r="E34" s="50">
        <v>2</v>
      </c>
      <c r="F34" s="50">
        <v>3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170</v>
      </c>
      <c r="N34" s="50">
        <v>0</v>
      </c>
      <c r="O34" s="15">
        <f t="shared" si="0"/>
        <v>141</v>
      </c>
      <c r="P34" s="15">
        <f t="shared" si="1"/>
        <v>311</v>
      </c>
    </row>
    <row r="35" spans="2:20" ht="23.1" customHeight="1" x14ac:dyDescent="0.25">
      <c r="B35" s="24" t="s">
        <v>62</v>
      </c>
      <c r="C35" s="50">
        <v>115</v>
      </c>
      <c r="D35" s="50">
        <v>6</v>
      </c>
      <c r="E35" s="50">
        <v>2</v>
      </c>
      <c r="F35" s="50">
        <v>1</v>
      </c>
      <c r="G35" s="50">
        <v>0</v>
      </c>
      <c r="H35" s="50">
        <v>0</v>
      </c>
      <c r="I35" s="50">
        <v>2</v>
      </c>
      <c r="J35" s="50">
        <v>1</v>
      </c>
      <c r="K35" s="50">
        <v>0</v>
      </c>
      <c r="L35" s="50">
        <v>0</v>
      </c>
      <c r="M35" s="50">
        <v>245</v>
      </c>
      <c r="N35" s="50">
        <v>0</v>
      </c>
      <c r="O35" s="15">
        <f t="shared" si="0"/>
        <v>127</v>
      </c>
      <c r="P35" s="15">
        <f t="shared" si="1"/>
        <v>372</v>
      </c>
    </row>
    <row r="36" spans="2:20" ht="23.1" customHeight="1" x14ac:dyDescent="0.25">
      <c r="B36" s="24" t="s">
        <v>63</v>
      </c>
      <c r="C36" s="50">
        <v>70</v>
      </c>
      <c r="D36" s="50">
        <v>4</v>
      </c>
      <c r="E36" s="50">
        <v>2</v>
      </c>
      <c r="F36" s="50">
        <v>1</v>
      </c>
      <c r="G36" s="50">
        <v>0</v>
      </c>
      <c r="H36" s="50">
        <v>0</v>
      </c>
      <c r="I36" s="50">
        <v>2</v>
      </c>
      <c r="J36" s="50">
        <v>1</v>
      </c>
      <c r="K36" s="50">
        <v>3</v>
      </c>
      <c r="L36" s="50">
        <v>0</v>
      </c>
      <c r="M36" s="50">
        <v>160</v>
      </c>
      <c r="N36" s="50">
        <v>0</v>
      </c>
      <c r="O36" s="15">
        <f t="shared" si="0"/>
        <v>83</v>
      </c>
      <c r="P36" s="15">
        <f t="shared" si="1"/>
        <v>243</v>
      </c>
    </row>
    <row r="37" spans="2:20" ht="23.1" customHeight="1" x14ac:dyDescent="0.25">
      <c r="B37" s="23" t="s">
        <v>64</v>
      </c>
      <c r="C37" s="50">
        <v>68</v>
      </c>
      <c r="D37" s="50">
        <v>5</v>
      </c>
      <c r="E37" s="50">
        <v>3</v>
      </c>
      <c r="F37" s="50">
        <v>3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130</v>
      </c>
      <c r="N37" s="50">
        <v>0</v>
      </c>
      <c r="O37" s="15">
        <f t="shared" si="0"/>
        <v>81</v>
      </c>
      <c r="P37" s="15">
        <f t="shared" si="1"/>
        <v>211</v>
      </c>
    </row>
    <row r="38" spans="2:20" ht="23.1" customHeight="1" x14ac:dyDescent="0.25">
      <c r="B38" s="24" t="s">
        <v>65</v>
      </c>
      <c r="C38" s="50">
        <v>105</v>
      </c>
      <c r="D38" s="50">
        <v>3</v>
      </c>
      <c r="E38" s="50">
        <v>5</v>
      </c>
      <c r="F38" s="50">
        <v>0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160</v>
      </c>
      <c r="N38" s="50">
        <v>0</v>
      </c>
      <c r="O38" s="15">
        <f t="shared" si="0"/>
        <v>116</v>
      </c>
      <c r="P38" s="15">
        <f t="shared" si="1"/>
        <v>276</v>
      </c>
    </row>
    <row r="39" spans="2:20" ht="23.1" customHeight="1" x14ac:dyDescent="0.25">
      <c r="B39" s="24" t="s">
        <v>66</v>
      </c>
      <c r="C39" s="50">
        <v>95</v>
      </c>
      <c r="D39" s="50">
        <v>3</v>
      </c>
      <c r="E39" s="50">
        <v>3</v>
      </c>
      <c r="F39" s="50">
        <v>2</v>
      </c>
      <c r="G39" s="50">
        <v>0</v>
      </c>
      <c r="H39" s="50">
        <v>0</v>
      </c>
      <c r="I39" s="50">
        <v>3</v>
      </c>
      <c r="J39" s="50">
        <v>1</v>
      </c>
      <c r="K39" s="50">
        <v>0</v>
      </c>
      <c r="L39" s="50">
        <v>1</v>
      </c>
      <c r="M39" s="50">
        <v>195</v>
      </c>
      <c r="N39" s="50">
        <v>0</v>
      </c>
      <c r="O39" s="15">
        <f t="shared" si="0"/>
        <v>108</v>
      </c>
      <c r="P39" s="15">
        <f t="shared" si="1"/>
        <v>303</v>
      </c>
    </row>
    <row r="40" spans="2:20" ht="23.1" customHeight="1" x14ac:dyDescent="0.25">
      <c r="B40" s="24" t="s">
        <v>67</v>
      </c>
      <c r="C40" s="50">
        <v>125</v>
      </c>
      <c r="D40" s="50">
        <v>5</v>
      </c>
      <c r="E40" s="50">
        <v>6</v>
      </c>
      <c r="F40" s="50">
        <v>4</v>
      </c>
      <c r="G40" s="50">
        <v>0</v>
      </c>
      <c r="H40" s="50">
        <v>0</v>
      </c>
      <c r="I40" s="50">
        <v>6</v>
      </c>
      <c r="J40" s="50">
        <v>2</v>
      </c>
      <c r="K40" s="50">
        <v>0</v>
      </c>
      <c r="L40" s="50">
        <v>1</v>
      </c>
      <c r="M40" s="50">
        <v>240</v>
      </c>
      <c r="N40" s="50">
        <v>0</v>
      </c>
      <c r="O40" s="15">
        <f t="shared" si="0"/>
        <v>149</v>
      </c>
      <c r="P40" s="15">
        <f t="shared" si="1"/>
        <v>389</v>
      </c>
    </row>
    <row r="41" spans="2:20" ht="23.1" customHeight="1" x14ac:dyDescent="0.25">
      <c r="B41" s="23" t="s">
        <v>68</v>
      </c>
      <c r="C41" s="50">
        <v>130</v>
      </c>
      <c r="D41" s="50">
        <v>12</v>
      </c>
      <c r="E41" s="50">
        <v>4</v>
      </c>
      <c r="F41" s="50">
        <v>2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180</v>
      </c>
      <c r="N41" s="50">
        <v>0</v>
      </c>
      <c r="O41" s="15">
        <f t="shared" si="0"/>
        <v>149</v>
      </c>
      <c r="P41" s="15">
        <f t="shared" si="1"/>
        <v>329</v>
      </c>
    </row>
    <row r="42" spans="2:20" ht="23.1" customHeight="1" x14ac:dyDescent="0.25">
      <c r="B42" s="24" t="s">
        <v>69</v>
      </c>
      <c r="C42" s="50">
        <v>90</v>
      </c>
      <c r="D42" s="50">
        <v>5</v>
      </c>
      <c r="E42" s="50">
        <v>5</v>
      </c>
      <c r="F42" s="50">
        <v>3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2</v>
      </c>
      <c r="M42" s="50">
        <v>135</v>
      </c>
      <c r="N42" s="50">
        <v>0</v>
      </c>
      <c r="O42" s="15">
        <f t="shared" si="0"/>
        <v>108</v>
      </c>
      <c r="P42" s="15">
        <f t="shared" si="1"/>
        <v>243</v>
      </c>
    </row>
    <row r="43" spans="2:20" ht="23.1" customHeight="1" x14ac:dyDescent="0.25">
      <c r="B43" s="23" t="s">
        <v>70</v>
      </c>
      <c r="C43" s="50">
        <v>100</v>
      </c>
      <c r="D43" s="50">
        <v>5</v>
      </c>
      <c r="E43" s="50">
        <v>1</v>
      </c>
      <c r="F43" s="50">
        <v>3</v>
      </c>
      <c r="G43" s="50">
        <v>0</v>
      </c>
      <c r="H43" s="50">
        <v>0</v>
      </c>
      <c r="I43" s="50">
        <v>1</v>
      </c>
      <c r="J43" s="50">
        <v>3</v>
      </c>
      <c r="K43" s="50">
        <v>0</v>
      </c>
      <c r="L43" s="50">
        <v>0</v>
      </c>
      <c r="M43" s="50">
        <v>175</v>
      </c>
      <c r="N43" s="50">
        <v>0</v>
      </c>
      <c r="O43" s="15">
        <f t="shared" si="0"/>
        <v>113</v>
      </c>
      <c r="P43" s="15">
        <f t="shared" si="1"/>
        <v>288</v>
      </c>
    </row>
    <row r="44" spans="2:20" ht="23.1" customHeight="1" x14ac:dyDescent="0.25">
      <c r="B44" s="25" t="s">
        <v>71</v>
      </c>
      <c r="C44" s="50">
        <v>100</v>
      </c>
      <c r="D44" s="50">
        <v>5</v>
      </c>
      <c r="E44" s="50">
        <v>6</v>
      </c>
      <c r="F44" s="50">
        <v>4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150</v>
      </c>
      <c r="N44" s="50">
        <v>0</v>
      </c>
      <c r="O44" s="15">
        <f t="shared" si="0"/>
        <v>117</v>
      </c>
      <c r="P44" s="15">
        <f t="shared" si="1"/>
        <v>267</v>
      </c>
    </row>
    <row r="45" spans="2:20" ht="23.1" customHeight="1" x14ac:dyDescent="0.25">
      <c r="B45" s="23" t="s">
        <v>72</v>
      </c>
      <c r="C45" s="50">
        <v>55</v>
      </c>
      <c r="D45" s="50">
        <v>13</v>
      </c>
      <c r="E45" s="50">
        <v>4</v>
      </c>
      <c r="F45" s="50">
        <v>3</v>
      </c>
      <c r="G45" s="50">
        <v>1</v>
      </c>
      <c r="H45" s="50">
        <v>0</v>
      </c>
      <c r="I45" s="50">
        <v>5</v>
      </c>
      <c r="J45" s="50">
        <v>2</v>
      </c>
      <c r="K45" s="50">
        <v>2</v>
      </c>
      <c r="L45" s="50">
        <v>1</v>
      </c>
      <c r="M45" s="50">
        <v>110</v>
      </c>
      <c r="N45" s="50">
        <v>0</v>
      </c>
      <c r="O45" s="15">
        <f t="shared" si="0"/>
        <v>86</v>
      </c>
      <c r="P45" s="15">
        <f t="shared" si="1"/>
        <v>196</v>
      </c>
    </row>
    <row r="46" spans="2:20" ht="23.1" customHeight="1" x14ac:dyDescent="0.25">
      <c r="B46" s="24" t="s">
        <v>73</v>
      </c>
      <c r="C46" s="50">
        <v>105</v>
      </c>
      <c r="D46" s="50">
        <v>9</v>
      </c>
      <c r="E46" s="50">
        <v>8</v>
      </c>
      <c r="F46" s="50">
        <v>4</v>
      </c>
      <c r="G46" s="50">
        <v>0</v>
      </c>
      <c r="H46" s="50">
        <v>6</v>
      </c>
      <c r="I46" s="50">
        <v>6</v>
      </c>
      <c r="J46" s="50">
        <v>2</v>
      </c>
      <c r="K46" s="50">
        <v>2</v>
      </c>
      <c r="L46" s="50">
        <v>0</v>
      </c>
      <c r="M46" s="50">
        <v>170</v>
      </c>
      <c r="N46" s="50">
        <v>0</v>
      </c>
      <c r="O46" s="15">
        <f t="shared" si="0"/>
        <v>142</v>
      </c>
      <c r="P46" s="15">
        <f t="shared" si="1"/>
        <v>312</v>
      </c>
      <c r="R46" s="8"/>
      <c r="T46"/>
    </row>
    <row r="47" spans="2:20" ht="23.1" customHeight="1" x14ac:dyDescent="0.25">
      <c r="B47" s="24" t="s">
        <v>74</v>
      </c>
      <c r="C47" s="50">
        <v>110</v>
      </c>
      <c r="D47" s="50">
        <v>5</v>
      </c>
      <c r="E47" s="50">
        <v>1</v>
      </c>
      <c r="F47" s="50">
        <v>5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220</v>
      </c>
      <c r="N47" s="50">
        <v>0</v>
      </c>
      <c r="O47" s="15">
        <f t="shared" si="0"/>
        <v>122</v>
      </c>
      <c r="P47" s="15">
        <f t="shared" si="1"/>
        <v>342</v>
      </c>
      <c r="R47" s="8"/>
      <c r="T47"/>
    </row>
    <row r="48" spans="2:20" ht="23.1" customHeight="1" x14ac:dyDescent="0.25">
      <c r="B48" s="24" t="s">
        <v>75</v>
      </c>
      <c r="C48" s="50">
        <v>80</v>
      </c>
      <c r="D48" s="50">
        <v>7</v>
      </c>
      <c r="E48" s="50">
        <v>10</v>
      </c>
      <c r="F48" s="50">
        <v>3</v>
      </c>
      <c r="G48" s="50">
        <v>0</v>
      </c>
      <c r="H48" s="50">
        <v>0</v>
      </c>
      <c r="I48" s="50">
        <v>1</v>
      </c>
      <c r="J48" s="50">
        <v>2</v>
      </c>
      <c r="K48" s="50">
        <v>0</v>
      </c>
      <c r="L48" s="50">
        <v>0</v>
      </c>
      <c r="M48" s="50">
        <v>125</v>
      </c>
      <c r="N48" s="50">
        <v>0</v>
      </c>
      <c r="O48" s="15">
        <f t="shared" si="0"/>
        <v>103</v>
      </c>
      <c r="P48" s="15">
        <f t="shared" si="1"/>
        <v>228</v>
      </c>
      <c r="R48" s="8"/>
      <c r="T48"/>
    </row>
    <row r="49" spans="2:20" ht="23.1" customHeight="1" x14ac:dyDescent="0.25">
      <c r="B49" s="23" t="s">
        <v>76</v>
      </c>
      <c r="C49" s="50">
        <v>75</v>
      </c>
      <c r="D49" s="50">
        <v>4</v>
      </c>
      <c r="E49" s="50">
        <v>4</v>
      </c>
      <c r="F49" s="50">
        <v>2</v>
      </c>
      <c r="G49" s="50">
        <v>0</v>
      </c>
      <c r="H49" s="50">
        <v>0</v>
      </c>
      <c r="I49" s="50">
        <v>5</v>
      </c>
      <c r="J49" s="50">
        <v>1</v>
      </c>
      <c r="K49" s="50">
        <v>0</v>
      </c>
      <c r="L49" s="50">
        <v>0</v>
      </c>
      <c r="M49" s="50">
        <v>195</v>
      </c>
      <c r="N49" s="50">
        <v>0</v>
      </c>
      <c r="O49" s="15">
        <f t="shared" si="0"/>
        <v>91</v>
      </c>
      <c r="P49" s="15">
        <f t="shared" si="1"/>
        <v>286</v>
      </c>
      <c r="R49" s="8"/>
      <c r="T49"/>
    </row>
    <row r="50" spans="2:20" ht="23.1" customHeight="1" x14ac:dyDescent="0.25">
      <c r="B50" s="24" t="s">
        <v>77</v>
      </c>
      <c r="C50" s="50">
        <v>85</v>
      </c>
      <c r="D50" s="50">
        <v>7</v>
      </c>
      <c r="E50" s="50">
        <v>6</v>
      </c>
      <c r="F50" s="50">
        <v>2</v>
      </c>
      <c r="G50" s="50">
        <v>0</v>
      </c>
      <c r="H50" s="50">
        <v>0</v>
      </c>
      <c r="I50" s="50">
        <v>4</v>
      </c>
      <c r="J50" s="50">
        <v>0</v>
      </c>
      <c r="K50" s="50">
        <v>0</v>
      </c>
      <c r="L50" s="50">
        <v>0</v>
      </c>
      <c r="M50" s="50">
        <v>170</v>
      </c>
      <c r="N50" s="50">
        <v>0</v>
      </c>
      <c r="O50" s="15">
        <f t="shared" si="0"/>
        <v>104</v>
      </c>
      <c r="P50" s="15">
        <f t="shared" si="1"/>
        <v>274</v>
      </c>
      <c r="R50" s="8"/>
      <c r="T50"/>
    </row>
    <row r="51" spans="2:20" ht="23.1" customHeight="1" x14ac:dyDescent="0.25">
      <c r="B51" s="24" t="s">
        <v>78</v>
      </c>
      <c r="C51" s="50">
        <v>70</v>
      </c>
      <c r="D51" s="50">
        <v>6</v>
      </c>
      <c r="E51" s="50">
        <v>3</v>
      </c>
      <c r="F51" s="50">
        <v>3</v>
      </c>
      <c r="G51" s="50">
        <v>0</v>
      </c>
      <c r="H51" s="50">
        <v>0</v>
      </c>
      <c r="I51" s="50">
        <v>1</v>
      </c>
      <c r="J51" s="50">
        <v>3</v>
      </c>
      <c r="K51" s="50">
        <v>0</v>
      </c>
      <c r="L51" s="50">
        <v>0</v>
      </c>
      <c r="M51" s="50">
        <v>175</v>
      </c>
      <c r="N51" s="50">
        <v>0</v>
      </c>
      <c r="O51" s="15">
        <f t="shared" si="0"/>
        <v>86</v>
      </c>
      <c r="P51" s="15">
        <f t="shared" si="1"/>
        <v>261</v>
      </c>
      <c r="R51" s="8"/>
      <c r="T51"/>
    </row>
    <row r="52" spans="2:20" ht="23.1" customHeight="1" x14ac:dyDescent="0.25">
      <c r="B52" s="24" t="s">
        <v>79</v>
      </c>
      <c r="C52" s="50">
        <v>70</v>
      </c>
      <c r="D52" s="50">
        <v>8</v>
      </c>
      <c r="E52" s="50">
        <v>3</v>
      </c>
      <c r="F52" s="50">
        <v>7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150</v>
      </c>
      <c r="N52" s="50">
        <v>0</v>
      </c>
      <c r="O52" s="15">
        <f t="shared" si="0"/>
        <v>91</v>
      </c>
      <c r="P52" s="15">
        <f t="shared" si="1"/>
        <v>241</v>
      </c>
      <c r="R52" s="8"/>
      <c r="T52"/>
    </row>
    <row r="53" spans="2:20" ht="23.1" customHeight="1" x14ac:dyDescent="0.25">
      <c r="B53" s="23" t="s">
        <v>80</v>
      </c>
      <c r="C53" s="50">
        <v>55</v>
      </c>
      <c r="D53" s="50">
        <v>5</v>
      </c>
      <c r="E53" s="50">
        <v>4</v>
      </c>
      <c r="F53" s="50">
        <v>3</v>
      </c>
      <c r="G53" s="50">
        <v>0</v>
      </c>
      <c r="H53" s="50">
        <v>0</v>
      </c>
      <c r="I53" s="50">
        <v>3</v>
      </c>
      <c r="J53" s="50">
        <v>2</v>
      </c>
      <c r="K53" s="50">
        <v>0</v>
      </c>
      <c r="L53" s="50">
        <v>0</v>
      </c>
      <c r="M53" s="50">
        <v>165</v>
      </c>
      <c r="N53" s="50">
        <v>0</v>
      </c>
      <c r="O53" s="15">
        <f t="shared" si="0"/>
        <v>72</v>
      </c>
      <c r="P53" s="15">
        <f t="shared" si="1"/>
        <v>237</v>
      </c>
      <c r="R53" s="8"/>
      <c r="T53"/>
    </row>
    <row r="54" spans="2:20" ht="23.1" customHeight="1" x14ac:dyDescent="0.25">
      <c r="B54" s="23" t="s">
        <v>81</v>
      </c>
      <c r="C54" s="50">
        <v>80</v>
      </c>
      <c r="D54" s="50">
        <v>6</v>
      </c>
      <c r="E54" s="50">
        <v>5</v>
      </c>
      <c r="F54" s="50">
        <v>2</v>
      </c>
      <c r="G54" s="50">
        <v>0</v>
      </c>
      <c r="H54" s="50">
        <v>1</v>
      </c>
      <c r="I54" s="50">
        <v>3</v>
      </c>
      <c r="J54" s="50">
        <v>1</v>
      </c>
      <c r="K54" s="50">
        <v>0</v>
      </c>
      <c r="L54" s="50">
        <v>0</v>
      </c>
      <c r="M54" s="50">
        <v>165</v>
      </c>
      <c r="N54" s="50">
        <v>0</v>
      </c>
      <c r="O54" s="15">
        <f t="shared" si="0"/>
        <v>98</v>
      </c>
      <c r="P54" s="15">
        <f t="shared" si="1"/>
        <v>263</v>
      </c>
      <c r="R54" s="8"/>
      <c r="T54"/>
    </row>
    <row r="55" spans="2:20" ht="23.1" customHeight="1" x14ac:dyDescent="0.25">
      <c r="B55" s="23" t="s">
        <v>82</v>
      </c>
      <c r="C55" s="50">
        <v>85</v>
      </c>
      <c r="D55" s="50">
        <v>3</v>
      </c>
      <c r="E55" s="50">
        <v>4</v>
      </c>
      <c r="F55" s="50">
        <v>5</v>
      </c>
      <c r="G55" s="50">
        <v>0</v>
      </c>
      <c r="H55" s="50">
        <v>2</v>
      </c>
      <c r="I55" s="50">
        <v>0</v>
      </c>
      <c r="J55" s="50">
        <v>3</v>
      </c>
      <c r="K55" s="50">
        <v>1</v>
      </c>
      <c r="L55" s="50">
        <v>0</v>
      </c>
      <c r="M55" s="50">
        <v>145</v>
      </c>
      <c r="N55" s="50">
        <v>0</v>
      </c>
      <c r="O55" s="15">
        <f t="shared" si="0"/>
        <v>103</v>
      </c>
      <c r="P55" s="15">
        <f t="shared" si="1"/>
        <v>248</v>
      </c>
      <c r="R55" s="8"/>
      <c r="T55"/>
    </row>
    <row r="56" spans="2:20" ht="23.1" customHeight="1" x14ac:dyDescent="0.25">
      <c r="B56" s="23" t="s">
        <v>83</v>
      </c>
      <c r="C56" s="50">
        <v>61</v>
      </c>
      <c r="D56" s="50">
        <v>10</v>
      </c>
      <c r="E56" s="50">
        <v>3</v>
      </c>
      <c r="F56" s="50">
        <v>5</v>
      </c>
      <c r="G56" s="50">
        <v>1</v>
      </c>
      <c r="H56" s="50">
        <v>0</v>
      </c>
      <c r="I56" s="50">
        <v>0</v>
      </c>
      <c r="J56" s="50">
        <v>2</v>
      </c>
      <c r="K56" s="50">
        <v>0</v>
      </c>
      <c r="L56" s="50">
        <v>0</v>
      </c>
      <c r="M56" s="50">
        <v>115</v>
      </c>
      <c r="N56" s="50">
        <v>0</v>
      </c>
      <c r="O56" s="15">
        <f t="shared" si="0"/>
        <v>82</v>
      </c>
      <c r="P56" s="15">
        <f t="shared" si="1"/>
        <v>197</v>
      </c>
      <c r="R56" s="8"/>
      <c r="T56"/>
    </row>
    <row r="57" spans="2:20" ht="23.1" customHeight="1" x14ac:dyDescent="0.25">
      <c r="B57" s="23" t="s">
        <v>84</v>
      </c>
      <c r="C57" s="50">
        <v>95</v>
      </c>
      <c r="D57" s="50">
        <v>7</v>
      </c>
      <c r="E57" s="50">
        <v>16</v>
      </c>
      <c r="F57" s="50">
        <v>8</v>
      </c>
      <c r="G57" s="50">
        <v>2</v>
      </c>
      <c r="H57" s="50">
        <v>0</v>
      </c>
      <c r="I57" s="50">
        <v>4</v>
      </c>
      <c r="J57" s="50">
        <v>1</v>
      </c>
      <c r="K57" s="50">
        <v>2</v>
      </c>
      <c r="L57" s="50">
        <v>1</v>
      </c>
      <c r="M57" s="50">
        <v>155</v>
      </c>
      <c r="N57" s="50">
        <v>0</v>
      </c>
      <c r="O57" s="15">
        <f t="shared" si="0"/>
        <v>136</v>
      </c>
      <c r="P57" s="15">
        <f t="shared" si="1"/>
        <v>291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3879</v>
      </c>
      <c r="D58" s="16">
        <f t="shared" si="21"/>
        <v>294</v>
      </c>
      <c r="E58" s="16">
        <f t="shared" si="21"/>
        <v>211</v>
      </c>
      <c r="F58" s="16">
        <f t="shared" si="21"/>
        <v>169</v>
      </c>
      <c r="G58" s="16">
        <f t="shared" si="21"/>
        <v>9</v>
      </c>
      <c r="H58" s="16">
        <f t="shared" si="21"/>
        <v>10</v>
      </c>
      <c r="I58" s="16">
        <f t="shared" si="21"/>
        <v>120</v>
      </c>
      <c r="J58" s="16">
        <f t="shared" si="21"/>
        <v>79</v>
      </c>
      <c r="K58" s="16">
        <f t="shared" si="21"/>
        <v>12</v>
      </c>
      <c r="L58" s="16">
        <f t="shared" si="21"/>
        <v>15</v>
      </c>
      <c r="M58" s="16">
        <f t="shared" si="21"/>
        <v>7556</v>
      </c>
      <c r="N58" s="16">
        <f t="shared" si="21"/>
        <v>0</v>
      </c>
      <c r="O58" s="16">
        <f t="shared" si="21"/>
        <v>4798</v>
      </c>
      <c r="P58" s="16">
        <f t="shared" si="21"/>
        <v>12354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0.31398737251092762</v>
      </c>
      <c r="D59" s="43">
        <f t="shared" si="22"/>
        <v>2.3797960174842158E-2</v>
      </c>
      <c r="E59" s="43">
        <f t="shared" si="22"/>
        <v>1.7079488424801684E-2</v>
      </c>
      <c r="F59" s="43">
        <f t="shared" si="22"/>
        <v>1.3679779828395661E-2</v>
      </c>
      <c r="G59" s="43">
        <f t="shared" si="22"/>
        <v>7.2850898494414762E-4</v>
      </c>
      <c r="H59" s="43">
        <f t="shared" si="22"/>
        <v>8.0945442771571965E-4</v>
      </c>
      <c r="I59" s="43">
        <f t="shared" si="22"/>
        <v>9.7134531325886349E-3</v>
      </c>
      <c r="J59" s="43">
        <f t="shared" si="22"/>
        <v>6.3946899789541845E-3</v>
      </c>
      <c r="K59" s="43">
        <f t="shared" si="22"/>
        <v>9.7134531325886349E-4</v>
      </c>
      <c r="L59" s="43">
        <f t="shared" si="22"/>
        <v>1.2141816415735794E-3</v>
      </c>
      <c r="M59" s="43">
        <f t="shared" si="22"/>
        <v>0.61162376558199771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0.80846185910796164</v>
      </c>
      <c r="D60" s="44">
        <f t="shared" ref="D60:N60" si="23">D58/$O$58</f>
        <v>6.1275531471446439E-2</v>
      </c>
      <c r="E60" s="44">
        <f t="shared" si="23"/>
        <v>4.397665694039183E-2</v>
      </c>
      <c r="F60" s="44">
        <f t="shared" si="23"/>
        <v>3.5223009587328054E-2</v>
      </c>
      <c r="G60" s="44">
        <f t="shared" si="23"/>
        <v>1.8757815756565235E-3</v>
      </c>
      <c r="H60" s="44">
        <f t="shared" si="23"/>
        <v>2.0842017507294707E-3</v>
      </c>
      <c r="I60" s="44">
        <f t="shared" si="23"/>
        <v>2.5010421008753649E-2</v>
      </c>
      <c r="J60" s="44">
        <f t="shared" si="23"/>
        <v>1.6465193830762819E-2</v>
      </c>
      <c r="K60" s="44">
        <f t="shared" si="23"/>
        <v>2.5010421008753647E-3</v>
      </c>
      <c r="L60" s="44">
        <f t="shared" si="23"/>
        <v>3.1263026260942061E-3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L58" zoomScale="60" workbookViewId="0">
      <selection activeCell="AD58" sqref="AD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'28.07 Ndeeba-Lubiri'!C3:G3</f>
        <v>MCC - C1 - STN03- KALINDA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3" t="s">
        <v>169</v>
      </c>
      <c r="E5" s="74"/>
      <c r="F5" s="41" t="s">
        <v>1</v>
      </c>
      <c r="G5" s="71" t="str">
        <f>'28.07 Lubiri-Ndeeba'!G5:H5</f>
        <v>Before Shell</v>
      </c>
      <c r="H5" s="72"/>
      <c r="I5" s="14"/>
      <c r="J5" s="2" t="s">
        <v>5</v>
      </c>
      <c r="K5" s="71" t="str">
        <f>'28.07 Lubiri-Ndeeba'!K5:L5</f>
        <v>Maiso.M.Gadafi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'28.07 Lubiri-Ndeeba'!D6:E6</f>
        <v>Lubiri</v>
      </c>
      <c r="E6" s="72"/>
      <c r="F6" s="2" t="s">
        <v>2</v>
      </c>
      <c r="G6" s="71" t="str">
        <f>'28.07 Lubiri-Ndeeba'!G6:H6</f>
        <v>Ndeeba</v>
      </c>
      <c r="H6" s="72"/>
      <c r="J6" s="2" t="s">
        <v>21</v>
      </c>
      <c r="K6" s="71" t="str">
        <f>'28.07 Lubiri-Ndeeba'!K6:L6</f>
        <v>Denis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Lubiri -Ndeeba'!C10,'23.07 Lubiri-Ndeeba'!C10,'24.07 Lubiri-Ndeeba'!C10,'25.07 Lubiri-Ndeeba'!C10,'26.07 Lubiri-Ndeeba-24h'!C10,'27.07 Lubiri-Ndeeba-24h'!C10,'28.07 Lubiri-Ndeeba'!C10)</f>
        <v>20.428571428571427</v>
      </c>
      <c r="D10" s="49">
        <f>AVERAGE('22.07 Lubiri -Ndeeba'!D10,'23.07 Lubiri-Ndeeba'!D10,'24.07 Lubiri-Ndeeba'!D10,'25.07 Lubiri-Ndeeba'!D10,'26.07 Lubiri-Ndeeba-24h'!D10,'27.07 Lubiri-Ndeeba-24h'!D10,'28.07 Lubiri-Ndeeba'!D10)</f>
        <v>4.2857142857142856</v>
      </c>
      <c r="E10" s="49">
        <f>AVERAGE('22.07 Lubiri -Ndeeba'!E10,'23.07 Lubiri-Ndeeba'!E10,'24.07 Lubiri-Ndeeba'!E10,'25.07 Lubiri-Ndeeba'!E10,'26.07 Lubiri-Ndeeba-24h'!E10,'27.07 Lubiri-Ndeeba-24h'!E10,'28.07 Lubiri-Ndeeba'!E10)</f>
        <v>3.1428571428571428</v>
      </c>
      <c r="F10" s="49">
        <f>AVERAGE('22.07 Lubiri -Ndeeba'!F10,'23.07 Lubiri-Ndeeba'!F10,'24.07 Lubiri-Ndeeba'!F10,'25.07 Lubiri-Ndeeba'!F10,'26.07 Lubiri-Ndeeba-24h'!F10,'27.07 Lubiri-Ndeeba-24h'!F10,'28.07 Lubiri-Ndeeba'!F10)</f>
        <v>9</v>
      </c>
      <c r="G10" s="49">
        <f>AVERAGE('22.07 Lubiri -Ndeeba'!G10,'23.07 Lubiri-Ndeeba'!G10,'24.07 Lubiri-Ndeeba'!G10,'25.07 Lubiri-Ndeeba'!G10,'26.07 Lubiri-Ndeeba-24h'!G10,'27.07 Lubiri-Ndeeba-24h'!G10,'28.07 Lubiri-Ndeeba'!G10)</f>
        <v>0.42857142857142855</v>
      </c>
      <c r="H10" s="49">
        <f>AVERAGE('22.07 Lubiri -Ndeeba'!H10,'23.07 Lubiri-Ndeeba'!H10,'24.07 Lubiri-Ndeeba'!H10,'25.07 Lubiri-Ndeeba'!H10,'26.07 Lubiri-Ndeeba-24h'!H10,'27.07 Lubiri-Ndeeba-24h'!H10,'28.07 Lubiri-Ndeeba'!H10)</f>
        <v>0.14285714285714285</v>
      </c>
      <c r="I10" s="49">
        <f>AVERAGE('22.07 Lubiri -Ndeeba'!I10,'23.07 Lubiri-Ndeeba'!I10,'24.07 Lubiri-Ndeeba'!I10,'25.07 Lubiri-Ndeeba'!I10,'26.07 Lubiri-Ndeeba-24h'!I10,'27.07 Lubiri-Ndeeba-24h'!I10,'28.07 Lubiri-Ndeeba'!I10)</f>
        <v>1.5714285714285714</v>
      </c>
      <c r="J10" s="49">
        <f>AVERAGE('22.07 Lubiri -Ndeeba'!J10,'23.07 Lubiri-Ndeeba'!J10,'24.07 Lubiri-Ndeeba'!J10,'25.07 Lubiri-Ndeeba'!J10,'26.07 Lubiri-Ndeeba-24h'!J10,'27.07 Lubiri-Ndeeba-24h'!J10,'28.07 Lubiri-Ndeeba'!J10)</f>
        <v>1</v>
      </c>
      <c r="K10" s="49">
        <f>AVERAGE('22.07 Lubiri -Ndeeba'!K10,'23.07 Lubiri-Ndeeba'!K10,'24.07 Lubiri-Ndeeba'!K10,'25.07 Lubiri-Ndeeba'!K10,'26.07 Lubiri-Ndeeba-24h'!K10,'27.07 Lubiri-Ndeeba-24h'!K10,'28.07 Lubiri-Ndeeba'!K10)</f>
        <v>0.14285714285714285</v>
      </c>
      <c r="L10" s="49">
        <f>AVERAGE('22.07 Lubiri -Ndeeba'!L10,'23.07 Lubiri-Ndeeba'!L10,'24.07 Lubiri-Ndeeba'!L10,'25.07 Lubiri-Ndeeba'!L10,'26.07 Lubiri-Ndeeba-24h'!L10,'27.07 Lubiri-Ndeeba-24h'!L10,'28.07 Lubiri-Ndeeba'!L10)</f>
        <v>0</v>
      </c>
      <c r="M10" s="49">
        <f>AVERAGE('22.07 Lubiri -Ndeeba'!M10,'23.07 Lubiri-Ndeeba'!M10,'24.07 Lubiri-Ndeeba'!M10,'25.07 Lubiri-Ndeeba'!M10,'26.07 Lubiri-Ndeeba-24h'!M10,'27.07 Lubiri-Ndeeba-24h'!M10,'28.07 Lubiri-Ndeeba'!M10)</f>
        <v>79</v>
      </c>
      <c r="N10" s="49">
        <f>AVERAGE('22.07 Lubiri -Ndeeba'!N10,'23.07 Lubiri-Ndeeba'!N10,'24.07 Lubiri-Ndeeba'!N10,'25.07 Lubiri-Ndeeba'!N10,'26.07 Lubiri-Ndeeba-24h'!N10,'27.07 Lubiri-Ndeeba-24h'!N10,'28.07 Lubiri-Ndeeba'!N10)</f>
        <v>0</v>
      </c>
      <c r="O10" s="15">
        <f t="shared" ref="O10:O41" si="0">SUM(C10:L10,N10)</f>
        <v>40.142857142857146</v>
      </c>
      <c r="P10" s="15">
        <f t="shared" ref="P10:P41" si="1">SUM(C10:N10)</f>
        <v>119.14285714285714</v>
      </c>
      <c r="R10" s="1" t="s">
        <v>6</v>
      </c>
      <c r="S10" s="17">
        <f t="shared" ref="S10:AF10" si="2">SUM(C10:C13)</f>
        <v>82.428571428571431</v>
      </c>
      <c r="T10" s="17">
        <f t="shared" si="2"/>
        <v>13.714285714285715</v>
      </c>
      <c r="U10" s="17">
        <f t="shared" si="2"/>
        <v>12.285714285714286</v>
      </c>
      <c r="V10" s="17">
        <f t="shared" si="2"/>
        <v>49.428571428571431</v>
      </c>
      <c r="W10" s="17">
        <f t="shared" si="2"/>
        <v>7.1428571428571432</v>
      </c>
      <c r="X10" s="17">
        <f t="shared" si="2"/>
        <v>0.42857142857142855</v>
      </c>
      <c r="Y10" s="17">
        <f t="shared" si="2"/>
        <v>7.4285714285714288</v>
      </c>
      <c r="Z10" s="17">
        <f t="shared" si="2"/>
        <v>5.5714285714285712</v>
      </c>
      <c r="AA10" s="17">
        <f t="shared" si="2"/>
        <v>1.2857142857142856</v>
      </c>
      <c r="AB10" s="17">
        <f t="shared" si="2"/>
        <v>0.2857142857142857</v>
      </c>
      <c r="AC10" s="17">
        <f t="shared" si="2"/>
        <v>487.28571428571433</v>
      </c>
      <c r="AD10" s="17">
        <f t="shared" si="2"/>
        <v>0</v>
      </c>
      <c r="AE10" s="31">
        <f t="shared" si="2"/>
        <v>180</v>
      </c>
      <c r="AF10" s="31">
        <f t="shared" si="2"/>
        <v>667.28571428571422</v>
      </c>
    </row>
    <row r="11" spans="2:32" s="6" customFormat="1" ht="23.1" customHeight="1" x14ac:dyDescent="0.25">
      <c r="B11" s="23" t="s">
        <v>38</v>
      </c>
      <c r="C11" s="49">
        <f>AVERAGE('22.07 Lubiri -Ndeeba'!C11,'23.07 Lubiri-Ndeeba'!C11,'24.07 Lubiri-Ndeeba'!C11,'25.07 Lubiri-Ndeeba'!C11,'26.07 Lubiri-Ndeeba-24h'!C11,'27.07 Lubiri-Ndeeba-24h'!C11,'28.07 Lubiri-Ndeeba'!C11)</f>
        <v>21.142857142857142</v>
      </c>
      <c r="D11" s="49">
        <f>AVERAGE('22.07 Lubiri -Ndeeba'!D11,'23.07 Lubiri-Ndeeba'!D11,'24.07 Lubiri-Ndeeba'!D11,'25.07 Lubiri-Ndeeba'!D11,'26.07 Lubiri-Ndeeba-24h'!D11,'27.07 Lubiri-Ndeeba-24h'!D11,'28.07 Lubiri-Ndeeba'!D11)</f>
        <v>3.1428571428571428</v>
      </c>
      <c r="E11" s="49">
        <f>AVERAGE('22.07 Lubiri -Ndeeba'!E11,'23.07 Lubiri-Ndeeba'!E11,'24.07 Lubiri-Ndeeba'!E11,'25.07 Lubiri-Ndeeba'!E11,'26.07 Lubiri-Ndeeba-24h'!E11,'27.07 Lubiri-Ndeeba-24h'!E11,'28.07 Lubiri-Ndeeba'!E11)</f>
        <v>2.2857142857142856</v>
      </c>
      <c r="F11" s="49">
        <f>AVERAGE('22.07 Lubiri -Ndeeba'!F11,'23.07 Lubiri-Ndeeba'!F11,'24.07 Lubiri-Ndeeba'!F11,'25.07 Lubiri-Ndeeba'!F11,'26.07 Lubiri-Ndeeba-24h'!F11,'27.07 Lubiri-Ndeeba-24h'!F11,'28.07 Lubiri-Ndeeba'!F11)</f>
        <v>12.285714285714286</v>
      </c>
      <c r="G11" s="49">
        <f>AVERAGE('22.07 Lubiri -Ndeeba'!G11,'23.07 Lubiri-Ndeeba'!G11,'24.07 Lubiri-Ndeeba'!G11,'25.07 Lubiri-Ndeeba'!G11,'26.07 Lubiri-Ndeeba-24h'!G11,'27.07 Lubiri-Ndeeba-24h'!G11,'28.07 Lubiri-Ndeeba'!G11)</f>
        <v>0.14285714285714285</v>
      </c>
      <c r="H11" s="49">
        <f>AVERAGE('22.07 Lubiri -Ndeeba'!H11,'23.07 Lubiri-Ndeeba'!H11,'24.07 Lubiri-Ndeeba'!H11,'25.07 Lubiri-Ndeeba'!H11,'26.07 Lubiri-Ndeeba-24h'!H11,'27.07 Lubiri-Ndeeba-24h'!H11,'28.07 Lubiri-Ndeeba'!H11)</f>
        <v>0</v>
      </c>
      <c r="I11" s="49">
        <f>AVERAGE('22.07 Lubiri -Ndeeba'!I11,'23.07 Lubiri-Ndeeba'!I11,'24.07 Lubiri-Ndeeba'!I11,'25.07 Lubiri-Ndeeba'!I11,'26.07 Lubiri-Ndeeba-24h'!I11,'27.07 Lubiri-Ndeeba-24h'!I11,'28.07 Lubiri-Ndeeba'!I11)</f>
        <v>1</v>
      </c>
      <c r="J11" s="49">
        <f>AVERAGE('22.07 Lubiri -Ndeeba'!J11,'23.07 Lubiri-Ndeeba'!J11,'24.07 Lubiri-Ndeeba'!J11,'25.07 Lubiri-Ndeeba'!J11,'26.07 Lubiri-Ndeeba-24h'!J11,'27.07 Lubiri-Ndeeba-24h'!J11,'28.07 Lubiri-Ndeeba'!J11)</f>
        <v>0.8571428571428571</v>
      </c>
      <c r="K11" s="49">
        <f>AVERAGE('22.07 Lubiri -Ndeeba'!K11,'23.07 Lubiri-Ndeeba'!K11,'24.07 Lubiri-Ndeeba'!K11,'25.07 Lubiri-Ndeeba'!K11,'26.07 Lubiri-Ndeeba-24h'!K11,'27.07 Lubiri-Ndeeba-24h'!K11,'28.07 Lubiri-Ndeeba'!K11)</f>
        <v>0.2857142857142857</v>
      </c>
      <c r="L11" s="49">
        <f>AVERAGE('22.07 Lubiri -Ndeeba'!L11,'23.07 Lubiri-Ndeeba'!L11,'24.07 Lubiri-Ndeeba'!L11,'25.07 Lubiri-Ndeeba'!L11,'26.07 Lubiri-Ndeeba-24h'!L11,'27.07 Lubiri-Ndeeba-24h'!L11,'28.07 Lubiri-Ndeeba'!L11)</f>
        <v>0</v>
      </c>
      <c r="M11" s="49">
        <f>AVERAGE('22.07 Lubiri -Ndeeba'!M11,'23.07 Lubiri-Ndeeba'!M11,'24.07 Lubiri-Ndeeba'!M11,'25.07 Lubiri-Ndeeba'!M11,'26.07 Lubiri-Ndeeba-24h'!M11,'27.07 Lubiri-Ndeeba-24h'!M11,'28.07 Lubiri-Ndeeba'!M11)</f>
        <v>104.71428571428571</v>
      </c>
      <c r="N11" s="49">
        <f>AVERAGE('22.07 Lubiri -Ndeeba'!N11,'23.07 Lubiri-Ndeeba'!N11,'24.07 Lubiri-Ndeeba'!N11,'25.07 Lubiri-Ndeeba'!N11,'26.07 Lubiri-Ndeeba-24h'!N11,'27.07 Lubiri-Ndeeba-24h'!N11,'28.07 Lubiri-Ndeeba'!N11)</f>
        <v>0</v>
      </c>
      <c r="O11" s="15">
        <f t="shared" si="0"/>
        <v>41.142857142857139</v>
      </c>
      <c r="P11" s="15">
        <f t="shared" si="1"/>
        <v>145.85714285714283</v>
      </c>
      <c r="R11" s="1" t="s">
        <v>7</v>
      </c>
      <c r="S11" s="17">
        <f t="shared" ref="S11:AF11" si="3">SUM(C14:C17)</f>
        <v>105.57142857142857</v>
      </c>
      <c r="T11" s="17">
        <f t="shared" si="3"/>
        <v>16.571428571428573</v>
      </c>
      <c r="U11" s="17">
        <f t="shared" si="3"/>
        <v>18.571428571428569</v>
      </c>
      <c r="V11" s="17">
        <f t="shared" si="3"/>
        <v>68.142857142857139</v>
      </c>
      <c r="W11" s="17">
        <f t="shared" si="3"/>
        <v>3</v>
      </c>
      <c r="X11" s="17">
        <f t="shared" si="3"/>
        <v>0.42857142857142855</v>
      </c>
      <c r="Y11" s="17">
        <f t="shared" si="3"/>
        <v>16.857142857142858</v>
      </c>
      <c r="Z11" s="17">
        <f t="shared" si="3"/>
        <v>10.857142857142858</v>
      </c>
      <c r="AA11" s="17">
        <f t="shared" si="3"/>
        <v>3.2857142857142856</v>
      </c>
      <c r="AB11" s="17">
        <f t="shared" si="3"/>
        <v>0.14285714285714285</v>
      </c>
      <c r="AC11" s="17">
        <f t="shared" si="3"/>
        <v>835.57142857142856</v>
      </c>
      <c r="AD11" s="17">
        <f t="shared" si="3"/>
        <v>0</v>
      </c>
      <c r="AE11" s="31">
        <f t="shared" si="3"/>
        <v>243.42857142857144</v>
      </c>
      <c r="AF11" s="31">
        <f t="shared" si="3"/>
        <v>1079</v>
      </c>
    </row>
    <row r="12" spans="2:32" ht="23.1" customHeight="1" x14ac:dyDescent="0.25">
      <c r="B12" s="23" t="s">
        <v>39</v>
      </c>
      <c r="C12" s="49">
        <f>AVERAGE('22.07 Lubiri -Ndeeba'!C12,'23.07 Lubiri-Ndeeba'!C12,'24.07 Lubiri-Ndeeba'!C12,'25.07 Lubiri-Ndeeba'!C12,'26.07 Lubiri-Ndeeba-24h'!C12,'27.07 Lubiri-Ndeeba-24h'!C12,'28.07 Lubiri-Ndeeba'!C12)</f>
        <v>19.714285714285715</v>
      </c>
      <c r="D12" s="49">
        <f>AVERAGE('22.07 Lubiri -Ndeeba'!D12,'23.07 Lubiri-Ndeeba'!D12,'24.07 Lubiri-Ndeeba'!D12,'25.07 Lubiri-Ndeeba'!D12,'26.07 Lubiri-Ndeeba-24h'!D12,'27.07 Lubiri-Ndeeba-24h'!D12,'28.07 Lubiri-Ndeeba'!D12)</f>
        <v>2</v>
      </c>
      <c r="E12" s="49">
        <f>AVERAGE('22.07 Lubiri -Ndeeba'!E12,'23.07 Lubiri-Ndeeba'!E12,'24.07 Lubiri-Ndeeba'!E12,'25.07 Lubiri-Ndeeba'!E12,'26.07 Lubiri-Ndeeba-24h'!E12,'27.07 Lubiri-Ndeeba-24h'!E12,'28.07 Lubiri-Ndeeba'!E12)</f>
        <v>1.8571428571428572</v>
      </c>
      <c r="F12" s="49">
        <f>AVERAGE('22.07 Lubiri -Ndeeba'!F12,'23.07 Lubiri-Ndeeba'!F12,'24.07 Lubiri-Ndeeba'!F12,'25.07 Lubiri-Ndeeba'!F12,'26.07 Lubiri-Ndeeba-24h'!F12,'27.07 Lubiri-Ndeeba-24h'!F12,'28.07 Lubiri-Ndeeba'!F12)</f>
        <v>12.428571428571429</v>
      </c>
      <c r="G12" s="49">
        <f>AVERAGE('22.07 Lubiri -Ndeeba'!G12,'23.07 Lubiri-Ndeeba'!G12,'24.07 Lubiri-Ndeeba'!G12,'25.07 Lubiri-Ndeeba'!G12,'26.07 Lubiri-Ndeeba-24h'!G12,'27.07 Lubiri-Ndeeba-24h'!G12,'28.07 Lubiri-Ndeeba'!G12)</f>
        <v>6.1428571428571432</v>
      </c>
      <c r="H12" s="49">
        <f>AVERAGE('22.07 Lubiri -Ndeeba'!H12,'23.07 Lubiri-Ndeeba'!H12,'24.07 Lubiri-Ndeeba'!H12,'25.07 Lubiri-Ndeeba'!H12,'26.07 Lubiri-Ndeeba-24h'!H12,'27.07 Lubiri-Ndeeba-24h'!H12,'28.07 Lubiri-Ndeeba'!H12)</f>
        <v>0.14285714285714285</v>
      </c>
      <c r="I12" s="49">
        <f>AVERAGE('22.07 Lubiri -Ndeeba'!I12,'23.07 Lubiri-Ndeeba'!I12,'24.07 Lubiri-Ndeeba'!I12,'25.07 Lubiri-Ndeeba'!I12,'26.07 Lubiri-Ndeeba-24h'!I12,'27.07 Lubiri-Ndeeba-24h'!I12,'28.07 Lubiri-Ndeeba'!I12)</f>
        <v>1.7142857142857142</v>
      </c>
      <c r="J12" s="49">
        <f>AVERAGE('22.07 Lubiri -Ndeeba'!J12,'23.07 Lubiri-Ndeeba'!J12,'24.07 Lubiri-Ndeeba'!J12,'25.07 Lubiri-Ndeeba'!J12,'26.07 Lubiri-Ndeeba-24h'!J12,'27.07 Lubiri-Ndeeba-24h'!J12,'28.07 Lubiri-Ndeeba'!J12)</f>
        <v>2.4285714285714284</v>
      </c>
      <c r="K12" s="49">
        <f>AVERAGE('22.07 Lubiri -Ndeeba'!K12,'23.07 Lubiri-Ndeeba'!K12,'24.07 Lubiri-Ndeeba'!K12,'25.07 Lubiri-Ndeeba'!K12,'26.07 Lubiri-Ndeeba-24h'!K12,'27.07 Lubiri-Ndeeba-24h'!K12,'28.07 Lubiri-Ndeeba'!K12)</f>
        <v>0.8571428571428571</v>
      </c>
      <c r="L12" s="49">
        <f>AVERAGE('22.07 Lubiri -Ndeeba'!L12,'23.07 Lubiri-Ndeeba'!L12,'24.07 Lubiri-Ndeeba'!L12,'25.07 Lubiri-Ndeeba'!L12,'26.07 Lubiri-Ndeeba-24h'!L12,'27.07 Lubiri-Ndeeba-24h'!L12,'28.07 Lubiri-Ndeeba'!L12)</f>
        <v>0</v>
      </c>
      <c r="M12" s="49">
        <f>AVERAGE('22.07 Lubiri -Ndeeba'!M12,'23.07 Lubiri-Ndeeba'!M12,'24.07 Lubiri-Ndeeba'!M12,'25.07 Lubiri-Ndeeba'!M12,'26.07 Lubiri-Ndeeba-24h'!M12,'27.07 Lubiri-Ndeeba-24h'!M12,'28.07 Lubiri-Ndeeba'!M12)</f>
        <v>148</v>
      </c>
      <c r="N12" s="49">
        <f>AVERAGE('22.07 Lubiri -Ndeeba'!N12,'23.07 Lubiri-Ndeeba'!N12,'24.07 Lubiri-Ndeeba'!N12,'25.07 Lubiri-Ndeeba'!N12,'26.07 Lubiri-Ndeeba-24h'!N12,'27.07 Lubiri-Ndeeba-24h'!N12,'28.07 Lubiri-Ndeeba'!N12)</f>
        <v>0</v>
      </c>
      <c r="O12" s="15">
        <f t="shared" si="0"/>
        <v>47.285714285714292</v>
      </c>
      <c r="P12" s="15">
        <f t="shared" si="1"/>
        <v>195.28571428571428</v>
      </c>
      <c r="R12" s="1" t="s">
        <v>8</v>
      </c>
      <c r="S12" s="17">
        <f t="shared" ref="S12:AF12" si="4">SUM(C18:C21)</f>
        <v>90.428571428571416</v>
      </c>
      <c r="T12" s="17">
        <f t="shared" si="4"/>
        <v>24.285714285714288</v>
      </c>
      <c r="U12" s="17">
        <f t="shared" si="4"/>
        <v>13.285714285714285</v>
      </c>
      <c r="V12" s="17">
        <f t="shared" si="4"/>
        <v>66.571428571428584</v>
      </c>
      <c r="W12" s="17">
        <f t="shared" si="4"/>
        <v>2.7142857142857144</v>
      </c>
      <c r="X12" s="17">
        <f t="shared" si="4"/>
        <v>0.14285714285714285</v>
      </c>
      <c r="Y12" s="17">
        <f t="shared" si="4"/>
        <v>21.142857142857142</v>
      </c>
      <c r="Z12" s="17">
        <f t="shared" si="4"/>
        <v>14.142857142857142</v>
      </c>
      <c r="AA12" s="17">
        <f t="shared" si="4"/>
        <v>3.1428571428571428</v>
      </c>
      <c r="AB12" s="17">
        <f t="shared" si="4"/>
        <v>1.4285714285714284</v>
      </c>
      <c r="AC12" s="17">
        <f t="shared" si="4"/>
        <v>955.28571428571433</v>
      </c>
      <c r="AD12" s="17">
        <f t="shared" si="4"/>
        <v>0</v>
      </c>
      <c r="AE12" s="31">
        <f t="shared" si="4"/>
        <v>237.28571428571428</v>
      </c>
      <c r="AF12" s="31">
        <f t="shared" si="4"/>
        <v>1192.5714285714284</v>
      </c>
    </row>
    <row r="13" spans="2:32" ht="23.1" customHeight="1" x14ac:dyDescent="0.25">
      <c r="B13" s="23" t="s">
        <v>40</v>
      </c>
      <c r="C13" s="49">
        <f>AVERAGE('22.07 Lubiri -Ndeeba'!C13,'23.07 Lubiri-Ndeeba'!C13,'24.07 Lubiri-Ndeeba'!C13,'25.07 Lubiri-Ndeeba'!C13,'26.07 Lubiri-Ndeeba-24h'!C13,'27.07 Lubiri-Ndeeba-24h'!C13,'28.07 Lubiri-Ndeeba'!C13)</f>
        <v>21.142857142857142</v>
      </c>
      <c r="D13" s="49">
        <f>AVERAGE('22.07 Lubiri -Ndeeba'!D13,'23.07 Lubiri-Ndeeba'!D13,'24.07 Lubiri-Ndeeba'!D13,'25.07 Lubiri-Ndeeba'!D13,'26.07 Lubiri-Ndeeba-24h'!D13,'27.07 Lubiri-Ndeeba-24h'!D13,'28.07 Lubiri-Ndeeba'!D13)</f>
        <v>4.2857142857142856</v>
      </c>
      <c r="E13" s="49">
        <f>AVERAGE('22.07 Lubiri -Ndeeba'!E13,'23.07 Lubiri-Ndeeba'!E13,'24.07 Lubiri-Ndeeba'!E13,'25.07 Lubiri-Ndeeba'!E13,'26.07 Lubiri-Ndeeba-24h'!E13,'27.07 Lubiri-Ndeeba-24h'!E13,'28.07 Lubiri-Ndeeba'!E13)</f>
        <v>5</v>
      </c>
      <c r="F13" s="49">
        <f>AVERAGE('22.07 Lubiri -Ndeeba'!F13,'23.07 Lubiri-Ndeeba'!F13,'24.07 Lubiri-Ndeeba'!F13,'25.07 Lubiri-Ndeeba'!F13,'26.07 Lubiri-Ndeeba-24h'!F13,'27.07 Lubiri-Ndeeba-24h'!F13,'28.07 Lubiri-Ndeeba'!F13)</f>
        <v>15.714285714285714</v>
      </c>
      <c r="G13" s="49">
        <f>AVERAGE('22.07 Lubiri -Ndeeba'!G13,'23.07 Lubiri-Ndeeba'!G13,'24.07 Lubiri-Ndeeba'!G13,'25.07 Lubiri-Ndeeba'!G13,'26.07 Lubiri-Ndeeba-24h'!G13,'27.07 Lubiri-Ndeeba-24h'!G13,'28.07 Lubiri-Ndeeba'!G13)</f>
        <v>0.42857142857142855</v>
      </c>
      <c r="H13" s="49">
        <f>AVERAGE('22.07 Lubiri -Ndeeba'!H13,'23.07 Lubiri-Ndeeba'!H13,'24.07 Lubiri-Ndeeba'!H13,'25.07 Lubiri-Ndeeba'!H13,'26.07 Lubiri-Ndeeba-24h'!H13,'27.07 Lubiri-Ndeeba-24h'!H13,'28.07 Lubiri-Ndeeba'!H13)</f>
        <v>0.14285714285714285</v>
      </c>
      <c r="I13" s="49">
        <f>AVERAGE('22.07 Lubiri -Ndeeba'!I13,'23.07 Lubiri-Ndeeba'!I13,'24.07 Lubiri-Ndeeba'!I13,'25.07 Lubiri-Ndeeba'!I13,'26.07 Lubiri-Ndeeba-24h'!I13,'27.07 Lubiri-Ndeeba-24h'!I13,'28.07 Lubiri-Ndeeba'!I13)</f>
        <v>3.1428571428571428</v>
      </c>
      <c r="J13" s="49">
        <f>AVERAGE('22.07 Lubiri -Ndeeba'!J13,'23.07 Lubiri-Ndeeba'!J13,'24.07 Lubiri-Ndeeba'!J13,'25.07 Lubiri-Ndeeba'!J13,'26.07 Lubiri-Ndeeba-24h'!J13,'27.07 Lubiri-Ndeeba-24h'!J13,'28.07 Lubiri-Ndeeba'!J13)</f>
        <v>1.2857142857142858</v>
      </c>
      <c r="K13" s="49">
        <f>AVERAGE('22.07 Lubiri -Ndeeba'!K13,'23.07 Lubiri-Ndeeba'!K13,'24.07 Lubiri-Ndeeba'!K13,'25.07 Lubiri-Ndeeba'!K13,'26.07 Lubiri-Ndeeba-24h'!K13,'27.07 Lubiri-Ndeeba-24h'!K13,'28.07 Lubiri-Ndeeba'!K13)</f>
        <v>0</v>
      </c>
      <c r="L13" s="49">
        <f>AVERAGE('22.07 Lubiri -Ndeeba'!L13,'23.07 Lubiri-Ndeeba'!L13,'24.07 Lubiri-Ndeeba'!L13,'25.07 Lubiri-Ndeeba'!L13,'26.07 Lubiri-Ndeeba-24h'!L13,'27.07 Lubiri-Ndeeba-24h'!L13,'28.07 Lubiri-Ndeeba'!L13)</f>
        <v>0.2857142857142857</v>
      </c>
      <c r="M13" s="49">
        <f>AVERAGE('22.07 Lubiri -Ndeeba'!M13,'23.07 Lubiri-Ndeeba'!M13,'24.07 Lubiri-Ndeeba'!M13,'25.07 Lubiri-Ndeeba'!M13,'26.07 Lubiri-Ndeeba-24h'!M13,'27.07 Lubiri-Ndeeba-24h'!M13,'28.07 Lubiri-Ndeeba'!M13)</f>
        <v>155.57142857142858</v>
      </c>
      <c r="N13" s="49">
        <f>AVERAGE('22.07 Lubiri -Ndeeba'!N13,'23.07 Lubiri-Ndeeba'!N13,'24.07 Lubiri-Ndeeba'!N13,'25.07 Lubiri-Ndeeba'!N13,'26.07 Lubiri-Ndeeba-24h'!N13,'27.07 Lubiri-Ndeeba-24h'!N13,'28.07 Lubiri-Ndeeba'!N13)</f>
        <v>0</v>
      </c>
      <c r="O13" s="15">
        <f t="shared" si="0"/>
        <v>51.428571428571431</v>
      </c>
      <c r="P13" s="15">
        <f t="shared" si="1"/>
        <v>207</v>
      </c>
      <c r="R13" s="1" t="s">
        <v>9</v>
      </c>
      <c r="S13" s="17">
        <f t="shared" ref="S13:AF13" si="5">SUM(C22:C25)</f>
        <v>131.71428571428572</v>
      </c>
      <c r="T13" s="17">
        <f t="shared" si="5"/>
        <v>27.285714285714285</v>
      </c>
      <c r="U13" s="17">
        <f t="shared" si="5"/>
        <v>19.285714285714285</v>
      </c>
      <c r="V13" s="17">
        <f t="shared" si="5"/>
        <v>63.999999999999993</v>
      </c>
      <c r="W13" s="17">
        <f t="shared" si="5"/>
        <v>1.4285714285714284</v>
      </c>
      <c r="X13" s="17">
        <f t="shared" si="5"/>
        <v>0.2857142857142857</v>
      </c>
      <c r="Y13" s="17">
        <f t="shared" si="5"/>
        <v>28.571428571428573</v>
      </c>
      <c r="Z13" s="17">
        <f t="shared" si="5"/>
        <v>16</v>
      </c>
      <c r="AA13" s="17">
        <f t="shared" si="5"/>
        <v>2</v>
      </c>
      <c r="AB13" s="17">
        <f t="shared" si="5"/>
        <v>1.8571428571428572</v>
      </c>
      <c r="AC13" s="17">
        <f t="shared" si="5"/>
        <v>951.99999999999989</v>
      </c>
      <c r="AD13" s="17">
        <f t="shared" si="5"/>
        <v>0.14285714285714285</v>
      </c>
      <c r="AE13" s="31">
        <f t="shared" si="5"/>
        <v>292.57142857142856</v>
      </c>
      <c r="AF13" s="31">
        <f t="shared" si="5"/>
        <v>1244.5714285714287</v>
      </c>
    </row>
    <row r="14" spans="2:32" ht="23.1" customHeight="1" x14ac:dyDescent="0.25">
      <c r="B14" s="23" t="s">
        <v>41</v>
      </c>
      <c r="C14" s="49">
        <f>AVERAGE('22.07 Lubiri -Ndeeba'!C14,'23.07 Lubiri-Ndeeba'!C14,'24.07 Lubiri-Ndeeba'!C14,'25.07 Lubiri-Ndeeba'!C14,'26.07 Lubiri-Ndeeba-24h'!C14,'27.07 Lubiri-Ndeeba-24h'!C14,'28.07 Lubiri-Ndeeba'!C14)</f>
        <v>31</v>
      </c>
      <c r="D14" s="49">
        <f>AVERAGE('22.07 Lubiri -Ndeeba'!D14,'23.07 Lubiri-Ndeeba'!D14,'24.07 Lubiri-Ndeeba'!D14,'25.07 Lubiri-Ndeeba'!D14,'26.07 Lubiri-Ndeeba-24h'!D14,'27.07 Lubiri-Ndeeba-24h'!D14,'28.07 Lubiri-Ndeeba'!D14)</f>
        <v>3.7142857142857144</v>
      </c>
      <c r="E14" s="49">
        <f>AVERAGE('22.07 Lubiri -Ndeeba'!E14,'23.07 Lubiri-Ndeeba'!E14,'24.07 Lubiri-Ndeeba'!E14,'25.07 Lubiri-Ndeeba'!E14,'26.07 Lubiri-Ndeeba-24h'!E14,'27.07 Lubiri-Ndeeba-24h'!E14,'28.07 Lubiri-Ndeeba'!E14)</f>
        <v>5.8571428571428568</v>
      </c>
      <c r="F14" s="49">
        <f>AVERAGE('22.07 Lubiri -Ndeeba'!F14,'23.07 Lubiri-Ndeeba'!F14,'24.07 Lubiri-Ndeeba'!F14,'25.07 Lubiri-Ndeeba'!F14,'26.07 Lubiri-Ndeeba-24h'!F14,'27.07 Lubiri-Ndeeba-24h'!F14,'28.07 Lubiri-Ndeeba'!F14)</f>
        <v>16.857142857142858</v>
      </c>
      <c r="G14" s="49">
        <f>AVERAGE('22.07 Lubiri -Ndeeba'!G14,'23.07 Lubiri-Ndeeba'!G14,'24.07 Lubiri-Ndeeba'!G14,'25.07 Lubiri-Ndeeba'!G14,'26.07 Lubiri-Ndeeba-24h'!G14,'27.07 Lubiri-Ndeeba-24h'!G14,'28.07 Lubiri-Ndeeba'!G14)</f>
        <v>0.14285714285714285</v>
      </c>
      <c r="H14" s="49">
        <f>AVERAGE('22.07 Lubiri -Ndeeba'!H14,'23.07 Lubiri-Ndeeba'!H14,'24.07 Lubiri-Ndeeba'!H14,'25.07 Lubiri-Ndeeba'!H14,'26.07 Lubiri-Ndeeba-24h'!H14,'27.07 Lubiri-Ndeeba-24h'!H14,'28.07 Lubiri-Ndeeba'!H14)</f>
        <v>0.14285714285714285</v>
      </c>
      <c r="I14" s="49">
        <f>AVERAGE('22.07 Lubiri -Ndeeba'!I14,'23.07 Lubiri-Ndeeba'!I14,'24.07 Lubiri-Ndeeba'!I14,'25.07 Lubiri-Ndeeba'!I14,'26.07 Lubiri-Ndeeba-24h'!I14,'27.07 Lubiri-Ndeeba-24h'!I14,'28.07 Lubiri-Ndeeba'!I14)</f>
        <v>3.5714285714285716</v>
      </c>
      <c r="J14" s="49">
        <f>AVERAGE('22.07 Lubiri -Ndeeba'!J14,'23.07 Lubiri-Ndeeba'!J14,'24.07 Lubiri-Ndeeba'!J14,'25.07 Lubiri-Ndeeba'!J14,'26.07 Lubiri-Ndeeba-24h'!J14,'27.07 Lubiri-Ndeeba-24h'!J14,'28.07 Lubiri-Ndeeba'!J14)</f>
        <v>1.4285714285714286</v>
      </c>
      <c r="K14" s="49">
        <f>AVERAGE('22.07 Lubiri -Ndeeba'!K14,'23.07 Lubiri-Ndeeba'!K14,'24.07 Lubiri-Ndeeba'!K14,'25.07 Lubiri-Ndeeba'!K14,'26.07 Lubiri-Ndeeba-24h'!K14,'27.07 Lubiri-Ndeeba-24h'!K14,'28.07 Lubiri-Ndeeba'!K14)</f>
        <v>0.42857142857142855</v>
      </c>
      <c r="L14" s="49">
        <f>AVERAGE('22.07 Lubiri -Ndeeba'!L14,'23.07 Lubiri-Ndeeba'!L14,'24.07 Lubiri-Ndeeba'!L14,'25.07 Lubiri-Ndeeba'!L14,'26.07 Lubiri-Ndeeba-24h'!L14,'27.07 Lubiri-Ndeeba-24h'!L14,'28.07 Lubiri-Ndeeba'!L14)</f>
        <v>0</v>
      </c>
      <c r="M14" s="49">
        <f>AVERAGE('22.07 Lubiri -Ndeeba'!M14,'23.07 Lubiri-Ndeeba'!M14,'24.07 Lubiri-Ndeeba'!M14,'25.07 Lubiri-Ndeeba'!M14,'26.07 Lubiri-Ndeeba-24h'!M14,'27.07 Lubiri-Ndeeba-24h'!M14,'28.07 Lubiri-Ndeeba'!M14)</f>
        <v>184.85714285714286</v>
      </c>
      <c r="N14" s="49">
        <f>AVERAGE('22.07 Lubiri -Ndeeba'!N14,'23.07 Lubiri-Ndeeba'!N14,'24.07 Lubiri-Ndeeba'!N14,'25.07 Lubiri-Ndeeba'!N14,'26.07 Lubiri-Ndeeba-24h'!N14,'27.07 Lubiri-Ndeeba-24h'!N14,'28.07 Lubiri-Ndeeba'!N14)</f>
        <v>0</v>
      </c>
      <c r="O14" s="15">
        <f t="shared" si="0"/>
        <v>63.142857142857153</v>
      </c>
      <c r="P14" s="15">
        <f t="shared" si="1"/>
        <v>248</v>
      </c>
      <c r="R14" s="1" t="s">
        <v>10</v>
      </c>
      <c r="S14" s="17">
        <f t="shared" ref="S14:AF14" si="6">SUM(C26:C29)</f>
        <v>166.14285714285714</v>
      </c>
      <c r="T14" s="17">
        <f t="shared" si="6"/>
        <v>23.285714285714285</v>
      </c>
      <c r="U14" s="17">
        <f t="shared" si="6"/>
        <v>17.428571428571431</v>
      </c>
      <c r="V14" s="17">
        <f t="shared" si="6"/>
        <v>57.285714285714292</v>
      </c>
      <c r="W14" s="17">
        <f t="shared" si="6"/>
        <v>1.1428571428571428</v>
      </c>
      <c r="X14" s="17">
        <f t="shared" si="6"/>
        <v>0.2857142857142857</v>
      </c>
      <c r="Y14" s="17">
        <f t="shared" si="6"/>
        <v>33.714285714285715</v>
      </c>
      <c r="Z14" s="17">
        <f t="shared" si="6"/>
        <v>19.714285714285715</v>
      </c>
      <c r="AA14" s="17">
        <f t="shared" si="6"/>
        <v>1.4285714285714284</v>
      </c>
      <c r="AB14" s="17">
        <f t="shared" si="6"/>
        <v>2.4285714285714284</v>
      </c>
      <c r="AC14" s="17">
        <f t="shared" si="6"/>
        <v>979.57142857142844</v>
      </c>
      <c r="AD14" s="17">
        <f t="shared" si="6"/>
        <v>0.5714285714285714</v>
      </c>
      <c r="AE14" s="31">
        <f t="shared" si="6"/>
        <v>323.42857142857139</v>
      </c>
      <c r="AF14" s="31">
        <f t="shared" si="6"/>
        <v>1303</v>
      </c>
    </row>
    <row r="15" spans="2:32" ht="23.1" customHeight="1" x14ac:dyDescent="0.25">
      <c r="B15" s="23" t="s">
        <v>42</v>
      </c>
      <c r="C15" s="49">
        <f>AVERAGE('22.07 Lubiri -Ndeeba'!C15,'23.07 Lubiri-Ndeeba'!C15,'24.07 Lubiri-Ndeeba'!C15,'25.07 Lubiri-Ndeeba'!C15,'26.07 Lubiri-Ndeeba-24h'!C15,'27.07 Lubiri-Ndeeba-24h'!C15,'28.07 Lubiri-Ndeeba'!C15)</f>
        <v>24</v>
      </c>
      <c r="D15" s="49">
        <f>AVERAGE('22.07 Lubiri -Ndeeba'!D15,'23.07 Lubiri-Ndeeba'!D15,'24.07 Lubiri-Ndeeba'!D15,'25.07 Lubiri-Ndeeba'!D15,'26.07 Lubiri-Ndeeba-24h'!D15,'27.07 Lubiri-Ndeeba-24h'!D15,'28.07 Lubiri-Ndeeba'!D15)</f>
        <v>2.7142857142857144</v>
      </c>
      <c r="E15" s="49">
        <f>AVERAGE('22.07 Lubiri -Ndeeba'!E15,'23.07 Lubiri-Ndeeba'!E15,'24.07 Lubiri-Ndeeba'!E15,'25.07 Lubiri-Ndeeba'!E15,'26.07 Lubiri-Ndeeba-24h'!E15,'27.07 Lubiri-Ndeeba-24h'!E15,'28.07 Lubiri-Ndeeba'!E15)</f>
        <v>4.1428571428571432</v>
      </c>
      <c r="F15" s="49">
        <f>AVERAGE('22.07 Lubiri -Ndeeba'!F15,'23.07 Lubiri-Ndeeba'!F15,'24.07 Lubiri-Ndeeba'!F15,'25.07 Lubiri-Ndeeba'!F15,'26.07 Lubiri-Ndeeba-24h'!F15,'27.07 Lubiri-Ndeeba-24h'!F15,'28.07 Lubiri-Ndeeba'!F15)</f>
        <v>20.142857142857142</v>
      </c>
      <c r="G15" s="49">
        <f>AVERAGE('22.07 Lubiri -Ndeeba'!G15,'23.07 Lubiri-Ndeeba'!G15,'24.07 Lubiri-Ndeeba'!G15,'25.07 Lubiri-Ndeeba'!G15,'26.07 Lubiri-Ndeeba-24h'!G15,'27.07 Lubiri-Ndeeba-24h'!G15,'28.07 Lubiri-Ndeeba'!G15)</f>
        <v>0.42857142857142855</v>
      </c>
      <c r="H15" s="49">
        <f>AVERAGE('22.07 Lubiri -Ndeeba'!H15,'23.07 Lubiri-Ndeeba'!H15,'24.07 Lubiri-Ndeeba'!H15,'25.07 Lubiri-Ndeeba'!H15,'26.07 Lubiri-Ndeeba-24h'!H15,'27.07 Lubiri-Ndeeba-24h'!H15,'28.07 Lubiri-Ndeeba'!H15)</f>
        <v>0</v>
      </c>
      <c r="I15" s="49">
        <f>AVERAGE('22.07 Lubiri -Ndeeba'!I15,'23.07 Lubiri-Ndeeba'!I15,'24.07 Lubiri-Ndeeba'!I15,'25.07 Lubiri-Ndeeba'!I15,'26.07 Lubiri-Ndeeba-24h'!I15,'27.07 Lubiri-Ndeeba-24h'!I15,'28.07 Lubiri-Ndeeba'!I15)</f>
        <v>4.8571428571428568</v>
      </c>
      <c r="J15" s="49">
        <f>AVERAGE('22.07 Lubiri -Ndeeba'!J15,'23.07 Lubiri-Ndeeba'!J15,'24.07 Lubiri-Ndeeba'!J15,'25.07 Lubiri-Ndeeba'!J15,'26.07 Lubiri-Ndeeba-24h'!J15,'27.07 Lubiri-Ndeeba-24h'!J15,'28.07 Lubiri-Ndeeba'!J15)</f>
        <v>2.5714285714285716</v>
      </c>
      <c r="K15" s="49">
        <f>AVERAGE('22.07 Lubiri -Ndeeba'!K15,'23.07 Lubiri-Ndeeba'!K15,'24.07 Lubiri-Ndeeba'!K15,'25.07 Lubiri-Ndeeba'!K15,'26.07 Lubiri-Ndeeba-24h'!K15,'27.07 Lubiri-Ndeeba-24h'!K15,'28.07 Lubiri-Ndeeba'!K15)</f>
        <v>0.5714285714285714</v>
      </c>
      <c r="L15" s="49">
        <f>AVERAGE('22.07 Lubiri -Ndeeba'!L15,'23.07 Lubiri-Ndeeba'!L15,'24.07 Lubiri-Ndeeba'!L15,'25.07 Lubiri-Ndeeba'!L15,'26.07 Lubiri-Ndeeba-24h'!L15,'27.07 Lubiri-Ndeeba-24h'!L15,'28.07 Lubiri-Ndeeba'!L15)</f>
        <v>0.14285714285714285</v>
      </c>
      <c r="M15" s="49">
        <f>AVERAGE('22.07 Lubiri -Ndeeba'!M15,'23.07 Lubiri-Ndeeba'!M15,'24.07 Lubiri-Ndeeba'!M15,'25.07 Lubiri-Ndeeba'!M15,'26.07 Lubiri-Ndeeba-24h'!M15,'27.07 Lubiri-Ndeeba-24h'!M15,'28.07 Lubiri-Ndeeba'!M15)</f>
        <v>225.71428571428572</v>
      </c>
      <c r="N15" s="49">
        <f>AVERAGE('22.07 Lubiri -Ndeeba'!N15,'23.07 Lubiri-Ndeeba'!N15,'24.07 Lubiri-Ndeeba'!N15,'25.07 Lubiri-Ndeeba'!N15,'26.07 Lubiri-Ndeeba-24h'!N15,'27.07 Lubiri-Ndeeba-24h'!N15,'28.07 Lubiri-Ndeeba'!N15)</f>
        <v>0</v>
      </c>
      <c r="O15" s="15">
        <f t="shared" si="0"/>
        <v>59.571428571428569</v>
      </c>
      <c r="P15" s="15">
        <f t="shared" si="1"/>
        <v>285.28571428571428</v>
      </c>
      <c r="R15" s="1" t="s">
        <v>11</v>
      </c>
      <c r="S15" s="17">
        <f t="shared" ref="S15:AF15" si="7">SUM(C30:C33)</f>
        <v>158.28571428571428</v>
      </c>
      <c r="T15" s="17">
        <f t="shared" si="7"/>
        <v>32.571428571428569</v>
      </c>
      <c r="U15" s="17">
        <f t="shared" si="7"/>
        <v>20.714285714285712</v>
      </c>
      <c r="V15" s="17">
        <f t="shared" si="7"/>
        <v>60</v>
      </c>
      <c r="W15" s="17">
        <f t="shared" si="7"/>
        <v>2.1428571428571428</v>
      </c>
      <c r="X15" s="17">
        <f t="shared" si="7"/>
        <v>0.2857142857142857</v>
      </c>
      <c r="Y15" s="17">
        <f t="shared" si="7"/>
        <v>26</v>
      </c>
      <c r="Z15" s="17">
        <f t="shared" si="7"/>
        <v>18</v>
      </c>
      <c r="AA15" s="17">
        <f t="shared" si="7"/>
        <v>3.2857142857142856</v>
      </c>
      <c r="AB15" s="17">
        <f t="shared" si="7"/>
        <v>1.857142857142857</v>
      </c>
      <c r="AC15" s="17">
        <f t="shared" si="7"/>
        <v>1038.7142857142858</v>
      </c>
      <c r="AD15" s="17">
        <f t="shared" si="7"/>
        <v>0.14285714285714285</v>
      </c>
      <c r="AE15" s="31">
        <f t="shared" si="7"/>
        <v>323.28571428571433</v>
      </c>
      <c r="AF15" s="31">
        <f t="shared" si="7"/>
        <v>1362</v>
      </c>
    </row>
    <row r="16" spans="2:32" ht="23.1" customHeight="1" x14ac:dyDescent="0.25">
      <c r="B16" s="23" t="s">
        <v>43</v>
      </c>
      <c r="C16" s="49">
        <f>AVERAGE('22.07 Lubiri -Ndeeba'!C16,'23.07 Lubiri-Ndeeba'!C16,'24.07 Lubiri-Ndeeba'!C16,'25.07 Lubiri-Ndeeba'!C16,'26.07 Lubiri-Ndeeba-24h'!C16,'27.07 Lubiri-Ndeeba-24h'!C16,'28.07 Lubiri-Ndeeba'!C16)</f>
        <v>24.571428571428573</v>
      </c>
      <c r="D16" s="49">
        <f>AVERAGE('22.07 Lubiri -Ndeeba'!D16,'23.07 Lubiri-Ndeeba'!D16,'24.07 Lubiri-Ndeeba'!D16,'25.07 Lubiri-Ndeeba'!D16,'26.07 Lubiri-Ndeeba-24h'!D16,'27.07 Lubiri-Ndeeba-24h'!D16,'28.07 Lubiri-Ndeeba'!D16)</f>
        <v>4.1428571428571432</v>
      </c>
      <c r="E16" s="49">
        <f>AVERAGE('22.07 Lubiri -Ndeeba'!E16,'23.07 Lubiri-Ndeeba'!E16,'24.07 Lubiri-Ndeeba'!E16,'25.07 Lubiri-Ndeeba'!E16,'26.07 Lubiri-Ndeeba-24h'!E16,'27.07 Lubiri-Ndeeba-24h'!E16,'28.07 Lubiri-Ndeeba'!E16)</f>
        <v>4.1428571428571432</v>
      </c>
      <c r="F16" s="49">
        <f>AVERAGE('22.07 Lubiri -Ndeeba'!F16,'23.07 Lubiri-Ndeeba'!F16,'24.07 Lubiri-Ndeeba'!F16,'25.07 Lubiri-Ndeeba'!F16,'26.07 Lubiri-Ndeeba-24h'!F16,'27.07 Lubiri-Ndeeba-24h'!F16,'28.07 Lubiri-Ndeeba'!F16)</f>
        <v>17.285714285714285</v>
      </c>
      <c r="G16" s="49">
        <f>AVERAGE('22.07 Lubiri -Ndeeba'!G16,'23.07 Lubiri-Ndeeba'!G16,'24.07 Lubiri-Ndeeba'!G16,'25.07 Lubiri-Ndeeba'!G16,'26.07 Lubiri-Ndeeba-24h'!G16,'27.07 Lubiri-Ndeeba-24h'!G16,'28.07 Lubiri-Ndeeba'!G16)</f>
        <v>1.8571428571428572</v>
      </c>
      <c r="H16" s="49">
        <f>AVERAGE('22.07 Lubiri -Ndeeba'!H16,'23.07 Lubiri-Ndeeba'!H16,'24.07 Lubiri-Ndeeba'!H16,'25.07 Lubiri-Ndeeba'!H16,'26.07 Lubiri-Ndeeba-24h'!H16,'27.07 Lubiri-Ndeeba-24h'!H16,'28.07 Lubiri-Ndeeba'!H16)</f>
        <v>0</v>
      </c>
      <c r="I16" s="49">
        <f>AVERAGE('22.07 Lubiri -Ndeeba'!I16,'23.07 Lubiri-Ndeeba'!I16,'24.07 Lubiri-Ndeeba'!I16,'25.07 Lubiri-Ndeeba'!I16,'26.07 Lubiri-Ndeeba-24h'!I16,'27.07 Lubiri-Ndeeba-24h'!I16,'28.07 Lubiri-Ndeeba'!I16)</f>
        <v>4</v>
      </c>
      <c r="J16" s="49">
        <f>AVERAGE('22.07 Lubiri -Ndeeba'!J16,'23.07 Lubiri-Ndeeba'!J16,'24.07 Lubiri-Ndeeba'!J16,'25.07 Lubiri-Ndeeba'!J16,'26.07 Lubiri-Ndeeba-24h'!J16,'27.07 Lubiri-Ndeeba-24h'!J16,'28.07 Lubiri-Ndeeba'!J16)</f>
        <v>3.5714285714285716</v>
      </c>
      <c r="K16" s="49">
        <f>AVERAGE('22.07 Lubiri -Ndeeba'!K16,'23.07 Lubiri-Ndeeba'!K16,'24.07 Lubiri-Ndeeba'!K16,'25.07 Lubiri-Ndeeba'!K16,'26.07 Lubiri-Ndeeba-24h'!K16,'27.07 Lubiri-Ndeeba-24h'!K16,'28.07 Lubiri-Ndeeba'!K16)</f>
        <v>1.1428571428571428</v>
      </c>
      <c r="L16" s="49">
        <f>AVERAGE('22.07 Lubiri -Ndeeba'!L16,'23.07 Lubiri-Ndeeba'!L16,'24.07 Lubiri-Ndeeba'!L16,'25.07 Lubiri-Ndeeba'!L16,'26.07 Lubiri-Ndeeba-24h'!L16,'27.07 Lubiri-Ndeeba-24h'!L16,'28.07 Lubiri-Ndeeba'!L16)</f>
        <v>0</v>
      </c>
      <c r="M16" s="49">
        <f>AVERAGE('22.07 Lubiri -Ndeeba'!M16,'23.07 Lubiri-Ndeeba'!M16,'24.07 Lubiri-Ndeeba'!M16,'25.07 Lubiri-Ndeeba'!M16,'26.07 Lubiri-Ndeeba-24h'!M16,'27.07 Lubiri-Ndeeba-24h'!M16,'28.07 Lubiri-Ndeeba'!M16)</f>
        <v>210</v>
      </c>
      <c r="N16" s="49">
        <f>AVERAGE('22.07 Lubiri -Ndeeba'!N16,'23.07 Lubiri-Ndeeba'!N16,'24.07 Lubiri-Ndeeba'!N16,'25.07 Lubiri-Ndeeba'!N16,'26.07 Lubiri-Ndeeba-24h'!N16,'27.07 Lubiri-Ndeeba-24h'!N16,'28.07 Lubiri-Ndeeba'!N16)</f>
        <v>0</v>
      </c>
      <c r="O16" s="15">
        <f t="shared" si="0"/>
        <v>60.714285714285715</v>
      </c>
      <c r="P16" s="15">
        <f t="shared" si="1"/>
        <v>270.71428571428572</v>
      </c>
      <c r="R16" s="1" t="s">
        <v>12</v>
      </c>
      <c r="S16" s="17">
        <f>SUM(C34:C37)</f>
        <v>155.57142857142856</v>
      </c>
      <c r="T16" s="17">
        <f t="shared" ref="T16:AF16" si="8">SUM(D34:D37)</f>
        <v>31.428571428571431</v>
      </c>
      <c r="U16" s="17">
        <f t="shared" si="8"/>
        <v>17</v>
      </c>
      <c r="V16" s="17">
        <f t="shared" si="8"/>
        <v>54.285714285714285</v>
      </c>
      <c r="W16" s="17">
        <f t="shared" si="8"/>
        <v>0.71428571428571419</v>
      </c>
      <c r="X16" s="17">
        <f t="shared" si="8"/>
        <v>0.14285714285714285</v>
      </c>
      <c r="Y16" s="17">
        <f t="shared" si="8"/>
        <v>22.285714285714288</v>
      </c>
      <c r="Z16" s="17">
        <f t="shared" si="8"/>
        <v>16.857142857142858</v>
      </c>
      <c r="AA16" s="17">
        <f t="shared" si="8"/>
        <v>1.2857142857142856</v>
      </c>
      <c r="AB16" s="17">
        <f t="shared" si="8"/>
        <v>1.7142857142857142</v>
      </c>
      <c r="AC16" s="17">
        <f t="shared" si="8"/>
        <v>884.85714285714278</v>
      </c>
      <c r="AD16" s="17">
        <f t="shared" si="8"/>
        <v>0.2857142857142857</v>
      </c>
      <c r="AE16" s="31">
        <f t="shared" si="8"/>
        <v>301.57142857142861</v>
      </c>
      <c r="AF16" s="31">
        <f t="shared" si="8"/>
        <v>1186.4285714285716</v>
      </c>
    </row>
    <row r="17" spans="2:32" ht="23.1" customHeight="1" x14ac:dyDescent="0.25">
      <c r="B17" s="23" t="s">
        <v>44</v>
      </c>
      <c r="C17" s="49">
        <f>AVERAGE('22.07 Lubiri -Ndeeba'!C17,'23.07 Lubiri-Ndeeba'!C17,'24.07 Lubiri-Ndeeba'!C17,'25.07 Lubiri-Ndeeba'!C17,'26.07 Lubiri-Ndeeba-24h'!C17,'27.07 Lubiri-Ndeeba-24h'!C17,'28.07 Lubiri-Ndeeba'!C17)</f>
        <v>26</v>
      </c>
      <c r="D17" s="49">
        <f>AVERAGE('22.07 Lubiri -Ndeeba'!D17,'23.07 Lubiri-Ndeeba'!D17,'24.07 Lubiri-Ndeeba'!D17,'25.07 Lubiri-Ndeeba'!D17,'26.07 Lubiri-Ndeeba-24h'!D17,'27.07 Lubiri-Ndeeba-24h'!D17,'28.07 Lubiri-Ndeeba'!D17)</f>
        <v>6</v>
      </c>
      <c r="E17" s="49">
        <f>AVERAGE('22.07 Lubiri -Ndeeba'!E17,'23.07 Lubiri-Ndeeba'!E17,'24.07 Lubiri-Ndeeba'!E17,'25.07 Lubiri-Ndeeba'!E17,'26.07 Lubiri-Ndeeba-24h'!E17,'27.07 Lubiri-Ndeeba-24h'!E17,'28.07 Lubiri-Ndeeba'!E17)</f>
        <v>4.4285714285714288</v>
      </c>
      <c r="F17" s="49">
        <f>AVERAGE('22.07 Lubiri -Ndeeba'!F17,'23.07 Lubiri-Ndeeba'!F17,'24.07 Lubiri-Ndeeba'!F17,'25.07 Lubiri-Ndeeba'!F17,'26.07 Lubiri-Ndeeba-24h'!F17,'27.07 Lubiri-Ndeeba-24h'!F17,'28.07 Lubiri-Ndeeba'!F17)</f>
        <v>13.857142857142858</v>
      </c>
      <c r="G17" s="49">
        <f>AVERAGE('22.07 Lubiri -Ndeeba'!G17,'23.07 Lubiri-Ndeeba'!G17,'24.07 Lubiri-Ndeeba'!G17,'25.07 Lubiri-Ndeeba'!G17,'26.07 Lubiri-Ndeeba-24h'!G17,'27.07 Lubiri-Ndeeba-24h'!G17,'28.07 Lubiri-Ndeeba'!G17)</f>
        <v>0.5714285714285714</v>
      </c>
      <c r="H17" s="49">
        <f>AVERAGE('22.07 Lubiri -Ndeeba'!H17,'23.07 Lubiri-Ndeeba'!H17,'24.07 Lubiri-Ndeeba'!H17,'25.07 Lubiri-Ndeeba'!H17,'26.07 Lubiri-Ndeeba-24h'!H17,'27.07 Lubiri-Ndeeba-24h'!H17,'28.07 Lubiri-Ndeeba'!H17)</f>
        <v>0.2857142857142857</v>
      </c>
      <c r="I17" s="49">
        <f>AVERAGE('22.07 Lubiri -Ndeeba'!I17,'23.07 Lubiri-Ndeeba'!I17,'24.07 Lubiri-Ndeeba'!I17,'25.07 Lubiri-Ndeeba'!I17,'26.07 Lubiri-Ndeeba-24h'!I17,'27.07 Lubiri-Ndeeba-24h'!I17,'28.07 Lubiri-Ndeeba'!I17)</f>
        <v>4.4285714285714288</v>
      </c>
      <c r="J17" s="49">
        <f>AVERAGE('22.07 Lubiri -Ndeeba'!J17,'23.07 Lubiri-Ndeeba'!J17,'24.07 Lubiri-Ndeeba'!J17,'25.07 Lubiri-Ndeeba'!J17,'26.07 Lubiri-Ndeeba-24h'!J17,'27.07 Lubiri-Ndeeba-24h'!J17,'28.07 Lubiri-Ndeeba'!J17)</f>
        <v>3.2857142857142856</v>
      </c>
      <c r="K17" s="49">
        <f>AVERAGE('22.07 Lubiri -Ndeeba'!K17,'23.07 Lubiri-Ndeeba'!K17,'24.07 Lubiri-Ndeeba'!K17,'25.07 Lubiri-Ndeeba'!K17,'26.07 Lubiri-Ndeeba-24h'!K17,'27.07 Lubiri-Ndeeba-24h'!K17,'28.07 Lubiri-Ndeeba'!K17)</f>
        <v>1.1428571428571428</v>
      </c>
      <c r="L17" s="49">
        <f>AVERAGE('22.07 Lubiri -Ndeeba'!L17,'23.07 Lubiri-Ndeeba'!L17,'24.07 Lubiri-Ndeeba'!L17,'25.07 Lubiri-Ndeeba'!L17,'26.07 Lubiri-Ndeeba-24h'!L17,'27.07 Lubiri-Ndeeba-24h'!L17,'28.07 Lubiri-Ndeeba'!L17)</f>
        <v>0</v>
      </c>
      <c r="M17" s="49">
        <f>AVERAGE('22.07 Lubiri -Ndeeba'!M17,'23.07 Lubiri-Ndeeba'!M17,'24.07 Lubiri-Ndeeba'!M17,'25.07 Lubiri-Ndeeba'!M17,'26.07 Lubiri-Ndeeba-24h'!M17,'27.07 Lubiri-Ndeeba-24h'!M17,'28.07 Lubiri-Ndeeba'!M17)</f>
        <v>215</v>
      </c>
      <c r="N17" s="49">
        <f>AVERAGE('22.07 Lubiri -Ndeeba'!N17,'23.07 Lubiri-Ndeeba'!N17,'24.07 Lubiri-Ndeeba'!N17,'25.07 Lubiri-Ndeeba'!N17,'26.07 Lubiri-Ndeeba-24h'!N17,'27.07 Lubiri-Ndeeba-24h'!N17,'28.07 Lubiri-Ndeeba'!N17)</f>
        <v>0</v>
      </c>
      <c r="O17" s="15">
        <f t="shared" si="0"/>
        <v>60.000000000000007</v>
      </c>
      <c r="P17" s="15">
        <f t="shared" si="1"/>
        <v>275</v>
      </c>
      <c r="R17" s="1" t="s">
        <v>13</v>
      </c>
      <c r="S17" s="17">
        <f t="shared" ref="S17:AF17" si="9">SUM(C38:C41)</f>
        <v>149.57142857142856</v>
      </c>
      <c r="T17" s="17">
        <f t="shared" si="9"/>
        <v>38.571428571428569</v>
      </c>
      <c r="U17" s="17">
        <f t="shared" si="9"/>
        <v>17.571428571428573</v>
      </c>
      <c r="V17" s="17">
        <f t="shared" si="9"/>
        <v>50</v>
      </c>
      <c r="W17" s="17">
        <f t="shared" si="9"/>
        <v>1.1428571428571428</v>
      </c>
      <c r="X17" s="17">
        <f t="shared" si="9"/>
        <v>0.2857142857142857</v>
      </c>
      <c r="Y17" s="17">
        <f t="shared" si="9"/>
        <v>21</v>
      </c>
      <c r="Z17" s="17">
        <f t="shared" si="9"/>
        <v>14.142857142857142</v>
      </c>
      <c r="AA17" s="17">
        <f t="shared" si="9"/>
        <v>2.9999999999999996</v>
      </c>
      <c r="AB17" s="17">
        <f t="shared" si="9"/>
        <v>1</v>
      </c>
      <c r="AC17" s="17">
        <f t="shared" si="9"/>
        <v>776</v>
      </c>
      <c r="AD17" s="17">
        <f t="shared" si="9"/>
        <v>0.2857142857142857</v>
      </c>
      <c r="AE17" s="31">
        <f t="shared" si="9"/>
        <v>296.5714285714285</v>
      </c>
      <c r="AF17" s="31">
        <f t="shared" si="9"/>
        <v>1072.5714285714287</v>
      </c>
    </row>
    <row r="18" spans="2:32" ht="23.1" customHeight="1" x14ac:dyDescent="0.25">
      <c r="B18" s="23" t="s">
        <v>45</v>
      </c>
      <c r="C18" s="49">
        <f>AVERAGE('22.07 Lubiri -Ndeeba'!C18,'23.07 Lubiri-Ndeeba'!C18,'24.07 Lubiri-Ndeeba'!C18,'25.07 Lubiri-Ndeeba'!C18,'26.07 Lubiri-Ndeeba-24h'!C18,'27.07 Lubiri-Ndeeba-24h'!C18,'28.07 Lubiri-Ndeeba'!C18)</f>
        <v>21.857142857142858</v>
      </c>
      <c r="D18" s="49">
        <f>AVERAGE('22.07 Lubiri -Ndeeba'!D18,'23.07 Lubiri-Ndeeba'!D18,'24.07 Lubiri-Ndeeba'!D18,'25.07 Lubiri-Ndeeba'!D18,'26.07 Lubiri-Ndeeba-24h'!D18,'27.07 Lubiri-Ndeeba-24h'!D18,'28.07 Lubiri-Ndeeba'!D18)</f>
        <v>6.2857142857142856</v>
      </c>
      <c r="E18" s="49">
        <f>AVERAGE('22.07 Lubiri -Ndeeba'!E18,'23.07 Lubiri-Ndeeba'!E18,'24.07 Lubiri-Ndeeba'!E18,'25.07 Lubiri-Ndeeba'!E18,'26.07 Lubiri-Ndeeba-24h'!E18,'27.07 Lubiri-Ndeeba-24h'!E18,'28.07 Lubiri-Ndeeba'!E18)</f>
        <v>2.8571428571428572</v>
      </c>
      <c r="F18" s="49">
        <f>AVERAGE('22.07 Lubiri -Ndeeba'!F18,'23.07 Lubiri-Ndeeba'!F18,'24.07 Lubiri-Ndeeba'!F18,'25.07 Lubiri-Ndeeba'!F18,'26.07 Lubiri-Ndeeba-24h'!F18,'27.07 Lubiri-Ndeeba-24h'!F18,'28.07 Lubiri-Ndeeba'!F18)</f>
        <v>14.857142857142858</v>
      </c>
      <c r="G18" s="49">
        <f>AVERAGE('22.07 Lubiri -Ndeeba'!G18,'23.07 Lubiri-Ndeeba'!G18,'24.07 Lubiri-Ndeeba'!G18,'25.07 Lubiri-Ndeeba'!G18,'26.07 Lubiri-Ndeeba-24h'!G18,'27.07 Lubiri-Ndeeba-24h'!G18,'28.07 Lubiri-Ndeeba'!G18)</f>
        <v>0.42857142857142855</v>
      </c>
      <c r="H18" s="49">
        <f>AVERAGE('22.07 Lubiri -Ndeeba'!H18,'23.07 Lubiri-Ndeeba'!H18,'24.07 Lubiri-Ndeeba'!H18,'25.07 Lubiri-Ndeeba'!H18,'26.07 Lubiri-Ndeeba-24h'!H18,'27.07 Lubiri-Ndeeba-24h'!H18,'28.07 Lubiri-Ndeeba'!H18)</f>
        <v>0</v>
      </c>
      <c r="I18" s="49">
        <f>AVERAGE('22.07 Lubiri -Ndeeba'!I18,'23.07 Lubiri-Ndeeba'!I18,'24.07 Lubiri-Ndeeba'!I18,'25.07 Lubiri-Ndeeba'!I18,'26.07 Lubiri-Ndeeba-24h'!I18,'27.07 Lubiri-Ndeeba-24h'!I18,'28.07 Lubiri-Ndeeba'!I18)</f>
        <v>3.7142857142857144</v>
      </c>
      <c r="J18" s="49">
        <f>AVERAGE('22.07 Lubiri -Ndeeba'!J18,'23.07 Lubiri-Ndeeba'!J18,'24.07 Lubiri-Ndeeba'!J18,'25.07 Lubiri-Ndeeba'!J18,'26.07 Lubiri-Ndeeba-24h'!J18,'27.07 Lubiri-Ndeeba-24h'!J18,'28.07 Lubiri-Ndeeba'!J18)</f>
        <v>2.2857142857142856</v>
      </c>
      <c r="K18" s="49">
        <f>AVERAGE('22.07 Lubiri -Ndeeba'!K18,'23.07 Lubiri-Ndeeba'!K18,'24.07 Lubiri-Ndeeba'!K18,'25.07 Lubiri-Ndeeba'!K18,'26.07 Lubiri-Ndeeba-24h'!K18,'27.07 Lubiri-Ndeeba-24h'!K18,'28.07 Lubiri-Ndeeba'!K18)</f>
        <v>0.5714285714285714</v>
      </c>
      <c r="L18" s="49">
        <f>AVERAGE('22.07 Lubiri -Ndeeba'!L18,'23.07 Lubiri-Ndeeba'!L18,'24.07 Lubiri-Ndeeba'!L18,'25.07 Lubiri-Ndeeba'!L18,'26.07 Lubiri-Ndeeba-24h'!L18,'27.07 Lubiri-Ndeeba-24h'!L18,'28.07 Lubiri-Ndeeba'!L18)</f>
        <v>0.2857142857142857</v>
      </c>
      <c r="M18" s="49">
        <f>AVERAGE('22.07 Lubiri -Ndeeba'!M18,'23.07 Lubiri-Ndeeba'!M18,'24.07 Lubiri-Ndeeba'!M18,'25.07 Lubiri-Ndeeba'!M18,'26.07 Lubiri-Ndeeba-24h'!M18,'27.07 Lubiri-Ndeeba-24h'!M18,'28.07 Lubiri-Ndeeba'!M18)</f>
        <v>201.28571428571428</v>
      </c>
      <c r="N18" s="49">
        <f>AVERAGE('22.07 Lubiri -Ndeeba'!N18,'23.07 Lubiri-Ndeeba'!N18,'24.07 Lubiri-Ndeeba'!N18,'25.07 Lubiri-Ndeeba'!N18,'26.07 Lubiri-Ndeeba-24h'!N18,'27.07 Lubiri-Ndeeba-24h'!N18,'28.07 Lubiri-Ndeeba'!N18)</f>
        <v>0</v>
      </c>
      <c r="O18" s="15">
        <f t="shared" si="0"/>
        <v>53.142857142857146</v>
      </c>
      <c r="P18" s="15">
        <f t="shared" si="1"/>
        <v>254.42857142857142</v>
      </c>
      <c r="R18" s="1" t="s">
        <v>14</v>
      </c>
      <c r="S18" s="17">
        <f t="shared" ref="S18:AF18" si="10">SUM(C42:C45)</f>
        <v>178.42857142857142</v>
      </c>
      <c r="T18" s="17">
        <f t="shared" si="10"/>
        <v>26.714285714285712</v>
      </c>
      <c r="U18" s="17">
        <f t="shared" si="10"/>
        <v>18.857142857142858</v>
      </c>
      <c r="V18" s="17">
        <f t="shared" si="10"/>
        <v>50.571428571428577</v>
      </c>
      <c r="W18" s="17">
        <f t="shared" si="10"/>
        <v>1.7142857142857142</v>
      </c>
      <c r="X18" s="17">
        <f t="shared" si="10"/>
        <v>0.42857142857142855</v>
      </c>
      <c r="Y18" s="17">
        <f t="shared" si="10"/>
        <v>22.285714285714285</v>
      </c>
      <c r="Z18" s="17">
        <f t="shared" si="10"/>
        <v>19.714285714285715</v>
      </c>
      <c r="AA18" s="17">
        <f t="shared" si="10"/>
        <v>3.1428571428571428</v>
      </c>
      <c r="AB18" s="17">
        <f t="shared" si="10"/>
        <v>1.7142857142857142</v>
      </c>
      <c r="AC18" s="17">
        <f t="shared" si="10"/>
        <v>870</v>
      </c>
      <c r="AD18" s="17">
        <f t="shared" si="10"/>
        <v>0.14285714285714285</v>
      </c>
      <c r="AE18" s="31">
        <f t="shared" si="10"/>
        <v>323.71428571428567</v>
      </c>
      <c r="AF18" s="31">
        <f t="shared" si="10"/>
        <v>1193.7142857142858</v>
      </c>
    </row>
    <row r="19" spans="2:32" ht="23.1" customHeight="1" x14ac:dyDescent="0.25">
      <c r="B19" s="23" t="s">
        <v>46</v>
      </c>
      <c r="C19" s="49">
        <f>AVERAGE('22.07 Lubiri -Ndeeba'!C19,'23.07 Lubiri-Ndeeba'!C19,'24.07 Lubiri-Ndeeba'!C19,'25.07 Lubiri-Ndeeba'!C19,'26.07 Lubiri-Ndeeba-24h'!C19,'27.07 Lubiri-Ndeeba-24h'!C19,'28.07 Lubiri-Ndeeba'!C19)</f>
        <v>22</v>
      </c>
      <c r="D19" s="49">
        <f>AVERAGE('22.07 Lubiri -Ndeeba'!D19,'23.07 Lubiri-Ndeeba'!D19,'24.07 Lubiri-Ndeeba'!D19,'25.07 Lubiri-Ndeeba'!D19,'26.07 Lubiri-Ndeeba-24h'!D19,'27.07 Lubiri-Ndeeba-24h'!D19,'28.07 Lubiri-Ndeeba'!D19)</f>
        <v>4.1428571428571432</v>
      </c>
      <c r="E19" s="49">
        <f>AVERAGE('22.07 Lubiri -Ndeeba'!E19,'23.07 Lubiri-Ndeeba'!E19,'24.07 Lubiri-Ndeeba'!E19,'25.07 Lubiri-Ndeeba'!E19,'26.07 Lubiri-Ndeeba-24h'!E19,'27.07 Lubiri-Ndeeba-24h'!E19,'28.07 Lubiri-Ndeeba'!E19)</f>
        <v>1.8571428571428572</v>
      </c>
      <c r="F19" s="49">
        <f>AVERAGE('22.07 Lubiri -Ndeeba'!F19,'23.07 Lubiri-Ndeeba'!F19,'24.07 Lubiri-Ndeeba'!F19,'25.07 Lubiri-Ndeeba'!F19,'26.07 Lubiri-Ndeeba-24h'!F19,'27.07 Lubiri-Ndeeba-24h'!F19,'28.07 Lubiri-Ndeeba'!F19)</f>
        <v>16.714285714285715</v>
      </c>
      <c r="G19" s="49">
        <f>AVERAGE('22.07 Lubiri -Ndeeba'!G19,'23.07 Lubiri-Ndeeba'!G19,'24.07 Lubiri-Ndeeba'!G19,'25.07 Lubiri-Ndeeba'!G19,'26.07 Lubiri-Ndeeba-24h'!G19,'27.07 Lubiri-Ndeeba-24h'!G19,'28.07 Lubiri-Ndeeba'!G19)</f>
        <v>0.42857142857142855</v>
      </c>
      <c r="H19" s="49">
        <f>AVERAGE('22.07 Lubiri -Ndeeba'!H19,'23.07 Lubiri-Ndeeba'!H19,'24.07 Lubiri-Ndeeba'!H19,'25.07 Lubiri-Ndeeba'!H19,'26.07 Lubiri-Ndeeba-24h'!H19,'27.07 Lubiri-Ndeeba-24h'!H19,'28.07 Lubiri-Ndeeba'!H19)</f>
        <v>0.14285714285714285</v>
      </c>
      <c r="I19" s="49">
        <f>AVERAGE('22.07 Lubiri -Ndeeba'!I19,'23.07 Lubiri-Ndeeba'!I19,'24.07 Lubiri-Ndeeba'!I19,'25.07 Lubiri-Ndeeba'!I19,'26.07 Lubiri-Ndeeba-24h'!I19,'27.07 Lubiri-Ndeeba-24h'!I19,'28.07 Lubiri-Ndeeba'!I19)</f>
        <v>3.8571428571428572</v>
      </c>
      <c r="J19" s="49">
        <f>AVERAGE('22.07 Lubiri -Ndeeba'!J19,'23.07 Lubiri-Ndeeba'!J19,'24.07 Lubiri-Ndeeba'!J19,'25.07 Lubiri-Ndeeba'!J19,'26.07 Lubiri-Ndeeba-24h'!J19,'27.07 Lubiri-Ndeeba-24h'!J19,'28.07 Lubiri-Ndeeba'!J19)</f>
        <v>3</v>
      </c>
      <c r="K19" s="49">
        <f>AVERAGE('22.07 Lubiri -Ndeeba'!K19,'23.07 Lubiri-Ndeeba'!K19,'24.07 Lubiri-Ndeeba'!K19,'25.07 Lubiri-Ndeeba'!K19,'26.07 Lubiri-Ndeeba-24h'!K19,'27.07 Lubiri-Ndeeba-24h'!K19,'28.07 Lubiri-Ndeeba'!K19)</f>
        <v>1</v>
      </c>
      <c r="L19" s="49">
        <f>AVERAGE('22.07 Lubiri -Ndeeba'!L19,'23.07 Lubiri-Ndeeba'!L19,'24.07 Lubiri-Ndeeba'!L19,'25.07 Lubiri-Ndeeba'!L19,'26.07 Lubiri-Ndeeba-24h'!L19,'27.07 Lubiri-Ndeeba-24h'!L19,'28.07 Lubiri-Ndeeba'!L19)</f>
        <v>0.2857142857142857</v>
      </c>
      <c r="M19" s="49">
        <f>AVERAGE('22.07 Lubiri -Ndeeba'!M19,'23.07 Lubiri-Ndeeba'!M19,'24.07 Lubiri-Ndeeba'!M19,'25.07 Lubiri-Ndeeba'!M19,'26.07 Lubiri-Ndeeba-24h'!M19,'27.07 Lubiri-Ndeeba-24h'!M19,'28.07 Lubiri-Ndeeba'!M19)</f>
        <v>236.28571428571428</v>
      </c>
      <c r="N19" s="49">
        <f>AVERAGE('22.07 Lubiri -Ndeeba'!N19,'23.07 Lubiri-Ndeeba'!N19,'24.07 Lubiri-Ndeeba'!N19,'25.07 Lubiri-Ndeeba'!N19,'26.07 Lubiri-Ndeeba-24h'!N19,'27.07 Lubiri-Ndeeba-24h'!N19,'28.07 Lubiri-Ndeeba'!N19)</f>
        <v>0</v>
      </c>
      <c r="O19" s="15">
        <f t="shared" si="0"/>
        <v>53.428571428571431</v>
      </c>
      <c r="P19" s="15">
        <f t="shared" si="1"/>
        <v>289.71428571428572</v>
      </c>
      <c r="R19" s="1" t="s">
        <v>15</v>
      </c>
      <c r="S19" s="17">
        <f t="shared" ref="S19:AF19" si="11">SUM(C46:C49)</f>
        <v>176.85714285714286</v>
      </c>
      <c r="T19" s="17">
        <f t="shared" si="11"/>
        <v>26.857142857142858</v>
      </c>
      <c r="U19" s="17">
        <f t="shared" si="11"/>
        <v>14.857142857142858</v>
      </c>
      <c r="V19" s="17">
        <f t="shared" si="11"/>
        <v>53.857142857142854</v>
      </c>
      <c r="W19" s="17">
        <f t="shared" si="11"/>
        <v>2.8571428571428572</v>
      </c>
      <c r="X19" s="17">
        <f t="shared" si="11"/>
        <v>0.14285714285714285</v>
      </c>
      <c r="Y19" s="17">
        <f t="shared" si="11"/>
        <v>22.857142857142854</v>
      </c>
      <c r="Z19" s="17">
        <f t="shared" si="11"/>
        <v>14.714285714285712</v>
      </c>
      <c r="AA19" s="17">
        <f t="shared" si="11"/>
        <v>2</v>
      </c>
      <c r="AB19" s="17">
        <f t="shared" si="11"/>
        <v>2.1904761904761907</v>
      </c>
      <c r="AC19" s="17">
        <f t="shared" si="11"/>
        <v>925.71428571428578</v>
      </c>
      <c r="AD19" s="17">
        <f t="shared" si="11"/>
        <v>0</v>
      </c>
      <c r="AE19" s="31">
        <f t="shared" si="11"/>
        <v>317.14285714285711</v>
      </c>
      <c r="AF19" s="31">
        <f t="shared" si="11"/>
        <v>1242.8571428571429</v>
      </c>
    </row>
    <row r="20" spans="2:32" ht="23.1" customHeight="1" x14ac:dyDescent="0.25">
      <c r="B20" s="23" t="s">
        <v>47</v>
      </c>
      <c r="C20" s="49">
        <f>AVERAGE('22.07 Lubiri -Ndeeba'!C20,'23.07 Lubiri-Ndeeba'!C20,'24.07 Lubiri-Ndeeba'!C20,'25.07 Lubiri-Ndeeba'!C20,'26.07 Lubiri-Ndeeba-24h'!C20,'27.07 Lubiri-Ndeeba-24h'!C20,'28.07 Lubiri-Ndeeba'!C20)</f>
        <v>23.285714285714285</v>
      </c>
      <c r="D20" s="49">
        <f>AVERAGE('22.07 Lubiri -Ndeeba'!D20,'23.07 Lubiri-Ndeeba'!D20,'24.07 Lubiri-Ndeeba'!D20,'25.07 Lubiri-Ndeeba'!D20,'26.07 Lubiri-Ndeeba-24h'!D20,'27.07 Lubiri-Ndeeba-24h'!D20,'28.07 Lubiri-Ndeeba'!D20)</f>
        <v>6</v>
      </c>
      <c r="E20" s="49">
        <f>AVERAGE('22.07 Lubiri -Ndeeba'!E20,'23.07 Lubiri-Ndeeba'!E20,'24.07 Lubiri-Ndeeba'!E20,'25.07 Lubiri-Ndeeba'!E20,'26.07 Lubiri-Ndeeba-24h'!E20,'27.07 Lubiri-Ndeeba-24h'!E20,'28.07 Lubiri-Ndeeba'!E20)</f>
        <v>3.7142857142857144</v>
      </c>
      <c r="F20" s="49">
        <f>AVERAGE('22.07 Lubiri -Ndeeba'!F20,'23.07 Lubiri-Ndeeba'!F20,'24.07 Lubiri-Ndeeba'!F20,'25.07 Lubiri-Ndeeba'!F20,'26.07 Lubiri-Ndeeba-24h'!F20,'27.07 Lubiri-Ndeeba-24h'!F20,'28.07 Lubiri-Ndeeba'!F20)</f>
        <v>16.714285714285715</v>
      </c>
      <c r="G20" s="49">
        <f>AVERAGE('22.07 Lubiri -Ndeeba'!G20,'23.07 Lubiri-Ndeeba'!G20,'24.07 Lubiri-Ndeeba'!G20,'25.07 Lubiri-Ndeeba'!G20,'26.07 Lubiri-Ndeeba-24h'!G20,'27.07 Lubiri-Ndeeba-24h'!G20,'28.07 Lubiri-Ndeeba'!G20)</f>
        <v>1.1428571428571428</v>
      </c>
      <c r="H20" s="49">
        <f>AVERAGE('22.07 Lubiri -Ndeeba'!H20,'23.07 Lubiri-Ndeeba'!H20,'24.07 Lubiri-Ndeeba'!H20,'25.07 Lubiri-Ndeeba'!H20,'26.07 Lubiri-Ndeeba-24h'!H20,'27.07 Lubiri-Ndeeba-24h'!H20,'28.07 Lubiri-Ndeeba'!H20)</f>
        <v>0</v>
      </c>
      <c r="I20" s="49">
        <f>AVERAGE('22.07 Lubiri -Ndeeba'!I20,'23.07 Lubiri-Ndeeba'!I20,'24.07 Lubiri-Ndeeba'!I20,'25.07 Lubiri-Ndeeba'!I20,'26.07 Lubiri-Ndeeba-24h'!I20,'27.07 Lubiri-Ndeeba-24h'!I20,'28.07 Lubiri-Ndeeba'!I20)</f>
        <v>5.4285714285714288</v>
      </c>
      <c r="J20" s="49">
        <f>AVERAGE('22.07 Lubiri -Ndeeba'!J20,'23.07 Lubiri-Ndeeba'!J20,'24.07 Lubiri-Ndeeba'!J20,'25.07 Lubiri-Ndeeba'!J20,'26.07 Lubiri-Ndeeba-24h'!J20,'27.07 Lubiri-Ndeeba-24h'!J20,'28.07 Lubiri-Ndeeba'!J20)</f>
        <v>5.2857142857142856</v>
      </c>
      <c r="K20" s="49">
        <f>AVERAGE('22.07 Lubiri -Ndeeba'!K20,'23.07 Lubiri-Ndeeba'!K20,'24.07 Lubiri-Ndeeba'!K20,'25.07 Lubiri-Ndeeba'!K20,'26.07 Lubiri-Ndeeba-24h'!K20,'27.07 Lubiri-Ndeeba-24h'!K20,'28.07 Lubiri-Ndeeba'!K20)</f>
        <v>0.5714285714285714</v>
      </c>
      <c r="L20" s="49">
        <f>AVERAGE('22.07 Lubiri -Ndeeba'!L20,'23.07 Lubiri-Ndeeba'!L20,'24.07 Lubiri-Ndeeba'!L20,'25.07 Lubiri-Ndeeba'!L20,'26.07 Lubiri-Ndeeba-24h'!L20,'27.07 Lubiri-Ndeeba-24h'!L20,'28.07 Lubiri-Ndeeba'!L20)</f>
        <v>0</v>
      </c>
      <c r="M20" s="49">
        <f>AVERAGE('22.07 Lubiri -Ndeeba'!M20,'23.07 Lubiri-Ndeeba'!M20,'24.07 Lubiri-Ndeeba'!M20,'25.07 Lubiri-Ndeeba'!M20,'26.07 Lubiri-Ndeeba-24h'!M20,'27.07 Lubiri-Ndeeba-24h'!M20,'28.07 Lubiri-Ndeeba'!M20)</f>
        <v>252.28571428571428</v>
      </c>
      <c r="N20" s="49">
        <f>AVERAGE('22.07 Lubiri -Ndeeba'!N20,'23.07 Lubiri-Ndeeba'!N20,'24.07 Lubiri-Ndeeba'!N20,'25.07 Lubiri-Ndeeba'!N20,'26.07 Lubiri-Ndeeba-24h'!N20,'27.07 Lubiri-Ndeeba-24h'!N20,'28.07 Lubiri-Ndeeba'!N20)</f>
        <v>0</v>
      </c>
      <c r="O20" s="15">
        <f t="shared" si="0"/>
        <v>62.142857142857146</v>
      </c>
      <c r="P20" s="15">
        <f t="shared" si="1"/>
        <v>314.42857142857144</v>
      </c>
      <c r="R20" s="1" t="s">
        <v>16</v>
      </c>
      <c r="S20" s="17">
        <f>SUM(C50:C53)</f>
        <v>221.42857142857142</v>
      </c>
      <c r="T20" s="17">
        <f t="shared" ref="T20:AF20" si="12">SUM(D50:D53)</f>
        <v>35.285714285714285</v>
      </c>
      <c r="U20" s="17">
        <f t="shared" si="12"/>
        <v>14.285714285714285</v>
      </c>
      <c r="V20" s="17">
        <f t="shared" si="12"/>
        <v>61.714285714285715</v>
      </c>
      <c r="W20" s="17">
        <f t="shared" si="12"/>
        <v>1.1428571428571428</v>
      </c>
      <c r="X20" s="17">
        <f t="shared" si="12"/>
        <v>0.14285714285714285</v>
      </c>
      <c r="Y20" s="17">
        <f t="shared" si="12"/>
        <v>19.142857142857142</v>
      </c>
      <c r="Z20" s="17">
        <f t="shared" si="12"/>
        <v>13.285714285714285</v>
      </c>
      <c r="AA20" s="17">
        <f t="shared" si="12"/>
        <v>2.2857142857142856</v>
      </c>
      <c r="AB20" s="17">
        <f t="shared" si="12"/>
        <v>1.4285714285714284</v>
      </c>
      <c r="AC20" s="17">
        <f t="shared" si="12"/>
        <v>1064.1428571428571</v>
      </c>
      <c r="AD20" s="17">
        <f t="shared" si="12"/>
        <v>0</v>
      </c>
      <c r="AE20" s="31">
        <f t="shared" si="12"/>
        <v>370.14285714285711</v>
      </c>
      <c r="AF20" s="31">
        <f t="shared" si="12"/>
        <v>1434.2857142857142</v>
      </c>
    </row>
    <row r="21" spans="2:32" ht="23.1" customHeight="1" x14ac:dyDescent="0.25">
      <c r="B21" s="23" t="s">
        <v>48</v>
      </c>
      <c r="C21" s="49">
        <f>AVERAGE('22.07 Lubiri -Ndeeba'!C21,'23.07 Lubiri-Ndeeba'!C21,'24.07 Lubiri-Ndeeba'!C21,'25.07 Lubiri-Ndeeba'!C21,'26.07 Lubiri-Ndeeba-24h'!C21,'27.07 Lubiri-Ndeeba-24h'!C21,'28.07 Lubiri-Ndeeba'!C21)</f>
        <v>23.285714285714285</v>
      </c>
      <c r="D21" s="49">
        <f>AVERAGE('22.07 Lubiri -Ndeeba'!D21,'23.07 Lubiri-Ndeeba'!D21,'24.07 Lubiri-Ndeeba'!D21,'25.07 Lubiri-Ndeeba'!D21,'26.07 Lubiri-Ndeeba-24h'!D21,'27.07 Lubiri-Ndeeba-24h'!D21,'28.07 Lubiri-Ndeeba'!D21)</f>
        <v>7.8571428571428568</v>
      </c>
      <c r="E21" s="49">
        <f>AVERAGE('22.07 Lubiri -Ndeeba'!E21,'23.07 Lubiri-Ndeeba'!E21,'24.07 Lubiri-Ndeeba'!E21,'25.07 Lubiri-Ndeeba'!E21,'26.07 Lubiri-Ndeeba-24h'!E21,'27.07 Lubiri-Ndeeba-24h'!E21,'28.07 Lubiri-Ndeeba'!E21)</f>
        <v>4.8571428571428568</v>
      </c>
      <c r="F21" s="49">
        <f>AVERAGE('22.07 Lubiri -Ndeeba'!F21,'23.07 Lubiri-Ndeeba'!F21,'24.07 Lubiri-Ndeeba'!F21,'25.07 Lubiri-Ndeeba'!F21,'26.07 Lubiri-Ndeeba-24h'!F21,'27.07 Lubiri-Ndeeba-24h'!F21,'28.07 Lubiri-Ndeeba'!F21)</f>
        <v>18.285714285714285</v>
      </c>
      <c r="G21" s="49">
        <f>AVERAGE('22.07 Lubiri -Ndeeba'!G21,'23.07 Lubiri-Ndeeba'!G21,'24.07 Lubiri-Ndeeba'!G21,'25.07 Lubiri-Ndeeba'!G21,'26.07 Lubiri-Ndeeba-24h'!G21,'27.07 Lubiri-Ndeeba-24h'!G21,'28.07 Lubiri-Ndeeba'!G21)</f>
        <v>0.7142857142857143</v>
      </c>
      <c r="H21" s="49">
        <f>AVERAGE('22.07 Lubiri -Ndeeba'!H21,'23.07 Lubiri-Ndeeba'!H21,'24.07 Lubiri-Ndeeba'!H21,'25.07 Lubiri-Ndeeba'!H21,'26.07 Lubiri-Ndeeba-24h'!H21,'27.07 Lubiri-Ndeeba-24h'!H21,'28.07 Lubiri-Ndeeba'!H21)</f>
        <v>0</v>
      </c>
      <c r="I21" s="49">
        <f>AVERAGE('22.07 Lubiri -Ndeeba'!I21,'23.07 Lubiri-Ndeeba'!I21,'24.07 Lubiri-Ndeeba'!I21,'25.07 Lubiri-Ndeeba'!I21,'26.07 Lubiri-Ndeeba-24h'!I21,'27.07 Lubiri-Ndeeba-24h'!I21,'28.07 Lubiri-Ndeeba'!I21)</f>
        <v>8.1428571428571423</v>
      </c>
      <c r="J21" s="49">
        <f>AVERAGE('22.07 Lubiri -Ndeeba'!J21,'23.07 Lubiri-Ndeeba'!J21,'24.07 Lubiri-Ndeeba'!J21,'25.07 Lubiri-Ndeeba'!J21,'26.07 Lubiri-Ndeeba-24h'!J21,'27.07 Lubiri-Ndeeba-24h'!J21,'28.07 Lubiri-Ndeeba'!J21)</f>
        <v>3.5714285714285716</v>
      </c>
      <c r="K21" s="49">
        <f>AVERAGE('22.07 Lubiri -Ndeeba'!K21,'23.07 Lubiri-Ndeeba'!K21,'24.07 Lubiri-Ndeeba'!K21,'25.07 Lubiri-Ndeeba'!K21,'26.07 Lubiri-Ndeeba-24h'!K21,'27.07 Lubiri-Ndeeba-24h'!K21,'28.07 Lubiri-Ndeeba'!K21)</f>
        <v>1</v>
      </c>
      <c r="L21" s="49">
        <f>AVERAGE('22.07 Lubiri -Ndeeba'!L21,'23.07 Lubiri-Ndeeba'!L21,'24.07 Lubiri-Ndeeba'!L21,'25.07 Lubiri-Ndeeba'!L21,'26.07 Lubiri-Ndeeba-24h'!L21,'27.07 Lubiri-Ndeeba-24h'!L21,'28.07 Lubiri-Ndeeba'!L21)</f>
        <v>0.8571428571428571</v>
      </c>
      <c r="M21" s="49">
        <f>AVERAGE('22.07 Lubiri -Ndeeba'!M21,'23.07 Lubiri-Ndeeba'!M21,'24.07 Lubiri-Ndeeba'!M21,'25.07 Lubiri-Ndeeba'!M21,'26.07 Lubiri-Ndeeba-24h'!M21,'27.07 Lubiri-Ndeeba-24h'!M21,'28.07 Lubiri-Ndeeba'!M21)</f>
        <v>265.42857142857144</v>
      </c>
      <c r="N21" s="49">
        <f>AVERAGE('22.07 Lubiri -Ndeeba'!N21,'23.07 Lubiri-Ndeeba'!N21,'24.07 Lubiri-Ndeeba'!N21,'25.07 Lubiri-Ndeeba'!N21,'26.07 Lubiri-Ndeeba-24h'!N21,'27.07 Lubiri-Ndeeba-24h'!N21,'28.07 Lubiri-Ndeeba'!N21)</f>
        <v>0</v>
      </c>
      <c r="O21" s="15">
        <f t="shared" si="0"/>
        <v>68.571428571428569</v>
      </c>
      <c r="P21" s="15">
        <f t="shared" si="1"/>
        <v>334</v>
      </c>
      <c r="R21" s="36" t="s">
        <v>20</v>
      </c>
      <c r="S21" s="34">
        <f>SUM(C54:C57)</f>
        <v>181.28571428571431</v>
      </c>
      <c r="T21" s="17">
        <f t="shared" ref="T21:AF21" si="13">SUM(D54:D57)</f>
        <v>31.142857142857142</v>
      </c>
      <c r="U21" s="17">
        <f t="shared" si="13"/>
        <v>17</v>
      </c>
      <c r="V21" s="17">
        <f t="shared" si="13"/>
        <v>66.714285714285722</v>
      </c>
      <c r="W21" s="17">
        <f t="shared" si="13"/>
        <v>0.5714285714285714</v>
      </c>
      <c r="X21" s="17">
        <f t="shared" si="13"/>
        <v>0</v>
      </c>
      <c r="Y21" s="17">
        <f t="shared" si="13"/>
        <v>17.285714285714285</v>
      </c>
      <c r="Z21" s="17">
        <f t="shared" si="13"/>
        <v>14.142857142857144</v>
      </c>
      <c r="AA21" s="17">
        <f t="shared" si="13"/>
        <v>1.7142857142857142</v>
      </c>
      <c r="AB21" s="17">
        <f t="shared" si="13"/>
        <v>1.7142857142857142</v>
      </c>
      <c r="AC21" s="17">
        <f t="shared" si="13"/>
        <v>891.14285714285711</v>
      </c>
      <c r="AD21" s="17">
        <f t="shared" si="13"/>
        <v>0.2857142857142857</v>
      </c>
      <c r="AE21" s="31">
        <f>SUM(O54:O57)</f>
        <v>331.85714285714289</v>
      </c>
      <c r="AF21" s="31">
        <f t="shared" si="13"/>
        <v>1223</v>
      </c>
    </row>
    <row r="22" spans="2:32" ht="23.1" customHeight="1" x14ac:dyDescent="0.25">
      <c r="B22" s="23" t="s">
        <v>49</v>
      </c>
      <c r="C22" s="49">
        <f>AVERAGE('22.07 Lubiri -Ndeeba'!C22,'23.07 Lubiri-Ndeeba'!C22,'24.07 Lubiri-Ndeeba'!C22,'25.07 Lubiri-Ndeeba'!C22,'26.07 Lubiri-Ndeeba-24h'!C22,'27.07 Lubiri-Ndeeba-24h'!C22,'28.07 Lubiri-Ndeeba'!C22)</f>
        <v>35.285714285714285</v>
      </c>
      <c r="D22" s="49">
        <f>AVERAGE('22.07 Lubiri -Ndeeba'!D22,'23.07 Lubiri-Ndeeba'!D22,'24.07 Lubiri-Ndeeba'!D22,'25.07 Lubiri-Ndeeba'!D22,'26.07 Lubiri-Ndeeba-24h'!D22,'27.07 Lubiri-Ndeeba-24h'!D22,'28.07 Lubiri-Ndeeba'!D22)</f>
        <v>8.2857142857142865</v>
      </c>
      <c r="E22" s="49">
        <f>AVERAGE('22.07 Lubiri -Ndeeba'!E22,'23.07 Lubiri-Ndeeba'!E22,'24.07 Lubiri-Ndeeba'!E22,'25.07 Lubiri-Ndeeba'!E22,'26.07 Lubiri-Ndeeba-24h'!E22,'27.07 Lubiri-Ndeeba-24h'!E22,'28.07 Lubiri-Ndeeba'!E22)</f>
        <v>5.1428571428571432</v>
      </c>
      <c r="F22" s="49">
        <f>AVERAGE('22.07 Lubiri -Ndeeba'!F22,'23.07 Lubiri-Ndeeba'!F22,'24.07 Lubiri-Ndeeba'!F22,'25.07 Lubiri-Ndeeba'!F22,'26.07 Lubiri-Ndeeba-24h'!F22,'27.07 Lubiri-Ndeeba-24h'!F22,'28.07 Lubiri-Ndeeba'!F22)</f>
        <v>18.285714285714285</v>
      </c>
      <c r="G22" s="49">
        <f>AVERAGE('22.07 Lubiri -Ndeeba'!G22,'23.07 Lubiri-Ndeeba'!G22,'24.07 Lubiri-Ndeeba'!G22,'25.07 Lubiri-Ndeeba'!G22,'26.07 Lubiri-Ndeeba-24h'!G22,'27.07 Lubiri-Ndeeba-24h'!G22,'28.07 Lubiri-Ndeeba'!G22)</f>
        <v>0.42857142857142855</v>
      </c>
      <c r="H22" s="49">
        <f>AVERAGE('22.07 Lubiri -Ndeeba'!H22,'23.07 Lubiri-Ndeeba'!H22,'24.07 Lubiri-Ndeeba'!H22,'25.07 Lubiri-Ndeeba'!H22,'26.07 Lubiri-Ndeeba-24h'!H22,'27.07 Lubiri-Ndeeba-24h'!H22,'28.07 Lubiri-Ndeeba'!H22)</f>
        <v>0</v>
      </c>
      <c r="I22" s="49">
        <f>AVERAGE('22.07 Lubiri -Ndeeba'!I22,'23.07 Lubiri-Ndeeba'!I22,'24.07 Lubiri-Ndeeba'!I22,'25.07 Lubiri-Ndeeba'!I22,'26.07 Lubiri-Ndeeba-24h'!I22,'27.07 Lubiri-Ndeeba-24h'!I22,'28.07 Lubiri-Ndeeba'!I22)</f>
        <v>6.7142857142857144</v>
      </c>
      <c r="J22" s="49">
        <f>AVERAGE('22.07 Lubiri -Ndeeba'!J22,'23.07 Lubiri-Ndeeba'!J22,'24.07 Lubiri-Ndeeba'!J22,'25.07 Lubiri-Ndeeba'!J22,'26.07 Lubiri-Ndeeba-24h'!J22,'27.07 Lubiri-Ndeeba-24h'!J22,'28.07 Lubiri-Ndeeba'!J22)</f>
        <v>5.5714285714285712</v>
      </c>
      <c r="K22" s="49">
        <f>AVERAGE('22.07 Lubiri -Ndeeba'!K22,'23.07 Lubiri-Ndeeba'!K22,'24.07 Lubiri-Ndeeba'!K22,'25.07 Lubiri-Ndeeba'!K22,'26.07 Lubiri-Ndeeba-24h'!K22,'27.07 Lubiri-Ndeeba-24h'!K22,'28.07 Lubiri-Ndeeba'!K22)</f>
        <v>1</v>
      </c>
      <c r="L22" s="49">
        <f>AVERAGE('22.07 Lubiri -Ndeeba'!L22,'23.07 Lubiri-Ndeeba'!L22,'24.07 Lubiri-Ndeeba'!L22,'25.07 Lubiri-Ndeeba'!L22,'26.07 Lubiri-Ndeeba-24h'!L22,'27.07 Lubiri-Ndeeba-24h'!L22,'28.07 Lubiri-Ndeeba'!L22)</f>
        <v>0.42857142857142855</v>
      </c>
      <c r="M22" s="49">
        <f>AVERAGE('22.07 Lubiri -Ndeeba'!M22,'23.07 Lubiri-Ndeeba'!M22,'24.07 Lubiri-Ndeeba'!M22,'25.07 Lubiri-Ndeeba'!M22,'26.07 Lubiri-Ndeeba-24h'!M22,'27.07 Lubiri-Ndeeba-24h'!M22,'28.07 Lubiri-Ndeeba'!M22)</f>
        <v>263.85714285714283</v>
      </c>
      <c r="N22" s="49">
        <f>AVERAGE('22.07 Lubiri -Ndeeba'!N22,'23.07 Lubiri-Ndeeba'!N22,'24.07 Lubiri-Ndeeba'!N22,'25.07 Lubiri-Ndeeba'!N22,'26.07 Lubiri-Ndeeba-24h'!N22,'27.07 Lubiri-Ndeeba-24h'!N22,'28.07 Lubiri-Ndeeba'!N22)</f>
        <v>0</v>
      </c>
      <c r="O22" s="15">
        <f t="shared" si="0"/>
        <v>81.142857142857139</v>
      </c>
      <c r="P22" s="15">
        <f t="shared" si="1"/>
        <v>345</v>
      </c>
      <c r="R22" s="1" t="s">
        <v>146</v>
      </c>
      <c r="S22" s="34">
        <f>SUM(C58:C61)</f>
        <v>237</v>
      </c>
      <c r="T22" s="34">
        <f t="shared" ref="T22:AF22" si="14">SUM(D58:D61)</f>
        <v>40</v>
      </c>
      <c r="U22" s="34">
        <f t="shared" si="14"/>
        <v>25.5</v>
      </c>
      <c r="V22" s="34">
        <f t="shared" si="14"/>
        <v>157</v>
      </c>
      <c r="W22" s="34">
        <f t="shared" si="14"/>
        <v>9</v>
      </c>
      <c r="X22" s="34">
        <f t="shared" si="14"/>
        <v>0.5</v>
      </c>
      <c r="Y22" s="34">
        <f t="shared" si="14"/>
        <v>12</v>
      </c>
      <c r="Z22" s="34">
        <f t="shared" si="14"/>
        <v>9</v>
      </c>
      <c r="AA22" s="34">
        <f t="shared" si="14"/>
        <v>2.5</v>
      </c>
      <c r="AB22" s="34">
        <f t="shared" si="14"/>
        <v>1</v>
      </c>
      <c r="AC22" s="34">
        <f t="shared" si="14"/>
        <v>637</v>
      </c>
      <c r="AD22" s="34">
        <f t="shared" si="14"/>
        <v>0</v>
      </c>
      <c r="AE22" s="31">
        <f t="shared" si="14"/>
        <v>493.5</v>
      </c>
      <c r="AF22" s="31">
        <f t="shared" si="14"/>
        <v>1130.5</v>
      </c>
    </row>
    <row r="23" spans="2:32" ht="23.1" customHeight="1" x14ac:dyDescent="0.25">
      <c r="B23" s="23" t="s">
        <v>50</v>
      </c>
      <c r="C23" s="49">
        <f>AVERAGE('22.07 Lubiri -Ndeeba'!C23,'23.07 Lubiri-Ndeeba'!C23,'24.07 Lubiri-Ndeeba'!C23,'25.07 Lubiri-Ndeeba'!C23,'26.07 Lubiri-Ndeeba-24h'!C23,'27.07 Lubiri-Ndeeba-24h'!C23,'28.07 Lubiri-Ndeeba'!C23)</f>
        <v>32.142857142857146</v>
      </c>
      <c r="D23" s="49">
        <f>AVERAGE('22.07 Lubiri -Ndeeba'!D23,'23.07 Lubiri-Ndeeba'!D23,'24.07 Lubiri-Ndeeba'!D23,'25.07 Lubiri-Ndeeba'!D23,'26.07 Lubiri-Ndeeba-24h'!D23,'27.07 Lubiri-Ndeeba-24h'!D23,'28.07 Lubiri-Ndeeba'!D23)</f>
        <v>4.4285714285714288</v>
      </c>
      <c r="E23" s="49">
        <f>AVERAGE('22.07 Lubiri -Ndeeba'!E23,'23.07 Lubiri-Ndeeba'!E23,'24.07 Lubiri-Ndeeba'!E23,'25.07 Lubiri-Ndeeba'!E23,'26.07 Lubiri-Ndeeba-24h'!E23,'27.07 Lubiri-Ndeeba-24h'!E23,'28.07 Lubiri-Ndeeba'!E23)</f>
        <v>4.1428571428571432</v>
      </c>
      <c r="F23" s="49">
        <f>AVERAGE('22.07 Lubiri -Ndeeba'!F23,'23.07 Lubiri-Ndeeba'!F23,'24.07 Lubiri-Ndeeba'!F23,'25.07 Lubiri-Ndeeba'!F23,'26.07 Lubiri-Ndeeba-24h'!F23,'27.07 Lubiri-Ndeeba-24h'!F23,'28.07 Lubiri-Ndeeba'!F23)</f>
        <v>12.285714285714286</v>
      </c>
      <c r="G23" s="49">
        <f>AVERAGE('22.07 Lubiri -Ndeeba'!G23,'23.07 Lubiri-Ndeeba'!G23,'24.07 Lubiri-Ndeeba'!G23,'25.07 Lubiri-Ndeeba'!G23,'26.07 Lubiri-Ndeeba-24h'!G23,'27.07 Lubiri-Ndeeba-24h'!G23,'28.07 Lubiri-Ndeeba'!G23)</f>
        <v>0.2857142857142857</v>
      </c>
      <c r="H23" s="49">
        <f>AVERAGE('22.07 Lubiri -Ndeeba'!H23,'23.07 Lubiri-Ndeeba'!H23,'24.07 Lubiri-Ndeeba'!H23,'25.07 Lubiri-Ndeeba'!H23,'26.07 Lubiri-Ndeeba-24h'!H23,'27.07 Lubiri-Ndeeba-24h'!H23,'28.07 Lubiri-Ndeeba'!H23)</f>
        <v>0.14285714285714285</v>
      </c>
      <c r="I23" s="49">
        <f>AVERAGE('22.07 Lubiri -Ndeeba'!I23,'23.07 Lubiri-Ndeeba'!I23,'24.07 Lubiri-Ndeeba'!I23,'25.07 Lubiri-Ndeeba'!I23,'26.07 Lubiri-Ndeeba-24h'!I23,'27.07 Lubiri-Ndeeba-24h'!I23,'28.07 Lubiri-Ndeeba'!I23)</f>
        <v>7.8571428571428568</v>
      </c>
      <c r="J23" s="49">
        <f>AVERAGE('22.07 Lubiri -Ndeeba'!J23,'23.07 Lubiri-Ndeeba'!J23,'24.07 Lubiri-Ndeeba'!J23,'25.07 Lubiri-Ndeeba'!J23,'26.07 Lubiri-Ndeeba-24h'!J23,'27.07 Lubiri-Ndeeba-24h'!J23,'28.07 Lubiri-Ndeeba'!J23)</f>
        <v>3.2857142857142856</v>
      </c>
      <c r="K23" s="49">
        <f>AVERAGE('22.07 Lubiri -Ndeeba'!K23,'23.07 Lubiri-Ndeeba'!K23,'24.07 Lubiri-Ndeeba'!K23,'25.07 Lubiri-Ndeeba'!K23,'26.07 Lubiri-Ndeeba-24h'!K23,'27.07 Lubiri-Ndeeba-24h'!K23,'28.07 Lubiri-Ndeeba'!K23)</f>
        <v>0.2857142857142857</v>
      </c>
      <c r="L23" s="49">
        <f>AVERAGE('22.07 Lubiri -Ndeeba'!L23,'23.07 Lubiri-Ndeeba'!L23,'24.07 Lubiri-Ndeeba'!L23,'25.07 Lubiri-Ndeeba'!L23,'26.07 Lubiri-Ndeeba-24h'!L23,'27.07 Lubiri-Ndeeba-24h'!L23,'28.07 Lubiri-Ndeeba'!L23)</f>
        <v>0.5714285714285714</v>
      </c>
      <c r="M23" s="49">
        <f>AVERAGE('22.07 Lubiri -Ndeeba'!M23,'23.07 Lubiri-Ndeeba'!M23,'24.07 Lubiri-Ndeeba'!M23,'25.07 Lubiri-Ndeeba'!M23,'26.07 Lubiri-Ndeeba-24h'!M23,'27.07 Lubiri-Ndeeba-24h'!M23,'28.07 Lubiri-Ndeeba'!M23)</f>
        <v>238.42857142857142</v>
      </c>
      <c r="N23" s="49">
        <f>AVERAGE('22.07 Lubiri -Ndeeba'!N23,'23.07 Lubiri-Ndeeba'!N23,'24.07 Lubiri-Ndeeba'!N23,'25.07 Lubiri-Ndeeba'!N23,'26.07 Lubiri-Ndeeba-24h'!N23,'27.07 Lubiri-Ndeeba-24h'!N23,'28.07 Lubiri-Ndeeba'!N23)</f>
        <v>0</v>
      </c>
      <c r="O23" s="15">
        <f t="shared" si="0"/>
        <v>65.428571428571445</v>
      </c>
      <c r="P23" s="15">
        <f t="shared" si="1"/>
        <v>303.85714285714289</v>
      </c>
      <c r="R23" s="1" t="s">
        <v>147</v>
      </c>
      <c r="S23" s="34">
        <f>SUM(C62:C65)</f>
        <v>202</v>
      </c>
      <c r="T23" s="34">
        <f t="shared" ref="T23:AF23" si="15">SUM(D62:D65)</f>
        <v>36</v>
      </c>
      <c r="U23" s="34">
        <f t="shared" si="15"/>
        <v>15.5</v>
      </c>
      <c r="V23" s="34">
        <f t="shared" si="15"/>
        <v>156</v>
      </c>
      <c r="W23" s="34">
        <f t="shared" si="15"/>
        <v>0.5</v>
      </c>
      <c r="X23" s="34">
        <f t="shared" si="15"/>
        <v>0</v>
      </c>
      <c r="Y23" s="34">
        <f t="shared" si="15"/>
        <v>14</v>
      </c>
      <c r="Z23" s="34">
        <f t="shared" si="15"/>
        <v>15</v>
      </c>
      <c r="AA23" s="34">
        <f t="shared" si="15"/>
        <v>4.5</v>
      </c>
      <c r="AB23" s="34">
        <f t="shared" si="15"/>
        <v>0.5</v>
      </c>
      <c r="AC23" s="34">
        <f t="shared" si="15"/>
        <v>747</v>
      </c>
      <c r="AD23" s="34">
        <f t="shared" si="15"/>
        <v>0.5</v>
      </c>
      <c r="AE23" s="51">
        <f t="shared" si="15"/>
        <v>444.5</v>
      </c>
      <c r="AF23" s="51">
        <f t="shared" si="15"/>
        <v>1191.5</v>
      </c>
    </row>
    <row r="24" spans="2:32" ht="23.1" customHeight="1" x14ac:dyDescent="0.25">
      <c r="B24" s="23" t="s">
        <v>51</v>
      </c>
      <c r="C24" s="49">
        <f>AVERAGE('22.07 Lubiri -Ndeeba'!C24,'23.07 Lubiri-Ndeeba'!C24,'24.07 Lubiri-Ndeeba'!C24,'25.07 Lubiri-Ndeeba'!C24,'26.07 Lubiri-Ndeeba-24h'!C24,'27.07 Lubiri-Ndeeba-24h'!C24,'28.07 Lubiri-Ndeeba'!C24)</f>
        <v>31.571428571428573</v>
      </c>
      <c r="D24" s="49">
        <f>AVERAGE('22.07 Lubiri -Ndeeba'!D24,'23.07 Lubiri-Ndeeba'!D24,'24.07 Lubiri-Ndeeba'!D24,'25.07 Lubiri-Ndeeba'!D24,'26.07 Lubiri-Ndeeba-24h'!D24,'27.07 Lubiri-Ndeeba-24h'!D24,'28.07 Lubiri-Ndeeba'!D24)</f>
        <v>7.1428571428571432</v>
      </c>
      <c r="E24" s="49">
        <f>AVERAGE('22.07 Lubiri -Ndeeba'!E24,'23.07 Lubiri-Ndeeba'!E24,'24.07 Lubiri-Ndeeba'!E24,'25.07 Lubiri-Ndeeba'!E24,'26.07 Lubiri-Ndeeba-24h'!E24,'27.07 Lubiri-Ndeeba-24h'!E24,'28.07 Lubiri-Ndeeba'!E24)</f>
        <v>4.5714285714285712</v>
      </c>
      <c r="F24" s="49">
        <f>AVERAGE('22.07 Lubiri -Ndeeba'!F24,'23.07 Lubiri-Ndeeba'!F24,'24.07 Lubiri-Ndeeba'!F24,'25.07 Lubiri-Ndeeba'!F24,'26.07 Lubiri-Ndeeba-24h'!F24,'27.07 Lubiri-Ndeeba-24h'!F24,'28.07 Lubiri-Ndeeba'!F24)</f>
        <v>15.142857142857142</v>
      </c>
      <c r="G24" s="49">
        <f>AVERAGE('22.07 Lubiri -Ndeeba'!G24,'23.07 Lubiri-Ndeeba'!G24,'24.07 Lubiri-Ndeeba'!G24,'25.07 Lubiri-Ndeeba'!G24,'26.07 Lubiri-Ndeeba-24h'!G24,'27.07 Lubiri-Ndeeba-24h'!G24,'28.07 Lubiri-Ndeeba'!G24)</f>
        <v>0.5714285714285714</v>
      </c>
      <c r="H24" s="49">
        <f>AVERAGE('22.07 Lubiri -Ndeeba'!H24,'23.07 Lubiri-Ndeeba'!H24,'24.07 Lubiri-Ndeeba'!H24,'25.07 Lubiri-Ndeeba'!H24,'26.07 Lubiri-Ndeeba-24h'!H24,'27.07 Lubiri-Ndeeba-24h'!H24,'28.07 Lubiri-Ndeeba'!H24)</f>
        <v>0.14285714285714285</v>
      </c>
      <c r="I24" s="49">
        <f>AVERAGE('22.07 Lubiri -Ndeeba'!I24,'23.07 Lubiri-Ndeeba'!I24,'24.07 Lubiri-Ndeeba'!I24,'25.07 Lubiri-Ndeeba'!I24,'26.07 Lubiri-Ndeeba-24h'!I24,'27.07 Lubiri-Ndeeba-24h'!I24,'28.07 Lubiri-Ndeeba'!I24)</f>
        <v>6.1428571428571432</v>
      </c>
      <c r="J24" s="49">
        <f>AVERAGE('22.07 Lubiri -Ndeeba'!J24,'23.07 Lubiri-Ndeeba'!J24,'24.07 Lubiri-Ndeeba'!J24,'25.07 Lubiri-Ndeeba'!J24,'26.07 Lubiri-Ndeeba-24h'!J24,'27.07 Lubiri-Ndeeba-24h'!J24,'28.07 Lubiri-Ndeeba'!J24)</f>
        <v>4.5714285714285712</v>
      </c>
      <c r="K24" s="49">
        <f>AVERAGE('22.07 Lubiri -Ndeeba'!K24,'23.07 Lubiri-Ndeeba'!K24,'24.07 Lubiri-Ndeeba'!K24,'25.07 Lubiri-Ndeeba'!K24,'26.07 Lubiri-Ndeeba-24h'!K24,'27.07 Lubiri-Ndeeba-24h'!K24,'28.07 Lubiri-Ndeeba'!K24)</f>
        <v>0.42857142857142855</v>
      </c>
      <c r="L24" s="49">
        <f>AVERAGE('22.07 Lubiri -Ndeeba'!L24,'23.07 Lubiri-Ndeeba'!L24,'24.07 Lubiri-Ndeeba'!L24,'25.07 Lubiri-Ndeeba'!L24,'26.07 Lubiri-Ndeeba-24h'!L24,'27.07 Lubiri-Ndeeba-24h'!L24,'28.07 Lubiri-Ndeeba'!L24)</f>
        <v>0.7142857142857143</v>
      </c>
      <c r="M24" s="49">
        <f>AVERAGE('22.07 Lubiri -Ndeeba'!M24,'23.07 Lubiri-Ndeeba'!M24,'24.07 Lubiri-Ndeeba'!M24,'25.07 Lubiri-Ndeeba'!M24,'26.07 Lubiri-Ndeeba-24h'!M24,'27.07 Lubiri-Ndeeba-24h'!M24,'28.07 Lubiri-Ndeeba'!M24)</f>
        <v>232.14285714285714</v>
      </c>
      <c r="N24" s="49">
        <f>AVERAGE('22.07 Lubiri -Ndeeba'!N24,'23.07 Lubiri-Ndeeba'!N24,'24.07 Lubiri-Ndeeba'!N24,'25.07 Lubiri-Ndeeba'!N24,'26.07 Lubiri-Ndeeba-24h'!N24,'27.07 Lubiri-Ndeeba-24h'!N24,'28.07 Lubiri-Ndeeba'!N24)</f>
        <v>0</v>
      </c>
      <c r="O24" s="15">
        <f t="shared" si="0"/>
        <v>71</v>
      </c>
      <c r="P24" s="15">
        <f t="shared" si="1"/>
        <v>303.14285714285711</v>
      </c>
      <c r="R24" s="1" t="s">
        <v>148</v>
      </c>
      <c r="S24" s="34">
        <f>SUM(C66:C69)</f>
        <v>175</v>
      </c>
      <c r="T24" s="34">
        <f t="shared" ref="T24:AF24" si="16">SUM(D66:D69)</f>
        <v>20.5</v>
      </c>
      <c r="U24" s="34">
        <f t="shared" si="16"/>
        <v>13</v>
      </c>
      <c r="V24" s="34">
        <f t="shared" si="16"/>
        <v>115.5</v>
      </c>
      <c r="W24" s="34">
        <f t="shared" si="16"/>
        <v>1.5</v>
      </c>
      <c r="X24" s="34">
        <f t="shared" si="16"/>
        <v>0</v>
      </c>
      <c r="Y24" s="34">
        <f t="shared" si="16"/>
        <v>12.5</v>
      </c>
      <c r="Z24" s="34">
        <f t="shared" si="16"/>
        <v>7</v>
      </c>
      <c r="AA24" s="34">
        <f t="shared" si="16"/>
        <v>2.5</v>
      </c>
      <c r="AB24" s="34">
        <f t="shared" si="16"/>
        <v>1.5</v>
      </c>
      <c r="AC24" s="34">
        <f t="shared" si="16"/>
        <v>407</v>
      </c>
      <c r="AD24" s="34">
        <f t="shared" si="16"/>
        <v>0.5</v>
      </c>
      <c r="AE24" s="31">
        <f t="shared" si="16"/>
        <v>349.5</v>
      </c>
      <c r="AF24" s="31">
        <f t="shared" si="16"/>
        <v>756.5</v>
      </c>
    </row>
    <row r="25" spans="2:32" ht="23.1" customHeight="1" x14ac:dyDescent="0.25">
      <c r="B25" s="23" t="s">
        <v>52</v>
      </c>
      <c r="C25" s="49">
        <f>AVERAGE('22.07 Lubiri -Ndeeba'!C25,'23.07 Lubiri-Ndeeba'!C25,'24.07 Lubiri-Ndeeba'!C25,'25.07 Lubiri-Ndeeba'!C25,'26.07 Lubiri-Ndeeba-24h'!C25,'27.07 Lubiri-Ndeeba-24h'!C25,'28.07 Lubiri-Ndeeba'!C25)</f>
        <v>32.714285714285715</v>
      </c>
      <c r="D25" s="49">
        <f>AVERAGE('22.07 Lubiri -Ndeeba'!D25,'23.07 Lubiri-Ndeeba'!D25,'24.07 Lubiri-Ndeeba'!D25,'25.07 Lubiri-Ndeeba'!D25,'26.07 Lubiri-Ndeeba-24h'!D25,'27.07 Lubiri-Ndeeba-24h'!D25,'28.07 Lubiri-Ndeeba'!D25)</f>
        <v>7.4285714285714288</v>
      </c>
      <c r="E25" s="49">
        <f>AVERAGE('22.07 Lubiri -Ndeeba'!E25,'23.07 Lubiri-Ndeeba'!E25,'24.07 Lubiri-Ndeeba'!E25,'25.07 Lubiri-Ndeeba'!E25,'26.07 Lubiri-Ndeeba-24h'!E25,'27.07 Lubiri-Ndeeba-24h'!E25,'28.07 Lubiri-Ndeeba'!E25)</f>
        <v>5.4285714285714288</v>
      </c>
      <c r="F25" s="49">
        <f>AVERAGE('22.07 Lubiri -Ndeeba'!F25,'23.07 Lubiri-Ndeeba'!F25,'24.07 Lubiri-Ndeeba'!F25,'25.07 Lubiri-Ndeeba'!F25,'26.07 Lubiri-Ndeeba-24h'!F25,'27.07 Lubiri-Ndeeba-24h'!F25,'28.07 Lubiri-Ndeeba'!F25)</f>
        <v>18.285714285714285</v>
      </c>
      <c r="G25" s="49">
        <f>AVERAGE('22.07 Lubiri -Ndeeba'!G25,'23.07 Lubiri-Ndeeba'!G25,'24.07 Lubiri-Ndeeba'!G25,'25.07 Lubiri-Ndeeba'!G25,'26.07 Lubiri-Ndeeba-24h'!G25,'27.07 Lubiri-Ndeeba-24h'!G25,'28.07 Lubiri-Ndeeba'!G25)</f>
        <v>0.14285714285714285</v>
      </c>
      <c r="H25" s="49">
        <f>AVERAGE('22.07 Lubiri -Ndeeba'!H25,'23.07 Lubiri-Ndeeba'!H25,'24.07 Lubiri-Ndeeba'!H25,'25.07 Lubiri-Ndeeba'!H25,'26.07 Lubiri-Ndeeba-24h'!H25,'27.07 Lubiri-Ndeeba-24h'!H25,'28.07 Lubiri-Ndeeba'!H25)</f>
        <v>0</v>
      </c>
      <c r="I25" s="49">
        <f>AVERAGE('22.07 Lubiri -Ndeeba'!I25,'23.07 Lubiri-Ndeeba'!I25,'24.07 Lubiri-Ndeeba'!I25,'25.07 Lubiri-Ndeeba'!I25,'26.07 Lubiri-Ndeeba-24h'!I25,'27.07 Lubiri-Ndeeba-24h'!I25,'28.07 Lubiri-Ndeeba'!I25)</f>
        <v>7.8571428571428568</v>
      </c>
      <c r="J25" s="49">
        <f>AVERAGE('22.07 Lubiri -Ndeeba'!J25,'23.07 Lubiri-Ndeeba'!J25,'24.07 Lubiri-Ndeeba'!J25,'25.07 Lubiri-Ndeeba'!J25,'26.07 Lubiri-Ndeeba-24h'!J25,'27.07 Lubiri-Ndeeba-24h'!J25,'28.07 Lubiri-Ndeeba'!J25)</f>
        <v>2.5714285714285716</v>
      </c>
      <c r="K25" s="49">
        <f>AVERAGE('22.07 Lubiri -Ndeeba'!K25,'23.07 Lubiri-Ndeeba'!K25,'24.07 Lubiri-Ndeeba'!K25,'25.07 Lubiri-Ndeeba'!K25,'26.07 Lubiri-Ndeeba-24h'!K25,'27.07 Lubiri-Ndeeba-24h'!K25,'28.07 Lubiri-Ndeeba'!K25)</f>
        <v>0.2857142857142857</v>
      </c>
      <c r="L25" s="49">
        <f>AVERAGE('22.07 Lubiri -Ndeeba'!L25,'23.07 Lubiri-Ndeeba'!L25,'24.07 Lubiri-Ndeeba'!L25,'25.07 Lubiri-Ndeeba'!L25,'26.07 Lubiri-Ndeeba-24h'!L25,'27.07 Lubiri-Ndeeba-24h'!L25,'28.07 Lubiri-Ndeeba'!L25)</f>
        <v>0.14285714285714285</v>
      </c>
      <c r="M25" s="49">
        <f>AVERAGE('22.07 Lubiri -Ndeeba'!M25,'23.07 Lubiri-Ndeeba'!M25,'24.07 Lubiri-Ndeeba'!M25,'25.07 Lubiri-Ndeeba'!M25,'26.07 Lubiri-Ndeeba-24h'!M25,'27.07 Lubiri-Ndeeba-24h'!M25,'28.07 Lubiri-Ndeeba'!M25)</f>
        <v>217.57142857142858</v>
      </c>
      <c r="N25" s="49">
        <f>AVERAGE('22.07 Lubiri -Ndeeba'!N25,'23.07 Lubiri-Ndeeba'!N25,'24.07 Lubiri-Ndeeba'!N25,'25.07 Lubiri-Ndeeba'!N25,'26.07 Lubiri-Ndeeba-24h'!N25,'27.07 Lubiri-Ndeeba-24h'!N25,'28.07 Lubiri-Ndeeba'!N25)</f>
        <v>0.14285714285714285</v>
      </c>
      <c r="O25" s="15">
        <f t="shared" si="0"/>
        <v>75</v>
      </c>
      <c r="P25" s="15">
        <f t="shared" si="1"/>
        <v>292.57142857142861</v>
      </c>
      <c r="R25" s="1" t="s">
        <v>149</v>
      </c>
      <c r="S25" s="34">
        <f>SUM(C70:C73)</f>
        <v>128.5</v>
      </c>
      <c r="T25" s="34">
        <f t="shared" ref="T25:AF25" si="17">SUM(D70:D73)</f>
        <v>17</v>
      </c>
      <c r="U25" s="34">
        <f t="shared" si="17"/>
        <v>11</v>
      </c>
      <c r="V25" s="34">
        <f t="shared" si="17"/>
        <v>44.5</v>
      </c>
      <c r="W25" s="34">
        <f t="shared" si="17"/>
        <v>1.5</v>
      </c>
      <c r="X25" s="34">
        <f t="shared" si="17"/>
        <v>0</v>
      </c>
      <c r="Y25" s="34">
        <f t="shared" si="17"/>
        <v>5</v>
      </c>
      <c r="Z25" s="34">
        <f t="shared" si="17"/>
        <v>8</v>
      </c>
      <c r="AA25" s="34">
        <f t="shared" si="17"/>
        <v>0</v>
      </c>
      <c r="AB25" s="34">
        <f t="shared" si="17"/>
        <v>0.5</v>
      </c>
      <c r="AC25" s="34">
        <f t="shared" si="17"/>
        <v>203.5</v>
      </c>
      <c r="AD25" s="34">
        <f t="shared" si="17"/>
        <v>0</v>
      </c>
      <c r="AE25" s="31">
        <f t="shared" si="17"/>
        <v>216</v>
      </c>
      <c r="AF25" s="31">
        <f t="shared" si="17"/>
        <v>419.5</v>
      </c>
    </row>
    <row r="26" spans="2:32" ht="23.1" customHeight="1" x14ac:dyDescent="0.25">
      <c r="B26" s="23" t="s">
        <v>53</v>
      </c>
      <c r="C26" s="49">
        <f>AVERAGE('22.07 Lubiri -Ndeeba'!C26,'23.07 Lubiri-Ndeeba'!C26,'24.07 Lubiri-Ndeeba'!C26,'25.07 Lubiri-Ndeeba'!C26,'26.07 Lubiri-Ndeeba-24h'!C26,'27.07 Lubiri-Ndeeba-24h'!C26,'28.07 Lubiri-Ndeeba'!C26)</f>
        <v>41.142857142857146</v>
      </c>
      <c r="D26" s="49">
        <f>AVERAGE('22.07 Lubiri -Ndeeba'!D26,'23.07 Lubiri-Ndeeba'!D26,'24.07 Lubiri-Ndeeba'!D26,'25.07 Lubiri-Ndeeba'!D26,'26.07 Lubiri-Ndeeba-24h'!D26,'27.07 Lubiri-Ndeeba-24h'!D26,'28.07 Lubiri-Ndeeba'!D26)</f>
        <v>5.2857142857142856</v>
      </c>
      <c r="E26" s="49">
        <f>AVERAGE('22.07 Lubiri -Ndeeba'!E26,'23.07 Lubiri-Ndeeba'!E26,'24.07 Lubiri-Ndeeba'!E26,'25.07 Lubiri-Ndeeba'!E26,'26.07 Lubiri-Ndeeba-24h'!E26,'27.07 Lubiri-Ndeeba-24h'!E26,'28.07 Lubiri-Ndeeba'!E26)</f>
        <v>4.8571428571428568</v>
      </c>
      <c r="F26" s="49">
        <f>AVERAGE('22.07 Lubiri -Ndeeba'!F26,'23.07 Lubiri-Ndeeba'!F26,'24.07 Lubiri-Ndeeba'!F26,'25.07 Lubiri-Ndeeba'!F26,'26.07 Lubiri-Ndeeba-24h'!F26,'27.07 Lubiri-Ndeeba-24h'!F26,'28.07 Lubiri-Ndeeba'!F26)</f>
        <v>14.428571428571429</v>
      </c>
      <c r="G26" s="49">
        <f>AVERAGE('22.07 Lubiri -Ndeeba'!G26,'23.07 Lubiri-Ndeeba'!G26,'24.07 Lubiri-Ndeeba'!G26,'25.07 Lubiri-Ndeeba'!G26,'26.07 Lubiri-Ndeeba-24h'!G26,'27.07 Lubiri-Ndeeba-24h'!G26,'28.07 Lubiri-Ndeeba'!G26)</f>
        <v>0.42857142857142855</v>
      </c>
      <c r="H26" s="49">
        <f>AVERAGE('22.07 Lubiri -Ndeeba'!H26,'23.07 Lubiri-Ndeeba'!H26,'24.07 Lubiri-Ndeeba'!H26,'25.07 Lubiri-Ndeeba'!H26,'26.07 Lubiri-Ndeeba-24h'!H26,'27.07 Lubiri-Ndeeba-24h'!H26,'28.07 Lubiri-Ndeeba'!H26)</f>
        <v>0.2857142857142857</v>
      </c>
      <c r="I26" s="49">
        <f>AVERAGE('22.07 Lubiri -Ndeeba'!I26,'23.07 Lubiri-Ndeeba'!I26,'24.07 Lubiri-Ndeeba'!I26,'25.07 Lubiri-Ndeeba'!I26,'26.07 Lubiri-Ndeeba-24h'!I26,'27.07 Lubiri-Ndeeba-24h'!I26,'28.07 Lubiri-Ndeeba'!I26)</f>
        <v>7.8571428571428568</v>
      </c>
      <c r="J26" s="49">
        <f>AVERAGE('22.07 Lubiri -Ndeeba'!J26,'23.07 Lubiri-Ndeeba'!J26,'24.07 Lubiri-Ndeeba'!J26,'25.07 Lubiri-Ndeeba'!J26,'26.07 Lubiri-Ndeeba-24h'!J26,'27.07 Lubiri-Ndeeba-24h'!J26,'28.07 Lubiri-Ndeeba'!J26)</f>
        <v>4.5714285714285712</v>
      </c>
      <c r="K26" s="49">
        <f>AVERAGE('22.07 Lubiri -Ndeeba'!K26,'23.07 Lubiri-Ndeeba'!K26,'24.07 Lubiri-Ndeeba'!K26,'25.07 Lubiri-Ndeeba'!K26,'26.07 Lubiri-Ndeeba-24h'!K26,'27.07 Lubiri-Ndeeba-24h'!K26,'28.07 Lubiri-Ndeeba'!K26)</f>
        <v>0.2857142857142857</v>
      </c>
      <c r="L26" s="49">
        <f>AVERAGE('22.07 Lubiri -Ndeeba'!L26,'23.07 Lubiri-Ndeeba'!L26,'24.07 Lubiri-Ndeeba'!L26,'25.07 Lubiri-Ndeeba'!L26,'26.07 Lubiri-Ndeeba-24h'!L26,'27.07 Lubiri-Ndeeba-24h'!L26,'28.07 Lubiri-Ndeeba'!L26)</f>
        <v>0.8571428571428571</v>
      </c>
      <c r="M26" s="49">
        <f>AVERAGE('22.07 Lubiri -Ndeeba'!M26,'23.07 Lubiri-Ndeeba'!M26,'24.07 Lubiri-Ndeeba'!M26,'25.07 Lubiri-Ndeeba'!M26,'26.07 Lubiri-Ndeeba-24h'!M26,'27.07 Lubiri-Ndeeba-24h'!M26,'28.07 Lubiri-Ndeeba'!M26)</f>
        <v>242.85714285714286</v>
      </c>
      <c r="N26" s="49">
        <f>AVERAGE('22.07 Lubiri -Ndeeba'!N26,'23.07 Lubiri-Ndeeba'!N26,'24.07 Lubiri-Ndeeba'!N26,'25.07 Lubiri-Ndeeba'!N26,'26.07 Lubiri-Ndeeba-24h'!N26,'27.07 Lubiri-Ndeeba-24h'!N26,'28.07 Lubiri-Ndeeba'!N26)</f>
        <v>0.14285714285714285</v>
      </c>
      <c r="O26" s="15">
        <f t="shared" si="0"/>
        <v>80.142857142857153</v>
      </c>
      <c r="P26" s="15">
        <f t="shared" si="1"/>
        <v>323.00000000000006</v>
      </c>
      <c r="R26" s="1" t="s">
        <v>150</v>
      </c>
      <c r="S26" s="34">
        <f>SUM(C74:C77)</f>
        <v>90.5</v>
      </c>
      <c r="T26" s="34">
        <f t="shared" ref="T26:AF26" si="18">SUM(D74:D77)</f>
        <v>8.5</v>
      </c>
      <c r="U26" s="34">
        <f t="shared" si="18"/>
        <v>3.5</v>
      </c>
      <c r="V26" s="34">
        <f t="shared" si="18"/>
        <v>14.5</v>
      </c>
      <c r="W26" s="34">
        <f t="shared" si="18"/>
        <v>3</v>
      </c>
      <c r="X26" s="34">
        <f t="shared" si="18"/>
        <v>1</v>
      </c>
      <c r="Y26" s="34">
        <f t="shared" si="18"/>
        <v>6</v>
      </c>
      <c r="Z26" s="34">
        <f t="shared" si="18"/>
        <v>3.5</v>
      </c>
      <c r="AA26" s="34">
        <f t="shared" si="18"/>
        <v>0</v>
      </c>
      <c r="AB26" s="34">
        <f t="shared" si="18"/>
        <v>0.5</v>
      </c>
      <c r="AC26" s="34">
        <f t="shared" si="18"/>
        <v>137</v>
      </c>
      <c r="AD26" s="34">
        <f t="shared" si="18"/>
        <v>0</v>
      </c>
      <c r="AE26" s="31">
        <f t="shared" si="18"/>
        <v>131</v>
      </c>
      <c r="AF26" s="31">
        <f t="shared" si="18"/>
        <v>268</v>
      </c>
    </row>
    <row r="27" spans="2:32" ht="23.1" customHeight="1" x14ac:dyDescent="0.25">
      <c r="B27" s="23" t="s">
        <v>54</v>
      </c>
      <c r="C27" s="49">
        <f>AVERAGE('22.07 Lubiri -Ndeeba'!C27,'23.07 Lubiri-Ndeeba'!C27,'24.07 Lubiri-Ndeeba'!C27,'25.07 Lubiri-Ndeeba'!C27,'26.07 Lubiri-Ndeeba-24h'!C27,'27.07 Lubiri-Ndeeba-24h'!C27,'28.07 Lubiri-Ndeeba'!C27)</f>
        <v>36.571428571428569</v>
      </c>
      <c r="D27" s="49">
        <f>AVERAGE('22.07 Lubiri -Ndeeba'!D27,'23.07 Lubiri-Ndeeba'!D27,'24.07 Lubiri-Ndeeba'!D27,'25.07 Lubiri-Ndeeba'!D27,'26.07 Lubiri-Ndeeba-24h'!D27,'27.07 Lubiri-Ndeeba-24h'!D27,'28.07 Lubiri-Ndeeba'!D27)</f>
        <v>5</v>
      </c>
      <c r="E27" s="49">
        <f>AVERAGE('22.07 Lubiri -Ndeeba'!E27,'23.07 Lubiri-Ndeeba'!E27,'24.07 Lubiri-Ndeeba'!E27,'25.07 Lubiri-Ndeeba'!E27,'26.07 Lubiri-Ndeeba-24h'!E27,'27.07 Lubiri-Ndeeba-24h'!E27,'28.07 Lubiri-Ndeeba'!E27)</f>
        <v>4.7142857142857144</v>
      </c>
      <c r="F27" s="49">
        <f>AVERAGE('22.07 Lubiri -Ndeeba'!F27,'23.07 Lubiri-Ndeeba'!F27,'24.07 Lubiri-Ndeeba'!F27,'25.07 Lubiri-Ndeeba'!F27,'26.07 Lubiri-Ndeeba-24h'!F27,'27.07 Lubiri-Ndeeba-24h'!F27,'28.07 Lubiri-Ndeeba'!F27)</f>
        <v>16</v>
      </c>
      <c r="G27" s="49">
        <f>AVERAGE('22.07 Lubiri -Ndeeba'!G27,'23.07 Lubiri-Ndeeba'!G27,'24.07 Lubiri-Ndeeba'!G27,'25.07 Lubiri-Ndeeba'!G27,'26.07 Lubiri-Ndeeba-24h'!G27,'27.07 Lubiri-Ndeeba-24h'!G27,'28.07 Lubiri-Ndeeba'!G27)</f>
        <v>0.5714285714285714</v>
      </c>
      <c r="H27" s="49">
        <f>AVERAGE('22.07 Lubiri -Ndeeba'!H27,'23.07 Lubiri-Ndeeba'!H27,'24.07 Lubiri-Ndeeba'!H27,'25.07 Lubiri-Ndeeba'!H27,'26.07 Lubiri-Ndeeba-24h'!H27,'27.07 Lubiri-Ndeeba-24h'!H27,'28.07 Lubiri-Ndeeba'!H27)</f>
        <v>0</v>
      </c>
      <c r="I27" s="49">
        <f>AVERAGE('22.07 Lubiri -Ndeeba'!I27,'23.07 Lubiri-Ndeeba'!I27,'24.07 Lubiri-Ndeeba'!I27,'25.07 Lubiri-Ndeeba'!I27,'26.07 Lubiri-Ndeeba-24h'!I27,'27.07 Lubiri-Ndeeba-24h'!I27,'28.07 Lubiri-Ndeeba'!I27)</f>
        <v>7.2857142857142856</v>
      </c>
      <c r="J27" s="49">
        <f>AVERAGE('22.07 Lubiri -Ndeeba'!J27,'23.07 Lubiri-Ndeeba'!J27,'24.07 Lubiri-Ndeeba'!J27,'25.07 Lubiri-Ndeeba'!J27,'26.07 Lubiri-Ndeeba-24h'!J27,'27.07 Lubiri-Ndeeba-24h'!J27,'28.07 Lubiri-Ndeeba'!J27)</f>
        <v>6.1428571428571432</v>
      </c>
      <c r="K27" s="49">
        <f>AVERAGE('22.07 Lubiri -Ndeeba'!K27,'23.07 Lubiri-Ndeeba'!K27,'24.07 Lubiri-Ndeeba'!K27,'25.07 Lubiri-Ndeeba'!K27,'26.07 Lubiri-Ndeeba-24h'!K27,'27.07 Lubiri-Ndeeba-24h'!K27,'28.07 Lubiri-Ndeeba'!K27)</f>
        <v>0.42857142857142855</v>
      </c>
      <c r="L27" s="49">
        <f>AVERAGE('22.07 Lubiri -Ndeeba'!L27,'23.07 Lubiri-Ndeeba'!L27,'24.07 Lubiri-Ndeeba'!L27,'25.07 Lubiri-Ndeeba'!L27,'26.07 Lubiri-Ndeeba-24h'!L27,'27.07 Lubiri-Ndeeba-24h'!L27,'28.07 Lubiri-Ndeeba'!L27)</f>
        <v>0.2857142857142857</v>
      </c>
      <c r="M27" s="49">
        <f>AVERAGE('22.07 Lubiri -Ndeeba'!M27,'23.07 Lubiri-Ndeeba'!M27,'24.07 Lubiri-Ndeeba'!M27,'25.07 Lubiri-Ndeeba'!M27,'26.07 Lubiri-Ndeeba-24h'!M27,'27.07 Lubiri-Ndeeba-24h'!M27,'28.07 Lubiri-Ndeeba'!M27)</f>
        <v>261.14285714285717</v>
      </c>
      <c r="N27" s="49">
        <f>AVERAGE('22.07 Lubiri -Ndeeba'!N27,'23.07 Lubiri-Ndeeba'!N27,'24.07 Lubiri-Ndeeba'!N27,'25.07 Lubiri-Ndeeba'!N27,'26.07 Lubiri-Ndeeba-24h'!N27,'27.07 Lubiri-Ndeeba-24h'!N27,'28.07 Lubiri-Ndeeba'!N27)</f>
        <v>0.2857142857142857</v>
      </c>
      <c r="O27" s="15">
        <f t="shared" si="0"/>
        <v>77.285714285714292</v>
      </c>
      <c r="P27" s="15">
        <f t="shared" si="1"/>
        <v>338.42857142857144</v>
      </c>
      <c r="R27" s="1" t="s">
        <v>151</v>
      </c>
      <c r="S27" s="34">
        <f>SUM(C78:C81)</f>
        <v>45</v>
      </c>
      <c r="T27" s="34">
        <f t="shared" ref="T27:AF27" si="19">SUM(D78:D81)</f>
        <v>1.5</v>
      </c>
      <c r="U27" s="34">
        <f t="shared" si="19"/>
        <v>1.5</v>
      </c>
      <c r="V27" s="34">
        <f t="shared" si="19"/>
        <v>5.5</v>
      </c>
      <c r="W27" s="34">
        <f t="shared" si="19"/>
        <v>4</v>
      </c>
      <c r="X27" s="34">
        <f t="shared" si="19"/>
        <v>0</v>
      </c>
      <c r="Y27" s="34">
        <f t="shared" si="19"/>
        <v>3.5</v>
      </c>
      <c r="Z27" s="34">
        <f t="shared" si="19"/>
        <v>2.5</v>
      </c>
      <c r="AA27" s="34">
        <f t="shared" si="19"/>
        <v>0</v>
      </c>
      <c r="AB27" s="34">
        <f t="shared" si="19"/>
        <v>0</v>
      </c>
      <c r="AC27" s="34">
        <f t="shared" si="19"/>
        <v>72</v>
      </c>
      <c r="AD27" s="34">
        <f t="shared" si="19"/>
        <v>0</v>
      </c>
      <c r="AE27" s="31">
        <f t="shared" si="19"/>
        <v>63.5</v>
      </c>
      <c r="AF27" s="31">
        <f t="shared" si="19"/>
        <v>135.5</v>
      </c>
    </row>
    <row r="28" spans="2:32" ht="23.1" customHeight="1" x14ac:dyDescent="0.25">
      <c r="B28" s="23" t="s">
        <v>55</v>
      </c>
      <c r="C28" s="49">
        <f>AVERAGE('22.07 Lubiri -Ndeeba'!C28,'23.07 Lubiri-Ndeeba'!C28,'24.07 Lubiri-Ndeeba'!C28,'25.07 Lubiri-Ndeeba'!C28,'26.07 Lubiri-Ndeeba-24h'!C28,'27.07 Lubiri-Ndeeba-24h'!C28,'28.07 Lubiri-Ndeeba'!C28)</f>
        <v>41.571428571428569</v>
      </c>
      <c r="D28" s="49">
        <f>AVERAGE('22.07 Lubiri -Ndeeba'!D28,'23.07 Lubiri-Ndeeba'!D28,'24.07 Lubiri-Ndeeba'!D28,'25.07 Lubiri-Ndeeba'!D28,'26.07 Lubiri-Ndeeba-24h'!D28,'27.07 Lubiri-Ndeeba-24h'!D28,'28.07 Lubiri-Ndeeba'!D28)</f>
        <v>6.5714285714285712</v>
      </c>
      <c r="E28" s="49">
        <f>AVERAGE('22.07 Lubiri -Ndeeba'!E28,'23.07 Lubiri-Ndeeba'!E28,'24.07 Lubiri-Ndeeba'!E28,'25.07 Lubiri-Ndeeba'!E28,'26.07 Lubiri-Ndeeba-24h'!E28,'27.07 Lubiri-Ndeeba-24h'!E28,'28.07 Lubiri-Ndeeba'!E28)</f>
        <v>3.8571428571428572</v>
      </c>
      <c r="F28" s="49">
        <f>AVERAGE('22.07 Lubiri -Ndeeba'!F28,'23.07 Lubiri-Ndeeba'!F28,'24.07 Lubiri-Ndeeba'!F28,'25.07 Lubiri-Ndeeba'!F28,'26.07 Lubiri-Ndeeba-24h'!F28,'27.07 Lubiri-Ndeeba-24h'!F28,'28.07 Lubiri-Ndeeba'!F28)</f>
        <v>11.857142857142858</v>
      </c>
      <c r="G28" s="49">
        <f>AVERAGE('22.07 Lubiri -Ndeeba'!G28,'23.07 Lubiri-Ndeeba'!G28,'24.07 Lubiri-Ndeeba'!G28,'25.07 Lubiri-Ndeeba'!G28,'26.07 Lubiri-Ndeeba-24h'!G28,'27.07 Lubiri-Ndeeba-24h'!G28,'28.07 Lubiri-Ndeeba'!G28)</f>
        <v>0</v>
      </c>
      <c r="H28" s="49">
        <f>AVERAGE('22.07 Lubiri -Ndeeba'!H28,'23.07 Lubiri-Ndeeba'!H28,'24.07 Lubiri-Ndeeba'!H28,'25.07 Lubiri-Ndeeba'!H28,'26.07 Lubiri-Ndeeba-24h'!H28,'27.07 Lubiri-Ndeeba-24h'!H28,'28.07 Lubiri-Ndeeba'!H28)</f>
        <v>0</v>
      </c>
      <c r="I28" s="49">
        <f>AVERAGE('22.07 Lubiri -Ndeeba'!I28,'23.07 Lubiri-Ndeeba'!I28,'24.07 Lubiri-Ndeeba'!I28,'25.07 Lubiri-Ndeeba'!I28,'26.07 Lubiri-Ndeeba-24h'!I28,'27.07 Lubiri-Ndeeba-24h'!I28,'28.07 Lubiri-Ndeeba'!I28)</f>
        <v>6.8571428571428568</v>
      </c>
      <c r="J28" s="49">
        <f>AVERAGE('22.07 Lubiri -Ndeeba'!J28,'23.07 Lubiri-Ndeeba'!J28,'24.07 Lubiri-Ndeeba'!J28,'25.07 Lubiri-Ndeeba'!J28,'26.07 Lubiri-Ndeeba-24h'!J28,'27.07 Lubiri-Ndeeba-24h'!J28,'28.07 Lubiri-Ndeeba'!J28)</f>
        <v>4.7142857142857144</v>
      </c>
      <c r="K28" s="49">
        <f>AVERAGE('22.07 Lubiri -Ndeeba'!K28,'23.07 Lubiri-Ndeeba'!K28,'24.07 Lubiri-Ndeeba'!K28,'25.07 Lubiri-Ndeeba'!K28,'26.07 Lubiri-Ndeeba-24h'!K28,'27.07 Lubiri-Ndeeba-24h'!K28,'28.07 Lubiri-Ndeeba'!K28)</f>
        <v>0.5714285714285714</v>
      </c>
      <c r="L28" s="49">
        <f>AVERAGE('22.07 Lubiri -Ndeeba'!L28,'23.07 Lubiri-Ndeeba'!L28,'24.07 Lubiri-Ndeeba'!L28,'25.07 Lubiri-Ndeeba'!L28,'26.07 Lubiri-Ndeeba-24h'!L28,'27.07 Lubiri-Ndeeba-24h'!L28,'28.07 Lubiri-Ndeeba'!L28)</f>
        <v>0.14285714285714285</v>
      </c>
      <c r="M28" s="49">
        <f>AVERAGE('22.07 Lubiri -Ndeeba'!M28,'23.07 Lubiri-Ndeeba'!M28,'24.07 Lubiri-Ndeeba'!M28,'25.07 Lubiri-Ndeeba'!M28,'26.07 Lubiri-Ndeeba-24h'!M28,'27.07 Lubiri-Ndeeba-24h'!M28,'28.07 Lubiri-Ndeeba'!M28)</f>
        <v>237.28571428571428</v>
      </c>
      <c r="N28" s="49">
        <f>AVERAGE('22.07 Lubiri -Ndeeba'!N28,'23.07 Lubiri-Ndeeba'!N28,'24.07 Lubiri-Ndeeba'!N28,'25.07 Lubiri-Ndeeba'!N28,'26.07 Lubiri-Ndeeba-24h'!N28,'27.07 Lubiri-Ndeeba-24h'!N28,'28.07 Lubiri-Ndeeba'!N28)</f>
        <v>0</v>
      </c>
      <c r="O28" s="15">
        <f t="shared" si="0"/>
        <v>76.142857142857125</v>
      </c>
      <c r="P28" s="15">
        <f t="shared" si="1"/>
        <v>313.42857142857139</v>
      </c>
      <c r="R28" s="1" t="s">
        <v>152</v>
      </c>
      <c r="S28" s="34">
        <f>SUM(C82:C85)</f>
        <v>15.5</v>
      </c>
      <c r="T28" s="34">
        <f t="shared" ref="T28:AD28" si="20">SUM(D82:D85)</f>
        <v>2.5</v>
      </c>
      <c r="U28" s="34">
        <f t="shared" si="20"/>
        <v>0.5</v>
      </c>
      <c r="V28" s="34">
        <f t="shared" si="20"/>
        <v>1.5</v>
      </c>
      <c r="W28" s="34">
        <f t="shared" si="20"/>
        <v>0</v>
      </c>
      <c r="X28" s="34">
        <f t="shared" si="20"/>
        <v>0</v>
      </c>
      <c r="Y28" s="34">
        <f t="shared" si="20"/>
        <v>1.5</v>
      </c>
      <c r="Z28" s="34">
        <f t="shared" si="20"/>
        <v>2</v>
      </c>
      <c r="AA28" s="34">
        <f t="shared" si="20"/>
        <v>0</v>
      </c>
      <c r="AB28" s="34">
        <f t="shared" si="20"/>
        <v>0</v>
      </c>
      <c r="AC28" s="34">
        <f t="shared" si="20"/>
        <v>33</v>
      </c>
      <c r="AD28" s="34">
        <f t="shared" si="20"/>
        <v>0</v>
      </c>
      <c r="AE28" s="31">
        <f>SUM(O82:O85)</f>
        <v>23.5</v>
      </c>
      <c r="AF28" s="31">
        <f t="shared" ref="AF28" si="21">SUM(P82:P85)</f>
        <v>56.5</v>
      </c>
    </row>
    <row r="29" spans="2:32" ht="23.1" customHeight="1" x14ac:dyDescent="0.25">
      <c r="B29" s="23" t="s">
        <v>56</v>
      </c>
      <c r="C29" s="49">
        <f>AVERAGE('22.07 Lubiri -Ndeeba'!C29,'23.07 Lubiri-Ndeeba'!C29,'24.07 Lubiri-Ndeeba'!C29,'25.07 Lubiri-Ndeeba'!C29,'26.07 Lubiri-Ndeeba-24h'!C29,'27.07 Lubiri-Ndeeba-24h'!C29,'28.07 Lubiri-Ndeeba'!C29)</f>
        <v>46.857142857142854</v>
      </c>
      <c r="D29" s="49">
        <f>AVERAGE('22.07 Lubiri -Ndeeba'!D29,'23.07 Lubiri-Ndeeba'!D29,'24.07 Lubiri-Ndeeba'!D29,'25.07 Lubiri-Ndeeba'!D29,'26.07 Lubiri-Ndeeba-24h'!D29,'27.07 Lubiri-Ndeeba-24h'!D29,'28.07 Lubiri-Ndeeba'!D29)</f>
        <v>6.4285714285714288</v>
      </c>
      <c r="E29" s="49">
        <f>AVERAGE('22.07 Lubiri -Ndeeba'!E29,'23.07 Lubiri-Ndeeba'!E29,'24.07 Lubiri-Ndeeba'!E29,'25.07 Lubiri-Ndeeba'!E29,'26.07 Lubiri-Ndeeba-24h'!E29,'27.07 Lubiri-Ndeeba-24h'!E29,'28.07 Lubiri-Ndeeba'!E29)</f>
        <v>4</v>
      </c>
      <c r="F29" s="49">
        <f>AVERAGE('22.07 Lubiri -Ndeeba'!F29,'23.07 Lubiri-Ndeeba'!F29,'24.07 Lubiri-Ndeeba'!F29,'25.07 Lubiri-Ndeeba'!F29,'26.07 Lubiri-Ndeeba-24h'!F29,'27.07 Lubiri-Ndeeba-24h'!F29,'28.07 Lubiri-Ndeeba'!F29)</f>
        <v>15</v>
      </c>
      <c r="G29" s="49">
        <f>AVERAGE('22.07 Lubiri -Ndeeba'!G29,'23.07 Lubiri-Ndeeba'!G29,'24.07 Lubiri-Ndeeba'!G29,'25.07 Lubiri-Ndeeba'!G29,'26.07 Lubiri-Ndeeba-24h'!G29,'27.07 Lubiri-Ndeeba-24h'!G29,'28.07 Lubiri-Ndeeba'!G29)</f>
        <v>0.14285714285714285</v>
      </c>
      <c r="H29" s="49">
        <f>AVERAGE('22.07 Lubiri -Ndeeba'!H29,'23.07 Lubiri-Ndeeba'!H29,'24.07 Lubiri-Ndeeba'!H29,'25.07 Lubiri-Ndeeba'!H29,'26.07 Lubiri-Ndeeba-24h'!H29,'27.07 Lubiri-Ndeeba-24h'!H29,'28.07 Lubiri-Ndeeba'!H29)</f>
        <v>0</v>
      </c>
      <c r="I29" s="49">
        <f>AVERAGE('22.07 Lubiri -Ndeeba'!I29,'23.07 Lubiri-Ndeeba'!I29,'24.07 Lubiri-Ndeeba'!I29,'25.07 Lubiri-Ndeeba'!I29,'26.07 Lubiri-Ndeeba-24h'!I29,'27.07 Lubiri-Ndeeba-24h'!I29,'28.07 Lubiri-Ndeeba'!I29)</f>
        <v>11.714285714285714</v>
      </c>
      <c r="J29" s="49">
        <f>AVERAGE('22.07 Lubiri -Ndeeba'!J29,'23.07 Lubiri-Ndeeba'!J29,'24.07 Lubiri-Ndeeba'!J29,'25.07 Lubiri-Ndeeba'!J29,'26.07 Lubiri-Ndeeba-24h'!J29,'27.07 Lubiri-Ndeeba-24h'!J29,'28.07 Lubiri-Ndeeba'!J29)</f>
        <v>4.2857142857142856</v>
      </c>
      <c r="K29" s="49">
        <f>AVERAGE('22.07 Lubiri -Ndeeba'!K29,'23.07 Lubiri-Ndeeba'!K29,'24.07 Lubiri-Ndeeba'!K29,'25.07 Lubiri-Ndeeba'!K29,'26.07 Lubiri-Ndeeba-24h'!K29,'27.07 Lubiri-Ndeeba-24h'!K29,'28.07 Lubiri-Ndeeba'!K29)</f>
        <v>0.14285714285714285</v>
      </c>
      <c r="L29" s="49">
        <f>AVERAGE('22.07 Lubiri -Ndeeba'!L29,'23.07 Lubiri-Ndeeba'!L29,'24.07 Lubiri-Ndeeba'!L29,'25.07 Lubiri-Ndeeba'!L29,'26.07 Lubiri-Ndeeba-24h'!L29,'27.07 Lubiri-Ndeeba-24h'!L29,'28.07 Lubiri-Ndeeba'!L29)</f>
        <v>1.1428571428571428</v>
      </c>
      <c r="M29" s="49">
        <f>AVERAGE('22.07 Lubiri -Ndeeba'!M29,'23.07 Lubiri-Ndeeba'!M29,'24.07 Lubiri-Ndeeba'!M29,'25.07 Lubiri-Ndeeba'!M29,'26.07 Lubiri-Ndeeba-24h'!M29,'27.07 Lubiri-Ndeeba-24h'!M29,'28.07 Lubiri-Ndeeba'!M29)</f>
        <v>238.28571428571428</v>
      </c>
      <c r="N29" s="49">
        <f>AVERAGE('22.07 Lubiri -Ndeeba'!N29,'23.07 Lubiri-Ndeeba'!N29,'24.07 Lubiri-Ndeeba'!N29,'25.07 Lubiri-Ndeeba'!N29,'26.07 Lubiri-Ndeeba-24h'!N29,'27.07 Lubiri-Ndeeba-24h'!N29,'28.07 Lubiri-Ndeeba'!N29)</f>
        <v>0.14285714285714285</v>
      </c>
      <c r="O29" s="15">
        <f t="shared" si="0"/>
        <v>89.857142857142833</v>
      </c>
      <c r="P29" s="15">
        <f t="shared" si="1"/>
        <v>328.14285714285717</v>
      </c>
      <c r="R29" s="1" t="s">
        <v>153</v>
      </c>
      <c r="S29" s="34">
        <f>SUM(C86:C89)</f>
        <v>13</v>
      </c>
      <c r="T29" s="34">
        <f t="shared" ref="T29:AF29" si="22">SUM(D86:D89)</f>
        <v>2</v>
      </c>
      <c r="U29" s="34">
        <f t="shared" si="22"/>
        <v>0.5</v>
      </c>
      <c r="V29" s="34">
        <f t="shared" si="22"/>
        <v>0</v>
      </c>
      <c r="W29" s="34">
        <f t="shared" si="22"/>
        <v>0</v>
      </c>
      <c r="X29" s="34">
        <f t="shared" si="22"/>
        <v>0</v>
      </c>
      <c r="Y29" s="34">
        <f t="shared" si="22"/>
        <v>1</v>
      </c>
      <c r="Z29" s="34">
        <f t="shared" si="22"/>
        <v>1</v>
      </c>
      <c r="AA29" s="34">
        <f t="shared" si="22"/>
        <v>0</v>
      </c>
      <c r="AB29" s="34">
        <f t="shared" si="22"/>
        <v>0</v>
      </c>
      <c r="AC29" s="34">
        <f t="shared" si="22"/>
        <v>17</v>
      </c>
      <c r="AD29" s="34">
        <f t="shared" si="22"/>
        <v>0</v>
      </c>
      <c r="AE29" s="31">
        <f t="shared" si="22"/>
        <v>17.5</v>
      </c>
      <c r="AF29" s="31">
        <f t="shared" si="22"/>
        <v>34.5</v>
      </c>
    </row>
    <row r="30" spans="2:32" ht="23.1" customHeight="1" x14ac:dyDescent="0.25">
      <c r="B30" s="23" t="s">
        <v>57</v>
      </c>
      <c r="C30" s="49">
        <f>AVERAGE('22.07 Lubiri -Ndeeba'!C30,'23.07 Lubiri-Ndeeba'!C30,'24.07 Lubiri-Ndeeba'!C30,'25.07 Lubiri-Ndeeba'!C30,'26.07 Lubiri-Ndeeba-24h'!C30,'27.07 Lubiri-Ndeeba-24h'!C30,'28.07 Lubiri-Ndeeba'!C30)</f>
        <v>38.714285714285715</v>
      </c>
      <c r="D30" s="49">
        <f>AVERAGE('22.07 Lubiri -Ndeeba'!D30,'23.07 Lubiri-Ndeeba'!D30,'24.07 Lubiri-Ndeeba'!D30,'25.07 Lubiri-Ndeeba'!D30,'26.07 Lubiri-Ndeeba-24h'!D30,'27.07 Lubiri-Ndeeba-24h'!D30,'28.07 Lubiri-Ndeeba'!D30)</f>
        <v>9.1428571428571423</v>
      </c>
      <c r="E30" s="49">
        <f>AVERAGE('22.07 Lubiri -Ndeeba'!E30,'23.07 Lubiri-Ndeeba'!E30,'24.07 Lubiri-Ndeeba'!E30,'25.07 Lubiri-Ndeeba'!E30,'26.07 Lubiri-Ndeeba-24h'!E30,'27.07 Lubiri-Ndeeba-24h'!E30,'28.07 Lubiri-Ndeeba'!E30)</f>
        <v>5.7142857142857144</v>
      </c>
      <c r="F30" s="49">
        <f>AVERAGE('22.07 Lubiri -Ndeeba'!F30,'23.07 Lubiri-Ndeeba'!F30,'24.07 Lubiri-Ndeeba'!F30,'25.07 Lubiri-Ndeeba'!F30,'26.07 Lubiri-Ndeeba-24h'!F30,'27.07 Lubiri-Ndeeba-24h'!F30,'28.07 Lubiri-Ndeeba'!F30)</f>
        <v>17</v>
      </c>
      <c r="G30" s="49">
        <f>AVERAGE('22.07 Lubiri -Ndeeba'!G30,'23.07 Lubiri-Ndeeba'!G30,'24.07 Lubiri-Ndeeba'!G30,'25.07 Lubiri-Ndeeba'!G30,'26.07 Lubiri-Ndeeba-24h'!G30,'27.07 Lubiri-Ndeeba-24h'!G30,'28.07 Lubiri-Ndeeba'!G30)</f>
        <v>0.5714285714285714</v>
      </c>
      <c r="H30" s="49">
        <f>AVERAGE('22.07 Lubiri -Ndeeba'!H30,'23.07 Lubiri-Ndeeba'!H30,'24.07 Lubiri-Ndeeba'!H30,'25.07 Lubiri-Ndeeba'!H30,'26.07 Lubiri-Ndeeba-24h'!H30,'27.07 Lubiri-Ndeeba-24h'!H30,'28.07 Lubiri-Ndeeba'!H30)</f>
        <v>0.14285714285714285</v>
      </c>
      <c r="I30" s="49">
        <f>AVERAGE('22.07 Lubiri -Ndeeba'!I30,'23.07 Lubiri-Ndeeba'!I30,'24.07 Lubiri-Ndeeba'!I30,'25.07 Lubiri-Ndeeba'!I30,'26.07 Lubiri-Ndeeba-24h'!I30,'27.07 Lubiri-Ndeeba-24h'!I30,'28.07 Lubiri-Ndeeba'!I30)</f>
        <v>7.2857142857142856</v>
      </c>
      <c r="J30" s="49">
        <f>AVERAGE('22.07 Lubiri -Ndeeba'!J30,'23.07 Lubiri-Ndeeba'!J30,'24.07 Lubiri-Ndeeba'!J30,'25.07 Lubiri-Ndeeba'!J30,'26.07 Lubiri-Ndeeba-24h'!J30,'27.07 Lubiri-Ndeeba-24h'!J30,'28.07 Lubiri-Ndeeba'!J30)</f>
        <v>4.2857142857142856</v>
      </c>
      <c r="K30" s="49">
        <f>AVERAGE('22.07 Lubiri -Ndeeba'!K30,'23.07 Lubiri-Ndeeba'!K30,'24.07 Lubiri-Ndeeba'!K30,'25.07 Lubiri-Ndeeba'!K30,'26.07 Lubiri-Ndeeba-24h'!K30,'27.07 Lubiri-Ndeeba-24h'!K30,'28.07 Lubiri-Ndeeba'!K30)</f>
        <v>0.8571428571428571</v>
      </c>
      <c r="L30" s="49">
        <f>AVERAGE('22.07 Lubiri -Ndeeba'!L30,'23.07 Lubiri-Ndeeba'!L30,'24.07 Lubiri-Ndeeba'!L30,'25.07 Lubiri-Ndeeba'!L30,'26.07 Lubiri-Ndeeba-24h'!L30,'27.07 Lubiri-Ndeeba-24h'!L30,'28.07 Lubiri-Ndeeba'!L30)</f>
        <v>0.14285714285714285</v>
      </c>
      <c r="M30" s="49">
        <f>AVERAGE('22.07 Lubiri -Ndeeba'!M30,'23.07 Lubiri-Ndeeba'!M30,'24.07 Lubiri-Ndeeba'!M30,'25.07 Lubiri-Ndeeba'!M30,'26.07 Lubiri-Ndeeba-24h'!M30,'27.07 Lubiri-Ndeeba-24h'!M30,'28.07 Lubiri-Ndeeba'!M30)</f>
        <v>238</v>
      </c>
      <c r="N30" s="49">
        <f>AVERAGE('22.07 Lubiri -Ndeeba'!N30,'23.07 Lubiri-Ndeeba'!N30,'24.07 Lubiri-Ndeeba'!N30,'25.07 Lubiri-Ndeeba'!N30,'26.07 Lubiri-Ndeeba-24h'!N30,'27.07 Lubiri-Ndeeba-24h'!N30,'28.07 Lubiri-Ndeeba'!N30)</f>
        <v>0</v>
      </c>
      <c r="O30" s="15">
        <f t="shared" si="0"/>
        <v>83.857142857142875</v>
      </c>
      <c r="P30" s="15">
        <f t="shared" si="1"/>
        <v>321.85714285714289</v>
      </c>
      <c r="R30" s="1" t="s">
        <v>154</v>
      </c>
      <c r="S30" s="34">
        <f>SUM(C90:C93)</f>
        <v>10</v>
      </c>
      <c r="T30" s="34">
        <f t="shared" ref="T30:AF30" si="23">SUM(D90:D93)</f>
        <v>0.5</v>
      </c>
      <c r="U30" s="34">
        <f t="shared" si="23"/>
        <v>0</v>
      </c>
      <c r="V30" s="34">
        <f t="shared" si="23"/>
        <v>0</v>
      </c>
      <c r="W30" s="34">
        <f t="shared" si="23"/>
        <v>0</v>
      </c>
      <c r="X30" s="34">
        <f t="shared" si="23"/>
        <v>0</v>
      </c>
      <c r="Y30" s="34">
        <f t="shared" si="23"/>
        <v>1</v>
      </c>
      <c r="Z30" s="34">
        <f t="shared" si="23"/>
        <v>0.5</v>
      </c>
      <c r="AA30" s="34">
        <f t="shared" si="23"/>
        <v>0.5</v>
      </c>
      <c r="AB30" s="34">
        <f t="shared" si="23"/>
        <v>0.5</v>
      </c>
      <c r="AC30" s="34">
        <f t="shared" si="23"/>
        <v>15.5</v>
      </c>
      <c r="AD30" s="34">
        <f t="shared" si="23"/>
        <v>0</v>
      </c>
      <c r="AE30" s="31">
        <f t="shared" si="23"/>
        <v>13</v>
      </c>
      <c r="AF30" s="31">
        <f t="shared" si="23"/>
        <v>28.5</v>
      </c>
    </row>
    <row r="31" spans="2:32" ht="23.1" customHeight="1" x14ac:dyDescent="0.25">
      <c r="B31" s="24" t="s">
        <v>58</v>
      </c>
      <c r="C31" s="49">
        <f>AVERAGE('22.07 Lubiri -Ndeeba'!C31,'23.07 Lubiri-Ndeeba'!C31,'24.07 Lubiri-Ndeeba'!C31,'25.07 Lubiri-Ndeeba'!C31,'26.07 Lubiri-Ndeeba-24h'!C31,'27.07 Lubiri-Ndeeba-24h'!C31,'28.07 Lubiri-Ndeeba'!C31)</f>
        <v>40.285714285714285</v>
      </c>
      <c r="D31" s="49">
        <f>AVERAGE('22.07 Lubiri -Ndeeba'!D31,'23.07 Lubiri-Ndeeba'!D31,'24.07 Lubiri-Ndeeba'!D31,'25.07 Lubiri-Ndeeba'!D31,'26.07 Lubiri-Ndeeba-24h'!D31,'27.07 Lubiri-Ndeeba-24h'!D31,'28.07 Lubiri-Ndeeba'!D31)</f>
        <v>9.1428571428571423</v>
      </c>
      <c r="E31" s="49">
        <f>AVERAGE('22.07 Lubiri -Ndeeba'!E31,'23.07 Lubiri-Ndeeba'!E31,'24.07 Lubiri-Ndeeba'!E31,'25.07 Lubiri-Ndeeba'!E31,'26.07 Lubiri-Ndeeba-24h'!E31,'27.07 Lubiri-Ndeeba-24h'!E31,'28.07 Lubiri-Ndeeba'!E31)</f>
        <v>5.2857142857142856</v>
      </c>
      <c r="F31" s="49">
        <f>AVERAGE('22.07 Lubiri -Ndeeba'!F31,'23.07 Lubiri-Ndeeba'!F31,'24.07 Lubiri-Ndeeba'!F31,'25.07 Lubiri-Ndeeba'!F31,'26.07 Lubiri-Ndeeba-24h'!F31,'27.07 Lubiri-Ndeeba-24h'!F31,'28.07 Lubiri-Ndeeba'!F31)</f>
        <v>11.714285714285714</v>
      </c>
      <c r="G31" s="49">
        <f>AVERAGE('22.07 Lubiri -Ndeeba'!G31,'23.07 Lubiri-Ndeeba'!G31,'24.07 Lubiri-Ndeeba'!G31,'25.07 Lubiri-Ndeeba'!G31,'26.07 Lubiri-Ndeeba-24h'!G31,'27.07 Lubiri-Ndeeba-24h'!G31,'28.07 Lubiri-Ndeeba'!G31)</f>
        <v>0.2857142857142857</v>
      </c>
      <c r="H31" s="49">
        <f>AVERAGE('22.07 Lubiri -Ndeeba'!H31,'23.07 Lubiri-Ndeeba'!H31,'24.07 Lubiri-Ndeeba'!H31,'25.07 Lubiri-Ndeeba'!H31,'26.07 Lubiri-Ndeeba-24h'!H31,'27.07 Lubiri-Ndeeba-24h'!H31,'28.07 Lubiri-Ndeeba'!H31)</f>
        <v>0</v>
      </c>
      <c r="I31" s="49">
        <f>AVERAGE('22.07 Lubiri -Ndeeba'!I31,'23.07 Lubiri-Ndeeba'!I31,'24.07 Lubiri-Ndeeba'!I31,'25.07 Lubiri-Ndeeba'!I31,'26.07 Lubiri-Ndeeba-24h'!I31,'27.07 Lubiri-Ndeeba-24h'!I31,'28.07 Lubiri-Ndeeba'!I31)</f>
        <v>6</v>
      </c>
      <c r="J31" s="49">
        <f>AVERAGE('22.07 Lubiri -Ndeeba'!J31,'23.07 Lubiri-Ndeeba'!J31,'24.07 Lubiri-Ndeeba'!J31,'25.07 Lubiri-Ndeeba'!J31,'26.07 Lubiri-Ndeeba-24h'!J31,'27.07 Lubiri-Ndeeba-24h'!J31,'28.07 Lubiri-Ndeeba'!J31)</f>
        <v>5.8571428571428568</v>
      </c>
      <c r="K31" s="49">
        <f>AVERAGE('22.07 Lubiri -Ndeeba'!K31,'23.07 Lubiri-Ndeeba'!K31,'24.07 Lubiri-Ndeeba'!K31,'25.07 Lubiri-Ndeeba'!K31,'26.07 Lubiri-Ndeeba-24h'!K31,'27.07 Lubiri-Ndeeba-24h'!K31,'28.07 Lubiri-Ndeeba'!K31)</f>
        <v>0.5714285714285714</v>
      </c>
      <c r="L31" s="49">
        <f>AVERAGE('22.07 Lubiri -Ndeeba'!L31,'23.07 Lubiri-Ndeeba'!L31,'24.07 Lubiri-Ndeeba'!L31,'25.07 Lubiri-Ndeeba'!L31,'26.07 Lubiri-Ndeeba-24h'!L31,'27.07 Lubiri-Ndeeba-24h'!L31,'28.07 Lubiri-Ndeeba'!L31)</f>
        <v>0.42857142857142855</v>
      </c>
      <c r="M31" s="49">
        <f>AVERAGE('22.07 Lubiri -Ndeeba'!M31,'23.07 Lubiri-Ndeeba'!M31,'24.07 Lubiri-Ndeeba'!M31,'25.07 Lubiri-Ndeeba'!M31,'26.07 Lubiri-Ndeeba-24h'!M31,'27.07 Lubiri-Ndeeba-24h'!M31,'28.07 Lubiri-Ndeeba'!M31)</f>
        <v>279.14285714285717</v>
      </c>
      <c r="N31" s="49">
        <f>AVERAGE('22.07 Lubiri -Ndeeba'!N31,'23.07 Lubiri-Ndeeba'!N31,'24.07 Lubiri-Ndeeba'!N31,'25.07 Lubiri-Ndeeba'!N31,'26.07 Lubiri-Ndeeba-24h'!N31,'27.07 Lubiri-Ndeeba-24h'!N31,'28.07 Lubiri-Ndeeba'!N31)</f>
        <v>0.14285714285714285</v>
      </c>
      <c r="O31" s="15">
        <f t="shared" si="0"/>
        <v>79.714285714285722</v>
      </c>
      <c r="P31" s="15">
        <f t="shared" si="1"/>
        <v>358.85714285714295</v>
      </c>
      <c r="R31" s="1" t="s">
        <v>155</v>
      </c>
      <c r="S31" s="34">
        <f>SUM(C94:C97)</f>
        <v>13.5</v>
      </c>
      <c r="T31" s="34">
        <f t="shared" ref="T31:AF31" si="24">SUM(D94:D97)</f>
        <v>1</v>
      </c>
      <c r="U31" s="34">
        <f t="shared" si="24"/>
        <v>2</v>
      </c>
      <c r="V31" s="34">
        <f t="shared" si="24"/>
        <v>0</v>
      </c>
      <c r="W31" s="34">
        <f t="shared" si="24"/>
        <v>0.5</v>
      </c>
      <c r="X31" s="34">
        <f t="shared" si="24"/>
        <v>0</v>
      </c>
      <c r="Y31" s="34">
        <f t="shared" si="24"/>
        <v>0</v>
      </c>
      <c r="Z31" s="34">
        <f t="shared" si="24"/>
        <v>1.5</v>
      </c>
      <c r="AA31" s="34">
        <f t="shared" si="24"/>
        <v>1</v>
      </c>
      <c r="AB31" s="34">
        <f t="shared" si="24"/>
        <v>0</v>
      </c>
      <c r="AC31" s="34">
        <f t="shared" si="24"/>
        <v>31</v>
      </c>
      <c r="AD31" s="34">
        <f t="shared" si="24"/>
        <v>0</v>
      </c>
      <c r="AE31" s="31">
        <f t="shared" si="24"/>
        <v>19.5</v>
      </c>
      <c r="AF31" s="31">
        <f t="shared" si="24"/>
        <v>50.5</v>
      </c>
    </row>
    <row r="32" spans="2:32" ht="23.1" customHeight="1" x14ac:dyDescent="0.25">
      <c r="B32" s="24" t="s">
        <v>59</v>
      </c>
      <c r="C32" s="49">
        <f>AVERAGE('22.07 Lubiri -Ndeeba'!C32,'23.07 Lubiri-Ndeeba'!C32,'24.07 Lubiri-Ndeeba'!C32,'25.07 Lubiri-Ndeeba'!C32,'26.07 Lubiri-Ndeeba-24h'!C32,'27.07 Lubiri-Ndeeba-24h'!C32,'28.07 Lubiri-Ndeeba'!C32)</f>
        <v>39</v>
      </c>
      <c r="D32" s="49">
        <f>AVERAGE('22.07 Lubiri -Ndeeba'!D32,'23.07 Lubiri-Ndeeba'!D32,'24.07 Lubiri-Ndeeba'!D32,'25.07 Lubiri-Ndeeba'!D32,'26.07 Lubiri-Ndeeba-24h'!D32,'27.07 Lubiri-Ndeeba-24h'!D32,'28.07 Lubiri-Ndeeba'!D32)</f>
        <v>8.5714285714285712</v>
      </c>
      <c r="E32" s="49">
        <f>AVERAGE('22.07 Lubiri -Ndeeba'!E32,'23.07 Lubiri-Ndeeba'!E32,'24.07 Lubiri-Ndeeba'!E32,'25.07 Lubiri-Ndeeba'!E32,'26.07 Lubiri-Ndeeba-24h'!E32,'27.07 Lubiri-Ndeeba-24h'!E32,'28.07 Lubiri-Ndeeba'!E32)</f>
        <v>5.5714285714285712</v>
      </c>
      <c r="F32" s="49">
        <f>AVERAGE('22.07 Lubiri -Ndeeba'!F32,'23.07 Lubiri-Ndeeba'!F32,'24.07 Lubiri-Ndeeba'!F32,'25.07 Lubiri-Ndeeba'!F32,'26.07 Lubiri-Ndeeba-24h'!F32,'27.07 Lubiri-Ndeeba-24h'!F32,'28.07 Lubiri-Ndeeba'!F32)</f>
        <v>19</v>
      </c>
      <c r="G32" s="49">
        <f>AVERAGE('22.07 Lubiri -Ndeeba'!G32,'23.07 Lubiri-Ndeeba'!G32,'24.07 Lubiri-Ndeeba'!G32,'25.07 Lubiri-Ndeeba'!G32,'26.07 Lubiri-Ndeeba-24h'!G32,'27.07 Lubiri-Ndeeba-24h'!G32,'28.07 Lubiri-Ndeeba'!G32)</f>
        <v>1</v>
      </c>
      <c r="H32" s="49">
        <f>AVERAGE('22.07 Lubiri -Ndeeba'!H32,'23.07 Lubiri-Ndeeba'!H32,'24.07 Lubiri-Ndeeba'!H32,'25.07 Lubiri-Ndeeba'!H32,'26.07 Lubiri-Ndeeba-24h'!H32,'27.07 Lubiri-Ndeeba-24h'!H32,'28.07 Lubiri-Ndeeba'!H32)</f>
        <v>0.14285714285714285</v>
      </c>
      <c r="I32" s="49">
        <f>AVERAGE('22.07 Lubiri -Ndeeba'!I32,'23.07 Lubiri-Ndeeba'!I32,'24.07 Lubiri-Ndeeba'!I32,'25.07 Lubiri-Ndeeba'!I32,'26.07 Lubiri-Ndeeba-24h'!I32,'27.07 Lubiri-Ndeeba-24h'!I32,'28.07 Lubiri-Ndeeba'!I32)</f>
        <v>6</v>
      </c>
      <c r="J32" s="49">
        <f>AVERAGE('22.07 Lubiri -Ndeeba'!J32,'23.07 Lubiri-Ndeeba'!J32,'24.07 Lubiri-Ndeeba'!J32,'25.07 Lubiri-Ndeeba'!J32,'26.07 Lubiri-Ndeeba-24h'!J32,'27.07 Lubiri-Ndeeba-24h'!J32,'28.07 Lubiri-Ndeeba'!J32)</f>
        <v>3.8571428571428572</v>
      </c>
      <c r="K32" s="49">
        <f>AVERAGE('22.07 Lubiri -Ndeeba'!K32,'23.07 Lubiri-Ndeeba'!K32,'24.07 Lubiri-Ndeeba'!K32,'25.07 Lubiri-Ndeeba'!K32,'26.07 Lubiri-Ndeeba-24h'!K32,'27.07 Lubiri-Ndeeba-24h'!K32,'28.07 Lubiri-Ndeeba'!K32)</f>
        <v>1</v>
      </c>
      <c r="L32" s="49">
        <f>AVERAGE('22.07 Lubiri -Ndeeba'!L32,'23.07 Lubiri-Ndeeba'!L32,'24.07 Lubiri-Ndeeba'!L32,'25.07 Lubiri-Ndeeba'!L32,'26.07 Lubiri-Ndeeba-24h'!L32,'27.07 Lubiri-Ndeeba-24h'!L32,'28.07 Lubiri-Ndeeba'!L32)</f>
        <v>0.7142857142857143</v>
      </c>
      <c r="M32" s="49">
        <f>AVERAGE('22.07 Lubiri -Ndeeba'!M32,'23.07 Lubiri-Ndeeba'!M32,'24.07 Lubiri-Ndeeba'!M32,'25.07 Lubiri-Ndeeba'!M32,'26.07 Lubiri-Ndeeba-24h'!M32,'27.07 Lubiri-Ndeeba-24h'!M32,'28.07 Lubiri-Ndeeba'!M32)</f>
        <v>264.42857142857144</v>
      </c>
      <c r="N32" s="49">
        <f>AVERAGE('22.07 Lubiri -Ndeeba'!N32,'23.07 Lubiri-Ndeeba'!N32,'24.07 Lubiri-Ndeeba'!N32,'25.07 Lubiri-Ndeeba'!N32,'26.07 Lubiri-Ndeeba-24h'!N32,'27.07 Lubiri-Ndeeba-24h'!N32,'28.07 Lubiri-Ndeeba'!N32)</f>
        <v>0</v>
      </c>
      <c r="O32" s="15">
        <f t="shared" si="0"/>
        <v>84.857142857142847</v>
      </c>
      <c r="P32" s="15">
        <f t="shared" si="1"/>
        <v>349.28571428571428</v>
      </c>
      <c r="R32" s="1" t="s">
        <v>156</v>
      </c>
      <c r="S32" s="34">
        <f>SUM(C98:C101)</f>
        <v>15</v>
      </c>
      <c r="T32" s="34">
        <f t="shared" ref="T32:AD32" si="25">SUM(D98:D101)</f>
        <v>2.5</v>
      </c>
      <c r="U32" s="34">
        <f t="shared" si="25"/>
        <v>0.5</v>
      </c>
      <c r="V32" s="34">
        <f t="shared" si="25"/>
        <v>4</v>
      </c>
      <c r="W32" s="34">
        <f t="shared" si="25"/>
        <v>0</v>
      </c>
      <c r="X32" s="34">
        <f t="shared" si="25"/>
        <v>0</v>
      </c>
      <c r="Y32" s="34">
        <f t="shared" si="25"/>
        <v>2.5</v>
      </c>
      <c r="Z32" s="34">
        <f t="shared" si="25"/>
        <v>2</v>
      </c>
      <c r="AA32" s="34">
        <f t="shared" si="25"/>
        <v>1.5</v>
      </c>
      <c r="AB32" s="34">
        <f t="shared" si="25"/>
        <v>2</v>
      </c>
      <c r="AC32" s="34">
        <f t="shared" si="25"/>
        <v>39</v>
      </c>
      <c r="AD32" s="34">
        <f t="shared" si="25"/>
        <v>0</v>
      </c>
      <c r="AE32" s="31">
        <f>SUM(O98:O101)</f>
        <v>30</v>
      </c>
      <c r="AF32" s="31">
        <f t="shared" ref="AF32" si="26">SUM(P98:P101)</f>
        <v>69</v>
      </c>
    </row>
    <row r="33" spans="2:32" ht="23.1" customHeight="1" x14ac:dyDescent="0.25">
      <c r="B33" s="23" t="s">
        <v>60</v>
      </c>
      <c r="C33" s="49">
        <f>AVERAGE('22.07 Lubiri -Ndeeba'!C33,'23.07 Lubiri-Ndeeba'!C33,'24.07 Lubiri-Ndeeba'!C33,'25.07 Lubiri-Ndeeba'!C33,'26.07 Lubiri-Ndeeba-24h'!C33,'27.07 Lubiri-Ndeeba-24h'!C33,'28.07 Lubiri-Ndeeba'!C33)</f>
        <v>40.285714285714285</v>
      </c>
      <c r="D33" s="49">
        <f>AVERAGE('22.07 Lubiri -Ndeeba'!D33,'23.07 Lubiri-Ndeeba'!D33,'24.07 Lubiri-Ndeeba'!D33,'25.07 Lubiri-Ndeeba'!D33,'26.07 Lubiri-Ndeeba-24h'!D33,'27.07 Lubiri-Ndeeba-24h'!D33,'28.07 Lubiri-Ndeeba'!D33)</f>
        <v>5.7142857142857144</v>
      </c>
      <c r="E33" s="49">
        <f>AVERAGE('22.07 Lubiri -Ndeeba'!E33,'23.07 Lubiri-Ndeeba'!E33,'24.07 Lubiri-Ndeeba'!E33,'25.07 Lubiri-Ndeeba'!E33,'26.07 Lubiri-Ndeeba-24h'!E33,'27.07 Lubiri-Ndeeba-24h'!E33,'28.07 Lubiri-Ndeeba'!E33)</f>
        <v>4.1428571428571432</v>
      </c>
      <c r="F33" s="49">
        <f>AVERAGE('22.07 Lubiri -Ndeeba'!F33,'23.07 Lubiri-Ndeeba'!F33,'24.07 Lubiri-Ndeeba'!F33,'25.07 Lubiri-Ndeeba'!F33,'26.07 Lubiri-Ndeeba-24h'!F33,'27.07 Lubiri-Ndeeba-24h'!F33,'28.07 Lubiri-Ndeeba'!F33)</f>
        <v>12.285714285714286</v>
      </c>
      <c r="G33" s="49">
        <f>AVERAGE('22.07 Lubiri -Ndeeba'!G33,'23.07 Lubiri-Ndeeba'!G33,'24.07 Lubiri-Ndeeba'!G33,'25.07 Lubiri-Ndeeba'!G33,'26.07 Lubiri-Ndeeba-24h'!G33,'27.07 Lubiri-Ndeeba-24h'!G33,'28.07 Lubiri-Ndeeba'!G33)</f>
        <v>0.2857142857142857</v>
      </c>
      <c r="H33" s="49">
        <f>AVERAGE('22.07 Lubiri -Ndeeba'!H33,'23.07 Lubiri-Ndeeba'!H33,'24.07 Lubiri-Ndeeba'!H33,'25.07 Lubiri-Ndeeba'!H33,'26.07 Lubiri-Ndeeba-24h'!H33,'27.07 Lubiri-Ndeeba-24h'!H33,'28.07 Lubiri-Ndeeba'!H33)</f>
        <v>0</v>
      </c>
      <c r="I33" s="49">
        <f>AVERAGE('22.07 Lubiri -Ndeeba'!I33,'23.07 Lubiri-Ndeeba'!I33,'24.07 Lubiri-Ndeeba'!I33,'25.07 Lubiri-Ndeeba'!I33,'26.07 Lubiri-Ndeeba-24h'!I33,'27.07 Lubiri-Ndeeba-24h'!I33,'28.07 Lubiri-Ndeeba'!I33)</f>
        <v>6.7142857142857144</v>
      </c>
      <c r="J33" s="49">
        <f>AVERAGE('22.07 Lubiri -Ndeeba'!J33,'23.07 Lubiri-Ndeeba'!J33,'24.07 Lubiri-Ndeeba'!J33,'25.07 Lubiri-Ndeeba'!J33,'26.07 Lubiri-Ndeeba-24h'!J33,'27.07 Lubiri-Ndeeba-24h'!J33,'28.07 Lubiri-Ndeeba'!J33)</f>
        <v>4</v>
      </c>
      <c r="K33" s="49">
        <f>AVERAGE('22.07 Lubiri -Ndeeba'!K33,'23.07 Lubiri-Ndeeba'!K33,'24.07 Lubiri-Ndeeba'!K33,'25.07 Lubiri-Ndeeba'!K33,'26.07 Lubiri-Ndeeba-24h'!K33,'27.07 Lubiri-Ndeeba-24h'!K33,'28.07 Lubiri-Ndeeba'!K33)</f>
        <v>0.8571428571428571</v>
      </c>
      <c r="L33" s="49">
        <f>AVERAGE('22.07 Lubiri -Ndeeba'!L33,'23.07 Lubiri-Ndeeba'!L33,'24.07 Lubiri-Ndeeba'!L33,'25.07 Lubiri-Ndeeba'!L33,'26.07 Lubiri-Ndeeba-24h'!L33,'27.07 Lubiri-Ndeeba-24h'!L33,'28.07 Lubiri-Ndeeba'!L33)</f>
        <v>0.5714285714285714</v>
      </c>
      <c r="M33" s="49">
        <f>AVERAGE('22.07 Lubiri -Ndeeba'!M33,'23.07 Lubiri-Ndeeba'!M33,'24.07 Lubiri-Ndeeba'!M33,'25.07 Lubiri-Ndeeba'!M33,'26.07 Lubiri-Ndeeba-24h'!M33,'27.07 Lubiri-Ndeeba-24h'!M33,'28.07 Lubiri-Ndeeba'!M33)</f>
        <v>257.14285714285717</v>
      </c>
      <c r="N33" s="49">
        <f>AVERAGE('22.07 Lubiri -Ndeeba'!N33,'23.07 Lubiri-Ndeeba'!N33,'24.07 Lubiri-Ndeeba'!N33,'25.07 Lubiri-Ndeeba'!N33,'26.07 Lubiri-Ndeeba-24h'!N33,'27.07 Lubiri-Ndeeba-24h'!N33,'28.07 Lubiri-Ndeeba'!N33)</f>
        <v>0</v>
      </c>
      <c r="O33" s="15">
        <f t="shared" si="0"/>
        <v>74.857142857142861</v>
      </c>
      <c r="P33" s="15">
        <f t="shared" si="1"/>
        <v>332</v>
      </c>
      <c r="R33" s="1" t="s">
        <v>157</v>
      </c>
      <c r="S33" s="34">
        <f>SUM(C102:C105)</f>
        <v>40</v>
      </c>
      <c r="T33" s="34">
        <f t="shared" ref="T33:AF33" si="27">SUM(D102:D105)</f>
        <v>7.5</v>
      </c>
      <c r="U33" s="34">
        <f t="shared" si="27"/>
        <v>2.5</v>
      </c>
      <c r="V33" s="34">
        <f t="shared" si="27"/>
        <v>13</v>
      </c>
      <c r="W33" s="34">
        <f t="shared" si="27"/>
        <v>2</v>
      </c>
      <c r="X33" s="34">
        <f t="shared" si="27"/>
        <v>0</v>
      </c>
      <c r="Y33" s="34">
        <f t="shared" si="27"/>
        <v>7.5</v>
      </c>
      <c r="Z33" s="34">
        <f t="shared" si="27"/>
        <v>2.5</v>
      </c>
      <c r="AA33" s="34">
        <f t="shared" si="27"/>
        <v>0.5</v>
      </c>
      <c r="AB33" s="34">
        <f t="shared" si="27"/>
        <v>1.5</v>
      </c>
      <c r="AC33" s="34">
        <f t="shared" si="27"/>
        <v>81.5</v>
      </c>
      <c r="AD33" s="34">
        <f t="shared" si="27"/>
        <v>0</v>
      </c>
      <c r="AE33" s="51">
        <f>SUM(O102:O105)</f>
        <v>77</v>
      </c>
      <c r="AF33" s="51">
        <f t="shared" si="27"/>
        <v>158.5</v>
      </c>
    </row>
    <row r="34" spans="2:32" ht="23.1" customHeight="1" x14ac:dyDescent="0.25">
      <c r="B34" s="24" t="s">
        <v>61</v>
      </c>
      <c r="C34" s="49">
        <f>AVERAGE('22.07 Lubiri -Ndeeba'!C34,'23.07 Lubiri-Ndeeba'!C34,'24.07 Lubiri-Ndeeba'!C34,'25.07 Lubiri-Ndeeba'!C34,'26.07 Lubiri-Ndeeba-24h'!C34,'27.07 Lubiri-Ndeeba-24h'!C34,'28.07 Lubiri-Ndeeba'!C34)</f>
        <v>35</v>
      </c>
      <c r="D34" s="49">
        <f>AVERAGE('22.07 Lubiri -Ndeeba'!D34,'23.07 Lubiri-Ndeeba'!D34,'24.07 Lubiri-Ndeeba'!D34,'25.07 Lubiri-Ndeeba'!D34,'26.07 Lubiri-Ndeeba-24h'!D34,'27.07 Lubiri-Ndeeba-24h'!D34,'28.07 Lubiri-Ndeeba'!D34)</f>
        <v>5.7142857142857144</v>
      </c>
      <c r="E34" s="49">
        <f>AVERAGE('22.07 Lubiri -Ndeeba'!E34,'23.07 Lubiri-Ndeeba'!E34,'24.07 Lubiri-Ndeeba'!E34,'25.07 Lubiri-Ndeeba'!E34,'26.07 Lubiri-Ndeeba-24h'!E34,'27.07 Lubiri-Ndeeba-24h'!E34,'28.07 Lubiri-Ndeeba'!E34)</f>
        <v>4.7142857142857144</v>
      </c>
      <c r="F34" s="49">
        <f>AVERAGE('22.07 Lubiri -Ndeeba'!F34,'23.07 Lubiri-Ndeeba'!F34,'24.07 Lubiri-Ndeeba'!F34,'25.07 Lubiri-Ndeeba'!F34,'26.07 Lubiri-Ndeeba-24h'!F34,'27.07 Lubiri-Ndeeba-24h'!F34,'28.07 Lubiri-Ndeeba'!F34)</f>
        <v>13.142857142857142</v>
      </c>
      <c r="G34" s="49">
        <f>AVERAGE('22.07 Lubiri -Ndeeba'!G34,'23.07 Lubiri-Ndeeba'!G34,'24.07 Lubiri-Ndeeba'!G34,'25.07 Lubiri-Ndeeba'!G34,'26.07 Lubiri-Ndeeba-24h'!G34,'27.07 Lubiri-Ndeeba-24h'!G34,'28.07 Lubiri-Ndeeba'!G34)</f>
        <v>0.42857142857142855</v>
      </c>
      <c r="H34" s="49">
        <f>AVERAGE('22.07 Lubiri -Ndeeba'!H34,'23.07 Lubiri-Ndeeba'!H34,'24.07 Lubiri-Ndeeba'!H34,'25.07 Lubiri-Ndeeba'!H34,'26.07 Lubiri-Ndeeba-24h'!H34,'27.07 Lubiri-Ndeeba-24h'!H34,'28.07 Lubiri-Ndeeba'!H34)</f>
        <v>0.14285714285714285</v>
      </c>
      <c r="I34" s="49">
        <f>AVERAGE('22.07 Lubiri -Ndeeba'!I34,'23.07 Lubiri-Ndeeba'!I34,'24.07 Lubiri-Ndeeba'!I34,'25.07 Lubiri-Ndeeba'!I34,'26.07 Lubiri-Ndeeba-24h'!I34,'27.07 Lubiri-Ndeeba-24h'!I34,'28.07 Lubiri-Ndeeba'!I34)</f>
        <v>6</v>
      </c>
      <c r="J34" s="49">
        <f>AVERAGE('22.07 Lubiri -Ndeeba'!J34,'23.07 Lubiri-Ndeeba'!J34,'24.07 Lubiri-Ndeeba'!J34,'25.07 Lubiri-Ndeeba'!J34,'26.07 Lubiri-Ndeeba-24h'!J34,'27.07 Lubiri-Ndeeba-24h'!J34,'28.07 Lubiri-Ndeeba'!J34)</f>
        <v>4</v>
      </c>
      <c r="K34" s="49">
        <f>AVERAGE('22.07 Lubiri -Ndeeba'!K34,'23.07 Lubiri-Ndeeba'!K34,'24.07 Lubiri-Ndeeba'!K34,'25.07 Lubiri-Ndeeba'!K34,'26.07 Lubiri-Ndeeba-24h'!K34,'27.07 Lubiri-Ndeeba-24h'!K34,'28.07 Lubiri-Ndeeba'!K34)</f>
        <v>0.2857142857142857</v>
      </c>
      <c r="L34" s="49">
        <f>AVERAGE('22.07 Lubiri -Ndeeba'!L34,'23.07 Lubiri-Ndeeba'!L34,'24.07 Lubiri-Ndeeba'!L34,'25.07 Lubiri-Ndeeba'!L34,'26.07 Lubiri-Ndeeba-24h'!L34,'27.07 Lubiri-Ndeeba-24h'!L34,'28.07 Lubiri-Ndeeba'!L34)</f>
        <v>0</v>
      </c>
      <c r="M34" s="49">
        <f>AVERAGE('22.07 Lubiri -Ndeeba'!M34,'23.07 Lubiri-Ndeeba'!M34,'24.07 Lubiri-Ndeeba'!M34,'25.07 Lubiri-Ndeeba'!M34,'26.07 Lubiri-Ndeeba-24h'!M34,'27.07 Lubiri-Ndeeba-24h'!M34,'28.07 Lubiri-Ndeeba'!M34)</f>
        <v>191.42857142857142</v>
      </c>
      <c r="N34" s="49">
        <f>AVERAGE('22.07 Lubiri -Ndeeba'!N34,'23.07 Lubiri-Ndeeba'!N34,'24.07 Lubiri-Ndeeba'!N34,'25.07 Lubiri-Ndeeba'!N34,'26.07 Lubiri-Ndeeba-24h'!N34,'27.07 Lubiri-Ndeeba-24h'!N34,'28.07 Lubiri-Ndeeba'!N34)</f>
        <v>0</v>
      </c>
      <c r="O34" s="15">
        <f t="shared" si="0"/>
        <v>69.428571428571431</v>
      </c>
      <c r="P34" s="15">
        <f t="shared" si="1"/>
        <v>260.85714285714283</v>
      </c>
      <c r="R34" s="38" t="s">
        <v>90</v>
      </c>
      <c r="S34" s="39">
        <f t="shared" ref="S34:AF34" si="28">MAX(S10:S12)</f>
        <v>105.57142857142857</v>
      </c>
      <c r="T34" s="39">
        <f t="shared" si="28"/>
        <v>24.285714285714288</v>
      </c>
      <c r="U34" s="39">
        <f t="shared" si="28"/>
        <v>18.571428571428569</v>
      </c>
      <c r="V34" s="39">
        <f t="shared" si="28"/>
        <v>68.142857142857139</v>
      </c>
      <c r="W34" s="39">
        <f t="shared" si="28"/>
        <v>7.1428571428571432</v>
      </c>
      <c r="X34" s="39">
        <f t="shared" si="28"/>
        <v>0.42857142857142855</v>
      </c>
      <c r="Y34" s="39">
        <f t="shared" si="28"/>
        <v>21.142857142857142</v>
      </c>
      <c r="Z34" s="39">
        <f t="shared" si="28"/>
        <v>14.142857142857142</v>
      </c>
      <c r="AA34" s="39">
        <f t="shared" si="28"/>
        <v>3.2857142857142856</v>
      </c>
      <c r="AB34" s="39">
        <f t="shared" si="28"/>
        <v>1.4285714285714284</v>
      </c>
      <c r="AC34" s="39">
        <f t="shared" si="28"/>
        <v>955.28571428571433</v>
      </c>
      <c r="AD34" s="39">
        <f t="shared" si="28"/>
        <v>0</v>
      </c>
      <c r="AE34" s="40">
        <f t="shared" si="28"/>
        <v>243.42857142857144</v>
      </c>
      <c r="AF34" s="40">
        <f t="shared" si="28"/>
        <v>1192.5714285714284</v>
      </c>
    </row>
    <row r="35" spans="2:32" ht="23.1" customHeight="1" x14ac:dyDescent="0.25">
      <c r="B35" s="24" t="s">
        <v>62</v>
      </c>
      <c r="C35" s="49">
        <f>AVERAGE('22.07 Lubiri -Ndeeba'!C35,'23.07 Lubiri-Ndeeba'!C35,'24.07 Lubiri-Ndeeba'!C35,'25.07 Lubiri-Ndeeba'!C35,'26.07 Lubiri-Ndeeba-24h'!C35,'27.07 Lubiri-Ndeeba-24h'!C35,'28.07 Lubiri-Ndeeba'!C35)</f>
        <v>40.714285714285715</v>
      </c>
      <c r="D35" s="49">
        <f>AVERAGE('22.07 Lubiri -Ndeeba'!D35,'23.07 Lubiri-Ndeeba'!D35,'24.07 Lubiri-Ndeeba'!D35,'25.07 Lubiri-Ndeeba'!D35,'26.07 Lubiri-Ndeeba-24h'!D35,'27.07 Lubiri-Ndeeba-24h'!D35,'28.07 Lubiri-Ndeeba'!D35)</f>
        <v>8.4285714285714288</v>
      </c>
      <c r="E35" s="49">
        <f>AVERAGE('22.07 Lubiri -Ndeeba'!E35,'23.07 Lubiri-Ndeeba'!E35,'24.07 Lubiri-Ndeeba'!E35,'25.07 Lubiri-Ndeeba'!E35,'26.07 Lubiri-Ndeeba-24h'!E35,'27.07 Lubiri-Ndeeba-24h'!E35,'28.07 Lubiri-Ndeeba'!E35)</f>
        <v>5</v>
      </c>
      <c r="F35" s="49">
        <f>AVERAGE('22.07 Lubiri -Ndeeba'!F35,'23.07 Lubiri-Ndeeba'!F35,'24.07 Lubiri-Ndeeba'!F35,'25.07 Lubiri-Ndeeba'!F35,'26.07 Lubiri-Ndeeba-24h'!F35,'27.07 Lubiri-Ndeeba-24h'!F35,'28.07 Lubiri-Ndeeba'!F35)</f>
        <v>15.428571428571429</v>
      </c>
      <c r="G35" s="49">
        <f>AVERAGE('22.07 Lubiri -Ndeeba'!G35,'23.07 Lubiri-Ndeeba'!G35,'24.07 Lubiri-Ndeeba'!G35,'25.07 Lubiri-Ndeeba'!G35,'26.07 Lubiri-Ndeeba-24h'!G35,'27.07 Lubiri-Ndeeba-24h'!G35,'28.07 Lubiri-Ndeeba'!G35)</f>
        <v>0</v>
      </c>
      <c r="H35" s="49">
        <f>AVERAGE('22.07 Lubiri -Ndeeba'!H35,'23.07 Lubiri-Ndeeba'!H35,'24.07 Lubiri-Ndeeba'!H35,'25.07 Lubiri-Ndeeba'!H35,'26.07 Lubiri-Ndeeba-24h'!H35,'27.07 Lubiri-Ndeeba-24h'!H35,'28.07 Lubiri-Ndeeba'!H35)</f>
        <v>0</v>
      </c>
      <c r="I35" s="49">
        <f>AVERAGE('22.07 Lubiri -Ndeeba'!I35,'23.07 Lubiri-Ndeeba'!I35,'24.07 Lubiri-Ndeeba'!I35,'25.07 Lubiri-Ndeeba'!I35,'26.07 Lubiri-Ndeeba-24h'!I35,'27.07 Lubiri-Ndeeba-24h'!I35,'28.07 Lubiri-Ndeeba'!I35)</f>
        <v>7</v>
      </c>
      <c r="J35" s="49">
        <f>AVERAGE('22.07 Lubiri -Ndeeba'!J35,'23.07 Lubiri-Ndeeba'!J35,'24.07 Lubiri-Ndeeba'!J35,'25.07 Lubiri-Ndeeba'!J35,'26.07 Lubiri-Ndeeba-24h'!J35,'27.07 Lubiri-Ndeeba-24h'!J35,'28.07 Lubiri-Ndeeba'!J35)</f>
        <v>5</v>
      </c>
      <c r="K35" s="49">
        <f>AVERAGE('22.07 Lubiri -Ndeeba'!K35,'23.07 Lubiri-Ndeeba'!K35,'24.07 Lubiri-Ndeeba'!K35,'25.07 Lubiri-Ndeeba'!K35,'26.07 Lubiri-Ndeeba-24h'!K35,'27.07 Lubiri-Ndeeba-24h'!K35,'28.07 Lubiri-Ndeeba'!K35)</f>
        <v>0.5714285714285714</v>
      </c>
      <c r="L35" s="49">
        <f>AVERAGE('22.07 Lubiri -Ndeeba'!L35,'23.07 Lubiri-Ndeeba'!L35,'24.07 Lubiri-Ndeeba'!L35,'25.07 Lubiri-Ndeeba'!L35,'26.07 Lubiri-Ndeeba-24h'!L35,'27.07 Lubiri-Ndeeba-24h'!L35,'28.07 Lubiri-Ndeeba'!L35)</f>
        <v>0.42857142857142855</v>
      </c>
      <c r="M35" s="49">
        <f>AVERAGE('22.07 Lubiri -Ndeeba'!M35,'23.07 Lubiri-Ndeeba'!M35,'24.07 Lubiri-Ndeeba'!M35,'25.07 Lubiri-Ndeeba'!M35,'26.07 Lubiri-Ndeeba-24h'!M35,'27.07 Lubiri-Ndeeba-24h'!M35,'28.07 Lubiri-Ndeeba'!M35)</f>
        <v>241.42857142857142</v>
      </c>
      <c r="N35" s="49">
        <f>AVERAGE('22.07 Lubiri -Ndeeba'!N35,'23.07 Lubiri-Ndeeba'!N35,'24.07 Lubiri-Ndeeba'!N35,'25.07 Lubiri-Ndeeba'!N35,'26.07 Lubiri-Ndeeba-24h'!N35,'27.07 Lubiri-Ndeeba-24h'!N35,'28.07 Lubiri-Ndeeba'!N35)</f>
        <v>0</v>
      </c>
      <c r="O35" s="15">
        <f t="shared" si="0"/>
        <v>82.571428571428569</v>
      </c>
      <c r="P35" s="15">
        <f t="shared" si="1"/>
        <v>324</v>
      </c>
      <c r="R35" s="38" t="s">
        <v>91</v>
      </c>
      <c r="S35" s="39">
        <f t="shared" ref="S35:AF35" si="29">MAX(S13:S18)</f>
        <v>178.42857142857142</v>
      </c>
      <c r="T35" s="39">
        <f t="shared" si="29"/>
        <v>38.571428571428569</v>
      </c>
      <c r="U35" s="39">
        <f t="shared" si="29"/>
        <v>20.714285714285712</v>
      </c>
      <c r="V35" s="39">
        <f t="shared" si="29"/>
        <v>63.999999999999993</v>
      </c>
      <c r="W35" s="39">
        <f t="shared" si="29"/>
        <v>2.1428571428571428</v>
      </c>
      <c r="X35" s="39">
        <f t="shared" si="29"/>
        <v>0.42857142857142855</v>
      </c>
      <c r="Y35" s="39">
        <f t="shared" si="29"/>
        <v>33.714285714285715</v>
      </c>
      <c r="Z35" s="39">
        <f t="shared" si="29"/>
        <v>19.714285714285715</v>
      </c>
      <c r="AA35" s="39">
        <f t="shared" si="29"/>
        <v>3.2857142857142856</v>
      </c>
      <c r="AB35" s="39">
        <f t="shared" si="29"/>
        <v>2.4285714285714284</v>
      </c>
      <c r="AC35" s="39">
        <f t="shared" si="29"/>
        <v>1038.7142857142858</v>
      </c>
      <c r="AD35" s="39">
        <f t="shared" si="29"/>
        <v>0.5714285714285714</v>
      </c>
      <c r="AE35" s="40">
        <f t="shared" si="29"/>
        <v>323.71428571428567</v>
      </c>
      <c r="AF35" s="40">
        <f t="shared" si="29"/>
        <v>1362</v>
      </c>
    </row>
    <row r="36" spans="2:32" ht="23.1" customHeight="1" x14ac:dyDescent="0.25">
      <c r="B36" s="24" t="s">
        <v>63</v>
      </c>
      <c r="C36" s="49">
        <f>AVERAGE('22.07 Lubiri -Ndeeba'!C36,'23.07 Lubiri-Ndeeba'!C36,'24.07 Lubiri-Ndeeba'!C36,'25.07 Lubiri-Ndeeba'!C36,'26.07 Lubiri-Ndeeba-24h'!C36,'27.07 Lubiri-Ndeeba-24h'!C36,'28.07 Lubiri-Ndeeba'!C36)</f>
        <v>37.285714285714285</v>
      </c>
      <c r="D36" s="49">
        <f>AVERAGE('22.07 Lubiri -Ndeeba'!D36,'23.07 Lubiri-Ndeeba'!D36,'24.07 Lubiri-Ndeeba'!D36,'25.07 Lubiri-Ndeeba'!D36,'26.07 Lubiri-Ndeeba-24h'!D36,'27.07 Lubiri-Ndeeba-24h'!D36,'28.07 Lubiri-Ndeeba'!D36)</f>
        <v>8.5714285714285712</v>
      </c>
      <c r="E36" s="49">
        <f>AVERAGE('22.07 Lubiri -Ndeeba'!E36,'23.07 Lubiri-Ndeeba'!E36,'24.07 Lubiri-Ndeeba'!E36,'25.07 Lubiri-Ndeeba'!E36,'26.07 Lubiri-Ndeeba-24h'!E36,'27.07 Lubiri-Ndeeba-24h'!E36,'28.07 Lubiri-Ndeeba'!E36)</f>
        <v>3.2857142857142856</v>
      </c>
      <c r="F36" s="49">
        <f>AVERAGE('22.07 Lubiri -Ndeeba'!F36,'23.07 Lubiri-Ndeeba'!F36,'24.07 Lubiri-Ndeeba'!F36,'25.07 Lubiri-Ndeeba'!F36,'26.07 Lubiri-Ndeeba-24h'!F36,'27.07 Lubiri-Ndeeba-24h'!F36,'28.07 Lubiri-Ndeeba'!F36)</f>
        <v>14</v>
      </c>
      <c r="G36" s="49">
        <f>AVERAGE('22.07 Lubiri -Ndeeba'!G36,'23.07 Lubiri-Ndeeba'!G36,'24.07 Lubiri-Ndeeba'!G36,'25.07 Lubiri-Ndeeba'!G36,'26.07 Lubiri-Ndeeba-24h'!G36,'27.07 Lubiri-Ndeeba-24h'!G36,'28.07 Lubiri-Ndeeba'!G36)</f>
        <v>0.14285714285714285</v>
      </c>
      <c r="H36" s="49">
        <f>AVERAGE('22.07 Lubiri -Ndeeba'!H36,'23.07 Lubiri-Ndeeba'!H36,'24.07 Lubiri-Ndeeba'!H36,'25.07 Lubiri-Ndeeba'!H36,'26.07 Lubiri-Ndeeba-24h'!H36,'27.07 Lubiri-Ndeeba-24h'!H36,'28.07 Lubiri-Ndeeba'!H36)</f>
        <v>0</v>
      </c>
      <c r="I36" s="49">
        <f>AVERAGE('22.07 Lubiri -Ndeeba'!I36,'23.07 Lubiri-Ndeeba'!I36,'24.07 Lubiri-Ndeeba'!I36,'25.07 Lubiri-Ndeeba'!I36,'26.07 Lubiri-Ndeeba-24h'!I36,'27.07 Lubiri-Ndeeba-24h'!I36,'28.07 Lubiri-Ndeeba'!I36)</f>
        <v>4.4285714285714288</v>
      </c>
      <c r="J36" s="49">
        <f>AVERAGE('22.07 Lubiri -Ndeeba'!J36,'23.07 Lubiri-Ndeeba'!J36,'24.07 Lubiri-Ndeeba'!J36,'25.07 Lubiri-Ndeeba'!J36,'26.07 Lubiri-Ndeeba-24h'!J36,'27.07 Lubiri-Ndeeba-24h'!J36,'28.07 Lubiri-Ndeeba'!J36)</f>
        <v>4</v>
      </c>
      <c r="K36" s="49">
        <f>AVERAGE('22.07 Lubiri -Ndeeba'!K36,'23.07 Lubiri-Ndeeba'!K36,'24.07 Lubiri-Ndeeba'!K36,'25.07 Lubiri-Ndeeba'!K36,'26.07 Lubiri-Ndeeba-24h'!K36,'27.07 Lubiri-Ndeeba-24h'!K36,'28.07 Lubiri-Ndeeba'!K36)</f>
        <v>0.2857142857142857</v>
      </c>
      <c r="L36" s="49">
        <f>AVERAGE('22.07 Lubiri -Ndeeba'!L36,'23.07 Lubiri-Ndeeba'!L36,'24.07 Lubiri-Ndeeba'!L36,'25.07 Lubiri-Ndeeba'!L36,'26.07 Lubiri-Ndeeba-24h'!L36,'27.07 Lubiri-Ndeeba-24h'!L36,'28.07 Lubiri-Ndeeba'!L36)</f>
        <v>0.8571428571428571</v>
      </c>
      <c r="M36" s="49">
        <f>AVERAGE('22.07 Lubiri -Ndeeba'!M36,'23.07 Lubiri-Ndeeba'!M36,'24.07 Lubiri-Ndeeba'!M36,'25.07 Lubiri-Ndeeba'!M36,'26.07 Lubiri-Ndeeba-24h'!M36,'27.07 Lubiri-Ndeeba-24h'!M36,'28.07 Lubiri-Ndeeba'!M36)</f>
        <v>219.42857142857142</v>
      </c>
      <c r="N36" s="49">
        <f>AVERAGE('22.07 Lubiri -Ndeeba'!N36,'23.07 Lubiri-Ndeeba'!N36,'24.07 Lubiri-Ndeeba'!N36,'25.07 Lubiri-Ndeeba'!N36,'26.07 Lubiri-Ndeeba-24h'!N36,'27.07 Lubiri-Ndeeba-24h'!N36,'28.07 Lubiri-Ndeeba'!N36)</f>
        <v>0.2857142857142857</v>
      </c>
      <c r="O36" s="15">
        <f t="shared" si="0"/>
        <v>73.142857142857153</v>
      </c>
      <c r="P36" s="15">
        <f t="shared" si="1"/>
        <v>292.57142857142856</v>
      </c>
      <c r="R36" s="38" t="s">
        <v>92</v>
      </c>
      <c r="S36" s="39">
        <f t="shared" ref="S36:AF36" si="30">MAX(S19:S21)</f>
        <v>221.42857142857142</v>
      </c>
      <c r="T36" s="39">
        <f t="shared" si="30"/>
        <v>35.285714285714285</v>
      </c>
      <c r="U36" s="39">
        <f t="shared" si="30"/>
        <v>17</v>
      </c>
      <c r="V36" s="39">
        <f t="shared" si="30"/>
        <v>66.714285714285722</v>
      </c>
      <c r="W36" s="39">
        <f t="shared" si="30"/>
        <v>2.8571428571428572</v>
      </c>
      <c r="X36" s="39">
        <f t="shared" si="30"/>
        <v>0.14285714285714285</v>
      </c>
      <c r="Y36" s="39">
        <f t="shared" si="30"/>
        <v>22.857142857142854</v>
      </c>
      <c r="Z36" s="39">
        <f t="shared" si="30"/>
        <v>14.714285714285712</v>
      </c>
      <c r="AA36" s="39">
        <f t="shared" si="30"/>
        <v>2.2857142857142856</v>
      </c>
      <c r="AB36" s="39">
        <f t="shared" si="30"/>
        <v>2.1904761904761907</v>
      </c>
      <c r="AC36" s="39">
        <f t="shared" si="30"/>
        <v>1064.1428571428571</v>
      </c>
      <c r="AD36" s="39">
        <f t="shared" si="30"/>
        <v>0.2857142857142857</v>
      </c>
      <c r="AE36" s="40">
        <f t="shared" si="30"/>
        <v>370.14285714285711</v>
      </c>
      <c r="AF36" s="40">
        <f t="shared" si="30"/>
        <v>1434.2857142857142</v>
      </c>
    </row>
    <row r="37" spans="2:32" ht="23.1" customHeight="1" x14ac:dyDescent="0.25">
      <c r="B37" s="23" t="s">
        <v>64</v>
      </c>
      <c r="C37" s="49">
        <f>AVERAGE('22.07 Lubiri -Ndeeba'!C37,'23.07 Lubiri-Ndeeba'!C37,'24.07 Lubiri-Ndeeba'!C37,'25.07 Lubiri-Ndeeba'!C37,'26.07 Lubiri-Ndeeba-24h'!C37,'27.07 Lubiri-Ndeeba-24h'!C37,'28.07 Lubiri-Ndeeba'!C37)</f>
        <v>42.571428571428569</v>
      </c>
      <c r="D37" s="49">
        <f>AVERAGE('22.07 Lubiri -Ndeeba'!D37,'23.07 Lubiri-Ndeeba'!D37,'24.07 Lubiri-Ndeeba'!D37,'25.07 Lubiri-Ndeeba'!D37,'26.07 Lubiri-Ndeeba-24h'!D37,'27.07 Lubiri-Ndeeba-24h'!D37,'28.07 Lubiri-Ndeeba'!D37)</f>
        <v>8.7142857142857135</v>
      </c>
      <c r="E37" s="49">
        <f>AVERAGE('22.07 Lubiri -Ndeeba'!E37,'23.07 Lubiri-Ndeeba'!E37,'24.07 Lubiri-Ndeeba'!E37,'25.07 Lubiri-Ndeeba'!E37,'26.07 Lubiri-Ndeeba-24h'!E37,'27.07 Lubiri-Ndeeba-24h'!E37,'28.07 Lubiri-Ndeeba'!E37)</f>
        <v>4</v>
      </c>
      <c r="F37" s="49">
        <f>AVERAGE('22.07 Lubiri -Ndeeba'!F37,'23.07 Lubiri-Ndeeba'!F37,'24.07 Lubiri-Ndeeba'!F37,'25.07 Lubiri-Ndeeba'!F37,'26.07 Lubiri-Ndeeba-24h'!F37,'27.07 Lubiri-Ndeeba-24h'!F37,'28.07 Lubiri-Ndeeba'!F37)</f>
        <v>11.714285714285714</v>
      </c>
      <c r="G37" s="49">
        <f>AVERAGE('22.07 Lubiri -Ndeeba'!G37,'23.07 Lubiri-Ndeeba'!G37,'24.07 Lubiri-Ndeeba'!G37,'25.07 Lubiri-Ndeeba'!G37,'26.07 Lubiri-Ndeeba-24h'!G37,'27.07 Lubiri-Ndeeba-24h'!G37,'28.07 Lubiri-Ndeeba'!G37)</f>
        <v>0.14285714285714285</v>
      </c>
      <c r="H37" s="49">
        <f>AVERAGE('22.07 Lubiri -Ndeeba'!H37,'23.07 Lubiri-Ndeeba'!H37,'24.07 Lubiri-Ndeeba'!H37,'25.07 Lubiri-Ndeeba'!H37,'26.07 Lubiri-Ndeeba-24h'!H37,'27.07 Lubiri-Ndeeba-24h'!H37,'28.07 Lubiri-Ndeeba'!H37)</f>
        <v>0</v>
      </c>
      <c r="I37" s="49">
        <f>AVERAGE('22.07 Lubiri -Ndeeba'!I37,'23.07 Lubiri-Ndeeba'!I37,'24.07 Lubiri-Ndeeba'!I37,'25.07 Lubiri-Ndeeba'!I37,'26.07 Lubiri-Ndeeba-24h'!I37,'27.07 Lubiri-Ndeeba-24h'!I37,'28.07 Lubiri-Ndeeba'!I37)</f>
        <v>4.8571428571428568</v>
      </c>
      <c r="J37" s="49">
        <f>AVERAGE('22.07 Lubiri -Ndeeba'!J37,'23.07 Lubiri-Ndeeba'!J37,'24.07 Lubiri-Ndeeba'!J37,'25.07 Lubiri-Ndeeba'!J37,'26.07 Lubiri-Ndeeba-24h'!J37,'27.07 Lubiri-Ndeeba-24h'!J37,'28.07 Lubiri-Ndeeba'!J37)</f>
        <v>3.8571428571428572</v>
      </c>
      <c r="K37" s="49">
        <f>AVERAGE('22.07 Lubiri -Ndeeba'!K37,'23.07 Lubiri-Ndeeba'!K37,'24.07 Lubiri-Ndeeba'!K37,'25.07 Lubiri-Ndeeba'!K37,'26.07 Lubiri-Ndeeba-24h'!K37,'27.07 Lubiri-Ndeeba-24h'!K37,'28.07 Lubiri-Ndeeba'!K37)</f>
        <v>0.14285714285714285</v>
      </c>
      <c r="L37" s="49">
        <f>AVERAGE('22.07 Lubiri -Ndeeba'!L37,'23.07 Lubiri-Ndeeba'!L37,'24.07 Lubiri-Ndeeba'!L37,'25.07 Lubiri-Ndeeba'!L37,'26.07 Lubiri-Ndeeba-24h'!L37,'27.07 Lubiri-Ndeeba-24h'!L37,'28.07 Lubiri-Ndeeba'!L37)</f>
        <v>0.42857142857142855</v>
      </c>
      <c r="M37" s="49">
        <f>AVERAGE('22.07 Lubiri -Ndeeba'!M37,'23.07 Lubiri-Ndeeba'!M37,'24.07 Lubiri-Ndeeba'!M37,'25.07 Lubiri-Ndeeba'!M37,'26.07 Lubiri-Ndeeba-24h'!M37,'27.07 Lubiri-Ndeeba-24h'!M37,'28.07 Lubiri-Ndeeba'!M37)</f>
        <v>232.57142857142858</v>
      </c>
      <c r="N37" s="49">
        <f>AVERAGE('22.07 Lubiri -Ndeeba'!N37,'23.07 Lubiri-Ndeeba'!N37,'24.07 Lubiri-Ndeeba'!N37,'25.07 Lubiri-Ndeeba'!N37,'26.07 Lubiri-Ndeeba-24h'!N37,'27.07 Lubiri-Ndeeba-24h'!N37,'28.07 Lubiri-Ndeeba'!N37)</f>
        <v>0</v>
      </c>
      <c r="O37" s="15">
        <f t="shared" si="0"/>
        <v>76.428571428571431</v>
      </c>
      <c r="P37" s="15">
        <f t="shared" si="1"/>
        <v>309</v>
      </c>
      <c r="R37" s="37" t="s">
        <v>85</v>
      </c>
      <c r="S37" s="35">
        <f t="shared" ref="S37:AF37" si="31">SUM(S10:S12)</f>
        <v>278.42857142857144</v>
      </c>
      <c r="T37" s="16">
        <f t="shared" si="31"/>
        <v>54.571428571428577</v>
      </c>
      <c r="U37" s="16">
        <f t="shared" si="31"/>
        <v>44.142857142857139</v>
      </c>
      <c r="V37" s="16">
        <f t="shared" si="31"/>
        <v>184.14285714285717</v>
      </c>
      <c r="W37" s="16">
        <f t="shared" si="31"/>
        <v>12.857142857142858</v>
      </c>
      <c r="X37" s="16">
        <f t="shared" si="31"/>
        <v>1</v>
      </c>
      <c r="Y37" s="16">
        <f t="shared" si="31"/>
        <v>45.428571428571431</v>
      </c>
      <c r="Z37" s="16">
        <f t="shared" si="31"/>
        <v>30.571428571428573</v>
      </c>
      <c r="AA37" s="16">
        <f t="shared" si="31"/>
        <v>7.7142857142857135</v>
      </c>
      <c r="AB37" s="16">
        <f t="shared" si="31"/>
        <v>1.857142857142857</v>
      </c>
      <c r="AC37" s="16">
        <f t="shared" si="31"/>
        <v>2278.1428571428573</v>
      </c>
      <c r="AD37" s="16">
        <f t="shared" si="31"/>
        <v>0</v>
      </c>
      <c r="AE37" s="32">
        <f t="shared" si="31"/>
        <v>660.71428571428578</v>
      </c>
      <c r="AF37" s="32">
        <f t="shared" si="31"/>
        <v>2938.8571428571427</v>
      </c>
    </row>
    <row r="38" spans="2:32" ht="23.1" customHeight="1" x14ac:dyDescent="0.25">
      <c r="B38" s="24" t="s">
        <v>65</v>
      </c>
      <c r="C38" s="49">
        <f>AVERAGE('22.07 Lubiri -Ndeeba'!C38,'23.07 Lubiri-Ndeeba'!C38,'24.07 Lubiri-Ndeeba'!C38,'25.07 Lubiri-Ndeeba'!C38,'26.07 Lubiri-Ndeeba-24h'!C38,'27.07 Lubiri-Ndeeba-24h'!C38,'28.07 Lubiri-Ndeeba'!C38)</f>
        <v>46</v>
      </c>
      <c r="D38" s="49">
        <f>AVERAGE('22.07 Lubiri -Ndeeba'!D38,'23.07 Lubiri-Ndeeba'!D38,'24.07 Lubiri-Ndeeba'!D38,'25.07 Lubiri-Ndeeba'!D38,'26.07 Lubiri-Ndeeba-24h'!D38,'27.07 Lubiri-Ndeeba-24h'!D38,'28.07 Lubiri-Ndeeba'!D38)</f>
        <v>13.714285714285714</v>
      </c>
      <c r="E38" s="49">
        <f>AVERAGE('22.07 Lubiri -Ndeeba'!E38,'23.07 Lubiri-Ndeeba'!E38,'24.07 Lubiri-Ndeeba'!E38,'25.07 Lubiri-Ndeeba'!E38,'26.07 Lubiri-Ndeeba-24h'!E38,'27.07 Lubiri-Ndeeba-24h'!E38,'28.07 Lubiri-Ndeeba'!E38)</f>
        <v>6.4285714285714288</v>
      </c>
      <c r="F38" s="49">
        <f>AVERAGE('22.07 Lubiri -Ndeeba'!F38,'23.07 Lubiri-Ndeeba'!F38,'24.07 Lubiri-Ndeeba'!F38,'25.07 Lubiri-Ndeeba'!F38,'26.07 Lubiri-Ndeeba-24h'!F38,'27.07 Lubiri-Ndeeba-24h'!F38,'28.07 Lubiri-Ndeeba'!F38)</f>
        <v>12</v>
      </c>
      <c r="G38" s="49">
        <f>AVERAGE('22.07 Lubiri -Ndeeba'!G38,'23.07 Lubiri-Ndeeba'!G38,'24.07 Lubiri-Ndeeba'!G38,'25.07 Lubiri-Ndeeba'!G38,'26.07 Lubiri-Ndeeba-24h'!G38,'27.07 Lubiri-Ndeeba-24h'!G38,'28.07 Lubiri-Ndeeba'!G38)</f>
        <v>0.14285714285714285</v>
      </c>
      <c r="H38" s="49">
        <f>AVERAGE('22.07 Lubiri -Ndeeba'!H38,'23.07 Lubiri-Ndeeba'!H38,'24.07 Lubiri-Ndeeba'!H38,'25.07 Lubiri-Ndeeba'!H38,'26.07 Lubiri-Ndeeba-24h'!H38,'27.07 Lubiri-Ndeeba-24h'!H38,'28.07 Lubiri-Ndeeba'!H38)</f>
        <v>0</v>
      </c>
      <c r="I38" s="49">
        <f>AVERAGE('22.07 Lubiri -Ndeeba'!I38,'23.07 Lubiri-Ndeeba'!I38,'24.07 Lubiri-Ndeeba'!I38,'25.07 Lubiri-Ndeeba'!I38,'26.07 Lubiri-Ndeeba-24h'!I38,'27.07 Lubiri-Ndeeba-24h'!I38,'28.07 Lubiri-Ndeeba'!I38)</f>
        <v>6.7142857142857144</v>
      </c>
      <c r="J38" s="49">
        <f>AVERAGE('22.07 Lubiri -Ndeeba'!J38,'23.07 Lubiri-Ndeeba'!J38,'24.07 Lubiri-Ndeeba'!J38,'25.07 Lubiri-Ndeeba'!J38,'26.07 Lubiri-Ndeeba-24h'!J38,'27.07 Lubiri-Ndeeba-24h'!J38,'28.07 Lubiri-Ndeeba'!J38)</f>
        <v>4</v>
      </c>
      <c r="K38" s="49">
        <f>AVERAGE('22.07 Lubiri -Ndeeba'!K38,'23.07 Lubiri-Ndeeba'!K38,'24.07 Lubiri-Ndeeba'!K38,'25.07 Lubiri-Ndeeba'!K38,'26.07 Lubiri-Ndeeba-24h'!K38,'27.07 Lubiri-Ndeeba-24h'!K38,'28.07 Lubiri-Ndeeba'!K38)</f>
        <v>0.42857142857142855</v>
      </c>
      <c r="L38" s="49">
        <f>AVERAGE('22.07 Lubiri -Ndeeba'!L38,'23.07 Lubiri-Ndeeba'!L38,'24.07 Lubiri-Ndeeba'!L38,'25.07 Lubiri-Ndeeba'!L38,'26.07 Lubiri-Ndeeba-24h'!L38,'27.07 Lubiri-Ndeeba-24h'!L38,'28.07 Lubiri-Ndeeba'!L38)</f>
        <v>0.42857142857142855</v>
      </c>
      <c r="M38" s="49">
        <f>AVERAGE('22.07 Lubiri -Ndeeba'!M38,'23.07 Lubiri-Ndeeba'!M38,'24.07 Lubiri-Ndeeba'!M38,'25.07 Lubiri-Ndeeba'!M38,'26.07 Lubiri-Ndeeba-24h'!M38,'27.07 Lubiri-Ndeeba-24h'!M38,'28.07 Lubiri-Ndeeba'!M38)</f>
        <v>181.85714285714286</v>
      </c>
      <c r="N38" s="49">
        <f>AVERAGE('22.07 Lubiri -Ndeeba'!N38,'23.07 Lubiri-Ndeeba'!N38,'24.07 Lubiri-Ndeeba'!N38,'25.07 Lubiri-Ndeeba'!N38,'26.07 Lubiri-Ndeeba-24h'!N38,'27.07 Lubiri-Ndeeba-24h'!N38,'28.07 Lubiri-Ndeeba'!N38)</f>
        <v>0.14285714285714285</v>
      </c>
      <c r="O38" s="15">
        <f t="shared" si="0"/>
        <v>89.999999999999986</v>
      </c>
      <c r="P38" s="15">
        <f t="shared" si="1"/>
        <v>271.85714285714289</v>
      </c>
      <c r="R38" s="28" t="s">
        <v>86</v>
      </c>
      <c r="S38" s="16">
        <f t="shared" ref="S38:AF38" si="32">SUM(S13:S18)</f>
        <v>939.71428571428578</v>
      </c>
      <c r="T38" s="16">
        <f t="shared" si="32"/>
        <v>179.85714285714286</v>
      </c>
      <c r="U38" s="16">
        <f t="shared" si="32"/>
        <v>110.85714285714286</v>
      </c>
      <c r="V38" s="16">
        <f t="shared" si="32"/>
        <v>336.14285714285711</v>
      </c>
      <c r="W38" s="16">
        <f t="shared" si="32"/>
        <v>8.2857142857142847</v>
      </c>
      <c r="X38" s="16">
        <f t="shared" si="32"/>
        <v>1.7142857142857142</v>
      </c>
      <c r="Y38" s="16">
        <f t="shared" si="32"/>
        <v>153.85714285714286</v>
      </c>
      <c r="Z38" s="16">
        <f t="shared" si="32"/>
        <v>104.42857142857142</v>
      </c>
      <c r="AA38" s="16">
        <f t="shared" si="32"/>
        <v>14.142857142857141</v>
      </c>
      <c r="AB38" s="16">
        <f t="shared" si="32"/>
        <v>10.571428571428571</v>
      </c>
      <c r="AC38" s="16">
        <f t="shared" si="32"/>
        <v>5501.1428571428569</v>
      </c>
      <c r="AD38" s="16">
        <f t="shared" si="32"/>
        <v>1.5714285714285712</v>
      </c>
      <c r="AE38" s="32">
        <f t="shared" si="32"/>
        <v>1861.1428571428569</v>
      </c>
      <c r="AF38" s="32">
        <f t="shared" si="32"/>
        <v>7362.2857142857138</v>
      </c>
    </row>
    <row r="39" spans="2:32" ht="23.1" customHeight="1" x14ac:dyDescent="0.25">
      <c r="B39" s="24" t="s">
        <v>66</v>
      </c>
      <c r="C39" s="49">
        <f>AVERAGE('22.07 Lubiri -Ndeeba'!C39,'23.07 Lubiri-Ndeeba'!C39,'24.07 Lubiri-Ndeeba'!C39,'25.07 Lubiri-Ndeeba'!C39,'26.07 Lubiri-Ndeeba-24h'!C39,'27.07 Lubiri-Ndeeba-24h'!C39,'28.07 Lubiri-Ndeeba'!C39)</f>
        <v>37.285714285714285</v>
      </c>
      <c r="D39" s="49">
        <f>AVERAGE('22.07 Lubiri -Ndeeba'!D39,'23.07 Lubiri-Ndeeba'!D39,'24.07 Lubiri-Ndeeba'!D39,'25.07 Lubiri-Ndeeba'!D39,'26.07 Lubiri-Ndeeba-24h'!D39,'27.07 Lubiri-Ndeeba-24h'!D39,'28.07 Lubiri-Ndeeba'!D39)</f>
        <v>9.2857142857142865</v>
      </c>
      <c r="E39" s="49">
        <f>AVERAGE('22.07 Lubiri -Ndeeba'!E39,'23.07 Lubiri-Ndeeba'!E39,'24.07 Lubiri-Ndeeba'!E39,'25.07 Lubiri-Ndeeba'!E39,'26.07 Lubiri-Ndeeba-24h'!E39,'27.07 Lubiri-Ndeeba-24h'!E39,'28.07 Lubiri-Ndeeba'!E39)</f>
        <v>3.8571428571428572</v>
      </c>
      <c r="F39" s="49">
        <f>AVERAGE('22.07 Lubiri -Ndeeba'!F39,'23.07 Lubiri-Ndeeba'!F39,'24.07 Lubiri-Ndeeba'!F39,'25.07 Lubiri-Ndeeba'!F39,'26.07 Lubiri-Ndeeba-24h'!F39,'27.07 Lubiri-Ndeeba-24h'!F39,'28.07 Lubiri-Ndeeba'!F39)</f>
        <v>10.428571428571429</v>
      </c>
      <c r="G39" s="49">
        <f>AVERAGE('22.07 Lubiri -Ndeeba'!G39,'23.07 Lubiri-Ndeeba'!G39,'24.07 Lubiri-Ndeeba'!G39,'25.07 Lubiri-Ndeeba'!G39,'26.07 Lubiri-Ndeeba-24h'!G39,'27.07 Lubiri-Ndeeba-24h'!G39,'28.07 Lubiri-Ndeeba'!G39)</f>
        <v>0</v>
      </c>
      <c r="H39" s="49">
        <f>AVERAGE('22.07 Lubiri -Ndeeba'!H39,'23.07 Lubiri-Ndeeba'!H39,'24.07 Lubiri-Ndeeba'!H39,'25.07 Lubiri-Ndeeba'!H39,'26.07 Lubiri-Ndeeba-24h'!H39,'27.07 Lubiri-Ndeeba-24h'!H39,'28.07 Lubiri-Ndeeba'!H39)</f>
        <v>0.14285714285714285</v>
      </c>
      <c r="I39" s="49">
        <f>AVERAGE('22.07 Lubiri -Ndeeba'!I39,'23.07 Lubiri-Ndeeba'!I39,'24.07 Lubiri-Ndeeba'!I39,'25.07 Lubiri-Ndeeba'!I39,'26.07 Lubiri-Ndeeba-24h'!I39,'27.07 Lubiri-Ndeeba-24h'!I39,'28.07 Lubiri-Ndeeba'!I39)</f>
        <v>5.1428571428571432</v>
      </c>
      <c r="J39" s="49">
        <f>AVERAGE('22.07 Lubiri -Ndeeba'!J39,'23.07 Lubiri-Ndeeba'!J39,'24.07 Lubiri-Ndeeba'!J39,'25.07 Lubiri-Ndeeba'!J39,'26.07 Lubiri-Ndeeba-24h'!J39,'27.07 Lubiri-Ndeeba-24h'!J39,'28.07 Lubiri-Ndeeba'!J39)</f>
        <v>4.1428571428571432</v>
      </c>
      <c r="K39" s="49">
        <f>AVERAGE('22.07 Lubiri -Ndeeba'!K39,'23.07 Lubiri-Ndeeba'!K39,'24.07 Lubiri-Ndeeba'!K39,'25.07 Lubiri-Ndeeba'!K39,'26.07 Lubiri-Ndeeba-24h'!K39,'27.07 Lubiri-Ndeeba-24h'!K39,'28.07 Lubiri-Ndeeba'!K39)</f>
        <v>0.7142857142857143</v>
      </c>
      <c r="L39" s="49">
        <f>AVERAGE('22.07 Lubiri -Ndeeba'!L39,'23.07 Lubiri-Ndeeba'!L39,'24.07 Lubiri-Ndeeba'!L39,'25.07 Lubiri-Ndeeba'!L39,'26.07 Lubiri-Ndeeba-24h'!L39,'27.07 Lubiri-Ndeeba-24h'!L39,'28.07 Lubiri-Ndeeba'!L39)</f>
        <v>0.42857142857142855</v>
      </c>
      <c r="M39" s="49">
        <f>AVERAGE('22.07 Lubiri -Ndeeba'!M39,'23.07 Lubiri-Ndeeba'!M39,'24.07 Lubiri-Ndeeba'!M39,'25.07 Lubiri-Ndeeba'!M39,'26.07 Lubiri-Ndeeba-24h'!M39,'27.07 Lubiri-Ndeeba-24h'!M39,'28.07 Lubiri-Ndeeba'!M39)</f>
        <v>212.14285714285714</v>
      </c>
      <c r="N39" s="49">
        <f>AVERAGE('22.07 Lubiri -Ndeeba'!N39,'23.07 Lubiri-Ndeeba'!N39,'24.07 Lubiri-Ndeeba'!N39,'25.07 Lubiri-Ndeeba'!N39,'26.07 Lubiri-Ndeeba-24h'!N39,'27.07 Lubiri-Ndeeba-24h'!N39,'28.07 Lubiri-Ndeeba'!N39)</f>
        <v>0</v>
      </c>
      <c r="O39" s="15">
        <f t="shared" si="0"/>
        <v>71.428571428571416</v>
      </c>
      <c r="P39" s="15">
        <f t="shared" si="1"/>
        <v>283.57142857142856</v>
      </c>
      <c r="R39" s="29" t="s">
        <v>87</v>
      </c>
      <c r="S39" s="16">
        <f t="shared" ref="S39:AF39" si="33">SUM(S19:S21)</f>
        <v>579.57142857142856</v>
      </c>
      <c r="T39" s="16">
        <f t="shared" si="33"/>
        <v>93.285714285714278</v>
      </c>
      <c r="U39" s="16">
        <f t="shared" si="33"/>
        <v>46.142857142857139</v>
      </c>
      <c r="V39" s="16">
        <f t="shared" si="33"/>
        <v>182.28571428571428</v>
      </c>
      <c r="W39" s="16">
        <f t="shared" si="33"/>
        <v>4.5714285714285712</v>
      </c>
      <c r="X39" s="16">
        <f t="shared" si="33"/>
        <v>0.2857142857142857</v>
      </c>
      <c r="Y39" s="16">
        <f t="shared" si="33"/>
        <v>59.285714285714285</v>
      </c>
      <c r="Z39" s="16">
        <f t="shared" si="33"/>
        <v>42.142857142857139</v>
      </c>
      <c r="AA39" s="16">
        <f t="shared" si="33"/>
        <v>6</v>
      </c>
      <c r="AB39" s="16">
        <f t="shared" si="33"/>
        <v>5.333333333333333</v>
      </c>
      <c r="AC39" s="16">
        <f t="shared" si="33"/>
        <v>2881</v>
      </c>
      <c r="AD39" s="16">
        <f t="shared" si="33"/>
        <v>0.2857142857142857</v>
      </c>
      <c r="AE39" s="32">
        <f t="shared" si="33"/>
        <v>1019.1428571428571</v>
      </c>
      <c r="AF39" s="32">
        <f t="shared" si="33"/>
        <v>3900.1428571428569</v>
      </c>
    </row>
    <row r="40" spans="2:32" ht="23.1" customHeight="1" x14ac:dyDescent="0.25">
      <c r="B40" s="24" t="s">
        <v>67</v>
      </c>
      <c r="C40" s="49">
        <f>AVERAGE('22.07 Lubiri -Ndeeba'!C40,'23.07 Lubiri-Ndeeba'!C40,'24.07 Lubiri-Ndeeba'!C40,'25.07 Lubiri-Ndeeba'!C40,'26.07 Lubiri-Ndeeba-24h'!C40,'27.07 Lubiri-Ndeeba-24h'!C40,'28.07 Lubiri-Ndeeba'!C40)</f>
        <v>31.428571428571427</v>
      </c>
      <c r="D40" s="49">
        <f>AVERAGE('22.07 Lubiri -Ndeeba'!D40,'23.07 Lubiri-Ndeeba'!D40,'24.07 Lubiri-Ndeeba'!D40,'25.07 Lubiri-Ndeeba'!D40,'26.07 Lubiri-Ndeeba-24h'!D40,'27.07 Lubiri-Ndeeba-24h'!D40,'28.07 Lubiri-Ndeeba'!D40)</f>
        <v>5.7142857142857144</v>
      </c>
      <c r="E40" s="49">
        <f>AVERAGE('22.07 Lubiri -Ndeeba'!E40,'23.07 Lubiri-Ndeeba'!E40,'24.07 Lubiri-Ndeeba'!E40,'25.07 Lubiri-Ndeeba'!E40,'26.07 Lubiri-Ndeeba-24h'!E40,'27.07 Lubiri-Ndeeba-24h'!E40,'28.07 Lubiri-Ndeeba'!E40)</f>
        <v>3.7142857142857144</v>
      </c>
      <c r="F40" s="49">
        <f>AVERAGE('22.07 Lubiri -Ndeeba'!F40,'23.07 Lubiri-Ndeeba'!F40,'24.07 Lubiri-Ndeeba'!F40,'25.07 Lubiri-Ndeeba'!F40,'26.07 Lubiri-Ndeeba-24h'!F40,'27.07 Lubiri-Ndeeba-24h'!F40,'28.07 Lubiri-Ndeeba'!F40)</f>
        <v>14.714285714285714</v>
      </c>
      <c r="G40" s="49">
        <f>AVERAGE('22.07 Lubiri -Ndeeba'!G40,'23.07 Lubiri-Ndeeba'!G40,'24.07 Lubiri-Ndeeba'!G40,'25.07 Lubiri-Ndeeba'!G40,'26.07 Lubiri-Ndeeba-24h'!G40,'27.07 Lubiri-Ndeeba-24h'!G40,'28.07 Lubiri-Ndeeba'!G40)</f>
        <v>0.7142857142857143</v>
      </c>
      <c r="H40" s="49">
        <f>AVERAGE('22.07 Lubiri -Ndeeba'!H40,'23.07 Lubiri-Ndeeba'!H40,'24.07 Lubiri-Ndeeba'!H40,'25.07 Lubiri-Ndeeba'!H40,'26.07 Lubiri-Ndeeba-24h'!H40,'27.07 Lubiri-Ndeeba-24h'!H40,'28.07 Lubiri-Ndeeba'!H40)</f>
        <v>0.14285714285714285</v>
      </c>
      <c r="I40" s="49">
        <f>AVERAGE('22.07 Lubiri -Ndeeba'!I40,'23.07 Lubiri-Ndeeba'!I40,'24.07 Lubiri-Ndeeba'!I40,'25.07 Lubiri-Ndeeba'!I40,'26.07 Lubiri-Ndeeba-24h'!I40,'27.07 Lubiri-Ndeeba-24h'!I40,'28.07 Lubiri-Ndeeba'!I40)</f>
        <v>6.2857142857142856</v>
      </c>
      <c r="J40" s="49">
        <f>AVERAGE('22.07 Lubiri -Ndeeba'!J40,'23.07 Lubiri-Ndeeba'!J40,'24.07 Lubiri-Ndeeba'!J40,'25.07 Lubiri-Ndeeba'!J40,'26.07 Lubiri-Ndeeba-24h'!J40,'27.07 Lubiri-Ndeeba-24h'!J40,'28.07 Lubiri-Ndeeba'!J40)</f>
        <v>3.8571428571428572</v>
      </c>
      <c r="K40" s="49">
        <f>AVERAGE('22.07 Lubiri -Ndeeba'!K40,'23.07 Lubiri-Ndeeba'!K40,'24.07 Lubiri-Ndeeba'!K40,'25.07 Lubiri-Ndeeba'!K40,'26.07 Lubiri-Ndeeba-24h'!K40,'27.07 Lubiri-Ndeeba-24h'!K40,'28.07 Lubiri-Ndeeba'!K40)</f>
        <v>1.7142857142857142</v>
      </c>
      <c r="L40" s="49">
        <f>AVERAGE('22.07 Lubiri -Ndeeba'!L40,'23.07 Lubiri-Ndeeba'!L40,'24.07 Lubiri-Ndeeba'!L40,'25.07 Lubiri-Ndeeba'!L40,'26.07 Lubiri-Ndeeba-24h'!L40,'27.07 Lubiri-Ndeeba-24h'!L40,'28.07 Lubiri-Ndeeba'!L40)</f>
        <v>0.14285714285714285</v>
      </c>
      <c r="M40" s="49">
        <f>AVERAGE('22.07 Lubiri -Ndeeba'!M40,'23.07 Lubiri-Ndeeba'!M40,'24.07 Lubiri-Ndeeba'!M40,'25.07 Lubiri-Ndeeba'!M40,'26.07 Lubiri-Ndeeba-24h'!M40,'27.07 Lubiri-Ndeeba-24h'!M40,'28.07 Lubiri-Ndeeba'!M40)</f>
        <v>194.85714285714286</v>
      </c>
      <c r="N40" s="49">
        <f>AVERAGE('22.07 Lubiri -Ndeeba'!N40,'23.07 Lubiri-Ndeeba'!N40,'24.07 Lubiri-Ndeeba'!N40,'25.07 Lubiri-Ndeeba'!N40,'26.07 Lubiri-Ndeeba-24h'!N40,'27.07 Lubiri-Ndeeba-24h'!N40,'28.07 Lubiri-Ndeeba'!N40)</f>
        <v>0</v>
      </c>
      <c r="O40" s="15">
        <f t="shared" si="0"/>
        <v>68.428571428571416</v>
      </c>
      <c r="P40" s="15">
        <f t="shared" si="1"/>
        <v>263.28571428571428</v>
      </c>
      <c r="R40" s="5" t="s">
        <v>17</v>
      </c>
      <c r="S40" s="16">
        <f t="shared" ref="S40:AF40" si="34">SUM(S10:S21)</f>
        <v>1797.7142857142856</v>
      </c>
      <c r="T40" s="16">
        <f t="shared" si="34"/>
        <v>327.71428571428572</v>
      </c>
      <c r="U40" s="16">
        <f t="shared" si="34"/>
        <v>201.14285714285714</v>
      </c>
      <c r="V40" s="16">
        <f t="shared" si="34"/>
        <v>702.57142857142867</v>
      </c>
      <c r="W40" s="16">
        <f t="shared" si="34"/>
        <v>25.714285714285719</v>
      </c>
      <c r="X40" s="16">
        <f t="shared" si="34"/>
        <v>2.9999999999999991</v>
      </c>
      <c r="Y40" s="16">
        <f t="shared" si="34"/>
        <v>258.57142857142856</v>
      </c>
      <c r="Z40" s="16">
        <f t="shared" si="34"/>
        <v>177.14285714285714</v>
      </c>
      <c r="AA40" s="16">
        <f t="shared" si="34"/>
        <v>27.857142857142854</v>
      </c>
      <c r="AB40" s="16">
        <f t="shared" si="34"/>
        <v>17.761904761904759</v>
      </c>
      <c r="AC40" s="16">
        <f t="shared" si="34"/>
        <v>10660.285714285716</v>
      </c>
      <c r="AD40" s="16">
        <f t="shared" si="34"/>
        <v>1.8571428571428568</v>
      </c>
      <c r="AE40" s="32">
        <f t="shared" si="34"/>
        <v>3541</v>
      </c>
      <c r="AF40" s="32">
        <f t="shared" si="34"/>
        <v>14201.285714285716</v>
      </c>
    </row>
    <row r="41" spans="2:32" ht="23.1" customHeight="1" x14ac:dyDescent="0.25">
      <c r="B41" s="23" t="s">
        <v>68</v>
      </c>
      <c r="C41" s="49">
        <f>AVERAGE('22.07 Lubiri -Ndeeba'!C41,'23.07 Lubiri-Ndeeba'!C41,'24.07 Lubiri-Ndeeba'!C41,'25.07 Lubiri-Ndeeba'!C41,'26.07 Lubiri-Ndeeba-24h'!C41,'27.07 Lubiri-Ndeeba-24h'!C41,'28.07 Lubiri-Ndeeba'!C41)</f>
        <v>34.857142857142854</v>
      </c>
      <c r="D41" s="49">
        <f>AVERAGE('22.07 Lubiri -Ndeeba'!D41,'23.07 Lubiri-Ndeeba'!D41,'24.07 Lubiri-Ndeeba'!D41,'25.07 Lubiri-Ndeeba'!D41,'26.07 Lubiri-Ndeeba-24h'!D41,'27.07 Lubiri-Ndeeba-24h'!D41,'28.07 Lubiri-Ndeeba'!D41)</f>
        <v>9.8571428571428577</v>
      </c>
      <c r="E41" s="49">
        <f>AVERAGE('22.07 Lubiri -Ndeeba'!E41,'23.07 Lubiri-Ndeeba'!E41,'24.07 Lubiri-Ndeeba'!E41,'25.07 Lubiri-Ndeeba'!E41,'26.07 Lubiri-Ndeeba-24h'!E41,'27.07 Lubiri-Ndeeba-24h'!E41,'28.07 Lubiri-Ndeeba'!E41)</f>
        <v>3.5714285714285716</v>
      </c>
      <c r="F41" s="49">
        <f>AVERAGE('22.07 Lubiri -Ndeeba'!F41,'23.07 Lubiri-Ndeeba'!F41,'24.07 Lubiri-Ndeeba'!F41,'25.07 Lubiri-Ndeeba'!F41,'26.07 Lubiri-Ndeeba-24h'!F41,'27.07 Lubiri-Ndeeba-24h'!F41,'28.07 Lubiri-Ndeeba'!F41)</f>
        <v>12.857142857142858</v>
      </c>
      <c r="G41" s="49">
        <f>AVERAGE('22.07 Lubiri -Ndeeba'!G41,'23.07 Lubiri-Ndeeba'!G41,'24.07 Lubiri-Ndeeba'!G41,'25.07 Lubiri-Ndeeba'!G41,'26.07 Lubiri-Ndeeba-24h'!G41,'27.07 Lubiri-Ndeeba-24h'!G41,'28.07 Lubiri-Ndeeba'!G41)</f>
        <v>0.2857142857142857</v>
      </c>
      <c r="H41" s="49">
        <f>AVERAGE('22.07 Lubiri -Ndeeba'!H41,'23.07 Lubiri-Ndeeba'!H41,'24.07 Lubiri-Ndeeba'!H41,'25.07 Lubiri-Ndeeba'!H41,'26.07 Lubiri-Ndeeba-24h'!H41,'27.07 Lubiri-Ndeeba-24h'!H41,'28.07 Lubiri-Ndeeba'!H41)</f>
        <v>0</v>
      </c>
      <c r="I41" s="49">
        <f>AVERAGE('22.07 Lubiri -Ndeeba'!I41,'23.07 Lubiri-Ndeeba'!I41,'24.07 Lubiri-Ndeeba'!I41,'25.07 Lubiri-Ndeeba'!I41,'26.07 Lubiri-Ndeeba-24h'!I41,'27.07 Lubiri-Ndeeba-24h'!I41,'28.07 Lubiri-Ndeeba'!I41)</f>
        <v>2.8571428571428572</v>
      </c>
      <c r="J41" s="49">
        <f>AVERAGE('22.07 Lubiri -Ndeeba'!J41,'23.07 Lubiri-Ndeeba'!J41,'24.07 Lubiri-Ndeeba'!J41,'25.07 Lubiri-Ndeeba'!J41,'26.07 Lubiri-Ndeeba-24h'!J41,'27.07 Lubiri-Ndeeba-24h'!J41,'28.07 Lubiri-Ndeeba'!J41)</f>
        <v>2.1428571428571428</v>
      </c>
      <c r="K41" s="49">
        <f>AVERAGE('22.07 Lubiri -Ndeeba'!K41,'23.07 Lubiri-Ndeeba'!K41,'24.07 Lubiri-Ndeeba'!K41,'25.07 Lubiri-Ndeeba'!K41,'26.07 Lubiri-Ndeeba-24h'!K41,'27.07 Lubiri-Ndeeba-24h'!K41,'28.07 Lubiri-Ndeeba'!K41)</f>
        <v>0.14285714285714285</v>
      </c>
      <c r="L41" s="49">
        <f>AVERAGE('22.07 Lubiri -Ndeeba'!L41,'23.07 Lubiri-Ndeeba'!L41,'24.07 Lubiri-Ndeeba'!L41,'25.07 Lubiri-Ndeeba'!L41,'26.07 Lubiri-Ndeeba-24h'!L41,'27.07 Lubiri-Ndeeba-24h'!L41,'28.07 Lubiri-Ndeeba'!L41)</f>
        <v>0</v>
      </c>
      <c r="M41" s="49">
        <f>AVERAGE('22.07 Lubiri -Ndeeba'!M41,'23.07 Lubiri-Ndeeba'!M41,'24.07 Lubiri-Ndeeba'!M41,'25.07 Lubiri-Ndeeba'!M41,'26.07 Lubiri-Ndeeba-24h'!M41,'27.07 Lubiri-Ndeeba-24h'!M41,'28.07 Lubiri-Ndeeba'!M41)</f>
        <v>187.14285714285714</v>
      </c>
      <c r="N41" s="49">
        <f>AVERAGE('22.07 Lubiri -Ndeeba'!N41,'23.07 Lubiri-Ndeeba'!N41,'24.07 Lubiri-Ndeeba'!N41,'25.07 Lubiri-Ndeeba'!N41,'26.07 Lubiri-Ndeeba-24h'!N41,'27.07 Lubiri-Ndeeba-24h'!N41,'28.07 Lubiri-Ndeeba'!N41)</f>
        <v>0.14285714285714285</v>
      </c>
      <c r="O41" s="15">
        <f t="shared" si="0"/>
        <v>66.714285714285694</v>
      </c>
      <c r="P41" s="15">
        <f t="shared" si="1"/>
        <v>253.85714285714283</v>
      </c>
      <c r="R41" s="5" t="s">
        <v>183</v>
      </c>
      <c r="S41" s="16">
        <f t="shared" ref="S41:AF41" si="35">SUM(S17:S33)</f>
        <v>1892.5714285714287</v>
      </c>
      <c r="T41" s="16">
        <f t="shared" si="35"/>
        <v>298.07142857142856</v>
      </c>
      <c r="U41" s="16">
        <f t="shared" si="35"/>
        <v>158.57142857142858</v>
      </c>
      <c r="V41" s="16">
        <f t="shared" si="35"/>
        <v>794.35714285714289</v>
      </c>
      <c r="W41" s="16">
        <f t="shared" si="35"/>
        <v>29.428571428571427</v>
      </c>
      <c r="X41" s="16">
        <f t="shared" si="35"/>
        <v>2.5</v>
      </c>
      <c r="Y41" s="16">
        <f t="shared" si="35"/>
        <v>169.07142857142856</v>
      </c>
      <c r="Z41" s="16">
        <f t="shared" si="35"/>
        <v>130.5</v>
      </c>
      <c r="AA41" s="16">
        <f t="shared" si="35"/>
        <v>25.142857142857139</v>
      </c>
      <c r="AB41" s="16">
        <f t="shared" si="35"/>
        <v>16.047619047619047</v>
      </c>
      <c r="AC41" s="16">
        <f t="shared" si="35"/>
        <v>6947.5</v>
      </c>
      <c r="AD41" s="16">
        <f t="shared" si="35"/>
        <v>1.7142857142857142</v>
      </c>
      <c r="AE41" s="32">
        <f t="shared" si="35"/>
        <v>3517.9285714285716</v>
      </c>
      <c r="AF41" s="32">
        <f t="shared" si="35"/>
        <v>10465.428571428572</v>
      </c>
    </row>
    <row r="42" spans="2:32" ht="23.1" customHeight="1" x14ac:dyDescent="0.25">
      <c r="B42" s="24" t="s">
        <v>69</v>
      </c>
      <c r="C42" s="49">
        <f>AVERAGE('22.07 Lubiri -Ndeeba'!C42,'23.07 Lubiri-Ndeeba'!C42,'24.07 Lubiri-Ndeeba'!C42,'25.07 Lubiri-Ndeeba'!C42,'26.07 Lubiri-Ndeeba-24h'!C42,'27.07 Lubiri-Ndeeba-24h'!C42,'28.07 Lubiri-Ndeeba'!C42)</f>
        <v>42.714285714285715</v>
      </c>
      <c r="D42" s="49">
        <f>AVERAGE('22.07 Lubiri -Ndeeba'!D42,'23.07 Lubiri-Ndeeba'!D42,'24.07 Lubiri-Ndeeba'!D42,'25.07 Lubiri-Ndeeba'!D42,'26.07 Lubiri-Ndeeba-24h'!D42,'27.07 Lubiri-Ndeeba-24h'!D42,'28.07 Lubiri-Ndeeba'!D42)</f>
        <v>6.5714285714285712</v>
      </c>
      <c r="E42" s="49">
        <f>AVERAGE('22.07 Lubiri -Ndeeba'!E42,'23.07 Lubiri-Ndeeba'!E42,'24.07 Lubiri-Ndeeba'!E42,'25.07 Lubiri-Ndeeba'!E42,'26.07 Lubiri-Ndeeba-24h'!E42,'27.07 Lubiri-Ndeeba-24h'!E42,'28.07 Lubiri-Ndeeba'!E42)</f>
        <v>6.2857142857142856</v>
      </c>
      <c r="F42" s="49">
        <f>AVERAGE('22.07 Lubiri -Ndeeba'!F42,'23.07 Lubiri-Ndeeba'!F42,'24.07 Lubiri-Ndeeba'!F42,'25.07 Lubiri-Ndeeba'!F42,'26.07 Lubiri-Ndeeba-24h'!F42,'27.07 Lubiri-Ndeeba-24h'!F42,'28.07 Lubiri-Ndeeba'!F42)</f>
        <v>13.142857142857142</v>
      </c>
      <c r="G42" s="49">
        <f>AVERAGE('22.07 Lubiri -Ndeeba'!G42,'23.07 Lubiri-Ndeeba'!G42,'24.07 Lubiri-Ndeeba'!G42,'25.07 Lubiri-Ndeeba'!G42,'26.07 Lubiri-Ndeeba-24h'!G42,'27.07 Lubiri-Ndeeba-24h'!G42,'28.07 Lubiri-Ndeeba'!G42)</f>
        <v>0</v>
      </c>
      <c r="H42" s="49">
        <f>AVERAGE('22.07 Lubiri -Ndeeba'!H42,'23.07 Lubiri-Ndeeba'!H42,'24.07 Lubiri-Ndeeba'!H42,'25.07 Lubiri-Ndeeba'!H42,'26.07 Lubiri-Ndeeba-24h'!H42,'27.07 Lubiri-Ndeeba-24h'!H42,'28.07 Lubiri-Ndeeba'!H42)</f>
        <v>0.42857142857142855</v>
      </c>
      <c r="I42" s="49">
        <f>AVERAGE('22.07 Lubiri -Ndeeba'!I42,'23.07 Lubiri-Ndeeba'!I42,'24.07 Lubiri-Ndeeba'!I42,'25.07 Lubiri-Ndeeba'!I42,'26.07 Lubiri-Ndeeba-24h'!I42,'27.07 Lubiri-Ndeeba-24h'!I42,'28.07 Lubiri-Ndeeba'!I42)</f>
        <v>4.7142857142857144</v>
      </c>
      <c r="J42" s="49">
        <f>AVERAGE('22.07 Lubiri -Ndeeba'!J42,'23.07 Lubiri-Ndeeba'!J42,'24.07 Lubiri-Ndeeba'!J42,'25.07 Lubiri-Ndeeba'!J42,'26.07 Lubiri-Ndeeba-24h'!J42,'27.07 Lubiri-Ndeeba-24h'!J42,'28.07 Lubiri-Ndeeba'!J42)</f>
        <v>5.8571428571428568</v>
      </c>
      <c r="K42" s="49">
        <f>AVERAGE('22.07 Lubiri -Ndeeba'!K42,'23.07 Lubiri-Ndeeba'!K42,'24.07 Lubiri-Ndeeba'!K42,'25.07 Lubiri-Ndeeba'!K42,'26.07 Lubiri-Ndeeba-24h'!K42,'27.07 Lubiri-Ndeeba-24h'!K42,'28.07 Lubiri-Ndeeba'!K42)</f>
        <v>1</v>
      </c>
      <c r="L42" s="49">
        <f>AVERAGE('22.07 Lubiri -Ndeeba'!L42,'23.07 Lubiri-Ndeeba'!L42,'24.07 Lubiri-Ndeeba'!L42,'25.07 Lubiri-Ndeeba'!L42,'26.07 Lubiri-Ndeeba-24h'!L42,'27.07 Lubiri-Ndeeba-24h'!L42,'28.07 Lubiri-Ndeeba'!L42)</f>
        <v>0.5714285714285714</v>
      </c>
      <c r="M42" s="49">
        <f>AVERAGE('22.07 Lubiri -Ndeeba'!M42,'23.07 Lubiri-Ndeeba'!M42,'24.07 Lubiri-Ndeeba'!M42,'25.07 Lubiri-Ndeeba'!M42,'26.07 Lubiri-Ndeeba-24h'!M42,'27.07 Lubiri-Ndeeba-24h'!M42,'28.07 Lubiri-Ndeeba'!M42)</f>
        <v>188.28571428571428</v>
      </c>
      <c r="N42" s="49">
        <f>AVERAGE('22.07 Lubiri -Ndeeba'!N42,'23.07 Lubiri-Ndeeba'!N42,'24.07 Lubiri-Ndeeba'!N42,'25.07 Lubiri-Ndeeba'!N42,'26.07 Lubiri-Ndeeba-24h'!N42,'27.07 Lubiri-Ndeeba-24h'!N42,'28.07 Lubiri-Ndeeba'!N42)</f>
        <v>0</v>
      </c>
      <c r="O42" s="49">
        <f>AVERAGE('22.07 Lubiri -Ndeeba'!O42,'23.07 Lubiri-Ndeeba'!O42,'24.07 Lubiri-Ndeeba'!O42,'25.07 Lubiri-Ndeeba'!O42,'26.07 Lubiri-Ndeeba-24h'!O42,'27.07 Lubiri-Ndeeba-24h'!O42,'28.07 Lubiri-Ndeeba'!O42)</f>
        <v>81.285714285714292</v>
      </c>
      <c r="P42" s="49">
        <f>AVERAGE('22.07 Lubiri -Ndeeba'!P42,'23.07 Lubiri-Ndeeba'!P42,'24.07 Lubiri-Ndeeba'!P42,'25.07 Lubiri-Ndeeba'!P42,'26.07 Lubiri-Ndeeba-24h'!P42,'27.07 Lubiri-Ndeeba-24h'!P42,'28.07 Lubiri-Ndeeba'!P42)</f>
        <v>269.57142857142856</v>
      </c>
      <c r="R42" s="5" t="s">
        <v>160</v>
      </c>
      <c r="S42" s="48">
        <f>S41/S40</f>
        <v>1.0527654164017801</v>
      </c>
      <c r="T42" s="48">
        <f t="shared" ref="T42:AF42" si="36">T41/T40</f>
        <v>0.90954664341761104</v>
      </c>
      <c r="U42" s="48">
        <f t="shared" si="36"/>
        <v>0.78835227272727282</v>
      </c>
      <c r="V42" s="48">
        <f t="shared" si="36"/>
        <v>1.1306425376169174</v>
      </c>
      <c r="W42" s="48">
        <f t="shared" si="36"/>
        <v>1.1444444444444442</v>
      </c>
      <c r="X42" s="48">
        <f t="shared" si="36"/>
        <v>0.83333333333333359</v>
      </c>
      <c r="Y42" s="48">
        <f t="shared" si="36"/>
        <v>0.65386740331491711</v>
      </c>
      <c r="Z42" s="48">
        <f t="shared" si="36"/>
        <v>0.73669354838709677</v>
      </c>
      <c r="AA42" s="48">
        <f t="shared" si="36"/>
        <v>0.90256410256410247</v>
      </c>
      <c r="AB42" s="48">
        <f t="shared" si="36"/>
        <v>0.90348525469168917</v>
      </c>
      <c r="AC42" s="48">
        <f t="shared" si="36"/>
        <v>0.65171799201307923</v>
      </c>
      <c r="AD42" s="48">
        <f t="shared" si="36"/>
        <v>0.92307692307692324</v>
      </c>
      <c r="AE42" s="52">
        <f t="shared" si="36"/>
        <v>0.99348448783636589</v>
      </c>
      <c r="AF42" s="52">
        <f t="shared" si="36"/>
        <v>0.73693528754941706</v>
      </c>
    </row>
    <row r="43" spans="2:32" ht="23.1" customHeight="1" x14ac:dyDescent="0.25">
      <c r="B43" s="23" t="s">
        <v>70</v>
      </c>
      <c r="C43" s="49">
        <f>AVERAGE('22.07 Lubiri -Ndeeba'!C43,'23.07 Lubiri-Ndeeba'!C43,'24.07 Lubiri-Ndeeba'!C43,'25.07 Lubiri-Ndeeba'!C43,'26.07 Lubiri-Ndeeba-24h'!C43,'27.07 Lubiri-Ndeeba-24h'!C43,'28.07 Lubiri-Ndeeba'!C43)</f>
        <v>36.857142857142854</v>
      </c>
      <c r="D43" s="49">
        <f>AVERAGE('22.07 Lubiri -Ndeeba'!D43,'23.07 Lubiri-Ndeeba'!D43,'24.07 Lubiri-Ndeeba'!D43,'25.07 Lubiri-Ndeeba'!D43,'26.07 Lubiri-Ndeeba-24h'!D43,'27.07 Lubiri-Ndeeba-24h'!D43,'28.07 Lubiri-Ndeeba'!D43)</f>
        <v>6.4285714285714288</v>
      </c>
      <c r="E43" s="49">
        <f>AVERAGE('22.07 Lubiri -Ndeeba'!E43,'23.07 Lubiri-Ndeeba'!E43,'24.07 Lubiri-Ndeeba'!E43,'25.07 Lubiri-Ndeeba'!E43,'26.07 Lubiri-Ndeeba-24h'!E43,'27.07 Lubiri-Ndeeba-24h'!E43,'28.07 Lubiri-Ndeeba'!E43)</f>
        <v>4</v>
      </c>
      <c r="F43" s="49">
        <f>AVERAGE('22.07 Lubiri -Ndeeba'!F43,'23.07 Lubiri-Ndeeba'!F43,'24.07 Lubiri-Ndeeba'!F43,'25.07 Lubiri-Ndeeba'!F43,'26.07 Lubiri-Ndeeba-24h'!F43,'27.07 Lubiri-Ndeeba-24h'!F43,'28.07 Lubiri-Ndeeba'!F43)</f>
        <v>11.285714285714286</v>
      </c>
      <c r="G43" s="49">
        <f>AVERAGE('22.07 Lubiri -Ndeeba'!G43,'23.07 Lubiri-Ndeeba'!G43,'24.07 Lubiri-Ndeeba'!G43,'25.07 Lubiri-Ndeeba'!G43,'26.07 Lubiri-Ndeeba-24h'!G43,'27.07 Lubiri-Ndeeba-24h'!G43,'28.07 Lubiri-Ndeeba'!G43)</f>
        <v>0.42857142857142855</v>
      </c>
      <c r="H43" s="49">
        <f>AVERAGE('22.07 Lubiri -Ndeeba'!H43,'23.07 Lubiri-Ndeeba'!H43,'24.07 Lubiri-Ndeeba'!H43,'25.07 Lubiri-Ndeeba'!H43,'26.07 Lubiri-Ndeeba-24h'!H43,'27.07 Lubiri-Ndeeba-24h'!H43,'28.07 Lubiri-Ndeeba'!H43)</f>
        <v>0</v>
      </c>
      <c r="I43" s="49">
        <f>AVERAGE('22.07 Lubiri -Ndeeba'!I43,'23.07 Lubiri-Ndeeba'!I43,'24.07 Lubiri-Ndeeba'!I43,'25.07 Lubiri-Ndeeba'!I43,'26.07 Lubiri-Ndeeba-24h'!I43,'27.07 Lubiri-Ndeeba-24h'!I43,'28.07 Lubiri-Ndeeba'!I43)</f>
        <v>3.2857142857142856</v>
      </c>
      <c r="J43" s="49">
        <f>AVERAGE('22.07 Lubiri -Ndeeba'!J43,'23.07 Lubiri-Ndeeba'!J43,'24.07 Lubiri-Ndeeba'!J43,'25.07 Lubiri-Ndeeba'!J43,'26.07 Lubiri-Ndeeba-24h'!J43,'27.07 Lubiri-Ndeeba-24h'!J43,'28.07 Lubiri-Ndeeba'!J43)</f>
        <v>4.2857142857142856</v>
      </c>
      <c r="K43" s="49">
        <f>AVERAGE('22.07 Lubiri -Ndeeba'!K43,'23.07 Lubiri-Ndeeba'!K43,'24.07 Lubiri-Ndeeba'!K43,'25.07 Lubiri-Ndeeba'!K43,'26.07 Lubiri-Ndeeba-24h'!K43,'27.07 Lubiri-Ndeeba-24h'!K43,'28.07 Lubiri-Ndeeba'!K43)</f>
        <v>0.8571428571428571</v>
      </c>
      <c r="L43" s="49">
        <f>AVERAGE('22.07 Lubiri -Ndeeba'!L43,'23.07 Lubiri-Ndeeba'!L43,'24.07 Lubiri-Ndeeba'!L43,'25.07 Lubiri-Ndeeba'!L43,'26.07 Lubiri-Ndeeba-24h'!L43,'27.07 Lubiri-Ndeeba-24h'!L43,'28.07 Lubiri-Ndeeba'!L43)</f>
        <v>0.14285714285714285</v>
      </c>
      <c r="M43" s="49">
        <f>AVERAGE('22.07 Lubiri -Ndeeba'!M43,'23.07 Lubiri-Ndeeba'!M43,'24.07 Lubiri-Ndeeba'!M43,'25.07 Lubiri-Ndeeba'!M43,'26.07 Lubiri-Ndeeba-24h'!M43,'27.07 Lubiri-Ndeeba-24h'!M43,'28.07 Lubiri-Ndeeba'!M43)</f>
        <v>196.85714285714286</v>
      </c>
      <c r="N43" s="49">
        <f>AVERAGE('22.07 Lubiri -Ndeeba'!N43,'23.07 Lubiri-Ndeeba'!N43,'24.07 Lubiri-Ndeeba'!N43,'25.07 Lubiri-Ndeeba'!N43,'26.07 Lubiri-Ndeeba-24h'!N43,'27.07 Lubiri-Ndeeba-24h'!N43,'28.07 Lubiri-Ndeeba'!N43)</f>
        <v>0</v>
      </c>
      <c r="O43" s="49">
        <f>AVERAGE('22.07 Lubiri -Ndeeba'!O43,'23.07 Lubiri-Ndeeba'!O43,'24.07 Lubiri-Ndeeba'!O43,'25.07 Lubiri-Ndeeba'!O43,'26.07 Lubiri-Ndeeba-24h'!O43,'27.07 Lubiri-Ndeeba-24h'!O43,'28.07 Lubiri-Ndeeba'!O43)</f>
        <v>67.571428571428569</v>
      </c>
      <c r="P43" s="49">
        <f>AVERAGE('22.07 Lubiri -Ndeeba'!P43,'23.07 Lubiri-Ndeeba'!P43,'24.07 Lubiri-Ndeeba'!P43,'25.07 Lubiri-Ndeeba'!P43,'26.07 Lubiri-Ndeeba-24h'!P43,'27.07 Lubiri-Ndeeba-24h'!P43,'28.07 Lubiri-Ndeeba'!P43)</f>
        <v>264.42857142857144</v>
      </c>
    </row>
    <row r="44" spans="2:32" ht="23.1" customHeight="1" x14ac:dyDescent="0.25">
      <c r="B44" s="25" t="s">
        <v>71</v>
      </c>
      <c r="C44" s="49">
        <f>AVERAGE('22.07 Lubiri -Ndeeba'!C44,'23.07 Lubiri-Ndeeba'!C44,'24.07 Lubiri-Ndeeba'!C44,'25.07 Lubiri-Ndeeba'!C44,'26.07 Lubiri-Ndeeba-24h'!C44,'27.07 Lubiri-Ndeeba-24h'!C44,'28.07 Lubiri-Ndeeba'!C44)</f>
        <v>46.571428571428569</v>
      </c>
      <c r="D44" s="49">
        <f>AVERAGE('22.07 Lubiri -Ndeeba'!D44,'23.07 Lubiri-Ndeeba'!D44,'24.07 Lubiri-Ndeeba'!D44,'25.07 Lubiri-Ndeeba'!D44,'26.07 Lubiri-Ndeeba-24h'!D44,'27.07 Lubiri-Ndeeba-24h'!D44,'28.07 Lubiri-Ndeeba'!D44)</f>
        <v>7.5714285714285712</v>
      </c>
      <c r="E44" s="49">
        <f>AVERAGE('22.07 Lubiri -Ndeeba'!E44,'23.07 Lubiri-Ndeeba'!E44,'24.07 Lubiri-Ndeeba'!E44,'25.07 Lubiri-Ndeeba'!E44,'26.07 Lubiri-Ndeeba-24h'!E44,'27.07 Lubiri-Ndeeba-24h'!E44,'28.07 Lubiri-Ndeeba'!E44)</f>
        <v>5.4285714285714288</v>
      </c>
      <c r="F44" s="49">
        <f>AVERAGE('22.07 Lubiri -Ndeeba'!F44,'23.07 Lubiri-Ndeeba'!F44,'24.07 Lubiri-Ndeeba'!F44,'25.07 Lubiri-Ndeeba'!F44,'26.07 Lubiri-Ndeeba-24h'!F44,'27.07 Lubiri-Ndeeba-24h'!F44,'28.07 Lubiri-Ndeeba'!F44)</f>
        <v>14.714285714285714</v>
      </c>
      <c r="G44" s="49">
        <f>AVERAGE('22.07 Lubiri -Ndeeba'!G44,'23.07 Lubiri-Ndeeba'!G44,'24.07 Lubiri-Ndeeba'!G44,'25.07 Lubiri-Ndeeba'!G44,'26.07 Lubiri-Ndeeba-24h'!G44,'27.07 Lubiri-Ndeeba-24h'!G44,'28.07 Lubiri-Ndeeba'!G44)</f>
        <v>0.42857142857142855</v>
      </c>
      <c r="H44" s="49">
        <f>AVERAGE('22.07 Lubiri -Ndeeba'!H44,'23.07 Lubiri-Ndeeba'!H44,'24.07 Lubiri-Ndeeba'!H44,'25.07 Lubiri-Ndeeba'!H44,'26.07 Lubiri-Ndeeba-24h'!H44,'27.07 Lubiri-Ndeeba-24h'!H44,'28.07 Lubiri-Ndeeba'!H44)</f>
        <v>0</v>
      </c>
      <c r="I44" s="49">
        <f>AVERAGE('22.07 Lubiri -Ndeeba'!I44,'23.07 Lubiri-Ndeeba'!I44,'24.07 Lubiri-Ndeeba'!I44,'25.07 Lubiri-Ndeeba'!I44,'26.07 Lubiri-Ndeeba-24h'!I44,'27.07 Lubiri-Ndeeba-24h'!I44,'28.07 Lubiri-Ndeeba'!I44)</f>
        <v>8.1428571428571423</v>
      </c>
      <c r="J44" s="49">
        <f>AVERAGE('22.07 Lubiri -Ndeeba'!J44,'23.07 Lubiri-Ndeeba'!J44,'24.07 Lubiri-Ndeeba'!J44,'25.07 Lubiri-Ndeeba'!J44,'26.07 Lubiri-Ndeeba-24h'!J44,'27.07 Lubiri-Ndeeba-24h'!J44,'28.07 Lubiri-Ndeeba'!J44)</f>
        <v>5.4285714285714288</v>
      </c>
      <c r="K44" s="49">
        <f>AVERAGE('22.07 Lubiri -Ndeeba'!K44,'23.07 Lubiri-Ndeeba'!K44,'24.07 Lubiri-Ndeeba'!K44,'25.07 Lubiri-Ndeeba'!K44,'26.07 Lubiri-Ndeeba-24h'!K44,'27.07 Lubiri-Ndeeba-24h'!K44,'28.07 Lubiri-Ndeeba'!K44)</f>
        <v>0.8571428571428571</v>
      </c>
      <c r="L44" s="49">
        <f>AVERAGE('22.07 Lubiri -Ndeeba'!L44,'23.07 Lubiri-Ndeeba'!L44,'24.07 Lubiri-Ndeeba'!L44,'25.07 Lubiri-Ndeeba'!L44,'26.07 Lubiri-Ndeeba-24h'!L44,'27.07 Lubiri-Ndeeba-24h'!L44,'28.07 Lubiri-Ndeeba'!L44)</f>
        <v>0.5714285714285714</v>
      </c>
      <c r="M44" s="49">
        <f>AVERAGE('22.07 Lubiri -Ndeeba'!M44,'23.07 Lubiri-Ndeeba'!M44,'24.07 Lubiri-Ndeeba'!M44,'25.07 Lubiri-Ndeeba'!M44,'26.07 Lubiri-Ndeeba-24h'!M44,'27.07 Lubiri-Ndeeba-24h'!M44,'28.07 Lubiri-Ndeeba'!M44)</f>
        <v>216</v>
      </c>
      <c r="N44" s="49">
        <f>AVERAGE('22.07 Lubiri -Ndeeba'!N44,'23.07 Lubiri-Ndeeba'!N44,'24.07 Lubiri-Ndeeba'!N44,'25.07 Lubiri-Ndeeba'!N44,'26.07 Lubiri-Ndeeba-24h'!N44,'27.07 Lubiri-Ndeeba-24h'!N44,'28.07 Lubiri-Ndeeba'!N44)</f>
        <v>0</v>
      </c>
      <c r="O44" s="49">
        <f>AVERAGE('22.07 Lubiri -Ndeeba'!O44,'23.07 Lubiri-Ndeeba'!O44,'24.07 Lubiri-Ndeeba'!O44,'25.07 Lubiri-Ndeeba'!O44,'26.07 Lubiri-Ndeeba-24h'!O44,'27.07 Lubiri-Ndeeba-24h'!O44,'28.07 Lubiri-Ndeeba'!O44)</f>
        <v>89.714285714285708</v>
      </c>
      <c r="P44" s="49">
        <f>AVERAGE('22.07 Lubiri -Ndeeba'!P44,'23.07 Lubiri-Ndeeba'!P44,'24.07 Lubiri-Ndeeba'!P44,'25.07 Lubiri-Ndeeba'!P44,'26.07 Lubiri-Ndeeba-24h'!P44,'27.07 Lubiri-Ndeeba-24h'!P44,'28.07 Lubiri-Ndeeba'!P44)</f>
        <v>305.71428571428572</v>
      </c>
    </row>
    <row r="45" spans="2:32" ht="23.1" customHeight="1" x14ac:dyDescent="0.25">
      <c r="B45" s="23" t="s">
        <v>72</v>
      </c>
      <c r="C45" s="49">
        <f>AVERAGE('22.07 Lubiri -Ndeeba'!C45,'23.07 Lubiri-Ndeeba'!C45,'24.07 Lubiri-Ndeeba'!C45,'25.07 Lubiri-Ndeeba'!C45,'26.07 Lubiri-Ndeeba-24h'!C45,'27.07 Lubiri-Ndeeba-24h'!C45,'28.07 Lubiri-Ndeeba'!C45)</f>
        <v>52.285714285714285</v>
      </c>
      <c r="D45" s="49">
        <f>AVERAGE('22.07 Lubiri -Ndeeba'!D45,'23.07 Lubiri-Ndeeba'!D45,'24.07 Lubiri-Ndeeba'!D45,'25.07 Lubiri-Ndeeba'!D45,'26.07 Lubiri-Ndeeba-24h'!D45,'27.07 Lubiri-Ndeeba-24h'!D45,'28.07 Lubiri-Ndeeba'!D45)</f>
        <v>6.1428571428571432</v>
      </c>
      <c r="E45" s="49">
        <f>AVERAGE('22.07 Lubiri -Ndeeba'!E45,'23.07 Lubiri-Ndeeba'!E45,'24.07 Lubiri-Ndeeba'!E45,'25.07 Lubiri-Ndeeba'!E45,'26.07 Lubiri-Ndeeba-24h'!E45,'27.07 Lubiri-Ndeeba-24h'!E45,'28.07 Lubiri-Ndeeba'!E45)</f>
        <v>3.1428571428571428</v>
      </c>
      <c r="F45" s="49">
        <f>AVERAGE('22.07 Lubiri -Ndeeba'!F45,'23.07 Lubiri-Ndeeba'!F45,'24.07 Lubiri-Ndeeba'!F45,'25.07 Lubiri-Ndeeba'!F45,'26.07 Lubiri-Ndeeba-24h'!F45,'27.07 Lubiri-Ndeeba-24h'!F45,'28.07 Lubiri-Ndeeba'!F45)</f>
        <v>11.428571428571429</v>
      </c>
      <c r="G45" s="49">
        <f>AVERAGE('22.07 Lubiri -Ndeeba'!G45,'23.07 Lubiri-Ndeeba'!G45,'24.07 Lubiri-Ndeeba'!G45,'25.07 Lubiri-Ndeeba'!G45,'26.07 Lubiri-Ndeeba-24h'!G45,'27.07 Lubiri-Ndeeba-24h'!G45,'28.07 Lubiri-Ndeeba'!G45)</f>
        <v>0.8571428571428571</v>
      </c>
      <c r="H45" s="49">
        <f>AVERAGE('22.07 Lubiri -Ndeeba'!H45,'23.07 Lubiri-Ndeeba'!H45,'24.07 Lubiri-Ndeeba'!H45,'25.07 Lubiri-Ndeeba'!H45,'26.07 Lubiri-Ndeeba-24h'!H45,'27.07 Lubiri-Ndeeba-24h'!H45,'28.07 Lubiri-Ndeeba'!H45)</f>
        <v>0</v>
      </c>
      <c r="I45" s="49">
        <f>AVERAGE('22.07 Lubiri -Ndeeba'!I45,'23.07 Lubiri-Ndeeba'!I45,'24.07 Lubiri-Ndeeba'!I45,'25.07 Lubiri-Ndeeba'!I45,'26.07 Lubiri-Ndeeba-24h'!I45,'27.07 Lubiri-Ndeeba-24h'!I45,'28.07 Lubiri-Ndeeba'!I45)</f>
        <v>6.1428571428571432</v>
      </c>
      <c r="J45" s="49">
        <f>AVERAGE('22.07 Lubiri -Ndeeba'!J45,'23.07 Lubiri-Ndeeba'!J45,'24.07 Lubiri-Ndeeba'!J45,'25.07 Lubiri-Ndeeba'!J45,'26.07 Lubiri-Ndeeba-24h'!J45,'27.07 Lubiri-Ndeeba-24h'!J45,'28.07 Lubiri-Ndeeba'!J45)</f>
        <v>4.1428571428571432</v>
      </c>
      <c r="K45" s="49">
        <f>AVERAGE('22.07 Lubiri -Ndeeba'!K45,'23.07 Lubiri-Ndeeba'!K45,'24.07 Lubiri-Ndeeba'!K45,'25.07 Lubiri-Ndeeba'!K45,'26.07 Lubiri-Ndeeba-24h'!K45,'27.07 Lubiri-Ndeeba-24h'!K45,'28.07 Lubiri-Ndeeba'!K45)</f>
        <v>0.42857142857142855</v>
      </c>
      <c r="L45" s="49">
        <f>AVERAGE('22.07 Lubiri -Ndeeba'!L45,'23.07 Lubiri-Ndeeba'!L45,'24.07 Lubiri-Ndeeba'!L45,'25.07 Lubiri-Ndeeba'!L45,'26.07 Lubiri-Ndeeba-24h'!L45,'27.07 Lubiri-Ndeeba-24h'!L45,'28.07 Lubiri-Ndeeba'!L45)</f>
        <v>0.42857142857142855</v>
      </c>
      <c r="M45" s="49">
        <f>AVERAGE('22.07 Lubiri -Ndeeba'!M45,'23.07 Lubiri-Ndeeba'!M45,'24.07 Lubiri-Ndeeba'!M45,'25.07 Lubiri-Ndeeba'!M45,'26.07 Lubiri-Ndeeba-24h'!M45,'27.07 Lubiri-Ndeeba-24h'!M45,'28.07 Lubiri-Ndeeba'!M45)</f>
        <v>268.85714285714283</v>
      </c>
      <c r="N45" s="49">
        <f>AVERAGE('22.07 Lubiri -Ndeeba'!N45,'23.07 Lubiri-Ndeeba'!N45,'24.07 Lubiri-Ndeeba'!N45,'25.07 Lubiri-Ndeeba'!N45,'26.07 Lubiri-Ndeeba-24h'!N45,'27.07 Lubiri-Ndeeba-24h'!N45,'28.07 Lubiri-Ndeeba'!N45)</f>
        <v>0.14285714285714285</v>
      </c>
      <c r="O45" s="49">
        <f>AVERAGE('22.07 Lubiri -Ndeeba'!O45,'23.07 Lubiri-Ndeeba'!O45,'24.07 Lubiri-Ndeeba'!O45,'25.07 Lubiri-Ndeeba'!O45,'26.07 Lubiri-Ndeeba-24h'!O45,'27.07 Lubiri-Ndeeba-24h'!O45,'28.07 Lubiri-Ndeeba'!O45)</f>
        <v>85.142857142857139</v>
      </c>
      <c r="P45" s="49">
        <f>AVERAGE('22.07 Lubiri -Ndeeba'!P45,'23.07 Lubiri-Ndeeba'!P45,'24.07 Lubiri-Ndeeba'!P45,'25.07 Lubiri-Ndeeba'!P45,'26.07 Lubiri-Ndeeba-24h'!P45,'27.07 Lubiri-Ndeeba-24h'!P45,'28.07 Lubiri-Ndeeba'!P45)</f>
        <v>354</v>
      </c>
    </row>
    <row r="46" spans="2:32" ht="23.1" customHeight="1" x14ac:dyDescent="0.25">
      <c r="B46" s="24" t="s">
        <v>73</v>
      </c>
      <c r="C46" s="49">
        <f>AVERAGE('22.07 Lubiri -Ndeeba'!C46,'23.07 Lubiri-Ndeeba'!C46,'24.07 Lubiri-Ndeeba'!C46,'25.07 Lubiri-Ndeeba'!C46,'26.07 Lubiri-Ndeeba-24h'!C46,'27.07 Lubiri-Ndeeba-24h'!C46,'28.07 Lubiri-Ndeeba'!C46)</f>
        <v>41</v>
      </c>
      <c r="D46" s="49">
        <f>AVERAGE('22.07 Lubiri -Ndeeba'!D46,'23.07 Lubiri-Ndeeba'!D46,'24.07 Lubiri-Ndeeba'!D46,'25.07 Lubiri-Ndeeba'!D46,'26.07 Lubiri-Ndeeba-24h'!D46,'27.07 Lubiri-Ndeeba-24h'!D46,'28.07 Lubiri-Ndeeba'!D46)</f>
        <v>7.8571428571428568</v>
      </c>
      <c r="E46" s="49">
        <f>AVERAGE('22.07 Lubiri -Ndeeba'!E46,'23.07 Lubiri-Ndeeba'!E46,'24.07 Lubiri-Ndeeba'!E46,'25.07 Lubiri-Ndeeba'!E46,'26.07 Lubiri-Ndeeba-24h'!E46,'27.07 Lubiri-Ndeeba-24h'!E46,'28.07 Lubiri-Ndeeba'!E46)</f>
        <v>4.4285714285714288</v>
      </c>
      <c r="F46" s="49">
        <f>AVERAGE('22.07 Lubiri -Ndeeba'!F46,'23.07 Lubiri-Ndeeba'!F46,'24.07 Lubiri-Ndeeba'!F46,'25.07 Lubiri-Ndeeba'!F46,'26.07 Lubiri-Ndeeba-24h'!F46,'27.07 Lubiri-Ndeeba-24h'!F46,'28.07 Lubiri-Ndeeba'!F46)</f>
        <v>13.857142857142858</v>
      </c>
      <c r="G46" s="49">
        <f>AVERAGE('22.07 Lubiri -Ndeeba'!G46,'23.07 Lubiri-Ndeeba'!G46,'24.07 Lubiri-Ndeeba'!G46,'25.07 Lubiri-Ndeeba'!G46,'26.07 Lubiri-Ndeeba-24h'!G46,'27.07 Lubiri-Ndeeba-24h'!G46,'28.07 Lubiri-Ndeeba'!G46)</f>
        <v>0.7142857142857143</v>
      </c>
      <c r="H46" s="49">
        <f>AVERAGE('22.07 Lubiri -Ndeeba'!H46,'23.07 Lubiri-Ndeeba'!H46,'24.07 Lubiri-Ndeeba'!H46,'25.07 Lubiri-Ndeeba'!H46,'26.07 Lubiri-Ndeeba-24h'!H46,'27.07 Lubiri-Ndeeba-24h'!H46,'28.07 Lubiri-Ndeeba'!H46)</f>
        <v>0.14285714285714285</v>
      </c>
      <c r="I46" s="49">
        <f>AVERAGE('22.07 Lubiri -Ndeeba'!I46,'23.07 Lubiri-Ndeeba'!I46,'24.07 Lubiri-Ndeeba'!I46,'25.07 Lubiri-Ndeeba'!I46,'26.07 Lubiri-Ndeeba-24h'!I46,'27.07 Lubiri-Ndeeba-24h'!I46,'28.07 Lubiri-Ndeeba'!I46)</f>
        <v>5.7142857142857144</v>
      </c>
      <c r="J46" s="49">
        <f>AVERAGE('22.07 Lubiri -Ndeeba'!J46,'23.07 Lubiri-Ndeeba'!J46,'24.07 Lubiri-Ndeeba'!J46,'25.07 Lubiri-Ndeeba'!J46,'26.07 Lubiri-Ndeeba-24h'!J46,'27.07 Lubiri-Ndeeba-24h'!J46,'28.07 Lubiri-Ndeeba'!J46)</f>
        <v>3.8571428571428572</v>
      </c>
      <c r="K46" s="49">
        <f>AVERAGE('22.07 Lubiri -Ndeeba'!K46,'23.07 Lubiri-Ndeeba'!K46,'24.07 Lubiri-Ndeeba'!K46,'25.07 Lubiri-Ndeeba'!K46,'26.07 Lubiri-Ndeeba-24h'!K46,'27.07 Lubiri-Ndeeba-24h'!K46,'28.07 Lubiri-Ndeeba'!K46)</f>
        <v>0.2857142857142857</v>
      </c>
      <c r="L46" s="49">
        <f>AVERAGE('22.07 Lubiri -Ndeeba'!L46,'23.07 Lubiri-Ndeeba'!L46,'24.07 Lubiri-Ndeeba'!L46,'25.07 Lubiri-Ndeeba'!L46,'26.07 Lubiri-Ndeeba-24h'!L46,'27.07 Lubiri-Ndeeba-24h'!L46,'28.07 Lubiri-Ndeeba'!L46)</f>
        <v>0.7142857142857143</v>
      </c>
      <c r="M46" s="49">
        <f>AVERAGE('22.07 Lubiri -Ndeeba'!M46,'23.07 Lubiri-Ndeeba'!M46,'24.07 Lubiri-Ndeeba'!M46,'25.07 Lubiri-Ndeeba'!M46,'26.07 Lubiri-Ndeeba-24h'!M46,'27.07 Lubiri-Ndeeba-24h'!M46,'28.07 Lubiri-Ndeeba'!M46)</f>
        <v>198.57142857142858</v>
      </c>
      <c r="N46" s="49">
        <f>AVERAGE('22.07 Lubiri -Ndeeba'!N46,'23.07 Lubiri-Ndeeba'!N46,'24.07 Lubiri-Ndeeba'!N46,'25.07 Lubiri-Ndeeba'!N46,'26.07 Lubiri-Ndeeba-24h'!N46,'27.07 Lubiri-Ndeeba-24h'!N46,'28.07 Lubiri-Ndeeba'!N46)</f>
        <v>0</v>
      </c>
      <c r="O46" s="49">
        <f>AVERAGE('22.07 Lubiri -Ndeeba'!O46,'23.07 Lubiri-Ndeeba'!O46,'24.07 Lubiri-Ndeeba'!O46,'25.07 Lubiri-Ndeeba'!O46,'26.07 Lubiri-Ndeeba-24h'!O46,'27.07 Lubiri-Ndeeba-24h'!O46,'28.07 Lubiri-Ndeeba'!O46)</f>
        <v>78.571428571428569</v>
      </c>
      <c r="P46" s="49">
        <f>AVERAGE('22.07 Lubiri -Ndeeba'!P46,'23.07 Lubiri-Ndeeba'!P46,'24.07 Lubiri-Ndeeba'!P46,'25.07 Lubiri-Ndeeba'!P46,'26.07 Lubiri-Ndeeba-24h'!P46,'27.07 Lubiri-Ndeeba-24h'!P46,'28.07 Lubiri-Ndeeba'!P46)</f>
        <v>277.14285714285717</v>
      </c>
    </row>
    <row r="47" spans="2:32" ht="23.1" customHeight="1" x14ac:dyDescent="0.25">
      <c r="B47" s="24" t="s">
        <v>74</v>
      </c>
      <c r="C47" s="49">
        <f>AVERAGE('22.07 Lubiri -Ndeeba'!C47,'23.07 Lubiri-Ndeeba'!C47,'24.07 Lubiri-Ndeeba'!C47,'25.07 Lubiri-Ndeeba'!C47,'26.07 Lubiri-Ndeeba-24h'!C47,'27.07 Lubiri-Ndeeba-24h'!C47,'28.07 Lubiri-Ndeeba'!C47)</f>
        <v>50.428571428571431</v>
      </c>
      <c r="D47" s="49">
        <f>AVERAGE('22.07 Lubiri -Ndeeba'!D47,'23.07 Lubiri-Ndeeba'!D47,'24.07 Lubiri-Ndeeba'!D47,'25.07 Lubiri-Ndeeba'!D47,'26.07 Lubiri-Ndeeba-24h'!D47,'27.07 Lubiri-Ndeeba-24h'!D47,'28.07 Lubiri-Ndeeba'!D47)</f>
        <v>6.7142857142857144</v>
      </c>
      <c r="E47" s="49">
        <f>AVERAGE('22.07 Lubiri -Ndeeba'!E47,'23.07 Lubiri-Ndeeba'!E47,'24.07 Lubiri-Ndeeba'!E47,'25.07 Lubiri-Ndeeba'!E47,'26.07 Lubiri-Ndeeba-24h'!E47,'27.07 Lubiri-Ndeeba-24h'!E47,'28.07 Lubiri-Ndeeba'!E47)</f>
        <v>2.7142857142857144</v>
      </c>
      <c r="F47" s="49">
        <f>AVERAGE('22.07 Lubiri -Ndeeba'!F47,'23.07 Lubiri-Ndeeba'!F47,'24.07 Lubiri-Ndeeba'!F47,'25.07 Lubiri-Ndeeba'!F47,'26.07 Lubiri-Ndeeba-24h'!F47,'27.07 Lubiri-Ndeeba-24h'!F47,'28.07 Lubiri-Ndeeba'!F47)</f>
        <v>17</v>
      </c>
      <c r="G47" s="49">
        <f>AVERAGE('22.07 Lubiri -Ndeeba'!G47,'23.07 Lubiri-Ndeeba'!G47,'24.07 Lubiri-Ndeeba'!G47,'25.07 Lubiri-Ndeeba'!G47,'26.07 Lubiri-Ndeeba-24h'!G47,'27.07 Lubiri-Ndeeba-24h'!G47,'28.07 Lubiri-Ndeeba'!G47)</f>
        <v>0.2857142857142857</v>
      </c>
      <c r="H47" s="49">
        <f>AVERAGE('22.07 Lubiri -Ndeeba'!H47,'23.07 Lubiri-Ndeeba'!H47,'24.07 Lubiri-Ndeeba'!H47,'25.07 Lubiri-Ndeeba'!H47,'26.07 Lubiri-Ndeeba-24h'!H47,'27.07 Lubiri-Ndeeba-24h'!H47,'28.07 Lubiri-Ndeeba'!H47)</f>
        <v>0</v>
      </c>
      <c r="I47" s="49">
        <f>AVERAGE('22.07 Lubiri -Ndeeba'!I47,'23.07 Lubiri-Ndeeba'!I47,'24.07 Lubiri-Ndeeba'!I47,'25.07 Lubiri-Ndeeba'!I47,'26.07 Lubiri-Ndeeba-24h'!I47,'27.07 Lubiri-Ndeeba-24h'!I47,'28.07 Lubiri-Ndeeba'!I47)</f>
        <v>5.5714285714285712</v>
      </c>
      <c r="J47" s="49">
        <f>AVERAGE('22.07 Lubiri -Ndeeba'!J47,'23.07 Lubiri-Ndeeba'!J47,'24.07 Lubiri-Ndeeba'!J47,'25.07 Lubiri-Ndeeba'!J47,'26.07 Lubiri-Ndeeba-24h'!J47,'27.07 Lubiri-Ndeeba-24h'!J47,'28.07 Lubiri-Ndeeba'!J47)</f>
        <v>4.2857142857142856</v>
      </c>
      <c r="K47" s="49">
        <f>AVERAGE('22.07 Lubiri -Ndeeba'!K47,'23.07 Lubiri-Ndeeba'!K47,'24.07 Lubiri-Ndeeba'!K47,'25.07 Lubiri-Ndeeba'!K47,'26.07 Lubiri-Ndeeba-24h'!K47,'27.07 Lubiri-Ndeeba-24h'!K47,'28.07 Lubiri-Ndeeba'!K47)</f>
        <v>0.7142857142857143</v>
      </c>
      <c r="L47" s="49">
        <f>AVERAGE('22.07 Lubiri -Ndeeba'!L47,'23.07 Lubiri-Ndeeba'!L47,'24.07 Lubiri-Ndeeba'!L47,'25.07 Lubiri-Ndeeba'!L47,'26.07 Lubiri-Ndeeba-24h'!L47,'27.07 Lubiri-Ndeeba-24h'!L47,'28.07 Lubiri-Ndeeba'!L47)</f>
        <v>0.33333333333333331</v>
      </c>
      <c r="M47" s="49">
        <f>AVERAGE('22.07 Lubiri -Ndeeba'!M47,'23.07 Lubiri-Ndeeba'!M47,'24.07 Lubiri-Ndeeba'!M47,'25.07 Lubiri-Ndeeba'!M47,'26.07 Lubiri-Ndeeba-24h'!M47,'27.07 Lubiri-Ndeeba-24h'!M47,'28.07 Lubiri-Ndeeba'!M47)</f>
        <v>226.85714285714286</v>
      </c>
      <c r="N47" s="49">
        <f>AVERAGE('22.07 Lubiri -Ndeeba'!N47,'23.07 Lubiri-Ndeeba'!N47,'24.07 Lubiri-Ndeeba'!N47,'25.07 Lubiri-Ndeeba'!N47,'26.07 Lubiri-Ndeeba-24h'!N47,'27.07 Lubiri-Ndeeba-24h'!N47,'28.07 Lubiri-Ndeeba'!N47)</f>
        <v>0</v>
      </c>
      <c r="O47" s="49">
        <f>AVERAGE('22.07 Lubiri -Ndeeba'!O47,'23.07 Lubiri-Ndeeba'!O47,'24.07 Lubiri-Ndeeba'!O47,'25.07 Lubiri-Ndeeba'!O47,'26.07 Lubiri-Ndeeba-24h'!O47,'27.07 Lubiri-Ndeeba-24h'!O47,'28.07 Lubiri-Ndeeba'!O47)</f>
        <v>88</v>
      </c>
      <c r="P47" s="49">
        <f>AVERAGE('22.07 Lubiri -Ndeeba'!P47,'23.07 Lubiri-Ndeeba'!P47,'24.07 Lubiri-Ndeeba'!P47,'25.07 Lubiri-Ndeeba'!P47,'26.07 Lubiri-Ndeeba-24h'!P47,'27.07 Lubiri-Ndeeba-24h'!P47,'28.07 Lubiri-Ndeeba'!P47)</f>
        <v>314.85714285714283</v>
      </c>
    </row>
    <row r="48" spans="2:32" ht="23.1" customHeight="1" x14ac:dyDescent="0.25">
      <c r="B48" s="24" t="s">
        <v>75</v>
      </c>
      <c r="C48" s="49">
        <f>AVERAGE('22.07 Lubiri -Ndeeba'!C48,'23.07 Lubiri-Ndeeba'!C48,'24.07 Lubiri-Ndeeba'!C48,'25.07 Lubiri-Ndeeba'!C48,'26.07 Lubiri-Ndeeba-24h'!C48,'27.07 Lubiri-Ndeeba-24h'!C48,'28.07 Lubiri-Ndeeba'!C48)</f>
        <v>41.285714285714285</v>
      </c>
      <c r="D48" s="49">
        <f>AVERAGE('22.07 Lubiri -Ndeeba'!D48,'23.07 Lubiri-Ndeeba'!D48,'24.07 Lubiri-Ndeeba'!D48,'25.07 Lubiri-Ndeeba'!D48,'26.07 Lubiri-Ndeeba-24h'!D48,'27.07 Lubiri-Ndeeba-24h'!D48,'28.07 Lubiri-Ndeeba'!D48)</f>
        <v>7.2857142857142856</v>
      </c>
      <c r="E48" s="49">
        <f>AVERAGE('22.07 Lubiri -Ndeeba'!E48,'23.07 Lubiri-Ndeeba'!E48,'24.07 Lubiri-Ndeeba'!E48,'25.07 Lubiri-Ndeeba'!E48,'26.07 Lubiri-Ndeeba-24h'!E48,'27.07 Lubiri-Ndeeba-24h'!E48,'28.07 Lubiri-Ndeeba'!E48)</f>
        <v>4.4285714285714288</v>
      </c>
      <c r="F48" s="49">
        <f>AVERAGE('22.07 Lubiri -Ndeeba'!F48,'23.07 Lubiri-Ndeeba'!F48,'24.07 Lubiri-Ndeeba'!F48,'25.07 Lubiri-Ndeeba'!F48,'26.07 Lubiri-Ndeeba-24h'!F48,'27.07 Lubiri-Ndeeba-24h'!F48,'28.07 Lubiri-Ndeeba'!F48)</f>
        <v>10.714285714285714</v>
      </c>
      <c r="G48" s="49">
        <f>AVERAGE('22.07 Lubiri -Ndeeba'!G48,'23.07 Lubiri-Ndeeba'!G48,'24.07 Lubiri-Ndeeba'!G48,'25.07 Lubiri-Ndeeba'!G48,'26.07 Lubiri-Ndeeba-24h'!G48,'27.07 Lubiri-Ndeeba-24h'!G48,'28.07 Lubiri-Ndeeba'!G48)</f>
        <v>1.1428571428571428</v>
      </c>
      <c r="H48" s="49">
        <f>AVERAGE('22.07 Lubiri -Ndeeba'!H48,'23.07 Lubiri-Ndeeba'!H48,'24.07 Lubiri-Ndeeba'!H48,'25.07 Lubiri-Ndeeba'!H48,'26.07 Lubiri-Ndeeba-24h'!H48,'27.07 Lubiri-Ndeeba-24h'!H48,'28.07 Lubiri-Ndeeba'!H48)</f>
        <v>0</v>
      </c>
      <c r="I48" s="49">
        <f>AVERAGE('22.07 Lubiri -Ndeeba'!I48,'23.07 Lubiri-Ndeeba'!I48,'24.07 Lubiri-Ndeeba'!I48,'25.07 Lubiri-Ndeeba'!I48,'26.07 Lubiri-Ndeeba-24h'!I48,'27.07 Lubiri-Ndeeba-24h'!I48,'28.07 Lubiri-Ndeeba'!I48)</f>
        <v>7</v>
      </c>
      <c r="J48" s="49">
        <f>AVERAGE('22.07 Lubiri -Ndeeba'!J48,'23.07 Lubiri-Ndeeba'!J48,'24.07 Lubiri-Ndeeba'!J48,'25.07 Lubiri-Ndeeba'!J48,'26.07 Lubiri-Ndeeba-24h'!J48,'27.07 Lubiri-Ndeeba-24h'!J48,'28.07 Lubiri-Ndeeba'!J48)</f>
        <v>3.2857142857142856</v>
      </c>
      <c r="K48" s="49">
        <f>AVERAGE('22.07 Lubiri -Ndeeba'!K48,'23.07 Lubiri-Ndeeba'!K48,'24.07 Lubiri-Ndeeba'!K48,'25.07 Lubiri-Ndeeba'!K48,'26.07 Lubiri-Ndeeba-24h'!K48,'27.07 Lubiri-Ndeeba-24h'!K48,'28.07 Lubiri-Ndeeba'!K48)</f>
        <v>0.2857142857142857</v>
      </c>
      <c r="L48" s="49">
        <f>AVERAGE('22.07 Lubiri -Ndeeba'!L48,'23.07 Lubiri-Ndeeba'!L48,'24.07 Lubiri-Ndeeba'!L48,'25.07 Lubiri-Ndeeba'!L48,'26.07 Lubiri-Ndeeba-24h'!L48,'27.07 Lubiri-Ndeeba-24h'!L48,'28.07 Lubiri-Ndeeba'!L48)</f>
        <v>0.42857142857142855</v>
      </c>
      <c r="M48" s="49">
        <f>AVERAGE('22.07 Lubiri -Ndeeba'!M48,'23.07 Lubiri-Ndeeba'!M48,'24.07 Lubiri-Ndeeba'!M48,'25.07 Lubiri-Ndeeba'!M48,'26.07 Lubiri-Ndeeba-24h'!M48,'27.07 Lubiri-Ndeeba-24h'!M48,'28.07 Lubiri-Ndeeba'!M48)</f>
        <v>233.85714285714286</v>
      </c>
      <c r="N48" s="49">
        <f>AVERAGE('22.07 Lubiri -Ndeeba'!N48,'23.07 Lubiri-Ndeeba'!N48,'24.07 Lubiri-Ndeeba'!N48,'25.07 Lubiri-Ndeeba'!N48,'26.07 Lubiri-Ndeeba-24h'!N48,'27.07 Lubiri-Ndeeba-24h'!N48,'28.07 Lubiri-Ndeeba'!N48)</f>
        <v>0</v>
      </c>
      <c r="O48" s="49">
        <f>AVERAGE('22.07 Lubiri -Ndeeba'!O48,'23.07 Lubiri-Ndeeba'!O48,'24.07 Lubiri-Ndeeba'!O48,'25.07 Lubiri-Ndeeba'!O48,'26.07 Lubiri-Ndeeba-24h'!O48,'27.07 Lubiri-Ndeeba-24h'!O48,'28.07 Lubiri-Ndeeba'!O48)</f>
        <v>75.857142857142861</v>
      </c>
      <c r="P48" s="49">
        <f>AVERAGE('22.07 Lubiri -Ndeeba'!P48,'23.07 Lubiri-Ndeeba'!P48,'24.07 Lubiri-Ndeeba'!P48,'25.07 Lubiri-Ndeeba'!P48,'26.07 Lubiri-Ndeeba-24h'!P48,'27.07 Lubiri-Ndeeba-24h'!P48,'28.07 Lubiri-Ndeeba'!P48)</f>
        <v>309.71428571428572</v>
      </c>
    </row>
    <row r="49" spans="2:20" ht="23.1" customHeight="1" x14ac:dyDescent="0.25">
      <c r="B49" s="23" t="s">
        <v>76</v>
      </c>
      <c r="C49" s="49">
        <f>AVERAGE('22.07 Lubiri -Ndeeba'!C49,'23.07 Lubiri-Ndeeba'!C49,'24.07 Lubiri-Ndeeba'!C49,'25.07 Lubiri-Ndeeba'!C49,'26.07 Lubiri-Ndeeba-24h'!C49,'27.07 Lubiri-Ndeeba-24h'!C49,'28.07 Lubiri-Ndeeba'!C49)</f>
        <v>44.142857142857146</v>
      </c>
      <c r="D49" s="49">
        <f>AVERAGE('22.07 Lubiri -Ndeeba'!D49,'23.07 Lubiri-Ndeeba'!D49,'24.07 Lubiri-Ndeeba'!D49,'25.07 Lubiri-Ndeeba'!D49,'26.07 Lubiri-Ndeeba-24h'!D49,'27.07 Lubiri-Ndeeba-24h'!D49,'28.07 Lubiri-Ndeeba'!D49)</f>
        <v>5</v>
      </c>
      <c r="E49" s="49">
        <f>AVERAGE('22.07 Lubiri -Ndeeba'!E49,'23.07 Lubiri-Ndeeba'!E49,'24.07 Lubiri-Ndeeba'!E49,'25.07 Lubiri-Ndeeba'!E49,'26.07 Lubiri-Ndeeba-24h'!E49,'27.07 Lubiri-Ndeeba-24h'!E49,'28.07 Lubiri-Ndeeba'!E49)</f>
        <v>3.2857142857142856</v>
      </c>
      <c r="F49" s="49">
        <f>AVERAGE('22.07 Lubiri -Ndeeba'!F49,'23.07 Lubiri-Ndeeba'!F49,'24.07 Lubiri-Ndeeba'!F49,'25.07 Lubiri-Ndeeba'!F49,'26.07 Lubiri-Ndeeba-24h'!F49,'27.07 Lubiri-Ndeeba-24h'!F49,'28.07 Lubiri-Ndeeba'!F49)</f>
        <v>12.285714285714286</v>
      </c>
      <c r="G49" s="49">
        <f>AVERAGE('22.07 Lubiri -Ndeeba'!G49,'23.07 Lubiri-Ndeeba'!G49,'24.07 Lubiri-Ndeeba'!G49,'25.07 Lubiri-Ndeeba'!G49,'26.07 Lubiri-Ndeeba-24h'!G49,'27.07 Lubiri-Ndeeba-24h'!G49,'28.07 Lubiri-Ndeeba'!G49)</f>
        <v>0.7142857142857143</v>
      </c>
      <c r="H49" s="49">
        <f>AVERAGE('22.07 Lubiri -Ndeeba'!H49,'23.07 Lubiri-Ndeeba'!H49,'24.07 Lubiri-Ndeeba'!H49,'25.07 Lubiri-Ndeeba'!H49,'26.07 Lubiri-Ndeeba-24h'!H49,'27.07 Lubiri-Ndeeba-24h'!H49,'28.07 Lubiri-Ndeeba'!H49)</f>
        <v>0</v>
      </c>
      <c r="I49" s="49">
        <f>AVERAGE('22.07 Lubiri -Ndeeba'!I49,'23.07 Lubiri-Ndeeba'!I49,'24.07 Lubiri-Ndeeba'!I49,'25.07 Lubiri-Ndeeba'!I49,'26.07 Lubiri-Ndeeba-24h'!I49,'27.07 Lubiri-Ndeeba-24h'!I49,'28.07 Lubiri-Ndeeba'!I49)</f>
        <v>4.5714285714285712</v>
      </c>
      <c r="J49" s="49">
        <f>AVERAGE('22.07 Lubiri -Ndeeba'!J49,'23.07 Lubiri-Ndeeba'!J49,'24.07 Lubiri-Ndeeba'!J49,'25.07 Lubiri-Ndeeba'!J49,'26.07 Lubiri-Ndeeba-24h'!J49,'27.07 Lubiri-Ndeeba-24h'!J49,'28.07 Lubiri-Ndeeba'!J49)</f>
        <v>3.2857142857142856</v>
      </c>
      <c r="K49" s="49">
        <f>AVERAGE('22.07 Lubiri -Ndeeba'!K49,'23.07 Lubiri-Ndeeba'!K49,'24.07 Lubiri-Ndeeba'!K49,'25.07 Lubiri-Ndeeba'!K49,'26.07 Lubiri-Ndeeba-24h'!K49,'27.07 Lubiri-Ndeeba-24h'!K49,'28.07 Lubiri-Ndeeba'!K49)</f>
        <v>0.7142857142857143</v>
      </c>
      <c r="L49" s="49">
        <f>AVERAGE('22.07 Lubiri -Ndeeba'!L49,'23.07 Lubiri-Ndeeba'!L49,'24.07 Lubiri-Ndeeba'!L49,'25.07 Lubiri-Ndeeba'!L49,'26.07 Lubiri-Ndeeba-24h'!L49,'27.07 Lubiri-Ndeeba-24h'!L49,'28.07 Lubiri-Ndeeba'!L49)</f>
        <v>0.7142857142857143</v>
      </c>
      <c r="M49" s="49">
        <f>AVERAGE('22.07 Lubiri -Ndeeba'!M49,'23.07 Lubiri-Ndeeba'!M49,'24.07 Lubiri-Ndeeba'!M49,'25.07 Lubiri-Ndeeba'!M49,'26.07 Lubiri-Ndeeba-24h'!M49,'27.07 Lubiri-Ndeeba-24h'!M49,'28.07 Lubiri-Ndeeba'!M49)</f>
        <v>266.42857142857144</v>
      </c>
      <c r="N49" s="49">
        <f>AVERAGE('22.07 Lubiri -Ndeeba'!N49,'23.07 Lubiri-Ndeeba'!N49,'24.07 Lubiri-Ndeeba'!N49,'25.07 Lubiri-Ndeeba'!N49,'26.07 Lubiri-Ndeeba-24h'!N49,'27.07 Lubiri-Ndeeba-24h'!N49,'28.07 Lubiri-Ndeeba'!N49)</f>
        <v>0</v>
      </c>
      <c r="O49" s="49">
        <f>AVERAGE('22.07 Lubiri -Ndeeba'!O49,'23.07 Lubiri-Ndeeba'!O49,'24.07 Lubiri-Ndeeba'!O49,'25.07 Lubiri-Ndeeba'!O49,'26.07 Lubiri-Ndeeba-24h'!O49,'27.07 Lubiri-Ndeeba-24h'!O49,'28.07 Lubiri-Ndeeba'!O49)</f>
        <v>74.714285714285708</v>
      </c>
      <c r="P49" s="49">
        <f>AVERAGE('22.07 Lubiri -Ndeeba'!P49,'23.07 Lubiri-Ndeeba'!P49,'24.07 Lubiri-Ndeeba'!P49,'25.07 Lubiri-Ndeeba'!P49,'26.07 Lubiri-Ndeeba-24h'!P49,'27.07 Lubiri-Ndeeba-24h'!P49,'28.07 Lubiri-Ndeeba'!P49)</f>
        <v>341.14285714285717</v>
      </c>
    </row>
    <row r="50" spans="2:20" ht="23.1" customHeight="1" x14ac:dyDescent="0.25">
      <c r="B50" s="24" t="s">
        <v>77</v>
      </c>
      <c r="C50" s="49">
        <f>AVERAGE('22.07 Lubiri -Ndeeba'!C50,'23.07 Lubiri-Ndeeba'!C50,'24.07 Lubiri-Ndeeba'!C50,'25.07 Lubiri-Ndeeba'!C50,'26.07 Lubiri-Ndeeba-24h'!C50,'27.07 Lubiri-Ndeeba-24h'!C50,'28.07 Lubiri-Ndeeba'!C50)</f>
        <v>53.285714285714285</v>
      </c>
      <c r="D50" s="49">
        <f>AVERAGE('22.07 Lubiri -Ndeeba'!D50,'23.07 Lubiri-Ndeeba'!D50,'24.07 Lubiri-Ndeeba'!D50,'25.07 Lubiri-Ndeeba'!D50,'26.07 Lubiri-Ndeeba-24h'!D50,'27.07 Lubiri-Ndeeba-24h'!D50,'28.07 Lubiri-Ndeeba'!D50)</f>
        <v>8</v>
      </c>
      <c r="E50" s="49">
        <f>AVERAGE('22.07 Lubiri -Ndeeba'!E50,'23.07 Lubiri-Ndeeba'!E50,'24.07 Lubiri-Ndeeba'!E50,'25.07 Lubiri-Ndeeba'!E50,'26.07 Lubiri-Ndeeba-24h'!E50,'27.07 Lubiri-Ndeeba-24h'!E50,'28.07 Lubiri-Ndeeba'!E50)</f>
        <v>3.8571428571428572</v>
      </c>
      <c r="F50" s="49">
        <f>AVERAGE('22.07 Lubiri -Ndeeba'!F50,'23.07 Lubiri-Ndeeba'!F50,'24.07 Lubiri-Ndeeba'!F50,'25.07 Lubiri-Ndeeba'!F50,'26.07 Lubiri-Ndeeba-24h'!F50,'27.07 Lubiri-Ndeeba-24h'!F50,'28.07 Lubiri-Ndeeba'!F50)</f>
        <v>13.714285714285714</v>
      </c>
      <c r="G50" s="49">
        <f>AVERAGE('22.07 Lubiri -Ndeeba'!G50,'23.07 Lubiri-Ndeeba'!G50,'24.07 Lubiri-Ndeeba'!G50,'25.07 Lubiri-Ndeeba'!G50,'26.07 Lubiri-Ndeeba-24h'!G50,'27.07 Lubiri-Ndeeba-24h'!G50,'28.07 Lubiri-Ndeeba'!G50)</f>
        <v>0.42857142857142855</v>
      </c>
      <c r="H50" s="49">
        <f>AVERAGE('22.07 Lubiri -Ndeeba'!H50,'23.07 Lubiri-Ndeeba'!H50,'24.07 Lubiri-Ndeeba'!H50,'25.07 Lubiri-Ndeeba'!H50,'26.07 Lubiri-Ndeeba-24h'!H50,'27.07 Lubiri-Ndeeba-24h'!H50,'28.07 Lubiri-Ndeeba'!H50)</f>
        <v>0.14285714285714285</v>
      </c>
      <c r="I50" s="49">
        <f>AVERAGE('22.07 Lubiri -Ndeeba'!I50,'23.07 Lubiri-Ndeeba'!I50,'24.07 Lubiri-Ndeeba'!I50,'25.07 Lubiri-Ndeeba'!I50,'26.07 Lubiri-Ndeeba-24h'!I50,'27.07 Lubiri-Ndeeba-24h'!I50,'28.07 Lubiri-Ndeeba'!I50)</f>
        <v>6.2857142857142856</v>
      </c>
      <c r="J50" s="49">
        <f>AVERAGE('22.07 Lubiri -Ndeeba'!J50,'23.07 Lubiri-Ndeeba'!J50,'24.07 Lubiri-Ndeeba'!J50,'25.07 Lubiri-Ndeeba'!J50,'26.07 Lubiri-Ndeeba-24h'!J50,'27.07 Lubiri-Ndeeba-24h'!J50,'28.07 Lubiri-Ndeeba'!J50)</f>
        <v>4.8571428571428568</v>
      </c>
      <c r="K50" s="49">
        <f>AVERAGE('22.07 Lubiri -Ndeeba'!K50,'23.07 Lubiri-Ndeeba'!K50,'24.07 Lubiri-Ndeeba'!K50,'25.07 Lubiri-Ndeeba'!K50,'26.07 Lubiri-Ndeeba-24h'!K50,'27.07 Lubiri-Ndeeba-24h'!K50,'28.07 Lubiri-Ndeeba'!K50)</f>
        <v>0.7142857142857143</v>
      </c>
      <c r="L50" s="49">
        <f>AVERAGE('22.07 Lubiri -Ndeeba'!L50,'23.07 Lubiri-Ndeeba'!L50,'24.07 Lubiri-Ndeeba'!L50,'25.07 Lubiri-Ndeeba'!L50,'26.07 Lubiri-Ndeeba-24h'!L50,'27.07 Lubiri-Ndeeba-24h'!L50,'28.07 Lubiri-Ndeeba'!L50)</f>
        <v>0.14285714285714285</v>
      </c>
      <c r="M50" s="49">
        <f>AVERAGE('22.07 Lubiri -Ndeeba'!M50,'23.07 Lubiri-Ndeeba'!M50,'24.07 Lubiri-Ndeeba'!M50,'25.07 Lubiri-Ndeeba'!M50,'26.07 Lubiri-Ndeeba-24h'!M50,'27.07 Lubiri-Ndeeba-24h'!M50,'28.07 Lubiri-Ndeeba'!M50)</f>
        <v>251.14285714285714</v>
      </c>
      <c r="N50" s="49">
        <f>AVERAGE('22.07 Lubiri -Ndeeba'!N50,'23.07 Lubiri-Ndeeba'!N50,'24.07 Lubiri-Ndeeba'!N50,'25.07 Lubiri-Ndeeba'!N50,'26.07 Lubiri-Ndeeba-24h'!N50,'27.07 Lubiri-Ndeeba-24h'!N50,'28.07 Lubiri-Ndeeba'!N50)</f>
        <v>0</v>
      </c>
      <c r="O50" s="49">
        <f>AVERAGE('22.07 Lubiri -Ndeeba'!O50,'23.07 Lubiri-Ndeeba'!O50,'24.07 Lubiri-Ndeeba'!O50,'25.07 Lubiri-Ndeeba'!O50,'26.07 Lubiri-Ndeeba-24h'!O50,'27.07 Lubiri-Ndeeba-24h'!O50,'28.07 Lubiri-Ndeeba'!O50)</f>
        <v>91.428571428571431</v>
      </c>
      <c r="P50" s="49">
        <f>AVERAGE('22.07 Lubiri -Ndeeba'!P50,'23.07 Lubiri-Ndeeba'!P50,'24.07 Lubiri-Ndeeba'!P50,'25.07 Lubiri-Ndeeba'!P50,'26.07 Lubiri-Ndeeba-24h'!P50,'27.07 Lubiri-Ndeeba-24h'!P50,'28.07 Lubiri-Ndeeba'!P50)</f>
        <v>342.57142857142856</v>
      </c>
      <c r="R50" s="8"/>
      <c r="T50"/>
    </row>
    <row r="51" spans="2:20" ht="23.1" customHeight="1" x14ac:dyDescent="0.25">
      <c r="B51" s="24" t="s">
        <v>78</v>
      </c>
      <c r="C51" s="49">
        <f>AVERAGE('22.07 Lubiri -Ndeeba'!C51,'23.07 Lubiri-Ndeeba'!C51,'24.07 Lubiri-Ndeeba'!C51,'25.07 Lubiri-Ndeeba'!C51,'26.07 Lubiri-Ndeeba-24h'!C51,'27.07 Lubiri-Ndeeba-24h'!C51,'28.07 Lubiri-Ndeeba'!C51)</f>
        <v>52.285714285714285</v>
      </c>
      <c r="D51" s="49">
        <f>AVERAGE('22.07 Lubiri -Ndeeba'!D51,'23.07 Lubiri-Ndeeba'!D51,'24.07 Lubiri-Ndeeba'!D51,'25.07 Lubiri-Ndeeba'!D51,'26.07 Lubiri-Ndeeba-24h'!D51,'27.07 Lubiri-Ndeeba-24h'!D51,'28.07 Lubiri-Ndeeba'!D51)</f>
        <v>9.8571428571428577</v>
      </c>
      <c r="E51" s="49">
        <f>AVERAGE('22.07 Lubiri -Ndeeba'!E51,'23.07 Lubiri-Ndeeba'!E51,'24.07 Lubiri-Ndeeba'!E51,'25.07 Lubiri-Ndeeba'!E51,'26.07 Lubiri-Ndeeba-24h'!E51,'27.07 Lubiri-Ndeeba-24h'!E51,'28.07 Lubiri-Ndeeba'!E51)</f>
        <v>2.8571428571428572</v>
      </c>
      <c r="F51" s="49">
        <f>AVERAGE('22.07 Lubiri -Ndeeba'!F51,'23.07 Lubiri-Ndeeba'!F51,'24.07 Lubiri-Ndeeba'!F51,'25.07 Lubiri-Ndeeba'!F51,'26.07 Lubiri-Ndeeba-24h'!F51,'27.07 Lubiri-Ndeeba-24h'!F51,'28.07 Lubiri-Ndeeba'!F51)</f>
        <v>12</v>
      </c>
      <c r="G51" s="49">
        <f>AVERAGE('22.07 Lubiri -Ndeeba'!G51,'23.07 Lubiri-Ndeeba'!G51,'24.07 Lubiri-Ndeeba'!G51,'25.07 Lubiri-Ndeeba'!G51,'26.07 Lubiri-Ndeeba-24h'!G51,'27.07 Lubiri-Ndeeba-24h'!G51,'28.07 Lubiri-Ndeeba'!G51)</f>
        <v>0</v>
      </c>
      <c r="H51" s="49">
        <f>AVERAGE('22.07 Lubiri -Ndeeba'!H51,'23.07 Lubiri-Ndeeba'!H51,'24.07 Lubiri-Ndeeba'!H51,'25.07 Lubiri-Ndeeba'!H51,'26.07 Lubiri-Ndeeba-24h'!H51,'27.07 Lubiri-Ndeeba-24h'!H51,'28.07 Lubiri-Ndeeba'!H51)</f>
        <v>0</v>
      </c>
      <c r="I51" s="49">
        <f>AVERAGE('22.07 Lubiri -Ndeeba'!I51,'23.07 Lubiri-Ndeeba'!I51,'24.07 Lubiri-Ndeeba'!I51,'25.07 Lubiri-Ndeeba'!I51,'26.07 Lubiri-Ndeeba-24h'!I51,'27.07 Lubiri-Ndeeba-24h'!I51,'28.07 Lubiri-Ndeeba'!I51)</f>
        <v>5.1428571428571432</v>
      </c>
      <c r="J51" s="49">
        <f>AVERAGE('22.07 Lubiri -Ndeeba'!J51,'23.07 Lubiri-Ndeeba'!J51,'24.07 Lubiri-Ndeeba'!J51,'25.07 Lubiri-Ndeeba'!J51,'26.07 Lubiri-Ndeeba-24h'!J51,'27.07 Lubiri-Ndeeba-24h'!J51,'28.07 Lubiri-Ndeeba'!J51)</f>
        <v>2.5714285714285716</v>
      </c>
      <c r="K51" s="49">
        <f>AVERAGE('22.07 Lubiri -Ndeeba'!K51,'23.07 Lubiri-Ndeeba'!K51,'24.07 Lubiri-Ndeeba'!K51,'25.07 Lubiri-Ndeeba'!K51,'26.07 Lubiri-Ndeeba-24h'!K51,'27.07 Lubiri-Ndeeba-24h'!K51,'28.07 Lubiri-Ndeeba'!K51)</f>
        <v>1</v>
      </c>
      <c r="L51" s="49">
        <f>AVERAGE('22.07 Lubiri -Ndeeba'!L51,'23.07 Lubiri-Ndeeba'!L51,'24.07 Lubiri-Ndeeba'!L51,'25.07 Lubiri-Ndeeba'!L51,'26.07 Lubiri-Ndeeba-24h'!L51,'27.07 Lubiri-Ndeeba-24h'!L51,'28.07 Lubiri-Ndeeba'!L51)</f>
        <v>0.5714285714285714</v>
      </c>
      <c r="M51" s="49">
        <f>AVERAGE('22.07 Lubiri -Ndeeba'!M51,'23.07 Lubiri-Ndeeba'!M51,'24.07 Lubiri-Ndeeba'!M51,'25.07 Lubiri-Ndeeba'!M51,'26.07 Lubiri-Ndeeba-24h'!M51,'27.07 Lubiri-Ndeeba-24h'!M51,'28.07 Lubiri-Ndeeba'!M51)</f>
        <v>265.57142857142856</v>
      </c>
      <c r="N51" s="49">
        <f>AVERAGE('22.07 Lubiri -Ndeeba'!N51,'23.07 Lubiri-Ndeeba'!N51,'24.07 Lubiri-Ndeeba'!N51,'25.07 Lubiri-Ndeeba'!N51,'26.07 Lubiri-Ndeeba-24h'!N51,'27.07 Lubiri-Ndeeba-24h'!N51,'28.07 Lubiri-Ndeeba'!N51)</f>
        <v>0</v>
      </c>
      <c r="O51" s="49">
        <f>AVERAGE('22.07 Lubiri -Ndeeba'!O51,'23.07 Lubiri-Ndeeba'!O51,'24.07 Lubiri-Ndeeba'!O51,'25.07 Lubiri-Ndeeba'!O51,'26.07 Lubiri-Ndeeba-24h'!O51,'27.07 Lubiri-Ndeeba-24h'!O51,'28.07 Lubiri-Ndeeba'!O51)</f>
        <v>86.285714285714292</v>
      </c>
      <c r="P51" s="49">
        <f>AVERAGE('22.07 Lubiri -Ndeeba'!P51,'23.07 Lubiri-Ndeeba'!P51,'24.07 Lubiri-Ndeeba'!P51,'25.07 Lubiri-Ndeeba'!P51,'26.07 Lubiri-Ndeeba-24h'!P51,'27.07 Lubiri-Ndeeba-24h'!P51,'28.07 Lubiri-Ndeeba'!P51)</f>
        <v>351.85714285714283</v>
      </c>
      <c r="R51" s="8"/>
      <c r="T51"/>
    </row>
    <row r="52" spans="2:20" ht="23.1" customHeight="1" x14ac:dyDescent="0.25">
      <c r="B52" s="24" t="s">
        <v>79</v>
      </c>
      <c r="C52" s="49">
        <f>AVERAGE('22.07 Lubiri -Ndeeba'!C52,'23.07 Lubiri-Ndeeba'!C52,'24.07 Lubiri-Ndeeba'!C52,'25.07 Lubiri-Ndeeba'!C52,'26.07 Lubiri-Ndeeba-24h'!C52,'27.07 Lubiri-Ndeeba-24h'!C52,'28.07 Lubiri-Ndeeba'!C52)</f>
        <v>57.857142857142854</v>
      </c>
      <c r="D52" s="49">
        <f>AVERAGE('22.07 Lubiri -Ndeeba'!D52,'23.07 Lubiri-Ndeeba'!D52,'24.07 Lubiri-Ndeeba'!D52,'25.07 Lubiri-Ndeeba'!D52,'26.07 Lubiri-Ndeeba-24h'!D52,'27.07 Lubiri-Ndeeba-24h'!D52,'28.07 Lubiri-Ndeeba'!D52)</f>
        <v>9.4285714285714288</v>
      </c>
      <c r="E52" s="49">
        <f>AVERAGE('22.07 Lubiri -Ndeeba'!E52,'23.07 Lubiri-Ndeeba'!E52,'24.07 Lubiri-Ndeeba'!E52,'25.07 Lubiri-Ndeeba'!E52,'26.07 Lubiri-Ndeeba-24h'!E52,'27.07 Lubiri-Ndeeba-24h'!E52,'28.07 Lubiri-Ndeeba'!E52)</f>
        <v>4.4285714285714288</v>
      </c>
      <c r="F52" s="49">
        <f>AVERAGE('22.07 Lubiri -Ndeeba'!F52,'23.07 Lubiri-Ndeeba'!F52,'24.07 Lubiri-Ndeeba'!F52,'25.07 Lubiri-Ndeeba'!F52,'26.07 Lubiri-Ndeeba-24h'!F52,'27.07 Lubiri-Ndeeba-24h'!F52,'28.07 Lubiri-Ndeeba'!F52)</f>
        <v>20.285714285714285</v>
      </c>
      <c r="G52" s="49">
        <f>AVERAGE('22.07 Lubiri -Ndeeba'!G52,'23.07 Lubiri-Ndeeba'!G52,'24.07 Lubiri-Ndeeba'!G52,'25.07 Lubiri-Ndeeba'!G52,'26.07 Lubiri-Ndeeba-24h'!G52,'27.07 Lubiri-Ndeeba-24h'!G52,'28.07 Lubiri-Ndeeba'!G52)</f>
        <v>0.5714285714285714</v>
      </c>
      <c r="H52" s="49">
        <f>AVERAGE('22.07 Lubiri -Ndeeba'!H52,'23.07 Lubiri-Ndeeba'!H52,'24.07 Lubiri-Ndeeba'!H52,'25.07 Lubiri-Ndeeba'!H52,'26.07 Lubiri-Ndeeba-24h'!H52,'27.07 Lubiri-Ndeeba-24h'!H52,'28.07 Lubiri-Ndeeba'!H52)</f>
        <v>0</v>
      </c>
      <c r="I52" s="49">
        <f>AVERAGE('22.07 Lubiri -Ndeeba'!I52,'23.07 Lubiri-Ndeeba'!I52,'24.07 Lubiri-Ndeeba'!I52,'25.07 Lubiri-Ndeeba'!I52,'26.07 Lubiri-Ndeeba-24h'!I52,'27.07 Lubiri-Ndeeba-24h'!I52,'28.07 Lubiri-Ndeeba'!I52)</f>
        <v>5.2857142857142856</v>
      </c>
      <c r="J52" s="49">
        <f>AVERAGE('22.07 Lubiri -Ndeeba'!J52,'23.07 Lubiri-Ndeeba'!J52,'24.07 Lubiri-Ndeeba'!J52,'25.07 Lubiri-Ndeeba'!J52,'26.07 Lubiri-Ndeeba-24h'!J52,'27.07 Lubiri-Ndeeba-24h'!J52,'28.07 Lubiri-Ndeeba'!J52)</f>
        <v>3.1428571428571428</v>
      </c>
      <c r="K52" s="49">
        <f>AVERAGE('22.07 Lubiri -Ndeeba'!K52,'23.07 Lubiri-Ndeeba'!K52,'24.07 Lubiri-Ndeeba'!K52,'25.07 Lubiri-Ndeeba'!K52,'26.07 Lubiri-Ndeeba-24h'!K52,'27.07 Lubiri-Ndeeba-24h'!K52,'28.07 Lubiri-Ndeeba'!K52)</f>
        <v>0.42857142857142855</v>
      </c>
      <c r="L52" s="49">
        <f>AVERAGE('22.07 Lubiri -Ndeeba'!L52,'23.07 Lubiri-Ndeeba'!L52,'24.07 Lubiri-Ndeeba'!L52,'25.07 Lubiri-Ndeeba'!L52,'26.07 Lubiri-Ndeeba-24h'!L52,'27.07 Lubiri-Ndeeba-24h'!L52,'28.07 Lubiri-Ndeeba'!L52)</f>
        <v>0.42857142857142855</v>
      </c>
      <c r="M52" s="49">
        <f>AVERAGE('22.07 Lubiri -Ndeeba'!M52,'23.07 Lubiri-Ndeeba'!M52,'24.07 Lubiri-Ndeeba'!M52,'25.07 Lubiri-Ndeeba'!M52,'26.07 Lubiri-Ndeeba-24h'!M52,'27.07 Lubiri-Ndeeba-24h'!M52,'28.07 Lubiri-Ndeeba'!M52)</f>
        <v>274.28571428571428</v>
      </c>
      <c r="N52" s="49">
        <f>AVERAGE('22.07 Lubiri -Ndeeba'!N52,'23.07 Lubiri-Ndeeba'!N52,'24.07 Lubiri-Ndeeba'!N52,'25.07 Lubiri-Ndeeba'!N52,'26.07 Lubiri-Ndeeba-24h'!N52,'27.07 Lubiri-Ndeeba-24h'!N52,'28.07 Lubiri-Ndeeba'!N52)</f>
        <v>0</v>
      </c>
      <c r="O52" s="49">
        <f>AVERAGE('22.07 Lubiri -Ndeeba'!O52,'23.07 Lubiri-Ndeeba'!O52,'24.07 Lubiri-Ndeeba'!O52,'25.07 Lubiri-Ndeeba'!O52,'26.07 Lubiri-Ndeeba-24h'!O52,'27.07 Lubiri-Ndeeba-24h'!O52,'28.07 Lubiri-Ndeeba'!O52)</f>
        <v>101.85714285714286</v>
      </c>
      <c r="P52" s="49">
        <f>AVERAGE('22.07 Lubiri -Ndeeba'!P52,'23.07 Lubiri-Ndeeba'!P52,'24.07 Lubiri-Ndeeba'!P52,'25.07 Lubiri-Ndeeba'!P52,'26.07 Lubiri-Ndeeba-24h'!P52,'27.07 Lubiri-Ndeeba-24h'!P52,'28.07 Lubiri-Ndeeba'!P52)</f>
        <v>376.14285714285717</v>
      </c>
      <c r="R52" s="8"/>
      <c r="T52"/>
    </row>
    <row r="53" spans="2:20" ht="23.1" customHeight="1" x14ac:dyDescent="0.25">
      <c r="B53" s="23" t="s">
        <v>80</v>
      </c>
      <c r="C53" s="49">
        <f>AVERAGE('22.07 Lubiri -Ndeeba'!C53,'23.07 Lubiri-Ndeeba'!C53,'24.07 Lubiri-Ndeeba'!C53,'25.07 Lubiri-Ndeeba'!C53,'26.07 Lubiri-Ndeeba-24h'!C53,'27.07 Lubiri-Ndeeba-24h'!C53,'28.07 Lubiri-Ndeeba'!C53)</f>
        <v>58</v>
      </c>
      <c r="D53" s="49">
        <f>AVERAGE('22.07 Lubiri -Ndeeba'!D53,'23.07 Lubiri-Ndeeba'!D53,'24.07 Lubiri-Ndeeba'!D53,'25.07 Lubiri-Ndeeba'!D53,'26.07 Lubiri-Ndeeba-24h'!D53,'27.07 Lubiri-Ndeeba-24h'!D53,'28.07 Lubiri-Ndeeba'!D53)</f>
        <v>8</v>
      </c>
      <c r="E53" s="49">
        <f>AVERAGE('22.07 Lubiri -Ndeeba'!E53,'23.07 Lubiri-Ndeeba'!E53,'24.07 Lubiri-Ndeeba'!E53,'25.07 Lubiri-Ndeeba'!E53,'26.07 Lubiri-Ndeeba-24h'!E53,'27.07 Lubiri-Ndeeba-24h'!E53,'28.07 Lubiri-Ndeeba'!E53)</f>
        <v>3.1428571428571428</v>
      </c>
      <c r="F53" s="49">
        <f>AVERAGE('22.07 Lubiri -Ndeeba'!F53,'23.07 Lubiri-Ndeeba'!F53,'24.07 Lubiri-Ndeeba'!F53,'25.07 Lubiri-Ndeeba'!F53,'26.07 Lubiri-Ndeeba-24h'!F53,'27.07 Lubiri-Ndeeba-24h'!F53,'28.07 Lubiri-Ndeeba'!F53)</f>
        <v>15.714285714285714</v>
      </c>
      <c r="G53" s="49">
        <f>AVERAGE('22.07 Lubiri -Ndeeba'!G53,'23.07 Lubiri-Ndeeba'!G53,'24.07 Lubiri-Ndeeba'!G53,'25.07 Lubiri-Ndeeba'!G53,'26.07 Lubiri-Ndeeba-24h'!G53,'27.07 Lubiri-Ndeeba-24h'!G53,'28.07 Lubiri-Ndeeba'!G53)</f>
        <v>0.14285714285714285</v>
      </c>
      <c r="H53" s="49">
        <f>AVERAGE('22.07 Lubiri -Ndeeba'!H53,'23.07 Lubiri-Ndeeba'!H53,'24.07 Lubiri-Ndeeba'!H53,'25.07 Lubiri-Ndeeba'!H53,'26.07 Lubiri-Ndeeba-24h'!H53,'27.07 Lubiri-Ndeeba-24h'!H53,'28.07 Lubiri-Ndeeba'!H53)</f>
        <v>0</v>
      </c>
      <c r="I53" s="49">
        <f>AVERAGE('22.07 Lubiri -Ndeeba'!I53,'23.07 Lubiri-Ndeeba'!I53,'24.07 Lubiri-Ndeeba'!I53,'25.07 Lubiri-Ndeeba'!I53,'26.07 Lubiri-Ndeeba-24h'!I53,'27.07 Lubiri-Ndeeba-24h'!I53,'28.07 Lubiri-Ndeeba'!I53)</f>
        <v>2.4285714285714284</v>
      </c>
      <c r="J53" s="49">
        <f>AVERAGE('22.07 Lubiri -Ndeeba'!J53,'23.07 Lubiri-Ndeeba'!J53,'24.07 Lubiri-Ndeeba'!J53,'25.07 Lubiri-Ndeeba'!J53,'26.07 Lubiri-Ndeeba-24h'!J53,'27.07 Lubiri-Ndeeba-24h'!J53,'28.07 Lubiri-Ndeeba'!J53)</f>
        <v>2.7142857142857144</v>
      </c>
      <c r="K53" s="49">
        <f>AVERAGE('22.07 Lubiri -Ndeeba'!K53,'23.07 Lubiri-Ndeeba'!K53,'24.07 Lubiri-Ndeeba'!K53,'25.07 Lubiri-Ndeeba'!K53,'26.07 Lubiri-Ndeeba-24h'!K53,'27.07 Lubiri-Ndeeba-24h'!K53,'28.07 Lubiri-Ndeeba'!K53)</f>
        <v>0.14285714285714285</v>
      </c>
      <c r="L53" s="49">
        <f>AVERAGE('22.07 Lubiri -Ndeeba'!L53,'23.07 Lubiri-Ndeeba'!L53,'24.07 Lubiri-Ndeeba'!L53,'25.07 Lubiri-Ndeeba'!L53,'26.07 Lubiri-Ndeeba-24h'!L53,'27.07 Lubiri-Ndeeba-24h'!L53,'28.07 Lubiri-Ndeeba'!L53)</f>
        <v>0.2857142857142857</v>
      </c>
      <c r="M53" s="49">
        <f>AVERAGE('22.07 Lubiri -Ndeeba'!M53,'23.07 Lubiri-Ndeeba'!M53,'24.07 Lubiri-Ndeeba'!M53,'25.07 Lubiri-Ndeeba'!M53,'26.07 Lubiri-Ndeeba-24h'!M53,'27.07 Lubiri-Ndeeba-24h'!M53,'28.07 Lubiri-Ndeeba'!M53)</f>
        <v>273.14285714285717</v>
      </c>
      <c r="N53" s="49">
        <f>AVERAGE('22.07 Lubiri -Ndeeba'!N53,'23.07 Lubiri-Ndeeba'!N53,'24.07 Lubiri-Ndeeba'!N53,'25.07 Lubiri-Ndeeba'!N53,'26.07 Lubiri-Ndeeba-24h'!N53,'27.07 Lubiri-Ndeeba-24h'!N53,'28.07 Lubiri-Ndeeba'!N53)</f>
        <v>0</v>
      </c>
      <c r="O53" s="49">
        <f>AVERAGE('22.07 Lubiri -Ndeeba'!O53,'23.07 Lubiri-Ndeeba'!O53,'24.07 Lubiri-Ndeeba'!O53,'25.07 Lubiri-Ndeeba'!O53,'26.07 Lubiri-Ndeeba-24h'!O53,'27.07 Lubiri-Ndeeba-24h'!O53,'28.07 Lubiri-Ndeeba'!O53)</f>
        <v>90.571428571428569</v>
      </c>
      <c r="P53" s="49">
        <f>AVERAGE('22.07 Lubiri -Ndeeba'!P53,'23.07 Lubiri-Ndeeba'!P53,'24.07 Lubiri-Ndeeba'!P53,'25.07 Lubiri-Ndeeba'!P53,'26.07 Lubiri-Ndeeba-24h'!P53,'27.07 Lubiri-Ndeeba-24h'!P53,'28.07 Lubiri-Ndeeba'!P53)</f>
        <v>363.71428571428572</v>
      </c>
      <c r="R53" s="8"/>
      <c r="T53"/>
    </row>
    <row r="54" spans="2:20" ht="23.1" customHeight="1" x14ac:dyDescent="0.25">
      <c r="B54" s="23" t="s">
        <v>81</v>
      </c>
      <c r="C54" s="49">
        <f>AVERAGE('22.07 Lubiri -Ndeeba'!C54,'23.07 Lubiri-Ndeeba'!C54,'24.07 Lubiri-Ndeeba'!C54,'25.07 Lubiri-Ndeeba'!C54,'26.07 Lubiri-Ndeeba-24h'!C54,'27.07 Lubiri-Ndeeba-24h'!C54,'28.07 Lubiri-Ndeeba'!C54)</f>
        <v>45.285714285714285</v>
      </c>
      <c r="D54" s="49">
        <f>AVERAGE('22.07 Lubiri -Ndeeba'!D54,'23.07 Lubiri-Ndeeba'!D54,'24.07 Lubiri-Ndeeba'!D54,'25.07 Lubiri-Ndeeba'!D54,'26.07 Lubiri-Ndeeba-24h'!D54,'27.07 Lubiri-Ndeeba-24h'!D54,'28.07 Lubiri-Ndeeba'!D54)</f>
        <v>8.1428571428571423</v>
      </c>
      <c r="E54" s="49">
        <f>AVERAGE('22.07 Lubiri -Ndeeba'!E54,'23.07 Lubiri-Ndeeba'!E54,'24.07 Lubiri-Ndeeba'!E54,'25.07 Lubiri-Ndeeba'!E54,'26.07 Lubiri-Ndeeba-24h'!E54,'27.07 Lubiri-Ndeeba-24h'!E54,'28.07 Lubiri-Ndeeba'!E54)</f>
        <v>5.4285714285714288</v>
      </c>
      <c r="F54" s="49">
        <f>AVERAGE('22.07 Lubiri -Ndeeba'!F54,'23.07 Lubiri-Ndeeba'!F54,'24.07 Lubiri-Ndeeba'!F54,'25.07 Lubiri-Ndeeba'!F54,'26.07 Lubiri-Ndeeba-24h'!F54,'27.07 Lubiri-Ndeeba-24h'!F54,'28.07 Lubiri-Ndeeba'!F54)</f>
        <v>17.285714285714285</v>
      </c>
      <c r="G54" s="49">
        <f>AVERAGE('22.07 Lubiri -Ndeeba'!G54,'23.07 Lubiri-Ndeeba'!G54,'24.07 Lubiri-Ndeeba'!G54,'25.07 Lubiri-Ndeeba'!G54,'26.07 Lubiri-Ndeeba-24h'!G54,'27.07 Lubiri-Ndeeba-24h'!G54,'28.07 Lubiri-Ndeeba'!G54)</f>
        <v>0.14285714285714285</v>
      </c>
      <c r="H54" s="49">
        <f>AVERAGE('22.07 Lubiri -Ndeeba'!H54,'23.07 Lubiri-Ndeeba'!H54,'24.07 Lubiri-Ndeeba'!H54,'25.07 Lubiri-Ndeeba'!H54,'26.07 Lubiri-Ndeeba-24h'!H54,'27.07 Lubiri-Ndeeba-24h'!H54,'28.07 Lubiri-Ndeeba'!H54)</f>
        <v>0</v>
      </c>
      <c r="I54" s="49">
        <f>AVERAGE('22.07 Lubiri -Ndeeba'!I54,'23.07 Lubiri-Ndeeba'!I54,'24.07 Lubiri-Ndeeba'!I54,'25.07 Lubiri-Ndeeba'!I54,'26.07 Lubiri-Ndeeba-24h'!I54,'27.07 Lubiri-Ndeeba-24h'!I54,'28.07 Lubiri-Ndeeba'!I54)</f>
        <v>4.4285714285714288</v>
      </c>
      <c r="J54" s="49">
        <f>AVERAGE('22.07 Lubiri -Ndeeba'!J54,'23.07 Lubiri-Ndeeba'!J54,'24.07 Lubiri-Ndeeba'!J54,'25.07 Lubiri-Ndeeba'!J54,'26.07 Lubiri-Ndeeba-24h'!J54,'27.07 Lubiri-Ndeeba-24h'!J54,'28.07 Lubiri-Ndeeba'!J54)</f>
        <v>3.1428571428571428</v>
      </c>
      <c r="K54" s="49">
        <f>AVERAGE('22.07 Lubiri -Ndeeba'!K54,'23.07 Lubiri-Ndeeba'!K54,'24.07 Lubiri-Ndeeba'!K54,'25.07 Lubiri-Ndeeba'!K54,'26.07 Lubiri-Ndeeba-24h'!K54,'27.07 Lubiri-Ndeeba-24h'!K54,'28.07 Lubiri-Ndeeba'!K54)</f>
        <v>0.42857142857142855</v>
      </c>
      <c r="L54" s="49">
        <f>AVERAGE('22.07 Lubiri -Ndeeba'!L54,'23.07 Lubiri-Ndeeba'!L54,'24.07 Lubiri-Ndeeba'!L54,'25.07 Lubiri-Ndeeba'!L54,'26.07 Lubiri-Ndeeba-24h'!L54,'27.07 Lubiri-Ndeeba-24h'!L54,'28.07 Lubiri-Ndeeba'!L54)</f>
        <v>0.42857142857142855</v>
      </c>
      <c r="M54" s="49">
        <f>AVERAGE('22.07 Lubiri -Ndeeba'!M54,'23.07 Lubiri-Ndeeba'!M54,'24.07 Lubiri-Ndeeba'!M54,'25.07 Lubiri-Ndeeba'!M54,'26.07 Lubiri-Ndeeba-24h'!M54,'27.07 Lubiri-Ndeeba-24h'!M54,'28.07 Lubiri-Ndeeba'!M54)</f>
        <v>225</v>
      </c>
      <c r="N54" s="49">
        <f>AVERAGE('22.07 Lubiri -Ndeeba'!N54,'23.07 Lubiri-Ndeeba'!N54,'24.07 Lubiri-Ndeeba'!N54,'25.07 Lubiri-Ndeeba'!N54,'26.07 Lubiri-Ndeeba-24h'!N54,'27.07 Lubiri-Ndeeba-24h'!N54,'28.07 Lubiri-Ndeeba'!N54)</f>
        <v>0.2857142857142857</v>
      </c>
      <c r="O54" s="49">
        <f>AVERAGE('22.07 Lubiri -Ndeeba'!O54,'23.07 Lubiri-Ndeeba'!O54,'24.07 Lubiri-Ndeeba'!O54,'25.07 Lubiri-Ndeeba'!O54,'26.07 Lubiri-Ndeeba-24h'!O54,'27.07 Lubiri-Ndeeba-24h'!O54,'28.07 Lubiri-Ndeeba'!O54)</f>
        <v>85</v>
      </c>
      <c r="P54" s="49">
        <f>AVERAGE('22.07 Lubiri -Ndeeba'!P54,'23.07 Lubiri-Ndeeba'!P54,'24.07 Lubiri-Ndeeba'!P54,'25.07 Lubiri-Ndeeba'!P54,'26.07 Lubiri-Ndeeba-24h'!P54,'27.07 Lubiri-Ndeeba-24h'!P54,'28.07 Lubiri-Ndeeba'!P54)</f>
        <v>310</v>
      </c>
      <c r="R54" s="8"/>
      <c r="T54"/>
    </row>
    <row r="55" spans="2:20" ht="23.1" customHeight="1" x14ac:dyDescent="0.25">
      <c r="B55" s="23" t="s">
        <v>82</v>
      </c>
      <c r="C55" s="49">
        <f>AVERAGE('22.07 Lubiri -Ndeeba'!C55,'23.07 Lubiri-Ndeeba'!C55,'24.07 Lubiri-Ndeeba'!C55,'25.07 Lubiri-Ndeeba'!C55,'26.07 Lubiri-Ndeeba-24h'!C55,'27.07 Lubiri-Ndeeba-24h'!C55,'28.07 Lubiri-Ndeeba'!C55)</f>
        <v>47.142857142857146</v>
      </c>
      <c r="D55" s="49">
        <f>AVERAGE('22.07 Lubiri -Ndeeba'!D55,'23.07 Lubiri-Ndeeba'!D55,'24.07 Lubiri-Ndeeba'!D55,'25.07 Lubiri-Ndeeba'!D55,'26.07 Lubiri-Ndeeba-24h'!D55,'27.07 Lubiri-Ndeeba-24h'!D55,'28.07 Lubiri-Ndeeba'!D55)</f>
        <v>7.2857142857142856</v>
      </c>
      <c r="E55" s="49">
        <f>AVERAGE('22.07 Lubiri -Ndeeba'!E55,'23.07 Lubiri-Ndeeba'!E55,'24.07 Lubiri-Ndeeba'!E55,'25.07 Lubiri-Ndeeba'!E55,'26.07 Lubiri-Ndeeba-24h'!E55,'27.07 Lubiri-Ndeeba-24h'!E55,'28.07 Lubiri-Ndeeba'!E55)</f>
        <v>3.4285714285714284</v>
      </c>
      <c r="F55" s="49">
        <f>AVERAGE('22.07 Lubiri -Ndeeba'!F55,'23.07 Lubiri-Ndeeba'!F55,'24.07 Lubiri-Ndeeba'!F55,'25.07 Lubiri-Ndeeba'!F55,'26.07 Lubiri-Ndeeba-24h'!F55,'27.07 Lubiri-Ndeeba-24h'!F55,'28.07 Lubiri-Ndeeba'!F55)</f>
        <v>15.714285714285714</v>
      </c>
      <c r="G55" s="49">
        <f>AVERAGE('22.07 Lubiri -Ndeeba'!G55,'23.07 Lubiri-Ndeeba'!G55,'24.07 Lubiri-Ndeeba'!G55,'25.07 Lubiri-Ndeeba'!G55,'26.07 Lubiri-Ndeeba-24h'!G55,'27.07 Lubiri-Ndeeba-24h'!G55,'28.07 Lubiri-Ndeeba'!G55)</f>
        <v>0.42857142857142855</v>
      </c>
      <c r="H55" s="49">
        <f>AVERAGE('22.07 Lubiri -Ndeeba'!H55,'23.07 Lubiri-Ndeeba'!H55,'24.07 Lubiri-Ndeeba'!H55,'25.07 Lubiri-Ndeeba'!H55,'26.07 Lubiri-Ndeeba-24h'!H55,'27.07 Lubiri-Ndeeba-24h'!H55,'28.07 Lubiri-Ndeeba'!H55)</f>
        <v>0</v>
      </c>
      <c r="I55" s="49">
        <f>AVERAGE('22.07 Lubiri -Ndeeba'!I55,'23.07 Lubiri-Ndeeba'!I55,'24.07 Lubiri-Ndeeba'!I55,'25.07 Lubiri-Ndeeba'!I55,'26.07 Lubiri-Ndeeba-24h'!I55,'27.07 Lubiri-Ndeeba-24h'!I55,'28.07 Lubiri-Ndeeba'!I55)</f>
        <v>5.2857142857142856</v>
      </c>
      <c r="J55" s="49">
        <f>AVERAGE('22.07 Lubiri -Ndeeba'!J55,'23.07 Lubiri-Ndeeba'!J55,'24.07 Lubiri-Ndeeba'!J55,'25.07 Lubiri-Ndeeba'!J55,'26.07 Lubiri-Ndeeba-24h'!J55,'27.07 Lubiri-Ndeeba-24h'!J55,'28.07 Lubiri-Ndeeba'!J55)</f>
        <v>3.7142857142857144</v>
      </c>
      <c r="K55" s="49">
        <f>AVERAGE('22.07 Lubiri -Ndeeba'!K55,'23.07 Lubiri-Ndeeba'!K55,'24.07 Lubiri-Ndeeba'!K55,'25.07 Lubiri-Ndeeba'!K55,'26.07 Lubiri-Ndeeba-24h'!K55,'27.07 Lubiri-Ndeeba-24h'!K55,'28.07 Lubiri-Ndeeba'!K55)</f>
        <v>0.5714285714285714</v>
      </c>
      <c r="L55" s="49">
        <f>AVERAGE('22.07 Lubiri -Ndeeba'!L55,'23.07 Lubiri-Ndeeba'!L55,'24.07 Lubiri-Ndeeba'!L55,'25.07 Lubiri-Ndeeba'!L55,'26.07 Lubiri-Ndeeba-24h'!L55,'27.07 Lubiri-Ndeeba-24h'!L55,'28.07 Lubiri-Ndeeba'!L55)</f>
        <v>0.2857142857142857</v>
      </c>
      <c r="M55" s="49">
        <f>AVERAGE('22.07 Lubiri -Ndeeba'!M55,'23.07 Lubiri-Ndeeba'!M55,'24.07 Lubiri-Ndeeba'!M55,'25.07 Lubiri-Ndeeba'!M55,'26.07 Lubiri-Ndeeba-24h'!M55,'27.07 Lubiri-Ndeeba-24h'!M55,'28.07 Lubiri-Ndeeba'!M55)</f>
        <v>225.14285714285714</v>
      </c>
      <c r="N55" s="49">
        <f>AVERAGE('22.07 Lubiri -Ndeeba'!N55,'23.07 Lubiri-Ndeeba'!N55,'24.07 Lubiri-Ndeeba'!N55,'25.07 Lubiri-Ndeeba'!N55,'26.07 Lubiri-Ndeeba-24h'!N55,'27.07 Lubiri-Ndeeba-24h'!N55,'28.07 Lubiri-Ndeeba'!N55)</f>
        <v>0</v>
      </c>
      <c r="O55" s="49">
        <f>AVERAGE('22.07 Lubiri -Ndeeba'!O55,'23.07 Lubiri-Ndeeba'!O55,'24.07 Lubiri-Ndeeba'!O55,'25.07 Lubiri-Ndeeba'!O55,'26.07 Lubiri-Ndeeba-24h'!O55,'27.07 Lubiri-Ndeeba-24h'!O55,'28.07 Lubiri-Ndeeba'!O55)</f>
        <v>83.857142857142861</v>
      </c>
      <c r="P55" s="49">
        <f>AVERAGE('22.07 Lubiri -Ndeeba'!P55,'23.07 Lubiri-Ndeeba'!P55,'24.07 Lubiri-Ndeeba'!P55,'25.07 Lubiri-Ndeeba'!P55,'26.07 Lubiri-Ndeeba-24h'!P55,'27.07 Lubiri-Ndeeba-24h'!P55,'28.07 Lubiri-Ndeeba'!P55)</f>
        <v>309</v>
      </c>
      <c r="R55" s="8"/>
      <c r="T55"/>
    </row>
    <row r="56" spans="2:20" ht="23.1" customHeight="1" x14ac:dyDescent="0.25">
      <c r="B56" s="23" t="s">
        <v>83</v>
      </c>
      <c r="C56" s="49">
        <f>AVERAGE('22.07 Lubiri -Ndeeba'!C56,'23.07 Lubiri-Ndeeba'!C56,'24.07 Lubiri-Ndeeba'!C56,'25.07 Lubiri-Ndeeba'!C56,'26.07 Lubiri-Ndeeba-24h'!C56,'27.07 Lubiri-Ndeeba-24h'!C56,'28.07 Lubiri-Ndeeba'!C56)</f>
        <v>42.142857142857146</v>
      </c>
      <c r="D56" s="49">
        <f>AVERAGE('22.07 Lubiri -Ndeeba'!D56,'23.07 Lubiri-Ndeeba'!D56,'24.07 Lubiri-Ndeeba'!D56,'25.07 Lubiri-Ndeeba'!D56,'26.07 Lubiri-Ndeeba-24h'!D56,'27.07 Lubiri-Ndeeba-24h'!D56,'28.07 Lubiri-Ndeeba'!D56)</f>
        <v>8.5714285714285712</v>
      </c>
      <c r="E56" s="49">
        <f>AVERAGE('22.07 Lubiri -Ndeeba'!E56,'23.07 Lubiri-Ndeeba'!E56,'24.07 Lubiri-Ndeeba'!E56,'25.07 Lubiri-Ndeeba'!E56,'26.07 Lubiri-Ndeeba-24h'!E56,'27.07 Lubiri-Ndeeba-24h'!E56,'28.07 Lubiri-Ndeeba'!E56)</f>
        <v>3.4285714285714284</v>
      </c>
      <c r="F56" s="49">
        <f>AVERAGE('22.07 Lubiri -Ndeeba'!F56,'23.07 Lubiri-Ndeeba'!F56,'24.07 Lubiri-Ndeeba'!F56,'25.07 Lubiri-Ndeeba'!F56,'26.07 Lubiri-Ndeeba-24h'!F56,'27.07 Lubiri-Ndeeba-24h'!F56,'28.07 Lubiri-Ndeeba'!F56)</f>
        <v>17.857142857142858</v>
      </c>
      <c r="G56" s="49">
        <f>AVERAGE('22.07 Lubiri -Ndeeba'!G56,'23.07 Lubiri-Ndeeba'!G56,'24.07 Lubiri-Ndeeba'!G56,'25.07 Lubiri-Ndeeba'!G56,'26.07 Lubiri-Ndeeba-24h'!G56,'27.07 Lubiri-Ndeeba-24h'!G56,'28.07 Lubiri-Ndeeba'!G56)</f>
        <v>0</v>
      </c>
      <c r="H56" s="49">
        <f>AVERAGE('22.07 Lubiri -Ndeeba'!H56,'23.07 Lubiri-Ndeeba'!H56,'24.07 Lubiri-Ndeeba'!H56,'25.07 Lubiri-Ndeeba'!H56,'26.07 Lubiri-Ndeeba-24h'!H56,'27.07 Lubiri-Ndeeba-24h'!H56,'28.07 Lubiri-Ndeeba'!H56)</f>
        <v>0</v>
      </c>
      <c r="I56" s="49">
        <f>AVERAGE('22.07 Lubiri -Ndeeba'!I56,'23.07 Lubiri-Ndeeba'!I56,'24.07 Lubiri-Ndeeba'!I56,'25.07 Lubiri-Ndeeba'!I56,'26.07 Lubiri-Ndeeba-24h'!I56,'27.07 Lubiri-Ndeeba-24h'!I56,'28.07 Lubiri-Ndeeba'!I56)</f>
        <v>4.1428571428571432</v>
      </c>
      <c r="J56" s="49">
        <f>AVERAGE('22.07 Lubiri -Ndeeba'!J56,'23.07 Lubiri-Ndeeba'!J56,'24.07 Lubiri-Ndeeba'!J56,'25.07 Lubiri-Ndeeba'!J56,'26.07 Lubiri-Ndeeba-24h'!J56,'27.07 Lubiri-Ndeeba-24h'!J56,'28.07 Lubiri-Ndeeba'!J56)</f>
        <v>4.8571428571428568</v>
      </c>
      <c r="K56" s="49">
        <f>AVERAGE('22.07 Lubiri -Ndeeba'!K56,'23.07 Lubiri-Ndeeba'!K56,'24.07 Lubiri-Ndeeba'!K56,'25.07 Lubiri-Ndeeba'!K56,'26.07 Lubiri-Ndeeba-24h'!K56,'27.07 Lubiri-Ndeeba-24h'!K56,'28.07 Lubiri-Ndeeba'!K56)</f>
        <v>0.2857142857142857</v>
      </c>
      <c r="L56" s="49">
        <f>AVERAGE('22.07 Lubiri -Ndeeba'!L56,'23.07 Lubiri-Ndeeba'!L56,'24.07 Lubiri-Ndeeba'!L56,'25.07 Lubiri-Ndeeba'!L56,'26.07 Lubiri-Ndeeba-24h'!L56,'27.07 Lubiri-Ndeeba-24h'!L56,'28.07 Lubiri-Ndeeba'!L56)</f>
        <v>0.2857142857142857</v>
      </c>
      <c r="M56" s="49">
        <f>AVERAGE('22.07 Lubiri -Ndeeba'!M56,'23.07 Lubiri-Ndeeba'!M56,'24.07 Lubiri-Ndeeba'!M56,'25.07 Lubiri-Ndeeba'!M56,'26.07 Lubiri-Ndeeba-24h'!M56,'27.07 Lubiri-Ndeeba-24h'!M56,'28.07 Lubiri-Ndeeba'!M56)</f>
        <v>238.14285714285714</v>
      </c>
      <c r="N56" s="49">
        <f>AVERAGE('22.07 Lubiri -Ndeeba'!N56,'23.07 Lubiri-Ndeeba'!N56,'24.07 Lubiri-Ndeeba'!N56,'25.07 Lubiri-Ndeeba'!N56,'26.07 Lubiri-Ndeeba-24h'!N56,'27.07 Lubiri-Ndeeba-24h'!N56,'28.07 Lubiri-Ndeeba'!N56)</f>
        <v>0</v>
      </c>
      <c r="O56" s="49">
        <f>AVERAGE('22.07 Lubiri -Ndeeba'!O56,'23.07 Lubiri-Ndeeba'!O56,'24.07 Lubiri-Ndeeba'!O56,'25.07 Lubiri-Ndeeba'!O56,'26.07 Lubiri-Ndeeba-24h'!O56,'27.07 Lubiri-Ndeeba-24h'!O56,'28.07 Lubiri-Ndeeba'!O56)</f>
        <v>81.571428571428569</v>
      </c>
      <c r="P56" s="49">
        <f>AVERAGE('22.07 Lubiri -Ndeeba'!P56,'23.07 Lubiri-Ndeeba'!P56,'24.07 Lubiri-Ndeeba'!P56,'25.07 Lubiri-Ndeeba'!P56,'26.07 Lubiri-Ndeeba-24h'!P56,'27.07 Lubiri-Ndeeba-24h'!P56,'28.07 Lubiri-Ndeeba'!P56)</f>
        <v>319.71428571428572</v>
      </c>
      <c r="R56" s="8"/>
      <c r="T56"/>
    </row>
    <row r="57" spans="2:20" ht="23.1" customHeight="1" x14ac:dyDescent="0.25">
      <c r="B57" s="23" t="s">
        <v>84</v>
      </c>
      <c r="C57" s="49">
        <f>AVERAGE('22.07 Lubiri -Ndeeba'!C57,'23.07 Lubiri-Ndeeba'!C57,'24.07 Lubiri-Ndeeba'!C57,'25.07 Lubiri-Ndeeba'!C57,'26.07 Lubiri-Ndeeba-24h'!C57,'27.07 Lubiri-Ndeeba-24h'!C57,'28.07 Lubiri-Ndeeba'!C57)</f>
        <v>46.714285714285715</v>
      </c>
      <c r="D57" s="49">
        <f>AVERAGE('22.07 Lubiri -Ndeeba'!D57,'23.07 Lubiri-Ndeeba'!D57,'24.07 Lubiri-Ndeeba'!D57,'25.07 Lubiri-Ndeeba'!D57,'26.07 Lubiri-Ndeeba-24h'!D57,'27.07 Lubiri-Ndeeba-24h'!D57,'28.07 Lubiri-Ndeeba'!D57)</f>
        <v>7.1428571428571432</v>
      </c>
      <c r="E57" s="49">
        <f>AVERAGE('22.07 Lubiri -Ndeeba'!E57,'23.07 Lubiri-Ndeeba'!E57,'24.07 Lubiri-Ndeeba'!E57,'25.07 Lubiri-Ndeeba'!E57,'26.07 Lubiri-Ndeeba-24h'!E57,'27.07 Lubiri-Ndeeba-24h'!E57,'28.07 Lubiri-Ndeeba'!E57)</f>
        <v>4.7142857142857144</v>
      </c>
      <c r="F57" s="49">
        <f>AVERAGE('22.07 Lubiri -Ndeeba'!F57,'23.07 Lubiri-Ndeeba'!F57,'24.07 Lubiri-Ndeeba'!F57,'25.07 Lubiri-Ndeeba'!F57,'26.07 Lubiri-Ndeeba-24h'!F57,'27.07 Lubiri-Ndeeba-24h'!F57,'28.07 Lubiri-Ndeeba'!F57)</f>
        <v>15.857142857142858</v>
      </c>
      <c r="G57" s="49">
        <f>AVERAGE('22.07 Lubiri -Ndeeba'!G57,'23.07 Lubiri-Ndeeba'!G57,'24.07 Lubiri-Ndeeba'!G57,'25.07 Lubiri-Ndeeba'!G57,'26.07 Lubiri-Ndeeba-24h'!G57,'27.07 Lubiri-Ndeeba-24h'!G57,'28.07 Lubiri-Ndeeba'!G57)</f>
        <v>0</v>
      </c>
      <c r="H57" s="49">
        <f>AVERAGE('22.07 Lubiri -Ndeeba'!H57,'23.07 Lubiri-Ndeeba'!H57,'24.07 Lubiri-Ndeeba'!H57,'25.07 Lubiri-Ndeeba'!H57,'26.07 Lubiri-Ndeeba-24h'!H57,'27.07 Lubiri-Ndeeba-24h'!H57,'28.07 Lubiri-Ndeeba'!H57)</f>
        <v>0</v>
      </c>
      <c r="I57" s="49">
        <f>AVERAGE('22.07 Lubiri -Ndeeba'!I57,'23.07 Lubiri-Ndeeba'!I57,'24.07 Lubiri-Ndeeba'!I57,'25.07 Lubiri-Ndeeba'!I57,'26.07 Lubiri-Ndeeba-24h'!I57,'27.07 Lubiri-Ndeeba-24h'!I57,'28.07 Lubiri-Ndeeba'!I57)</f>
        <v>3.4285714285714284</v>
      </c>
      <c r="J57" s="49">
        <f>AVERAGE('22.07 Lubiri -Ndeeba'!J57,'23.07 Lubiri-Ndeeba'!J57,'24.07 Lubiri-Ndeeba'!J57,'25.07 Lubiri-Ndeeba'!J57,'26.07 Lubiri-Ndeeba-24h'!J57,'27.07 Lubiri-Ndeeba-24h'!J57,'28.07 Lubiri-Ndeeba'!J57)</f>
        <v>2.4285714285714284</v>
      </c>
      <c r="K57" s="49">
        <f>AVERAGE('22.07 Lubiri -Ndeeba'!K57,'23.07 Lubiri-Ndeeba'!K57,'24.07 Lubiri-Ndeeba'!K57,'25.07 Lubiri-Ndeeba'!K57,'26.07 Lubiri-Ndeeba-24h'!K57,'27.07 Lubiri-Ndeeba-24h'!K57,'28.07 Lubiri-Ndeeba'!K57)</f>
        <v>0.42857142857142855</v>
      </c>
      <c r="L57" s="49">
        <f>AVERAGE('22.07 Lubiri -Ndeeba'!L57,'23.07 Lubiri-Ndeeba'!L57,'24.07 Lubiri-Ndeeba'!L57,'25.07 Lubiri-Ndeeba'!L57,'26.07 Lubiri-Ndeeba-24h'!L57,'27.07 Lubiri-Ndeeba-24h'!L57,'28.07 Lubiri-Ndeeba'!L57)</f>
        <v>0.7142857142857143</v>
      </c>
      <c r="M57" s="49">
        <f>AVERAGE('22.07 Lubiri -Ndeeba'!M57,'23.07 Lubiri-Ndeeba'!M57,'24.07 Lubiri-Ndeeba'!M57,'25.07 Lubiri-Ndeeba'!M57,'26.07 Lubiri-Ndeeba-24h'!M57,'27.07 Lubiri-Ndeeba-24h'!M57,'28.07 Lubiri-Ndeeba'!M57)</f>
        <v>202.85714285714286</v>
      </c>
      <c r="N57" s="49">
        <f>AVERAGE('22.07 Lubiri -Ndeeba'!N57,'23.07 Lubiri-Ndeeba'!N57,'24.07 Lubiri-Ndeeba'!N57,'25.07 Lubiri-Ndeeba'!N57,'26.07 Lubiri-Ndeeba-24h'!N57,'27.07 Lubiri-Ndeeba-24h'!N57,'28.07 Lubiri-Ndeeba'!N57)</f>
        <v>0</v>
      </c>
      <c r="O57" s="15">
        <f t="shared" ref="O57:O105" si="37">SUM(C57:L57,N57)</f>
        <v>81.428571428571431</v>
      </c>
      <c r="P57" s="15">
        <f t="shared" ref="P57:P105" si="38">SUM(C57:N57)</f>
        <v>284.28571428571428</v>
      </c>
      <c r="R57" s="8"/>
      <c r="T57"/>
    </row>
    <row r="58" spans="2:20" ht="23.1" customHeight="1" x14ac:dyDescent="0.25">
      <c r="B58" s="23" t="s">
        <v>99</v>
      </c>
      <c r="C58" s="49">
        <f>AVERAGE('26.07 Lubiri-Ndeeba-24h'!C58,'27.07 Lubiri-Ndeeba-24h'!C58)</f>
        <v>83</v>
      </c>
      <c r="D58" s="49">
        <f>AVERAGE('26.07 Lubiri-Ndeeba-24h'!D58,'27.07 Lubiri-Ndeeba-24h'!D58)</f>
        <v>14.5</v>
      </c>
      <c r="E58" s="49">
        <f>AVERAGE('26.07 Lubiri-Ndeeba-24h'!E58,'27.07 Lubiri-Ndeeba-24h'!E58)</f>
        <v>10</v>
      </c>
      <c r="F58" s="49">
        <f>AVERAGE('26.07 Lubiri-Ndeeba-24h'!F58,'27.07 Lubiri-Ndeeba-24h'!F58)</f>
        <v>47</v>
      </c>
      <c r="G58" s="49">
        <f>AVERAGE('26.07 Lubiri-Ndeeba-24h'!G58,'27.07 Lubiri-Ndeeba-24h'!G58)</f>
        <v>0</v>
      </c>
      <c r="H58" s="49">
        <f>AVERAGE('26.07 Lubiri-Ndeeba-24h'!H58,'27.07 Lubiri-Ndeeba-24h'!H58)</f>
        <v>0</v>
      </c>
      <c r="I58" s="49">
        <f>AVERAGE('26.07 Lubiri-Ndeeba-24h'!I58,'27.07 Lubiri-Ndeeba-24h'!I58)</f>
        <v>3.5</v>
      </c>
      <c r="J58" s="49">
        <f>AVERAGE('26.07 Lubiri-Ndeeba-24h'!J58,'27.07 Lubiri-Ndeeba-24h'!J58)</f>
        <v>3.5</v>
      </c>
      <c r="K58" s="49">
        <f>AVERAGE('26.07 Lubiri-Ndeeba-24h'!K58,'27.07 Lubiri-Ndeeba-24h'!K58)</f>
        <v>0</v>
      </c>
      <c r="L58" s="49">
        <f>AVERAGE('26.07 Lubiri-Ndeeba-24h'!L58,'27.07 Lubiri-Ndeeba-24h'!L58)</f>
        <v>0.5</v>
      </c>
      <c r="M58" s="49">
        <f>AVERAGE('26.07 Lubiri-Ndeeba-24h'!M58,'27.07 Lubiri-Ndeeba-24h'!M58)</f>
        <v>210</v>
      </c>
      <c r="N58" s="49">
        <f>AVERAGE('26.07 Lubiri-Ndeeba-24h'!N58,'27.07 Lubiri-Ndeeba-24h'!N58)</f>
        <v>0</v>
      </c>
      <c r="O58" s="15">
        <f t="shared" si="37"/>
        <v>162</v>
      </c>
      <c r="P58" s="15">
        <f t="shared" si="38"/>
        <v>372</v>
      </c>
      <c r="R58" s="8"/>
      <c r="T58"/>
    </row>
    <row r="59" spans="2:20" ht="23.1" customHeight="1" x14ac:dyDescent="0.25">
      <c r="B59" s="23" t="s">
        <v>100</v>
      </c>
      <c r="C59" s="49">
        <f>AVERAGE('26.07 Lubiri-Ndeeba-24h'!C59,'27.07 Lubiri-Ndeeba-24h'!C59)</f>
        <v>33</v>
      </c>
      <c r="D59" s="49">
        <f>AVERAGE('26.07 Lubiri-Ndeeba-24h'!D59,'27.07 Lubiri-Ndeeba-24h'!D59)</f>
        <v>9.5</v>
      </c>
      <c r="E59" s="49">
        <f>AVERAGE('26.07 Lubiri-Ndeeba-24h'!E59,'27.07 Lubiri-Ndeeba-24h'!E59)</f>
        <v>2</v>
      </c>
      <c r="F59" s="49">
        <f>AVERAGE('26.07 Lubiri-Ndeeba-24h'!F59,'27.07 Lubiri-Ndeeba-24h'!F59)</f>
        <v>14</v>
      </c>
      <c r="G59" s="49">
        <f>AVERAGE('26.07 Lubiri-Ndeeba-24h'!G59,'27.07 Lubiri-Ndeeba-24h'!G59)</f>
        <v>6</v>
      </c>
      <c r="H59" s="49">
        <f>AVERAGE('26.07 Lubiri-Ndeeba-24h'!H59,'27.07 Lubiri-Ndeeba-24h'!H59)</f>
        <v>0.5</v>
      </c>
      <c r="I59" s="49">
        <f>AVERAGE('26.07 Lubiri-Ndeeba-24h'!I59,'27.07 Lubiri-Ndeeba-24h'!I59)</f>
        <v>2.5</v>
      </c>
      <c r="J59" s="49">
        <f>AVERAGE('26.07 Lubiri-Ndeeba-24h'!J59,'27.07 Lubiri-Ndeeba-24h'!J59)</f>
        <v>1.5</v>
      </c>
      <c r="K59" s="49">
        <f>AVERAGE('26.07 Lubiri-Ndeeba-24h'!K59,'27.07 Lubiri-Ndeeba-24h'!K59)</f>
        <v>0.5</v>
      </c>
      <c r="L59" s="49">
        <f>AVERAGE('26.07 Lubiri-Ndeeba-24h'!L59,'27.07 Lubiri-Ndeeba-24h'!L59)</f>
        <v>0</v>
      </c>
      <c r="M59" s="49">
        <f>AVERAGE('26.07 Lubiri-Ndeeba-24h'!M59,'27.07 Lubiri-Ndeeba-24h'!M59)</f>
        <v>159.5</v>
      </c>
      <c r="N59" s="49">
        <f>AVERAGE('26.07 Lubiri-Ndeeba-24h'!N59,'27.07 Lubiri-Ndeeba-24h'!N59)</f>
        <v>0</v>
      </c>
      <c r="O59" s="15">
        <f t="shared" si="37"/>
        <v>69.5</v>
      </c>
      <c r="P59" s="15">
        <f t="shared" si="38"/>
        <v>229</v>
      </c>
      <c r="R59" s="8"/>
      <c r="T59"/>
    </row>
    <row r="60" spans="2:20" ht="23.1" customHeight="1" x14ac:dyDescent="0.25">
      <c r="B60" s="23" t="s">
        <v>101</v>
      </c>
      <c r="C60" s="49">
        <f>AVERAGE('26.07 Lubiri-Ndeeba-24h'!C60,'27.07 Lubiri-Ndeeba-24h'!C60)</f>
        <v>58</v>
      </c>
      <c r="D60" s="49">
        <f>AVERAGE('26.07 Lubiri-Ndeeba-24h'!D60,'27.07 Lubiri-Ndeeba-24h'!D60)</f>
        <v>11</v>
      </c>
      <c r="E60" s="49">
        <f>AVERAGE('26.07 Lubiri-Ndeeba-24h'!E60,'27.07 Lubiri-Ndeeba-24h'!E60)</f>
        <v>9.5</v>
      </c>
      <c r="F60" s="49">
        <f>AVERAGE('26.07 Lubiri-Ndeeba-24h'!F60,'27.07 Lubiri-Ndeeba-24h'!F60)</f>
        <v>39</v>
      </c>
      <c r="G60" s="49">
        <f>AVERAGE('26.07 Lubiri-Ndeeba-24h'!G60,'27.07 Lubiri-Ndeeba-24h'!G60)</f>
        <v>2.5</v>
      </c>
      <c r="H60" s="49">
        <f>AVERAGE('26.07 Lubiri-Ndeeba-24h'!H60,'27.07 Lubiri-Ndeeba-24h'!H60)</f>
        <v>0</v>
      </c>
      <c r="I60" s="49">
        <f>AVERAGE('26.07 Lubiri-Ndeeba-24h'!I60,'27.07 Lubiri-Ndeeba-24h'!I60)</f>
        <v>3.5</v>
      </c>
      <c r="J60" s="49">
        <f>AVERAGE('26.07 Lubiri-Ndeeba-24h'!J60,'27.07 Lubiri-Ndeeba-24h'!J60)</f>
        <v>2.5</v>
      </c>
      <c r="K60" s="49">
        <f>AVERAGE('26.07 Lubiri-Ndeeba-24h'!K60,'27.07 Lubiri-Ndeeba-24h'!K60)</f>
        <v>0.5</v>
      </c>
      <c r="L60" s="49">
        <f>AVERAGE('26.07 Lubiri-Ndeeba-24h'!L60,'27.07 Lubiri-Ndeeba-24h'!L60)</f>
        <v>0.5</v>
      </c>
      <c r="M60" s="49">
        <f>AVERAGE('26.07 Lubiri-Ndeeba-24h'!M60,'27.07 Lubiri-Ndeeba-24h'!M60)</f>
        <v>185</v>
      </c>
      <c r="N60" s="49">
        <f>AVERAGE('26.07 Lubiri-Ndeeba-24h'!N60,'27.07 Lubiri-Ndeeba-24h'!N60)</f>
        <v>0</v>
      </c>
      <c r="O60" s="15">
        <f t="shared" si="37"/>
        <v>127</v>
      </c>
      <c r="P60" s="15">
        <f t="shared" si="38"/>
        <v>312</v>
      </c>
      <c r="R60" s="8"/>
      <c r="T60"/>
    </row>
    <row r="61" spans="2:20" ht="23.1" customHeight="1" x14ac:dyDescent="0.25">
      <c r="B61" s="23" t="s">
        <v>102</v>
      </c>
      <c r="C61" s="49">
        <f>AVERAGE('26.07 Lubiri-Ndeeba-24h'!C61,'27.07 Lubiri-Ndeeba-24h'!C61)</f>
        <v>63</v>
      </c>
      <c r="D61" s="49">
        <f>AVERAGE('26.07 Lubiri-Ndeeba-24h'!D61,'27.07 Lubiri-Ndeeba-24h'!D61)</f>
        <v>5</v>
      </c>
      <c r="E61" s="49">
        <f>AVERAGE('26.07 Lubiri-Ndeeba-24h'!E61,'27.07 Lubiri-Ndeeba-24h'!E61)</f>
        <v>4</v>
      </c>
      <c r="F61" s="49">
        <f>AVERAGE('26.07 Lubiri-Ndeeba-24h'!F61,'27.07 Lubiri-Ndeeba-24h'!F61)</f>
        <v>57</v>
      </c>
      <c r="G61" s="49">
        <f>AVERAGE('26.07 Lubiri-Ndeeba-24h'!G61,'27.07 Lubiri-Ndeeba-24h'!G61)</f>
        <v>0.5</v>
      </c>
      <c r="H61" s="49">
        <f>AVERAGE('26.07 Lubiri-Ndeeba-24h'!H61,'27.07 Lubiri-Ndeeba-24h'!H61)</f>
        <v>0</v>
      </c>
      <c r="I61" s="49">
        <f>AVERAGE('26.07 Lubiri-Ndeeba-24h'!I61,'27.07 Lubiri-Ndeeba-24h'!I61)</f>
        <v>2.5</v>
      </c>
      <c r="J61" s="49">
        <f>AVERAGE('26.07 Lubiri-Ndeeba-24h'!J61,'27.07 Lubiri-Ndeeba-24h'!J61)</f>
        <v>1.5</v>
      </c>
      <c r="K61" s="49">
        <f>AVERAGE('26.07 Lubiri-Ndeeba-24h'!K61,'27.07 Lubiri-Ndeeba-24h'!K61)</f>
        <v>1.5</v>
      </c>
      <c r="L61" s="49">
        <f>AVERAGE('26.07 Lubiri-Ndeeba-24h'!L61,'27.07 Lubiri-Ndeeba-24h'!L61)</f>
        <v>0</v>
      </c>
      <c r="M61" s="49">
        <f>AVERAGE('26.07 Lubiri-Ndeeba-24h'!M61,'27.07 Lubiri-Ndeeba-24h'!M61)</f>
        <v>82.5</v>
      </c>
      <c r="N61" s="49">
        <f>AVERAGE('26.07 Lubiri-Ndeeba-24h'!N61,'27.07 Lubiri-Ndeeba-24h'!N61)</f>
        <v>0</v>
      </c>
      <c r="O61" s="15">
        <f t="shared" si="37"/>
        <v>135</v>
      </c>
      <c r="P61" s="15">
        <f t="shared" si="38"/>
        <v>217.5</v>
      </c>
      <c r="R61" s="8"/>
      <c r="T61"/>
    </row>
    <row r="62" spans="2:20" ht="23.1" customHeight="1" x14ac:dyDescent="0.25">
      <c r="B62" s="23" t="s">
        <v>107</v>
      </c>
      <c r="C62" s="49">
        <f>AVERAGE('26.07 Lubiri-Ndeeba-24h'!C62,'27.07 Lubiri-Ndeeba-24h'!C62)</f>
        <v>83.5</v>
      </c>
      <c r="D62" s="49">
        <f>AVERAGE('26.07 Lubiri-Ndeeba-24h'!D62,'27.07 Lubiri-Ndeeba-24h'!D62)</f>
        <v>28</v>
      </c>
      <c r="E62" s="49">
        <f>AVERAGE('26.07 Lubiri-Ndeeba-24h'!E62,'27.07 Lubiri-Ndeeba-24h'!E62)</f>
        <v>5.5</v>
      </c>
      <c r="F62" s="49">
        <f>AVERAGE('26.07 Lubiri-Ndeeba-24h'!F62,'27.07 Lubiri-Ndeeba-24h'!F62)</f>
        <v>56.5</v>
      </c>
      <c r="G62" s="49">
        <f>AVERAGE('26.07 Lubiri-Ndeeba-24h'!G62,'27.07 Lubiri-Ndeeba-24h'!G62)</f>
        <v>0.5</v>
      </c>
      <c r="H62" s="49">
        <f>AVERAGE('26.07 Lubiri-Ndeeba-24h'!H62,'27.07 Lubiri-Ndeeba-24h'!H62)</f>
        <v>0</v>
      </c>
      <c r="I62" s="49">
        <f>AVERAGE('26.07 Lubiri-Ndeeba-24h'!I62,'27.07 Lubiri-Ndeeba-24h'!I62)</f>
        <v>6</v>
      </c>
      <c r="J62" s="49">
        <f>AVERAGE('26.07 Lubiri-Ndeeba-24h'!J62,'27.07 Lubiri-Ndeeba-24h'!J62)</f>
        <v>8</v>
      </c>
      <c r="K62" s="49">
        <f>AVERAGE('26.07 Lubiri-Ndeeba-24h'!K62,'27.07 Lubiri-Ndeeba-24h'!K62)</f>
        <v>2</v>
      </c>
      <c r="L62" s="49">
        <f>AVERAGE('26.07 Lubiri-Ndeeba-24h'!L62,'27.07 Lubiri-Ndeeba-24h'!L62)</f>
        <v>0.5</v>
      </c>
      <c r="M62" s="49">
        <f>AVERAGE('26.07 Lubiri-Ndeeba-24h'!M62,'27.07 Lubiri-Ndeeba-24h'!M62)</f>
        <v>234.5</v>
      </c>
      <c r="N62" s="49">
        <f>AVERAGE('26.07 Lubiri-Ndeeba-24h'!N62,'27.07 Lubiri-Ndeeba-24h'!N62)</f>
        <v>0</v>
      </c>
      <c r="O62" s="15">
        <f t="shared" si="37"/>
        <v>190.5</v>
      </c>
      <c r="P62" s="15">
        <f t="shared" si="38"/>
        <v>425</v>
      </c>
      <c r="R62" s="8"/>
      <c r="T62"/>
    </row>
    <row r="63" spans="2:20" ht="23.1" customHeight="1" x14ac:dyDescent="0.25">
      <c r="B63" s="23" t="s">
        <v>108</v>
      </c>
      <c r="C63" s="49">
        <f>AVERAGE('26.07 Lubiri-Ndeeba-24h'!C63,'27.07 Lubiri-Ndeeba-24h'!C63)</f>
        <v>27.5</v>
      </c>
      <c r="D63" s="49">
        <f>AVERAGE('26.07 Lubiri-Ndeeba-24h'!D63,'27.07 Lubiri-Ndeeba-24h'!D63)</f>
        <v>2</v>
      </c>
      <c r="E63" s="49">
        <f>AVERAGE('26.07 Lubiri-Ndeeba-24h'!E63,'27.07 Lubiri-Ndeeba-24h'!E63)</f>
        <v>2.5</v>
      </c>
      <c r="F63" s="49">
        <f>AVERAGE('26.07 Lubiri-Ndeeba-24h'!F63,'27.07 Lubiri-Ndeeba-24h'!F63)</f>
        <v>29.5</v>
      </c>
      <c r="G63" s="49">
        <f>AVERAGE('26.07 Lubiri-Ndeeba-24h'!G63,'27.07 Lubiri-Ndeeba-24h'!G63)</f>
        <v>0</v>
      </c>
      <c r="H63" s="49">
        <f>AVERAGE('26.07 Lubiri-Ndeeba-24h'!H63,'27.07 Lubiri-Ndeeba-24h'!H63)</f>
        <v>0</v>
      </c>
      <c r="I63" s="49">
        <f>AVERAGE('26.07 Lubiri-Ndeeba-24h'!I63,'27.07 Lubiri-Ndeeba-24h'!I63)</f>
        <v>1.5</v>
      </c>
      <c r="J63" s="49">
        <f>AVERAGE('26.07 Lubiri-Ndeeba-24h'!J63,'27.07 Lubiri-Ndeeba-24h'!J63)</f>
        <v>1.5</v>
      </c>
      <c r="K63" s="49">
        <f>AVERAGE('26.07 Lubiri-Ndeeba-24h'!K63,'27.07 Lubiri-Ndeeba-24h'!K63)</f>
        <v>0</v>
      </c>
      <c r="L63" s="49">
        <f>AVERAGE('26.07 Lubiri-Ndeeba-24h'!L63,'27.07 Lubiri-Ndeeba-24h'!L63)</f>
        <v>0</v>
      </c>
      <c r="M63" s="49">
        <f>AVERAGE('26.07 Lubiri-Ndeeba-24h'!M63,'27.07 Lubiri-Ndeeba-24h'!M63)</f>
        <v>202.5</v>
      </c>
      <c r="N63" s="49">
        <f>AVERAGE('26.07 Lubiri-Ndeeba-24h'!N63,'27.07 Lubiri-Ndeeba-24h'!N63)</f>
        <v>0</v>
      </c>
      <c r="O63" s="15">
        <f t="shared" si="37"/>
        <v>64.5</v>
      </c>
      <c r="P63" s="15">
        <f t="shared" si="38"/>
        <v>267</v>
      </c>
      <c r="R63" s="8"/>
      <c r="T63"/>
    </row>
    <row r="64" spans="2:20" ht="23.1" customHeight="1" x14ac:dyDescent="0.25">
      <c r="B64" s="23" t="s">
        <v>109</v>
      </c>
      <c r="C64" s="49">
        <f>AVERAGE('26.07 Lubiri-Ndeeba-24h'!C64,'27.07 Lubiri-Ndeeba-24h'!C64)</f>
        <v>42</v>
      </c>
      <c r="D64" s="49">
        <f>AVERAGE('26.07 Lubiri-Ndeeba-24h'!D64,'27.07 Lubiri-Ndeeba-24h'!D64)</f>
        <v>2</v>
      </c>
      <c r="E64" s="49">
        <f>AVERAGE('26.07 Lubiri-Ndeeba-24h'!E64,'27.07 Lubiri-Ndeeba-24h'!E64)</f>
        <v>5</v>
      </c>
      <c r="F64" s="49">
        <f>AVERAGE('26.07 Lubiri-Ndeeba-24h'!F64,'27.07 Lubiri-Ndeeba-24h'!F64)</f>
        <v>39</v>
      </c>
      <c r="G64" s="49">
        <f>AVERAGE('26.07 Lubiri-Ndeeba-24h'!G64,'27.07 Lubiri-Ndeeba-24h'!G64)</f>
        <v>0</v>
      </c>
      <c r="H64" s="49">
        <f>AVERAGE('26.07 Lubiri-Ndeeba-24h'!H64,'27.07 Lubiri-Ndeeba-24h'!H64)</f>
        <v>0</v>
      </c>
      <c r="I64" s="49">
        <f>AVERAGE('26.07 Lubiri-Ndeeba-24h'!I64,'27.07 Lubiri-Ndeeba-24h'!I64)</f>
        <v>1.5</v>
      </c>
      <c r="J64" s="49">
        <f>AVERAGE('26.07 Lubiri-Ndeeba-24h'!J64,'27.07 Lubiri-Ndeeba-24h'!J64)</f>
        <v>2.5</v>
      </c>
      <c r="K64" s="49">
        <f>AVERAGE('26.07 Lubiri-Ndeeba-24h'!K64,'27.07 Lubiri-Ndeeba-24h'!K64)</f>
        <v>1.5</v>
      </c>
      <c r="L64" s="49">
        <f>AVERAGE('26.07 Lubiri-Ndeeba-24h'!L64,'27.07 Lubiri-Ndeeba-24h'!L64)</f>
        <v>0</v>
      </c>
      <c r="M64" s="49">
        <f>AVERAGE('26.07 Lubiri-Ndeeba-24h'!M64,'27.07 Lubiri-Ndeeba-24h'!M64)</f>
        <v>180</v>
      </c>
      <c r="N64" s="49">
        <f>AVERAGE('26.07 Lubiri-Ndeeba-24h'!N64,'27.07 Lubiri-Ndeeba-24h'!N64)</f>
        <v>0.5</v>
      </c>
      <c r="O64" s="15">
        <f t="shared" si="37"/>
        <v>94</v>
      </c>
      <c r="P64" s="15">
        <f t="shared" si="38"/>
        <v>274</v>
      </c>
      <c r="R64" s="8"/>
      <c r="T64"/>
    </row>
    <row r="65" spans="2:20" ht="23.1" customHeight="1" x14ac:dyDescent="0.25">
      <c r="B65" s="23" t="s">
        <v>158</v>
      </c>
      <c r="C65" s="49">
        <f>AVERAGE('26.07 Lubiri-Ndeeba-24h'!C65,'27.07 Lubiri-Ndeeba-24h'!C65)</f>
        <v>49</v>
      </c>
      <c r="D65" s="49">
        <f>AVERAGE('26.07 Lubiri-Ndeeba-24h'!D65,'27.07 Lubiri-Ndeeba-24h'!D65)</f>
        <v>4</v>
      </c>
      <c r="E65" s="49">
        <f>AVERAGE('26.07 Lubiri-Ndeeba-24h'!E65,'27.07 Lubiri-Ndeeba-24h'!E65)</f>
        <v>2.5</v>
      </c>
      <c r="F65" s="49">
        <f>AVERAGE('26.07 Lubiri-Ndeeba-24h'!F65,'27.07 Lubiri-Ndeeba-24h'!F65)</f>
        <v>31</v>
      </c>
      <c r="G65" s="49">
        <f>AVERAGE('26.07 Lubiri-Ndeeba-24h'!G65,'27.07 Lubiri-Ndeeba-24h'!G65)</f>
        <v>0</v>
      </c>
      <c r="H65" s="49">
        <f>AVERAGE('26.07 Lubiri-Ndeeba-24h'!H65,'27.07 Lubiri-Ndeeba-24h'!H65)</f>
        <v>0</v>
      </c>
      <c r="I65" s="49">
        <f>AVERAGE('26.07 Lubiri-Ndeeba-24h'!I65,'27.07 Lubiri-Ndeeba-24h'!I65)</f>
        <v>5</v>
      </c>
      <c r="J65" s="49">
        <f>AVERAGE('26.07 Lubiri-Ndeeba-24h'!J65,'27.07 Lubiri-Ndeeba-24h'!J65)</f>
        <v>3</v>
      </c>
      <c r="K65" s="49">
        <f>AVERAGE('26.07 Lubiri-Ndeeba-24h'!K65,'27.07 Lubiri-Ndeeba-24h'!K65)</f>
        <v>1</v>
      </c>
      <c r="L65" s="49">
        <f>AVERAGE('26.07 Lubiri-Ndeeba-24h'!L65,'27.07 Lubiri-Ndeeba-24h'!L65)</f>
        <v>0</v>
      </c>
      <c r="M65" s="49">
        <f>AVERAGE('26.07 Lubiri-Ndeeba-24h'!M65,'27.07 Lubiri-Ndeeba-24h'!M65)</f>
        <v>130</v>
      </c>
      <c r="N65" s="49">
        <f>AVERAGE('26.07 Lubiri-Ndeeba-24h'!N65,'27.07 Lubiri-Ndeeba-24h'!N65)</f>
        <v>0</v>
      </c>
      <c r="O65" s="15">
        <f t="shared" si="37"/>
        <v>95.5</v>
      </c>
      <c r="P65" s="15">
        <f t="shared" si="38"/>
        <v>225.5</v>
      </c>
      <c r="R65" s="8"/>
      <c r="T65"/>
    </row>
    <row r="66" spans="2:20" ht="23.1" customHeight="1" x14ac:dyDescent="0.25">
      <c r="B66" s="23" t="s">
        <v>103</v>
      </c>
      <c r="C66" s="49">
        <f>AVERAGE('26.07 Lubiri-Ndeeba-24h'!C66,'27.07 Lubiri-Ndeeba-24h'!C66)</f>
        <v>48</v>
      </c>
      <c r="D66" s="49">
        <f>AVERAGE('26.07 Lubiri-Ndeeba-24h'!D66,'27.07 Lubiri-Ndeeba-24h'!D66)</f>
        <v>4.5</v>
      </c>
      <c r="E66" s="49">
        <f>AVERAGE('26.07 Lubiri-Ndeeba-24h'!E66,'27.07 Lubiri-Ndeeba-24h'!E66)</f>
        <v>5</v>
      </c>
      <c r="F66" s="49">
        <f>AVERAGE('26.07 Lubiri-Ndeeba-24h'!F66,'27.07 Lubiri-Ndeeba-24h'!F66)</f>
        <v>38.5</v>
      </c>
      <c r="G66" s="49">
        <f>AVERAGE('26.07 Lubiri-Ndeeba-24h'!G66,'27.07 Lubiri-Ndeeba-24h'!G66)</f>
        <v>0.5</v>
      </c>
      <c r="H66" s="49">
        <f>AVERAGE('26.07 Lubiri-Ndeeba-24h'!H66,'27.07 Lubiri-Ndeeba-24h'!H66)</f>
        <v>0</v>
      </c>
      <c r="I66" s="49">
        <f>AVERAGE('26.07 Lubiri-Ndeeba-24h'!I66,'27.07 Lubiri-Ndeeba-24h'!I66)</f>
        <v>4.5</v>
      </c>
      <c r="J66" s="49">
        <f>AVERAGE('26.07 Lubiri-Ndeeba-24h'!J66,'27.07 Lubiri-Ndeeba-24h'!J66)</f>
        <v>2.5</v>
      </c>
      <c r="K66" s="49">
        <f>AVERAGE('26.07 Lubiri-Ndeeba-24h'!K66,'27.07 Lubiri-Ndeeba-24h'!K66)</f>
        <v>0</v>
      </c>
      <c r="L66" s="49">
        <f>AVERAGE('26.07 Lubiri-Ndeeba-24h'!L66,'27.07 Lubiri-Ndeeba-24h'!L66)</f>
        <v>1</v>
      </c>
      <c r="M66" s="49">
        <f>AVERAGE('26.07 Lubiri-Ndeeba-24h'!M66,'27.07 Lubiri-Ndeeba-24h'!M66)</f>
        <v>140.5</v>
      </c>
      <c r="N66" s="49">
        <f>AVERAGE('26.07 Lubiri-Ndeeba-24h'!N66,'27.07 Lubiri-Ndeeba-24h'!N66)</f>
        <v>0</v>
      </c>
      <c r="O66" s="15">
        <f t="shared" si="37"/>
        <v>104.5</v>
      </c>
      <c r="P66" s="15">
        <f t="shared" si="38"/>
        <v>245</v>
      </c>
      <c r="R66" s="8"/>
      <c r="T66"/>
    </row>
    <row r="67" spans="2:20" ht="23.1" customHeight="1" x14ac:dyDescent="0.25">
      <c r="B67" s="23" t="s">
        <v>104</v>
      </c>
      <c r="C67" s="49">
        <f>AVERAGE('26.07 Lubiri-Ndeeba-24h'!C67,'27.07 Lubiri-Ndeeba-24h'!C67)</f>
        <v>44</v>
      </c>
      <c r="D67" s="49">
        <f>AVERAGE('26.07 Lubiri-Ndeeba-24h'!D67,'27.07 Lubiri-Ndeeba-24h'!D67)</f>
        <v>8.5</v>
      </c>
      <c r="E67" s="49">
        <f>AVERAGE('26.07 Lubiri-Ndeeba-24h'!E67,'27.07 Lubiri-Ndeeba-24h'!E67)</f>
        <v>3.5</v>
      </c>
      <c r="F67" s="49">
        <f>AVERAGE('26.07 Lubiri-Ndeeba-24h'!F67,'27.07 Lubiri-Ndeeba-24h'!F67)</f>
        <v>27.5</v>
      </c>
      <c r="G67" s="49">
        <f>AVERAGE('26.07 Lubiri-Ndeeba-24h'!G67,'27.07 Lubiri-Ndeeba-24h'!G67)</f>
        <v>0.5</v>
      </c>
      <c r="H67" s="49">
        <f>AVERAGE('26.07 Lubiri-Ndeeba-24h'!H67,'27.07 Lubiri-Ndeeba-24h'!H67)</f>
        <v>0</v>
      </c>
      <c r="I67" s="49">
        <f>AVERAGE('26.07 Lubiri-Ndeeba-24h'!I67,'27.07 Lubiri-Ndeeba-24h'!I67)</f>
        <v>3.5</v>
      </c>
      <c r="J67" s="49">
        <f>AVERAGE('26.07 Lubiri-Ndeeba-24h'!J67,'27.07 Lubiri-Ndeeba-24h'!J67)</f>
        <v>1.5</v>
      </c>
      <c r="K67" s="49">
        <f>AVERAGE('26.07 Lubiri-Ndeeba-24h'!K67,'27.07 Lubiri-Ndeeba-24h'!K67)</f>
        <v>1</v>
      </c>
      <c r="L67" s="49">
        <f>AVERAGE('26.07 Lubiri-Ndeeba-24h'!L67,'27.07 Lubiri-Ndeeba-24h'!L67)</f>
        <v>0</v>
      </c>
      <c r="M67" s="49">
        <f>AVERAGE('26.07 Lubiri-Ndeeba-24h'!M67,'27.07 Lubiri-Ndeeba-24h'!M67)</f>
        <v>105</v>
      </c>
      <c r="N67" s="49">
        <f>AVERAGE('26.07 Lubiri-Ndeeba-24h'!N67,'27.07 Lubiri-Ndeeba-24h'!N67)</f>
        <v>0</v>
      </c>
      <c r="O67" s="15">
        <f t="shared" si="37"/>
        <v>90</v>
      </c>
      <c r="P67" s="15">
        <f t="shared" si="38"/>
        <v>195</v>
      </c>
      <c r="R67" s="8"/>
      <c r="T67"/>
    </row>
    <row r="68" spans="2:20" ht="23.1" customHeight="1" x14ac:dyDescent="0.25">
      <c r="B68" s="23" t="s">
        <v>105</v>
      </c>
      <c r="C68" s="49">
        <f>AVERAGE('26.07 Lubiri-Ndeeba-24h'!C68,'27.07 Lubiri-Ndeeba-24h'!C68)</f>
        <v>33</v>
      </c>
      <c r="D68" s="49">
        <f>AVERAGE('26.07 Lubiri-Ndeeba-24h'!D68,'27.07 Lubiri-Ndeeba-24h'!D68)</f>
        <v>3</v>
      </c>
      <c r="E68" s="49">
        <f>AVERAGE('26.07 Lubiri-Ndeeba-24h'!E68,'27.07 Lubiri-Ndeeba-24h'!E68)</f>
        <v>2</v>
      </c>
      <c r="F68" s="49">
        <f>AVERAGE('26.07 Lubiri-Ndeeba-24h'!F68,'27.07 Lubiri-Ndeeba-24h'!F68)</f>
        <v>24</v>
      </c>
      <c r="G68" s="49">
        <f>AVERAGE('26.07 Lubiri-Ndeeba-24h'!G68,'27.07 Lubiri-Ndeeba-24h'!G68)</f>
        <v>0.5</v>
      </c>
      <c r="H68" s="49">
        <f>AVERAGE('26.07 Lubiri-Ndeeba-24h'!H68,'27.07 Lubiri-Ndeeba-24h'!H68)</f>
        <v>0</v>
      </c>
      <c r="I68" s="49">
        <f>AVERAGE('26.07 Lubiri-Ndeeba-24h'!I68,'27.07 Lubiri-Ndeeba-24h'!I68)</f>
        <v>2</v>
      </c>
      <c r="J68" s="49">
        <f>AVERAGE('26.07 Lubiri-Ndeeba-24h'!J68,'27.07 Lubiri-Ndeeba-24h'!J68)</f>
        <v>1</v>
      </c>
      <c r="K68" s="49">
        <f>AVERAGE('26.07 Lubiri-Ndeeba-24h'!K68,'27.07 Lubiri-Ndeeba-24h'!K68)</f>
        <v>1</v>
      </c>
      <c r="L68" s="49">
        <f>AVERAGE('26.07 Lubiri-Ndeeba-24h'!L68,'27.07 Lubiri-Ndeeba-24h'!L68)</f>
        <v>0.5</v>
      </c>
      <c r="M68" s="49">
        <f>AVERAGE('26.07 Lubiri-Ndeeba-24h'!M68,'27.07 Lubiri-Ndeeba-24h'!M68)</f>
        <v>92.5</v>
      </c>
      <c r="N68" s="49">
        <f>AVERAGE('26.07 Lubiri-Ndeeba-24h'!N68,'27.07 Lubiri-Ndeeba-24h'!N68)</f>
        <v>0</v>
      </c>
      <c r="O68" s="15">
        <f t="shared" si="37"/>
        <v>67</v>
      </c>
      <c r="P68" s="15">
        <f t="shared" si="38"/>
        <v>159.5</v>
      </c>
      <c r="R68" s="8"/>
      <c r="T68"/>
    </row>
    <row r="69" spans="2:20" ht="23.1" customHeight="1" x14ac:dyDescent="0.25">
      <c r="B69" s="23" t="s">
        <v>106</v>
      </c>
      <c r="C69" s="49">
        <f>AVERAGE('26.07 Lubiri-Ndeeba-24h'!C69,'27.07 Lubiri-Ndeeba-24h'!C69)</f>
        <v>50</v>
      </c>
      <c r="D69" s="49">
        <f>AVERAGE('26.07 Lubiri-Ndeeba-24h'!D69,'27.07 Lubiri-Ndeeba-24h'!D69)</f>
        <v>4.5</v>
      </c>
      <c r="E69" s="49">
        <f>AVERAGE('26.07 Lubiri-Ndeeba-24h'!E69,'27.07 Lubiri-Ndeeba-24h'!E69)</f>
        <v>2.5</v>
      </c>
      <c r="F69" s="49">
        <f>AVERAGE('26.07 Lubiri-Ndeeba-24h'!F69,'27.07 Lubiri-Ndeeba-24h'!F69)</f>
        <v>25.5</v>
      </c>
      <c r="G69" s="49">
        <f>AVERAGE('26.07 Lubiri-Ndeeba-24h'!G69,'27.07 Lubiri-Ndeeba-24h'!G69)</f>
        <v>0</v>
      </c>
      <c r="H69" s="49">
        <f>AVERAGE('26.07 Lubiri-Ndeeba-24h'!H69,'27.07 Lubiri-Ndeeba-24h'!H69)</f>
        <v>0</v>
      </c>
      <c r="I69" s="49">
        <f>AVERAGE('26.07 Lubiri-Ndeeba-24h'!I69,'27.07 Lubiri-Ndeeba-24h'!I69)</f>
        <v>2.5</v>
      </c>
      <c r="J69" s="49">
        <f>AVERAGE('26.07 Lubiri-Ndeeba-24h'!J69,'27.07 Lubiri-Ndeeba-24h'!J69)</f>
        <v>2</v>
      </c>
      <c r="K69" s="49">
        <f>AVERAGE('26.07 Lubiri-Ndeeba-24h'!K69,'27.07 Lubiri-Ndeeba-24h'!K69)</f>
        <v>0.5</v>
      </c>
      <c r="L69" s="49">
        <f>AVERAGE('26.07 Lubiri-Ndeeba-24h'!L69,'27.07 Lubiri-Ndeeba-24h'!L69)</f>
        <v>0</v>
      </c>
      <c r="M69" s="49">
        <f>AVERAGE('26.07 Lubiri-Ndeeba-24h'!M69,'27.07 Lubiri-Ndeeba-24h'!M69)</f>
        <v>69</v>
      </c>
      <c r="N69" s="49">
        <f>AVERAGE('26.07 Lubiri-Ndeeba-24h'!N69,'27.07 Lubiri-Ndeeba-24h'!N69)</f>
        <v>0.5</v>
      </c>
      <c r="O69" s="15">
        <f t="shared" si="37"/>
        <v>88</v>
      </c>
      <c r="P69" s="15">
        <f t="shared" si="38"/>
        <v>157</v>
      </c>
      <c r="R69" s="8"/>
      <c r="T69"/>
    </row>
    <row r="70" spans="2:20" ht="23.1" customHeight="1" x14ac:dyDescent="0.25">
      <c r="B70" s="23" t="s">
        <v>110</v>
      </c>
      <c r="C70" s="49">
        <f>AVERAGE('26.07 Lubiri-Ndeeba-24h'!C70,'27.07 Lubiri-Ndeeba-24h'!C70)</f>
        <v>32</v>
      </c>
      <c r="D70" s="49">
        <f>AVERAGE('26.07 Lubiri-Ndeeba-24h'!D70,'27.07 Lubiri-Ndeeba-24h'!D70)</f>
        <v>6</v>
      </c>
      <c r="E70" s="49">
        <f>AVERAGE('26.07 Lubiri-Ndeeba-24h'!E70,'27.07 Lubiri-Ndeeba-24h'!E70)</f>
        <v>5.5</v>
      </c>
      <c r="F70" s="49">
        <f>AVERAGE('26.07 Lubiri-Ndeeba-24h'!F70,'27.07 Lubiri-Ndeeba-24h'!F70)</f>
        <v>15</v>
      </c>
      <c r="G70" s="49">
        <f>AVERAGE('26.07 Lubiri-Ndeeba-24h'!G70,'27.07 Lubiri-Ndeeba-24h'!G70)</f>
        <v>0</v>
      </c>
      <c r="H70" s="49">
        <f>AVERAGE('26.07 Lubiri-Ndeeba-24h'!H70,'27.07 Lubiri-Ndeeba-24h'!H70)</f>
        <v>0</v>
      </c>
      <c r="I70" s="49">
        <f>AVERAGE('26.07 Lubiri-Ndeeba-24h'!I70,'27.07 Lubiri-Ndeeba-24h'!I70)</f>
        <v>1</v>
      </c>
      <c r="J70" s="49">
        <f>AVERAGE('26.07 Lubiri-Ndeeba-24h'!J70,'27.07 Lubiri-Ndeeba-24h'!J70)</f>
        <v>3</v>
      </c>
      <c r="K70" s="49">
        <f>AVERAGE('26.07 Lubiri-Ndeeba-24h'!K70,'27.07 Lubiri-Ndeeba-24h'!K70)</f>
        <v>0</v>
      </c>
      <c r="L70" s="49">
        <f>AVERAGE('26.07 Lubiri-Ndeeba-24h'!L70,'27.07 Lubiri-Ndeeba-24h'!L70)</f>
        <v>0.5</v>
      </c>
      <c r="M70" s="49">
        <f>AVERAGE('26.07 Lubiri-Ndeeba-24h'!M70,'27.07 Lubiri-Ndeeba-24h'!M70)</f>
        <v>62.5</v>
      </c>
      <c r="N70" s="49">
        <f>AVERAGE('26.07 Lubiri-Ndeeba-24h'!N70,'27.07 Lubiri-Ndeeba-24h'!N70)</f>
        <v>0</v>
      </c>
      <c r="O70" s="15">
        <f t="shared" si="37"/>
        <v>63</v>
      </c>
      <c r="P70" s="15">
        <f t="shared" si="38"/>
        <v>125.5</v>
      </c>
      <c r="R70" s="8"/>
      <c r="T70"/>
    </row>
    <row r="71" spans="2:20" ht="23.1" customHeight="1" x14ac:dyDescent="0.25">
      <c r="B71" s="23" t="s">
        <v>111</v>
      </c>
      <c r="C71" s="49">
        <f>AVERAGE('26.07 Lubiri-Ndeeba-24h'!C71,'27.07 Lubiri-Ndeeba-24h'!C71)</f>
        <v>28.5</v>
      </c>
      <c r="D71" s="49">
        <f>AVERAGE('26.07 Lubiri-Ndeeba-24h'!D71,'27.07 Lubiri-Ndeeba-24h'!D71)</f>
        <v>3</v>
      </c>
      <c r="E71" s="49">
        <f>AVERAGE('26.07 Lubiri-Ndeeba-24h'!E71,'27.07 Lubiri-Ndeeba-24h'!E71)</f>
        <v>2</v>
      </c>
      <c r="F71" s="49">
        <f>AVERAGE('26.07 Lubiri-Ndeeba-24h'!F71,'27.07 Lubiri-Ndeeba-24h'!F71)</f>
        <v>11</v>
      </c>
      <c r="G71" s="49">
        <f>AVERAGE('26.07 Lubiri-Ndeeba-24h'!G71,'27.07 Lubiri-Ndeeba-24h'!G71)</f>
        <v>1</v>
      </c>
      <c r="H71" s="49">
        <f>AVERAGE('26.07 Lubiri-Ndeeba-24h'!H71,'27.07 Lubiri-Ndeeba-24h'!H71)</f>
        <v>0</v>
      </c>
      <c r="I71" s="49">
        <f>AVERAGE('26.07 Lubiri-Ndeeba-24h'!I71,'27.07 Lubiri-Ndeeba-24h'!I71)</f>
        <v>2</v>
      </c>
      <c r="J71" s="49">
        <f>AVERAGE('26.07 Lubiri-Ndeeba-24h'!J71,'27.07 Lubiri-Ndeeba-24h'!J71)</f>
        <v>1.5</v>
      </c>
      <c r="K71" s="49">
        <f>AVERAGE('26.07 Lubiri-Ndeeba-24h'!K71,'27.07 Lubiri-Ndeeba-24h'!K71)</f>
        <v>0</v>
      </c>
      <c r="L71" s="49">
        <f>AVERAGE('26.07 Lubiri-Ndeeba-24h'!L71,'27.07 Lubiri-Ndeeba-24h'!L71)</f>
        <v>0</v>
      </c>
      <c r="M71" s="49">
        <f>AVERAGE('26.07 Lubiri-Ndeeba-24h'!M71,'27.07 Lubiri-Ndeeba-24h'!M71)</f>
        <v>45.5</v>
      </c>
      <c r="N71" s="49">
        <f>AVERAGE('26.07 Lubiri-Ndeeba-24h'!N71,'27.07 Lubiri-Ndeeba-24h'!N71)</f>
        <v>0</v>
      </c>
      <c r="O71" s="15">
        <f t="shared" si="37"/>
        <v>49</v>
      </c>
      <c r="P71" s="15">
        <f t="shared" si="38"/>
        <v>94.5</v>
      </c>
      <c r="R71" s="8"/>
      <c r="T71"/>
    </row>
    <row r="72" spans="2:20" ht="23.1" customHeight="1" x14ac:dyDescent="0.25">
      <c r="B72" s="23" t="s">
        <v>112</v>
      </c>
      <c r="C72" s="49">
        <f>AVERAGE('26.07 Lubiri-Ndeeba-24h'!C72,'27.07 Lubiri-Ndeeba-24h'!C72)</f>
        <v>32</v>
      </c>
      <c r="D72" s="49">
        <f>AVERAGE('26.07 Lubiri-Ndeeba-24h'!D72,'27.07 Lubiri-Ndeeba-24h'!D72)</f>
        <v>2.5</v>
      </c>
      <c r="E72" s="49">
        <f>AVERAGE('26.07 Lubiri-Ndeeba-24h'!E72,'27.07 Lubiri-Ndeeba-24h'!E72)</f>
        <v>1.5</v>
      </c>
      <c r="F72" s="49">
        <f>AVERAGE('26.07 Lubiri-Ndeeba-24h'!F72,'27.07 Lubiri-Ndeeba-24h'!F72)</f>
        <v>7.5</v>
      </c>
      <c r="G72" s="49">
        <f>AVERAGE('26.07 Lubiri-Ndeeba-24h'!G72,'27.07 Lubiri-Ndeeba-24h'!G72)</f>
        <v>0</v>
      </c>
      <c r="H72" s="49">
        <f>AVERAGE('26.07 Lubiri-Ndeeba-24h'!H72,'27.07 Lubiri-Ndeeba-24h'!H72)</f>
        <v>0</v>
      </c>
      <c r="I72" s="49">
        <f>AVERAGE('26.07 Lubiri-Ndeeba-24h'!I72,'27.07 Lubiri-Ndeeba-24h'!I72)</f>
        <v>0.5</v>
      </c>
      <c r="J72" s="49">
        <f>AVERAGE('26.07 Lubiri-Ndeeba-24h'!J72,'27.07 Lubiri-Ndeeba-24h'!J72)</f>
        <v>1.5</v>
      </c>
      <c r="K72" s="49">
        <f>AVERAGE('26.07 Lubiri-Ndeeba-24h'!K72,'27.07 Lubiri-Ndeeba-24h'!K72)</f>
        <v>0</v>
      </c>
      <c r="L72" s="49">
        <f>AVERAGE('26.07 Lubiri-Ndeeba-24h'!L72,'27.07 Lubiri-Ndeeba-24h'!L72)</f>
        <v>0</v>
      </c>
      <c r="M72" s="49">
        <f>AVERAGE('26.07 Lubiri-Ndeeba-24h'!M72,'27.07 Lubiri-Ndeeba-24h'!M72)</f>
        <v>42.5</v>
      </c>
      <c r="N72" s="49">
        <f>AVERAGE('26.07 Lubiri-Ndeeba-24h'!N72,'27.07 Lubiri-Ndeeba-24h'!N72)</f>
        <v>0</v>
      </c>
      <c r="O72" s="15">
        <f t="shared" si="37"/>
        <v>45.5</v>
      </c>
      <c r="P72" s="15">
        <f t="shared" si="38"/>
        <v>88</v>
      </c>
      <c r="R72" s="8"/>
      <c r="T72"/>
    </row>
    <row r="73" spans="2:20" ht="23.1" customHeight="1" x14ac:dyDescent="0.25">
      <c r="B73" s="23" t="s">
        <v>113</v>
      </c>
      <c r="C73" s="49">
        <f>AVERAGE('26.07 Lubiri-Ndeeba-24h'!C73,'27.07 Lubiri-Ndeeba-24h'!C73)</f>
        <v>36</v>
      </c>
      <c r="D73" s="49">
        <f>AVERAGE('26.07 Lubiri-Ndeeba-24h'!D73,'27.07 Lubiri-Ndeeba-24h'!D73)</f>
        <v>5.5</v>
      </c>
      <c r="E73" s="49">
        <f>AVERAGE('26.07 Lubiri-Ndeeba-24h'!E73,'27.07 Lubiri-Ndeeba-24h'!E73)</f>
        <v>2</v>
      </c>
      <c r="F73" s="49">
        <f>AVERAGE('26.07 Lubiri-Ndeeba-24h'!F73,'27.07 Lubiri-Ndeeba-24h'!F73)</f>
        <v>11</v>
      </c>
      <c r="G73" s="49">
        <f>AVERAGE('26.07 Lubiri-Ndeeba-24h'!G73,'27.07 Lubiri-Ndeeba-24h'!G73)</f>
        <v>0.5</v>
      </c>
      <c r="H73" s="49">
        <f>AVERAGE('26.07 Lubiri-Ndeeba-24h'!H73,'27.07 Lubiri-Ndeeba-24h'!H73)</f>
        <v>0</v>
      </c>
      <c r="I73" s="49">
        <f>AVERAGE('26.07 Lubiri-Ndeeba-24h'!I73,'27.07 Lubiri-Ndeeba-24h'!I73)</f>
        <v>1.5</v>
      </c>
      <c r="J73" s="49">
        <f>AVERAGE('26.07 Lubiri-Ndeeba-24h'!J73,'27.07 Lubiri-Ndeeba-24h'!J73)</f>
        <v>2</v>
      </c>
      <c r="K73" s="49">
        <f>AVERAGE('26.07 Lubiri-Ndeeba-24h'!K73,'27.07 Lubiri-Ndeeba-24h'!K73)</f>
        <v>0</v>
      </c>
      <c r="L73" s="49">
        <f>AVERAGE('26.07 Lubiri-Ndeeba-24h'!L73,'27.07 Lubiri-Ndeeba-24h'!L73)</f>
        <v>0</v>
      </c>
      <c r="M73" s="49">
        <f>AVERAGE('26.07 Lubiri-Ndeeba-24h'!M73,'27.07 Lubiri-Ndeeba-24h'!M73)</f>
        <v>53</v>
      </c>
      <c r="N73" s="49">
        <f>AVERAGE('26.07 Lubiri-Ndeeba-24h'!N73,'27.07 Lubiri-Ndeeba-24h'!N73)</f>
        <v>0</v>
      </c>
      <c r="O73" s="15">
        <f t="shared" si="37"/>
        <v>58.5</v>
      </c>
      <c r="P73" s="15">
        <f t="shared" si="38"/>
        <v>111.5</v>
      </c>
      <c r="R73" s="8"/>
      <c r="T73"/>
    </row>
    <row r="74" spans="2:20" ht="23.1" customHeight="1" x14ac:dyDescent="0.25">
      <c r="B74" s="23" t="s">
        <v>114</v>
      </c>
      <c r="C74" s="49">
        <f>AVERAGE('26.07 Lubiri-Ndeeba-24h'!C74,'27.07 Lubiri-Ndeeba-24h'!C74)</f>
        <v>28.5</v>
      </c>
      <c r="D74" s="49">
        <f>AVERAGE('26.07 Lubiri-Ndeeba-24h'!D74,'27.07 Lubiri-Ndeeba-24h'!D74)</f>
        <v>4.5</v>
      </c>
      <c r="E74" s="49">
        <f>AVERAGE('26.07 Lubiri-Ndeeba-24h'!E74,'27.07 Lubiri-Ndeeba-24h'!E74)</f>
        <v>1</v>
      </c>
      <c r="F74" s="49">
        <f>AVERAGE('26.07 Lubiri-Ndeeba-24h'!F74,'27.07 Lubiri-Ndeeba-24h'!F74)</f>
        <v>7</v>
      </c>
      <c r="G74" s="49">
        <f>AVERAGE('26.07 Lubiri-Ndeeba-24h'!G74,'27.07 Lubiri-Ndeeba-24h'!G74)</f>
        <v>0.5</v>
      </c>
      <c r="H74" s="49">
        <f>AVERAGE('26.07 Lubiri-Ndeeba-24h'!H74,'27.07 Lubiri-Ndeeba-24h'!H74)</f>
        <v>0</v>
      </c>
      <c r="I74" s="49">
        <f>AVERAGE('26.07 Lubiri-Ndeeba-24h'!I74,'27.07 Lubiri-Ndeeba-24h'!I74)</f>
        <v>1</v>
      </c>
      <c r="J74" s="49">
        <f>AVERAGE('26.07 Lubiri-Ndeeba-24h'!J74,'27.07 Lubiri-Ndeeba-24h'!J74)</f>
        <v>1</v>
      </c>
      <c r="K74" s="49">
        <f>AVERAGE('26.07 Lubiri-Ndeeba-24h'!K74,'27.07 Lubiri-Ndeeba-24h'!K74)</f>
        <v>0</v>
      </c>
      <c r="L74" s="49">
        <f>AVERAGE('26.07 Lubiri-Ndeeba-24h'!L74,'27.07 Lubiri-Ndeeba-24h'!L74)</f>
        <v>0</v>
      </c>
      <c r="M74" s="49">
        <f>AVERAGE('26.07 Lubiri-Ndeeba-24h'!M74,'27.07 Lubiri-Ndeeba-24h'!M74)</f>
        <v>41</v>
      </c>
      <c r="N74" s="49">
        <f>AVERAGE('26.07 Lubiri-Ndeeba-24h'!N74,'27.07 Lubiri-Ndeeba-24h'!N74)</f>
        <v>0</v>
      </c>
      <c r="O74" s="15">
        <f t="shared" si="37"/>
        <v>43.5</v>
      </c>
      <c r="P74" s="15">
        <f t="shared" si="38"/>
        <v>84.5</v>
      </c>
      <c r="R74" s="8"/>
      <c r="T74"/>
    </row>
    <row r="75" spans="2:20" ht="23.1" customHeight="1" x14ac:dyDescent="0.25">
      <c r="B75" s="23" t="s">
        <v>115</v>
      </c>
      <c r="C75" s="49">
        <f>AVERAGE('26.07 Lubiri-Ndeeba-24h'!C75,'27.07 Lubiri-Ndeeba-24h'!C75)</f>
        <v>21.5</v>
      </c>
      <c r="D75" s="49">
        <f>AVERAGE('26.07 Lubiri-Ndeeba-24h'!D75,'27.07 Lubiri-Ndeeba-24h'!D75)</f>
        <v>2</v>
      </c>
      <c r="E75" s="49">
        <f>AVERAGE('26.07 Lubiri-Ndeeba-24h'!E75,'27.07 Lubiri-Ndeeba-24h'!E75)</f>
        <v>1.5</v>
      </c>
      <c r="F75" s="49">
        <f>AVERAGE('26.07 Lubiri-Ndeeba-24h'!F75,'27.07 Lubiri-Ndeeba-24h'!F75)</f>
        <v>3.5</v>
      </c>
      <c r="G75" s="49">
        <f>AVERAGE('26.07 Lubiri-Ndeeba-24h'!G75,'27.07 Lubiri-Ndeeba-24h'!G75)</f>
        <v>1.5</v>
      </c>
      <c r="H75" s="49">
        <f>AVERAGE('26.07 Lubiri-Ndeeba-24h'!H75,'27.07 Lubiri-Ndeeba-24h'!H75)</f>
        <v>0</v>
      </c>
      <c r="I75" s="49">
        <f>AVERAGE('26.07 Lubiri-Ndeeba-24h'!I75,'27.07 Lubiri-Ndeeba-24h'!I75)</f>
        <v>2.5</v>
      </c>
      <c r="J75" s="49">
        <f>AVERAGE('26.07 Lubiri-Ndeeba-24h'!J75,'27.07 Lubiri-Ndeeba-24h'!J75)</f>
        <v>0.5</v>
      </c>
      <c r="K75" s="49">
        <f>AVERAGE('26.07 Lubiri-Ndeeba-24h'!K75,'27.07 Lubiri-Ndeeba-24h'!K75)</f>
        <v>0</v>
      </c>
      <c r="L75" s="49">
        <f>AVERAGE('26.07 Lubiri-Ndeeba-24h'!L75,'27.07 Lubiri-Ndeeba-24h'!L75)</f>
        <v>0</v>
      </c>
      <c r="M75" s="49">
        <f>AVERAGE('26.07 Lubiri-Ndeeba-24h'!M75,'27.07 Lubiri-Ndeeba-24h'!M75)</f>
        <v>26</v>
      </c>
      <c r="N75" s="49">
        <f>AVERAGE('26.07 Lubiri-Ndeeba-24h'!N75,'27.07 Lubiri-Ndeeba-24h'!N75)</f>
        <v>0</v>
      </c>
      <c r="O75" s="15">
        <f t="shared" si="37"/>
        <v>33</v>
      </c>
      <c r="P75" s="15">
        <f t="shared" si="38"/>
        <v>59</v>
      </c>
      <c r="R75" s="8"/>
      <c r="T75"/>
    </row>
    <row r="76" spans="2:20" ht="23.1" customHeight="1" x14ac:dyDescent="0.25">
      <c r="B76" s="23" t="s">
        <v>116</v>
      </c>
      <c r="C76" s="49">
        <f>AVERAGE('26.07 Lubiri-Ndeeba-24h'!C76,'27.07 Lubiri-Ndeeba-24h'!C76)</f>
        <v>27</v>
      </c>
      <c r="D76" s="49">
        <f>AVERAGE('26.07 Lubiri-Ndeeba-24h'!D76,'27.07 Lubiri-Ndeeba-24h'!D76)</f>
        <v>1</v>
      </c>
      <c r="E76" s="49">
        <f>AVERAGE('26.07 Lubiri-Ndeeba-24h'!E76,'27.07 Lubiri-Ndeeba-24h'!E76)</f>
        <v>0.5</v>
      </c>
      <c r="F76" s="49">
        <f>AVERAGE('26.07 Lubiri-Ndeeba-24h'!F76,'27.07 Lubiri-Ndeeba-24h'!F76)</f>
        <v>1.5</v>
      </c>
      <c r="G76" s="49">
        <f>AVERAGE('26.07 Lubiri-Ndeeba-24h'!G76,'27.07 Lubiri-Ndeeba-24h'!G76)</f>
        <v>0.5</v>
      </c>
      <c r="H76" s="49">
        <f>AVERAGE('26.07 Lubiri-Ndeeba-24h'!H76,'27.07 Lubiri-Ndeeba-24h'!H76)</f>
        <v>0</v>
      </c>
      <c r="I76" s="49">
        <f>AVERAGE('26.07 Lubiri-Ndeeba-24h'!I76,'27.07 Lubiri-Ndeeba-24h'!I76)</f>
        <v>1.5</v>
      </c>
      <c r="J76" s="49">
        <f>AVERAGE('26.07 Lubiri-Ndeeba-24h'!J76,'27.07 Lubiri-Ndeeba-24h'!J76)</f>
        <v>1.5</v>
      </c>
      <c r="K76" s="49">
        <f>AVERAGE('26.07 Lubiri-Ndeeba-24h'!K76,'27.07 Lubiri-Ndeeba-24h'!K76)</f>
        <v>0</v>
      </c>
      <c r="L76" s="49">
        <f>AVERAGE('26.07 Lubiri-Ndeeba-24h'!L76,'27.07 Lubiri-Ndeeba-24h'!L76)</f>
        <v>0.5</v>
      </c>
      <c r="M76" s="49">
        <f>AVERAGE('26.07 Lubiri-Ndeeba-24h'!M76,'27.07 Lubiri-Ndeeba-24h'!M76)</f>
        <v>35.5</v>
      </c>
      <c r="N76" s="49">
        <f>AVERAGE('26.07 Lubiri-Ndeeba-24h'!N76,'27.07 Lubiri-Ndeeba-24h'!N76)</f>
        <v>0</v>
      </c>
      <c r="O76" s="15">
        <f t="shared" si="37"/>
        <v>34</v>
      </c>
      <c r="P76" s="15">
        <f t="shared" si="38"/>
        <v>69.5</v>
      </c>
      <c r="R76" s="8"/>
      <c r="T76"/>
    </row>
    <row r="77" spans="2:20" ht="23.1" customHeight="1" x14ac:dyDescent="0.25">
      <c r="B77" s="23" t="s">
        <v>117</v>
      </c>
      <c r="C77" s="49">
        <f>AVERAGE('26.07 Lubiri-Ndeeba-24h'!C77,'27.07 Lubiri-Ndeeba-24h'!C77)</f>
        <v>13.5</v>
      </c>
      <c r="D77" s="49">
        <f>AVERAGE('26.07 Lubiri-Ndeeba-24h'!D77,'27.07 Lubiri-Ndeeba-24h'!D77)</f>
        <v>1</v>
      </c>
      <c r="E77" s="49">
        <f>AVERAGE('26.07 Lubiri-Ndeeba-24h'!E77,'27.07 Lubiri-Ndeeba-24h'!E77)</f>
        <v>0.5</v>
      </c>
      <c r="F77" s="49">
        <f>AVERAGE('26.07 Lubiri-Ndeeba-24h'!F77,'27.07 Lubiri-Ndeeba-24h'!F77)</f>
        <v>2.5</v>
      </c>
      <c r="G77" s="49">
        <f>AVERAGE('26.07 Lubiri-Ndeeba-24h'!G77,'27.07 Lubiri-Ndeeba-24h'!G77)</f>
        <v>0.5</v>
      </c>
      <c r="H77" s="49">
        <f>AVERAGE('26.07 Lubiri-Ndeeba-24h'!H77,'27.07 Lubiri-Ndeeba-24h'!H77)</f>
        <v>1</v>
      </c>
      <c r="I77" s="49">
        <f>AVERAGE('26.07 Lubiri-Ndeeba-24h'!I77,'27.07 Lubiri-Ndeeba-24h'!I77)</f>
        <v>1</v>
      </c>
      <c r="J77" s="49">
        <f>AVERAGE('26.07 Lubiri-Ndeeba-24h'!J77,'27.07 Lubiri-Ndeeba-24h'!J77)</f>
        <v>0.5</v>
      </c>
      <c r="K77" s="49">
        <f>AVERAGE('26.07 Lubiri-Ndeeba-24h'!K77,'27.07 Lubiri-Ndeeba-24h'!K77)</f>
        <v>0</v>
      </c>
      <c r="L77" s="49">
        <f>AVERAGE('26.07 Lubiri-Ndeeba-24h'!L77,'27.07 Lubiri-Ndeeba-24h'!L77)</f>
        <v>0</v>
      </c>
      <c r="M77" s="49">
        <f>AVERAGE('26.07 Lubiri-Ndeeba-24h'!M77,'27.07 Lubiri-Ndeeba-24h'!M77)</f>
        <v>34.5</v>
      </c>
      <c r="N77" s="49">
        <f>AVERAGE('26.07 Lubiri-Ndeeba-24h'!N77,'27.07 Lubiri-Ndeeba-24h'!N77)</f>
        <v>0</v>
      </c>
      <c r="O77" s="15">
        <f t="shared" si="37"/>
        <v>20.5</v>
      </c>
      <c r="P77" s="15">
        <f t="shared" si="38"/>
        <v>55</v>
      </c>
      <c r="R77" s="8"/>
      <c r="T77"/>
    </row>
    <row r="78" spans="2:20" ht="23.1" customHeight="1" x14ac:dyDescent="0.25">
      <c r="B78" s="24" t="s">
        <v>118</v>
      </c>
      <c r="C78" s="49">
        <f>AVERAGE('26.07 Lubiri-Ndeeba-24h'!C78,'27.07 Lubiri-Ndeeba-24h'!C78)</f>
        <v>14</v>
      </c>
      <c r="D78" s="49">
        <f>AVERAGE('26.07 Lubiri-Ndeeba-24h'!D78,'27.07 Lubiri-Ndeeba-24h'!D78)</f>
        <v>0</v>
      </c>
      <c r="E78" s="49">
        <f>AVERAGE('26.07 Lubiri-Ndeeba-24h'!E78,'27.07 Lubiri-Ndeeba-24h'!E78)</f>
        <v>0.5</v>
      </c>
      <c r="F78" s="49">
        <f>AVERAGE('26.07 Lubiri-Ndeeba-24h'!F78,'27.07 Lubiri-Ndeeba-24h'!F78)</f>
        <v>2.5</v>
      </c>
      <c r="G78" s="49">
        <f>AVERAGE('26.07 Lubiri-Ndeeba-24h'!G78,'27.07 Lubiri-Ndeeba-24h'!G78)</f>
        <v>0</v>
      </c>
      <c r="H78" s="49">
        <f>AVERAGE('26.07 Lubiri-Ndeeba-24h'!H78,'27.07 Lubiri-Ndeeba-24h'!H78)</f>
        <v>0</v>
      </c>
      <c r="I78" s="49">
        <f>AVERAGE('26.07 Lubiri-Ndeeba-24h'!I78,'27.07 Lubiri-Ndeeba-24h'!I78)</f>
        <v>0</v>
      </c>
      <c r="J78" s="49">
        <f>AVERAGE('26.07 Lubiri-Ndeeba-24h'!J78,'27.07 Lubiri-Ndeeba-24h'!J78)</f>
        <v>0.5</v>
      </c>
      <c r="K78" s="49">
        <f>AVERAGE('26.07 Lubiri-Ndeeba-24h'!K78,'27.07 Lubiri-Ndeeba-24h'!K78)</f>
        <v>0</v>
      </c>
      <c r="L78" s="49">
        <f>AVERAGE('26.07 Lubiri-Ndeeba-24h'!L78,'27.07 Lubiri-Ndeeba-24h'!L78)</f>
        <v>0</v>
      </c>
      <c r="M78" s="49">
        <f>AVERAGE('26.07 Lubiri-Ndeeba-24h'!M78,'27.07 Lubiri-Ndeeba-24h'!M78)</f>
        <v>18</v>
      </c>
      <c r="N78" s="49">
        <f>AVERAGE('26.07 Lubiri-Ndeeba-24h'!N78,'27.07 Lubiri-Ndeeba-24h'!N78)</f>
        <v>0</v>
      </c>
      <c r="O78" s="15">
        <f t="shared" si="37"/>
        <v>17.5</v>
      </c>
      <c r="P78" s="15">
        <f t="shared" si="38"/>
        <v>35.5</v>
      </c>
      <c r="R78" s="8"/>
      <c r="T78"/>
    </row>
    <row r="79" spans="2:20" ht="23.1" customHeight="1" x14ac:dyDescent="0.25">
      <c r="B79" s="23" t="s">
        <v>119</v>
      </c>
      <c r="C79" s="49">
        <f>AVERAGE('26.07 Lubiri-Ndeeba-24h'!C79,'27.07 Lubiri-Ndeeba-24h'!C79)</f>
        <v>13</v>
      </c>
      <c r="D79" s="49">
        <f>AVERAGE('26.07 Lubiri-Ndeeba-24h'!D79,'27.07 Lubiri-Ndeeba-24h'!D79)</f>
        <v>1</v>
      </c>
      <c r="E79" s="49">
        <f>AVERAGE('26.07 Lubiri-Ndeeba-24h'!E79,'27.07 Lubiri-Ndeeba-24h'!E79)</f>
        <v>0.5</v>
      </c>
      <c r="F79" s="49">
        <f>AVERAGE('26.07 Lubiri-Ndeeba-24h'!F79,'27.07 Lubiri-Ndeeba-24h'!F79)</f>
        <v>2</v>
      </c>
      <c r="G79" s="49">
        <f>AVERAGE('26.07 Lubiri-Ndeeba-24h'!G79,'27.07 Lubiri-Ndeeba-24h'!G79)</f>
        <v>2</v>
      </c>
      <c r="H79" s="49">
        <f>AVERAGE('26.07 Lubiri-Ndeeba-24h'!H79,'27.07 Lubiri-Ndeeba-24h'!H79)</f>
        <v>0</v>
      </c>
      <c r="I79" s="49">
        <f>AVERAGE('26.07 Lubiri-Ndeeba-24h'!I79,'27.07 Lubiri-Ndeeba-24h'!I79)</f>
        <v>1.5</v>
      </c>
      <c r="J79" s="49">
        <f>AVERAGE('26.07 Lubiri-Ndeeba-24h'!J79,'27.07 Lubiri-Ndeeba-24h'!J79)</f>
        <v>0</v>
      </c>
      <c r="K79" s="49">
        <f>AVERAGE('26.07 Lubiri-Ndeeba-24h'!K79,'27.07 Lubiri-Ndeeba-24h'!K79)</f>
        <v>0</v>
      </c>
      <c r="L79" s="49">
        <f>AVERAGE('26.07 Lubiri-Ndeeba-24h'!L79,'27.07 Lubiri-Ndeeba-24h'!L79)</f>
        <v>0</v>
      </c>
      <c r="M79" s="49">
        <f>AVERAGE('26.07 Lubiri-Ndeeba-24h'!M79,'27.07 Lubiri-Ndeeba-24h'!M79)</f>
        <v>23</v>
      </c>
      <c r="N79" s="49">
        <f>AVERAGE('26.07 Lubiri-Ndeeba-24h'!N79,'27.07 Lubiri-Ndeeba-24h'!N79)</f>
        <v>0</v>
      </c>
      <c r="O79" s="15">
        <f t="shared" si="37"/>
        <v>20</v>
      </c>
      <c r="P79" s="15">
        <f t="shared" si="38"/>
        <v>43</v>
      </c>
      <c r="R79" s="8"/>
      <c r="T79"/>
    </row>
    <row r="80" spans="2:20" ht="23.1" customHeight="1" x14ac:dyDescent="0.25">
      <c r="B80" s="25" t="s">
        <v>120</v>
      </c>
      <c r="C80" s="49">
        <f>AVERAGE('26.07 Lubiri-Ndeeba-24h'!C80,'27.07 Lubiri-Ndeeba-24h'!C80)</f>
        <v>11.5</v>
      </c>
      <c r="D80" s="49">
        <f>AVERAGE('26.07 Lubiri-Ndeeba-24h'!D80,'27.07 Lubiri-Ndeeba-24h'!D80)</f>
        <v>0</v>
      </c>
      <c r="E80" s="49">
        <f>AVERAGE('26.07 Lubiri-Ndeeba-24h'!E80,'27.07 Lubiri-Ndeeba-24h'!E80)</f>
        <v>0.5</v>
      </c>
      <c r="F80" s="49">
        <f>AVERAGE('26.07 Lubiri-Ndeeba-24h'!F80,'27.07 Lubiri-Ndeeba-24h'!F80)</f>
        <v>0</v>
      </c>
      <c r="G80" s="49">
        <f>AVERAGE('26.07 Lubiri-Ndeeba-24h'!G80,'27.07 Lubiri-Ndeeba-24h'!G80)</f>
        <v>1.5</v>
      </c>
      <c r="H80" s="49">
        <f>AVERAGE('26.07 Lubiri-Ndeeba-24h'!H80,'27.07 Lubiri-Ndeeba-24h'!H80)</f>
        <v>0</v>
      </c>
      <c r="I80" s="49">
        <f>AVERAGE('26.07 Lubiri-Ndeeba-24h'!I80,'27.07 Lubiri-Ndeeba-24h'!I80)</f>
        <v>0.5</v>
      </c>
      <c r="J80" s="49">
        <f>AVERAGE('26.07 Lubiri-Ndeeba-24h'!J80,'27.07 Lubiri-Ndeeba-24h'!J80)</f>
        <v>1</v>
      </c>
      <c r="K80" s="49">
        <f>AVERAGE('26.07 Lubiri-Ndeeba-24h'!K80,'27.07 Lubiri-Ndeeba-24h'!K80)</f>
        <v>0</v>
      </c>
      <c r="L80" s="49">
        <f>AVERAGE('26.07 Lubiri-Ndeeba-24h'!L80,'27.07 Lubiri-Ndeeba-24h'!L80)</f>
        <v>0</v>
      </c>
      <c r="M80" s="49">
        <f>AVERAGE('26.07 Lubiri-Ndeeba-24h'!M80,'27.07 Lubiri-Ndeeba-24h'!M80)</f>
        <v>20</v>
      </c>
      <c r="N80" s="49">
        <f>AVERAGE('26.07 Lubiri-Ndeeba-24h'!N80,'27.07 Lubiri-Ndeeba-24h'!N80)</f>
        <v>0</v>
      </c>
      <c r="O80" s="15">
        <f t="shared" si="37"/>
        <v>15</v>
      </c>
      <c r="P80" s="15">
        <f t="shared" si="38"/>
        <v>35</v>
      </c>
      <c r="R80" s="8"/>
      <c r="T80"/>
    </row>
    <row r="81" spans="2:20" ht="23.1" customHeight="1" x14ac:dyDescent="0.25">
      <c r="B81" s="23" t="s">
        <v>121</v>
      </c>
      <c r="C81" s="49">
        <f>AVERAGE('26.07 Lubiri-Ndeeba-24h'!C81,'27.07 Lubiri-Ndeeba-24h'!C81)</f>
        <v>6.5</v>
      </c>
      <c r="D81" s="49">
        <f>AVERAGE('26.07 Lubiri-Ndeeba-24h'!D81,'27.07 Lubiri-Ndeeba-24h'!D81)</f>
        <v>0.5</v>
      </c>
      <c r="E81" s="49">
        <f>AVERAGE('26.07 Lubiri-Ndeeba-24h'!E81,'27.07 Lubiri-Ndeeba-24h'!E81)</f>
        <v>0</v>
      </c>
      <c r="F81" s="49">
        <f>AVERAGE('26.07 Lubiri-Ndeeba-24h'!F81,'27.07 Lubiri-Ndeeba-24h'!F81)</f>
        <v>1</v>
      </c>
      <c r="G81" s="49">
        <f>AVERAGE('26.07 Lubiri-Ndeeba-24h'!G81,'27.07 Lubiri-Ndeeba-24h'!G81)</f>
        <v>0.5</v>
      </c>
      <c r="H81" s="49">
        <f>AVERAGE('26.07 Lubiri-Ndeeba-24h'!H81,'27.07 Lubiri-Ndeeba-24h'!H81)</f>
        <v>0</v>
      </c>
      <c r="I81" s="49">
        <f>AVERAGE('26.07 Lubiri-Ndeeba-24h'!I81,'27.07 Lubiri-Ndeeba-24h'!I81)</f>
        <v>1.5</v>
      </c>
      <c r="J81" s="49">
        <f>AVERAGE('26.07 Lubiri-Ndeeba-24h'!J81,'27.07 Lubiri-Ndeeba-24h'!J81)</f>
        <v>1</v>
      </c>
      <c r="K81" s="49">
        <f>AVERAGE('26.07 Lubiri-Ndeeba-24h'!K81,'27.07 Lubiri-Ndeeba-24h'!K81)</f>
        <v>0</v>
      </c>
      <c r="L81" s="49">
        <f>AVERAGE('26.07 Lubiri-Ndeeba-24h'!L81,'27.07 Lubiri-Ndeeba-24h'!L81)</f>
        <v>0</v>
      </c>
      <c r="M81" s="49">
        <f>AVERAGE('26.07 Lubiri-Ndeeba-24h'!M81,'27.07 Lubiri-Ndeeba-24h'!M81)</f>
        <v>11</v>
      </c>
      <c r="N81" s="49">
        <f>AVERAGE('26.07 Lubiri-Ndeeba-24h'!N81,'27.07 Lubiri-Ndeeba-24h'!N81)</f>
        <v>0</v>
      </c>
      <c r="O81" s="15">
        <f t="shared" si="37"/>
        <v>11</v>
      </c>
      <c r="P81" s="15">
        <f t="shared" si="38"/>
        <v>22</v>
      </c>
      <c r="R81" s="8"/>
      <c r="T81"/>
    </row>
    <row r="82" spans="2:20" ht="23.1" customHeight="1" x14ac:dyDescent="0.25">
      <c r="B82" s="24" t="s">
        <v>122</v>
      </c>
      <c r="C82" s="49">
        <f>AVERAGE('26.07 Lubiri-Ndeeba-24h'!C82,'27.07 Lubiri-Ndeeba-24h'!C82)</f>
        <v>3</v>
      </c>
      <c r="D82" s="49">
        <f>AVERAGE('26.07 Lubiri-Ndeeba-24h'!D82,'27.07 Lubiri-Ndeeba-24h'!D82)</f>
        <v>1</v>
      </c>
      <c r="E82" s="49">
        <f>AVERAGE('26.07 Lubiri-Ndeeba-24h'!E82,'27.07 Lubiri-Ndeeba-24h'!E82)</f>
        <v>0.5</v>
      </c>
      <c r="F82" s="49">
        <f>AVERAGE('26.07 Lubiri-Ndeeba-24h'!F82,'27.07 Lubiri-Ndeeba-24h'!F82)</f>
        <v>0.5</v>
      </c>
      <c r="G82" s="49">
        <f>AVERAGE('26.07 Lubiri-Ndeeba-24h'!G82,'27.07 Lubiri-Ndeeba-24h'!G82)</f>
        <v>0</v>
      </c>
      <c r="H82" s="49">
        <f>AVERAGE('26.07 Lubiri-Ndeeba-24h'!H82,'27.07 Lubiri-Ndeeba-24h'!H82)</f>
        <v>0</v>
      </c>
      <c r="I82" s="49">
        <f>AVERAGE('26.07 Lubiri-Ndeeba-24h'!I82,'27.07 Lubiri-Ndeeba-24h'!I82)</f>
        <v>0.5</v>
      </c>
      <c r="J82" s="49">
        <f>AVERAGE('26.07 Lubiri-Ndeeba-24h'!J82,'27.07 Lubiri-Ndeeba-24h'!J82)</f>
        <v>0</v>
      </c>
      <c r="K82" s="49">
        <f>AVERAGE('26.07 Lubiri-Ndeeba-24h'!K82,'27.07 Lubiri-Ndeeba-24h'!K82)</f>
        <v>0</v>
      </c>
      <c r="L82" s="49">
        <f>AVERAGE('26.07 Lubiri-Ndeeba-24h'!L82,'27.07 Lubiri-Ndeeba-24h'!L82)</f>
        <v>0</v>
      </c>
      <c r="M82" s="49">
        <f>AVERAGE('26.07 Lubiri-Ndeeba-24h'!M82,'27.07 Lubiri-Ndeeba-24h'!M82)</f>
        <v>6.5</v>
      </c>
      <c r="N82" s="49">
        <f>AVERAGE('26.07 Lubiri-Ndeeba-24h'!N82,'27.07 Lubiri-Ndeeba-24h'!N82)</f>
        <v>0</v>
      </c>
      <c r="O82" s="15">
        <f t="shared" si="37"/>
        <v>5.5</v>
      </c>
      <c r="P82" s="15">
        <f t="shared" si="38"/>
        <v>12</v>
      </c>
      <c r="R82" s="8"/>
      <c r="T82"/>
    </row>
    <row r="83" spans="2:20" ht="23.1" customHeight="1" x14ac:dyDescent="0.25">
      <c r="B83" s="23" t="s">
        <v>123</v>
      </c>
      <c r="C83" s="49">
        <f>AVERAGE('26.07 Lubiri-Ndeeba-24h'!C83,'27.07 Lubiri-Ndeeba-24h'!C83)</f>
        <v>5</v>
      </c>
      <c r="D83" s="49">
        <f>AVERAGE('26.07 Lubiri-Ndeeba-24h'!D83,'27.07 Lubiri-Ndeeba-24h'!D83)</f>
        <v>0</v>
      </c>
      <c r="E83" s="49">
        <f>AVERAGE('26.07 Lubiri-Ndeeba-24h'!E83,'27.07 Lubiri-Ndeeba-24h'!E83)</f>
        <v>0</v>
      </c>
      <c r="F83" s="49">
        <f>AVERAGE('26.07 Lubiri-Ndeeba-24h'!F83,'27.07 Lubiri-Ndeeba-24h'!F83)</f>
        <v>1</v>
      </c>
      <c r="G83" s="49">
        <f>AVERAGE('26.07 Lubiri-Ndeeba-24h'!G83,'27.07 Lubiri-Ndeeba-24h'!G83)</f>
        <v>0</v>
      </c>
      <c r="H83" s="49">
        <f>AVERAGE('26.07 Lubiri-Ndeeba-24h'!H83,'27.07 Lubiri-Ndeeba-24h'!H83)</f>
        <v>0</v>
      </c>
      <c r="I83" s="49">
        <f>AVERAGE('26.07 Lubiri-Ndeeba-24h'!I83,'27.07 Lubiri-Ndeeba-24h'!I83)</f>
        <v>0</v>
      </c>
      <c r="J83" s="49">
        <f>AVERAGE('26.07 Lubiri-Ndeeba-24h'!J83,'27.07 Lubiri-Ndeeba-24h'!J83)</f>
        <v>1</v>
      </c>
      <c r="K83" s="49">
        <f>AVERAGE('26.07 Lubiri-Ndeeba-24h'!K83,'27.07 Lubiri-Ndeeba-24h'!K83)</f>
        <v>0</v>
      </c>
      <c r="L83" s="49">
        <f>AVERAGE('26.07 Lubiri-Ndeeba-24h'!L83,'27.07 Lubiri-Ndeeba-24h'!L83)</f>
        <v>0</v>
      </c>
      <c r="M83" s="49">
        <f>AVERAGE('26.07 Lubiri-Ndeeba-24h'!M83,'27.07 Lubiri-Ndeeba-24h'!M83)</f>
        <v>10</v>
      </c>
      <c r="N83" s="49">
        <f>AVERAGE('26.07 Lubiri-Ndeeba-24h'!N83,'27.07 Lubiri-Ndeeba-24h'!N83)</f>
        <v>0</v>
      </c>
      <c r="O83" s="15">
        <f t="shared" si="37"/>
        <v>7</v>
      </c>
      <c r="P83" s="15">
        <f t="shared" si="38"/>
        <v>17</v>
      </c>
      <c r="R83" s="8"/>
      <c r="T83"/>
    </row>
    <row r="84" spans="2:20" ht="23.1" customHeight="1" x14ac:dyDescent="0.25">
      <c r="B84" s="25" t="s">
        <v>124</v>
      </c>
      <c r="C84" s="49">
        <f>AVERAGE('26.07 Lubiri-Ndeeba-24h'!C84,'27.07 Lubiri-Ndeeba-24h'!C84)</f>
        <v>4.5</v>
      </c>
      <c r="D84" s="49">
        <f>AVERAGE('26.07 Lubiri-Ndeeba-24h'!D84,'27.07 Lubiri-Ndeeba-24h'!D84)</f>
        <v>0</v>
      </c>
      <c r="E84" s="49">
        <f>AVERAGE('26.07 Lubiri-Ndeeba-24h'!E84,'27.07 Lubiri-Ndeeba-24h'!E84)</f>
        <v>0</v>
      </c>
      <c r="F84" s="49">
        <f>AVERAGE('26.07 Lubiri-Ndeeba-24h'!F84,'27.07 Lubiri-Ndeeba-24h'!F84)</f>
        <v>0</v>
      </c>
      <c r="G84" s="49">
        <f>AVERAGE('26.07 Lubiri-Ndeeba-24h'!G84,'27.07 Lubiri-Ndeeba-24h'!G84)</f>
        <v>0</v>
      </c>
      <c r="H84" s="49">
        <f>AVERAGE('26.07 Lubiri-Ndeeba-24h'!H84,'27.07 Lubiri-Ndeeba-24h'!H84)</f>
        <v>0</v>
      </c>
      <c r="I84" s="49">
        <f>AVERAGE('26.07 Lubiri-Ndeeba-24h'!I84,'27.07 Lubiri-Ndeeba-24h'!I84)</f>
        <v>0.5</v>
      </c>
      <c r="J84" s="49">
        <f>AVERAGE('26.07 Lubiri-Ndeeba-24h'!J84,'27.07 Lubiri-Ndeeba-24h'!J84)</f>
        <v>0</v>
      </c>
      <c r="K84" s="49">
        <f>AVERAGE('26.07 Lubiri-Ndeeba-24h'!K84,'27.07 Lubiri-Ndeeba-24h'!K84)</f>
        <v>0</v>
      </c>
      <c r="L84" s="49">
        <f>AVERAGE('26.07 Lubiri-Ndeeba-24h'!L84,'27.07 Lubiri-Ndeeba-24h'!L84)</f>
        <v>0</v>
      </c>
      <c r="M84" s="49">
        <f>AVERAGE('26.07 Lubiri-Ndeeba-24h'!M84,'27.07 Lubiri-Ndeeba-24h'!M84)</f>
        <v>9.5</v>
      </c>
      <c r="N84" s="49">
        <f>AVERAGE('26.07 Lubiri-Ndeeba-24h'!N84,'27.07 Lubiri-Ndeeba-24h'!N84)</f>
        <v>0</v>
      </c>
      <c r="O84" s="15">
        <f t="shared" si="37"/>
        <v>5</v>
      </c>
      <c r="P84" s="15">
        <f t="shared" si="38"/>
        <v>14.5</v>
      </c>
      <c r="R84" s="8"/>
      <c r="T84"/>
    </row>
    <row r="85" spans="2:20" ht="23.1" customHeight="1" x14ac:dyDescent="0.25">
      <c r="B85" s="23" t="s">
        <v>125</v>
      </c>
      <c r="C85" s="49">
        <f>AVERAGE('26.07 Lubiri-Ndeeba-24h'!C85,'27.07 Lubiri-Ndeeba-24h'!C85)</f>
        <v>3</v>
      </c>
      <c r="D85" s="49">
        <f>AVERAGE('26.07 Lubiri-Ndeeba-24h'!D85,'27.07 Lubiri-Ndeeba-24h'!D85)</f>
        <v>1.5</v>
      </c>
      <c r="E85" s="49">
        <f>AVERAGE('26.07 Lubiri-Ndeeba-24h'!E85,'27.07 Lubiri-Ndeeba-24h'!E85)</f>
        <v>0</v>
      </c>
      <c r="F85" s="49">
        <f>AVERAGE('26.07 Lubiri-Ndeeba-24h'!F85,'27.07 Lubiri-Ndeeba-24h'!F85)</f>
        <v>0</v>
      </c>
      <c r="G85" s="49">
        <f>AVERAGE('26.07 Lubiri-Ndeeba-24h'!G85,'27.07 Lubiri-Ndeeba-24h'!G85)</f>
        <v>0</v>
      </c>
      <c r="H85" s="49">
        <f>AVERAGE('26.07 Lubiri-Ndeeba-24h'!H85,'27.07 Lubiri-Ndeeba-24h'!H85)</f>
        <v>0</v>
      </c>
      <c r="I85" s="49">
        <f>AVERAGE('26.07 Lubiri-Ndeeba-24h'!I85,'27.07 Lubiri-Ndeeba-24h'!I85)</f>
        <v>0.5</v>
      </c>
      <c r="J85" s="49">
        <f>AVERAGE('26.07 Lubiri-Ndeeba-24h'!J85,'27.07 Lubiri-Ndeeba-24h'!J85)</f>
        <v>1</v>
      </c>
      <c r="K85" s="49">
        <f>AVERAGE('26.07 Lubiri-Ndeeba-24h'!K85,'27.07 Lubiri-Ndeeba-24h'!K85)</f>
        <v>0</v>
      </c>
      <c r="L85" s="49">
        <f>AVERAGE('26.07 Lubiri-Ndeeba-24h'!L85,'27.07 Lubiri-Ndeeba-24h'!L85)</f>
        <v>0</v>
      </c>
      <c r="M85" s="49">
        <f>AVERAGE('26.07 Lubiri-Ndeeba-24h'!M85,'27.07 Lubiri-Ndeeba-24h'!M85)</f>
        <v>7</v>
      </c>
      <c r="N85" s="49">
        <f>AVERAGE('26.07 Lubiri-Ndeeba-24h'!N85,'27.07 Lubiri-Ndeeba-24h'!N85)</f>
        <v>0</v>
      </c>
      <c r="O85" s="15">
        <f t="shared" si="37"/>
        <v>6</v>
      </c>
      <c r="P85" s="15">
        <f t="shared" si="38"/>
        <v>13</v>
      </c>
      <c r="R85" s="8"/>
      <c r="T85"/>
    </row>
    <row r="86" spans="2:20" ht="23.1" customHeight="1" x14ac:dyDescent="0.25">
      <c r="B86" s="24" t="s">
        <v>126</v>
      </c>
      <c r="C86" s="49">
        <f>AVERAGE('26.07 Lubiri-Ndeeba-24h'!C86,'27.07 Lubiri-Ndeeba-24h'!C86)</f>
        <v>3</v>
      </c>
      <c r="D86" s="49">
        <f>AVERAGE('26.07 Lubiri-Ndeeba-24h'!D86,'27.07 Lubiri-Ndeeba-24h'!D86)</f>
        <v>1</v>
      </c>
      <c r="E86" s="49">
        <f>AVERAGE('26.07 Lubiri-Ndeeba-24h'!E86,'27.07 Lubiri-Ndeeba-24h'!E86)</f>
        <v>0</v>
      </c>
      <c r="F86" s="49">
        <f>AVERAGE('26.07 Lubiri-Ndeeba-24h'!F86,'27.07 Lubiri-Ndeeba-24h'!F86)</f>
        <v>0</v>
      </c>
      <c r="G86" s="49">
        <f>AVERAGE('26.07 Lubiri-Ndeeba-24h'!G86,'27.07 Lubiri-Ndeeba-24h'!G86)</f>
        <v>0</v>
      </c>
      <c r="H86" s="49">
        <f>AVERAGE('26.07 Lubiri-Ndeeba-24h'!H86,'27.07 Lubiri-Ndeeba-24h'!H86)</f>
        <v>0</v>
      </c>
      <c r="I86" s="49">
        <f>AVERAGE('26.07 Lubiri-Ndeeba-24h'!I86,'27.07 Lubiri-Ndeeba-24h'!I86)</f>
        <v>0.5</v>
      </c>
      <c r="J86" s="49">
        <f>AVERAGE('26.07 Lubiri-Ndeeba-24h'!J86,'27.07 Lubiri-Ndeeba-24h'!J86)</f>
        <v>0</v>
      </c>
      <c r="K86" s="49">
        <f>AVERAGE('26.07 Lubiri-Ndeeba-24h'!K86,'27.07 Lubiri-Ndeeba-24h'!K86)</f>
        <v>0</v>
      </c>
      <c r="L86" s="49">
        <f>AVERAGE('26.07 Lubiri-Ndeeba-24h'!L86,'27.07 Lubiri-Ndeeba-24h'!L86)</f>
        <v>0</v>
      </c>
      <c r="M86" s="49">
        <f>AVERAGE('26.07 Lubiri-Ndeeba-24h'!M86,'27.07 Lubiri-Ndeeba-24h'!M86)</f>
        <v>4.5</v>
      </c>
      <c r="N86" s="49">
        <f>AVERAGE('26.07 Lubiri-Ndeeba-24h'!N86,'27.07 Lubiri-Ndeeba-24h'!N86)</f>
        <v>0</v>
      </c>
      <c r="O86" s="15">
        <f t="shared" si="37"/>
        <v>4.5</v>
      </c>
      <c r="P86" s="15">
        <f t="shared" si="38"/>
        <v>9</v>
      </c>
      <c r="R86" s="8"/>
      <c r="T86"/>
    </row>
    <row r="87" spans="2:20" ht="23.1" customHeight="1" x14ac:dyDescent="0.25">
      <c r="B87" s="23" t="s">
        <v>127</v>
      </c>
      <c r="C87" s="49">
        <f>AVERAGE('26.07 Lubiri-Ndeeba-24h'!C87,'27.07 Lubiri-Ndeeba-24h'!C87)</f>
        <v>2.5</v>
      </c>
      <c r="D87" s="49">
        <f>AVERAGE('26.07 Lubiri-Ndeeba-24h'!D87,'27.07 Lubiri-Ndeeba-24h'!D87)</f>
        <v>0</v>
      </c>
      <c r="E87" s="49">
        <f>AVERAGE('26.07 Lubiri-Ndeeba-24h'!E87,'27.07 Lubiri-Ndeeba-24h'!E87)</f>
        <v>0</v>
      </c>
      <c r="F87" s="49">
        <f>AVERAGE('26.07 Lubiri-Ndeeba-24h'!F87,'27.07 Lubiri-Ndeeba-24h'!F87)</f>
        <v>0</v>
      </c>
      <c r="G87" s="49">
        <f>AVERAGE('26.07 Lubiri-Ndeeba-24h'!G87,'27.07 Lubiri-Ndeeba-24h'!G87)</f>
        <v>0</v>
      </c>
      <c r="H87" s="49">
        <f>AVERAGE('26.07 Lubiri-Ndeeba-24h'!H87,'27.07 Lubiri-Ndeeba-24h'!H87)</f>
        <v>0</v>
      </c>
      <c r="I87" s="49">
        <f>AVERAGE('26.07 Lubiri-Ndeeba-24h'!I87,'27.07 Lubiri-Ndeeba-24h'!I87)</f>
        <v>0</v>
      </c>
      <c r="J87" s="49">
        <f>AVERAGE('26.07 Lubiri-Ndeeba-24h'!J87,'27.07 Lubiri-Ndeeba-24h'!J87)</f>
        <v>0.5</v>
      </c>
      <c r="K87" s="49">
        <f>AVERAGE('26.07 Lubiri-Ndeeba-24h'!K87,'27.07 Lubiri-Ndeeba-24h'!K87)</f>
        <v>0</v>
      </c>
      <c r="L87" s="49">
        <f>AVERAGE('26.07 Lubiri-Ndeeba-24h'!L87,'27.07 Lubiri-Ndeeba-24h'!L87)</f>
        <v>0</v>
      </c>
      <c r="M87" s="49">
        <f>AVERAGE('26.07 Lubiri-Ndeeba-24h'!M87,'27.07 Lubiri-Ndeeba-24h'!M87)</f>
        <v>4.5</v>
      </c>
      <c r="N87" s="49">
        <f>AVERAGE('26.07 Lubiri-Ndeeba-24h'!N87,'27.07 Lubiri-Ndeeba-24h'!N87)</f>
        <v>0</v>
      </c>
      <c r="O87" s="15">
        <f t="shared" si="37"/>
        <v>3</v>
      </c>
      <c r="P87" s="15">
        <f t="shared" si="38"/>
        <v>7.5</v>
      </c>
      <c r="R87" s="8"/>
      <c r="T87"/>
    </row>
    <row r="88" spans="2:20" ht="23.1" customHeight="1" x14ac:dyDescent="0.25">
      <c r="B88" s="25" t="s">
        <v>128</v>
      </c>
      <c r="C88" s="49">
        <f>AVERAGE('26.07 Lubiri-Ndeeba-24h'!C88,'27.07 Lubiri-Ndeeba-24h'!C88)</f>
        <v>2.5</v>
      </c>
      <c r="D88" s="49">
        <f>AVERAGE('26.07 Lubiri-Ndeeba-24h'!D88,'27.07 Lubiri-Ndeeba-24h'!D88)</f>
        <v>0</v>
      </c>
      <c r="E88" s="49">
        <f>AVERAGE('26.07 Lubiri-Ndeeba-24h'!E88,'27.07 Lubiri-Ndeeba-24h'!E88)</f>
        <v>0</v>
      </c>
      <c r="F88" s="49">
        <f>AVERAGE('26.07 Lubiri-Ndeeba-24h'!F88,'27.07 Lubiri-Ndeeba-24h'!F88)</f>
        <v>0</v>
      </c>
      <c r="G88" s="49">
        <f>AVERAGE('26.07 Lubiri-Ndeeba-24h'!G88,'27.07 Lubiri-Ndeeba-24h'!G88)</f>
        <v>0</v>
      </c>
      <c r="H88" s="49">
        <f>AVERAGE('26.07 Lubiri-Ndeeba-24h'!H88,'27.07 Lubiri-Ndeeba-24h'!H88)</f>
        <v>0</v>
      </c>
      <c r="I88" s="49">
        <f>AVERAGE('26.07 Lubiri-Ndeeba-24h'!I88,'27.07 Lubiri-Ndeeba-24h'!I88)</f>
        <v>0.5</v>
      </c>
      <c r="J88" s="49">
        <f>AVERAGE('26.07 Lubiri-Ndeeba-24h'!J88,'27.07 Lubiri-Ndeeba-24h'!J88)</f>
        <v>0</v>
      </c>
      <c r="K88" s="49">
        <f>AVERAGE('26.07 Lubiri-Ndeeba-24h'!K88,'27.07 Lubiri-Ndeeba-24h'!K88)</f>
        <v>0</v>
      </c>
      <c r="L88" s="49">
        <f>AVERAGE('26.07 Lubiri-Ndeeba-24h'!L88,'27.07 Lubiri-Ndeeba-24h'!L88)</f>
        <v>0</v>
      </c>
      <c r="M88" s="49">
        <f>AVERAGE('26.07 Lubiri-Ndeeba-24h'!M88,'27.07 Lubiri-Ndeeba-24h'!M88)</f>
        <v>5</v>
      </c>
      <c r="N88" s="49">
        <f>AVERAGE('26.07 Lubiri-Ndeeba-24h'!N88,'27.07 Lubiri-Ndeeba-24h'!N88)</f>
        <v>0</v>
      </c>
      <c r="O88" s="15">
        <f t="shared" si="37"/>
        <v>3</v>
      </c>
      <c r="P88" s="15">
        <f t="shared" si="38"/>
        <v>8</v>
      </c>
      <c r="R88" s="8"/>
      <c r="T88"/>
    </row>
    <row r="89" spans="2:20" ht="23.1" customHeight="1" x14ac:dyDescent="0.25">
      <c r="B89" s="23" t="s">
        <v>129</v>
      </c>
      <c r="C89" s="49">
        <f>AVERAGE('26.07 Lubiri-Ndeeba-24h'!C89,'27.07 Lubiri-Ndeeba-24h'!C89)</f>
        <v>5</v>
      </c>
      <c r="D89" s="49">
        <f>AVERAGE('26.07 Lubiri-Ndeeba-24h'!D89,'27.07 Lubiri-Ndeeba-24h'!D89)</f>
        <v>1</v>
      </c>
      <c r="E89" s="49">
        <f>AVERAGE('26.07 Lubiri-Ndeeba-24h'!E89,'27.07 Lubiri-Ndeeba-24h'!E89)</f>
        <v>0.5</v>
      </c>
      <c r="F89" s="49">
        <f>AVERAGE('26.07 Lubiri-Ndeeba-24h'!F89,'27.07 Lubiri-Ndeeba-24h'!F89)</f>
        <v>0</v>
      </c>
      <c r="G89" s="49">
        <f>AVERAGE('26.07 Lubiri-Ndeeba-24h'!G89,'27.07 Lubiri-Ndeeba-24h'!G89)</f>
        <v>0</v>
      </c>
      <c r="H89" s="49">
        <f>AVERAGE('26.07 Lubiri-Ndeeba-24h'!H89,'27.07 Lubiri-Ndeeba-24h'!H89)</f>
        <v>0</v>
      </c>
      <c r="I89" s="49">
        <f>AVERAGE('26.07 Lubiri-Ndeeba-24h'!I89,'27.07 Lubiri-Ndeeba-24h'!I89)</f>
        <v>0</v>
      </c>
      <c r="J89" s="49">
        <f>AVERAGE('26.07 Lubiri-Ndeeba-24h'!J89,'27.07 Lubiri-Ndeeba-24h'!J89)</f>
        <v>0.5</v>
      </c>
      <c r="K89" s="49">
        <f>AVERAGE('26.07 Lubiri-Ndeeba-24h'!K89,'27.07 Lubiri-Ndeeba-24h'!K89)</f>
        <v>0</v>
      </c>
      <c r="L89" s="49">
        <f>AVERAGE('26.07 Lubiri-Ndeeba-24h'!L89,'27.07 Lubiri-Ndeeba-24h'!L89)</f>
        <v>0</v>
      </c>
      <c r="M89" s="49">
        <f>AVERAGE('26.07 Lubiri-Ndeeba-24h'!M89,'27.07 Lubiri-Ndeeba-24h'!M89)</f>
        <v>3</v>
      </c>
      <c r="N89" s="49">
        <f>AVERAGE('26.07 Lubiri-Ndeeba-24h'!N89,'27.07 Lubiri-Ndeeba-24h'!N89)</f>
        <v>0</v>
      </c>
      <c r="O89" s="15">
        <f t="shared" si="37"/>
        <v>7</v>
      </c>
      <c r="P89" s="15">
        <f t="shared" si="38"/>
        <v>10</v>
      </c>
      <c r="R89" s="8"/>
      <c r="T89"/>
    </row>
    <row r="90" spans="2:20" ht="23.1" customHeight="1" x14ac:dyDescent="0.25">
      <c r="B90" s="24" t="s">
        <v>130</v>
      </c>
      <c r="C90" s="49">
        <f>AVERAGE('26.07 Lubiri-Ndeeba-24h'!C90,'27.07 Lubiri-Ndeeba-24h'!C90)</f>
        <v>4.5</v>
      </c>
      <c r="D90" s="49">
        <f>AVERAGE('26.07 Lubiri-Ndeeba-24h'!D90,'27.07 Lubiri-Ndeeba-24h'!D90)</f>
        <v>0.5</v>
      </c>
      <c r="E90" s="49">
        <f>AVERAGE('26.07 Lubiri-Ndeeba-24h'!E90,'27.07 Lubiri-Ndeeba-24h'!E90)</f>
        <v>0</v>
      </c>
      <c r="F90" s="49">
        <f>AVERAGE('26.07 Lubiri-Ndeeba-24h'!F90,'27.07 Lubiri-Ndeeba-24h'!F90)</f>
        <v>0</v>
      </c>
      <c r="G90" s="49">
        <f>AVERAGE('26.07 Lubiri-Ndeeba-24h'!G90,'27.07 Lubiri-Ndeeba-24h'!G90)</f>
        <v>0</v>
      </c>
      <c r="H90" s="49">
        <f>AVERAGE('26.07 Lubiri-Ndeeba-24h'!H90,'27.07 Lubiri-Ndeeba-24h'!H90)</f>
        <v>0</v>
      </c>
      <c r="I90" s="49">
        <f>AVERAGE('26.07 Lubiri-Ndeeba-24h'!I90,'27.07 Lubiri-Ndeeba-24h'!I90)</f>
        <v>1</v>
      </c>
      <c r="J90" s="49">
        <f>AVERAGE('26.07 Lubiri-Ndeeba-24h'!J90,'27.07 Lubiri-Ndeeba-24h'!J90)</f>
        <v>0.5</v>
      </c>
      <c r="K90" s="49">
        <f>AVERAGE('26.07 Lubiri-Ndeeba-24h'!K90,'27.07 Lubiri-Ndeeba-24h'!K90)</f>
        <v>0</v>
      </c>
      <c r="L90" s="49">
        <f>AVERAGE('26.07 Lubiri-Ndeeba-24h'!L90,'27.07 Lubiri-Ndeeba-24h'!L90)</f>
        <v>0</v>
      </c>
      <c r="M90" s="49">
        <f>AVERAGE('26.07 Lubiri-Ndeeba-24h'!M90,'27.07 Lubiri-Ndeeba-24h'!M90)</f>
        <v>2.5</v>
      </c>
      <c r="N90" s="49">
        <f>AVERAGE('26.07 Lubiri-Ndeeba-24h'!N90,'27.07 Lubiri-Ndeeba-24h'!N90)</f>
        <v>0</v>
      </c>
      <c r="O90" s="15">
        <f t="shared" si="37"/>
        <v>6.5</v>
      </c>
      <c r="P90" s="15">
        <f t="shared" si="38"/>
        <v>9</v>
      </c>
      <c r="R90" s="8"/>
      <c r="T90"/>
    </row>
    <row r="91" spans="2:20" ht="23.1" customHeight="1" x14ac:dyDescent="0.25">
      <c r="B91" s="23" t="s">
        <v>131</v>
      </c>
      <c r="C91" s="49">
        <f>AVERAGE('26.07 Lubiri-Ndeeba-24h'!C91,'27.07 Lubiri-Ndeeba-24h'!C91)</f>
        <v>1</v>
      </c>
      <c r="D91" s="49">
        <f>AVERAGE('26.07 Lubiri-Ndeeba-24h'!D91,'27.07 Lubiri-Ndeeba-24h'!D91)</f>
        <v>0</v>
      </c>
      <c r="E91" s="49">
        <f>AVERAGE('26.07 Lubiri-Ndeeba-24h'!E91,'27.07 Lubiri-Ndeeba-24h'!E91)</f>
        <v>0</v>
      </c>
      <c r="F91" s="49">
        <f>AVERAGE('26.07 Lubiri-Ndeeba-24h'!F91,'27.07 Lubiri-Ndeeba-24h'!F91)</f>
        <v>0</v>
      </c>
      <c r="G91" s="49">
        <f>AVERAGE('26.07 Lubiri-Ndeeba-24h'!G91,'27.07 Lubiri-Ndeeba-24h'!G91)</f>
        <v>0</v>
      </c>
      <c r="H91" s="49">
        <f>AVERAGE('26.07 Lubiri-Ndeeba-24h'!H91,'27.07 Lubiri-Ndeeba-24h'!H91)</f>
        <v>0</v>
      </c>
      <c r="I91" s="49">
        <f>AVERAGE('26.07 Lubiri-Ndeeba-24h'!I91,'27.07 Lubiri-Ndeeba-24h'!I91)</f>
        <v>0</v>
      </c>
      <c r="J91" s="49">
        <f>AVERAGE('26.07 Lubiri-Ndeeba-24h'!J91,'27.07 Lubiri-Ndeeba-24h'!J91)</f>
        <v>0</v>
      </c>
      <c r="K91" s="49">
        <f>AVERAGE('26.07 Lubiri-Ndeeba-24h'!K91,'27.07 Lubiri-Ndeeba-24h'!K91)</f>
        <v>0</v>
      </c>
      <c r="L91" s="49">
        <f>AVERAGE('26.07 Lubiri-Ndeeba-24h'!L91,'27.07 Lubiri-Ndeeba-24h'!L91)</f>
        <v>0</v>
      </c>
      <c r="M91" s="49">
        <f>AVERAGE('26.07 Lubiri-Ndeeba-24h'!M91,'27.07 Lubiri-Ndeeba-24h'!M91)</f>
        <v>4</v>
      </c>
      <c r="N91" s="49">
        <f>AVERAGE('26.07 Lubiri-Ndeeba-24h'!N91,'27.07 Lubiri-Ndeeba-24h'!N91)</f>
        <v>0</v>
      </c>
      <c r="O91" s="15">
        <f t="shared" si="37"/>
        <v>1</v>
      </c>
      <c r="P91" s="15">
        <f t="shared" si="38"/>
        <v>5</v>
      </c>
      <c r="R91" s="8"/>
      <c r="T91"/>
    </row>
    <row r="92" spans="2:20" ht="23.1" customHeight="1" x14ac:dyDescent="0.25">
      <c r="B92" s="25" t="s">
        <v>132</v>
      </c>
      <c r="C92" s="49">
        <f>AVERAGE('26.07 Lubiri-Ndeeba-24h'!C92,'27.07 Lubiri-Ndeeba-24h'!C92)</f>
        <v>2</v>
      </c>
      <c r="D92" s="49">
        <f>AVERAGE('26.07 Lubiri-Ndeeba-24h'!D92,'27.07 Lubiri-Ndeeba-24h'!D92)</f>
        <v>0</v>
      </c>
      <c r="E92" s="49">
        <f>AVERAGE('26.07 Lubiri-Ndeeba-24h'!E92,'27.07 Lubiri-Ndeeba-24h'!E92)</f>
        <v>0</v>
      </c>
      <c r="F92" s="49">
        <f>AVERAGE('26.07 Lubiri-Ndeeba-24h'!F92,'27.07 Lubiri-Ndeeba-24h'!F92)</f>
        <v>0</v>
      </c>
      <c r="G92" s="49">
        <f>AVERAGE('26.07 Lubiri-Ndeeba-24h'!G92,'27.07 Lubiri-Ndeeba-24h'!G92)</f>
        <v>0</v>
      </c>
      <c r="H92" s="49">
        <f>AVERAGE('26.07 Lubiri-Ndeeba-24h'!H92,'27.07 Lubiri-Ndeeba-24h'!H92)</f>
        <v>0</v>
      </c>
      <c r="I92" s="49">
        <f>AVERAGE('26.07 Lubiri-Ndeeba-24h'!I92,'27.07 Lubiri-Ndeeba-24h'!I92)</f>
        <v>0</v>
      </c>
      <c r="J92" s="49">
        <f>AVERAGE('26.07 Lubiri-Ndeeba-24h'!J92,'27.07 Lubiri-Ndeeba-24h'!J92)</f>
        <v>0</v>
      </c>
      <c r="K92" s="49">
        <f>AVERAGE('26.07 Lubiri-Ndeeba-24h'!K92,'27.07 Lubiri-Ndeeba-24h'!K92)</f>
        <v>0.5</v>
      </c>
      <c r="L92" s="49">
        <f>AVERAGE('26.07 Lubiri-Ndeeba-24h'!L92,'27.07 Lubiri-Ndeeba-24h'!L92)</f>
        <v>0</v>
      </c>
      <c r="M92" s="49">
        <f>AVERAGE('26.07 Lubiri-Ndeeba-24h'!M92,'27.07 Lubiri-Ndeeba-24h'!M92)</f>
        <v>4</v>
      </c>
      <c r="N92" s="49">
        <f>AVERAGE('26.07 Lubiri-Ndeeba-24h'!N92,'27.07 Lubiri-Ndeeba-24h'!N92)</f>
        <v>0</v>
      </c>
      <c r="O92" s="15">
        <f t="shared" si="37"/>
        <v>2.5</v>
      </c>
      <c r="P92" s="15">
        <f t="shared" si="38"/>
        <v>6.5</v>
      </c>
      <c r="R92" s="8"/>
      <c r="T92"/>
    </row>
    <row r="93" spans="2:20" ht="23.1" customHeight="1" x14ac:dyDescent="0.25">
      <c r="B93" s="23" t="s">
        <v>133</v>
      </c>
      <c r="C93" s="49">
        <f>AVERAGE('26.07 Lubiri-Ndeeba-24h'!C93,'27.07 Lubiri-Ndeeba-24h'!C93)</f>
        <v>2.5</v>
      </c>
      <c r="D93" s="49">
        <f>AVERAGE('26.07 Lubiri-Ndeeba-24h'!D93,'27.07 Lubiri-Ndeeba-24h'!D93)</f>
        <v>0</v>
      </c>
      <c r="E93" s="49">
        <f>AVERAGE('26.07 Lubiri-Ndeeba-24h'!E93,'27.07 Lubiri-Ndeeba-24h'!E93)</f>
        <v>0</v>
      </c>
      <c r="F93" s="49">
        <f>AVERAGE('26.07 Lubiri-Ndeeba-24h'!F93,'27.07 Lubiri-Ndeeba-24h'!F93)</f>
        <v>0</v>
      </c>
      <c r="G93" s="49">
        <f>AVERAGE('26.07 Lubiri-Ndeeba-24h'!G93,'27.07 Lubiri-Ndeeba-24h'!G93)</f>
        <v>0</v>
      </c>
      <c r="H93" s="49">
        <f>AVERAGE('26.07 Lubiri-Ndeeba-24h'!H93,'27.07 Lubiri-Ndeeba-24h'!H93)</f>
        <v>0</v>
      </c>
      <c r="I93" s="49">
        <f>AVERAGE('26.07 Lubiri-Ndeeba-24h'!I93,'27.07 Lubiri-Ndeeba-24h'!I93)</f>
        <v>0</v>
      </c>
      <c r="J93" s="49">
        <f>AVERAGE('26.07 Lubiri-Ndeeba-24h'!J93,'27.07 Lubiri-Ndeeba-24h'!J93)</f>
        <v>0</v>
      </c>
      <c r="K93" s="49">
        <f>AVERAGE('26.07 Lubiri-Ndeeba-24h'!K93,'27.07 Lubiri-Ndeeba-24h'!K93)</f>
        <v>0</v>
      </c>
      <c r="L93" s="49">
        <f>AVERAGE('26.07 Lubiri-Ndeeba-24h'!L93,'27.07 Lubiri-Ndeeba-24h'!L93)</f>
        <v>0.5</v>
      </c>
      <c r="M93" s="49">
        <f>AVERAGE('26.07 Lubiri-Ndeeba-24h'!M93,'27.07 Lubiri-Ndeeba-24h'!M93)</f>
        <v>5</v>
      </c>
      <c r="N93" s="49">
        <f>AVERAGE('26.07 Lubiri-Ndeeba-24h'!N93,'27.07 Lubiri-Ndeeba-24h'!N93)</f>
        <v>0</v>
      </c>
      <c r="O93" s="15">
        <f t="shared" si="37"/>
        <v>3</v>
      </c>
      <c r="P93" s="15">
        <f t="shared" si="38"/>
        <v>8</v>
      </c>
      <c r="R93" s="8"/>
      <c r="T93"/>
    </row>
    <row r="94" spans="2:20" ht="23.1" customHeight="1" x14ac:dyDescent="0.25">
      <c r="B94" s="24" t="s">
        <v>134</v>
      </c>
      <c r="C94" s="49">
        <f>AVERAGE('26.07 Lubiri-Ndeeba-24h'!C94,'27.07 Lubiri-Ndeeba-24h'!C94)</f>
        <v>4</v>
      </c>
      <c r="D94" s="49">
        <f>AVERAGE('26.07 Lubiri-Ndeeba-24h'!D94,'27.07 Lubiri-Ndeeba-24h'!D94)</f>
        <v>0.5</v>
      </c>
      <c r="E94" s="49">
        <f>AVERAGE('26.07 Lubiri-Ndeeba-24h'!E94,'27.07 Lubiri-Ndeeba-24h'!E94)</f>
        <v>1</v>
      </c>
      <c r="F94" s="49">
        <f>AVERAGE('26.07 Lubiri-Ndeeba-24h'!F94,'27.07 Lubiri-Ndeeba-24h'!F94)</f>
        <v>0</v>
      </c>
      <c r="G94" s="49">
        <f>AVERAGE('26.07 Lubiri-Ndeeba-24h'!G94,'27.07 Lubiri-Ndeeba-24h'!G94)</f>
        <v>0.5</v>
      </c>
      <c r="H94" s="49">
        <f>AVERAGE('26.07 Lubiri-Ndeeba-24h'!H94,'27.07 Lubiri-Ndeeba-24h'!H94)</f>
        <v>0</v>
      </c>
      <c r="I94" s="49">
        <f>AVERAGE('26.07 Lubiri-Ndeeba-24h'!I94,'27.07 Lubiri-Ndeeba-24h'!I94)</f>
        <v>0</v>
      </c>
      <c r="J94" s="49">
        <f>AVERAGE('26.07 Lubiri-Ndeeba-24h'!J94,'27.07 Lubiri-Ndeeba-24h'!J94)</f>
        <v>0</v>
      </c>
      <c r="K94" s="49">
        <f>AVERAGE('26.07 Lubiri-Ndeeba-24h'!K94,'27.07 Lubiri-Ndeeba-24h'!K94)</f>
        <v>0</v>
      </c>
      <c r="L94" s="49">
        <f>AVERAGE('26.07 Lubiri-Ndeeba-24h'!L94,'27.07 Lubiri-Ndeeba-24h'!L94)</f>
        <v>0</v>
      </c>
      <c r="M94" s="49">
        <f>AVERAGE('26.07 Lubiri-Ndeeba-24h'!M94,'27.07 Lubiri-Ndeeba-24h'!M94)</f>
        <v>8</v>
      </c>
      <c r="N94" s="49">
        <f>AVERAGE('26.07 Lubiri-Ndeeba-24h'!N94,'27.07 Lubiri-Ndeeba-24h'!N94)</f>
        <v>0</v>
      </c>
      <c r="O94" s="15">
        <f t="shared" si="37"/>
        <v>6</v>
      </c>
      <c r="P94" s="15">
        <f t="shared" si="38"/>
        <v>14</v>
      </c>
      <c r="R94" s="8"/>
      <c r="T94"/>
    </row>
    <row r="95" spans="2:20" ht="23.1" customHeight="1" x14ac:dyDescent="0.25">
      <c r="B95" s="23" t="s">
        <v>135</v>
      </c>
      <c r="C95" s="49">
        <f>AVERAGE('26.07 Lubiri-Ndeeba-24h'!C95,'27.07 Lubiri-Ndeeba-24h'!C95)</f>
        <v>4</v>
      </c>
      <c r="D95" s="49">
        <f>AVERAGE('26.07 Lubiri-Ndeeba-24h'!D95,'27.07 Lubiri-Ndeeba-24h'!D95)</f>
        <v>0.5</v>
      </c>
      <c r="E95" s="49">
        <f>AVERAGE('26.07 Lubiri-Ndeeba-24h'!E95,'27.07 Lubiri-Ndeeba-24h'!E95)</f>
        <v>0</v>
      </c>
      <c r="F95" s="49">
        <f>AVERAGE('26.07 Lubiri-Ndeeba-24h'!F95,'27.07 Lubiri-Ndeeba-24h'!F95)</f>
        <v>0</v>
      </c>
      <c r="G95" s="49">
        <f>AVERAGE('26.07 Lubiri-Ndeeba-24h'!G95,'27.07 Lubiri-Ndeeba-24h'!G95)</f>
        <v>0</v>
      </c>
      <c r="H95" s="49">
        <f>AVERAGE('26.07 Lubiri-Ndeeba-24h'!H95,'27.07 Lubiri-Ndeeba-24h'!H95)</f>
        <v>0</v>
      </c>
      <c r="I95" s="49">
        <f>AVERAGE('26.07 Lubiri-Ndeeba-24h'!I95,'27.07 Lubiri-Ndeeba-24h'!I95)</f>
        <v>0</v>
      </c>
      <c r="J95" s="49">
        <f>AVERAGE('26.07 Lubiri-Ndeeba-24h'!J95,'27.07 Lubiri-Ndeeba-24h'!J95)</f>
        <v>1</v>
      </c>
      <c r="K95" s="49">
        <f>AVERAGE('26.07 Lubiri-Ndeeba-24h'!K95,'27.07 Lubiri-Ndeeba-24h'!K95)</f>
        <v>0</v>
      </c>
      <c r="L95" s="49">
        <f>AVERAGE('26.07 Lubiri-Ndeeba-24h'!L95,'27.07 Lubiri-Ndeeba-24h'!L95)</f>
        <v>0</v>
      </c>
      <c r="M95" s="49">
        <f>AVERAGE('26.07 Lubiri-Ndeeba-24h'!M95,'27.07 Lubiri-Ndeeba-24h'!M95)</f>
        <v>5.5</v>
      </c>
      <c r="N95" s="49">
        <f>AVERAGE('26.07 Lubiri-Ndeeba-24h'!N95,'27.07 Lubiri-Ndeeba-24h'!N95)</f>
        <v>0</v>
      </c>
      <c r="O95" s="15">
        <f t="shared" si="37"/>
        <v>5.5</v>
      </c>
      <c r="P95" s="15">
        <f t="shared" si="38"/>
        <v>11</v>
      </c>
      <c r="R95" s="8"/>
      <c r="T95"/>
    </row>
    <row r="96" spans="2:20" ht="23.1" customHeight="1" x14ac:dyDescent="0.25">
      <c r="B96" s="25" t="s">
        <v>136</v>
      </c>
      <c r="C96" s="49">
        <f>AVERAGE('26.07 Lubiri-Ndeeba-24h'!C96,'27.07 Lubiri-Ndeeba-24h'!C96)</f>
        <v>3.5</v>
      </c>
      <c r="D96" s="49">
        <f>AVERAGE('26.07 Lubiri-Ndeeba-24h'!D96,'27.07 Lubiri-Ndeeba-24h'!D96)</f>
        <v>0</v>
      </c>
      <c r="E96" s="49">
        <f>AVERAGE('26.07 Lubiri-Ndeeba-24h'!E96,'27.07 Lubiri-Ndeeba-24h'!E96)</f>
        <v>0</v>
      </c>
      <c r="F96" s="49">
        <f>AVERAGE('26.07 Lubiri-Ndeeba-24h'!F96,'27.07 Lubiri-Ndeeba-24h'!F96)</f>
        <v>0</v>
      </c>
      <c r="G96" s="49">
        <f>AVERAGE('26.07 Lubiri-Ndeeba-24h'!G96,'27.07 Lubiri-Ndeeba-24h'!G96)</f>
        <v>0</v>
      </c>
      <c r="H96" s="49">
        <f>AVERAGE('26.07 Lubiri-Ndeeba-24h'!H96,'27.07 Lubiri-Ndeeba-24h'!H96)</f>
        <v>0</v>
      </c>
      <c r="I96" s="49">
        <f>AVERAGE('26.07 Lubiri-Ndeeba-24h'!I96,'27.07 Lubiri-Ndeeba-24h'!I96)</f>
        <v>0</v>
      </c>
      <c r="J96" s="49">
        <f>AVERAGE('26.07 Lubiri-Ndeeba-24h'!J96,'27.07 Lubiri-Ndeeba-24h'!J96)</f>
        <v>0.5</v>
      </c>
      <c r="K96" s="49">
        <f>AVERAGE('26.07 Lubiri-Ndeeba-24h'!K96,'27.07 Lubiri-Ndeeba-24h'!K96)</f>
        <v>1</v>
      </c>
      <c r="L96" s="49">
        <f>AVERAGE('26.07 Lubiri-Ndeeba-24h'!L96,'27.07 Lubiri-Ndeeba-24h'!L96)</f>
        <v>0</v>
      </c>
      <c r="M96" s="49">
        <f>AVERAGE('26.07 Lubiri-Ndeeba-24h'!M96,'27.07 Lubiri-Ndeeba-24h'!M96)</f>
        <v>9</v>
      </c>
      <c r="N96" s="49">
        <f>AVERAGE('26.07 Lubiri-Ndeeba-24h'!N96,'27.07 Lubiri-Ndeeba-24h'!N96)</f>
        <v>0</v>
      </c>
      <c r="O96" s="15">
        <f t="shared" si="37"/>
        <v>5</v>
      </c>
      <c r="P96" s="15">
        <f t="shared" si="38"/>
        <v>14</v>
      </c>
      <c r="R96" s="8"/>
      <c r="T96"/>
    </row>
    <row r="97" spans="2:20" ht="23.1" customHeight="1" x14ac:dyDescent="0.25">
      <c r="B97" s="23" t="s">
        <v>137</v>
      </c>
      <c r="C97" s="49">
        <f>AVERAGE('26.07 Lubiri-Ndeeba-24h'!C97,'27.07 Lubiri-Ndeeba-24h'!C97)</f>
        <v>2</v>
      </c>
      <c r="D97" s="49">
        <f>AVERAGE('26.07 Lubiri-Ndeeba-24h'!D97,'27.07 Lubiri-Ndeeba-24h'!D97)</f>
        <v>0</v>
      </c>
      <c r="E97" s="49">
        <f>AVERAGE('26.07 Lubiri-Ndeeba-24h'!E97,'27.07 Lubiri-Ndeeba-24h'!E97)</f>
        <v>1</v>
      </c>
      <c r="F97" s="49">
        <f>AVERAGE('26.07 Lubiri-Ndeeba-24h'!F97,'27.07 Lubiri-Ndeeba-24h'!F97)</f>
        <v>0</v>
      </c>
      <c r="G97" s="49">
        <f>AVERAGE('26.07 Lubiri-Ndeeba-24h'!G97,'27.07 Lubiri-Ndeeba-24h'!G97)</f>
        <v>0</v>
      </c>
      <c r="H97" s="49">
        <f>AVERAGE('26.07 Lubiri-Ndeeba-24h'!H97,'27.07 Lubiri-Ndeeba-24h'!H97)</f>
        <v>0</v>
      </c>
      <c r="I97" s="49">
        <f>AVERAGE('26.07 Lubiri-Ndeeba-24h'!I97,'27.07 Lubiri-Ndeeba-24h'!I97)</f>
        <v>0</v>
      </c>
      <c r="J97" s="49">
        <f>AVERAGE('26.07 Lubiri-Ndeeba-24h'!J97,'27.07 Lubiri-Ndeeba-24h'!J97)</f>
        <v>0</v>
      </c>
      <c r="K97" s="49">
        <f>AVERAGE('26.07 Lubiri-Ndeeba-24h'!K97,'27.07 Lubiri-Ndeeba-24h'!K97)</f>
        <v>0</v>
      </c>
      <c r="L97" s="49">
        <f>AVERAGE('26.07 Lubiri-Ndeeba-24h'!L97,'27.07 Lubiri-Ndeeba-24h'!L97)</f>
        <v>0</v>
      </c>
      <c r="M97" s="49">
        <f>AVERAGE('26.07 Lubiri-Ndeeba-24h'!M97,'27.07 Lubiri-Ndeeba-24h'!M97)</f>
        <v>8.5</v>
      </c>
      <c r="N97" s="49">
        <f>AVERAGE('26.07 Lubiri-Ndeeba-24h'!N97,'27.07 Lubiri-Ndeeba-24h'!N97)</f>
        <v>0</v>
      </c>
      <c r="O97" s="15">
        <f t="shared" si="37"/>
        <v>3</v>
      </c>
      <c r="P97" s="15">
        <f t="shared" si="38"/>
        <v>11.5</v>
      </c>
      <c r="R97" s="8"/>
      <c r="T97"/>
    </row>
    <row r="98" spans="2:20" ht="23.1" customHeight="1" x14ac:dyDescent="0.25">
      <c r="B98" s="24" t="s">
        <v>138</v>
      </c>
      <c r="C98" s="49">
        <f>AVERAGE('26.07 Lubiri-Ndeeba-24h'!C98,'27.07 Lubiri-Ndeeba-24h'!C98)</f>
        <v>3</v>
      </c>
      <c r="D98" s="49">
        <f>AVERAGE('26.07 Lubiri-Ndeeba-24h'!D98,'27.07 Lubiri-Ndeeba-24h'!D98)</f>
        <v>0.5</v>
      </c>
      <c r="E98" s="49">
        <f>AVERAGE('26.07 Lubiri-Ndeeba-24h'!E98,'27.07 Lubiri-Ndeeba-24h'!E98)</f>
        <v>0</v>
      </c>
      <c r="F98" s="49">
        <f>AVERAGE('26.07 Lubiri-Ndeeba-24h'!F98,'27.07 Lubiri-Ndeeba-24h'!F98)</f>
        <v>0</v>
      </c>
      <c r="G98" s="49">
        <f>AVERAGE('26.07 Lubiri-Ndeeba-24h'!G98,'27.07 Lubiri-Ndeeba-24h'!G98)</f>
        <v>0</v>
      </c>
      <c r="H98" s="49">
        <f>AVERAGE('26.07 Lubiri-Ndeeba-24h'!H98,'27.07 Lubiri-Ndeeba-24h'!H98)</f>
        <v>0</v>
      </c>
      <c r="I98" s="49">
        <f>AVERAGE('26.07 Lubiri-Ndeeba-24h'!I98,'27.07 Lubiri-Ndeeba-24h'!I98)</f>
        <v>0.5</v>
      </c>
      <c r="J98" s="49">
        <f>AVERAGE('26.07 Lubiri-Ndeeba-24h'!J98,'27.07 Lubiri-Ndeeba-24h'!J98)</f>
        <v>1</v>
      </c>
      <c r="K98" s="49">
        <f>AVERAGE('26.07 Lubiri-Ndeeba-24h'!K98,'27.07 Lubiri-Ndeeba-24h'!K98)</f>
        <v>0</v>
      </c>
      <c r="L98" s="49">
        <f>AVERAGE('26.07 Lubiri-Ndeeba-24h'!L98,'27.07 Lubiri-Ndeeba-24h'!L98)</f>
        <v>2</v>
      </c>
      <c r="M98" s="49">
        <f>AVERAGE('26.07 Lubiri-Ndeeba-24h'!M98,'27.07 Lubiri-Ndeeba-24h'!M98)</f>
        <v>4</v>
      </c>
      <c r="N98" s="49">
        <f>AVERAGE('26.07 Lubiri-Ndeeba-24h'!N98,'27.07 Lubiri-Ndeeba-24h'!N98)</f>
        <v>0</v>
      </c>
      <c r="O98" s="15">
        <f t="shared" si="37"/>
        <v>7</v>
      </c>
      <c r="P98" s="15">
        <f t="shared" si="38"/>
        <v>11</v>
      </c>
      <c r="R98" s="8"/>
      <c r="T98"/>
    </row>
    <row r="99" spans="2:20" ht="23.1" customHeight="1" x14ac:dyDescent="0.25">
      <c r="B99" s="23" t="s">
        <v>139</v>
      </c>
      <c r="C99" s="49">
        <f>AVERAGE('26.07 Lubiri-Ndeeba-24h'!C99,'27.07 Lubiri-Ndeeba-24h'!C99)</f>
        <v>2</v>
      </c>
      <c r="D99" s="49">
        <f>AVERAGE('26.07 Lubiri-Ndeeba-24h'!D99,'27.07 Lubiri-Ndeeba-24h'!D99)</f>
        <v>1</v>
      </c>
      <c r="E99" s="49">
        <f>AVERAGE('26.07 Lubiri-Ndeeba-24h'!E99,'27.07 Lubiri-Ndeeba-24h'!E99)</f>
        <v>0</v>
      </c>
      <c r="F99" s="49">
        <f>AVERAGE('26.07 Lubiri-Ndeeba-24h'!F99,'27.07 Lubiri-Ndeeba-24h'!F99)</f>
        <v>1</v>
      </c>
      <c r="G99" s="49">
        <f>AVERAGE('26.07 Lubiri-Ndeeba-24h'!G99,'27.07 Lubiri-Ndeeba-24h'!G99)</f>
        <v>0</v>
      </c>
      <c r="H99" s="49">
        <f>AVERAGE('26.07 Lubiri-Ndeeba-24h'!H99,'27.07 Lubiri-Ndeeba-24h'!H99)</f>
        <v>0</v>
      </c>
      <c r="I99" s="49">
        <f>AVERAGE('26.07 Lubiri-Ndeeba-24h'!I99,'27.07 Lubiri-Ndeeba-24h'!I99)</f>
        <v>0.5</v>
      </c>
      <c r="J99" s="49">
        <f>AVERAGE('26.07 Lubiri-Ndeeba-24h'!J99,'27.07 Lubiri-Ndeeba-24h'!J99)</f>
        <v>1</v>
      </c>
      <c r="K99" s="49">
        <f>AVERAGE('26.07 Lubiri-Ndeeba-24h'!K99,'27.07 Lubiri-Ndeeba-24h'!K99)</f>
        <v>0</v>
      </c>
      <c r="L99" s="49">
        <f>AVERAGE('26.07 Lubiri-Ndeeba-24h'!L99,'27.07 Lubiri-Ndeeba-24h'!L99)</f>
        <v>0</v>
      </c>
      <c r="M99" s="49">
        <f>AVERAGE('26.07 Lubiri-Ndeeba-24h'!M99,'27.07 Lubiri-Ndeeba-24h'!M99)</f>
        <v>7</v>
      </c>
      <c r="N99" s="49">
        <f>AVERAGE('26.07 Lubiri-Ndeeba-24h'!N99,'27.07 Lubiri-Ndeeba-24h'!N99)</f>
        <v>0</v>
      </c>
      <c r="O99" s="15">
        <f t="shared" si="37"/>
        <v>5.5</v>
      </c>
      <c r="P99" s="15">
        <f t="shared" si="38"/>
        <v>12.5</v>
      </c>
      <c r="R99" s="8"/>
      <c r="T99"/>
    </row>
    <row r="100" spans="2:20" ht="23.1" customHeight="1" x14ac:dyDescent="0.25">
      <c r="B100" s="25" t="s">
        <v>140</v>
      </c>
      <c r="C100" s="49">
        <f>AVERAGE('26.07 Lubiri-Ndeeba-24h'!C100,'27.07 Lubiri-Ndeeba-24h'!C100)</f>
        <v>6.5</v>
      </c>
      <c r="D100" s="49">
        <f>AVERAGE('26.07 Lubiri-Ndeeba-24h'!D100,'27.07 Lubiri-Ndeeba-24h'!D100)</f>
        <v>0</v>
      </c>
      <c r="E100" s="49">
        <f>AVERAGE('26.07 Lubiri-Ndeeba-24h'!E100,'27.07 Lubiri-Ndeeba-24h'!E100)</f>
        <v>0</v>
      </c>
      <c r="F100" s="49">
        <f>AVERAGE('26.07 Lubiri-Ndeeba-24h'!F100,'27.07 Lubiri-Ndeeba-24h'!F100)</f>
        <v>0</v>
      </c>
      <c r="G100" s="49">
        <f>AVERAGE('26.07 Lubiri-Ndeeba-24h'!G100,'27.07 Lubiri-Ndeeba-24h'!G100)</f>
        <v>0</v>
      </c>
      <c r="H100" s="49">
        <f>AVERAGE('26.07 Lubiri-Ndeeba-24h'!H100,'27.07 Lubiri-Ndeeba-24h'!H100)</f>
        <v>0</v>
      </c>
      <c r="I100" s="49">
        <f>AVERAGE('26.07 Lubiri-Ndeeba-24h'!I100,'27.07 Lubiri-Ndeeba-24h'!I100)</f>
        <v>0.5</v>
      </c>
      <c r="J100" s="49">
        <f>AVERAGE('26.07 Lubiri-Ndeeba-24h'!J100,'27.07 Lubiri-Ndeeba-24h'!J100)</f>
        <v>0</v>
      </c>
      <c r="K100" s="49">
        <f>AVERAGE('26.07 Lubiri-Ndeeba-24h'!K100,'27.07 Lubiri-Ndeeba-24h'!K100)</f>
        <v>1.5</v>
      </c>
      <c r="L100" s="49">
        <f>AVERAGE('26.07 Lubiri-Ndeeba-24h'!L100,'27.07 Lubiri-Ndeeba-24h'!L100)</f>
        <v>0</v>
      </c>
      <c r="M100" s="49">
        <f>AVERAGE('26.07 Lubiri-Ndeeba-24h'!M100,'27.07 Lubiri-Ndeeba-24h'!M100)</f>
        <v>13</v>
      </c>
      <c r="N100" s="49">
        <f>AVERAGE('26.07 Lubiri-Ndeeba-24h'!N100,'27.07 Lubiri-Ndeeba-24h'!N100)</f>
        <v>0</v>
      </c>
      <c r="O100" s="15">
        <f t="shared" si="37"/>
        <v>8.5</v>
      </c>
      <c r="P100" s="15">
        <f t="shared" si="38"/>
        <v>21.5</v>
      </c>
      <c r="R100" s="8"/>
      <c r="T100"/>
    </row>
    <row r="101" spans="2:20" ht="23.1" customHeight="1" x14ac:dyDescent="0.25">
      <c r="B101" s="23" t="s">
        <v>141</v>
      </c>
      <c r="C101" s="49">
        <f>AVERAGE('26.07 Lubiri-Ndeeba-24h'!C101,'27.07 Lubiri-Ndeeba-24h'!C101)</f>
        <v>3.5</v>
      </c>
      <c r="D101" s="49">
        <f>AVERAGE('26.07 Lubiri-Ndeeba-24h'!D101,'27.07 Lubiri-Ndeeba-24h'!D101)</f>
        <v>1</v>
      </c>
      <c r="E101" s="49">
        <f>AVERAGE('26.07 Lubiri-Ndeeba-24h'!E101,'27.07 Lubiri-Ndeeba-24h'!E101)</f>
        <v>0.5</v>
      </c>
      <c r="F101" s="49">
        <f>AVERAGE('26.07 Lubiri-Ndeeba-24h'!F101,'27.07 Lubiri-Ndeeba-24h'!F101)</f>
        <v>3</v>
      </c>
      <c r="G101" s="49">
        <f>AVERAGE('26.07 Lubiri-Ndeeba-24h'!G101,'27.07 Lubiri-Ndeeba-24h'!G101)</f>
        <v>0</v>
      </c>
      <c r="H101" s="49">
        <f>AVERAGE('26.07 Lubiri-Ndeeba-24h'!H101,'27.07 Lubiri-Ndeeba-24h'!H101)</f>
        <v>0</v>
      </c>
      <c r="I101" s="49">
        <f>AVERAGE('26.07 Lubiri-Ndeeba-24h'!I101,'27.07 Lubiri-Ndeeba-24h'!I101)</f>
        <v>1</v>
      </c>
      <c r="J101" s="49">
        <f>AVERAGE('26.07 Lubiri-Ndeeba-24h'!J101,'27.07 Lubiri-Ndeeba-24h'!J101)</f>
        <v>0</v>
      </c>
      <c r="K101" s="49">
        <f>AVERAGE('26.07 Lubiri-Ndeeba-24h'!K101,'27.07 Lubiri-Ndeeba-24h'!K101)</f>
        <v>0</v>
      </c>
      <c r="L101" s="49">
        <f>AVERAGE('26.07 Lubiri-Ndeeba-24h'!L101,'27.07 Lubiri-Ndeeba-24h'!L101)</f>
        <v>0</v>
      </c>
      <c r="M101" s="49">
        <f>AVERAGE('26.07 Lubiri-Ndeeba-24h'!M101,'27.07 Lubiri-Ndeeba-24h'!M101)</f>
        <v>15</v>
      </c>
      <c r="N101" s="49">
        <f>AVERAGE('26.07 Lubiri-Ndeeba-24h'!N101,'27.07 Lubiri-Ndeeba-24h'!N101)</f>
        <v>0</v>
      </c>
      <c r="O101" s="15">
        <f t="shared" si="37"/>
        <v>9</v>
      </c>
      <c r="P101" s="15">
        <f t="shared" si="38"/>
        <v>24</v>
      </c>
      <c r="R101" s="8"/>
      <c r="T101"/>
    </row>
    <row r="102" spans="2:20" ht="23.1" customHeight="1" x14ac:dyDescent="0.25">
      <c r="B102" s="24" t="s">
        <v>142</v>
      </c>
      <c r="C102" s="49">
        <f>AVERAGE('26.07 Lubiri-Ndeeba-24h'!C102,'27.07 Lubiri-Ndeeba-24h'!C102)</f>
        <v>8</v>
      </c>
      <c r="D102" s="49">
        <f>AVERAGE('26.07 Lubiri-Ndeeba-24h'!D102,'27.07 Lubiri-Ndeeba-24h'!D102)</f>
        <v>1</v>
      </c>
      <c r="E102" s="49">
        <f>AVERAGE('26.07 Lubiri-Ndeeba-24h'!E102,'27.07 Lubiri-Ndeeba-24h'!E102)</f>
        <v>0.5</v>
      </c>
      <c r="F102" s="49">
        <f>AVERAGE('26.07 Lubiri-Ndeeba-24h'!F102,'27.07 Lubiri-Ndeeba-24h'!F102)</f>
        <v>0</v>
      </c>
      <c r="G102" s="49">
        <f>AVERAGE('26.07 Lubiri-Ndeeba-24h'!G102,'27.07 Lubiri-Ndeeba-24h'!G102)</f>
        <v>0.5</v>
      </c>
      <c r="H102" s="49">
        <f>AVERAGE('26.07 Lubiri-Ndeeba-24h'!H102,'27.07 Lubiri-Ndeeba-24h'!H102)</f>
        <v>0</v>
      </c>
      <c r="I102" s="49">
        <f>AVERAGE('26.07 Lubiri-Ndeeba-24h'!I102,'27.07 Lubiri-Ndeeba-24h'!I102)</f>
        <v>0</v>
      </c>
      <c r="J102" s="49">
        <f>AVERAGE('26.07 Lubiri-Ndeeba-24h'!J102,'27.07 Lubiri-Ndeeba-24h'!J102)</f>
        <v>0</v>
      </c>
      <c r="K102" s="49">
        <f>AVERAGE('26.07 Lubiri-Ndeeba-24h'!K102,'27.07 Lubiri-Ndeeba-24h'!K102)</f>
        <v>0</v>
      </c>
      <c r="L102" s="49">
        <f>AVERAGE('26.07 Lubiri-Ndeeba-24h'!L102,'27.07 Lubiri-Ndeeba-24h'!L102)</f>
        <v>0.5</v>
      </c>
      <c r="M102" s="49">
        <f>AVERAGE('26.07 Lubiri-Ndeeba-24h'!M102,'27.07 Lubiri-Ndeeba-24h'!M102)</f>
        <v>8.5</v>
      </c>
      <c r="N102" s="49">
        <f>AVERAGE('26.07 Lubiri-Ndeeba-24h'!N102,'27.07 Lubiri-Ndeeba-24h'!N102)</f>
        <v>0</v>
      </c>
      <c r="O102" s="15">
        <f t="shared" si="37"/>
        <v>10.5</v>
      </c>
      <c r="P102" s="15">
        <f t="shared" si="38"/>
        <v>19</v>
      </c>
      <c r="R102" s="8"/>
      <c r="T102"/>
    </row>
    <row r="103" spans="2:20" ht="23.1" customHeight="1" x14ac:dyDescent="0.25">
      <c r="B103" s="23" t="s">
        <v>143</v>
      </c>
      <c r="C103" s="49">
        <f>AVERAGE('26.07 Lubiri-Ndeeba-24h'!C103,'27.07 Lubiri-Ndeeba-24h'!C103)</f>
        <v>6.5</v>
      </c>
      <c r="D103" s="49">
        <f>AVERAGE('26.07 Lubiri-Ndeeba-24h'!D103,'27.07 Lubiri-Ndeeba-24h'!D103)</f>
        <v>1</v>
      </c>
      <c r="E103" s="49">
        <f>AVERAGE('26.07 Lubiri-Ndeeba-24h'!E103,'27.07 Lubiri-Ndeeba-24h'!E103)</f>
        <v>0</v>
      </c>
      <c r="F103" s="49">
        <f>AVERAGE('26.07 Lubiri-Ndeeba-24h'!F103,'27.07 Lubiri-Ndeeba-24h'!F103)</f>
        <v>3</v>
      </c>
      <c r="G103" s="49">
        <f>AVERAGE('26.07 Lubiri-Ndeeba-24h'!G103,'27.07 Lubiri-Ndeeba-24h'!G103)</f>
        <v>1.5</v>
      </c>
      <c r="H103" s="49">
        <f>AVERAGE('26.07 Lubiri-Ndeeba-24h'!H103,'27.07 Lubiri-Ndeeba-24h'!H103)</f>
        <v>0</v>
      </c>
      <c r="I103" s="49">
        <f>AVERAGE('26.07 Lubiri-Ndeeba-24h'!I103,'27.07 Lubiri-Ndeeba-24h'!I103)</f>
        <v>5</v>
      </c>
      <c r="J103" s="49">
        <f>AVERAGE('26.07 Lubiri-Ndeeba-24h'!J103,'27.07 Lubiri-Ndeeba-24h'!J103)</f>
        <v>2</v>
      </c>
      <c r="K103" s="49">
        <f>AVERAGE('26.07 Lubiri-Ndeeba-24h'!K103,'27.07 Lubiri-Ndeeba-24h'!K103)</f>
        <v>0</v>
      </c>
      <c r="L103" s="49">
        <f>AVERAGE('26.07 Lubiri-Ndeeba-24h'!L103,'27.07 Lubiri-Ndeeba-24h'!L103)</f>
        <v>0.5</v>
      </c>
      <c r="M103" s="49">
        <f>AVERAGE('26.07 Lubiri-Ndeeba-24h'!M103,'27.07 Lubiri-Ndeeba-24h'!M103)</f>
        <v>19</v>
      </c>
      <c r="N103" s="49">
        <f>AVERAGE('26.07 Lubiri-Ndeeba-24h'!N103,'27.07 Lubiri-Ndeeba-24h'!N103)</f>
        <v>0</v>
      </c>
      <c r="O103" s="15">
        <f t="shared" si="37"/>
        <v>19.5</v>
      </c>
      <c r="P103" s="15">
        <f t="shared" si="38"/>
        <v>38.5</v>
      </c>
      <c r="R103" s="8"/>
      <c r="T103"/>
    </row>
    <row r="104" spans="2:20" ht="23.1" customHeight="1" x14ac:dyDescent="0.25">
      <c r="B104" s="25" t="s">
        <v>144</v>
      </c>
      <c r="C104" s="49">
        <f>AVERAGE('26.07 Lubiri-Ndeeba-24h'!C104,'27.07 Lubiri-Ndeeba-24h'!C104)</f>
        <v>8.5</v>
      </c>
      <c r="D104" s="49">
        <f>AVERAGE('26.07 Lubiri-Ndeeba-24h'!D104,'27.07 Lubiri-Ndeeba-24h'!D104)</f>
        <v>2</v>
      </c>
      <c r="E104" s="49">
        <f>AVERAGE('26.07 Lubiri-Ndeeba-24h'!E104,'27.07 Lubiri-Ndeeba-24h'!E104)</f>
        <v>1</v>
      </c>
      <c r="F104" s="49">
        <f>AVERAGE('26.07 Lubiri-Ndeeba-24h'!F104,'27.07 Lubiri-Ndeeba-24h'!F104)</f>
        <v>4.5</v>
      </c>
      <c r="G104" s="49">
        <f>AVERAGE('26.07 Lubiri-Ndeeba-24h'!G104,'27.07 Lubiri-Ndeeba-24h'!G104)</f>
        <v>0</v>
      </c>
      <c r="H104" s="49">
        <f>AVERAGE('26.07 Lubiri-Ndeeba-24h'!H104,'27.07 Lubiri-Ndeeba-24h'!H104)</f>
        <v>0</v>
      </c>
      <c r="I104" s="49">
        <f>AVERAGE('26.07 Lubiri-Ndeeba-24h'!I104,'27.07 Lubiri-Ndeeba-24h'!I104)</f>
        <v>2</v>
      </c>
      <c r="J104" s="49">
        <f>AVERAGE('26.07 Lubiri-Ndeeba-24h'!J104,'27.07 Lubiri-Ndeeba-24h'!J104)</f>
        <v>0.5</v>
      </c>
      <c r="K104" s="49">
        <f>AVERAGE('26.07 Lubiri-Ndeeba-24h'!K104,'27.07 Lubiri-Ndeeba-24h'!K104)</f>
        <v>0</v>
      </c>
      <c r="L104" s="49">
        <f>AVERAGE('26.07 Lubiri-Ndeeba-24h'!L104,'27.07 Lubiri-Ndeeba-24h'!L104)</f>
        <v>0</v>
      </c>
      <c r="M104" s="49">
        <f>AVERAGE('26.07 Lubiri-Ndeeba-24h'!M104,'27.07 Lubiri-Ndeeba-24h'!M104)</f>
        <v>25</v>
      </c>
      <c r="N104" s="49">
        <f>AVERAGE('26.07 Lubiri-Ndeeba-24h'!N104,'27.07 Lubiri-Ndeeba-24h'!N104)</f>
        <v>0</v>
      </c>
      <c r="O104" s="15">
        <f t="shared" si="37"/>
        <v>18.5</v>
      </c>
      <c r="P104" s="15">
        <f t="shared" si="38"/>
        <v>43.5</v>
      </c>
      <c r="R104" s="8"/>
      <c r="T104"/>
    </row>
    <row r="105" spans="2:20" ht="23.1" customHeight="1" x14ac:dyDescent="0.25">
      <c r="B105" s="23" t="s">
        <v>145</v>
      </c>
      <c r="C105" s="49">
        <f>AVERAGE('26.07 Lubiri-Ndeeba-24h'!C105,'27.07 Lubiri-Ndeeba-24h'!C105)</f>
        <v>17</v>
      </c>
      <c r="D105" s="49">
        <f>AVERAGE('26.07 Lubiri-Ndeeba-24h'!D105,'27.07 Lubiri-Ndeeba-24h'!D105)</f>
        <v>3.5</v>
      </c>
      <c r="E105" s="49">
        <f>AVERAGE('26.07 Lubiri-Ndeeba-24h'!E105,'27.07 Lubiri-Ndeeba-24h'!E105)</f>
        <v>1</v>
      </c>
      <c r="F105" s="49">
        <f>AVERAGE('26.07 Lubiri-Ndeeba-24h'!F105,'27.07 Lubiri-Ndeeba-24h'!F105)</f>
        <v>5.5</v>
      </c>
      <c r="G105" s="49">
        <f>AVERAGE('26.07 Lubiri-Ndeeba-24h'!G105,'27.07 Lubiri-Ndeeba-24h'!G105)</f>
        <v>0</v>
      </c>
      <c r="H105" s="49">
        <f>AVERAGE('26.07 Lubiri-Ndeeba-24h'!H105,'27.07 Lubiri-Ndeeba-24h'!H105)</f>
        <v>0</v>
      </c>
      <c r="I105" s="49">
        <f>AVERAGE('26.07 Lubiri-Ndeeba-24h'!I105,'27.07 Lubiri-Ndeeba-24h'!I105)</f>
        <v>0.5</v>
      </c>
      <c r="J105" s="49">
        <f>AVERAGE('26.07 Lubiri-Ndeeba-24h'!J105,'27.07 Lubiri-Ndeeba-24h'!J105)</f>
        <v>0</v>
      </c>
      <c r="K105" s="49">
        <f>AVERAGE('26.07 Lubiri-Ndeeba-24h'!K105,'27.07 Lubiri-Ndeeba-24h'!K105)</f>
        <v>0.5</v>
      </c>
      <c r="L105" s="49">
        <f>AVERAGE('26.07 Lubiri-Ndeeba-24h'!L105,'27.07 Lubiri-Ndeeba-24h'!L105)</f>
        <v>0.5</v>
      </c>
      <c r="M105" s="49">
        <f>AVERAGE('26.07 Lubiri-Ndeeba-24h'!M105,'27.07 Lubiri-Ndeeba-24h'!M105)</f>
        <v>29</v>
      </c>
      <c r="N105" s="49">
        <f>AVERAGE('26.07 Lubiri-Ndeeba-24h'!N105,'27.07 Lubiri-Ndeeba-24h'!N105)</f>
        <v>0</v>
      </c>
      <c r="O105" s="15">
        <f t="shared" si="37"/>
        <v>28.5</v>
      </c>
      <c r="P105" s="15">
        <f t="shared" si="38"/>
        <v>57.5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2782.7142857142853</v>
      </c>
      <c r="D106" s="16">
        <f t="shared" ref="D106:P106" si="39">SUM(D10:D105)</f>
        <v>467.21428571428578</v>
      </c>
      <c r="E106" s="16">
        <f t="shared" si="39"/>
        <v>277.14285714285705</v>
      </c>
      <c r="F106" s="16">
        <f t="shared" si="39"/>
        <v>1214.0714285714287</v>
      </c>
      <c r="G106" s="16">
        <f t="shared" si="39"/>
        <v>47.714285714285708</v>
      </c>
      <c r="H106" s="16">
        <f t="shared" si="39"/>
        <v>4.4999999999999991</v>
      </c>
      <c r="I106" s="16">
        <f t="shared" si="39"/>
        <v>325.07142857142856</v>
      </c>
      <c r="J106" s="16">
        <f t="shared" si="39"/>
        <v>231.64285714285714</v>
      </c>
      <c r="K106" s="16">
        <f t="shared" si="39"/>
        <v>40.857142857142861</v>
      </c>
      <c r="L106" s="16">
        <f t="shared" si="39"/>
        <v>25.761904761904759</v>
      </c>
      <c r="M106" s="16">
        <f t="shared" si="39"/>
        <v>13080.785714285714</v>
      </c>
      <c r="N106" s="16">
        <f t="shared" si="39"/>
        <v>2.8571428571428568</v>
      </c>
      <c r="O106" s="16">
        <f t="shared" si="39"/>
        <v>5419.5</v>
      </c>
      <c r="P106" s="16">
        <f t="shared" si="39"/>
        <v>18500.285714285717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40">C106/$P$106</f>
        <v>0.15041466541057277</v>
      </c>
      <c r="D107" s="43">
        <f t="shared" si="40"/>
        <v>2.5254436224923165E-2</v>
      </c>
      <c r="E107" s="43">
        <f t="shared" si="40"/>
        <v>1.4980463622183434E-2</v>
      </c>
      <c r="F107" s="43">
        <f t="shared" si="40"/>
        <v>6.5624469120168019E-2</v>
      </c>
      <c r="G107" s="43">
        <f t="shared" si="40"/>
        <v>2.5791107473243651E-3</v>
      </c>
      <c r="H107" s="43">
        <f t="shared" si="40"/>
        <v>2.4323948664885475E-4</v>
      </c>
      <c r="I107" s="43">
        <f t="shared" si="40"/>
        <v>1.7571157202205367E-2</v>
      </c>
      <c r="J107" s="43">
        <f t="shared" si="40"/>
        <v>1.2521042146067239E-2</v>
      </c>
      <c r="K107" s="43">
        <f t="shared" si="40"/>
        <v>2.2084601010023009E-3</v>
      </c>
      <c r="L107" s="43">
        <f t="shared" si="40"/>
        <v>1.3925138865294225E-3</v>
      </c>
      <c r="M107" s="43">
        <f t="shared" si="40"/>
        <v>0.70705857824589569</v>
      </c>
      <c r="N107" s="43">
        <f t="shared" si="40"/>
        <v>1.5443776930086018E-4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0.51346328733541569</v>
      </c>
      <c r="D108" s="44">
        <f t="shared" ref="D108:N108" si="41">D106/$O$106</f>
        <v>8.6209850671516888E-2</v>
      </c>
      <c r="E108" s="44">
        <f t="shared" si="41"/>
        <v>5.1138086012151869E-2</v>
      </c>
      <c r="F108" s="44">
        <f t="shared" si="41"/>
        <v>0.22401908452282104</v>
      </c>
      <c r="G108" s="44">
        <f t="shared" si="41"/>
        <v>8.8041859422983131E-3</v>
      </c>
      <c r="H108" s="44">
        <f t="shared" si="41"/>
        <v>8.303349017437031E-4</v>
      </c>
      <c r="I108" s="44">
        <f t="shared" si="41"/>
        <v>5.9981811711676089E-2</v>
      </c>
      <c r="J108" s="44">
        <f>J106/$O$106</f>
        <v>4.2742477561187771E-2</v>
      </c>
      <c r="K108" s="44">
        <f t="shared" si="41"/>
        <v>7.5389137110698145E-3</v>
      </c>
      <c r="L108" s="44">
        <f t="shared" si="41"/>
        <v>4.75355747982374E-3</v>
      </c>
      <c r="M108" s="44"/>
      <c r="N108" s="44">
        <f t="shared" si="41"/>
        <v>5.2719676301187499E-4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G51" zoomScale="57" zoomScaleSheetLayoutView="57" workbookViewId="0">
      <selection activeCell="Y111" sqref="Y110:Y1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'28.07 Ndeeba-Lubiri'!C3:G3</f>
        <v>MCC - C1 - STN03- KALINDA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3" t="s">
        <v>169</v>
      </c>
      <c r="E5" s="74"/>
      <c r="F5" s="41" t="s">
        <v>1</v>
      </c>
      <c r="G5" s="71" t="str">
        <f>'28.07 Ndeeba-Lubiri'!G5:H5</f>
        <v>Before Shell</v>
      </c>
      <c r="H5" s="72"/>
      <c r="I5" s="14"/>
      <c r="J5" s="2" t="s">
        <v>5</v>
      </c>
      <c r="K5" s="71" t="str">
        <f>'28.07 Ndeeba-Lubiri'!K5:L5</f>
        <v>Kizito Geofrey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'28.07 Ndeeba-Lubiri'!D6:E6</f>
        <v>Ndeeba</v>
      </c>
      <c r="E6" s="72"/>
      <c r="F6" s="2" t="s">
        <v>2</v>
      </c>
      <c r="G6" s="71" t="str">
        <f>'28.07 Ndeeba-Lubiri'!G6:H6</f>
        <v>Lubiri</v>
      </c>
      <c r="H6" s="72"/>
      <c r="J6" s="2" t="s">
        <v>21</v>
      </c>
      <c r="K6" s="71" t="str">
        <f>'28.07 Ndeeba-Lubiri'!K6:L6</f>
        <v>Denis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4" t="s">
        <v>88</v>
      </c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Ndeeba-Lubiri'!C10,'23.07 Ndeeba-Lubiri'!C10,'24.07 Ndeeba-Lubiri'!C10,'25.07 Ndeeba-Lubiri'!C10,'26.07 Ndeeba-Lubiri-24h'!C10,'27.07 Ndeeba-Lubiri-24h'!C10,'28.07 Ndeeba-Lubiri'!C10)</f>
        <v>92.428571428571431</v>
      </c>
      <c r="D10" s="49">
        <f>AVERAGE('22.07 Ndeeba-Lubiri'!D10,'23.07 Ndeeba-Lubiri'!D10,'24.07 Ndeeba-Lubiri'!D10,'25.07 Ndeeba-Lubiri'!D10,'26.07 Ndeeba-Lubiri-24h'!D10,'27.07 Ndeeba-Lubiri-24h'!D10,'28.07 Ndeeba-Lubiri'!D10)</f>
        <v>12.714285714285714</v>
      </c>
      <c r="E10" s="49">
        <f>AVERAGE('22.07 Ndeeba-Lubiri'!E10,'23.07 Ndeeba-Lubiri'!E10,'24.07 Ndeeba-Lubiri'!E10,'25.07 Ndeeba-Lubiri'!E10,'26.07 Ndeeba-Lubiri-24h'!E10,'27.07 Ndeeba-Lubiri-24h'!E10,'28.07 Ndeeba-Lubiri'!E10)</f>
        <v>9.4285714285714288</v>
      </c>
      <c r="F10" s="49">
        <f>AVERAGE('22.07 Ndeeba-Lubiri'!F10,'23.07 Ndeeba-Lubiri'!F10,'24.07 Ndeeba-Lubiri'!F10,'25.07 Ndeeba-Lubiri'!F10,'26.07 Ndeeba-Lubiri-24h'!F10,'27.07 Ndeeba-Lubiri-24h'!F10,'28.07 Ndeeba-Lubiri'!F10)</f>
        <v>37</v>
      </c>
      <c r="G10" s="49">
        <f>AVERAGE('22.07 Ndeeba-Lubiri'!G10,'23.07 Ndeeba-Lubiri'!G10,'24.07 Ndeeba-Lubiri'!G10,'25.07 Ndeeba-Lubiri'!G10,'26.07 Ndeeba-Lubiri-24h'!G10,'27.07 Ndeeba-Lubiri-24h'!G10,'28.07 Ndeeba-Lubiri'!G10)</f>
        <v>0.2857142857142857</v>
      </c>
      <c r="H10" s="49">
        <f>AVERAGE('22.07 Ndeeba-Lubiri'!H10,'23.07 Ndeeba-Lubiri'!H10,'24.07 Ndeeba-Lubiri'!H10,'25.07 Ndeeba-Lubiri'!H10,'26.07 Ndeeba-Lubiri-24h'!H10,'27.07 Ndeeba-Lubiri-24h'!H10,'28.07 Ndeeba-Lubiri'!H10)</f>
        <v>0.5714285714285714</v>
      </c>
      <c r="I10" s="49">
        <f>AVERAGE('22.07 Ndeeba-Lubiri'!I10,'23.07 Ndeeba-Lubiri'!I10,'24.07 Ndeeba-Lubiri'!I10,'25.07 Ndeeba-Lubiri'!I10,'26.07 Ndeeba-Lubiri-24h'!I10,'27.07 Ndeeba-Lubiri-24h'!I10,'28.07 Ndeeba-Lubiri'!I10)</f>
        <v>3.4285714285714284</v>
      </c>
      <c r="J10" s="49">
        <f>AVERAGE('22.07 Ndeeba-Lubiri'!J10,'23.07 Ndeeba-Lubiri'!J10,'24.07 Ndeeba-Lubiri'!J10,'25.07 Ndeeba-Lubiri'!J10,'26.07 Ndeeba-Lubiri-24h'!J10,'27.07 Ndeeba-Lubiri-24h'!J10,'28.07 Ndeeba-Lubiri'!J10)</f>
        <v>2.5714285714285716</v>
      </c>
      <c r="K10" s="49">
        <f>AVERAGE('22.07 Ndeeba-Lubiri'!K10,'23.07 Ndeeba-Lubiri'!K10,'24.07 Ndeeba-Lubiri'!K10,'25.07 Ndeeba-Lubiri'!K10,'26.07 Ndeeba-Lubiri-24h'!K10,'27.07 Ndeeba-Lubiri-24h'!K10,'28.07 Ndeeba-Lubiri'!K10)</f>
        <v>0.2857142857142857</v>
      </c>
      <c r="L10" s="49">
        <f>AVERAGE('22.07 Ndeeba-Lubiri'!L10,'23.07 Ndeeba-Lubiri'!L10,'24.07 Ndeeba-Lubiri'!L10,'25.07 Ndeeba-Lubiri'!L10,'26.07 Ndeeba-Lubiri-24h'!L10,'27.07 Ndeeba-Lubiri-24h'!L10,'28.07 Ndeeba-Lubiri'!L10)</f>
        <v>0.42857142857142855</v>
      </c>
      <c r="M10" s="49">
        <f>AVERAGE('22.07 Ndeeba-Lubiri'!M10,'23.07 Ndeeba-Lubiri'!M10,'24.07 Ndeeba-Lubiri'!M10,'25.07 Ndeeba-Lubiri'!M10,'26.07 Ndeeba-Lubiri-24h'!M10,'27.07 Ndeeba-Lubiri-24h'!M10,'28.07 Ndeeba-Lubiri'!M10)</f>
        <v>139.71428571428572</v>
      </c>
      <c r="N10" s="49">
        <f>AVERAGE('22.07 Ndeeba-Lubiri'!N10,'23.07 Ndeeba-Lubiri'!N10,'24.07 Ndeeba-Lubiri'!N10,'25.07 Ndeeba-Lubiri'!N10,'26.07 Ndeeba-Lubiri-24h'!N10,'27.07 Ndeeba-Lubiri-24h'!N10,'28.07 Ndeeba-Lubiri'!N10)</f>
        <v>0</v>
      </c>
      <c r="O10" s="15">
        <f t="shared" ref="O10:O24" si="0">SUM(C10:L10,N10)</f>
        <v>159.14285714285711</v>
      </c>
      <c r="P10" s="15">
        <f t="shared" ref="P10:P24" si="1">SUM(C10:N10)</f>
        <v>298.85714285714283</v>
      </c>
      <c r="R10" s="1" t="s">
        <v>6</v>
      </c>
      <c r="S10" s="17">
        <f t="shared" ref="S10:AF10" si="2">SUM(C10:C13)</f>
        <v>396.42857142857139</v>
      </c>
      <c r="T10" s="17">
        <f t="shared" si="2"/>
        <v>43.571428571428569</v>
      </c>
      <c r="U10" s="17">
        <f t="shared" si="2"/>
        <v>38.714285714285715</v>
      </c>
      <c r="V10" s="17">
        <f t="shared" si="2"/>
        <v>145.57142857142856</v>
      </c>
      <c r="W10" s="17">
        <f t="shared" si="2"/>
        <v>0.99999999999999989</v>
      </c>
      <c r="X10" s="17">
        <f t="shared" si="2"/>
        <v>0.5714285714285714</v>
      </c>
      <c r="Y10" s="17">
        <f t="shared" si="2"/>
        <v>17.857142857142858</v>
      </c>
      <c r="Z10" s="17">
        <f t="shared" si="2"/>
        <v>8.571428571428573</v>
      </c>
      <c r="AA10" s="17">
        <f t="shared" si="2"/>
        <v>6.5714285714285712</v>
      </c>
      <c r="AB10" s="17">
        <f t="shared" si="2"/>
        <v>37.142857142857146</v>
      </c>
      <c r="AC10" s="17">
        <f t="shared" si="2"/>
        <v>646.42857142857144</v>
      </c>
      <c r="AD10" s="17">
        <f t="shared" si="2"/>
        <v>0</v>
      </c>
      <c r="AE10" s="31">
        <f t="shared" si="2"/>
        <v>695.99999999999989</v>
      </c>
      <c r="AF10" s="31">
        <f t="shared" si="2"/>
        <v>1342.4285714285713</v>
      </c>
    </row>
    <row r="11" spans="2:32" s="6" customFormat="1" ht="23.1" customHeight="1" x14ac:dyDescent="0.25">
      <c r="B11" s="23" t="s">
        <v>38</v>
      </c>
      <c r="C11" s="49">
        <f>AVERAGE('22.07 Ndeeba-Lubiri'!C11,'23.07 Ndeeba-Lubiri'!C11,'24.07 Ndeeba-Lubiri'!C11,'25.07 Ndeeba-Lubiri'!C11,'26.07 Ndeeba-Lubiri-24h'!C11,'27.07 Ndeeba-Lubiri-24h'!C11,'28.07 Ndeeba-Lubiri'!C11)</f>
        <v>107.85714285714286</v>
      </c>
      <c r="D11" s="49">
        <f>AVERAGE('22.07 Ndeeba-Lubiri'!D11,'23.07 Ndeeba-Lubiri'!D11,'24.07 Ndeeba-Lubiri'!D11,'25.07 Ndeeba-Lubiri'!D11,'26.07 Ndeeba-Lubiri-24h'!D11,'27.07 Ndeeba-Lubiri-24h'!D11,'28.07 Ndeeba-Lubiri'!D11)</f>
        <v>11.142857142857142</v>
      </c>
      <c r="E11" s="49">
        <f>AVERAGE('22.07 Ndeeba-Lubiri'!E11,'23.07 Ndeeba-Lubiri'!E11,'24.07 Ndeeba-Lubiri'!E11,'25.07 Ndeeba-Lubiri'!E11,'26.07 Ndeeba-Lubiri-24h'!E11,'27.07 Ndeeba-Lubiri-24h'!E11,'28.07 Ndeeba-Lubiri'!E11)</f>
        <v>9.2857142857142865</v>
      </c>
      <c r="F11" s="49">
        <f>AVERAGE('22.07 Ndeeba-Lubiri'!F11,'23.07 Ndeeba-Lubiri'!F11,'24.07 Ndeeba-Lubiri'!F11,'25.07 Ndeeba-Lubiri'!F11,'26.07 Ndeeba-Lubiri-24h'!F11,'27.07 Ndeeba-Lubiri-24h'!F11,'28.07 Ndeeba-Lubiri'!F11)</f>
        <v>44.571428571428569</v>
      </c>
      <c r="G11" s="49">
        <f>AVERAGE('22.07 Ndeeba-Lubiri'!G11,'23.07 Ndeeba-Lubiri'!G11,'24.07 Ndeeba-Lubiri'!G11,'25.07 Ndeeba-Lubiri'!G11,'26.07 Ndeeba-Lubiri-24h'!G11,'27.07 Ndeeba-Lubiri-24h'!G11,'28.07 Ndeeba-Lubiri'!G11)</f>
        <v>0.42857142857142855</v>
      </c>
      <c r="H11" s="49">
        <f>AVERAGE('22.07 Ndeeba-Lubiri'!H11,'23.07 Ndeeba-Lubiri'!H11,'24.07 Ndeeba-Lubiri'!H11,'25.07 Ndeeba-Lubiri'!H11,'26.07 Ndeeba-Lubiri-24h'!H11,'27.07 Ndeeba-Lubiri-24h'!H11,'28.07 Ndeeba-Lubiri'!H11)</f>
        <v>0</v>
      </c>
      <c r="I11" s="49">
        <f>AVERAGE('22.07 Ndeeba-Lubiri'!I11,'23.07 Ndeeba-Lubiri'!I11,'24.07 Ndeeba-Lubiri'!I11,'25.07 Ndeeba-Lubiri'!I11,'26.07 Ndeeba-Lubiri-24h'!I11,'27.07 Ndeeba-Lubiri-24h'!I11,'28.07 Ndeeba-Lubiri'!I11)</f>
        <v>6.2857142857142856</v>
      </c>
      <c r="J11" s="49">
        <f>AVERAGE('22.07 Ndeeba-Lubiri'!J11,'23.07 Ndeeba-Lubiri'!J11,'24.07 Ndeeba-Lubiri'!J11,'25.07 Ndeeba-Lubiri'!J11,'26.07 Ndeeba-Lubiri-24h'!J11,'27.07 Ndeeba-Lubiri-24h'!J11,'28.07 Ndeeba-Lubiri'!J11)</f>
        <v>2.2857142857142856</v>
      </c>
      <c r="K11" s="49">
        <f>AVERAGE('22.07 Ndeeba-Lubiri'!K11,'23.07 Ndeeba-Lubiri'!K11,'24.07 Ndeeba-Lubiri'!K11,'25.07 Ndeeba-Lubiri'!K11,'26.07 Ndeeba-Lubiri-24h'!K11,'27.07 Ndeeba-Lubiri-24h'!K11,'28.07 Ndeeba-Lubiri'!K11)</f>
        <v>0.42857142857142855</v>
      </c>
      <c r="L11" s="49">
        <f>AVERAGE('22.07 Ndeeba-Lubiri'!L11,'23.07 Ndeeba-Lubiri'!L11,'24.07 Ndeeba-Lubiri'!L11,'25.07 Ndeeba-Lubiri'!L11,'26.07 Ndeeba-Lubiri-24h'!L11,'27.07 Ndeeba-Lubiri-24h'!L11,'28.07 Ndeeba-Lubiri'!L11)</f>
        <v>36.428571428571431</v>
      </c>
      <c r="M11" s="49">
        <f>AVERAGE('22.07 Ndeeba-Lubiri'!M11,'23.07 Ndeeba-Lubiri'!M11,'24.07 Ndeeba-Lubiri'!M11,'25.07 Ndeeba-Lubiri'!M11,'26.07 Ndeeba-Lubiri-24h'!M11,'27.07 Ndeeba-Lubiri-24h'!M11,'28.07 Ndeeba-Lubiri'!M11)</f>
        <v>172.71428571428572</v>
      </c>
      <c r="N11" s="49">
        <f>AVERAGE('22.07 Ndeeba-Lubiri'!N11,'23.07 Ndeeba-Lubiri'!N11,'24.07 Ndeeba-Lubiri'!N11,'25.07 Ndeeba-Lubiri'!N11,'26.07 Ndeeba-Lubiri-24h'!N11,'27.07 Ndeeba-Lubiri-24h'!N11,'28.07 Ndeeba-Lubiri'!N11)</f>
        <v>0</v>
      </c>
      <c r="O11" s="15">
        <f t="shared" si="0"/>
        <v>218.71428571428567</v>
      </c>
      <c r="P11" s="15">
        <f t="shared" si="1"/>
        <v>391.42857142857139</v>
      </c>
      <c r="R11" s="1" t="s">
        <v>7</v>
      </c>
      <c r="S11" s="17">
        <f t="shared" ref="S11:AF11" si="3">SUM(C14:C17)</f>
        <v>414.42857142857144</v>
      </c>
      <c r="T11" s="17">
        <f t="shared" si="3"/>
        <v>42.571428571428569</v>
      </c>
      <c r="U11" s="17">
        <f t="shared" si="3"/>
        <v>32.285714285714285</v>
      </c>
      <c r="V11" s="17">
        <f t="shared" si="3"/>
        <v>115.85714285714285</v>
      </c>
      <c r="W11" s="17">
        <f t="shared" si="3"/>
        <v>2.5714285714285716</v>
      </c>
      <c r="X11" s="17">
        <f t="shared" si="3"/>
        <v>0.2857142857142857</v>
      </c>
      <c r="Y11" s="17">
        <f t="shared" si="3"/>
        <v>19.428571428571431</v>
      </c>
      <c r="Z11" s="17">
        <f t="shared" si="3"/>
        <v>11.142857142857142</v>
      </c>
      <c r="AA11" s="17">
        <f t="shared" si="3"/>
        <v>1.7142857142857144</v>
      </c>
      <c r="AB11" s="17">
        <f t="shared" si="3"/>
        <v>0.85714285714285698</v>
      </c>
      <c r="AC11" s="17">
        <f t="shared" si="3"/>
        <v>759.71428571428578</v>
      </c>
      <c r="AD11" s="17">
        <f t="shared" si="3"/>
        <v>0</v>
      </c>
      <c r="AE11" s="31">
        <f t="shared" si="3"/>
        <v>641.14285714285722</v>
      </c>
      <c r="AF11" s="31">
        <f t="shared" si="3"/>
        <v>1400.8571428571427</v>
      </c>
    </row>
    <row r="12" spans="2:32" ht="23.1" customHeight="1" x14ac:dyDescent="0.25">
      <c r="B12" s="23" t="s">
        <v>39</v>
      </c>
      <c r="C12" s="49">
        <f>AVERAGE('22.07 Ndeeba-Lubiri'!C12,'23.07 Ndeeba-Lubiri'!C12,'24.07 Ndeeba-Lubiri'!C12,'25.07 Ndeeba-Lubiri'!C12,'26.07 Ndeeba-Lubiri-24h'!C12,'27.07 Ndeeba-Lubiri-24h'!C12,'28.07 Ndeeba-Lubiri'!C12)</f>
        <v>99.857142857142861</v>
      </c>
      <c r="D12" s="49">
        <f>AVERAGE('22.07 Ndeeba-Lubiri'!D12,'23.07 Ndeeba-Lubiri'!D12,'24.07 Ndeeba-Lubiri'!D12,'25.07 Ndeeba-Lubiri'!D12,'26.07 Ndeeba-Lubiri-24h'!D12,'27.07 Ndeeba-Lubiri-24h'!D12,'28.07 Ndeeba-Lubiri'!D12)</f>
        <v>9.5714285714285712</v>
      </c>
      <c r="E12" s="49">
        <f>AVERAGE('22.07 Ndeeba-Lubiri'!E12,'23.07 Ndeeba-Lubiri'!E12,'24.07 Ndeeba-Lubiri'!E12,'25.07 Ndeeba-Lubiri'!E12,'26.07 Ndeeba-Lubiri-24h'!E12,'27.07 Ndeeba-Lubiri-24h'!E12,'28.07 Ndeeba-Lubiri'!E12)</f>
        <v>8.1428571428571423</v>
      </c>
      <c r="F12" s="49">
        <f>AVERAGE('22.07 Ndeeba-Lubiri'!F12,'23.07 Ndeeba-Lubiri'!F12,'24.07 Ndeeba-Lubiri'!F12,'25.07 Ndeeba-Lubiri'!F12,'26.07 Ndeeba-Lubiri-24h'!F12,'27.07 Ndeeba-Lubiri-24h'!F12,'28.07 Ndeeba-Lubiri'!F12)</f>
        <v>35</v>
      </c>
      <c r="G12" s="49">
        <f>AVERAGE('22.07 Ndeeba-Lubiri'!G12,'23.07 Ndeeba-Lubiri'!G12,'24.07 Ndeeba-Lubiri'!G12,'25.07 Ndeeba-Lubiri'!G12,'26.07 Ndeeba-Lubiri-24h'!G12,'27.07 Ndeeba-Lubiri-24h'!G12,'28.07 Ndeeba-Lubiri'!G12)</f>
        <v>0</v>
      </c>
      <c r="H12" s="49">
        <f>AVERAGE('22.07 Ndeeba-Lubiri'!H12,'23.07 Ndeeba-Lubiri'!H12,'24.07 Ndeeba-Lubiri'!H12,'25.07 Ndeeba-Lubiri'!H12,'26.07 Ndeeba-Lubiri-24h'!H12,'27.07 Ndeeba-Lubiri-24h'!H12,'28.07 Ndeeba-Lubiri'!H12)</f>
        <v>0</v>
      </c>
      <c r="I12" s="49">
        <f>AVERAGE('22.07 Ndeeba-Lubiri'!I12,'23.07 Ndeeba-Lubiri'!I12,'24.07 Ndeeba-Lubiri'!I12,'25.07 Ndeeba-Lubiri'!I12,'26.07 Ndeeba-Lubiri-24h'!I12,'27.07 Ndeeba-Lubiri-24h'!I12,'28.07 Ndeeba-Lubiri'!I12)</f>
        <v>4.5714285714285712</v>
      </c>
      <c r="J12" s="49">
        <f>AVERAGE('22.07 Ndeeba-Lubiri'!J12,'23.07 Ndeeba-Lubiri'!J12,'24.07 Ndeeba-Lubiri'!J12,'25.07 Ndeeba-Lubiri'!J12,'26.07 Ndeeba-Lubiri-24h'!J12,'27.07 Ndeeba-Lubiri-24h'!J12,'28.07 Ndeeba-Lubiri'!J12)</f>
        <v>2.4285714285714284</v>
      </c>
      <c r="K12" s="49">
        <f>AVERAGE('22.07 Ndeeba-Lubiri'!K12,'23.07 Ndeeba-Lubiri'!K12,'24.07 Ndeeba-Lubiri'!K12,'25.07 Ndeeba-Lubiri'!K12,'26.07 Ndeeba-Lubiri-24h'!K12,'27.07 Ndeeba-Lubiri-24h'!K12,'28.07 Ndeeba-Lubiri'!K12)</f>
        <v>3.1428571428571428</v>
      </c>
      <c r="L12" s="49">
        <f>AVERAGE('22.07 Ndeeba-Lubiri'!L12,'23.07 Ndeeba-Lubiri'!L12,'24.07 Ndeeba-Lubiri'!L12,'25.07 Ndeeba-Lubiri'!L12,'26.07 Ndeeba-Lubiri-24h'!L12,'27.07 Ndeeba-Lubiri-24h'!L12,'28.07 Ndeeba-Lubiri'!L12)</f>
        <v>0</v>
      </c>
      <c r="M12" s="49">
        <f>AVERAGE('22.07 Ndeeba-Lubiri'!M12,'23.07 Ndeeba-Lubiri'!M12,'24.07 Ndeeba-Lubiri'!M12,'25.07 Ndeeba-Lubiri'!M12,'26.07 Ndeeba-Lubiri-24h'!M12,'27.07 Ndeeba-Lubiri-24h'!M12,'28.07 Ndeeba-Lubiri'!M12)</f>
        <v>164.71428571428572</v>
      </c>
      <c r="N12" s="49">
        <f>AVERAGE('22.07 Ndeeba-Lubiri'!N12,'23.07 Ndeeba-Lubiri'!N12,'24.07 Ndeeba-Lubiri'!N12,'25.07 Ndeeba-Lubiri'!N12,'26.07 Ndeeba-Lubiri-24h'!N12,'27.07 Ndeeba-Lubiri-24h'!N12,'28.07 Ndeeba-Lubiri'!N12)</f>
        <v>0</v>
      </c>
      <c r="O12" s="15">
        <f t="shared" si="0"/>
        <v>162.71428571428569</v>
      </c>
      <c r="P12" s="15">
        <f t="shared" si="1"/>
        <v>327.42857142857144</v>
      </c>
      <c r="R12" s="1" t="s">
        <v>8</v>
      </c>
      <c r="S12" s="17">
        <f t="shared" ref="S12:AF12" si="4">SUM(C18:C21)</f>
        <v>411.57142857142856</v>
      </c>
      <c r="T12" s="17">
        <f t="shared" si="4"/>
        <v>44.285714285714285</v>
      </c>
      <c r="U12" s="17">
        <f t="shared" si="4"/>
        <v>28.285714285714285</v>
      </c>
      <c r="V12" s="17">
        <f t="shared" si="4"/>
        <v>62.285714285714285</v>
      </c>
      <c r="W12" s="17">
        <f t="shared" si="4"/>
        <v>0.99999999999999989</v>
      </c>
      <c r="X12" s="17">
        <f t="shared" si="4"/>
        <v>0.14285714285714285</v>
      </c>
      <c r="Y12" s="17">
        <f t="shared" si="4"/>
        <v>22.428571428571431</v>
      </c>
      <c r="Z12" s="17">
        <f t="shared" si="4"/>
        <v>9.8571428571428577</v>
      </c>
      <c r="AA12" s="17">
        <f t="shared" si="4"/>
        <v>2.1428571428571428</v>
      </c>
      <c r="AB12" s="17">
        <f t="shared" si="4"/>
        <v>1.5714285714285714</v>
      </c>
      <c r="AC12" s="17">
        <f t="shared" si="4"/>
        <v>834.85714285714289</v>
      </c>
      <c r="AD12" s="17">
        <f t="shared" si="4"/>
        <v>0</v>
      </c>
      <c r="AE12" s="31">
        <f t="shared" si="4"/>
        <v>583.57142857142856</v>
      </c>
      <c r="AF12" s="31">
        <f t="shared" si="4"/>
        <v>1418.4285714285713</v>
      </c>
    </row>
    <row r="13" spans="2:32" ht="23.1" customHeight="1" x14ac:dyDescent="0.25">
      <c r="B13" s="23" t="s">
        <v>40</v>
      </c>
      <c r="C13" s="49">
        <f>AVERAGE('22.07 Ndeeba-Lubiri'!C13,'23.07 Ndeeba-Lubiri'!C13,'24.07 Ndeeba-Lubiri'!C13,'25.07 Ndeeba-Lubiri'!C13,'26.07 Ndeeba-Lubiri-24h'!C13,'27.07 Ndeeba-Lubiri-24h'!C13,'28.07 Ndeeba-Lubiri'!C13)</f>
        <v>96.285714285714292</v>
      </c>
      <c r="D13" s="49">
        <f>AVERAGE('22.07 Ndeeba-Lubiri'!D13,'23.07 Ndeeba-Lubiri'!D13,'24.07 Ndeeba-Lubiri'!D13,'25.07 Ndeeba-Lubiri'!D13,'26.07 Ndeeba-Lubiri-24h'!D13,'27.07 Ndeeba-Lubiri-24h'!D13,'28.07 Ndeeba-Lubiri'!D13)</f>
        <v>10.142857142857142</v>
      </c>
      <c r="E13" s="49">
        <f>AVERAGE('22.07 Ndeeba-Lubiri'!E13,'23.07 Ndeeba-Lubiri'!E13,'24.07 Ndeeba-Lubiri'!E13,'25.07 Ndeeba-Lubiri'!E13,'26.07 Ndeeba-Lubiri-24h'!E13,'27.07 Ndeeba-Lubiri-24h'!E13,'28.07 Ndeeba-Lubiri'!E13)</f>
        <v>11.857142857142858</v>
      </c>
      <c r="F13" s="49">
        <f>AVERAGE('22.07 Ndeeba-Lubiri'!F13,'23.07 Ndeeba-Lubiri'!F13,'24.07 Ndeeba-Lubiri'!F13,'25.07 Ndeeba-Lubiri'!F13,'26.07 Ndeeba-Lubiri-24h'!F13,'27.07 Ndeeba-Lubiri-24h'!F13,'28.07 Ndeeba-Lubiri'!F13)</f>
        <v>29</v>
      </c>
      <c r="G13" s="49">
        <f>AVERAGE('22.07 Ndeeba-Lubiri'!G13,'23.07 Ndeeba-Lubiri'!G13,'24.07 Ndeeba-Lubiri'!G13,'25.07 Ndeeba-Lubiri'!G13,'26.07 Ndeeba-Lubiri-24h'!G13,'27.07 Ndeeba-Lubiri-24h'!G13,'28.07 Ndeeba-Lubiri'!G13)</f>
        <v>0.2857142857142857</v>
      </c>
      <c r="H13" s="49">
        <f>AVERAGE('22.07 Ndeeba-Lubiri'!H13,'23.07 Ndeeba-Lubiri'!H13,'24.07 Ndeeba-Lubiri'!H13,'25.07 Ndeeba-Lubiri'!H13,'26.07 Ndeeba-Lubiri-24h'!H13,'27.07 Ndeeba-Lubiri-24h'!H13,'28.07 Ndeeba-Lubiri'!H13)</f>
        <v>0</v>
      </c>
      <c r="I13" s="49">
        <f>AVERAGE('22.07 Ndeeba-Lubiri'!I13,'23.07 Ndeeba-Lubiri'!I13,'24.07 Ndeeba-Lubiri'!I13,'25.07 Ndeeba-Lubiri'!I13,'26.07 Ndeeba-Lubiri-24h'!I13,'27.07 Ndeeba-Lubiri-24h'!I13,'28.07 Ndeeba-Lubiri'!I13)</f>
        <v>3.5714285714285716</v>
      </c>
      <c r="J13" s="49">
        <f>AVERAGE('22.07 Ndeeba-Lubiri'!J13,'23.07 Ndeeba-Lubiri'!J13,'24.07 Ndeeba-Lubiri'!J13,'25.07 Ndeeba-Lubiri'!J13,'26.07 Ndeeba-Lubiri-24h'!J13,'27.07 Ndeeba-Lubiri-24h'!J13,'28.07 Ndeeba-Lubiri'!J13)</f>
        <v>1.2857142857142858</v>
      </c>
      <c r="K13" s="49">
        <f>AVERAGE('22.07 Ndeeba-Lubiri'!K13,'23.07 Ndeeba-Lubiri'!K13,'24.07 Ndeeba-Lubiri'!K13,'25.07 Ndeeba-Lubiri'!K13,'26.07 Ndeeba-Lubiri-24h'!K13,'27.07 Ndeeba-Lubiri-24h'!K13,'28.07 Ndeeba-Lubiri'!K13)</f>
        <v>2.7142857142857144</v>
      </c>
      <c r="L13" s="49">
        <f>AVERAGE('22.07 Ndeeba-Lubiri'!L13,'23.07 Ndeeba-Lubiri'!L13,'24.07 Ndeeba-Lubiri'!L13,'25.07 Ndeeba-Lubiri'!L13,'26.07 Ndeeba-Lubiri-24h'!L13,'27.07 Ndeeba-Lubiri-24h'!L13,'28.07 Ndeeba-Lubiri'!L13)</f>
        <v>0.2857142857142857</v>
      </c>
      <c r="M13" s="49">
        <f>AVERAGE('22.07 Ndeeba-Lubiri'!M13,'23.07 Ndeeba-Lubiri'!M13,'24.07 Ndeeba-Lubiri'!M13,'25.07 Ndeeba-Lubiri'!M13,'26.07 Ndeeba-Lubiri-24h'!M13,'27.07 Ndeeba-Lubiri-24h'!M13,'28.07 Ndeeba-Lubiri'!M13)</f>
        <v>169.28571428571428</v>
      </c>
      <c r="N13" s="49">
        <f>AVERAGE('22.07 Ndeeba-Lubiri'!N13,'23.07 Ndeeba-Lubiri'!N13,'24.07 Ndeeba-Lubiri'!N13,'25.07 Ndeeba-Lubiri'!N13,'26.07 Ndeeba-Lubiri-24h'!N13,'27.07 Ndeeba-Lubiri-24h'!N13,'28.07 Ndeeba-Lubiri'!N13)</f>
        <v>0</v>
      </c>
      <c r="O13" s="15">
        <f t="shared" si="0"/>
        <v>155.42857142857142</v>
      </c>
      <c r="P13" s="15">
        <f t="shared" si="1"/>
        <v>324.71428571428567</v>
      </c>
      <c r="R13" s="1" t="s">
        <v>9</v>
      </c>
      <c r="S13" s="17">
        <f t="shared" ref="S13:AF13" si="5">SUM(C22:C25)</f>
        <v>372.71428571428578</v>
      </c>
      <c r="T13" s="17">
        <f t="shared" si="5"/>
        <v>50.857142857142861</v>
      </c>
      <c r="U13" s="17">
        <f t="shared" si="5"/>
        <v>29.714285714285715</v>
      </c>
      <c r="V13" s="17">
        <f t="shared" si="5"/>
        <v>34.428571428571431</v>
      </c>
      <c r="W13" s="17">
        <f t="shared" si="5"/>
        <v>2.4285714285714284</v>
      </c>
      <c r="X13" s="17">
        <f t="shared" si="5"/>
        <v>0.14285714285714285</v>
      </c>
      <c r="Y13" s="17">
        <f t="shared" si="5"/>
        <v>26.714285714285712</v>
      </c>
      <c r="Z13" s="17">
        <f t="shared" si="5"/>
        <v>10.428571428571427</v>
      </c>
      <c r="AA13" s="17">
        <f t="shared" si="5"/>
        <v>1.8571428571428572</v>
      </c>
      <c r="AB13" s="17">
        <f t="shared" si="5"/>
        <v>1</v>
      </c>
      <c r="AC13" s="17">
        <f t="shared" si="5"/>
        <v>880.85714285714289</v>
      </c>
      <c r="AD13" s="17">
        <f t="shared" si="5"/>
        <v>0.14285714285714285</v>
      </c>
      <c r="AE13" s="31">
        <f t="shared" si="5"/>
        <v>530.42857142857144</v>
      </c>
      <c r="AF13" s="31">
        <f t="shared" si="5"/>
        <v>1411.2857142857144</v>
      </c>
    </row>
    <row r="14" spans="2:32" ht="23.1" customHeight="1" x14ac:dyDescent="0.25">
      <c r="B14" s="23" t="s">
        <v>41</v>
      </c>
      <c r="C14" s="49">
        <f>AVERAGE('22.07 Ndeeba-Lubiri'!C14,'23.07 Ndeeba-Lubiri'!C14,'24.07 Ndeeba-Lubiri'!C14,'25.07 Ndeeba-Lubiri'!C14,'26.07 Ndeeba-Lubiri-24h'!C14,'27.07 Ndeeba-Lubiri-24h'!C14,'28.07 Ndeeba-Lubiri'!C14)</f>
        <v>97.857142857142861</v>
      </c>
      <c r="D14" s="49">
        <f>AVERAGE('22.07 Ndeeba-Lubiri'!D14,'23.07 Ndeeba-Lubiri'!D14,'24.07 Ndeeba-Lubiri'!D14,'25.07 Ndeeba-Lubiri'!D14,'26.07 Ndeeba-Lubiri-24h'!D14,'27.07 Ndeeba-Lubiri-24h'!D14,'28.07 Ndeeba-Lubiri'!D14)</f>
        <v>12.285714285714286</v>
      </c>
      <c r="E14" s="49">
        <f>AVERAGE('22.07 Ndeeba-Lubiri'!E14,'23.07 Ndeeba-Lubiri'!E14,'24.07 Ndeeba-Lubiri'!E14,'25.07 Ndeeba-Lubiri'!E14,'26.07 Ndeeba-Lubiri-24h'!E14,'27.07 Ndeeba-Lubiri-24h'!E14,'28.07 Ndeeba-Lubiri'!E14)</f>
        <v>7.7142857142857144</v>
      </c>
      <c r="F14" s="49">
        <f>AVERAGE('22.07 Ndeeba-Lubiri'!F14,'23.07 Ndeeba-Lubiri'!F14,'24.07 Ndeeba-Lubiri'!F14,'25.07 Ndeeba-Lubiri'!F14,'26.07 Ndeeba-Lubiri-24h'!F14,'27.07 Ndeeba-Lubiri-24h'!F14,'28.07 Ndeeba-Lubiri'!F14)</f>
        <v>32.571428571428569</v>
      </c>
      <c r="G14" s="49">
        <f>AVERAGE('22.07 Ndeeba-Lubiri'!G14,'23.07 Ndeeba-Lubiri'!G14,'24.07 Ndeeba-Lubiri'!G14,'25.07 Ndeeba-Lubiri'!G14,'26.07 Ndeeba-Lubiri-24h'!G14,'27.07 Ndeeba-Lubiri-24h'!G14,'28.07 Ndeeba-Lubiri'!G14)</f>
        <v>0.8571428571428571</v>
      </c>
      <c r="H14" s="49">
        <f>AVERAGE('22.07 Ndeeba-Lubiri'!H14,'23.07 Ndeeba-Lubiri'!H14,'24.07 Ndeeba-Lubiri'!H14,'25.07 Ndeeba-Lubiri'!H14,'26.07 Ndeeba-Lubiri-24h'!H14,'27.07 Ndeeba-Lubiri-24h'!H14,'28.07 Ndeeba-Lubiri'!H14)</f>
        <v>0</v>
      </c>
      <c r="I14" s="49">
        <f>AVERAGE('22.07 Ndeeba-Lubiri'!I14,'23.07 Ndeeba-Lubiri'!I14,'24.07 Ndeeba-Lubiri'!I14,'25.07 Ndeeba-Lubiri'!I14,'26.07 Ndeeba-Lubiri-24h'!I14,'27.07 Ndeeba-Lubiri-24h'!I14,'28.07 Ndeeba-Lubiri'!I14)</f>
        <v>5.7142857142857144</v>
      </c>
      <c r="J14" s="49">
        <f>AVERAGE('22.07 Ndeeba-Lubiri'!J14,'23.07 Ndeeba-Lubiri'!J14,'24.07 Ndeeba-Lubiri'!J14,'25.07 Ndeeba-Lubiri'!J14,'26.07 Ndeeba-Lubiri-24h'!J14,'27.07 Ndeeba-Lubiri-24h'!J14,'28.07 Ndeeba-Lubiri'!J14)</f>
        <v>1.8571428571428572</v>
      </c>
      <c r="K14" s="49">
        <f>AVERAGE('22.07 Ndeeba-Lubiri'!K14,'23.07 Ndeeba-Lubiri'!K14,'24.07 Ndeeba-Lubiri'!K14,'25.07 Ndeeba-Lubiri'!K14,'26.07 Ndeeba-Lubiri-24h'!K14,'27.07 Ndeeba-Lubiri-24h'!K14,'28.07 Ndeeba-Lubiri'!K14)</f>
        <v>0.8571428571428571</v>
      </c>
      <c r="L14" s="49">
        <f>AVERAGE('22.07 Ndeeba-Lubiri'!L14,'23.07 Ndeeba-Lubiri'!L14,'24.07 Ndeeba-Lubiri'!L14,'25.07 Ndeeba-Lubiri'!L14,'26.07 Ndeeba-Lubiri-24h'!L14,'27.07 Ndeeba-Lubiri-24h'!L14,'28.07 Ndeeba-Lubiri'!L14)</f>
        <v>0.42857142857142855</v>
      </c>
      <c r="M14" s="49">
        <f>AVERAGE('22.07 Ndeeba-Lubiri'!M14,'23.07 Ndeeba-Lubiri'!M14,'24.07 Ndeeba-Lubiri'!M14,'25.07 Ndeeba-Lubiri'!M14,'26.07 Ndeeba-Lubiri-24h'!M14,'27.07 Ndeeba-Lubiri-24h'!M14,'28.07 Ndeeba-Lubiri'!M14)</f>
        <v>164.57142857142858</v>
      </c>
      <c r="N14" s="49">
        <f>AVERAGE('22.07 Ndeeba-Lubiri'!N14,'23.07 Ndeeba-Lubiri'!N14,'24.07 Ndeeba-Lubiri'!N14,'25.07 Ndeeba-Lubiri'!N14,'26.07 Ndeeba-Lubiri-24h'!N14,'27.07 Ndeeba-Lubiri-24h'!N14,'28.07 Ndeeba-Lubiri'!N14)</f>
        <v>0</v>
      </c>
      <c r="O14" s="15">
        <f t="shared" si="0"/>
        <v>160.14285714285717</v>
      </c>
      <c r="P14" s="15">
        <f t="shared" si="1"/>
        <v>324.71428571428578</v>
      </c>
      <c r="R14" s="1" t="s">
        <v>10</v>
      </c>
      <c r="S14" s="17">
        <f t="shared" ref="S14:AF14" si="6">SUM(C26:C29)</f>
        <v>373.85714285714283</v>
      </c>
      <c r="T14" s="17">
        <f t="shared" si="6"/>
        <v>39.142857142857139</v>
      </c>
      <c r="U14" s="17">
        <f t="shared" si="6"/>
        <v>31</v>
      </c>
      <c r="V14" s="17">
        <f t="shared" si="6"/>
        <v>32.285714285714285</v>
      </c>
      <c r="W14" s="17">
        <f t="shared" si="6"/>
        <v>1.8571428571428572</v>
      </c>
      <c r="X14" s="17">
        <f t="shared" si="6"/>
        <v>0.14285714285714285</v>
      </c>
      <c r="Y14" s="17">
        <f t="shared" si="6"/>
        <v>19.857142857142858</v>
      </c>
      <c r="Z14" s="17">
        <f t="shared" si="6"/>
        <v>12.142857142857142</v>
      </c>
      <c r="AA14" s="17">
        <f t="shared" si="6"/>
        <v>2</v>
      </c>
      <c r="AB14" s="17">
        <f t="shared" si="6"/>
        <v>1.4285714285714284</v>
      </c>
      <c r="AC14" s="17">
        <f t="shared" si="6"/>
        <v>804.28571428571422</v>
      </c>
      <c r="AD14" s="17">
        <f t="shared" si="6"/>
        <v>0</v>
      </c>
      <c r="AE14" s="31">
        <f t="shared" si="6"/>
        <v>513.71428571428567</v>
      </c>
      <c r="AF14" s="31">
        <f t="shared" si="6"/>
        <v>1318</v>
      </c>
    </row>
    <row r="15" spans="2:32" ht="23.1" customHeight="1" x14ac:dyDescent="0.25">
      <c r="B15" s="23" t="s">
        <v>42</v>
      </c>
      <c r="C15" s="49">
        <f>AVERAGE('22.07 Ndeeba-Lubiri'!C15,'23.07 Ndeeba-Lubiri'!C15,'24.07 Ndeeba-Lubiri'!C15,'25.07 Ndeeba-Lubiri'!C15,'26.07 Ndeeba-Lubiri-24h'!C15,'27.07 Ndeeba-Lubiri-24h'!C15,'28.07 Ndeeba-Lubiri'!C15)</f>
        <v>93.571428571428569</v>
      </c>
      <c r="D15" s="49">
        <f>AVERAGE('22.07 Ndeeba-Lubiri'!D15,'23.07 Ndeeba-Lubiri'!D15,'24.07 Ndeeba-Lubiri'!D15,'25.07 Ndeeba-Lubiri'!D15,'26.07 Ndeeba-Lubiri-24h'!D15,'27.07 Ndeeba-Lubiri-24h'!D15,'28.07 Ndeeba-Lubiri'!D15)</f>
        <v>9.8571428571428577</v>
      </c>
      <c r="E15" s="49">
        <f>AVERAGE('22.07 Ndeeba-Lubiri'!E15,'23.07 Ndeeba-Lubiri'!E15,'24.07 Ndeeba-Lubiri'!E15,'25.07 Ndeeba-Lubiri'!E15,'26.07 Ndeeba-Lubiri-24h'!E15,'27.07 Ndeeba-Lubiri-24h'!E15,'28.07 Ndeeba-Lubiri'!E15)</f>
        <v>9.4285714285714288</v>
      </c>
      <c r="F15" s="49">
        <f>AVERAGE('22.07 Ndeeba-Lubiri'!F15,'23.07 Ndeeba-Lubiri'!F15,'24.07 Ndeeba-Lubiri'!F15,'25.07 Ndeeba-Lubiri'!F15,'26.07 Ndeeba-Lubiri-24h'!F15,'27.07 Ndeeba-Lubiri-24h'!F15,'28.07 Ndeeba-Lubiri'!F15)</f>
        <v>30</v>
      </c>
      <c r="G15" s="49">
        <f>AVERAGE('22.07 Ndeeba-Lubiri'!G15,'23.07 Ndeeba-Lubiri'!G15,'24.07 Ndeeba-Lubiri'!G15,'25.07 Ndeeba-Lubiri'!G15,'26.07 Ndeeba-Lubiri-24h'!G15,'27.07 Ndeeba-Lubiri-24h'!G15,'28.07 Ndeeba-Lubiri'!G15)</f>
        <v>0</v>
      </c>
      <c r="H15" s="49">
        <f>AVERAGE('22.07 Ndeeba-Lubiri'!H15,'23.07 Ndeeba-Lubiri'!H15,'24.07 Ndeeba-Lubiri'!H15,'25.07 Ndeeba-Lubiri'!H15,'26.07 Ndeeba-Lubiri-24h'!H15,'27.07 Ndeeba-Lubiri-24h'!H15,'28.07 Ndeeba-Lubiri'!H15)</f>
        <v>0.14285714285714285</v>
      </c>
      <c r="I15" s="49">
        <f>AVERAGE('22.07 Ndeeba-Lubiri'!I15,'23.07 Ndeeba-Lubiri'!I15,'24.07 Ndeeba-Lubiri'!I15,'25.07 Ndeeba-Lubiri'!I15,'26.07 Ndeeba-Lubiri-24h'!I15,'27.07 Ndeeba-Lubiri-24h'!I15,'28.07 Ndeeba-Lubiri'!I15)</f>
        <v>5.2857142857142856</v>
      </c>
      <c r="J15" s="49">
        <f>AVERAGE('22.07 Ndeeba-Lubiri'!J15,'23.07 Ndeeba-Lubiri'!J15,'24.07 Ndeeba-Lubiri'!J15,'25.07 Ndeeba-Lubiri'!J15,'26.07 Ndeeba-Lubiri-24h'!J15,'27.07 Ndeeba-Lubiri-24h'!J15,'28.07 Ndeeba-Lubiri'!J15)</f>
        <v>3.2857142857142856</v>
      </c>
      <c r="K15" s="49">
        <f>AVERAGE('22.07 Ndeeba-Lubiri'!K15,'23.07 Ndeeba-Lubiri'!K15,'24.07 Ndeeba-Lubiri'!K15,'25.07 Ndeeba-Lubiri'!K15,'26.07 Ndeeba-Lubiri-24h'!K15,'27.07 Ndeeba-Lubiri-24h'!K15,'28.07 Ndeeba-Lubiri'!K15)</f>
        <v>0.14285714285714285</v>
      </c>
      <c r="L15" s="49">
        <f>AVERAGE('22.07 Ndeeba-Lubiri'!L15,'23.07 Ndeeba-Lubiri'!L15,'24.07 Ndeeba-Lubiri'!L15,'25.07 Ndeeba-Lubiri'!L15,'26.07 Ndeeba-Lubiri-24h'!L15,'27.07 Ndeeba-Lubiri-24h'!L15,'28.07 Ndeeba-Lubiri'!L15)</f>
        <v>0</v>
      </c>
      <c r="M15" s="49">
        <f>AVERAGE('22.07 Ndeeba-Lubiri'!M15,'23.07 Ndeeba-Lubiri'!M15,'24.07 Ndeeba-Lubiri'!M15,'25.07 Ndeeba-Lubiri'!M15,'26.07 Ndeeba-Lubiri-24h'!M15,'27.07 Ndeeba-Lubiri-24h'!M15,'28.07 Ndeeba-Lubiri'!M15)</f>
        <v>176.42857142857142</v>
      </c>
      <c r="N15" s="49">
        <f>AVERAGE('22.07 Ndeeba-Lubiri'!N15,'23.07 Ndeeba-Lubiri'!N15,'24.07 Ndeeba-Lubiri'!N15,'25.07 Ndeeba-Lubiri'!N15,'26.07 Ndeeba-Lubiri-24h'!N15,'27.07 Ndeeba-Lubiri-24h'!N15,'28.07 Ndeeba-Lubiri'!N15)</f>
        <v>0</v>
      </c>
      <c r="O15" s="15">
        <f t="shared" si="0"/>
        <v>151.71428571428569</v>
      </c>
      <c r="P15" s="15">
        <f t="shared" si="1"/>
        <v>328.14285714285711</v>
      </c>
      <c r="R15" s="1" t="s">
        <v>11</v>
      </c>
      <c r="S15" s="17">
        <f t="shared" ref="S15:AF15" si="7">SUM(C30:C33)</f>
        <v>328.71428571428572</v>
      </c>
      <c r="T15" s="17">
        <f t="shared" si="7"/>
        <v>37.142857142857146</v>
      </c>
      <c r="U15" s="17">
        <f t="shared" si="7"/>
        <v>37</v>
      </c>
      <c r="V15" s="17">
        <f t="shared" si="7"/>
        <v>24.428571428571431</v>
      </c>
      <c r="W15" s="17">
        <f t="shared" si="7"/>
        <v>1.1428571428571428</v>
      </c>
      <c r="X15" s="17">
        <f t="shared" si="7"/>
        <v>0</v>
      </c>
      <c r="Y15" s="17">
        <f t="shared" si="7"/>
        <v>18.714285714285715</v>
      </c>
      <c r="Z15" s="17">
        <f t="shared" si="7"/>
        <v>13.571428571428573</v>
      </c>
      <c r="AA15" s="17">
        <f t="shared" si="7"/>
        <v>1</v>
      </c>
      <c r="AB15" s="17">
        <f t="shared" si="7"/>
        <v>3</v>
      </c>
      <c r="AC15" s="17">
        <f t="shared" si="7"/>
        <v>832.28571428571422</v>
      </c>
      <c r="AD15" s="17">
        <f t="shared" si="7"/>
        <v>0</v>
      </c>
      <c r="AE15" s="31">
        <f t="shared" si="7"/>
        <v>464.71428571428572</v>
      </c>
      <c r="AF15" s="31">
        <f t="shared" si="7"/>
        <v>1297</v>
      </c>
    </row>
    <row r="16" spans="2:32" ht="23.1" customHeight="1" x14ac:dyDescent="0.25">
      <c r="B16" s="23" t="s">
        <v>43</v>
      </c>
      <c r="C16" s="49">
        <f>AVERAGE('22.07 Ndeeba-Lubiri'!C16,'23.07 Ndeeba-Lubiri'!C16,'24.07 Ndeeba-Lubiri'!C16,'25.07 Ndeeba-Lubiri'!C16,'26.07 Ndeeba-Lubiri-24h'!C16,'27.07 Ndeeba-Lubiri-24h'!C16,'28.07 Ndeeba-Lubiri'!C16)</f>
        <v>105.57142857142857</v>
      </c>
      <c r="D16" s="49">
        <f>AVERAGE('22.07 Ndeeba-Lubiri'!D16,'23.07 Ndeeba-Lubiri'!D16,'24.07 Ndeeba-Lubiri'!D16,'25.07 Ndeeba-Lubiri'!D16,'26.07 Ndeeba-Lubiri-24h'!D16,'27.07 Ndeeba-Lubiri-24h'!D16,'28.07 Ndeeba-Lubiri'!D16)</f>
        <v>13.571428571428571</v>
      </c>
      <c r="E16" s="49">
        <f>AVERAGE('22.07 Ndeeba-Lubiri'!E16,'23.07 Ndeeba-Lubiri'!E16,'24.07 Ndeeba-Lubiri'!E16,'25.07 Ndeeba-Lubiri'!E16,'26.07 Ndeeba-Lubiri-24h'!E16,'27.07 Ndeeba-Lubiri-24h'!E16,'28.07 Ndeeba-Lubiri'!E16)</f>
        <v>6.8571428571428568</v>
      </c>
      <c r="F16" s="49">
        <f>AVERAGE('22.07 Ndeeba-Lubiri'!F16,'23.07 Ndeeba-Lubiri'!F16,'24.07 Ndeeba-Lubiri'!F16,'25.07 Ndeeba-Lubiri'!F16,'26.07 Ndeeba-Lubiri-24h'!F16,'27.07 Ndeeba-Lubiri-24h'!F16,'28.07 Ndeeba-Lubiri'!F16)</f>
        <v>31.714285714285715</v>
      </c>
      <c r="G16" s="49">
        <f>AVERAGE('22.07 Ndeeba-Lubiri'!G16,'23.07 Ndeeba-Lubiri'!G16,'24.07 Ndeeba-Lubiri'!G16,'25.07 Ndeeba-Lubiri'!G16,'26.07 Ndeeba-Lubiri-24h'!G16,'27.07 Ndeeba-Lubiri-24h'!G16,'28.07 Ndeeba-Lubiri'!G16)</f>
        <v>1</v>
      </c>
      <c r="H16" s="49">
        <f>AVERAGE('22.07 Ndeeba-Lubiri'!H16,'23.07 Ndeeba-Lubiri'!H16,'24.07 Ndeeba-Lubiri'!H16,'25.07 Ndeeba-Lubiri'!H16,'26.07 Ndeeba-Lubiri-24h'!H16,'27.07 Ndeeba-Lubiri-24h'!H16,'28.07 Ndeeba-Lubiri'!H16)</f>
        <v>0.14285714285714285</v>
      </c>
      <c r="I16" s="49">
        <f>AVERAGE('22.07 Ndeeba-Lubiri'!I16,'23.07 Ndeeba-Lubiri'!I16,'24.07 Ndeeba-Lubiri'!I16,'25.07 Ndeeba-Lubiri'!I16,'26.07 Ndeeba-Lubiri-24h'!I16,'27.07 Ndeeba-Lubiri-24h'!I16,'28.07 Ndeeba-Lubiri'!I16)</f>
        <v>4.7142857142857144</v>
      </c>
      <c r="J16" s="49">
        <f>AVERAGE('22.07 Ndeeba-Lubiri'!J16,'23.07 Ndeeba-Lubiri'!J16,'24.07 Ndeeba-Lubiri'!J16,'25.07 Ndeeba-Lubiri'!J16,'26.07 Ndeeba-Lubiri-24h'!J16,'27.07 Ndeeba-Lubiri-24h'!J16,'28.07 Ndeeba-Lubiri'!J16)</f>
        <v>3</v>
      </c>
      <c r="K16" s="49">
        <f>AVERAGE('22.07 Ndeeba-Lubiri'!K16,'23.07 Ndeeba-Lubiri'!K16,'24.07 Ndeeba-Lubiri'!K16,'25.07 Ndeeba-Lubiri'!K16,'26.07 Ndeeba-Lubiri-24h'!K16,'27.07 Ndeeba-Lubiri-24h'!K16,'28.07 Ndeeba-Lubiri'!K16)</f>
        <v>0.42857142857142855</v>
      </c>
      <c r="L16" s="49">
        <f>AVERAGE('22.07 Ndeeba-Lubiri'!L16,'23.07 Ndeeba-Lubiri'!L16,'24.07 Ndeeba-Lubiri'!L16,'25.07 Ndeeba-Lubiri'!L16,'26.07 Ndeeba-Lubiri-24h'!L16,'27.07 Ndeeba-Lubiri-24h'!L16,'28.07 Ndeeba-Lubiri'!L16)</f>
        <v>0.2857142857142857</v>
      </c>
      <c r="M16" s="49">
        <f>AVERAGE('22.07 Ndeeba-Lubiri'!M16,'23.07 Ndeeba-Lubiri'!M16,'24.07 Ndeeba-Lubiri'!M16,'25.07 Ndeeba-Lubiri'!M16,'26.07 Ndeeba-Lubiri-24h'!M16,'27.07 Ndeeba-Lubiri-24h'!M16,'28.07 Ndeeba-Lubiri'!M16)</f>
        <v>204.42857142857142</v>
      </c>
      <c r="N16" s="49">
        <f>AVERAGE('22.07 Ndeeba-Lubiri'!N16,'23.07 Ndeeba-Lubiri'!N16,'24.07 Ndeeba-Lubiri'!N16,'25.07 Ndeeba-Lubiri'!N16,'26.07 Ndeeba-Lubiri-24h'!N16,'27.07 Ndeeba-Lubiri-24h'!N16,'28.07 Ndeeba-Lubiri'!N16)</f>
        <v>0</v>
      </c>
      <c r="O16" s="15">
        <f t="shared" si="0"/>
        <v>167.28571428571428</v>
      </c>
      <c r="P16" s="15">
        <f t="shared" si="1"/>
        <v>371.71428571428567</v>
      </c>
      <c r="R16" s="1" t="s">
        <v>12</v>
      </c>
      <c r="S16" s="17">
        <f t="shared" ref="S16:AF16" si="8">SUM(C34:C37)</f>
        <v>309</v>
      </c>
      <c r="T16" s="17">
        <f t="shared" si="8"/>
        <v>36</v>
      </c>
      <c r="U16" s="17">
        <f t="shared" si="8"/>
        <v>26.714285714285715</v>
      </c>
      <c r="V16" s="17">
        <f t="shared" si="8"/>
        <v>28.142857142857146</v>
      </c>
      <c r="W16" s="17">
        <f t="shared" si="8"/>
        <v>0.42857142857142855</v>
      </c>
      <c r="X16" s="17">
        <f t="shared" si="8"/>
        <v>7.1428571428571432</v>
      </c>
      <c r="Y16" s="17">
        <f t="shared" si="8"/>
        <v>15.142857142857142</v>
      </c>
      <c r="Z16" s="17">
        <f t="shared" si="8"/>
        <v>11.571428571428571</v>
      </c>
      <c r="AA16" s="17">
        <f t="shared" si="8"/>
        <v>2</v>
      </c>
      <c r="AB16" s="17">
        <f t="shared" si="8"/>
        <v>2.0714285714285712</v>
      </c>
      <c r="AC16" s="17">
        <f t="shared" si="8"/>
        <v>792.57142857142856</v>
      </c>
      <c r="AD16" s="17">
        <f t="shared" si="8"/>
        <v>0</v>
      </c>
      <c r="AE16" s="31">
        <f t="shared" si="8"/>
        <v>438.14285714285711</v>
      </c>
      <c r="AF16" s="31">
        <f t="shared" si="8"/>
        <v>1230.7142857142858</v>
      </c>
    </row>
    <row r="17" spans="2:32" ht="23.1" customHeight="1" x14ac:dyDescent="0.25">
      <c r="B17" s="23" t="s">
        <v>44</v>
      </c>
      <c r="C17" s="49">
        <f>AVERAGE('22.07 Ndeeba-Lubiri'!C17,'23.07 Ndeeba-Lubiri'!C17,'24.07 Ndeeba-Lubiri'!C17,'25.07 Ndeeba-Lubiri'!C17,'26.07 Ndeeba-Lubiri-24h'!C17,'27.07 Ndeeba-Lubiri-24h'!C17,'28.07 Ndeeba-Lubiri'!C17)</f>
        <v>117.42857142857143</v>
      </c>
      <c r="D17" s="49">
        <f>AVERAGE('22.07 Ndeeba-Lubiri'!D17,'23.07 Ndeeba-Lubiri'!D17,'24.07 Ndeeba-Lubiri'!D17,'25.07 Ndeeba-Lubiri'!D17,'26.07 Ndeeba-Lubiri-24h'!D17,'27.07 Ndeeba-Lubiri-24h'!D17,'28.07 Ndeeba-Lubiri'!D17)</f>
        <v>6.8571428571428568</v>
      </c>
      <c r="E17" s="49">
        <f>AVERAGE('22.07 Ndeeba-Lubiri'!E17,'23.07 Ndeeba-Lubiri'!E17,'24.07 Ndeeba-Lubiri'!E17,'25.07 Ndeeba-Lubiri'!E17,'26.07 Ndeeba-Lubiri-24h'!E17,'27.07 Ndeeba-Lubiri-24h'!E17,'28.07 Ndeeba-Lubiri'!E17)</f>
        <v>8.2857142857142865</v>
      </c>
      <c r="F17" s="49">
        <f>AVERAGE('22.07 Ndeeba-Lubiri'!F17,'23.07 Ndeeba-Lubiri'!F17,'24.07 Ndeeba-Lubiri'!F17,'25.07 Ndeeba-Lubiri'!F17,'26.07 Ndeeba-Lubiri-24h'!F17,'27.07 Ndeeba-Lubiri-24h'!F17,'28.07 Ndeeba-Lubiri'!F17)</f>
        <v>21.571428571428573</v>
      </c>
      <c r="G17" s="49">
        <f>AVERAGE('22.07 Ndeeba-Lubiri'!G17,'23.07 Ndeeba-Lubiri'!G17,'24.07 Ndeeba-Lubiri'!G17,'25.07 Ndeeba-Lubiri'!G17,'26.07 Ndeeba-Lubiri-24h'!G17,'27.07 Ndeeba-Lubiri-24h'!G17,'28.07 Ndeeba-Lubiri'!G17)</f>
        <v>0.7142857142857143</v>
      </c>
      <c r="H17" s="49">
        <f>AVERAGE('22.07 Ndeeba-Lubiri'!H17,'23.07 Ndeeba-Lubiri'!H17,'24.07 Ndeeba-Lubiri'!H17,'25.07 Ndeeba-Lubiri'!H17,'26.07 Ndeeba-Lubiri-24h'!H17,'27.07 Ndeeba-Lubiri-24h'!H17,'28.07 Ndeeba-Lubiri'!H17)</f>
        <v>0</v>
      </c>
      <c r="I17" s="49">
        <f>AVERAGE('22.07 Ndeeba-Lubiri'!I17,'23.07 Ndeeba-Lubiri'!I17,'24.07 Ndeeba-Lubiri'!I17,'25.07 Ndeeba-Lubiri'!I17,'26.07 Ndeeba-Lubiri-24h'!I17,'27.07 Ndeeba-Lubiri-24h'!I17,'28.07 Ndeeba-Lubiri'!I17)</f>
        <v>3.7142857142857144</v>
      </c>
      <c r="J17" s="49">
        <f>AVERAGE('22.07 Ndeeba-Lubiri'!J17,'23.07 Ndeeba-Lubiri'!J17,'24.07 Ndeeba-Lubiri'!J17,'25.07 Ndeeba-Lubiri'!J17,'26.07 Ndeeba-Lubiri-24h'!J17,'27.07 Ndeeba-Lubiri-24h'!J17,'28.07 Ndeeba-Lubiri'!J17)</f>
        <v>3</v>
      </c>
      <c r="K17" s="49">
        <f>AVERAGE('22.07 Ndeeba-Lubiri'!K17,'23.07 Ndeeba-Lubiri'!K17,'24.07 Ndeeba-Lubiri'!K17,'25.07 Ndeeba-Lubiri'!K17,'26.07 Ndeeba-Lubiri-24h'!K17,'27.07 Ndeeba-Lubiri-24h'!K17,'28.07 Ndeeba-Lubiri'!K17)</f>
        <v>0.2857142857142857</v>
      </c>
      <c r="L17" s="49">
        <f>AVERAGE('22.07 Ndeeba-Lubiri'!L17,'23.07 Ndeeba-Lubiri'!L17,'24.07 Ndeeba-Lubiri'!L17,'25.07 Ndeeba-Lubiri'!L17,'26.07 Ndeeba-Lubiri-24h'!L17,'27.07 Ndeeba-Lubiri-24h'!L17,'28.07 Ndeeba-Lubiri'!L17)</f>
        <v>0.14285714285714285</v>
      </c>
      <c r="M17" s="49">
        <f>AVERAGE('22.07 Ndeeba-Lubiri'!M17,'23.07 Ndeeba-Lubiri'!M17,'24.07 Ndeeba-Lubiri'!M17,'25.07 Ndeeba-Lubiri'!M17,'26.07 Ndeeba-Lubiri-24h'!M17,'27.07 Ndeeba-Lubiri-24h'!M17,'28.07 Ndeeba-Lubiri'!M17)</f>
        <v>214.28571428571428</v>
      </c>
      <c r="N17" s="49">
        <f>AVERAGE('22.07 Ndeeba-Lubiri'!N17,'23.07 Ndeeba-Lubiri'!N17,'24.07 Ndeeba-Lubiri'!N17,'25.07 Ndeeba-Lubiri'!N17,'26.07 Ndeeba-Lubiri-24h'!N17,'27.07 Ndeeba-Lubiri-24h'!N17,'28.07 Ndeeba-Lubiri'!N17)</f>
        <v>0</v>
      </c>
      <c r="O17" s="15">
        <f t="shared" si="0"/>
        <v>162.00000000000003</v>
      </c>
      <c r="P17" s="15">
        <f t="shared" si="1"/>
        <v>376.28571428571433</v>
      </c>
      <c r="R17" s="1" t="s">
        <v>13</v>
      </c>
      <c r="S17" s="17">
        <f t="shared" ref="S17:AF17" si="9">SUM(C38:C41)</f>
        <v>289.71428571428572</v>
      </c>
      <c r="T17" s="17">
        <f t="shared" si="9"/>
        <v>38.714285714285715</v>
      </c>
      <c r="U17" s="17">
        <f t="shared" si="9"/>
        <v>29.714285714285712</v>
      </c>
      <c r="V17" s="17">
        <f t="shared" si="9"/>
        <v>29.142857142857142</v>
      </c>
      <c r="W17" s="17">
        <f t="shared" si="9"/>
        <v>1.5714285714285714</v>
      </c>
      <c r="X17" s="17">
        <f t="shared" si="9"/>
        <v>1.4285714285714286</v>
      </c>
      <c r="Y17" s="17">
        <f t="shared" si="9"/>
        <v>16.285714285714285</v>
      </c>
      <c r="Z17" s="17">
        <f t="shared" si="9"/>
        <v>16</v>
      </c>
      <c r="AA17" s="17">
        <f t="shared" si="9"/>
        <v>4.7142857142857144</v>
      </c>
      <c r="AB17" s="17">
        <f t="shared" si="9"/>
        <v>2.8571428571428568</v>
      </c>
      <c r="AC17" s="17">
        <f t="shared" si="9"/>
        <v>688</v>
      </c>
      <c r="AD17" s="17">
        <f t="shared" si="9"/>
        <v>0.14285714285714285</v>
      </c>
      <c r="AE17" s="31">
        <f t="shared" si="9"/>
        <v>430.28571428571428</v>
      </c>
      <c r="AF17" s="31">
        <f t="shared" si="9"/>
        <v>1118.2857142857142</v>
      </c>
    </row>
    <row r="18" spans="2:32" ht="23.1" customHeight="1" x14ac:dyDescent="0.25">
      <c r="B18" s="23" t="s">
        <v>45</v>
      </c>
      <c r="C18" s="49">
        <f>AVERAGE('22.07 Ndeeba-Lubiri'!C18,'23.07 Ndeeba-Lubiri'!C18,'24.07 Ndeeba-Lubiri'!C18,'25.07 Ndeeba-Lubiri'!C18,'26.07 Ndeeba-Lubiri-24h'!C18,'27.07 Ndeeba-Lubiri-24h'!C18,'28.07 Ndeeba-Lubiri'!C18)</f>
        <v>109.14285714285714</v>
      </c>
      <c r="D18" s="49">
        <f>AVERAGE('22.07 Ndeeba-Lubiri'!D18,'23.07 Ndeeba-Lubiri'!D18,'24.07 Ndeeba-Lubiri'!D18,'25.07 Ndeeba-Lubiri'!D18,'26.07 Ndeeba-Lubiri-24h'!D18,'27.07 Ndeeba-Lubiri-24h'!D18,'28.07 Ndeeba-Lubiri'!D18)</f>
        <v>14</v>
      </c>
      <c r="E18" s="49">
        <f>AVERAGE('22.07 Ndeeba-Lubiri'!E18,'23.07 Ndeeba-Lubiri'!E18,'24.07 Ndeeba-Lubiri'!E18,'25.07 Ndeeba-Lubiri'!E18,'26.07 Ndeeba-Lubiri-24h'!E18,'27.07 Ndeeba-Lubiri-24h'!E18,'28.07 Ndeeba-Lubiri'!E18)</f>
        <v>6.7142857142857144</v>
      </c>
      <c r="F18" s="49">
        <f>AVERAGE('22.07 Ndeeba-Lubiri'!F18,'23.07 Ndeeba-Lubiri'!F18,'24.07 Ndeeba-Lubiri'!F18,'25.07 Ndeeba-Lubiri'!F18,'26.07 Ndeeba-Lubiri-24h'!F18,'27.07 Ndeeba-Lubiri-24h'!F18,'28.07 Ndeeba-Lubiri'!F18)</f>
        <v>23.571428571428573</v>
      </c>
      <c r="G18" s="49">
        <f>AVERAGE('22.07 Ndeeba-Lubiri'!G18,'23.07 Ndeeba-Lubiri'!G18,'24.07 Ndeeba-Lubiri'!G18,'25.07 Ndeeba-Lubiri'!G18,'26.07 Ndeeba-Lubiri-24h'!G18,'27.07 Ndeeba-Lubiri-24h'!G18,'28.07 Ndeeba-Lubiri'!G18)</f>
        <v>0.42857142857142855</v>
      </c>
      <c r="H18" s="49">
        <f>AVERAGE('22.07 Ndeeba-Lubiri'!H18,'23.07 Ndeeba-Lubiri'!H18,'24.07 Ndeeba-Lubiri'!H18,'25.07 Ndeeba-Lubiri'!H18,'26.07 Ndeeba-Lubiri-24h'!H18,'27.07 Ndeeba-Lubiri-24h'!H18,'28.07 Ndeeba-Lubiri'!H18)</f>
        <v>0.14285714285714285</v>
      </c>
      <c r="I18" s="49">
        <f>AVERAGE('22.07 Ndeeba-Lubiri'!I18,'23.07 Ndeeba-Lubiri'!I18,'24.07 Ndeeba-Lubiri'!I18,'25.07 Ndeeba-Lubiri'!I18,'26.07 Ndeeba-Lubiri-24h'!I18,'27.07 Ndeeba-Lubiri-24h'!I18,'28.07 Ndeeba-Lubiri'!I18)</f>
        <v>4.8571428571428568</v>
      </c>
      <c r="J18" s="49">
        <f>AVERAGE('22.07 Ndeeba-Lubiri'!J18,'23.07 Ndeeba-Lubiri'!J18,'24.07 Ndeeba-Lubiri'!J18,'25.07 Ndeeba-Lubiri'!J18,'26.07 Ndeeba-Lubiri-24h'!J18,'27.07 Ndeeba-Lubiri-24h'!J18,'28.07 Ndeeba-Lubiri'!J18)</f>
        <v>1.1428571428571428</v>
      </c>
      <c r="K18" s="49">
        <f>AVERAGE('22.07 Ndeeba-Lubiri'!K18,'23.07 Ndeeba-Lubiri'!K18,'24.07 Ndeeba-Lubiri'!K18,'25.07 Ndeeba-Lubiri'!K18,'26.07 Ndeeba-Lubiri-24h'!K18,'27.07 Ndeeba-Lubiri-24h'!K18,'28.07 Ndeeba-Lubiri'!K18)</f>
        <v>0.42857142857142855</v>
      </c>
      <c r="L18" s="49">
        <f>AVERAGE('22.07 Ndeeba-Lubiri'!L18,'23.07 Ndeeba-Lubiri'!L18,'24.07 Ndeeba-Lubiri'!L18,'25.07 Ndeeba-Lubiri'!L18,'26.07 Ndeeba-Lubiri-24h'!L18,'27.07 Ndeeba-Lubiri-24h'!L18,'28.07 Ndeeba-Lubiri'!L18)</f>
        <v>0.2857142857142857</v>
      </c>
      <c r="M18" s="49">
        <f>AVERAGE('22.07 Ndeeba-Lubiri'!M18,'23.07 Ndeeba-Lubiri'!M18,'24.07 Ndeeba-Lubiri'!M18,'25.07 Ndeeba-Lubiri'!M18,'26.07 Ndeeba-Lubiri-24h'!M18,'27.07 Ndeeba-Lubiri-24h'!M18,'28.07 Ndeeba-Lubiri'!M18)</f>
        <v>225</v>
      </c>
      <c r="N18" s="49">
        <f>AVERAGE('22.07 Ndeeba-Lubiri'!N18,'23.07 Ndeeba-Lubiri'!N18,'24.07 Ndeeba-Lubiri'!N18,'25.07 Ndeeba-Lubiri'!N18,'26.07 Ndeeba-Lubiri-24h'!N18,'27.07 Ndeeba-Lubiri-24h'!N18,'28.07 Ndeeba-Lubiri'!N18)</f>
        <v>0</v>
      </c>
      <c r="O18" s="15">
        <f t="shared" si="0"/>
        <v>160.71428571428569</v>
      </c>
      <c r="P18" s="15">
        <f t="shared" si="1"/>
        <v>385.71428571428567</v>
      </c>
      <c r="R18" s="1" t="s">
        <v>14</v>
      </c>
      <c r="S18" s="17">
        <f t="shared" ref="S18:AF18" si="10">SUM(C42:C45)</f>
        <v>294</v>
      </c>
      <c r="T18" s="17">
        <f t="shared" si="10"/>
        <v>32.142857142857139</v>
      </c>
      <c r="U18" s="17">
        <f t="shared" si="10"/>
        <v>35.285714285714285</v>
      </c>
      <c r="V18" s="17">
        <f t="shared" si="10"/>
        <v>22.571428571428573</v>
      </c>
      <c r="W18" s="17">
        <f t="shared" si="10"/>
        <v>0.99999999999999989</v>
      </c>
      <c r="X18" s="17">
        <f t="shared" si="10"/>
        <v>0.14285714285714285</v>
      </c>
      <c r="Y18" s="17">
        <f t="shared" si="10"/>
        <v>16.428571428571427</v>
      </c>
      <c r="Z18" s="17">
        <f t="shared" si="10"/>
        <v>11.571428571428571</v>
      </c>
      <c r="AA18" s="17">
        <f t="shared" si="10"/>
        <v>1.5714285714285712</v>
      </c>
      <c r="AB18" s="17">
        <f t="shared" si="10"/>
        <v>1.8571428571428572</v>
      </c>
      <c r="AC18" s="17">
        <f t="shared" si="10"/>
        <v>631</v>
      </c>
      <c r="AD18" s="17">
        <f t="shared" si="10"/>
        <v>0</v>
      </c>
      <c r="AE18" s="31">
        <f t="shared" si="10"/>
        <v>416.57142857142856</v>
      </c>
      <c r="AF18" s="31">
        <f t="shared" si="10"/>
        <v>1047.5714285714287</v>
      </c>
    </row>
    <row r="19" spans="2:32" ht="23.1" customHeight="1" x14ac:dyDescent="0.25">
      <c r="B19" s="23" t="s">
        <v>46</v>
      </c>
      <c r="C19" s="49">
        <f>AVERAGE('22.07 Ndeeba-Lubiri'!C19,'23.07 Ndeeba-Lubiri'!C19,'24.07 Ndeeba-Lubiri'!C19,'25.07 Ndeeba-Lubiri'!C19,'26.07 Ndeeba-Lubiri-24h'!C19,'27.07 Ndeeba-Lubiri-24h'!C19,'28.07 Ndeeba-Lubiri'!C19)</f>
        <v>98.571428571428569</v>
      </c>
      <c r="D19" s="49">
        <f>AVERAGE('22.07 Ndeeba-Lubiri'!D19,'23.07 Ndeeba-Lubiri'!D19,'24.07 Ndeeba-Lubiri'!D19,'25.07 Ndeeba-Lubiri'!D19,'26.07 Ndeeba-Lubiri-24h'!D19,'27.07 Ndeeba-Lubiri-24h'!D19,'28.07 Ndeeba-Lubiri'!D19)</f>
        <v>11.571428571428571</v>
      </c>
      <c r="E19" s="49">
        <f>AVERAGE('22.07 Ndeeba-Lubiri'!E19,'23.07 Ndeeba-Lubiri'!E19,'24.07 Ndeeba-Lubiri'!E19,'25.07 Ndeeba-Lubiri'!E19,'26.07 Ndeeba-Lubiri-24h'!E19,'27.07 Ndeeba-Lubiri-24h'!E19,'28.07 Ndeeba-Lubiri'!E19)</f>
        <v>9</v>
      </c>
      <c r="F19" s="49">
        <f>AVERAGE('22.07 Ndeeba-Lubiri'!F19,'23.07 Ndeeba-Lubiri'!F19,'24.07 Ndeeba-Lubiri'!F19,'25.07 Ndeeba-Lubiri'!F19,'26.07 Ndeeba-Lubiri-24h'!F19,'27.07 Ndeeba-Lubiri-24h'!F19,'28.07 Ndeeba-Lubiri'!F19)</f>
        <v>13.857142857142858</v>
      </c>
      <c r="G19" s="49">
        <f>AVERAGE('22.07 Ndeeba-Lubiri'!G19,'23.07 Ndeeba-Lubiri'!G19,'24.07 Ndeeba-Lubiri'!G19,'25.07 Ndeeba-Lubiri'!G19,'26.07 Ndeeba-Lubiri-24h'!G19,'27.07 Ndeeba-Lubiri-24h'!G19,'28.07 Ndeeba-Lubiri'!G19)</f>
        <v>0.2857142857142857</v>
      </c>
      <c r="H19" s="49">
        <f>AVERAGE('22.07 Ndeeba-Lubiri'!H19,'23.07 Ndeeba-Lubiri'!H19,'24.07 Ndeeba-Lubiri'!H19,'25.07 Ndeeba-Lubiri'!H19,'26.07 Ndeeba-Lubiri-24h'!H19,'27.07 Ndeeba-Lubiri-24h'!H19,'28.07 Ndeeba-Lubiri'!H19)</f>
        <v>0</v>
      </c>
      <c r="I19" s="49">
        <f>AVERAGE('22.07 Ndeeba-Lubiri'!I19,'23.07 Ndeeba-Lubiri'!I19,'24.07 Ndeeba-Lubiri'!I19,'25.07 Ndeeba-Lubiri'!I19,'26.07 Ndeeba-Lubiri-24h'!I19,'27.07 Ndeeba-Lubiri-24h'!I19,'28.07 Ndeeba-Lubiri'!I19)</f>
        <v>6.1428571428571432</v>
      </c>
      <c r="J19" s="49">
        <f>AVERAGE('22.07 Ndeeba-Lubiri'!J19,'23.07 Ndeeba-Lubiri'!J19,'24.07 Ndeeba-Lubiri'!J19,'25.07 Ndeeba-Lubiri'!J19,'26.07 Ndeeba-Lubiri-24h'!J19,'27.07 Ndeeba-Lubiri-24h'!J19,'28.07 Ndeeba-Lubiri'!J19)</f>
        <v>3.8571428571428572</v>
      </c>
      <c r="K19" s="49">
        <f>AVERAGE('22.07 Ndeeba-Lubiri'!K19,'23.07 Ndeeba-Lubiri'!K19,'24.07 Ndeeba-Lubiri'!K19,'25.07 Ndeeba-Lubiri'!K19,'26.07 Ndeeba-Lubiri-24h'!K19,'27.07 Ndeeba-Lubiri-24h'!K19,'28.07 Ndeeba-Lubiri'!K19)</f>
        <v>0.14285714285714285</v>
      </c>
      <c r="L19" s="49">
        <f>AVERAGE('22.07 Ndeeba-Lubiri'!L19,'23.07 Ndeeba-Lubiri'!L19,'24.07 Ndeeba-Lubiri'!L19,'25.07 Ndeeba-Lubiri'!L19,'26.07 Ndeeba-Lubiri-24h'!L19,'27.07 Ndeeba-Lubiri-24h'!L19,'28.07 Ndeeba-Lubiri'!L19)</f>
        <v>0.42857142857142855</v>
      </c>
      <c r="M19" s="49">
        <f>AVERAGE('22.07 Ndeeba-Lubiri'!M19,'23.07 Ndeeba-Lubiri'!M19,'24.07 Ndeeba-Lubiri'!M19,'25.07 Ndeeba-Lubiri'!M19,'26.07 Ndeeba-Lubiri-24h'!M19,'27.07 Ndeeba-Lubiri-24h'!M19,'28.07 Ndeeba-Lubiri'!M19)</f>
        <v>203.57142857142858</v>
      </c>
      <c r="N19" s="49">
        <f>AVERAGE('22.07 Ndeeba-Lubiri'!N19,'23.07 Ndeeba-Lubiri'!N19,'24.07 Ndeeba-Lubiri'!N19,'25.07 Ndeeba-Lubiri'!N19,'26.07 Ndeeba-Lubiri-24h'!N19,'27.07 Ndeeba-Lubiri-24h'!N19,'28.07 Ndeeba-Lubiri'!N19)</f>
        <v>0</v>
      </c>
      <c r="O19" s="15">
        <f t="shared" si="0"/>
        <v>143.85714285714283</v>
      </c>
      <c r="P19" s="15">
        <f t="shared" si="1"/>
        <v>347.42857142857144</v>
      </c>
      <c r="R19" s="1" t="s">
        <v>15</v>
      </c>
      <c r="S19" s="17">
        <f t="shared" ref="S19:AF19" si="11">SUM(C46:C49)</f>
        <v>309.71428571428572</v>
      </c>
      <c r="T19" s="17">
        <f t="shared" si="11"/>
        <v>36</v>
      </c>
      <c r="U19" s="17">
        <f t="shared" si="11"/>
        <v>28.571428571428569</v>
      </c>
      <c r="V19" s="17">
        <f t="shared" si="11"/>
        <v>32.142857142857146</v>
      </c>
      <c r="W19" s="17">
        <f t="shared" si="11"/>
        <v>1.7142857142857142</v>
      </c>
      <c r="X19" s="17">
        <f t="shared" si="11"/>
        <v>1.1428571428571428</v>
      </c>
      <c r="Y19" s="17">
        <f t="shared" si="11"/>
        <v>15.714285714285715</v>
      </c>
      <c r="Z19" s="17">
        <f t="shared" si="11"/>
        <v>13.285714285714285</v>
      </c>
      <c r="AA19" s="17">
        <f t="shared" si="11"/>
        <v>1.7142857142857142</v>
      </c>
      <c r="AB19" s="17">
        <f t="shared" si="11"/>
        <v>1.4285714285714284</v>
      </c>
      <c r="AC19" s="17">
        <f t="shared" si="11"/>
        <v>706.14285714285711</v>
      </c>
      <c r="AD19" s="17">
        <f t="shared" si="11"/>
        <v>0.2857142857142857</v>
      </c>
      <c r="AE19" s="31">
        <f t="shared" si="11"/>
        <v>441.71428571428572</v>
      </c>
      <c r="AF19" s="31">
        <f t="shared" si="11"/>
        <v>1147.8571428571429</v>
      </c>
    </row>
    <row r="20" spans="2:32" ht="23.1" customHeight="1" x14ac:dyDescent="0.25">
      <c r="B20" s="23" t="s">
        <v>47</v>
      </c>
      <c r="C20" s="49">
        <f>AVERAGE('22.07 Ndeeba-Lubiri'!C20,'23.07 Ndeeba-Lubiri'!C20,'24.07 Ndeeba-Lubiri'!C20,'25.07 Ndeeba-Lubiri'!C20,'26.07 Ndeeba-Lubiri-24h'!C20,'27.07 Ndeeba-Lubiri-24h'!C20,'28.07 Ndeeba-Lubiri'!C20)</f>
        <v>105.57142857142857</v>
      </c>
      <c r="D20" s="49">
        <f>AVERAGE('22.07 Ndeeba-Lubiri'!D20,'23.07 Ndeeba-Lubiri'!D20,'24.07 Ndeeba-Lubiri'!D20,'25.07 Ndeeba-Lubiri'!D20,'26.07 Ndeeba-Lubiri-24h'!D20,'27.07 Ndeeba-Lubiri-24h'!D20,'28.07 Ndeeba-Lubiri'!D20)</f>
        <v>5.1428571428571432</v>
      </c>
      <c r="E20" s="49">
        <f>AVERAGE('22.07 Ndeeba-Lubiri'!E20,'23.07 Ndeeba-Lubiri'!E20,'24.07 Ndeeba-Lubiri'!E20,'25.07 Ndeeba-Lubiri'!E20,'26.07 Ndeeba-Lubiri-24h'!E20,'27.07 Ndeeba-Lubiri-24h'!E20,'28.07 Ndeeba-Lubiri'!E20)</f>
        <v>5.2857142857142856</v>
      </c>
      <c r="F20" s="49">
        <f>AVERAGE('22.07 Ndeeba-Lubiri'!F20,'23.07 Ndeeba-Lubiri'!F20,'24.07 Ndeeba-Lubiri'!F20,'25.07 Ndeeba-Lubiri'!F20,'26.07 Ndeeba-Lubiri-24h'!F20,'27.07 Ndeeba-Lubiri-24h'!F20,'28.07 Ndeeba-Lubiri'!F20)</f>
        <v>11.142857142857142</v>
      </c>
      <c r="G20" s="49">
        <f>AVERAGE('22.07 Ndeeba-Lubiri'!G20,'23.07 Ndeeba-Lubiri'!G20,'24.07 Ndeeba-Lubiri'!G20,'25.07 Ndeeba-Lubiri'!G20,'26.07 Ndeeba-Lubiri-24h'!G20,'27.07 Ndeeba-Lubiri-24h'!G20,'28.07 Ndeeba-Lubiri'!G20)</f>
        <v>0.2857142857142857</v>
      </c>
      <c r="H20" s="49">
        <f>AVERAGE('22.07 Ndeeba-Lubiri'!H20,'23.07 Ndeeba-Lubiri'!H20,'24.07 Ndeeba-Lubiri'!H20,'25.07 Ndeeba-Lubiri'!H20,'26.07 Ndeeba-Lubiri-24h'!H20,'27.07 Ndeeba-Lubiri-24h'!H20,'28.07 Ndeeba-Lubiri'!H20)</f>
        <v>0</v>
      </c>
      <c r="I20" s="49">
        <f>AVERAGE('22.07 Ndeeba-Lubiri'!I20,'23.07 Ndeeba-Lubiri'!I20,'24.07 Ndeeba-Lubiri'!I20,'25.07 Ndeeba-Lubiri'!I20,'26.07 Ndeeba-Lubiri-24h'!I20,'27.07 Ndeeba-Lubiri-24h'!I20,'28.07 Ndeeba-Lubiri'!I20)</f>
        <v>4.4285714285714288</v>
      </c>
      <c r="J20" s="49">
        <f>AVERAGE('22.07 Ndeeba-Lubiri'!J20,'23.07 Ndeeba-Lubiri'!J20,'24.07 Ndeeba-Lubiri'!J20,'25.07 Ndeeba-Lubiri'!J20,'26.07 Ndeeba-Lubiri-24h'!J20,'27.07 Ndeeba-Lubiri-24h'!J20,'28.07 Ndeeba-Lubiri'!J20)</f>
        <v>2.4285714285714284</v>
      </c>
      <c r="K20" s="49">
        <f>AVERAGE('22.07 Ndeeba-Lubiri'!K20,'23.07 Ndeeba-Lubiri'!K20,'24.07 Ndeeba-Lubiri'!K20,'25.07 Ndeeba-Lubiri'!K20,'26.07 Ndeeba-Lubiri-24h'!K20,'27.07 Ndeeba-Lubiri-24h'!K20,'28.07 Ndeeba-Lubiri'!K20)</f>
        <v>0.7142857142857143</v>
      </c>
      <c r="L20" s="49">
        <f>AVERAGE('22.07 Ndeeba-Lubiri'!L20,'23.07 Ndeeba-Lubiri'!L20,'24.07 Ndeeba-Lubiri'!L20,'25.07 Ndeeba-Lubiri'!L20,'26.07 Ndeeba-Lubiri-24h'!L20,'27.07 Ndeeba-Lubiri-24h'!L20,'28.07 Ndeeba-Lubiri'!L20)</f>
        <v>0.42857142857142855</v>
      </c>
      <c r="M20" s="49">
        <f>AVERAGE('22.07 Ndeeba-Lubiri'!M20,'23.07 Ndeeba-Lubiri'!M20,'24.07 Ndeeba-Lubiri'!M20,'25.07 Ndeeba-Lubiri'!M20,'26.07 Ndeeba-Lubiri-24h'!M20,'27.07 Ndeeba-Lubiri-24h'!M20,'28.07 Ndeeba-Lubiri'!M20)</f>
        <v>198</v>
      </c>
      <c r="N20" s="49">
        <f>AVERAGE('22.07 Ndeeba-Lubiri'!N20,'23.07 Ndeeba-Lubiri'!N20,'24.07 Ndeeba-Lubiri'!N20,'25.07 Ndeeba-Lubiri'!N20,'26.07 Ndeeba-Lubiri-24h'!N20,'27.07 Ndeeba-Lubiri-24h'!N20,'28.07 Ndeeba-Lubiri'!N20)</f>
        <v>0</v>
      </c>
      <c r="O20" s="15">
        <f t="shared" si="0"/>
        <v>135.42857142857142</v>
      </c>
      <c r="P20" s="15">
        <f t="shared" si="1"/>
        <v>333.42857142857144</v>
      </c>
      <c r="R20" s="1" t="s">
        <v>16</v>
      </c>
      <c r="S20" s="17">
        <f t="shared" ref="S20:AF20" si="12">SUM(C50:C53)</f>
        <v>355.85714285714289</v>
      </c>
      <c r="T20" s="17">
        <f t="shared" si="12"/>
        <v>34.142857142857139</v>
      </c>
      <c r="U20" s="17">
        <f t="shared" si="12"/>
        <v>33.857142857142861</v>
      </c>
      <c r="V20" s="17">
        <f t="shared" si="12"/>
        <v>34.571428571428569</v>
      </c>
      <c r="W20" s="17">
        <f t="shared" si="12"/>
        <v>1.9999999999999998</v>
      </c>
      <c r="X20" s="17">
        <f t="shared" si="12"/>
        <v>0.14285714285714285</v>
      </c>
      <c r="Y20" s="17">
        <f t="shared" si="12"/>
        <v>18.714285714285715</v>
      </c>
      <c r="Z20" s="17">
        <f t="shared" si="12"/>
        <v>12.571428571428571</v>
      </c>
      <c r="AA20" s="17">
        <f t="shared" si="12"/>
        <v>2.1428571428571428</v>
      </c>
      <c r="AB20" s="17">
        <f t="shared" si="12"/>
        <v>1.6428571428571428</v>
      </c>
      <c r="AC20" s="17">
        <f t="shared" si="12"/>
        <v>794.71428571428578</v>
      </c>
      <c r="AD20" s="17">
        <f t="shared" si="12"/>
        <v>0</v>
      </c>
      <c r="AE20" s="31">
        <f t="shared" si="12"/>
        <v>495.57142857142856</v>
      </c>
      <c r="AF20" s="31">
        <f t="shared" si="12"/>
        <v>1290.2857142857142</v>
      </c>
    </row>
    <row r="21" spans="2:32" ht="23.1" customHeight="1" x14ac:dyDescent="0.25">
      <c r="B21" s="23" t="s">
        <v>48</v>
      </c>
      <c r="C21" s="49">
        <f>AVERAGE('22.07 Ndeeba-Lubiri'!C21,'23.07 Ndeeba-Lubiri'!C21,'24.07 Ndeeba-Lubiri'!C21,'25.07 Ndeeba-Lubiri'!C21,'26.07 Ndeeba-Lubiri-24h'!C21,'27.07 Ndeeba-Lubiri-24h'!C21,'28.07 Ndeeba-Lubiri'!C21)</f>
        <v>98.285714285714292</v>
      </c>
      <c r="D21" s="49">
        <f>AVERAGE('22.07 Ndeeba-Lubiri'!D21,'23.07 Ndeeba-Lubiri'!D21,'24.07 Ndeeba-Lubiri'!D21,'25.07 Ndeeba-Lubiri'!D21,'26.07 Ndeeba-Lubiri-24h'!D21,'27.07 Ndeeba-Lubiri-24h'!D21,'28.07 Ndeeba-Lubiri'!D21)</f>
        <v>13.571428571428571</v>
      </c>
      <c r="E21" s="49">
        <f>AVERAGE('22.07 Ndeeba-Lubiri'!E21,'23.07 Ndeeba-Lubiri'!E21,'24.07 Ndeeba-Lubiri'!E21,'25.07 Ndeeba-Lubiri'!E21,'26.07 Ndeeba-Lubiri-24h'!E21,'27.07 Ndeeba-Lubiri-24h'!E21,'28.07 Ndeeba-Lubiri'!E21)</f>
        <v>7.2857142857142856</v>
      </c>
      <c r="F21" s="49">
        <f>AVERAGE('22.07 Ndeeba-Lubiri'!F21,'23.07 Ndeeba-Lubiri'!F21,'24.07 Ndeeba-Lubiri'!F21,'25.07 Ndeeba-Lubiri'!F21,'26.07 Ndeeba-Lubiri-24h'!F21,'27.07 Ndeeba-Lubiri-24h'!F21,'28.07 Ndeeba-Lubiri'!F21)</f>
        <v>13.714285714285714</v>
      </c>
      <c r="G21" s="49">
        <f>AVERAGE('22.07 Ndeeba-Lubiri'!G21,'23.07 Ndeeba-Lubiri'!G21,'24.07 Ndeeba-Lubiri'!G21,'25.07 Ndeeba-Lubiri'!G21,'26.07 Ndeeba-Lubiri-24h'!G21,'27.07 Ndeeba-Lubiri-24h'!G21,'28.07 Ndeeba-Lubiri'!G21)</f>
        <v>0</v>
      </c>
      <c r="H21" s="49">
        <f>AVERAGE('22.07 Ndeeba-Lubiri'!H21,'23.07 Ndeeba-Lubiri'!H21,'24.07 Ndeeba-Lubiri'!H21,'25.07 Ndeeba-Lubiri'!H21,'26.07 Ndeeba-Lubiri-24h'!H21,'27.07 Ndeeba-Lubiri-24h'!H21,'28.07 Ndeeba-Lubiri'!H21)</f>
        <v>0</v>
      </c>
      <c r="I21" s="49">
        <f>AVERAGE('22.07 Ndeeba-Lubiri'!I21,'23.07 Ndeeba-Lubiri'!I21,'24.07 Ndeeba-Lubiri'!I21,'25.07 Ndeeba-Lubiri'!I21,'26.07 Ndeeba-Lubiri-24h'!I21,'27.07 Ndeeba-Lubiri-24h'!I21,'28.07 Ndeeba-Lubiri'!I21)</f>
        <v>7</v>
      </c>
      <c r="J21" s="49">
        <f>AVERAGE('22.07 Ndeeba-Lubiri'!J21,'23.07 Ndeeba-Lubiri'!J21,'24.07 Ndeeba-Lubiri'!J21,'25.07 Ndeeba-Lubiri'!J21,'26.07 Ndeeba-Lubiri-24h'!J21,'27.07 Ndeeba-Lubiri-24h'!J21,'28.07 Ndeeba-Lubiri'!J21)</f>
        <v>2.4285714285714284</v>
      </c>
      <c r="K21" s="49">
        <f>AVERAGE('22.07 Ndeeba-Lubiri'!K21,'23.07 Ndeeba-Lubiri'!K21,'24.07 Ndeeba-Lubiri'!K21,'25.07 Ndeeba-Lubiri'!K21,'26.07 Ndeeba-Lubiri-24h'!K21,'27.07 Ndeeba-Lubiri-24h'!K21,'28.07 Ndeeba-Lubiri'!K21)</f>
        <v>0.8571428571428571</v>
      </c>
      <c r="L21" s="49">
        <f>AVERAGE('22.07 Ndeeba-Lubiri'!L21,'23.07 Ndeeba-Lubiri'!L21,'24.07 Ndeeba-Lubiri'!L21,'25.07 Ndeeba-Lubiri'!L21,'26.07 Ndeeba-Lubiri-24h'!L21,'27.07 Ndeeba-Lubiri-24h'!L21,'28.07 Ndeeba-Lubiri'!L21)</f>
        <v>0.42857142857142855</v>
      </c>
      <c r="M21" s="49">
        <f>AVERAGE('22.07 Ndeeba-Lubiri'!M21,'23.07 Ndeeba-Lubiri'!M21,'24.07 Ndeeba-Lubiri'!M21,'25.07 Ndeeba-Lubiri'!M21,'26.07 Ndeeba-Lubiri-24h'!M21,'27.07 Ndeeba-Lubiri-24h'!M21,'28.07 Ndeeba-Lubiri'!M21)</f>
        <v>208.28571428571428</v>
      </c>
      <c r="N21" s="49">
        <f>AVERAGE('22.07 Ndeeba-Lubiri'!N21,'23.07 Ndeeba-Lubiri'!N21,'24.07 Ndeeba-Lubiri'!N21,'25.07 Ndeeba-Lubiri'!N21,'26.07 Ndeeba-Lubiri-24h'!N21,'27.07 Ndeeba-Lubiri-24h'!N21,'28.07 Ndeeba-Lubiri'!N21)</f>
        <v>0</v>
      </c>
      <c r="O21" s="15">
        <f t="shared" si="0"/>
        <v>143.57142857142856</v>
      </c>
      <c r="P21" s="15">
        <f t="shared" si="1"/>
        <v>351.85714285714283</v>
      </c>
      <c r="R21" s="36" t="s">
        <v>20</v>
      </c>
      <c r="S21" s="34">
        <f t="shared" ref="S21:AF21" si="13">SUM(C54:C57)</f>
        <v>386.28571428571433</v>
      </c>
      <c r="T21" s="17">
        <f t="shared" si="13"/>
        <v>33.428571428571431</v>
      </c>
      <c r="U21" s="17">
        <f t="shared" si="13"/>
        <v>27</v>
      </c>
      <c r="V21" s="17">
        <f t="shared" si="13"/>
        <v>56.142857142857139</v>
      </c>
      <c r="W21" s="17">
        <f t="shared" si="13"/>
        <v>4.2857142857142856</v>
      </c>
      <c r="X21" s="17">
        <f t="shared" si="13"/>
        <v>1.5714285714285714</v>
      </c>
      <c r="Y21" s="17">
        <f t="shared" si="13"/>
        <v>15.428571428571427</v>
      </c>
      <c r="Z21" s="17">
        <f t="shared" si="13"/>
        <v>19.142857142857142</v>
      </c>
      <c r="AA21" s="17">
        <f t="shared" si="13"/>
        <v>2.4285714285714284</v>
      </c>
      <c r="AB21" s="17">
        <f t="shared" si="13"/>
        <v>2.2857142857142856</v>
      </c>
      <c r="AC21" s="17">
        <f t="shared" si="13"/>
        <v>817.28571428571433</v>
      </c>
      <c r="AD21" s="17">
        <f t="shared" si="13"/>
        <v>0.2857142857142857</v>
      </c>
      <c r="AE21" s="31">
        <f t="shared" si="13"/>
        <v>548.28571428571422</v>
      </c>
      <c r="AF21" s="31">
        <f t="shared" si="13"/>
        <v>1365.5714285714284</v>
      </c>
    </row>
    <row r="22" spans="2:32" ht="23.1" customHeight="1" x14ac:dyDescent="0.25">
      <c r="B22" s="23" t="s">
        <v>49</v>
      </c>
      <c r="C22" s="49">
        <f>AVERAGE('22.07 Ndeeba-Lubiri'!C22,'23.07 Ndeeba-Lubiri'!C22,'24.07 Ndeeba-Lubiri'!C22,'25.07 Ndeeba-Lubiri'!C22,'26.07 Ndeeba-Lubiri-24h'!C22,'27.07 Ndeeba-Lubiri-24h'!C22,'28.07 Ndeeba-Lubiri'!C22)</f>
        <v>95.714285714285708</v>
      </c>
      <c r="D22" s="49">
        <f>AVERAGE('22.07 Ndeeba-Lubiri'!D22,'23.07 Ndeeba-Lubiri'!D22,'24.07 Ndeeba-Lubiri'!D22,'25.07 Ndeeba-Lubiri'!D22,'26.07 Ndeeba-Lubiri-24h'!D22,'27.07 Ndeeba-Lubiri-24h'!D22,'28.07 Ndeeba-Lubiri'!D22)</f>
        <v>7.8571428571428568</v>
      </c>
      <c r="E22" s="49">
        <f>AVERAGE('22.07 Ndeeba-Lubiri'!E22,'23.07 Ndeeba-Lubiri'!E22,'24.07 Ndeeba-Lubiri'!E22,'25.07 Ndeeba-Lubiri'!E22,'26.07 Ndeeba-Lubiri-24h'!E22,'27.07 Ndeeba-Lubiri-24h'!E22,'28.07 Ndeeba-Lubiri'!E22)</f>
        <v>6.4285714285714288</v>
      </c>
      <c r="F22" s="49">
        <f>AVERAGE('22.07 Ndeeba-Lubiri'!F22,'23.07 Ndeeba-Lubiri'!F22,'24.07 Ndeeba-Lubiri'!F22,'25.07 Ndeeba-Lubiri'!F22,'26.07 Ndeeba-Lubiri-24h'!F22,'27.07 Ndeeba-Lubiri-24h'!F22,'28.07 Ndeeba-Lubiri'!F22)</f>
        <v>7.2857142857142856</v>
      </c>
      <c r="G22" s="49">
        <f>AVERAGE('22.07 Ndeeba-Lubiri'!G22,'23.07 Ndeeba-Lubiri'!G22,'24.07 Ndeeba-Lubiri'!G22,'25.07 Ndeeba-Lubiri'!G22,'26.07 Ndeeba-Lubiri-24h'!G22,'27.07 Ndeeba-Lubiri-24h'!G22,'28.07 Ndeeba-Lubiri'!G22)</f>
        <v>1.1428571428571428</v>
      </c>
      <c r="H22" s="49">
        <f>AVERAGE('22.07 Ndeeba-Lubiri'!H22,'23.07 Ndeeba-Lubiri'!H22,'24.07 Ndeeba-Lubiri'!H22,'25.07 Ndeeba-Lubiri'!H22,'26.07 Ndeeba-Lubiri-24h'!H22,'27.07 Ndeeba-Lubiri-24h'!H22,'28.07 Ndeeba-Lubiri'!H22)</f>
        <v>0</v>
      </c>
      <c r="I22" s="49">
        <f>AVERAGE('22.07 Ndeeba-Lubiri'!I22,'23.07 Ndeeba-Lubiri'!I22,'24.07 Ndeeba-Lubiri'!I22,'25.07 Ndeeba-Lubiri'!I22,'26.07 Ndeeba-Lubiri-24h'!I22,'27.07 Ndeeba-Lubiri-24h'!I22,'28.07 Ndeeba-Lubiri'!I22)</f>
        <v>6.1428571428571432</v>
      </c>
      <c r="J22" s="49">
        <f>AVERAGE('22.07 Ndeeba-Lubiri'!J22,'23.07 Ndeeba-Lubiri'!J22,'24.07 Ndeeba-Lubiri'!J22,'25.07 Ndeeba-Lubiri'!J22,'26.07 Ndeeba-Lubiri-24h'!J22,'27.07 Ndeeba-Lubiri-24h'!J22,'28.07 Ndeeba-Lubiri'!J22)</f>
        <v>1.2857142857142858</v>
      </c>
      <c r="K22" s="49">
        <f>AVERAGE('22.07 Ndeeba-Lubiri'!K22,'23.07 Ndeeba-Lubiri'!K22,'24.07 Ndeeba-Lubiri'!K22,'25.07 Ndeeba-Lubiri'!K22,'26.07 Ndeeba-Lubiri-24h'!K22,'27.07 Ndeeba-Lubiri-24h'!K22,'28.07 Ndeeba-Lubiri'!K22)</f>
        <v>0.8571428571428571</v>
      </c>
      <c r="L22" s="49">
        <f>AVERAGE('22.07 Ndeeba-Lubiri'!L22,'23.07 Ndeeba-Lubiri'!L22,'24.07 Ndeeba-Lubiri'!L22,'25.07 Ndeeba-Lubiri'!L22,'26.07 Ndeeba-Lubiri-24h'!L22,'27.07 Ndeeba-Lubiri-24h'!L22,'28.07 Ndeeba-Lubiri'!L22)</f>
        <v>0.14285714285714285</v>
      </c>
      <c r="M22" s="49">
        <f>AVERAGE('22.07 Ndeeba-Lubiri'!M22,'23.07 Ndeeba-Lubiri'!M22,'24.07 Ndeeba-Lubiri'!M22,'25.07 Ndeeba-Lubiri'!M22,'26.07 Ndeeba-Lubiri-24h'!M22,'27.07 Ndeeba-Lubiri-24h'!M22,'28.07 Ndeeba-Lubiri'!M22)</f>
        <v>208</v>
      </c>
      <c r="N22" s="49">
        <f>AVERAGE('22.07 Ndeeba-Lubiri'!N22,'23.07 Ndeeba-Lubiri'!N22,'24.07 Ndeeba-Lubiri'!N22,'25.07 Ndeeba-Lubiri'!N22,'26.07 Ndeeba-Lubiri-24h'!N22,'27.07 Ndeeba-Lubiri-24h'!N22,'28.07 Ndeeba-Lubiri'!N22)</f>
        <v>0.14285714285714285</v>
      </c>
      <c r="O22" s="15">
        <f t="shared" si="0"/>
        <v>127</v>
      </c>
      <c r="P22" s="15">
        <f t="shared" si="1"/>
        <v>335.00000000000006</v>
      </c>
      <c r="R22" s="1" t="s">
        <v>146</v>
      </c>
      <c r="S22" s="34">
        <f>SUM(C58:C61)</f>
        <v>259.5</v>
      </c>
      <c r="T22" s="34">
        <f t="shared" ref="T22:AF22" si="14">SUM(D58:D61)</f>
        <v>32</v>
      </c>
      <c r="U22" s="34">
        <f t="shared" si="14"/>
        <v>24</v>
      </c>
      <c r="V22" s="34">
        <f t="shared" si="14"/>
        <v>97.5</v>
      </c>
      <c r="W22" s="34">
        <f t="shared" si="14"/>
        <v>5</v>
      </c>
      <c r="X22" s="34">
        <f t="shared" si="14"/>
        <v>0</v>
      </c>
      <c r="Y22" s="34">
        <f t="shared" si="14"/>
        <v>20.5</v>
      </c>
      <c r="Z22" s="34">
        <f t="shared" si="14"/>
        <v>7.5</v>
      </c>
      <c r="AA22" s="34">
        <f t="shared" si="14"/>
        <v>0.5</v>
      </c>
      <c r="AB22" s="34">
        <f t="shared" si="14"/>
        <v>3.5</v>
      </c>
      <c r="AC22" s="34">
        <f t="shared" si="14"/>
        <v>740.5</v>
      </c>
      <c r="AD22" s="34">
        <f t="shared" si="14"/>
        <v>0</v>
      </c>
      <c r="AE22" s="31">
        <f t="shared" si="14"/>
        <v>450</v>
      </c>
      <c r="AF22" s="31">
        <f t="shared" si="14"/>
        <v>1190.5</v>
      </c>
    </row>
    <row r="23" spans="2:32" ht="23.1" customHeight="1" x14ac:dyDescent="0.25">
      <c r="B23" s="23" t="s">
        <v>50</v>
      </c>
      <c r="C23" s="49">
        <f>AVERAGE('22.07 Ndeeba-Lubiri'!C23,'23.07 Ndeeba-Lubiri'!C23,'24.07 Ndeeba-Lubiri'!C23,'25.07 Ndeeba-Lubiri'!C23,'26.07 Ndeeba-Lubiri-24h'!C23,'27.07 Ndeeba-Lubiri-24h'!C23,'28.07 Ndeeba-Lubiri'!C23)</f>
        <v>95.285714285714292</v>
      </c>
      <c r="D23" s="49">
        <f>AVERAGE('22.07 Ndeeba-Lubiri'!D23,'23.07 Ndeeba-Lubiri'!D23,'24.07 Ndeeba-Lubiri'!D23,'25.07 Ndeeba-Lubiri'!D23,'26.07 Ndeeba-Lubiri-24h'!D23,'27.07 Ndeeba-Lubiri-24h'!D23,'28.07 Ndeeba-Lubiri'!D23)</f>
        <v>11.857142857142858</v>
      </c>
      <c r="E23" s="49">
        <f>AVERAGE('22.07 Ndeeba-Lubiri'!E23,'23.07 Ndeeba-Lubiri'!E23,'24.07 Ndeeba-Lubiri'!E23,'25.07 Ndeeba-Lubiri'!E23,'26.07 Ndeeba-Lubiri-24h'!E23,'27.07 Ndeeba-Lubiri-24h'!E23,'28.07 Ndeeba-Lubiri'!E23)</f>
        <v>9</v>
      </c>
      <c r="F23" s="49">
        <f>AVERAGE('22.07 Ndeeba-Lubiri'!F23,'23.07 Ndeeba-Lubiri'!F23,'24.07 Ndeeba-Lubiri'!F23,'25.07 Ndeeba-Lubiri'!F23,'26.07 Ndeeba-Lubiri-24h'!F23,'27.07 Ndeeba-Lubiri-24h'!F23,'28.07 Ndeeba-Lubiri'!F23)</f>
        <v>9.7142857142857135</v>
      </c>
      <c r="G23" s="49">
        <f>AVERAGE('22.07 Ndeeba-Lubiri'!G23,'23.07 Ndeeba-Lubiri'!G23,'24.07 Ndeeba-Lubiri'!G23,'25.07 Ndeeba-Lubiri'!G23,'26.07 Ndeeba-Lubiri-24h'!G23,'27.07 Ndeeba-Lubiri-24h'!G23,'28.07 Ndeeba-Lubiri'!G23)</f>
        <v>0.2857142857142857</v>
      </c>
      <c r="H23" s="49">
        <f>AVERAGE('22.07 Ndeeba-Lubiri'!H23,'23.07 Ndeeba-Lubiri'!H23,'24.07 Ndeeba-Lubiri'!H23,'25.07 Ndeeba-Lubiri'!H23,'26.07 Ndeeba-Lubiri-24h'!H23,'27.07 Ndeeba-Lubiri-24h'!H23,'28.07 Ndeeba-Lubiri'!H23)</f>
        <v>0</v>
      </c>
      <c r="I23" s="49">
        <f>AVERAGE('22.07 Ndeeba-Lubiri'!I23,'23.07 Ndeeba-Lubiri'!I23,'24.07 Ndeeba-Lubiri'!I23,'25.07 Ndeeba-Lubiri'!I23,'26.07 Ndeeba-Lubiri-24h'!I23,'27.07 Ndeeba-Lubiri-24h'!I23,'28.07 Ndeeba-Lubiri'!I23)</f>
        <v>8.1428571428571423</v>
      </c>
      <c r="J23" s="49">
        <f>AVERAGE('22.07 Ndeeba-Lubiri'!J23,'23.07 Ndeeba-Lubiri'!J23,'24.07 Ndeeba-Lubiri'!J23,'25.07 Ndeeba-Lubiri'!J23,'26.07 Ndeeba-Lubiri-24h'!J23,'27.07 Ndeeba-Lubiri-24h'!J23,'28.07 Ndeeba-Lubiri'!J23)</f>
        <v>3.2857142857142856</v>
      </c>
      <c r="K23" s="49">
        <f>AVERAGE('22.07 Ndeeba-Lubiri'!K23,'23.07 Ndeeba-Lubiri'!K23,'24.07 Ndeeba-Lubiri'!K23,'25.07 Ndeeba-Lubiri'!K23,'26.07 Ndeeba-Lubiri-24h'!K23,'27.07 Ndeeba-Lubiri-24h'!K23,'28.07 Ndeeba-Lubiri'!K23)</f>
        <v>0.7142857142857143</v>
      </c>
      <c r="L23" s="49">
        <f>AVERAGE('22.07 Ndeeba-Lubiri'!L23,'23.07 Ndeeba-Lubiri'!L23,'24.07 Ndeeba-Lubiri'!L23,'25.07 Ndeeba-Lubiri'!L23,'26.07 Ndeeba-Lubiri-24h'!L23,'27.07 Ndeeba-Lubiri-24h'!L23,'28.07 Ndeeba-Lubiri'!L23)</f>
        <v>0.2857142857142857</v>
      </c>
      <c r="M23" s="49">
        <f>AVERAGE('22.07 Ndeeba-Lubiri'!M23,'23.07 Ndeeba-Lubiri'!M23,'24.07 Ndeeba-Lubiri'!M23,'25.07 Ndeeba-Lubiri'!M23,'26.07 Ndeeba-Lubiri-24h'!M23,'27.07 Ndeeba-Lubiri-24h'!M23,'28.07 Ndeeba-Lubiri'!M23)</f>
        <v>225.71428571428572</v>
      </c>
      <c r="N23" s="49">
        <f>AVERAGE('22.07 Ndeeba-Lubiri'!N23,'23.07 Ndeeba-Lubiri'!N23,'24.07 Ndeeba-Lubiri'!N23,'25.07 Ndeeba-Lubiri'!N23,'26.07 Ndeeba-Lubiri-24h'!N23,'27.07 Ndeeba-Lubiri-24h'!N23,'28.07 Ndeeba-Lubiri'!N23)</f>
        <v>0</v>
      </c>
      <c r="O23" s="15">
        <f t="shared" si="0"/>
        <v>138.57142857142858</v>
      </c>
      <c r="P23" s="15">
        <f t="shared" si="1"/>
        <v>364.28571428571433</v>
      </c>
      <c r="R23" s="1" t="s">
        <v>147</v>
      </c>
      <c r="S23" s="34">
        <f>SUM(C62:C65)</f>
        <v>231</v>
      </c>
      <c r="T23" s="34">
        <f t="shared" ref="T23:AF23" si="15">SUM(D62:D65)</f>
        <v>18.5</v>
      </c>
      <c r="U23" s="34">
        <f t="shared" si="15"/>
        <v>13</v>
      </c>
      <c r="V23" s="34">
        <f t="shared" si="15"/>
        <v>156.5</v>
      </c>
      <c r="W23" s="34">
        <f t="shared" si="15"/>
        <v>5.5</v>
      </c>
      <c r="X23" s="34">
        <f t="shared" si="15"/>
        <v>4</v>
      </c>
      <c r="Y23" s="34">
        <f t="shared" si="15"/>
        <v>23</v>
      </c>
      <c r="Z23" s="34">
        <f t="shared" si="15"/>
        <v>5</v>
      </c>
      <c r="AA23" s="34">
        <f t="shared" si="15"/>
        <v>5</v>
      </c>
      <c r="AB23" s="34">
        <f t="shared" si="15"/>
        <v>0.5</v>
      </c>
      <c r="AC23" s="34">
        <f t="shared" si="15"/>
        <v>665</v>
      </c>
      <c r="AD23" s="34">
        <f t="shared" si="15"/>
        <v>0</v>
      </c>
      <c r="AE23" s="31">
        <f t="shared" si="15"/>
        <v>462</v>
      </c>
      <c r="AF23" s="31">
        <f t="shared" si="15"/>
        <v>1127</v>
      </c>
    </row>
    <row r="24" spans="2:32" ht="23.1" customHeight="1" x14ac:dyDescent="0.25">
      <c r="B24" s="23" t="s">
        <v>51</v>
      </c>
      <c r="C24" s="49">
        <f>AVERAGE('22.07 Ndeeba-Lubiri'!C24,'23.07 Ndeeba-Lubiri'!C24,'24.07 Ndeeba-Lubiri'!C24,'25.07 Ndeeba-Lubiri'!C24,'26.07 Ndeeba-Lubiri-24h'!C24,'27.07 Ndeeba-Lubiri-24h'!C24,'28.07 Ndeeba-Lubiri'!C24)</f>
        <v>96.857142857142861</v>
      </c>
      <c r="D24" s="49">
        <f>AVERAGE('22.07 Ndeeba-Lubiri'!D24,'23.07 Ndeeba-Lubiri'!D24,'24.07 Ndeeba-Lubiri'!D24,'25.07 Ndeeba-Lubiri'!D24,'26.07 Ndeeba-Lubiri-24h'!D24,'27.07 Ndeeba-Lubiri-24h'!D24,'28.07 Ndeeba-Lubiri'!D24)</f>
        <v>19.714285714285715</v>
      </c>
      <c r="E24" s="49">
        <f>AVERAGE('22.07 Ndeeba-Lubiri'!E24,'23.07 Ndeeba-Lubiri'!E24,'24.07 Ndeeba-Lubiri'!E24,'25.07 Ndeeba-Lubiri'!E24,'26.07 Ndeeba-Lubiri-24h'!E24,'27.07 Ndeeba-Lubiri-24h'!E24,'28.07 Ndeeba-Lubiri'!E24)</f>
        <v>6.1428571428571432</v>
      </c>
      <c r="F24" s="49">
        <f>AVERAGE('22.07 Ndeeba-Lubiri'!F24,'23.07 Ndeeba-Lubiri'!F24,'24.07 Ndeeba-Lubiri'!F24,'25.07 Ndeeba-Lubiri'!F24,'26.07 Ndeeba-Lubiri-24h'!F24,'27.07 Ndeeba-Lubiri-24h'!F24,'28.07 Ndeeba-Lubiri'!F24)</f>
        <v>11.428571428571429</v>
      </c>
      <c r="G24" s="49">
        <f>AVERAGE('22.07 Ndeeba-Lubiri'!G24,'23.07 Ndeeba-Lubiri'!G24,'24.07 Ndeeba-Lubiri'!G24,'25.07 Ndeeba-Lubiri'!G24,'26.07 Ndeeba-Lubiri-24h'!G24,'27.07 Ndeeba-Lubiri-24h'!G24,'28.07 Ndeeba-Lubiri'!G24)</f>
        <v>0.2857142857142857</v>
      </c>
      <c r="H24" s="49">
        <f>AVERAGE('22.07 Ndeeba-Lubiri'!H24,'23.07 Ndeeba-Lubiri'!H24,'24.07 Ndeeba-Lubiri'!H24,'25.07 Ndeeba-Lubiri'!H24,'26.07 Ndeeba-Lubiri-24h'!H24,'27.07 Ndeeba-Lubiri-24h'!H24,'28.07 Ndeeba-Lubiri'!H24)</f>
        <v>0</v>
      </c>
      <c r="I24" s="49">
        <f>AVERAGE('22.07 Ndeeba-Lubiri'!I24,'23.07 Ndeeba-Lubiri'!I24,'24.07 Ndeeba-Lubiri'!I24,'25.07 Ndeeba-Lubiri'!I24,'26.07 Ndeeba-Lubiri-24h'!I24,'27.07 Ndeeba-Lubiri-24h'!I24,'28.07 Ndeeba-Lubiri'!I24)</f>
        <v>6.5714285714285712</v>
      </c>
      <c r="J24" s="49">
        <f>AVERAGE('22.07 Ndeeba-Lubiri'!J24,'23.07 Ndeeba-Lubiri'!J24,'24.07 Ndeeba-Lubiri'!J24,'25.07 Ndeeba-Lubiri'!J24,'26.07 Ndeeba-Lubiri-24h'!J24,'27.07 Ndeeba-Lubiri-24h'!J24,'28.07 Ndeeba-Lubiri'!J24)</f>
        <v>2.1428571428571428</v>
      </c>
      <c r="K24" s="49">
        <f>AVERAGE('22.07 Ndeeba-Lubiri'!K24,'23.07 Ndeeba-Lubiri'!K24,'24.07 Ndeeba-Lubiri'!K24,'25.07 Ndeeba-Lubiri'!K24,'26.07 Ndeeba-Lubiri-24h'!K24,'27.07 Ndeeba-Lubiri-24h'!K24,'28.07 Ndeeba-Lubiri'!K24)</f>
        <v>0</v>
      </c>
      <c r="L24" s="49">
        <f>AVERAGE('22.07 Ndeeba-Lubiri'!L24,'23.07 Ndeeba-Lubiri'!L24,'24.07 Ndeeba-Lubiri'!L24,'25.07 Ndeeba-Lubiri'!L24,'26.07 Ndeeba-Lubiri-24h'!L24,'27.07 Ndeeba-Lubiri-24h'!L24,'28.07 Ndeeba-Lubiri'!L24)</f>
        <v>0.14285714285714285</v>
      </c>
      <c r="M24" s="49">
        <f>AVERAGE('22.07 Ndeeba-Lubiri'!M24,'23.07 Ndeeba-Lubiri'!M24,'24.07 Ndeeba-Lubiri'!M24,'25.07 Ndeeba-Lubiri'!M24,'26.07 Ndeeba-Lubiri-24h'!M24,'27.07 Ndeeba-Lubiri-24h'!M24,'28.07 Ndeeba-Lubiri'!M24)</f>
        <v>235.85714285714286</v>
      </c>
      <c r="N24" s="49">
        <f>AVERAGE('22.07 Ndeeba-Lubiri'!N24,'23.07 Ndeeba-Lubiri'!N24,'24.07 Ndeeba-Lubiri'!N24,'25.07 Ndeeba-Lubiri'!N24,'26.07 Ndeeba-Lubiri-24h'!N24,'27.07 Ndeeba-Lubiri-24h'!N24,'28.07 Ndeeba-Lubiri'!N24)</f>
        <v>0</v>
      </c>
      <c r="O24" s="15">
        <f t="shared" si="0"/>
        <v>143.28571428571428</v>
      </c>
      <c r="P24" s="15">
        <f t="shared" si="1"/>
        <v>379.14285714285711</v>
      </c>
      <c r="R24" s="1" t="s">
        <v>148</v>
      </c>
      <c r="S24" s="34">
        <f>SUM(C66:C69)</f>
        <v>186</v>
      </c>
      <c r="T24" s="34">
        <f t="shared" ref="T24:AF24" si="16">SUM(D66:D69)</f>
        <v>25.5</v>
      </c>
      <c r="U24" s="34">
        <f t="shared" si="16"/>
        <v>8.5</v>
      </c>
      <c r="V24" s="34">
        <f t="shared" si="16"/>
        <v>126</v>
      </c>
      <c r="W24" s="34">
        <f t="shared" si="16"/>
        <v>2.5</v>
      </c>
      <c r="X24" s="34">
        <f t="shared" si="16"/>
        <v>0.5</v>
      </c>
      <c r="Y24" s="34">
        <f t="shared" si="16"/>
        <v>18.5</v>
      </c>
      <c r="Z24" s="34">
        <f t="shared" si="16"/>
        <v>6</v>
      </c>
      <c r="AA24" s="34">
        <f t="shared" si="16"/>
        <v>1.5</v>
      </c>
      <c r="AB24" s="34">
        <f t="shared" si="16"/>
        <v>1</v>
      </c>
      <c r="AC24" s="34">
        <f t="shared" si="16"/>
        <v>540</v>
      </c>
      <c r="AD24" s="34">
        <f t="shared" si="16"/>
        <v>0</v>
      </c>
      <c r="AE24" s="31">
        <f t="shared" si="16"/>
        <v>376</v>
      </c>
      <c r="AF24" s="31">
        <f t="shared" si="16"/>
        <v>916</v>
      </c>
    </row>
    <row r="25" spans="2:32" ht="23.1" customHeight="1" x14ac:dyDescent="0.25">
      <c r="B25" s="23" t="s">
        <v>52</v>
      </c>
      <c r="C25" s="49">
        <f>AVERAGE('22.07 Ndeeba-Lubiri'!C25,'23.07 Ndeeba-Lubiri'!C25,'24.07 Ndeeba-Lubiri'!C25,'25.07 Ndeeba-Lubiri'!C25,'26.07 Ndeeba-Lubiri-24h'!C25,'27.07 Ndeeba-Lubiri-24h'!C25,'28.07 Ndeeba-Lubiri'!C25)</f>
        <v>84.857142857142861</v>
      </c>
      <c r="D25" s="49">
        <f>AVERAGE('22.07 Ndeeba-Lubiri'!D25,'23.07 Ndeeba-Lubiri'!D25,'24.07 Ndeeba-Lubiri'!D25,'25.07 Ndeeba-Lubiri'!D25,'26.07 Ndeeba-Lubiri-24h'!D25,'27.07 Ndeeba-Lubiri-24h'!D25,'28.07 Ndeeba-Lubiri'!D25)</f>
        <v>11.428571428571429</v>
      </c>
      <c r="E25" s="49">
        <f>AVERAGE('22.07 Ndeeba-Lubiri'!E25,'23.07 Ndeeba-Lubiri'!E25,'24.07 Ndeeba-Lubiri'!E25,'25.07 Ndeeba-Lubiri'!E25,'26.07 Ndeeba-Lubiri-24h'!E25,'27.07 Ndeeba-Lubiri-24h'!E25,'28.07 Ndeeba-Lubiri'!E25)</f>
        <v>8.1428571428571423</v>
      </c>
      <c r="F25" s="49">
        <f>AVERAGE('22.07 Ndeeba-Lubiri'!F25,'23.07 Ndeeba-Lubiri'!F25,'24.07 Ndeeba-Lubiri'!F25,'25.07 Ndeeba-Lubiri'!F25,'26.07 Ndeeba-Lubiri-24h'!F25,'27.07 Ndeeba-Lubiri-24h'!F25,'28.07 Ndeeba-Lubiri'!F25)</f>
        <v>6</v>
      </c>
      <c r="G25" s="49">
        <f>AVERAGE('22.07 Ndeeba-Lubiri'!G25,'23.07 Ndeeba-Lubiri'!G25,'24.07 Ndeeba-Lubiri'!G25,'25.07 Ndeeba-Lubiri'!G25,'26.07 Ndeeba-Lubiri-24h'!G25,'27.07 Ndeeba-Lubiri-24h'!G25,'28.07 Ndeeba-Lubiri'!G25)</f>
        <v>0.7142857142857143</v>
      </c>
      <c r="H25" s="49">
        <f>AVERAGE('22.07 Ndeeba-Lubiri'!H25,'23.07 Ndeeba-Lubiri'!H25,'24.07 Ndeeba-Lubiri'!H25,'25.07 Ndeeba-Lubiri'!H25,'26.07 Ndeeba-Lubiri-24h'!H25,'27.07 Ndeeba-Lubiri-24h'!H25,'28.07 Ndeeba-Lubiri'!H25)</f>
        <v>0.14285714285714285</v>
      </c>
      <c r="I25" s="49">
        <f>AVERAGE('22.07 Ndeeba-Lubiri'!I25,'23.07 Ndeeba-Lubiri'!I25,'24.07 Ndeeba-Lubiri'!I25,'25.07 Ndeeba-Lubiri'!I25,'26.07 Ndeeba-Lubiri-24h'!I25,'27.07 Ndeeba-Lubiri-24h'!I25,'28.07 Ndeeba-Lubiri'!I25)</f>
        <v>5.8571428571428568</v>
      </c>
      <c r="J25" s="49">
        <f>AVERAGE('22.07 Ndeeba-Lubiri'!J25,'23.07 Ndeeba-Lubiri'!J25,'24.07 Ndeeba-Lubiri'!J25,'25.07 Ndeeba-Lubiri'!J25,'26.07 Ndeeba-Lubiri-24h'!J25,'27.07 Ndeeba-Lubiri-24h'!J25,'28.07 Ndeeba-Lubiri'!J25)</f>
        <v>3.7142857142857144</v>
      </c>
      <c r="K25" s="49">
        <f>AVERAGE('22.07 Ndeeba-Lubiri'!K25,'23.07 Ndeeba-Lubiri'!K25,'24.07 Ndeeba-Lubiri'!K25,'25.07 Ndeeba-Lubiri'!K25,'26.07 Ndeeba-Lubiri-24h'!K25,'27.07 Ndeeba-Lubiri-24h'!K25,'28.07 Ndeeba-Lubiri'!K25)</f>
        <v>0.2857142857142857</v>
      </c>
      <c r="L25" s="49">
        <f>AVERAGE('22.07 Ndeeba-Lubiri'!L25,'23.07 Ndeeba-Lubiri'!L25,'24.07 Ndeeba-Lubiri'!L25,'25.07 Ndeeba-Lubiri'!L25,'26.07 Ndeeba-Lubiri-24h'!L25,'27.07 Ndeeba-Lubiri-24h'!L25,'28.07 Ndeeba-Lubiri'!L25)</f>
        <v>0.42857142857142855</v>
      </c>
      <c r="M25" s="49">
        <f>AVERAGE('22.07 Ndeeba-Lubiri'!M25,'23.07 Ndeeba-Lubiri'!M25,'24.07 Ndeeba-Lubiri'!M25,'25.07 Ndeeba-Lubiri'!M25,'26.07 Ndeeba-Lubiri-24h'!M25,'27.07 Ndeeba-Lubiri-24h'!M25,'28.07 Ndeeba-Lubiri'!M25)</f>
        <v>211.28571428571428</v>
      </c>
      <c r="N25" s="49">
        <f>AVERAGE('22.07 Ndeeba-Lubiri'!N25,'23.07 Ndeeba-Lubiri'!N25,'24.07 Ndeeba-Lubiri'!N25,'25.07 Ndeeba-Lubiri'!N25,'26.07 Ndeeba-Lubiri-24h'!N25,'27.07 Ndeeba-Lubiri-24h'!N25,'28.07 Ndeeba-Lubiri'!N25)</f>
        <v>0</v>
      </c>
      <c r="O25" s="49">
        <f>AVERAGE('22.07 Ndeeba-Lubiri'!O25,'23.07 Ndeeba-Lubiri'!O25,'24.07 Ndeeba-Lubiri'!O25,'25.07 Ndeeba-Lubiri'!O25,'26.07 Ndeeba-Lubiri-24h'!O25,'27.07 Ndeeba-Lubiri-24h'!O25,'28.07 Ndeeba-Lubiri'!O25)</f>
        <v>121.57142857142857</v>
      </c>
      <c r="P25" s="49">
        <f>AVERAGE('22.07 Ndeeba-Lubiri'!P25,'23.07 Ndeeba-Lubiri'!P25,'24.07 Ndeeba-Lubiri'!P25,'25.07 Ndeeba-Lubiri'!P25,'26.07 Ndeeba-Lubiri-24h'!P25,'27.07 Ndeeba-Lubiri-24h'!P25,'28.07 Ndeeba-Lubiri'!P25)</f>
        <v>332.85714285714283</v>
      </c>
      <c r="R25" s="1" t="s">
        <v>149</v>
      </c>
      <c r="S25" s="34">
        <f>SUM(C70:C73)</f>
        <v>93</v>
      </c>
      <c r="T25" s="34">
        <f t="shared" ref="T25:AF25" si="17">SUM(D70:D73)</f>
        <v>34.5</v>
      </c>
      <c r="U25" s="34">
        <f t="shared" si="17"/>
        <v>8</v>
      </c>
      <c r="V25" s="34">
        <f t="shared" si="17"/>
        <v>21</v>
      </c>
      <c r="W25" s="34">
        <f t="shared" si="17"/>
        <v>0.5</v>
      </c>
      <c r="X25" s="34">
        <f t="shared" si="17"/>
        <v>0</v>
      </c>
      <c r="Y25" s="34">
        <f t="shared" si="17"/>
        <v>8</v>
      </c>
      <c r="Z25" s="34">
        <f t="shared" si="17"/>
        <v>5.5</v>
      </c>
      <c r="AA25" s="34">
        <f t="shared" si="17"/>
        <v>0.5</v>
      </c>
      <c r="AB25" s="34">
        <f t="shared" si="17"/>
        <v>0.5</v>
      </c>
      <c r="AC25" s="34">
        <f t="shared" si="17"/>
        <v>213.5</v>
      </c>
      <c r="AD25" s="34">
        <f t="shared" si="17"/>
        <v>0</v>
      </c>
      <c r="AE25" s="31">
        <f t="shared" si="17"/>
        <v>171.5</v>
      </c>
      <c r="AF25" s="31">
        <f t="shared" si="17"/>
        <v>385</v>
      </c>
    </row>
    <row r="26" spans="2:32" ht="23.1" customHeight="1" x14ac:dyDescent="0.25">
      <c r="B26" s="23" t="s">
        <v>53</v>
      </c>
      <c r="C26" s="49">
        <f>AVERAGE('22.07 Ndeeba-Lubiri'!C26,'23.07 Ndeeba-Lubiri'!C26,'24.07 Ndeeba-Lubiri'!C26,'25.07 Ndeeba-Lubiri'!C26,'26.07 Ndeeba-Lubiri-24h'!C26,'27.07 Ndeeba-Lubiri-24h'!C26,'28.07 Ndeeba-Lubiri'!C26)</f>
        <v>94.857142857142861</v>
      </c>
      <c r="D26" s="49">
        <f>AVERAGE('22.07 Ndeeba-Lubiri'!D26,'23.07 Ndeeba-Lubiri'!D26,'24.07 Ndeeba-Lubiri'!D26,'25.07 Ndeeba-Lubiri'!D26,'26.07 Ndeeba-Lubiri-24h'!D26,'27.07 Ndeeba-Lubiri-24h'!D26,'28.07 Ndeeba-Lubiri'!D26)</f>
        <v>8</v>
      </c>
      <c r="E26" s="49">
        <f>AVERAGE('22.07 Ndeeba-Lubiri'!E26,'23.07 Ndeeba-Lubiri'!E26,'24.07 Ndeeba-Lubiri'!E26,'25.07 Ndeeba-Lubiri'!E26,'26.07 Ndeeba-Lubiri-24h'!E26,'27.07 Ndeeba-Lubiri-24h'!E26,'28.07 Ndeeba-Lubiri'!E26)</f>
        <v>8.8571428571428577</v>
      </c>
      <c r="F26" s="49">
        <f>AVERAGE('22.07 Ndeeba-Lubiri'!F26,'23.07 Ndeeba-Lubiri'!F26,'24.07 Ndeeba-Lubiri'!F26,'25.07 Ndeeba-Lubiri'!F26,'26.07 Ndeeba-Lubiri-24h'!F26,'27.07 Ndeeba-Lubiri-24h'!F26,'28.07 Ndeeba-Lubiri'!F26)</f>
        <v>4.4285714285714288</v>
      </c>
      <c r="G26" s="49">
        <f>AVERAGE('22.07 Ndeeba-Lubiri'!G26,'23.07 Ndeeba-Lubiri'!G26,'24.07 Ndeeba-Lubiri'!G26,'25.07 Ndeeba-Lubiri'!G26,'26.07 Ndeeba-Lubiri-24h'!G26,'27.07 Ndeeba-Lubiri-24h'!G26,'28.07 Ndeeba-Lubiri'!G26)</f>
        <v>0.14285714285714285</v>
      </c>
      <c r="H26" s="49">
        <f>AVERAGE('22.07 Ndeeba-Lubiri'!H26,'23.07 Ndeeba-Lubiri'!H26,'24.07 Ndeeba-Lubiri'!H26,'25.07 Ndeeba-Lubiri'!H26,'26.07 Ndeeba-Lubiri-24h'!H26,'27.07 Ndeeba-Lubiri-24h'!H26,'28.07 Ndeeba-Lubiri'!H26)</f>
        <v>0.14285714285714285</v>
      </c>
      <c r="I26" s="49">
        <f>AVERAGE('22.07 Ndeeba-Lubiri'!I26,'23.07 Ndeeba-Lubiri'!I26,'24.07 Ndeeba-Lubiri'!I26,'25.07 Ndeeba-Lubiri'!I26,'26.07 Ndeeba-Lubiri-24h'!I26,'27.07 Ndeeba-Lubiri-24h'!I26,'28.07 Ndeeba-Lubiri'!I26)</f>
        <v>6.1428571428571432</v>
      </c>
      <c r="J26" s="49">
        <f>AVERAGE('22.07 Ndeeba-Lubiri'!J26,'23.07 Ndeeba-Lubiri'!J26,'24.07 Ndeeba-Lubiri'!J26,'25.07 Ndeeba-Lubiri'!J26,'26.07 Ndeeba-Lubiri-24h'!J26,'27.07 Ndeeba-Lubiri-24h'!J26,'28.07 Ndeeba-Lubiri'!J26)</f>
        <v>3</v>
      </c>
      <c r="K26" s="49">
        <f>AVERAGE('22.07 Ndeeba-Lubiri'!K26,'23.07 Ndeeba-Lubiri'!K26,'24.07 Ndeeba-Lubiri'!K26,'25.07 Ndeeba-Lubiri'!K26,'26.07 Ndeeba-Lubiri-24h'!K26,'27.07 Ndeeba-Lubiri-24h'!K26,'28.07 Ndeeba-Lubiri'!K26)</f>
        <v>1</v>
      </c>
      <c r="L26" s="49">
        <f>AVERAGE('22.07 Ndeeba-Lubiri'!L26,'23.07 Ndeeba-Lubiri'!L26,'24.07 Ndeeba-Lubiri'!L26,'25.07 Ndeeba-Lubiri'!L26,'26.07 Ndeeba-Lubiri-24h'!L26,'27.07 Ndeeba-Lubiri-24h'!L26,'28.07 Ndeeba-Lubiri'!L26)</f>
        <v>0.2857142857142857</v>
      </c>
      <c r="M26" s="49">
        <f>AVERAGE('22.07 Ndeeba-Lubiri'!M26,'23.07 Ndeeba-Lubiri'!M26,'24.07 Ndeeba-Lubiri'!M26,'25.07 Ndeeba-Lubiri'!M26,'26.07 Ndeeba-Lubiri-24h'!M26,'27.07 Ndeeba-Lubiri-24h'!M26,'28.07 Ndeeba-Lubiri'!M26)</f>
        <v>210.85714285714286</v>
      </c>
      <c r="N26" s="49">
        <f>AVERAGE('22.07 Ndeeba-Lubiri'!N26,'23.07 Ndeeba-Lubiri'!N26,'24.07 Ndeeba-Lubiri'!N26,'25.07 Ndeeba-Lubiri'!N26,'26.07 Ndeeba-Lubiri-24h'!N26,'27.07 Ndeeba-Lubiri-24h'!N26,'28.07 Ndeeba-Lubiri'!N26)</f>
        <v>0</v>
      </c>
      <c r="O26" s="49">
        <f>AVERAGE('22.07 Ndeeba-Lubiri'!O26,'23.07 Ndeeba-Lubiri'!O26,'24.07 Ndeeba-Lubiri'!O26,'25.07 Ndeeba-Lubiri'!O26,'26.07 Ndeeba-Lubiri-24h'!O26,'27.07 Ndeeba-Lubiri-24h'!O26,'28.07 Ndeeba-Lubiri'!O26)</f>
        <v>126.85714285714286</v>
      </c>
      <c r="P26" s="49">
        <f>AVERAGE('22.07 Ndeeba-Lubiri'!P26,'23.07 Ndeeba-Lubiri'!P26,'24.07 Ndeeba-Lubiri'!P26,'25.07 Ndeeba-Lubiri'!P26,'26.07 Ndeeba-Lubiri-24h'!P26,'27.07 Ndeeba-Lubiri-24h'!P26,'28.07 Ndeeba-Lubiri'!P26)</f>
        <v>337.71428571428572</v>
      </c>
      <c r="R26" s="1" t="s">
        <v>150</v>
      </c>
      <c r="S26" s="34">
        <f>SUM(C74:C77)</f>
        <v>47</v>
      </c>
      <c r="T26" s="34">
        <f t="shared" ref="T26:AF26" si="18">SUM(D74:D77)</f>
        <v>19</v>
      </c>
      <c r="U26" s="34">
        <f t="shared" si="18"/>
        <v>8.5</v>
      </c>
      <c r="V26" s="34">
        <f t="shared" si="18"/>
        <v>9</v>
      </c>
      <c r="W26" s="34">
        <f t="shared" si="18"/>
        <v>0</v>
      </c>
      <c r="X26" s="34">
        <f t="shared" si="18"/>
        <v>0</v>
      </c>
      <c r="Y26" s="34">
        <f t="shared" si="18"/>
        <v>8</v>
      </c>
      <c r="Z26" s="34">
        <f t="shared" si="18"/>
        <v>1</v>
      </c>
      <c r="AA26" s="34">
        <f t="shared" si="18"/>
        <v>2.5</v>
      </c>
      <c r="AB26" s="34">
        <f t="shared" si="18"/>
        <v>0</v>
      </c>
      <c r="AC26" s="34">
        <f t="shared" si="18"/>
        <v>243</v>
      </c>
      <c r="AD26" s="34">
        <f t="shared" si="18"/>
        <v>0</v>
      </c>
      <c r="AE26" s="31">
        <f t="shared" si="18"/>
        <v>95</v>
      </c>
      <c r="AF26" s="31">
        <f t="shared" si="18"/>
        <v>338</v>
      </c>
    </row>
    <row r="27" spans="2:32" ht="23.1" customHeight="1" x14ac:dyDescent="0.25">
      <c r="B27" s="23" t="s">
        <v>54</v>
      </c>
      <c r="C27" s="49">
        <f>AVERAGE('22.07 Ndeeba-Lubiri'!C27,'23.07 Ndeeba-Lubiri'!C27,'24.07 Ndeeba-Lubiri'!C27,'25.07 Ndeeba-Lubiri'!C27,'26.07 Ndeeba-Lubiri-24h'!C27,'27.07 Ndeeba-Lubiri-24h'!C27,'28.07 Ndeeba-Lubiri'!C27)</f>
        <v>106.85714285714286</v>
      </c>
      <c r="D27" s="49">
        <f>AVERAGE('22.07 Ndeeba-Lubiri'!D27,'23.07 Ndeeba-Lubiri'!D27,'24.07 Ndeeba-Lubiri'!D27,'25.07 Ndeeba-Lubiri'!D27,'26.07 Ndeeba-Lubiri-24h'!D27,'27.07 Ndeeba-Lubiri-24h'!D27,'28.07 Ndeeba-Lubiri'!D27)</f>
        <v>8.8571428571428577</v>
      </c>
      <c r="E27" s="49">
        <f>AVERAGE('22.07 Ndeeba-Lubiri'!E27,'23.07 Ndeeba-Lubiri'!E27,'24.07 Ndeeba-Lubiri'!E27,'25.07 Ndeeba-Lubiri'!E27,'26.07 Ndeeba-Lubiri-24h'!E27,'27.07 Ndeeba-Lubiri-24h'!E27,'28.07 Ndeeba-Lubiri'!E27)</f>
        <v>7.1428571428571432</v>
      </c>
      <c r="F27" s="49">
        <f>AVERAGE('22.07 Ndeeba-Lubiri'!F27,'23.07 Ndeeba-Lubiri'!F27,'24.07 Ndeeba-Lubiri'!F27,'25.07 Ndeeba-Lubiri'!F27,'26.07 Ndeeba-Lubiri-24h'!F27,'27.07 Ndeeba-Lubiri-24h'!F27,'28.07 Ndeeba-Lubiri'!F27)</f>
        <v>15</v>
      </c>
      <c r="G27" s="49">
        <f>AVERAGE('22.07 Ndeeba-Lubiri'!G27,'23.07 Ndeeba-Lubiri'!G27,'24.07 Ndeeba-Lubiri'!G27,'25.07 Ndeeba-Lubiri'!G27,'26.07 Ndeeba-Lubiri-24h'!G27,'27.07 Ndeeba-Lubiri-24h'!G27,'28.07 Ndeeba-Lubiri'!G27)</f>
        <v>1</v>
      </c>
      <c r="H27" s="49">
        <f>AVERAGE('22.07 Ndeeba-Lubiri'!H27,'23.07 Ndeeba-Lubiri'!H27,'24.07 Ndeeba-Lubiri'!H27,'25.07 Ndeeba-Lubiri'!H27,'26.07 Ndeeba-Lubiri-24h'!H27,'27.07 Ndeeba-Lubiri-24h'!H27,'28.07 Ndeeba-Lubiri'!H27)</f>
        <v>0</v>
      </c>
      <c r="I27" s="49">
        <f>AVERAGE('22.07 Ndeeba-Lubiri'!I27,'23.07 Ndeeba-Lubiri'!I27,'24.07 Ndeeba-Lubiri'!I27,'25.07 Ndeeba-Lubiri'!I27,'26.07 Ndeeba-Lubiri-24h'!I27,'27.07 Ndeeba-Lubiri-24h'!I27,'28.07 Ndeeba-Lubiri'!I27)</f>
        <v>6.7142857142857144</v>
      </c>
      <c r="J27" s="49">
        <f>AVERAGE('22.07 Ndeeba-Lubiri'!J27,'23.07 Ndeeba-Lubiri'!J27,'24.07 Ndeeba-Lubiri'!J27,'25.07 Ndeeba-Lubiri'!J27,'26.07 Ndeeba-Lubiri-24h'!J27,'27.07 Ndeeba-Lubiri-24h'!J27,'28.07 Ndeeba-Lubiri'!J27)</f>
        <v>3.5714285714285716</v>
      </c>
      <c r="K27" s="49">
        <f>AVERAGE('22.07 Ndeeba-Lubiri'!K27,'23.07 Ndeeba-Lubiri'!K27,'24.07 Ndeeba-Lubiri'!K27,'25.07 Ndeeba-Lubiri'!K27,'26.07 Ndeeba-Lubiri-24h'!K27,'27.07 Ndeeba-Lubiri-24h'!K27,'28.07 Ndeeba-Lubiri'!K27)</f>
        <v>0.42857142857142855</v>
      </c>
      <c r="L27" s="49">
        <f>AVERAGE('22.07 Ndeeba-Lubiri'!L27,'23.07 Ndeeba-Lubiri'!L27,'24.07 Ndeeba-Lubiri'!L27,'25.07 Ndeeba-Lubiri'!L27,'26.07 Ndeeba-Lubiri-24h'!L27,'27.07 Ndeeba-Lubiri-24h'!L27,'28.07 Ndeeba-Lubiri'!L27)</f>
        <v>0.14285714285714285</v>
      </c>
      <c r="M27" s="49">
        <f>AVERAGE('22.07 Ndeeba-Lubiri'!M27,'23.07 Ndeeba-Lubiri'!M27,'24.07 Ndeeba-Lubiri'!M27,'25.07 Ndeeba-Lubiri'!M27,'26.07 Ndeeba-Lubiri-24h'!M27,'27.07 Ndeeba-Lubiri-24h'!M27,'28.07 Ndeeba-Lubiri'!M27)</f>
        <v>198.57142857142858</v>
      </c>
      <c r="N27" s="49">
        <f>AVERAGE('22.07 Ndeeba-Lubiri'!N27,'23.07 Ndeeba-Lubiri'!N27,'24.07 Ndeeba-Lubiri'!N27,'25.07 Ndeeba-Lubiri'!N27,'26.07 Ndeeba-Lubiri-24h'!N27,'27.07 Ndeeba-Lubiri-24h'!N27,'28.07 Ndeeba-Lubiri'!N27)</f>
        <v>0</v>
      </c>
      <c r="O27" s="49">
        <f>AVERAGE('22.07 Ndeeba-Lubiri'!O27,'23.07 Ndeeba-Lubiri'!O27,'24.07 Ndeeba-Lubiri'!O27,'25.07 Ndeeba-Lubiri'!O27,'26.07 Ndeeba-Lubiri-24h'!O27,'27.07 Ndeeba-Lubiri-24h'!O27,'28.07 Ndeeba-Lubiri'!O27)</f>
        <v>149.71428571428572</v>
      </c>
      <c r="P27" s="49">
        <f>AVERAGE('22.07 Ndeeba-Lubiri'!P27,'23.07 Ndeeba-Lubiri'!P27,'24.07 Ndeeba-Lubiri'!P27,'25.07 Ndeeba-Lubiri'!P27,'26.07 Ndeeba-Lubiri-24h'!P27,'27.07 Ndeeba-Lubiri-24h'!P27,'28.07 Ndeeba-Lubiri'!P27)</f>
        <v>348.28571428571428</v>
      </c>
      <c r="R27" s="1" t="s">
        <v>151</v>
      </c>
      <c r="S27" s="34">
        <f>SUM(C78:C81)</f>
        <v>40.5</v>
      </c>
      <c r="T27" s="34">
        <f t="shared" ref="T27:AF27" si="19">SUM(D78:D81)</f>
        <v>12.5</v>
      </c>
      <c r="U27" s="34">
        <f t="shared" si="19"/>
        <v>6.5</v>
      </c>
      <c r="V27" s="34">
        <f t="shared" si="19"/>
        <v>10.5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4.5</v>
      </c>
      <c r="AA27" s="34">
        <f t="shared" si="19"/>
        <v>1</v>
      </c>
      <c r="AB27" s="34">
        <f t="shared" si="19"/>
        <v>1</v>
      </c>
      <c r="AC27" s="34">
        <f t="shared" si="19"/>
        <v>102</v>
      </c>
      <c r="AD27" s="34">
        <f t="shared" si="19"/>
        <v>0</v>
      </c>
      <c r="AE27" s="31">
        <f t="shared" si="19"/>
        <v>79.5</v>
      </c>
      <c r="AF27" s="31">
        <f t="shared" si="19"/>
        <v>181.5</v>
      </c>
    </row>
    <row r="28" spans="2:32" ht="23.1" customHeight="1" x14ac:dyDescent="0.25">
      <c r="B28" s="23" t="s">
        <v>55</v>
      </c>
      <c r="C28" s="49">
        <f>AVERAGE('22.07 Ndeeba-Lubiri'!C28,'23.07 Ndeeba-Lubiri'!C28,'24.07 Ndeeba-Lubiri'!C28,'25.07 Ndeeba-Lubiri'!C28,'26.07 Ndeeba-Lubiri-24h'!C28,'27.07 Ndeeba-Lubiri-24h'!C28,'28.07 Ndeeba-Lubiri'!C28)</f>
        <v>90.857142857142861</v>
      </c>
      <c r="D28" s="49">
        <f>AVERAGE('22.07 Ndeeba-Lubiri'!D28,'23.07 Ndeeba-Lubiri'!D28,'24.07 Ndeeba-Lubiri'!D28,'25.07 Ndeeba-Lubiri'!D28,'26.07 Ndeeba-Lubiri-24h'!D28,'27.07 Ndeeba-Lubiri-24h'!D28,'28.07 Ndeeba-Lubiri'!D28)</f>
        <v>8.4285714285714288</v>
      </c>
      <c r="E28" s="49">
        <f>AVERAGE('22.07 Ndeeba-Lubiri'!E28,'23.07 Ndeeba-Lubiri'!E28,'24.07 Ndeeba-Lubiri'!E28,'25.07 Ndeeba-Lubiri'!E28,'26.07 Ndeeba-Lubiri-24h'!E28,'27.07 Ndeeba-Lubiri-24h'!E28,'28.07 Ndeeba-Lubiri'!E28)</f>
        <v>7.1428571428571432</v>
      </c>
      <c r="F28" s="49">
        <f>AVERAGE('22.07 Ndeeba-Lubiri'!F28,'23.07 Ndeeba-Lubiri'!F28,'24.07 Ndeeba-Lubiri'!F28,'25.07 Ndeeba-Lubiri'!F28,'26.07 Ndeeba-Lubiri-24h'!F28,'27.07 Ndeeba-Lubiri-24h'!F28,'28.07 Ndeeba-Lubiri'!F28)</f>
        <v>7.5714285714285712</v>
      </c>
      <c r="G28" s="49">
        <f>AVERAGE('22.07 Ndeeba-Lubiri'!G28,'23.07 Ndeeba-Lubiri'!G28,'24.07 Ndeeba-Lubiri'!G28,'25.07 Ndeeba-Lubiri'!G28,'26.07 Ndeeba-Lubiri-24h'!G28,'27.07 Ndeeba-Lubiri-24h'!G28,'28.07 Ndeeba-Lubiri'!G28)</f>
        <v>0</v>
      </c>
      <c r="H28" s="49">
        <f>AVERAGE('22.07 Ndeeba-Lubiri'!H28,'23.07 Ndeeba-Lubiri'!H28,'24.07 Ndeeba-Lubiri'!H28,'25.07 Ndeeba-Lubiri'!H28,'26.07 Ndeeba-Lubiri-24h'!H28,'27.07 Ndeeba-Lubiri-24h'!H28,'28.07 Ndeeba-Lubiri'!H28)</f>
        <v>0</v>
      </c>
      <c r="I28" s="49">
        <f>AVERAGE('22.07 Ndeeba-Lubiri'!I28,'23.07 Ndeeba-Lubiri'!I28,'24.07 Ndeeba-Lubiri'!I28,'25.07 Ndeeba-Lubiri'!I28,'26.07 Ndeeba-Lubiri-24h'!I28,'27.07 Ndeeba-Lubiri-24h'!I28,'28.07 Ndeeba-Lubiri'!I28)</f>
        <v>3.8571428571428572</v>
      </c>
      <c r="J28" s="49">
        <f>AVERAGE('22.07 Ndeeba-Lubiri'!J28,'23.07 Ndeeba-Lubiri'!J28,'24.07 Ndeeba-Lubiri'!J28,'25.07 Ndeeba-Lubiri'!J28,'26.07 Ndeeba-Lubiri-24h'!J28,'27.07 Ndeeba-Lubiri-24h'!J28,'28.07 Ndeeba-Lubiri'!J28)</f>
        <v>3</v>
      </c>
      <c r="K28" s="49">
        <f>AVERAGE('22.07 Ndeeba-Lubiri'!K28,'23.07 Ndeeba-Lubiri'!K28,'24.07 Ndeeba-Lubiri'!K28,'25.07 Ndeeba-Lubiri'!K28,'26.07 Ndeeba-Lubiri-24h'!K28,'27.07 Ndeeba-Lubiri-24h'!K28,'28.07 Ndeeba-Lubiri'!K28)</f>
        <v>0.14285714285714285</v>
      </c>
      <c r="L28" s="49">
        <f>AVERAGE('22.07 Ndeeba-Lubiri'!L28,'23.07 Ndeeba-Lubiri'!L28,'24.07 Ndeeba-Lubiri'!L28,'25.07 Ndeeba-Lubiri'!L28,'26.07 Ndeeba-Lubiri-24h'!L28,'27.07 Ndeeba-Lubiri-24h'!L28,'28.07 Ndeeba-Lubiri'!L28)</f>
        <v>0.2857142857142857</v>
      </c>
      <c r="M28" s="49">
        <f>AVERAGE('22.07 Ndeeba-Lubiri'!M28,'23.07 Ndeeba-Lubiri'!M28,'24.07 Ndeeba-Lubiri'!M28,'25.07 Ndeeba-Lubiri'!M28,'26.07 Ndeeba-Lubiri-24h'!M28,'27.07 Ndeeba-Lubiri-24h'!M28,'28.07 Ndeeba-Lubiri'!M28)</f>
        <v>188.14285714285714</v>
      </c>
      <c r="N28" s="49">
        <f>AVERAGE('22.07 Ndeeba-Lubiri'!N28,'23.07 Ndeeba-Lubiri'!N28,'24.07 Ndeeba-Lubiri'!N28,'25.07 Ndeeba-Lubiri'!N28,'26.07 Ndeeba-Lubiri-24h'!N28,'27.07 Ndeeba-Lubiri-24h'!N28,'28.07 Ndeeba-Lubiri'!N28)</f>
        <v>0</v>
      </c>
      <c r="O28" s="49">
        <f>AVERAGE('22.07 Ndeeba-Lubiri'!O28,'23.07 Ndeeba-Lubiri'!O28,'24.07 Ndeeba-Lubiri'!O28,'25.07 Ndeeba-Lubiri'!O28,'26.07 Ndeeba-Lubiri-24h'!O28,'27.07 Ndeeba-Lubiri-24h'!O28,'28.07 Ndeeba-Lubiri'!O28)</f>
        <v>121.28571428571429</v>
      </c>
      <c r="P28" s="49">
        <f>AVERAGE('22.07 Ndeeba-Lubiri'!P28,'23.07 Ndeeba-Lubiri'!P28,'24.07 Ndeeba-Lubiri'!P28,'25.07 Ndeeba-Lubiri'!P28,'26.07 Ndeeba-Lubiri-24h'!P28,'27.07 Ndeeba-Lubiri-24h'!P28,'28.07 Ndeeba-Lubiri'!P28)</f>
        <v>309.42857142857144</v>
      </c>
      <c r="R28" s="1" t="s">
        <v>152</v>
      </c>
      <c r="S28" s="34">
        <f>SUM(C82:C85)</f>
        <v>22</v>
      </c>
      <c r="T28" s="34">
        <f t="shared" ref="T28:AF28" si="20">SUM(D82:D85)</f>
        <v>6</v>
      </c>
      <c r="U28" s="34">
        <f t="shared" si="20"/>
        <v>3.5</v>
      </c>
      <c r="V28" s="34">
        <f t="shared" si="20"/>
        <v>3</v>
      </c>
      <c r="W28" s="34">
        <f t="shared" si="20"/>
        <v>0</v>
      </c>
      <c r="X28" s="34">
        <f t="shared" si="20"/>
        <v>0.5</v>
      </c>
      <c r="Y28" s="34">
        <f t="shared" si="20"/>
        <v>1</v>
      </c>
      <c r="Z28" s="34">
        <f t="shared" si="20"/>
        <v>0.5</v>
      </c>
      <c r="AA28" s="34">
        <f t="shared" si="20"/>
        <v>1.5</v>
      </c>
      <c r="AB28" s="34">
        <f t="shared" si="20"/>
        <v>0</v>
      </c>
      <c r="AC28" s="34">
        <f t="shared" si="20"/>
        <v>64.5</v>
      </c>
      <c r="AD28" s="34">
        <f t="shared" si="20"/>
        <v>0</v>
      </c>
      <c r="AE28" s="31">
        <f t="shared" si="20"/>
        <v>38</v>
      </c>
      <c r="AF28" s="31">
        <f t="shared" si="20"/>
        <v>102.5</v>
      </c>
    </row>
    <row r="29" spans="2:32" ht="23.1" customHeight="1" x14ac:dyDescent="0.25">
      <c r="B29" s="23" t="s">
        <v>56</v>
      </c>
      <c r="C29" s="49">
        <f>AVERAGE('22.07 Ndeeba-Lubiri'!C29,'23.07 Ndeeba-Lubiri'!C29,'24.07 Ndeeba-Lubiri'!C29,'25.07 Ndeeba-Lubiri'!C29,'26.07 Ndeeba-Lubiri-24h'!C29,'27.07 Ndeeba-Lubiri-24h'!C29,'28.07 Ndeeba-Lubiri'!C29)</f>
        <v>81.285714285714292</v>
      </c>
      <c r="D29" s="49">
        <f>AVERAGE('22.07 Ndeeba-Lubiri'!D29,'23.07 Ndeeba-Lubiri'!D29,'24.07 Ndeeba-Lubiri'!D29,'25.07 Ndeeba-Lubiri'!D29,'26.07 Ndeeba-Lubiri-24h'!D29,'27.07 Ndeeba-Lubiri-24h'!D29,'28.07 Ndeeba-Lubiri'!D29)</f>
        <v>13.857142857142858</v>
      </c>
      <c r="E29" s="49">
        <f>AVERAGE('22.07 Ndeeba-Lubiri'!E29,'23.07 Ndeeba-Lubiri'!E29,'24.07 Ndeeba-Lubiri'!E29,'25.07 Ndeeba-Lubiri'!E29,'26.07 Ndeeba-Lubiri-24h'!E29,'27.07 Ndeeba-Lubiri-24h'!E29,'28.07 Ndeeba-Lubiri'!E29)</f>
        <v>7.8571428571428568</v>
      </c>
      <c r="F29" s="49">
        <f>AVERAGE('22.07 Ndeeba-Lubiri'!F29,'23.07 Ndeeba-Lubiri'!F29,'24.07 Ndeeba-Lubiri'!F29,'25.07 Ndeeba-Lubiri'!F29,'26.07 Ndeeba-Lubiri-24h'!F29,'27.07 Ndeeba-Lubiri-24h'!F29,'28.07 Ndeeba-Lubiri'!F29)</f>
        <v>5.2857142857142856</v>
      </c>
      <c r="G29" s="49">
        <f>AVERAGE('22.07 Ndeeba-Lubiri'!G29,'23.07 Ndeeba-Lubiri'!G29,'24.07 Ndeeba-Lubiri'!G29,'25.07 Ndeeba-Lubiri'!G29,'26.07 Ndeeba-Lubiri-24h'!G29,'27.07 Ndeeba-Lubiri-24h'!G29,'28.07 Ndeeba-Lubiri'!G29)</f>
        <v>0.7142857142857143</v>
      </c>
      <c r="H29" s="49">
        <f>AVERAGE('22.07 Ndeeba-Lubiri'!H29,'23.07 Ndeeba-Lubiri'!H29,'24.07 Ndeeba-Lubiri'!H29,'25.07 Ndeeba-Lubiri'!H29,'26.07 Ndeeba-Lubiri-24h'!H29,'27.07 Ndeeba-Lubiri-24h'!H29,'28.07 Ndeeba-Lubiri'!H29)</f>
        <v>0</v>
      </c>
      <c r="I29" s="49">
        <f>AVERAGE('22.07 Ndeeba-Lubiri'!I29,'23.07 Ndeeba-Lubiri'!I29,'24.07 Ndeeba-Lubiri'!I29,'25.07 Ndeeba-Lubiri'!I29,'26.07 Ndeeba-Lubiri-24h'!I29,'27.07 Ndeeba-Lubiri-24h'!I29,'28.07 Ndeeba-Lubiri'!I29)</f>
        <v>3.1428571428571428</v>
      </c>
      <c r="J29" s="49">
        <f>AVERAGE('22.07 Ndeeba-Lubiri'!J29,'23.07 Ndeeba-Lubiri'!J29,'24.07 Ndeeba-Lubiri'!J29,'25.07 Ndeeba-Lubiri'!J29,'26.07 Ndeeba-Lubiri-24h'!J29,'27.07 Ndeeba-Lubiri-24h'!J29,'28.07 Ndeeba-Lubiri'!J29)</f>
        <v>2.5714285714285716</v>
      </c>
      <c r="K29" s="49">
        <f>AVERAGE('22.07 Ndeeba-Lubiri'!K29,'23.07 Ndeeba-Lubiri'!K29,'24.07 Ndeeba-Lubiri'!K29,'25.07 Ndeeba-Lubiri'!K29,'26.07 Ndeeba-Lubiri-24h'!K29,'27.07 Ndeeba-Lubiri-24h'!K29,'28.07 Ndeeba-Lubiri'!K29)</f>
        <v>0.42857142857142855</v>
      </c>
      <c r="L29" s="49">
        <f>AVERAGE('22.07 Ndeeba-Lubiri'!L29,'23.07 Ndeeba-Lubiri'!L29,'24.07 Ndeeba-Lubiri'!L29,'25.07 Ndeeba-Lubiri'!L29,'26.07 Ndeeba-Lubiri-24h'!L29,'27.07 Ndeeba-Lubiri-24h'!L29,'28.07 Ndeeba-Lubiri'!L29)</f>
        <v>0.7142857142857143</v>
      </c>
      <c r="M29" s="49">
        <f>AVERAGE('22.07 Ndeeba-Lubiri'!M29,'23.07 Ndeeba-Lubiri'!M29,'24.07 Ndeeba-Lubiri'!M29,'25.07 Ndeeba-Lubiri'!M29,'26.07 Ndeeba-Lubiri-24h'!M29,'27.07 Ndeeba-Lubiri-24h'!M29,'28.07 Ndeeba-Lubiri'!M29)</f>
        <v>206.71428571428572</v>
      </c>
      <c r="N29" s="49">
        <f>AVERAGE('22.07 Ndeeba-Lubiri'!N29,'23.07 Ndeeba-Lubiri'!N29,'24.07 Ndeeba-Lubiri'!N29,'25.07 Ndeeba-Lubiri'!N29,'26.07 Ndeeba-Lubiri-24h'!N29,'27.07 Ndeeba-Lubiri-24h'!N29,'28.07 Ndeeba-Lubiri'!N29)</f>
        <v>0</v>
      </c>
      <c r="O29" s="49">
        <f>AVERAGE('22.07 Ndeeba-Lubiri'!O29,'23.07 Ndeeba-Lubiri'!O29,'24.07 Ndeeba-Lubiri'!O29,'25.07 Ndeeba-Lubiri'!O29,'26.07 Ndeeba-Lubiri-24h'!O29,'27.07 Ndeeba-Lubiri-24h'!O29,'28.07 Ndeeba-Lubiri'!O29)</f>
        <v>115.85714285714286</v>
      </c>
      <c r="P29" s="49">
        <f>AVERAGE('22.07 Ndeeba-Lubiri'!P29,'23.07 Ndeeba-Lubiri'!P29,'24.07 Ndeeba-Lubiri'!P29,'25.07 Ndeeba-Lubiri'!P29,'26.07 Ndeeba-Lubiri-24h'!P29,'27.07 Ndeeba-Lubiri-24h'!P29,'28.07 Ndeeba-Lubiri'!P29)</f>
        <v>322.57142857142856</v>
      </c>
      <c r="R29" s="1" t="s">
        <v>153</v>
      </c>
      <c r="S29" s="34">
        <f>SUM(C86:C89)</f>
        <v>10.5</v>
      </c>
      <c r="T29" s="34">
        <f t="shared" ref="T29:AF29" si="21">SUM(D86:D89)</f>
        <v>4</v>
      </c>
      <c r="U29" s="34">
        <f t="shared" si="21"/>
        <v>1</v>
      </c>
      <c r="V29" s="34">
        <f t="shared" si="21"/>
        <v>1.5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2</v>
      </c>
      <c r="AA29" s="34">
        <f t="shared" si="21"/>
        <v>1</v>
      </c>
      <c r="AB29" s="34">
        <f t="shared" si="21"/>
        <v>0</v>
      </c>
      <c r="AC29" s="34">
        <f t="shared" si="21"/>
        <v>42</v>
      </c>
      <c r="AD29" s="34">
        <f t="shared" si="21"/>
        <v>0</v>
      </c>
      <c r="AE29" s="31">
        <f t="shared" si="21"/>
        <v>21</v>
      </c>
      <c r="AF29" s="31">
        <f t="shared" si="21"/>
        <v>63</v>
      </c>
    </row>
    <row r="30" spans="2:32" ht="23.1" customHeight="1" x14ac:dyDescent="0.25">
      <c r="B30" s="23" t="s">
        <v>57</v>
      </c>
      <c r="C30" s="49">
        <f>AVERAGE('22.07 Ndeeba-Lubiri'!C30,'23.07 Ndeeba-Lubiri'!C30,'24.07 Ndeeba-Lubiri'!C30,'25.07 Ndeeba-Lubiri'!C30,'26.07 Ndeeba-Lubiri-24h'!C30,'27.07 Ndeeba-Lubiri-24h'!C30,'28.07 Ndeeba-Lubiri'!C30)</f>
        <v>99.714285714285708</v>
      </c>
      <c r="D30" s="49">
        <f>AVERAGE('22.07 Ndeeba-Lubiri'!D30,'23.07 Ndeeba-Lubiri'!D30,'24.07 Ndeeba-Lubiri'!D30,'25.07 Ndeeba-Lubiri'!D30,'26.07 Ndeeba-Lubiri-24h'!D30,'27.07 Ndeeba-Lubiri-24h'!D30,'28.07 Ndeeba-Lubiri'!D30)</f>
        <v>9.2857142857142865</v>
      </c>
      <c r="E30" s="49">
        <f>AVERAGE('22.07 Ndeeba-Lubiri'!E30,'23.07 Ndeeba-Lubiri'!E30,'24.07 Ndeeba-Lubiri'!E30,'25.07 Ndeeba-Lubiri'!E30,'26.07 Ndeeba-Lubiri-24h'!E30,'27.07 Ndeeba-Lubiri-24h'!E30,'28.07 Ndeeba-Lubiri'!E30)</f>
        <v>9.5714285714285712</v>
      </c>
      <c r="F30" s="49">
        <f>AVERAGE('22.07 Ndeeba-Lubiri'!F30,'23.07 Ndeeba-Lubiri'!F30,'24.07 Ndeeba-Lubiri'!F30,'25.07 Ndeeba-Lubiri'!F30,'26.07 Ndeeba-Lubiri-24h'!F30,'27.07 Ndeeba-Lubiri-24h'!F30,'28.07 Ndeeba-Lubiri'!F30)</f>
        <v>4.8571428571428568</v>
      </c>
      <c r="G30" s="49">
        <f>AVERAGE('22.07 Ndeeba-Lubiri'!G30,'23.07 Ndeeba-Lubiri'!G30,'24.07 Ndeeba-Lubiri'!G30,'25.07 Ndeeba-Lubiri'!G30,'26.07 Ndeeba-Lubiri-24h'!G30,'27.07 Ndeeba-Lubiri-24h'!G30,'28.07 Ndeeba-Lubiri'!G30)</f>
        <v>0.2857142857142857</v>
      </c>
      <c r="H30" s="49">
        <f>AVERAGE('22.07 Ndeeba-Lubiri'!H30,'23.07 Ndeeba-Lubiri'!H30,'24.07 Ndeeba-Lubiri'!H30,'25.07 Ndeeba-Lubiri'!H30,'26.07 Ndeeba-Lubiri-24h'!H30,'27.07 Ndeeba-Lubiri-24h'!H30,'28.07 Ndeeba-Lubiri'!H30)</f>
        <v>0</v>
      </c>
      <c r="I30" s="49">
        <f>AVERAGE('22.07 Ndeeba-Lubiri'!I30,'23.07 Ndeeba-Lubiri'!I30,'24.07 Ndeeba-Lubiri'!I30,'25.07 Ndeeba-Lubiri'!I30,'26.07 Ndeeba-Lubiri-24h'!I30,'27.07 Ndeeba-Lubiri-24h'!I30,'28.07 Ndeeba-Lubiri'!I30)</f>
        <v>3.4285714285714284</v>
      </c>
      <c r="J30" s="49">
        <f>AVERAGE('22.07 Ndeeba-Lubiri'!J30,'23.07 Ndeeba-Lubiri'!J30,'24.07 Ndeeba-Lubiri'!J30,'25.07 Ndeeba-Lubiri'!J30,'26.07 Ndeeba-Lubiri-24h'!J30,'27.07 Ndeeba-Lubiri-24h'!J30,'28.07 Ndeeba-Lubiri'!J30)</f>
        <v>2.5714285714285716</v>
      </c>
      <c r="K30" s="49">
        <f>AVERAGE('22.07 Ndeeba-Lubiri'!K30,'23.07 Ndeeba-Lubiri'!K30,'24.07 Ndeeba-Lubiri'!K30,'25.07 Ndeeba-Lubiri'!K30,'26.07 Ndeeba-Lubiri-24h'!K30,'27.07 Ndeeba-Lubiri-24h'!K30,'28.07 Ndeeba-Lubiri'!K30)</f>
        <v>0.14285714285714285</v>
      </c>
      <c r="L30" s="49">
        <f>AVERAGE('22.07 Ndeeba-Lubiri'!L30,'23.07 Ndeeba-Lubiri'!L30,'24.07 Ndeeba-Lubiri'!L30,'25.07 Ndeeba-Lubiri'!L30,'26.07 Ndeeba-Lubiri-24h'!L30,'27.07 Ndeeba-Lubiri-24h'!L30,'28.07 Ndeeba-Lubiri'!L30)</f>
        <v>0.7142857142857143</v>
      </c>
      <c r="M30" s="49">
        <f>AVERAGE('22.07 Ndeeba-Lubiri'!M30,'23.07 Ndeeba-Lubiri'!M30,'24.07 Ndeeba-Lubiri'!M30,'25.07 Ndeeba-Lubiri'!M30,'26.07 Ndeeba-Lubiri-24h'!M30,'27.07 Ndeeba-Lubiri-24h'!M30,'28.07 Ndeeba-Lubiri'!M30)</f>
        <v>200.71428571428572</v>
      </c>
      <c r="N30" s="49">
        <f>AVERAGE('22.07 Ndeeba-Lubiri'!N30,'23.07 Ndeeba-Lubiri'!N30,'24.07 Ndeeba-Lubiri'!N30,'25.07 Ndeeba-Lubiri'!N30,'26.07 Ndeeba-Lubiri-24h'!N30,'27.07 Ndeeba-Lubiri-24h'!N30,'28.07 Ndeeba-Lubiri'!N30)</f>
        <v>0</v>
      </c>
      <c r="O30" s="49">
        <f>AVERAGE('22.07 Ndeeba-Lubiri'!O30,'23.07 Ndeeba-Lubiri'!O30,'24.07 Ndeeba-Lubiri'!O30,'25.07 Ndeeba-Lubiri'!O30,'26.07 Ndeeba-Lubiri-24h'!O30,'27.07 Ndeeba-Lubiri-24h'!O30,'28.07 Ndeeba-Lubiri'!O30)</f>
        <v>130.57142857142858</v>
      </c>
      <c r="P30" s="49">
        <f>AVERAGE('22.07 Ndeeba-Lubiri'!P30,'23.07 Ndeeba-Lubiri'!P30,'24.07 Ndeeba-Lubiri'!P30,'25.07 Ndeeba-Lubiri'!P30,'26.07 Ndeeba-Lubiri-24h'!P30,'27.07 Ndeeba-Lubiri-24h'!P30,'28.07 Ndeeba-Lubiri'!P30)</f>
        <v>331.28571428571428</v>
      </c>
      <c r="R30" s="1" t="s">
        <v>154</v>
      </c>
      <c r="S30" s="34">
        <f>SUM(C90:C93)</f>
        <v>8</v>
      </c>
      <c r="T30" s="34">
        <f t="shared" ref="T30:AF30" si="22">SUM(D90:D93)</f>
        <v>5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2.5</v>
      </c>
      <c r="Z30" s="34">
        <f t="shared" si="22"/>
        <v>1.5</v>
      </c>
      <c r="AA30" s="34">
        <f t="shared" si="22"/>
        <v>0.5</v>
      </c>
      <c r="AB30" s="34">
        <f t="shared" si="22"/>
        <v>0</v>
      </c>
      <c r="AC30" s="34">
        <f t="shared" si="22"/>
        <v>29.5</v>
      </c>
      <c r="AD30" s="34">
        <f t="shared" si="22"/>
        <v>0</v>
      </c>
      <c r="AE30" s="31">
        <f t="shared" si="22"/>
        <v>19.5</v>
      </c>
      <c r="AF30" s="31">
        <f t="shared" si="22"/>
        <v>49</v>
      </c>
    </row>
    <row r="31" spans="2:32" ht="23.1" customHeight="1" x14ac:dyDescent="0.25">
      <c r="B31" s="24" t="s">
        <v>58</v>
      </c>
      <c r="C31" s="49">
        <f>AVERAGE('22.07 Ndeeba-Lubiri'!C31,'23.07 Ndeeba-Lubiri'!C31,'24.07 Ndeeba-Lubiri'!C31,'25.07 Ndeeba-Lubiri'!C31,'26.07 Ndeeba-Lubiri-24h'!C31,'27.07 Ndeeba-Lubiri-24h'!C31,'28.07 Ndeeba-Lubiri'!C31)</f>
        <v>78.714285714285708</v>
      </c>
      <c r="D31" s="49">
        <f>AVERAGE('22.07 Ndeeba-Lubiri'!D31,'23.07 Ndeeba-Lubiri'!D31,'24.07 Ndeeba-Lubiri'!D31,'25.07 Ndeeba-Lubiri'!D31,'26.07 Ndeeba-Lubiri-24h'!D31,'27.07 Ndeeba-Lubiri-24h'!D31,'28.07 Ndeeba-Lubiri'!D31)</f>
        <v>8.1428571428571423</v>
      </c>
      <c r="E31" s="49">
        <f>AVERAGE('22.07 Ndeeba-Lubiri'!E31,'23.07 Ndeeba-Lubiri'!E31,'24.07 Ndeeba-Lubiri'!E31,'25.07 Ndeeba-Lubiri'!E31,'26.07 Ndeeba-Lubiri-24h'!E31,'27.07 Ndeeba-Lubiri-24h'!E31,'28.07 Ndeeba-Lubiri'!E31)</f>
        <v>6.8571428571428568</v>
      </c>
      <c r="F31" s="49">
        <f>AVERAGE('22.07 Ndeeba-Lubiri'!F31,'23.07 Ndeeba-Lubiri'!F31,'24.07 Ndeeba-Lubiri'!F31,'25.07 Ndeeba-Lubiri'!F31,'26.07 Ndeeba-Lubiri-24h'!F31,'27.07 Ndeeba-Lubiri-24h'!F31,'28.07 Ndeeba-Lubiri'!F31)</f>
        <v>2.7142857142857144</v>
      </c>
      <c r="G31" s="49">
        <f>AVERAGE('22.07 Ndeeba-Lubiri'!G31,'23.07 Ndeeba-Lubiri'!G31,'24.07 Ndeeba-Lubiri'!G31,'25.07 Ndeeba-Lubiri'!G31,'26.07 Ndeeba-Lubiri-24h'!G31,'27.07 Ndeeba-Lubiri-24h'!G31,'28.07 Ndeeba-Lubiri'!G31)</f>
        <v>0.2857142857142857</v>
      </c>
      <c r="H31" s="49">
        <f>AVERAGE('22.07 Ndeeba-Lubiri'!H31,'23.07 Ndeeba-Lubiri'!H31,'24.07 Ndeeba-Lubiri'!H31,'25.07 Ndeeba-Lubiri'!H31,'26.07 Ndeeba-Lubiri-24h'!H31,'27.07 Ndeeba-Lubiri-24h'!H31,'28.07 Ndeeba-Lubiri'!H31)</f>
        <v>0</v>
      </c>
      <c r="I31" s="49">
        <f>AVERAGE('22.07 Ndeeba-Lubiri'!I31,'23.07 Ndeeba-Lubiri'!I31,'24.07 Ndeeba-Lubiri'!I31,'25.07 Ndeeba-Lubiri'!I31,'26.07 Ndeeba-Lubiri-24h'!I31,'27.07 Ndeeba-Lubiri-24h'!I31,'28.07 Ndeeba-Lubiri'!I31)</f>
        <v>4</v>
      </c>
      <c r="J31" s="49">
        <f>AVERAGE('22.07 Ndeeba-Lubiri'!J31,'23.07 Ndeeba-Lubiri'!J31,'24.07 Ndeeba-Lubiri'!J31,'25.07 Ndeeba-Lubiri'!J31,'26.07 Ndeeba-Lubiri-24h'!J31,'27.07 Ndeeba-Lubiri-24h'!J31,'28.07 Ndeeba-Lubiri'!J31)</f>
        <v>3.5714285714285716</v>
      </c>
      <c r="K31" s="49">
        <f>AVERAGE('22.07 Ndeeba-Lubiri'!K31,'23.07 Ndeeba-Lubiri'!K31,'24.07 Ndeeba-Lubiri'!K31,'25.07 Ndeeba-Lubiri'!K31,'26.07 Ndeeba-Lubiri-24h'!K31,'27.07 Ndeeba-Lubiri-24h'!K31,'28.07 Ndeeba-Lubiri'!K31)</f>
        <v>0.2857142857142857</v>
      </c>
      <c r="L31" s="49">
        <f>AVERAGE('22.07 Ndeeba-Lubiri'!L31,'23.07 Ndeeba-Lubiri'!L31,'24.07 Ndeeba-Lubiri'!L31,'25.07 Ndeeba-Lubiri'!L31,'26.07 Ndeeba-Lubiri-24h'!L31,'27.07 Ndeeba-Lubiri-24h'!L31,'28.07 Ndeeba-Lubiri'!L31)</f>
        <v>0.2857142857142857</v>
      </c>
      <c r="M31" s="49">
        <f>AVERAGE('22.07 Ndeeba-Lubiri'!M31,'23.07 Ndeeba-Lubiri'!M31,'24.07 Ndeeba-Lubiri'!M31,'25.07 Ndeeba-Lubiri'!M31,'26.07 Ndeeba-Lubiri-24h'!M31,'27.07 Ndeeba-Lubiri-24h'!M31,'28.07 Ndeeba-Lubiri'!M31)</f>
        <v>204.42857142857142</v>
      </c>
      <c r="N31" s="49">
        <f>AVERAGE('22.07 Ndeeba-Lubiri'!N31,'23.07 Ndeeba-Lubiri'!N31,'24.07 Ndeeba-Lubiri'!N31,'25.07 Ndeeba-Lubiri'!N31,'26.07 Ndeeba-Lubiri-24h'!N31,'27.07 Ndeeba-Lubiri-24h'!N31,'28.07 Ndeeba-Lubiri'!N31)</f>
        <v>0</v>
      </c>
      <c r="O31" s="49">
        <f>AVERAGE('22.07 Ndeeba-Lubiri'!O31,'23.07 Ndeeba-Lubiri'!O31,'24.07 Ndeeba-Lubiri'!O31,'25.07 Ndeeba-Lubiri'!O31,'26.07 Ndeeba-Lubiri-24h'!O31,'27.07 Ndeeba-Lubiri-24h'!O31,'28.07 Ndeeba-Lubiri'!O31)</f>
        <v>104.85714285714286</v>
      </c>
      <c r="P31" s="49">
        <f>AVERAGE('22.07 Ndeeba-Lubiri'!P31,'23.07 Ndeeba-Lubiri'!P31,'24.07 Ndeeba-Lubiri'!P31,'25.07 Ndeeba-Lubiri'!P31,'26.07 Ndeeba-Lubiri-24h'!P31,'27.07 Ndeeba-Lubiri-24h'!P31,'28.07 Ndeeba-Lubiri'!P31)</f>
        <v>309.28571428571428</v>
      </c>
      <c r="R31" s="1" t="s">
        <v>155</v>
      </c>
      <c r="S31" s="34">
        <f>SUM(C94:C97)</f>
        <v>9.5</v>
      </c>
      <c r="T31" s="34">
        <f t="shared" ref="T31:AF31" si="23">SUM(D94:D97)</f>
        <v>0.5</v>
      </c>
      <c r="U31" s="34">
        <f t="shared" si="23"/>
        <v>1</v>
      </c>
      <c r="V31" s="34">
        <f t="shared" si="23"/>
        <v>3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5</v>
      </c>
      <c r="AA31" s="34">
        <f t="shared" si="23"/>
        <v>1</v>
      </c>
      <c r="AB31" s="34">
        <f t="shared" si="23"/>
        <v>0</v>
      </c>
      <c r="AC31" s="34">
        <f t="shared" si="23"/>
        <v>30.5</v>
      </c>
      <c r="AD31" s="34">
        <f t="shared" si="23"/>
        <v>0</v>
      </c>
      <c r="AE31" s="31">
        <f t="shared" si="23"/>
        <v>22</v>
      </c>
      <c r="AF31" s="31">
        <f t="shared" si="23"/>
        <v>52.5</v>
      </c>
    </row>
    <row r="32" spans="2:32" ht="23.1" customHeight="1" x14ac:dyDescent="0.25">
      <c r="B32" s="24" t="s">
        <v>59</v>
      </c>
      <c r="C32" s="49">
        <f>AVERAGE('22.07 Ndeeba-Lubiri'!C32,'23.07 Ndeeba-Lubiri'!C32,'24.07 Ndeeba-Lubiri'!C32,'25.07 Ndeeba-Lubiri'!C32,'26.07 Ndeeba-Lubiri-24h'!C32,'27.07 Ndeeba-Lubiri-24h'!C32,'28.07 Ndeeba-Lubiri'!C32)</f>
        <v>79.285714285714292</v>
      </c>
      <c r="D32" s="49">
        <f>AVERAGE('22.07 Ndeeba-Lubiri'!D32,'23.07 Ndeeba-Lubiri'!D32,'24.07 Ndeeba-Lubiri'!D32,'25.07 Ndeeba-Lubiri'!D32,'26.07 Ndeeba-Lubiri-24h'!D32,'27.07 Ndeeba-Lubiri-24h'!D32,'28.07 Ndeeba-Lubiri'!D32)</f>
        <v>8.7142857142857135</v>
      </c>
      <c r="E32" s="49">
        <f>AVERAGE('22.07 Ndeeba-Lubiri'!E32,'23.07 Ndeeba-Lubiri'!E32,'24.07 Ndeeba-Lubiri'!E32,'25.07 Ndeeba-Lubiri'!E32,'26.07 Ndeeba-Lubiri-24h'!E32,'27.07 Ndeeba-Lubiri-24h'!E32,'28.07 Ndeeba-Lubiri'!E32)</f>
        <v>7.8571428571428568</v>
      </c>
      <c r="F32" s="49">
        <f>AVERAGE('22.07 Ndeeba-Lubiri'!F32,'23.07 Ndeeba-Lubiri'!F32,'24.07 Ndeeba-Lubiri'!F32,'25.07 Ndeeba-Lubiri'!F32,'26.07 Ndeeba-Lubiri-24h'!F32,'27.07 Ndeeba-Lubiri-24h'!F32,'28.07 Ndeeba-Lubiri'!F32)</f>
        <v>6.2857142857142856</v>
      </c>
      <c r="G32" s="49">
        <f>AVERAGE('22.07 Ndeeba-Lubiri'!G32,'23.07 Ndeeba-Lubiri'!G32,'24.07 Ndeeba-Lubiri'!G32,'25.07 Ndeeba-Lubiri'!G32,'26.07 Ndeeba-Lubiri-24h'!G32,'27.07 Ndeeba-Lubiri-24h'!G32,'28.07 Ndeeba-Lubiri'!G32)</f>
        <v>0.14285714285714285</v>
      </c>
      <c r="H32" s="49">
        <f>AVERAGE('22.07 Ndeeba-Lubiri'!H32,'23.07 Ndeeba-Lubiri'!H32,'24.07 Ndeeba-Lubiri'!H32,'25.07 Ndeeba-Lubiri'!H32,'26.07 Ndeeba-Lubiri-24h'!H32,'27.07 Ndeeba-Lubiri-24h'!H32,'28.07 Ndeeba-Lubiri'!H32)</f>
        <v>0</v>
      </c>
      <c r="I32" s="49">
        <f>AVERAGE('22.07 Ndeeba-Lubiri'!I32,'23.07 Ndeeba-Lubiri'!I32,'24.07 Ndeeba-Lubiri'!I32,'25.07 Ndeeba-Lubiri'!I32,'26.07 Ndeeba-Lubiri-24h'!I32,'27.07 Ndeeba-Lubiri-24h'!I32,'28.07 Ndeeba-Lubiri'!I32)</f>
        <v>5.1428571428571432</v>
      </c>
      <c r="J32" s="49">
        <f>AVERAGE('22.07 Ndeeba-Lubiri'!J32,'23.07 Ndeeba-Lubiri'!J32,'24.07 Ndeeba-Lubiri'!J32,'25.07 Ndeeba-Lubiri'!J32,'26.07 Ndeeba-Lubiri-24h'!J32,'27.07 Ndeeba-Lubiri-24h'!J32,'28.07 Ndeeba-Lubiri'!J32)</f>
        <v>4.5714285714285712</v>
      </c>
      <c r="K32" s="49">
        <f>AVERAGE('22.07 Ndeeba-Lubiri'!K32,'23.07 Ndeeba-Lubiri'!K32,'24.07 Ndeeba-Lubiri'!K32,'25.07 Ndeeba-Lubiri'!K32,'26.07 Ndeeba-Lubiri-24h'!K32,'27.07 Ndeeba-Lubiri-24h'!K32,'28.07 Ndeeba-Lubiri'!K32)</f>
        <v>0.5714285714285714</v>
      </c>
      <c r="L32" s="49">
        <f>AVERAGE('22.07 Ndeeba-Lubiri'!L32,'23.07 Ndeeba-Lubiri'!L32,'24.07 Ndeeba-Lubiri'!L32,'25.07 Ndeeba-Lubiri'!L32,'26.07 Ndeeba-Lubiri-24h'!L32,'27.07 Ndeeba-Lubiri-24h'!L32,'28.07 Ndeeba-Lubiri'!L32)</f>
        <v>1</v>
      </c>
      <c r="M32" s="49">
        <f>AVERAGE('22.07 Ndeeba-Lubiri'!M32,'23.07 Ndeeba-Lubiri'!M32,'24.07 Ndeeba-Lubiri'!M32,'25.07 Ndeeba-Lubiri'!M32,'26.07 Ndeeba-Lubiri-24h'!M32,'27.07 Ndeeba-Lubiri-24h'!M32,'28.07 Ndeeba-Lubiri'!M32)</f>
        <v>232.85714285714286</v>
      </c>
      <c r="N32" s="49">
        <f>AVERAGE('22.07 Ndeeba-Lubiri'!N32,'23.07 Ndeeba-Lubiri'!N32,'24.07 Ndeeba-Lubiri'!N32,'25.07 Ndeeba-Lubiri'!N32,'26.07 Ndeeba-Lubiri-24h'!N32,'27.07 Ndeeba-Lubiri-24h'!N32,'28.07 Ndeeba-Lubiri'!N32)</f>
        <v>0</v>
      </c>
      <c r="O32" s="49">
        <f>AVERAGE('22.07 Ndeeba-Lubiri'!O32,'23.07 Ndeeba-Lubiri'!O32,'24.07 Ndeeba-Lubiri'!O32,'25.07 Ndeeba-Lubiri'!O32,'26.07 Ndeeba-Lubiri-24h'!O32,'27.07 Ndeeba-Lubiri-24h'!O32,'28.07 Ndeeba-Lubiri'!O32)</f>
        <v>113.57142857142857</v>
      </c>
      <c r="P32" s="49">
        <f>AVERAGE('22.07 Ndeeba-Lubiri'!P32,'23.07 Ndeeba-Lubiri'!P32,'24.07 Ndeeba-Lubiri'!P32,'25.07 Ndeeba-Lubiri'!P32,'26.07 Ndeeba-Lubiri-24h'!P32,'27.07 Ndeeba-Lubiri-24h'!P32,'28.07 Ndeeba-Lubiri'!P32)</f>
        <v>346.42857142857144</v>
      </c>
      <c r="R32" s="1" t="s">
        <v>156</v>
      </c>
      <c r="S32" s="34">
        <f>SUM(C98:C101)</f>
        <v>16.5</v>
      </c>
      <c r="T32" s="34">
        <f t="shared" ref="T32:AF32" si="24">SUM(D98:D101)</f>
        <v>5.5</v>
      </c>
      <c r="U32" s="34">
        <f t="shared" si="24"/>
        <v>4</v>
      </c>
      <c r="V32" s="34">
        <f t="shared" si="24"/>
        <v>0.5</v>
      </c>
      <c r="W32" s="34">
        <f t="shared" si="24"/>
        <v>0.5</v>
      </c>
      <c r="X32" s="34">
        <f t="shared" si="24"/>
        <v>0</v>
      </c>
      <c r="Y32" s="34">
        <f t="shared" si="24"/>
        <v>2.5</v>
      </c>
      <c r="Z32" s="34">
        <f t="shared" si="24"/>
        <v>2</v>
      </c>
      <c r="AA32" s="34">
        <f t="shared" si="24"/>
        <v>0</v>
      </c>
      <c r="AB32" s="34">
        <f t="shared" si="24"/>
        <v>0.5</v>
      </c>
      <c r="AC32" s="34">
        <f t="shared" si="24"/>
        <v>48.5</v>
      </c>
      <c r="AD32" s="34">
        <f t="shared" si="24"/>
        <v>0</v>
      </c>
      <c r="AE32" s="31">
        <f t="shared" si="24"/>
        <v>32</v>
      </c>
      <c r="AF32" s="31">
        <f t="shared" si="24"/>
        <v>80.5</v>
      </c>
    </row>
    <row r="33" spans="2:32" ht="23.1" customHeight="1" x14ac:dyDescent="0.25">
      <c r="B33" s="23" t="s">
        <v>60</v>
      </c>
      <c r="C33" s="49">
        <f>AVERAGE('22.07 Ndeeba-Lubiri'!C33,'23.07 Ndeeba-Lubiri'!C33,'24.07 Ndeeba-Lubiri'!C33,'25.07 Ndeeba-Lubiri'!C33,'26.07 Ndeeba-Lubiri-24h'!C33,'27.07 Ndeeba-Lubiri-24h'!C33,'28.07 Ndeeba-Lubiri'!C33)</f>
        <v>71</v>
      </c>
      <c r="D33" s="49">
        <f>AVERAGE('22.07 Ndeeba-Lubiri'!D33,'23.07 Ndeeba-Lubiri'!D33,'24.07 Ndeeba-Lubiri'!D33,'25.07 Ndeeba-Lubiri'!D33,'26.07 Ndeeba-Lubiri-24h'!D33,'27.07 Ndeeba-Lubiri-24h'!D33,'28.07 Ndeeba-Lubiri'!D33)</f>
        <v>11</v>
      </c>
      <c r="E33" s="49">
        <f>AVERAGE('22.07 Ndeeba-Lubiri'!E33,'23.07 Ndeeba-Lubiri'!E33,'24.07 Ndeeba-Lubiri'!E33,'25.07 Ndeeba-Lubiri'!E33,'26.07 Ndeeba-Lubiri-24h'!E33,'27.07 Ndeeba-Lubiri-24h'!E33,'28.07 Ndeeba-Lubiri'!E33)</f>
        <v>12.714285714285714</v>
      </c>
      <c r="F33" s="49">
        <f>AVERAGE('22.07 Ndeeba-Lubiri'!F33,'23.07 Ndeeba-Lubiri'!F33,'24.07 Ndeeba-Lubiri'!F33,'25.07 Ndeeba-Lubiri'!F33,'26.07 Ndeeba-Lubiri-24h'!F33,'27.07 Ndeeba-Lubiri-24h'!F33,'28.07 Ndeeba-Lubiri'!F33)</f>
        <v>10.571428571428571</v>
      </c>
      <c r="G33" s="49">
        <f>AVERAGE('22.07 Ndeeba-Lubiri'!G33,'23.07 Ndeeba-Lubiri'!G33,'24.07 Ndeeba-Lubiri'!G33,'25.07 Ndeeba-Lubiri'!G33,'26.07 Ndeeba-Lubiri-24h'!G33,'27.07 Ndeeba-Lubiri-24h'!G33,'28.07 Ndeeba-Lubiri'!G33)</f>
        <v>0.42857142857142855</v>
      </c>
      <c r="H33" s="49">
        <f>AVERAGE('22.07 Ndeeba-Lubiri'!H33,'23.07 Ndeeba-Lubiri'!H33,'24.07 Ndeeba-Lubiri'!H33,'25.07 Ndeeba-Lubiri'!H33,'26.07 Ndeeba-Lubiri-24h'!H33,'27.07 Ndeeba-Lubiri-24h'!H33,'28.07 Ndeeba-Lubiri'!H33)</f>
        <v>0</v>
      </c>
      <c r="I33" s="49">
        <f>AVERAGE('22.07 Ndeeba-Lubiri'!I33,'23.07 Ndeeba-Lubiri'!I33,'24.07 Ndeeba-Lubiri'!I33,'25.07 Ndeeba-Lubiri'!I33,'26.07 Ndeeba-Lubiri-24h'!I33,'27.07 Ndeeba-Lubiri-24h'!I33,'28.07 Ndeeba-Lubiri'!I33)</f>
        <v>6.1428571428571432</v>
      </c>
      <c r="J33" s="49">
        <f>AVERAGE('22.07 Ndeeba-Lubiri'!J33,'23.07 Ndeeba-Lubiri'!J33,'24.07 Ndeeba-Lubiri'!J33,'25.07 Ndeeba-Lubiri'!J33,'26.07 Ndeeba-Lubiri-24h'!J33,'27.07 Ndeeba-Lubiri-24h'!J33,'28.07 Ndeeba-Lubiri'!J33)</f>
        <v>2.8571428571428572</v>
      </c>
      <c r="K33" s="49">
        <f>AVERAGE('22.07 Ndeeba-Lubiri'!K33,'23.07 Ndeeba-Lubiri'!K33,'24.07 Ndeeba-Lubiri'!K33,'25.07 Ndeeba-Lubiri'!K33,'26.07 Ndeeba-Lubiri-24h'!K33,'27.07 Ndeeba-Lubiri-24h'!K33,'28.07 Ndeeba-Lubiri'!K33)</f>
        <v>0</v>
      </c>
      <c r="L33" s="49">
        <f>AVERAGE('22.07 Ndeeba-Lubiri'!L33,'23.07 Ndeeba-Lubiri'!L33,'24.07 Ndeeba-Lubiri'!L33,'25.07 Ndeeba-Lubiri'!L33,'26.07 Ndeeba-Lubiri-24h'!L33,'27.07 Ndeeba-Lubiri-24h'!L33,'28.07 Ndeeba-Lubiri'!L33)</f>
        <v>1</v>
      </c>
      <c r="M33" s="49">
        <f>AVERAGE('22.07 Ndeeba-Lubiri'!M33,'23.07 Ndeeba-Lubiri'!M33,'24.07 Ndeeba-Lubiri'!M33,'25.07 Ndeeba-Lubiri'!M33,'26.07 Ndeeba-Lubiri-24h'!M33,'27.07 Ndeeba-Lubiri-24h'!M33,'28.07 Ndeeba-Lubiri'!M33)</f>
        <v>194.28571428571428</v>
      </c>
      <c r="N33" s="49">
        <f>AVERAGE('22.07 Ndeeba-Lubiri'!N33,'23.07 Ndeeba-Lubiri'!N33,'24.07 Ndeeba-Lubiri'!N33,'25.07 Ndeeba-Lubiri'!N33,'26.07 Ndeeba-Lubiri-24h'!N33,'27.07 Ndeeba-Lubiri-24h'!N33,'28.07 Ndeeba-Lubiri'!N33)</f>
        <v>0</v>
      </c>
      <c r="O33" s="49">
        <f>AVERAGE('22.07 Ndeeba-Lubiri'!O33,'23.07 Ndeeba-Lubiri'!O33,'24.07 Ndeeba-Lubiri'!O33,'25.07 Ndeeba-Lubiri'!O33,'26.07 Ndeeba-Lubiri-24h'!O33,'27.07 Ndeeba-Lubiri-24h'!O33,'28.07 Ndeeba-Lubiri'!O33)</f>
        <v>115.71428571428571</v>
      </c>
      <c r="P33" s="49">
        <f>AVERAGE('22.07 Ndeeba-Lubiri'!P33,'23.07 Ndeeba-Lubiri'!P33,'24.07 Ndeeba-Lubiri'!P33,'25.07 Ndeeba-Lubiri'!P33,'26.07 Ndeeba-Lubiri-24h'!P33,'27.07 Ndeeba-Lubiri-24h'!P33,'28.07 Ndeeba-Lubiri'!P33)</f>
        <v>310</v>
      </c>
      <c r="R33" s="1" t="s">
        <v>157</v>
      </c>
      <c r="S33" s="34">
        <f>SUM(C102:C105)</f>
        <v>32</v>
      </c>
      <c r="T33" s="34">
        <f t="shared" ref="T33:AF33" si="25">SUM(D102:D105)</f>
        <v>5</v>
      </c>
      <c r="U33" s="34">
        <f t="shared" si="25"/>
        <v>4.5</v>
      </c>
      <c r="V33" s="34">
        <f t="shared" si="25"/>
        <v>6.5</v>
      </c>
      <c r="W33" s="34">
        <f t="shared" si="25"/>
        <v>0</v>
      </c>
      <c r="X33" s="34">
        <f t="shared" si="25"/>
        <v>0</v>
      </c>
      <c r="Y33" s="34">
        <f t="shared" si="25"/>
        <v>3</v>
      </c>
      <c r="Z33" s="34">
        <f t="shared" si="25"/>
        <v>1.5</v>
      </c>
      <c r="AA33" s="34">
        <f t="shared" si="25"/>
        <v>1.5</v>
      </c>
      <c r="AB33" s="34">
        <f t="shared" si="25"/>
        <v>0</v>
      </c>
      <c r="AC33" s="34">
        <f t="shared" si="25"/>
        <v>71.5</v>
      </c>
      <c r="AD33" s="34">
        <f t="shared" si="25"/>
        <v>0</v>
      </c>
      <c r="AE33" s="31">
        <f t="shared" si="25"/>
        <v>54</v>
      </c>
      <c r="AF33" s="31">
        <f t="shared" si="25"/>
        <v>125.5</v>
      </c>
    </row>
    <row r="34" spans="2:32" ht="23.1" customHeight="1" x14ac:dyDescent="0.25">
      <c r="B34" s="24" t="s">
        <v>61</v>
      </c>
      <c r="C34" s="49">
        <f>AVERAGE('22.07 Ndeeba-Lubiri'!C34,'23.07 Ndeeba-Lubiri'!C34,'24.07 Ndeeba-Lubiri'!C34,'25.07 Ndeeba-Lubiri'!C34,'26.07 Ndeeba-Lubiri-24h'!C34,'27.07 Ndeeba-Lubiri-24h'!C34,'28.07 Ndeeba-Lubiri'!C34)</f>
        <v>88.714285714285708</v>
      </c>
      <c r="D34" s="49">
        <f>AVERAGE('22.07 Ndeeba-Lubiri'!D34,'23.07 Ndeeba-Lubiri'!D34,'24.07 Ndeeba-Lubiri'!D34,'25.07 Ndeeba-Lubiri'!D34,'26.07 Ndeeba-Lubiri-24h'!D34,'27.07 Ndeeba-Lubiri-24h'!D34,'28.07 Ndeeba-Lubiri'!D34)</f>
        <v>8.2857142857142865</v>
      </c>
      <c r="E34" s="49">
        <f>AVERAGE('22.07 Ndeeba-Lubiri'!E34,'23.07 Ndeeba-Lubiri'!E34,'24.07 Ndeeba-Lubiri'!E34,'25.07 Ndeeba-Lubiri'!E34,'26.07 Ndeeba-Lubiri-24h'!E34,'27.07 Ndeeba-Lubiri-24h'!E34,'28.07 Ndeeba-Lubiri'!E34)</f>
        <v>8.8571428571428577</v>
      </c>
      <c r="F34" s="49">
        <f>AVERAGE('22.07 Ndeeba-Lubiri'!F34,'23.07 Ndeeba-Lubiri'!F34,'24.07 Ndeeba-Lubiri'!F34,'25.07 Ndeeba-Lubiri'!F34,'26.07 Ndeeba-Lubiri-24h'!F34,'27.07 Ndeeba-Lubiri-24h'!F34,'28.07 Ndeeba-Lubiri'!F34)</f>
        <v>4.1428571428571432</v>
      </c>
      <c r="G34" s="49">
        <f>AVERAGE('22.07 Ndeeba-Lubiri'!G34,'23.07 Ndeeba-Lubiri'!G34,'24.07 Ndeeba-Lubiri'!G34,'25.07 Ndeeba-Lubiri'!G34,'26.07 Ndeeba-Lubiri-24h'!G34,'27.07 Ndeeba-Lubiri-24h'!G34,'28.07 Ndeeba-Lubiri'!G34)</f>
        <v>0.14285714285714285</v>
      </c>
      <c r="H34" s="49">
        <f>AVERAGE('22.07 Ndeeba-Lubiri'!H34,'23.07 Ndeeba-Lubiri'!H34,'24.07 Ndeeba-Lubiri'!H34,'25.07 Ndeeba-Lubiri'!H34,'26.07 Ndeeba-Lubiri-24h'!H34,'27.07 Ndeeba-Lubiri-24h'!H34,'28.07 Ndeeba-Lubiri'!H34)</f>
        <v>0</v>
      </c>
      <c r="I34" s="49">
        <f>AVERAGE('22.07 Ndeeba-Lubiri'!I34,'23.07 Ndeeba-Lubiri'!I34,'24.07 Ndeeba-Lubiri'!I34,'25.07 Ndeeba-Lubiri'!I34,'26.07 Ndeeba-Lubiri-24h'!I34,'27.07 Ndeeba-Lubiri-24h'!I34,'28.07 Ndeeba-Lubiri'!I34)</f>
        <v>3.8571428571428572</v>
      </c>
      <c r="J34" s="49">
        <f>AVERAGE('22.07 Ndeeba-Lubiri'!J34,'23.07 Ndeeba-Lubiri'!J34,'24.07 Ndeeba-Lubiri'!J34,'25.07 Ndeeba-Lubiri'!J34,'26.07 Ndeeba-Lubiri-24h'!J34,'27.07 Ndeeba-Lubiri-24h'!J34,'28.07 Ndeeba-Lubiri'!J34)</f>
        <v>1.7142857142857142</v>
      </c>
      <c r="K34" s="49">
        <f>AVERAGE('22.07 Ndeeba-Lubiri'!K34,'23.07 Ndeeba-Lubiri'!K34,'24.07 Ndeeba-Lubiri'!K34,'25.07 Ndeeba-Lubiri'!K34,'26.07 Ndeeba-Lubiri-24h'!K34,'27.07 Ndeeba-Lubiri-24h'!K34,'28.07 Ndeeba-Lubiri'!K34)</f>
        <v>0.7142857142857143</v>
      </c>
      <c r="L34" s="49">
        <f>AVERAGE('22.07 Ndeeba-Lubiri'!L34,'23.07 Ndeeba-Lubiri'!L34,'24.07 Ndeeba-Lubiri'!L34,'25.07 Ndeeba-Lubiri'!L34,'26.07 Ndeeba-Lubiri-24h'!L34,'27.07 Ndeeba-Lubiri-24h'!L34,'28.07 Ndeeba-Lubiri'!L34)</f>
        <v>0.5714285714285714</v>
      </c>
      <c r="M34" s="49">
        <f>AVERAGE('22.07 Ndeeba-Lubiri'!M34,'23.07 Ndeeba-Lubiri'!M34,'24.07 Ndeeba-Lubiri'!M34,'25.07 Ndeeba-Lubiri'!M34,'26.07 Ndeeba-Lubiri-24h'!M34,'27.07 Ndeeba-Lubiri-24h'!M34,'28.07 Ndeeba-Lubiri'!M34)</f>
        <v>225.85714285714286</v>
      </c>
      <c r="N34" s="49">
        <f>AVERAGE('22.07 Ndeeba-Lubiri'!N34,'23.07 Ndeeba-Lubiri'!N34,'24.07 Ndeeba-Lubiri'!N34,'25.07 Ndeeba-Lubiri'!N34,'26.07 Ndeeba-Lubiri-24h'!N34,'27.07 Ndeeba-Lubiri-24h'!N34,'28.07 Ndeeba-Lubiri'!N34)</f>
        <v>0</v>
      </c>
      <c r="O34" s="49">
        <f>AVERAGE('22.07 Ndeeba-Lubiri'!O34,'23.07 Ndeeba-Lubiri'!O34,'24.07 Ndeeba-Lubiri'!O34,'25.07 Ndeeba-Lubiri'!O34,'26.07 Ndeeba-Lubiri-24h'!O34,'27.07 Ndeeba-Lubiri-24h'!O34,'28.07 Ndeeba-Lubiri'!O34)</f>
        <v>117</v>
      </c>
      <c r="P34" s="49">
        <f>AVERAGE('22.07 Ndeeba-Lubiri'!P34,'23.07 Ndeeba-Lubiri'!P34,'24.07 Ndeeba-Lubiri'!P34,'25.07 Ndeeba-Lubiri'!P34,'26.07 Ndeeba-Lubiri-24h'!P34,'27.07 Ndeeba-Lubiri-24h'!P34,'28.07 Ndeeba-Lubiri'!P34)</f>
        <v>342.85714285714283</v>
      </c>
      <c r="R34" s="38" t="s">
        <v>90</v>
      </c>
      <c r="S34" s="39">
        <f t="shared" ref="S34:AF34" si="26">MAX(S10:S12)</f>
        <v>414.42857142857144</v>
      </c>
      <c r="T34" s="39">
        <f t="shared" si="26"/>
        <v>44.285714285714285</v>
      </c>
      <c r="U34" s="39">
        <f t="shared" si="26"/>
        <v>38.714285714285715</v>
      </c>
      <c r="V34" s="39">
        <f t="shared" si="26"/>
        <v>145.57142857142856</v>
      </c>
      <c r="W34" s="39">
        <f t="shared" si="26"/>
        <v>2.5714285714285716</v>
      </c>
      <c r="X34" s="39">
        <f t="shared" si="26"/>
        <v>0.5714285714285714</v>
      </c>
      <c r="Y34" s="39">
        <f t="shared" si="26"/>
        <v>22.428571428571431</v>
      </c>
      <c r="Z34" s="39">
        <f t="shared" si="26"/>
        <v>11.142857142857142</v>
      </c>
      <c r="AA34" s="39">
        <f t="shared" si="26"/>
        <v>6.5714285714285712</v>
      </c>
      <c r="AB34" s="39">
        <f t="shared" si="26"/>
        <v>37.142857142857146</v>
      </c>
      <c r="AC34" s="39">
        <f t="shared" si="26"/>
        <v>834.85714285714289</v>
      </c>
      <c r="AD34" s="39">
        <f t="shared" si="26"/>
        <v>0</v>
      </c>
      <c r="AE34" s="40">
        <f t="shared" si="26"/>
        <v>695.99999999999989</v>
      </c>
      <c r="AF34" s="40">
        <f t="shared" si="26"/>
        <v>1418.4285714285713</v>
      </c>
    </row>
    <row r="35" spans="2:32" ht="23.1" customHeight="1" x14ac:dyDescent="0.25">
      <c r="B35" s="24" t="s">
        <v>62</v>
      </c>
      <c r="C35" s="49">
        <f>AVERAGE('22.07 Ndeeba-Lubiri'!C35,'23.07 Ndeeba-Lubiri'!C35,'24.07 Ndeeba-Lubiri'!C35,'25.07 Ndeeba-Lubiri'!C35,'26.07 Ndeeba-Lubiri-24h'!C35,'27.07 Ndeeba-Lubiri-24h'!C35,'28.07 Ndeeba-Lubiri'!C35)</f>
        <v>85.714285714285708</v>
      </c>
      <c r="D35" s="49">
        <f>AVERAGE('22.07 Ndeeba-Lubiri'!D35,'23.07 Ndeeba-Lubiri'!D35,'24.07 Ndeeba-Lubiri'!D35,'25.07 Ndeeba-Lubiri'!D35,'26.07 Ndeeba-Lubiri-24h'!D35,'27.07 Ndeeba-Lubiri-24h'!D35,'28.07 Ndeeba-Lubiri'!D35)</f>
        <v>12.571428571428571</v>
      </c>
      <c r="E35" s="49">
        <f>AVERAGE('22.07 Ndeeba-Lubiri'!E35,'23.07 Ndeeba-Lubiri'!E35,'24.07 Ndeeba-Lubiri'!E35,'25.07 Ndeeba-Lubiri'!E35,'26.07 Ndeeba-Lubiri-24h'!E35,'27.07 Ndeeba-Lubiri-24h'!E35,'28.07 Ndeeba-Lubiri'!E35)</f>
        <v>4.7142857142857144</v>
      </c>
      <c r="F35" s="49">
        <f>AVERAGE('22.07 Ndeeba-Lubiri'!F35,'23.07 Ndeeba-Lubiri'!F35,'24.07 Ndeeba-Lubiri'!F35,'25.07 Ndeeba-Lubiri'!F35,'26.07 Ndeeba-Lubiri-24h'!F35,'27.07 Ndeeba-Lubiri-24h'!F35,'28.07 Ndeeba-Lubiri'!F35)</f>
        <v>7.8571428571428568</v>
      </c>
      <c r="G35" s="49">
        <f>AVERAGE('22.07 Ndeeba-Lubiri'!G35,'23.07 Ndeeba-Lubiri'!G35,'24.07 Ndeeba-Lubiri'!G35,'25.07 Ndeeba-Lubiri'!G35,'26.07 Ndeeba-Lubiri-24h'!G35,'27.07 Ndeeba-Lubiri-24h'!G35,'28.07 Ndeeba-Lubiri'!G35)</f>
        <v>0.14285714285714285</v>
      </c>
      <c r="H35" s="49">
        <f>AVERAGE('22.07 Ndeeba-Lubiri'!H35,'23.07 Ndeeba-Lubiri'!H35,'24.07 Ndeeba-Lubiri'!H35,'25.07 Ndeeba-Lubiri'!H35,'26.07 Ndeeba-Lubiri-24h'!H35,'27.07 Ndeeba-Lubiri-24h'!H35,'28.07 Ndeeba-Lubiri'!H35)</f>
        <v>7.1428571428571432</v>
      </c>
      <c r="I35" s="49">
        <f>AVERAGE('22.07 Ndeeba-Lubiri'!I35,'23.07 Ndeeba-Lubiri'!I35,'24.07 Ndeeba-Lubiri'!I35,'25.07 Ndeeba-Lubiri'!I35,'26.07 Ndeeba-Lubiri-24h'!I35,'27.07 Ndeeba-Lubiri-24h'!I35,'28.07 Ndeeba-Lubiri'!I35)</f>
        <v>4.8571428571428568</v>
      </c>
      <c r="J35" s="49">
        <f>AVERAGE('22.07 Ndeeba-Lubiri'!J35,'23.07 Ndeeba-Lubiri'!J35,'24.07 Ndeeba-Lubiri'!J35,'25.07 Ndeeba-Lubiri'!J35,'26.07 Ndeeba-Lubiri-24h'!J35,'27.07 Ndeeba-Lubiri-24h'!J35,'28.07 Ndeeba-Lubiri'!J35)</f>
        <v>1.8571428571428572</v>
      </c>
      <c r="K35" s="49">
        <f>AVERAGE('22.07 Ndeeba-Lubiri'!K35,'23.07 Ndeeba-Lubiri'!K35,'24.07 Ndeeba-Lubiri'!K35,'25.07 Ndeeba-Lubiri'!K35,'26.07 Ndeeba-Lubiri-24h'!K35,'27.07 Ndeeba-Lubiri-24h'!K35,'28.07 Ndeeba-Lubiri'!K35)</f>
        <v>0.2857142857142857</v>
      </c>
      <c r="L35" s="49">
        <f>AVERAGE('22.07 Ndeeba-Lubiri'!L35,'23.07 Ndeeba-Lubiri'!L35,'24.07 Ndeeba-Lubiri'!L35,'25.07 Ndeeba-Lubiri'!L35,'26.07 Ndeeba-Lubiri-24h'!L35,'27.07 Ndeeba-Lubiri-24h'!L35,'28.07 Ndeeba-Lubiri'!L35)</f>
        <v>0.5714285714285714</v>
      </c>
      <c r="M35" s="49">
        <f>AVERAGE('22.07 Ndeeba-Lubiri'!M35,'23.07 Ndeeba-Lubiri'!M35,'24.07 Ndeeba-Lubiri'!M35,'25.07 Ndeeba-Lubiri'!M35,'26.07 Ndeeba-Lubiri-24h'!M35,'27.07 Ndeeba-Lubiri-24h'!M35,'28.07 Ndeeba-Lubiri'!M35)</f>
        <v>203.28571428571428</v>
      </c>
      <c r="N35" s="49">
        <f>AVERAGE('22.07 Ndeeba-Lubiri'!N35,'23.07 Ndeeba-Lubiri'!N35,'24.07 Ndeeba-Lubiri'!N35,'25.07 Ndeeba-Lubiri'!N35,'26.07 Ndeeba-Lubiri-24h'!N35,'27.07 Ndeeba-Lubiri-24h'!N35,'28.07 Ndeeba-Lubiri'!N35)</f>
        <v>0</v>
      </c>
      <c r="O35" s="49">
        <f>AVERAGE('22.07 Ndeeba-Lubiri'!O35,'23.07 Ndeeba-Lubiri'!O35,'24.07 Ndeeba-Lubiri'!O35,'25.07 Ndeeba-Lubiri'!O35,'26.07 Ndeeba-Lubiri-24h'!O35,'27.07 Ndeeba-Lubiri-24h'!O35,'28.07 Ndeeba-Lubiri'!O35)</f>
        <v>125.71428571428571</v>
      </c>
      <c r="P35" s="49">
        <f>AVERAGE('22.07 Ndeeba-Lubiri'!P35,'23.07 Ndeeba-Lubiri'!P35,'24.07 Ndeeba-Lubiri'!P35,'25.07 Ndeeba-Lubiri'!P35,'26.07 Ndeeba-Lubiri-24h'!P35,'27.07 Ndeeba-Lubiri-24h'!P35,'28.07 Ndeeba-Lubiri'!P35)</f>
        <v>329</v>
      </c>
      <c r="R35" s="38" t="s">
        <v>91</v>
      </c>
      <c r="S35" s="39">
        <f t="shared" ref="S35:AF35" si="27">MAX(S13:S18)</f>
        <v>373.85714285714283</v>
      </c>
      <c r="T35" s="39">
        <f t="shared" si="27"/>
        <v>50.857142857142861</v>
      </c>
      <c r="U35" s="39">
        <f t="shared" si="27"/>
        <v>37</v>
      </c>
      <c r="V35" s="39">
        <f t="shared" si="27"/>
        <v>34.428571428571431</v>
      </c>
      <c r="W35" s="39">
        <f t="shared" si="27"/>
        <v>2.4285714285714284</v>
      </c>
      <c r="X35" s="39">
        <f t="shared" si="27"/>
        <v>7.1428571428571432</v>
      </c>
      <c r="Y35" s="39">
        <f t="shared" si="27"/>
        <v>26.714285714285712</v>
      </c>
      <c r="Z35" s="39">
        <f t="shared" si="27"/>
        <v>16</v>
      </c>
      <c r="AA35" s="39">
        <f t="shared" si="27"/>
        <v>4.7142857142857144</v>
      </c>
      <c r="AB35" s="39">
        <f t="shared" si="27"/>
        <v>3</v>
      </c>
      <c r="AC35" s="39">
        <f t="shared" si="27"/>
        <v>880.85714285714289</v>
      </c>
      <c r="AD35" s="39">
        <f t="shared" si="27"/>
        <v>0.14285714285714285</v>
      </c>
      <c r="AE35" s="40">
        <f t="shared" si="27"/>
        <v>530.42857142857144</v>
      </c>
      <c r="AF35" s="40">
        <f t="shared" si="27"/>
        <v>1411.2857142857144</v>
      </c>
    </row>
    <row r="36" spans="2:32" ht="23.1" customHeight="1" x14ac:dyDescent="0.25">
      <c r="B36" s="24" t="s">
        <v>63</v>
      </c>
      <c r="C36" s="49">
        <f>AVERAGE('22.07 Ndeeba-Lubiri'!C36,'23.07 Ndeeba-Lubiri'!C36,'24.07 Ndeeba-Lubiri'!C36,'25.07 Ndeeba-Lubiri'!C36,'26.07 Ndeeba-Lubiri-24h'!C36,'27.07 Ndeeba-Lubiri-24h'!C36,'28.07 Ndeeba-Lubiri'!C36)</f>
        <v>69.285714285714292</v>
      </c>
      <c r="D36" s="49">
        <f>AVERAGE('22.07 Ndeeba-Lubiri'!D36,'23.07 Ndeeba-Lubiri'!D36,'24.07 Ndeeba-Lubiri'!D36,'25.07 Ndeeba-Lubiri'!D36,'26.07 Ndeeba-Lubiri-24h'!D36,'27.07 Ndeeba-Lubiri-24h'!D36,'28.07 Ndeeba-Lubiri'!D36)</f>
        <v>9.7142857142857135</v>
      </c>
      <c r="E36" s="49">
        <f>AVERAGE('22.07 Ndeeba-Lubiri'!E36,'23.07 Ndeeba-Lubiri'!E36,'24.07 Ndeeba-Lubiri'!E36,'25.07 Ndeeba-Lubiri'!E36,'26.07 Ndeeba-Lubiri-24h'!E36,'27.07 Ndeeba-Lubiri-24h'!E36,'28.07 Ndeeba-Lubiri'!E36)</f>
        <v>6.8571428571428568</v>
      </c>
      <c r="F36" s="49">
        <f>AVERAGE('22.07 Ndeeba-Lubiri'!F36,'23.07 Ndeeba-Lubiri'!F36,'24.07 Ndeeba-Lubiri'!F36,'25.07 Ndeeba-Lubiri'!F36,'26.07 Ndeeba-Lubiri-24h'!F36,'27.07 Ndeeba-Lubiri-24h'!F36,'28.07 Ndeeba-Lubiri'!F36)</f>
        <v>9.4285714285714288</v>
      </c>
      <c r="G36" s="49">
        <f>AVERAGE('22.07 Ndeeba-Lubiri'!G36,'23.07 Ndeeba-Lubiri'!G36,'24.07 Ndeeba-Lubiri'!G36,'25.07 Ndeeba-Lubiri'!G36,'26.07 Ndeeba-Lubiri-24h'!G36,'27.07 Ndeeba-Lubiri-24h'!G36,'28.07 Ndeeba-Lubiri'!G36)</f>
        <v>0</v>
      </c>
      <c r="H36" s="49">
        <f>AVERAGE('22.07 Ndeeba-Lubiri'!H36,'23.07 Ndeeba-Lubiri'!H36,'24.07 Ndeeba-Lubiri'!H36,'25.07 Ndeeba-Lubiri'!H36,'26.07 Ndeeba-Lubiri-24h'!H36,'27.07 Ndeeba-Lubiri-24h'!H36,'28.07 Ndeeba-Lubiri'!H36)</f>
        <v>0</v>
      </c>
      <c r="I36" s="49">
        <f>AVERAGE('22.07 Ndeeba-Lubiri'!I36,'23.07 Ndeeba-Lubiri'!I36,'24.07 Ndeeba-Lubiri'!I36,'25.07 Ndeeba-Lubiri'!I36,'26.07 Ndeeba-Lubiri-24h'!I36,'27.07 Ndeeba-Lubiri-24h'!I36,'28.07 Ndeeba-Lubiri'!I36)</f>
        <v>3</v>
      </c>
      <c r="J36" s="49">
        <f>AVERAGE('22.07 Ndeeba-Lubiri'!J36,'23.07 Ndeeba-Lubiri'!J36,'24.07 Ndeeba-Lubiri'!J36,'25.07 Ndeeba-Lubiri'!J36,'26.07 Ndeeba-Lubiri-24h'!J36,'27.07 Ndeeba-Lubiri-24h'!J36,'28.07 Ndeeba-Lubiri'!J36)</f>
        <v>3.5714285714285716</v>
      </c>
      <c r="K36" s="49">
        <f>AVERAGE('22.07 Ndeeba-Lubiri'!K36,'23.07 Ndeeba-Lubiri'!K36,'24.07 Ndeeba-Lubiri'!K36,'25.07 Ndeeba-Lubiri'!K36,'26.07 Ndeeba-Lubiri-24h'!K36,'27.07 Ndeeba-Lubiri-24h'!K36,'28.07 Ndeeba-Lubiri'!K36)</f>
        <v>0.5714285714285714</v>
      </c>
      <c r="L36" s="49">
        <f>AVERAGE('22.07 Ndeeba-Lubiri'!L36,'23.07 Ndeeba-Lubiri'!L36,'24.07 Ndeeba-Lubiri'!L36,'25.07 Ndeeba-Lubiri'!L36,'26.07 Ndeeba-Lubiri-24h'!L36,'27.07 Ndeeba-Lubiri-24h'!L36,'28.07 Ndeeba-Lubiri'!L36)</f>
        <v>0.5</v>
      </c>
      <c r="M36" s="49">
        <f>AVERAGE('22.07 Ndeeba-Lubiri'!M36,'23.07 Ndeeba-Lubiri'!M36,'24.07 Ndeeba-Lubiri'!M36,'25.07 Ndeeba-Lubiri'!M36,'26.07 Ndeeba-Lubiri-24h'!M36,'27.07 Ndeeba-Lubiri-24h'!M36,'28.07 Ndeeba-Lubiri'!M36)</f>
        <v>187.85714285714286</v>
      </c>
      <c r="N36" s="49">
        <f>AVERAGE('22.07 Ndeeba-Lubiri'!N36,'23.07 Ndeeba-Lubiri'!N36,'24.07 Ndeeba-Lubiri'!N36,'25.07 Ndeeba-Lubiri'!N36,'26.07 Ndeeba-Lubiri-24h'!N36,'27.07 Ndeeba-Lubiri-24h'!N36,'28.07 Ndeeba-Lubiri'!N36)</f>
        <v>0</v>
      </c>
      <c r="O36" s="49">
        <f>AVERAGE('22.07 Ndeeba-Lubiri'!O36,'23.07 Ndeeba-Lubiri'!O36,'24.07 Ndeeba-Lubiri'!O36,'25.07 Ndeeba-Lubiri'!O36,'26.07 Ndeeba-Lubiri-24h'!O36,'27.07 Ndeeba-Lubiri-24h'!O36,'28.07 Ndeeba-Lubiri'!O36)</f>
        <v>102.85714285714286</v>
      </c>
      <c r="P36" s="49">
        <f>AVERAGE('22.07 Ndeeba-Lubiri'!P36,'23.07 Ndeeba-Lubiri'!P36,'24.07 Ndeeba-Lubiri'!P36,'25.07 Ndeeba-Lubiri'!P36,'26.07 Ndeeba-Lubiri-24h'!P36,'27.07 Ndeeba-Lubiri-24h'!P36,'28.07 Ndeeba-Lubiri'!P36)</f>
        <v>290.71428571428572</v>
      </c>
      <c r="R36" s="38" t="s">
        <v>92</v>
      </c>
      <c r="S36" s="39">
        <f t="shared" ref="S36:AF36" si="28">MAX(S19:S21)</f>
        <v>386.28571428571433</v>
      </c>
      <c r="T36" s="39">
        <f t="shared" si="28"/>
        <v>36</v>
      </c>
      <c r="U36" s="39">
        <f t="shared" si="28"/>
        <v>33.857142857142861</v>
      </c>
      <c r="V36" s="39">
        <f t="shared" si="28"/>
        <v>56.142857142857139</v>
      </c>
      <c r="W36" s="39">
        <f t="shared" si="28"/>
        <v>4.2857142857142856</v>
      </c>
      <c r="X36" s="39">
        <f t="shared" si="28"/>
        <v>1.5714285714285714</v>
      </c>
      <c r="Y36" s="39">
        <f t="shared" si="28"/>
        <v>18.714285714285715</v>
      </c>
      <c r="Z36" s="39">
        <f t="shared" si="28"/>
        <v>19.142857142857142</v>
      </c>
      <c r="AA36" s="39">
        <f t="shared" si="28"/>
        <v>2.4285714285714284</v>
      </c>
      <c r="AB36" s="39">
        <f t="shared" si="28"/>
        <v>2.2857142857142856</v>
      </c>
      <c r="AC36" s="39">
        <f t="shared" si="28"/>
        <v>817.28571428571433</v>
      </c>
      <c r="AD36" s="39">
        <f t="shared" si="28"/>
        <v>0.2857142857142857</v>
      </c>
      <c r="AE36" s="40">
        <f t="shared" si="28"/>
        <v>548.28571428571422</v>
      </c>
      <c r="AF36" s="40">
        <f t="shared" si="28"/>
        <v>1365.5714285714284</v>
      </c>
    </row>
    <row r="37" spans="2:32" ht="23.1" customHeight="1" x14ac:dyDescent="0.25">
      <c r="B37" s="23" t="s">
        <v>64</v>
      </c>
      <c r="C37" s="49">
        <f>AVERAGE('22.07 Ndeeba-Lubiri'!C37,'23.07 Ndeeba-Lubiri'!C37,'24.07 Ndeeba-Lubiri'!C37,'25.07 Ndeeba-Lubiri'!C37,'26.07 Ndeeba-Lubiri-24h'!C37,'27.07 Ndeeba-Lubiri-24h'!C37,'28.07 Ndeeba-Lubiri'!C37)</f>
        <v>65.285714285714292</v>
      </c>
      <c r="D37" s="49">
        <f>AVERAGE('22.07 Ndeeba-Lubiri'!D37,'23.07 Ndeeba-Lubiri'!D37,'24.07 Ndeeba-Lubiri'!D37,'25.07 Ndeeba-Lubiri'!D37,'26.07 Ndeeba-Lubiri-24h'!D37,'27.07 Ndeeba-Lubiri-24h'!D37,'28.07 Ndeeba-Lubiri'!D37)</f>
        <v>5.4285714285714288</v>
      </c>
      <c r="E37" s="49">
        <f>AVERAGE('22.07 Ndeeba-Lubiri'!E37,'23.07 Ndeeba-Lubiri'!E37,'24.07 Ndeeba-Lubiri'!E37,'25.07 Ndeeba-Lubiri'!E37,'26.07 Ndeeba-Lubiri-24h'!E37,'27.07 Ndeeba-Lubiri-24h'!E37,'28.07 Ndeeba-Lubiri'!E37)</f>
        <v>6.2857142857142856</v>
      </c>
      <c r="F37" s="49">
        <f>AVERAGE('22.07 Ndeeba-Lubiri'!F37,'23.07 Ndeeba-Lubiri'!F37,'24.07 Ndeeba-Lubiri'!F37,'25.07 Ndeeba-Lubiri'!F37,'26.07 Ndeeba-Lubiri-24h'!F37,'27.07 Ndeeba-Lubiri-24h'!F37,'28.07 Ndeeba-Lubiri'!F37)</f>
        <v>6.7142857142857144</v>
      </c>
      <c r="G37" s="49">
        <f>AVERAGE('22.07 Ndeeba-Lubiri'!G37,'23.07 Ndeeba-Lubiri'!G37,'24.07 Ndeeba-Lubiri'!G37,'25.07 Ndeeba-Lubiri'!G37,'26.07 Ndeeba-Lubiri-24h'!G37,'27.07 Ndeeba-Lubiri-24h'!G37,'28.07 Ndeeba-Lubiri'!G37)</f>
        <v>0.14285714285714285</v>
      </c>
      <c r="H37" s="49">
        <f>AVERAGE('22.07 Ndeeba-Lubiri'!H37,'23.07 Ndeeba-Lubiri'!H37,'24.07 Ndeeba-Lubiri'!H37,'25.07 Ndeeba-Lubiri'!H37,'26.07 Ndeeba-Lubiri-24h'!H37,'27.07 Ndeeba-Lubiri-24h'!H37,'28.07 Ndeeba-Lubiri'!H37)</f>
        <v>0</v>
      </c>
      <c r="I37" s="49">
        <f>AVERAGE('22.07 Ndeeba-Lubiri'!I37,'23.07 Ndeeba-Lubiri'!I37,'24.07 Ndeeba-Lubiri'!I37,'25.07 Ndeeba-Lubiri'!I37,'26.07 Ndeeba-Lubiri-24h'!I37,'27.07 Ndeeba-Lubiri-24h'!I37,'28.07 Ndeeba-Lubiri'!I37)</f>
        <v>3.4285714285714284</v>
      </c>
      <c r="J37" s="49">
        <f>AVERAGE('22.07 Ndeeba-Lubiri'!J37,'23.07 Ndeeba-Lubiri'!J37,'24.07 Ndeeba-Lubiri'!J37,'25.07 Ndeeba-Lubiri'!J37,'26.07 Ndeeba-Lubiri-24h'!J37,'27.07 Ndeeba-Lubiri-24h'!J37,'28.07 Ndeeba-Lubiri'!J37)</f>
        <v>4.4285714285714288</v>
      </c>
      <c r="K37" s="49">
        <f>AVERAGE('22.07 Ndeeba-Lubiri'!K37,'23.07 Ndeeba-Lubiri'!K37,'24.07 Ndeeba-Lubiri'!K37,'25.07 Ndeeba-Lubiri'!K37,'26.07 Ndeeba-Lubiri-24h'!K37,'27.07 Ndeeba-Lubiri-24h'!K37,'28.07 Ndeeba-Lubiri'!K37)</f>
        <v>0.42857142857142855</v>
      </c>
      <c r="L37" s="49">
        <f>AVERAGE('22.07 Ndeeba-Lubiri'!L37,'23.07 Ndeeba-Lubiri'!L37,'24.07 Ndeeba-Lubiri'!L37,'25.07 Ndeeba-Lubiri'!L37,'26.07 Ndeeba-Lubiri-24h'!L37,'27.07 Ndeeba-Lubiri-24h'!L37,'28.07 Ndeeba-Lubiri'!L37)</f>
        <v>0.42857142857142855</v>
      </c>
      <c r="M37" s="49">
        <f>AVERAGE('22.07 Ndeeba-Lubiri'!M37,'23.07 Ndeeba-Lubiri'!M37,'24.07 Ndeeba-Lubiri'!M37,'25.07 Ndeeba-Lubiri'!M37,'26.07 Ndeeba-Lubiri-24h'!M37,'27.07 Ndeeba-Lubiri-24h'!M37,'28.07 Ndeeba-Lubiri'!M37)</f>
        <v>175.57142857142858</v>
      </c>
      <c r="N37" s="49">
        <f>AVERAGE('22.07 Ndeeba-Lubiri'!N37,'23.07 Ndeeba-Lubiri'!N37,'24.07 Ndeeba-Lubiri'!N37,'25.07 Ndeeba-Lubiri'!N37,'26.07 Ndeeba-Lubiri-24h'!N37,'27.07 Ndeeba-Lubiri-24h'!N37,'28.07 Ndeeba-Lubiri'!N37)</f>
        <v>0</v>
      </c>
      <c r="O37" s="49">
        <f>AVERAGE('22.07 Ndeeba-Lubiri'!O37,'23.07 Ndeeba-Lubiri'!O37,'24.07 Ndeeba-Lubiri'!O37,'25.07 Ndeeba-Lubiri'!O37,'26.07 Ndeeba-Lubiri-24h'!O37,'27.07 Ndeeba-Lubiri-24h'!O37,'28.07 Ndeeba-Lubiri'!O37)</f>
        <v>92.571428571428569</v>
      </c>
      <c r="P37" s="49">
        <f>AVERAGE('22.07 Ndeeba-Lubiri'!P37,'23.07 Ndeeba-Lubiri'!P37,'24.07 Ndeeba-Lubiri'!P37,'25.07 Ndeeba-Lubiri'!P37,'26.07 Ndeeba-Lubiri-24h'!P37,'27.07 Ndeeba-Lubiri-24h'!P37,'28.07 Ndeeba-Lubiri'!P37)</f>
        <v>268.14285714285717</v>
      </c>
      <c r="R37" s="37" t="s">
        <v>85</v>
      </c>
      <c r="S37" s="35">
        <f t="shared" ref="S37:AF37" si="29">SUM(S10:S12)</f>
        <v>1222.4285714285716</v>
      </c>
      <c r="T37" s="16">
        <f t="shared" si="29"/>
        <v>130.42857142857142</v>
      </c>
      <c r="U37" s="16">
        <f t="shared" si="29"/>
        <v>99.285714285714278</v>
      </c>
      <c r="V37" s="16">
        <f t="shared" si="29"/>
        <v>323.71428571428567</v>
      </c>
      <c r="W37" s="16">
        <f t="shared" si="29"/>
        <v>4.5714285714285712</v>
      </c>
      <c r="X37" s="16">
        <f t="shared" si="29"/>
        <v>1</v>
      </c>
      <c r="Y37" s="16">
        <f t="shared" si="29"/>
        <v>59.714285714285722</v>
      </c>
      <c r="Z37" s="16">
        <f t="shared" si="29"/>
        <v>29.571428571428573</v>
      </c>
      <c r="AA37" s="16">
        <f t="shared" si="29"/>
        <v>10.428571428571427</v>
      </c>
      <c r="AB37" s="16">
        <f t="shared" si="29"/>
        <v>39.571428571428569</v>
      </c>
      <c r="AC37" s="16">
        <f t="shared" si="29"/>
        <v>2241</v>
      </c>
      <c r="AD37" s="16">
        <f t="shared" si="29"/>
        <v>0</v>
      </c>
      <c r="AE37" s="32">
        <f t="shared" si="29"/>
        <v>1920.7142857142858</v>
      </c>
      <c r="AF37" s="32">
        <f t="shared" si="29"/>
        <v>4161.7142857142853</v>
      </c>
    </row>
    <row r="38" spans="2:32" ht="23.1" customHeight="1" x14ac:dyDescent="0.25">
      <c r="B38" s="24" t="s">
        <v>65</v>
      </c>
      <c r="C38" s="49">
        <f>AVERAGE('22.07 Ndeeba-Lubiri'!C38,'23.07 Ndeeba-Lubiri'!C38,'24.07 Ndeeba-Lubiri'!C38,'25.07 Ndeeba-Lubiri'!C38,'26.07 Ndeeba-Lubiri-24h'!C38,'27.07 Ndeeba-Lubiri-24h'!C38,'28.07 Ndeeba-Lubiri'!C38)</f>
        <v>68</v>
      </c>
      <c r="D38" s="49">
        <f>AVERAGE('22.07 Ndeeba-Lubiri'!D38,'23.07 Ndeeba-Lubiri'!D38,'24.07 Ndeeba-Lubiri'!D38,'25.07 Ndeeba-Lubiri'!D38,'26.07 Ndeeba-Lubiri-24h'!D38,'27.07 Ndeeba-Lubiri-24h'!D38,'28.07 Ndeeba-Lubiri'!D38)</f>
        <v>8.5714285714285712</v>
      </c>
      <c r="E38" s="49">
        <f>AVERAGE('22.07 Ndeeba-Lubiri'!E38,'23.07 Ndeeba-Lubiri'!E38,'24.07 Ndeeba-Lubiri'!E38,'25.07 Ndeeba-Lubiri'!E38,'26.07 Ndeeba-Lubiri-24h'!E38,'27.07 Ndeeba-Lubiri-24h'!E38,'28.07 Ndeeba-Lubiri'!E38)</f>
        <v>6.7142857142857144</v>
      </c>
      <c r="F38" s="49">
        <f>AVERAGE('22.07 Ndeeba-Lubiri'!F38,'23.07 Ndeeba-Lubiri'!F38,'24.07 Ndeeba-Lubiri'!F38,'25.07 Ndeeba-Lubiri'!F38,'26.07 Ndeeba-Lubiri-24h'!F38,'27.07 Ndeeba-Lubiri-24h'!F38,'28.07 Ndeeba-Lubiri'!F38)</f>
        <v>9.7142857142857135</v>
      </c>
      <c r="G38" s="49">
        <f>AVERAGE('22.07 Ndeeba-Lubiri'!G38,'23.07 Ndeeba-Lubiri'!G38,'24.07 Ndeeba-Lubiri'!G38,'25.07 Ndeeba-Lubiri'!G38,'26.07 Ndeeba-Lubiri-24h'!G38,'27.07 Ndeeba-Lubiri-24h'!G38,'28.07 Ndeeba-Lubiri'!G38)</f>
        <v>0.2857142857142857</v>
      </c>
      <c r="H38" s="49">
        <f>AVERAGE('22.07 Ndeeba-Lubiri'!H38,'23.07 Ndeeba-Lubiri'!H38,'24.07 Ndeeba-Lubiri'!H38,'25.07 Ndeeba-Lubiri'!H38,'26.07 Ndeeba-Lubiri-24h'!H38,'27.07 Ndeeba-Lubiri-24h'!H38,'28.07 Ndeeba-Lubiri'!H38)</f>
        <v>0</v>
      </c>
      <c r="I38" s="49">
        <f>AVERAGE('22.07 Ndeeba-Lubiri'!I38,'23.07 Ndeeba-Lubiri'!I38,'24.07 Ndeeba-Lubiri'!I38,'25.07 Ndeeba-Lubiri'!I38,'26.07 Ndeeba-Lubiri-24h'!I38,'27.07 Ndeeba-Lubiri-24h'!I38,'28.07 Ndeeba-Lubiri'!I38)</f>
        <v>2.5714285714285716</v>
      </c>
      <c r="J38" s="49">
        <f>AVERAGE('22.07 Ndeeba-Lubiri'!J38,'23.07 Ndeeba-Lubiri'!J38,'24.07 Ndeeba-Lubiri'!J38,'25.07 Ndeeba-Lubiri'!J38,'26.07 Ndeeba-Lubiri-24h'!J38,'27.07 Ndeeba-Lubiri-24h'!J38,'28.07 Ndeeba-Lubiri'!J38)</f>
        <v>5.8571428571428568</v>
      </c>
      <c r="K38" s="49">
        <f>AVERAGE('22.07 Ndeeba-Lubiri'!K38,'23.07 Ndeeba-Lubiri'!K38,'24.07 Ndeeba-Lubiri'!K38,'25.07 Ndeeba-Lubiri'!K38,'26.07 Ndeeba-Lubiri-24h'!K38,'27.07 Ndeeba-Lubiri-24h'!K38,'28.07 Ndeeba-Lubiri'!K38)</f>
        <v>0.7142857142857143</v>
      </c>
      <c r="L38" s="49">
        <f>AVERAGE('22.07 Ndeeba-Lubiri'!L38,'23.07 Ndeeba-Lubiri'!L38,'24.07 Ndeeba-Lubiri'!L38,'25.07 Ndeeba-Lubiri'!L38,'26.07 Ndeeba-Lubiri-24h'!L38,'27.07 Ndeeba-Lubiri-24h'!L38,'28.07 Ndeeba-Lubiri'!L38)</f>
        <v>0.5714285714285714</v>
      </c>
      <c r="M38" s="49">
        <f>AVERAGE('22.07 Ndeeba-Lubiri'!M38,'23.07 Ndeeba-Lubiri'!M38,'24.07 Ndeeba-Lubiri'!M38,'25.07 Ndeeba-Lubiri'!M38,'26.07 Ndeeba-Lubiri-24h'!M38,'27.07 Ndeeba-Lubiri-24h'!M38,'28.07 Ndeeba-Lubiri'!M38)</f>
        <v>167.85714285714286</v>
      </c>
      <c r="N38" s="49">
        <f>AVERAGE('22.07 Ndeeba-Lubiri'!N38,'23.07 Ndeeba-Lubiri'!N38,'24.07 Ndeeba-Lubiri'!N38,'25.07 Ndeeba-Lubiri'!N38,'26.07 Ndeeba-Lubiri-24h'!N38,'27.07 Ndeeba-Lubiri-24h'!N38,'28.07 Ndeeba-Lubiri'!N38)</f>
        <v>0</v>
      </c>
      <c r="O38" s="49">
        <f>AVERAGE('22.07 Ndeeba-Lubiri'!O38,'23.07 Ndeeba-Lubiri'!O38,'24.07 Ndeeba-Lubiri'!O38,'25.07 Ndeeba-Lubiri'!O38,'26.07 Ndeeba-Lubiri-24h'!O38,'27.07 Ndeeba-Lubiri-24h'!O38,'28.07 Ndeeba-Lubiri'!O38)</f>
        <v>103</v>
      </c>
      <c r="P38" s="49">
        <f>AVERAGE('22.07 Ndeeba-Lubiri'!P38,'23.07 Ndeeba-Lubiri'!P38,'24.07 Ndeeba-Lubiri'!P38,'25.07 Ndeeba-Lubiri'!P38,'26.07 Ndeeba-Lubiri-24h'!P38,'27.07 Ndeeba-Lubiri-24h'!P38,'28.07 Ndeeba-Lubiri'!P38)</f>
        <v>270.85714285714283</v>
      </c>
      <c r="R38" s="28" t="s">
        <v>86</v>
      </c>
      <c r="S38" s="16">
        <f t="shared" ref="S38:AF38" si="30">SUM(S13:S18)</f>
        <v>1968.0000000000002</v>
      </c>
      <c r="T38" s="16">
        <f t="shared" si="30"/>
        <v>234</v>
      </c>
      <c r="U38" s="16">
        <f t="shared" si="30"/>
        <v>189.42857142857144</v>
      </c>
      <c r="V38" s="16">
        <f t="shared" si="30"/>
        <v>171.00000000000003</v>
      </c>
      <c r="W38" s="16">
        <f t="shared" si="30"/>
        <v>8.4285714285714288</v>
      </c>
      <c r="X38" s="16">
        <f t="shared" si="30"/>
        <v>9</v>
      </c>
      <c r="Y38" s="16">
        <f t="shared" si="30"/>
        <v>113.14285714285712</v>
      </c>
      <c r="Z38" s="16">
        <f t="shared" si="30"/>
        <v>75.285714285714278</v>
      </c>
      <c r="AA38" s="16">
        <f t="shared" si="30"/>
        <v>13.142857142857144</v>
      </c>
      <c r="AB38" s="16">
        <f t="shared" si="30"/>
        <v>12.214285714285715</v>
      </c>
      <c r="AC38" s="16">
        <f t="shared" si="30"/>
        <v>4629</v>
      </c>
      <c r="AD38" s="16">
        <f t="shared" si="30"/>
        <v>0.2857142857142857</v>
      </c>
      <c r="AE38" s="32">
        <f t="shared" si="30"/>
        <v>2793.8571428571427</v>
      </c>
      <c r="AF38" s="32">
        <f t="shared" si="30"/>
        <v>7422.8571428571422</v>
      </c>
    </row>
    <row r="39" spans="2:32" ht="23.1" customHeight="1" x14ac:dyDescent="0.25">
      <c r="B39" s="24" t="s">
        <v>66</v>
      </c>
      <c r="C39" s="49">
        <f>AVERAGE('22.07 Ndeeba-Lubiri'!C39,'23.07 Ndeeba-Lubiri'!C39,'24.07 Ndeeba-Lubiri'!C39,'25.07 Ndeeba-Lubiri'!C39,'26.07 Ndeeba-Lubiri-24h'!C39,'27.07 Ndeeba-Lubiri-24h'!C39,'28.07 Ndeeba-Lubiri'!C39)</f>
        <v>68</v>
      </c>
      <c r="D39" s="49">
        <f>AVERAGE('22.07 Ndeeba-Lubiri'!D39,'23.07 Ndeeba-Lubiri'!D39,'24.07 Ndeeba-Lubiri'!D39,'25.07 Ndeeba-Lubiri'!D39,'26.07 Ndeeba-Lubiri-24h'!D39,'27.07 Ndeeba-Lubiri-24h'!D39,'28.07 Ndeeba-Lubiri'!D39)</f>
        <v>13.857142857142858</v>
      </c>
      <c r="E39" s="49">
        <f>AVERAGE('22.07 Ndeeba-Lubiri'!E39,'23.07 Ndeeba-Lubiri'!E39,'24.07 Ndeeba-Lubiri'!E39,'25.07 Ndeeba-Lubiri'!E39,'26.07 Ndeeba-Lubiri-24h'!E39,'27.07 Ndeeba-Lubiri-24h'!E39,'28.07 Ndeeba-Lubiri'!E39)</f>
        <v>8.4285714285714288</v>
      </c>
      <c r="F39" s="49">
        <f>AVERAGE('22.07 Ndeeba-Lubiri'!F39,'23.07 Ndeeba-Lubiri'!F39,'24.07 Ndeeba-Lubiri'!F39,'25.07 Ndeeba-Lubiri'!F39,'26.07 Ndeeba-Lubiri-24h'!F39,'27.07 Ndeeba-Lubiri-24h'!F39,'28.07 Ndeeba-Lubiri'!F39)</f>
        <v>6.4285714285714288</v>
      </c>
      <c r="G39" s="49">
        <f>AVERAGE('22.07 Ndeeba-Lubiri'!G39,'23.07 Ndeeba-Lubiri'!G39,'24.07 Ndeeba-Lubiri'!G39,'25.07 Ndeeba-Lubiri'!G39,'26.07 Ndeeba-Lubiri-24h'!G39,'27.07 Ndeeba-Lubiri-24h'!G39,'28.07 Ndeeba-Lubiri'!G39)</f>
        <v>0.2857142857142857</v>
      </c>
      <c r="H39" s="49">
        <f>AVERAGE('22.07 Ndeeba-Lubiri'!H39,'23.07 Ndeeba-Lubiri'!H39,'24.07 Ndeeba-Lubiri'!H39,'25.07 Ndeeba-Lubiri'!H39,'26.07 Ndeeba-Lubiri-24h'!H39,'27.07 Ndeeba-Lubiri-24h'!H39,'28.07 Ndeeba-Lubiri'!H39)</f>
        <v>0.14285714285714285</v>
      </c>
      <c r="I39" s="49">
        <f>AVERAGE('22.07 Ndeeba-Lubiri'!I39,'23.07 Ndeeba-Lubiri'!I39,'24.07 Ndeeba-Lubiri'!I39,'25.07 Ndeeba-Lubiri'!I39,'26.07 Ndeeba-Lubiri-24h'!I39,'27.07 Ndeeba-Lubiri-24h'!I39,'28.07 Ndeeba-Lubiri'!I39)</f>
        <v>6.2857142857142856</v>
      </c>
      <c r="J39" s="49">
        <f>AVERAGE('22.07 Ndeeba-Lubiri'!J39,'23.07 Ndeeba-Lubiri'!J39,'24.07 Ndeeba-Lubiri'!J39,'25.07 Ndeeba-Lubiri'!J39,'26.07 Ndeeba-Lubiri-24h'!J39,'27.07 Ndeeba-Lubiri-24h'!J39,'28.07 Ndeeba-Lubiri'!J39)</f>
        <v>3.5714285714285716</v>
      </c>
      <c r="K39" s="49">
        <f>AVERAGE('22.07 Ndeeba-Lubiri'!K39,'23.07 Ndeeba-Lubiri'!K39,'24.07 Ndeeba-Lubiri'!K39,'25.07 Ndeeba-Lubiri'!K39,'26.07 Ndeeba-Lubiri-24h'!K39,'27.07 Ndeeba-Lubiri-24h'!K39,'28.07 Ndeeba-Lubiri'!K39)</f>
        <v>1.1428571428571428</v>
      </c>
      <c r="L39" s="49">
        <f>AVERAGE('22.07 Ndeeba-Lubiri'!L39,'23.07 Ndeeba-Lubiri'!L39,'24.07 Ndeeba-Lubiri'!L39,'25.07 Ndeeba-Lubiri'!L39,'26.07 Ndeeba-Lubiri-24h'!L39,'27.07 Ndeeba-Lubiri-24h'!L39,'28.07 Ndeeba-Lubiri'!L39)</f>
        <v>1.1428571428571428</v>
      </c>
      <c r="M39" s="49">
        <f>AVERAGE('22.07 Ndeeba-Lubiri'!M39,'23.07 Ndeeba-Lubiri'!M39,'24.07 Ndeeba-Lubiri'!M39,'25.07 Ndeeba-Lubiri'!M39,'26.07 Ndeeba-Lubiri-24h'!M39,'27.07 Ndeeba-Lubiri-24h'!M39,'28.07 Ndeeba-Lubiri'!M39)</f>
        <v>176.71428571428572</v>
      </c>
      <c r="N39" s="49">
        <f>AVERAGE('22.07 Ndeeba-Lubiri'!N39,'23.07 Ndeeba-Lubiri'!N39,'24.07 Ndeeba-Lubiri'!N39,'25.07 Ndeeba-Lubiri'!N39,'26.07 Ndeeba-Lubiri-24h'!N39,'27.07 Ndeeba-Lubiri-24h'!N39,'28.07 Ndeeba-Lubiri'!N39)</f>
        <v>0</v>
      </c>
      <c r="O39" s="49">
        <f>AVERAGE('22.07 Ndeeba-Lubiri'!O39,'23.07 Ndeeba-Lubiri'!O39,'24.07 Ndeeba-Lubiri'!O39,'25.07 Ndeeba-Lubiri'!O39,'26.07 Ndeeba-Lubiri-24h'!O39,'27.07 Ndeeba-Lubiri-24h'!O39,'28.07 Ndeeba-Lubiri'!O39)</f>
        <v>109.28571428571429</v>
      </c>
      <c r="P39" s="49">
        <f>AVERAGE('22.07 Ndeeba-Lubiri'!P39,'23.07 Ndeeba-Lubiri'!P39,'24.07 Ndeeba-Lubiri'!P39,'25.07 Ndeeba-Lubiri'!P39,'26.07 Ndeeba-Lubiri-24h'!P39,'27.07 Ndeeba-Lubiri-24h'!P39,'28.07 Ndeeba-Lubiri'!P39)</f>
        <v>286</v>
      </c>
      <c r="R39" s="29" t="s">
        <v>87</v>
      </c>
      <c r="S39" s="16">
        <f t="shared" ref="S39:AF39" si="31">SUM(S19:S21)</f>
        <v>1051.8571428571431</v>
      </c>
      <c r="T39" s="16">
        <f t="shared" si="31"/>
        <v>103.57142857142857</v>
      </c>
      <c r="U39" s="16">
        <f t="shared" si="31"/>
        <v>89.428571428571431</v>
      </c>
      <c r="V39" s="16">
        <f t="shared" si="31"/>
        <v>122.85714285714286</v>
      </c>
      <c r="W39" s="16">
        <f t="shared" si="31"/>
        <v>8</v>
      </c>
      <c r="X39" s="16">
        <f t="shared" si="31"/>
        <v>2.8571428571428568</v>
      </c>
      <c r="Y39" s="16">
        <f t="shared" si="31"/>
        <v>49.857142857142861</v>
      </c>
      <c r="Z39" s="16">
        <f t="shared" si="31"/>
        <v>45</v>
      </c>
      <c r="AA39" s="16">
        <f t="shared" si="31"/>
        <v>6.2857142857142847</v>
      </c>
      <c r="AB39" s="16">
        <f t="shared" si="31"/>
        <v>5.3571428571428568</v>
      </c>
      <c r="AC39" s="16">
        <f t="shared" si="31"/>
        <v>2318.1428571428573</v>
      </c>
      <c r="AD39" s="16">
        <f t="shared" si="31"/>
        <v>0.5714285714285714</v>
      </c>
      <c r="AE39" s="32">
        <f t="shared" si="31"/>
        <v>1485.5714285714284</v>
      </c>
      <c r="AF39" s="32">
        <f t="shared" si="31"/>
        <v>3803.7142857142853</v>
      </c>
    </row>
    <row r="40" spans="2:32" ht="23.1" customHeight="1" x14ac:dyDescent="0.25">
      <c r="B40" s="24" t="s">
        <v>67</v>
      </c>
      <c r="C40" s="49">
        <f>AVERAGE('22.07 Ndeeba-Lubiri'!C40,'23.07 Ndeeba-Lubiri'!C40,'24.07 Ndeeba-Lubiri'!C40,'25.07 Ndeeba-Lubiri'!C40,'26.07 Ndeeba-Lubiri-24h'!C40,'27.07 Ndeeba-Lubiri-24h'!C40,'28.07 Ndeeba-Lubiri'!C40)</f>
        <v>73.714285714285708</v>
      </c>
      <c r="D40" s="49">
        <f>AVERAGE('22.07 Ndeeba-Lubiri'!D40,'23.07 Ndeeba-Lubiri'!D40,'24.07 Ndeeba-Lubiri'!D40,'25.07 Ndeeba-Lubiri'!D40,'26.07 Ndeeba-Lubiri-24h'!D40,'27.07 Ndeeba-Lubiri-24h'!D40,'28.07 Ndeeba-Lubiri'!D40)</f>
        <v>10</v>
      </c>
      <c r="E40" s="49">
        <f>AVERAGE('22.07 Ndeeba-Lubiri'!E40,'23.07 Ndeeba-Lubiri'!E40,'24.07 Ndeeba-Lubiri'!E40,'25.07 Ndeeba-Lubiri'!E40,'26.07 Ndeeba-Lubiri-24h'!E40,'27.07 Ndeeba-Lubiri-24h'!E40,'28.07 Ndeeba-Lubiri'!E40)</f>
        <v>7.4285714285714288</v>
      </c>
      <c r="F40" s="49">
        <f>AVERAGE('22.07 Ndeeba-Lubiri'!F40,'23.07 Ndeeba-Lubiri'!F40,'24.07 Ndeeba-Lubiri'!F40,'25.07 Ndeeba-Lubiri'!F40,'26.07 Ndeeba-Lubiri-24h'!F40,'27.07 Ndeeba-Lubiri-24h'!F40,'28.07 Ndeeba-Lubiri'!F40)</f>
        <v>6.7142857142857144</v>
      </c>
      <c r="G40" s="49">
        <f>AVERAGE('22.07 Ndeeba-Lubiri'!G40,'23.07 Ndeeba-Lubiri'!G40,'24.07 Ndeeba-Lubiri'!G40,'25.07 Ndeeba-Lubiri'!G40,'26.07 Ndeeba-Lubiri-24h'!G40,'27.07 Ndeeba-Lubiri-24h'!G40,'28.07 Ndeeba-Lubiri'!G40)</f>
        <v>0.2857142857142857</v>
      </c>
      <c r="H40" s="49">
        <f>AVERAGE('22.07 Ndeeba-Lubiri'!H40,'23.07 Ndeeba-Lubiri'!H40,'24.07 Ndeeba-Lubiri'!H40,'25.07 Ndeeba-Lubiri'!H40,'26.07 Ndeeba-Lubiri-24h'!H40,'27.07 Ndeeba-Lubiri-24h'!H40,'28.07 Ndeeba-Lubiri'!H40)</f>
        <v>1.2857142857142858</v>
      </c>
      <c r="I40" s="49">
        <f>AVERAGE('22.07 Ndeeba-Lubiri'!I40,'23.07 Ndeeba-Lubiri'!I40,'24.07 Ndeeba-Lubiri'!I40,'25.07 Ndeeba-Lubiri'!I40,'26.07 Ndeeba-Lubiri-24h'!I40,'27.07 Ndeeba-Lubiri-24h'!I40,'28.07 Ndeeba-Lubiri'!I40)</f>
        <v>4.2857142857142856</v>
      </c>
      <c r="J40" s="49">
        <f>AVERAGE('22.07 Ndeeba-Lubiri'!J40,'23.07 Ndeeba-Lubiri'!J40,'24.07 Ndeeba-Lubiri'!J40,'25.07 Ndeeba-Lubiri'!J40,'26.07 Ndeeba-Lubiri-24h'!J40,'27.07 Ndeeba-Lubiri-24h'!J40,'28.07 Ndeeba-Lubiri'!J40)</f>
        <v>2.7142857142857144</v>
      </c>
      <c r="K40" s="49">
        <f>AVERAGE('22.07 Ndeeba-Lubiri'!K40,'23.07 Ndeeba-Lubiri'!K40,'24.07 Ndeeba-Lubiri'!K40,'25.07 Ndeeba-Lubiri'!K40,'26.07 Ndeeba-Lubiri-24h'!K40,'27.07 Ndeeba-Lubiri-24h'!K40,'28.07 Ndeeba-Lubiri'!K40)</f>
        <v>1.2857142857142858</v>
      </c>
      <c r="L40" s="49">
        <f>AVERAGE('22.07 Ndeeba-Lubiri'!L40,'23.07 Ndeeba-Lubiri'!L40,'24.07 Ndeeba-Lubiri'!L40,'25.07 Ndeeba-Lubiri'!L40,'26.07 Ndeeba-Lubiri-24h'!L40,'27.07 Ndeeba-Lubiri-24h'!L40,'28.07 Ndeeba-Lubiri'!L40)</f>
        <v>0.7142857142857143</v>
      </c>
      <c r="M40" s="49">
        <f>AVERAGE('22.07 Ndeeba-Lubiri'!M40,'23.07 Ndeeba-Lubiri'!M40,'24.07 Ndeeba-Lubiri'!M40,'25.07 Ndeeba-Lubiri'!M40,'26.07 Ndeeba-Lubiri-24h'!M40,'27.07 Ndeeba-Lubiri-24h'!M40,'28.07 Ndeeba-Lubiri'!M40)</f>
        <v>176</v>
      </c>
      <c r="N40" s="49">
        <f>AVERAGE('22.07 Ndeeba-Lubiri'!N40,'23.07 Ndeeba-Lubiri'!N40,'24.07 Ndeeba-Lubiri'!N40,'25.07 Ndeeba-Lubiri'!N40,'26.07 Ndeeba-Lubiri-24h'!N40,'27.07 Ndeeba-Lubiri-24h'!N40,'28.07 Ndeeba-Lubiri'!N40)</f>
        <v>0.14285714285714285</v>
      </c>
      <c r="O40" s="49">
        <f>AVERAGE('22.07 Ndeeba-Lubiri'!O40,'23.07 Ndeeba-Lubiri'!O40,'24.07 Ndeeba-Lubiri'!O40,'25.07 Ndeeba-Lubiri'!O40,'26.07 Ndeeba-Lubiri-24h'!O40,'27.07 Ndeeba-Lubiri-24h'!O40,'28.07 Ndeeba-Lubiri'!O40)</f>
        <v>108.57142857142857</v>
      </c>
      <c r="P40" s="49">
        <f>AVERAGE('22.07 Ndeeba-Lubiri'!P40,'23.07 Ndeeba-Lubiri'!P40,'24.07 Ndeeba-Lubiri'!P40,'25.07 Ndeeba-Lubiri'!P40,'26.07 Ndeeba-Lubiri-24h'!P40,'27.07 Ndeeba-Lubiri-24h'!P40,'28.07 Ndeeba-Lubiri'!P40)</f>
        <v>284.57142857142856</v>
      </c>
      <c r="R40" s="5" t="s">
        <v>17</v>
      </c>
      <c r="S40" s="16">
        <f t="shared" ref="S40:AF40" si="32">SUM(S10:S21)</f>
        <v>4242.2857142857147</v>
      </c>
      <c r="T40" s="16">
        <f t="shared" si="32"/>
        <v>468</v>
      </c>
      <c r="U40" s="16">
        <f t="shared" si="32"/>
        <v>378.14285714285711</v>
      </c>
      <c r="V40" s="16">
        <f t="shared" si="32"/>
        <v>617.57142857142856</v>
      </c>
      <c r="W40" s="16">
        <f t="shared" si="32"/>
        <v>20.999999999999996</v>
      </c>
      <c r="X40" s="16">
        <f t="shared" si="32"/>
        <v>12.857142857142856</v>
      </c>
      <c r="Y40" s="16">
        <f t="shared" si="32"/>
        <v>222.71428571428569</v>
      </c>
      <c r="Z40" s="16">
        <f t="shared" si="32"/>
        <v>149.85714285714286</v>
      </c>
      <c r="AA40" s="16">
        <f t="shared" si="32"/>
        <v>29.857142857142854</v>
      </c>
      <c r="AB40" s="16">
        <f t="shared" si="32"/>
        <v>57.142857142857139</v>
      </c>
      <c r="AC40" s="16">
        <f t="shared" si="32"/>
        <v>9188.1428571428569</v>
      </c>
      <c r="AD40" s="16">
        <f t="shared" si="32"/>
        <v>0.8571428571428571</v>
      </c>
      <c r="AE40" s="32">
        <f t="shared" si="32"/>
        <v>6200.1428571428569</v>
      </c>
      <c r="AF40" s="32">
        <f t="shared" si="32"/>
        <v>15388.285714285714</v>
      </c>
    </row>
    <row r="41" spans="2:32" ht="23.1" customHeight="1" x14ac:dyDescent="0.25">
      <c r="B41" s="23" t="s">
        <v>68</v>
      </c>
      <c r="C41" s="49">
        <f>AVERAGE('22.07 Ndeeba-Lubiri'!C41,'23.07 Ndeeba-Lubiri'!C41,'24.07 Ndeeba-Lubiri'!C41,'25.07 Ndeeba-Lubiri'!C41,'26.07 Ndeeba-Lubiri-24h'!C41,'27.07 Ndeeba-Lubiri-24h'!C41,'28.07 Ndeeba-Lubiri'!C41)</f>
        <v>80</v>
      </c>
      <c r="D41" s="49">
        <f>AVERAGE('22.07 Ndeeba-Lubiri'!D41,'23.07 Ndeeba-Lubiri'!D41,'24.07 Ndeeba-Lubiri'!D41,'25.07 Ndeeba-Lubiri'!D41,'26.07 Ndeeba-Lubiri-24h'!D41,'27.07 Ndeeba-Lubiri-24h'!D41,'28.07 Ndeeba-Lubiri'!D41)</f>
        <v>6.2857142857142856</v>
      </c>
      <c r="E41" s="49">
        <f>AVERAGE('22.07 Ndeeba-Lubiri'!E41,'23.07 Ndeeba-Lubiri'!E41,'24.07 Ndeeba-Lubiri'!E41,'25.07 Ndeeba-Lubiri'!E41,'26.07 Ndeeba-Lubiri-24h'!E41,'27.07 Ndeeba-Lubiri-24h'!E41,'28.07 Ndeeba-Lubiri'!E41)</f>
        <v>7.1428571428571432</v>
      </c>
      <c r="F41" s="49">
        <f>AVERAGE('22.07 Ndeeba-Lubiri'!F41,'23.07 Ndeeba-Lubiri'!F41,'24.07 Ndeeba-Lubiri'!F41,'25.07 Ndeeba-Lubiri'!F41,'26.07 Ndeeba-Lubiri-24h'!F41,'27.07 Ndeeba-Lubiri-24h'!F41,'28.07 Ndeeba-Lubiri'!F41)</f>
        <v>6.2857142857142856</v>
      </c>
      <c r="G41" s="49">
        <f>AVERAGE('22.07 Ndeeba-Lubiri'!G41,'23.07 Ndeeba-Lubiri'!G41,'24.07 Ndeeba-Lubiri'!G41,'25.07 Ndeeba-Lubiri'!G41,'26.07 Ndeeba-Lubiri-24h'!G41,'27.07 Ndeeba-Lubiri-24h'!G41,'28.07 Ndeeba-Lubiri'!G41)</f>
        <v>0.7142857142857143</v>
      </c>
      <c r="H41" s="49">
        <f>AVERAGE('22.07 Ndeeba-Lubiri'!H41,'23.07 Ndeeba-Lubiri'!H41,'24.07 Ndeeba-Lubiri'!H41,'25.07 Ndeeba-Lubiri'!H41,'26.07 Ndeeba-Lubiri-24h'!H41,'27.07 Ndeeba-Lubiri-24h'!H41,'28.07 Ndeeba-Lubiri'!H41)</f>
        <v>0</v>
      </c>
      <c r="I41" s="49">
        <f>AVERAGE('22.07 Ndeeba-Lubiri'!I41,'23.07 Ndeeba-Lubiri'!I41,'24.07 Ndeeba-Lubiri'!I41,'25.07 Ndeeba-Lubiri'!I41,'26.07 Ndeeba-Lubiri-24h'!I41,'27.07 Ndeeba-Lubiri-24h'!I41,'28.07 Ndeeba-Lubiri'!I41)</f>
        <v>3.1428571428571428</v>
      </c>
      <c r="J41" s="49">
        <f>AVERAGE('22.07 Ndeeba-Lubiri'!J41,'23.07 Ndeeba-Lubiri'!J41,'24.07 Ndeeba-Lubiri'!J41,'25.07 Ndeeba-Lubiri'!J41,'26.07 Ndeeba-Lubiri-24h'!J41,'27.07 Ndeeba-Lubiri-24h'!J41,'28.07 Ndeeba-Lubiri'!J41)</f>
        <v>3.8571428571428572</v>
      </c>
      <c r="K41" s="49">
        <f>AVERAGE('22.07 Ndeeba-Lubiri'!K41,'23.07 Ndeeba-Lubiri'!K41,'24.07 Ndeeba-Lubiri'!K41,'25.07 Ndeeba-Lubiri'!K41,'26.07 Ndeeba-Lubiri-24h'!K41,'27.07 Ndeeba-Lubiri-24h'!K41,'28.07 Ndeeba-Lubiri'!K41)</f>
        <v>1.5714285714285714</v>
      </c>
      <c r="L41" s="49">
        <f>AVERAGE('22.07 Ndeeba-Lubiri'!L41,'23.07 Ndeeba-Lubiri'!L41,'24.07 Ndeeba-Lubiri'!L41,'25.07 Ndeeba-Lubiri'!L41,'26.07 Ndeeba-Lubiri-24h'!L41,'27.07 Ndeeba-Lubiri-24h'!L41,'28.07 Ndeeba-Lubiri'!L41)</f>
        <v>0.42857142857142855</v>
      </c>
      <c r="M41" s="49">
        <f>AVERAGE('22.07 Ndeeba-Lubiri'!M41,'23.07 Ndeeba-Lubiri'!M41,'24.07 Ndeeba-Lubiri'!M41,'25.07 Ndeeba-Lubiri'!M41,'26.07 Ndeeba-Lubiri-24h'!M41,'27.07 Ndeeba-Lubiri-24h'!M41,'28.07 Ndeeba-Lubiri'!M41)</f>
        <v>167.42857142857142</v>
      </c>
      <c r="N41" s="49">
        <f>AVERAGE('22.07 Ndeeba-Lubiri'!N41,'23.07 Ndeeba-Lubiri'!N41,'24.07 Ndeeba-Lubiri'!N41,'25.07 Ndeeba-Lubiri'!N41,'26.07 Ndeeba-Lubiri-24h'!N41,'27.07 Ndeeba-Lubiri-24h'!N41,'28.07 Ndeeba-Lubiri'!N41)</f>
        <v>0</v>
      </c>
      <c r="O41" s="49">
        <f>AVERAGE('22.07 Ndeeba-Lubiri'!O41,'23.07 Ndeeba-Lubiri'!O41,'24.07 Ndeeba-Lubiri'!O41,'25.07 Ndeeba-Lubiri'!O41,'26.07 Ndeeba-Lubiri-24h'!O41,'27.07 Ndeeba-Lubiri-24h'!O41,'28.07 Ndeeba-Lubiri'!O41)</f>
        <v>109.42857142857143</v>
      </c>
      <c r="P41" s="49">
        <f>AVERAGE('22.07 Ndeeba-Lubiri'!P41,'23.07 Ndeeba-Lubiri'!P41,'24.07 Ndeeba-Lubiri'!P41,'25.07 Ndeeba-Lubiri'!P41,'26.07 Ndeeba-Lubiri-24h'!P41,'27.07 Ndeeba-Lubiri-24h'!P41,'28.07 Ndeeba-Lubiri'!P41)</f>
        <v>276.85714285714283</v>
      </c>
      <c r="R41" s="5" t="s">
        <v>183</v>
      </c>
      <c r="S41" s="53">
        <f>SUM(S10:S33)</f>
        <v>5197.7857142857147</v>
      </c>
      <c r="T41" s="53">
        <f t="shared" ref="T41:AD41" si="33">SUM(T10:T33)</f>
        <v>636</v>
      </c>
      <c r="U41" s="53">
        <f t="shared" si="33"/>
        <v>461.64285714285711</v>
      </c>
      <c r="V41" s="53">
        <f t="shared" si="33"/>
        <v>1053.5714285714284</v>
      </c>
      <c r="W41" s="53">
        <f t="shared" si="33"/>
        <v>35</v>
      </c>
      <c r="X41" s="53">
        <f t="shared" si="33"/>
        <v>17.857142857142854</v>
      </c>
      <c r="Y41" s="53">
        <f t="shared" si="33"/>
        <v>315.71428571428567</v>
      </c>
      <c r="Z41" s="53">
        <f t="shared" si="33"/>
        <v>191.85714285714286</v>
      </c>
      <c r="AA41" s="53">
        <f t="shared" si="33"/>
        <v>46.357142857142854</v>
      </c>
      <c r="AB41" s="53">
        <f t="shared" si="33"/>
        <v>64.142857142857139</v>
      </c>
      <c r="AC41" s="53">
        <f t="shared" si="33"/>
        <v>11978.642857142857</v>
      </c>
      <c r="AD41" s="53">
        <f t="shared" si="33"/>
        <v>0.8571428571428571</v>
      </c>
      <c r="AE41" s="54">
        <f>SUM(AE10:AE33)</f>
        <v>8020.6428571428569</v>
      </c>
      <c r="AF41" s="54">
        <f>SUM(AF10:AF33)</f>
        <v>19999.285714285714</v>
      </c>
    </row>
    <row r="42" spans="2:32" ht="23.1" customHeight="1" x14ac:dyDescent="0.25">
      <c r="B42" s="24" t="s">
        <v>69</v>
      </c>
      <c r="C42" s="49">
        <f>AVERAGE('22.07 Ndeeba-Lubiri'!C42,'23.07 Ndeeba-Lubiri'!C42,'24.07 Ndeeba-Lubiri'!C42,'25.07 Ndeeba-Lubiri'!C42,'26.07 Ndeeba-Lubiri-24h'!C42,'27.07 Ndeeba-Lubiri-24h'!C42,'28.07 Ndeeba-Lubiri'!C42)</f>
        <v>69.428571428571431</v>
      </c>
      <c r="D42" s="49">
        <f>AVERAGE('22.07 Ndeeba-Lubiri'!D42,'23.07 Ndeeba-Lubiri'!D42,'24.07 Ndeeba-Lubiri'!D42,'25.07 Ndeeba-Lubiri'!D42,'26.07 Ndeeba-Lubiri-24h'!D42,'27.07 Ndeeba-Lubiri-24h'!D42,'28.07 Ndeeba-Lubiri'!D42)</f>
        <v>9.8571428571428577</v>
      </c>
      <c r="E42" s="49">
        <f>AVERAGE('22.07 Ndeeba-Lubiri'!E42,'23.07 Ndeeba-Lubiri'!E42,'24.07 Ndeeba-Lubiri'!E42,'25.07 Ndeeba-Lubiri'!E42,'26.07 Ndeeba-Lubiri-24h'!E42,'27.07 Ndeeba-Lubiri-24h'!E42,'28.07 Ndeeba-Lubiri'!E42)</f>
        <v>8.8571428571428577</v>
      </c>
      <c r="F42" s="49">
        <f>AVERAGE('22.07 Ndeeba-Lubiri'!F42,'23.07 Ndeeba-Lubiri'!F42,'24.07 Ndeeba-Lubiri'!F42,'25.07 Ndeeba-Lubiri'!F42,'26.07 Ndeeba-Lubiri-24h'!F42,'27.07 Ndeeba-Lubiri-24h'!F42,'28.07 Ndeeba-Lubiri'!F42)</f>
        <v>7.7142857142857144</v>
      </c>
      <c r="G42" s="49">
        <f>AVERAGE('22.07 Ndeeba-Lubiri'!G42,'23.07 Ndeeba-Lubiri'!G42,'24.07 Ndeeba-Lubiri'!G42,'25.07 Ndeeba-Lubiri'!G42,'26.07 Ndeeba-Lubiri-24h'!G42,'27.07 Ndeeba-Lubiri-24h'!G42,'28.07 Ndeeba-Lubiri'!G42)</f>
        <v>0.14285714285714285</v>
      </c>
      <c r="H42" s="49">
        <f>AVERAGE('22.07 Ndeeba-Lubiri'!H42,'23.07 Ndeeba-Lubiri'!H42,'24.07 Ndeeba-Lubiri'!H42,'25.07 Ndeeba-Lubiri'!H42,'26.07 Ndeeba-Lubiri-24h'!H42,'27.07 Ndeeba-Lubiri-24h'!H42,'28.07 Ndeeba-Lubiri'!H42)</f>
        <v>0.14285714285714285</v>
      </c>
      <c r="I42" s="49">
        <f>AVERAGE('22.07 Ndeeba-Lubiri'!I42,'23.07 Ndeeba-Lubiri'!I42,'24.07 Ndeeba-Lubiri'!I42,'25.07 Ndeeba-Lubiri'!I42,'26.07 Ndeeba-Lubiri-24h'!I42,'27.07 Ndeeba-Lubiri-24h'!I42,'28.07 Ndeeba-Lubiri'!I42)</f>
        <v>2.8571428571428572</v>
      </c>
      <c r="J42" s="49">
        <f>AVERAGE('22.07 Ndeeba-Lubiri'!J42,'23.07 Ndeeba-Lubiri'!J42,'24.07 Ndeeba-Lubiri'!J42,'25.07 Ndeeba-Lubiri'!J42,'26.07 Ndeeba-Lubiri-24h'!J42,'27.07 Ndeeba-Lubiri-24h'!J42,'28.07 Ndeeba-Lubiri'!J42)</f>
        <v>2.4285714285714284</v>
      </c>
      <c r="K42" s="49">
        <f>AVERAGE('22.07 Ndeeba-Lubiri'!K42,'23.07 Ndeeba-Lubiri'!K42,'24.07 Ndeeba-Lubiri'!K42,'25.07 Ndeeba-Lubiri'!K42,'26.07 Ndeeba-Lubiri-24h'!K42,'27.07 Ndeeba-Lubiri-24h'!K42,'28.07 Ndeeba-Lubiri'!K42)</f>
        <v>0.5714285714285714</v>
      </c>
      <c r="L42" s="49">
        <f>AVERAGE('22.07 Ndeeba-Lubiri'!L42,'23.07 Ndeeba-Lubiri'!L42,'24.07 Ndeeba-Lubiri'!L42,'25.07 Ndeeba-Lubiri'!L42,'26.07 Ndeeba-Lubiri-24h'!L42,'27.07 Ndeeba-Lubiri-24h'!L42,'28.07 Ndeeba-Lubiri'!L42)</f>
        <v>0.7142857142857143</v>
      </c>
      <c r="M42" s="49">
        <f>AVERAGE('22.07 Ndeeba-Lubiri'!M42,'23.07 Ndeeba-Lubiri'!M42,'24.07 Ndeeba-Lubiri'!M42,'25.07 Ndeeba-Lubiri'!M42,'26.07 Ndeeba-Lubiri-24h'!M42,'27.07 Ndeeba-Lubiri-24h'!M42,'28.07 Ndeeba-Lubiri'!M42)</f>
        <v>148.42857142857142</v>
      </c>
      <c r="N42" s="49">
        <f>AVERAGE('22.07 Ndeeba-Lubiri'!N42,'23.07 Ndeeba-Lubiri'!N42,'24.07 Ndeeba-Lubiri'!N42,'25.07 Ndeeba-Lubiri'!N42,'26.07 Ndeeba-Lubiri-24h'!N42,'27.07 Ndeeba-Lubiri-24h'!N42,'28.07 Ndeeba-Lubiri'!N42)</f>
        <v>0</v>
      </c>
      <c r="O42" s="49">
        <f>AVERAGE('22.07 Ndeeba-Lubiri'!O42,'23.07 Ndeeba-Lubiri'!O42,'24.07 Ndeeba-Lubiri'!O42,'25.07 Ndeeba-Lubiri'!O42,'26.07 Ndeeba-Lubiri-24h'!O42,'27.07 Ndeeba-Lubiri-24h'!O42,'28.07 Ndeeba-Lubiri'!O42)</f>
        <v>102.71428571428571</v>
      </c>
      <c r="P42" s="49">
        <f>AVERAGE('22.07 Ndeeba-Lubiri'!P42,'23.07 Ndeeba-Lubiri'!P42,'24.07 Ndeeba-Lubiri'!P42,'25.07 Ndeeba-Lubiri'!P42,'26.07 Ndeeba-Lubiri-24h'!P42,'27.07 Ndeeba-Lubiri-24h'!P42,'28.07 Ndeeba-Lubiri'!P42)</f>
        <v>251.14285714285714</v>
      </c>
      <c r="R42" s="5" t="s">
        <v>160</v>
      </c>
      <c r="S42" s="48">
        <f>S41/S40</f>
        <v>1.2252323545258621</v>
      </c>
      <c r="T42" s="48">
        <f t="shared" ref="T42:AF42" si="34">T41/T40</f>
        <v>1.358974358974359</v>
      </c>
      <c r="U42" s="48">
        <f t="shared" si="34"/>
        <v>1.2208160181337364</v>
      </c>
      <c r="V42" s="48">
        <f t="shared" si="34"/>
        <v>1.7059912098080035</v>
      </c>
      <c r="W42" s="48">
        <f t="shared" si="34"/>
        <v>1.666666666666667</v>
      </c>
      <c r="X42" s="48">
        <f t="shared" si="34"/>
        <v>1.3888888888888888</v>
      </c>
      <c r="Y42" s="48">
        <f t="shared" si="34"/>
        <v>1.4175753688261705</v>
      </c>
      <c r="Z42" s="48">
        <f t="shared" si="34"/>
        <v>1.2802669208770256</v>
      </c>
      <c r="AA42" s="48">
        <f t="shared" si="34"/>
        <v>1.5526315789473686</v>
      </c>
      <c r="AB42" s="48">
        <f t="shared" si="34"/>
        <v>1.1225000000000001</v>
      </c>
      <c r="AC42" s="48">
        <f t="shared" si="34"/>
        <v>1.3037066405460453</v>
      </c>
      <c r="AD42" s="48">
        <f t="shared" si="34"/>
        <v>1</v>
      </c>
      <c r="AE42" s="52">
        <f t="shared" si="34"/>
        <v>1.2936222667680468</v>
      </c>
      <c r="AF42" s="52">
        <f t="shared" si="34"/>
        <v>1.2996435136188937</v>
      </c>
    </row>
    <row r="43" spans="2:32" ht="23.1" customHeight="1" x14ac:dyDescent="0.25">
      <c r="B43" s="23" t="s">
        <v>70</v>
      </c>
      <c r="C43" s="49">
        <f>AVERAGE('22.07 Ndeeba-Lubiri'!C43,'23.07 Ndeeba-Lubiri'!C43,'24.07 Ndeeba-Lubiri'!C43,'25.07 Ndeeba-Lubiri'!C43,'26.07 Ndeeba-Lubiri-24h'!C43,'27.07 Ndeeba-Lubiri-24h'!C43,'28.07 Ndeeba-Lubiri'!C43)</f>
        <v>76.142857142857139</v>
      </c>
      <c r="D43" s="49">
        <f>AVERAGE('22.07 Ndeeba-Lubiri'!D43,'23.07 Ndeeba-Lubiri'!D43,'24.07 Ndeeba-Lubiri'!D43,'25.07 Ndeeba-Lubiri'!D43,'26.07 Ndeeba-Lubiri-24h'!D43,'27.07 Ndeeba-Lubiri-24h'!D43,'28.07 Ndeeba-Lubiri'!D43)</f>
        <v>6.1428571428571432</v>
      </c>
      <c r="E43" s="49">
        <f>AVERAGE('22.07 Ndeeba-Lubiri'!E43,'23.07 Ndeeba-Lubiri'!E43,'24.07 Ndeeba-Lubiri'!E43,'25.07 Ndeeba-Lubiri'!E43,'26.07 Ndeeba-Lubiri-24h'!E43,'27.07 Ndeeba-Lubiri-24h'!E43,'28.07 Ndeeba-Lubiri'!E43)</f>
        <v>6.7142857142857144</v>
      </c>
      <c r="F43" s="49">
        <f>AVERAGE('22.07 Ndeeba-Lubiri'!F43,'23.07 Ndeeba-Lubiri'!F43,'24.07 Ndeeba-Lubiri'!F43,'25.07 Ndeeba-Lubiri'!F43,'26.07 Ndeeba-Lubiri-24h'!F43,'27.07 Ndeeba-Lubiri-24h'!F43,'28.07 Ndeeba-Lubiri'!F43)</f>
        <v>6.4285714285714288</v>
      </c>
      <c r="G43" s="49">
        <f>AVERAGE('22.07 Ndeeba-Lubiri'!G43,'23.07 Ndeeba-Lubiri'!G43,'24.07 Ndeeba-Lubiri'!G43,'25.07 Ndeeba-Lubiri'!G43,'26.07 Ndeeba-Lubiri-24h'!G43,'27.07 Ndeeba-Lubiri-24h'!G43,'28.07 Ndeeba-Lubiri'!G43)</f>
        <v>0.2857142857142857</v>
      </c>
      <c r="H43" s="49">
        <f>AVERAGE('22.07 Ndeeba-Lubiri'!H43,'23.07 Ndeeba-Lubiri'!H43,'24.07 Ndeeba-Lubiri'!H43,'25.07 Ndeeba-Lubiri'!H43,'26.07 Ndeeba-Lubiri-24h'!H43,'27.07 Ndeeba-Lubiri-24h'!H43,'28.07 Ndeeba-Lubiri'!H43)</f>
        <v>0</v>
      </c>
      <c r="I43" s="49">
        <f>AVERAGE('22.07 Ndeeba-Lubiri'!I43,'23.07 Ndeeba-Lubiri'!I43,'24.07 Ndeeba-Lubiri'!I43,'25.07 Ndeeba-Lubiri'!I43,'26.07 Ndeeba-Lubiri-24h'!I43,'27.07 Ndeeba-Lubiri-24h'!I43,'28.07 Ndeeba-Lubiri'!I43)</f>
        <v>4.5714285714285712</v>
      </c>
      <c r="J43" s="49">
        <f>AVERAGE('22.07 Ndeeba-Lubiri'!J43,'23.07 Ndeeba-Lubiri'!J43,'24.07 Ndeeba-Lubiri'!J43,'25.07 Ndeeba-Lubiri'!J43,'26.07 Ndeeba-Lubiri-24h'!J43,'27.07 Ndeeba-Lubiri-24h'!J43,'28.07 Ndeeba-Lubiri'!J43)</f>
        <v>3.4285714285714284</v>
      </c>
      <c r="K43" s="49">
        <f>AVERAGE('22.07 Ndeeba-Lubiri'!K43,'23.07 Ndeeba-Lubiri'!K43,'24.07 Ndeeba-Lubiri'!K43,'25.07 Ndeeba-Lubiri'!K43,'26.07 Ndeeba-Lubiri-24h'!K43,'27.07 Ndeeba-Lubiri-24h'!K43,'28.07 Ndeeba-Lubiri'!K43)</f>
        <v>0.2857142857142857</v>
      </c>
      <c r="L43" s="49">
        <f>AVERAGE('22.07 Ndeeba-Lubiri'!L43,'23.07 Ndeeba-Lubiri'!L43,'24.07 Ndeeba-Lubiri'!L43,'25.07 Ndeeba-Lubiri'!L43,'26.07 Ndeeba-Lubiri-24h'!L43,'27.07 Ndeeba-Lubiri-24h'!L43,'28.07 Ndeeba-Lubiri'!L43)</f>
        <v>0.14285714285714285</v>
      </c>
      <c r="M43" s="49">
        <f>AVERAGE('22.07 Ndeeba-Lubiri'!M43,'23.07 Ndeeba-Lubiri'!M43,'24.07 Ndeeba-Lubiri'!M43,'25.07 Ndeeba-Lubiri'!M43,'26.07 Ndeeba-Lubiri-24h'!M43,'27.07 Ndeeba-Lubiri-24h'!M43,'28.07 Ndeeba-Lubiri'!M43)</f>
        <v>160.57142857142858</v>
      </c>
      <c r="N43" s="49">
        <f>AVERAGE('22.07 Ndeeba-Lubiri'!N43,'23.07 Ndeeba-Lubiri'!N43,'24.07 Ndeeba-Lubiri'!N43,'25.07 Ndeeba-Lubiri'!N43,'26.07 Ndeeba-Lubiri-24h'!N43,'27.07 Ndeeba-Lubiri-24h'!N43,'28.07 Ndeeba-Lubiri'!N43)</f>
        <v>0</v>
      </c>
      <c r="O43" s="49">
        <f>AVERAGE('22.07 Ndeeba-Lubiri'!O43,'23.07 Ndeeba-Lubiri'!O43,'24.07 Ndeeba-Lubiri'!O43,'25.07 Ndeeba-Lubiri'!O43,'26.07 Ndeeba-Lubiri-24h'!O43,'27.07 Ndeeba-Lubiri-24h'!O43,'28.07 Ndeeba-Lubiri'!O43)</f>
        <v>104.14285714285714</v>
      </c>
      <c r="P43" s="49">
        <f>AVERAGE('22.07 Ndeeba-Lubiri'!P43,'23.07 Ndeeba-Lubiri'!P43,'24.07 Ndeeba-Lubiri'!P43,'25.07 Ndeeba-Lubiri'!P43,'26.07 Ndeeba-Lubiri-24h'!P43,'27.07 Ndeeba-Lubiri-24h'!P43,'28.07 Ndeeba-Lubiri'!P43)</f>
        <v>264.71428571428572</v>
      </c>
    </row>
    <row r="44" spans="2:32" ht="23.1" customHeight="1" x14ac:dyDescent="0.25">
      <c r="B44" s="25" t="s">
        <v>71</v>
      </c>
      <c r="C44" s="49">
        <f>AVERAGE('22.07 Ndeeba-Lubiri'!C44,'23.07 Ndeeba-Lubiri'!C44,'24.07 Ndeeba-Lubiri'!C44,'25.07 Ndeeba-Lubiri'!C44,'26.07 Ndeeba-Lubiri-24h'!C44,'27.07 Ndeeba-Lubiri-24h'!C44,'28.07 Ndeeba-Lubiri'!C44)</f>
        <v>79.142857142857139</v>
      </c>
      <c r="D44" s="49">
        <f>AVERAGE('22.07 Ndeeba-Lubiri'!D44,'23.07 Ndeeba-Lubiri'!D44,'24.07 Ndeeba-Lubiri'!D44,'25.07 Ndeeba-Lubiri'!D44,'26.07 Ndeeba-Lubiri-24h'!D44,'27.07 Ndeeba-Lubiri-24h'!D44,'28.07 Ndeeba-Lubiri'!D44)</f>
        <v>7.5714285714285712</v>
      </c>
      <c r="E44" s="49">
        <f>AVERAGE('22.07 Ndeeba-Lubiri'!E44,'23.07 Ndeeba-Lubiri'!E44,'24.07 Ndeeba-Lubiri'!E44,'25.07 Ndeeba-Lubiri'!E44,'26.07 Ndeeba-Lubiri-24h'!E44,'27.07 Ndeeba-Lubiri-24h'!E44,'28.07 Ndeeba-Lubiri'!E44)</f>
        <v>12.428571428571429</v>
      </c>
      <c r="F44" s="49">
        <f>AVERAGE('22.07 Ndeeba-Lubiri'!F44,'23.07 Ndeeba-Lubiri'!F44,'24.07 Ndeeba-Lubiri'!F44,'25.07 Ndeeba-Lubiri'!F44,'26.07 Ndeeba-Lubiri-24h'!F44,'27.07 Ndeeba-Lubiri-24h'!F44,'28.07 Ndeeba-Lubiri'!F44)</f>
        <v>5.5714285714285712</v>
      </c>
      <c r="G44" s="49">
        <f>AVERAGE('22.07 Ndeeba-Lubiri'!G44,'23.07 Ndeeba-Lubiri'!G44,'24.07 Ndeeba-Lubiri'!G44,'25.07 Ndeeba-Lubiri'!G44,'26.07 Ndeeba-Lubiri-24h'!G44,'27.07 Ndeeba-Lubiri-24h'!G44,'28.07 Ndeeba-Lubiri'!G44)</f>
        <v>0.2857142857142857</v>
      </c>
      <c r="H44" s="49">
        <f>AVERAGE('22.07 Ndeeba-Lubiri'!H44,'23.07 Ndeeba-Lubiri'!H44,'24.07 Ndeeba-Lubiri'!H44,'25.07 Ndeeba-Lubiri'!H44,'26.07 Ndeeba-Lubiri-24h'!H44,'27.07 Ndeeba-Lubiri-24h'!H44,'28.07 Ndeeba-Lubiri'!H44)</f>
        <v>0</v>
      </c>
      <c r="I44" s="49">
        <f>AVERAGE('22.07 Ndeeba-Lubiri'!I44,'23.07 Ndeeba-Lubiri'!I44,'24.07 Ndeeba-Lubiri'!I44,'25.07 Ndeeba-Lubiri'!I44,'26.07 Ndeeba-Lubiri-24h'!I44,'27.07 Ndeeba-Lubiri-24h'!I44,'28.07 Ndeeba-Lubiri'!I44)</f>
        <v>3.1428571428571428</v>
      </c>
      <c r="J44" s="49">
        <f>AVERAGE('22.07 Ndeeba-Lubiri'!J44,'23.07 Ndeeba-Lubiri'!J44,'24.07 Ndeeba-Lubiri'!J44,'25.07 Ndeeba-Lubiri'!J44,'26.07 Ndeeba-Lubiri-24h'!J44,'27.07 Ndeeba-Lubiri-24h'!J44,'28.07 Ndeeba-Lubiri'!J44)</f>
        <v>3.2857142857142856</v>
      </c>
      <c r="K44" s="49">
        <f>AVERAGE('22.07 Ndeeba-Lubiri'!K44,'23.07 Ndeeba-Lubiri'!K44,'24.07 Ndeeba-Lubiri'!K44,'25.07 Ndeeba-Lubiri'!K44,'26.07 Ndeeba-Lubiri-24h'!K44,'27.07 Ndeeba-Lubiri-24h'!K44,'28.07 Ndeeba-Lubiri'!K44)</f>
        <v>0.42857142857142855</v>
      </c>
      <c r="L44" s="49">
        <f>AVERAGE('22.07 Ndeeba-Lubiri'!L44,'23.07 Ndeeba-Lubiri'!L44,'24.07 Ndeeba-Lubiri'!L44,'25.07 Ndeeba-Lubiri'!L44,'26.07 Ndeeba-Lubiri-24h'!L44,'27.07 Ndeeba-Lubiri-24h'!L44,'28.07 Ndeeba-Lubiri'!L44)</f>
        <v>0.42857142857142855</v>
      </c>
      <c r="M44" s="49">
        <f>AVERAGE('22.07 Ndeeba-Lubiri'!M44,'23.07 Ndeeba-Lubiri'!M44,'24.07 Ndeeba-Lubiri'!M44,'25.07 Ndeeba-Lubiri'!M44,'26.07 Ndeeba-Lubiri-24h'!M44,'27.07 Ndeeba-Lubiri-24h'!M44,'28.07 Ndeeba-Lubiri'!M44)</f>
        <v>171.42857142857142</v>
      </c>
      <c r="N44" s="49">
        <f>AVERAGE('22.07 Ndeeba-Lubiri'!N44,'23.07 Ndeeba-Lubiri'!N44,'24.07 Ndeeba-Lubiri'!N44,'25.07 Ndeeba-Lubiri'!N44,'26.07 Ndeeba-Lubiri-24h'!N44,'27.07 Ndeeba-Lubiri-24h'!N44,'28.07 Ndeeba-Lubiri'!N44)</f>
        <v>0</v>
      </c>
      <c r="O44" s="49">
        <f>AVERAGE('22.07 Ndeeba-Lubiri'!O44,'23.07 Ndeeba-Lubiri'!O44,'24.07 Ndeeba-Lubiri'!O44,'25.07 Ndeeba-Lubiri'!O44,'26.07 Ndeeba-Lubiri-24h'!O44,'27.07 Ndeeba-Lubiri-24h'!O44,'28.07 Ndeeba-Lubiri'!O44)</f>
        <v>112.28571428571429</v>
      </c>
      <c r="P44" s="49">
        <f>AVERAGE('22.07 Ndeeba-Lubiri'!P44,'23.07 Ndeeba-Lubiri'!P44,'24.07 Ndeeba-Lubiri'!P44,'25.07 Ndeeba-Lubiri'!P44,'26.07 Ndeeba-Lubiri-24h'!P44,'27.07 Ndeeba-Lubiri-24h'!P44,'28.07 Ndeeba-Lubiri'!P44)</f>
        <v>283.71428571428572</v>
      </c>
    </row>
    <row r="45" spans="2:32" ht="23.1" customHeight="1" x14ac:dyDescent="0.25">
      <c r="B45" s="23" t="s">
        <v>72</v>
      </c>
      <c r="C45" s="49">
        <f>AVERAGE('22.07 Ndeeba-Lubiri'!C45,'23.07 Ndeeba-Lubiri'!C45,'24.07 Ndeeba-Lubiri'!C45,'25.07 Ndeeba-Lubiri'!C45,'26.07 Ndeeba-Lubiri-24h'!C45,'27.07 Ndeeba-Lubiri-24h'!C45,'28.07 Ndeeba-Lubiri'!C45)</f>
        <v>69.285714285714292</v>
      </c>
      <c r="D45" s="49">
        <f>AVERAGE('22.07 Ndeeba-Lubiri'!D45,'23.07 Ndeeba-Lubiri'!D45,'24.07 Ndeeba-Lubiri'!D45,'25.07 Ndeeba-Lubiri'!D45,'26.07 Ndeeba-Lubiri-24h'!D45,'27.07 Ndeeba-Lubiri-24h'!D45,'28.07 Ndeeba-Lubiri'!D45)</f>
        <v>8.5714285714285712</v>
      </c>
      <c r="E45" s="49">
        <f>AVERAGE('22.07 Ndeeba-Lubiri'!E45,'23.07 Ndeeba-Lubiri'!E45,'24.07 Ndeeba-Lubiri'!E45,'25.07 Ndeeba-Lubiri'!E45,'26.07 Ndeeba-Lubiri-24h'!E45,'27.07 Ndeeba-Lubiri-24h'!E45,'28.07 Ndeeba-Lubiri'!E45)</f>
        <v>7.2857142857142856</v>
      </c>
      <c r="F45" s="49">
        <f>AVERAGE('22.07 Ndeeba-Lubiri'!F45,'23.07 Ndeeba-Lubiri'!F45,'24.07 Ndeeba-Lubiri'!F45,'25.07 Ndeeba-Lubiri'!F45,'26.07 Ndeeba-Lubiri-24h'!F45,'27.07 Ndeeba-Lubiri-24h'!F45,'28.07 Ndeeba-Lubiri'!F45)</f>
        <v>2.8571428571428572</v>
      </c>
      <c r="G45" s="49">
        <f>AVERAGE('22.07 Ndeeba-Lubiri'!G45,'23.07 Ndeeba-Lubiri'!G45,'24.07 Ndeeba-Lubiri'!G45,'25.07 Ndeeba-Lubiri'!G45,'26.07 Ndeeba-Lubiri-24h'!G45,'27.07 Ndeeba-Lubiri-24h'!G45,'28.07 Ndeeba-Lubiri'!G45)</f>
        <v>0.2857142857142857</v>
      </c>
      <c r="H45" s="49">
        <f>AVERAGE('22.07 Ndeeba-Lubiri'!H45,'23.07 Ndeeba-Lubiri'!H45,'24.07 Ndeeba-Lubiri'!H45,'25.07 Ndeeba-Lubiri'!H45,'26.07 Ndeeba-Lubiri-24h'!H45,'27.07 Ndeeba-Lubiri-24h'!H45,'28.07 Ndeeba-Lubiri'!H45)</f>
        <v>0</v>
      </c>
      <c r="I45" s="49">
        <f>AVERAGE('22.07 Ndeeba-Lubiri'!I45,'23.07 Ndeeba-Lubiri'!I45,'24.07 Ndeeba-Lubiri'!I45,'25.07 Ndeeba-Lubiri'!I45,'26.07 Ndeeba-Lubiri-24h'!I45,'27.07 Ndeeba-Lubiri-24h'!I45,'28.07 Ndeeba-Lubiri'!I45)</f>
        <v>5.8571428571428568</v>
      </c>
      <c r="J45" s="49">
        <f>AVERAGE('22.07 Ndeeba-Lubiri'!J45,'23.07 Ndeeba-Lubiri'!J45,'24.07 Ndeeba-Lubiri'!J45,'25.07 Ndeeba-Lubiri'!J45,'26.07 Ndeeba-Lubiri-24h'!J45,'27.07 Ndeeba-Lubiri-24h'!J45,'28.07 Ndeeba-Lubiri'!J45)</f>
        <v>2.4285714285714284</v>
      </c>
      <c r="K45" s="49">
        <f>AVERAGE('22.07 Ndeeba-Lubiri'!K45,'23.07 Ndeeba-Lubiri'!K45,'24.07 Ndeeba-Lubiri'!K45,'25.07 Ndeeba-Lubiri'!K45,'26.07 Ndeeba-Lubiri-24h'!K45,'27.07 Ndeeba-Lubiri-24h'!K45,'28.07 Ndeeba-Lubiri'!K45)</f>
        <v>0.2857142857142857</v>
      </c>
      <c r="L45" s="49">
        <f>AVERAGE('22.07 Ndeeba-Lubiri'!L45,'23.07 Ndeeba-Lubiri'!L45,'24.07 Ndeeba-Lubiri'!L45,'25.07 Ndeeba-Lubiri'!L45,'26.07 Ndeeba-Lubiri-24h'!L45,'27.07 Ndeeba-Lubiri-24h'!L45,'28.07 Ndeeba-Lubiri'!L45)</f>
        <v>0.5714285714285714</v>
      </c>
      <c r="M45" s="49">
        <f>AVERAGE('22.07 Ndeeba-Lubiri'!M45,'23.07 Ndeeba-Lubiri'!M45,'24.07 Ndeeba-Lubiri'!M45,'25.07 Ndeeba-Lubiri'!M45,'26.07 Ndeeba-Lubiri-24h'!M45,'27.07 Ndeeba-Lubiri-24h'!M45,'28.07 Ndeeba-Lubiri'!M45)</f>
        <v>150.57142857142858</v>
      </c>
      <c r="N45" s="49">
        <f>AVERAGE('22.07 Ndeeba-Lubiri'!N45,'23.07 Ndeeba-Lubiri'!N45,'24.07 Ndeeba-Lubiri'!N45,'25.07 Ndeeba-Lubiri'!N45,'26.07 Ndeeba-Lubiri-24h'!N45,'27.07 Ndeeba-Lubiri-24h'!N45,'28.07 Ndeeba-Lubiri'!N45)</f>
        <v>0</v>
      </c>
      <c r="O45" s="49">
        <f>AVERAGE('22.07 Ndeeba-Lubiri'!O45,'23.07 Ndeeba-Lubiri'!O45,'24.07 Ndeeba-Lubiri'!O45,'25.07 Ndeeba-Lubiri'!O45,'26.07 Ndeeba-Lubiri-24h'!O45,'27.07 Ndeeba-Lubiri-24h'!O45,'28.07 Ndeeba-Lubiri'!O45)</f>
        <v>97.428571428571431</v>
      </c>
      <c r="P45" s="49">
        <f>AVERAGE('22.07 Ndeeba-Lubiri'!P45,'23.07 Ndeeba-Lubiri'!P45,'24.07 Ndeeba-Lubiri'!P45,'25.07 Ndeeba-Lubiri'!P45,'26.07 Ndeeba-Lubiri-24h'!P45,'27.07 Ndeeba-Lubiri-24h'!P45,'28.07 Ndeeba-Lubiri'!P45)</f>
        <v>248</v>
      </c>
    </row>
    <row r="46" spans="2:32" ht="23.1" customHeight="1" x14ac:dyDescent="0.25">
      <c r="B46" s="24" t="s">
        <v>73</v>
      </c>
      <c r="C46" s="49">
        <f>AVERAGE('22.07 Ndeeba-Lubiri'!C46,'23.07 Ndeeba-Lubiri'!C46,'24.07 Ndeeba-Lubiri'!C46,'25.07 Ndeeba-Lubiri'!C46,'26.07 Ndeeba-Lubiri-24h'!C46,'27.07 Ndeeba-Lubiri-24h'!C46,'28.07 Ndeeba-Lubiri'!C46)</f>
        <v>75.857142857142861</v>
      </c>
      <c r="D46" s="49">
        <f>AVERAGE('22.07 Ndeeba-Lubiri'!D46,'23.07 Ndeeba-Lubiri'!D46,'24.07 Ndeeba-Lubiri'!D46,'25.07 Ndeeba-Lubiri'!D46,'26.07 Ndeeba-Lubiri-24h'!D46,'27.07 Ndeeba-Lubiri-24h'!D46,'28.07 Ndeeba-Lubiri'!D46)</f>
        <v>9.5714285714285712</v>
      </c>
      <c r="E46" s="49">
        <f>AVERAGE('22.07 Ndeeba-Lubiri'!E46,'23.07 Ndeeba-Lubiri'!E46,'24.07 Ndeeba-Lubiri'!E46,'25.07 Ndeeba-Lubiri'!E46,'26.07 Ndeeba-Lubiri-24h'!E46,'27.07 Ndeeba-Lubiri-24h'!E46,'28.07 Ndeeba-Lubiri'!E46)</f>
        <v>9.1428571428571423</v>
      </c>
      <c r="F46" s="49">
        <f>AVERAGE('22.07 Ndeeba-Lubiri'!F46,'23.07 Ndeeba-Lubiri'!F46,'24.07 Ndeeba-Lubiri'!F46,'25.07 Ndeeba-Lubiri'!F46,'26.07 Ndeeba-Lubiri-24h'!F46,'27.07 Ndeeba-Lubiri-24h'!F46,'28.07 Ndeeba-Lubiri'!F46)</f>
        <v>5.1428571428571432</v>
      </c>
      <c r="G46" s="49">
        <f>AVERAGE('22.07 Ndeeba-Lubiri'!G46,'23.07 Ndeeba-Lubiri'!G46,'24.07 Ndeeba-Lubiri'!G46,'25.07 Ndeeba-Lubiri'!G46,'26.07 Ndeeba-Lubiri-24h'!G46,'27.07 Ndeeba-Lubiri-24h'!G46,'28.07 Ndeeba-Lubiri'!G46)</f>
        <v>0</v>
      </c>
      <c r="H46" s="49">
        <f>AVERAGE('22.07 Ndeeba-Lubiri'!H46,'23.07 Ndeeba-Lubiri'!H46,'24.07 Ndeeba-Lubiri'!H46,'25.07 Ndeeba-Lubiri'!H46,'26.07 Ndeeba-Lubiri-24h'!H46,'27.07 Ndeeba-Lubiri-24h'!H46,'28.07 Ndeeba-Lubiri'!H46)</f>
        <v>1</v>
      </c>
      <c r="I46" s="49">
        <f>AVERAGE('22.07 Ndeeba-Lubiri'!I46,'23.07 Ndeeba-Lubiri'!I46,'24.07 Ndeeba-Lubiri'!I46,'25.07 Ndeeba-Lubiri'!I46,'26.07 Ndeeba-Lubiri-24h'!I46,'27.07 Ndeeba-Lubiri-24h'!I46,'28.07 Ndeeba-Lubiri'!I46)</f>
        <v>5.2857142857142856</v>
      </c>
      <c r="J46" s="49">
        <f>AVERAGE('22.07 Ndeeba-Lubiri'!J46,'23.07 Ndeeba-Lubiri'!J46,'24.07 Ndeeba-Lubiri'!J46,'25.07 Ndeeba-Lubiri'!J46,'26.07 Ndeeba-Lubiri-24h'!J46,'27.07 Ndeeba-Lubiri-24h'!J46,'28.07 Ndeeba-Lubiri'!J46)</f>
        <v>3</v>
      </c>
      <c r="K46" s="49">
        <f>AVERAGE('22.07 Ndeeba-Lubiri'!K46,'23.07 Ndeeba-Lubiri'!K46,'24.07 Ndeeba-Lubiri'!K46,'25.07 Ndeeba-Lubiri'!K46,'26.07 Ndeeba-Lubiri-24h'!K46,'27.07 Ndeeba-Lubiri-24h'!K46,'28.07 Ndeeba-Lubiri'!K46)</f>
        <v>0.8571428571428571</v>
      </c>
      <c r="L46" s="49">
        <f>AVERAGE('22.07 Ndeeba-Lubiri'!L46,'23.07 Ndeeba-Lubiri'!L46,'24.07 Ndeeba-Lubiri'!L46,'25.07 Ndeeba-Lubiri'!L46,'26.07 Ndeeba-Lubiri-24h'!L46,'27.07 Ndeeba-Lubiri-24h'!L46,'28.07 Ndeeba-Lubiri'!L46)</f>
        <v>0.2857142857142857</v>
      </c>
      <c r="M46" s="49">
        <f>AVERAGE('22.07 Ndeeba-Lubiri'!M46,'23.07 Ndeeba-Lubiri'!M46,'24.07 Ndeeba-Lubiri'!M46,'25.07 Ndeeba-Lubiri'!M46,'26.07 Ndeeba-Lubiri-24h'!M46,'27.07 Ndeeba-Lubiri-24h'!M46,'28.07 Ndeeba-Lubiri'!M46)</f>
        <v>180.71428571428572</v>
      </c>
      <c r="N46" s="49">
        <f>AVERAGE('22.07 Ndeeba-Lubiri'!N46,'23.07 Ndeeba-Lubiri'!N46,'24.07 Ndeeba-Lubiri'!N46,'25.07 Ndeeba-Lubiri'!N46,'26.07 Ndeeba-Lubiri-24h'!N46,'27.07 Ndeeba-Lubiri-24h'!N46,'28.07 Ndeeba-Lubiri'!N46)</f>
        <v>0</v>
      </c>
      <c r="O46" s="49">
        <f>AVERAGE('22.07 Ndeeba-Lubiri'!O46,'23.07 Ndeeba-Lubiri'!O46,'24.07 Ndeeba-Lubiri'!O46,'25.07 Ndeeba-Lubiri'!O46,'26.07 Ndeeba-Lubiri-24h'!O46,'27.07 Ndeeba-Lubiri-24h'!O46,'28.07 Ndeeba-Lubiri'!O46)</f>
        <v>110.14285714285714</v>
      </c>
      <c r="P46" s="49">
        <f>AVERAGE('22.07 Ndeeba-Lubiri'!P46,'23.07 Ndeeba-Lubiri'!P46,'24.07 Ndeeba-Lubiri'!P46,'25.07 Ndeeba-Lubiri'!P46,'26.07 Ndeeba-Lubiri-24h'!P46,'27.07 Ndeeba-Lubiri-24h'!P46,'28.07 Ndeeba-Lubiri'!P46)</f>
        <v>290.85714285714283</v>
      </c>
      <c r="R46" s="8"/>
      <c r="T46"/>
    </row>
    <row r="47" spans="2:32" ht="23.1" customHeight="1" x14ac:dyDescent="0.25">
      <c r="B47" s="24" t="s">
        <v>74</v>
      </c>
      <c r="C47" s="49">
        <f>AVERAGE('22.07 Ndeeba-Lubiri'!C47,'23.07 Ndeeba-Lubiri'!C47,'24.07 Ndeeba-Lubiri'!C47,'25.07 Ndeeba-Lubiri'!C47,'26.07 Ndeeba-Lubiri-24h'!C47,'27.07 Ndeeba-Lubiri-24h'!C47,'28.07 Ndeeba-Lubiri'!C47)</f>
        <v>71</v>
      </c>
      <c r="D47" s="49">
        <f>AVERAGE('22.07 Ndeeba-Lubiri'!D47,'23.07 Ndeeba-Lubiri'!D47,'24.07 Ndeeba-Lubiri'!D47,'25.07 Ndeeba-Lubiri'!D47,'26.07 Ndeeba-Lubiri-24h'!D47,'27.07 Ndeeba-Lubiri-24h'!D47,'28.07 Ndeeba-Lubiri'!D47)</f>
        <v>5.1428571428571432</v>
      </c>
      <c r="E47" s="49">
        <f>AVERAGE('22.07 Ndeeba-Lubiri'!E47,'23.07 Ndeeba-Lubiri'!E47,'24.07 Ndeeba-Lubiri'!E47,'25.07 Ndeeba-Lubiri'!E47,'26.07 Ndeeba-Lubiri-24h'!E47,'27.07 Ndeeba-Lubiri-24h'!E47,'28.07 Ndeeba-Lubiri'!E47)</f>
        <v>5.4285714285714288</v>
      </c>
      <c r="F47" s="49">
        <f>AVERAGE('22.07 Ndeeba-Lubiri'!F47,'23.07 Ndeeba-Lubiri'!F47,'24.07 Ndeeba-Lubiri'!F47,'25.07 Ndeeba-Lubiri'!F47,'26.07 Ndeeba-Lubiri-24h'!F47,'27.07 Ndeeba-Lubiri-24h'!F47,'28.07 Ndeeba-Lubiri'!F47)</f>
        <v>11.714285714285714</v>
      </c>
      <c r="G47" s="49">
        <f>AVERAGE('22.07 Ndeeba-Lubiri'!G47,'23.07 Ndeeba-Lubiri'!G47,'24.07 Ndeeba-Lubiri'!G47,'25.07 Ndeeba-Lubiri'!G47,'26.07 Ndeeba-Lubiri-24h'!G47,'27.07 Ndeeba-Lubiri-24h'!G47,'28.07 Ndeeba-Lubiri'!G47)</f>
        <v>0.2857142857142857</v>
      </c>
      <c r="H47" s="49">
        <f>AVERAGE('22.07 Ndeeba-Lubiri'!H47,'23.07 Ndeeba-Lubiri'!H47,'24.07 Ndeeba-Lubiri'!H47,'25.07 Ndeeba-Lubiri'!H47,'26.07 Ndeeba-Lubiri-24h'!H47,'27.07 Ndeeba-Lubiri-24h'!H47,'28.07 Ndeeba-Lubiri'!H47)</f>
        <v>0</v>
      </c>
      <c r="I47" s="49">
        <f>AVERAGE('22.07 Ndeeba-Lubiri'!I47,'23.07 Ndeeba-Lubiri'!I47,'24.07 Ndeeba-Lubiri'!I47,'25.07 Ndeeba-Lubiri'!I47,'26.07 Ndeeba-Lubiri-24h'!I47,'27.07 Ndeeba-Lubiri-24h'!I47,'28.07 Ndeeba-Lubiri'!I47)</f>
        <v>2.7142857142857144</v>
      </c>
      <c r="J47" s="49">
        <f>AVERAGE('22.07 Ndeeba-Lubiri'!J47,'23.07 Ndeeba-Lubiri'!J47,'24.07 Ndeeba-Lubiri'!J47,'25.07 Ndeeba-Lubiri'!J47,'26.07 Ndeeba-Lubiri-24h'!J47,'27.07 Ndeeba-Lubiri-24h'!J47,'28.07 Ndeeba-Lubiri'!J47)</f>
        <v>3.8571428571428572</v>
      </c>
      <c r="K47" s="49">
        <f>AVERAGE('22.07 Ndeeba-Lubiri'!K47,'23.07 Ndeeba-Lubiri'!K47,'24.07 Ndeeba-Lubiri'!K47,'25.07 Ndeeba-Lubiri'!K47,'26.07 Ndeeba-Lubiri-24h'!K47,'27.07 Ndeeba-Lubiri-24h'!K47,'28.07 Ndeeba-Lubiri'!K47)</f>
        <v>0.2857142857142857</v>
      </c>
      <c r="L47" s="49">
        <f>AVERAGE('22.07 Ndeeba-Lubiri'!L47,'23.07 Ndeeba-Lubiri'!L47,'24.07 Ndeeba-Lubiri'!L47,'25.07 Ndeeba-Lubiri'!L47,'26.07 Ndeeba-Lubiri-24h'!L47,'27.07 Ndeeba-Lubiri-24h'!L47,'28.07 Ndeeba-Lubiri'!L47)</f>
        <v>0.2857142857142857</v>
      </c>
      <c r="M47" s="49">
        <f>AVERAGE('22.07 Ndeeba-Lubiri'!M47,'23.07 Ndeeba-Lubiri'!M47,'24.07 Ndeeba-Lubiri'!M47,'25.07 Ndeeba-Lubiri'!M47,'26.07 Ndeeba-Lubiri-24h'!M47,'27.07 Ndeeba-Lubiri-24h'!M47,'28.07 Ndeeba-Lubiri'!M47)</f>
        <v>173.14285714285714</v>
      </c>
      <c r="N47" s="49">
        <f>AVERAGE('22.07 Ndeeba-Lubiri'!N47,'23.07 Ndeeba-Lubiri'!N47,'24.07 Ndeeba-Lubiri'!N47,'25.07 Ndeeba-Lubiri'!N47,'26.07 Ndeeba-Lubiri-24h'!N47,'27.07 Ndeeba-Lubiri-24h'!N47,'28.07 Ndeeba-Lubiri'!N47)</f>
        <v>0</v>
      </c>
      <c r="O47" s="49">
        <f>AVERAGE('22.07 Ndeeba-Lubiri'!O47,'23.07 Ndeeba-Lubiri'!O47,'24.07 Ndeeba-Lubiri'!O47,'25.07 Ndeeba-Lubiri'!O47,'26.07 Ndeeba-Lubiri-24h'!O47,'27.07 Ndeeba-Lubiri-24h'!O47,'28.07 Ndeeba-Lubiri'!O47)</f>
        <v>100.71428571428571</v>
      </c>
      <c r="P47" s="49">
        <f>AVERAGE('22.07 Ndeeba-Lubiri'!P47,'23.07 Ndeeba-Lubiri'!P47,'24.07 Ndeeba-Lubiri'!P47,'25.07 Ndeeba-Lubiri'!P47,'26.07 Ndeeba-Lubiri-24h'!P47,'27.07 Ndeeba-Lubiri-24h'!P47,'28.07 Ndeeba-Lubiri'!P47)</f>
        <v>273.85714285714283</v>
      </c>
      <c r="R47" s="8"/>
      <c r="T47"/>
    </row>
    <row r="48" spans="2:32" ht="23.1" customHeight="1" x14ac:dyDescent="0.25">
      <c r="B48" s="24" t="s">
        <v>75</v>
      </c>
      <c r="C48" s="49">
        <f>AVERAGE('22.07 Ndeeba-Lubiri'!C48,'23.07 Ndeeba-Lubiri'!C48,'24.07 Ndeeba-Lubiri'!C48,'25.07 Ndeeba-Lubiri'!C48,'26.07 Ndeeba-Lubiri-24h'!C48,'27.07 Ndeeba-Lubiri-24h'!C48,'28.07 Ndeeba-Lubiri'!C48)</f>
        <v>77.285714285714292</v>
      </c>
      <c r="D48" s="49">
        <f>AVERAGE('22.07 Ndeeba-Lubiri'!D48,'23.07 Ndeeba-Lubiri'!D48,'24.07 Ndeeba-Lubiri'!D48,'25.07 Ndeeba-Lubiri'!D48,'26.07 Ndeeba-Lubiri-24h'!D48,'27.07 Ndeeba-Lubiri-24h'!D48,'28.07 Ndeeba-Lubiri'!D48)</f>
        <v>12.857142857142858</v>
      </c>
      <c r="E48" s="49">
        <f>AVERAGE('22.07 Ndeeba-Lubiri'!E48,'23.07 Ndeeba-Lubiri'!E48,'24.07 Ndeeba-Lubiri'!E48,'25.07 Ndeeba-Lubiri'!E48,'26.07 Ndeeba-Lubiri-24h'!E48,'27.07 Ndeeba-Lubiri-24h'!E48,'28.07 Ndeeba-Lubiri'!E48)</f>
        <v>8</v>
      </c>
      <c r="F48" s="49">
        <f>AVERAGE('22.07 Ndeeba-Lubiri'!F48,'23.07 Ndeeba-Lubiri'!F48,'24.07 Ndeeba-Lubiri'!F48,'25.07 Ndeeba-Lubiri'!F48,'26.07 Ndeeba-Lubiri-24h'!F48,'27.07 Ndeeba-Lubiri-24h'!F48,'28.07 Ndeeba-Lubiri'!F48)</f>
        <v>8.8571428571428577</v>
      </c>
      <c r="G48" s="49">
        <f>AVERAGE('22.07 Ndeeba-Lubiri'!G48,'23.07 Ndeeba-Lubiri'!G48,'24.07 Ndeeba-Lubiri'!G48,'25.07 Ndeeba-Lubiri'!G48,'26.07 Ndeeba-Lubiri-24h'!G48,'27.07 Ndeeba-Lubiri-24h'!G48,'28.07 Ndeeba-Lubiri'!G48)</f>
        <v>0.2857142857142857</v>
      </c>
      <c r="H48" s="49">
        <f>AVERAGE('22.07 Ndeeba-Lubiri'!H48,'23.07 Ndeeba-Lubiri'!H48,'24.07 Ndeeba-Lubiri'!H48,'25.07 Ndeeba-Lubiri'!H48,'26.07 Ndeeba-Lubiri-24h'!H48,'27.07 Ndeeba-Lubiri-24h'!H48,'28.07 Ndeeba-Lubiri'!H48)</f>
        <v>0</v>
      </c>
      <c r="I48" s="49">
        <f>AVERAGE('22.07 Ndeeba-Lubiri'!I48,'23.07 Ndeeba-Lubiri'!I48,'24.07 Ndeeba-Lubiri'!I48,'25.07 Ndeeba-Lubiri'!I48,'26.07 Ndeeba-Lubiri-24h'!I48,'27.07 Ndeeba-Lubiri-24h'!I48,'28.07 Ndeeba-Lubiri'!I48)</f>
        <v>3.5714285714285716</v>
      </c>
      <c r="J48" s="49">
        <f>AVERAGE('22.07 Ndeeba-Lubiri'!J48,'23.07 Ndeeba-Lubiri'!J48,'24.07 Ndeeba-Lubiri'!J48,'25.07 Ndeeba-Lubiri'!J48,'26.07 Ndeeba-Lubiri-24h'!J48,'27.07 Ndeeba-Lubiri-24h'!J48,'28.07 Ndeeba-Lubiri'!J48)</f>
        <v>3.2857142857142856</v>
      </c>
      <c r="K48" s="49">
        <f>AVERAGE('22.07 Ndeeba-Lubiri'!K48,'23.07 Ndeeba-Lubiri'!K48,'24.07 Ndeeba-Lubiri'!K48,'25.07 Ndeeba-Lubiri'!K48,'26.07 Ndeeba-Lubiri-24h'!K48,'27.07 Ndeeba-Lubiri-24h'!K48,'28.07 Ndeeba-Lubiri'!K48)</f>
        <v>0.5714285714285714</v>
      </c>
      <c r="L48" s="49">
        <f>AVERAGE('22.07 Ndeeba-Lubiri'!L48,'23.07 Ndeeba-Lubiri'!L48,'24.07 Ndeeba-Lubiri'!L48,'25.07 Ndeeba-Lubiri'!L48,'26.07 Ndeeba-Lubiri-24h'!L48,'27.07 Ndeeba-Lubiri-24h'!L48,'28.07 Ndeeba-Lubiri'!L48)</f>
        <v>0.14285714285714285</v>
      </c>
      <c r="M48" s="49">
        <f>AVERAGE('22.07 Ndeeba-Lubiri'!M48,'23.07 Ndeeba-Lubiri'!M48,'24.07 Ndeeba-Lubiri'!M48,'25.07 Ndeeba-Lubiri'!M48,'26.07 Ndeeba-Lubiri-24h'!M48,'27.07 Ndeeba-Lubiri-24h'!M48,'28.07 Ndeeba-Lubiri'!M48)</f>
        <v>167.14285714285714</v>
      </c>
      <c r="N48" s="49">
        <f>AVERAGE('22.07 Ndeeba-Lubiri'!N48,'23.07 Ndeeba-Lubiri'!N48,'24.07 Ndeeba-Lubiri'!N48,'25.07 Ndeeba-Lubiri'!N48,'26.07 Ndeeba-Lubiri-24h'!N48,'27.07 Ndeeba-Lubiri-24h'!N48,'28.07 Ndeeba-Lubiri'!N48)</f>
        <v>0.2857142857142857</v>
      </c>
      <c r="O48" s="49">
        <f>AVERAGE('22.07 Ndeeba-Lubiri'!O48,'23.07 Ndeeba-Lubiri'!O48,'24.07 Ndeeba-Lubiri'!O48,'25.07 Ndeeba-Lubiri'!O48,'26.07 Ndeeba-Lubiri-24h'!O48,'27.07 Ndeeba-Lubiri-24h'!O48,'28.07 Ndeeba-Lubiri'!O48)</f>
        <v>115.14285714285714</v>
      </c>
      <c r="P48" s="49">
        <f>AVERAGE('22.07 Ndeeba-Lubiri'!P48,'23.07 Ndeeba-Lubiri'!P48,'24.07 Ndeeba-Lubiri'!P48,'25.07 Ndeeba-Lubiri'!P48,'26.07 Ndeeba-Lubiri-24h'!P48,'27.07 Ndeeba-Lubiri-24h'!P48,'28.07 Ndeeba-Lubiri'!P48)</f>
        <v>282.28571428571428</v>
      </c>
      <c r="R48" s="8"/>
      <c r="T48"/>
    </row>
    <row r="49" spans="2:20" ht="23.1" customHeight="1" x14ac:dyDescent="0.25">
      <c r="B49" s="23" t="s">
        <v>76</v>
      </c>
      <c r="C49" s="49">
        <f>AVERAGE('22.07 Ndeeba-Lubiri'!C49,'23.07 Ndeeba-Lubiri'!C49,'24.07 Ndeeba-Lubiri'!C49,'25.07 Ndeeba-Lubiri'!C49,'26.07 Ndeeba-Lubiri-24h'!C49,'27.07 Ndeeba-Lubiri-24h'!C49,'28.07 Ndeeba-Lubiri'!C49)</f>
        <v>85.571428571428569</v>
      </c>
      <c r="D49" s="49">
        <f>AVERAGE('22.07 Ndeeba-Lubiri'!D49,'23.07 Ndeeba-Lubiri'!D49,'24.07 Ndeeba-Lubiri'!D49,'25.07 Ndeeba-Lubiri'!D49,'26.07 Ndeeba-Lubiri-24h'!D49,'27.07 Ndeeba-Lubiri-24h'!D49,'28.07 Ndeeba-Lubiri'!D49)</f>
        <v>8.4285714285714288</v>
      </c>
      <c r="E49" s="49">
        <f>AVERAGE('22.07 Ndeeba-Lubiri'!E49,'23.07 Ndeeba-Lubiri'!E49,'24.07 Ndeeba-Lubiri'!E49,'25.07 Ndeeba-Lubiri'!E49,'26.07 Ndeeba-Lubiri-24h'!E49,'27.07 Ndeeba-Lubiri-24h'!E49,'28.07 Ndeeba-Lubiri'!E49)</f>
        <v>6</v>
      </c>
      <c r="F49" s="49">
        <f>AVERAGE('22.07 Ndeeba-Lubiri'!F49,'23.07 Ndeeba-Lubiri'!F49,'24.07 Ndeeba-Lubiri'!F49,'25.07 Ndeeba-Lubiri'!F49,'26.07 Ndeeba-Lubiri-24h'!F49,'27.07 Ndeeba-Lubiri-24h'!F49,'28.07 Ndeeba-Lubiri'!F49)</f>
        <v>6.4285714285714288</v>
      </c>
      <c r="G49" s="49">
        <f>AVERAGE('22.07 Ndeeba-Lubiri'!G49,'23.07 Ndeeba-Lubiri'!G49,'24.07 Ndeeba-Lubiri'!G49,'25.07 Ndeeba-Lubiri'!G49,'26.07 Ndeeba-Lubiri-24h'!G49,'27.07 Ndeeba-Lubiri-24h'!G49,'28.07 Ndeeba-Lubiri'!G49)</f>
        <v>1.1428571428571428</v>
      </c>
      <c r="H49" s="49">
        <f>AVERAGE('22.07 Ndeeba-Lubiri'!H49,'23.07 Ndeeba-Lubiri'!H49,'24.07 Ndeeba-Lubiri'!H49,'25.07 Ndeeba-Lubiri'!H49,'26.07 Ndeeba-Lubiri-24h'!H49,'27.07 Ndeeba-Lubiri-24h'!H49,'28.07 Ndeeba-Lubiri'!H49)</f>
        <v>0.14285714285714285</v>
      </c>
      <c r="I49" s="49">
        <f>AVERAGE('22.07 Ndeeba-Lubiri'!I49,'23.07 Ndeeba-Lubiri'!I49,'24.07 Ndeeba-Lubiri'!I49,'25.07 Ndeeba-Lubiri'!I49,'26.07 Ndeeba-Lubiri-24h'!I49,'27.07 Ndeeba-Lubiri-24h'!I49,'28.07 Ndeeba-Lubiri'!I49)</f>
        <v>4.1428571428571432</v>
      </c>
      <c r="J49" s="49">
        <f>AVERAGE('22.07 Ndeeba-Lubiri'!J49,'23.07 Ndeeba-Lubiri'!J49,'24.07 Ndeeba-Lubiri'!J49,'25.07 Ndeeba-Lubiri'!J49,'26.07 Ndeeba-Lubiri-24h'!J49,'27.07 Ndeeba-Lubiri-24h'!J49,'28.07 Ndeeba-Lubiri'!J49)</f>
        <v>3.1428571428571428</v>
      </c>
      <c r="K49" s="49">
        <f>AVERAGE('22.07 Ndeeba-Lubiri'!K49,'23.07 Ndeeba-Lubiri'!K49,'24.07 Ndeeba-Lubiri'!K49,'25.07 Ndeeba-Lubiri'!K49,'26.07 Ndeeba-Lubiri-24h'!K49,'27.07 Ndeeba-Lubiri-24h'!K49,'28.07 Ndeeba-Lubiri'!K49)</f>
        <v>0</v>
      </c>
      <c r="L49" s="49">
        <f>AVERAGE('22.07 Ndeeba-Lubiri'!L49,'23.07 Ndeeba-Lubiri'!L49,'24.07 Ndeeba-Lubiri'!L49,'25.07 Ndeeba-Lubiri'!L49,'26.07 Ndeeba-Lubiri-24h'!L49,'27.07 Ndeeba-Lubiri-24h'!L49,'28.07 Ndeeba-Lubiri'!L49)</f>
        <v>0.7142857142857143</v>
      </c>
      <c r="M49" s="49">
        <f>AVERAGE('22.07 Ndeeba-Lubiri'!M49,'23.07 Ndeeba-Lubiri'!M49,'24.07 Ndeeba-Lubiri'!M49,'25.07 Ndeeba-Lubiri'!M49,'26.07 Ndeeba-Lubiri-24h'!M49,'27.07 Ndeeba-Lubiri-24h'!M49,'28.07 Ndeeba-Lubiri'!M49)</f>
        <v>185.14285714285714</v>
      </c>
      <c r="N49" s="49">
        <f>AVERAGE('22.07 Ndeeba-Lubiri'!N49,'23.07 Ndeeba-Lubiri'!N49,'24.07 Ndeeba-Lubiri'!N49,'25.07 Ndeeba-Lubiri'!N49,'26.07 Ndeeba-Lubiri-24h'!N49,'27.07 Ndeeba-Lubiri-24h'!N49,'28.07 Ndeeba-Lubiri'!N49)</f>
        <v>0</v>
      </c>
      <c r="O49" s="49">
        <f>AVERAGE('22.07 Ndeeba-Lubiri'!O49,'23.07 Ndeeba-Lubiri'!O49,'24.07 Ndeeba-Lubiri'!O49,'25.07 Ndeeba-Lubiri'!O49,'26.07 Ndeeba-Lubiri-24h'!O49,'27.07 Ndeeba-Lubiri-24h'!O49,'28.07 Ndeeba-Lubiri'!O49)</f>
        <v>115.71428571428571</v>
      </c>
      <c r="P49" s="49">
        <f>AVERAGE('22.07 Ndeeba-Lubiri'!P49,'23.07 Ndeeba-Lubiri'!P49,'24.07 Ndeeba-Lubiri'!P49,'25.07 Ndeeba-Lubiri'!P49,'26.07 Ndeeba-Lubiri-24h'!P49,'27.07 Ndeeba-Lubiri-24h'!P49,'28.07 Ndeeba-Lubiri'!P49)</f>
        <v>300.85714285714283</v>
      </c>
      <c r="R49" s="8"/>
      <c r="T49"/>
    </row>
    <row r="50" spans="2:20" ht="23.1" customHeight="1" x14ac:dyDescent="0.25">
      <c r="B50" s="24" t="s">
        <v>77</v>
      </c>
      <c r="C50" s="49">
        <f>AVERAGE('22.07 Ndeeba-Lubiri'!C50,'23.07 Ndeeba-Lubiri'!C50,'24.07 Ndeeba-Lubiri'!C50,'25.07 Ndeeba-Lubiri'!C50,'26.07 Ndeeba-Lubiri-24h'!C50,'27.07 Ndeeba-Lubiri-24h'!C50,'28.07 Ndeeba-Lubiri'!C50)</f>
        <v>90.428571428571431</v>
      </c>
      <c r="D50" s="49">
        <f>AVERAGE('22.07 Ndeeba-Lubiri'!D50,'23.07 Ndeeba-Lubiri'!D50,'24.07 Ndeeba-Lubiri'!D50,'25.07 Ndeeba-Lubiri'!D50,'26.07 Ndeeba-Lubiri-24h'!D50,'27.07 Ndeeba-Lubiri-24h'!D50,'28.07 Ndeeba-Lubiri'!D50)</f>
        <v>9.4285714285714288</v>
      </c>
      <c r="E50" s="49">
        <f>AVERAGE('22.07 Ndeeba-Lubiri'!E50,'23.07 Ndeeba-Lubiri'!E50,'24.07 Ndeeba-Lubiri'!E50,'25.07 Ndeeba-Lubiri'!E50,'26.07 Ndeeba-Lubiri-24h'!E50,'27.07 Ndeeba-Lubiri-24h'!E50,'28.07 Ndeeba-Lubiri'!E50)</f>
        <v>11</v>
      </c>
      <c r="F50" s="49">
        <f>AVERAGE('22.07 Ndeeba-Lubiri'!F50,'23.07 Ndeeba-Lubiri'!F50,'24.07 Ndeeba-Lubiri'!F50,'25.07 Ndeeba-Lubiri'!F50,'26.07 Ndeeba-Lubiri-24h'!F50,'27.07 Ndeeba-Lubiri-24h'!F50,'28.07 Ndeeba-Lubiri'!F50)</f>
        <v>8.8571428571428577</v>
      </c>
      <c r="G50" s="49">
        <f>AVERAGE('22.07 Ndeeba-Lubiri'!G50,'23.07 Ndeeba-Lubiri'!G50,'24.07 Ndeeba-Lubiri'!G50,'25.07 Ndeeba-Lubiri'!G50,'26.07 Ndeeba-Lubiri-24h'!G50,'27.07 Ndeeba-Lubiri-24h'!G50,'28.07 Ndeeba-Lubiri'!G50)</f>
        <v>0.5714285714285714</v>
      </c>
      <c r="H50" s="49">
        <f>AVERAGE('22.07 Ndeeba-Lubiri'!H50,'23.07 Ndeeba-Lubiri'!H50,'24.07 Ndeeba-Lubiri'!H50,'25.07 Ndeeba-Lubiri'!H50,'26.07 Ndeeba-Lubiri-24h'!H50,'27.07 Ndeeba-Lubiri-24h'!H50,'28.07 Ndeeba-Lubiri'!H50)</f>
        <v>0</v>
      </c>
      <c r="I50" s="49">
        <f>AVERAGE('22.07 Ndeeba-Lubiri'!I50,'23.07 Ndeeba-Lubiri'!I50,'24.07 Ndeeba-Lubiri'!I50,'25.07 Ndeeba-Lubiri'!I50,'26.07 Ndeeba-Lubiri-24h'!I50,'27.07 Ndeeba-Lubiri-24h'!I50,'28.07 Ndeeba-Lubiri'!I50)</f>
        <v>5.4285714285714288</v>
      </c>
      <c r="J50" s="49">
        <f>AVERAGE('22.07 Ndeeba-Lubiri'!J50,'23.07 Ndeeba-Lubiri'!J50,'24.07 Ndeeba-Lubiri'!J50,'25.07 Ndeeba-Lubiri'!J50,'26.07 Ndeeba-Lubiri-24h'!J50,'27.07 Ndeeba-Lubiri-24h'!J50,'28.07 Ndeeba-Lubiri'!J50)</f>
        <v>4.5714285714285712</v>
      </c>
      <c r="K50" s="49">
        <f>AVERAGE('22.07 Ndeeba-Lubiri'!K50,'23.07 Ndeeba-Lubiri'!K50,'24.07 Ndeeba-Lubiri'!K50,'25.07 Ndeeba-Lubiri'!K50,'26.07 Ndeeba-Lubiri-24h'!K50,'27.07 Ndeeba-Lubiri-24h'!K50,'28.07 Ndeeba-Lubiri'!K50)</f>
        <v>0.14285714285714285</v>
      </c>
      <c r="L50" s="49">
        <f>AVERAGE('22.07 Ndeeba-Lubiri'!L50,'23.07 Ndeeba-Lubiri'!L50,'24.07 Ndeeba-Lubiri'!L50,'25.07 Ndeeba-Lubiri'!L50,'26.07 Ndeeba-Lubiri-24h'!L50,'27.07 Ndeeba-Lubiri-24h'!L50,'28.07 Ndeeba-Lubiri'!L50)</f>
        <v>0.14285714285714285</v>
      </c>
      <c r="M50" s="49">
        <f>AVERAGE('22.07 Ndeeba-Lubiri'!M50,'23.07 Ndeeba-Lubiri'!M50,'24.07 Ndeeba-Lubiri'!M50,'25.07 Ndeeba-Lubiri'!M50,'26.07 Ndeeba-Lubiri-24h'!M50,'27.07 Ndeeba-Lubiri-24h'!M50,'28.07 Ndeeba-Lubiri'!M50)</f>
        <v>187.14285714285714</v>
      </c>
      <c r="N50" s="49">
        <f>AVERAGE('22.07 Ndeeba-Lubiri'!N50,'23.07 Ndeeba-Lubiri'!N50,'24.07 Ndeeba-Lubiri'!N50,'25.07 Ndeeba-Lubiri'!N50,'26.07 Ndeeba-Lubiri-24h'!N50,'27.07 Ndeeba-Lubiri-24h'!N50,'28.07 Ndeeba-Lubiri'!N50)</f>
        <v>0</v>
      </c>
      <c r="O50" s="49">
        <f>AVERAGE('22.07 Ndeeba-Lubiri'!O50,'23.07 Ndeeba-Lubiri'!O50,'24.07 Ndeeba-Lubiri'!O50,'25.07 Ndeeba-Lubiri'!O50,'26.07 Ndeeba-Lubiri-24h'!O50,'27.07 Ndeeba-Lubiri-24h'!O50,'28.07 Ndeeba-Lubiri'!O50)</f>
        <v>130.57142857142858</v>
      </c>
      <c r="P50" s="49">
        <f>AVERAGE('22.07 Ndeeba-Lubiri'!P50,'23.07 Ndeeba-Lubiri'!P50,'24.07 Ndeeba-Lubiri'!P50,'25.07 Ndeeba-Lubiri'!P50,'26.07 Ndeeba-Lubiri-24h'!P50,'27.07 Ndeeba-Lubiri-24h'!P50,'28.07 Ndeeba-Lubiri'!P50)</f>
        <v>317.71428571428572</v>
      </c>
      <c r="R50" s="8"/>
      <c r="T50"/>
    </row>
    <row r="51" spans="2:20" ht="23.1" customHeight="1" x14ac:dyDescent="0.25">
      <c r="B51" s="24" t="s">
        <v>78</v>
      </c>
      <c r="C51" s="49">
        <f>AVERAGE('22.07 Ndeeba-Lubiri'!C51,'23.07 Ndeeba-Lubiri'!C51,'24.07 Ndeeba-Lubiri'!C51,'25.07 Ndeeba-Lubiri'!C51,'26.07 Ndeeba-Lubiri-24h'!C51,'27.07 Ndeeba-Lubiri-24h'!C51,'28.07 Ndeeba-Lubiri'!C51)</f>
        <v>95.285714285714292</v>
      </c>
      <c r="D51" s="49">
        <f>AVERAGE('22.07 Ndeeba-Lubiri'!D51,'23.07 Ndeeba-Lubiri'!D51,'24.07 Ndeeba-Lubiri'!D51,'25.07 Ndeeba-Lubiri'!D51,'26.07 Ndeeba-Lubiri-24h'!D51,'27.07 Ndeeba-Lubiri-24h'!D51,'28.07 Ndeeba-Lubiri'!D51)</f>
        <v>5</v>
      </c>
      <c r="E51" s="49">
        <f>AVERAGE('22.07 Ndeeba-Lubiri'!E51,'23.07 Ndeeba-Lubiri'!E51,'24.07 Ndeeba-Lubiri'!E51,'25.07 Ndeeba-Lubiri'!E51,'26.07 Ndeeba-Lubiri-24h'!E51,'27.07 Ndeeba-Lubiri-24h'!E51,'28.07 Ndeeba-Lubiri'!E51)</f>
        <v>10.714285714285714</v>
      </c>
      <c r="F51" s="49">
        <f>AVERAGE('22.07 Ndeeba-Lubiri'!F51,'23.07 Ndeeba-Lubiri'!F51,'24.07 Ndeeba-Lubiri'!F51,'25.07 Ndeeba-Lubiri'!F51,'26.07 Ndeeba-Lubiri-24h'!F51,'27.07 Ndeeba-Lubiri-24h'!F51,'28.07 Ndeeba-Lubiri'!F51)</f>
        <v>9</v>
      </c>
      <c r="G51" s="49">
        <f>AVERAGE('22.07 Ndeeba-Lubiri'!G51,'23.07 Ndeeba-Lubiri'!G51,'24.07 Ndeeba-Lubiri'!G51,'25.07 Ndeeba-Lubiri'!G51,'26.07 Ndeeba-Lubiri-24h'!G51,'27.07 Ndeeba-Lubiri-24h'!G51,'28.07 Ndeeba-Lubiri'!G51)</f>
        <v>0.14285714285714285</v>
      </c>
      <c r="H51" s="49">
        <f>AVERAGE('22.07 Ndeeba-Lubiri'!H51,'23.07 Ndeeba-Lubiri'!H51,'24.07 Ndeeba-Lubiri'!H51,'25.07 Ndeeba-Lubiri'!H51,'26.07 Ndeeba-Lubiri-24h'!H51,'27.07 Ndeeba-Lubiri-24h'!H51,'28.07 Ndeeba-Lubiri'!H51)</f>
        <v>0</v>
      </c>
      <c r="I51" s="49">
        <f>AVERAGE('22.07 Ndeeba-Lubiri'!I51,'23.07 Ndeeba-Lubiri'!I51,'24.07 Ndeeba-Lubiri'!I51,'25.07 Ndeeba-Lubiri'!I51,'26.07 Ndeeba-Lubiri-24h'!I51,'27.07 Ndeeba-Lubiri-24h'!I51,'28.07 Ndeeba-Lubiri'!I51)</f>
        <v>2.8571428571428572</v>
      </c>
      <c r="J51" s="49">
        <f>AVERAGE('22.07 Ndeeba-Lubiri'!J51,'23.07 Ndeeba-Lubiri'!J51,'24.07 Ndeeba-Lubiri'!J51,'25.07 Ndeeba-Lubiri'!J51,'26.07 Ndeeba-Lubiri-24h'!J51,'27.07 Ndeeba-Lubiri-24h'!J51,'28.07 Ndeeba-Lubiri'!J51)</f>
        <v>2.5714285714285716</v>
      </c>
      <c r="K51" s="49">
        <f>AVERAGE('22.07 Ndeeba-Lubiri'!K51,'23.07 Ndeeba-Lubiri'!K51,'24.07 Ndeeba-Lubiri'!K51,'25.07 Ndeeba-Lubiri'!K51,'26.07 Ndeeba-Lubiri-24h'!K51,'27.07 Ndeeba-Lubiri-24h'!K51,'28.07 Ndeeba-Lubiri'!K51)</f>
        <v>0.14285714285714285</v>
      </c>
      <c r="L51" s="49">
        <f>AVERAGE('22.07 Ndeeba-Lubiri'!L51,'23.07 Ndeeba-Lubiri'!L51,'24.07 Ndeeba-Lubiri'!L51,'25.07 Ndeeba-Lubiri'!L51,'26.07 Ndeeba-Lubiri-24h'!L51,'27.07 Ndeeba-Lubiri-24h'!L51,'28.07 Ndeeba-Lubiri'!L51)</f>
        <v>0.42857142857142855</v>
      </c>
      <c r="M51" s="49">
        <f>AVERAGE('22.07 Ndeeba-Lubiri'!M51,'23.07 Ndeeba-Lubiri'!M51,'24.07 Ndeeba-Lubiri'!M51,'25.07 Ndeeba-Lubiri'!M51,'26.07 Ndeeba-Lubiri-24h'!M51,'27.07 Ndeeba-Lubiri-24h'!M51,'28.07 Ndeeba-Lubiri'!M51)</f>
        <v>193.28571428571428</v>
      </c>
      <c r="N51" s="49">
        <f>AVERAGE('22.07 Ndeeba-Lubiri'!N51,'23.07 Ndeeba-Lubiri'!N51,'24.07 Ndeeba-Lubiri'!N51,'25.07 Ndeeba-Lubiri'!N51,'26.07 Ndeeba-Lubiri-24h'!N51,'27.07 Ndeeba-Lubiri-24h'!N51,'28.07 Ndeeba-Lubiri'!N51)</f>
        <v>0</v>
      </c>
      <c r="O51" s="49">
        <f>AVERAGE('22.07 Ndeeba-Lubiri'!O51,'23.07 Ndeeba-Lubiri'!O51,'24.07 Ndeeba-Lubiri'!O51,'25.07 Ndeeba-Lubiri'!O51,'26.07 Ndeeba-Lubiri-24h'!O51,'27.07 Ndeeba-Lubiri-24h'!O51,'28.07 Ndeeba-Lubiri'!O51)</f>
        <v>126.14285714285714</v>
      </c>
      <c r="P51" s="49">
        <f>AVERAGE('22.07 Ndeeba-Lubiri'!P51,'23.07 Ndeeba-Lubiri'!P51,'24.07 Ndeeba-Lubiri'!P51,'25.07 Ndeeba-Lubiri'!P51,'26.07 Ndeeba-Lubiri-24h'!P51,'27.07 Ndeeba-Lubiri-24h'!P51,'28.07 Ndeeba-Lubiri'!P51)</f>
        <v>319.42857142857144</v>
      </c>
      <c r="R51" s="8"/>
      <c r="T51"/>
    </row>
    <row r="52" spans="2:20" ht="23.1" customHeight="1" x14ac:dyDescent="0.25">
      <c r="B52" s="24" t="s">
        <v>79</v>
      </c>
      <c r="C52" s="49">
        <f>AVERAGE('22.07 Ndeeba-Lubiri'!C52,'23.07 Ndeeba-Lubiri'!C52,'24.07 Ndeeba-Lubiri'!C52,'25.07 Ndeeba-Lubiri'!C52,'26.07 Ndeeba-Lubiri-24h'!C52,'27.07 Ndeeba-Lubiri-24h'!C52,'28.07 Ndeeba-Lubiri'!C52)</f>
        <v>88</v>
      </c>
      <c r="D52" s="49">
        <f>AVERAGE('22.07 Ndeeba-Lubiri'!D52,'23.07 Ndeeba-Lubiri'!D52,'24.07 Ndeeba-Lubiri'!D52,'25.07 Ndeeba-Lubiri'!D52,'26.07 Ndeeba-Lubiri-24h'!D52,'27.07 Ndeeba-Lubiri-24h'!D52,'28.07 Ndeeba-Lubiri'!D52)</f>
        <v>6.7142857142857144</v>
      </c>
      <c r="E52" s="49">
        <f>AVERAGE('22.07 Ndeeba-Lubiri'!E52,'23.07 Ndeeba-Lubiri'!E52,'24.07 Ndeeba-Lubiri'!E52,'25.07 Ndeeba-Lubiri'!E52,'26.07 Ndeeba-Lubiri-24h'!E52,'27.07 Ndeeba-Lubiri-24h'!E52,'28.07 Ndeeba-Lubiri'!E52)</f>
        <v>6.4285714285714288</v>
      </c>
      <c r="F52" s="49">
        <f>AVERAGE('22.07 Ndeeba-Lubiri'!F52,'23.07 Ndeeba-Lubiri'!F52,'24.07 Ndeeba-Lubiri'!F52,'25.07 Ndeeba-Lubiri'!F52,'26.07 Ndeeba-Lubiri-24h'!F52,'27.07 Ndeeba-Lubiri-24h'!F52,'28.07 Ndeeba-Lubiri'!F52)</f>
        <v>7.7142857142857144</v>
      </c>
      <c r="G52" s="49">
        <f>AVERAGE('22.07 Ndeeba-Lubiri'!G52,'23.07 Ndeeba-Lubiri'!G52,'24.07 Ndeeba-Lubiri'!G52,'25.07 Ndeeba-Lubiri'!G52,'26.07 Ndeeba-Lubiri-24h'!G52,'27.07 Ndeeba-Lubiri-24h'!G52,'28.07 Ndeeba-Lubiri'!G52)</f>
        <v>0.8571428571428571</v>
      </c>
      <c r="H52" s="49">
        <f>AVERAGE('22.07 Ndeeba-Lubiri'!H52,'23.07 Ndeeba-Lubiri'!H52,'24.07 Ndeeba-Lubiri'!H52,'25.07 Ndeeba-Lubiri'!H52,'26.07 Ndeeba-Lubiri-24h'!H52,'27.07 Ndeeba-Lubiri-24h'!H52,'28.07 Ndeeba-Lubiri'!H52)</f>
        <v>0.14285714285714285</v>
      </c>
      <c r="I52" s="49">
        <f>AVERAGE('22.07 Ndeeba-Lubiri'!I52,'23.07 Ndeeba-Lubiri'!I52,'24.07 Ndeeba-Lubiri'!I52,'25.07 Ndeeba-Lubiri'!I52,'26.07 Ndeeba-Lubiri-24h'!I52,'27.07 Ndeeba-Lubiri-24h'!I52,'28.07 Ndeeba-Lubiri'!I52)</f>
        <v>5.1428571428571432</v>
      </c>
      <c r="J52" s="49">
        <f>AVERAGE('22.07 Ndeeba-Lubiri'!J52,'23.07 Ndeeba-Lubiri'!J52,'24.07 Ndeeba-Lubiri'!J52,'25.07 Ndeeba-Lubiri'!J52,'26.07 Ndeeba-Lubiri-24h'!J52,'27.07 Ndeeba-Lubiri-24h'!J52,'28.07 Ndeeba-Lubiri'!J52)</f>
        <v>3.5714285714285716</v>
      </c>
      <c r="K52" s="49">
        <f>AVERAGE('22.07 Ndeeba-Lubiri'!K52,'23.07 Ndeeba-Lubiri'!K52,'24.07 Ndeeba-Lubiri'!K52,'25.07 Ndeeba-Lubiri'!K52,'26.07 Ndeeba-Lubiri-24h'!K52,'27.07 Ndeeba-Lubiri-24h'!K52,'28.07 Ndeeba-Lubiri'!K52)</f>
        <v>0.8571428571428571</v>
      </c>
      <c r="L52" s="49">
        <f>AVERAGE('22.07 Ndeeba-Lubiri'!L52,'23.07 Ndeeba-Lubiri'!L52,'24.07 Ndeeba-Lubiri'!L52,'25.07 Ndeeba-Lubiri'!L52,'26.07 Ndeeba-Lubiri-24h'!L52,'27.07 Ndeeba-Lubiri-24h'!L52,'28.07 Ndeeba-Lubiri'!L52)</f>
        <v>0.5</v>
      </c>
      <c r="M52" s="49">
        <f>AVERAGE('22.07 Ndeeba-Lubiri'!M52,'23.07 Ndeeba-Lubiri'!M52,'24.07 Ndeeba-Lubiri'!M52,'25.07 Ndeeba-Lubiri'!M52,'26.07 Ndeeba-Lubiri-24h'!M52,'27.07 Ndeeba-Lubiri-24h'!M52,'28.07 Ndeeba-Lubiri'!M52)</f>
        <v>220</v>
      </c>
      <c r="N52" s="49">
        <f>AVERAGE('22.07 Ndeeba-Lubiri'!N52,'23.07 Ndeeba-Lubiri'!N52,'24.07 Ndeeba-Lubiri'!N52,'25.07 Ndeeba-Lubiri'!N52,'26.07 Ndeeba-Lubiri-24h'!N52,'27.07 Ndeeba-Lubiri-24h'!N52,'28.07 Ndeeba-Lubiri'!N52)</f>
        <v>0</v>
      </c>
      <c r="O52" s="49">
        <f>AVERAGE('22.07 Ndeeba-Lubiri'!O52,'23.07 Ndeeba-Lubiri'!O52,'24.07 Ndeeba-Lubiri'!O52,'25.07 Ndeeba-Lubiri'!O52,'26.07 Ndeeba-Lubiri-24h'!O52,'27.07 Ndeeba-Lubiri-24h'!O52,'28.07 Ndeeba-Lubiri'!O52)</f>
        <v>119.85714285714286</v>
      </c>
      <c r="P52" s="49">
        <f>AVERAGE('22.07 Ndeeba-Lubiri'!P52,'23.07 Ndeeba-Lubiri'!P52,'24.07 Ndeeba-Lubiri'!P52,'25.07 Ndeeba-Lubiri'!P52,'26.07 Ndeeba-Lubiri-24h'!P52,'27.07 Ndeeba-Lubiri-24h'!P52,'28.07 Ndeeba-Lubiri'!P52)</f>
        <v>339.85714285714283</v>
      </c>
      <c r="R52" s="8"/>
      <c r="T52"/>
    </row>
    <row r="53" spans="2:20" ht="23.1" customHeight="1" x14ac:dyDescent="0.25">
      <c r="B53" s="23" t="s">
        <v>80</v>
      </c>
      <c r="C53" s="49">
        <f>AVERAGE('22.07 Ndeeba-Lubiri'!C53,'23.07 Ndeeba-Lubiri'!C53,'24.07 Ndeeba-Lubiri'!C53,'25.07 Ndeeba-Lubiri'!C53,'26.07 Ndeeba-Lubiri-24h'!C53,'27.07 Ndeeba-Lubiri-24h'!C53,'28.07 Ndeeba-Lubiri'!C53)</f>
        <v>82.142857142857139</v>
      </c>
      <c r="D53" s="49">
        <f>AVERAGE('22.07 Ndeeba-Lubiri'!D53,'23.07 Ndeeba-Lubiri'!D53,'24.07 Ndeeba-Lubiri'!D53,'25.07 Ndeeba-Lubiri'!D53,'26.07 Ndeeba-Lubiri-24h'!D53,'27.07 Ndeeba-Lubiri-24h'!D53,'28.07 Ndeeba-Lubiri'!D53)</f>
        <v>13</v>
      </c>
      <c r="E53" s="49">
        <f>AVERAGE('22.07 Ndeeba-Lubiri'!E53,'23.07 Ndeeba-Lubiri'!E53,'24.07 Ndeeba-Lubiri'!E53,'25.07 Ndeeba-Lubiri'!E53,'26.07 Ndeeba-Lubiri-24h'!E53,'27.07 Ndeeba-Lubiri-24h'!E53,'28.07 Ndeeba-Lubiri'!E53)</f>
        <v>5.7142857142857144</v>
      </c>
      <c r="F53" s="49">
        <f>AVERAGE('22.07 Ndeeba-Lubiri'!F53,'23.07 Ndeeba-Lubiri'!F53,'24.07 Ndeeba-Lubiri'!F53,'25.07 Ndeeba-Lubiri'!F53,'26.07 Ndeeba-Lubiri-24h'!F53,'27.07 Ndeeba-Lubiri-24h'!F53,'28.07 Ndeeba-Lubiri'!F53)</f>
        <v>9</v>
      </c>
      <c r="G53" s="49">
        <f>AVERAGE('22.07 Ndeeba-Lubiri'!G53,'23.07 Ndeeba-Lubiri'!G53,'24.07 Ndeeba-Lubiri'!G53,'25.07 Ndeeba-Lubiri'!G53,'26.07 Ndeeba-Lubiri-24h'!G53,'27.07 Ndeeba-Lubiri-24h'!G53,'28.07 Ndeeba-Lubiri'!G53)</f>
        <v>0.42857142857142855</v>
      </c>
      <c r="H53" s="49">
        <f>AVERAGE('22.07 Ndeeba-Lubiri'!H53,'23.07 Ndeeba-Lubiri'!H53,'24.07 Ndeeba-Lubiri'!H53,'25.07 Ndeeba-Lubiri'!H53,'26.07 Ndeeba-Lubiri-24h'!H53,'27.07 Ndeeba-Lubiri-24h'!H53,'28.07 Ndeeba-Lubiri'!H53)</f>
        <v>0</v>
      </c>
      <c r="I53" s="49">
        <f>AVERAGE('22.07 Ndeeba-Lubiri'!I53,'23.07 Ndeeba-Lubiri'!I53,'24.07 Ndeeba-Lubiri'!I53,'25.07 Ndeeba-Lubiri'!I53,'26.07 Ndeeba-Lubiri-24h'!I53,'27.07 Ndeeba-Lubiri-24h'!I53,'28.07 Ndeeba-Lubiri'!I53)</f>
        <v>5.2857142857142856</v>
      </c>
      <c r="J53" s="49">
        <f>AVERAGE('22.07 Ndeeba-Lubiri'!J53,'23.07 Ndeeba-Lubiri'!J53,'24.07 Ndeeba-Lubiri'!J53,'25.07 Ndeeba-Lubiri'!J53,'26.07 Ndeeba-Lubiri-24h'!J53,'27.07 Ndeeba-Lubiri-24h'!J53,'28.07 Ndeeba-Lubiri'!J53)</f>
        <v>1.8571428571428572</v>
      </c>
      <c r="K53" s="49">
        <f>AVERAGE('22.07 Ndeeba-Lubiri'!K53,'23.07 Ndeeba-Lubiri'!K53,'24.07 Ndeeba-Lubiri'!K53,'25.07 Ndeeba-Lubiri'!K53,'26.07 Ndeeba-Lubiri-24h'!K53,'27.07 Ndeeba-Lubiri-24h'!K53,'28.07 Ndeeba-Lubiri'!K53)</f>
        <v>1</v>
      </c>
      <c r="L53" s="49">
        <f>AVERAGE('22.07 Ndeeba-Lubiri'!L53,'23.07 Ndeeba-Lubiri'!L53,'24.07 Ndeeba-Lubiri'!L53,'25.07 Ndeeba-Lubiri'!L53,'26.07 Ndeeba-Lubiri-24h'!L53,'27.07 Ndeeba-Lubiri-24h'!L53,'28.07 Ndeeba-Lubiri'!L53)</f>
        <v>0.5714285714285714</v>
      </c>
      <c r="M53" s="49">
        <f>AVERAGE('22.07 Ndeeba-Lubiri'!M53,'23.07 Ndeeba-Lubiri'!M53,'24.07 Ndeeba-Lubiri'!M53,'25.07 Ndeeba-Lubiri'!M53,'26.07 Ndeeba-Lubiri-24h'!M53,'27.07 Ndeeba-Lubiri-24h'!M53,'28.07 Ndeeba-Lubiri'!M53)</f>
        <v>194.28571428571428</v>
      </c>
      <c r="N53" s="49">
        <f>AVERAGE('22.07 Ndeeba-Lubiri'!N53,'23.07 Ndeeba-Lubiri'!N53,'24.07 Ndeeba-Lubiri'!N53,'25.07 Ndeeba-Lubiri'!N53,'26.07 Ndeeba-Lubiri-24h'!N53,'27.07 Ndeeba-Lubiri-24h'!N53,'28.07 Ndeeba-Lubiri'!N53)</f>
        <v>0</v>
      </c>
      <c r="O53" s="49">
        <f>AVERAGE('22.07 Ndeeba-Lubiri'!O53,'23.07 Ndeeba-Lubiri'!O53,'24.07 Ndeeba-Lubiri'!O53,'25.07 Ndeeba-Lubiri'!O53,'26.07 Ndeeba-Lubiri-24h'!O53,'27.07 Ndeeba-Lubiri-24h'!O53,'28.07 Ndeeba-Lubiri'!O53)</f>
        <v>119</v>
      </c>
      <c r="P53" s="49">
        <f>AVERAGE('22.07 Ndeeba-Lubiri'!P53,'23.07 Ndeeba-Lubiri'!P53,'24.07 Ndeeba-Lubiri'!P53,'25.07 Ndeeba-Lubiri'!P53,'26.07 Ndeeba-Lubiri-24h'!P53,'27.07 Ndeeba-Lubiri-24h'!P53,'28.07 Ndeeba-Lubiri'!P53)</f>
        <v>313.28571428571428</v>
      </c>
      <c r="R53" s="8"/>
      <c r="T53"/>
    </row>
    <row r="54" spans="2:20" ht="23.1" customHeight="1" x14ac:dyDescent="0.25">
      <c r="B54" s="23" t="s">
        <v>81</v>
      </c>
      <c r="C54" s="49">
        <f>AVERAGE('22.07 Ndeeba-Lubiri'!C54,'23.07 Ndeeba-Lubiri'!C54,'24.07 Ndeeba-Lubiri'!C54,'25.07 Ndeeba-Lubiri'!C54,'26.07 Ndeeba-Lubiri-24h'!C54,'27.07 Ndeeba-Lubiri-24h'!C54,'28.07 Ndeeba-Lubiri'!C54)</f>
        <v>91.857142857142861</v>
      </c>
      <c r="D54" s="49">
        <f>AVERAGE('22.07 Ndeeba-Lubiri'!D54,'23.07 Ndeeba-Lubiri'!D54,'24.07 Ndeeba-Lubiri'!D54,'25.07 Ndeeba-Lubiri'!D54,'26.07 Ndeeba-Lubiri-24h'!D54,'27.07 Ndeeba-Lubiri-24h'!D54,'28.07 Ndeeba-Lubiri'!D54)</f>
        <v>5.4285714285714288</v>
      </c>
      <c r="E54" s="49">
        <f>AVERAGE('22.07 Ndeeba-Lubiri'!E54,'23.07 Ndeeba-Lubiri'!E54,'24.07 Ndeeba-Lubiri'!E54,'25.07 Ndeeba-Lubiri'!E54,'26.07 Ndeeba-Lubiri-24h'!E54,'27.07 Ndeeba-Lubiri-24h'!E54,'28.07 Ndeeba-Lubiri'!E54)</f>
        <v>7.1428571428571432</v>
      </c>
      <c r="F54" s="49">
        <f>AVERAGE('22.07 Ndeeba-Lubiri'!F54,'23.07 Ndeeba-Lubiri'!F54,'24.07 Ndeeba-Lubiri'!F54,'25.07 Ndeeba-Lubiri'!F54,'26.07 Ndeeba-Lubiri-24h'!F54,'27.07 Ndeeba-Lubiri-24h'!F54,'28.07 Ndeeba-Lubiri'!F54)</f>
        <v>8.5714285714285712</v>
      </c>
      <c r="G54" s="49">
        <f>AVERAGE('22.07 Ndeeba-Lubiri'!G54,'23.07 Ndeeba-Lubiri'!G54,'24.07 Ndeeba-Lubiri'!G54,'25.07 Ndeeba-Lubiri'!G54,'26.07 Ndeeba-Lubiri-24h'!G54,'27.07 Ndeeba-Lubiri-24h'!G54,'28.07 Ndeeba-Lubiri'!G54)</f>
        <v>0.7142857142857143</v>
      </c>
      <c r="H54" s="49">
        <f>AVERAGE('22.07 Ndeeba-Lubiri'!H54,'23.07 Ndeeba-Lubiri'!H54,'24.07 Ndeeba-Lubiri'!H54,'25.07 Ndeeba-Lubiri'!H54,'26.07 Ndeeba-Lubiri-24h'!H54,'27.07 Ndeeba-Lubiri-24h'!H54,'28.07 Ndeeba-Lubiri'!H54)</f>
        <v>0.14285714285714285</v>
      </c>
      <c r="I54" s="49">
        <f>AVERAGE('22.07 Ndeeba-Lubiri'!I54,'23.07 Ndeeba-Lubiri'!I54,'24.07 Ndeeba-Lubiri'!I54,'25.07 Ndeeba-Lubiri'!I54,'26.07 Ndeeba-Lubiri-24h'!I54,'27.07 Ndeeba-Lubiri-24h'!I54,'28.07 Ndeeba-Lubiri'!I54)</f>
        <v>2.5714285714285716</v>
      </c>
      <c r="J54" s="49">
        <f>AVERAGE('22.07 Ndeeba-Lubiri'!J54,'23.07 Ndeeba-Lubiri'!J54,'24.07 Ndeeba-Lubiri'!J54,'25.07 Ndeeba-Lubiri'!J54,'26.07 Ndeeba-Lubiri-24h'!J54,'27.07 Ndeeba-Lubiri-24h'!J54,'28.07 Ndeeba-Lubiri'!J54)</f>
        <v>2.7142857142857144</v>
      </c>
      <c r="K54" s="49">
        <f>AVERAGE('22.07 Ndeeba-Lubiri'!K54,'23.07 Ndeeba-Lubiri'!K54,'24.07 Ndeeba-Lubiri'!K54,'25.07 Ndeeba-Lubiri'!K54,'26.07 Ndeeba-Lubiri-24h'!K54,'27.07 Ndeeba-Lubiri-24h'!K54,'28.07 Ndeeba-Lubiri'!K54)</f>
        <v>1</v>
      </c>
      <c r="L54" s="49">
        <f>AVERAGE('22.07 Ndeeba-Lubiri'!L54,'23.07 Ndeeba-Lubiri'!L54,'24.07 Ndeeba-Lubiri'!L54,'25.07 Ndeeba-Lubiri'!L54,'26.07 Ndeeba-Lubiri-24h'!L54,'27.07 Ndeeba-Lubiri-24h'!L54,'28.07 Ndeeba-Lubiri'!L54)</f>
        <v>0.42857142857142855</v>
      </c>
      <c r="M54" s="49">
        <f>AVERAGE('22.07 Ndeeba-Lubiri'!M54,'23.07 Ndeeba-Lubiri'!M54,'24.07 Ndeeba-Lubiri'!M54,'25.07 Ndeeba-Lubiri'!M54,'26.07 Ndeeba-Lubiri-24h'!M54,'27.07 Ndeeba-Lubiri-24h'!M54,'28.07 Ndeeba-Lubiri'!M54)</f>
        <v>217.14285714285714</v>
      </c>
      <c r="N54" s="49">
        <f>AVERAGE('22.07 Ndeeba-Lubiri'!N54,'23.07 Ndeeba-Lubiri'!N54,'24.07 Ndeeba-Lubiri'!N54,'25.07 Ndeeba-Lubiri'!N54,'26.07 Ndeeba-Lubiri-24h'!N54,'27.07 Ndeeba-Lubiri-24h'!N54,'28.07 Ndeeba-Lubiri'!N54)</f>
        <v>0.14285714285714285</v>
      </c>
      <c r="O54" s="49">
        <f>AVERAGE('22.07 Ndeeba-Lubiri'!O54,'23.07 Ndeeba-Lubiri'!O54,'24.07 Ndeeba-Lubiri'!O54,'25.07 Ndeeba-Lubiri'!O54,'26.07 Ndeeba-Lubiri-24h'!O54,'27.07 Ndeeba-Lubiri-24h'!O54,'28.07 Ndeeba-Lubiri'!O54)</f>
        <v>120.71428571428571</v>
      </c>
      <c r="P54" s="49">
        <f>AVERAGE('22.07 Ndeeba-Lubiri'!P54,'23.07 Ndeeba-Lubiri'!P54,'24.07 Ndeeba-Lubiri'!P54,'25.07 Ndeeba-Lubiri'!P54,'26.07 Ndeeba-Lubiri-24h'!P54,'27.07 Ndeeba-Lubiri-24h'!P54,'28.07 Ndeeba-Lubiri'!P54)</f>
        <v>337.85714285714283</v>
      </c>
      <c r="R54" s="8"/>
      <c r="T54"/>
    </row>
    <row r="55" spans="2:20" ht="23.1" customHeight="1" x14ac:dyDescent="0.25">
      <c r="B55" s="23" t="s">
        <v>82</v>
      </c>
      <c r="C55" s="49">
        <f>AVERAGE('22.07 Ndeeba-Lubiri'!C55,'23.07 Ndeeba-Lubiri'!C55,'24.07 Ndeeba-Lubiri'!C55,'25.07 Ndeeba-Lubiri'!C55,'26.07 Ndeeba-Lubiri-24h'!C55,'27.07 Ndeeba-Lubiri-24h'!C55,'28.07 Ndeeba-Lubiri'!C55)</f>
        <v>100.28571428571429</v>
      </c>
      <c r="D55" s="49">
        <f>AVERAGE('22.07 Ndeeba-Lubiri'!D55,'23.07 Ndeeba-Lubiri'!D55,'24.07 Ndeeba-Lubiri'!D55,'25.07 Ndeeba-Lubiri'!D55,'26.07 Ndeeba-Lubiri-24h'!D55,'27.07 Ndeeba-Lubiri-24h'!D55,'28.07 Ndeeba-Lubiri'!D55)</f>
        <v>7.2857142857142856</v>
      </c>
      <c r="E55" s="49">
        <f>AVERAGE('22.07 Ndeeba-Lubiri'!E55,'23.07 Ndeeba-Lubiri'!E55,'24.07 Ndeeba-Lubiri'!E55,'25.07 Ndeeba-Lubiri'!E55,'26.07 Ndeeba-Lubiri-24h'!E55,'27.07 Ndeeba-Lubiri-24h'!E55,'28.07 Ndeeba-Lubiri'!E55)</f>
        <v>9</v>
      </c>
      <c r="F55" s="49">
        <f>AVERAGE('22.07 Ndeeba-Lubiri'!F55,'23.07 Ndeeba-Lubiri'!F55,'24.07 Ndeeba-Lubiri'!F55,'25.07 Ndeeba-Lubiri'!F55,'26.07 Ndeeba-Lubiri-24h'!F55,'27.07 Ndeeba-Lubiri-24h'!F55,'28.07 Ndeeba-Lubiri'!F55)</f>
        <v>17.285714285714285</v>
      </c>
      <c r="G55" s="49">
        <f>AVERAGE('22.07 Ndeeba-Lubiri'!G55,'23.07 Ndeeba-Lubiri'!G55,'24.07 Ndeeba-Lubiri'!G55,'25.07 Ndeeba-Lubiri'!G55,'26.07 Ndeeba-Lubiri-24h'!G55,'27.07 Ndeeba-Lubiri-24h'!G55,'28.07 Ndeeba-Lubiri'!G55)</f>
        <v>0.7142857142857143</v>
      </c>
      <c r="H55" s="49">
        <f>AVERAGE('22.07 Ndeeba-Lubiri'!H55,'23.07 Ndeeba-Lubiri'!H55,'24.07 Ndeeba-Lubiri'!H55,'25.07 Ndeeba-Lubiri'!H55,'26.07 Ndeeba-Lubiri-24h'!H55,'27.07 Ndeeba-Lubiri-24h'!H55,'28.07 Ndeeba-Lubiri'!H55)</f>
        <v>0.8571428571428571</v>
      </c>
      <c r="I55" s="49">
        <f>AVERAGE('22.07 Ndeeba-Lubiri'!I55,'23.07 Ndeeba-Lubiri'!I55,'24.07 Ndeeba-Lubiri'!I55,'25.07 Ndeeba-Lubiri'!I55,'26.07 Ndeeba-Lubiri-24h'!I55,'27.07 Ndeeba-Lubiri-24h'!I55,'28.07 Ndeeba-Lubiri'!I55)</f>
        <v>3.4285714285714284</v>
      </c>
      <c r="J55" s="49">
        <f>AVERAGE('22.07 Ndeeba-Lubiri'!J55,'23.07 Ndeeba-Lubiri'!J55,'24.07 Ndeeba-Lubiri'!J55,'25.07 Ndeeba-Lubiri'!J55,'26.07 Ndeeba-Lubiri-24h'!J55,'27.07 Ndeeba-Lubiri-24h'!J55,'28.07 Ndeeba-Lubiri'!J55)</f>
        <v>9.7142857142857135</v>
      </c>
      <c r="K55" s="49">
        <f>AVERAGE('22.07 Ndeeba-Lubiri'!K55,'23.07 Ndeeba-Lubiri'!K55,'24.07 Ndeeba-Lubiri'!K55,'25.07 Ndeeba-Lubiri'!K55,'26.07 Ndeeba-Lubiri-24h'!K55,'27.07 Ndeeba-Lubiri-24h'!K55,'28.07 Ndeeba-Lubiri'!K55)</f>
        <v>0.8571428571428571</v>
      </c>
      <c r="L55" s="49">
        <f>AVERAGE('22.07 Ndeeba-Lubiri'!L55,'23.07 Ndeeba-Lubiri'!L55,'24.07 Ndeeba-Lubiri'!L55,'25.07 Ndeeba-Lubiri'!L55,'26.07 Ndeeba-Lubiri-24h'!L55,'27.07 Ndeeba-Lubiri-24h'!L55,'28.07 Ndeeba-Lubiri'!L55)</f>
        <v>0.42857142857142855</v>
      </c>
      <c r="M55" s="49">
        <f>AVERAGE('22.07 Ndeeba-Lubiri'!M55,'23.07 Ndeeba-Lubiri'!M55,'24.07 Ndeeba-Lubiri'!M55,'25.07 Ndeeba-Lubiri'!M55,'26.07 Ndeeba-Lubiri-24h'!M55,'27.07 Ndeeba-Lubiri-24h'!M55,'28.07 Ndeeba-Lubiri'!M55)</f>
        <v>209.28571428571428</v>
      </c>
      <c r="N55" s="49">
        <f>AVERAGE('22.07 Ndeeba-Lubiri'!N55,'23.07 Ndeeba-Lubiri'!N55,'24.07 Ndeeba-Lubiri'!N55,'25.07 Ndeeba-Lubiri'!N55,'26.07 Ndeeba-Lubiri-24h'!N55,'27.07 Ndeeba-Lubiri-24h'!N55,'28.07 Ndeeba-Lubiri'!N55)</f>
        <v>0</v>
      </c>
      <c r="O55" s="49">
        <f>AVERAGE('22.07 Ndeeba-Lubiri'!O55,'23.07 Ndeeba-Lubiri'!O55,'24.07 Ndeeba-Lubiri'!O55,'25.07 Ndeeba-Lubiri'!O55,'26.07 Ndeeba-Lubiri-24h'!O55,'27.07 Ndeeba-Lubiri-24h'!O55,'28.07 Ndeeba-Lubiri'!O55)</f>
        <v>149.85714285714286</v>
      </c>
      <c r="P55" s="49">
        <f>AVERAGE('22.07 Ndeeba-Lubiri'!P55,'23.07 Ndeeba-Lubiri'!P55,'24.07 Ndeeba-Lubiri'!P55,'25.07 Ndeeba-Lubiri'!P55,'26.07 Ndeeba-Lubiri-24h'!P55,'27.07 Ndeeba-Lubiri-24h'!P55,'28.07 Ndeeba-Lubiri'!P55)</f>
        <v>359.14285714285717</v>
      </c>
      <c r="R55" s="8"/>
      <c r="T55"/>
    </row>
    <row r="56" spans="2:20" ht="23.1" customHeight="1" x14ac:dyDescent="0.25">
      <c r="B56" s="23" t="s">
        <v>83</v>
      </c>
      <c r="C56" s="49">
        <f>AVERAGE('22.07 Ndeeba-Lubiri'!C56,'23.07 Ndeeba-Lubiri'!C56,'24.07 Ndeeba-Lubiri'!C56,'25.07 Ndeeba-Lubiri'!C56,'26.07 Ndeeba-Lubiri-24h'!C56,'27.07 Ndeeba-Lubiri-24h'!C56,'28.07 Ndeeba-Lubiri'!C56)</f>
        <v>99.428571428571431</v>
      </c>
      <c r="D56" s="49">
        <f>AVERAGE('22.07 Ndeeba-Lubiri'!D56,'23.07 Ndeeba-Lubiri'!D56,'24.07 Ndeeba-Lubiri'!D56,'25.07 Ndeeba-Lubiri'!D56,'26.07 Ndeeba-Lubiri-24h'!D56,'27.07 Ndeeba-Lubiri-24h'!D56,'28.07 Ndeeba-Lubiri'!D56)</f>
        <v>8.5714285714285712</v>
      </c>
      <c r="E56" s="49">
        <f>AVERAGE('22.07 Ndeeba-Lubiri'!E56,'23.07 Ndeeba-Lubiri'!E56,'24.07 Ndeeba-Lubiri'!E56,'25.07 Ndeeba-Lubiri'!E56,'26.07 Ndeeba-Lubiri-24h'!E56,'27.07 Ndeeba-Lubiri-24h'!E56,'28.07 Ndeeba-Lubiri'!E56)</f>
        <v>3.5714285714285716</v>
      </c>
      <c r="F56" s="49">
        <f>AVERAGE('22.07 Ndeeba-Lubiri'!F56,'23.07 Ndeeba-Lubiri'!F56,'24.07 Ndeeba-Lubiri'!F56,'25.07 Ndeeba-Lubiri'!F56,'26.07 Ndeeba-Lubiri-24h'!F56,'27.07 Ndeeba-Lubiri-24h'!F56,'28.07 Ndeeba-Lubiri'!F56)</f>
        <v>12</v>
      </c>
      <c r="G56" s="49">
        <f>AVERAGE('22.07 Ndeeba-Lubiri'!G56,'23.07 Ndeeba-Lubiri'!G56,'24.07 Ndeeba-Lubiri'!G56,'25.07 Ndeeba-Lubiri'!G56,'26.07 Ndeeba-Lubiri-24h'!G56,'27.07 Ndeeba-Lubiri-24h'!G56,'28.07 Ndeeba-Lubiri'!G56)</f>
        <v>1.7142857142857142</v>
      </c>
      <c r="H56" s="49">
        <f>AVERAGE('22.07 Ndeeba-Lubiri'!H56,'23.07 Ndeeba-Lubiri'!H56,'24.07 Ndeeba-Lubiri'!H56,'25.07 Ndeeba-Lubiri'!H56,'26.07 Ndeeba-Lubiri-24h'!H56,'27.07 Ndeeba-Lubiri-24h'!H56,'28.07 Ndeeba-Lubiri'!H56)</f>
        <v>0.42857142857142855</v>
      </c>
      <c r="I56" s="49">
        <f>AVERAGE('22.07 Ndeeba-Lubiri'!I56,'23.07 Ndeeba-Lubiri'!I56,'24.07 Ndeeba-Lubiri'!I56,'25.07 Ndeeba-Lubiri'!I56,'26.07 Ndeeba-Lubiri-24h'!I56,'27.07 Ndeeba-Lubiri-24h'!I56,'28.07 Ndeeba-Lubiri'!I56)</f>
        <v>4.2857142857142856</v>
      </c>
      <c r="J56" s="49">
        <f>AVERAGE('22.07 Ndeeba-Lubiri'!J56,'23.07 Ndeeba-Lubiri'!J56,'24.07 Ndeeba-Lubiri'!J56,'25.07 Ndeeba-Lubiri'!J56,'26.07 Ndeeba-Lubiri-24h'!J56,'27.07 Ndeeba-Lubiri-24h'!J56,'28.07 Ndeeba-Lubiri'!J56)</f>
        <v>4.7142857142857144</v>
      </c>
      <c r="K56" s="49">
        <f>AVERAGE('22.07 Ndeeba-Lubiri'!K56,'23.07 Ndeeba-Lubiri'!K56,'24.07 Ndeeba-Lubiri'!K56,'25.07 Ndeeba-Lubiri'!K56,'26.07 Ndeeba-Lubiri-24h'!K56,'27.07 Ndeeba-Lubiri-24h'!K56,'28.07 Ndeeba-Lubiri'!K56)</f>
        <v>0.14285714285714285</v>
      </c>
      <c r="L56" s="49">
        <f>AVERAGE('22.07 Ndeeba-Lubiri'!L56,'23.07 Ndeeba-Lubiri'!L56,'24.07 Ndeeba-Lubiri'!L56,'25.07 Ndeeba-Lubiri'!L56,'26.07 Ndeeba-Lubiri-24h'!L56,'27.07 Ndeeba-Lubiri-24h'!L56,'28.07 Ndeeba-Lubiri'!L56)</f>
        <v>0.7142857142857143</v>
      </c>
      <c r="M56" s="49">
        <f>AVERAGE('22.07 Ndeeba-Lubiri'!M56,'23.07 Ndeeba-Lubiri'!M56,'24.07 Ndeeba-Lubiri'!M56,'25.07 Ndeeba-Lubiri'!M56,'26.07 Ndeeba-Lubiri-24h'!M56,'27.07 Ndeeba-Lubiri-24h'!M56,'28.07 Ndeeba-Lubiri'!M56)</f>
        <v>204.28571428571428</v>
      </c>
      <c r="N56" s="49">
        <f>AVERAGE('22.07 Ndeeba-Lubiri'!N56,'23.07 Ndeeba-Lubiri'!N56,'24.07 Ndeeba-Lubiri'!N56,'25.07 Ndeeba-Lubiri'!N56,'26.07 Ndeeba-Lubiri-24h'!N56,'27.07 Ndeeba-Lubiri-24h'!N56,'28.07 Ndeeba-Lubiri'!N56)</f>
        <v>0.14285714285714285</v>
      </c>
      <c r="O56" s="49">
        <f>AVERAGE('22.07 Ndeeba-Lubiri'!O56,'23.07 Ndeeba-Lubiri'!O56,'24.07 Ndeeba-Lubiri'!O56,'25.07 Ndeeba-Lubiri'!O56,'26.07 Ndeeba-Lubiri-24h'!O56,'27.07 Ndeeba-Lubiri-24h'!O56,'28.07 Ndeeba-Lubiri'!O56)</f>
        <v>135.71428571428572</v>
      </c>
      <c r="P56" s="49">
        <f>AVERAGE('22.07 Ndeeba-Lubiri'!P56,'23.07 Ndeeba-Lubiri'!P56,'24.07 Ndeeba-Lubiri'!P56,'25.07 Ndeeba-Lubiri'!P56,'26.07 Ndeeba-Lubiri-24h'!P56,'27.07 Ndeeba-Lubiri-24h'!P56,'28.07 Ndeeba-Lubiri'!P56)</f>
        <v>340</v>
      </c>
      <c r="R56" s="8"/>
      <c r="T56"/>
    </row>
    <row r="57" spans="2:20" ht="23.1" customHeight="1" x14ac:dyDescent="0.25">
      <c r="B57" s="23" t="s">
        <v>84</v>
      </c>
      <c r="C57" s="49">
        <f>AVERAGE('22.07 Ndeeba-Lubiri'!C57,'23.07 Ndeeba-Lubiri'!C57,'24.07 Ndeeba-Lubiri'!C57,'25.07 Ndeeba-Lubiri'!C57,'26.07 Ndeeba-Lubiri-24h'!C57,'27.07 Ndeeba-Lubiri-24h'!C57,'28.07 Ndeeba-Lubiri'!C57)</f>
        <v>94.714285714285708</v>
      </c>
      <c r="D57" s="49">
        <f>AVERAGE('22.07 Ndeeba-Lubiri'!D57,'23.07 Ndeeba-Lubiri'!D57,'24.07 Ndeeba-Lubiri'!D57,'25.07 Ndeeba-Lubiri'!D57,'26.07 Ndeeba-Lubiri-24h'!D57,'27.07 Ndeeba-Lubiri-24h'!D57,'28.07 Ndeeba-Lubiri'!D57)</f>
        <v>12.142857142857142</v>
      </c>
      <c r="E57" s="49">
        <f>AVERAGE('22.07 Ndeeba-Lubiri'!E57,'23.07 Ndeeba-Lubiri'!E57,'24.07 Ndeeba-Lubiri'!E57,'25.07 Ndeeba-Lubiri'!E57,'26.07 Ndeeba-Lubiri-24h'!E57,'27.07 Ndeeba-Lubiri-24h'!E57,'28.07 Ndeeba-Lubiri'!E57)</f>
        <v>7.2857142857142856</v>
      </c>
      <c r="F57" s="49">
        <f>AVERAGE('22.07 Ndeeba-Lubiri'!F57,'23.07 Ndeeba-Lubiri'!F57,'24.07 Ndeeba-Lubiri'!F57,'25.07 Ndeeba-Lubiri'!F57,'26.07 Ndeeba-Lubiri-24h'!F57,'27.07 Ndeeba-Lubiri-24h'!F57,'28.07 Ndeeba-Lubiri'!F57)</f>
        <v>18.285714285714285</v>
      </c>
      <c r="G57" s="49">
        <f>AVERAGE('22.07 Ndeeba-Lubiri'!G57,'23.07 Ndeeba-Lubiri'!G57,'24.07 Ndeeba-Lubiri'!G57,'25.07 Ndeeba-Lubiri'!G57,'26.07 Ndeeba-Lubiri-24h'!G57,'27.07 Ndeeba-Lubiri-24h'!G57,'28.07 Ndeeba-Lubiri'!G57)</f>
        <v>1.1428571428571428</v>
      </c>
      <c r="H57" s="49">
        <f>AVERAGE('22.07 Ndeeba-Lubiri'!H57,'23.07 Ndeeba-Lubiri'!H57,'24.07 Ndeeba-Lubiri'!H57,'25.07 Ndeeba-Lubiri'!H57,'26.07 Ndeeba-Lubiri-24h'!H57,'27.07 Ndeeba-Lubiri-24h'!H57,'28.07 Ndeeba-Lubiri'!H57)</f>
        <v>0.14285714285714285</v>
      </c>
      <c r="I57" s="49">
        <f>AVERAGE('22.07 Ndeeba-Lubiri'!I57,'23.07 Ndeeba-Lubiri'!I57,'24.07 Ndeeba-Lubiri'!I57,'25.07 Ndeeba-Lubiri'!I57,'26.07 Ndeeba-Lubiri-24h'!I57,'27.07 Ndeeba-Lubiri-24h'!I57,'28.07 Ndeeba-Lubiri'!I57)</f>
        <v>5.1428571428571432</v>
      </c>
      <c r="J57" s="49">
        <f>AVERAGE('22.07 Ndeeba-Lubiri'!J57,'23.07 Ndeeba-Lubiri'!J57,'24.07 Ndeeba-Lubiri'!J57,'25.07 Ndeeba-Lubiri'!J57,'26.07 Ndeeba-Lubiri-24h'!J57,'27.07 Ndeeba-Lubiri-24h'!J57,'28.07 Ndeeba-Lubiri'!J57)</f>
        <v>2</v>
      </c>
      <c r="K57" s="49">
        <f>AVERAGE('22.07 Ndeeba-Lubiri'!K57,'23.07 Ndeeba-Lubiri'!K57,'24.07 Ndeeba-Lubiri'!K57,'25.07 Ndeeba-Lubiri'!K57,'26.07 Ndeeba-Lubiri-24h'!K57,'27.07 Ndeeba-Lubiri-24h'!K57,'28.07 Ndeeba-Lubiri'!K57)</f>
        <v>0.42857142857142855</v>
      </c>
      <c r="L57" s="49">
        <f>AVERAGE('22.07 Ndeeba-Lubiri'!L57,'23.07 Ndeeba-Lubiri'!L57,'24.07 Ndeeba-Lubiri'!L57,'25.07 Ndeeba-Lubiri'!L57,'26.07 Ndeeba-Lubiri-24h'!L57,'27.07 Ndeeba-Lubiri-24h'!L57,'28.07 Ndeeba-Lubiri'!L57)</f>
        <v>0.7142857142857143</v>
      </c>
      <c r="M57" s="49">
        <f>AVERAGE('22.07 Ndeeba-Lubiri'!M57,'23.07 Ndeeba-Lubiri'!M57,'24.07 Ndeeba-Lubiri'!M57,'25.07 Ndeeba-Lubiri'!M57,'26.07 Ndeeba-Lubiri-24h'!M57,'27.07 Ndeeba-Lubiri-24h'!M57,'28.07 Ndeeba-Lubiri'!M57)</f>
        <v>186.57142857142858</v>
      </c>
      <c r="N57" s="49">
        <f>AVERAGE('22.07 Ndeeba-Lubiri'!N57,'23.07 Ndeeba-Lubiri'!N57,'24.07 Ndeeba-Lubiri'!N57,'25.07 Ndeeba-Lubiri'!N57,'26.07 Ndeeba-Lubiri-24h'!N57,'27.07 Ndeeba-Lubiri-24h'!N57,'28.07 Ndeeba-Lubiri'!N57)</f>
        <v>0</v>
      </c>
      <c r="O57" s="15">
        <f>SUM(C57:L57,N57)</f>
        <v>141.99999999999997</v>
      </c>
      <c r="P57" s="15">
        <f t="shared" ref="P57:P105" si="35">SUM(C57:N57)</f>
        <v>328.57142857142856</v>
      </c>
      <c r="R57" s="8"/>
      <c r="T57"/>
    </row>
    <row r="58" spans="2:20" ht="23.1" customHeight="1" x14ac:dyDescent="0.25">
      <c r="B58" s="23" t="s">
        <v>99</v>
      </c>
      <c r="C58" s="49">
        <f>AVERAGE('26.07 Ndeeba-Lubiri-24h'!C58,'27.07 Ndeeba-Lubiri-24h'!C58)</f>
        <v>63</v>
      </c>
      <c r="D58" s="49">
        <f>AVERAGE('26.07 Ndeeba-Lubiri-24h'!D58,'27.07 Ndeeba-Lubiri-24h'!D58)</f>
        <v>6</v>
      </c>
      <c r="E58" s="49">
        <f>AVERAGE('26.07 Ndeeba-Lubiri-24h'!E58,'27.07 Ndeeba-Lubiri-24h'!E58)</f>
        <v>6</v>
      </c>
      <c r="F58" s="49">
        <f>AVERAGE('26.07 Ndeeba-Lubiri-24h'!F58,'27.07 Ndeeba-Lubiri-24h'!F58)</f>
        <v>25.5</v>
      </c>
      <c r="G58" s="49">
        <f>AVERAGE('26.07 Ndeeba-Lubiri-24h'!G58,'27.07 Ndeeba-Lubiri-24h'!G58)</f>
        <v>1</v>
      </c>
      <c r="H58" s="49">
        <f>AVERAGE('26.07 Ndeeba-Lubiri-24h'!H58,'27.07 Ndeeba-Lubiri-24h'!H58)</f>
        <v>0</v>
      </c>
      <c r="I58" s="49">
        <f>AVERAGE('26.07 Ndeeba-Lubiri-24h'!I58,'27.07 Ndeeba-Lubiri-24h'!I58)</f>
        <v>5.5</v>
      </c>
      <c r="J58" s="49">
        <f>AVERAGE('26.07 Ndeeba-Lubiri-24h'!J58,'27.07 Ndeeba-Lubiri-24h'!J58)</f>
        <v>2</v>
      </c>
      <c r="K58" s="49">
        <f>AVERAGE('26.07 Ndeeba-Lubiri-24h'!K58,'27.07 Ndeeba-Lubiri-24h'!K58)</f>
        <v>0.5</v>
      </c>
      <c r="L58" s="49">
        <f>AVERAGE('26.07 Ndeeba-Lubiri-24h'!L58,'27.07 Ndeeba-Lubiri-24h'!L58)</f>
        <v>0.5</v>
      </c>
      <c r="M58" s="49">
        <f>AVERAGE('26.07 Ndeeba-Lubiri-24h'!M58,'27.07 Ndeeba-Lubiri-24h'!M58)</f>
        <v>220.5</v>
      </c>
      <c r="N58" s="49">
        <f>AVERAGE('26.07 Ndeeba-Lubiri-24h'!N58,'27.07 Ndeeba-Lubiri-24h'!N58)</f>
        <v>0</v>
      </c>
      <c r="O58" s="15">
        <f t="shared" ref="O58:O105" si="36">SUM(C58:L58,N58)</f>
        <v>110</v>
      </c>
      <c r="P58" s="15">
        <f t="shared" si="35"/>
        <v>330.5</v>
      </c>
      <c r="R58" s="8"/>
      <c r="T58"/>
    </row>
    <row r="59" spans="2:20" ht="23.1" customHeight="1" x14ac:dyDescent="0.25">
      <c r="B59" s="23" t="s">
        <v>100</v>
      </c>
      <c r="C59" s="49">
        <f>AVERAGE('26.07 Ndeeba-Lubiri-24h'!C59,'27.07 Ndeeba-Lubiri-24h'!C59)</f>
        <v>75</v>
      </c>
      <c r="D59" s="49">
        <f>AVERAGE('26.07 Ndeeba-Lubiri-24h'!D59,'27.07 Ndeeba-Lubiri-24h'!D59)</f>
        <v>8</v>
      </c>
      <c r="E59" s="49">
        <f>AVERAGE('26.07 Ndeeba-Lubiri-24h'!E59,'27.07 Ndeeba-Lubiri-24h'!E59)</f>
        <v>10.5</v>
      </c>
      <c r="F59" s="49">
        <f>AVERAGE('26.07 Ndeeba-Lubiri-24h'!F59,'27.07 Ndeeba-Lubiri-24h'!F59)</f>
        <v>25</v>
      </c>
      <c r="G59" s="49">
        <f>AVERAGE('26.07 Ndeeba-Lubiri-24h'!G59,'27.07 Ndeeba-Lubiri-24h'!G59)</f>
        <v>1.5</v>
      </c>
      <c r="H59" s="49">
        <f>AVERAGE('26.07 Ndeeba-Lubiri-24h'!H59,'27.07 Ndeeba-Lubiri-24h'!H59)</f>
        <v>0</v>
      </c>
      <c r="I59" s="49">
        <f>AVERAGE('26.07 Ndeeba-Lubiri-24h'!I59,'27.07 Ndeeba-Lubiri-24h'!I59)</f>
        <v>7</v>
      </c>
      <c r="J59" s="49">
        <f>AVERAGE('26.07 Ndeeba-Lubiri-24h'!J59,'27.07 Ndeeba-Lubiri-24h'!J59)</f>
        <v>1.5</v>
      </c>
      <c r="K59" s="49">
        <f>AVERAGE('26.07 Ndeeba-Lubiri-24h'!K59,'27.07 Ndeeba-Lubiri-24h'!K59)</f>
        <v>0</v>
      </c>
      <c r="L59" s="49">
        <f>AVERAGE('26.07 Ndeeba-Lubiri-24h'!L59,'27.07 Ndeeba-Lubiri-24h'!L59)</f>
        <v>0</v>
      </c>
      <c r="M59" s="49">
        <f>AVERAGE('26.07 Ndeeba-Lubiri-24h'!M59,'27.07 Ndeeba-Lubiri-24h'!M59)</f>
        <v>182.5</v>
      </c>
      <c r="N59" s="49">
        <f>AVERAGE('26.07 Ndeeba-Lubiri-24h'!N59,'27.07 Ndeeba-Lubiri-24h'!N59)</f>
        <v>0</v>
      </c>
      <c r="O59" s="15">
        <f t="shared" si="36"/>
        <v>128.5</v>
      </c>
      <c r="P59" s="15">
        <f t="shared" si="35"/>
        <v>311</v>
      </c>
      <c r="R59" s="8"/>
      <c r="T59"/>
    </row>
    <row r="60" spans="2:20" ht="23.1" customHeight="1" x14ac:dyDescent="0.25">
      <c r="B60" s="23" t="s">
        <v>101</v>
      </c>
      <c r="C60" s="49">
        <f>AVERAGE('26.07 Ndeeba-Lubiri-24h'!C60,'27.07 Ndeeba-Lubiri-24h'!C60)</f>
        <v>65.5</v>
      </c>
      <c r="D60" s="49">
        <f>AVERAGE('26.07 Ndeeba-Lubiri-24h'!D60,'27.07 Ndeeba-Lubiri-24h'!D60)</f>
        <v>8</v>
      </c>
      <c r="E60" s="49">
        <f>AVERAGE('26.07 Ndeeba-Lubiri-24h'!E60,'27.07 Ndeeba-Lubiri-24h'!E60)</f>
        <v>3.5</v>
      </c>
      <c r="F60" s="49">
        <f>AVERAGE('26.07 Ndeeba-Lubiri-24h'!F60,'27.07 Ndeeba-Lubiri-24h'!F60)</f>
        <v>27.5</v>
      </c>
      <c r="G60" s="49">
        <f>AVERAGE('26.07 Ndeeba-Lubiri-24h'!G60,'27.07 Ndeeba-Lubiri-24h'!G60)</f>
        <v>1.5</v>
      </c>
      <c r="H60" s="49">
        <f>AVERAGE('26.07 Ndeeba-Lubiri-24h'!H60,'27.07 Ndeeba-Lubiri-24h'!H60)</f>
        <v>0</v>
      </c>
      <c r="I60" s="49">
        <f>AVERAGE('26.07 Ndeeba-Lubiri-24h'!I60,'27.07 Ndeeba-Lubiri-24h'!I60)</f>
        <v>6</v>
      </c>
      <c r="J60" s="49">
        <f>AVERAGE('26.07 Ndeeba-Lubiri-24h'!J60,'27.07 Ndeeba-Lubiri-24h'!J60)</f>
        <v>0.5</v>
      </c>
      <c r="K60" s="49">
        <f>AVERAGE('26.07 Ndeeba-Lubiri-24h'!K60,'27.07 Ndeeba-Lubiri-24h'!K60)</f>
        <v>0</v>
      </c>
      <c r="L60" s="49">
        <f>AVERAGE('26.07 Ndeeba-Lubiri-24h'!L60,'27.07 Ndeeba-Lubiri-24h'!L60)</f>
        <v>0.5</v>
      </c>
      <c r="M60" s="49">
        <f>AVERAGE('26.07 Ndeeba-Lubiri-24h'!M60,'27.07 Ndeeba-Lubiri-24h'!M60)</f>
        <v>177.5</v>
      </c>
      <c r="N60" s="49">
        <f>AVERAGE('26.07 Ndeeba-Lubiri-24h'!N60,'27.07 Ndeeba-Lubiri-24h'!N60)</f>
        <v>0</v>
      </c>
      <c r="O60" s="15">
        <f t="shared" si="36"/>
        <v>113</v>
      </c>
      <c r="P60" s="15">
        <f t="shared" si="35"/>
        <v>290.5</v>
      </c>
      <c r="R60" s="8"/>
      <c r="T60"/>
    </row>
    <row r="61" spans="2:20" ht="23.1" customHeight="1" x14ac:dyDescent="0.25">
      <c r="B61" s="23" t="s">
        <v>102</v>
      </c>
      <c r="C61" s="49">
        <f>AVERAGE('26.07 Ndeeba-Lubiri-24h'!C61,'27.07 Ndeeba-Lubiri-24h'!C61)</f>
        <v>56</v>
      </c>
      <c r="D61" s="49">
        <f>AVERAGE('26.07 Ndeeba-Lubiri-24h'!D61,'27.07 Ndeeba-Lubiri-24h'!D61)</f>
        <v>10</v>
      </c>
      <c r="E61" s="49">
        <f>AVERAGE('26.07 Ndeeba-Lubiri-24h'!E61,'27.07 Ndeeba-Lubiri-24h'!E61)</f>
        <v>4</v>
      </c>
      <c r="F61" s="49">
        <f>AVERAGE('26.07 Ndeeba-Lubiri-24h'!F61,'27.07 Ndeeba-Lubiri-24h'!F61)</f>
        <v>19.5</v>
      </c>
      <c r="G61" s="49">
        <f>AVERAGE('26.07 Ndeeba-Lubiri-24h'!G61,'27.07 Ndeeba-Lubiri-24h'!G61)</f>
        <v>1</v>
      </c>
      <c r="H61" s="49">
        <f>AVERAGE('26.07 Ndeeba-Lubiri-24h'!H61,'27.07 Ndeeba-Lubiri-24h'!H61)</f>
        <v>0</v>
      </c>
      <c r="I61" s="49">
        <f>AVERAGE('26.07 Ndeeba-Lubiri-24h'!I61,'27.07 Ndeeba-Lubiri-24h'!I61)</f>
        <v>2</v>
      </c>
      <c r="J61" s="49">
        <f>AVERAGE('26.07 Ndeeba-Lubiri-24h'!J61,'27.07 Ndeeba-Lubiri-24h'!J61)</f>
        <v>3.5</v>
      </c>
      <c r="K61" s="49">
        <f>AVERAGE('26.07 Ndeeba-Lubiri-24h'!K61,'27.07 Ndeeba-Lubiri-24h'!K61)</f>
        <v>0</v>
      </c>
      <c r="L61" s="49">
        <f>AVERAGE('26.07 Ndeeba-Lubiri-24h'!L61,'27.07 Ndeeba-Lubiri-24h'!L61)</f>
        <v>2.5</v>
      </c>
      <c r="M61" s="49">
        <f>AVERAGE('26.07 Ndeeba-Lubiri-24h'!M61,'27.07 Ndeeba-Lubiri-24h'!M61)</f>
        <v>160</v>
      </c>
      <c r="N61" s="49">
        <f>AVERAGE('26.07 Ndeeba-Lubiri-24h'!N61,'27.07 Ndeeba-Lubiri-24h'!N61)</f>
        <v>0</v>
      </c>
      <c r="O61" s="15">
        <f t="shared" si="36"/>
        <v>98.5</v>
      </c>
      <c r="P61" s="15">
        <f t="shared" si="35"/>
        <v>258.5</v>
      </c>
      <c r="R61" s="8"/>
      <c r="T61"/>
    </row>
    <row r="62" spans="2:20" ht="23.1" customHeight="1" x14ac:dyDescent="0.25">
      <c r="B62" s="23" t="s">
        <v>107</v>
      </c>
      <c r="C62" s="49">
        <f>AVERAGE('26.07 Ndeeba-Lubiri-24h'!C62,'27.07 Ndeeba-Lubiri-24h'!C62)</f>
        <v>62.5</v>
      </c>
      <c r="D62" s="49">
        <f>AVERAGE('26.07 Ndeeba-Lubiri-24h'!D62,'27.07 Ndeeba-Lubiri-24h'!D62)</f>
        <v>4.5</v>
      </c>
      <c r="E62" s="49">
        <f>AVERAGE('26.07 Ndeeba-Lubiri-24h'!E62,'27.07 Ndeeba-Lubiri-24h'!E62)</f>
        <v>6.5</v>
      </c>
      <c r="F62" s="49">
        <f>AVERAGE('26.07 Ndeeba-Lubiri-24h'!F62,'27.07 Ndeeba-Lubiri-24h'!F62)</f>
        <v>43.5</v>
      </c>
      <c r="G62" s="49">
        <f>AVERAGE('26.07 Ndeeba-Lubiri-24h'!G62,'27.07 Ndeeba-Lubiri-24h'!G62)</f>
        <v>3</v>
      </c>
      <c r="H62" s="49">
        <f>AVERAGE('26.07 Ndeeba-Lubiri-24h'!H62,'27.07 Ndeeba-Lubiri-24h'!H62)</f>
        <v>0</v>
      </c>
      <c r="I62" s="49">
        <f>AVERAGE('26.07 Ndeeba-Lubiri-24h'!I62,'27.07 Ndeeba-Lubiri-24h'!I62)</f>
        <v>6</v>
      </c>
      <c r="J62" s="49">
        <f>AVERAGE('26.07 Ndeeba-Lubiri-24h'!J62,'27.07 Ndeeba-Lubiri-24h'!J62)</f>
        <v>2</v>
      </c>
      <c r="K62" s="49">
        <f>AVERAGE('26.07 Ndeeba-Lubiri-24h'!K62,'27.07 Ndeeba-Lubiri-24h'!K62)</f>
        <v>1.5</v>
      </c>
      <c r="L62" s="49">
        <f>AVERAGE('26.07 Ndeeba-Lubiri-24h'!L62,'27.07 Ndeeba-Lubiri-24h'!L62)</f>
        <v>0</v>
      </c>
      <c r="M62" s="49">
        <f>AVERAGE('26.07 Ndeeba-Lubiri-24h'!M62,'27.07 Ndeeba-Lubiri-24h'!M62)</f>
        <v>172.5</v>
      </c>
      <c r="N62" s="49">
        <f>AVERAGE('26.07 Ndeeba-Lubiri-24h'!N62,'27.07 Ndeeba-Lubiri-24h'!N62)</f>
        <v>0</v>
      </c>
      <c r="O62" s="15">
        <f t="shared" si="36"/>
        <v>129.5</v>
      </c>
      <c r="P62" s="15">
        <f t="shared" si="35"/>
        <v>302</v>
      </c>
      <c r="R62" s="8"/>
      <c r="T62"/>
    </row>
    <row r="63" spans="2:20" ht="23.1" customHeight="1" x14ac:dyDescent="0.25">
      <c r="B63" s="23" t="s">
        <v>108</v>
      </c>
      <c r="C63" s="49">
        <f>AVERAGE('26.07 Ndeeba-Lubiri-24h'!C63,'27.07 Ndeeba-Lubiri-24h'!C63)</f>
        <v>48.5</v>
      </c>
      <c r="D63" s="49">
        <f>AVERAGE('26.07 Ndeeba-Lubiri-24h'!D63,'27.07 Ndeeba-Lubiri-24h'!D63)</f>
        <v>6.5</v>
      </c>
      <c r="E63" s="49">
        <f>AVERAGE('26.07 Ndeeba-Lubiri-24h'!E63,'27.07 Ndeeba-Lubiri-24h'!E63)</f>
        <v>3</v>
      </c>
      <c r="F63" s="49">
        <f>AVERAGE('26.07 Ndeeba-Lubiri-24h'!F63,'27.07 Ndeeba-Lubiri-24h'!F63)</f>
        <v>37</v>
      </c>
      <c r="G63" s="49">
        <f>AVERAGE('26.07 Ndeeba-Lubiri-24h'!G63,'27.07 Ndeeba-Lubiri-24h'!G63)</f>
        <v>1</v>
      </c>
      <c r="H63" s="49">
        <f>AVERAGE('26.07 Ndeeba-Lubiri-24h'!H63,'27.07 Ndeeba-Lubiri-24h'!H63)</f>
        <v>0</v>
      </c>
      <c r="I63" s="49">
        <f>AVERAGE('26.07 Ndeeba-Lubiri-24h'!I63,'27.07 Ndeeba-Lubiri-24h'!I63)</f>
        <v>5</v>
      </c>
      <c r="J63" s="49">
        <f>AVERAGE('26.07 Ndeeba-Lubiri-24h'!J63,'27.07 Ndeeba-Lubiri-24h'!J63)</f>
        <v>1.5</v>
      </c>
      <c r="K63" s="49">
        <f>AVERAGE('26.07 Ndeeba-Lubiri-24h'!K63,'27.07 Ndeeba-Lubiri-24h'!K63)</f>
        <v>2.5</v>
      </c>
      <c r="L63" s="49">
        <f>AVERAGE('26.07 Ndeeba-Lubiri-24h'!L63,'27.07 Ndeeba-Lubiri-24h'!L63)</f>
        <v>0.5</v>
      </c>
      <c r="M63" s="49">
        <f>AVERAGE('26.07 Ndeeba-Lubiri-24h'!M63,'27.07 Ndeeba-Lubiri-24h'!M63)</f>
        <v>167.5</v>
      </c>
      <c r="N63" s="49">
        <f>AVERAGE('26.07 Ndeeba-Lubiri-24h'!N63,'27.07 Ndeeba-Lubiri-24h'!N63)</f>
        <v>0</v>
      </c>
      <c r="O63" s="15">
        <f t="shared" si="36"/>
        <v>105.5</v>
      </c>
      <c r="P63" s="15">
        <f t="shared" si="35"/>
        <v>273</v>
      </c>
      <c r="R63" s="8"/>
      <c r="T63"/>
    </row>
    <row r="64" spans="2:20" ht="23.1" customHeight="1" x14ac:dyDescent="0.25">
      <c r="B64" s="23" t="s">
        <v>109</v>
      </c>
      <c r="C64" s="49">
        <f>AVERAGE('26.07 Ndeeba-Lubiri-24h'!C64,'27.07 Ndeeba-Lubiri-24h'!C64)</f>
        <v>61.5</v>
      </c>
      <c r="D64" s="49">
        <f>AVERAGE('26.07 Ndeeba-Lubiri-24h'!D64,'27.07 Ndeeba-Lubiri-24h'!D64)</f>
        <v>2</v>
      </c>
      <c r="E64" s="49">
        <f>AVERAGE('26.07 Ndeeba-Lubiri-24h'!E64,'27.07 Ndeeba-Lubiri-24h'!E64)</f>
        <v>2</v>
      </c>
      <c r="F64" s="49">
        <f>AVERAGE('26.07 Ndeeba-Lubiri-24h'!F64,'27.07 Ndeeba-Lubiri-24h'!F64)</f>
        <v>50</v>
      </c>
      <c r="G64" s="49">
        <f>AVERAGE('26.07 Ndeeba-Lubiri-24h'!G64,'27.07 Ndeeba-Lubiri-24h'!G64)</f>
        <v>1.5</v>
      </c>
      <c r="H64" s="49">
        <f>AVERAGE('26.07 Ndeeba-Lubiri-24h'!H64,'27.07 Ndeeba-Lubiri-24h'!H64)</f>
        <v>0</v>
      </c>
      <c r="I64" s="49">
        <f>AVERAGE('26.07 Ndeeba-Lubiri-24h'!I64,'27.07 Ndeeba-Lubiri-24h'!I64)</f>
        <v>6.5</v>
      </c>
      <c r="J64" s="49">
        <f>AVERAGE('26.07 Ndeeba-Lubiri-24h'!J64,'27.07 Ndeeba-Lubiri-24h'!J64)</f>
        <v>0.5</v>
      </c>
      <c r="K64" s="49">
        <f>AVERAGE('26.07 Ndeeba-Lubiri-24h'!K64,'27.07 Ndeeba-Lubiri-24h'!K64)</f>
        <v>1</v>
      </c>
      <c r="L64" s="49">
        <f>AVERAGE('26.07 Ndeeba-Lubiri-24h'!L64,'27.07 Ndeeba-Lubiri-24h'!L64)</f>
        <v>0</v>
      </c>
      <c r="M64" s="49">
        <f>AVERAGE('26.07 Ndeeba-Lubiri-24h'!M64,'27.07 Ndeeba-Lubiri-24h'!M64)</f>
        <v>180</v>
      </c>
      <c r="N64" s="49">
        <f>AVERAGE('26.07 Ndeeba-Lubiri-24h'!N64,'27.07 Ndeeba-Lubiri-24h'!N64)</f>
        <v>0</v>
      </c>
      <c r="O64" s="15">
        <f t="shared" si="36"/>
        <v>125</v>
      </c>
      <c r="P64" s="15">
        <f t="shared" si="35"/>
        <v>305</v>
      </c>
      <c r="R64" s="8"/>
      <c r="T64"/>
    </row>
    <row r="65" spans="2:20" ht="23.1" customHeight="1" x14ac:dyDescent="0.25">
      <c r="B65" s="23" t="s">
        <v>158</v>
      </c>
      <c r="C65" s="49">
        <f>AVERAGE('26.07 Ndeeba-Lubiri-24h'!C65,'27.07 Ndeeba-Lubiri-24h'!C65)</f>
        <v>58.5</v>
      </c>
      <c r="D65" s="49">
        <f>AVERAGE('26.07 Ndeeba-Lubiri-24h'!D65,'27.07 Ndeeba-Lubiri-24h'!D65)</f>
        <v>5.5</v>
      </c>
      <c r="E65" s="49">
        <f>AVERAGE('26.07 Ndeeba-Lubiri-24h'!E65,'27.07 Ndeeba-Lubiri-24h'!E65)</f>
        <v>1.5</v>
      </c>
      <c r="F65" s="49">
        <f>AVERAGE('26.07 Ndeeba-Lubiri-24h'!F65,'27.07 Ndeeba-Lubiri-24h'!F65)</f>
        <v>26</v>
      </c>
      <c r="G65" s="49">
        <f>AVERAGE('26.07 Ndeeba-Lubiri-24h'!G65,'27.07 Ndeeba-Lubiri-24h'!G65)</f>
        <v>0</v>
      </c>
      <c r="H65" s="49">
        <f>AVERAGE('26.07 Ndeeba-Lubiri-24h'!H65,'27.07 Ndeeba-Lubiri-24h'!H65)</f>
        <v>4</v>
      </c>
      <c r="I65" s="49">
        <f>AVERAGE('26.07 Ndeeba-Lubiri-24h'!I65,'27.07 Ndeeba-Lubiri-24h'!I65)</f>
        <v>5.5</v>
      </c>
      <c r="J65" s="49">
        <f>AVERAGE('26.07 Ndeeba-Lubiri-24h'!J65,'27.07 Ndeeba-Lubiri-24h'!J65)</f>
        <v>1</v>
      </c>
      <c r="K65" s="49">
        <f>AVERAGE('26.07 Ndeeba-Lubiri-24h'!K65,'27.07 Ndeeba-Lubiri-24h'!K65)</f>
        <v>0</v>
      </c>
      <c r="L65" s="49">
        <f>AVERAGE('26.07 Ndeeba-Lubiri-24h'!L65,'27.07 Ndeeba-Lubiri-24h'!L65)</f>
        <v>0</v>
      </c>
      <c r="M65" s="49">
        <f>AVERAGE('26.07 Ndeeba-Lubiri-24h'!M65,'27.07 Ndeeba-Lubiri-24h'!M65)</f>
        <v>145</v>
      </c>
      <c r="N65" s="49">
        <f>AVERAGE('26.07 Ndeeba-Lubiri-24h'!N65,'27.07 Ndeeba-Lubiri-24h'!N65)</f>
        <v>0</v>
      </c>
      <c r="O65" s="15">
        <f t="shared" si="36"/>
        <v>102</v>
      </c>
      <c r="P65" s="15">
        <f t="shared" si="35"/>
        <v>247</v>
      </c>
      <c r="R65" s="8"/>
      <c r="T65"/>
    </row>
    <row r="66" spans="2:20" ht="23.1" customHeight="1" x14ac:dyDescent="0.25">
      <c r="B66" s="23" t="s">
        <v>103</v>
      </c>
      <c r="C66" s="49">
        <f>AVERAGE('26.07 Ndeeba-Lubiri-24h'!C66,'27.07 Ndeeba-Lubiri-24h'!C66)</f>
        <v>58</v>
      </c>
      <c r="D66" s="49">
        <f>AVERAGE('26.07 Ndeeba-Lubiri-24h'!D66,'27.07 Ndeeba-Lubiri-24h'!D66)</f>
        <v>9</v>
      </c>
      <c r="E66" s="49">
        <f>AVERAGE('26.07 Ndeeba-Lubiri-24h'!E66,'27.07 Ndeeba-Lubiri-24h'!E66)</f>
        <v>2.5</v>
      </c>
      <c r="F66" s="49">
        <f>AVERAGE('26.07 Ndeeba-Lubiri-24h'!F66,'27.07 Ndeeba-Lubiri-24h'!F66)</f>
        <v>48</v>
      </c>
      <c r="G66" s="49">
        <f>AVERAGE('26.07 Ndeeba-Lubiri-24h'!G66,'27.07 Ndeeba-Lubiri-24h'!G66)</f>
        <v>0.5</v>
      </c>
      <c r="H66" s="49">
        <f>AVERAGE('26.07 Ndeeba-Lubiri-24h'!H66,'27.07 Ndeeba-Lubiri-24h'!H66)</f>
        <v>0</v>
      </c>
      <c r="I66" s="49">
        <f>AVERAGE('26.07 Ndeeba-Lubiri-24h'!I66,'27.07 Ndeeba-Lubiri-24h'!I66)</f>
        <v>5</v>
      </c>
      <c r="J66" s="49">
        <f>AVERAGE('26.07 Ndeeba-Lubiri-24h'!J66,'27.07 Ndeeba-Lubiri-24h'!J66)</f>
        <v>1.5</v>
      </c>
      <c r="K66" s="49">
        <f>AVERAGE('26.07 Ndeeba-Lubiri-24h'!K66,'27.07 Ndeeba-Lubiri-24h'!K66)</f>
        <v>1</v>
      </c>
      <c r="L66" s="49">
        <f>AVERAGE('26.07 Ndeeba-Lubiri-24h'!L66,'27.07 Ndeeba-Lubiri-24h'!L66)</f>
        <v>0.5</v>
      </c>
      <c r="M66" s="49">
        <f>AVERAGE('26.07 Ndeeba-Lubiri-24h'!M66,'27.07 Ndeeba-Lubiri-24h'!M66)</f>
        <v>142.5</v>
      </c>
      <c r="N66" s="49">
        <f>AVERAGE('26.07 Ndeeba-Lubiri-24h'!N66,'27.07 Ndeeba-Lubiri-24h'!N66)</f>
        <v>0</v>
      </c>
      <c r="O66" s="15">
        <f t="shared" si="36"/>
        <v>126</v>
      </c>
      <c r="P66" s="15">
        <f t="shared" si="35"/>
        <v>268.5</v>
      </c>
      <c r="R66" s="8"/>
      <c r="T66"/>
    </row>
    <row r="67" spans="2:20" ht="23.1" customHeight="1" x14ac:dyDescent="0.25">
      <c r="B67" s="23" t="s">
        <v>104</v>
      </c>
      <c r="C67" s="49">
        <f>AVERAGE('26.07 Ndeeba-Lubiri-24h'!C67,'27.07 Ndeeba-Lubiri-24h'!C67)</f>
        <v>52</v>
      </c>
      <c r="D67" s="49">
        <f>AVERAGE('26.07 Ndeeba-Lubiri-24h'!D67,'27.07 Ndeeba-Lubiri-24h'!D67)</f>
        <v>5</v>
      </c>
      <c r="E67" s="49">
        <f>AVERAGE('26.07 Ndeeba-Lubiri-24h'!E67,'27.07 Ndeeba-Lubiri-24h'!E67)</f>
        <v>2</v>
      </c>
      <c r="F67" s="49">
        <f>AVERAGE('26.07 Ndeeba-Lubiri-24h'!F67,'27.07 Ndeeba-Lubiri-24h'!F67)</f>
        <v>34</v>
      </c>
      <c r="G67" s="49">
        <f>AVERAGE('26.07 Ndeeba-Lubiri-24h'!G67,'27.07 Ndeeba-Lubiri-24h'!G67)</f>
        <v>1</v>
      </c>
      <c r="H67" s="49">
        <f>AVERAGE('26.07 Ndeeba-Lubiri-24h'!H67,'27.07 Ndeeba-Lubiri-24h'!H67)</f>
        <v>0</v>
      </c>
      <c r="I67" s="49">
        <f>AVERAGE('26.07 Ndeeba-Lubiri-24h'!I67,'27.07 Ndeeba-Lubiri-24h'!I67)</f>
        <v>3</v>
      </c>
      <c r="J67" s="49">
        <f>AVERAGE('26.07 Ndeeba-Lubiri-24h'!J67,'27.07 Ndeeba-Lubiri-24h'!J67)</f>
        <v>1</v>
      </c>
      <c r="K67" s="49">
        <f>AVERAGE('26.07 Ndeeba-Lubiri-24h'!K67,'27.07 Ndeeba-Lubiri-24h'!K67)</f>
        <v>0.5</v>
      </c>
      <c r="L67" s="49">
        <f>AVERAGE('26.07 Ndeeba-Lubiri-24h'!L67,'27.07 Ndeeba-Lubiri-24h'!L67)</f>
        <v>0</v>
      </c>
      <c r="M67" s="49">
        <f>AVERAGE('26.07 Ndeeba-Lubiri-24h'!M67,'27.07 Ndeeba-Lubiri-24h'!M67)</f>
        <v>177.5</v>
      </c>
      <c r="N67" s="49">
        <f>AVERAGE('26.07 Ndeeba-Lubiri-24h'!N67,'27.07 Ndeeba-Lubiri-24h'!N67)</f>
        <v>0</v>
      </c>
      <c r="O67" s="15">
        <f t="shared" si="36"/>
        <v>98.5</v>
      </c>
      <c r="P67" s="15">
        <f t="shared" si="35"/>
        <v>276</v>
      </c>
      <c r="R67" s="8"/>
      <c r="T67"/>
    </row>
    <row r="68" spans="2:20" ht="23.1" customHeight="1" x14ac:dyDescent="0.25">
      <c r="B68" s="23" t="s">
        <v>105</v>
      </c>
      <c r="C68" s="49">
        <f>AVERAGE('26.07 Ndeeba-Lubiri-24h'!C68,'27.07 Ndeeba-Lubiri-24h'!C68)</f>
        <v>49</v>
      </c>
      <c r="D68" s="49">
        <f>AVERAGE('26.07 Ndeeba-Lubiri-24h'!D68,'27.07 Ndeeba-Lubiri-24h'!D68)</f>
        <v>3.5</v>
      </c>
      <c r="E68" s="49">
        <f>AVERAGE('26.07 Ndeeba-Lubiri-24h'!E68,'27.07 Ndeeba-Lubiri-24h'!E68)</f>
        <v>2.5</v>
      </c>
      <c r="F68" s="49">
        <f>AVERAGE('26.07 Ndeeba-Lubiri-24h'!F68,'27.07 Ndeeba-Lubiri-24h'!F68)</f>
        <v>24</v>
      </c>
      <c r="G68" s="49">
        <f>AVERAGE('26.07 Ndeeba-Lubiri-24h'!G68,'27.07 Ndeeba-Lubiri-24h'!G68)</f>
        <v>1</v>
      </c>
      <c r="H68" s="49">
        <f>AVERAGE('26.07 Ndeeba-Lubiri-24h'!H68,'27.07 Ndeeba-Lubiri-24h'!H68)</f>
        <v>0</v>
      </c>
      <c r="I68" s="49">
        <f>AVERAGE('26.07 Ndeeba-Lubiri-24h'!I68,'27.07 Ndeeba-Lubiri-24h'!I68)</f>
        <v>6.5</v>
      </c>
      <c r="J68" s="49">
        <f>AVERAGE('26.07 Ndeeba-Lubiri-24h'!J68,'27.07 Ndeeba-Lubiri-24h'!J68)</f>
        <v>1.5</v>
      </c>
      <c r="K68" s="49">
        <f>AVERAGE('26.07 Ndeeba-Lubiri-24h'!K68,'27.07 Ndeeba-Lubiri-24h'!K68)</f>
        <v>0</v>
      </c>
      <c r="L68" s="49">
        <f>AVERAGE('26.07 Ndeeba-Lubiri-24h'!L68,'27.07 Ndeeba-Lubiri-24h'!L68)</f>
        <v>0.5</v>
      </c>
      <c r="M68" s="49">
        <f>AVERAGE('26.07 Ndeeba-Lubiri-24h'!M68,'27.07 Ndeeba-Lubiri-24h'!M68)</f>
        <v>122.5</v>
      </c>
      <c r="N68" s="49">
        <f>AVERAGE('26.07 Ndeeba-Lubiri-24h'!N68,'27.07 Ndeeba-Lubiri-24h'!N68)</f>
        <v>0</v>
      </c>
      <c r="O68" s="15">
        <f t="shared" si="36"/>
        <v>88.5</v>
      </c>
      <c r="P68" s="15">
        <f t="shared" si="35"/>
        <v>211</v>
      </c>
      <c r="R68" s="8"/>
      <c r="T68"/>
    </row>
    <row r="69" spans="2:20" ht="23.1" customHeight="1" x14ac:dyDescent="0.25">
      <c r="B69" s="23" t="s">
        <v>106</v>
      </c>
      <c r="C69" s="49">
        <f>AVERAGE('26.07 Ndeeba-Lubiri-24h'!C69,'27.07 Ndeeba-Lubiri-24h'!C69)</f>
        <v>27</v>
      </c>
      <c r="D69" s="49">
        <f>AVERAGE('26.07 Ndeeba-Lubiri-24h'!D69,'27.07 Ndeeba-Lubiri-24h'!D69)</f>
        <v>8</v>
      </c>
      <c r="E69" s="49">
        <f>AVERAGE('26.07 Ndeeba-Lubiri-24h'!E69,'27.07 Ndeeba-Lubiri-24h'!E69)</f>
        <v>1.5</v>
      </c>
      <c r="F69" s="49">
        <f>AVERAGE('26.07 Ndeeba-Lubiri-24h'!F69,'27.07 Ndeeba-Lubiri-24h'!F69)</f>
        <v>20</v>
      </c>
      <c r="G69" s="49">
        <f>AVERAGE('26.07 Ndeeba-Lubiri-24h'!G69,'27.07 Ndeeba-Lubiri-24h'!G69)</f>
        <v>0</v>
      </c>
      <c r="H69" s="49">
        <f>AVERAGE('26.07 Ndeeba-Lubiri-24h'!H69,'27.07 Ndeeba-Lubiri-24h'!H69)</f>
        <v>0.5</v>
      </c>
      <c r="I69" s="49">
        <f>AVERAGE('26.07 Ndeeba-Lubiri-24h'!I69,'27.07 Ndeeba-Lubiri-24h'!I69)</f>
        <v>4</v>
      </c>
      <c r="J69" s="49">
        <f>AVERAGE('26.07 Ndeeba-Lubiri-24h'!J69,'27.07 Ndeeba-Lubiri-24h'!J69)</f>
        <v>2</v>
      </c>
      <c r="K69" s="49">
        <f>AVERAGE('26.07 Ndeeba-Lubiri-24h'!K69,'27.07 Ndeeba-Lubiri-24h'!K69)</f>
        <v>0</v>
      </c>
      <c r="L69" s="49">
        <f>AVERAGE('26.07 Ndeeba-Lubiri-24h'!L69,'27.07 Ndeeba-Lubiri-24h'!L69)</f>
        <v>0</v>
      </c>
      <c r="M69" s="49">
        <f>AVERAGE('26.07 Ndeeba-Lubiri-24h'!M69,'27.07 Ndeeba-Lubiri-24h'!M69)</f>
        <v>97.5</v>
      </c>
      <c r="N69" s="49">
        <f>AVERAGE('26.07 Ndeeba-Lubiri-24h'!N69,'27.07 Ndeeba-Lubiri-24h'!N69)</f>
        <v>0</v>
      </c>
      <c r="O69" s="15">
        <f t="shared" si="36"/>
        <v>63</v>
      </c>
      <c r="P69" s="15">
        <f t="shared" si="35"/>
        <v>160.5</v>
      </c>
      <c r="R69" s="8"/>
      <c r="T69"/>
    </row>
    <row r="70" spans="2:20" ht="23.1" customHeight="1" x14ac:dyDescent="0.25">
      <c r="B70" s="23" t="s">
        <v>110</v>
      </c>
      <c r="C70" s="49">
        <f>AVERAGE('26.07 Ndeeba-Lubiri-24h'!C70,'27.07 Ndeeba-Lubiri-24h'!C70)</f>
        <v>31.5</v>
      </c>
      <c r="D70" s="49">
        <f>AVERAGE('26.07 Ndeeba-Lubiri-24h'!D70,'27.07 Ndeeba-Lubiri-24h'!D70)</f>
        <v>9</v>
      </c>
      <c r="E70" s="49">
        <f>AVERAGE('26.07 Ndeeba-Lubiri-24h'!E70,'27.07 Ndeeba-Lubiri-24h'!E70)</f>
        <v>2</v>
      </c>
      <c r="F70" s="49">
        <f>AVERAGE('26.07 Ndeeba-Lubiri-24h'!F70,'27.07 Ndeeba-Lubiri-24h'!F70)</f>
        <v>12</v>
      </c>
      <c r="G70" s="49">
        <f>AVERAGE('26.07 Ndeeba-Lubiri-24h'!G70,'27.07 Ndeeba-Lubiri-24h'!G70)</f>
        <v>0</v>
      </c>
      <c r="H70" s="49">
        <f>AVERAGE('26.07 Ndeeba-Lubiri-24h'!H70,'27.07 Ndeeba-Lubiri-24h'!H70)</f>
        <v>0</v>
      </c>
      <c r="I70" s="49">
        <f>AVERAGE('26.07 Ndeeba-Lubiri-24h'!I70,'27.07 Ndeeba-Lubiri-24h'!I70)</f>
        <v>3.5</v>
      </c>
      <c r="J70" s="49">
        <f>AVERAGE('26.07 Ndeeba-Lubiri-24h'!J70,'27.07 Ndeeba-Lubiri-24h'!J70)</f>
        <v>2</v>
      </c>
      <c r="K70" s="49">
        <f>AVERAGE('26.07 Ndeeba-Lubiri-24h'!K70,'27.07 Ndeeba-Lubiri-24h'!K70)</f>
        <v>0.5</v>
      </c>
      <c r="L70" s="49">
        <f>AVERAGE('26.07 Ndeeba-Lubiri-24h'!L70,'27.07 Ndeeba-Lubiri-24h'!L70)</f>
        <v>0.5</v>
      </c>
      <c r="M70" s="49">
        <f>AVERAGE('26.07 Ndeeba-Lubiri-24h'!M70,'27.07 Ndeeba-Lubiri-24h'!M70)</f>
        <v>58.5</v>
      </c>
      <c r="N70" s="49">
        <f>AVERAGE('26.07 Ndeeba-Lubiri-24h'!N70,'27.07 Ndeeba-Lubiri-24h'!N70)</f>
        <v>0</v>
      </c>
      <c r="O70" s="15">
        <f t="shared" si="36"/>
        <v>61</v>
      </c>
      <c r="P70" s="15">
        <f t="shared" si="35"/>
        <v>119.5</v>
      </c>
      <c r="R70" s="8"/>
      <c r="T70"/>
    </row>
    <row r="71" spans="2:20" ht="23.1" customHeight="1" x14ac:dyDescent="0.25">
      <c r="B71" s="23" t="s">
        <v>111</v>
      </c>
      <c r="C71" s="49">
        <f>AVERAGE('26.07 Ndeeba-Lubiri-24h'!C71,'27.07 Ndeeba-Lubiri-24h'!C71)</f>
        <v>22</v>
      </c>
      <c r="D71" s="49">
        <f>AVERAGE('26.07 Ndeeba-Lubiri-24h'!D71,'27.07 Ndeeba-Lubiri-24h'!D71)</f>
        <v>10.5</v>
      </c>
      <c r="E71" s="49">
        <f>AVERAGE('26.07 Ndeeba-Lubiri-24h'!E71,'27.07 Ndeeba-Lubiri-24h'!E71)</f>
        <v>2.5</v>
      </c>
      <c r="F71" s="49">
        <f>AVERAGE('26.07 Ndeeba-Lubiri-24h'!F71,'27.07 Ndeeba-Lubiri-24h'!F71)</f>
        <v>2</v>
      </c>
      <c r="G71" s="49">
        <f>AVERAGE('26.07 Ndeeba-Lubiri-24h'!G71,'27.07 Ndeeba-Lubiri-24h'!G71)</f>
        <v>0</v>
      </c>
      <c r="H71" s="49">
        <f>AVERAGE('26.07 Ndeeba-Lubiri-24h'!H71,'27.07 Ndeeba-Lubiri-24h'!H71)</f>
        <v>0</v>
      </c>
      <c r="I71" s="49">
        <f>AVERAGE('26.07 Ndeeba-Lubiri-24h'!I71,'27.07 Ndeeba-Lubiri-24h'!I71)</f>
        <v>1.5</v>
      </c>
      <c r="J71" s="49">
        <f>AVERAGE('26.07 Ndeeba-Lubiri-24h'!J71,'27.07 Ndeeba-Lubiri-24h'!J71)</f>
        <v>0.5</v>
      </c>
      <c r="K71" s="49">
        <f>AVERAGE('26.07 Ndeeba-Lubiri-24h'!K71,'27.07 Ndeeba-Lubiri-24h'!K71)</f>
        <v>0</v>
      </c>
      <c r="L71" s="49">
        <f>AVERAGE('26.07 Ndeeba-Lubiri-24h'!L71,'27.07 Ndeeba-Lubiri-24h'!L71)</f>
        <v>0</v>
      </c>
      <c r="M71" s="49">
        <f>AVERAGE('26.07 Ndeeba-Lubiri-24h'!M71,'27.07 Ndeeba-Lubiri-24h'!M71)</f>
        <v>51.5</v>
      </c>
      <c r="N71" s="49">
        <f>AVERAGE('26.07 Ndeeba-Lubiri-24h'!N71,'27.07 Ndeeba-Lubiri-24h'!N71)</f>
        <v>0</v>
      </c>
      <c r="O71" s="15">
        <f t="shared" si="36"/>
        <v>39</v>
      </c>
      <c r="P71" s="15">
        <f t="shared" si="35"/>
        <v>90.5</v>
      </c>
      <c r="R71" s="8"/>
      <c r="T71"/>
    </row>
    <row r="72" spans="2:20" ht="23.1" customHeight="1" x14ac:dyDescent="0.25">
      <c r="B72" s="23" t="s">
        <v>112</v>
      </c>
      <c r="C72" s="49">
        <f>AVERAGE('26.07 Ndeeba-Lubiri-24h'!C72,'27.07 Ndeeba-Lubiri-24h'!C72)</f>
        <v>15</v>
      </c>
      <c r="D72" s="49">
        <f>AVERAGE('26.07 Ndeeba-Lubiri-24h'!D72,'27.07 Ndeeba-Lubiri-24h'!D72)</f>
        <v>9</v>
      </c>
      <c r="E72" s="49">
        <f>AVERAGE('26.07 Ndeeba-Lubiri-24h'!E72,'27.07 Ndeeba-Lubiri-24h'!E72)</f>
        <v>1.5</v>
      </c>
      <c r="F72" s="49">
        <f>AVERAGE('26.07 Ndeeba-Lubiri-24h'!F72,'27.07 Ndeeba-Lubiri-24h'!F72)</f>
        <v>3</v>
      </c>
      <c r="G72" s="49">
        <f>AVERAGE('26.07 Ndeeba-Lubiri-24h'!G72,'27.07 Ndeeba-Lubiri-24h'!G72)</f>
        <v>0</v>
      </c>
      <c r="H72" s="49">
        <f>AVERAGE('26.07 Ndeeba-Lubiri-24h'!H72,'27.07 Ndeeba-Lubiri-24h'!H72)</f>
        <v>0</v>
      </c>
      <c r="I72" s="49">
        <f>AVERAGE('26.07 Ndeeba-Lubiri-24h'!I72,'27.07 Ndeeba-Lubiri-24h'!I72)</f>
        <v>1</v>
      </c>
      <c r="J72" s="49">
        <f>AVERAGE('26.07 Ndeeba-Lubiri-24h'!J72,'27.07 Ndeeba-Lubiri-24h'!J72)</f>
        <v>1.5</v>
      </c>
      <c r="K72" s="49">
        <f>AVERAGE('26.07 Ndeeba-Lubiri-24h'!K72,'27.07 Ndeeba-Lubiri-24h'!K72)</f>
        <v>0</v>
      </c>
      <c r="L72" s="49">
        <f>AVERAGE('26.07 Ndeeba-Lubiri-24h'!L72,'27.07 Ndeeba-Lubiri-24h'!L72)</f>
        <v>0</v>
      </c>
      <c r="M72" s="49">
        <f>AVERAGE('26.07 Ndeeba-Lubiri-24h'!M72,'27.07 Ndeeba-Lubiri-24h'!M72)</f>
        <v>46.5</v>
      </c>
      <c r="N72" s="49">
        <f>AVERAGE('26.07 Ndeeba-Lubiri-24h'!N72,'27.07 Ndeeba-Lubiri-24h'!N72)</f>
        <v>0</v>
      </c>
      <c r="O72" s="15">
        <f t="shared" si="36"/>
        <v>31</v>
      </c>
      <c r="P72" s="15">
        <f t="shared" si="35"/>
        <v>77.5</v>
      </c>
      <c r="R72" s="8"/>
      <c r="T72"/>
    </row>
    <row r="73" spans="2:20" ht="23.1" customHeight="1" x14ac:dyDescent="0.25">
      <c r="B73" s="23" t="s">
        <v>113</v>
      </c>
      <c r="C73" s="49">
        <f>AVERAGE('26.07 Ndeeba-Lubiri-24h'!C73,'27.07 Ndeeba-Lubiri-24h'!C73)</f>
        <v>24.5</v>
      </c>
      <c r="D73" s="49">
        <f>AVERAGE('26.07 Ndeeba-Lubiri-24h'!D73,'27.07 Ndeeba-Lubiri-24h'!D73)</f>
        <v>6</v>
      </c>
      <c r="E73" s="49">
        <f>AVERAGE('26.07 Ndeeba-Lubiri-24h'!E73,'27.07 Ndeeba-Lubiri-24h'!E73)</f>
        <v>2</v>
      </c>
      <c r="F73" s="49">
        <f>AVERAGE('26.07 Ndeeba-Lubiri-24h'!F73,'27.07 Ndeeba-Lubiri-24h'!F73)</f>
        <v>4</v>
      </c>
      <c r="G73" s="49">
        <f>AVERAGE('26.07 Ndeeba-Lubiri-24h'!G73,'27.07 Ndeeba-Lubiri-24h'!G73)</f>
        <v>0.5</v>
      </c>
      <c r="H73" s="49">
        <f>AVERAGE('26.07 Ndeeba-Lubiri-24h'!H73,'27.07 Ndeeba-Lubiri-24h'!H73)</f>
        <v>0</v>
      </c>
      <c r="I73" s="49">
        <f>AVERAGE('26.07 Ndeeba-Lubiri-24h'!I73,'27.07 Ndeeba-Lubiri-24h'!I73)</f>
        <v>2</v>
      </c>
      <c r="J73" s="49">
        <f>AVERAGE('26.07 Ndeeba-Lubiri-24h'!J73,'27.07 Ndeeba-Lubiri-24h'!J73)</f>
        <v>1.5</v>
      </c>
      <c r="K73" s="49">
        <f>AVERAGE('26.07 Ndeeba-Lubiri-24h'!K73,'27.07 Ndeeba-Lubiri-24h'!K73)</f>
        <v>0</v>
      </c>
      <c r="L73" s="49">
        <f>AVERAGE('26.07 Ndeeba-Lubiri-24h'!L73,'27.07 Ndeeba-Lubiri-24h'!L73)</f>
        <v>0</v>
      </c>
      <c r="M73" s="49">
        <f>AVERAGE('26.07 Ndeeba-Lubiri-24h'!M73,'27.07 Ndeeba-Lubiri-24h'!M73)</f>
        <v>57</v>
      </c>
      <c r="N73" s="49">
        <f>AVERAGE('26.07 Ndeeba-Lubiri-24h'!N73,'27.07 Ndeeba-Lubiri-24h'!N73)</f>
        <v>0</v>
      </c>
      <c r="O73" s="15">
        <f t="shared" si="36"/>
        <v>40.5</v>
      </c>
      <c r="P73" s="15">
        <f t="shared" si="35"/>
        <v>97.5</v>
      </c>
      <c r="R73" s="8"/>
      <c r="T73"/>
    </row>
    <row r="74" spans="2:20" ht="23.1" customHeight="1" x14ac:dyDescent="0.25">
      <c r="B74" s="23" t="s">
        <v>114</v>
      </c>
      <c r="C74" s="49">
        <f>AVERAGE('26.07 Ndeeba-Lubiri-24h'!C74,'27.07 Ndeeba-Lubiri-24h'!C74)</f>
        <v>15.5</v>
      </c>
      <c r="D74" s="49">
        <f>AVERAGE('26.07 Ndeeba-Lubiri-24h'!D74,'27.07 Ndeeba-Lubiri-24h'!D74)</f>
        <v>6.5</v>
      </c>
      <c r="E74" s="49">
        <f>AVERAGE('26.07 Ndeeba-Lubiri-24h'!E74,'27.07 Ndeeba-Lubiri-24h'!E74)</f>
        <v>1</v>
      </c>
      <c r="F74" s="49">
        <f>AVERAGE('26.07 Ndeeba-Lubiri-24h'!F74,'27.07 Ndeeba-Lubiri-24h'!F74)</f>
        <v>5</v>
      </c>
      <c r="G74" s="49">
        <f>AVERAGE('26.07 Ndeeba-Lubiri-24h'!G74,'27.07 Ndeeba-Lubiri-24h'!G74)</f>
        <v>0</v>
      </c>
      <c r="H74" s="49">
        <f>AVERAGE('26.07 Ndeeba-Lubiri-24h'!H74,'27.07 Ndeeba-Lubiri-24h'!H74)</f>
        <v>0</v>
      </c>
      <c r="I74" s="49">
        <f>AVERAGE('26.07 Ndeeba-Lubiri-24h'!I74,'27.07 Ndeeba-Lubiri-24h'!I74)</f>
        <v>2</v>
      </c>
      <c r="J74" s="49">
        <f>AVERAGE('26.07 Ndeeba-Lubiri-24h'!J74,'27.07 Ndeeba-Lubiri-24h'!J74)</f>
        <v>0</v>
      </c>
      <c r="K74" s="49">
        <f>AVERAGE('26.07 Ndeeba-Lubiri-24h'!K74,'27.07 Ndeeba-Lubiri-24h'!K74)</f>
        <v>1</v>
      </c>
      <c r="L74" s="49">
        <f>AVERAGE('26.07 Ndeeba-Lubiri-24h'!L74,'27.07 Ndeeba-Lubiri-24h'!L74)</f>
        <v>0</v>
      </c>
      <c r="M74" s="49">
        <f>AVERAGE('26.07 Ndeeba-Lubiri-24h'!M74,'27.07 Ndeeba-Lubiri-24h'!M74)</f>
        <v>86.5</v>
      </c>
      <c r="N74" s="49">
        <f>AVERAGE('26.07 Ndeeba-Lubiri-24h'!N74,'27.07 Ndeeba-Lubiri-24h'!N74)</f>
        <v>0</v>
      </c>
      <c r="O74" s="15">
        <f t="shared" si="36"/>
        <v>31</v>
      </c>
      <c r="P74" s="15">
        <f t="shared" si="35"/>
        <v>117.5</v>
      </c>
      <c r="R74" s="8"/>
      <c r="T74"/>
    </row>
    <row r="75" spans="2:20" ht="23.1" customHeight="1" x14ac:dyDescent="0.25">
      <c r="B75" s="23" t="s">
        <v>115</v>
      </c>
      <c r="C75" s="49">
        <f>AVERAGE('26.07 Ndeeba-Lubiri-24h'!C75,'27.07 Ndeeba-Lubiri-24h'!C75)</f>
        <v>16.5</v>
      </c>
      <c r="D75" s="49">
        <f>AVERAGE('26.07 Ndeeba-Lubiri-24h'!D75,'27.07 Ndeeba-Lubiri-24h'!D75)</f>
        <v>5.5</v>
      </c>
      <c r="E75" s="49">
        <f>AVERAGE('26.07 Ndeeba-Lubiri-24h'!E75,'27.07 Ndeeba-Lubiri-24h'!E75)</f>
        <v>4.5</v>
      </c>
      <c r="F75" s="49">
        <f>AVERAGE('26.07 Ndeeba-Lubiri-24h'!F75,'27.07 Ndeeba-Lubiri-24h'!F75)</f>
        <v>1.5</v>
      </c>
      <c r="G75" s="49">
        <f>AVERAGE('26.07 Ndeeba-Lubiri-24h'!G75,'27.07 Ndeeba-Lubiri-24h'!G75)</f>
        <v>0</v>
      </c>
      <c r="H75" s="49">
        <f>AVERAGE('26.07 Ndeeba-Lubiri-24h'!H75,'27.07 Ndeeba-Lubiri-24h'!H75)</f>
        <v>0</v>
      </c>
      <c r="I75" s="49">
        <f>AVERAGE('26.07 Ndeeba-Lubiri-24h'!I75,'27.07 Ndeeba-Lubiri-24h'!I75)</f>
        <v>2.5</v>
      </c>
      <c r="J75" s="49">
        <f>AVERAGE('26.07 Ndeeba-Lubiri-24h'!J75,'27.07 Ndeeba-Lubiri-24h'!J75)</f>
        <v>0</v>
      </c>
      <c r="K75" s="49">
        <f>AVERAGE('26.07 Ndeeba-Lubiri-24h'!K75,'27.07 Ndeeba-Lubiri-24h'!K75)</f>
        <v>1</v>
      </c>
      <c r="L75" s="49">
        <f>AVERAGE('26.07 Ndeeba-Lubiri-24h'!L75,'27.07 Ndeeba-Lubiri-24h'!L75)</f>
        <v>0</v>
      </c>
      <c r="M75" s="49">
        <f>AVERAGE('26.07 Ndeeba-Lubiri-24h'!M75,'27.07 Ndeeba-Lubiri-24h'!M75)</f>
        <v>61.5</v>
      </c>
      <c r="N75" s="49">
        <f>AVERAGE('26.07 Ndeeba-Lubiri-24h'!N75,'27.07 Ndeeba-Lubiri-24h'!N75)</f>
        <v>0</v>
      </c>
      <c r="O75" s="15">
        <f t="shared" si="36"/>
        <v>31.5</v>
      </c>
      <c r="P75" s="15">
        <f t="shared" si="35"/>
        <v>93</v>
      </c>
      <c r="R75" s="8"/>
      <c r="T75"/>
    </row>
    <row r="76" spans="2:20" ht="23.1" customHeight="1" x14ac:dyDescent="0.25">
      <c r="B76" s="23" t="s">
        <v>116</v>
      </c>
      <c r="C76" s="49">
        <f>AVERAGE('26.07 Ndeeba-Lubiri-24h'!C76,'27.07 Ndeeba-Lubiri-24h'!C76)</f>
        <v>11</v>
      </c>
      <c r="D76" s="49">
        <f>AVERAGE('26.07 Ndeeba-Lubiri-24h'!D76,'27.07 Ndeeba-Lubiri-24h'!D76)</f>
        <v>3.5</v>
      </c>
      <c r="E76" s="49">
        <f>AVERAGE('26.07 Ndeeba-Lubiri-24h'!E76,'27.07 Ndeeba-Lubiri-24h'!E76)</f>
        <v>2.5</v>
      </c>
      <c r="F76" s="49">
        <f>AVERAGE('26.07 Ndeeba-Lubiri-24h'!F76,'27.07 Ndeeba-Lubiri-24h'!F76)</f>
        <v>1.5</v>
      </c>
      <c r="G76" s="49">
        <f>AVERAGE('26.07 Ndeeba-Lubiri-24h'!G76,'27.07 Ndeeba-Lubiri-24h'!G76)</f>
        <v>0</v>
      </c>
      <c r="H76" s="49">
        <f>AVERAGE('26.07 Ndeeba-Lubiri-24h'!H76,'27.07 Ndeeba-Lubiri-24h'!H76)</f>
        <v>0</v>
      </c>
      <c r="I76" s="49">
        <f>AVERAGE('26.07 Ndeeba-Lubiri-24h'!I76,'27.07 Ndeeba-Lubiri-24h'!I76)</f>
        <v>3</v>
      </c>
      <c r="J76" s="49">
        <f>AVERAGE('26.07 Ndeeba-Lubiri-24h'!J76,'27.07 Ndeeba-Lubiri-24h'!J76)</f>
        <v>0.5</v>
      </c>
      <c r="K76" s="49">
        <f>AVERAGE('26.07 Ndeeba-Lubiri-24h'!K76,'27.07 Ndeeba-Lubiri-24h'!K76)</f>
        <v>0.5</v>
      </c>
      <c r="L76" s="49">
        <f>AVERAGE('26.07 Ndeeba-Lubiri-24h'!L76,'27.07 Ndeeba-Lubiri-24h'!L76)</f>
        <v>0</v>
      </c>
      <c r="M76" s="49">
        <f>AVERAGE('26.07 Ndeeba-Lubiri-24h'!M76,'27.07 Ndeeba-Lubiri-24h'!M76)</f>
        <v>61</v>
      </c>
      <c r="N76" s="49">
        <f>AVERAGE('26.07 Ndeeba-Lubiri-24h'!N76,'27.07 Ndeeba-Lubiri-24h'!N76)</f>
        <v>0</v>
      </c>
      <c r="O76" s="15">
        <f t="shared" si="36"/>
        <v>22.5</v>
      </c>
      <c r="P76" s="15">
        <f t="shared" si="35"/>
        <v>83.5</v>
      </c>
      <c r="R76" s="8"/>
      <c r="T76"/>
    </row>
    <row r="77" spans="2:20" ht="23.1" customHeight="1" x14ac:dyDescent="0.25">
      <c r="B77" s="23" t="s">
        <v>117</v>
      </c>
      <c r="C77" s="49">
        <f>AVERAGE('26.07 Ndeeba-Lubiri-24h'!C77,'27.07 Ndeeba-Lubiri-24h'!C77)</f>
        <v>4</v>
      </c>
      <c r="D77" s="49">
        <f>AVERAGE('26.07 Ndeeba-Lubiri-24h'!D77,'27.07 Ndeeba-Lubiri-24h'!D77)</f>
        <v>3.5</v>
      </c>
      <c r="E77" s="49">
        <f>AVERAGE('26.07 Ndeeba-Lubiri-24h'!E77,'27.07 Ndeeba-Lubiri-24h'!E77)</f>
        <v>0.5</v>
      </c>
      <c r="F77" s="49">
        <f>AVERAGE('26.07 Ndeeba-Lubiri-24h'!F77,'27.07 Ndeeba-Lubiri-24h'!F77)</f>
        <v>1</v>
      </c>
      <c r="G77" s="49">
        <f>AVERAGE('26.07 Ndeeba-Lubiri-24h'!G77,'27.07 Ndeeba-Lubiri-24h'!G77)</f>
        <v>0</v>
      </c>
      <c r="H77" s="49">
        <f>AVERAGE('26.07 Ndeeba-Lubiri-24h'!H77,'27.07 Ndeeba-Lubiri-24h'!H77)</f>
        <v>0</v>
      </c>
      <c r="I77" s="49">
        <f>AVERAGE('26.07 Ndeeba-Lubiri-24h'!I77,'27.07 Ndeeba-Lubiri-24h'!I77)</f>
        <v>0.5</v>
      </c>
      <c r="J77" s="49">
        <f>AVERAGE('26.07 Ndeeba-Lubiri-24h'!J77,'27.07 Ndeeba-Lubiri-24h'!J77)</f>
        <v>0.5</v>
      </c>
      <c r="K77" s="49">
        <f>AVERAGE('26.07 Ndeeba-Lubiri-24h'!K77,'27.07 Ndeeba-Lubiri-24h'!K77)</f>
        <v>0</v>
      </c>
      <c r="L77" s="49">
        <f>AVERAGE('26.07 Ndeeba-Lubiri-24h'!L77,'27.07 Ndeeba-Lubiri-24h'!L77)</f>
        <v>0</v>
      </c>
      <c r="M77" s="49">
        <f>AVERAGE('26.07 Ndeeba-Lubiri-24h'!M77,'27.07 Ndeeba-Lubiri-24h'!M77)</f>
        <v>34</v>
      </c>
      <c r="N77" s="49">
        <f>AVERAGE('26.07 Ndeeba-Lubiri-24h'!N77,'27.07 Ndeeba-Lubiri-24h'!N77)</f>
        <v>0</v>
      </c>
      <c r="O77" s="15">
        <f t="shared" si="36"/>
        <v>10</v>
      </c>
      <c r="P77" s="15">
        <f t="shared" si="35"/>
        <v>44</v>
      </c>
      <c r="R77" s="8"/>
      <c r="T77"/>
    </row>
    <row r="78" spans="2:20" ht="23.1" customHeight="1" x14ac:dyDescent="0.25">
      <c r="B78" s="24" t="s">
        <v>118</v>
      </c>
      <c r="C78" s="49">
        <f>AVERAGE('26.07 Ndeeba-Lubiri-24h'!C78,'27.07 Ndeeba-Lubiri-24h'!C78)</f>
        <v>14</v>
      </c>
      <c r="D78" s="49">
        <f>AVERAGE('26.07 Ndeeba-Lubiri-24h'!D78,'27.07 Ndeeba-Lubiri-24h'!D78)</f>
        <v>5</v>
      </c>
      <c r="E78" s="49">
        <f>AVERAGE('26.07 Ndeeba-Lubiri-24h'!E78,'27.07 Ndeeba-Lubiri-24h'!E78)</f>
        <v>1.5</v>
      </c>
      <c r="F78" s="49">
        <f>AVERAGE('26.07 Ndeeba-Lubiri-24h'!F78,'27.07 Ndeeba-Lubiri-24h'!F78)</f>
        <v>3.5</v>
      </c>
      <c r="G78" s="49">
        <f>AVERAGE('26.07 Ndeeba-Lubiri-24h'!G78,'27.07 Ndeeba-Lubiri-24h'!G78)</f>
        <v>0</v>
      </c>
      <c r="H78" s="49">
        <f>AVERAGE('26.07 Ndeeba-Lubiri-24h'!H78,'27.07 Ndeeba-Lubiri-24h'!H78)</f>
        <v>0</v>
      </c>
      <c r="I78" s="49">
        <f>AVERAGE('26.07 Ndeeba-Lubiri-24h'!I78,'27.07 Ndeeba-Lubiri-24h'!I78)</f>
        <v>0.5</v>
      </c>
      <c r="J78" s="49">
        <f>AVERAGE('26.07 Ndeeba-Lubiri-24h'!J78,'27.07 Ndeeba-Lubiri-24h'!J78)</f>
        <v>1.5</v>
      </c>
      <c r="K78" s="49">
        <f>AVERAGE('26.07 Ndeeba-Lubiri-24h'!K78,'27.07 Ndeeba-Lubiri-24h'!K78)</f>
        <v>0</v>
      </c>
      <c r="L78" s="49">
        <f>AVERAGE('26.07 Ndeeba-Lubiri-24h'!L78,'27.07 Ndeeba-Lubiri-24h'!L78)</f>
        <v>0</v>
      </c>
      <c r="M78" s="49">
        <f>AVERAGE('26.07 Ndeeba-Lubiri-24h'!M78,'27.07 Ndeeba-Lubiri-24h'!M78)</f>
        <v>33</v>
      </c>
      <c r="N78" s="49">
        <f>AVERAGE('26.07 Ndeeba-Lubiri-24h'!N78,'27.07 Ndeeba-Lubiri-24h'!N78)</f>
        <v>0</v>
      </c>
      <c r="O78" s="15">
        <f t="shared" si="36"/>
        <v>26</v>
      </c>
      <c r="P78" s="15">
        <f t="shared" si="35"/>
        <v>59</v>
      </c>
      <c r="R78" s="8"/>
      <c r="T78"/>
    </row>
    <row r="79" spans="2:20" ht="23.1" customHeight="1" x14ac:dyDescent="0.25">
      <c r="B79" s="23" t="s">
        <v>119</v>
      </c>
      <c r="C79" s="49">
        <f>AVERAGE('26.07 Ndeeba-Lubiri-24h'!C79,'27.07 Ndeeba-Lubiri-24h'!C79)</f>
        <v>7</v>
      </c>
      <c r="D79" s="49">
        <f>AVERAGE('26.07 Ndeeba-Lubiri-24h'!D79,'27.07 Ndeeba-Lubiri-24h'!D79)</f>
        <v>2.5</v>
      </c>
      <c r="E79" s="49">
        <f>AVERAGE('26.07 Ndeeba-Lubiri-24h'!E79,'27.07 Ndeeba-Lubiri-24h'!E79)</f>
        <v>0</v>
      </c>
      <c r="F79" s="49">
        <f>AVERAGE('26.07 Ndeeba-Lubiri-24h'!F79,'27.07 Ndeeba-Lubiri-24h'!F79)</f>
        <v>1.5</v>
      </c>
      <c r="G79" s="49">
        <f>AVERAGE('26.07 Ndeeba-Lubiri-24h'!G79,'27.07 Ndeeba-Lubiri-24h'!G79)</f>
        <v>0</v>
      </c>
      <c r="H79" s="49">
        <f>AVERAGE('26.07 Ndeeba-Lubiri-24h'!H79,'27.07 Ndeeba-Lubiri-24h'!H79)</f>
        <v>0</v>
      </c>
      <c r="I79" s="49">
        <f>AVERAGE('26.07 Ndeeba-Lubiri-24h'!I79,'27.07 Ndeeba-Lubiri-24h'!I79)</f>
        <v>1</v>
      </c>
      <c r="J79" s="49">
        <f>AVERAGE('26.07 Ndeeba-Lubiri-24h'!J79,'27.07 Ndeeba-Lubiri-24h'!J79)</f>
        <v>0.5</v>
      </c>
      <c r="K79" s="49">
        <f>AVERAGE('26.07 Ndeeba-Lubiri-24h'!K79,'27.07 Ndeeba-Lubiri-24h'!K79)</f>
        <v>0.5</v>
      </c>
      <c r="L79" s="49">
        <f>AVERAGE('26.07 Ndeeba-Lubiri-24h'!L79,'27.07 Ndeeba-Lubiri-24h'!L79)</f>
        <v>0</v>
      </c>
      <c r="M79" s="49">
        <f>AVERAGE('26.07 Ndeeba-Lubiri-24h'!M79,'27.07 Ndeeba-Lubiri-24h'!M79)</f>
        <v>22</v>
      </c>
      <c r="N79" s="49">
        <f>AVERAGE('26.07 Ndeeba-Lubiri-24h'!N79,'27.07 Ndeeba-Lubiri-24h'!N79)</f>
        <v>0</v>
      </c>
      <c r="O79" s="15">
        <f t="shared" si="36"/>
        <v>13</v>
      </c>
      <c r="P79" s="15">
        <f t="shared" si="35"/>
        <v>35</v>
      </c>
      <c r="R79" s="8"/>
      <c r="T79"/>
    </row>
    <row r="80" spans="2:20" ht="23.1" customHeight="1" x14ac:dyDescent="0.25">
      <c r="B80" s="25" t="s">
        <v>120</v>
      </c>
      <c r="C80" s="49">
        <f>AVERAGE('26.07 Ndeeba-Lubiri-24h'!C80,'27.07 Ndeeba-Lubiri-24h'!C80)</f>
        <v>10.5</v>
      </c>
      <c r="D80" s="49">
        <f>AVERAGE('26.07 Ndeeba-Lubiri-24h'!D80,'27.07 Ndeeba-Lubiri-24h'!D80)</f>
        <v>4.5</v>
      </c>
      <c r="E80" s="49">
        <f>AVERAGE('26.07 Ndeeba-Lubiri-24h'!E80,'27.07 Ndeeba-Lubiri-24h'!E80)</f>
        <v>2</v>
      </c>
      <c r="F80" s="49">
        <f>AVERAGE('26.07 Ndeeba-Lubiri-24h'!F80,'27.07 Ndeeba-Lubiri-24h'!F80)</f>
        <v>2</v>
      </c>
      <c r="G80" s="49">
        <f>AVERAGE('26.07 Ndeeba-Lubiri-24h'!G80,'27.07 Ndeeba-Lubiri-24h'!G80)</f>
        <v>0</v>
      </c>
      <c r="H80" s="49">
        <f>AVERAGE('26.07 Ndeeba-Lubiri-24h'!H80,'27.07 Ndeeba-Lubiri-24h'!H80)</f>
        <v>0</v>
      </c>
      <c r="I80" s="49">
        <f>AVERAGE('26.07 Ndeeba-Lubiri-24h'!I80,'27.07 Ndeeba-Lubiri-24h'!I80)</f>
        <v>0.5</v>
      </c>
      <c r="J80" s="49">
        <f>AVERAGE('26.07 Ndeeba-Lubiri-24h'!J80,'27.07 Ndeeba-Lubiri-24h'!J80)</f>
        <v>1.5</v>
      </c>
      <c r="K80" s="49">
        <f>AVERAGE('26.07 Ndeeba-Lubiri-24h'!K80,'27.07 Ndeeba-Lubiri-24h'!K80)</f>
        <v>0.5</v>
      </c>
      <c r="L80" s="49">
        <f>AVERAGE('26.07 Ndeeba-Lubiri-24h'!L80,'27.07 Ndeeba-Lubiri-24h'!L80)</f>
        <v>0.5</v>
      </c>
      <c r="M80" s="49">
        <f>AVERAGE('26.07 Ndeeba-Lubiri-24h'!M80,'27.07 Ndeeba-Lubiri-24h'!M80)</f>
        <v>28.5</v>
      </c>
      <c r="N80" s="49">
        <f>AVERAGE('26.07 Ndeeba-Lubiri-24h'!N80,'27.07 Ndeeba-Lubiri-24h'!N80)</f>
        <v>0</v>
      </c>
      <c r="O80" s="15">
        <f t="shared" si="36"/>
        <v>22</v>
      </c>
      <c r="P80" s="15">
        <f t="shared" si="35"/>
        <v>50.5</v>
      </c>
      <c r="R80" s="8"/>
      <c r="T80"/>
    </row>
    <row r="81" spans="2:20" ht="23.1" customHeight="1" x14ac:dyDescent="0.25">
      <c r="B81" s="23" t="s">
        <v>121</v>
      </c>
      <c r="C81" s="49">
        <f>AVERAGE('26.07 Ndeeba-Lubiri-24h'!C81,'27.07 Ndeeba-Lubiri-24h'!C81)</f>
        <v>9</v>
      </c>
      <c r="D81" s="49">
        <f>AVERAGE('26.07 Ndeeba-Lubiri-24h'!D81,'27.07 Ndeeba-Lubiri-24h'!D81)</f>
        <v>0.5</v>
      </c>
      <c r="E81" s="49">
        <f>AVERAGE('26.07 Ndeeba-Lubiri-24h'!E81,'27.07 Ndeeba-Lubiri-24h'!E81)</f>
        <v>3</v>
      </c>
      <c r="F81" s="49">
        <f>AVERAGE('26.07 Ndeeba-Lubiri-24h'!F81,'27.07 Ndeeba-Lubiri-24h'!F81)</f>
        <v>3.5</v>
      </c>
      <c r="G81" s="49">
        <f>AVERAGE('26.07 Ndeeba-Lubiri-24h'!G81,'27.07 Ndeeba-Lubiri-24h'!G81)</f>
        <v>0</v>
      </c>
      <c r="H81" s="49">
        <f>AVERAGE('26.07 Ndeeba-Lubiri-24h'!H81,'27.07 Ndeeba-Lubiri-24h'!H81)</f>
        <v>0</v>
      </c>
      <c r="I81" s="49">
        <f>AVERAGE('26.07 Ndeeba-Lubiri-24h'!I81,'27.07 Ndeeba-Lubiri-24h'!I81)</f>
        <v>1</v>
      </c>
      <c r="J81" s="49">
        <f>AVERAGE('26.07 Ndeeba-Lubiri-24h'!J81,'27.07 Ndeeba-Lubiri-24h'!J81)</f>
        <v>1</v>
      </c>
      <c r="K81" s="49">
        <f>AVERAGE('26.07 Ndeeba-Lubiri-24h'!K81,'27.07 Ndeeba-Lubiri-24h'!K81)</f>
        <v>0</v>
      </c>
      <c r="L81" s="49">
        <f>AVERAGE('26.07 Ndeeba-Lubiri-24h'!L81,'27.07 Ndeeba-Lubiri-24h'!L81)</f>
        <v>0.5</v>
      </c>
      <c r="M81" s="49">
        <f>AVERAGE('26.07 Ndeeba-Lubiri-24h'!M81,'27.07 Ndeeba-Lubiri-24h'!M81)</f>
        <v>18.5</v>
      </c>
      <c r="N81" s="49">
        <f>AVERAGE('26.07 Ndeeba-Lubiri-24h'!N81,'27.07 Ndeeba-Lubiri-24h'!N81)</f>
        <v>0</v>
      </c>
      <c r="O81" s="15">
        <f t="shared" si="36"/>
        <v>18.5</v>
      </c>
      <c r="P81" s="15">
        <f t="shared" si="35"/>
        <v>37</v>
      </c>
      <c r="R81" s="8"/>
      <c r="T81"/>
    </row>
    <row r="82" spans="2:20" ht="23.1" customHeight="1" x14ac:dyDescent="0.25">
      <c r="B82" s="24" t="s">
        <v>122</v>
      </c>
      <c r="C82" s="49">
        <f>AVERAGE('26.07 Ndeeba-Lubiri-24h'!C82,'27.07 Ndeeba-Lubiri-24h'!C82)</f>
        <v>9.5</v>
      </c>
      <c r="D82" s="49">
        <f>AVERAGE('26.07 Ndeeba-Lubiri-24h'!D82,'27.07 Ndeeba-Lubiri-24h'!D82)</f>
        <v>1</v>
      </c>
      <c r="E82" s="49">
        <f>AVERAGE('26.07 Ndeeba-Lubiri-24h'!E82,'27.07 Ndeeba-Lubiri-24h'!E82)</f>
        <v>2</v>
      </c>
      <c r="F82" s="49">
        <f>AVERAGE('26.07 Ndeeba-Lubiri-24h'!F82,'27.07 Ndeeba-Lubiri-24h'!F82)</f>
        <v>1.5</v>
      </c>
      <c r="G82" s="49">
        <f>AVERAGE('26.07 Ndeeba-Lubiri-24h'!G82,'27.07 Ndeeba-Lubiri-24h'!G82)</f>
        <v>0</v>
      </c>
      <c r="H82" s="49">
        <f>AVERAGE('26.07 Ndeeba-Lubiri-24h'!H82,'27.07 Ndeeba-Lubiri-24h'!H82)</f>
        <v>0</v>
      </c>
      <c r="I82" s="49">
        <f>AVERAGE('26.07 Ndeeba-Lubiri-24h'!I82,'27.07 Ndeeba-Lubiri-24h'!I82)</f>
        <v>0</v>
      </c>
      <c r="J82" s="49">
        <f>AVERAGE('26.07 Ndeeba-Lubiri-24h'!J82,'27.07 Ndeeba-Lubiri-24h'!J82)</f>
        <v>0.5</v>
      </c>
      <c r="K82" s="49">
        <f>AVERAGE('26.07 Ndeeba-Lubiri-24h'!K82,'27.07 Ndeeba-Lubiri-24h'!K82)</f>
        <v>0</v>
      </c>
      <c r="L82" s="49">
        <f>AVERAGE('26.07 Ndeeba-Lubiri-24h'!L82,'27.07 Ndeeba-Lubiri-24h'!L82)</f>
        <v>0</v>
      </c>
      <c r="M82" s="49">
        <f>AVERAGE('26.07 Ndeeba-Lubiri-24h'!M82,'27.07 Ndeeba-Lubiri-24h'!M82)</f>
        <v>22</v>
      </c>
      <c r="N82" s="49">
        <f>AVERAGE('26.07 Ndeeba-Lubiri-24h'!N82,'27.07 Ndeeba-Lubiri-24h'!N82)</f>
        <v>0</v>
      </c>
      <c r="O82" s="15">
        <f t="shared" si="36"/>
        <v>14.5</v>
      </c>
      <c r="P82" s="15">
        <f t="shared" si="35"/>
        <v>36.5</v>
      </c>
      <c r="R82" s="8"/>
      <c r="T82"/>
    </row>
    <row r="83" spans="2:20" ht="23.1" customHeight="1" x14ac:dyDescent="0.25">
      <c r="B83" s="23" t="s">
        <v>123</v>
      </c>
      <c r="C83" s="49">
        <f>AVERAGE('26.07 Ndeeba-Lubiri-24h'!C83,'27.07 Ndeeba-Lubiri-24h'!C83)</f>
        <v>5</v>
      </c>
      <c r="D83" s="49">
        <f>AVERAGE('26.07 Ndeeba-Lubiri-24h'!D83,'27.07 Ndeeba-Lubiri-24h'!D83)</f>
        <v>3.5</v>
      </c>
      <c r="E83" s="49">
        <f>AVERAGE('26.07 Ndeeba-Lubiri-24h'!E83,'27.07 Ndeeba-Lubiri-24h'!E83)</f>
        <v>0</v>
      </c>
      <c r="F83" s="49">
        <f>AVERAGE('26.07 Ndeeba-Lubiri-24h'!F83,'27.07 Ndeeba-Lubiri-24h'!F83)</f>
        <v>1</v>
      </c>
      <c r="G83" s="49">
        <f>AVERAGE('26.07 Ndeeba-Lubiri-24h'!G83,'27.07 Ndeeba-Lubiri-24h'!G83)</f>
        <v>0</v>
      </c>
      <c r="H83" s="49">
        <f>AVERAGE('26.07 Ndeeba-Lubiri-24h'!H83,'27.07 Ndeeba-Lubiri-24h'!H83)</f>
        <v>0</v>
      </c>
      <c r="I83" s="49">
        <f>AVERAGE('26.07 Ndeeba-Lubiri-24h'!I83,'27.07 Ndeeba-Lubiri-24h'!I83)</f>
        <v>0.5</v>
      </c>
      <c r="J83" s="49">
        <f>AVERAGE('26.07 Ndeeba-Lubiri-24h'!J83,'27.07 Ndeeba-Lubiri-24h'!J83)</f>
        <v>0</v>
      </c>
      <c r="K83" s="49">
        <f>AVERAGE('26.07 Ndeeba-Lubiri-24h'!K83,'27.07 Ndeeba-Lubiri-24h'!K83)</f>
        <v>1</v>
      </c>
      <c r="L83" s="49">
        <f>AVERAGE('26.07 Ndeeba-Lubiri-24h'!L83,'27.07 Ndeeba-Lubiri-24h'!L83)</f>
        <v>0</v>
      </c>
      <c r="M83" s="49">
        <f>AVERAGE('26.07 Ndeeba-Lubiri-24h'!M83,'27.07 Ndeeba-Lubiri-24h'!M83)</f>
        <v>18.5</v>
      </c>
      <c r="N83" s="49">
        <f>AVERAGE('26.07 Ndeeba-Lubiri-24h'!N83,'27.07 Ndeeba-Lubiri-24h'!N83)</f>
        <v>0</v>
      </c>
      <c r="O83" s="15">
        <f t="shared" si="36"/>
        <v>11</v>
      </c>
      <c r="P83" s="15">
        <f t="shared" si="35"/>
        <v>29.5</v>
      </c>
      <c r="R83" s="8"/>
      <c r="T83"/>
    </row>
    <row r="84" spans="2:20" ht="23.1" customHeight="1" x14ac:dyDescent="0.25">
      <c r="B84" s="25" t="s">
        <v>124</v>
      </c>
      <c r="C84" s="49">
        <f>AVERAGE('26.07 Ndeeba-Lubiri-24h'!C84,'27.07 Ndeeba-Lubiri-24h'!C84)</f>
        <v>4</v>
      </c>
      <c r="D84" s="49">
        <f>AVERAGE('26.07 Ndeeba-Lubiri-24h'!D84,'27.07 Ndeeba-Lubiri-24h'!D84)</f>
        <v>0</v>
      </c>
      <c r="E84" s="49">
        <f>AVERAGE('26.07 Ndeeba-Lubiri-24h'!E84,'27.07 Ndeeba-Lubiri-24h'!E84)</f>
        <v>1</v>
      </c>
      <c r="F84" s="49">
        <f>AVERAGE('26.07 Ndeeba-Lubiri-24h'!F84,'27.07 Ndeeba-Lubiri-24h'!F84)</f>
        <v>0</v>
      </c>
      <c r="G84" s="49">
        <f>AVERAGE('26.07 Ndeeba-Lubiri-24h'!G84,'27.07 Ndeeba-Lubiri-24h'!G84)</f>
        <v>0</v>
      </c>
      <c r="H84" s="49">
        <f>AVERAGE('26.07 Ndeeba-Lubiri-24h'!H84,'27.07 Ndeeba-Lubiri-24h'!H84)</f>
        <v>0.5</v>
      </c>
      <c r="I84" s="49">
        <f>AVERAGE('26.07 Ndeeba-Lubiri-24h'!I84,'27.07 Ndeeba-Lubiri-24h'!I84)</f>
        <v>0</v>
      </c>
      <c r="J84" s="49">
        <f>AVERAGE('26.07 Ndeeba-Lubiri-24h'!J84,'27.07 Ndeeba-Lubiri-24h'!J84)</f>
        <v>0</v>
      </c>
      <c r="K84" s="49">
        <f>AVERAGE('26.07 Ndeeba-Lubiri-24h'!K84,'27.07 Ndeeba-Lubiri-24h'!K84)</f>
        <v>0.5</v>
      </c>
      <c r="L84" s="49">
        <f>AVERAGE('26.07 Ndeeba-Lubiri-24h'!L84,'27.07 Ndeeba-Lubiri-24h'!L84)</f>
        <v>0</v>
      </c>
      <c r="M84" s="49">
        <f>AVERAGE('26.07 Ndeeba-Lubiri-24h'!M84,'27.07 Ndeeba-Lubiri-24h'!M84)</f>
        <v>15</v>
      </c>
      <c r="N84" s="49">
        <f>AVERAGE('26.07 Ndeeba-Lubiri-24h'!N84,'27.07 Ndeeba-Lubiri-24h'!N84)</f>
        <v>0</v>
      </c>
      <c r="O84" s="15">
        <f t="shared" si="36"/>
        <v>6</v>
      </c>
      <c r="P84" s="15">
        <f t="shared" si="35"/>
        <v>21</v>
      </c>
      <c r="R84" s="8"/>
      <c r="T84"/>
    </row>
    <row r="85" spans="2:20" ht="23.1" customHeight="1" x14ac:dyDescent="0.25">
      <c r="B85" s="23" t="s">
        <v>125</v>
      </c>
      <c r="C85" s="49">
        <f>AVERAGE('26.07 Ndeeba-Lubiri-24h'!C85,'27.07 Ndeeba-Lubiri-24h'!C85)</f>
        <v>3.5</v>
      </c>
      <c r="D85" s="49">
        <f>AVERAGE('26.07 Ndeeba-Lubiri-24h'!D85,'27.07 Ndeeba-Lubiri-24h'!D85)</f>
        <v>1.5</v>
      </c>
      <c r="E85" s="49">
        <f>AVERAGE('26.07 Ndeeba-Lubiri-24h'!E85,'27.07 Ndeeba-Lubiri-24h'!E85)</f>
        <v>0.5</v>
      </c>
      <c r="F85" s="49">
        <f>AVERAGE('26.07 Ndeeba-Lubiri-24h'!F85,'27.07 Ndeeba-Lubiri-24h'!F85)</f>
        <v>0.5</v>
      </c>
      <c r="G85" s="49">
        <f>AVERAGE('26.07 Ndeeba-Lubiri-24h'!G85,'27.07 Ndeeba-Lubiri-24h'!G85)</f>
        <v>0</v>
      </c>
      <c r="H85" s="49">
        <f>AVERAGE('26.07 Ndeeba-Lubiri-24h'!H85,'27.07 Ndeeba-Lubiri-24h'!H85)</f>
        <v>0</v>
      </c>
      <c r="I85" s="49">
        <f>AVERAGE('26.07 Ndeeba-Lubiri-24h'!I85,'27.07 Ndeeba-Lubiri-24h'!I85)</f>
        <v>0.5</v>
      </c>
      <c r="J85" s="49">
        <f>AVERAGE('26.07 Ndeeba-Lubiri-24h'!J85,'27.07 Ndeeba-Lubiri-24h'!J85)</f>
        <v>0</v>
      </c>
      <c r="K85" s="49">
        <f>AVERAGE('26.07 Ndeeba-Lubiri-24h'!K85,'27.07 Ndeeba-Lubiri-24h'!K85)</f>
        <v>0</v>
      </c>
      <c r="L85" s="49">
        <f>AVERAGE('26.07 Ndeeba-Lubiri-24h'!L85,'27.07 Ndeeba-Lubiri-24h'!L85)</f>
        <v>0</v>
      </c>
      <c r="M85" s="49">
        <f>AVERAGE('26.07 Ndeeba-Lubiri-24h'!M85,'27.07 Ndeeba-Lubiri-24h'!M85)</f>
        <v>9</v>
      </c>
      <c r="N85" s="49">
        <f>AVERAGE('26.07 Ndeeba-Lubiri-24h'!N85,'27.07 Ndeeba-Lubiri-24h'!N85)</f>
        <v>0</v>
      </c>
      <c r="O85" s="15">
        <f t="shared" si="36"/>
        <v>6.5</v>
      </c>
      <c r="P85" s="15">
        <f t="shared" si="35"/>
        <v>15.5</v>
      </c>
      <c r="R85" s="8"/>
      <c r="T85"/>
    </row>
    <row r="86" spans="2:20" ht="23.1" customHeight="1" x14ac:dyDescent="0.25">
      <c r="B86" s="24" t="s">
        <v>126</v>
      </c>
      <c r="C86" s="49">
        <f>AVERAGE('26.07 Ndeeba-Lubiri-24h'!C86,'27.07 Ndeeba-Lubiri-24h'!C86)</f>
        <v>1.5</v>
      </c>
      <c r="D86" s="49">
        <f>AVERAGE('26.07 Ndeeba-Lubiri-24h'!D86,'27.07 Ndeeba-Lubiri-24h'!D86)</f>
        <v>1.5</v>
      </c>
      <c r="E86" s="49">
        <f>AVERAGE('26.07 Ndeeba-Lubiri-24h'!E86,'27.07 Ndeeba-Lubiri-24h'!E86)</f>
        <v>0.5</v>
      </c>
      <c r="F86" s="49">
        <f>AVERAGE('26.07 Ndeeba-Lubiri-24h'!F86,'27.07 Ndeeba-Lubiri-24h'!F86)</f>
        <v>0</v>
      </c>
      <c r="G86" s="49">
        <f>AVERAGE('26.07 Ndeeba-Lubiri-24h'!G86,'27.07 Ndeeba-Lubiri-24h'!G86)</f>
        <v>0</v>
      </c>
      <c r="H86" s="49">
        <f>AVERAGE('26.07 Ndeeba-Lubiri-24h'!H86,'27.07 Ndeeba-Lubiri-24h'!H86)</f>
        <v>0</v>
      </c>
      <c r="I86" s="49">
        <f>AVERAGE('26.07 Ndeeba-Lubiri-24h'!I86,'27.07 Ndeeba-Lubiri-24h'!I86)</f>
        <v>0.5</v>
      </c>
      <c r="J86" s="49">
        <f>AVERAGE('26.07 Ndeeba-Lubiri-24h'!J86,'27.07 Ndeeba-Lubiri-24h'!J86)</f>
        <v>0.5</v>
      </c>
      <c r="K86" s="49">
        <f>AVERAGE('26.07 Ndeeba-Lubiri-24h'!K86,'27.07 Ndeeba-Lubiri-24h'!K86)</f>
        <v>0</v>
      </c>
      <c r="L86" s="49">
        <f>AVERAGE('26.07 Ndeeba-Lubiri-24h'!L86,'27.07 Ndeeba-Lubiri-24h'!L86)</f>
        <v>0</v>
      </c>
      <c r="M86" s="49">
        <f>AVERAGE('26.07 Ndeeba-Lubiri-24h'!M86,'27.07 Ndeeba-Lubiri-24h'!M86)</f>
        <v>12.5</v>
      </c>
      <c r="N86" s="49">
        <f>AVERAGE('26.07 Ndeeba-Lubiri-24h'!N86,'27.07 Ndeeba-Lubiri-24h'!N86)</f>
        <v>0</v>
      </c>
      <c r="O86" s="15">
        <f t="shared" si="36"/>
        <v>4.5</v>
      </c>
      <c r="P86" s="15">
        <f t="shared" si="35"/>
        <v>17</v>
      </c>
      <c r="R86" s="8"/>
      <c r="T86"/>
    </row>
    <row r="87" spans="2:20" ht="23.1" customHeight="1" x14ac:dyDescent="0.25">
      <c r="B87" s="23" t="s">
        <v>127</v>
      </c>
      <c r="C87" s="49">
        <f>AVERAGE('26.07 Ndeeba-Lubiri-24h'!C87,'27.07 Ndeeba-Lubiri-24h'!C87)</f>
        <v>2.5</v>
      </c>
      <c r="D87" s="49">
        <f>AVERAGE('26.07 Ndeeba-Lubiri-24h'!D87,'27.07 Ndeeba-Lubiri-24h'!D87)</f>
        <v>0.5</v>
      </c>
      <c r="E87" s="49">
        <f>AVERAGE('26.07 Ndeeba-Lubiri-24h'!E87,'27.07 Ndeeba-Lubiri-24h'!E87)</f>
        <v>0.5</v>
      </c>
      <c r="F87" s="49">
        <f>AVERAGE('26.07 Ndeeba-Lubiri-24h'!F87,'27.07 Ndeeba-Lubiri-24h'!F87)</f>
        <v>0.5</v>
      </c>
      <c r="G87" s="49">
        <f>AVERAGE('26.07 Ndeeba-Lubiri-24h'!G87,'27.07 Ndeeba-Lubiri-24h'!G87)</f>
        <v>0</v>
      </c>
      <c r="H87" s="49">
        <f>AVERAGE('26.07 Ndeeba-Lubiri-24h'!H87,'27.07 Ndeeba-Lubiri-24h'!H87)</f>
        <v>0</v>
      </c>
      <c r="I87" s="49">
        <f>AVERAGE('26.07 Ndeeba-Lubiri-24h'!I87,'27.07 Ndeeba-Lubiri-24h'!I87)</f>
        <v>0</v>
      </c>
      <c r="J87" s="49">
        <f>AVERAGE('26.07 Ndeeba-Lubiri-24h'!J87,'27.07 Ndeeba-Lubiri-24h'!J87)</f>
        <v>0</v>
      </c>
      <c r="K87" s="49">
        <f>AVERAGE('26.07 Ndeeba-Lubiri-24h'!K87,'27.07 Ndeeba-Lubiri-24h'!K87)</f>
        <v>0.5</v>
      </c>
      <c r="L87" s="49">
        <f>AVERAGE('26.07 Ndeeba-Lubiri-24h'!L87,'27.07 Ndeeba-Lubiri-24h'!L87)</f>
        <v>0</v>
      </c>
      <c r="M87" s="49">
        <f>AVERAGE('26.07 Ndeeba-Lubiri-24h'!M87,'27.07 Ndeeba-Lubiri-24h'!M87)</f>
        <v>11.5</v>
      </c>
      <c r="N87" s="49">
        <f>AVERAGE('26.07 Ndeeba-Lubiri-24h'!N87,'27.07 Ndeeba-Lubiri-24h'!N87)</f>
        <v>0</v>
      </c>
      <c r="O87" s="15">
        <f t="shared" si="36"/>
        <v>4.5</v>
      </c>
      <c r="P87" s="15">
        <f t="shared" si="35"/>
        <v>16</v>
      </c>
      <c r="R87" s="8"/>
      <c r="T87"/>
    </row>
    <row r="88" spans="2:20" ht="23.1" customHeight="1" x14ac:dyDescent="0.25">
      <c r="B88" s="25" t="s">
        <v>128</v>
      </c>
      <c r="C88" s="49">
        <f>AVERAGE('26.07 Ndeeba-Lubiri-24h'!C88,'27.07 Ndeeba-Lubiri-24h'!C88)</f>
        <v>3</v>
      </c>
      <c r="D88" s="49">
        <f>AVERAGE('26.07 Ndeeba-Lubiri-24h'!D88,'27.07 Ndeeba-Lubiri-24h'!D88)</f>
        <v>1.5</v>
      </c>
      <c r="E88" s="49">
        <f>AVERAGE('26.07 Ndeeba-Lubiri-24h'!E88,'27.07 Ndeeba-Lubiri-24h'!E88)</f>
        <v>0</v>
      </c>
      <c r="F88" s="49">
        <f>AVERAGE('26.07 Ndeeba-Lubiri-24h'!F88,'27.07 Ndeeba-Lubiri-24h'!F88)</f>
        <v>1</v>
      </c>
      <c r="G88" s="49">
        <f>AVERAGE('26.07 Ndeeba-Lubiri-24h'!G88,'27.07 Ndeeba-Lubiri-24h'!G88)</f>
        <v>0</v>
      </c>
      <c r="H88" s="49">
        <f>AVERAGE('26.07 Ndeeba-Lubiri-24h'!H88,'27.07 Ndeeba-Lubiri-24h'!H88)</f>
        <v>0</v>
      </c>
      <c r="I88" s="49">
        <f>AVERAGE('26.07 Ndeeba-Lubiri-24h'!I88,'27.07 Ndeeba-Lubiri-24h'!I88)</f>
        <v>0.5</v>
      </c>
      <c r="J88" s="49">
        <f>AVERAGE('26.07 Ndeeba-Lubiri-24h'!J88,'27.07 Ndeeba-Lubiri-24h'!J88)</f>
        <v>1</v>
      </c>
      <c r="K88" s="49">
        <f>AVERAGE('26.07 Ndeeba-Lubiri-24h'!K88,'27.07 Ndeeba-Lubiri-24h'!K88)</f>
        <v>0.5</v>
      </c>
      <c r="L88" s="49">
        <f>AVERAGE('26.07 Ndeeba-Lubiri-24h'!L88,'27.07 Ndeeba-Lubiri-24h'!L88)</f>
        <v>0</v>
      </c>
      <c r="M88" s="49">
        <f>AVERAGE('26.07 Ndeeba-Lubiri-24h'!M88,'27.07 Ndeeba-Lubiri-24h'!M88)</f>
        <v>6</v>
      </c>
      <c r="N88" s="49">
        <f>AVERAGE('26.07 Ndeeba-Lubiri-24h'!N88,'27.07 Ndeeba-Lubiri-24h'!N88)</f>
        <v>0</v>
      </c>
      <c r="O88" s="15">
        <f t="shared" si="36"/>
        <v>7.5</v>
      </c>
      <c r="P88" s="15">
        <f t="shared" si="35"/>
        <v>13.5</v>
      </c>
      <c r="R88" s="8"/>
      <c r="T88"/>
    </row>
    <row r="89" spans="2:20" ht="23.1" customHeight="1" x14ac:dyDescent="0.25">
      <c r="B89" s="23" t="s">
        <v>129</v>
      </c>
      <c r="C89" s="49">
        <f>AVERAGE('26.07 Ndeeba-Lubiri-24h'!C89,'27.07 Ndeeba-Lubiri-24h'!C89)</f>
        <v>3.5</v>
      </c>
      <c r="D89" s="49">
        <f>AVERAGE('26.07 Ndeeba-Lubiri-24h'!D89,'27.07 Ndeeba-Lubiri-24h'!D89)</f>
        <v>0.5</v>
      </c>
      <c r="E89" s="49">
        <f>AVERAGE('26.07 Ndeeba-Lubiri-24h'!E89,'27.07 Ndeeba-Lubiri-24h'!E89)</f>
        <v>0</v>
      </c>
      <c r="F89" s="49">
        <f>AVERAGE('26.07 Ndeeba-Lubiri-24h'!F89,'27.07 Ndeeba-Lubiri-24h'!F89)</f>
        <v>0</v>
      </c>
      <c r="G89" s="49">
        <f>AVERAGE('26.07 Ndeeba-Lubiri-24h'!G89,'27.07 Ndeeba-Lubiri-24h'!G89)</f>
        <v>0</v>
      </c>
      <c r="H89" s="49">
        <f>AVERAGE('26.07 Ndeeba-Lubiri-24h'!H89,'27.07 Ndeeba-Lubiri-24h'!H89)</f>
        <v>0</v>
      </c>
      <c r="I89" s="49">
        <f>AVERAGE('26.07 Ndeeba-Lubiri-24h'!I89,'27.07 Ndeeba-Lubiri-24h'!I89)</f>
        <v>0</v>
      </c>
      <c r="J89" s="49">
        <f>AVERAGE('26.07 Ndeeba-Lubiri-24h'!J89,'27.07 Ndeeba-Lubiri-24h'!J89)</f>
        <v>0.5</v>
      </c>
      <c r="K89" s="49">
        <f>AVERAGE('26.07 Ndeeba-Lubiri-24h'!K89,'27.07 Ndeeba-Lubiri-24h'!K89)</f>
        <v>0</v>
      </c>
      <c r="L89" s="49">
        <f>AVERAGE('26.07 Ndeeba-Lubiri-24h'!L89,'27.07 Ndeeba-Lubiri-24h'!L89)</f>
        <v>0</v>
      </c>
      <c r="M89" s="49">
        <f>AVERAGE('26.07 Ndeeba-Lubiri-24h'!M89,'27.07 Ndeeba-Lubiri-24h'!M89)</f>
        <v>12</v>
      </c>
      <c r="N89" s="49">
        <f>AVERAGE('26.07 Ndeeba-Lubiri-24h'!N89,'27.07 Ndeeba-Lubiri-24h'!N89)</f>
        <v>0</v>
      </c>
      <c r="O89" s="15">
        <f t="shared" si="36"/>
        <v>4.5</v>
      </c>
      <c r="P89" s="15">
        <f t="shared" si="35"/>
        <v>16.5</v>
      </c>
      <c r="R89" s="8"/>
      <c r="T89"/>
    </row>
    <row r="90" spans="2:20" ht="23.1" customHeight="1" x14ac:dyDescent="0.25">
      <c r="B90" s="24" t="s">
        <v>130</v>
      </c>
      <c r="C90" s="49">
        <f>AVERAGE('26.07 Ndeeba-Lubiri-24h'!C90,'27.07 Ndeeba-Lubiri-24h'!C90)</f>
        <v>2.5</v>
      </c>
      <c r="D90" s="49">
        <f>AVERAGE('26.07 Ndeeba-Lubiri-24h'!D90,'27.07 Ndeeba-Lubiri-24h'!D90)</f>
        <v>2</v>
      </c>
      <c r="E90" s="49">
        <f>AVERAGE('26.07 Ndeeba-Lubiri-24h'!E90,'27.07 Ndeeba-Lubiri-24h'!E90)</f>
        <v>0</v>
      </c>
      <c r="F90" s="49">
        <f>AVERAGE('26.07 Ndeeba-Lubiri-24h'!F90,'27.07 Ndeeba-Lubiri-24h'!F90)</f>
        <v>0</v>
      </c>
      <c r="G90" s="49">
        <f>AVERAGE('26.07 Ndeeba-Lubiri-24h'!G90,'27.07 Ndeeba-Lubiri-24h'!G90)</f>
        <v>0</v>
      </c>
      <c r="H90" s="49">
        <f>AVERAGE('26.07 Ndeeba-Lubiri-24h'!H90,'27.07 Ndeeba-Lubiri-24h'!H90)</f>
        <v>0</v>
      </c>
      <c r="I90" s="49">
        <f>AVERAGE('26.07 Ndeeba-Lubiri-24h'!I90,'27.07 Ndeeba-Lubiri-24h'!I90)</f>
        <v>1.5</v>
      </c>
      <c r="J90" s="49">
        <f>AVERAGE('26.07 Ndeeba-Lubiri-24h'!J90,'27.07 Ndeeba-Lubiri-24h'!J90)</f>
        <v>0</v>
      </c>
      <c r="K90" s="49">
        <f>AVERAGE('26.07 Ndeeba-Lubiri-24h'!K90,'27.07 Ndeeba-Lubiri-24h'!K90)</f>
        <v>0</v>
      </c>
      <c r="L90" s="49">
        <f>AVERAGE('26.07 Ndeeba-Lubiri-24h'!L90,'27.07 Ndeeba-Lubiri-24h'!L90)</f>
        <v>0</v>
      </c>
      <c r="M90" s="49">
        <f>AVERAGE('26.07 Ndeeba-Lubiri-24h'!M90,'27.07 Ndeeba-Lubiri-24h'!M90)</f>
        <v>13</v>
      </c>
      <c r="N90" s="49">
        <f>AVERAGE('26.07 Ndeeba-Lubiri-24h'!N90,'27.07 Ndeeba-Lubiri-24h'!N90)</f>
        <v>0</v>
      </c>
      <c r="O90" s="15">
        <f t="shared" si="36"/>
        <v>6</v>
      </c>
      <c r="P90" s="15">
        <f t="shared" si="35"/>
        <v>19</v>
      </c>
      <c r="R90" s="8"/>
      <c r="T90"/>
    </row>
    <row r="91" spans="2:20" ht="23.1" customHeight="1" x14ac:dyDescent="0.25">
      <c r="B91" s="23" t="s">
        <v>131</v>
      </c>
      <c r="C91" s="49">
        <f>AVERAGE('26.07 Ndeeba-Lubiri-24h'!C91,'27.07 Ndeeba-Lubiri-24h'!C91)</f>
        <v>2</v>
      </c>
      <c r="D91" s="49">
        <f>AVERAGE('26.07 Ndeeba-Lubiri-24h'!D91,'27.07 Ndeeba-Lubiri-24h'!D91)</f>
        <v>0</v>
      </c>
      <c r="E91" s="49">
        <f>AVERAGE('26.07 Ndeeba-Lubiri-24h'!E91,'27.07 Ndeeba-Lubiri-24h'!E91)</f>
        <v>1</v>
      </c>
      <c r="F91" s="49">
        <f>AVERAGE('26.07 Ndeeba-Lubiri-24h'!F91,'27.07 Ndeeba-Lubiri-24h'!F91)</f>
        <v>1</v>
      </c>
      <c r="G91" s="49">
        <f>AVERAGE('26.07 Ndeeba-Lubiri-24h'!G91,'27.07 Ndeeba-Lubiri-24h'!G91)</f>
        <v>0</v>
      </c>
      <c r="H91" s="49">
        <f>AVERAGE('26.07 Ndeeba-Lubiri-24h'!H91,'27.07 Ndeeba-Lubiri-24h'!H91)</f>
        <v>0</v>
      </c>
      <c r="I91" s="49">
        <f>AVERAGE('26.07 Ndeeba-Lubiri-24h'!I91,'27.07 Ndeeba-Lubiri-24h'!I91)</f>
        <v>1</v>
      </c>
      <c r="J91" s="49">
        <f>AVERAGE('26.07 Ndeeba-Lubiri-24h'!J91,'27.07 Ndeeba-Lubiri-24h'!J91)</f>
        <v>1</v>
      </c>
      <c r="K91" s="49">
        <f>AVERAGE('26.07 Ndeeba-Lubiri-24h'!K91,'27.07 Ndeeba-Lubiri-24h'!K91)</f>
        <v>0</v>
      </c>
      <c r="L91" s="49">
        <f>AVERAGE('26.07 Ndeeba-Lubiri-24h'!L91,'27.07 Ndeeba-Lubiri-24h'!L91)</f>
        <v>0</v>
      </c>
      <c r="M91" s="49">
        <f>AVERAGE('26.07 Ndeeba-Lubiri-24h'!M91,'27.07 Ndeeba-Lubiri-24h'!M91)</f>
        <v>7</v>
      </c>
      <c r="N91" s="49">
        <f>AVERAGE('26.07 Ndeeba-Lubiri-24h'!N91,'27.07 Ndeeba-Lubiri-24h'!N91)</f>
        <v>0</v>
      </c>
      <c r="O91" s="15">
        <f t="shared" si="36"/>
        <v>6</v>
      </c>
      <c r="P91" s="15">
        <f t="shared" si="35"/>
        <v>13</v>
      </c>
      <c r="R91" s="8"/>
      <c r="T91"/>
    </row>
    <row r="92" spans="2:20" ht="23.1" customHeight="1" x14ac:dyDescent="0.25">
      <c r="B92" s="25" t="s">
        <v>132</v>
      </c>
      <c r="C92" s="49">
        <f>AVERAGE('26.07 Ndeeba-Lubiri-24h'!C92,'27.07 Ndeeba-Lubiri-24h'!C92)</f>
        <v>2</v>
      </c>
      <c r="D92" s="49">
        <f>AVERAGE('26.07 Ndeeba-Lubiri-24h'!D92,'27.07 Ndeeba-Lubiri-24h'!D92)</f>
        <v>2</v>
      </c>
      <c r="E92" s="49">
        <f>AVERAGE('26.07 Ndeeba-Lubiri-24h'!E92,'27.07 Ndeeba-Lubiri-24h'!E92)</f>
        <v>0</v>
      </c>
      <c r="F92" s="49">
        <f>AVERAGE('26.07 Ndeeba-Lubiri-24h'!F92,'27.07 Ndeeba-Lubiri-24h'!F92)</f>
        <v>0</v>
      </c>
      <c r="G92" s="49">
        <f>AVERAGE('26.07 Ndeeba-Lubiri-24h'!G92,'27.07 Ndeeba-Lubiri-24h'!G92)</f>
        <v>0</v>
      </c>
      <c r="H92" s="49">
        <f>AVERAGE('26.07 Ndeeba-Lubiri-24h'!H92,'27.07 Ndeeba-Lubiri-24h'!H92)</f>
        <v>0</v>
      </c>
      <c r="I92" s="49">
        <f>AVERAGE('26.07 Ndeeba-Lubiri-24h'!I92,'27.07 Ndeeba-Lubiri-24h'!I92)</f>
        <v>0</v>
      </c>
      <c r="J92" s="49">
        <f>AVERAGE('26.07 Ndeeba-Lubiri-24h'!J92,'27.07 Ndeeba-Lubiri-24h'!J92)</f>
        <v>0.5</v>
      </c>
      <c r="K92" s="49">
        <f>AVERAGE('26.07 Ndeeba-Lubiri-24h'!K92,'27.07 Ndeeba-Lubiri-24h'!K92)</f>
        <v>0.5</v>
      </c>
      <c r="L92" s="49">
        <f>AVERAGE('26.07 Ndeeba-Lubiri-24h'!L92,'27.07 Ndeeba-Lubiri-24h'!L92)</f>
        <v>0</v>
      </c>
      <c r="M92" s="49">
        <f>AVERAGE('26.07 Ndeeba-Lubiri-24h'!M92,'27.07 Ndeeba-Lubiri-24h'!M92)</f>
        <v>5.5</v>
      </c>
      <c r="N92" s="49">
        <f>AVERAGE('26.07 Ndeeba-Lubiri-24h'!N92,'27.07 Ndeeba-Lubiri-24h'!N92)</f>
        <v>0</v>
      </c>
      <c r="O92" s="15">
        <f t="shared" si="36"/>
        <v>5</v>
      </c>
      <c r="P92" s="15">
        <f t="shared" si="35"/>
        <v>10.5</v>
      </c>
      <c r="R92" s="8"/>
      <c r="T92"/>
    </row>
    <row r="93" spans="2:20" ht="23.1" customHeight="1" x14ac:dyDescent="0.25">
      <c r="B93" s="23" t="s">
        <v>133</v>
      </c>
      <c r="C93" s="49">
        <f>AVERAGE('26.07 Ndeeba-Lubiri-24h'!C93,'27.07 Ndeeba-Lubiri-24h'!C93)</f>
        <v>1.5</v>
      </c>
      <c r="D93" s="49">
        <f>AVERAGE('26.07 Ndeeba-Lubiri-24h'!D93,'27.07 Ndeeba-Lubiri-24h'!D93)</f>
        <v>1</v>
      </c>
      <c r="E93" s="49">
        <f>AVERAGE('26.07 Ndeeba-Lubiri-24h'!E93,'27.07 Ndeeba-Lubiri-24h'!E93)</f>
        <v>0</v>
      </c>
      <c r="F93" s="49">
        <f>AVERAGE('26.07 Ndeeba-Lubiri-24h'!F93,'27.07 Ndeeba-Lubiri-24h'!F93)</f>
        <v>0</v>
      </c>
      <c r="G93" s="49">
        <f>AVERAGE('26.07 Ndeeba-Lubiri-24h'!G93,'27.07 Ndeeba-Lubiri-24h'!G93)</f>
        <v>0</v>
      </c>
      <c r="H93" s="49">
        <f>AVERAGE('26.07 Ndeeba-Lubiri-24h'!H93,'27.07 Ndeeba-Lubiri-24h'!H93)</f>
        <v>0</v>
      </c>
      <c r="I93" s="49">
        <f>AVERAGE('26.07 Ndeeba-Lubiri-24h'!I93,'27.07 Ndeeba-Lubiri-24h'!I93)</f>
        <v>0</v>
      </c>
      <c r="J93" s="49">
        <f>AVERAGE('26.07 Ndeeba-Lubiri-24h'!J93,'27.07 Ndeeba-Lubiri-24h'!J93)</f>
        <v>0</v>
      </c>
      <c r="K93" s="49">
        <f>AVERAGE('26.07 Ndeeba-Lubiri-24h'!K93,'27.07 Ndeeba-Lubiri-24h'!K93)</f>
        <v>0</v>
      </c>
      <c r="L93" s="49">
        <f>AVERAGE('26.07 Ndeeba-Lubiri-24h'!L93,'27.07 Ndeeba-Lubiri-24h'!L93)</f>
        <v>0</v>
      </c>
      <c r="M93" s="49">
        <f>AVERAGE('26.07 Ndeeba-Lubiri-24h'!M93,'27.07 Ndeeba-Lubiri-24h'!M93)</f>
        <v>4</v>
      </c>
      <c r="N93" s="49">
        <f>AVERAGE('26.07 Ndeeba-Lubiri-24h'!N93,'27.07 Ndeeba-Lubiri-24h'!N93)</f>
        <v>0</v>
      </c>
      <c r="O93" s="15">
        <f t="shared" si="36"/>
        <v>2.5</v>
      </c>
      <c r="P93" s="15">
        <f t="shared" si="35"/>
        <v>6.5</v>
      </c>
      <c r="R93" s="8"/>
      <c r="T93"/>
    </row>
    <row r="94" spans="2:20" ht="23.1" customHeight="1" x14ac:dyDescent="0.25">
      <c r="B94" s="24" t="s">
        <v>134</v>
      </c>
      <c r="C94" s="49">
        <f>AVERAGE('26.07 Ndeeba-Lubiri-24h'!C94,'27.07 Ndeeba-Lubiri-24h'!C94)</f>
        <v>1.5</v>
      </c>
      <c r="D94" s="49">
        <f>AVERAGE('26.07 Ndeeba-Lubiri-24h'!D94,'27.07 Ndeeba-Lubiri-24h'!D94)</f>
        <v>0</v>
      </c>
      <c r="E94" s="49">
        <f>AVERAGE('26.07 Ndeeba-Lubiri-24h'!E94,'27.07 Ndeeba-Lubiri-24h'!E94)</f>
        <v>0</v>
      </c>
      <c r="F94" s="49">
        <f>AVERAGE('26.07 Ndeeba-Lubiri-24h'!F94,'27.07 Ndeeba-Lubiri-24h'!F94)</f>
        <v>0.5</v>
      </c>
      <c r="G94" s="49">
        <f>AVERAGE('26.07 Ndeeba-Lubiri-24h'!G94,'27.07 Ndeeba-Lubiri-24h'!G94)</f>
        <v>0</v>
      </c>
      <c r="H94" s="49">
        <f>AVERAGE('26.07 Ndeeba-Lubiri-24h'!H94,'27.07 Ndeeba-Lubiri-24h'!H94)</f>
        <v>0</v>
      </c>
      <c r="I94" s="49">
        <f>AVERAGE('26.07 Ndeeba-Lubiri-24h'!I94,'27.07 Ndeeba-Lubiri-24h'!I94)</f>
        <v>1.5</v>
      </c>
      <c r="J94" s="49">
        <f>AVERAGE('26.07 Ndeeba-Lubiri-24h'!J94,'27.07 Ndeeba-Lubiri-24h'!J94)</f>
        <v>0</v>
      </c>
      <c r="K94" s="49">
        <f>AVERAGE('26.07 Ndeeba-Lubiri-24h'!K94,'27.07 Ndeeba-Lubiri-24h'!K94)</f>
        <v>0.5</v>
      </c>
      <c r="L94" s="49">
        <f>AVERAGE('26.07 Ndeeba-Lubiri-24h'!L94,'27.07 Ndeeba-Lubiri-24h'!L94)</f>
        <v>0</v>
      </c>
      <c r="M94" s="49">
        <f>AVERAGE('26.07 Ndeeba-Lubiri-24h'!M94,'27.07 Ndeeba-Lubiri-24h'!M94)</f>
        <v>5</v>
      </c>
      <c r="N94" s="49">
        <f>AVERAGE('26.07 Ndeeba-Lubiri-24h'!N94,'27.07 Ndeeba-Lubiri-24h'!N94)</f>
        <v>0</v>
      </c>
      <c r="O94" s="15">
        <f t="shared" si="36"/>
        <v>4</v>
      </c>
      <c r="P94" s="15">
        <f t="shared" si="35"/>
        <v>9</v>
      </c>
      <c r="R94" s="8"/>
      <c r="T94"/>
    </row>
    <row r="95" spans="2:20" ht="23.1" customHeight="1" x14ac:dyDescent="0.25">
      <c r="B95" s="23" t="s">
        <v>135</v>
      </c>
      <c r="C95" s="49">
        <f>AVERAGE('26.07 Ndeeba-Lubiri-24h'!C95,'27.07 Ndeeba-Lubiri-24h'!C95)</f>
        <v>1</v>
      </c>
      <c r="D95" s="49">
        <f>AVERAGE('26.07 Ndeeba-Lubiri-24h'!D95,'27.07 Ndeeba-Lubiri-24h'!D95)</f>
        <v>0</v>
      </c>
      <c r="E95" s="49">
        <f>AVERAGE('26.07 Ndeeba-Lubiri-24h'!E95,'27.07 Ndeeba-Lubiri-24h'!E95)</f>
        <v>0.5</v>
      </c>
      <c r="F95" s="49">
        <f>AVERAGE('26.07 Ndeeba-Lubiri-24h'!F95,'27.07 Ndeeba-Lubiri-24h'!F95)</f>
        <v>1.5</v>
      </c>
      <c r="G95" s="49">
        <f>AVERAGE('26.07 Ndeeba-Lubiri-24h'!G95,'27.07 Ndeeba-Lubiri-24h'!G95)</f>
        <v>0</v>
      </c>
      <c r="H95" s="49">
        <f>AVERAGE('26.07 Ndeeba-Lubiri-24h'!H95,'27.07 Ndeeba-Lubiri-24h'!H95)</f>
        <v>0</v>
      </c>
      <c r="I95" s="49">
        <f>AVERAGE('26.07 Ndeeba-Lubiri-24h'!I95,'27.07 Ndeeba-Lubiri-24h'!I95)</f>
        <v>0.5</v>
      </c>
      <c r="J95" s="49">
        <f>AVERAGE('26.07 Ndeeba-Lubiri-24h'!J95,'27.07 Ndeeba-Lubiri-24h'!J95)</f>
        <v>1</v>
      </c>
      <c r="K95" s="49">
        <f>AVERAGE('26.07 Ndeeba-Lubiri-24h'!K95,'27.07 Ndeeba-Lubiri-24h'!K95)</f>
        <v>0</v>
      </c>
      <c r="L95" s="49">
        <f>AVERAGE('26.07 Ndeeba-Lubiri-24h'!L95,'27.07 Ndeeba-Lubiri-24h'!L95)</f>
        <v>0</v>
      </c>
      <c r="M95" s="49">
        <f>AVERAGE('26.07 Ndeeba-Lubiri-24h'!M95,'27.07 Ndeeba-Lubiri-24h'!M95)</f>
        <v>7</v>
      </c>
      <c r="N95" s="49">
        <f>AVERAGE('26.07 Ndeeba-Lubiri-24h'!N95,'27.07 Ndeeba-Lubiri-24h'!N95)</f>
        <v>0</v>
      </c>
      <c r="O95" s="15">
        <f t="shared" si="36"/>
        <v>4.5</v>
      </c>
      <c r="P95" s="15">
        <f t="shared" si="35"/>
        <v>11.5</v>
      </c>
      <c r="R95" s="8"/>
      <c r="T95"/>
    </row>
    <row r="96" spans="2:20" ht="23.1" customHeight="1" x14ac:dyDescent="0.25">
      <c r="B96" s="25" t="s">
        <v>136</v>
      </c>
      <c r="C96" s="49">
        <f>AVERAGE('26.07 Ndeeba-Lubiri-24h'!C96,'27.07 Ndeeba-Lubiri-24h'!C96)</f>
        <v>3.5</v>
      </c>
      <c r="D96" s="49">
        <f>AVERAGE('26.07 Ndeeba-Lubiri-24h'!D96,'27.07 Ndeeba-Lubiri-24h'!D96)</f>
        <v>0</v>
      </c>
      <c r="E96" s="49">
        <f>AVERAGE('26.07 Ndeeba-Lubiri-24h'!E96,'27.07 Ndeeba-Lubiri-24h'!E96)</f>
        <v>0.5</v>
      </c>
      <c r="F96" s="49">
        <f>AVERAGE('26.07 Ndeeba-Lubiri-24h'!F96,'27.07 Ndeeba-Lubiri-24h'!F96)</f>
        <v>0</v>
      </c>
      <c r="G96" s="49">
        <f>AVERAGE('26.07 Ndeeba-Lubiri-24h'!G96,'27.07 Ndeeba-Lubiri-24h'!G96)</f>
        <v>0</v>
      </c>
      <c r="H96" s="49">
        <f>AVERAGE('26.07 Ndeeba-Lubiri-24h'!H96,'27.07 Ndeeba-Lubiri-24h'!H96)</f>
        <v>0</v>
      </c>
      <c r="I96" s="49">
        <f>AVERAGE('26.07 Ndeeba-Lubiri-24h'!I96,'27.07 Ndeeba-Lubiri-24h'!I96)</f>
        <v>0</v>
      </c>
      <c r="J96" s="49">
        <f>AVERAGE('26.07 Ndeeba-Lubiri-24h'!J96,'27.07 Ndeeba-Lubiri-24h'!J96)</f>
        <v>1.5</v>
      </c>
      <c r="K96" s="49">
        <f>AVERAGE('26.07 Ndeeba-Lubiri-24h'!K96,'27.07 Ndeeba-Lubiri-24h'!K96)</f>
        <v>0.5</v>
      </c>
      <c r="L96" s="49">
        <f>AVERAGE('26.07 Ndeeba-Lubiri-24h'!L96,'27.07 Ndeeba-Lubiri-24h'!L96)</f>
        <v>0</v>
      </c>
      <c r="M96" s="49">
        <f>AVERAGE('26.07 Ndeeba-Lubiri-24h'!M96,'27.07 Ndeeba-Lubiri-24h'!M96)</f>
        <v>10</v>
      </c>
      <c r="N96" s="49">
        <f>AVERAGE('26.07 Ndeeba-Lubiri-24h'!N96,'27.07 Ndeeba-Lubiri-24h'!N96)</f>
        <v>0</v>
      </c>
      <c r="O96" s="15">
        <f t="shared" si="36"/>
        <v>6</v>
      </c>
      <c r="P96" s="15">
        <f t="shared" si="35"/>
        <v>16</v>
      </c>
      <c r="R96" s="8"/>
      <c r="T96"/>
    </row>
    <row r="97" spans="2:20" ht="23.1" customHeight="1" x14ac:dyDescent="0.25">
      <c r="B97" s="23" t="s">
        <v>137</v>
      </c>
      <c r="C97" s="49">
        <f>AVERAGE('26.07 Ndeeba-Lubiri-24h'!C97,'27.07 Ndeeba-Lubiri-24h'!C97)</f>
        <v>3.5</v>
      </c>
      <c r="D97" s="49">
        <f>AVERAGE('26.07 Ndeeba-Lubiri-24h'!D97,'27.07 Ndeeba-Lubiri-24h'!D97)</f>
        <v>0.5</v>
      </c>
      <c r="E97" s="49">
        <f>AVERAGE('26.07 Ndeeba-Lubiri-24h'!E97,'27.07 Ndeeba-Lubiri-24h'!E97)</f>
        <v>0</v>
      </c>
      <c r="F97" s="49">
        <f>AVERAGE('26.07 Ndeeba-Lubiri-24h'!F97,'27.07 Ndeeba-Lubiri-24h'!F97)</f>
        <v>1</v>
      </c>
      <c r="G97" s="49">
        <f>AVERAGE('26.07 Ndeeba-Lubiri-24h'!G97,'27.07 Ndeeba-Lubiri-24h'!G97)</f>
        <v>0</v>
      </c>
      <c r="H97" s="49">
        <f>AVERAGE('26.07 Ndeeba-Lubiri-24h'!H97,'27.07 Ndeeba-Lubiri-24h'!H97)</f>
        <v>0</v>
      </c>
      <c r="I97" s="49">
        <f>AVERAGE('26.07 Ndeeba-Lubiri-24h'!I97,'27.07 Ndeeba-Lubiri-24h'!I97)</f>
        <v>0</v>
      </c>
      <c r="J97" s="49">
        <f>AVERAGE('26.07 Ndeeba-Lubiri-24h'!J97,'27.07 Ndeeba-Lubiri-24h'!J97)</f>
        <v>2.5</v>
      </c>
      <c r="K97" s="49">
        <f>AVERAGE('26.07 Ndeeba-Lubiri-24h'!K97,'27.07 Ndeeba-Lubiri-24h'!K97)</f>
        <v>0</v>
      </c>
      <c r="L97" s="49">
        <f>AVERAGE('26.07 Ndeeba-Lubiri-24h'!L97,'27.07 Ndeeba-Lubiri-24h'!L97)</f>
        <v>0</v>
      </c>
      <c r="M97" s="49">
        <f>AVERAGE('26.07 Ndeeba-Lubiri-24h'!M97,'27.07 Ndeeba-Lubiri-24h'!M97)</f>
        <v>8.5</v>
      </c>
      <c r="N97" s="49">
        <f>AVERAGE('26.07 Ndeeba-Lubiri-24h'!N97,'27.07 Ndeeba-Lubiri-24h'!N97)</f>
        <v>0</v>
      </c>
      <c r="O97" s="15">
        <f t="shared" si="36"/>
        <v>7.5</v>
      </c>
      <c r="P97" s="15">
        <f t="shared" si="35"/>
        <v>16</v>
      </c>
      <c r="R97" s="8"/>
      <c r="T97"/>
    </row>
    <row r="98" spans="2:20" ht="23.1" customHeight="1" x14ac:dyDescent="0.25">
      <c r="B98" s="24" t="s">
        <v>138</v>
      </c>
      <c r="C98" s="49">
        <f>AVERAGE('26.07 Ndeeba-Lubiri-24h'!C98,'27.07 Ndeeba-Lubiri-24h'!C98)</f>
        <v>2.5</v>
      </c>
      <c r="D98" s="49">
        <f>AVERAGE('26.07 Ndeeba-Lubiri-24h'!D98,'27.07 Ndeeba-Lubiri-24h'!D98)</f>
        <v>1</v>
      </c>
      <c r="E98" s="49">
        <f>AVERAGE('26.07 Ndeeba-Lubiri-24h'!E98,'27.07 Ndeeba-Lubiri-24h'!E98)</f>
        <v>1.5</v>
      </c>
      <c r="F98" s="49">
        <f>AVERAGE('26.07 Ndeeba-Lubiri-24h'!F98,'27.07 Ndeeba-Lubiri-24h'!F98)</f>
        <v>0.5</v>
      </c>
      <c r="G98" s="49">
        <f>AVERAGE('26.07 Ndeeba-Lubiri-24h'!G98,'27.07 Ndeeba-Lubiri-24h'!G98)</f>
        <v>0</v>
      </c>
      <c r="H98" s="49">
        <f>AVERAGE('26.07 Ndeeba-Lubiri-24h'!H98,'27.07 Ndeeba-Lubiri-24h'!H98)</f>
        <v>0</v>
      </c>
      <c r="I98" s="49">
        <f>AVERAGE('26.07 Ndeeba-Lubiri-24h'!I98,'27.07 Ndeeba-Lubiri-24h'!I98)</f>
        <v>0.5</v>
      </c>
      <c r="J98" s="49">
        <f>AVERAGE('26.07 Ndeeba-Lubiri-24h'!J98,'27.07 Ndeeba-Lubiri-24h'!J98)</f>
        <v>1</v>
      </c>
      <c r="K98" s="49">
        <f>AVERAGE('26.07 Ndeeba-Lubiri-24h'!K98,'27.07 Ndeeba-Lubiri-24h'!K98)</f>
        <v>0</v>
      </c>
      <c r="L98" s="49">
        <f>AVERAGE('26.07 Ndeeba-Lubiri-24h'!L98,'27.07 Ndeeba-Lubiri-24h'!L98)</f>
        <v>0.5</v>
      </c>
      <c r="M98" s="49">
        <f>AVERAGE('26.07 Ndeeba-Lubiri-24h'!M98,'27.07 Ndeeba-Lubiri-24h'!M98)</f>
        <v>11.5</v>
      </c>
      <c r="N98" s="49">
        <f>AVERAGE('26.07 Ndeeba-Lubiri-24h'!N98,'27.07 Ndeeba-Lubiri-24h'!N98)</f>
        <v>0</v>
      </c>
      <c r="O98" s="15">
        <f t="shared" si="36"/>
        <v>7.5</v>
      </c>
      <c r="P98" s="15">
        <f t="shared" si="35"/>
        <v>19</v>
      </c>
      <c r="R98" s="8"/>
      <c r="T98"/>
    </row>
    <row r="99" spans="2:20" ht="23.1" customHeight="1" x14ac:dyDescent="0.25">
      <c r="B99" s="23" t="s">
        <v>139</v>
      </c>
      <c r="C99" s="49">
        <f>AVERAGE('26.07 Ndeeba-Lubiri-24h'!C99,'27.07 Ndeeba-Lubiri-24h'!C99)</f>
        <v>6</v>
      </c>
      <c r="D99" s="49">
        <f>AVERAGE('26.07 Ndeeba-Lubiri-24h'!D99,'27.07 Ndeeba-Lubiri-24h'!D99)</f>
        <v>0.5</v>
      </c>
      <c r="E99" s="49">
        <f>AVERAGE('26.07 Ndeeba-Lubiri-24h'!E99,'27.07 Ndeeba-Lubiri-24h'!E99)</f>
        <v>2</v>
      </c>
      <c r="F99" s="49">
        <f>AVERAGE('26.07 Ndeeba-Lubiri-24h'!F99,'27.07 Ndeeba-Lubiri-24h'!F99)</f>
        <v>0</v>
      </c>
      <c r="G99" s="49">
        <f>AVERAGE('26.07 Ndeeba-Lubiri-24h'!G99,'27.07 Ndeeba-Lubiri-24h'!G99)</f>
        <v>0</v>
      </c>
      <c r="H99" s="49">
        <f>AVERAGE('26.07 Ndeeba-Lubiri-24h'!H99,'27.07 Ndeeba-Lubiri-24h'!H99)</f>
        <v>0</v>
      </c>
      <c r="I99" s="49">
        <f>AVERAGE('26.07 Ndeeba-Lubiri-24h'!I99,'27.07 Ndeeba-Lubiri-24h'!I99)</f>
        <v>0.5</v>
      </c>
      <c r="J99" s="49">
        <f>AVERAGE('26.07 Ndeeba-Lubiri-24h'!J99,'27.07 Ndeeba-Lubiri-24h'!J99)</f>
        <v>0.5</v>
      </c>
      <c r="K99" s="49">
        <f>AVERAGE('26.07 Ndeeba-Lubiri-24h'!K99,'27.07 Ndeeba-Lubiri-24h'!K99)</f>
        <v>0</v>
      </c>
      <c r="L99" s="49">
        <f>AVERAGE('26.07 Ndeeba-Lubiri-24h'!L99,'27.07 Ndeeba-Lubiri-24h'!L99)</f>
        <v>0</v>
      </c>
      <c r="M99" s="49">
        <f>AVERAGE('26.07 Ndeeba-Lubiri-24h'!M99,'27.07 Ndeeba-Lubiri-24h'!M99)</f>
        <v>10.5</v>
      </c>
      <c r="N99" s="49">
        <f>AVERAGE('26.07 Ndeeba-Lubiri-24h'!N99,'27.07 Ndeeba-Lubiri-24h'!N99)</f>
        <v>0</v>
      </c>
      <c r="O99" s="15">
        <f t="shared" si="36"/>
        <v>9.5</v>
      </c>
      <c r="P99" s="15">
        <f t="shared" si="35"/>
        <v>20</v>
      </c>
      <c r="R99" s="8"/>
      <c r="T99"/>
    </row>
    <row r="100" spans="2:20" ht="23.1" customHeight="1" x14ac:dyDescent="0.25">
      <c r="B100" s="25" t="s">
        <v>140</v>
      </c>
      <c r="C100" s="49">
        <f>AVERAGE('26.07 Ndeeba-Lubiri-24h'!C100,'27.07 Ndeeba-Lubiri-24h'!C100)</f>
        <v>4</v>
      </c>
      <c r="D100" s="49">
        <f>AVERAGE('26.07 Ndeeba-Lubiri-24h'!D100,'27.07 Ndeeba-Lubiri-24h'!D100)</f>
        <v>2</v>
      </c>
      <c r="E100" s="49">
        <f>AVERAGE('26.07 Ndeeba-Lubiri-24h'!E100,'27.07 Ndeeba-Lubiri-24h'!E100)</f>
        <v>0</v>
      </c>
      <c r="F100" s="49">
        <f>AVERAGE('26.07 Ndeeba-Lubiri-24h'!F100,'27.07 Ndeeba-Lubiri-24h'!F100)</f>
        <v>0</v>
      </c>
      <c r="G100" s="49">
        <f>AVERAGE('26.07 Ndeeba-Lubiri-24h'!G100,'27.07 Ndeeba-Lubiri-24h'!G100)</f>
        <v>0</v>
      </c>
      <c r="H100" s="49">
        <f>AVERAGE('26.07 Ndeeba-Lubiri-24h'!H100,'27.07 Ndeeba-Lubiri-24h'!H100)</f>
        <v>0</v>
      </c>
      <c r="I100" s="49">
        <f>AVERAGE('26.07 Ndeeba-Lubiri-24h'!I100,'27.07 Ndeeba-Lubiri-24h'!I100)</f>
        <v>0.5</v>
      </c>
      <c r="J100" s="49">
        <f>AVERAGE('26.07 Ndeeba-Lubiri-24h'!J100,'27.07 Ndeeba-Lubiri-24h'!J100)</f>
        <v>0.5</v>
      </c>
      <c r="K100" s="49">
        <f>AVERAGE('26.07 Ndeeba-Lubiri-24h'!K100,'27.07 Ndeeba-Lubiri-24h'!K100)</f>
        <v>0</v>
      </c>
      <c r="L100" s="49">
        <f>AVERAGE('26.07 Ndeeba-Lubiri-24h'!L100,'27.07 Ndeeba-Lubiri-24h'!L100)</f>
        <v>0</v>
      </c>
      <c r="M100" s="49">
        <f>AVERAGE('26.07 Ndeeba-Lubiri-24h'!M100,'27.07 Ndeeba-Lubiri-24h'!M100)</f>
        <v>11.5</v>
      </c>
      <c r="N100" s="49">
        <f>AVERAGE('26.07 Ndeeba-Lubiri-24h'!N100,'27.07 Ndeeba-Lubiri-24h'!N100)</f>
        <v>0</v>
      </c>
      <c r="O100" s="15">
        <f t="shared" si="36"/>
        <v>7</v>
      </c>
      <c r="P100" s="15">
        <f t="shared" si="35"/>
        <v>18.5</v>
      </c>
      <c r="R100" s="8"/>
      <c r="T100"/>
    </row>
    <row r="101" spans="2:20" ht="23.1" customHeight="1" x14ac:dyDescent="0.25">
      <c r="B101" s="23" t="s">
        <v>141</v>
      </c>
      <c r="C101" s="49">
        <f>AVERAGE('26.07 Ndeeba-Lubiri-24h'!C101,'27.07 Ndeeba-Lubiri-24h'!C101)</f>
        <v>4</v>
      </c>
      <c r="D101" s="49">
        <f>AVERAGE('26.07 Ndeeba-Lubiri-24h'!D101,'27.07 Ndeeba-Lubiri-24h'!D101)</f>
        <v>2</v>
      </c>
      <c r="E101" s="49">
        <f>AVERAGE('26.07 Ndeeba-Lubiri-24h'!E101,'27.07 Ndeeba-Lubiri-24h'!E101)</f>
        <v>0.5</v>
      </c>
      <c r="F101" s="49">
        <f>AVERAGE('26.07 Ndeeba-Lubiri-24h'!F101,'27.07 Ndeeba-Lubiri-24h'!F101)</f>
        <v>0</v>
      </c>
      <c r="G101" s="49">
        <f>AVERAGE('26.07 Ndeeba-Lubiri-24h'!G101,'27.07 Ndeeba-Lubiri-24h'!G101)</f>
        <v>0.5</v>
      </c>
      <c r="H101" s="49">
        <f>AVERAGE('26.07 Ndeeba-Lubiri-24h'!H101,'27.07 Ndeeba-Lubiri-24h'!H101)</f>
        <v>0</v>
      </c>
      <c r="I101" s="49">
        <f>AVERAGE('26.07 Ndeeba-Lubiri-24h'!I101,'27.07 Ndeeba-Lubiri-24h'!I101)</f>
        <v>1</v>
      </c>
      <c r="J101" s="49">
        <f>AVERAGE('26.07 Ndeeba-Lubiri-24h'!J101,'27.07 Ndeeba-Lubiri-24h'!J101)</f>
        <v>0</v>
      </c>
      <c r="K101" s="49">
        <f>AVERAGE('26.07 Ndeeba-Lubiri-24h'!K101,'27.07 Ndeeba-Lubiri-24h'!K101)</f>
        <v>0</v>
      </c>
      <c r="L101" s="49">
        <f>AVERAGE('26.07 Ndeeba-Lubiri-24h'!L101,'27.07 Ndeeba-Lubiri-24h'!L101)</f>
        <v>0</v>
      </c>
      <c r="M101" s="49">
        <f>AVERAGE('26.07 Ndeeba-Lubiri-24h'!M101,'27.07 Ndeeba-Lubiri-24h'!M101)</f>
        <v>15</v>
      </c>
      <c r="N101" s="49">
        <f>AVERAGE('26.07 Ndeeba-Lubiri-24h'!N101,'27.07 Ndeeba-Lubiri-24h'!N101)</f>
        <v>0</v>
      </c>
      <c r="O101" s="15">
        <f t="shared" si="36"/>
        <v>8</v>
      </c>
      <c r="P101" s="15">
        <f t="shared" si="35"/>
        <v>23</v>
      </c>
      <c r="R101" s="8"/>
      <c r="T101"/>
    </row>
    <row r="102" spans="2:20" ht="23.1" customHeight="1" x14ac:dyDescent="0.25">
      <c r="B102" s="24" t="s">
        <v>142</v>
      </c>
      <c r="C102" s="49">
        <f>AVERAGE('26.07 Ndeeba-Lubiri-24h'!C102,'27.07 Ndeeba-Lubiri-24h'!C102)</f>
        <v>4.5</v>
      </c>
      <c r="D102" s="49">
        <f>AVERAGE('26.07 Ndeeba-Lubiri-24h'!D102,'27.07 Ndeeba-Lubiri-24h'!D102)</f>
        <v>1</v>
      </c>
      <c r="E102" s="49">
        <f>AVERAGE('26.07 Ndeeba-Lubiri-24h'!E102,'27.07 Ndeeba-Lubiri-24h'!E102)</f>
        <v>0.5</v>
      </c>
      <c r="F102" s="49">
        <f>AVERAGE('26.07 Ndeeba-Lubiri-24h'!F102,'27.07 Ndeeba-Lubiri-24h'!F102)</f>
        <v>0</v>
      </c>
      <c r="G102" s="49">
        <f>AVERAGE('26.07 Ndeeba-Lubiri-24h'!G102,'27.07 Ndeeba-Lubiri-24h'!G102)</f>
        <v>0</v>
      </c>
      <c r="H102" s="49">
        <f>AVERAGE('26.07 Ndeeba-Lubiri-24h'!H102,'27.07 Ndeeba-Lubiri-24h'!H102)</f>
        <v>0</v>
      </c>
      <c r="I102" s="49">
        <f>AVERAGE('26.07 Ndeeba-Lubiri-24h'!I102,'27.07 Ndeeba-Lubiri-24h'!I102)</f>
        <v>0.5</v>
      </c>
      <c r="J102" s="49">
        <f>AVERAGE('26.07 Ndeeba-Lubiri-24h'!J102,'27.07 Ndeeba-Lubiri-24h'!J102)</f>
        <v>0</v>
      </c>
      <c r="K102" s="49">
        <f>AVERAGE('26.07 Ndeeba-Lubiri-24h'!K102,'27.07 Ndeeba-Lubiri-24h'!K102)</f>
        <v>0.5</v>
      </c>
      <c r="L102" s="49">
        <f>AVERAGE('26.07 Ndeeba-Lubiri-24h'!L102,'27.07 Ndeeba-Lubiri-24h'!L102)</f>
        <v>0</v>
      </c>
      <c r="M102" s="49">
        <f>AVERAGE('26.07 Ndeeba-Lubiri-24h'!M102,'27.07 Ndeeba-Lubiri-24h'!M102)</f>
        <v>16</v>
      </c>
      <c r="N102" s="49">
        <f>AVERAGE('26.07 Ndeeba-Lubiri-24h'!N102,'27.07 Ndeeba-Lubiri-24h'!N102)</f>
        <v>0</v>
      </c>
      <c r="O102" s="15">
        <f t="shared" si="36"/>
        <v>7</v>
      </c>
      <c r="P102" s="15">
        <f t="shared" si="35"/>
        <v>23</v>
      </c>
      <c r="R102" s="8"/>
      <c r="T102"/>
    </row>
    <row r="103" spans="2:20" ht="23.1" customHeight="1" x14ac:dyDescent="0.25">
      <c r="B103" s="23" t="s">
        <v>143</v>
      </c>
      <c r="C103" s="49">
        <f>AVERAGE('26.07 Ndeeba-Lubiri-24h'!C103,'27.07 Ndeeba-Lubiri-24h'!C103)</f>
        <v>7</v>
      </c>
      <c r="D103" s="49">
        <f>AVERAGE('26.07 Ndeeba-Lubiri-24h'!D103,'27.07 Ndeeba-Lubiri-24h'!D103)</f>
        <v>2</v>
      </c>
      <c r="E103" s="49">
        <f>AVERAGE('26.07 Ndeeba-Lubiri-24h'!E103,'27.07 Ndeeba-Lubiri-24h'!E103)</f>
        <v>1</v>
      </c>
      <c r="F103" s="49">
        <f>AVERAGE('26.07 Ndeeba-Lubiri-24h'!F103,'27.07 Ndeeba-Lubiri-24h'!F103)</f>
        <v>0</v>
      </c>
      <c r="G103" s="49">
        <f>AVERAGE('26.07 Ndeeba-Lubiri-24h'!G103,'27.07 Ndeeba-Lubiri-24h'!G103)</f>
        <v>0</v>
      </c>
      <c r="H103" s="49">
        <f>AVERAGE('26.07 Ndeeba-Lubiri-24h'!H103,'27.07 Ndeeba-Lubiri-24h'!H103)</f>
        <v>0</v>
      </c>
      <c r="I103" s="49">
        <f>AVERAGE('26.07 Ndeeba-Lubiri-24h'!I103,'27.07 Ndeeba-Lubiri-24h'!I103)</f>
        <v>0</v>
      </c>
      <c r="J103" s="49">
        <f>AVERAGE('26.07 Ndeeba-Lubiri-24h'!J103,'27.07 Ndeeba-Lubiri-24h'!J103)</f>
        <v>0</v>
      </c>
      <c r="K103" s="49">
        <f>AVERAGE('26.07 Ndeeba-Lubiri-24h'!K103,'27.07 Ndeeba-Lubiri-24h'!K103)</f>
        <v>0.5</v>
      </c>
      <c r="L103" s="49">
        <f>AVERAGE('26.07 Ndeeba-Lubiri-24h'!L103,'27.07 Ndeeba-Lubiri-24h'!L103)</f>
        <v>0</v>
      </c>
      <c r="M103" s="49">
        <f>AVERAGE('26.07 Ndeeba-Lubiri-24h'!M103,'27.07 Ndeeba-Lubiri-24h'!M103)</f>
        <v>16.5</v>
      </c>
      <c r="N103" s="49">
        <f>AVERAGE('26.07 Ndeeba-Lubiri-24h'!N103,'27.07 Ndeeba-Lubiri-24h'!N103)</f>
        <v>0</v>
      </c>
      <c r="O103" s="15">
        <f t="shared" si="36"/>
        <v>10.5</v>
      </c>
      <c r="P103" s="15">
        <f t="shared" si="35"/>
        <v>27</v>
      </c>
      <c r="R103" s="8"/>
      <c r="T103"/>
    </row>
    <row r="104" spans="2:20" ht="23.1" customHeight="1" x14ac:dyDescent="0.25">
      <c r="B104" s="25" t="s">
        <v>144</v>
      </c>
      <c r="C104" s="49">
        <f>AVERAGE('26.07 Ndeeba-Lubiri-24h'!C104,'27.07 Ndeeba-Lubiri-24h'!C104)</f>
        <v>3.5</v>
      </c>
      <c r="D104" s="49">
        <f>AVERAGE('26.07 Ndeeba-Lubiri-24h'!D104,'27.07 Ndeeba-Lubiri-24h'!D104)</f>
        <v>1</v>
      </c>
      <c r="E104" s="49">
        <f>AVERAGE('26.07 Ndeeba-Lubiri-24h'!E104,'27.07 Ndeeba-Lubiri-24h'!E104)</f>
        <v>1.5</v>
      </c>
      <c r="F104" s="49">
        <f>AVERAGE('26.07 Ndeeba-Lubiri-24h'!F104,'27.07 Ndeeba-Lubiri-24h'!F104)</f>
        <v>2.5</v>
      </c>
      <c r="G104" s="49">
        <f>AVERAGE('26.07 Ndeeba-Lubiri-24h'!G104,'27.07 Ndeeba-Lubiri-24h'!G104)</f>
        <v>0</v>
      </c>
      <c r="H104" s="49">
        <f>AVERAGE('26.07 Ndeeba-Lubiri-24h'!H104,'27.07 Ndeeba-Lubiri-24h'!H104)</f>
        <v>0</v>
      </c>
      <c r="I104" s="49">
        <f>AVERAGE('26.07 Ndeeba-Lubiri-24h'!I104,'27.07 Ndeeba-Lubiri-24h'!I104)</f>
        <v>1</v>
      </c>
      <c r="J104" s="49">
        <f>AVERAGE('26.07 Ndeeba-Lubiri-24h'!J104,'27.07 Ndeeba-Lubiri-24h'!J104)</f>
        <v>1</v>
      </c>
      <c r="K104" s="49">
        <f>AVERAGE('26.07 Ndeeba-Lubiri-24h'!K104,'27.07 Ndeeba-Lubiri-24h'!K104)</f>
        <v>0</v>
      </c>
      <c r="L104" s="49">
        <f>AVERAGE('26.07 Ndeeba-Lubiri-24h'!L104,'27.07 Ndeeba-Lubiri-24h'!L104)</f>
        <v>0</v>
      </c>
      <c r="M104" s="49">
        <f>AVERAGE('26.07 Ndeeba-Lubiri-24h'!M104,'27.07 Ndeeba-Lubiri-24h'!M104)</f>
        <v>11</v>
      </c>
      <c r="N104" s="49">
        <f>AVERAGE('26.07 Ndeeba-Lubiri-24h'!N104,'27.07 Ndeeba-Lubiri-24h'!N104)</f>
        <v>0</v>
      </c>
      <c r="O104" s="15">
        <f t="shared" si="36"/>
        <v>10.5</v>
      </c>
      <c r="P104" s="15">
        <f t="shared" si="35"/>
        <v>21.5</v>
      </c>
      <c r="R104" s="8"/>
      <c r="T104"/>
    </row>
    <row r="105" spans="2:20" ht="23.1" customHeight="1" x14ac:dyDescent="0.25">
      <c r="B105" s="23" t="s">
        <v>145</v>
      </c>
      <c r="C105" s="49">
        <f>AVERAGE('26.07 Ndeeba-Lubiri-24h'!C105,'27.07 Ndeeba-Lubiri-24h'!C105)</f>
        <v>17</v>
      </c>
      <c r="D105" s="49">
        <f>AVERAGE('26.07 Ndeeba-Lubiri-24h'!D105,'27.07 Ndeeba-Lubiri-24h'!D105)</f>
        <v>1</v>
      </c>
      <c r="E105" s="49">
        <f>AVERAGE('26.07 Ndeeba-Lubiri-24h'!E105,'27.07 Ndeeba-Lubiri-24h'!E105)</f>
        <v>1.5</v>
      </c>
      <c r="F105" s="49">
        <f>AVERAGE('26.07 Ndeeba-Lubiri-24h'!F105,'27.07 Ndeeba-Lubiri-24h'!F105)</f>
        <v>4</v>
      </c>
      <c r="G105" s="49">
        <f>AVERAGE('26.07 Ndeeba-Lubiri-24h'!G105,'27.07 Ndeeba-Lubiri-24h'!G105)</f>
        <v>0</v>
      </c>
      <c r="H105" s="49">
        <f>AVERAGE('26.07 Ndeeba-Lubiri-24h'!H105,'27.07 Ndeeba-Lubiri-24h'!H105)</f>
        <v>0</v>
      </c>
      <c r="I105" s="49">
        <f>AVERAGE('26.07 Ndeeba-Lubiri-24h'!I105,'27.07 Ndeeba-Lubiri-24h'!I105)</f>
        <v>1.5</v>
      </c>
      <c r="J105" s="49">
        <f>AVERAGE('26.07 Ndeeba-Lubiri-24h'!J105,'27.07 Ndeeba-Lubiri-24h'!J105)</f>
        <v>0.5</v>
      </c>
      <c r="K105" s="49">
        <f>AVERAGE('26.07 Ndeeba-Lubiri-24h'!K105,'27.07 Ndeeba-Lubiri-24h'!K105)</f>
        <v>0.5</v>
      </c>
      <c r="L105" s="49">
        <f>AVERAGE('26.07 Ndeeba-Lubiri-24h'!L105,'27.07 Ndeeba-Lubiri-24h'!L105)</f>
        <v>0</v>
      </c>
      <c r="M105" s="49">
        <f>AVERAGE('26.07 Ndeeba-Lubiri-24h'!M105,'27.07 Ndeeba-Lubiri-24h'!M105)</f>
        <v>28</v>
      </c>
      <c r="N105" s="49">
        <f>AVERAGE('26.07 Ndeeba-Lubiri-24h'!N105,'27.07 Ndeeba-Lubiri-24h'!N105)</f>
        <v>0</v>
      </c>
      <c r="O105" s="15">
        <f t="shared" si="36"/>
        <v>26</v>
      </c>
      <c r="P105" s="15">
        <f t="shared" si="35"/>
        <v>54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5197.7857142857138</v>
      </c>
      <c r="D106" s="16">
        <f t="shared" ref="D106:P106" si="37">SUM(D10:D105)</f>
        <v>636</v>
      </c>
      <c r="E106" s="16">
        <f t="shared" si="37"/>
        <v>461.64285714285722</v>
      </c>
      <c r="F106" s="16">
        <f t="shared" si="37"/>
        <v>1053.5714285714287</v>
      </c>
      <c r="G106" s="16">
        <f t="shared" si="37"/>
        <v>35</v>
      </c>
      <c r="H106" s="16">
        <f t="shared" si="37"/>
        <v>17.857142857142854</v>
      </c>
      <c r="I106" s="16">
        <f t="shared" si="37"/>
        <v>315.71428571428567</v>
      </c>
      <c r="J106" s="16">
        <f t="shared" si="37"/>
        <v>191.85714285714289</v>
      </c>
      <c r="K106" s="16">
        <f t="shared" si="37"/>
        <v>46.357142857142854</v>
      </c>
      <c r="L106" s="16">
        <f t="shared" si="37"/>
        <v>64.142857142857181</v>
      </c>
      <c r="M106" s="16">
        <f t="shared" si="37"/>
        <v>11978.642857142857</v>
      </c>
      <c r="N106" s="16">
        <f t="shared" si="37"/>
        <v>0.85714285714285698</v>
      </c>
      <c r="O106" s="16">
        <f t="shared" si="37"/>
        <v>8020.6428571428542</v>
      </c>
      <c r="P106" s="16">
        <f t="shared" si="37"/>
        <v>19999.285714285717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0.25989856780599302</v>
      </c>
      <c r="D107" s="43">
        <f t="shared" si="38"/>
        <v>3.1801135754848379E-2</v>
      </c>
      <c r="E107" s="43">
        <f t="shared" si="38"/>
        <v>2.3082967248830317E-2</v>
      </c>
      <c r="F107" s="43">
        <f t="shared" si="38"/>
        <v>5.2680452873316901E-2</v>
      </c>
      <c r="G107" s="43">
        <f t="shared" si="38"/>
        <v>1.7500625022322223E-3</v>
      </c>
      <c r="H107" s="43">
        <f t="shared" si="38"/>
        <v>8.9288903175113363E-4</v>
      </c>
      <c r="I107" s="43">
        <f t="shared" si="38"/>
        <v>1.5786278081360045E-2</v>
      </c>
      <c r="J107" s="43">
        <f t="shared" si="38"/>
        <v>9.5931997571341836E-3</v>
      </c>
      <c r="K107" s="43">
        <f t="shared" si="38"/>
        <v>2.3179399264259431E-3</v>
      </c>
      <c r="L107" s="43">
        <f t="shared" si="38"/>
        <v>3.2072574020500745E-3</v>
      </c>
      <c r="M107" s="43">
        <f t="shared" si="38"/>
        <v>0.59895353405478757</v>
      </c>
      <c r="N107" s="43">
        <f t="shared" si="38"/>
        <v>4.2858673524054415E-5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0.64805101122995146</v>
      </c>
      <c r="D108" s="44">
        <f t="shared" ref="D108:N108" si="39">D106/$O$106</f>
        <v>7.9295389575114242E-2</v>
      </c>
      <c r="E108" s="44">
        <f t="shared" si="39"/>
        <v>5.7556839939798231E-2</v>
      </c>
      <c r="F108" s="44">
        <f t="shared" si="39"/>
        <v>0.13135747936129102</v>
      </c>
      <c r="G108" s="44">
        <f t="shared" si="39"/>
        <v>4.3637399923411929E-3</v>
      </c>
      <c r="H108" s="44">
        <f t="shared" si="39"/>
        <v>2.2263979552761184E-3</v>
      </c>
      <c r="I108" s="44">
        <f t="shared" si="39"/>
        <v>3.9362715849281769E-2</v>
      </c>
      <c r="J108" s="44">
        <f t="shared" si="39"/>
        <v>2.3920419631486622E-2</v>
      </c>
      <c r="K108" s="44">
        <f t="shared" si="39"/>
        <v>5.7797290918968035E-3</v>
      </c>
      <c r="L108" s="44">
        <f t="shared" si="39"/>
        <v>7.9972214553518228E-3</v>
      </c>
      <c r="M108" s="44"/>
      <c r="N108" s="44">
        <f t="shared" si="39"/>
        <v>1.0686710185325367E-4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tabSelected="1" view="pageBreakPreview" topLeftCell="A43" zoomScale="50" zoomScaleSheetLayoutView="50" workbookViewId="0">
      <selection activeCell="AD50" sqref="AD5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19" customWidth="1"/>
    <col min="21" max="28" width="10.7109375" customWidth="1"/>
    <col min="29" max="29" width="12.42578125" customWidth="1"/>
    <col min="30" max="31" width="10.7109375" customWidth="1"/>
    <col min="32" max="32" width="12.42578125" customWidth="1"/>
  </cols>
  <sheetData>
    <row r="1" spans="2:32" ht="23.25" customHeight="1" x14ac:dyDescent="0.3">
      <c r="B1" s="65" t="s">
        <v>23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</row>
    <row r="2" spans="2:32" ht="20.100000000000001" customHeight="1" x14ac:dyDescent="0.25">
      <c r="B2" s="66" t="s">
        <v>95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</row>
    <row r="3" spans="2:32" ht="20.100000000000001" customHeight="1" x14ac:dyDescent="0.25">
      <c r="B3" s="22" t="s">
        <v>96</v>
      </c>
      <c r="C3" s="70" t="str">
        <f>'28.07 Ndeeba-Lubiri'!C3:G3</f>
        <v>MCC - C1 - STN03- KALINDA ROAD</v>
      </c>
      <c r="D3" s="70"/>
      <c r="E3" s="70"/>
      <c r="F3" s="70"/>
      <c r="G3" s="7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2" t="s">
        <v>3</v>
      </c>
      <c r="D5" s="73" t="s">
        <v>169</v>
      </c>
      <c r="E5" s="74"/>
      <c r="F5" s="41" t="s">
        <v>1</v>
      </c>
      <c r="G5" s="71" t="str">
        <f>'28.07 Ndeeba-Lubiri'!G5:H5</f>
        <v>Before Shell</v>
      </c>
      <c r="H5" s="72"/>
      <c r="I5" s="14"/>
      <c r="J5" s="2" t="s">
        <v>5</v>
      </c>
      <c r="K5" s="71" t="str">
        <f>'28.07 Ndeeba-Lubiri'!K5:L5</f>
        <v>Kizito Geofrey</v>
      </c>
      <c r="L5" s="72"/>
      <c r="M5" s="19"/>
      <c r="N5" s="19"/>
    </row>
    <row r="6" spans="2:32" ht="23.25" customHeight="1" x14ac:dyDescent="0.25">
      <c r="C6" s="2" t="s">
        <v>4</v>
      </c>
      <c r="D6" s="75" t="s">
        <v>161</v>
      </c>
      <c r="E6" s="76"/>
      <c r="F6" s="2" t="s">
        <v>2</v>
      </c>
      <c r="G6" s="75" t="s">
        <v>161</v>
      </c>
      <c r="H6" s="76"/>
      <c r="J6" s="2" t="s">
        <v>21</v>
      </c>
      <c r="K6" s="71" t="str">
        <f>'28.07 Ndeeba-Lubiri'!K6:L6</f>
        <v>Denis</v>
      </c>
      <c r="L6" s="72"/>
      <c r="M6" s="19"/>
      <c r="N6" s="19"/>
    </row>
    <row r="7" spans="2:32" ht="20.100000000000001" customHeight="1" x14ac:dyDescent="0.25">
      <c r="B7" s="2"/>
      <c r="I7" s="2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7" t="s">
        <v>88</v>
      </c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Lubiri-Ndeeba'!C10+'Avg Week Ndeeba-Lubiri'!C10</f>
        <v>112.85714285714286</v>
      </c>
      <c r="D10" s="49">
        <f>'Avg Week Lubiri-Ndeeba'!D10+'Avg Week Ndeeba-Lubiri'!D10</f>
        <v>17</v>
      </c>
      <c r="E10" s="49">
        <f>'Avg Week Lubiri-Ndeeba'!E10+'Avg Week Ndeeba-Lubiri'!E10</f>
        <v>12.571428571428571</v>
      </c>
      <c r="F10" s="49">
        <f>'Avg Week Lubiri-Ndeeba'!F10+'Avg Week Ndeeba-Lubiri'!F10</f>
        <v>46</v>
      </c>
      <c r="G10" s="49">
        <f>'Avg Week Lubiri-Ndeeba'!G10+'Avg Week Ndeeba-Lubiri'!G10</f>
        <v>0.71428571428571419</v>
      </c>
      <c r="H10" s="49">
        <f>'Avg Week Lubiri-Ndeeba'!H10+'Avg Week Ndeeba-Lubiri'!H10</f>
        <v>0.71428571428571419</v>
      </c>
      <c r="I10" s="49">
        <f>'Avg Week Lubiri-Ndeeba'!I10+'Avg Week Ndeeba-Lubiri'!I10</f>
        <v>5</v>
      </c>
      <c r="J10" s="49">
        <f>'Avg Week Lubiri-Ndeeba'!J10+'Avg Week Ndeeba-Lubiri'!J10</f>
        <v>3.5714285714285716</v>
      </c>
      <c r="K10" s="49">
        <f>'Avg Week Lubiri-Ndeeba'!K10+'Avg Week Ndeeba-Lubiri'!K10</f>
        <v>0.42857142857142855</v>
      </c>
      <c r="L10" s="49">
        <f>'Avg Week Lubiri-Ndeeba'!L10+'Avg Week Ndeeba-Lubiri'!L10</f>
        <v>0.42857142857142855</v>
      </c>
      <c r="M10" s="49">
        <f>'Avg Week Lubiri-Ndeeba'!M10+'Avg Week Ndeeba-Lubiri'!M10</f>
        <v>218.71428571428572</v>
      </c>
      <c r="N10" s="49">
        <f>'Avg Week Lubiri-Ndeeba'!N10+'Avg Week Ndeeba-Lubiri'!N10</f>
        <v>0</v>
      </c>
      <c r="O10" s="17">
        <f t="shared" ref="O10:O73" si="0">SUM(C10:L10,N10)</f>
        <v>199.28571428571431</v>
      </c>
      <c r="P10" s="17">
        <f t="shared" ref="P10:P73" si="1">SUM(C10:N10)</f>
        <v>418</v>
      </c>
      <c r="R10" s="1" t="s">
        <v>6</v>
      </c>
      <c r="S10" s="17">
        <f t="shared" ref="S10:AF10" si="2">SUM(C10:C13)</f>
        <v>478.85714285714289</v>
      </c>
      <c r="T10" s="17">
        <f t="shared" si="2"/>
        <v>57.285714285714278</v>
      </c>
      <c r="U10" s="17">
        <f t="shared" si="2"/>
        <v>51</v>
      </c>
      <c r="V10" s="17">
        <f t="shared" si="2"/>
        <v>195</v>
      </c>
      <c r="W10" s="17">
        <f t="shared" si="2"/>
        <v>8.1428571428571423</v>
      </c>
      <c r="X10" s="17">
        <f t="shared" si="2"/>
        <v>0.99999999999999978</v>
      </c>
      <c r="Y10" s="17">
        <f t="shared" si="2"/>
        <v>25.285714285714285</v>
      </c>
      <c r="Z10" s="17">
        <f t="shared" si="2"/>
        <v>14.142857142857142</v>
      </c>
      <c r="AA10" s="17">
        <f t="shared" si="2"/>
        <v>7.8571428571428568</v>
      </c>
      <c r="AB10" s="17">
        <f t="shared" si="2"/>
        <v>37.428571428571431</v>
      </c>
      <c r="AC10" s="17">
        <f t="shared" si="2"/>
        <v>1133.7142857142858</v>
      </c>
      <c r="AD10" s="17">
        <f t="shared" si="2"/>
        <v>0</v>
      </c>
      <c r="AE10" s="31">
        <f t="shared" si="2"/>
        <v>876.00000000000011</v>
      </c>
      <c r="AF10" s="31">
        <f t="shared" si="2"/>
        <v>2009.7142857142858</v>
      </c>
    </row>
    <row r="11" spans="2:32" s="6" customFormat="1" ht="23.1" customHeight="1" x14ac:dyDescent="0.25">
      <c r="B11" s="23" t="s">
        <v>38</v>
      </c>
      <c r="C11" s="49">
        <f>'Avg Week Lubiri-Ndeeba'!C11+'Avg Week Ndeeba-Lubiri'!C11</f>
        <v>129</v>
      </c>
      <c r="D11" s="49">
        <f>'Avg Week Lubiri-Ndeeba'!D11+'Avg Week Ndeeba-Lubiri'!D11</f>
        <v>14.285714285714285</v>
      </c>
      <c r="E11" s="49">
        <f>'Avg Week Lubiri-Ndeeba'!E11+'Avg Week Ndeeba-Lubiri'!E11</f>
        <v>11.571428571428573</v>
      </c>
      <c r="F11" s="49">
        <f>'Avg Week Lubiri-Ndeeba'!F11+'Avg Week Ndeeba-Lubiri'!F11</f>
        <v>56.857142857142854</v>
      </c>
      <c r="G11" s="49">
        <f>'Avg Week Lubiri-Ndeeba'!G11+'Avg Week Ndeeba-Lubiri'!G11</f>
        <v>0.5714285714285714</v>
      </c>
      <c r="H11" s="49">
        <f>'Avg Week Lubiri-Ndeeba'!H11+'Avg Week Ndeeba-Lubiri'!H11</f>
        <v>0</v>
      </c>
      <c r="I11" s="49">
        <f>'Avg Week Lubiri-Ndeeba'!I11+'Avg Week Ndeeba-Lubiri'!I11</f>
        <v>7.2857142857142856</v>
      </c>
      <c r="J11" s="49">
        <f>'Avg Week Lubiri-Ndeeba'!J11+'Avg Week Ndeeba-Lubiri'!J11</f>
        <v>3.1428571428571428</v>
      </c>
      <c r="K11" s="49">
        <f>'Avg Week Lubiri-Ndeeba'!K11+'Avg Week Ndeeba-Lubiri'!K11</f>
        <v>0.71428571428571419</v>
      </c>
      <c r="L11" s="49">
        <f>'Avg Week Lubiri-Ndeeba'!L11+'Avg Week Ndeeba-Lubiri'!L11</f>
        <v>36.428571428571431</v>
      </c>
      <c r="M11" s="49">
        <f>'Avg Week Lubiri-Ndeeba'!M11+'Avg Week Ndeeba-Lubiri'!M11</f>
        <v>277.42857142857144</v>
      </c>
      <c r="N11" s="49">
        <f>'Avg Week Lubiri-Ndeeba'!N11+'Avg Week Ndeeba-Lubiri'!N11</f>
        <v>0</v>
      </c>
      <c r="O11" s="17">
        <f t="shared" si="0"/>
        <v>259.85714285714289</v>
      </c>
      <c r="P11" s="17">
        <f t="shared" si="1"/>
        <v>537.28571428571433</v>
      </c>
      <c r="R11" s="1" t="s">
        <v>7</v>
      </c>
      <c r="S11" s="17">
        <f>SUM(C14:C17)</f>
        <v>520</v>
      </c>
      <c r="T11" s="17">
        <f t="shared" ref="T11:AF11" si="3">SUM(D14:D17)</f>
        <v>59.142857142857153</v>
      </c>
      <c r="U11" s="17">
        <f t="shared" si="3"/>
        <v>50.857142857142861</v>
      </c>
      <c r="V11" s="17">
        <f t="shared" si="3"/>
        <v>184</v>
      </c>
      <c r="W11" s="17">
        <f t="shared" si="3"/>
        <v>5.5714285714285712</v>
      </c>
      <c r="X11" s="17">
        <f t="shared" si="3"/>
        <v>0.71428571428571419</v>
      </c>
      <c r="Y11" s="17">
        <f t="shared" si="3"/>
        <v>36.285714285714292</v>
      </c>
      <c r="Z11" s="17">
        <f t="shared" si="3"/>
        <v>22</v>
      </c>
      <c r="AA11" s="17">
        <f t="shared" si="3"/>
        <v>5</v>
      </c>
      <c r="AB11" s="17">
        <f t="shared" si="3"/>
        <v>1</v>
      </c>
      <c r="AC11" s="17">
        <f t="shared" si="3"/>
        <v>1595.2857142857142</v>
      </c>
      <c r="AD11" s="17">
        <f t="shared" si="3"/>
        <v>0</v>
      </c>
      <c r="AE11" s="31">
        <f t="shared" si="3"/>
        <v>884.57142857142856</v>
      </c>
      <c r="AF11" s="31">
        <f t="shared" si="3"/>
        <v>2479.8571428571427</v>
      </c>
    </row>
    <row r="12" spans="2:32" ht="23.1" customHeight="1" x14ac:dyDescent="0.25">
      <c r="B12" s="23" t="s">
        <v>39</v>
      </c>
      <c r="C12" s="49">
        <f>'Avg Week Lubiri-Ndeeba'!C12+'Avg Week Ndeeba-Lubiri'!C12</f>
        <v>119.57142857142858</v>
      </c>
      <c r="D12" s="49">
        <f>'Avg Week Lubiri-Ndeeba'!D12+'Avg Week Ndeeba-Lubiri'!D12</f>
        <v>11.571428571428571</v>
      </c>
      <c r="E12" s="49">
        <f>'Avg Week Lubiri-Ndeeba'!E12+'Avg Week Ndeeba-Lubiri'!E12</f>
        <v>10</v>
      </c>
      <c r="F12" s="49">
        <f>'Avg Week Lubiri-Ndeeba'!F12+'Avg Week Ndeeba-Lubiri'!F12</f>
        <v>47.428571428571431</v>
      </c>
      <c r="G12" s="49">
        <f>'Avg Week Lubiri-Ndeeba'!G12+'Avg Week Ndeeba-Lubiri'!G12</f>
        <v>6.1428571428571432</v>
      </c>
      <c r="H12" s="49">
        <f>'Avg Week Lubiri-Ndeeba'!H12+'Avg Week Ndeeba-Lubiri'!H12</f>
        <v>0.14285714285714285</v>
      </c>
      <c r="I12" s="49">
        <f>'Avg Week Lubiri-Ndeeba'!I12+'Avg Week Ndeeba-Lubiri'!I12</f>
        <v>6.2857142857142856</v>
      </c>
      <c r="J12" s="49">
        <f>'Avg Week Lubiri-Ndeeba'!J12+'Avg Week Ndeeba-Lubiri'!J12</f>
        <v>4.8571428571428568</v>
      </c>
      <c r="K12" s="49">
        <f>'Avg Week Lubiri-Ndeeba'!K12+'Avg Week Ndeeba-Lubiri'!K12</f>
        <v>4</v>
      </c>
      <c r="L12" s="49">
        <f>'Avg Week Lubiri-Ndeeba'!L12+'Avg Week Ndeeba-Lubiri'!L12</f>
        <v>0</v>
      </c>
      <c r="M12" s="49">
        <f>'Avg Week Lubiri-Ndeeba'!M12+'Avg Week Ndeeba-Lubiri'!M12</f>
        <v>312.71428571428572</v>
      </c>
      <c r="N12" s="49">
        <f>'Avg Week Lubiri-Ndeeba'!N12+'Avg Week Ndeeba-Lubiri'!N12</f>
        <v>0</v>
      </c>
      <c r="O12" s="17">
        <f t="shared" si="0"/>
        <v>210.00000000000003</v>
      </c>
      <c r="P12" s="17">
        <f t="shared" si="1"/>
        <v>522.71428571428578</v>
      </c>
      <c r="R12" s="1" t="s">
        <v>8</v>
      </c>
      <c r="S12" s="17">
        <f t="shared" ref="S12:AF12" si="4">SUM(C18:C21)</f>
        <v>502</v>
      </c>
      <c r="T12" s="17">
        <f t="shared" si="4"/>
        <v>68.571428571428569</v>
      </c>
      <c r="U12" s="17">
        <f t="shared" si="4"/>
        <v>41.571428571428569</v>
      </c>
      <c r="V12" s="17">
        <f t="shared" si="4"/>
        <v>128.85714285714286</v>
      </c>
      <c r="W12" s="17">
        <f t="shared" si="4"/>
        <v>3.714285714285714</v>
      </c>
      <c r="X12" s="17">
        <f t="shared" si="4"/>
        <v>0.2857142857142857</v>
      </c>
      <c r="Y12" s="17">
        <f t="shared" si="4"/>
        <v>43.571428571428569</v>
      </c>
      <c r="Z12" s="17">
        <f t="shared" si="4"/>
        <v>24</v>
      </c>
      <c r="AA12" s="17">
        <f t="shared" si="4"/>
        <v>5.2857142857142856</v>
      </c>
      <c r="AB12" s="17">
        <f t="shared" si="4"/>
        <v>3</v>
      </c>
      <c r="AC12" s="17">
        <f t="shared" si="4"/>
        <v>1790.1428571428571</v>
      </c>
      <c r="AD12" s="17">
        <f t="shared" si="4"/>
        <v>0</v>
      </c>
      <c r="AE12" s="31">
        <f t="shared" si="4"/>
        <v>820.85714285714289</v>
      </c>
      <c r="AF12" s="31">
        <f t="shared" si="4"/>
        <v>2611</v>
      </c>
    </row>
    <row r="13" spans="2:32" ht="23.1" customHeight="1" x14ac:dyDescent="0.25">
      <c r="B13" s="23" t="s">
        <v>40</v>
      </c>
      <c r="C13" s="49">
        <f>'Avg Week Lubiri-Ndeeba'!C13+'Avg Week Ndeeba-Lubiri'!C13</f>
        <v>117.42857142857143</v>
      </c>
      <c r="D13" s="49">
        <f>'Avg Week Lubiri-Ndeeba'!D13+'Avg Week Ndeeba-Lubiri'!D13</f>
        <v>14.428571428571427</v>
      </c>
      <c r="E13" s="49">
        <f>'Avg Week Lubiri-Ndeeba'!E13+'Avg Week Ndeeba-Lubiri'!E13</f>
        <v>16.857142857142858</v>
      </c>
      <c r="F13" s="49">
        <f>'Avg Week Lubiri-Ndeeba'!F13+'Avg Week Ndeeba-Lubiri'!F13</f>
        <v>44.714285714285715</v>
      </c>
      <c r="G13" s="49">
        <f>'Avg Week Lubiri-Ndeeba'!G13+'Avg Week Ndeeba-Lubiri'!G13</f>
        <v>0.71428571428571419</v>
      </c>
      <c r="H13" s="49">
        <f>'Avg Week Lubiri-Ndeeba'!H13+'Avg Week Ndeeba-Lubiri'!H13</f>
        <v>0.14285714285714285</v>
      </c>
      <c r="I13" s="49">
        <f>'Avg Week Lubiri-Ndeeba'!I13+'Avg Week Ndeeba-Lubiri'!I13</f>
        <v>6.7142857142857144</v>
      </c>
      <c r="J13" s="49">
        <f>'Avg Week Lubiri-Ndeeba'!J13+'Avg Week Ndeeba-Lubiri'!J13</f>
        <v>2.5714285714285716</v>
      </c>
      <c r="K13" s="49">
        <f>'Avg Week Lubiri-Ndeeba'!K13+'Avg Week Ndeeba-Lubiri'!K13</f>
        <v>2.7142857142857144</v>
      </c>
      <c r="L13" s="49">
        <f>'Avg Week Lubiri-Ndeeba'!L13+'Avg Week Ndeeba-Lubiri'!L13</f>
        <v>0.5714285714285714</v>
      </c>
      <c r="M13" s="49">
        <f>'Avg Week Lubiri-Ndeeba'!M13+'Avg Week Ndeeba-Lubiri'!M13</f>
        <v>324.85714285714289</v>
      </c>
      <c r="N13" s="49">
        <f>'Avg Week Lubiri-Ndeeba'!N13+'Avg Week Ndeeba-Lubiri'!N13</f>
        <v>0</v>
      </c>
      <c r="O13" s="17">
        <f t="shared" si="0"/>
        <v>206.85714285714292</v>
      </c>
      <c r="P13" s="17">
        <f t="shared" si="1"/>
        <v>531.71428571428578</v>
      </c>
      <c r="R13" s="1" t="s">
        <v>9</v>
      </c>
      <c r="S13" s="17">
        <f>SUM(C22:C25)</f>
        <v>504.42857142857144</v>
      </c>
      <c r="T13" s="17">
        <f t="shared" ref="T13:AF13" si="5">SUM(D22:D25)</f>
        <v>78.142857142857153</v>
      </c>
      <c r="U13" s="17">
        <f t="shared" si="5"/>
        <v>49</v>
      </c>
      <c r="V13" s="17">
        <f t="shared" si="5"/>
        <v>98.428571428571416</v>
      </c>
      <c r="W13" s="17">
        <f t="shared" si="5"/>
        <v>3.8571428571428572</v>
      </c>
      <c r="X13" s="17">
        <f t="shared" si="5"/>
        <v>0.42857142857142855</v>
      </c>
      <c r="Y13" s="17">
        <f t="shared" si="5"/>
        <v>55.285714285714285</v>
      </c>
      <c r="Z13" s="17">
        <f t="shared" si="5"/>
        <v>26.428571428571423</v>
      </c>
      <c r="AA13" s="17">
        <f t="shared" si="5"/>
        <v>3.8571428571428568</v>
      </c>
      <c r="AB13" s="17">
        <f t="shared" si="5"/>
        <v>2.8571428571428568</v>
      </c>
      <c r="AC13" s="17">
        <f t="shared" si="5"/>
        <v>1832.8571428571429</v>
      </c>
      <c r="AD13" s="17">
        <f t="shared" si="5"/>
        <v>0.2857142857142857</v>
      </c>
      <c r="AE13" s="31">
        <f t="shared" si="5"/>
        <v>823.00000000000023</v>
      </c>
      <c r="AF13" s="31">
        <f t="shared" si="5"/>
        <v>2655.8571428571431</v>
      </c>
    </row>
    <row r="14" spans="2:32" ht="23.1" customHeight="1" x14ac:dyDescent="0.25">
      <c r="B14" s="23" t="s">
        <v>41</v>
      </c>
      <c r="C14" s="49">
        <f>'Avg Week Lubiri-Ndeeba'!C14+'Avg Week Ndeeba-Lubiri'!C14</f>
        <v>128.85714285714286</v>
      </c>
      <c r="D14" s="49">
        <f>'Avg Week Lubiri-Ndeeba'!D14+'Avg Week Ndeeba-Lubiri'!D14</f>
        <v>16</v>
      </c>
      <c r="E14" s="49">
        <f>'Avg Week Lubiri-Ndeeba'!E14+'Avg Week Ndeeba-Lubiri'!E14</f>
        <v>13.571428571428571</v>
      </c>
      <c r="F14" s="49">
        <f>'Avg Week Lubiri-Ndeeba'!F14+'Avg Week Ndeeba-Lubiri'!F14</f>
        <v>49.428571428571431</v>
      </c>
      <c r="G14" s="49">
        <f>'Avg Week Lubiri-Ndeeba'!G14+'Avg Week Ndeeba-Lubiri'!G14</f>
        <v>1</v>
      </c>
      <c r="H14" s="49">
        <f>'Avg Week Lubiri-Ndeeba'!H14+'Avg Week Ndeeba-Lubiri'!H14</f>
        <v>0.14285714285714285</v>
      </c>
      <c r="I14" s="49">
        <f>'Avg Week Lubiri-Ndeeba'!I14+'Avg Week Ndeeba-Lubiri'!I14</f>
        <v>9.2857142857142865</v>
      </c>
      <c r="J14" s="49">
        <f>'Avg Week Lubiri-Ndeeba'!J14+'Avg Week Ndeeba-Lubiri'!J14</f>
        <v>3.2857142857142856</v>
      </c>
      <c r="K14" s="49">
        <f>'Avg Week Lubiri-Ndeeba'!K14+'Avg Week Ndeeba-Lubiri'!K14</f>
        <v>1.2857142857142856</v>
      </c>
      <c r="L14" s="49">
        <f>'Avg Week Lubiri-Ndeeba'!L14+'Avg Week Ndeeba-Lubiri'!L14</f>
        <v>0.42857142857142855</v>
      </c>
      <c r="M14" s="49">
        <f>'Avg Week Lubiri-Ndeeba'!M14+'Avg Week Ndeeba-Lubiri'!M14</f>
        <v>349.42857142857144</v>
      </c>
      <c r="N14" s="49">
        <f>'Avg Week Lubiri-Ndeeba'!N14+'Avg Week Ndeeba-Lubiri'!N14</f>
        <v>0</v>
      </c>
      <c r="O14" s="17">
        <f t="shared" si="0"/>
        <v>223.28571428571428</v>
      </c>
      <c r="P14" s="17">
        <f t="shared" si="1"/>
        <v>572.71428571428578</v>
      </c>
      <c r="R14" s="1" t="s">
        <v>10</v>
      </c>
      <c r="S14" s="17">
        <f t="shared" ref="S14:AF14" si="6">SUM(C26:C29)</f>
        <v>540</v>
      </c>
      <c r="T14" s="17">
        <f t="shared" si="6"/>
        <v>62.428571428571423</v>
      </c>
      <c r="U14" s="17">
        <f t="shared" si="6"/>
        <v>48.428571428571431</v>
      </c>
      <c r="V14" s="17">
        <f t="shared" si="6"/>
        <v>89.571428571428584</v>
      </c>
      <c r="W14" s="17">
        <f t="shared" si="6"/>
        <v>3</v>
      </c>
      <c r="X14" s="17">
        <f t="shared" si="6"/>
        <v>0.42857142857142855</v>
      </c>
      <c r="Y14" s="17">
        <f t="shared" si="6"/>
        <v>53.571428571428569</v>
      </c>
      <c r="Z14" s="17">
        <f t="shared" si="6"/>
        <v>31.857142857142858</v>
      </c>
      <c r="AA14" s="17">
        <f t="shared" si="6"/>
        <v>3.4285714285714279</v>
      </c>
      <c r="AB14" s="17">
        <f t="shared" si="6"/>
        <v>3.8571428571428572</v>
      </c>
      <c r="AC14" s="17">
        <f t="shared" si="6"/>
        <v>1783.8571428571431</v>
      </c>
      <c r="AD14" s="17">
        <f t="shared" si="6"/>
        <v>0.5714285714285714</v>
      </c>
      <c r="AE14" s="31">
        <f t="shared" si="6"/>
        <v>837.14285714285711</v>
      </c>
      <c r="AF14" s="31">
        <f t="shared" si="6"/>
        <v>2621</v>
      </c>
    </row>
    <row r="15" spans="2:32" ht="23.1" customHeight="1" x14ac:dyDescent="0.25">
      <c r="B15" s="23" t="s">
        <v>42</v>
      </c>
      <c r="C15" s="49">
        <f>'Avg Week Lubiri-Ndeeba'!C15+'Avg Week Ndeeba-Lubiri'!C15</f>
        <v>117.57142857142857</v>
      </c>
      <c r="D15" s="49">
        <f>'Avg Week Lubiri-Ndeeba'!D15+'Avg Week Ndeeba-Lubiri'!D15</f>
        <v>12.571428571428573</v>
      </c>
      <c r="E15" s="49">
        <f>'Avg Week Lubiri-Ndeeba'!E15+'Avg Week Ndeeba-Lubiri'!E15</f>
        <v>13.571428571428573</v>
      </c>
      <c r="F15" s="49">
        <f>'Avg Week Lubiri-Ndeeba'!F15+'Avg Week Ndeeba-Lubiri'!F15</f>
        <v>50.142857142857139</v>
      </c>
      <c r="G15" s="49">
        <f>'Avg Week Lubiri-Ndeeba'!G15+'Avg Week Ndeeba-Lubiri'!G15</f>
        <v>0.42857142857142855</v>
      </c>
      <c r="H15" s="49">
        <f>'Avg Week Lubiri-Ndeeba'!H15+'Avg Week Ndeeba-Lubiri'!H15</f>
        <v>0.14285714285714285</v>
      </c>
      <c r="I15" s="49">
        <f>'Avg Week Lubiri-Ndeeba'!I15+'Avg Week Ndeeba-Lubiri'!I15</f>
        <v>10.142857142857142</v>
      </c>
      <c r="J15" s="49">
        <f>'Avg Week Lubiri-Ndeeba'!J15+'Avg Week Ndeeba-Lubiri'!J15</f>
        <v>5.8571428571428577</v>
      </c>
      <c r="K15" s="49">
        <f>'Avg Week Lubiri-Ndeeba'!K15+'Avg Week Ndeeba-Lubiri'!K15</f>
        <v>0.71428571428571419</v>
      </c>
      <c r="L15" s="49">
        <f>'Avg Week Lubiri-Ndeeba'!L15+'Avg Week Ndeeba-Lubiri'!L15</f>
        <v>0.14285714285714285</v>
      </c>
      <c r="M15" s="49">
        <f>'Avg Week Lubiri-Ndeeba'!M15+'Avg Week Ndeeba-Lubiri'!M15</f>
        <v>402.14285714285711</v>
      </c>
      <c r="N15" s="49">
        <f>'Avg Week Lubiri-Ndeeba'!N15+'Avg Week Ndeeba-Lubiri'!N15</f>
        <v>0</v>
      </c>
      <c r="O15" s="17">
        <f t="shared" si="0"/>
        <v>211.28571428571428</v>
      </c>
      <c r="P15" s="17">
        <f t="shared" si="1"/>
        <v>613.42857142857133</v>
      </c>
      <c r="R15" s="1" t="s">
        <v>11</v>
      </c>
      <c r="S15" s="17">
        <f t="shared" ref="S15:AF15" si="7">SUM(C30:C33)</f>
        <v>487</v>
      </c>
      <c r="T15" s="17">
        <f t="shared" si="7"/>
        <v>69.714285714285722</v>
      </c>
      <c r="U15" s="17">
        <f t="shared" si="7"/>
        <v>57.714285714285708</v>
      </c>
      <c r="V15" s="17">
        <f t="shared" si="7"/>
        <v>84.428571428571431</v>
      </c>
      <c r="W15" s="17">
        <f t="shared" si="7"/>
        <v>3.2857142857142856</v>
      </c>
      <c r="X15" s="17">
        <f t="shared" si="7"/>
        <v>0.2857142857142857</v>
      </c>
      <c r="Y15" s="17">
        <f t="shared" si="7"/>
        <v>44.714285714285715</v>
      </c>
      <c r="Z15" s="17">
        <f t="shared" si="7"/>
        <v>31.571428571428573</v>
      </c>
      <c r="AA15" s="17">
        <f t="shared" si="7"/>
        <v>4.2857142857142856</v>
      </c>
      <c r="AB15" s="17">
        <f t="shared" si="7"/>
        <v>4.8571428571428568</v>
      </c>
      <c r="AC15" s="17">
        <f t="shared" si="7"/>
        <v>1871</v>
      </c>
      <c r="AD15" s="17">
        <f t="shared" si="7"/>
        <v>0.14285714285714285</v>
      </c>
      <c r="AE15" s="31">
        <f t="shared" si="7"/>
        <v>788</v>
      </c>
      <c r="AF15" s="31">
        <f t="shared" si="7"/>
        <v>2659</v>
      </c>
    </row>
    <row r="16" spans="2:32" ht="23.1" customHeight="1" x14ac:dyDescent="0.25">
      <c r="B16" s="23" t="s">
        <v>43</v>
      </c>
      <c r="C16" s="49">
        <f>'Avg Week Lubiri-Ndeeba'!C16+'Avg Week Ndeeba-Lubiri'!C16</f>
        <v>130.14285714285714</v>
      </c>
      <c r="D16" s="49">
        <f>'Avg Week Lubiri-Ndeeba'!D16+'Avg Week Ndeeba-Lubiri'!D16</f>
        <v>17.714285714285715</v>
      </c>
      <c r="E16" s="49">
        <f>'Avg Week Lubiri-Ndeeba'!E16+'Avg Week Ndeeba-Lubiri'!E16</f>
        <v>11</v>
      </c>
      <c r="F16" s="49">
        <f>'Avg Week Lubiri-Ndeeba'!F16+'Avg Week Ndeeba-Lubiri'!F16</f>
        <v>49</v>
      </c>
      <c r="G16" s="49">
        <f>'Avg Week Lubiri-Ndeeba'!G16+'Avg Week Ndeeba-Lubiri'!G16</f>
        <v>2.8571428571428572</v>
      </c>
      <c r="H16" s="49">
        <f>'Avg Week Lubiri-Ndeeba'!H16+'Avg Week Ndeeba-Lubiri'!H16</f>
        <v>0.14285714285714285</v>
      </c>
      <c r="I16" s="49">
        <f>'Avg Week Lubiri-Ndeeba'!I16+'Avg Week Ndeeba-Lubiri'!I16</f>
        <v>8.7142857142857153</v>
      </c>
      <c r="J16" s="49">
        <f>'Avg Week Lubiri-Ndeeba'!J16+'Avg Week Ndeeba-Lubiri'!J16</f>
        <v>6.5714285714285712</v>
      </c>
      <c r="K16" s="49">
        <f>'Avg Week Lubiri-Ndeeba'!K16+'Avg Week Ndeeba-Lubiri'!K16</f>
        <v>1.5714285714285714</v>
      </c>
      <c r="L16" s="49">
        <f>'Avg Week Lubiri-Ndeeba'!L16+'Avg Week Ndeeba-Lubiri'!L16</f>
        <v>0.2857142857142857</v>
      </c>
      <c r="M16" s="49">
        <f>'Avg Week Lubiri-Ndeeba'!M16+'Avg Week Ndeeba-Lubiri'!M16</f>
        <v>414.42857142857144</v>
      </c>
      <c r="N16" s="49">
        <f>'Avg Week Lubiri-Ndeeba'!N16+'Avg Week Ndeeba-Lubiri'!N16</f>
        <v>0</v>
      </c>
      <c r="O16" s="17">
        <f t="shared" si="0"/>
        <v>228.00000000000003</v>
      </c>
      <c r="P16" s="17">
        <f t="shared" si="1"/>
        <v>642.42857142857144</v>
      </c>
      <c r="R16" s="1" t="s">
        <v>12</v>
      </c>
      <c r="S16" s="17">
        <f t="shared" ref="S16:AF16" si="8">SUM(C34:C37)</f>
        <v>464.57142857142856</v>
      </c>
      <c r="T16" s="17">
        <f t="shared" si="8"/>
        <v>67.428571428571431</v>
      </c>
      <c r="U16" s="17">
        <f t="shared" si="8"/>
        <v>43.714285714285715</v>
      </c>
      <c r="V16" s="17">
        <f t="shared" si="8"/>
        <v>82.428571428571431</v>
      </c>
      <c r="W16" s="17">
        <f t="shared" si="8"/>
        <v>1.1428571428571428</v>
      </c>
      <c r="X16" s="17">
        <f t="shared" si="8"/>
        <v>7.2857142857142865</v>
      </c>
      <c r="Y16" s="17">
        <f t="shared" si="8"/>
        <v>37.428571428571431</v>
      </c>
      <c r="Z16" s="17">
        <f t="shared" si="8"/>
        <v>28.428571428571431</v>
      </c>
      <c r="AA16" s="17">
        <f t="shared" si="8"/>
        <v>3.2857142857142856</v>
      </c>
      <c r="AB16" s="17">
        <f t="shared" si="8"/>
        <v>3.785714285714286</v>
      </c>
      <c r="AC16" s="17">
        <f t="shared" si="8"/>
        <v>1677.4285714285713</v>
      </c>
      <c r="AD16" s="17">
        <f t="shared" si="8"/>
        <v>0.2857142857142857</v>
      </c>
      <c r="AE16" s="31">
        <f t="shared" si="8"/>
        <v>739.78571428571433</v>
      </c>
      <c r="AF16" s="31">
        <f t="shared" si="8"/>
        <v>2417.2142857142858</v>
      </c>
    </row>
    <row r="17" spans="2:32" ht="23.1" customHeight="1" x14ac:dyDescent="0.25">
      <c r="B17" s="23" t="s">
        <v>44</v>
      </c>
      <c r="C17" s="49">
        <f>'Avg Week Lubiri-Ndeeba'!C17+'Avg Week Ndeeba-Lubiri'!C17</f>
        <v>143.42857142857144</v>
      </c>
      <c r="D17" s="49">
        <f>'Avg Week Lubiri-Ndeeba'!D17+'Avg Week Ndeeba-Lubiri'!D17</f>
        <v>12.857142857142858</v>
      </c>
      <c r="E17" s="49">
        <f>'Avg Week Lubiri-Ndeeba'!E17+'Avg Week Ndeeba-Lubiri'!E17</f>
        <v>12.714285714285715</v>
      </c>
      <c r="F17" s="49">
        <f>'Avg Week Lubiri-Ndeeba'!F17+'Avg Week Ndeeba-Lubiri'!F17</f>
        <v>35.428571428571431</v>
      </c>
      <c r="G17" s="49">
        <f>'Avg Week Lubiri-Ndeeba'!G17+'Avg Week Ndeeba-Lubiri'!G17</f>
        <v>1.2857142857142856</v>
      </c>
      <c r="H17" s="49">
        <f>'Avg Week Lubiri-Ndeeba'!H17+'Avg Week Ndeeba-Lubiri'!H17</f>
        <v>0.2857142857142857</v>
      </c>
      <c r="I17" s="49">
        <f>'Avg Week Lubiri-Ndeeba'!I17+'Avg Week Ndeeba-Lubiri'!I17</f>
        <v>8.1428571428571423</v>
      </c>
      <c r="J17" s="49">
        <f>'Avg Week Lubiri-Ndeeba'!J17+'Avg Week Ndeeba-Lubiri'!J17</f>
        <v>6.2857142857142856</v>
      </c>
      <c r="K17" s="49">
        <f>'Avg Week Lubiri-Ndeeba'!K17+'Avg Week Ndeeba-Lubiri'!K17</f>
        <v>1.4285714285714284</v>
      </c>
      <c r="L17" s="49">
        <f>'Avg Week Lubiri-Ndeeba'!L17+'Avg Week Ndeeba-Lubiri'!L17</f>
        <v>0.14285714285714285</v>
      </c>
      <c r="M17" s="49">
        <f>'Avg Week Lubiri-Ndeeba'!M17+'Avg Week Ndeeba-Lubiri'!M17</f>
        <v>429.28571428571428</v>
      </c>
      <c r="N17" s="49">
        <f>'Avg Week Lubiri-Ndeeba'!N17+'Avg Week Ndeeba-Lubiri'!N17</f>
        <v>0</v>
      </c>
      <c r="O17" s="17">
        <f t="shared" si="0"/>
        <v>221.99999999999997</v>
      </c>
      <c r="P17" s="17">
        <f t="shared" si="1"/>
        <v>651.28571428571422</v>
      </c>
      <c r="R17" s="1" t="s">
        <v>13</v>
      </c>
      <c r="S17" s="17">
        <f t="shared" ref="S17:AF17" si="9">SUM(C38:C41)</f>
        <v>439.28571428571433</v>
      </c>
      <c r="T17" s="17">
        <f t="shared" si="9"/>
        <v>77.285714285714292</v>
      </c>
      <c r="U17" s="17">
        <f t="shared" si="9"/>
        <v>47.285714285714285</v>
      </c>
      <c r="V17" s="17">
        <f t="shared" si="9"/>
        <v>79.142857142857139</v>
      </c>
      <c r="W17" s="17">
        <f t="shared" si="9"/>
        <v>2.7142857142857144</v>
      </c>
      <c r="X17" s="17">
        <f t="shared" si="9"/>
        <v>1.7142857142857144</v>
      </c>
      <c r="Y17" s="17">
        <f t="shared" si="9"/>
        <v>37.285714285714285</v>
      </c>
      <c r="Z17" s="17">
        <f t="shared" si="9"/>
        <v>30.142857142857146</v>
      </c>
      <c r="AA17" s="17">
        <f t="shared" si="9"/>
        <v>7.7142857142857144</v>
      </c>
      <c r="AB17" s="17">
        <f t="shared" si="9"/>
        <v>3.8571428571428568</v>
      </c>
      <c r="AC17" s="17">
        <f t="shared" si="9"/>
        <v>1464</v>
      </c>
      <c r="AD17" s="17">
        <f t="shared" si="9"/>
        <v>0.42857142857142855</v>
      </c>
      <c r="AE17" s="31">
        <f t="shared" si="9"/>
        <v>726.85714285714278</v>
      </c>
      <c r="AF17" s="31">
        <f t="shared" si="9"/>
        <v>2190.8571428571427</v>
      </c>
    </row>
    <row r="18" spans="2:32" ht="23.1" customHeight="1" x14ac:dyDescent="0.25">
      <c r="B18" s="23" t="s">
        <v>45</v>
      </c>
      <c r="C18" s="49">
        <f>'Avg Week Lubiri-Ndeeba'!C18+'Avg Week Ndeeba-Lubiri'!C18</f>
        <v>131</v>
      </c>
      <c r="D18" s="49">
        <f>'Avg Week Lubiri-Ndeeba'!D18+'Avg Week Ndeeba-Lubiri'!D18</f>
        <v>20.285714285714285</v>
      </c>
      <c r="E18" s="49">
        <f>'Avg Week Lubiri-Ndeeba'!E18+'Avg Week Ndeeba-Lubiri'!E18</f>
        <v>9.5714285714285712</v>
      </c>
      <c r="F18" s="49">
        <f>'Avg Week Lubiri-Ndeeba'!F18+'Avg Week Ndeeba-Lubiri'!F18</f>
        <v>38.428571428571431</v>
      </c>
      <c r="G18" s="49">
        <f>'Avg Week Lubiri-Ndeeba'!G18+'Avg Week Ndeeba-Lubiri'!G18</f>
        <v>0.8571428571428571</v>
      </c>
      <c r="H18" s="49">
        <f>'Avg Week Lubiri-Ndeeba'!H18+'Avg Week Ndeeba-Lubiri'!H18</f>
        <v>0.14285714285714285</v>
      </c>
      <c r="I18" s="49">
        <f>'Avg Week Lubiri-Ndeeba'!I18+'Avg Week Ndeeba-Lubiri'!I18</f>
        <v>8.5714285714285712</v>
      </c>
      <c r="J18" s="49">
        <f>'Avg Week Lubiri-Ndeeba'!J18+'Avg Week Ndeeba-Lubiri'!J18</f>
        <v>3.4285714285714284</v>
      </c>
      <c r="K18" s="49">
        <f>'Avg Week Lubiri-Ndeeba'!K18+'Avg Week Ndeeba-Lubiri'!K18</f>
        <v>1</v>
      </c>
      <c r="L18" s="49">
        <f>'Avg Week Lubiri-Ndeeba'!L18+'Avg Week Ndeeba-Lubiri'!L18</f>
        <v>0.5714285714285714</v>
      </c>
      <c r="M18" s="49">
        <f>'Avg Week Lubiri-Ndeeba'!M18+'Avg Week Ndeeba-Lubiri'!M18</f>
        <v>426.28571428571428</v>
      </c>
      <c r="N18" s="49">
        <f>'Avg Week Lubiri-Ndeeba'!N18+'Avg Week Ndeeba-Lubiri'!N18</f>
        <v>0</v>
      </c>
      <c r="O18" s="17">
        <f t="shared" si="0"/>
        <v>213.85714285714286</v>
      </c>
      <c r="P18" s="17">
        <f t="shared" si="1"/>
        <v>640.14285714285711</v>
      </c>
      <c r="R18" s="1" t="s">
        <v>14</v>
      </c>
      <c r="S18" s="17">
        <f t="shared" ref="S18:AF18" si="10">SUM(C42:C45)</f>
        <v>472.42857142857144</v>
      </c>
      <c r="T18" s="17">
        <f t="shared" si="10"/>
        <v>58.857142857142861</v>
      </c>
      <c r="U18" s="17">
        <f t="shared" si="10"/>
        <v>54.142857142857146</v>
      </c>
      <c r="V18" s="17">
        <f t="shared" si="10"/>
        <v>73.142857142857139</v>
      </c>
      <c r="W18" s="17">
        <f t="shared" si="10"/>
        <v>2.714285714285714</v>
      </c>
      <c r="X18" s="17">
        <f t="shared" si="10"/>
        <v>0.5714285714285714</v>
      </c>
      <c r="Y18" s="17">
        <f t="shared" si="10"/>
        <v>38.714285714285708</v>
      </c>
      <c r="Z18" s="17">
        <f t="shared" si="10"/>
        <v>31.285714285714285</v>
      </c>
      <c r="AA18" s="17">
        <f t="shared" si="10"/>
        <v>4.7142857142857144</v>
      </c>
      <c r="AB18" s="17">
        <f t="shared" si="10"/>
        <v>3.5714285714285712</v>
      </c>
      <c r="AC18" s="17">
        <f t="shared" si="10"/>
        <v>1501</v>
      </c>
      <c r="AD18" s="17">
        <f t="shared" si="10"/>
        <v>0.14285714285714285</v>
      </c>
      <c r="AE18" s="31">
        <f t="shared" si="10"/>
        <v>740.28571428571433</v>
      </c>
      <c r="AF18" s="31">
        <f t="shared" si="10"/>
        <v>2241.2857142857142</v>
      </c>
    </row>
    <row r="19" spans="2:32" ht="23.1" customHeight="1" x14ac:dyDescent="0.25">
      <c r="B19" s="23" t="s">
        <v>46</v>
      </c>
      <c r="C19" s="49">
        <f>'Avg Week Lubiri-Ndeeba'!C19+'Avg Week Ndeeba-Lubiri'!C19</f>
        <v>120.57142857142857</v>
      </c>
      <c r="D19" s="49">
        <f>'Avg Week Lubiri-Ndeeba'!D19+'Avg Week Ndeeba-Lubiri'!D19</f>
        <v>15.714285714285715</v>
      </c>
      <c r="E19" s="49">
        <f>'Avg Week Lubiri-Ndeeba'!E19+'Avg Week Ndeeba-Lubiri'!E19</f>
        <v>10.857142857142858</v>
      </c>
      <c r="F19" s="49">
        <f>'Avg Week Lubiri-Ndeeba'!F19+'Avg Week Ndeeba-Lubiri'!F19</f>
        <v>30.571428571428573</v>
      </c>
      <c r="G19" s="49">
        <f>'Avg Week Lubiri-Ndeeba'!G19+'Avg Week Ndeeba-Lubiri'!G19</f>
        <v>0.71428571428571419</v>
      </c>
      <c r="H19" s="49">
        <f>'Avg Week Lubiri-Ndeeba'!H19+'Avg Week Ndeeba-Lubiri'!H19</f>
        <v>0.14285714285714285</v>
      </c>
      <c r="I19" s="49">
        <f>'Avg Week Lubiri-Ndeeba'!I19+'Avg Week Ndeeba-Lubiri'!I19</f>
        <v>10</v>
      </c>
      <c r="J19" s="49">
        <f>'Avg Week Lubiri-Ndeeba'!J19+'Avg Week Ndeeba-Lubiri'!J19</f>
        <v>6.8571428571428577</v>
      </c>
      <c r="K19" s="49">
        <f>'Avg Week Lubiri-Ndeeba'!K19+'Avg Week Ndeeba-Lubiri'!K19</f>
        <v>1.1428571428571428</v>
      </c>
      <c r="L19" s="49">
        <f>'Avg Week Lubiri-Ndeeba'!L19+'Avg Week Ndeeba-Lubiri'!L19</f>
        <v>0.71428571428571419</v>
      </c>
      <c r="M19" s="49">
        <f>'Avg Week Lubiri-Ndeeba'!M19+'Avg Week Ndeeba-Lubiri'!M19</f>
        <v>439.85714285714289</v>
      </c>
      <c r="N19" s="49">
        <f>'Avg Week Lubiri-Ndeeba'!N19+'Avg Week Ndeeba-Lubiri'!N19</f>
        <v>0</v>
      </c>
      <c r="O19" s="17">
        <f t="shared" si="0"/>
        <v>197.28571428571431</v>
      </c>
      <c r="P19" s="17">
        <f t="shared" si="1"/>
        <v>637.14285714285722</v>
      </c>
      <c r="R19" s="1" t="s">
        <v>15</v>
      </c>
      <c r="S19" s="17">
        <f t="shared" ref="S19:AF19" si="11">SUM(C46:C49)</f>
        <v>486.57142857142861</v>
      </c>
      <c r="T19" s="17">
        <f t="shared" si="11"/>
        <v>62.857142857142861</v>
      </c>
      <c r="U19" s="17">
        <f t="shared" si="11"/>
        <v>43.428571428571431</v>
      </c>
      <c r="V19" s="17">
        <f t="shared" si="11"/>
        <v>86</v>
      </c>
      <c r="W19" s="17">
        <f t="shared" si="11"/>
        <v>4.5714285714285712</v>
      </c>
      <c r="X19" s="17">
        <f t="shared" si="11"/>
        <v>1.2857142857142856</v>
      </c>
      <c r="Y19" s="17">
        <f t="shared" si="11"/>
        <v>38.571428571428569</v>
      </c>
      <c r="Z19" s="17">
        <f t="shared" si="11"/>
        <v>28</v>
      </c>
      <c r="AA19" s="17">
        <f t="shared" si="11"/>
        <v>3.7142857142857144</v>
      </c>
      <c r="AB19" s="17">
        <f t="shared" si="11"/>
        <v>3.6190476190476195</v>
      </c>
      <c r="AC19" s="17">
        <f t="shared" si="11"/>
        <v>1631.8571428571427</v>
      </c>
      <c r="AD19" s="17">
        <f t="shared" si="11"/>
        <v>0.2857142857142857</v>
      </c>
      <c r="AE19" s="31">
        <f t="shared" si="11"/>
        <v>758.90476190476193</v>
      </c>
      <c r="AF19" s="31">
        <f t="shared" si="11"/>
        <v>2390.761904761905</v>
      </c>
    </row>
    <row r="20" spans="2:32" ht="23.1" customHeight="1" x14ac:dyDescent="0.25">
      <c r="B20" s="23" t="s">
        <v>47</v>
      </c>
      <c r="C20" s="49">
        <f>'Avg Week Lubiri-Ndeeba'!C20+'Avg Week Ndeeba-Lubiri'!C20</f>
        <v>128.85714285714286</v>
      </c>
      <c r="D20" s="49">
        <f>'Avg Week Lubiri-Ndeeba'!D20+'Avg Week Ndeeba-Lubiri'!D20</f>
        <v>11.142857142857142</v>
      </c>
      <c r="E20" s="49">
        <f>'Avg Week Lubiri-Ndeeba'!E20+'Avg Week Ndeeba-Lubiri'!E20</f>
        <v>9</v>
      </c>
      <c r="F20" s="49">
        <f>'Avg Week Lubiri-Ndeeba'!F20+'Avg Week Ndeeba-Lubiri'!F20</f>
        <v>27.857142857142858</v>
      </c>
      <c r="G20" s="49">
        <f>'Avg Week Lubiri-Ndeeba'!G20+'Avg Week Ndeeba-Lubiri'!G20</f>
        <v>1.4285714285714284</v>
      </c>
      <c r="H20" s="49">
        <f>'Avg Week Lubiri-Ndeeba'!H20+'Avg Week Ndeeba-Lubiri'!H20</f>
        <v>0</v>
      </c>
      <c r="I20" s="49">
        <f>'Avg Week Lubiri-Ndeeba'!I20+'Avg Week Ndeeba-Lubiri'!I20</f>
        <v>9.8571428571428577</v>
      </c>
      <c r="J20" s="49">
        <f>'Avg Week Lubiri-Ndeeba'!J20+'Avg Week Ndeeba-Lubiri'!J20</f>
        <v>7.7142857142857135</v>
      </c>
      <c r="K20" s="49">
        <f>'Avg Week Lubiri-Ndeeba'!K20+'Avg Week Ndeeba-Lubiri'!K20</f>
        <v>1.2857142857142856</v>
      </c>
      <c r="L20" s="49">
        <f>'Avg Week Lubiri-Ndeeba'!L20+'Avg Week Ndeeba-Lubiri'!L20</f>
        <v>0.42857142857142855</v>
      </c>
      <c r="M20" s="49">
        <f>'Avg Week Lubiri-Ndeeba'!M20+'Avg Week Ndeeba-Lubiri'!M20</f>
        <v>450.28571428571428</v>
      </c>
      <c r="N20" s="49">
        <f>'Avg Week Lubiri-Ndeeba'!N20+'Avg Week Ndeeba-Lubiri'!N20</f>
        <v>0</v>
      </c>
      <c r="O20" s="17">
        <f t="shared" si="0"/>
        <v>197.57142857142856</v>
      </c>
      <c r="P20" s="17">
        <f t="shared" si="1"/>
        <v>647.85714285714289</v>
      </c>
      <c r="R20" s="1" t="s">
        <v>16</v>
      </c>
      <c r="S20" s="17">
        <f t="shared" ref="S20:AF20" si="12">SUM(C50:C53)</f>
        <v>577.28571428571433</v>
      </c>
      <c r="T20" s="17">
        <f t="shared" si="12"/>
        <v>69.428571428571431</v>
      </c>
      <c r="U20" s="17">
        <f t="shared" si="12"/>
        <v>48.142857142857153</v>
      </c>
      <c r="V20" s="17">
        <f t="shared" si="12"/>
        <v>96.285714285714278</v>
      </c>
      <c r="W20" s="17">
        <f t="shared" si="12"/>
        <v>3.1428571428571423</v>
      </c>
      <c r="X20" s="17">
        <f t="shared" si="12"/>
        <v>0.2857142857142857</v>
      </c>
      <c r="Y20" s="17">
        <f t="shared" si="12"/>
        <v>37.857142857142861</v>
      </c>
      <c r="Z20" s="17">
        <f t="shared" si="12"/>
        <v>25.857142857142854</v>
      </c>
      <c r="AA20" s="17">
        <f t="shared" si="12"/>
        <v>4.4285714285714288</v>
      </c>
      <c r="AB20" s="17">
        <f t="shared" si="12"/>
        <v>3.0714285714285716</v>
      </c>
      <c r="AC20" s="17">
        <f t="shared" si="12"/>
        <v>1858.8571428571427</v>
      </c>
      <c r="AD20" s="17">
        <f t="shared" si="12"/>
        <v>0</v>
      </c>
      <c r="AE20" s="31">
        <f t="shared" si="12"/>
        <v>865.78571428571422</v>
      </c>
      <c r="AF20" s="31">
        <f t="shared" si="12"/>
        <v>2724.6428571428569</v>
      </c>
    </row>
    <row r="21" spans="2:32" ht="23.1" customHeight="1" x14ac:dyDescent="0.25">
      <c r="B21" s="23" t="s">
        <v>48</v>
      </c>
      <c r="C21" s="49">
        <f>'Avg Week Lubiri-Ndeeba'!C21+'Avg Week Ndeeba-Lubiri'!C21</f>
        <v>121.57142857142858</v>
      </c>
      <c r="D21" s="49">
        <f>'Avg Week Lubiri-Ndeeba'!D21+'Avg Week Ndeeba-Lubiri'!D21</f>
        <v>21.428571428571427</v>
      </c>
      <c r="E21" s="49">
        <f>'Avg Week Lubiri-Ndeeba'!E21+'Avg Week Ndeeba-Lubiri'!E21</f>
        <v>12.142857142857142</v>
      </c>
      <c r="F21" s="49">
        <f>'Avg Week Lubiri-Ndeeba'!F21+'Avg Week Ndeeba-Lubiri'!F21</f>
        <v>32</v>
      </c>
      <c r="G21" s="49">
        <f>'Avg Week Lubiri-Ndeeba'!G21+'Avg Week Ndeeba-Lubiri'!G21</f>
        <v>0.7142857142857143</v>
      </c>
      <c r="H21" s="49">
        <f>'Avg Week Lubiri-Ndeeba'!H21+'Avg Week Ndeeba-Lubiri'!H21</f>
        <v>0</v>
      </c>
      <c r="I21" s="49">
        <f>'Avg Week Lubiri-Ndeeba'!I21+'Avg Week Ndeeba-Lubiri'!I21</f>
        <v>15.142857142857142</v>
      </c>
      <c r="J21" s="49">
        <f>'Avg Week Lubiri-Ndeeba'!J21+'Avg Week Ndeeba-Lubiri'!J21</f>
        <v>6</v>
      </c>
      <c r="K21" s="49">
        <f>'Avg Week Lubiri-Ndeeba'!K21+'Avg Week Ndeeba-Lubiri'!K21</f>
        <v>1.8571428571428572</v>
      </c>
      <c r="L21" s="49">
        <f>'Avg Week Lubiri-Ndeeba'!L21+'Avg Week Ndeeba-Lubiri'!L21</f>
        <v>1.2857142857142856</v>
      </c>
      <c r="M21" s="49">
        <f>'Avg Week Lubiri-Ndeeba'!M21+'Avg Week Ndeeba-Lubiri'!M21</f>
        <v>473.71428571428572</v>
      </c>
      <c r="N21" s="49">
        <f>'Avg Week Lubiri-Ndeeba'!N21+'Avg Week Ndeeba-Lubiri'!N21</f>
        <v>0</v>
      </c>
      <c r="O21" s="17">
        <f t="shared" si="0"/>
        <v>212.14285714285714</v>
      </c>
      <c r="P21" s="17">
        <f t="shared" si="1"/>
        <v>685.85714285714289</v>
      </c>
      <c r="R21" s="36" t="s">
        <v>20</v>
      </c>
      <c r="S21" s="34">
        <f t="shared" ref="S21:AF21" si="13">SUM(C54:C57)</f>
        <v>567.57142857142856</v>
      </c>
      <c r="T21" s="17">
        <f t="shared" si="13"/>
        <v>64.571428571428569</v>
      </c>
      <c r="U21" s="17">
        <f t="shared" si="13"/>
        <v>44</v>
      </c>
      <c r="V21" s="17">
        <f t="shared" si="13"/>
        <v>122.85714285714285</v>
      </c>
      <c r="W21" s="17">
        <f t="shared" si="13"/>
        <v>4.8571428571428577</v>
      </c>
      <c r="X21" s="17">
        <f t="shared" si="13"/>
        <v>1.5714285714285714</v>
      </c>
      <c r="Y21" s="17">
        <f t="shared" si="13"/>
        <v>32.714285714285715</v>
      </c>
      <c r="Z21" s="17">
        <f t="shared" si="13"/>
        <v>33.285714285714285</v>
      </c>
      <c r="AA21" s="17">
        <f t="shared" si="13"/>
        <v>4.1428571428571423</v>
      </c>
      <c r="AB21" s="17">
        <f t="shared" si="13"/>
        <v>4</v>
      </c>
      <c r="AC21" s="17">
        <f t="shared" si="13"/>
        <v>1708.4285714285716</v>
      </c>
      <c r="AD21" s="17">
        <f t="shared" si="13"/>
        <v>0.5714285714285714</v>
      </c>
      <c r="AE21" s="31">
        <f t="shared" si="13"/>
        <v>880.14285714285711</v>
      </c>
      <c r="AF21" s="31">
        <f t="shared" si="13"/>
        <v>2588.5714285714284</v>
      </c>
    </row>
    <row r="22" spans="2:32" ht="23.1" customHeight="1" x14ac:dyDescent="0.25">
      <c r="B22" s="23" t="s">
        <v>49</v>
      </c>
      <c r="C22" s="49">
        <f>'Avg Week Lubiri-Ndeeba'!C22+'Avg Week Ndeeba-Lubiri'!C22</f>
        <v>131</v>
      </c>
      <c r="D22" s="49">
        <f>'Avg Week Lubiri-Ndeeba'!D22+'Avg Week Ndeeba-Lubiri'!D22</f>
        <v>16.142857142857142</v>
      </c>
      <c r="E22" s="49">
        <f>'Avg Week Lubiri-Ndeeba'!E22+'Avg Week Ndeeba-Lubiri'!E22</f>
        <v>11.571428571428573</v>
      </c>
      <c r="F22" s="49">
        <f>'Avg Week Lubiri-Ndeeba'!F22+'Avg Week Ndeeba-Lubiri'!F22</f>
        <v>25.571428571428569</v>
      </c>
      <c r="G22" s="49">
        <f>'Avg Week Lubiri-Ndeeba'!G22+'Avg Week Ndeeba-Lubiri'!G22</f>
        <v>1.5714285714285714</v>
      </c>
      <c r="H22" s="49">
        <f>'Avg Week Lubiri-Ndeeba'!H22+'Avg Week Ndeeba-Lubiri'!H22</f>
        <v>0</v>
      </c>
      <c r="I22" s="49">
        <f>'Avg Week Lubiri-Ndeeba'!I22+'Avg Week Ndeeba-Lubiri'!I22</f>
        <v>12.857142857142858</v>
      </c>
      <c r="J22" s="49">
        <f>'Avg Week Lubiri-Ndeeba'!J22+'Avg Week Ndeeba-Lubiri'!J22</f>
        <v>6.8571428571428568</v>
      </c>
      <c r="K22" s="49">
        <f>'Avg Week Lubiri-Ndeeba'!K22+'Avg Week Ndeeba-Lubiri'!K22</f>
        <v>1.8571428571428572</v>
      </c>
      <c r="L22" s="49">
        <f>'Avg Week Lubiri-Ndeeba'!L22+'Avg Week Ndeeba-Lubiri'!L22</f>
        <v>0.5714285714285714</v>
      </c>
      <c r="M22" s="49">
        <f>'Avg Week Lubiri-Ndeeba'!M22+'Avg Week Ndeeba-Lubiri'!M22</f>
        <v>471.85714285714283</v>
      </c>
      <c r="N22" s="49">
        <f>'Avg Week Lubiri-Ndeeba'!N22+'Avg Week Ndeeba-Lubiri'!N22</f>
        <v>0.14285714285714285</v>
      </c>
      <c r="O22" s="17">
        <f t="shared" si="0"/>
        <v>208.14285714285717</v>
      </c>
      <c r="P22" s="17">
        <f t="shared" si="1"/>
        <v>680</v>
      </c>
      <c r="R22" s="1" t="s">
        <v>146</v>
      </c>
      <c r="S22" s="34">
        <f>SUM(C58:C61)</f>
        <v>496.5</v>
      </c>
      <c r="T22" s="34">
        <f t="shared" ref="T22:AF22" si="14">SUM(D58:D61)</f>
        <v>72</v>
      </c>
      <c r="U22" s="34">
        <f t="shared" si="14"/>
        <v>49.5</v>
      </c>
      <c r="V22" s="34">
        <f t="shared" si="14"/>
        <v>254.5</v>
      </c>
      <c r="W22" s="34">
        <f t="shared" si="14"/>
        <v>14</v>
      </c>
      <c r="X22" s="34">
        <f t="shared" si="14"/>
        <v>0.5</v>
      </c>
      <c r="Y22" s="34">
        <f t="shared" si="14"/>
        <v>32.5</v>
      </c>
      <c r="Z22" s="34">
        <f t="shared" si="14"/>
        <v>16.5</v>
      </c>
      <c r="AA22" s="34">
        <f t="shared" si="14"/>
        <v>3</v>
      </c>
      <c r="AB22" s="34">
        <f t="shared" si="14"/>
        <v>4.5</v>
      </c>
      <c r="AC22" s="34">
        <f t="shared" si="14"/>
        <v>1377.5</v>
      </c>
      <c r="AD22" s="34">
        <f t="shared" si="14"/>
        <v>0</v>
      </c>
      <c r="AE22" s="31">
        <f t="shared" si="14"/>
        <v>943.5</v>
      </c>
      <c r="AF22" s="31">
        <f t="shared" si="14"/>
        <v>2321</v>
      </c>
    </row>
    <row r="23" spans="2:32" ht="23.1" customHeight="1" x14ac:dyDescent="0.25">
      <c r="B23" s="23" t="s">
        <v>50</v>
      </c>
      <c r="C23" s="49">
        <f>'Avg Week Lubiri-Ndeeba'!C23+'Avg Week Ndeeba-Lubiri'!C23</f>
        <v>127.42857142857144</v>
      </c>
      <c r="D23" s="49">
        <f>'Avg Week Lubiri-Ndeeba'!D23+'Avg Week Ndeeba-Lubiri'!D23</f>
        <v>16.285714285714285</v>
      </c>
      <c r="E23" s="49">
        <f>'Avg Week Lubiri-Ndeeba'!E23+'Avg Week Ndeeba-Lubiri'!E23</f>
        <v>13.142857142857142</v>
      </c>
      <c r="F23" s="49">
        <f>'Avg Week Lubiri-Ndeeba'!F23+'Avg Week Ndeeba-Lubiri'!F23</f>
        <v>22</v>
      </c>
      <c r="G23" s="49">
        <f>'Avg Week Lubiri-Ndeeba'!G23+'Avg Week Ndeeba-Lubiri'!G23</f>
        <v>0.5714285714285714</v>
      </c>
      <c r="H23" s="49">
        <f>'Avg Week Lubiri-Ndeeba'!H23+'Avg Week Ndeeba-Lubiri'!H23</f>
        <v>0.14285714285714285</v>
      </c>
      <c r="I23" s="49">
        <f>'Avg Week Lubiri-Ndeeba'!I23+'Avg Week Ndeeba-Lubiri'!I23</f>
        <v>16</v>
      </c>
      <c r="J23" s="49">
        <f>'Avg Week Lubiri-Ndeeba'!J23+'Avg Week Ndeeba-Lubiri'!J23</f>
        <v>6.5714285714285712</v>
      </c>
      <c r="K23" s="49">
        <f>'Avg Week Lubiri-Ndeeba'!K23+'Avg Week Ndeeba-Lubiri'!K23</f>
        <v>1</v>
      </c>
      <c r="L23" s="49">
        <f>'Avg Week Lubiri-Ndeeba'!L23+'Avg Week Ndeeba-Lubiri'!L23</f>
        <v>0.8571428571428571</v>
      </c>
      <c r="M23" s="49">
        <f>'Avg Week Lubiri-Ndeeba'!M23+'Avg Week Ndeeba-Lubiri'!M23</f>
        <v>464.14285714285711</v>
      </c>
      <c r="N23" s="49">
        <f>'Avg Week Lubiri-Ndeeba'!N23+'Avg Week Ndeeba-Lubiri'!N23</f>
        <v>0</v>
      </c>
      <c r="O23" s="17">
        <f t="shared" si="0"/>
        <v>204.00000000000003</v>
      </c>
      <c r="P23" s="17">
        <f t="shared" si="1"/>
        <v>668.14285714285711</v>
      </c>
      <c r="R23" s="1" t="s">
        <v>147</v>
      </c>
      <c r="S23" s="34">
        <f>SUM(C62:C65)</f>
        <v>433</v>
      </c>
      <c r="T23" s="34">
        <f t="shared" ref="T23:AF23" si="15">SUM(D62:D65)</f>
        <v>54.5</v>
      </c>
      <c r="U23" s="34">
        <f t="shared" si="15"/>
        <v>28.5</v>
      </c>
      <c r="V23" s="34">
        <f t="shared" si="15"/>
        <v>312.5</v>
      </c>
      <c r="W23" s="34">
        <f t="shared" si="15"/>
        <v>6</v>
      </c>
      <c r="X23" s="34">
        <f t="shared" si="15"/>
        <v>4</v>
      </c>
      <c r="Y23" s="34">
        <f t="shared" si="15"/>
        <v>37</v>
      </c>
      <c r="Z23" s="34">
        <f t="shared" si="15"/>
        <v>20</v>
      </c>
      <c r="AA23" s="34">
        <f t="shared" si="15"/>
        <v>9.5</v>
      </c>
      <c r="AB23" s="34">
        <f t="shared" si="15"/>
        <v>1</v>
      </c>
      <c r="AC23" s="34">
        <f t="shared" si="15"/>
        <v>1412</v>
      </c>
      <c r="AD23" s="34">
        <f t="shared" si="15"/>
        <v>0.5</v>
      </c>
      <c r="AE23" s="31">
        <f t="shared" si="15"/>
        <v>906.5</v>
      </c>
      <c r="AF23" s="31">
        <f t="shared" si="15"/>
        <v>2318.5</v>
      </c>
    </row>
    <row r="24" spans="2:32" ht="23.1" customHeight="1" x14ac:dyDescent="0.25">
      <c r="B24" s="23" t="s">
        <v>51</v>
      </c>
      <c r="C24" s="49">
        <f>'Avg Week Lubiri-Ndeeba'!C24+'Avg Week Ndeeba-Lubiri'!C24</f>
        <v>128.42857142857144</v>
      </c>
      <c r="D24" s="49">
        <f>'Avg Week Lubiri-Ndeeba'!D24+'Avg Week Ndeeba-Lubiri'!D24</f>
        <v>26.857142857142858</v>
      </c>
      <c r="E24" s="49">
        <f>'Avg Week Lubiri-Ndeeba'!E24+'Avg Week Ndeeba-Lubiri'!E24</f>
        <v>10.714285714285715</v>
      </c>
      <c r="F24" s="49">
        <f>'Avg Week Lubiri-Ndeeba'!F24+'Avg Week Ndeeba-Lubiri'!F24</f>
        <v>26.571428571428569</v>
      </c>
      <c r="G24" s="49">
        <f>'Avg Week Lubiri-Ndeeba'!G24+'Avg Week Ndeeba-Lubiri'!G24</f>
        <v>0.8571428571428571</v>
      </c>
      <c r="H24" s="49">
        <f>'Avg Week Lubiri-Ndeeba'!H24+'Avg Week Ndeeba-Lubiri'!H24</f>
        <v>0.14285714285714285</v>
      </c>
      <c r="I24" s="49">
        <f>'Avg Week Lubiri-Ndeeba'!I24+'Avg Week Ndeeba-Lubiri'!I24</f>
        <v>12.714285714285715</v>
      </c>
      <c r="J24" s="49">
        <f>'Avg Week Lubiri-Ndeeba'!J24+'Avg Week Ndeeba-Lubiri'!J24</f>
        <v>6.7142857142857135</v>
      </c>
      <c r="K24" s="49">
        <f>'Avg Week Lubiri-Ndeeba'!K24+'Avg Week Ndeeba-Lubiri'!K24</f>
        <v>0.42857142857142855</v>
      </c>
      <c r="L24" s="49">
        <f>'Avg Week Lubiri-Ndeeba'!L24+'Avg Week Ndeeba-Lubiri'!L24</f>
        <v>0.85714285714285721</v>
      </c>
      <c r="M24" s="49">
        <f>'Avg Week Lubiri-Ndeeba'!M24+'Avg Week Ndeeba-Lubiri'!M24</f>
        <v>468</v>
      </c>
      <c r="N24" s="49">
        <f>'Avg Week Lubiri-Ndeeba'!N24+'Avg Week Ndeeba-Lubiri'!N24</f>
        <v>0</v>
      </c>
      <c r="O24" s="17">
        <f t="shared" si="0"/>
        <v>214.28571428571433</v>
      </c>
      <c r="P24" s="17">
        <f t="shared" si="1"/>
        <v>682.28571428571433</v>
      </c>
      <c r="R24" s="1" t="s">
        <v>148</v>
      </c>
      <c r="S24" s="34">
        <f>SUM(C66:C69)</f>
        <v>361</v>
      </c>
      <c r="T24" s="34">
        <f t="shared" ref="T24:AF24" si="16">SUM(D66:D69)</f>
        <v>46</v>
      </c>
      <c r="U24" s="34">
        <f t="shared" si="16"/>
        <v>21.5</v>
      </c>
      <c r="V24" s="34">
        <f t="shared" si="16"/>
        <v>241.5</v>
      </c>
      <c r="W24" s="34">
        <f t="shared" si="16"/>
        <v>4</v>
      </c>
      <c r="X24" s="34">
        <f t="shared" si="16"/>
        <v>0.5</v>
      </c>
      <c r="Y24" s="34">
        <f t="shared" si="16"/>
        <v>31</v>
      </c>
      <c r="Z24" s="34">
        <f t="shared" si="16"/>
        <v>13</v>
      </c>
      <c r="AA24" s="34">
        <f t="shared" si="16"/>
        <v>4</v>
      </c>
      <c r="AB24" s="34">
        <f t="shared" si="16"/>
        <v>2.5</v>
      </c>
      <c r="AC24" s="34">
        <f t="shared" si="16"/>
        <v>947</v>
      </c>
      <c r="AD24" s="34">
        <f t="shared" si="16"/>
        <v>0.5</v>
      </c>
      <c r="AE24" s="31">
        <f t="shared" si="16"/>
        <v>725.5</v>
      </c>
      <c r="AF24" s="31">
        <f t="shared" si="16"/>
        <v>1672.5</v>
      </c>
    </row>
    <row r="25" spans="2:32" ht="23.1" customHeight="1" x14ac:dyDescent="0.25">
      <c r="B25" s="23" t="s">
        <v>52</v>
      </c>
      <c r="C25" s="49">
        <f>'Avg Week Lubiri-Ndeeba'!C25+'Avg Week Ndeeba-Lubiri'!C25</f>
        <v>117.57142857142858</v>
      </c>
      <c r="D25" s="49">
        <f>'Avg Week Lubiri-Ndeeba'!D25+'Avg Week Ndeeba-Lubiri'!D25</f>
        <v>18.857142857142858</v>
      </c>
      <c r="E25" s="49">
        <f>'Avg Week Lubiri-Ndeeba'!E25+'Avg Week Ndeeba-Lubiri'!E25</f>
        <v>13.571428571428571</v>
      </c>
      <c r="F25" s="49">
        <f>'Avg Week Lubiri-Ndeeba'!F25+'Avg Week Ndeeba-Lubiri'!F25</f>
        <v>24.285714285714285</v>
      </c>
      <c r="G25" s="49">
        <f>'Avg Week Lubiri-Ndeeba'!G25+'Avg Week Ndeeba-Lubiri'!G25</f>
        <v>0.85714285714285721</v>
      </c>
      <c r="H25" s="49">
        <f>'Avg Week Lubiri-Ndeeba'!H25+'Avg Week Ndeeba-Lubiri'!H25</f>
        <v>0.14285714285714285</v>
      </c>
      <c r="I25" s="49">
        <f>'Avg Week Lubiri-Ndeeba'!I25+'Avg Week Ndeeba-Lubiri'!I25</f>
        <v>13.714285714285714</v>
      </c>
      <c r="J25" s="49">
        <f>'Avg Week Lubiri-Ndeeba'!J25+'Avg Week Ndeeba-Lubiri'!J25</f>
        <v>6.2857142857142865</v>
      </c>
      <c r="K25" s="49">
        <f>'Avg Week Lubiri-Ndeeba'!K25+'Avg Week Ndeeba-Lubiri'!K25</f>
        <v>0.5714285714285714</v>
      </c>
      <c r="L25" s="49">
        <f>'Avg Week Lubiri-Ndeeba'!L25+'Avg Week Ndeeba-Lubiri'!L25</f>
        <v>0.5714285714285714</v>
      </c>
      <c r="M25" s="49">
        <f>'Avg Week Lubiri-Ndeeba'!M25+'Avg Week Ndeeba-Lubiri'!M25</f>
        <v>428.85714285714289</v>
      </c>
      <c r="N25" s="49">
        <f>'Avg Week Lubiri-Ndeeba'!N25+'Avg Week Ndeeba-Lubiri'!N25</f>
        <v>0.14285714285714285</v>
      </c>
      <c r="O25" s="17">
        <f t="shared" si="0"/>
        <v>196.57142857142861</v>
      </c>
      <c r="P25" s="17">
        <f t="shared" si="1"/>
        <v>625.42857142857144</v>
      </c>
      <c r="R25" s="1" t="s">
        <v>149</v>
      </c>
      <c r="S25" s="34">
        <f>SUM(C70:C73)</f>
        <v>221.5</v>
      </c>
      <c r="T25" s="34">
        <f t="shared" ref="T25:AF25" si="17">SUM(D70:D73)</f>
        <v>51.5</v>
      </c>
      <c r="U25" s="34">
        <f t="shared" si="17"/>
        <v>19</v>
      </c>
      <c r="V25" s="34">
        <f t="shared" si="17"/>
        <v>65.5</v>
      </c>
      <c r="W25" s="34">
        <f t="shared" si="17"/>
        <v>2</v>
      </c>
      <c r="X25" s="34">
        <f t="shared" si="17"/>
        <v>0</v>
      </c>
      <c r="Y25" s="34">
        <f t="shared" si="17"/>
        <v>13</v>
      </c>
      <c r="Z25" s="34">
        <f t="shared" si="17"/>
        <v>13.5</v>
      </c>
      <c r="AA25" s="34">
        <f t="shared" si="17"/>
        <v>0.5</v>
      </c>
      <c r="AB25" s="34">
        <f t="shared" si="17"/>
        <v>1</v>
      </c>
      <c r="AC25" s="34">
        <f t="shared" si="17"/>
        <v>417</v>
      </c>
      <c r="AD25" s="34">
        <f t="shared" si="17"/>
        <v>0</v>
      </c>
      <c r="AE25" s="31">
        <f t="shared" si="17"/>
        <v>387.5</v>
      </c>
      <c r="AF25" s="31">
        <f t="shared" si="17"/>
        <v>804.5</v>
      </c>
    </row>
    <row r="26" spans="2:32" ht="23.1" customHeight="1" x14ac:dyDescent="0.25">
      <c r="B26" s="23" t="s">
        <v>53</v>
      </c>
      <c r="C26" s="49">
        <f>'Avg Week Lubiri-Ndeeba'!C26+'Avg Week Ndeeba-Lubiri'!C26</f>
        <v>136</v>
      </c>
      <c r="D26" s="49">
        <f>'Avg Week Lubiri-Ndeeba'!D26+'Avg Week Ndeeba-Lubiri'!D26</f>
        <v>13.285714285714285</v>
      </c>
      <c r="E26" s="49">
        <f>'Avg Week Lubiri-Ndeeba'!E26+'Avg Week Ndeeba-Lubiri'!E26</f>
        <v>13.714285714285715</v>
      </c>
      <c r="F26" s="49">
        <f>'Avg Week Lubiri-Ndeeba'!F26+'Avg Week Ndeeba-Lubiri'!F26</f>
        <v>18.857142857142858</v>
      </c>
      <c r="G26" s="49">
        <f>'Avg Week Lubiri-Ndeeba'!G26+'Avg Week Ndeeba-Lubiri'!G26</f>
        <v>0.5714285714285714</v>
      </c>
      <c r="H26" s="49">
        <f>'Avg Week Lubiri-Ndeeba'!H26+'Avg Week Ndeeba-Lubiri'!H26</f>
        <v>0.42857142857142855</v>
      </c>
      <c r="I26" s="49">
        <f>'Avg Week Lubiri-Ndeeba'!I26+'Avg Week Ndeeba-Lubiri'!I26</f>
        <v>14</v>
      </c>
      <c r="J26" s="49">
        <f>'Avg Week Lubiri-Ndeeba'!J26+'Avg Week Ndeeba-Lubiri'!J26</f>
        <v>7.5714285714285712</v>
      </c>
      <c r="K26" s="49">
        <f>'Avg Week Lubiri-Ndeeba'!K26+'Avg Week Ndeeba-Lubiri'!K26</f>
        <v>1.2857142857142856</v>
      </c>
      <c r="L26" s="49">
        <f>'Avg Week Lubiri-Ndeeba'!L26+'Avg Week Ndeeba-Lubiri'!L26</f>
        <v>1.1428571428571428</v>
      </c>
      <c r="M26" s="49">
        <f>'Avg Week Lubiri-Ndeeba'!M26+'Avg Week Ndeeba-Lubiri'!M26</f>
        <v>453.71428571428572</v>
      </c>
      <c r="N26" s="49">
        <f>'Avg Week Lubiri-Ndeeba'!N26+'Avg Week Ndeeba-Lubiri'!N26</f>
        <v>0.14285714285714285</v>
      </c>
      <c r="O26" s="17">
        <f t="shared" si="0"/>
        <v>207</v>
      </c>
      <c r="P26" s="17">
        <f t="shared" si="1"/>
        <v>660.71428571428567</v>
      </c>
      <c r="R26" s="1" t="s">
        <v>150</v>
      </c>
      <c r="S26" s="34">
        <f>SUM(C74:C77)</f>
        <v>137.5</v>
      </c>
      <c r="T26" s="34">
        <f t="shared" ref="T26:AF26" si="18">SUM(D74:D77)</f>
        <v>27.5</v>
      </c>
      <c r="U26" s="34">
        <f t="shared" si="18"/>
        <v>12</v>
      </c>
      <c r="V26" s="34">
        <f t="shared" si="18"/>
        <v>23.5</v>
      </c>
      <c r="W26" s="34">
        <f t="shared" si="18"/>
        <v>3</v>
      </c>
      <c r="X26" s="34">
        <f t="shared" si="18"/>
        <v>1</v>
      </c>
      <c r="Y26" s="34">
        <f t="shared" si="18"/>
        <v>14</v>
      </c>
      <c r="Z26" s="34">
        <f t="shared" si="18"/>
        <v>4.5</v>
      </c>
      <c r="AA26" s="34">
        <f t="shared" si="18"/>
        <v>2.5</v>
      </c>
      <c r="AB26" s="34">
        <f t="shared" si="18"/>
        <v>0.5</v>
      </c>
      <c r="AC26" s="34">
        <f t="shared" si="18"/>
        <v>380</v>
      </c>
      <c r="AD26" s="34">
        <f t="shared" si="18"/>
        <v>0</v>
      </c>
      <c r="AE26" s="31">
        <f t="shared" si="18"/>
        <v>226</v>
      </c>
      <c r="AF26" s="31">
        <f t="shared" si="18"/>
        <v>606</v>
      </c>
    </row>
    <row r="27" spans="2:32" ht="23.1" customHeight="1" x14ac:dyDescent="0.25">
      <c r="B27" s="23" t="s">
        <v>54</v>
      </c>
      <c r="C27" s="49">
        <f>'Avg Week Lubiri-Ndeeba'!C27+'Avg Week Ndeeba-Lubiri'!C27</f>
        <v>143.42857142857144</v>
      </c>
      <c r="D27" s="49">
        <f>'Avg Week Lubiri-Ndeeba'!D27+'Avg Week Ndeeba-Lubiri'!D27</f>
        <v>13.857142857142858</v>
      </c>
      <c r="E27" s="49">
        <f>'Avg Week Lubiri-Ndeeba'!E27+'Avg Week Ndeeba-Lubiri'!E27</f>
        <v>11.857142857142858</v>
      </c>
      <c r="F27" s="49">
        <f>'Avg Week Lubiri-Ndeeba'!F27+'Avg Week Ndeeba-Lubiri'!F27</f>
        <v>31</v>
      </c>
      <c r="G27" s="49">
        <f>'Avg Week Lubiri-Ndeeba'!G27+'Avg Week Ndeeba-Lubiri'!G27</f>
        <v>1.5714285714285714</v>
      </c>
      <c r="H27" s="49">
        <f>'Avg Week Lubiri-Ndeeba'!H27+'Avg Week Ndeeba-Lubiri'!H27</f>
        <v>0</v>
      </c>
      <c r="I27" s="49">
        <f>'Avg Week Lubiri-Ndeeba'!I27+'Avg Week Ndeeba-Lubiri'!I27</f>
        <v>14</v>
      </c>
      <c r="J27" s="49">
        <f>'Avg Week Lubiri-Ndeeba'!J27+'Avg Week Ndeeba-Lubiri'!J27</f>
        <v>9.7142857142857153</v>
      </c>
      <c r="K27" s="49">
        <f>'Avg Week Lubiri-Ndeeba'!K27+'Avg Week Ndeeba-Lubiri'!K27</f>
        <v>0.8571428571428571</v>
      </c>
      <c r="L27" s="49">
        <f>'Avg Week Lubiri-Ndeeba'!L27+'Avg Week Ndeeba-Lubiri'!L27</f>
        <v>0.42857142857142855</v>
      </c>
      <c r="M27" s="49">
        <f>'Avg Week Lubiri-Ndeeba'!M27+'Avg Week Ndeeba-Lubiri'!M27</f>
        <v>459.71428571428578</v>
      </c>
      <c r="N27" s="49">
        <f>'Avg Week Lubiri-Ndeeba'!N27+'Avg Week Ndeeba-Lubiri'!N27</f>
        <v>0.2857142857142857</v>
      </c>
      <c r="O27" s="17">
        <f t="shared" si="0"/>
        <v>227.00000000000003</v>
      </c>
      <c r="P27" s="17">
        <f t="shared" si="1"/>
        <v>686.71428571428589</v>
      </c>
      <c r="R27" s="1" t="s">
        <v>151</v>
      </c>
      <c r="S27" s="34">
        <f>SUM(C78:C81)</f>
        <v>85.5</v>
      </c>
      <c r="T27" s="34">
        <f t="shared" ref="T27:AF27" si="19">SUM(D78:D81)</f>
        <v>14</v>
      </c>
      <c r="U27" s="34">
        <f t="shared" si="19"/>
        <v>8</v>
      </c>
      <c r="V27" s="34">
        <f t="shared" si="19"/>
        <v>16</v>
      </c>
      <c r="W27" s="34">
        <f t="shared" si="19"/>
        <v>4</v>
      </c>
      <c r="X27" s="34">
        <f t="shared" si="19"/>
        <v>0</v>
      </c>
      <c r="Y27" s="34">
        <f t="shared" si="19"/>
        <v>6.5</v>
      </c>
      <c r="Z27" s="34">
        <f t="shared" si="19"/>
        <v>7</v>
      </c>
      <c r="AA27" s="34">
        <f t="shared" si="19"/>
        <v>1</v>
      </c>
      <c r="AB27" s="34">
        <f t="shared" si="19"/>
        <v>1</v>
      </c>
      <c r="AC27" s="34">
        <f t="shared" si="19"/>
        <v>174</v>
      </c>
      <c r="AD27" s="34">
        <f t="shared" si="19"/>
        <v>0</v>
      </c>
      <c r="AE27" s="31">
        <f t="shared" si="19"/>
        <v>143</v>
      </c>
      <c r="AF27" s="31">
        <f t="shared" si="19"/>
        <v>317</v>
      </c>
    </row>
    <row r="28" spans="2:32" ht="23.1" customHeight="1" x14ac:dyDescent="0.25">
      <c r="B28" s="23" t="s">
        <v>55</v>
      </c>
      <c r="C28" s="49">
        <f>'Avg Week Lubiri-Ndeeba'!C28+'Avg Week Ndeeba-Lubiri'!C28</f>
        <v>132.42857142857144</v>
      </c>
      <c r="D28" s="49">
        <f>'Avg Week Lubiri-Ndeeba'!D28+'Avg Week Ndeeba-Lubiri'!D28</f>
        <v>15</v>
      </c>
      <c r="E28" s="49">
        <f>'Avg Week Lubiri-Ndeeba'!E28+'Avg Week Ndeeba-Lubiri'!E28</f>
        <v>11</v>
      </c>
      <c r="F28" s="49">
        <f>'Avg Week Lubiri-Ndeeba'!F28+'Avg Week Ndeeba-Lubiri'!F28</f>
        <v>19.428571428571431</v>
      </c>
      <c r="G28" s="49">
        <f>'Avg Week Lubiri-Ndeeba'!G28+'Avg Week Ndeeba-Lubiri'!G28</f>
        <v>0</v>
      </c>
      <c r="H28" s="49">
        <f>'Avg Week Lubiri-Ndeeba'!H28+'Avg Week Ndeeba-Lubiri'!H28</f>
        <v>0</v>
      </c>
      <c r="I28" s="49">
        <f>'Avg Week Lubiri-Ndeeba'!I28+'Avg Week Ndeeba-Lubiri'!I28</f>
        <v>10.714285714285714</v>
      </c>
      <c r="J28" s="49">
        <f>'Avg Week Lubiri-Ndeeba'!J28+'Avg Week Ndeeba-Lubiri'!J28</f>
        <v>7.7142857142857144</v>
      </c>
      <c r="K28" s="49">
        <f>'Avg Week Lubiri-Ndeeba'!K28+'Avg Week Ndeeba-Lubiri'!K28</f>
        <v>0.71428571428571419</v>
      </c>
      <c r="L28" s="49">
        <f>'Avg Week Lubiri-Ndeeba'!L28+'Avg Week Ndeeba-Lubiri'!L28</f>
        <v>0.42857142857142855</v>
      </c>
      <c r="M28" s="49">
        <f>'Avg Week Lubiri-Ndeeba'!M28+'Avg Week Ndeeba-Lubiri'!M28</f>
        <v>425.42857142857144</v>
      </c>
      <c r="N28" s="49">
        <f>'Avg Week Lubiri-Ndeeba'!N28+'Avg Week Ndeeba-Lubiri'!N28</f>
        <v>0</v>
      </c>
      <c r="O28" s="17">
        <f t="shared" si="0"/>
        <v>197.42857142857147</v>
      </c>
      <c r="P28" s="17">
        <f t="shared" si="1"/>
        <v>622.85714285714289</v>
      </c>
      <c r="R28" s="1" t="s">
        <v>152</v>
      </c>
      <c r="S28" s="34">
        <f>SUM(C82:C85)</f>
        <v>37.5</v>
      </c>
      <c r="T28" s="34">
        <f t="shared" ref="T28:AF28" si="20">SUM(D82:D85)</f>
        <v>8.5</v>
      </c>
      <c r="U28" s="34">
        <f t="shared" si="20"/>
        <v>4</v>
      </c>
      <c r="V28" s="34">
        <f t="shared" si="20"/>
        <v>4.5</v>
      </c>
      <c r="W28" s="34">
        <f t="shared" si="20"/>
        <v>0</v>
      </c>
      <c r="X28" s="34">
        <f t="shared" si="20"/>
        <v>0.5</v>
      </c>
      <c r="Y28" s="34">
        <f t="shared" si="20"/>
        <v>2.5</v>
      </c>
      <c r="Z28" s="34">
        <f t="shared" si="20"/>
        <v>2.5</v>
      </c>
      <c r="AA28" s="34">
        <f t="shared" si="20"/>
        <v>1.5</v>
      </c>
      <c r="AB28" s="34">
        <f t="shared" si="20"/>
        <v>0</v>
      </c>
      <c r="AC28" s="34">
        <f t="shared" si="20"/>
        <v>97.5</v>
      </c>
      <c r="AD28" s="34">
        <f t="shared" si="20"/>
        <v>0</v>
      </c>
      <c r="AE28" s="31">
        <f t="shared" si="20"/>
        <v>61.5</v>
      </c>
      <c r="AF28" s="31">
        <f t="shared" si="20"/>
        <v>159</v>
      </c>
    </row>
    <row r="29" spans="2:32" ht="23.1" customHeight="1" x14ac:dyDescent="0.25">
      <c r="B29" s="23" t="s">
        <v>56</v>
      </c>
      <c r="C29" s="49">
        <f>'Avg Week Lubiri-Ndeeba'!C29+'Avg Week Ndeeba-Lubiri'!C29</f>
        <v>128.14285714285714</v>
      </c>
      <c r="D29" s="49">
        <f>'Avg Week Lubiri-Ndeeba'!D29+'Avg Week Ndeeba-Lubiri'!D29</f>
        <v>20.285714285714285</v>
      </c>
      <c r="E29" s="49">
        <f>'Avg Week Lubiri-Ndeeba'!E29+'Avg Week Ndeeba-Lubiri'!E29</f>
        <v>11.857142857142858</v>
      </c>
      <c r="F29" s="49">
        <f>'Avg Week Lubiri-Ndeeba'!F29+'Avg Week Ndeeba-Lubiri'!F29</f>
        <v>20.285714285714285</v>
      </c>
      <c r="G29" s="49">
        <f>'Avg Week Lubiri-Ndeeba'!G29+'Avg Week Ndeeba-Lubiri'!G29</f>
        <v>0.85714285714285721</v>
      </c>
      <c r="H29" s="49">
        <f>'Avg Week Lubiri-Ndeeba'!H29+'Avg Week Ndeeba-Lubiri'!H29</f>
        <v>0</v>
      </c>
      <c r="I29" s="49">
        <f>'Avg Week Lubiri-Ndeeba'!I29+'Avg Week Ndeeba-Lubiri'!I29</f>
        <v>14.857142857142856</v>
      </c>
      <c r="J29" s="49">
        <f>'Avg Week Lubiri-Ndeeba'!J29+'Avg Week Ndeeba-Lubiri'!J29</f>
        <v>6.8571428571428577</v>
      </c>
      <c r="K29" s="49">
        <f>'Avg Week Lubiri-Ndeeba'!K29+'Avg Week Ndeeba-Lubiri'!K29</f>
        <v>0.5714285714285714</v>
      </c>
      <c r="L29" s="49">
        <f>'Avg Week Lubiri-Ndeeba'!L29+'Avg Week Ndeeba-Lubiri'!L29</f>
        <v>1.8571428571428572</v>
      </c>
      <c r="M29" s="49">
        <f>'Avg Week Lubiri-Ndeeba'!M29+'Avg Week Ndeeba-Lubiri'!M29</f>
        <v>445</v>
      </c>
      <c r="N29" s="49">
        <f>'Avg Week Lubiri-Ndeeba'!N29+'Avg Week Ndeeba-Lubiri'!N29</f>
        <v>0.14285714285714285</v>
      </c>
      <c r="O29" s="17">
        <f t="shared" si="0"/>
        <v>205.71428571428572</v>
      </c>
      <c r="P29" s="17">
        <f t="shared" si="1"/>
        <v>650.71428571428567</v>
      </c>
      <c r="R29" s="1" t="s">
        <v>153</v>
      </c>
      <c r="S29" s="34">
        <f>SUM(C86:C89)</f>
        <v>23.5</v>
      </c>
      <c r="T29" s="34">
        <f t="shared" ref="T29:AF29" si="21">SUM(D86:D89)</f>
        <v>6</v>
      </c>
      <c r="U29" s="34">
        <f t="shared" si="21"/>
        <v>1.5</v>
      </c>
      <c r="V29" s="34">
        <f t="shared" si="21"/>
        <v>1.5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3</v>
      </c>
      <c r="AA29" s="34">
        <f t="shared" si="21"/>
        <v>1</v>
      </c>
      <c r="AB29" s="34">
        <f t="shared" si="21"/>
        <v>0</v>
      </c>
      <c r="AC29" s="34">
        <f t="shared" si="21"/>
        <v>59</v>
      </c>
      <c r="AD29" s="34">
        <f t="shared" si="21"/>
        <v>0</v>
      </c>
      <c r="AE29" s="31">
        <f t="shared" si="21"/>
        <v>38.5</v>
      </c>
      <c r="AF29" s="31">
        <f t="shared" si="21"/>
        <v>97.5</v>
      </c>
    </row>
    <row r="30" spans="2:32" ht="23.1" customHeight="1" x14ac:dyDescent="0.25">
      <c r="B30" s="23" t="s">
        <v>57</v>
      </c>
      <c r="C30" s="49">
        <f>'Avg Week Lubiri-Ndeeba'!C30+'Avg Week Ndeeba-Lubiri'!C30</f>
        <v>138.42857142857142</v>
      </c>
      <c r="D30" s="49">
        <f>'Avg Week Lubiri-Ndeeba'!D30+'Avg Week Ndeeba-Lubiri'!D30</f>
        <v>18.428571428571431</v>
      </c>
      <c r="E30" s="49">
        <f>'Avg Week Lubiri-Ndeeba'!E30+'Avg Week Ndeeba-Lubiri'!E30</f>
        <v>15.285714285714285</v>
      </c>
      <c r="F30" s="49">
        <f>'Avg Week Lubiri-Ndeeba'!F30+'Avg Week Ndeeba-Lubiri'!F30</f>
        <v>21.857142857142858</v>
      </c>
      <c r="G30" s="49">
        <f>'Avg Week Lubiri-Ndeeba'!G30+'Avg Week Ndeeba-Lubiri'!G30</f>
        <v>0.8571428571428571</v>
      </c>
      <c r="H30" s="49">
        <f>'Avg Week Lubiri-Ndeeba'!H30+'Avg Week Ndeeba-Lubiri'!H30</f>
        <v>0.14285714285714285</v>
      </c>
      <c r="I30" s="49">
        <f>'Avg Week Lubiri-Ndeeba'!I30+'Avg Week Ndeeba-Lubiri'!I30</f>
        <v>10.714285714285714</v>
      </c>
      <c r="J30" s="49">
        <f>'Avg Week Lubiri-Ndeeba'!J30+'Avg Week Ndeeba-Lubiri'!J30</f>
        <v>6.8571428571428577</v>
      </c>
      <c r="K30" s="49">
        <f>'Avg Week Lubiri-Ndeeba'!K30+'Avg Week Ndeeba-Lubiri'!K30</f>
        <v>1</v>
      </c>
      <c r="L30" s="49">
        <f>'Avg Week Lubiri-Ndeeba'!L30+'Avg Week Ndeeba-Lubiri'!L30</f>
        <v>0.85714285714285721</v>
      </c>
      <c r="M30" s="49">
        <f>'Avg Week Lubiri-Ndeeba'!M30+'Avg Week Ndeeba-Lubiri'!M30</f>
        <v>438.71428571428572</v>
      </c>
      <c r="N30" s="49">
        <f>'Avg Week Lubiri-Ndeeba'!N30+'Avg Week Ndeeba-Lubiri'!N30</f>
        <v>0</v>
      </c>
      <c r="O30" s="17">
        <f t="shared" si="0"/>
        <v>214.42857142857142</v>
      </c>
      <c r="P30" s="17">
        <f t="shared" si="1"/>
        <v>653.14285714285711</v>
      </c>
      <c r="R30" s="1" t="s">
        <v>154</v>
      </c>
      <c r="S30" s="34">
        <f>SUM(C90:C93)</f>
        <v>18</v>
      </c>
      <c r="T30" s="34">
        <f t="shared" ref="T30:AF30" si="22">SUM(D90:D93)</f>
        <v>5.5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3.5</v>
      </c>
      <c r="Z30" s="34">
        <f t="shared" si="22"/>
        <v>2</v>
      </c>
      <c r="AA30" s="34">
        <f t="shared" si="22"/>
        <v>1</v>
      </c>
      <c r="AB30" s="34">
        <f t="shared" si="22"/>
        <v>0.5</v>
      </c>
      <c r="AC30" s="34">
        <f t="shared" si="22"/>
        <v>45</v>
      </c>
      <c r="AD30" s="34">
        <f t="shared" si="22"/>
        <v>0</v>
      </c>
      <c r="AE30" s="31">
        <f t="shared" si="22"/>
        <v>32.5</v>
      </c>
      <c r="AF30" s="31">
        <f t="shared" si="22"/>
        <v>77.5</v>
      </c>
    </row>
    <row r="31" spans="2:32" ht="23.1" customHeight="1" x14ac:dyDescent="0.25">
      <c r="B31" s="24" t="s">
        <v>58</v>
      </c>
      <c r="C31" s="49">
        <f>'Avg Week Lubiri-Ndeeba'!C31+'Avg Week Ndeeba-Lubiri'!C31</f>
        <v>119</v>
      </c>
      <c r="D31" s="49">
        <f>'Avg Week Lubiri-Ndeeba'!D31+'Avg Week Ndeeba-Lubiri'!D31</f>
        <v>17.285714285714285</v>
      </c>
      <c r="E31" s="49">
        <f>'Avg Week Lubiri-Ndeeba'!E31+'Avg Week Ndeeba-Lubiri'!E31</f>
        <v>12.142857142857142</v>
      </c>
      <c r="F31" s="49">
        <f>'Avg Week Lubiri-Ndeeba'!F31+'Avg Week Ndeeba-Lubiri'!F31</f>
        <v>14.428571428571427</v>
      </c>
      <c r="G31" s="49">
        <f>'Avg Week Lubiri-Ndeeba'!G31+'Avg Week Ndeeba-Lubiri'!G31</f>
        <v>0.5714285714285714</v>
      </c>
      <c r="H31" s="49">
        <f>'Avg Week Lubiri-Ndeeba'!H31+'Avg Week Ndeeba-Lubiri'!H31</f>
        <v>0</v>
      </c>
      <c r="I31" s="49">
        <f>'Avg Week Lubiri-Ndeeba'!I31+'Avg Week Ndeeba-Lubiri'!I31</f>
        <v>10</v>
      </c>
      <c r="J31" s="49">
        <f>'Avg Week Lubiri-Ndeeba'!J31+'Avg Week Ndeeba-Lubiri'!J31</f>
        <v>9.4285714285714288</v>
      </c>
      <c r="K31" s="49">
        <f>'Avg Week Lubiri-Ndeeba'!K31+'Avg Week Ndeeba-Lubiri'!K31</f>
        <v>0.8571428571428571</v>
      </c>
      <c r="L31" s="49">
        <f>'Avg Week Lubiri-Ndeeba'!L31+'Avg Week Ndeeba-Lubiri'!L31</f>
        <v>0.71428571428571419</v>
      </c>
      <c r="M31" s="49">
        <f>'Avg Week Lubiri-Ndeeba'!M31+'Avg Week Ndeeba-Lubiri'!M31</f>
        <v>483.57142857142856</v>
      </c>
      <c r="N31" s="49">
        <f>'Avg Week Lubiri-Ndeeba'!N31+'Avg Week Ndeeba-Lubiri'!N31</f>
        <v>0.14285714285714285</v>
      </c>
      <c r="O31" s="17">
        <f t="shared" si="0"/>
        <v>184.57142857142856</v>
      </c>
      <c r="P31" s="17">
        <f t="shared" si="1"/>
        <v>668.14285714285711</v>
      </c>
      <c r="R31" s="1" t="s">
        <v>155</v>
      </c>
      <c r="S31" s="34">
        <f>SUM(C94:C97)</f>
        <v>23</v>
      </c>
      <c r="T31" s="34">
        <f t="shared" ref="T31:AF31" si="23">SUM(D94:D97)</f>
        <v>1.5</v>
      </c>
      <c r="U31" s="34">
        <f t="shared" si="23"/>
        <v>3</v>
      </c>
      <c r="V31" s="34">
        <f t="shared" si="23"/>
        <v>3</v>
      </c>
      <c r="W31" s="34">
        <f t="shared" si="23"/>
        <v>0.5</v>
      </c>
      <c r="X31" s="34">
        <f t="shared" si="23"/>
        <v>0</v>
      </c>
      <c r="Y31" s="34">
        <f t="shared" si="23"/>
        <v>2</v>
      </c>
      <c r="Z31" s="34">
        <f t="shared" si="23"/>
        <v>6.5</v>
      </c>
      <c r="AA31" s="34">
        <f t="shared" si="23"/>
        <v>2</v>
      </c>
      <c r="AB31" s="34">
        <f t="shared" si="23"/>
        <v>0</v>
      </c>
      <c r="AC31" s="34">
        <f t="shared" si="23"/>
        <v>61.5</v>
      </c>
      <c r="AD31" s="34">
        <f t="shared" si="23"/>
        <v>0</v>
      </c>
      <c r="AE31" s="31">
        <f t="shared" si="23"/>
        <v>41.5</v>
      </c>
      <c r="AF31" s="31">
        <f t="shared" si="23"/>
        <v>103</v>
      </c>
    </row>
    <row r="32" spans="2:32" ht="23.1" customHeight="1" x14ac:dyDescent="0.25">
      <c r="B32" s="24" t="s">
        <v>59</v>
      </c>
      <c r="C32" s="49">
        <f>'Avg Week Lubiri-Ndeeba'!C32+'Avg Week Ndeeba-Lubiri'!C32</f>
        <v>118.28571428571429</v>
      </c>
      <c r="D32" s="49">
        <f>'Avg Week Lubiri-Ndeeba'!D32+'Avg Week Ndeeba-Lubiri'!D32</f>
        <v>17.285714285714285</v>
      </c>
      <c r="E32" s="49">
        <f>'Avg Week Lubiri-Ndeeba'!E32+'Avg Week Ndeeba-Lubiri'!E32</f>
        <v>13.428571428571427</v>
      </c>
      <c r="F32" s="49">
        <f>'Avg Week Lubiri-Ndeeba'!F32+'Avg Week Ndeeba-Lubiri'!F32</f>
        <v>25.285714285714285</v>
      </c>
      <c r="G32" s="49">
        <f>'Avg Week Lubiri-Ndeeba'!G32+'Avg Week Ndeeba-Lubiri'!G32</f>
        <v>1.1428571428571428</v>
      </c>
      <c r="H32" s="49">
        <f>'Avg Week Lubiri-Ndeeba'!H32+'Avg Week Ndeeba-Lubiri'!H32</f>
        <v>0.14285714285714285</v>
      </c>
      <c r="I32" s="49">
        <f>'Avg Week Lubiri-Ndeeba'!I32+'Avg Week Ndeeba-Lubiri'!I32</f>
        <v>11.142857142857142</v>
      </c>
      <c r="J32" s="49">
        <f>'Avg Week Lubiri-Ndeeba'!J32+'Avg Week Ndeeba-Lubiri'!J32</f>
        <v>8.4285714285714288</v>
      </c>
      <c r="K32" s="49">
        <f>'Avg Week Lubiri-Ndeeba'!K32+'Avg Week Ndeeba-Lubiri'!K32</f>
        <v>1.5714285714285714</v>
      </c>
      <c r="L32" s="49">
        <f>'Avg Week Lubiri-Ndeeba'!L32+'Avg Week Ndeeba-Lubiri'!L32</f>
        <v>1.7142857142857144</v>
      </c>
      <c r="M32" s="49">
        <f>'Avg Week Lubiri-Ndeeba'!M32+'Avg Week Ndeeba-Lubiri'!M32</f>
        <v>497.28571428571433</v>
      </c>
      <c r="N32" s="49">
        <f>'Avg Week Lubiri-Ndeeba'!N32+'Avg Week Ndeeba-Lubiri'!N32</f>
        <v>0</v>
      </c>
      <c r="O32" s="17">
        <f t="shared" si="0"/>
        <v>198.42857142857142</v>
      </c>
      <c r="P32" s="17">
        <f t="shared" si="1"/>
        <v>695.71428571428578</v>
      </c>
      <c r="R32" s="1" t="s">
        <v>156</v>
      </c>
      <c r="S32" s="34">
        <f>SUM(C98:C101)</f>
        <v>31.5</v>
      </c>
      <c r="T32" s="34">
        <f t="shared" ref="T32:AF32" si="24">SUM(D98:D101)</f>
        <v>8</v>
      </c>
      <c r="U32" s="34">
        <f t="shared" si="24"/>
        <v>4.5</v>
      </c>
      <c r="V32" s="34">
        <f t="shared" si="24"/>
        <v>4.5</v>
      </c>
      <c r="W32" s="34">
        <f t="shared" si="24"/>
        <v>0.5</v>
      </c>
      <c r="X32" s="34">
        <f t="shared" si="24"/>
        <v>0</v>
      </c>
      <c r="Y32" s="34">
        <f t="shared" si="24"/>
        <v>5</v>
      </c>
      <c r="Z32" s="34">
        <f t="shared" si="24"/>
        <v>4</v>
      </c>
      <c r="AA32" s="34">
        <f t="shared" si="24"/>
        <v>1.5</v>
      </c>
      <c r="AB32" s="34">
        <f t="shared" si="24"/>
        <v>2.5</v>
      </c>
      <c r="AC32" s="34">
        <f t="shared" si="24"/>
        <v>87.5</v>
      </c>
      <c r="AD32" s="34">
        <f t="shared" si="24"/>
        <v>0</v>
      </c>
      <c r="AE32" s="31">
        <f t="shared" si="24"/>
        <v>62</v>
      </c>
      <c r="AF32" s="31">
        <f t="shared" si="24"/>
        <v>149.5</v>
      </c>
    </row>
    <row r="33" spans="2:32" ht="23.1" customHeight="1" x14ac:dyDescent="0.25">
      <c r="B33" s="23" t="s">
        <v>60</v>
      </c>
      <c r="C33" s="49">
        <f>'Avg Week Lubiri-Ndeeba'!C33+'Avg Week Ndeeba-Lubiri'!C33</f>
        <v>111.28571428571428</v>
      </c>
      <c r="D33" s="49">
        <f>'Avg Week Lubiri-Ndeeba'!D33+'Avg Week Ndeeba-Lubiri'!D33</f>
        <v>16.714285714285715</v>
      </c>
      <c r="E33" s="49">
        <f>'Avg Week Lubiri-Ndeeba'!E33+'Avg Week Ndeeba-Lubiri'!E33</f>
        <v>16.857142857142858</v>
      </c>
      <c r="F33" s="49">
        <f>'Avg Week Lubiri-Ndeeba'!F33+'Avg Week Ndeeba-Lubiri'!F33</f>
        <v>22.857142857142858</v>
      </c>
      <c r="G33" s="49">
        <f>'Avg Week Lubiri-Ndeeba'!G33+'Avg Week Ndeeba-Lubiri'!G33</f>
        <v>0.71428571428571419</v>
      </c>
      <c r="H33" s="49">
        <f>'Avg Week Lubiri-Ndeeba'!H33+'Avg Week Ndeeba-Lubiri'!H33</f>
        <v>0</v>
      </c>
      <c r="I33" s="49">
        <f>'Avg Week Lubiri-Ndeeba'!I33+'Avg Week Ndeeba-Lubiri'!I33</f>
        <v>12.857142857142858</v>
      </c>
      <c r="J33" s="49">
        <f>'Avg Week Lubiri-Ndeeba'!J33+'Avg Week Ndeeba-Lubiri'!J33</f>
        <v>6.8571428571428577</v>
      </c>
      <c r="K33" s="49">
        <f>'Avg Week Lubiri-Ndeeba'!K33+'Avg Week Ndeeba-Lubiri'!K33</f>
        <v>0.8571428571428571</v>
      </c>
      <c r="L33" s="49">
        <f>'Avg Week Lubiri-Ndeeba'!L33+'Avg Week Ndeeba-Lubiri'!L33</f>
        <v>1.5714285714285714</v>
      </c>
      <c r="M33" s="49">
        <f>'Avg Week Lubiri-Ndeeba'!M33+'Avg Week Ndeeba-Lubiri'!M33</f>
        <v>451.42857142857144</v>
      </c>
      <c r="N33" s="49">
        <f>'Avg Week Lubiri-Ndeeba'!N33+'Avg Week Ndeeba-Lubiri'!N33</f>
        <v>0</v>
      </c>
      <c r="O33" s="17">
        <f t="shared" si="0"/>
        <v>190.57142857142861</v>
      </c>
      <c r="P33" s="17">
        <f t="shared" si="1"/>
        <v>642</v>
      </c>
      <c r="R33" s="1" t="s">
        <v>157</v>
      </c>
      <c r="S33" s="34">
        <f>SUM(C102:C105)</f>
        <v>72</v>
      </c>
      <c r="T33" s="34">
        <f t="shared" ref="T33:AF33" si="25">SUM(D102:D105)</f>
        <v>12.5</v>
      </c>
      <c r="U33" s="34">
        <f t="shared" si="25"/>
        <v>7</v>
      </c>
      <c r="V33" s="34">
        <f t="shared" si="25"/>
        <v>19.5</v>
      </c>
      <c r="W33" s="34">
        <f t="shared" si="25"/>
        <v>2</v>
      </c>
      <c r="X33" s="34">
        <f t="shared" si="25"/>
        <v>0</v>
      </c>
      <c r="Y33" s="34">
        <f t="shared" si="25"/>
        <v>10.5</v>
      </c>
      <c r="Z33" s="34">
        <f t="shared" si="25"/>
        <v>4</v>
      </c>
      <c r="AA33" s="34">
        <f t="shared" si="25"/>
        <v>2</v>
      </c>
      <c r="AB33" s="34">
        <f t="shared" si="25"/>
        <v>1.5</v>
      </c>
      <c r="AC33" s="34">
        <f t="shared" si="25"/>
        <v>153</v>
      </c>
      <c r="AD33" s="34">
        <f t="shared" si="25"/>
        <v>0</v>
      </c>
      <c r="AE33" s="31">
        <f t="shared" si="25"/>
        <v>131</v>
      </c>
      <c r="AF33" s="31">
        <f t="shared" si="25"/>
        <v>284</v>
      </c>
    </row>
    <row r="34" spans="2:32" ht="23.1" customHeight="1" x14ac:dyDescent="0.25">
      <c r="B34" s="24" t="s">
        <v>61</v>
      </c>
      <c r="C34" s="49">
        <f>'Avg Week Lubiri-Ndeeba'!C34+'Avg Week Ndeeba-Lubiri'!C34</f>
        <v>123.71428571428571</v>
      </c>
      <c r="D34" s="49">
        <f>'Avg Week Lubiri-Ndeeba'!D34+'Avg Week Ndeeba-Lubiri'!D34</f>
        <v>14</v>
      </c>
      <c r="E34" s="49">
        <f>'Avg Week Lubiri-Ndeeba'!E34+'Avg Week Ndeeba-Lubiri'!E34</f>
        <v>13.571428571428573</v>
      </c>
      <c r="F34" s="49">
        <f>'Avg Week Lubiri-Ndeeba'!F34+'Avg Week Ndeeba-Lubiri'!F34</f>
        <v>17.285714285714285</v>
      </c>
      <c r="G34" s="49">
        <f>'Avg Week Lubiri-Ndeeba'!G34+'Avg Week Ndeeba-Lubiri'!G34</f>
        <v>0.5714285714285714</v>
      </c>
      <c r="H34" s="49">
        <f>'Avg Week Lubiri-Ndeeba'!H34+'Avg Week Ndeeba-Lubiri'!H34</f>
        <v>0.14285714285714285</v>
      </c>
      <c r="I34" s="49">
        <f>'Avg Week Lubiri-Ndeeba'!I34+'Avg Week Ndeeba-Lubiri'!I34</f>
        <v>9.8571428571428577</v>
      </c>
      <c r="J34" s="49">
        <f>'Avg Week Lubiri-Ndeeba'!J34+'Avg Week Ndeeba-Lubiri'!J34</f>
        <v>5.7142857142857144</v>
      </c>
      <c r="K34" s="49">
        <f>'Avg Week Lubiri-Ndeeba'!K34+'Avg Week Ndeeba-Lubiri'!K34</f>
        <v>1</v>
      </c>
      <c r="L34" s="49">
        <f>'Avg Week Lubiri-Ndeeba'!L34+'Avg Week Ndeeba-Lubiri'!L34</f>
        <v>0.5714285714285714</v>
      </c>
      <c r="M34" s="49">
        <f>'Avg Week Lubiri-Ndeeba'!M34+'Avg Week Ndeeba-Lubiri'!M34</f>
        <v>417.28571428571428</v>
      </c>
      <c r="N34" s="49">
        <f>'Avg Week Lubiri-Ndeeba'!N34+'Avg Week Ndeeba-Lubiri'!N34</f>
        <v>0</v>
      </c>
      <c r="O34" s="17">
        <f t="shared" si="0"/>
        <v>186.42857142857147</v>
      </c>
      <c r="P34" s="17">
        <f t="shared" si="1"/>
        <v>603.71428571428578</v>
      </c>
      <c r="R34" s="55" t="s">
        <v>90</v>
      </c>
      <c r="S34" s="56">
        <f t="shared" ref="S34:AF34" si="26">MAX(S10:S12)</f>
        <v>520</v>
      </c>
      <c r="T34" s="56">
        <f t="shared" si="26"/>
        <v>68.571428571428569</v>
      </c>
      <c r="U34" s="56">
        <f t="shared" si="26"/>
        <v>51</v>
      </c>
      <c r="V34" s="56">
        <f t="shared" si="26"/>
        <v>195</v>
      </c>
      <c r="W34" s="56">
        <f t="shared" si="26"/>
        <v>8.1428571428571423</v>
      </c>
      <c r="X34" s="56">
        <f t="shared" si="26"/>
        <v>0.99999999999999978</v>
      </c>
      <c r="Y34" s="56">
        <f t="shared" si="26"/>
        <v>43.571428571428569</v>
      </c>
      <c r="Z34" s="56">
        <f t="shared" si="26"/>
        <v>24</v>
      </c>
      <c r="AA34" s="56">
        <f t="shared" si="26"/>
        <v>7.8571428571428568</v>
      </c>
      <c r="AB34" s="56">
        <f t="shared" si="26"/>
        <v>37.428571428571431</v>
      </c>
      <c r="AC34" s="56">
        <f t="shared" si="26"/>
        <v>1790.1428571428571</v>
      </c>
      <c r="AD34" s="56">
        <f t="shared" si="26"/>
        <v>0</v>
      </c>
      <c r="AE34" s="40">
        <f t="shared" si="26"/>
        <v>884.57142857142856</v>
      </c>
      <c r="AF34" s="40">
        <f t="shared" si="26"/>
        <v>2611</v>
      </c>
    </row>
    <row r="35" spans="2:32" ht="23.1" customHeight="1" x14ac:dyDescent="0.25">
      <c r="B35" s="24" t="s">
        <v>62</v>
      </c>
      <c r="C35" s="49">
        <f>'Avg Week Lubiri-Ndeeba'!C35+'Avg Week Ndeeba-Lubiri'!C35</f>
        <v>126.42857142857142</v>
      </c>
      <c r="D35" s="49">
        <f>'Avg Week Lubiri-Ndeeba'!D35+'Avg Week Ndeeba-Lubiri'!D35</f>
        <v>21</v>
      </c>
      <c r="E35" s="49">
        <f>'Avg Week Lubiri-Ndeeba'!E35+'Avg Week Ndeeba-Lubiri'!E35</f>
        <v>9.7142857142857153</v>
      </c>
      <c r="F35" s="49">
        <f>'Avg Week Lubiri-Ndeeba'!F35+'Avg Week Ndeeba-Lubiri'!F35</f>
        <v>23.285714285714285</v>
      </c>
      <c r="G35" s="49">
        <f>'Avg Week Lubiri-Ndeeba'!G35+'Avg Week Ndeeba-Lubiri'!G35</f>
        <v>0.14285714285714285</v>
      </c>
      <c r="H35" s="49">
        <f>'Avg Week Lubiri-Ndeeba'!H35+'Avg Week Ndeeba-Lubiri'!H35</f>
        <v>7.1428571428571432</v>
      </c>
      <c r="I35" s="49">
        <f>'Avg Week Lubiri-Ndeeba'!I35+'Avg Week Ndeeba-Lubiri'!I35</f>
        <v>11.857142857142858</v>
      </c>
      <c r="J35" s="49">
        <f>'Avg Week Lubiri-Ndeeba'!J35+'Avg Week Ndeeba-Lubiri'!J35</f>
        <v>6.8571428571428577</v>
      </c>
      <c r="K35" s="49">
        <f>'Avg Week Lubiri-Ndeeba'!K35+'Avg Week Ndeeba-Lubiri'!K35</f>
        <v>0.8571428571428571</v>
      </c>
      <c r="L35" s="49">
        <f>'Avg Week Lubiri-Ndeeba'!L35+'Avg Week Ndeeba-Lubiri'!L35</f>
        <v>1</v>
      </c>
      <c r="M35" s="49">
        <f>'Avg Week Lubiri-Ndeeba'!M35+'Avg Week Ndeeba-Lubiri'!M35</f>
        <v>444.71428571428567</v>
      </c>
      <c r="N35" s="49">
        <f>'Avg Week Lubiri-Ndeeba'!N35+'Avg Week Ndeeba-Lubiri'!N35</f>
        <v>0</v>
      </c>
      <c r="O35" s="17">
        <f t="shared" si="0"/>
        <v>208.28571428571428</v>
      </c>
      <c r="P35" s="17">
        <f t="shared" si="1"/>
        <v>653</v>
      </c>
      <c r="R35" s="55" t="s">
        <v>91</v>
      </c>
      <c r="S35" s="56">
        <f t="shared" ref="S35:AF35" si="27">MAX(S13:S18)</f>
        <v>540</v>
      </c>
      <c r="T35" s="56">
        <f t="shared" si="27"/>
        <v>78.142857142857153</v>
      </c>
      <c r="U35" s="56">
        <f t="shared" si="27"/>
        <v>57.714285714285708</v>
      </c>
      <c r="V35" s="56">
        <f t="shared" si="27"/>
        <v>98.428571428571416</v>
      </c>
      <c r="W35" s="56">
        <f t="shared" si="27"/>
        <v>3.8571428571428572</v>
      </c>
      <c r="X35" s="56">
        <f t="shared" si="27"/>
        <v>7.2857142857142865</v>
      </c>
      <c r="Y35" s="56">
        <f t="shared" si="27"/>
        <v>55.285714285714285</v>
      </c>
      <c r="Z35" s="56">
        <f t="shared" si="27"/>
        <v>31.857142857142858</v>
      </c>
      <c r="AA35" s="56">
        <f t="shared" si="27"/>
        <v>7.7142857142857144</v>
      </c>
      <c r="AB35" s="56">
        <f t="shared" si="27"/>
        <v>4.8571428571428568</v>
      </c>
      <c r="AC35" s="56">
        <f t="shared" si="27"/>
        <v>1871</v>
      </c>
      <c r="AD35" s="56">
        <f t="shared" si="27"/>
        <v>0.5714285714285714</v>
      </c>
      <c r="AE35" s="40">
        <f t="shared" si="27"/>
        <v>837.14285714285711</v>
      </c>
      <c r="AF35" s="40">
        <f t="shared" si="27"/>
        <v>2659</v>
      </c>
    </row>
    <row r="36" spans="2:32" ht="23.1" customHeight="1" x14ac:dyDescent="0.25">
      <c r="B36" s="24" t="s">
        <v>63</v>
      </c>
      <c r="C36" s="49">
        <f>'Avg Week Lubiri-Ndeeba'!C36+'Avg Week Ndeeba-Lubiri'!C36</f>
        <v>106.57142857142858</v>
      </c>
      <c r="D36" s="49">
        <f>'Avg Week Lubiri-Ndeeba'!D36+'Avg Week Ndeeba-Lubiri'!D36</f>
        <v>18.285714285714285</v>
      </c>
      <c r="E36" s="49">
        <f>'Avg Week Lubiri-Ndeeba'!E36+'Avg Week Ndeeba-Lubiri'!E36</f>
        <v>10.142857142857142</v>
      </c>
      <c r="F36" s="49">
        <f>'Avg Week Lubiri-Ndeeba'!F36+'Avg Week Ndeeba-Lubiri'!F36</f>
        <v>23.428571428571431</v>
      </c>
      <c r="G36" s="49">
        <f>'Avg Week Lubiri-Ndeeba'!G36+'Avg Week Ndeeba-Lubiri'!G36</f>
        <v>0.14285714285714285</v>
      </c>
      <c r="H36" s="49">
        <f>'Avg Week Lubiri-Ndeeba'!H36+'Avg Week Ndeeba-Lubiri'!H36</f>
        <v>0</v>
      </c>
      <c r="I36" s="49">
        <f>'Avg Week Lubiri-Ndeeba'!I36+'Avg Week Ndeeba-Lubiri'!I36</f>
        <v>7.4285714285714288</v>
      </c>
      <c r="J36" s="49">
        <f>'Avg Week Lubiri-Ndeeba'!J36+'Avg Week Ndeeba-Lubiri'!J36</f>
        <v>7.5714285714285712</v>
      </c>
      <c r="K36" s="49">
        <f>'Avg Week Lubiri-Ndeeba'!K36+'Avg Week Ndeeba-Lubiri'!K36</f>
        <v>0.8571428571428571</v>
      </c>
      <c r="L36" s="49">
        <f>'Avg Week Lubiri-Ndeeba'!L36+'Avg Week Ndeeba-Lubiri'!L36</f>
        <v>1.3571428571428572</v>
      </c>
      <c r="M36" s="49">
        <f>'Avg Week Lubiri-Ndeeba'!M36+'Avg Week Ndeeba-Lubiri'!M36</f>
        <v>407.28571428571428</v>
      </c>
      <c r="N36" s="49">
        <f>'Avg Week Lubiri-Ndeeba'!N36+'Avg Week Ndeeba-Lubiri'!N36</f>
        <v>0.2857142857142857</v>
      </c>
      <c r="O36" s="17">
        <f t="shared" si="0"/>
        <v>176.07142857142858</v>
      </c>
      <c r="P36" s="17">
        <f t="shared" si="1"/>
        <v>583.35714285714289</v>
      </c>
      <c r="R36" s="55" t="s">
        <v>92</v>
      </c>
      <c r="S36" s="56">
        <f>MAX(S20:S22)</f>
        <v>577.28571428571433</v>
      </c>
      <c r="T36" s="56">
        <f t="shared" ref="T36:AF36" si="28">MAX(T19:T21)</f>
        <v>69.428571428571431</v>
      </c>
      <c r="U36" s="56">
        <f t="shared" si="28"/>
        <v>48.142857142857153</v>
      </c>
      <c r="V36" s="56">
        <f t="shared" si="28"/>
        <v>122.85714285714285</v>
      </c>
      <c r="W36" s="56">
        <f t="shared" si="28"/>
        <v>4.8571428571428577</v>
      </c>
      <c r="X36" s="56">
        <f t="shared" si="28"/>
        <v>1.5714285714285714</v>
      </c>
      <c r="Y36" s="56">
        <f t="shared" si="28"/>
        <v>38.571428571428569</v>
      </c>
      <c r="Z36" s="56">
        <f t="shared" si="28"/>
        <v>33.285714285714285</v>
      </c>
      <c r="AA36" s="56">
        <f t="shared" si="28"/>
        <v>4.4285714285714288</v>
      </c>
      <c r="AB36" s="56">
        <f t="shared" si="28"/>
        <v>4</v>
      </c>
      <c r="AC36" s="56">
        <f t="shared" si="28"/>
        <v>1858.8571428571427</v>
      </c>
      <c r="AD36" s="56">
        <f t="shared" si="28"/>
        <v>0.5714285714285714</v>
      </c>
      <c r="AE36" s="40">
        <f t="shared" si="28"/>
        <v>880.14285714285711</v>
      </c>
      <c r="AF36" s="40">
        <f t="shared" si="28"/>
        <v>2724.6428571428569</v>
      </c>
    </row>
    <row r="37" spans="2:32" ht="23.1" customHeight="1" x14ac:dyDescent="0.25">
      <c r="B37" s="23" t="s">
        <v>64</v>
      </c>
      <c r="C37" s="49">
        <f>'Avg Week Lubiri-Ndeeba'!C37+'Avg Week Ndeeba-Lubiri'!C37</f>
        <v>107.85714285714286</v>
      </c>
      <c r="D37" s="49">
        <f>'Avg Week Lubiri-Ndeeba'!D37+'Avg Week Ndeeba-Lubiri'!D37</f>
        <v>14.142857142857142</v>
      </c>
      <c r="E37" s="49">
        <f>'Avg Week Lubiri-Ndeeba'!E37+'Avg Week Ndeeba-Lubiri'!E37</f>
        <v>10.285714285714285</v>
      </c>
      <c r="F37" s="49">
        <f>'Avg Week Lubiri-Ndeeba'!F37+'Avg Week Ndeeba-Lubiri'!F37</f>
        <v>18.428571428571427</v>
      </c>
      <c r="G37" s="49">
        <f>'Avg Week Lubiri-Ndeeba'!G37+'Avg Week Ndeeba-Lubiri'!G37</f>
        <v>0.2857142857142857</v>
      </c>
      <c r="H37" s="49">
        <f>'Avg Week Lubiri-Ndeeba'!H37+'Avg Week Ndeeba-Lubiri'!H37</f>
        <v>0</v>
      </c>
      <c r="I37" s="49">
        <f>'Avg Week Lubiri-Ndeeba'!I37+'Avg Week Ndeeba-Lubiri'!I37</f>
        <v>8.2857142857142847</v>
      </c>
      <c r="J37" s="49">
        <f>'Avg Week Lubiri-Ndeeba'!J37+'Avg Week Ndeeba-Lubiri'!J37</f>
        <v>8.2857142857142865</v>
      </c>
      <c r="K37" s="49">
        <f>'Avg Week Lubiri-Ndeeba'!K37+'Avg Week Ndeeba-Lubiri'!K37</f>
        <v>0.5714285714285714</v>
      </c>
      <c r="L37" s="49">
        <f>'Avg Week Lubiri-Ndeeba'!L37+'Avg Week Ndeeba-Lubiri'!L37</f>
        <v>0.8571428571428571</v>
      </c>
      <c r="M37" s="49">
        <f>'Avg Week Lubiri-Ndeeba'!M37+'Avg Week Ndeeba-Lubiri'!M37</f>
        <v>408.14285714285717</v>
      </c>
      <c r="N37" s="49">
        <f>'Avg Week Lubiri-Ndeeba'!N37+'Avg Week Ndeeba-Lubiri'!N37</f>
        <v>0</v>
      </c>
      <c r="O37" s="17">
        <f t="shared" si="0"/>
        <v>168.99999999999997</v>
      </c>
      <c r="P37" s="17">
        <f t="shared" si="1"/>
        <v>577.14285714285711</v>
      </c>
      <c r="R37" s="37" t="s">
        <v>85</v>
      </c>
      <c r="S37" s="57">
        <f t="shared" ref="S37:AF37" si="29">SUM(S10:S12)</f>
        <v>1500.8571428571429</v>
      </c>
      <c r="T37" s="58">
        <f t="shared" si="29"/>
        <v>185</v>
      </c>
      <c r="U37" s="58">
        <f t="shared" si="29"/>
        <v>143.42857142857144</v>
      </c>
      <c r="V37" s="58">
        <f t="shared" si="29"/>
        <v>507.85714285714289</v>
      </c>
      <c r="W37" s="58">
        <f t="shared" si="29"/>
        <v>17.428571428571427</v>
      </c>
      <c r="X37" s="58">
        <f t="shared" si="29"/>
        <v>1.9999999999999996</v>
      </c>
      <c r="Y37" s="58">
        <f t="shared" si="29"/>
        <v>105.14285714285714</v>
      </c>
      <c r="Z37" s="58">
        <f t="shared" si="29"/>
        <v>60.142857142857139</v>
      </c>
      <c r="AA37" s="58">
        <f t="shared" si="29"/>
        <v>18.142857142857142</v>
      </c>
      <c r="AB37" s="58">
        <f t="shared" si="29"/>
        <v>41.428571428571431</v>
      </c>
      <c r="AC37" s="58">
        <f t="shared" si="29"/>
        <v>4519.1428571428569</v>
      </c>
      <c r="AD37" s="58">
        <f t="shared" si="29"/>
        <v>0</v>
      </c>
      <c r="AE37" s="59">
        <f t="shared" si="29"/>
        <v>2581.4285714285716</v>
      </c>
      <c r="AF37" s="59">
        <f t="shared" si="29"/>
        <v>7100.5714285714284</v>
      </c>
    </row>
    <row r="38" spans="2:32" ht="23.1" customHeight="1" x14ac:dyDescent="0.25">
      <c r="B38" s="24" t="s">
        <v>65</v>
      </c>
      <c r="C38" s="49">
        <f>'Avg Week Lubiri-Ndeeba'!C38+'Avg Week Ndeeba-Lubiri'!C38</f>
        <v>114</v>
      </c>
      <c r="D38" s="49">
        <f>'Avg Week Lubiri-Ndeeba'!D38+'Avg Week Ndeeba-Lubiri'!D38</f>
        <v>22.285714285714285</v>
      </c>
      <c r="E38" s="49">
        <f>'Avg Week Lubiri-Ndeeba'!E38+'Avg Week Ndeeba-Lubiri'!E38</f>
        <v>13.142857142857142</v>
      </c>
      <c r="F38" s="49">
        <f>'Avg Week Lubiri-Ndeeba'!F38+'Avg Week Ndeeba-Lubiri'!F38</f>
        <v>21.714285714285715</v>
      </c>
      <c r="G38" s="49">
        <f>'Avg Week Lubiri-Ndeeba'!G38+'Avg Week Ndeeba-Lubiri'!G38</f>
        <v>0.42857142857142855</v>
      </c>
      <c r="H38" s="49">
        <f>'Avg Week Lubiri-Ndeeba'!H38+'Avg Week Ndeeba-Lubiri'!H38</f>
        <v>0</v>
      </c>
      <c r="I38" s="49">
        <f>'Avg Week Lubiri-Ndeeba'!I38+'Avg Week Ndeeba-Lubiri'!I38</f>
        <v>9.2857142857142865</v>
      </c>
      <c r="J38" s="49">
        <f>'Avg Week Lubiri-Ndeeba'!J38+'Avg Week Ndeeba-Lubiri'!J38</f>
        <v>9.8571428571428577</v>
      </c>
      <c r="K38" s="49">
        <f>'Avg Week Lubiri-Ndeeba'!K38+'Avg Week Ndeeba-Lubiri'!K38</f>
        <v>1.1428571428571428</v>
      </c>
      <c r="L38" s="49">
        <f>'Avg Week Lubiri-Ndeeba'!L38+'Avg Week Ndeeba-Lubiri'!L38</f>
        <v>1</v>
      </c>
      <c r="M38" s="49">
        <f>'Avg Week Lubiri-Ndeeba'!M38+'Avg Week Ndeeba-Lubiri'!M38</f>
        <v>349.71428571428572</v>
      </c>
      <c r="N38" s="49">
        <f>'Avg Week Lubiri-Ndeeba'!N38+'Avg Week Ndeeba-Lubiri'!N38</f>
        <v>0.14285714285714285</v>
      </c>
      <c r="O38" s="17">
        <f t="shared" si="0"/>
        <v>192.99999999999997</v>
      </c>
      <c r="P38" s="17">
        <f t="shared" si="1"/>
        <v>542.71428571428567</v>
      </c>
      <c r="R38" s="28" t="s">
        <v>86</v>
      </c>
      <c r="S38" s="58">
        <f t="shared" ref="S38:AF38" si="30">SUM(S13:S18)</f>
        <v>2907.7142857142858</v>
      </c>
      <c r="T38" s="58">
        <f t="shared" si="30"/>
        <v>413.85714285714289</v>
      </c>
      <c r="U38" s="58">
        <f t="shared" si="30"/>
        <v>300.28571428571428</v>
      </c>
      <c r="V38" s="58">
        <f t="shared" si="30"/>
        <v>507.14285714285711</v>
      </c>
      <c r="W38" s="58">
        <f t="shared" si="30"/>
        <v>16.714285714285715</v>
      </c>
      <c r="X38" s="58">
        <f t="shared" si="30"/>
        <v>10.714285714285714</v>
      </c>
      <c r="Y38" s="58">
        <f t="shared" si="30"/>
        <v>267</v>
      </c>
      <c r="Z38" s="58">
        <f t="shared" si="30"/>
        <v>179.71428571428569</v>
      </c>
      <c r="AA38" s="58">
        <f t="shared" si="30"/>
        <v>27.285714285714285</v>
      </c>
      <c r="AB38" s="58">
        <f t="shared" si="30"/>
        <v>22.785714285714285</v>
      </c>
      <c r="AC38" s="58">
        <f t="shared" si="30"/>
        <v>10130.142857142859</v>
      </c>
      <c r="AD38" s="58">
        <f t="shared" si="30"/>
        <v>1.857142857142857</v>
      </c>
      <c r="AE38" s="59">
        <f t="shared" si="30"/>
        <v>4655.0714285714284</v>
      </c>
      <c r="AF38" s="59">
        <f t="shared" si="30"/>
        <v>14785.214285714286</v>
      </c>
    </row>
    <row r="39" spans="2:32" ht="23.1" customHeight="1" x14ac:dyDescent="0.25">
      <c r="B39" s="24" t="s">
        <v>66</v>
      </c>
      <c r="C39" s="49">
        <f>'Avg Week Lubiri-Ndeeba'!C39+'Avg Week Ndeeba-Lubiri'!C39</f>
        <v>105.28571428571428</v>
      </c>
      <c r="D39" s="49">
        <f>'Avg Week Lubiri-Ndeeba'!D39+'Avg Week Ndeeba-Lubiri'!D39</f>
        <v>23.142857142857146</v>
      </c>
      <c r="E39" s="49">
        <f>'Avg Week Lubiri-Ndeeba'!E39+'Avg Week Ndeeba-Lubiri'!E39</f>
        <v>12.285714285714286</v>
      </c>
      <c r="F39" s="49">
        <f>'Avg Week Lubiri-Ndeeba'!F39+'Avg Week Ndeeba-Lubiri'!F39</f>
        <v>16.857142857142858</v>
      </c>
      <c r="G39" s="49">
        <f>'Avg Week Lubiri-Ndeeba'!G39+'Avg Week Ndeeba-Lubiri'!G39</f>
        <v>0.2857142857142857</v>
      </c>
      <c r="H39" s="49">
        <f>'Avg Week Lubiri-Ndeeba'!H39+'Avg Week Ndeeba-Lubiri'!H39</f>
        <v>0.2857142857142857</v>
      </c>
      <c r="I39" s="49">
        <f>'Avg Week Lubiri-Ndeeba'!I39+'Avg Week Ndeeba-Lubiri'!I39</f>
        <v>11.428571428571429</v>
      </c>
      <c r="J39" s="49">
        <f>'Avg Week Lubiri-Ndeeba'!J39+'Avg Week Ndeeba-Lubiri'!J39</f>
        <v>7.7142857142857153</v>
      </c>
      <c r="K39" s="49">
        <f>'Avg Week Lubiri-Ndeeba'!K39+'Avg Week Ndeeba-Lubiri'!K39</f>
        <v>1.8571428571428572</v>
      </c>
      <c r="L39" s="49">
        <f>'Avg Week Lubiri-Ndeeba'!L39+'Avg Week Ndeeba-Lubiri'!L39</f>
        <v>1.5714285714285714</v>
      </c>
      <c r="M39" s="49">
        <f>'Avg Week Lubiri-Ndeeba'!M39+'Avg Week Ndeeba-Lubiri'!M39</f>
        <v>388.85714285714289</v>
      </c>
      <c r="N39" s="49">
        <f>'Avg Week Lubiri-Ndeeba'!N39+'Avg Week Ndeeba-Lubiri'!N39</f>
        <v>0</v>
      </c>
      <c r="O39" s="17">
        <f t="shared" si="0"/>
        <v>180.71428571428569</v>
      </c>
      <c r="P39" s="17">
        <f t="shared" si="1"/>
        <v>569.57142857142856</v>
      </c>
      <c r="R39" s="29" t="s">
        <v>87</v>
      </c>
      <c r="S39" s="58">
        <f t="shared" ref="S39:AF39" si="31">SUM(S19:S21)</f>
        <v>1631.4285714285716</v>
      </c>
      <c r="T39" s="58">
        <f t="shared" si="31"/>
        <v>196.85714285714283</v>
      </c>
      <c r="U39" s="58">
        <f t="shared" si="31"/>
        <v>135.57142857142858</v>
      </c>
      <c r="V39" s="58">
        <f t="shared" si="31"/>
        <v>305.14285714285711</v>
      </c>
      <c r="W39" s="58">
        <f t="shared" si="31"/>
        <v>12.571428571428571</v>
      </c>
      <c r="X39" s="58">
        <f t="shared" si="31"/>
        <v>3.1428571428571423</v>
      </c>
      <c r="Y39" s="58">
        <f t="shared" si="31"/>
        <v>109.14285714285714</v>
      </c>
      <c r="Z39" s="58">
        <f t="shared" si="31"/>
        <v>87.142857142857139</v>
      </c>
      <c r="AA39" s="58">
        <f t="shared" si="31"/>
        <v>12.285714285714285</v>
      </c>
      <c r="AB39" s="58">
        <f t="shared" si="31"/>
        <v>10.690476190476192</v>
      </c>
      <c r="AC39" s="58">
        <f t="shared" si="31"/>
        <v>5199.1428571428569</v>
      </c>
      <c r="AD39" s="58">
        <f t="shared" si="31"/>
        <v>0.8571428571428571</v>
      </c>
      <c r="AE39" s="59">
        <f t="shared" si="31"/>
        <v>2504.833333333333</v>
      </c>
      <c r="AF39" s="59">
        <f t="shared" si="31"/>
        <v>7703.9761904761899</v>
      </c>
    </row>
    <row r="40" spans="2:32" ht="23.1" customHeight="1" x14ac:dyDescent="0.25">
      <c r="B40" s="24" t="s">
        <v>67</v>
      </c>
      <c r="C40" s="49">
        <f>'Avg Week Lubiri-Ndeeba'!C40+'Avg Week Ndeeba-Lubiri'!C40</f>
        <v>105.14285714285714</v>
      </c>
      <c r="D40" s="49">
        <f>'Avg Week Lubiri-Ndeeba'!D40+'Avg Week Ndeeba-Lubiri'!D40</f>
        <v>15.714285714285715</v>
      </c>
      <c r="E40" s="49">
        <f>'Avg Week Lubiri-Ndeeba'!E40+'Avg Week Ndeeba-Lubiri'!E40</f>
        <v>11.142857142857142</v>
      </c>
      <c r="F40" s="49">
        <f>'Avg Week Lubiri-Ndeeba'!F40+'Avg Week Ndeeba-Lubiri'!F40</f>
        <v>21.428571428571427</v>
      </c>
      <c r="G40" s="49">
        <f>'Avg Week Lubiri-Ndeeba'!G40+'Avg Week Ndeeba-Lubiri'!G40</f>
        <v>1</v>
      </c>
      <c r="H40" s="49">
        <f>'Avg Week Lubiri-Ndeeba'!H40+'Avg Week Ndeeba-Lubiri'!H40</f>
        <v>1.4285714285714286</v>
      </c>
      <c r="I40" s="49">
        <f>'Avg Week Lubiri-Ndeeba'!I40+'Avg Week Ndeeba-Lubiri'!I40</f>
        <v>10.571428571428571</v>
      </c>
      <c r="J40" s="49">
        <f>'Avg Week Lubiri-Ndeeba'!J40+'Avg Week Ndeeba-Lubiri'!J40</f>
        <v>6.5714285714285712</v>
      </c>
      <c r="K40" s="49">
        <f>'Avg Week Lubiri-Ndeeba'!K40+'Avg Week Ndeeba-Lubiri'!K40</f>
        <v>3</v>
      </c>
      <c r="L40" s="49">
        <f>'Avg Week Lubiri-Ndeeba'!L40+'Avg Week Ndeeba-Lubiri'!L40</f>
        <v>0.85714285714285721</v>
      </c>
      <c r="M40" s="49">
        <f>'Avg Week Lubiri-Ndeeba'!M40+'Avg Week Ndeeba-Lubiri'!M40</f>
        <v>370.85714285714289</v>
      </c>
      <c r="N40" s="49">
        <f>'Avg Week Lubiri-Ndeeba'!N40+'Avg Week Ndeeba-Lubiri'!N40</f>
        <v>0.14285714285714285</v>
      </c>
      <c r="O40" s="17">
        <f t="shared" si="0"/>
        <v>177</v>
      </c>
      <c r="P40" s="17">
        <f t="shared" si="1"/>
        <v>547.85714285714289</v>
      </c>
      <c r="R40" s="5" t="s">
        <v>17</v>
      </c>
      <c r="S40" s="58">
        <f t="shared" ref="S40:AF40" si="32">SUM(S10:S21)</f>
        <v>6040</v>
      </c>
      <c r="T40" s="58">
        <f t="shared" si="32"/>
        <v>795.71428571428589</v>
      </c>
      <c r="U40" s="58">
        <f t="shared" si="32"/>
        <v>579.28571428571433</v>
      </c>
      <c r="V40" s="58">
        <f t="shared" si="32"/>
        <v>1320.1428571428571</v>
      </c>
      <c r="W40" s="58">
        <f t="shared" si="32"/>
        <v>46.714285714285708</v>
      </c>
      <c r="X40" s="58">
        <f t="shared" si="32"/>
        <v>15.857142857142858</v>
      </c>
      <c r="Y40" s="58">
        <f t="shared" si="32"/>
        <v>481.28571428571428</v>
      </c>
      <c r="Z40" s="58">
        <f t="shared" si="32"/>
        <v>327</v>
      </c>
      <c r="AA40" s="58">
        <f t="shared" si="32"/>
        <v>57.714285714285722</v>
      </c>
      <c r="AB40" s="58">
        <f t="shared" si="32"/>
        <v>74.904761904761898</v>
      </c>
      <c r="AC40" s="58">
        <f t="shared" si="32"/>
        <v>19848.428571428572</v>
      </c>
      <c r="AD40" s="58">
        <f t="shared" si="32"/>
        <v>2.7142857142857144</v>
      </c>
      <c r="AE40" s="59">
        <f t="shared" si="32"/>
        <v>9741.3333333333339</v>
      </c>
      <c r="AF40" s="59">
        <f t="shared" si="32"/>
        <v>29589.761904761901</v>
      </c>
    </row>
    <row r="41" spans="2:32" ht="23.1" customHeight="1" x14ac:dyDescent="0.25">
      <c r="B41" s="23" t="s">
        <v>68</v>
      </c>
      <c r="C41" s="49">
        <f>'Avg Week Lubiri-Ndeeba'!C41+'Avg Week Ndeeba-Lubiri'!C41</f>
        <v>114.85714285714286</v>
      </c>
      <c r="D41" s="49">
        <f>'Avg Week Lubiri-Ndeeba'!D41+'Avg Week Ndeeba-Lubiri'!D41</f>
        <v>16.142857142857142</v>
      </c>
      <c r="E41" s="49">
        <f>'Avg Week Lubiri-Ndeeba'!E41+'Avg Week Ndeeba-Lubiri'!E41</f>
        <v>10.714285714285715</v>
      </c>
      <c r="F41" s="49">
        <f>'Avg Week Lubiri-Ndeeba'!F41+'Avg Week Ndeeba-Lubiri'!F41</f>
        <v>19.142857142857142</v>
      </c>
      <c r="G41" s="49">
        <f>'Avg Week Lubiri-Ndeeba'!G41+'Avg Week Ndeeba-Lubiri'!G41</f>
        <v>1</v>
      </c>
      <c r="H41" s="49">
        <f>'Avg Week Lubiri-Ndeeba'!H41+'Avg Week Ndeeba-Lubiri'!H41</f>
        <v>0</v>
      </c>
      <c r="I41" s="49">
        <f>'Avg Week Lubiri-Ndeeba'!I41+'Avg Week Ndeeba-Lubiri'!I41</f>
        <v>6</v>
      </c>
      <c r="J41" s="49">
        <f>'Avg Week Lubiri-Ndeeba'!J41+'Avg Week Ndeeba-Lubiri'!J41</f>
        <v>6</v>
      </c>
      <c r="K41" s="49">
        <f>'Avg Week Lubiri-Ndeeba'!K41+'Avg Week Ndeeba-Lubiri'!K41</f>
        <v>1.7142857142857142</v>
      </c>
      <c r="L41" s="49">
        <f>'Avg Week Lubiri-Ndeeba'!L41+'Avg Week Ndeeba-Lubiri'!L41</f>
        <v>0.42857142857142855</v>
      </c>
      <c r="M41" s="49">
        <f>'Avg Week Lubiri-Ndeeba'!M41+'Avg Week Ndeeba-Lubiri'!M41</f>
        <v>354.57142857142856</v>
      </c>
      <c r="N41" s="49">
        <f>'Avg Week Lubiri-Ndeeba'!N41+'Avg Week Ndeeba-Lubiri'!N41</f>
        <v>0.14285714285714285</v>
      </c>
      <c r="O41" s="17">
        <f t="shared" si="0"/>
        <v>176.14285714285714</v>
      </c>
      <c r="P41" s="17">
        <f t="shared" si="1"/>
        <v>530.71428571428567</v>
      </c>
      <c r="R41" s="5" t="s">
        <v>183</v>
      </c>
      <c r="S41" s="58">
        <f>SUM(S10:S33)</f>
        <v>7980.5</v>
      </c>
      <c r="T41" s="58">
        <f t="shared" ref="T41:AD41" si="33">SUM(T10:T33)</f>
        <v>1103.2142857142858</v>
      </c>
      <c r="U41" s="58">
        <f t="shared" si="33"/>
        <v>738.78571428571433</v>
      </c>
      <c r="V41" s="58">
        <f t="shared" si="33"/>
        <v>2267.6428571428569</v>
      </c>
      <c r="W41" s="58">
        <f t="shared" si="33"/>
        <v>82.714285714285708</v>
      </c>
      <c r="X41" s="58">
        <f t="shared" si="33"/>
        <v>22.357142857142858</v>
      </c>
      <c r="Y41" s="58">
        <f t="shared" si="33"/>
        <v>640.78571428571422</v>
      </c>
      <c r="Z41" s="58">
        <f t="shared" si="33"/>
        <v>423.5</v>
      </c>
      <c r="AA41" s="58">
        <f t="shared" si="33"/>
        <v>87.214285714285722</v>
      </c>
      <c r="AB41" s="58">
        <f t="shared" si="33"/>
        <v>89.904761904761898</v>
      </c>
      <c r="AC41" s="58">
        <f t="shared" si="33"/>
        <v>25059.428571428572</v>
      </c>
      <c r="AD41" s="58">
        <f t="shared" si="33"/>
        <v>3.7142857142857144</v>
      </c>
      <c r="AE41" s="59">
        <f>SUM(AE10:AE33)</f>
        <v>13440.333333333334</v>
      </c>
      <c r="AF41" s="59">
        <f>SUM(AF10:AF33)</f>
        <v>38499.761904761901</v>
      </c>
    </row>
    <row r="42" spans="2:32" ht="23.1" customHeight="1" x14ac:dyDescent="0.25">
      <c r="B42" s="24" t="s">
        <v>69</v>
      </c>
      <c r="C42" s="49">
        <f>'Avg Week Lubiri-Ndeeba'!C42+'Avg Week Ndeeba-Lubiri'!C42</f>
        <v>112.14285714285714</v>
      </c>
      <c r="D42" s="49">
        <f>'Avg Week Lubiri-Ndeeba'!D42+'Avg Week Ndeeba-Lubiri'!D42</f>
        <v>16.428571428571431</v>
      </c>
      <c r="E42" s="49">
        <f>'Avg Week Lubiri-Ndeeba'!E42+'Avg Week Ndeeba-Lubiri'!E42</f>
        <v>15.142857142857142</v>
      </c>
      <c r="F42" s="49">
        <f>'Avg Week Lubiri-Ndeeba'!F42+'Avg Week Ndeeba-Lubiri'!F42</f>
        <v>20.857142857142858</v>
      </c>
      <c r="G42" s="49">
        <f>'Avg Week Lubiri-Ndeeba'!G42+'Avg Week Ndeeba-Lubiri'!G42</f>
        <v>0.14285714285714285</v>
      </c>
      <c r="H42" s="49">
        <f>'Avg Week Lubiri-Ndeeba'!H42+'Avg Week Ndeeba-Lubiri'!H42</f>
        <v>0.5714285714285714</v>
      </c>
      <c r="I42" s="49">
        <f>'Avg Week Lubiri-Ndeeba'!I42+'Avg Week Ndeeba-Lubiri'!I42</f>
        <v>7.5714285714285712</v>
      </c>
      <c r="J42" s="49">
        <f>'Avg Week Lubiri-Ndeeba'!J42+'Avg Week Ndeeba-Lubiri'!J42</f>
        <v>8.2857142857142847</v>
      </c>
      <c r="K42" s="49">
        <f>'Avg Week Lubiri-Ndeeba'!K42+'Avg Week Ndeeba-Lubiri'!K42</f>
        <v>1.5714285714285714</v>
      </c>
      <c r="L42" s="49">
        <f>'Avg Week Lubiri-Ndeeba'!L42+'Avg Week Ndeeba-Lubiri'!L42</f>
        <v>1.2857142857142856</v>
      </c>
      <c r="M42" s="49">
        <f>'Avg Week Lubiri-Ndeeba'!M42+'Avg Week Ndeeba-Lubiri'!M42</f>
        <v>336.71428571428567</v>
      </c>
      <c r="N42" s="49">
        <f>'Avg Week Lubiri-Ndeeba'!N42+'Avg Week Ndeeba-Lubiri'!N42</f>
        <v>0</v>
      </c>
      <c r="O42" s="17">
        <f t="shared" si="0"/>
        <v>184</v>
      </c>
      <c r="P42" s="17">
        <f t="shared" si="1"/>
        <v>520.71428571428567</v>
      </c>
      <c r="R42" s="5" t="s">
        <v>160</v>
      </c>
      <c r="S42" s="48">
        <f>S41/S40</f>
        <v>1.3212748344370862</v>
      </c>
      <c r="T42" s="48">
        <f t="shared" ref="T42:AF42" si="34">T41/T40</f>
        <v>1.3864452423698381</v>
      </c>
      <c r="U42" s="48">
        <f t="shared" si="34"/>
        <v>1.2753390875462391</v>
      </c>
      <c r="V42" s="48">
        <f t="shared" si="34"/>
        <v>1.7177253543988744</v>
      </c>
      <c r="W42" s="48">
        <f t="shared" si="34"/>
        <v>1.7706422018348624</v>
      </c>
      <c r="X42" s="48">
        <f t="shared" si="34"/>
        <v>1.4099099099099099</v>
      </c>
      <c r="Y42" s="48">
        <f t="shared" si="34"/>
        <v>1.3314039774413771</v>
      </c>
      <c r="Z42" s="48">
        <f t="shared" si="34"/>
        <v>1.2951070336391437</v>
      </c>
      <c r="AA42" s="48">
        <f t="shared" si="34"/>
        <v>1.511138613861386</v>
      </c>
      <c r="AB42" s="48">
        <f t="shared" si="34"/>
        <v>1.200254291163382</v>
      </c>
      <c r="AC42" s="48">
        <f t="shared" si="34"/>
        <v>1.2625396756850129</v>
      </c>
      <c r="AD42" s="48">
        <f t="shared" si="34"/>
        <v>1.368421052631579</v>
      </c>
      <c r="AE42" s="52">
        <f t="shared" si="34"/>
        <v>1.3797221461812208</v>
      </c>
      <c r="AF42" s="52">
        <f t="shared" si="34"/>
        <v>1.3011176645718838</v>
      </c>
    </row>
    <row r="43" spans="2:32" ht="23.1" customHeight="1" x14ac:dyDescent="0.25">
      <c r="B43" s="23" t="s">
        <v>70</v>
      </c>
      <c r="C43" s="49">
        <f>'Avg Week Lubiri-Ndeeba'!C43+'Avg Week Ndeeba-Lubiri'!C43</f>
        <v>113</v>
      </c>
      <c r="D43" s="49">
        <f>'Avg Week Lubiri-Ndeeba'!D43+'Avg Week Ndeeba-Lubiri'!D43</f>
        <v>12.571428571428573</v>
      </c>
      <c r="E43" s="49">
        <f>'Avg Week Lubiri-Ndeeba'!E43+'Avg Week Ndeeba-Lubiri'!E43</f>
        <v>10.714285714285715</v>
      </c>
      <c r="F43" s="49">
        <f>'Avg Week Lubiri-Ndeeba'!F43+'Avg Week Ndeeba-Lubiri'!F43</f>
        <v>17.714285714285715</v>
      </c>
      <c r="G43" s="49">
        <f>'Avg Week Lubiri-Ndeeba'!G43+'Avg Week Ndeeba-Lubiri'!G43</f>
        <v>0.71428571428571419</v>
      </c>
      <c r="H43" s="49">
        <f>'Avg Week Lubiri-Ndeeba'!H43+'Avg Week Ndeeba-Lubiri'!H43</f>
        <v>0</v>
      </c>
      <c r="I43" s="49">
        <f>'Avg Week Lubiri-Ndeeba'!I43+'Avg Week Ndeeba-Lubiri'!I43</f>
        <v>7.8571428571428568</v>
      </c>
      <c r="J43" s="49">
        <f>'Avg Week Lubiri-Ndeeba'!J43+'Avg Week Ndeeba-Lubiri'!J43</f>
        <v>7.7142857142857135</v>
      </c>
      <c r="K43" s="49">
        <f>'Avg Week Lubiri-Ndeeba'!K43+'Avg Week Ndeeba-Lubiri'!K43</f>
        <v>1.1428571428571428</v>
      </c>
      <c r="L43" s="49">
        <f>'Avg Week Lubiri-Ndeeba'!L43+'Avg Week Ndeeba-Lubiri'!L43</f>
        <v>0.2857142857142857</v>
      </c>
      <c r="M43" s="49">
        <f>'Avg Week Lubiri-Ndeeba'!M43+'Avg Week Ndeeba-Lubiri'!M43</f>
        <v>357.42857142857144</v>
      </c>
      <c r="N43" s="49">
        <f>'Avg Week Lubiri-Ndeeba'!N43+'Avg Week Ndeeba-Lubiri'!N43</f>
        <v>0</v>
      </c>
      <c r="O43" s="17">
        <f t="shared" si="0"/>
        <v>171.71428571428572</v>
      </c>
      <c r="P43" s="17">
        <f t="shared" si="1"/>
        <v>529.14285714285711</v>
      </c>
    </row>
    <row r="44" spans="2:32" ht="23.1" customHeight="1" x14ac:dyDescent="0.25">
      <c r="B44" s="25" t="s">
        <v>71</v>
      </c>
      <c r="C44" s="49">
        <f>'Avg Week Lubiri-Ndeeba'!C44+'Avg Week Ndeeba-Lubiri'!C44</f>
        <v>125.71428571428571</v>
      </c>
      <c r="D44" s="49">
        <f>'Avg Week Lubiri-Ndeeba'!D44+'Avg Week Ndeeba-Lubiri'!D44</f>
        <v>15.142857142857142</v>
      </c>
      <c r="E44" s="49">
        <f>'Avg Week Lubiri-Ndeeba'!E44+'Avg Week Ndeeba-Lubiri'!E44</f>
        <v>17.857142857142858</v>
      </c>
      <c r="F44" s="49">
        <f>'Avg Week Lubiri-Ndeeba'!F44+'Avg Week Ndeeba-Lubiri'!F44</f>
        <v>20.285714285714285</v>
      </c>
      <c r="G44" s="49">
        <f>'Avg Week Lubiri-Ndeeba'!G44+'Avg Week Ndeeba-Lubiri'!G44</f>
        <v>0.71428571428571419</v>
      </c>
      <c r="H44" s="49">
        <f>'Avg Week Lubiri-Ndeeba'!H44+'Avg Week Ndeeba-Lubiri'!H44</f>
        <v>0</v>
      </c>
      <c r="I44" s="49">
        <f>'Avg Week Lubiri-Ndeeba'!I44+'Avg Week Ndeeba-Lubiri'!I44</f>
        <v>11.285714285714285</v>
      </c>
      <c r="J44" s="49">
        <f>'Avg Week Lubiri-Ndeeba'!J44+'Avg Week Ndeeba-Lubiri'!J44</f>
        <v>8.7142857142857153</v>
      </c>
      <c r="K44" s="49">
        <f>'Avg Week Lubiri-Ndeeba'!K44+'Avg Week Ndeeba-Lubiri'!K44</f>
        <v>1.2857142857142856</v>
      </c>
      <c r="L44" s="49">
        <f>'Avg Week Lubiri-Ndeeba'!L44+'Avg Week Ndeeba-Lubiri'!L44</f>
        <v>1</v>
      </c>
      <c r="M44" s="49">
        <f>'Avg Week Lubiri-Ndeeba'!M44+'Avg Week Ndeeba-Lubiri'!M44</f>
        <v>387.42857142857144</v>
      </c>
      <c r="N44" s="49">
        <f>'Avg Week Lubiri-Ndeeba'!N44+'Avg Week Ndeeba-Lubiri'!N44</f>
        <v>0</v>
      </c>
      <c r="O44" s="17">
        <f t="shared" si="0"/>
        <v>202</v>
      </c>
      <c r="P44" s="17">
        <f t="shared" si="1"/>
        <v>589.42857142857144</v>
      </c>
    </row>
    <row r="45" spans="2:32" ht="23.1" customHeight="1" x14ac:dyDescent="0.25">
      <c r="B45" s="23" t="s">
        <v>72</v>
      </c>
      <c r="C45" s="49">
        <f>'Avg Week Lubiri-Ndeeba'!C45+'Avg Week Ndeeba-Lubiri'!C45</f>
        <v>121.57142857142858</v>
      </c>
      <c r="D45" s="49">
        <f>'Avg Week Lubiri-Ndeeba'!D45+'Avg Week Ndeeba-Lubiri'!D45</f>
        <v>14.714285714285715</v>
      </c>
      <c r="E45" s="49">
        <f>'Avg Week Lubiri-Ndeeba'!E45+'Avg Week Ndeeba-Lubiri'!E45</f>
        <v>10.428571428571429</v>
      </c>
      <c r="F45" s="49">
        <f>'Avg Week Lubiri-Ndeeba'!F45+'Avg Week Ndeeba-Lubiri'!F45</f>
        <v>14.285714285714286</v>
      </c>
      <c r="G45" s="49">
        <f>'Avg Week Lubiri-Ndeeba'!G45+'Avg Week Ndeeba-Lubiri'!G45</f>
        <v>1.1428571428571428</v>
      </c>
      <c r="H45" s="49">
        <f>'Avg Week Lubiri-Ndeeba'!H45+'Avg Week Ndeeba-Lubiri'!H45</f>
        <v>0</v>
      </c>
      <c r="I45" s="49">
        <f>'Avg Week Lubiri-Ndeeba'!I45+'Avg Week Ndeeba-Lubiri'!I45</f>
        <v>12</v>
      </c>
      <c r="J45" s="49">
        <f>'Avg Week Lubiri-Ndeeba'!J45+'Avg Week Ndeeba-Lubiri'!J45</f>
        <v>6.5714285714285712</v>
      </c>
      <c r="K45" s="49">
        <f>'Avg Week Lubiri-Ndeeba'!K45+'Avg Week Ndeeba-Lubiri'!K45</f>
        <v>0.71428571428571419</v>
      </c>
      <c r="L45" s="49">
        <f>'Avg Week Lubiri-Ndeeba'!L45+'Avg Week Ndeeba-Lubiri'!L45</f>
        <v>1</v>
      </c>
      <c r="M45" s="49">
        <f>'Avg Week Lubiri-Ndeeba'!M45+'Avg Week Ndeeba-Lubiri'!M45</f>
        <v>419.42857142857144</v>
      </c>
      <c r="N45" s="49">
        <f>'Avg Week Lubiri-Ndeeba'!N45+'Avg Week Ndeeba-Lubiri'!N45</f>
        <v>0.14285714285714285</v>
      </c>
      <c r="O45" s="17">
        <f t="shared" si="0"/>
        <v>182.57142857142858</v>
      </c>
      <c r="P45" s="17">
        <f t="shared" si="1"/>
        <v>602</v>
      </c>
    </row>
    <row r="46" spans="2:32" ht="23.1" customHeight="1" x14ac:dyDescent="0.25">
      <c r="B46" s="24" t="s">
        <v>73</v>
      </c>
      <c r="C46" s="49">
        <f>'Avg Week Lubiri-Ndeeba'!C46+'Avg Week Ndeeba-Lubiri'!C46</f>
        <v>116.85714285714286</v>
      </c>
      <c r="D46" s="49">
        <f>'Avg Week Lubiri-Ndeeba'!D46+'Avg Week Ndeeba-Lubiri'!D46</f>
        <v>17.428571428571427</v>
      </c>
      <c r="E46" s="49">
        <f>'Avg Week Lubiri-Ndeeba'!E46+'Avg Week Ndeeba-Lubiri'!E46</f>
        <v>13.571428571428571</v>
      </c>
      <c r="F46" s="49">
        <f>'Avg Week Lubiri-Ndeeba'!F46+'Avg Week Ndeeba-Lubiri'!F46</f>
        <v>19</v>
      </c>
      <c r="G46" s="49">
        <f>'Avg Week Lubiri-Ndeeba'!G46+'Avg Week Ndeeba-Lubiri'!G46</f>
        <v>0.7142857142857143</v>
      </c>
      <c r="H46" s="49">
        <f>'Avg Week Lubiri-Ndeeba'!H46+'Avg Week Ndeeba-Lubiri'!H46</f>
        <v>1.1428571428571428</v>
      </c>
      <c r="I46" s="49">
        <f>'Avg Week Lubiri-Ndeeba'!I46+'Avg Week Ndeeba-Lubiri'!I46</f>
        <v>11</v>
      </c>
      <c r="J46" s="49">
        <f>'Avg Week Lubiri-Ndeeba'!J46+'Avg Week Ndeeba-Lubiri'!J46</f>
        <v>6.8571428571428577</v>
      </c>
      <c r="K46" s="49">
        <f>'Avg Week Lubiri-Ndeeba'!K46+'Avg Week Ndeeba-Lubiri'!K46</f>
        <v>1.1428571428571428</v>
      </c>
      <c r="L46" s="49">
        <f>'Avg Week Lubiri-Ndeeba'!L46+'Avg Week Ndeeba-Lubiri'!L46</f>
        <v>1</v>
      </c>
      <c r="M46" s="49">
        <f>'Avg Week Lubiri-Ndeeba'!M46+'Avg Week Ndeeba-Lubiri'!M46</f>
        <v>379.28571428571433</v>
      </c>
      <c r="N46" s="49">
        <f>'Avg Week Lubiri-Ndeeba'!N46+'Avg Week Ndeeba-Lubiri'!N46</f>
        <v>0</v>
      </c>
      <c r="O46" s="17">
        <f t="shared" si="0"/>
        <v>188.71428571428572</v>
      </c>
      <c r="P46" s="17">
        <f t="shared" si="1"/>
        <v>568</v>
      </c>
      <c r="R46" s="19"/>
      <c r="T46"/>
    </row>
    <row r="47" spans="2:32" ht="23.1" customHeight="1" x14ac:dyDescent="0.25">
      <c r="B47" s="24" t="s">
        <v>74</v>
      </c>
      <c r="C47" s="49">
        <f>'Avg Week Lubiri-Ndeeba'!C47+'Avg Week Ndeeba-Lubiri'!C47</f>
        <v>121.42857142857143</v>
      </c>
      <c r="D47" s="49">
        <f>'Avg Week Lubiri-Ndeeba'!D47+'Avg Week Ndeeba-Lubiri'!D47</f>
        <v>11.857142857142858</v>
      </c>
      <c r="E47" s="49">
        <f>'Avg Week Lubiri-Ndeeba'!E47+'Avg Week Ndeeba-Lubiri'!E47</f>
        <v>8.1428571428571423</v>
      </c>
      <c r="F47" s="49">
        <f>'Avg Week Lubiri-Ndeeba'!F47+'Avg Week Ndeeba-Lubiri'!F47</f>
        <v>28.714285714285715</v>
      </c>
      <c r="G47" s="49">
        <f>'Avg Week Lubiri-Ndeeba'!G47+'Avg Week Ndeeba-Lubiri'!G47</f>
        <v>0.5714285714285714</v>
      </c>
      <c r="H47" s="49">
        <f>'Avg Week Lubiri-Ndeeba'!H47+'Avg Week Ndeeba-Lubiri'!H47</f>
        <v>0</v>
      </c>
      <c r="I47" s="49">
        <f>'Avg Week Lubiri-Ndeeba'!I47+'Avg Week Ndeeba-Lubiri'!I47</f>
        <v>8.2857142857142847</v>
      </c>
      <c r="J47" s="49">
        <f>'Avg Week Lubiri-Ndeeba'!J47+'Avg Week Ndeeba-Lubiri'!J47</f>
        <v>8.1428571428571423</v>
      </c>
      <c r="K47" s="49">
        <f>'Avg Week Lubiri-Ndeeba'!K47+'Avg Week Ndeeba-Lubiri'!K47</f>
        <v>1</v>
      </c>
      <c r="L47" s="49">
        <f>'Avg Week Lubiri-Ndeeba'!L47+'Avg Week Ndeeba-Lubiri'!L47</f>
        <v>0.61904761904761907</v>
      </c>
      <c r="M47" s="49">
        <f>'Avg Week Lubiri-Ndeeba'!M47+'Avg Week Ndeeba-Lubiri'!M47</f>
        <v>400</v>
      </c>
      <c r="N47" s="49">
        <f>'Avg Week Lubiri-Ndeeba'!N47+'Avg Week Ndeeba-Lubiri'!N47</f>
        <v>0</v>
      </c>
      <c r="O47" s="17">
        <f t="shared" si="0"/>
        <v>188.76190476190476</v>
      </c>
      <c r="P47" s="17">
        <f t="shared" si="1"/>
        <v>588.76190476190482</v>
      </c>
      <c r="R47" s="19"/>
      <c r="T47"/>
    </row>
    <row r="48" spans="2:32" ht="23.1" customHeight="1" x14ac:dyDescent="0.25">
      <c r="B48" s="24" t="s">
        <v>75</v>
      </c>
      <c r="C48" s="49">
        <f>'Avg Week Lubiri-Ndeeba'!C48+'Avg Week Ndeeba-Lubiri'!C48</f>
        <v>118.57142857142858</v>
      </c>
      <c r="D48" s="49">
        <f>'Avg Week Lubiri-Ndeeba'!D48+'Avg Week Ndeeba-Lubiri'!D48</f>
        <v>20.142857142857142</v>
      </c>
      <c r="E48" s="49">
        <f>'Avg Week Lubiri-Ndeeba'!E48+'Avg Week Ndeeba-Lubiri'!E48</f>
        <v>12.428571428571429</v>
      </c>
      <c r="F48" s="49">
        <f>'Avg Week Lubiri-Ndeeba'!F48+'Avg Week Ndeeba-Lubiri'!F48</f>
        <v>19.571428571428569</v>
      </c>
      <c r="G48" s="49">
        <f>'Avg Week Lubiri-Ndeeba'!G48+'Avg Week Ndeeba-Lubiri'!G48</f>
        <v>1.4285714285714284</v>
      </c>
      <c r="H48" s="49">
        <f>'Avg Week Lubiri-Ndeeba'!H48+'Avg Week Ndeeba-Lubiri'!H48</f>
        <v>0</v>
      </c>
      <c r="I48" s="49">
        <f>'Avg Week Lubiri-Ndeeba'!I48+'Avg Week Ndeeba-Lubiri'!I48</f>
        <v>10.571428571428571</v>
      </c>
      <c r="J48" s="49">
        <f>'Avg Week Lubiri-Ndeeba'!J48+'Avg Week Ndeeba-Lubiri'!J48</f>
        <v>6.5714285714285712</v>
      </c>
      <c r="K48" s="49">
        <f>'Avg Week Lubiri-Ndeeba'!K48+'Avg Week Ndeeba-Lubiri'!K48</f>
        <v>0.8571428571428571</v>
      </c>
      <c r="L48" s="49">
        <f>'Avg Week Lubiri-Ndeeba'!L48+'Avg Week Ndeeba-Lubiri'!L48</f>
        <v>0.5714285714285714</v>
      </c>
      <c r="M48" s="49">
        <f>'Avg Week Lubiri-Ndeeba'!M48+'Avg Week Ndeeba-Lubiri'!M48</f>
        <v>401</v>
      </c>
      <c r="N48" s="49">
        <f>'Avg Week Lubiri-Ndeeba'!N48+'Avg Week Ndeeba-Lubiri'!N48</f>
        <v>0.2857142857142857</v>
      </c>
      <c r="O48" s="17">
        <f t="shared" si="0"/>
        <v>191.00000000000003</v>
      </c>
      <c r="P48" s="17">
        <f t="shared" si="1"/>
        <v>592.00000000000011</v>
      </c>
      <c r="R48" s="19"/>
      <c r="T48"/>
    </row>
    <row r="49" spans="2:20" ht="23.1" customHeight="1" x14ac:dyDescent="0.25">
      <c r="B49" s="23" t="s">
        <v>76</v>
      </c>
      <c r="C49" s="49">
        <f>'Avg Week Lubiri-Ndeeba'!C49+'Avg Week Ndeeba-Lubiri'!C49</f>
        <v>129.71428571428572</v>
      </c>
      <c r="D49" s="49">
        <f>'Avg Week Lubiri-Ndeeba'!D49+'Avg Week Ndeeba-Lubiri'!D49</f>
        <v>13.428571428571429</v>
      </c>
      <c r="E49" s="49">
        <f>'Avg Week Lubiri-Ndeeba'!E49+'Avg Week Ndeeba-Lubiri'!E49</f>
        <v>9.2857142857142847</v>
      </c>
      <c r="F49" s="49">
        <f>'Avg Week Lubiri-Ndeeba'!F49+'Avg Week Ndeeba-Lubiri'!F49</f>
        <v>18.714285714285715</v>
      </c>
      <c r="G49" s="49">
        <f>'Avg Week Lubiri-Ndeeba'!G49+'Avg Week Ndeeba-Lubiri'!G49</f>
        <v>1.8571428571428572</v>
      </c>
      <c r="H49" s="49">
        <f>'Avg Week Lubiri-Ndeeba'!H49+'Avg Week Ndeeba-Lubiri'!H49</f>
        <v>0.14285714285714285</v>
      </c>
      <c r="I49" s="49">
        <f>'Avg Week Lubiri-Ndeeba'!I49+'Avg Week Ndeeba-Lubiri'!I49</f>
        <v>8.7142857142857153</v>
      </c>
      <c r="J49" s="49">
        <f>'Avg Week Lubiri-Ndeeba'!J49+'Avg Week Ndeeba-Lubiri'!J49</f>
        <v>6.4285714285714288</v>
      </c>
      <c r="K49" s="49">
        <f>'Avg Week Lubiri-Ndeeba'!K49+'Avg Week Ndeeba-Lubiri'!K49</f>
        <v>0.7142857142857143</v>
      </c>
      <c r="L49" s="49">
        <f>'Avg Week Lubiri-Ndeeba'!L49+'Avg Week Ndeeba-Lubiri'!L49</f>
        <v>1.4285714285714286</v>
      </c>
      <c r="M49" s="49">
        <f>'Avg Week Lubiri-Ndeeba'!M49+'Avg Week Ndeeba-Lubiri'!M49</f>
        <v>451.57142857142856</v>
      </c>
      <c r="N49" s="49">
        <f>'Avg Week Lubiri-Ndeeba'!N49+'Avg Week Ndeeba-Lubiri'!N49</f>
        <v>0</v>
      </c>
      <c r="O49" s="17">
        <f t="shared" si="0"/>
        <v>190.42857142857142</v>
      </c>
      <c r="P49" s="17">
        <f t="shared" si="1"/>
        <v>642</v>
      </c>
      <c r="R49" s="19"/>
      <c r="T49"/>
    </row>
    <row r="50" spans="2:20" ht="23.1" customHeight="1" x14ac:dyDescent="0.25">
      <c r="B50" s="24" t="s">
        <v>77</v>
      </c>
      <c r="C50" s="49">
        <f>'Avg Week Lubiri-Ndeeba'!C50+'Avg Week Ndeeba-Lubiri'!C50</f>
        <v>143.71428571428572</v>
      </c>
      <c r="D50" s="49">
        <f>'Avg Week Lubiri-Ndeeba'!D50+'Avg Week Ndeeba-Lubiri'!D50</f>
        <v>17.428571428571431</v>
      </c>
      <c r="E50" s="49">
        <f>'Avg Week Lubiri-Ndeeba'!E50+'Avg Week Ndeeba-Lubiri'!E50</f>
        <v>14.857142857142858</v>
      </c>
      <c r="F50" s="49">
        <f>'Avg Week Lubiri-Ndeeba'!F50+'Avg Week Ndeeba-Lubiri'!F50</f>
        <v>22.571428571428569</v>
      </c>
      <c r="G50" s="49">
        <f>'Avg Week Lubiri-Ndeeba'!G50+'Avg Week Ndeeba-Lubiri'!G50</f>
        <v>1</v>
      </c>
      <c r="H50" s="49">
        <f>'Avg Week Lubiri-Ndeeba'!H50+'Avg Week Ndeeba-Lubiri'!H50</f>
        <v>0.14285714285714285</v>
      </c>
      <c r="I50" s="49">
        <f>'Avg Week Lubiri-Ndeeba'!I50+'Avg Week Ndeeba-Lubiri'!I50</f>
        <v>11.714285714285715</v>
      </c>
      <c r="J50" s="49">
        <f>'Avg Week Lubiri-Ndeeba'!J50+'Avg Week Ndeeba-Lubiri'!J50</f>
        <v>9.428571428571427</v>
      </c>
      <c r="K50" s="49">
        <f>'Avg Week Lubiri-Ndeeba'!K50+'Avg Week Ndeeba-Lubiri'!K50</f>
        <v>0.85714285714285721</v>
      </c>
      <c r="L50" s="49">
        <f>'Avg Week Lubiri-Ndeeba'!L50+'Avg Week Ndeeba-Lubiri'!L50</f>
        <v>0.2857142857142857</v>
      </c>
      <c r="M50" s="49">
        <f>'Avg Week Lubiri-Ndeeba'!M50+'Avg Week Ndeeba-Lubiri'!M50</f>
        <v>438.28571428571428</v>
      </c>
      <c r="N50" s="49">
        <f>'Avg Week Lubiri-Ndeeba'!N50+'Avg Week Ndeeba-Lubiri'!N50</f>
        <v>0</v>
      </c>
      <c r="O50" s="17">
        <f t="shared" si="0"/>
        <v>222.00000000000003</v>
      </c>
      <c r="P50" s="17">
        <f t="shared" si="1"/>
        <v>660.28571428571433</v>
      </c>
      <c r="R50" s="19"/>
      <c r="T50"/>
    </row>
    <row r="51" spans="2:20" ht="23.1" customHeight="1" x14ac:dyDescent="0.25">
      <c r="B51" s="24" t="s">
        <v>78</v>
      </c>
      <c r="C51" s="49">
        <f>'Avg Week Lubiri-Ndeeba'!C51+'Avg Week Ndeeba-Lubiri'!C51</f>
        <v>147.57142857142858</v>
      </c>
      <c r="D51" s="49">
        <f>'Avg Week Lubiri-Ndeeba'!D51+'Avg Week Ndeeba-Lubiri'!D51</f>
        <v>14.857142857142858</v>
      </c>
      <c r="E51" s="49">
        <f>'Avg Week Lubiri-Ndeeba'!E51+'Avg Week Ndeeba-Lubiri'!E51</f>
        <v>13.571428571428571</v>
      </c>
      <c r="F51" s="49">
        <f>'Avg Week Lubiri-Ndeeba'!F51+'Avg Week Ndeeba-Lubiri'!F51</f>
        <v>21</v>
      </c>
      <c r="G51" s="49">
        <f>'Avg Week Lubiri-Ndeeba'!G51+'Avg Week Ndeeba-Lubiri'!G51</f>
        <v>0.14285714285714285</v>
      </c>
      <c r="H51" s="49">
        <f>'Avg Week Lubiri-Ndeeba'!H51+'Avg Week Ndeeba-Lubiri'!H51</f>
        <v>0</v>
      </c>
      <c r="I51" s="49">
        <f>'Avg Week Lubiri-Ndeeba'!I51+'Avg Week Ndeeba-Lubiri'!I51</f>
        <v>8</v>
      </c>
      <c r="J51" s="49">
        <f>'Avg Week Lubiri-Ndeeba'!J51+'Avg Week Ndeeba-Lubiri'!J51</f>
        <v>5.1428571428571432</v>
      </c>
      <c r="K51" s="49">
        <f>'Avg Week Lubiri-Ndeeba'!K51+'Avg Week Ndeeba-Lubiri'!K51</f>
        <v>1.1428571428571428</v>
      </c>
      <c r="L51" s="49">
        <f>'Avg Week Lubiri-Ndeeba'!L51+'Avg Week Ndeeba-Lubiri'!L51</f>
        <v>1</v>
      </c>
      <c r="M51" s="49">
        <f>'Avg Week Lubiri-Ndeeba'!M51+'Avg Week Ndeeba-Lubiri'!M51</f>
        <v>458.85714285714283</v>
      </c>
      <c r="N51" s="49">
        <f>'Avg Week Lubiri-Ndeeba'!N51+'Avg Week Ndeeba-Lubiri'!N51</f>
        <v>0</v>
      </c>
      <c r="O51" s="17">
        <f t="shared" si="0"/>
        <v>212.42857142857144</v>
      </c>
      <c r="P51" s="17">
        <f t="shared" si="1"/>
        <v>671.28571428571422</v>
      </c>
      <c r="R51" s="19"/>
      <c r="T51"/>
    </row>
    <row r="52" spans="2:20" ht="23.1" customHeight="1" x14ac:dyDescent="0.25">
      <c r="B52" s="24" t="s">
        <v>79</v>
      </c>
      <c r="C52" s="49">
        <f>'Avg Week Lubiri-Ndeeba'!C52+'Avg Week Ndeeba-Lubiri'!C52</f>
        <v>145.85714285714286</v>
      </c>
      <c r="D52" s="49">
        <f>'Avg Week Lubiri-Ndeeba'!D52+'Avg Week Ndeeba-Lubiri'!D52</f>
        <v>16.142857142857142</v>
      </c>
      <c r="E52" s="49">
        <f>'Avg Week Lubiri-Ndeeba'!E52+'Avg Week Ndeeba-Lubiri'!E52</f>
        <v>10.857142857142858</v>
      </c>
      <c r="F52" s="49">
        <f>'Avg Week Lubiri-Ndeeba'!F52+'Avg Week Ndeeba-Lubiri'!F52</f>
        <v>28</v>
      </c>
      <c r="G52" s="49">
        <f>'Avg Week Lubiri-Ndeeba'!G52+'Avg Week Ndeeba-Lubiri'!G52</f>
        <v>1.4285714285714284</v>
      </c>
      <c r="H52" s="49">
        <f>'Avg Week Lubiri-Ndeeba'!H52+'Avg Week Ndeeba-Lubiri'!H52</f>
        <v>0.14285714285714285</v>
      </c>
      <c r="I52" s="49">
        <f>'Avg Week Lubiri-Ndeeba'!I52+'Avg Week Ndeeba-Lubiri'!I52</f>
        <v>10.428571428571429</v>
      </c>
      <c r="J52" s="49">
        <f>'Avg Week Lubiri-Ndeeba'!J52+'Avg Week Ndeeba-Lubiri'!J52</f>
        <v>6.7142857142857144</v>
      </c>
      <c r="K52" s="49">
        <f>'Avg Week Lubiri-Ndeeba'!K52+'Avg Week Ndeeba-Lubiri'!K52</f>
        <v>1.2857142857142856</v>
      </c>
      <c r="L52" s="49">
        <f>'Avg Week Lubiri-Ndeeba'!L52+'Avg Week Ndeeba-Lubiri'!L52</f>
        <v>0.9285714285714286</v>
      </c>
      <c r="M52" s="49">
        <f>'Avg Week Lubiri-Ndeeba'!M52+'Avg Week Ndeeba-Lubiri'!M52</f>
        <v>494.28571428571428</v>
      </c>
      <c r="N52" s="49">
        <f>'Avg Week Lubiri-Ndeeba'!N52+'Avg Week Ndeeba-Lubiri'!N52</f>
        <v>0</v>
      </c>
      <c r="O52" s="17">
        <f t="shared" si="0"/>
        <v>221.78571428571425</v>
      </c>
      <c r="P52" s="17">
        <f t="shared" si="1"/>
        <v>716.07142857142856</v>
      </c>
      <c r="R52" s="19"/>
      <c r="T52"/>
    </row>
    <row r="53" spans="2:20" ht="23.1" customHeight="1" x14ac:dyDescent="0.25">
      <c r="B53" s="23" t="s">
        <v>80</v>
      </c>
      <c r="C53" s="49">
        <f>'Avg Week Lubiri-Ndeeba'!C53+'Avg Week Ndeeba-Lubiri'!C53</f>
        <v>140.14285714285714</v>
      </c>
      <c r="D53" s="49">
        <f>'Avg Week Lubiri-Ndeeba'!D53+'Avg Week Ndeeba-Lubiri'!D53</f>
        <v>21</v>
      </c>
      <c r="E53" s="49">
        <f>'Avg Week Lubiri-Ndeeba'!E53+'Avg Week Ndeeba-Lubiri'!E53</f>
        <v>8.8571428571428577</v>
      </c>
      <c r="F53" s="49">
        <f>'Avg Week Lubiri-Ndeeba'!F53+'Avg Week Ndeeba-Lubiri'!F53</f>
        <v>24.714285714285715</v>
      </c>
      <c r="G53" s="49">
        <f>'Avg Week Lubiri-Ndeeba'!G53+'Avg Week Ndeeba-Lubiri'!G53</f>
        <v>0.5714285714285714</v>
      </c>
      <c r="H53" s="49">
        <f>'Avg Week Lubiri-Ndeeba'!H53+'Avg Week Ndeeba-Lubiri'!H53</f>
        <v>0</v>
      </c>
      <c r="I53" s="49">
        <f>'Avg Week Lubiri-Ndeeba'!I53+'Avg Week Ndeeba-Lubiri'!I53</f>
        <v>7.7142857142857135</v>
      </c>
      <c r="J53" s="49">
        <f>'Avg Week Lubiri-Ndeeba'!J53+'Avg Week Ndeeba-Lubiri'!J53</f>
        <v>4.5714285714285712</v>
      </c>
      <c r="K53" s="49">
        <f>'Avg Week Lubiri-Ndeeba'!K53+'Avg Week Ndeeba-Lubiri'!K53</f>
        <v>1.1428571428571428</v>
      </c>
      <c r="L53" s="49">
        <f>'Avg Week Lubiri-Ndeeba'!L53+'Avg Week Ndeeba-Lubiri'!L53</f>
        <v>0.8571428571428571</v>
      </c>
      <c r="M53" s="49">
        <f>'Avg Week Lubiri-Ndeeba'!M53+'Avg Week Ndeeba-Lubiri'!M53</f>
        <v>467.42857142857144</v>
      </c>
      <c r="N53" s="49">
        <f>'Avg Week Lubiri-Ndeeba'!N53+'Avg Week Ndeeba-Lubiri'!N53</f>
        <v>0</v>
      </c>
      <c r="O53" s="17">
        <f t="shared" si="0"/>
        <v>209.57142857142861</v>
      </c>
      <c r="P53" s="17">
        <f t="shared" si="1"/>
        <v>677</v>
      </c>
      <c r="R53" s="19"/>
      <c r="T53"/>
    </row>
    <row r="54" spans="2:20" ht="23.1" customHeight="1" x14ac:dyDescent="0.25">
      <c r="B54" s="23" t="s">
        <v>81</v>
      </c>
      <c r="C54" s="49">
        <f>'Avg Week Lubiri-Ndeeba'!C54+'Avg Week Ndeeba-Lubiri'!C54</f>
        <v>137.14285714285714</v>
      </c>
      <c r="D54" s="49">
        <f>'Avg Week Lubiri-Ndeeba'!D54+'Avg Week Ndeeba-Lubiri'!D54</f>
        <v>13.571428571428571</v>
      </c>
      <c r="E54" s="49">
        <f>'Avg Week Lubiri-Ndeeba'!E54+'Avg Week Ndeeba-Lubiri'!E54</f>
        <v>12.571428571428573</v>
      </c>
      <c r="F54" s="49">
        <f>'Avg Week Lubiri-Ndeeba'!F54+'Avg Week Ndeeba-Lubiri'!F54</f>
        <v>25.857142857142854</v>
      </c>
      <c r="G54" s="49">
        <f>'Avg Week Lubiri-Ndeeba'!G54+'Avg Week Ndeeba-Lubiri'!G54</f>
        <v>0.85714285714285721</v>
      </c>
      <c r="H54" s="49">
        <f>'Avg Week Lubiri-Ndeeba'!H54+'Avg Week Ndeeba-Lubiri'!H54</f>
        <v>0.14285714285714285</v>
      </c>
      <c r="I54" s="49">
        <f>'Avg Week Lubiri-Ndeeba'!I54+'Avg Week Ndeeba-Lubiri'!I54</f>
        <v>7</v>
      </c>
      <c r="J54" s="49">
        <f>'Avg Week Lubiri-Ndeeba'!J54+'Avg Week Ndeeba-Lubiri'!J54</f>
        <v>5.8571428571428577</v>
      </c>
      <c r="K54" s="49">
        <f>'Avg Week Lubiri-Ndeeba'!K54+'Avg Week Ndeeba-Lubiri'!K54</f>
        <v>1.4285714285714286</v>
      </c>
      <c r="L54" s="49">
        <f>'Avg Week Lubiri-Ndeeba'!L54+'Avg Week Ndeeba-Lubiri'!L54</f>
        <v>0.8571428571428571</v>
      </c>
      <c r="M54" s="49">
        <f>'Avg Week Lubiri-Ndeeba'!M54+'Avg Week Ndeeba-Lubiri'!M54</f>
        <v>442.14285714285711</v>
      </c>
      <c r="N54" s="49">
        <f>'Avg Week Lubiri-Ndeeba'!N54+'Avg Week Ndeeba-Lubiri'!N54</f>
        <v>0.42857142857142855</v>
      </c>
      <c r="O54" s="17">
        <f t="shared" si="0"/>
        <v>205.71428571428572</v>
      </c>
      <c r="P54" s="17">
        <f t="shared" si="1"/>
        <v>647.85714285714289</v>
      </c>
      <c r="R54" s="19"/>
      <c r="T54"/>
    </row>
    <row r="55" spans="2:20" ht="23.1" customHeight="1" x14ac:dyDescent="0.25">
      <c r="B55" s="23" t="s">
        <v>82</v>
      </c>
      <c r="C55" s="49">
        <f>'Avg Week Lubiri-Ndeeba'!C55+'Avg Week Ndeeba-Lubiri'!C55</f>
        <v>147.42857142857144</v>
      </c>
      <c r="D55" s="49">
        <f>'Avg Week Lubiri-Ndeeba'!D55+'Avg Week Ndeeba-Lubiri'!D55</f>
        <v>14.571428571428571</v>
      </c>
      <c r="E55" s="49">
        <f>'Avg Week Lubiri-Ndeeba'!E55+'Avg Week Ndeeba-Lubiri'!E55</f>
        <v>12.428571428571429</v>
      </c>
      <c r="F55" s="49">
        <f>'Avg Week Lubiri-Ndeeba'!F55+'Avg Week Ndeeba-Lubiri'!F55</f>
        <v>33</v>
      </c>
      <c r="G55" s="49">
        <f>'Avg Week Lubiri-Ndeeba'!G55+'Avg Week Ndeeba-Lubiri'!G55</f>
        <v>1.1428571428571428</v>
      </c>
      <c r="H55" s="49">
        <f>'Avg Week Lubiri-Ndeeba'!H55+'Avg Week Ndeeba-Lubiri'!H55</f>
        <v>0.8571428571428571</v>
      </c>
      <c r="I55" s="49">
        <f>'Avg Week Lubiri-Ndeeba'!I55+'Avg Week Ndeeba-Lubiri'!I55</f>
        <v>8.7142857142857135</v>
      </c>
      <c r="J55" s="49">
        <f>'Avg Week Lubiri-Ndeeba'!J55+'Avg Week Ndeeba-Lubiri'!J55</f>
        <v>13.428571428571427</v>
      </c>
      <c r="K55" s="49">
        <f>'Avg Week Lubiri-Ndeeba'!K55+'Avg Week Ndeeba-Lubiri'!K55</f>
        <v>1.4285714285714284</v>
      </c>
      <c r="L55" s="49">
        <f>'Avg Week Lubiri-Ndeeba'!L55+'Avg Week Ndeeba-Lubiri'!L55</f>
        <v>0.71428571428571419</v>
      </c>
      <c r="M55" s="49">
        <f>'Avg Week Lubiri-Ndeeba'!M55+'Avg Week Ndeeba-Lubiri'!M55</f>
        <v>434.42857142857144</v>
      </c>
      <c r="N55" s="49">
        <f>'Avg Week Lubiri-Ndeeba'!N55+'Avg Week Ndeeba-Lubiri'!N55</f>
        <v>0</v>
      </c>
      <c r="O55" s="17">
        <f t="shared" si="0"/>
        <v>233.71428571428572</v>
      </c>
      <c r="P55" s="17">
        <f t="shared" si="1"/>
        <v>668.14285714285711</v>
      </c>
      <c r="R55" s="19"/>
      <c r="T55"/>
    </row>
    <row r="56" spans="2:20" ht="23.1" customHeight="1" x14ac:dyDescent="0.25">
      <c r="B56" s="23" t="s">
        <v>83</v>
      </c>
      <c r="C56" s="49">
        <f>'Avg Week Lubiri-Ndeeba'!C56+'Avg Week Ndeeba-Lubiri'!C56</f>
        <v>141.57142857142858</v>
      </c>
      <c r="D56" s="49">
        <f>'Avg Week Lubiri-Ndeeba'!D56+'Avg Week Ndeeba-Lubiri'!D56</f>
        <v>17.142857142857142</v>
      </c>
      <c r="E56" s="49">
        <f>'Avg Week Lubiri-Ndeeba'!E56+'Avg Week Ndeeba-Lubiri'!E56</f>
        <v>7</v>
      </c>
      <c r="F56" s="49">
        <f>'Avg Week Lubiri-Ndeeba'!F56+'Avg Week Ndeeba-Lubiri'!F56</f>
        <v>29.857142857142858</v>
      </c>
      <c r="G56" s="49">
        <f>'Avg Week Lubiri-Ndeeba'!G56+'Avg Week Ndeeba-Lubiri'!G56</f>
        <v>1.7142857142857142</v>
      </c>
      <c r="H56" s="49">
        <f>'Avg Week Lubiri-Ndeeba'!H56+'Avg Week Ndeeba-Lubiri'!H56</f>
        <v>0.42857142857142855</v>
      </c>
      <c r="I56" s="49">
        <f>'Avg Week Lubiri-Ndeeba'!I56+'Avg Week Ndeeba-Lubiri'!I56</f>
        <v>8.4285714285714288</v>
      </c>
      <c r="J56" s="49">
        <f>'Avg Week Lubiri-Ndeeba'!J56+'Avg Week Ndeeba-Lubiri'!J56</f>
        <v>9.5714285714285712</v>
      </c>
      <c r="K56" s="49">
        <f>'Avg Week Lubiri-Ndeeba'!K56+'Avg Week Ndeeba-Lubiri'!K56</f>
        <v>0.42857142857142855</v>
      </c>
      <c r="L56" s="49">
        <f>'Avg Week Lubiri-Ndeeba'!L56+'Avg Week Ndeeba-Lubiri'!L56</f>
        <v>1</v>
      </c>
      <c r="M56" s="49">
        <f>'Avg Week Lubiri-Ndeeba'!M56+'Avg Week Ndeeba-Lubiri'!M56</f>
        <v>442.42857142857144</v>
      </c>
      <c r="N56" s="49">
        <f>'Avg Week Lubiri-Ndeeba'!N56+'Avg Week Ndeeba-Lubiri'!N56</f>
        <v>0.14285714285714285</v>
      </c>
      <c r="O56" s="17">
        <f t="shared" si="0"/>
        <v>217.28571428571428</v>
      </c>
      <c r="P56" s="17">
        <f t="shared" si="1"/>
        <v>659.71428571428567</v>
      </c>
      <c r="R56" s="19"/>
      <c r="T56"/>
    </row>
    <row r="57" spans="2:20" ht="23.1" customHeight="1" x14ac:dyDescent="0.25">
      <c r="B57" s="23" t="s">
        <v>84</v>
      </c>
      <c r="C57" s="49">
        <f>'Avg Week Lubiri-Ndeeba'!C57+'Avg Week Ndeeba-Lubiri'!C57</f>
        <v>141.42857142857142</v>
      </c>
      <c r="D57" s="49">
        <f>'Avg Week Lubiri-Ndeeba'!D57+'Avg Week Ndeeba-Lubiri'!D57</f>
        <v>19.285714285714285</v>
      </c>
      <c r="E57" s="49">
        <f>'Avg Week Lubiri-Ndeeba'!E57+'Avg Week Ndeeba-Lubiri'!E57</f>
        <v>12</v>
      </c>
      <c r="F57" s="49">
        <f>'Avg Week Lubiri-Ndeeba'!F57+'Avg Week Ndeeba-Lubiri'!F57</f>
        <v>34.142857142857139</v>
      </c>
      <c r="G57" s="49">
        <f>'Avg Week Lubiri-Ndeeba'!G57+'Avg Week Ndeeba-Lubiri'!G57</f>
        <v>1.1428571428571428</v>
      </c>
      <c r="H57" s="49">
        <f>'Avg Week Lubiri-Ndeeba'!H57+'Avg Week Ndeeba-Lubiri'!H57</f>
        <v>0.14285714285714285</v>
      </c>
      <c r="I57" s="49">
        <f>'Avg Week Lubiri-Ndeeba'!I57+'Avg Week Ndeeba-Lubiri'!I57</f>
        <v>8.5714285714285712</v>
      </c>
      <c r="J57" s="49">
        <f>'Avg Week Lubiri-Ndeeba'!J57+'Avg Week Ndeeba-Lubiri'!J57</f>
        <v>4.4285714285714288</v>
      </c>
      <c r="K57" s="49">
        <f>'Avg Week Lubiri-Ndeeba'!K57+'Avg Week Ndeeba-Lubiri'!K57</f>
        <v>0.8571428571428571</v>
      </c>
      <c r="L57" s="49">
        <f>'Avg Week Lubiri-Ndeeba'!L57+'Avg Week Ndeeba-Lubiri'!L57</f>
        <v>1.4285714285714286</v>
      </c>
      <c r="M57" s="49">
        <f>'Avg Week Lubiri-Ndeeba'!M57+'Avg Week Ndeeba-Lubiri'!M57</f>
        <v>389.42857142857144</v>
      </c>
      <c r="N57" s="49">
        <f>'Avg Week Lubiri-Ndeeba'!N57+'Avg Week Ndeeba-Lubiri'!N57</f>
        <v>0</v>
      </c>
      <c r="O57" s="17">
        <f t="shared" si="0"/>
        <v>223.42857142857139</v>
      </c>
      <c r="P57" s="17">
        <f t="shared" si="1"/>
        <v>612.85714285714289</v>
      </c>
      <c r="R57" s="19"/>
      <c r="T57"/>
    </row>
    <row r="58" spans="2:20" ht="23.1" customHeight="1" x14ac:dyDescent="0.25">
      <c r="B58" s="23" t="s">
        <v>99</v>
      </c>
      <c r="C58" s="49">
        <f>'Avg Week Lubiri-Ndeeba'!C58+'Avg Week Ndeeba-Lubiri'!C58</f>
        <v>146</v>
      </c>
      <c r="D58" s="49">
        <f>'Avg Week Lubiri-Ndeeba'!D58+'Avg Week Ndeeba-Lubiri'!D58</f>
        <v>20.5</v>
      </c>
      <c r="E58" s="49">
        <f>'Avg Week Lubiri-Ndeeba'!E58+'Avg Week Ndeeba-Lubiri'!E58</f>
        <v>16</v>
      </c>
      <c r="F58" s="49">
        <f>'Avg Week Lubiri-Ndeeba'!F58+'Avg Week Ndeeba-Lubiri'!F58</f>
        <v>72.5</v>
      </c>
      <c r="G58" s="49">
        <f>'Avg Week Lubiri-Ndeeba'!G58+'Avg Week Ndeeba-Lubiri'!G58</f>
        <v>1</v>
      </c>
      <c r="H58" s="49">
        <f>'Avg Week Lubiri-Ndeeba'!H58+'Avg Week Ndeeba-Lubiri'!H58</f>
        <v>0</v>
      </c>
      <c r="I58" s="49">
        <f>'Avg Week Lubiri-Ndeeba'!I58+'Avg Week Ndeeba-Lubiri'!I58</f>
        <v>9</v>
      </c>
      <c r="J58" s="49">
        <f>'Avg Week Lubiri-Ndeeba'!J58+'Avg Week Ndeeba-Lubiri'!J58</f>
        <v>5.5</v>
      </c>
      <c r="K58" s="49">
        <f>'Avg Week Lubiri-Ndeeba'!K58+'Avg Week Ndeeba-Lubiri'!K58</f>
        <v>0.5</v>
      </c>
      <c r="L58" s="49">
        <f>'Avg Week Lubiri-Ndeeba'!L58+'Avg Week Ndeeba-Lubiri'!L58</f>
        <v>1</v>
      </c>
      <c r="M58" s="49">
        <f>'Avg Week Lubiri-Ndeeba'!M58+'Avg Week Ndeeba-Lubiri'!M58</f>
        <v>430.5</v>
      </c>
      <c r="N58" s="49">
        <f>'Avg Week Lubiri-Ndeeba'!N58+'Avg Week Ndeeba-Lubiri'!N58</f>
        <v>0</v>
      </c>
      <c r="O58" s="17">
        <f t="shared" si="0"/>
        <v>272</v>
      </c>
      <c r="P58" s="17">
        <f t="shared" si="1"/>
        <v>702.5</v>
      </c>
      <c r="R58" s="19"/>
      <c r="T58"/>
    </row>
    <row r="59" spans="2:20" ht="23.1" customHeight="1" x14ac:dyDescent="0.25">
      <c r="B59" s="23" t="s">
        <v>100</v>
      </c>
      <c r="C59" s="49">
        <f>'Avg Week Ndeeba-Lubiri'!C59+'Avg Week Lubiri-Ndeeba'!C59</f>
        <v>108</v>
      </c>
      <c r="D59" s="49">
        <f>'Avg Week Ndeeba-Lubiri'!D59+'Avg Week Lubiri-Ndeeba'!D59</f>
        <v>17.5</v>
      </c>
      <c r="E59" s="49">
        <f>'Avg Week Ndeeba-Lubiri'!E59+'Avg Week Lubiri-Ndeeba'!E59</f>
        <v>12.5</v>
      </c>
      <c r="F59" s="49">
        <f>'Avg Week Ndeeba-Lubiri'!F59+'Avg Week Lubiri-Ndeeba'!F59</f>
        <v>39</v>
      </c>
      <c r="G59" s="49">
        <f>'Avg Week Ndeeba-Lubiri'!G59+'Avg Week Lubiri-Ndeeba'!G59</f>
        <v>7.5</v>
      </c>
      <c r="H59" s="49">
        <f>'Avg Week Ndeeba-Lubiri'!H59+'Avg Week Lubiri-Ndeeba'!H59</f>
        <v>0.5</v>
      </c>
      <c r="I59" s="49">
        <f>'Avg Week Ndeeba-Lubiri'!I59+'Avg Week Lubiri-Ndeeba'!I59</f>
        <v>9.5</v>
      </c>
      <c r="J59" s="49">
        <f>'Avg Week Ndeeba-Lubiri'!J59+'Avg Week Lubiri-Ndeeba'!J59</f>
        <v>3</v>
      </c>
      <c r="K59" s="49">
        <f>'Avg Week Ndeeba-Lubiri'!K59+'Avg Week Lubiri-Ndeeba'!K59</f>
        <v>0.5</v>
      </c>
      <c r="L59" s="49">
        <f>'Avg Week Ndeeba-Lubiri'!L59+'Avg Week Lubiri-Ndeeba'!L59</f>
        <v>0</v>
      </c>
      <c r="M59" s="49">
        <f>'Avg Week Ndeeba-Lubiri'!M59+'Avg Week Lubiri-Ndeeba'!M59</f>
        <v>342</v>
      </c>
      <c r="N59" s="49">
        <f>'Avg Week Ndeeba-Lubiri'!N59+'Avg Week Lubiri-Ndeeba'!N59</f>
        <v>0</v>
      </c>
      <c r="O59" s="17">
        <f t="shared" si="0"/>
        <v>198</v>
      </c>
      <c r="P59" s="17">
        <f t="shared" si="1"/>
        <v>540</v>
      </c>
      <c r="R59" s="19"/>
      <c r="T59"/>
    </row>
    <row r="60" spans="2:20" ht="23.1" customHeight="1" x14ac:dyDescent="0.25">
      <c r="B60" s="23" t="s">
        <v>101</v>
      </c>
      <c r="C60" s="49">
        <f>'Avg Week Ndeeba-Lubiri'!C60+'Avg Week Lubiri-Ndeeba'!C60</f>
        <v>123.5</v>
      </c>
      <c r="D60" s="49">
        <f>'Avg Week Ndeeba-Lubiri'!D60+'Avg Week Lubiri-Ndeeba'!D60</f>
        <v>19</v>
      </c>
      <c r="E60" s="49">
        <f>'Avg Week Ndeeba-Lubiri'!E60+'Avg Week Lubiri-Ndeeba'!E60</f>
        <v>13</v>
      </c>
      <c r="F60" s="49">
        <f>'Avg Week Ndeeba-Lubiri'!F60+'Avg Week Lubiri-Ndeeba'!F60</f>
        <v>66.5</v>
      </c>
      <c r="G60" s="49">
        <f>'Avg Week Ndeeba-Lubiri'!G60+'Avg Week Lubiri-Ndeeba'!G60</f>
        <v>4</v>
      </c>
      <c r="H60" s="49">
        <f>'Avg Week Ndeeba-Lubiri'!H60+'Avg Week Lubiri-Ndeeba'!H60</f>
        <v>0</v>
      </c>
      <c r="I60" s="49">
        <f>'Avg Week Ndeeba-Lubiri'!I60+'Avg Week Lubiri-Ndeeba'!I60</f>
        <v>9.5</v>
      </c>
      <c r="J60" s="49">
        <f>'Avg Week Ndeeba-Lubiri'!J60+'Avg Week Lubiri-Ndeeba'!J60</f>
        <v>3</v>
      </c>
      <c r="K60" s="49">
        <f>'Avg Week Ndeeba-Lubiri'!K60+'Avg Week Lubiri-Ndeeba'!K60</f>
        <v>0.5</v>
      </c>
      <c r="L60" s="49">
        <f>'Avg Week Ndeeba-Lubiri'!L60+'Avg Week Lubiri-Ndeeba'!L60</f>
        <v>1</v>
      </c>
      <c r="M60" s="49">
        <f>'Avg Week Ndeeba-Lubiri'!M60+'Avg Week Lubiri-Ndeeba'!M60</f>
        <v>362.5</v>
      </c>
      <c r="N60" s="49">
        <f>'Avg Week Ndeeba-Lubiri'!N60+'Avg Week Lubiri-Ndeeba'!N60</f>
        <v>0</v>
      </c>
      <c r="O60" s="17">
        <f t="shared" si="0"/>
        <v>240</v>
      </c>
      <c r="P60" s="17">
        <f t="shared" si="1"/>
        <v>602.5</v>
      </c>
      <c r="R60" s="19"/>
      <c r="T60"/>
    </row>
    <row r="61" spans="2:20" ht="23.1" customHeight="1" x14ac:dyDescent="0.25">
      <c r="B61" s="23" t="s">
        <v>102</v>
      </c>
      <c r="C61" s="49">
        <f>'Avg Week Ndeeba-Lubiri'!C61+'Avg Week Lubiri-Ndeeba'!C61</f>
        <v>119</v>
      </c>
      <c r="D61" s="49">
        <f>'Avg Week Ndeeba-Lubiri'!D61+'Avg Week Lubiri-Ndeeba'!D61</f>
        <v>15</v>
      </c>
      <c r="E61" s="49">
        <f>'Avg Week Ndeeba-Lubiri'!E61+'Avg Week Lubiri-Ndeeba'!E61</f>
        <v>8</v>
      </c>
      <c r="F61" s="49">
        <f>'Avg Week Ndeeba-Lubiri'!F61+'Avg Week Lubiri-Ndeeba'!F61</f>
        <v>76.5</v>
      </c>
      <c r="G61" s="49">
        <f>'Avg Week Ndeeba-Lubiri'!G61+'Avg Week Lubiri-Ndeeba'!G61</f>
        <v>1.5</v>
      </c>
      <c r="H61" s="49">
        <f>'Avg Week Ndeeba-Lubiri'!H61+'Avg Week Lubiri-Ndeeba'!H61</f>
        <v>0</v>
      </c>
      <c r="I61" s="49">
        <f>'Avg Week Ndeeba-Lubiri'!I61+'Avg Week Lubiri-Ndeeba'!I61</f>
        <v>4.5</v>
      </c>
      <c r="J61" s="49">
        <f>'Avg Week Ndeeba-Lubiri'!J61+'Avg Week Lubiri-Ndeeba'!J61</f>
        <v>5</v>
      </c>
      <c r="K61" s="49">
        <f>'Avg Week Ndeeba-Lubiri'!K61+'Avg Week Lubiri-Ndeeba'!K61</f>
        <v>1.5</v>
      </c>
      <c r="L61" s="49">
        <f>'Avg Week Ndeeba-Lubiri'!L61+'Avg Week Lubiri-Ndeeba'!L61</f>
        <v>2.5</v>
      </c>
      <c r="M61" s="49">
        <f>'Avg Week Ndeeba-Lubiri'!M61+'Avg Week Lubiri-Ndeeba'!M61</f>
        <v>242.5</v>
      </c>
      <c r="N61" s="49">
        <f>'Avg Week Ndeeba-Lubiri'!N61+'Avg Week Lubiri-Ndeeba'!N61</f>
        <v>0</v>
      </c>
      <c r="O61" s="17">
        <f t="shared" si="0"/>
        <v>233.5</v>
      </c>
      <c r="P61" s="17">
        <f t="shared" si="1"/>
        <v>476</v>
      </c>
      <c r="R61" s="19"/>
      <c r="T61"/>
    </row>
    <row r="62" spans="2:20" ht="23.1" customHeight="1" x14ac:dyDescent="0.25">
      <c r="B62" s="23" t="s">
        <v>107</v>
      </c>
      <c r="C62" s="49">
        <f>'Avg Week Ndeeba-Lubiri'!C62+'Avg Week Lubiri-Ndeeba'!C62</f>
        <v>146</v>
      </c>
      <c r="D62" s="49">
        <f>'Avg Week Ndeeba-Lubiri'!D62+'Avg Week Lubiri-Ndeeba'!D62</f>
        <v>32.5</v>
      </c>
      <c r="E62" s="49">
        <f>'Avg Week Ndeeba-Lubiri'!E62+'Avg Week Lubiri-Ndeeba'!E62</f>
        <v>12</v>
      </c>
      <c r="F62" s="49">
        <f>'Avg Week Ndeeba-Lubiri'!F62+'Avg Week Lubiri-Ndeeba'!F62</f>
        <v>100</v>
      </c>
      <c r="G62" s="49">
        <f>'Avg Week Ndeeba-Lubiri'!G62+'Avg Week Lubiri-Ndeeba'!G62</f>
        <v>3.5</v>
      </c>
      <c r="H62" s="49">
        <f>'Avg Week Ndeeba-Lubiri'!H62+'Avg Week Lubiri-Ndeeba'!H62</f>
        <v>0</v>
      </c>
      <c r="I62" s="49">
        <f>'Avg Week Ndeeba-Lubiri'!I62+'Avg Week Lubiri-Ndeeba'!I62</f>
        <v>12</v>
      </c>
      <c r="J62" s="49">
        <f>'Avg Week Ndeeba-Lubiri'!J62+'Avg Week Lubiri-Ndeeba'!J62</f>
        <v>10</v>
      </c>
      <c r="K62" s="49">
        <f>'Avg Week Ndeeba-Lubiri'!K62+'Avg Week Lubiri-Ndeeba'!K62</f>
        <v>3.5</v>
      </c>
      <c r="L62" s="49">
        <f>'Avg Week Ndeeba-Lubiri'!L62+'Avg Week Lubiri-Ndeeba'!L62</f>
        <v>0.5</v>
      </c>
      <c r="M62" s="49">
        <f>'Avg Week Ndeeba-Lubiri'!M62+'Avg Week Lubiri-Ndeeba'!M62</f>
        <v>407</v>
      </c>
      <c r="N62" s="49">
        <f>'Avg Week Ndeeba-Lubiri'!N62+'Avg Week Lubiri-Ndeeba'!N62</f>
        <v>0</v>
      </c>
      <c r="O62" s="17">
        <f t="shared" si="0"/>
        <v>320</v>
      </c>
      <c r="P62" s="17">
        <f t="shared" si="1"/>
        <v>727</v>
      </c>
      <c r="R62" s="19"/>
      <c r="T62"/>
    </row>
    <row r="63" spans="2:20" ht="23.1" customHeight="1" x14ac:dyDescent="0.25">
      <c r="B63" s="23" t="s">
        <v>108</v>
      </c>
      <c r="C63" s="49">
        <f>'Avg Week Ndeeba-Lubiri'!C63+'Avg Week Lubiri-Ndeeba'!C63</f>
        <v>76</v>
      </c>
      <c r="D63" s="49">
        <f>'Avg Week Ndeeba-Lubiri'!D63+'Avg Week Lubiri-Ndeeba'!D63</f>
        <v>8.5</v>
      </c>
      <c r="E63" s="49">
        <f>'Avg Week Ndeeba-Lubiri'!E63+'Avg Week Lubiri-Ndeeba'!E63</f>
        <v>5.5</v>
      </c>
      <c r="F63" s="49">
        <f>'Avg Week Ndeeba-Lubiri'!F63+'Avg Week Lubiri-Ndeeba'!F63</f>
        <v>66.5</v>
      </c>
      <c r="G63" s="49">
        <f>'Avg Week Ndeeba-Lubiri'!G63+'Avg Week Lubiri-Ndeeba'!G63</f>
        <v>1</v>
      </c>
      <c r="H63" s="49">
        <f>'Avg Week Ndeeba-Lubiri'!H63+'Avg Week Lubiri-Ndeeba'!H63</f>
        <v>0</v>
      </c>
      <c r="I63" s="49">
        <f>'Avg Week Ndeeba-Lubiri'!I63+'Avg Week Lubiri-Ndeeba'!I63</f>
        <v>6.5</v>
      </c>
      <c r="J63" s="49">
        <f>'Avg Week Ndeeba-Lubiri'!J63+'Avg Week Lubiri-Ndeeba'!J63</f>
        <v>3</v>
      </c>
      <c r="K63" s="49">
        <f>'Avg Week Ndeeba-Lubiri'!K63+'Avg Week Lubiri-Ndeeba'!K63</f>
        <v>2.5</v>
      </c>
      <c r="L63" s="49">
        <f>'Avg Week Ndeeba-Lubiri'!L63+'Avg Week Lubiri-Ndeeba'!L63</f>
        <v>0.5</v>
      </c>
      <c r="M63" s="49">
        <f>'Avg Week Ndeeba-Lubiri'!M63+'Avg Week Lubiri-Ndeeba'!M63</f>
        <v>370</v>
      </c>
      <c r="N63" s="49">
        <f>'Avg Week Ndeeba-Lubiri'!N63+'Avg Week Lubiri-Ndeeba'!N63</f>
        <v>0</v>
      </c>
      <c r="O63" s="17">
        <f t="shared" si="0"/>
        <v>170</v>
      </c>
      <c r="P63" s="17">
        <f t="shared" si="1"/>
        <v>540</v>
      </c>
      <c r="R63" s="19"/>
      <c r="T63"/>
    </row>
    <row r="64" spans="2:20" ht="23.1" customHeight="1" x14ac:dyDescent="0.25">
      <c r="B64" s="23" t="s">
        <v>109</v>
      </c>
      <c r="C64" s="49">
        <f>'Avg Week Ndeeba-Lubiri'!C64+'Avg Week Lubiri-Ndeeba'!C64</f>
        <v>103.5</v>
      </c>
      <c r="D64" s="49">
        <f>'Avg Week Ndeeba-Lubiri'!D64+'Avg Week Lubiri-Ndeeba'!D64</f>
        <v>4</v>
      </c>
      <c r="E64" s="49">
        <f>'Avg Week Ndeeba-Lubiri'!E64+'Avg Week Lubiri-Ndeeba'!E64</f>
        <v>7</v>
      </c>
      <c r="F64" s="49">
        <f>'Avg Week Ndeeba-Lubiri'!F64+'Avg Week Lubiri-Ndeeba'!F64</f>
        <v>89</v>
      </c>
      <c r="G64" s="49">
        <f>'Avg Week Ndeeba-Lubiri'!G64+'Avg Week Lubiri-Ndeeba'!G64</f>
        <v>1.5</v>
      </c>
      <c r="H64" s="49">
        <f>'Avg Week Ndeeba-Lubiri'!H64+'Avg Week Lubiri-Ndeeba'!H64</f>
        <v>0</v>
      </c>
      <c r="I64" s="49">
        <f>'Avg Week Ndeeba-Lubiri'!I64+'Avg Week Lubiri-Ndeeba'!I64</f>
        <v>8</v>
      </c>
      <c r="J64" s="49">
        <f>'Avg Week Ndeeba-Lubiri'!J64+'Avg Week Lubiri-Ndeeba'!J64</f>
        <v>3</v>
      </c>
      <c r="K64" s="49">
        <f>'Avg Week Ndeeba-Lubiri'!K64+'Avg Week Lubiri-Ndeeba'!K64</f>
        <v>2.5</v>
      </c>
      <c r="L64" s="49">
        <f>'Avg Week Ndeeba-Lubiri'!L64+'Avg Week Lubiri-Ndeeba'!L64</f>
        <v>0</v>
      </c>
      <c r="M64" s="49">
        <f>'Avg Week Ndeeba-Lubiri'!M64+'Avg Week Lubiri-Ndeeba'!M64</f>
        <v>360</v>
      </c>
      <c r="N64" s="49">
        <f>'Avg Week Ndeeba-Lubiri'!N64+'Avg Week Lubiri-Ndeeba'!N64</f>
        <v>0.5</v>
      </c>
      <c r="O64" s="17">
        <f t="shared" si="0"/>
        <v>219</v>
      </c>
      <c r="P64" s="17">
        <f t="shared" si="1"/>
        <v>579</v>
      </c>
      <c r="R64" s="19"/>
      <c r="T64"/>
    </row>
    <row r="65" spans="2:20" ht="23.1" customHeight="1" x14ac:dyDescent="0.25">
      <c r="B65" s="23" t="s">
        <v>158</v>
      </c>
      <c r="C65" s="49">
        <f>'Avg Week Ndeeba-Lubiri'!C65+'Avg Week Lubiri-Ndeeba'!C65</f>
        <v>107.5</v>
      </c>
      <c r="D65" s="49">
        <f>'Avg Week Ndeeba-Lubiri'!D65+'Avg Week Lubiri-Ndeeba'!D65</f>
        <v>9.5</v>
      </c>
      <c r="E65" s="49">
        <f>'Avg Week Ndeeba-Lubiri'!E65+'Avg Week Lubiri-Ndeeba'!E65</f>
        <v>4</v>
      </c>
      <c r="F65" s="49">
        <f>'Avg Week Ndeeba-Lubiri'!F65+'Avg Week Lubiri-Ndeeba'!F65</f>
        <v>57</v>
      </c>
      <c r="G65" s="49">
        <f>'Avg Week Ndeeba-Lubiri'!G65+'Avg Week Lubiri-Ndeeba'!G65</f>
        <v>0</v>
      </c>
      <c r="H65" s="49">
        <f>'Avg Week Ndeeba-Lubiri'!H65+'Avg Week Lubiri-Ndeeba'!H65</f>
        <v>4</v>
      </c>
      <c r="I65" s="49">
        <f>'Avg Week Ndeeba-Lubiri'!I65+'Avg Week Lubiri-Ndeeba'!I65</f>
        <v>10.5</v>
      </c>
      <c r="J65" s="49">
        <f>'Avg Week Ndeeba-Lubiri'!J65+'Avg Week Lubiri-Ndeeba'!J65</f>
        <v>4</v>
      </c>
      <c r="K65" s="49">
        <f>'Avg Week Ndeeba-Lubiri'!K65+'Avg Week Lubiri-Ndeeba'!K65</f>
        <v>1</v>
      </c>
      <c r="L65" s="49">
        <f>'Avg Week Ndeeba-Lubiri'!L65+'Avg Week Lubiri-Ndeeba'!L65</f>
        <v>0</v>
      </c>
      <c r="M65" s="49">
        <f>'Avg Week Ndeeba-Lubiri'!M65+'Avg Week Lubiri-Ndeeba'!M65</f>
        <v>275</v>
      </c>
      <c r="N65" s="49">
        <f>'Avg Week Ndeeba-Lubiri'!N65+'Avg Week Lubiri-Ndeeba'!N65</f>
        <v>0</v>
      </c>
      <c r="O65" s="17">
        <f t="shared" si="0"/>
        <v>197.5</v>
      </c>
      <c r="P65" s="17">
        <f t="shared" si="1"/>
        <v>472.5</v>
      </c>
      <c r="R65" s="19"/>
      <c r="T65"/>
    </row>
    <row r="66" spans="2:20" ht="23.1" customHeight="1" x14ac:dyDescent="0.25">
      <c r="B66" s="23" t="s">
        <v>103</v>
      </c>
      <c r="C66" s="49">
        <f>'Avg Week Ndeeba-Lubiri'!C66+'Avg Week Lubiri-Ndeeba'!C66</f>
        <v>106</v>
      </c>
      <c r="D66" s="49">
        <f>'Avg Week Ndeeba-Lubiri'!D66+'Avg Week Lubiri-Ndeeba'!D66</f>
        <v>13.5</v>
      </c>
      <c r="E66" s="49">
        <f>'Avg Week Ndeeba-Lubiri'!E66+'Avg Week Lubiri-Ndeeba'!E66</f>
        <v>7.5</v>
      </c>
      <c r="F66" s="49">
        <f>'Avg Week Ndeeba-Lubiri'!F66+'Avg Week Lubiri-Ndeeba'!F66</f>
        <v>86.5</v>
      </c>
      <c r="G66" s="49">
        <f>'Avg Week Ndeeba-Lubiri'!G66+'Avg Week Lubiri-Ndeeba'!G66</f>
        <v>1</v>
      </c>
      <c r="H66" s="49">
        <f>'Avg Week Ndeeba-Lubiri'!H66+'Avg Week Lubiri-Ndeeba'!H66</f>
        <v>0</v>
      </c>
      <c r="I66" s="49">
        <f>'Avg Week Ndeeba-Lubiri'!I66+'Avg Week Lubiri-Ndeeba'!I66</f>
        <v>9.5</v>
      </c>
      <c r="J66" s="49">
        <f>'Avg Week Ndeeba-Lubiri'!J66+'Avg Week Lubiri-Ndeeba'!J66</f>
        <v>4</v>
      </c>
      <c r="K66" s="49">
        <f>'Avg Week Ndeeba-Lubiri'!K66+'Avg Week Lubiri-Ndeeba'!K66</f>
        <v>1</v>
      </c>
      <c r="L66" s="49">
        <f>'Avg Week Ndeeba-Lubiri'!L66+'Avg Week Lubiri-Ndeeba'!L66</f>
        <v>1.5</v>
      </c>
      <c r="M66" s="49">
        <f>'Avg Week Ndeeba-Lubiri'!M66+'Avg Week Lubiri-Ndeeba'!M66</f>
        <v>283</v>
      </c>
      <c r="N66" s="49">
        <f>'Avg Week Ndeeba-Lubiri'!N66+'Avg Week Lubiri-Ndeeba'!N66</f>
        <v>0</v>
      </c>
      <c r="O66" s="17">
        <f t="shared" si="0"/>
        <v>230.5</v>
      </c>
      <c r="P66" s="17">
        <f t="shared" si="1"/>
        <v>513.5</v>
      </c>
      <c r="R66" s="19"/>
      <c r="T66"/>
    </row>
    <row r="67" spans="2:20" ht="23.1" customHeight="1" x14ac:dyDescent="0.25">
      <c r="B67" s="23" t="s">
        <v>104</v>
      </c>
      <c r="C67" s="49">
        <f>'Avg Week Ndeeba-Lubiri'!C67+'Avg Week Lubiri-Ndeeba'!C67</f>
        <v>96</v>
      </c>
      <c r="D67" s="49">
        <f>'Avg Week Ndeeba-Lubiri'!D67+'Avg Week Lubiri-Ndeeba'!D67</f>
        <v>13.5</v>
      </c>
      <c r="E67" s="49">
        <f>'Avg Week Ndeeba-Lubiri'!E67+'Avg Week Lubiri-Ndeeba'!E67</f>
        <v>5.5</v>
      </c>
      <c r="F67" s="49">
        <f>'Avg Week Ndeeba-Lubiri'!F67+'Avg Week Lubiri-Ndeeba'!F67</f>
        <v>61.5</v>
      </c>
      <c r="G67" s="49">
        <f>'Avg Week Ndeeba-Lubiri'!G67+'Avg Week Lubiri-Ndeeba'!G67</f>
        <v>1.5</v>
      </c>
      <c r="H67" s="49">
        <f>'Avg Week Ndeeba-Lubiri'!H67+'Avg Week Lubiri-Ndeeba'!H67</f>
        <v>0</v>
      </c>
      <c r="I67" s="49">
        <f>'Avg Week Ndeeba-Lubiri'!I67+'Avg Week Lubiri-Ndeeba'!I67</f>
        <v>6.5</v>
      </c>
      <c r="J67" s="49">
        <f>'Avg Week Ndeeba-Lubiri'!J67+'Avg Week Lubiri-Ndeeba'!J67</f>
        <v>2.5</v>
      </c>
      <c r="K67" s="49">
        <f>'Avg Week Ndeeba-Lubiri'!K67+'Avg Week Lubiri-Ndeeba'!K67</f>
        <v>1.5</v>
      </c>
      <c r="L67" s="49">
        <f>'Avg Week Ndeeba-Lubiri'!L67+'Avg Week Lubiri-Ndeeba'!L67</f>
        <v>0</v>
      </c>
      <c r="M67" s="49">
        <f>'Avg Week Ndeeba-Lubiri'!M67+'Avg Week Lubiri-Ndeeba'!M67</f>
        <v>282.5</v>
      </c>
      <c r="N67" s="49">
        <f>'Avg Week Ndeeba-Lubiri'!N67+'Avg Week Lubiri-Ndeeba'!N67</f>
        <v>0</v>
      </c>
      <c r="O67" s="17">
        <f t="shared" si="0"/>
        <v>188.5</v>
      </c>
      <c r="P67" s="17">
        <f t="shared" si="1"/>
        <v>471</v>
      </c>
      <c r="R67" s="19"/>
      <c r="T67"/>
    </row>
    <row r="68" spans="2:20" ht="23.1" customHeight="1" x14ac:dyDescent="0.25">
      <c r="B68" s="23" t="s">
        <v>105</v>
      </c>
      <c r="C68" s="49">
        <f>'Avg Week Ndeeba-Lubiri'!C68+'Avg Week Lubiri-Ndeeba'!C68</f>
        <v>82</v>
      </c>
      <c r="D68" s="49">
        <f>'Avg Week Ndeeba-Lubiri'!D68+'Avg Week Lubiri-Ndeeba'!D68</f>
        <v>6.5</v>
      </c>
      <c r="E68" s="49">
        <f>'Avg Week Ndeeba-Lubiri'!E68+'Avg Week Lubiri-Ndeeba'!E68</f>
        <v>4.5</v>
      </c>
      <c r="F68" s="49">
        <f>'Avg Week Ndeeba-Lubiri'!F68+'Avg Week Lubiri-Ndeeba'!F68</f>
        <v>48</v>
      </c>
      <c r="G68" s="49">
        <f>'Avg Week Ndeeba-Lubiri'!G68+'Avg Week Lubiri-Ndeeba'!G68</f>
        <v>1.5</v>
      </c>
      <c r="H68" s="49">
        <f>'Avg Week Ndeeba-Lubiri'!H68+'Avg Week Lubiri-Ndeeba'!H68</f>
        <v>0</v>
      </c>
      <c r="I68" s="49">
        <f>'Avg Week Ndeeba-Lubiri'!I68+'Avg Week Lubiri-Ndeeba'!I68</f>
        <v>8.5</v>
      </c>
      <c r="J68" s="49">
        <f>'Avg Week Ndeeba-Lubiri'!J68+'Avg Week Lubiri-Ndeeba'!J68</f>
        <v>2.5</v>
      </c>
      <c r="K68" s="49">
        <f>'Avg Week Ndeeba-Lubiri'!K68+'Avg Week Lubiri-Ndeeba'!K68</f>
        <v>1</v>
      </c>
      <c r="L68" s="49">
        <f>'Avg Week Ndeeba-Lubiri'!L68+'Avg Week Lubiri-Ndeeba'!L68</f>
        <v>1</v>
      </c>
      <c r="M68" s="49">
        <f>'Avg Week Ndeeba-Lubiri'!M68+'Avg Week Lubiri-Ndeeba'!M68</f>
        <v>215</v>
      </c>
      <c r="N68" s="49">
        <f>'Avg Week Ndeeba-Lubiri'!N68+'Avg Week Lubiri-Ndeeba'!N68</f>
        <v>0</v>
      </c>
      <c r="O68" s="17">
        <f t="shared" si="0"/>
        <v>155.5</v>
      </c>
      <c r="P68" s="17">
        <f t="shared" si="1"/>
        <v>370.5</v>
      </c>
      <c r="R68" s="19"/>
      <c r="T68"/>
    </row>
    <row r="69" spans="2:20" ht="23.1" customHeight="1" x14ac:dyDescent="0.25">
      <c r="B69" s="23" t="s">
        <v>106</v>
      </c>
      <c r="C69" s="49">
        <f>'Avg Week Ndeeba-Lubiri'!C69+'Avg Week Lubiri-Ndeeba'!C69</f>
        <v>77</v>
      </c>
      <c r="D69" s="49">
        <f>'Avg Week Ndeeba-Lubiri'!D69+'Avg Week Lubiri-Ndeeba'!D69</f>
        <v>12.5</v>
      </c>
      <c r="E69" s="49">
        <f>'Avg Week Ndeeba-Lubiri'!E69+'Avg Week Lubiri-Ndeeba'!E69</f>
        <v>4</v>
      </c>
      <c r="F69" s="49">
        <f>'Avg Week Ndeeba-Lubiri'!F69+'Avg Week Lubiri-Ndeeba'!F69</f>
        <v>45.5</v>
      </c>
      <c r="G69" s="49">
        <f>'Avg Week Ndeeba-Lubiri'!G69+'Avg Week Lubiri-Ndeeba'!G69</f>
        <v>0</v>
      </c>
      <c r="H69" s="49">
        <f>'Avg Week Ndeeba-Lubiri'!H69+'Avg Week Lubiri-Ndeeba'!H69</f>
        <v>0.5</v>
      </c>
      <c r="I69" s="49">
        <f>'Avg Week Ndeeba-Lubiri'!I69+'Avg Week Lubiri-Ndeeba'!I69</f>
        <v>6.5</v>
      </c>
      <c r="J69" s="49">
        <f>'Avg Week Ndeeba-Lubiri'!J69+'Avg Week Lubiri-Ndeeba'!J69</f>
        <v>4</v>
      </c>
      <c r="K69" s="49">
        <f>'Avg Week Ndeeba-Lubiri'!K69+'Avg Week Lubiri-Ndeeba'!K69</f>
        <v>0.5</v>
      </c>
      <c r="L69" s="49">
        <f>'Avg Week Ndeeba-Lubiri'!L69+'Avg Week Lubiri-Ndeeba'!L69</f>
        <v>0</v>
      </c>
      <c r="M69" s="49">
        <f>'Avg Week Ndeeba-Lubiri'!M69+'Avg Week Lubiri-Ndeeba'!M69</f>
        <v>166.5</v>
      </c>
      <c r="N69" s="49">
        <f>'Avg Week Ndeeba-Lubiri'!N69+'Avg Week Lubiri-Ndeeba'!N69</f>
        <v>0.5</v>
      </c>
      <c r="O69" s="17">
        <f t="shared" si="0"/>
        <v>151</v>
      </c>
      <c r="P69" s="17">
        <f t="shared" si="1"/>
        <v>317.5</v>
      </c>
      <c r="R69" s="19"/>
      <c r="T69"/>
    </row>
    <row r="70" spans="2:20" ht="23.1" customHeight="1" x14ac:dyDescent="0.25">
      <c r="B70" s="23" t="s">
        <v>110</v>
      </c>
      <c r="C70" s="49">
        <f>'Avg Week Ndeeba-Lubiri'!C70+'Avg Week Lubiri-Ndeeba'!C70</f>
        <v>63.5</v>
      </c>
      <c r="D70" s="49">
        <f>'Avg Week Ndeeba-Lubiri'!D70+'Avg Week Lubiri-Ndeeba'!D70</f>
        <v>15</v>
      </c>
      <c r="E70" s="49">
        <f>'Avg Week Ndeeba-Lubiri'!E70+'Avg Week Lubiri-Ndeeba'!E70</f>
        <v>7.5</v>
      </c>
      <c r="F70" s="49">
        <f>'Avg Week Ndeeba-Lubiri'!F70+'Avg Week Lubiri-Ndeeba'!F70</f>
        <v>27</v>
      </c>
      <c r="G70" s="49">
        <f>'Avg Week Ndeeba-Lubiri'!G70+'Avg Week Lubiri-Ndeeba'!G70</f>
        <v>0</v>
      </c>
      <c r="H70" s="49">
        <f>'Avg Week Ndeeba-Lubiri'!H70+'Avg Week Lubiri-Ndeeba'!H70</f>
        <v>0</v>
      </c>
      <c r="I70" s="49">
        <f>'Avg Week Ndeeba-Lubiri'!I70+'Avg Week Lubiri-Ndeeba'!I70</f>
        <v>4.5</v>
      </c>
      <c r="J70" s="49">
        <f>'Avg Week Ndeeba-Lubiri'!J70+'Avg Week Lubiri-Ndeeba'!J70</f>
        <v>5</v>
      </c>
      <c r="K70" s="49">
        <f>'Avg Week Ndeeba-Lubiri'!K70+'Avg Week Lubiri-Ndeeba'!K70</f>
        <v>0.5</v>
      </c>
      <c r="L70" s="49">
        <f>'Avg Week Ndeeba-Lubiri'!L70+'Avg Week Lubiri-Ndeeba'!L70</f>
        <v>1</v>
      </c>
      <c r="M70" s="49">
        <f>'Avg Week Ndeeba-Lubiri'!M70+'Avg Week Lubiri-Ndeeba'!M70</f>
        <v>121</v>
      </c>
      <c r="N70" s="49">
        <f>'Avg Week Ndeeba-Lubiri'!N70+'Avg Week Lubiri-Ndeeba'!N70</f>
        <v>0</v>
      </c>
      <c r="O70" s="17">
        <f t="shared" si="0"/>
        <v>124</v>
      </c>
      <c r="P70" s="17">
        <f t="shared" si="1"/>
        <v>245</v>
      </c>
      <c r="R70" s="19"/>
      <c r="T70"/>
    </row>
    <row r="71" spans="2:20" ht="23.1" customHeight="1" x14ac:dyDescent="0.25">
      <c r="B71" s="23" t="s">
        <v>111</v>
      </c>
      <c r="C71" s="49">
        <f>'Avg Week Ndeeba-Lubiri'!C71+'Avg Week Lubiri-Ndeeba'!C71</f>
        <v>50.5</v>
      </c>
      <c r="D71" s="49">
        <f>'Avg Week Ndeeba-Lubiri'!D71+'Avg Week Lubiri-Ndeeba'!D71</f>
        <v>13.5</v>
      </c>
      <c r="E71" s="49">
        <f>'Avg Week Ndeeba-Lubiri'!E71+'Avg Week Lubiri-Ndeeba'!E71</f>
        <v>4.5</v>
      </c>
      <c r="F71" s="49">
        <f>'Avg Week Ndeeba-Lubiri'!F71+'Avg Week Lubiri-Ndeeba'!F71</f>
        <v>13</v>
      </c>
      <c r="G71" s="49">
        <f>'Avg Week Ndeeba-Lubiri'!G71+'Avg Week Lubiri-Ndeeba'!G71</f>
        <v>1</v>
      </c>
      <c r="H71" s="49">
        <f>'Avg Week Ndeeba-Lubiri'!H71+'Avg Week Lubiri-Ndeeba'!H71</f>
        <v>0</v>
      </c>
      <c r="I71" s="49">
        <f>'Avg Week Ndeeba-Lubiri'!I71+'Avg Week Lubiri-Ndeeba'!I71</f>
        <v>3.5</v>
      </c>
      <c r="J71" s="49">
        <f>'Avg Week Ndeeba-Lubiri'!J71+'Avg Week Lubiri-Ndeeba'!J71</f>
        <v>2</v>
      </c>
      <c r="K71" s="49">
        <f>'Avg Week Ndeeba-Lubiri'!K71+'Avg Week Lubiri-Ndeeba'!K71</f>
        <v>0</v>
      </c>
      <c r="L71" s="49">
        <f>'Avg Week Ndeeba-Lubiri'!L71+'Avg Week Lubiri-Ndeeba'!L71</f>
        <v>0</v>
      </c>
      <c r="M71" s="49">
        <f>'Avg Week Ndeeba-Lubiri'!M71+'Avg Week Lubiri-Ndeeba'!M71</f>
        <v>97</v>
      </c>
      <c r="N71" s="49">
        <f>'Avg Week Ndeeba-Lubiri'!N71+'Avg Week Lubiri-Ndeeba'!N71</f>
        <v>0</v>
      </c>
      <c r="O71" s="17">
        <f t="shared" si="0"/>
        <v>88</v>
      </c>
      <c r="P71" s="17">
        <f t="shared" si="1"/>
        <v>185</v>
      </c>
      <c r="R71" s="19"/>
      <c r="T71"/>
    </row>
    <row r="72" spans="2:20" ht="23.1" customHeight="1" x14ac:dyDescent="0.25">
      <c r="B72" s="23" t="s">
        <v>112</v>
      </c>
      <c r="C72" s="49">
        <f>'Avg Week Ndeeba-Lubiri'!C72+'Avg Week Lubiri-Ndeeba'!C72</f>
        <v>47</v>
      </c>
      <c r="D72" s="49">
        <f>'Avg Week Ndeeba-Lubiri'!D72+'Avg Week Lubiri-Ndeeba'!D72</f>
        <v>11.5</v>
      </c>
      <c r="E72" s="49">
        <f>'Avg Week Ndeeba-Lubiri'!E72+'Avg Week Lubiri-Ndeeba'!E72</f>
        <v>3</v>
      </c>
      <c r="F72" s="49">
        <f>'Avg Week Ndeeba-Lubiri'!F72+'Avg Week Lubiri-Ndeeba'!F72</f>
        <v>10.5</v>
      </c>
      <c r="G72" s="49">
        <f>'Avg Week Ndeeba-Lubiri'!G72+'Avg Week Lubiri-Ndeeba'!G72</f>
        <v>0</v>
      </c>
      <c r="H72" s="49">
        <f>'Avg Week Ndeeba-Lubiri'!H72+'Avg Week Lubiri-Ndeeba'!H72</f>
        <v>0</v>
      </c>
      <c r="I72" s="49">
        <f>'Avg Week Ndeeba-Lubiri'!I72+'Avg Week Lubiri-Ndeeba'!I72</f>
        <v>1.5</v>
      </c>
      <c r="J72" s="49">
        <f>'Avg Week Ndeeba-Lubiri'!J72+'Avg Week Lubiri-Ndeeba'!J72</f>
        <v>3</v>
      </c>
      <c r="K72" s="49">
        <f>'Avg Week Ndeeba-Lubiri'!K72+'Avg Week Lubiri-Ndeeba'!K72</f>
        <v>0</v>
      </c>
      <c r="L72" s="49">
        <f>'Avg Week Ndeeba-Lubiri'!L72+'Avg Week Lubiri-Ndeeba'!L72</f>
        <v>0</v>
      </c>
      <c r="M72" s="49">
        <f>'Avg Week Ndeeba-Lubiri'!M72+'Avg Week Lubiri-Ndeeba'!M72</f>
        <v>89</v>
      </c>
      <c r="N72" s="49">
        <f>'Avg Week Ndeeba-Lubiri'!N72+'Avg Week Lubiri-Ndeeba'!N72</f>
        <v>0</v>
      </c>
      <c r="O72" s="17">
        <f t="shared" si="0"/>
        <v>76.5</v>
      </c>
      <c r="P72" s="17">
        <f t="shared" si="1"/>
        <v>165.5</v>
      </c>
      <c r="R72" s="19"/>
      <c r="T72"/>
    </row>
    <row r="73" spans="2:20" ht="23.1" customHeight="1" x14ac:dyDescent="0.25">
      <c r="B73" s="23" t="s">
        <v>113</v>
      </c>
      <c r="C73" s="49">
        <f>'Avg Week Ndeeba-Lubiri'!C73+'Avg Week Lubiri-Ndeeba'!C73</f>
        <v>60.5</v>
      </c>
      <c r="D73" s="49">
        <f>'Avg Week Ndeeba-Lubiri'!D73+'Avg Week Lubiri-Ndeeba'!D73</f>
        <v>11.5</v>
      </c>
      <c r="E73" s="49">
        <f>'Avg Week Ndeeba-Lubiri'!E73+'Avg Week Lubiri-Ndeeba'!E73</f>
        <v>4</v>
      </c>
      <c r="F73" s="49">
        <f>'Avg Week Ndeeba-Lubiri'!F73+'Avg Week Lubiri-Ndeeba'!F73</f>
        <v>15</v>
      </c>
      <c r="G73" s="49">
        <f>'Avg Week Ndeeba-Lubiri'!G73+'Avg Week Lubiri-Ndeeba'!G73</f>
        <v>1</v>
      </c>
      <c r="H73" s="49">
        <f>'Avg Week Ndeeba-Lubiri'!H73+'Avg Week Lubiri-Ndeeba'!H73</f>
        <v>0</v>
      </c>
      <c r="I73" s="49">
        <f>'Avg Week Ndeeba-Lubiri'!I73+'Avg Week Lubiri-Ndeeba'!I73</f>
        <v>3.5</v>
      </c>
      <c r="J73" s="49">
        <f>'Avg Week Ndeeba-Lubiri'!J73+'Avg Week Lubiri-Ndeeba'!J73</f>
        <v>3.5</v>
      </c>
      <c r="K73" s="49">
        <f>'Avg Week Ndeeba-Lubiri'!K73+'Avg Week Lubiri-Ndeeba'!K73</f>
        <v>0</v>
      </c>
      <c r="L73" s="49">
        <f>'Avg Week Ndeeba-Lubiri'!L73+'Avg Week Lubiri-Ndeeba'!L73</f>
        <v>0</v>
      </c>
      <c r="M73" s="49">
        <f>'Avg Week Ndeeba-Lubiri'!M73+'Avg Week Lubiri-Ndeeba'!M73</f>
        <v>110</v>
      </c>
      <c r="N73" s="49">
        <f>'Avg Week Ndeeba-Lubiri'!N73+'Avg Week Lubiri-Ndeeba'!N73</f>
        <v>0</v>
      </c>
      <c r="O73" s="17">
        <f t="shared" si="0"/>
        <v>99</v>
      </c>
      <c r="P73" s="17">
        <f t="shared" si="1"/>
        <v>209</v>
      </c>
      <c r="R73" s="19"/>
      <c r="T73"/>
    </row>
    <row r="74" spans="2:20" ht="23.1" customHeight="1" x14ac:dyDescent="0.25">
      <c r="B74" s="23" t="s">
        <v>114</v>
      </c>
      <c r="C74" s="49">
        <f>'Avg Week Ndeeba-Lubiri'!C74+'Avg Week Lubiri-Ndeeba'!C74</f>
        <v>44</v>
      </c>
      <c r="D74" s="49">
        <f>'Avg Week Ndeeba-Lubiri'!D74+'Avg Week Lubiri-Ndeeba'!D74</f>
        <v>11</v>
      </c>
      <c r="E74" s="49">
        <f>'Avg Week Ndeeba-Lubiri'!E74+'Avg Week Lubiri-Ndeeba'!E74</f>
        <v>2</v>
      </c>
      <c r="F74" s="49">
        <f>'Avg Week Ndeeba-Lubiri'!F74+'Avg Week Lubiri-Ndeeba'!F74</f>
        <v>12</v>
      </c>
      <c r="G74" s="49">
        <f>'Avg Week Ndeeba-Lubiri'!G74+'Avg Week Lubiri-Ndeeba'!G74</f>
        <v>0.5</v>
      </c>
      <c r="H74" s="49">
        <f>'Avg Week Ndeeba-Lubiri'!H74+'Avg Week Lubiri-Ndeeba'!H74</f>
        <v>0</v>
      </c>
      <c r="I74" s="49">
        <f>'Avg Week Ndeeba-Lubiri'!I74+'Avg Week Lubiri-Ndeeba'!I74</f>
        <v>3</v>
      </c>
      <c r="J74" s="49">
        <f>'Avg Week Ndeeba-Lubiri'!J74+'Avg Week Lubiri-Ndeeba'!J74</f>
        <v>1</v>
      </c>
      <c r="K74" s="49">
        <f>'Avg Week Ndeeba-Lubiri'!K74+'Avg Week Lubiri-Ndeeba'!K74</f>
        <v>1</v>
      </c>
      <c r="L74" s="49">
        <f>'Avg Week Ndeeba-Lubiri'!L74+'Avg Week Lubiri-Ndeeba'!L74</f>
        <v>0</v>
      </c>
      <c r="M74" s="49">
        <f>'Avg Week Ndeeba-Lubiri'!M74+'Avg Week Lubiri-Ndeeba'!M74</f>
        <v>127.5</v>
      </c>
      <c r="N74" s="49">
        <f>'Avg Week Ndeeba-Lubiri'!N74+'Avg Week Lubiri-Ndeeba'!N74</f>
        <v>0</v>
      </c>
      <c r="O74" s="17">
        <f t="shared" ref="O74:O105" si="35">SUM(C74:L74,N74)</f>
        <v>74.5</v>
      </c>
      <c r="P74" s="17">
        <f t="shared" ref="P74:P105" si="36">SUM(C74:N74)</f>
        <v>202</v>
      </c>
      <c r="R74" s="19"/>
      <c r="T74"/>
    </row>
    <row r="75" spans="2:20" ht="23.1" customHeight="1" x14ac:dyDescent="0.25">
      <c r="B75" s="23" t="s">
        <v>115</v>
      </c>
      <c r="C75" s="49">
        <f>'Avg Week Ndeeba-Lubiri'!C75+'Avg Week Lubiri-Ndeeba'!C75</f>
        <v>38</v>
      </c>
      <c r="D75" s="49">
        <f>'Avg Week Ndeeba-Lubiri'!D75+'Avg Week Lubiri-Ndeeba'!D75</f>
        <v>7.5</v>
      </c>
      <c r="E75" s="49">
        <f>'Avg Week Ndeeba-Lubiri'!E75+'Avg Week Lubiri-Ndeeba'!E75</f>
        <v>6</v>
      </c>
      <c r="F75" s="49">
        <f>'Avg Week Ndeeba-Lubiri'!F75+'Avg Week Lubiri-Ndeeba'!F75</f>
        <v>5</v>
      </c>
      <c r="G75" s="49">
        <f>'Avg Week Ndeeba-Lubiri'!G75+'Avg Week Lubiri-Ndeeba'!G75</f>
        <v>1.5</v>
      </c>
      <c r="H75" s="49">
        <f>'Avg Week Ndeeba-Lubiri'!H75+'Avg Week Lubiri-Ndeeba'!H75</f>
        <v>0</v>
      </c>
      <c r="I75" s="49">
        <f>'Avg Week Ndeeba-Lubiri'!I75+'Avg Week Lubiri-Ndeeba'!I75</f>
        <v>5</v>
      </c>
      <c r="J75" s="49">
        <f>'Avg Week Ndeeba-Lubiri'!J75+'Avg Week Lubiri-Ndeeba'!J75</f>
        <v>0.5</v>
      </c>
      <c r="K75" s="49">
        <f>'Avg Week Ndeeba-Lubiri'!K75+'Avg Week Lubiri-Ndeeba'!K75</f>
        <v>1</v>
      </c>
      <c r="L75" s="49">
        <f>'Avg Week Ndeeba-Lubiri'!L75+'Avg Week Lubiri-Ndeeba'!L75</f>
        <v>0</v>
      </c>
      <c r="M75" s="49">
        <f>'Avg Week Ndeeba-Lubiri'!M75+'Avg Week Lubiri-Ndeeba'!M75</f>
        <v>87.5</v>
      </c>
      <c r="N75" s="49">
        <f>'Avg Week Ndeeba-Lubiri'!N75+'Avg Week Lubiri-Ndeeba'!N75</f>
        <v>0</v>
      </c>
      <c r="O75" s="17">
        <f t="shared" si="35"/>
        <v>64.5</v>
      </c>
      <c r="P75" s="17">
        <f t="shared" si="36"/>
        <v>152</v>
      </c>
      <c r="R75" s="19"/>
      <c r="T75"/>
    </row>
    <row r="76" spans="2:20" ht="23.1" customHeight="1" x14ac:dyDescent="0.25">
      <c r="B76" s="23" t="s">
        <v>116</v>
      </c>
      <c r="C76" s="49">
        <f>'Avg Week Ndeeba-Lubiri'!C76+'Avg Week Lubiri-Ndeeba'!C76</f>
        <v>38</v>
      </c>
      <c r="D76" s="49">
        <f>'Avg Week Ndeeba-Lubiri'!D76+'Avg Week Lubiri-Ndeeba'!D76</f>
        <v>4.5</v>
      </c>
      <c r="E76" s="49">
        <f>'Avg Week Ndeeba-Lubiri'!E76+'Avg Week Lubiri-Ndeeba'!E76</f>
        <v>3</v>
      </c>
      <c r="F76" s="49">
        <f>'Avg Week Ndeeba-Lubiri'!F76+'Avg Week Lubiri-Ndeeba'!F76</f>
        <v>3</v>
      </c>
      <c r="G76" s="49">
        <f>'Avg Week Ndeeba-Lubiri'!G76+'Avg Week Lubiri-Ndeeba'!G76</f>
        <v>0.5</v>
      </c>
      <c r="H76" s="49">
        <f>'Avg Week Ndeeba-Lubiri'!H76+'Avg Week Lubiri-Ndeeba'!H76</f>
        <v>0</v>
      </c>
      <c r="I76" s="49">
        <f>'Avg Week Ndeeba-Lubiri'!I76+'Avg Week Lubiri-Ndeeba'!I76</f>
        <v>4.5</v>
      </c>
      <c r="J76" s="49">
        <f>'Avg Week Ndeeba-Lubiri'!J76+'Avg Week Lubiri-Ndeeba'!J76</f>
        <v>2</v>
      </c>
      <c r="K76" s="49">
        <f>'Avg Week Ndeeba-Lubiri'!K76+'Avg Week Lubiri-Ndeeba'!K76</f>
        <v>0.5</v>
      </c>
      <c r="L76" s="49">
        <f>'Avg Week Ndeeba-Lubiri'!L76+'Avg Week Lubiri-Ndeeba'!L76</f>
        <v>0.5</v>
      </c>
      <c r="M76" s="49">
        <f>'Avg Week Ndeeba-Lubiri'!M76+'Avg Week Lubiri-Ndeeba'!M76</f>
        <v>96.5</v>
      </c>
      <c r="N76" s="49">
        <f>'Avg Week Ndeeba-Lubiri'!N76+'Avg Week Lubiri-Ndeeba'!N76</f>
        <v>0</v>
      </c>
      <c r="O76" s="17">
        <f t="shared" si="35"/>
        <v>56.5</v>
      </c>
      <c r="P76" s="17">
        <f t="shared" si="36"/>
        <v>153</v>
      </c>
      <c r="R76" s="19"/>
      <c r="T76"/>
    </row>
    <row r="77" spans="2:20" ht="23.1" customHeight="1" x14ac:dyDescent="0.25">
      <c r="B77" s="23" t="s">
        <v>117</v>
      </c>
      <c r="C77" s="49">
        <f>'Avg Week Ndeeba-Lubiri'!C77+'Avg Week Lubiri-Ndeeba'!C77</f>
        <v>17.5</v>
      </c>
      <c r="D77" s="49">
        <f>'Avg Week Ndeeba-Lubiri'!D77+'Avg Week Lubiri-Ndeeba'!D77</f>
        <v>4.5</v>
      </c>
      <c r="E77" s="49">
        <f>'Avg Week Ndeeba-Lubiri'!E77+'Avg Week Lubiri-Ndeeba'!E77</f>
        <v>1</v>
      </c>
      <c r="F77" s="49">
        <f>'Avg Week Ndeeba-Lubiri'!F77+'Avg Week Lubiri-Ndeeba'!F77</f>
        <v>3.5</v>
      </c>
      <c r="G77" s="49">
        <f>'Avg Week Ndeeba-Lubiri'!G77+'Avg Week Lubiri-Ndeeba'!G77</f>
        <v>0.5</v>
      </c>
      <c r="H77" s="49">
        <f>'Avg Week Ndeeba-Lubiri'!H77+'Avg Week Lubiri-Ndeeba'!H77</f>
        <v>1</v>
      </c>
      <c r="I77" s="49">
        <f>'Avg Week Ndeeba-Lubiri'!I77+'Avg Week Lubiri-Ndeeba'!I77</f>
        <v>1.5</v>
      </c>
      <c r="J77" s="49">
        <f>'Avg Week Ndeeba-Lubiri'!J77+'Avg Week Lubiri-Ndeeba'!J77</f>
        <v>1</v>
      </c>
      <c r="K77" s="49">
        <f>'Avg Week Ndeeba-Lubiri'!K77+'Avg Week Lubiri-Ndeeba'!K77</f>
        <v>0</v>
      </c>
      <c r="L77" s="49">
        <f>'Avg Week Ndeeba-Lubiri'!L77+'Avg Week Lubiri-Ndeeba'!L77</f>
        <v>0</v>
      </c>
      <c r="M77" s="49">
        <f>'Avg Week Ndeeba-Lubiri'!M77+'Avg Week Lubiri-Ndeeba'!M77</f>
        <v>68.5</v>
      </c>
      <c r="N77" s="49">
        <f>'Avg Week Ndeeba-Lubiri'!N77+'Avg Week Lubiri-Ndeeba'!N77</f>
        <v>0</v>
      </c>
      <c r="O77" s="17">
        <f t="shared" si="35"/>
        <v>30.5</v>
      </c>
      <c r="P77" s="17">
        <f t="shared" si="36"/>
        <v>99</v>
      </c>
      <c r="R77" s="19"/>
      <c r="T77"/>
    </row>
    <row r="78" spans="2:20" ht="23.1" customHeight="1" x14ac:dyDescent="0.25">
      <c r="B78" s="24" t="s">
        <v>118</v>
      </c>
      <c r="C78" s="49">
        <f>'Avg Week Ndeeba-Lubiri'!C78+'Avg Week Lubiri-Ndeeba'!C78</f>
        <v>28</v>
      </c>
      <c r="D78" s="49">
        <f>'Avg Week Ndeeba-Lubiri'!D78+'Avg Week Lubiri-Ndeeba'!D78</f>
        <v>5</v>
      </c>
      <c r="E78" s="49">
        <f>'Avg Week Ndeeba-Lubiri'!E78+'Avg Week Lubiri-Ndeeba'!E78</f>
        <v>2</v>
      </c>
      <c r="F78" s="49">
        <f>'Avg Week Ndeeba-Lubiri'!F78+'Avg Week Lubiri-Ndeeba'!F78</f>
        <v>6</v>
      </c>
      <c r="G78" s="49">
        <f>'Avg Week Ndeeba-Lubiri'!G78+'Avg Week Lubiri-Ndeeba'!G78</f>
        <v>0</v>
      </c>
      <c r="H78" s="49">
        <f>'Avg Week Ndeeba-Lubiri'!H78+'Avg Week Lubiri-Ndeeba'!H78</f>
        <v>0</v>
      </c>
      <c r="I78" s="49">
        <f>'Avg Week Ndeeba-Lubiri'!I78+'Avg Week Lubiri-Ndeeba'!I78</f>
        <v>0.5</v>
      </c>
      <c r="J78" s="49">
        <f>'Avg Week Ndeeba-Lubiri'!J78+'Avg Week Lubiri-Ndeeba'!J78</f>
        <v>2</v>
      </c>
      <c r="K78" s="49">
        <f>'Avg Week Ndeeba-Lubiri'!K78+'Avg Week Lubiri-Ndeeba'!K78</f>
        <v>0</v>
      </c>
      <c r="L78" s="49">
        <f>'Avg Week Ndeeba-Lubiri'!L78+'Avg Week Lubiri-Ndeeba'!L78</f>
        <v>0</v>
      </c>
      <c r="M78" s="49">
        <f>'Avg Week Ndeeba-Lubiri'!M78+'Avg Week Lubiri-Ndeeba'!M78</f>
        <v>51</v>
      </c>
      <c r="N78" s="49">
        <f>'Avg Week Ndeeba-Lubiri'!N78+'Avg Week Lubiri-Ndeeba'!N78</f>
        <v>0</v>
      </c>
      <c r="O78" s="17">
        <f t="shared" si="35"/>
        <v>43.5</v>
      </c>
      <c r="P78" s="17">
        <f t="shared" si="36"/>
        <v>94.5</v>
      </c>
      <c r="R78" s="19"/>
      <c r="T78"/>
    </row>
    <row r="79" spans="2:20" ht="23.1" customHeight="1" x14ac:dyDescent="0.25">
      <c r="B79" s="23" t="s">
        <v>119</v>
      </c>
      <c r="C79" s="49">
        <f>'Avg Week Ndeeba-Lubiri'!C79+'Avg Week Lubiri-Ndeeba'!C79</f>
        <v>20</v>
      </c>
      <c r="D79" s="49">
        <f>'Avg Week Ndeeba-Lubiri'!D79+'Avg Week Lubiri-Ndeeba'!D79</f>
        <v>3.5</v>
      </c>
      <c r="E79" s="49">
        <f>'Avg Week Ndeeba-Lubiri'!E79+'Avg Week Lubiri-Ndeeba'!E79</f>
        <v>0.5</v>
      </c>
      <c r="F79" s="49">
        <f>'Avg Week Ndeeba-Lubiri'!F79+'Avg Week Lubiri-Ndeeba'!F79</f>
        <v>3.5</v>
      </c>
      <c r="G79" s="49">
        <f>'Avg Week Ndeeba-Lubiri'!G79+'Avg Week Lubiri-Ndeeba'!G79</f>
        <v>2</v>
      </c>
      <c r="H79" s="49">
        <f>'Avg Week Ndeeba-Lubiri'!H79+'Avg Week Lubiri-Ndeeba'!H79</f>
        <v>0</v>
      </c>
      <c r="I79" s="49">
        <f>'Avg Week Ndeeba-Lubiri'!I79+'Avg Week Lubiri-Ndeeba'!I79</f>
        <v>2.5</v>
      </c>
      <c r="J79" s="49">
        <f>'Avg Week Ndeeba-Lubiri'!J79+'Avg Week Lubiri-Ndeeba'!J79</f>
        <v>0.5</v>
      </c>
      <c r="K79" s="49">
        <f>'Avg Week Ndeeba-Lubiri'!K79+'Avg Week Lubiri-Ndeeba'!K79</f>
        <v>0.5</v>
      </c>
      <c r="L79" s="49">
        <f>'Avg Week Ndeeba-Lubiri'!L79+'Avg Week Lubiri-Ndeeba'!L79</f>
        <v>0</v>
      </c>
      <c r="M79" s="49">
        <f>'Avg Week Ndeeba-Lubiri'!M79+'Avg Week Lubiri-Ndeeba'!M79</f>
        <v>45</v>
      </c>
      <c r="N79" s="49">
        <f>'Avg Week Ndeeba-Lubiri'!N79+'Avg Week Lubiri-Ndeeba'!N79</f>
        <v>0</v>
      </c>
      <c r="O79" s="17">
        <f t="shared" si="35"/>
        <v>33</v>
      </c>
      <c r="P79" s="17">
        <f t="shared" si="36"/>
        <v>78</v>
      </c>
      <c r="R79" s="19"/>
      <c r="T79"/>
    </row>
    <row r="80" spans="2:20" ht="23.1" customHeight="1" x14ac:dyDescent="0.25">
      <c r="B80" s="25" t="s">
        <v>120</v>
      </c>
      <c r="C80" s="49">
        <f>'Avg Week Ndeeba-Lubiri'!C80+'Avg Week Lubiri-Ndeeba'!C80</f>
        <v>22</v>
      </c>
      <c r="D80" s="49">
        <f>'Avg Week Ndeeba-Lubiri'!D80+'Avg Week Lubiri-Ndeeba'!D80</f>
        <v>4.5</v>
      </c>
      <c r="E80" s="49">
        <f>'Avg Week Ndeeba-Lubiri'!E80+'Avg Week Lubiri-Ndeeba'!E80</f>
        <v>2.5</v>
      </c>
      <c r="F80" s="49">
        <f>'Avg Week Ndeeba-Lubiri'!F80+'Avg Week Lubiri-Ndeeba'!F80</f>
        <v>2</v>
      </c>
      <c r="G80" s="49">
        <f>'Avg Week Ndeeba-Lubiri'!G80+'Avg Week Lubiri-Ndeeba'!G80</f>
        <v>1.5</v>
      </c>
      <c r="H80" s="49">
        <f>'Avg Week Ndeeba-Lubiri'!H80+'Avg Week Lubiri-Ndeeba'!H80</f>
        <v>0</v>
      </c>
      <c r="I80" s="49">
        <f>'Avg Week Ndeeba-Lubiri'!I80+'Avg Week Lubiri-Ndeeba'!I80</f>
        <v>1</v>
      </c>
      <c r="J80" s="49">
        <f>'Avg Week Ndeeba-Lubiri'!J80+'Avg Week Lubiri-Ndeeba'!J80</f>
        <v>2.5</v>
      </c>
      <c r="K80" s="49">
        <f>'Avg Week Ndeeba-Lubiri'!K80+'Avg Week Lubiri-Ndeeba'!K80</f>
        <v>0.5</v>
      </c>
      <c r="L80" s="49">
        <f>'Avg Week Ndeeba-Lubiri'!L80+'Avg Week Lubiri-Ndeeba'!L80</f>
        <v>0.5</v>
      </c>
      <c r="M80" s="49">
        <f>'Avg Week Ndeeba-Lubiri'!M80+'Avg Week Lubiri-Ndeeba'!M80</f>
        <v>48.5</v>
      </c>
      <c r="N80" s="49">
        <f>'Avg Week Ndeeba-Lubiri'!N80+'Avg Week Lubiri-Ndeeba'!N80</f>
        <v>0</v>
      </c>
      <c r="O80" s="17">
        <f t="shared" si="35"/>
        <v>37</v>
      </c>
      <c r="P80" s="17">
        <f t="shared" si="36"/>
        <v>85.5</v>
      </c>
      <c r="R80" s="19"/>
      <c r="T80"/>
    </row>
    <row r="81" spans="2:20" ht="23.1" customHeight="1" x14ac:dyDescent="0.25">
      <c r="B81" s="23" t="s">
        <v>121</v>
      </c>
      <c r="C81" s="49">
        <f>'Avg Week Ndeeba-Lubiri'!C81+'Avg Week Lubiri-Ndeeba'!C81</f>
        <v>15.5</v>
      </c>
      <c r="D81" s="49">
        <f>'Avg Week Ndeeba-Lubiri'!D81+'Avg Week Lubiri-Ndeeba'!D81</f>
        <v>1</v>
      </c>
      <c r="E81" s="49">
        <f>'Avg Week Ndeeba-Lubiri'!E81+'Avg Week Lubiri-Ndeeba'!E81</f>
        <v>3</v>
      </c>
      <c r="F81" s="49">
        <f>'Avg Week Ndeeba-Lubiri'!F81+'Avg Week Lubiri-Ndeeba'!F81</f>
        <v>4.5</v>
      </c>
      <c r="G81" s="49">
        <f>'Avg Week Ndeeba-Lubiri'!G81+'Avg Week Lubiri-Ndeeba'!G81</f>
        <v>0.5</v>
      </c>
      <c r="H81" s="49">
        <f>'Avg Week Ndeeba-Lubiri'!H81+'Avg Week Lubiri-Ndeeba'!H81</f>
        <v>0</v>
      </c>
      <c r="I81" s="49">
        <f>'Avg Week Ndeeba-Lubiri'!I81+'Avg Week Lubiri-Ndeeba'!I81</f>
        <v>2.5</v>
      </c>
      <c r="J81" s="49">
        <f>'Avg Week Ndeeba-Lubiri'!J81+'Avg Week Lubiri-Ndeeba'!J81</f>
        <v>2</v>
      </c>
      <c r="K81" s="49">
        <f>'Avg Week Ndeeba-Lubiri'!K81+'Avg Week Lubiri-Ndeeba'!K81</f>
        <v>0</v>
      </c>
      <c r="L81" s="49">
        <f>'Avg Week Ndeeba-Lubiri'!L81+'Avg Week Lubiri-Ndeeba'!L81</f>
        <v>0.5</v>
      </c>
      <c r="M81" s="49">
        <f>'Avg Week Ndeeba-Lubiri'!M81+'Avg Week Lubiri-Ndeeba'!M81</f>
        <v>29.5</v>
      </c>
      <c r="N81" s="49">
        <f>'Avg Week Ndeeba-Lubiri'!N81+'Avg Week Lubiri-Ndeeba'!N81</f>
        <v>0</v>
      </c>
      <c r="O81" s="17">
        <f t="shared" si="35"/>
        <v>29.5</v>
      </c>
      <c r="P81" s="17">
        <f t="shared" si="36"/>
        <v>59</v>
      </c>
      <c r="R81" s="19"/>
      <c r="T81"/>
    </row>
    <row r="82" spans="2:20" ht="23.1" customHeight="1" x14ac:dyDescent="0.25">
      <c r="B82" s="24" t="s">
        <v>122</v>
      </c>
      <c r="C82" s="49">
        <f>'Avg Week Ndeeba-Lubiri'!C82+'Avg Week Lubiri-Ndeeba'!C82</f>
        <v>12.5</v>
      </c>
      <c r="D82" s="49">
        <f>'Avg Week Ndeeba-Lubiri'!D82+'Avg Week Lubiri-Ndeeba'!D82</f>
        <v>2</v>
      </c>
      <c r="E82" s="49">
        <f>'Avg Week Ndeeba-Lubiri'!E82+'Avg Week Lubiri-Ndeeba'!E82</f>
        <v>2.5</v>
      </c>
      <c r="F82" s="49">
        <f>'Avg Week Ndeeba-Lubiri'!F82+'Avg Week Lubiri-Ndeeba'!F82</f>
        <v>2</v>
      </c>
      <c r="G82" s="49">
        <f>'Avg Week Ndeeba-Lubiri'!G82+'Avg Week Lubiri-Ndeeba'!G82</f>
        <v>0</v>
      </c>
      <c r="H82" s="49">
        <f>'Avg Week Ndeeba-Lubiri'!H82+'Avg Week Lubiri-Ndeeba'!H82</f>
        <v>0</v>
      </c>
      <c r="I82" s="49">
        <f>'Avg Week Ndeeba-Lubiri'!I82+'Avg Week Lubiri-Ndeeba'!I82</f>
        <v>0.5</v>
      </c>
      <c r="J82" s="49">
        <f>'Avg Week Ndeeba-Lubiri'!J82+'Avg Week Lubiri-Ndeeba'!J82</f>
        <v>0.5</v>
      </c>
      <c r="K82" s="49">
        <f>'Avg Week Ndeeba-Lubiri'!K82+'Avg Week Lubiri-Ndeeba'!K82</f>
        <v>0</v>
      </c>
      <c r="L82" s="49">
        <f>'Avg Week Ndeeba-Lubiri'!L82+'Avg Week Lubiri-Ndeeba'!L82</f>
        <v>0</v>
      </c>
      <c r="M82" s="49">
        <f>'Avg Week Ndeeba-Lubiri'!M82+'Avg Week Lubiri-Ndeeba'!M82</f>
        <v>28.5</v>
      </c>
      <c r="N82" s="49">
        <f>'Avg Week Ndeeba-Lubiri'!N82+'Avg Week Lubiri-Ndeeba'!N82</f>
        <v>0</v>
      </c>
      <c r="O82" s="17">
        <f t="shared" si="35"/>
        <v>20</v>
      </c>
      <c r="P82" s="17">
        <f t="shared" si="36"/>
        <v>48.5</v>
      </c>
      <c r="R82" s="19"/>
      <c r="T82"/>
    </row>
    <row r="83" spans="2:20" ht="23.1" customHeight="1" x14ac:dyDescent="0.25">
      <c r="B83" s="23" t="s">
        <v>123</v>
      </c>
      <c r="C83" s="49">
        <f>'Avg Week Ndeeba-Lubiri'!C83+'Avg Week Lubiri-Ndeeba'!C83</f>
        <v>10</v>
      </c>
      <c r="D83" s="49">
        <f>'Avg Week Ndeeba-Lubiri'!D83+'Avg Week Lubiri-Ndeeba'!D83</f>
        <v>3.5</v>
      </c>
      <c r="E83" s="49">
        <f>'Avg Week Ndeeba-Lubiri'!E83+'Avg Week Lubiri-Ndeeba'!E83</f>
        <v>0</v>
      </c>
      <c r="F83" s="49">
        <f>'Avg Week Ndeeba-Lubiri'!F83+'Avg Week Lubiri-Ndeeba'!F83</f>
        <v>2</v>
      </c>
      <c r="G83" s="49">
        <f>'Avg Week Ndeeba-Lubiri'!G83+'Avg Week Lubiri-Ndeeba'!G83</f>
        <v>0</v>
      </c>
      <c r="H83" s="49">
        <f>'Avg Week Ndeeba-Lubiri'!H83+'Avg Week Lubiri-Ndeeba'!H83</f>
        <v>0</v>
      </c>
      <c r="I83" s="49">
        <f>'Avg Week Ndeeba-Lubiri'!I83+'Avg Week Lubiri-Ndeeba'!I83</f>
        <v>0.5</v>
      </c>
      <c r="J83" s="49">
        <f>'Avg Week Ndeeba-Lubiri'!J83+'Avg Week Lubiri-Ndeeba'!J83</f>
        <v>1</v>
      </c>
      <c r="K83" s="49">
        <f>'Avg Week Ndeeba-Lubiri'!K83+'Avg Week Lubiri-Ndeeba'!K83</f>
        <v>1</v>
      </c>
      <c r="L83" s="49">
        <f>'Avg Week Ndeeba-Lubiri'!L83+'Avg Week Lubiri-Ndeeba'!L83</f>
        <v>0</v>
      </c>
      <c r="M83" s="49">
        <f>'Avg Week Ndeeba-Lubiri'!M83+'Avg Week Lubiri-Ndeeba'!M83</f>
        <v>28.5</v>
      </c>
      <c r="N83" s="49">
        <f>'Avg Week Ndeeba-Lubiri'!N83+'Avg Week Lubiri-Ndeeba'!N83</f>
        <v>0</v>
      </c>
      <c r="O83" s="17">
        <f t="shared" si="35"/>
        <v>18</v>
      </c>
      <c r="P83" s="17">
        <f t="shared" si="36"/>
        <v>46.5</v>
      </c>
      <c r="R83" s="19"/>
      <c r="T83"/>
    </row>
    <row r="84" spans="2:20" ht="23.1" customHeight="1" x14ac:dyDescent="0.25">
      <c r="B84" s="25" t="s">
        <v>124</v>
      </c>
      <c r="C84" s="49">
        <f>'Avg Week Ndeeba-Lubiri'!C84+'Avg Week Lubiri-Ndeeba'!C84</f>
        <v>8.5</v>
      </c>
      <c r="D84" s="49">
        <f>'Avg Week Ndeeba-Lubiri'!D84+'Avg Week Lubiri-Ndeeba'!D84</f>
        <v>0</v>
      </c>
      <c r="E84" s="49">
        <f>'Avg Week Ndeeba-Lubiri'!E84+'Avg Week Lubiri-Ndeeba'!E84</f>
        <v>1</v>
      </c>
      <c r="F84" s="49">
        <f>'Avg Week Ndeeba-Lubiri'!F84+'Avg Week Lubiri-Ndeeba'!F84</f>
        <v>0</v>
      </c>
      <c r="G84" s="49">
        <f>'Avg Week Ndeeba-Lubiri'!G84+'Avg Week Lubiri-Ndeeba'!G84</f>
        <v>0</v>
      </c>
      <c r="H84" s="49">
        <f>'Avg Week Ndeeba-Lubiri'!H84+'Avg Week Lubiri-Ndeeba'!H84</f>
        <v>0.5</v>
      </c>
      <c r="I84" s="49">
        <f>'Avg Week Ndeeba-Lubiri'!I84+'Avg Week Lubiri-Ndeeba'!I84</f>
        <v>0.5</v>
      </c>
      <c r="J84" s="49">
        <f>'Avg Week Ndeeba-Lubiri'!J84+'Avg Week Lubiri-Ndeeba'!J84</f>
        <v>0</v>
      </c>
      <c r="K84" s="49">
        <f>'Avg Week Ndeeba-Lubiri'!K84+'Avg Week Lubiri-Ndeeba'!K84</f>
        <v>0.5</v>
      </c>
      <c r="L84" s="49">
        <f>'Avg Week Ndeeba-Lubiri'!L84+'Avg Week Lubiri-Ndeeba'!L84</f>
        <v>0</v>
      </c>
      <c r="M84" s="49">
        <f>'Avg Week Ndeeba-Lubiri'!M84+'Avg Week Lubiri-Ndeeba'!M84</f>
        <v>24.5</v>
      </c>
      <c r="N84" s="49">
        <f>'Avg Week Ndeeba-Lubiri'!N84+'Avg Week Lubiri-Ndeeba'!N84</f>
        <v>0</v>
      </c>
      <c r="O84" s="17">
        <f t="shared" si="35"/>
        <v>11</v>
      </c>
      <c r="P84" s="17">
        <f t="shared" si="36"/>
        <v>35.5</v>
      </c>
      <c r="R84" s="19"/>
      <c r="T84"/>
    </row>
    <row r="85" spans="2:20" ht="23.1" customHeight="1" x14ac:dyDescent="0.25">
      <c r="B85" s="23" t="s">
        <v>125</v>
      </c>
      <c r="C85" s="49">
        <f>'Avg Week Ndeeba-Lubiri'!C85+'Avg Week Lubiri-Ndeeba'!C85</f>
        <v>6.5</v>
      </c>
      <c r="D85" s="49">
        <f>'Avg Week Ndeeba-Lubiri'!D85+'Avg Week Lubiri-Ndeeba'!D85</f>
        <v>3</v>
      </c>
      <c r="E85" s="49">
        <f>'Avg Week Ndeeba-Lubiri'!E85+'Avg Week Lubiri-Ndeeba'!E85</f>
        <v>0.5</v>
      </c>
      <c r="F85" s="49">
        <f>'Avg Week Ndeeba-Lubiri'!F85+'Avg Week Lubiri-Ndeeba'!F85</f>
        <v>0.5</v>
      </c>
      <c r="G85" s="49">
        <f>'Avg Week Ndeeba-Lubiri'!G85+'Avg Week Lubiri-Ndeeba'!G85</f>
        <v>0</v>
      </c>
      <c r="H85" s="49">
        <f>'Avg Week Ndeeba-Lubiri'!H85+'Avg Week Lubiri-Ndeeba'!H85</f>
        <v>0</v>
      </c>
      <c r="I85" s="49">
        <f>'Avg Week Ndeeba-Lubiri'!I85+'Avg Week Lubiri-Ndeeba'!I85</f>
        <v>1</v>
      </c>
      <c r="J85" s="49">
        <f>'Avg Week Ndeeba-Lubiri'!J85+'Avg Week Lubiri-Ndeeba'!J85</f>
        <v>1</v>
      </c>
      <c r="K85" s="49">
        <f>'Avg Week Ndeeba-Lubiri'!K85+'Avg Week Lubiri-Ndeeba'!K85</f>
        <v>0</v>
      </c>
      <c r="L85" s="49">
        <f>'Avg Week Ndeeba-Lubiri'!L85+'Avg Week Lubiri-Ndeeba'!L85</f>
        <v>0</v>
      </c>
      <c r="M85" s="49">
        <f>'Avg Week Ndeeba-Lubiri'!M85+'Avg Week Lubiri-Ndeeba'!M85</f>
        <v>16</v>
      </c>
      <c r="N85" s="49">
        <f>'Avg Week Ndeeba-Lubiri'!N85+'Avg Week Lubiri-Ndeeba'!N85</f>
        <v>0</v>
      </c>
      <c r="O85" s="17">
        <f t="shared" si="35"/>
        <v>12.5</v>
      </c>
      <c r="P85" s="17">
        <f t="shared" si="36"/>
        <v>28.5</v>
      </c>
      <c r="R85" s="19"/>
      <c r="T85"/>
    </row>
    <row r="86" spans="2:20" ht="23.1" customHeight="1" x14ac:dyDescent="0.25">
      <c r="B86" s="24" t="s">
        <v>126</v>
      </c>
      <c r="C86" s="49">
        <f>'Avg Week Ndeeba-Lubiri'!C86+'Avg Week Lubiri-Ndeeba'!C86</f>
        <v>4.5</v>
      </c>
      <c r="D86" s="49">
        <f>'Avg Week Ndeeba-Lubiri'!D86+'Avg Week Lubiri-Ndeeba'!D86</f>
        <v>2.5</v>
      </c>
      <c r="E86" s="49">
        <f>'Avg Week Ndeeba-Lubiri'!E86+'Avg Week Lubiri-Ndeeba'!E86</f>
        <v>0.5</v>
      </c>
      <c r="F86" s="49">
        <f>'Avg Week Ndeeba-Lubiri'!F86+'Avg Week Lubiri-Ndeeba'!F86</f>
        <v>0</v>
      </c>
      <c r="G86" s="49">
        <f>'Avg Week Ndeeba-Lubiri'!G86+'Avg Week Lubiri-Ndeeba'!G86</f>
        <v>0</v>
      </c>
      <c r="H86" s="49">
        <f>'Avg Week Ndeeba-Lubiri'!H86+'Avg Week Lubiri-Ndeeba'!H86</f>
        <v>0</v>
      </c>
      <c r="I86" s="49">
        <f>'Avg Week Ndeeba-Lubiri'!I86+'Avg Week Lubiri-Ndeeba'!I86</f>
        <v>1</v>
      </c>
      <c r="J86" s="49">
        <f>'Avg Week Ndeeba-Lubiri'!J86+'Avg Week Lubiri-Ndeeba'!J86</f>
        <v>0.5</v>
      </c>
      <c r="K86" s="49">
        <f>'Avg Week Ndeeba-Lubiri'!K86+'Avg Week Lubiri-Ndeeba'!K86</f>
        <v>0</v>
      </c>
      <c r="L86" s="49">
        <f>'Avg Week Ndeeba-Lubiri'!L86+'Avg Week Lubiri-Ndeeba'!L86</f>
        <v>0</v>
      </c>
      <c r="M86" s="49">
        <f>'Avg Week Ndeeba-Lubiri'!M86+'Avg Week Lubiri-Ndeeba'!M86</f>
        <v>17</v>
      </c>
      <c r="N86" s="49">
        <f>'Avg Week Ndeeba-Lubiri'!N86+'Avg Week Lubiri-Ndeeba'!N86</f>
        <v>0</v>
      </c>
      <c r="O86" s="17">
        <f t="shared" si="35"/>
        <v>9</v>
      </c>
      <c r="P86" s="17">
        <f t="shared" si="36"/>
        <v>26</v>
      </c>
      <c r="R86" s="19"/>
      <c r="T86"/>
    </row>
    <row r="87" spans="2:20" ht="23.1" customHeight="1" x14ac:dyDescent="0.25">
      <c r="B87" s="23" t="s">
        <v>127</v>
      </c>
      <c r="C87" s="49">
        <f>'Avg Week Ndeeba-Lubiri'!C87+'Avg Week Lubiri-Ndeeba'!C87</f>
        <v>5</v>
      </c>
      <c r="D87" s="49">
        <f>'Avg Week Ndeeba-Lubiri'!D87+'Avg Week Lubiri-Ndeeba'!D87</f>
        <v>0.5</v>
      </c>
      <c r="E87" s="49">
        <f>'Avg Week Ndeeba-Lubiri'!E87+'Avg Week Lubiri-Ndeeba'!E87</f>
        <v>0.5</v>
      </c>
      <c r="F87" s="49">
        <f>'Avg Week Ndeeba-Lubiri'!F87+'Avg Week Lubiri-Ndeeba'!F87</f>
        <v>0.5</v>
      </c>
      <c r="G87" s="49">
        <f>'Avg Week Ndeeba-Lubiri'!G87+'Avg Week Lubiri-Ndeeba'!G87</f>
        <v>0</v>
      </c>
      <c r="H87" s="49">
        <f>'Avg Week Ndeeba-Lubiri'!H87+'Avg Week Lubiri-Ndeeba'!H87</f>
        <v>0</v>
      </c>
      <c r="I87" s="49">
        <f>'Avg Week Ndeeba-Lubiri'!I87+'Avg Week Lubiri-Ndeeba'!I87</f>
        <v>0</v>
      </c>
      <c r="J87" s="49">
        <f>'Avg Week Ndeeba-Lubiri'!J87+'Avg Week Lubiri-Ndeeba'!J87</f>
        <v>0.5</v>
      </c>
      <c r="K87" s="49">
        <f>'Avg Week Ndeeba-Lubiri'!K87+'Avg Week Lubiri-Ndeeba'!K87</f>
        <v>0.5</v>
      </c>
      <c r="L87" s="49">
        <f>'Avg Week Ndeeba-Lubiri'!L87+'Avg Week Lubiri-Ndeeba'!L87</f>
        <v>0</v>
      </c>
      <c r="M87" s="49">
        <f>'Avg Week Ndeeba-Lubiri'!M87+'Avg Week Lubiri-Ndeeba'!M87</f>
        <v>16</v>
      </c>
      <c r="N87" s="49">
        <f>'Avg Week Ndeeba-Lubiri'!N87+'Avg Week Lubiri-Ndeeba'!N87</f>
        <v>0</v>
      </c>
      <c r="O87" s="17">
        <f t="shared" si="35"/>
        <v>7.5</v>
      </c>
      <c r="P87" s="17">
        <f t="shared" si="36"/>
        <v>23.5</v>
      </c>
      <c r="R87" s="19"/>
      <c r="T87"/>
    </row>
    <row r="88" spans="2:20" ht="23.1" customHeight="1" x14ac:dyDescent="0.25">
      <c r="B88" s="25" t="s">
        <v>128</v>
      </c>
      <c r="C88" s="49">
        <f>'Avg Week Ndeeba-Lubiri'!C88+'Avg Week Lubiri-Ndeeba'!C88</f>
        <v>5.5</v>
      </c>
      <c r="D88" s="49">
        <f>'Avg Week Ndeeba-Lubiri'!D88+'Avg Week Lubiri-Ndeeba'!D88</f>
        <v>1.5</v>
      </c>
      <c r="E88" s="49">
        <f>'Avg Week Ndeeba-Lubiri'!E88+'Avg Week Lubiri-Ndeeba'!E88</f>
        <v>0</v>
      </c>
      <c r="F88" s="49">
        <f>'Avg Week Ndeeba-Lubiri'!F88+'Avg Week Lubiri-Ndeeba'!F88</f>
        <v>1</v>
      </c>
      <c r="G88" s="49">
        <f>'Avg Week Ndeeba-Lubiri'!G88+'Avg Week Lubiri-Ndeeba'!G88</f>
        <v>0</v>
      </c>
      <c r="H88" s="49">
        <f>'Avg Week Ndeeba-Lubiri'!H88+'Avg Week Lubiri-Ndeeba'!H88</f>
        <v>0</v>
      </c>
      <c r="I88" s="49">
        <f>'Avg Week Ndeeba-Lubiri'!I88+'Avg Week Lubiri-Ndeeba'!I88</f>
        <v>1</v>
      </c>
      <c r="J88" s="49">
        <f>'Avg Week Ndeeba-Lubiri'!J88+'Avg Week Lubiri-Ndeeba'!J88</f>
        <v>1</v>
      </c>
      <c r="K88" s="49">
        <f>'Avg Week Ndeeba-Lubiri'!K88+'Avg Week Lubiri-Ndeeba'!K88</f>
        <v>0.5</v>
      </c>
      <c r="L88" s="49">
        <f>'Avg Week Ndeeba-Lubiri'!L88+'Avg Week Lubiri-Ndeeba'!L88</f>
        <v>0</v>
      </c>
      <c r="M88" s="49">
        <f>'Avg Week Ndeeba-Lubiri'!M88+'Avg Week Lubiri-Ndeeba'!M88</f>
        <v>11</v>
      </c>
      <c r="N88" s="49">
        <f>'Avg Week Ndeeba-Lubiri'!N88+'Avg Week Lubiri-Ndeeba'!N88</f>
        <v>0</v>
      </c>
      <c r="O88" s="17">
        <f t="shared" si="35"/>
        <v>10.5</v>
      </c>
      <c r="P88" s="17">
        <f t="shared" si="36"/>
        <v>21.5</v>
      </c>
      <c r="R88" s="19"/>
      <c r="T88"/>
    </row>
    <row r="89" spans="2:20" ht="23.1" customHeight="1" x14ac:dyDescent="0.25">
      <c r="B89" s="23" t="s">
        <v>129</v>
      </c>
      <c r="C89" s="49">
        <f>'Avg Week Ndeeba-Lubiri'!C89+'Avg Week Lubiri-Ndeeba'!C89</f>
        <v>8.5</v>
      </c>
      <c r="D89" s="49">
        <f>'Avg Week Ndeeba-Lubiri'!D89+'Avg Week Lubiri-Ndeeba'!D89</f>
        <v>1.5</v>
      </c>
      <c r="E89" s="49">
        <f>'Avg Week Ndeeba-Lubiri'!E89+'Avg Week Lubiri-Ndeeba'!E89</f>
        <v>0.5</v>
      </c>
      <c r="F89" s="49">
        <f>'Avg Week Ndeeba-Lubiri'!F89+'Avg Week Lubiri-Ndeeba'!F89</f>
        <v>0</v>
      </c>
      <c r="G89" s="49">
        <f>'Avg Week Ndeeba-Lubiri'!G89+'Avg Week Lubiri-Ndeeba'!G89</f>
        <v>0</v>
      </c>
      <c r="H89" s="49">
        <f>'Avg Week Ndeeba-Lubiri'!H89+'Avg Week Lubiri-Ndeeba'!H89</f>
        <v>0</v>
      </c>
      <c r="I89" s="49">
        <f>'Avg Week Ndeeba-Lubiri'!I89+'Avg Week Lubiri-Ndeeba'!I89</f>
        <v>0</v>
      </c>
      <c r="J89" s="49">
        <f>'Avg Week Ndeeba-Lubiri'!J89+'Avg Week Lubiri-Ndeeba'!J89</f>
        <v>1</v>
      </c>
      <c r="K89" s="49">
        <f>'Avg Week Ndeeba-Lubiri'!K89+'Avg Week Lubiri-Ndeeba'!K89</f>
        <v>0</v>
      </c>
      <c r="L89" s="49">
        <f>'Avg Week Ndeeba-Lubiri'!L89+'Avg Week Lubiri-Ndeeba'!L89</f>
        <v>0</v>
      </c>
      <c r="M89" s="49">
        <f>'Avg Week Ndeeba-Lubiri'!M89+'Avg Week Lubiri-Ndeeba'!M89</f>
        <v>15</v>
      </c>
      <c r="N89" s="49">
        <f>'Avg Week Ndeeba-Lubiri'!N89+'Avg Week Lubiri-Ndeeba'!N89</f>
        <v>0</v>
      </c>
      <c r="O89" s="17">
        <f t="shared" si="35"/>
        <v>11.5</v>
      </c>
      <c r="P89" s="17">
        <f t="shared" si="36"/>
        <v>26.5</v>
      </c>
      <c r="R89" s="19"/>
      <c r="T89"/>
    </row>
    <row r="90" spans="2:20" ht="23.1" customHeight="1" x14ac:dyDescent="0.25">
      <c r="B90" s="24" t="s">
        <v>130</v>
      </c>
      <c r="C90" s="49">
        <f>'Avg Week Ndeeba-Lubiri'!C90+'Avg Week Lubiri-Ndeeba'!C90</f>
        <v>7</v>
      </c>
      <c r="D90" s="49">
        <f>'Avg Week Ndeeba-Lubiri'!D90+'Avg Week Lubiri-Ndeeba'!D90</f>
        <v>2.5</v>
      </c>
      <c r="E90" s="49">
        <f>'Avg Week Ndeeba-Lubiri'!E90+'Avg Week Lubiri-Ndeeba'!E90</f>
        <v>0</v>
      </c>
      <c r="F90" s="49">
        <f>'Avg Week Ndeeba-Lubiri'!F90+'Avg Week Lubiri-Ndeeba'!F90</f>
        <v>0</v>
      </c>
      <c r="G90" s="49">
        <f>'Avg Week Ndeeba-Lubiri'!G90+'Avg Week Lubiri-Ndeeba'!G90</f>
        <v>0</v>
      </c>
      <c r="H90" s="49">
        <f>'Avg Week Ndeeba-Lubiri'!H90+'Avg Week Lubiri-Ndeeba'!H90</f>
        <v>0</v>
      </c>
      <c r="I90" s="49">
        <f>'Avg Week Ndeeba-Lubiri'!I90+'Avg Week Lubiri-Ndeeba'!I90</f>
        <v>2.5</v>
      </c>
      <c r="J90" s="49">
        <f>'Avg Week Ndeeba-Lubiri'!J90+'Avg Week Lubiri-Ndeeba'!J90</f>
        <v>0.5</v>
      </c>
      <c r="K90" s="49">
        <f>'Avg Week Ndeeba-Lubiri'!K90+'Avg Week Lubiri-Ndeeba'!K90</f>
        <v>0</v>
      </c>
      <c r="L90" s="49">
        <f>'Avg Week Ndeeba-Lubiri'!L90+'Avg Week Lubiri-Ndeeba'!L90</f>
        <v>0</v>
      </c>
      <c r="M90" s="49">
        <f>'Avg Week Ndeeba-Lubiri'!M90+'Avg Week Lubiri-Ndeeba'!M90</f>
        <v>15.5</v>
      </c>
      <c r="N90" s="49">
        <f>'Avg Week Ndeeba-Lubiri'!N90+'Avg Week Lubiri-Ndeeba'!N90</f>
        <v>0</v>
      </c>
      <c r="O90" s="17">
        <f t="shared" si="35"/>
        <v>12.5</v>
      </c>
      <c r="P90" s="17">
        <f t="shared" si="36"/>
        <v>28</v>
      </c>
      <c r="R90" s="19"/>
      <c r="T90"/>
    </row>
    <row r="91" spans="2:20" ht="23.1" customHeight="1" x14ac:dyDescent="0.25">
      <c r="B91" s="23" t="s">
        <v>131</v>
      </c>
      <c r="C91" s="49">
        <f>'Avg Week Ndeeba-Lubiri'!C91+'Avg Week Lubiri-Ndeeba'!C91</f>
        <v>3</v>
      </c>
      <c r="D91" s="49">
        <f>'Avg Week Ndeeba-Lubiri'!D91+'Avg Week Lubiri-Ndeeba'!D91</f>
        <v>0</v>
      </c>
      <c r="E91" s="49">
        <f>'Avg Week Ndeeba-Lubiri'!E91+'Avg Week Lubiri-Ndeeba'!E91</f>
        <v>1</v>
      </c>
      <c r="F91" s="49">
        <f>'Avg Week Ndeeba-Lubiri'!F91+'Avg Week Lubiri-Ndeeba'!F91</f>
        <v>1</v>
      </c>
      <c r="G91" s="49">
        <f>'Avg Week Ndeeba-Lubiri'!G91+'Avg Week Lubiri-Ndeeba'!G91</f>
        <v>0</v>
      </c>
      <c r="H91" s="49">
        <f>'Avg Week Ndeeba-Lubiri'!H91+'Avg Week Lubiri-Ndeeba'!H91</f>
        <v>0</v>
      </c>
      <c r="I91" s="49">
        <f>'Avg Week Ndeeba-Lubiri'!I91+'Avg Week Lubiri-Ndeeba'!I91</f>
        <v>1</v>
      </c>
      <c r="J91" s="49">
        <f>'Avg Week Ndeeba-Lubiri'!J91+'Avg Week Lubiri-Ndeeba'!J91</f>
        <v>1</v>
      </c>
      <c r="K91" s="49">
        <f>'Avg Week Ndeeba-Lubiri'!K91+'Avg Week Lubiri-Ndeeba'!K91</f>
        <v>0</v>
      </c>
      <c r="L91" s="49">
        <f>'Avg Week Ndeeba-Lubiri'!L91+'Avg Week Lubiri-Ndeeba'!L91</f>
        <v>0</v>
      </c>
      <c r="M91" s="49">
        <f>'Avg Week Ndeeba-Lubiri'!M91+'Avg Week Lubiri-Ndeeba'!M91</f>
        <v>11</v>
      </c>
      <c r="N91" s="49">
        <f>'Avg Week Ndeeba-Lubiri'!N91+'Avg Week Lubiri-Ndeeba'!N91</f>
        <v>0</v>
      </c>
      <c r="O91" s="17">
        <f t="shared" si="35"/>
        <v>7</v>
      </c>
      <c r="P91" s="17">
        <f t="shared" si="36"/>
        <v>18</v>
      </c>
      <c r="R91" s="19"/>
      <c r="T91"/>
    </row>
    <row r="92" spans="2:20" ht="23.1" customHeight="1" x14ac:dyDescent="0.25">
      <c r="B92" s="25" t="s">
        <v>132</v>
      </c>
      <c r="C92" s="49">
        <f>'Avg Week Ndeeba-Lubiri'!C92+'Avg Week Lubiri-Ndeeba'!C92</f>
        <v>4</v>
      </c>
      <c r="D92" s="49">
        <f>'Avg Week Ndeeba-Lubiri'!D92+'Avg Week Lubiri-Ndeeba'!D92</f>
        <v>2</v>
      </c>
      <c r="E92" s="49">
        <f>'Avg Week Ndeeba-Lubiri'!E92+'Avg Week Lubiri-Ndeeba'!E92</f>
        <v>0</v>
      </c>
      <c r="F92" s="49">
        <f>'Avg Week Ndeeba-Lubiri'!F92+'Avg Week Lubiri-Ndeeba'!F92</f>
        <v>0</v>
      </c>
      <c r="G92" s="49">
        <f>'Avg Week Ndeeba-Lubiri'!G92+'Avg Week Lubiri-Ndeeba'!G92</f>
        <v>0</v>
      </c>
      <c r="H92" s="49">
        <f>'Avg Week Ndeeba-Lubiri'!H92+'Avg Week Lubiri-Ndeeba'!H92</f>
        <v>0</v>
      </c>
      <c r="I92" s="49">
        <f>'Avg Week Ndeeba-Lubiri'!I92+'Avg Week Lubiri-Ndeeba'!I92</f>
        <v>0</v>
      </c>
      <c r="J92" s="49">
        <f>'Avg Week Ndeeba-Lubiri'!J92+'Avg Week Lubiri-Ndeeba'!J92</f>
        <v>0.5</v>
      </c>
      <c r="K92" s="49">
        <f>'Avg Week Ndeeba-Lubiri'!K92+'Avg Week Lubiri-Ndeeba'!K92</f>
        <v>1</v>
      </c>
      <c r="L92" s="49">
        <f>'Avg Week Ndeeba-Lubiri'!L92+'Avg Week Lubiri-Ndeeba'!L92</f>
        <v>0</v>
      </c>
      <c r="M92" s="49">
        <f>'Avg Week Ndeeba-Lubiri'!M92+'Avg Week Lubiri-Ndeeba'!M92</f>
        <v>9.5</v>
      </c>
      <c r="N92" s="49">
        <f>'Avg Week Ndeeba-Lubiri'!N92+'Avg Week Lubiri-Ndeeba'!N92</f>
        <v>0</v>
      </c>
      <c r="O92" s="17">
        <f t="shared" si="35"/>
        <v>7.5</v>
      </c>
      <c r="P92" s="17">
        <f t="shared" si="36"/>
        <v>17</v>
      </c>
      <c r="R92" s="19"/>
      <c r="T92"/>
    </row>
    <row r="93" spans="2:20" ht="23.1" customHeight="1" x14ac:dyDescent="0.25">
      <c r="B93" s="23" t="s">
        <v>133</v>
      </c>
      <c r="C93" s="49">
        <f>'Avg Week Ndeeba-Lubiri'!C93+'Avg Week Lubiri-Ndeeba'!C93</f>
        <v>4</v>
      </c>
      <c r="D93" s="49">
        <f>'Avg Week Ndeeba-Lubiri'!D93+'Avg Week Lubiri-Ndeeba'!D93</f>
        <v>1</v>
      </c>
      <c r="E93" s="49">
        <f>'Avg Week Ndeeba-Lubiri'!E93+'Avg Week Lubiri-Ndeeba'!E93</f>
        <v>0</v>
      </c>
      <c r="F93" s="49">
        <f>'Avg Week Ndeeba-Lubiri'!F93+'Avg Week Lubiri-Ndeeba'!F93</f>
        <v>0</v>
      </c>
      <c r="G93" s="49">
        <f>'Avg Week Ndeeba-Lubiri'!G93+'Avg Week Lubiri-Ndeeba'!G93</f>
        <v>0</v>
      </c>
      <c r="H93" s="49">
        <f>'Avg Week Ndeeba-Lubiri'!H93+'Avg Week Lubiri-Ndeeba'!H93</f>
        <v>0</v>
      </c>
      <c r="I93" s="49">
        <f>'Avg Week Ndeeba-Lubiri'!I93+'Avg Week Lubiri-Ndeeba'!I93</f>
        <v>0</v>
      </c>
      <c r="J93" s="49">
        <f>'Avg Week Ndeeba-Lubiri'!J93+'Avg Week Lubiri-Ndeeba'!J93</f>
        <v>0</v>
      </c>
      <c r="K93" s="49">
        <f>'Avg Week Ndeeba-Lubiri'!K93+'Avg Week Lubiri-Ndeeba'!K93</f>
        <v>0</v>
      </c>
      <c r="L93" s="49">
        <f>'Avg Week Ndeeba-Lubiri'!L93+'Avg Week Lubiri-Ndeeba'!L93</f>
        <v>0.5</v>
      </c>
      <c r="M93" s="49">
        <f>'Avg Week Ndeeba-Lubiri'!M93+'Avg Week Lubiri-Ndeeba'!M93</f>
        <v>9</v>
      </c>
      <c r="N93" s="49">
        <f>'Avg Week Ndeeba-Lubiri'!N93+'Avg Week Lubiri-Ndeeba'!N93</f>
        <v>0</v>
      </c>
      <c r="O93" s="17">
        <f t="shared" si="35"/>
        <v>5.5</v>
      </c>
      <c r="P93" s="17">
        <f t="shared" si="36"/>
        <v>14.5</v>
      </c>
      <c r="R93" s="19"/>
      <c r="T93"/>
    </row>
    <row r="94" spans="2:20" ht="23.1" customHeight="1" x14ac:dyDescent="0.25">
      <c r="B94" s="24" t="s">
        <v>134</v>
      </c>
      <c r="C94" s="49">
        <f>'Avg Week Ndeeba-Lubiri'!C94+'Avg Week Lubiri-Ndeeba'!C94</f>
        <v>5.5</v>
      </c>
      <c r="D94" s="49">
        <f>'Avg Week Ndeeba-Lubiri'!D94+'Avg Week Lubiri-Ndeeba'!D94</f>
        <v>0.5</v>
      </c>
      <c r="E94" s="49">
        <f>'Avg Week Ndeeba-Lubiri'!E94+'Avg Week Lubiri-Ndeeba'!E94</f>
        <v>1</v>
      </c>
      <c r="F94" s="49">
        <f>'Avg Week Ndeeba-Lubiri'!F94+'Avg Week Lubiri-Ndeeba'!F94</f>
        <v>0.5</v>
      </c>
      <c r="G94" s="49">
        <f>'Avg Week Ndeeba-Lubiri'!G94+'Avg Week Lubiri-Ndeeba'!G94</f>
        <v>0.5</v>
      </c>
      <c r="H94" s="49">
        <f>'Avg Week Ndeeba-Lubiri'!H94+'Avg Week Lubiri-Ndeeba'!H94</f>
        <v>0</v>
      </c>
      <c r="I94" s="49">
        <f>'Avg Week Ndeeba-Lubiri'!I94+'Avg Week Lubiri-Ndeeba'!I94</f>
        <v>1.5</v>
      </c>
      <c r="J94" s="49">
        <f>'Avg Week Ndeeba-Lubiri'!J94+'Avg Week Lubiri-Ndeeba'!J94</f>
        <v>0</v>
      </c>
      <c r="K94" s="49">
        <f>'Avg Week Ndeeba-Lubiri'!K94+'Avg Week Lubiri-Ndeeba'!K94</f>
        <v>0.5</v>
      </c>
      <c r="L94" s="49">
        <f>'Avg Week Ndeeba-Lubiri'!L94+'Avg Week Lubiri-Ndeeba'!L94</f>
        <v>0</v>
      </c>
      <c r="M94" s="49">
        <f>'Avg Week Ndeeba-Lubiri'!M94+'Avg Week Lubiri-Ndeeba'!M94</f>
        <v>13</v>
      </c>
      <c r="N94" s="49">
        <f>'Avg Week Ndeeba-Lubiri'!N94+'Avg Week Lubiri-Ndeeba'!N94</f>
        <v>0</v>
      </c>
      <c r="O94" s="17">
        <f t="shared" si="35"/>
        <v>10</v>
      </c>
      <c r="P94" s="17">
        <f t="shared" si="36"/>
        <v>23</v>
      </c>
      <c r="R94" s="19"/>
      <c r="T94"/>
    </row>
    <row r="95" spans="2:20" ht="23.1" customHeight="1" x14ac:dyDescent="0.25">
      <c r="B95" s="23" t="s">
        <v>135</v>
      </c>
      <c r="C95" s="49">
        <f>'Avg Week Ndeeba-Lubiri'!C95+'Avg Week Lubiri-Ndeeba'!C95</f>
        <v>5</v>
      </c>
      <c r="D95" s="49">
        <f>'Avg Week Ndeeba-Lubiri'!D95+'Avg Week Lubiri-Ndeeba'!D95</f>
        <v>0.5</v>
      </c>
      <c r="E95" s="49">
        <f>'Avg Week Ndeeba-Lubiri'!E95+'Avg Week Lubiri-Ndeeba'!E95</f>
        <v>0.5</v>
      </c>
      <c r="F95" s="49">
        <f>'Avg Week Ndeeba-Lubiri'!F95+'Avg Week Lubiri-Ndeeba'!F95</f>
        <v>1.5</v>
      </c>
      <c r="G95" s="49">
        <f>'Avg Week Ndeeba-Lubiri'!G95+'Avg Week Lubiri-Ndeeba'!G95</f>
        <v>0</v>
      </c>
      <c r="H95" s="49">
        <f>'Avg Week Ndeeba-Lubiri'!H95+'Avg Week Lubiri-Ndeeba'!H95</f>
        <v>0</v>
      </c>
      <c r="I95" s="49">
        <f>'Avg Week Ndeeba-Lubiri'!I95+'Avg Week Lubiri-Ndeeba'!I95</f>
        <v>0.5</v>
      </c>
      <c r="J95" s="49">
        <f>'Avg Week Ndeeba-Lubiri'!J95+'Avg Week Lubiri-Ndeeba'!J95</f>
        <v>2</v>
      </c>
      <c r="K95" s="49">
        <f>'Avg Week Ndeeba-Lubiri'!K95+'Avg Week Lubiri-Ndeeba'!K95</f>
        <v>0</v>
      </c>
      <c r="L95" s="49">
        <f>'Avg Week Ndeeba-Lubiri'!L95+'Avg Week Lubiri-Ndeeba'!L95</f>
        <v>0</v>
      </c>
      <c r="M95" s="49">
        <f>'Avg Week Ndeeba-Lubiri'!M95+'Avg Week Lubiri-Ndeeba'!M95</f>
        <v>12.5</v>
      </c>
      <c r="N95" s="49">
        <f>'Avg Week Ndeeba-Lubiri'!N95+'Avg Week Lubiri-Ndeeba'!N95</f>
        <v>0</v>
      </c>
      <c r="O95" s="17">
        <f t="shared" si="35"/>
        <v>10</v>
      </c>
      <c r="P95" s="17">
        <f t="shared" si="36"/>
        <v>22.5</v>
      </c>
      <c r="R95" s="19"/>
      <c r="T95"/>
    </row>
    <row r="96" spans="2:20" ht="23.1" customHeight="1" x14ac:dyDescent="0.25">
      <c r="B96" s="25" t="s">
        <v>136</v>
      </c>
      <c r="C96" s="49">
        <f>'Avg Week Ndeeba-Lubiri'!C96+'Avg Week Lubiri-Ndeeba'!C96</f>
        <v>7</v>
      </c>
      <c r="D96" s="49">
        <f>'Avg Week Ndeeba-Lubiri'!D96+'Avg Week Lubiri-Ndeeba'!D96</f>
        <v>0</v>
      </c>
      <c r="E96" s="49">
        <f>'Avg Week Ndeeba-Lubiri'!E96+'Avg Week Lubiri-Ndeeba'!E96</f>
        <v>0.5</v>
      </c>
      <c r="F96" s="49">
        <f>'Avg Week Ndeeba-Lubiri'!F96+'Avg Week Lubiri-Ndeeba'!F96</f>
        <v>0</v>
      </c>
      <c r="G96" s="49">
        <f>'Avg Week Ndeeba-Lubiri'!G96+'Avg Week Lubiri-Ndeeba'!G96</f>
        <v>0</v>
      </c>
      <c r="H96" s="49">
        <f>'Avg Week Ndeeba-Lubiri'!H96+'Avg Week Lubiri-Ndeeba'!H96</f>
        <v>0</v>
      </c>
      <c r="I96" s="49">
        <f>'Avg Week Ndeeba-Lubiri'!I96+'Avg Week Lubiri-Ndeeba'!I96</f>
        <v>0</v>
      </c>
      <c r="J96" s="49">
        <f>'Avg Week Ndeeba-Lubiri'!J96+'Avg Week Lubiri-Ndeeba'!J96</f>
        <v>2</v>
      </c>
      <c r="K96" s="49">
        <f>'Avg Week Ndeeba-Lubiri'!K96+'Avg Week Lubiri-Ndeeba'!K96</f>
        <v>1.5</v>
      </c>
      <c r="L96" s="49">
        <f>'Avg Week Ndeeba-Lubiri'!L96+'Avg Week Lubiri-Ndeeba'!L96</f>
        <v>0</v>
      </c>
      <c r="M96" s="49">
        <f>'Avg Week Ndeeba-Lubiri'!M96+'Avg Week Lubiri-Ndeeba'!M96</f>
        <v>19</v>
      </c>
      <c r="N96" s="49">
        <f>'Avg Week Ndeeba-Lubiri'!N96+'Avg Week Lubiri-Ndeeba'!N96</f>
        <v>0</v>
      </c>
      <c r="O96" s="17">
        <f t="shared" si="35"/>
        <v>11</v>
      </c>
      <c r="P96" s="17">
        <f t="shared" si="36"/>
        <v>30</v>
      </c>
      <c r="R96" s="19"/>
      <c r="T96"/>
    </row>
    <row r="97" spans="2:20" ht="23.1" customHeight="1" x14ac:dyDescent="0.25">
      <c r="B97" s="23" t="s">
        <v>137</v>
      </c>
      <c r="C97" s="49">
        <f>'Avg Week Ndeeba-Lubiri'!C97+'Avg Week Lubiri-Ndeeba'!C97</f>
        <v>5.5</v>
      </c>
      <c r="D97" s="49">
        <f>'Avg Week Ndeeba-Lubiri'!D97+'Avg Week Lubiri-Ndeeba'!D97</f>
        <v>0.5</v>
      </c>
      <c r="E97" s="49">
        <f>'Avg Week Ndeeba-Lubiri'!E97+'Avg Week Lubiri-Ndeeba'!E97</f>
        <v>1</v>
      </c>
      <c r="F97" s="49">
        <f>'Avg Week Ndeeba-Lubiri'!F97+'Avg Week Lubiri-Ndeeba'!F97</f>
        <v>1</v>
      </c>
      <c r="G97" s="49">
        <f>'Avg Week Ndeeba-Lubiri'!G97+'Avg Week Lubiri-Ndeeba'!G97</f>
        <v>0</v>
      </c>
      <c r="H97" s="49">
        <f>'Avg Week Ndeeba-Lubiri'!H97+'Avg Week Lubiri-Ndeeba'!H97</f>
        <v>0</v>
      </c>
      <c r="I97" s="49">
        <f>'Avg Week Ndeeba-Lubiri'!I97+'Avg Week Lubiri-Ndeeba'!I97</f>
        <v>0</v>
      </c>
      <c r="J97" s="49">
        <f>'Avg Week Ndeeba-Lubiri'!J97+'Avg Week Lubiri-Ndeeba'!J97</f>
        <v>2.5</v>
      </c>
      <c r="K97" s="49">
        <f>'Avg Week Ndeeba-Lubiri'!K97+'Avg Week Lubiri-Ndeeba'!K97</f>
        <v>0</v>
      </c>
      <c r="L97" s="49">
        <f>'Avg Week Ndeeba-Lubiri'!L97+'Avg Week Lubiri-Ndeeba'!L97</f>
        <v>0</v>
      </c>
      <c r="M97" s="49">
        <f>'Avg Week Ndeeba-Lubiri'!M97+'Avg Week Lubiri-Ndeeba'!M97</f>
        <v>17</v>
      </c>
      <c r="N97" s="49">
        <f>'Avg Week Ndeeba-Lubiri'!N97+'Avg Week Lubiri-Ndeeba'!N97</f>
        <v>0</v>
      </c>
      <c r="O97" s="17">
        <f t="shared" si="35"/>
        <v>10.5</v>
      </c>
      <c r="P97" s="17">
        <f t="shared" si="36"/>
        <v>27.5</v>
      </c>
      <c r="R97" s="19"/>
      <c r="T97"/>
    </row>
    <row r="98" spans="2:20" ht="23.1" customHeight="1" x14ac:dyDescent="0.25">
      <c r="B98" s="24" t="s">
        <v>138</v>
      </c>
      <c r="C98" s="49">
        <f>'Avg Week Ndeeba-Lubiri'!C98+'Avg Week Lubiri-Ndeeba'!C98</f>
        <v>5.5</v>
      </c>
      <c r="D98" s="49">
        <f>'Avg Week Ndeeba-Lubiri'!D98+'Avg Week Lubiri-Ndeeba'!D98</f>
        <v>1.5</v>
      </c>
      <c r="E98" s="49">
        <f>'Avg Week Ndeeba-Lubiri'!E98+'Avg Week Lubiri-Ndeeba'!E98</f>
        <v>1.5</v>
      </c>
      <c r="F98" s="49">
        <f>'Avg Week Ndeeba-Lubiri'!F98+'Avg Week Lubiri-Ndeeba'!F98</f>
        <v>0.5</v>
      </c>
      <c r="G98" s="49">
        <f>'Avg Week Ndeeba-Lubiri'!G98+'Avg Week Lubiri-Ndeeba'!G98</f>
        <v>0</v>
      </c>
      <c r="H98" s="49">
        <f>'Avg Week Ndeeba-Lubiri'!H98+'Avg Week Lubiri-Ndeeba'!H98</f>
        <v>0</v>
      </c>
      <c r="I98" s="49">
        <f>'Avg Week Ndeeba-Lubiri'!I98+'Avg Week Lubiri-Ndeeba'!I98</f>
        <v>1</v>
      </c>
      <c r="J98" s="49">
        <f>'Avg Week Ndeeba-Lubiri'!J98+'Avg Week Lubiri-Ndeeba'!J98</f>
        <v>2</v>
      </c>
      <c r="K98" s="49">
        <f>'Avg Week Ndeeba-Lubiri'!K98+'Avg Week Lubiri-Ndeeba'!K98</f>
        <v>0</v>
      </c>
      <c r="L98" s="49">
        <f>'Avg Week Ndeeba-Lubiri'!L98+'Avg Week Lubiri-Ndeeba'!L98</f>
        <v>2.5</v>
      </c>
      <c r="M98" s="49">
        <f>'Avg Week Ndeeba-Lubiri'!M98+'Avg Week Lubiri-Ndeeba'!M98</f>
        <v>15.5</v>
      </c>
      <c r="N98" s="49">
        <f>'Avg Week Ndeeba-Lubiri'!N98+'Avg Week Lubiri-Ndeeba'!N98</f>
        <v>0</v>
      </c>
      <c r="O98" s="17">
        <f t="shared" si="35"/>
        <v>14.5</v>
      </c>
      <c r="P98" s="17">
        <f t="shared" si="36"/>
        <v>30</v>
      </c>
      <c r="R98" s="19"/>
      <c r="T98"/>
    </row>
    <row r="99" spans="2:20" ht="23.1" customHeight="1" x14ac:dyDescent="0.25">
      <c r="B99" s="23" t="s">
        <v>139</v>
      </c>
      <c r="C99" s="49">
        <f>'Avg Week Ndeeba-Lubiri'!C99+'Avg Week Lubiri-Ndeeba'!C99</f>
        <v>8</v>
      </c>
      <c r="D99" s="49">
        <f>'Avg Week Ndeeba-Lubiri'!D99+'Avg Week Lubiri-Ndeeba'!D99</f>
        <v>1.5</v>
      </c>
      <c r="E99" s="49">
        <f>'Avg Week Ndeeba-Lubiri'!E99+'Avg Week Lubiri-Ndeeba'!E99</f>
        <v>2</v>
      </c>
      <c r="F99" s="49">
        <f>'Avg Week Ndeeba-Lubiri'!F99+'Avg Week Lubiri-Ndeeba'!F99</f>
        <v>1</v>
      </c>
      <c r="G99" s="49">
        <f>'Avg Week Ndeeba-Lubiri'!G99+'Avg Week Lubiri-Ndeeba'!G99</f>
        <v>0</v>
      </c>
      <c r="H99" s="49">
        <f>'Avg Week Ndeeba-Lubiri'!H99+'Avg Week Lubiri-Ndeeba'!H99</f>
        <v>0</v>
      </c>
      <c r="I99" s="49">
        <f>'Avg Week Ndeeba-Lubiri'!I99+'Avg Week Lubiri-Ndeeba'!I99</f>
        <v>1</v>
      </c>
      <c r="J99" s="49">
        <f>'Avg Week Ndeeba-Lubiri'!J99+'Avg Week Lubiri-Ndeeba'!J99</f>
        <v>1.5</v>
      </c>
      <c r="K99" s="49">
        <f>'Avg Week Ndeeba-Lubiri'!K99+'Avg Week Lubiri-Ndeeba'!K99</f>
        <v>0</v>
      </c>
      <c r="L99" s="49">
        <f>'Avg Week Ndeeba-Lubiri'!L99+'Avg Week Lubiri-Ndeeba'!L99</f>
        <v>0</v>
      </c>
      <c r="M99" s="49">
        <f>'Avg Week Ndeeba-Lubiri'!M99+'Avg Week Lubiri-Ndeeba'!M99</f>
        <v>17.5</v>
      </c>
      <c r="N99" s="49">
        <f>'Avg Week Ndeeba-Lubiri'!N99+'Avg Week Lubiri-Ndeeba'!N99</f>
        <v>0</v>
      </c>
      <c r="O99" s="17">
        <f t="shared" si="35"/>
        <v>15</v>
      </c>
      <c r="P99" s="17">
        <f t="shared" si="36"/>
        <v>32.5</v>
      </c>
      <c r="R99" s="19"/>
      <c r="T99"/>
    </row>
    <row r="100" spans="2:20" ht="23.1" customHeight="1" x14ac:dyDescent="0.25">
      <c r="B100" s="25" t="s">
        <v>140</v>
      </c>
      <c r="C100" s="49">
        <f>'Avg Week Ndeeba-Lubiri'!C100+'Avg Week Lubiri-Ndeeba'!C100</f>
        <v>10.5</v>
      </c>
      <c r="D100" s="49">
        <f>'Avg Week Ndeeba-Lubiri'!D100+'Avg Week Lubiri-Ndeeba'!D100</f>
        <v>2</v>
      </c>
      <c r="E100" s="49">
        <f>'Avg Week Ndeeba-Lubiri'!E100+'Avg Week Lubiri-Ndeeba'!E100</f>
        <v>0</v>
      </c>
      <c r="F100" s="49">
        <f>'Avg Week Ndeeba-Lubiri'!F100+'Avg Week Lubiri-Ndeeba'!F100</f>
        <v>0</v>
      </c>
      <c r="G100" s="49">
        <f>'Avg Week Ndeeba-Lubiri'!G100+'Avg Week Lubiri-Ndeeba'!G100</f>
        <v>0</v>
      </c>
      <c r="H100" s="49">
        <f>'Avg Week Ndeeba-Lubiri'!H100+'Avg Week Lubiri-Ndeeba'!H100</f>
        <v>0</v>
      </c>
      <c r="I100" s="49">
        <f>'Avg Week Ndeeba-Lubiri'!I100+'Avg Week Lubiri-Ndeeba'!I100</f>
        <v>1</v>
      </c>
      <c r="J100" s="49">
        <f>'Avg Week Ndeeba-Lubiri'!J100+'Avg Week Lubiri-Ndeeba'!J100</f>
        <v>0.5</v>
      </c>
      <c r="K100" s="49">
        <f>'Avg Week Ndeeba-Lubiri'!K100+'Avg Week Lubiri-Ndeeba'!K100</f>
        <v>1.5</v>
      </c>
      <c r="L100" s="49">
        <f>'Avg Week Ndeeba-Lubiri'!L100+'Avg Week Lubiri-Ndeeba'!L100</f>
        <v>0</v>
      </c>
      <c r="M100" s="49">
        <f>'Avg Week Ndeeba-Lubiri'!M100+'Avg Week Lubiri-Ndeeba'!M100</f>
        <v>24.5</v>
      </c>
      <c r="N100" s="49">
        <f>'Avg Week Ndeeba-Lubiri'!N100+'Avg Week Lubiri-Ndeeba'!N100</f>
        <v>0</v>
      </c>
      <c r="O100" s="17">
        <f t="shared" si="35"/>
        <v>15.5</v>
      </c>
      <c r="P100" s="17">
        <f t="shared" si="36"/>
        <v>40</v>
      </c>
      <c r="R100" s="19"/>
      <c r="T100"/>
    </row>
    <row r="101" spans="2:20" ht="23.1" customHeight="1" x14ac:dyDescent="0.25">
      <c r="B101" s="23" t="s">
        <v>141</v>
      </c>
      <c r="C101" s="49">
        <f>'Avg Week Ndeeba-Lubiri'!C101+'Avg Week Lubiri-Ndeeba'!C101</f>
        <v>7.5</v>
      </c>
      <c r="D101" s="49">
        <f>'Avg Week Ndeeba-Lubiri'!D101+'Avg Week Lubiri-Ndeeba'!D101</f>
        <v>3</v>
      </c>
      <c r="E101" s="49">
        <f>'Avg Week Ndeeba-Lubiri'!E101+'Avg Week Lubiri-Ndeeba'!E101</f>
        <v>1</v>
      </c>
      <c r="F101" s="49">
        <f>'Avg Week Ndeeba-Lubiri'!F101+'Avg Week Lubiri-Ndeeba'!F101</f>
        <v>3</v>
      </c>
      <c r="G101" s="49">
        <f>'Avg Week Ndeeba-Lubiri'!G101+'Avg Week Lubiri-Ndeeba'!G101</f>
        <v>0.5</v>
      </c>
      <c r="H101" s="49">
        <f>'Avg Week Ndeeba-Lubiri'!H101+'Avg Week Lubiri-Ndeeba'!H101</f>
        <v>0</v>
      </c>
      <c r="I101" s="49">
        <f>'Avg Week Ndeeba-Lubiri'!I101+'Avg Week Lubiri-Ndeeba'!I101</f>
        <v>2</v>
      </c>
      <c r="J101" s="49">
        <f>'Avg Week Ndeeba-Lubiri'!J101+'Avg Week Lubiri-Ndeeba'!J101</f>
        <v>0</v>
      </c>
      <c r="K101" s="49">
        <f>'Avg Week Ndeeba-Lubiri'!K101+'Avg Week Lubiri-Ndeeba'!K101</f>
        <v>0</v>
      </c>
      <c r="L101" s="49">
        <f>'Avg Week Ndeeba-Lubiri'!L101+'Avg Week Lubiri-Ndeeba'!L101</f>
        <v>0</v>
      </c>
      <c r="M101" s="49">
        <f>'Avg Week Ndeeba-Lubiri'!M101+'Avg Week Lubiri-Ndeeba'!M101</f>
        <v>30</v>
      </c>
      <c r="N101" s="49">
        <f>'Avg Week Ndeeba-Lubiri'!N101+'Avg Week Lubiri-Ndeeba'!N101</f>
        <v>0</v>
      </c>
      <c r="O101" s="17">
        <f t="shared" si="35"/>
        <v>17</v>
      </c>
      <c r="P101" s="17">
        <f t="shared" si="36"/>
        <v>47</v>
      </c>
      <c r="R101" s="19"/>
      <c r="T101"/>
    </row>
    <row r="102" spans="2:20" ht="23.1" customHeight="1" x14ac:dyDescent="0.25">
      <c r="B102" s="24" t="s">
        <v>142</v>
      </c>
      <c r="C102" s="49">
        <f>'Avg Week Ndeeba-Lubiri'!C102+'Avg Week Lubiri-Ndeeba'!C102</f>
        <v>12.5</v>
      </c>
      <c r="D102" s="49">
        <f>'Avg Week Ndeeba-Lubiri'!D102+'Avg Week Lubiri-Ndeeba'!D102</f>
        <v>2</v>
      </c>
      <c r="E102" s="49">
        <f>'Avg Week Ndeeba-Lubiri'!E102+'Avg Week Lubiri-Ndeeba'!E102</f>
        <v>1</v>
      </c>
      <c r="F102" s="49">
        <f>'Avg Week Ndeeba-Lubiri'!F102+'Avg Week Lubiri-Ndeeba'!F102</f>
        <v>0</v>
      </c>
      <c r="G102" s="49">
        <f>'Avg Week Ndeeba-Lubiri'!G102+'Avg Week Lubiri-Ndeeba'!G102</f>
        <v>0.5</v>
      </c>
      <c r="H102" s="49">
        <f>'Avg Week Ndeeba-Lubiri'!H102+'Avg Week Lubiri-Ndeeba'!H102</f>
        <v>0</v>
      </c>
      <c r="I102" s="49">
        <f>'Avg Week Ndeeba-Lubiri'!I102+'Avg Week Lubiri-Ndeeba'!I102</f>
        <v>0.5</v>
      </c>
      <c r="J102" s="49">
        <f>'Avg Week Ndeeba-Lubiri'!J102+'Avg Week Lubiri-Ndeeba'!J102</f>
        <v>0</v>
      </c>
      <c r="K102" s="49">
        <f>'Avg Week Ndeeba-Lubiri'!K102+'Avg Week Lubiri-Ndeeba'!K102</f>
        <v>0.5</v>
      </c>
      <c r="L102" s="49">
        <f>'Avg Week Ndeeba-Lubiri'!L102+'Avg Week Lubiri-Ndeeba'!L102</f>
        <v>0.5</v>
      </c>
      <c r="M102" s="49">
        <f>'Avg Week Ndeeba-Lubiri'!M102+'Avg Week Lubiri-Ndeeba'!M102</f>
        <v>24.5</v>
      </c>
      <c r="N102" s="49">
        <f>'Avg Week Ndeeba-Lubiri'!N102+'Avg Week Lubiri-Ndeeba'!N102</f>
        <v>0</v>
      </c>
      <c r="O102" s="17">
        <f t="shared" si="35"/>
        <v>17.5</v>
      </c>
      <c r="P102" s="17">
        <f t="shared" si="36"/>
        <v>42</v>
      </c>
      <c r="R102" s="19"/>
      <c r="T102"/>
    </row>
    <row r="103" spans="2:20" ht="23.1" customHeight="1" x14ac:dyDescent="0.25">
      <c r="B103" s="23" t="s">
        <v>143</v>
      </c>
      <c r="C103" s="49">
        <f>'Avg Week Ndeeba-Lubiri'!C103+'Avg Week Lubiri-Ndeeba'!C103</f>
        <v>13.5</v>
      </c>
      <c r="D103" s="49">
        <f>'Avg Week Ndeeba-Lubiri'!D103+'Avg Week Lubiri-Ndeeba'!D103</f>
        <v>3</v>
      </c>
      <c r="E103" s="49">
        <f>'Avg Week Ndeeba-Lubiri'!E103+'Avg Week Lubiri-Ndeeba'!E103</f>
        <v>1</v>
      </c>
      <c r="F103" s="49">
        <f>'Avg Week Ndeeba-Lubiri'!F103+'Avg Week Lubiri-Ndeeba'!F103</f>
        <v>3</v>
      </c>
      <c r="G103" s="49">
        <f>'Avg Week Ndeeba-Lubiri'!G103+'Avg Week Lubiri-Ndeeba'!G103</f>
        <v>1.5</v>
      </c>
      <c r="H103" s="49">
        <f>'Avg Week Ndeeba-Lubiri'!H103+'Avg Week Lubiri-Ndeeba'!H103</f>
        <v>0</v>
      </c>
      <c r="I103" s="49">
        <f>'Avg Week Ndeeba-Lubiri'!I103+'Avg Week Lubiri-Ndeeba'!I103</f>
        <v>5</v>
      </c>
      <c r="J103" s="49">
        <f>'Avg Week Ndeeba-Lubiri'!J103+'Avg Week Lubiri-Ndeeba'!J103</f>
        <v>2</v>
      </c>
      <c r="K103" s="49">
        <f>'Avg Week Ndeeba-Lubiri'!K103+'Avg Week Lubiri-Ndeeba'!K103</f>
        <v>0.5</v>
      </c>
      <c r="L103" s="49">
        <f>'Avg Week Ndeeba-Lubiri'!L103+'Avg Week Lubiri-Ndeeba'!L103</f>
        <v>0.5</v>
      </c>
      <c r="M103" s="49">
        <f>'Avg Week Ndeeba-Lubiri'!M103+'Avg Week Lubiri-Ndeeba'!M103</f>
        <v>35.5</v>
      </c>
      <c r="N103" s="49">
        <f>'Avg Week Ndeeba-Lubiri'!N103+'Avg Week Lubiri-Ndeeba'!N103</f>
        <v>0</v>
      </c>
      <c r="O103" s="17">
        <f t="shared" si="35"/>
        <v>30</v>
      </c>
      <c r="P103" s="17">
        <f t="shared" si="36"/>
        <v>65.5</v>
      </c>
      <c r="R103" s="19"/>
      <c r="T103"/>
    </row>
    <row r="104" spans="2:20" ht="23.1" customHeight="1" x14ac:dyDescent="0.25">
      <c r="B104" s="25" t="s">
        <v>144</v>
      </c>
      <c r="C104" s="49">
        <f>'Avg Week Ndeeba-Lubiri'!C104+'Avg Week Lubiri-Ndeeba'!C104</f>
        <v>12</v>
      </c>
      <c r="D104" s="49">
        <f>'Avg Week Ndeeba-Lubiri'!D104+'Avg Week Lubiri-Ndeeba'!D104</f>
        <v>3</v>
      </c>
      <c r="E104" s="49">
        <f>'Avg Week Ndeeba-Lubiri'!E104+'Avg Week Lubiri-Ndeeba'!E104</f>
        <v>2.5</v>
      </c>
      <c r="F104" s="49">
        <f>'Avg Week Ndeeba-Lubiri'!F104+'Avg Week Lubiri-Ndeeba'!F104</f>
        <v>7</v>
      </c>
      <c r="G104" s="49">
        <f>'Avg Week Ndeeba-Lubiri'!G104+'Avg Week Lubiri-Ndeeba'!G104</f>
        <v>0</v>
      </c>
      <c r="H104" s="49">
        <f>'Avg Week Ndeeba-Lubiri'!H104+'Avg Week Lubiri-Ndeeba'!H104</f>
        <v>0</v>
      </c>
      <c r="I104" s="49">
        <f>'Avg Week Ndeeba-Lubiri'!I104+'Avg Week Lubiri-Ndeeba'!I104</f>
        <v>3</v>
      </c>
      <c r="J104" s="49">
        <f>'Avg Week Ndeeba-Lubiri'!J104+'Avg Week Lubiri-Ndeeba'!J104</f>
        <v>1.5</v>
      </c>
      <c r="K104" s="49">
        <f>'Avg Week Ndeeba-Lubiri'!K104+'Avg Week Lubiri-Ndeeba'!K104</f>
        <v>0</v>
      </c>
      <c r="L104" s="49">
        <f>'Avg Week Ndeeba-Lubiri'!L104+'Avg Week Lubiri-Ndeeba'!L104</f>
        <v>0</v>
      </c>
      <c r="M104" s="49">
        <f>'Avg Week Ndeeba-Lubiri'!M104+'Avg Week Lubiri-Ndeeba'!M104</f>
        <v>36</v>
      </c>
      <c r="N104" s="49">
        <f>'Avg Week Ndeeba-Lubiri'!N104+'Avg Week Lubiri-Ndeeba'!N104</f>
        <v>0</v>
      </c>
      <c r="O104" s="17">
        <f t="shared" si="35"/>
        <v>29</v>
      </c>
      <c r="P104" s="17">
        <f t="shared" si="36"/>
        <v>65</v>
      </c>
      <c r="R104" s="19"/>
      <c r="T104"/>
    </row>
    <row r="105" spans="2:20" ht="23.1" customHeight="1" x14ac:dyDescent="0.25">
      <c r="B105" s="23" t="s">
        <v>145</v>
      </c>
      <c r="C105" s="49">
        <f>'Avg Week Ndeeba-Lubiri'!C105+'Avg Week Lubiri-Ndeeba'!C105</f>
        <v>34</v>
      </c>
      <c r="D105" s="49">
        <f>'Avg Week Ndeeba-Lubiri'!D105+'Avg Week Lubiri-Ndeeba'!D105</f>
        <v>4.5</v>
      </c>
      <c r="E105" s="49">
        <f>'Avg Week Ndeeba-Lubiri'!E105+'Avg Week Lubiri-Ndeeba'!E105</f>
        <v>2.5</v>
      </c>
      <c r="F105" s="49">
        <f>'Avg Week Ndeeba-Lubiri'!F105+'Avg Week Lubiri-Ndeeba'!F105</f>
        <v>9.5</v>
      </c>
      <c r="G105" s="49">
        <f>'Avg Week Ndeeba-Lubiri'!G105+'Avg Week Lubiri-Ndeeba'!G105</f>
        <v>0</v>
      </c>
      <c r="H105" s="49">
        <f>'Avg Week Ndeeba-Lubiri'!H105+'Avg Week Lubiri-Ndeeba'!H105</f>
        <v>0</v>
      </c>
      <c r="I105" s="49">
        <f>'Avg Week Ndeeba-Lubiri'!I105+'Avg Week Lubiri-Ndeeba'!I105</f>
        <v>2</v>
      </c>
      <c r="J105" s="49">
        <f>'Avg Week Ndeeba-Lubiri'!J105+'Avg Week Lubiri-Ndeeba'!J105</f>
        <v>0.5</v>
      </c>
      <c r="K105" s="49">
        <f>'Avg Week Ndeeba-Lubiri'!K105+'Avg Week Lubiri-Ndeeba'!K105</f>
        <v>1</v>
      </c>
      <c r="L105" s="49">
        <f>'Avg Week Ndeeba-Lubiri'!L105+'Avg Week Lubiri-Ndeeba'!L105</f>
        <v>0.5</v>
      </c>
      <c r="M105" s="49">
        <f>'Avg Week Ndeeba-Lubiri'!M105+'Avg Week Lubiri-Ndeeba'!M105</f>
        <v>57</v>
      </c>
      <c r="N105" s="49">
        <f>'Avg Week Ndeeba-Lubiri'!N105+'Avg Week Lubiri-Ndeeba'!N105</f>
        <v>0</v>
      </c>
      <c r="O105" s="17">
        <f t="shared" si="35"/>
        <v>54.5</v>
      </c>
      <c r="P105" s="17">
        <f t="shared" si="36"/>
        <v>111.5</v>
      </c>
      <c r="R105" s="19"/>
      <c r="T105"/>
    </row>
    <row r="106" spans="2:20" ht="23.1" customHeight="1" x14ac:dyDescent="0.25">
      <c r="B106" s="60" t="s">
        <v>18</v>
      </c>
      <c r="C106" s="16">
        <f>SUM(C10:C105)</f>
        <v>7980.5</v>
      </c>
      <c r="D106" s="16">
        <f t="shared" ref="D106:P106" si="37">SUM(D10:D105)</f>
        <v>1103.2142857142856</v>
      </c>
      <c r="E106" s="16">
        <f t="shared" si="37"/>
        <v>738.78571428571445</v>
      </c>
      <c r="F106" s="16">
        <f t="shared" si="37"/>
        <v>2267.6428571428578</v>
      </c>
      <c r="G106" s="16">
        <f t="shared" si="37"/>
        <v>82.714285714285722</v>
      </c>
      <c r="H106" s="16">
        <f t="shared" si="37"/>
        <v>22.357142857142854</v>
      </c>
      <c r="I106" s="16">
        <f t="shared" si="37"/>
        <v>640.78571428571422</v>
      </c>
      <c r="J106" s="16">
        <f t="shared" si="37"/>
        <v>423.50000000000011</v>
      </c>
      <c r="K106" s="16">
        <f t="shared" si="37"/>
        <v>87.214285714285722</v>
      </c>
      <c r="L106" s="16">
        <f t="shared" si="37"/>
        <v>89.904761904761898</v>
      </c>
      <c r="M106" s="16">
        <f t="shared" si="37"/>
        <v>25059.428571428572</v>
      </c>
      <c r="N106" s="16">
        <f t="shared" si="37"/>
        <v>3.7142857142857135</v>
      </c>
      <c r="O106" s="16">
        <f t="shared" si="37"/>
        <v>13440.333333333332</v>
      </c>
      <c r="P106" s="16">
        <f t="shared" si="37"/>
        <v>38499.761904761908</v>
      </c>
      <c r="R106" s="19"/>
      <c r="T106"/>
    </row>
    <row r="107" spans="2:20" ht="23.1" customHeight="1" x14ac:dyDescent="0.25">
      <c r="B107" s="60" t="s">
        <v>93</v>
      </c>
      <c r="C107" s="43">
        <f t="shared" ref="C107:N107" si="38">C106/$P$106</f>
        <v>0.20728699620900559</v>
      </c>
      <c r="D107" s="43">
        <f t="shared" si="38"/>
        <v>2.8655093723523331E-2</v>
      </c>
      <c r="E107" s="43">
        <f t="shared" si="38"/>
        <v>1.9189358004687726E-2</v>
      </c>
      <c r="F107" s="43">
        <f t="shared" si="38"/>
        <v>5.8900178727141178E-2</v>
      </c>
      <c r="G107" s="43">
        <f t="shared" si="38"/>
        <v>2.1484362921230186E-3</v>
      </c>
      <c r="H107" s="43">
        <f t="shared" si="38"/>
        <v>5.8070860054793157E-4</v>
      </c>
      <c r="I107" s="43">
        <f t="shared" si="38"/>
        <v>1.6643887717301898E-2</v>
      </c>
      <c r="J107" s="43">
        <f t="shared" si="38"/>
        <v>1.100006802763159E-2</v>
      </c>
      <c r="K107" s="43">
        <f t="shared" si="38"/>
        <v>2.2653201318499185E-3</v>
      </c>
      <c r="L107" s="43">
        <f t="shared" si="38"/>
        <v>2.3352030624802871E-3</v>
      </c>
      <c r="M107" s="43">
        <f t="shared" si="38"/>
        <v>0.65089827395345667</v>
      </c>
      <c r="N107" s="43">
        <f t="shared" si="38"/>
        <v>9.6475550250774565E-5</v>
      </c>
      <c r="R107" s="19"/>
      <c r="T107"/>
    </row>
    <row r="108" spans="2:20" ht="23.1" customHeight="1" x14ac:dyDescent="0.25">
      <c r="B108" s="61" t="s">
        <v>94</v>
      </c>
      <c r="C108" s="44">
        <f>C106/$O$106</f>
        <v>0.59377247588105464</v>
      </c>
      <c r="D108" s="44">
        <f t="shared" ref="D108:N108" si="39">D106/$O$106</f>
        <v>8.2082360485673897E-2</v>
      </c>
      <c r="E108" s="44">
        <f t="shared" si="39"/>
        <v>5.4967811881082899E-2</v>
      </c>
      <c r="F108" s="44">
        <f t="shared" si="39"/>
        <v>0.16871924236572938</v>
      </c>
      <c r="G108" s="44">
        <f t="shared" si="39"/>
        <v>6.1541841011596241E-3</v>
      </c>
      <c r="H108" s="44">
        <f t="shared" si="39"/>
        <v>1.6634366352875317E-3</v>
      </c>
      <c r="I108" s="44">
        <f t="shared" si="39"/>
        <v>4.7676326054838493E-2</v>
      </c>
      <c r="J108" s="44">
        <f t="shared" si="39"/>
        <v>3.1509635177698975E-2</v>
      </c>
      <c r="K108" s="44">
        <f t="shared" si="39"/>
        <v>6.4889972258341108E-3</v>
      </c>
      <c r="L108" s="44">
        <f t="shared" si="39"/>
        <v>6.6891765014331422E-3</v>
      </c>
      <c r="M108" s="44"/>
      <c r="N108" s="44">
        <f t="shared" si="39"/>
        <v>2.7635369020751323E-4</v>
      </c>
      <c r="R108" s="19"/>
      <c r="T108"/>
    </row>
    <row r="109" spans="2:20" ht="20.100000000000001" customHeight="1" x14ac:dyDescent="0.25">
      <c r="C109" s="18"/>
      <c r="R109" s="19"/>
      <c r="T109"/>
    </row>
    <row r="110" spans="2:20" ht="20.100000000000001" customHeight="1" x14ac:dyDescent="0.25">
      <c r="C110" s="18"/>
      <c r="R110" s="19"/>
      <c r="T110"/>
    </row>
    <row r="111" spans="2:20" ht="20.100000000000001" customHeight="1" x14ac:dyDescent="0.25">
      <c r="C111" s="18"/>
    </row>
    <row r="112" spans="2:20" ht="20.100000000000001" customHeight="1" x14ac:dyDescent="0.25">
      <c r="C112" s="18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3.937007874015748E-2" right="3.937007874015748E-2" top="0.74803149606299213" bottom="0.55118110236220474" header="0.31496062992125984" footer="0.31496062992125984"/>
  <pageSetup paperSize="8" scale="2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22.07 Lubiri -Ndeeba</vt:lpstr>
      <vt:lpstr>22.07 Ndeeba-Lubiri</vt:lpstr>
      <vt:lpstr>23.07 Lubiri-Ndeeba</vt:lpstr>
      <vt:lpstr>23.07 Ndeeba-Lubiri</vt:lpstr>
      <vt:lpstr>24.07 Lubiri-Ndeeba</vt:lpstr>
      <vt:lpstr>24.07 Ndeeba-Lubiri</vt:lpstr>
      <vt:lpstr>25.07 Lubiri-Ndeeba</vt:lpstr>
      <vt:lpstr>25.07 Ndeeba-Lubiri</vt:lpstr>
      <vt:lpstr>26.07 Lubiri-Ndeeba-24h</vt:lpstr>
      <vt:lpstr>26.07 Ndeeba-Lubiri-24h</vt:lpstr>
      <vt:lpstr>27.07 Lubiri-Ndeeba-24h</vt:lpstr>
      <vt:lpstr>27.07 Ndeeba-Lubiri-24h</vt:lpstr>
      <vt:lpstr>28.07 Lubiri-Ndeeba</vt:lpstr>
      <vt:lpstr>28.07 Ndeeba-Lubiri</vt:lpstr>
      <vt:lpstr>Avg Week Lubiri-Ndeeba</vt:lpstr>
      <vt:lpstr>Avg Week Ndeeba-Lubiri</vt:lpstr>
      <vt:lpstr>Avg Week Ndeeba-Lubiri-2Dir</vt:lpstr>
      <vt:lpstr>'22.07 Lubiri -Ndeeba'!Print_Area</vt:lpstr>
      <vt:lpstr>'22.07 Ndeeba-Lubiri'!Print_Area</vt:lpstr>
      <vt:lpstr>'23.07 Lubiri-Ndeeba'!Print_Area</vt:lpstr>
      <vt:lpstr>'23.07 Ndeeba-Lubiri'!Print_Area</vt:lpstr>
      <vt:lpstr>'24.07 Lubiri-Ndeeba'!Print_Area</vt:lpstr>
      <vt:lpstr>'24.07 Ndeeba-Lubiri'!Print_Area</vt:lpstr>
      <vt:lpstr>'25.07 Lubiri-Ndeeba'!Print_Area</vt:lpstr>
      <vt:lpstr>'25.07 Ndeeba-Lubiri'!Print_Area</vt:lpstr>
      <vt:lpstr>'26.07 Lubiri-Ndeeba-24h'!Print_Area</vt:lpstr>
      <vt:lpstr>'26.07 Ndeeba-Lubiri-24h'!Print_Area</vt:lpstr>
      <vt:lpstr>'27.07 Lubiri-Ndeeba-24h'!Print_Area</vt:lpstr>
      <vt:lpstr>'27.07 Ndeeba-Lubiri-24h'!Print_Area</vt:lpstr>
      <vt:lpstr>'28.07 Lubiri-Ndeeba'!Print_Area</vt:lpstr>
      <vt:lpstr>'28.07 Ndeeba-Lubiri'!Print_Area</vt:lpstr>
      <vt:lpstr>'Avg Week Lubiri-Ndeeba'!Print_Area</vt:lpstr>
      <vt:lpstr>'Avg Week Ndeeba-Lubiri'!Print_Area</vt:lpstr>
      <vt:lpstr>'Avg Week Ndeeba-Lubiri-2Dir'!Print_Area</vt:lpstr>
      <vt:lpstr>'22.07 Lubiri -Ndeeba'!Print_Titles</vt:lpstr>
      <vt:lpstr>'22.07 Ndeeba-Lubiri'!Print_Titles</vt:lpstr>
      <vt:lpstr>'23.07 Lubiri-Ndeeba'!Print_Titles</vt:lpstr>
      <vt:lpstr>'23.07 Ndeeba-Lubiri'!Print_Titles</vt:lpstr>
      <vt:lpstr>'24.07 Lubiri-Ndeeba'!Print_Titles</vt:lpstr>
      <vt:lpstr>'24.07 Ndeeba-Lubiri'!Print_Titles</vt:lpstr>
      <vt:lpstr>'25.07 Lubiri-Ndeeba'!Print_Titles</vt:lpstr>
      <vt:lpstr>'25.07 Ndeeba-Lubiri'!Print_Titles</vt:lpstr>
      <vt:lpstr>'26.07 Lubiri-Ndeeba-24h'!Print_Titles</vt:lpstr>
      <vt:lpstr>'26.07 Ndeeba-Lubiri-24h'!Print_Titles</vt:lpstr>
      <vt:lpstr>'27.07 Lubiri-Ndeeba-24h'!Print_Titles</vt:lpstr>
      <vt:lpstr>'27.07 Ndeeba-Lubiri-24h'!Print_Titles</vt:lpstr>
      <vt:lpstr>'28.07 Lubiri-Ndeeba'!Print_Titles</vt:lpstr>
      <vt:lpstr>'28.07 Ndeeba-Lubiri'!Print_Titles</vt:lpstr>
      <vt:lpstr>'Avg Week Lubiri-Ndeeba'!Print_Titles</vt:lpstr>
      <vt:lpstr>'Avg Week Ndeeba-Lubiri'!Print_Titles</vt:lpstr>
      <vt:lpstr>'Avg Week Ndeeba-Lubiri-2Dir'!Print_Titles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2020-01-15T19:04:59Z</dcterms:modified>
</cp:coreProperties>
</file>