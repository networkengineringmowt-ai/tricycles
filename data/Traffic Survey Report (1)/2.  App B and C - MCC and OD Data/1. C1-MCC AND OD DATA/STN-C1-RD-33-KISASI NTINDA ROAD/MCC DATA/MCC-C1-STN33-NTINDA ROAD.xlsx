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3-KISASI NTINDA ROAD\MCC DATA\"/>
    </mc:Choice>
  </mc:AlternateContent>
  <bookViews>
    <workbookView xWindow="-120" yWindow="-120" windowWidth="15600" windowHeight="11160" tabRatio="940" firstSheet="12" activeTab="16"/>
  </bookViews>
  <sheets>
    <sheet name="29.07 Kisaasi-Ntinda" sheetId="93" r:id="rId1"/>
    <sheet name="29.07 Ntinda-Kisaasi" sheetId="94" r:id="rId2"/>
    <sheet name="30.07 Kisaasi-Ntinda" sheetId="95" r:id="rId3"/>
    <sheet name="30.07 Ntinda-Kisaasi" sheetId="96" r:id="rId4"/>
    <sheet name="31.07 Kisaasi-Ntinda" sheetId="97" r:id="rId5"/>
    <sheet name="31.07 Ntinda-Kisaasi" sheetId="98" r:id="rId6"/>
    <sheet name="01.08 Kisaasi-Ntinda-24h" sheetId="101" r:id="rId7"/>
    <sheet name="01.08 Ntinda-Kisaasi-24h" sheetId="109" r:id="rId8"/>
    <sheet name="02.08 Kisaasi-Ntinda" sheetId="99" r:id="rId9"/>
    <sheet name="02.08 Ntinda-Kisaasi" sheetId="100" r:id="rId10"/>
    <sheet name="03.08 Kisaasi-Ntinda-24h" sheetId="105" r:id="rId11"/>
    <sheet name="03.08 Ntinda-Kisaasi-24h" sheetId="110" r:id="rId12"/>
    <sheet name="04.08 Kisaasi-Ntinda" sheetId="103" r:id="rId13"/>
    <sheet name="04.08 Ntinda-Kisaasi" sheetId="104" r:id="rId14"/>
    <sheet name="Avg Week Kisaasi-Ntinda" sheetId="107" r:id="rId15"/>
    <sheet name="Avg Week Ntinda-Kisaasi" sheetId="108" r:id="rId16"/>
    <sheet name="Avg Week Kisaasi-Ntinda-2Dir" sheetId="111" r:id="rId17"/>
  </sheets>
  <definedNames>
    <definedName name="_xlnm.Print_Area" localSheetId="6">'01.08 Kisaasi-Ntinda-24h'!$A$1:$AF$108</definedName>
    <definedName name="_xlnm.Print_Area" localSheetId="7">'01.08 Ntinda-Kisaasi-24h'!$A$1:$AF$108</definedName>
    <definedName name="_xlnm.Print_Area" localSheetId="8">'02.08 Kisaasi-Ntinda'!$A$1:$AF$60</definedName>
    <definedName name="_xlnm.Print_Area" localSheetId="9">'02.08 Ntinda-Kisaasi'!$A$1:$AF$60</definedName>
    <definedName name="_xlnm.Print_Area" localSheetId="10">'03.08 Kisaasi-Ntinda-24h'!$A$1:$AF$108</definedName>
    <definedName name="_xlnm.Print_Area" localSheetId="11">'03.08 Ntinda-Kisaasi-24h'!$A$1:$AF$108</definedName>
    <definedName name="_xlnm.Print_Area" localSheetId="12">'04.08 Kisaasi-Ntinda'!$A$1:$AF$60</definedName>
    <definedName name="_xlnm.Print_Area" localSheetId="13">'04.08 Ntinda-Kisaasi'!$A$1:$AF$60</definedName>
    <definedName name="_xlnm.Print_Area" localSheetId="0">'29.07 Kisaasi-Ntinda'!$A$1:$AF$60</definedName>
    <definedName name="_xlnm.Print_Area" localSheetId="1">'29.07 Ntinda-Kisaasi'!$A$1:$AF$60</definedName>
    <definedName name="_xlnm.Print_Area" localSheetId="2">'30.07 Kisaasi-Ntinda'!$A$1:$AF$60</definedName>
    <definedName name="_xlnm.Print_Area" localSheetId="3">'30.07 Ntinda-Kisaasi'!$A$1:$AF$60</definedName>
    <definedName name="_xlnm.Print_Area" localSheetId="4">'31.07 Kisaasi-Ntinda'!$A$1:$AF$60</definedName>
    <definedName name="_xlnm.Print_Area" localSheetId="5">'31.07 Ntinda-Kisaasi'!$A$1:$AF$60</definedName>
    <definedName name="_xlnm.Print_Area" localSheetId="14">'Avg Week Kisaasi-Ntinda'!$A$1:$AF$108</definedName>
    <definedName name="_xlnm.Print_Area" localSheetId="16">'Avg Week Kisaasi-Ntinda-2Dir'!$A$1:$AF$108</definedName>
    <definedName name="_xlnm.Print_Area" localSheetId="15">'Avg Week Ntinda-Kisaasi'!$A$1:$AF$108</definedName>
    <definedName name="_xlnm.Print_Titles" localSheetId="6">'01.08 Kisaasi-Ntinda-24h'!$1:$8</definedName>
    <definedName name="_xlnm.Print_Titles" localSheetId="7">'01.08 Ntinda-Kisaasi-24h'!$1:$8</definedName>
    <definedName name="_xlnm.Print_Titles" localSheetId="8">'02.08 Kisaasi-Ntinda'!$1:$8</definedName>
    <definedName name="_xlnm.Print_Titles" localSheetId="9">'02.08 Ntinda-Kisaasi'!$1:$8</definedName>
    <definedName name="_xlnm.Print_Titles" localSheetId="10">'03.08 Kisaasi-Ntinda-24h'!$1:$8</definedName>
    <definedName name="_xlnm.Print_Titles" localSheetId="11">'03.08 Ntinda-Kisaasi-24h'!$1:$8</definedName>
    <definedName name="_xlnm.Print_Titles" localSheetId="12">'04.08 Kisaasi-Ntinda'!$1:$8</definedName>
    <definedName name="_xlnm.Print_Titles" localSheetId="13">'04.08 Ntinda-Kisaasi'!$1:$8</definedName>
    <definedName name="_xlnm.Print_Titles" localSheetId="0">'29.07 Kisaasi-Ntinda'!$1:$8</definedName>
    <definedName name="_xlnm.Print_Titles" localSheetId="1">'29.07 Ntinda-Kisaasi'!$1:$8</definedName>
    <definedName name="_xlnm.Print_Titles" localSheetId="2">'30.07 Kisaasi-Ntinda'!$1:$8</definedName>
    <definedName name="_xlnm.Print_Titles" localSheetId="3">'30.07 Ntinda-Kisaasi'!$1:$8</definedName>
    <definedName name="_xlnm.Print_Titles" localSheetId="4">'31.07 Kisaasi-Ntinda'!$1:$8</definedName>
    <definedName name="_xlnm.Print_Titles" localSheetId="5">'31.07 Ntinda-Kisaasi'!$1:$8</definedName>
    <definedName name="_xlnm.Print_Titles" localSheetId="14">'Avg Week Kisaasi-Ntinda'!$1:$8</definedName>
    <definedName name="_xlnm.Print_Titles" localSheetId="16">'Avg Week Kisaasi-Ntinda-2Dir'!$1:$8</definedName>
    <definedName name="_xlnm.Print_Titles" localSheetId="15">'Avg Week Ntinda-Kisaasi'!$1:$8</definedName>
  </definedNames>
  <calcPr calcId="162913"/>
</workbook>
</file>

<file path=xl/calcChain.xml><?xml version="1.0" encoding="utf-8"?>
<calcChain xmlns="http://schemas.openxmlformats.org/spreadsheetml/2006/main">
  <c r="D58" i="108" l="1"/>
  <c r="E58" i="108"/>
  <c r="F58" i="108"/>
  <c r="G58" i="108"/>
  <c r="H58" i="108"/>
  <c r="I58" i="108"/>
  <c r="J58" i="108"/>
  <c r="K58" i="108"/>
  <c r="L58" i="108"/>
  <c r="M58" i="108"/>
  <c r="N58" i="108"/>
  <c r="C58" i="108"/>
  <c r="D58" i="107"/>
  <c r="E58" i="107"/>
  <c r="F58" i="107"/>
  <c r="G58" i="107"/>
  <c r="H58" i="107"/>
  <c r="I58" i="107"/>
  <c r="J58" i="107"/>
  <c r="K58" i="107"/>
  <c r="L58" i="107"/>
  <c r="M58" i="107"/>
  <c r="N58" i="107"/>
  <c r="M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58" i="107"/>
  <c r="C57" i="107"/>
  <c r="C58" i="111" l="1"/>
  <c r="D58" i="111"/>
  <c r="E58" i="111"/>
  <c r="F58" i="111"/>
  <c r="G58" i="111"/>
  <c r="H58" i="111"/>
  <c r="I58" i="111"/>
  <c r="J58" i="111"/>
  <c r="K58" i="111"/>
  <c r="L58" i="111"/>
  <c r="M58" i="111"/>
  <c r="N58" i="111"/>
  <c r="E61" i="111"/>
  <c r="H61" i="111"/>
  <c r="I61" i="111"/>
  <c r="M61" i="111"/>
  <c r="D62" i="111"/>
  <c r="H62" i="111"/>
  <c r="I62" i="111"/>
  <c r="L62" i="111"/>
  <c r="G63" i="111"/>
  <c r="H63" i="111"/>
  <c r="K63" i="111"/>
  <c r="D64" i="111"/>
  <c r="G64" i="111"/>
  <c r="H64" i="111"/>
  <c r="K64" i="111"/>
  <c r="J65" i="111"/>
  <c r="K65" i="111"/>
  <c r="F66" i="111"/>
  <c r="K66" i="111"/>
  <c r="K68" i="111"/>
  <c r="M68" i="111"/>
  <c r="F69" i="111"/>
  <c r="J69" i="111"/>
  <c r="F70" i="111"/>
  <c r="L70" i="111"/>
  <c r="M70" i="111"/>
  <c r="G71" i="111"/>
  <c r="I71" i="111"/>
  <c r="L71" i="111"/>
  <c r="M71" i="111"/>
  <c r="H72" i="111"/>
  <c r="K72" i="111"/>
  <c r="L72" i="111"/>
  <c r="G73" i="111"/>
  <c r="N73" i="111"/>
  <c r="G75" i="111"/>
  <c r="M75" i="111"/>
  <c r="N75" i="111"/>
  <c r="H76" i="111"/>
  <c r="M76" i="111"/>
  <c r="N77" i="111"/>
  <c r="M78" i="111"/>
  <c r="I79" i="111"/>
  <c r="M79" i="111"/>
  <c r="C80" i="111"/>
  <c r="H80" i="111"/>
  <c r="I81" i="111"/>
  <c r="N81" i="111"/>
  <c r="M82" i="111"/>
  <c r="F83" i="111"/>
  <c r="L83" i="111"/>
  <c r="D84" i="111"/>
  <c r="H84" i="111"/>
  <c r="G85" i="111"/>
  <c r="H85" i="111"/>
  <c r="D86" i="111"/>
  <c r="F86" i="111"/>
  <c r="K86" i="111"/>
  <c r="D87" i="111"/>
  <c r="N87" i="111"/>
  <c r="C88" i="111"/>
  <c r="H88" i="111"/>
  <c r="L88" i="111"/>
  <c r="N88" i="111"/>
  <c r="F89" i="111"/>
  <c r="J89" i="111"/>
  <c r="K89" i="111"/>
  <c r="D90" i="111"/>
  <c r="I90" i="111"/>
  <c r="N90" i="111"/>
  <c r="D91" i="111"/>
  <c r="H92" i="111"/>
  <c r="L92" i="111"/>
  <c r="M92" i="111"/>
  <c r="D93" i="111"/>
  <c r="J93" i="111"/>
  <c r="N93" i="111"/>
  <c r="E94" i="111"/>
  <c r="F94" i="111"/>
  <c r="J94" i="111"/>
  <c r="L94" i="111"/>
  <c r="H95" i="111"/>
  <c r="L95" i="111"/>
  <c r="N95" i="111"/>
  <c r="D96" i="111"/>
  <c r="E96" i="111"/>
  <c r="I96" i="111"/>
  <c r="C97" i="111"/>
  <c r="G97" i="111"/>
  <c r="H97" i="111"/>
  <c r="E98" i="111"/>
  <c r="G98" i="111"/>
  <c r="L98" i="111"/>
  <c r="D99" i="111"/>
  <c r="H99" i="111"/>
  <c r="N99" i="111"/>
  <c r="G100" i="111"/>
  <c r="K100" i="111"/>
  <c r="J101" i="111"/>
  <c r="N101" i="111"/>
  <c r="M102" i="111"/>
  <c r="L103" i="111"/>
  <c r="C104" i="111"/>
  <c r="O104" i="111" s="1"/>
  <c r="D104" i="111"/>
  <c r="J104" i="111"/>
  <c r="N104" i="111"/>
  <c r="F105" i="111"/>
  <c r="G105" i="111"/>
  <c r="M105" i="111"/>
  <c r="D57" i="108"/>
  <c r="E57" i="108"/>
  <c r="F57" i="108"/>
  <c r="G57" i="108"/>
  <c r="H57" i="108"/>
  <c r="I57" i="108"/>
  <c r="J57" i="108"/>
  <c r="K57" i="108"/>
  <c r="L57" i="108"/>
  <c r="M57" i="108"/>
  <c r="N57" i="108"/>
  <c r="M60" i="108"/>
  <c r="M60" i="111" s="1"/>
  <c r="D61" i="108"/>
  <c r="E61" i="108"/>
  <c r="F61" i="108"/>
  <c r="G61" i="108"/>
  <c r="H61" i="108"/>
  <c r="X25" i="108" s="1"/>
  <c r="I61" i="108"/>
  <c r="J61" i="108"/>
  <c r="K61" i="108"/>
  <c r="L61" i="108"/>
  <c r="M61" i="108"/>
  <c r="N61" i="108"/>
  <c r="D62" i="108"/>
  <c r="E62" i="108"/>
  <c r="E62" i="111" s="1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Z27" i="108" s="1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T29" i="108" s="1"/>
  <c r="E65" i="108"/>
  <c r="F65" i="108"/>
  <c r="G65" i="108"/>
  <c r="G65" i="111" s="1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Z31" i="108" s="1"/>
  <c r="K67" i="108"/>
  <c r="AA31" i="108" s="1"/>
  <c r="L67" i="108"/>
  <c r="M67" i="108"/>
  <c r="N67" i="108"/>
  <c r="D68" i="108"/>
  <c r="E68" i="108"/>
  <c r="F68" i="108"/>
  <c r="V32" i="108" s="1"/>
  <c r="G68" i="108"/>
  <c r="G68" i="111" s="1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AC33" i="108" s="1"/>
  <c r="N69" i="108"/>
  <c r="D70" i="108"/>
  <c r="D70" i="111" s="1"/>
  <c r="E70" i="108"/>
  <c r="E70" i="111" s="1"/>
  <c r="F70" i="108"/>
  <c r="G70" i="108"/>
  <c r="G70" i="111" s="1"/>
  <c r="H70" i="108"/>
  <c r="H70" i="111" s="1"/>
  <c r="I70" i="108"/>
  <c r="I70" i="111" s="1"/>
  <c r="J70" i="108"/>
  <c r="J70" i="111" s="1"/>
  <c r="K70" i="108"/>
  <c r="K70" i="111" s="1"/>
  <c r="L70" i="108"/>
  <c r="M70" i="108"/>
  <c r="N70" i="108"/>
  <c r="N70" i="111" s="1"/>
  <c r="D71" i="108"/>
  <c r="D71" i="111" s="1"/>
  <c r="E71" i="108"/>
  <c r="E71" i="111" s="1"/>
  <c r="F71" i="108"/>
  <c r="F71" i="111" s="1"/>
  <c r="G71" i="108"/>
  <c r="H71" i="108"/>
  <c r="H71" i="111" s="1"/>
  <c r="I71" i="108"/>
  <c r="J71" i="108"/>
  <c r="J71" i="111" s="1"/>
  <c r="K71" i="108"/>
  <c r="K71" i="111" s="1"/>
  <c r="L71" i="108"/>
  <c r="M71" i="108"/>
  <c r="N71" i="108"/>
  <c r="N71" i="111" s="1"/>
  <c r="D72" i="108"/>
  <c r="D72" i="111" s="1"/>
  <c r="E72" i="108"/>
  <c r="E72" i="111" s="1"/>
  <c r="F72" i="108"/>
  <c r="F72" i="111" s="1"/>
  <c r="G72" i="108"/>
  <c r="G72" i="111" s="1"/>
  <c r="H72" i="108"/>
  <c r="I72" i="108"/>
  <c r="I72" i="111" s="1"/>
  <c r="J72" i="108"/>
  <c r="J72" i="111" s="1"/>
  <c r="K72" i="108"/>
  <c r="L72" i="108"/>
  <c r="M72" i="108"/>
  <c r="M72" i="111" s="1"/>
  <c r="N72" i="108"/>
  <c r="N72" i="111" s="1"/>
  <c r="D73" i="108"/>
  <c r="D73" i="111" s="1"/>
  <c r="E73" i="108"/>
  <c r="E73" i="111" s="1"/>
  <c r="F73" i="108"/>
  <c r="F73" i="111" s="1"/>
  <c r="G73" i="108"/>
  <c r="H73" i="108"/>
  <c r="H73" i="111" s="1"/>
  <c r="I73" i="108"/>
  <c r="I73" i="111" s="1"/>
  <c r="J73" i="108"/>
  <c r="J73" i="111" s="1"/>
  <c r="K73" i="108"/>
  <c r="K73" i="111" s="1"/>
  <c r="L73" i="108"/>
  <c r="L73" i="111" s="1"/>
  <c r="M73" i="108"/>
  <c r="M73" i="111" s="1"/>
  <c r="N73" i="108"/>
  <c r="D74" i="108"/>
  <c r="D74" i="111" s="1"/>
  <c r="E74" i="108"/>
  <c r="E74" i="111" s="1"/>
  <c r="F74" i="108"/>
  <c r="F74" i="111" s="1"/>
  <c r="G74" i="108"/>
  <c r="G74" i="111" s="1"/>
  <c r="H74" i="108"/>
  <c r="H74" i="111" s="1"/>
  <c r="I74" i="108"/>
  <c r="I74" i="111" s="1"/>
  <c r="J74" i="108"/>
  <c r="J74" i="111" s="1"/>
  <c r="K74" i="108"/>
  <c r="K74" i="111" s="1"/>
  <c r="L74" i="108"/>
  <c r="L74" i="111" s="1"/>
  <c r="M74" i="108"/>
  <c r="M74" i="111" s="1"/>
  <c r="N74" i="108"/>
  <c r="N74" i="111" s="1"/>
  <c r="D75" i="108"/>
  <c r="D75" i="111" s="1"/>
  <c r="E75" i="108"/>
  <c r="E75" i="111" s="1"/>
  <c r="F75" i="108"/>
  <c r="F75" i="111" s="1"/>
  <c r="G75" i="108"/>
  <c r="H75" i="108"/>
  <c r="H75" i="111" s="1"/>
  <c r="I75" i="108"/>
  <c r="I75" i="111" s="1"/>
  <c r="J75" i="108"/>
  <c r="J75" i="111" s="1"/>
  <c r="K75" i="108"/>
  <c r="K75" i="111" s="1"/>
  <c r="L75" i="108"/>
  <c r="L75" i="111" s="1"/>
  <c r="M75" i="108"/>
  <c r="N75" i="108"/>
  <c r="D76" i="108"/>
  <c r="D76" i="111" s="1"/>
  <c r="E76" i="108"/>
  <c r="E76" i="111" s="1"/>
  <c r="F76" i="108"/>
  <c r="F76" i="111" s="1"/>
  <c r="G76" i="108"/>
  <c r="G76" i="111" s="1"/>
  <c r="H76" i="108"/>
  <c r="I76" i="108"/>
  <c r="I76" i="111" s="1"/>
  <c r="J76" i="108"/>
  <c r="J76" i="111" s="1"/>
  <c r="K76" i="108"/>
  <c r="K76" i="111" s="1"/>
  <c r="L76" i="108"/>
  <c r="L76" i="111" s="1"/>
  <c r="M76" i="108"/>
  <c r="N76" i="108"/>
  <c r="N76" i="111" s="1"/>
  <c r="D77" i="108"/>
  <c r="D77" i="111" s="1"/>
  <c r="E77" i="108"/>
  <c r="E77" i="111" s="1"/>
  <c r="F77" i="108"/>
  <c r="F77" i="111" s="1"/>
  <c r="G77" i="108"/>
  <c r="G77" i="111" s="1"/>
  <c r="H77" i="108"/>
  <c r="H77" i="111" s="1"/>
  <c r="I77" i="108"/>
  <c r="I77" i="111" s="1"/>
  <c r="J77" i="108"/>
  <c r="J77" i="111" s="1"/>
  <c r="K77" i="108"/>
  <c r="K77" i="111" s="1"/>
  <c r="L77" i="108"/>
  <c r="L77" i="111" s="1"/>
  <c r="M77" i="108"/>
  <c r="M77" i="111" s="1"/>
  <c r="N77" i="108"/>
  <c r="D78" i="108"/>
  <c r="D78" i="111" s="1"/>
  <c r="E78" i="108"/>
  <c r="E78" i="111" s="1"/>
  <c r="F78" i="108"/>
  <c r="F78" i="111" s="1"/>
  <c r="G78" i="108"/>
  <c r="G78" i="111" s="1"/>
  <c r="H78" i="108"/>
  <c r="H78" i="111" s="1"/>
  <c r="I78" i="108"/>
  <c r="I78" i="111" s="1"/>
  <c r="J78" i="108"/>
  <c r="J78" i="111" s="1"/>
  <c r="K78" i="108"/>
  <c r="K78" i="111" s="1"/>
  <c r="L78" i="108"/>
  <c r="L78" i="111" s="1"/>
  <c r="M78" i="108"/>
  <c r="N78" i="108"/>
  <c r="N78" i="111" s="1"/>
  <c r="D79" i="108"/>
  <c r="D79" i="111" s="1"/>
  <c r="E79" i="108"/>
  <c r="E79" i="111" s="1"/>
  <c r="F79" i="108"/>
  <c r="F79" i="111" s="1"/>
  <c r="G79" i="108"/>
  <c r="G79" i="111" s="1"/>
  <c r="H79" i="108"/>
  <c r="H79" i="111" s="1"/>
  <c r="I79" i="108"/>
  <c r="J79" i="108"/>
  <c r="J79" i="111" s="1"/>
  <c r="K79" i="108"/>
  <c r="K79" i="111" s="1"/>
  <c r="L79" i="108"/>
  <c r="L79" i="111" s="1"/>
  <c r="M79" i="108"/>
  <c r="N79" i="108"/>
  <c r="N79" i="111" s="1"/>
  <c r="D80" i="108"/>
  <c r="D80" i="111" s="1"/>
  <c r="E80" i="108"/>
  <c r="E80" i="111" s="1"/>
  <c r="P80" i="111" s="1"/>
  <c r="F80" i="108"/>
  <c r="F80" i="111" s="1"/>
  <c r="G80" i="108"/>
  <c r="G80" i="111" s="1"/>
  <c r="H80" i="108"/>
  <c r="I80" i="108"/>
  <c r="I80" i="111" s="1"/>
  <c r="J80" i="108"/>
  <c r="J80" i="111" s="1"/>
  <c r="K80" i="108"/>
  <c r="K80" i="111" s="1"/>
  <c r="L80" i="108"/>
  <c r="L80" i="111" s="1"/>
  <c r="M80" i="108"/>
  <c r="M80" i="111" s="1"/>
  <c r="N80" i="108"/>
  <c r="N80" i="111" s="1"/>
  <c r="D81" i="108"/>
  <c r="D81" i="111" s="1"/>
  <c r="E81" i="108"/>
  <c r="E81" i="111" s="1"/>
  <c r="P81" i="111" s="1"/>
  <c r="F81" i="108"/>
  <c r="F81" i="111" s="1"/>
  <c r="G81" i="108"/>
  <c r="G81" i="111" s="1"/>
  <c r="H81" i="108"/>
  <c r="H81" i="111" s="1"/>
  <c r="I81" i="108"/>
  <c r="J81" i="108"/>
  <c r="J81" i="111" s="1"/>
  <c r="K81" i="108"/>
  <c r="K81" i="111" s="1"/>
  <c r="L81" i="108"/>
  <c r="L81" i="111" s="1"/>
  <c r="M81" i="108"/>
  <c r="M81" i="111" s="1"/>
  <c r="N81" i="108"/>
  <c r="D82" i="108"/>
  <c r="D82" i="111" s="1"/>
  <c r="E82" i="108"/>
  <c r="E82" i="111" s="1"/>
  <c r="F82" i="108"/>
  <c r="F82" i="111" s="1"/>
  <c r="G82" i="108"/>
  <c r="G82" i="111" s="1"/>
  <c r="H82" i="108"/>
  <c r="H82" i="111" s="1"/>
  <c r="I82" i="108"/>
  <c r="I82" i="111" s="1"/>
  <c r="J82" i="108"/>
  <c r="J82" i="111" s="1"/>
  <c r="K82" i="108"/>
  <c r="K82" i="111" s="1"/>
  <c r="L82" i="108"/>
  <c r="L82" i="111" s="1"/>
  <c r="M82" i="108"/>
  <c r="N82" i="108"/>
  <c r="N82" i="111" s="1"/>
  <c r="D83" i="108"/>
  <c r="D83" i="111" s="1"/>
  <c r="E83" i="108"/>
  <c r="E83" i="111" s="1"/>
  <c r="F83" i="108"/>
  <c r="G83" i="108"/>
  <c r="G83" i="111" s="1"/>
  <c r="H83" i="108"/>
  <c r="H83" i="111" s="1"/>
  <c r="I83" i="108"/>
  <c r="I83" i="111" s="1"/>
  <c r="J83" i="108"/>
  <c r="J83" i="111" s="1"/>
  <c r="K83" i="108"/>
  <c r="K83" i="111" s="1"/>
  <c r="L83" i="108"/>
  <c r="M83" i="108"/>
  <c r="M83" i="111" s="1"/>
  <c r="N83" i="108"/>
  <c r="N83" i="111" s="1"/>
  <c r="D84" i="108"/>
  <c r="E84" i="108"/>
  <c r="E84" i="111" s="1"/>
  <c r="F84" i="108"/>
  <c r="F84" i="111" s="1"/>
  <c r="G84" i="108"/>
  <c r="G84" i="111" s="1"/>
  <c r="H84" i="108"/>
  <c r="I84" i="108"/>
  <c r="I84" i="111" s="1"/>
  <c r="J84" i="108"/>
  <c r="J84" i="111" s="1"/>
  <c r="K84" i="108"/>
  <c r="K84" i="111" s="1"/>
  <c r="L84" i="108"/>
  <c r="L84" i="111" s="1"/>
  <c r="M84" i="108"/>
  <c r="M84" i="111" s="1"/>
  <c r="N84" i="108"/>
  <c r="N84" i="111" s="1"/>
  <c r="D85" i="108"/>
  <c r="D85" i="111" s="1"/>
  <c r="E85" i="108"/>
  <c r="E85" i="111" s="1"/>
  <c r="F85" i="108"/>
  <c r="F85" i="111" s="1"/>
  <c r="G85" i="108"/>
  <c r="H85" i="108"/>
  <c r="I85" i="108"/>
  <c r="I85" i="111" s="1"/>
  <c r="J85" i="108"/>
  <c r="J85" i="111" s="1"/>
  <c r="K85" i="108"/>
  <c r="K85" i="111" s="1"/>
  <c r="L85" i="108"/>
  <c r="L85" i="111" s="1"/>
  <c r="M85" i="108"/>
  <c r="M85" i="111" s="1"/>
  <c r="N85" i="108"/>
  <c r="N85" i="111" s="1"/>
  <c r="D86" i="108"/>
  <c r="E86" i="108"/>
  <c r="E86" i="111" s="1"/>
  <c r="F86" i="108"/>
  <c r="G86" i="108"/>
  <c r="G86" i="111" s="1"/>
  <c r="H86" i="108"/>
  <c r="H86" i="111" s="1"/>
  <c r="I86" i="108"/>
  <c r="I86" i="111" s="1"/>
  <c r="J86" i="108"/>
  <c r="J86" i="111" s="1"/>
  <c r="K86" i="108"/>
  <c r="L86" i="108"/>
  <c r="L86" i="111" s="1"/>
  <c r="M86" i="108"/>
  <c r="M86" i="111" s="1"/>
  <c r="N86" i="108"/>
  <c r="N86" i="111" s="1"/>
  <c r="D87" i="108"/>
  <c r="E87" i="108"/>
  <c r="E87" i="111" s="1"/>
  <c r="F87" i="108"/>
  <c r="F87" i="111" s="1"/>
  <c r="G87" i="108"/>
  <c r="G87" i="111" s="1"/>
  <c r="H87" i="108"/>
  <c r="H87" i="111" s="1"/>
  <c r="I87" i="108"/>
  <c r="I87" i="111" s="1"/>
  <c r="J87" i="108"/>
  <c r="J87" i="111" s="1"/>
  <c r="K87" i="108"/>
  <c r="K87" i="111" s="1"/>
  <c r="L87" i="108"/>
  <c r="L87" i="111" s="1"/>
  <c r="M87" i="108"/>
  <c r="M87" i="111" s="1"/>
  <c r="N87" i="108"/>
  <c r="D88" i="108"/>
  <c r="D88" i="111" s="1"/>
  <c r="E88" i="108"/>
  <c r="E88" i="111" s="1"/>
  <c r="F88" i="108"/>
  <c r="F88" i="111" s="1"/>
  <c r="G88" i="108"/>
  <c r="G88" i="111" s="1"/>
  <c r="H88" i="108"/>
  <c r="I88" i="108"/>
  <c r="I88" i="111" s="1"/>
  <c r="J88" i="108"/>
  <c r="J88" i="111" s="1"/>
  <c r="K88" i="108"/>
  <c r="K88" i="111" s="1"/>
  <c r="L88" i="108"/>
  <c r="M88" i="108"/>
  <c r="M88" i="111" s="1"/>
  <c r="N88" i="108"/>
  <c r="D89" i="108"/>
  <c r="D89" i="111" s="1"/>
  <c r="E89" i="108"/>
  <c r="E89" i="111" s="1"/>
  <c r="F89" i="108"/>
  <c r="G89" i="108"/>
  <c r="G89" i="111" s="1"/>
  <c r="H89" i="108"/>
  <c r="H89" i="111" s="1"/>
  <c r="I89" i="108"/>
  <c r="I89" i="111" s="1"/>
  <c r="J89" i="108"/>
  <c r="K89" i="108"/>
  <c r="L89" i="108"/>
  <c r="L89" i="111" s="1"/>
  <c r="M89" i="108"/>
  <c r="M89" i="111" s="1"/>
  <c r="P89" i="111" s="1"/>
  <c r="N89" i="108"/>
  <c r="N89" i="111" s="1"/>
  <c r="D90" i="108"/>
  <c r="E90" i="108"/>
  <c r="E90" i="111" s="1"/>
  <c r="F90" i="108"/>
  <c r="F90" i="111" s="1"/>
  <c r="G90" i="108"/>
  <c r="G90" i="111" s="1"/>
  <c r="H90" i="108"/>
  <c r="H90" i="111" s="1"/>
  <c r="I90" i="108"/>
  <c r="J90" i="108"/>
  <c r="J90" i="111" s="1"/>
  <c r="K90" i="108"/>
  <c r="K90" i="111" s="1"/>
  <c r="L90" i="108"/>
  <c r="L90" i="111" s="1"/>
  <c r="M90" i="108"/>
  <c r="M90" i="111" s="1"/>
  <c r="N90" i="108"/>
  <c r="D91" i="108"/>
  <c r="E91" i="108"/>
  <c r="E91" i="111" s="1"/>
  <c r="F91" i="108"/>
  <c r="F91" i="111" s="1"/>
  <c r="G91" i="108"/>
  <c r="G91" i="111" s="1"/>
  <c r="H91" i="108"/>
  <c r="H91" i="111" s="1"/>
  <c r="I91" i="108"/>
  <c r="I91" i="111" s="1"/>
  <c r="J91" i="108"/>
  <c r="J91" i="111" s="1"/>
  <c r="K91" i="108"/>
  <c r="K91" i="111" s="1"/>
  <c r="L91" i="108"/>
  <c r="L91" i="111" s="1"/>
  <c r="M91" i="108"/>
  <c r="M91" i="111" s="1"/>
  <c r="N91" i="108"/>
  <c r="N91" i="111" s="1"/>
  <c r="D92" i="108"/>
  <c r="D92" i="111" s="1"/>
  <c r="E92" i="108"/>
  <c r="E92" i="111" s="1"/>
  <c r="F92" i="108"/>
  <c r="F92" i="111" s="1"/>
  <c r="G92" i="108"/>
  <c r="G92" i="111" s="1"/>
  <c r="H92" i="108"/>
  <c r="I92" i="108"/>
  <c r="I92" i="111" s="1"/>
  <c r="J92" i="108"/>
  <c r="J92" i="111" s="1"/>
  <c r="K92" i="108"/>
  <c r="K92" i="111" s="1"/>
  <c r="L92" i="108"/>
  <c r="M92" i="108"/>
  <c r="N92" i="108"/>
  <c r="N92" i="111" s="1"/>
  <c r="D93" i="108"/>
  <c r="E93" i="108"/>
  <c r="E93" i="111" s="1"/>
  <c r="F93" i="108"/>
  <c r="F93" i="111" s="1"/>
  <c r="G93" i="108"/>
  <c r="G93" i="111" s="1"/>
  <c r="H93" i="108"/>
  <c r="H93" i="111" s="1"/>
  <c r="I93" i="108"/>
  <c r="I93" i="111" s="1"/>
  <c r="J93" i="108"/>
  <c r="K93" i="108"/>
  <c r="K93" i="111" s="1"/>
  <c r="L93" i="108"/>
  <c r="L93" i="111" s="1"/>
  <c r="M93" i="108"/>
  <c r="M93" i="111" s="1"/>
  <c r="N93" i="108"/>
  <c r="D94" i="108"/>
  <c r="D94" i="111" s="1"/>
  <c r="E94" i="108"/>
  <c r="F94" i="108"/>
  <c r="G94" i="108"/>
  <c r="G94" i="111" s="1"/>
  <c r="H94" i="108"/>
  <c r="H94" i="111" s="1"/>
  <c r="I94" i="108"/>
  <c r="I94" i="111" s="1"/>
  <c r="J94" i="108"/>
  <c r="K94" i="108"/>
  <c r="K94" i="111" s="1"/>
  <c r="L94" i="108"/>
  <c r="M94" i="108"/>
  <c r="M94" i="111" s="1"/>
  <c r="N94" i="108"/>
  <c r="N94" i="111" s="1"/>
  <c r="D95" i="108"/>
  <c r="D95" i="111" s="1"/>
  <c r="E95" i="108"/>
  <c r="E95" i="111" s="1"/>
  <c r="F95" i="108"/>
  <c r="F95" i="111" s="1"/>
  <c r="G95" i="108"/>
  <c r="G95" i="111" s="1"/>
  <c r="H95" i="108"/>
  <c r="I95" i="108"/>
  <c r="I95" i="111" s="1"/>
  <c r="J95" i="108"/>
  <c r="J95" i="111" s="1"/>
  <c r="K95" i="108"/>
  <c r="K95" i="111" s="1"/>
  <c r="L95" i="108"/>
  <c r="M95" i="108"/>
  <c r="M95" i="111" s="1"/>
  <c r="N95" i="108"/>
  <c r="D96" i="108"/>
  <c r="E96" i="108"/>
  <c r="F96" i="108"/>
  <c r="F96" i="111" s="1"/>
  <c r="G96" i="108"/>
  <c r="G96" i="111" s="1"/>
  <c r="H96" i="108"/>
  <c r="H96" i="111" s="1"/>
  <c r="I96" i="108"/>
  <c r="J96" i="108"/>
  <c r="J96" i="111" s="1"/>
  <c r="K96" i="108"/>
  <c r="K96" i="111" s="1"/>
  <c r="L96" i="108"/>
  <c r="L96" i="111" s="1"/>
  <c r="M96" i="108"/>
  <c r="M96" i="111" s="1"/>
  <c r="N96" i="108"/>
  <c r="N96" i="111" s="1"/>
  <c r="D97" i="108"/>
  <c r="D97" i="111" s="1"/>
  <c r="E97" i="108"/>
  <c r="E97" i="111" s="1"/>
  <c r="F97" i="108"/>
  <c r="F97" i="111" s="1"/>
  <c r="G97" i="108"/>
  <c r="H97" i="108"/>
  <c r="I97" i="108"/>
  <c r="I97" i="111" s="1"/>
  <c r="J97" i="108"/>
  <c r="J97" i="111" s="1"/>
  <c r="K97" i="108"/>
  <c r="K97" i="111" s="1"/>
  <c r="L97" i="108"/>
  <c r="L97" i="111" s="1"/>
  <c r="M97" i="108"/>
  <c r="M97" i="111" s="1"/>
  <c r="N97" i="108"/>
  <c r="N97" i="111" s="1"/>
  <c r="D98" i="108"/>
  <c r="D98" i="111" s="1"/>
  <c r="E98" i="108"/>
  <c r="F98" i="108"/>
  <c r="F98" i="111" s="1"/>
  <c r="G98" i="108"/>
  <c r="H98" i="108"/>
  <c r="H98" i="111" s="1"/>
  <c r="I98" i="108"/>
  <c r="I98" i="111" s="1"/>
  <c r="J98" i="108"/>
  <c r="J98" i="111" s="1"/>
  <c r="K98" i="108"/>
  <c r="K98" i="111" s="1"/>
  <c r="L98" i="108"/>
  <c r="M98" i="108"/>
  <c r="M98" i="111" s="1"/>
  <c r="N98" i="108"/>
  <c r="N98" i="111" s="1"/>
  <c r="D99" i="108"/>
  <c r="E99" i="108"/>
  <c r="E99" i="111" s="1"/>
  <c r="F99" i="108"/>
  <c r="F99" i="111" s="1"/>
  <c r="G99" i="108"/>
  <c r="G99" i="111" s="1"/>
  <c r="H99" i="108"/>
  <c r="I99" i="108"/>
  <c r="I99" i="111" s="1"/>
  <c r="J99" i="108"/>
  <c r="J99" i="111" s="1"/>
  <c r="K99" i="108"/>
  <c r="K99" i="111" s="1"/>
  <c r="L99" i="108"/>
  <c r="L99" i="111" s="1"/>
  <c r="M99" i="108"/>
  <c r="M99" i="111" s="1"/>
  <c r="N99" i="108"/>
  <c r="D100" i="108"/>
  <c r="D100" i="111" s="1"/>
  <c r="E100" i="108"/>
  <c r="E100" i="111" s="1"/>
  <c r="F100" i="108"/>
  <c r="F100" i="111" s="1"/>
  <c r="G100" i="108"/>
  <c r="H100" i="108"/>
  <c r="H100" i="111" s="1"/>
  <c r="I100" i="108"/>
  <c r="I100" i="111" s="1"/>
  <c r="J100" i="108"/>
  <c r="J100" i="111" s="1"/>
  <c r="K100" i="108"/>
  <c r="L100" i="108"/>
  <c r="L100" i="111" s="1"/>
  <c r="M100" i="108"/>
  <c r="M100" i="111" s="1"/>
  <c r="N100" i="108"/>
  <c r="N100" i="111" s="1"/>
  <c r="D101" i="108"/>
  <c r="D101" i="111" s="1"/>
  <c r="E101" i="108"/>
  <c r="E101" i="111" s="1"/>
  <c r="F101" i="108"/>
  <c r="F101" i="111" s="1"/>
  <c r="G101" i="108"/>
  <c r="G101" i="111" s="1"/>
  <c r="H101" i="108"/>
  <c r="H101" i="111" s="1"/>
  <c r="I101" i="108"/>
  <c r="I101" i="111" s="1"/>
  <c r="J101" i="108"/>
  <c r="K101" i="108"/>
  <c r="K101" i="111" s="1"/>
  <c r="L101" i="108"/>
  <c r="L101" i="111" s="1"/>
  <c r="M101" i="108"/>
  <c r="M101" i="111" s="1"/>
  <c r="N101" i="108"/>
  <c r="D102" i="108"/>
  <c r="D102" i="111" s="1"/>
  <c r="E102" i="108"/>
  <c r="E102" i="111" s="1"/>
  <c r="F102" i="108"/>
  <c r="F102" i="111" s="1"/>
  <c r="G102" i="108"/>
  <c r="G102" i="111" s="1"/>
  <c r="H102" i="108"/>
  <c r="H102" i="111" s="1"/>
  <c r="I102" i="108"/>
  <c r="I102" i="111" s="1"/>
  <c r="J102" i="108"/>
  <c r="J102" i="111" s="1"/>
  <c r="K102" i="108"/>
  <c r="K102" i="111" s="1"/>
  <c r="L102" i="108"/>
  <c r="L102" i="111" s="1"/>
  <c r="M102" i="108"/>
  <c r="N102" i="108"/>
  <c r="N102" i="111" s="1"/>
  <c r="D103" i="108"/>
  <c r="D103" i="111" s="1"/>
  <c r="E103" i="108"/>
  <c r="E103" i="111" s="1"/>
  <c r="F103" i="108"/>
  <c r="F103" i="111" s="1"/>
  <c r="G103" i="108"/>
  <c r="G103" i="111" s="1"/>
  <c r="H103" i="108"/>
  <c r="H103" i="111" s="1"/>
  <c r="I103" i="108"/>
  <c r="I103" i="111" s="1"/>
  <c r="J103" i="108"/>
  <c r="J103" i="111" s="1"/>
  <c r="K103" i="108"/>
  <c r="K103" i="111" s="1"/>
  <c r="L103" i="108"/>
  <c r="M103" i="108"/>
  <c r="M103" i="111" s="1"/>
  <c r="N103" i="108"/>
  <c r="N103" i="111" s="1"/>
  <c r="D104" i="108"/>
  <c r="E104" i="108"/>
  <c r="E104" i="111" s="1"/>
  <c r="F104" i="108"/>
  <c r="F104" i="111" s="1"/>
  <c r="G104" i="108"/>
  <c r="G104" i="111" s="1"/>
  <c r="H104" i="108"/>
  <c r="H104" i="111" s="1"/>
  <c r="I104" i="108"/>
  <c r="I104" i="111" s="1"/>
  <c r="J104" i="108"/>
  <c r="K104" i="108"/>
  <c r="K104" i="111" s="1"/>
  <c r="L104" i="108"/>
  <c r="L104" i="111" s="1"/>
  <c r="M104" i="108"/>
  <c r="M104" i="111" s="1"/>
  <c r="N104" i="108"/>
  <c r="D105" i="108"/>
  <c r="D105" i="111" s="1"/>
  <c r="E105" i="108"/>
  <c r="E105" i="111" s="1"/>
  <c r="F105" i="108"/>
  <c r="G105" i="108"/>
  <c r="H105" i="108"/>
  <c r="H105" i="111" s="1"/>
  <c r="I105" i="108"/>
  <c r="I105" i="111" s="1"/>
  <c r="J105" i="108"/>
  <c r="J105" i="111" s="1"/>
  <c r="K105" i="108"/>
  <c r="K105" i="111" s="1"/>
  <c r="L105" i="108"/>
  <c r="L105" i="111" s="1"/>
  <c r="M105" i="108"/>
  <c r="N105" i="108"/>
  <c r="N105" i="111" s="1"/>
  <c r="C61" i="108"/>
  <c r="C61" i="111" s="1"/>
  <c r="C62" i="108"/>
  <c r="C63" i="108"/>
  <c r="S27" i="108" s="1"/>
  <c r="C64" i="108"/>
  <c r="C64" i="111" s="1"/>
  <c r="C65" i="108"/>
  <c r="C65" i="111" s="1"/>
  <c r="C66" i="108"/>
  <c r="C67" i="108"/>
  <c r="C68" i="108"/>
  <c r="C69" i="108"/>
  <c r="C70" i="108"/>
  <c r="C70" i="111" s="1"/>
  <c r="C71" i="108"/>
  <c r="C71" i="111" s="1"/>
  <c r="C72" i="108"/>
  <c r="C72" i="111" s="1"/>
  <c r="C73" i="108"/>
  <c r="C73" i="111" s="1"/>
  <c r="C74" i="108"/>
  <c r="C74" i="111" s="1"/>
  <c r="C75" i="108"/>
  <c r="C75" i="111" s="1"/>
  <c r="C76" i="108"/>
  <c r="C76" i="111" s="1"/>
  <c r="C77" i="108"/>
  <c r="C77" i="111" s="1"/>
  <c r="C78" i="108"/>
  <c r="C78" i="111" s="1"/>
  <c r="C79" i="108"/>
  <c r="C79" i="111" s="1"/>
  <c r="P79" i="111" s="1"/>
  <c r="C80" i="108"/>
  <c r="C81" i="108"/>
  <c r="C81" i="111" s="1"/>
  <c r="C82" i="108"/>
  <c r="C82" i="111" s="1"/>
  <c r="C83" i="108"/>
  <c r="C83" i="111" s="1"/>
  <c r="C84" i="108"/>
  <c r="C84" i="111" s="1"/>
  <c r="C85" i="108"/>
  <c r="C85" i="111" s="1"/>
  <c r="O85" i="111" s="1"/>
  <c r="C86" i="108"/>
  <c r="C86" i="111" s="1"/>
  <c r="C87" i="108"/>
  <c r="C87" i="111" s="1"/>
  <c r="C88" i="108"/>
  <c r="C89" i="108"/>
  <c r="C89" i="111" s="1"/>
  <c r="C90" i="108"/>
  <c r="C90" i="111" s="1"/>
  <c r="C91" i="108"/>
  <c r="C91" i="111" s="1"/>
  <c r="C92" i="108"/>
  <c r="C92" i="111" s="1"/>
  <c r="C93" i="108"/>
  <c r="C93" i="111" s="1"/>
  <c r="O93" i="111" s="1"/>
  <c r="C94" i="108"/>
  <c r="C94" i="111" s="1"/>
  <c r="C95" i="108"/>
  <c r="C95" i="111" s="1"/>
  <c r="C96" i="108"/>
  <c r="C96" i="111" s="1"/>
  <c r="C97" i="108"/>
  <c r="C98" i="108"/>
  <c r="C98" i="111" s="1"/>
  <c r="C99" i="108"/>
  <c r="C99" i="111" s="1"/>
  <c r="C100" i="108"/>
  <c r="C100" i="111" s="1"/>
  <c r="C101" i="108"/>
  <c r="C101" i="111" s="1"/>
  <c r="C102" i="108"/>
  <c r="C102" i="111" s="1"/>
  <c r="C103" i="108"/>
  <c r="C103" i="111" s="1"/>
  <c r="C104" i="108"/>
  <c r="C105" i="108"/>
  <c r="T23" i="107"/>
  <c r="U23" i="107"/>
  <c r="V23" i="107"/>
  <c r="W23" i="107"/>
  <c r="X23" i="107"/>
  <c r="Y23" i="107"/>
  <c r="Z23" i="107"/>
  <c r="AA23" i="107"/>
  <c r="AB23" i="107"/>
  <c r="AC23" i="107"/>
  <c r="AD23" i="107"/>
  <c r="T24" i="107"/>
  <c r="U24" i="107"/>
  <c r="V24" i="107"/>
  <c r="W24" i="107"/>
  <c r="X24" i="107"/>
  <c r="Y24" i="107"/>
  <c r="Z24" i="107"/>
  <c r="AA24" i="107"/>
  <c r="AB24" i="107"/>
  <c r="AC24" i="107"/>
  <c r="AD24" i="107"/>
  <c r="T25" i="107"/>
  <c r="U25" i="107"/>
  <c r="V25" i="107"/>
  <c r="W25" i="107"/>
  <c r="X25" i="107"/>
  <c r="Y25" i="107"/>
  <c r="Z25" i="107"/>
  <c r="AA25" i="107"/>
  <c r="AB25" i="107"/>
  <c r="AC25" i="107"/>
  <c r="AD25" i="107"/>
  <c r="T26" i="107"/>
  <c r="U26" i="107"/>
  <c r="V26" i="107"/>
  <c r="W26" i="107"/>
  <c r="X26" i="107"/>
  <c r="Y26" i="107"/>
  <c r="Z26" i="107"/>
  <c r="AA26" i="107"/>
  <c r="AB26" i="107"/>
  <c r="AC26" i="107"/>
  <c r="AD26" i="107"/>
  <c r="T27" i="107"/>
  <c r="U27" i="107"/>
  <c r="V27" i="107"/>
  <c r="W27" i="107"/>
  <c r="X27" i="107"/>
  <c r="Y27" i="107"/>
  <c r="Z27" i="107"/>
  <c r="AA27" i="107"/>
  <c r="AB27" i="107"/>
  <c r="AC27" i="107"/>
  <c r="AD27" i="107"/>
  <c r="T28" i="107"/>
  <c r="U28" i="107"/>
  <c r="V28" i="107"/>
  <c r="W28" i="107"/>
  <c r="X28" i="107"/>
  <c r="Y28" i="107"/>
  <c r="Z28" i="107"/>
  <c r="AA28" i="107"/>
  <c r="AB28" i="107"/>
  <c r="AC28" i="107"/>
  <c r="AD28" i="107"/>
  <c r="T29" i="107"/>
  <c r="U29" i="107"/>
  <c r="V29" i="107"/>
  <c r="W29" i="107"/>
  <c r="X29" i="107"/>
  <c r="Y29" i="107"/>
  <c r="Z29" i="107"/>
  <c r="AA29" i="107"/>
  <c r="AB29" i="107"/>
  <c r="AC29" i="107"/>
  <c r="AD29" i="107"/>
  <c r="T30" i="107"/>
  <c r="U30" i="107"/>
  <c r="V30" i="107"/>
  <c r="W30" i="107"/>
  <c r="X30" i="107"/>
  <c r="Y30" i="107"/>
  <c r="Z30" i="107"/>
  <c r="AA30" i="107"/>
  <c r="AB30" i="107"/>
  <c r="AC30" i="107"/>
  <c r="AD30" i="107"/>
  <c r="T31" i="107"/>
  <c r="U31" i="107"/>
  <c r="V31" i="107"/>
  <c r="W31" i="107"/>
  <c r="X31" i="107"/>
  <c r="Y31" i="107"/>
  <c r="Z31" i="107"/>
  <c r="AA31" i="107"/>
  <c r="AB31" i="107"/>
  <c r="AC31" i="107"/>
  <c r="AD31" i="107"/>
  <c r="T32" i="107"/>
  <c r="U32" i="107"/>
  <c r="V32" i="107"/>
  <c r="W32" i="107"/>
  <c r="X32" i="107"/>
  <c r="Y32" i="107"/>
  <c r="Z32" i="107"/>
  <c r="AA32" i="107"/>
  <c r="AB32" i="107"/>
  <c r="AC32" i="107"/>
  <c r="AD32" i="107"/>
  <c r="T33" i="107"/>
  <c r="U33" i="107"/>
  <c r="V33" i="107"/>
  <c r="W33" i="107"/>
  <c r="X33" i="107"/>
  <c r="Y33" i="107"/>
  <c r="Z33" i="107"/>
  <c r="AA33" i="107"/>
  <c r="AB33" i="107"/>
  <c r="AC33" i="107"/>
  <c r="AD33" i="107"/>
  <c r="C56" i="107"/>
  <c r="S22" i="107"/>
  <c r="S23" i="107"/>
  <c r="S24" i="107"/>
  <c r="S25" i="107"/>
  <c r="S26" i="107"/>
  <c r="S27" i="107"/>
  <c r="S28" i="107"/>
  <c r="S29" i="107"/>
  <c r="S30" i="107"/>
  <c r="S31" i="107"/>
  <c r="S32" i="107"/>
  <c r="O99" i="111" l="1"/>
  <c r="P91" i="111"/>
  <c r="O74" i="111"/>
  <c r="AE26" i="111" s="1"/>
  <c r="O95" i="111"/>
  <c r="P95" i="111"/>
  <c r="O70" i="111"/>
  <c r="AE25" i="111" s="1"/>
  <c r="X30" i="108"/>
  <c r="H66" i="111"/>
  <c r="S33" i="108"/>
  <c r="C69" i="111"/>
  <c r="P69" i="111" s="1"/>
  <c r="AD32" i="108"/>
  <c r="N68" i="111"/>
  <c r="W30" i="108"/>
  <c r="G66" i="111"/>
  <c r="P66" i="111" s="1"/>
  <c r="V28" i="108"/>
  <c r="F64" i="111"/>
  <c r="J63" i="111"/>
  <c r="U32" i="108"/>
  <c r="E68" i="111"/>
  <c r="U28" i="108"/>
  <c r="E64" i="111"/>
  <c r="P64" i="111" s="1"/>
  <c r="O88" i="111"/>
  <c r="F68" i="111"/>
  <c r="O103" i="111"/>
  <c r="U33" i="108"/>
  <c r="E69" i="111"/>
  <c r="O81" i="111"/>
  <c r="O101" i="111"/>
  <c r="V26" i="108"/>
  <c r="F62" i="111"/>
  <c r="O62" i="111" s="1"/>
  <c r="AE23" i="111" s="1"/>
  <c r="O82" i="111"/>
  <c r="O83" i="111"/>
  <c r="X33" i="108"/>
  <c r="H69" i="111"/>
  <c r="W31" i="108"/>
  <c r="G67" i="111"/>
  <c r="AB30" i="108"/>
  <c r="T30" i="108"/>
  <c r="D66" i="111"/>
  <c r="X29" i="108"/>
  <c r="H65" i="111"/>
  <c r="W27" i="108"/>
  <c r="AA26" i="108"/>
  <c r="K62" i="111"/>
  <c r="AA23" i="111" s="1"/>
  <c r="O91" i="111"/>
  <c r="J67" i="111"/>
  <c r="Z24" i="111" s="1"/>
  <c r="C63" i="111"/>
  <c r="U29" i="108"/>
  <c r="E65" i="111"/>
  <c r="AB33" i="108"/>
  <c r="L69" i="111"/>
  <c r="AB29" i="108"/>
  <c r="L65" i="111"/>
  <c r="W26" i="108"/>
  <c r="G62" i="111"/>
  <c r="W23" i="111" s="1"/>
  <c r="T25" i="108"/>
  <c r="D61" i="111"/>
  <c r="O84" i="111"/>
  <c r="O77" i="111"/>
  <c r="AA25" i="108"/>
  <c r="K61" i="111"/>
  <c r="AC28" i="108"/>
  <c r="M64" i="111"/>
  <c r="O75" i="111"/>
  <c r="O80" i="111"/>
  <c r="Y29" i="108"/>
  <c r="I65" i="111"/>
  <c r="K67" i="111"/>
  <c r="D65" i="111"/>
  <c r="O65" i="111" s="1"/>
  <c r="S30" i="111"/>
  <c r="O90" i="111"/>
  <c r="P90" i="111"/>
  <c r="S26" i="111"/>
  <c r="Z32" i="108"/>
  <c r="J68" i="111"/>
  <c r="V31" i="108"/>
  <c r="AA30" i="108"/>
  <c r="Z28" i="108"/>
  <c r="J64" i="111"/>
  <c r="AD27" i="108"/>
  <c r="N63" i="111"/>
  <c r="V27" i="108"/>
  <c r="F63" i="111"/>
  <c r="Z26" i="108"/>
  <c r="J62" i="111"/>
  <c r="Z23" i="111" s="1"/>
  <c r="W25" i="108"/>
  <c r="G61" i="111"/>
  <c r="M69" i="111"/>
  <c r="F67" i="111"/>
  <c r="O71" i="111"/>
  <c r="AC29" i="108"/>
  <c r="M65" i="111"/>
  <c r="S31" i="111"/>
  <c r="O94" i="111"/>
  <c r="AE31" i="111" s="1"/>
  <c r="S26" i="108"/>
  <c r="C62" i="111"/>
  <c r="O73" i="111"/>
  <c r="T33" i="108"/>
  <c r="D69" i="111"/>
  <c r="AB25" i="108"/>
  <c r="L61" i="111"/>
  <c r="O86" i="111"/>
  <c r="AE29" i="111" s="1"/>
  <c r="P93" i="111"/>
  <c r="S25" i="108"/>
  <c r="AD28" i="108"/>
  <c r="N64" i="111"/>
  <c r="O64" i="111" s="1"/>
  <c r="AD26" i="108"/>
  <c r="N62" i="111"/>
  <c r="AD23" i="111" s="1"/>
  <c r="O100" i="111"/>
  <c r="AC32" i="108"/>
  <c r="S31" i="108"/>
  <c r="C67" i="111"/>
  <c r="Y33" i="108"/>
  <c r="I69" i="111"/>
  <c r="Y24" i="111" s="1"/>
  <c r="O87" i="111"/>
  <c r="S32" i="111"/>
  <c r="O98" i="111"/>
  <c r="AE32" i="111" s="1"/>
  <c r="S28" i="111"/>
  <c r="S30" i="108"/>
  <c r="C66" i="111"/>
  <c r="P82" i="111"/>
  <c r="O78" i="111"/>
  <c r="O89" i="111"/>
  <c r="AD31" i="108"/>
  <c r="N67" i="111"/>
  <c r="AD24" i="111" s="1"/>
  <c r="O72" i="111"/>
  <c r="Y32" i="108"/>
  <c r="I68" i="111"/>
  <c r="Y28" i="108"/>
  <c r="I64" i="111"/>
  <c r="Y23" i="111" s="1"/>
  <c r="P94" i="111"/>
  <c r="L66" i="111"/>
  <c r="O76" i="111"/>
  <c r="W33" i="108"/>
  <c r="G69" i="111"/>
  <c r="AB32" i="108"/>
  <c r="L68" i="111"/>
  <c r="T32" i="108"/>
  <c r="D68" i="111"/>
  <c r="Y31" i="108"/>
  <c r="AD30" i="108"/>
  <c r="V30" i="108"/>
  <c r="AA29" i="108"/>
  <c r="X28" i="108"/>
  <c r="AC27" i="108"/>
  <c r="M63" i="111"/>
  <c r="U27" i="108"/>
  <c r="E63" i="111"/>
  <c r="U23" i="111" s="1"/>
  <c r="Y26" i="108"/>
  <c r="AD25" i="108"/>
  <c r="N61" i="111"/>
  <c r="V25" i="108"/>
  <c r="F61" i="111"/>
  <c r="I67" i="111"/>
  <c r="O92" i="111"/>
  <c r="S32" i="108"/>
  <c r="P74" i="111"/>
  <c r="AD33" i="108"/>
  <c r="V33" i="108"/>
  <c r="AA32" i="108"/>
  <c r="X31" i="108"/>
  <c r="H67" i="111"/>
  <c r="AC30" i="108"/>
  <c r="M66" i="111"/>
  <c r="AC24" i="111" s="1"/>
  <c r="U30" i="108"/>
  <c r="E66" i="111"/>
  <c r="Z29" i="108"/>
  <c r="W28" i="108"/>
  <c r="AB27" i="108"/>
  <c r="T27" i="108"/>
  <c r="D63" i="111"/>
  <c r="S29" i="108"/>
  <c r="AA33" i="108"/>
  <c r="K69" i="111"/>
  <c r="X32" i="108"/>
  <c r="H68" i="111"/>
  <c r="X24" i="111" s="1"/>
  <c r="AC31" i="108"/>
  <c r="M67" i="111"/>
  <c r="U31" i="108"/>
  <c r="E67" i="111"/>
  <c r="Z30" i="108"/>
  <c r="J66" i="111"/>
  <c r="W29" i="108"/>
  <c r="AB28" i="108"/>
  <c r="T28" i="108"/>
  <c r="Y27" i="108"/>
  <c r="I63" i="111"/>
  <c r="AC26" i="108"/>
  <c r="U26" i="108"/>
  <c r="Z25" i="108"/>
  <c r="J61" i="111"/>
  <c r="P92" i="111"/>
  <c r="C68" i="111"/>
  <c r="O68" i="111" s="1"/>
  <c r="L63" i="111"/>
  <c r="M62" i="111"/>
  <c r="AC23" i="111" s="1"/>
  <c r="O96" i="111"/>
  <c r="S28" i="108"/>
  <c r="O97" i="111"/>
  <c r="Z33" i="108"/>
  <c r="W32" i="108"/>
  <c r="AB31" i="108"/>
  <c r="L67" i="111"/>
  <c r="T31" i="108"/>
  <c r="D67" i="111"/>
  <c r="Y30" i="108"/>
  <c r="I66" i="111"/>
  <c r="AD29" i="108"/>
  <c r="N65" i="111"/>
  <c r="V29" i="108"/>
  <c r="F65" i="111"/>
  <c r="AA28" i="108"/>
  <c r="X27" i="108"/>
  <c r="AC24" i="108"/>
  <c r="N69" i="111"/>
  <c r="N66" i="111"/>
  <c r="L64" i="111"/>
  <c r="AB23" i="111" s="1"/>
  <c r="AB26" i="108"/>
  <c r="T26" i="108"/>
  <c r="Y25" i="108"/>
  <c r="AA27" i="108"/>
  <c r="X26" i="108"/>
  <c r="AC25" i="108"/>
  <c r="U25" i="108"/>
  <c r="O58" i="111"/>
  <c r="AC33" i="111"/>
  <c r="AA33" i="111"/>
  <c r="Y33" i="111"/>
  <c r="W33" i="111"/>
  <c r="U33" i="111"/>
  <c r="AC32" i="111"/>
  <c r="AA32" i="111"/>
  <c r="Y32" i="111"/>
  <c r="W32" i="111"/>
  <c r="U32" i="111"/>
  <c r="AD31" i="111"/>
  <c r="AB31" i="111"/>
  <c r="Z31" i="111"/>
  <c r="X31" i="111"/>
  <c r="V31" i="111"/>
  <c r="T31" i="111"/>
  <c r="AD30" i="111"/>
  <c r="AB30" i="111"/>
  <c r="Z30" i="111"/>
  <c r="X30" i="111"/>
  <c r="V30" i="111"/>
  <c r="T30" i="111"/>
  <c r="AC29" i="111"/>
  <c r="AA29" i="111"/>
  <c r="Y29" i="111"/>
  <c r="W29" i="111"/>
  <c r="U29" i="111"/>
  <c r="AC28" i="111"/>
  <c r="AA28" i="111"/>
  <c r="Y28" i="111"/>
  <c r="W28" i="111"/>
  <c r="U28" i="111"/>
  <c r="AC27" i="111"/>
  <c r="AA27" i="111"/>
  <c r="Y27" i="111"/>
  <c r="W27" i="111"/>
  <c r="U27" i="111"/>
  <c r="AD26" i="111"/>
  <c r="AB26" i="111"/>
  <c r="Z26" i="111"/>
  <c r="X26" i="111"/>
  <c r="V26" i="111"/>
  <c r="T26" i="111"/>
  <c r="AD25" i="111"/>
  <c r="AB25" i="111"/>
  <c r="Z25" i="111"/>
  <c r="X25" i="111"/>
  <c r="V25" i="111"/>
  <c r="T25" i="111"/>
  <c r="AB24" i="111"/>
  <c r="V24" i="111"/>
  <c r="T24" i="111"/>
  <c r="X23" i="111"/>
  <c r="AD33" i="111"/>
  <c r="AB33" i="111"/>
  <c r="Z33" i="111"/>
  <c r="X33" i="111"/>
  <c r="V33" i="111"/>
  <c r="T33" i="111"/>
  <c r="AD32" i="111"/>
  <c r="AB32" i="111"/>
  <c r="Z32" i="111"/>
  <c r="X32" i="111"/>
  <c r="V32" i="111"/>
  <c r="T32" i="111"/>
  <c r="AC31" i="111"/>
  <c r="AA31" i="111"/>
  <c r="Y31" i="111"/>
  <c r="W31" i="111"/>
  <c r="U31" i="111"/>
  <c r="AC30" i="111"/>
  <c r="AA30" i="111"/>
  <c r="Y30" i="111"/>
  <c r="W30" i="111"/>
  <c r="U30" i="111"/>
  <c r="AD29" i="111"/>
  <c r="AB29" i="111"/>
  <c r="Z29" i="111"/>
  <c r="X29" i="111"/>
  <c r="V29" i="111"/>
  <c r="T29" i="111"/>
  <c r="AB28" i="111"/>
  <c r="Z28" i="111"/>
  <c r="X28" i="111"/>
  <c r="V28" i="111"/>
  <c r="T28" i="111"/>
  <c r="AD27" i="111"/>
  <c r="AB27" i="111"/>
  <c r="Z27" i="111"/>
  <c r="X27" i="111"/>
  <c r="V27" i="111"/>
  <c r="T27" i="111"/>
  <c r="AC26" i="111"/>
  <c r="AA26" i="111"/>
  <c r="Y26" i="111"/>
  <c r="W26" i="111"/>
  <c r="U26" i="111"/>
  <c r="AC25" i="111"/>
  <c r="AA25" i="111"/>
  <c r="Y25" i="111"/>
  <c r="W25" i="111"/>
  <c r="U25" i="111"/>
  <c r="AA24" i="111"/>
  <c r="U24" i="111"/>
  <c r="P63" i="111"/>
  <c r="P104" i="111"/>
  <c r="O102" i="111"/>
  <c r="P100" i="111"/>
  <c r="P96" i="111"/>
  <c r="AF31" i="111" s="1"/>
  <c r="AE30" i="111"/>
  <c r="P88" i="111"/>
  <c r="P86" i="111"/>
  <c r="AF29" i="111" s="1"/>
  <c r="P84" i="111"/>
  <c r="P78" i="111"/>
  <c r="AF27" i="111" s="1"/>
  <c r="P76" i="111"/>
  <c r="P73" i="111"/>
  <c r="P71" i="111"/>
  <c r="P65" i="111"/>
  <c r="O63" i="111"/>
  <c r="AD28" i="111"/>
  <c r="P103" i="111"/>
  <c r="P101" i="111"/>
  <c r="P99" i="111"/>
  <c r="P97" i="111"/>
  <c r="AF30" i="111"/>
  <c r="P87" i="111"/>
  <c r="P85" i="111"/>
  <c r="P83" i="111"/>
  <c r="AE28" i="111"/>
  <c r="P77" i="111"/>
  <c r="P75" i="111"/>
  <c r="P72" i="111"/>
  <c r="P70" i="111"/>
  <c r="AF28" i="111"/>
  <c r="P102" i="111"/>
  <c r="P98" i="111"/>
  <c r="AF32" i="111" s="1"/>
  <c r="S25" i="111"/>
  <c r="S27" i="111"/>
  <c r="S29" i="111"/>
  <c r="O79" i="111"/>
  <c r="O61" i="111"/>
  <c r="P58" i="111"/>
  <c r="T23" i="111" l="1"/>
  <c r="AE27" i="111"/>
  <c r="P68" i="111"/>
  <c r="O67" i="111"/>
  <c r="AF25" i="111"/>
  <c r="P67" i="111"/>
  <c r="AF24" i="111" s="1"/>
  <c r="W24" i="111"/>
  <c r="V23" i="111"/>
  <c r="O69" i="111"/>
  <c r="S24" i="111"/>
  <c r="O66" i="111"/>
  <c r="AE24" i="111" s="1"/>
  <c r="S23" i="111"/>
  <c r="P62" i="111"/>
  <c r="AF23" i="111" s="1"/>
  <c r="P61" i="111"/>
  <c r="AF26" i="111"/>
  <c r="C3" i="94" l="1"/>
  <c r="K6" i="98" l="1"/>
  <c r="K6" i="100" s="1"/>
  <c r="K6" i="109" s="1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11" s="1"/>
  <c r="K6" i="107"/>
  <c r="K5" i="108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Y19" i="103"/>
  <c r="Y27" i="103" s="1"/>
  <c r="X19" i="103"/>
  <c r="W19" i="103"/>
  <c r="V19" i="103"/>
  <c r="U19" i="103"/>
  <c r="U24" i="103" s="1"/>
  <c r="T19" i="103"/>
  <c r="T27" i="103" s="1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7" i="97" l="1"/>
  <c r="V39" i="101"/>
  <c r="W27" i="103"/>
  <c r="X27" i="103"/>
  <c r="AD27" i="103"/>
  <c r="V27" i="99"/>
  <c r="AD27" i="99"/>
  <c r="AA39" i="105"/>
  <c r="W39" i="101"/>
  <c r="Z27" i="103"/>
  <c r="S27" i="103"/>
  <c r="V27" i="103"/>
  <c r="Z39" i="105"/>
  <c r="V39" i="105"/>
  <c r="W27" i="99"/>
  <c r="AC39" i="109"/>
  <c r="U39" i="109"/>
  <c r="Z27" i="97"/>
  <c r="AB27" i="97"/>
  <c r="T27" i="97"/>
  <c r="AA26" i="95"/>
  <c r="AA27" i="99"/>
  <c r="AA39" i="101"/>
  <c r="X39" i="105"/>
  <c r="X26" i="98"/>
  <c r="AD38" i="101"/>
  <c r="Y39" i="109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W38" i="110" s="1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48" i="108"/>
  <c r="I49" i="108"/>
  <c r="E52" i="108"/>
  <c r="I53" i="108"/>
  <c r="E56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66" i="108" s="1"/>
  <c r="O70" i="109"/>
  <c r="O70" i="108" s="1"/>
  <c r="O74" i="109"/>
  <c r="O78" i="109"/>
  <c r="O78" i="108" s="1"/>
  <c r="O82" i="109"/>
  <c r="O82" i="108" s="1"/>
  <c r="O86" i="109"/>
  <c r="O86" i="108" s="1"/>
  <c r="O90" i="109"/>
  <c r="O94" i="109"/>
  <c r="O98" i="109"/>
  <c r="O98" i="108" s="1"/>
  <c r="O102" i="109"/>
  <c r="O102" i="108" s="1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59" i="108" s="1"/>
  <c r="AF23" i="108" s="1"/>
  <c r="P63" i="109"/>
  <c r="P63" i="108" s="1"/>
  <c r="P67" i="109"/>
  <c r="P67" i="108" s="1"/>
  <c r="P71" i="109"/>
  <c r="P71" i="108" s="1"/>
  <c r="P75" i="109"/>
  <c r="P75" i="108" s="1"/>
  <c r="P79" i="109"/>
  <c r="P83" i="109"/>
  <c r="P87" i="109"/>
  <c r="P87" i="108" s="1"/>
  <c r="P91" i="109"/>
  <c r="P91" i="108" s="1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62" i="108" s="1"/>
  <c r="P70" i="109"/>
  <c r="P78" i="109"/>
  <c r="P86" i="109"/>
  <c r="P94" i="109"/>
  <c r="P94" i="108" s="1"/>
  <c r="P102" i="109"/>
  <c r="P102" i="108" s="1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58" i="108" s="1"/>
  <c r="AF22" i="108" s="1"/>
  <c r="P66" i="109"/>
  <c r="P66" i="108" s="1"/>
  <c r="AF30" i="108" s="1"/>
  <c r="P74" i="109"/>
  <c r="P74" i="108" s="1"/>
  <c r="P82" i="109"/>
  <c r="P82" i="108" s="1"/>
  <c r="P90" i="109"/>
  <c r="P90" i="108" s="1"/>
  <c r="P98" i="109"/>
  <c r="P98" i="108" s="1"/>
  <c r="P57" i="109"/>
  <c r="V21" i="109"/>
  <c r="X21" i="109"/>
  <c r="Z21" i="109"/>
  <c r="AB21" i="109"/>
  <c r="AD21" i="109"/>
  <c r="O60" i="109"/>
  <c r="O60" i="108" s="1"/>
  <c r="P60" i="109"/>
  <c r="P60" i="108" s="1"/>
  <c r="P61" i="109"/>
  <c r="P61" i="108" s="1"/>
  <c r="AF25" i="108" s="1"/>
  <c r="V22" i="109"/>
  <c r="X22" i="109"/>
  <c r="Z22" i="109"/>
  <c r="AB22" i="109"/>
  <c r="AD22" i="109"/>
  <c r="O64" i="109"/>
  <c r="O64" i="108" s="1"/>
  <c r="P64" i="109"/>
  <c r="P64" i="108" s="1"/>
  <c r="P65" i="109"/>
  <c r="P65" i="108" s="1"/>
  <c r="V23" i="109"/>
  <c r="X23" i="109"/>
  <c r="Z23" i="109"/>
  <c r="AB23" i="109"/>
  <c r="AD23" i="109"/>
  <c r="O68" i="109"/>
  <c r="O68" i="108" s="1"/>
  <c r="P68" i="109"/>
  <c r="P68" i="108" s="1"/>
  <c r="P69" i="109"/>
  <c r="P69" i="108" s="1"/>
  <c r="V24" i="109"/>
  <c r="X24" i="109"/>
  <c r="Z24" i="109"/>
  <c r="AB24" i="109"/>
  <c r="AD24" i="109"/>
  <c r="O72" i="109"/>
  <c r="O72" i="108" s="1"/>
  <c r="P72" i="109"/>
  <c r="P72" i="108" s="1"/>
  <c r="P73" i="109"/>
  <c r="P73" i="108" s="1"/>
  <c r="V25" i="109"/>
  <c r="X25" i="109"/>
  <c r="Z25" i="109"/>
  <c r="AB25" i="109"/>
  <c r="AD25" i="109"/>
  <c r="O76" i="109"/>
  <c r="O76" i="108" s="1"/>
  <c r="P76" i="109"/>
  <c r="P76" i="108" s="1"/>
  <c r="P77" i="109"/>
  <c r="P77" i="108" s="1"/>
  <c r="V26" i="109"/>
  <c r="X26" i="109"/>
  <c r="Z26" i="109"/>
  <c r="AB26" i="109"/>
  <c r="AD26" i="109"/>
  <c r="O80" i="109"/>
  <c r="O80" i="108" s="1"/>
  <c r="P80" i="109"/>
  <c r="P80" i="108" s="1"/>
  <c r="P81" i="109"/>
  <c r="P81" i="108" s="1"/>
  <c r="V27" i="109"/>
  <c r="X27" i="109"/>
  <c r="Z27" i="109"/>
  <c r="AB27" i="109"/>
  <c r="AD27" i="109"/>
  <c r="O84" i="109"/>
  <c r="O84" i="108" s="1"/>
  <c r="P84" i="109"/>
  <c r="P84" i="108" s="1"/>
  <c r="P85" i="109"/>
  <c r="P85" i="108" s="1"/>
  <c r="V28" i="109"/>
  <c r="X28" i="109"/>
  <c r="Z28" i="109"/>
  <c r="AB28" i="109"/>
  <c r="AD28" i="109"/>
  <c r="O88" i="109"/>
  <c r="O88" i="108" s="1"/>
  <c r="P88" i="109"/>
  <c r="P88" i="108" s="1"/>
  <c r="P89" i="109"/>
  <c r="P89" i="108" s="1"/>
  <c r="V29" i="109"/>
  <c r="X29" i="109"/>
  <c r="Z29" i="109"/>
  <c r="AB29" i="109"/>
  <c r="AD29" i="109"/>
  <c r="O92" i="109"/>
  <c r="O92" i="108" s="1"/>
  <c r="P92" i="109"/>
  <c r="P92" i="108" s="1"/>
  <c r="P93" i="109"/>
  <c r="P93" i="108" s="1"/>
  <c r="V30" i="109"/>
  <c r="X30" i="109"/>
  <c r="Z30" i="109"/>
  <c r="O96" i="109"/>
  <c r="O96" i="108" s="1"/>
  <c r="P96" i="109"/>
  <c r="P96" i="108" s="1"/>
  <c r="P97" i="109"/>
  <c r="P97" i="108" s="1"/>
  <c r="O100" i="109"/>
  <c r="O100" i="108" s="1"/>
  <c r="P100" i="109"/>
  <c r="P100" i="108" s="1"/>
  <c r="P101" i="109"/>
  <c r="P101" i="108" s="1"/>
  <c r="O104" i="109"/>
  <c r="O104" i="108" s="1"/>
  <c r="P104" i="109"/>
  <c r="P104" i="108" s="1"/>
  <c r="P105" i="109"/>
  <c r="P105" i="108" s="1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P103" i="108" s="1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59" i="108" s="1"/>
  <c r="O61" i="109"/>
  <c r="O61" i="108" s="1"/>
  <c r="O63" i="109"/>
  <c r="O65" i="109"/>
  <c r="O67" i="109"/>
  <c r="O67" i="108" s="1"/>
  <c r="O69" i="109"/>
  <c r="O69" i="108" s="1"/>
  <c r="O71" i="109"/>
  <c r="O73" i="109"/>
  <c r="O73" i="108" s="1"/>
  <c r="O75" i="109"/>
  <c r="O75" i="108" s="1"/>
  <c r="O77" i="109"/>
  <c r="O77" i="108" s="1"/>
  <c r="O79" i="109"/>
  <c r="O81" i="109"/>
  <c r="O83" i="109"/>
  <c r="O83" i="108" s="1"/>
  <c r="O85" i="109"/>
  <c r="O85" i="108" s="1"/>
  <c r="O87" i="109"/>
  <c r="O89" i="109"/>
  <c r="O89" i="108" s="1"/>
  <c r="O91" i="109"/>
  <c r="O91" i="108" s="1"/>
  <c r="O93" i="109"/>
  <c r="O93" i="108" s="1"/>
  <c r="O95" i="109"/>
  <c r="O97" i="109"/>
  <c r="O99" i="109"/>
  <c r="O99" i="108" s="1"/>
  <c r="O101" i="109"/>
  <c r="O101" i="108" s="1"/>
  <c r="O103" i="109"/>
  <c r="O105" i="109"/>
  <c r="O105" i="108" s="1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C105" i="107" s="1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77" i="107" s="1"/>
  <c r="P22" i="104"/>
  <c r="P23" i="104"/>
  <c r="P24" i="104"/>
  <c r="O30" i="104"/>
  <c r="O34" i="104"/>
  <c r="O38" i="104"/>
  <c r="O42" i="104"/>
  <c r="O46" i="104"/>
  <c r="O50" i="104"/>
  <c r="O54" i="104"/>
  <c r="P69" i="101"/>
  <c r="P69" i="107" s="1"/>
  <c r="P91" i="101"/>
  <c r="P91" i="107" s="1"/>
  <c r="U15" i="94"/>
  <c r="W17" i="96"/>
  <c r="Z19" i="98"/>
  <c r="AC24" i="103"/>
  <c r="P81" i="101"/>
  <c r="P63" i="101"/>
  <c r="P97" i="101"/>
  <c r="P73" i="101"/>
  <c r="Y19" i="94"/>
  <c r="P95" i="101"/>
  <c r="P95" i="107" s="1"/>
  <c r="P79" i="101"/>
  <c r="P79" i="107" s="1"/>
  <c r="P71" i="101"/>
  <c r="P71" i="107" s="1"/>
  <c r="P59" i="101"/>
  <c r="P101" i="101"/>
  <c r="P88" i="101"/>
  <c r="P88" i="107" s="1"/>
  <c r="P83" i="101"/>
  <c r="P83" i="107" s="1"/>
  <c r="P75" i="101"/>
  <c r="P67" i="101"/>
  <c r="P67" i="107" s="1"/>
  <c r="Y14" i="100"/>
  <c r="P99" i="101"/>
  <c r="P99" i="107" s="1"/>
  <c r="P93" i="101"/>
  <c r="P93" i="107" s="1"/>
  <c r="P85" i="101"/>
  <c r="P65" i="101"/>
  <c r="P103" i="101"/>
  <c r="P103" i="107" s="1"/>
  <c r="P61" i="101"/>
  <c r="P61" i="107" s="1"/>
  <c r="O104" i="101"/>
  <c r="O102" i="101"/>
  <c r="O102" i="107" s="1"/>
  <c r="O100" i="101"/>
  <c r="O100" i="107" s="1"/>
  <c r="O98" i="101"/>
  <c r="O98" i="107" s="1"/>
  <c r="O96" i="101"/>
  <c r="O94" i="101"/>
  <c r="O94" i="107" s="1"/>
  <c r="O92" i="101"/>
  <c r="O92" i="107" s="1"/>
  <c r="O89" i="101"/>
  <c r="O86" i="101"/>
  <c r="O86" i="107" s="1"/>
  <c r="O84" i="101"/>
  <c r="O84" i="107" s="1"/>
  <c r="O82" i="101"/>
  <c r="O82" i="107" s="1"/>
  <c r="O80" i="101"/>
  <c r="O78" i="101"/>
  <c r="O76" i="101"/>
  <c r="O76" i="107" s="1"/>
  <c r="O74" i="101"/>
  <c r="O72" i="101"/>
  <c r="O70" i="101"/>
  <c r="O70" i="107" s="1"/>
  <c r="O68" i="101"/>
  <c r="O68" i="107" s="1"/>
  <c r="O66" i="101"/>
  <c r="O66" i="107" s="1"/>
  <c r="AE24" i="107" s="1"/>
  <c r="O64" i="101"/>
  <c r="O62" i="101"/>
  <c r="O60" i="101"/>
  <c r="O60" i="107" s="1"/>
  <c r="O58" i="101"/>
  <c r="O58" i="107" s="1"/>
  <c r="AE22" i="107" s="1"/>
  <c r="O105" i="101"/>
  <c r="P104" i="101"/>
  <c r="P104" i="107" s="1"/>
  <c r="O103" i="101"/>
  <c r="O103" i="107" s="1"/>
  <c r="P102" i="101"/>
  <c r="P102" i="107" s="1"/>
  <c r="O101" i="101"/>
  <c r="P100" i="101"/>
  <c r="O99" i="101"/>
  <c r="O99" i="107" s="1"/>
  <c r="P98" i="101"/>
  <c r="P98" i="107" s="1"/>
  <c r="O97" i="101"/>
  <c r="P96" i="101"/>
  <c r="O95" i="101"/>
  <c r="O95" i="107" s="1"/>
  <c r="P94" i="101"/>
  <c r="P94" i="107" s="1"/>
  <c r="O93" i="101"/>
  <c r="P92" i="101"/>
  <c r="O91" i="101"/>
  <c r="O91" i="107" s="1"/>
  <c r="P90" i="101"/>
  <c r="O90" i="101"/>
  <c r="O90" i="107" s="1"/>
  <c r="P89" i="101"/>
  <c r="P89" i="107" s="1"/>
  <c r="O88" i="101"/>
  <c r="O88" i="107" s="1"/>
  <c r="P87" i="101"/>
  <c r="P87" i="107" s="1"/>
  <c r="O87" i="101"/>
  <c r="P86" i="101"/>
  <c r="O85" i="101"/>
  <c r="P84" i="101"/>
  <c r="O83" i="101"/>
  <c r="O83" i="107" s="1"/>
  <c r="P82" i="101"/>
  <c r="P82" i="107" s="1"/>
  <c r="O81" i="101"/>
  <c r="O81" i="107" s="1"/>
  <c r="P80" i="101"/>
  <c r="P80" i="107" s="1"/>
  <c r="O79" i="101"/>
  <c r="O79" i="107" s="1"/>
  <c r="P78" i="101"/>
  <c r="O77" i="101"/>
  <c r="O77" i="107" s="1"/>
  <c r="P76" i="101"/>
  <c r="O75" i="101"/>
  <c r="O75" i="107" s="1"/>
  <c r="P74" i="101"/>
  <c r="P74" i="107" s="1"/>
  <c r="O73" i="101"/>
  <c r="O73" i="107" s="1"/>
  <c r="P72" i="101"/>
  <c r="P72" i="107" s="1"/>
  <c r="O71" i="101"/>
  <c r="O71" i="107" s="1"/>
  <c r="P70" i="101"/>
  <c r="O69" i="101"/>
  <c r="O69" i="107" s="1"/>
  <c r="P68" i="101"/>
  <c r="P68" i="107" s="1"/>
  <c r="O67" i="101"/>
  <c r="O67" i="107" s="1"/>
  <c r="P66" i="101"/>
  <c r="P66" i="107" s="1"/>
  <c r="AF24" i="107" s="1"/>
  <c r="O65" i="101"/>
  <c r="O65" i="107" s="1"/>
  <c r="P64" i="101"/>
  <c r="P64" i="107" s="1"/>
  <c r="O63" i="101"/>
  <c r="O63" i="107" s="1"/>
  <c r="P62" i="101"/>
  <c r="O61" i="101"/>
  <c r="O61" i="107" s="1"/>
  <c r="P60" i="101"/>
  <c r="P60" i="107" s="1"/>
  <c r="O59" i="101"/>
  <c r="O59" i="107" s="1"/>
  <c r="P58" i="101"/>
  <c r="P58" i="107" s="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57" i="108" s="1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D56" i="107"/>
  <c r="E56" i="107"/>
  <c r="F56" i="107"/>
  <c r="G56" i="107"/>
  <c r="H56" i="107"/>
  <c r="I56" i="107"/>
  <c r="J56" i="107"/>
  <c r="K56" i="107"/>
  <c r="L56" i="107"/>
  <c r="M56" i="107"/>
  <c r="N56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C106" i="107" s="1"/>
  <c r="AE28" i="107" l="1"/>
  <c r="AF22" i="107"/>
  <c r="P105" i="107"/>
  <c r="C105" i="111"/>
  <c r="S33" i="107"/>
  <c r="P86" i="108"/>
  <c r="X36" i="101"/>
  <c r="O97" i="107"/>
  <c r="O105" i="107"/>
  <c r="O72" i="107"/>
  <c r="O89" i="107"/>
  <c r="AE29" i="107" s="1"/>
  <c r="P75" i="107"/>
  <c r="O103" i="108"/>
  <c r="O87" i="108"/>
  <c r="O71" i="108"/>
  <c r="AE33" i="108" s="1"/>
  <c r="P78" i="108"/>
  <c r="AF27" i="108"/>
  <c r="O74" i="108"/>
  <c r="AE25" i="107"/>
  <c r="P76" i="107"/>
  <c r="O85" i="107"/>
  <c r="P65" i="107"/>
  <c r="P97" i="107"/>
  <c r="AE31" i="108"/>
  <c r="AF28" i="108"/>
  <c r="AF24" i="108"/>
  <c r="AF26" i="108"/>
  <c r="AE30" i="108"/>
  <c r="S38" i="110"/>
  <c r="AF26" i="107"/>
  <c r="P90" i="107"/>
  <c r="O74" i="107"/>
  <c r="AE26" i="107" s="1"/>
  <c r="AF29" i="108"/>
  <c r="O57" i="108"/>
  <c r="P62" i="107"/>
  <c r="AF23" i="107" s="1"/>
  <c r="P70" i="107"/>
  <c r="AF25" i="107" s="1"/>
  <c r="P78" i="107"/>
  <c r="P86" i="107"/>
  <c r="AF29" i="107" s="1"/>
  <c r="P92" i="107"/>
  <c r="P100" i="107"/>
  <c r="AF32" i="107" s="1"/>
  <c r="O62" i="107"/>
  <c r="O78" i="107"/>
  <c r="O96" i="107"/>
  <c r="AE31" i="107" s="1"/>
  <c r="P85" i="107"/>
  <c r="AF28" i="107" s="1"/>
  <c r="P101" i="107"/>
  <c r="P63" i="107"/>
  <c r="O97" i="108"/>
  <c r="O81" i="108"/>
  <c r="O65" i="108"/>
  <c r="AE29" i="108" s="1"/>
  <c r="P95" i="108"/>
  <c r="AE32" i="108"/>
  <c r="AE28" i="108"/>
  <c r="P83" i="108"/>
  <c r="O94" i="108"/>
  <c r="O62" i="108"/>
  <c r="AE26" i="108" s="1"/>
  <c r="AF33" i="107"/>
  <c r="AE33" i="107"/>
  <c r="P96" i="107"/>
  <c r="AF31" i="107" s="1"/>
  <c r="O104" i="107"/>
  <c r="P84" i="107"/>
  <c r="P73" i="107"/>
  <c r="P70" i="108"/>
  <c r="AF32" i="108" s="1"/>
  <c r="O87" i="107"/>
  <c r="O93" i="107"/>
  <c r="AE30" i="107" s="1"/>
  <c r="O101" i="107"/>
  <c r="O64" i="107"/>
  <c r="O80" i="107"/>
  <c r="AE32" i="107"/>
  <c r="P59" i="107"/>
  <c r="P81" i="107"/>
  <c r="O95" i="108"/>
  <c r="O79" i="108"/>
  <c r="O63" i="108"/>
  <c r="AE27" i="108" s="1"/>
  <c r="P99" i="108"/>
  <c r="P79" i="108"/>
  <c r="O90" i="108"/>
  <c r="O58" i="108"/>
  <c r="AE22" i="108" s="1"/>
  <c r="AB26" i="98"/>
  <c r="Y38" i="105"/>
  <c r="U38" i="109"/>
  <c r="AF33" i="101"/>
  <c r="AF32" i="101"/>
  <c r="T19" i="108"/>
  <c r="V19" i="108"/>
  <c r="Z26" i="95"/>
  <c r="AF25" i="101"/>
  <c r="AF28" i="101"/>
  <c r="S38" i="105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F33" i="108" l="1"/>
  <c r="AE27" i="107"/>
  <c r="AE23" i="108"/>
  <c r="AF31" i="108"/>
  <c r="AE23" i="107"/>
  <c r="AE25" i="108"/>
  <c r="O106" i="107"/>
  <c r="O106" i="108"/>
  <c r="P106" i="107"/>
  <c r="P106" i="108"/>
  <c r="AF30" i="107"/>
  <c r="S33" i="111"/>
  <c r="O105" i="111"/>
  <c r="AE33" i="111" s="1"/>
  <c r="P105" i="111"/>
  <c r="AF33" i="111" s="1"/>
  <c r="S41" i="107"/>
  <c r="AE24" i="108"/>
  <c r="AF27" i="107"/>
  <c r="S21" i="111"/>
  <c r="S35" i="107"/>
  <c r="S34" i="107"/>
  <c r="AD12" i="111"/>
  <c r="U39" i="107"/>
  <c r="V36" i="108"/>
  <c r="T13" i="111"/>
  <c r="T12" i="111"/>
  <c r="V22" i="93"/>
  <c r="AE24" i="98"/>
  <c r="V39" i="107"/>
  <c r="AF10" i="108"/>
  <c r="U36" i="107"/>
  <c r="Y34" i="108"/>
  <c r="S42" i="110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E41" i="108" s="1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42" i="107" s="1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H59" i="108" s="1"/>
  <c r="J59" i="96"/>
  <c r="L59" i="96"/>
  <c r="N59" i="96"/>
  <c r="M59" i="96"/>
  <c r="AF23" i="95"/>
  <c r="AF23" i="96"/>
  <c r="L60" i="94"/>
  <c r="L60" i="108" s="1"/>
  <c r="AB24" i="108" s="1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C60" i="108" s="1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I59" i="108" s="1"/>
  <c r="K59" i="94"/>
  <c r="K59" i="108" s="1"/>
  <c r="F59" i="94"/>
  <c r="F59" i="108" s="1"/>
  <c r="J59" i="94"/>
  <c r="J59" i="108" s="1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I60" i="108" s="1"/>
  <c r="Y24" i="108" s="1"/>
  <c r="K60" i="94"/>
  <c r="K60" i="108" s="1"/>
  <c r="AA24" i="108" s="1"/>
  <c r="AE26" i="94"/>
  <c r="AE23" i="94"/>
  <c r="D60" i="94"/>
  <c r="AE27" i="94"/>
  <c r="AE24" i="94"/>
  <c r="C59" i="94"/>
  <c r="L59" i="94"/>
  <c r="L59" i="108" s="1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S24" i="108" l="1"/>
  <c r="C60" i="111"/>
  <c r="AB23" i="108"/>
  <c r="AB22" i="108"/>
  <c r="AB41" i="108" s="1"/>
  <c r="AB42" i="108" s="1"/>
  <c r="L106" i="108"/>
  <c r="AF41" i="108"/>
  <c r="D59" i="108"/>
  <c r="AE41" i="107"/>
  <c r="G59" i="107"/>
  <c r="G60" i="108"/>
  <c r="W24" i="108" s="1"/>
  <c r="N60" i="108"/>
  <c r="AD24" i="108" s="1"/>
  <c r="D60" i="108"/>
  <c r="T24" i="108" s="1"/>
  <c r="AF41" i="107"/>
  <c r="C59" i="108"/>
  <c r="Y23" i="108"/>
  <c r="Y22" i="108"/>
  <c r="I106" i="108"/>
  <c r="J60" i="108"/>
  <c r="Z24" i="108" s="1"/>
  <c r="F60" i="108"/>
  <c r="V24" i="108" s="1"/>
  <c r="M59" i="108"/>
  <c r="Z23" i="108"/>
  <c r="J106" i="108"/>
  <c r="J107" i="108" s="1"/>
  <c r="H60" i="108"/>
  <c r="X24" i="108" s="1"/>
  <c r="V23" i="108"/>
  <c r="V22" i="108"/>
  <c r="V41" i="108" s="1"/>
  <c r="V42" i="108" s="1"/>
  <c r="AA23" i="108"/>
  <c r="AA22" i="108"/>
  <c r="AA41" i="108" s="1"/>
  <c r="AA42" i="108" s="1"/>
  <c r="K106" i="108"/>
  <c r="E60" i="108"/>
  <c r="U24" i="108" s="1"/>
  <c r="G59" i="108"/>
  <c r="E59" i="108"/>
  <c r="N59" i="108"/>
  <c r="C108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AF39" i="108"/>
  <c r="AF42" i="110"/>
  <c r="AE42" i="110"/>
  <c r="AE42" i="109"/>
  <c r="AF42" i="109"/>
  <c r="L107" i="108"/>
  <c r="AE39" i="108"/>
  <c r="AE37" i="108"/>
  <c r="AE36" i="108"/>
  <c r="AF36" i="108"/>
  <c r="AF34" i="108"/>
  <c r="K108" i="108"/>
  <c r="AF40" i="108"/>
  <c r="L108" i="108"/>
  <c r="I108" i="108"/>
  <c r="J108" i="108"/>
  <c r="AF37" i="108"/>
  <c r="AE38" i="108"/>
  <c r="AE39" i="107"/>
  <c r="AF35" i="108"/>
  <c r="AE35" i="108"/>
  <c r="K107" i="108"/>
  <c r="AE40" i="108"/>
  <c r="AE42" i="108" s="1"/>
  <c r="AF40" i="107"/>
  <c r="AF42" i="107" s="1"/>
  <c r="AE34" i="108"/>
  <c r="I107" i="108"/>
  <c r="AF38" i="108"/>
  <c r="AE37" i="107"/>
  <c r="AE35" i="107"/>
  <c r="AF34" i="107"/>
  <c r="AE40" i="107"/>
  <c r="AE42" i="107" s="1"/>
  <c r="AE38" i="107"/>
  <c r="AE36" i="107"/>
  <c r="AE34" i="107"/>
  <c r="AF37" i="107"/>
  <c r="AF35" i="107"/>
  <c r="AF38" i="107"/>
  <c r="AF36" i="107"/>
  <c r="AF39" i="107"/>
  <c r="AE42" i="105"/>
  <c r="AF42" i="105"/>
  <c r="AE42" i="101"/>
  <c r="AF42" i="101"/>
  <c r="M59" i="93"/>
  <c r="M59" i="107" s="1"/>
  <c r="N60" i="93"/>
  <c r="N60" i="107" s="1"/>
  <c r="N60" i="111" s="1"/>
  <c r="G60" i="93"/>
  <c r="G60" i="107" s="1"/>
  <c r="G60" i="111" s="1"/>
  <c r="E60" i="93"/>
  <c r="E60" i="107" s="1"/>
  <c r="E60" i="111" s="1"/>
  <c r="H60" i="93"/>
  <c r="H60" i="107" s="1"/>
  <c r="H60" i="111" s="1"/>
  <c r="J60" i="93"/>
  <c r="J60" i="107" s="1"/>
  <c r="J60" i="111" s="1"/>
  <c r="F60" i="93"/>
  <c r="F60" i="107" s="1"/>
  <c r="D60" i="93"/>
  <c r="D60" i="107" s="1"/>
  <c r="K60" i="93"/>
  <c r="K60" i="107" s="1"/>
  <c r="K60" i="111" s="1"/>
  <c r="L60" i="93"/>
  <c r="L60" i="107" s="1"/>
  <c r="L60" i="111" s="1"/>
  <c r="I60" i="93"/>
  <c r="I60" i="107" s="1"/>
  <c r="I60" i="111" s="1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D59" i="107" s="1"/>
  <c r="C59" i="93"/>
  <c r="L59" i="93"/>
  <c r="L59" i="107" s="1"/>
  <c r="F59" i="93"/>
  <c r="F59" i="107" s="1"/>
  <c r="J59" i="93"/>
  <c r="J59" i="107" s="1"/>
  <c r="E59" i="93"/>
  <c r="E59" i="107" s="1"/>
  <c r="H59" i="93"/>
  <c r="H59" i="107" s="1"/>
  <c r="K59" i="93"/>
  <c r="K59" i="107" s="1"/>
  <c r="N59" i="93"/>
  <c r="N59" i="107" s="1"/>
  <c r="I59" i="93"/>
  <c r="I59" i="107" s="1"/>
  <c r="AD23" i="108" l="1"/>
  <c r="AD22" i="108"/>
  <c r="AD41" i="108" s="1"/>
  <c r="AD42" i="108" s="1"/>
  <c r="N106" i="108"/>
  <c r="H59" i="111"/>
  <c r="X22" i="107"/>
  <c r="X41" i="107" s="1"/>
  <c r="X42" i="107" s="1"/>
  <c r="H106" i="107"/>
  <c r="J59" i="111"/>
  <c r="Z22" i="107"/>
  <c r="Z41" i="107" s="1"/>
  <c r="Z42" i="107" s="1"/>
  <c r="J106" i="107"/>
  <c r="F59" i="111"/>
  <c r="V22" i="107"/>
  <c r="V41" i="107" s="1"/>
  <c r="V42" i="107" s="1"/>
  <c r="F106" i="107"/>
  <c r="S23" i="108"/>
  <c r="C59" i="111"/>
  <c r="S22" i="108"/>
  <c r="S41" i="108" s="1"/>
  <c r="S42" i="108" s="1"/>
  <c r="C106" i="108"/>
  <c r="F106" i="108"/>
  <c r="Y22" i="107"/>
  <c r="Y41" i="107" s="1"/>
  <c r="Y42" i="107" s="1"/>
  <c r="I59" i="111"/>
  <c r="I106" i="107"/>
  <c r="N59" i="111"/>
  <c r="AD22" i="107"/>
  <c r="AD41" i="107" s="1"/>
  <c r="AD42" i="107" s="1"/>
  <c r="N106" i="107"/>
  <c r="U23" i="108"/>
  <c r="U22" i="108"/>
  <c r="U41" i="108" s="1"/>
  <c r="U42" i="108" s="1"/>
  <c r="E106" i="108"/>
  <c r="T23" i="108"/>
  <c r="T22" i="108"/>
  <c r="D106" i="108"/>
  <c r="K59" i="111"/>
  <c r="AA22" i="107"/>
  <c r="AA41" i="107" s="1"/>
  <c r="AA42" i="107" s="1"/>
  <c r="K106" i="107"/>
  <c r="M59" i="111"/>
  <c r="AC22" i="107"/>
  <c r="AC41" i="107" s="1"/>
  <c r="AC42" i="107" s="1"/>
  <c r="M106" i="107"/>
  <c r="M107" i="107" s="1"/>
  <c r="W23" i="108"/>
  <c r="W22" i="108"/>
  <c r="W41" i="108" s="1"/>
  <c r="W42" i="108" s="1"/>
  <c r="G106" i="108"/>
  <c r="AF42" i="108"/>
  <c r="L59" i="111"/>
  <c r="AB22" i="107"/>
  <c r="AB41" i="107" s="1"/>
  <c r="AB42" i="107" s="1"/>
  <c r="L106" i="107"/>
  <c r="G59" i="111"/>
  <c r="W22" i="107"/>
  <c r="W41" i="107" s="1"/>
  <c r="W42" i="107" s="1"/>
  <c r="G106" i="107"/>
  <c r="H106" i="108"/>
  <c r="AC23" i="108"/>
  <c r="AC22" i="108"/>
  <c r="AC41" i="108" s="1"/>
  <c r="AC42" i="108" s="1"/>
  <c r="M106" i="108"/>
  <c r="M107" i="108" s="1"/>
  <c r="D59" i="111"/>
  <c r="T22" i="107"/>
  <c r="T41" i="107" s="1"/>
  <c r="T42" i="107" s="1"/>
  <c r="D106" i="107"/>
  <c r="D60" i="111"/>
  <c r="U22" i="107"/>
  <c r="U41" i="107" s="1"/>
  <c r="U42" i="107" s="1"/>
  <c r="E59" i="111"/>
  <c r="E106" i="107"/>
  <c r="F60" i="111"/>
  <c r="P60" i="111" s="1"/>
  <c r="Z22" i="108"/>
  <c r="Z41" i="108" s="1"/>
  <c r="Z42" i="108" s="1"/>
  <c r="Y41" i="108"/>
  <c r="Y42" i="108" s="1"/>
  <c r="X22" i="108"/>
  <c r="X23" i="108"/>
  <c r="AF34" i="111"/>
  <c r="AF37" i="111"/>
  <c r="AE34" i="111"/>
  <c r="AE39" i="111"/>
  <c r="AE37" i="111"/>
  <c r="AE40" i="111"/>
  <c r="AF40" i="111"/>
  <c r="AE35" i="111"/>
  <c r="AE36" i="111"/>
  <c r="AF36" i="111"/>
  <c r="AF38" i="111"/>
  <c r="AF39" i="111"/>
  <c r="AE38" i="111"/>
  <c r="AF35" i="111"/>
  <c r="I107" i="107" l="1"/>
  <c r="I108" i="107"/>
  <c r="H107" i="107"/>
  <c r="H108" i="107"/>
  <c r="T22" i="111"/>
  <c r="T41" i="111" s="1"/>
  <c r="T42" i="111" s="1"/>
  <c r="D106" i="111"/>
  <c r="L107" i="107"/>
  <c r="L108" i="107"/>
  <c r="E108" i="108"/>
  <c r="E107" i="108"/>
  <c r="Y22" i="111"/>
  <c r="Y41" i="111" s="1"/>
  <c r="Y42" i="111" s="1"/>
  <c r="I106" i="111"/>
  <c r="F107" i="107"/>
  <c r="F108" i="107"/>
  <c r="F107" i="108"/>
  <c r="F108" i="108"/>
  <c r="V22" i="111"/>
  <c r="V41" i="111" s="1"/>
  <c r="V42" i="111" s="1"/>
  <c r="F106" i="111"/>
  <c r="O60" i="111"/>
  <c r="W22" i="111"/>
  <c r="W41" i="111" s="1"/>
  <c r="W42" i="111" s="1"/>
  <c r="G106" i="111"/>
  <c r="AC22" i="111"/>
  <c r="AC41" i="111" s="1"/>
  <c r="AC42" i="111" s="1"/>
  <c r="M106" i="111"/>
  <c r="E108" i="107"/>
  <c r="E107" i="107"/>
  <c r="AB22" i="111"/>
  <c r="AB41" i="111" s="1"/>
  <c r="AB42" i="111" s="1"/>
  <c r="L106" i="111"/>
  <c r="K107" i="107"/>
  <c r="K108" i="107"/>
  <c r="U22" i="111"/>
  <c r="U41" i="111" s="1"/>
  <c r="U42" i="111" s="1"/>
  <c r="E106" i="111"/>
  <c r="G108" i="108"/>
  <c r="G107" i="108"/>
  <c r="AA22" i="111"/>
  <c r="AA41" i="111" s="1"/>
  <c r="AA42" i="111" s="1"/>
  <c r="K106" i="111"/>
  <c r="N108" i="107"/>
  <c r="N107" i="107"/>
  <c r="J107" i="107"/>
  <c r="J108" i="107"/>
  <c r="N107" i="108"/>
  <c r="N108" i="108"/>
  <c r="X22" i="111"/>
  <c r="X41" i="111" s="1"/>
  <c r="X42" i="111" s="1"/>
  <c r="H106" i="111"/>
  <c r="C108" i="108"/>
  <c r="C107" i="108"/>
  <c r="G107" i="107"/>
  <c r="G108" i="107"/>
  <c r="D107" i="108"/>
  <c r="D108" i="108"/>
  <c r="S22" i="111"/>
  <c r="S41" i="111" s="1"/>
  <c r="S42" i="111" s="1"/>
  <c r="O59" i="111"/>
  <c r="P59" i="111"/>
  <c r="C106" i="111"/>
  <c r="H107" i="108"/>
  <c r="H108" i="108"/>
  <c r="X41" i="108"/>
  <c r="X42" i="108" s="1"/>
  <c r="D107" i="107"/>
  <c r="D108" i="107"/>
  <c r="T41" i="108"/>
  <c r="T42" i="108" s="1"/>
  <c r="AD22" i="111"/>
  <c r="AD41" i="111" s="1"/>
  <c r="AD42" i="111" s="1"/>
  <c r="N106" i="111"/>
  <c r="Z22" i="111"/>
  <c r="Z41" i="111" s="1"/>
  <c r="Z42" i="111" s="1"/>
  <c r="J106" i="111"/>
  <c r="K107" i="111" l="1"/>
  <c r="I107" i="111"/>
  <c r="AF22" i="111"/>
  <c r="AF41" i="111" s="1"/>
  <c r="AF42" i="111" s="1"/>
  <c r="P106" i="111"/>
  <c r="N107" i="111" s="1"/>
  <c r="AE22" i="111"/>
  <c r="AE41" i="111" s="1"/>
  <c r="AE42" i="111" s="1"/>
  <c r="O106" i="111"/>
  <c r="H108" i="111" s="1"/>
  <c r="E107" i="111"/>
  <c r="M107" i="111"/>
  <c r="D107" i="111"/>
  <c r="L107" i="111" l="1"/>
  <c r="L108" i="111"/>
  <c r="E108" i="111"/>
  <c r="K108" i="111"/>
  <c r="F108" i="111"/>
  <c r="H107" i="111"/>
  <c r="C108" i="111"/>
  <c r="N108" i="111"/>
  <c r="I108" i="111"/>
  <c r="G108" i="111"/>
  <c r="J108" i="111"/>
  <c r="F107" i="111"/>
  <c r="G107" i="111"/>
  <c r="J107" i="111"/>
  <c r="D108" i="111"/>
  <c r="C107" i="111"/>
</calcChain>
</file>

<file path=xl/sharedStrings.xml><?xml version="1.0" encoding="utf-8"?>
<sst xmlns="http://schemas.openxmlformats.org/spreadsheetml/2006/main" count="2339" uniqueCount="187">
  <si>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</si>
  <si>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</si>
  <si>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</si>
  <si>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</si>
  <si>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</si>
  <si>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</si>
  <si>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</si>
  <si>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</si>
  <si>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</si>
  <si>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</si>
  <si>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</si>
  <si>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</si>
  <si>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</si>
  <si>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</si>
  <si>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</si>
  <si>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</si>
  <si>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</si>
  <si>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</si>
  <si>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</si>
  <si>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</si>
  <si>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</si>
  <si>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</si>
  <si>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</si>
  <si>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</si>
  <si>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</si>
  <si>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</si>
  <si>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</si>
  <si>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</si>
  <si>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</si>
  <si>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</si>
  <si>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</si>
  <si>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</si>
  <si>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</si>
  <si>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</si>
  <si>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</si>
  <si>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</si>
  <si>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</si>
  <si>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</si>
  <si>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</si>
  <si>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</si>
  <si>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</si>
  <si>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</si>
  <si>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</si>
  <si>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</si>
  <si>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</si>
  <si>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</si>
  <si>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</si>
  <si>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</si>
  <si>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</si>
  <si>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</si>
  <si>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</si>
  <si>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</si>
  <si>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</si>
  <si>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</si>
  <si>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</si>
  <si>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</si>
  <si>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</si>
  <si>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</si>
  <si>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</si>
  <si>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</si>
  <si>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</si>
  <si>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</si>
  <si>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</si>
  <si>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</si>
  <si>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</si>
  <si>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</si>
  <si>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</si>
  <si>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</si>
  <si>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</si>
  <si>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</si>
  <si>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</si>
  <si>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</si>
  <si>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</si>
  <si>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</si>
  <si>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</si>
  <si>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</si>
  <si>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</si>
  <si>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</si>
  <si>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</si>
  <si>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</si>
  <si>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</si>
  <si>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</si>
  <si>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</si>
  <si>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</si>
  <si>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</si>
  <si>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</si>
  <si>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</si>
  <si>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</si>
  <si>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</si>
  <si>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</si>
  <si>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</si>
  <si>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</si>
  <si>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</si>
  <si>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</si>
  <si>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</si>
  <si>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</si>
  <si>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</si>
  <si>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</si>
  <si>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</si>
  <si>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</si>
  <si>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</si>
  <si>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</si>
  <si>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</si>
  <si>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</si>
  <si>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</si>
  <si>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</si>
  <si>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</si>
  <si>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</si>
  <si>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</si>
  <si>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</si>
  <si>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</si>
  <si>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</si>
  <si>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</si>
  <si>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</si>
  <si>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</si>
  <si>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</si>
  <si>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</si>
  <si>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</si>
  <si>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</si>
  <si>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</si>
  <si>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</si>
  <si>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</si>
  <si>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</si>
  <si>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</si>
  <si>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</si>
  <si>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</si>
  <si>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</si>
  <si>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</si>
  <si>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</si>
  <si>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</si>
  <si>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</si>
  <si>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</si>
  <si>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</si>
  <si>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</si>
  <si>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</si>
  <si>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</si>
  <si>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</si>
  <si>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</si>
  <si>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</si>
  <si>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</si>
  <si>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</si>
  <si>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</si>
  <si>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</si>
  <si>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</si>
  <si>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</si>
  <si>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</si>
  <si>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</si>
  <si>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</si>
  <si>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</si>
  <si>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</si>
  <si>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</si>
  <si>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</si>
  <si>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</si>
  <si>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</si>
  <si>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</si>
  <si>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</si>
  <si>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</si>
  <si>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</si>
  <si>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</si>
  <si>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</si>
  <si>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</si>
  <si>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</si>
  <si>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</si>
  <si>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STN33 - NTINDA ROAD</t>
  </si>
  <si>
    <t>Kisaasi</t>
  </si>
  <si>
    <t>Ntinda</t>
  </si>
  <si>
    <t>Steven</t>
  </si>
  <si>
    <t>Ndere Center</t>
  </si>
  <si>
    <t>29.07.19</t>
  </si>
  <si>
    <t>Omaset Jerome&amp; Jonathan</t>
  </si>
  <si>
    <t>Okello Peter</t>
  </si>
  <si>
    <t xml:space="preserve">Ntinda </t>
  </si>
  <si>
    <t>30.07.19</t>
  </si>
  <si>
    <t>Jonathan &amp;Omuset Jerome</t>
  </si>
  <si>
    <t>Jonathan &amp; Omaset Jerome</t>
  </si>
  <si>
    <t>31.07.19</t>
  </si>
  <si>
    <t>01.08.19</t>
  </si>
  <si>
    <t>Denis</t>
  </si>
  <si>
    <t>Faridah &amp; Omaset Jerome</t>
  </si>
  <si>
    <t>02.08.19</t>
  </si>
  <si>
    <t>Omuset Jerome &amp; Faridah</t>
  </si>
  <si>
    <t>03.08.19</t>
  </si>
  <si>
    <t>Ashaba Kuraiba &amp; Faridah</t>
  </si>
  <si>
    <t>Okello peter &amp; Gerald</t>
  </si>
  <si>
    <t>04.08.19</t>
  </si>
  <si>
    <t>Faridah &amp; Ashaba Kuraiba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</si>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</sst>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" fillId="0" borderId="1" xfId="0" applyFont="1" applyFill="1" applyBorder="1"/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Kisaasi-Ntinda'!$AE$9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Kisaasi-Ntinda'!$AE$10:$AE$21</c:f>
              <c:numCache>
                <c:formatCode>0</c:formatCode>
                <c:ptCount val="12"/>
                <c:pt idx="0">
                  <c:v>974</c:v>
                </c:pt>
                <c:pt idx="1">
                  <c:v>558</c:v>
                </c:pt>
                <c:pt idx="2">
                  <c:v>418</c:v>
                </c:pt>
                <c:pt idx="3">
                  <c:v>357</c:v>
                </c:pt>
                <c:pt idx="4">
                  <c:v>317</c:v>
                </c:pt>
                <c:pt idx="5">
                  <c:v>321</c:v>
                </c:pt>
                <c:pt idx="6">
                  <c:v>219</c:v>
                </c:pt>
                <c:pt idx="7">
                  <c:v>316</c:v>
                </c:pt>
                <c:pt idx="8">
                  <c:v>315</c:v>
                </c:pt>
                <c:pt idx="9">
                  <c:v>357</c:v>
                </c:pt>
                <c:pt idx="10">
                  <c:v>335</c:v>
                </c:pt>
                <c:pt idx="11">
                  <c:v>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Kisaasi-Ntinda'!$AF$9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Kisaasi-Ntinda'!$AF$10:$AF$21</c:f>
              <c:numCache>
                <c:formatCode>0</c:formatCode>
                <c:ptCount val="12"/>
                <c:pt idx="0">
                  <c:v>1338</c:v>
                </c:pt>
                <c:pt idx="1">
                  <c:v>1409</c:v>
                </c:pt>
                <c:pt idx="2">
                  <c:v>1035</c:v>
                </c:pt>
                <c:pt idx="3">
                  <c:v>665</c:v>
                </c:pt>
                <c:pt idx="4">
                  <c:v>773</c:v>
                </c:pt>
                <c:pt idx="5">
                  <c:v>687</c:v>
                </c:pt>
                <c:pt idx="6">
                  <c:v>562</c:v>
                </c:pt>
                <c:pt idx="7">
                  <c:v>664</c:v>
                </c:pt>
                <c:pt idx="8">
                  <c:v>683</c:v>
                </c:pt>
                <c:pt idx="9">
                  <c:v>762</c:v>
                </c:pt>
                <c:pt idx="10">
                  <c:v>706</c:v>
                </c:pt>
                <c:pt idx="11">
                  <c:v>642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14752"/>
        <c:axId val="71116288"/>
      </c:lineChart>
      <c:catAx>
        <c:axId val="71114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116288"/>
        <c:crosses val="autoZero"/>
        <c:auto val="1"/>
        <c:lblAlgn val="ctr"/>
        <c:lblOffset val="100"/>
        <c:noMultiLvlLbl val="0"/>
      </c:catAx>
      <c:valAx>
        <c:axId val="71116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1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Kisaasi-Ntinda'!$C$59:$N$59</c:f>
              <c:numCache>
                <c:formatCode>0.0%</c:formatCode>
                <c:ptCount val="12"/>
                <c:pt idx="0">
                  <c:v>0.25528913963328631</c:v>
                </c:pt>
                <c:pt idx="1">
                  <c:v>0.11394317952851098</c:v>
                </c:pt>
                <c:pt idx="2">
                  <c:v>3.012290953052589E-2</c:v>
                </c:pt>
                <c:pt idx="3">
                  <c:v>5.0775740479548657E-2</c:v>
                </c:pt>
                <c:pt idx="4">
                  <c:v>7.0521861777150916E-4</c:v>
                </c:pt>
                <c:pt idx="5">
                  <c:v>0</c:v>
                </c:pt>
                <c:pt idx="6">
                  <c:v>1.1585734434817651E-2</c:v>
                </c:pt>
                <c:pt idx="7">
                  <c:v>7.1529316945395929E-3</c:v>
                </c:pt>
                <c:pt idx="8">
                  <c:v>3.1231110215595406E-3</c:v>
                </c:pt>
                <c:pt idx="9">
                  <c:v>6.2462220431190813E-3</c:v>
                </c:pt>
                <c:pt idx="10">
                  <c:v>0.52105581301632076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Kisaasi-Ntinda'!$C$60:$N$60</c:f>
              <c:numCache>
                <c:formatCode>0.00%</c:formatCode>
                <c:ptCount val="12"/>
                <c:pt idx="0">
                  <c:v>0.53302482120319727</c:v>
                </c:pt>
                <c:pt idx="1">
                  <c:v>0.23790492217080353</c:v>
                </c:pt>
                <c:pt idx="2">
                  <c:v>6.289440471182163E-2</c:v>
                </c:pt>
                <c:pt idx="3">
                  <c:v>0.1060159865376525</c:v>
                </c:pt>
                <c:pt idx="4">
                  <c:v>1.472444257467396E-3</c:v>
                </c:pt>
                <c:pt idx="5">
                  <c:v>0</c:v>
                </c:pt>
                <c:pt idx="6">
                  <c:v>2.4190155658392932E-2</c:v>
                </c:pt>
                <c:pt idx="7">
                  <c:v>1.4934791754312159E-2</c:v>
                </c:pt>
                <c:pt idx="8">
                  <c:v>6.5208245687841818E-3</c:v>
                </c:pt>
                <c:pt idx="9">
                  <c:v>1.3041649137568364E-2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Ntinda-Kisaasi'!$AE$9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Ntinda-Kisaasi'!$AE$10:$AE$21</c:f>
              <c:numCache>
                <c:formatCode>0</c:formatCode>
                <c:ptCount val="12"/>
                <c:pt idx="0">
                  <c:v>385</c:v>
                </c:pt>
                <c:pt idx="1">
                  <c:v>317</c:v>
                </c:pt>
                <c:pt idx="2">
                  <c:v>348</c:v>
                </c:pt>
                <c:pt idx="3">
                  <c:v>325</c:v>
                </c:pt>
                <c:pt idx="4">
                  <c:v>338</c:v>
                </c:pt>
                <c:pt idx="5">
                  <c:v>377</c:v>
                </c:pt>
                <c:pt idx="6">
                  <c:v>345</c:v>
                </c:pt>
                <c:pt idx="7">
                  <c:v>357</c:v>
                </c:pt>
                <c:pt idx="8">
                  <c:v>349</c:v>
                </c:pt>
                <c:pt idx="9">
                  <c:v>521</c:v>
                </c:pt>
                <c:pt idx="10">
                  <c:v>585</c:v>
                </c:pt>
                <c:pt idx="11">
                  <c:v>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Ntinda-Kisaasi'!$AF$9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Ntinda-Kisaasi'!$AF$10:$AF$21</c:f>
              <c:numCache>
                <c:formatCode>0</c:formatCode>
                <c:ptCount val="12"/>
                <c:pt idx="0">
                  <c:v>744</c:v>
                </c:pt>
                <c:pt idx="1">
                  <c:v>931</c:v>
                </c:pt>
                <c:pt idx="2">
                  <c:v>910</c:v>
                </c:pt>
                <c:pt idx="3">
                  <c:v>751</c:v>
                </c:pt>
                <c:pt idx="4">
                  <c:v>636</c:v>
                </c:pt>
                <c:pt idx="5">
                  <c:v>666</c:v>
                </c:pt>
                <c:pt idx="6">
                  <c:v>604</c:v>
                </c:pt>
                <c:pt idx="7">
                  <c:v>551</c:v>
                </c:pt>
                <c:pt idx="8">
                  <c:v>508</c:v>
                </c:pt>
                <c:pt idx="9">
                  <c:v>697</c:v>
                </c:pt>
                <c:pt idx="10">
                  <c:v>812</c:v>
                </c:pt>
                <c:pt idx="11">
                  <c:v>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09120"/>
        <c:axId val="71511040"/>
      </c:lineChart>
      <c:catAx>
        <c:axId val="71509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511040"/>
        <c:crosses val="autoZero"/>
        <c:auto val="1"/>
        <c:lblAlgn val="ctr"/>
        <c:lblOffset val="100"/>
        <c:noMultiLvlLbl val="0"/>
      </c:catAx>
      <c:valAx>
        <c:axId val="71511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50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Ntinda-Kisaasi'!$C$59:$N$59</c:f>
              <c:numCache>
                <c:formatCode>0.0%</c:formatCode>
                <c:ptCount val="12"/>
                <c:pt idx="0">
                  <c:v>0.24260216063879755</c:v>
                </c:pt>
                <c:pt idx="1">
                  <c:v>0.11355096289337717</c:v>
                </c:pt>
                <c:pt idx="2">
                  <c:v>3.8046031000469702E-2</c:v>
                </c:pt>
                <c:pt idx="3">
                  <c:v>0.10380460310004697</c:v>
                </c:pt>
                <c:pt idx="4">
                  <c:v>1.4091122592766556E-3</c:v>
                </c:pt>
                <c:pt idx="5">
                  <c:v>8.2198215124471583E-4</c:v>
                </c:pt>
                <c:pt idx="6">
                  <c:v>2.4776890558947863E-2</c:v>
                </c:pt>
                <c:pt idx="7">
                  <c:v>9.3940817285110383E-3</c:v>
                </c:pt>
                <c:pt idx="8">
                  <c:v>4.4621888210427431E-3</c:v>
                </c:pt>
                <c:pt idx="9">
                  <c:v>1.1390324095819634E-2</c:v>
                </c:pt>
                <c:pt idx="10">
                  <c:v>0.44974166275246596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Ntinda-Kisaasi'!$S$9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Ntinda-Kisaasi'!$S$10:$S$21</c:f>
              <c:numCache>
                <c:formatCode>0</c:formatCode>
                <c:ptCount val="12"/>
                <c:pt idx="0">
                  <c:v>172</c:v>
                </c:pt>
                <c:pt idx="1">
                  <c:v>103</c:v>
                </c:pt>
                <c:pt idx="2">
                  <c:v>135</c:v>
                </c:pt>
                <c:pt idx="3">
                  <c:v>109</c:v>
                </c:pt>
                <c:pt idx="4">
                  <c:v>148</c:v>
                </c:pt>
                <c:pt idx="5">
                  <c:v>155</c:v>
                </c:pt>
                <c:pt idx="6">
                  <c:v>133</c:v>
                </c:pt>
                <c:pt idx="7">
                  <c:v>137</c:v>
                </c:pt>
                <c:pt idx="8">
                  <c:v>154</c:v>
                </c:pt>
                <c:pt idx="9">
                  <c:v>260</c:v>
                </c:pt>
                <c:pt idx="10">
                  <c:v>315</c:v>
                </c:pt>
                <c:pt idx="11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Ntinda-Kisaasi'!$T$9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Ntinda-Kisaasi'!$T$10:$T$21</c:f>
              <c:numCache>
                <c:formatCode>0</c:formatCode>
                <c:ptCount val="12"/>
                <c:pt idx="0">
                  <c:v>75</c:v>
                </c:pt>
                <c:pt idx="1">
                  <c:v>58</c:v>
                </c:pt>
                <c:pt idx="2">
                  <c:v>53</c:v>
                </c:pt>
                <c:pt idx="3">
                  <c:v>61</c:v>
                </c:pt>
                <c:pt idx="4">
                  <c:v>48</c:v>
                </c:pt>
                <c:pt idx="5">
                  <c:v>81</c:v>
                </c:pt>
                <c:pt idx="6">
                  <c:v>75</c:v>
                </c:pt>
                <c:pt idx="7">
                  <c:v>80</c:v>
                </c:pt>
                <c:pt idx="8">
                  <c:v>77</c:v>
                </c:pt>
                <c:pt idx="9">
                  <c:v>128</c:v>
                </c:pt>
                <c:pt idx="10">
                  <c:v>139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Ntinda-Kisaasi'!$U$9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Ntinda-Kisaasi'!$U$10:$U$21</c:f>
              <c:numCache>
                <c:formatCode>0</c:formatCode>
                <c:ptCount val="12"/>
                <c:pt idx="0">
                  <c:v>25</c:v>
                </c:pt>
                <c:pt idx="1">
                  <c:v>8</c:v>
                </c:pt>
                <c:pt idx="2">
                  <c:v>27</c:v>
                </c:pt>
                <c:pt idx="3">
                  <c:v>32</c:v>
                </c:pt>
                <c:pt idx="4">
                  <c:v>21</c:v>
                </c:pt>
                <c:pt idx="5">
                  <c:v>29</c:v>
                </c:pt>
                <c:pt idx="6">
                  <c:v>35</c:v>
                </c:pt>
                <c:pt idx="7">
                  <c:v>28</c:v>
                </c:pt>
                <c:pt idx="8">
                  <c:v>30</c:v>
                </c:pt>
                <c:pt idx="9">
                  <c:v>33</c:v>
                </c:pt>
                <c:pt idx="10">
                  <c:v>36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Ntinda-Kisaasi'!$V$9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Ntinda-Kisaasi'!$V$10:$V$21</c:f>
              <c:numCache>
                <c:formatCode>0</c:formatCode>
                <c:ptCount val="12"/>
                <c:pt idx="0">
                  <c:v>91</c:v>
                </c:pt>
                <c:pt idx="1">
                  <c:v>135</c:v>
                </c:pt>
                <c:pt idx="2">
                  <c:v>102</c:v>
                </c:pt>
                <c:pt idx="3">
                  <c:v>94</c:v>
                </c:pt>
                <c:pt idx="4">
                  <c:v>67</c:v>
                </c:pt>
                <c:pt idx="5">
                  <c:v>57</c:v>
                </c:pt>
                <c:pt idx="6">
                  <c:v>65</c:v>
                </c:pt>
                <c:pt idx="7">
                  <c:v>60</c:v>
                </c:pt>
                <c:pt idx="8">
                  <c:v>51</c:v>
                </c:pt>
                <c:pt idx="9">
                  <c:v>62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Ntinda-Kisaasi'!$W$9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Ntinda-Kisaasi'!$X$9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Ntinda-Kisaasi'!$Y$9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Ntinda-Kisaasi'!$Y$10:$Y$21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16</c:v>
                </c:pt>
                <c:pt idx="3">
                  <c:v>18</c:v>
                </c:pt>
                <c:pt idx="4">
                  <c:v>27</c:v>
                </c:pt>
                <c:pt idx="5">
                  <c:v>32</c:v>
                </c:pt>
                <c:pt idx="6">
                  <c:v>25</c:v>
                </c:pt>
                <c:pt idx="7">
                  <c:v>19</c:v>
                </c:pt>
                <c:pt idx="8">
                  <c:v>12</c:v>
                </c:pt>
                <c:pt idx="9">
                  <c:v>14</c:v>
                </c:pt>
                <c:pt idx="10">
                  <c:v>23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Ntinda-Kisaasi'!$Z$9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Ntinda-Kisaasi'!$Z$10:$Z$21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5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Ntinda-Kisaasi'!$AA$9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Ntinda-Kisaasi'!$AA$10:$AA$21</c:f>
              <c:numCache>
                <c:formatCode>0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Ntinda-Kisaasi'!$AB$9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13</c:v>
                </c:pt>
                <c:pt idx="5">
                  <c:v>12</c:v>
                </c:pt>
                <c:pt idx="6">
                  <c:v>2</c:v>
                </c:pt>
                <c:pt idx="7">
                  <c:v>13</c:v>
                </c:pt>
                <c:pt idx="8">
                  <c:v>13</c:v>
                </c:pt>
                <c:pt idx="9">
                  <c:v>10</c:v>
                </c:pt>
                <c:pt idx="10">
                  <c:v>12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Ntinda-Kisaasi'!$AC$9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Ntinda-Kisaasi'!$AC$10:$AC$21</c:f>
              <c:numCache>
                <c:formatCode>0</c:formatCode>
                <c:ptCount val="12"/>
                <c:pt idx="0">
                  <c:v>359</c:v>
                </c:pt>
                <c:pt idx="1">
                  <c:v>614</c:v>
                </c:pt>
                <c:pt idx="2">
                  <c:v>562</c:v>
                </c:pt>
                <c:pt idx="3">
                  <c:v>426</c:v>
                </c:pt>
                <c:pt idx="4">
                  <c:v>298</c:v>
                </c:pt>
                <c:pt idx="5">
                  <c:v>289</c:v>
                </c:pt>
                <c:pt idx="6">
                  <c:v>259</c:v>
                </c:pt>
                <c:pt idx="7">
                  <c:v>194</c:v>
                </c:pt>
                <c:pt idx="8">
                  <c:v>159</c:v>
                </c:pt>
                <c:pt idx="9">
                  <c:v>176</c:v>
                </c:pt>
                <c:pt idx="10">
                  <c:v>227</c:v>
                </c:pt>
                <c:pt idx="11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Ntinda-Kisaasi'!$AD$9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Ntinda-Kisaasi'!$AD$10:$AD$21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21952"/>
        <c:axId val="71655808"/>
      </c:lineChart>
      <c:catAx>
        <c:axId val="718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655808"/>
        <c:crosses val="autoZero"/>
        <c:auto val="1"/>
        <c:lblAlgn val="ctr"/>
        <c:lblOffset val="100"/>
        <c:noMultiLvlLbl val="0"/>
      </c:catAx>
      <c:valAx>
        <c:axId val="7165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82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Ntinda-Kisaasi'!$C$60:$N$60</c:f>
              <c:numCache>
                <c:formatCode>0.00%</c:formatCode>
                <c:ptCount val="12"/>
                <c:pt idx="0">
                  <c:v>0.44088775074690567</c:v>
                </c:pt>
                <c:pt idx="1">
                  <c:v>0.20635936833119931</c:v>
                </c:pt>
                <c:pt idx="2">
                  <c:v>6.9142125480153652E-2</c:v>
                </c:pt>
                <c:pt idx="3">
                  <c:v>0.18864703371745625</c:v>
                </c:pt>
                <c:pt idx="4">
                  <c:v>2.5608194622279128E-3</c:v>
                </c:pt>
                <c:pt idx="5">
                  <c:v>1.4938113529662826E-3</c:v>
                </c:pt>
                <c:pt idx="6">
                  <c:v>4.5027742210840806E-2</c:v>
                </c:pt>
                <c:pt idx="7">
                  <c:v>1.7072129748186088E-2</c:v>
                </c:pt>
                <c:pt idx="8">
                  <c:v>8.1092616303883903E-3</c:v>
                </c:pt>
                <c:pt idx="9">
                  <c:v>2.0699957319675631E-2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Kisaasi-Ntinda'!$AE$9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Kisaasi-Ntinda'!$AE$10:$AE$21</c:f>
              <c:numCache>
                <c:formatCode>0</c:formatCode>
                <c:ptCount val="12"/>
                <c:pt idx="0">
                  <c:v>653</c:v>
                </c:pt>
                <c:pt idx="1">
                  <c:v>563</c:v>
                </c:pt>
                <c:pt idx="2">
                  <c:v>449</c:v>
                </c:pt>
                <c:pt idx="3">
                  <c:v>336</c:v>
                </c:pt>
                <c:pt idx="4">
                  <c:v>302</c:v>
                </c:pt>
                <c:pt idx="5">
                  <c:v>294</c:v>
                </c:pt>
                <c:pt idx="6">
                  <c:v>239</c:v>
                </c:pt>
                <c:pt idx="7">
                  <c:v>284</c:v>
                </c:pt>
                <c:pt idx="8">
                  <c:v>272</c:v>
                </c:pt>
                <c:pt idx="9">
                  <c:v>333</c:v>
                </c:pt>
                <c:pt idx="10">
                  <c:v>323</c:v>
                </c:pt>
                <c:pt idx="11">
                  <c:v>279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Kisaasi-Ntinda'!$AF$9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Kisaasi-Ntinda'!$AF$10:$AF$21</c:f>
              <c:numCache>
                <c:formatCode>0</c:formatCode>
                <c:ptCount val="12"/>
                <c:pt idx="0">
                  <c:v>1235</c:v>
                </c:pt>
                <c:pt idx="1">
                  <c:v>1283</c:v>
                </c:pt>
                <c:pt idx="2">
                  <c:v>934</c:v>
                </c:pt>
                <c:pt idx="3">
                  <c:v>751</c:v>
                </c:pt>
                <c:pt idx="4">
                  <c:v>642</c:v>
                </c:pt>
                <c:pt idx="5">
                  <c:v>686</c:v>
                </c:pt>
                <c:pt idx="6">
                  <c:v>676</c:v>
                </c:pt>
                <c:pt idx="7">
                  <c:v>625</c:v>
                </c:pt>
                <c:pt idx="8">
                  <c:v>613</c:v>
                </c:pt>
                <c:pt idx="9">
                  <c:v>787</c:v>
                </c:pt>
                <c:pt idx="10">
                  <c:v>739</c:v>
                </c:pt>
                <c:pt idx="11">
                  <c:v>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22816"/>
        <c:axId val="71924736"/>
      </c:lineChart>
      <c:catAx>
        <c:axId val="71922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924736"/>
        <c:crosses val="autoZero"/>
        <c:auto val="1"/>
        <c:lblAlgn val="ctr"/>
        <c:lblOffset val="100"/>
        <c:noMultiLvlLbl val="0"/>
      </c:catAx>
      <c:valAx>
        <c:axId val="71924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92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Kisaasi-Ntinda'!$C$59:$N$59</c:f>
              <c:numCache>
                <c:formatCode>0.0%</c:formatCode>
                <c:ptCount val="12"/>
                <c:pt idx="0">
                  <c:v>0.22874870734229577</c:v>
                </c:pt>
                <c:pt idx="1">
                  <c:v>0.10330920372285418</c:v>
                </c:pt>
                <c:pt idx="2">
                  <c:v>2.8852119958634955E-2</c:v>
                </c:pt>
                <c:pt idx="3">
                  <c:v>4.457083764219235E-2</c:v>
                </c:pt>
                <c:pt idx="4">
                  <c:v>1.1375387797311271E-3</c:v>
                </c:pt>
                <c:pt idx="5">
                  <c:v>0</c:v>
                </c:pt>
                <c:pt idx="6">
                  <c:v>1.6235780765253362E-2</c:v>
                </c:pt>
                <c:pt idx="7">
                  <c:v>1.0858324715615306E-2</c:v>
                </c:pt>
                <c:pt idx="8">
                  <c:v>4.7569803516028953E-3</c:v>
                </c:pt>
                <c:pt idx="9">
                  <c:v>8.790072388831437E-3</c:v>
                </c:pt>
                <c:pt idx="10">
                  <c:v>0.55253360910031024</c:v>
                </c:pt>
                <c:pt idx="11">
                  <c:v>2.0682523267838676E-4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Kisaasi-Ntinda'!$S$9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Kisaasi-Ntinda'!$S$10:$S$21</c:f>
              <c:numCache>
                <c:formatCode>0</c:formatCode>
                <c:ptCount val="12"/>
                <c:pt idx="0">
                  <c:v>331</c:v>
                </c:pt>
                <c:pt idx="1">
                  <c:v>287</c:v>
                </c:pt>
                <c:pt idx="2">
                  <c:v>227</c:v>
                </c:pt>
                <c:pt idx="3">
                  <c:v>161</c:v>
                </c:pt>
                <c:pt idx="4">
                  <c:v>153</c:v>
                </c:pt>
                <c:pt idx="5">
                  <c:v>148</c:v>
                </c:pt>
                <c:pt idx="6">
                  <c:v>123</c:v>
                </c:pt>
                <c:pt idx="7">
                  <c:v>150</c:v>
                </c:pt>
                <c:pt idx="8">
                  <c:v>134</c:v>
                </c:pt>
                <c:pt idx="9">
                  <c:v>179</c:v>
                </c:pt>
                <c:pt idx="10">
                  <c:v>178</c:v>
                </c:pt>
                <c:pt idx="11">
                  <c:v>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Kisaasi-Ntinda'!$T$9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Kisaasi-Ntinda'!$T$10:$T$21</c:f>
              <c:numCache>
                <c:formatCode>0</c:formatCode>
                <c:ptCount val="12"/>
                <c:pt idx="0">
                  <c:v>190</c:v>
                </c:pt>
                <c:pt idx="1">
                  <c:v>157</c:v>
                </c:pt>
                <c:pt idx="2">
                  <c:v>106</c:v>
                </c:pt>
                <c:pt idx="3">
                  <c:v>86</c:v>
                </c:pt>
                <c:pt idx="4">
                  <c:v>67</c:v>
                </c:pt>
                <c:pt idx="5">
                  <c:v>59</c:v>
                </c:pt>
                <c:pt idx="6">
                  <c:v>42</c:v>
                </c:pt>
                <c:pt idx="7">
                  <c:v>50</c:v>
                </c:pt>
                <c:pt idx="8">
                  <c:v>53</c:v>
                </c:pt>
                <c:pt idx="9">
                  <c:v>69</c:v>
                </c:pt>
                <c:pt idx="10">
                  <c:v>66</c:v>
                </c:pt>
                <c:pt idx="11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Kisaasi-Ntinda'!$U$9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Kisaasi-Ntinda'!$U$10:$U$21</c:f>
              <c:numCache>
                <c:formatCode>0</c:formatCode>
                <c:ptCount val="12"/>
                <c:pt idx="0">
                  <c:v>41</c:v>
                </c:pt>
                <c:pt idx="1">
                  <c:v>30</c:v>
                </c:pt>
                <c:pt idx="2">
                  <c:v>26</c:v>
                </c:pt>
                <c:pt idx="3">
                  <c:v>20</c:v>
                </c:pt>
                <c:pt idx="4">
                  <c:v>18</c:v>
                </c:pt>
                <c:pt idx="5">
                  <c:v>19</c:v>
                </c:pt>
                <c:pt idx="6">
                  <c:v>17</c:v>
                </c:pt>
                <c:pt idx="7">
                  <c:v>16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Kisaasi-Ntinda'!$V$9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Kisaasi-Ntinda'!$V$10:$V$21</c:f>
              <c:numCache>
                <c:formatCode>0</c:formatCode>
                <c:ptCount val="12"/>
                <c:pt idx="0">
                  <c:v>55</c:v>
                </c:pt>
                <c:pt idx="1">
                  <c:v>52</c:v>
                </c:pt>
                <c:pt idx="2">
                  <c:v>56</c:v>
                </c:pt>
                <c:pt idx="3">
                  <c:v>29</c:v>
                </c:pt>
                <c:pt idx="4">
                  <c:v>32</c:v>
                </c:pt>
                <c:pt idx="5">
                  <c:v>28</c:v>
                </c:pt>
                <c:pt idx="6">
                  <c:v>28</c:v>
                </c:pt>
                <c:pt idx="7">
                  <c:v>30</c:v>
                </c:pt>
                <c:pt idx="8">
                  <c:v>26</c:v>
                </c:pt>
                <c:pt idx="9">
                  <c:v>31</c:v>
                </c:pt>
                <c:pt idx="10">
                  <c:v>24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Kisaasi-Ntinda'!$W$9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Kisaasi-Ntinda'!$X$9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Kisaasi-Ntinda'!$Y$9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Kisaasi-Ntinda'!$Y$10:$Y$21</c:f>
              <c:numCache>
                <c:formatCode>0</c:formatCode>
                <c:ptCount val="12"/>
                <c:pt idx="0">
                  <c:v>19</c:v>
                </c:pt>
                <c:pt idx="1">
                  <c:v>21</c:v>
                </c:pt>
                <c:pt idx="2">
                  <c:v>22</c:v>
                </c:pt>
                <c:pt idx="3">
                  <c:v>16</c:v>
                </c:pt>
                <c:pt idx="4">
                  <c:v>8</c:v>
                </c:pt>
                <c:pt idx="5">
                  <c:v>12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Kisaasi-Ntinda'!$Z$9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Kisaasi-Ntinda'!$Z$10:$Z$21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7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10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Kisaasi-Ntinda'!$AA$9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Kisaasi-Ntinda'!$AA$10:$AA$21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Kisaasi-Ntinda'!$AB$9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Kisaasi-Ntinda'!$AB$10:$AB$21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7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Kisaasi-Ntinda'!$AC$9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Kisaasi-Ntinda'!$AC$10:$AC$21</c:f>
              <c:numCache>
                <c:formatCode>0</c:formatCode>
                <c:ptCount val="12"/>
                <c:pt idx="0">
                  <c:v>582</c:v>
                </c:pt>
                <c:pt idx="1">
                  <c:v>720</c:v>
                </c:pt>
                <c:pt idx="2">
                  <c:v>485</c:v>
                </c:pt>
                <c:pt idx="3">
                  <c:v>415</c:v>
                </c:pt>
                <c:pt idx="4">
                  <c:v>340</c:v>
                </c:pt>
                <c:pt idx="5">
                  <c:v>392</c:v>
                </c:pt>
                <c:pt idx="6">
                  <c:v>437</c:v>
                </c:pt>
                <c:pt idx="7">
                  <c:v>341</c:v>
                </c:pt>
                <c:pt idx="8">
                  <c:v>341</c:v>
                </c:pt>
                <c:pt idx="9">
                  <c:v>454</c:v>
                </c:pt>
                <c:pt idx="10">
                  <c:v>416</c:v>
                </c:pt>
                <c:pt idx="11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Kisaasi-Ntinda'!$AD$9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08672"/>
        <c:axId val="72118656"/>
      </c:lineChart>
      <c:catAx>
        <c:axId val="721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118656"/>
        <c:crosses val="autoZero"/>
        <c:auto val="1"/>
        <c:lblAlgn val="ctr"/>
        <c:lblOffset val="100"/>
        <c:noMultiLvlLbl val="0"/>
      </c:catAx>
      <c:valAx>
        <c:axId val="721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10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Kisaasi-Ntinda'!$C$60:$N$60</c:f>
              <c:numCache>
                <c:formatCode>0.00%</c:formatCode>
                <c:ptCount val="12"/>
                <c:pt idx="0">
                  <c:v>0.51120868962329558</c:v>
                </c:pt>
                <c:pt idx="1">
                  <c:v>0.23087589553963486</c:v>
                </c:pt>
                <c:pt idx="2">
                  <c:v>6.4478853709267397E-2</c:v>
                </c:pt>
                <c:pt idx="3">
                  <c:v>9.9607118095678293E-2</c:v>
                </c:pt>
                <c:pt idx="4">
                  <c:v>2.5421770279639472E-3</c:v>
                </c:pt>
                <c:pt idx="5">
                  <c:v>0</c:v>
                </c:pt>
                <c:pt idx="6">
                  <c:v>3.6283799399121797E-2</c:v>
                </c:pt>
                <c:pt idx="7">
                  <c:v>2.4266235266928587E-2</c:v>
                </c:pt>
                <c:pt idx="8">
                  <c:v>1.0630922116940143E-2</c:v>
                </c:pt>
                <c:pt idx="9">
                  <c:v>1.9644095216085046E-2</c:v>
                </c:pt>
                <c:pt idx="11">
                  <c:v>4.6221400508435407E-4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Ntinda-Kisaasi'!$AE$9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Ntinda-Kisaasi'!$AE$10:$AE$21</c:f>
              <c:numCache>
                <c:formatCode>0</c:formatCode>
                <c:ptCount val="12"/>
                <c:pt idx="0">
                  <c:v>284</c:v>
                </c:pt>
                <c:pt idx="1">
                  <c:v>249</c:v>
                </c:pt>
                <c:pt idx="2">
                  <c:v>369</c:v>
                </c:pt>
                <c:pt idx="3">
                  <c:v>358</c:v>
                </c:pt>
                <c:pt idx="4">
                  <c:v>379</c:v>
                </c:pt>
                <c:pt idx="5">
                  <c:v>386</c:v>
                </c:pt>
                <c:pt idx="6">
                  <c:v>321</c:v>
                </c:pt>
                <c:pt idx="7">
                  <c:v>321</c:v>
                </c:pt>
                <c:pt idx="8">
                  <c:v>309</c:v>
                </c:pt>
                <c:pt idx="9">
                  <c:v>492</c:v>
                </c:pt>
                <c:pt idx="10">
                  <c:v>591</c:v>
                </c:pt>
                <c:pt idx="11">
                  <c:v>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Ntinda-Kisaasi'!$AF$9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Ntinda-Kisaasi'!$AF$10:$AF$21</c:f>
              <c:numCache>
                <c:formatCode>0</c:formatCode>
                <c:ptCount val="12"/>
                <c:pt idx="0">
                  <c:v>539</c:v>
                </c:pt>
                <c:pt idx="1">
                  <c:v>519</c:v>
                </c:pt>
                <c:pt idx="2">
                  <c:v>720</c:v>
                </c:pt>
                <c:pt idx="3">
                  <c:v>657</c:v>
                </c:pt>
                <c:pt idx="4">
                  <c:v>667</c:v>
                </c:pt>
                <c:pt idx="5">
                  <c:v>689</c:v>
                </c:pt>
                <c:pt idx="6">
                  <c:v>641</c:v>
                </c:pt>
                <c:pt idx="7">
                  <c:v>635</c:v>
                </c:pt>
                <c:pt idx="8">
                  <c:v>542</c:v>
                </c:pt>
                <c:pt idx="9">
                  <c:v>851</c:v>
                </c:pt>
                <c:pt idx="10">
                  <c:v>1118</c:v>
                </c:pt>
                <c:pt idx="11">
                  <c:v>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38912"/>
        <c:axId val="72440832"/>
      </c:lineChart>
      <c:catAx>
        <c:axId val="72438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440832"/>
        <c:crosses val="autoZero"/>
        <c:auto val="1"/>
        <c:lblAlgn val="ctr"/>
        <c:lblOffset val="100"/>
        <c:noMultiLvlLbl val="0"/>
      </c:catAx>
      <c:valAx>
        <c:axId val="72440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43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Ntinda-Kisaasi'!$C$59:$N$59</c:f>
              <c:numCache>
                <c:formatCode>0.0%</c:formatCode>
                <c:ptCount val="12"/>
                <c:pt idx="0">
                  <c:v>0.2349952741020794</c:v>
                </c:pt>
                <c:pt idx="1">
                  <c:v>0.11176748582230624</c:v>
                </c:pt>
                <c:pt idx="2">
                  <c:v>4.5368620037807186E-2</c:v>
                </c:pt>
                <c:pt idx="3">
                  <c:v>0.10137051039697542</c:v>
                </c:pt>
                <c:pt idx="4">
                  <c:v>2.8355387523629491E-3</c:v>
                </c:pt>
                <c:pt idx="5">
                  <c:v>0</c:v>
                </c:pt>
                <c:pt idx="6">
                  <c:v>2.1975425330812856E-2</c:v>
                </c:pt>
                <c:pt idx="7">
                  <c:v>1.193289224952741E-2</c:v>
                </c:pt>
                <c:pt idx="8">
                  <c:v>2.3629489603024575E-3</c:v>
                </c:pt>
                <c:pt idx="9">
                  <c:v>1.2523629489603024E-2</c:v>
                </c:pt>
                <c:pt idx="10">
                  <c:v>0.45486767485822305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Ntinda-Kisaasi'!$S$9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Ntinda-Kisaasi'!$S$10:$S$21</c:f>
              <c:numCache>
                <c:formatCode>0</c:formatCode>
                <c:ptCount val="12"/>
                <c:pt idx="0">
                  <c:v>107</c:v>
                </c:pt>
                <c:pt idx="1">
                  <c:v>94</c:v>
                </c:pt>
                <c:pt idx="2">
                  <c:v>141</c:v>
                </c:pt>
                <c:pt idx="3">
                  <c:v>131</c:v>
                </c:pt>
                <c:pt idx="4">
                  <c:v>143</c:v>
                </c:pt>
                <c:pt idx="5">
                  <c:v>144</c:v>
                </c:pt>
                <c:pt idx="6">
                  <c:v>138</c:v>
                </c:pt>
                <c:pt idx="7">
                  <c:v>138</c:v>
                </c:pt>
                <c:pt idx="8">
                  <c:v>119</c:v>
                </c:pt>
                <c:pt idx="9">
                  <c:v>222</c:v>
                </c:pt>
                <c:pt idx="10">
                  <c:v>338</c:v>
                </c:pt>
                <c:pt idx="11">
                  <c:v>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Ntinda-Kisaasi'!$T$9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Ntinda-Kisaasi'!$T$10:$T$21</c:f>
              <c:numCache>
                <c:formatCode>0</c:formatCode>
                <c:ptCount val="12"/>
                <c:pt idx="0">
                  <c:v>57</c:v>
                </c:pt>
                <c:pt idx="1">
                  <c:v>38</c:v>
                </c:pt>
                <c:pt idx="2">
                  <c:v>59</c:v>
                </c:pt>
                <c:pt idx="3">
                  <c:v>58</c:v>
                </c:pt>
                <c:pt idx="4">
                  <c:v>60</c:v>
                </c:pt>
                <c:pt idx="5">
                  <c:v>72</c:v>
                </c:pt>
                <c:pt idx="6">
                  <c:v>51</c:v>
                </c:pt>
                <c:pt idx="7">
                  <c:v>71</c:v>
                </c:pt>
                <c:pt idx="8">
                  <c:v>65</c:v>
                </c:pt>
                <c:pt idx="9">
                  <c:v>137</c:v>
                </c:pt>
                <c:pt idx="10">
                  <c:v>133</c:v>
                </c:pt>
                <c:pt idx="11">
                  <c:v>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Ntinda-Kisaasi'!$U$9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Ntinda-Kisaasi'!$U$10:$U$21</c:f>
              <c:numCache>
                <c:formatCode>0</c:formatCode>
                <c:ptCount val="12"/>
                <c:pt idx="0">
                  <c:v>25</c:v>
                </c:pt>
                <c:pt idx="1">
                  <c:v>14</c:v>
                </c:pt>
                <c:pt idx="2">
                  <c:v>32</c:v>
                </c:pt>
                <c:pt idx="3">
                  <c:v>38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18</c:v>
                </c:pt>
                <c:pt idx="8">
                  <c:v>32</c:v>
                </c:pt>
                <c:pt idx="9">
                  <c:v>33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Ntinda-Kisaasi'!$V$9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Ntinda-Kisaasi'!$V$10:$V$21</c:f>
              <c:numCache>
                <c:formatCode>0</c:formatCode>
                <c:ptCount val="12"/>
                <c:pt idx="0">
                  <c:v>73</c:v>
                </c:pt>
                <c:pt idx="1">
                  <c:v>86</c:v>
                </c:pt>
                <c:pt idx="2">
                  <c:v>111</c:v>
                </c:pt>
                <c:pt idx="3">
                  <c:v>92</c:v>
                </c:pt>
                <c:pt idx="4">
                  <c:v>77</c:v>
                </c:pt>
                <c:pt idx="5">
                  <c:v>80</c:v>
                </c:pt>
                <c:pt idx="6">
                  <c:v>58</c:v>
                </c:pt>
                <c:pt idx="7">
                  <c:v>56</c:v>
                </c:pt>
                <c:pt idx="8">
                  <c:v>60</c:v>
                </c:pt>
                <c:pt idx="9">
                  <c:v>50</c:v>
                </c:pt>
                <c:pt idx="10">
                  <c:v>48</c:v>
                </c:pt>
                <c:pt idx="1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Ntinda-Kisaasi'!$W$9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Ntinda-Kisaasi'!$X$9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Ntinda-Kisaasi'!$Y$9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Ntinda-Kisaasi'!$Y$10:$Y$21</c:f>
              <c:numCache>
                <c:formatCode>0</c:formatCode>
                <c:ptCount val="12"/>
                <c:pt idx="0">
                  <c:v>16</c:v>
                </c:pt>
                <c:pt idx="1">
                  <c:v>7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7</c:v>
                </c:pt>
                <c:pt idx="9">
                  <c:v>26</c:v>
                </c:pt>
                <c:pt idx="10">
                  <c:v>8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Ntinda-Kisaasi'!$Z$9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Ntinda-Kisaasi'!$Z$10:$Z$21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14</c:v>
                </c:pt>
                <c:pt idx="6">
                  <c:v>17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Ntinda-Kisaasi'!$AA$9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Ntinda-Kisaasi'!$AB$9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Ntinda-Kisaasi'!$AB$10:$AB$21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11</c:v>
                </c:pt>
                <c:pt idx="4">
                  <c:v>18</c:v>
                </c:pt>
                <c:pt idx="5">
                  <c:v>16</c:v>
                </c:pt>
                <c:pt idx="6">
                  <c:v>8</c:v>
                </c:pt>
                <c:pt idx="7">
                  <c:v>7</c:v>
                </c:pt>
                <c:pt idx="8">
                  <c:v>14</c:v>
                </c:pt>
                <c:pt idx="9">
                  <c:v>7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Ntinda-Kisaasi'!$AC$9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Ntinda-Kisaasi'!$AC$10:$AC$21</c:f>
              <c:numCache>
                <c:formatCode>0</c:formatCode>
                <c:ptCount val="12"/>
                <c:pt idx="0">
                  <c:v>255</c:v>
                </c:pt>
                <c:pt idx="1">
                  <c:v>270</c:v>
                </c:pt>
                <c:pt idx="2">
                  <c:v>351</c:v>
                </c:pt>
                <c:pt idx="3">
                  <c:v>299</c:v>
                </c:pt>
                <c:pt idx="4">
                  <c:v>288</c:v>
                </c:pt>
                <c:pt idx="5">
                  <c:v>303</c:v>
                </c:pt>
                <c:pt idx="6">
                  <c:v>320</c:v>
                </c:pt>
                <c:pt idx="7">
                  <c:v>314</c:v>
                </c:pt>
                <c:pt idx="8">
                  <c:v>233</c:v>
                </c:pt>
                <c:pt idx="9">
                  <c:v>359</c:v>
                </c:pt>
                <c:pt idx="10">
                  <c:v>527</c:v>
                </c:pt>
                <c:pt idx="11">
                  <c:v>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Ntinda-Kisaasi'!$AD$9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67424"/>
        <c:axId val="72581504"/>
      </c:lineChart>
      <c:catAx>
        <c:axId val="7256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581504"/>
        <c:crosses val="autoZero"/>
        <c:auto val="1"/>
        <c:lblAlgn val="ctr"/>
        <c:lblOffset val="100"/>
        <c:noMultiLvlLbl val="0"/>
      </c:catAx>
      <c:valAx>
        <c:axId val="725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5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Ntinda-Kisaasi'!$C$60:$N$60</c:f>
              <c:numCache>
                <c:formatCode>0.00%</c:formatCode>
                <c:ptCount val="12"/>
                <c:pt idx="0">
                  <c:v>0.43107932379713915</c:v>
                </c:pt>
                <c:pt idx="1">
                  <c:v>0.20502817511920243</c:v>
                </c:pt>
                <c:pt idx="2">
                  <c:v>8.3224967490247076E-2</c:v>
                </c:pt>
                <c:pt idx="3">
                  <c:v>0.18595578673602081</c:v>
                </c:pt>
                <c:pt idx="4">
                  <c:v>5.2015604681404422E-3</c:v>
                </c:pt>
                <c:pt idx="5">
                  <c:v>0</c:v>
                </c:pt>
                <c:pt idx="6">
                  <c:v>4.0312093628088429E-2</c:v>
                </c:pt>
                <c:pt idx="7">
                  <c:v>2.1889900303424362E-2</c:v>
                </c:pt>
                <c:pt idx="8">
                  <c:v>4.3346337234503683E-3</c:v>
                </c:pt>
                <c:pt idx="9">
                  <c:v>2.2973558734286952E-2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Kisaasi-Ntinda'!$AE$9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Kisaasi-Ntinda'!$AE$10:$AE$21</c:f>
              <c:numCache>
                <c:formatCode>0</c:formatCode>
                <c:ptCount val="12"/>
                <c:pt idx="0">
                  <c:v>871</c:v>
                </c:pt>
                <c:pt idx="1">
                  <c:v>593</c:v>
                </c:pt>
                <c:pt idx="2">
                  <c:v>470</c:v>
                </c:pt>
                <c:pt idx="3">
                  <c:v>297</c:v>
                </c:pt>
                <c:pt idx="4">
                  <c:v>254</c:v>
                </c:pt>
                <c:pt idx="5">
                  <c:v>297</c:v>
                </c:pt>
                <c:pt idx="6">
                  <c:v>297</c:v>
                </c:pt>
                <c:pt idx="7">
                  <c:v>320</c:v>
                </c:pt>
                <c:pt idx="8">
                  <c:v>336</c:v>
                </c:pt>
                <c:pt idx="9">
                  <c:v>373</c:v>
                </c:pt>
                <c:pt idx="10">
                  <c:v>395</c:v>
                </c:pt>
                <c:pt idx="11">
                  <c:v>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Kisaasi-Ntinda'!$AF$9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Kisaasi-Ntinda'!$AF$10:$AF$21</c:f>
              <c:numCache>
                <c:formatCode>0</c:formatCode>
                <c:ptCount val="12"/>
                <c:pt idx="0">
                  <c:v>1487</c:v>
                </c:pt>
                <c:pt idx="1">
                  <c:v>1213</c:v>
                </c:pt>
                <c:pt idx="2">
                  <c:v>1042</c:v>
                </c:pt>
                <c:pt idx="3">
                  <c:v>665</c:v>
                </c:pt>
                <c:pt idx="4">
                  <c:v>595</c:v>
                </c:pt>
                <c:pt idx="5">
                  <c:v>662</c:v>
                </c:pt>
                <c:pt idx="6">
                  <c:v>690</c:v>
                </c:pt>
                <c:pt idx="7">
                  <c:v>700</c:v>
                </c:pt>
                <c:pt idx="8">
                  <c:v>679</c:v>
                </c:pt>
                <c:pt idx="9">
                  <c:v>803</c:v>
                </c:pt>
                <c:pt idx="10">
                  <c:v>843</c:v>
                </c:pt>
                <c:pt idx="11">
                  <c:v>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10880"/>
        <c:axId val="116812800"/>
      </c:lineChart>
      <c:catAx>
        <c:axId val="116810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12800"/>
        <c:crosses val="autoZero"/>
        <c:auto val="1"/>
        <c:lblAlgn val="ctr"/>
        <c:lblOffset val="100"/>
        <c:noMultiLvlLbl val="0"/>
      </c:catAx>
      <c:valAx>
        <c:axId val="116812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Kisaasi-Ntinda'!$C$59:$N$59</c:f>
              <c:numCache>
                <c:formatCode>0.0%</c:formatCode>
                <c:ptCount val="12"/>
                <c:pt idx="0">
                  <c:v>0.2515435172276439</c:v>
                </c:pt>
                <c:pt idx="1">
                  <c:v>0.10625373431587333</c:v>
                </c:pt>
                <c:pt idx="2">
                  <c:v>2.8380800637323244E-2</c:v>
                </c:pt>
                <c:pt idx="3">
                  <c:v>4.8695478988249351E-2</c:v>
                </c:pt>
                <c:pt idx="4">
                  <c:v>1.8920533758215495E-3</c:v>
                </c:pt>
                <c:pt idx="5">
                  <c:v>0</c:v>
                </c:pt>
                <c:pt idx="6">
                  <c:v>1.9318860784704243E-2</c:v>
                </c:pt>
                <c:pt idx="7">
                  <c:v>9.9581756622186823E-3</c:v>
                </c:pt>
                <c:pt idx="8">
                  <c:v>3.186616211909978E-3</c:v>
                </c:pt>
                <c:pt idx="9">
                  <c:v>6.671977693686517E-3</c:v>
                </c:pt>
                <c:pt idx="10">
                  <c:v>0.52389962158932479</c:v>
                </c:pt>
                <c:pt idx="11">
                  <c:v>1.9916351324437363E-4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Kisaasi-Ntinda'!$S$9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Kisaasi-Ntinda'!$S$10:$S$21</c:f>
              <c:numCache>
                <c:formatCode>0</c:formatCode>
                <c:ptCount val="12"/>
                <c:pt idx="0">
                  <c:v>459</c:v>
                </c:pt>
                <c:pt idx="1">
                  <c:v>330</c:v>
                </c:pt>
                <c:pt idx="2">
                  <c:v>234</c:v>
                </c:pt>
                <c:pt idx="3">
                  <c:v>165</c:v>
                </c:pt>
                <c:pt idx="4">
                  <c:v>129</c:v>
                </c:pt>
                <c:pt idx="5">
                  <c:v>156</c:v>
                </c:pt>
                <c:pt idx="6">
                  <c:v>130</c:v>
                </c:pt>
                <c:pt idx="7">
                  <c:v>169</c:v>
                </c:pt>
                <c:pt idx="8">
                  <c:v>175</c:v>
                </c:pt>
                <c:pt idx="9">
                  <c:v>203</c:v>
                </c:pt>
                <c:pt idx="10">
                  <c:v>225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Kisaasi-Ntinda'!$T$9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Kisaasi-Ntinda'!$T$10:$T$21</c:f>
              <c:numCache>
                <c:formatCode>0</c:formatCode>
                <c:ptCount val="12"/>
                <c:pt idx="0">
                  <c:v>256</c:v>
                </c:pt>
                <c:pt idx="1">
                  <c:v>135</c:v>
                </c:pt>
                <c:pt idx="2">
                  <c:v>130</c:v>
                </c:pt>
                <c:pt idx="3">
                  <c:v>58</c:v>
                </c:pt>
                <c:pt idx="4">
                  <c:v>45</c:v>
                </c:pt>
                <c:pt idx="5">
                  <c:v>64</c:v>
                </c:pt>
                <c:pt idx="6">
                  <c:v>65</c:v>
                </c:pt>
                <c:pt idx="7">
                  <c:v>59</c:v>
                </c:pt>
                <c:pt idx="8">
                  <c:v>58</c:v>
                </c:pt>
                <c:pt idx="9">
                  <c:v>76</c:v>
                </c:pt>
                <c:pt idx="10">
                  <c:v>69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Kisaasi-Ntinda'!$U$9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Kisaasi-Ntinda'!$U$10:$U$21</c:f>
              <c:numCache>
                <c:formatCode>0</c:formatCode>
                <c:ptCount val="12"/>
                <c:pt idx="0">
                  <c:v>59</c:v>
                </c:pt>
                <c:pt idx="1">
                  <c:v>32</c:v>
                </c:pt>
                <c:pt idx="2">
                  <c:v>21</c:v>
                </c:pt>
                <c:pt idx="3">
                  <c:v>14</c:v>
                </c:pt>
                <c:pt idx="4">
                  <c:v>19</c:v>
                </c:pt>
                <c:pt idx="5">
                  <c:v>15</c:v>
                </c:pt>
                <c:pt idx="6">
                  <c:v>29</c:v>
                </c:pt>
                <c:pt idx="7">
                  <c:v>19</c:v>
                </c:pt>
                <c:pt idx="8">
                  <c:v>29</c:v>
                </c:pt>
                <c:pt idx="9">
                  <c:v>16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Kisaasi-Ntinda'!$V$9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Kisaasi-Ntinda'!$V$10:$V$21</c:f>
              <c:numCache>
                <c:formatCode>0</c:formatCode>
                <c:ptCount val="12"/>
                <c:pt idx="0">
                  <c:v>70</c:v>
                </c:pt>
                <c:pt idx="1">
                  <c:v>63</c:v>
                </c:pt>
                <c:pt idx="2">
                  <c:v>45</c:v>
                </c:pt>
                <c:pt idx="3">
                  <c:v>31</c:v>
                </c:pt>
                <c:pt idx="4">
                  <c:v>27</c:v>
                </c:pt>
                <c:pt idx="5">
                  <c:v>30</c:v>
                </c:pt>
                <c:pt idx="6">
                  <c:v>36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48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Kisaasi-Ntinda'!$W$9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Kisaasi-Ntinda'!$X$9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Kisaasi-Ntinda'!$Y$9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Kisaasi-Ntinda'!$Y$10:$Y$21</c:f>
              <c:numCache>
                <c:formatCode>0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21</c:v>
                </c:pt>
                <c:pt idx="3">
                  <c:v>18</c:v>
                </c:pt>
                <c:pt idx="4">
                  <c:v>16</c:v>
                </c:pt>
                <c:pt idx="5">
                  <c:v>13</c:v>
                </c:pt>
                <c:pt idx="6">
                  <c:v>13</c:v>
                </c:pt>
                <c:pt idx="7">
                  <c:v>16</c:v>
                </c:pt>
                <c:pt idx="8">
                  <c:v>20</c:v>
                </c:pt>
                <c:pt idx="9">
                  <c:v>17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Kisaasi-Ntinda'!$Z$9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Kisaasi-Ntinda'!$Z$10:$Z$21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14</c:v>
                </c:pt>
                <c:pt idx="3">
                  <c:v>7</c:v>
                </c:pt>
                <c:pt idx="4">
                  <c:v>11</c:v>
                </c:pt>
                <c:pt idx="5">
                  <c:v>11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Kisaasi-Ntinda'!$AA$9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Kisaasi-Ntinda'!$AB$9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Kisaasi-Ntinda'!$AB$10:$AB$21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10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Kisaasi-Ntinda'!$AC$9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Kisaasi-Ntinda'!$AC$10:$AC$21</c:f>
              <c:numCache>
                <c:formatCode>0</c:formatCode>
                <c:ptCount val="12"/>
                <c:pt idx="0">
                  <c:v>616</c:v>
                </c:pt>
                <c:pt idx="1">
                  <c:v>620</c:v>
                </c:pt>
                <c:pt idx="2">
                  <c:v>572</c:v>
                </c:pt>
                <c:pt idx="3">
                  <c:v>368</c:v>
                </c:pt>
                <c:pt idx="4">
                  <c:v>341</c:v>
                </c:pt>
                <c:pt idx="5">
                  <c:v>365</c:v>
                </c:pt>
                <c:pt idx="6">
                  <c:v>393</c:v>
                </c:pt>
                <c:pt idx="7">
                  <c:v>380</c:v>
                </c:pt>
                <c:pt idx="8">
                  <c:v>343</c:v>
                </c:pt>
                <c:pt idx="9">
                  <c:v>430</c:v>
                </c:pt>
                <c:pt idx="10">
                  <c:v>448</c:v>
                </c:pt>
                <c:pt idx="11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Kisaasi-Ntinda'!$AD$9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Kisaasi-Ntinda'!$AD$10:$AD$21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13120"/>
        <c:axId val="117031296"/>
      </c:lineChart>
      <c:catAx>
        <c:axId val="1170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31296"/>
        <c:crosses val="autoZero"/>
        <c:auto val="1"/>
        <c:lblAlgn val="ctr"/>
        <c:lblOffset val="100"/>
        <c:noMultiLvlLbl val="0"/>
      </c:catAx>
      <c:valAx>
        <c:axId val="11703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Kisaasi-Ntinda'!$C$60:$N$60</c:f>
              <c:numCache>
                <c:formatCode>0.00%</c:formatCode>
                <c:ptCount val="12"/>
                <c:pt idx="0">
                  <c:v>0.52834135118176118</c:v>
                </c:pt>
                <c:pt idx="1">
                  <c:v>0.22317506797741057</c:v>
                </c:pt>
                <c:pt idx="2">
                  <c:v>5.9610960050198704E-2</c:v>
                </c:pt>
                <c:pt idx="3">
                  <c:v>0.10227985777034093</c:v>
                </c:pt>
                <c:pt idx="4">
                  <c:v>3.9740640033465802E-3</c:v>
                </c:pt>
                <c:pt idx="5">
                  <c:v>0</c:v>
                </c:pt>
                <c:pt idx="6">
                  <c:v>4.0577285086801924E-2</c:v>
                </c:pt>
                <c:pt idx="7">
                  <c:v>2.0916126333403055E-2</c:v>
                </c:pt>
                <c:pt idx="8">
                  <c:v>6.6931604266889776E-3</c:v>
                </c:pt>
                <c:pt idx="9">
                  <c:v>1.4013804643380047E-2</c:v>
                </c:pt>
                <c:pt idx="11">
                  <c:v>4.183225266680611E-4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Ntinda-Kisaasi'!$AE$9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Ntinda-Kisaasi'!$AE$10:$AE$21</c:f>
              <c:numCache>
                <c:formatCode>0</c:formatCode>
                <c:ptCount val="12"/>
                <c:pt idx="0">
                  <c:v>326</c:v>
                </c:pt>
                <c:pt idx="1">
                  <c:v>333</c:v>
                </c:pt>
                <c:pt idx="2">
                  <c:v>295</c:v>
                </c:pt>
                <c:pt idx="3">
                  <c:v>337</c:v>
                </c:pt>
                <c:pt idx="4">
                  <c:v>331</c:v>
                </c:pt>
                <c:pt idx="5">
                  <c:v>397</c:v>
                </c:pt>
                <c:pt idx="6">
                  <c:v>307</c:v>
                </c:pt>
                <c:pt idx="7">
                  <c:v>365</c:v>
                </c:pt>
                <c:pt idx="8">
                  <c:v>366</c:v>
                </c:pt>
                <c:pt idx="9">
                  <c:v>482</c:v>
                </c:pt>
                <c:pt idx="10">
                  <c:v>602</c:v>
                </c:pt>
                <c:pt idx="11">
                  <c:v>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Ntinda-Kisaasi'!$AF$9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Ntinda-Kisaasi'!$AF$10:$AF$21</c:f>
              <c:numCache>
                <c:formatCode>0</c:formatCode>
                <c:ptCount val="12"/>
                <c:pt idx="0">
                  <c:v>628</c:v>
                </c:pt>
                <c:pt idx="1">
                  <c:v>831</c:v>
                </c:pt>
                <c:pt idx="2">
                  <c:v>639</c:v>
                </c:pt>
                <c:pt idx="3">
                  <c:v>604</c:v>
                </c:pt>
                <c:pt idx="4">
                  <c:v>629</c:v>
                </c:pt>
                <c:pt idx="5">
                  <c:v>662</c:v>
                </c:pt>
                <c:pt idx="6">
                  <c:v>505</c:v>
                </c:pt>
                <c:pt idx="7">
                  <c:v>566</c:v>
                </c:pt>
                <c:pt idx="8">
                  <c:v>641</c:v>
                </c:pt>
                <c:pt idx="9">
                  <c:v>735</c:v>
                </c:pt>
                <c:pt idx="10">
                  <c:v>927</c:v>
                </c:pt>
                <c:pt idx="11">
                  <c:v>1001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54240"/>
        <c:axId val="116956160"/>
      </c:lineChart>
      <c:catAx>
        <c:axId val="116954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956160"/>
        <c:crosses val="autoZero"/>
        <c:auto val="1"/>
        <c:lblAlgn val="ctr"/>
        <c:lblOffset val="100"/>
        <c:noMultiLvlLbl val="0"/>
      </c:catAx>
      <c:valAx>
        <c:axId val="116956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95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Ntinda-Kisaasi'!$C$59:$N$59</c:f>
              <c:numCache>
                <c:formatCode>0.0%</c:formatCode>
                <c:ptCount val="12"/>
                <c:pt idx="0">
                  <c:v>0.25203154875717015</c:v>
                </c:pt>
                <c:pt idx="1">
                  <c:v>0.10540152963671127</c:v>
                </c:pt>
                <c:pt idx="2">
                  <c:v>4.2065009560229447E-2</c:v>
                </c:pt>
                <c:pt idx="3">
                  <c:v>0.11675430210325048</c:v>
                </c:pt>
                <c:pt idx="4">
                  <c:v>1.6730401529636712E-3</c:v>
                </c:pt>
                <c:pt idx="5">
                  <c:v>1.1950286806883365E-4</c:v>
                </c:pt>
                <c:pt idx="6">
                  <c:v>2.4617590822179732E-2</c:v>
                </c:pt>
                <c:pt idx="7">
                  <c:v>8.2456978967495216E-3</c:v>
                </c:pt>
                <c:pt idx="8">
                  <c:v>3.5850860420650094E-3</c:v>
                </c:pt>
                <c:pt idx="9">
                  <c:v>1.24282982791587E-2</c:v>
                </c:pt>
                <c:pt idx="10">
                  <c:v>0.43295889101338431</c:v>
                </c:pt>
                <c:pt idx="11">
                  <c:v>1.1950286806883365E-4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Ntinda-Kisaasi'!$C$60:$N$60</c:f>
              <c:numCache>
                <c:formatCode>0.00%</c:formatCode>
                <c:ptCount val="12"/>
                <c:pt idx="0">
                  <c:v>0.44446786090621709</c:v>
                </c:pt>
                <c:pt idx="1">
                  <c:v>0.18587987355110644</c:v>
                </c:pt>
                <c:pt idx="2">
                  <c:v>7.4183350895679664E-2</c:v>
                </c:pt>
                <c:pt idx="3">
                  <c:v>0.20590094836670178</c:v>
                </c:pt>
                <c:pt idx="4">
                  <c:v>2.9504741833508955E-3</c:v>
                </c:pt>
                <c:pt idx="5">
                  <c:v>2.1074815595363542E-4</c:v>
                </c:pt>
                <c:pt idx="6">
                  <c:v>4.3414120126448894E-2</c:v>
                </c:pt>
                <c:pt idx="7">
                  <c:v>1.4541622760800843E-2</c:v>
                </c:pt>
                <c:pt idx="8">
                  <c:v>6.3224446786090622E-3</c:v>
                </c:pt>
                <c:pt idx="9">
                  <c:v>2.1917808219178082E-2</c:v>
                </c:pt>
                <c:pt idx="11">
                  <c:v>2.1074815595363542E-4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Kisaasi-Ntinda-24h'!$AE$9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Kisaasi-Ntinda-24h'!$R$10:$R$33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Kisaasi-Ntinda-24h'!$AE$10:$AE$33</c:f>
              <c:numCache>
                <c:formatCode>0</c:formatCode>
                <c:ptCount val="24"/>
                <c:pt idx="0">
                  <c:v>779</c:v>
                </c:pt>
                <c:pt idx="1">
                  <c:v>486</c:v>
                </c:pt>
                <c:pt idx="2">
                  <c:v>263</c:v>
                </c:pt>
                <c:pt idx="3">
                  <c:v>271</c:v>
                </c:pt>
                <c:pt idx="4">
                  <c:v>257</c:v>
                </c:pt>
                <c:pt idx="5">
                  <c:v>329</c:v>
                </c:pt>
                <c:pt idx="6">
                  <c:v>226</c:v>
                </c:pt>
                <c:pt idx="7">
                  <c:v>251</c:v>
                </c:pt>
                <c:pt idx="8">
                  <c:v>316</c:v>
                </c:pt>
                <c:pt idx="9">
                  <c:v>323</c:v>
                </c:pt>
                <c:pt idx="10">
                  <c:v>362</c:v>
                </c:pt>
                <c:pt idx="11">
                  <c:v>340</c:v>
                </c:pt>
                <c:pt idx="12">
                  <c:v>198</c:v>
                </c:pt>
                <c:pt idx="13">
                  <c:v>218</c:v>
                </c:pt>
                <c:pt idx="14">
                  <c:v>160</c:v>
                </c:pt>
                <c:pt idx="15">
                  <c:v>115</c:v>
                </c:pt>
                <c:pt idx="16">
                  <c:v>105</c:v>
                </c:pt>
                <c:pt idx="17">
                  <c:v>40</c:v>
                </c:pt>
                <c:pt idx="18">
                  <c:v>38</c:v>
                </c:pt>
                <c:pt idx="19">
                  <c:v>24</c:v>
                </c:pt>
                <c:pt idx="20">
                  <c:v>21</c:v>
                </c:pt>
                <c:pt idx="21">
                  <c:v>31</c:v>
                </c:pt>
                <c:pt idx="22">
                  <c:v>80</c:v>
                </c:pt>
                <c:pt idx="23">
                  <c:v>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Kisaasi-Ntinda-24h'!$AF$9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Kisaasi-Ntinda-24h'!$R$10:$R$33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Kisaasi-Ntinda-24h'!$AF$10:$AF$33</c:f>
              <c:numCache>
                <c:formatCode>0</c:formatCode>
                <c:ptCount val="24"/>
                <c:pt idx="0">
                  <c:v>1324</c:v>
                </c:pt>
                <c:pt idx="1">
                  <c:v>1078</c:v>
                </c:pt>
                <c:pt idx="2">
                  <c:v>818</c:v>
                </c:pt>
                <c:pt idx="3">
                  <c:v>691</c:v>
                </c:pt>
                <c:pt idx="4">
                  <c:v>637</c:v>
                </c:pt>
                <c:pt idx="5">
                  <c:v>753</c:v>
                </c:pt>
                <c:pt idx="6">
                  <c:v>534</c:v>
                </c:pt>
                <c:pt idx="7">
                  <c:v>616</c:v>
                </c:pt>
                <c:pt idx="8">
                  <c:v>658</c:v>
                </c:pt>
                <c:pt idx="9">
                  <c:v>711</c:v>
                </c:pt>
                <c:pt idx="10">
                  <c:v>918</c:v>
                </c:pt>
                <c:pt idx="11">
                  <c:v>797</c:v>
                </c:pt>
                <c:pt idx="12">
                  <c:v>582</c:v>
                </c:pt>
                <c:pt idx="13">
                  <c:v>686</c:v>
                </c:pt>
                <c:pt idx="14">
                  <c:v>508</c:v>
                </c:pt>
                <c:pt idx="15">
                  <c:v>440</c:v>
                </c:pt>
                <c:pt idx="16">
                  <c:v>338</c:v>
                </c:pt>
                <c:pt idx="17">
                  <c:v>208</c:v>
                </c:pt>
                <c:pt idx="18">
                  <c:v>114</c:v>
                </c:pt>
                <c:pt idx="19">
                  <c:v>102</c:v>
                </c:pt>
                <c:pt idx="20">
                  <c:v>78</c:v>
                </c:pt>
                <c:pt idx="21">
                  <c:v>65</c:v>
                </c:pt>
                <c:pt idx="22">
                  <c:v>140</c:v>
                </c:pt>
                <c:pt idx="23">
                  <c:v>592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56256"/>
        <c:axId val="117478912"/>
      </c:lineChart>
      <c:catAx>
        <c:axId val="1174562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478912"/>
        <c:crosses val="autoZero"/>
        <c:auto val="1"/>
        <c:lblAlgn val="ctr"/>
        <c:lblOffset val="100"/>
        <c:noMultiLvlLbl val="0"/>
      </c:catAx>
      <c:valAx>
        <c:axId val="117478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4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Kisaasi-Ntinda-24h'!$C$9:$N$9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Kisaasi-Ntinda-24h'!$C$107:$N$107</c:f>
              <c:numCache>
                <c:formatCode>0.0%</c:formatCode>
                <c:ptCount val="12"/>
                <c:pt idx="0">
                  <c:v>0.18120705109052884</c:v>
                </c:pt>
                <c:pt idx="1">
                  <c:v>0.12070510905288317</c:v>
                </c:pt>
                <c:pt idx="2">
                  <c:v>3.1595458619659393E-2</c:v>
                </c:pt>
                <c:pt idx="3">
                  <c:v>4.608604720645354E-2</c:v>
                </c:pt>
                <c:pt idx="4">
                  <c:v>1.568568867642665E-3</c:v>
                </c:pt>
                <c:pt idx="5">
                  <c:v>7.4693755602031666E-5</c:v>
                </c:pt>
                <c:pt idx="6">
                  <c:v>1.8225276366895728E-2</c:v>
                </c:pt>
                <c:pt idx="7">
                  <c:v>1.0457125784284434E-2</c:v>
                </c:pt>
                <c:pt idx="8">
                  <c:v>4.5563190917239319E-3</c:v>
                </c:pt>
                <c:pt idx="9">
                  <c:v>9.2620256946519264E-3</c:v>
                </c:pt>
                <c:pt idx="10">
                  <c:v>0.57618763071407231</c:v>
                </c:pt>
                <c:pt idx="11">
                  <c:v>7.4693755602031666E-5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Kisaasi-Ntinda-24h'!$C$9:$N$9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Kisaasi-Ntinda-24h'!$C$108:$N$108</c:f>
              <c:numCache>
                <c:formatCode>0.00%</c:formatCode>
                <c:ptCount val="12"/>
                <c:pt idx="0">
                  <c:v>0.42756432851603809</c:v>
                </c:pt>
                <c:pt idx="1">
                  <c:v>0.28480789566443426</c:v>
                </c:pt>
                <c:pt idx="2">
                  <c:v>7.4550581600281982E-2</c:v>
                </c:pt>
                <c:pt idx="3">
                  <c:v>0.10874162848078957</c:v>
                </c:pt>
                <c:pt idx="4">
                  <c:v>3.7010927035600986E-3</c:v>
                </c:pt>
                <c:pt idx="5">
                  <c:v>1.7624250969333803E-4</c:v>
                </c:pt>
                <c:pt idx="6">
                  <c:v>4.300317236517448E-2</c:v>
                </c:pt>
                <c:pt idx="7">
                  <c:v>2.4673951357067323E-2</c:v>
                </c:pt>
                <c:pt idx="8">
                  <c:v>1.075079309129362E-2</c:v>
                </c:pt>
                <c:pt idx="9">
                  <c:v>2.1854071201973916E-2</c:v>
                </c:pt>
                <c:pt idx="11">
                  <c:v>1.7624250969333803E-4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Ntinda-Kisaasi-24h'!$AE$9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Ntinda-Kisaasi-24h'!$R$10:$R$33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Ntinda-Kisaasi-24h'!$AE$10:$AE$33</c:f>
              <c:numCache>
                <c:formatCode>0</c:formatCode>
                <c:ptCount val="24"/>
                <c:pt idx="0">
                  <c:v>316</c:v>
                </c:pt>
                <c:pt idx="1">
                  <c:v>301</c:v>
                </c:pt>
                <c:pt idx="2">
                  <c:v>345</c:v>
                </c:pt>
                <c:pt idx="3">
                  <c:v>330</c:v>
                </c:pt>
                <c:pt idx="4">
                  <c:v>359</c:v>
                </c:pt>
                <c:pt idx="5">
                  <c:v>380</c:v>
                </c:pt>
                <c:pt idx="6">
                  <c:v>374</c:v>
                </c:pt>
                <c:pt idx="7">
                  <c:v>324</c:v>
                </c:pt>
                <c:pt idx="8">
                  <c:v>346</c:v>
                </c:pt>
                <c:pt idx="9">
                  <c:v>485</c:v>
                </c:pt>
                <c:pt idx="10">
                  <c:v>664</c:v>
                </c:pt>
                <c:pt idx="11">
                  <c:v>545</c:v>
                </c:pt>
                <c:pt idx="12">
                  <c:v>431</c:v>
                </c:pt>
                <c:pt idx="13">
                  <c:v>450</c:v>
                </c:pt>
                <c:pt idx="14">
                  <c:v>243</c:v>
                </c:pt>
                <c:pt idx="15">
                  <c:v>229</c:v>
                </c:pt>
                <c:pt idx="16">
                  <c:v>222</c:v>
                </c:pt>
                <c:pt idx="17">
                  <c:v>115</c:v>
                </c:pt>
                <c:pt idx="18">
                  <c:v>60</c:v>
                </c:pt>
                <c:pt idx="19">
                  <c:v>44</c:v>
                </c:pt>
                <c:pt idx="20">
                  <c:v>33</c:v>
                </c:pt>
                <c:pt idx="21">
                  <c:v>74</c:v>
                </c:pt>
                <c:pt idx="22">
                  <c:v>82</c:v>
                </c:pt>
                <c:pt idx="23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Ntinda-Kisaasi-24h'!$AF$9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Ntinda-Kisaasi-24h'!$R$10:$R$33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Ntinda-Kisaasi-24h'!$AF$10:$AF$33</c:f>
              <c:numCache>
                <c:formatCode>0</c:formatCode>
                <c:ptCount val="24"/>
                <c:pt idx="0">
                  <c:v>665</c:v>
                </c:pt>
                <c:pt idx="1">
                  <c:v>825</c:v>
                </c:pt>
                <c:pt idx="2">
                  <c:v>831</c:v>
                </c:pt>
                <c:pt idx="3">
                  <c:v>876</c:v>
                </c:pt>
                <c:pt idx="4">
                  <c:v>774</c:v>
                </c:pt>
                <c:pt idx="5">
                  <c:v>897</c:v>
                </c:pt>
                <c:pt idx="6">
                  <c:v>871</c:v>
                </c:pt>
                <c:pt idx="7">
                  <c:v>789</c:v>
                </c:pt>
                <c:pt idx="8">
                  <c:v>751</c:v>
                </c:pt>
                <c:pt idx="9">
                  <c:v>980</c:v>
                </c:pt>
                <c:pt idx="10">
                  <c:v>1056</c:v>
                </c:pt>
                <c:pt idx="11">
                  <c:v>800</c:v>
                </c:pt>
                <c:pt idx="12">
                  <c:v>671</c:v>
                </c:pt>
                <c:pt idx="13">
                  <c:v>739</c:v>
                </c:pt>
                <c:pt idx="14">
                  <c:v>380</c:v>
                </c:pt>
                <c:pt idx="15">
                  <c:v>417</c:v>
                </c:pt>
                <c:pt idx="16">
                  <c:v>339</c:v>
                </c:pt>
                <c:pt idx="17">
                  <c:v>195</c:v>
                </c:pt>
                <c:pt idx="18">
                  <c:v>89</c:v>
                </c:pt>
                <c:pt idx="19">
                  <c:v>72</c:v>
                </c:pt>
                <c:pt idx="20">
                  <c:v>55</c:v>
                </c:pt>
                <c:pt idx="21">
                  <c:v>100</c:v>
                </c:pt>
                <c:pt idx="22">
                  <c:v>135</c:v>
                </c:pt>
                <c:pt idx="23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3328"/>
        <c:axId val="125365248"/>
      </c:lineChart>
      <c:catAx>
        <c:axId val="125363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365248"/>
        <c:crosses val="autoZero"/>
        <c:auto val="1"/>
        <c:lblAlgn val="ctr"/>
        <c:lblOffset val="100"/>
        <c:noMultiLvlLbl val="0"/>
      </c:catAx>
      <c:valAx>
        <c:axId val="125365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36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Ntinda-Kisaasi-24h'!$C$9:$N$9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Ntinda-Kisaasi-24h'!$C$107:$N$107</c:f>
              <c:numCache>
                <c:formatCode>0.0%</c:formatCode>
                <c:ptCount val="12"/>
                <c:pt idx="0">
                  <c:v>0.24790253155322098</c:v>
                </c:pt>
                <c:pt idx="1">
                  <c:v>0.10104326256657183</c:v>
                </c:pt>
                <c:pt idx="2">
                  <c:v>3.7353177208725469E-2</c:v>
                </c:pt>
                <c:pt idx="3">
                  <c:v>8.710877653753557E-2</c:v>
                </c:pt>
                <c:pt idx="4">
                  <c:v>1.6050193331874224E-3</c:v>
                </c:pt>
                <c:pt idx="5">
                  <c:v>0</c:v>
                </c:pt>
                <c:pt idx="6">
                  <c:v>1.8238856058947983E-2</c:v>
                </c:pt>
                <c:pt idx="7">
                  <c:v>6.3471219085138976E-3</c:v>
                </c:pt>
                <c:pt idx="8">
                  <c:v>3.2829940906106371E-3</c:v>
                </c:pt>
                <c:pt idx="9">
                  <c:v>7.5873641205223604E-3</c:v>
                </c:pt>
                <c:pt idx="10">
                  <c:v>0.48953089662216387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Ntinda-Kisaasi-24h'!$C$9:$N$9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Ntinda-Kisaasi-24h'!$C$108:$N$108</c:f>
              <c:numCache>
                <c:formatCode>0.00%</c:formatCode>
                <c:ptCount val="12"/>
                <c:pt idx="0">
                  <c:v>0.48563670144347576</c:v>
                </c:pt>
                <c:pt idx="1">
                  <c:v>0.19794197513219952</c:v>
                </c:pt>
                <c:pt idx="2">
                  <c:v>7.3174217521795051E-2</c:v>
                </c:pt>
                <c:pt idx="3">
                  <c:v>0.17064456195512362</c:v>
                </c:pt>
                <c:pt idx="4">
                  <c:v>3.1442046591396312E-3</c:v>
                </c:pt>
                <c:pt idx="5">
                  <c:v>0</c:v>
                </c:pt>
                <c:pt idx="6">
                  <c:v>3.5729598399313993E-2</c:v>
                </c:pt>
                <c:pt idx="7">
                  <c:v>1.2433900242961269E-2</c:v>
                </c:pt>
                <c:pt idx="8">
                  <c:v>6.4313277118765184E-3</c:v>
                </c:pt>
                <c:pt idx="9">
                  <c:v>1.4863512934114621E-2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Kisaasi-Ntinda'!$AE$9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Kisaasi-Ntinda'!$AE$10:$AE$21</c:f>
              <c:numCache>
                <c:formatCode>0</c:formatCode>
                <c:ptCount val="12"/>
                <c:pt idx="0">
                  <c:v>698</c:v>
                </c:pt>
                <c:pt idx="1">
                  <c:v>528</c:v>
                </c:pt>
                <c:pt idx="2">
                  <c:v>377</c:v>
                </c:pt>
                <c:pt idx="3">
                  <c:v>305</c:v>
                </c:pt>
                <c:pt idx="4">
                  <c:v>248</c:v>
                </c:pt>
                <c:pt idx="5">
                  <c:v>380</c:v>
                </c:pt>
                <c:pt idx="6">
                  <c:v>270</c:v>
                </c:pt>
                <c:pt idx="7">
                  <c:v>297</c:v>
                </c:pt>
                <c:pt idx="8">
                  <c:v>354</c:v>
                </c:pt>
                <c:pt idx="9">
                  <c:v>449</c:v>
                </c:pt>
                <c:pt idx="10">
                  <c:v>417</c:v>
                </c:pt>
                <c:pt idx="11">
                  <c:v>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Kisaasi-Ntinda'!$AF$9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Kisaasi-Ntinda'!$AF$10:$AF$21</c:f>
              <c:numCache>
                <c:formatCode>0</c:formatCode>
                <c:ptCount val="12"/>
                <c:pt idx="0">
                  <c:v>1123</c:v>
                </c:pt>
                <c:pt idx="1">
                  <c:v>978</c:v>
                </c:pt>
                <c:pt idx="2">
                  <c:v>752</c:v>
                </c:pt>
                <c:pt idx="3">
                  <c:v>670</c:v>
                </c:pt>
                <c:pt idx="4">
                  <c:v>662</c:v>
                </c:pt>
                <c:pt idx="5">
                  <c:v>820</c:v>
                </c:pt>
                <c:pt idx="6">
                  <c:v>615</c:v>
                </c:pt>
                <c:pt idx="7">
                  <c:v>623</c:v>
                </c:pt>
                <c:pt idx="8">
                  <c:v>754</c:v>
                </c:pt>
                <c:pt idx="9">
                  <c:v>806</c:v>
                </c:pt>
                <c:pt idx="10">
                  <c:v>777</c:v>
                </c:pt>
                <c:pt idx="11">
                  <c:v>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72992"/>
        <c:axId val="125603840"/>
      </c:lineChart>
      <c:catAx>
        <c:axId val="125572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603840"/>
        <c:crosses val="autoZero"/>
        <c:auto val="1"/>
        <c:lblAlgn val="ctr"/>
        <c:lblOffset val="100"/>
        <c:noMultiLvlLbl val="0"/>
      </c:catAx>
      <c:valAx>
        <c:axId val="125603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57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Kisaasi-Ntinda'!$C$59:$N$59</c:f>
              <c:numCache>
                <c:formatCode>0.0%</c:formatCode>
                <c:ptCount val="12"/>
                <c:pt idx="0">
                  <c:v>0.16999675990927746</c:v>
                </c:pt>
                <c:pt idx="1">
                  <c:v>0.15185225186305218</c:v>
                </c:pt>
                <c:pt idx="2">
                  <c:v>6.6205853763905392E-2</c:v>
                </c:pt>
                <c:pt idx="3">
                  <c:v>7.2902041257155201E-2</c:v>
                </c:pt>
                <c:pt idx="4">
                  <c:v>1.1880332649314182E-3</c:v>
                </c:pt>
                <c:pt idx="5">
                  <c:v>0</c:v>
                </c:pt>
                <c:pt idx="6">
                  <c:v>2.1060589696511502E-2</c:v>
                </c:pt>
                <c:pt idx="7">
                  <c:v>9.9362782157900419E-3</c:v>
                </c:pt>
                <c:pt idx="8">
                  <c:v>3.2400907225402309E-3</c:v>
                </c:pt>
                <c:pt idx="9">
                  <c:v>6.5881844691651368E-3</c:v>
                </c:pt>
                <c:pt idx="10">
                  <c:v>0.4969219138135868</c:v>
                </c:pt>
                <c:pt idx="11">
                  <c:v>1.0800302408467438E-4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Kisaasi-Ntinda'!$S$9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Kisaasi-Ntinda'!$S$10:$S$21</c:f>
              <c:numCache>
                <c:formatCode>0</c:formatCode>
                <c:ptCount val="12"/>
                <c:pt idx="0">
                  <c:v>256</c:v>
                </c:pt>
                <c:pt idx="1">
                  <c:v>180</c:v>
                </c:pt>
                <c:pt idx="2">
                  <c:v>137</c:v>
                </c:pt>
                <c:pt idx="3">
                  <c:v>96</c:v>
                </c:pt>
                <c:pt idx="4">
                  <c:v>101</c:v>
                </c:pt>
                <c:pt idx="5">
                  <c:v>100</c:v>
                </c:pt>
                <c:pt idx="6">
                  <c:v>97</c:v>
                </c:pt>
                <c:pt idx="7">
                  <c:v>93</c:v>
                </c:pt>
                <c:pt idx="8">
                  <c:v>137</c:v>
                </c:pt>
                <c:pt idx="9">
                  <c:v>150</c:v>
                </c:pt>
                <c:pt idx="10">
                  <c:v>120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Kisaasi-Ntinda'!$T$9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Kisaasi-Ntinda'!$T$10:$T$21</c:f>
              <c:numCache>
                <c:formatCode>0</c:formatCode>
                <c:ptCount val="12"/>
                <c:pt idx="0">
                  <c:v>265</c:v>
                </c:pt>
                <c:pt idx="1">
                  <c:v>153</c:v>
                </c:pt>
                <c:pt idx="2">
                  <c:v>137</c:v>
                </c:pt>
                <c:pt idx="3">
                  <c:v>78</c:v>
                </c:pt>
                <c:pt idx="4">
                  <c:v>50</c:v>
                </c:pt>
                <c:pt idx="5">
                  <c:v>107</c:v>
                </c:pt>
                <c:pt idx="6">
                  <c:v>81</c:v>
                </c:pt>
                <c:pt idx="7">
                  <c:v>72</c:v>
                </c:pt>
                <c:pt idx="8">
                  <c:v>111</c:v>
                </c:pt>
                <c:pt idx="9">
                  <c:v>133</c:v>
                </c:pt>
                <c:pt idx="10">
                  <c:v>123</c:v>
                </c:pt>
                <c:pt idx="11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Kisaasi-Ntinda'!$U$9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Kisaasi-Ntinda'!$U$10:$U$21</c:f>
              <c:numCache>
                <c:formatCode>0</c:formatCode>
                <c:ptCount val="12"/>
                <c:pt idx="0">
                  <c:v>79</c:v>
                </c:pt>
                <c:pt idx="1">
                  <c:v>80</c:v>
                </c:pt>
                <c:pt idx="2">
                  <c:v>35</c:v>
                </c:pt>
                <c:pt idx="3">
                  <c:v>41</c:v>
                </c:pt>
                <c:pt idx="4">
                  <c:v>26</c:v>
                </c:pt>
                <c:pt idx="5">
                  <c:v>60</c:v>
                </c:pt>
                <c:pt idx="6">
                  <c:v>35</c:v>
                </c:pt>
                <c:pt idx="7">
                  <c:v>51</c:v>
                </c:pt>
                <c:pt idx="8">
                  <c:v>46</c:v>
                </c:pt>
                <c:pt idx="9">
                  <c:v>66</c:v>
                </c:pt>
                <c:pt idx="10">
                  <c:v>55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Kisaasi-Ntinda'!$V$9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Kisaasi-Ntinda'!$V$10:$V$21</c:f>
              <c:numCache>
                <c:formatCode>0</c:formatCode>
                <c:ptCount val="12"/>
                <c:pt idx="0">
                  <c:v>63</c:v>
                </c:pt>
                <c:pt idx="1">
                  <c:v>76</c:v>
                </c:pt>
                <c:pt idx="2">
                  <c:v>51</c:v>
                </c:pt>
                <c:pt idx="3">
                  <c:v>52</c:v>
                </c:pt>
                <c:pt idx="4">
                  <c:v>38</c:v>
                </c:pt>
                <c:pt idx="5">
                  <c:v>65</c:v>
                </c:pt>
                <c:pt idx="6">
                  <c:v>29</c:v>
                </c:pt>
                <c:pt idx="7">
                  <c:v>48</c:v>
                </c:pt>
                <c:pt idx="8">
                  <c:v>33</c:v>
                </c:pt>
                <c:pt idx="9">
                  <c:v>66</c:v>
                </c:pt>
                <c:pt idx="10">
                  <c:v>82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Kisaasi-Ntinda'!$W$9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Kisaasi-Ntinda'!$X$9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Kisaasi-Ntinda'!$Y$9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Kisaasi-Ntinda'!$Y$10:$Y$21</c:f>
              <c:numCache>
                <c:formatCode>0</c:formatCode>
                <c:ptCount val="12"/>
                <c:pt idx="0">
                  <c:v>17</c:v>
                </c:pt>
                <c:pt idx="1">
                  <c:v>24</c:v>
                </c:pt>
                <c:pt idx="2">
                  <c:v>7</c:v>
                </c:pt>
                <c:pt idx="3">
                  <c:v>24</c:v>
                </c:pt>
                <c:pt idx="4">
                  <c:v>15</c:v>
                </c:pt>
                <c:pt idx="5">
                  <c:v>24</c:v>
                </c:pt>
                <c:pt idx="6">
                  <c:v>11</c:v>
                </c:pt>
                <c:pt idx="7">
                  <c:v>21</c:v>
                </c:pt>
                <c:pt idx="8">
                  <c:v>15</c:v>
                </c:pt>
                <c:pt idx="9">
                  <c:v>16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Kisaasi-Ntinda'!$Z$9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Kisaasi-Ntinda'!$Z$10:$Z$21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Kisaasi-Ntinda'!$AA$9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Kisaasi-Ntinda'!$AB$9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Kisaasi-Ntinda'!$AB$10:$AB$21</c:f>
              <c:numCache>
                <c:formatCode>0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Kisaasi-Ntinda'!$AC$9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Kisaasi-Ntinda'!$AC$10:$AC$21</c:f>
              <c:numCache>
                <c:formatCode>0</c:formatCode>
                <c:ptCount val="12"/>
                <c:pt idx="0">
                  <c:v>425</c:v>
                </c:pt>
                <c:pt idx="1">
                  <c:v>450</c:v>
                </c:pt>
                <c:pt idx="2">
                  <c:v>375</c:v>
                </c:pt>
                <c:pt idx="3">
                  <c:v>365</c:v>
                </c:pt>
                <c:pt idx="4">
                  <c:v>414</c:v>
                </c:pt>
                <c:pt idx="5">
                  <c:v>440</c:v>
                </c:pt>
                <c:pt idx="6">
                  <c:v>345</c:v>
                </c:pt>
                <c:pt idx="7">
                  <c:v>326</c:v>
                </c:pt>
                <c:pt idx="8">
                  <c:v>400</c:v>
                </c:pt>
                <c:pt idx="9">
                  <c:v>357</c:v>
                </c:pt>
                <c:pt idx="10">
                  <c:v>360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Kisaasi-Ntinda'!$AD$9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87520"/>
        <c:axId val="125805696"/>
      </c:lineChart>
      <c:catAx>
        <c:axId val="12578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805696"/>
        <c:crosses val="autoZero"/>
        <c:auto val="1"/>
        <c:lblAlgn val="ctr"/>
        <c:lblOffset val="100"/>
        <c:noMultiLvlLbl val="0"/>
      </c:catAx>
      <c:valAx>
        <c:axId val="1258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7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Kisaasi-Ntinda'!$C$60:$N$60</c:f>
              <c:numCache>
                <c:formatCode>0.00%</c:formatCode>
                <c:ptCount val="12"/>
                <c:pt idx="0">
                  <c:v>0.33791326749677975</c:v>
                </c:pt>
                <c:pt idx="1">
                  <c:v>0.3018462859596393</c:v>
                </c:pt>
                <c:pt idx="2">
                  <c:v>0.13160154572778016</c:v>
                </c:pt>
                <c:pt idx="3">
                  <c:v>0.14491197939029626</c:v>
                </c:pt>
                <c:pt idx="4">
                  <c:v>2.3615285530270503E-3</c:v>
                </c:pt>
                <c:pt idx="5">
                  <c:v>0</c:v>
                </c:pt>
                <c:pt idx="6">
                  <c:v>4.1863460712752251E-2</c:v>
                </c:pt>
                <c:pt idx="7">
                  <c:v>1.9750966079862601E-2</c:v>
                </c:pt>
                <c:pt idx="8">
                  <c:v>6.4405324173465008E-3</c:v>
                </c:pt>
                <c:pt idx="9">
                  <c:v>1.3095749248604552E-2</c:v>
                </c:pt>
                <c:pt idx="11">
                  <c:v>2.1468441391155003E-4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Ntinda-Kisaasi'!$AE$9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Ntinda-Kisaasi'!$AE$10:$AE$21</c:f>
              <c:numCache>
                <c:formatCode>0</c:formatCode>
                <c:ptCount val="12"/>
                <c:pt idx="0">
                  <c:v>326</c:v>
                </c:pt>
                <c:pt idx="1">
                  <c:v>319</c:v>
                </c:pt>
                <c:pt idx="2">
                  <c:v>312</c:v>
                </c:pt>
                <c:pt idx="3">
                  <c:v>351</c:v>
                </c:pt>
                <c:pt idx="4">
                  <c:v>360</c:v>
                </c:pt>
                <c:pt idx="5">
                  <c:v>333</c:v>
                </c:pt>
                <c:pt idx="6">
                  <c:v>316</c:v>
                </c:pt>
                <c:pt idx="7">
                  <c:v>362</c:v>
                </c:pt>
                <c:pt idx="8">
                  <c:v>345</c:v>
                </c:pt>
                <c:pt idx="9">
                  <c:v>373</c:v>
                </c:pt>
                <c:pt idx="10">
                  <c:v>413</c:v>
                </c:pt>
                <c:pt idx="11">
                  <c:v>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Ntinda-Kisaasi'!$AF$9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Ntinda-Kisaasi'!$AF$10:$AF$21</c:f>
              <c:numCache>
                <c:formatCode>0</c:formatCode>
                <c:ptCount val="12"/>
                <c:pt idx="0">
                  <c:v>781</c:v>
                </c:pt>
                <c:pt idx="1">
                  <c:v>794</c:v>
                </c:pt>
                <c:pt idx="2">
                  <c:v>737</c:v>
                </c:pt>
                <c:pt idx="3">
                  <c:v>734</c:v>
                </c:pt>
                <c:pt idx="4">
                  <c:v>625</c:v>
                </c:pt>
                <c:pt idx="5">
                  <c:v>553</c:v>
                </c:pt>
                <c:pt idx="6">
                  <c:v>611</c:v>
                </c:pt>
                <c:pt idx="7">
                  <c:v>713</c:v>
                </c:pt>
                <c:pt idx="8">
                  <c:v>705</c:v>
                </c:pt>
                <c:pt idx="9">
                  <c:v>717</c:v>
                </c:pt>
                <c:pt idx="10">
                  <c:v>688</c:v>
                </c:pt>
                <c:pt idx="11">
                  <c:v>688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33440"/>
        <c:axId val="125956096"/>
      </c:lineChart>
      <c:catAx>
        <c:axId val="125933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956096"/>
        <c:crosses val="autoZero"/>
        <c:auto val="1"/>
        <c:lblAlgn val="ctr"/>
        <c:lblOffset val="100"/>
        <c:noMultiLvlLbl val="0"/>
      </c:catAx>
      <c:valAx>
        <c:axId val="125956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9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Ntinda-Kisaasi'!$C$59:$N$59</c:f>
              <c:numCache>
                <c:formatCode>0.0%</c:formatCode>
                <c:ptCount val="12"/>
                <c:pt idx="0">
                  <c:v>0.21651090342679127</c:v>
                </c:pt>
                <c:pt idx="1">
                  <c:v>0.10376228133237479</c:v>
                </c:pt>
                <c:pt idx="2">
                  <c:v>3.7023723939611793E-2</c:v>
                </c:pt>
                <c:pt idx="3">
                  <c:v>0.1022046489336209</c:v>
                </c:pt>
                <c:pt idx="4">
                  <c:v>1.7972681524083393E-3</c:v>
                </c:pt>
                <c:pt idx="5">
                  <c:v>1.1981787682722263E-4</c:v>
                </c:pt>
                <c:pt idx="6">
                  <c:v>2.2525760843517852E-2</c:v>
                </c:pt>
                <c:pt idx="7">
                  <c:v>9.1061586388689192E-3</c:v>
                </c:pt>
                <c:pt idx="8">
                  <c:v>3.9539899352983464E-3</c:v>
                </c:pt>
                <c:pt idx="9">
                  <c:v>8.147615624251139E-3</c:v>
                </c:pt>
                <c:pt idx="10">
                  <c:v>0.49460819554277496</c:v>
                </c:pt>
                <c:pt idx="11">
                  <c:v>2.3963575365444525E-4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Ntinda-Kisaasi'!$S$9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Ntinda-Kisaasi'!$S$10:$S$21</c:f>
              <c:numCache>
                <c:formatCode>0</c:formatCode>
                <c:ptCount val="12"/>
                <c:pt idx="0">
                  <c:v>150</c:v>
                </c:pt>
                <c:pt idx="1">
                  <c:v>108</c:v>
                </c:pt>
                <c:pt idx="2">
                  <c:v>116</c:v>
                </c:pt>
                <c:pt idx="3">
                  <c:v>148</c:v>
                </c:pt>
                <c:pt idx="4">
                  <c:v>142</c:v>
                </c:pt>
                <c:pt idx="5">
                  <c:v>137</c:v>
                </c:pt>
                <c:pt idx="6">
                  <c:v>90</c:v>
                </c:pt>
                <c:pt idx="7">
                  <c:v>142</c:v>
                </c:pt>
                <c:pt idx="8">
                  <c:v>149</c:v>
                </c:pt>
                <c:pt idx="9">
                  <c:v>205</c:v>
                </c:pt>
                <c:pt idx="10">
                  <c:v>212</c:v>
                </c:pt>
                <c:pt idx="11">
                  <c:v>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Ntinda-Kisaasi'!$T$9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Ntinda-Kisaasi'!$T$10:$T$21</c:f>
              <c:numCache>
                <c:formatCode>0</c:formatCode>
                <c:ptCount val="12"/>
                <c:pt idx="0">
                  <c:v>51</c:v>
                </c:pt>
                <c:pt idx="1">
                  <c:v>51</c:v>
                </c:pt>
                <c:pt idx="2">
                  <c:v>49</c:v>
                </c:pt>
                <c:pt idx="3">
                  <c:v>89</c:v>
                </c:pt>
                <c:pt idx="4">
                  <c:v>81</c:v>
                </c:pt>
                <c:pt idx="5">
                  <c:v>74</c:v>
                </c:pt>
                <c:pt idx="6">
                  <c:v>75</c:v>
                </c:pt>
                <c:pt idx="7">
                  <c:v>83</c:v>
                </c:pt>
                <c:pt idx="8">
                  <c:v>70</c:v>
                </c:pt>
                <c:pt idx="9">
                  <c:v>51</c:v>
                </c:pt>
                <c:pt idx="10">
                  <c:v>101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Ntinda-Kisaasi'!$U$9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Ntinda-Kisaasi'!$U$10:$U$21</c:f>
              <c:numCache>
                <c:formatCode>0</c:formatCode>
                <c:ptCount val="12"/>
                <c:pt idx="0">
                  <c:v>20</c:v>
                </c:pt>
                <c:pt idx="1">
                  <c:v>22</c:v>
                </c:pt>
                <c:pt idx="2">
                  <c:v>33</c:v>
                </c:pt>
                <c:pt idx="3">
                  <c:v>25</c:v>
                </c:pt>
                <c:pt idx="4">
                  <c:v>23</c:v>
                </c:pt>
                <c:pt idx="5">
                  <c:v>19</c:v>
                </c:pt>
                <c:pt idx="6">
                  <c:v>35</c:v>
                </c:pt>
                <c:pt idx="7">
                  <c:v>21</c:v>
                </c:pt>
                <c:pt idx="8">
                  <c:v>31</c:v>
                </c:pt>
                <c:pt idx="9">
                  <c:v>34</c:v>
                </c:pt>
                <c:pt idx="10">
                  <c:v>26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Ntinda-Kisaasi'!$V$9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Ntinda-Kisaasi'!$V$10:$V$21</c:f>
              <c:numCache>
                <c:formatCode>0</c:formatCode>
                <c:ptCount val="12"/>
                <c:pt idx="0">
                  <c:v>88</c:v>
                </c:pt>
                <c:pt idx="1">
                  <c:v>119</c:v>
                </c:pt>
                <c:pt idx="2">
                  <c:v>85</c:v>
                </c:pt>
                <c:pt idx="3">
                  <c:v>65</c:v>
                </c:pt>
                <c:pt idx="4">
                  <c:v>68</c:v>
                </c:pt>
                <c:pt idx="5">
                  <c:v>70</c:v>
                </c:pt>
                <c:pt idx="6">
                  <c:v>74</c:v>
                </c:pt>
                <c:pt idx="7">
                  <c:v>69</c:v>
                </c:pt>
                <c:pt idx="8">
                  <c:v>56</c:v>
                </c:pt>
                <c:pt idx="9">
                  <c:v>58</c:v>
                </c:pt>
                <c:pt idx="10">
                  <c:v>49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Ntinda-Kisaasi'!$W$9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Ntinda-Kisaasi'!$X$9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Ntinda-Kisaasi'!$Y$9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Ntinda-Kisaasi'!$Y$10:$Y$21</c:f>
              <c:numCache>
                <c:formatCode>0</c:formatCode>
                <c:ptCount val="12"/>
                <c:pt idx="0">
                  <c:v>7</c:v>
                </c:pt>
                <c:pt idx="1">
                  <c:v>14</c:v>
                </c:pt>
                <c:pt idx="2">
                  <c:v>20</c:v>
                </c:pt>
                <c:pt idx="3">
                  <c:v>10</c:v>
                </c:pt>
                <c:pt idx="4">
                  <c:v>22</c:v>
                </c:pt>
                <c:pt idx="5">
                  <c:v>15</c:v>
                </c:pt>
                <c:pt idx="6">
                  <c:v>14</c:v>
                </c:pt>
                <c:pt idx="7">
                  <c:v>23</c:v>
                </c:pt>
                <c:pt idx="8">
                  <c:v>23</c:v>
                </c:pt>
                <c:pt idx="9">
                  <c:v>10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Ntinda-Kisaasi'!$Z$9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Ntinda-Kisaasi'!$Z$10:$Z$21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Ntinda-Kisaasi'!$AA$9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7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Ntinda-Kisaasi'!$AB$9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Ntinda-Kisaasi'!$AB$10:$AB$21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Ntinda-Kisaasi'!$AC$9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Ntinda-Kisaasi'!$AC$10:$AC$21</c:f>
              <c:numCache>
                <c:formatCode>0</c:formatCode>
                <c:ptCount val="12"/>
                <c:pt idx="0">
                  <c:v>455</c:v>
                </c:pt>
                <c:pt idx="1">
                  <c:v>475</c:v>
                </c:pt>
                <c:pt idx="2">
                  <c:v>425</c:v>
                </c:pt>
                <c:pt idx="3">
                  <c:v>383</c:v>
                </c:pt>
                <c:pt idx="4">
                  <c:v>265</c:v>
                </c:pt>
                <c:pt idx="5">
                  <c:v>220</c:v>
                </c:pt>
                <c:pt idx="6">
                  <c:v>295</c:v>
                </c:pt>
                <c:pt idx="7">
                  <c:v>351</c:v>
                </c:pt>
                <c:pt idx="8">
                  <c:v>360</c:v>
                </c:pt>
                <c:pt idx="9">
                  <c:v>344</c:v>
                </c:pt>
                <c:pt idx="10">
                  <c:v>275</c:v>
                </c:pt>
                <c:pt idx="11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Ntinda-Kisaasi'!$AD$9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09408"/>
        <c:axId val="126100608"/>
      </c:lineChart>
      <c:catAx>
        <c:axId val="1262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100608"/>
        <c:crosses val="autoZero"/>
        <c:auto val="1"/>
        <c:lblAlgn val="ctr"/>
        <c:lblOffset val="100"/>
        <c:noMultiLvlLbl val="0"/>
      </c:catAx>
      <c:valAx>
        <c:axId val="1261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2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Ntinda-Kisaasi'!$C$60:$N$60</c:f>
              <c:numCache>
                <c:formatCode>0.00%</c:formatCode>
                <c:ptCount val="12"/>
                <c:pt idx="0">
                  <c:v>0.42840208629682314</c:v>
                </c:pt>
                <c:pt idx="1">
                  <c:v>0.20531057373162637</c:v>
                </c:pt>
                <c:pt idx="2">
                  <c:v>7.3257467994310099E-2</c:v>
                </c:pt>
                <c:pt idx="3">
                  <c:v>0.20222854433380749</c:v>
                </c:pt>
                <c:pt idx="4">
                  <c:v>3.5561877667140826E-3</c:v>
                </c:pt>
                <c:pt idx="5">
                  <c:v>2.370791844476055E-4</c:v>
                </c:pt>
                <c:pt idx="6">
                  <c:v>4.4570886676149835E-2</c:v>
                </c:pt>
                <c:pt idx="7">
                  <c:v>1.8018018018018018E-2</c:v>
                </c:pt>
                <c:pt idx="8">
                  <c:v>7.8236130867709811E-3</c:v>
                </c:pt>
                <c:pt idx="9">
                  <c:v>1.6121384542437174E-2</c:v>
                </c:pt>
                <c:pt idx="11">
                  <c:v>4.74158368895211E-4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Kisaasi-Ntinda-24h'!$AE$9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Kisaasi-Ntinda-24h'!$R$10:$R$33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Kisaasi-Ntinda-24h'!$AE$10:$AE$33</c:f>
              <c:numCache>
                <c:formatCode>0</c:formatCode>
                <c:ptCount val="24"/>
                <c:pt idx="0">
                  <c:v>247</c:v>
                </c:pt>
                <c:pt idx="1">
                  <c:v>265</c:v>
                </c:pt>
                <c:pt idx="2">
                  <c:v>424</c:v>
                </c:pt>
                <c:pt idx="3">
                  <c:v>480</c:v>
                </c:pt>
                <c:pt idx="4">
                  <c:v>593</c:v>
                </c:pt>
                <c:pt idx="5">
                  <c:v>453</c:v>
                </c:pt>
                <c:pt idx="6">
                  <c:v>383</c:v>
                </c:pt>
                <c:pt idx="7">
                  <c:v>441</c:v>
                </c:pt>
                <c:pt idx="8">
                  <c:v>428</c:v>
                </c:pt>
                <c:pt idx="9">
                  <c:v>540</c:v>
                </c:pt>
                <c:pt idx="10">
                  <c:v>525</c:v>
                </c:pt>
                <c:pt idx="11">
                  <c:v>494</c:v>
                </c:pt>
                <c:pt idx="12">
                  <c:v>278</c:v>
                </c:pt>
                <c:pt idx="13">
                  <c:v>344</c:v>
                </c:pt>
                <c:pt idx="14">
                  <c:v>335</c:v>
                </c:pt>
                <c:pt idx="15">
                  <c:v>368</c:v>
                </c:pt>
                <c:pt idx="16">
                  <c:v>226</c:v>
                </c:pt>
                <c:pt idx="17">
                  <c:v>144</c:v>
                </c:pt>
                <c:pt idx="18">
                  <c:v>88</c:v>
                </c:pt>
                <c:pt idx="19">
                  <c:v>82</c:v>
                </c:pt>
                <c:pt idx="20">
                  <c:v>52</c:v>
                </c:pt>
                <c:pt idx="21">
                  <c:v>37</c:v>
                </c:pt>
                <c:pt idx="22">
                  <c:v>47</c:v>
                </c:pt>
                <c:pt idx="23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Kisaasi-Ntinda-24h'!$AF$9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Kisaasi-Ntinda-24h'!$R$10:$R$33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Kisaasi-Ntinda-24h'!$AF$10:$AF$33</c:f>
              <c:numCache>
                <c:formatCode>0</c:formatCode>
                <c:ptCount val="24"/>
                <c:pt idx="0">
                  <c:v>534</c:v>
                </c:pt>
                <c:pt idx="1">
                  <c:v>678</c:v>
                </c:pt>
                <c:pt idx="2">
                  <c:v>916</c:v>
                </c:pt>
                <c:pt idx="3">
                  <c:v>1001</c:v>
                </c:pt>
                <c:pt idx="4">
                  <c:v>1022</c:v>
                </c:pt>
                <c:pt idx="5">
                  <c:v>852</c:v>
                </c:pt>
                <c:pt idx="6">
                  <c:v>749</c:v>
                </c:pt>
                <c:pt idx="7">
                  <c:v>751</c:v>
                </c:pt>
                <c:pt idx="8">
                  <c:v>741</c:v>
                </c:pt>
                <c:pt idx="9">
                  <c:v>833</c:v>
                </c:pt>
                <c:pt idx="10">
                  <c:v>847</c:v>
                </c:pt>
                <c:pt idx="11">
                  <c:v>845</c:v>
                </c:pt>
                <c:pt idx="12">
                  <c:v>560</c:v>
                </c:pt>
                <c:pt idx="13">
                  <c:v>569</c:v>
                </c:pt>
                <c:pt idx="14">
                  <c:v>558</c:v>
                </c:pt>
                <c:pt idx="15">
                  <c:v>654</c:v>
                </c:pt>
                <c:pt idx="16">
                  <c:v>410</c:v>
                </c:pt>
                <c:pt idx="17">
                  <c:v>231</c:v>
                </c:pt>
                <c:pt idx="18">
                  <c:v>183</c:v>
                </c:pt>
                <c:pt idx="19">
                  <c:v>159</c:v>
                </c:pt>
                <c:pt idx="20">
                  <c:v>117</c:v>
                </c:pt>
                <c:pt idx="21">
                  <c:v>90</c:v>
                </c:pt>
                <c:pt idx="22">
                  <c:v>107</c:v>
                </c:pt>
                <c:pt idx="23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21632"/>
        <c:axId val="126436096"/>
      </c:lineChart>
      <c:catAx>
        <c:axId val="126421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436096"/>
        <c:crosses val="autoZero"/>
        <c:auto val="1"/>
        <c:lblAlgn val="ctr"/>
        <c:lblOffset val="100"/>
        <c:noMultiLvlLbl val="0"/>
      </c:catAx>
      <c:valAx>
        <c:axId val="126436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4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Kisaasi-Ntinda-24h'!$C$9:$N$9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Kisaasi-Ntinda-24h'!$C$107:$N$107</c:f>
              <c:numCache>
                <c:formatCode>0.0%</c:formatCode>
                <c:ptCount val="12"/>
                <c:pt idx="0">
                  <c:v>0.21763532973931024</c:v>
                </c:pt>
                <c:pt idx="1">
                  <c:v>0.13950225241858061</c:v>
                </c:pt>
                <c:pt idx="2">
                  <c:v>7.4514437633852737E-2</c:v>
                </c:pt>
                <c:pt idx="3">
                  <c:v>7.4292888265268447E-2</c:v>
                </c:pt>
                <c:pt idx="4">
                  <c:v>8.1234768480909826E-4</c:v>
                </c:pt>
                <c:pt idx="5">
                  <c:v>0</c:v>
                </c:pt>
                <c:pt idx="6">
                  <c:v>1.5656155379957168E-2</c:v>
                </c:pt>
                <c:pt idx="7">
                  <c:v>1.2111365482608374E-2</c:v>
                </c:pt>
                <c:pt idx="8">
                  <c:v>3.914038844989292E-3</c:v>
                </c:pt>
                <c:pt idx="9">
                  <c:v>4.430987371685991E-3</c:v>
                </c:pt>
                <c:pt idx="10">
                  <c:v>0.45713019717893805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Kisaasi-Ntinda-24h'!$C$9:$N$9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Kisaasi-Ntinda-24h'!$C$108:$N$108</c:f>
              <c:numCache>
                <c:formatCode>0.00%</c:formatCode>
                <c:ptCount val="12"/>
                <c:pt idx="0">
                  <c:v>0.40089783702897563</c:v>
                </c:pt>
                <c:pt idx="1">
                  <c:v>0.25697184056590938</c:v>
                </c:pt>
                <c:pt idx="2">
                  <c:v>0.13726023670248946</c:v>
                </c:pt>
                <c:pt idx="3">
                  <c:v>0.13685212896204599</c:v>
                </c:pt>
                <c:pt idx="4">
                  <c:v>1.4963950482927493E-3</c:v>
                </c:pt>
                <c:pt idx="5">
                  <c:v>0</c:v>
                </c:pt>
                <c:pt idx="6">
                  <c:v>2.8839613658005712E-2</c:v>
                </c:pt>
                <c:pt idx="7">
                  <c:v>2.2309889810910082E-2</c:v>
                </c:pt>
                <c:pt idx="8">
                  <c:v>7.2099034145014281E-3</c:v>
                </c:pt>
                <c:pt idx="9">
                  <c:v>8.1621548088695421E-3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Ntinda-Kisaasi-24h'!$AE$9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Ntinda-Kisaasi-24h'!$R$10:$R$33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Ntinda-Kisaasi-24h'!$AE$10:$AE$33</c:f>
              <c:numCache>
                <c:formatCode>0</c:formatCode>
                <c:ptCount val="24"/>
                <c:pt idx="0">
                  <c:v>254</c:v>
                </c:pt>
                <c:pt idx="1">
                  <c:v>192</c:v>
                </c:pt>
                <c:pt idx="2">
                  <c:v>256</c:v>
                </c:pt>
                <c:pt idx="3">
                  <c:v>275</c:v>
                </c:pt>
                <c:pt idx="4">
                  <c:v>238</c:v>
                </c:pt>
                <c:pt idx="5">
                  <c:v>346</c:v>
                </c:pt>
                <c:pt idx="6">
                  <c:v>400</c:v>
                </c:pt>
                <c:pt idx="7">
                  <c:v>445</c:v>
                </c:pt>
                <c:pt idx="8">
                  <c:v>363</c:v>
                </c:pt>
                <c:pt idx="9">
                  <c:v>366</c:v>
                </c:pt>
                <c:pt idx="10">
                  <c:v>354</c:v>
                </c:pt>
                <c:pt idx="11">
                  <c:v>235</c:v>
                </c:pt>
                <c:pt idx="12">
                  <c:v>355</c:v>
                </c:pt>
                <c:pt idx="13">
                  <c:v>202</c:v>
                </c:pt>
                <c:pt idx="14">
                  <c:v>250</c:v>
                </c:pt>
                <c:pt idx="15">
                  <c:v>308</c:v>
                </c:pt>
                <c:pt idx="16">
                  <c:v>231</c:v>
                </c:pt>
                <c:pt idx="17">
                  <c:v>189</c:v>
                </c:pt>
                <c:pt idx="18">
                  <c:v>166</c:v>
                </c:pt>
                <c:pt idx="19">
                  <c:v>92</c:v>
                </c:pt>
                <c:pt idx="20">
                  <c:v>103</c:v>
                </c:pt>
                <c:pt idx="21">
                  <c:v>62</c:v>
                </c:pt>
                <c:pt idx="22">
                  <c:v>79</c:v>
                </c:pt>
                <c:pt idx="23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Ntinda-Kisaasi-24h'!$AF$9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Ntinda-Kisaasi-24h'!$R$10:$R$33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Ntinda-Kisaasi-24h'!$AF$10:$AF$33</c:f>
              <c:numCache>
                <c:formatCode>0</c:formatCode>
                <c:ptCount val="24"/>
                <c:pt idx="0">
                  <c:v>466</c:v>
                </c:pt>
                <c:pt idx="1">
                  <c:v>407</c:v>
                </c:pt>
                <c:pt idx="2">
                  <c:v>524</c:v>
                </c:pt>
                <c:pt idx="3">
                  <c:v>578</c:v>
                </c:pt>
                <c:pt idx="4">
                  <c:v>469</c:v>
                </c:pt>
                <c:pt idx="5">
                  <c:v>661</c:v>
                </c:pt>
                <c:pt idx="6">
                  <c:v>740</c:v>
                </c:pt>
                <c:pt idx="7">
                  <c:v>780</c:v>
                </c:pt>
                <c:pt idx="8">
                  <c:v>697</c:v>
                </c:pt>
                <c:pt idx="9">
                  <c:v>671</c:v>
                </c:pt>
                <c:pt idx="10">
                  <c:v>639</c:v>
                </c:pt>
                <c:pt idx="11">
                  <c:v>655</c:v>
                </c:pt>
                <c:pt idx="12">
                  <c:v>755</c:v>
                </c:pt>
                <c:pt idx="13">
                  <c:v>467</c:v>
                </c:pt>
                <c:pt idx="14">
                  <c:v>446</c:v>
                </c:pt>
                <c:pt idx="15">
                  <c:v>628</c:v>
                </c:pt>
                <c:pt idx="16">
                  <c:v>497</c:v>
                </c:pt>
                <c:pt idx="17">
                  <c:v>338</c:v>
                </c:pt>
                <c:pt idx="18">
                  <c:v>294</c:v>
                </c:pt>
                <c:pt idx="19">
                  <c:v>191</c:v>
                </c:pt>
                <c:pt idx="20">
                  <c:v>175</c:v>
                </c:pt>
                <c:pt idx="21">
                  <c:v>125</c:v>
                </c:pt>
                <c:pt idx="22">
                  <c:v>158</c:v>
                </c:pt>
                <c:pt idx="23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52800"/>
        <c:axId val="126654720"/>
      </c:lineChart>
      <c:catAx>
        <c:axId val="126652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654720"/>
        <c:crosses val="autoZero"/>
        <c:auto val="1"/>
        <c:lblAlgn val="ctr"/>
        <c:lblOffset val="100"/>
        <c:noMultiLvlLbl val="0"/>
      </c:catAx>
      <c:valAx>
        <c:axId val="1266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6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Ntinda-Kisaasi-24h'!$C$9:$N$9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Ntinda-Kisaasi-24h'!$C$107:$N$107</c:f>
              <c:numCache>
                <c:formatCode>0.0%</c:formatCode>
                <c:ptCount val="12"/>
                <c:pt idx="0">
                  <c:v>0.24032957502168256</c:v>
                </c:pt>
                <c:pt idx="1">
                  <c:v>0.13495229835212488</c:v>
                </c:pt>
                <c:pt idx="2">
                  <c:v>3.2697311361665218E-2</c:v>
                </c:pt>
                <c:pt idx="3">
                  <c:v>6.6608846487424114E-2</c:v>
                </c:pt>
                <c:pt idx="4">
                  <c:v>5.2038161318300089E-4</c:v>
                </c:pt>
                <c:pt idx="5">
                  <c:v>1.7346053772766696E-4</c:v>
                </c:pt>
                <c:pt idx="6">
                  <c:v>1.7779705117085862E-2</c:v>
                </c:pt>
                <c:pt idx="7">
                  <c:v>4.2497831743278404E-3</c:v>
                </c:pt>
                <c:pt idx="8">
                  <c:v>2.3417172593235037E-3</c:v>
                </c:pt>
                <c:pt idx="9">
                  <c:v>6.157849089332177E-3</c:v>
                </c:pt>
                <c:pt idx="10">
                  <c:v>0.49418907198612316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Ntinda-Kisaasi-24h'!$C$9:$N$9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Ntinda-Kisaasi-24h'!$C$108:$N$108</c:f>
              <c:numCache>
                <c:formatCode>0.00%</c:formatCode>
                <c:ptCount val="12"/>
                <c:pt idx="0">
                  <c:v>0.47513717421124829</c:v>
                </c:pt>
                <c:pt idx="1">
                  <c:v>0.26680384087791498</c:v>
                </c:pt>
                <c:pt idx="2">
                  <c:v>6.464334705075446E-2</c:v>
                </c:pt>
                <c:pt idx="3">
                  <c:v>0.13168724279835392</c:v>
                </c:pt>
                <c:pt idx="4">
                  <c:v>1.02880658436214E-3</c:v>
                </c:pt>
                <c:pt idx="5">
                  <c:v>3.4293552812071328E-4</c:v>
                </c:pt>
                <c:pt idx="6">
                  <c:v>3.5150891632373116E-2</c:v>
                </c:pt>
                <c:pt idx="7">
                  <c:v>8.4019204389574765E-3</c:v>
                </c:pt>
                <c:pt idx="8">
                  <c:v>4.6296296296296294E-3</c:v>
                </c:pt>
                <c:pt idx="9">
                  <c:v>1.2174211248285322E-2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Kisaasi-Ntinda'!$AE$9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Kisaasi-Ntinda'!$AE$10:$AE$21</c:f>
              <c:numCache>
                <c:formatCode>0</c:formatCode>
                <c:ptCount val="12"/>
                <c:pt idx="0">
                  <c:v>242</c:v>
                </c:pt>
                <c:pt idx="1">
                  <c:v>239</c:v>
                </c:pt>
                <c:pt idx="2">
                  <c:v>405</c:v>
                </c:pt>
                <c:pt idx="3">
                  <c:v>484</c:v>
                </c:pt>
                <c:pt idx="4">
                  <c:v>529</c:v>
                </c:pt>
                <c:pt idx="5">
                  <c:v>586</c:v>
                </c:pt>
                <c:pt idx="6">
                  <c:v>294</c:v>
                </c:pt>
                <c:pt idx="7">
                  <c:v>394</c:v>
                </c:pt>
                <c:pt idx="8">
                  <c:v>330</c:v>
                </c:pt>
                <c:pt idx="9">
                  <c:v>325</c:v>
                </c:pt>
                <c:pt idx="10">
                  <c:v>387</c:v>
                </c:pt>
                <c:pt idx="11">
                  <c:v>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Kisaasi-Ntinda'!$AF$9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Kisaasi-Ntinda'!$AF$10:$AF$21</c:f>
              <c:numCache>
                <c:formatCode>0</c:formatCode>
                <c:ptCount val="12"/>
                <c:pt idx="0">
                  <c:v>569</c:v>
                </c:pt>
                <c:pt idx="1">
                  <c:v>574</c:v>
                </c:pt>
                <c:pt idx="2">
                  <c:v>825</c:v>
                </c:pt>
                <c:pt idx="3">
                  <c:v>833</c:v>
                </c:pt>
                <c:pt idx="4">
                  <c:v>927</c:v>
                </c:pt>
                <c:pt idx="5">
                  <c:v>1022</c:v>
                </c:pt>
                <c:pt idx="6">
                  <c:v>648</c:v>
                </c:pt>
                <c:pt idx="7">
                  <c:v>679</c:v>
                </c:pt>
                <c:pt idx="8">
                  <c:v>595</c:v>
                </c:pt>
                <c:pt idx="9">
                  <c:v>589</c:v>
                </c:pt>
                <c:pt idx="10">
                  <c:v>668</c:v>
                </c:pt>
                <c:pt idx="11">
                  <c:v>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18112"/>
        <c:axId val="127020032"/>
      </c:lineChart>
      <c:catAx>
        <c:axId val="127018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020032"/>
        <c:crosses val="autoZero"/>
        <c:auto val="1"/>
        <c:lblAlgn val="ctr"/>
        <c:lblOffset val="100"/>
        <c:noMultiLvlLbl val="0"/>
      </c:catAx>
      <c:valAx>
        <c:axId val="1270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01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Kisaasi-Ntinda'!$C$59:$N$59</c:f>
              <c:numCache>
                <c:formatCode>0.0%</c:formatCode>
                <c:ptCount val="12"/>
                <c:pt idx="0">
                  <c:v>0.18175380620795467</c:v>
                </c:pt>
                <c:pt idx="1">
                  <c:v>0.18021952083087453</c:v>
                </c:pt>
                <c:pt idx="2">
                  <c:v>6.1607458987371654E-2</c:v>
                </c:pt>
                <c:pt idx="3">
                  <c:v>8.1317124985247249E-2</c:v>
                </c:pt>
                <c:pt idx="4">
                  <c:v>1.1802195208308746E-4</c:v>
                </c:pt>
                <c:pt idx="5">
                  <c:v>0</c:v>
                </c:pt>
                <c:pt idx="6">
                  <c:v>1.2628348872890358E-2</c:v>
                </c:pt>
                <c:pt idx="7">
                  <c:v>1.0858019591644046E-2</c:v>
                </c:pt>
                <c:pt idx="8">
                  <c:v>1.8883512333293993E-3</c:v>
                </c:pt>
                <c:pt idx="9">
                  <c:v>2.2424170895786618E-3</c:v>
                </c:pt>
                <c:pt idx="10">
                  <c:v>0.46724890829694321</c:v>
                </c:pt>
                <c:pt idx="11">
                  <c:v>1.1802195208308746E-4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Kisaasi-Ntinda'!$S$9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Kisaasi-Ntinda'!$S$10:$S$21</c:f>
              <c:numCache>
                <c:formatCode>0</c:formatCode>
                <c:ptCount val="12"/>
                <c:pt idx="0">
                  <c:v>91</c:v>
                </c:pt>
                <c:pt idx="1">
                  <c:v>76</c:v>
                </c:pt>
                <c:pt idx="2">
                  <c:v>131</c:v>
                </c:pt>
                <c:pt idx="3">
                  <c:v>155</c:v>
                </c:pt>
                <c:pt idx="4">
                  <c:v>192</c:v>
                </c:pt>
                <c:pt idx="5">
                  <c:v>199</c:v>
                </c:pt>
                <c:pt idx="6">
                  <c:v>107</c:v>
                </c:pt>
                <c:pt idx="7">
                  <c:v>146</c:v>
                </c:pt>
                <c:pt idx="8">
                  <c:v>122</c:v>
                </c:pt>
                <c:pt idx="9">
                  <c:v>108</c:v>
                </c:pt>
                <c:pt idx="10">
                  <c:v>115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Kisaasi-Ntinda'!$T$9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Kisaasi-Ntinda'!$R$10:$R$21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Kisaasi-Ntinda'!$T$10:$T$21</c:f>
              <c:numCache>
                <c:formatCode>0</c:formatCode>
                <c:ptCount val="12"/>
                <c:pt idx="0">
                  <c:v>79</c:v>
                </c:pt>
                <c:pt idx="1">
                  <c:v>66</c:v>
                </c:pt>
                <c:pt idx="2">
                  <c:v>153</c:v>
                </c:pt>
                <c:pt idx="3">
                  <c:v>155</c:v>
                </c:pt>
                <c:pt idx="4">
                  <c:v>218</c:v>
                </c:pt>
                <c:pt idx="5">
                  <c:v>200</c:v>
                </c:pt>
                <c:pt idx="6">
                  <c:v>91</c:v>
                </c:pt>
                <c:pt idx="7">
                  <c:v>134</c:v>
                </c:pt>
                <c:pt idx="8">
                  <c:v>104</c:v>
                </c:pt>
                <c:pt idx="9">
                  <c:v>115</c:v>
                </c:pt>
                <c:pt idx="10">
                  <c:v>124</c:v>
                </c:pt>
                <c:pt idx="11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Kisaasi-Ntinda'!$U$9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Kisaasi-Ntinda'!$U$10:$U$21</c:f>
              <c:numCache>
                <c:formatCode>0</c:formatCode>
                <c:ptCount val="12"/>
                <c:pt idx="0">
                  <c:v>22</c:v>
                </c:pt>
                <c:pt idx="1">
                  <c:v>27</c:v>
                </c:pt>
                <c:pt idx="2">
                  <c:v>31</c:v>
                </c:pt>
                <c:pt idx="3">
                  <c:v>83</c:v>
                </c:pt>
                <c:pt idx="4">
                  <c:v>47</c:v>
                </c:pt>
                <c:pt idx="5">
                  <c:v>63</c:v>
                </c:pt>
                <c:pt idx="6">
                  <c:v>21</c:v>
                </c:pt>
                <c:pt idx="7">
                  <c:v>38</c:v>
                </c:pt>
                <c:pt idx="8">
                  <c:v>38</c:v>
                </c:pt>
                <c:pt idx="9">
                  <c:v>47</c:v>
                </c:pt>
                <c:pt idx="10">
                  <c:v>65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Kisaasi-Ntinda'!$V$9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Kisaasi-Ntinda'!$V$10:$V$21</c:f>
              <c:numCache>
                <c:formatCode>0</c:formatCode>
                <c:ptCount val="12"/>
                <c:pt idx="0">
                  <c:v>40</c:v>
                </c:pt>
                <c:pt idx="1">
                  <c:v>56</c:v>
                </c:pt>
                <c:pt idx="2">
                  <c:v>63</c:v>
                </c:pt>
                <c:pt idx="3">
                  <c:v>84</c:v>
                </c:pt>
                <c:pt idx="4">
                  <c:v>56</c:v>
                </c:pt>
                <c:pt idx="5">
                  <c:v>99</c:v>
                </c:pt>
                <c:pt idx="6">
                  <c:v>42</c:v>
                </c:pt>
                <c:pt idx="7">
                  <c:v>50</c:v>
                </c:pt>
                <c:pt idx="8">
                  <c:v>42</c:v>
                </c:pt>
                <c:pt idx="9">
                  <c:v>44</c:v>
                </c:pt>
                <c:pt idx="10">
                  <c:v>67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Kisaasi-Ntinda'!$W$9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Kisaasi-Ntinda'!$X$9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Kisaasi-Ntinda'!$Y$9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Kisaasi-Ntinda'!$Y$10:$Y$21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  <c:pt idx="7">
                  <c:v>10</c:v>
                </c:pt>
                <c:pt idx="8">
                  <c:v>13</c:v>
                </c:pt>
                <c:pt idx="9">
                  <c:v>4</c:v>
                </c:pt>
                <c:pt idx="10">
                  <c:v>7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Kisaasi-Ntinda'!$Z$9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Kisaasi-Ntinda'!$Z$10:$Z$21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1</c:v>
                </c:pt>
                <c:pt idx="4">
                  <c:v>4</c:v>
                </c:pt>
                <c:pt idx="5">
                  <c:v>11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Kisaasi-Ntinda'!$AA$9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Kisaasi-Ntinda'!$AB$9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Kisaasi-Ntinda'!$AC$9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Kisaasi-Ntinda'!$AC$10:$AC$21</c:f>
              <c:numCache>
                <c:formatCode>0</c:formatCode>
                <c:ptCount val="12"/>
                <c:pt idx="0">
                  <c:v>327</c:v>
                </c:pt>
                <c:pt idx="1">
                  <c:v>335</c:v>
                </c:pt>
                <c:pt idx="2">
                  <c:v>420</c:v>
                </c:pt>
                <c:pt idx="3">
                  <c:v>349</c:v>
                </c:pt>
                <c:pt idx="4">
                  <c:v>398</c:v>
                </c:pt>
                <c:pt idx="5">
                  <c:v>436</c:v>
                </c:pt>
                <c:pt idx="6">
                  <c:v>354</c:v>
                </c:pt>
                <c:pt idx="7">
                  <c:v>285</c:v>
                </c:pt>
                <c:pt idx="8">
                  <c:v>265</c:v>
                </c:pt>
                <c:pt idx="9">
                  <c:v>264</c:v>
                </c:pt>
                <c:pt idx="10">
                  <c:v>281</c:v>
                </c:pt>
                <c:pt idx="11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Kisaasi-Ntinda'!$AD$9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89280"/>
        <c:axId val="127099264"/>
      </c:lineChart>
      <c:catAx>
        <c:axId val="12708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099264"/>
        <c:crosses val="autoZero"/>
        <c:auto val="1"/>
        <c:lblAlgn val="ctr"/>
        <c:lblOffset val="100"/>
        <c:noMultiLvlLbl val="0"/>
      </c:catAx>
      <c:valAx>
        <c:axId val="1270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08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Kisaasi-Ntinda'!$C$60:$N$60</c:f>
              <c:numCache>
                <c:formatCode>0.00%</c:formatCode>
                <c:ptCount val="12"/>
                <c:pt idx="0">
                  <c:v>0.34116083296411165</c:v>
                </c:pt>
                <c:pt idx="1">
                  <c:v>0.33828090385467435</c:v>
                </c:pt>
                <c:pt idx="2">
                  <c:v>0.11564023039432876</c:v>
                </c:pt>
                <c:pt idx="3">
                  <c:v>0.15263624280017724</c:v>
                </c:pt>
                <c:pt idx="4">
                  <c:v>2.2153300841825432E-4</c:v>
                </c:pt>
                <c:pt idx="5">
                  <c:v>0</c:v>
                </c:pt>
                <c:pt idx="6">
                  <c:v>2.3704031900753212E-2</c:v>
                </c:pt>
                <c:pt idx="7">
                  <c:v>2.0381036774479399E-2</c:v>
                </c:pt>
                <c:pt idx="8">
                  <c:v>3.544528134692069E-3</c:v>
                </c:pt>
                <c:pt idx="9">
                  <c:v>4.2091271599468318E-3</c:v>
                </c:pt>
                <c:pt idx="11">
                  <c:v>2.2153300841825432E-4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Ntinda-Kisaasi'!$AE$9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Ntinda-Kisaasi'!$AE$10:$AE$21</c:f>
              <c:numCache>
                <c:formatCode>0</c:formatCode>
                <c:ptCount val="12"/>
                <c:pt idx="0">
                  <c:v>115</c:v>
                </c:pt>
                <c:pt idx="1">
                  <c:v>110</c:v>
                </c:pt>
                <c:pt idx="2">
                  <c:v>310</c:v>
                </c:pt>
                <c:pt idx="3">
                  <c:v>357</c:v>
                </c:pt>
                <c:pt idx="4">
                  <c:v>370</c:v>
                </c:pt>
                <c:pt idx="5">
                  <c:v>429</c:v>
                </c:pt>
                <c:pt idx="6">
                  <c:v>398</c:v>
                </c:pt>
                <c:pt idx="7">
                  <c:v>601</c:v>
                </c:pt>
                <c:pt idx="8">
                  <c:v>391</c:v>
                </c:pt>
                <c:pt idx="9">
                  <c:v>371</c:v>
                </c:pt>
                <c:pt idx="10">
                  <c:v>294</c:v>
                </c:pt>
                <c:pt idx="11">
                  <c:v>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Ntinda-Kisaasi'!$AF$9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Ntinda-Kisaasi'!$AF$10:$AF$21</c:f>
              <c:numCache>
                <c:formatCode>0</c:formatCode>
                <c:ptCount val="12"/>
                <c:pt idx="0">
                  <c:v>350</c:v>
                </c:pt>
                <c:pt idx="1">
                  <c:v>295</c:v>
                </c:pt>
                <c:pt idx="2">
                  <c:v>623</c:v>
                </c:pt>
                <c:pt idx="3">
                  <c:v>752</c:v>
                </c:pt>
                <c:pt idx="4">
                  <c:v>730</c:v>
                </c:pt>
                <c:pt idx="5">
                  <c:v>750</c:v>
                </c:pt>
                <c:pt idx="6">
                  <c:v>722</c:v>
                </c:pt>
                <c:pt idx="7">
                  <c:v>961</c:v>
                </c:pt>
                <c:pt idx="8">
                  <c:v>656</c:v>
                </c:pt>
                <c:pt idx="9">
                  <c:v>726</c:v>
                </c:pt>
                <c:pt idx="10">
                  <c:v>654</c:v>
                </c:pt>
                <c:pt idx="11">
                  <c:v>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40000"/>
        <c:axId val="127441920"/>
      </c:lineChart>
      <c:catAx>
        <c:axId val="127440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441920"/>
        <c:crosses val="autoZero"/>
        <c:auto val="1"/>
        <c:lblAlgn val="ctr"/>
        <c:lblOffset val="100"/>
        <c:noMultiLvlLbl val="0"/>
      </c:catAx>
      <c:valAx>
        <c:axId val="127441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4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Ntinda-Kisaasi'!$C$59:$N$59</c:f>
              <c:numCache>
                <c:formatCode>0.0%</c:formatCode>
                <c:ptCount val="12"/>
                <c:pt idx="0">
                  <c:v>0.27134263407141945</c:v>
                </c:pt>
                <c:pt idx="1">
                  <c:v>0.13157557916293358</c:v>
                </c:pt>
                <c:pt idx="2">
                  <c:v>2.8670165109432995E-2</c:v>
                </c:pt>
                <c:pt idx="3">
                  <c:v>6.553180596441828E-2</c:v>
                </c:pt>
                <c:pt idx="4">
                  <c:v>0</c:v>
                </c:pt>
                <c:pt idx="5">
                  <c:v>1.2799180852425445E-4</c:v>
                </c:pt>
                <c:pt idx="6">
                  <c:v>1.5742992448483296E-2</c:v>
                </c:pt>
                <c:pt idx="7">
                  <c:v>3.8397542557276334E-3</c:v>
                </c:pt>
                <c:pt idx="8">
                  <c:v>6.3995904262127224E-4</c:v>
                </c:pt>
                <c:pt idx="9">
                  <c:v>3.4557788301548703E-3</c:v>
                </c:pt>
                <c:pt idx="10">
                  <c:v>0.47907333930628437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Ntinda-Kisaasi'!$S$9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Ntinda-Kisaasi'!$S$10:$S$21</c:f>
              <c:numCache>
                <c:formatCode>0</c:formatCode>
                <c:ptCount val="12"/>
                <c:pt idx="0">
                  <c:v>44</c:v>
                </c:pt>
                <c:pt idx="1">
                  <c:v>54</c:v>
                </c:pt>
                <c:pt idx="2">
                  <c:v>139</c:v>
                </c:pt>
                <c:pt idx="3">
                  <c:v>171</c:v>
                </c:pt>
                <c:pt idx="4">
                  <c:v>184</c:v>
                </c:pt>
                <c:pt idx="5">
                  <c:v>231</c:v>
                </c:pt>
                <c:pt idx="6">
                  <c:v>236</c:v>
                </c:pt>
                <c:pt idx="7">
                  <c:v>329</c:v>
                </c:pt>
                <c:pt idx="8">
                  <c:v>208</c:v>
                </c:pt>
                <c:pt idx="9">
                  <c:v>184</c:v>
                </c:pt>
                <c:pt idx="10">
                  <c:v>157</c:v>
                </c:pt>
                <c:pt idx="11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Ntinda-Kisaasi'!$T$9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Ntinda-Kisaasi'!$R$10:$R$21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Ntinda-Kisaasi'!$T$10:$T$21</c:f>
              <c:numCache>
                <c:formatCode>0</c:formatCode>
                <c:ptCount val="12"/>
                <c:pt idx="0">
                  <c:v>21</c:v>
                </c:pt>
                <c:pt idx="1">
                  <c:v>16</c:v>
                </c:pt>
                <c:pt idx="2">
                  <c:v>71</c:v>
                </c:pt>
                <c:pt idx="3">
                  <c:v>98</c:v>
                </c:pt>
                <c:pt idx="4">
                  <c:v>95</c:v>
                </c:pt>
                <c:pt idx="5">
                  <c:v>118</c:v>
                </c:pt>
                <c:pt idx="6">
                  <c:v>87</c:v>
                </c:pt>
                <c:pt idx="7">
                  <c:v>184</c:v>
                </c:pt>
                <c:pt idx="8">
                  <c:v>96</c:v>
                </c:pt>
                <c:pt idx="9">
                  <c:v>104</c:v>
                </c:pt>
                <c:pt idx="10">
                  <c:v>66</c:v>
                </c:pt>
                <c:pt idx="11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Ntinda-Kisaasi'!$U$9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Ntinda-Kisaasi'!$U$10:$U$21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21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18</c:v>
                </c:pt>
                <c:pt idx="7">
                  <c:v>19</c:v>
                </c:pt>
                <c:pt idx="8">
                  <c:v>24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Ntinda-Kisaasi'!$V$9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Ntinda-Kisaasi'!$V$10:$V$21</c:f>
              <c:numCache>
                <c:formatCode>0</c:formatCode>
                <c:ptCount val="12"/>
                <c:pt idx="0">
                  <c:v>33</c:v>
                </c:pt>
                <c:pt idx="1">
                  <c:v>29</c:v>
                </c:pt>
                <c:pt idx="2">
                  <c:v>64</c:v>
                </c:pt>
                <c:pt idx="3">
                  <c:v>48</c:v>
                </c:pt>
                <c:pt idx="4">
                  <c:v>49</c:v>
                </c:pt>
                <c:pt idx="5">
                  <c:v>35</c:v>
                </c:pt>
                <c:pt idx="6">
                  <c:v>42</c:v>
                </c:pt>
                <c:pt idx="7">
                  <c:v>40</c:v>
                </c:pt>
                <c:pt idx="8">
                  <c:v>44</c:v>
                </c:pt>
                <c:pt idx="9">
                  <c:v>50</c:v>
                </c:pt>
                <c:pt idx="10">
                  <c:v>41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Ntinda-Kisaasi'!$W$9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Ntinda-Kisaasi'!$X$9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Ntinda-Kisaasi'!$Y$9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Ntinda-Kisaasi'!$Y$10:$Y$21</c:f>
              <c:numCache>
                <c:formatCode>0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10</c:v>
                </c:pt>
                <c:pt idx="7">
                  <c:v>14</c:v>
                </c:pt>
                <c:pt idx="8">
                  <c:v>14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Ntinda-Kisaasi'!$Z$9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Ntinda-Kisaasi'!$AA$9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Ntinda-Kisaasi'!$AB$9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Ntinda-Kisaasi'!$AB$10:$AB$21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Ntinda-Kisaasi'!$AC$9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Ntinda-Kisaasi'!$AC$10:$AC$21</c:f>
              <c:numCache>
                <c:formatCode>0</c:formatCode>
                <c:ptCount val="12"/>
                <c:pt idx="0">
                  <c:v>235</c:v>
                </c:pt>
                <c:pt idx="1">
                  <c:v>185</c:v>
                </c:pt>
                <c:pt idx="2">
                  <c:v>313</c:v>
                </c:pt>
                <c:pt idx="3">
                  <c:v>395</c:v>
                </c:pt>
                <c:pt idx="4">
                  <c:v>360</c:v>
                </c:pt>
                <c:pt idx="5">
                  <c:v>321</c:v>
                </c:pt>
                <c:pt idx="6">
                  <c:v>324</c:v>
                </c:pt>
                <c:pt idx="7">
                  <c:v>360</c:v>
                </c:pt>
                <c:pt idx="8">
                  <c:v>265</c:v>
                </c:pt>
                <c:pt idx="9">
                  <c:v>355</c:v>
                </c:pt>
                <c:pt idx="10">
                  <c:v>360</c:v>
                </c:pt>
                <c:pt idx="11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Ntinda-Kisaasi'!$AD$9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42240"/>
        <c:axId val="127652224"/>
      </c:lineChart>
      <c:catAx>
        <c:axId val="12764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652224"/>
        <c:crosses val="autoZero"/>
        <c:auto val="1"/>
        <c:lblAlgn val="ctr"/>
        <c:lblOffset val="100"/>
        <c:noMultiLvlLbl val="0"/>
      </c:catAx>
      <c:valAx>
        <c:axId val="12765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64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Ntinda-Kisaasi'!$C$60:$N$60</c:f>
              <c:numCache>
                <c:formatCode>0.00%</c:formatCode>
                <c:ptCount val="12"/>
                <c:pt idx="0">
                  <c:v>0.52088452088452086</c:v>
                </c:pt>
                <c:pt idx="1">
                  <c:v>0.2525798525798526</c:v>
                </c:pt>
                <c:pt idx="2">
                  <c:v>5.5036855036855035E-2</c:v>
                </c:pt>
                <c:pt idx="3">
                  <c:v>0.1257985257985258</c:v>
                </c:pt>
                <c:pt idx="4">
                  <c:v>0</c:v>
                </c:pt>
                <c:pt idx="5">
                  <c:v>2.4570024570024569E-4</c:v>
                </c:pt>
                <c:pt idx="6">
                  <c:v>3.0221130221130221E-2</c:v>
                </c:pt>
                <c:pt idx="7">
                  <c:v>7.3710073710073713E-3</c:v>
                </c:pt>
                <c:pt idx="8">
                  <c:v>1.2285012285012285E-3</c:v>
                </c:pt>
                <c:pt idx="9">
                  <c:v>6.633906633906634E-3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Kisaasi-Ntinda'!$AE$9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Kisaasi-Ntinda'!$R$10:$R$33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Kisaasi-Ntinda'!$AE$10:$AE$33</c:f>
              <c:numCache>
                <c:formatCode>0</c:formatCode>
                <c:ptCount val="24"/>
                <c:pt idx="0">
                  <c:v>637.71428571428578</c:v>
                </c:pt>
                <c:pt idx="1">
                  <c:v>461.71428571428567</c:v>
                </c:pt>
                <c:pt idx="2">
                  <c:v>400.85714285714289</c:v>
                </c:pt>
                <c:pt idx="3">
                  <c:v>361.42857142857144</c:v>
                </c:pt>
                <c:pt idx="4">
                  <c:v>357.14285714285711</c:v>
                </c:pt>
                <c:pt idx="5">
                  <c:v>380</c:v>
                </c:pt>
                <c:pt idx="6">
                  <c:v>275.42857142857144</c:v>
                </c:pt>
                <c:pt idx="7">
                  <c:v>329.64285714285717</c:v>
                </c:pt>
                <c:pt idx="8">
                  <c:v>335.85714285714283</c:v>
                </c:pt>
                <c:pt idx="9">
                  <c:v>385.71428571428567</c:v>
                </c:pt>
                <c:pt idx="10">
                  <c:v>391.99999999999989</c:v>
                </c:pt>
                <c:pt idx="11">
                  <c:v>327.42857142857139</c:v>
                </c:pt>
                <c:pt idx="12">
                  <c:v>237</c:v>
                </c:pt>
                <c:pt idx="13">
                  <c:v>281</c:v>
                </c:pt>
                <c:pt idx="14">
                  <c:v>247.5</c:v>
                </c:pt>
                <c:pt idx="15">
                  <c:v>241.5</c:v>
                </c:pt>
                <c:pt idx="16">
                  <c:v>165.5</c:v>
                </c:pt>
                <c:pt idx="17">
                  <c:v>92</c:v>
                </c:pt>
                <c:pt idx="18">
                  <c:v>63</c:v>
                </c:pt>
                <c:pt idx="19">
                  <c:v>53</c:v>
                </c:pt>
                <c:pt idx="20">
                  <c:v>36.5</c:v>
                </c:pt>
                <c:pt idx="21">
                  <c:v>34</c:v>
                </c:pt>
                <c:pt idx="22">
                  <c:v>63.5</c:v>
                </c:pt>
                <c:pt idx="23">
                  <c:v>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Kisaasi-Ntinda'!$AF$9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Kisaasi-Ntinda'!$R$10:$R$33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Kisaasi-Ntinda'!$AF$10:$AF$33</c:f>
              <c:numCache>
                <c:formatCode>0</c:formatCode>
                <c:ptCount val="24"/>
                <c:pt idx="0">
                  <c:v>1087.1428571428573</c:v>
                </c:pt>
                <c:pt idx="1">
                  <c:v>1030.4285714285716</c:v>
                </c:pt>
                <c:pt idx="2">
                  <c:v>903.14285714285711</c:v>
                </c:pt>
                <c:pt idx="3">
                  <c:v>753.71428571428567</c:v>
                </c:pt>
                <c:pt idx="4">
                  <c:v>751.14285714285711</c:v>
                </c:pt>
                <c:pt idx="5">
                  <c:v>783.14285714285711</c:v>
                </c:pt>
                <c:pt idx="6">
                  <c:v>639.14285714285711</c:v>
                </c:pt>
                <c:pt idx="7">
                  <c:v>666.07142857142856</c:v>
                </c:pt>
                <c:pt idx="8">
                  <c:v>674.71428571428567</c:v>
                </c:pt>
                <c:pt idx="9">
                  <c:v>755.85714285714289</c:v>
                </c:pt>
                <c:pt idx="10">
                  <c:v>785.42857142857133</c:v>
                </c:pt>
                <c:pt idx="11">
                  <c:v>695.57142857142867</c:v>
                </c:pt>
                <c:pt idx="12">
                  <c:v>576.5</c:v>
                </c:pt>
                <c:pt idx="13">
                  <c:v>627.5</c:v>
                </c:pt>
                <c:pt idx="14">
                  <c:v>533</c:v>
                </c:pt>
                <c:pt idx="15">
                  <c:v>547</c:v>
                </c:pt>
                <c:pt idx="16">
                  <c:v>374</c:v>
                </c:pt>
                <c:pt idx="17">
                  <c:v>219.5</c:v>
                </c:pt>
                <c:pt idx="18">
                  <c:v>148.5</c:v>
                </c:pt>
                <c:pt idx="19">
                  <c:v>130.5</c:v>
                </c:pt>
                <c:pt idx="20">
                  <c:v>97.5</c:v>
                </c:pt>
                <c:pt idx="21">
                  <c:v>77.5</c:v>
                </c:pt>
                <c:pt idx="22">
                  <c:v>123.5</c:v>
                </c:pt>
                <c:pt idx="23">
                  <c:v>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35776"/>
        <c:axId val="126237696"/>
      </c:lineChart>
      <c:catAx>
        <c:axId val="126235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237696"/>
        <c:crosses val="autoZero"/>
        <c:auto val="1"/>
        <c:lblAlgn val="ctr"/>
        <c:lblOffset val="100"/>
        <c:noMultiLvlLbl val="0"/>
      </c:catAx>
      <c:valAx>
        <c:axId val="126237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2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Kisaasi-Ntinda'!$C$107:$N$107</c:f>
              <c:numCache>
                <c:formatCode>0.0%</c:formatCode>
                <c:ptCount val="12"/>
                <c:pt idx="0">
                  <c:v>0.33032134426071552</c:v>
                </c:pt>
                <c:pt idx="1">
                  <c:v>0.12107005188150212</c:v>
                </c:pt>
                <c:pt idx="2">
                  <c:v>4.1300466199567169E-2</c:v>
                </c:pt>
                <c:pt idx="3">
                  <c:v>5.6864537708653733E-2</c:v>
                </c:pt>
                <c:pt idx="4">
                  <c:v>1.0172487686657555E-3</c:v>
                </c:pt>
                <c:pt idx="5">
                  <c:v>1.0706122296034987E-5</c:v>
                </c:pt>
                <c:pt idx="6">
                  <c:v>1.5863769390632262E-2</c:v>
                </c:pt>
                <c:pt idx="7">
                  <c:v>1.0134940103379265E-2</c:v>
                </c:pt>
                <c:pt idx="8">
                  <c:v>3.8172681735591479E-3</c:v>
                </c:pt>
                <c:pt idx="9">
                  <c:v>6.1142080231583063E-3</c:v>
                </c:pt>
                <c:pt idx="10">
                  <c:v>0.51462254666387408</c:v>
                </c:pt>
                <c:pt idx="11">
                  <c:v>7.4963719817312547E-5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14803152653626"/>
          <c:y val="0.15525309607460544"/>
          <c:w val="0.81894939565675329"/>
          <c:h val="0.8443035593662185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Kisaasi-Ntinda'!$C$9:$N$9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Kisaasi-Ntinda'!$C$108:$N$108</c:f>
              <c:numCache>
                <c:formatCode>0.00%</c:formatCode>
                <c:ptCount val="12"/>
                <c:pt idx="0">
                  <c:v>0.68671681987135269</c:v>
                </c:pt>
                <c:pt idx="1">
                  <c:v>0.25169684749194876</c:v>
                </c:pt>
                <c:pt idx="2">
                  <c:v>8.5861011710420265E-2</c:v>
                </c:pt>
                <c:pt idx="3">
                  <c:v>0.11821771489256266</c:v>
                </c:pt>
                <c:pt idx="4">
                  <c:v>2.1147947341993048E-3</c:v>
                </c:pt>
                <c:pt idx="5">
                  <c:v>2.2257339357653185E-5</c:v>
                </c:pt>
                <c:pt idx="6">
                  <c:v>3.2979755793525592E-2</c:v>
                </c:pt>
                <c:pt idx="7">
                  <c:v>2.1069888332393077E-2</c:v>
                </c:pt>
                <c:pt idx="8">
                  <c:v>7.935854907013408E-3</c:v>
                </c:pt>
                <c:pt idx="9">
                  <c:v>1.2711045055511808E-2</c:v>
                </c:pt>
                <c:pt idx="11">
                  <c:v>1.5584474988707004E-4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Ntinda-Kisaasi'!$AE$9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Ntinda-Kisaasi'!$R$10:$R$33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Ntinda-Kisaasi'!$AE$10:$AE$33</c:f>
              <c:numCache>
                <c:formatCode>0</c:formatCode>
                <c:ptCount val="24"/>
                <c:pt idx="0">
                  <c:v>286.57142857142861</c:v>
                </c:pt>
                <c:pt idx="1">
                  <c:v>260.14285714285717</c:v>
                </c:pt>
                <c:pt idx="2">
                  <c:v>319.28571428571433</c:v>
                </c:pt>
                <c:pt idx="3">
                  <c:v>333.28571428571428</c:v>
                </c:pt>
                <c:pt idx="4">
                  <c:v>339.28571428571428</c:v>
                </c:pt>
                <c:pt idx="5">
                  <c:v>378.28571428571428</c:v>
                </c:pt>
                <c:pt idx="6">
                  <c:v>351.57142857142856</c:v>
                </c:pt>
                <c:pt idx="7">
                  <c:v>396.42857142857139</c:v>
                </c:pt>
                <c:pt idx="8">
                  <c:v>352.71428571428567</c:v>
                </c:pt>
                <c:pt idx="9">
                  <c:v>441.42857142857139</c:v>
                </c:pt>
                <c:pt idx="10">
                  <c:v>500.42857142857133</c:v>
                </c:pt>
                <c:pt idx="11">
                  <c:v>444.28571428571433</c:v>
                </c:pt>
                <c:pt idx="12">
                  <c:v>393</c:v>
                </c:pt>
                <c:pt idx="13">
                  <c:v>358.5</c:v>
                </c:pt>
                <c:pt idx="14">
                  <c:v>353</c:v>
                </c:pt>
                <c:pt idx="15">
                  <c:v>369</c:v>
                </c:pt>
                <c:pt idx="16">
                  <c:v>326</c:v>
                </c:pt>
                <c:pt idx="17">
                  <c:v>333</c:v>
                </c:pt>
                <c:pt idx="18">
                  <c:v>328.5</c:v>
                </c:pt>
                <c:pt idx="19">
                  <c:v>275</c:v>
                </c:pt>
                <c:pt idx="20">
                  <c:v>246.5</c:v>
                </c:pt>
                <c:pt idx="21">
                  <c:v>241.5</c:v>
                </c:pt>
                <c:pt idx="22">
                  <c:v>226</c:v>
                </c:pt>
                <c:pt idx="23">
                  <c:v>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Ntinda-Kisaasi'!$AF$9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Ntinda-Kisaasi'!$R$10:$R$33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Ntinda-Kisaasi'!$AF$10:$AF$33</c:f>
              <c:numCache>
                <c:formatCode>0</c:formatCode>
                <c:ptCount val="24"/>
                <c:pt idx="0">
                  <c:v>596.14285714285711</c:v>
                </c:pt>
                <c:pt idx="1">
                  <c:v>657.42857142857144</c:v>
                </c:pt>
                <c:pt idx="2">
                  <c:v>712</c:v>
                </c:pt>
                <c:pt idx="3">
                  <c:v>707.42857142857133</c:v>
                </c:pt>
                <c:pt idx="4">
                  <c:v>647.14285714285711</c:v>
                </c:pt>
                <c:pt idx="5">
                  <c:v>696.85714285714278</c:v>
                </c:pt>
                <c:pt idx="6">
                  <c:v>670.57142857142856</c:v>
                </c:pt>
                <c:pt idx="7">
                  <c:v>713.57142857142844</c:v>
                </c:pt>
                <c:pt idx="8">
                  <c:v>642.85714285714289</c:v>
                </c:pt>
                <c:pt idx="9">
                  <c:v>768.14285714285711</c:v>
                </c:pt>
                <c:pt idx="10">
                  <c:v>841.99999999999989</c:v>
                </c:pt>
                <c:pt idx="11">
                  <c:v>761.42857142857144</c:v>
                </c:pt>
                <c:pt idx="12">
                  <c:v>713</c:v>
                </c:pt>
                <c:pt idx="13">
                  <c:v>698.5</c:v>
                </c:pt>
                <c:pt idx="14">
                  <c:v>690.5</c:v>
                </c:pt>
                <c:pt idx="15">
                  <c:v>676</c:v>
                </c:pt>
                <c:pt idx="16">
                  <c:v>603</c:v>
                </c:pt>
                <c:pt idx="17">
                  <c:v>562.5</c:v>
                </c:pt>
                <c:pt idx="18">
                  <c:v>542.5</c:v>
                </c:pt>
                <c:pt idx="19">
                  <c:v>458.5</c:v>
                </c:pt>
                <c:pt idx="20">
                  <c:v>413</c:v>
                </c:pt>
                <c:pt idx="21">
                  <c:v>419.5</c:v>
                </c:pt>
                <c:pt idx="22">
                  <c:v>423.5</c:v>
                </c:pt>
                <c:pt idx="23">
                  <c:v>460.5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89280"/>
        <c:axId val="128691200"/>
      </c:lineChart>
      <c:catAx>
        <c:axId val="128689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91200"/>
        <c:crosses val="autoZero"/>
        <c:auto val="1"/>
        <c:lblAlgn val="ctr"/>
        <c:lblOffset val="100"/>
        <c:noMultiLvlLbl val="0"/>
      </c:catAx>
      <c:valAx>
        <c:axId val="12869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8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Ntinda-Kisaasi'!$C$107:$N$107</c:f>
              <c:numCache>
                <c:formatCode>0.0%</c:formatCode>
                <c:ptCount val="12"/>
                <c:pt idx="0">
                  <c:v>0.25038350085500233</c:v>
                </c:pt>
                <c:pt idx="1">
                  <c:v>0.11628572671252282</c:v>
                </c:pt>
                <c:pt idx="2">
                  <c:v>3.5271552310761962E-2</c:v>
                </c:pt>
                <c:pt idx="3">
                  <c:v>8.4440768395191254E-2</c:v>
                </c:pt>
                <c:pt idx="4">
                  <c:v>1.1933301749789762E-3</c:v>
                </c:pt>
                <c:pt idx="5">
                  <c:v>1.6799634703026982E-4</c:v>
                </c:pt>
                <c:pt idx="6">
                  <c:v>1.8293591384753737E-2</c:v>
                </c:pt>
                <c:pt idx="7">
                  <c:v>6.6270296619770422E-3</c:v>
                </c:pt>
                <c:pt idx="8">
                  <c:v>2.6125206051921842E-3</c:v>
                </c:pt>
                <c:pt idx="9">
                  <c:v>7.2063649103950326E-3</c:v>
                </c:pt>
                <c:pt idx="10">
                  <c:v>0.46297482668276924</c:v>
                </c:pt>
                <c:pt idx="11">
                  <c:v>3.4761866122406924E-5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086090824749622E-2"/>
          <c:y val="0.23855468066491689"/>
          <c:w val="0.82182781835050078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Ntinda-Kisaasi'!$C$108:$N$108</c:f>
              <c:numCache>
                <c:formatCode>0.00%</c:formatCode>
                <c:ptCount val="12"/>
                <c:pt idx="0">
                  <c:v>0.46989224825145914</c:v>
                </c:pt>
                <c:pt idx="1">
                  <c:v>0.21823227719842964</c:v>
                </c:pt>
                <c:pt idx="2">
                  <c:v>6.6193774581899595E-2</c:v>
                </c:pt>
                <c:pt idx="3">
                  <c:v>0.15846915779117104</c:v>
                </c:pt>
                <c:pt idx="4">
                  <c:v>2.2395109778096047E-3</c:v>
                </c:pt>
                <c:pt idx="5">
                  <c:v>3.1527708868405135E-4</c:v>
                </c:pt>
                <c:pt idx="6">
                  <c:v>3.4331402648425428E-2</c:v>
                </c:pt>
                <c:pt idx="7">
                  <c:v>1.2436881250010233E-2</c:v>
                </c:pt>
                <c:pt idx="8">
                  <c:v>4.9028916705175637E-3</c:v>
                </c:pt>
                <c:pt idx="9">
                  <c:v>1.3524114000734066E-2</c:v>
                </c:pt>
                <c:pt idx="11">
                  <c:v>6.5237251535728267E-5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Kisaasi-Ntinda-2Dir'!$C$9:$N$9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Kisaasi-Ntinda-2Dir'!$C$107:$N$107</c:f>
              <c:numCache>
                <c:formatCode>0.0%</c:formatCode>
                <c:ptCount val="12"/>
                <c:pt idx="0">
                  <c:v>0.27918631376329639</c:v>
                </c:pt>
                <c:pt idx="1">
                  <c:v>0.11358907818383801</c:v>
                </c:pt>
                <c:pt idx="2">
                  <c:v>3.6728741543308893E-2</c:v>
                </c:pt>
                <c:pt idx="3">
                  <c:v>6.7050613304924025E-2</c:v>
                </c:pt>
                <c:pt idx="4">
                  <c:v>1.0537436850709043E-3</c:v>
                </c:pt>
                <c:pt idx="5">
                  <c:v>8.2492342384950302E-5</c:v>
                </c:pt>
                <c:pt idx="6">
                  <c:v>1.6287681563780593E-2</c:v>
                </c:pt>
                <c:pt idx="7">
                  <c:v>8.0812672486557831E-3</c:v>
                </c:pt>
                <c:pt idx="8">
                  <c:v>3.0972738152896442E-3</c:v>
                </c:pt>
                <c:pt idx="9">
                  <c:v>6.3490947138418541E-3</c:v>
                </c:pt>
                <c:pt idx="10">
                  <c:v>0.46844047463651262</c:v>
                </c:pt>
                <c:pt idx="11">
                  <c:v>5.3225199096232793E-5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Kisaasi-Ntinda-2Dir'!$C$9:$N$9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Kisaasi-Ntinda-2Dir'!$C$108:$N$108</c:f>
              <c:numCache>
                <c:formatCode>0.00%</c:formatCode>
                <c:ptCount val="12"/>
                <c:pt idx="0">
                  <c:v>0.52522116610060776</c:v>
                </c:pt>
                <c:pt idx="1">
                  <c:v>0.21369023178761459</c:v>
                </c:pt>
                <c:pt idx="2">
                  <c:v>6.9096196739571722E-2</c:v>
                </c:pt>
                <c:pt idx="3">
                  <c:v>0.12613942579445631</c:v>
                </c:pt>
                <c:pt idx="4">
                  <c:v>1.9823625291077993E-3</c:v>
                </c:pt>
                <c:pt idx="5">
                  <c:v>1.5518928445227458E-4</c:v>
                </c:pt>
                <c:pt idx="6">
                  <c:v>3.0641312565404345E-2</c:v>
                </c:pt>
                <c:pt idx="7">
                  <c:v>1.520293939447272E-2</c:v>
                </c:pt>
                <c:pt idx="8">
                  <c:v>5.8267675914032164E-3</c:v>
                </c:pt>
                <c:pt idx="9">
                  <c:v>1.1944277942343822E-2</c:v>
                </c:pt>
                <c:pt idx="11">
                  <c:v>1.0013027056534582E-4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Kisaasi-Ntinda-2Dir'!$AE$9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Kisaasi-Ntinda-2Dir'!$R$10:$R$33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Kisaasi-Ntinda-2Dir'!$AE$10:$AE$33</c:f>
              <c:numCache>
                <c:formatCode>0</c:formatCode>
                <c:ptCount val="24"/>
                <c:pt idx="0">
                  <c:v>924.28571428571433</c:v>
                </c:pt>
                <c:pt idx="1">
                  <c:v>721.85714285714278</c:v>
                </c:pt>
                <c:pt idx="2">
                  <c:v>720.14285714285722</c:v>
                </c:pt>
                <c:pt idx="3">
                  <c:v>694.71428571428567</c:v>
                </c:pt>
                <c:pt idx="4">
                  <c:v>696.42857142857144</c:v>
                </c:pt>
                <c:pt idx="5">
                  <c:v>758.28571428571422</c:v>
                </c:pt>
                <c:pt idx="6">
                  <c:v>627</c:v>
                </c:pt>
                <c:pt idx="7">
                  <c:v>726.07142857142844</c:v>
                </c:pt>
                <c:pt idx="8">
                  <c:v>688.57142857142844</c:v>
                </c:pt>
                <c:pt idx="9">
                  <c:v>827.14285714285711</c:v>
                </c:pt>
                <c:pt idx="10">
                  <c:v>892.42857142857133</c:v>
                </c:pt>
                <c:pt idx="11">
                  <c:v>771.71428571428567</c:v>
                </c:pt>
                <c:pt idx="12">
                  <c:v>458.75544421113159</c:v>
                </c:pt>
                <c:pt idx="13">
                  <c:v>621</c:v>
                </c:pt>
                <c:pt idx="14">
                  <c:v>490</c:v>
                </c:pt>
                <c:pt idx="15">
                  <c:v>497</c:v>
                </c:pt>
                <c:pt idx="16">
                  <c:v>388.5</c:v>
                </c:pt>
                <c:pt idx="17">
                  <c:v>236</c:v>
                </c:pt>
                <c:pt idx="18">
                  <c:v>176</c:v>
                </c:pt>
                <c:pt idx="19">
                  <c:v>119</c:v>
                </c:pt>
                <c:pt idx="20">
                  <c:v>101</c:v>
                </c:pt>
                <c:pt idx="21">
                  <c:v>103.5</c:v>
                </c:pt>
                <c:pt idx="22">
                  <c:v>146.5</c:v>
                </c:pt>
                <c:pt idx="23">
                  <c:v>1885.5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Kisaasi-Ntinda-2Dir'!$AF$9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Kisaasi-Ntinda-2Dir'!$R$10:$R$33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Kisaasi-Ntinda-2Dir'!$AF$10:$AF$33</c:f>
              <c:numCache>
                <c:formatCode>0</c:formatCode>
                <c:ptCount val="24"/>
                <c:pt idx="0">
                  <c:v>1683.2857142857142</c:v>
                </c:pt>
                <c:pt idx="1">
                  <c:v>1687.8571428571427</c:v>
                </c:pt>
                <c:pt idx="2">
                  <c:v>1615.1428571428573</c:v>
                </c:pt>
                <c:pt idx="3">
                  <c:v>1461.1428571428573</c:v>
                </c:pt>
                <c:pt idx="4">
                  <c:v>1398.2857142857142</c:v>
                </c:pt>
                <c:pt idx="5">
                  <c:v>1480</c:v>
                </c:pt>
                <c:pt idx="6">
                  <c:v>1309.7142857142858</c:v>
                </c:pt>
                <c:pt idx="7">
                  <c:v>1379.6428571428569</c:v>
                </c:pt>
                <c:pt idx="8">
                  <c:v>1317.5714285714284</c:v>
                </c:pt>
                <c:pt idx="9">
                  <c:v>1524</c:v>
                </c:pt>
                <c:pt idx="10">
                  <c:v>1627.4285714285716</c:v>
                </c:pt>
                <c:pt idx="11">
                  <c:v>1457.0000000000002</c:v>
                </c:pt>
                <c:pt idx="12">
                  <c:v>1008.59443130103</c:v>
                </c:pt>
                <c:pt idx="13">
                  <c:v>1244.5</c:v>
                </c:pt>
                <c:pt idx="14">
                  <c:v>942</c:v>
                </c:pt>
                <c:pt idx="15">
                  <c:v>1056.5</c:v>
                </c:pt>
                <c:pt idx="16">
                  <c:v>788.5</c:v>
                </c:pt>
                <c:pt idx="17">
                  <c:v>478</c:v>
                </c:pt>
                <c:pt idx="18">
                  <c:v>340</c:v>
                </c:pt>
                <c:pt idx="19">
                  <c:v>260</c:v>
                </c:pt>
                <c:pt idx="20">
                  <c:v>209</c:v>
                </c:pt>
                <c:pt idx="21">
                  <c:v>191.5</c:v>
                </c:pt>
                <c:pt idx="22">
                  <c:v>272.5</c:v>
                </c:pt>
                <c:pt idx="23">
                  <c:v>2116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Kisaasi-Ntinda-2Dir'!$AC$9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Kisaasi-Ntinda-2Dir'!$R$10:$R$33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Kisaasi-Ntinda-2Dir'!$AC$10:$AC$33</c:f>
              <c:numCache>
                <c:formatCode>0</c:formatCode>
                <c:ptCount val="24"/>
                <c:pt idx="0">
                  <c:v>759</c:v>
                </c:pt>
                <c:pt idx="1">
                  <c:v>966</c:v>
                </c:pt>
                <c:pt idx="2">
                  <c:v>895</c:v>
                </c:pt>
                <c:pt idx="3">
                  <c:v>766.42857142857156</c:v>
                </c:pt>
                <c:pt idx="4">
                  <c:v>701.85714285714289</c:v>
                </c:pt>
                <c:pt idx="5">
                  <c:v>721.71428571428555</c:v>
                </c:pt>
                <c:pt idx="6">
                  <c:v>682.71428571428567</c:v>
                </c:pt>
                <c:pt idx="7">
                  <c:v>653.57142857142856</c:v>
                </c:pt>
                <c:pt idx="8">
                  <c:v>629</c:v>
                </c:pt>
                <c:pt idx="9">
                  <c:v>696.85714285714289</c:v>
                </c:pt>
                <c:pt idx="10">
                  <c:v>735</c:v>
                </c:pt>
                <c:pt idx="11">
                  <c:v>685.28571428571422</c:v>
                </c:pt>
                <c:pt idx="12">
                  <c:v>549.83898708989852</c:v>
                </c:pt>
                <c:pt idx="13">
                  <c:v>623.5</c:v>
                </c:pt>
                <c:pt idx="14">
                  <c:v>452</c:v>
                </c:pt>
                <c:pt idx="15">
                  <c:v>559.5</c:v>
                </c:pt>
                <c:pt idx="16">
                  <c:v>400</c:v>
                </c:pt>
                <c:pt idx="17">
                  <c:v>242</c:v>
                </c:pt>
                <c:pt idx="18">
                  <c:v>164</c:v>
                </c:pt>
                <c:pt idx="19">
                  <c:v>141</c:v>
                </c:pt>
                <c:pt idx="20">
                  <c:v>108</c:v>
                </c:pt>
                <c:pt idx="21">
                  <c:v>88</c:v>
                </c:pt>
                <c:pt idx="22">
                  <c:v>126</c:v>
                </c:pt>
                <c:pt idx="23">
                  <c:v>230.5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23872"/>
        <c:axId val="111842048"/>
      </c:lineChart>
      <c:catAx>
        <c:axId val="111823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2048"/>
        <c:crosses val="autoZero"/>
        <c:auto val="1"/>
        <c:lblAlgn val="ctr"/>
        <c:lblOffset val="100"/>
        <c:noMultiLvlLbl val="0"/>
      </c:catAx>
      <c:valAx>
        <c:axId val="111842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387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Kisaasi-Ntinda-2Dir'!$S$9:$AF$9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Kisaasi-Ntinda-2Dir'!$S$41:$AF$41</c:f>
              <c:numCache>
                <c:formatCode>_-* #,##0_-;\-* #,##0_-;_-* "-"_-;_-@_-</c:formatCode>
                <c:ptCount val="14"/>
                <c:pt idx="0">
                  <c:v>7495.6404577233752</c:v>
                </c:pt>
                <c:pt idx="1">
                  <c:v>3049.658410949703</c:v>
                </c:pt>
                <c:pt idx="2">
                  <c:v>986.0993447791451</c:v>
                </c:pt>
                <c:pt idx="3">
                  <c:v>1800.1859870167709</c:v>
                </c:pt>
                <c:pt idx="4">
                  <c:v>28.291085230576858</c:v>
                </c:pt>
                <c:pt idx="5">
                  <c:v>2.2147680905205327</c:v>
                </c:pt>
                <c:pt idx="6">
                  <c:v>437.29437609716831</c:v>
                </c:pt>
                <c:pt idx="7">
                  <c:v>216.96720344986565</c:v>
                </c:pt>
                <c:pt idx="8">
                  <c:v>83.156121106336343</c:v>
                </c:pt>
                <c:pt idx="9">
                  <c:v>170.46154793726549</c:v>
                </c:pt>
                <c:pt idx="10">
                  <c:v>12576.76755851847</c:v>
                </c:pt>
                <c:pt idx="11">
                  <c:v>1.4289989732603918</c:v>
                </c:pt>
                <c:pt idx="12">
                  <c:v>14271.398301353989</c:v>
                </c:pt>
                <c:pt idx="13">
                  <c:v>26848.165859872457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1866240"/>
        <c:axId val="111867776"/>
      </c:barChart>
      <c:catAx>
        <c:axId val="1118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67776"/>
        <c:crosses val="autoZero"/>
        <c:auto val="1"/>
        <c:lblAlgn val="ctr"/>
        <c:lblOffset val="100"/>
        <c:noMultiLvlLbl val="0"/>
      </c:catAx>
      <c:valAx>
        <c:axId val="11186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6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Kisaasi-Ntinda-2Dir'!$S$9:$AF$9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Kisaasi-Ntinda-2Dir'!$S$42:$AF$42</c:f>
              <c:numCache>
                <c:formatCode>0.000</c:formatCode>
                <c:ptCount val="14"/>
                <c:pt idx="0">
                  <c:v>1.8897026292610972</c:v>
                </c:pt>
                <c:pt idx="1">
                  <c:v>1.3804713448427266</c:v>
                </c:pt>
                <c:pt idx="2">
                  <c:v>1.2598458502380026</c:v>
                </c:pt>
                <c:pt idx="3">
                  <c:v>1.3245009364218412</c:v>
                </c:pt>
                <c:pt idx="4">
                  <c:v>1.214954580454221</c:v>
                </c:pt>
                <c:pt idx="5">
                  <c:v>1.2919480528036442</c:v>
                </c:pt>
                <c:pt idx="6">
                  <c:v>1.2805106181469059</c:v>
                </c:pt>
                <c:pt idx="7">
                  <c:v>1.3369457959058624</c:v>
                </c:pt>
                <c:pt idx="8">
                  <c:v>1.4094257814633278</c:v>
                </c:pt>
                <c:pt idx="9">
                  <c:v>1.2016423318840468</c:v>
                </c:pt>
                <c:pt idx="10">
                  <c:v>1.4143231466517148</c:v>
                </c:pt>
                <c:pt idx="11">
                  <c:v>1.0002992812822744</c:v>
                </c:pt>
                <c:pt idx="12">
                  <c:v>1.5771866042970599</c:v>
                </c:pt>
                <c:pt idx="13">
                  <c:v>1.4964639077862623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6871040"/>
        <c:axId val="126872576"/>
      </c:barChart>
      <c:catAx>
        <c:axId val="1268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872576"/>
        <c:crosses val="autoZero"/>
        <c:auto val="1"/>
        <c:lblAlgn val="ctr"/>
        <c:lblOffset val="100"/>
        <c:noMultiLvlLbl val="0"/>
      </c:catAx>
      <c:valAx>
        <c:axId val="12687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8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587375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587375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263525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31</xdr:col>
      <xdr:colOff>555625</xdr:colOff>
      <xdr:row>74</xdr:row>
      <xdr:rowOff>284163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31</xdr:col>
      <xdr:colOff>555625</xdr:colOff>
      <xdr:row>92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1" t="s">
        <v>96</v>
      </c>
      <c r="C3" s="61" t="s">
        <v>163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56" t="s">
        <v>167</v>
      </c>
      <c r="H5" s="57"/>
      <c r="I5" s="14"/>
      <c r="J5" s="2" t="s">
        <v>5</v>
      </c>
      <c r="K5" s="56" t="s">
        <v>169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164</v>
      </c>
      <c r="E6" s="57"/>
      <c r="F6" s="2" t="s">
        <v>2</v>
      </c>
      <c r="G6" s="56" t="s">
        <v>165</v>
      </c>
      <c r="H6" s="57"/>
      <c r="J6" s="2" t="s">
        <v>21</v>
      </c>
      <c r="K6" s="56" t="s">
        <v>166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140</v>
      </c>
      <c r="D10" s="50">
        <v>80</v>
      </c>
      <c r="E10" s="50">
        <v>16</v>
      </c>
      <c r="F10" s="50">
        <v>26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2</v>
      </c>
      <c r="M10" s="50">
        <v>100</v>
      </c>
      <c r="N10" s="50">
        <v>0</v>
      </c>
      <c r="O10" s="15">
        <f t="shared" ref="O10:O57" si="0">SUM(C10:L10,N10)</f>
        <v>267</v>
      </c>
      <c r="P10" s="15">
        <f t="shared" ref="P10:P57" si="1">SUM(C10:N10)</f>
        <v>367</v>
      </c>
      <c r="R10" s="1" t="s">
        <v>6</v>
      </c>
      <c r="S10" s="17">
        <f t="shared" ref="S10:AF10" si="2">SUM(C10:C13)</f>
        <v>580</v>
      </c>
      <c r="T10" s="17">
        <f t="shared" si="2"/>
        <v>248</v>
      </c>
      <c r="U10" s="17">
        <f t="shared" si="2"/>
        <v>48</v>
      </c>
      <c r="V10" s="17">
        <f t="shared" si="2"/>
        <v>83</v>
      </c>
      <c r="W10" s="17">
        <f t="shared" si="2"/>
        <v>0</v>
      </c>
      <c r="X10" s="17">
        <f t="shared" si="2"/>
        <v>0</v>
      </c>
      <c r="Y10" s="17">
        <f t="shared" si="2"/>
        <v>12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364</v>
      </c>
      <c r="AD10" s="17">
        <f t="shared" si="2"/>
        <v>0</v>
      </c>
      <c r="AE10" s="31">
        <f t="shared" si="2"/>
        <v>974</v>
      </c>
      <c r="AF10" s="31">
        <f t="shared" si="2"/>
        <v>1338</v>
      </c>
    </row>
    <row r="11" spans="2:32" s="6" customFormat="1" ht="23.1" customHeight="1" x14ac:dyDescent="0.25">
      <c r="B11" s="23" t="s">
        <v>38</v>
      </c>
      <c r="C11" s="50">
        <v>145</v>
      </c>
      <c r="D11" s="50">
        <v>60</v>
      </c>
      <c r="E11" s="50">
        <v>7</v>
      </c>
      <c r="F11" s="50">
        <v>23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95</v>
      </c>
      <c r="N11" s="50">
        <v>0</v>
      </c>
      <c r="O11" s="15">
        <f t="shared" si="0"/>
        <v>239</v>
      </c>
      <c r="P11" s="15">
        <f t="shared" si="1"/>
        <v>334</v>
      </c>
      <c r="R11" s="1" t="s">
        <v>7</v>
      </c>
      <c r="S11" s="17">
        <f t="shared" ref="S11:AF11" si="3">SUM(C14:C17)</f>
        <v>273</v>
      </c>
      <c r="T11" s="17">
        <f t="shared" si="3"/>
        <v>163</v>
      </c>
      <c r="U11" s="17">
        <f t="shared" si="3"/>
        <v>40</v>
      </c>
      <c r="V11" s="17">
        <f t="shared" si="3"/>
        <v>60</v>
      </c>
      <c r="W11" s="17">
        <f t="shared" si="3"/>
        <v>3</v>
      </c>
      <c r="X11" s="17">
        <f t="shared" si="3"/>
        <v>0</v>
      </c>
      <c r="Y11" s="17">
        <f t="shared" si="3"/>
        <v>10</v>
      </c>
      <c r="Z11" s="17">
        <f t="shared" si="3"/>
        <v>4</v>
      </c>
      <c r="AA11" s="17">
        <f t="shared" si="3"/>
        <v>1</v>
      </c>
      <c r="AB11" s="17">
        <f t="shared" si="3"/>
        <v>4</v>
      </c>
      <c r="AC11" s="17">
        <f t="shared" si="3"/>
        <v>851</v>
      </c>
      <c r="AD11" s="17">
        <f t="shared" si="3"/>
        <v>0</v>
      </c>
      <c r="AE11" s="31">
        <f t="shared" si="3"/>
        <v>558</v>
      </c>
      <c r="AF11" s="31">
        <f t="shared" si="3"/>
        <v>1409</v>
      </c>
    </row>
    <row r="12" spans="2:32" ht="23.1" customHeight="1" x14ac:dyDescent="0.25">
      <c r="B12" s="23" t="s">
        <v>39</v>
      </c>
      <c r="C12" s="50">
        <v>160</v>
      </c>
      <c r="D12" s="50">
        <v>60</v>
      </c>
      <c r="E12" s="50">
        <v>7</v>
      </c>
      <c r="F12" s="50">
        <v>23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105</v>
      </c>
      <c r="N12" s="50">
        <v>0</v>
      </c>
      <c r="O12" s="15">
        <f t="shared" si="0"/>
        <v>254</v>
      </c>
      <c r="P12" s="15">
        <f t="shared" si="1"/>
        <v>359</v>
      </c>
      <c r="R12" s="1" t="s">
        <v>8</v>
      </c>
      <c r="S12" s="17">
        <f t="shared" ref="S12:AF12" si="4">SUM(C18:C21)</f>
        <v>211</v>
      </c>
      <c r="T12" s="17">
        <f t="shared" si="4"/>
        <v>112</v>
      </c>
      <c r="U12" s="17">
        <f t="shared" si="4"/>
        <v>34</v>
      </c>
      <c r="V12" s="17">
        <f t="shared" si="4"/>
        <v>46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2</v>
      </c>
      <c r="AA12" s="17">
        <f t="shared" si="4"/>
        <v>0</v>
      </c>
      <c r="AB12" s="17">
        <f t="shared" si="4"/>
        <v>4</v>
      </c>
      <c r="AC12" s="17">
        <f t="shared" si="4"/>
        <v>617</v>
      </c>
      <c r="AD12" s="17">
        <f t="shared" si="4"/>
        <v>0</v>
      </c>
      <c r="AE12" s="31">
        <f t="shared" si="4"/>
        <v>418</v>
      </c>
      <c r="AF12" s="31">
        <f t="shared" si="4"/>
        <v>1035</v>
      </c>
    </row>
    <row r="13" spans="2:32" ht="23.1" customHeight="1" x14ac:dyDescent="0.25">
      <c r="B13" s="23" t="s">
        <v>40</v>
      </c>
      <c r="C13" s="50">
        <v>135</v>
      </c>
      <c r="D13" s="50">
        <v>48</v>
      </c>
      <c r="E13" s="50">
        <v>18</v>
      </c>
      <c r="F13" s="50">
        <v>11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64</v>
      </c>
      <c r="N13" s="50">
        <v>0</v>
      </c>
      <c r="O13" s="15">
        <f t="shared" si="0"/>
        <v>214</v>
      </c>
      <c r="P13" s="15">
        <f t="shared" si="1"/>
        <v>278</v>
      </c>
      <c r="R13" s="1" t="s">
        <v>9</v>
      </c>
      <c r="S13" s="17">
        <f t="shared" ref="S13:AF13" si="5">SUM(C22:C25)</f>
        <v>192</v>
      </c>
      <c r="T13" s="17">
        <f t="shared" si="5"/>
        <v>74</v>
      </c>
      <c r="U13" s="17">
        <f t="shared" si="5"/>
        <v>26</v>
      </c>
      <c r="V13" s="17">
        <f t="shared" si="5"/>
        <v>40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7</v>
      </c>
      <c r="AA13" s="17">
        <f t="shared" si="5"/>
        <v>3</v>
      </c>
      <c r="AB13" s="17">
        <f t="shared" si="5"/>
        <v>4</v>
      </c>
      <c r="AC13" s="17">
        <f t="shared" si="5"/>
        <v>308</v>
      </c>
      <c r="AD13" s="17">
        <f t="shared" si="5"/>
        <v>0</v>
      </c>
      <c r="AE13" s="31">
        <f t="shared" si="5"/>
        <v>357</v>
      </c>
      <c r="AF13" s="31">
        <f t="shared" si="5"/>
        <v>665</v>
      </c>
    </row>
    <row r="14" spans="2:32" ht="23.1" customHeight="1" x14ac:dyDescent="0.25">
      <c r="B14" s="23" t="s">
        <v>41</v>
      </c>
      <c r="C14" s="50">
        <v>80</v>
      </c>
      <c r="D14" s="50">
        <v>52</v>
      </c>
      <c r="E14" s="50">
        <v>10</v>
      </c>
      <c r="F14" s="50">
        <v>19</v>
      </c>
      <c r="G14" s="50">
        <v>1</v>
      </c>
      <c r="H14" s="50">
        <v>0</v>
      </c>
      <c r="I14" s="50">
        <v>3</v>
      </c>
      <c r="J14" s="50">
        <v>2</v>
      </c>
      <c r="K14" s="50">
        <v>1</v>
      </c>
      <c r="L14" s="50">
        <v>2</v>
      </c>
      <c r="M14" s="50">
        <v>185</v>
      </c>
      <c r="N14" s="50">
        <v>0</v>
      </c>
      <c r="O14" s="15">
        <f t="shared" si="0"/>
        <v>170</v>
      </c>
      <c r="P14" s="15">
        <f t="shared" si="1"/>
        <v>355</v>
      </c>
      <c r="R14" s="1" t="s">
        <v>10</v>
      </c>
      <c r="S14" s="17">
        <f t="shared" ref="S14:AF14" si="6">SUM(C26:C29)</f>
        <v>170</v>
      </c>
      <c r="T14" s="17">
        <f t="shared" si="6"/>
        <v>78</v>
      </c>
      <c r="U14" s="17">
        <f t="shared" si="6"/>
        <v>16</v>
      </c>
      <c r="V14" s="17">
        <f t="shared" si="6"/>
        <v>35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8</v>
      </c>
      <c r="AA14" s="17">
        <f t="shared" si="6"/>
        <v>1</v>
      </c>
      <c r="AB14" s="17">
        <f t="shared" si="6"/>
        <v>1</v>
      </c>
      <c r="AC14" s="17">
        <f t="shared" si="6"/>
        <v>456</v>
      </c>
      <c r="AD14" s="17">
        <f t="shared" si="6"/>
        <v>0</v>
      </c>
      <c r="AE14" s="31">
        <f t="shared" si="6"/>
        <v>317</v>
      </c>
      <c r="AF14" s="31">
        <f t="shared" si="6"/>
        <v>773</v>
      </c>
    </row>
    <row r="15" spans="2:32" ht="23.1" customHeight="1" x14ac:dyDescent="0.25">
      <c r="B15" s="23" t="s">
        <v>42</v>
      </c>
      <c r="C15" s="50">
        <v>81</v>
      </c>
      <c r="D15" s="50">
        <v>49</v>
      </c>
      <c r="E15" s="50">
        <v>10</v>
      </c>
      <c r="F15" s="50">
        <v>15</v>
      </c>
      <c r="G15" s="50">
        <v>2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220</v>
      </c>
      <c r="N15" s="50">
        <v>0</v>
      </c>
      <c r="O15" s="15">
        <f t="shared" si="0"/>
        <v>159</v>
      </c>
      <c r="P15" s="15">
        <f t="shared" si="1"/>
        <v>379</v>
      </c>
      <c r="R15" s="1" t="s">
        <v>11</v>
      </c>
      <c r="S15" s="17">
        <f t="shared" ref="S15:AF15" si="7">SUM(C30:C33)</f>
        <v>169</v>
      </c>
      <c r="T15" s="17">
        <f t="shared" si="7"/>
        <v>65</v>
      </c>
      <c r="U15" s="17">
        <f t="shared" si="7"/>
        <v>19</v>
      </c>
      <c r="V15" s="17">
        <f t="shared" si="7"/>
        <v>30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8</v>
      </c>
      <c r="AA15" s="17">
        <f t="shared" si="7"/>
        <v>4</v>
      </c>
      <c r="AB15" s="17">
        <f t="shared" si="7"/>
        <v>13</v>
      </c>
      <c r="AC15" s="17">
        <f t="shared" si="7"/>
        <v>366</v>
      </c>
      <c r="AD15" s="17">
        <f t="shared" si="7"/>
        <v>0</v>
      </c>
      <c r="AE15" s="31">
        <f t="shared" si="7"/>
        <v>321</v>
      </c>
      <c r="AF15" s="31">
        <f t="shared" si="7"/>
        <v>687</v>
      </c>
    </row>
    <row r="16" spans="2:32" ht="23.1" customHeight="1" x14ac:dyDescent="0.25">
      <c r="B16" s="23" t="s">
        <v>43</v>
      </c>
      <c r="C16" s="50">
        <v>60</v>
      </c>
      <c r="D16" s="50">
        <v>31</v>
      </c>
      <c r="E16" s="50">
        <v>13</v>
      </c>
      <c r="F16" s="50">
        <v>12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255</v>
      </c>
      <c r="N16" s="50">
        <v>0</v>
      </c>
      <c r="O16" s="15">
        <f t="shared" si="0"/>
        <v>119</v>
      </c>
      <c r="P16" s="15">
        <f t="shared" si="1"/>
        <v>374</v>
      </c>
      <c r="R16" s="1" t="s">
        <v>12</v>
      </c>
      <c r="S16" s="17">
        <f t="shared" ref="S16:AF16" si="8">SUM(C34:C37)</f>
        <v>96</v>
      </c>
      <c r="T16" s="17">
        <f t="shared" si="8"/>
        <v>43</v>
      </c>
      <c r="U16" s="17">
        <f t="shared" si="8"/>
        <v>25</v>
      </c>
      <c r="V16" s="17">
        <f t="shared" si="8"/>
        <v>29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10</v>
      </c>
      <c r="AA16" s="17">
        <f t="shared" si="8"/>
        <v>3</v>
      </c>
      <c r="AB16" s="17">
        <f t="shared" si="8"/>
        <v>3</v>
      </c>
      <c r="AC16" s="17">
        <f t="shared" si="8"/>
        <v>343</v>
      </c>
      <c r="AD16" s="17">
        <f t="shared" si="8"/>
        <v>0</v>
      </c>
      <c r="AE16" s="31">
        <f t="shared" si="8"/>
        <v>219</v>
      </c>
      <c r="AF16" s="31">
        <f t="shared" si="8"/>
        <v>562</v>
      </c>
    </row>
    <row r="17" spans="2:32" ht="23.1" customHeight="1" x14ac:dyDescent="0.25">
      <c r="B17" s="23" t="s">
        <v>44</v>
      </c>
      <c r="C17" s="50">
        <v>52</v>
      </c>
      <c r="D17" s="50">
        <v>31</v>
      </c>
      <c r="E17" s="50">
        <v>7</v>
      </c>
      <c r="F17" s="50">
        <v>14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2</v>
      </c>
      <c r="M17" s="50">
        <v>191</v>
      </c>
      <c r="N17" s="50">
        <v>0</v>
      </c>
      <c r="O17" s="15">
        <f t="shared" si="0"/>
        <v>110</v>
      </c>
      <c r="P17" s="15">
        <f t="shared" si="1"/>
        <v>301</v>
      </c>
      <c r="R17" s="1" t="s">
        <v>13</v>
      </c>
      <c r="S17" s="17">
        <f t="shared" ref="S17:AF17" si="9">SUM(C38:C41)</f>
        <v>149</v>
      </c>
      <c r="T17" s="17">
        <f t="shared" si="9"/>
        <v>65</v>
      </c>
      <c r="U17" s="17">
        <f t="shared" si="9"/>
        <v>27</v>
      </c>
      <c r="V17" s="17">
        <f t="shared" si="9"/>
        <v>38</v>
      </c>
      <c r="W17" s="17">
        <f t="shared" si="9"/>
        <v>1</v>
      </c>
      <c r="X17" s="17">
        <f t="shared" si="9"/>
        <v>0</v>
      </c>
      <c r="Y17" s="17">
        <f t="shared" si="9"/>
        <v>13</v>
      </c>
      <c r="Z17" s="17">
        <f t="shared" si="9"/>
        <v>12</v>
      </c>
      <c r="AA17" s="17">
        <f t="shared" si="9"/>
        <v>4</v>
      </c>
      <c r="AB17" s="17">
        <f t="shared" si="9"/>
        <v>7</v>
      </c>
      <c r="AC17" s="17">
        <f t="shared" si="9"/>
        <v>348</v>
      </c>
      <c r="AD17" s="17">
        <f t="shared" si="9"/>
        <v>0</v>
      </c>
      <c r="AE17" s="31">
        <f t="shared" si="9"/>
        <v>316</v>
      </c>
      <c r="AF17" s="31">
        <f t="shared" si="9"/>
        <v>664</v>
      </c>
    </row>
    <row r="18" spans="2:32" ht="23.1" customHeight="1" x14ac:dyDescent="0.25">
      <c r="B18" s="23" t="s">
        <v>45</v>
      </c>
      <c r="C18" s="50">
        <v>52</v>
      </c>
      <c r="D18" s="50">
        <v>32</v>
      </c>
      <c r="E18" s="50">
        <v>7</v>
      </c>
      <c r="F18" s="50">
        <v>11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3</v>
      </c>
      <c r="M18" s="50">
        <v>182</v>
      </c>
      <c r="N18" s="50">
        <v>0</v>
      </c>
      <c r="O18" s="15">
        <f t="shared" si="0"/>
        <v>109</v>
      </c>
      <c r="P18" s="15">
        <f t="shared" si="1"/>
        <v>291</v>
      </c>
      <c r="R18" s="1" t="s">
        <v>14</v>
      </c>
      <c r="S18" s="17">
        <f t="shared" ref="S18:AF18" si="10">SUM(C42:C45)</f>
        <v>169</v>
      </c>
      <c r="T18" s="17">
        <f t="shared" si="10"/>
        <v>61</v>
      </c>
      <c r="U18" s="17">
        <f t="shared" si="10"/>
        <v>18</v>
      </c>
      <c r="V18" s="17">
        <f t="shared" si="10"/>
        <v>30</v>
      </c>
      <c r="W18" s="17">
        <f t="shared" si="10"/>
        <v>1</v>
      </c>
      <c r="X18" s="17">
        <f t="shared" si="10"/>
        <v>0</v>
      </c>
      <c r="Y18" s="17">
        <f t="shared" si="10"/>
        <v>11</v>
      </c>
      <c r="Z18" s="17">
        <f t="shared" si="10"/>
        <v>8</v>
      </c>
      <c r="AA18" s="17">
        <f t="shared" si="10"/>
        <v>4</v>
      </c>
      <c r="AB18" s="17">
        <f t="shared" si="10"/>
        <v>13</v>
      </c>
      <c r="AC18" s="17">
        <f t="shared" si="10"/>
        <v>368</v>
      </c>
      <c r="AD18" s="17">
        <f t="shared" si="10"/>
        <v>0</v>
      </c>
      <c r="AE18" s="31">
        <f t="shared" si="10"/>
        <v>315</v>
      </c>
      <c r="AF18" s="31">
        <f t="shared" si="10"/>
        <v>683</v>
      </c>
    </row>
    <row r="19" spans="2:32" ht="23.1" customHeight="1" x14ac:dyDescent="0.25">
      <c r="B19" s="23" t="s">
        <v>46</v>
      </c>
      <c r="C19" s="50">
        <v>57</v>
      </c>
      <c r="D19" s="50">
        <v>33</v>
      </c>
      <c r="E19" s="50">
        <v>12</v>
      </c>
      <c r="F19" s="50">
        <v>12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148</v>
      </c>
      <c r="N19" s="50">
        <v>0</v>
      </c>
      <c r="O19" s="15">
        <f t="shared" si="0"/>
        <v>118</v>
      </c>
      <c r="P19" s="15">
        <f t="shared" si="1"/>
        <v>266</v>
      </c>
      <c r="R19" s="1" t="s">
        <v>15</v>
      </c>
      <c r="S19" s="17">
        <f t="shared" ref="S19:AF19" si="11">SUM(C46:C49)</f>
        <v>196</v>
      </c>
      <c r="T19" s="17">
        <f t="shared" si="11"/>
        <v>86</v>
      </c>
      <c r="U19" s="17">
        <f t="shared" si="11"/>
        <v>17</v>
      </c>
      <c r="V19" s="17">
        <f t="shared" si="11"/>
        <v>36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5</v>
      </c>
      <c r="AA19" s="17">
        <f t="shared" si="11"/>
        <v>4</v>
      </c>
      <c r="AB19" s="17">
        <f t="shared" si="11"/>
        <v>5</v>
      </c>
      <c r="AC19" s="17">
        <f t="shared" si="11"/>
        <v>405</v>
      </c>
      <c r="AD19" s="17">
        <f t="shared" si="11"/>
        <v>0</v>
      </c>
      <c r="AE19" s="31">
        <f t="shared" si="11"/>
        <v>357</v>
      </c>
      <c r="AF19" s="31">
        <f t="shared" si="11"/>
        <v>762</v>
      </c>
    </row>
    <row r="20" spans="2:32" ht="23.1" customHeight="1" x14ac:dyDescent="0.25">
      <c r="B20" s="23" t="s">
        <v>47</v>
      </c>
      <c r="C20" s="50">
        <v>48</v>
      </c>
      <c r="D20" s="50">
        <v>24</v>
      </c>
      <c r="E20" s="50">
        <v>6</v>
      </c>
      <c r="F20" s="50">
        <v>10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</v>
      </c>
      <c r="M20" s="50">
        <v>154</v>
      </c>
      <c r="N20" s="50">
        <v>0</v>
      </c>
      <c r="O20" s="15">
        <f t="shared" si="0"/>
        <v>90</v>
      </c>
      <c r="P20" s="15">
        <f t="shared" si="1"/>
        <v>244</v>
      </c>
      <c r="R20" s="1" t="s">
        <v>16</v>
      </c>
      <c r="S20" s="17">
        <f t="shared" ref="S20:AF20" si="12">SUM(C50:C53)</f>
        <v>199</v>
      </c>
      <c r="T20" s="17">
        <f t="shared" si="12"/>
        <v>69</v>
      </c>
      <c r="U20" s="17">
        <f t="shared" si="12"/>
        <v>12</v>
      </c>
      <c r="V20" s="17">
        <f t="shared" si="12"/>
        <v>37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4</v>
      </c>
      <c r="AA20" s="17">
        <f t="shared" si="12"/>
        <v>2</v>
      </c>
      <c r="AB20" s="17">
        <f t="shared" si="12"/>
        <v>5</v>
      </c>
      <c r="AC20" s="17">
        <f t="shared" si="12"/>
        <v>371</v>
      </c>
      <c r="AD20" s="17">
        <f t="shared" si="12"/>
        <v>0</v>
      </c>
      <c r="AE20" s="31">
        <f t="shared" si="12"/>
        <v>335</v>
      </c>
      <c r="AF20" s="31">
        <f t="shared" si="12"/>
        <v>706</v>
      </c>
    </row>
    <row r="21" spans="2:32" ht="23.1" customHeight="1" x14ac:dyDescent="0.25">
      <c r="B21" s="23" t="s">
        <v>48</v>
      </c>
      <c r="C21" s="50">
        <v>54</v>
      </c>
      <c r="D21" s="50">
        <v>23</v>
      </c>
      <c r="E21" s="50">
        <v>9</v>
      </c>
      <c r="F21" s="50">
        <v>13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133</v>
      </c>
      <c r="N21" s="50">
        <v>0</v>
      </c>
      <c r="O21" s="15">
        <f t="shared" si="0"/>
        <v>101</v>
      </c>
      <c r="P21" s="15">
        <f t="shared" si="1"/>
        <v>234</v>
      </c>
      <c r="R21" s="36" t="s">
        <v>20</v>
      </c>
      <c r="S21" s="34">
        <f t="shared" ref="S21:AF21" si="13">SUM(C54:C57)</f>
        <v>130</v>
      </c>
      <c r="T21" s="17">
        <f t="shared" si="13"/>
        <v>67</v>
      </c>
      <c r="U21" s="17">
        <f t="shared" si="13"/>
        <v>17</v>
      </c>
      <c r="V21" s="17">
        <f t="shared" si="13"/>
        <v>40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2</v>
      </c>
      <c r="AA21" s="17">
        <f t="shared" si="13"/>
        <v>5</v>
      </c>
      <c r="AB21" s="17">
        <f t="shared" si="13"/>
        <v>1</v>
      </c>
      <c r="AC21" s="17">
        <f t="shared" si="13"/>
        <v>375</v>
      </c>
      <c r="AD21" s="17">
        <f t="shared" si="13"/>
        <v>0</v>
      </c>
      <c r="AE21" s="31">
        <f t="shared" si="13"/>
        <v>267</v>
      </c>
      <c r="AF21" s="31">
        <f t="shared" si="13"/>
        <v>642</v>
      </c>
    </row>
    <row r="22" spans="2:32" ht="23.1" customHeight="1" x14ac:dyDescent="0.25">
      <c r="B22" s="23" t="s">
        <v>49</v>
      </c>
      <c r="C22" s="50">
        <v>46</v>
      </c>
      <c r="D22" s="50">
        <v>11</v>
      </c>
      <c r="E22" s="50">
        <v>5</v>
      </c>
      <c r="F22" s="50">
        <v>11</v>
      </c>
      <c r="G22" s="50">
        <v>0</v>
      </c>
      <c r="H22" s="50">
        <v>0</v>
      </c>
      <c r="I22" s="50">
        <v>1</v>
      </c>
      <c r="J22" s="50">
        <v>2</v>
      </c>
      <c r="K22" s="50">
        <v>2</v>
      </c>
      <c r="L22" s="50">
        <v>2</v>
      </c>
      <c r="M22" s="50">
        <v>45</v>
      </c>
      <c r="N22" s="50">
        <v>0</v>
      </c>
      <c r="O22" s="15">
        <f t="shared" si="0"/>
        <v>80</v>
      </c>
      <c r="P22" s="15">
        <f t="shared" si="1"/>
        <v>125</v>
      </c>
      <c r="R22" s="38" t="s">
        <v>90</v>
      </c>
      <c r="S22" s="39">
        <f>MAX(S10:S12)</f>
        <v>580</v>
      </c>
      <c r="T22" s="39">
        <f t="shared" ref="T22:AF22" si="14">MAX(T10:T12)</f>
        <v>248</v>
      </c>
      <c r="U22" s="39">
        <f t="shared" si="14"/>
        <v>48</v>
      </c>
      <c r="V22" s="39">
        <f t="shared" si="14"/>
        <v>83</v>
      </c>
      <c r="W22" s="39">
        <f t="shared" si="14"/>
        <v>3</v>
      </c>
      <c r="X22" s="39">
        <f t="shared" si="14"/>
        <v>0</v>
      </c>
      <c r="Y22" s="39">
        <f t="shared" si="14"/>
        <v>12</v>
      </c>
      <c r="Z22" s="39">
        <f t="shared" si="14"/>
        <v>4</v>
      </c>
      <c r="AA22" s="39">
        <f t="shared" si="14"/>
        <v>1</v>
      </c>
      <c r="AB22" s="39">
        <f t="shared" si="14"/>
        <v>4</v>
      </c>
      <c r="AC22" s="39">
        <f t="shared" si="14"/>
        <v>851</v>
      </c>
      <c r="AD22" s="39">
        <f t="shared" si="14"/>
        <v>0</v>
      </c>
      <c r="AE22" s="40">
        <f t="shared" si="14"/>
        <v>974</v>
      </c>
      <c r="AF22" s="40">
        <f t="shared" si="14"/>
        <v>1409</v>
      </c>
    </row>
    <row r="23" spans="2:32" ht="23.1" customHeight="1" x14ac:dyDescent="0.25">
      <c r="B23" s="23" t="s">
        <v>50</v>
      </c>
      <c r="C23" s="50">
        <v>37</v>
      </c>
      <c r="D23" s="50">
        <v>20</v>
      </c>
      <c r="E23" s="50">
        <v>9</v>
      </c>
      <c r="F23" s="50">
        <v>8</v>
      </c>
      <c r="G23" s="50">
        <v>0</v>
      </c>
      <c r="H23" s="50">
        <v>0</v>
      </c>
      <c r="I23" s="50">
        <v>4</v>
      </c>
      <c r="J23" s="50">
        <v>2</v>
      </c>
      <c r="K23" s="50">
        <v>0</v>
      </c>
      <c r="L23" s="50">
        <v>1</v>
      </c>
      <c r="M23" s="50">
        <v>110</v>
      </c>
      <c r="N23" s="50">
        <v>0</v>
      </c>
      <c r="O23" s="15">
        <f t="shared" si="0"/>
        <v>81</v>
      </c>
      <c r="P23" s="15">
        <f t="shared" si="1"/>
        <v>191</v>
      </c>
      <c r="R23" s="38" t="s">
        <v>91</v>
      </c>
      <c r="S23" s="39">
        <f>MAX(S13:S18)</f>
        <v>192</v>
      </c>
      <c r="T23" s="39">
        <f t="shared" ref="T23:AF23" si="15">MAX(T13:T18)</f>
        <v>78</v>
      </c>
      <c r="U23" s="39">
        <f t="shared" si="15"/>
        <v>27</v>
      </c>
      <c r="V23" s="39">
        <f t="shared" si="15"/>
        <v>40</v>
      </c>
      <c r="W23" s="39">
        <f t="shared" si="15"/>
        <v>1</v>
      </c>
      <c r="X23" s="39">
        <f t="shared" si="15"/>
        <v>0</v>
      </c>
      <c r="Y23" s="39">
        <f t="shared" si="15"/>
        <v>13</v>
      </c>
      <c r="Z23" s="39">
        <f t="shared" si="15"/>
        <v>12</v>
      </c>
      <c r="AA23" s="39">
        <f t="shared" si="15"/>
        <v>4</v>
      </c>
      <c r="AB23" s="39">
        <f t="shared" si="15"/>
        <v>13</v>
      </c>
      <c r="AC23" s="39">
        <f t="shared" si="15"/>
        <v>456</v>
      </c>
      <c r="AD23" s="39">
        <f t="shared" si="15"/>
        <v>0</v>
      </c>
      <c r="AE23" s="40">
        <f t="shared" si="15"/>
        <v>357</v>
      </c>
      <c r="AF23" s="40">
        <f t="shared" si="15"/>
        <v>773</v>
      </c>
    </row>
    <row r="24" spans="2:32" ht="23.1" customHeight="1" x14ac:dyDescent="0.25">
      <c r="B24" s="23" t="s">
        <v>51</v>
      </c>
      <c r="C24" s="50">
        <v>65</v>
      </c>
      <c r="D24" s="50">
        <v>25</v>
      </c>
      <c r="E24" s="50">
        <v>7</v>
      </c>
      <c r="F24" s="50">
        <v>11</v>
      </c>
      <c r="G24" s="50">
        <v>0</v>
      </c>
      <c r="H24" s="50">
        <v>0</v>
      </c>
      <c r="I24" s="50">
        <v>3</v>
      </c>
      <c r="J24" s="50">
        <v>2</v>
      </c>
      <c r="K24" s="50">
        <v>0</v>
      </c>
      <c r="L24" s="50">
        <v>1</v>
      </c>
      <c r="M24" s="50">
        <v>82</v>
      </c>
      <c r="N24" s="50">
        <v>0</v>
      </c>
      <c r="O24" s="15">
        <f t="shared" si="0"/>
        <v>114</v>
      </c>
      <c r="P24" s="15">
        <f t="shared" si="1"/>
        <v>196</v>
      </c>
      <c r="R24" s="38" t="s">
        <v>92</v>
      </c>
      <c r="S24" s="39">
        <f>MAX(S19:S21)</f>
        <v>199</v>
      </c>
      <c r="T24" s="39">
        <f t="shared" ref="T24:AF24" si="16">MAX(T19:T21)</f>
        <v>86</v>
      </c>
      <c r="U24" s="39">
        <f t="shared" si="16"/>
        <v>17</v>
      </c>
      <c r="V24" s="39">
        <f t="shared" si="16"/>
        <v>40</v>
      </c>
      <c r="W24" s="39">
        <f t="shared" si="16"/>
        <v>1</v>
      </c>
      <c r="X24" s="39">
        <f t="shared" si="16"/>
        <v>0</v>
      </c>
      <c r="Y24" s="39">
        <f t="shared" si="16"/>
        <v>8</v>
      </c>
      <c r="Z24" s="39">
        <f t="shared" si="16"/>
        <v>5</v>
      </c>
      <c r="AA24" s="39">
        <f t="shared" si="16"/>
        <v>5</v>
      </c>
      <c r="AB24" s="39">
        <f t="shared" si="16"/>
        <v>5</v>
      </c>
      <c r="AC24" s="39">
        <f t="shared" si="16"/>
        <v>405</v>
      </c>
      <c r="AD24" s="39">
        <f t="shared" si="16"/>
        <v>0</v>
      </c>
      <c r="AE24" s="40">
        <f t="shared" si="16"/>
        <v>357</v>
      </c>
      <c r="AF24" s="40">
        <f t="shared" si="16"/>
        <v>762</v>
      </c>
    </row>
    <row r="25" spans="2:32" ht="23.1" customHeight="1" x14ac:dyDescent="0.25">
      <c r="B25" s="23" t="s">
        <v>52</v>
      </c>
      <c r="C25" s="50">
        <v>44</v>
      </c>
      <c r="D25" s="50">
        <v>18</v>
      </c>
      <c r="E25" s="50">
        <v>5</v>
      </c>
      <c r="F25" s="50">
        <v>10</v>
      </c>
      <c r="G25" s="50">
        <v>0</v>
      </c>
      <c r="H25" s="50">
        <v>0</v>
      </c>
      <c r="I25" s="50">
        <v>3</v>
      </c>
      <c r="J25" s="50">
        <v>1</v>
      </c>
      <c r="K25" s="50">
        <v>1</v>
      </c>
      <c r="L25" s="50">
        <v>0</v>
      </c>
      <c r="M25" s="50">
        <v>71</v>
      </c>
      <c r="N25" s="50">
        <v>0</v>
      </c>
      <c r="O25" s="15">
        <f t="shared" si="0"/>
        <v>82</v>
      </c>
      <c r="P25" s="15">
        <f t="shared" si="1"/>
        <v>153</v>
      </c>
      <c r="R25" s="37" t="s">
        <v>85</v>
      </c>
      <c r="S25" s="35">
        <f t="shared" ref="S25:AF25" si="17">SUM(S10:S12)</f>
        <v>1064</v>
      </c>
      <c r="T25" s="16">
        <f t="shared" si="17"/>
        <v>523</v>
      </c>
      <c r="U25" s="16">
        <f t="shared" si="17"/>
        <v>122</v>
      </c>
      <c r="V25" s="16">
        <f t="shared" si="17"/>
        <v>189</v>
      </c>
      <c r="W25" s="16">
        <f t="shared" si="17"/>
        <v>3</v>
      </c>
      <c r="X25" s="16">
        <f t="shared" si="17"/>
        <v>0</v>
      </c>
      <c r="Y25" s="16">
        <f t="shared" si="17"/>
        <v>31</v>
      </c>
      <c r="Z25" s="16">
        <f t="shared" si="17"/>
        <v>7</v>
      </c>
      <c r="AA25" s="16">
        <f t="shared" si="17"/>
        <v>1</v>
      </c>
      <c r="AB25" s="16">
        <f t="shared" si="17"/>
        <v>10</v>
      </c>
      <c r="AC25" s="16">
        <f t="shared" si="17"/>
        <v>1832</v>
      </c>
      <c r="AD25" s="16">
        <f t="shared" si="17"/>
        <v>0</v>
      </c>
      <c r="AE25" s="32">
        <f t="shared" si="17"/>
        <v>1950</v>
      </c>
      <c r="AF25" s="32">
        <f t="shared" si="17"/>
        <v>3782</v>
      </c>
    </row>
    <row r="26" spans="2:32" ht="23.1" customHeight="1" x14ac:dyDescent="0.25">
      <c r="B26" s="23" t="s">
        <v>53</v>
      </c>
      <c r="C26" s="50">
        <v>38</v>
      </c>
      <c r="D26" s="50">
        <v>20</v>
      </c>
      <c r="E26" s="50">
        <v>5</v>
      </c>
      <c r="F26" s="50">
        <v>9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121</v>
      </c>
      <c r="N26" s="50">
        <v>0</v>
      </c>
      <c r="O26" s="15">
        <f t="shared" si="0"/>
        <v>73</v>
      </c>
      <c r="P26" s="15">
        <f t="shared" si="1"/>
        <v>194</v>
      </c>
      <c r="R26" s="28" t="s">
        <v>86</v>
      </c>
      <c r="S26" s="16">
        <f t="shared" ref="S26:AF26" si="18">SUM(S13:S18)</f>
        <v>945</v>
      </c>
      <c r="T26" s="16">
        <f t="shared" si="18"/>
        <v>386</v>
      </c>
      <c r="U26" s="16">
        <f t="shared" si="18"/>
        <v>131</v>
      </c>
      <c r="V26" s="16">
        <f t="shared" si="18"/>
        <v>202</v>
      </c>
      <c r="W26" s="16">
        <f t="shared" si="18"/>
        <v>2</v>
      </c>
      <c r="X26" s="16">
        <f t="shared" si="18"/>
        <v>0</v>
      </c>
      <c r="Y26" s="16">
        <f t="shared" si="18"/>
        <v>66</v>
      </c>
      <c r="Z26" s="16">
        <f t="shared" si="18"/>
        <v>53</v>
      </c>
      <c r="AA26" s="16">
        <f t="shared" si="18"/>
        <v>19</v>
      </c>
      <c r="AB26" s="16">
        <f t="shared" si="18"/>
        <v>41</v>
      </c>
      <c r="AC26" s="16">
        <f t="shared" si="18"/>
        <v>2189</v>
      </c>
      <c r="AD26" s="16">
        <f t="shared" si="18"/>
        <v>0</v>
      </c>
      <c r="AE26" s="32">
        <f t="shared" si="18"/>
        <v>1845</v>
      </c>
      <c r="AF26" s="32">
        <f t="shared" si="18"/>
        <v>4034</v>
      </c>
    </row>
    <row r="27" spans="2:32" ht="23.1" customHeight="1" x14ac:dyDescent="0.25">
      <c r="B27" s="23" t="s">
        <v>54</v>
      </c>
      <c r="C27" s="50">
        <v>60</v>
      </c>
      <c r="D27" s="50">
        <v>22</v>
      </c>
      <c r="E27" s="50">
        <v>3</v>
      </c>
      <c r="F27" s="50">
        <v>6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113</v>
      </c>
      <c r="N27" s="50">
        <v>0</v>
      </c>
      <c r="O27" s="15">
        <f t="shared" si="0"/>
        <v>94</v>
      </c>
      <c r="P27" s="15">
        <f t="shared" si="1"/>
        <v>207</v>
      </c>
      <c r="R27" s="29" t="s">
        <v>87</v>
      </c>
      <c r="S27" s="16">
        <f t="shared" ref="S27:AF27" si="19">SUM(S19:S21)</f>
        <v>525</v>
      </c>
      <c r="T27" s="16">
        <f t="shared" si="19"/>
        <v>222</v>
      </c>
      <c r="U27" s="16">
        <f t="shared" si="19"/>
        <v>46</v>
      </c>
      <c r="V27" s="16">
        <f t="shared" si="19"/>
        <v>113</v>
      </c>
      <c r="W27" s="16">
        <f t="shared" si="19"/>
        <v>2</v>
      </c>
      <c r="X27" s="16">
        <f t="shared" si="19"/>
        <v>0</v>
      </c>
      <c r="Y27" s="16">
        <f t="shared" si="19"/>
        <v>18</v>
      </c>
      <c r="Z27" s="16">
        <f t="shared" si="19"/>
        <v>11</v>
      </c>
      <c r="AA27" s="16">
        <f t="shared" si="19"/>
        <v>11</v>
      </c>
      <c r="AB27" s="16">
        <f t="shared" si="19"/>
        <v>11</v>
      </c>
      <c r="AC27" s="16">
        <f t="shared" si="19"/>
        <v>1151</v>
      </c>
      <c r="AD27" s="16">
        <f t="shared" si="19"/>
        <v>0</v>
      </c>
      <c r="AE27" s="32">
        <f t="shared" si="19"/>
        <v>959</v>
      </c>
      <c r="AF27" s="32">
        <f t="shared" si="19"/>
        <v>2110</v>
      </c>
    </row>
    <row r="28" spans="2:32" ht="23.1" customHeight="1" x14ac:dyDescent="0.25">
      <c r="B28" s="23" t="s">
        <v>55</v>
      </c>
      <c r="C28" s="50">
        <v>34</v>
      </c>
      <c r="D28" s="50">
        <v>15</v>
      </c>
      <c r="E28" s="50">
        <v>5</v>
      </c>
      <c r="F28" s="50">
        <v>10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111</v>
      </c>
      <c r="N28" s="50">
        <v>0</v>
      </c>
      <c r="O28" s="15">
        <f t="shared" si="0"/>
        <v>66</v>
      </c>
      <c r="P28" s="15">
        <f t="shared" si="1"/>
        <v>177</v>
      </c>
      <c r="R28" s="5" t="s">
        <v>17</v>
      </c>
      <c r="S28" s="16">
        <f t="shared" ref="S28:AF28" si="20">SUM(S10:S21)</f>
        <v>2534</v>
      </c>
      <c r="T28" s="16">
        <f t="shared" si="20"/>
        <v>1131</v>
      </c>
      <c r="U28" s="16">
        <f t="shared" si="20"/>
        <v>299</v>
      </c>
      <c r="V28" s="16">
        <f t="shared" si="20"/>
        <v>504</v>
      </c>
      <c r="W28" s="16">
        <f t="shared" si="20"/>
        <v>7</v>
      </c>
      <c r="X28" s="16">
        <f t="shared" si="20"/>
        <v>0</v>
      </c>
      <c r="Y28" s="16">
        <f t="shared" si="20"/>
        <v>115</v>
      </c>
      <c r="Z28" s="16">
        <f t="shared" si="20"/>
        <v>71</v>
      </c>
      <c r="AA28" s="16">
        <f t="shared" si="20"/>
        <v>31</v>
      </c>
      <c r="AB28" s="16">
        <f t="shared" si="20"/>
        <v>62</v>
      </c>
      <c r="AC28" s="16">
        <f t="shared" si="20"/>
        <v>5172</v>
      </c>
      <c r="AD28" s="16">
        <f t="shared" si="20"/>
        <v>0</v>
      </c>
      <c r="AE28" s="32">
        <f t="shared" si="20"/>
        <v>4754</v>
      </c>
      <c r="AF28" s="32">
        <f t="shared" si="20"/>
        <v>9926</v>
      </c>
    </row>
    <row r="29" spans="2:32" ht="23.1" customHeight="1" x14ac:dyDescent="0.25">
      <c r="B29" s="23" t="s">
        <v>56</v>
      </c>
      <c r="C29" s="50">
        <v>38</v>
      </c>
      <c r="D29" s="50">
        <v>21</v>
      </c>
      <c r="E29" s="50">
        <v>3</v>
      </c>
      <c r="F29" s="50">
        <v>10</v>
      </c>
      <c r="G29" s="50">
        <v>0</v>
      </c>
      <c r="H29" s="50">
        <v>0</v>
      </c>
      <c r="I29" s="50">
        <v>5</v>
      </c>
      <c r="J29" s="50">
        <v>6</v>
      </c>
      <c r="K29" s="50">
        <v>0</v>
      </c>
      <c r="L29" s="50">
        <v>1</v>
      </c>
      <c r="M29" s="50">
        <v>111</v>
      </c>
      <c r="N29" s="50">
        <v>0</v>
      </c>
      <c r="O29" s="15">
        <f t="shared" si="0"/>
        <v>84</v>
      </c>
      <c r="P29" s="15">
        <f t="shared" si="1"/>
        <v>195</v>
      </c>
      <c r="R29"/>
      <c r="S29" s="20"/>
      <c r="T29" s="19"/>
    </row>
    <row r="30" spans="2:32" ht="23.1" customHeight="1" x14ac:dyDescent="0.25">
      <c r="B30" s="23" t="s">
        <v>57</v>
      </c>
      <c r="C30" s="50">
        <v>39</v>
      </c>
      <c r="D30" s="50">
        <v>21</v>
      </c>
      <c r="E30" s="50">
        <v>7</v>
      </c>
      <c r="F30" s="50">
        <v>8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2</v>
      </c>
      <c r="M30" s="50">
        <v>85</v>
      </c>
      <c r="N30" s="50">
        <v>0</v>
      </c>
      <c r="O30" s="15">
        <f t="shared" si="0"/>
        <v>78</v>
      </c>
      <c r="P30" s="15">
        <f t="shared" si="1"/>
        <v>163</v>
      </c>
    </row>
    <row r="31" spans="2:32" ht="23.1" customHeight="1" x14ac:dyDescent="0.25">
      <c r="B31" s="24" t="s">
        <v>58</v>
      </c>
      <c r="C31" s="50">
        <v>33</v>
      </c>
      <c r="D31" s="50">
        <v>20</v>
      </c>
      <c r="E31" s="50">
        <v>5</v>
      </c>
      <c r="F31" s="50">
        <v>5</v>
      </c>
      <c r="G31" s="50">
        <v>0</v>
      </c>
      <c r="H31" s="50">
        <v>0</v>
      </c>
      <c r="I31" s="50">
        <v>3</v>
      </c>
      <c r="J31" s="50">
        <v>2</v>
      </c>
      <c r="K31" s="50">
        <v>0</v>
      </c>
      <c r="L31" s="50">
        <v>4</v>
      </c>
      <c r="M31" s="50">
        <v>60</v>
      </c>
      <c r="N31" s="50">
        <v>0</v>
      </c>
      <c r="O31" s="15">
        <f t="shared" si="0"/>
        <v>72</v>
      </c>
      <c r="P31" s="15">
        <f t="shared" si="1"/>
        <v>132</v>
      </c>
    </row>
    <row r="32" spans="2:32" ht="23.1" customHeight="1" x14ac:dyDescent="0.25">
      <c r="B32" s="24" t="s">
        <v>59</v>
      </c>
      <c r="C32" s="50">
        <v>52</v>
      </c>
      <c r="D32" s="50">
        <v>12</v>
      </c>
      <c r="E32" s="50">
        <v>2</v>
      </c>
      <c r="F32" s="50">
        <v>7</v>
      </c>
      <c r="G32" s="50">
        <v>0</v>
      </c>
      <c r="H32" s="50">
        <v>0</v>
      </c>
      <c r="I32" s="50">
        <v>8</v>
      </c>
      <c r="J32" s="50">
        <v>5</v>
      </c>
      <c r="K32" s="50">
        <v>1</v>
      </c>
      <c r="L32" s="50">
        <v>2</v>
      </c>
      <c r="M32" s="50">
        <v>106</v>
      </c>
      <c r="N32" s="50">
        <v>0</v>
      </c>
      <c r="O32" s="15">
        <f t="shared" si="0"/>
        <v>89</v>
      </c>
      <c r="P32" s="15">
        <f t="shared" si="1"/>
        <v>195</v>
      </c>
    </row>
    <row r="33" spans="2:20" ht="23.1" customHeight="1" x14ac:dyDescent="0.25">
      <c r="B33" s="23" t="s">
        <v>60</v>
      </c>
      <c r="C33" s="50">
        <v>45</v>
      </c>
      <c r="D33" s="50">
        <v>12</v>
      </c>
      <c r="E33" s="50">
        <v>5</v>
      </c>
      <c r="F33" s="50">
        <v>10</v>
      </c>
      <c r="G33" s="50">
        <v>0</v>
      </c>
      <c r="H33" s="50">
        <v>0</v>
      </c>
      <c r="I33" s="50">
        <v>2</v>
      </c>
      <c r="J33" s="50">
        <v>1</v>
      </c>
      <c r="K33" s="50">
        <v>2</v>
      </c>
      <c r="L33" s="50">
        <v>5</v>
      </c>
      <c r="M33" s="50">
        <v>115</v>
      </c>
      <c r="N33" s="50">
        <v>0</v>
      </c>
      <c r="O33" s="15">
        <f t="shared" si="0"/>
        <v>82</v>
      </c>
      <c r="P33" s="15">
        <f t="shared" si="1"/>
        <v>197</v>
      </c>
    </row>
    <row r="34" spans="2:20" ht="23.1" customHeight="1" x14ac:dyDescent="0.25">
      <c r="B34" s="24" t="s">
        <v>61</v>
      </c>
      <c r="C34" s="50">
        <v>22</v>
      </c>
      <c r="D34" s="50">
        <v>8</v>
      </c>
      <c r="E34" s="50">
        <v>3</v>
      </c>
      <c r="F34" s="50">
        <v>3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1</v>
      </c>
      <c r="M34" s="50">
        <v>86</v>
      </c>
      <c r="N34" s="50">
        <v>0</v>
      </c>
      <c r="O34" s="15">
        <f t="shared" si="0"/>
        <v>39</v>
      </c>
      <c r="P34" s="15">
        <f t="shared" si="1"/>
        <v>125</v>
      </c>
    </row>
    <row r="35" spans="2:20" ht="23.1" customHeight="1" x14ac:dyDescent="0.25">
      <c r="B35" s="24" t="s">
        <v>62</v>
      </c>
      <c r="C35" s="50">
        <v>28</v>
      </c>
      <c r="D35" s="50">
        <v>13</v>
      </c>
      <c r="E35" s="50">
        <v>9</v>
      </c>
      <c r="F35" s="50">
        <v>8</v>
      </c>
      <c r="G35" s="50">
        <v>0</v>
      </c>
      <c r="H35" s="50">
        <v>0</v>
      </c>
      <c r="I35" s="50">
        <v>3</v>
      </c>
      <c r="J35" s="50">
        <v>5</v>
      </c>
      <c r="K35" s="50">
        <v>1</v>
      </c>
      <c r="L35" s="50">
        <v>0</v>
      </c>
      <c r="M35" s="50">
        <v>90</v>
      </c>
      <c r="N35" s="50">
        <v>0</v>
      </c>
      <c r="O35" s="15">
        <f t="shared" si="0"/>
        <v>67</v>
      </c>
      <c r="P35" s="15">
        <f t="shared" si="1"/>
        <v>157</v>
      </c>
    </row>
    <row r="36" spans="2:20" ht="23.1" customHeight="1" x14ac:dyDescent="0.25">
      <c r="B36" s="24" t="s">
        <v>63</v>
      </c>
      <c r="C36" s="50">
        <v>26</v>
      </c>
      <c r="D36" s="50">
        <v>11</v>
      </c>
      <c r="E36" s="50">
        <v>4</v>
      </c>
      <c r="F36" s="50">
        <v>8</v>
      </c>
      <c r="G36" s="50">
        <v>0</v>
      </c>
      <c r="H36" s="50">
        <v>0</v>
      </c>
      <c r="I36" s="50">
        <v>3</v>
      </c>
      <c r="J36" s="50">
        <v>2</v>
      </c>
      <c r="K36" s="50">
        <v>0</v>
      </c>
      <c r="L36" s="50">
        <v>1</v>
      </c>
      <c r="M36" s="50">
        <v>84</v>
      </c>
      <c r="N36" s="50">
        <v>0</v>
      </c>
      <c r="O36" s="15">
        <f t="shared" si="0"/>
        <v>55</v>
      </c>
      <c r="P36" s="15">
        <f t="shared" si="1"/>
        <v>139</v>
      </c>
    </row>
    <row r="37" spans="2:20" ht="23.1" customHeight="1" x14ac:dyDescent="0.25">
      <c r="B37" s="23" t="s">
        <v>64</v>
      </c>
      <c r="C37" s="50">
        <v>20</v>
      </c>
      <c r="D37" s="50">
        <v>11</v>
      </c>
      <c r="E37" s="50">
        <v>9</v>
      </c>
      <c r="F37" s="50">
        <v>10</v>
      </c>
      <c r="G37" s="50">
        <v>0</v>
      </c>
      <c r="H37" s="50">
        <v>0</v>
      </c>
      <c r="I37" s="50">
        <v>3</v>
      </c>
      <c r="J37" s="50">
        <v>3</v>
      </c>
      <c r="K37" s="50">
        <v>1</v>
      </c>
      <c r="L37" s="50">
        <v>1</v>
      </c>
      <c r="M37" s="50">
        <v>83</v>
      </c>
      <c r="N37" s="50">
        <v>0</v>
      </c>
      <c r="O37" s="15">
        <f t="shared" si="0"/>
        <v>58</v>
      </c>
      <c r="P37" s="15">
        <f t="shared" si="1"/>
        <v>141</v>
      </c>
    </row>
    <row r="38" spans="2:20" ht="23.1" customHeight="1" x14ac:dyDescent="0.25">
      <c r="B38" s="24" t="s">
        <v>65</v>
      </c>
      <c r="C38" s="50">
        <v>33</v>
      </c>
      <c r="D38" s="50">
        <v>17</v>
      </c>
      <c r="E38" s="50">
        <v>13</v>
      </c>
      <c r="F38" s="50">
        <v>10</v>
      </c>
      <c r="G38" s="50">
        <v>0</v>
      </c>
      <c r="H38" s="50">
        <v>0</v>
      </c>
      <c r="I38" s="50">
        <v>5</v>
      </c>
      <c r="J38" s="50">
        <v>4</v>
      </c>
      <c r="K38" s="50">
        <v>0</v>
      </c>
      <c r="L38" s="50">
        <v>2</v>
      </c>
      <c r="M38" s="50">
        <v>75</v>
      </c>
      <c r="N38" s="50">
        <v>0</v>
      </c>
      <c r="O38" s="15">
        <f t="shared" si="0"/>
        <v>84</v>
      </c>
      <c r="P38" s="15">
        <f t="shared" si="1"/>
        <v>159</v>
      </c>
    </row>
    <row r="39" spans="2:20" ht="23.1" customHeight="1" x14ac:dyDescent="0.25">
      <c r="B39" s="24" t="s">
        <v>66</v>
      </c>
      <c r="C39" s="50">
        <v>46</v>
      </c>
      <c r="D39" s="50">
        <v>19</v>
      </c>
      <c r="E39" s="50">
        <v>5</v>
      </c>
      <c r="F39" s="50">
        <v>11</v>
      </c>
      <c r="G39" s="50">
        <v>1</v>
      </c>
      <c r="H39" s="50">
        <v>0</v>
      </c>
      <c r="I39" s="50">
        <v>1</v>
      </c>
      <c r="J39" s="50">
        <v>1</v>
      </c>
      <c r="K39" s="50">
        <v>2</v>
      </c>
      <c r="L39" s="50">
        <v>4</v>
      </c>
      <c r="M39" s="50">
        <v>65</v>
      </c>
      <c r="N39" s="50">
        <v>0</v>
      </c>
      <c r="O39" s="15">
        <f t="shared" si="0"/>
        <v>90</v>
      </c>
      <c r="P39" s="15">
        <f t="shared" si="1"/>
        <v>155</v>
      </c>
    </row>
    <row r="40" spans="2:20" ht="23.1" customHeight="1" x14ac:dyDescent="0.25">
      <c r="B40" s="24" t="s">
        <v>67</v>
      </c>
      <c r="C40" s="50">
        <v>33</v>
      </c>
      <c r="D40" s="50">
        <v>15</v>
      </c>
      <c r="E40" s="50">
        <v>5</v>
      </c>
      <c r="F40" s="50">
        <v>8</v>
      </c>
      <c r="G40" s="50">
        <v>0</v>
      </c>
      <c r="H40" s="50">
        <v>0</v>
      </c>
      <c r="I40" s="50">
        <v>5</v>
      </c>
      <c r="J40" s="50">
        <v>5</v>
      </c>
      <c r="K40" s="50">
        <v>0</v>
      </c>
      <c r="L40" s="50">
        <v>0</v>
      </c>
      <c r="M40" s="50">
        <v>98</v>
      </c>
      <c r="N40" s="50">
        <v>0</v>
      </c>
      <c r="O40" s="15">
        <f t="shared" si="0"/>
        <v>71</v>
      </c>
      <c r="P40" s="15">
        <f t="shared" si="1"/>
        <v>169</v>
      </c>
    </row>
    <row r="41" spans="2:20" ht="23.1" customHeight="1" x14ac:dyDescent="0.25">
      <c r="B41" s="23" t="s">
        <v>68</v>
      </c>
      <c r="C41" s="50">
        <v>37</v>
      </c>
      <c r="D41" s="50">
        <v>14</v>
      </c>
      <c r="E41" s="50">
        <v>4</v>
      </c>
      <c r="F41" s="50">
        <v>9</v>
      </c>
      <c r="G41" s="50">
        <v>0</v>
      </c>
      <c r="H41" s="50">
        <v>0</v>
      </c>
      <c r="I41" s="50">
        <v>2</v>
      </c>
      <c r="J41" s="50">
        <v>2</v>
      </c>
      <c r="K41" s="50">
        <v>2</v>
      </c>
      <c r="L41" s="50">
        <v>1</v>
      </c>
      <c r="M41" s="50">
        <v>110</v>
      </c>
      <c r="N41" s="50">
        <v>0</v>
      </c>
      <c r="O41" s="15">
        <f t="shared" si="0"/>
        <v>71</v>
      </c>
      <c r="P41" s="15">
        <f t="shared" si="1"/>
        <v>181</v>
      </c>
    </row>
    <row r="42" spans="2:20" ht="23.1" customHeight="1" x14ac:dyDescent="0.25">
      <c r="B42" s="24" t="s">
        <v>69</v>
      </c>
      <c r="C42" s="50">
        <v>32</v>
      </c>
      <c r="D42" s="50">
        <v>12</v>
      </c>
      <c r="E42" s="50">
        <v>3</v>
      </c>
      <c r="F42" s="50">
        <v>8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4</v>
      </c>
      <c r="M42" s="50">
        <v>75</v>
      </c>
      <c r="N42" s="50">
        <v>0</v>
      </c>
      <c r="O42" s="15">
        <f t="shared" si="0"/>
        <v>63</v>
      </c>
      <c r="P42" s="15">
        <f t="shared" si="1"/>
        <v>138</v>
      </c>
    </row>
    <row r="43" spans="2:20" ht="23.1" customHeight="1" x14ac:dyDescent="0.25">
      <c r="B43" s="23" t="s">
        <v>70</v>
      </c>
      <c r="C43" s="50">
        <v>39</v>
      </c>
      <c r="D43" s="50">
        <v>9</v>
      </c>
      <c r="E43" s="50">
        <v>6</v>
      </c>
      <c r="F43" s="50">
        <v>8</v>
      </c>
      <c r="G43" s="50">
        <v>1</v>
      </c>
      <c r="H43" s="50">
        <v>0</v>
      </c>
      <c r="I43" s="50">
        <v>3</v>
      </c>
      <c r="J43" s="50">
        <v>2</v>
      </c>
      <c r="K43" s="50">
        <v>1</v>
      </c>
      <c r="L43" s="50">
        <v>2</v>
      </c>
      <c r="M43" s="50">
        <v>90</v>
      </c>
      <c r="N43" s="50">
        <v>0</v>
      </c>
      <c r="O43" s="15">
        <f t="shared" si="0"/>
        <v>71</v>
      </c>
      <c r="P43" s="15">
        <f t="shared" si="1"/>
        <v>161</v>
      </c>
    </row>
    <row r="44" spans="2:20" ht="23.1" customHeight="1" x14ac:dyDescent="0.25">
      <c r="B44" s="25" t="s">
        <v>71</v>
      </c>
      <c r="C44" s="50">
        <v>50</v>
      </c>
      <c r="D44" s="50">
        <v>15</v>
      </c>
      <c r="E44" s="50">
        <v>4</v>
      </c>
      <c r="F44" s="50">
        <v>8</v>
      </c>
      <c r="G44" s="50">
        <v>0</v>
      </c>
      <c r="H44" s="50">
        <v>0</v>
      </c>
      <c r="I44" s="50">
        <v>4</v>
      </c>
      <c r="J44" s="50">
        <v>3</v>
      </c>
      <c r="K44" s="50">
        <v>1</v>
      </c>
      <c r="L44" s="50">
        <v>3</v>
      </c>
      <c r="M44" s="50">
        <v>83</v>
      </c>
      <c r="N44" s="50">
        <v>0</v>
      </c>
      <c r="O44" s="15">
        <f t="shared" si="0"/>
        <v>88</v>
      </c>
      <c r="P44" s="15">
        <f t="shared" si="1"/>
        <v>171</v>
      </c>
    </row>
    <row r="45" spans="2:20" ht="23.1" customHeight="1" x14ac:dyDescent="0.25">
      <c r="B45" s="23" t="s">
        <v>72</v>
      </c>
      <c r="C45" s="50">
        <v>48</v>
      </c>
      <c r="D45" s="50">
        <v>25</v>
      </c>
      <c r="E45" s="50">
        <v>5</v>
      </c>
      <c r="F45" s="50">
        <v>6</v>
      </c>
      <c r="G45" s="50">
        <v>0</v>
      </c>
      <c r="H45" s="50">
        <v>0</v>
      </c>
      <c r="I45" s="50">
        <v>2</v>
      </c>
      <c r="J45" s="50">
        <v>2</v>
      </c>
      <c r="K45" s="50">
        <v>1</v>
      </c>
      <c r="L45" s="50">
        <v>4</v>
      </c>
      <c r="M45" s="50">
        <v>120</v>
      </c>
      <c r="N45" s="50">
        <v>0</v>
      </c>
      <c r="O45" s="15">
        <f t="shared" si="0"/>
        <v>93</v>
      </c>
      <c r="P45" s="15">
        <f t="shared" si="1"/>
        <v>213</v>
      </c>
    </row>
    <row r="46" spans="2:20" ht="23.1" customHeight="1" x14ac:dyDescent="0.25">
      <c r="B46" s="24" t="s">
        <v>73</v>
      </c>
      <c r="C46" s="50">
        <v>67</v>
      </c>
      <c r="D46" s="50">
        <v>17</v>
      </c>
      <c r="E46" s="50">
        <v>2</v>
      </c>
      <c r="F46" s="50">
        <v>7</v>
      </c>
      <c r="G46" s="50">
        <v>0</v>
      </c>
      <c r="H46" s="50">
        <v>0</v>
      </c>
      <c r="I46" s="50">
        <v>4</v>
      </c>
      <c r="J46" s="50">
        <v>3</v>
      </c>
      <c r="K46" s="50">
        <v>0</v>
      </c>
      <c r="L46" s="50">
        <v>2</v>
      </c>
      <c r="M46" s="50">
        <v>80</v>
      </c>
      <c r="N46" s="50">
        <v>0</v>
      </c>
      <c r="O46" s="15">
        <f t="shared" si="0"/>
        <v>102</v>
      </c>
      <c r="P46" s="15">
        <f t="shared" si="1"/>
        <v>182</v>
      </c>
      <c r="R46" s="8"/>
      <c r="T46"/>
    </row>
    <row r="47" spans="2:20" ht="23.1" customHeight="1" x14ac:dyDescent="0.25">
      <c r="B47" s="24" t="s">
        <v>74</v>
      </c>
      <c r="C47" s="50">
        <v>38</v>
      </c>
      <c r="D47" s="50">
        <v>23</v>
      </c>
      <c r="E47" s="50">
        <v>6</v>
      </c>
      <c r="F47" s="50">
        <v>11</v>
      </c>
      <c r="G47" s="50">
        <v>0</v>
      </c>
      <c r="H47" s="50">
        <v>0</v>
      </c>
      <c r="I47" s="50">
        <v>0</v>
      </c>
      <c r="J47" s="50">
        <v>1</v>
      </c>
      <c r="K47" s="50">
        <v>1</v>
      </c>
      <c r="L47" s="50">
        <v>0</v>
      </c>
      <c r="M47" s="50">
        <v>85</v>
      </c>
      <c r="N47" s="50">
        <v>0</v>
      </c>
      <c r="O47" s="15">
        <f t="shared" si="0"/>
        <v>80</v>
      </c>
      <c r="P47" s="15">
        <f t="shared" si="1"/>
        <v>165</v>
      </c>
      <c r="R47" s="8"/>
      <c r="T47"/>
    </row>
    <row r="48" spans="2:20" ht="23.1" customHeight="1" x14ac:dyDescent="0.25">
      <c r="B48" s="24" t="s">
        <v>75</v>
      </c>
      <c r="C48" s="50">
        <v>46</v>
      </c>
      <c r="D48" s="50">
        <v>23</v>
      </c>
      <c r="E48" s="50">
        <v>4</v>
      </c>
      <c r="F48" s="50">
        <v>7</v>
      </c>
      <c r="G48" s="50">
        <v>0</v>
      </c>
      <c r="H48" s="50">
        <v>0</v>
      </c>
      <c r="I48" s="50">
        <v>3</v>
      </c>
      <c r="J48" s="50">
        <v>1</v>
      </c>
      <c r="K48" s="50">
        <v>3</v>
      </c>
      <c r="L48" s="50">
        <v>0</v>
      </c>
      <c r="M48" s="50">
        <v>105</v>
      </c>
      <c r="N48" s="50">
        <v>0</v>
      </c>
      <c r="O48" s="15">
        <f t="shared" si="0"/>
        <v>87</v>
      </c>
      <c r="P48" s="15">
        <f t="shared" si="1"/>
        <v>192</v>
      </c>
      <c r="R48" s="8"/>
      <c r="T48"/>
    </row>
    <row r="49" spans="2:20" ht="23.1" customHeight="1" x14ac:dyDescent="0.25">
      <c r="B49" s="23" t="s">
        <v>76</v>
      </c>
      <c r="C49" s="50">
        <v>45</v>
      </c>
      <c r="D49" s="50">
        <v>23</v>
      </c>
      <c r="E49" s="50">
        <v>5</v>
      </c>
      <c r="F49" s="50">
        <v>11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3</v>
      </c>
      <c r="M49" s="50">
        <v>135</v>
      </c>
      <c r="N49" s="50">
        <v>0</v>
      </c>
      <c r="O49" s="15">
        <f t="shared" si="0"/>
        <v>88</v>
      </c>
      <c r="P49" s="15">
        <f t="shared" si="1"/>
        <v>223</v>
      </c>
      <c r="R49" s="8"/>
      <c r="T49"/>
    </row>
    <row r="50" spans="2:20" ht="23.1" customHeight="1" x14ac:dyDescent="0.25">
      <c r="B50" s="24" t="s">
        <v>77</v>
      </c>
      <c r="C50" s="50">
        <v>70</v>
      </c>
      <c r="D50" s="50">
        <v>16</v>
      </c>
      <c r="E50" s="50">
        <v>5</v>
      </c>
      <c r="F50" s="50">
        <v>12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1</v>
      </c>
      <c r="M50" s="50">
        <v>110</v>
      </c>
      <c r="N50" s="50">
        <v>0</v>
      </c>
      <c r="O50" s="15">
        <f t="shared" si="0"/>
        <v>106</v>
      </c>
      <c r="P50" s="15">
        <f t="shared" si="1"/>
        <v>216</v>
      </c>
      <c r="R50" s="8"/>
      <c r="T50"/>
    </row>
    <row r="51" spans="2:20" ht="23.1" customHeight="1" x14ac:dyDescent="0.25">
      <c r="B51" s="24" t="s">
        <v>78</v>
      </c>
      <c r="C51" s="50">
        <v>48</v>
      </c>
      <c r="D51" s="50">
        <v>21</v>
      </c>
      <c r="E51" s="50">
        <v>2</v>
      </c>
      <c r="F51" s="50">
        <v>10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76</v>
      </c>
      <c r="N51" s="50">
        <v>0</v>
      </c>
      <c r="O51" s="15">
        <f t="shared" si="0"/>
        <v>82</v>
      </c>
      <c r="P51" s="15">
        <f t="shared" si="1"/>
        <v>158</v>
      </c>
      <c r="R51" s="8"/>
      <c r="T51"/>
    </row>
    <row r="52" spans="2:20" ht="23.1" customHeight="1" x14ac:dyDescent="0.25">
      <c r="B52" s="24" t="s">
        <v>79</v>
      </c>
      <c r="C52" s="50">
        <v>36</v>
      </c>
      <c r="D52" s="50">
        <v>15</v>
      </c>
      <c r="E52" s="50">
        <v>1</v>
      </c>
      <c r="F52" s="50">
        <v>7</v>
      </c>
      <c r="G52" s="50">
        <v>0</v>
      </c>
      <c r="H52" s="50">
        <v>0</v>
      </c>
      <c r="I52" s="50">
        <v>4</v>
      </c>
      <c r="J52" s="50">
        <v>2</v>
      </c>
      <c r="K52" s="50">
        <v>1</v>
      </c>
      <c r="L52" s="50">
        <v>0</v>
      </c>
      <c r="M52" s="50">
        <v>95</v>
      </c>
      <c r="N52" s="50">
        <v>0</v>
      </c>
      <c r="O52" s="15">
        <f t="shared" si="0"/>
        <v>66</v>
      </c>
      <c r="P52" s="15">
        <f t="shared" si="1"/>
        <v>161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17</v>
      </c>
      <c r="E53" s="50">
        <v>4</v>
      </c>
      <c r="F53" s="50">
        <v>8</v>
      </c>
      <c r="G53" s="50">
        <v>0</v>
      </c>
      <c r="H53" s="50">
        <v>0</v>
      </c>
      <c r="I53" s="50">
        <v>1</v>
      </c>
      <c r="J53" s="50">
        <v>1</v>
      </c>
      <c r="K53" s="50">
        <v>1</v>
      </c>
      <c r="L53" s="50">
        <v>4</v>
      </c>
      <c r="M53" s="50">
        <v>90</v>
      </c>
      <c r="N53" s="50">
        <v>0</v>
      </c>
      <c r="O53" s="15">
        <f t="shared" si="0"/>
        <v>81</v>
      </c>
      <c r="P53" s="15">
        <f t="shared" si="1"/>
        <v>171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23</v>
      </c>
      <c r="E54" s="50">
        <v>5</v>
      </c>
      <c r="F54" s="50">
        <v>12</v>
      </c>
      <c r="G54" s="50">
        <v>0</v>
      </c>
      <c r="H54" s="50">
        <v>0</v>
      </c>
      <c r="I54" s="50">
        <v>2</v>
      </c>
      <c r="J54" s="50">
        <v>0</v>
      </c>
      <c r="K54" s="50">
        <v>3</v>
      </c>
      <c r="L54" s="50">
        <v>1</v>
      </c>
      <c r="M54" s="50">
        <v>145</v>
      </c>
      <c r="N54" s="50">
        <v>0</v>
      </c>
      <c r="O54" s="15">
        <f t="shared" si="0"/>
        <v>84</v>
      </c>
      <c r="P54" s="15">
        <f t="shared" si="1"/>
        <v>229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15</v>
      </c>
      <c r="E55" s="50">
        <v>2</v>
      </c>
      <c r="F55" s="50">
        <v>11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110</v>
      </c>
      <c r="N55" s="50">
        <v>0</v>
      </c>
      <c r="O55" s="15">
        <f t="shared" si="0"/>
        <v>67</v>
      </c>
      <c r="P55" s="15">
        <f t="shared" si="1"/>
        <v>177</v>
      </c>
      <c r="R55" s="8"/>
      <c r="T55"/>
    </row>
    <row r="56" spans="2:20" ht="23.1" customHeight="1" x14ac:dyDescent="0.25">
      <c r="B56" s="23" t="s">
        <v>83</v>
      </c>
      <c r="C56" s="50">
        <v>34</v>
      </c>
      <c r="D56" s="50">
        <v>9</v>
      </c>
      <c r="E56" s="50">
        <v>8</v>
      </c>
      <c r="F56" s="50">
        <v>7</v>
      </c>
      <c r="G56" s="50">
        <v>0</v>
      </c>
      <c r="H56" s="50">
        <v>0</v>
      </c>
      <c r="I56" s="50">
        <v>1</v>
      </c>
      <c r="J56" s="50">
        <v>1</v>
      </c>
      <c r="K56" s="50">
        <v>2</v>
      </c>
      <c r="L56" s="50">
        <v>0</v>
      </c>
      <c r="M56" s="50">
        <v>120</v>
      </c>
      <c r="N56" s="50">
        <v>0</v>
      </c>
      <c r="O56" s="15">
        <f t="shared" si="0"/>
        <v>62</v>
      </c>
      <c r="P56" s="15">
        <f t="shared" si="1"/>
        <v>182</v>
      </c>
      <c r="R56" s="8"/>
      <c r="T56"/>
    </row>
    <row r="57" spans="2:20" ht="23.1" customHeight="1" x14ac:dyDescent="0.25">
      <c r="B57" s="23" t="s">
        <v>84</v>
      </c>
      <c r="C57" s="50">
        <v>21</v>
      </c>
      <c r="D57" s="50">
        <v>20</v>
      </c>
      <c r="E57" s="50">
        <v>2</v>
      </c>
      <c r="F57" s="50">
        <v>10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54</v>
      </c>
      <c r="P57" s="15">
        <f t="shared" si="1"/>
        <v>54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2534</v>
      </c>
      <c r="D58" s="16">
        <f t="shared" si="21"/>
        <v>1131</v>
      </c>
      <c r="E58" s="16">
        <f t="shared" si="21"/>
        <v>299</v>
      </c>
      <c r="F58" s="16">
        <f t="shared" si="21"/>
        <v>504</v>
      </c>
      <c r="G58" s="16">
        <f t="shared" si="21"/>
        <v>7</v>
      </c>
      <c r="H58" s="16">
        <f t="shared" si="21"/>
        <v>0</v>
      </c>
      <c r="I58" s="16">
        <f t="shared" si="21"/>
        <v>115</v>
      </c>
      <c r="J58" s="16">
        <f t="shared" si="21"/>
        <v>71</v>
      </c>
      <c r="K58" s="16">
        <f t="shared" si="21"/>
        <v>31</v>
      </c>
      <c r="L58" s="16">
        <f t="shared" si="21"/>
        <v>62</v>
      </c>
      <c r="M58" s="16">
        <f t="shared" si="21"/>
        <v>5172</v>
      </c>
      <c r="N58" s="16">
        <f t="shared" si="21"/>
        <v>0</v>
      </c>
      <c r="O58" s="16">
        <f t="shared" si="21"/>
        <v>4754</v>
      </c>
      <c r="P58" s="16">
        <f t="shared" si="21"/>
        <v>9926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0.25528913963328631</v>
      </c>
      <c r="D59" s="43">
        <f t="shared" si="22"/>
        <v>0.11394317952851098</v>
      </c>
      <c r="E59" s="43">
        <f t="shared" si="22"/>
        <v>3.012290953052589E-2</v>
      </c>
      <c r="F59" s="43">
        <f t="shared" si="22"/>
        <v>5.0775740479548657E-2</v>
      </c>
      <c r="G59" s="43">
        <f t="shared" si="22"/>
        <v>7.0521861777150916E-4</v>
      </c>
      <c r="H59" s="43">
        <f t="shared" si="22"/>
        <v>0</v>
      </c>
      <c r="I59" s="43">
        <f t="shared" si="22"/>
        <v>1.1585734434817651E-2</v>
      </c>
      <c r="J59" s="43">
        <f t="shared" si="22"/>
        <v>7.1529316945395929E-3</v>
      </c>
      <c r="K59" s="43">
        <f t="shared" si="22"/>
        <v>3.1231110215595406E-3</v>
      </c>
      <c r="L59" s="43">
        <f t="shared" si="22"/>
        <v>6.2462220431190813E-3</v>
      </c>
      <c r="M59" s="43">
        <f t="shared" si="22"/>
        <v>0.52105581301632076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0.53302482120319727</v>
      </c>
      <c r="D60" s="44">
        <f t="shared" ref="D60:N60" si="23">D58/$O$58</f>
        <v>0.23790492217080353</v>
      </c>
      <c r="E60" s="44">
        <f t="shared" si="23"/>
        <v>6.289440471182163E-2</v>
      </c>
      <c r="F60" s="44">
        <f t="shared" si="23"/>
        <v>0.1060159865376525</v>
      </c>
      <c r="G60" s="44">
        <f t="shared" si="23"/>
        <v>1.472444257467396E-3</v>
      </c>
      <c r="H60" s="44">
        <f t="shared" si="23"/>
        <v>0</v>
      </c>
      <c r="I60" s="44">
        <f t="shared" si="23"/>
        <v>2.4190155658392932E-2</v>
      </c>
      <c r="J60" s="44">
        <f t="shared" si="23"/>
        <v>1.4934791754312159E-2</v>
      </c>
      <c r="K60" s="44">
        <f t="shared" si="23"/>
        <v>6.5208245687841818E-3</v>
      </c>
      <c r="L60" s="44">
        <f t="shared" si="23"/>
        <v>1.3041649137568364E-2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1" sqref="E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Kisaasi-Ntinda'!D5</f>
        <v>29.07.19</v>
      </c>
      <c r="E5" s="3"/>
      <c r="F5" s="41" t="s">
        <v>1</v>
      </c>
      <c r="G5" s="62" t="str">
        <f>'29.07 Kisaasi-Ntinda'!G5:H5</f>
        <v>Ndere Center</v>
      </c>
      <c r="H5" s="63"/>
      <c r="I5" s="14"/>
      <c r="J5" s="2" t="s">
        <v>5</v>
      </c>
      <c r="K5" s="62" t="s">
        <v>170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171</v>
      </c>
      <c r="E6" s="57"/>
      <c r="F6" s="2" t="s">
        <v>2</v>
      </c>
      <c r="G6" s="56" t="s">
        <v>164</v>
      </c>
      <c r="H6" s="57"/>
      <c r="J6" s="2" t="s">
        <v>21</v>
      </c>
      <c r="K6" s="62" t="str">
        <f>'29.07 Kisaasi-Ntinda'!K6:L6</f>
        <v>Steven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68</v>
      </c>
      <c r="D10" s="50">
        <v>31</v>
      </c>
      <c r="E10" s="50">
        <v>9</v>
      </c>
      <c r="F10" s="50">
        <v>24</v>
      </c>
      <c r="G10" s="50">
        <v>0</v>
      </c>
      <c r="H10" s="50">
        <v>0</v>
      </c>
      <c r="I10" s="50">
        <v>2</v>
      </c>
      <c r="J10" s="50">
        <v>0</v>
      </c>
      <c r="K10" s="50">
        <v>2</v>
      </c>
      <c r="L10" s="50">
        <v>0</v>
      </c>
      <c r="M10" s="50">
        <v>96</v>
      </c>
      <c r="N10" s="50">
        <v>0</v>
      </c>
      <c r="O10" s="15">
        <f t="shared" ref="O10:O57" si="0">SUM(C10:L10,N10)</f>
        <v>136</v>
      </c>
      <c r="P10" s="15">
        <f t="shared" ref="P10:P57" si="1">SUM(C10:N10)</f>
        <v>232</v>
      </c>
      <c r="R10" s="1" t="s">
        <v>6</v>
      </c>
      <c r="S10" s="17">
        <f t="shared" ref="S10:AF10" si="2">SUM(C10:C13)</f>
        <v>172</v>
      </c>
      <c r="T10" s="17">
        <f t="shared" si="2"/>
        <v>75</v>
      </c>
      <c r="U10" s="17">
        <f t="shared" si="2"/>
        <v>25</v>
      </c>
      <c r="V10" s="17">
        <f t="shared" si="2"/>
        <v>91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2</v>
      </c>
      <c r="AA10" s="17">
        <f t="shared" si="2"/>
        <v>10</v>
      </c>
      <c r="AB10" s="17">
        <f t="shared" si="2"/>
        <v>1</v>
      </c>
      <c r="AC10" s="17">
        <f t="shared" si="2"/>
        <v>359</v>
      </c>
      <c r="AD10" s="17">
        <f t="shared" si="2"/>
        <v>0</v>
      </c>
      <c r="AE10" s="31">
        <f t="shared" si="2"/>
        <v>385</v>
      </c>
      <c r="AF10" s="31">
        <f t="shared" si="2"/>
        <v>744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17</v>
      </c>
      <c r="E11" s="50">
        <v>7</v>
      </c>
      <c r="F11" s="50">
        <v>26</v>
      </c>
      <c r="G11" s="50">
        <v>1</v>
      </c>
      <c r="H11" s="50">
        <v>0</v>
      </c>
      <c r="I11" s="50">
        <v>4</v>
      </c>
      <c r="J11" s="50">
        <v>0</v>
      </c>
      <c r="K11" s="50">
        <v>4</v>
      </c>
      <c r="L11" s="50">
        <v>0</v>
      </c>
      <c r="M11" s="50">
        <v>71</v>
      </c>
      <c r="N11" s="50">
        <v>0</v>
      </c>
      <c r="O11" s="15">
        <f t="shared" si="0"/>
        <v>104</v>
      </c>
      <c r="P11" s="15">
        <f t="shared" si="1"/>
        <v>175</v>
      </c>
      <c r="R11" s="1" t="s">
        <v>7</v>
      </c>
      <c r="S11" s="17">
        <f t="shared" ref="S11:AF11" si="3">SUM(C14:C17)</f>
        <v>103</v>
      </c>
      <c r="T11" s="17">
        <f t="shared" si="3"/>
        <v>58</v>
      </c>
      <c r="U11" s="17">
        <f t="shared" si="3"/>
        <v>8</v>
      </c>
      <c r="V11" s="17">
        <f t="shared" si="3"/>
        <v>135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614</v>
      </c>
      <c r="AD11" s="17">
        <f t="shared" si="3"/>
        <v>0</v>
      </c>
      <c r="AE11" s="31">
        <f t="shared" si="3"/>
        <v>317</v>
      </c>
      <c r="AF11" s="31">
        <f t="shared" si="3"/>
        <v>931</v>
      </c>
    </row>
    <row r="12" spans="2:32" ht="23.1" customHeight="1" x14ac:dyDescent="0.25">
      <c r="B12" s="23" t="s">
        <v>39</v>
      </c>
      <c r="C12" s="50">
        <v>26</v>
      </c>
      <c r="D12" s="50">
        <v>12</v>
      </c>
      <c r="E12" s="50">
        <v>4</v>
      </c>
      <c r="F12" s="50">
        <v>19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74</v>
      </c>
      <c r="N12" s="50">
        <v>0</v>
      </c>
      <c r="O12" s="15">
        <f t="shared" si="0"/>
        <v>63</v>
      </c>
      <c r="P12" s="15">
        <f t="shared" si="1"/>
        <v>137</v>
      </c>
      <c r="R12" s="1" t="s">
        <v>8</v>
      </c>
      <c r="S12" s="17">
        <f t="shared" ref="S12:AF12" si="4">SUM(C18:C21)</f>
        <v>135</v>
      </c>
      <c r="T12" s="17">
        <f t="shared" si="4"/>
        <v>53</v>
      </c>
      <c r="U12" s="17">
        <f t="shared" si="4"/>
        <v>27</v>
      </c>
      <c r="V12" s="17">
        <f t="shared" si="4"/>
        <v>102</v>
      </c>
      <c r="W12" s="17">
        <f t="shared" si="4"/>
        <v>0</v>
      </c>
      <c r="X12" s="17">
        <f t="shared" si="4"/>
        <v>5</v>
      </c>
      <c r="Y12" s="17">
        <f t="shared" si="4"/>
        <v>16</v>
      </c>
      <c r="Z12" s="17">
        <f t="shared" si="4"/>
        <v>6</v>
      </c>
      <c r="AA12" s="17">
        <f t="shared" si="4"/>
        <v>2</v>
      </c>
      <c r="AB12" s="17">
        <f t="shared" si="4"/>
        <v>2</v>
      </c>
      <c r="AC12" s="17">
        <f t="shared" si="4"/>
        <v>562</v>
      </c>
      <c r="AD12" s="17">
        <f t="shared" si="4"/>
        <v>0</v>
      </c>
      <c r="AE12" s="31">
        <f t="shared" si="4"/>
        <v>348</v>
      </c>
      <c r="AF12" s="31">
        <f t="shared" si="4"/>
        <v>910</v>
      </c>
    </row>
    <row r="13" spans="2:32" ht="23.1" customHeight="1" x14ac:dyDescent="0.25">
      <c r="B13" s="23" t="s">
        <v>40</v>
      </c>
      <c r="C13" s="50">
        <v>33</v>
      </c>
      <c r="D13" s="50">
        <v>15</v>
      </c>
      <c r="E13" s="50">
        <v>5</v>
      </c>
      <c r="F13" s="50">
        <v>22</v>
      </c>
      <c r="G13" s="50">
        <v>0</v>
      </c>
      <c r="H13" s="50">
        <v>0</v>
      </c>
      <c r="I13" s="50">
        <v>0</v>
      </c>
      <c r="J13" s="50">
        <v>2</v>
      </c>
      <c r="K13" s="50">
        <v>4</v>
      </c>
      <c r="L13" s="50">
        <v>1</v>
      </c>
      <c r="M13" s="50">
        <v>118</v>
      </c>
      <c r="N13" s="50">
        <v>0</v>
      </c>
      <c r="O13" s="15">
        <f t="shared" si="0"/>
        <v>82</v>
      </c>
      <c r="P13" s="15">
        <f t="shared" si="1"/>
        <v>200</v>
      </c>
      <c r="R13" s="1" t="s">
        <v>9</v>
      </c>
      <c r="S13" s="17">
        <f t="shared" ref="S13:AF13" si="5">SUM(C22:C25)</f>
        <v>109</v>
      </c>
      <c r="T13" s="17">
        <f t="shared" si="5"/>
        <v>61</v>
      </c>
      <c r="U13" s="17">
        <f t="shared" si="5"/>
        <v>32</v>
      </c>
      <c r="V13" s="17">
        <f t="shared" si="5"/>
        <v>94</v>
      </c>
      <c r="W13" s="17">
        <f t="shared" si="5"/>
        <v>0</v>
      </c>
      <c r="X13" s="17">
        <f t="shared" si="5"/>
        <v>0</v>
      </c>
      <c r="Y13" s="17">
        <f t="shared" si="5"/>
        <v>18</v>
      </c>
      <c r="Z13" s="17">
        <f t="shared" si="5"/>
        <v>6</v>
      </c>
      <c r="AA13" s="17">
        <f t="shared" si="5"/>
        <v>2</v>
      </c>
      <c r="AB13" s="17">
        <f t="shared" si="5"/>
        <v>3</v>
      </c>
      <c r="AC13" s="17">
        <f t="shared" si="5"/>
        <v>426</v>
      </c>
      <c r="AD13" s="17">
        <f t="shared" si="5"/>
        <v>0</v>
      </c>
      <c r="AE13" s="31">
        <f t="shared" si="5"/>
        <v>325</v>
      </c>
      <c r="AF13" s="31">
        <f t="shared" si="5"/>
        <v>751</v>
      </c>
    </row>
    <row r="14" spans="2:32" ht="23.1" customHeight="1" x14ac:dyDescent="0.25">
      <c r="B14" s="23" t="s">
        <v>41</v>
      </c>
      <c r="C14" s="50">
        <v>31</v>
      </c>
      <c r="D14" s="50">
        <v>19</v>
      </c>
      <c r="E14" s="50">
        <v>2</v>
      </c>
      <c r="F14" s="50">
        <v>36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139</v>
      </c>
      <c r="N14" s="50">
        <v>0</v>
      </c>
      <c r="O14" s="15">
        <f t="shared" si="0"/>
        <v>90</v>
      </c>
      <c r="P14" s="15">
        <f t="shared" si="1"/>
        <v>229</v>
      </c>
      <c r="R14" s="1" t="s">
        <v>10</v>
      </c>
      <c r="S14" s="17">
        <f t="shared" ref="S14:AF14" si="6">SUM(C26:C29)</f>
        <v>148</v>
      </c>
      <c r="T14" s="17">
        <f t="shared" si="6"/>
        <v>48</v>
      </c>
      <c r="U14" s="17">
        <f t="shared" si="6"/>
        <v>21</v>
      </c>
      <c r="V14" s="17">
        <f t="shared" si="6"/>
        <v>67</v>
      </c>
      <c r="W14" s="17">
        <f t="shared" si="6"/>
        <v>1</v>
      </c>
      <c r="X14" s="17">
        <f t="shared" si="6"/>
        <v>0</v>
      </c>
      <c r="Y14" s="17">
        <f t="shared" si="6"/>
        <v>27</v>
      </c>
      <c r="Z14" s="17">
        <f t="shared" si="6"/>
        <v>12</v>
      </c>
      <c r="AA14" s="17">
        <f t="shared" si="6"/>
        <v>1</v>
      </c>
      <c r="AB14" s="17">
        <f t="shared" si="6"/>
        <v>13</v>
      </c>
      <c r="AC14" s="17">
        <f t="shared" si="6"/>
        <v>298</v>
      </c>
      <c r="AD14" s="17">
        <f t="shared" si="6"/>
        <v>0</v>
      </c>
      <c r="AE14" s="31">
        <f t="shared" si="6"/>
        <v>338</v>
      </c>
      <c r="AF14" s="31">
        <f t="shared" si="6"/>
        <v>636</v>
      </c>
    </row>
    <row r="15" spans="2:32" ht="23.1" customHeight="1" x14ac:dyDescent="0.25">
      <c r="B15" s="23" t="s">
        <v>42</v>
      </c>
      <c r="C15" s="50">
        <v>19</v>
      </c>
      <c r="D15" s="50">
        <v>9</v>
      </c>
      <c r="E15" s="50">
        <v>1</v>
      </c>
      <c r="F15" s="50">
        <v>28</v>
      </c>
      <c r="G15" s="50">
        <v>0</v>
      </c>
      <c r="H15" s="50">
        <v>0</v>
      </c>
      <c r="I15" s="50">
        <v>3</v>
      </c>
      <c r="J15" s="50">
        <v>3</v>
      </c>
      <c r="K15" s="50">
        <v>0</v>
      </c>
      <c r="L15" s="50">
        <v>0</v>
      </c>
      <c r="M15" s="50">
        <v>158</v>
      </c>
      <c r="N15" s="50">
        <v>0</v>
      </c>
      <c r="O15" s="15">
        <f t="shared" si="0"/>
        <v>63</v>
      </c>
      <c r="P15" s="15">
        <f t="shared" si="1"/>
        <v>221</v>
      </c>
      <c r="R15" s="1" t="s">
        <v>11</v>
      </c>
      <c r="S15" s="17">
        <f t="shared" ref="S15:AF15" si="7">SUM(C30:C33)</f>
        <v>155</v>
      </c>
      <c r="T15" s="17">
        <f t="shared" si="7"/>
        <v>81</v>
      </c>
      <c r="U15" s="17">
        <f t="shared" si="7"/>
        <v>29</v>
      </c>
      <c r="V15" s="17">
        <f t="shared" si="7"/>
        <v>57</v>
      </c>
      <c r="W15" s="17">
        <f t="shared" si="7"/>
        <v>0</v>
      </c>
      <c r="X15" s="17">
        <f t="shared" si="7"/>
        <v>0</v>
      </c>
      <c r="Y15" s="17">
        <f t="shared" si="7"/>
        <v>32</v>
      </c>
      <c r="Z15" s="17">
        <f t="shared" si="7"/>
        <v>8</v>
      </c>
      <c r="AA15" s="17">
        <f t="shared" si="7"/>
        <v>3</v>
      </c>
      <c r="AB15" s="17">
        <f t="shared" si="7"/>
        <v>12</v>
      </c>
      <c r="AC15" s="17">
        <f t="shared" si="7"/>
        <v>289</v>
      </c>
      <c r="AD15" s="17">
        <f t="shared" si="7"/>
        <v>0</v>
      </c>
      <c r="AE15" s="31">
        <f t="shared" si="7"/>
        <v>377</v>
      </c>
      <c r="AF15" s="31">
        <f t="shared" si="7"/>
        <v>666</v>
      </c>
    </row>
    <row r="16" spans="2:32" ht="23.1" customHeight="1" x14ac:dyDescent="0.25">
      <c r="B16" s="23" t="s">
        <v>43</v>
      </c>
      <c r="C16" s="50">
        <v>25</v>
      </c>
      <c r="D16" s="50">
        <v>16</v>
      </c>
      <c r="E16" s="50">
        <v>3</v>
      </c>
      <c r="F16" s="50">
        <v>45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160</v>
      </c>
      <c r="N16" s="50">
        <v>0</v>
      </c>
      <c r="O16" s="15">
        <f t="shared" si="0"/>
        <v>91</v>
      </c>
      <c r="P16" s="15">
        <f t="shared" si="1"/>
        <v>251</v>
      </c>
      <c r="R16" s="1" t="s">
        <v>12</v>
      </c>
      <c r="S16" s="17">
        <f t="shared" ref="S16:AF16" si="8">SUM(C34:C37)</f>
        <v>133</v>
      </c>
      <c r="T16" s="17">
        <f t="shared" si="8"/>
        <v>75</v>
      </c>
      <c r="U16" s="17">
        <f t="shared" si="8"/>
        <v>35</v>
      </c>
      <c r="V16" s="17">
        <f t="shared" si="8"/>
        <v>65</v>
      </c>
      <c r="W16" s="17">
        <f t="shared" si="8"/>
        <v>0</v>
      </c>
      <c r="X16" s="17">
        <f t="shared" si="8"/>
        <v>1</v>
      </c>
      <c r="Y16" s="17">
        <f t="shared" si="8"/>
        <v>25</v>
      </c>
      <c r="Z16" s="17">
        <f t="shared" si="8"/>
        <v>6</v>
      </c>
      <c r="AA16" s="17">
        <f t="shared" si="8"/>
        <v>3</v>
      </c>
      <c r="AB16" s="17">
        <f t="shared" si="8"/>
        <v>2</v>
      </c>
      <c r="AC16" s="17">
        <f t="shared" si="8"/>
        <v>259</v>
      </c>
      <c r="AD16" s="17">
        <f t="shared" si="8"/>
        <v>0</v>
      </c>
      <c r="AE16" s="31">
        <f t="shared" si="8"/>
        <v>345</v>
      </c>
      <c r="AF16" s="31">
        <f t="shared" si="8"/>
        <v>604</v>
      </c>
    </row>
    <row r="17" spans="2:32" ht="23.1" customHeight="1" x14ac:dyDescent="0.25">
      <c r="B17" s="23" t="s">
        <v>44</v>
      </c>
      <c r="C17" s="50">
        <v>28</v>
      </c>
      <c r="D17" s="50">
        <v>14</v>
      </c>
      <c r="E17" s="50">
        <v>2</v>
      </c>
      <c r="F17" s="50">
        <v>26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157</v>
      </c>
      <c r="N17" s="50">
        <v>0</v>
      </c>
      <c r="O17" s="15">
        <f t="shared" si="0"/>
        <v>73</v>
      </c>
      <c r="P17" s="15">
        <f t="shared" si="1"/>
        <v>230</v>
      </c>
      <c r="R17" s="1" t="s">
        <v>13</v>
      </c>
      <c r="S17" s="17">
        <f t="shared" ref="S17:AF17" si="9">SUM(C38:C41)</f>
        <v>137</v>
      </c>
      <c r="T17" s="17">
        <f t="shared" si="9"/>
        <v>80</v>
      </c>
      <c r="U17" s="17">
        <f t="shared" si="9"/>
        <v>28</v>
      </c>
      <c r="V17" s="17">
        <f t="shared" si="9"/>
        <v>60</v>
      </c>
      <c r="W17" s="17">
        <f t="shared" si="9"/>
        <v>2</v>
      </c>
      <c r="X17" s="17">
        <f t="shared" si="9"/>
        <v>0</v>
      </c>
      <c r="Y17" s="17">
        <f t="shared" si="9"/>
        <v>19</v>
      </c>
      <c r="Z17" s="17">
        <f t="shared" si="9"/>
        <v>14</v>
      </c>
      <c r="AA17" s="17">
        <f t="shared" si="9"/>
        <v>4</v>
      </c>
      <c r="AB17" s="17">
        <f t="shared" si="9"/>
        <v>13</v>
      </c>
      <c r="AC17" s="17">
        <f t="shared" si="9"/>
        <v>194</v>
      </c>
      <c r="AD17" s="17">
        <f t="shared" si="9"/>
        <v>0</v>
      </c>
      <c r="AE17" s="31">
        <f t="shared" si="9"/>
        <v>357</v>
      </c>
      <c r="AF17" s="31">
        <f t="shared" si="9"/>
        <v>551</v>
      </c>
    </row>
    <row r="18" spans="2:32" ht="23.1" customHeight="1" x14ac:dyDescent="0.25">
      <c r="B18" s="23" t="s">
        <v>45</v>
      </c>
      <c r="C18" s="50">
        <v>36</v>
      </c>
      <c r="D18" s="50">
        <v>16</v>
      </c>
      <c r="E18" s="50">
        <v>7</v>
      </c>
      <c r="F18" s="50">
        <v>27</v>
      </c>
      <c r="G18" s="50">
        <v>0</v>
      </c>
      <c r="H18" s="50">
        <v>0</v>
      </c>
      <c r="I18" s="50">
        <v>9</v>
      </c>
      <c r="J18" s="50">
        <v>3</v>
      </c>
      <c r="K18" s="50">
        <v>1</v>
      </c>
      <c r="L18" s="50">
        <v>0</v>
      </c>
      <c r="M18" s="50">
        <v>146</v>
      </c>
      <c r="N18" s="50">
        <v>0</v>
      </c>
      <c r="O18" s="15">
        <f t="shared" si="0"/>
        <v>99</v>
      </c>
      <c r="P18" s="15">
        <f t="shared" si="1"/>
        <v>245</v>
      </c>
      <c r="R18" s="1" t="s">
        <v>14</v>
      </c>
      <c r="S18" s="17">
        <f t="shared" ref="S18:AF18" si="10">SUM(C42:C45)</f>
        <v>154</v>
      </c>
      <c r="T18" s="17">
        <f t="shared" si="10"/>
        <v>77</v>
      </c>
      <c r="U18" s="17">
        <f t="shared" si="10"/>
        <v>30</v>
      </c>
      <c r="V18" s="17">
        <f t="shared" si="10"/>
        <v>51</v>
      </c>
      <c r="W18" s="17">
        <f t="shared" si="10"/>
        <v>2</v>
      </c>
      <c r="X18" s="17">
        <f t="shared" si="10"/>
        <v>1</v>
      </c>
      <c r="Y18" s="17">
        <f t="shared" si="10"/>
        <v>12</v>
      </c>
      <c r="Z18" s="17">
        <f t="shared" si="10"/>
        <v>5</v>
      </c>
      <c r="AA18" s="17">
        <f t="shared" si="10"/>
        <v>4</v>
      </c>
      <c r="AB18" s="17">
        <f t="shared" si="10"/>
        <v>13</v>
      </c>
      <c r="AC18" s="17">
        <f t="shared" si="10"/>
        <v>159</v>
      </c>
      <c r="AD18" s="17">
        <f t="shared" si="10"/>
        <v>0</v>
      </c>
      <c r="AE18" s="31">
        <f t="shared" si="10"/>
        <v>349</v>
      </c>
      <c r="AF18" s="31">
        <f t="shared" si="10"/>
        <v>508</v>
      </c>
    </row>
    <row r="19" spans="2:32" ht="23.1" customHeight="1" x14ac:dyDescent="0.25">
      <c r="B19" s="23" t="s">
        <v>46</v>
      </c>
      <c r="C19" s="50">
        <v>28</v>
      </c>
      <c r="D19" s="50">
        <v>15</v>
      </c>
      <c r="E19" s="50">
        <v>3</v>
      </c>
      <c r="F19" s="50">
        <v>28</v>
      </c>
      <c r="G19" s="50">
        <v>0</v>
      </c>
      <c r="H19" s="50">
        <v>5</v>
      </c>
      <c r="I19" s="50">
        <v>1</v>
      </c>
      <c r="J19" s="50">
        <v>0</v>
      </c>
      <c r="K19" s="50">
        <v>0</v>
      </c>
      <c r="L19" s="50">
        <v>1</v>
      </c>
      <c r="M19" s="50">
        <v>112</v>
      </c>
      <c r="N19" s="50">
        <v>0</v>
      </c>
      <c r="O19" s="15">
        <f t="shared" si="0"/>
        <v>81</v>
      </c>
      <c r="P19" s="15">
        <f t="shared" si="1"/>
        <v>193</v>
      </c>
      <c r="R19" s="1" t="s">
        <v>15</v>
      </c>
      <c r="S19" s="17">
        <f t="shared" ref="S19:AF19" si="11">SUM(C46:C49)</f>
        <v>260</v>
      </c>
      <c r="T19" s="17">
        <f t="shared" si="11"/>
        <v>128</v>
      </c>
      <c r="U19" s="17">
        <f t="shared" si="11"/>
        <v>33</v>
      </c>
      <c r="V19" s="17">
        <f t="shared" si="11"/>
        <v>62</v>
      </c>
      <c r="W19" s="17">
        <f t="shared" si="11"/>
        <v>2</v>
      </c>
      <c r="X19" s="17">
        <f t="shared" si="11"/>
        <v>0</v>
      </c>
      <c r="Y19" s="17">
        <f t="shared" si="11"/>
        <v>14</v>
      </c>
      <c r="Z19" s="17">
        <f t="shared" si="11"/>
        <v>9</v>
      </c>
      <c r="AA19" s="17">
        <f t="shared" si="11"/>
        <v>3</v>
      </c>
      <c r="AB19" s="17">
        <f t="shared" si="11"/>
        <v>10</v>
      </c>
      <c r="AC19" s="17">
        <f t="shared" si="11"/>
        <v>176</v>
      </c>
      <c r="AD19" s="17">
        <f t="shared" si="11"/>
        <v>0</v>
      </c>
      <c r="AE19" s="31">
        <f t="shared" si="11"/>
        <v>521</v>
      </c>
      <c r="AF19" s="31">
        <f t="shared" si="11"/>
        <v>697</v>
      </c>
    </row>
    <row r="20" spans="2:32" ht="23.1" customHeight="1" x14ac:dyDescent="0.25">
      <c r="B20" s="23" t="s">
        <v>47</v>
      </c>
      <c r="C20" s="50">
        <v>33</v>
      </c>
      <c r="D20" s="50">
        <v>7</v>
      </c>
      <c r="E20" s="50">
        <v>11</v>
      </c>
      <c r="F20" s="50">
        <v>24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1</v>
      </c>
      <c r="M20" s="50">
        <v>167</v>
      </c>
      <c r="N20" s="50">
        <v>0</v>
      </c>
      <c r="O20" s="15">
        <f t="shared" si="0"/>
        <v>81</v>
      </c>
      <c r="P20" s="15">
        <f t="shared" si="1"/>
        <v>248</v>
      </c>
      <c r="R20" s="1" t="s">
        <v>16</v>
      </c>
      <c r="S20" s="17">
        <f t="shared" ref="S20:AF20" si="12">SUM(C50:C53)</f>
        <v>315</v>
      </c>
      <c r="T20" s="17">
        <f t="shared" si="12"/>
        <v>139</v>
      </c>
      <c r="U20" s="17">
        <f t="shared" si="12"/>
        <v>36</v>
      </c>
      <c r="V20" s="17">
        <f t="shared" si="12"/>
        <v>50</v>
      </c>
      <c r="W20" s="17">
        <f t="shared" si="12"/>
        <v>4</v>
      </c>
      <c r="X20" s="17">
        <f t="shared" si="12"/>
        <v>0</v>
      </c>
      <c r="Y20" s="17">
        <f t="shared" si="12"/>
        <v>23</v>
      </c>
      <c r="Z20" s="17">
        <f t="shared" si="12"/>
        <v>3</v>
      </c>
      <c r="AA20" s="17">
        <f t="shared" si="12"/>
        <v>3</v>
      </c>
      <c r="AB20" s="17">
        <f t="shared" si="12"/>
        <v>12</v>
      </c>
      <c r="AC20" s="17">
        <f t="shared" si="12"/>
        <v>227</v>
      </c>
      <c r="AD20" s="17">
        <f t="shared" si="12"/>
        <v>0</v>
      </c>
      <c r="AE20" s="31">
        <f t="shared" si="12"/>
        <v>585</v>
      </c>
      <c r="AF20" s="31">
        <f t="shared" si="12"/>
        <v>812</v>
      </c>
    </row>
    <row r="21" spans="2:32" ht="23.1" customHeight="1" x14ac:dyDescent="0.25">
      <c r="B21" s="23" t="s">
        <v>48</v>
      </c>
      <c r="C21" s="50">
        <v>38</v>
      </c>
      <c r="D21" s="50">
        <v>15</v>
      </c>
      <c r="E21" s="50">
        <v>6</v>
      </c>
      <c r="F21" s="50">
        <v>23</v>
      </c>
      <c r="G21" s="50">
        <v>0</v>
      </c>
      <c r="H21" s="50">
        <v>0</v>
      </c>
      <c r="I21" s="50">
        <v>2</v>
      </c>
      <c r="J21" s="50">
        <v>2</v>
      </c>
      <c r="K21" s="50">
        <v>1</v>
      </c>
      <c r="L21" s="50">
        <v>0</v>
      </c>
      <c r="M21" s="50">
        <v>137</v>
      </c>
      <c r="N21" s="50">
        <v>0</v>
      </c>
      <c r="O21" s="15">
        <f t="shared" si="0"/>
        <v>87</v>
      </c>
      <c r="P21" s="15">
        <f t="shared" si="1"/>
        <v>224</v>
      </c>
      <c r="R21" s="36" t="s">
        <v>20</v>
      </c>
      <c r="S21" s="34">
        <f t="shared" ref="S21:AF21" si="13">SUM(C54:C57)</f>
        <v>245</v>
      </c>
      <c r="T21" s="17">
        <f t="shared" si="13"/>
        <v>92</v>
      </c>
      <c r="U21" s="17">
        <f t="shared" si="13"/>
        <v>20</v>
      </c>
      <c r="V21" s="17">
        <f t="shared" si="13"/>
        <v>50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4</v>
      </c>
      <c r="AA21" s="17">
        <f t="shared" si="13"/>
        <v>2</v>
      </c>
      <c r="AB21" s="17">
        <f t="shared" si="13"/>
        <v>16</v>
      </c>
      <c r="AC21" s="17">
        <f t="shared" si="13"/>
        <v>267</v>
      </c>
      <c r="AD21" s="17">
        <f t="shared" si="13"/>
        <v>0</v>
      </c>
      <c r="AE21" s="31">
        <f t="shared" si="13"/>
        <v>439</v>
      </c>
      <c r="AF21" s="31">
        <f t="shared" si="13"/>
        <v>706</v>
      </c>
    </row>
    <row r="22" spans="2:32" ht="23.1" customHeight="1" x14ac:dyDescent="0.25">
      <c r="B22" s="23" t="s">
        <v>49</v>
      </c>
      <c r="C22" s="50">
        <v>33</v>
      </c>
      <c r="D22" s="50">
        <v>19</v>
      </c>
      <c r="E22" s="50">
        <v>11</v>
      </c>
      <c r="F22" s="50">
        <v>24</v>
      </c>
      <c r="G22" s="50">
        <v>0</v>
      </c>
      <c r="H22" s="50">
        <v>0</v>
      </c>
      <c r="I22" s="50">
        <v>5</v>
      </c>
      <c r="J22" s="50">
        <v>2</v>
      </c>
      <c r="K22" s="50">
        <v>0</v>
      </c>
      <c r="L22" s="50">
        <v>1</v>
      </c>
      <c r="M22" s="50">
        <v>100</v>
      </c>
      <c r="N22" s="50">
        <v>0</v>
      </c>
      <c r="O22" s="15">
        <f t="shared" si="0"/>
        <v>95</v>
      </c>
      <c r="P22" s="15">
        <f t="shared" si="1"/>
        <v>195</v>
      </c>
      <c r="R22" s="38" t="s">
        <v>90</v>
      </c>
      <c r="S22" s="39">
        <f>MAX(S10:S12)</f>
        <v>172</v>
      </c>
      <c r="T22" s="39">
        <f t="shared" ref="T22:AF22" si="14">MAX(T10:T12)</f>
        <v>75</v>
      </c>
      <c r="U22" s="39">
        <f t="shared" si="14"/>
        <v>27</v>
      </c>
      <c r="V22" s="39">
        <f t="shared" si="14"/>
        <v>135</v>
      </c>
      <c r="W22" s="39">
        <f t="shared" si="14"/>
        <v>1</v>
      </c>
      <c r="X22" s="39">
        <f t="shared" si="14"/>
        <v>5</v>
      </c>
      <c r="Y22" s="39">
        <f t="shared" si="14"/>
        <v>16</v>
      </c>
      <c r="Z22" s="39">
        <f t="shared" si="14"/>
        <v>6</v>
      </c>
      <c r="AA22" s="39">
        <f t="shared" si="14"/>
        <v>10</v>
      </c>
      <c r="AB22" s="39">
        <f t="shared" si="14"/>
        <v>2</v>
      </c>
      <c r="AC22" s="39">
        <f t="shared" si="14"/>
        <v>614</v>
      </c>
      <c r="AD22" s="39">
        <f t="shared" si="14"/>
        <v>0</v>
      </c>
      <c r="AE22" s="40">
        <f t="shared" si="14"/>
        <v>385</v>
      </c>
      <c r="AF22" s="40">
        <f t="shared" si="14"/>
        <v>931</v>
      </c>
    </row>
    <row r="23" spans="2:32" ht="23.1" customHeight="1" x14ac:dyDescent="0.25">
      <c r="B23" s="23" t="s">
        <v>50</v>
      </c>
      <c r="C23" s="50">
        <v>28</v>
      </c>
      <c r="D23" s="50">
        <v>12</v>
      </c>
      <c r="E23" s="50">
        <v>7</v>
      </c>
      <c r="F23" s="50">
        <v>19</v>
      </c>
      <c r="G23" s="50">
        <v>0</v>
      </c>
      <c r="H23" s="50">
        <v>0</v>
      </c>
      <c r="I23" s="50">
        <v>8</v>
      </c>
      <c r="J23" s="50">
        <v>2</v>
      </c>
      <c r="K23" s="50">
        <v>1</v>
      </c>
      <c r="L23" s="50">
        <v>0</v>
      </c>
      <c r="M23" s="50">
        <v>105</v>
      </c>
      <c r="N23" s="50">
        <v>0</v>
      </c>
      <c r="O23" s="15">
        <f t="shared" si="0"/>
        <v>77</v>
      </c>
      <c r="P23" s="15">
        <f t="shared" si="1"/>
        <v>182</v>
      </c>
      <c r="R23" s="38" t="s">
        <v>91</v>
      </c>
      <c r="S23" s="39">
        <f>MAX(S13:S18)</f>
        <v>155</v>
      </c>
      <c r="T23" s="39">
        <f t="shared" ref="T23:AF23" si="15">MAX(T13:T18)</f>
        <v>81</v>
      </c>
      <c r="U23" s="39">
        <f t="shared" si="15"/>
        <v>35</v>
      </c>
      <c r="V23" s="39">
        <f t="shared" si="15"/>
        <v>94</v>
      </c>
      <c r="W23" s="39">
        <f t="shared" si="15"/>
        <v>2</v>
      </c>
      <c r="X23" s="39">
        <f t="shared" si="15"/>
        <v>1</v>
      </c>
      <c r="Y23" s="39">
        <f t="shared" si="15"/>
        <v>32</v>
      </c>
      <c r="Z23" s="39">
        <f t="shared" si="15"/>
        <v>14</v>
      </c>
      <c r="AA23" s="39">
        <f t="shared" si="15"/>
        <v>4</v>
      </c>
      <c r="AB23" s="39">
        <f t="shared" si="15"/>
        <v>13</v>
      </c>
      <c r="AC23" s="39">
        <f t="shared" si="15"/>
        <v>426</v>
      </c>
      <c r="AD23" s="39">
        <f t="shared" si="15"/>
        <v>0</v>
      </c>
      <c r="AE23" s="40">
        <f t="shared" si="15"/>
        <v>377</v>
      </c>
      <c r="AF23" s="40">
        <f t="shared" si="15"/>
        <v>751</v>
      </c>
    </row>
    <row r="24" spans="2:32" ht="23.1" customHeight="1" x14ac:dyDescent="0.25">
      <c r="B24" s="23" t="s">
        <v>51</v>
      </c>
      <c r="C24" s="50">
        <v>26</v>
      </c>
      <c r="D24" s="50">
        <v>21</v>
      </c>
      <c r="E24" s="50">
        <v>8</v>
      </c>
      <c r="F24" s="50">
        <v>30</v>
      </c>
      <c r="G24" s="50">
        <v>0</v>
      </c>
      <c r="H24" s="50">
        <v>0</v>
      </c>
      <c r="I24" s="50">
        <v>3</v>
      </c>
      <c r="J24" s="50">
        <v>2</v>
      </c>
      <c r="K24" s="50">
        <v>0</v>
      </c>
      <c r="L24" s="50">
        <v>2</v>
      </c>
      <c r="M24" s="50">
        <v>106</v>
      </c>
      <c r="N24" s="50">
        <v>0</v>
      </c>
      <c r="O24" s="15">
        <f t="shared" si="0"/>
        <v>92</v>
      </c>
      <c r="P24" s="15">
        <f t="shared" si="1"/>
        <v>198</v>
      </c>
      <c r="R24" s="38" t="s">
        <v>92</v>
      </c>
      <c r="S24" s="39">
        <f>MAX(S19:S21)</f>
        <v>315</v>
      </c>
      <c r="T24" s="39">
        <f t="shared" ref="T24:AF24" si="16">MAX(T19:T21)</f>
        <v>139</v>
      </c>
      <c r="U24" s="39">
        <f t="shared" si="16"/>
        <v>36</v>
      </c>
      <c r="V24" s="39">
        <f t="shared" si="16"/>
        <v>62</v>
      </c>
      <c r="W24" s="39">
        <f t="shared" si="16"/>
        <v>4</v>
      </c>
      <c r="X24" s="39">
        <f t="shared" si="16"/>
        <v>0</v>
      </c>
      <c r="Y24" s="39">
        <f t="shared" si="16"/>
        <v>23</v>
      </c>
      <c r="Z24" s="39">
        <f t="shared" si="16"/>
        <v>9</v>
      </c>
      <c r="AA24" s="39">
        <f t="shared" si="16"/>
        <v>3</v>
      </c>
      <c r="AB24" s="39">
        <f t="shared" si="16"/>
        <v>16</v>
      </c>
      <c r="AC24" s="39">
        <f t="shared" si="16"/>
        <v>267</v>
      </c>
      <c r="AD24" s="39">
        <f t="shared" si="16"/>
        <v>0</v>
      </c>
      <c r="AE24" s="40">
        <f t="shared" si="16"/>
        <v>585</v>
      </c>
      <c r="AF24" s="40">
        <f t="shared" si="16"/>
        <v>812</v>
      </c>
    </row>
    <row r="25" spans="2:32" ht="23.1" customHeight="1" x14ac:dyDescent="0.25">
      <c r="B25" s="23" t="s">
        <v>52</v>
      </c>
      <c r="C25" s="50">
        <v>22</v>
      </c>
      <c r="D25" s="50">
        <v>9</v>
      </c>
      <c r="E25" s="50">
        <v>6</v>
      </c>
      <c r="F25" s="50">
        <v>21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0</v>
      </c>
      <c r="M25" s="50">
        <v>115</v>
      </c>
      <c r="N25" s="50">
        <v>0</v>
      </c>
      <c r="O25" s="15">
        <f t="shared" si="0"/>
        <v>61</v>
      </c>
      <c r="P25" s="15">
        <f t="shared" si="1"/>
        <v>176</v>
      </c>
      <c r="R25" s="37" t="s">
        <v>85</v>
      </c>
      <c r="S25" s="35">
        <f t="shared" ref="S25:AF25" si="17">SUM(S10:S12)</f>
        <v>410</v>
      </c>
      <c r="T25" s="16">
        <f t="shared" si="17"/>
        <v>186</v>
      </c>
      <c r="U25" s="16">
        <f t="shared" si="17"/>
        <v>60</v>
      </c>
      <c r="V25" s="16">
        <f t="shared" si="17"/>
        <v>328</v>
      </c>
      <c r="W25" s="16">
        <f t="shared" si="17"/>
        <v>1</v>
      </c>
      <c r="X25" s="16">
        <f t="shared" si="17"/>
        <v>5</v>
      </c>
      <c r="Y25" s="16">
        <f t="shared" si="17"/>
        <v>31</v>
      </c>
      <c r="Z25" s="16">
        <f t="shared" si="17"/>
        <v>13</v>
      </c>
      <c r="AA25" s="16">
        <f t="shared" si="17"/>
        <v>13</v>
      </c>
      <c r="AB25" s="16">
        <f t="shared" si="17"/>
        <v>3</v>
      </c>
      <c r="AC25" s="16">
        <f t="shared" si="17"/>
        <v>1535</v>
      </c>
      <c r="AD25" s="16">
        <f t="shared" si="17"/>
        <v>0</v>
      </c>
      <c r="AE25" s="32">
        <f t="shared" si="17"/>
        <v>1050</v>
      </c>
      <c r="AF25" s="32">
        <f t="shared" si="17"/>
        <v>2585</v>
      </c>
    </row>
    <row r="26" spans="2:32" ht="23.1" customHeight="1" x14ac:dyDescent="0.25">
      <c r="B26" s="23" t="s">
        <v>53</v>
      </c>
      <c r="C26" s="50">
        <v>36</v>
      </c>
      <c r="D26" s="50">
        <v>9</v>
      </c>
      <c r="E26" s="50">
        <v>7</v>
      </c>
      <c r="F26" s="50">
        <v>8</v>
      </c>
      <c r="G26" s="50">
        <v>0</v>
      </c>
      <c r="H26" s="50">
        <v>0</v>
      </c>
      <c r="I26" s="50">
        <v>4</v>
      </c>
      <c r="J26" s="50">
        <v>3</v>
      </c>
      <c r="K26" s="50">
        <v>1</v>
      </c>
      <c r="L26" s="50">
        <v>2</v>
      </c>
      <c r="M26" s="50">
        <v>79</v>
      </c>
      <c r="N26" s="50">
        <v>0</v>
      </c>
      <c r="O26" s="15">
        <f t="shared" si="0"/>
        <v>70</v>
      </c>
      <c r="P26" s="15">
        <f t="shared" si="1"/>
        <v>149</v>
      </c>
      <c r="R26" s="28" t="s">
        <v>86</v>
      </c>
      <c r="S26" s="16">
        <f t="shared" ref="S26:AF26" si="18">SUM(S13:S18)</f>
        <v>836</v>
      </c>
      <c r="T26" s="16">
        <f t="shared" si="18"/>
        <v>422</v>
      </c>
      <c r="U26" s="16">
        <f t="shared" si="18"/>
        <v>175</v>
      </c>
      <c r="V26" s="16">
        <f t="shared" si="18"/>
        <v>394</v>
      </c>
      <c r="W26" s="16">
        <f t="shared" si="18"/>
        <v>5</v>
      </c>
      <c r="X26" s="16">
        <f t="shared" si="18"/>
        <v>2</v>
      </c>
      <c r="Y26" s="16">
        <f t="shared" si="18"/>
        <v>133</v>
      </c>
      <c r="Z26" s="16">
        <f t="shared" si="18"/>
        <v>51</v>
      </c>
      <c r="AA26" s="16">
        <f t="shared" si="18"/>
        <v>17</v>
      </c>
      <c r="AB26" s="16">
        <f t="shared" si="18"/>
        <v>56</v>
      </c>
      <c r="AC26" s="16">
        <f t="shared" si="18"/>
        <v>1625</v>
      </c>
      <c r="AD26" s="16">
        <f t="shared" si="18"/>
        <v>0</v>
      </c>
      <c r="AE26" s="32">
        <f t="shared" si="18"/>
        <v>2091</v>
      </c>
      <c r="AF26" s="32">
        <f t="shared" si="18"/>
        <v>3716</v>
      </c>
    </row>
    <row r="27" spans="2:32" ht="23.1" customHeight="1" x14ac:dyDescent="0.25">
      <c r="B27" s="23" t="s">
        <v>54</v>
      </c>
      <c r="C27" s="50">
        <v>31</v>
      </c>
      <c r="D27" s="50">
        <v>15</v>
      </c>
      <c r="E27" s="50">
        <v>3</v>
      </c>
      <c r="F27" s="50">
        <v>28</v>
      </c>
      <c r="G27" s="50">
        <v>0</v>
      </c>
      <c r="H27" s="50">
        <v>0</v>
      </c>
      <c r="I27" s="50">
        <v>5</v>
      </c>
      <c r="J27" s="50">
        <v>3</v>
      </c>
      <c r="K27" s="50">
        <v>0</v>
      </c>
      <c r="L27" s="50">
        <v>3</v>
      </c>
      <c r="M27" s="50">
        <v>50</v>
      </c>
      <c r="N27" s="50">
        <v>0</v>
      </c>
      <c r="O27" s="15">
        <f t="shared" si="0"/>
        <v>88</v>
      </c>
      <c r="P27" s="15">
        <f t="shared" si="1"/>
        <v>138</v>
      </c>
      <c r="R27" s="29" t="s">
        <v>87</v>
      </c>
      <c r="S27" s="16">
        <f t="shared" ref="S27:AF27" si="19">SUM(S19:S21)</f>
        <v>820</v>
      </c>
      <c r="T27" s="16">
        <f t="shared" si="19"/>
        <v>359</v>
      </c>
      <c r="U27" s="16">
        <f t="shared" si="19"/>
        <v>89</v>
      </c>
      <c r="V27" s="16">
        <f t="shared" si="19"/>
        <v>162</v>
      </c>
      <c r="W27" s="16">
        <f t="shared" si="19"/>
        <v>6</v>
      </c>
      <c r="X27" s="16">
        <f t="shared" si="19"/>
        <v>0</v>
      </c>
      <c r="Y27" s="16">
        <f t="shared" si="19"/>
        <v>47</v>
      </c>
      <c r="Z27" s="16">
        <f t="shared" si="19"/>
        <v>16</v>
      </c>
      <c r="AA27" s="16">
        <f t="shared" si="19"/>
        <v>8</v>
      </c>
      <c r="AB27" s="16">
        <f t="shared" si="19"/>
        <v>38</v>
      </c>
      <c r="AC27" s="16">
        <f t="shared" si="19"/>
        <v>670</v>
      </c>
      <c r="AD27" s="16">
        <f t="shared" si="19"/>
        <v>0</v>
      </c>
      <c r="AE27" s="32">
        <f t="shared" si="19"/>
        <v>1545</v>
      </c>
      <c r="AF27" s="32">
        <f t="shared" si="19"/>
        <v>2215</v>
      </c>
    </row>
    <row r="28" spans="2:32" ht="23.1" customHeight="1" x14ac:dyDescent="0.25">
      <c r="B28" s="23" t="s">
        <v>55</v>
      </c>
      <c r="C28" s="50">
        <v>34</v>
      </c>
      <c r="D28" s="50">
        <v>12</v>
      </c>
      <c r="E28" s="50">
        <v>5</v>
      </c>
      <c r="F28" s="50">
        <v>17</v>
      </c>
      <c r="G28" s="50">
        <v>0</v>
      </c>
      <c r="H28" s="50">
        <v>0</v>
      </c>
      <c r="I28" s="50">
        <v>11</v>
      </c>
      <c r="J28" s="50">
        <v>3</v>
      </c>
      <c r="K28" s="50">
        <v>0</v>
      </c>
      <c r="L28" s="50">
        <v>5</v>
      </c>
      <c r="M28" s="50">
        <v>69</v>
      </c>
      <c r="N28" s="50">
        <v>0</v>
      </c>
      <c r="O28" s="15">
        <f t="shared" si="0"/>
        <v>87</v>
      </c>
      <c r="P28" s="15">
        <f t="shared" si="1"/>
        <v>156</v>
      </c>
      <c r="R28" s="5" t="s">
        <v>17</v>
      </c>
      <c r="S28" s="16">
        <f t="shared" ref="S28:AF28" si="20">SUM(S10:S21)</f>
        <v>2066</v>
      </c>
      <c r="T28" s="16">
        <f t="shared" si="20"/>
        <v>967</v>
      </c>
      <c r="U28" s="16">
        <f t="shared" si="20"/>
        <v>324</v>
      </c>
      <c r="V28" s="16">
        <f t="shared" si="20"/>
        <v>884</v>
      </c>
      <c r="W28" s="16">
        <f t="shared" si="20"/>
        <v>12</v>
      </c>
      <c r="X28" s="16">
        <f t="shared" si="20"/>
        <v>7</v>
      </c>
      <c r="Y28" s="16">
        <f t="shared" si="20"/>
        <v>211</v>
      </c>
      <c r="Z28" s="16">
        <f t="shared" si="20"/>
        <v>80</v>
      </c>
      <c r="AA28" s="16">
        <f t="shared" si="20"/>
        <v>38</v>
      </c>
      <c r="AB28" s="16">
        <f t="shared" si="20"/>
        <v>97</v>
      </c>
      <c r="AC28" s="16">
        <f t="shared" si="20"/>
        <v>3830</v>
      </c>
      <c r="AD28" s="16">
        <f t="shared" si="20"/>
        <v>0</v>
      </c>
      <c r="AE28" s="32">
        <f t="shared" si="20"/>
        <v>4686</v>
      </c>
      <c r="AF28" s="32">
        <f t="shared" si="20"/>
        <v>8516</v>
      </c>
    </row>
    <row r="29" spans="2:32" ht="23.1" customHeight="1" x14ac:dyDescent="0.25">
      <c r="B29" s="23" t="s">
        <v>56</v>
      </c>
      <c r="C29" s="50">
        <v>47</v>
      </c>
      <c r="D29" s="50">
        <v>12</v>
      </c>
      <c r="E29" s="50">
        <v>6</v>
      </c>
      <c r="F29" s="50">
        <v>14</v>
      </c>
      <c r="G29" s="50">
        <v>1</v>
      </c>
      <c r="H29" s="50">
        <v>0</v>
      </c>
      <c r="I29" s="50">
        <v>7</v>
      </c>
      <c r="J29" s="50">
        <v>3</v>
      </c>
      <c r="K29" s="50">
        <v>0</v>
      </c>
      <c r="L29" s="50">
        <v>3</v>
      </c>
      <c r="M29" s="50">
        <v>100</v>
      </c>
      <c r="N29" s="50">
        <v>0</v>
      </c>
      <c r="O29" s="15">
        <f t="shared" si="0"/>
        <v>93</v>
      </c>
      <c r="P29" s="15">
        <f t="shared" si="1"/>
        <v>193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19</v>
      </c>
      <c r="E30" s="50">
        <v>6</v>
      </c>
      <c r="F30" s="50">
        <v>12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4</v>
      </c>
      <c r="M30" s="50">
        <v>80</v>
      </c>
      <c r="N30" s="50">
        <v>0</v>
      </c>
      <c r="O30" s="15">
        <f t="shared" si="0"/>
        <v>79</v>
      </c>
      <c r="P30" s="15">
        <f t="shared" si="1"/>
        <v>159</v>
      </c>
    </row>
    <row r="31" spans="2:32" ht="23.1" customHeight="1" x14ac:dyDescent="0.25">
      <c r="B31" s="24" t="s">
        <v>58</v>
      </c>
      <c r="C31" s="50">
        <v>37</v>
      </c>
      <c r="D31" s="50">
        <v>20</v>
      </c>
      <c r="E31" s="50">
        <v>3</v>
      </c>
      <c r="F31" s="50">
        <v>12</v>
      </c>
      <c r="G31" s="50">
        <v>0</v>
      </c>
      <c r="H31" s="50">
        <v>0</v>
      </c>
      <c r="I31" s="50">
        <v>5</v>
      </c>
      <c r="J31" s="50">
        <v>5</v>
      </c>
      <c r="K31" s="50">
        <v>2</v>
      </c>
      <c r="L31" s="50">
        <v>2</v>
      </c>
      <c r="M31" s="50">
        <v>45</v>
      </c>
      <c r="N31" s="50">
        <v>0</v>
      </c>
      <c r="O31" s="15">
        <f t="shared" si="0"/>
        <v>86</v>
      </c>
      <c r="P31" s="15">
        <f t="shared" si="1"/>
        <v>131</v>
      </c>
    </row>
    <row r="32" spans="2:32" ht="23.1" customHeight="1" x14ac:dyDescent="0.25">
      <c r="B32" s="24" t="s">
        <v>59</v>
      </c>
      <c r="C32" s="50">
        <v>35</v>
      </c>
      <c r="D32" s="50">
        <v>18</v>
      </c>
      <c r="E32" s="50">
        <v>7</v>
      </c>
      <c r="F32" s="50">
        <v>15</v>
      </c>
      <c r="G32" s="50">
        <v>0</v>
      </c>
      <c r="H32" s="50">
        <v>0</v>
      </c>
      <c r="I32" s="50">
        <v>10</v>
      </c>
      <c r="J32" s="50">
        <v>3</v>
      </c>
      <c r="K32" s="50">
        <v>1</v>
      </c>
      <c r="L32" s="50">
        <v>1</v>
      </c>
      <c r="M32" s="50">
        <v>83</v>
      </c>
      <c r="N32" s="50">
        <v>0</v>
      </c>
      <c r="O32" s="15">
        <f t="shared" si="0"/>
        <v>90</v>
      </c>
      <c r="P32" s="15">
        <f t="shared" si="1"/>
        <v>173</v>
      </c>
    </row>
    <row r="33" spans="2:20" ht="23.1" customHeight="1" x14ac:dyDescent="0.25">
      <c r="B33" s="23" t="s">
        <v>60</v>
      </c>
      <c r="C33" s="50">
        <v>47</v>
      </c>
      <c r="D33" s="50">
        <v>24</v>
      </c>
      <c r="E33" s="50">
        <v>13</v>
      </c>
      <c r="F33" s="50">
        <v>18</v>
      </c>
      <c r="G33" s="50">
        <v>0</v>
      </c>
      <c r="H33" s="50">
        <v>0</v>
      </c>
      <c r="I33" s="50">
        <v>15</v>
      </c>
      <c r="J33" s="50">
        <v>0</v>
      </c>
      <c r="K33" s="50">
        <v>0</v>
      </c>
      <c r="L33" s="50">
        <v>5</v>
      </c>
      <c r="M33" s="50">
        <v>81</v>
      </c>
      <c r="N33" s="50">
        <v>0</v>
      </c>
      <c r="O33" s="15">
        <f t="shared" si="0"/>
        <v>122</v>
      </c>
      <c r="P33" s="15">
        <f t="shared" si="1"/>
        <v>203</v>
      </c>
    </row>
    <row r="34" spans="2:20" ht="23.1" customHeight="1" x14ac:dyDescent="0.25">
      <c r="B34" s="24" t="s">
        <v>61</v>
      </c>
      <c r="C34" s="50">
        <v>32</v>
      </c>
      <c r="D34" s="50">
        <v>13</v>
      </c>
      <c r="E34" s="50">
        <v>10</v>
      </c>
      <c r="F34" s="50">
        <v>27</v>
      </c>
      <c r="G34" s="50">
        <v>0</v>
      </c>
      <c r="H34" s="50">
        <v>1</v>
      </c>
      <c r="I34" s="50">
        <v>6</v>
      </c>
      <c r="J34" s="50">
        <v>1</v>
      </c>
      <c r="K34" s="50">
        <v>0</v>
      </c>
      <c r="L34" s="50">
        <v>0</v>
      </c>
      <c r="M34" s="50">
        <v>53</v>
      </c>
      <c r="N34" s="50">
        <v>0</v>
      </c>
      <c r="O34" s="15">
        <f t="shared" si="0"/>
        <v>90</v>
      </c>
      <c r="P34" s="15">
        <f t="shared" si="1"/>
        <v>143</v>
      </c>
    </row>
    <row r="35" spans="2:20" ht="23.1" customHeight="1" x14ac:dyDescent="0.25">
      <c r="B35" s="24" t="s">
        <v>62</v>
      </c>
      <c r="C35" s="50">
        <v>34</v>
      </c>
      <c r="D35" s="50">
        <v>19</v>
      </c>
      <c r="E35" s="50">
        <v>8</v>
      </c>
      <c r="F35" s="50">
        <v>15</v>
      </c>
      <c r="G35" s="50">
        <v>0</v>
      </c>
      <c r="H35" s="50">
        <v>0</v>
      </c>
      <c r="I35" s="50">
        <v>6</v>
      </c>
      <c r="J35" s="50">
        <v>2</v>
      </c>
      <c r="K35" s="50">
        <v>1</v>
      </c>
      <c r="L35" s="50">
        <v>0</v>
      </c>
      <c r="M35" s="50">
        <v>67</v>
      </c>
      <c r="N35" s="50">
        <v>0</v>
      </c>
      <c r="O35" s="15">
        <f t="shared" si="0"/>
        <v>85</v>
      </c>
      <c r="P35" s="15">
        <f t="shared" si="1"/>
        <v>152</v>
      </c>
    </row>
    <row r="36" spans="2:20" ht="23.1" customHeight="1" x14ac:dyDescent="0.25">
      <c r="B36" s="24" t="s">
        <v>63</v>
      </c>
      <c r="C36" s="50">
        <v>38</v>
      </c>
      <c r="D36" s="50">
        <v>17</v>
      </c>
      <c r="E36" s="50">
        <v>13</v>
      </c>
      <c r="F36" s="50">
        <v>12</v>
      </c>
      <c r="G36" s="50">
        <v>0</v>
      </c>
      <c r="H36" s="50">
        <v>0</v>
      </c>
      <c r="I36" s="50">
        <v>10</v>
      </c>
      <c r="J36" s="50">
        <v>0</v>
      </c>
      <c r="K36" s="50">
        <v>1</v>
      </c>
      <c r="L36" s="50">
        <v>1</v>
      </c>
      <c r="M36" s="50">
        <v>66</v>
      </c>
      <c r="N36" s="50">
        <v>0</v>
      </c>
      <c r="O36" s="15">
        <f t="shared" si="0"/>
        <v>92</v>
      </c>
      <c r="P36" s="15">
        <f t="shared" si="1"/>
        <v>158</v>
      </c>
    </row>
    <row r="37" spans="2:20" ht="23.1" customHeight="1" x14ac:dyDescent="0.25">
      <c r="B37" s="23" t="s">
        <v>64</v>
      </c>
      <c r="C37" s="50">
        <v>29</v>
      </c>
      <c r="D37" s="50">
        <v>26</v>
      </c>
      <c r="E37" s="50">
        <v>4</v>
      </c>
      <c r="F37" s="50">
        <v>11</v>
      </c>
      <c r="G37" s="50">
        <v>0</v>
      </c>
      <c r="H37" s="50">
        <v>0</v>
      </c>
      <c r="I37" s="50">
        <v>3</v>
      </c>
      <c r="J37" s="50">
        <v>3</v>
      </c>
      <c r="K37" s="50">
        <v>1</v>
      </c>
      <c r="L37" s="50">
        <v>1</v>
      </c>
      <c r="M37" s="50">
        <v>73</v>
      </c>
      <c r="N37" s="50">
        <v>0</v>
      </c>
      <c r="O37" s="15">
        <f t="shared" si="0"/>
        <v>78</v>
      </c>
      <c r="P37" s="15">
        <f t="shared" si="1"/>
        <v>151</v>
      </c>
    </row>
    <row r="38" spans="2:20" ht="23.1" customHeight="1" x14ac:dyDescent="0.25">
      <c r="B38" s="24" t="s">
        <v>65</v>
      </c>
      <c r="C38" s="50">
        <v>35</v>
      </c>
      <c r="D38" s="50">
        <v>20</v>
      </c>
      <c r="E38" s="50">
        <v>7</v>
      </c>
      <c r="F38" s="50">
        <v>13</v>
      </c>
      <c r="G38" s="50">
        <v>1</v>
      </c>
      <c r="H38" s="50">
        <v>0</v>
      </c>
      <c r="I38" s="50">
        <v>6</v>
      </c>
      <c r="J38" s="50">
        <v>4</v>
      </c>
      <c r="K38" s="50">
        <v>0</v>
      </c>
      <c r="L38" s="50">
        <v>2</v>
      </c>
      <c r="M38" s="50">
        <v>40</v>
      </c>
      <c r="N38" s="50">
        <v>0</v>
      </c>
      <c r="O38" s="15">
        <f t="shared" si="0"/>
        <v>88</v>
      </c>
      <c r="P38" s="15">
        <f t="shared" si="1"/>
        <v>128</v>
      </c>
    </row>
    <row r="39" spans="2:20" ht="23.1" customHeight="1" x14ac:dyDescent="0.25">
      <c r="B39" s="24" t="s">
        <v>66</v>
      </c>
      <c r="C39" s="50">
        <v>36</v>
      </c>
      <c r="D39" s="50">
        <v>20</v>
      </c>
      <c r="E39" s="50">
        <v>7</v>
      </c>
      <c r="F39" s="50">
        <v>19</v>
      </c>
      <c r="G39" s="50">
        <v>1</v>
      </c>
      <c r="H39" s="50">
        <v>0</v>
      </c>
      <c r="I39" s="50">
        <v>1</v>
      </c>
      <c r="J39" s="50">
        <v>4</v>
      </c>
      <c r="K39" s="50">
        <v>2</v>
      </c>
      <c r="L39" s="50">
        <v>2</v>
      </c>
      <c r="M39" s="50">
        <v>64</v>
      </c>
      <c r="N39" s="50">
        <v>0</v>
      </c>
      <c r="O39" s="15">
        <f t="shared" si="0"/>
        <v>92</v>
      </c>
      <c r="P39" s="15">
        <f t="shared" si="1"/>
        <v>156</v>
      </c>
    </row>
    <row r="40" spans="2:20" ht="23.1" customHeight="1" x14ac:dyDescent="0.25">
      <c r="B40" s="24" t="s">
        <v>67</v>
      </c>
      <c r="C40" s="50">
        <v>33</v>
      </c>
      <c r="D40" s="50">
        <v>15</v>
      </c>
      <c r="E40" s="50">
        <v>10</v>
      </c>
      <c r="F40" s="50">
        <v>16</v>
      </c>
      <c r="G40" s="50">
        <v>0</v>
      </c>
      <c r="H40" s="50">
        <v>0</v>
      </c>
      <c r="I40" s="50">
        <v>7</v>
      </c>
      <c r="J40" s="50">
        <v>0</v>
      </c>
      <c r="K40" s="50">
        <v>1</v>
      </c>
      <c r="L40" s="50">
        <v>3</v>
      </c>
      <c r="M40" s="50">
        <v>35</v>
      </c>
      <c r="N40" s="50">
        <v>0</v>
      </c>
      <c r="O40" s="15">
        <f t="shared" si="0"/>
        <v>85</v>
      </c>
      <c r="P40" s="15">
        <f t="shared" si="1"/>
        <v>120</v>
      </c>
    </row>
    <row r="41" spans="2:20" ht="23.1" customHeight="1" x14ac:dyDescent="0.25">
      <c r="B41" s="23" t="s">
        <v>68</v>
      </c>
      <c r="C41" s="50">
        <v>33</v>
      </c>
      <c r="D41" s="50">
        <v>25</v>
      </c>
      <c r="E41" s="50">
        <v>4</v>
      </c>
      <c r="F41" s="50">
        <v>12</v>
      </c>
      <c r="G41" s="50">
        <v>0</v>
      </c>
      <c r="H41" s="50">
        <v>0</v>
      </c>
      <c r="I41" s="50">
        <v>5</v>
      </c>
      <c r="J41" s="50">
        <v>6</v>
      </c>
      <c r="K41" s="50">
        <v>1</v>
      </c>
      <c r="L41" s="50">
        <v>6</v>
      </c>
      <c r="M41" s="50">
        <v>55</v>
      </c>
      <c r="N41" s="50">
        <v>0</v>
      </c>
      <c r="O41" s="15">
        <f t="shared" si="0"/>
        <v>92</v>
      </c>
      <c r="P41" s="15">
        <f t="shared" si="1"/>
        <v>147</v>
      </c>
    </row>
    <row r="42" spans="2:20" ht="23.1" customHeight="1" x14ac:dyDescent="0.25">
      <c r="B42" s="24" t="s">
        <v>69</v>
      </c>
      <c r="C42" s="50">
        <v>24</v>
      </c>
      <c r="D42" s="50">
        <v>3</v>
      </c>
      <c r="E42" s="50">
        <v>5</v>
      </c>
      <c r="F42" s="50">
        <v>10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3</v>
      </c>
      <c r="M42" s="50">
        <v>37</v>
      </c>
      <c r="N42" s="50">
        <v>0</v>
      </c>
      <c r="O42" s="15">
        <f t="shared" si="0"/>
        <v>47</v>
      </c>
      <c r="P42" s="15">
        <f t="shared" si="1"/>
        <v>84</v>
      </c>
    </row>
    <row r="43" spans="2:20" ht="23.1" customHeight="1" x14ac:dyDescent="0.25">
      <c r="B43" s="23" t="s">
        <v>70</v>
      </c>
      <c r="C43" s="50">
        <v>52</v>
      </c>
      <c r="D43" s="50">
        <v>35</v>
      </c>
      <c r="E43" s="50">
        <v>14</v>
      </c>
      <c r="F43" s="50">
        <v>15</v>
      </c>
      <c r="G43" s="50">
        <v>1</v>
      </c>
      <c r="H43" s="50">
        <v>0</v>
      </c>
      <c r="I43" s="50">
        <v>5</v>
      </c>
      <c r="J43" s="50">
        <v>2</v>
      </c>
      <c r="K43" s="50">
        <v>1</v>
      </c>
      <c r="L43" s="50">
        <v>3</v>
      </c>
      <c r="M43" s="50">
        <v>55</v>
      </c>
      <c r="N43" s="50">
        <v>0</v>
      </c>
      <c r="O43" s="15">
        <f t="shared" si="0"/>
        <v>128</v>
      </c>
      <c r="P43" s="15">
        <f t="shared" si="1"/>
        <v>183</v>
      </c>
    </row>
    <row r="44" spans="2:20" ht="23.1" customHeight="1" x14ac:dyDescent="0.25">
      <c r="B44" s="25" t="s">
        <v>71</v>
      </c>
      <c r="C44" s="50">
        <v>44</v>
      </c>
      <c r="D44" s="50">
        <v>24</v>
      </c>
      <c r="E44" s="50">
        <v>7</v>
      </c>
      <c r="F44" s="50">
        <v>15</v>
      </c>
      <c r="G44" s="50">
        <v>1</v>
      </c>
      <c r="H44" s="50">
        <v>1</v>
      </c>
      <c r="I44" s="50">
        <v>6</v>
      </c>
      <c r="J44" s="50">
        <v>2</v>
      </c>
      <c r="K44" s="50">
        <v>2</v>
      </c>
      <c r="L44" s="50">
        <v>6</v>
      </c>
      <c r="M44" s="50">
        <v>40</v>
      </c>
      <c r="N44" s="50">
        <v>0</v>
      </c>
      <c r="O44" s="15">
        <f t="shared" si="0"/>
        <v>108</v>
      </c>
      <c r="P44" s="15">
        <f t="shared" si="1"/>
        <v>148</v>
      </c>
    </row>
    <row r="45" spans="2:20" ht="23.1" customHeight="1" x14ac:dyDescent="0.25">
      <c r="B45" s="23" t="s">
        <v>72</v>
      </c>
      <c r="C45" s="50">
        <v>34</v>
      </c>
      <c r="D45" s="50">
        <v>15</v>
      </c>
      <c r="E45" s="50">
        <v>4</v>
      </c>
      <c r="F45" s="50">
        <v>11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1</v>
      </c>
      <c r="M45" s="50">
        <v>27</v>
      </c>
      <c r="N45" s="50">
        <v>0</v>
      </c>
      <c r="O45" s="15">
        <f t="shared" si="0"/>
        <v>66</v>
      </c>
      <c r="P45" s="15">
        <f t="shared" si="1"/>
        <v>93</v>
      </c>
    </row>
    <row r="46" spans="2:20" ht="23.1" customHeight="1" x14ac:dyDescent="0.25">
      <c r="B46" s="24" t="s">
        <v>73</v>
      </c>
      <c r="C46" s="50">
        <v>49</v>
      </c>
      <c r="D46" s="50">
        <v>21</v>
      </c>
      <c r="E46" s="50">
        <v>15</v>
      </c>
      <c r="F46" s="50">
        <v>18</v>
      </c>
      <c r="G46" s="50">
        <v>0</v>
      </c>
      <c r="H46" s="50">
        <v>0</v>
      </c>
      <c r="I46" s="50">
        <v>3</v>
      </c>
      <c r="J46" s="50">
        <v>5</v>
      </c>
      <c r="K46" s="50">
        <v>2</v>
      </c>
      <c r="L46" s="50">
        <v>1</v>
      </c>
      <c r="M46" s="50">
        <v>31</v>
      </c>
      <c r="N46" s="50">
        <v>0</v>
      </c>
      <c r="O46" s="15">
        <f t="shared" si="0"/>
        <v>114</v>
      </c>
      <c r="P46" s="15">
        <f t="shared" si="1"/>
        <v>145</v>
      </c>
      <c r="R46" s="8"/>
      <c r="T46"/>
    </row>
    <row r="47" spans="2:20" ht="23.1" customHeight="1" x14ac:dyDescent="0.25">
      <c r="B47" s="24" t="s">
        <v>74</v>
      </c>
      <c r="C47" s="50">
        <v>63</v>
      </c>
      <c r="D47" s="50">
        <v>37</v>
      </c>
      <c r="E47" s="50">
        <v>4</v>
      </c>
      <c r="F47" s="50">
        <v>12</v>
      </c>
      <c r="G47" s="50">
        <v>1</v>
      </c>
      <c r="H47" s="50">
        <v>0</v>
      </c>
      <c r="I47" s="50">
        <v>1</v>
      </c>
      <c r="J47" s="50">
        <v>1</v>
      </c>
      <c r="K47" s="50">
        <v>0</v>
      </c>
      <c r="L47" s="50">
        <v>5</v>
      </c>
      <c r="M47" s="50">
        <v>35</v>
      </c>
      <c r="N47" s="50">
        <v>0</v>
      </c>
      <c r="O47" s="15">
        <f t="shared" si="0"/>
        <v>124</v>
      </c>
      <c r="P47" s="15">
        <f t="shared" si="1"/>
        <v>159</v>
      </c>
      <c r="R47" s="8"/>
      <c r="T47"/>
    </row>
    <row r="48" spans="2:20" ht="23.1" customHeight="1" x14ac:dyDescent="0.25">
      <c r="B48" s="24" t="s">
        <v>75</v>
      </c>
      <c r="C48" s="50">
        <v>58</v>
      </c>
      <c r="D48" s="50">
        <v>46</v>
      </c>
      <c r="E48" s="50">
        <v>10</v>
      </c>
      <c r="F48" s="50">
        <v>17</v>
      </c>
      <c r="G48" s="50">
        <v>0</v>
      </c>
      <c r="H48" s="50">
        <v>0</v>
      </c>
      <c r="I48" s="50">
        <v>2</v>
      </c>
      <c r="J48" s="50">
        <v>2</v>
      </c>
      <c r="K48" s="50">
        <v>1</v>
      </c>
      <c r="L48" s="50">
        <v>3</v>
      </c>
      <c r="M48" s="50">
        <v>65</v>
      </c>
      <c r="N48" s="50">
        <v>0</v>
      </c>
      <c r="O48" s="15">
        <f t="shared" si="0"/>
        <v>139</v>
      </c>
      <c r="P48" s="15">
        <f t="shared" si="1"/>
        <v>204</v>
      </c>
      <c r="R48" s="8"/>
      <c r="T48"/>
    </row>
    <row r="49" spans="2:20" ht="23.1" customHeight="1" x14ac:dyDescent="0.25">
      <c r="B49" s="23" t="s">
        <v>76</v>
      </c>
      <c r="C49" s="50">
        <v>90</v>
      </c>
      <c r="D49" s="50">
        <v>24</v>
      </c>
      <c r="E49" s="50">
        <v>4</v>
      </c>
      <c r="F49" s="50">
        <v>15</v>
      </c>
      <c r="G49" s="50">
        <v>1</v>
      </c>
      <c r="H49" s="50">
        <v>0</v>
      </c>
      <c r="I49" s="50">
        <v>8</v>
      </c>
      <c r="J49" s="50">
        <v>1</v>
      </c>
      <c r="K49" s="50">
        <v>0</v>
      </c>
      <c r="L49" s="50">
        <v>1</v>
      </c>
      <c r="M49" s="50">
        <v>45</v>
      </c>
      <c r="N49" s="50">
        <v>0</v>
      </c>
      <c r="O49" s="15">
        <f t="shared" si="0"/>
        <v>144</v>
      </c>
      <c r="P49" s="15">
        <f t="shared" si="1"/>
        <v>189</v>
      </c>
      <c r="R49" s="8"/>
      <c r="T49"/>
    </row>
    <row r="50" spans="2:20" ht="23.1" customHeight="1" x14ac:dyDescent="0.25">
      <c r="B50" s="24" t="s">
        <v>77</v>
      </c>
      <c r="C50" s="50">
        <v>90</v>
      </c>
      <c r="D50" s="50">
        <v>39</v>
      </c>
      <c r="E50" s="50">
        <v>8</v>
      </c>
      <c r="F50" s="50">
        <v>15</v>
      </c>
      <c r="G50" s="50">
        <v>2</v>
      </c>
      <c r="H50" s="50">
        <v>0</v>
      </c>
      <c r="I50" s="50">
        <v>6</v>
      </c>
      <c r="J50" s="50">
        <v>2</v>
      </c>
      <c r="K50" s="50">
        <v>1</v>
      </c>
      <c r="L50" s="50">
        <v>8</v>
      </c>
      <c r="M50" s="50">
        <v>75</v>
      </c>
      <c r="N50" s="50">
        <v>0</v>
      </c>
      <c r="O50" s="15">
        <f t="shared" si="0"/>
        <v>171</v>
      </c>
      <c r="P50" s="15">
        <f t="shared" si="1"/>
        <v>246</v>
      </c>
      <c r="R50" s="8"/>
      <c r="T50"/>
    </row>
    <row r="51" spans="2:20" ht="23.1" customHeight="1" x14ac:dyDescent="0.25">
      <c r="B51" s="24" t="s">
        <v>78</v>
      </c>
      <c r="C51" s="50">
        <v>94</v>
      </c>
      <c r="D51" s="50">
        <v>45</v>
      </c>
      <c r="E51" s="50">
        <v>7</v>
      </c>
      <c r="F51" s="50">
        <v>9</v>
      </c>
      <c r="G51" s="50">
        <v>0</v>
      </c>
      <c r="H51" s="50">
        <v>0</v>
      </c>
      <c r="I51" s="50">
        <v>10</v>
      </c>
      <c r="J51" s="50">
        <v>0</v>
      </c>
      <c r="K51" s="50">
        <v>0</v>
      </c>
      <c r="L51" s="50">
        <v>1</v>
      </c>
      <c r="M51" s="50">
        <v>62</v>
      </c>
      <c r="N51" s="50">
        <v>0</v>
      </c>
      <c r="O51" s="15">
        <f t="shared" si="0"/>
        <v>166</v>
      </c>
      <c r="P51" s="15">
        <f t="shared" si="1"/>
        <v>228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36</v>
      </c>
      <c r="E52" s="50">
        <v>12</v>
      </c>
      <c r="F52" s="50">
        <v>16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2</v>
      </c>
      <c r="M52" s="50">
        <v>25</v>
      </c>
      <c r="N52" s="50">
        <v>0</v>
      </c>
      <c r="O52" s="15">
        <f t="shared" si="0"/>
        <v>139</v>
      </c>
      <c r="P52" s="15">
        <f t="shared" si="1"/>
        <v>164</v>
      </c>
      <c r="R52" s="8"/>
      <c r="T52"/>
    </row>
    <row r="53" spans="2:20" ht="23.1" customHeight="1" x14ac:dyDescent="0.25">
      <c r="B53" s="23" t="s">
        <v>80</v>
      </c>
      <c r="C53" s="50">
        <v>61</v>
      </c>
      <c r="D53" s="50">
        <v>19</v>
      </c>
      <c r="E53" s="50">
        <v>9</v>
      </c>
      <c r="F53" s="50">
        <v>10</v>
      </c>
      <c r="G53" s="50">
        <v>2</v>
      </c>
      <c r="H53" s="50">
        <v>0</v>
      </c>
      <c r="I53" s="50">
        <v>4</v>
      </c>
      <c r="J53" s="50">
        <v>1</v>
      </c>
      <c r="K53" s="50">
        <v>2</v>
      </c>
      <c r="L53" s="50">
        <v>1</v>
      </c>
      <c r="M53" s="50">
        <v>65</v>
      </c>
      <c r="N53" s="50">
        <v>0</v>
      </c>
      <c r="O53" s="15">
        <f t="shared" si="0"/>
        <v>109</v>
      </c>
      <c r="P53" s="15">
        <f t="shared" si="1"/>
        <v>174</v>
      </c>
      <c r="R53" s="8"/>
      <c r="T53"/>
    </row>
    <row r="54" spans="2:20" ht="23.1" customHeight="1" x14ac:dyDescent="0.25">
      <c r="B54" s="23" t="s">
        <v>81</v>
      </c>
      <c r="C54" s="50">
        <v>62</v>
      </c>
      <c r="D54" s="50">
        <v>12</v>
      </c>
      <c r="E54" s="50">
        <v>3</v>
      </c>
      <c r="F54" s="50">
        <v>14</v>
      </c>
      <c r="G54" s="50">
        <v>0</v>
      </c>
      <c r="H54" s="50">
        <v>0</v>
      </c>
      <c r="I54" s="50">
        <v>3</v>
      </c>
      <c r="J54" s="50">
        <v>1</v>
      </c>
      <c r="K54" s="50">
        <v>1</v>
      </c>
      <c r="L54" s="50">
        <v>1</v>
      </c>
      <c r="M54" s="50">
        <v>52</v>
      </c>
      <c r="N54" s="50">
        <v>0</v>
      </c>
      <c r="O54" s="15">
        <f t="shared" si="0"/>
        <v>97</v>
      </c>
      <c r="P54" s="15">
        <f t="shared" si="1"/>
        <v>149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35</v>
      </c>
      <c r="E55" s="50">
        <v>6</v>
      </c>
      <c r="F55" s="50">
        <v>7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4</v>
      </c>
      <c r="M55" s="50">
        <v>85</v>
      </c>
      <c r="N55" s="50">
        <v>0</v>
      </c>
      <c r="O55" s="15">
        <f t="shared" si="0"/>
        <v>101</v>
      </c>
      <c r="P55" s="15">
        <f t="shared" si="1"/>
        <v>186</v>
      </c>
      <c r="R55" s="8"/>
      <c r="T55"/>
    </row>
    <row r="56" spans="2:20" ht="23.1" customHeight="1" x14ac:dyDescent="0.25">
      <c r="B56" s="23" t="s">
        <v>83</v>
      </c>
      <c r="C56" s="50">
        <v>67</v>
      </c>
      <c r="D56" s="50">
        <v>28</v>
      </c>
      <c r="E56" s="50">
        <v>9</v>
      </c>
      <c r="F56" s="50">
        <v>18</v>
      </c>
      <c r="G56" s="50">
        <v>0</v>
      </c>
      <c r="H56" s="50">
        <v>0</v>
      </c>
      <c r="I56" s="50">
        <v>2</v>
      </c>
      <c r="J56" s="50">
        <v>1</v>
      </c>
      <c r="K56" s="50">
        <v>1</v>
      </c>
      <c r="L56" s="50">
        <v>2</v>
      </c>
      <c r="M56" s="50">
        <v>75</v>
      </c>
      <c r="N56" s="50">
        <v>0</v>
      </c>
      <c r="O56" s="15">
        <f t="shared" si="0"/>
        <v>128</v>
      </c>
      <c r="P56" s="15">
        <f t="shared" si="1"/>
        <v>203</v>
      </c>
      <c r="R56" s="8"/>
      <c r="T56"/>
    </row>
    <row r="57" spans="2:20" ht="23.1" customHeight="1" x14ac:dyDescent="0.25">
      <c r="B57" s="23" t="s">
        <v>84</v>
      </c>
      <c r="C57" s="50">
        <v>71</v>
      </c>
      <c r="D57" s="50">
        <v>17</v>
      </c>
      <c r="E57" s="50">
        <v>2</v>
      </c>
      <c r="F57" s="50">
        <v>11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9</v>
      </c>
      <c r="M57" s="50">
        <v>55</v>
      </c>
      <c r="N57" s="50">
        <v>0</v>
      </c>
      <c r="O57" s="15">
        <f t="shared" si="0"/>
        <v>113</v>
      </c>
      <c r="P57" s="15">
        <f t="shared" si="1"/>
        <v>168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2066</v>
      </c>
      <c r="D58" s="16">
        <f t="shared" si="21"/>
        <v>967</v>
      </c>
      <c r="E58" s="16">
        <f t="shared" si="21"/>
        <v>324</v>
      </c>
      <c r="F58" s="16">
        <f t="shared" si="21"/>
        <v>884</v>
      </c>
      <c r="G58" s="16">
        <f t="shared" si="21"/>
        <v>12</v>
      </c>
      <c r="H58" s="16">
        <f t="shared" si="21"/>
        <v>7</v>
      </c>
      <c r="I58" s="16">
        <f t="shared" si="21"/>
        <v>211</v>
      </c>
      <c r="J58" s="16">
        <f t="shared" si="21"/>
        <v>80</v>
      </c>
      <c r="K58" s="16">
        <f t="shared" si="21"/>
        <v>38</v>
      </c>
      <c r="L58" s="16">
        <f t="shared" si="21"/>
        <v>97</v>
      </c>
      <c r="M58" s="16">
        <f t="shared" si="21"/>
        <v>3830</v>
      </c>
      <c r="N58" s="16">
        <f t="shared" si="21"/>
        <v>0</v>
      </c>
      <c r="O58" s="16">
        <f t="shared" si="21"/>
        <v>4686</v>
      </c>
      <c r="P58" s="16">
        <f t="shared" si="21"/>
        <v>8516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0.24260216063879755</v>
      </c>
      <c r="D59" s="43">
        <f t="shared" si="22"/>
        <v>0.11355096289337717</v>
      </c>
      <c r="E59" s="43">
        <f t="shared" si="22"/>
        <v>3.8046031000469702E-2</v>
      </c>
      <c r="F59" s="43">
        <f t="shared" si="22"/>
        <v>0.10380460310004697</v>
      </c>
      <c r="G59" s="43">
        <f t="shared" si="22"/>
        <v>1.4091122592766556E-3</v>
      </c>
      <c r="H59" s="43">
        <f t="shared" si="22"/>
        <v>8.2198215124471583E-4</v>
      </c>
      <c r="I59" s="43">
        <f t="shared" si="22"/>
        <v>2.4776890558947863E-2</v>
      </c>
      <c r="J59" s="43">
        <f t="shared" si="22"/>
        <v>9.3940817285110383E-3</v>
      </c>
      <c r="K59" s="43">
        <f t="shared" si="22"/>
        <v>4.4621888210427431E-3</v>
      </c>
      <c r="L59" s="43">
        <f t="shared" si="22"/>
        <v>1.1390324095819634E-2</v>
      </c>
      <c r="M59" s="43">
        <f t="shared" si="22"/>
        <v>0.44974166275246596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0.44088775074690567</v>
      </c>
      <c r="D60" s="44">
        <f t="shared" ref="D60:N60" si="23">D58/$O$58</f>
        <v>0.20635936833119931</v>
      </c>
      <c r="E60" s="44">
        <f t="shared" si="23"/>
        <v>6.9142125480153652E-2</v>
      </c>
      <c r="F60" s="44">
        <f t="shared" si="23"/>
        <v>0.18864703371745625</v>
      </c>
      <c r="G60" s="44">
        <f t="shared" si="23"/>
        <v>2.5608194622279128E-3</v>
      </c>
      <c r="H60" s="44">
        <f t="shared" si="23"/>
        <v>1.4938113529662826E-3</v>
      </c>
      <c r="I60" s="44">
        <f t="shared" si="23"/>
        <v>4.5027742210840806E-2</v>
      </c>
      <c r="J60" s="44">
        <f t="shared" si="23"/>
        <v>1.7072129748186088E-2</v>
      </c>
      <c r="K60" s="44">
        <f t="shared" si="23"/>
        <v>8.1092616303883903E-3</v>
      </c>
      <c r="L60" s="44">
        <f t="shared" si="23"/>
        <v>2.0699957319675631E-2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L13" sqref="L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5" t="str">
        <f>'29.07 Kisaasi-Ntinda'!G5:H5</f>
        <v>Ndere Center</v>
      </c>
      <c r="H5" s="66"/>
      <c r="I5" s="14"/>
      <c r="J5" s="2" t="s">
        <v>5</v>
      </c>
      <c r="K5" s="65" t="s">
        <v>173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Kisaasi-Ntinda'!D6:E6</f>
        <v>Kisaasi</v>
      </c>
      <c r="E6" s="66"/>
      <c r="F6" s="2" t="s">
        <v>2</v>
      </c>
      <c r="G6" s="65" t="str">
        <f>'29.07 Kisaasi-Ntinda'!G6:H6</f>
        <v>Ntinda</v>
      </c>
      <c r="H6" s="66"/>
      <c r="J6" s="2" t="s">
        <v>21</v>
      </c>
      <c r="K6" s="65" t="str">
        <f>'29.07 Kisaasi-Ntinda'!K6:L6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69</v>
      </c>
      <c r="D10" s="50">
        <v>58</v>
      </c>
      <c r="E10" s="50">
        <v>5</v>
      </c>
      <c r="F10" s="50">
        <v>10</v>
      </c>
      <c r="G10" s="50">
        <v>0</v>
      </c>
      <c r="H10" s="50">
        <v>0</v>
      </c>
      <c r="I10" s="50">
        <v>5</v>
      </c>
      <c r="J10" s="50">
        <v>3</v>
      </c>
      <c r="K10" s="50">
        <v>4</v>
      </c>
      <c r="L10" s="50">
        <v>1</v>
      </c>
      <c r="M10" s="50">
        <v>70</v>
      </c>
      <c r="N10" s="50">
        <v>0</v>
      </c>
      <c r="O10" s="15">
        <f t="shared" ref="O10:O57" si="0">SUM(C10:L10,N10)</f>
        <v>155</v>
      </c>
      <c r="P10" s="15">
        <f t="shared" ref="P10:P57" si="1">SUM(C10:N10)</f>
        <v>225</v>
      </c>
      <c r="R10" s="1" t="s">
        <v>6</v>
      </c>
      <c r="S10" s="17">
        <f t="shared" ref="S10:AF10" si="2">SUM(C10:C13)</f>
        <v>331</v>
      </c>
      <c r="T10" s="17">
        <f t="shared" si="2"/>
        <v>190</v>
      </c>
      <c r="U10" s="17">
        <f t="shared" si="2"/>
        <v>41</v>
      </c>
      <c r="V10" s="17">
        <f t="shared" si="2"/>
        <v>55</v>
      </c>
      <c r="W10" s="17">
        <f t="shared" si="2"/>
        <v>1</v>
      </c>
      <c r="X10" s="17">
        <f t="shared" si="2"/>
        <v>0</v>
      </c>
      <c r="Y10" s="17">
        <f t="shared" si="2"/>
        <v>19</v>
      </c>
      <c r="Z10" s="17">
        <f t="shared" si="2"/>
        <v>5</v>
      </c>
      <c r="AA10" s="17">
        <f t="shared" si="2"/>
        <v>6</v>
      </c>
      <c r="AB10" s="17">
        <f t="shared" si="2"/>
        <v>5</v>
      </c>
      <c r="AC10" s="17">
        <f t="shared" si="2"/>
        <v>582</v>
      </c>
      <c r="AD10" s="17">
        <f t="shared" si="2"/>
        <v>0</v>
      </c>
      <c r="AE10" s="31">
        <f t="shared" si="2"/>
        <v>653</v>
      </c>
      <c r="AF10" s="31">
        <f t="shared" si="2"/>
        <v>1235</v>
      </c>
    </row>
    <row r="11" spans="2:32" s="6" customFormat="1" ht="23.1" customHeight="1" x14ac:dyDescent="0.25">
      <c r="B11" s="23" t="s">
        <v>38</v>
      </c>
      <c r="C11" s="50">
        <v>90</v>
      </c>
      <c r="D11" s="50">
        <v>68</v>
      </c>
      <c r="E11" s="50">
        <v>8</v>
      </c>
      <c r="F11" s="50">
        <v>24</v>
      </c>
      <c r="G11" s="50">
        <v>1</v>
      </c>
      <c r="H11" s="50">
        <v>0</v>
      </c>
      <c r="I11" s="50">
        <v>3</v>
      </c>
      <c r="J11" s="50">
        <v>0</v>
      </c>
      <c r="K11" s="50">
        <v>0</v>
      </c>
      <c r="L11" s="50">
        <v>1</v>
      </c>
      <c r="M11" s="50">
        <v>142</v>
      </c>
      <c r="N11" s="50">
        <v>0</v>
      </c>
      <c r="O11" s="15">
        <f t="shared" si="0"/>
        <v>195</v>
      </c>
      <c r="P11" s="15">
        <f t="shared" si="1"/>
        <v>337</v>
      </c>
      <c r="R11" s="1" t="s">
        <v>7</v>
      </c>
      <c r="S11" s="17">
        <f t="shared" ref="S11:AF11" si="3">SUM(C14:C17)</f>
        <v>287</v>
      </c>
      <c r="T11" s="17">
        <f t="shared" si="3"/>
        <v>157</v>
      </c>
      <c r="U11" s="17">
        <f t="shared" si="3"/>
        <v>30</v>
      </c>
      <c r="V11" s="17">
        <f t="shared" si="3"/>
        <v>52</v>
      </c>
      <c r="W11" s="17">
        <f t="shared" si="3"/>
        <v>3</v>
      </c>
      <c r="X11" s="17">
        <f t="shared" si="3"/>
        <v>0</v>
      </c>
      <c r="Y11" s="17">
        <f t="shared" si="3"/>
        <v>21</v>
      </c>
      <c r="Z11" s="17">
        <f t="shared" si="3"/>
        <v>9</v>
      </c>
      <c r="AA11" s="17">
        <f t="shared" si="3"/>
        <v>1</v>
      </c>
      <c r="AB11" s="17">
        <f t="shared" si="3"/>
        <v>3</v>
      </c>
      <c r="AC11" s="17">
        <f t="shared" si="3"/>
        <v>720</v>
      </c>
      <c r="AD11" s="17">
        <f t="shared" si="3"/>
        <v>0</v>
      </c>
      <c r="AE11" s="31">
        <f t="shared" si="3"/>
        <v>563</v>
      </c>
      <c r="AF11" s="31">
        <f t="shared" si="3"/>
        <v>1283</v>
      </c>
    </row>
    <row r="12" spans="2:32" ht="23.1" customHeight="1" x14ac:dyDescent="0.25">
      <c r="B12" s="23" t="s">
        <v>39</v>
      </c>
      <c r="C12" s="50">
        <v>81</v>
      </c>
      <c r="D12" s="50">
        <v>30</v>
      </c>
      <c r="E12" s="50">
        <v>18</v>
      </c>
      <c r="F12" s="50">
        <v>7</v>
      </c>
      <c r="G12" s="50">
        <v>0</v>
      </c>
      <c r="H12" s="50">
        <v>0</v>
      </c>
      <c r="I12" s="50">
        <v>5</v>
      </c>
      <c r="J12" s="50">
        <v>1</v>
      </c>
      <c r="K12" s="50">
        <v>1</v>
      </c>
      <c r="L12" s="50">
        <v>2</v>
      </c>
      <c r="M12" s="50">
        <v>170</v>
      </c>
      <c r="N12" s="50">
        <v>0</v>
      </c>
      <c r="O12" s="15">
        <f t="shared" si="0"/>
        <v>145</v>
      </c>
      <c r="P12" s="15">
        <f t="shared" si="1"/>
        <v>315</v>
      </c>
      <c r="R12" s="1" t="s">
        <v>8</v>
      </c>
      <c r="S12" s="17">
        <f t="shared" ref="S12:AF12" si="4">SUM(C18:C21)</f>
        <v>227</v>
      </c>
      <c r="T12" s="17">
        <f t="shared" si="4"/>
        <v>106</v>
      </c>
      <c r="U12" s="17">
        <f t="shared" si="4"/>
        <v>26</v>
      </c>
      <c r="V12" s="17">
        <f t="shared" si="4"/>
        <v>56</v>
      </c>
      <c r="W12" s="17">
        <f t="shared" si="4"/>
        <v>0</v>
      </c>
      <c r="X12" s="17">
        <f t="shared" si="4"/>
        <v>0</v>
      </c>
      <c r="Y12" s="17">
        <f t="shared" si="4"/>
        <v>22</v>
      </c>
      <c r="Z12" s="17">
        <f t="shared" si="4"/>
        <v>9</v>
      </c>
      <c r="AA12" s="17">
        <f t="shared" si="4"/>
        <v>1</v>
      </c>
      <c r="AB12" s="17">
        <f t="shared" si="4"/>
        <v>2</v>
      </c>
      <c r="AC12" s="17">
        <f t="shared" si="4"/>
        <v>485</v>
      </c>
      <c r="AD12" s="17">
        <f t="shared" si="4"/>
        <v>0</v>
      </c>
      <c r="AE12" s="31">
        <f t="shared" si="4"/>
        <v>449</v>
      </c>
      <c r="AF12" s="31">
        <f t="shared" si="4"/>
        <v>934</v>
      </c>
    </row>
    <row r="13" spans="2:32" ht="23.1" customHeight="1" x14ac:dyDescent="0.25">
      <c r="B13" s="23" t="s">
        <v>40</v>
      </c>
      <c r="C13" s="50">
        <v>91</v>
      </c>
      <c r="D13" s="50">
        <v>34</v>
      </c>
      <c r="E13" s="50">
        <v>10</v>
      </c>
      <c r="F13" s="50">
        <v>14</v>
      </c>
      <c r="G13" s="50">
        <v>0</v>
      </c>
      <c r="H13" s="50">
        <v>0</v>
      </c>
      <c r="I13" s="50">
        <v>6</v>
      </c>
      <c r="J13" s="50">
        <v>1</v>
      </c>
      <c r="K13" s="50">
        <v>1</v>
      </c>
      <c r="L13" s="50">
        <v>1</v>
      </c>
      <c r="M13" s="50">
        <v>200</v>
      </c>
      <c r="N13" s="50">
        <v>0</v>
      </c>
      <c r="O13" s="15">
        <f t="shared" si="0"/>
        <v>158</v>
      </c>
      <c r="P13" s="15">
        <f t="shared" si="1"/>
        <v>358</v>
      </c>
      <c r="R13" s="1" t="s">
        <v>9</v>
      </c>
      <c r="S13" s="17">
        <f t="shared" ref="S13:AF13" si="5">SUM(C22:C25)</f>
        <v>161</v>
      </c>
      <c r="T13" s="17">
        <f t="shared" si="5"/>
        <v>86</v>
      </c>
      <c r="U13" s="17">
        <f t="shared" si="5"/>
        <v>20</v>
      </c>
      <c r="V13" s="17">
        <f t="shared" si="5"/>
        <v>29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12</v>
      </c>
      <c r="AA13" s="17">
        <f t="shared" si="5"/>
        <v>4</v>
      </c>
      <c r="AB13" s="17">
        <f t="shared" si="5"/>
        <v>8</v>
      </c>
      <c r="AC13" s="17">
        <f t="shared" si="5"/>
        <v>415</v>
      </c>
      <c r="AD13" s="17">
        <f t="shared" si="5"/>
        <v>0</v>
      </c>
      <c r="AE13" s="31">
        <f t="shared" si="5"/>
        <v>336</v>
      </c>
      <c r="AF13" s="31">
        <f t="shared" si="5"/>
        <v>751</v>
      </c>
    </row>
    <row r="14" spans="2:32" ht="23.1" customHeight="1" x14ac:dyDescent="0.25">
      <c r="B14" s="23" t="s">
        <v>41</v>
      </c>
      <c r="C14" s="50">
        <v>95</v>
      </c>
      <c r="D14" s="50">
        <v>51</v>
      </c>
      <c r="E14" s="50">
        <v>9</v>
      </c>
      <c r="F14" s="50">
        <v>15</v>
      </c>
      <c r="G14" s="50">
        <v>3</v>
      </c>
      <c r="H14" s="50">
        <v>0</v>
      </c>
      <c r="I14" s="50">
        <v>7</v>
      </c>
      <c r="J14" s="50">
        <v>3</v>
      </c>
      <c r="K14" s="50">
        <v>1</v>
      </c>
      <c r="L14" s="50">
        <v>3</v>
      </c>
      <c r="M14" s="50">
        <v>185</v>
      </c>
      <c r="N14" s="50">
        <v>0</v>
      </c>
      <c r="O14" s="15">
        <f t="shared" si="0"/>
        <v>187</v>
      </c>
      <c r="P14" s="15">
        <f t="shared" si="1"/>
        <v>372</v>
      </c>
      <c r="R14" s="1" t="s">
        <v>10</v>
      </c>
      <c r="S14" s="17">
        <f t="shared" ref="S14:AF14" si="6">SUM(C26:C29)</f>
        <v>153</v>
      </c>
      <c r="T14" s="17">
        <f t="shared" si="6"/>
        <v>67</v>
      </c>
      <c r="U14" s="17">
        <f t="shared" si="6"/>
        <v>18</v>
      </c>
      <c r="V14" s="17">
        <f t="shared" si="6"/>
        <v>32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11</v>
      </c>
      <c r="AA14" s="17">
        <f t="shared" si="6"/>
        <v>3</v>
      </c>
      <c r="AB14" s="17">
        <f t="shared" si="6"/>
        <v>10</v>
      </c>
      <c r="AC14" s="17">
        <f t="shared" si="6"/>
        <v>340</v>
      </c>
      <c r="AD14" s="17">
        <f t="shared" si="6"/>
        <v>0</v>
      </c>
      <c r="AE14" s="31">
        <f t="shared" si="6"/>
        <v>302</v>
      </c>
      <c r="AF14" s="31">
        <f t="shared" si="6"/>
        <v>642</v>
      </c>
    </row>
    <row r="15" spans="2:32" ht="23.1" customHeight="1" x14ac:dyDescent="0.25">
      <c r="B15" s="23" t="s">
        <v>42</v>
      </c>
      <c r="C15" s="50">
        <v>96</v>
      </c>
      <c r="D15" s="50">
        <v>40</v>
      </c>
      <c r="E15" s="50">
        <v>11</v>
      </c>
      <c r="F15" s="50">
        <v>17</v>
      </c>
      <c r="G15" s="50">
        <v>0</v>
      </c>
      <c r="H15" s="50">
        <v>0</v>
      </c>
      <c r="I15" s="50">
        <v>6</v>
      </c>
      <c r="J15" s="50">
        <v>2</v>
      </c>
      <c r="K15" s="50">
        <v>0</v>
      </c>
      <c r="L15" s="50">
        <v>0</v>
      </c>
      <c r="M15" s="50">
        <v>190</v>
      </c>
      <c r="N15" s="50">
        <v>0</v>
      </c>
      <c r="O15" s="15">
        <f t="shared" si="0"/>
        <v>172</v>
      </c>
      <c r="P15" s="15">
        <f t="shared" si="1"/>
        <v>362</v>
      </c>
      <c r="R15" s="1" t="s">
        <v>11</v>
      </c>
      <c r="S15" s="17">
        <f t="shared" ref="S15:AF15" si="7">SUM(C30:C33)</f>
        <v>148</v>
      </c>
      <c r="T15" s="17">
        <f t="shared" si="7"/>
        <v>59</v>
      </c>
      <c r="U15" s="17">
        <f t="shared" si="7"/>
        <v>19</v>
      </c>
      <c r="V15" s="17">
        <f t="shared" si="7"/>
        <v>28</v>
      </c>
      <c r="W15" s="17">
        <f t="shared" si="7"/>
        <v>2</v>
      </c>
      <c r="X15" s="17">
        <f t="shared" si="7"/>
        <v>0</v>
      </c>
      <c r="Y15" s="17">
        <f t="shared" si="7"/>
        <v>12</v>
      </c>
      <c r="Z15" s="17">
        <f t="shared" si="7"/>
        <v>10</v>
      </c>
      <c r="AA15" s="17">
        <f t="shared" si="7"/>
        <v>3</v>
      </c>
      <c r="AB15" s="17">
        <f t="shared" si="7"/>
        <v>12</v>
      </c>
      <c r="AC15" s="17">
        <f t="shared" si="7"/>
        <v>392</v>
      </c>
      <c r="AD15" s="17">
        <f t="shared" si="7"/>
        <v>1</v>
      </c>
      <c r="AE15" s="31">
        <f t="shared" si="7"/>
        <v>294</v>
      </c>
      <c r="AF15" s="31">
        <f t="shared" si="7"/>
        <v>686</v>
      </c>
    </row>
    <row r="16" spans="2:32" ht="23.1" customHeight="1" x14ac:dyDescent="0.25">
      <c r="B16" s="23" t="s">
        <v>43</v>
      </c>
      <c r="C16" s="50">
        <v>60</v>
      </c>
      <c r="D16" s="50">
        <v>31</v>
      </c>
      <c r="E16" s="50">
        <v>7</v>
      </c>
      <c r="F16" s="50">
        <v>12</v>
      </c>
      <c r="G16" s="50">
        <v>0</v>
      </c>
      <c r="H16" s="50">
        <v>0</v>
      </c>
      <c r="I16" s="50">
        <v>5</v>
      </c>
      <c r="J16" s="50">
        <v>2</v>
      </c>
      <c r="K16" s="50">
        <v>0</v>
      </c>
      <c r="L16" s="50">
        <v>0</v>
      </c>
      <c r="M16" s="50">
        <v>230</v>
      </c>
      <c r="N16" s="50">
        <v>0</v>
      </c>
      <c r="O16" s="15">
        <f t="shared" si="0"/>
        <v>117</v>
      </c>
      <c r="P16" s="15">
        <f t="shared" si="1"/>
        <v>347</v>
      </c>
      <c r="R16" s="1" t="s">
        <v>12</v>
      </c>
      <c r="S16" s="17">
        <f t="shared" ref="S16:AF16" si="8">SUM(C34:C37)</f>
        <v>123</v>
      </c>
      <c r="T16" s="17">
        <f t="shared" si="8"/>
        <v>42</v>
      </c>
      <c r="U16" s="17">
        <f t="shared" si="8"/>
        <v>17</v>
      </c>
      <c r="V16" s="17">
        <f t="shared" si="8"/>
        <v>28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7</v>
      </c>
      <c r="AA16" s="17">
        <f t="shared" si="8"/>
        <v>2</v>
      </c>
      <c r="AB16" s="17">
        <f t="shared" si="8"/>
        <v>11</v>
      </c>
      <c r="AC16" s="17">
        <f t="shared" si="8"/>
        <v>437</v>
      </c>
      <c r="AD16" s="17">
        <f t="shared" si="8"/>
        <v>0</v>
      </c>
      <c r="AE16" s="31">
        <f t="shared" si="8"/>
        <v>239</v>
      </c>
      <c r="AF16" s="31">
        <f t="shared" si="8"/>
        <v>676</v>
      </c>
    </row>
    <row r="17" spans="2:32" ht="23.1" customHeight="1" x14ac:dyDescent="0.25">
      <c r="B17" s="23" t="s">
        <v>44</v>
      </c>
      <c r="C17" s="50">
        <v>36</v>
      </c>
      <c r="D17" s="50">
        <v>35</v>
      </c>
      <c r="E17" s="50">
        <v>3</v>
      </c>
      <c r="F17" s="50">
        <v>8</v>
      </c>
      <c r="G17" s="50">
        <v>0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115</v>
      </c>
      <c r="N17" s="50">
        <v>0</v>
      </c>
      <c r="O17" s="15">
        <f t="shared" si="0"/>
        <v>87</v>
      </c>
      <c r="P17" s="15">
        <f t="shared" si="1"/>
        <v>202</v>
      </c>
      <c r="R17" s="1" t="s">
        <v>13</v>
      </c>
      <c r="S17" s="17">
        <f t="shared" ref="S17:AF17" si="9">SUM(C38:C41)</f>
        <v>150</v>
      </c>
      <c r="T17" s="17">
        <f t="shared" si="9"/>
        <v>50</v>
      </c>
      <c r="U17" s="17">
        <f t="shared" si="9"/>
        <v>16</v>
      </c>
      <c r="V17" s="17">
        <f t="shared" si="9"/>
        <v>30</v>
      </c>
      <c r="W17" s="17">
        <f t="shared" si="9"/>
        <v>2</v>
      </c>
      <c r="X17" s="17">
        <f t="shared" si="9"/>
        <v>0</v>
      </c>
      <c r="Y17" s="17">
        <f t="shared" si="9"/>
        <v>12</v>
      </c>
      <c r="Z17" s="17">
        <f t="shared" si="9"/>
        <v>11</v>
      </c>
      <c r="AA17" s="17">
        <f t="shared" si="9"/>
        <v>6</v>
      </c>
      <c r="AB17" s="17">
        <f t="shared" si="9"/>
        <v>7</v>
      </c>
      <c r="AC17" s="17">
        <f t="shared" si="9"/>
        <v>341</v>
      </c>
      <c r="AD17" s="17">
        <f t="shared" si="9"/>
        <v>0</v>
      </c>
      <c r="AE17" s="31">
        <f t="shared" si="9"/>
        <v>284</v>
      </c>
      <c r="AF17" s="31">
        <f t="shared" si="9"/>
        <v>625</v>
      </c>
    </row>
    <row r="18" spans="2:32" ht="23.1" customHeight="1" x14ac:dyDescent="0.25">
      <c r="B18" s="23" t="s">
        <v>45</v>
      </c>
      <c r="C18" s="50">
        <v>48</v>
      </c>
      <c r="D18" s="50">
        <v>28</v>
      </c>
      <c r="E18" s="50">
        <v>6</v>
      </c>
      <c r="F18" s="50">
        <v>11</v>
      </c>
      <c r="G18" s="50">
        <v>0</v>
      </c>
      <c r="H18" s="50">
        <v>0</v>
      </c>
      <c r="I18" s="50">
        <v>6</v>
      </c>
      <c r="J18" s="50">
        <v>3</v>
      </c>
      <c r="K18" s="50">
        <v>0</v>
      </c>
      <c r="L18" s="50">
        <v>1</v>
      </c>
      <c r="M18" s="50">
        <v>105</v>
      </c>
      <c r="N18" s="50">
        <v>0</v>
      </c>
      <c r="O18" s="15">
        <f t="shared" si="0"/>
        <v>103</v>
      </c>
      <c r="P18" s="15">
        <f t="shared" si="1"/>
        <v>208</v>
      </c>
      <c r="R18" s="1" t="s">
        <v>14</v>
      </c>
      <c r="S18" s="17">
        <f t="shared" ref="S18:AF18" si="10">SUM(C42:C45)</f>
        <v>134</v>
      </c>
      <c r="T18" s="17">
        <f t="shared" si="10"/>
        <v>53</v>
      </c>
      <c r="U18" s="17">
        <f t="shared" si="10"/>
        <v>21</v>
      </c>
      <c r="V18" s="17">
        <f t="shared" si="10"/>
        <v>26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12</v>
      </c>
      <c r="AA18" s="17">
        <f t="shared" si="10"/>
        <v>3</v>
      </c>
      <c r="AB18" s="17">
        <f t="shared" si="10"/>
        <v>10</v>
      </c>
      <c r="AC18" s="17">
        <f t="shared" si="10"/>
        <v>341</v>
      </c>
      <c r="AD18" s="17">
        <f t="shared" si="10"/>
        <v>0</v>
      </c>
      <c r="AE18" s="31">
        <f t="shared" si="10"/>
        <v>272</v>
      </c>
      <c r="AF18" s="31">
        <f t="shared" si="10"/>
        <v>613</v>
      </c>
    </row>
    <row r="19" spans="2:32" ht="23.1" customHeight="1" x14ac:dyDescent="0.25">
      <c r="B19" s="23" t="s">
        <v>46</v>
      </c>
      <c r="C19" s="50">
        <v>63</v>
      </c>
      <c r="D19" s="50">
        <v>30</v>
      </c>
      <c r="E19" s="50">
        <v>6</v>
      </c>
      <c r="F19" s="50">
        <v>15</v>
      </c>
      <c r="G19" s="50">
        <v>0</v>
      </c>
      <c r="H19" s="50">
        <v>0</v>
      </c>
      <c r="I19" s="50">
        <v>7</v>
      </c>
      <c r="J19" s="50">
        <v>2</v>
      </c>
      <c r="K19" s="50">
        <v>0</v>
      </c>
      <c r="L19" s="50">
        <v>0</v>
      </c>
      <c r="M19" s="50">
        <v>115</v>
      </c>
      <c r="N19" s="50">
        <v>0</v>
      </c>
      <c r="O19" s="15">
        <f t="shared" si="0"/>
        <v>123</v>
      </c>
      <c r="P19" s="15">
        <f t="shared" si="1"/>
        <v>238</v>
      </c>
      <c r="R19" s="1" t="s">
        <v>15</v>
      </c>
      <c r="S19" s="17">
        <f t="shared" ref="S19:AF19" si="11">SUM(C46:C49)</f>
        <v>179</v>
      </c>
      <c r="T19" s="17">
        <f t="shared" si="11"/>
        <v>69</v>
      </c>
      <c r="U19" s="17">
        <f t="shared" si="11"/>
        <v>23</v>
      </c>
      <c r="V19" s="17">
        <f t="shared" si="11"/>
        <v>31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6</v>
      </c>
      <c r="AA19" s="17">
        <f t="shared" si="11"/>
        <v>5</v>
      </c>
      <c r="AB19" s="17">
        <f t="shared" si="11"/>
        <v>7</v>
      </c>
      <c r="AC19" s="17">
        <f t="shared" si="11"/>
        <v>454</v>
      </c>
      <c r="AD19" s="17">
        <f t="shared" si="11"/>
        <v>0</v>
      </c>
      <c r="AE19" s="31">
        <f t="shared" si="11"/>
        <v>333</v>
      </c>
      <c r="AF19" s="31">
        <f t="shared" si="11"/>
        <v>787</v>
      </c>
    </row>
    <row r="20" spans="2:32" ht="23.1" customHeight="1" x14ac:dyDescent="0.25">
      <c r="B20" s="23" t="s">
        <v>47</v>
      </c>
      <c r="C20" s="50">
        <v>61</v>
      </c>
      <c r="D20" s="50">
        <v>25</v>
      </c>
      <c r="E20" s="50">
        <v>8</v>
      </c>
      <c r="F20" s="50">
        <v>14</v>
      </c>
      <c r="G20" s="50">
        <v>0</v>
      </c>
      <c r="H20" s="50">
        <v>0</v>
      </c>
      <c r="I20" s="50">
        <v>7</v>
      </c>
      <c r="J20" s="50">
        <v>2</v>
      </c>
      <c r="K20" s="50">
        <v>0</v>
      </c>
      <c r="L20" s="50">
        <v>0</v>
      </c>
      <c r="M20" s="50">
        <v>160</v>
      </c>
      <c r="N20" s="50">
        <v>0</v>
      </c>
      <c r="O20" s="15">
        <f t="shared" si="0"/>
        <v>117</v>
      </c>
      <c r="P20" s="15">
        <f t="shared" si="1"/>
        <v>277</v>
      </c>
      <c r="R20" s="1" t="s">
        <v>16</v>
      </c>
      <c r="S20" s="17">
        <f t="shared" ref="S20:AF20" si="12">SUM(C50:C53)</f>
        <v>178</v>
      </c>
      <c r="T20" s="17">
        <f t="shared" si="12"/>
        <v>66</v>
      </c>
      <c r="U20" s="17">
        <f t="shared" si="12"/>
        <v>25</v>
      </c>
      <c r="V20" s="17">
        <f t="shared" si="12"/>
        <v>24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10</v>
      </c>
      <c r="AA20" s="17">
        <f t="shared" si="12"/>
        <v>4</v>
      </c>
      <c r="AB20" s="17">
        <f t="shared" si="12"/>
        <v>4</v>
      </c>
      <c r="AC20" s="17">
        <f t="shared" si="12"/>
        <v>416</v>
      </c>
      <c r="AD20" s="17">
        <f t="shared" si="12"/>
        <v>1</v>
      </c>
      <c r="AE20" s="31">
        <f t="shared" si="12"/>
        <v>323</v>
      </c>
      <c r="AF20" s="31">
        <f t="shared" si="12"/>
        <v>739</v>
      </c>
    </row>
    <row r="21" spans="2:32" ht="23.1" customHeight="1" x14ac:dyDescent="0.25">
      <c r="B21" s="23" t="s">
        <v>48</v>
      </c>
      <c r="C21" s="50">
        <v>55</v>
      </c>
      <c r="D21" s="50">
        <v>23</v>
      </c>
      <c r="E21" s="50">
        <v>6</v>
      </c>
      <c r="F21" s="50">
        <v>16</v>
      </c>
      <c r="G21" s="50">
        <v>0</v>
      </c>
      <c r="H21" s="50">
        <v>0</v>
      </c>
      <c r="I21" s="50">
        <v>2</v>
      </c>
      <c r="J21" s="50">
        <v>2</v>
      </c>
      <c r="K21" s="50">
        <v>1</v>
      </c>
      <c r="L21" s="50">
        <v>1</v>
      </c>
      <c r="M21" s="50">
        <v>105</v>
      </c>
      <c r="N21" s="50">
        <v>0</v>
      </c>
      <c r="O21" s="15">
        <f t="shared" si="0"/>
        <v>106</v>
      </c>
      <c r="P21" s="15">
        <f t="shared" si="1"/>
        <v>211</v>
      </c>
      <c r="R21" s="36" t="s">
        <v>20</v>
      </c>
      <c r="S21" s="34">
        <f t="shared" ref="S21:AF21" si="13">SUM(C54:C57)</f>
        <v>141</v>
      </c>
      <c r="T21" s="17">
        <f t="shared" si="13"/>
        <v>54</v>
      </c>
      <c r="U21" s="17">
        <f t="shared" si="13"/>
        <v>23</v>
      </c>
      <c r="V21" s="17">
        <f t="shared" si="13"/>
        <v>40</v>
      </c>
      <c r="W21" s="17">
        <f t="shared" si="13"/>
        <v>2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8</v>
      </c>
      <c r="AB21" s="17">
        <f t="shared" si="13"/>
        <v>6</v>
      </c>
      <c r="AC21" s="17">
        <f t="shared" si="13"/>
        <v>420</v>
      </c>
      <c r="AD21" s="17">
        <f t="shared" si="13"/>
        <v>0</v>
      </c>
      <c r="AE21" s="31">
        <f t="shared" si="13"/>
        <v>279</v>
      </c>
      <c r="AF21" s="31">
        <f t="shared" si="13"/>
        <v>699</v>
      </c>
    </row>
    <row r="22" spans="2:32" ht="23.1" customHeight="1" x14ac:dyDescent="0.25">
      <c r="B22" s="23" t="s">
        <v>49</v>
      </c>
      <c r="C22" s="50">
        <v>47</v>
      </c>
      <c r="D22" s="50">
        <v>14</v>
      </c>
      <c r="E22" s="50">
        <v>9</v>
      </c>
      <c r="F22" s="50">
        <v>6</v>
      </c>
      <c r="G22" s="50">
        <v>0</v>
      </c>
      <c r="H22" s="50">
        <v>0</v>
      </c>
      <c r="I22" s="50">
        <v>5</v>
      </c>
      <c r="J22" s="50">
        <v>2</v>
      </c>
      <c r="K22" s="50">
        <v>2</v>
      </c>
      <c r="L22" s="50">
        <v>3</v>
      </c>
      <c r="M22" s="50">
        <v>128</v>
      </c>
      <c r="N22" s="50">
        <v>0</v>
      </c>
      <c r="O22" s="15">
        <f t="shared" si="0"/>
        <v>88</v>
      </c>
      <c r="P22" s="15">
        <f t="shared" si="1"/>
        <v>216</v>
      </c>
      <c r="R22" s="38" t="s">
        <v>90</v>
      </c>
      <c r="S22" s="39">
        <f>MAX(S10:S12)</f>
        <v>331</v>
      </c>
      <c r="T22" s="39">
        <f t="shared" ref="T22:AF22" si="14">MAX(T10:T12)</f>
        <v>190</v>
      </c>
      <c r="U22" s="39">
        <f t="shared" si="14"/>
        <v>41</v>
      </c>
      <c r="V22" s="39">
        <f t="shared" si="14"/>
        <v>56</v>
      </c>
      <c r="W22" s="39">
        <f t="shared" si="14"/>
        <v>3</v>
      </c>
      <c r="X22" s="39">
        <f t="shared" si="14"/>
        <v>0</v>
      </c>
      <c r="Y22" s="39">
        <f t="shared" si="14"/>
        <v>22</v>
      </c>
      <c r="Z22" s="39">
        <f t="shared" si="14"/>
        <v>9</v>
      </c>
      <c r="AA22" s="39">
        <f t="shared" si="14"/>
        <v>6</v>
      </c>
      <c r="AB22" s="39">
        <f t="shared" si="14"/>
        <v>5</v>
      </c>
      <c r="AC22" s="39">
        <f t="shared" si="14"/>
        <v>720</v>
      </c>
      <c r="AD22" s="39">
        <f t="shared" si="14"/>
        <v>0</v>
      </c>
      <c r="AE22" s="40">
        <f t="shared" si="14"/>
        <v>653</v>
      </c>
      <c r="AF22" s="40">
        <f t="shared" si="14"/>
        <v>1283</v>
      </c>
    </row>
    <row r="23" spans="2:32" ht="23.1" customHeight="1" x14ac:dyDescent="0.25">
      <c r="B23" s="23" t="s">
        <v>50</v>
      </c>
      <c r="C23" s="50">
        <v>51</v>
      </c>
      <c r="D23" s="50">
        <v>27</v>
      </c>
      <c r="E23" s="50">
        <v>5</v>
      </c>
      <c r="F23" s="50">
        <v>9</v>
      </c>
      <c r="G23" s="50">
        <v>0</v>
      </c>
      <c r="H23" s="50">
        <v>0</v>
      </c>
      <c r="I23" s="50">
        <v>3</v>
      </c>
      <c r="J23" s="50">
        <v>2</v>
      </c>
      <c r="K23" s="50">
        <v>0</v>
      </c>
      <c r="L23" s="50">
        <v>2</v>
      </c>
      <c r="M23" s="50">
        <v>110</v>
      </c>
      <c r="N23" s="50">
        <v>0</v>
      </c>
      <c r="O23" s="15">
        <f t="shared" si="0"/>
        <v>99</v>
      </c>
      <c r="P23" s="15">
        <f t="shared" si="1"/>
        <v>209</v>
      </c>
      <c r="R23" s="38" t="s">
        <v>91</v>
      </c>
      <c r="S23" s="39">
        <f>MAX(S13:S18)</f>
        <v>161</v>
      </c>
      <c r="T23" s="39">
        <f t="shared" ref="T23:AF23" si="15">MAX(T13:T18)</f>
        <v>86</v>
      </c>
      <c r="U23" s="39">
        <f t="shared" si="15"/>
        <v>21</v>
      </c>
      <c r="V23" s="39">
        <f t="shared" si="15"/>
        <v>32</v>
      </c>
      <c r="W23" s="39">
        <f t="shared" si="15"/>
        <v>2</v>
      </c>
      <c r="X23" s="39">
        <f t="shared" si="15"/>
        <v>0</v>
      </c>
      <c r="Y23" s="39">
        <f t="shared" si="15"/>
        <v>16</v>
      </c>
      <c r="Z23" s="39">
        <f t="shared" si="15"/>
        <v>12</v>
      </c>
      <c r="AA23" s="39">
        <f t="shared" si="15"/>
        <v>6</v>
      </c>
      <c r="AB23" s="39">
        <f t="shared" si="15"/>
        <v>12</v>
      </c>
      <c r="AC23" s="39">
        <f t="shared" si="15"/>
        <v>437</v>
      </c>
      <c r="AD23" s="39">
        <f t="shared" si="15"/>
        <v>1</v>
      </c>
      <c r="AE23" s="40">
        <f t="shared" si="15"/>
        <v>336</v>
      </c>
      <c r="AF23" s="40">
        <f t="shared" si="15"/>
        <v>751</v>
      </c>
    </row>
    <row r="24" spans="2:32" ht="23.1" customHeight="1" x14ac:dyDescent="0.25">
      <c r="B24" s="23" t="s">
        <v>51</v>
      </c>
      <c r="C24" s="50">
        <v>40</v>
      </c>
      <c r="D24" s="50">
        <v>22</v>
      </c>
      <c r="E24" s="50">
        <v>5</v>
      </c>
      <c r="F24" s="50">
        <v>8</v>
      </c>
      <c r="G24" s="50">
        <v>0</v>
      </c>
      <c r="H24" s="50">
        <v>0</v>
      </c>
      <c r="I24" s="50">
        <v>4</v>
      </c>
      <c r="J24" s="50">
        <v>5</v>
      </c>
      <c r="K24" s="50">
        <v>1</v>
      </c>
      <c r="L24" s="50">
        <v>1</v>
      </c>
      <c r="M24" s="50">
        <v>80</v>
      </c>
      <c r="N24" s="50">
        <v>0</v>
      </c>
      <c r="O24" s="15">
        <f t="shared" si="0"/>
        <v>86</v>
      </c>
      <c r="P24" s="15">
        <f t="shared" si="1"/>
        <v>166</v>
      </c>
      <c r="R24" s="38" t="s">
        <v>92</v>
      </c>
      <c r="S24" s="39">
        <f>MAX(S19:S21)</f>
        <v>179</v>
      </c>
      <c r="T24" s="39">
        <f t="shared" ref="T24:AF24" si="16">MAX(T19:T21)</f>
        <v>69</v>
      </c>
      <c r="U24" s="39">
        <f t="shared" si="16"/>
        <v>25</v>
      </c>
      <c r="V24" s="39">
        <f t="shared" si="16"/>
        <v>40</v>
      </c>
      <c r="W24" s="39">
        <f t="shared" si="16"/>
        <v>2</v>
      </c>
      <c r="X24" s="39">
        <f t="shared" si="16"/>
        <v>0</v>
      </c>
      <c r="Y24" s="39">
        <f t="shared" si="16"/>
        <v>13</v>
      </c>
      <c r="Z24" s="39">
        <f t="shared" si="16"/>
        <v>10</v>
      </c>
      <c r="AA24" s="39">
        <f t="shared" si="16"/>
        <v>8</v>
      </c>
      <c r="AB24" s="39">
        <f t="shared" si="16"/>
        <v>7</v>
      </c>
      <c r="AC24" s="39">
        <f t="shared" si="16"/>
        <v>454</v>
      </c>
      <c r="AD24" s="39">
        <f t="shared" si="16"/>
        <v>1</v>
      </c>
      <c r="AE24" s="40">
        <f t="shared" si="16"/>
        <v>333</v>
      </c>
      <c r="AF24" s="40">
        <f t="shared" si="16"/>
        <v>787</v>
      </c>
    </row>
    <row r="25" spans="2:32" ht="23.1" customHeight="1" x14ac:dyDescent="0.25">
      <c r="B25" s="23" t="s">
        <v>52</v>
      </c>
      <c r="C25" s="50">
        <v>23</v>
      </c>
      <c r="D25" s="50">
        <v>23</v>
      </c>
      <c r="E25" s="50">
        <v>1</v>
      </c>
      <c r="F25" s="50">
        <v>6</v>
      </c>
      <c r="G25" s="50">
        <v>0</v>
      </c>
      <c r="H25" s="50">
        <v>0</v>
      </c>
      <c r="I25" s="50">
        <v>4</v>
      </c>
      <c r="J25" s="50">
        <v>3</v>
      </c>
      <c r="K25" s="50">
        <v>1</v>
      </c>
      <c r="L25" s="50">
        <v>2</v>
      </c>
      <c r="M25" s="50">
        <v>97</v>
      </c>
      <c r="N25" s="50">
        <v>0</v>
      </c>
      <c r="O25" s="15">
        <f t="shared" si="0"/>
        <v>63</v>
      </c>
      <c r="P25" s="15">
        <f t="shared" si="1"/>
        <v>160</v>
      </c>
      <c r="R25" s="37" t="s">
        <v>85</v>
      </c>
      <c r="S25" s="35">
        <f t="shared" ref="S25:AF25" si="17">SUM(S10:S12)</f>
        <v>845</v>
      </c>
      <c r="T25" s="16">
        <f t="shared" si="17"/>
        <v>453</v>
      </c>
      <c r="U25" s="16">
        <f t="shared" si="17"/>
        <v>97</v>
      </c>
      <c r="V25" s="16">
        <f t="shared" si="17"/>
        <v>163</v>
      </c>
      <c r="W25" s="16">
        <f t="shared" si="17"/>
        <v>4</v>
      </c>
      <c r="X25" s="16">
        <f t="shared" si="17"/>
        <v>0</v>
      </c>
      <c r="Y25" s="16">
        <f t="shared" si="17"/>
        <v>62</v>
      </c>
      <c r="Z25" s="16">
        <f t="shared" si="17"/>
        <v>23</v>
      </c>
      <c r="AA25" s="16">
        <f t="shared" si="17"/>
        <v>8</v>
      </c>
      <c r="AB25" s="16">
        <f t="shared" si="17"/>
        <v>10</v>
      </c>
      <c r="AC25" s="16">
        <f t="shared" si="17"/>
        <v>1787</v>
      </c>
      <c r="AD25" s="16">
        <f t="shared" si="17"/>
        <v>0</v>
      </c>
      <c r="AE25" s="32">
        <f t="shared" si="17"/>
        <v>1665</v>
      </c>
      <c r="AF25" s="32">
        <f t="shared" si="17"/>
        <v>3452</v>
      </c>
    </row>
    <row r="26" spans="2:32" ht="23.1" customHeight="1" x14ac:dyDescent="0.25">
      <c r="B26" s="23" t="s">
        <v>53</v>
      </c>
      <c r="C26" s="50">
        <v>34</v>
      </c>
      <c r="D26" s="50">
        <v>17</v>
      </c>
      <c r="E26" s="50">
        <v>3</v>
      </c>
      <c r="F26" s="50">
        <v>6</v>
      </c>
      <c r="G26" s="50">
        <v>0</v>
      </c>
      <c r="H26" s="50">
        <v>0</v>
      </c>
      <c r="I26" s="50">
        <v>3</v>
      </c>
      <c r="J26" s="50">
        <v>3</v>
      </c>
      <c r="K26" s="50">
        <v>0</v>
      </c>
      <c r="L26" s="50">
        <v>2</v>
      </c>
      <c r="M26" s="50">
        <v>100</v>
      </c>
      <c r="N26" s="50">
        <v>0</v>
      </c>
      <c r="O26" s="15">
        <f t="shared" si="0"/>
        <v>68</v>
      </c>
      <c r="P26" s="15">
        <f t="shared" si="1"/>
        <v>168</v>
      </c>
      <c r="R26" s="28" t="s">
        <v>86</v>
      </c>
      <c r="S26" s="16">
        <f t="shared" ref="S26:AF26" si="18">SUM(S13:S18)</f>
        <v>869</v>
      </c>
      <c r="T26" s="16">
        <f t="shared" si="18"/>
        <v>357</v>
      </c>
      <c r="U26" s="16">
        <f t="shared" si="18"/>
        <v>111</v>
      </c>
      <c r="V26" s="16">
        <f t="shared" si="18"/>
        <v>173</v>
      </c>
      <c r="W26" s="16">
        <f t="shared" si="18"/>
        <v>4</v>
      </c>
      <c r="X26" s="16">
        <f t="shared" si="18"/>
        <v>0</v>
      </c>
      <c r="Y26" s="16">
        <f t="shared" si="18"/>
        <v>70</v>
      </c>
      <c r="Z26" s="16">
        <f t="shared" si="18"/>
        <v>63</v>
      </c>
      <c r="AA26" s="16">
        <f t="shared" si="18"/>
        <v>21</v>
      </c>
      <c r="AB26" s="16">
        <f t="shared" si="18"/>
        <v>58</v>
      </c>
      <c r="AC26" s="16">
        <f t="shared" si="18"/>
        <v>2266</v>
      </c>
      <c r="AD26" s="16">
        <f t="shared" si="18"/>
        <v>1</v>
      </c>
      <c r="AE26" s="32">
        <f t="shared" si="18"/>
        <v>1727</v>
      </c>
      <c r="AF26" s="32">
        <f t="shared" si="18"/>
        <v>3993</v>
      </c>
    </row>
    <row r="27" spans="2:32" ht="23.1" customHeight="1" x14ac:dyDescent="0.25">
      <c r="B27" s="23" t="s">
        <v>54</v>
      </c>
      <c r="C27" s="50">
        <v>49</v>
      </c>
      <c r="D27" s="50">
        <v>13</v>
      </c>
      <c r="E27" s="50">
        <v>4</v>
      </c>
      <c r="F27" s="50">
        <v>9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1</v>
      </c>
      <c r="M27" s="50">
        <v>77</v>
      </c>
      <c r="N27" s="50">
        <v>0</v>
      </c>
      <c r="O27" s="15">
        <f t="shared" si="0"/>
        <v>79</v>
      </c>
      <c r="P27" s="15">
        <f t="shared" si="1"/>
        <v>156</v>
      </c>
      <c r="R27" s="29" t="s">
        <v>87</v>
      </c>
      <c r="S27" s="16">
        <f t="shared" ref="S27:AF27" si="19">SUM(S19:S21)</f>
        <v>498</v>
      </c>
      <c r="T27" s="16">
        <f t="shared" si="19"/>
        <v>189</v>
      </c>
      <c r="U27" s="16">
        <f t="shared" si="19"/>
        <v>71</v>
      </c>
      <c r="V27" s="16">
        <f t="shared" si="19"/>
        <v>95</v>
      </c>
      <c r="W27" s="16">
        <f t="shared" si="19"/>
        <v>3</v>
      </c>
      <c r="X27" s="16">
        <f t="shared" si="19"/>
        <v>0</v>
      </c>
      <c r="Y27" s="16">
        <f t="shared" si="19"/>
        <v>25</v>
      </c>
      <c r="Z27" s="16">
        <f t="shared" si="19"/>
        <v>19</v>
      </c>
      <c r="AA27" s="16">
        <f t="shared" si="19"/>
        <v>17</v>
      </c>
      <c r="AB27" s="16">
        <f t="shared" si="19"/>
        <v>17</v>
      </c>
      <c r="AC27" s="16">
        <f t="shared" si="19"/>
        <v>1290</v>
      </c>
      <c r="AD27" s="16">
        <f t="shared" si="19"/>
        <v>1</v>
      </c>
      <c r="AE27" s="32">
        <f t="shared" si="19"/>
        <v>935</v>
      </c>
      <c r="AF27" s="32">
        <f t="shared" si="19"/>
        <v>2225</v>
      </c>
    </row>
    <row r="28" spans="2:32" ht="23.1" customHeight="1" x14ac:dyDescent="0.25">
      <c r="B28" s="23" t="s">
        <v>55</v>
      </c>
      <c r="C28" s="50">
        <v>35</v>
      </c>
      <c r="D28" s="50">
        <v>23</v>
      </c>
      <c r="E28" s="50">
        <v>4</v>
      </c>
      <c r="F28" s="50">
        <v>9</v>
      </c>
      <c r="G28" s="50">
        <v>0</v>
      </c>
      <c r="H28" s="50">
        <v>0</v>
      </c>
      <c r="I28" s="50">
        <v>0</v>
      </c>
      <c r="J28" s="50">
        <v>2</v>
      </c>
      <c r="K28" s="50">
        <v>3</v>
      </c>
      <c r="L28" s="50">
        <v>4</v>
      </c>
      <c r="M28" s="50">
        <v>98</v>
      </c>
      <c r="N28" s="50">
        <v>0</v>
      </c>
      <c r="O28" s="15">
        <f t="shared" si="0"/>
        <v>80</v>
      </c>
      <c r="P28" s="15">
        <f t="shared" si="1"/>
        <v>178</v>
      </c>
      <c r="R28" s="5" t="s">
        <v>17</v>
      </c>
      <c r="S28" s="16">
        <f t="shared" ref="S28:AF28" si="20">SUM(S10:S21)</f>
        <v>2212</v>
      </c>
      <c r="T28" s="16">
        <f t="shared" si="20"/>
        <v>999</v>
      </c>
      <c r="U28" s="16">
        <f t="shared" si="20"/>
        <v>279</v>
      </c>
      <c r="V28" s="16">
        <f t="shared" si="20"/>
        <v>431</v>
      </c>
      <c r="W28" s="16">
        <f t="shared" si="20"/>
        <v>11</v>
      </c>
      <c r="X28" s="16">
        <f t="shared" si="20"/>
        <v>0</v>
      </c>
      <c r="Y28" s="16">
        <f t="shared" si="20"/>
        <v>157</v>
      </c>
      <c r="Z28" s="16">
        <f t="shared" si="20"/>
        <v>105</v>
      </c>
      <c r="AA28" s="16">
        <f t="shared" si="20"/>
        <v>46</v>
      </c>
      <c r="AB28" s="16">
        <f t="shared" si="20"/>
        <v>85</v>
      </c>
      <c r="AC28" s="16">
        <f t="shared" si="20"/>
        <v>5343</v>
      </c>
      <c r="AD28" s="16">
        <f t="shared" si="20"/>
        <v>2</v>
      </c>
      <c r="AE28" s="32">
        <f t="shared" si="20"/>
        <v>4327</v>
      </c>
      <c r="AF28" s="32">
        <f t="shared" si="20"/>
        <v>9670</v>
      </c>
    </row>
    <row r="29" spans="2:32" ht="23.1" customHeight="1" x14ac:dyDescent="0.25">
      <c r="B29" s="23" t="s">
        <v>56</v>
      </c>
      <c r="C29" s="50">
        <v>35</v>
      </c>
      <c r="D29" s="50">
        <v>14</v>
      </c>
      <c r="E29" s="50">
        <v>7</v>
      </c>
      <c r="F29" s="50">
        <v>8</v>
      </c>
      <c r="G29" s="50">
        <v>0</v>
      </c>
      <c r="H29" s="50">
        <v>0</v>
      </c>
      <c r="I29" s="50">
        <v>4</v>
      </c>
      <c r="J29" s="50">
        <v>4</v>
      </c>
      <c r="K29" s="50">
        <v>0</v>
      </c>
      <c r="L29" s="50">
        <v>3</v>
      </c>
      <c r="M29" s="50">
        <v>65</v>
      </c>
      <c r="N29" s="50">
        <v>0</v>
      </c>
      <c r="O29" s="15">
        <f t="shared" si="0"/>
        <v>75</v>
      </c>
      <c r="P29" s="15">
        <f t="shared" si="1"/>
        <v>140</v>
      </c>
      <c r="R29"/>
      <c r="S29" s="20"/>
      <c r="T29" s="19"/>
    </row>
    <row r="30" spans="2:32" ht="23.1" customHeight="1" x14ac:dyDescent="0.25">
      <c r="B30" s="23" t="s">
        <v>57</v>
      </c>
      <c r="C30" s="50">
        <v>45</v>
      </c>
      <c r="D30" s="50">
        <v>13</v>
      </c>
      <c r="E30" s="50">
        <v>5</v>
      </c>
      <c r="F30" s="50">
        <v>8</v>
      </c>
      <c r="G30" s="50">
        <v>1</v>
      </c>
      <c r="H30" s="50">
        <v>0</v>
      </c>
      <c r="I30" s="50">
        <v>4</v>
      </c>
      <c r="J30" s="50">
        <v>1</v>
      </c>
      <c r="K30" s="50">
        <v>1</v>
      </c>
      <c r="L30" s="50">
        <v>6</v>
      </c>
      <c r="M30" s="50">
        <v>70</v>
      </c>
      <c r="N30" s="50">
        <v>0</v>
      </c>
      <c r="O30" s="15">
        <f t="shared" si="0"/>
        <v>84</v>
      </c>
      <c r="P30" s="15">
        <f t="shared" si="1"/>
        <v>154</v>
      </c>
    </row>
    <row r="31" spans="2:32" ht="23.1" customHeight="1" x14ac:dyDescent="0.25">
      <c r="B31" s="24" t="s">
        <v>58</v>
      </c>
      <c r="C31" s="50">
        <v>36</v>
      </c>
      <c r="D31" s="50">
        <v>13</v>
      </c>
      <c r="E31" s="50">
        <v>4</v>
      </c>
      <c r="F31" s="50">
        <v>7</v>
      </c>
      <c r="G31" s="50">
        <v>1</v>
      </c>
      <c r="H31" s="50">
        <v>0</v>
      </c>
      <c r="I31" s="50">
        <v>3</v>
      </c>
      <c r="J31" s="50">
        <v>1</v>
      </c>
      <c r="K31" s="50">
        <v>1</v>
      </c>
      <c r="L31" s="50">
        <v>0</v>
      </c>
      <c r="M31" s="50">
        <v>102</v>
      </c>
      <c r="N31" s="50">
        <v>1</v>
      </c>
      <c r="O31" s="15">
        <f t="shared" si="0"/>
        <v>67</v>
      </c>
      <c r="P31" s="15">
        <f t="shared" si="1"/>
        <v>169</v>
      </c>
    </row>
    <row r="32" spans="2:32" ht="23.1" customHeight="1" x14ac:dyDescent="0.25">
      <c r="B32" s="24" t="s">
        <v>59</v>
      </c>
      <c r="C32" s="50">
        <v>36</v>
      </c>
      <c r="D32" s="50">
        <v>17</v>
      </c>
      <c r="E32" s="50">
        <v>6</v>
      </c>
      <c r="F32" s="50">
        <v>7</v>
      </c>
      <c r="G32" s="50">
        <v>0</v>
      </c>
      <c r="H32" s="50">
        <v>0</v>
      </c>
      <c r="I32" s="50">
        <v>3</v>
      </c>
      <c r="J32" s="50">
        <v>4</v>
      </c>
      <c r="K32" s="50">
        <v>1</v>
      </c>
      <c r="L32" s="50">
        <v>5</v>
      </c>
      <c r="M32" s="50">
        <v>95</v>
      </c>
      <c r="N32" s="50">
        <v>0</v>
      </c>
      <c r="O32" s="15">
        <f t="shared" si="0"/>
        <v>79</v>
      </c>
      <c r="P32" s="15">
        <f t="shared" si="1"/>
        <v>174</v>
      </c>
    </row>
    <row r="33" spans="2:20" ht="23.1" customHeight="1" x14ac:dyDescent="0.25">
      <c r="B33" s="23" t="s">
        <v>60</v>
      </c>
      <c r="C33" s="50">
        <v>31</v>
      </c>
      <c r="D33" s="50">
        <v>16</v>
      </c>
      <c r="E33" s="50">
        <v>4</v>
      </c>
      <c r="F33" s="50">
        <v>6</v>
      </c>
      <c r="G33" s="50">
        <v>0</v>
      </c>
      <c r="H33" s="50">
        <v>0</v>
      </c>
      <c r="I33" s="50">
        <v>2</v>
      </c>
      <c r="J33" s="50">
        <v>4</v>
      </c>
      <c r="K33" s="50">
        <v>0</v>
      </c>
      <c r="L33" s="50">
        <v>1</v>
      </c>
      <c r="M33" s="50">
        <v>125</v>
      </c>
      <c r="N33" s="50">
        <v>0</v>
      </c>
      <c r="O33" s="15">
        <f t="shared" si="0"/>
        <v>64</v>
      </c>
      <c r="P33" s="15">
        <f t="shared" si="1"/>
        <v>189</v>
      </c>
    </row>
    <row r="34" spans="2:20" ht="23.1" customHeight="1" x14ac:dyDescent="0.25">
      <c r="B34" s="24" t="s">
        <v>61</v>
      </c>
      <c r="C34" s="50">
        <v>44</v>
      </c>
      <c r="D34" s="50">
        <v>13</v>
      </c>
      <c r="E34" s="50">
        <v>5</v>
      </c>
      <c r="F34" s="50">
        <v>7</v>
      </c>
      <c r="G34" s="50">
        <v>0</v>
      </c>
      <c r="H34" s="50">
        <v>0</v>
      </c>
      <c r="I34" s="50">
        <v>3</v>
      </c>
      <c r="J34" s="50">
        <v>3</v>
      </c>
      <c r="K34" s="50">
        <v>0</v>
      </c>
      <c r="L34" s="50">
        <v>1</v>
      </c>
      <c r="M34" s="50">
        <v>107</v>
      </c>
      <c r="N34" s="50">
        <v>0</v>
      </c>
      <c r="O34" s="15">
        <f t="shared" si="0"/>
        <v>76</v>
      </c>
      <c r="P34" s="15">
        <f t="shared" si="1"/>
        <v>183</v>
      </c>
    </row>
    <row r="35" spans="2:20" ht="23.1" customHeight="1" x14ac:dyDescent="0.25">
      <c r="B35" s="24" t="s">
        <v>62</v>
      </c>
      <c r="C35" s="50">
        <v>32</v>
      </c>
      <c r="D35" s="50">
        <v>6</v>
      </c>
      <c r="E35" s="50">
        <v>4</v>
      </c>
      <c r="F35" s="50">
        <v>6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2</v>
      </c>
      <c r="M35" s="50">
        <v>115</v>
      </c>
      <c r="N35" s="50">
        <v>0</v>
      </c>
      <c r="O35" s="15">
        <f t="shared" si="0"/>
        <v>56</v>
      </c>
      <c r="P35" s="15">
        <f t="shared" si="1"/>
        <v>171</v>
      </c>
    </row>
    <row r="36" spans="2:20" ht="23.1" customHeight="1" x14ac:dyDescent="0.25">
      <c r="B36" s="24" t="s">
        <v>63</v>
      </c>
      <c r="C36" s="50">
        <v>24</v>
      </c>
      <c r="D36" s="50">
        <v>11</v>
      </c>
      <c r="E36" s="50">
        <v>3</v>
      </c>
      <c r="F36" s="50">
        <v>7</v>
      </c>
      <c r="G36" s="50">
        <v>0</v>
      </c>
      <c r="H36" s="50">
        <v>0</v>
      </c>
      <c r="I36" s="50">
        <v>1</v>
      </c>
      <c r="J36" s="50">
        <v>1</v>
      </c>
      <c r="K36" s="50">
        <v>1</v>
      </c>
      <c r="L36" s="50">
        <v>2</v>
      </c>
      <c r="M36" s="50">
        <v>125</v>
      </c>
      <c r="N36" s="50">
        <v>0</v>
      </c>
      <c r="O36" s="15">
        <f t="shared" si="0"/>
        <v>50</v>
      </c>
      <c r="P36" s="15">
        <f t="shared" si="1"/>
        <v>175</v>
      </c>
    </row>
    <row r="37" spans="2:20" ht="23.1" customHeight="1" x14ac:dyDescent="0.25">
      <c r="B37" s="23" t="s">
        <v>64</v>
      </c>
      <c r="C37" s="50">
        <v>23</v>
      </c>
      <c r="D37" s="50">
        <v>12</v>
      </c>
      <c r="E37" s="50">
        <v>5</v>
      </c>
      <c r="F37" s="50">
        <v>8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6</v>
      </c>
      <c r="M37" s="50">
        <v>90</v>
      </c>
      <c r="N37" s="50">
        <v>0</v>
      </c>
      <c r="O37" s="15">
        <f t="shared" si="0"/>
        <v>57</v>
      </c>
      <c r="P37" s="15">
        <f t="shared" si="1"/>
        <v>147</v>
      </c>
    </row>
    <row r="38" spans="2:20" ht="23.1" customHeight="1" x14ac:dyDescent="0.25">
      <c r="B38" s="24" t="s">
        <v>65</v>
      </c>
      <c r="C38" s="50">
        <v>34</v>
      </c>
      <c r="D38" s="50">
        <v>11</v>
      </c>
      <c r="E38" s="50">
        <v>9</v>
      </c>
      <c r="F38" s="50">
        <v>11</v>
      </c>
      <c r="G38" s="50">
        <v>0</v>
      </c>
      <c r="H38" s="50">
        <v>0</v>
      </c>
      <c r="I38" s="50">
        <v>3</v>
      </c>
      <c r="J38" s="50">
        <v>3</v>
      </c>
      <c r="K38" s="50">
        <v>2</v>
      </c>
      <c r="L38" s="50">
        <v>3</v>
      </c>
      <c r="M38" s="50">
        <v>80</v>
      </c>
      <c r="N38" s="50">
        <v>0</v>
      </c>
      <c r="O38" s="15">
        <f t="shared" si="0"/>
        <v>76</v>
      </c>
      <c r="P38" s="15">
        <f t="shared" si="1"/>
        <v>156</v>
      </c>
    </row>
    <row r="39" spans="2:20" ht="23.1" customHeight="1" x14ac:dyDescent="0.25">
      <c r="B39" s="24" t="s">
        <v>66</v>
      </c>
      <c r="C39" s="50">
        <v>32</v>
      </c>
      <c r="D39" s="50">
        <v>8</v>
      </c>
      <c r="E39" s="50">
        <v>2</v>
      </c>
      <c r="F39" s="50">
        <v>6</v>
      </c>
      <c r="G39" s="50">
        <v>1</v>
      </c>
      <c r="H39" s="50">
        <v>0</v>
      </c>
      <c r="I39" s="50">
        <v>3</v>
      </c>
      <c r="J39" s="50">
        <v>3</v>
      </c>
      <c r="K39" s="50">
        <v>3</v>
      </c>
      <c r="L39" s="50">
        <v>2</v>
      </c>
      <c r="M39" s="50">
        <v>110</v>
      </c>
      <c r="N39" s="50">
        <v>0</v>
      </c>
      <c r="O39" s="15">
        <f t="shared" si="0"/>
        <v>60</v>
      </c>
      <c r="P39" s="15">
        <f t="shared" si="1"/>
        <v>170</v>
      </c>
    </row>
    <row r="40" spans="2:20" ht="23.1" customHeight="1" x14ac:dyDescent="0.25">
      <c r="B40" s="24" t="s">
        <v>67</v>
      </c>
      <c r="C40" s="50">
        <v>46</v>
      </c>
      <c r="D40" s="50">
        <v>19</v>
      </c>
      <c r="E40" s="50">
        <v>1</v>
      </c>
      <c r="F40" s="50">
        <v>7</v>
      </c>
      <c r="G40" s="50">
        <v>1</v>
      </c>
      <c r="H40" s="50">
        <v>0</v>
      </c>
      <c r="I40" s="50">
        <v>1</v>
      </c>
      <c r="J40" s="50">
        <v>2</v>
      </c>
      <c r="K40" s="50">
        <v>1</v>
      </c>
      <c r="L40" s="50">
        <v>2</v>
      </c>
      <c r="M40" s="50">
        <v>81</v>
      </c>
      <c r="N40" s="50">
        <v>0</v>
      </c>
      <c r="O40" s="15">
        <f t="shared" si="0"/>
        <v>80</v>
      </c>
      <c r="P40" s="15">
        <f t="shared" si="1"/>
        <v>161</v>
      </c>
    </row>
    <row r="41" spans="2:20" ht="23.1" customHeight="1" x14ac:dyDescent="0.25">
      <c r="B41" s="23" t="s">
        <v>68</v>
      </c>
      <c r="C41" s="50">
        <v>38</v>
      </c>
      <c r="D41" s="50">
        <v>12</v>
      </c>
      <c r="E41" s="50">
        <v>4</v>
      </c>
      <c r="F41" s="50">
        <v>6</v>
      </c>
      <c r="G41" s="50">
        <v>0</v>
      </c>
      <c r="H41" s="50">
        <v>0</v>
      </c>
      <c r="I41" s="50">
        <v>5</v>
      </c>
      <c r="J41" s="50">
        <v>3</v>
      </c>
      <c r="K41" s="50">
        <v>0</v>
      </c>
      <c r="L41" s="50">
        <v>0</v>
      </c>
      <c r="M41" s="50">
        <v>70</v>
      </c>
      <c r="N41" s="50">
        <v>0</v>
      </c>
      <c r="O41" s="15">
        <f t="shared" si="0"/>
        <v>68</v>
      </c>
      <c r="P41" s="15">
        <f t="shared" si="1"/>
        <v>138</v>
      </c>
    </row>
    <row r="42" spans="2:20" ht="23.1" customHeight="1" x14ac:dyDescent="0.25">
      <c r="B42" s="24" t="s">
        <v>69</v>
      </c>
      <c r="C42" s="50">
        <v>31</v>
      </c>
      <c r="D42" s="50">
        <v>15</v>
      </c>
      <c r="E42" s="50">
        <v>9</v>
      </c>
      <c r="F42" s="50">
        <v>2</v>
      </c>
      <c r="G42" s="50">
        <v>0</v>
      </c>
      <c r="H42" s="50">
        <v>0</v>
      </c>
      <c r="I42" s="50">
        <v>1</v>
      </c>
      <c r="J42" s="50">
        <v>2</v>
      </c>
      <c r="K42" s="50">
        <v>1</v>
      </c>
      <c r="L42" s="50">
        <v>5</v>
      </c>
      <c r="M42" s="50">
        <v>60</v>
      </c>
      <c r="N42" s="50">
        <v>0</v>
      </c>
      <c r="O42" s="15">
        <f t="shared" si="0"/>
        <v>66</v>
      </c>
      <c r="P42" s="15">
        <f t="shared" si="1"/>
        <v>126</v>
      </c>
    </row>
    <row r="43" spans="2:20" ht="23.1" customHeight="1" x14ac:dyDescent="0.25">
      <c r="B43" s="23" t="s">
        <v>70</v>
      </c>
      <c r="C43" s="50">
        <v>35</v>
      </c>
      <c r="D43" s="50">
        <v>12</v>
      </c>
      <c r="E43" s="50">
        <v>2</v>
      </c>
      <c r="F43" s="50">
        <v>9</v>
      </c>
      <c r="G43" s="50">
        <v>0</v>
      </c>
      <c r="H43" s="50">
        <v>0</v>
      </c>
      <c r="I43" s="50">
        <v>2</v>
      </c>
      <c r="J43" s="50">
        <v>4</v>
      </c>
      <c r="K43" s="50">
        <v>0</v>
      </c>
      <c r="L43" s="50">
        <v>0</v>
      </c>
      <c r="M43" s="50">
        <v>75</v>
      </c>
      <c r="N43" s="50">
        <v>0</v>
      </c>
      <c r="O43" s="15">
        <f t="shared" si="0"/>
        <v>64</v>
      </c>
      <c r="P43" s="15">
        <f t="shared" si="1"/>
        <v>139</v>
      </c>
    </row>
    <row r="44" spans="2:20" ht="23.1" customHeight="1" x14ac:dyDescent="0.25">
      <c r="B44" s="25" t="s">
        <v>71</v>
      </c>
      <c r="C44" s="50">
        <v>31</v>
      </c>
      <c r="D44" s="50">
        <v>10</v>
      </c>
      <c r="E44" s="50">
        <v>5</v>
      </c>
      <c r="F44" s="50">
        <v>7</v>
      </c>
      <c r="G44" s="50">
        <v>0</v>
      </c>
      <c r="H44" s="50">
        <v>0</v>
      </c>
      <c r="I44" s="50">
        <v>6</v>
      </c>
      <c r="J44" s="50">
        <v>3</v>
      </c>
      <c r="K44" s="50">
        <v>2</v>
      </c>
      <c r="L44" s="50">
        <v>4</v>
      </c>
      <c r="M44" s="50">
        <v>116</v>
      </c>
      <c r="N44" s="50">
        <v>0</v>
      </c>
      <c r="O44" s="15">
        <f t="shared" si="0"/>
        <v>68</v>
      </c>
      <c r="P44" s="15">
        <f t="shared" si="1"/>
        <v>184</v>
      </c>
    </row>
    <row r="45" spans="2:20" ht="23.1" customHeight="1" x14ac:dyDescent="0.25">
      <c r="B45" s="23" t="s">
        <v>72</v>
      </c>
      <c r="C45" s="50">
        <v>37</v>
      </c>
      <c r="D45" s="50">
        <v>16</v>
      </c>
      <c r="E45" s="50">
        <v>5</v>
      </c>
      <c r="F45" s="50">
        <v>8</v>
      </c>
      <c r="G45" s="50">
        <v>0</v>
      </c>
      <c r="H45" s="50">
        <v>0</v>
      </c>
      <c r="I45" s="50">
        <v>4</v>
      </c>
      <c r="J45" s="50">
        <v>3</v>
      </c>
      <c r="K45" s="50">
        <v>0</v>
      </c>
      <c r="L45" s="50">
        <v>1</v>
      </c>
      <c r="M45" s="50">
        <v>90</v>
      </c>
      <c r="N45" s="50">
        <v>0</v>
      </c>
      <c r="O45" s="15">
        <f t="shared" si="0"/>
        <v>74</v>
      </c>
      <c r="P45" s="15">
        <f t="shared" si="1"/>
        <v>164</v>
      </c>
    </row>
    <row r="46" spans="2:20" ht="23.1" customHeight="1" x14ac:dyDescent="0.25">
      <c r="B46" s="24" t="s">
        <v>73</v>
      </c>
      <c r="C46" s="50">
        <v>46</v>
      </c>
      <c r="D46" s="50">
        <v>13</v>
      </c>
      <c r="E46" s="50">
        <v>4</v>
      </c>
      <c r="F46" s="50">
        <v>8</v>
      </c>
      <c r="G46" s="50">
        <v>0</v>
      </c>
      <c r="H46" s="50">
        <v>0</v>
      </c>
      <c r="I46" s="50">
        <v>4</v>
      </c>
      <c r="J46" s="50">
        <v>2</v>
      </c>
      <c r="K46" s="50">
        <v>2</v>
      </c>
      <c r="L46" s="50">
        <v>2</v>
      </c>
      <c r="M46" s="50">
        <v>126</v>
      </c>
      <c r="N46" s="50">
        <v>0</v>
      </c>
      <c r="O46" s="15">
        <f t="shared" si="0"/>
        <v>81</v>
      </c>
      <c r="P46" s="15">
        <f t="shared" si="1"/>
        <v>207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17</v>
      </c>
      <c r="E47" s="50">
        <v>9</v>
      </c>
      <c r="F47" s="50">
        <v>8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1</v>
      </c>
      <c r="M47" s="50">
        <v>127</v>
      </c>
      <c r="N47" s="50">
        <v>0</v>
      </c>
      <c r="O47" s="15">
        <f t="shared" si="0"/>
        <v>89</v>
      </c>
      <c r="P47" s="15">
        <f t="shared" si="1"/>
        <v>216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13</v>
      </c>
      <c r="E48" s="50">
        <v>5</v>
      </c>
      <c r="F48" s="50">
        <v>5</v>
      </c>
      <c r="G48" s="50">
        <v>0</v>
      </c>
      <c r="H48" s="50">
        <v>0</v>
      </c>
      <c r="I48" s="50">
        <v>3</v>
      </c>
      <c r="J48" s="50">
        <v>1</v>
      </c>
      <c r="K48" s="50">
        <v>1</v>
      </c>
      <c r="L48" s="50">
        <v>1</v>
      </c>
      <c r="M48" s="50">
        <v>96</v>
      </c>
      <c r="N48" s="50">
        <v>0</v>
      </c>
      <c r="O48" s="15">
        <f t="shared" si="0"/>
        <v>59</v>
      </c>
      <c r="P48" s="15">
        <f t="shared" si="1"/>
        <v>155</v>
      </c>
      <c r="R48" s="8"/>
      <c r="T48"/>
    </row>
    <row r="49" spans="2:20" ht="23.1" customHeight="1" x14ac:dyDescent="0.25">
      <c r="B49" s="23" t="s">
        <v>76</v>
      </c>
      <c r="C49" s="50">
        <v>51</v>
      </c>
      <c r="D49" s="50">
        <v>26</v>
      </c>
      <c r="E49" s="50">
        <v>5</v>
      </c>
      <c r="F49" s="50">
        <v>10</v>
      </c>
      <c r="G49" s="50">
        <v>0</v>
      </c>
      <c r="H49" s="50">
        <v>0</v>
      </c>
      <c r="I49" s="50">
        <v>4</v>
      </c>
      <c r="J49" s="50">
        <v>3</v>
      </c>
      <c r="K49" s="50">
        <v>2</v>
      </c>
      <c r="L49" s="50">
        <v>3</v>
      </c>
      <c r="M49" s="50">
        <v>105</v>
      </c>
      <c r="N49" s="50">
        <v>0</v>
      </c>
      <c r="O49" s="15">
        <f t="shared" si="0"/>
        <v>104</v>
      </c>
      <c r="P49" s="15">
        <f t="shared" si="1"/>
        <v>209</v>
      </c>
      <c r="R49" s="8"/>
      <c r="T49"/>
    </row>
    <row r="50" spans="2:20" ht="23.1" customHeight="1" x14ac:dyDescent="0.25">
      <c r="B50" s="24" t="s">
        <v>77</v>
      </c>
      <c r="C50" s="50">
        <v>48</v>
      </c>
      <c r="D50" s="50">
        <v>17</v>
      </c>
      <c r="E50" s="50">
        <v>7</v>
      </c>
      <c r="F50" s="50">
        <v>5</v>
      </c>
      <c r="G50" s="50">
        <v>0</v>
      </c>
      <c r="H50" s="50">
        <v>0</v>
      </c>
      <c r="I50" s="50">
        <v>3</v>
      </c>
      <c r="J50" s="50">
        <v>1</v>
      </c>
      <c r="K50" s="50">
        <v>1</v>
      </c>
      <c r="L50" s="50">
        <v>2</v>
      </c>
      <c r="M50" s="50">
        <v>111</v>
      </c>
      <c r="N50" s="50">
        <v>1</v>
      </c>
      <c r="O50" s="15">
        <f t="shared" si="0"/>
        <v>85</v>
      </c>
      <c r="P50" s="15">
        <f t="shared" si="1"/>
        <v>196</v>
      </c>
      <c r="R50" s="8"/>
      <c r="T50"/>
    </row>
    <row r="51" spans="2:20" ht="23.1" customHeight="1" x14ac:dyDescent="0.25">
      <c r="B51" s="24" t="s">
        <v>78</v>
      </c>
      <c r="C51" s="50">
        <v>44</v>
      </c>
      <c r="D51" s="50">
        <v>12</v>
      </c>
      <c r="E51" s="50">
        <v>6</v>
      </c>
      <c r="F51" s="50">
        <v>6</v>
      </c>
      <c r="G51" s="50">
        <v>0</v>
      </c>
      <c r="H51" s="50">
        <v>0</v>
      </c>
      <c r="I51" s="50">
        <v>2</v>
      </c>
      <c r="J51" s="50">
        <v>2</v>
      </c>
      <c r="K51" s="50">
        <v>1</v>
      </c>
      <c r="L51" s="50">
        <v>2</v>
      </c>
      <c r="M51" s="50">
        <v>72</v>
      </c>
      <c r="N51" s="50">
        <v>0</v>
      </c>
      <c r="O51" s="15">
        <f t="shared" si="0"/>
        <v>75</v>
      </c>
      <c r="P51" s="15">
        <f t="shared" si="1"/>
        <v>147</v>
      </c>
      <c r="R51" s="8"/>
      <c r="T51"/>
    </row>
    <row r="52" spans="2:20" ht="23.1" customHeight="1" x14ac:dyDescent="0.25">
      <c r="B52" s="24" t="s">
        <v>79</v>
      </c>
      <c r="C52" s="50">
        <v>38</v>
      </c>
      <c r="D52" s="50">
        <v>19</v>
      </c>
      <c r="E52" s="50">
        <v>6</v>
      </c>
      <c r="F52" s="50">
        <v>4</v>
      </c>
      <c r="G52" s="50">
        <v>1</v>
      </c>
      <c r="H52" s="50">
        <v>0</v>
      </c>
      <c r="I52" s="50">
        <v>5</v>
      </c>
      <c r="J52" s="50">
        <v>5</v>
      </c>
      <c r="K52" s="50">
        <v>1</v>
      </c>
      <c r="L52" s="50">
        <v>0</v>
      </c>
      <c r="M52" s="50">
        <v>128</v>
      </c>
      <c r="N52" s="50">
        <v>0</v>
      </c>
      <c r="O52" s="15">
        <f t="shared" si="0"/>
        <v>79</v>
      </c>
      <c r="P52" s="15">
        <f t="shared" si="1"/>
        <v>207</v>
      </c>
      <c r="R52" s="8"/>
      <c r="T52"/>
    </row>
    <row r="53" spans="2:20" ht="23.1" customHeight="1" x14ac:dyDescent="0.25">
      <c r="B53" s="23" t="s">
        <v>80</v>
      </c>
      <c r="C53" s="50">
        <v>48</v>
      </c>
      <c r="D53" s="50">
        <v>18</v>
      </c>
      <c r="E53" s="50">
        <v>6</v>
      </c>
      <c r="F53" s="50">
        <v>9</v>
      </c>
      <c r="G53" s="50">
        <v>0</v>
      </c>
      <c r="H53" s="50">
        <v>0</v>
      </c>
      <c r="I53" s="50">
        <v>0</v>
      </c>
      <c r="J53" s="50">
        <v>2</v>
      </c>
      <c r="K53" s="50">
        <v>1</v>
      </c>
      <c r="L53" s="50">
        <v>0</v>
      </c>
      <c r="M53" s="50">
        <v>105</v>
      </c>
      <c r="N53" s="50">
        <v>0</v>
      </c>
      <c r="O53" s="15">
        <f t="shared" si="0"/>
        <v>84</v>
      </c>
      <c r="P53" s="15">
        <f t="shared" si="1"/>
        <v>189</v>
      </c>
      <c r="R53" s="8"/>
      <c r="T53"/>
    </row>
    <row r="54" spans="2:20" ht="23.1" customHeight="1" x14ac:dyDescent="0.25">
      <c r="B54" s="23" t="s">
        <v>81</v>
      </c>
      <c r="C54" s="50">
        <v>35</v>
      </c>
      <c r="D54" s="50">
        <v>14</v>
      </c>
      <c r="E54" s="50">
        <v>7</v>
      </c>
      <c r="F54" s="50">
        <v>6</v>
      </c>
      <c r="G54" s="50">
        <v>0</v>
      </c>
      <c r="H54" s="50">
        <v>0</v>
      </c>
      <c r="I54" s="50">
        <v>0</v>
      </c>
      <c r="J54" s="50">
        <v>0</v>
      </c>
      <c r="K54" s="50">
        <v>3</v>
      </c>
      <c r="L54" s="50">
        <v>1</v>
      </c>
      <c r="M54" s="50">
        <v>95</v>
      </c>
      <c r="N54" s="50">
        <v>0</v>
      </c>
      <c r="O54" s="15">
        <f t="shared" si="0"/>
        <v>66</v>
      </c>
      <c r="P54" s="15">
        <f t="shared" si="1"/>
        <v>161</v>
      </c>
      <c r="R54" s="8"/>
      <c r="T54"/>
    </row>
    <row r="55" spans="2:20" ht="23.1" customHeight="1" x14ac:dyDescent="0.25">
      <c r="B55" s="23" t="s">
        <v>82</v>
      </c>
      <c r="C55" s="50">
        <v>41</v>
      </c>
      <c r="D55" s="50">
        <v>11</v>
      </c>
      <c r="E55" s="50">
        <v>5</v>
      </c>
      <c r="F55" s="50">
        <v>12</v>
      </c>
      <c r="G55" s="50">
        <v>1</v>
      </c>
      <c r="H55" s="50">
        <v>0</v>
      </c>
      <c r="I55" s="50">
        <v>1</v>
      </c>
      <c r="J55" s="50">
        <v>0</v>
      </c>
      <c r="K55" s="50">
        <v>1</v>
      </c>
      <c r="L55" s="50">
        <v>1</v>
      </c>
      <c r="M55" s="50">
        <v>115</v>
      </c>
      <c r="N55" s="50">
        <v>0</v>
      </c>
      <c r="O55" s="15">
        <f t="shared" si="0"/>
        <v>73</v>
      </c>
      <c r="P55" s="15">
        <f t="shared" si="1"/>
        <v>188</v>
      </c>
      <c r="R55" s="8"/>
      <c r="T55"/>
    </row>
    <row r="56" spans="2:20" ht="23.1" customHeight="1" x14ac:dyDescent="0.25">
      <c r="B56" s="23" t="s">
        <v>83</v>
      </c>
      <c r="C56" s="50">
        <v>31</v>
      </c>
      <c r="D56" s="50">
        <v>11</v>
      </c>
      <c r="E56" s="50">
        <v>7</v>
      </c>
      <c r="F56" s="50">
        <v>14</v>
      </c>
      <c r="G56" s="50">
        <v>0</v>
      </c>
      <c r="H56" s="50">
        <v>0</v>
      </c>
      <c r="I56" s="50">
        <v>0</v>
      </c>
      <c r="J56" s="50">
        <v>1</v>
      </c>
      <c r="K56" s="50">
        <v>3</v>
      </c>
      <c r="L56" s="50">
        <v>3</v>
      </c>
      <c r="M56" s="50">
        <v>125</v>
      </c>
      <c r="N56" s="50">
        <v>0</v>
      </c>
      <c r="O56" s="15">
        <f t="shared" si="0"/>
        <v>70</v>
      </c>
      <c r="P56" s="15">
        <f t="shared" si="1"/>
        <v>195</v>
      </c>
      <c r="R56" s="8"/>
      <c r="T56"/>
    </row>
    <row r="57" spans="2:20" ht="23.1" customHeight="1" x14ac:dyDescent="0.25">
      <c r="B57" s="23" t="s">
        <v>84</v>
      </c>
      <c r="C57" s="50">
        <v>34</v>
      </c>
      <c r="D57" s="50">
        <v>18</v>
      </c>
      <c r="E57" s="50">
        <v>4</v>
      </c>
      <c r="F57" s="50">
        <v>8</v>
      </c>
      <c r="G57" s="50">
        <v>1</v>
      </c>
      <c r="H57" s="50">
        <v>0</v>
      </c>
      <c r="I57" s="50">
        <v>1</v>
      </c>
      <c r="J57" s="50">
        <v>2</v>
      </c>
      <c r="K57" s="50">
        <v>1</v>
      </c>
      <c r="L57" s="50">
        <v>1</v>
      </c>
      <c r="M57" s="50">
        <v>85</v>
      </c>
      <c r="N57" s="50">
        <v>0</v>
      </c>
      <c r="O57" s="15">
        <f t="shared" si="0"/>
        <v>70</v>
      </c>
      <c r="P57" s="15">
        <f t="shared" si="1"/>
        <v>155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2212</v>
      </c>
      <c r="D58" s="16">
        <f t="shared" si="21"/>
        <v>999</v>
      </c>
      <c r="E58" s="16">
        <f t="shared" si="21"/>
        <v>279</v>
      </c>
      <c r="F58" s="16">
        <f t="shared" si="21"/>
        <v>431</v>
      </c>
      <c r="G58" s="16">
        <f t="shared" si="21"/>
        <v>11</v>
      </c>
      <c r="H58" s="16">
        <f t="shared" si="21"/>
        <v>0</v>
      </c>
      <c r="I58" s="16">
        <f t="shared" si="21"/>
        <v>157</v>
      </c>
      <c r="J58" s="16">
        <f t="shared" si="21"/>
        <v>105</v>
      </c>
      <c r="K58" s="16">
        <f t="shared" si="21"/>
        <v>46</v>
      </c>
      <c r="L58" s="16">
        <f t="shared" si="21"/>
        <v>85</v>
      </c>
      <c r="M58" s="16">
        <f t="shared" si="21"/>
        <v>5343</v>
      </c>
      <c r="N58" s="16">
        <f t="shared" si="21"/>
        <v>2</v>
      </c>
      <c r="O58" s="16">
        <f t="shared" si="21"/>
        <v>4327</v>
      </c>
      <c r="P58" s="16">
        <f t="shared" si="21"/>
        <v>9670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0.22874870734229577</v>
      </c>
      <c r="D59" s="43">
        <f t="shared" si="22"/>
        <v>0.10330920372285418</v>
      </c>
      <c r="E59" s="43">
        <f t="shared" si="22"/>
        <v>2.8852119958634955E-2</v>
      </c>
      <c r="F59" s="43">
        <f t="shared" si="22"/>
        <v>4.457083764219235E-2</v>
      </c>
      <c r="G59" s="43">
        <f t="shared" si="22"/>
        <v>1.1375387797311271E-3</v>
      </c>
      <c r="H59" s="43">
        <f t="shared" si="22"/>
        <v>0</v>
      </c>
      <c r="I59" s="43">
        <f t="shared" si="22"/>
        <v>1.6235780765253362E-2</v>
      </c>
      <c r="J59" s="43">
        <f t="shared" si="22"/>
        <v>1.0858324715615306E-2</v>
      </c>
      <c r="K59" s="43">
        <f t="shared" si="22"/>
        <v>4.7569803516028953E-3</v>
      </c>
      <c r="L59" s="43">
        <f t="shared" si="22"/>
        <v>8.790072388831437E-3</v>
      </c>
      <c r="M59" s="43">
        <f t="shared" si="22"/>
        <v>0.55253360910031024</v>
      </c>
      <c r="N59" s="43">
        <f t="shared" si="22"/>
        <v>2.0682523267838676E-4</v>
      </c>
      <c r="R59" s="8"/>
      <c r="T59"/>
    </row>
    <row r="60" spans="2:20" ht="23.1" customHeight="1" x14ac:dyDescent="0.25">
      <c r="B60" s="42" t="s">
        <v>94</v>
      </c>
      <c r="C60" s="44">
        <f>C58/$O$58</f>
        <v>0.51120868962329558</v>
      </c>
      <c r="D60" s="44">
        <f t="shared" ref="D60:N60" si="23">D58/$O$58</f>
        <v>0.23087589553963486</v>
      </c>
      <c r="E60" s="44">
        <f t="shared" si="23"/>
        <v>6.4478853709267397E-2</v>
      </c>
      <c r="F60" s="44">
        <f t="shared" si="23"/>
        <v>9.9607118095678293E-2</v>
      </c>
      <c r="G60" s="44">
        <f t="shared" si="23"/>
        <v>2.5421770279639472E-3</v>
      </c>
      <c r="H60" s="44">
        <f t="shared" si="23"/>
        <v>0</v>
      </c>
      <c r="I60" s="44">
        <f t="shared" si="23"/>
        <v>3.6283799399121797E-2</v>
      </c>
      <c r="J60" s="44">
        <f t="shared" si="23"/>
        <v>2.4266235266928587E-2</v>
      </c>
      <c r="K60" s="44">
        <f t="shared" si="23"/>
        <v>1.0630922116940143E-2</v>
      </c>
      <c r="L60" s="44">
        <f t="shared" si="23"/>
        <v>1.9644095216085046E-2</v>
      </c>
      <c r="M60" s="44"/>
      <c r="N60" s="44">
        <f t="shared" si="23"/>
        <v>4.6221400508435407E-4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17" sqref="E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Kisaasi-Ntinda'!D5</f>
        <v>30.07.19</v>
      </c>
      <c r="E5" s="3"/>
      <c r="F5" s="41" t="s">
        <v>1</v>
      </c>
      <c r="G5" s="65" t="str">
        <f>'29.07 Kisaasi-Ntinda'!G5:H5</f>
        <v>Ndere Center</v>
      </c>
      <c r="H5" s="66"/>
      <c r="I5" s="14"/>
      <c r="J5" s="2" t="s">
        <v>5</v>
      </c>
      <c r="K5" s="65" t="s">
        <v>170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Ntinda-Kisaasi'!D6:E6</f>
        <v xml:space="preserve">Ntinda </v>
      </c>
      <c r="E6" s="66"/>
      <c r="F6" s="2" t="s">
        <v>2</v>
      </c>
      <c r="G6" s="65" t="str">
        <f>'29.07 Ntinda-Kisaasi'!G6:H6</f>
        <v>Kisaasi</v>
      </c>
      <c r="H6" s="66"/>
      <c r="J6" s="2" t="s">
        <v>21</v>
      </c>
      <c r="K6" s="65" t="str">
        <f>'29.07 Kisaasi-Ntinda'!K6:L6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</v>
      </c>
      <c r="D10" s="50">
        <v>10</v>
      </c>
      <c r="E10" s="50">
        <v>5</v>
      </c>
      <c r="F10" s="50">
        <v>10</v>
      </c>
      <c r="G10" s="50">
        <v>0</v>
      </c>
      <c r="H10" s="50">
        <v>0</v>
      </c>
      <c r="I10" s="50">
        <v>10</v>
      </c>
      <c r="J10" s="50">
        <v>0</v>
      </c>
      <c r="K10" s="50">
        <v>0</v>
      </c>
      <c r="L10" s="50">
        <v>0</v>
      </c>
      <c r="M10" s="50">
        <v>50</v>
      </c>
      <c r="N10" s="50">
        <v>0</v>
      </c>
      <c r="O10" s="15">
        <f t="shared" ref="O10:O57" si="0">SUM(C10:L10,N10)</f>
        <v>57</v>
      </c>
      <c r="P10" s="15">
        <f t="shared" ref="P10:P57" si="1">SUM(C10:N10)</f>
        <v>107</v>
      </c>
      <c r="R10" s="1" t="s">
        <v>6</v>
      </c>
      <c r="S10" s="17">
        <f t="shared" ref="S10:AF10" si="2">SUM(C10:C13)</f>
        <v>107</v>
      </c>
      <c r="T10" s="17">
        <f t="shared" si="2"/>
        <v>57</v>
      </c>
      <c r="U10" s="17">
        <f t="shared" si="2"/>
        <v>25</v>
      </c>
      <c r="V10" s="17">
        <f t="shared" si="2"/>
        <v>73</v>
      </c>
      <c r="W10" s="17">
        <f t="shared" si="2"/>
        <v>2</v>
      </c>
      <c r="X10" s="17">
        <f t="shared" si="2"/>
        <v>0</v>
      </c>
      <c r="Y10" s="17">
        <f t="shared" si="2"/>
        <v>16</v>
      </c>
      <c r="Z10" s="17">
        <f t="shared" si="2"/>
        <v>2</v>
      </c>
      <c r="AA10" s="17">
        <f t="shared" si="2"/>
        <v>1</v>
      </c>
      <c r="AB10" s="17">
        <f t="shared" si="2"/>
        <v>1</v>
      </c>
      <c r="AC10" s="17">
        <f t="shared" si="2"/>
        <v>255</v>
      </c>
      <c r="AD10" s="17">
        <f t="shared" si="2"/>
        <v>0</v>
      </c>
      <c r="AE10" s="31">
        <f t="shared" si="2"/>
        <v>284</v>
      </c>
      <c r="AF10" s="31">
        <f t="shared" si="2"/>
        <v>539</v>
      </c>
    </row>
    <row r="11" spans="2:32" s="6" customFormat="1" ht="23.1" customHeight="1" x14ac:dyDescent="0.25">
      <c r="B11" s="23" t="s">
        <v>38</v>
      </c>
      <c r="C11" s="50">
        <v>33</v>
      </c>
      <c r="D11" s="50">
        <v>16</v>
      </c>
      <c r="E11" s="50">
        <v>7</v>
      </c>
      <c r="F11" s="50">
        <v>9</v>
      </c>
      <c r="G11" s="50">
        <v>1</v>
      </c>
      <c r="H11" s="50">
        <v>0</v>
      </c>
      <c r="I11" s="50">
        <v>1</v>
      </c>
      <c r="J11" s="50">
        <v>1</v>
      </c>
      <c r="K11" s="50">
        <v>1</v>
      </c>
      <c r="L11" s="50">
        <v>1</v>
      </c>
      <c r="M11" s="50">
        <v>54</v>
      </c>
      <c r="N11" s="50">
        <v>0</v>
      </c>
      <c r="O11" s="15">
        <f t="shared" si="0"/>
        <v>70</v>
      </c>
      <c r="P11" s="15">
        <f t="shared" si="1"/>
        <v>124</v>
      </c>
      <c r="R11" s="1" t="s">
        <v>7</v>
      </c>
      <c r="S11" s="17">
        <f t="shared" ref="S11:AF11" si="3">SUM(C14:C17)</f>
        <v>94</v>
      </c>
      <c r="T11" s="17">
        <f t="shared" si="3"/>
        <v>38</v>
      </c>
      <c r="U11" s="17">
        <f t="shared" si="3"/>
        <v>14</v>
      </c>
      <c r="V11" s="17">
        <f t="shared" si="3"/>
        <v>86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5</v>
      </c>
      <c r="AA11" s="17">
        <f t="shared" si="3"/>
        <v>2</v>
      </c>
      <c r="AB11" s="17">
        <f t="shared" si="3"/>
        <v>2</v>
      </c>
      <c r="AC11" s="17">
        <f t="shared" si="3"/>
        <v>270</v>
      </c>
      <c r="AD11" s="17">
        <f t="shared" si="3"/>
        <v>0</v>
      </c>
      <c r="AE11" s="31">
        <f t="shared" si="3"/>
        <v>249</v>
      </c>
      <c r="AF11" s="31">
        <f t="shared" si="3"/>
        <v>519</v>
      </c>
    </row>
    <row r="12" spans="2:32" ht="23.1" customHeight="1" x14ac:dyDescent="0.25">
      <c r="B12" s="23" t="s">
        <v>39</v>
      </c>
      <c r="C12" s="50">
        <v>26</v>
      </c>
      <c r="D12" s="50">
        <v>21</v>
      </c>
      <c r="E12" s="50">
        <v>10</v>
      </c>
      <c r="F12" s="50">
        <v>26</v>
      </c>
      <c r="G12" s="50">
        <v>1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71</v>
      </c>
      <c r="N12" s="50">
        <v>0</v>
      </c>
      <c r="O12" s="15">
        <f t="shared" si="0"/>
        <v>88</v>
      </c>
      <c r="P12" s="15">
        <f t="shared" si="1"/>
        <v>159</v>
      </c>
      <c r="R12" s="1" t="s">
        <v>8</v>
      </c>
      <c r="S12" s="17">
        <f t="shared" ref="S12:AF12" si="4">SUM(C18:C21)</f>
        <v>141</v>
      </c>
      <c r="T12" s="17">
        <f t="shared" si="4"/>
        <v>59</v>
      </c>
      <c r="U12" s="17">
        <f t="shared" si="4"/>
        <v>32</v>
      </c>
      <c r="V12" s="17">
        <f t="shared" si="4"/>
        <v>111</v>
      </c>
      <c r="W12" s="17">
        <f t="shared" si="4"/>
        <v>3</v>
      </c>
      <c r="X12" s="17">
        <f t="shared" si="4"/>
        <v>0</v>
      </c>
      <c r="Y12" s="17">
        <f t="shared" si="4"/>
        <v>13</v>
      </c>
      <c r="Z12" s="17">
        <f t="shared" si="4"/>
        <v>7</v>
      </c>
      <c r="AA12" s="17">
        <f t="shared" si="4"/>
        <v>0</v>
      </c>
      <c r="AB12" s="17">
        <f t="shared" si="4"/>
        <v>3</v>
      </c>
      <c r="AC12" s="17">
        <f t="shared" si="4"/>
        <v>351</v>
      </c>
      <c r="AD12" s="17">
        <f t="shared" si="4"/>
        <v>0</v>
      </c>
      <c r="AE12" s="31">
        <f t="shared" si="4"/>
        <v>369</v>
      </c>
      <c r="AF12" s="31">
        <f t="shared" si="4"/>
        <v>720</v>
      </c>
    </row>
    <row r="13" spans="2:32" ht="23.1" customHeight="1" x14ac:dyDescent="0.25">
      <c r="B13" s="23" t="s">
        <v>40</v>
      </c>
      <c r="C13" s="50">
        <v>26</v>
      </c>
      <c r="D13" s="50">
        <v>10</v>
      </c>
      <c r="E13" s="50">
        <v>3</v>
      </c>
      <c r="F13" s="50">
        <v>28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80</v>
      </c>
      <c r="N13" s="50">
        <v>0</v>
      </c>
      <c r="O13" s="15">
        <f t="shared" si="0"/>
        <v>69</v>
      </c>
      <c r="P13" s="15">
        <f t="shared" si="1"/>
        <v>149</v>
      </c>
      <c r="R13" s="1" t="s">
        <v>9</v>
      </c>
      <c r="S13" s="17">
        <f t="shared" ref="S13:AF13" si="5">SUM(C22:C25)</f>
        <v>131</v>
      </c>
      <c r="T13" s="17">
        <f t="shared" si="5"/>
        <v>58</v>
      </c>
      <c r="U13" s="17">
        <f t="shared" si="5"/>
        <v>38</v>
      </c>
      <c r="V13" s="17">
        <f t="shared" si="5"/>
        <v>92</v>
      </c>
      <c r="W13" s="17">
        <f t="shared" si="5"/>
        <v>3</v>
      </c>
      <c r="X13" s="17">
        <f t="shared" si="5"/>
        <v>0</v>
      </c>
      <c r="Y13" s="17">
        <f t="shared" si="5"/>
        <v>19</v>
      </c>
      <c r="Z13" s="17">
        <f t="shared" si="5"/>
        <v>5</v>
      </c>
      <c r="AA13" s="17">
        <f t="shared" si="5"/>
        <v>1</v>
      </c>
      <c r="AB13" s="17">
        <f t="shared" si="5"/>
        <v>11</v>
      </c>
      <c r="AC13" s="17">
        <f t="shared" si="5"/>
        <v>299</v>
      </c>
      <c r="AD13" s="17">
        <f t="shared" si="5"/>
        <v>0</v>
      </c>
      <c r="AE13" s="31">
        <f t="shared" si="5"/>
        <v>358</v>
      </c>
      <c r="AF13" s="31">
        <f t="shared" si="5"/>
        <v>657</v>
      </c>
    </row>
    <row r="14" spans="2:32" ht="23.1" customHeight="1" x14ac:dyDescent="0.25">
      <c r="B14" s="23" t="s">
        <v>41</v>
      </c>
      <c r="C14" s="50">
        <v>23</v>
      </c>
      <c r="D14" s="50">
        <v>13</v>
      </c>
      <c r="E14" s="50">
        <v>8</v>
      </c>
      <c r="F14" s="50">
        <v>28</v>
      </c>
      <c r="G14" s="50">
        <v>1</v>
      </c>
      <c r="H14" s="50">
        <v>0</v>
      </c>
      <c r="I14" s="50">
        <v>0</v>
      </c>
      <c r="J14" s="50">
        <v>1</v>
      </c>
      <c r="K14" s="50">
        <v>2</v>
      </c>
      <c r="L14" s="50">
        <v>0</v>
      </c>
      <c r="M14" s="50">
        <v>85</v>
      </c>
      <c r="N14" s="50">
        <v>0</v>
      </c>
      <c r="O14" s="15">
        <f t="shared" si="0"/>
        <v>76</v>
      </c>
      <c r="P14" s="15">
        <f t="shared" si="1"/>
        <v>161</v>
      </c>
      <c r="R14" s="1" t="s">
        <v>10</v>
      </c>
      <c r="S14" s="17">
        <f t="shared" ref="S14:AF14" si="6">SUM(C26:C29)</f>
        <v>143</v>
      </c>
      <c r="T14" s="17">
        <f t="shared" si="6"/>
        <v>60</v>
      </c>
      <c r="U14" s="17">
        <f t="shared" si="6"/>
        <v>45</v>
      </c>
      <c r="V14" s="17">
        <f t="shared" si="6"/>
        <v>77</v>
      </c>
      <c r="W14" s="17">
        <f t="shared" si="6"/>
        <v>0</v>
      </c>
      <c r="X14" s="17">
        <f t="shared" si="6"/>
        <v>0</v>
      </c>
      <c r="Y14" s="17">
        <f t="shared" si="6"/>
        <v>26</v>
      </c>
      <c r="Z14" s="17">
        <f t="shared" si="6"/>
        <v>8</v>
      </c>
      <c r="AA14" s="17">
        <f t="shared" si="6"/>
        <v>2</v>
      </c>
      <c r="AB14" s="17">
        <f t="shared" si="6"/>
        <v>18</v>
      </c>
      <c r="AC14" s="17">
        <f t="shared" si="6"/>
        <v>288</v>
      </c>
      <c r="AD14" s="17">
        <f t="shared" si="6"/>
        <v>0</v>
      </c>
      <c r="AE14" s="31">
        <f t="shared" si="6"/>
        <v>379</v>
      </c>
      <c r="AF14" s="31">
        <f t="shared" si="6"/>
        <v>667</v>
      </c>
    </row>
    <row r="15" spans="2:32" ht="23.1" customHeight="1" x14ac:dyDescent="0.25">
      <c r="B15" s="23" t="s">
        <v>42</v>
      </c>
      <c r="C15" s="50">
        <v>25</v>
      </c>
      <c r="D15" s="50">
        <v>7</v>
      </c>
      <c r="E15" s="50">
        <v>2</v>
      </c>
      <c r="F15" s="50">
        <v>32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1</v>
      </c>
      <c r="M15" s="50">
        <v>95</v>
      </c>
      <c r="N15" s="50">
        <v>0</v>
      </c>
      <c r="O15" s="15">
        <f t="shared" si="0"/>
        <v>69</v>
      </c>
      <c r="P15" s="15">
        <f t="shared" si="1"/>
        <v>164</v>
      </c>
      <c r="R15" s="1" t="s">
        <v>11</v>
      </c>
      <c r="S15" s="17">
        <f t="shared" ref="S15:AF15" si="7">SUM(C30:C33)</f>
        <v>144</v>
      </c>
      <c r="T15" s="17">
        <f t="shared" si="7"/>
        <v>72</v>
      </c>
      <c r="U15" s="17">
        <f t="shared" si="7"/>
        <v>41</v>
      </c>
      <c r="V15" s="17">
        <f t="shared" si="7"/>
        <v>80</v>
      </c>
      <c r="W15" s="17">
        <f t="shared" si="7"/>
        <v>0</v>
      </c>
      <c r="X15" s="17">
        <f t="shared" si="7"/>
        <v>0</v>
      </c>
      <c r="Y15" s="17">
        <f t="shared" si="7"/>
        <v>17</v>
      </c>
      <c r="Z15" s="17">
        <f t="shared" si="7"/>
        <v>14</v>
      </c>
      <c r="AA15" s="17">
        <f t="shared" si="7"/>
        <v>2</v>
      </c>
      <c r="AB15" s="17">
        <f t="shared" si="7"/>
        <v>16</v>
      </c>
      <c r="AC15" s="17">
        <f t="shared" si="7"/>
        <v>303</v>
      </c>
      <c r="AD15" s="17">
        <f t="shared" si="7"/>
        <v>0</v>
      </c>
      <c r="AE15" s="31">
        <f t="shared" si="7"/>
        <v>386</v>
      </c>
      <c r="AF15" s="31">
        <f t="shared" si="7"/>
        <v>689</v>
      </c>
    </row>
    <row r="16" spans="2:32" ht="23.1" customHeight="1" x14ac:dyDescent="0.25">
      <c r="B16" s="23" t="s">
        <v>43</v>
      </c>
      <c r="C16" s="50">
        <v>32</v>
      </c>
      <c r="D16" s="50">
        <v>16</v>
      </c>
      <c r="E16" s="50">
        <v>3</v>
      </c>
      <c r="F16" s="50">
        <v>15</v>
      </c>
      <c r="G16" s="50">
        <v>0</v>
      </c>
      <c r="H16" s="50">
        <v>0</v>
      </c>
      <c r="I16" s="50">
        <v>5</v>
      </c>
      <c r="J16" s="50">
        <v>2</v>
      </c>
      <c r="K16" s="50">
        <v>0</v>
      </c>
      <c r="L16" s="50">
        <v>0</v>
      </c>
      <c r="M16" s="50">
        <v>55</v>
      </c>
      <c r="N16" s="50">
        <v>0</v>
      </c>
      <c r="O16" s="15">
        <f t="shared" si="0"/>
        <v>73</v>
      </c>
      <c r="P16" s="15">
        <f t="shared" si="1"/>
        <v>128</v>
      </c>
      <c r="R16" s="1" t="s">
        <v>12</v>
      </c>
      <c r="S16" s="17">
        <f t="shared" ref="S16:AF16" si="8">SUM(C34:C37)</f>
        <v>138</v>
      </c>
      <c r="T16" s="17">
        <f t="shared" si="8"/>
        <v>51</v>
      </c>
      <c r="U16" s="17">
        <f t="shared" si="8"/>
        <v>26</v>
      </c>
      <c r="V16" s="17">
        <f t="shared" si="8"/>
        <v>58</v>
      </c>
      <c r="W16" s="17">
        <f t="shared" si="8"/>
        <v>1</v>
      </c>
      <c r="X16" s="17">
        <f t="shared" si="8"/>
        <v>0</v>
      </c>
      <c r="Y16" s="17">
        <f t="shared" si="8"/>
        <v>18</v>
      </c>
      <c r="Z16" s="17">
        <f t="shared" si="8"/>
        <v>17</v>
      </c>
      <c r="AA16" s="17">
        <f t="shared" si="8"/>
        <v>4</v>
      </c>
      <c r="AB16" s="17">
        <f t="shared" si="8"/>
        <v>8</v>
      </c>
      <c r="AC16" s="17">
        <f t="shared" si="8"/>
        <v>320</v>
      </c>
      <c r="AD16" s="17">
        <f t="shared" si="8"/>
        <v>0</v>
      </c>
      <c r="AE16" s="31">
        <f t="shared" si="8"/>
        <v>321</v>
      </c>
      <c r="AF16" s="31">
        <f t="shared" si="8"/>
        <v>641</v>
      </c>
    </row>
    <row r="17" spans="2:32" ht="23.1" customHeight="1" x14ac:dyDescent="0.25">
      <c r="B17" s="23" t="s">
        <v>44</v>
      </c>
      <c r="C17" s="50">
        <v>14</v>
      </c>
      <c r="D17" s="50">
        <v>2</v>
      </c>
      <c r="E17" s="50">
        <v>1</v>
      </c>
      <c r="F17" s="50">
        <v>11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1</v>
      </c>
      <c r="M17" s="50">
        <v>35</v>
      </c>
      <c r="N17" s="50">
        <v>0</v>
      </c>
      <c r="O17" s="15">
        <f t="shared" si="0"/>
        <v>31</v>
      </c>
      <c r="P17" s="15">
        <f t="shared" si="1"/>
        <v>66</v>
      </c>
      <c r="R17" s="1" t="s">
        <v>13</v>
      </c>
      <c r="S17" s="17">
        <f t="shared" ref="S17:AF17" si="9">SUM(C38:C41)</f>
        <v>138</v>
      </c>
      <c r="T17" s="17">
        <f t="shared" si="9"/>
        <v>71</v>
      </c>
      <c r="U17" s="17">
        <f t="shared" si="9"/>
        <v>18</v>
      </c>
      <c r="V17" s="17">
        <f t="shared" si="9"/>
        <v>56</v>
      </c>
      <c r="W17" s="17">
        <f t="shared" si="9"/>
        <v>4</v>
      </c>
      <c r="X17" s="17">
        <f t="shared" si="9"/>
        <v>0</v>
      </c>
      <c r="Y17" s="17">
        <f t="shared" si="9"/>
        <v>18</v>
      </c>
      <c r="Z17" s="17">
        <f t="shared" si="9"/>
        <v>9</v>
      </c>
      <c r="AA17" s="17">
        <f t="shared" si="9"/>
        <v>0</v>
      </c>
      <c r="AB17" s="17">
        <f t="shared" si="9"/>
        <v>7</v>
      </c>
      <c r="AC17" s="17">
        <f t="shared" si="9"/>
        <v>314</v>
      </c>
      <c r="AD17" s="17">
        <f t="shared" si="9"/>
        <v>0</v>
      </c>
      <c r="AE17" s="31">
        <f t="shared" si="9"/>
        <v>321</v>
      </c>
      <c r="AF17" s="31">
        <f t="shared" si="9"/>
        <v>635</v>
      </c>
    </row>
    <row r="18" spans="2:32" ht="23.1" customHeight="1" x14ac:dyDescent="0.25">
      <c r="B18" s="23" t="s">
        <v>45</v>
      </c>
      <c r="C18" s="50">
        <v>31</v>
      </c>
      <c r="D18" s="50">
        <v>8</v>
      </c>
      <c r="E18" s="50">
        <v>6</v>
      </c>
      <c r="F18" s="50">
        <v>28</v>
      </c>
      <c r="G18" s="50">
        <v>2</v>
      </c>
      <c r="H18" s="50">
        <v>0</v>
      </c>
      <c r="I18" s="50">
        <v>4</v>
      </c>
      <c r="J18" s="50">
        <v>2</v>
      </c>
      <c r="K18" s="50">
        <v>0</v>
      </c>
      <c r="L18" s="50">
        <v>2</v>
      </c>
      <c r="M18" s="50">
        <v>100</v>
      </c>
      <c r="N18" s="50">
        <v>0</v>
      </c>
      <c r="O18" s="15">
        <f t="shared" si="0"/>
        <v>83</v>
      </c>
      <c r="P18" s="15">
        <f t="shared" si="1"/>
        <v>183</v>
      </c>
      <c r="R18" s="1" t="s">
        <v>14</v>
      </c>
      <c r="S18" s="17">
        <f t="shared" ref="S18:AF18" si="10">SUM(C42:C45)</f>
        <v>119</v>
      </c>
      <c r="T18" s="17">
        <f t="shared" si="10"/>
        <v>65</v>
      </c>
      <c r="U18" s="17">
        <f t="shared" si="10"/>
        <v>32</v>
      </c>
      <c r="V18" s="17">
        <f t="shared" si="10"/>
        <v>60</v>
      </c>
      <c r="W18" s="17">
        <f t="shared" si="10"/>
        <v>3</v>
      </c>
      <c r="X18" s="17">
        <f t="shared" si="10"/>
        <v>0</v>
      </c>
      <c r="Y18" s="17">
        <f t="shared" si="10"/>
        <v>7</v>
      </c>
      <c r="Z18" s="17">
        <f t="shared" si="10"/>
        <v>8</v>
      </c>
      <c r="AA18" s="17">
        <f t="shared" si="10"/>
        <v>1</v>
      </c>
      <c r="AB18" s="17">
        <f t="shared" si="10"/>
        <v>14</v>
      </c>
      <c r="AC18" s="17">
        <f t="shared" si="10"/>
        <v>233</v>
      </c>
      <c r="AD18" s="17">
        <f t="shared" si="10"/>
        <v>0</v>
      </c>
      <c r="AE18" s="31">
        <f t="shared" si="10"/>
        <v>309</v>
      </c>
      <c r="AF18" s="31">
        <f t="shared" si="10"/>
        <v>542</v>
      </c>
    </row>
    <row r="19" spans="2:32" ht="23.1" customHeight="1" x14ac:dyDescent="0.25">
      <c r="B19" s="23" t="s">
        <v>46</v>
      </c>
      <c r="C19" s="50">
        <v>37</v>
      </c>
      <c r="D19" s="50">
        <v>12</v>
      </c>
      <c r="E19" s="50">
        <v>9</v>
      </c>
      <c r="F19" s="50">
        <v>32</v>
      </c>
      <c r="G19" s="50">
        <v>1</v>
      </c>
      <c r="H19" s="50">
        <v>0</v>
      </c>
      <c r="I19" s="50">
        <v>4</v>
      </c>
      <c r="J19" s="50">
        <v>3</v>
      </c>
      <c r="K19" s="50">
        <v>0</v>
      </c>
      <c r="L19" s="50">
        <v>0</v>
      </c>
      <c r="M19" s="50">
        <v>85</v>
      </c>
      <c r="N19" s="50">
        <v>0</v>
      </c>
      <c r="O19" s="15">
        <f t="shared" si="0"/>
        <v>98</v>
      </c>
      <c r="P19" s="15">
        <f t="shared" si="1"/>
        <v>183</v>
      </c>
      <c r="R19" s="1" t="s">
        <v>15</v>
      </c>
      <c r="S19" s="17">
        <f t="shared" ref="S19:AF19" si="11">SUM(C46:C49)</f>
        <v>222</v>
      </c>
      <c r="T19" s="17">
        <f t="shared" si="11"/>
        <v>137</v>
      </c>
      <c r="U19" s="17">
        <f t="shared" si="11"/>
        <v>33</v>
      </c>
      <c r="V19" s="17">
        <f t="shared" si="11"/>
        <v>50</v>
      </c>
      <c r="W19" s="17">
        <f t="shared" si="11"/>
        <v>2</v>
      </c>
      <c r="X19" s="17">
        <f t="shared" si="11"/>
        <v>0</v>
      </c>
      <c r="Y19" s="17">
        <f t="shared" si="11"/>
        <v>26</v>
      </c>
      <c r="Z19" s="17">
        <f t="shared" si="11"/>
        <v>10</v>
      </c>
      <c r="AA19" s="17">
        <f t="shared" si="11"/>
        <v>5</v>
      </c>
      <c r="AB19" s="17">
        <f t="shared" si="11"/>
        <v>7</v>
      </c>
      <c r="AC19" s="17">
        <f t="shared" si="11"/>
        <v>359</v>
      </c>
      <c r="AD19" s="17">
        <f t="shared" si="11"/>
        <v>0</v>
      </c>
      <c r="AE19" s="31">
        <f t="shared" si="11"/>
        <v>492</v>
      </c>
      <c r="AF19" s="31">
        <f t="shared" si="11"/>
        <v>851</v>
      </c>
    </row>
    <row r="20" spans="2:32" ht="23.1" customHeight="1" x14ac:dyDescent="0.25">
      <c r="B20" s="23" t="s">
        <v>47</v>
      </c>
      <c r="C20" s="50">
        <v>47</v>
      </c>
      <c r="D20" s="50">
        <v>23</v>
      </c>
      <c r="E20" s="50">
        <v>10</v>
      </c>
      <c r="F20" s="50">
        <v>29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91</v>
      </c>
      <c r="N20" s="50">
        <v>0</v>
      </c>
      <c r="O20" s="15">
        <f t="shared" si="0"/>
        <v>112</v>
      </c>
      <c r="P20" s="15">
        <f t="shared" si="1"/>
        <v>203</v>
      </c>
      <c r="R20" s="1" t="s">
        <v>16</v>
      </c>
      <c r="S20" s="17">
        <f t="shared" ref="S20:AF20" si="12">SUM(C50:C53)</f>
        <v>338</v>
      </c>
      <c r="T20" s="17">
        <f t="shared" si="12"/>
        <v>133</v>
      </c>
      <c r="U20" s="17">
        <f t="shared" si="12"/>
        <v>40</v>
      </c>
      <c r="V20" s="17">
        <f t="shared" si="12"/>
        <v>48</v>
      </c>
      <c r="W20" s="17">
        <f t="shared" si="12"/>
        <v>4</v>
      </c>
      <c r="X20" s="17">
        <f t="shared" si="12"/>
        <v>0</v>
      </c>
      <c r="Y20" s="17">
        <f t="shared" si="12"/>
        <v>8</v>
      </c>
      <c r="Z20" s="17">
        <f t="shared" si="12"/>
        <v>9</v>
      </c>
      <c r="AA20" s="17">
        <f t="shared" si="12"/>
        <v>1</v>
      </c>
      <c r="AB20" s="17">
        <f t="shared" si="12"/>
        <v>10</v>
      </c>
      <c r="AC20" s="17">
        <f t="shared" si="12"/>
        <v>527</v>
      </c>
      <c r="AD20" s="17">
        <f t="shared" si="12"/>
        <v>0</v>
      </c>
      <c r="AE20" s="31">
        <f t="shared" si="12"/>
        <v>591</v>
      </c>
      <c r="AF20" s="31">
        <f t="shared" si="12"/>
        <v>1118</v>
      </c>
    </row>
    <row r="21" spans="2:32" ht="23.1" customHeight="1" x14ac:dyDescent="0.25">
      <c r="B21" s="23" t="s">
        <v>48</v>
      </c>
      <c r="C21" s="50">
        <v>26</v>
      </c>
      <c r="D21" s="50">
        <v>16</v>
      </c>
      <c r="E21" s="50">
        <v>7</v>
      </c>
      <c r="F21" s="50">
        <v>22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1</v>
      </c>
      <c r="M21" s="50">
        <v>75</v>
      </c>
      <c r="N21" s="50">
        <v>0</v>
      </c>
      <c r="O21" s="15">
        <f t="shared" si="0"/>
        <v>76</v>
      </c>
      <c r="P21" s="15">
        <f t="shared" si="1"/>
        <v>151</v>
      </c>
      <c r="R21" s="36" t="s">
        <v>20</v>
      </c>
      <c r="S21" s="34">
        <f t="shared" ref="S21:AF21" si="13">SUM(C54:C57)</f>
        <v>274</v>
      </c>
      <c r="T21" s="17">
        <f t="shared" si="13"/>
        <v>145</v>
      </c>
      <c r="U21" s="17">
        <f t="shared" si="13"/>
        <v>40</v>
      </c>
      <c r="V21" s="17">
        <f t="shared" si="13"/>
        <v>67</v>
      </c>
      <c r="W21" s="17">
        <f t="shared" si="13"/>
        <v>1</v>
      </c>
      <c r="X21" s="17">
        <f t="shared" si="13"/>
        <v>0</v>
      </c>
      <c r="Y21" s="17">
        <f t="shared" si="13"/>
        <v>11</v>
      </c>
      <c r="Z21" s="17">
        <f t="shared" si="13"/>
        <v>7</v>
      </c>
      <c r="AA21" s="17">
        <f t="shared" si="13"/>
        <v>1</v>
      </c>
      <c r="AB21" s="17">
        <f t="shared" si="13"/>
        <v>9</v>
      </c>
      <c r="AC21" s="17">
        <f t="shared" si="13"/>
        <v>331</v>
      </c>
      <c r="AD21" s="17">
        <f t="shared" si="13"/>
        <v>0</v>
      </c>
      <c r="AE21" s="31">
        <f t="shared" si="13"/>
        <v>555</v>
      </c>
      <c r="AF21" s="31">
        <f t="shared" si="13"/>
        <v>886</v>
      </c>
    </row>
    <row r="22" spans="2:32" ht="23.1" customHeight="1" x14ac:dyDescent="0.25">
      <c r="B22" s="23" t="s">
        <v>49</v>
      </c>
      <c r="C22" s="50">
        <v>25</v>
      </c>
      <c r="D22" s="50">
        <v>9</v>
      </c>
      <c r="E22" s="50">
        <v>8</v>
      </c>
      <c r="F22" s="50">
        <v>22</v>
      </c>
      <c r="G22" s="50">
        <v>1</v>
      </c>
      <c r="H22" s="50">
        <v>0</v>
      </c>
      <c r="I22" s="50">
        <v>5</v>
      </c>
      <c r="J22" s="50">
        <v>2</v>
      </c>
      <c r="K22" s="50">
        <v>0</v>
      </c>
      <c r="L22" s="50">
        <v>5</v>
      </c>
      <c r="M22" s="50">
        <v>77</v>
      </c>
      <c r="N22" s="50">
        <v>0</v>
      </c>
      <c r="O22" s="15">
        <f t="shared" si="0"/>
        <v>77</v>
      </c>
      <c r="P22" s="15">
        <f t="shared" si="1"/>
        <v>154</v>
      </c>
      <c r="R22" s="38" t="s">
        <v>90</v>
      </c>
      <c r="S22" s="39">
        <f>MAX(S10:S12)</f>
        <v>141</v>
      </c>
      <c r="T22" s="39">
        <f t="shared" ref="T22:AF22" si="14">MAX(T10:T12)</f>
        <v>59</v>
      </c>
      <c r="U22" s="39">
        <f t="shared" si="14"/>
        <v>32</v>
      </c>
      <c r="V22" s="39">
        <f t="shared" si="14"/>
        <v>111</v>
      </c>
      <c r="W22" s="39">
        <f t="shared" si="14"/>
        <v>3</v>
      </c>
      <c r="X22" s="39">
        <f t="shared" si="14"/>
        <v>0</v>
      </c>
      <c r="Y22" s="39">
        <f t="shared" si="14"/>
        <v>16</v>
      </c>
      <c r="Z22" s="39">
        <f t="shared" si="14"/>
        <v>7</v>
      </c>
      <c r="AA22" s="39">
        <f t="shared" si="14"/>
        <v>2</v>
      </c>
      <c r="AB22" s="39">
        <f t="shared" si="14"/>
        <v>3</v>
      </c>
      <c r="AC22" s="39">
        <f t="shared" si="14"/>
        <v>351</v>
      </c>
      <c r="AD22" s="39">
        <f t="shared" si="14"/>
        <v>0</v>
      </c>
      <c r="AE22" s="40">
        <f t="shared" si="14"/>
        <v>369</v>
      </c>
      <c r="AF22" s="40">
        <f t="shared" si="14"/>
        <v>720</v>
      </c>
    </row>
    <row r="23" spans="2:32" ht="23.1" customHeight="1" x14ac:dyDescent="0.25">
      <c r="B23" s="23" t="s">
        <v>50</v>
      </c>
      <c r="C23" s="50">
        <v>56</v>
      </c>
      <c r="D23" s="50">
        <v>17</v>
      </c>
      <c r="E23" s="50">
        <v>19</v>
      </c>
      <c r="F23" s="50">
        <v>34</v>
      </c>
      <c r="G23" s="50">
        <v>0</v>
      </c>
      <c r="H23" s="50">
        <v>0</v>
      </c>
      <c r="I23" s="50">
        <v>7</v>
      </c>
      <c r="J23" s="50">
        <v>1</v>
      </c>
      <c r="K23" s="50">
        <v>0</v>
      </c>
      <c r="L23" s="50">
        <v>0</v>
      </c>
      <c r="M23" s="50">
        <v>110</v>
      </c>
      <c r="N23" s="50">
        <v>0</v>
      </c>
      <c r="O23" s="15">
        <f t="shared" si="0"/>
        <v>134</v>
      </c>
      <c r="P23" s="15">
        <f t="shared" si="1"/>
        <v>244</v>
      </c>
      <c r="R23" s="38" t="s">
        <v>91</v>
      </c>
      <c r="S23" s="39">
        <f>MAX(S13:S18)</f>
        <v>144</v>
      </c>
      <c r="T23" s="39">
        <f t="shared" ref="T23:AF23" si="15">MAX(T13:T18)</f>
        <v>72</v>
      </c>
      <c r="U23" s="39">
        <f t="shared" si="15"/>
        <v>45</v>
      </c>
      <c r="V23" s="39">
        <f t="shared" si="15"/>
        <v>92</v>
      </c>
      <c r="W23" s="39">
        <f t="shared" si="15"/>
        <v>4</v>
      </c>
      <c r="X23" s="39">
        <f t="shared" si="15"/>
        <v>0</v>
      </c>
      <c r="Y23" s="39">
        <f t="shared" si="15"/>
        <v>26</v>
      </c>
      <c r="Z23" s="39">
        <f t="shared" si="15"/>
        <v>17</v>
      </c>
      <c r="AA23" s="39">
        <f t="shared" si="15"/>
        <v>4</v>
      </c>
      <c r="AB23" s="39">
        <f t="shared" si="15"/>
        <v>18</v>
      </c>
      <c r="AC23" s="39">
        <f t="shared" si="15"/>
        <v>320</v>
      </c>
      <c r="AD23" s="39">
        <f t="shared" si="15"/>
        <v>0</v>
      </c>
      <c r="AE23" s="40">
        <f t="shared" si="15"/>
        <v>386</v>
      </c>
      <c r="AF23" s="40">
        <f t="shared" si="15"/>
        <v>689</v>
      </c>
    </row>
    <row r="24" spans="2:32" ht="23.1" customHeight="1" x14ac:dyDescent="0.25">
      <c r="B24" s="23" t="s">
        <v>51</v>
      </c>
      <c r="C24" s="50">
        <v>21</v>
      </c>
      <c r="D24" s="50">
        <v>15</v>
      </c>
      <c r="E24" s="50">
        <v>8</v>
      </c>
      <c r="F24" s="50">
        <v>16</v>
      </c>
      <c r="G24" s="50">
        <v>1</v>
      </c>
      <c r="H24" s="50">
        <v>0</v>
      </c>
      <c r="I24" s="50">
        <v>3</v>
      </c>
      <c r="J24" s="50">
        <v>1</v>
      </c>
      <c r="K24" s="50">
        <v>1</v>
      </c>
      <c r="L24" s="50">
        <v>1</v>
      </c>
      <c r="M24" s="50">
        <v>35</v>
      </c>
      <c r="N24" s="50">
        <v>0</v>
      </c>
      <c r="O24" s="15">
        <f t="shared" si="0"/>
        <v>67</v>
      </c>
      <c r="P24" s="15">
        <f t="shared" si="1"/>
        <v>102</v>
      </c>
      <c r="R24" s="38" t="s">
        <v>92</v>
      </c>
      <c r="S24" s="39">
        <f>MAX(S19:S21)</f>
        <v>338</v>
      </c>
      <c r="T24" s="39">
        <f t="shared" ref="T24:AF24" si="16">MAX(T19:T21)</f>
        <v>145</v>
      </c>
      <c r="U24" s="39">
        <f t="shared" si="16"/>
        <v>40</v>
      </c>
      <c r="V24" s="39">
        <f t="shared" si="16"/>
        <v>67</v>
      </c>
      <c r="W24" s="39">
        <f t="shared" si="16"/>
        <v>4</v>
      </c>
      <c r="X24" s="39">
        <f t="shared" si="16"/>
        <v>0</v>
      </c>
      <c r="Y24" s="39">
        <f t="shared" si="16"/>
        <v>26</v>
      </c>
      <c r="Z24" s="39">
        <f t="shared" si="16"/>
        <v>10</v>
      </c>
      <c r="AA24" s="39">
        <f t="shared" si="16"/>
        <v>5</v>
      </c>
      <c r="AB24" s="39">
        <f t="shared" si="16"/>
        <v>10</v>
      </c>
      <c r="AC24" s="39">
        <f t="shared" si="16"/>
        <v>527</v>
      </c>
      <c r="AD24" s="39">
        <f t="shared" si="16"/>
        <v>0</v>
      </c>
      <c r="AE24" s="40">
        <f t="shared" si="16"/>
        <v>591</v>
      </c>
      <c r="AF24" s="40">
        <f t="shared" si="16"/>
        <v>1118</v>
      </c>
    </row>
    <row r="25" spans="2:32" ht="23.1" customHeight="1" x14ac:dyDescent="0.25">
      <c r="B25" s="23" t="s">
        <v>52</v>
      </c>
      <c r="C25" s="50">
        <v>29</v>
      </c>
      <c r="D25" s="50">
        <v>17</v>
      </c>
      <c r="E25" s="50">
        <v>3</v>
      </c>
      <c r="F25" s="50">
        <v>20</v>
      </c>
      <c r="G25" s="50">
        <v>1</v>
      </c>
      <c r="H25" s="50">
        <v>0</v>
      </c>
      <c r="I25" s="50">
        <v>4</v>
      </c>
      <c r="J25" s="50">
        <v>1</v>
      </c>
      <c r="K25" s="50">
        <v>0</v>
      </c>
      <c r="L25" s="50">
        <v>5</v>
      </c>
      <c r="M25" s="50">
        <v>77</v>
      </c>
      <c r="N25" s="50">
        <v>0</v>
      </c>
      <c r="O25" s="15">
        <f t="shared" si="0"/>
        <v>80</v>
      </c>
      <c r="P25" s="15">
        <f t="shared" si="1"/>
        <v>157</v>
      </c>
      <c r="R25" s="37" t="s">
        <v>85</v>
      </c>
      <c r="S25" s="35">
        <f t="shared" ref="S25:AF25" si="17">SUM(S10:S12)</f>
        <v>342</v>
      </c>
      <c r="T25" s="16">
        <f t="shared" si="17"/>
        <v>154</v>
      </c>
      <c r="U25" s="16">
        <f t="shared" si="17"/>
        <v>71</v>
      </c>
      <c r="V25" s="16">
        <f t="shared" si="17"/>
        <v>270</v>
      </c>
      <c r="W25" s="16">
        <f t="shared" si="17"/>
        <v>6</v>
      </c>
      <c r="X25" s="16">
        <f t="shared" si="17"/>
        <v>0</v>
      </c>
      <c r="Y25" s="16">
        <f t="shared" si="17"/>
        <v>36</v>
      </c>
      <c r="Z25" s="16">
        <f t="shared" si="17"/>
        <v>14</v>
      </c>
      <c r="AA25" s="16">
        <f t="shared" si="17"/>
        <v>3</v>
      </c>
      <c r="AB25" s="16">
        <f t="shared" si="17"/>
        <v>6</v>
      </c>
      <c r="AC25" s="16">
        <f t="shared" si="17"/>
        <v>876</v>
      </c>
      <c r="AD25" s="16">
        <f t="shared" si="17"/>
        <v>0</v>
      </c>
      <c r="AE25" s="32">
        <f t="shared" si="17"/>
        <v>902</v>
      </c>
      <c r="AF25" s="32">
        <f t="shared" si="17"/>
        <v>1778</v>
      </c>
    </row>
    <row r="26" spans="2:32" ht="23.1" customHeight="1" x14ac:dyDescent="0.25">
      <c r="B26" s="23" t="s">
        <v>53</v>
      </c>
      <c r="C26" s="50">
        <v>45</v>
      </c>
      <c r="D26" s="50">
        <v>15</v>
      </c>
      <c r="E26" s="50">
        <v>13</v>
      </c>
      <c r="F26" s="50">
        <v>23</v>
      </c>
      <c r="G26" s="50">
        <v>0</v>
      </c>
      <c r="H26" s="50">
        <v>0</v>
      </c>
      <c r="I26" s="50">
        <v>10</v>
      </c>
      <c r="J26" s="50">
        <v>3</v>
      </c>
      <c r="K26" s="50">
        <v>0</v>
      </c>
      <c r="L26" s="50">
        <v>5</v>
      </c>
      <c r="M26" s="50">
        <v>95</v>
      </c>
      <c r="N26" s="50">
        <v>0</v>
      </c>
      <c r="O26" s="15">
        <f t="shared" si="0"/>
        <v>114</v>
      </c>
      <c r="P26" s="15">
        <f t="shared" si="1"/>
        <v>209</v>
      </c>
      <c r="R26" s="28" t="s">
        <v>86</v>
      </c>
      <c r="S26" s="16">
        <f t="shared" ref="S26:AF26" si="18">SUM(S13:S18)</f>
        <v>813</v>
      </c>
      <c r="T26" s="16">
        <f t="shared" si="18"/>
        <v>377</v>
      </c>
      <c r="U26" s="16">
        <f t="shared" si="18"/>
        <v>200</v>
      </c>
      <c r="V26" s="16">
        <f t="shared" si="18"/>
        <v>423</v>
      </c>
      <c r="W26" s="16">
        <f t="shared" si="18"/>
        <v>11</v>
      </c>
      <c r="X26" s="16">
        <f t="shared" si="18"/>
        <v>0</v>
      </c>
      <c r="Y26" s="16">
        <f t="shared" si="18"/>
        <v>105</v>
      </c>
      <c r="Z26" s="16">
        <f t="shared" si="18"/>
        <v>61</v>
      </c>
      <c r="AA26" s="16">
        <f t="shared" si="18"/>
        <v>10</v>
      </c>
      <c r="AB26" s="16">
        <f t="shared" si="18"/>
        <v>74</v>
      </c>
      <c r="AC26" s="16">
        <f t="shared" si="18"/>
        <v>1757</v>
      </c>
      <c r="AD26" s="16">
        <f t="shared" si="18"/>
        <v>0</v>
      </c>
      <c r="AE26" s="32">
        <f t="shared" si="18"/>
        <v>2074</v>
      </c>
      <c r="AF26" s="32">
        <f t="shared" si="18"/>
        <v>3831</v>
      </c>
    </row>
    <row r="27" spans="2:32" ht="23.1" customHeight="1" x14ac:dyDescent="0.25">
      <c r="B27" s="23" t="s">
        <v>54</v>
      </c>
      <c r="C27" s="50">
        <v>60</v>
      </c>
      <c r="D27" s="50">
        <v>14</v>
      </c>
      <c r="E27" s="50">
        <v>13</v>
      </c>
      <c r="F27" s="50">
        <v>16</v>
      </c>
      <c r="G27" s="50">
        <v>0</v>
      </c>
      <c r="H27" s="50">
        <v>0</v>
      </c>
      <c r="I27" s="50">
        <v>3</v>
      </c>
      <c r="J27" s="50">
        <v>2</v>
      </c>
      <c r="K27" s="50">
        <v>0</v>
      </c>
      <c r="L27" s="50">
        <v>7</v>
      </c>
      <c r="M27" s="50">
        <v>77</v>
      </c>
      <c r="N27" s="50">
        <v>0</v>
      </c>
      <c r="O27" s="15">
        <f t="shared" si="0"/>
        <v>115</v>
      </c>
      <c r="P27" s="15">
        <f t="shared" si="1"/>
        <v>192</v>
      </c>
      <c r="R27" s="29" t="s">
        <v>87</v>
      </c>
      <c r="S27" s="16">
        <f t="shared" ref="S27:AF27" si="19">SUM(S19:S21)</f>
        <v>834</v>
      </c>
      <c r="T27" s="16">
        <f t="shared" si="19"/>
        <v>415</v>
      </c>
      <c r="U27" s="16">
        <f t="shared" si="19"/>
        <v>113</v>
      </c>
      <c r="V27" s="16">
        <f t="shared" si="19"/>
        <v>165</v>
      </c>
      <c r="W27" s="16">
        <f t="shared" si="19"/>
        <v>7</v>
      </c>
      <c r="X27" s="16">
        <f t="shared" si="19"/>
        <v>0</v>
      </c>
      <c r="Y27" s="16">
        <f t="shared" si="19"/>
        <v>45</v>
      </c>
      <c r="Z27" s="16">
        <f t="shared" si="19"/>
        <v>26</v>
      </c>
      <c r="AA27" s="16">
        <f t="shared" si="19"/>
        <v>7</v>
      </c>
      <c r="AB27" s="16">
        <f t="shared" si="19"/>
        <v>26</v>
      </c>
      <c r="AC27" s="16">
        <f t="shared" si="19"/>
        <v>1217</v>
      </c>
      <c r="AD27" s="16">
        <f t="shared" si="19"/>
        <v>0</v>
      </c>
      <c r="AE27" s="32">
        <f t="shared" si="19"/>
        <v>1638</v>
      </c>
      <c r="AF27" s="32">
        <f t="shared" si="19"/>
        <v>2855</v>
      </c>
    </row>
    <row r="28" spans="2:32" ht="23.1" customHeight="1" x14ac:dyDescent="0.25">
      <c r="B28" s="23" t="s">
        <v>55</v>
      </c>
      <c r="C28" s="50">
        <v>23</v>
      </c>
      <c r="D28" s="50">
        <v>16</v>
      </c>
      <c r="E28" s="50">
        <v>12</v>
      </c>
      <c r="F28" s="50">
        <v>29</v>
      </c>
      <c r="G28" s="50">
        <v>0</v>
      </c>
      <c r="H28" s="50">
        <v>0</v>
      </c>
      <c r="I28" s="50">
        <v>6</v>
      </c>
      <c r="J28" s="50">
        <v>2</v>
      </c>
      <c r="K28" s="50">
        <v>1</v>
      </c>
      <c r="L28" s="50">
        <v>3</v>
      </c>
      <c r="M28" s="50">
        <v>71</v>
      </c>
      <c r="N28" s="50">
        <v>0</v>
      </c>
      <c r="O28" s="15">
        <f t="shared" si="0"/>
        <v>92</v>
      </c>
      <c r="P28" s="15">
        <f t="shared" si="1"/>
        <v>163</v>
      </c>
      <c r="R28" s="5" t="s">
        <v>17</v>
      </c>
      <c r="S28" s="16">
        <f t="shared" ref="S28:AF28" si="20">SUM(S10:S21)</f>
        <v>1989</v>
      </c>
      <c r="T28" s="16">
        <f t="shared" si="20"/>
        <v>946</v>
      </c>
      <c r="U28" s="16">
        <f t="shared" si="20"/>
        <v>384</v>
      </c>
      <c r="V28" s="16">
        <f t="shared" si="20"/>
        <v>858</v>
      </c>
      <c r="W28" s="16">
        <f t="shared" si="20"/>
        <v>24</v>
      </c>
      <c r="X28" s="16">
        <f t="shared" si="20"/>
        <v>0</v>
      </c>
      <c r="Y28" s="16">
        <f t="shared" si="20"/>
        <v>186</v>
      </c>
      <c r="Z28" s="16">
        <f t="shared" si="20"/>
        <v>101</v>
      </c>
      <c r="AA28" s="16">
        <f t="shared" si="20"/>
        <v>20</v>
      </c>
      <c r="AB28" s="16">
        <f t="shared" si="20"/>
        <v>106</v>
      </c>
      <c r="AC28" s="16">
        <f t="shared" si="20"/>
        <v>3850</v>
      </c>
      <c r="AD28" s="16">
        <f t="shared" si="20"/>
        <v>0</v>
      </c>
      <c r="AE28" s="32">
        <f t="shared" si="20"/>
        <v>4614</v>
      </c>
      <c r="AF28" s="32">
        <f t="shared" si="20"/>
        <v>8464</v>
      </c>
    </row>
    <row r="29" spans="2:32" ht="23.1" customHeight="1" x14ac:dyDescent="0.25">
      <c r="B29" s="23" t="s">
        <v>56</v>
      </c>
      <c r="C29" s="50">
        <v>15</v>
      </c>
      <c r="D29" s="50">
        <v>15</v>
      </c>
      <c r="E29" s="50">
        <v>7</v>
      </c>
      <c r="F29" s="50">
        <v>9</v>
      </c>
      <c r="G29" s="50">
        <v>0</v>
      </c>
      <c r="H29" s="50">
        <v>0</v>
      </c>
      <c r="I29" s="50">
        <v>7</v>
      </c>
      <c r="J29" s="50">
        <v>1</v>
      </c>
      <c r="K29" s="50">
        <v>1</v>
      </c>
      <c r="L29" s="50">
        <v>3</v>
      </c>
      <c r="M29" s="50">
        <v>45</v>
      </c>
      <c r="N29" s="50">
        <v>0</v>
      </c>
      <c r="O29" s="15">
        <f t="shared" si="0"/>
        <v>58</v>
      </c>
      <c r="P29" s="15">
        <f t="shared" si="1"/>
        <v>103</v>
      </c>
      <c r="R29"/>
      <c r="S29" s="20"/>
      <c r="T29" s="19"/>
    </row>
    <row r="30" spans="2:32" ht="23.1" customHeight="1" x14ac:dyDescent="0.25">
      <c r="B30" s="23" t="s">
        <v>57</v>
      </c>
      <c r="C30" s="50">
        <v>40</v>
      </c>
      <c r="D30" s="50">
        <v>16</v>
      </c>
      <c r="E30" s="50">
        <v>12</v>
      </c>
      <c r="F30" s="50">
        <v>21</v>
      </c>
      <c r="G30" s="50">
        <v>0</v>
      </c>
      <c r="H30" s="50">
        <v>0</v>
      </c>
      <c r="I30" s="50">
        <v>6</v>
      </c>
      <c r="J30" s="50">
        <v>6</v>
      </c>
      <c r="K30" s="50">
        <v>0</v>
      </c>
      <c r="L30" s="50">
        <v>7</v>
      </c>
      <c r="M30" s="50">
        <v>80</v>
      </c>
      <c r="N30" s="50">
        <v>0</v>
      </c>
      <c r="O30" s="15">
        <f t="shared" si="0"/>
        <v>108</v>
      </c>
      <c r="P30" s="15">
        <f t="shared" si="1"/>
        <v>188</v>
      </c>
    </row>
    <row r="31" spans="2:32" ht="23.1" customHeight="1" x14ac:dyDescent="0.25">
      <c r="B31" s="24" t="s">
        <v>58</v>
      </c>
      <c r="C31" s="50">
        <v>27</v>
      </c>
      <c r="D31" s="50">
        <v>10</v>
      </c>
      <c r="E31" s="50">
        <v>11</v>
      </c>
      <c r="F31" s="50">
        <v>24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1</v>
      </c>
      <c r="M31" s="50">
        <v>70</v>
      </c>
      <c r="N31" s="50">
        <v>0</v>
      </c>
      <c r="O31" s="15">
        <f t="shared" si="0"/>
        <v>75</v>
      </c>
      <c r="P31" s="15">
        <f t="shared" si="1"/>
        <v>145</v>
      </c>
    </row>
    <row r="32" spans="2:32" ht="23.1" customHeight="1" x14ac:dyDescent="0.25">
      <c r="B32" s="24" t="s">
        <v>59</v>
      </c>
      <c r="C32" s="50">
        <v>38</v>
      </c>
      <c r="D32" s="50">
        <v>24</v>
      </c>
      <c r="E32" s="50">
        <v>8</v>
      </c>
      <c r="F32" s="50">
        <v>17</v>
      </c>
      <c r="G32" s="50">
        <v>0</v>
      </c>
      <c r="H32" s="50">
        <v>0</v>
      </c>
      <c r="I32" s="50">
        <v>4</v>
      </c>
      <c r="J32" s="50">
        <v>4</v>
      </c>
      <c r="K32" s="50">
        <v>1</v>
      </c>
      <c r="L32" s="50">
        <v>5</v>
      </c>
      <c r="M32" s="50">
        <v>72</v>
      </c>
      <c r="N32" s="50">
        <v>0</v>
      </c>
      <c r="O32" s="15">
        <f t="shared" si="0"/>
        <v>101</v>
      </c>
      <c r="P32" s="15">
        <f t="shared" si="1"/>
        <v>173</v>
      </c>
    </row>
    <row r="33" spans="2:20" ht="23.1" customHeight="1" x14ac:dyDescent="0.25">
      <c r="B33" s="23" t="s">
        <v>60</v>
      </c>
      <c r="C33" s="50">
        <v>39</v>
      </c>
      <c r="D33" s="50">
        <v>22</v>
      </c>
      <c r="E33" s="50">
        <v>10</v>
      </c>
      <c r="F33" s="50">
        <v>18</v>
      </c>
      <c r="G33" s="50">
        <v>0</v>
      </c>
      <c r="H33" s="50">
        <v>0</v>
      </c>
      <c r="I33" s="50">
        <v>6</v>
      </c>
      <c r="J33" s="50">
        <v>3</v>
      </c>
      <c r="K33" s="50">
        <v>1</v>
      </c>
      <c r="L33" s="50">
        <v>3</v>
      </c>
      <c r="M33" s="50">
        <v>81</v>
      </c>
      <c r="N33" s="50">
        <v>0</v>
      </c>
      <c r="O33" s="15">
        <f t="shared" si="0"/>
        <v>102</v>
      </c>
      <c r="P33" s="15">
        <f t="shared" si="1"/>
        <v>183</v>
      </c>
    </row>
    <row r="34" spans="2:20" ht="23.1" customHeight="1" x14ac:dyDescent="0.25">
      <c r="B34" s="24" t="s">
        <v>61</v>
      </c>
      <c r="C34" s="50">
        <v>39</v>
      </c>
      <c r="D34" s="50">
        <v>17</v>
      </c>
      <c r="E34" s="50">
        <v>3</v>
      </c>
      <c r="F34" s="50">
        <v>20</v>
      </c>
      <c r="G34" s="50">
        <v>1</v>
      </c>
      <c r="H34" s="50">
        <v>0</v>
      </c>
      <c r="I34" s="50">
        <v>9</v>
      </c>
      <c r="J34" s="50">
        <v>7</v>
      </c>
      <c r="K34" s="50">
        <v>2</v>
      </c>
      <c r="L34" s="50">
        <v>2</v>
      </c>
      <c r="M34" s="50">
        <v>88</v>
      </c>
      <c r="N34" s="50">
        <v>0</v>
      </c>
      <c r="O34" s="15">
        <f t="shared" si="0"/>
        <v>100</v>
      </c>
      <c r="P34" s="15">
        <f t="shared" si="1"/>
        <v>188</v>
      </c>
    </row>
    <row r="35" spans="2:20" ht="23.1" customHeight="1" x14ac:dyDescent="0.25">
      <c r="B35" s="24" t="s">
        <v>62</v>
      </c>
      <c r="C35" s="50">
        <v>31</v>
      </c>
      <c r="D35" s="50">
        <v>15</v>
      </c>
      <c r="E35" s="50">
        <v>6</v>
      </c>
      <c r="F35" s="50">
        <v>16</v>
      </c>
      <c r="G35" s="50">
        <v>0</v>
      </c>
      <c r="H35" s="50">
        <v>0</v>
      </c>
      <c r="I35" s="50">
        <v>1</v>
      </c>
      <c r="J35" s="50">
        <v>4</v>
      </c>
      <c r="K35" s="50">
        <v>2</v>
      </c>
      <c r="L35" s="50">
        <v>3</v>
      </c>
      <c r="M35" s="50">
        <v>100</v>
      </c>
      <c r="N35" s="50">
        <v>0</v>
      </c>
      <c r="O35" s="15">
        <f t="shared" si="0"/>
        <v>78</v>
      </c>
      <c r="P35" s="15">
        <f t="shared" si="1"/>
        <v>178</v>
      </c>
    </row>
    <row r="36" spans="2:20" ht="23.1" customHeight="1" x14ac:dyDescent="0.25">
      <c r="B36" s="24" t="s">
        <v>63</v>
      </c>
      <c r="C36" s="50">
        <v>28</v>
      </c>
      <c r="D36" s="50">
        <v>11</v>
      </c>
      <c r="E36" s="50">
        <v>6</v>
      </c>
      <c r="F36" s="50">
        <v>7</v>
      </c>
      <c r="G36" s="50">
        <v>0</v>
      </c>
      <c r="H36" s="50">
        <v>0</v>
      </c>
      <c r="I36" s="50">
        <v>5</v>
      </c>
      <c r="J36" s="50">
        <v>2</v>
      </c>
      <c r="K36" s="50">
        <v>0</v>
      </c>
      <c r="L36" s="50">
        <v>3</v>
      </c>
      <c r="M36" s="50">
        <v>45</v>
      </c>
      <c r="N36" s="50">
        <v>0</v>
      </c>
      <c r="O36" s="15">
        <f t="shared" si="0"/>
        <v>62</v>
      </c>
      <c r="P36" s="15">
        <f t="shared" si="1"/>
        <v>107</v>
      </c>
    </row>
    <row r="37" spans="2:20" ht="23.1" customHeight="1" x14ac:dyDescent="0.25">
      <c r="B37" s="23" t="s">
        <v>64</v>
      </c>
      <c r="C37" s="50">
        <v>40</v>
      </c>
      <c r="D37" s="50">
        <v>8</v>
      </c>
      <c r="E37" s="50">
        <v>11</v>
      </c>
      <c r="F37" s="50">
        <v>15</v>
      </c>
      <c r="G37" s="50">
        <v>0</v>
      </c>
      <c r="H37" s="50">
        <v>0</v>
      </c>
      <c r="I37" s="50">
        <v>3</v>
      </c>
      <c r="J37" s="50">
        <v>4</v>
      </c>
      <c r="K37" s="50">
        <v>0</v>
      </c>
      <c r="L37" s="50">
        <v>0</v>
      </c>
      <c r="M37" s="50">
        <v>87</v>
      </c>
      <c r="N37" s="50">
        <v>0</v>
      </c>
      <c r="O37" s="15">
        <f t="shared" si="0"/>
        <v>81</v>
      </c>
      <c r="P37" s="15">
        <f t="shared" si="1"/>
        <v>168</v>
      </c>
    </row>
    <row r="38" spans="2:20" ht="23.1" customHeight="1" x14ac:dyDescent="0.25">
      <c r="B38" s="24" t="s">
        <v>65</v>
      </c>
      <c r="C38" s="50">
        <v>40</v>
      </c>
      <c r="D38" s="50">
        <v>17</v>
      </c>
      <c r="E38" s="50">
        <v>5</v>
      </c>
      <c r="F38" s="50">
        <v>15</v>
      </c>
      <c r="G38" s="50">
        <v>0</v>
      </c>
      <c r="H38" s="50">
        <v>0</v>
      </c>
      <c r="I38" s="50">
        <v>4</v>
      </c>
      <c r="J38" s="50">
        <v>3</v>
      </c>
      <c r="K38" s="50">
        <v>0</v>
      </c>
      <c r="L38" s="50">
        <v>1</v>
      </c>
      <c r="M38" s="50">
        <v>78</v>
      </c>
      <c r="N38" s="50">
        <v>0</v>
      </c>
      <c r="O38" s="15">
        <f t="shared" si="0"/>
        <v>85</v>
      </c>
      <c r="P38" s="15">
        <f t="shared" si="1"/>
        <v>163</v>
      </c>
    </row>
    <row r="39" spans="2:20" ht="23.1" customHeight="1" x14ac:dyDescent="0.25">
      <c r="B39" s="24" t="s">
        <v>66</v>
      </c>
      <c r="C39" s="50">
        <v>34</v>
      </c>
      <c r="D39" s="50">
        <v>13</v>
      </c>
      <c r="E39" s="50">
        <v>7</v>
      </c>
      <c r="F39" s="50">
        <v>11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2</v>
      </c>
      <c r="M39" s="50">
        <v>80</v>
      </c>
      <c r="N39" s="50">
        <v>0</v>
      </c>
      <c r="O39" s="15">
        <f t="shared" si="0"/>
        <v>71</v>
      </c>
      <c r="P39" s="15">
        <f t="shared" si="1"/>
        <v>151</v>
      </c>
    </row>
    <row r="40" spans="2:20" ht="23.1" customHeight="1" x14ac:dyDescent="0.25">
      <c r="B40" s="24" t="s">
        <v>67</v>
      </c>
      <c r="C40" s="50">
        <v>39</v>
      </c>
      <c r="D40" s="50">
        <v>24</v>
      </c>
      <c r="E40" s="50">
        <v>2</v>
      </c>
      <c r="F40" s="50">
        <v>16</v>
      </c>
      <c r="G40" s="50">
        <v>4</v>
      </c>
      <c r="H40" s="50">
        <v>0</v>
      </c>
      <c r="I40" s="50">
        <v>7</v>
      </c>
      <c r="J40" s="50">
        <v>2</v>
      </c>
      <c r="K40" s="50">
        <v>0</v>
      </c>
      <c r="L40" s="50">
        <v>2</v>
      </c>
      <c r="M40" s="50">
        <v>91</v>
      </c>
      <c r="N40" s="50">
        <v>0</v>
      </c>
      <c r="O40" s="15">
        <f t="shared" si="0"/>
        <v>96</v>
      </c>
      <c r="P40" s="15">
        <f t="shared" si="1"/>
        <v>187</v>
      </c>
    </row>
    <row r="41" spans="2:20" ht="23.1" customHeight="1" x14ac:dyDescent="0.25">
      <c r="B41" s="23" t="s">
        <v>68</v>
      </c>
      <c r="C41" s="50">
        <v>25</v>
      </c>
      <c r="D41" s="50">
        <v>17</v>
      </c>
      <c r="E41" s="50">
        <v>4</v>
      </c>
      <c r="F41" s="50">
        <v>14</v>
      </c>
      <c r="G41" s="50">
        <v>0</v>
      </c>
      <c r="H41" s="50">
        <v>0</v>
      </c>
      <c r="I41" s="50">
        <v>4</v>
      </c>
      <c r="J41" s="50">
        <v>3</v>
      </c>
      <c r="K41" s="50">
        <v>0</v>
      </c>
      <c r="L41" s="50">
        <v>2</v>
      </c>
      <c r="M41" s="50">
        <v>65</v>
      </c>
      <c r="N41" s="50">
        <v>0</v>
      </c>
      <c r="O41" s="15">
        <f t="shared" si="0"/>
        <v>69</v>
      </c>
      <c r="P41" s="15">
        <f t="shared" si="1"/>
        <v>134</v>
      </c>
    </row>
    <row r="42" spans="2:20" ht="23.1" customHeight="1" x14ac:dyDescent="0.25">
      <c r="B42" s="24" t="s">
        <v>69</v>
      </c>
      <c r="C42" s="50">
        <v>27</v>
      </c>
      <c r="D42" s="50">
        <v>15</v>
      </c>
      <c r="E42" s="50">
        <v>10</v>
      </c>
      <c r="F42" s="50">
        <v>26</v>
      </c>
      <c r="G42" s="50">
        <v>0</v>
      </c>
      <c r="H42" s="50">
        <v>0</v>
      </c>
      <c r="I42" s="50">
        <v>3</v>
      </c>
      <c r="J42" s="50">
        <v>3</v>
      </c>
      <c r="K42" s="50">
        <v>1</v>
      </c>
      <c r="L42" s="50">
        <v>3</v>
      </c>
      <c r="M42" s="50">
        <v>77</v>
      </c>
      <c r="N42" s="50">
        <v>0</v>
      </c>
      <c r="O42" s="15">
        <f t="shared" si="0"/>
        <v>88</v>
      </c>
      <c r="P42" s="15">
        <f t="shared" si="1"/>
        <v>165</v>
      </c>
    </row>
    <row r="43" spans="2:20" ht="23.1" customHeight="1" x14ac:dyDescent="0.25">
      <c r="B43" s="23" t="s">
        <v>70</v>
      </c>
      <c r="C43" s="50">
        <v>25</v>
      </c>
      <c r="D43" s="50">
        <v>11</v>
      </c>
      <c r="E43" s="50">
        <v>6</v>
      </c>
      <c r="F43" s="50">
        <v>7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3</v>
      </c>
      <c r="M43" s="50">
        <v>40</v>
      </c>
      <c r="N43" s="50">
        <v>0</v>
      </c>
      <c r="O43" s="15">
        <f t="shared" si="0"/>
        <v>53</v>
      </c>
      <c r="P43" s="15">
        <f t="shared" si="1"/>
        <v>93</v>
      </c>
    </row>
    <row r="44" spans="2:20" ht="23.1" customHeight="1" x14ac:dyDescent="0.25">
      <c r="B44" s="25" t="s">
        <v>71</v>
      </c>
      <c r="C44" s="50">
        <v>41</v>
      </c>
      <c r="D44" s="50">
        <v>19</v>
      </c>
      <c r="E44" s="50">
        <v>6</v>
      </c>
      <c r="F44" s="50">
        <v>18</v>
      </c>
      <c r="G44" s="50">
        <v>2</v>
      </c>
      <c r="H44" s="50">
        <v>0</v>
      </c>
      <c r="I44" s="50">
        <v>2</v>
      </c>
      <c r="J44" s="50">
        <v>1</v>
      </c>
      <c r="K44" s="50">
        <v>0</v>
      </c>
      <c r="L44" s="50">
        <v>3</v>
      </c>
      <c r="M44" s="50">
        <v>70</v>
      </c>
      <c r="N44" s="50">
        <v>0</v>
      </c>
      <c r="O44" s="15">
        <f t="shared" si="0"/>
        <v>92</v>
      </c>
      <c r="P44" s="15">
        <f t="shared" si="1"/>
        <v>162</v>
      </c>
    </row>
    <row r="45" spans="2:20" ht="23.1" customHeight="1" x14ac:dyDescent="0.25">
      <c r="B45" s="23" t="s">
        <v>72</v>
      </c>
      <c r="C45" s="50">
        <v>26</v>
      </c>
      <c r="D45" s="50">
        <v>20</v>
      </c>
      <c r="E45" s="50">
        <v>10</v>
      </c>
      <c r="F45" s="50">
        <v>9</v>
      </c>
      <c r="G45" s="50">
        <v>1</v>
      </c>
      <c r="H45" s="50">
        <v>0</v>
      </c>
      <c r="I45" s="50">
        <v>2</v>
      </c>
      <c r="J45" s="50">
        <v>3</v>
      </c>
      <c r="K45" s="50">
        <v>0</v>
      </c>
      <c r="L45" s="50">
        <v>5</v>
      </c>
      <c r="M45" s="50">
        <v>46</v>
      </c>
      <c r="N45" s="50">
        <v>0</v>
      </c>
      <c r="O45" s="15">
        <f t="shared" si="0"/>
        <v>76</v>
      </c>
      <c r="P45" s="15">
        <f t="shared" si="1"/>
        <v>122</v>
      </c>
    </row>
    <row r="46" spans="2:20" ht="23.1" customHeight="1" x14ac:dyDescent="0.25">
      <c r="B46" s="24" t="s">
        <v>73</v>
      </c>
      <c r="C46" s="50">
        <v>45</v>
      </c>
      <c r="D46" s="50">
        <v>28</v>
      </c>
      <c r="E46" s="50">
        <v>10</v>
      </c>
      <c r="F46" s="50">
        <v>11</v>
      </c>
      <c r="G46" s="50">
        <v>1</v>
      </c>
      <c r="H46" s="50">
        <v>0</v>
      </c>
      <c r="I46" s="50">
        <v>7</v>
      </c>
      <c r="J46" s="50">
        <v>3</v>
      </c>
      <c r="K46" s="50">
        <v>1</v>
      </c>
      <c r="L46" s="50">
        <v>2</v>
      </c>
      <c r="M46" s="50">
        <v>93</v>
      </c>
      <c r="N46" s="50">
        <v>0</v>
      </c>
      <c r="O46" s="15">
        <f t="shared" si="0"/>
        <v>108</v>
      </c>
      <c r="P46" s="15">
        <f t="shared" si="1"/>
        <v>201</v>
      </c>
      <c r="R46" s="8"/>
      <c r="T46"/>
    </row>
    <row r="47" spans="2:20" ht="23.1" customHeight="1" x14ac:dyDescent="0.25">
      <c r="B47" s="24" t="s">
        <v>74</v>
      </c>
      <c r="C47" s="50">
        <v>59</v>
      </c>
      <c r="D47" s="50">
        <v>33</v>
      </c>
      <c r="E47" s="50">
        <v>5</v>
      </c>
      <c r="F47" s="50">
        <v>16</v>
      </c>
      <c r="G47" s="50">
        <v>1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75</v>
      </c>
      <c r="N47" s="50">
        <v>0</v>
      </c>
      <c r="O47" s="15">
        <f t="shared" si="0"/>
        <v>121</v>
      </c>
      <c r="P47" s="15">
        <f t="shared" si="1"/>
        <v>196</v>
      </c>
      <c r="R47" s="8"/>
      <c r="T47"/>
    </row>
    <row r="48" spans="2:20" ht="23.1" customHeight="1" x14ac:dyDescent="0.25">
      <c r="B48" s="24" t="s">
        <v>75</v>
      </c>
      <c r="C48" s="50">
        <v>55</v>
      </c>
      <c r="D48" s="50">
        <v>33</v>
      </c>
      <c r="E48" s="50">
        <v>5</v>
      </c>
      <c r="F48" s="50">
        <v>13</v>
      </c>
      <c r="G48" s="50">
        <v>0</v>
      </c>
      <c r="H48" s="50">
        <v>0</v>
      </c>
      <c r="I48" s="50">
        <v>5</v>
      </c>
      <c r="J48" s="50">
        <v>2</v>
      </c>
      <c r="K48" s="50">
        <v>3</v>
      </c>
      <c r="L48" s="50">
        <v>4</v>
      </c>
      <c r="M48" s="50">
        <v>81</v>
      </c>
      <c r="N48" s="50">
        <v>0</v>
      </c>
      <c r="O48" s="15">
        <f t="shared" si="0"/>
        <v>120</v>
      </c>
      <c r="P48" s="15">
        <f t="shared" si="1"/>
        <v>201</v>
      </c>
      <c r="R48" s="8"/>
      <c r="T48"/>
    </row>
    <row r="49" spans="2:20" ht="23.1" customHeight="1" x14ac:dyDescent="0.25">
      <c r="B49" s="23" t="s">
        <v>76</v>
      </c>
      <c r="C49" s="50">
        <v>63</v>
      </c>
      <c r="D49" s="50">
        <v>43</v>
      </c>
      <c r="E49" s="50">
        <v>13</v>
      </c>
      <c r="F49" s="50">
        <v>10</v>
      </c>
      <c r="G49" s="50">
        <v>0</v>
      </c>
      <c r="H49" s="50">
        <v>0</v>
      </c>
      <c r="I49" s="50">
        <v>9</v>
      </c>
      <c r="J49" s="50">
        <v>3</v>
      </c>
      <c r="K49" s="50">
        <v>1</v>
      </c>
      <c r="L49" s="50">
        <v>1</v>
      </c>
      <c r="M49" s="50">
        <v>110</v>
      </c>
      <c r="N49" s="50">
        <v>0</v>
      </c>
      <c r="O49" s="15">
        <f t="shared" si="0"/>
        <v>143</v>
      </c>
      <c r="P49" s="15">
        <f t="shared" si="1"/>
        <v>253</v>
      </c>
      <c r="R49" s="8"/>
      <c r="T49"/>
    </row>
    <row r="50" spans="2:20" ht="23.1" customHeight="1" x14ac:dyDescent="0.25">
      <c r="B50" s="24" t="s">
        <v>77</v>
      </c>
      <c r="C50" s="50">
        <v>98</v>
      </c>
      <c r="D50" s="50">
        <v>33</v>
      </c>
      <c r="E50" s="50">
        <v>7</v>
      </c>
      <c r="F50" s="50">
        <v>14</v>
      </c>
      <c r="G50" s="50">
        <v>2</v>
      </c>
      <c r="H50" s="50">
        <v>0</v>
      </c>
      <c r="I50" s="50">
        <v>3</v>
      </c>
      <c r="J50" s="50">
        <v>3</v>
      </c>
      <c r="K50" s="50">
        <v>0</v>
      </c>
      <c r="L50" s="50">
        <v>4</v>
      </c>
      <c r="M50" s="50">
        <v>135</v>
      </c>
      <c r="N50" s="50">
        <v>0</v>
      </c>
      <c r="O50" s="15">
        <f t="shared" si="0"/>
        <v>164</v>
      </c>
      <c r="P50" s="15">
        <f t="shared" si="1"/>
        <v>299</v>
      </c>
      <c r="R50" s="8"/>
      <c r="T50"/>
    </row>
    <row r="51" spans="2:20" ht="23.1" customHeight="1" x14ac:dyDescent="0.25">
      <c r="B51" s="24" t="s">
        <v>78</v>
      </c>
      <c r="C51" s="50">
        <v>111</v>
      </c>
      <c r="D51" s="50">
        <v>42</v>
      </c>
      <c r="E51" s="50">
        <v>10</v>
      </c>
      <c r="F51" s="50">
        <v>14</v>
      </c>
      <c r="G51" s="50">
        <v>0</v>
      </c>
      <c r="H51" s="50">
        <v>0</v>
      </c>
      <c r="I51" s="50">
        <v>4</v>
      </c>
      <c r="J51" s="50">
        <v>2</v>
      </c>
      <c r="K51" s="50">
        <v>0</v>
      </c>
      <c r="L51" s="50">
        <v>4</v>
      </c>
      <c r="M51" s="50">
        <v>127</v>
      </c>
      <c r="N51" s="50">
        <v>0</v>
      </c>
      <c r="O51" s="15">
        <f t="shared" si="0"/>
        <v>187</v>
      </c>
      <c r="P51" s="15">
        <f t="shared" si="1"/>
        <v>314</v>
      </c>
      <c r="R51" s="8"/>
      <c r="T51"/>
    </row>
    <row r="52" spans="2:20" ht="23.1" customHeight="1" x14ac:dyDescent="0.25">
      <c r="B52" s="24" t="s">
        <v>79</v>
      </c>
      <c r="C52" s="50">
        <v>51</v>
      </c>
      <c r="D52" s="50">
        <v>25</v>
      </c>
      <c r="E52" s="50">
        <v>6</v>
      </c>
      <c r="F52" s="50">
        <v>8</v>
      </c>
      <c r="G52" s="50">
        <v>0</v>
      </c>
      <c r="H52" s="50">
        <v>0</v>
      </c>
      <c r="I52" s="50">
        <v>0</v>
      </c>
      <c r="J52" s="50">
        <v>3</v>
      </c>
      <c r="K52" s="50">
        <v>0</v>
      </c>
      <c r="L52" s="50">
        <v>1</v>
      </c>
      <c r="M52" s="50">
        <v>150</v>
      </c>
      <c r="N52" s="50">
        <v>0</v>
      </c>
      <c r="O52" s="15">
        <f t="shared" si="0"/>
        <v>94</v>
      </c>
      <c r="P52" s="15">
        <f t="shared" si="1"/>
        <v>244</v>
      </c>
      <c r="R52" s="8"/>
      <c r="T52"/>
    </row>
    <row r="53" spans="2:20" ht="23.1" customHeight="1" x14ac:dyDescent="0.25">
      <c r="B53" s="23" t="s">
        <v>80</v>
      </c>
      <c r="C53" s="50">
        <v>78</v>
      </c>
      <c r="D53" s="50">
        <v>33</v>
      </c>
      <c r="E53" s="50">
        <v>17</v>
      </c>
      <c r="F53" s="50">
        <v>12</v>
      </c>
      <c r="G53" s="50">
        <v>2</v>
      </c>
      <c r="H53" s="50">
        <v>0</v>
      </c>
      <c r="I53" s="50">
        <v>1</v>
      </c>
      <c r="J53" s="50">
        <v>1</v>
      </c>
      <c r="K53" s="50">
        <v>1</v>
      </c>
      <c r="L53" s="50">
        <v>1</v>
      </c>
      <c r="M53" s="50">
        <v>115</v>
      </c>
      <c r="N53" s="50">
        <v>0</v>
      </c>
      <c r="O53" s="15">
        <f t="shared" si="0"/>
        <v>146</v>
      </c>
      <c r="P53" s="15">
        <f t="shared" si="1"/>
        <v>261</v>
      </c>
      <c r="R53" s="8"/>
      <c r="T53"/>
    </row>
    <row r="54" spans="2:20" ht="23.1" customHeight="1" x14ac:dyDescent="0.25">
      <c r="B54" s="23" t="s">
        <v>81</v>
      </c>
      <c r="C54" s="50">
        <v>90</v>
      </c>
      <c r="D54" s="50">
        <v>45</v>
      </c>
      <c r="E54" s="50">
        <v>13</v>
      </c>
      <c r="F54" s="50">
        <v>18</v>
      </c>
      <c r="G54" s="50">
        <v>0</v>
      </c>
      <c r="H54" s="50">
        <v>0</v>
      </c>
      <c r="I54" s="50">
        <v>3</v>
      </c>
      <c r="J54" s="50">
        <v>1</v>
      </c>
      <c r="K54" s="50">
        <v>1</v>
      </c>
      <c r="L54" s="50">
        <v>2</v>
      </c>
      <c r="M54" s="50">
        <v>121</v>
      </c>
      <c r="N54" s="50">
        <v>0</v>
      </c>
      <c r="O54" s="15">
        <f t="shared" si="0"/>
        <v>173</v>
      </c>
      <c r="P54" s="15">
        <f t="shared" si="1"/>
        <v>294</v>
      </c>
      <c r="R54" s="8"/>
      <c r="T54"/>
    </row>
    <row r="55" spans="2:20" ht="23.1" customHeight="1" x14ac:dyDescent="0.25">
      <c r="B55" s="23" t="s">
        <v>82</v>
      </c>
      <c r="C55" s="50">
        <v>56</v>
      </c>
      <c r="D55" s="50">
        <v>35</v>
      </c>
      <c r="E55" s="50">
        <v>11</v>
      </c>
      <c r="F55" s="50">
        <v>19</v>
      </c>
      <c r="G55" s="50">
        <v>0</v>
      </c>
      <c r="H55" s="50">
        <v>0</v>
      </c>
      <c r="I55" s="50">
        <v>4</v>
      </c>
      <c r="J55" s="50">
        <v>4</v>
      </c>
      <c r="K55" s="50">
        <v>0</v>
      </c>
      <c r="L55" s="50">
        <v>2</v>
      </c>
      <c r="M55" s="50">
        <v>85</v>
      </c>
      <c r="N55" s="50">
        <v>0</v>
      </c>
      <c r="O55" s="15">
        <f t="shared" si="0"/>
        <v>131</v>
      </c>
      <c r="P55" s="15">
        <f t="shared" si="1"/>
        <v>216</v>
      </c>
      <c r="R55" s="8"/>
      <c r="T55"/>
    </row>
    <row r="56" spans="2:20" ht="23.1" customHeight="1" x14ac:dyDescent="0.25">
      <c r="B56" s="23" t="s">
        <v>83</v>
      </c>
      <c r="C56" s="50">
        <v>62</v>
      </c>
      <c r="D56" s="50">
        <v>33</v>
      </c>
      <c r="E56" s="50">
        <v>10</v>
      </c>
      <c r="F56" s="50">
        <v>19</v>
      </c>
      <c r="G56" s="50">
        <v>0</v>
      </c>
      <c r="H56" s="50">
        <v>0</v>
      </c>
      <c r="I56" s="50">
        <v>2</v>
      </c>
      <c r="J56" s="50">
        <v>2</v>
      </c>
      <c r="K56" s="50">
        <v>0</v>
      </c>
      <c r="L56" s="50">
        <v>4</v>
      </c>
      <c r="M56" s="50">
        <v>50</v>
      </c>
      <c r="N56" s="50">
        <v>0</v>
      </c>
      <c r="O56" s="15">
        <f t="shared" si="0"/>
        <v>132</v>
      </c>
      <c r="P56" s="15">
        <f t="shared" si="1"/>
        <v>182</v>
      </c>
      <c r="R56" s="8"/>
      <c r="T56"/>
    </row>
    <row r="57" spans="2:20" ht="23.1" customHeight="1" x14ac:dyDescent="0.25">
      <c r="B57" s="23" t="s">
        <v>84</v>
      </c>
      <c r="C57" s="50">
        <v>66</v>
      </c>
      <c r="D57" s="50">
        <v>32</v>
      </c>
      <c r="E57" s="50">
        <v>6</v>
      </c>
      <c r="F57" s="50">
        <v>11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1</v>
      </c>
      <c r="M57" s="50">
        <v>75</v>
      </c>
      <c r="N57" s="50">
        <v>0</v>
      </c>
      <c r="O57" s="15">
        <f t="shared" si="0"/>
        <v>119</v>
      </c>
      <c r="P57" s="15">
        <f t="shared" si="1"/>
        <v>194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1989</v>
      </c>
      <c r="D58" s="16">
        <f t="shared" si="21"/>
        <v>946</v>
      </c>
      <c r="E58" s="16">
        <f t="shared" si="21"/>
        <v>384</v>
      </c>
      <c r="F58" s="16">
        <f t="shared" si="21"/>
        <v>858</v>
      </c>
      <c r="G58" s="16">
        <f t="shared" si="21"/>
        <v>24</v>
      </c>
      <c r="H58" s="16">
        <f t="shared" si="21"/>
        <v>0</v>
      </c>
      <c r="I58" s="16">
        <f t="shared" si="21"/>
        <v>186</v>
      </c>
      <c r="J58" s="16">
        <f t="shared" si="21"/>
        <v>101</v>
      </c>
      <c r="K58" s="16">
        <f t="shared" si="21"/>
        <v>20</v>
      </c>
      <c r="L58" s="16">
        <f t="shared" si="21"/>
        <v>106</v>
      </c>
      <c r="M58" s="16">
        <f t="shared" si="21"/>
        <v>3850</v>
      </c>
      <c r="N58" s="16">
        <f t="shared" si="21"/>
        <v>0</v>
      </c>
      <c r="O58" s="16">
        <f t="shared" si="21"/>
        <v>4614</v>
      </c>
      <c r="P58" s="16">
        <f t="shared" si="21"/>
        <v>8464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0.2349952741020794</v>
      </c>
      <c r="D59" s="43">
        <f t="shared" si="22"/>
        <v>0.11176748582230624</v>
      </c>
      <c r="E59" s="43">
        <f t="shared" si="22"/>
        <v>4.5368620037807186E-2</v>
      </c>
      <c r="F59" s="43">
        <f t="shared" si="22"/>
        <v>0.10137051039697542</v>
      </c>
      <c r="G59" s="43">
        <f t="shared" si="22"/>
        <v>2.8355387523629491E-3</v>
      </c>
      <c r="H59" s="43">
        <f t="shared" si="22"/>
        <v>0</v>
      </c>
      <c r="I59" s="43">
        <f t="shared" si="22"/>
        <v>2.1975425330812856E-2</v>
      </c>
      <c r="J59" s="43">
        <f t="shared" si="22"/>
        <v>1.193289224952741E-2</v>
      </c>
      <c r="K59" s="43">
        <f t="shared" si="22"/>
        <v>2.3629489603024575E-3</v>
      </c>
      <c r="L59" s="43">
        <f t="shared" si="22"/>
        <v>1.2523629489603024E-2</v>
      </c>
      <c r="M59" s="43">
        <f t="shared" si="22"/>
        <v>0.45486767485822305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0.43107932379713915</v>
      </c>
      <c r="D60" s="44">
        <f t="shared" ref="D60:N60" si="23">D58/$O$58</f>
        <v>0.20502817511920243</v>
      </c>
      <c r="E60" s="44">
        <f t="shared" si="23"/>
        <v>8.3224967490247076E-2</v>
      </c>
      <c r="F60" s="44">
        <f t="shared" si="23"/>
        <v>0.18595578673602081</v>
      </c>
      <c r="G60" s="44">
        <f t="shared" si="23"/>
        <v>5.2015604681404422E-3</v>
      </c>
      <c r="H60" s="44">
        <f t="shared" si="23"/>
        <v>0</v>
      </c>
      <c r="I60" s="44">
        <f t="shared" si="23"/>
        <v>4.0312093628088429E-2</v>
      </c>
      <c r="J60" s="44">
        <f t="shared" si="23"/>
        <v>2.1889900303424362E-2</v>
      </c>
      <c r="K60" s="44">
        <f t="shared" si="23"/>
        <v>4.3346337234503683E-3</v>
      </c>
      <c r="L60" s="44">
        <f t="shared" si="23"/>
        <v>2.2973558734286952E-2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5" t="str">
        <f>'29.07 Kisaasi-Ntinda'!G5:H5</f>
        <v>Ndere Center</v>
      </c>
      <c r="H5" s="66"/>
      <c r="I5" s="14"/>
      <c r="J5" s="2" t="s">
        <v>5</v>
      </c>
      <c r="K5" s="65" t="s">
        <v>174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Kisaasi-Ntinda'!D6:E6</f>
        <v>Kisaasi</v>
      </c>
      <c r="E6" s="66"/>
      <c r="F6" s="2" t="s">
        <v>2</v>
      </c>
      <c r="G6" s="65" t="str">
        <f>'29.07 Kisaasi-Ntinda'!G6:H6</f>
        <v>Ntinda</v>
      </c>
      <c r="H6" s="66"/>
      <c r="J6" s="2" t="s">
        <v>21</v>
      </c>
      <c r="K6" s="65" t="str">
        <f>'29.07 Kisaasi-Ntinda'!K6:L6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103</v>
      </c>
      <c r="D10" s="50">
        <v>51</v>
      </c>
      <c r="E10" s="50">
        <v>14</v>
      </c>
      <c r="F10" s="50">
        <v>19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105</v>
      </c>
      <c r="N10" s="50">
        <v>0</v>
      </c>
      <c r="O10" s="15">
        <f t="shared" ref="O10:O57" si="0">SUM(C10:L10,N10)</f>
        <v>189</v>
      </c>
      <c r="P10" s="15">
        <f t="shared" ref="P10:P57" si="1">SUM(C10:N10)</f>
        <v>294</v>
      </c>
      <c r="R10" s="1" t="s">
        <v>6</v>
      </c>
      <c r="S10" s="17">
        <f t="shared" ref="S10:AF10" si="2">SUM(C10:C13)</f>
        <v>459</v>
      </c>
      <c r="T10" s="17">
        <f t="shared" si="2"/>
        <v>256</v>
      </c>
      <c r="U10" s="17">
        <f t="shared" si="2"/>
        <v>59</v>
      </c>
      <c r="V10" s="17">
        <f t="shared" si="2"/>
        <v>70</v>
      </c>
      <c r="W10" s="17">
        <f t="shared" si="2"/>
        <v>2</v>
      </c>
      <c r="X10" s="17">
        <f t="shared" si="2"/>
        <v>0</v>
      </c>
      <c r="Y10" s="17">
        <f t="shared" si="2"/>
        <v>14</v>
      </c>
      <c r="Z10" s="17">
        <f t="shared" si="2"/>
        <v>6</v>
      </c>
      <c r="AA10" s="17">
        <f t="shared" si="2"/>
        <v>1</v>
      </c>
      <c r="AB10" s="17">
        <f t="shared" si="2"/>
        <v>4</v>
      </c>
      <c r="AC10" s="17">
        <f t="shared" si="2"/>
        <v>616</v>
      </c>
      <c r="AD10" s="17">
        <f t="shared" si="2"/>
        <v>0</v>
      </c>
      <c r="AE10" s="31">
        <f t="shared" si="2"/>
        <v>871</v>
      </c>
      <c r="AF10" s="31">
        <f t="shared" si="2"/>
        <v>1487</v>
      </c>
    </row>
    <row r="11" spans="2:32" s="6" customFormat="1" ht="23.1" customHeight="1" x14ac:dyDescent="0.25">
      <c r="B11" s="23" t="s">
        <v>38</v>
      </c>
      <c r="C11" s="50">
        <v>112</v>
      </c>
      <c r="D11" s="50">
        <v>62</v>
      </c>
      <c r="E11" s="50">
        <v>16</v>
      </c>
      <c r="F11" s="50">
        <v>14</v>
      </c>
      <c r="G11" s="50">
        <v>0</v>
      </c>
      <c r="H11" s="50">
        <v>0</v>
      </c>
      <c r="I11" s="50">
        <v>5</v>
      </c>
      <c r="J11" s="50">
        <v>1</v>
      </c>
      <c r="K11" s="50">
        <v>0</v>
      </c>
      <c r="L11" s="50">
        <v>1</v>
      </c>
      <c r="M11" s="50">
        <v>135</v>
      </c>
      <c r="N11" s="50">
        <v>0</v>
      </c>
      <c r="O11" s="15">
        <f t="shared" si="0"/>
        <v>211</v>
      </c>
      <c r="P11" s="15">
        <f t="shared" si="1"/>
        <v>346</v>
      </c>
      <c r="R11" s="1" t="s">
        <v>7</v>
      </c>
      <c r="S11" s="17">
        <f t="shared" ref="S11:AF11" si="3">SUM(C14:C17)</f>
        <v>330</v>
      </c>
      <c r="T11" s="17">
        <f t="shared" si="3"/>
        <v>135</v>
      </c>
      <c r="U11" s="17">
        <f t="shared" si="3"/>
        <v>32</v>
      </c>
      <c r="V11" s="17">
        <f t="shared" si="3"/>
        <v>63</v>
      </c>
      <c r="W11" s="17">
        <f t="shared" si="3"/>
        <v>3</v>
      </c>
      <c r="X11" s="17">
        <f t="shared" si="3"/>
        <v>0</v>
      </c>
      <c r="Y11" s="17">
        <f t="shared" si="3"/>
        <v>14</v>
      </c>
      <c r="Z11" s="17">
        <f t="shared" si="3"/>
        <v>7</v>
      </c>
      <c r="AA11" s="17">
        <f t="shared" si="3"/>
        <v>2</v>
      </c>
      <c r="AB11" s="17">
        <f t="shared" si="3"/>
        <v>7</v>
      </c>
      <c r="AC11" s="17">
        <f t="shared" si="3"/>
        <v>620</v>
      </c>
      <c r="AD11" s="17">
        <f t="shared" si="3"/>
        <v>0</v>
      </c>
      <c r="AE11" s="31">
        <f t="shared" si="3"/>
        <v>593</v>
      </c>
      <c r="AF11" s="31">
        <f t="shared" si="3"/>
        <v>1213</v>
      </c>
    </row>
    <row r="12" spans="2:32" ht="23.1" customHeight="1" x14ac:dyDescent="0.25">
      <c r="B12" s="23" t="s">
        <v>39</v>
      </c>
      <c r="C12" s="50">
        <v>130</v>
      </c>
      <c r="D12" s="50">
        <v>68</v>
      </c>
      <c r="E12" s="50">
        <v>14</v>
      </c>
      <c r="F12" s="50">
        <v>22</v>
      </c>
      <c r="G12" s="50">
        <v>1</v>
      </c>
      <c r="H12" s="50">
        <v>0</v>
      </c>
      <c r="I12" s="50">
        <v>4</v>
      </c>
      <c r="J12" s="50">
        <v>2</v>
      </c>
      <c r="K12" s="50">
        <v>0</v>
      </c>
      <c r="L12" s="50">
        <v>1</v>
      </c>
      <c r="M12" s="50">
        <v>195</v>
      </c>
      <c r="N12" s="50">
        <v>0</v>
      </c>
      <c r="O12" s="15">
        <f t="shared" si="0"/>
        <v>242</v>
      </c>
      <c r="P12" s="15">
        <f t="shared" si="1"/>
        <v>437</v>
      </c>
      <c r="R12" s="1" t="s">
        <v>8</v>
      </c>
      <c r="S12" s="17">
        <f t="shared" ref="S12:AF12" si="4">SUM(C18:C21)</f>
        <v>234</v>
      </c>
      <c r="T12" s="17">
        <f t="shared" si="4"/>
        <v>130</v>
      </c>
      <c r="U12" s="17">
        <f t="shared" si="4"/>
        <v>21</v>
      </c>
      <c r="V12" s="17">
        <f t="shared" si="4"/>
        <v>45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14</v>
      </c>
      <c r="AA12" s="17">
        <f t="shared" si="4"/>
        <v>2</v>
      </c>
      <c r="AB12" s="17">
        <f t="shared" si="4"/>
        <v>3</v>
      </c>
      <c r="AC12" s="17">
        <f t="shared" si="4"/>
        <v>572</v>
      </c>
      <c r="AD12" s="17">
        <f t="shared" si="4"/>
        <v>0</v>
      </c>
      <c r="AE12" s="31">
        <f t="shared" si="4"/>
        <v>470</v>
      </c>
      <c r="AF12" s="31">
        <f t="shared" si="4"/>
        <v>1042</v>
      </c>
    </row>
    <row r="13" spans="2:32" ht="23.1" customHeight="1" x14ac:dyDescent="0.25">
      <c r="B13" s="23" t="s">
        <v>40</v>
      </c>
      <c r="C13" s="50">
        <v>114</v>
      </c>
      <c r="D13" s="50">
        <v>75</v>
      </c>
      <c r="E13" s="50">
        <v>15</v>
      </c>
      <c r="F13" s="50">
        <v>15</v>
      </c>
      <c r="G13" s="50">
        <v>1</v>
      </c>
      <c r="H13" s="50">
        <v>0</v>
      </c>
      <c r="I13" s="50">
        <v>4</v>
      </c>
      <c r="J13" s="50">
        <v>2</v>
      </c>
      <c r="K13" s="50">
        <v>1</v>
      </c>
      <c r="L13" s="50">
        <v>2</v>
      </c>
      <c r="M13" s="50">
        <v>181</v>
      </c>
      <c r="N13" s="50">
        <v>0</v>
      </c>
      <c r="O13" s="15">
        <f t="shared" si="0"/>
        <v>229</v>
      </c>
      <c r="P13" s="15">
        <f t="shared" si="1"/>
        <v>410</v>
      </c>
      <c r="R13" s="1" t="s">
        <v>9</v>
      </c>
      <c r="S13" s="17">
        <f t="shared" ref="S13:AF13" si="5">SUM(C22:C25)</f>
        <v>165</v>
      </c>
      <c r="T13" s="17">
        <f t="shared" si="5"/>
        <v>58</v>
      </c>
      <c r="U13" s="17">
        <f t="shared" si="5"/>
        <v>14</v>
      </c>
      <c r="V13" s="17">
        <f t="shared" si="5"/>
        <v>31</v>
      </c>
      <c r="W13" s="17">
        <f t="shared" si="5"/>
        <v>0</v>
      </c>
      <c r="X13" s="17">
        <f t="shared" si="5"/>
        <v>0</v>
      </c>
      <c r="Y13" s="17">
        <f t="shared" si="5"/>
        <v>18</v>
      </c>
      <c r="Z13" s="17">
        <f t="shared" si="5"/>
        <v>7</v>
      </c>
      <c r="AA13" s="17">
        <f t="shared" si="5"/>
        <v>0</v>
      </c>
      <c r="AB13" s="17">
        <f t="shared" si="5"/>
        <v>4</v>
      </c>
      <c r="AC13" s="17">
        <f t="shared" si="5"/>
        <v>368</v>
      </c>
      <c r="AD13" s="17">
        <f t="shared" si="5"/>
        <v>0</v>
      </c>
      <c r="AE13" s="31">
        <f t="shared" si="5"/>
        <v>297</v>
      </c>
      <c r="AF13" s="31">
        <f t="shared" si="5"/>
        <v>665</v>
      </c>
    </row>
    <row r="14" spans="2:32" ht="23.1" customHeight="1" x14ac:dyDescent="0.25">
      <c r="B14" s="23" t="s">
        <v>41</v>
      </c>
      <c r="C14" s="50">
        <v>120</v>
      </c>
      <c r="D14" s="50">
        <v>52</v>
      </c>
      <c r="E14" s="50">
        <v>12</v>
      </c>
      <c r="F14" s="50">
        <v>21</v>
      </c>
      <c r="G14" s="50">
        <v>0</v>
      </c>
      <c r="H14" s="50">
        <v>0</v>
      </c>
      <c r="I14" s="50">
        <v>4</v>
      </c>
      <c r="J14" s="50">
        <v>2</v>
      </c>
      <c r="K14" s="50">
        <v>1</v>
      </c>
      <c r="L14" s="50">
        <v>0</v>
      </c>
      <c r="M14" s="50">
        <v>150</v>
      </c>
      <c r="N14" s="50">
        <v>0</v>
      </c>
      <c r="O14" s="15">
        <f t="shared" si="0"/>
        <v>212</v>
      </c>
      <c r="P14" s="15">
        <f t="shared" si="1"/>
        <v>362</v>
      </c>
      <c r="R14" s="1" t="s">
        <v>10</v>
      </c>
      <c r="S14" s="17">
        <f t="shared" ref="S14:AF14" si="6">SUM(C26:C29)</f>
        <v>129</v>
      </c>
      <c r="T14" s="17">
        <f t="shared" si="6"/>
        <v>45</v>
      </c>
      <c r="U14" s="17">
        <f t="shared" si="6"/>
        <v>19</v>
      </c>
      <c r="V14" s="17">
        <f t="shared" si="6"/>
        <v>27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11</v>
      </c>
      <c r="AA14" s="17">
        <f t="shared" si="6"/>
        <v>2</v>
      </c>
      <c r="AB14" s="17">
        <f t="shared" si="6"/>
        <v>5</v>
      </c>
      <c r="AC14" s="17">
        <f t="shared" si="6"/>
        <v>341</v>
      </c>
      <c r="AD14" s="17">
        <f t="shared" si="6"/>
        <v>0</v>
      </c>
      <c r="AE14" s="31">
        <f t="shared" si="6"/>
        <v>254</v>
      </c>
      <c r="AF14" s="31">
        <f t="shared" si="6"/>
        <v>595</v>
      </c>
    </row>
    <row r="15" spans="2:32" ht="23.1" customHeight="1" x14ac:dyDescent="0.25">
      <c r="B15" s="23" t="s">
        <v>42</v>
      </c>
      <c r="C15" s="50">
        <v>92</v>
      </c>
      <c r="D15" s="50">
        <v>35</v>
      </c>
      <c r="E15" s="50">
        <v>10</v>
      </c>
      <c r="F15" s="50">
        <v>17</v>
      </c>
      <c r="G15" s="50">
        <v>1</v>
      </c>
      <c r="H15" s="50">
        <v>0</v>
      </c>
      <c r="I15" s="50">
        <v>2</v>
      </c>
      <c r="J15" s="50">
        <v>3</v>
      </c>
      <c r="K15" s="50">
        <v>0</v>
      </c>
      <c r="L15" s="50">
        <v>1</v>
      </c>
      <c r="M15" s="50">
        <v>180</v>
      </c>
      <c r="N15" s="50">
        <v>0</v>
      </c>
      <c r="O15" s="15">
        <f t="shared" si="0"/>
        <v>161</v>
      </c>
      <c r="P15" s="15">
        <f t="shared" si="1"/>
        <v>341</v>
      </c>
      <c r="R15" s="1" t="s">
        <v>11</v>
      </c>
      <c r="S15" s="17">
        <f t="shared" ref="S15:AF15" si="7">SUM(C30:C33)</f>
        <v>156</v>
      </c>
      <c r="T15" s="17">
        <f t="shared" si="7"/>
        <v>64</v>
      </c>
      <c r="U15" s="17">
        <f t="shared" si="7"/>
        <v>15</v>
      </c>
      <c r="V15" s="17">
        <f t="shared" si="7"/>
        <v>30</v>
      </c>
      <c r="W15" s="17">
        <f t="shared" si="7"/>
        <v>1</v>
      </c>
      <c r="X15" s="17">
        <f t="shared" si="7"/>
        <v>0</v>
      </c>
      <c r="Y15" s="17">
        <f t="shared" si="7"/>
        <v>13</v>
      </c>
      <c r="Z15" s="17">
        <f t="shared" si="7"/>
        <v>11</v>
      </c>
      <c r="AA15" s="17">
        <f t="shared" si="7"/>
        <v>3</v>
      </c>
      <c r="AB15" s="17">
        <f t="shared" si="7"/>
        <v>4</v>
      </c>
      <c r="AC15" s="17">
        <f t="shared" si="7"/>
        <v>365</v>
      </c>
      <c r="AD15" s="17">
        <f t="shared" si="7"/>
        <v>0</v>
      </c>
      <c r="AE15" s="31">
        <f t="shared" si="7"/>
        <v>297</v>
      </c>
      <c r="AF15" s="31">
        <f t="shared" si="7"/>
        <v>662</v>
      </c>
    </row>
    <row r="16" spans="2:32" ht="23.1" customHeight="1" x14ac:dyDescent="0.25">
      <c r="B16" s="23" t="s">
        <v>43</v>
      </c>
      <c r="C16" s="50">
        <v>59</v>
      </c>
      <c r="D16" s="50">
        <v>28</v>
      </c>
      <c r="E16" s="50">
        <v>2</v>
      </c>
      <c r="F16" s="50">
        <v>13</v>
      </c>
      <c r="G16" s="50">
        <v>0</v>
      </c>
      <c r="H16" s="50">
        <v>0</v>
      </c>
      <c r="I16" s="50">
        <v>4</v>
      </c>
      <c r="J16" s="50">
        <v>1</v>
      </c>
      <c r="K16" s="50">
        <v>1</v>
      </c>
      <c r="L16" s="50">
        <v>4</v>
      </c>
      <c r="M16" s="50">
        <v>140</v>
      </c>
      <c r="N16" s="50">
        <v>0</v>
      </c>
      <c r="O16" s="15">
        <f t="shared" si="0"/>
        <v>112</v>
      </c>
      <c r="P16" s="15">
        <f t="shared" si="1"/>
        <v>252</v>
      </c>
      <c r="R16" s="1" t="s">
        <v>12</v>
      </c>
      <c r="S16" s="17">
        <f t="shared" ref="S16:AF16" si="8">SUM(C34:C37)</f>
        <v>130</v>
      </c>
      <c r="T16" s="17">
        <f t="shared" si="8"/>
        <v>65</v>
      </c>
      <c r="U16" s="17">
        <f t="shared" si="8"/>
        <v>29</v>
      </c>
      <c r="V16" s="17">
        <f t="shared" si="8"/>
        <v>36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8</v>
      </c>
      <c r="AA16" s="17">
        <f t="shared" si="8"/>
        <v>4</v>
      </c>
      <c r="AB16" s="17">
        <f t="shared" si="8"/>
        <v>12</v>
      </c>
      <c r="AC16" s="17">
        <f t="shared" si="8"/>
        <v>393</v>
      </c>
      <c r="AD16" s="17">
        <f t="shared" si="8"/>
        <v>0</v>
      </c>
      <c r="AE16" s="31">
        <f t="shared" si="8"/>
        <v>297</v>
      </c>
      <c r="AF16" s="31">
        <f t="shared" si="8"/>
        <v>690</v>
      </c>
    </row>
    <row r="17" spans="2:32" ht="23.1" customHeight="1" x14ac:dyDescent="0.25">
      <c r="B17" s="23" t="s">
        <v>44</v>
      </c>
      <c r="C17" s="50">
        <v>59</v>
      </c>
      <c r="D17" s="50">
        <v>20</v>
      </c>
      <c r="E17" s="50">
        <v>8</v>
      </c>
      <c r="F17" s="50">
        <v>12</v>
      </c>
      <c r="G17" s="50">
        <v>2</v>
      </c>
      <c r="H17" s="50">
        <v>0</v>
      </c>
      <c r="I17" s="50">
        <v>4</v>
      </c>
      <c r="J17" s="50">
        <v>1</v>
      </c>
      <c r="K17" s="50">
        <v>0</v>
      </c>
      <c r="L17" s="50">
        <v>2</v>
      </c>
      <c r="M17" s="50">
        <v>150</v>
      </c>
      <c r="N17" s="50">
        <v>0</v>
      </c>
      <c r="O17" s="15">
        <f t="shared" si="0"/>
        <v>108</v>
      </c>
      <c r="P17" s="15">
        <f t="shared" si="1"/>
        <v>258</v>
      </c>
      <c r="R17" s="1" t="s">
        <v>13</v>
      </c>
      <c r="S17" s="17">
        <f t="shared" ref="S17:AF17" si="9">SUM(C38:C41)</f>
        <v>169</v>
      </c>
      <c r="T17" s="17">
        <f t="shared" si="9"/>
        <v>59</v>
      </c>
      <c r="U17" s="17">
        <f t="shared" si="9"/>
        <v>19</v>
      </c>
      <c r="V17" s="17">
        <f t="shared" si="9"/>
        <v>31</v>
      </c>
      <c r="W17" s="17">
        <f t="shared" si="9"/>
        <v>10</v>
      </c>
      <c r="X17" s="17">
        <f t="shared" si="9"/>
        <v>0</v>
      </c>
      <c r="Y17" s="17">
        <f t="shared" si="9"/>
        <v>16</v>
      </c>
      <c r="Z17" s="17">
        <f t="shared" si="9"/>
        <v>7</v>
      </c>
      <c r="AA17" s="17">
        <f t="shared" si="9"/>
        <v>3</v>
      </c>
      <c r="AB17" s="17">
        <f t="shared" si="9"/>
        <v>6</v>
      </c>
      <c r="AC17" s="17">
        <f t="shared" si="9"/>
        <v>380</v>
      </c>
      <c r="AD17" s="17">
        <f t="shared" si="9"/>
        <v>0</v>
      </c>
      <c r="AE17" s="31">
        <f t="shared" si="9"/>
        <v>320</v>
      </c>
      <c r="AF17" s="31">
        <f t="shared" si="9"/>
        <v>700</v>
      </c>
    </row>
    <row r="18" spans="2:32" ht="23.1" customHeight="1" x14ac:dyDescent="0.25">
      <c r="B18" s="23" t="s">
        <v>45</v>
      </c>
      <c r="C18" s="50">
        <v>62</v>
      </c>
      <c r="D18" s="50">
        <v>48</v>
      </c>
      <c r="E18" s="50">
        <v>6</v>
      </c>
      <c r="F18" s="50">
        <v>10</v>
      </c>
      <c r="G18" s="50">
        <v>0</v>
      </c>
      <c r="H18" s="50">
        <v>0</v>
      </c>
      <c r="I18" s="50">
        <v>6</v>
      </c>
      <c r="J18" s="50">
        <v>4</v>
      </c>
      <c r="K18" s="50">
        <v>0</v>
      </c>
      <c r="L18" s="50">
        <v>1</v>
      </c>
      <c r="M18" s="50">
        <v>153</v>
      </c>
      <c r="N18" s="50">
        <v>0</v>
      </c>
      <c r="O18" s="15">
        <f t="shared" si="0"/>
        <v>137</v>
      </c>
      <c r="P18" s="15">
        <f t="shared" si="1"/>
        <v>290</v>
      </c>
      <c r="R18" s="1" t="s">
        <v>14</v>
      </c>
      <c r="S18" s="17">
        <f t="shared" ref="S18:AF18" si="10">SUM(C42:C45)</f>
        <v>175</v>
      </c>
      <c r="T18" s="17">
        <f t="shared" si="10"/>
        <v>58</v>
      </c>
      <c r="U18" s="17">
        <f t="shared" si="10"/>
        <v>29</v>
      </c>
      <c r="V18" s="17">
        <f t="shared" si="10"/>
        <v>34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9</v>
      </c>
      <c r="AA18" s="17">
        <f t="shared" si="10"/>
        <v>5</v>
      </c>
      <c r="AB18" s="17">
        <f t="shared" si="10"/>
        <v>6</v>
      </c>
      <c r="AC18" s="17">
        <f t="shared" si="10"/>
        <v>343</v>
      </c>
      <c r="AD18" s="17">
        <f t="shared" si="10"/>
        <v>0</v>
      </c>
      <c r="AE18" s="31">
        <f t="shared" si="10"/>
        <v>336</v>
      </c>
      <c r="AF18" s="31">
        <f t="shared" si="10"/>
        <v>679</v>
      </c>
    </row>
    <row r="19" spans="2:32" ht="23.1" customHeight="1" x14ac:dyDescent="0.25">
      <c r="B19" s="23" t="s">
        <v>46</v>
      </c>
      <c r="C19" s="50">
        <v>56</v>
      </c>
      <c r="D19" s="50">
        <v>17</v>
      </c>
      <c r="E19" s="50">
        <v>3</v>
      </c>
      <c r="F19" s="50">
        <v>11</v>
      </c>
      <c r="G19" s="50">
        <v>0</v>
      </c>
      <c r="H19" s="50">
        <v>0</v>
      </c>
      <c r="I19" s="50">
        <v>4</v>
      </c>
      <c r="J19" s="50">
        <v>3</v>
      </c>
      <c r="K19" s="50">
        <v>1</v>
      </c>
      <c r="L19" s="50">
        <v>1</v>
      </c>
      <c r="M19" s="50">
        <v>141</v>
      </c>
      <c r="N19" s="50">
        <v>0</v>
      </c>
      <c r="O19" s="15">
        <f t="shared" si="0"/>
        <v>96</v>
      </c>
      <c r="P19" s="15">
        <f t="shared" si="1"/>
        <v>237</v>
      </c>
      <c r="R19" s="1" t="s">
        <v>15</v>
      </c>
      <c r="S19" s="17">
        <f t="shared" ref="S19:AF19" si="11">SUM(C46:C49)</f>
        <v>203</v>
      </c>
      <c r="T19" s="17">
        <f t="shared" si="11"/>
        <v>76</v>
      </c>
      <c r="U19" s="17">
        <f t="shared" si="11"/>
        <v>16</v>
      </c>
      <c r="V19" s="17">
        <f t="shared" si="11"/>
        <v>36</v>
      </c>
      <c r="W19" s="17">
        <f t="shared" si="11"/>
        <v>1</v>
      </c>
      <c r="X19" s="17">
        <f t="shared" si="11"/>
        <v>0</v>
      </c>
      <c r="Y19" s="17">
        <f t="shared" si="11"/>
        <v>17</v>
      </c>
      <c r="Z19" s="17">
        <f t="shared" si="11"/>
        <v>8</v>
      </c>
      <c r="AA19" s="17">
        <f t="shared" si="11"/>
        <v>4</v>
      </c>
      <c r="AB19" s="17">
        <f t="shared" si="11"/>
        <v>10</v>
      </c>
      <c r="AC19" s="17">
        <f t="shared" si="11"/>
        <v>430</v>
      </c>
      <c r="AD19" s="17">
        <f t="shared" si="11"/>
        <v>2</v>
      </c>
      <c r="AE19" s="31">
        <f t="shared" si="11"/>
        <v>373</v>
      </c>
      <c r="AF19" s="31">
        <f t="shared" si="11"/>
        <v>803</v>
      </c>
    </row>
    <row r="20" spans="2:32" ht="23.1" customHeight="1" x14ac:dyDescent="0.25">
      <c r="B20" s="23" t="s">
        <v>47</v>
      </c>
      <c r="C20" s="50">
        <v>66</v>
      </c>
      <c r="D20" s="50">
        <v>30</v>
      </c>
      <c r="E20" s="50">
        <v>7</v>
      </c>
      <c r="F20" s="50">
        <v>11</v>
      </c>
      <c r="G20" s="50">
        <v>0</v>
      </c>
      <c r="H20" s="50">
        <v>0</v>
      </c>
      <c r="I20" s="50">
        <v>6</v>
      </c>
      <c r="J20" s="50">
        <v>3</v>
      </c>
      <c r="K20" s="50">
        <v>1</v>
      </c>
      <c r="L20" s="50">
        <v>1</v>
      </c>
      <c r="M20" s="50">
        <v>160</v>
      </c>
      <c r="N20" s="50">
        <v>0</v>
      </c>
      <c r="O20" s="15">
        <f t="shared" si="0"/>
        <v>125</v>
      </c>
      <c r="P20" s="15">
        <f t="shared" si="1"/>
        <v>285</v>
      </c>
      <c r="R20" s="1" t="s">
        <v>16</v>
      </c>
      <c r="S20" s="17">
        <f t="shared" ref="S20:AF20" si="12">SUM(C50:C53)</f>
        <v>225</v>
      </c>
      <c r="T20" s="17">
        <f t="shared" si="12"/>
        <v>69</v>
      </c>
      <c r="U20" s="17">
        <f t="shared" si="12"/>
        <v>15</v>
      </c>
      <c r="V20" s="17">
        <f t="shared" si="12"/>
        <v>48</v>
      </c>
      <c r="W20" s="17">
        <f t="shared" si="12"/>
        <v>2</v>
      </c>
      <c r="X20" s="17">
        <f t="shared" si="12"/>
        <v>0</v>
      </c>
      <c r="Y20" s="17">
        <f t="shared" si="12"/>
        <v>20</v>
      </c>
      <c r="Z20" s="17">
        <f t="shared" si="12"/>
        <v>7</v>
      </c>
      <c r="AA20" s="17">
        <f t="shared" si="12"/>
        <v>4</v>
      </c>
      <c r="AB20" s="17">
        <f t="shared" si="12"/>
        <v>5</v>
      </c>
      <c r="AC20" s="17">
        <f t="shared" si="12"/>
        <v>448</v>
      </c>
      <c r="AD20" s="17">
        <f t="shared" si="12"/>
        <v>0</v>
      </c>
      <c r="AE20" s="31">
        <f t="shared" si="12"/>
        <v>395</v>
      </c>
      <c r="AF20" s="31">
        <f t="shared" si="12"/>
        <v>843</v>
      </c>
    </row>
    <row r="21" spans="2:32" ht="23.1" customHeight="1" x14ac:dyDescent="0.25">
      <c r="B21" s="23" t="s">
        <v>48</v>
      </c>
      <c r="C21" s="50">
        <v>50</v>
      </c>
      <c r="D21" s="50">
        <v>35</v>
      </c>
      <c r="E21" s="50">
        <v>5</v>
      </c>
      <c r="F21" s="50">
        <v>13</v>
      </c>
      <c r="G21" s="50">
        <v>0</v>
      </c>
      <c r="H21" s="50">
        <v>0</v>
      </c>
      <c r="I21" s="50">
        <v>5</v>
      </c>
      <c r="J21" s="50">
        <v>4</v>
      </c>
      <c r="K21" s="50">
        <v>0</v>
      </c>
      <c r="L21" s="50">
        <v>0</v>
      </c>
      <c r="M21" s="50">
        <v>118</v>
      </c>
      <c r="N21" s="50">
        <v>0</v>
      </c>
      <c r="O21" s="15">
        <f t="shared" si="0"/>
        <v>112</v>
      </c>
      <c r="P21" s="15">
        <f t="shared" si="1"/>
        <v>230</v>
      </c>
      <c r="R21" s="36" t="s">
        <v>20</v>
      </c>
      <c r="S21" s="34">
        <f t="shared" ref="S21:AF21" si="13">SUM(C54:C57)</f>
        <v>151</v>
      </c>
      <c r="T21" s="17">
        <f t="shared" si="13"/>
        <v>52</v>
      </c>
      <c r="U21" s="17">
        <f t="shared" si="13"/>
        <v>17</v>
      </c>
      <c r="V21" s="17">
        <f t="shared" si="13"/>
        <v>38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5</v>
      </c>
      <c r="AA21" s="17">
        <f t="shared" si="13"/>
        <v>2</v>
      </c>
      <c r="AB21" s="17">
        <f t="shared" si="13"/>
        <v>1</v>
      </c>
      <c r="AC21" s="17">
        <f t="shared" si="13"/>
        <v>385</v>
      </c>
      <c r="AD21" s="17">
        <f t="shared" si="13"/>
        <v>0</v>
      </c>
      <c r="AE21" s="31">
        <f t="shared" si="13"/>
        <v>278</v>
      </c>
      <c r="AF21" s="31">
        <f t="shared" si="13"/>
        <v>663</v>
      </c>
    </row>
    <row r="22" spans="2:32" ht="23.1" customHeight="1" x14ac:dyDescent="0.25">
      <c r="B22" s="23" t="s">
        <v>49</v>
      </c>
      <c r="C22" s="50">
        <v>30</v>
      </c>
      <c r="D22" s="50">
        <v>7</v>
      </c>
      <c r="E22" s="50">
        <v>1</v>
      </c>
      <c r="F22" s="50">
        <v>3</v>
      </c>
      <c r="G22" s="50">
        <v>0</v>
      </c>
      <c r="H22" s="50">
        <v>0</v>
      </c>
      <c r="I22" s="50">
        <v>4</v>
      </c>
      <c r="J22" s="50">
        <v>2</v>
      </c>
      <c r="K22" s="50">
        <v>0</v>
      </c>
      <c r="L22" s="50">
        <v>0</v>
      </c>
      <c r="M22" s="50">
        <v>90</v>
      </c>
      <c r="N22" s="50">
        <v>0</v>
      </c>
      <c r="O22" s="15">
        <f t="shared" si="0"/>
        <v>47</v>
      </c>
      <c r="P22" s="15">
        <f t="shared" si="1"/>
        <v>137</v>
      </c>
      <c r="R22" s="38" t="s">
        <v>90</v>
      </c>
      <c r="S22" s="39">
        <f>MAX(S10:S12)</f>
        <v>459</v>
      </c>
      <c r="T22" s="39">
        <f t="shared" ref="T22:AF22" si="14">MAX(T10:T12)</f>
        <v>256</v>
      </c>
      <c r="U22" s="39">
        <f t="shared" si="14"/>
        <v>59</v>
      </c>
      <c r="V22" s="39">
        <f t="shared" si="14"/>
        <v>70</v>
      </c>
      <c r="W22" s="39">
        <f t="shared" si="14"/>
        <v>3</v>
      </c>
      <c r="X22" s="39">
        <f t="shared" si="14"/>
        <v>0</v>
      </c>
      <c r="Y22" s="39">
        <f t="shared" si="14"/>
        <v>21</v>
      </c>
      <c r="Z22" s="39">
        <f t="shared" si="14"/>
        <v>14</v>
      </c>
      <c r="AA22" s="39">
        <f t="shared" si="14"/>
        <v>2</v>
      </c>
      <c r="AB22" s="39">
        <f t="shared" si="14"/>
        <v>7</v>
      </c>
      <c r="AC22" s="39">
        <f t="shared" si="14"/>
        <v>620</v>
      </c>
      <c r="AD22" s="39">
        <f t="shared" si="14"/>
        <v>0</v>
      </c>
      <c r="AE22" s="40">
        <f t="shared" si="14"/>
        <v>871</v>
      </c>
      <c r="AF22" s="40">
        <f t="shared" si="14"/>
        <v>1487</v>
      </c>
    </row>
    <row r="23" spans="2:32" ht="23.1" customHeight="1" x14ac:dyDescent="0.25">
      <c r="B23" s="23" t="s">
        <v>50</v>
      </c>
      <c r="C23" s="50">
        <v>55</v>
      </c>
      <c r="D23" s="50">
        <v>21</v>
      </c>
      <c r="E23" s="50">
        <v>3</v>
      </c>
      <c r="F23" s="50">
        <v>8</v>
      </c>
      <c r="G23" s="50">
        <v>0</v>
      </c>
      <c r="H23" s="50">
        <v>0</v>
      </c>
      <c r="I23" s="50">
        <v>3</v>
      </c>
      <c r="J23" s="50">
        <v>1</v>
      </c>
      <c r="K23" s="50">
        <v>0</v>
      </c>
      <c r="L23" s="50">
        <v>1</v>
      </c>
      <c r="M23" s="50">
        <v>100</v>
      </c>
      <c r="N23" s="50">
        <v>0</v>
      </c>
      <c r="O23" s="15">
        <f t="shared" si="0"/>
        <v>92</v>
      </c>
      <c r="P23" s="15">
        <f t="shared" si="1"/>
        <v>192</v>
      </c>
      <c r="R23" s="38" t="s">
        <v>91</v>
      </c>
      <c r="S23" s="39">
        <f>MAX(S13:S18)</f>
        <v>175</v>
      </c>
      <c r="T23" s="39">
        <f t="shared" ref="T23:AF23" si="15">MAX(T13:T18)</f>
        <v>65</v>
      </c>
      <c r="U23" s="39">
        <f t="shared" si="15"/>
        <v>29</v>
      </c>
      <c r="V23" s="39">
        <f t="shared" si="15"/>
        <v>36</v>
      </c>
      <c r="W23" s="39">
        <f t="shared" si="15"/>
        <v>10</v>
      </c>
      <c r="X23" s="39">
        <f t="shared" si="15"/>
        <v>0</v>
      </c>
      <c r="Y23" s="39">
        <f t="shared" si="15"/>
        <v>20</v>
      </c>
      <c r="Z23" s="39">
        <f t="shared" si="15"/>
        <v>11</v>
      </c>
      <c r="AA23" s="39">
        <f t="shared" si="15"/>
        <v>5</v>
      </c>
      <c r="AB23" s="39">
        <f t="shared" si="15"/>
        <v>12</v>
      </c>
      <c r="AC23" s="39">
        <f t="shared" si="15"/>
        <v>393</v>
      </c>
      <c r="AD23" s="39">
        <f t="shared" si="15"/>
        <v>0</v>
      </c>
      <c r="AE23" s="40">
        <f t="shared" si="15"/>
        <v>336</v>
      </c>
      <c r="AF23" s="40">
        <f t="shared" si="15"/>
        <v>700</v>
      </c>
    </row>
    <row r="24" spans="2:32" ht="23.1" customHeight="1" x14ac:dyDescent="0.25">
      <c r="B24" s="23" t="s">
        <v>51</v>
      </c>
      <c r="C24" s="50">
        <v>52</v>
      </c>
      <c r="D24" s="50">
        <v>24</v>
      </c>
      <c r="E24" s="50">
        <v>5</v>
      </c>
      <c r="F24" s="50">
        <v>8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3</v>
      </c>
      <c r="M24" s="50">
        <v>81</v>
      </c>
      <c r="N24" s="50">
        <v>0</v>
      </c>
      <c r="O24" s="15">
        <f t="shared" si="0"/>
        <v>96</v>
      </c>
      <c r="P24" s="15">
        <f t="shared" si="1"/>
        <v>177</v>
      </c>
      <c r="R24" s="38" t="s">
        <v>92</v>
      </c>
      <c r="S24" s="39">
        <f>MAX(S19:S21)</f>
        <v>225</v>
      </c>
      <c r="T24" s="39">
        <f t="shared" ref="T24:AF24" si="16">MAX(T19:T21)</f>
        <v>76</v>
      </c>
      <c r="U24" s="39">
        <f t="shared" si="16"/>
        <v>17</v>
      </c>
      <c r="V24" s="39">
        <f t="shared" si="16"/>
        <v>48</v>
      </c>
      <c r="W24" s="39">
        <f t="shared" si="16"/>
        <v>2</v>
      </c>
      <c r="X24" s="39">
        <f t="shared" si="16"/>
        <v>0</v>
      </c>
      <c r="Y24" s="39">
        <f t="shared" si="16"/>
        <v>20</v>
      </c>
      <c r="Z24" s="39">
        <f t="shared" si="16"/>
        <v>8</v>
      </c>
      <c r="AA24" s="39">
        <f t="shared" si="16"/>
        <v>4</v>
      </c>
      <c r="AB24" s="39">
        <f t="shared" si="16"/>
        <v>10</v>
      </c>
      <c r="AC24" s="39">
        <f t="shared" si="16"/>
        <v>448</v>
      </c>
      <c r="AD24" s="39">
        <f t="shared" si="16"/>
        <v>2</v>
      </c>
      <c r="AE24" s="40">
        <f t="shared" si="16"/>
        <v>395</v>
      </c>
      <c r="AF24" s="40">
        <f t="shared" si="16"/>
        <v>843</v>
      </c>
    </row>
    <row r="25" spans="2:32" ht="23.1" customHeight="1" x14ac:dyDescent="0.25">
      <c r="B25" s="23" t="s">
        <v>52</v>
      </c>
      <c r="C25" s="50">
        <v>28</v>
      </c>
      <c r="D25" s="50">
        <v>6</v>
      </c>
      <c r="E25" s="50">
        <v>5</v>
      </c>
      <c r="F25" s="50">
        <v>12</v>
      </c>
      <c r="G25" s="50">
        <v>0</v>
      </c>
      <c r="H25" s="50">
        <v>0</v>
      </c>
      <c r="I25" s="50">
        <v>8</v>
      </c>
      <c r="J25" s="50">
        <v>3</v>
      </c>
      <c r="K25" s="50">
        <v>0</v>
      </c>
      <c r="L25" s="50">
        <v>0</v>
      </c>
      <c r="M25" s="50">
        <v>97</v>
      </c>
      <c r="N25" s="50">
        <v>0</v>
      </c>
      <c r="O25" s="15">
        <f t="shared" si="0"/>
        <v>62</v>
      </c>
      <c r="P25" s="15">
        <f t="shared" si="1"/>
        <v>159</v>
      </c>
      <c r="R25" s="37" t="s">
        <v>85</v>
      </c>
      <c r="S25" s="35">
        <f t="shared" ref="S25:AF25" si="17">SUM(S10:S12)</f>
        <v>1023</v>
      </c>
      <c r="T25" s="16">
        <f t="shared" si="17"/>
        <v>521</v>
      </c>
      <c r="U25" s="16">
        <f t="shared" si="17"/>
        <v>112</v>
      </c>
      <c r="V25" s="16">
        <f t="shared" si="17"/>
        <v>178</v>
      </c>
      <c r="W25" s="16">
        <f t="shared" si="17"/>
        <v>5</v>
      </c>
      <c r="X25" s="16">
        <f t="shared" si="17"/>
        <v>0</v>
      </c>
      <c r="Y25" s="16">
        <f t="shared" si="17"/>
        <v>49</v>
      </c>
      <c r="Z25" s="16">
        <f t="shared" si="17"/>
        <v>27</v>
      </c>
      <c r="AA25" s="16">
        <f t="shared" si="17"/>
        <v>5</v>
      </c>
      <c r="AB25" s="16">
        <f t="shared" si="17"/>
        <v>14</v>
      </c>
      <c r="AC25" s="16">
        <f t="shared" si="17"/>
        <v>1808</v>
      </c>
      <c r="AD25" s="16">
        <f t="shared" si="17"/>
        <v>0</v>
      </c>
      <c r="AE25" s="32">
        <f t="shared" si="17"/>
        <v>1934</v>
      </c>
      <c r="AF25" s="32">
        <f t="shared" si="17"/>
        <v>3742</v>
      </c>
    </row>
    <row r="26" spans="2:32" ht="23.1" customHeight="1" x14ac:dyDescent="0.25">
      <c r="B26" s="23" t="s">
        <v>53</v>
      </c>
      <c r="C26" s="50">
        <v>34</v>
      </c>
      <c r="D26" s="50">
        <v>12</v>
      </c>
      <c r="E26" s="50">
        <v>7</v>
      </c>
      <c r="F26" s="50">
        <v>6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1</v>
      </c>
      <c r="M26" s="50">
        <v>90</v>
      </c>
      <c r="N26" s="50">
        <v>0</v>
      </c>
      <c r="O26" s="15">
        <f t="shared" si="0"/>
        <v>63</v>
      </c>
      <c r="P26" s="15">
        <f t="shared" si="1"/>
        <v>153</v>
      </c>
      <c r="R26" s="28" t="s">
        <v>86</v>
      </c>
      <c r="S26" s="16">
        <f t="shared" ref="S26:AF26" si="18">SUM(S13:S18)</f>
        <v>924</v>
      </c>
      <c r="T26" s="16">
        <f t="shared" si="18"/>
        <v>349</v>
      </c>
      <c r="U26" s="16">
        <f t="shared" si="18"/>
        <v>125</v>
      </c>
      <c r="V26" s="16">
        <f t="shared" si="18"/>
        <v>189</v>
      </c>
      <c r="W26" s="16">
        <f t="shared" si="18"/>
        <v>11</v>
      </c>
      <c r="X26" s="16">
        <f t="shared" si="18"/>
        <v>0</v>
      </c>
      <c r="Y26" s="16">
        <f t="shared" si="18"/>
        <v>96</v>
      </c>
      <c r="Z26" s="16">
        <f t="shared" si="18"/>
        <v>53</v>
      </c>
      <c r="AA26" s="16">
        <f t="shared" si="18"/>
        <v>17</v>
      </c>
      <c r="AB26" s="16">
        <f t="shared" si="18"/>
        <v>37</v>
      </c>
      <c r="AC26" s="16">
        <f t="shared" si="18"/>
        <v>2190</v>
      </c>
      <c r="AD26" s="16">
        <f t="shared" si="18"/>
        <v>0</v>
      </c>
      <c r="AE26" s="32">
        <f t="shared" si="18"/>
        <v>1801</v>
      </c>
      <c r="AF26" s="32">
        <f t="shared" si="18"/>
        <v>3991</v>
      </c>
    </row>
    <row r="27" spans="2:32" ht="23.1" customHeight="1" x14ac:dyDescent="0.25">
      <c r="B27" s="23" t="s">
        <v>54</v>
      </c>
      <c r="C27" s="50">
        <v>31</v>
      </c>
      <c r="D27" s="50">
        <v>14</v>
      </c>
      <c r="E27" s="50">
        <v>6</v>
      </c>
      <c r="F27" s="50">
        <v>9</v>
      </c>
      <c r="G27" s="50">
        <v>0</v>
      </c>
      <c r="H27" s="50">
        <v>0</v>
      </c>
      <c r="I27" s="50">
        <v>5</v>
      </c>
      <c r="J27" s="50">
        <v>2</v>
      </c>
      <c r="K27" s="50">
        <v>0</v>
      </c>
      <c r="L27" s="50">
        <v>1</v>
      </c>
      <c r="M27" s="50">
        <v>76</v>
      </c>
      <c r="N27" s="50">
        <v>0</v>
      </c>
      <c r="O27" s="15">
        <f t="shared" si="0"/>
        <v>68</v>
      </c>
      <c r="P27" s="15">
        <f t="shared" si="1"/>
        <v>144</v>
      </c>
      <c r="R27" s="29" t="s">
        <v>87</v>
      </c>
      <c r="S27" s="16">
        <f t="shared" ref="S27:AF27" si="19">SUM(S19:S21)</f>
        <v>579</v>
      </c>
      <c r="T27" s="16">
        <f t="shared" si="19"/>
        <v>197</v>
      </c>
      <c r="U27" s="16">
        <f t="shared" si="19"/>
        <v>48</v>
      </c>
      <c r="V27" s="16">
        <f t="shared" si="19"/>
        <v>122</v>
      </c>
      <c r="W27" s="16">
        <f t="shared" si="19"/>
        <v>3</v>
      </c>
      <c r="X27" s="16">
        <f t="shared" si="19"/>
        <v>0</v>
      </c>
      <c r="Y27" s="16">
        <f t="shared" si="19"/>
        <v>49</v>
      </c>
      <c r="Z27" s="16">
        <f t="shared" si="19"/>
        <v>20</v>
      </c>
      <c r="AA27" s="16">
        <f t="shared" si="19"/>
        <v>10</v>
      </c>
      <c r="AB27" s="16">
        <f t="shared" si="19"/>
        <v>16</v>
      </c>
      <c r="AC27" s="16">
        <f t="shared" si="19"/>
        <v>1263</v>
      </c>
      <c r="AD27" s="16">
        <f t="shared" si="19"/>
        <v>2</v>
      </c>
      <c r="AE27" s="32">
        <f t="shared" si="19"/>
        <v>1046</v>
      </c>
      <c r="AF27" s="32">
        <f t="shared" si="19"/>
        <v>2309</v>
      </c>
    </row>
    <row r="28" spans="2:32" ht="23.1" customHeight="1" x14ac:dyDescent="0.25">
      <c r="B28" s="23" t="s">
        <v>55</v>
      </c>
      <c r="C28" s="50">
        <v>39</v>
      </c>
      <c r="D28" s="50">
        <v>10</v>
      </c>
      <c r="E28" s="50">
        <v>3</v>
      </c>
      <c r="F28" s="50">
        <v>8</v>
      </c>
      <c r="G28" s="50">
        <v>0</v>
      </c>
      <c r="H28" s="50">
        <v>0</v>
      </c>
      <c r="I28" s="50">
        <v>5</v>
      </c>
      <c r="J28" s="50">
        <v>3</v>
      </c>
      <c r="K28" s="50">
        <v>1</v>
      </c>
      <c r="L28" s="50">
        <v>2</v>
      </c>
      <c r="M28" s="50">
        <v>80</v>
      </c>
      <c r="N28" s="50">
        <v>0</v>
      </c>
      <c r="O28" s="15">
        <f t="shared" si="0"/>
        <v>71</v>
      </c>
      <c r="P28" s="15">
        <f t="shared" si="1"/>
        <v>151</v>
      </c>
      <c r="R28" s="5" t="s">
        <v>17</v>
      </c>
      <c r="S28" s="16">
        <f t="shared" ref="S28:AF28" si="20">SUM(S10:S21)</f>
        <v>2526</v>
      </c>
      <c r="T28" s="16">
        <f t="shared" si="20"/>
        <v>1067</v>
      </c>
      <c r="U28" s="16">
        <f t="shared" si="20"/>
        <v>285</v>
      </c>
      <c r="V28" s="16">
        <f t="shared" si="20"/>
        <v>489</v>
      </c>
      <c r="W28" s="16">
        <f t="shared" si="20"/>
        <v>19</v>
      </c>
      <c r="X28" s="16">
        <f t="shared" si="20"/>
        <v>0</v>
      </c>
      <c r="Y28" s="16">
        <f t="shared" si="20"/>
        <v>194</v>
      </c>
      <c r="Z28" s="16">
        <f t="shared" si="20"/>
        <v>100</v>
      </c>
      <c r="AA28" s="16">
        <f t="shared" si="20"/>
        <v>32</v>
      </c>
      <c r="AB28" s="16">
        <f t="shared" si="20"/>
        <v>67</v>
      </c>
      <c r="AC28" s="16">
        <f t="shared" si="20"/>
        <v>5261</v>
      </c>
      <c r="AD28" s="16">
        <f t="shared" si="20"/>
        <v>2</v>
      </c>
      <c r="AE28" s="32">
        <f t="shared" si="20"/>
        <v>4781</v>
      </c>
      <c r="AF28" s="32">
        <f t="shared" si="20"/>
        <v>10042</v>
      </c>
    </row>
    <row r="29" spans="2:32" ht="23.1" customHeight="1" x14ac:dyDescent="0.25">
      <c r="B29" s="23" t="s">
        <v>56</v>
      </c>
      <c r="C29" s="50">
        <v>25</v>
      </c>
      <c r="D29" s="50">
        <v>9</v>
      </c>
      <c r="E29" s="50">
        <v>3</v>
      </c>
      <c r="F29" s="50">
        <v>4</v>
      </c>
      <c r="G29" s="50">
        <v>0</v>
      </c>
      <c r="H29" s="50">
        <v>0</v>
      </c>
      <c r="I29" s="50">
        <v>4</v>
      </c>
      <c r="J29" s="50">
        <v>5</v>
      </c>
      <c r="K29" s="50">
        <v>1</v>
      </c>
      <c r="L29" s="50">
        <v>1</v>
      </c>
      <c r="M29" s="50">
        <v>95</v>
      </c>
      <c r="N29" s="50">
        <v>0</v>
      </c>
      <c r="O29" s="15">
        <f t="shared" si="0"/>
        <v>52</v>
      </c>
      <c r="P29" s="15">
        <f t="shared" si="1"/>
        <v>147</v>
      </c>
      <c r="R29"/>
      <c r="S29" s="20"/>
      <c r="T29" s="19"/>
    </row>
    <row r="30" spans="2:32" ht="23.1" customHeight="1" x14ac:dyDescent="0.25">
      <c r="B30" s="23" t="s">
        <v>57</v>
      </c>
      <c r="C30" s="50">
        <v>39</v>
      </c>
      <c r="D30" s="50">
        <v>20</v>
      </c>
      <c r="E30" s="50">
        <v>5</v>
      </c>
      <c r="F30" s="50">
        <v>9</v>
      </c>
      <c r="G30" s="50">
        <v>0</v>
      </c>
      <c r="H30" s="50">
        <v>0</v>
      </c>
      <c r="I30" s="50">
        <v>5</v>
      </c>
      <c r="J30" s="50">
        <v>3</v>
      </c>
      <c r="K30" s="50">
        <v>0</v>
      </c>
      <c r="L30" s="50">
        <v>0</v>
      </c>
      <c r="M30" s="50">
        <v>85</v>
      </c>
      <c r="N30" s="50">
        <v>0</v>
      </c>
      <c r="O30" s="15">
        <f t="shared" si="0"/>
        <v>81</v>
      </c>
      <c r="P30" s="15">
        <f t="shared" si="1"/>
        <v>166</v>
      </c>
    </row>
    <row r="31" spans="2:32" ht="23.1" customHeight="1" x14ac:dyDescent="0.25">
      <c r="B31" s="24" t="s">
        <v>58</v>
      </c>
      <c r="C31" s="50">
        <v>31</v>
      </c>
      <c r="D31" s="50">
        <v>6</v>
      </c>
      <c r="E31" s="50">
        <v>2</v>
      </c>
      <c r="F31" s="50">
        <v>5</v>
      </c>
      <c r="G31" s="50">
        <v>0</v>
      </c>
      <c r="H31" s="50">
        <v>0</v>
      </c>
      <c r="I31" s="50">
        <v>1</v>
      </c>
      <c r="J31" s="50">
        <v>4</v>
      </c>
      <c r="K31" s="50">
        <v>2</v>
      </c>
      <c r="L31" s="50">
        <v>1</v>
      </c>
      <c r="M31" s="50">
        <v>95</v>
      </c>
      <c r="N31" s="50">
        <v>0</v>
      </c>
      <c r="O31" s="15">
        <f t="shared" si="0"/>
        <v>52</v>
      </c>
      <c r="P31" s="15">
        <f t="shared" si="1"/>
        <v>147</v>
      </c>
    </row>
    <row r="32" spans="2:32" ht="23.1" customHeight="1" x14ac:dyDescent="0.25">
      <c r="B32" s="24" t="s">
        <v>59</v>
      </c>
      <c r="C32" s="50">
        <v>40</v>
      </c>
      <c r="D32" s="50">
        <v>20</v>
      </c>
      <c r="E32" s="50">
        <v>6</v>
      </c>
      <c r="F32" s="50">
        <v>7</v>
      </c>
      <c r="G32" s="50">
        <v>1</v>
      </c>
      <c r="H32" s="50">
        <v>0</v>
      </c>
      <c r="I32" s="50">
        <v>4</v>
      </c>
      <c r="J32" s="50">
        <v>2</v>
      </c>
      <c r="K32" s="50">
        <v>1</v>
      </c>
      <c r="L32" s="50">
        <v>2</v>
      </c>
      <c r="M32" s="50">
        <v>95</v>
      </c>
      <c r="N32" s="50">
        <v>0</v>
      </c>
      <c r="O32" s="15">
        <f t="shared" si="0"/>
        <v>83</v>
      </c>
      <c r="P32" s="15">
        <f t="shared" si="1"/>
        <v>178</v>
      </c>
    </row>
    <row r="33" spans="2:20" ht="23.1" customHeight="1" x14ac:dyDescent="0.25">
      <c r="B33" s="23" t="s">
        <v>60</v>
      </c>
      <c r="C33" s="50">
        <v>46</v>
      </c>
      <c r="D33" s="50">
        <v>18</v>
      </c>
      <c r="E33" s="50">
        <v>2</v>
      </c>
      <c r="F33" s="50">
        <v>9</v>
      </c>
      <c r="G33" s="50">
        <v>0</v>
      </c>
      <c r="H33" s="50">
        <v>0</v>
      </c>
      <c r="I33" s="50">
        <v>3</v>
      </c>
      <c r="J33" s="50">
        <v>2</v>
      </c>
      <c r="K33" s="50">
        <v>0</v>
      </c>
      <c r="L33" s="50">
        <v>1</v>
      </c>
      <c r="M33" s="50">
        <v>90</v>
      </c>
      <c r="N33" s="50">
        <v>0</v>
      </c>
      <c r="O33" s="15">
        <f t="shared" si="0"/>
        <v>81</v>
      </c>
      <c r="P33" s="15">
        <f t="shared" si="1"/>
        <v>171</v>
      </c>
    </row>
    <row r="34" spans="2:20" ht="23.1" customHeight="1" x14ac:dyDescent="0.25">
      <c r="B34" s="24" t="s">
        <v>61</v>
      </c>
      <c r="C34" s="50">
        <v>45</v>
      </c>
      <c r="D34" s="50">
        <v>14</v>
      </c>
      <c r="E34" s="50">
        <v>8</v>
      </c>
      <c r="F34" s="50">
        <v>9</v>
      </c>
      <c r="G34" s="50">
        <v>0</v>
      </c>
      <c r="H34" s="50">
        <v>0</v>
      </c>
      <c r="I34" s="50">
        <v>3</v>
      </c>
      <c r="J34" s="50">
        <v>2</v>
      </c>
      <c r="K34" s="50">
        <v>2</v>
      </c>
      <c r="L34" s="50">
        <v>3</v>
      </c>
      <c r="M34" s="50">
        <v>120</v>
      </c>
      <c r="N34" s="50">
        <v>0</v>
      </c>
      <c r="O34" s="15">
        <f t="shared" si="0"/>
        <v>86</v>
      </c>
      <c r="P34" s="15">
        <f t="shared" si="1"/>
        <v>206</v>
      </c>
    </row>
    <row r="35" spans="2:20" ht="23.1" customHeight="1" x14ac:dyDescent="0.25">
      <c r="B35" s="24" t="s">
        <v>62</v>
      </c>
      <c r="C35" s="50">
        <v>24</v>
      </c>
      <c r="D35" s="50">
        <v>21</v>
      </c>
      <c r="E35" s="50">
        <v>5</v>
      </c>
      <c r="F35" s="50">
        <v>9</v>
      </c>
      <c r="G35" s="50">
        <v>0</v>
      </c>
      <c r="H35" s="50">
        <v>0</v>
      </c>
      <c r="I35" s="50">
        <v>3</v>
      </c>
      <c r="J35" s="50">
        <v>1</v>
      </c>
      <c r="K35" s="50">
        <v>1</v>
      </c>
      <c r="L35" s="50">
        <v>0</v>
      </c>
      <c r="M35" s="50">
        <v>95</v>
      </c>
      <c r="N35" s="50">
        <v>0</v>
      </c>
      <c r="O35" s="15">
        <f t="shared" si="0"/>
        <v>64</v>
      </c>
      <c r="P35" s="15">
        <f t="shared" si="1"/>
        <v>159</v>
      </c>
    </row>
    <row r="36" spans="2:20" ht="23.1" customHeight="1" x14ac:dyDescent="0.25">
      <c r="B36" s="24" t="s">
        <v>63</v>
      </c>
      <c r="C36" s="50">
        <v>29</v>
      </c>
      <c r="D36" s="50">
        <v>14</v>
      </c>
      <c r="E36" s="50">
        <v>4</v>
      </c>
      <c r="F36" s="50">
        <v>8</v>
      </c>
      <c r="G36" s="50">
        <v>0</v>
      </c>
      <c r="H36" s="50">
        <v>0</v>
      </c>
      <c r="I36" s="50">
        <v>7</v>
      </c>
      <c r="J36" s="50">
        <v>3</v>
      </c>
      <c r="K36" s="50">
        <v>1</v>
      </c>
      <c r="L36" s="50">
        <v>7</v>
      </c>
      <c r="M36" s="50">
        <v>105</v>
      </c>
      <c r="N36" s="50">
        <v>0</v>
      </c>
      <c r="O36" s="15">
        <f t="shared" si="0"/>
        <v>73</v>
      </c>
      <c r="P36" s="15">
        <f t="shared" si="1"/>
        <v>178</v>
      </c>
    </row>
    <row r="37" spans="2:20" ht="23.1" customHeight="1" x14ac:dyDescent="0.25">
      <c r="B37" s="23" t="s">
        <v>64</v>
      </c>
      <c r="C37" s="50">
        <v>32</v>
      </c>
      <c r="D37" s="50">
        <v>16</v>
      </c>
      <c r="E37" s="50">
        <v>12</v>
      </c>
      <c r="F37" s="50">
        <v>10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2</v>
      </c>
      <c r="M37" s="50">
        <v>73</v>
      </c>
      <c r="N37" s="50">
        <v>0</v>
      </c>
      <c r="O37" s="15">
        <f t="shared" si="0"/>
        <v>74</v>
      </c>
      <c r="P37" s="15">
        <f t="shared" si="1"/>
        <v>147</v>
      </c>
    </row>
    <row r="38" spans="2:20" ht="23.1" customHeight="1" x14ac:dyDescent="0.25">
      <c r="B38" s="24" t="s">
        <v>65</v>
      </c>
      <c r="C38" s="50">
        <v>45</v>
      </c>
      <c r="D38" s="50">
        <v>16</v>
      </c>
      <c r="E38" s="50">
        <v>2</v>
      </c>
      <c r="F38" s="50">
        <v>9</v>
      </c>
      <c r="G38" s="50">
        <v>0</v>
      </c>
      <c r="H38" s="50">
        <v>0</v>
      </c>
      <c r="I38" s="50">
        <v>6</v>
      </c>
      <c r="J38" s="50">
        <v>2</v>
      </c>
      <c r="K38" s="50">
        <v>0</v>
      </c>
      <c r="L38" s="50">
        <v>1</v>
      </c>
      <c r="M38" s="50">
        <v>80</v>
      </c>
      <c r="N38" s="50">
        <v>0</v>
      </c>
      <c r="O38" s="15">
        <f t="shared" si="0"/>
        <v>81</v>
      </c>
      <c r="P38" s="15">
        <f t="shared" si="1"/>
        <v>161</v>
      </c>
    </row>
    <row r="39" spans="2:20" ht="23.1" customHeight="1" x14ac:dyDescent="0.25">
      <c r="B39" s="24" t="s">
        <v>66</v>
      </c>
      <c r="C39" s="50">
        <v>45</v>
      </c>
      <c r="D39" s="50">
        <v>20</v>
      </c>
      <c r="E39" s="50">
        <v>6</v>
      </c>
      <c r="F39" s="50">
        <v>5</v>
      </c>
      <c r="G39" s="50">
        <v>4</v>
      </c>
      <c r="H39" s="50">
        <v>0</v>
      </c>
      <c r="I39" s="50">
        <v>3</v>
      </c>
      <c r="J39" s="50">
        <v>1</v>
      </c>
      <c r="K39" s="50">
        <v>2</v>
      </c>
      <c r="L39" s="50">
        <v>1</v>
      </c>
      <c r="M39" s="50">
        <v>102</v>
      </c>
      <c r="N39" s="50">
        <v>0</v>
      </c>
      <c r="O39" s="15">
        <f t="shared" si="0"/>
        <v>87</v>
      </c>
      <c r="P39" s="15">
        <f t="shared" si="1"/>
        <v>189</v>
      </c>
    </row>
    <row r="40" spans="2:20" ht="23.1" customHeight="1" x14ac:dyDescent="0.25">
      <c r="B40" s="24" t="s">
        <v>67</v>
      </c>
      <c r="C40" s="50">
        <v>43</v>
      </c>
      <c r="D40" s="50">
        <v>6</v>
      </c>
      <c r="E40" s="50">
        <v>6</v>
      </c>
      <c r="F40" s="50">
        <v>8</v>
      </c>
      <c r="G40" s="50">
        <v>4</v>
      </c>
      <c r="H40" s="50">
        <v>0</v>
      </c>
      <c r="I40" s="50">
        <v>4</v>
      </c>
      <c r="J40" s="50">
        <v>3</v>
      </c>
      <c r="K40" s="50">
        <v>0</v>
      </c>
      <c r="L40" s="50">
        <v>4</v>
      </c>
      <c r="M40" s="50">
        <v>105</v>
      </c>
      <c r="N40" s="50">
        <v>0</v>
      </c>
      <c r="O40" s="15">
        <f t="shared" si="0"/>
        <v>78</v>
      </c>
      <c r="P40" s="15">
        <f t="shared" si="1"/>
        <v>183</v>
      </c>
    </row>
    <row r="41" spans="2:20" ht="23.1" customHeight="1" x14ac:dyDescent="0.25">
      <c r="B41" s="23" t="s">
        <v>68</v>
      </c>
      <c r="C41" s="50">
        <v>36</v>
      </c>
      <c r="D41" s="50">
        <v>17</v>
      </c>
      <c r="E41" s="50">
        <v>5</v>
      </c>
      <c r="F41" s="50">
        <v>9</v>
      </c>
      <c r="G41" s="50">
        <v>2</v>
      </c>
      <c r="H41" s="50">
        <v>0</v>
      </c>
      <c r="I41" s="50">
        <v>3</v>
      </c>
      <c r="J41" s="50">
        <v>1</v>
      </c>
      <c r="K41" s="50">
        <v>1</v>
      </c>
      <c r="L41" s="50">
        <v>0</v>
      </c>
      <c r="M41" s="50">
        <v>93</v>
      </c>
      <c r="N41" s="50">
        <v>0</v>
      </c>
      <c r="O41" s="15">
        <f t="shared" si="0"/>
        <v>74</v>
      </c>
      <c r="P41" s="15">
        <f t="shared" si="1"/>
        <v>167</v>
      </c>
    </row>
    <row r="42" spans="2:20" ht="23.1" customHeight="1" x14ac:dyDescent="0.25">
      <c r="B42" s="24" t="s">
        <v>69</v>
      </c>
      <c r="C42" s="50">
        <v>39</v>
      </c>
      <c r="D42" s="50">
        <v>17</v>
      </c>
      <c r="E42" s="50">
        <v>8</v>
      </c>
      <c r="F42" s="50">
        <v>9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1</v>
      </c>
      <c r="M42" s="50">
        <v>85</v>
      </c>
      <c r="N42" s="50">
        <v>0</v>
      </c>
      <c r="O42" s="15">
        <f t="shared" si="0"/>
        <v>76</v>
      </c>
      <c r="P42" s="15">
        <f t="shared" si="1"/>
        <v>161</v>
      </c>
    </row>
    <row r="43" spans="2:20" ht="23.1" customHeight="1" x14ac:dyDescent="0.25">
      <c r="B43" s="23" t="s">
        <v>70</v>
      </c>
      <c r="C43" s="50">
        <v>41</v>
      </c>
      <c r="D43" s="50">
        <v>20</v>
      </c>
      <c r="E43" s="50">
        <v>8</v>
      </c>
      <c r="F43" s="50">
        <v>7</v>
      </c>
      <c r="G43" s="50">
        <v>0</v>
      </c>
      <c r="H43" s="50">
        <v>0</v>
      </c>
      <c r="I43" s="50">
        <v>6</v>
      </c>
      <c r="J43" s="50">
        <v>3</v>
      </c>
      <c r="K43" s="50">
        <v>2</v>
      </c>
      <c r="L43" s="50">
        <v>4</v>
      </c>
      <c r="M43" s="50">
        <v>95</v>
      </c>
      <c r="N43" s="50">
        <v>0</v>
      </c>
      <c r="O43" s="15">
        <f t="shared" si="0"/>
        <v>91</v>
      </c>
      <c r="P43" s="15">
        <f t="shared" si="1"/>
        <v>186</v>
      </c>
    </row>
    <row r="44" spans="2:20" ht="23.1" customHeight="1" x14ac:dyDescent="0.25">
      <c r="B44" s="25" t="s">
        <v>71</v>
      </c>
      <c r="C44" s="50">
        <v>39</v>
      </c>
      <c r="D44" s="50">
        <v>8</v>
      </c>
      <c r="E44" s="50">
        <v>7</v>
      </c>
      <c r="F44" s="50">
        <v>10</v>
      </c>
      <c r="G44" s="50">
        <v>0</v>
      </c>
      <c r="H44" s="50">
        <v>0</v>
      </c>
      <c r="I44" s="50">
        <v>4</v>
      </c>
      <c r="J44" s="50">
        <v>2</v>
      </c>
      <c r="K44" s="50">
        <v>2</v>
      </c>
      <c r="L44" s="50">
        <v>0</v>
      </c>
      <c r="M44" s="50">
        <v>75</v>
      </c>
      <c r="N44" s="50">
        <v>0</v>
      </c>
      <c r="O44" s="15">
        <f t="shared" si="0"/>
        <v>72</v>
      </c>
      <c r="P44" s="15">
        <f t="shared" si="1"/>
        <v>147</v>
      </c>
    </row>
    <row r="45" spans="2:20" ht="23.1" customHeight="1" x14ac:dyDescent="0.25">
      <c r="B45" s="23" t="s">
        <v>72</v>
      </c>
      <c r="C45" s="50">
        <v>56</v>
      </c>
      <c r="D45" s="50">
        <v>13</v>
      </c>
      <c r="E45" s="50">
        <v>6</v>
      </c>
      <c r="F45" s="50">
        <v>8</v>
      </c>
      <c r="G45" s="50">
        <v>0</v>
      </c>
      <c r="H45" s="50">
        <v>0</v>
      </c>
      <c r="I45" s="50">
        <v>9</v>
      </c>
      <c r="J45" s="50">
        <v>3</v>
      </c>
      <c r="K45" s="50">
        <v>1</v>
      </c>
      <c r="L45" s="50">
        <v>1</v>
      </c>
      <c r="M45" s="50">
        <v>88</v>
      </c>
      <c r="N45" s="50">
        <v>0</v>
      </c>
      <c r="O45" s="15">
        <f t="shared" si="0"/>
        <v>97</v>
      </c>
      <c r="P45" s="15">
        <f t="shared" si="1"/>
        <v>185</v>
      </c>
    </row>
    <row r="46" spans="2:20" ht="23.1" customHeight="1" x14ac:dyDescent="0.25">
      <c r="B46" s="24" t="s">
        <v>73</v>
      </c>
      <c r="C46" s="50">
        <v>46</v>
      </c>
      <c r="D46" s="50">
        <v>13</v>
      </c>
      <c r="E46" s="50">
        <v>2</v>
      </c>
      <c r="F46" s="50">
        <v>13</v>
      </c>
      <c r="G46" s="50">
        <v>0</v>
      </c>
      <c r="H46" s="50">
        <v>0</v>
      </c>
      <c r="I46" s="50">
        <v>8</v>
      </c>
      <c r="J46" s="50">
        <v>3</v>
      </c>
      <c r="K46" s="50">
        <v>2</v>
      </c>
      <c r="L46" s="50">
        <v>1</v>
      </c>
      <c r="M46" s="50">
        <v>100</v>
      </c>
      <c r="N46" s="50">
        <v>0</v>
      </c>
      <c r="O46" s="15">
        <f t="shared" si="0"/>
        <v>88</v>
      </c>
      <c r="P46" s="15">
        <f t="shared" si="1"/>
        <v>188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14</v>
      </c>
      <c r="E47" s="50">
        <v>4</v>
      </c>
      <c r="F47" s="50">
        <v>8</v>
      </c>
      <c r="G47" s="50">
        <v>0</v>
      </c>
      <c r="H47" s="50">
        <v>0</v>
      </c>
      <c r="I47" s="50">
        <v>3</v>
      </c>
      <c r="J47" s="50">
        <v>2</v>
      </c>
      <c r="K47" s="50">
        <v>1</v>
      </c>
      <c r="L47" s="50">
        <v>3</v>
      </c>
      <c r="M47" s="50">
        <v>100</v>
      </c>
      <c r="N47" s="50">
        <v>0</v>
      </c>
      <c r="O47" s="15">
        <f t="shared" si="0"/>
        <v>85</v>
      </c>
      <c r="P47" s="15">
        <f t="shared" si="1"/>
        <v>185</v>
      </c>
      <c r="R47" s="8"/>
      <c r="T47"/>
    </row>
    <row r="48" spans="2:20" ht="23.1" customHeight="1" x14ac:dyDescent="0.25">
      <c r="B48" s="24" t="s">
        <v>75</v>
      </c>
      <c r="C48" s="50">
        <v>53</v>
      </c>
      <c r="D48" s="50">
        <v>16</v>
      </c>
      <c r="E48" s="50">
        <v>5</v>
      </c>
      <c r="F48" s="50">
        <v>7</v>
      </c>
      <c r="G48" s="50">
        <v>1</v>
      </c>
      <c r="H48" s="50">
        <v>0</v>
      </c>
      <c r="I48" s="50">
        <v>4</v>
      </c>
      <c r="J48" s="50">
        <v>2</v>
      </c>
      <c r="K48" s="50">
        <v>1</v>
      </c>
      <c r="L48" s="50">
        <v>3</v>
      </c>
      <c r="M48" s="50">
        <v>120</v>
      </c>
      <c r="N48" s="50">
        <v>1</v>
      </c>
      <c r="O48" s="15">
        <f t="shared" si="0"/>
        <v>93</v>
      </c>
      <c r="P48" s="15">
        <f t="shared" si="1"/>
        <v>213</v>
      </c>
      <c r="R48" s="8"/>
      <c r="T48"/>
    </row>
    <row r="49" spans="2:20" ht="23.1" customHeight="1" x14ac:dyDescent="0.25">
      <c r="B49" s="23" t="s">
        <v>76</v>
      </c>
      <c r="C49" s="50">
        <v>54</v>
      </c>
      <c r="D49" s="50">
        <v>33</v>
      </c>
      <c r="E49" s="50">
        <v>5</v>
      </c>
      <c r="F49" s="50">
        <v>8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3</v>
      </c>
      <c r="M49" s="50">
        <v>110</v>
      </c>
      <c r="N49" s="50">
        <v>1</v>
      </c>
      <c r="O49" s="15">
        <f t="shared" si="0"/>
        <v>107</v>
      </c>
      <c r="P49" s="15">
        <f t="shared" si="1"/>
        <v>217</v>
      </c>
      <c r="R49" s="8"/>
      <c r="T49"/>
    </row>
    <row r="50" spans="2:20" ht="23.1" customHeight="1" x14ac:dyDescent="0.25">
      <c r="B50" s="24" t="s">
        <v>77</v>
      </c>
      <c r="C50" s="50">
        <v>57</v>
      </c>
      <c r="D50" s="50">
        <v>20</v>
      </c>
      <c r="E50" s="50">
        <v>2</v>
      </c>
      <c r="F50" s="50">
        <v>17</v>
      </c>
      <c r="G50" s="50">
        <v>0</v>
      </c>
      <c r="H50" s="50">
        <v>0</v>
      </c>
      <c r="I50" s="50">
        <v>6</v>
      </c>
      <c r="J50" s="50">
        <v>2</v>
      </c>
      <c r="K50" s="50">
        <v>2</v>
      </c>
      <c r="L50" s="50">
        <v>3</v>
      </c>
      <c r="M50" s="50">
        <v>100</v>
      </c>
      <c r="N50" s="50">
        <v>0</v>
      </c>
      <c r="O50" s="15">
        <f t="shared" si="0"/>
        <v>109</v>
      </c>
      <c r="P50" s="15">
        <f t="shared" si="1"/>
        <v>209</v>
      </c>
      <c r="R50" s="8"/>
      <c r="T50"/>
    </row>
    <row r="51" spans="2:20" ht="23.1" customHeight="1" x14ac:dyDescent="0.25">
      <c r="B51" s="24" t="s">
        <v>78</v>
      </c>
      <c r="C51" s="50">
        <v>41</v>
      </c>
      <c r="D51" s="50">
        <v>18</v>
      </c>
      <c r="E51" s="50">
        <v>1</v>
      </c>
      <c r="F51" s="50">
        <v>9</v>
      </c>
      <c r="G51" s="50">
        <v>0</v>
      </c>
      <c r="H51" s="50">
        <v>0</v>
      </c>
      <c r="I51" s="50">
        <v>7</v>
      </c>
      <c r="J51" s="50">
        <v>2</v>
      </c>
      <c r="K51" s="50">
        <v>0</v>
      </c>
      <c r="L51" s="50">
        <v>1</v>
      </c>
      <c r="M51" s="50">
        <v>120</v>
      </c>
      <c r="N51" s="50">
        <v>0</v>
      </c>
      <c r="O51" s="15">
        <f t="shared" si="0"/>
        <v>79</v>
      </c>
      <c r="P51" s="15">
        <f t="shared" si="1"/>
        <v>199</v>
      </c>
      <c r="R51" s="8"/>
      <c r="T51"/>
    </row>
    <row r="52" spans="2:20" ht="23.1" customHeight="1" x14ac:dyDescent="0.25">
      <c r="B52" s="24" t="s">
        <v>79</v>
      </c>
      <c r="C52" s="50">
        <v>51</v>
      </c>
      <c r="D52" s="50">
        <v>10</v>
      </c>
      <c r="E52" s="50">
        <v>4</v>
      </c>
      <c r="F52" s="50">
        <v>11</v>
      </c>
      <c r="G52" s="50">
        <v>2</v>
      </c>
      <c r="H52" s="50">
        <v>0</v>
      </c>
      <c r="I52" s="50">
        <v>3</v>
      </c>
      <c r="J52" s="50">
        <v>1</v>
      </c>
      <c r="K52" s="50">
        <v>2</v>
      </c>
      <c r="L52" s="50">
        <v>1</v>
      </c>
      <c r="M52" s="50">
        <v>123</v>
      </c>
      <c r="N52" s="50">
        <v>0</v>
      </c>
      <c r="O52" s="15">
        <f t="shared" si="0"/>
        <v>85</v>
      </c>
      <c r="P52" s="15">
        <f t="shared" si="1"/>
        <v>208</v>
      </c>
      <c r="R52" s="8"/>
      <c r="T52"/>
    </row>
    <row r="53" spans="2:20" ht="23.1" customHeight="1" x14ac:dyDescent="0.25">
      <c r="B53" s="23" t="s">
        <v>80</v>
      </c>
      <c r="C53" s="50">
        <v>76</v>
      </c>
      <c r="D53" s="50">
        <v>21</v>
      </c>
      <c r="E53" s="50">
        <v>8</v>
      </c>
      <c r="F53" s="50">
        <v>11</v>
      </c>
      <c r="G53" s="50">
        <v>0</v>
      </c>
      <c r="H53" s="50">
        <v>0</v>
      </c>
      <c r="I53" s="50">
        <v>4</v>
      </c>
      <c r="J53" s="50">
        <v>2</v>
      </c>
      <c r="K53" s="50">
        <v>0</v>
      </c>
      <c r="L53" s="50">
        <v>0</v>
      </c>
      <c r="M53" s="50">
        <v>105</v>
      </c>
      <c r="N53" s="50">
        <v>0</v>
      </c>
      <c r="O53" s="15">
        <f t="shared" si="0"/>
        <v>122</v>
      </c>
      <c r="P53" s="15">
        <f t="shared" si="1"/>
        <v>227</v>
      </c>
      <c r="R53" s="8"/>
      <c r="T53"/>
    </row>
    <row r="54" spans="2:20" ht="23.1" customHeight="1" x14ac:dyDescent="0.25">
      <c r="B54" s="23" t="s">
        <v>81</v>
      </c>
      <c r="C54" s="50">
        <v>35</v>
      </c>
      <c r="D54" s="50">
        <v>14</v>
      </c>
      <c r="E54" s="50">
        <v>6</v>
      </c>
      <c r="F54" s="50">
        <v>10</v>
      </c>
      <c r="G54" s="50">
        <v>0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105</v>
      </c>
      <c r="N54" s="50">
        <v>0</v>
      </c>
      <c r="O54" s="15">
        <f t="shared" si="0"/>
        <v>71</v>
      </c>
      <c r="P54" s="15">
        <f t="shared" si="1"/>
        <v>176</v>
      </c>
      <c r="R54" s="8"/>
      <c r="T54"/>
    </row>
    <row r="55" spans="2:20" ht="23.1" customHeight="1" x14ac:dyDescent="0.25">
      <c r="B55" s="23" t="s">
        <v>82</v>
      </c>
      <c r="C55" s="50">
        <v>38</v>
      </c>
      <c r="D55" s="50">
        <v>15</v>
      </c>
      <c r="E55" s="50">
        <v>6</v>
      </c>
      <c r="F55" s="50">
        <v>13</v>
      </c>
      <c r="G55" s="50">
        <v>0</v>
      </c>
      <c r="H55" s="50">
        <v>0</v>
      </c>
      <c r="I55" s="50">
        <v>5</v>
      </c>
      <c r="J55" s="50">
        <v>1</v>
      </c>
      <c r="K55" s="50">
        <v>0</v>
      </c>
      <c r="L55" s="50">
        <v>0</v>
      </c>
      <c r="M55" s="50">
        <v>90</v>
      </c>
      <c r="N55" s="50">
        <v>0</v>
      </c>
      <c r="O55" s="15">
        <f t="shared" si="0"/>
        <v>78</v>
      </c>
      <c r="P55" s="15">
        <f t="shared" si="1"/>
        <v>168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14</v>
      </c>
      <c r="E56" s="50">
        <v>1</v>
      </c>
      <c r="F56" s="50">
        <v>9</v>
      </c>
      <c r="G56" s="50">
        <v>0</v>
      </c>
      <c r="H56" s="50">
        <v>0</v>
      </c>
      <c r="I56" s="50">
        <v>2</v>
      </c>
      <c r="J56" s="50">
        <v>1</v>
      </c>
      <c r="K56" s="50">
        <v>1</v>
      </c>
      <c r="L56" s="50">
        <v>1</v>
      </c>
      <c r="M56" s="50">
        <v>115</v>
      </c>
      <c r="N56" s="50">
        <v>0</v>
      </c>
      <c r="O56" s="15">
        <f t="shared" si="0"/>
        <v>74</v>
      </c>
      <c r="P56" s="15">
        <f t="shared" si="1"/>
        <v>189</v>
      </c>
      <c r="R56" s="8"/>
      <c r="T56"/>
    </row>
    <row r="57" spans="2:20" ht="23.1" customHeight="1" x14ac:dyDescent="0.25">
      <c r="B57" s="23" t="s">
        <v>84</v>
      </c>
      <c r="C57" s="50">
        <v>33</v>
      </c>
      <c r="D57" s="50">
        <v>9</v>
      </c>
      <c r="E57" s="50">
        <v>4</v>
      </c>
      <c r="F57" s="50">
        <v>6</v>
      </c>
      <c r="G57" s="50">
        <v>0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>
        <v>75</v>
      </c>
      <c r="N57" s="50">
        <v>0</v>
      </c>
      <c r="O57" s="15">
        <f t="shared" si="0"/>
        <v>55</v>
      </c>
      <c r="P57" s="15">
        <f t="shared" si="1"/>
        <v>130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2526</v>
      </c>
      <c r="D58" s="16">
        <f t="shared" si="21"/>
        <v>1067</v>
      </c>
      <c r="E58" s="16">
        <f t="shared" si="21"/>
        <v>285</v>
      </c>
      <c r="F58" s="16">
        <f t="shared" si="21"/>
        <v>489</v>
      </c>
      <c r="G58" s="16">
        <f t="shared" si="21"/>
        <v>19</v>
      </c>
      <c r="H58" s="16">
        <f t="shared" si="21"/>
        <v>0</v>
      </c>
      <c r="I58" s="16">
        <f t="shared" si="21"/>
        <v>194</v>
      </c>
      <c r="J58" s="16">
        <f t="shared" si="21"/>
        <v>100</v>
      </c>
      <c r="K58" s="16">
        <f t="shared" si="21"/>
        <v>32</v>
      </c>
      <c r="L58" s="16">
        <f t="shared" si="21"/>
        <v>67</v>
      </c>
      <c r="M58" s="16">
        <f t="shared" si="21"/>
        <v>5261</v>
      </c>
      <c r="N58" s="16">
        <f t="shared" si="21"/>
        <v>2</v>
      </c>
      <c r="O58" s="16">
        <f t="shared" si="21"/>
        <v>4781</v>
      </c>
      <c r="P58" s="16">
        <f t="shared" si="21"/>
        <v>10042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0.2515435172276439</v>
      </c>
      <c r="D59" s="43">
        <f t="shared" si="22"/>
        <v>0.10625373431587333</v>
      </c>
      <c r="E59" s="43">
        <f t="shared" si="22"/>
        <v>2.8380800637323244E-2</v>
      </c>
      <c r="F59" s="43">
        <f t="shared" si="22"/>
        <v>4.8695478988249351E-2</v>
      </c>
      <c r="G59" s="43">
        <f t="shared" si="22"/>
        <v>1.8920533758215495E-3</v>
      </c>
      <c r="H59" s="43">
        <f t="shared" si="22"/>
        <v>0</v>
      </c>
      <c r="I59" s="43">
        <f t="shared" si="22"/>
        <v>1.9318860784704243E-2</v>
      </c>
      <c r="J59" s="43">
        <f t="shared" si="22"/>
        <v>9.9581756622186823E-3</v>
      </c>
      <c r="K59" s="43">
        <f t="shared" si="22"/>
        <v>3.186616211909978E-3</v>
      </c>
      <c r="L59" s="43">
        <f t="shared" si="22"/>
        <v>6.671977693686517E-3</v>
      </c>
      <c r="M59" s="43">
        <f t="shared" si="22"/>
        <v>0.52389962158932479</v>
      </c>
      <c r="N59" s="43">
        <f t="shared" si="22"/>
        <v>1.9916351324437363E-4</v>
      </c>
      <c r="R59" s="8"/>
      <c r="T59"/>
    </row>
    <row r="60" spans="2:20" ht="23.1" customHeight="1" x14ac:dyDescent="0.25">
      <c r="B60" s="42" t="s">
        <v>94</v>
      </c>
      <c r="C60" s="44">
        <f>C58/$O$58</f>
        <v>0.52834135118176118</v>
      </c>
      <c r="D60" s="44">
        <f t="shared" ref="D60:N60" si="23">D58/$O$58</f>
        <v>0.22317506797741057</v>
      </c>
      <c r="E60" s="44">
        <f t="shared" si="23"/>
        <v>5.9610960050198704E-2</v>
      </c>
      <c r="F60" s="44">
        <f t="shared" si="23"/>
        <v>0.10227985777034093</v>
      </c>
      <c r="G60" s="44">
        <f t="shared" si="23"/>
        <v>3.9740640033465802E-3</v>
      </c>
      <c r="H60" s="44">
        <f t="shared" si="23"/>
        <v>0</v>
      </c>
      <c r="I60" s="44">
        <f t="shared" si="23"/>
        <v>4.0577285086801924E-2</v>
      </c>
      <c r="J60" s="44">
        <f t="shared" si="23"/>
        <v>2.0916126333403055E-2</v>
      </c>
      <c r="K60" s="44">
        <f t="shared" si="23"/>
        <v>6.6931604266889776E-3</v>
      </c>
      <c r="L60" s="44">
        <f t="shared" si="23"/>
        <v>1.4013804643380047E-2</v>
      </c>
      <c r="M60" s="44"/>
      <c r="N60" s="44">
        <f t="shared" si="23"/>
        <v>4.183225266680611E-4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6" sqref="C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Kisaasi-Ntinda'!D5</f>
        <v>31.07.19</v>
      </c>
      <c r="E5" s="3"/>
      <c r="F5" s="41" t="s">
        <v>1</v>
      </c>
      <c r="G5" s="65" t="str">
        <f>'29.07 Kisaasi-Ntinda'!G5:H5</f>
        <v>Ndere Center</v>
      </c>
      <c r="H5" s="66"/>
      <c r="I5" s="14"/>
      <c r="J5" s="2" t="s">
        <v>5</v>
      </c>
      <c r="K5" s="65" t="s">
        <v>170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Ntinda-Kisaasi'!D6:E6</f>
        <v xml:space="preserve">Ntinda </v>
      </c>
      <c r="E6" s="66"/>
      <c r="F6" s="2" t="s">
        <v>2</v>
      </c>
      <c r="G6" s="65" t="str">
        <f>'29.07 Ntinda-Kisaasi'!G6:H6</f>
        <v>Kisaasi</v>
      </c>
      <c r="H6" s="66"/>
      <c r="J6" s="2" t="s">
        <v>21</v>
      </c>
      <c r="K6" s="65" t="str">
        <f>'29.07 Kisaasi-Ntinda'!K6:L6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31</v>
      </c>
      <c r="D10" s="50">
        <v>11</v>
      </c>
      <c r="E10" s="50">
        <v>9</v>
      </c>
      <c r="F10" s="50">
        <v>10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35</v>
      </c>
      <c r="N10" s="50">
        <v>0</v>
      </c>
      <c r="O10" s="15">
        <f t="shared" ref="O10:O57" si="0">SUM(C10:L10,N10)</f>
        <v>62</v>
      </c>
      <c r="P10" s="15">
        <f t="shared" ref="P10:P57" si="1">SUM(C10:N10)</f>
        <v>97</v>
      </c>
      <c r="R10" s="1" t="s">
        <v>6</v>
      </c>
      <c r="S10" s="17">
        <f t="shared" ref="S10:AF10" si="2">SUM(C10:C13)</f>
        <v>135</v>
      </c>
      <c r="T10" s="17">
        <f t="shared" si="2"/>
        <v>59</v>
      </c>
      <c r="U10" s="17">
        <f t="shared" si="2"/>
        <v>20</v>
      </c>
      <c r="V10" s="17">
        <f t="shared" si="2"/>
        <v>95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3</v>
      </c>
      <c r="AA10" s="17">
        <f t="shared" si="2"/>
        <v>4</v>
      </c>
      <c r="AB10" s="17">
        <f t="shared" si="2"/>
        <v>3</v>
      </c>
      <c r="AC10" s="17">
        <f t="shared" si="2"/>
        <v>302</v>
      </c>
      <c r="AD10" s="17">
        <f t="shared" si="2"/>
        <v>0</v>
      </c>
      <c r="AE10" s="31">
        <f t="shared" si="2"/>
        <v>326</v>
      </c>
      <c r="AF10" s="31">
        <f t="shared" si="2"/>
        <v>628</v>
      </c>
    </row>
    <row r="11" spans="2:32" s="6" customFormat="1" ht="23.1" customHeight="1" x14ac:dyDescent="0.25">
      <c r="B11" s="23" t="s">
        <v>38</v>
      </c>
      <c r="C11" s="50">
        <v>40</v>
      </c>
      <c r="D11" s="50">
        <v>21</v>
      </c>
      <c r="E11" s="50">
        <v>6</v>
      </c>
      <c r="F11" s="50">
        <v>42</v>
      </c>
      <c r="G11" s="50">
        <v>1</v>
      </c>
      <c r="H11" s="50">
        <v>0</v>
      </c>
      <c r="I11" s="50">
        <v>2</v>
      </c>
      <c r="J11" s="50">
        <v>0</v>
      </c>
      <c r="K11" s="50">
        <v>2</v>
      </c>
      <c r="L11" s="50">
        <v>2</v>
      </c>
      <c r="M11" s="50">
        <v>75</v>
      </c>
      <c r="N11" s="50">
        <v>0</v>
      </c>
      <c r="O11" s="15">
        <f t="shared" si="0"/>
        <v>116</v>
      </c>
      <c r="P11" s="15">
        <f t="shared" si="1"/>
        <v>191</v>
      </c>
      <c r="R11" s="1" t="s">
        <v>7</v>
      </c>
      <c r="S11" s="17">
        <f t="shared" ref="S11:AF11" si="3">SUM(C14:C17)</f>
        <v>99</v>
      </c>
      <c r="T11" s="17">
        <f t="shared" si="3"/>
        <v>49</v>
      </c>
      <c r="U11" s="17">
        <f t="shared" si="3"/>
        <v>16</v>
      </c>
      <c r="V11" s="17">
        <f t="shared" si="3"/>
        <v>149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0</v>
      </c>
      <c r="AA11" s="17">
        <f t="shared" si="3"/>
        <v>0</v>
      </c>
      <c r="AB11" s="17">
        <f t="shared" si="3"/>
        <v>4</v>
      </c>
      <c r="AC11" s="17">
        <f t="shared" si="3"/>
        <v>498</v>
      </c>
      <c r="AD11" s="17">
        <f t="shared" si="3"/>
        <v>0</v>
      </c>
      <c r="AE11" s="31">
        <f t="shared" si="3"/>
        <v>333</v>
      </c>
      <c r="AF11" s="31">
        <f t="shared" si="3"/>
        <v>831</v>
      </c>
    </row>
    <row r="12" spans="2:32" ht="23.1" customHeight="1" x14ac:dyDescent="0.25">
      <c r="B12" s="23" t="s">
        <v>39</v>
      </c>
      <c r="C12" s="50">
        <v>27</v>
      </c>
      <c r="D12" s="50">
        <v>7</v>
      </c>
      <c r="E12" s="50">
        <v>3</v>
      </c>
      <c r="F12" s="50">
        <v>22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1</v>
      </c>
      <c r="M12" s="50">
        <v>80</v>
      </c>
      <c r="N12" s="50">
        <v>0</v>
      </c>
      <c r="O12" s="15">
        <f t="shared" si="0"/>
        <v>62</v>
      </c>
      <c r="P12" s="15">
        <f t="shared" si="1"/>
        <v>142</v>
      </c>
      <c r="R12" s="1" t="s">
        <v>8</v>
      </c>
      <c r="S12" s="17">
        <f t="shared" ref="S12:AF12" si="4">SUM(C18:C21)</f>
        <v>109</v>
      </c>
      <c r="T12" s="17">
        <f t="shared" si="4"/>
        <v>54</v>
      </c>
      <c r="U12" s="17">
        <f t="shared" si="4"/>
        <v>19</v>
      </c>
      <c r="V12" s="17">
        <f t="shared" si="4"/>
        <v>80</v>
      </c>
      <c r="W12" s="17">
        <f t="shared" si="4"/>
        <v>0</v>
      </c>
      <c r="X12" s="17">
        <f t="shared" si="4"/>
        <v>0</v>
      </c>
      <c r="Y12" s="17">
        <f t="shared" si="4"/>
        <v>18</v>
      </c>
      <c r="Z12" s="17">
        <f t="shared" si="4"/>
        <v>4</v>
      </c>
      <c r="AA12" s="17">
        <f t="shared" si="4"/>
        <v>1</v>
      </c>
      <c r="AB12" s="17">
        <f t="shared" si="4"/>
        <v>10</v>
      </c>
      <c r="AC12" s="17">
        <f t="shared" si="4"/>
        <v>344</v>
      </c>
      <c r="AD12" s="17">
        <f t="shared" si="4"/>
        <v>0</v>
      </c>
      <c r="AE12" s="31">
        <f t="shared" si="4"/>
        <v>295</v>
      </c>
      <c r="AF12" s="31">
        <f t="shared" si="4"/>
        <v>639</v>
      </c>
    </row>
    <row r="13" spans="2:32" ht="23.1" customHeight="1" x14ac:dyDescent="0.25">
      <c r="B13" s="23" t="s">
        <v>40</v>
      </c>
      <c r="C13" s="50">
        <v>37</v>
      </c>
      <c r="D13" s="50">
        <v>20</v>
      </c>
      <c r="E13" s="50">
        <v>2</v>
      </c>
      <c r="F13" s="50">
        <v>21</v>
      </c>
      <c r="G13" s="50">
        <v>0</v>
      </c>
      <c r="H13" s="50">
        <v>0</v>
      </c>
      <c r="I13" s="50">
        <v>1</v>
      </c>
      <c r="J13" s="50">
        <v>3</v>
      </c>
      <c r="K13" s="50">
        <v>2</v>
      </c>
      <c r="L13" s="50">
        <v>0</v>
      </c>
      <c r="M13" s="50">
        <v>112</v>
      </c>
      <c r="N13" s="50">
        <v>0</v>
      </c>
      <c r="O13" s="15">
        <f t="shared" si="0"/>
        <v>86</v>
      </c>
      <c r="P13" s="15">
        <f t="shared" si="1"/>
        <v>198</v>
      </c>
      <c r="R13" s="1" t="s">
        <v>9</v>
      </c>
      <c r="S13" s="17">
        <f t="shared" ref="S13:AF13" si="5">SUM(C22:C25)</f>
        <v>132</v>
      </c>
      <c r="T13" s="17">
        <f t="shared" si="5"/>
        <v>61</v>
      </c>
      <c r="U13" s="17">
        <f t="shared" si="5"/>
        <v>32</v>
      </c>
      <c r="V13" s="17">
        <f t="shared" si="5"/>
        <v>67</v>
      </c>
      <c r="W13" s="17">
        <f t="shared" si="5"/>
        <v>1</v>
      </c>
      <c r="X13" s="17">
        <f t="shared" si="5"/>
        <v>0</v>
      </c>
      <c r="Y13" s="17">
        <f t="shared" si="5"/>
        <v>24</v>
      </c>
      <c r="Z13" s="17">
        <f t="shared" si="5"/>
        <v>5</v>
      </c>
      <c r="AA13" s="17">
        <f t="shared" si="5"/>
        <v>2</v>
      </c>
      <c r="AB13" s="17">
        <f t="shared" si="5"/>
        <v>13</v>
      </c>
      <c r="AC13" s="17">
        <f t="shared" si="5"/>
        <v>267</v>
      </c>
      <c r="AD13" s="17">
        <f t="shared" si="5"/>
        <v>0</v>
      </c>
      <c r="AE13" s="31">
        <f t="shared" si="5"/>
        <v>337</v>
      </c>
      <c r="AF13" s="31">
        <f t="shared" si="5"/>
        <v>604</v>
      </c>
    </row>
    <row r="14" spans="2:32" ht="23.1" customHeight="1" x14ac:dyDescent="0.25">
      <c r="B14" s="23" t="s">
        <v>41</v>
      </c>
      <c r="C14" s="50">
        <v>21</v>
      </c>
      <c r="D14" s="50">
        <v>19</v>
      </c>
      <c r="E14" s="50">
        <v>3</v>
      </c>
      <c r="F14" s="50">
        <v>42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1</v>
      </c>
      <c r="M14" s="50">
        <v>132</v>
      </c>
      <c r="N14" s="50">
        <v>0</v>
      </c>
      <c r="O14" s="15">
        <f t="shared" si="0"/>
        <v>89</v>
      </c>
      <c r="P14" s="15">
        <f t="shared" si="1"/>
        <v>221</v>
      </c>
      <c r="R14" s="1" t="s">
        <v>10</v>
      </c>
      <c r="S14" s="17">
        <f t="shared" ref="S14:AF14" si="6">SUM(C26:C29)</f>
        <v>118</v>
      </c>
      <c r="T14" s="17">
        <f t="shared" si="6"/>
        <v>52</v>
      </c>
      <c r="U14" s="17">
        <f t="shared" si="6"/>
        <v>36</v>
      </c>
      <c r="V14" s="17">
        <f t="shared" si="6"/>
        <v>64</v>
      </c>
      <c r="W14" s="17">
        <f t="shared" si="6"/>
        <v>1</v>
      </c>
      <c r="X14" s="17">
        <f t="shared" si="6"/>
        <v>0</v>
      </c>
      <c r="Y14" s="17">
        <f t="shared" si="6"/>
        <v>28</v>
      </c>
      <c r="Z14" s="17">
        <f t="shared" si="6"/>
        <v>4</v>
      </c>
      <c r="AA14" s="17">
        <f t="shared" si="6"/>
        <v>5</v>
      </c>
      <c r="AB14" s="17">
        <f t="shared" si="6"/>
        <v>23</v>
      </c>
      <c r="AC14" s="17">
        <f t="shared" si="6"/>
        <v>298</v>
      </c>
      <c r="AD14" s="17">
        <f t="shared" si="6"/>
        <v>0</v>
      </c>
      <c r="AE14" s="31">
        <f t="shared" si="6"/>
        <v>331</v>
      </c>
      <c r="AF14" s="31">
        <f t="shared" si="6"/>
        <v>629</v>
      </c>
    </row>
    <row r="15" spans="2:32" ht="23.1" customHeight="1" x14ac:dyDescent="0.25">
      <c r="B15" s="23" t="s">
        <v>42</v>
      </c>
      <c r="C15" s="50">
        <v>23</v>
      </c>
      <c r="D15" s="50">
        <v>8</v>
      </c>
      <c r="E15" s="50">
        <v>4</v>
      </c>
      <c r="F15" s="50">
        <v>30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2</v>
      </c>
      <c r="M15" s="50">
        <v>135</v>
      </c>
      <c r="N15" s="50">
        <v>0</v>
      </c>
      <c r="O15" s="15">
        <f t="shared" si="0"/>
        <v>71</v>
      </c>
      <c r="P15" s="15">
        <f t="shared" si="1"/>
        <v>206</v>
      </c>
      <c r="R15" s="1" t="s">
        <v>11</v>
      </c>
      <c r="S15" s="17">
        <f t="shared" ref="S15:AF15" si="7">SUM(C30:C33)</f>
        <v>135</v>
      </c>
      <c r="T15" s="17">
        <f t="shared" si="7"/>
        <v>57</v>
      </c>
      <c r="U15" s="17">
        <f t="shared" si="7"/>
        <v>21</v>
      </c>
      <c r="V15" s="17">
        <f t="shared" si="7"/>
        <v>152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8</v>
      </c>
      <c r="AA15" s="17">
        <f t="shared" si="7"/>
        <v>3</v>
      </c>
      <c r="AB15" s="17">
        <f t="shared" si="7"/>
        <v>6</v>
      </c>
      <c r="AC15" s="17">
        <f t="shared" si="7"/>
        <v>265</v>
      </c>
      <c r="AD15" s="17">
        <f t="shared" si="7"/>
        <v>0</v>
      </c>
      <c r="AE15" s="31">
        <f t="shared" si="7"/>
        <v>397</v>
      </c>
      <c r="AF15" s="31">
        <f t="shared" si="7"/>
        <v>662</v>
      </c>
    </row>
    <row r="16" spans="2:32" ht="23.1" customHeight="1" x14ac:dyDescent="0.25">
      <c r="B16" s="23" t="s">
        <v>43</v>
      </c>
      <c r="C16" s="50">
        <v>29</v>
      </c>
      <c r="D16" s="50">
        <v>9</v>
      </c>
      <c r="E16" s="50">
        <v>4</v>
      </c>
      <c r="F16" s="50">
        <v>43</v>
      </c>
      <c r="G16" s="50">
        <v>0</v>
      </c>
      <c r="H16" s="50">
        <v>0</v>
      </c>
      <c r="I16" s="50">
        <v>6</v>
      </c>
      <c r="J16" s="50">
        <v>0</v>
      </c>
      <c r="K16" s="50">
        <v>0</v>
      </c>
      <c r="L16" s="50">
        <v>0</v>
      </c>
      <c r="M16" s="50">
        <v>130</v>
      </c>
      <c r="N16" s="50">
        <v>0</v>
      </c>
      <c r="O16" s="15">
        <f t="shared" si="0"/>
        <v>91</v>
      </c>
      <c r="P16" s="15">
        <f t="shared" si="1"/>
        <v>221</v>
      </c>
      <c r="R16" s="1" t="s">
        <v>12</v>
      </c>
      <c r="S16" s="17">
        <f t="shared" ref="S16:AF16" si="8">SUM(C34:C37)</f>
        <v>130</v>
      </c>
      <c r="T16" s="17">
        <f t="shared" si="8"/>
        <v>68</v>
      </c>
      <c r="U16" s="17">
        <f t="shared" si="8"/>
        <v>37</v>
      </c>
      <c r="V16" s="17">
        <f t="shared" si="8"/>
        <v>44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3</v>
      </c>
      <c r="AA16" s="17">
        <f t="shared" si="8"/>
        <v>2</v>
      </c>
      <c r="AB16" s="17">
        <f t="shared" si="8"/>
        <v>8</v>
      </c>
      <c r="AC16" s="17">
        <f t="shared" si="8"/>
        <v>198</v>
      </c>
      <c r="AD16" s="17">
        <f t="shared" si="8"/>
        <v>0</v>
      </c>
      <c r="AE16" s="31">
        <f t="shared" si="8"/>
        <v>307</v>
      </c>
      <c r="AF16" s="31">
        <f t="shared" si="8"/>
        <v>505</v>
      </c>
    </row>
    <row r="17" spans="2:32" ht="23.1" customHeight="1" x14ac:dyDescent="0.25">
      <c r="B17" s="23" t="s">
        <v>44</v>
      </c>
      <c r="C17" s="50">
        <v>26</v>
      </c>
      <c r="D17" s="50">
        <v>13</v>
      </c>
      <c r="E17" s="50">
        <v>5</v>
      </c>
      <c r="F17" s="50">
        <v>34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1</v>
      </c>
      <c r="M17" s="50">
        <v>101</v>
      </c>
      <c r="N17" s="50">
        <v>0</v>
      </c>
      <c r="O17" s="15">
        <f t="shared" si="0"/>
        <v>82</v>
      </c>
      <c r="P17" s="15">
        <f t="shared" si="1"/>
        <v>183</v>
      </c>
      <c r="R17" s="1" t="s">
        <v>13</v>
      </c>
      <c r="S17" s="17">
        <f t="shared" ref="S17:AF17" si="9">SUM(C38:C41)</f>
        <v>152</v>
      </c>
      <c r="T17" s="17">
        <f t="shared" si="9"/>
        <v>90</v>
      </c>
      <c r="U17" s="17">
        <f t="shared" si="9"/>
        <v>28</v>
      </c>
      <c r="V17" s="17">
        <f t="shared" si="9"/>
        <v>53</v>
      </c>
      <c r="W17" s="17">
        <f t="shared" si="9"/>
        <v>0</v>
      </c>
      <c r="X17" s="17">
        <f t="shared" si="9"/>
        <v>0</v>
      </c>
      <c r="Y17" s="17">
        <f t="shared" si="9"/>
        <v>28</v>
      </c>
      <c r="Z17" s="17">
        <f t="shared" si="9"/>
        <v>4</v>
      </c>
      <c r="AA17" s="17">
        <f t="shared" si="9"/>
        <v>3</v>
      </c>
      <c r="AB17" s="17">
        <f t="shared" si="9"/>
        <v>7</v>
      </c>
      <c r="AC17" s="17">
        <f t="shared" si="9"/>
        <v>201</v>
      </c>
      <c r="AD17" s="17">
        <f t="shared" si="9"/>
        <v>0</v>
      </c>
      <c r="AE17" s="31">
        <f t="shared" si="9"/>
        <v>365</v>
      </c>
      <c r="AF17" s="31">
        <f t="shared" si="9"/>
        <v>566</v>
      </c>
    </row>
    <row r="18" spans="2:32" ht="23.1" customHeight="1" x14ac:dyDescent="0.25">
      <c r="B18" s="23" t="s">
        <v>45</v>
      </c>
      <c r="C18" s="50">
        <v>18</v>
      </c>
      <c r="D18" s="50">
        <v>14</v>
      </c>
      <c r="E18" s="50">
        <v>1</v>
      </c>
      <c r="F18" s="50">
        <v>21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1</v>
      </c>
      <c r="M18" s="50">
        <v>87</v>
      </c>
      <c r="N18" s="50">
        <v>0</v>
      </c>
      <c r="O18" s="15">
        <f t="shared" si="0"/>
        <v>59</v>
      </c>
      <c r="P18" s="15">
        <f t="shared" si="1"/>
        <v>146</v>
      </c>
      <c r="R18" s="1" t="s">
        <v>14</v>
      </c>
      <c r="S18" s="17">
        <f t="shared" ref="S18:AF18" si="10">SUM(C42:C45)</f>
        <v>167</v>
      </c>
      <c r="T18" s="17">
        <f t="shared" si="10"/>
        <v>80</v>
      </c>
      <c r="U18" s="17">
        <f t="shared" si="10"/>
        <v>25</v>
      </c>
      <c r="V18" s="17">
        <f t="shared" si="10"/>
        <v>59</v>
      </c>
      <c r="W18" s="17">
        <f t="shared" si="10"/>
        <v>3</v>
      </c>
      <c r="X18" s="17">
        <f t="shared" si="10"/>
        <v>0</v>
      </c>
      <c r="Y18" s="17">
        <f t="shared" si="10"/>
        <v>15</v>
      </c>
      <c r="Z18" s="17">
        <f t="shared" si="10"/>
        <v>5</v>
      </c>
      <c r="AA18" s="17">
        <f t="shared" si="10"/>
        <v>0</v>
      </c>
      <c r="AB18" s="17">
        <f t="shared" si="10"/>
        <v>11</v>
      </c>
      <c r="AC18" s="17">
        <f t="shared" si="10"/>
        <v>275</v>
      </c>
      <c r="AD18" s="17">
        <f t="shared" si="10"/>
        <v>1</v>
      </c>
      <c r="AE18" s="31">
        <f t="shared" si="10"/>
        <v>366</v>
      </c>
      <c r="AF18" s="31">
        <f t="shared" si="10"/>
        <v>641</v>
      </c>
    </row>
    <row r="19" spans="2:32" ht="23.1" customHeight="1" x14ac:dyDescent="0.25">
      <c r="B19" s="23" t="s">
        <v>46</v>
      </c>
      <c r="C19" s="50">
        <v>37</v>
      </c>
      <c r="D19" s="50">
        <v>16</v>
      </c>
      <c r="E19" s="50">
        <v>5</v>
      </c>
      <c r="F19" s="50">
        <v>16</v>
      </c>
      <c r="G19" s="50">
        <v>0</v>
      </c>
      <c r="H19" s="50">
        <v>0</v>
      </c>
      <c r="I19" s="50">
        <v>4</v>
      </c>
      <c r="J19" s="50">
        <v>1</v>
      </c>
      <c r="K19" s="50">
        <v>1</v>
      </c>
      <c r="L19" s="50">
        <v>3</v>
      </c>
      <c r="M19" s="50">
        <v>104</v>
      </c>
      <c r="N19" s="50">
        <v>0</v>
      </c>
      <c r="O19" s="15">
        <f t="shared" si="0"/>
        <v>83</v>
      </c>
      <c r="P19" s="15">
        <f t="shared" si="1"/>
        <v>187</v>
      </c>
      <c r="R19" s="1" t="s">
        <v>15</v>
      </c>
      <c r="S19" s="17">
        <f t="shared" ref="S19:AF19" si="11">SUM(C46:C49)</f>
        <v>243</v>
      </c>
      <c r="T19" s="17">
        <f t="shared" si="11"/>
        <v>97</v>
      </c>
      <c r="U19" s="17">
        <f t="shared" si="11"/>
        <v>31</v>
      </c>
      <c r="V19" s="17">
        <f t="shared" si="11"/>
        <v>68</v>
      </c>
      <c r="W19" s="17">
        <f t="shared" si="11"/>
        <v>3</v>
      </c>
      <c r="X19" s="17">
        <f t="shared" si="11"/>
        <v>1</v>
      </c>
      <c r="Y19" s="17">
        <f t="shared" si="11"/>
        <v>17</v>
      </c>
      <c r="Z19" s="17">
        <f t="shared" si="11"/>
        <v>9</v>
      </c>
      <c r="AA19" s="17">
        <f t="shared" si="11"/>
        <v>3</v>
      </c>
      <c r="AB19" s="17">
        <f t="shared" si="11"/>
        <v>10</v>
      </c>
      <c r="AC19" s="17">
        <f t="shared" si="11"/>
        <v>253</v>
      </c>
      <c r="AD19" s="17">
        <f t="shared" si="11"/>
        <v>0</v>
      </c>
      <c r="AE19" s="31">
        <f t="shared" si="11"/>
        <v>482</v>
      </c>
      <c r="AF19" s="31">
        <f t="shared" si="11"/>
        <v>735</v>
      </c>
    </row>
    <row r="20" spans="2:32" ht="23.1" customHeight="1" x14ac:dyDescent="0.25">
      <c r="B20" s="23" t="s">
        <v>47</v>
      </c>
      <c r="C20" s="50">
        <v>26</v>
      </c>
      <c r="D20" s="50">
        <v>12</v>
      </c>
      <c r="E20" s="50">
        <v>6</v>
      </c>
      <c r="F20" s="50">
        <v>23</v>
      </c>
      <c r="G20" s="50">
        <v>0</v>
      </c>
      <c r="H20" s="50">
        <v>0</v>
      </c>
      <c r="I20" s="50">
        <v>5</v>
      </c>
      <c r="J20" s="50">
        <v>2</v>
      </c>
      <c r="K20" s="50">
        <v>0</v>
      </c>
      <c r="L20" s="50">
        <v>3</v>
      </c>
      <c r="M20" s="50">
        <v>103</v>
      </c>
      <c r="N20" s="50">
        <v>0</v>
      </c>
      <c r="O20" s="15">
        <f t="shared" si="0"/>
        <v>77</v>
      </c>
      <c r="P20" s="15">
        <f t="shared" si="1"/>
        <v>180</v>
      </c>
      <c r="R20" s="1" t="s">
        <v>16</v>
      </c>
      <c r="S20" s="17">
        <f t="shared" ref="S20:AF20" si="12">SUM(C50:C53)</f>
        <v>350</v>
      </c>
      <c r="T20" s="17">
        <f t="shared" si="12"/>
        <v>97</v>
      </c>
      <c r="U20" s="17">
        <f t="shared" si="12"/>
        <v>47</v>
      </c>
      <c r="V20" s="17">
        <f t="shared" si="12"/>
        <v>74</v>
      </c>
      <c r="W20" s="17">
        <f t="shared" si="12"/>
        <v>4</v>
      </c>
      <c r="X20" s="17">
        <f t="shared" si="12"/>
        <v>0</v>
      </c>
      <c r="Y20" s="17">
        <f t="shared" si="12"/>
        <v>15</v>
      </c>
      <c r="Z20" s="17">
        <f t="shared" si="12"/>
        <v>9</v>
      </c>
      <c r="AA20" s="17">
        <f t="shared" si="12"/>
        <v>1</v>
      </c>
      <c r="AB20" s="17">
        <f t="shared" si="12"/>
        <v>5</v>
      </c>
      <c r="AC20" s="17">
        <f t="shared" si="12"/>
        <v>325</v>
      </c>
      <c r="AD20" s="17">
        <f t="shared" si="12"/>
        <v>0</v>
      </c>
      <c r="AE20" s="31">
        <f t="shared" si="12"/>
        <v>602</v>
      </c>
      <c r="AF20" s="31">
        <f t="shared" si="12"/>
        <v>927</v>
      </c>
    </row>
    <row r="21" spans="2:32" ht="23.1" customHeight="1" x14ac:dyDescent="0.25">
      <c r="B21" s="23" t="s">
        <v>48</v>
      </c>
      <c r="C21" s="50">
        <v>28</v>
      </c>
      <c r="D21" s="50">
        <v>12</v>
      </c>
      <c r="E21" s="50">
        <v>7</v>
      </c>
      <c r="F21" s="50">
        <v>20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3</v>
      </c>
      <c r="M21" s="50">
        <v>50</v>
      </c>
      <c r="N21" s="50">
        <v>0</v>
      </c>
      <c r="O21" s="15">
        <f t="shared" si="0"/>
        <v>76</v>
      </c>
      <c r="P21" s="15">
        <f t="shared" si="1"/>
        <v>126</v>
      </c>
      <c r="R21" s="36" t="s">
        <v>20</v>
      </c>
      <c r="S21" s="34">
        <f t="shared" ref="S21:AF21" si="13">SUM(C54:C57)</f>
        <v>339</v>
      </c>
      <c r="T21" s="17">
        <f t="shared" si="13"/>
        <v>118</v>
      </c>
      <c r="U21" s="17">
        <f t="shared" si="13"/>
        <v>40</v>
      </c>
      <c r="V21" s="17">
        <f t="shared" si="13"/>
        <v>72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15</v>
      </c>
      <c r="AA21" s="17">
        <f t="shared" si="13"/>
        <v>6</v>
      </c>
      <c r="AB21" s="17">
        <f t="shared" si="13"/>
        <v>4</v>
      </c>
      <c r="AC21" s="17">
        <f t="shared" si="13"/>
        <v>397</v>
      </c>
      <c r="AD21" s="17">
        <f t="shared" si="13"/>
        <v>0</v>
      </c>
      <c r="AE21" s="31">
        <f t="shared" si="13"/>
        <v>604</v>
      </c>
      <c r="AF21" s="31">
        <f t="shared" si="13"/>
        <v>1001</v>
      </c>
    </row>
    <row r="22" spans="2:32" ht="23.1" customHeight="1" x14ac:dyDescent="0.25">
      <c r="B22" s="23" t="s">
        <v>49</v>
      </c>
      <c r="C22" s="50">
        <v>16</v>
      </c>
      <c r="D22" s="50">
        <v>11</v>
      </c>
      <c r="E22" s="50">
        <v>10</v>
      </c>
      <c r="F22" s="50">
        <v>15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2</v>
      </c>
      <c r="M22" s="50">
        <v>35</v>
      </c>
      <c r="N22" s="50">
        <v>0</v>
      </c>
      <c r="O22" s="15">
        <f t="shared" si="0"/>
        <v>56</v>
      </c>
      <c r="P22" s="15">
        <f t="shared" si="1"/>
        <v>91</v>
      </c>
      <c r="R22" s="38" t="s">
        <v>90</v>
      </c>
      <c r="S22" s="39">
        <f>MAX(S10:S12)</f>
        <v>135</v>
      </c>
      <c r="T22" s="39">
        <f t="shared" ref="T22:AF22" si="14">MAX(T10:T12)</f>
        <v>59</v>
      </c>
      <c r="U22" s="39">
        <f t="shared" si="14"/>
        <v>20</v>
      </c>
      <c r="V22" s="39">
        <f t="shared" si="14"/>
        <v>149</v>
      </c>
      <c r="W22" s="39">
        <f t="shared" si="14"/>
        <v>1</v>
      </c>
      <c r="X22" s="39">
        <f t="shared" si="14"/>
        <v>0</v>
      </c>
      <c r="Y22" s="39">
        <f t="shared" si="14"/>
        <v>18</v>
      </c>
      <c r="Z22" s="39">
        <f t="shared" si="14"/>
        <v>4</v>
      </c>
      <c r="AA22" s="39">
        <f t="shared" si="14"/>
        <v>4</v>
      </c>
      <c r="AB22" s="39">
        <f t="shared" si="14"/>
        <v>10</v>
      </c>
      <c r="AC22" s="39">
        <f t="shared" si="14"/>
        <v>498</v>
      </c>
      <c r="AD22" s="39">
        <f t="shared" si="14"/>
        <v>0</v>
      </c>
      <c r="AE22" s="40">
        <f t="shared" si="14"/>
        <v>333</v>
      </c>
      <c r="AF22" s="40">
        <f t="shared" si="14"/>
        <v>831</v>
      </c>
    </row>
    <row r="23" spans="2:32" ht="23.1" customHeight="1" x14ac:dyDescent="0.25">
      <c r="B23" s="23" t="s">
        <v>50</v>
      </c>
      <c r="C23" s="50">
        <v>61</v>
      </c>
      <c r="D23" s="50">
        <v>17</v>
      </c>
      <c r="E23" s="50">
        <v>7</v>
      </c>
      <c r="F23" s="50">
        <v>28</v>
      </c>
      <c r="G23" s="50">
        <v>0</v>
      </c>
      <c r="H23" s="50">
        <v>0</v>
      </c>
      <c r="I23" s="50">
        <v>9</v>
      </c>
      <c r="J23" s="50">
        <v>4</v>
      </c>
      <c r="K23" s="50">
        <v>1</v>
      </c>
      <c r="L23" s="50">
        <v>8</v>
      </c>
      <c r="M23" s="50">
        <v>90</v>
      </c>
      <c r="N23" s="50">
        <v>0</v>
      </c>
      <c r="O23" s="15">
        <f t="shared" si="0"/>
        <v>135</v>
      </c>
      <c r="P23" s="15">
        <f t="shared" si="1"/>
        <v>225</v>
      </c>
      <c r="R23" s="38" t="s">
        <v>91</v>
      </c>
      <c r="S23" s="39">
        <f>MAX(S13:S18)</f>
        <v>167</v>
      </c>
      <c r="T23" s="39">
        <f t="shared" ref="T23:AF23" si="15">MAX(T13:T18)</f>
        <v>90</v>
      </c>
      <c r="U23" s="39">
        <f t="shared" si="15"/>
        <v>37</v>
      </c>
      <c r="V23" s="39">
        <f t="shared" si="15"/>
        <v>152</v>
      </c>
      <c r="W23" s="39">
        <f t="shared" si="15"/>
        <v>3</v>
      </c>
      <c r="X23" s="39">
        <f t="shared" si="15"/>
        <v>0</v>
      </c>
      <c r="Y23" s="39">
        <f t="shared" si="15"/>
        <v>28</v>
      </c>
      <c r="Z23" s="39">
        <f t="shared" si="15"/>
        <v>8</v>
      </c>
      <c r="AA23" s="39">
        <f t="shared" si="15"/>
        <v>5</v>
      </c>
      <c r="AB23" s="39">
        <f t="shared" si="15"/>
        <v>23</v>
      </c>
      <c r="AC23" s="39">
        <f t="shared" si="15"/>
        <v>298</v>
      </c>
      <c r="AD23" s="39">
        <f t="shared" si="15"/>
        <v>1</v>
      </c>
      <c r="AE23" s="40">
        <f t="shared" si="15"/>
        <v>397</v>
      </c>
      <c r="AF23" s="40">
        <f t="shared" si="15"/>
        <v>662</v>
      </c>
    </row>
    <row r="24" spans="2:32" ht="23.1" customHeight="1" x14ac:dyDescent="0.25">
      <c r="B24" s="23" t="s">
        <v>51</v>
      </c>
      <c r="C24" s="50">
        <v>29</v>
      </c>
      <c r="D24" s="50">
        <v>12</v>
      </c>
      <c r="E24" s="50">
        <v>5</v>
      </c>
      <c r="F24" s="50">
        <v>12</v>
      </c>
      <c r="G24" s="50">
        <v>1</v>
      </c>
      <c r="H24" s="50">
        <v>0</v>
      </c>
      <c r="I24" s="50">
        <v>4</v>
      </c>
      <c r="J24" s="50">
        <v>1</v>
      </c>
      <c r="K24" s="50">
        <v>0</v>
      </c>
      <c r="L24" s="50">
        <v>2</v>
      </c>
      <c r="M24" s="50">
        <v>40</v>
      </c>
      <c r="N24" s="50">
        <v>0</v>
      </c>
      <c r="O24" s="15">
        <f t="shared" si="0"/>
        <v>66</v>
      </c>
      <c r="P24" s="15">
        <f t="shared" si="1"/>
        <v>106</v>
      </c>
      <c r="R24" s="38" t="s">
        <v>92</v>
      </c>
      <c r="S24" s="39">
        <f>MAX(S19:S21)</f>
        <v>350</v>
      </c>
      <c r="T24" s="39">
        <f t="shared" ref="T24:AF24" si="16">MAX(T19:T21)</f>
        <v>118</v>
      </c>
      <c r="U24" s="39">
        <f t="shared" si="16"/>
        <v>47</v>
      </c>
      <c r="V24" s="39">
        <f t="shared" si="16"/>
        <v>74</v>
      </c>
      <c r="W24" s="39">
        <f t="shared" si="16"/>
        <v>4</v>
      </c>
      <c r="X24" s="39">
        <f t="shared" si="16"/>
        <v>1</v>
      </c>
      <c r="Y24" s="39">
        <f t="shared" si="16"/>
        <v>17</v>
      </c>
      <c r="Z24" s="39">
        <f t="shared" si="16"/>
        <v>15</v>
      </c>
      <c r="AA24" s="39">
        <f t="shared" si="16"/>
        <v>6</v>
      </c>
      <c r="AB24" s="39">
        <f t="shared" si="16"/>
        <v>10</v>
      </c>
      <c r="AC24" s="39">
        <f t="shared" si="16"/>
        <v>397</v>
      </c>
      <c r="AD24" s="39">
        <f t="shared" si="16"/>
        <v>0</v>
      </c>
      <c r="AE24" s="40">
        <f t="shared" si="16"/>
        <v>604</v>
      </c>
      <c r="AF24" s="40">
        <f t="shared" si="16"/>
        <v>1001</v>
      </c>
    </row>
    <row r="25" spans="2:32" ht="23.1" customHeight="1" x14ac:dyDescent="0.25">
      <c r="B25" s="23" t="s">
        <v>52</v>
      </c>
      <c r="C25" s="50">
        <v>26</v>
      </c>
      <c r="D25" s="50">
        <v>21</v>
      </c>
      <c r="E25" s="50">
        <v>10</v>
      </c>
      <c r="F25" s="50">
        <v>12</v>
      </c>
      <c r="G25" s="50">
        <v>0</v>
      </c>
      <c r="H25" s="50">
        <v>0</v>
      </c>
      <c r="I25" s="50">
        <v>9</v>
      </c>
      <c r="J25" s="50">
        <v>0</v>
      </c>
      <c r="K25" s="50">
        <v>1</v>
      </c>
      <c r="L25" s="50">
        <v>1</v>
      </c>
      <c r="M25" s="50">
        <v>102</v>
      </c>
      <c r="N25" s="50">
        <v>0</v>
      </c>
      <c r="O25" s="15">
        <f t="shared" si="0"/>
        <v>80</v>
      </c>
      <c r="P25" s="15">
        <f t="shared" si="1"/>
        <v>182</v>
      </c>
      <c r="R25" s="37" t="s">
        <v>85</v>
      </c>
      <c r="S25" s="35">
        <f t="shared" ref="S25:AF25" si="17">SUM(S10:S12)</f>
        <v>343</v>
      </c>
      <c r="T25" s="16">
        <f t="shared" si="17"/>
        <v>162</v>
      </c>
      <c r="U25" s="16">
        <f t="shared" si="17"/>
        <v>55</v>
      </c>
      <c r="V25" s="16">
        <f t="shared" si="17"/>
        <v>324</v>
      </c>
      <c r="W25" s="16">
        <f t="shared" si="17"/>
        <v>1</v>
      </c>
      <c r="X25" s="16">
        <f t="shared" si="17"/>
        <v>0</v>
      </c>
      <c r="Y25" s="16">
        <f t="shared" si="17"/>
        <v>40</v>
      </c>
      <c r="Z25" s="16">
        <f t="shared" si="17"/>
        <v>7</v>
      </c>
      <c r="AA25" s="16">
        <f t="shared" si="17"/>
        <v>5</v>
      </c>
      <c r="AB25" s="16">
        <f t="shared" si="17"/>
        <v>17</v>
      </c>
      <c r="AC25" s="16">
        <f t="shared" si="17"/>
        <v>1144</v>
      </c>
      <c r="AD25" s="16">
        <f t="shared" si="17"/>
        <v>0</v>
      </c>
      <c r="AE25" s="32">
        <f t="shared" si="17"/>
        <v>954</v>
      </c>
      <c r="AF25" s="32">
        <f t="shared" si="17"/>
        <v>2098</v>
      </c>
    </row>
    <row r="26" spans="2:32" ht="23.1" customHeight="1" x14ac:dyDescent="0.25">
      <c r="B26" s="23" t="s">
        <v>53</v>
      </c>
      <c r="C26" s="50">
        <v>34</v>
      </c>
      <c r="D26" s="50">
        <v>13</v>
      </c>
      <c r="E26" s="50">
        <v>5</v>
      </c>
      <c r="F26" s="50">
        <v>17</v>
      </c>
      <c r="G26" s="50">
        <v>0</v>
      </c>
      <c r="H26" s="50">
        <v>0</v>
      </c>
      <c r="I26" s="50">
        <v>7</v>
      </c>
      <c r="J26" s="50">
        <v>0</v>
      </c>
      <c r="K26" s="50">
        <v>0</v>
      </c>
      <c r="L26" s="50">
        <v>1</v>
      </c>
      <c r="M26" s="50">
        <v>75</v>
      </c>
      <c r="N26" s="50">
        <v>0</v>
      </c>
      <c r="O26" s="15">
        <f t="shared" si="0"/>
        <v>77</v>
      </c>
      <c r="P26" s="15">
        <f t="shared" si="1"/>
        <v>152</v>
      </c>
      <c r="R26" s="28" t="s">
        <v>86</v>
      </c>
      <c r="S26" s="16">
        <f t="shared" ref="S26:AF26" si="18">SUM(S13:S18)</f>
        <v>834</v>
      </c>
      <c r="T26" s="16">
        <f t="shared" si="18"/>
        <v>408</v>
      </c>
      <c r="U26" s="16">
        <f t="shared" si="18"/>
        <v>179</v>
      </c>
      <c r="V26" s="16">
        <f t="shared" si="18"/>
        <v>439</v>
      </c>
      <c r="W26" s="16">
        <f t="shared" si="18"/>
        <v>6</v>
      </c>
      <c r="X26" s="16">
        <f t="shared" si="18"/>
        <v>0</v>
      </c>
      <c r="Y26" s="16">
        <f t="shared" si="18"/>
        <v>124</v>
      </c>
      <c r="Z26" s="16">
        <f t="shared" si="18"/>
        <v>29</v>
      </c>
      <c r="AA26" s="16">
        <f t="shared" si="18"/>
        <v>15</v>
      </c>
      <c r="AB26" s="16">
        <f t="shared" si="18"/>
        <v>68</v>
      </c>
      <c r="AC26" s="16">
        <f t="shared" si="18"/>
        <v>1504</v>
      </c>
      <c r="AD26" s="16">
        <f t="shared" si="18"/>
        <v>1</v>
      </c>
      <c r="AE26" s="32">
        <f t="shared" si="18"/>
        <v>2103</v>
      </c>
      <c r="AF26" s="32">
        <f t="shared" si="18"/>
        <v>3607</v>
      </c>
    </row>
    <row r="27" spans="2:32" ht="23.1" customHeight="1" x14ac:dyDescent="0.25">
      <c r="B27" s="23" t="s">
        <v>54</v>
      </c>
      <c r="C27" s="50">
        <v>31</v>
      </c>
      <c r="D27" s="50">
        <v>12</v>
      </c>
      <c r="E27" s="50">
        <v>6</v>
      </c>
      <c r="F27" s="50">
        <v>13</v>
      </c>
      <c r="G27" s="50">
        <v>1</v>
      </c>
      <c r="H27" s="50">
        <v>0</v>
      </c>
      <c r="I27" s="50">
        <v>3</v>
      </c>
      <c r="J27" s="50">
        <v>1</v>
      </c>
      <c r="K27" s="50">
        <v>0</v>
      </c>
      <c r="L27" s="50">
        <v>3</v>
      </c>
      <c r="M27" s="50">
        <v>50</v>
      </c>
      <c r="N27" s="50">
        <v>0</v>
      </c>
      <c r="O27" s="15">
        <f t="shared" si="0"/>
        <v>70</v>
      </c>
      <c r="P27" s="15">
        <f t="shared" si="1"/>
        <v>120</v>
      </c>
      <c r="R27" s="29" t="s">
        <v>87</v>
      </c>
      <c r="S27" s="16">
        <f t="shared" ref="S27:AF27" si="19">SUM(S19:S21)</f>
        <v>932</v>
      </c>
      <c r="T27" s="16">
        <f t="shared" si="19"/>
        <v>312</v>
      </c>
      <c r="U27" s="16">
        <f t="shared" si="19"/>
        <v>118</v>
      </c>
      <c r="V27" s="16">
        <f t="shared" si="19"/>
        <v>214</v>
      </c>
      <c r="W27" s="16">
        <f t="shared" si="19"/>
        <v>7</v>
      </c>
      <c r="X27" s="16">
        <f t="shared" si="19"/>
        <v>1</v>
      </c>
      <c r="Y27" s="16">
        <f t="shared" si="19"/>
        <v>42</v>
      </c>
      <c r="Z27" s="16">
        <f t="shared" si="19"/>
        <v>33</v>
      </c>
      <c r="AA27" s="16">
        <f t="shared" si="19"/>
        <v>10</v>
      </c>
      <c r="AB27" s="16">
        <f t="shared" si="19"/>
        <v>19</v>
      </c>
      <c r="AC27" s="16">
        <f t="shared" si="19"/>
        <v>975</v>
      </c>
      <c r="AD27" s="16">
        <f t="shared" si="19"/>
        <v>0</v>
      </c>
      <c r="AE27" s="32">
        <f t="shared" si="19"/>
        <v>1688</v>
      </c>
      <c r="AF27" s="32">
        <f t="shared" si="19"/>
        <v>2663</v>
      </c>
    </row>
    <row r="28" spans="2:32" ht="23.1" customHeight="1" x14ac:dyDescent="0.25">
      <c r="B28" s="23" t="s">
        <v>55</v>
      </c>
      <c r="C28" s="50">
        <v>21</v>
      </c>
      <c r="D28" s="50">
        <v>10</v>
      </c>
      <c r="E28" s="50">
        <v>13</v>
      </c>
      <c r="F28" s="50">
        <v>13</v>
      </c>
      <c r="G28" s="50">
        <v>0</v>
      </c>
      <c r="H28" s="50">
        <v>0</v>
      </c>
      <c r="I28" s="50">
        <v>8</v>
      </c>
      <c r="J28" s="50">
        <v>2</v>
      </c>
      <c r="K28" s="50">
        <v>4</v>
      </c>
      <c r="L28" s="50">
        <v>12</v>
      </c>
      <c r="M28" s="50">
        <v>95</v>
      </c>
      <c r="N28" s="50">
        <v>0</v>
      </c>
      <c r="O28" s="15">
        <f t="shared" si="0"/>
        <v>83</v>
      </c>
      <c r="P28" s="15">
        <f t="shared" si="1"/>
        <v>178</v>
      </c>
      <c r="R28" s="5" t="s">
        <v>17</v>
      </c>
      <c r="S28" s="16">
        <f t="shared" ref="S28:AF28" si="20">SUM(S10:S21)</f>
        <v>2109</v>
      </c>
      <c r="T28" s="16">
        <f t="shared" si="20"/>
        <v>882</v>
      </c>
      <c r="U28" s="16">
        <f t="shared" si="20"/>
        <v>352</v>
      </c>
      <c r="V28" s="16">
        <f t="shared" si="20"/>
        <v>977</v>
      </c>
      <c r="W28" s="16">
        <f t="shared" si="20"/>
        <v>14</v>
      </c>
      <c r="X28" s="16">
        <f t="shared" si="20"/>
        <v>1</v>
      </c>
      <c r="Y28" s="16">
        <f t="shared" si="20"/>
        <v>206</v>
      </c>
      <c r="Z28" s="16">
        <f t="shared" si="20"/>
        <v>69</v>
      </c>
      <c r="AA28" s="16">
        <f t="shared" si="20"/>
        <v>30</v>
      </c>
      <c r="AB28" s="16">
        <f t="shared" si="20"/>
        <v>104</v>
      </c>
      <c r="AC28" s="16">
        <f t="shared" si="20"/>
        <v>3623</v>
      </c>
      <c r="AD28" s="16">
        <f t="shared" si="20"/>
        <v>1</v>
      </c>
      <c r="AE28" s="32">
        <f t="shared" si="20"/>
        <v>4745</v>
      </c>
      <c r="AF28" s="32">
        <f t="shared" si="20"/>
        <v>8368</v>
      </c>
    </row>
    <row r="29" spans="2:32" ht="23.1" customHeight="1" x14ac:dyDescent="0.25">
      <c r="B29" s="23" t="s">
        <v>56</v>
      </c>
      <c r="C29" s="50">
        <v>32</v>
      </c>
      <c r="D29" s="50">
        <v>17</v>
      </c>
      <c r="E29" s="50">
        <v>12</v>
      </c>
      <c r="F29" s="50">
        <v>21</v>
      </c>
      <c r="G29" s="50">
        <v>0</v>
      </c>
      <c r="H29" s="50">
        <v>0</v>
      </c>
      <c r="I29" s="50">
        <v>10</v>
      </c>
      <c r="J29" s="50">
        <v>1</v>
      </c>
      <c r="K29" s="50">
        <v>1</v>
      </c>
      <c r="L29" s="50">
        <v>7</v>
      </c>
      <c r="M29" s="50">
        <v>78</v>
      </c>
      <c r="N29" s="50">
        <v>0</v>
      </c>
      <c r="O29" s="15">
        <f t="shared" si="0"/>
        <v>101</v>
      </c>
      <c r="P29" s="15">
        <f t="shared" si="1"/>
        <v>179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17</v>
      </c>
      <c r="E30" s="50">
        <v>8</v>
      </c>
      <c r="F30" s="50">
        <v>13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1</v>
      </c>
      <c r="M30" s="50">
        <v>65</v>
      </c>
      <c r="N30" s="50">
        <v>0</v>
      </c>
      <c r="O30" s="15">
        <f t="shared" si="0"/>
        <v>78</v>
      </c>
      <c r="P30" s="15">
        <f t="shared" si="1"/>
        <v>143</v>
      </c>
    </row>
    <row r="31" spans="2:32" ht="23.1" customHeight="1" x14ac:dyDescent="0.25">
      <c r="B31" s="24" t="s">
        <v>58</v>
      </c>
      <c r="C31" s="50">
        <v>36</v>
      </c>
      <c r="D31" s="50">
        <v>16</v>
      </c>
      <c r="E31" s="50">
        <v>6</v>
      </c>
      <c r="F31" s="50">
        <v>16</v>
      </c>
      <c r="G31" s="50">
        <v>0</v>
      </c>
      <c r="H31" s="50">
        <v>0</v>
      </c>
      <c r="I31" s="50">
        <v>3</v>
      </c>
      <c r="J31" s="50">
        <v>3</v>
      </c>
      <c r="K31" s="50">
        <v>2</v>
      </c>
      <c r="L31" s="50">
        <v>1</v>
      </c>
      <c r="M31" s="50">
        <v>50</v>
      </c>
      <c r="N31" s="50">
        <v>0</v>
      </c>
      <c r="O31" s="15">
        <f t="shared" si="0"/>
        <v>83</v>
      </c>
      <c r="P31" s="15">
        <f t="shared" si="1"/>
        <v>133</v>
      </c>
    </row>
    <row r="32" spans="2:32" ht="23.1" customHeight="1" x14ac:dyDescent="0.25">
      <c r="B32" s="24" t="s">
        <v>59</v>
      </c>
      <c r="C32" s="50">
        <v>32</v>
      </c>
      <c r="D32" s="50">
        <v>13</v>
      </c>
      <c r="E32" s="50">
        <v>6</v>
      </c>
      <c r="F32" s="50">
        <v>110</v>
      </c>
      <c r="G32" s="50">
        <v>0</v>
      </c>
      <c r="H32" s="50">
        <v>0</v>
      </c>
      <c r="I32" s="50">
        <v>6</v>
      </c>
      <c r="J32" s="50">
        <v>2</v>
      </c>
      <c r="K32" s="50">
        <v>1</v>
      </c>
      <c r="L32" s="50">
        <v>1</v>
      </c>
      <c r="M32" s="50">
        <v>85</v>
      </c>
      <c r="N32" s="50">
        <v>0</v>
      </c>
      <c r="O32" s="15">
        <f t="shared" si="0"/>
        <v>171</v>
      </c>
      <c r="P32" s="15">
        <f t="shared" si="1"/>
        <v>256</v>
      </c>
    </row>
    <row r="33" spans="2:20" ht="23.1" customHeight="1" x14ac:dyDescent="0.25">
      <c r="B33" s="23" t="s">
        <v>60</v>
      </c>
      <c r="C33" s="50">
        <v>33</v>
      </c>
      <c r="D33" s="50">
        <v>11</v>
      </c>
      <c r="E33" s="50">
        <v>1</v>
      </c>
      <c r="F33" s="50">
        <v>13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3</v>
      </c>
      <c r="M33" s="50">
        <v>65</v>
      </c>
      <c r="N33" s="50">
        <v>0</v>
      </c>
      <c r="O33" s="15">
        <f t="shared" si="0"/>
        <v>65</v>
      </c>
      <c r="P33" s="15">
        <f t="shared" si="1"/>
        <v>130</v>
      </c>
    </row>
    <row r="34" spans="2:20" ht="23.1" customHeight="1" x14ac:dyDescent="0.25">
      <c r="B34" s="24" t="s">
        <v>61</v>
      </c>
      <c r="C34" s="50">
        <v>25</v>
      </c>
      <c r="D34" s="50">
        <v>20</v>
      </c>
      <c r="E34" s="50">
        <v>21</v>
      </c>
      <c r="F34" s="50">
        <v>12</v>
      </c>
      <c r="G34" s="50">
        <v>0</v>
      </c>
      <c r="H34" s="50">
        <v>0</v>
      </c>
      <c r="I34" s="50">
        <v>8</v>
      </c>
      <c r="J34" s="50">
        <v>0</v>
      </c>
      <c r="K34" s="50">
        <v>0</v>
      </c>
      <c r="L34" s="50">
        <v>1</v>
      </c>
      <c r="M34" s="50">
        <v>40</v>
      </c>
      <c r="N34" s="50">
        <v>0</v>
      </c>
      <c r="O34" s="15">
        <f t="shared" si="0"/>
        <v>87</v>
      </c>
      <c r="P34" s="15">
        <f t="shared" si="1"/>
        <v>127</v>
      </c>
    </row>
    <row r="35" spans="2:20" ht="23.1" customHeight="1" x14ac:dyDescent="0.25">
      <c r="B35" s="24" t="s">
        <v>62</v>
      </c>
      <c r="C35" s="50">
        <v>35</v>
      </c>
      <c r="D35" s="50">
        <v>7</v>
      </c>
      <c r="E35" s="50">
        <v>1</v>
      </c>
      <c r="F35" s="50">
        <v>5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2</v>
      </c>
      <c r="M35" s="50">
        <v>65</v>
      </c>
      <c r="N35" s="50">
        <v>0</v>
      </c>
      <c r="O35" s="15">
        <f t="shared" si="0"/>
        <v>51</v>
      </c>
      <c r="P35" s="15">
        <f t="shared" si="1"/>
        <v>116</v>
      </c>
    </row>
    <row r="36" spans="2:20" ht="23.1" customHeight="1" x14ac:dyDescent="0.25">
      <c r="B36" s="24" t="s">
        <v>63</v>
      </c>
      <c r="C36" s="50">
        <v>30</v>
      </c>
      <c r="D36" s="50">
        <v>20</v>
      </c>
      <c r="E36" s="50">
        <v>7</v>
      </c>
      <c r="F36" s="50">
        <v>11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3</v>
      </c>
      <c r="M36" s="50">
        <v>53</v>
      </c>
      <c r="N36" s="50">
        <v>0</v>
      </c>
      <c r="O36" s="15">
        <f t="shared" si="0"/>
        <v>74</v>
      </c>
      <c r="P36" s="15">
        <f t="shared" si="1"/>
        <v>127</v>
      </c>
    </row>
    <row r="37" spans="2:20" ht="23.1" customHeight="1" x14ac:dyDescent="0.25">
      <c r="B37" s="23" t="s">
        <v>64</v>
      </c>
      <c r="C37" s="50">
        <v>40</v>
      </c>
      <c r="D37" s="50">
        <v>21</v>
      </c>
      <c r="E37" s="50">
        <v>8</v>
      </c>
      <c r="F37" s="50">
        <v>16</v>
      </c>
      <c r="G37" s="50">
        <v>1</v>
      </c>
      <c r="H37" s="50">
        <v>0</v>
      </c>
      <c r="I37" s="50">
        <v>3</v>
      </c>
      <c r="J37" s="50">
        <v>2</v>
      </c>
      <c r="K37" s="50">
        <v>2</v>
      </c>
      <c r="L37" s="50">
        <v>2</v>
      </c>
      <c r="M37" s="50">
        <v>40</v>
      </c>
      <c r="N37" s="50">
        <v>0</v>
      </c>
      <c r="O37" s="15">
        <f t="shared" si="0"/>
        <v>95</v>
      </c>
      <c r="P37" s="15">
        <f t="shared" si="1"/>
        <v>135</v>
      </c>
    </row>
    <row r="38" spans="2:20" ht="23.1" customHeight="1" x14ac:dyDescent="0.25">
      <c r="B38" s="24" t="s">
        <v>65</v>
      </c>
      <c r="C38" s="50">
        <v>41</v>
      </c>
      <c r="D38" s="50">
        <v>24</v>
      </c>
      <c r="E38" s="50">
        <v>6</v>
      </c>
      <c r="F38" s="50">
        <v>7</v>
      </c>
      <c r="G38" s="50">
        <v>0</v>
      </c>
      <c r="H38" s="50">
        <v>0</v>
      </c>
      <c r="I38" s="50">
        <v>5</v>
      </c>
      <c r="J38" s="50">
        <v>1</v>
      </c>
      <c r="K38" s="50">
        <v>2</v>
      </c>
      <c r="L38" s="50">
        <v>0</v>
      </c>
      <c r="M38" s="50">
        <v>60</v>
      </c>
      <c r="N38" s="50">
        <v>0</v>
      </c>
      <c r="O38" s="15">
        <f t="shared" si="0"/>
        <v>86</v>
      </c>
      <c r="P38" s="15">
        <f t="shared" si="1"/>
        <v>146</v>
      </c>
    </row>
    <row r="39" spans="2:20" ht="23.1" customHeight="1" x14ac:dyDescent="0.25">
      <c r="B39" s="24" t="s">
        <v>66</v>
      </c>
      <c r="C39" s="50">
        <v>34</v>
      </c>
      <c r="D39" s="50">
        <v>20</v>
      </c>
      <c r="E39" s="50">
        <v>10</v>
      </c>
      <c r="F39" s="50">
        <v>20</v>
      </c>
      <c r="G39" s="50">
        <v>0</v>
      </c>
      <c r="H39" s="50">
        <v>0</v>
      </c>
      <c r="I39" s="50">
        <v>6</v>
      </c>
      <c r="J39" s="50">
        <v>1</v>
      </c>
      <c r="K39" s="50">
        <v>0</v>
      </c>
      <c r="L39" s="50">
        <v>4</v>
      </c>
      <c r="M39" s="50">
        <v>50</v>
      </c>
      <c r="N39" s="50">
        <v>0</v>
      </c>
      <c r="O39" s="15">
        <f t="shared" si="0"/>
        <v>95</v>
      </c>
      <c r="P39" s="15">
        <f t="shared" si="1"/>
        <v>145</v>
      </c>
    </row>
    <row r="40" spans="2:20" ht="23.1" customHeight="1" x14ac:dyDescent="0.25">
      <c r="B40" s="24" t="s">
        <v>67</v>
      </c>
      <c r="C40" s="50">
        <v>34</v>
      </c>
      <c r="D40" s="50">
        <v>18</v>
      </c>
      <c r="E40" s="50">
        <v>6</v>
      </c>
      <c r="F40" s="50">
        <v>15</v>
      </c>
      <c r="G40" s="50">
        <v>0</v>
      </c>
      <c r="H40" s="50">
        <v>0</v>
      </c>
      <c r="I40" s="50">
        <v>11</v>
      </c>
      <c r="J40" s="50">
        <v>1</v>
      </c>
      <c r="K40" s="50">
        <v>1</v>
      </c>
      <c r="L40" s="50">
        <v>0</v>
      </c>
      <c r="M40" s="50">
        <v>51</v>
      </c>
      <c r="N40" s="50">
        <v>0</v>
      </c>
      <c r="O40" s="15">
        <f t="shared" si="0"/>
        <v>86</v>
      </c>
      <c r="P40" s="15">
        <f t="shared" si="1"/>
        <v>137</v>
      </c>
    </row>
    <row r="41" spans="2:20" ht="23.1" customHeight="1" x14ac:dyDescent="0.25">
      <c r="B41" s="23" t="s">
        <v>68</v>
      </c>
      <c r="C41" s="50">
        <v>43</v>
      </c>
      <c r="D41" s="50">
        <v>28</v>
      </c>
      <c r="E41" s="50">
        <v>6</v>
      </c>
      <c r="F41" s="50">
        <v>11</v>
      </c>
      <c r="G41" s="50">
        <v>0</v>
      </c>
      <c r="H41" s="50">
        <v>0</v>
      </c>
      <c r="I41" s="50">
        <v>6</v>
      </c>
      <c r="J41" s="50">
        <v>1</v>
      </c>
      <c r="K41" s="50">
        <v>0</v>
      </c>
      <c r="L41" s="50">
        <v>3</v>
      </c>
      <c r="M41" s="50">
        <v>40</v>
      </c>
      <c r="N41" s="50">
        <v>0</v>
      </c>
      <c r="O41" s="15">
        <f t="shared" si="0"/>
        <v>98</v>
      </c>
      <c r="P41" s="15">
        <f t="shared" si="1"/>
        <v>138</v>
      </c>
    </row>
    <row r="42" spans="2:20" ht="23.1" customHeight="1" x14ac:dyDescent="0.25">
      <c r="B42" s="24" t="s">
        <v>69</v>
      </c>
      <c r="C42" s="50">
        <v>37</v>
      </c>
      <c r="D42" s="50">
        <v>22</v>
      </c>
      <c r="E42" s="50">
        <v>3</v>
      </c>
      <c r="F42" s="50">
        <v>7</v>
      </c>
      <c r="G42" s="50">
        <v>0</v>
      </c>
      <c r="H42" s="50">
        <v>0</v>
      </c>
      <c r="I42" s="50">
        <v>4</v>
      </c>
      <c r="J42" s="50">
        <v>2</v>
      </c>
      <c r="K42" s="50">
        <v>0</v>
      </c>
      <c r="L42" s="50">
        <v>3</v>
      </c>
      <c r="M42" s="50">
        <v>65</v>
      </c>
      <c r="N42" s="50">
        <v>0</v>
      </c>
      <c r="O42" s="15">
        <f t="shared" si="0"/>
        <v>78</v>
      </c>
      <c r="P42" s="15">
        <f t="shared" si="1"/>
        <v>143</v>
      </c>
    </row>
    <row r="43" spans="2:20" ht="23.1" customHeight="1" x14ac:dyDescent="0.25">
      <c r="B43" s="23" t="s">
        <v>70</v>
      </c>
      <c r="C43" s="50">
        <v>44</v>
      </c>
      <c r="D43" s="50">
        <v>18</v>
      </c>
      <c r="E43" s="50">
        <v>5</v>
      </c>
      <c r="F43" s="50">
        <v>17</v>
      </c>
      <c r="G43" s="50">
        <v>1</v>
      </c>
      <c r="H43" s="50">
        <v>0</v>
      </c>
      <c r="I43" s="50">
        <v>5</v>
      </c>
      <c r="J43" s="50">
        <v>1</v>
      </c>
      <c r="K43" s="50">
        <v>0</v>
      </c>
      <c r="L43" s="50">
        <v>1</v>
      </c>
      <c r="M43" s="50">
        <v>85</v>
      </c>
      <c r="N43" s="50">
        <v>0</v>
      </c>
      <c r="O43" s="15">
        <f t="shared" si="0"/>
        <v>92</v>
      </c>
      <c r="P43" s="15">
        <f t="shared" si="1"/>
        <v>177</v>
      </c>
    </row>
    <row r="44" spans="2:20" ht="23.1" customHeight="1" x14ac:dyDescent="0.25">
      <c r="B44" s="25" t="s">
        <v>71</v>
      </c>
      <c r="C44" s="50">
        <v>41</v>
      </c>
      <c r="D44" s="50">
        <v>16</v>
      </c>
      <c r="E44" s="50">
        <v>11</v>
      </c>
      <c r="F44" s="50">
        <v>22</v>
      </c>
      <c r="G44" s="50">
        <v>1</v>
      </c>
      <c r="H44" s="50">
        <v>0</v>
      </c>
      <c r="I44" s="50">
        <v>3</v>
      </c>
      <c r="J44" s="50">
        <v>0</v>
      </c>
      <c r="K44" s="50">
        <v>0</v>
      </c>
      <c r="L44" s="50">
        <v>3</v>
      </c>
      <c r="M44" s="50">
        <v>70</v>
      </c>
      <c r="N44" s="50">
        <v>1</v>
      </c>
      <c r="O44" s="15">
        <f t="shared" si="0"/>
        <v>98</v>
      </c>
      <c r="P44" s="15">
        <f t="shared" si="1"/>
        <v>168</v>
      </c>
    </row>
    <row r="45" spans="2:20" ht="23.1" customHeight="1" x14ac:dyDescent="0.25">
      <c r="B45" s="23" t="s">
        <v>72</v>
      </c>
      <c r="C45" s="50">
        <v>45</v>
      </c>
      <c r="D45" s="50">
        <v>24</v>
      </c>
      <c r="E45" s="50">
        <v>6</v>
      </c>
      <c r="F45" s="50">
        <v>13</v>
      </c>
      <c r="G45" s="50">
        <v>1</v>
      </c>
      <c r="H45" s="50">
        <v>0</v>
      </c>
      <c r="I45" s="50">
        <v>3</v>
      </c>
      <c r="J45" s="50">
        <v>2</v>
      </c>
      <c r="K45" s="50">
        <v>0</v>
      </c>
      <c r="L45" s="50">
        <v>4</v>
      </c>
      <c r="M45" s="50">
        <v>55</v>
      </c>
      <c r="N45" s="50">
        <v>0</v>
      </c>
      <c r="O45" s="15">
        <f t="shared" si="0"/>
        <v>98</v>
      </c>
      <c r="P45" s="15">
        <f t="shared" si="1"/>
        <v>153</v>
      </c>
    </row>
    <row r="46" spans="2:20" ht="23.1" customHeight="1" x14ac:dyDescent="0.25">
      <c r="B46" s="24" t="s">
        <v>73</v>
      </c>
      <c r="C46" s="50">
        <v>34</v>
      </c>
      <c r="D46" s="50">
        <v>21</v>
      </c>
      <c r="E46" s="50">
        <v>7</v>
      </c>
      <c r="F46" s="50">
        <v>13</v>
      </c>
      <c r="G46" s="50">
        <v>2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63</v>
      </c>
      <c r="N46" s="50">
        <v>0</v>
      </c>
      <c r="O46" s="15">
        <f t="shared" si="0"/>
        <v>82</v>
      </c>
      <c r="P46" s="15">
        <f t="shared" si="1"/>
        <v>145</v>
      </c>
      <c r="R46" s="8"/>
      <c r="T46"/>
    </row>
    <row r="47" spans="2:20" ht="23.1" customHeight="1" x14ac:dyDescent="0.25">
      <c r="B47" s="24" t="s">
        <v>74</v>
      </c>
      <c r="C47" s="50">
        <v>59</v>
      </c>
      <c r="D47" s="50">
        <v>22</v>
      </c>
      <c r="E47" s="50">
        <v>4</v>
      </c>
      <c r="F47" s="50">
        <v>24</v>
      </c>
      <c r="G47" s="50">
        <v>0</v>
      </c>
      <c r="H47" s="50">
        <v>0</v>
      </c>
      <c r="I47" s="50">
        <v>6</v>
      </c>
      <c r="J47" s="50">
        <v>3</v>
      </c>
      <c r="K47" s="50">
        <v>0</v>
      </c>
      <c r="L47" s="50">
        <v>2</v>
      </c>
      <c r="M47" s="50">
        <v>60</v>
      </c>
      <c r="N47" s="50">
        <v>0</v>
      </c>
      <c r="O47" s="15">
        <f t="shared" si="0"/>
        <v>120</v>
      </c>
      <c r="P47" s="15">
        <f t="shared" si="1"/>
        <v>180</v>
      </c>
      <c r="R47" s="8"/>
      <c r="T47"/>
    </row>
    <row r="48" spans="2:20" ht="23.1" customHeight="1" x14ac:dyDescent="0.25">
      <c r="B48" s="24" t="s">
        <v>75</v>
      </c>
      <c r="C48" s="50">
        <v>76</v>
      </c>
      <c r="D48" s="50">
        <v>26</v>
      </c>
      <c r="E48" s="50">
        <v>7</v>
      </c>
      <c r="F48" s="50">
        <v>18</v>
      </c>
      <c r="G48" s="50">
        <v>0</v>
      </c>
      <c r="H48" s="50">
        <v>0</v>
      </c>
      <c r="I48" s="50">
        <v>5</v>
      </c>
      <c r="J48" s="50">
        <v>2</v>
      </c>
      <c r="K48" s="50">
        <v>3</v>
      </c>
      <c r="L48" s="50">
        <v>4</v>
      </c>
      <c r="M48" s="50">
        <v>45</v>
      </c>
      <c r="N48" s="50">
        <v>0</v>
      </c>
      <c r="O48" s="15">
        <f t="shared" si="0"/>
        <v>141</v>
      </c>
      <c r="P48" s="15">
        <f t="shared" si="1"/>
        <v>186</v>
      </c>
      <c r="R48" s="8"/>
      <c r="T48"/>
    </row>
    <row r="49" spans="2:20" ht="23.1" customHeight="1" x14ac:dyDescent="0.25">
      <c r="B49" s="23" t="s">
        <v>76</v>
      </c>
      <c r="C49" s="50">
        <v>74</v>
      </c>
      <c r="D49" s="50">
        <v>28</v>
      </c>
      <c r="E49" s="50">
        <v>13</v>
      </c>
      <c r="F49" s="50">
        <v>13</v>
      </c>
      <c r="G49" s="50">
        <v>1</v>
      </c>
      <c r="H49" s="50">
        <v>1</v>
      </c>
      <c r="I49" s="50">
        <v>3</v>
      </c>
      <c r="J49" s="50">
        <v>2</v>
      </c>
      <c r="K49" s="50">
        <v>0</v>
      </c>
      <c r="L49" s="50">
        <v>4</v>
      </c>
      <c r="M49" s="50">
        <v>85</v>
      </c>
      <c r="N49" s="50">
        <v>0</v>
      </c>
      <c r="O49" s="15">
        <f t="shared" si="0"/>
        <v>139</v>
      </c>
      <c r="P49" s="15">
        <f t="shared" si="1"/>
        <v>224</v>
      </c>
      <c r="R49" s="8"/>
      <c r="T49"/>
    </row>
    <row r="50" spans="2:20" ht="23.1" customHeight="1" x14ac:dyDescent="0.25">
      <c r="B50" s="24" t="s">
        <v>77</v>
      </c>
      <c r="C50" s="50">
        <v>125</v>
      </c>
      <c r="D50" s="50">
        <v>25</v>
      </c>
      <c r="E50" s="50">
        <v>11</v>
      </c>
      <c r="F50" s="50">
        <v>23</v>
      </c>
      <c r="G50" s="50">
        <v>1</v>
      </c>
      <c r="H50" s="50">
        <v>0</v>
      </c>
      <c r="I50" s="50">
        <v>8</v>
      </c>
      <c r="J50" s="50">
        <v>4</v>
      </c>
      <c r="K50" s="50">
        <v>0</v>
      </c>
      <c r="L50" s="50">
        <v>1</v>
      </c>
      <c r="M50" s="50">
        <v>60</v>
      </c>
      <c r="N50" s="50">
        <v>0</v>
      </c>
      <c r="O50" s="15">
        <f t="shared" si="0"/>
        <v>198</v>
      </c>
      <c r="P50" s="15">
        <f t="shared" si="1"/>
        <v>258</v>
      </c>
      <c r="R50" s="8"/>
      <c r="T50"/>
    </row>
    <row r="51" spans="2:20" ht="23.1" customHeight="1" x14ac:dyDescent="0.25">
      <c r="B51" s="24" t="s">
        <v>78</v>
      </c>
      <c r="C51" s="50">
        <v>91</v>
      </c>
      <c r="D51" s="50">
        <v>24</v>
      </c>
      <c r="E51" s="50">
        <v>11</v>
      </c>
      <c r="F51" s="50">
        <v>18</v>
      </c>
      <c r="G51" s="50">
        <v>1</v>
      </c>
      <c r="H51" s="50">
        <v>0</v>
      </c>
      <c r="I51" s="50">
        <v>4</v>
      </c>
      <c r="J51" s="50">
        <v>5</v>
      </c>
      <c r="K51" s="50">
        <v>0</v>
      </c>
      <c r="L51" s="50">
        <v>1</v>
      </c>
      <c r="M51" s="50">
        <v>55</v>
      </c>
      <c r="N51" s="50">
        <v>0</v>
      </c>
      <c r="O51" s="15">
        <f t="shared" si="0"/>
        <v>155</v>
      </c>
      <c r="P51" s="15">
        <f t="shared" si="1"/>
        <v>210</v>
      </c>
      <c r="R51" s="8"/>
      <c r="T51"/>
    </row>
    <row r="52" spans="2:20" ht="23.1" customHeight="1" x14ac:dyDescent="0.25">
      <c r="B52" s="24" t="s">
        <v>79</v>
      </c>
      <c r="C52" s="50">
        <v>72</v>
      </c>
      <c r="D52" s="50">
        <v>29</v>
      </c>
      <c r="E52" s="50">
        <v>13</v>
      </c>
      <c r="F52" s="50">
        <v>16</v>
      </c>
      <c r="G52" s="50">
        <v>1</v>
      </c>
      <c r="H52" s="50">
        <v>0</v>
      </c>
      <c r="I52" s="50">
        <v>1</v>
      </c>
      <c r="J52" s="50">
        <v>0</v>
      </c>
      <c r="K52" s="50">
        <v>1</v>
      </c>
      <c r="L52" s="50">
        <v>2</v>
      </c>
      <c r="M52" s="50">
        <v>95</v>
      </c>
      <c r="N52" s="50">
        <v>0</v>
      </c>
      <c r="O52" s="15">
        <f t="shared" si="0"/>
        <v>135</v>
      </c>
      <c r="P52" s="15">
        <f t="shared" si="1"/>
        <v>230</v>
      </c>
      <c r="R52" s="8"/>
      <c r="T52"/>
    </row>
    <row r="53" spans="2:20" ht="23.1" customHeight="1" x14ac:dyDescent="0.25">
      <c r="B53" s="23" t="s">
        <v>80</v>
      </c>
      <c r="C53" s="50">
        <v>62</v>
      </c>
      <c r="D53" s="50">
        <v>19</v>
      </c>
      <c r="E53" s="50">
        <v>12</v>
      </c>
      <c r="F53" s="50">
        <v>17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1</v>
      </c>
      <c r="M53" s="50">
        <v>115</v>
      </c>
      <c r="N53" s="50">
        <v>0</v>
      </c>
      <c r="O53" s="15">
        <f t="shared" si="0"/>
        <v>114</v>
      </c>
      <c r="P53" s="15">
        <f t="shared" si="1"/>
        <v>229</v>
      </c>
      <c r="R53" s="8"/>
      <c r="T53"/>
    </row>
    <row r="54" spans="2:20" ht="23.1" customHeight="1" x14ac:dyDescent="0.25">
      <c r="B54" s="23" t="s">
        <v>81</v>
      </c>
      <c r="C54" s="50">
        <v>91</v>
      </c>
      <c r="D54" s="50">
        <v>30</v>
      </c>
      <c r="E54" s="50">
        <v>17</v>
      </c>
      <c r="F54" s="50">
        <v>21</v>
      </c>
      <c r="G54" s="50">
        <v>0</v>
      </c>
      <c r="H54" s="50">
        <v>0</v>
      </c>
      <c r="I54" s="50">
        <v>4</v>
      </c>
      <c r="J54" s="50">
        <v>4</v>
      </c>
      <c r="K54" s="50">
        <v>1</v>
      </c>
      <c r="L54" s="50">
        <v>1</v>
      </c>
      <c r="M54" s="50">
        <v>117</v>
      </c>
      <c r="N54" s="50">
        <v>0</v>
      </c>
      <c r="O54" s="15">
        <f t="shared" si="0"/>
        <v>169</v>
      </c>
      <c r="P54" s="15">
        <f t="shared" si="1"/>
        <v>286</v>
      </c>
      <c r="R54" s="8"/>
      <c r="T54"/>
    </row>
    <row r="55" spans="2:20" ht="23.1" customHeight="1" x14ac:dyDescent="0.25">
      <c r="B55" s="23" t="s">
        <v>82</v>
      </c>
      <c r="C55" s="50">
        <v>95</v>
      </c>
      <c r="D55" s="50">
        <v>38</v>
      </c>
      <c r="E55" s="50">
        <v>8</v>
      </c>
      <c r="F55" s="50">
        <v>14</v>
      </c>
      <c r="G55" s="50">
        <v>0</v>
      </c>
      <c r="H55" s="50">
        <v>0</v>
      </c>
      <c r="I55" s="50">
        <v>2</v>
      </c>
      <c r="J55" s="50">
        <v>2</v>
      </c>
      <c r="K55" s="50">
        <v>3</v>
      </c>
      <c r="L55" s="50">
        <v>0</v>
      </c>
      <c r="M55" s="50">
        <v>100</v>
      </c>
      <c r="N55" s="50">
        <v>0</v>
      </c>
      <c r="O55" s="15">
        <f t="shared" si="0"/>
        <v>162</v>
      </c>
      <c r="P55" s="15">
        <f t="shared" si="1"/>
        <v>262</v>
      </c>
      <c r="R55" s="8"/>
      <c r="T55"/>
    </row>
    <row r="56" spans="2:20" ht="23.1" customHeight="1" x14ac:dyDescent="0.25">
      <c r="B56" s="23" t="s">
        <v>83</v>
      </c>
      <c r="C56" s="50">
        <v>100</v>
      </c>
      <c r="D56" s="50">
        <v>38</v>
      </c>
      <c r="E56" s="50">
        <v>6</v>
      </c>
      <c r="F56" s="50">
        <v>24</v>
      </c>
      <c r="G56" s="50">
        <v>0</v>
      </c>
      <c r="H56" s="50">
        <v>0</v>
      </c>
      <c r="I56" s="50">
        <v>4</v>
      </c>
      <c r="J56" s="50">
        <v>5</v>
      </c>
      <c r="K56" s="50">
        <v>2</v>
      </c>
      <c r="L56" s="50">
        <v>2</v>
      </c>
      <c r="M56" s="50">
        <v>115</v>
      </c>
      <c r="N56" s="50">
        <v>0</v>
      </c>
      <c r="O56" s="15">
        <f t="shared" si="0"/>
        <v>181</v>
      </c>
      <c r="P56" s="15">
        <f t="shared" si="1"/>
        <v>296</v>
      </c>
      <c r="R56" s="8"/>
      <c r="T56"/>
    </row>
    <row r="57" spans="2:20" ht="23.1" customHeight="1" x14ac:dyDescent="0.25">
      <c r="B57" s="23" t="s">
        <v>84</v>
      </c>
      <c r="C57" s="50">
        <v>53</v>
      </c>
      <c r="D57" s="50">
        <v>12</v>
      </c>
      <c r="E57" s="50">
        <v>9</v>
      </c>
      <c r="F57" s="50">
        <v>13</v>
      </c>
      <c r="G57" s="50">
        <v>0</v>
      </c>
      <c r="H57" s="50">
        <v>0</v>
      </c>
      <c r="I57" s="50">
        <v>0</v>
      </c>
      <c r="J57" s="50">
        <v>4</v>
      </c>
      <c r="K57" s="50">
        <v>0</v>
      </c>
      <c r="L57" s="50">
        <v>1</v>
      </c>
      <c r="M57" s="50">
        <v>65</v>
      </c>
      <c r="N57" s="50">
        <v>0</v>
      </c>
      <c r="O57" s="15">
        <f t="shared" si="0"/>
        <v>92</v>
      </c>
      <c r="P57" s="15">
        <f t="shared" si="1"/>
        <v>157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2109</v>
      </c>
      <c r="D58" s="16">
        <f t="shared" si="21"/>
        <v>882</v>
      </c>
      <c r="E58" s="16">
        <f t="shared" si="21"/>
        <v>352</v>
      </c>
      <c r="F58" s="16">
        <f t="shared" si="21"/>
        <v>977</v>
      </c>
      <c r="G58" s="16">
        <f t="shared" si="21"/>
        <v>14</v>
      </c>
      <c r="H58" s="16">
        <f t="shared" si="21"/>
        <v>1</v>
      </c>
      <c r="I58" s="16">
        <f t="shared" si="21"/>
        <v>206</v>
      </c>
      <c r="J58" s="16">
        <f t="shared" si="21"/>
        <v>69</v>
      </c>
      <c r="K58" s="16">
        <f t="shared" si="21"/>
        <v>30</v>
      </c>
      <c r="L58" s="16">
        <f t="shared" si="21"/>
        <v>104</v>
      </c>
      <c r="M58" s="16">
        <f t="shared" si="21"/>
        <v>3623</v>
      </c>
      <c r="N58" s="16">
        <f t="shared" si="21"/>
        <v>1</v>
      </c>
      <c r="O58" s="16">
        <f t="shared" si="21"/>
        <v>4745</v>
      </c>
      <c r="P58" s="16">
        <f t="shared" si="21"/>
        <v>8368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0.25203154875717015</v>
      </c>
      <c r="D59" s="43">
        <f t="shared" si="22"/>
        <v>0.10540152963671127</v>
      </c>
      <c r="E59" s="43">
        <f t="shared" si="22"/>
        <v>4.2065009560229447E-2</v>
      </c>
      <c r="F59" s="43">
        <f t="shared" si="22"/>
        <v>0.11675430210325048</v>
      </c>
      <c r="G59" s="43">
        <f t="shared" si="22"/>
        <v>1.6730401529636712E-3</v>
      </c>
      <c r="H59" s="43">
        <f t="shared" si="22"/>
        <v>1.1950286806883365E-4</v>
      </c>
      <c r="I59" s="43">
        <f t="shared" si="22"/>
        <v>2.4617590822179732E-2</v>
      </c>
      <c r="J59" s="43">
        <f t="shared" si="22"/>
        <v>8.2456978967495216E-3</v>
      </c>
      <c r="K59" s="43">
        <f t="shared" si="22"/>
        <v>3.5850860420650094E-3</v>
      </c>
      <c r="L59" s="43">
        <f t="shared" si="22"/>
        <v>1.24282982791587E-2</v>
      </c>
      <c r="M59" s="43">
        <f t="shared" si="22"/>
        <v>0.43295889101338431</v>
      </c>
      <c r="N59" s="43">
        <f t="shared" si="22"/>
        <v>1.1950286806883365E-4</v>
      </c>
      <c r="R59" s="8"/>
      <c r="T59"/>
    </row>
    <row r="60" spans="2:20" ht="23.1" customHeight="1" x14ac:dyDescent="0.25">
      <c r="B60" s="42" t="s">
        <v>94</v>
      </c>
      <c r="C60" s="44">
        <f>C58/$O$58</f>
        <v>0.44446786090621709</v>
      </c>
      <c r="D60" s="44">
        <f t="shared" ref="D60:N60" si="23">D58/$O$58</f>
        <v>0.18587987355110644</v>
      </c>
      <c r="E60" s="44">
        <f t="shared" si="23"/>
        <v>7.4183350895679664E-2</v>
      </c>
      <c r="F60" s="44">
        <f t="shared" si="23"/>
        <v>0.20590094836670178</v>
      </c>
      <c r="G60" s="44">
        <f t="shared" si="23"/>
        <v>2.9504741833508955E-3</v>
      </c>
      <c r="H60" s="44">
        <f t="shared" si="23"/>
        <v>2.1074815595363542E-4</v>
      </c>
      <c r="I60" s="44">
        <f t="shared" si="23"/>
        <v>4.3414120126448894E-2</v>
      </c>
      <c r="J60" s="44">
        <f t="shared" si="23"/>
        <v>1.4541622760800843E-2</v>
      </c>
      <c r="K60" s="44">
        <f t="shared" si="23"/>
        <v>6.3224446786090622E-3</v>
      </c>
      <c r="L60" s="44">
        <f t="shared" si="23"/>
        <v>2.1917808219178082E-2</v>
      </c>
      <c r="M60" s="44"/>
      <c r="N60" s="44">
        <f t="shared" si="23"/>
        <v>2.1074815595363542E-4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5" t="str">
        <f>'02.08 Ntinda-Kisaasi'!G5:H5</f>
        <v>Ndere Center</v>
      </c>
      <c r="H5" s="66"/>
      <c r="I5" s="14"/>
      <c r="J5" s="2" t="s">
        <v>5</v>
      </c>
      <c r="K5" s="65" t="s">
        <v>178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Kisaasi-Ntinda'!D6:E6</f>
        <v>Kisaasi</v>
      </c>
      <c r="E6" s="66"/>
      <c r="F6" s="2" t="s">
        <v>2</v>
      </c>
      <c r="G6" s="65" t="str">
        <f>'29.07 Kisaasi-Ntinda'!G6:H6</f>
        <v>Ntinda</v>
      </c>
      <c r="H6" s="66"/>
      <c r="J6" s="2" t="s">
        <v>21</v>
      </c>
      <c r="K6" s="65" t="s">
        <v>177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61</v>
      </c>
      <c r="D10" s="50">
        <v>36</v>
      </c>
      <c r="E10" s="50">
        <v>33</v>
      </c>
      <c r="F10" s="50">
        <v>11</v>
      </c>
      <c r="G10" s="50">
        <v>0</v>
      </c>
      <c r="H10" s="50">
        <v>0</v>
      </c>
      <c r="I10" s="50">
        <v>3</v>
      </c>
      <c r="J10" s="50">
        <v>1</v>
      </c>
      <c r="K10" s="50">
        <v>1</v>
      </c>
      <c r="L10" s="50">
        <v>2</v>
      </c>
      <c r="M10" s="50">
        <v>70</v>
      </c>
      <c r="N10" s="50">
        <v>0</v>
      </c>
      <c r="O10" s="15">
        <f t="shared" ref="O10:O57" si="0">SUM(C10:L10,N10)</f>
        <v>148</v>
      </c>
      <c r="P10" s="15">
        <f t="shared" ref="P10:P57" si="1">SUM(C10:N10)</f>
        <v>218</v>
      </c>
      <c r="R10" s="1" t="s">
        <v>6</v>
      </c>
      <c r="S10" s="17">
        <f t="shared" ref="S10:AF10" si="2">SUM(C10:C13)</f>
        <v>406</v>
      </c>
      <c r="T10" s="17">
        <f t="shared" si="2"/>
        <v>214</v>
      </c>
      <c r="U10" s="17">
        <f t="shared" si="2"/>
        <v>67</v>
      </c>
      <c r="V10" s="17">
        <f t="shared" si="2"/>
        <v>68</v>
      </c>
      <c r="W10" s="17">
        <f t="shared" si="2"/>
        <v>2</v>
      </c>
      <c r="X10" s="17">
        <f t="shared" si="2"/>
        <v>0</v>
      </c>
      <c r="Y10" s="17">
        <f t="shared" si="2"/>
        <v>13</v>
      </c>
      <c r="Z10" s="17">
        <f t="shared" si="2"/>
        <v>6</v>
      </c>
      <c r="AA10" s="17">
        <f t="shared" si="2"/>
        <v>1</v>
      </c>
      <c r="AB10" s="17">
        <f t="shared" si="2"/>
        <v>2</v>
      </c>
      <c r="AC10" s="17">
        <f t="shared" si="2"/>
        <v>545</v>
      </c>
      <c r="AD10" s="17">
        <f t="shared" si="2"/>
        <v>0</v>
      </c>
      <c r="AE10" s="31">
        <f t="shared" si="2"/>
        <v>779</v>
      </c>
      <c r="AF10" s="31">
        <f t="shared" si="2"/>
        <v>1324</v>
      </c>
    </row>
    <row r="11" spans="2:32" s="6" customFormat="1" ht="23.1" customHeight="1" x14ac:dyDescent="0.25">
      <c r="B11" s="45" t="s">
        <v>38</v>
      </c>
      <c r="C11" s="50">
        <v>125</v>
      </c>
      <c r="D11" s="50">
        <v>60</v>
      </c>
      <c r="E11" s="50">
        <v>15</v>
      </c>
      <c r="F11" s="50">
        <v>13</v>
      </c>
      <c r="G11" s="50">
        <v>0</v>
      </c>
      <c r="H11" s="50">
        <v>0</v>
      </c>
      <c r="I11" s="50">
        <v>6</v>
      </c>
      <c r="J11" s="50">
        <v>0</v>
      </c>
      <c r="K11" s="50">
        <v>0</v>
      </c>
      <c r="L11" s="50">
        <v>0</v>
      </c>
      <c r="M11" s="50">
        <v>130</v>
      </c>
      <c r="N11" s="50">
        <v>0</v>
      </c>
      <c r="O11" s="15">
        <f t="shared" si="0"/>
        <v>219</v>
      </c>
      <c r="P11" s="15">
        <f t="shared" si="1"/>
        <v>349</v>
      </c>
      <c r="R11" s="1" t="s">
        <v>7</v>
      </c>
      <c r="S11" s="17">
        <f t="shared" ref="S11:AF11" si="3">SUM(C14:C17)</f>
        <v>200</v>
      </c>
      <c r="T11" s="17">
        <f t="shared" si="3"/>
        <v>175</v>
      </c>
      <c r="U11" s="17">
        <f t="shared" si="3"/>
        <v>28</v>
      </c>
      <c r="V11" s="17">
        <f t="shared" si="3"/>
        <v>41</v>
      </c>
      <c r="W11" s="17">
        <f t="shared" si="3"/>
        <v>3</v>
      </c>
      <c r="X11" s="17">
        <f t="shared" si="3"/>
        <v>0</v>
      </c>
      <c r="Y11" s="17">
        <f t="shared" si="3"/>
        <v>18</v>
      </c>
      <c r="Z11" s="17">
        <f t="shared" si="3"/>
        <v>10</v>
      </c>
      <c r="AA11" s="17">
        <f t="shared" si="3"/>
        <v>0</v>
      </c>
      <c r="AB11" s="17">
        <f t="shared" si="3"/>
        <v>11</v>
      </c>
      <c r="AC11" s="17">
        <f t="shared" si="3"/>
        <v>592</v>
      </c>
      <c r="AD11" s="17">
        <f t="shared" si="3"/>
        <v>0</v>
      </c>
      <c r="AE11" s="31">
        <f t="shared" si="3"/>
        <v>486</v>
      </c>
      <c r="AF11" s="31">
        <f t="shared" si="3"/>
        <v>1078</v>
      </c>
    </row>
    <row r="12" spans="2:32" ht="23.1" customHeight="1" x14ac:dyDescent="0.25">
      <c r="B12" s="45" t="s">
        <v>39</v>
      </c>
      <c r="C12" s="50">
        <v>118</v>
      </c>
      <c r="D12" s="50">
        <v>51</v>
      </c>
      <c r="E12" s="50">
        <v>11</v>
      </c>
      <c r="F12" s="50">
        <v>21</v>
      </c>
      <c r="G12" s="50">
        <v>1</v>
      </c>
      <c r="H12" s="50">
        <v>0</v>
      </c>
      <c r="I12" s="50">
        <v>3</v>
      </c>
      <c r="J12" s="50">
        <v>4</v>
      </c>
      <c r="K12" s="50">
        <v>0</v>
      </c>
      <c r="L12" s="50">
        <v>0</v>
      </c>
      <c r="M12" s="50">
        <v>170</v>
      </c>
      <c r="N12" s="50">
        <v>0</v>
      </c>
      <c r="O12" s="15">
        <f t="shared" si="0"/>
        <v>209</v>
      </c>
      <c r="P12" s="15">
        <f t="shared" si="1"/>
        <v>379</v>
      </c>
      <c r="R12" s="1" t="s">
        <v>8</v>
      </c>
      <c r="S12" s="17">
        <f t="shared" ref="S12:AF12" si="4">SUM(C18:C21)</f>
        <v>110</v>
      </c>
      <c r="T12" s="17">
        <f t="shared" si="4"/>
        <v>54</v>
      </c>
      <c r="U12" s="17">
        <f t="shared" si="4"/>
        <v>45</v>
      </c>
      <c r="V12" s="17">
        <f t="shared" si="4"/>
        <v>29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8</v>
      </c>
      <c r="AA12" s="17">
        <f t="shared" si="4"/>
        <v>0</v>
      </c>
      <c r="AB12" s="17">
        <f t="shared" si="4"/>
        <v>5</v>
      </c>
      <c r="AC12" s="17">
        <f t="shared" si="4"/>
        <v>555</v>
      </c>
      <c r="AD12" s="17">
        <f t="shared" si="4"/>
        <v>0</v>
      </c>
      <c r="AE12" s="31">
        <f t="shared" si="4"/>
        <v>263</v>
      </c>
      <c r="AF12" s="31">
        <f t="shared" si="4"/>
        <v>818</v>
      </c>
    </row>
    <row r="13" spans="2:32" ht="23.1" customHeight="1" x14ac:dyDescent="0.25">
      <c r="B13" s="45" t="s">
        <v>40</v>
      </c>
      <c r="C13" s="50">
        <v>102</v>
      </c>
      <c r="D13" s="50">
        <v>67</v>
      </c>
      <c r="E13" s="50">
        <v>8</v>
      </c>
      <c r="F13" s="50">
        <v>23</v>
      </c>
      <c r="G13" s="50">
        <v>1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175</v>
      </c>
      <c r="N13" s="50">
        <v>0</v>
      </c>
      <c r="O13" s="15">
        <f t="shared" si="0"/>
        <v>203</v>
      </c>
      <c r="P13" s="15">
        <f t="shared" si="1"/>
        <v>378</v>
      </c>
      <c r="R13" s="1" t="s">
        <v>9</v>
      </c>
      <c r="S13" s="17">
        <f t="shared" ref="S13:AF13" si="5">SUM(C22:C25)</f>
        <v>100</v>
      </c>
      <c r="T13" s="17">
        <f t="shared" si="5"/>
        <v>88</v>
      </c>
      <c r="U13" s="17">
        <f t="shared" si="5"/>
        <v>18</v>
      </c>
      <c r="V13" s="17">
        <f t="shared" si="5"/>
        <v>29</v>
      </c>
      <c r="W13" s="17">
        <f t="shared" si="5"/>
        <v>0</v>
      </c>
      <c r="X13" s="17">
        <f t="shared" si="5"/>
        <v>1</v>
      </c>
      <c r="Y13" s="17">
        <f t="shared" si="5"/>
        <v>20</v>
      </c>
      <c r="Z13" s="17">
        <f t="shared" si="5"/>
        <v>10</v>
      </c>
      <c r="AA13" s="17">
        <f t="shared" si="5"/>
        <v>2</v>
      </c>
      <c r="AB13" s="17">
        <f t="shared" si="5"/>
        <v>3</v>
      </c>
      <c r="AC13" s="17">
        <f t="shared" si="5"/>
        <v>420</v>
      </c>
      <c r="AD13" s="17">
        <f t="shared" si="5"/>
        <v>0</v>
      </c>
      <c r="AE13" s="31">
        <f t="shared" si="5"/>
        <v>271</v>
      </c>
      <c r="AF13" s="31">
        <f t="shared" si="5"/>
        <v>691</v>
      </c>
    </row>
    <row r="14" spans="2:32" ht="23.1" customHeight="1" x14ac:dyDescent="0.25">
      <c r="B14" s="45" t="s">
        <v>41</v>
      </c>
      <c r="C14" s="50">
        <v>75</v>
      </c>
      <c r="D14" s="50">
        <v>50</v>
      </c>
      <c r="E14" s="50">
        <v>10</v>
      </c>
      <c r="F14" s="50">
        <v>11</v>
      </c>
      <c r="G14" s="50">
        <v>2</v>
      </c>
      <c r="H14" s="50">
        <v>0</v>
      </c>
      <c r="I14" s="50">
        <v>5</v>
      </c>
      <c r="J14" s="50">
        <v>3</v>
      </c>
      <c r="K14" s="50">
        <v>0</v>
      </c>
      <c r="L14" s="50">
        <v>1</v>
      </c>
      <c r="M14" s="50">
        <v>170</v>
      </c>
      <c r="N14" s="50">
        <v>0</v>
      </c>
      <c r="O14" s="15">
        <f t="shared" si="0"/>
        <v>157</v>
      </c>
      <c r="P14" s="15">
        <f t="shared" si="1"/>
        <v>327</v>
      </c>
      <c r="R14" s="1" t="s">
        <v>10</v>
      </c>
      <c r="S14" s="17">
        <f t="shared" ref="S14:AF14" si="6">SUM(C26:C29)</f>
        <v>90</v>
      </c>
      <c r="T14" s="17">
        <f t="shared" si="6"/>
        <v>81</v>
      </c>
      <c r="U14" s="17">
        <f t="shared" si="6"/>
        <v>27</v>
      </c>
      <c r="V14" s="17">
        <f t="shared" si="6"/>
        <v>23</v>
      </c>
      <c r="W14" s="17">
        <f t="shared" si="6"/>
        <v>3</v>
      </c>
      <c r="X14" s="17">
        <f t="shared" si="6"/>
        <v>0</v>
      </c>
      <c r="Y14" s="17">
        <f t="shared" si="6"/>
        <v>15</v>
      </c>
      <c r="Z14" s="17">
        <f t="shared" si="6"/>
        <v>6</v>
      </c>
      <c r="AA14" s="17">
        <f t="shared" si="6"/>
        <v>2</v>
      </c>
      <c r="AB14" s="17">
        <f t="shared" si="6"/>
        <v>10</v>
      </c>
      <c r="AC14" s="17">
        <f t="shared" si="6"/>
        <v>380</v>
      </c>
      <c r="AD14" s="17">
        <f t="shared" si="6"/>
        <v>0</v>
      </c>
      <c r="AE14" s="31">
        <f t="shared" si="6"/>
        <v>257</v>
      </c>
      <c r="AF14" s="31">
        <f t="shared" si="6"/>
        <v>637</v>
      </c>
    </row>
    <row r="15" spans="2:32" ht="23.1" customHeight="1" x14ac:dyDescent="0.25">
      <c r="B15" s="45" t="s">
        <v>42</v>
      </c>
      <c r="C15" s="50">
        <v>40</v>
      </c>
      <c r="D15" s="50">
        <v>50</v>
      </c>
      <c r="E15" s="50">
        <v>5</v>
      </c>
      <c r="F15" s="50">
        <v>17</v>
      </c>
      <c r="G15" s="50">
        <v>1</v>
      </c>
      <c r="H15" s="50">
        <v>0</v>
      </c>
      <c r="I15" s="50">
        <v>8</v>
      </c>
      <c r="J15" s="50">
        <v>3</v>
      </c>
      <c r="K15" s="50">
        <v>0</v>
      </c>
      <c r="L15" s="50">
        <v>2</v>
      </c>
      <c r="M15" s="50">
        <v>147</v>
      </c>
      <c r="N15" s="50">
        <v>0</v>
      </c>
      <c r="O15" s="15">
        <f t="shared" si="0"/>
        <v>126</v>
      </c>
      <c r="P15" s="15">
        <f t="shared" si="1"/>
        <v>273</v>
      </c>
      <c r="R15" s="1" t="s">
        <v>11</v>
      </c>
      <c r="S15" s="17">
        <f t="shared" ref="S15:AF15" si="7">SUM(C30:C33)</f>
        <v>127</v>
      </c>
      <c r="T15" s="17">
        <f t="shared" si="7"/>
        <v>95</v>
      </c>
      <c r="U15" s="17">
        <f t="shared" si="7"/>
        <v>15</v>
      </c>
      <c r="V15" s="17">
        <f t="shared" si="7"/>
        <v>35</v>
      </c>
      <c r="W15" s="17">
        <f t="shared" si="7"/>
        <v>1</v>
      </c>
      <c r="X15" s="17">
        <f t="shared" si="7"/>
        <v>0</v>
      </c>
      <c r="Y15" s="17">
        <f t="shared" si="7"/>
        <v>23</v>
      </c>
      <c r="Z15" s="17">
        <f t="shared" si="7"/>
        <v>6</v>
      </c>
      <c r="AA15" s="17">
        <f t="shared" si="7"/>
        <v>1</v>
      </c>
      <c r="AB15" s="17">
        <f t="shared" si="7"/>
        <v>26</v>
      </c>
      <c r="AC15" s="17">
        <f t="shared" si="7"/>
        <v>424</v>
      </c>
      <c r="AD15" s="17">
        <f t="shared" si="7"/>
        <v>0</v>
      </c>
      <c r="AE15" s="31">
        <f t="shared" si="7"/>
        <v>329</v>
      </c>
      <c r="AF15" s="31">
        <f t="shared" si="7"/>
        <v>753</v>
      </c>
    </row>
    <row r="16" spans="2:32" ht="23.1" customHeight="1" x14ac:dyDescent="0.25">
      <c r="B16" s="45" t="s">
        <v>43</v>
      </c>
      <c r="C16" s="50">
        <v>35</v>
      </c>
      <c r="D16" s="50">
        <v>35</v>
      </c>
      <c r="E16" s="50">
        <v>8</v>
      </c>
      <c r="F16" s="50">
        <v>10</v>
      </c>
      <c r="G16" s="50">
        <v>0</v>
      </c>
      <c r="H16" s="50">
        <v>0</v>
      </c>
      <c r="I16" s="50">
        <v>2</v>
      </c>
      <c r="J16" s="50">
        <v>4</v>
      </c>
      <c r="K16" s="50">
        <v>0</v>
      </c>
      <c r="L16" s="50">
        <v>6</v>
      </c>
      <c r="M16" s="50">
        <v>125</v>
      </c>
      <c r="N16" s="50">
        <v>0</v>
      </c>
      <c r="O16" s="15">
        <f t="shared" si="0"/>
        <v>100</v>
      </c>
      <c r="P16" s="15">
        <f t="shared" si="1"/>
        <v>225</v>
      </c>
      <c r="R16" s="1" t="s">
        <v>12</v>
      </c>
      <c r="S16" s="17">
        <f t="shared" ref="S16:AF16" si="8">SUM(C34:C37)</f>
        <v>80</v>
      </c>
      <c r="T16" s="17">
        <f t="shared" si="8"/>
        <v>68</v>
      </c>
      <c r="U16" s="17">
        <f t="shared" si="8"/>
        <v>10</v>
      </c>
      <c r="V16" s="17">
        <f t="shared" si="8"/>
        <v>23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10</v>
      </c>
      <c r="AA16" s="17">
        <f t="shared" si="8"/>
        <v>6</v>
      </c>
      <c r="AB16" s="17">
        <f t="shared" si="8"/>
        <v>9</v>
      </c>
      <c r="AC16" s="17">
        <f t="shared" si="8"/>
        <v>308</v>
      </c>
      <c r="AD16" s="17">
        <f t="shared" si="8"/>
        <v>0</v>
      </c>
      <c r="AE16" s="31">
        <f t="shared" si="8"/>
        <v>226</v>
      </c>
      <c r="AF16" s="31">
        <f t="shared" si="8"/>
        <v>534</v>
      </c>
    </row>
    <row r="17" spans="2:32" ht="23.1" customHeight="1" x14ac:dyDescent="0.25">
      <c r="B17" s="45" t="s">
        <v>44</v>
      </c>
      <c r="C17" s="50">
        <v>50</v>
      </c>
      <c r="D17" s="50">
        <v>40</v>
      </c>
      <c r="E17" s="50">
        <v>5</v>
      </c>
      <c r="F17" s="50">
        <v>3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2</v>
      </c>
      <c r="M17" s="50">
        <v>150</v>
      </c>
      <c r="N17" s="50">
        <v>0</v>
      </c>
      <c r="O17" s="15">
        <f t="shared" si="0"/>
        <v>103</v>
      </c>
      <c r="P17" s="15">
        <f t="shared" si="1"/>
        <v>253</v>
      </c>
      <c r="R17" s="1" t="s">
        <v>13</v>
      </c>
      <c r="S17" s="17">
        <f t="shared" ref="S17:AF17" si="9">SUM(C38:C41)</f>
        <v>88</v>
      </c>
      <c r="T17" s="17">
        <f t="shared" si="9"/>
        <v>72</v>
      </c>
      <c r="U17" s="17">
        <f t="shared" si="9"/>
        <v>23</v>
      </c>
      <c r="V17" s="17">
        <f t="shared" si="9"/>
        <v>33</v>
      </c>
      <c r="W17" s="17">
        <f t="shared" si="9"/>
        <v>3</v>
      </c>
      <c r="X17" s="17">
        <f t="shared" si="9"/>
        <v>0</v>
      </c>
      <c r="Y17" s="17">
        <f t="shared" si="9"/>
        <v>15</v>
      </c>
      <c r="Z17" s="17">
        <f t="shared" si="9"/>
        <v>10</v>
      </c>
      <c r="AA17" s="17">
        <f t="shared" si="9"/>
        <v>1</v>
      </c>
      <c r="AB17" s="17">
        <f t="shared" si="9"/>
        <v>6</v>
      </c>
      <c r="AC17" s="17">
        <f t="shared" si="9"/>
        <v>365</v>
      </c>
      <c r="AD17" s="17">
        <f t="shared" si="9"/>
        <v>0</v>
      </c>
      <c r="AE17" s="31">
        <f t="shared" si="9"/>
        <v>251</v>
      </c>
      <c r="AF17" s="31">
        <f t="shared" si="9"/>
        <v>616</v>
      </c>
    </row>
    <row r="18" spans="2:32" ht="23.1" customHeight="1" x14ac:dyDescent="0.25">
      <c r="B18" s="45" t="s">
        <v>45</v>
      </c>
      <c r="C18" s="50">
        <v>20</v>
      </c>
      <c r="D18" s="50">
        <v>17</v>
      </c>
      <c r="E18" s="50">
        <v>5</v>
      </c>
      <c r="F18" s="50">
        <v>5</v>
      </c>
      <c r="G18" s="50">
        <v>1</v>
      </c>
      <c r="H18" s="50">
        <v>0</v>
      </c>
      <c r="I18" s="50">
        <v>3</v>
      </c>
      <c r="J18" s="50">
        <v>2</v>
      </c>
      <c r="K18" s="50">
        <v>0</v>
      </c>
      <c r="L18" s="50">
        <v>2</v>
      </c>
      <c r="M18" s="50">
        <v>150</v>
      </c>
      <c r="N18" s="50">
        <v>0</v>
      </c>
      <c r="O18" s="15">
        <f t="shared" si="0"/>
        <v>55</v>
      </c>
      <c r="P18" s="15">
        <f t="shared" si="1"/>
        <v>205</v>
      </c>
      <c r="R18" s="1" t="s">
        <v>14</v>
      </c>
      <c r="S18" s="17">
        <f t="shared" ref="S18:AF18" si="10">SUM(C42:C45)</f>
        <v>124</v>
      </c>
      <c r="T18" s="17">
        <f t="shared" si="10"/>
        <v>112</v>
      </c>
      <c r="U18" s="17">
        <f t="shared" si="10"/>
        <v>28</v>
      </c>
      <c r="V18" s="17">
        <f t="shared" si="10"/>
        <v>22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8</v>
      </c>
      <c r="AA18" s="17">
        <f t="shared" si="10"/>
        <v>4</v>
      </c>
      <c r="AB18" s="17">
        <f t="shared" si="10"/>
        <v>2</v>
      </c>
      <c r="AC18" s="17">
        <f t="shared" si="10"/>
        <v>342</v>
      </c>
      <c r="AD18" s="17">
        <f t="shared" si="10"/>
        <v>1</v>
      </c>
      <c r="AE18" s="31">
        <f t="shared" si="10"/>
        <v>316</v>
      </c>
      <c r="AF18" s="31">
        <f t="shared" si="10"/>
        <v>658</v>
      </c>
    </row>
    <row r="19" spans="2:32" ht="23.1" customHeight="1" x14ac:dyDescent="0.25">
      <c r="B19" s="45" t="s">
        <v>46</v>
      </c>
      <c r="C19" s="50">
        <v>30</v>
      </c>
      <c r="D19" s="50">
        <v>20</v>
      </c>
      <c r="E19" s="50">
        <v>15</v>
      </c>
      <c r="F19" s="50">
        <v>6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125</v>
      </c>
      <c r="N19" s="50">
        <v>0</v>
      </c>
      <c r="O19" s="15">
        <f t="shared" si="0"/>
        <v>73</v>
      </c>
      <c r="P19" s="15">
        <f t="shared" si="1"/>
        <v>198</v>
      </c>
      <c r="R19" s="1" t="s">
        <v>15</v>
      </c>
      <c r="S19" s="17">
        <f t="shared" ref="S19:AF19" si="11">SUM(C46:C49)</f>
        <v>117</v>
      </c>
      <c r="T19" s="17">
        <f t="shared" si="11"/>
        <v>116</v>
      </c>
      <c r="U19" s="17">
        <f t="shared" si="11"/>
        <v>20</v>
      </c>
      <c r="V19" s="17">
        <f t="shared" si="11"/>
        <v>33</v>
      </c>
      <c r="W19" s="17">
        <f t="shared" si="11"/>
        <v>0</v>
      </c>
      <c r="X19" s="17">
        <f t="shared" si="11"/>
        <v>0</v>
      </c>
      <c r="Y19" s="17">
        <f t="shared" si="11"/>
        <v>18</v>
      </c>
      <c r="Z19" s="17">
        <f t="shared" si="11"/>
        <v>9</v>
      </c>
      <c r="AA19" s="17">
        <f t="shared" si="11"/>
        <v>3</v>
      </c>
      <c r="AB19" s="17">
        <f t="shared" si="11"/>
        <v>7</v>
      </c>
      <c r="AC19" s="17">
        <f t="shared" si="11"/>
        <v>388</v>
      </c>
      <c r="AD19" s="17">
        <f t="shared" si="11"/>
        <v>0</v>
      </c>
      <c r="AE19" s="31">
        <f t="shared" si="11"/>
        <v>323</v>
      </c>
      <c r="AF19" s="31">
        <f t="shared" si="11"/>
        <v>711</v>
      </c>
    </row>
    <row r="20" spans="2:32" ht="23.1" customHeight="1" x14ac:dyDescent="0.25">
      <c r="B20" s="45" t="s">
        <v>47</v>
      </c>
      <c r="C20" s="50">
        <v>30</v>
      </c>
      <c r="D20" s="50">
        <v>2</v>
      </c>
      <c r="E20" s="50">
        <v>15</v>
      </c>
      <c r="F20" s="50">
        <v>11</v>
      </c>
      <c r="G20" s="50">
        <v>0</v>
      </c>
      <c r="H20" s="50">
        <v>0</v>
      </c>
      <c r="I20" s="50">
        <v>6</v>
      </c>
      <c r="J20" s="50">
        <v>6</v>
      </c>
      <c r="K20" s="50">
        <v>0</v>
      </c>
      <c r="L20" s="50">
        <v>2</v>
      </c>
      <c r="M20" s="50">
        <v>145</v>
      </c>
      <c r="N20" s="50">
        <v>0</v>
      </c>
      <c r="O20" s="15">
        <f t="shared" si="0"/>
        <v>72</v>
      </c>
      <c r="P20" s="15">
        <f t="shared" si="1"/>
        <v>217</v>
      </c>
      <c r="R20" s="1" t="s">
        <v>16</v>
      </c>
      <c r="S20" s="17">
        <f t="shared" ref="S20:AF20" si="12">SUM(C50:C53)</f>
        <v>141</v>
      </c>
      <c r="T20" s="17">
        <f t="shared" si="12"/>
        <v>120</v>
      </c>
      <c r="U20" s="17">
        <f t="shared" si="12"/>
        <v>29</v>
      </c>
      <c r="V20" s="17">
        <f t="shared" si="12"/>
        <v>43</v>
      </c>
      <c r="W20" s="17">
        <f t="shared" si="12"/>
        <v>2</v>
      </c>
      <c r="X20" s="17">
        <f t="shared" si="12"/>
        <v>0</v>
      </c>
      <c r="Y20" s="17">
        <f t="shared" si="12"/>
        <v>12</v>
      </c>
      <c r="Z20" s="17">
        <f t="shared" si="12"/>
        <v>4</v>
      </c>
      <c r="AA20" s="17">
        <f t="shared" si="12"/>
        <v>4</v>
      </c>
      <c r="AB20" s="17">
        <f t="shared" si="12"/>
        <v>7</v>
      </c>
      <c r="AC20" s="17">
        <f t="shared" si="12"/>
        <v>556</v>
      </c>
      <c r="AD20" s="17">
        <f t="shared" si="12"/>
        <v>0</v>
      </c>
      <c r="AE20" s="31">
        <f t="shared" si="12"/>
        <v>362</v>
      </c>
      <c r="AF20" s="31">
        <f t="shared" si="12"/>
        <v>918</v>
      </c>
    </row>
    <row r="21" spans="2:32" ht="23.1" customHeight="1" x14ac:dyDescent="0.25">
      <c r="B21" s="45" t="s">
        <v>48</v>
      </c>
      <c r="C21" s="50">
        <v>30</v>
      </c>
      <c r="D21" s="50">
        <v>15</v>
      </c>
      <c r="E21" s="50">
        <v>10</v>
      </c>
      <c r="F21" s="50">
        <v>7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135</v>
      </c>
      <c r="N21" s="50">
        <v>0</v>
      </c>
      <c r="O21" s="15">
        <f t="shared" si="0"/>
        <v>63</v>
      </c>
      <c r="P21" s="15">
        <f t="shared" si="1"/>
        <v>198</v>
      </c>
      <c r="R21" s="36" t="s">
        <v>20</v>
      </c>
      <c r="S21" s="34">
        <f t="shared" ref="S21:AF21" si="13">SUM(C54:C57)</f>
        <v>125</v>
      </c>
      <c r="T21" s="17">
        <f t="shared" si="13"/>
        <v>106</v>
      </c>
      <c r="U21" s="17">
        <f t="shared" si="13"/>
        <v>34</v>
      </c>
      <c r="V21" s="17">
        <f t="shared" si="13"/>
        <v>44</v>
      </c>
      <c r="W21" s="17">
        <f t="shared" si="13"/>
        <v>1</v>
      </c>
      <c r="X21" s="17">
        <f t="shared" si="13"/>
        <v>0</v>
      </c>
      <c r="Y21" s="17">
        <f t="shared" si="13"/>
        <v>9</v>
      </c>
      <c r="Z21" s="17">
        <f t="shared" si="13"/>
        <v>8</v>
      </c>
      <c r="AA21" s="17">
        <f t="shared" si="13"/>
        <v>8</v>
      </c>
      <c r="AB21" s="17">
        <f t="shared" si="13"/>
        <v>5</v>
      </c>
      <c r="AC21" s="17">
        <f t="shared" si="13"/>
        <v>457</v>
      </c>
      <c r="AD21" s="17">
        <f t="shared" si="13"/>
        <v>0</v>
      </c>
      <c r="AE21" s="31">
        <f t="shared" si="13"/>
        <v>340</v>
      </c>
      <c r="AF21" s="31">
        <f t="shared" si="13"/>
        <v>797</v>
      </c>
    </row>
    <row r="22" spans="2:32" ht="23.1" customHeight="1" x14ac:dyDescent="0.25">
      <c r="B22" s="45" t="s">
        <v>49</v>
      </c>
      <c r="C22" s="50">
        <v>22</v>
      </c>
      <c r="D22" s="50">
        <v>20</v>
      </c>
      <c r="E22" s="50">
        <v>7</v>
      </c>
      <c r="F22" s="50">
        <v>8</v>
      </c>
      <c r="G22" s="50">
        <v>0</v>
      </c>
      <c r="H22" s="50">
        <v>0</v>
      </c>
      <c r="I22" s="50">
        <v>4</v>
      </c>
      <c r="J22" s="50">
        <v>4</v>
      </c>
      <c r="K22" s="50">
        <v>0</v>
      </c>
      <c r="L22" s="50">
        <v>0</v>
      </c>
      <c r="M22" s="50">
        <v>100</v>
      </c>
      <c r="N22" s="50">
        <v>0</v>
      </c>
      <c r="O22" s="15">
        <f t="shared" si="0"/>
        <v>65</v>
      </c>
      <c r="P22" s="15">
        <f t="shared" si="1"/>
        <v>165</v>
      </c>
      <c r="R22" s="36" t="s">
        <v>146</v>
      </c>
      <c r="S22" s="34">
        <f>SUM(C58:C61)</f>
        <v>80</v>
      </c>
      <c r="T22" s="34">
        <f t="shared" ref="T22:AF22" si="14">SUM(D58:D61)</f>
        <v>57</v>
      </c>
      <c r="U22" s="34">
        <f t="shared" si="14"/>
        <v>8</v>
      </c>
      <c r="V22" s="34">
        <f t="shared" si="14"/>
        <v>30</v>
      </c>
      <c r="W22" s="34">
        <f t="shared" si="14"/>
        <v>0</v>
      </c>
      <c r="X22" s="34">
        <f t="shared" si="14"/>
        <v>0</v>
      </c>
      <c r="Y22" s="34">
        <f t="shared" si="14"/>
        <v>8</v>
      </c>
      <c r="Z22" s="34">
        <f t="shared" si="14"/>
        <v>7</v>
      </c>
      <c r="AA22" s="34">
        <f t="shared" si="14"/>
        <v>5</v>
      </c>
      <c r="AB22" s="34">
        <f t="shared" si="14"/>
        <v>3</v>
      </c>
      <c r="AC22" s="34">
        <f t="shared" si="14"/>
        <v>384</v>
      </c>
      <c r="AD22" s="34">
        <f t="shared" si="14"/>
        <v>0</v>
      </c>
      <c r="AE22" s="31">
        <f t="shared" si="14"/>
        <v>198</v>
      </c>
      <c r="AF22" s="31">
        <f t="shared" si="14"/>
        <v>582</v>
      </c>
    </row>
    <row r="23" spans="2:32" ht="23.1" customHeight="1" x14ac:dyDescent="0.25">
      <c r="B23" s="45" t="s">
        <v>50</v>
      </c>
      <c r="C23" s="50">
        <v>40</v>
      </c>
      <c r="D23" s="50">
        <v>35</v>
      </c>
      <c r="E23" s="50">
        <v>4</v>
      </c>
      <c r="F23" s="50">
        <v>10</v>
      </c>
      <c r="G23" s="50">
        <v>0</v>
      </c>
      <c r="H23" s="50">
        <v>0</v>
      </c>
      <c r="I23" s="50">
        <v>6</v>
      </c>
      <c r="J23" s="50">
        <v>1</v>
      </c>
      <c r="K23" s="50">
        <v>1</v>
      </c>
      <c r="L23" s="50">
        <v>1</v>
      </c>
      <c r="M23" s="50">
        <v>125</v>
      </c>
      <c r="N23" s="50">
        <v>0</v>
      </c>
      <c r="O23" s="15">
        <f t="shared" si="0"/>
        <v>98</v>
      </c>
      <c r="P23" s="15">
        <f t="shared" si="1"/>
        <v>223</v>
      </c>
      <c r="R23" s="36" t="s">
        <v>147</v>
      </c>
      <c r="S23" s="34">
        <f>SUM(C62:C65)</f>
        <v>101</v>
      </c>
      <c r="T23" s="34">
        <f t="shared" ref="T23:AF23" si="15">SUM(D62:D65)</f>
        <v>37</v>
      </c>
      <c r="U23" s="34">
        <f t="shared" si="15"/>
        <v>14</v>
      </c>
      <c r="V23" s="34">
        <f t="shared" si="15"/>
        <v>48</v>
      </c>
      <c r="W23" s="34">
        <f t="shared" si="15"/>
        <v>0</v>
      </c>
      <c r="X23" s="34">
        <f t="shared" si="15"/>
        <v>0</v>
      </c>
      <c r="Y23" s="34">
        <f t="shared" si="15"/>
        <v>10</v>
      </c>
      <c r="Z23" s="34">
        <f t="shared" si="15"/>
        <v>2</v>
      </c>
      <c r="AA23" s="34">
        <f t="shared" si="15"/>
        <v>2</v>
      </c>
      <c r="AB23" s="34">
        <f t="shared" si="15"/>
        <v>4</v>
      </c>
      <c r="AC23" s="34">
        <f t="shared" si="15"/>
        <v>468</v>
      </c>
      <c r="AD23" s="34">
        <f t="shared" si="15"/>
        <v>0</v>
      </c>
      <c r="AE23" s="31">
        <f t="shared" si="15"/>
        <v>218</v>
      </c>
      <c r="AF23" s="31">
        <f t="shared" si="15"/>
        <v>686</v>
      </c>
    </row>
    <row r="24" spans="2:32" ht="23.1" customHeight="1" x14ac:dyDescent="0.25">
      <c r="B24" s="45" t="s">
        <v>51</v>
      </c>
      <c r="C24" s="50">
        <v>25</v>
      </c>
      <c r="D24" s="50">
        <v>25</v>
      </c>
      <c r="E24" s="50">
        <v>3</v>
      </c>
      <c r="F24" s="50">
        <v>3</v>
      </c>
      <c r="G24" s="50">
        <v>0</v>
      </c>
      <c r="H24" s="50">
        <v>1</v>
      </c>
      <c r="I24" s="50">
        <v>3</v>
      </c>
      <c r="J24" s="50">
        <v>1</v>
      </c>
      <c r="K24" s="50">
        <v>0</v>
      </c>
      <c r="L24" s="50">
        <v>0</v>
      </c>
      <c r="M24" s="50">
        <v>110</v>
      </c>
      <c r="N24" s="50">
        <v>0</v>
      </c>
      <c r="O24" s="15">
        <f t="shared" si="0"/>
        <v>61</v>
      </c>
      <c r="P24" s="15">
        <f t="shared" si="1"/>
        <v>171</v>
      </c>
      <c r="R24" s="36" t="s">
        <v>148</v>
      </c>
      <c r="S24" s="34">
        <f>SUM(C66:C69)</f>
        <v>82</v>
      </c>
      <c r="T24" s="34">
        <f t="shared" ref="T24:AF24" si="16">SUM(D66:D69)</f>
        <v>28</v>
      </c>
      <c r="U24" s="34">
        <f t="shared" si="16"/>
        <v>9</v>
      </c>
      <c r="V24" s="34">
        <f t="shared" si="16"/>
        <v>23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4</v>
      </c>
      <c r="AA24" s="34">
        <f t="shared" si="16"/>
        <v>4</v>
      </c>
      <c r="AB24" s="34">
        <f t="shared" si="16"/>
        <v>3</v>
      </c>
      <c r="AC24" s="34">
        <f t="shared" si="16"/>
        <v>348</v>
      </c>
      <c r="AD24" s="34">
        <f t="shared" si="16"/>
        <v>0</v>
      </c>
      <c r="AE24" s="31">
        <f t="shared" si="16"/>
        <v>160</v>
      </c>
      <c r="AF24" s="31">
        <f t="shared" si="16"/>
        <v>508</v>
      </c>
    </row>
    <row r="25" spans="2:32" ht="23.1" customHeight="1" x14ac:dyDescent="0.25">
      <c r="B25" s="45" t="s">
        <v>52</v>
      </c>
      <c r="C25" s="50">
        <v>13</v>
      </c>
      <c r="D25" s="50">
        <v>8</v>
      </c>
      <c r="E25" s="50">
        <v>4</v>
      </c>
      <c r="F25" s="50">
        <v>8</v>
      </c>
      <c r="G25" s="50">
        <v>0</v>
      </c>
      <c r="H25" s="50">
        <v>0</v>
      </c>
      <c r="I25" s="50">
        <v>7</v>
      </c>
      <c r="J25" s="50">
        <v>4</v>
      </c>
      <c r="K25" s="50">
        <v>1</v>
      </c>
      <c r="L25" s="50">
        <v>2</v>
      </c>
      <c r="M25" s="50">
        <v>85</v>
      </c>
      <c r="N25" s="50">
        <v>0</v>
      </c>
      <c r="O25" s="15">
        <f t="shared" si="0"/>
        <v>47</v>
      </c>
      <c r="P25" s="15">
        <f t="shared" si="1"/>
        <v>132</v>
      </c>
      <c r="R25" s="36" t="s">
        <v>149</v>
      </c>
      <c r="S25" s="34">
        <f>SUM(C70:C73)</f>
        <v>52</v>
      </c>
      <c r="T25" s="34">
        <f t="shared" ref="T25:AF25" si="17">SUM(D70:D73)</f>
        <v>32</v>
      </c>
      <c r="U25" s="34">
        <f t="shared" si="17"/>
        <v>7</v>
      </c>
      <c r="V25" s="34">
        <f t="shared" si="17"/>
        <v>12</v>
      </c>
      <c r="W25" s="34">
        <f t="shared" si="17"/>
        <v>1</v>
      </c>
      <c r="X25" s="34">
        <f t="shared" si="17"/>
        <v>0</v>
      </c>
      <c r="Y25" s="34">
        <f t="shared" si="17"/>
        <v>4</v>
      </c>
      <c r="Z25" s="34">
        <f t="shared" si="17"/>
        <v>2</v>
      </c>
      <c r="AA25" s="34">
        <f t="shared" si="17"/>
        <v>3</v>
      </c>
      <c r="AB25" s="34">
        <f t="shared" si="17"/>
        <v>2</v>
      </c>
      <c r="AC25" s="34">
        <f t="shared" si="17"/>
        <v>325</v>
      </c>
      <c r="AD25" s="34">
        <f t="shared" si="17"/>
        <v>0</v>
      </c>
      <c r="AE25" s="31">
        <f t="shared" si="17"/>
        <v>115</v>
      </c>
      <c r="AF25" s="31">
        <f t="shared" si="17"/>
        <v>440</v>
      </c>
    </row>
    <row r="26" spans="2:32" ht="23.1" customHeight="1" x14ac:dyDescent="0.25">
      <c r="B26" s="45" t="s">
        <v>53</v>
      </c>
      <c r="C26" s="50">
        <v>25</v>
      </c>
      <c r="D26" s="50">
        <v>26</v>
      </c>
      <c r="E26" s="50">
        <v>19</v>
      </c>
      <c r="F26" s="50">
        <v>7</v>
      </c>
      <c r="G26" s="50">
        <v>3</v>
      </c>
      <c r="H26" s="50">
        <v>0</v>
      </c>
      <c r="I26" s="50">
        <v>4</v>
      </c>
      <c r="J26" s="50">
        <v>2</v>
      </c>
      <c r="K26" s="50">
        <v>0</v>
      </c>
      <c r="L26" s="50">
        <v>3</v>
      </c>
      <c r="M26" s="50">
        <v>115</v>
      </c>
      <c r="N26" s="50">
        <v>0</v>
      </c>
      <c r="O26" s="15">
        <f t="shared" si="0"/>
        <v>89</v>
      </c>
      <c r="P26" s="15">
        <f t="shared" si="1"/>
        <v>204</v>
      </c>
      <c r="R26" s="36" t="s">
        <v>150</v>
      </c>
      <c r="S26" s="34">
        <f>SUM(C74:C77)</f>
        <v>56</v>
      </c>
      <c r="T26" s="34">
        <f t="shared" ref="T26:AF26" si="18">SUM(D74:D77)</f>
        <v>26</v>
      </c>
      <c r="U26" s="34">
        <f t="shared" si="18"/>
        <v>3</v>
      </c>
      <c r="V26" s="34">
        <f t="shared" si="18"/>
        <v>4</v>
      </c>
      <c r="W26" s="34">
        <f t="shared" si="18"/>
        <v>0</v>
      </c>
      <c r="X26" s="34">
        <f t="shared" si="18"/>
        <v>0</v>
      </c>
      <c r="Y26" s="34">
        <f t="shared" si="18"/>
        <v>9</v>
      </c>
      <c r="Z26" s="34">
        <f t="shared" si="18"/>
        <v>3</v>
      </c>
      <c r="AA26" s="34">
        <f t="shared" si="18"/>
        <v>3</v>
      </c>
      <c r="AB26" s="34">
        <f t="shared" si="18"/>
        <v>1</v>
      </c>
      <c r="AC26" s="34">
        <f t="shared" si="18"/>
        <v>233</v>
      </c>
      <c r="AD26" s="34">
        <f t="shared" si="18"/>
        <v>0</v>
      </c>
      <c r="AE26" s="31">
        <f t="shared" si="18"/>
        <v>105</v>
      </c>
      <c r="AF26" s="31">
        <f t="shared" si="18"/>
        <v>338</v>
      </c>
    </row>
    <row r="27" spans="2:32" ht="23.1" customHeight="1" x14ac:dyDescent="0.25">
      <c r="B27" s="45" t="s">
        <v>54</v>
      </c>
      <c r="C27" s="50">
        <v>13</v>
      </c>
      <c r="D27" s="50">
        <v>10</v>
      </c>
      <c r="E27" s="50">
        <v>3</v>
      </c>
      <c r="F27" s="50">
        <v>3</v>
      </c>
      <c r="G27" s="50">
        <v>0</v>
      </c>
      <c r="H27" s="50">
        <v>0</v>
      </c>
      <c r="I27" s="50">
        <v>1</v>
      </c>
      <c r="J27" s="50">
        <v>1</v>
      </c>
      <c r="K27" s="50">
        <v>2</v>
      </c>
      <c r="L27" s="50">
        <v>2</v>
      </c>
      <c r="M27" s="50">
        <v>75</v>
      </c>
      <c r="N27" s="50">
        <v>0</v>
      </c>
      <c r="O27" s="15">
        <f t="shared" si="0"/>
        <v>35</v>
      </c>
      <c r="P27" s="15">
        <f t="shared" si="1"/>
        <v>110</v>
      </c>
      <c r="R27" s="36" t="s">
        <v>151</v>
      </c>
      <c r="S27" s="34">
        <f>SUM(C78:C81)</f>
        <v>15</v>
      </c>
      <c r="T27" s="34">
        <f t="shared" ref="T27:AF27" si="19">SUM(D78:D81)</f>
        <v>10</v>
      </c>
      <c r="U27" s="34">
        <f t="shared" si="19"/>
        <v>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2</v>
      </c>
      <c r="AA27" s="34">
        <f t="shared" si="19"/>
        <v>2</v>
      </c>
      <c r="AB27" s="34">
        <f t="shared" si="19"/>
        <v>1</v>
      </c>
      <c r="AC27" s="34">
        <f t="shared" si="19"/>
        <v>168</v>
      </c>
      <c r="AD27" s="34">
        <f t="shared" si="19"/>
        <v>0</v>
      </c>
      <c r="AE27" s="31">
        <f t="shared" si="19"/>
        <v>40</v>
      </c>
      <c r="AF27" s="31">
        <f t="shared" si="19"/>
        <v>208</v>
      </c>
    </row>
    <row r="28" spans="2:32" ht="23.1" customHeight="1" x14ac:dyDescent="0.25">
      <c r="B28" s="45" t="s">
        <v>55</v>
      </c>
      <c r="C28" s="50">
        <v>30</v>
      </c>
      <c r="D28" s="50">
        <v>30</v>
      </c>
      <c r="E28" s="50">
        <v>0</v>
      </c>
      <c r="F28" s="50">
        <v>8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2</v>
      </c>
      <c r="M28" s="50">
        <v>90</v>
      </c>
      <c r="N28" s="50">
        <v>0</v>
      </c>
      <c r="O28" s="15">
        <f t="shared" si="0"/>
        <v>73</v>
      </c>
      <c r="P28" s="15">
        <f t="shared" si="1"/>
        <v>163</v>
      </c>
      <c r="R28" s="36" t="s">
        <v>152</v>
      </c>
      <c r="S28" s="34">
        <f>SUM(C82:C85)</f>
        <v>24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4</v>
      </c>
      <c r="AA28" s="34">
        <f t="shared" si="20"/>
        <v>0</v>
      </c>
      <c r="AB28" s="34">
        <f t="shared" si="20"/>
        <v>4</v>
      </c>
      <c r="AC28" s="34">
        <f t="shared" si="20"/>
        <v>76</v>
      </c>
      <c r="AD28" s="34">
        <f t="shared" si="20"/>
        <v>0</v>
      </c>
      <c r="AE28" s="31">
        <f t="shared" si="20"/>
        <v>38</v>
      </c>
      <c r="AF28" s="31">
        <f t="shared" si="20"/>
        <v>114</v>
      </c>
    </row>
    <row r="29" spans="2:32" ht="23.1" customHeight="1" x14ac:dyDescent="0.25">
      <c r="B29" s="45" t="s">
        <v>56</v>
      </c>
      <c r="C29" s="50">
        <v>22</v>
      </c>
      <c r="D29" s="50">
        <v>15</v>
      </c>
      <c r="E29" s="50">
        <v>5</v>
      </c>
      <c r="F29" s="50">
        <v>5</v>
      </c>
      <c r="G29" s="50">
        <v>0</v>
      </c>
      <c r="H29" s="50">
        <v>0</v>
      </c>
      <c r="I29" s="50">
        <v>8</v>
      </c>
      <c r="J29" s="50">
        <v>2</v>
      </c>
      <c r="K29" s="50">
        <v>0</v>
      </c>
      <c r="L29" s="50">
        <v>3</v>
      </c>
      <c r="M29" s="50">
        <v>100</v>
      </c>
      <c r="N29" s="50">
        <v>0</v>
      </c>
      <c r="O29" s="15">
        <f t="shared" si="0"/>
        <v>60</v>
      </c>
      <c r="P29" s="15">
        <f t="shared" si="1"/>
        <v>160</v>
      </c>
      <c r="R29" s="36" t="s">
        <v>153</v>
      </c>
      <c r="S29" s="34">
        <f>SUM(C86:C89)</f>
        <v>8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3</v>
      </c>
      <c r="AA29" s="34">
        <f t="shared" si="21"/>
        <v>3</v>
      </c>
      <c r="AB29" s="34">
        <f t="shared" si="21"/>
        <v>2</v>
      </c>
      <c r="AC29" s="34">
        <f t="shared" si="21"/>
        <v>78</v>
      </c>
      <c r="AD29" s="34">
        <f t="shared" si="21"/>
        <v>0</v>
      </c>
      <c r="AE29" s="31">
        <f t="shared" si="21"/>
        <v>24</v>
      </c>
      <c r="AF29" s="31">
        <f t="shared" si="21"/>
        <v>102</v>
      </c>
    </row>
    <row r="30" spans="2:32" ht="23.1" customHeight="1" x14ac:dyDescent="0.25">
      <c r="B30" s="45" t="s">
        <v>57</v>
      </c>
      <c r="C30" s="50">
        <v>30</v>
      </c>
      <c r="D30" s="50">
        <v>20</v>
      </c>
      <c r="E30" s="50">
        <v>3</v>
      </c>
      <c r="F30" s="50">
        <v>10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1</v>
      </c>
      <c r="M30" s="50">
        <v>105</v>
      </c>
      <c r="N30" s="50">
        <v>0</v>
      </c>
      <c r="O30" s="15">
        <f t="shared" si="0"/>
        <v>69</v>
      </c>
      <c r="P30" s="15">
        <f t="shared" si="1"/>
        <v>174</v>
      </c>
      <c r="R30" s="36" t="s">
        <v>154</v>
      </c>
      <c r="S30" s="34">
        <f>SUM(C90:C93)</f>
        <v>10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6</v>
      </c>
      <c r="AA30" s="34">
        <f t="shared" si="22"/>
        <v>0</v>
      </c>
      <c r="AB30" s="34">
        <f t="shared" si="22"/>
        <v>3</v>
      </c>
      <c r="AC30" s="34">
        <f t="shared" si="22"/>
        <v>57</v>
      </c>
      <c r="AD30" s="34">
        <f t="shared" si="22"/>
        <v>0</v>
      </c>
      <c r="AE30" s="31">
        <f t="shared" si="22"/>
        <v>21</v>
      </c>
      <c r="AF30" s="31">
        <f t="shared" si="22"/>
        <v>78</v>
      </c>
    </row>
    <row r="31" spans="2:32" ht="23.1" customHeight="1" x14ac:dyDescent="0.25">
      <c r="B31" s="46" t="s">
        <v>58</v>
      </c>
      <c r="C31" s="50">
        <v>30</v>
      </c>
      <c r="D31" s="50">
        <v>33</v>
      </c>
      <c r="E31" s="50">
        <v>3</v>
      </c>
      <c r="F31" s="50">
        <v>7</v>
      </c>
      <c r="G31" s="50">
        <v>0</v>
      </c>
      <c r="H31" s="50">
        <v>0</v>
      </c>
      <c r="I31" s="50">
        <v>5</v>
      </c>
      <c r="J31" s="50">
        <v>2</v>
      </c>
      <c r="K31" s="50">
        <v>0</v>
      </c>
      <c r="L31" s="50">
        <v>2</v>
      </c>
      <c r="M31" s="50">
        <v>125</v>
      </c>
      <c r="N31" s="50">
        <v>0</v>
      </c>
      <c r="O31" s="15">
        <f t="shared" si="0"/>
        <v>82</v>
      </c>
      <c r="P31" s="15">
        <f t="shared" si="1"/>
        <v>207</v>
      </c>
      <c r="R31" s="36" t="s">
        <v>155</v>
      </c>
      <c r="S31" s="34">
        <f>SUM(C94:C97)</f>
        <v>11</v>
      </c>
      <c r="T31" s="34">
        <f t="shared" ref="T31:AF31" si="23">SUM(D94:D97)</f>
        <v>4</v>
      </c>
      <c r="U31" s="34">
        <f t="shared" si="23"/>
        <v>4</v>
      </c>
      <c r="V31" s="34">
        <f t="shared" si="23"/>
        <v>6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2</v>
      </c>
      <c r="AB31" s="34">
        <f t="shared" si="23"/>
        <v>2</v>
      </c>
      <c r="AC31" s="34">
        <f t="shared" si="23"/>
        <v>34</v>
      </c>
      <c r="AD31" s="34">
        <f t="shared" si="23"/>
        <v>0</v>
      </c>
      <c r="AE31" s="31">
        <f t="shared" si="23"/>
        <v>31</v>
      </c>
      <c r="AF31" s="31">
        <f t="shared" si="23"/>
        <v>65</v>
      </c>
    </row>
    <row r="32" spans="2:32" ht="23.1" customHeight="1" x14ac:dyDescent="0.25">
      <c r="B32" s="46" t="s">
        <v>59</v>
      </c>
      <c r="C32" s="50">
        <v>40</v>
      </c>
      <c r="D32" s="50">
        <v>21</v>
      </c>
      <c r="E32" s="50">
        <v>7</v>
      </c>
      <c r="F32" s="50">
        <v>13</v>
      </c>
      <c r="G32" s="50">
        <v>1</v>
      </c>
      <c r="H32" s="50">
        <v>0</v>
      </c>
      <c r="I32" s="50">
        <v>9</v>
      </c>
      <c r="J32" s="50">
        <v>1</v>
      </c>
      <c r="K32" s="50">
        <v>1</v>
      </c>
      <c r="L32" s="50">
        <v>23</v>
      </c>
      <c r="M32" s="50">
        <v>95</v>
      </c>
      <c r="N32" s="50">
        <v>0</v>
      </c>
      <c r="O32" s="15">
        <f t="shared" si="0"/>
        <v>116</v>
      </c>
      <c r="P32" s="15">
        <f t="shared" si="1"/>
        <v>211</v>
      </c>
      <c r="R32" s="33" t="s">
        <v>156</v>
      </c>
      <c r="S32" s="34">
        <f>SUM(C98:C101)</f>
        <v>26</v>
      </c>
      <c r="T32" s="34">
        <f t="shared" ref="T32:AF32" si="24">SUM(D98:D101)</f>
        <v>21</v>
      </c>
      <c r="U32" s="34">
        <f t="shared" si="24"/>
        <v>3</v>
      </c>
      <c r="V32" s="34">
        <f t="shared" si="24"/>
        <v>18</v>
      </c>
      <c r="W32" s="34">
        <f t="shared" si="24"/>
        <v>2</v>
      </c>
      <c r="X32" s="34">
        <f t="shared" si="24"/>
        <v>0</v>
      </c>
      <c r="Y32" s="34">
        <f t="shared" si="24"/>
        <v>4</v>
      </c>
      <c r="Z32" s="34">
        <f t="shared" si="24"/>
        <v>4</v>
      </c>
      <c r="AA32" s="34">
        <f t="shared" si="24"/>
        <v>2</v>
      </c>
      <c r="AB32" s="34">
        <f t="shared" si="24"/>
        <v>0</v>
      </c>
      <c r="AC32" s="34">
        <f t="shared" si="24"/>
        <v>60</v>
      </c>
      <c r="AD32" s="34">
        <f t="shared" si="24"/>
        <v>0</v>
      </c>
      <c r="AE32" s="31">
        <f t="shared" si="24"/>
        <v>80</v>
      </c>
      <c r="AF32" s="31">
        <f t="shared" si="24"/>
        <v>140</v>
      </c>
    </row>
    <row r="33" spans="2:32" ht="23.1" customHeight="1" x14ac:dyDescent="0.25">
      <c r="B33" s="45" t="s">
        <v>60</v>
      </c>
      <c r="C33" s="50">
        <v>27</v>
      </c>
      <c r="D33" s="50">
        <v>21</v>
      </c>
      <c r="E33" s="50">
        <v>2</v>
      </c>
      <c r="F33" s="50">
        <v>5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0</v>
      </c>
      <c r="M33" s="50">
        <v>99</v>
      </c>
      <c r="N33" s="50">
        <v>0</v>
      </c>
      <c r="O33" s="15">
        <f t="shared" si="0"/>
        <v>62</v>
      </c>
      <c r="P33" s="15">
        <f t="shared" si="1"/>
        <v>161</v>
      </c>
      <c r="R33" s="33" t="s">
        <v>157</v>
      </c>
      <c r="S33" s="34">
        <f>SUM(C102:C105)</f>
        <v>253</v>
      </c>
      <c r="T33" s="34">
        <f t="shared" ref="T33:AF33" si="25">SUM(D102:D105)</f>
        <v>98</v>
      </c>
      <c r="U33" s="34">
        <f t="shared" si="25"/>
        <v>21</v>
      </c>
      <c r="V33" s="34">
        <f t="shared" si="25"/>
        <v>52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6</v>
      </c>
      <c r="AA33" s="34">
        <f t="shared" si="25"/>
        <v>3</v>
      </c>
      <c r="AB33" s="34">
        <f t="shared" si="25"/>
        <v>6</v>
      </c>
      <c r="AC33" s="34">
        <f t="shared" si="25"/>
        <v>151</v>
      </c>
      <c r="AD33" s="34">
        <f t="shared" si="25"/>
        <v>0</v>
      </c>
      <c r="AE33" s="31">
        <f t="shared" si="25"/>
        <v>441</v>
      </c>
      <c r="AF33" s="31">
        <f t="shared" si="25"/>
        <v>592</v>
      </c>
    </row>
    <row r="34" spans="2:32" ht="23.1" customHeight="1" x14ac:dyDescent="0.25">
      <c r="B34" s="46" t="s">
        <v>61</v>
      </c>
      <c r="C34" s="50">
        <v>40</v>
      </c>
      <c r="D34" s="50">
        <v>30</v>
      </c>
      <c r="E34" s="50">
        <v>0</v>
      </c>
      <c r="F34" s="50">
        <v>7</v>
      </c>
      <c r="G34" s="50">
        <v>1</v>
      </c>
      <c r="H34" s="50">
        <v>0</v>
      </c>
      <c r="I34" s="50">
        <v>4</v>
      </c>
      <c r="J34" s="50">
        <v>1</v>
      </c>
      <c r="K34" s="50">
        <v>1</v>
      </c>
      <c r="L34" s="50">
        <v>2</v>
      </c>
      <c r="M34" s="50">
        <v>60</v>
      </c>
      <c r="N34" s="50">
        <v>0</v>
      </c>
      <c r="O34" s="15">
        <f t="shared" si="0"/>
        <v>86</v>
      </c>
      <c r="P34" s="15">
        <f t="shared" si="1"/>
        <v>146</v>
      </c>
      <c r="R34" s="38" t="s">
        <v>90</v>
      </c>
      <c r="S34" s="39">
        <f t="shared" ref="S34:AF34" si="26">MAX(S10:S12)</f>
        <v>406</v>
      </c>
      <c r="T34" s="39">
        <f t="shared" si="26"/>
        <v>214</v>
      </c>
      <c r="U34" s="39">
        <f t="shared" si="26"/>
        <v>67</v>
      </c>
      <c r="V34" s="39">
        <f t="shared" si="26"/>
        <v>68</v>
      </c>
      <c r="W34" s="39">
        <f t="shared" si="26"/>
        <v>3</v>
      </c>
      <c r="X34" s="39">
        <f t="shared" si="26"/>
        <v>0</v>
      </c>
      <c r="Y34" s="39">
        <f t="shared" si="26"/>
        <v>18</v>
      </c>
      <c r="Z34" s="39">
        <f t="shared" si="26"/>
        <v>10</v>
      </c>
      <c r="AA34" s="39">
        <f t="shared" si="26"/>
        <v>1</v>
      </c>
      <c r="AB34" s="39">
        <f t="shared" si="26"/>
        <v>11</v>
      </c>
      <c r="AC34" s="39">
        <f t="shared" si="26"/>
        <v>592</v>
      </c>
      <c r="AD34" s="39">
        <f t="shared" si="26"/>
        <v>0</v>
      </c>
      <c r="AE34" s="40">
        <f t="shared" si="26"/>
        <v>779</v>
      </c>
      <c r="AF34" s="40">
        <f t="shared" si="26"/>
        <v>1324</v>
      </c>
    </row>
    <row r="35" spans="2:32" ht="23.1" customHeight="1" x14ac:dyDescent="0.25">
      <c r="B35" s="46" t="s">
        <v>62</v>
      </c>
      <c r="C35" s="50">
        <v>17</v>
      </c>
      <c r="D35" s="50">
        <v>10</v>
      </c>
      <c r="E35" s="50">
        <v>1</v>
      </c>
      <c r="F35" s="50">
        <v>6</v>
      </c>
      <c r="G35" s="50">
        <v>0</v>
      </c>
      <c r="H35" s="50">
        <v>0</v>
      </c>
      <c r="I35" s="50">
        <v>5</v>
      </c>
      <c r="J35" s="50">
        <v>4</v>
      </c>
      <c r="K35" s="50">
        <v>2</v>
      </c>
      <c r="L35" s="50">
        <v>3</v>
      </c>
      <c r="M35" s="50">
        <v>80</v>
      </c>
      <c r="N35" s="50">
        <v>0</v>
      </c>
      <c r="O35" s="15">
        <f t="shared" si="0"/>
        <v>48</v>
      </c>
      <c r="P35" s="15">
        <f t="shared" si="1"/>
        <v>128</v>
      </c>
      <c r="R35" s="38" t="s">
        <v>91</v>
      </c>
      <c r="S35" s="39">
        <f t="shared" ref="S35:AF35" si="27">MAX(S13:S18)</f>
        <v>127</v>
      </c>
      <c r="T35" s="39">
        <f t="shared" si="27"/>
        <v>112</v>
      </c>
      <c r="U35" s="39">
        <f t="shared" si="27"/>
        <v>28</v>
      </c>
      <c r="V35" s="39">
        <f t="shared" si="27"/>
        <v>35</v>
      </c>
      <c r="W35" s="39">
        <f t="shared" si="27"/>
        <v>3</v>
      </c>
      <c r="X35" s="39">
        <f t="shared" si="27"/>
        <v>1</v>
      </c>
      <c r="Y35" s="39">
        <f t="shared" si="27"/>
        <v>23</v>
      </c>
      <c r="Z35" s="39">
        <f t="shared" si="27"/>
        <v>10</v>
      </c>
      <c r="AA35" s="39">
        <f t="shared" si="27"/>
        <v>6</v>
      </c>
      <c r="AB35" s="39">
        <f t="shared" si="27"/>
        <v>26</v>
      </c>
      <c r="AC35" s="39">
        <f t="shared" si="27"/>
        <v>424</v>
      </c>
      <c r="AD35" s="39">
        <f t="shared" si="27"/>
        <v>1</v>
      </c>
      <c r="AE35" s="40">
        <f t="shared" si="27"/>
        <v>329</v>
      </c>
      <c r="AF35" s="40">
        <f t="shared" si="27"/>
        <v>753</v>
      </c>
    </row>
    <row r="36" spans="2:32" ht="23.1" customHeight="1" x14ac:dyDescent="0.25">
      <c r="B36" s="46" t="s">
        <v>63</v>
      </c>
      <c r="C36" s="50">
        <v>13</v>
      </c>
      <c r="D36" s="50">
        <v>13</v>
      </c>
      <c r="E36" s="50">
        <v>3</v>
      </c>
      <c r="F36" s="50">
        <v>7</v>
      </c>
      <c r="G36" s="50">
        <v>0</v>
      </c>
      <c r="H36" s="50">
        <v>0</v>
      </c>
      <c r="I36" s="50">
        <v>4</v>
      </c>
      <c r="J36" s="50">
        <v>4</v>
      </c>
      <c r="K36" s="50">
        <v>2</v>
      </c>
      <c r="L36" s="50">
        <v>1</v>
      </c>
      <c r="M36" s="50">
        <v>81</v>
      </c>
      <c r="N36" s="50">
        <v>0</v>
      </c>
      <c r="O36" s="15">
        <f t="shared" si="0"/>
        <v>47</v>
      </c>
      <c r="P36" s="15">
        <f t="shared" si="1"/>
        <v>128</v>
      </c>
      <c r="R36" s="38" t="s">
        <v>92</v>
      </c>
      <c r="S36" s="39">
        <f t="shared" ref="S36:AF36" si="28">MAX(S19:S21)</f>
        <v>141</v>
      </c>
      <c r="T36" s="39">
        <f t="shared" si="28"/>
        <v>120</v>
      </c>
      <c r="U36" s="39">
        <f t="shared" si="28"/>
        <v>34</v>
      </c>
      <c r="V36" s="39">
        <f t="shared" si="28"/>
        <v>44</v>
      </c>
      <c r="W36" s="39">
        <f t="shared" si="28"/>
        <v>2</v>
      </c>
      <c r="X36" s="39">
        <f t="shared" si="28"/>
        <v>0</v>
      </c>
      <c r="Y36" s="39">
        <f t="shared" si="28"/>
        <v>18</v>
      </c>
      <c r="Z36" s="39">
        <f t="shared" si="28"/>
        <v>9</v>
      </c>
      <c r="AA36" s="39">
        <f t="shared" si="28"/>
        <v>8</v>
      </c>
      <c r="AB36" s="39">
        <f t="shared" si="28"/>
        <v>7</v>
      </c>
      <c r="AC36" s="39">
        <f t="shared" si="28"/>
        <v>556</v>
      </c>
      <c r="AD36" s="39">
        <f t="shared" si="28"/>
        <v>0</v>
      </c>
      <c r="AE36" s="40">
        <f t="shared" si="28"/>
        <v>362</v>
      </c>
      <c r="AF36" s="40">
        <f t="shared" si="28"/>
        <v>918</v>
      </c>
    </row>
    <row r="37" spans="2:32" ht="23.1" customHeight="1" x14ac:dyDescent="0.25">
      <c r="B37" s="45" t="s">
        <v>64</v>
      </c>
      <c r="C37" s="50">
        <v>10</v>
      </c>
      <c r="D37" s="50">
        <v>15</v>
      </c>
      <c r="E37" s="50">
        <v>6</v>
      </c>
      <c r="F37" s="50">
        <v>3</v>
      </c>
      <c r="G37" s="50">
        <v>0</v>
      </c>
      <c r="H37" s="50">
        <v>0</v>
      </c>
      <c r="I37" s="50">
        <v>6</v>
      </c>
      <c r="J37" s="50">
        <v>1</v>
      </c>
      <c r="K37" s="50">
        <v>1</v>
      </c>
      <c r="L37" s="50">
        <v>3</v>
      </c>
      <c r="M37" s="50">
        <v>87</v>
      </c>
      <c r="N37" s="50">
        <v>0</v>
      </c>
      <c r="O37" s="15">
        <f t="shared" si="0"/>
        <v>45</v>
      </c>
      <c r="P37" s="15">
        <f t="shared" si="1"/>
        <v>132</v>
      </c>
      <c r="R37" s="37" t="s">
        <v>85</v>
      </c>
      <c r="S37" s="35">
        <f t="shared" ref="S37:AF37" si="29">SUM(S10:S12)</f>
        <v>716</v>
      </c>
      <c r="T37" s="16">
        <f t="shared" si="29"/>
        <v>443</v>
      </c>
      <c r="U37" s="16">
        <f t="shared" si="29"/>
        <v>140</v>
      </c>
      <c r="V37" s="16">
        <f t="shared" si="29"/>
        <v>138</v>
      </c>
      <c r="W37" s="16">
        <f t="shared" si="29"/>
        <v>6</v>
      </c>
      <c r="X37" s="16">
        <f t="shared" si="29"/>
        <v>0</v>
      </c>
      <c r="Y37" s="16">
        <f t="shared" si="29"/>
        <v>42</v>
      </c>
      <c r="Z37" s="16">
        <f t="shared" si="29"/>
        <v>24</v>
      </c>
      <c r="AA37" s="16">
        <f t="shared" si="29"/>
        <v>1</v>
      </c>
      <c r="AB37" s="16">
        <f t="shared" si="29"/>
        <v>18</v>
      </c>
      <c r="AC37" s="16">
        <f t="shared" si="29"/>
        <v>1692</v>
      </c>
      <c r="AD37" s="16">
        <f t="shared" si="29"/>
        <v>0</v>
      </c>
      <c r="AE37" s="32">
        <f t="shared" si="29"/>
        <v>1528</v>
      </c>
      <c r="AF37" s="32">
        <f t="shared" si="29"/>
        <v>3220</v>
      </c>
    </row>
    <row r="38" spans="2:32" ht="23.1" customHeight="1" x14ac:dyDescent="0.25">
      <c r="B38" s="46" t="s">
        <v>65</v>
      </c>
      <c r="C38" s="50">
        <v>32</v>
      </c>
      <c r="D38" s="50">
        <v>31</v>
      </c>
      <c r="E38" s="50">
        <v>7</v>
      </c>
      <c r="F38" s="50">
        <v>10</v>
      </c>
      <c r="G38" s="50">
        <v>0</v>
      </c>
      <c r="H38" s="50">
        <v>0</v>
      </c>
      <c r="I38" s="50">
        <v>6</v>
      </c>
      <c r="J38" s="50">
        <v>2</v>
      </c>
      <c r="K38" s="50">
        <v>0</v>
      </c>
      <c r="L38" s="50">
        <v>1</v>
      </c>
      <c r="M38" s="50">
        <v>90</v>
      </c>
      <c r="N38" s="50">
        <v>0</v>
      </c>
      <c r="O38" s="15">
        <f t="shared" si="0"/>
        <v>89</v>
      </c>
      <c r="P38" s="15">
        <f t="shared" si="1"/>
        <v>179</v>
      </c>
      <c r="R38" s="28" t="s">
        <v>86</v>
      </c>
      <c r="S38" s="16">
        <f t="shared" ref="S38:AF38" si="30">SUM(S13:S18)</f>
        <v>609</v>
      </c>
      <c r="T38" s="16">
        <f t="shared" si="30"/>
        <v>516</v>
      </c>
      <c r="U38" s="16">
        <f t="shared" si="30"/>
        <v>121</v>
      </c>
      <c r="V38" s="16">
        <f t="shared" si="30"/>
        <v>165</v>
      </c>
      <c r="W38" s="16">
        <f t="shared" si="30"/>
        <v>8</v>
      </c>
      <c r="X38" s="16">
        <f t="shared" si="30"/>
        <v>1</v>
      </c>
      <c r="Y38" s="16">
        <f t="shared" si="30"/>
        <v>107</v>
      </c>
      <c r="Z38" s="16">
        <f t="shared" si="30"/>
        <v>50</v>
      </c>
      <c r="AA38" s="16">
        <f t="shared" si="30"/>
        <v>16</v>
      </c>
      <c r="AB38" s="16">
        <f t="shared" si="30"/>
        <v>56</v>
      </c>
      <c r="AC38" s="16">
        <f t="shared" si="30"/>
        <v>2239</v>
      </c>
      <c r="AD38" s="16">
        <f t="shared" si="30"/>
        <v>1</v>
      </c>
      <c r="AE38" s="32">
        <f t="shared" si="30"/>
        <v>1650</v>
      </c>
      <c r="AF38" s="32">
        <f t="shared" si="30"/>
        <v>3889</v>
      </c>
    </row>
    <row r="39" spans="2:32" ht="23.1" customHeight="1" x14ac:dyDescent="0.25">
      <c r="B39" s="46" t="s">
        <v>66</v>
      </c>
      <c r="C39" s="50">
        <v>13</v>
      </c>
      <c r="D39" s="50">
        <v>8</v>
      </c>
      <c r="E39" s="50">
        <v>3</v>
      </c>
      <c r="F39" s="50">
        <v>7</v>
      </c>
      <c r="G39" s="50">
        <v>2</v>
      </c>
      <c r="H39" s="50">
        <v>0</v>
      </c>
      <c r="I39" s="50">
        <v>4</v>
      </c>
      <c r="J39" s="50">
        <v>3</v>
      </c>
      <c r="K39" s="50">
        <v>0</v>
      </c>
      <c r="L39" s="50">
        <v>0</v>
      </c>
      <c r="M39" s="50">
        <v>95</v>
      </c>
      <c r="N39" s="50">
        <v>0</v>
      </c>
      <c r="O39" s="15">
        <f t="shared" si="0"/>
        <v>40</v>
      </c>
      <c r="P39" s="15">
        <f t="shared" si="1"/>
        <v>135</v>
      </c>
      <c r="R39" s="29" t="s">
        <v>87</v>
      </c>
      <c r="S39" s="16">
        <f t="shared" ref="S39:AF39" si="31">SUM(S19:S21)</f>
        <v>383</v>
      </c>
      <c r="T39" s="16">
        <f t="shared" si="31"/>
        <v>342</v>
      </c>
      <c r="U39" s="16">
        <f t="shared" si="31"/>
        <v>83</v>
      </c>
      <c r="V39" s="16">
        <f t="shared" si="31"/>
        <v>120</v>
      </c>
      <c r="W39" s="16">
        <f t="shared" si="31"/>
        <v>3</v>
      </c>
      <c r="X39" s="16">
        <f t="shared" si="31"/>
        <v>0</v>
      </c>
      <c r="Y39" s="16">
        <f t="shared" si="31"/>
        <v>39</v>
      </c>
      <c r="Z39" s="16">
        <f t="shared" si="31"/>
        <v>21</v>
      </c>
      <c r="AA39" s="16">
        <f t="shared" si="31"/>
        <v>15</v>
      </c>
      <c r="AB39" s="16">
        <f t="shared" si="31"/>
        <v>19</v>
      </c>
      <c r="AC39" s="16">
        <f t="shared" si="31"/>
        <v>1401</v>
      </c>
      <c r="AD39" s="16">
        <f t="shared" si="31"/>
        <v>0</v>
      </c>
      <c r="AE39" s="32">
        <f t="shared" si="31"/>
        <v>1025</v>
      </c>
      <c r="AF39" s="32">
        <f t="shared" si="31"/>
        <v>2426</v>
      </c>
    </row>
    <row r="40" spans="2:32" ht="23.1" customHeight="1" x14ac:dyDescent="0.25">
      <c r="B40" s="46" t="s">
        <v>67</v>
      </c>
      <c r="C40" s="50">
        <v>18</v>
      </c>
      <c r="D40" s="50">
        <v>18</v>
      </c>
      <c r="E40" s="50">
        <v>6</v>
      </c>
      <c r="F40" s="50">
        <v>8</v>
      </c>
      <c r="G40" s="50">
        <v>0</v>
      </c>
      <c r="H40" s="50">
        <v>0</v>
      </c>
      <c r="I40" s="50">
        <v>2</v>
      </c>
      <c r="J40" s="50">
        <v>4</v>
      </c>
      <c r="K40" s="50">
        <v>1</v>
      </c>
      <c r="L40" s="50">
        <v>4</v>
      </c>
      <c r="M40" s="50">
        <v>115</v>
      </c>
      <c r="N40" s="50">
        <v>0</v>
      </c>
      <c r="O40" s="15">
        <f t="shared" si="0"/>
        <v>61</v>
      </c>
      <c r="P40" s="15">
        <f t="shared" si="1"/>
        <v>176</v>
      </c>
      <c r="R40" s="5" t="s">
        <v>17</v>
      </c>
      <c r="S40" s="16">
        <f t="shared" ref="S40:AF40" si="32">SUM(S10:S21)</f>
        <v>1708</v>
      </c>
      <c r="T40" s="16">
        <f t="shared" si="32"/>
        <v>1301</v>
      </c>
      <c r="U40" s="16">
        <f t="shared" si="32"/>
        <v>344</v>
      </c>
      <c r="V40" s="16">
        <f t="shared" si="32"/>
        <v>423</v>
      </c>
      <c r="W40" s="16">
        <f t="shared" si="32"/>
        <v>17</v>
      </c>
      <c r="X40" s="16">
        <f t="shared" si="32"/>
        <v>1</v>
      </c>
      <c r="Y40" s="16">
        <f t="shared" si="32"/>
        <v>188</v>
      </c>
      <c r="Z40" s="16">
        <f t="shared" si="32"/>
        <v>95</v>
      </c>
      <c r="AA40" s="16">
        <f t="shared" si="32"/>
        <v>32</v>
      </c>
      <c r="AB40" s="16">
        <f t="shared" si="32"/>
        <v>93</v>
      </c>
      <c r="AC40" s="16">
        <f t="shared" si="32"/>
        <v>5332</v>
      </c>
      <c r="AD40" s="16">
        <f t="shared" si="32"/>
        <v>1</v>
      </c>
      <c r="AE40" s="32">
        <f t="shared" si="32"/>
        <v>4203</v>
      </c>
      <c r="AF40" s="32">
        <f t="shared" si="32"/>
        <v>9535</v>
      </c>
    </row>
    <row r="41" spans="2:32" ht="23.1" customHeight="1" x14ac:dyDescent="0.25">
      <c r="B41" s="45" t="s">
        <v>68</v>
      </c>
      <c r="C41" s="50">
        <v>25</v>
      </c>
      <c r="D41" s="50">
        <v>15</v>
      </c>
      <c r="E41" s="50">
        <v>7</v>
      </c>
      <c r="F41" s="50">
        <v>8</v>
      </c>
      <c r="G41" s="50">
        <v>1</v>
      </c>
      <c r="H41" s="50">
        <v>0</v>
      </c>
      <c r="I41" s="50">
        <v>3</v>
      </c>
      <c r="J41" s="50">
        <v>1</v>
      </c>
      <c r="K41" s="50">
        <v>0</v>
      </c>
      <c r="L41" s="50">
        <v>1</v>
      </c>
      <c r="M41" s="50">
        <v>65</v>
      </c>
      <c r="N41" s="50">
        <v>0</v>
      </c>
      <c r="O41" s="15">
        <f t="shared" si="0"/>
        <v>61</v>
      </c>
      <c r="P41" s="15">
        <f t="shared" si="1"/>
        <v>126</v>
      </c>
      <c r="R41" s="5" t="s">
        <v>159</v>
      </c>
      <c r="S41" s="16">
        <f>SUM(S10:S33)</f>
        <v>2426</v>
      </c>
      <c r="T41" s="16">
        <f t="shared" ref="T41:AF41" si="33">SUM(T10:T33)</f>
        <v>1616</v>
      </c>
      <c r="U41" s="16">
        <f t="shared" si="33"/>
        <v>423</v>
      </c>
      <c r="V41" s="16">
        <f t="shared" si="33"/>
        <v>617</v>
      </c>
      <c r="W41" s="16">
        <f t="shared" si="33"/>
        <v>21</v>
      </c>
      <c r="X41" s="16">
        <f t="shared" si="33"/>
        <v>1</v>
      </c>
      <c r="Y41" s="16">
        <f t="shared" si="33"/>
        <v>244</v>
      </c>
      <c r="Z41" s="16">
        <f t="shared" si="33"/>
        <v>140</v>
      </c>
      <c r="AA41" s="16">
        <f t="shared" si="33"/>
        <v>61</v>
      </c>
      <c r="AB41" s="16">
        <f t="shared" si="33"/>
        <v>124</v>
      </c>
      <c r="AC41" s="16">
        <f t="shared" si="33"/>
        <v>7714</v>
      </c>
      <c r="AD41" s="16">
        <f t="shared" si="33"/>
        <v>1</v>
      </c>
      <c r="AE41" s="32">
        <f t="shared" si="33"/>
        <v>5674</v>
      </c>
      <c r="AF41" s="32">
        <f t="shared" si="33"/>
        <v>13388</v>
      </c>
    </row>
    <row r="42" spans="2:32" ht="23.1" customHeight="1" x14ac:dyDescent="0.25">
      <c r="B42" s="46" t="s">
        <v>69</v>
      </c>
      <c r="C42" s="50">
        <v>32</v>
      </c>
      <c r="D42" s="50">
        <v>30</v>
      </c>
      <c r="E42" s="50">
        <v>5</v>
      </c>
      <c r="F42" s="50">
        <v>6</v>
      </c>
      <c r="G42" s="50">
        <v>0</v>
      </c>
      <c r="H42" s="50">
        <v>0</v>
      </c>
      <c r="I42" s="50">
        <v>3</v>
      </c>
      <c r="J42" s="50">
        <v>3</v>
      </c>
      <c r="K42" s="50">
        <v>3</v>
      </c>
      <c r="L42" s="50">
        <v>1</v>
      </c>
      <c r="M42" s="50">
        <v>65</v>
      </c>
      <c r="N42" s="50">
        <v>0</v>
      </c>
      <c r="O42" s="15">
        <f t="shared" si="0"/>
        <v>83</v>
      </c>
      <c r="P42" s="15">
        <f t="shared" si="1"/>
        <v>148</v>
      </c>
      <c r="R42" s="5" t="s">
        <v>160</v>
      </c>
      <c r="S42" s="48">
        <f>S41/S40</f>
        <v>1.4203747072599531</v>
      </c>
      <c r="T42" s="48">
        <f t="shared" ref="T42:AF42" si="34">T41/T40</f>
        <v>1.2421214450422751</v>
      </c>
      <c r="U42" s="48">
        <f t="shared" si="34"/>
        <v>1.2296511627906976</v>
      </c>
      <c r="V42" s="48">
        <f t="shared" si="34"/>
        <v>1.458628841607565</v>
      </c>
      <c r="W42" s="48">
        <f t="shared" si="34"/>
        <v>1.2352941176470589</v>
      </c>
      <c r="X42" s="48">
        <f t="shared" si="34"/>
        <v>1</v>
      </c>
      <c r="Y42" s="48">
        <f t="shared" si="34"/>
        <v>1.2978723404255319</v>
      </c>
      <c r="Z42" s="48">
        <f t="shared" si="34"/>
        <v>1.4736842105263157</v>
      </c>
      <c r="AA42" s="48">
        <f t="shared" si="34"/>
        <v>1.90625</v>
      </c>
      <c r="AB42" s="48">
        <f t="shared" si="34"/>
        <v>1.3333333333333333</v>
      </c>
      <c r="AC42" s="48">
        <f t="shared" si="34"/>
        <v>1.4467366841710427</v>
      </c>
      <c r="AD42" s="48">
        <f t="shared" si="34"/>
        <v>1</v>
      </c>
      <c r="AE42" s="48">
        <f t="shared" si="34"/>
        <v>1.3499881037354271</v>
      </c>
      <c r="AF42" s="48">
        <f t="shared" si="34"/>
        <v>1.4040901940220241</v>
      </c>
    </row>
    <row r="43" spans="2:32" ht="23.1" customHeight="1" x14ac:dyDescent="0.25">
      <c r="B43" s="45" t="s">
        <v>70</v>
      </c>
      <c r="C43" s="50">
        <v>31</v>
      </c>
      <c r="D43" s="50">
        <v>33</v>
      </c>
      <c r="E43" s="50">
        <v>8</v>
      </c>
      <c r="F43" s="50">
        <v>5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1</v>
      </c>
      <c r="M43" s="50">
        <v>90</v>
      </c>
      <c r="N43" s="50">
        <v>0</v>
      </c>
      <c r="O43" s="15">
        <f t="shared" si="0"/>
        <v>81</v>
      </c>
      <c r="P43" s="15">
        <f t="shared" si="1"/>
        <v>171</v>
      </c>
    </row>
    <row r="44" spans="2:32" ht="23.1" customHeight="1" x14ac:dyDescent="0.25">
      <c r="B44" s="47" t="s">
        <v>71</v>
      </c>
      <c r="C44" s="50">
        <v>36</v>
      </c>
      <c r="D44" s="50">
        <v>30</v>
      </c>
      <c r="E44" s="50">
        <v>10</v>
      </c>
      <c r="F44" s="50">
        <v>6</v>
      </c>
      <c r="G44" s="50">
        <v>0</v>
      </c>
      <c r="H44" s="50">
        <v>0</v>
      </c>
      <c r="I44" s="50">
        <v>4</v>
      </c>
      <c r="J44" s="50">
        <v>1</v>
      </c>
      <c r="K44" s="50">
        <v>1</v>
      </c>
      <c r="L44" s="50">
        <v>0</v>
      </c>
      <c r="M44" s="50">
        <v>100</v>
      </c>
      <c r="N44" s="50">
        <v>0</v>
      </c>
      <c r="O44" s="15">
        <f t="shared" si="0"/>
        <v>88</v>
      </c>
      <c r="P44" s="15">
        <f t="shared" si="1"/>
        <v>188</v>
      </c>
    </row>
    <row r="45" spans="2:32" ht="23.1" customHeight="1" x14ac:dyDescent="0.25">
      <c r="B45" s="45" t="s">
        <v>72</v>
      </c>
      <c r="C45" s="50">
        <v>25</v>
      </c>
      <c r="D45" s="50">
        <v>19</v>
      </c>
      <c r="E45" s="50">
        <v>5</v>
      </c>
      <c r="F45" s="50">
        <v>5</v>
      </c>
      <c r="G45" s="50">
        <v>0</v>
      </c>
      <c r="H45" s="50">
        <v>0</v>
      </c>
      <c r="I45" s="50">
        <v>6</v>
      </c>
      <c r="J45" s="50">
        <v>3</v>
      </c>
      <c r="K45" s="50">
        <v>0</v>
      </c>
      <c r="L45" s="50">
        <v>0</v>
      </c>
      <c r="M45" s="50">
        <v>87</v>
      </c>
      <c r="N45" s="50">
        <v>1</v>
      </c>
      <c r="O45" s="15">
        <f t="shared" si="0"/>
        <v>64</v>
      </c>
      <c r="P45" s="15">
        <f t="shared" si="1"/>
        <v>151</v>
      </c>
    </row>
    <row r="46" spans="2:32" ht="23.1" customHeight="1" x14ac:dyDescent="0.25">
      <c r="B46" s="46" t="s">
        <v>73</v>
      </c>
      <c r="C46" s="50">
        <v>30</v>
      </c>
      <c r="D46" s="50">
        <v>33</v>
      </c>
      <c r="E46" s="50">
        <v>5</v>
      </c>
      <c r="F46" s="50">
        <v>12</v>
      </c>
      <c r="G46" s="50">
        <v>0</v>
      </c>
      <c r="H46" s="50">
        <v>0</v>
      </c>
      <c r="I46" s="50">
        <v>12</v>
      </c>
      <c r="J46" s="50">
        <v>2</v>
      </c>
      <c r="K46" s="50">
        <v>1</v>
      </c>
      <c r="L46" s="50">
        <v>3</v>
      </c>
      <c r="M46" s="50">
        <v>91</v>
      </c>
      <c r="N46" s="50">
        <v>0</v>
      </c>
      <c r="O46" s="15">
        <f t="shared" si="0"/>
        <v>98</v>
      </c>
      <c r="P46" s="15">
        <f t="shared" si="1"/>
        <v>189</v>
      </c>
      <c r="R46" s="8"/>
      <c r="T46"/>
    </row>
    <row r="47" spans="2:32" ht="23.1" customHeight="1" x14ac:dyDescent="0.25">
      <c r="B47" s="46" t="s">
        <v>74</v>
      </c>
      <c r="C47" s="50">
        <v>30</v>
      </c>
      <c r="D47" s="50">
        <v>35</v>
      </c>
      <c r="E47" s="50">
        <v>1</v>
      </c>
      <c r="F47" s="50">
        <v>6</v>
      </c>
      <c r="G47" s="50">
        <v>0</v>
      </c>
      <c r="H47" s="50">
        <v>0</v>
      </c>
      <c r="I47" s="50">
        <v>2</v>
      </c>
      <c r="J47" s="50">
        <v>1</v>
      </c>
      <c r="K47" s="50">
        <v>1</v>
      </c>
      <c r="L47" s="50">
        <v>2</v>
      </c>
      <c r="M47" s="50">
        <v>90</v>
      </c>
      <c r="N47" s="50">
        <v>0</v>
      </c>
      <c r="O47" s="15">
        <f t="shared" si="0"/>
        <v>78</v>
      </c>
      <c r="P47" s="15">
        <f t="shared" si="1"/>
        <v>168</v>
      </c>
      <c r="R47" s="8"/>
      <c r="T47"/>
    </row>
    <row r="48" spans="2:32" ht="23.1" customHeight="1" x14ac:dyDescent="0.25">
      <c r="B48" s="46" t="s">
        <v>75</v>
      </c>
      <c r="C48" s="50">
        <v>35</v>
      </c>
      <c r="D48" s="50">
        <v>25</v>
      </c>
      <c r="E48" s="50">
        <v>10</v>
      </c>
      <c r="F48" s="50">
        <v>5</v>
      </c>
      <c r="G48" s="50">
        <v>0</v>
      </c>
      <c r="H48" s="50">
        <v>0</v>
      </c>
      <c r="I48" s="50">
        <v>1</v>
      </c>
      <c r="J48" s="50">
        <v>2</v>
      </c>
      <c r="K48" s="50">
        <v>1</v>
      </c>
      <c r="L48" s="50">
        <v>1</v>
      </c>
      <c r="M48" s="50">
        <v>115</v>
      </c>
      <c r="N48" s="50">
        <v>0</v>
      </c>
      <c r="O48" s="15">
        <f t="shared" si="0"/>
        <v>80</v>
      </c>
      <c r="P48" s="15">
        <f t="shared" si="1"/>
        <v>195</v>
      </c>
      <c r="R48" s="8"/>
      <c r="T48"/>
    </row>
    <row r="49" spans="2:20" ht="23.1" customHeight="1" x14ac:dyDescent="0.25">
      <c r="B49" s="45" t="s">
        <v>76</v>
      </c>
      <c r="C49" s="50">
        <v>22</v>
      </c>
      <c r="D49" s="50">
        <v>23</v>
      </c>
      <c r="E49" s="50">
        <v>4</v>
      </c>
      <c r="F49" s="50">
        <v>10</v>
      </c>
      <c r="G49" s="50">
        <v>0</v>
      </c>
      <c r="H49" s="50">
        <v>0</v>
      </c>
      <c r="I49" s="50">
        <v>3</v>
      </c>
      <c r="J49" s="50">
        <v>4</v>
      </c>
      <c r="K49" s="50">
        <v>0</v>
      </c>
      <c r="L49" s="50">
        <v>1</v>
      </c>
      <c r="M49" s="50">
        <v>92</v>
      </c>
      <c r="N49" s="50">
        <v>0</v>
      </c>
      <c r="O49" s="15">
        <f t="shared" si="0"/>
        <v>67</v>
      </c>
      <c r="P49" s="15">
        <f t="shared" si="1"/>
        <v>159</v>
      </c>
      <c r="R49" s="8"/>
      <c r="T49"/>
    </row>
    <row r="50" spans="2:20" ht="23.1" customHeight="1" x14ac:dyDescent="0.25">
      <c r="B50" s="46" t="s">
        <v>77</v>
      </c>
      <c r="C50" s="50">
        <v>41</v>
      </c>
      <c r="D50" s="50">
        <v>25</v>
      </c>
      <c r="E50" s="50">
        <v>5</v>
      </c>
      <c r="F50" s="50">
        <v>6</v>
      </c>
      <c r="G50" s="50">
        <v>0</v>
      </c>
      <c r="H50" s="50">
        <v>0</v>
      </c>
      <c r="I50" s="50">
        <v>3</v>
      </c>
      <c r="J50" s="50">
        <v>2</v>
      </c>
      <c r="K50" s="50">
        <v>1</v>
      </c>
      <c r="L50" s="50">
        <v>3</v>
      </c>
      <c r="M50" s="50">
        <v>115</v>
      </c>
      <c r="N50" s="50">
        <v>0</v>
      </c>
      <c r="O50" s="15">
        <f t="shared" si="0"/>
        <v>86</v>
      </c>
      <c r="P50" s="15">
        <f t="shared" si="1"/>
        <v>201</v>
      </c>
      <c r="R50" s="8"/>
      <c r="T50"/>
    </row>
    <row r="51" spans="2:20" ht="23.1" customHeight="1" x14ac:dyDescent="0.25">
      <c r="B51" s="46" t="s">
        <v>78</v>
      </c>
      <c r="C51" s="50">
        <v>27</v>
      </c>
      <c r="D51" s="50">
        <v>25</v>
      </c>
      <c r="E51" s="50">
        <v>7</v>
      </c>
      <c r="F51" s="50">
        <v>10</v>
      </c>
      <c r="G51" s="50">
        <v>1</v>
      </c>
      <c r="H51" s="50">
        <v>0</v>
      </c>
      <c r="I51" s="50">
        <v>1</v>
      </c>
      <c r="J51" s="50">
        <v>0</v>
      </c>
      <c r="K51" s="50">
        <v>3</v>
      </c>
      <c r="L51" s="50">
        <v>1</v>
      </c>
      <c r="M51" s="50">
        <v>150</v>
      </c>
      <c r="N51" s="50">
        <v>0</v>
      </c>
      <c r="O51" s="15">
        <f t="shared" si="0"/>
        <v>75</v>
      </c>
      <c r="P51" s="15">
        <f t="shared" si="1"/>
        <v>225</v>
      </c>
      <c r="R51" s="8"/>
      <c r="T51"/>
    </row>
    <row r="52" spans="2:20" ht="23.1" customHeight="1" x14ac:dyDescent="0.25">
      <c r="B52" s="46" t="s">
        <v>79</v>
      </c>
      <c r="C52" s="50">
        <v>45</v>
      </c>
      <c r="D52" s="50">
        <v>40</v>
      </c>
      <c r="E52" s="50">
        <v>10</v>
      </c>
      <c r="F52" s="50">
        <v>15</v>
      </c>
      <c r="G52" s="50">
        <v>1</v>
      </c>
      <c r="H52" s="50">
        <v>0</v>
      </c>
      <c r="I52" s="50">
        <v>4</v>
      </c>
      <c r="J52" s="50">
        <v>1</v>
      </c>
      <c r="K52" s="50">
        <v>0</v>
      </c>
      <c r="L52" s="50">
        <v>3</v>
      </c>
      <c r="M52" s="50">
        <v>150</v>
      </c>
      <c r="N52" s="50">
        <v>0</v>
      </c>
      <c r="O52" s="15">
        <f t="shared" si="0"/>
        <v>119</v>
      </c>
      <c r="P52" s="15">
        <f t="shared" si="1"/>
        <v>269</v>
      </c>
      <c r="R52" s="8"/>
      <c r="T52"/>
    </row>
    <row r="53" spans="2:20" ht="23.1" customHeight="1" x14ac:dyDescent="0.25">
      <c r="B53" s="45" t="s">
        <v>80</v>
      </c>
      <c r="C53" s="50">
        <v>28</v>
      </c>
      <c r="D53" s="50">
        <v>30</v>
      </c>
      <c r="E53" s="50">
        <v>7</v>
      </c>
      <c r="F53" s="50">
        <v>12</v>
      </c>
      <c r="G53" s="50">
        <v>0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141</v>
      </c>
      <c r="N53" s="50">
        <v>0</v>
      </c>
      <c r="O53" s="15">
        <f t="shared" si="0"/>
        <v>82</v>
      </c>
      <c r="P53" s="15">
        <f t="shared" si="1"/>
        <v>223</v>
      </c>
      <c r="R53" s="8"/>
      <c r="T53"/>
    </row>
    <row r="54" spans="2:20" ht="23.1" customHeight="1" x14ac:dyDescent="0.25">
      <c r="B54" s="45" t="s">
        <v>81</v>
      </c>
      <c r="C54" s="50">
        <v>30</v>
      </c>
      <c r="D54" s="50">
        <v>25</v>
      </c>
      <c r="E54" s="50">
        <v>5</v>
      </c>
      <c r="F54" s="50">
        <v>15</v>
      </c>
      <c r="G54" s="50">
        <v>0</v>
      </c>
      <c r="H54" s="50">
        <v>0</v>
      </c>
      <c r="I54" s="50">
        <v>3</v>
      </c>
      <c r="J54" s="50">
        <v>1</v>
      </c>
      <c r="K54" s="50">
        <v>7</v>
      </c>
      <c r="L54" s="50">
        <v>2</v>
      </c>
      <c r="M54" s="50">
        <v>150</v>
      </c>
      <c r="N54" s="50">
        <v>0</v>
      </c>
      <c r="O54" s="15">
        <f t="shared" si="0"/>
        <v>88</v>
      </c>
      <c r="P54" s="15">
        <f t="shared" si="1"/>
        <v>238</v>
      </c>
      <c r="R54" s="8"/>
      <c r="T54"/>
    </row>
    <row r="55" spans="2:20" ht="23.1" customHeight="1" x14ac:dyDescent="0.25">
      <c r="B55" s="45" t="s">
        <v>82</v>
      </c>
      <c r="C55" s="50">
        <v>45</v>
      </c>
      <c r="D55" s="50">
        <v>45</v>
      </c>
      <c r="E55" s="50">
        <v>7</v>
      </c>
      <c r="F55" s="50">
        <v>7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116</v>
      </c>
      <c r="N55" s="50">
        <v>0</v>
      </c>
      <c r="O55" s="15">
        <f t="shared" si="0"/>
        <v>107</v>
      </c>
      <c r="P55" s="15">
        <f t="shared" si="1"/>
        <v>223</v>
      </c>
      <c r="R55" s="8"/>
      <c r="T55"/>
    </row>
    <row r="56" spans="2:20" ht="23.1" customHeight="1" x14ac:dyDescent="0.25">
      <c r="B56" s="45" t="s">
        <v>83</v>
      </c>
      <c r="C56" s="50">
        <v>30</v>
      </c>
      <c r="D56" s="50">
        <v>20</v>
      </c>
      <c r="E56" s="50">
        <v>7</v>
      </c>
      <c r="F56" s="50">
        <v>15</v>
      </c>
      <c r="G56" s="50">
        <v>1</v>
      </c>
      <c r="H56" s="50">
        <v>0</v>
      </c>
      <c r="I56" s="50">
        <v>2</v>
      </c>
      <c r="J56" s="50">
        <v>2</v>
      </c>
      <c r="K56" s="50">
        <v>0</v>
      </c>
      <c r="L56" s="50">
        <v>0</v>
      </c>
      <c r="M56" s="50">
        <v>112</v>
      </c>
      <c r="N56" s="50">
        <v>0</v>
      </c>
      <c r="O56" s="15">
        <f t="shared" si="0"/>
        <v>77</v>
      </c>
      <c r="P56" s="15">
        <f t="shared" si="1"/>
        <v>189</v>
      </c>
      <c r="R56" s="8"/>
      <c r="T56"/>
    </row>
    <row r="57" spans="2:20" ht="23.1" customHeight="1" x14ac:dyDescent="0.25">
      <c r="B57" s="45" t="s">
        <v>84</v>
      </c>
      <c r="C57" s="50">
        <v>20</v>
      </c>
      <c r="D57" s="50">
        <v>16</v>
      </c>
      <c r="E57" s="50">
        <v>15</v>
      </c>
      <c r="F57" s="50">
        <v>7</v>
      </c>
      <c r="G57" s="50">
        <v>0</v>
      </c>
      <c r="H57" s="50">
        <v>0</v>
      </c>
      <c r="I57" s="50">
        <v>3</v>
      </c>
      <c r="J57" s="50">
        <v>4</v>
      </c>
      <c r="K57" s="50">
        <v>1</v>
      </c>
      <c r="L57" s="50">
        <v>2</v>
      </c>
      <c r="M57" s="50">
        <v>79</v>
      </c>
      <c r="N57" s="50">
        <v>0</v>
      </c>
      <c r="O57" s="15">
        <f t="shared" si="0"/>
        <v>68</v>
      </c>
      <c r="P57" s="15">
        <f t="shared" si="1"/>
        <v>147</v>
      </c>
      <c r="R57" s="8"/>
      <c r="T57"/>
    </row>
    <row r="58" spans="2:20" ht="23.1" customHeight="1" x14ac:dyDescent="0.25">
      <c r="B58" s="45" t="s">
        <v>99</v>
      </c>
      <c r="C58" s="50">
        <v>20</v>
      </c>
      <c r="D58" s="50">
        <v>10</v>
      </c>
      <c r="E58" s="50">
        <v>1</v>
      </c>
      <c r="F58" s="50">
        <v>6</v>
      </c>
      <c r="G58" s="50">
        <v>0</v>
      </c>
      <c r="H58" s="50">
        <v>0</v>
      </c>
      <c r="I58" s="50">
        <v>4</v>
      </c>
      <c r="J58" s="50">
        <v>1</v>
      </c>
      <c r="K58" s="50">
        <v>0</v>
      </c>
      <c r="L58" s="50">
        <v>1</v>
      </c>
      <c r="M58" s="50">
        <v>90</v>
      </c>
      <c r="N58" s="50">
        <v>0</v>
      </c>
      <c r="O58" s="15">
        <f t="shared" ref="O58:O105" si="35">SUM(C58:L58,N58)</f>
        <v>43</v>
      </c>
      <c r="P58" s="15">
        <f t="shared" ref="P58:P105" si="36">SUM(C58:N58)</f>
        <v>133</v>
      </c>
      <c r="R58" s="8"/>
      <c r="T58"/>
    </row>
    <row r="59" spans="2:20" ht="23.1" customHeight="1" x14ac:dyDescent="0.25">
      <c r="B59" s="45" t="s">
        <v>100</v>
      </c>
      <c r="C59" s="50">
        <v>20</v>
      </c>
      <c r="D59" s="50">
        <v>15</v>
      </c>
      <c r="E59" s="50">
        <v>2</v>
      </c>
      <c r="F59" s="50">
        <v>10</v>
      </c>
      <c r="G59" s="50">
        <v>0</v>
      </c>
      <c r="H59" s="50">
        <v>0</v>
      </c>
      <c r="I59" s="50">
        <v>0</v>
      </c>
      <c r="J59" s="50">
        <v>2</v>
      </c>
      <c r="K59" s="50">
        <v>1</v>
      </c>
      <c r="L59" s="50">
        <v>1</v>
      </c>
      <c r="M59" s="50">
        <v>104</v>
      </c>
      <c r="N59" s="50">
        <v>0</v>
      </c>
      <c r="O59" s="15">
        <f t="shared" si="35"/>
        <v>51</v>
      </c>
      <c r="P59" s="15">
        <f t="shared" si="36"/>
        <v>155</v>
      </c>
      <c r="R59" s="8"/>
      <c r="T59"/>
    </row>
    <row r="60" spans="2:20" ht="23.1" customHeight="1" x14ac:dyDescent="0.25">
      <c r="B60" s="45" t="s">
        <v>101</v>
      </c>
      <c r="C60" s="50">
        <v>30</v>
      </c>
      <c r="D60" s="50">
        <v>30</v>
      </c>
      <c r="E60" s="50">
        <v>4</v>
      </c>
      <c r="F60" s="50">
        <v>10</v>
      </c>
      <c r="G60" s="50">
        <v>0</v>
      </c>
      <c r="H60" s="50">
        <v>0</v>
      </c>
      <c r="I60" s="50">
        <v>3</v>
      </c>
      <c r="J60" s="50">
        <v>4</v>
      </c>
      <c r="K60" s="50">
        <v>2</v>
      </c>
      <c r="L60" s="50">
        <v>0</v>
      </c>
      <c r="M60" s="50">
        <v>90</v>
      </c>
      <c r="N60" s="50">
        <v>0</v>
      </c>
      <c r="O60" s="15">
        <f t="shared" si="35"/>
        <v>83</v>
      </c>
      <c r="P60" s="15">
        <f t="shared" si="36"/>
        <v>173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2</v>
      </c>
      <c r="E61" s="50">
        <v>1</v>
      </c>
      <c r="F61" s="50">
        <v>4</v>
      </c>
      <c r="G61" s="50">
        <v>0</v>
      </c>
      <c r="H61" s="50">
        <v>0</v>
      </c>
      <c r="I61" s="50">
        <v>1</v>
      </c>
      <c r="J61" s="50">
        <v>0</v>
      </c>
      <c r="K61" s="50">
        <v>2</v>
      </c>
      <c r="L61" s="50">
        <v>1</v>
      </c>
      <c r="M61" s="50">
        <v>100</v>
      </c>
      <c r="N61" s="50">
        <v>0</v>
      </c>
      <c r="O61" s="15">
        <f t="shared" si="35"/>
        <v>21</v>
      </c>
      <c r="P61" s="15">
        <f t="shared" si="36"/>
        <v>121</v>
      </c>
      <c r="R61" s="8"/>
      <c r="T61"/>
    </row>
    <row r="62" spans="2:20" ht="23.1" customHeight="1" x14ac:dyDescent="0.25">
      <c r="B62" s="45" t="s">
        <v>107</v>
      </c>
      <c r="C62" s="50">
        <v>22</v>
      </c>
      <c r="D62" s="50">
        <v>14</v>
      </c>
      <c r="E62" s="50">
        <v>3</v>
      </c>
      <c r="F62" s="50">
        <v>18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1</v>
      </c>
      <c r="M62" s="50">
        <v>110</v>
      </c>
      <c r="N62" s="50">
        <v>0</v>
      </c>
      <c r="O62" s="15">
        <f t="shared" si="35"/>
        <v>60</v>
      </c>
      <c r="P62" s="15">
        <f t="shared" si="36"/>
        <v>170</v>
      </c>
      <c r="R62" s="8"/>
      <c r="T62"/>
    </row>
    <row r="63" spans="2:20" ht="23.1" customHeight="1" x14ac:dyDescent="0.25">
      <c r="B63" s="45" t="s">
        <v>108</v>
      </c>
      <c r="C63" s="50">
        <v>29</v>
      </c>
      <c r="D63" s="50">
        <v>13</v>
      </c>
      <c r="E63" s="50">
        <v>3</v>
      </c>
      <c r="F63" s="50">
        <v>12</v>
      </c>
      <c r="G63" s="50">
        <v>0</v>
      </c>
      <c r="H63" s="50">
        <v>0</v>
      </c>
      <c r="I63" s="50">
        <v>3</v>
      </c>
      <c r="J63" s="50">
        <v>1</v>
      </c>
      <c r="K63" s="50">
        <v>1</v>
      </c>
      <c r="L63" s="50">
        <v>0</v>
      </c>
      <c r="M63" s="50">
        <v>138</v>
      </c>
      <c r="N63" s="50">
        <v>0</v>
      </c>
      <c r="O63" s="15">
        <f t="shared" si="35"/>
        <v>62</v>
      </c>
      <c r="P63" s="15">
        <f t="shared" si="36"/>
        <v>200</v>
      </c>
      <c r="R63" s="8"/>
      <c r="T63"/>
    </row>
    <row r="64" spans="2:20" ht="23.1" customHeight="1" x14ac:dyDescent="0.25">
      <c r="B64" s="45" t="s">
        <v>109</v>
      </c>
      <c r="C64" s="50">
        <v>31</v>
      </c>
      <c r="D64" s="50">
        <v>4</v>
      </c>
      <c r="E64" s="50">
        <v>4</v>
      </c>
      <c r="F64" s="50">
        <v>10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2</v>
      </c>
      <c r="M64" s="50">
        <v>115</v>
      </c>
      <c r="N64" s="50">
        <v>0</v>
      </c>
      <c r="O64" s="15">
        <f t="shared" si="35"/>
        <v>53</v>
      </c>
      <c r="P64" s="15">
        <f t="shared" si="36"/>
        <v>168</v>
      </c>
      <c r="R64" s="8"/>
      <c r="T64"/>
    </row>
    <row r="65" spans="2:20" ht="23.1" customHeight="1" x14ac:dyDescent="0.25">
      <c r="B65" s="45" t="s">
        <v>158</v>
      </c>
      <c r="C65" s="50">
        <v>19</v>
      </c>
      <c r="D65" s="50">
        <v>6</v>
      </c>
      <c r="E65" s="50">
        <v>4</v>
      </c>
      <c r="F65" s="50">
        <v>8</v>
      </c>
      <c r="G65" s="50">
        <v>0</v>
      </c>
      <c r="H65" s="50">
        <v>0</v>
      </c>
      <c r="I65" s="50">
        <v>3</v>
      </c>
      <c r="J65" s="50">
        <v>1</v>
      </c>
      <c r="K65" s="50">
        <v>1</v>
      </c>
      <c r="L65" s="50">
        <v>1</v>
      </c>
      <c r="M65" s="50">
        <v>105</v>
      </c>
      <c r="N65" s="50">
        <v>0</v>
      </c>
      <c r="O65" s="15">
        <f t="shared" si="35"/>
        <v>43</v>
      </c>
      <c r="P65" s="15">
        <f t="shared" si="36"/>
        <v>148</v>
      </c>
      <c r="R65" s="8"/>
      <c r="T65"/>
    </row>
    <row r="66" spans="2:20" ht="23.1" customHeight="1" x14ac:dyDescent="0.25">
      <c r="B66" s="45" t="s">
        <v>103</v>
      </c>
      <c r="C66" s="50">
        <v>26</v>
      </c>
      <c r="D66" s="50">
        <v>9</v>
      </c>
      <c r="E66" s="50">
        <v>5</v>
      </c>
      <c r="F66" s="50">
        <v>5</v>
      </c>
      <c r="G66" s="50">
        <v>0</v>
      </c>
      <c r="H66" s="50">
        <v>0</v>
      </c>
      <c r="I66" s="50">
        <v>1</v>
      </c>
      <c r="J66" s="50">
        <v>1</v>
      </c>
      <c r="K66" s="50">
        <v>1</v>
      </c>
      <c r="L66" s="50">
        <v>2</v>
      </c>
      <c r="M66" s="50">
        <v>155</v>
      </c>
      <c r="N66" s="50">
        <v>0</v>
      </c>
      <c r="O66" s="15">
        <f t="shared" si="35"/>
        <v>50</v>
      </c>
      <c r="P66" s="15">
        <f t="shared" si="36"/>
        <v>205</v>
      </c>
      <c r="R66" s="8"/>
      <c r="T66"/>
    </row>
    <row r="67" spans="2:20" ht="23.1" customHeight="1" x14ac:dyDescent="0.25">
      <c r="B67" s="45" t="s">
        <v>104</v>
      </c>
      <c r="C67" s="50">
        <v>20</v>
      </c>
      <c r="D67" s="50">
        <v>10</v>
      </c>
      <c r="E67" s="50">
        <v>0</v>
      </c>
      <c r="F67" s="50">
        <v>6</v>
      </c>
      <c r="G67" s="50">
        <v>0</v>
      </c>
      <c r="H67" s="50">
        <v>0</v>
      </c>
      <c r="I67" s="50">
        <v>0</v>
      </c>
      <c r="J67" s="50">
        <v>2</v>
      </c>
      <c r="K67" s="50">
        <v>0</v>
      </c>
      <c r="L67" s="50">
        <v>0</v>
      </c>
      <c r="M67" s="50">
        <v>45</v>
      </c>
      <c r="N67" s="50">
        <v>0</v>
      </c>
      <c r="O67" s="15">
        <f t="shared" si="35"/>
        <v>38</v>
      </c>
      <c r="P67" s="15">
        <f t="shared" si="36"/>
        <v>83</v>
      </c>
      <c r="R67" s="8"/>
      <c r="T67"/>
    </row>
    <row r="68" spans="2:20" ht="23.1" customHeight="1" x14ac:dyDescent="0.25">
      <c r="B68" s="45" t="s">
        <v>105</v>
      </c>
      <c r="C68" s="50">
        <v>31</v>
      </c>
      <c r="D68" s="50">
        <v>6</v>
      </c>
      <c r="E68" s="50">
        <v>4</v>
      </c>
      <c r="F68" s="50">
        <v>8</v>
      </c>
      <c r="G68" s="50">
        <v>0</v>
      </c>
      <c r="H68" s="50">
        <v>0</v>
      </c>
      <c r="I68" s="50">
        <v>2</v>
      </c>
      <c r="J68" s="50">
        <v>0</v>
      </c>
      <c r="K68" s="50">
        <v>3</v>
      </c>
      <c r="L68" s="50">
        <v>1</v>
      </c>
      <c r="M68" s="50">
        <v>65</v>
      </c>
      <c r="N68" s="50">
        <v>0</v>
      </c>
      <c r="O68" s="15">
        <f t="shared" si="35"/>
        <v>55</v>
      </c>
      <c r="P68" s="15">
        <f t="shared" si="36"/>
        <v>120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3</v>
      </c>
      <c r="E69" s="50">
        <v>0</v>
      </c>
      <c r="F69" s="50">
        <v>4</v>
      </c>
      <c r="G69" s="50">
        <v>0</v>
      </c>
      <c r="H69" s="50">
        <v>0</v>
      </c>
      <c r="I69" s="50">
        <v>4</v>
      </c>
      <c r="J69" s="50">
        <v>1</v>
      </c>
      <c r="K69" s="50">
        <v>0</v>
      </c>
      <c r="L69" s="50">
        <v>0</v>
      </c>
      <c r="M69" s="50">
        <v>83</v>
      </c>
      <c r="N69" s="50">
        <v>0</v>
      </c>
      <c r="O69" s="15">
        <f t="shared" si="35"/>
        <v>17</v>
      </c>
      <c r="P69" s="15">
        <f t="shared" si="36"/>
        <v>100</v>
      </c>
      <c r="R69" s="8"/>
      <c r="T69"/>
    </row>
    <row r="70" spans="2:20" ht="23.1" customHeight="1" x14ac:dyDescent="0.25">
      <c r="B70" s="45" t="s">
        <v>110</v>
      </c>
      <c r="C70" s="50">
        <v>5</v>
      </c>
      <c r="D70" s="50">
        <v>3</v>
      </c>
      <c r="E70" s="50">
        <v>1</v>
      </c>
      <c r="F70" s="50">
        <v>1</v>
      </c>
      <c r="G70" s="50">
        <v>0</v>
      </c>
      <c r="H70" s="50">
        <v>0</v>
      </c>
      <c r="I70" s="50">
        <v>2</v>
      </c>
      <c r="J70" s="50">
        <v>1</v>
      </c>
      <c r="K70" s="50">
        <v>0</v>
      </c>
      <c r="L70" s="50">
        <v>1</v>
      </c>
      <c r="M70" s="50">
        <v>117</v>
      </c>
      <c r="N70" s="50">
        <v>0</v>
      </c>
      <c r="O70" s="15">
        <f t="shared" si="35"/>
        <v>14</v>
      </c>
      <c r="P70" s="15">
        <f t="shared" si="36"/>
        <v>131</v>
      </c>
      <c r="R70" s="8"/>
      <c r="T70"/>
    </row>
    <row r="71" spans="2:20" ht="23.1" customHeight="1" x14ac:dyDescent="0.25">
      <c r="B71" s="45" t="s">
        <v>111</v>
      </c>
      <c r="C71" s="50">
        <v>11</v>
      </c>
      <c r="D71" s="50">
        <v>9</v>
      </c>
      <c r="E71" s="50">
        <v>0</v>
      </c>
      <c r="F71" s="50">
        <v>5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0</v>
      </c>
      <c r="M71" s="50">
        <v>63</v>
      </c>
      <c r="N71" s="50">
        <v>0</v>
      </c>
      <c r="O71" s="15">
        <f t="shared" si="35"/>
        <v>26</v>
      </c>
      <c r="P71" s="15">
        <f t="shared" si="36"/>
        <v>89</v>
      </c>
      <c r="R71" s="8"/>
      <c r="T71"/>
    </row>
    <row r="72" spans="2:20" ht="23.1" customHeight="1" x14ac:dyDescent="0.25">
      <c r="B72" s="45" t="s">
        <v>112</v>
      </c>
      <c r="C72" s="50">
        <v>16</v>
      </c>
      <c r="D72" s="50">
        <v>12</v>
      </c>
      <c r="E72" s="50">
        <v>2</v>
      </c>
      <c r="F72" s="50">
        <v>5</v>
      </c>
      <c r="G72" s="50">
        <v>1</v>
      </c>
      <c r="H72" s="50">
        <v>0</v>
      </c>
      <c r="I72" s="50">
        <v>1</v>
      </c>
      <c r="J72" s="50">
        <v>1</v>
      </c>
      <c r="K72" s="50">
        <v>2</v>
      </c>
      <c r="L72" s="50">
        <v>0</v>
      </c>
      <c r="M72" s="50">
        <v>70</v>
      </c>
      <c r="N72" s="50">
        <v>0</v>
      </c>
      <c r="O72" s="15">
        <f t="shared" si="35"/>
        <v>40</v>
      </c>
      <c r="P72" s="15">
        <f t="shared" si="36"/>
        <v>110</v>
      </c>
      <c r="R72" s="8"/>
      <c r="T72"/>
    </row>
    <row r="73" spans="2:20" ht="23.1" customHeight="1" x14ac:dyDescent="0.25">
      <c r="B73" s="45" t="s">
        <v>113</v>
      </c>
      <c r="C73" s="50">
        <v>20</v>
      </c>
      <c r="D73" s="50">
        <v>8</v>
      </c>
      <c r="E73" s="50">
        <v>4</v>
      </c>
      <c r="F73" s="50">
        <v>1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1</v>
      </c>
      <c r="M73" s="50">
        <v>75</v>
      </c>
      <c r="N73" s="50">
        <v>0</v>
      </c>
      <c r="O73" s="15">
        <f t="shared" si="35"/>
        <v>35</v>
      </c>
      <c r="P73" s="15">
        <f t="shared" si="36"/>
        <v>110</v>
      </c>
      <c r="R73" s="8"/>
      <c r="T73"/>
    </row>
    <row r="74" spans="2:20" ht="23.1" customHeight="1" x14ac:dyDescent="0.25">
      <c r="B74" s="45" t="s">
        <v>114</v>
      </c>
      <c r="C74" s="50">
        <v>24</v>
      </c>
      <c r="D74" s="50">
        <v>8</v>
      </c>
      <c r="E74" s="50">
        <v>2</v>
      </c>
      <c r="F74" s="50">
        <v>2</v>
      </c>
      <c r="G74" s="50">
        <v>0</v>
      </c>
      <c r="H74" s="50">
        <v>0</v>
      </c>
      <c r="I74" s="50">
        <v>3</v>
      </c>
      <c r="J74" s="50">
        <v>0</v>
      </c>
      <c r="K74" s="50">
        <v>1</v>
      </c>
      <c r="L74" s="50">
        <v>0</v>
      </c>
      <c r="M74" s="50">
        <v>75</v>
      </c>
      <c r="N74" s="50">
        <v>0</v>
      </c>
      <c r="O74" s="15">
        <f t="shared" si="35"/>
        <v>40</v>
      </c>
      <c r="P74" s="15">
        <f t="shared" si="36"/>
        <v>115</v>
      </c>
      <c r="R74" s="8"/>
      <c r="T74"/>
    </row>
    <row r="75" spans="2:20" ht="23.1" customHeight="1" x14ac:dyDescent="0.25">
      <c r="B75" s="45" t="s">
        <v>115</v>
      </c>
      <c r="C75" s="50">
        <v>10</v>
      </c>
      <c r="D75" s="50">
        <v>8</v>
      </c>
      <c r="E75" s="50">
        <v>0</v>
      </c>
      <c r="F75" s="50">
        <v>2</v>
      </c>
      <c r="G75" s="50">
        <v>0</v>
      </c>
      <c r="H75" s="50">
        <v>0</v>
      </c>
      <c r="I75" s="50">
        <v>3</v>
      </c>
      <c r="J75" s="50">
        <v>0</v>
      </c>
      <c r="K75" s="50">
        <v>0</v>
      </c>
      <c r="L75" s="50">
        <v>1</v>
      </c>
      <c r="M75" s="50">
        <v>57</v>
      </c>
      <c r="N75" s="50">
        <v>0</v>
      </c>
      <c r="O75" s="15">
        <f t="shared" si="35"/>
        <v>24</v>
      </c>
      <c r="P75" s="15">
        <f t="shared" si="36"/>
        <v>81</v>
      </c>
      <c r="R75" s="8"/>
      <c r="T75"/>
    </row>
    <row r="76" spans="2:20" ht="23.1" customHeight="1" x14ac:dyDescent="0.25">
      <c r="B76" s="45" t="s">
        <v>116</v>
      </c>
      <c r="C76" s="50">
        <v>5</v>
      </c>
      <c r="D76" s="50">
        <v>3</v>
      </c>
      <c r="E76" s="50">
        <v>1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2</v>
      </c>
      <c r="L76" s="50">
        <v>0</v>
      </c>
      <c r="M76" s="50">
        <v>63</v>
      </c>
      <c r="N76" s="50">
        <v>0</v>
      </c>
      <c r="O76" s="15">
        <f t="shared" si="35"/>
        <v>12</v>
      </c>
      <c r="P76" s="15">
        <f t="shared" si="36"/>
        <v>75</v>
      </c>
      <c r="R76" s="8"/>
      <c r="T76"/>
    </row>
    <row r="77" spans="2:20" ht="23.1" customHeight="1" x14ac:dyDescent="0.25">
      <c r="B77" s="45" t="s">
        <v>117</v>
      </c>
      <c r="C77" s="50">
        <v>17</v>
      </c>
      <c r="D77" s="50">
        <v>7</v>
      </c>
      <c r="E77" s="50">
        <v>0</v>
      </c>
      <c r="F77" s="50">
        <v>0</v>
      </c>
      <c r="G77" s="50">
        <v>0</v>
      </c>
      <c r="H77" s="50">
        <v>0</v>
      </c>
      <c r="I77" s="50">
        <v>2</v>
      </c>
      <c r="J77" s="50">
        <v>3</v>
      </c>
      <c r="K77" s="50">
        <v>0</v>
      </c>
      <c r="L77" s="50">
        <v>0</v>
      </c>
      <c r="M77" s="50">
        <v>38</v>
      </c>
      <c r="N77" s="50">
        <v>0</v>
      </c>
      <c r="O77" s="15">
        <f t="shared" si="35"/>
        <v>29</v>
      </c>
      <c r="P77" s="15">
        <f t="shared" si="36"/>
        <v>67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2</v>
      </c>
      <c r="E78" s="50">
        <v>0</v>
      </c>
      <c r="F78" s="50">
        <v>0</v>
      </c>
      <c r="G78" s="50">
        <v>0</v>
      </c>
      <c r="H78" s="50">
        <v>0</v>
      </c>
      <c r="I78" s="50">
        <v>2</v>
      </c>
      <c r="J78" s="50">
        <v>1</v>
      </c>
      <c r="K78" s="50">
        <v>0</v>
      </c>
      <c r="L78" s="50">
        <v>0</v>
      </c>
      <c r="M78" s="50">
        <v>53</v>
      </c>
      <c r="N78" s="50">
        <v>0</v>
      </c>
      <c r="O78" s="15">
        <f t="shared" si="35"/>
        <v>9</v>
      </c>
      <c r="P78" s="15">
        <f t="shared" si="36"/>
        <v>62</v>
      </c>
      <c r="R78" s="8"/>
      <c r="T78"/>
    </row>
    <row r="79" spans="2:20" ht="23.1" customHeight="1" x14ac:dyDescent="0.25">
      <c r="B79" s="45" t="s">
        <v>119</v>
      </c>
      <c r="C79" s="50">
        <v>3</v>
      </c>
      <c r="D79" s="50">
        <v>3</v>
      </c>
      <c r="E79" s="50">
        <v>2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2</v>
      </c>
      <c r="L79" s="50">
        <v>0</v>
      </c>
      <c r="M79" s="50">
        <v>43</v>
      </c>
      <c r="N79" s="50">
        <v>0</v>
      </c>
      <c r="O79" s="15">
        <f t="shared" si="35"/>
        <v>10</v>
      </c>
      <c r="P79" s="15">
        <f t="shared" si="36"/>
        <v>53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2</v>
      </c>
      <c r="E80" s="50">
        <v>2</v>
      </c>
      <c r="F80" s="50">
        <v>0</v>
      </c>
      <c r="G80" s="50">
        <v>0</v>
      </c>
      <c r="H80" s="50">
        <v>0</v>
      </c>
      <c r="I80" s="50">
        <v>3</v>
      </c>
      <c r="J80" s="50">
        <v>1</v>
      </c>
      <c r="K80" s="50">
        <v>0</v>
      </c>
      <c r="L80" s="50">
        <v>0</v>
      </c>
      <c r="M80" s="50">
        <v>38</v>
      </c>
      <c r="N80" s="50">
        <v>0</v>
      </c>
      <c r="O80" s="15">
        <f t="shared" si="35"/>
        <v>12</v>
      </c>
      <c r="P80" s="15">
        <f t="shared" si="36"/>
        <v>50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3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1</v>
      </c>
      <c r="M81" s="50">
        <v>34</v>
      </c>
      <c r="N81" s="50">
        <v>0</v>
      </c>
      <c r="O81" s="15">
        <f t="shared" si="35"/>
        <v>9</v>
      </c>
      <c r="P81" s="15">
        <f t="shared" si="36"/>
        <v>43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3</v>
      </c>
      <c r="M82" s="50">
        <v>22</v>
      </c>
      <c r="N82" s="50">
        <v>0</v>
      </c>
      <c r="O82" s="15">
        <f t="shared" si="35"/>
        <v>7</v>
      </c>
      <c r="P82" s="15">
        <f t="shared" si="36"/>
        <v>29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21</v>
      </c>
      <c r="N83" s="50">
        <v>0</v>
      </c>
      <c r="O83" s="15">
        <f t="shared" si="35"/>
        <v>12</v>
      </c>
      <c r="P83" s="15">
        <f t="shared" si="36"/>
        <v>33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16</v>
      </c>
      <c r="N84" s="50">
        <v>0</v>
      </c>
      <c r="O84" s="15">
        <f t="shared" si="35"/>
        <v>10</v>
      </c>
      <c r="P84" s="15">
        <f t="shared" si="36"/>
        <v>26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3</v>
      </c>
      <c r="K85" s="50">
        <v>0</v>
      </c>
      <c r="L85" s="50">
        <v>1</v>
      </c>
      <c r="M85" s="50">
        <v>17</v>
      </c>
      <c r="N85" s="50">
        <v>0</v>
      </c>
      <c r="O85" s="15">
        <f t="shared" si="35"/>
        <v>9</v>
      </c>
      <c r="P85" s="15">
        <f t="shared" si="36"/>
        <v>26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1</v>
      </c>
      <c r="L86" s="50">
        <v>1</v>
      </c>
      <c r="M86" s="50">
        <v>18</v>
      </c>
      <c r="N86" s="50">
        <v>0</v>
      </c>
      <c r="O86" s="15">
        <f t="shared" si="35"/>
        <v>6</v>
      </c>
      <c r="P86" s="15">
        <f t="shared" si="36"/>
        <v>24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2</v>
      </c>
      <c r="K87" s="50">
        <v>0</v>
      </c>
      <c r="L87" s="50">
        <v>0</v>
      </c>
      <c r="M87" s="50">
        <v>21</v>
      </c>
      <c r="N87" s="50">
        <v>0</v>
      </c>
      <c r="O87" s="15">
        <f t="shared" si="35"/>
        <v>5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2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2</v>
      </c>
      <c r="L88" s="50">
        <v>0</v>
      </c>
      <c r="M88" s="50">
        <v>22</v>
      </c>
      <c r="N88" s="50">
        <v>0</v>
      </c>
      <c r="O88" s="15">
        <f t="shared" si="35"/>
        <v>7</v>
      </c>
      <c r="P88" s="15">
        <f t="shared" si="36"/>
        <v>29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3</v>
      </c>
      <c r="J89" s="50">
        <v>1</v>
      </c>
      <c r="K89" s="50">
        <v>0</v>
      </c>
      <c r="L89" s="50">
        <v>1</v>
      </c>
      <c r="M89" s="50">
        <v>17</v>
      </c>
      <c r="N89" s="50">
        <v>0</v>
      </c>
      <c r="O89" s="15">
        <f t="shared" si="35"/>
        <v>6</v>
      </c>
      <c r="P89" s="15">
        <f t="shared" si="36"/>
        <v>23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22</v>
      </c>
      <c r="N90" s="50">
        <v>0</v>
      </c>
      <c r="O90" s="15">
        <f t="shared" si="35"/>
        <v>6</v>
      </c>
      <c r="P90" s="15">
        <f t="shared" si="36"/>
        <v>28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2</v>
      </c>
      <c r="K91" s="50">
        <v>0</v>
      </c>
      <c r="L91" s="50">
        <v>0</v>
      </c>
      <c r="M91" s="50">
        <v>19</v>
      </c>
      <c r="N91" s="50">
        <v>0</v>
      </c>
      <c r="O91" s="15">
        <f t="shared" si="35"/>
        <v>4</v>
      </c>
      <c r="P91" s="15">
        <f t="shared" si="36"/>
        <v>23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2</v>
      </c>
      <c r="M92" s="50">
        <v>7</v>
      </c>
      <c r="N92" s="50">
        <v>0</v>
      </c>
      <c r="O92" s="15">
        <f t="shared" si="35"/>
        <v>5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3</v>
      </c>
      <c r="K93" s="50">
        <v>0</v>
      </c>
      <c r="L93" s="50">
        <v>1</v>
      </c>
      <c r="M93" s="50">
        <v>9</v>
      </c>
      <c r="N93" s="50">
        <v>0</v>
      </c>
      <c r="O93" s="15">
        <f t="shared" si="35"/>
        <v>6</v>
      </c>
      <c r="P93" s="15">
        <f t="shared" si="36"/>
        <v>15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2</v>
      </c>
      <c r="E94" s="50">
        <v>2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1</v>
      </c>
      <c r="M94" s="50">
        <v>9</v>
      </c>
      <c r="N94" s="50">
        <v>0</v>
      </c>
      <c r="O94" s="15">
        <f t="shared" si="35"/>
        <v>9</v>
      </c>
      <c r="P94" s="15">
        <f t="shared" si="36"/>
        <v>18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1</v>
      </c>
      <c r="E95" s="50">
        <v>1</v>
      </c>
      <c r="F95" s="50">
        <v>2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10</v>
      </c>
      <c r="N95" s="50">
        <v>0</v>
      </c>
      <c r="O95" s="15">
        <f t="shared" si="35"/>
        <v>6</v>
      </c>
      <c r="P95" s="15">
        <f t="shared" si="36"/>
        <v>16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2</v>
      </c>
      <c r="L96" s="50">
        <v>0</v>
      </c>
      <c r="M96" s="50">
        <v>6</v>
      </c>
      <c r="N96" s="50">
        <v>0</v>
      </c>
      <c r="O96" s="15">
        <f t="shared" si="35"/>
        <v>7</v>
      </c>
      <c r="P96" s="15">
        <f t="shared" si="36"/>
        <v>13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1</v>
      </c>
      <c r="F97" s="50">
        <v>3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9</v>
      </c>
      <c r="N97" s="50">
        <v>0</v>
      </c>
      <c r="O97" s="15">
        <f t="shared" si="35"/>
        <v>9</v>
      </c>
      <c r="P97" s="15">
        <f t="shared" si="36"/>
        <v>18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6</v>
      </c>
      <c r="E98" s="50">
        <v>0</v>
      </c>
      <c r="F98" s="50">
        <v>2</v>
      </c>
      <c r="G98" s="50">
        <v>0</v>
      </c>
      <c r="H98" s="50">
        <v>0</v>
      </c>
      <c r="I98" s="50">
        <v>1</v>
      </c>
      <c r="J98" s="50">
        <v>0</v>
      </c>
      <c r="K98" s="50">
        <v>1</v>
      </c>
      <c r="L98" s="50">
        <v>0</v>
      </c>
      <c r="M98" s="50">
        <v>7</v>
      </c>
      <c r="N98" s="50">
        <v>0</v>
      </c>
      <c r="O98" s="15">
        <f t="shared" si="35"/>
        <v>14</v>
      </c>
      <c r="P98" s="15">
        <f t="shared" si="36"/>
        <v>21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3</v>
      </c>
      <c r="E99" s="50">
        <v>2</v>
      </c>
      <c r="F99" s="50">
        <v>5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17</v>
      </c>
      <c r="P99" s="15">
        <f t="shared" si="36"/>
        <v>28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1</v>
      </c>
      <c r="E100" s="50">
        <v>0</v>
      </c>
      <c r="F100" s="50">
        <v>7</v>
      </c>
      <c r="G100" s="50">
        <v>1</v>
      </c>
      <c r="H100" s="50">
        <v>0</v>
      </c>
      <c r="I100" s="50">
        <v>0</v>
      </c>
      <c r="J100" s="50">
        <v>2</v>
      </c>
      <c r="K100" s="50">
        <v>0</v>
      </c>
      <c r="L100" s="50">
        <v>0</v>
      </c>
      <c r="M100" s="50">
        <v>13</v>
      </c>
      <c r="N100" s="50">
        <v>0</v>
      </c>
      <c r="O100" s="15">
        <f t="shared" si="35"/>
        <v>16</v>
      </c>
      <c r="P100" s="15">
        <f t="shared" si="36"/>
        <v>29</v>
      </c>
      <c r="R100" s="8"/>
      <c r="T100"/>
    </row>
    <row r="101" spans="2:20" ht="23.1" customHeight="1" x14ac:dyDescent="0.25">
      <c r="B101" s="45" t="s">
        <v>141</v>
      </c>
      <c r="C101" s="50">
        <v>12</v>
      </c>
      <c r="D101" s="50">
        <v>11</v>
      </c>
      <c r="E101" s="50">
        <v>1</v>
      </c>
      <c r="F101" s="50">
        <v>4</v>
      </c>
      <c r="G101" s="50">
        <v>1</v>
      </c>
      <c r="H101" s="50">
        <v>0</v>
      </c>
      <c r="I101" s="50">
        <v>3</v>
      </c>
      <c r="J101" s="50">
        <v>0</v>
      </c>
      <c r="K101" s="50">
        <v>1</v>
      </c>
      <c r="L101" s="50">
        <v>0</v>
      </c>
      <c r="M101" s="50">
        <v>29</v>
      </c>
      <c r="N101" s="50">
        <v>0</v>
      </c>
      <c r="O101" s="15">
        <f t="shared" si="35"/>
        <v>33</v>
      </c>
      <c r="P101" s="15">
        <f t="shared" si="36"/>
        <v>62</v>
      </c>
      <c r="R101" s="8"/>
      <c r="T101"/>
    </row>
    <row r="102" spans="2:20" ht="23.1" customHeight="1" x14ac:dyDescent="0.25">
      <c r="B102" s="46" t="s">
        <v>142</v>
      </c>
      <c r="C102" s="50">
        <v>34</v>
      </c>
      <c r="D102" s="50">
        <v>11</v>
      </c>
      <c r="E102" s="50">
        <v>2</v>
      </c>
      <c r="F102" s="50">
        <v>12</v>
      </c>
      <c r="G102" s="50">
        <v>0</v>
      </c>
      <c r="H102" s="50">
        <v>0</v>
      </c>
      <c r="I102" s="50">
        <v>0</v>
      </c>
      <c r="J102" s="50">
        <v>2</v>
      </c>
      <c r="K102" s="50">
        <v>1</v>
      </c>
      <c r="L102" s="50">
        <v>1</v>
      </c>
      <c r="M102" s="50">
        <v>27</v>
      </c>
      <c r="N102" s="50">
        <v>0</v>
      </c>
      <c r="O102" s="15">
        <f t="shared" si="35"/>
        <v>63</v>
      </c>
      <c r="P102" s="15">
        <f t="shared" si="36"/>
        <v>90</v>
      </c>
      <c r="R102" s="8"/>
      <c r="T102"/>
    </row>
    <row r="103" spans="2:20" ht="23.1" customHeight="1" x14ac:dyDescent="0.25">
      <c r="B103" s="45" t="s">
        <v>143</v>
      </c>
      <c r="C103" s="50">
        <v>46</v>
      </c>
      <c r="D103" s="50">
        <v>25</v>
      </c>
      <c r="E103" s="50">
        <v>4</v>
      </c>
      <c r="F103" s="50">
        <v>13</v>
      </c>
      <c r="G103" s="50">
        <v>1</v>
      </c>
      <c r="H103" s="50">
        <v>0</v>
      </c>
      <c r="I103" s="50">
        <v>0</v>
      </c>
      <c r="J103" s="50">
        <v>1</v>
      </c>
      <c r="K103" s="50">
        <v>0</v>
      </c>
      <c r="L103" s="50">
        <v>1</v>
      </c>
      <c r="M103" s="50">
        <v>29</v>
      </c>
      <c r="N103" s="50">
        <v>0</v>
      </c>
      <c r="O103" s="15">
        <f t="shared" si="35"/>
        <v>91</v>
      </c>
      <c r="P103" s="15">
        <f t="shared" si="36"/>
        <v>120</v>
      </c>
      <c r="R103" s="8"/>
      <c r="T103"/>
    </row>
    <row r="104" spans="2:20" ht="23.1" customHeight="1" x14ac:dyDescent="0.25">
      <c r="B104" s="47" t="s">
        <v>144</v>
      </c>
      <c r="C104" s="50">
        <v>77</v>
      </c>
      <c r="D104" s="50">
        <v>18</v>
      </c>
      <c r="E104" s="50">
        <v>5</v>
      </c>
      <c r="F104" s="50">
        <v>8</v>
      </c>
      <c r="G104" s="50">
        <v>0</v>
      </c>
      <c r="H104" s="50">
        <v>0</v>
      </c>
      <c r="I104" s="50">
        <v>0</v>
      </c>
      <c r="J104" s="50">
        <v>1</v>
      </c>
      <c r="K104" s="50">
        <v>2</v>
      </c>
      <c r="L104" s="50">
        <v>2</v>
      </c>
      <c r="M104" s="50">
        <v>47</v>
      </c>
      <c r="N104" s="50">
        <v>0</v>
      </c>
      <c r="O104" s="15">
        <f t="shared" si="35"/>
        <v>113</v>
      </c>
      <c r="P104" s="15">
        <f t="shared" si="36"/>
        <v>160</v>
      </c>
      <c r="R104" s="8"/>
      <c r="T104"/>
    </row>
    <row r="105" spans="2:20" ht="23.1" customHeight="1" x14ac:dyDescent="0.25">
      <c r="B105" s="45" t="s">
        <v>145</v>
      </c>
      <c r="C105" s="50">
        <v>96</v>
      </c>
      <c r="D105" s="50">
        <v>44</v>
      </c>
      <c r="E105" s="50">
        <v>10</v>
      </c>
      <c r="F105" s="50">
        <v>19</v>
      </c>
      <c r="G105" s="50">
        <v>0</v>
      </c>
      <c r="H105" s="50">
        <v>0</v>
      </c>
      <c r="I105" s="50">
        <v>1</v>
      </c>
      <c r="J105" s="50">
        <v>2</v>
      </c>
      <c r="K105" s="50">
        <v>0</v>
      </c>
      <c r="L105" s="50">
        <v>2</v>
      </c>
      <c r="M105" s="50">
        <v>48</v>
      </c>
      <c r="N105" s="50">
        <v>0</v>
      </c>
      <c r="O105" s="15">
        <f t="shared" si="35"/>
        <v>174</v>
      </c>
      <c r="P105" s="15">
        <f t="shared" si="36"/>
        <v>222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2426</v>
      </c>
      <c r="D106" s="16">
        <f t="shared" ref="D106:P106" si="37">SUM(D10:D105)</f>
        <v>1616</v>
      </c>
      <c r="E106" s="16">
        <f t="shared" si="37"/>
        <v>423</v>
      </c>
      <c r="F106" s="16">
        <f t="shared" si="37"/>
        <v>617</v>
      </c>
      <c r="G106" s="16">
        <f t="shared" si="37"/>
        <v>21</v>
      </c>
      <c r="H106" s="16">
        <f t="shared" si="37"/>
        <v>1</v>
      </c>
      <c r="I106" s="16">
        <f t="shared" si="37"/>
        <v>244</v>
      </c>
      <c r="J106" s="16">
        <f t="shared" si="37"/>
        <v>140</v>
      </c>
      <c r="K106" s="16">
        <f t="shared" si="37"/>
        <v>61</v>
      </c>
      <c r="L106" s="16">
        <f t="shared" si="37"/>
        <v>124</v>
      </c>
      <c r="M106" s="16">
        <f t="shared" si="37"/>
        <v>7714</v>
      </c>
      <c r="N106" s="16">
        <f t="shared" si="37"/>
        <v>1</v>
      </c>
      <c r="O106" s="16">
        <f t="shared" si="37"/>
        <v>5674</v>
      </c>
      <c r="P106" s="16">
        <f t="shared" si="37"/>
        <v>13388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0.18120705109052884</v>
      </c>
      <c r="D107" s="43">
        <f t="shared" si="38"/>
        <v>0.12070510905288317</v>
      </c>
      <c r="E107" s="43">
        <f t="shared" si="38"/>
        <v>3.1595458619659393E-2</v>
      </c>
      <c r="F107" s="43">
        <f t="shared" si="38"/>
        <v>4.608604720645354E-2</v>
      </c>
      <c r="G107" s="43">
        <f t="shared" si="38"/>
        <v>1.568568867642665E-3</v>
      </c>
      <c r="H107" s="43">
        <f t="shared" si="38"/>
        <v>7.4693755602031666E-5</v>
      </c>
      <c r="I107" s="43">
        <f t="shared" si="38"/>
        <v>1.8225276366895728E-2</v>
      </c>
      <c r="J107" s="43">
        <f t="shared" si="38"/>
        <v>1.0457125784284434E-2</v>
      </c>
      <c r="K107" s="43">
        <f t="shared" si="38"/>
        <v>4.5563190917239319E-3</v>
      </c>
      <c r="L107" s="43">
        <f t="shared" si="38"/>
        <v>9.2620256946519264E-3</v>
      </c>
      <c r="M107" s="43">
        <f t="shared" si="38"/>
        <v>0.57618763071407231</v>
      </c>
      <c r="N107" s="43">
        <f t="shared" si="38"/>
        <v>7.4693755602031666E-5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0.42756432851603809</v>
      </c>
      <c r="D108" s="44">
        <f t="shared" ref="D108:N108" si="39">D106/$O$106</f>
        <v>0.28480789566443426</v>
      </c>
      <c r="E108" s="44">
        <f t="shared" si="39"/>
        <v>7.4550581600281982E-2</v>
      </c>
      <c r="F108" s="44">
        <f t="shared" si="39"/>
        <v>0.10874162848078957</v>
      </c>
      <c r="G108" s="44">
        <f t="shared" si="39"/>
        <v>3.7010927035600986E-3</v>
      </c>
      <c r="H108" s="44">
        <f t="shared" si="39"/>
        <v>1.7624250969333803E-4</v>
      </c>
      <c r="I108" s="44">
        <f t="shared" si="39"/>
        <v>4.300317236517448E-2</v>
      </c>
      <c r="J108" s="44">
        <f t="shared" si="39"/>
        <v>2.4673951357067323E-2</v>
      </c>
      <c r="K108" s="44">
        <f t="shared" si="39"/>
        <v>1.075079309129362E-2</v>
      </c>
      <c r="L108" s="44">
        <f t="shared" si="39"/>
        <v>2.1854071201973916E-2</v>
      </c>
      <c r="M108" s="44"/>
      <c r="N108" s="44">
        <f t="shared" si="39"/>
        <v>1.7624250969333803E-4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Y84" sqref="Y8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Kisaasi-Ntinda-24h'!D5</f>
        <v>01.08.19</v>
      </c>
      <c r="E5" s="3"/>
      <c r="F5" s="41" t="s">
        <v>1</v>
      </c>
      <c r="G5" s="65" t="str">
        <f>'01.08 Kisaasi-Ntinda-24h'!G5:H5</f>
        <v>Ndere Center</v>
      </c>
      <c r="H5" s="66"/>
      <c r="I5" s="14"/>
      <c r="J5" s="2" t="s">
        <v>5</v>
      </c>
      <c r="K5" s="65" t="s">
        <v>170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Ntinda-Kisaasi'!D6:E6</f>
        <v xml:space="preserve">Ntinda </v>
      </c>
      <c r="E6" s="66"/>
      <c r="F6" s="2" t="s">
        <v>2</v>
      </c>
      <c r="G6" s="65" t="str">
        <f>'30.07 Ntinda-Kisaasi'!G6:H6</f>
        <v>Kisaasi</v>
      </c>
      <c r="H6" s="66"/>
      <c r="J6" s="2" t="s">
        <v>21</v>
      </c>
      <c r="K6" s="65" t="str">
        <f>'01.08 Kisaasi-Ntinda-24h'!K6:L6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30</v>
      </c>
      <c r="D10" s="50">
        <v>2</v>
      </c>
      <c r="E10" s="50">
        <v>5</v>
      </c>
      <c r="F10" s="50">
        <v>11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50</v>
      </c>
      <c r="N10" s="50">
        <v>0</v>
      </c>
      <c r="O10" s="15">
        <f t="shared" ref="O10:O73" si="0">SUM(C10:L10,N10)</f>
        <v>51</v>
      </c>
      <c r="P10" s="15">
        <f t="shared" ref="P10:P73" si="1">SUM(C10:N10)</f>
        <v>101</v>
      </c>
      <c r="R10" s="1" t="s">
        <v>6</v>
      </c>
      <c r="S10" s="17">
        <f t="shared" ref="S10:AF10" si="2">SUM(C10:C13)</f>
        <v>145</v>
      </c>
      <c r="T10" s="17">
        <f t="shared" si="2"/>
        <v>57</v>
      </c>
      <c r="U10" s="17">
        <f t="shared" si="2"/>
        <v>15</v>
      </c>
      <c r="V10" s="17">
        <f t="shared" si="2"/>
        <v>80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2</v>
      </c>
      <c r="AA10" s="17">
        <f t="shared" si="2"/>
        <v>5</v>
      </c>
      <c r="AB10" s="17">
        <f t="shared" si="2"/>
        <v>3</v>
      </c>
      <c r="AC10" s="17">
        <f t="shared" si="2"/>
        <v>349</v>
      </c>
      <c r="AD10" s="17">
        <f t="shared" si="2"/>
        <v>0</v>
      </c>
      <c r="AE10" s="31">
        <f t="shared" si="2"/>
        <v>316</v>
      </c>
      <c r="AF10" s="31">
        <f t="shared" si="2"/>
        <v>665</v>
      </c>
    </row>
    <row r="11" spans="2:32" s="6" customFormat="1" ht="23.1" customHeight="1" x14ac:dyDescent="0.25">
      <c r="B11" s="45" t="s">
        <v>38</v>
      </c>
      <c r="C11" s="50">
        <v>37</v>
      </c>
      <c r="D11" s="50">
        <v>14</v>
      </c>
      <c r="E11" s="50">
        <v>3</v>
      </c>
      <c r="F11" s="50">
        <v>16</v>
      </c>
      <c r="G11" s="50">
        <v>1</v>
      </c>
      <c r="H11" s="50">
        <v>0</v>
      </c>
      <c r="I11" s="50">
        <v>1</v>
      </c>
      <c r="J11" s="50">
        <v>0</v>
      </c>
      <c r="K11" s="50">
        <v>4</v>
      </c>
      <c r="L11" s="50">
        <v>2</v>
      </c>
      <c r="M11" s="50">
        <v>66</v>
      </c>
      <c r="N11" s="50">
        <v>0</v>
      </c>
      <c r="O11" s="15">
        <f t="shared" si="0"/>
        <v>78</v>
      </c>
      <c r="P11" s="15">
        <f t="shared" si="1"/>
        <v>144</v>
      </c>
      <c r="R11" s="1" t="s">
        <v>7</v>
      </c>
      <c r="S11" s="17">
        <f t="shared" ref="S11:AF11" si="3">SUM(C14:C17)</f>
        <v>110</v>
      </c>
      <c r="T11" s="17">
        <f t="shared" si="3"/>
        <v>44</v>
      </c>
      <c r="U11" s="17">
        <f t="shared" si="3"/>
        <v>16</v>
      </c>
      <c r="V11" s="17">
        <f t="shared" si="3"/>
        <v>118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3</v>
      </c>
      <c r="AC11" s="17">
        <f t="shared" si="3"/>
        <v>524</v>
      </c>
      <c r="AD11" s="17">
        <f t="shared" si="3"/>
        <v>0</v>
      </c>
      <c r="AE11" s="31">
        <f t="shared" si="3"/>
        <v>301</v>
      </c>
      <c r="AF11" s="31">
        <f t="shared" si="3"/>
        <v>825</v>
      </c>
    </row>
    <row r="12" spans="2:32" ht="23.1" customHeight="1" x14ac:dyDescent="0.25">
      <c r="B12" s="45" t="s">
        <v>39</v>
      </c>
      <c r="C12" s="50">
        <v>45</v>
      </c>
      <c r="D12" s="50">
        <v>15</v>
      </c>
      <c r="E12" s="50">
        <v>3</v>
      </c>
      <c r="F12" s="50">
        <v>33</v>
      </c>
      <c r="G12" s="50">
        <v>0</v>
      </c>
      <c r="H12" s="50">
        <v>0</v>
      </c>
      <c r="I12" s="50">
        <v>1</v>
      </c>
      <c r="J12" s="50">
        <v>2</v>
      </c>
      <c r="K12" s="50">
        <v>1</v>
      </c>
      <c r="L12" s="50">
        <v>1</v>
      </c>
      <c r="M12" s="50">
        <v>118</v>
      </c>
      <c r="N12" s="50">
        <v>0</v>
      </c>
      <c r="O12" s="15">
        <f t="shared" si="0"/>
        <v>101</v>
      </c>
      <c r="P12" s="15">
        <f t="shared" si="1"/>
        <v>219</v>
      </c>
      <c r="R12" s="1" t="s">
        <v>8</v>
      </c>
      <c r="S12" s="17">
        <f t="shared" ref="S12:AF12" si="4">SUM(C18:C21)</f>
        <v>116</v>
      </c>
      <c r="T12" s="17">
        <f t="shared" si="4"/>
        <v>76</v>
      </c>
      <c r="U12" s="17">
        <f t="shared" si="4"/>
        <v>21</v>
      </c>
      <c r="V12" s="17">
        <f t="shared" si="4"/>
        <v>103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6</v>
      </c>
      <c r="AA12" s="17">
        <f t="shared" si="4"/>
        <v>3</v>
      </c>
      <c r="AB12" s="17">
        <f t="shared" si="4"/>
        <v>7</v>
      </c>
      <c r="AC12" s="17">
        <f t="shared" si="4"/>
        <v>486</v>
      </c>
      <c r="AD12" s="17">
        <f t="shared" si="4"/>
        <v>0</v>
      </c>
      <c r="AE12" s="31">
        <f t="shared" si="4"/>
        <v>345</v>
      </c>
      <c r="AF12" s="31">
        <f t="shared" si="4"/>
        <v>831</v>
      </c>
    </row>
    <row r="13" spans="2:32" ht="23.1" customHeight="1" x14ac:dyDescent="0.25">
      <c r="B13" s="45" t="s">
        <v>40</v>
      </c>
      <c r="C13" s="50">
        <v>33</v>
      </c>
      <c r="D13" s="50">
        <v>26</v>
      </c>
      <c r="E13" s="50">
        <v>4</v>
      </c>
      <c r="F13" s="50">
        <v>20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115</v>
      </c>
      <c r="N13" s="50">
        <v>0</v>
      </c>
      <c r="O13" s="15">
        <f t="shared" si="0"/>
        <v>86</v>
      </c>
      <c r="P13" s="15">
        <f t="shared" si="1"/>
        <v>201</v>
      </c>
      <c r="R13" s="1" t="s">
        <v>9</v>
      </c>
      <c r="S13" s="17">
        <f t="shared" ref="S13:AF13" si="5">SUM(C22:C25)</f>
        <v>129</v>
      </c>
      <c r="T13" s="17">
        <f t="shared" si="5"/>
        <v>67</v>
      </c>
      <c r="U13" s="17">
        <f t="shared" si="5"/>
        <v>28</v>
      </c>
      <c r="V13" s="17">
        <f t="shared" si="5"/>
        <v>64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5</v>
      </c>
      <c r="AA13" s="17">
        <f t="shared" si="5"/>
        <v>2</v>
      </c>
      <c r="AB13" s="17">
        <f t="shared" si="5"/>
        <v>11</v>
      </c>
      <c r="AC13" s="17">
        <f t="shared" si="5"/>
        <v>546</v>
      </c>
      <c r="AD13" s="17">
        <f t="shared" si="5"/>
        <v>0</v>
      </c>
      <c r="AE13" s="31">
        <f t="shared" si="5"/>
        <v>330</v>
      </c>
      <c r="AF13" s="31">
        <f t="shared" si="5"/>
        <v>876</v>
      </c>
    </row>
    <row r="14" spans="2:32" ht="23.1" customHeight="1" x14ac:dyDescent="0.25">
      <c r="B14" s="45" t="s">
        <v>41</v>
      </c>
      <c r="C14" s="50">
        <v>28</v>
      </c>
      <c r="D14" s="50">
        <v>17</v>
      </c>
      <c r="E14" s="50">
        <v>0</v>
      </c>
      <c r="F14" s="50">
        <v>39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119</v>
      </c>
      <c r="N14" s="50">
        <v>0</v>
      </c>
      <c r="O14" s="15">
        <f t="shared" si="0"/>
        <v>84</v>
      </c>
      <c r="P14" s="15">
        <f t="shared" si="1"/>
        <v>203</v>
      </c>
      <c r="R14" s="1" t="s">
        <v>10</v>
      </c>
      <c r="S14" s="17">
        <f t="shared" ref="S14:AF14" si="6">SUM(C26:C29)</f>
        <v>140</v>
      </c>
      <c r="T14" s="17">
        <f t="shared" si="6"/>
        <v>69</v>
      </c>
      <c r="U14" s="17">
        <f t="shared" si="6"/>
        <v>43</v>
      </c>
      <c r="V14" s="17">
        <f t="shared" si="6"/>
        <v>71</v>
      </c>
      <c r="W14" s="17">
        <f t="shared" si="6"/>
        <v>0</v>
      </c>
      <c r="X14" s="17">
        <f t="shared" si="6"/>
        <v>0</v>
      </c>
      <c r="Y14" s="17">
        <f t="shared" si="6"/>
        <v>20</v>
      </c>
      <c r="Z14" s="17">
        <f t="shared" si="6"/>
        <v>7</v>
      </c>
      <c r="AA14" s="17">
        <f t="shared" si="6"/>
        <v>2</v>
      </c>
      <c r="AB14" s="17">
        <f t="shared" si="6"/>
        <v>7</v>
      </c>
      <c r="AC14" s="17">
        <f t="shared" si="6"/>
        <v>415</v>
      </c>
      <c r="AD14" s="17">
        <f t="shared" si="6"/>
        <v>0</v>
      </c>
      <c r="AE14" s="31">
        <f t="shared" si="6"/>
        <v>359</v>
      </c>
      <c r="AF14" s="31">
        <f t="shared" si="6"/>
        <v>774</v>
      </c>
    </row>
    <row r="15" spans="2:32" ht="23.1" customHeight="1" x14ac:dyDescent="0.25">
      <c r="B15" s="45" t="s">
        <v>42</v>
      </c>
      <c r="C15" s="50">
        <v>33</v>
      </c>
      <c r="D15" s="50">
        <v>5</v>
      </c>
      <c r="E15" s="50">
        <v>6</v>
      </c>
      <c r="F15" s="50">
        <v>30</v>
      </c>
      <c r="G15" s="50">
        <v>0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105</v>
      </c>
      <c r="N15" s="50">
        <v>0</v>
      </c>
      <c r="O15" s="15">
        <f t="shared" si="0"/>
        <v>78</v>
      </c>
      <c r="P15" s="15">
        <f t="shared" si="1"/>
        <v>183</v>
      </c>
      <c r="R15" s="1" t="s">
        <v>11</v>
      </c>
      <c r="S15" s="17">
        <f t="shared" ref="S15:AF15" si="7">SUM(C30:C33)</f>
        <v>140</v>
      </c>
      <c r="T15" s="17">
        <f t="shared" si="7"/>
        <v>83</v>
      </c>
      <c r="U15" s="17">
        <f t="shared" si="7"/>
        <v>38</v>
      </c>
      <c r="V15" s="17">
        <f t="shared" si="7"/>
        <v>63</v>
      </c>
      <c r="W15" s="17">
        <f t="shared" si="7"/>
        <v>2</v>
      </c>
      <c r="X15" s="17">
        <f t="shared" si="7"/>
        <v>0</v>
      </c>
      <c r="Y15" s="17">
        <f t="shared" si="7"/>
        <v>30</v>
      </c>
      <c r="Z15" s="17">
        <f t="shared" si="7"/>
        <v>3</v>
      </c>
      <c r="AA15" s="17">
        <f t="shared" si="7"/>
        <v>5</v>
      </c>
      <c r="AB15" s="17">
        <f t="shared" si="7"/>
        <v>16</v>
      </c>
      <c r="AC15" s="17">
        <f t="shared" si="7"/>
        <v>517</v>
      </c>
      <c r="AD15" s="17">
        <f t="shared" si="7"/>
        <v>0</v>
      </c>
      <c r="AE15" s="31">
        <f t="shared" si="7"/>
        <v>380</v>
      </c>
      <c r="AF15" s="31">
        <f t="shared" si="7"/>
        <v>897</v>
      </c>
    </row>
    <row r="16" spans="2:32" ht="23.1" customHeight="1" x14ac:dyDescent="0.25">
      <c r="B16" s="45" t="s">
        <v>43</v>
      </c>
      <c r="C16" s="50">
        <v>31</v>
      </c>
      <c r="D16" s="50">
        <v>10</v>
      </c>
      <c r="E16" s="50">
        <v>3</v>
      </c>
      <c r="F16" s="50">
        <v>24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140</v>
      </c>
      <c r="N16" s="50">
        <v>0</v>
      </c>
      <c r="O16" s="15">
        <f t="shared" si="0"/>
        <v>70</v>
      </c>
      <c r="P16" s="15">
        <f t="shared" si="1"/>
        <v>210</v>
      </c>
      <c r="R16" s="1" t="s">
        <v>12</v>
      </c>
      <c r="S16" s="17">
        <f t="shared" ref="S16:AF16" si="8">SUM(C34:C37)</f>
        <v>179</v>
      </c>
      <c r="T16" s="17">
        <f t="shared" si="8"/>
        <v>70</v>
      </c>
      <c r="U16" s="17">
        <f t="shared" si="8"/>
        <v>22</v>
      </c>
      <c r="V16" s="17">
        <f t="shared" si="8"/>
        <v>63</v>
      </c>
      <c r="W16" s="17">
        <f t="shared" si="8"/>
        <v>3</v>
      </c>
      <c r="X16" s="17">
        <f t="shared" si="8"/>
        <v>0</v>
      </c>
      <c r="Y16" s="17">
        <f t="shared" si="8"/>
        <v>24</v>
      </c>
      <c r="Z16" s="17">
        <f t="shared" si="8"/>
        <v>2</v>
      </c>
      <c r="AA16" s="17">
        <f t="shared" si="8"/>
        <v>4</v>
      </c>
      <c r="AB16" s="17">
        <f t="shared" si="8"/>
        <v>7</v>
      </c>
      <c r="AC16" s="17">
        <f t="shared" si="8"/>
        <v>497</v>
      </c>
      <c r="AD16" s="17">
        <f t="shared" si="8"/>
        <v>0</v>
      </c>
      <c r="AE16" s="31">
        <f t="shared" si="8"/>
        <v>374</v>
      </c>
      <c r="AF16" s="31">
        <f t="shared" si="8"/>
        <v>871</v>
      </c>
    </row>
    <row r="17" spans="2:32" ht="23.1" customHeight="1" x14ac:dyDescent="0.25">
      <c r="B17" s="45" t="s">
        <v>44</v>
      </c>
      <c r="C17" s="50">
        <v>18</v>
      </c>
      <c r="D17" s="50">
        <v>12</v>
      </c>
      <c r="E17" s="50">
        <v>7</v>
      </c>
      <c r="F17" s="50">
        <v>25</v>
      </c>
      <c r="G17" s="50">
        <v>1</v>
      </c>
      <c r="H17" s="50">
        <v>0</v>
      </c>
      <c r="I17" s="50">
        <v>3</v>
      </c>
      <c r="J17" s="50">
        <v>0</v>
      </c>
      <c r="K17" s="50">
        <v>0</v>
      </c>
      <c r="L17" s="50">
        <v>3</v>
      </c>
      <c r="M17" s="50">
        <v>160</v>
      </c>
      <c r="N17" s="50">
        <v>0</v>
      </c>
      <c r="O17" s="15">
        <f t="shared" si="0"/>
        <v>69</v>
      </c>
      <c r="P17" s="15">
        <f t="shared" si="1"/>
        <v>229</v>
      </c>
      <c r="R17" s="1" t="s">
        <v>13</v>
      </c>
      <c r="S17" s="17">
        <f t="shared" ref="S17:AF17" si="9">SUM(C38:C41)</f>
        <v>146</v>
      </c>
      <c r="T17" s="17">
        <f t="shared" si="9"/>
        <v>61</v>
      </c>
      <c r="U17" s="17">
        <f t="shared" si="9"/>
        <v>30</v>
      </c>
      <c r="V17" s="17">
        <f t="shared" si="9"/>
        <v>55</v>
      </c>
      <c r="W17" s="17">
        <f t="shared" si="9"/>
        <v>2</v>
      </c>
      <c r="X17" s="17">
        <f t="shared" si="9"/>
        <v>0</v>
      </c>
      <c r="Y17" s="17">
        <f t="shared" si="9"/>
        <v>14</v>
      </c>
      <c r="Z17" s="17">
        <f t="shared" si="9"/>
        <v>10</v>
      </c>
      <c r="AA17" s="17">
        <f t="shared" si="9"/>
        <v>2</v>
      </c>
      <c r="AB17" s="17">
        <f t="shared" si="9"/>
        <v>4</v>
      </c>
      <c r="AC17" s="17">
        <f t="shared" si="9"/>
        <v>465</v>
      </c>
      <c r="AD17" s="17">
        <f t="shared" si="9"/>
        <v>0</v>
      </c>
      <c r="AE17" s="31">
        <f t="shared" si="9"/>
        <v>324</v>
      </c>
      <c r="AF17" s="31">
        <f t="shared" si="9"/>
        <v>789</v>
      </c>
    </row>
    <row r="18" spans="2:32" ht="23.1" customHeight="1" x14ac:dyDescent="0.25">
      <c r="B18" s="45" t="s">
        <v>45</v>
      </c>
      <c r="C18" s="50">
        <v>38</v>
      </c>
      <c r="D18" s="50">
        <v>23</v>
      </c>
      <c r="E18" s="50">
        <v>9</v>
      </c>
      <c r="F18" s="50">
        <v>41</v>
      </c>
      <c r="G18" s="50">
        <v>0</v>
      </c>
      <c r="H18" s="50">
        <v>0</v>
      </c>
      <c r="I18" s="50">
        <v>1</v>
      </c>
      <c r="J18" s="50">
        <v>1</v>
      </c>
      <c r="K18" s="50">
        <v>1</v>
      </c>
      <c r="L18" s="50">
        <v>1</v>
      </c>
      <c r="M18" s="50">
        <v>173</v>
      </c>
      <c r="N18" s="50">
        <v>0</v>
      </c>
      <c r="O18" s="15">
        <f t="shared" si="0"/>
        <v>115</v>
      </c>
      <c r="P18" s="15">
        <f t="shared" si="1"/>
        <v>288</v>
      </c>
      <c r="R18" s="1" t="s">
        <v>14</v>
      </c>
      <c r="S18" s="17">
        <f t="shared" ref="S18:AF18" si="10">SUM(C42:C45)</f>
        <v>185</v>
      </c>
      <c r="T18" s="17">
        <f t="shared" si="10"/>
        <v>61</v>
      </c>
      <c r="U18" s="17">
        <f t="shared" si="10"/>
        <v>16</v>
      </c>
      <c r="V18" s="17">
        <f t="shared" si="10"/>
        <v>49</v>
      </c>
      <c r="W18" s="17">
        <f t="shared" si="10"/>
        <v>4</v>
      </c>
      <c r="X18" s="17">
        <f t="shared" si="10"/>
        <v>0</v>
      </c>
      <c r="Y18" s="17">
        <f t="shared" si="10"/>
        <v>25</v>
      </c>
      <c r="Z18" s="17">
        <f t="shared" si="10"/>
        <v>3</v>
      </c>
      <c r="AA18" s="17">
        <f t="shared" si="10"/>
        <v>2</v>
      </c>
      <c r="AB18" s="17">
        <f t="shared" si="10"/>
        <v>1</v>
      </c>
      <c r="AC18" s="17">
        <f t="shared" si="10"/>
        <v>405</v>
      </c>
      <c r="AD18" s="17">
        <f t="shared" si="10"/>
        <v>0</v>
      </c>
      <c r="AE18" s="31">
        <f t="shared" si="10"/>
        <v>346</v>
      </c>
      <c r="AF18" s="31">
        <f t="shared" si="10"/>
        <v>751</v>
      </c>
    </row>
    <row r="19" spans="2:32" ht="23.1" customHeight="1" x14ac:dyDescent="0.25">
      <c r="B19" s="45" t="s">
        <v>46</v>
      </c>
      <c r="C19" s="50">
        <v>40</v>
      </c>
      <c r="D19" s="50">
        <v>16</v>
      </c>
      <c r="E19" s="50">
        <v>0</v>
      </c>
      <c r="F19" s="50">
        <v>22</v>
      </c>
      <c r="G19" s="50">
        <v>0</v>
      </c>
      <c r="H19" s="50">
        <v>0</v>
      </c>
      <c r="I19" s="50">
        <v>4</v>
      </c>
      <c r="J19" s="50">
        <v>2</v>
      </c>
      <c r="K19" s="50">
        <v>1</v>
      </c>
      <c r="L19" s="50">
        <v>0</v>
      </c>
      <c r="M19" s="50">
        <v>80</v>
      </c>
      <c r="N19" s="50">
        <v>0</v>
      </c>
      <c r="O19" s="15">
        <f t="shared" si="0"/>
        <v>85</v>
      </c>
      <c r="P19" s="15">
        <f t="shared" si="1"/>
        <v>165</v>
      </c>
      <c r="R19" s="1" t="s">
        <v>15</v>
      </c>
      <c r="S19" s="17">
        <f t="shared" ref="S19:AF19" si="11">SUM(C46:C49)</f>
        <v>253</v>
      </c>
      <c r="T19" s="17">
        <f t="shared" si="11"/>
        <v>96</v>
      </c>
      <c r="U19" s="17">
        <f t="shared" si="11"/>
        <v>32</v>
      </c>
      <c r="V19" s="17">
        <f t="shared" si="11"/>
        <v>66</v>
      </c>
      <c r="W19" s="17">
        <f t="shared" si="11"/>
        <v>0</v>
      </c>
      <c r="X19" s="17">
        <f t="shared" si="11"/>
        <v>0</v>
      </c>
      <c r="Y19" s="17">
        <f t="shared" si="11"/>
        <v>16</v>
      </c>
      <c r="Z19" s="17">
        <f t="shared" si="11"/>
        <v>8</v>
      </c>
      <c r="AA19" s="17">
        <f t="shared" si="11"/>
        <v>3</v>
      </c>
      <c r="AB19" s="17">
        <f t="shared" si="11"/>
        <v>11</v>
      </c>
      <c r="AC19" s="17">
        <f t="shared" si="11"/>
        <v>495</v>
      </c>
      <c r="AD19" s="17">
        <f t="shared" si="11"/>
        <v>0</v>
      </c>
      <c r="AE19" s="31">
        <f t="shared" si="11"/>
        <v>485</v>
      </c>
      <c r="AF19" s="31">
        <f t="shared" si="11"/>
        <v>980</v>
      </c>
    </row>
    <row r="20" spans="2:32" ht="23.1" customHeight="1" x14ac:dyDescent="0.25">
      <c r="B20" s="45" t="s">
        <v>47</v>
      </c>
      <c r="C20" s="50">
        <v>23</v>
      </c>
      <c r="D20" s="50">
        <v>21</v>
      </c>
      <c r="E20" s="50">
        <v>3</v>
      </c>
      <c r="F20" s="50">
        <v>23</v>
      </c>
      <c r="G20" s="50">
        <v>0</v>
      </c>
      <c r="H20" s="50">
        <v>0</v>
      </c>
      <c r="I20" s="50">
        <v>3</v>
      </c>
      <c r="J20" s="50">
        <v>1</v>
      </c>
      <c r="K20" s="50">
        <v>1</v>
      </c>
      <c r="L20" s="50">
        <v>4</v>
      </c>
      <c r="M20" s="50">
        <v>120</v>
      </c>
      <c r="N20" s="50">
        <v>0</v>
      </c>
      <c r="O20" s="15">
        <f t="shared" si="0"/>
        <v>79</v>
      </c>
      <c r="P20" s="15">
        <f t="shared" si="1"/>
        <v>199</v>
      </c>
      <c r="R20" s="1" t="s">
        <v>16</v>
      </c>
      <c r="S20" s="17">
        <f t="shared" ref="S20:AF20" si="12">SUM(C50:C53)</f>
        <v>371</v>
      </c>
      <c r="T20" s="17">
        <f t="shared" si="12"/>
        <v>141</v>
      </c>
      <c r="U20" s="17">
        <f t="shared" si="12"/>
        <v>46</v>
      </c>
      <c r="V20" s="17">
        <f t="shared" si="12"/>
        <v>53</v>
      </c>
      <c r="W20" s="17">
        <f t="shared" si="12"/>
        <v>4</v>
      </c>
      <c r="X20" s="17">
        <f t="shared" si="12"/>
        <v>0</v>
      </c>
      <c r="Y20" s="17">
        <f t="shared" si="12"/>
        <v>26</v>
      </c>
      <c r="Z20" s="17">
        <f t="shared" si="12"/>
        <v>5</v>
      </c>
      <c r="AA20" s="17">
        <f t="shared" si="12"/>
        <v>4</v>
      </c>
      <c r="AB20" s="17">
        <f t="shared" si="12"/>
        <v>14</v>
      </c>
      <c r="AC20" s="17">
        <f t="shared" si="12"/>
        <v>392</v>
      </c>
      <c r="AD20" s="17">
        <f t="shared" si="12"/>
        <v>0</v>
      </c>
      <c r="AE20" s="31">
        <f t="shared" si="12"/>
        <v>664</v>
      </c>
      <c r="AF20" s="31">
        <f t="shared" si="12"/>
        <v>1056</v>
      </c>
    </row>
    <row r="21" spans="2:32" ht="23.1" customHeight="1" x14ac:dyDescent="0.25">
      <c r="B21" s="45" t="s">
        <v>48</v>
      </c>
      <c r="C21" s="50">
        <v>15</v>
      </c>
      <c r="D21" s="50">
        <v>16</v>
      </c>
      <c r="E21" s="50">
        <v>9</v>
      </c>
      <c r="F21" s="50">
        <v>17</v>
      </c>
      <c r="G21" s="50">
        <v>1</v>
      </c>
      <c r="H21" s="50">
        <v>0</v>
      </c>
      <c r="I21" s="50">
        <v>4</v>
      </c>
      <c r="J21" s="50">
        <v>2</v>
      </c>
      <c r="K21" s="50">
        <v>0</v>
      </c>
      <c r="L21" s="50">
        <v>2</v>
      </c>
      <c r="M21" s="50">
        <v>113</v>
      </c>
      <c r="N21" s="50">
        <v>0</v>
      </c>
      <c r="O21" s="15">
        <f t="shared" si="0"/>
        <v>66</v>
      </c>
      <c r="P21" s="15">
        <f t="shared" si="1"/>
        <v>179</v>
      </c>
      <c r="R21" s="36" t="s">
        <v>20</v>
      </c>
      <c r="S21" s="34">
        <f t="shared" ref="S21:AF21" si="13">SUM(C54:C57)</f>
        <v>281</v>
      </c>
      <c r="T21" s="17">
        <f t="shared" si="13"/>
        <v>100</v>
      </c>
      <c r="U21" s="17">
        <f t="shared" si="13"/>
        <v>49</v>
      </c>
      <c r="V21" s="17">
        <f t="shared" si="13"/>
        <v>82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8</v>
      </c>
      <c r="AA21" s="17">
        <f t="shared" si="13"/>
        <v>3</v>
      </c>
      <c r="AB21" s="17">
        <f t="shared" si="13"/>
        <v>9</v>
      </c>
      <c r="AC21" s="17">
        <f t="shared" si="13"/>
        <v>255</v>
      </c>
      <c r="AD21" s="17">
        <f t="shared" si="13"/>
        <v>0</v>
      </c>
      <c r="AE21" s="31">
        <f t="shared" si="13"/>
        <v>545</v>
      </c>
      <c r="AF21" s="31">
        <f t="shared" si="13"/>
        <v>800</v>
      </c>
    </row>
    <row r="22" spans="2:32" ht="23.1" customHeight="1" x14ac:dyDescent="0.25">
      <c r="B22" s="45" t="s">
        <v>49</v>
      </c>
      <c r="C22" s="50">
        <v>34</v>
      </c>
      <c r="D22" s="50">
        <v>16</v>
      </c>
      <c r="E22" s="50">
        <v>8</v>
      </c>
      <c r="F22" s="50">
        <v>20</v>
      </c>
      <c r="G22" s="50">
        <v>0</v>
      </c>
      <c r="H22" s="50">
        <v>0</v>
      </c>
      <c r="I22" s="50">
        <v>4</v>
      </c>
      <c r="J22" s="50">
        <v>2</v>
      </c>
      <c r="K22" s="50">
        <v>0</v>
      </c>
      <c r="L22" s="50">
        <v>3</v>
      </c>
      <c r="M22" s="50">
        <v>126</v>
      </c>
      <c r="N22" s="50">
        <v>0</v>
      </c>
      <c r="O22" s="15">
        <f t="shared" si="0"/>
        <v>87</v>
      </c>
      <c r="P22" s="15">
        <f t="shared" si="1"/>
        <v>213</v>
      </c>
      <c r="R22" s="36" t="s">
        <v>146</v>
      </c>
      <c r="S22" s="34">
        <f>SUM(C58:C61)</f>
        <v>213</v>
      </c>
      <c r="T22" s="34">
        <f t="shared" ref="T22:AF22" si="14">SUM(D58:D61)</f>
        <v>73</v>
      </c>
      <c r="U22" s="34">
        <f t="shared" si="14"/>
        <v>34</v>
      </c>
      <c r="V22" s="34">
        <f t="shared" si="14"/>
        <v>86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17</v>
      </c>
      <c r="AA22" s="34">
        <f t="shared" si="14"/>
        <v>4</v>
      </c>
      <c r="AB22" s="34">
        <f t="shared" si="14"/>
        <v>2</v>
      </c>
      <c r="AC22" s="34">
        <f t="shared" si="14"/>
        <v>240</v>
      </c>
      <c r="AD22" s="34">
        <f t="shared" si="14"/>
        <v>0</v>
      </c>
      <c r="AE22" s="31">
        <f t="shared" si="14"/>
        <v>431</v>
      </c>
      <c r="AF22" s="31">
        <f t="shared" si="14"/>
        <v>671</v>
      </c>
    </row>
    <row r="23" spans="2:32" ht="23.1" customHeight="1" x14ac:dyDescent="0.25">
      <c r="B23" s="45" t="s">
        <v>50</v>
      </c>
      <c r="C23" s="50">
        <v>28</v>
      </c>
      <c r="D23" s="50">
        <v>15</v>
      </c>
      <c r="E23" s="50">
        <v>6</v>
      </c>
      <c r="F23" s="50">
        <v>13</v>
      </c>
      <c r="G23" s="50">
        <v>0</v>
      </c>
      <c r="H23" s="50">
        <v>0</v>
      </c>
      <c r="I23" s="50">
        <v>9</v>
      </c>
      <c r="J23" s="50">
        <v>1</v>
      </c>
      <c r="K23" s="50">
        <v>0</v>
      </c>
      <c r="L23" s="50">
        <v>3</v>
      </c>
      <c r="M23" s="50">
        <v>150</v>
      </c>
      <c r="N23" s="50">
        <v>0</v>
      </c>
      <c r="O23" s="15">
        <f t="shared" si="0"/>
        <v>75</v>
      </c>
      <c r="P23" s="15">
        <f t="shared" si="1"/>
        <v>225</v>
      </c>
      <c r="R23" s="36" t="s">
        <v>147</v>
      </c>
      <c r="S23" s="34">
        <f>SUM(C62:C65)</f>
        <v>235</v>
      </c>
      <c r="T23" s="34">
        <f t="shared" ref="T23:AF23" si="15">SUM(D62:D65)</f>
        <v>127</v>
      </c>
      <c r="U23" s="34">
        <f t="shared" si="15"/>
        <v>17</v>
      </c>
      <c r="V23" s="34">
        <f t="shared" si="15"/>
        <v>62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1</v>
      </c>
      <c r="AA23" s="34">
        <f t="shared" si="15"/>
        <v>2</v>
      </c>
      <c r="AB23" s="34">
        <f t="shared" si="15"/>
        <v>2</v>
      </c>
      <c r="AC23" s="34">
        <f t="shared" si="15"/>
        <v>289</v>
      </c>
      <c r="AD23" s="34">
        <f t="shared" si="15"/>
        <v>0</v>
      </c>
      <c r="AE23" s="31">
        <f t="shared" si="15"/>
        <v>450</v>
      </c>
      <c r="AF23" s="31">
        <f t="shared" si="15"/>
        <v>739</v>
      </c>
    </row>
    <row r="24" spans="2:32" ht="23.1" customHeight="1" x14ac:dyDescent="0.25">
      <c r="B24" s="45" t="s">
        <v>51</v>
      </c>
      <c r="C24" s="50">
        <v>31</v>
      </c>
      <c r="D24" s="50">
        <v>22</v>
      </c>
      <c r="E24" s="50">
        <v>6</v>
      </c>
      <c r="F24" s="50">
        <v>12</v>
      </c>
      <c r="G24" s="50">
        <v>0</v>
      </c>
      <c r="H24" s="50">
        <v>0</v>
      </c>
      <c r="I24" s="50">
        <v>7</v>
      </c>
      <c r="J24" s="50">
        <v>0</v>
      </c>
      <c r="K24" s="50">
        <v>1</v>
      </c>
      <c r="L24" s="50">
        <v>2</v>
      </c>
      <c r="M24" s="50">
        <v>125</v>
      </c>
      <c r="N24" s="50">
        <v>0</v>
      </c>
      <c r="O24" s="15">
        <f t="shared" si="0"/>
        <v>81</v>
      </c>
      <c r="P24" s="15">
        <f t="shared" si="1"/>
        <v>206</v>
      </c>
      <c r="R24" s="36" t="s">
        <v>148</v>
      </c>
      <c r="S24" s="34">
        <f>SUM(C66:C69)</f>
        <v>118</v>
      </c>
      <c r="T24" s="34">
        <f t="shared" ref="T24:AF24" si="16">SUM(D66:D69)</f>
        <v>68</v>
      </c>
      <c r="U24" s="34">
        <f t="shared" si="16"/>
        <v>14</v>
      </c>
      <c r="V24" s="34">
        <f t="shared" si="16"/>
        <v>30</v>
      </c>
      <c r="W24" s="34">
        <f t="shared" si="16"/>
        <v>0</v>
      </c>
      <c r="X24" s="34">
        <f t="shared" si="16"/>
        <v>0</v>
      </c>
      <c r="Y24" s="34">
        <f t="shared" si="16"/>
        <v>8</v>
      </c>
      <c r="Z24" s="34">
        <f t="shared" si="16"/>
        <v>1</v>
      </c>
      <c r="AA24" s="34">
        <f t="shared" si="16"/>
        <v>1</v>
      </c>
      <c r="AB24" s="34">
        <f t="shared" si="16"/>
        <v>3</v>
      </c>
      <c r="AC24" s="34">
        <f t="shared" si="16"/>
        <v>137</v>
      </c>
      <c r="AD24" s="34">
        <f t="shared" si="16"/>
        <v>0</v>
      </c>
      <c r="AE24" s="31">
        <f t="shared" si="16"/>
        <v>243</v>
      </c>
      <c r="AF24" s="31">
        <f t="shared" si="16"/>
        <v>380</v>
      </c>
    </row>
    <row r="25" spans="2:32" ht="23.1" customHeight="1" x14ac:dyDescent="0.25">
      <c r="B25" s="45" t="s">
        <v>52</v>
      </c>
      <c r="C25" s="50">
        <v>36</v>
      </c>
      <c r="D25" s="50">
        <v>14</v>
      </c>
      <c r="E25" s="50">
        <v>8</v>
      </c>
      <c r="F25" s="50">
        <v>19</v>
      </c>
      <c r="G25" s="50">
        <v>0</v>
      </c>
      <c r="H25" s="50">
        <v>0</v>
      </c>
      <c r="I25" s="50">
        <v>4</v>
      </c>
      <c r="J25" s="50">
        <v>2</v>
      </c>
      <c r="K25" s="50">
        <v>1</v>
      </c>
      <c r="L25" s="50">
        <v>3</v>
      </c>
      <c r="M25" s="50">
        <v>145</v>
      </c>
      <c r="N25" s="50">
        <v>0</v>
      </c>
      <c r="O25" s="15">
        <f t="shared" si="0"/>
        <v>87</v>
      </c>
      <c r="P25" s="15">
        <f t="shared" si="1"/>
        <v>232</v>
      </c>
      <c r="R25" s="36" t="s">
        <v>149</v>
      </c>
      <c r="S25" s="34">
        <f>SUM(C70:C73)</f>
        <v>137</v>
      </c>
      <c r="T25" s="34">
        <f t="shared" ref="T25:AF25" si="17">SUM(D70:D73)</f>
        <v>47</v>
      </c>
      <c r="U25" s="34">
        <f t="shared" si="17"/>
        <v>14</v>
      </c>
      <c r="V25" s="34">
        <f t="shared" si="17"/>
        <v>28</v>
      </c>
      <c r="W25" s="34">
        <f t="shared" si="17"/>
        <v>1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1</v>
      </c>
      <c r="AC25" s="34">
        <f t="shared" si="17"/>
        <v>188</v>
      </c>
      <c r="AD25" s="34">
        <f t="shared" si="17"/>
        <v>0</v>
      </c>
      <c r="AE25" s="31">
        <f t="shared" si="17"/>
        <v>229</v>
      </c>
      <c r="AF25" s="31">
        <f t="shared" si="17"/>
        <v>417</v>
      </c>
    </row>
    <row r="26" spans="2:32" ht="23.1" customHeight="1" x14ac:dyDescent="0.25">
      <c r="B26" s="45" t="s">
        <v>53</v>
      </c>
      <c r="C26" s="50">
        <v>35</v>
      </c>
      <c r="D26" s="50">
        <v>15</v>
      </c>
      <c r="E26" s="50">
        <v>16</v>
      </c>
      <c r="F26" s="50">
        <v>22</v>
      </c>
      <c r="G26" s="50">
        <v>0</v>
      </c>
      <c r="H26" s="50">
        <v>0</v>
      </c>
      <c r="I26" s="50">
        <v>6</v>
      </c>
      <c r="J26" s="50">
        <v>3</v>
      </c>
      <c r="K26" s="50">
        <v>1</v>
      </c>
      <c r="L26" s="50">
        <v>3</v>
      </c>
      <c r="M26" s="50">
        <v>120</v>
      </c>
      <c r="N26" s="50">
        <v>0</v>
      </c>
      <c r="O26" s="15">
        <f t="shared" si="0"/>
        <v>101</v>
      </c>
      <c r="P26" s="15">
        <f t="shared" si="1"/>
        <v>221</v>
      </c>
      <c r="R26" s="36" t="s">
        <v>150</v>
      </c>
      <c r="S26" s="34">
        <f>SUM(C74:C77)</f>
        <v>128</v>
      </c>
      <c r="T26" s="34">
        <f t="shared" ref="T26:AF26" si="18">SUM(D74:D77)</f>
        <v>48</v>
      </c>
      <c r="U26" s="34">
        <f t="shared" si="18"/>
        <v>12</v>
      </c>
      <c r="V26" s="34">
        <f t="shared" si="18"/>
        <v>29</v>
      </c>
      <c r="W26" s="34">
        <f t="shared" si="18"/>
        <v>1</v>
      </c>
      <c r="X26" s="34">
        <f t="shared" si="18"/>
        <v>0</v>
      </c>
      <c r="Y26" s="34">
        <f t="shared" si="18"/>
        <v>3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117</v>
      </c>
      <c r="AD26" s="34">
        <f t="shared" si="18"/>
        <v>0</v>
      </c>
      <c r="AE26" s="31">
        <f t="shared" si="18"/>
        <v>222</v>
      </c>
      <c r="AF26" s="31">
        <f t="shared" si="18"/>
        <v>339</v>
      </c>
    </row>
    <row r="27" spans="2:32" ht="23.1" customHeight="1" x14ac:dyDescent="0.25">
      <c r="B27" s="45" t="s">
        <v>54</v>
      </c>
      <c r="C27" s="50">
        <v>42</v>
      </c>
      <c r="D27" s="50">
        <v>20</v>
      </c>
      <c r="E27" s="50">
        <v>6</v>
      </c>
      <c r="F27" s="50">
        <v>17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2</v>
      </c>
      <c r="M27" s="50">
        <v>75</v>
      </c>
      <c r="N27" s="50">
        <v>0</v>
      </c>
      <c r="O27" s="15">
        <f t="shared" si="0"/>
        <v>90</v>
      </c>
      <c r="P27" s="15">
        <f t="shared" si="1"/>
        <v>165</v>
      </c>
      <c r="R27" s="36" t="s">
        <v>151</v>
      </c>
      <c r="S27" s="34">
        <f>SUM(C78:C81)</f>
        <v>84</v>
      </c>
      <c r="T27" s="34">
        <f t="shared" ref="T27:AF27" si="19">SUM(D78:D81)</f>
        <v>17</v>
      </c>
      <c r="U27" s="34">
        <f t="shared" si="19"/>
        <v>6</v>
      </c>
      <c r="V27" s="34">
        <f t="shared" si="19"/>
        <v>8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80</v>
      </c>
      <c r="AD27" s="34">
        <f t="shared" si="19"/>
        <v>0</v>
      </c>
      <c r="AE27" s="31">
        <f t="shared" si="19"/>
        <v>115</v>
      </c>
      <c r="AF27" s="31">
        <f t="shared" si="19"/>
        <v>195</v>
      </c>
    </row>
    <row r="28" spans="2:32" ht="23.1" customHeight="1" x14ac:dyDescent="0.25">
      <c r="B28" s="45" t="s">
        <v>55</v>
      </c>
      <c r="C28" s="50">
        <v>40</v>
      </c>
      <c r="D28" s="50">
        <v>24</v>
      </c>
      <c r="E28" s="50">
        <v>11</v>
      </c>
      <c r="F28" s="50">
        <v>16</v>
      </c>
      <c r="G28" s="50">
        <v>0</v>
      </c>
      <c r="H28" s="50">
        <v>0</v>
      </c>
      <c r="I28" s="50">
        <v>6</v>
      </c>
      <c r="J28" s="50">
        <v>3</v>
      </c>
      <c r="K28" s="50">
        <v>1</v>
      </c>
      <c r="L28" s="50">
        <v>0</v>
      </c>
      <c r="M28" s="50">
        <v>130</v>
      </c>
      <c r="N28" s="50">
        <v>0</v>
      </c>
      <c r="O28" s="15">
        <f t="shared" si="0"/>
        <v>101</v>
      </c>
      <c r="P28" s="15">
        <f t="shared" si="1"/>
        <v>231</v>
      </c>
      <c r="R28" s="36" t="s">
        <v>152</v>
      </c>
      <c r="S28" s="34">
        <f>SUM(C82:C85)</f>
        <v>45</v>
      </c>
      <c r="T28" s="34">
        <f t="shared" ref="T28:AF28" si="20">SUM(D82:D85)</f>
        <v>6</v>
      </c>
      <c r="U28" s="34">
        <f t="shared" si="20"/>
        <v>2</v>
      </c>
      <c r="V28" s="34">
        <f t="shared" si="20"/>
        <v>6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29</v>
      </c>
      <c r="AD28" s="34">
        <f t="shared" si="20"/>
        <v>0</v>
      </c>
      <c r="AE28" s="31">
        <f t="shared" si="20"/>
        <v>60</v>
      </c>
      <c r="AF28" s="31">
        <f t="shared" si="20"/>
        <v>89</v>
      </c>
    </row>
    <row r="29" spans="2:32" ht="23.1" customHeight="1" x14ac:dyDescent="0.25">
      <c r="B29" s="45" t="s">
        <v>56</v>
      </c>
      <c r="C29" s="50">
        <v>23</v>
      </c>
      <c r="D29" s="50">
        <v>10</v>
      </c>
      <c r="E29" s="50">
        <v>10</v>
      </c>
      <c r="F29" s="50">
        <v>16</v>
      </c>
      <c r="G29" s="50">
        <v>0</v>
      </c>
      <c r="H29" s="50">
        <v>0</v>
      </c>
      <c r="I29" s="50">
        <v>5</v>
      </c>
      <c r="J29" s="50">
        <v>1</v>
      </c>
      <c r="K29" s="50">
        <v>0</v>
      </c>
      <c r="L29" s="50">
        <v>2</v>
      </c>
      <c r="M29" s="50">
        <v>90</v>
      </c>
      <c r="N29" s="50">
        <v>0</v>
      </c>
      <c r="O29" s="15">
        <f t="shared" si="0"/>
        <v>67</v>
      </c>
      <c r="P29" s="15">
        <f t="shared" si="1"/>
        <v>157</v>
      </c>
      <c r="R29" s="36" t="s">
        <v>153</v>
      </c>
      <c r="S29" s="34">
        <f>SUM(C86:C89)</f>
        <v>29</v>
      </c>
      <c r="T29" s="34">
        <f t="shared" ref="T29:AF29" si="21">SUM(D86:D89)</f>
        <v>2</v>
      </c>
      <c r="U29" s="34">
        <f t="shared" si="21"/>
        <v>11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28</v>
      </c>
      <c r="AD29" s="34">
        <f t="shared" si="21"/>
        <v>0</v>
      </c>
      <c r="AE29" s="31">
        <f t="shared" si="21"/>
        <v>44</v>
      </c>
      <c r="AF29" s="31">
        <f t="shared" si="21"/>
        <v>72</v>
      </c>
    </row>
    <row r="30" spans="2:32" ht="23.1" customHeight="1" x14ac:dyDescent="0.25">
      <c r="B30" s="45" t="s">
        <v>57</v>
      </c>
      <c r="C30" s="50">
        <v>55</v>
      </c>
      <c r="D30" s="50">
        <v>27</v>
      </c>
      <c r="E30" s="50">
        <v>11</v>
      </c>
      <c r="F30" s="50">
        <v>25</v>
      </c>
      <c r="G30" s="50">
        <v>0</v>
      </c>
      <c r="H30" s="50">
        <v>0</v>
      </c>
      <c r="I30" s="50">
        <v>7</v>
      </c>
      <c r="J30" s="50">
        <v>1</v>
      </c>
      <c r="K30" s="50">
        <v>2</v>
      </c>
      <c r="L30" s="50">
        <v>2</v>
      </c>
      <c r="M30" s="50">
        <v>127</v>
      </c>
      <c r="N30" s="50">
        <v>0</v>
      </c>
      <c r="O30" s="15">
        <f t="shared" si="0"/>
        <v>130</v>
      </c>
      <c r="P30" s="15">
        <f t="shared" si="1"/>
        <v>257</v>
      </c>
      <c r="R30" s="36" t="s">
        <v>154</v>
      </c>
      <c r="S30" s="34">
        <f>SUM(C90:C93)</f>
        <v>20</v>
      </c>
      <c r="T30" s="34">
        <f t="shared" ref="T30:AF30" si="22">SUM(D90:D93)</f>
        <v>6</v>
      </c>
      <c r="U30" s="34">
        <f t="shared" si="22"/>
        <v>2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22</v>
      </c>
      <c r="AD30" s="34">
        <f t="shared" si="22"/>
        <v>0</v>
      </c>
      <c r="AE30" s="31">
        <f t="shared" si="22"/>
        <v>33</v>
      </c>
      <c r="AF30" s="31">
        <f t="shared" si="22"/>
        <v>55</v>
      </c>
    </row>
    <row r="31" spans="2:32" ht="23.1" customHeight="1" x14ac:dyDescent="0.25">
      <c r="B31" s="46" t="s">
        <v>58</v>
      </c>
      <c r="C31" s="50">
        <v>32</v>
      </c>
      <c r="D31" s="50">
        <v>13</v>
      </c>
      <c r="E31" s="50">
        <v>5</v>
      </c>
      <c r="F31" s="50">
        <v>18</v>
      </c>
      <c r="G31" s="50">
        <v>2</v>
      </c>
      <c r="H31" s="50">
        <v>0</v>
      </c>
      <c r="I31" s="50">
        <v>8</v>
      </c>
      <c r="J31" s="50">
        <v>1</v>
      </c>
      <c r="K31" s="50">
        <v>3</v>
      </c>
      <c r="L31" s="50">
        <v>5</v>
      </c>
      <c r="M31" s="50">
        <v>125</v>
      </c>
      <c r="N31" s="50">
        <v>0</v>
      </c>
      <c r="O31" s="15">
        <f t="shared" si="0"/>
        <v>87</v>
      </c>
      <c r="P31" s="15">
        <f t="shared" si="1"/>
        <v>212</v>
      </c>
      <c r="R31" s="36" t="s">
        <v>155</v>
      </c>
      <c r="S31" s="34">
        <f>SUM(C94:C97)</f>
        <v>42</v>
      </c>
      <c r="T31" s="34">
        <f t="shared" ref="T31:AF31" si="23">SUM(D94:D97)</f>
        <v>6</v>
      </c>
      <c r="U31" s="34">
        <f t="shared" si="23"/>
        <v>17</v>
      </c>
      <c r="V31" s="34">
        <f t="shared" si="23"/>
        <v>6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26</v>
      </c>
      <c r="AD31" s="34">
        <f t="shared" si="23"/>
        <v>0</v>
      </c>
      <c r="AE31" s="31">
        <f t="shared" si="23"/>
        <v>74</v>
      </c>
      <c r="AF31" s="31">
        <f t="shared" si="23"/>
        <v>100</v>
      </c>
    </row>
    <row r="32" spans="2:32" ht="23.1" customHeight="1" x14ac:dyDescent="0.25">
      <c r="B32" s="46" t="s">
        <v>59</v>
      </c>
      <c r="C32" s="50">
        <v>34</v>
      </c>
      <c r="D32" s="50">
        <v>25</v>
      </c>
      <c r="E32" s="50">
        <v>10</v>
      </c>
      <c r="F32" s="50">
        <v>11</v>
      </c>
      <c r="G32" s="50">
        <v>0</v>
      </c>
      <c r="H32" s="50">
        <v>0</v>
      </c>
      <c r="I32" s="50">
        <v>9</v>
      </c>
      <c r="J32" s="50">
        <v>0</v>
      </c>
      <c r="K32" s="50">
        <v>0</v>
      </c>
      <c r="L32" s="50">
        <v>5</v>
      </c>
      <c r="M32" s="50">
        <v>150</v>
      </c>
      <c r="N32" s="50">
        <v>0</v>
      </c>
      <c r="O32" s="15">
        <f t="shared" si="0"/>
        <v>94</v>
      </c>
      <c r="P32" s="15">
        <f t="shared" si="1"/>
        <v>244</v>
      </c>
      <c r="R32" s="33" t="s">
        <v>156</v>
      </c>
      <c r="S32" s="34">
        <f>SUM(C98:C101)</f>
        <v>41</v>
      </c>
      <c r="T32" s="34">
        <f t="shared" ref="T32:AF32" si="24">SUM(D98:D101)</f>
        <v>8</v>
      </c>
      <c r="U32" s="34">
        <f t="shared" si="24"/>
        <v>6</v>
      </c>
      <c r="V32" s="34">
        <f t="shared" si="24"/>
        <v>20</v>
      </c>
      <c r="W32" s="34">
        <f t="shared" si="24"/>
        <v>1</v>
      </c>
      <c r="X32" s="34">
        <f t="shared" si="24"/>
        <v>0</v>
      </c>
      <c r="Y32" s="34">
        <f t="shared" si="24"/>
        <v>1</v>
      </c>
      <c r="Z32" s="34">
        <f t="shared" si="24"/>
        <v>4</v>
      </c>
      <c r="AA32" s="34">
        <f t="shared" si="24"/>
        <v>1</v>
      </c>
      <c r="AB32" s="34">
        <f t="shared" si="24"/>
        <v>0</v>
      </c>
      <c r="AC32" s="34">
        <f t="shared" si="24"/>
        <v>53</v>
      </c>
      <c r="AD32" s="34">
        <f t="shared" si="24"/>
        <v>0</v>
      </c>
      <c r="AE32" s="31">
        <f t="shared" si="24"/>
        <v>82</v>
      </c>
      <c r="AF32" s="31">
        <f t="shared" si="24"/>
        <v>135</v>
      </c>
    </row>
    <row r="33" spans="2:32" ht="23.1" customHeight="1" x14ac:dyDescent="0.25">
      <c r="B33" s="45" t="s">
        <v>60</v>
      </c>
      <c r="C33" s="50">
        <v>19</v>
      </c>
      <c r="D33" s="50">
        <v>18</v>
      </c>
      <c r="E33" s="50">
        <v>12</v>
      </c>
      <c r="F33" s="50">
        <v>9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4</v>
      </c>
      <c r="M33" s="50">
        <v>115</v>
      </c>
      <c r="N33" s="50">
        <v>0</v>
      </c>
      <c r="O33" s="15">
        <f t="shared" si="0"/>
        <v>69</v>
      </c>
      <c r="P33" s="15">
        <f t="shared" si="1"/>
        <v>184</v>
      </c>
      <c r="R33" s="33" t="s">
        <v>157</v>
      </c>
      <c r="S33" s="34">
        <f>SUM(C102:C105)</f>
        <v>111</v>
      </c>
      <c r="T33" s="34">
        <f t="shared" ref="T33:AF33" si="25">SUM(D102:D105)</f>
        <v>52</v>
      </c>
      <c r="U33" s="34">
        <f t="shared" si="25"/>
        <v>21</v>
      </c>
      <c r="V33" s="34">
        <f t="shared" si="25"/>
        <v>49</v>
      </c>
      <c r="W33" s="34">
        <f t="shared" si="25"/>
        <v>1</v>
      </c>
      <c r="X33" s="34">
        <f t="shared" si="25"/>
        <v>0</v>
      </c>
      <c r="Y33" s="34">
        <f t="shared" si="25"/>
        <v>7</v>
      </c>
      <c r="Z33" s="34">
        <f t="shared" si="25"/>
        <v>1</v>
      </c>
      <c r="AA33" s="34">
        <f t="shared" si="25"/>
        <v>1</v>
      </c>
      <c r="AB33" s="34">
        <f t="shared" si="25"/>
        <v>2</v>
      </c>
      <c r="AC33" s="34">
        <f t="shared" si="25"/>
        <v>155</v>
      </c>
      <c r="AD33" s="34">
        <f t="shared" si="25"/>
        <v>0</v>
      </c>
      <c r="AE33" s="31">
        <f t="shared" si="25"/>
        <v>245</v>
      </c>
      <c r="AF33" s="31">
        <f t="shared" si="25"/>
        <v>400</v>
      </c>
    </row>
    <row r="34" spans="2:32" ht="23.1" customHeight="1" x14ac:dyDescent="0.25">
      <c r="B34" s="46" t="s">
        <v>61</v>
      </c>
      <c r="C34" s="50">
        <v>50</v>
      </c>
      <c r="D34" s="50">
        <v>17</v>
      </c>
      <c r="E34" s="50">
        <v>5</v>
      </c>
      <c r="F34" s="50">
        <v>18</v>
      </c>
      <c r="G34" s="50">
        <v>2</v>
      </c>
      <c r="H34" s="50">
        <v>0</v>
      </c>
      <c r="I34" s="50">
        <v>5</v>
      </c>
      <c r="J34" s="50">
        <v>0</v>
      </c>
      <c r="K34" s="50">
        <v>2</v>
      </c>
      <c r="L34" s="50">
        <v>0</v>
      </c>
      <c r="M34" s="50">
        <v>125</v>
      </c>
      <c r="N34" s="50">
        <v>0</v>
      </c>
      <c r="O34" s="15">
        <f t="shared" si="0"/>
        <v>99</v>
      </c>
      <c r="P34" s="15">
        <f t="shared" si="1"/>
        <v>224</v>
      </c>
      <c r="R34" s="38" t="s">
        <v>90</v>
      </c>
      <c r="S34" s="39">
        <f t="shared" ref="S34:AF34" si="26">MAX(S10:S12)</f>
        <v>145</v>
      </c>
      <c r="T34" s="39">
        <f t="shared" si="26"/>
        <v>76</v>
      </c>
      <c r="U34" s="39">
        <f t="shared" si="26"/>
        <v>21</v>
      </c>
      <c r="V34" s="39">
        <f t="shared" si="26"/>
        <v>118</v>
      </c>
      <c r="W34" s="39">
        <f t="shared" si="26"/>
        <v>1</v>
      </c>
      <c r="X34" s="39">
        <f t="shared" si="26"/>
        <v>0</v>
      </c>
      <c r="Y34" s="39">
        <f t="shared" si="26"/>
        <v>12</v>
      </c>
      <c r="Z34" s="39">
        <f t="shared" si="26"/>
        <v>6</v>
      </c>
      <c r="AA34" s="39">
        <f t="shared" si="26"/>
        <v>5</v>
      </c>
      <c r="AB34" s="39">
        <f t="shared" si="26"/>
        <v>7</v>
      </c>
      <c r="AC34" s="39">
        <f t="shared" si="26"/>
        <v>524</v>
      </c>
      <c r="AD34" s="39">
        <f t="shared" si="26"/>
        <v>0</v>
      </c>
      <c r="AE34" s="40">
        <f t="shared" si="26"/>
        <v>345</v>
      </c>
      <c r="AF34" s="40">
        <f t="shared" si="26"/>
        <v>831</v>
      </c>
    </row>
    <row r="35" spans="2:32" ht="23.1" customHeight="1" x14ac:dyDescent="0.25">
      <c r="B35" s="46" t="s">
        <v>62</v>
      </c>
      <c r="C35" s="50">
        <v>32</v>
      </c>
      <c r="D35" s="50">
        <v>20</v>
      </c>
      <c r="E35" s="50">
        <v>5</v>
      </c>
      <c r="F35" s="50">
        <v>15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1</v>
      </c>
      <c r="M35" s="50">
        <v>130</v>
      </c>
      <c r="N35" s="50">
        <v>0</v>
      </c>
      <c r="O35" s="15">
        <f t="shared" si="0"/>
        <v>79</v>
      </c>
      <c r="P35" s="15">
        <f t="shared" si="1"/>
        <v>209</v>
      </c>
      <c r="R35" s="38" t="s">
        <v>91</v>
      </c>
      <c r="S35" s="39">
        <f t="shared" ref="S35:AF35" si="27">MAX(S13:S18)</f>
        <v>185</v>
      </c>
      <c r="T35" s="39">
        <f t="shared" si="27"/>
        <v>83</v>
      </c>
      <c r="U35" s="39">
        <f t="shared" si="27"/>
        <v>43</v>
      </c>
      <c r="V35" s="39">
        <f t="shared" si="27"/>
        <v>71</v>
      </c>
      <c r="W35" s="39">
        <f t="shared" si="27"/>
        <v>4</v>
      </c>
      <c r="X35" s="39">
        <f t="shared" si="27"/>
        <v>0</v>
      </c>
      <c r="Y35" s="39">
        <f t="shared" si="27"/>
        <v>30</v>
      </c>
      <c r="Z35" s="39">
        <f t="shared" si="27"/>
        <v>10</v>
      </c>
      <c r="AA35" s="39">
        <f t="shared" si="27"/>
        <v>5</v>
      </c>
      <c r="AB35" s="39">
        <f t="shared" si="27"/>
        <v>16</v>
      </c>
      <c r="AC35" s="39">
        <f t="shared" si="27"/>
        <v>546</v>
      </c>
      <c r="AD35" s="39">
        <f t="shared" si="27"/>
        <v>0</v>
      </c>
      <c r="AE35" s="40">
        <f t="shared" si="27"/>
        <v>380</v>
      </c>
      <c r="AF35" s="40">
        <f t="shared" si="27"/>
        <v>897</v>
      </c>
    </row>
    <row r="36" spans="2:32" ht="23.1" customHeight="1" x14ac:dyDescent="0.25">
      <c r="B36" s="46" t="s">
        <v>63</v>
      </c>
      <c r="C36" s="50">
        <v>34</v>
      </c>
      <c r="D36" s="50">
        <v>14</v>
      </c>
      <c r="E36" s="50">
        <v>7</v>
      </c>
      <c r="F36" s="50">
        <v>17</v>
      </c>
      <c r="G36" s="50">
        <v>0</v>
      </c>
      <c r="H36" s="50">
        <v>0</v>
      </c>
      <c r="I36" s="50">
        <v>3</v>
      </c>
      <c r="J36" s="50">
        <v>1</v>
      </c>
      <c r="K36" s="50">
        <v>2</v>
      </c>
      <c r="L36" s="50">
        <v>2</v>
      </c>
      <c r="M36" s="50">
        <v>110</v>
      </c>
      <c r="N36" s="50">
        <v>0</v>
      </c>
      <c r="O36" s="15">
        <f t="shared" si="0"/>
        <v>80</v>
      </c>
      <c r="P36" s="15">
        <f t="shared" si="1"/>
        <v>190</v>
      </c>
      <c r="R36" s="38" t="s">
        <v>92</v>
      </c>
      <c r="S36" s="39">
        <f t="shared" ref="S36:AF36" si="28">MAX(S19:S21)</f>
        <v>371</v>
      </c>
      <c r="T36" s="39">
        <f t="shared" si="28"/>
        <v>141</v>
      </c>
      <c r="U36" s="39">
        <f t="shared" si="28"/>
        <v>49</v>
      </c>
      <c r="V36" s="39">
        <f t="shared" si="28"/>
        <v>82</v>
      </c>
      <c r="W36" s="39">
        <f t="shared" si="28"/>
        <v>4</v>
      </c>
      <c r="X36" s="39">
        <f t="shared" si="28"/>
        <v>0</v>
      </c>
      <c r="Y36" s="39">
        <f t="shared" si="28"/>
        <v>26</v>
      </c>
      <c r="Z36" s="39">
        <f t="shared" si="28"/>
        <v>8</v>
      </c>
      <c r="AA36" s="39">
        <f t="shared" si="28"/>
        <v>4</v>
      </c>
      <c r="AB36" s="39">
        <f t="shared" si="28"/>
        <v>14</v>
      </c>
      <c r="AC36" s="39">
        <f t="shared" si="28"/>
        <v>495</v>
      </c>
      <c r="AD36" s="39">
        <f t="shared" si="28"/>
        <v>0</v>
      </c>
      <c r="AE36" s="40">
        <f t="shared" si="28"/>
        <v>664</v>
      </c>
      <c r="AF36" s="40">
        <f t="shared" si="28"/>
        <v>1056</v>
      </c>
    </row>
    <row r="37" spans="2:32" ht="23.1" customHeight="1" x14ac:dyDescent="0.25">
      <c r="B37" s="45" t="s">
        <v>64</v>
      </c>
      <c r="C37" s="50">
        <v>63</v>
      </c>
      <c r="D37" s="50">
        <v>19</v>
      </c>
      <c r="E37" s="50">
        <v>5</v>
      </c>
      <c r="F37" s="50">
        <v>13</v>
      </c>
      <c r="G37" s="50">
        <v>1</v>
      </c>
      <c r="H37" s="50">
        <v>0</v>
      </c>
      <c r="I37" s="50">
        <v>10</v>
      </c>
      <c r="J37" s="50">
        <v>1</v>
      </c>
      <c r="K37" s="50">
        <v>0</v>
      </c>
      <c r="L37" s="50">
        <v>4</v>
      </c>
      <c r="M37" s="50">
        <v>132</v>
      </c>
      <c r="N37" s="50">
        <v>0</v>
      </c>
      <c r="O37" s="15">
        <f t="shared" si="0"/>
        <v>116</v>
      </c>
      <c r="P37" s="15">
        <f t="shared" si="1"/>
        <v>248</v>
      </c>
      <c r="R37" s="37" t="s">
        <v>85</v>
      </c>
      <c r="S37" s="35">
        <f t="shared" ref="S37:AF37" si="29">SUM(S10:S12)</f>
        <v>371</v>
      </c>
      <c r="T37" s="16">
        <f t="shared" si="29"/>
        <v>177</v>
      </c>
      <c r="U37" s="16">
        <f t="shared" si="29"/>
        <v>52</v>
      </c>
      <c r="V37" s="16">
        <f t="shared" si="29"/>
        <v>301</v>
      </c>
      <c r="W37" s="16">
        <f t="shared" si="29"/>
        <v>3</v>
      </c>
      <c r="X37" s="16">
        <f t="shared" si="29"/>
        <v>0</v>
      </c>
      <c r="Y37" s="16">
        <f t="shared" si="29"/>
        <v>28</v>
      </c>
      <c r="Z37" s="16">
        <f t="shared" si="29"/>
        <v>9</v>
      </c>
      <c r="AA37" s="16">
        <f t="shared" si="29"/>
        <v>8</v>
      </c>
      <c r="AB37" s="16">
        <f t="shared" si="29"/>
        <v>13</v>
      </c>
      <c r="AC37" s="16">
        <f t="shared" si="29"/>
        <v>1359</v>
      </c>
      <c r="AD37" s="16">
        <f t="shared" si="29"/>
        <v>0</v>
      </c>
      <c r="AE37" s="32">
        <f t="shared" si="29"/>
        <v>962</v>
      </c>
      <c r="AF37" s="32">
        <f t="shared" si="29"/>
        <v>2321</v>
      </c>
    </row>
    <row r="38" spans="2:32" ht="23.1" customHeight="1" x14ac:dyDescent="0.25">
      <c r="B38" s="46" t="s">
        <v>65</v>
      </c>
      <c r="C38" s="50">
        <v>21</v>
      </c>
      <c r="D38" s="50">
        <v>15</v>
      </c>
      <c r="E38" s="50">
        <v>5</v>
      </c>
      <c r="F38" s="50">
        <v>10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85</v>
      </c>
      <c r="N38" s="50">
        <v>0</v>
      </c>
      <c r="O38" s="15">
        <f t="shared" si="0"/>
        <v>54</v>
      </c>
      <c r="P38" s="15">
        <f t="shared" si="1"/>
        <v>139</v>
      </c>
      <c r="R38" s="28" t="s">
        <v>86</v>
      </c>
      <c r="S38" s="16">
        <f t="shared" ref="S38:AF38" si="30">SUM(S13:S18)</f>
        <v>919</v>
      </c>
      <c r="T38" s="16">
        <f t="shared" si="30"/>
        <v>411</v>
      </c>
      <c r="U38" s="16">
        <f t="shared" si="30"/>
        <v>177</v>
      </c>
      <c r="V38" s="16">
        <f t="shared" si="30"/>
        <v>365</v>
      </c>
      <c r="W38" s="16">
        <f t="shared" si="30"/>
        <v>11</v>
      </c>
      <c r="X38" s="16">
        <f t="shared" si="30"/>
        <v>0</v>
      </c>
      <c r="Y38" s="16">
        <f t="shared" si="30"/>
        <v>137</v>
      </c>
      <c r="Z38" s="16">
        <f t="shared" si="30"/>
        <v>30</v>
      </c>
      <c r="AA38" s="16">
        <f t="shared" si="30"/>
        <v>17</v>
      </c>
      <c r="AB38" s="16">
        <f t="shared" si="30"/>
        <v>46</v>
      </c>
      <c r="AC38" s="16">
        <f t="shared" si="30"/>
        <v>2845</v>
      </c>
      <c r="AD38" s="16">
        <f t="shared" si="30"/>
        <v>0</v>
      </c>
      <c r="AE38" s="32">
        <f t="shared" si="30"/>
        <v>2113</v>
      </c>
      <c r="AF38" s="32">
        <f t="shared" si="30"/>
        <v>4958</v>
      </c>
    </row>
    <row r="39" spans="2:32" ht="23.1" customHeight="1" x14ac:dyDescent="0.25">
      <c r="B39" s="46" t="s">
        <v>66</v>
      </c>
      <c r="C39" s="50">
        <v>28</v>
      </c>
      <c r="D39" s="50">
        <v>18</v>
      </c>
      <c r="E39" s="50">
        <v>7</v>
      </c>
      <c r="F39" s="50">
        <v>14</v>
      </c>
      <c r="G39" s="50">
        <v>0</v>
      </c>
      <c r="H39" s="50">
        <v>0</v>
      </c>
      <c r="I39" s="50">
        <v>1</v>
      </c>
      <c r="J39" s="50">
        <v>4</v>
      </c>
      <c r="K39" s="50">
        <v>1</v>
      </c>
      <c r="L39" s="50">
        <v>0</v>
      </c>
      <c r="M39" s="50">
        <v>115</v>
      </c>
      <c r="N39" s="50">
        <v>0</v>
      </c>
      <c r="O39" s="15">
        <f t="shared" si="0"/>
        <v>73</v>
      </c>
      <c r="P39" s="15">
        <f t="shared" si="1"/>
        <v>188</v>
      </c>
      <c r="R39" s="29" t="s">
        <v>87</v>
      </c>
      <c r="S39" s="16">
        <f t="shared" ref="S39:AF39" si="31">SUM(S19:S21)</f>
        <v>905</v>
      </c>
      <c r="T39" s="16">
        <f t="shared" si="31"/>
        <v>337</v>
      </c>
      <c r="U39" s="16">
        <f t="shared" si="31"/>
        <v>127</v>
      </c>
      <c r="V39" s="16">
        <f t="shared" si="31"/>
        <v>201</v>
      </c>
      <c r="W39" s="16">
        <f t="shared" si="31"/>
        <v>4</v>
      </c>
      <c r="X39" s="16">
        <f t="shared" si="31"/>
        <v>0</v>
      </c>
      <c r="Y39" s="16">
        <f t="shared" si="31"/>
        <v>55</v>
      </c>
      <c r="Z39" s="16">
        <f t="shared" si="31"/>
        <v>21</v>
      </c>
      <c r="AA39" s="16">
        <f t="shared" si="31"/>
        <v>10</v>
      </c>
      <c r="AB39" s="16">
        <f t="shared" si="31"/>
        <v>34</v>
      </c>
      <c r="AC39" s="16">
        <f t="shared" si="31"/>
        <v>1142</v>
      </c>
      <c r="AD39" s="16">
        <f t="shared" si="31"/>
        <v>0</v>
      </c>
      <c r="AE39" s="32">
        <f t="shared" si="31"/>
        <v>1694</v>
      </c>
      <c r="AF39" s="32">
        <f t="shared" si="31"/>
        <v>2836</v>
      </c>
    </row>
    <row r="40" spans="2:32" ht="23.1" customHeight="1" x14ac:dyDescent="0.25">
      <c r="B40" s="46" t="s">
        <v>67</v>
      </c>
      <c r="C40" s="50">
        <v>45</v>
      </c>
      <c r="D40" s="50">
        <v>12</v>
      </c>
      <c r="E40" s="50">
        <v>9</v>
      </c>
      <c r="F40" s="50">
        <v>9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2</v>
      </c>
      <c r="M40" s="50">
        <v>125</v>
      </c>
      <c r="N40" s="50">
        <v>0</v>
      </c>
      <c r="O40" s="15">
        <f t="shared" si="0"/>
        <v>81</v>
      </c>
      <c r="P40" s="15">
        <f t="shared" si="1"/>
        <v>206</v>
      </c>
      <c r="R40" s="5" t="s">
        <v>17</v>
      </c>
      <c r="S40" s="16">
        <f t="shared" ref="S40:AF40" si="32">SUM(S10:S21)</f>
        <v>2195</v>
      </c>
      <c r="T40" s="16">
        <f t="shared" si="32"/>
        <v>925</v>
      </c>
      <c r="U40" s="16">
        <f t="shared" si="32"/>
        <v>356</v>
      </c>
      <c r="V40" s="16">
        <f t="shared" si="32"/>
        <v>867</v>
      </c>
      <c r="W40" s="16">
        <f t="shared" si="32"/>
        <v>18</v>
      </c>
      <c r="X40" s="16">
        <f t="shared" si="32"/>
        <v>0</v>
      </c>
      <c r="Y40" s="16">
        <f t="shared" si="32"/>
        <v>220</v>
      </c>
      <c r="Z40" s="16">
        <f t="shared" si="32"/>
        <v>60</v>
      </c>
      <c r="AA40" s="16">
        <f t="shared" si="32"/>
        <v>35</v>
      </c>
      <c r="AB40" s="16">
        <f t="shared" si="32"/>
        <v>93</v>
      </c>
      <c r="AC40" s="16">
        <f t="shared" si="32"/>
        <v>5346</v>
      </c>
      <c r="AD40" s="16">
        <f t="shared" si="32"/>
        <v>0</v>
      </c>
      <c r="AE40" s="32">
        <f t="shared" si="32"/>
        <v>4769</v>
      </c>
      <c r="AF40" s="32">
        <f t="shared" si="32"/>
        <v>10115</v>
      </c>
    </row>
    <row r="41" spans="2:32" ht="23.1" customHeight="1" x14ac:dyDescent="0.25">
      <c r="B41" s="45" t="s">
        <v>68</v>
      </c>
      <c r="C41" s="50">
        <v>52</v>
      </c>
      <c r="D41" s="50">
        <v>16</v>
      </c>
      <c r="E41" s="50">
        <v>9</v>
      </c>
      <c r="F41" s="50">
        <v>22</v>
      </c>
      <c r="G41" s="50">
        <v>2</v>
      </c>
      <c r="H41" s="50">
        <v>0</v>
      </c>
      <c r="I41" s="50">
        <v>8</v>
      </c>
      <c r="J41" s="50">
        <v>4</v>
      </c>
      <c r="K41" s="50">
        <v>1</v>
      </c>
      <c r="L41" s="50">
        <v>2</v>
      </c>
      <c r="M41" s="50">
        <v>140</v>
      </c>
      <c r="N41" s="50">
        <v>0</v>
      </c>
      <c r="O41" s="15">
        <f t="shared" si="0"/>
        <v>116</v>
      </c>
      <c r="P41" s="15">
        <f t="shared" si="1"/>
        <v>256</v>
      </c>
      <c r="R41" s="5" t="s">
        <v>159</v>
      </c>
      <c r="S41" s="16">
        <f>SUM(S10:S33)</f>
        <v>3398</v>
      </c>
      <c r="T41" s="16">
        <f t="shared" ref="T41:AF41" si="33">SUM(T10:T33)</f>
        <v>1385</v>
      </c>
      <c r="U41" s="16">
        <f t="shared" si="33"/>
        <v>512</v>
      </c>
      <c r="V41" s="16">
        <f t="shared" si="33"/>
        <v>1194</v>
      </c>
      <c r="W41" s="16">
        <f t="shared" si="33"/>
        <v>22</v>
      </c>
      <c r="X41" s="16">
        <f t="shared" si="33"/>
        <v>0</v>
      </c>
      <c r="Y41" s="16">
        <f t="shared" si="33"/>
        <v>250</v>
      </c>
      <c r="Z41" s="16">
        <f t="shared" si="33"/>
        <v>87</v>
      </c>
      <c r="AA41" s="16">
        <f t="shared" si="33"/>
        <v>45</v>
      </c>
      <c r="AB41" s="16">
        <f t="shared" si="33"/>
        <v>104</v>
      </c>
      <c r="AC41" s="16">
        <f t="shared" si="33"/>
        <v>6710</v>
      </c>
      <c r="AD41" s="16">
        <f t="shared" si="33"/>
        <v>0</v>
      </c>
      <c r="AE41" s="32">
        <f t="shared" si="33"/>
        <v>6997</v>
      </c>
      <c r="AF41" s="32">
        <f t="shared" si="33"/>
        <v>13707</v>
      </c>
    </row>
    <row r="42" spans="2:32" ht="23.1" customHeight="1" x14ac:dyDescent="0.25">
      <c r="B42" s="46" t="s">
        <v>69</v>
      </c>
      <c r="C42" s="50">
        <v>64</v>
      </c>
      <c r="D42" s="50">
        <v>12</v>
      </c>
      <c r="E42" s="50">
        <v>5</v>
      </c>
      <c r="F42" s="50">
        <v>11</v>
      </c>
      <c r="G42" s="50">
        <v>0</v>
      </c>
      <c r="H42" s="50">
        <v>0</v>
      </c>
      <c r="I42" s="50">
        <v>6</v>
      </c>
      <c r="J42" s="50">
        <v>1</v>
      </c>
      <c r="K42" s="50">
        <v>0</v>
      </c>
      <c r="L42" s="50">
        <v>1</v>
      </c>
      <c r="M42" s="50">
        <v>100</v>
      </c>
      <c r="N42" s="50">
        <v>0</v>
      </c>
      <c r="O42" s="15">
        <f t="shared" si="0"/>
        <v>100</v>
      </c>
      <c r="P42" s="15">
        <f t="shared" si="1"/>
        <v>200</v>
      </c>
      <c r="R42" s="5" t="s">
        <v>160</v>
      </c>
      <c r="S42" s="48">
        <f>S41/S40</f>
        <v>1.5480637813211846</v>
      </c>
      <c r="T42" s="48">
        <f t="shared" ref="T42:AF42" si="34">T41/T40</f>
        <v>1.4972972972972973</v>
      </c>
      <c r="U42" s="48">
        <f t="shared" si="34"/>
        <v>1.4382022471910112</v>
      </c>
      <c r="V42" s="48">
        <f t="shared" si="34"/>
        <v>1.3771626297577855</v>
      </c>
      <c r="W42" s="48">
        <f t="shared" si="34"/>
        <v>1.2222222222222223</v>
      </c>
      <c r="X42" s="48" t="e">
        <f t="shared" si="34"/>
        <v>#DIV/0!</v>
      </c>
      <c r="Y42" s="48">
        <f t="shared" si="34"/>
        <v>1.1363636363636365</v>
      </c>
      <c r="Z42" s="48">
        <f t="shared" si="34"/>
        <v>1.45</v>
      </c>
      <c r="AA42" s="48">
        <f t="shared" si="34"/>
        <v>1.2857142857142858</v>
      </c>
      <c r="AB42" s="48">
        <f t="shared" si="34"/>
        <v>1.118279569892473</v>
      </c>
      <c r="AC42" s="48">
        <f t="shared" si="34"/>
        <v>1.2551440329218106</v>
      </c>
      <c r="AD42" s="48" t="e">
        <f t="shared" si="34"/>
        <v>#DIV/0!</v>
      </c>
      <c r="AE42" s="48">
        <f t="shared" si="34"/>
        <v>1.4671838959949675</v>
      </c>
      <c r="AF42" s="48">
        <f t="shared" si="34"/>
        <v>1.3551161641127039</v>
      </c>
    </row>
    <row r="43" spans="2:32" ht="23.1" customHeight="1" x14ac:dyDescent="0.25">
      <c r="B43" s="45" t="s">
        <v>70</v>
      </c>
      <c r="C43" s="50">
        <v>31</v>
      </c>
      <c r="D43" s="50">
        <v>11</v>
      </c>
      <c r="E43" s="50">
        <v>1</v>
      </c>
      <c r="F43" s="50">
        <v>11</v>
      </c>
      <c r="G43" s="50">
        <v>0</v>
      </c>
      <c r="H43" s="50">
        <v>0</v>
      </c>
      <c r="I43" s="50">
        <v>6</v>
      </c>
      <c r="J43" s="50">
        <v>1</v>
      </c>
      <c r="K43" s="50">
        <v>0</v>
      </c>
      <c r="L43" s="50">
        <v>0</v>
      </c>
      <c r="M43" s="50">
        <v>75</v>
      </c>
      <c r="N43" s="50">
        <v>0</v>
      </c>
      <c r="O43" s="15">
        <f t="shared" si="0"/>
        <v>61</v>
      </c>
      <c r="P43" s="15">
        <f t="shared" si="1"/>
        <v>136</v>
      </c>
    </row>
    <row r="44" spans="2:32" ht="23.1" customHeight="1" x14ac:dyDescent="0.25">
      <c r="B44" s="47" t="s">
        <v>71</v>
      </c>
      <c r="C44" s="50">
        <v>38</v>
      </c>
      <c r="D44" s="50">
        <v>20</v>
      </c>
      <c r="E44" s="50">
        <v>9</v>
      </c>
      <c r="F44" s="50">
        <v>12</v>
      </c>
      <c r="G44" s="50">
        <v>3</v>
      </c>
      <c r="H44" s="50">
        <v>0</v>
      </c>
      <c r="I44" s="50">
        <v>9</v>
      </c>
      <c r="J44" s="50">
        <v>1</v>
      </c>
      <c r="K44" s="50">
        <v>1</v>
      </c>
      <c r="L44" s="50">
        <v>0</v>
      </c>
      <c r="M44" s="50">
        <v>125</v>
      </c>
      <c r="N44" s="50">
        <v>0</v>
      </c>
      <c r="O44" s="15">
        <f t="shared" si="0"/>
        <v>93</v>
      </c>
      <c r="P44" s="15">
        <f t="shared" si="1"/>
        <v>218</v>
      </c>
    </row>
    <row r="45" spans="2:32" ht="23.1" customHeight="1" x14ac:dyDescent="0.25">
      <c r="B45" s="45" t="s">
        <v>72</v>
      </c>
      <c r="C45" s="50">
        <v>52</v>
      </c>
      <c r="D45" s="50">
        <v>18</v>
      </c>
      <c r="E45" s="50">
        <v>1</v>
      </c>
      <c r="F45" s="50">
        <v>15</v>
      </c>
      <c r="G45" s="50">
        <v>1</v>
      </c>
      <c r="H45" s="50">
        <v>0</v>
      </c>
      <c r="I45" s="50">
        <v>4</v>
      </c>
      <c r="J45" s="50">
        <v>0</v>
      </c>
      <c r="K45" s="50">
        <v>1</v>
      </c>
      <c r="L45" s="50">
        <v>0</v>
      </c>
      <c r="M45" s="50">
        <v>105</v>
      </c>
      <c r="N45" s="50">
        <v>0</v>
      </c>
      <c r="O45" s="15">
        <f t="shared" si="0"/>
        <v>92</v>
      </c>
      <c r="P45" s="15">
        <f t="shared" si="1"/>
        <v>197</v>
      </c>
    </row>
    <row r="46" spans="2:32" ht="23.1" customHeight="1" x14ac:dyDescent="0.25">
      <c r="B46" s="46" t="s">
        <v>73</v>
      </c>
      <c r="C46" s="50">
        <v>75</v>
      </c>
      <c r="D46" s="50">
        <v>22</v>
      </c>
      <c r="E46" s="50">
        <v>3</v>
      </c>
      <c r="F46" s="50">
        <v>26</v>
      </c>
      <c r="G46" s="50">
        <v>0</v>
      </c>
      <c r="H46" s="50">
        <v>0</v>
      </c>
      <c r="I46" s="50">
        <v>2</v>
      </c>
      <c r="J46" s="50">
        <v>2</v>
      </c>
      <c r="K46" s="50">
        <v>1</v>
      </c>
      <c r="L46" s="50">
        <v>1</v>
      </c>
      <c r="M46" s="50">
        <v>135</v>
      </c>
      <c r="N46" s="50">
        <v>0</v>
      </c>
      <c r="O46" s="15">
        <f t="shared" si="0"/>
        <v>132</v>
      </c>
      <c r="P46" s="15">
        <f t="shared" si="1"/>
        <v>267</v>
      </c>
      <c r="R46" s="8"/>
      <c r="T46"/>
    </row>
    <row r="47" spans="2:32" ht="23.1" customHeight="1" x14ac:dyDescent="0.25">
      <c r="B47" s="46" t="s">
        <v>74</v>
      </c>
      <c r="C47" s="50">
        <v>56</v>
      </c>
      <c r="D47" s="50">
        <v>26</v>
      </c>
      <c r="E47" s="50">
        <v>12</v>
      </c>
      <c r="F47" s="50">
        <v>13</v>
      </c>
      <c r="G47" s="50">
        <v>0</v>
      </c>
      <c r="H47" s="50">
        <v>0</v>
      </c>
      <c r="I47" s="50">
        <v>6</v>
      </c>
      <c r="J47" s="50">
        <v>1</v>
      </c>
      <c r="K47" s="50">
        <v>1</v>
      </c>
      <c r="L47" s="50">
        <v>3</v>
      </c>
      <c r="M47" s="50">
        <v>110</v>
      </c>
      <c r="N47" s="50">
        <v>0</v>
      </c>
      <c r="O47" s="15">
        <f t="shared" si="0"/>
        <v>118</v>
      </c>
      <c r="P47" s="15">
        <f t="shared" si="1"/>
        <v>228</v>
      </c>
      <c r="R47" s="8"/>
      <c r="T47"/>
    </row>
    <row r="48" spans="2:32" ht="23.1" customHeight="1" x14ac:dyDescent="0.25">
      <c r="B48" s="46" t="s">
        <v>75</v>
      </c>
      <c r="C48" s="50">
        <v>50</v>
      </c>
      <c r="D48" s="50">
        <v>29</v>
      </c>
      <c r="E48" s="50">
        <v>8</v>
      </c>
      <c r="F48" s="50">
        <v>15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2</v>
      </c>
      <c r="M48" s="50">
        <v>100</v>
      </c>
      <c r="N48" s="50">
        <v>0</v>
      </c>
      <c r="O48" s="15">
        <f t="shared" si="0"/>
        <v>107</v>
      </c>
      <c r="P48" s="15">
        <f t="shared" si="1"/>
        <v>207</v>
      </c>
      <c r="R48" s="8"/>
      <c r="T48"/>
    </row>
    <row r="49" spans="2:20" ht="23.1" customHeight="1" x14ac:dyDescent="0.25">
      <c r="B49" s="45" t="s">
        <v>76</v>
      </c>
      <c r="C49" s="50">
        <v>72</v>
      </c>
      <c r="D49" s="50">
        <v>19</v>
      </c>
      <c r="E49" s="50">
        <v>9</v>
      </c>
      <c r="F49" s="50">
        <v>12</v>
      </c>
      <c r="G49" s="50">
        <v>0</v>
      </c>
      <c r="H49" s="50">
        <v>0</v>
      </c>
      <c r="I49" s="50">
        <v>6</v>
      </c>
      <c r="J49" s="50">
        <v>4</v>
      </c>
      <c r="K49" s="50">
        <v>1</v>
      </c>
      <c r="L49" s="50">
        <v>5</v>
      </c>
      <c r="M49" s="50">
        <v>150</v>
      </c>
      <c r="N49" s="50">
        <v>0</v>
      </c>
      <c r="O49" s="15">
        <f t="shared" si="0"/>
        <v>128</v>
      </c>
      <c r="P49" s="15">
        <f t="shared" si="1"/>
        <v>278</v>
      </c>
      <c r="R49" s="8"/>
      <c r="T49"/>
    </row>
    <row r="50" spans="2:20" ht="23.1" customHeight="1" x14ac:dyDescent="0.25">
      <c r="B50" s="46" t="s">
        <v>77</v>
      </c>
      <c r="C50" s="50">
        <v>95</v>
      </c>
      <c r="D50" s="50">
        <v>35</v>
      </c>
      <c r="E50" s="50">
        <v>10</v>
      </c>
      <c r="F50" s="50">
        <v>15</v>
      </c>
      <c r="G50" s="50">
        <v>1</v>
      </c>
      <c r="H50" s="50">
        <v>0</v>
      </c>
      <c r="I50" s="50">
        <v>8</v>
      </c>
      <c r="J50" s="50">
        <v>0</v>
      </c>
      <c r="K50" s="50">
        <v>1</v>
      </c>
      <c r="L50" s="50">
        <v>4</v>
      </c>
      <c r="M50" s="50">
        <v>130</v>
      </c>
      <c r="N50" s="50">
        <v>0</v>
      </c>
      <c r="O50" s="15">
        <f t="shared" si="0"/>
        <v>169</v>
      </c>
      <c r="P50" s="15">
        <f t="shared" si="1"/>
        <v>299</v>
      </c>
      <c r="R50" s="8"/>
      <c r="T50"/>
    </row>
    <row r="51" spans="2:20" ht="23.1" customHeight="1" x14ac:dyDescent="0.25">
      <c r="B51" s="46" t="s">
        <v>78</v>
      </c>
      <c r="C51" s="50">
        <v>95</v>
      </c>
      <c r="D51" s="50">
        <v>40</v>
      </c>
      <c r="E51" s="50">
        <v>10</v>
      </c>
      <c r="F51" s="50">
        <v>9</v>
      </c>
      <c r="G51" s="50">
        <v>0</v>
      </c>
      <c r="H51" s="50">
        <v>0</v>
      </c>
      <c r="I51" s="50">
        <v>6</v>
      </c>
      <c r="J51" s="50">
        <v>0</v>
      </c>
      <c r="K51" s="50">
        <v>1</v>
      </c>
      <c r="L51" s="50">
        <v>4</v>
      </c>
      <c r="M51" s="50">
        <v>127</v>
      </c>
      <c r="N51" s="50">
        <v>0</v>
      </c>
      <c r="O51" s="15">
        <f t="shared" si="0"/>
        <v>165</v>
      </c>
      <c r="P51" s="15">
        <f t="shared" si="1"/>
        <v>292</v>
      </c>
      <c r="R51" s="8"/>
      <c r="T51"/>
    </row>
    <row r="52" spans="2:20" ht="23.1" customHeight="1" x14ac:dyDescent="0.25">
      <c r="B52" s="46" t="s">
        <v>79</v>
      </c>
      <c r="C52" s="50">
        <v>91</v>
      </c>
      <c r="D52" s="50">
        <v>28</v>
      </c>
      <c r="E52" s="50">
        <v>14</v>
      </c>
      <c r="F52" s="50">
        <v>16</v>
      </c>
      <c r="G52" s="50">
        <v>1</v>
      </c>
      <c r="H52" s="50">
        <v>0</v>
      </c>
      <c r="I52" s="50">
        <v>7</v>
      </c>
      <c r="J52" s="50">
        <v>3</v>
      </c>
      <c r="K52" s="50">
        <v>2</v>
      </c>
      <c r="L52" s="50">
        <v>4</v>
      </c>
      <c r="M52" s="50">
        <v>80</v>
      </c>
      <c r="N52" s="50">
        <v>0</v>
      </c>
      <c r="O52" s="15">
        <f t="shared" si="0"/>
        <v>166</v>
      </c>
      <c r="P52" s="15">
        <f t="shared" si="1"/>
        <v>246</v>
      </c>
      <c r="R52" s="8"/>
      <c r="T52"/>
    </row>
    <row r="53" spans="2:20" ht="23.1" customHeight="1" x14ac:dyDescent="0.25">
      <c r="B53" s="45" t="s">
        <v>80</v>
      </c>
      <c r="C53" s="50">
        <v>90</v>
      </c>
      <c r="D53" s="50">
        <v>38</v>
      </c>
      <c r="E53" s="50">
        <v>12</v>
      </c>
      <c r="F53" s="50">
        <v>13</v>
      </c>
      <c r="G53" s="50">
        <v>2</v>
      </c>
      <c r="H53" s="50">
        <v>0</v>
      </c>
      <c r="I53" s="50">
        <v>5</v>
      </c>
      <c r="J53" s="50">
        <v>2</v>
      </c>
      <c r="K53" s="50">
        <v>0</v>
      </c>
      <c r="L53" s="50">
        <v>2</v>
      </c>
      <c r="M53" s="50">
        <v>55</v>
      </c>
      <c r="N53" s="50">
        <v>0</v>
      </c>
      <c r="O53" s="15">
        <f t="shared" si="0"/>
        <v>164</v>
      </c>
      <c r="P53" s="15">
        <f t="shared" si="1"/>
        <v>219</v>
      </c>
      <c r="R53" s="8"/>
      <c r="T53"/>
    </row>
    <row r="54" spans="2:20" ht="23.1" customHeight="1" x14ac:dyDescent="0.25">
      <c r="B54" s="45" t="s">
        <v>81</v>
      </c>
      <c r="C54" s="50">
        <v>110</v>
      </c>
      <c r="D54" s="50">
        <v>31</v>
      </c>
      <c r="E54" s="50">
        <v>10</v>
      </c>
      <c r="F54" s="50">
        <v>16</v>
      </c>
      <c r="G54" s="50">
        <v>0</v>
      </c>
      <c r="H54" s="50">
        <v>0</v>
      </c>
      <c r="I54" s="50">
        <v>4</v>
      </c>
      <c r="J54" s="50">
        <v>2</v>
      </c>
      <c r="K54" s="50">
        <v>3</v>
      </c>
      <c r="L54" s="50">
        <v>5</v>
      </c>
      <c r="M54" s="50">
        <v>60</v>
      </c>
      <c r="N54" s="50">
        <v>0</v>
      </c>
      <c r="O54" s="15">
        <f t="shared" si="0"/>
        <v>181</v>
      </c>
      <c r="P54" s="15">
        <f t="shared" si="1"/>
        <v>241</v>
      </c>
      <c r="R54" s="8"/>
      <c r="T54"/>
    </row>
    <row r="55" spans="2:20" ht="23.1" customHeight="1" x14ac:dyDescent="0.25">
      <c r="B55" s="45" t="s">
        <v>82</v>
      </c>
      <c r="C55" s="50">
        <v>76</v>
      </c>
      <c r="D55" s="50">
        <v>29</v>
      </c>
      <c r="E55" s="50">
        <v>9</v>
      </c>
      <c r="F55" s="50">
        <v>11</v>
      </c>
      <c r="G55" s="50">
        <v>0</v>
      </c>
      <c r="H55" s="50">
        <v>0</v>
      </c>
      <c r="I55" s="50">
        <v>6</v>
      </c>
      <c r="J55" s="50">
        <v>1</v>
      </c>
      <c r="K55" s="50">
        <v>0</v>
      </c>
      <c r="L55" s="50">
        <v>1</v>
      </c>
      <c r="M55" s="50">
        <v>50</v>
      </c>
      <c r="N55" s="50">
        <v>0</v>
      </c>
      <c r="O55" s="15">
        <f t="shared" si="0"/>
        <v>133</v>
      </c>
      <c r="P55" s="15">
        <f t="shared" si="1"/>
        <v>183</v>
      </c>
      <c r="R55" s="8"/>
      <c r="T55"/>
    </row>
    <row r="56" spans="2:20" ht="23.1" customHeight="1" x14ac:dyDescent="0.25">
      <c r="B56" s="45" t="s">
        <v>83</v>
      </c>
      <c r="C56" s="50">
        <v>50</v>
      </c>
      <c r="D56" s="50">
        <v>25</v>
      </c>
      <c r="E56" s="50">
        <v>10</v>
      </c>
      <c r="F56" s="50">
        <v>19</v>
      </c>
      <c r="G56" s="50">
        <v>0</v>
      </c>
      <c r="H56" s="50">
        <v>0</v>
      </c>
      <c r="I56" s="50">
        <v>2</v>
      </c>
      <c r="J56" s="50">
        <v>3</v>
      </c>
      <c r="K56" s="50">
        <v>0</v>
      </c>
      <c r="L56" s="50">
        <v>3</v>
      </c>
      <c r="M56" s="50">
        <v>70</v>
      </c>
      <c r="N56" s="50">
        <v>0</v>
      </c>
      <c r="O56" s="15">
        <f t="shared" si="0"/>
        <v>112</v>
      </c>
      <c r="P56" s="15">
        <f t="shared" si="1"/>
        <v>182</v>
      </c>
      <c r="R56" s="8"/>
      <c r="T56"/>
    </row>
    <row r="57" spans="2:20" ht="23.1" customHeight="1" x14ac:dyDescent="0.25">
      <c r="B57" s="45" t="s">
        <v>84</v>
      </c>
      <c r="C57" s="50">
        <v>45</v>
      </c>
      <c r="D57" s="50">
        <v>15</v>
      </c>
      <c r="E57" s="50">
        <v>20</v>
      </c>
      <c r="F57" s="50">
        <v>36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119</v>
      </c>
      <c r="P57" s="15">
        <f t="shared" si="1"/>
        <v>194</v>
      </c>
      <c r="R57" s="8"/>
      <c r="T57"/>
    </row>
    <row r="58" spans="2:20" ht="23.1" customHeight="1" x14ac:dyDescent="0.25">
      <c r="B58" s="45" t="s">
        <v>99</v>
      </c>
      <c r="C58" s="50">
        <v>58</v>
      </c>
      <c r="D58" s="50">
        <v>15</v>
      </c>
      <c r="E58" s="50">
        <v>6</v>
      </c>
      <c r="F58" s="50">
        <v>23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55</v>
      </c>
      <c r="N58" s="50">
        <v>0</v>
      </c>
      <c r="O58" s="15">
        <f t="shared" si="0"/>
        <v>102</v>
      </c>
      <c r="P58" s="15">
        <f t="shared" si="1"/>
        <v>157</v>
      </c>
      <c r="R58" s="8"/>
      <c r="T58"/>
    </row>
    <row r="59" spans="2:20" ht="23.1" customHeight="1" x14ac:dyDescent="0.25">
      <c r="B59" s="45" t="s">
        <v>100</v>
      </c>
      <c r="C59" s="50">
        <v>50</v>
      </c>
      <c r="D59" s="50">
        <v>20</v>
      </c>
      <c r="E59" s="50">
        <v>6</v>
      </c>
      <c r="F59" s="50">
        <v>13</v>
      </c>
      <c r="G59" s="50">
        <v>0</v>
      </c>
      <c r="H59" s="50">
        <v>0</v>
      </c>
      <c r="I59" s="50">
        <v>2</v>
      </c>
      <c r="J59" s="50">
        <v>2</v>
      </c>
      <c r="K59" s="50">
        <v>2</v>
      </c>
      <c r="L59" s="50">
        <v>1</v>
      </c>
      <c r="M59" s="50">
        <v>50</v>
      </c>
      <c r="N59" s="50">
        <v>0</v>
      </c>
      <c r="O59" s="15">
        <f t="shared" si="0"/>
        <v>96</v>
      </c>
      <c r="P59" s="15">
        <f t="shared" si="1"/>
        <v>146</v>
      </c>
      <c r="R59" s="8"/>
      <c r="T59"/>
    </row>
    <row r="60" spans="2:20" ht="23.1" customHeight="1" x14ac:dyDescent="0.25">
      <c r="B60" s="45" t="s">
        <v>101</v>
      </c>
      <c r="C60" s="50">
        <v>45</v>
      </c>
      <c r="D60" s="50">
        <v>20</v>
      </c>
      <c r="E60" s="50">
        <v>12</v>
      </c>
      <c r="F60" s="50">
        <v>20</v>
      </c>
      <c r="G60" s="50">
        <v>0</v>
      </c>
      <c r="H60" s="50">
        <v>0</v>
      </c>
      <c r="I60" s="50">
        <v>0</v>
      </c>
      <c r="J60" s="50">
        <v>4</v>
      </c>
      <c r="K60" s="50">
        <v>2</v>
      </c>
      <c r="L60" s="50">
        <v>1</v>
      </c>
      <c r="M60" s="50">
        <v>80</v>
      </c>
      <c r="N60" s="50">
        <v>0</v>
      </c>
      <c r="O60" s="15">
        <f t="shared" si="0"/>
        <v>104</v>
      </c>
      <c r="P60" s="15">
        <f t="shared" si="1"/>
        <v>184</v>
      </c>
      <c r="R60" s="8"/>
      <c r="T60"/>
    </row>
    <row r="61" spans="2:20" ht="23.1" customHeight="1" x14ac:dyDescent="0.25">
      <c r="B61" s="45" t="s">
        <v>102</v>
      </c>
      <c r="C61" s="50">
        <v>60</v>
      </c>
      <c r="D61" s="50">
        <v>18</v>
      </c>
      <c r="E61" s="50">
        <v>10</v>
      </c>
      <c r="F61" s="50">
        <v>30</v>
      </c>
      <c r="G61" s="50">
        <v>0</v>
      </c>
      <c r="H61" s="50">
        <v>0</v>
      </c>
      <c r="I61" s="50">
        <v>0</v>
      </c>
      <c r="J61" s="50">
        <v>11</v>
      </c>
      <c r="K61" s="50">
        <v>0</v>
      </c>
      <c r="L61" s="50">
        <v>0</v>
      </c>
      <c r="M61" s="50">
        <v>55</v>
      </c>
      <c r="N61" s="50">
        <v>0</v>
      </c>
      <c r="O61" s="15">
        <f t="shared" si="0"/>
        <v>129</v>
      </c>
      <c r="P61" s="15">
        <f t="shared" si="1"/>
        <v>184</v>
      </c>
      <c r="R61" s="8"/>
      <c r="T61"/>
    </row>
    <row r="62" spans="2:20" ht="23.1" customHeight="1" x14ac:dyDescent="0.25">
      <c r="B62" s="45" t="s">
        <v>107</v>
      </c>
      <c r="C62" s="50">
        <v>45</v>
      </c>
      <c r="D62" s="50">
        <v>18</v>
      </c>
      <c r="E62" s="50">
        <v>2</v>
      </c>
      <c r="F62" s="50">
        <v>18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100</v>
      </c>
      <c r="N62" s="50">
        <v>0</v>
      </c>
      <c r="O62" s="15">
        <f t="shared" si="0"/>
        <v>84</v>
      </c>
      <c r="P62" s="15">
        <f t="shared" si="1"/>
        <v>184</v>
      </c>
      <c r="R62" s="8"/>
      <c r="T62"/>
    </row>
    <row r="63" spans="2:20" ht="23.1" customHeight="1" x14ac:dyDescent="0.25">
      <c r="B63" s="45" t="s">
        <v>108</v>
      </c>
      <c r="C63" s="50">
        <v>63</v>
      </c>
      <c r="D63" s="50">
        <v>33</v>
      </c>
      <c r="E63" s="50">
        <v>2</v>
      </c>
      <c r="F63" s="50">
        <v>15</v>
      </c>
      <c r="G63" s="50">
        <v>0</v>
      </c>
      <c r="H63" s="50">
        <v>0</v>
      </c>
      <c r="I63" s="50">
        <v>2</v>
      </c>
      <c r="J63" s="50">
        <v>0</v>
      </c>
      <c r="K63" s="50">
        <v>1</v>
      </c>
      <c r="L63" s="50">
        <v>2</v>
      </c>
      <c r="M63" s="50">
        <v>85</v>
      </c>
      <c r="N63" s="50">
        <v>0</v>
      </c>
      <c r="O63" s="15">
        <f t="shared" si="0"/>
        <v>118</v>
      </c>
      <c r="P63" s="15">
        <f t="shared" si="1"/>
        <v>203</v>
      </c>
      <c r="R63" s="8"/>
      <c r="T63"/>
    </row>
    <row r="64" spans="2:20" ht="23.1" customHeight="1" x14ac:dyDescent="0.25">
      <c r="B64" s="45" t="s">
        <v>109</v>
      </c>
      <c r="C64" s="50">
        <v>67</v>
      </c>
      <c r="D64" s="50">
        <v>49</v>
      </c>
      <c r="E64" s="50">
        <v>6</v>
      </c>
      <c r="F64" s="50">
        <v>14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70</v>
      </c>
      <c r="N64" s="50">
        <v>0</v>
      </c>
      <c r="O64" s="15">
        <f t="shared" si="0"/>
        <v>137</v>
      </c>
      <c r="P64" s="15">
        <f t="shared" si="1"/>
        <v>207</v>
      </c>
      <c r="R64" s="8"/>
      <c r="T64"/>
    </row>
    <row r="65" spans="2:20" ht="23.1" customHeight="1" x14ac:dyDescent="0.25">
      <c r="B65" s="45" t="s">
        <v>158</v>
      </c>
      <c r="C65" s="50">
        <v>60</v>
      </c>
      <c r="D65" s="50">
        <v>27</v>
      </c>
      <c r="E65" s="50">
        <v>7</v>
      </c>
      <c r="F65" s="50">
        <v>15</v>
      </c>
      <c r="G65" s="50">
        <v>0</v>
      </c>
      <c r="H65" s="50">
        <v>0</v>
      </c>
      <c r="I65" s="50">
        <v>1</v>
      </c>
      <c r="J65" s="50">
        <v>0</v>
      </c>
      <c r="K65" s="50">
        <v>1</v>
      </c>
      <c r="L65" s="50">
        <v>0</v>
      </c>
      <c r="M65" s="50">
        <v>34</v>
      </c>
      <c r="N65" s="50">
        <v>0</v>
      </c>
      <c r="O65" s="15">
        <f t="shared" si="0"/>
        <v>111</v>
      </c>
      <c r="P65" s="15">
        <f t="shared" si="1"/>
        <v>145</v>
      </c>
      <c r="R65" s="8"/>
      <c r="T65"/>
    </row>
    <row r="66" spans="2:20" ht="23.1" customHeight="1" x14ac:dyDescent="0.25">
      <c r="B66" s="45" t="s">
        <v>103</v>
      </c>
      <c r="C66" s="50">
        <v>39</v>
      </c>
      <c r="D66" s="50">
        <v>27</v>
      </c>
      <c r="E66" s="50">
        <v>8</v>
      </c>
      <c r="F66" s="50">
        <v>9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55</v>
      </c>
      <c r="N66" s="50">
        <v>0</v>
      </c>
      <c r="O66" s="15">
        <f t="shared" si="0"/>
        <v>86</v>
      </c>
      <c r="P66" s="15">
        <f t="shared" si="1"/>
        <v>141</v>
      </c>
      <c r="R66" s="8"/>
      <c r="T66"/>
    </row>
    <row r="67" spans="2:20" ht="23.1" customHeight="1" x14ac:dyDescent="0.25">
      <c r="B67" s="45" t="s">
        <v>104</v>
      </c>
      <c r="C67" s="50">
        <v>50</v>
      </c>
      <c r="D67" s="50">
        <v>34</v>
      </c>
      <c r="E67" s="50">
        <v>5</v>
      </c>
      <c r="F67" s="50">
        <v>16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44</v>
      </c>
      <c r="N67" s="50">
        <v>0</v>
      </c>
      <c r="O67" s="15">
        <f t="shared" si="0"/>
        <v>107</v>
      </c>
      <c r="P67" s="15">
        <f t="shared" si="1"/>
        <v>151</v>
      </c>
      <c r="R67" s="8"/>
      <c r="T67"/>
    </row>
    <row r="68" spans="2:20" ht="23.1" customHeight="1" x14ac:dyDescent="0.25">
      <c r="B68" s="45" t="s">
        <v>105</v>
      </c>
      <c r="C68" s="50">
        <v>17</v>
      </c>
      <c r="D68" s="50">
        <v>5</v>
      </c>
      <c r="E68" s="50">
        <v>1</v>
      </c>
      <c r="F68" s="50">
        <v>3</v>
      </c>
      <c r="G68" s="50">
        <v>0</v>
      </c>
      <c r="H68" s="50">
        <v>0</v>
      </c>
      <c r="I68" s="50">
        <v>3</v>
      </c>
      <c r="J68" s="50">
        <v>0</v>
      </c>
      <c r="K68" s="50">
        <v>1</v>
      </c>
      <c r="L68" s="50">
        <v>3</v>
      </c>
      <c r="M68" s="50">
        <v>23</v>
      </c>
      <c r="N68" s="50">
        <v>0</v>
      </c>
      <c r="O68" s="15">
        <f t="shared" si="0"/>
        <v>33</v>
      </c>
      <c r="P68" s="15">
        <f t="shared" si="1"/>
        <v>56</v>
      </c>
      <c r="R68" s="8"/>
      <c r="T68"/>
    </row>
    <row r="69" spans="2:20" ht="23.1" customHeight="1" x14ac:dyDescent="0.25">
      <c r="B69" s="45" t="s">
        <v>106</v>
      </c>
      <c r="C69" s="50">
        <v>12</v>
      </c>
      <c r="D69" s="50">
        <v>2</v>
      </c>
      <c r="E69" s="50">
        <v>0</v>
      </c>
      <c r="F69" s="50">
        <v>2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15</v>
      </c>
      <c r="N69" s="50">
        <v>0</v>
      </c>
      <c r="O69" s="15">
        <f t="shared" si="0"/>
        <v>17</v>
      </c>
      <c r="P69" s="15">
        <f t="shared" si="1"/>
        <v>32</v>
      </c>
      <c r="R69" s="8"/>
      <c r="T69"/>
    </row>
    <row r="70" spans="2:20" ht="23.1" customHeight="1" x14ac:dyDescent="0.25">
      <c r="B70" s="45" t="s">
        <v>110</v>
      </c>
      <c r="C70" s="50">
        <v>30</v>
      </c>
      <c r="D70" s="50">
        <v>11</v>
      </c>
      <c r="E70" s="50">
        <v>2</v>
      </c>
      <c r="F70" s="50">
        <v>8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35</v>
      </c>
      <c r="N70" s="50">
        <v>0</v>
      </c>
      <c r="O70" s="15">
        <f t="shared" si="0"/>
        <v>51</v>
      </c>
      <c r="P70" s="15">
        <f t="shared" si="1"/>
        <v>86</v>
      </c>
      <c r="R70" s="8"/>
      <c r="T70"/>
    </row>
    <row r="71" spans="2:20" ht="23.1" customHeight="1" x14ac:dyDescent="0.25">
      <c r="B71" s="45" t="s">
        <v>111</v>
      </c>
      <c r="C71" s="50">
        <v>26</v>
      </c>
      <c r="D71" s="50">
        <v>15</v>
      </c>
      <c r="E71" s="50">
        <v>5</v>
      </c>
      <c r="F71" s="50">
        <v>6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43</v>
      </c>
      <c r="N71" s="50">
        <v>0</v>
      </c>
      <c r="O71" s="15">
        <f t="shared" si="0"/>
        <v>53</v>
      </c>
      <c r="P71" s="15">
        <f t="shared" si="1"/>
        <v>96</v>
      </c>
      <c r="R71" s="8"/>
      <c r="T71"/>
    </row>
    <row r="72" spans="2:20" ht="23.1" customHeight="1" x14ac:dyDescent="0.25">
      <c r="B72" s="45" t="s">
        <v>112</v>
      </c>
      <c r="C72" s="50">
        <v>45</v>
      </c>
      <c r="D72" s="50">
        <v>9</v>
      </c>
      <c r="E72" s="50">
        <v>5</v>
      </c>
      <c r="F72" s="50">
        <v>11</v>
      </c>
      <c r="G72" s="50">
        <v>1</v>
      </c>
      <c r="H72" s="50">
        <v>0</v>
      </c>
      <c r="I72" s="50">
        <v>0</v>
      </c>
      <c r="J72" s="50">
        <v>0</v>
      </c>
      <c r="K72" s="50">
        <v>0</v>
      </c>
      <c r="L72" s="50">
        <v>1</v>
      </c>
      <c r="M72" s="50">
        <v>50</v>
      </c>
      <c r="N72" s="50">
        <v>0</v>
      </c>
      <c r="O72" s="15">
        <f t="shared" si="0"/>
        <v>72</v>
      </c>
      <c r="P72" s="15">
        <f t="shared" si="1"/>
        <v>122</v>
      </c>
      <c r="R72" s="8"/>
      <c r="T72"/>
    </row>
    <row r="73" spans="2:20" ht="23.1" customHeight="1" x14ac:dyDescent="0.25">
      <c r="B73" s="45" t="s">
        <v>113</v>
      </c>
      <c r="C73" s="50">
        <v>36</v>
      </c>
      <c r="D73" s="50">
        <v>12</v>
      </c>
      <c r="E73" s="50">
        <v>2</v>
      </c>
      <c r="F73" s="50">
        <v>3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60</v>
      </c>
      <c r="N73" s="50">
        <v>0</v>
      </c>
      <c r="O73" s="15">
        <f t="shared" si="0"/>
        <v>53</v>
      </c>
      <c r="P73" s="15">
        <f t="shared" si="1"/>
        <v>113</v>
      </c>
      <c r="R73" s="8"/>
      <c r="T73"/>
    </row>
    <row r="74" spans="2:20" ht="23.1" customHeight="1" x14ac:dyDescent="0.25">
      <c r="B74" s="45" t="s">
        <v>114</v>
      </c>
      <c r="C74" s="50">
        <v>47</v>
      </c>
      <c r="D74" s="50">
        <v>26</v>
      </c>
      <c r="E74" s="50">
        <v>7</v>
      </c>
      <c r="F74" s="50">
        <v>12</v>
      </c>
      <c r="G74" s="50">
        <v>1</v>
      </c>
      <c r="H74" s="50">
        <v>0</v>
      </c>
      <c r="I74" s="50">
        <v>3</v>
      </c>
      <c r="J74" s="50">
        <v>0</v>
      </c>
      <c r="K74" s="50">
        <v>0</v>
      </c>
      <c r="L74" s="50">
        <v>0</v>
      </c>
      <c r="M74" s="50">
        <v>30</v>
      </c>
      <c r="N74" s="50">
        <v>0</v>
      </c>
      <c r="O74" s="15">
        <f t="shared" ref="O74:O105" si="35">SUM(C74:L74,N74)</f>
        <v>96</v>
      </c>
      <c r="P74" s="15">
        <f t="shared" ref="P74:P105" si="36">SUM(C74:N74)</f>
        <v>126</v>
      </c>
      <c r="R74" s="8"/>
      <c r="T74"/>
    </row>
    <row r="75" spans="2:20" ht="23.1" customHeight="1" x14ac:dyDescent="0.25">
      <c r="B75" s="45" t="s">
        <v>115</v>
      </c>
      <c r="C75" s="50">
        <v>31</v>
      </c>
      <c r="D75" s="50">
        <v>7</v>
      </c>
      <c r="E75" s="50">
        <v>3</v>
      </c>
      <c r="F75" s="50">
        <v>4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22</v>
      </c>
      <c r="N75" s="50">
        <v>0</v>
      </c>
      <c r="O75" s="15">
        <f t="shared" si="35"/>
        <v>45</v>
      </c>
      <c r="P75" s="15">
        <f t="shared" si="36"/>
        <v>67</v>
      </c>
      <c r="R75" s="8"/>
      <c r="T75"/>
    </row>
    <row r="76" spans="2:20" ht="23.1" customHeight="1" x14ac:dyDescent="0.25">
      <c r="B76" s="45" t="s">
        <v>116</v>
      </c>
      <c r="C76" s="50">
        <v>24</v>
      </c>
      <c r="D76" s="50">
        <v>8</v>
      </c>
      <c r="E76" s="50">
        <v>0</v>
      </c>
      <c r="F76" s="50">
        <v>5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35</v>
      </c>
      <c r="N76" s="50">
        <v>0</v>
      </c>
      <c r="O76" s="15">
        <f t="shared" si="35"/>
        <v>37</v>
      </c>
      <c r="P76" s="15">
        <f t="shared" si="36"/>
        <v>72</v>
      </c>
      <c r="R76" s="8"/>
      <c r="T76"/>
    </row>
    <row r="77" spans="2:20" ht="23.1" customHeight="1" x14ac:dyDescent="0.25">
      <c r="B77" s="45" t="s">
        <v>117</v>
      </c>
      <c r="C77" s="50">
        <v>26</v>
      </c>
      <c r="D77" s="50">
        <v>7</v>
      </c>
      <c r="E77" s="50">
        <v>2</v>
      </c>
      <c r="F77" s="50">
        <v>8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30</v>
      </c>
      <c r="N77" s="50">
        <v>0</v>
      </c>
      <c r="O77" s="15">
        <f t="shared" si="35"/>
        <v>44</v>
      </c>
      <c r="P77" s="15">
        <f t="shared" si="36"/>
        <v>74</v>
      </c>
      <c r="R77" s="8"/>
      <c r="T77"/>
    </row>
    <row r="78" spans="2:20" ht="23.1" customHeight="1" x14ac:dyDescent="0.25">
      <c r="B78" s="46" t="s">
        <v>118</v>
      </c>
      <c r="C78" s="50">
        <v>13</v>
      </c>
      <c r="D78" s="50">
        <v>5</v>
      </c>
      <c r="E78" s="50">
        <v>1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20</v>
      </c>
      <c r="N78" s="50">
        <v>0</v>
      </c>
      <c r="O78" s="15">
        <f t="shared" si="35"/>
        <v>21</v>
      </c>
      <c r="P78" s="15">
        <f t="shared" si="36"/>
        <v>41</v>
      </c>
      <c r="R78" s="8"/>
      <c r="T78"/>
    </row>
    <row r="79" spans="2:20" ht="23.1" customHeight="1" x14ac:dyDescent="0.25">
      <c r="B79" s="45" t="s">
        <v>119</v>
      </c>
      <c r="C79" s="50">
        <v>32</v>
      </c>
      <c r="D79" s="50">
        <v>6</v>
      </c>
      <c r="E79" s="50">
        <v>3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25</v>
      </c>
      <c r="N79" s="50">
        <v>0</v>
      </c>
      <c r="O79" s="15">
        <f t="shared" si="35"/>
        <v>43</v>
      </c>
      <c r="P79" s="15">
        <f t="shared" si="36"/>
        <v>68</v>
      </c>
      <c r="R79" s="8"/>
      <c r="T79"/>
    </row>
    <row r="80" spans="2:20" ht="23.1" customHeight="1" x14ac:dyDescent="0.25">
      <c r="B80" s="47" t="s">
        <v>120</v>
      </c>
      <c r="C80" s="50">
        <v>21</v>
      </c>
      <c r="D80" s="50">
        <v>5</v>
      </c>
      <c r="E80" s="50">
        <v>1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20</v>
      </c>
      <c r="N80" s="50">
        <v>0</v>
      </c>
      <c r="O80" s="15">
        <f t="shared" si="35"/>
        <v>28</v>
      </c>
      <c r="P80" s="15">
        <f t="shared" si="36"/>
        <v>48</v>
      </c>
      <c r="R80" s="8"/>
      <c r="T80"/>
    </row>
    <row r="81" spans="2:20" ht="23.1" customHeight="1" x14ac:dyDescent="0.25">
      <c r="B81" s="45" t="s">
        <v>121</v>
      </c>
      <c r="C81" s="50">
        <v>18</v>
      </c>
      <c r="D81" s="50">
        <v>1</v>
      </c>
      <c r="E81" s="50">
        <v>1</v>
      </c>
      <c r="F81" s="50">
        <v>3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15</v>
      </c>
      <c r="N81" s="50">
        <v>0</v>
      </c>
      <c r="O81" s="15">
        <f t="shared" si="35"/>
        <v>23</v>
      </c>
      <c r="P81" s="15">
        <f t="shared" si="36"/>
        <v>38</v>
      </c>
      <c r="R81" s="8"/>
      <c r="T81"/>
    </row>
    <row r="82" spans="2:20" ht="23.1" customHeight="1" x14ac:dyDescent="0.25">
      <c r="B82" s="46" t="s">
        <v>122</v>
      </c>
      <c r="C82" s="50">
        <v>8</v>
      </c>
      <c r="D82" s="50">
        <v>2</v>
      </c>
      <c r="E82" s="50">
        <v>1</v>
      </c>
      <c r="F82" s="50">
        <v>2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10</v>
      </c>
      <c r="N82" s="50">
        <v>0</v>
      </c>
      <c r="O82" s="15">
        <f t="shared" si="35"/>
        <v>13</v>
      </c>
      <c r="P82" s="15">
        <f t="shared" si="36"/>
        <v>23</v>
      </c>
      <c r="R82" s="8"/>
      <c r="T82"/>
    </row>
    <row r="83" spans="2:20" ht="23.1" customHeight="1" x14ac:dyDescent="0.25">
      <c r="B83" s="45" t="s">
        <v>123</v>
      </c>
      <c r="C83" s="50">
        <v>14</v>
      </c>
      <c r="D83" s="50">
        <v>0</v>
      </c>
      <c r="E83" s="50">
        <v>0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11</v>
      </c>
      <c r="N83" s="50">
        <v>0</v>
      </c>
      <c r="O83" s="15">
        <f t="shared" si="35"/>
        <v>17</v>
      </c>
      <c r="P83" s="15">
        <f t="shared" si="36"/>
        <v>28</v>
      </c>
      <c r="R83" s="8"/>
      <c r="T83"/>
    </row>
    <row r="84" spans="2:20" ht="23.1" customHeight="1" x14ac:dyDescent="0.25">
      <c r="B84" s="47" t="s">
        <v>124</v>
      </c>
      <c r="C84" s="50">
        <v>13</v>
      </c>
      <c r="D84" s="50">
        <v>1</v>
      </c>
      <c r="E84" s="50">
        <v>1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5</v>
      </c>
      <c r="N84" s="50">
        <v>0</v>
      </c>
      <c r="O84" s="15">
        <f t="shared" si="35"/>
        <v>17</v>
      </c>
      <c r="P84" s="15">
        <f t="shared" si="36"/>
        <v>22</v>
      </c>
      <c r="R84" s="8"/>
      <c r="T84"/>
    </row>
    <row r="85" spans="2:20" ht="23.1" customHeight="1" x14ac:dyDescent="0.25">
      <c r="B85" s="45" t="s">
        <v>125</v>
      </c>
      <c r="C85" s="50">
        <v>10</v>
      </c>
      <c r="D85" s="50">
        <v>3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13</v>
      </c>
      <c r="P85" s="15">
        <f t="shared" si="36"/>
        <v>16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1</v>
      </c>
      <c r="E86" s="50">
        <v>3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5</v>
      </c>
      <c r="N86" s="50">
        <v>0</v>
      </c>
      <c r="O86" s="15">
        <f t="shared" si="35"/>
        <v>11</v>
      </c>
      <c r="P86" s="15">
        <f t="shared" si="36"/>
        <v>16</v>
      </c>
      <c r="R86" s="8"/>
      <c r="T86"/>
    </row>
    <row r="87" spans="2:20" ht="23.1" customHeight="1" x14ac:dyDescent="0.25">
      <c r="B87" s="45" t="s">
        <v>127</v>
      </c>
      <c r="C87" s="50">
        <v>8</v>
      </c>
      <c r="D87" s="50">
        <v>0</v>
      </c>
      <c r="E87" s="50">
        <v>4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6</v>
      </c>
      <c r="N87" s="50">
        <v>0</v>
      </c>
      <c r="O87" s="15">
        <f t="shared" si="35"/>
        <v>12</v>
      </c>
      <c r="P87" s="15">
        <f t="shared" si="36"/>
        <v>18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1</v>
      </c>
      <c r="E88" s="50">
        <v>2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7</v>
      </c>
      <c r="N88" s="50">
        <v>0</v>
      </c>
      <c r="O88" s="15">
        <f t="shared" si="35"/>
        <v>9</v>
      </c>
      <c r="P88" s="15">
        <f t="shared" si="36"/>
        <v>16</v>
      </c>
      <c r="R88" s="8"/>
      <c r="T88"/>
    </row>
    <row r="89" spans="2:20" ht="23.1" customHeight="1" x14ac:dyDescent="0.25">
      <c r="B89" s="45" t="s">
        <v>129</v>
      </c>
      <c r="C89" s="50">
        <v>9</v>
      </c>
      <c r="D89" s="50">
        <v>0</v>
      </c>
      <c r="E89" s="50">
        <v>2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10</v>
      </c>
      <c r="N89" s="50">
        <v>0</v>
      </c>
      <c r="O89" s="15">
        <f t="shared" si="35"/>
        <v>12</v>
      </c>
      <c r="P89" s="15">
        <f t="shared" si="36"/>
        <v>22</v>
      </c>
      <c r="R89" s="8"/>
      <c r="T89"/>
    </row>
    <row r="90" spans="2:20" ht="23.1" customHeight="1" x14ac:dyDescent="0.25">
      <c r="B90" s="46" t="s">
        <v>130</v>
      </c>
      <c r="C90" s="50">
        <v>8</v>
      </c>
      <c r="D90" s="50">
        <v>3</v>
      </c>
      <c r="E90" s="50">
        <v>0</v>
      </c>
      <c r="F90" s="50">
        <v>1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13</v>
      </c>
      <c r="P90" s="15">
        <f t="shared" si="36"/>
        <v>19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2</v>
      </c>
      <c r="E91" s="50">
        <v>1</v>
      </c>
      <c r="F91" s="50">
        <v>0</v>
      </c>
      <c r="G91" s="50">
        <v>0</v>
      </c>
      <c r="H91" s="50">
        <v>0</v>
      </c>
      <c r="I91" s="50">
        <v>1</v>
      </c>
      <c r="J91" s="50">
        <v>1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10</v>
      </c>
      <c r="P91" s="15">
        <f t="shared" si="36"/>
        <v>17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5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7</v>
      </c>
      <c r="N93" s="50">
        <v>0</v>
      </c>
      <c r="O93" s="15">
        <f t="shared" si="35"/>
        <v>5</v>
      </c>
      <c r="P93" s="15">
        <f t="shared" si="36"/>
        <v>12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1</v>
      </c>
      <c r="E94" s="50">
        <v>1</v>
      </c>
      <c r="F94" s="50">
        <v>3</v>
      </c>
      <c r="G94" s="50">
        <v>0</v>
      </c>
      <c r="H94" s="50">
        <v>0</v>
      </c>
      <c r="I94" s="50">
        <v>1</v>
      </c>
      <c r="J94" s="50">
        <v>1</v>
      </c>
      <c r="K94" s="50">
        <v>1</v>
      </c>
      <c r="L94" s="50">
        <v>0</v>
      </c>
      <c r="M94" s="50">
        <v>8</v>
      </c>
      <c r="N94" s="50">
        <v>0</v>
      </c>
      <c r="O94" s="15">
        <f t="shared" si="35"/>
        <v>16</v>
      </c>
      <c r="P94" s="15">
        <f t="shared" si="36"/>
        <v>24</v>
      </c>
      <c r="R94" s="8"/>
      <c r="T94"/>
    </row>
    <row r="95" spans="2:20" ht="23.1" customHeight="1" x14ac:dyDescent="0.25">
      <c r="B95" s="45" t="s">
        <v>135</v>
      </c>
      <c r="C95" s="50">
        <v>11</v>
      </c>
      <c r="D95" s="50">
        <v>2</v>
      </c>
      <c r="E95" s="50">
        <v>2</v>
      </c>
      <c r="F95" s="50">
        <v>3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18</v>
      </c>
      <c r="P95" s="15">
        <f t="shared" si="36"/>
        <v>24</v>
      </c>
      <c r="R95" s="8"/>
      <c r="T95"/>
    </row>
    <row r="96" spans="2:20" ht="23.1" customHeight="1" x14ac:dyDescent="0.25">
      <c r="B96" s="47" t="s">
        <v>136</v>
      </c>
      <c r="C96" s="50">
        <v>10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7</v>
      </c>
      <c r="N96" s="50">
        <v>0</v>
      </c>
      <c r="O96" s="15">
        <f t="shared" si="35"/>
        <v>13</v>
      </c>
      <c r="P96" s="15">
        <f t="shared" si="36"/>
        <v>20</v>
      </c>
      <c r="R96" s="8"/>
      <c r="T96"/>
    </row>
    <row r="97" spans="2:20" ht="23.1" customHeight="1" x14ac:dyDescent="0.25">
      <c r="B97" s="45" t="s">
        <v>137</v>
      </c>
      <c r="C97" s="50">
        <v>13</v>
      </c>
      <c r="D97" s="50">
        <v>3</v>
      </c>
      <c r="E97" s="50">
        <v>11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27</v>
      </c>
      <c r="P97" s="15">
        <f t="shared" si="36"/>
        <v>32</v>
      </c>
      <c r="R97" s="8"/>
      <c r="T97"/>
    </row>
    <row r="98" spans="2:20" ht="23.1" customHeight="1" x14ac:dyDescent="0.25">
      <c r="B98" s="46" t="s">
        <v>138</v>
      </c>
      <c r="C98" s="50">
        <v>12</v>
      </c>
      <c r="D98" s="50">
        <v>1</v>
      </c>
      <c r="E98" s="50">
        <v>0</v>
      </c>
      <c r="F98" s="50">
        <v>2</v>
      </c>
      <c r="G98" s="50">
        <v>0</v>
      </c>
      <c r="H98" s="50">
        <v>0</v>
      </c>
      <c r="I98" s="50">
        <v>1</v>
      </c>
      <c r="J98" s="50">
        <v>3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19</v>
      </c>
      <c r="P98" s="15">
        <f t="shared" si="36"/>
        <v>29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0</v>
      </c>
      <c r="E99" s="50">
        <v>4</v>
      </c>
      <c r="F99" s="50">
        <v>3</v>
      </c>
      <c r="G99" s="50">
        <v>1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17</v>
      </c>
      <c r="P99" s="15">
        <f t="shared" si="36"/>
        <v>28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4</v>
      </c>
      <c r="E100" s="50">
        <v>0</v>
      </c>
      <c r="F100" s="50">
        <v>4</v>
      </c>
      <c r="G100" s="50">
        <v>0</v>
      </c>
      <c r="H100" s="50">
        <v>0</v>
      </c>
      <c r="I100" s="50">
        <v>0</v>
      </c>
      <c r="J100" s="50">
        <v>0</v>
      </c>
      <c r="K100" s="50">
        <v>1</v>
      </c>
      <c r="L100" s="50">
        <v>0</v>
      </c>
      <c r="M100" s="50">
        <v>15</v>
      </c>
      <c r="N100" s="50">
        <v>0</v>
      </c>
      <c r="O100" s="15">
        <f t="shared" si="35"/>
        <v>14</v>
      </c>
      <c r="P100" s="15">
        <f t="shared" si="36"/>
        <v>29</v>
      </c>
      <c r="R100" s="8"/>
      <c r="T100"/>
    </row>
    <row r="101" spans="2:20" ht="23.1" customHeight="1" x14ac:dyDescent="0.25">
      <c r="B101" s="45" t="s">
        <v>141</v>
      </c>
      <c r="C101" s="50">
        <v>16</v>
      </c>
      <c r="D101" s="50">
        <v>3</v>
      </c>
      <c r="E101" s="50">
        <v>2</v>
      </c>
      <c r="F101" s="50">
        <v>11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17</v>
      </c>
      <c r="N101" s="50">
        <v>0</v>
      </c>
      <c r="O101" s="15">
        <f t="shared" si="35"/>
        <v>32</v>
      </c>
      <c r="P101" s="15">
        <f t="shared" si="36"/>
        <v>49</v>
      </c>
      <c r="R101" s="8"/>
      <c r="T101"/>
    </row>
    <row r="102" spans="2:20" ht="23.1" customHeight="1" x14ac:dyDescent="0.25">
      <c r="B102" s="46" t="s">
        <v>142</v>
      </c>
      <c r="C102" s="50">
        <v>15</v>
      </c>
      <c r="D102" s="50">
        <v>5</v>
      </c>
      <c r="E102" s="50">
        <v>5</v>
      </c>
      <c r="F102" s="50">
        <v>8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1</v>
      </c>
      <c r="M102" s="50">
        <v>21</v>
      </c>
      <c r="N102" s="50">
        <v>0</v>
      </c>
      <c r="O102" s="15">
        <f t="shared" si="35"/>
        <v>34</v>
      </c>
      <c r="P102" s="15">
        <f t="shared" si="36"/>
        <v>55</v>
      </c>
      <c r="R102" s="8"/>
      <c r="T102"/>
    </row>
    <row r="103" spans="2:20" ht="23.1" customHeight="1" x14ac:dyDescent="0.25">
      <c r="B103" s="45" t="s">
        <v>143</v>
      </c>
      <c r="C103" s="50">
        <v>26</v>
      </c>
      <c r="D103" s="50">
        <v>10</v>
      </c>
      <c r="E103" s="50">
        <v>4</v>
      </c>
      <c r="F103" s="50">
        <v>15</v>
      </c>
      <c r="G103" s="50">
        <v>1</v>
      </c>
      <c r="H103" s="50">
        <v>0</v>
      </c>
      <c r="I103" s="50">
        <v>1</v>
      </c>
      <c r="J103" s="50">
        <v>0</v>
      </c>
      <c r="K103" s="50">
        <v>1</v>
      </c>
      <c r="L103" s="50">
        <v>1</v>
      </c>
      <c r="M103" s="50">
        <v>19</v>
      </c>
      <c r="N103" s="50">
        <v>0</v>
      </c>
      <c r="O103" s="15">
        <f t="shared" si="35"/>
        <v>59</v>
      </c>
      <c r="P103" s="15">
        <f t="shared" si="36"/>
        <v>78</v>
      </c>
      <c r="R103" s="8"/>
      <c r="T103"/>
    </row>
    <row r="104" spans="2:20" ht="23.1" customHeight="1" x14ac:dyDescent="0.25">
      <c r="B104" s="47" t="s">
        <v>144</v>
      </c>
      <c r="C104" s="50">
        <v>25</v>
      </c>
      <c r="D104" s="50">
        <v>20</v>
      </c>
      <c r="E104" s="50">
        <v>6</v>
      </c>
      <c r="F104" s="50">
        <v>12</v>
      </c>
      <c r="G104" s="50">
        <v>0</v>
      </c>
      <c r="H104" s="50">
        <v>0</v>
      </c>
      <c r="I104" s="50">
        <v>3</v>
      </c>
      <c r="J104" s="50">
        <v>0</v>
      </c>
      <c r="K104" s="50">
        <v>0</v>
      </c>
      <c r="L104" s="50">
        <v>0</v>
      </c>
      <c r="M104" s="50">
        <v>35</v>
      </c>
      <c r="N104" s="50">
        <v>0</v>
      </c>
      <c r="O104" s="15">
        <f t="shared" si="35"/>
        <v>66</v>
      </c>
      <c r="P104" s="15">
        <f t="shared" si="36"/>
        <v>101</v>
      </c>
      <c r="R104" s="8"/>
      <c r="T104"/>
    </row>
    <row r="105" spans="2:20" ht="23.1" customHeight="1" x14ac:dyDescent="0.25">
      <c r="B105" s="45" t="s">
        <v>145</v>
      </c>
      <c r="C105" s="50">
        <v>45</v>
      </c>
      <c r="D105" s="50">
        <v>17</v>
      </c>
      <c r="E105" s="50">
        <v>6</v>
      </c>
      <c r="F105" s="50">
        <v>14</v>
      </c>
      <c r="G105" s="50">
        <v>0</v>
      </c>
      <c r="H105" s="50">
        <v>0</v>
      </c>
      <c r="I105" s="50">
        <v>3</v>
      </c>
      <c r="J105" s="50">
        <v>1</v>
      </c>
      <c r="K105" s="50">
        <v>0</v>
      </c>
      <c r="L105" s="50">
        <v>0</v>
      </c>
      <c r="M105" s="50">
        <v>80</v>
      </c>
      <c r="N105" s="50">
        <v>0</v>
      </c>
      <c r="O105" s="15">
        <f t="shared" si="35"/>
        <v>86</v>
      </c>
      <c r="P105" s="15">
        <f t="shared" si="36"/>
        <v>166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3398</v>
      </c>
      <c r="D106" s="16">
        <f t="shared" ref="D106:P106" si="37">SUM(D10:D105)</f>
        <v>1385</v>
      </c>
      <c r="E106" s="16">
        <f t="shared" si="37"/>
        <v>512</v>
      </c>
      <c r="F106" s="16">
        <f t="shared" si="37"/>
        <v>1194</v>
      </c>
      <c r="G106" s="16">
        <f t="shared" si="37"/>
        <v>22</v>
      </c>
      <c r="H106" s="16">
        <f t="shared" si="37"/>
        <v>0</v>
      </c>
      <c r="I106" s="16">
        <f t="shared" si="37"/>
        <v>250</v>
      </c>
      <c r="J106" s="16">
        <f t="shared" si="37"/>
        <v>87</v>
      </c>
      <c r="K106" s="16">
        <f t="shared" si="37"/>
        <v>45</v>
      </c>
      <c r="L106" s="16">
        <f t="shared" si="37"/>
        <v>104</v>
      </c>
      <c r="M106" s="16">
        <f t="shared" si="37"/>
        <v>6710</v>
      </c>
      <c r="N106" s="16">
        <f t="shared" si="37"/>
        <v>0</v>
      </c>
      <c r="O106" s="16">
        <f t="shared" si="37"/>
        <v>6997</v>
      </c>
      <c r="P106" s="16">
        <f t="shared" si="37"/>
        <v>13707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0.24790253155322098</v>
      </c>
      <c r="D107" s="43">
        <f t="shared" si="38"/>
        <v>0.10104326256657183</v>
      </c>
      <c r="E107" s="43">
        <f t="shared" si="38"/>
        <v>3.7353177208725469E-2</v>
      </c>
      <c r="F107" s="43">
        <f t="shared" si="38"/>
        <v>8.710877653753557E-2</v>
      </c>
      <c r="G107" s="43">
        <f t="shared" si="38"/>
        <v>1.6050193331874224E-3</v>
      </c>
      <c r="H107" s="43">
        <f t="shared" si="38"/>
        <v>0</v>
      </c>
      <c r="I107" s="43">
        <f t="shared" si="38"/>
        <v>1.8238856058947983E-2</v>
      </c>
      <c r="J107" s="43">
        <f t="shared" si="38"/>
        <v>6.3471219085138976E-3</v>
      </c>
      <c r="K107" s="43">
        <f t="shared" si="38"/>
        <v>3.2829940906106371E-3</v>
      </c>
      <c r="L107" s="43">
        <f t="shared" si="38"/>
        <v>7.5873641205223604E-3</v>
      </c>
      <c r="M107" s="43">
        <f t="shared" si="38"/>
        <v>0.48953089662216387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0.48563670144347576</v>
      </c>
      <c r="D108" s="44">
        <f t="shared" ref="D108:N108" si="39">D106/$O$106</f>
        <v>0.19794197513219952</v>
      </c>
      <c r="E108" s="44">
        <f t="shared" si="39"/>
        <v>7.3174217521795051E-2</v>
      </c>
      <c r="F108" s="44">
        <f t="shared" si="39"/>
        <v>0.17064456195512362</v>
      </c>
      <c r="G108" s="44">
        <f t="shared" si="39"/>
        <v>3.1442046591396312E-3</v>
      </c>
      <c r="H108" s="44">
        <f t="shared" si="39"/>
        <v>0</v>
      </c>
      <c r="I108" s="44">
        <f t="shared" si="39"/>
        <v>3.5729598399313993E-2</v>
      </c>
      <c r="J108" s="44">
        <f t="shared" si="39"/>
        <v>1.2433900242961269E-2</v>
      </c>
      <c r="K108" s="44">
        <f t="shared" si="39"/>
        <v>6.4313277118765184E-3</v>
      </c>
      <c r="L108" s="44">
        <f t="shared" si="39"/>
        <v>1.4863512934114621E-2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179</v>
      </c>
      <c r="E5" s="3"/>
      <c r="F5" s="41" t="s">
        <v>1</v>
      </c>
      <c r="G5" s="65" t="str">
        <f>'31.07 Ntinda-Kisaasi'!G5:H5</f>
        <v>Ndere Center</v>
      </c>
      <c r="H5" s="66"/>
      <c r="I5" s="14"/>
      <c r="J5" s="2" t="s">
        <v>5</v>
      </c>
      <c r="K5" s="65" t="s">
        <v>180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Kisaasi-Ntinda'!D6:E6</f>
        <v>Kisaasi</v>
      </c>
      <c r="E6" s="66"/>
      <c r="F6" s="2" t="s">
        <v>2</v>
      </c>
      <c r="G6" s="65" t="str">
        <f>'29.07 Kisaasi-Ntinda'!G6:H6</f>
        <v>Ntinda</v>
      </c>
      <c r="H6" s="66"/>
      <c r="J6" s="2" t="s">
        <v>21</v>
      </c>
      <c r="K6" s="65" t="s">
        <v>177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60</v>
      </c>
      <c r="D10" s="50">
        <v>60</v>
      </c>
      <c r="E10" s="50">
        <v>19</v>
      </c>
      <c r="F10" s="50">
        <v>25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1</v>
      </c>
      <c r="M10" s="50">
        <v>80</v>
      </c>
      <c r="N10" s="50">
        <v>0</v>
      </c>
      <c r="O10" s="15">
        <f t="shared" ref="O10:O57" si="0">SUM(C10:L10,N10)</f>
        <v>168</v>
      </c>
      <c r="P10" s="15">
        <f t="shared" ref="P10:P57" si="1">SUM(C10:N10)</f>
        <v>248</v>
      </c>
      <c r="R10" s="1" t="s">
        <v>6</v>
      </c>
      <c r="S10" s="17">
        <f t="shared" ref="S10:AF10" si="2">SUM(C10:C13)</f>
        <v>256</v>
      </c>
      <c r="T10" s="17">
        <f t="shared" si="2"/>
        <v>265</v>
      </c>
      <c r="U10" s="17">
        <f t="shared" si="2"/>
        <v>79</v>
      </c>
      <c r="V10" s="17">
        <f t="shared" si="2"/>
        <v>63</v>
      </c>
      <c r="W10" s="17">
        <f t="shared" si="2"/>
        <v>2</v>
      </c>
      <c r="X10" s="17">
        <f t="shared" si="2"/>
        <v>0</v>
      </c>
      <c r="Y10" s="17">
        <f t="shared" si="2"/>
        <v>17</v>
      </c>
      <c r="Z10" s="17">
        <f t="shared" si="2"/>
        <v>5</v>
      </c>
      <c r="AA10" s="17">
        <f t="shared" si="2"/>
        <v>2</v>
      </c>
      <c r="AB10" s="17">
        <f t="shared" si="2"/>
        <v>9</v>
      </c>
      <c r="AC10" s="17">
        <f t="shared" si="2"/>
        <v>425</v>
      </c>
      <c r="AD10" s="17">
        <f t="shared" si="2"/>
        <v>0</v>
      </c>
      <c r="AE10" s="31">
        <f t="shared" si="2"/>
        <v>698</v>
      </c>
      <c r="AF10" s="31">
        <f t="shared" si="2"/>
        <v>1123</v>
      </c>
    </row>
    <row r="11" spans="2:32" s="6" customFormat="1" ht="23.1" customHeight="1" x14ac:dyDescent="0.25">
      <c r="B11" s="23" t="s">
        <v>38</v>
      </c>
      <c r="C11" s="50">
        <v>76</v>
      </c>
      <c r="D11" s="50">
        <v>70</v>
      </c>
      <c r="E11" s="50">
        <v>0</v>
      </c>
      <c r="F11" s="50">
        <v>0</v>
      </c>
      <c r="G11" s="50">
        <v>0</v>
      </c>
      <c r="H11" s="50">
        <v>0</v>
      </c>
      <c r="I11" s="50">
        <v>6</v>
      </c>
      <c r="J11" s="50">
        <v>1</v>
      </c>
      <c r="K11" s="50">
        <v>0</v>
      </c>
      <c r="L11" s="50">
        <v>3</v>
      </c>
      <c r="M11" s="50">
        <v>120</v>
      </c>
      <c r="N11" s="50">
        <v>0</v>
      </c>
      <c r="O11" s="15">
        <f t="shared" si="0"/>
        <v>156</v>
      </c>
      <c r="P11" s="15">
        <f t="shared" si="1"/>
        <v>276</v>
      </c>
      <c r="R11" s="1" t="s">
        <v>7</v>
      </c>
      <c r="S11" s="17">
        <f t="shared" ref="S11:AF11" si="3">SUM(C14:C17)</f>
        <v>180</v>
      </c>
      <c r="T11" s="17">
        <f t="shared" si="3"/>
        <v>153</v>
      </c>
      <c r="U11" s="17">
        <f t="shared" si="3"/>
        <v>80</v>
      </c>
      <c r="V11" s="17">
        <f t="shared" si="3"/>
        <v>76</v>
      </c>
      <c r="W11" s="17">
        <f t="shared" si="3"/>
        <v>2</v>
      </c>
      <c r="X11" s="17">
        <f t="shared" si="3"/>
        <v>0</v>
      </c>
      <c r="Y11" s="17">
        <f t="shared" si="3"/>
        <v>24</v>
      </c>
      <c r="Z11" s="17">
        <f t="shared" si="3"/>
        <v>10</v>
      </c>
      <c r="AA11" s="17">
        <f t="shared" si="3"/>
        <v>0</v>
      </c>
      <c r="AB11" s="17">
        <f t="shared" si="3"/>
        <v>3</v>
      </c>
      <c r="AC11" s="17">
        <f t="shared" si="3"/>
        <v>450</v>
      </c>
      <c r="AD11" s="17">
        <f t="shared" si="3"/>
        <v>0</v>
      </c>
      <c r="AE11" s="31">
        <f t="shared" si="3"/>
        <v>528</v>
      </c>
      <c r="AF11" s="31">
        <f t="shared" si="3"/>
        <v>978</v>
      </c>
    </row>
    <row r="12" spans="2:32" ht="23.1" customHeight="1" x14ac:dyDescent="0.25">
      <c r="B12" s="23" t="s">
        <v>39</v>
      </c>
      <c r="C12" s="50">
        <v>70</v>
      </c>
      <c r="D12" s="50">
        <v>75</v>
      </c>
      <c r="E12" s="50">
        <v>30</v>
      </c>
      <c r="F12" s="50">
        <v>15</v>
      </c>
      <c r="G12" s="50">
        <v>1</v>
      </c>
      <c r="H12" s="50">
        <v>0</v>
      </c>
      <c r="I12" s="50">
        <v>6</v>
      </c>
      <c r="J12" s="50">
        <v>1</v>
      </c>
      <c r="K12" s="50">
        <v>1</v>
      </c>
      <c r="L12" s="50">
        <v>3</v>
      </c>
      <c r="M12" s="50">
        <v>105</v>
      </c>
      <c r="N12" s="50">
        <v>0</v>
      </c>
      <c r="O12" s="15">
        <f t="shared" si="0"/>
        <v>202</v>
      </c>
      <c r="P12" s="15">
        <f t="shared" si="1"/>
        <v>307</v>
      </c>
      <c r="R12" s="1" t="s">
        <v>8</v>
      </c>
      <c r="S12" s="17">
        <f t="shared" ref="S12:AF12" si="4">SUM(C18:C21)</f>
        <v>137</v>
      </c>
      <c r="T12" s="17">
        <f t="shared" si="4"/>
        <v>137</v>
      </c>
      <c r="U12" s="17">
        <f t="shared" si="4"/>
        <v>35</v>
      </c>
      <c r="V12" s="17">
        <f t="shared" si="4"/>
        <v>51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4</v>
      </c>
      <c r="AA12" s="17">
        <f t="shared" si="4"/>
        <v>2</v>
      </c>
      <c r="AB12" s="17">
        <f t="shared" si="4"/>
        <v>4</v>
      </c>
      <c r="AC12" s="17">
        <f t="shared" si="4"/>
        <v>375</v>
      </c>
      <c r="AD12" s="17">
        <f t="shared" si="4"/>
        <v>0</v>
      </c>
      <c r="AE12" s="31">
        <f t="shared" si="4"/>
        <v>377</v>
      </c>
      <c r="AF12" s="31">
        <f t="shared" si="4"/>
        <v>752</v>
      </c>
    </row>
    <row r="13" spans="2:32" ht="23.1" customHeight="1" x14ac:dyDescent="0.25">
      <c r="B13" s="23" t="s">
        <v>40</v>
      </c>
      <c r="C13" s="50">
        <v>50</v>
      </c>
      <c r="D13" s="50">
        <v>60</v>
      </c>
      <c r="E13" s="50">
        <v>30</v>
      </c>
      <c r="F13" s="50">
        <v>23</v>
      </c>
      <c r="G13" s="50">
        <v>1</v>
      </c>
      <c r="H13" s="50">
        <v>0</v>
      </c>
      <c r="I13" s="50">
        <v>4</v>
      </c>
      <c r="J13" s="50">
        <v>1</v>
      </c>
      <c r="K13" s="50">
        <v>1</v>
      </c>
      <c r="L13" s="50">
        <v>2</v>
      </c>
      <c r="M13" s="50">
        <v>120</v>
      </c>
      <c r="N13" s="50">
        <v>0</v>
      </c>
      <c r="O13" s="15">
        <f t="shared" si="0"/>
        <v>172</v>
      </c>
      <c r="P13" s="15">
        <f t="shared" si="1"/>
        <v>292</v>
      </c>
      <c r="R13" s="1" t="s">
        <v>9</v>
      </c>
      <c r="S13" s="17">
        <f t="shared" ref="S13:AF13" si="5">SUM(C22:C25)</f>
        <v>96</v>
      </c>
      <c r="T13" s="17">
        <f t="shared" si="5"/>
        <v>78</v>
      </c>
      <c r="U13" s="17">
        <f t="shared" si="5"/>
        <v>41</v>
      </c>
      <c r="V13" s="17">
        <f t="shared" si="5"/>
        <v>52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4</v>
      </c>
      <c r="AA13" s="17">
        <f t="shared" si="5"/>
        <v>2</v>
      </c>
      <c r="AB13" s="17">
        <f t="shared" si="5"/>
        <v>8</v>
      </c>
      <c r="AC13" s="17">
        <f t="shared" si="5"/>
        <v>365</v>
      </c>
      <c r="AD13" s="17">
        <f t="shared" si="5"/>
        <v>0</v>
      </c>
      <c r="AE13" s="31">
        <f t="shared" si="5"/>
        <v>305</v>
      </c>
      <c r="AF13" s="31">
        <f t="shared" si="5"/>
        <v>670</v>
      </c>
    </row>
    <row r="14" spans="2:32" ht="23.1" customHeight="1" x14ac:dyDescent="0.25">
      <c r="B14" s="23" t="s">
        <v>41</v>
      </c>
      <c r="C14" s="50">
        <v>45</v>
      </c>
      <c r="D14" s="50">
        <v>35</v>
      </c>
      <c r="E14" s="50">
        <v>30</v>
      </c>
      <c r="F14" s="50">
        <v>20</v>
      </c>
      <c r="G14" s="50">
        <v>0</v>
      </c>
      <c r="H14" s="50">
        <v>0</v>
      </c>
      <c r="I14" s="50">
        <v>19</v>
      </c>
      <c r="J14" s="50">
        <v>6</v>
      </c>
      <c r="K14" s="50">
        <v>0</v>
      </c>
      <c r="L14" s="50">
        <v>2</v>
      </c>
      <c r="M14" s="50">
        <v>140</v>
      </c>
      <c r="N14" s="50">
        <v>0</v>
      </c>
      <c r="O14" s="15">
        <f t="shared" si="0"/>
        <v>157</v>
      </c>
      <c r="P14" s="15">
        <f t="shared" si="1"/>
        <v>297</v>
      </c>
      <c r="R14" s="1" t="s">
        <v>10</v>
      </c>
      <c r="S14" s="17">
        <f t="shared" ref="S14:AF14" si="6">SUM(C26:C29)</f>
        <v>101</v>
      </c>
      <c r="T14" s="17">
        <f t="shared" si="6"/>
        <v>50</v>
      </c>
      <c r="U14" s="17">
        <f t="shared" si="6"/>
        <v>26</v>
      </c>
      <c r="V14" s="17">
        <f t="shared" si="6"/>
        <v>38</v>
      </c>
      <c r="W14" s="17">
        <f t="shared" si="6"/>
        <v>0</v>
      </c>
      <c r="X14" s="17">
        <f t="shared" si="6"/>
        <v>0</v>
      </c>
      <c r="Y14" s="17">
        <f t="shared" si="6"/>
        <v>15</v>
      </c>
      <c r="Z14" s="17">
        <f t="shared" si="6"/>
        <v>8</v>
      </c>
      <c r="AA14" s="17">
        <f t="shared" si="6"/>
        <v>3</v>
      </c>
      <c r="AB14" s="17">
        <f t="shared" si="6"/>
        <v>7</v>
      </c>
      <c r="AC14" s="17">
        <f t="shared" si="6"/>
        <v>414</v>
      </c>
      <c r="AD14" s="17">
        <f t="shared" si="6"/>
        <v>0</v>
      </c>
      <c r="AE14" s="31">
        <f t="shared" si="6"/>
        <v>248</v>
      </c>
      <c r="AF14" s="31">
        <f t="shared" si="6"/>
        <v>662</v>
      </c>
    </row>
    <row r="15" spans="2:32" ht="23.1" customHeight="1" x14ac:dyDescent="0.25">
      <c r="B15" s="23" t="s">
        <v>42</v>
      </c>
      <c r="C15" s="50">
        <v>60</v>
      </c>
      <c r="D15" s="50">
        <v>63</v>
      </c>
      <c r="E15" s="50">
        <v>30</v>
      </c>
      <c r="F15" s="50">
        <v>31</v>
      </c>
      <c r="G15" s="50">
        <v>1</v>
      </c>
      <c r="H15" s="50">
        <v>0</v>
      </c>
      <c r="I15" s="50">
        <v>1</v>
      </c>
      <c r="J15" s="50">
        <v>1</v>
      </c>
      <c r="K15" s="50">
        <v>0</v>
      </c>
      <c r="L15" s="50">
        <v>1</v>
      </c>
      <c r="M15" s="50">
        <v>60</v>
      </c>
      <c r="N15" s="50">
        <v>0</v>
      </c>
      <c r="O15" s="15">
        <f t="shared" si="0"/>
        <v>188</v>
      </c>
      <c r="P15" s="15">
        <f t="shared" si="1"/>
        <v>248</v>
      </c>
      <c r="R15" s="1" t="s">
        <v>11</v>
      </c>
      <c r="S15" s="17">
        <f t="shared" ref="S15:AF15" si="7">SUM(C30:C33)</f>
        <v>100</v>
      </c>
      <c r="T15" s="17">
        <f t="shared" si="7"/>
        <v>107</v>
      </c>
      <c r="U15" s="17">
        <f t="shared" si="7"/>
        <v>60</v>
      </c>
      <c r="V15" s="17">
        <f t="shared" si="7"/>
        <v>65</v>
      </c>
      <c r="W15" s="17">
        <f t="shared" si="7"/>
        <v>1</v>
      </c>
      <c r="X15" s="17">
        <f t="shared" si="7"/>
        <v>0</v>
      </c>
      <c r="Y15" s="17">
        <f t="shared" si="7"/>
        <v>24</v>
      </c>
      <c r="Z15" s="17">
        <f t="shared" si="7"/>
        <v>11</v>
      </c>
      <c r="AA15" s="17">
        <f t="shared" si="7"/>
        <v>6</v>
      </c>
      <c r="AB15" s="17">
        <f t="shared" si="7"/>
        <v>5</v>
      </c>
      <c r="AC15" s="17">
        <f t="shared" si="7"/>
        <v>440</v>
      </c>
      <c r="AD15" s="17">
        <f t="shared" si="7"/>
        <v>1</v>
      </c>
      <c r="AE15" s="31">
        <f t="shared" si="7"/>
        <v>380</v>
      </c>
      <c r="AF15" s="31">
        <f t="shared" si="7"/>
        <v>820</v>
      </c>
    </row>
    <row r="16" spans="2:32" ht="23.1" customHeight="1" x14ac:dyDescent="0.25">
      <c r="B16" s="23" t="s">
        <v>43</v>
      </c>
      <c r="C16" s="50">
        <v>45</v>
      </c>
      <c r="D16" s="50">
        <v>40</v>
      </c>
      <c r="E16" s="50">
        <v>15</v>
      </c>
      <c r="F16" s="50">
        <v>12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115</v>
      </c>
      <c r="N16" s="50">
        <v>0</v>
      </c>
      <c r="O16" s="15">
        <f t="shared" si="0"/>
        <v>114</v>
      </c>
      <c r="P16" s="15">
        <f t="shared" si="1"/>
        <v>229</v>
      </c>
      <c r="R16" s="1" t="s">
        <v>12</v>
      </c>
      <c r="S16" s="17">
        <f t="shared" ref="S16:AF16" si="8">SUM(C34:C37)</f>
        <v>97</v>
      </c>
      <c r="T16" s="17">
        <f t="shared" si="8"/>
        <v>81</v>
      </c>
      <c r="U16" s="17">
        <f t="shared" si="8"/>
        <v>35</v>
      </c>
      <c r="V16" s="17">
        <f t="shared" si="8"/>
        <v>29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7</v>
      </c>
      <c r="AA16" s="17">
        <f t="shared" si="8"/>
        <v>5</v>
      </c>
      <c r="AB16" s="17">
        <f t="shared" si="8"/>
        <v>5</v>
      </c>
      <c r="AC16" s="17">
        <f t="shared" si="8"/>
        <v>345</v>
      </c>
      <c r="AD16" s="17">
        <f t="shared" si="8"/>
        <v>0</v>
      </c>
      <c r="AE16" s="31">
        <f t="shared" si="8"/>
        <v>270</v>
      </c>
      <c r="AF16" s="31">
        <f t="shared" si="8"/>
        <v>615</v>
      </c>
    </row>
    <row r="17" spans="2:32" ht="23.1" customHeight="1" x14ac:dyDescent="0.25">
      <c r="B17" s="23" t="s">
        <v>44</v>
      </c>
      <c r="C17" s="50">
        <v>30</v>
      </c>
      <c r="D17" s="50">
        <v>15</v>
      </c>
      <c r="E17" s="50">
        <v>5</v>
      </c>
      <c r="F17" s="50">
        <v>13</v>
      </c>
      <c r="G17" s="50">
        <v>1</v>
      </c>
      <c r="H17" s="50">
        <v>0</v>
      </c>
      <c r="I17" s="50">
        <v>2</v>
      </c>
      <c r="J17" s="50">
        <v>3</v>
      </c>
      <c r="K17" s="50">
        <v>0</v>
      </c>
      <c r="L17" s="50">
        <v>0</v>
      </c>
      <c r="M17" s="50">
        <v>135</v>
      </c>
      <c r="N17" s="50">
        <v>0</v>
      </c>
      <c r="O17" s="15">
        <f t="shared" si="0"/>
        <v>69</v>
      </c>
      <c r="P17" s="15">
        <f t="shared" si="1"/>
        <v>204</v>
      </c>
      <c r="R17" s="1" t="s">
        <v>13</v>
      </c>
      <c r="S17" s="17">
        <f t="shared" ref="S17:AF17" si="9">SUM(C38:C41)</f>
        <v>93</v>
      </c>
      <c r="T17" s="17">
        <f t="shared" si="9"/>
        <v>72</v>
      </c>
      <c r="U17" s="17">
        <f t="shared" si="9"/>
        <v>51</v>
      </c>
      <c r="V17" s="17">
        <f t="shared" si="9"/>
        <v>48</v>
      </c>
      <c r="W17" s="17">
        <f t="shared" si="9"/>
        <v>0</v>
      </c>
      <c r="X17" s="17">
        <f t="shared" si="9"/>
        <v>0</v>
      </c>
      <c r="Y17" s="17">
        <f t="shared" si="9"/>
        <v>21</v>
      </c>
      <c r="Z17" s="17">
        <f t="shared" si="9"/>
        <v>7</v>
      </c>
      <c r="AA17" s="17">
        <f t="shared" si="9"/>
        <v>1</v>
      </c>
      <c r="AB17" s="17">
        <f t="shared" si="9"/>
        <v>4</v>
      </c>
      <c r="AC17" s="17">
        <f t="shared" si="9"/>
        <v>326</v>
      </c>
      <c r="AD17" s="17">
        <f t="shared" si="9"/>
        <v>0</v>
      </c>
      <c r="AE17" s="31">
        <f t="shared" si="9"/>
        <v>297</v>
      </c>
      <c r="AF17" s="31">
        <f t="shared" si="9"/>
        <v>623</v>
      </c>
    </row>
    <row r="18" spans="2:32" ht="23.1" customHeight="1" x14ac:dyDescent="0.25">
      <c r="B18" s="23" t="s">
        <v>45</v>
      </c>
      <c r="C18" s="50">
        <v>40</v>
      </c>
      <c r="D18" s="50">
        <v>45</v>
      </c>
      <c r="E18" s="50">
        <v>9</v>
      </c>
      <c r="F18" s="50">
        <v>8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2</v>
      </c>
      <c r="M18" s="50">
        <v>85</v>
      </c>
      <c r="N18" s="50">
        <v>0</v>
      </c>
      <c r="O18" s="15">
        <f t="shared" si="0"/>
        <v>105</v>
      </c>
      <c r="P18" s="15">
        <f t="shared" si="1"/>
        <v>190</v>
      </c>
      <c r="R18" s="1" t="s">
        <v>14</v>
      </c>
      <c r="S18" s="17">
        <f t="shared" ref="S18:AF18" si="10">SUM(C42:C45)</f>
        <v>137</v>
      </c>
      <c r="T18" s="17">
        <f t="shared" si="10"/>
        <v>111</v>
      </c>
      <c r="U18" s="17">
        <f t="shared" si="10"/>
        <v>46</v>
      </c>
      <c r="V18" s="17">
        <f t="shared" si="10"/>
        <v>33</v>
      </c>
      <c r="W18" s="17">
        <f t="shared" si="10"/>
        <v>1</v>
      </c>
      <c r="X18" s="17">
        <f t="shared" si="10"/>
        <v>0</v>
      </c>
      <c r="Y18" s="17">
        <f t="shared" si="10"/>
        <v>15</v>
      </c>
      <c r="Z18" s="17">
        <f t="shared" si="10"/>
        <v>8</v>
      </c>
      <c r="AA18" s="17">
        <f t="shared" si="10"/>
        <v>0</v>
      </c>
      <c r="AB18" s="17">
        <f t="shared" si="10"/>
        <v>3</v>
      </c>
      <c r="AC18" s="17">
        <f t="shared" si="10"/>
        <v>400</v>
      </c>
      <c r="AD18" s="17">
        <f t="shared" si="10"/>
        <v>0</v>
      </c>
      <c r="AE18" s="31">
        <f t="shared" si="10"/>
        <v>354</v>
      </c>
      <c r="AF18" s="31">
        <f t="shared" si="10"/>
        <v>754</v>
      </c>
    </row>
    <row r="19" spans="2:32" ht="23.1" customHeight="1" x14ac:dyDescent="0.25">
      <c r="B19" s="23" t="s">
        <v>46</v>
      </c>
      <c r="C19" s="50">
        <v>35</v>
      </c>
      <c r="D19" s="50">
        <v>40</v>
      </c>
      <c r="E19" s="50">
        <v>12</v>
      </c>
      <c r="F19" s="50">
        <v>13</v>
      </c>
      <c r="G19" s="50">
        <v>0</v>
      </c>
      <c r="H19" s="50">
        <v>0</v>
      </c>
      <c r="I19" s="50">
        <v>4</v>
      </c>
      <c r="J19" s="50">
        <v>0</v>
      </c>
      <c r="K19" s="50">
        <v>1</v>
      </c>
      <c r="L19" s="50">
        <v>0</v>
      </c>
      <c r="M19" s="50">
        <v>90</v>
      </c>
      <c r="N19" s="50">
        <v>0</v>
      </c>
      <c r="O19" s="15">
        <f t="shared" si="0"/>
        <v>105</v>
      </c>
      <c r="P19" s="15">
        <f t="shared" si="1"/>
        <v>195</v>
      </c>
      <c r="R19" s="1" t="s">
        <v>15</v>
      </c>
      <c r="S19" s="17">
        <f t="shared" ref="S19:AF19" si="11">SUM(C46:C49)</f>
        <v>150</v>
      </c>
      <c r="T19" s="17">
        <f t="shared" si="11"/>
        <v>133</v>
      </c>
      <c r="U19" s="17">
        <f t="shared" si="11"/>
        <v>66</v>
      </c>
      <c r="V19" s="17">
        <f t="shared" si="11"/>
        <v>66</v>
      </c>
      <c r="W19" s="17">
        <f t="shared" si="11"/>
        <v>3</v>
      </c>
      <c r="X19" s="17">
        <f t="shared" si="11"/>
        <v>0</v>
      </c>
      <c r="Y19" s="17">
        <f t="shared" si="11"/>
        <v>16</v>
      </c>
      <c r="Z19" s="17">
        <f t="shared" si="11"/>
        <v>9</v>
      </c>
      <c r="AA19" s="17">
        <f t="shared" si="11"/>
        <v>1</v>
      </c>
      <c r="AB19" s="17">
        <f t="shared" si="11"/>
        <v>5</v>
      </c>
      <c r="AC19" s="17">
        <f t="shared" si="11"/>
        <v>357</v>
      </c>
      <c r="AD19" s="17">
        <f t="shared" si="11"/>
        <v>0</v>
      </c>
      <c r="AE19" s="31">
        <f t="shared" si="11"/>
        <v>449</v>
      </c>
      <c r="AF19" s="31">
        <f t="shared" si="11"/>
        <v>806</v>
      </c>
    </row>
    <row r="20" spans="2:32" ht="23.1" customHeight="1" x14ac:dyDescent="0.25">
      <c r="B20" s="23" t="s">
        <v>47</v>
      </c>
      <c r="C20" s="50">
        <v>32</v>
      </c>
      <c r="D20" s="50">
        <v>30</v>
      </c>
      <c r="E20" s="50">
        <v>8</v>
      </c>
      <c r="F20" s="50">
        <v>20</v>
      </c>
      <c r="G20" s="50">
        <v>0</v>
      </c>
      <c r="H20" s="50">
        <v>0</v>
      </c>
      <c r="I20" s="50">
        <v>2</v>
      </c>
      <c r="J20" s="50">
        <v>2</v>
      </c>
      <c r="K20" s="50">
        <v>1</v>
      </c>
      <c r="L20" s="50">
        <v>0</v>
      </c>
      <c r="M20" s="50">
        <v>125</v>
      </c>
      <c r="N20" s="50">
        <v>0</v>
      </c>
      <c r="O20" s="15">
        <f t="shared" si="0"/>
        <v>95</v>
      </c>
      <c r="P20" s="15">
        <f t="shared" si="1"/>
        <v>220</v>
      </c>
      <c r="R20" s="1" t="s">
        <v>16</v>
      </c>
      <c r="S20" s="17">
        <f t="shared" ref="S20:AF20" si="12">SUM(C50:C53)</f>
        <v>120</v>
      </c>
      <c r="T20" s="17">
        <f t="shared" si="12"/>
        <v>123</v>
      </c>
      <c r="U20" s="17">
        <f t="shared" si="12"/>
        <v>55</v>
      </c>
      <c r="V20" s="17">
        <f t="shared" si="12"/>
        <v>82</v>
      </c>
      <c r="W20" s="17">
        <f t="shared" si="12"/>
        <v>2</v>
      </c>
      <c r="X20" s="17">
        <f t="shared" si="12"/>
        <v>0</v>
      </c>
      <c r="Y20" s="17">
        <f t="shared" si="12"/>
        <v>13</v>
      </c>
      <c r="Z20" s="17">
        <f t="shared" si="12"/>
        <v>12</v>
      </c>
      <c r="AA20" s="17">
        <f t="shared" si="12"/>
        <v>5</v>
      </c>
      <c r="AB20" s="17">
        <f t="shared" si="12"/>
        <v>5</v>
      </c>
      <c r="AC20" s="17">
        <f t="shared" si="12"/>
        <v>360</v>
      </c>
      <c r="AD20" s="17">
        <f t="shared" si="12"/>
        <v>0</v>
      </c>
      <c r="AE20" s="31">
        <f t="shared" si="12"/>
        <v>417</v>
      </c>
      <c r="AF20" s="31">
        <f t="shared" si="12"/>
        <v>777</v>
      </c>
    </row>
    <row r="21" spans="2:32" ht="23.1" customHeight="1" x14ac:dyDescent="0.25">
      <c r="B21" s="23" t="s">
        <v>48</v>
      </c>
      <c r="C21" s="50">
        <v>30</v>
      </c>
      <c r="D21" s="50">
        <v>22</v>
      </c>
      <c r="E21" s="50">
        <v>6</v>
      </c>
      <c r="F21" s="50">
        <v>10</v>
      </c>
      <c r="G21" s="50">
        <v>0</v>
      </c>
      <c r="H21" s="50">
        <v>0</v>
      </c>
      <c r="I21" s="50">
        <v>0</v>
      </c>
      <c r="J21" s="50">
        <v>2</v>
      </c>
      <c r="K21" s="50">
        <v>0</v>
      </c>
      <c r="L21" s="50">
        <v>2</v>
      </c>
      <c r="M21" s="50">
        <v>75</v>
      </c>
      <c r="N21" s="50">
        <v>0</v>
      </c>
      <c r="O21" s="15">
        <f t="shared" si="0"/>
        <v>72</v>
      </c>
      <c r="P21" s="15">
        <f t="shared" si="1"/>
        <v>147</v>
      </c>
      <c r="R21" s="36" t="s">
        <v>20</v>
      </c>
      <c r="S21" s="34">
        <f t="shared" ref="S21:AF21" si="13">SUM(C54:C57)</f>
        <v>107</v>
      </c>
      <c r="T21" s="17">
        <f t="shared" si="13"/>
        <v>96</v>
      </c>
      <c r="U21" s="17">
        <f t="shared" si="13"/>
        <v>39</v>
      </c>
      <c r="V21" s="17">
        <f t="shared" si="13"/>
        <v>72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7</v>
      </c>
      <c r="AA21" s="17">
        <f t="shared" si="13"/>
        <v>3</v>
      </c>
      <c r="AB21" s="17">
        <f t="shared" si="13"/>
        <v>3</v>
      </c>
      <c r="AC21" s="17">
        <f t="shared" si="13"/>
        <v>344</v>
      </c>
      <c r="AD21" s="17">
        <f t="shared" si="13"/>
        <v>0</v>
      </c>
      <c r="AE21" s="31">
        <f t="shared" si="13"/>
        <v>335</v>
      </c>
      <c r="AF21" s="31">
        <f t="shared" si="13"/>
        <v>679</v>
      </c>
    </row>
    <row r="22" spans="2:32" ht="23.1" customHeight="1" x14ac:dyDescent="0.25">
      <c r="B22" s="23" t="s">
        <v>49</v>
      </c>
      <c r="C22" s="50">
        <v>28</v>
      </c>
      <c r="D22" s="50">
        <v>18</v>
      </c>
      <c r="E22" s="50">
        <v>21</v>
      </c>
      <c r="F22" s="50">
        <v>10</v>
      </c>
      <c r="G22" s="50">
        <v>0</v>
      </c>
      <c r="H22" s="50">
        <v>0</v>
      </c>
      <c r="I22" s="50">
        <v>3</v>
      </c>
      <c r="J22" s="50">
        <v>2</v>
      </c>
      <c r="K22" s="50">
        <v>0</v>
      </c>
      <c r="L22" s="50">
        <v>2</v>
      </c>
      <c r="M22" s="50">
        <v>90</v>
      </c>
      <c r="N22" s="50">
        <v>0</v>
      </c>
      <c r="O22" s="15">
        <f t="shared" si="0"/>
        <v>84</v>
      </c>
      <c r="P22" s="15">
        <f t="shared" si="1"/>
        <v>174</v>
      </c>
      <c r="R22" s="38" t="s">
        <v>90</v>
      </c>
      <c r="S22" s="39">
        <f>MAX(S10:S12)</f>
        <v>256</v>
      </c>
      <c r="T22" s="39">
        <f t="shared" ref="T22:AF22" si="14">MAX(T10:T12)</f>
        <v>265</v>
      </c>
      <c r="U22" s="39">
        <f t="shared" si="14"/>
        <v>80</v>
      </c>
      <c r="V22" s="39">
        <f t="shared" si="14"/>
        <v>76</v>
      </c>
      <c r="W22" s="39">
        <f t="shared" si="14"/>
        <v>2</v>
      </c>
      <c r="X22" s="39">
        <f t="shared" si="14"/>
        <v>0</v>
      </c>
      <c r="Y22" s="39">
        <f t="shared" si="14"/>
        <v>24</v>
      </c>
      <c r="Z22" s="39">
        <f t="shared" si="14"/>
        <v>10</v>
      </c>
      <c r="AA22" s="39">
        <f t="shared" si="14"/>
        <v>2</v>
      </c>
      <c r="AB22" s="39">
        <f t="shared" si="14"/>
        <v>9</v>
      </c>
      <c r="AC22" s="39">
        <f t="shared" si="14"/>
        <v>450</v>
      </c>
      <c r="AD22" s="39">
        <f t="shared" si="14"/>
        <v>0</v>
      </c>
      <c r="AE22" s="40">
        <f t="shared" si="14"/>
        <v>698</v>
      </c>
      <c r="AF22" s="40">
        <f t="shared" si="14"/>
        <v>1123</v>
      </c>
    </row>
    <row r="23" spans="2:32" ht="23.1" customHeight="1" x14ac:dyDescent="0.25">
      <c r="B23" s="23" t="s">
        <v>50</v>
      </c>
      <c r="C23" s="50">
        <v>25</v>
      </c>
      <c r="D23" s="50">
        <v>30</v>
      </c>
      <c r="E23" s="50">
        <v>12</v>
      </c>
      <c r="F23" s="50">
        <v>11</v>
      </c>
      <c r="G23" s="50">
        <v>0</v>
      </c>
      <c r="H23" s="50">
        <v>0</v>
      </c>
      <c r="I23" s="50">
        <v>4</v>
      </c>
      <c r="J23" s="50">
        <v>0</v>
      </c>
      <c r="K23" s="50">
        <v>1</v>
      </c>
      <c r="L23" s="50">
        <v>3</v>
      </c>
      <c r="M23" s="50">
        <v>85</v>
      </c>
      <c r="N23" s="50">
        <v>0</v>
      </c>
      <c r="O23" s="15">
        <f t="shared" si="0"/>
        <v>86</v>
      </c>
      <c r="P23" s="15">
        <f t="shared" si="1"/>
        <v>171</v>
      </c>
      <c r="R23" s="38" t="s">
        <v>91</v>
      </c>
      <c r="S23" s="39">
        <f>MAX(S13:S18)</f>
        <v>137</v>
      </c>
      <c r="T23" s="39">
        <f t="shared" ref="T23:AF23" si="15">MAX(T13:T18)</f>
        <v>111</v>
      </c>
      <c r="U23" s="39">
        <f t="shared" si="15"/>
        <v>60</v>
      </c>
      <c r="V23" s="39">
        <f t="shared" si="15"/>
        <v>65</v>
      </c>
      <c r="W23" s="39">
        <f t="shared" si="15"/>
        <v>1</v>
      </c>
      <c r="X23" s="39">
        <f t="shared" si="15"/>
        <v>0</v>
      </c>
      <c r="Y23" s="39">
        <f t="shared" si="15"/>
        <v>24</v>
      </c>
      <c r="Z23" s="39">
        <f t="shared" si="15"/>
        <v>11</v>
      </c>
      <c r="AA23" s="39">
        <f t="shared" si="15"/>
        <v>6</v>
      </c>
      <c r="AB23" s="39">
        <f t="shared" si="15"/>
        <v>8</v>
      </c>
      <c r="AC23" s="39">
        <f t="shared" si="15"/>
        <v>440</v>
      </c>
      <c r="AD23" s="39">
        <f t="shared" si="15"/>
        <v>1</v>
      </c>
      <c r="AE23" s="40">
        <f t="shared" si="15"/>
        <v>380</v>
      </c>
      <c r="AF23" s="40">
        <f t="shared" si="15"/>
        <v>820</v>
      </c>
    </row>
    <row r="24" spans="2:32" ht="23.1" customHeight="1" x14ac:dyDescent="0.25">
      <c r="B24" s="23" t="s">
        <v>51</v>
      </c>
      <c r="C24" s="50">
        <v>20</v>
      </c>
      <c r="D24" s="50">
        <v>15</v>
      </c>
      <c r="E24" s="50">
        <v>2</v>
      </c>
      <c r="F24" s="50">
        <v>16</v>
      </c>
      <c r="G24" s="50">
        <v>0</v>
      </c>
      <c r="H24" s="50">
        <v>0</v>
      </c>
      <c r="I24" s="50">
        <v>6</v>
      </c>
      <c r="J24" s="50">
        <v>1</v>
      </c>
      <c r="K24" s="50">
        <v>0</v>
      </c>
      <c r="L24" s="50">
        <v>1</v>
      </c>
      <c r="M24" s="50">
        <v>100</v>
      </c>
      <c r="N24" s="50">
        <v>0</v>
      </c>
      <c r="O24" s="15">
        <f t="shared" si="0"/>
        <v>61</v>
      </c>
      <c r="P24" s="15">
        <f t="shared" si="1"/>
        <v>161</v>
      </c>
      <c r="R24" s="38" t="s">
        <v>92</v>
      </c>
      <c r="S24" s="39">
        <f>MAX(S19:S21)</f>
        <v>150</v>
      </c>
      <c r="T24" s="39">
        <f t="shared" ref="T24:AF24" si="16">MAX(T19:T21)</f>
        <v>133</v>
      </c>
      <c r="U24" s="39">
        <f t="shared" si="16"/>
        <v>66</v>
      </c>
      <c r="V24" s="39">
        <f t="shared" si="16"/>
        <v>82</v>
      </c>
      <c r="W24" s="39">
        <f t="shared" si="16"/>
        <v>3</v>
      </c>
      <c r="X24" s="39">
        <f t="shared" si="16"/>
        <v>0</v>
      </c>
      <c r="Y24" s="39">
        <f t="shared" si="16"/>
        <v>16</v>
      </c>
      <c r="Z24" s="39">
        <f t="shared" si="16"/>
        <v>12</v>
      </c>
      <c r="AA24" s="39">
        <f t="shared" si="16"/>
        <v>5</v>
      </c>
      <c r="AB24" s="39">
        <f t="shared" si="16"/>
        <v>5</v>
      </c>
      <c r="AC24" s="39">
        <f t="shared" si="16"/>
        <v>360</v>
      </c>
      <c r="AD24" s="39">
        <f t="shared" si="16"/>
        <v>0</v>
      </c>
      <c r="AE24" s="40">
        <f t="shared" si="16"/>
        <v>449</v>
      </c>
      <c r="AF24" s="40">
        <f t="shared" si="16"/>
        <v>806</v>
      </c>
    </row>
    <row r="25" spans="2:32" ht="23.1" customHeight="1" x14ac:dyDescent="0.25">
      <c r="B25" s="23" t="s">
        <v>52</v>
      </c>
      <c r="C25" s="50">
        <v>23</v>
      </c>
      <c r="D25" s="50">
        <v>15</v>
      </c>
      <c r="E25" s="50">
        <v>6</v>
      </c>
      <c r="F25" s="50">
        <v>15</v>
      </c>
      <c r="G25" s="50">
        <v>0</v>
      </c>
      <c r="H25" s="50">
        <v>0</v>
      </c>
      <c r="I25" s="50">
        <v>11</v>
      </c>
      <c r="J25" s="50">
        <v>1</v>
      </c>
      <c r="K25" s="50">
        <v>1</v>
      </c>
      <c r="L25" s="50">
        <v>2</v>
      </c>
      <c r="M25" s="50">
        <v>90</v>
      </c>
      <c r="N25" s="50">
        <v>0</v>
      </c>
      <c r="O25" s="15">
        <f t="shared" si="0"/>
        <v>74</v>
      </c>
      <c r="P25" s="15">
        <f t="shared" si="1"/>
        <v>164</v>
      </c>
      <c r="R25" s="37" t="s">
        <v>85</v>
      </c>
      <c r="S25" s="35">
        <f t="shared" ref="S25:AF25" si="17">SUM(S10:S12)</f>
        <v>573</v>
      </c>
      <c r="T25" s="16">
        <f t="shared" si="17"/>
        <v>555</v>
      </c>
      <c r="U25" s="16">
        <f t="shared" si="17"/>
        <v>194</v>
      </c>
      <c r="V25" s="16">
        <f t="shared" si="17"/>
        <v>190</v>
      </c>
      <c r="W25" s="16">
        <f t="shared" si="17"/>
        <v>4</v>
      </c>
      <c r="X25" s="16">
        <f t="shared" si="17"/>
        <v>0</v>
      </c>
      <c r="Y25" s="16">
        <f t="shared" si="17"/>
        <v>48</v>
      </c>
      <c r="Z25" s="16">
        <f t="shared" si="17"/>
        <v>19</v>
      </c>
      <c r="AA25" s="16">
        <f t="shared" si="17"/>
        <v>4</v>
      </c>
      <c r="AB25" s="16">
        <f t="shared" si="17"/>
        <v>16</v>
      </c>
      <c r="AC25" s="16">
        <f t="shared" si="17"/>
        <v>1250</v>
      </c>
      <c r="AD25" s="16">
        <f t="shared" si="17"/>
        <v>0</v>
      </c>
      <c r="AE25" s="32">
        <f t="shared" si="17"/>
        <v>1603</v>
      </c>
      <c r="AF25" s="32">
        <f t="shared" si="17"/>
        <v>2853</v>
      </c>
    </row>
    <row r="26" spans="2:32" ht="23.1" customHeight="1" x14ac:dyDescent="0.25">
      <c r="B26" s="23" t="s">
        <v>53</v>
      </c>
      <c r="C26" s="50">
        <v>5</v>
      </c>
      <c r="D26" s="50">
        <v>11</v>
      </c>
      <c r="E26" s="50">
        <v>5</v>
      </c>
      <c r="F26" s="50">
        <v>8</v>
      </c>
      <c r="G26" s="50">
        <v>0</v>
      </c>
      <c r="H26" s="50">
        <v>0</v>
      </c>
      <c r="I26" s="50">
        <v>3</v>
      </c>
      <c r="J26" s="50">
        <v>1</v>
      </c>
      <c r="K26" s="50">
        <v>1</v>
      </c>
      <c r="L26" s="50">
        <v>4</v>
      </c>
      <c r="M26" s="50">
        <v>92</v>
      </c>
      <c r="N26" s="50">
        <v>0</v>
      </c>
      <c r="O26" s="15">
        <f t="shared" si="0"/>
        <v>38</v>
      </c>
      <c r="P26" s="15">
        <f t="shared" si="1"/>
        <v>130</v>
      </c>
      <c r="R26" s="28" t="s">
        <v>86</v>
      </c>
      <c r="S26" s="16">
        <f t="shared" ref="S26:AF26" si="18">SUM(S13:S18)</f>
        <v>624</v>
      </c>
      <c r="T26" s="16">
        <f t="shared" si="18"/>
        <v>499</v>
      </c>
      <c r="U26" s="16">
        <f t="shared" si="18"/>
        <v>259</v>
      </c>
      <c r="V26" s="16">
        <f t="shared" si="18"/>
        <v>265</v>
      </c>
      <c r="W26" s="16">
        <f t="shared" si="18"/>
        <v>2</v>
      </c>
      <c r="X26" s="16">
        <f t="shared" si="18"/>
        <v>0</v>
      </c>
      <c r="Y26" s="16">
        <f t="shared" si="18"/>
        <v>110</v>
      </c>
      <c r="Z26" s="16">
        <f t="shared" si="18"/>
        <v>45</v>
      </c>
      <c r="AA26" s="16">
        <f t="shared" si="18"/>
        <v>17</v>
      </c>
      <c r="AB26" s="16">
        <f t="shared" si="18"/>
        <v>32</v>
      </c>
      <c r="AC26" s="16">
        <f t="shared" si="18"/>
        <v>2290</v>
      </c>
      <c r="AD26" s="16">
        <f t="shared" si="18"/>
        <v>1</v>
      </c>
      <c r="AE26" s="32">
        <f t="shared" si="18"/>
        <v>1854</v>
      </c>
      <c r="AF26" s="32">
        <f t="shared" si="18"/>
        <v>4144</v>
      </c>
    </row>
    <row r="27" spans="2:32" ht="23.1" customHeight="1" x14ac:dyDescent="0.25">
      <c r="B27" s="23" t="s">
        <v>54</v>
      </c>
      <c r="C27" s="50">
        <v>41</v>
      </c>
      <c r="D27" s="50">
        <v>9</v>
      </c>
      <c r="E27" s="50">
        <v>4</v>
      </c>
      <c r="F27" s="50">
        <v>10</v>
      </c>
      <c r="G27" s="50">
        <v>0</v>
      </c>
      <c r="H27" s="50">
        <v>0</v>
      </c>
      <c r="I27" s="50">
        <v>3</v>
      </c>
      <c r="J27" s="50">
        <v>1</v>
      </c>
      <c r="K27" s="50">
        <v>1</v>
      </c>
      <c r="L27" s="50">
        <v>2</v>
      </c>
      <c r="M27" s="50">
        <v>105</v>
      </c>
      <c r="N27" s="50">
        <v>0</v>
      </c>
      <c r="O27" s="15">
        <f t="shared" si="0"/>
        <v>71</v>
      </c>
      <c r="P27" s="15">
        <f t="shared" si="1"/>
        <v>176</v>
      </c>
      <c r="R27" s="29" t="s">
        <v>87</v>
      </c>
      <c r="S27" s="16">
        <f t="shared" ref="S27:AF27" si="19">SUM(S19:S21)</f>
        <v>377</v>
      </c>
      <c r="T27" s="16">
        <f t="shared" si="19"/>
        <v>352</v>
      </c>
      <c r="U27" s="16">
        <f t="shared" si="19"/>
        <v>160</v>
      </c>
      <c r="V27" s="16">
        <f t="shared" si="19"/>
        <v>220</v>
      </c>
      <c r="W27" s="16">
        <f t="shared" si="19"/>
        <v>5</v>
      </c>
      <c r="X27" s="16">
        <f t="shared" si="19"/>
        <v>0</v>
      </c>
      <c r="Y27" s="16">
        <f t="shared" si="19"/>
        <v>37</v>
      </c>
      <c r="Z27" s="16">
        <f t="shared" si="19"/>
        <v>28</v>
      </c>
      <c r="AA27" s="16">
        <f t="shared" si="19"/>
        <v>9</v>
      </c>
      <c r="AB27" s="16">
        <f t="shared" si="19"/>
        <v>13</v>
      </c>
      <c r="AC27" s="16">
        <f t="shared" si="19"/>
        <v>1061</v>
      </c>
      <c r="AD27" s="16">
        <f t="shared" si="19"/>
        <v>0</v>
      </c>
      <c r="AE27" s="32">
        <f t="shared" si="19"/>
        <v>1201</v>
      </c>
      <c r="AF27" s="32">
        <f t="shared" si="19"/>
        <v>2262</v>
      </c>
    </row>
    <row r="28" spans="2:32" ht="23.1" customHeight="1" x14ac:dyDescent="0.25">
      <c r="B28" s="23" t="s">
        <v>55</v>
      </c>
      <c r="C28" s="50">
        <v>30</v>
      </c>
      <c r="D28" s="50">
        <v>15</v>
      </c>
      <c r="E28" s="50">
        <v>7</v>
      </c>
      <c r="F28" s="50">
        <v>10</v>
      </c>
      <c r="G28" s="50">
        <v>0</v>
      </c>
      <c r="H28" s="50">
        <v>0</v>
      </c>
      <c r="I28" s="50">
        <v>6</v>
      </c>
      <c r="J28" s="50">
        <v>4</v>
      </c>
      <c r="K28" s="50">
        <v>1</v>
      </c>
      <c r="L28" s="50">
        <v>1</v>
      </c>
      <c r="M28" s="50">
        <v>110</v>
      </c>
      <c r="N28" s="50">
        <v>0</v>
      </c>
      <c r="O28" s="15">
        <f t="shared" si="0"/>
        <v>74</v>
      </c>
      <c r="P28" s="15">
        <f t="shared" si="1"/>
        <v>184</v>
      </c>
      <c r="R28" s="5" t="s">
        <v>17</v>
      </c>
      <c r="S28" s="16">
        <f t="shared" ref="S28:AF28" si="20">SUM(S10:S21)</f>
        <v>1574</v>
      </c>
      <c r="T28" s="16">
        <f t="shared" si="20"/>
        <v>1406</v>
      </c>
      <c r="U28" s="16">
        <f t="shared" si="20"/>
        <v>613</v>
      </c>
      <c r="V28" s="16">
        <f t="shared" si="20"/>
        <v>675</v>
      </c>
      <c r="W28" s="16">
        <f t="shared" si="20"/>
        <v>11</v>
      </c>
      <c r="X28" s="16">
        <f t="shared" si="20"/>
        <v>0</v>
      </c>
      <c r="Y28" s="16">
        <f t="shared" si="20"/>
        <v>195</v>
      </c>
      <c r="Z28" s="16">
        <f t="shared" si="20"/>
        <v>92</v>
      </c>
      <c r="AA28" s="16">
        <f t="shared" si="20"/>
        <v>30</v>
      </c>
      <c r="AB28" s="16">
        <f t="shared" si="20"/>
        <v>61</v>
      </c>
      <c r="AC28" s="16">
        <f t="shared" si="20"/>
        <v>4601</v>
      </c>
      <c r="AD28" s="16">
        <f t="shared" si="20"/>
        <v>1</v>
      </c>
      <c r="AE28" s="32">
        <f t="shared" si="20"/>
        <v>4658</v>
      </c>
      <c r="AF28" s="32">
        <f t="shared" si="20"/>
        <v>9259</v>
      </c>
    </row>
    <row r="29" spans="2:32" ht="23.1" customHeight="1" x14ac:dyDescent="0.25">
      <c r="B29" s="23" t="s">
        <v>56</v>
      </c>
      <c r="C29" s="50">
        <v>25</v>
      </c>
      <c r="D29" s="50">
        <v>15</v>
      </c>
      <c r="E29" s="50">
        <v>10</v>
      </c>
      <c r="F29" s="50">
        <v>10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107</v>
      </c>
      <c r="N29" s="50">
        <v>0</v>
      </c>
      <c r="O29" s="15">
        <f t="shared" si="0"/>
        <v>65</v>
      </c>
      <c r="P29" s="15">
        <f t="shared" si="1"/>
        <v>172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30</v>
      </c>
      <c r="E30" s="50">
        <v>15</v>
      </c>
      <c r="F30" s="50">
        <v>15</v>
      </c>
      <c r="G30" s="50">
        <v>1</v>
      </c>
      <c r="H30" s="50">
        <v>0</v>
      </c>
      <c r="I30" s="50">
        <v>4</v>
      </c>
      <c r="J30" s="50">
        <v>1</v>
      </c>
      <c r="K30" s="50">
        <v>4</v>
      </c>
      <c r="L30" s="50">
        <v>2</v>
      </c>
      <c r="M30" s="50">
        <v>100</v>
      </c>
      <c r="N30" s="50">
        <v>0</v>
      </c>
      <c r="O30" s="15">
        <f t="shared" si="0"/>
        <v>97</v>
      </c>
      <c r="P30" s="15">
        <f t="shared" si="1"/>
        <v>197</v>
      </c>
    </row>
    <row r="31" spans="2:32" ht="23.1" customHeight="1" x14ac:dyDescent="0.25">
      <c r="B31" s="24" t="s">
        <v>58</v>
      </c>
      <c r="C31" s="50">
        <v>20</v>
      </c>
      <c r="D31" s="50">
        <v>15</v>
      </c>
      <c r="E31" s="50">
        <v>12</v>
      </c>
      <c r="F31" s="50">
        <v>20</v>
      </c>
      <c r="G31" s="50">
        <v>0</v>
      </c>
      <c r="H31" s="50">
        <v>0</v>
      </c>
      <c r="I31" s="50">
        <v>6</v>
      </c>
      <c r="J31" s="50">
        <v>5</v>
      </c>
      <c r="K31" s="50">
        <v>0</v>
      </c>
      <c r="L31" s="50">
        <v>0</v>
      </c>
      <c r="M31" s="50">
        <v>135</v>
      </c>
      <c r="N31" s="50">
        <v>1</v>
      </c>
      <c r="O31" s="15">
        <f t="shared" si="0"/>
        <v>79</v>
      </c>
      <c r="P31" s="15">
        <f t="shared" si="1"/>
        <v>214</v>
      </c>
    </row>
    <row r="32" spans="2:32" ht="23.1" customHeight="1" x14ac:dyDescent="0.25">
      <c r="B32" s="24" t="s">
        <v>59</v>
      </c>
      <c r="C32" s="50">
        <v>25</v>
      </c>
      <c r="D32" s="50">
        <v>30</v>
      </c>
      <c r="E32" s="50">
        <v>5</v>
      </c>
      <c r="F32" s="50">
        <v>15</v>
      </c>
      <c r="G32" s="50">
        <v>0</v>
      </c>
      <c r="H32" s="50">
        <v>0</v>
      </c>
      <c r="I32" s="50">
        <v>6</v>
      </c>
      <c r="J32" s="50">
        <v>2</v>
      </c>
      <c r="K32" s="50">
        <v>1</v>
      </c>
      <c r="L32" s="50">
        <v>0</v>
      </c>
      <c r="M32" s="50">
        <v>85</v>
      </c>
      <c r="N32" s="50">
        <v>0</v>
      </c>
      <c r="O32" s="15">
        <f t="shared" si="0"/>
        <v>84</v>
      </c>
      <c r="P32" s="15">
        <f t="shared" si="1"/>
        <v>169</v>
      </c>
    </row>
    <row r="33" spans="2:20" ht="23.1" customHeight="1" x14ac:dyDescent="0.25">
      <c r="B33" s="23" t="s">
        <v>60</v>
      </c>
      <c r="C33" s="50">
        <v>30</v>
      </c>
      <c r="D33" s="50">
        <v>32</v>
      </c>
      <c r="E33" s="50">
        <v>28</v>
      </c>
      <c r="F33" s="50">
        <v>15</v>
      </c>
      <c r="G33" s="50">
        <v>0</v>
      </c>
      <c r="H33" s="50">
        <v>0</v>
      </c>
      <c r="I33" s="50">
        <v>8</v>
      </c>
      <c r="J33" s="50">
        <v>3</v>
      </c>
      <c r="K33" s="50">
        <v>1</v>
      </c>
      <c r="L33" s="50">
        <v>3</v>
      </c>
      <c r="M33" s="50">
        <v>120</v>
      </c>
      <c r="N33" s="50">
        <v>0</v>
      </c>
      <c r="O33" s="15">
        <f t="shared" si="0"/>
        <v>120</v>
      </c>
      <c r="P33" s="15">
        <f t="shared" si="1"/>
        <v>240</v>
      </c>
    </row>
    <row r="34" spans="2:20" ht="23.1" customHeight="1" x14ac:dyDescent="0.25">
      <c r="B34" s="24" t="s">
        <v>61</v>
      </c>
      <c r="C34" s="50">
        <v>20</v>
      </c>
      <c r="D34" s="50">
        <v>15</v>
      </c>
      <c r="E34" s="50">
        <v>8</v>
      </c>
      <c r="F34" s="50">
        <v>6</v>
      </c>
      <c r="G34" s="50">
        <v>0</v>
      </c>
      <c r="H34" s="50">
        <v>0</v>
      </c>
      <c r="I34" s="50">
        <v>3</v>
      </c>
      <c r="J34" s="50">
        <v>2</v>
      </c>
      <c r="K34" s="50">
        <v>1</v>
      </c>
      <c r="L34" s="50">
        <v>3</v>
      </c>
      <c r="M34" s="50">
        <v>130</v>
      </c>
      <c r="N34" s="50">
        <v>0</v>
      </c>
      <c r="O34" s="15">
        <f t="shared" si="0"/>
        <v>58</v>
      </c>
      <c r="P34" s="15">
        <f t="shared" si="1"/>
        <v>188</v>
      </c>
    </row>
    <row r="35" spans="2:20" ht="23.1" customHeight="1" x14ac:dyDescent="0.25">
      <c r="B35" s="24" t="s">
        <v>62</v>
      </c>
      <c r="C35" s="50">
        <v>10</v>
      </c>
      <c r="D35" s="50">
        <v>11</v>
      </c>
      <c r="E35" s="50">
        <v>7</v>
      </c>
      <c r="F35" s="50">
        <v>10</v>
      </c>
      <c r="G35" s="50">
        <v>0</v>
      </c>
      <c r="H35" s="50">
        <v>0</v>
      </c>
      <c r="I35" s="50">
        <v>2</v>
      </c>
      <c r="J35" s="50">
        <v>1</v>
      </c>
      <c r="K35" s="50">
        <v>1</v>
      </c>
      <c r="L35" s="50">
        <v>1</v>
      </c>
      <c r="M35" s="50">
        <v>75</v>
      </c>
      <c r="N35" s="50">
        <v>0</v>
      </c>
      <c r="O35" s="15">
        <f t="shared" si="0"/>
        <v>43</v>
      </c>
      <c r="P35" s="15">
        <f t="shared" si="1"/>
        <v>118</v>
      </c>
    </row>
    <row r="36" spans="2:20" ht="23.1" customHeight="1" x14ac:dyDescent="0.25">
      <c r="B36" s="24" t="s">
        <v>63</v>
      </c>
      <c r="C36" s="50">
        <v>32</v>
      </c>
      <c r="D36" s="50">
        <v>30</v>
      </c>
      <c r="E36" s="50">
        <v>10</v>
      </c>
      <c r="F36" s="50">
        <v>7</v>
      </c>
      <c r="G36" s="50">
        <v>0</v>
      </c>
      <c r="H36" s="50">
        <v>0</v>
      </c>
      <c r="I36" s="50">
        <v>3</v>
      </c>
      <c r="J36" s="50">
        <v>2</v>
      </c>
      <c r="K36" s="50">
        <v>2</v>
      </c>
      <c r="L36" s="50">
        <v>1</v>
      </c>
      <c r="M36" s="50">
        <v>80</v>
      </c>
      <c r="N36" s="50">
        <v>0</v>
      </c>
      <c r="O36" s="15">
        <f t="shared" si="0"/>
        <v>87</v>
      </c>
      <c r="P36" s="15">
        <f t="shared" si="1"/>
        <v>167</v>
      </c>
    </row>
    <row r="37" spans="2:20" ht="23.1" customHeight="1" x14ac:dyDescent="0.25">
      <c r="B37" s="23" t="s">
        <v>64</v>
      </c>
      <c r="C37" s="50">
        <v>35</v>
      </c>
      <c r="D37" s="50">
        <v>25</v>
      </c>
      <c r="E37" s="50">
        <v>10</v>
      </c>
      <c r="F37" s="50">
        <v>6</v>
      </c>
      <c r="G37" s="50">
        <v>0</v>
      </c>
      <c r="H37" s="50">
        <v>0</v>
      </c>
      <c r="I37" s="50">
        <v>3</v>
      </c>
      <c r="J37" s="50">
        <v>2</v>
      </c>
      <c r="K37" s="50">
        <v>1</v>
      </c>
      <c r="L37" s="50">
        <v>0</v>
      </c>
      <c r="M37" s="50">
        <v>60</v>
      </c>
      <c r="N37" s="50">
        <v>0</v>
      </c>
      <c r="O37" s="15">
        <f t="shared" si="0"/>
        <v>82</v>
      </c>
      <c r="P37" s="15">
        <f t="shared" si="1"/>
        <v>142</v>
      </c>
    </row>
    <row r="38" spans="2:20" ht="23.1" customHeight="1" x14ac:dyDescent="0.25">
      <c r="B38" s="24" t="s">
        <v>65</v>
      </c>
      <c r="C38" s="50">
        <v>30</v>
      </c>
      <c r="D38" s="50">
        <v>25</v>
      </c>
      <c r="E38" s="50">
        <v>9</v>
      </c>
      <c r="F38" s="50">
        <v>15</v>
      </c>
      <c r="G38" s="50">
        <v>0</v>
      </c>
      <c r="H38" s="50">
        <v>0</v>
      </c>
      <c r="I38" s="50">
        <v>5</v>
      </c>
      <c r="J38" s="50">
        <v>3</v>
      </c>
      <c r="K38" s="50">
        <v>0</v>
      </c>
      <c r="L38" s="50">
        <v>1</v>
      </c>
      <c r="M38" s="50">
        <v>100</v>
      </c>
      <c r="N38" s="50">
        <v>0</v>
      </c>
      <c r="O38" s="15">
        <f t="shared" si="0"/>
        <v>88</v>
      </c>
      <c r="P38" s="15">
        <f t="shared" si="1"/>
        <v>188</v>
      </c>
    </row>
    <row r="39" spans="2:20" ht="23.1" customHeight="1" x14ac:dyDescent="0.25">
      <c r="B39" s="24" t="s">
        <v>66</v>
      </c>
      <c r="C39" s="50">
        <v>25</v>
      </c>
      <c r="D39" s="50">
        <v>12</v>
      </c>
      <c r="E39" s="50">
        <v>7</v>
      </c>
      <c r="F39" s="50">
        <v>13</v>
      </c>
      <c r="G39" s="50">
        <v>0</v>
      </c>
      <c r="H39" s="50">
        <v>0</v>
      </c>
      <c r="I39" s="50">
        <v>7</v>
      </c>
      <c r="J39" s="50">
        <v>2</v>
      </c>
      <c r="K39" s="50">
        <v>0</v>
      </c>
      <c r="L39" s="50">
        <v>0</v>
      </c>
      <c r="M39" s="50">
        <v>75</v>
      </c>
      <c r="N39" s="50">
        <v>0</v>
      </c>
      <c r="O39" s="15">
        <f t="shared" si="0"/>
        <v>66</v>
      </c>
      <c r="P39" s="15">
        <f t="shared" si="1"/>
        <v>141</v>
      </c>
    </row>
    <row r="40" spans="2:20" ht="23.1" customHeight="1" x14ac:dyDescent="0.25">
      <c r="B40" s="24" t="s">
        <v>67</v>
      </c>
      <c r="C40" s="50">
        <v>13</v>
      </c>
      <c r="D40" s="50">
        <v>10</v>
      </c>
      <c r="E40" s="50">
        <v>5</v>
      </c>
      <c r="F40" s="50">
        <v>10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1</v>
      </c>
      <c r="M40" s="50">
        <v>80</v>
      </c>
      <c r="N40" s="50">
        <v>0</v>
      </c>
      <c r="O40" s="15">
        <f t="shared" si="0"/>
        <v>43</v>
      </c>
      <c r="P40" s="15">
        <f t="shared" si="1"/>
        <v>123</v>
      </c>
    </row>
    <row r="41" spans="2:20" ht="23.1" customHeight="1" x14ac:dyDescent="0.25">
      <c r="B41" s="23" t="s">
        <v>68</v>
      </c>
      <c r="C41" s="50">
        <v>25</v>
      </c>
      <c r="D41" s="50">
        <v>25</v>
      </c>
      <c r="E41" s="50">
        <v>30</v>
      </c>
      <c r="F41" s="50">
        <v>10</v>
      </c>
      <c r="G41" s="50">
        <v>0</v>
      </c>
      <c r="H41" s="50">
        <v>0</v>
      </c>
      <c r="I41" s="50">
        <v>5</v>
      </c>
      <c r="J41" s="50">
        <v>2</v>
      </c>
      <c r="K41" s="50">
        <v>1</v>
      </c>
      <c r="L41" s="50">
        <v>2</v>
      </c>
      <c r="M41" s="50">
        <v>71</v>
      </c>
      <c r="N41" s="50">
        <v>0</v>
      </c>
      <c r="O41" s="15">
        <f t="shared" si="0"/>
        <v>100</v>
      </c>
      <c r="P41" s="15">
        <f t="shared" si="1"/>
        <v>171</v>
      </c>
    </row>
    <row r="42" spans="2:20" ht="23.1" customHeight="1" x14ac:dyDescent="0.25">
      <c r="B42" s="24" t="s">
        <v>69</v>
      </c>
      <c r="C42" s="50">
        <v>25</v>
      </c>
      <c r="D42" s="50">
        <v>21</v>
      </c>
      <c r="E42" s="50">
        <v>12</v>
      </c>
      <c r="F42" s="50">
        <v>6</v>
      </c>
      <c r="G42" s="50">
        <v>0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50">
        <v>135</v>
      </c>
      <c r="N42" s="50">
        <v>0</v>
      </c>
      <c r="O42" s="15">
        <f t="shared" si="0"/>
        <v>71</v>
      </c>
      <c r="P42" s="15">
        <f t="shared" si="1"/>
        <v>206</v>
      </c>
    </row>
    <row r="43" spans="2:20" ht="23.1" customHeight="1" x14ac:dyDescent="0.25">
      <c r="B43" s="23" t="s">
        <v>70</v>
      </c>
      <c r="C43" s="50">
        <v>42</v>
      </c>
      <c r="D43" s="50">
        <v>30</v>
      </c>
      <c r="E43" s="50">
        <v>6</v>
      </c>
      <c r="F43" s="50">
        <v>14</v>
      </c>
      <c r="G43" s="50">
        <v>0</v>
      </c>
      <c r="H43" s="50">
        <v>0</v>
      </c>
      <c r="I43" s="50">
        <v>6</v>
      </c>
      <c r="J43" s="50">
        <v>4</v>
      </c>
      <c r="K43" s="50">
        <v>0</v>
      </c>
      <c r="L43" s="50">
        <v>0</v>
      </c>
      <c r="M43" s="50">
        <v>95</v>
      </c>
      <c r="N43" s="50">
        <v>0</v>
      </c>
      <c r="O43" s="15">
        <f t="shared" si="0"/>
        <v>102</v>
      </c>
      <c r="P43" s="15">
        <f t="shared" si="1"/>
        <v>197</v>
      </c>
    </row>
    <row r="44" spans="2:20" ht="23.1" customHeight="1" x14ac:dyDescent="0.25">
      <c r="B44" s="25" t="s">
        <v>71</v>
      </c>
      <c r="C44" s="50">
        <v>35</v>
      </c>
      <c r="D44" s="50">
        <v>25</v>
      </c>
      <c r="E44" s="50">
        <v>15</v>
      </c>
      <c r="F44" s="50">
        <v>6</v>
      </c>
      <c r="G44" s="50">
        <v>1</v>
      </c>
      <c r="H44" s="50">
        <v>0</v>
      </c>
      <c r="I44" s="50">
        <v>1</v>
      </c>
      <c r="J44" s="50">
        <v>3</v>
      </c>
      <c r="K44" s="50">
        <v>0</v>
      </c>
      <c r="L44" s="50">
        <v>2</v>
      </c>
      <c r="M44" s="50">
        <v>85</v>
      </c>
      <c r="N44" s="50">
        <v>0</v>
      </c>
      <c r="O44" s="15">
        <f t="shared" si="0"/>
        <v>88</v>
      </c>
      <c r="P44" s="15">
        <f t="shared" si="1"/>
        <v>173</v>
      </c>
    </row>
    <row r="45" spans="2:20" ht="23.1" customHeight="1" x14ac:dyDescent="0.25">
      <c r="B45" s="23" t="s">
        <v>72</v>
      </c>
      <c r="C45" s="50">
        <v>35</v>
      </c>
      <c r="D45" s="50">
        <v>35</v>
      </c>
      <c r="E45" s="50">
        <v>13</v>
      </c>
      <c r="F45" s="50">
        <v>7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1</v>
      </c>
      <c r="M45" s="50">
        <v>85</v>
      </c>
      <c r="N45" s="50">
        <v>0</v>
      </c>
      <c r="O45" s="15">
        <f t="shared" si="0"/>
        <v>93</v>
      </c>
      <c r="P45" s="15">
        <f t="shared" si="1"/>
        <v>178</v>
      </c>
    </row>
    <row r="46" spans="2:20" ht="23.1" customHeight="1" x14ac:dyDescent="0.25">
      <c r="B46" s="24" t="s">
        <v>73</v>
      </c>
      <c r="C46" s="50">
        <v>45</v>
      </c>
      <c r="D46" s="50">
        <v>18</v>
      </c>
      <c r="E46" s="50">
        <v>10</v>
      </c>
      <c r="F46" s="50">
        <v>5</v>
      </c>
      <c r="G46" s="50">
        <v>1</v>
      </c>
      <c r="H46" s="50">
        <v>0</v>
      </c>
      <c r="I46" s="50">
        <v>4</v>
      </c>
      <c r="J46" s="50">
        <v>2</v>
      </c>
      <c r="K46" s="50">
        <v>1</v>
      </c>
      <c r="L46" s="50">
        <v>1</v>
      </c>
      <c r="M46" s="50">
        <v>92</v>
      </c>
      <c r="N46" s="50">
        <v>0</v>
      </c>
      <c r="O46" s="15">
        <f t="shared" si="0"/>
        <v>87</v>
      </c>
      <c r="P46" s="15">
        <f t="shared" si="1"/>
        <v>179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33</v>
      </c>
      <c r="E47" s="50">
        <v>10</v>
      </c>
      <c r="F47" s="50">
        <v>21</v>
      </c>
      <c r="G47" s="50">
        <v>0</v>
      </c>
      <c r="H47" s="50">
        <v>0</v>
      </c>
      <c r="I47" s="50">
        <v>3</v>
      </c>
      <c r="J47" s="50">
        <v>2</v>
      </c>
      <c r="K47" s="50">
        <v>0</v>
      </c>
      <c r="L47" s="50">
        <v>1</v>
      </c>
      <c r="M47" s="50">
        <v>80</v>
      </c>
      <c r="N47" s="50">
        <v>0</v>
      </c>
      <c r="O47" s="15">
        <f t="shared" si="0"/>
        <v>100</v>
      </c>
      <c r="P47" s="15">
        <f t="shared" si="1"/>
        <v>180</v>
      </c>
      <c r="R47" s="8"/>
      <c r="T47"/>
    </row>
    <row r="48" spans="2:20" ht="23.1" customHeight="1" x14ac:dyDescent="0.25">
      <c r="B48" s="24" t="s">
        <v>75</v>
      </c>
      <c r="C48" s="50">
        <v>45</v>
      </c>
      <c r="D48" s="50">
        <v>50</v>
      </c>
      <c r="E48" s="50">
        <v>16</v>
      </c>
      <c r="F48" s="50">
        <v>15</v>
      </c>
      <c r="G48" s="50">
        <v>2</v>
      </c>
      <c r="H48" s="50">
        <v>0</v>
      </c>
      <c r="I48" s="50">
        <v>5</v>
      </c>
      <c r="J48" s="50">
        <v>2</v>
      </c>
      <c r="K48" s="50">
        <v>0</v>
      </c>
      <c r="L48" s="50">
        <v>0</v>
      </c>
      <c r="M48" s="50">
        <v>85</v>
      </c>
      <c r="N48" s="50">
        <v>0</v>
      </c>
      <c r="O48" s="15">
        <f t="shared" si="0"/>
        <v>135</v>
      </c>
      <c r="P48" s="15">
        <f t="shared" si="1"/>
        <v>220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32</v>
      </c>
      <c r="E49" s="50">
        <v>30</v>
      </c>
      <c r="F49" s="50">
        <v>25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3</v>
      </c>
      <c r="M49" s="50">
        <v>100</v>
      </c>
      <c r="N49" s="50">
        <v>0</v>
      </c>
      <c r="O49" s="15">
        <f t="shared" si="0"/>
        <v>127</v>
      </c>
      <c r="P49" s="15">
        <f t="shared" si="1"/>
        <v>227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35</v>
      </c>
      <c r="E50" s="50">
        <v>20</v>
      </c>
      <c r="F50" s="50">
        <v>15</v>
      </c>
      <c r="G50" s="50">
        <v>1</v>
      </c>
      <c r="H50" s="50">
        <v>0</v>
      </c>
      <c r="I50" s="50">
        <v>2</v>
      </c>
      <c r="J50" s="50">
        <v>3</v>
      </c>
      <c r="K50" s="50">
        <v>2</v>
      </c>
      <c r="L50" s="50">
        <v>1</v>
      </c>
      <c r="M50" s="50">
        <v>90</v>
      </c>
      <c r="N50" s="50">
        <v>0</v>
      </c>
      <c r="O50" s="15">
        <f t="shared" si="0"/>
        <v>109</v>
      </c>
      <c r="P50" s="15">
        <f t="shared" si="1"/>
        <v>199</v>
      </c>
      <c r="R50" s="8"/>
      <c r="T50"/>
    </row>
    <row r="51" spans="2:20" ht="23.1" customHeight="1" x14ac:dyDescent="0.25">
      <c r="B51" s="24" t="s">
        <v>78</v>
      </c>
      <c r="C51" s="50">
        <v>32</v>
      </c>
      <c r="D51" s="50">
        <v>30</v>
      </c>
      <c r="E51" s="50">
        <v>17</v>
      </c>
      <c r="F51" s="50">
        <v>12</v>
      </c>
      <c r="G51" s="50">
        <v>0</v>
      </c>
      <c r="H51" s="50">
        <v>0</v>
      </c>
      <c r="I51" s="50">
        <v>5</v>
      </c>
      <c r="J51" s="50">
        <v>2</v>
      </c>
      <c r="K51" s="50">
        <v>1</v>
      </c>
      <c r="L51" s="50">
        <v>2</v>
      </c>
      <c r="M51" s="50">
        <v>95</v>
      </c>
      <c r="N51" s="50">
        <v>0</v>
      </c>
      <c r="O51" s="15">
        <f t="shared" si="0"/>
        <v>101</v>
      </c>
      <c r="P51" s="15">
        <f t="shared" si="1"/>
        <v>196</v>
      </c>
      <c r="R51" s="8"/>
      <c r="T51"/>
    </row>
    <row r="52" spans="2:20" ht="23.1" customHeight="1" x14ac:dyDescent="0.25">
      <c r="B52" s="24" t="s">
        <v>79</v>
      </c>
      <c r="C52" s="50">
        <v>35</v>
      </c>
      <c r="D52" s="50">
        <v>30</v>
      </c>
      <c r="E52" s="50">
        <v>10</v>
      </c>
      <c r="F52" s="50">
        <v>35</v>
      </c>
      <c r="G52" s="50">
        <v>1</v>
      </c>
      <c r="H52" s="50">
        <v>0</v>
      </c>
      <c r="I52" s="50">
        <v>3</v>
      </c>
      <c r="J52" s="50">
        <v>4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118</v>
      </c>
      <c r="P52" s="15">
        <f t="shared" si="1"/>
        <v>203</v>
      </c>
      <c r="R52" s="8"/>
      <c r="T52"/>
    </row>
    <row r="53" spans="2:20" ht="23.1" customHeight="1" x14ac:dyDescent="0.25">
      <c r="B53" s="23" t="s">
        <v>80</v>
      </c>
      <c r="C53" s="50">
        <v>23</v>
      </c>
      <c r="D53" s="50">
        <v>28</v>
      </c>
      <c r="E53" s="50">
        <v>8</v>
      </c>
      <c r="F53" s="50">
        <v>20</v>
      </c>
      <c r="G53" s="50">
        <v>0</v>
      </c>
      <c r="H53" s="50">
        <v>0</v>
      </c>
      <c r="I53" s="50">
        <v>3</v>
      </c>
      <c r="J53" s="50">
        <v>3</v>
      </c>
      <c r="K53" s="50">
        <v>2</v>
      </c>
      <c r="L53" s="50">
        <v>2</v>
      </c>
      <c r="M53" s="50">
        <v>90</v>
      </c>
      <c r="N53" s="50">
        <v>0</v>
      </c>
      <c r="O53" s="15">
        <f t="shared" si="0"/>
        <v>89</v>
      </c>
      <c r="P53" s="15">
        <f t="shared" si="1"/>
        <v>179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35</v>
      </c>
      <c r="E54" s="50">
        <v>6</v>
      </c>
      <c r="F54" s="50">
        <v>15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1</v>
      </c>
      <c r="M54" s="50">
        <v>80</v>
      </c>
      <c r="N54" s="50">
        <v>0</v>
      </c>
      <c r="O54" s="15">
        <f t="shared" si="0"/>
        <v>100</v>
      </c>
      <c r="P54" s="15">
        <f t="shared" si="1"/>
        <v>180</v>
      </c>
      <c r="R54" s="8"/>
      <c r="T54"/>
    </row>
    <row r="55" spans="2:20" ht="23.1" customHeight="1" x14ac:dyDescent="0.25">
      <c r="B55" s="23" t="s">
        <v>82</v>
      </c>
      <c r="C55" s="50">
        <v>25</v>
      </c>
      <c r="D55" s="50">
        <v>28</v>
      </c>
      <c r="E55" s="50">
        <v>8</v>
      </c>
      <c r="F55" s="50">
        <v>20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1</v>
      </c>
      <c r="M55" s="50">
        <v>89</v>
      </c>
      <c r="N55" s="50">
        <v>0</v>
      </c>
      <c r="O55" s="15">
        <f t="shared" si="0"/>
        <v>86</v>
      </c>
      <c r="P55" s="15">
        <f t="shared" si="1"/>
        <v>175</v>
      </c>
      <c r="R55" s="8"/>
      <c r="T55"/>
    </row>
    <row r="56" spans="2:20" ht="23.1" customHeight="1" x14ac:dyDescent="0.25">
      <c r="B56" s="23" t="s">
        <v>83</v>
      </c>
      <c r="C56" s="50">
        <v>20</v>
      </c>
      <c r="D56" s="50">
        <v>23</v>
      </c>
      <c r="E56" s="50">
        <v>15</v>
      </c>
      <c r="F56" s="50">
        <v>18</v>
      </c>
      <c r="G56" s="50">
        <v>0</v>
      </c>
      <c r="H56" s="50">
        <v>0</v>
      </c>
      <c r="I56" s="50">
        <v>4</v>
      </c>
      <c r="J56" s="50">
        <v>2</v>
      </c>
      <c r="K56" s="50">
        <v>2</v>
      </c>
      <c r="L56" s="50">
        <v>1</v>
      </c>
      <c r="M56" s="50">
        <v>75</v>
      </c>
      <c r="N56" s="50">
        <v>0</v>
      </c>
      <c r="O56" s="15">
        <f t="shared" si="0"/>
        <v>85</v>
      </c>
      <c r="P56" s="15">
        <f t="shared" si="1"/>
        <v>160</v>
      </c>
      <c r="R56" s="8"/>
      <c r="T56"/>
    </row>
    <row r="57" spans="2:20" ht="23.1" customHeight="1" x14ac:dyDescent="0.25">
      <c r="B57" s="23" t="s">
        <v>84</v>
      </c>
      <c r="C57" s="50">
        <v>22</v>
      </c>
      <c r="D57" s="50">
        <v>10</v>
      </c>
      <c r="E57" s="50">
        <v>10</v>
      </c>
      <c r="F57" s="50">
        <v>19</v>
      </c>
      <c r="G57" s="50">
        <v>0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>
        <v>100</v>
      </c>
      <c r="N57" s="50">
        <v>0</v>
      </c>
      <c r="O57" s="15">
        <f t="shared" si="0"/>
        <v>64</v>
      </c>
      <c r="P57" s="15">
        <f t="shared" si="1"/>
        <v>164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1574</v>
      </c>
      <c r="D58" s="16">
        <f t="shared" si="21"/>
        <v>1406</v>
      </c>
      <c r="E58" s="16">
        <f t="shared" si="21"/>
        <v>613</v>
      </c>
      <c r="F58" s="16">
        <f t="shared" si="21"/>
        <v>675</v>
      </c>
      <c r="G58" s="16">
        <f t="shared" si="21"/>
        <v>11</v>
      </c>
      <c r="H58" s="16">
        <f t="shared" si="21"/>
        <v>0</v>
      </c>
      <c r="I58" s="16">
        <f t="shared" si="21"/>
        <v>195</v>
      </c>
      <c r="J58" s="16">
        <f t="shared" si="21"/>
        <v>92</v>
      </c>
      <c r="K58" s="16">
        <f t="shared" si="21"/>
        <v>30</v>
      </c>
      <c r="L58" s="16">
        <f t="shared" si="21"/>
        <v>61</v>
      </c>
      <c r="M58" s="16">
        <f t="shared" si="21"/>
        <v>4601</v>
      </c>
      <c r="N58" s="16">
        <f t="shared" si="21"/>
        <v>1</v>
      </c>
      <c r="O58" s="16">
        <f t="shared" si="21"/>
        <v>4658</v>
      </c>
      <c r="P58" s="16">
        <f t="shared" si="21"/>
        <v>9259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0.16999675990927746</v>
      </c>
      <c r="D59" s="43">
        <f t="shared" si="22"/>
        <v>0.15185225186305218</v>
      </c>
      <c r="E59" s="43">
        <f t="shared" si="22"/>
        <v>6.6205853763905392E-2</v>
      </c>
      <c r="F59" s="43">
        <f t="shared" si="22"/>
        <v>7.2902041257155201E-2</v>
      </c>
      <c r="G59" s="43">
        <f t="shared" si="22"/>
        <v>1.1880332649314182E-3</v>
      </c>
      <c r="H59" s="43">
        <f t="shared" si="22"/>
        <v>0</v>
      </c>
      <c r="I59" s="43">
        <f t="shared" si="22"/>
        <v>2.1060589696511502E-2</v>
      </c>
      <c r="J59" s="43">
        <f t="shared" si="22"/>
        <v>9.9362782157900419E-3</v>
      </c>
      <c r="K59" s="43">
        <f t="shared" si="22"/>
        <v>3.2400907225402309E-3</v>
      </c>
      <c r="L59" s="43">
        <f t="shared" si="22"/>
        <v>6.5881844691651368E-3</v>
      </c>
      <c r="M59" s="43">
        <f t="shared" si="22"/>
        <v>0.4969219138135868</v>
      </c>
      <c r="N59" s="43">
        <f t="shared" si="22"/>
        <v>1.0800302408467438E-4</v>
      </c>
      <c r="R59" s="8"/>
      <c r="T59"/>
    </row>
    <row r="60" spans="2:20" ht="23.1" customHeight="1" x14ac:dyDescent="0.25">
      <c r="B60" s="42" t="s">
        <v>94</v>
      </c>
      <c r="C60" s="44">
        <f>C58/$O$58</f>
        <v>0.33791326749677975</v>
      </c>
      <c r="D60" s="44">
        <f t="shared" ref="D60:N60" si="23">D58/$O$58</f>
        <v>0.3018462859596393</v>
      </c>
      <c r="E60" s="44">
        <f t="shared" si="23"/>
        <v>0.13160154572778016</v>
      </c>
      <c r="F60" s="44">
        <f t="shared" si="23"/>
        <v>0.14491197939029626</v>
      </c>
      <c r="G60" s="44">
        <f t="shared" si="23"/>
        <v>2.3615285530270503E-3</v>
      </c>
      <c r="H60" s="44">
        <f t="shared" si="23"/>
        <v>0</v>
      </c>
      <c r="I60" s="44">
        <f t="shared" si="23"/>
        <v>4.1863460712752251E-2</v>
      </c>
      <c r="J60" s="44">
        <f t="shared" si="23"/>
        <v>1.9750966079862601E-2</v>
      </c>
      <c r="K60" s="44">
        <f t="shared" si="23"/>
        <v>6.4405324173465008E-3</v>
      </c>
      <c r="L60" s="44">
        <f t="shared" si="23"/>
        <v>1.3095749248604552E-2</v>
      </c>
      <c r="M60" s="44"/>
      <c r="N60" s="44">
        <f t="shared" si="23"/>
        <v>2.1468441391155003E-4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0" zoomScale="60" workbookViewId="0">
      <selection activeCell="I33" sqref="I3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Kisaasi-Ntinda'!D5</f>
        <v>02.08.19</v>
      </c>
      <c r="E5" s="3"/>
      <c r="F5" s="41" t="s">
        <v>1</v>
      </c>
      <c r="G5" s="65" t="str">
        <f>'02.08 Kisaasi-Ntinda'!G5:H5</f>
        <v>Ndere Center</v>
      </c>
      <c r="H5" s="66"/>
      <c r="I5" s="14"/>
      <c r="J5" s="2" t="s">
        <v>5</v>
      </c>
      <c r="K5" s="65" t="s">
        <v>170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Ntinda-Kisaasi'!D6:E6</f>
        <v xml:space="preserve">Ntinda </v>
      </c>
      <c r="E6" s="66"/>
      <c r="F6" s="2" t="s">
        <v>2</v>
      </c>
      <c r="G6" s="65" t="str">
        <f>'29.07 Ntinda-Kisaasi'!G6:H6</f>
        <v>Kisaasi</v>
      </c>
      <c r="H6" s="66"/>
      <c r="J6" s="2" t="s">
        <v>21</v>
      </c>
      <c r="K6" s="65" t="str">
        <f>'02.08 Kisaasi-Ntinda'!K6:L6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30</v>
      </c>
      <c r="D10" s="50">
        <v>9</v>
      </c>
      <c r="E10" s="50">
        <v>2</v>
      </c>
      <c r="F10" s="50">
        <v>13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1</v>
      </c>
      <c r="M10" s="50">
        <v>60</v>
      </c>
      <c r="N10" s="50">
        <v>0</v>
      </c>
      <c r="O10" s="15">
        <f t="shared" ref="O10:O57" si="0">SUM(C10:L10,N10)</f>
        <v>58</v>
      </c>
      <c r="P10" s="15">
        <f t="shared" ref="P10:P57" si="1">SUM(C10:N10)</f>
        <v>118</v>
      </c>
      <c r="R10" s="1" t="s">
        <v>6</v>
      </c>
      <c r="S10" s="17">
        <f t="shared" ref="S10:AF10" si="2">SUM(C10:C13)</f>
        <v>150</v>
      </c>
      <c r="T10" s="17">
        <f t="shared" si="2"/>
        <v>51</v>
      </c>
      <c r="U10" s="17">
        <f t="shared" si="2"/>
        <v>20</v>
      </c>
      <c r="V10" s="17">
        <f t="shared" si="2"/>
        <v>88</v>
      </c>
      <c r="W10" s="17">
        <f t="shared" si="2"/>
        <v>2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3</v>
      </c>
      <c r="AB10" s="17">
        <f t="shared" si="2"/>
        <v>1</v>
      </c>
      <c r="AC10" s="17">
        <f t="shared" si="2"/>
        <v>455</v>
      </c>
      <c r="AD10" s="17">
        <f t="shared" si="2"/>
        <v>0</v>
      </c>
      <c r="AE10" s="31">
        <f t="shared" si="2"/>
        <v>326</v>
      </c>
      <c r="AF10" s="31">
        <f t="shared" si="2"/>
        <v>781</v>
      </c>
    </row>
    <row r="11" spans="2:32" s="6" customFormat="1" ht="23.1" customHeight="1" x14ac:dyDescent="0.25">
      <c r="B11" s="23" t="s">
        <v>38</v>
      </c>
      <c r="C11" s="50">
        <v>53</v>
      </c>
      <c r="D11" s="50">
        <v>22</v>
      </c>
      <c r="E11" s="50">
        <v>12</v>
      </c>
      <c r="F11" s="50">
        <v>20</v>
      </c>
      <c r="G11" s="50">
        <v>2</v>
      </c>
      <c r="H11" s="50">
        <v>0</v>
      </c>
      <c r="I11" s="50">
        <v>2</v>
      </c>
      <c r="J11" s="50">
        <v>3</v>
      </c>
      <c r="K11" s="50">
        <v>3</v>
      </c>
      <c r="L11" s="50">
        <v>0</v>
      </c>
      <c r="M11" s="50">
        <v>125</v>
      </c>
      <c r="N11" s="50">
        <v>0</v>
      </c>
      <c r="O11" s="15">
        <f t="shared" si="0"/>
        <v>117</v>
      </c>
      <c r="P11" s="15">
        <f t="shared" si="1"/>
        <v>242</v>
      </c>
      <c r="R11" s="1" t="s">
        <v>7</v>
      </c>
      <c r="S11" s="17">
        <f t="shared" ref="S11:AF11" si="3">SUM(C14:C17)</f>
        <v>108</v>
      </c>
      <c r="T11" s="17">
        <f t="shared" si="3"/>
        <v>51</v>
      </c>
      <c r="U11" s="17">
        <f t="shared" si="3"/>
        <v>22</v>
      </c>
      <c r="V11" s="17">
        <f t="shared" si="3"/>
        <v>119</v>
      </c>
      <c r="W11" s="17">
        <f t="shared" si="3"/>
        <v>1</v>
      </c>
      <c r="X11" s="17">
        <f t="shared" si="3"/>
        <v>0</v>
      </c>
      <c r="Y11" s="17">
        <f t="shared" si="3"/>
        <v>14</v>
      </c>
      <c r="Z11" s="17">
        <f t="shared" si="3"/>
        <v>1</v>
      </c>
      <c r="AA11" s="17">
        <f t="shared" si="3"/>
        <v>0</v>
      </c>
      <c r="AB11" s="17">
        <f t="shared" si="3"/>
        <v>3</v>
      </c>
      <c r="AC11" s="17">
        <f t="shared" si="3"/>
        <v>475</v>
      </c>
      <c r="AD11" s="17">
        <f t="shared" si="3"/>
        <v>0</v>
      </c>
      <c r="AE11" s="31">
        <f t="shared" si="3"/>
        <v>319</v>
      </c>
      <c r="AF11" s="31">
        <f t="shared" si="3"/>
        <v>794</v>
      </c>
    </row>
    <row r="12" spans="2:32" ht="23.1" customHeight="1" x14ac:dyDescent="0.25">
      <c r="B12" s="23" t="s">
        <v>39</v>
      </c>
      <c r="C12" s="50">
        <v>43</v>
      </c>
      <c r="D12" s="50">
        <v>12</v>
      </c>
      <c r="E12" s="50">
        <v>2</v>
      </c>
      <c r="F12" s="50">
        <v>30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130</v>
      </c>
      <c r="N12" s="50">
        <v>0</v>
      </c>
      <c r="O12" s="15">
        <f t="shared" si="0"/>
        <v>89</v>
      </c>
      <c r="P12" s="15">
        <f t="shared" si="1"/>
        <v>219</v>
      </c>
      <c r="R12" s="1" t="s">
        <v>8</v>
      </c>
      <c r="S12" s="17">
        <f t="shared" ref="S12:AF12" si="4">SUM(C18:C21)</f>
        <v>116</v>
      </c>
      <c r="T12" s="17">
        <f t="shared" si="4"/>
        <v>49</v>
      </c>
      <c r="U12" s="17">
        <f t="shared" si="4"/>
        <v>33</v>
      </c>
      <c r="V12" s="17">
        <f t="shared" si="4"/>
        <v>85</v>
      </c>
      <c r="W12" s="17">
        <f t="shared" si="4"/>
        <v>0</v>
      </c>
      <c r="X12" s="17">
        <f t="shared" si="4"/>
        <v>0</v>
      </c>
      <c r="Y12" s="17">
        <f t="shared" si="4"/>
        <v>20</v>
      </c>
      <c r="Z12" s="17">
        <f t="shared" si="4"/>
        <v>2</v>
      </c>
      <c r="AA12" s="17">
        <f t="shared" si="4"/>
        <v>0</v>
      </c>
      <c r="AB12" s="17">
        <f t="shared" si="4"/>
        <v>7</v>
      </c>
      <c r="AC12" s="17">
        <f t="shared" si="4"/>
        <v>425</v>
      </c>
      <c r="AD12" s="17">
        <f t="shared" si="4"/>
        <v>0</v>
      </c>
      <c r="AE12" s="31">
        <f t="shared" si="4"/>
        <v>312</v>
      </c>
      <c r="AF12" s="31">
        <f t="shared" si="4"/>
        <v>737</v>
      </c>
    </row>
    <row r="13" spans="2:32" ht="23.1" customHeight="1" x14ac:dyDescent="0.25">
      <c r="B13" s="23" t="s">
        <v>40</v>
      </c>
      <c r="C13" s="50">
        <v>24</v>
      </c>
      <c r="D13" s="50">
        <v>8</v>
      </c>
      <c r="E13" s="50">
        <v>4</v>
      </c>
      <c r="F13" s="50">
        <v>25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140</v>
      </c>
      <c r="N13" s="50">
        <v>0</v>
      </c>
      <c r="O13" s="15">
        <f t="shared" si="0"/>
        <v>62</v>
      </c>
      <c r="P13" s="15">
        <f t="shared" si="1"/>
        <v>202</v>
      </c>
      <c r="R13" s="1" t="s">
        <v>9</v>
      </c>
      <c r="S13" s="17">
        <f t="shared" ref="S13:AF13" si="5">SUM(C22:C25)</f>
        <v>148</v>
      </c>
      <c r="T13" s="17">
        <f t="shared" si="5"/>
        <v>89</v>
      </c>
      <c r="U13" s="17">
        <f t="shared" si="5"/>
        <v>25</v>
      </c>
      <c r="V13" s="17">
        <f t="shared" si="5"/>
        <v>65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8</v>
      </c>
      <c r="AA13" s="17">
        <f t="shared" si="5"/>
        <v>1</v>
      </c>
      <c r="AB13" s="17">
        <f t="shared" si="5"/>
        <v>5</v>
      </c>
      <c r="AC13" s="17">
        <f t="shared" si="5"/>
        <v>383</v>
      </c>
      <c r="AD13" s="17">
        <f t="shared" si="5"/>
        <v>0</v>
      </c>
      <c r="AE13" s="31">
        <f t="shared" si="5"/>
        <v>351</v>
      </c>
      <c r="AF13" s="31">
        <f t="shared" si="5"/>
        <v>734</v>
      </c>
    </row>
    <row r="14" spans="2:32" ht="23.1" customHeight="1" x14ac:dyDescent="0.25">
      <c r="B14" s="23" t="s">
        <v>41</v>
      </c>
      <c r="C14" s="50">
        <v>33</v>
      </c>
      <c r="D14" s="50">
        <v>14</v>
      </c>
      <c r="E14" s="50">
        <v>7</v>
      </c>
      <c r="F14" s="50">
        <v>37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1</v>
      </c>
      <c r="M14" s="50">
        <v>120</v>
      </c>
      <c r="N14" s="50">
        <v>0</v>
      </c>
      <c r="O14" s="15">
        <f t="shared" si="0"/>
        <v>97</v>
      </c>
      <c r="P14" s="15">
        <f t="shared" si="1"/>
        <v>217</v>
      </c>
      <c r="R14" s="1" t="s">
        <v>10</v>
      </c>
      <c r="S14" s="17">
        <f t="shared" ref="S14:AF14" si="6">SUM(C26:C29)</f>
        <v>142</v>
      </c>
      <c r="T14" s="17">
        <f t="shared" si="6"/>
        <v>81</v>
      </c>
      <c r="U14" s="17">
        <f t="shared" si="6"/>
        <v>23</v>
      </c>
      <c r="V14" s="17">
        <f t="shared" si="6"/>
        <v>68</v>
      </c>
      <c r="W14" s="17">
        <f t="shared" si="6"/>
        <v>1</v>
      </c>
      <c r="X14" s="17">
        <f t="shared" si="6"/>
        <v>0</v>
      </c>
      <c r="Y14" s="17">
        <f t="shared" si="6"/>
        <v>22</v>
      </c>
      <c r="Z14" s="17">
        <f t="shared" si="6"/>
        <v>8</v>
      </c>
      <c r="AA14" s="17">
        <f t="shared" si="6"/>
        <v>7</v>
      </c>
      <c r="AB14" s="17">
        <f t="shared" si="6"/>
        <v>8</v>
      </c>
      <c r="AC14" s="17">
        <f t="shared" si="6"/>
        <v>265</v>
      </c>
      <c r="AD14" s="17">
        <f t="shared" si="6"/>
        <v>0</v>
      </c>
      <c r="AE14" s="31">
        <f t="shared" si="6"/>
        <v>360</v>
      </c>
      <c r="AF14" s="31">
        <f t="shared" si="6"/>
        <v>625</v>
      </c>
    </row>
    <row r="15" spans="2:32" ht="23.1" customHeight="1" x14ac:dyDescent="0.25">
      <c r="B15" s="23" t="s">
        <v>42</v>
      </c>
      <c r="C15" s="50">
        <v>20</v>
      </c>
      <c r="D15" s="50">
        <v>17</v>
      </c>
      <c r="E15" s="50">
        <v>4</v>
      </c>
      <c r="F15" s="50">
        <v>20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1</v>
      </c>
      <c r="M15" s="50">
        <v>110</v>
      </c>
      <c r="N15" s="50">
        <v>0</v>
      </c>
      <c r="O15" s="15">
        <f t="shared" si="0"/>
        <v>62</v>
      </c>
      <c r="P15" s="15">
        <f t="shared" si="1"/>
        <v>172</v>
      </c>
      <c r="R15" s="1" t="s">
        <v>11</v>
      </c>
      <c r="S15" s="17">
        <f t="shared" ref="S15:AF15" si="7">SUM(C30:C33)</f>
        <v>137</v>
      </c>
      <c r="T15" s="17">
        <f t="shared" si="7"/>
        <v>74</v>
      </c>
      <c r="U15" s="17">
        <f t="shared" si="7"/>
        <v>19</v>
      </c>
      <c r="V15" s="17">
        <f t="shared" si="7"/>
        <v>70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9</v>
      </c>
      <c r="AA15" s="17">
        <f t="shared" si="7"/>
        <v>3</v>
      </c>
      <c r="AB15" s="17">
        <f t="shared" si="7"/>
        <v>6</v>
      </c>
      <c r="AC15" s="17">
        <f t="shared" si="7"/>
        <v>220</v>
      </c>
      <c r="AD15" s="17">
        <f t="shared" si="7"/>
        <v>0</v>
      </c>
      <c r="AE15" s="31">
        <f t="shared" si="7"/>
        <v>333</v>
      </c>
      <c r="AF15" s="31">
        <f t="shared" si="7"/>
        <v>553</v>
      </c>
    </row>
    <row r="16" spans="2:32" ht="23.1" customHeight="1" x14ac:dyDescent="0.25">
      <c r="B16" s="23" t="s">
        <v>43</v>
      </c>
      <c r="C16" s="50">
        <v>25</v>
      </c>
      <c r="D16" s="50">
        <v>7</v>
      </c>
      <c r="E16" s="50">
        <v>4</v>
      </c>
      <c r="F16" s="50">
        <v>27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105</v>
      </c>
      <c r="N16" s="50">
        <v>0</v>
      </c>
      <c r="O16" s="15">
        <f t="shared" si="0"/>
        <v>69</v>
      </c>
      <c r="P16" s="15">
        <f t="shared" si="1"/>
        <v>174</v>
      </c>
      <c r="R16" s="1" t="s">
        <v>12</v>
      </c>
      <c r="S16" s="17">
        <f t="shared" ref="S16:AF16" si="8">SUM(C34:C37)</f>
        <v>90</v>
      </c>
      <c r="T16" s="17">
        <f t="shared" si="8"/>
        <v>75</v>
      </c>
      <c r="U16" s="17">
        <f t="shared" si="8"/>
        <v>35</v>
      </c>
      <c r="V16" s="17">
        <f t="shared" si="8"/>
        <v>74</v>
      </c>
      <c r="W16" s="17">
        <f t="shared" si="8"/>
        <v>3</v>
      </c>
      <c r="X16" s="17">
        <f t="shared" si="8"/>
        <v>0</v>
      </c>
      <c r="Y16" s="17">
        <f t="shared" si="8"/>
        <v>14</v>
      </c>
      <c r="Z16" s="17">
        <f t="shared" si="8"/>
        <v>13</v>
      </c>
      <c r="AA16" s="17">
        <f t="shared" si="8"/>
        <v>5</v>
      </c>
      <c r="AB16" s="17">
        <f t="shared" si="8"/>
        <v>5</v>
      </c>
      <c r="AC16" s="17">
        <f t="shared" si="8"/>
        <v>295</v>
      </c>
      <c r="AD16" s="17">
        <f t="shared" si="8"/>
        <v>2</v>
      </c>
      <c r="AE16" s="31">
        <f t="shared" si="8"/>
        <v>316</v>
      </c>
      <c r="AF16" s="31">
        <f t="shared" si="8"/>
        <v>611</v>
      </c>
    </row>
    <row r="17" spans="2:32" ht="23.1" customHeight="1" x14ac:dyDescent="0.25">
      <c r="B17" s="23" t="s">
        <v>44</v>
      </c>
      <c r="C17" s="50">
        <v>30</v>
      </c>
      <c r="D17" s="50">
        <v>13</v>
      </c>
      <c r="E17" s="50">
        <v>7</v>
      </c>
      <c r="F17" s="50">
        <v>35</v>
      </c>
      <c r="G17" s="50">
        <v>1</v>
      </c>
      <c r="H17" s="50">
        <v>0</v>
      </c>
      <c r="I17" s="50">
        <v>4</v>
      </c>
      <c r="J17" s="50">
        <v>0</v>
      </c>
      <c r="K17" s="50">
        <v>0</v>
      </c>
      <c r="L17" s="50">
        <v>1</v>
      </c>
      <c r="M17" s="50">
        <v>140</v>
      </c>
      <c r="N17" s="50">
        <v>0</v>
      </c>
      <c r="O17" s="15">
        <f t="shared" si="0"/>
        <v>91</v>
      </c>
      <c r="P17" s="15">
        <f t="shared" si="1"/>
        <v>231</v>
      </c>
      <c r="R17" s="1" t="s">
        <v>13</v>
      </c>
      <c r="S17" s="17">
        <f t="shared" ref="S17:AF17" si="9">SUM(C38:C41)</f>
        <v>142</v>
      </c>
      <c r="T17" s="17">
        <f t="shared" si="9"/>
        <v>83</v>
      </c>
      <c r="U17" s="17">
        <f t="shared" si="9"/>
        <v>21</v>
      </c>
      <c r="V17" s="17">
        <f t="shared" si="9"/>
        <v>69</v>
      </c>
      <c r="W17" s="17">
        <f t="shared" si="9"/>
        <v>4</v>
      </c>
      <c r="X17" s="17">
        <f t="shared" si="9"/>
        <v>0</v>
      </c>
      <c r="Y17" s="17">
        <f t="shared" si="9"/>
        <v>23</v>
      </c>
      <c r="Z17" s="17">
        <f t="shared" si="9"/>
        <v>9</v>
      </c>
      <c r="AA17" s="17">
        <f t="shared" si="9"/>
        <v>6</v>
      </c>
      <c r="AB17" s="17">
        <f t="shared" si="9"/>
        <v>5</v>
      </c>
      <c r="AC17" s="17">
        <f t="shared" si="9"/>
        <v>351</v>
      </c>
      <c r="AD17" s="17">
        <f t="shared" si="9"/>
        <v>0</v>
      </c>
      <c r="AE17" s="31">
        <f t="shared" si="9"/>
        <v>362</v>
      </c>
      <c r="AF17" s="31">
        <f t="shared" si="9"/>
        <v>713</v>
      </c>
    </row>
    <row r="18" spans="2:32" ht="23.1" customHeight="1" x14ac:dyDescent="0.25">
      <c r="B18" s="23" t="s">
        <v>45</v>
      </c>
      <c r="C18" s="50">
        <v>28</v>
      </c>
      <c r="D18" s="50">
        <v>12</v>
      </c>
      <c r="E18" s="50">
        <v>2</v>
      </c>
      <c r="F18" s="50">
        <v>24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3</v>
      </c>
      <c r="M18" s="50">
        <v>80</v>
      </c>
      <c r="N18" s="50">
        <v>0</v>
      </c>
      <c r="O18" s="15">
        <f t="shared" si="0"/>
        <v>72</v>
      </c>
      <c r="P18" s="15">
        <f t="shared" si="1"/>
        <v>152</v>
      </c>
      <c r="R18" s="1" t="s">
        <v>14</v>
      </c>
      <c r="S18" s="17">
        <f t="shared" ref="S18:AF18" si="10">SUM(C42:C45)</f>
        <v>149</v>
      </c>
      <c r="T18" s="17">
        <f t="shared" si="10"/>
        <v>70</v>
      </c>
      <c r="U18" s="17">
        <f t="shared" si="10"/>
        <v>31</v>
      </c>
      <c r="V18" s="17">
        <f t="shared" si="10"/>
        <v>56</v>
      </c>
      <c r="W18" s="17">
        <f t="shared" si="10"/>
        <v>0</v>
      </c>
      <c r="X18" s="17">
        <f t="shared" si="10"/>
        <v>1</v>
      </c>
      <c r="Y18" s="17">
        <f t="shared" si="10"/>
        <v>23</v>
      </c>
      <c r="Z18" s="17">
        <f t="shared" si="10"/>
        <v>6</v>
      </c>
      <c r="AA18" s="17">
        <f t="shared" si="10"/>
        <v>1</v>
      </c>
      <c r="AB18" s="17">
        <f t="shared" si="10"/>
        <v>8</v>
      </c>
      <c r="AC18" s="17">
        <f t="shared" si="10"/>
        <v>360</v>
      </c>
      <c r="AD18" s="17">
        <f t="shared" si="10"/>
        <v>0</v>
      </c>
      <c r="AE18" s="31">
        <f t="shared" si="10"/>
        <v>345</v>
      </c>
      <c r="AF18" s="31">
        <f t="shared" si="10"/>
        <v>705</v>
      </c>
    </row>
    <row r="19" spans="2:32" ht="23.1" customHeight="1" x14ac:dyDescent="0.25">
      <c r="B19" s="23" t="s">
        <v>46</v>
      </c>
      <c r="C19" s="50">
        <v>17</v>
      </c>
      <c r="D19" s="50">
        <v>11</v>
      </c>
      <c r="E19" s="50">
        <v>12</v>
      </c>
      <c r="F19" s="50">
        <v>15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100</v>
      </c>
      <c r="N19" s="50">
        <v>0</v>
      </c>
      <c r="O19" s="15">
        <f t="shared" si="0"/>
        <v>60</v>
      </c>
      <c r="P19" s="15">
        <f t="shared" si="1"/>
        <v>160</v>
      </c>
      <c r="R19" s="1" t="s">
        <v>15</v>
      </c>
      <c r="S19" s="17">
        <f t="shared" ref="S19:AF19" si="11">SUM(C46:C49)</f>
        <v>205</v>
      </c>
      <c r="T19" s="17">
        <f t="shared" si="11"/>
        <v>51</v>
      </c>
      <c r="U19" s="17">
        <f t="shared" si="11"/>
        <v>34</v>
      </c>
      <c r="V19" s="17">
        <f t="shared" si="11"/>
        <v>58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6</v>
      </c>
      <c r="AA19" s="17">
        <f t="shared" si="11"/>
        <v>3</v>
      </c>
      <c r="AB19" s="17">
        <f t="shared" si="11"/>
        <v>6</v>
      </c>
      <c r="AC19" s="17">
        <f t="shared" si="11"/>
        <v>344</v>
      </c>
      <c r="AD19" s="17">
        <f t="shared" si="11"/>
        <v>0</v>
      </c>
      <c r="AE19" s="31">
        <f t="shared" si="11"/>
        <v>373</v>
      </c>
      <c r="AF19" s="31">
        <f t="shared" si="11"/>
        <v>717</v>
      </c>
    </row>
    <row r="20" spans="2:32" ht="23.1" customHeight="1" x14ac:dyDescent="0.25">
      <c r="B20" s="23" t="s">
        <v>47</v>
      </c>
      <c r="C20" s="50">
        <v>36</v>
      </c>
      <c r="D20" s="50">
        <v>14</v>
      </c>
      <c r="E20" s="50">
        <v>9</v>
      </c>
      <c r="F20" s="50">
        <v>32</v>
      </c>
      <c r="G20" s="50">
        <v>0</v>
      </c>
      <c r="H20" s="50">
        <v>0</v>
      </c>
      <c r="I20" s="50">
        <v>6</v>
      </c>
      <c r="J20" s="50">
        <v>1</v>
      </c>
      <c r="K20" s="50">
        <v>0</v>
      </c>
      <c r="L20" s="50">
        <v>0</v>
      </c>
      <c r="M20" s="50">
        <v>120</v>
      </c>
      <c r="N20" s="50">
        <v>0</v>
      </c>
      <c r="O20" s="15">
        <f t="shared" si="0"/>
        <v>98</v>
      </c>
      <c r="P20" s="15">
        <f t="shared" si="1"/>
        <v>218</v>
      </c>
      <c r="R20" s="1" t="s">
        <v>16</v>
      </c>
      <c r="S20" s="17">
        <f t="shared" ref="S20:AF20" si="12">SUM(C50:C53)</f>
        <v>212</v>
      </c>
      <c r="T20" s="17">
        <f t="shared" si="12"/>
        <v>101</v>
      </c>
      <c r="U20" s="17">
        <f t="shared" si="12"/>
        <v>26</v>
      </c>
      <c r="V20" s="17">
        <f t="shared" si="12"/>
        <v>49</v>
      </c>
      <c r="W20" s="17">
        <f t="shared" si="12"/>
        <v>2</v>
      </c>
      <c r="X20" s="17">
        <f t="shared" si="12"/>
        <v>0</v>
      </c>
      <c r="Y20" s="17">
        <f t="shared" si="12"/>
        <v>14</v>
      </c>
      <c r="Z20" s="17">
        <f t="shared" si="12"/>
        <v>2</v>
      </c>
      <c r="AA20" s="17">
        <f t="shared" si="12"/>
        <v>2</v>
      </c>
      <c r="AB20" s="17">
        <f t="shared" si="12"/>
        <v>5</v>
      </c>
      <c r="AC20" s="17">
        <f t="shared" si="12"/>
        <v>275</v>
      </c>
      <c r="AD20" s="17">
        <f t="shared" si="12"/>
        <v>0</v>
      </c>
      <c r="AE20" s="31">
        <f t="shared" si="12"/>
        <v>413</v>
      </c>
      <c r="AF20" s="31">
        <f t="shared" si="12"/>
        <v>688</v>
      </c>
    </row>
    <row r="21" spans="2:32" ht="23.1" customHeight="1" x14ac:dyDescent="0.25">
      <c r="B21" s="23" t="s">
        <v>48</v>
      </c>
      <c r="C21" s="50">
        <v>35</v>
      </c>
      <c r="D21" s="50">
        <v>12</v>
      </c>
      <c r="E21" s="50">
        <v>10</v>
      </c>
      <c r="F21" s="50">
        <v>14</v>
      </c>
      <c r="G21" s="50">
        <v>0</v>
      </c>
      <c r="H21" s="50">
        <v>0</v>
      </c>
      <c r="I21" s="50">
        <v>7</v>
      </c>
      <c r="J21" s="50">
        <v>0</v>
      </c>
      <c r="K21" s="50">
        <v>0</v>
      </c>
      <c r="L21" s="50">
        <v>4</v>
      </c>
      <c r="M21" s="50">
        <v>125</v>
      </c>
      <c r="N21" s="50">
        <v>0</v>
      </c>
      <c r="O21" s="15">
        <f t="shared" si="0"/>
        <v>82</v>
      </c>
      <c r="P21" s="15">
        <f t="shared" si="1"/>
        <v>207</v>
      </c>
      <c r="R21" s="36" t="s">
        <v>20</v>
      </c>
      <c r="S21" s="34">
        <f t="shared" ref="S21:AF21" si="13">SUM(C54:C57)</f>
        <v>208</v>
      </c>
      <c r="T21" s="17">
        <f t="shared" si="13"/>
        <v>91</v>
      </c>
      <c r="U21" s="17">
        <f t="shared" si="13"/>
        <v>20</v>
      </c>
      <c r="V21" s="17">
        <f t="shared" si="13"/>
        <v>52</v>
      </c>
      <c r="W21" s="17">
        <f t="shared" si="13"/>
        <v>2</v>
      </c>
      <c r="X21" s="17">
        <f t="shared" si="13"/>
        <v>0</v>
      </c>
      <c r="Y21" s="17">
        <f t="shared" si="13"/>
        <v>16</v>
      </c>
      <c r="Z21" s="17">
        <f t="shared" si="13"/>
        <v>8</v>
      </c>
      <c r="AA21" s="17">
        <f t="shared" si="13"/>
        <v>2</v>
      </c>
      <c r="AB21" s="17">
        <f t="shared" si="13"/>
        <v>9</v>
      </c>
      <c r="AC21" s="17">
        <f t="shared" si="13"/>
        <v>280</v>
      </c>
      <c r="AD21" s="17">
        <f t="shared" si="13"/>
        <v>0</v>
      </c>
      <c r="AE21" s="31">
        <f t="shared" si="13"/>
        <v>408</v>
      </c>
      <c r="AF21" s="31">
        <f t="shared" si="13"/>
        <v>688</v>
      </c>
    </row>
    <row r="22" spans="2:32" ht="23.1" customHeight="1" x14ac:dyDescent="0.25">
      <c r="B22" s="23" t="s">
        <v>49</v>
      </c>
      <c r="C22" s="50">
        <v>24</v>
      </c>
      <c r="D22" s="50">
        <v>12</v>
      </c>
      <c r="E22" s="50">
        <v>6</v>
      </c>
      <c r="F22" s="50">
        <v>13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2</v>
      </c>
      <c r="M22" s="50">
        <v>120</v>
      </c>
      <c r="N22" s="50">
        <v>0</v>
      </c>
      <c r="O22" s="15">
        <f t="shared" si="0"/>
        <v>60</v>
      </c>
      <c r="P22" s="15">
        <f t="shared" si="1"/>
        <v>180</v>
      </c>
      <c r="R22" s="38" t="s">
        <v>90</v>
      </c>
      <c r="S22" s="39">
        <f>MAX(S10:S12)</f>
        <v>150</v>
      </c>
      <c r="T22" s="39">
        <f t="shared" ref="T22:AF22" si="14">MAX(T10:T12)</f>
        <v>51</v>
      </c>
      <c r="U22" s="39">
        <f t="shared" si="14"/>
        <v>33</v>
      </c>
      <c r="V22" s="39">
        <f t="shared" si="14"/>
        <v>119</v>
      </c>
      <c r="W22" s="39">
        <f t="shared" si="14"/>
        <v>2</v>
      </c>
      <c r="X22" s="39">
        <f t="shared" si="14"/>
        <v>0</v>
      </c>
      <c r="Y22" s="39">
        <f t="shared" si="14"/>
        <v>20</v>
      </c>
      <c r="Z22" s="39">
        <f t="shared" si="14"/>
        <v>4</v>
      </c>
      <c r="AA22" s="39">
        <f t="shared" si="14"/>
        <v>3</v>
      </c>
      <c r="AB22" s="39">
        <f t="shared" si="14"/>
        <v>7</v>
      </c>
      <c r="AC22" s="39">
        <f t="shared" si="14"/>
        <v>475</v>
      </c>
      <c r="AD22" s="39">
        <f t="shared" si="14"/>
        <v>0</v>
      </c>
      <c r="AE22" s="40">
        <f t="shared" si="14"/>
        <v>326</v>
      </c>
      <c r="AF22" s="40">
        <f t="shared" si="14"/>
        <v>794</v>
      </c>
    </row>
    <row r="23" spans="2:32" ht="23.1" customHeight="1" x14ac:dyDescent="0.25">
      <c r="B23" s="23" t="s">
        <v>50</v>
      </c>
      <c r="C23" s="50">
        <v>62</v>
      </c>
      <c r="D23" s="50">
        <v>41</v>
      </c>
      <c r="E23" s="50">
        <v>7</v>
      </c>
      <c r="F23" s="50">
        <v>25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1</v>
      </c>
      <c r="M23" s="50">
        <v>75</v>
      </c>
      <c r="N23" s="50">
        <v>0</v>
      </c>
      <c r="O23" s="15">
        <f t="shared" si="0"/>
        <v>138</v>
      </c>
      <c r="P23" s="15">
        <f t="shared" si="1"/>
        <v>213</v>
      </c>
      <c r="R23" s="38" t="s">
        <v>91</v>
      </c>
      <c r="S23" s="39">
        <f>MAX(S13:S18)</f>
        <v>149</v>
      </c>
      <c r="T23" s="39">
        <f t="shared" ref="T23:AF23" si="15">MAX(T13:T18)</f>
        <v>89</v>
      </c>
      <c r="U23" s="39">
        <f t="shared" si="15"/>
        <v>35</v>
      </c>
      <c r="V23" s="39">
        <f t="shared" si="15"/>
        <v>74</v>
      </c>
      <c r="W23" s="39">
        <f t="shared" si="15"/>
        <v>4</v>
      </c>
      <c r="X23" s="39">
        <f t="shared" si="15"/>
        <v>1</v>
      </c>
      <c r="Y23" s="39">
        <f t="shared" si="15"/>
        <v>23</v>
      </c>
      <c r="Z23" s="39">
        <f t="shared" si="15"/>
        <v>13</v>
      </c>
      <c r="AA23" s="39">
        <f t="shared" si="15"/>
        <v>7</v>
      </c>
      <c r="AB23" s="39">
        <f t="shared" si="15"/>
        <v>8</v>
      </c>
      <c r="AC23" s="39">
        <f t="shared" si="15"/>
        <v>383</v>
      </c>
      <c r="AD23" s="39">
        <f t="shared" si="15"/>
        <v>2</v>
      </c>
      <c r="AE23" s="40">
        <f t="shared" si="15"/>
        <v>362</v>
      </c>
      <c r="AF23" s="40">
        <f t="shared" si="15"/>
        <v>734</v>
      </c>
    </row>
    <row r="24" spans="2:32" ht="23.1" customHeight="1" x14ac:dyDescent="0.25">
      <c r="B24" s="23" t="s">
        <v>51</v>
      </c>
      <c r="C24" s="50">
        <v>32</v>
      </c>
      <c r="D24" s="50">
        <v>16</v>
      </c>
      <c r="E24" s="50">
        <v>6</v>
      </c>
      <c r="F24" s="50">
        <v>17</v>
      </c>
      <c r="G24" s="50">
        <v>0</v>
      </c>
      <c r="H24" s="50">
        <v>0</v>
      </c>
      <c r="I24" s="50">
        <v>5</v>
      </c>
      <c r="J24" s="50">
        <v>2</v>
      </c>
      <c r="K24" s="50">
        <v>0</v>
      </c>
      <c r="L24" s="50">
        <v>1</v>
      </c>
      <c r="M24" s="50">
        <v>90</v>
      </c>
      <c r="N24" s="50">
        <v>0</v>
      </c>
      <c r="O24" s="15">
        <f t="shared" si="0"/>
        <v>79</v>
      </c>
      <c r="P24" s="15">
        <f t="shared" si="1"/>
        <v>169</v>
      </c>
      <c r="R24" s="38" t="s">
        <v>92</v>
      </c>
      <c r="S24" s="39">
        <f>MAX(S19:S21)</f>
        <v>212</v>
      </c>
      <c r="T24" s="39">
        <f t="shared" ref="T24:AF24" si="16">MAX(T19:T21)</f>
        <v>101</v>
      </c>
      <c r="U24" s="39">
        <f t="shared" si="16"/>
        <v>34</v>
      </c>
      <c r="V24" s="39">
        <f t="shared" si="16"/>
        <v>58</v>
      </c>
      <c r="W24" s="39">
        <f t="shared" si="16"/>
        <v>2</v>
      </c>
      <c r="X24" s="39">
        <f t="shared" si="16"/>
        <v>0</v>
      </c>
      <c r="Y24" s="39">
        <f t="shared" si="16"/>
        <v>16</v>
      </c>
      <c r="Z24" s="39">
        <f t="shared" si="16"/>
        <v>8</v>
      </c>
      <c r="AA24" s="39">
        <f t="shared" si="16"/>
        <v>3</v>
      </c>
      <c r="AB24" s="39">
        <f t="shared" si="16"/>
        <v>9</v>
      </c>
      <c r="AC24" s="39">
        <f t="shared" si="16"/>
        <v>344</v>
      </c>
      <c r="AD24" s="39">
        <f t="shared" si="16"/>
        <v>0</v>
      </c>
      <c r="AE24" s="40">
        <f t="shared" si="16"/>
        <v>413</v>
      </c>
      <c r="AF24" s="40">
        <f t="shared" si="16"/>
        <v>717</v>
      </c>
    </row>
    <row r="25" spans="2:32" ht="23.1" customHeight="1" x14ac:dyDescent="0.25">
      <c r="B25" s="23" t="s">
        <v>52</v>
      </c>
      <c r="C25" s="50">
        <v>30</v>
      </c>
      <c r="D25" s="50">
        <v>20</v>
      </c>
      <c r="E25" s="50">
        <v>6</v>
      </c>
      <c r="F25" s="50">
        <v>10</v>
      </c>
      <c r="G25" s="50">
        <v>0</v>
      </c>
      <c r="H25" s="50">
        <v>0</v>
      </c>
      <c r="I25" s="50">
        <v>3</v>
      </c>
      <c r="J25" s="50">
        <v>4</v>
      </c>
      <c r="K25" s="50">
        <v>0</v>
      </c>
      <c r="L25" s="50">
        <v>1</v>
      </c>
      <c r="M25" s="50">
        <v>98</v>
      </c>
      <c r="N25" s="50">
        <v>0</v>
      </c>
      <c r="O25" s="15">
        <f t="shared" si="0"/>
        <v>74</v>
      </c>
      <c r="P25" s="15">
        <f t="shared" si="1"/>
        <v>172</v>
      </c>
      <c r="R25" s="37" t="s">
        <v>85</v>
      </c>
      <c r="S25" s="35">
        <f t="shared" ref="S25:AF25" si="17">SUM(S10:S12)</f>
        <v>374</v>
      </c>
      <c r="T25" s="16">
        <f t="shared" si="17"/>
        <v>151</v>
      </c>
      <c r="U25" s="16">
        <f t="shared" si="17"/>
        <v>75</v>
      </c>
      <c r="V25" s="16">
        <f t="shared" si="17"/>
        <v>292</v>
      </c>
      <c r="W25" s="16">
        <f t="shared" si="17"/>
        <v>3</v>
      </c>
      <c r="X25" s="16">
        <f t="shared" si="17"/>
        <v>0</v>
      </c>
      <c r="Y25" s="16">
        <f t="shared" si="17"/>
        <v>41</v>
      </c>
      <c r="Z25" s="16">
        <f t="shared" si="17"/>
        <v>7</v>
      </c>
      <c r="AA25" s="16">
        <f t="shared" si="17"/>
        <v>3</v>
      </c>
      <c r="AB25" s="16">
        <f t="shared" si="17"/>
        <v>11</v>
      </c>
      <c r="AC25" s="16">
        <f t="shared" si="17"/>
        <v>1355</v>
      </c>
      <c r="AD25" s="16">
        <f t="shared" si="17"/>
        <v>0</v>
      </c>
      <c r="AE25" s="32">
        <f t="shared" si="17"/>
        <v>957</v>
      </c>
      <c r="AF25" s="32">
        <f t="shared" si="17"/>
        <v>2312</v>
      </c>
    </row>
    <row r="26" spans="2:32" ht="23.1" customHeight="1" x14ac:dyDescent="0.25">
      <c r="B26" s="23" t="s">
        <v>53</v>
      </c>
      <c r="C26" s="50">
        <v>40</v>
      </c>
      <c r="D26" s="50">
        <v>9</v>
      </c>
      <c r="E26" s="50">
        <v>0</v>
      </c>
      <c r="F26" s="50">
        <v>6</v>
      </c>
      <c r="G26" s="50">
        <v>0</v>
      </c>
      <c r="H26" s="50">
        <v>0</v>
      </c>
      <c r="I26" s="50">
        <v>7</v>
      </c>
      <c r="J26" s="50">
        <v>2</v>
      </c>
      <c r="K26" s="50">
        <v>0</v>
      </c>
      <c r="L26" s="50">
        <v>1</v>
      </c>
      <c r="M26" s="50">
        <v>45</v>
      </c>
      <c r="N26" s="50">
        <v>0</v>
      </c>
      <c r="O26" s="15">
        <f t="shared" si="0"/>
        <v>65</v>
      </c>
      <c r="P26" s="15">
        <f t="shared" si="1"/>
        <v>110</v>
      </c>
      <c r="R26" s="28" t="s">
        <v>86</v>
      </c>
      <c r="S26" s="16">
        <f t="shared" ref="S26:AF26" si="18">SUM(S13:S18)</f>
        <v>808</v>
      </c>
      <c r="T26" s="16">
        <f t="shared" si="18"/>
        <v>472</v>
      </c>
      <c r="U26" s="16">
        <f t="shared" si="18"/>
        <v>154</v>
      </c>
      <c r="V26" s="16">
        <f t="shared" si="18"/>
        <v>402</v>
      </c>
      <c r="W26" s="16">
        <f t="shared" si="18"/>
        <v>8</v>
      </c>
      <c r="X26" s="16">
        <f t="shared" si="18"/>
        <v>1</v>
      </c>
      <c r="Y26" s="16">
        <f t="shared" si="18"/>
        <v>107</v>
      </c>
      <c r="Z26" s="16">
        <f t="shared" si="18"/>
        <v>53</v>
      </c>
      <c r="AA26" s="16">
        <f t="shared" si="18"/>
        <v>23</v>
      </c>
      <c r="AB26" s="16">
        <f t="shared" si="18"/>
        <v>37</v>
      </c>
      <c r="AC26" s="16">
        <f t="shared" si="18"/>
        <v>1874</v>
      </c>
      <c r="AD26" s="16">
        <f t="shared" si="18"/>
        <v>2</v>
      </c>
      <c r="AE26" s="32">
        <f t="shared" si="18"/>
        <v>2067</v>
      </c>
      <c r="AF26" s="32">
        <f t="shared" si="18"/>
        <v>3941</v>
      </c>
    </row>
    <row r="27" spans="2:32" ht="23.1" customHeight="1" x14ac:dyDescent="0.25">
      <c r="B27" s="23" t="s">
        <v>54</v>
      </c>
      <c r="C27" s="50">
        <v>35</v>
      </c>
      <c r="D27" s="50">
        <v>17</v>
      </c>
      <c r="E27" s="50">
        <v>9</v>
      </c>
      <c r="F27" s="50">
        <v>21</v>
      </c>
      <c r="G27" s="50">
        <v>1</v>
      </c>
      <c r="H27" s="50">
        <v>0</v>
      </c>
      <c r="I27" s="50">
        <v>7</v>
      </c>
      <c r="J27" s="50">
        <v>1</v>
      </c>
      <c r="K27" s="50">
        <v>5</v>
      </c>
      <c r="L27" s="50">
        <v>3</v>
      </c>
      <c r="M27" s="50">
        <v>80</v>
      </c>
      <c r="N27" s="50">
        <v>0</v>
      </c>
      <c r="O27" s="15">
        <f t="shared" si="0"/>
        <v>99</v>
      </c>
      <c r="P27" s="15">
        <f t="shared" si="1"/>
        <v>179</v>
      </c>
      <c r="R27" s="29" t="s">
        <v>87</v>
      </c>
      <c r="S27" s="16">
        <f t="shared" ref="S27:AF27" si="19">SUM(S19:S21)</f>
        <v>625</v>
      </c>
      <c r="T27" s="16">
        <f t="shared" si="19"/>
        <v>243</v>
      </c>
      <c r="U27" s="16">
        <f t="shared" si="19"/>
        <v>80</v>
      </c>
      <c r="V27" s="16">
        <f t="shared" si="19"/>
        <v>159</v>
      </c>
      <c r="W27" s="16">
        <f t="shared" si="19"/>
        <v>4</v>
      </c>
      <c r="X27" s="16">
        <f t="shared" si="19"/>
        <v>0</v>
      </c>
      <c r="Y27" s="16">
        <f t="shared" si="19"/>
        <v>40</v>
      </c>
      <c r="Z27" s="16">
        <f t="shared" si="19"/>
        <v>16</v>
      </c>
      <c r="AA27" s="16">
        <f t="shared" si="19"/>
        <v>7</v>
      </c>
      <c r="AB27" s="16">
        <f t="shared" si="19"/>
        <v>20</v>
      </c>
      <c r="AC27" s="16">
        <f t="shared" si="19"/>
        <v>899</v>
      </c>
      <c r="AD27" s="16">
        <f t="shared" si="19"/>
        <v>0</v>
      </c>
      <c r="AE27" s="32">
        <f t="shared" si="19"/>
        <v>1194</v>
      </c>
      <c r="AF27" s="32">
        <f t="shared" si="19"/>
        <v>2093</v>
      </c>
    </row>
    <row r="28" spans="2:32" ht="23.1" customHeight="1" x14ac:dyDescent="0.25">
      <c r="B28" s="23" t="s">
        <v>55</v>
      </c>
      <c r="C28" s="50">
        <v>36</v>
      </c>
      <c r="D28" s="50">
        <v>23</v>
      </c>
      <c r="E28" s="50">
        <v>5</v>
      </c>
      <c r="F28" s="50">
        <v>20</v>
      </c>
      <c r="G28" s="50">
        <v>0</v>
      </c>
      <c r="H28" s="50">
        <v>0</v>
      </c>
      <c r="I28" s="50">
        <v>2</v>
      </c>
      <c r="J28" s="50">
        <v>2</v>
      </c>
      <c r="K28" s="50">
        <v>1</v>
      </c>
      <c r="L28" s="50">
        <v>2</v>
      </c>
      <c r="M28" s="50">
        <v>90</v>
      </c>
      <c r="N28" s="50">
        <v>0</v>
      </c>
      <c r="O28" s="15">
        <f t="shared" si="0"/>
        <v>91</v>
      </c>
      <c r="P28" s="15">
        <f t="shared" si="1"/>
        <v>181</v>
      </c>
      <c r="R28" s="5" t="s">
        <v>17</v>
      </c>
      <c r="S28" s="16">
        <f t="shared" ref="S28:AF28" si="20">SUM(S10:S21)</f>
        <v>1807</v>
      </c>
      <c r="T28" s="16">
        <f t="shared" si="20"/>
        <v>866</v>
      </c>
      <c r="U28" s="16">
        <f t="shared" si="20"/>
        <v>309</v>
      </c>
      <c r="V28" s="16">
        <f t="shared" si="20"/>
        <v>853</v>
      </c>
      <c r="W28" s="16">
        <f t="shared" si="20"/>
        <v>15</v>
      </c>
      <c r="X28" s="16">
        <f t="shared" si="20"/>
        <v>1</v>
      </c>
      <c r="Y28" s="16">
        <f t="shared" si="20"/>
        <v>188</v>
      </c>
      <c r="Z28" s="16">
        <f t="shared" si="20"/>
        <v>76</v>
      </c>
      <c r="AA28" s="16">
        <f t="shared" si="20"/>
        <v>33</v>
      </c>
      <c r="AB28" s="16">
        <f t="shared" si="20"/>
        <v>68</v>
      </c>
      <c r="AC28" s="16">
        <f t="shared" si="20"/>
        <v>4128</v>
      </c>
      <c r="AD28" s="16">
        <f t="shared" si="20"/>
        <v>2</v>
      </c>
      <c r="AE28" s="32">
        <f t="shared" si="20"/>
        <v>4218</v>
      </c>
      <c r="AF28" s="32">
        <f t="shared" si="20"/>
        <v>8346</v>
      </c>
    </row>
    <row r="29" spans="2:32" ht="23.1" customHeight="1" x14ac:dyDescent="0.25">
      <c r="B29" s="23" t="s">
        <v>56</v>
      </c>
      <c r="C29" s="50">
        <v>31</v>
      </c>
      <c r="D29" s="50">
        <v>32</v>
      </c>
      <c r="E29" s="50">
        <v>9</v>
      </c>
      <c r="F29" s="50">
        <v>21</v>
      </c>
      <c r="G29" s="50">
        <v>0</v>
      </c>
      <c r="H29" s="50">
        <v>0</v>
      </c>
      <c r="I29" s="50">
        <v>6</v>
      </c>
      <c r="J29" s="50">
        <v>3</v>
      </c>
      <c r="K29" s="50">
        <v>1</v>
      </c>
      <c r="L29" s="50">
        <v>2</v>
      </c>
      <c r="M29" s="50">
        <v>50</v>
      </c>
      <c r="N29" s="50">
        <v>0</v>
      </c>
      <c r="O29" s="15">
        <f t="shared" si="0"/>
        <v>105</v>
      </c>
      <c r="P29" s="15">
        <f t="shared" si="1"/>
        <v>155</v>
      </c>
      <c r="R29"/>
      <c r="S29" s="20"/>
      <c r="T29" s="19"/>
    </row>
    <row r="30" spans="2:32" ht="23.1" customHeight="1" x14ac:dyDescent="0.25">
      <c r="B30" s="23" t="s">
        <v>57</v>
      </c>
      <c r="C30" s="50">
        <v>60</v>
      </c>
      <c r="D30" s="50">
        <v>18</v>
      </c>
      <c r="E30" s="50">
        <v>5</v>
      </c>
      <c r="F30" s="50">
        <v>10</v>
      </c>
      <c r="G30" s="50">
        <v>0</v>
      </c>
      <c r="H30" s="50">
        <v>0</v>
      </c>
      <c r="I30" s="50">
        <v>4</v>
      </c>
      <c r="J30" s="50">
        <v>1</v>
      </c>
      <c r="K30" s="50">
        <v>2</v>
      </c>
      <c r="L30" s="50">
        <v>1</v>
      </c>
      <c r="M30" s="50">
        <v>35</v>
      </c>
      <c r="N30" s="50">
        <v>0</v>
      </c>
      <c r="O30" s="15">
        <f t="shared" si="0"/>
        <v>101</v>
      </c>
      <c r="P30" s="15">
        <f t="shared" si="1"/>
        <v>136</v>
      </c>
    </row>
    <row r="31" spans="2:32" ht="23.1" customHeight="1" x14ac:dyDescent="0.25">
      <c r="B31" s="24" t="s">
        <v>58</v>
      </c>
      <c r="C31" s="50">
        <v>35</v>
      </c>
      <c r="D31" s="50">
        <v>20</v>
      </c>
      <c r="E31" s="50">
        <v>7</v>
      </c>
      <c r="F31" s="50">
        <v>28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2</v>
      </c>
      <c r="M31" s="50">
        <v>75</v>
      </c>
      <c r="N31" s="50">
        <v>0</v>
      </c>
      <c r="O31" s="15">
        <f t="shared" si="0"/>
        <v>96</v>
      </c>
      <c r="P31" s="15">
        <f t="shared" si="1"/>
        <v>171</v>
      </c>
    </row>
    <row r="32" spans="2:32" ht="23.1" customHeight="1" x14ac:dyDescent="0.25">
      <c r="B32" s="24" t="s">
        <v>59</v>
      </c>
      <c r="C32" s="50">
        <v>17</v>
      </c>
      <c r="D32" s="50">
        <v>18</v>
      </c>
      <c r="E32" s="50">
        <v>4</v>
      </c>
      <c r="F32" s="50">
        <v>17</v>
      </c>
      <c r="G32" s="50">
        <v>0</v>
      </c>
      <c r="H32" s="50">
        <v>0</v>
      </c>
      <c r="I32" s="50">
        <v>3</v>
      </c>
      <c r="J32" s="50">
        <v>3</v>
      </c>
      <c r="K32" s="50">
        <v>0</v>
      </c>
      <c r="L32" s="50">
        <v>2</v>
      </c>
      <c r="M32" s="50">
        <v>70</v>
      </c>
      <c r="N32" s="50">
        <v>0</v>
      </c>
      <c r="O32" s="15">
        <f t="shared" si="0"/>
        <v>64</v>
      </c>
      <c r="P32" s="15">
        <f t="shared" si="1"/>
        <v>134</v>
      </c>
    </row>
    <row r="33" spans="2:20" ht="23.1" customHeight="1" x14ac:dyDescent="0.25">
      <c r="B33" s="23" t="s">
        <v>60</v>
      </c>
      <c r="C33" s="50">
        <v>25</v>
      </c>
      <c r="D33" s="50">
        <v>18</v>
      </c>
      <c r="E33" s="50">
        <v>3</v>
      </c>
      <c r="F33" s="50">
        <v>15</v>
      </c>
      <c r="G33" s="50">
        <v>0</v>
      </c>
      <c r="H33" s="50">
        <v>0</v>
      </c>
      <c r="I33" s="50">
        <v>5</v>
      </c>
      <c r="J33" s="50">
        <v>4</v>
      </c>
      <c r="K33" s="50">
        <v>1</v>
      </c>
      <c r="L33" s="50">
        <v>1</v>
      </c>
      <c r="M33" s="50">
        <v>40</v>
      </c>
      <c r="N33" s="50">
        <v>0</v>
      </c>
      <c r="O33" s="15">
        <f t="shared" si="0"/>
        <v>72</v>
      </c>
      <c r="P33" s="15">
        <f t="shared" si="1"/>
        <v>112</v>
      </c>
    </row>
    <row r="34" spans="2:20" ht="23.1" customHeight="1" x14ac:dyDescent="0.25">
      <c r="B34" s="24" t="s">
        <v>61</v>
      </c>
      <c r="C34" s="50">
        <v>31</v>
      </c>
      <c r="D34" s="50">
        <v>24</v>
      </c>
      <c r="E34" s="50">
        <v>7</v>
      </c>
      <c r="F34" s="50">
        <v>12</v>
      </c>
      <c r="G34" s="50">
        <v>1</v>
      </c>
      <c r="H34" s="50">
        <v>0</v>
      </c>
      <c r="I34" s="50">
        <v>5</v>
      </c>
      <c r="J34" s="50">
        <v>4</v>
      </c>
      <c r="K34" s="50">
        <v>1</v>
      </c>
      <c r="L34" s="50">
        <v>2</v>
      </c>
      <c r="M34" s="50">
        <v>65</v>
      </c>
      <c r="N34" s="50">
        <v>1</v>
      </c>
      <c r="O34" s="15">
        <f t="shared" si="0"/>
        <v>88</v>
      </c>
      <c r="P34" s="15">
        <f t="shared" si="1"/>
        <v>153</v>
      </c>
    </row>
    <row r="35" spans="2:20" ht="23.1" customHeight="1" x14ac:dyDescent="0.25">
      <c r="B35" s="24" t="s">
        <v>62</v>
      </c>
      <c r="C35" s="50">
        <v>19</v>
      </c>
      <c r="D35" s="50">
        <v>6</v>
      </c>
      <c r="E35" s="50">
        <v>6</v>
      </c>
      <c r="F35" s="50">
        <v>4</v>
      </c>
      <c r="G35" s="50">
        <v>0</v>
      </c>
      <c r="H35" s="50">
        <v>0</v>
      </c>
      <c r="I35" s="50">
        <v>5</v>
      </c>
      <c r="J35" s="50">
        <v>5</v>
      </c>
      <c r="K35" s="50">
        <v>1</v>
      </c>
      <c r="L35" s="50">
        <v>1</v>
      </c>
      <c r="M35" s="50">
        <v>70</v>
      </c>
      <c r="N35" s="50">
        <v>1</v>
      </c>
      <c r="O35" s="15">
        <f t="shared" si="0"/>
        <v>48</v>
      </c>
      <c r="P35" s="15">
        <f t="shared" si="1"/>
        <v>118</v>
      </c>
    </row>
    <row r="36" spans="2:20" ht="23.1" customHeight="1" x14ac:dyDescent="0.25">
      <c r="B36" s="24" t="s">
        <v>63</v>
      </c>
      <c r="C36" s="50">
        <v>1</v>
      </c>
      <c r="D36" s="50">
        <v>5</v>
      </c>
      <c r="E36" s="50">
        <v>4</v>
      </c>
      <c r="F36" s="50">
        <v>25</v>
      </c>
      <c r="G36" s="50">
        <v>0</v>
      </c>
      <c r="H36" s="50">
        <v>0</v>
      </c>
      <c r="I36" s="50">
        <v>1</v>
      </c>
      <c r="J36" s="50">
        <v>2</v>
      </c>
      <c r="K36" s="50">
        <v>3</v>
      </c>
      <c r="L36" s="50">
        <v>0</v>
      </c>
      <c r="M36" s="50">
        <v>75</v>
      </c>
      <c r="N36" s="50">
        <v>0</v>
      </c>
      <c r="O36" s="15">
        <f t="shared" si="0"/>
        <v>41</v>
      </c>
      <c r="P36" s="15">
        <f t="shared" si="1"/>
        <v>116</v>
      </c>
    </row>
    <row r="37" spans="2:20" ht="23.1" customHeight="1" x14ac:dyDescent="0.25">
      <c r="B37" s="23" t="s">
        <v>64</v>
      </c>
      <c r="C37" s="50">
        <v>39</v>
      </c>
      <c r="D37" s="50">
        <v>40</v>
      </c>
      <c r="E37" s="50">
        <v>18</v>
      </c>
      <c r="F37" s="50">
        <v>33</v>
      </c>
      <c r="G37" s="50">
        <v>2</v>
      </c>
      <c r="H37" s="50">
        <v>0</v>
      </c>
      <c r="I37" s="50">
        <v>3</v>
      </c>
      <c r="J37" s="50">
        <v>2</v>
      </c>
      <c r="K37" s="50">
        <v>0</v>
      </c>
      <c r="L37" s="50">
        <v>2</v>
      </c>
      <c r="M37" s="50">
        <v>85</v>
      </c>
      <c r="N37" s="50">
        <v>0</v>
      </c>
      <c r="O37" s="15">
        <f t="shared" si="0"/>
        <v>139</v>
      </c>
      <c r="P37" s="15">
        <f t="shared" si="1"/>
        <v>224</v>
      </c>
    </row>
    <row r="38" spans="2:20" ht="23.1" customHeight="1" x14ac:dyDescent="0.25">
      <c r="B38" s="24" t="s">
        <v>65</v>
      </c>
      <c r="C38" s="50">
        <v>24</v>
      </c>
      <c r="D38" s="50">
        <v>15</v>
      </c>
      <c r="E38" s="50">
        <v>5</v>
      </c>
      <c r="F38" s="50">
        <v>26</v>
      </c>
      <c r="G38" s="50">
        <v>1</v>
      </c>
      <c r="H38" s="50">
        <v>0</v>
      </c>
      <c r="I38" s="50">
        <v>8</v>
      </c>
      <c r="J38" s="50">
        <v>0</v>
      </c>
      <c r="K38" s="50">
        <v>1</v>
      </c>
      <c r="L38" s="50">
        <v>1</v>
      </c>
      <c r="M38" s="50">
        <v>110</v>
      </c>
      <c r="N38" s="50">
        <v>0</v>
      </c>
      <c r="O38" s="15">
        <f t="shared" si="0"/>
        <v>81</v>
      </c>
      <c r="P38" s="15">
        <f t="shared" si="1"/>
        <v>191</v>
      </c>
    </row>
    <row r="39" spans="2:20" ht="23.1" customHeight="1" x14ac:dyDescent="0.25">
      <c r="B39" s="24" t="s">
        <v>66</v>
      </c>
      <c r="C39" s="50">
        <v>45</v>
      </c>
      <c r="D39" s="50">
        <v>23</v>
      </c>
      <c r="E39" s="50">
        <v>10</v>
      </c>
      <c r="F39" s="50">
        <v>18</v>
      </c>
      <c r="G39" s="50">
        <v>2</v>
      </c>
      <c r="H39" s="50">
        <v>0</v>
      </c>
      <c r="I39" s="50">
        <v>11</v>
      </c>
      <c r="J39" s="50">
        <v>4</v>
      </c>
      <c r="K39" s="50">
        <v>1</v>
      </c>
      <c r="L39" s="50">
        <v>0</v>
      </c>
      <c r="M39" s="50">
        <v>75</v>
      </c>
      <c r="N39" s="50">
        <v>0</v>
      </c>
      <c r="O39" s="15">
        <f t="shared" si="0"/>
        <v>114</v>
      </c>
      <c r="P39" s="15">
        <f t="shared" si="1"/>
        <v>189</v>
      </c>
    </row>
    <row r="40" spans="2:20" ht="23.1" customHeight="1" x14ac:dyDescent="0.25">
      <c r="B40" s="24" t="s">
        <v>67</v>
      </c>
      <c r="C40" s="50">
        <v>32</v>
      </c>
      <c r="D40" s="50">
        <v>20</v>
      </c>
      <c r="E40" s="50">
        <v>3</v>
      </c>
      <c r="F40" s="50">
        <v>18</v>
      </c>
      <c r="G40" s="50">
        <v>1</v>
      </c>
      <c r="H40" s="50">
        <v>0</v>
      </c>
      <c r="I40" s="50">
        <v>1</v>
      </c>
      <c r="J40" s="50">
        <v>2</v>
      </c>
      <c r="K40" s="50">
        <v>3</v>
      </c>
      <c r="L40" s="50">
        <v>4</v>
      </c>
      <c r="M40" s="50">
        <v>86</v>
      </c>
      <c r="N40" s="50">
        <v>0</v>
      </c>
      <c r="O40" s="15">
        <f t="shared" si="0"/>
        <v>84</v>
      </c>
      <c r="P40" s="15">
        <f t="shared" si="1"/>
        <v>170</v>
      </c>
    </row>
    <row r="41" spans="2:20" ht="23.1" customHeight="1" x14ac:dyDescent="0.25">
      <c r="B41" s="23" t="s">
        <v>68</v>
      </c>
      <c r="C41" s="50">
        <v>41</v>
      </c>
      <c r="D41" s="50">
        <v>25</v>
      </c>
      <c r="E41" s="50">
        <v>3</v>
      </c>
      <c r="F41" s="50">
        <v>7</v>
      </c>
      <c r="G41" s="50">
        <v>0</v>
      </c>
      <c r="H41" s="50">
        <v>0</v>
      </c>
      <c r="I41" s="50">
        <v>3</v>
      </c>
      <c r="J41" s="50">
        <v>3</v>
      </c>
      <c r="K41" s="50">
        <v>1</v>
      </c>
      <c r="L41" s="50">
        <v>0</v>
      </c>
      <c r="M41" s="50">
        <v>80</v>
      </c>
      <c r="N41" s="50">
        <v>0</v>
      </c>
      <c r="O41" s="15">
        <f t="shared" si="0"/>
        <v>83</v>
      </c>
      <c r="P41" s="15">
        <f t="shared" si="1"/>
        <v>163</v>
      </c>
    </row>
    <row r="42" spans="2:20" ht="23.1" customHeight="1" x14ac:dyDescent="0.25">
      <c r="B42" s="24" t="s">
        <v>69</v>
      </c>
      <c r="C42" s="50">
        <v>52</v>
      </c>
      <c r="D42" s="50">
        <v>40</v>
      </c>
      <c r="E42" s="50">
        <v>11</v>
      </c>
      <c r="F42" s="50">
        <v>25</v>
      </c>
      <c r="G42" s="50">
        <v>0</v>
      </c>
      <c r="H42" s="50">
        <v>0</v>
      </c>
      <c r="I42" s="50">
        <v>8</v>
      </c>
      <c r="J42" s="50">
        <v>1</v>
      </c>
      <c r="K42" s="50">
        <v>0</v>
      </c>
      <c r="L42" s="50">
        <v>2</v>
      </c>
      <c r="M42" s="50">
        <v>100</v>
      </c>
      <c r="N42" s="50">
        <v>0</v>
      </c>
      <c r="O42" s="15">
        <f t="shared" si="0"/>
        <v>139</v>
      </c>
      <c r="P42" s="15">
        <f t="shared" si="1"/>
        <v>239</v>
      </c>
    </row>
    <row r="43" spans="2:20" ht="23.1" customHeight="1" x14ac:dyDescent="0.25">
      <c r="B43" s="23" t="s">
        <v>70</v>
      </c>
      <c r="C43" s="50">
        <v>13</v>
      </c>
      <c r="D43" s="50">
        <v>5</v>
      </c>
      <c r="E43" s="50">
        <v>3</v>
      </c>
      <c r="F43" s="50">
        <v>7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3</v>
      </c>
      <c r="M43" s="50">
        <v>125</v>
      </c>
      <c r="N43" s="50">
        <v>0</v>
      </c>
      <c r="O43" s="15">
        <f t="shared" si="0"/>
        <v>35</v>
      </c>
      <c r="P43" s="15">
        <f t="shared" si="1"/>
        <v>160</v>
      </c>
    </row>
    <row r="44" spans="2:20" ht="23.1" customHeight="1" x14ac:dyDescent="0.25">
      <c r="B44" s="25" t="s">
        <v>71</v>
      </c>
      <c r="C44" s="50">
        <v>47</v>
      </c>
      <c r="D44" s="50">
        <v>18</v>
      </c>
      <c r="E44" s="50">
        <v>14</v>
      </c>
      <c r="F44" s="50">
        <v>9</v>
      </c>
      <c r="G44" s="50">
        <v>0</v>
      </c>
      <c r="H44" s="50">
        <v>0</v>
      </c>
      <c r="I44" s="50">
        <v>8</v>
      </c>
      <c r="J44" s="50">
        <v>0</v>
      </c>
      <c r="K44" s="50">
        <v>0</v>
      </c>
      <c r="L44" s="50">
        <v>1</v>
      </c>
      <c r="M44" s="50">
        <v>65</v>
      </c>
      <c r="N44" s="50">
        <v>0</v>
      </c>
      <c r="O44" s="15">
        <f t="shared" si="0"/>
        <v>97</v>
      </c>
      <c r="P44" s="15">
        <f t="shared" si="1"/>
        <v>162</v>
      </c>
    </row>
    <row r="45" spans="2:20" ht="23.1" customHeight="1" x14ac:dyDescent="0.25">
      <c r="B45" s="23" t="s">
        <v>72</v>
      </c>
      <c r="C45" s="50">
        <v>37</v>
      </c>
      <c r="D45" s="50">
        <v>7</v>
      </c>
      <c r="E45" s="50">
        <v>3</v>
      </c>
      <c r="F45" s="50">
        <v>15</v>
      </c>
      <c r="G45" s="50">
        <v>0</v>
      </c>
      <c r="H45" s="50">
        <v>1</v>
      </c>
      <c r="I45" s="50">
        <v>5</v>
      </c>
      <c r="J45" s="50">
        <v>3</v>
      </c>
      <c r="K45" s="50">
        <v>1</v>
      </c>
      <c r="L45" s="50">
        <v>2</v>
      </c>
      <c r="M45" s="50">
        <v>70</v>
      </c>
      <c r="N45" s="50">
        <v>0</v>
      </c>
      <c r="O45" s="15">
        <f t="shared" si="0"/>
        <v>74</v>
      </c>
      <c r="P45" s="15">
        <f t="shared" si="1"/>
        <v>144</v>
      </c>
    </row>
    <row r="46" spans="2:20" ht="23.1" customHeight="1" x14ac:dyDescent="0.25">
      <c r="B46" s="24" t="s">
        <v>73</v>
      </c>
      <c r="C46" s="50">
        <v>55</v>
      </c>
      <c r="D46" s="50">
        <v>11</v>
      </c>
      <c r="E46" s="50">
        <v>10</v>
      </c>
      <c r="F46" s="50">
        <v>4</v>
      </c>
      <c r="G46" s="50">
        <v>0</v>
      </c>
      <c r="H46" s="50">
        <v>0</v>
      </c>
      <c r="I46" s="50">
        <v>2</v>
      </c>
      <c r="J46" s="50">
        <v>2</v>
      </c>
      <c r="K46" s="50">
        <v>1</v>
      </c>
      <c r="L46" s="50">
        <v>2</v>
      </c>
      <c r="M46" s="50">
        <v>71</v>
      </c>
      <c r="N46" s="50">
        <v>0</v>
      </c>
      <c r="O46" s="15">
        <f t="shared" si="0"/>
        <v>87</v>
      </c>
      <c r="P46" s="15">
        <f t="shared" si="1"/>
        <v>158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14</v>
      </c>
      <c r="E47" s="50">
        <v>6</v>
      </c>
      <c r="F47" s="50">
        <v>19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2</v>
      </c>
      <c r="M47" s="50">
        <v>103</v>
      </c>
      <c r="N47" s="50">
        <v>0</v>
      </c>
      <c r="O47" s="15">
        <f t="shared" si="0"/>
        <v>94</v>
      </c>
      <c r="P47" s="15">
        <f t="shared" si="1"/>
        <v>197</v>
      </c>
      <c r="R47" s="8"/>
      <c r="T47"/>
    </row>
    <row r="48" spans="2:20" ht="23.1" customHeight="1" x14ac:dyDescent="0.25">
      <c r="B48" s="24" t="s">
        <v>75</v>
      </c>
      <c r="C48" s="50">
        <v>55</v>
      </c>
      <c r="D48" s="50">
        <v>16</v>
      </c>
      <c r="E48" s="50">
        <v>8</v>
      </c>
      <c r="F48" s="50">
        <v>5</v>
      </c>
      <c r="G48" s="50">
        <v>0</v>
      </c>
      <c r="H48" s="50">
        <v>0</v>
      </c>
      <c r="I48" s="50">
        <v>4</v>
      </c>
      <c r="J48" s="50">
        <v>2</v>
      </c>
      <c r="K48" s="50">
        <v>0</v>
      </c>
      <c r="L48" s="50">
        <v>1</v>
      </c>
      <c r="M48" s="50">
        <v>85</v>
      </c>
      <c r="N48" s="50">
        <v>0</v>
      </c>
      <c r="O48" s="15">
        <f t="shared" si="0"/>
        <v>91</v>
      </c>
      <c r="P48" s="15">
        <f t="shared" si="1"/>
        <v>176</v>
      </c>
      <c r="R48" s="8"/>
      <c r="T48"/>
    </row>
    <row r="49" spans="2:20" ht="23.1" customHeight="1" x14ac:dyDescent="0.25">
      <c r="B49" s="23" t="s">
        <v>76</v>
      </c>
      <c r="C49" s="50">
        <v>45</v>
      </c>
      <c r="D49" s="50">
        <v>10</v>
      </c>
      <c r="E49" s="50">
        <v>10</v>
      </c>
      <c r="F49" s="50">
        <v>30</v>
      </c>
      <c r="G49" s="50">
        <v>0</v>
      </c>
      <c r="H49" s="50">
        <v>0</v>
      </c>
      <c r="I49" s="50">
        <v>2</v>
      </c>
      <c r="J49" s="50">
        <v>2</v>
      </c>
      <c r="K49" s="50">
        <v>1</v>
      </c>
      <c r="L49" s="50">
        <v>1</v>
      </c>
      <c r="M49" s="50">
        <v>85</v>
      </c>
      <c r="N49" s="50">
        <v>0</v>
      </c>
      <c r="O49" s="15">
        <f t="shared" si="0"/>
        <v>101</v>
      </c>
      <c r="P49" s="15">
        <f t="shared" si="1"/>
        <v>186</v>
      </c>
      <c r="R49" s="8"/>
      <c r="T49"/>
    </row>
    <row r="50" spans="2:20" ht="23.1" customHeight="1" x14ac:dyDescent="0.25">
      <c r="B50" s="24" t="s">
        <v>77</v>
      </c>
      <c r="C50" s="50">
        <v>68</v>
      </c>
      <c r="D50" s="50">
        <v>29</v>
      </c>
      <c r="E50" s="50">
        <v>9</v>
      </c>
      <c r="F50" s="50">
        <v>9</v>
      </c>
      <c r="G50" s="50">
        <v>1</v>
      </c>
      <c r="H50" s="50">
        <v>0</v>
      </c>
      <c r="I50" s="50">
        <v>5</v>
      </c>
      <c r="J50" s="50">
        <v>1</v>
      </c>
      <c r="K50" s="50">
        <v>0</v>
      </c>
      <c r="L50" s="50">
        <v>0</v>
      </c>
      <c r="M50" s="50">
        <v>65</v>
      </c>
      <c r="N50" s="50">
        <v>0</v>
      </c>
      <c r="O50" s="15">
        <f t="shared" si="0"/>
        <v>122</v>
      </c>
      <c r="P50" s="15">
        <f t="shared" si="1"/>
        <v>187</v>
      </c>
      <c r="R50" s="8"/>
      <c r="T50"/>
    </row>
    <row r="51" spans="2:20" ht="23.1" customHeight="1" x14ac:dyDescent="0.25">
      <c r="B51" s="24" t="s">
        <v>78</v>
      </c>
      <c r="C51" s="50">
        <v>48</v>
      </c>
      <c r="D51" s="50">
        <v>27</v>
      </c>
      <c r="E51" s="50">
        <v>2</v>
      </c>
      <c r="F51" s="50">
        <v>13</v>
      </c>
      <c r="G51" s="50">
        <v>0</v>
      </c>
      <c r="H51" s="50">
        <v>0</v>
      </c>
      <c r="I51" s="50">
        <v>3</v>
      </c>
      <c r="J51" s="50">
        <v>0</v>
      </c>
      <c r="K51" s="50">
        <v>1</v>
      </c>
      <c r="L51" s="50">
        <v>2</v>
      </c>
      <c r="M51" s="50">
        <v>75</v>
      </c>
      <c r="N51" s="50">
        <v>0</v>
      </c>
      <c r="O51" s="15">
        <f t="shared" si="0"/>
        <v>96</v>
      </c>
      <c r="P51" s="15">
        <f t="shared" si="1"/>
        <v>171</v>
      </c>
      <c r="R51" s="8"/>
      <c r="T51"/>
    </row>
    <row r="52" spans="2:20" ht="23.1" customHeight="1" x14ac:dyDescent="0.25">
      <c r="B52" s="24" t="s">
        <v>79</v>
      </c>
      <c r="C52" s="50">
        <v>60</v>
      </c>
      <c r="D52" s="50">
        <v>26</v>
      </c>
      <c r="E52" s="50">
        <v>11</v>
      </c>
      <c r="F52" s="50">
        <v>18</v>
      </c>
      <c r="G52" s="50">
        <v>1</v>
      </c>
      <c r="H52" s="50">
        <v>0</v>
      </c>
      <c r="I52" s="50">
        <v>3</v>
      </c>
      <c r="J52" s="50">
        <v>1</v>
      </c>
      <c r="K52" s="50">
        <v>1</v>
      </c>
      <c r="L52" s="50">
        <v>2</v>
      </c>
      <c r="M52" s="50">
        <v>65</v>
      </c>
      <c r="N52" s="50">
        <v>0</v>
      </c>
      <c r="O52" s="15">
        <f t="shared" si="0"/>
        <v>123</v>
      </c>
      <c r="P52" s="15">
        <f t="shared" si="1"/>
        <v>188</v>
      </c>
      <c r="R52" s="8"/>
      <c r="T52"/>
    </row>
    <row r="53" spans="2:20" ht="23.1" customHeight="1" x14ac:dyDescent="0.25">
      <c r="B53" s="23" t="s">
        <v>80</v>
      </c>
      <c r="C53" s="50">
        <v>36</v>
      </c>
      <c r="D53" s="50">
        <v>19</v>
      </c>
      <c r="E53" s="50">
        <v>4</v>
      </c>
      <c r="F53" s="50">
        <v>9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1</v>
      </c>
      <c r="M53" s="50">
        <v>70</v>
      </c>
      <c r="N53" s="50">
        <v>0</v>
      </c>
      <c r="O53" s="15">
        <f t="shared" si="0"/>
        <v>72</v>
      </c>
      <c r="P53" s="15">
        <f t="shared" si="1"/>
        <v>142</v>
      </c>
      <c r="R53" s="8"/>
      <c r="T53"/>
    </row>
    <row r="54" spans="2:20" ht="23.1" customHeight="1" x14ac:dyDescent="0.25">
      <c r="B54" s="23" t="s">
        <v>81</v>
      </c>
      <c r="C54" s="50">
        <v>58</v>
      </c>
      <c r="D54" s="50">
        <v>24</v>
      </c>
      <c r="E54" s="50">
        <v>5</v>
      </c>
      <c r="F54" s="50">
        <v>17</v>
      </c>
      <c r="G54" s="50">
        <v>2</v>
      </c>
      <c r="H54" s="50">
        <v>0</v>
      </c>
      <c r="I54" s="50">
        <v>6</v>
      </c>
      <c r="J54" s="50">
        <v>3</v>
      </c>
      <c r="K54" s="50">
        <v>1</v>
      </c>
      <c r="L54" s="50">
        <v>8</v>
      </c>
      <c r="M54" s="50">
        <v>65</v>
      </c>
      <c r="N54" s="50">
        <v>0</v>
      </c>
      <c r="O54" s="15">
        <f t="shared" si="0"/>
        <v>124</v>
      </c>
      <c r="P54" s="15">
        <f t="shared" si="1"/>
        <v>189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20</v>
      </c>
      <c r="E55" s="50">
        <v>7</v>
      </c>
      <c r="F55" s="50">
        <v>12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1</v>
      </c>
      <c r="M55" s="50">
        <v>80</v>
      </c>
      <c r="N55" s="50">
        <v>0</v>
      </c>
      <c r="O55" s="15">
        <f t="shared" si="0"/>
        <v>89</v>
      </c>
      <c r="P55" s="15">
        <f t="shared" si="1"/>
        <v>169</v>
      </c>
      <c r="R55" s="8"/>
      <c r="T55"/>
    </row>
    <row r="56" spans="2:20" ht="23.1" customHeight="1" x14ac:dyDescent="0.25">
      <c r="B56" s="23" t="s">
        <v>83</v>
      </c>
      <c r="C56" s="50">
        <v>60</v>
      </c>
      <c r="D56" s="50">
        <v>25</v>
      </c>
      <c r="E56" s="50">
        <v>3</v>
      </c>
      <c r="F56" s="50">
        <v>10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100</v>
      </c>
      <c r="P56" s="15">
        <f t="shared" si="1"/>
        <v>160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22</v>
      </c>
      <c r="E57" s="50">
        <v>5</v>
      </c>
      <c r="F57" s="50">
        <v>13</v>
      </c>
      <c r="G57" s="50">
        <v>0</v>
      </c>
      <c r="H57" s="50">
        <v>0</v>
      </c>
      <c r="I57" s="50">
        <v>6</v>
      </c>
      <c r="J57" s="50">
        <v>3</v>
      </c>
      <c r="K57" s="50">
        <v>1</v>
      </c>
      <c r="L57" s="50">
        <v>0</v>
      </c>
      <c r="M57" s="50">
        <v>75</v>
      </c>
      <c r="N57" s="50">
        <v>0</v>
      </c>
      <c r="O57" s="15">
        <f t="shared" si="0"/>
        <v>95</v>
      </c>
      <c r="P57" s="15">
        <f t="shared" si="1"/>
        <v>170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1807</v>
      </c>
      <c r="D58" s="16">
        <f t="shared" si="21"/>
        <v>866</v>
      </c>
      <c r="E58" s="16">
        <f t="shared" si="21"/>
        <v>309</v>
      </c>
      <c r="F58" s="16">
        <f t="shared" si="21"/>
        <v>853</v>
      </c>
      <c r="G58" s="16">
        <f t="shared" si="21"/>
        <v>15</v>
      </c>
      <c r="H58" s="16">
        <f t="shared" si="21"/>
        <v>1</v>
      </c>
      <c r="I58" s="16">
        <f t="shared" si="21"/>
        <v>188</v>
      </c>
      <c r="J58" s="16">
        <f t="shared" si="21"/>
        <v>76</v>
      </c>
      <c r="K58" s="16">
        <f t="shared" si="21"/>
        <v>33</v>
      </c>
      <c r="L58" s="16">
        <f t="shared" si="21"/>
        <v>68</v>
      </c>
      <c r="M58" s="16">
        <f t="shared" si="21"/>
        <v>4128</v>
      </c>
      <c r="N58" s="16">
        <f t="shared" si="21"/>
        <v>2</v>
      </c>
      <c r="O58" s="16">
        <f t="shared" si="21"/>
        <v>4218</v>
      </c>
      <c r="P58" s="16">
        <f t="shared" si="21"/>
        <v>8346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0.21651090342679127</v>
      </c>
      <c r="D59" s="43">
        <f t="shared" si="22"/>
        <v>0.10376228133237479</v>
      </c>
      <c r="E59" s="43">
        <f t="shared" si="22"/>
        <v>3.7023723939611793E-2</v>
      </c>
      <c r="F59" s="43">
        <f t="shared" si="22"/>
        <v>0.1022046489336209</v>
      </c>
      <c r="G59" s="43">
        <f t="shared" si="22"/>
        <v>1.7972681524083393E-3</v>
      </c>
      <c r="H59" s="43">
        <f t="shared" si="22"/>
        <v>1.1981787682722263E-4</v>
      </c>
      <c r="I59" s="43">
        <f t="shared" si="22"/>
        <v>2.2525760843517852E-2</v>
      </c>
      <c r="J59" s="43">
        <f t="shared" si="22"/>
        <v>9.1061586388689192E-3</v>
      </c>
      <c r="K59" s="43">
        <f t="shared" si="22"/>
        <v>3.9539899352983464E-3</v>
      </c>
      <c r="L59" s="43">
        <f t="shared" si="22"/>
        <v>8.147615624251139E-3</v>
      </c>
      <c r="M59" s="43">
        <f t="shared" si="22"/>
        <v>0.49460819554277496</v>
      </c>
      <c r="N59" s="43">
        <f t="shared" si="22"/>
        <v>2.3963575365444525E-4</v>
      </c>
      <c r="R59" s="8"/>
      <c r="T59"/>
    </row>
    <row r="60" spans="2:20" ht="23.1" customHeight="1" x14ac:dyDescent="0.25">
      <c r="B60" s="42" t="s">
        <v>94</v>
      </c>
      <c r="C60" s="44">
        <f>C58/$O$58</f>
        <v>0.42840208629682314</v>
      </c>
      <c r="D60" s="44">
        <f t="shared" ref="D60:N60" si="23">D58/$O$58</f>
        <v>0.20531057373162637</v>
      </c>
      <c r="E60" s="44">
        <f t="shared" si="23"/>
        <v>7.3257467994310099E-2</v>
      </c>
      <c r="F60" s="44">
        <f t="shared" si="23"/>
        <v>0.20222854433380749</v>
      </c>
      <c r="G60" s="44">
        <f t="shared" si="23"/>
        <v>3.5561877667140826E-3</v>
      </c>
      <c r="H60" s="44">
        <f t="shared" si="23"/>
        <v>2.370791844476055E-4</v>
      </c>
      <c r="I60" s="44">
        <f t="shared" si="23"/>
        <v>4.4570886676149835E-2</v>
      </c>
      <c r="J60" s="44">
        <f t="shared" si="23"/>
        <v>1.8018018018018018E-2</v>
      </c>
      <c r="K60" s="44">
        <f t="shared" si="23"/>
        <v>7.8236130867709811E-3</v>
      </c>
      <c r="L60" s="44">
        <f t="shared" si="23"/>
        <v>1.6121384542437174E-2</v>
      </c>
      <c r="M60" s="44"/>
      <c r="N60" s="44">
        <f t="shared" si="23"/>
        <v>4.74158368895211E-4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M58" sqref="M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65" t="str">
        <f>'01.08 Ntinda-Kisaasi-24h'!G5:H5</f>
        <v>Ndere Center</v>
      </c>
      <c r="H5" s="66"/>
      <c r="I5" s="14"/>
      <c r="J5" s="2" t="s">
        <v>5</v>
      </c>
      <c r="K5" s="65" t="s">
        <v>182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Kisaasi-Ntinda'!D6:E6</f>
        <v>Kisaasi</v>
      </c>
      <c r="E6" s="66"/>
      <c r="F6" s="2" t="s">
        <v>2</v>
      </c>
      <c r="G6" s="65" t="str">
        <f>'29.07 Kisaasi-Ntinda'!G6:H6</f>
        <v>Ntinda</v>
      </c>
      <c r="H6" s="66"/>
      <c r="J6" s="2" t="s">
        <v>21</v>
      </c>
      <c r="K6" s="65" t="str">
        <f>'01.08 Ntinda-Kisaasi-24h'!K6:L6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15</v>
      </c>
      <c r="D10" s="50">
        <v>15</v>
      </c>
      <c r="E10" s="50">
        <v>2</v>
      </c>
      <c r="F10" s="50">
        <v>9</v>
      </c>
      <c r="G10" s="50">
        <v>6</v>
      </c>
      <c r="H10" s="50">
        <v>0</v>
      </c>
      <c r="I10" s="50">
        <v>5</v>
      </c>
      <c r="J10" s="50">
        <v>3</v>
      </c>
      <c r="K10" s="50">
        <v>1</v>
      </c>
      <c r="L10" s="50">
        <v>0</v>
      </c>
      <c r="M10" s="50">
        <v>78</v>
      </c>
      <c r="N10" s="50">
        <v>0</v>
      </c>
      <c r="O10" s="15">
        <f t="shared" ref="O10:O73" si="0">SUM(C10:L10,N10)</f>
        <v>56</v>
      </c>
      <c r="P10" s="15">
        <f t="shared" ref="P10:P73" si="1">SUM(C10:N10)</f>
        <v>134</v>
      </c>
      <c r="R10" s="1" t="s">
        <v>6</v>
      </c>
      <c r="S10" s="17">
        <f t="shared" ref="S10:AF10" si="2">SUM(C10:C13)</f>
        <v>77</v>
      </c>
      <c r="T10" s="17">
        <f t="shared" si="2"/>
        <v>77</v>
      </c>
      <c r="U10" s="17">
        <f t="shared" si="2"/>
        <v>20</v>
      </c>
      <c r="V10" s="17">
        <f t="shared" si="2"/>
        <v>37</v>
      </c>
      <c r="W10" s="17">
        <f t="shared" si="2"/>
        <v>7</v>
      </c>
      <c r="X10" s="17">
        <f t="shared" si="2"/>
        <v>0</v>
      </c>
      <c r="Y10" s="17">
        <f t="shared" si="2"/>
        <v>16</v>
      </c>
      <c r="Z10" s="17">
        <f t="shared" si="2"/>
        <v>10</v>
      </c>
      <c r="AA10" s="17">
        <f t="shared" si="2"/>
        <v>3</v>
      </c>
      <c r="AB10" s="17">
        <f t="shared" si="2"/>
        <v>0</v>
      </c>
      <c r="AC10" s="17">
        <f t="shared" si="2"/>
        <v>287</v>
      </c>
      <c r="AD10" s="17">
        <f t="shared" si="2"/>
        <v>0</v>
      </c>
      <c r="AE10" s="31">
        <f t="shared" si="2"/>
        <v>247</v>
      </c>
      <c r="AF10" s="31">
        <f t="shared" si="2"/>
        <v>534</v>
      </c>
    </row>
    <row r="11" spans="2:32" s="6" customFormat="1" ht="23.1" customHeight="1" x14ac:dyDescent="0.25">
      <c r="B11" s="45" t="s">
        <v>38</v>
      </c>
      <c r="C11" s="50">
        <v>15</v>
      </c>
      <c r="D11" s="50">
        <v>15</v>
      </c>
      <c r="E11" s="50">
        <v>5</v>
      </c>
      <c r="F11" s="50">
        <v>12</v>
      </c>
      <c r="G11" s="50">
        <v>1</v>
      </c>
      <c r="H11" s="50">
        <v>0</v>
      </c>
      <c r="I11" s="50">
        <v>1</v>
      </c>
      <c r="J11" s="50">
        <v>2</v>
      </c>
      <c r="K11" s="50">
        <v>0</v>
      </c>
      <c r="L11" s="50">
        <v>0</v>
      </c>
      <c r="M11" s="50">
        <v>74</v>
      </c>
      <c r="N11" s="50">
        <v>0</v>
      </c>
      <c r="O11" s="15">
        <f t="shared" si="0"/>
        <v>51</v>
      </c>
      <c r="P11" s="15">
        <f t="shared" si="1"/>
        <v>125</v>
      </c>
      <c r="R11" s="1" t="s">
        <v>7</v>
      </c>
      <c r="S11" s="17">
        <f t="shared" ref="S11:AF11" si="3">SUM(C14:C17)</f>
        <v>101</v>
      </c>
      <c r="T11" s="17">
        <f t="shared" si="3"/>
        <v>82</v>
      </c>
      <c r="U11" s="17">
        <f t="shared" si="3"/>
        <v>36</v>
      </c>
      <c r="V11" s="17">
        <f t="shared" si="3"/>
        <v>32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4</v>
      </c>
      <c r="AA11" s="17">
        <f t="shared" si="3"/>
        <v>2</v>
      </c>
      <c r="AB11" s="17">
        <f t="shared" si="3"/>
        <v>2</v>
      </c>
      <c r="AC11" s="17">
        <f t="shared" si="3"/>
        <v>413</v>
      </c>
      <c r="AD11" s="17">
        <f t="shared" si="3"/>
        <v>0</v>
      </c>
      <c r="AE11" s="31">
        <f t="shared" si="3"/>
        <v>265</v>
      </c>
      <c r="AF11" s="31">
        <f t="shared" si="3"/>
        <v>678</v>
      </c>
    </row>
    <row r="12" spans="2:32" ht="23.1" customHeight="1" x14ac:dyDescent="0.25">
      <c r="B12" s="45" t="s">
        <v>39</v>
      </c>
      <c r="C12" s="50">
        <v>25</v>
      </c>
      <c r="D12" s="50">
        <v>30</v>
      </c>
      <c r="E12" s="50">
        <v>3</v>
      </c>
      <c r="F12" s="50">
        <v>5</v>
      </c>
      <c r="G12" s="50">
        <v>0</v>
      </c>
      <c r="H12" s="50">
        <v>0</v>
      </c>
      <c r="I12" s="50">
        <v>3</v>
      </c>
      <c r="J12" s="50">
        <v>5</v>
      </c>
      <c r="K12" s="50">
        <v>0</v>
      </c>
      <c r="L12" s="50">
        <v>0</v>
      </c>
      <c r="M12" s="50">
        <v>63</v>
      </c>
      <c r="N12" s="50">
        <v>0</v>
      </c>
      <c r="O12" s="15">
        <f t="shared" si="0"/>
        <v>71</v>
      </c>
      <c r="P12" s="15">
        <f t="shared" si="1"/>
        <v>134</v>
      </c>
      <c r="R12" s="1" t="s">
        <v>8</v>
      </c>
      <c r="S12" s="17">
        <f t="shared" ref="S12:AF12" si="4">SUM(C18:C21)</f>
        <v>126</v>
      </c>
      <c r="T12" s="17">
        <f t="shared" si="4"/>
        <v>113</v>
      </c>
      <c r="U12" s="17">
        <f t="shared" si="4"/>
        <v>67</v>
      </c>
      <c r="V12" s="17">
        <f t="shared" si="4"/>
        <v>68</v>
      </c>
      <c r="W12" s="17">
        <f t="shared" si="4"/>
        <v>0</v>
      </c>
      <c r="X12" s="17">
        <f t="shared" si="4"/>
        <v>0</v>
      </c>
      <c r="Y12" s="17">
        <f t="shared" si="4"/>
        <v>34</v>
      </c>
      <c r="Z12" s="17">
        <f t="shared" si="4"/>
        <v>11</v>
      </c>
      <c r="AA12" s="17">
        <f t="shared" si="4"/>
        <v>3</v>
      </c>
      <c r="AB12" s="17">
        <f t="shared" si="4"/>
        <v>2</v>
      </c>
      <c r="AC12" s="17">
        <f t="shared" si="4"/>
        <v>492</v>
      </c>
      <c r="AD12" s="17">
        <f t="shared" si="4"/>
        <v>0</v>
      </c>
      <c r="AE12" s="31">
        <f t="shared" si="4"/>
        <v>424</v>
      </c>
      <c r="AF12" s="31">
        <f t="shared" si="4"/>
        <v>916</v>
      </c>
    </row>
    <row r="13" spans="2:32" ht="23.1" customHeight="1" x14ac:dyDescent="0.25">
      <c r="B13" s="45" t="s">
        <v>40</v>
      </c>
      <c r="C13" s="50">
        <v>22</v>
      </c>
      <c r="D13" s="50">
        <v>17</v>
      </c>
      <c r="E13" s="50">
        <v>10</v>
      </c>
      <c r="F13" s="50">
        <v>11</v>
      </c>
      <c r="G13" s="50">
        <v>0</v>
      </c>
      <c r="H13" s="50">
        <v>0</v>
      </c>
      <c r="I13" s="50">
        <v>7</v>
      </c>
      <c r="J13" s="50">
        <v>0</v>
      </c>
      <c r="K13" s="50">
        <v>2</v>
      </c>
      <c r="L13" s="50">
        <v>0</v>
      </c>
      <c r="M13" s="50">
        <v>72</v>
      </c>
      <c r="N13" s="50">
        <v>0</v>
      </c>
      <c r="O13" s="15">
        <f t="shared" si="0"/>
        <v>69</v>
      </c>
      <c r="P13" s="15">
        <f t="shared" si="1"/>
        <v>141</v>
      </c>
      <c r="R13" s="1" t="s">
        <v>9</v>
      </c>
      <c r="S13" s="17">
        <f t="shared" ref="S13:AF13" si="5">SUM(C22:C25)</f>
        <v>155</v>
      </c>
      <c r="T13" s="17">
        <f t="shared" si="5"/>
        <v>125</v>
      </c>
      <c r="U13" s="17">
        <f t="shared" si="5"/>
        <v>88</v>
      </c>
      <c r="V13" s="17">
        <f t="shared" si="5"/>
        <v>82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8</v>
      </c>
      <c r="AA13" s="17">
        <f t="shared" si="5"/>
        <v>2</v>
      </c>
      <c r="AB13" s="17">
        <f t="shared" si="5"/>
        <v>5</v>
      </c>
      <c r="AC13" s="17">
        <f t="shared" si="5"/>
        <v>521</v>
      </c>
      <c r="AD13" s="17">
        <f t="shared" si="5"/>
        <v>0</v>
      </c>
      <c r="AE13" s="31">
        <f t="shared" si="5"/>
        <v>480</v>
      </c>
      <c r="AF13" s="31">
        <f t="shared" si="5"/>
        <v>1001</v>
      </c>
    </row>
    <row r="14" spans="2:32" ht="23.1" customHeight="1" x14ac:dyDescent="0.25">
      <c r="B14" s="45" t="s">
        <v>41</v>
      </c>
      <c r="C14" s="50">
        <v>15</v>
      </c>
      <c r="D14" s="50">
        <v>17</v>
      </c>
      <c r="E14" s="50">
        <v>2</v>
      </c>
      <c r="F14" s="50">
        <v>7</v>
      </c>
      <c r="G14" s="50">
        <v>0</v>
      </c>
      <c r="H14" s="50">
        <v>0</v>
      </c>
      <c r="I14" s="50">
        <v>0</v>
      </c>
      <c r="J14" s="50">
        <v>4</v>
      </c>
      <c r="K14" s="50">
        <v>1</v>
      </c>
      <c r="L14" s="50">
        <v>0</v>
      </c>
      <c r="M14" s="50">
        <v>96</v>
      </c>
      <c r="N14" s="50">
        <v>0</v>
      </c>
      <c r="O14" s="15">
        <f t="shared" si="0"/>
        <v>46</v>
      </c>
      <c r="P14" s="15">
        <f t="shared" si="1"/>
        <v>142</v>
      </c>
      <c r="R14" s="1" t="s">
        <v>10</v>
      </c>
      <c r="S14" s="17">
        <f t="shared" ref="S14:AF14" si="6">SUM(C26:C29)</f>
        <v>203</v>
      </c>
      <c r="T14" s="17">
        <f t="shared" si="6"/>
        <v>199</v>
      </c>
      <c r="U14" s="17">
        <f t="shared" si="6"/>
        <v>77</v>
      </c>
      <c r="V14" s="17">
        <f t="shared" si="6"/>
        <v>74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9</v>
      </c>
      <c r="AA14" s="17">
        <f t="shared" si="6"/>
        <v>1</v>
      </c>
      <c r="AB14" s="17">
        <f t="shared" si="6"/>
        <v>13</v>
      </c>
      <c r="AC14" s="17">
        <f t="shared" si="6"/>
        <v>429</v>
      </c>
      <c r="AD14" s="17">
        <f t="shared" si="6"/>
        <v>0</v>
      </c>
      <c r="AE14" s="31">
        <f t="shared" si="6"/>
        <v>593</v>
      </c>
      <c r="AF14" s="31">
        <f t="shared" si="6"/>
        <v>1022</v>
      </c>
    </row>
    <row r="15" spans="2:32" ht="23.1" customHeight="1" x14ac:dyDescent="0.25">
      <c r="B15" s="45" t="s">
        <v>42</v>
      </c>
      <c r="C15" s="50">
        <v>25</v>
      </c>
      <c r="D15" s="50">
        <v>23</v>
      </c>
      <c r="E15" s="50">
        <v>11</v>
      </c>
      <c r="F15" s="50">
        <v>7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1</v>
      </c>
      <c r="M15" s="50">
        <v>104</v>
      </c>
      <c r="N15" s="50">
        <v>0</v>
      </c>
      <c r="O15" s="15">
        <f t="shared" si="0"/>
        <v>69</v>
      </c>
      <c r="P15" s="15">
        <f t="shared" si="1"/>
        <v>173</v>
      </c>
      <c r="R15" s="1" t="s">
        <v>11</v>
      </c>
      <c r="S15" s="17">
        <f t="shared" ref="S15:AF15" si="7">SUM(C30:C33)</f>
        <v>140</v>
      </c>
      <c r="T15" s="17">
        <f t="shared" si="7"/>
        <v>135</v>
      </c>
      <c r="U15" s="17">
        <f t="shared" si="7"/>
        <v>78</v>
      </c>
      <c r="V15" s="17">
        <f t="shared" si="7"/>
        <v>75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10</v>
      </c>
      <c r="AA15" s="17">
        <f t="shared" si="7"/>
        <v>3</v>
      </c>
      <c r="AB15" s="17">
        <f t="shared" si="7"/>
        <v>4</v>
      </c>
      <c r="AC15" s="17">
        <f t="shared" si="7"/>
        <v>399</v>
      </c>
      <c r="AD15" s="17">
        <f t="shared" si="7"/>
        <v>0</v>
      </c>
      <c r="AE15" s="31">
        <f t="shared" si="7"/>
        <v>453</v>
      </c>
      <c r="AF15" s="31">
        <f t="shared" si="7"/>
        <v>852</v>
      </c>
    </row>
    <row r="16" spans="2:32" ht="23.1" customHeight="1" x14ac:dyDescent="0.25">
      <c r="B16" s="45" t="s">
        <v>43</v>
      </c>
      <c r="C16" s="50">
        <v>30</v>
      </c>
      <c r="D16" s="50">
        <v>15</v>
      </c>
      <c r="E16" s="50">
        <v>15</v>
      </c>
      <c r="F16" s="50">
        <v>6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98</v>
      </c>
      <c r="N16" s="50">
        <v>0</v>
      </c>
      <c r="O16" s="15">
        <f t="shared" si="0"/>
        <v>67</v>
      </c>
      <c r="P16" s="15">
        <f t="shared" si="1"/>
        <v>165</v>
      </c>
      <c r="R16" s="1" t="s">
        <v>12</v>
      </c>
      <c r="S16" s="17">
        <f t="shared" ref="S16:AF16" si="8">SUM(C34:C37)</f>
        <v>115</v>
      </c>
      <c r="T16" s="17">
        <f t="shared" si="8"/>
        <v>94</v>
      </c>
      <c r="U16" s="17">
        <f t="shared" si="8"/>
        <v>78</v>
      </c>
      <c r="V16" s="17">
        <f t="shared" si="8"/>
        <v>54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15</v>
      </c>
      <c r="AA16" s="17">
        <f t="shared" si="8"/>
        <v>3</v>
      </c>
      <c r="AB16" s="17">
        <f t="shared" si="8"/>
        <v>5</v>
      </c>
      <c r="AC16" s="17">
        <f t="shared" si="8"/>
        <v>366</v>
      </c>
      <c r="AD16" s="17">
        <f t="shared" si="8"/>
        <v>0</v>
      </c>
      <c r="AE16" s="31">
        <f t="shared" si="8"/>
        <v>383</v>
      </c>
      <c r="AF16" s="31">
        <f t="shared" si="8"/>
        <v>749</v>
      </c>
    </row>
    <row r="17" spans="2:32" ht="23.1" customHeight="1" x14ac:dyDescent="0.25">
      <c r="B17" s="45" t="s">
        <v>44</v>
      </c>
      <c r="C17" s="50">
        <v>31</v>
      </c>
      <c r="D17" s="50">
        <v>27</v>
      </c>
      <c r="E17" s="50">
        <v>8</v>
      </c>
      <c r="F17" s="50">
        <v>12</v>
      </c>
      <c r="G17" s="50">
        <v>0</v>
      </c>
      <c r="H17" s="50">
        <v>0</v>
      </c>
      <c r="I17" s="50">
        <v>3</v>
      </c>
      <c r="J17" s="50">
        <v>0</v>
      </c>
      <c r="K17" s="50">
        <v>1</v>
      </c>
      <c r="L17" s="50">
        <v>1</v>
      </c>
      <c r="M17" s="50">
        <v>115</v>
      </c>
      <c r="N17" s="50">
        <v>0</v>
      </c>
      <c r="O17" s="15">
        <f t="shared" si="0"/>
        <v>83</v>
      </c>
      <c r="P17" s="15">
        <f t="shared" si="1"/>
        <v>198</v>
      </c>
      <c r="R17" s="1" t="s">
        <v>13</v>
      </c>
      <c r="S17" s="17">
        <f t="shared" ref="S17:AF17" si="9">SUM(C38:C41)</f>
        <v>158</v>
      </c>
      <c r="T17" s="17">
        <f t="shared" si="9"/>
        <v>106</v>
      </c>
      <c r="U17" s="17">
        <f t="shared" si="9"/>
        <v>76</v>
      </c>
      <c r="V17" s="17">
        <f t="shared" si="9"/>
        <v>68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14</v>
      </c>
      <c r="AA17" s="17">
        <f t="shared" si="9"/>
        <v>7</v>
      </c>
      <c r="AB17" s="17">
        <f t="shared" si="9"/>
        <v>4</v>
      </c>
      <c r="AC17" s="17">
        <f t="shared" si="9"/>
        <v>310</v>
      </c>
      <c r="AD17" s="17">
        <f t="shared" si="9"/>
        <v>0</v>
      </c>
      <c r="AE17" s="31">
        <f t="shared" si="9"/>
        <v>441</v>
      </c>
      <c r="AF17" s="31">
        <f t="shared" si="9"/>
        <v>751</v>
      </c>
    </row>
    <row r="18" spans="2:32" ht="23.1" customHeight="1" x14ac:dyDescent="0.25">
      <c r="B18" s="45" t="s">
        <v>45</v>
      </c>
      <c r="C18" s="50">
        <v>31</v>
      </c>
      <c r="D18" s="50">
        <v>30</v>
      </c>
      <c r="E18" s="50">
        <v>10</v>
      </c>
      <c r="F18" s="50">
        <v>15</v>
      </c>
      <c r="G18" s="50">
        <v>0</v>
      </c>
      <c r="H18" s="50">
        <v>0</v>
      </c>
      <c r="I18" s="50">
        <v>14</v>
      </c>
      <c r="J18" s="50">
        <v>4</v>
      </c>
      <c r="K18" s="50">
        <v>2</v>
      </c>
      <c r="L18" s="50">
        <v>0</v>
      </c>
      <c r="M18" s="50">
        <v>107</v>
      </c>
      <c r="N18" s="50">
        <v>0</v>
      </c>
      <c r="O18" s="15">
        <f t="shared" si="0"/>
        <v>106</v>
      </c>
      <c r="P18" s="15">
        <f t="shared" si="1"/>
        <v>213</v>
      </c>
      <c r="R18" s="1" t="s">
        <v>14</v>
      </c>
      <c r="S18" s="17">
        <f t="shared" ref="S18:AF18" si="10">SUM(C42:C45)</f>
        <v>201</v>
      </c>
      <c r="T18" s="17">
        <f t="shared" si="10"/>
        <v>95</v>
      </c>
      <c r="U18" s="17">
        <f t="shared" si="10"/>
        <v>57</v>
      </c>
      <c r="V18" s="17">
        <f t="shared" si="10"/>
        <v>54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10</v>
      </c>
      <c r="AA18" s="17">
        <f t="shared" si="10"/>
        <v>4</v>
      </c>
      <c r="AB18" s="17">
        <f t="shared" si="10"/>
        <v>3</v>
      </c>
      <c r="AC18" s="17">
        <f t="shared" si="10"/>
        <v>313</v>
      </c>
      <c r="AD18" s="17">
        <f t="shared" si="10"/>
        <v>0</v>
      </c>
      <c r="AE18" s="31">
        <f t="shared" si="10"/>
        <v>428</v>
      </c>
      <c r="AF18" s="31">
        <f t="shared" si="10"/>
        <v>741</v>
      </c>
    </row>
    <row r="19" spans="2:32" ht="23.1" customHeight="1" x14ac:dyDescent="0.25">
      <c r="B19" s="45" t="s">
        <v>46</v>
      </c>
      <c r="C19" s="50">
        <v>30</v>
      </c>
      <c r="D19" s="50">
        <v>20</v>
      </c>
      <c r="E19" s="50">
        <v>12</v>
      </c>
      <c r="F19" s="50">
        <v>16</v>
      </c>
      <c r="G19" s="50">
        <v>0</v>
      </c>
      <c r="H19" s="50">
        <v>0</v>
      </c>
      <c r="I19" s="50">
        <v>8</v>
      </c>
      <c r="J19" s="50">
        <v>3</v>
      </c>
      <c r="K19" s="50">
        <v>1</v>
      </c>
      <c r="L19" s="50">
        <v>0</v>
      </c>
      <c r="M19" s="50">
        <v>140</v>
      </c>
      <c r="N19" s="50">
        <v>0</v>
      </c>
      <c r="O19" s="15">
        <f t="shared" si="0"/>
        <v>90</v>
      </c>
      <c r="P19" s="15">
        <f t="shared" si="1"/>
        <v>230</v>
      </c>
      <c r="R19" s="1" t="s">
        <v>15</v>
      </c>
      <c r="S19" s="17">
        <f t="shared" ref="S19:AF19" si="11">SUM(C46:C49)</f>
        <v>160</v>
      </c>
      <c r="T19" s="17">
        <f t="shared" si="11"/>
        <v>143</v>
      </c>
      <c r="U19" s="17">
        <f t="shared" si="11"/>
        <v>102</v>
      </c>
      <c r="V19" s="17">
        <f t="shared" si="11"/>
        <v>103</v>
      </c>
      <c r="W19" s="17">
        <f t="shared" si="11"/>
        <v>1</v>
      </c>
      <c r="X19" s="17">
        <f t="shared" si="11"/>
        <v>0</v>
      </c>
      <c r="Y19" s="17">
        <f t="shared" si="11"/>
        <v>9</v>
      </c>
      <c r="Z19" s="17">
        <f t="shared" si="11"/>
        <v>12</v>
      </c>
      <c r="AA19" s="17">
        <f t="shared" si="11"/>
        <v>5</v>
      </c>
      <c r="AB19" s="17">
        <f t="shared" si="11"/>
        <v>5</v>
      </c>
      <c r="AC19" s="17">
        <f t="shared" si="11"/>
        <v>293</v>
      </c>
      <c r="AD19" s="17">
        <f t="shared" si="11"/>
        <v>0</v>
      </c>
      <c r="AE19" s="31">
        <f t="shared" si="11"/>
        <v>540</v>
      </c>
      <c r="AF19" s="31">
        <f t="shared" si="11"/>
        <v>833</v>
      </c>
    </row>
    <row r="20" spans="2:32" ht="23.1" customHeight="1" x14ac:dyDescent="0.25">
      <c r="B20" s="45" t="s">
        <v>47</v>
      </c>
      <c r="C20" s="50">
        <v>30</v>
      </c>
      <c r="D20" s="50">
        <v>33</v>
      </c>
      <c r="E20" s="50">
        <v>15</v>
      </c>
      <c r="F20" s="50">
        <v>14</v>
      </c>
      <c r="G20" s="50">
        <v>0</v>
      </c>
      <c r="H20" s="50">
        <v>0</v>
      </c>
      <c r="I20" s="50">
        <v>8</v>
      </c>
      <c r="J20" s="50">
        <v>3</v>
      </c>
      <c r="K20" s="50">
        <v>0</v>
      </c>
      <c r="L20" s="50">
        <v>2</v>
      </c>
      <c r="M20" s="50">
        <v>135</v>
      </c>
      <c r="N20" s="50">
        <v>0</v>
      </c>
      <c r="O20" s="15">
        <f t="shared" si="0"/>
        <v>105</v>
      </c>
      <c r="P20" s="15">
        <f t="shared" si="1"/>
        <v>240</v>
      </c>
      <c r="R20" s="1" t="s">
        <v>16</v>
      </c>
      <c r="S20" s="17">
        <f t="shared" ref="S20:AF20" si="12">SUM(C50:C53)</f>
        <v>157</v>
      </c>
      <c r="T20" s="17">
        <f t="shared" si="12"/>
        <v>145</v>
      </c>
      <c r="U20" s="17">
        <f t="shared" si="12"/>
        <v>110</v>
      </c>
      <c r="V20" s="17">
        <f t="shared" si="12"/>
        <v>77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17</v>
      </c>
      <c r="AA20" s="17">
        <f t="shared" si="12"/>
        <v>2</v>
      </c>
      <c r="AB20" s="17">
        <f t="shared" si="12"/>
        <v>5</v>
      </c>
      <c r="AC20" s="17">
        <f t="shared" si="12"/>
        <v>322</v>
      </c>
      <c r="AD20" s="17">
        <f t="shared" si="12"/>
        <v>0</v>
      </c>
      <c r="AE20" s="31">
        <f t="shared" si="12"/>
        <v>525</v>
      </c>
      <c r="AF20" s="31">
        <f t="shared" si="12"/>
        <v>847</v>
      </c>
    </row>
    <row r="21" spans="2:32" ht="23.1" customHeight="1" x14ac:dyDescent="0.25">
      <c r="B21" s="45" t="s">
        <v>48</v>
      </c>
      <c r="C21" s="50">
        <v>35</v>
      </c>
      <c r="D21" s="50">
        <v>30</v>
      </c>
      <c r="E21" s="50">
        <v>30</v>
      </c>
      <c r="F21" s="50">
        <v>23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110</v>
      </c>
      <c r="N21" s="50">
        <v>0</v>
      </c>
      <c r="O21" s="15">
        <f t="shared" si="0"/>
        <v>123</v>
      </c>
      <c r="P21" s="15">
        <f t="shared" si="1"/>
        <v>233</v>
      </c>
      <c r="R21" s="36" t="s">
        <v>20</v>
      </c>
      <c r="S21" s="34">
        <f t="shared" ref="S21:AF21" si="13">SUM(C54:C57)</f>
        <v>132</v>
      </c>
      <c r="T21" s="17">
        <f t="shared" si="13"/>
        <v>135</v>
      </c>
      <c r="U21" s="17">
        <f t="shared" si="13"/>
        <v>118</v>
      </c>
      <c r="V21" s="17">
        <f t="shared" si="13"/>
        <v>80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9</v>
      </c>
      <c r="AA21" s="17">
        <f t="shared" si="13"/>
        <v>9</v>
      </c>
      <c r="AB21" s="17">
        <f t="shared" si="13"/>
        <v>2</v>
      </c>
      <c r="AC21" s="17">
        <f t="shared" si="13"/>
        <v>351</v>
      </c>
      <c r="AD21" s="17">
        <f t="shared" si="13"/>
        <v>0</v>
      </c>
      <c r="AE21" s="31">
        <f t="shared" si="13"/>
        <v>494</v>
      </c>
      <c r="AF21" s="31">
        <f t="shared" si="13"/>
        <v>845</v>
      </c>
    </row>
    <row r="22" spans="2:32" ht="23.1" customHeight="1" x14ac:dyDescent="0.25">
      <c r="B22" s="45" t="s">
        <v>49</v>
      </c>
      <c r="C22" s="50">
        <v>25</v>
      </c>
      <c r="D22" s="50">
        <v>15</v>
      </c>
      <c r="E22" s="50">
        <v>12</v>
      </c>
      <c r="F22" s="50">
        <v>10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123</v>
      </c>
      <c r="N22" s="50">
        <v>0</v>
      </c>
      <c r="O22" s="15">
        <f t="shared" si="0"/>
        <v>64</v>
      </c>
      <c r="P22" s="15">
        <f t="shared" si="1"/>
        <v>187</v>
      </c>
      <c r="R22" s="36" t="s">
        <v>146</v>
      </c>
      <c r="S22" s="34">
        <f>SUM(C58:C61)</f>
        <v>130</v>
      </c>
      <c r="T22" s="34">
        <f t="shared" ref="T22:AF22" si="14">SUM(D58:D61)</f>
        <v>68</v>
      </c>
      <c r="U22" s="34">
        <f t="shared" si="14"/>
        <v>21</v>
      </c>
      <c r="V22" s="34">
        <f t="shared" si="14"/>
        <v>43</v>
      </c>
      <c r="W22" s="34">
        <f t="shared" si="14"/>
        <v>1</v>
      </c>
      <c r="X22" s="34">
        <f t="shared" si="14"/>
        <v>0</v>
      </c>
      <c r="Y22" s="34">
        <f t="shared" si="14"/>
        <v>12</v>
      </c>
      <c r="Z22" s="34">
        <f t="shared" si="14"/>
        <v>1</v>
      </c>
      <c r="AA22" s="34">
        <f t="shared" si="14"/>
        <v>0</v>
      </c>
      <c r="AB22" s="34">
        <f t="shared" si="14"/>
        <v>2</v>
      </c>
      <c r="AC22" s="34">
        <f t="shared" si="14"/>
        <v>282</v>
      </c>
      <c r="AD22" s="34">
        <f t="shared" si="14"/>
        <v>0</v>
      </c>
      <c r="AE22" s="31">
        <f t="shared" si="14"/>
        <v>278</v>
      </c>
      <c r="AF22" s="31">
        <f t="shared" si="14"/>
        <v>560</v>
      </c>
    </row>
    <row r="23" spans="2:32" ht="23.1" customHeight="1" x14ac:dyDescent="0.25">
      <c r="B23" s="45" t="s">
        <v>50</v>
      </c>
      <c r="C23" s="50">
        <v>45</v>
      </c>
      <c r="D23" s="50">
        <v>40</v>
      </c>
      <c r="E23" s="50">
        <v>16</v>
      </c>
      <c r="F23" s="50">
        <v>12</v>
      </c>
      <c r="G23" s="50">
        <v>0</v>
      </c>
      <c r="H23" s="50">
        <v>0</v>
      </c>
      <c r="I23" s="50">
        <v>3</v>
      </c>
      <c r="J23" s="50">
        <v>3</v>
      </c>
      <c r="K23" s="50">
        <v>1</v>
      </c>
      <c r="L23" s="50">
        <v>0</v>
      </c>
      <c r="M23" s="50">
        <v>141</v>
      </c>
      <c r="N23" s="50">
        <v>0</v>
      </c>
      <c r="O23" s="15">
        <f t="shared" si="0"/>
        <v>120</v>
      </c>
      <c r="P23" s="15">
        <f t="shared" si="1"/>
        <v>261</v>
      </c>
      <c r="R23" s="36" t="s">
        <v>147</v>
      </c>
      <c r="S23" s="34">
        <f>SUM(C62:C65)</f>
        <v>207</v>
      </c>
      <c r="T23" s="34">
        <f t="shared" ref="T23:AF23" si="15">SUM(D62:D65)</f>
        <v>65</v>
      </c>
      <c r="U23" s="34">
        <f t="shared" si="15"/>
        <v>19</v>
      </c>
      <c r="V23" s="34">
        <f t="shared" si="15"/>
        <v>45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225</v>
      </c>
      <c r="AD23" s="34">
        <f t="shared" si="15"/>
        <v>0</v>
      </c>
      <c r="AE23" s="31">
        <f t="shared" si="15"/>
        <v>344</v>
      </c>
      <c r="AF23" s="31">
        <f t="shared" si="15"/>
        <v>569</v>
      </c>
    </row>
    <row r="24" spans="2:32" ht="23.1" customHeight="1" x14ac:dyDescent="0.25">
      <c r="B24" s="45" t="s">
        <v>51</v>
      </c>
      <c r="C24" s="50">
        <v>40</v>
      </c>
      <c r="D24" s="50">
        <v>35</v>
      </c>
      <c r="E24" s="50">
        <v>20</v>
      </c>
      <c r="F24" s="50">
        <v>30</v>
      </c>
      <c r="G24" s="50">
        <v>0</v>
      </c>
      <c r="H24" s="50">
        <v>0</v>
      </c>
      <c r="I24" s="50">
        <v>5</v>
      </c>
      <c r="J24" s="50">
        <v>0</v>
      </c>
      <c r="K24" s="50">
        <v>1</v>
      </c>
      <c r="L24" s="50">
        <v>4</v>
      </c>
      <c r="M24" s="50">
        <v>144</v>
      </c>
      <c r="N24" s="50">
        <v>0</v>
      </c>
      <c r="O24" s="15">
        <f t="shared" si="0"/>
        <v>135</v>
      </c>
      <c r="P24" s="15">
        <f t="shared" si="1"/>
        <v>279</v>
      </c>
      <c r="R24" s="36" t="s">
        <v>148</v>
      </c>
      <c r="S24" s="34">
        <f>SUM(C66:C69)</f>
        <v>205</v>
      </c>
      <c r="T24" s="34">
        <f t="shared" ref="T24:AF24" si="16">SUM(D66:D69)</f>
        <v>68</v>
      </c>
      <c r="U24" s="34">
        <f t="shared" si="16"/>
        <v>16</v>
      </c>
      <c r="V24" s="34">
        <f t="shared" si="16"/>
        <v>30</v>
      </c>
      <c r="W24" s="34">
        <f t="shared" si="16"/>
        <v>0</v>
      </c>
      <c r="X24" s="34">
        <f t="shared" si="16"/>
        <v>0</v>
      </c>
      <c r="Y24" s="34">
        <f t="shared" si="16"/>
        <v>8</v>
      </c>
      <c r="Z24" s="34">
        <f t="shared" si="16"/>
        <v>6</v>
      </c>
      <c r="AA24" s="34">
        <f t="shared" si="16"/>
        <v>1</v>
      </c>
      <c r="AB24" s="34">
        <f t="shared" si="16"/>
        <v>1</v>
      </c>
      <c r="AC24" s="34">
        <f t="shared" si="16"/>
        <v>223</v>
      </c>
      <c r="AD24" s="34">
        <f t="shared" si="16"/>
        <v>0</v>
      </c>
      <c r="AE24" s="31">
        <f t="shared" si="16"/>
        <v>335</v>
      </c>
      <c r="AF24" s="31">
        <f t="shared" si="16"/>
        <v>558</v>
      </c>
    </row>
    <row r="25" spans="2:32" ht="23.1" customHeight="1" x14ac:dyDescent="0.25">
      <c r="B25" s="45" t="s">
        <v>52</v>
      </c>
      <c r="C25" s="50">
        <v>45</v>
      </c>
      <c r="D25" s="50">
        <v>35</v>
      </c>
      <c r="E25" s="50">
        <v>40</v>
      </c>
      <c r="F25" s="50">
        <v>30</v>
      </c>
      <c r="G25" s="50">
        <v>0</v>
      </c>
      <c r="H25" s="50">
        <v>0</v>
      </c>
      <c r="I25" s="50">
        <v>6</v>
      </c>
      <c r="J25" s="50">
        <v>5</v>
      </c>
      <c r="K25" s="50">
        <v>0</v>
      </c>
      <c r="L25" s="50">
        <v>0</v>
      </c>
      <c r="M25" s="50">
        <v>113</v>
      </c>
      <c r="N25" s="50">
        <v>0</v>
      </c>
      <c r="O25" s="15">
        <f t="shared" si="0"/>
        <v>161</v>
      </c>
      <c r="P25" s="15">
        <f t="shared" si="1"/>
        <v>274</v>
      </c>
      <c r="R25" s="36" t="s">
        <v>149</v>
      </c>
      <c r="S25" s="34">
        <f>SUM(C70:C73)</f>
        <v>235</v>
      </c>
      <c r="T25" s="34">
        <f t="shared" ref="T25:AF25" si="17">SUM(D70:D73)</f>
        <v>79</v>
      </c>
      <c r="U25" s="34">
        <f t="shared" si="17"/>
        <v>10</v>
      </c>
      <c r="V25" s="34">
        <f t="shared" si="17"/>
        <v>23</v>
      </c>
      <c r="W25" s="34">
        <f t="shared" si="17"/>
        <v>1</v>
      </c>
      <c r="X25" s="34">
        <f t="shared" si="17"/>
        <v>0</v>
      </c>
      <c r="Y25" s="34">
        <f t="shared" si="17"/>
        <v>8</v>
      </c>
      <c r="Z25" s="34">
        <f t="shared" si="17"/>
        <v>6</v>
      </c>
      <c r="AA25" s="34">
        <f t="shared" si="17"/>
        <v>2</v>
      </c>
      <c r="AB25" s="34">
        <f t="shared" si="17"/>
        <v>4</v>
      </c>
      <c r="AC25" s="34">
        <f t="shared" si="17"/>
        <v>286</v>
      </c>
      <c r="AD25" s="34">
        <f t="shared" si="17"/>
        <v>0</v>
      </c>
      <c r="AE25" s="31">
        <f t="shared" si="17"/>
        <v>368</v>
      </c>
      <c r="AF25" s="31">
        <f t="shared" si="17"/>
        <v>654</v>
      </c>
    </row>
    <row r="26" spans="2:32" ht="23.1" customHeight="1" x14ac:dyDescent="0.25">
      <c r="B26" s="45" t="s">
        <v>53</v>
      </c>
      <c r="C26" s="50">
        <v>48</v>
      </c>
      <c r="D26" s="50">
        <v>45</v>
      </c>
      <c r="E26" s="50">
        <v>12</v>
      </c>
      <c r="F26" s="50">
        <v>13</v>
      </c>
      <c r="G26" s="50">
        <v>0</v>
      </c>
      <c r="H26" s="50">
        <v>0</v>
      </c>
      <c r="I26" s="50">
        <v>5</v>
      </c>
      <c r="J26" s="50">
        <v>2</v>
      </c>
      <c r="K26" s="50">
        <v>0</v>
      </c>
      <c r="L26" s="50">
        <v>4</v>
      </c>
      <c r="M26" s="50">
        <v>93</v>
      </c>
      <c r="N26" s="50">
        <v>0</v>
      </c>
      <c r="O26" s="15">
        <f t="shared" si="0"/>
        <v>129</v>
      </c>
      <c r="P26" s="15">
        <f t="shared" si="1"/>
        <v>222</v>
      </c>
      <c r="R26" s="36" t="s">
        <v>150</v>
      </c>
      <c r="S26" s="34">
        <f>SUM(C74:C77)</f>
        <v>123</v>
      </c>
      <c r="T26" s="34">
        <f t="shared" ref="T26:AF26" si="18">SUM(D74:D77)</f>
        <v>64</v>
      </c>
      <c r="U26" s="34">
        <f t="shared" si="18"/>
        <v>12</v>
      </c>
      <c r="V26" s="34">
        <f t="shared" si="18"/>
        <v>19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3</v>
      </c>
      <c r="AA26" s="34">
        <f t="shared" si="18"/>
        <v>1</v>
      </c>
      <c r="AB26" s="34">
        <f t="shared" si="18"/>
        <v>1</v>
      </c>
      <c r="AC26" s="34">
        <f t="shared" si="18"/>
        <v>184</v>
      </c>
      <c r="AD26" s="34">
        <f t="shared" si="18"/>
        <v>0</v>
      </c>
      <c r="AE26" s="31">
        <f t="shared" si="18"/>
        <v>226</v>
      </c>
      <c r="AF26" s="31">
        <f t="shared" si="18"/>
        <v>410</v>
      </c>
    </row>
    <row r="27" spans="2:32" ht="23.1" customHeight="1" x14ac:dyDescent="0.25">
      <c r="B27" s="45" t="s">
        <v>54</v>
      </c>
      <c r="C27" s="50">
        <v>60</v>
      </c>
      <c r="D27" s="50">
        <v>47</v>
      </c>
      <c r="E27" s="50">
        <v>13</v>
      </c>
      <c r="F27" s="50">
        <v>16</v>
      </c>
      <c r="G27" s="50">
        <v>0</v>
      </c>
      <c r="H27" s="50">
        <v>0</v>
      </c>
      <c r="I27" s="50">
        <v>3</v>
      </c>
      <c r="J27" s="50">
        <v>4</v>
      </c>
      <c r="K27" s="50">
        <v>1</v>
      </c>
      <c r="L27" s="50">
        <v>0</v>
      </c>
      <c r="M27" s="50">
        <v>95</v>
      </c>
      <c r="N27" s="50">
        <v>0</v>
      </c>
      <c r="O27" s="15">
        <f t="shared" si="0"/>
        <v>144</v>
      </c>
      <c r="P27" s="15">
        <f t="shared" si="1"/>
        <v>239</v>
      </c>
      <c r="R27" s="36" t="s">
        <v>151</v>
      </c>
      <c r="S27" s="34">
        <f>SUM(C78:C81)</f>
        <v>92</v>
      </c>
      <c r="T27" s="34">
        <f t="shared" ref="T27:AF27" si="19">SUM(D78:D81)</f>
        <v>29</v>
      </c>
      <c r="U27" s="34">
        <f t="shared" si="19"/>
        <v>10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4</v>
      </c>
      <c r="AA27" s="34">
        <f t="shared" si="19"/>
        <v>1</v>
      </c>
      <c r="AB27" s="34">
        <f t="shared" si="19"/>
        <v>0</v>
      </c>
      <c r="AC27" s="34">
        <f t="shared" si="19"/>
        <v>87</v>
      </c>
      <c r="AD27" s="34">
        <f t="shared" si="19"/>
        <v>0</v>
      </c>
      <c r="AE27" s="31">
        <f t="shared" si="19"/>
        <v>144</v>
      </c>
      <c r="AF27" s="31">
        <f t="shared" si="19"/>
        <v>231</v>
      </c>
    </row>
    <row r="28" spans="2:32" ht="23.1" customHeight="1" x14ac:dyDescent="0.25">
      <c r="B28" s="45" t="s">
        <v>55</v>
      </c>
      <c r="C28" s="50">
        <v>50</v>
      </c>
      <c r="D28" s="50">
        <v>65</v>
      </c>
      <c r="E28" s="50">
        <v>25</v>
      </c>
      <c r="F28" s="50">
        <v>20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7</v>
      </c>
      <c r="M28" s="50">
        <v>120</v>
      </c>
      <c r="N28" s="50">
        <v>0</v>
      </c>
      <c r="O28" s="15">
        <f t="shared" si="0"/>
        <v>170</v>
      </c>
      <c r="P28" s="15">
        <f t="shared" si="1"/>
        <v>290</v>
      </c>
      <c r="R28" s="36" t="s">
        <v>152</v>
      </c>
      <c r="S28" s="34">
        <f>SUM(C82:C85)</f>
        <v>66</v>
      </c>
      <c r="T28" s="34">
        <f t="shared" ref="T28:AF28" si="20">SUM(D82:D85)</f>
        <v>14</v>
      </c>
      <c r="U28" s="34">
        <f t="shared" si="20"/>
        <v>2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1</v>
      </c>
      <c r="AB28" s="34">
        <f t="shared" si="20"/>
        <v>0</v>
      </c>
      <c r="AC28" s="34">
        <f t="shared" si="20"/>
        <v>95</v>
      </c>
      <c r="AD28" s="34">
        <f t="shared" si="20"/>
        <v>0</v>
      </c>
      <c r="AE28" s="31">
        <f t="shared" si="20"/>
        <v>88</v>
      </c>
      <c r="AF28" s="31">
        <f t="shared" si="20"/>
        <v>183</v>
      </c>
    </row>
    <row r="29" spans="2:32" ht="23.1" customHeight="1" x14ac:dyDescent="0.25">
      <c r="B29" s="45" t="s">
        <v>56</v>
      </c>
      <c r="C29" s="50">
        <v>45</v>
      </c>
      <c r="D29" s="50">
        <v>42</v>
      </c>
      <c r="E29" s="50">
        <v>27</v>
      </c>
      <c r="F29" s="50">
        <v>25</v>
      </c>
      <c r="G29" s="50">
        <v>0</v>
      </c>
      <c r="H29" s="50">
        <v>0</v>
      </c>
      <c r="I29" s="50">
        <v>6</v>
      </c>
      <c r="J29" s="50">
        <v>3</v>
      </c>
      <c r="K29" s="50">
        <v>0</v>
      </c>
      <c r="L29" s="50">
        <v>2</v>
      </c>
      <c r="M29" s="50">
        <v>121</v>
      </c>
      <c r="N29" s="50">
        <v>0</v>
      </c>
      <c r="O29" s="15">
        <f t="shared" si="0"/>
        <v>150</v>
      </c>
      <c r="P29" s="15">
        <f t="shared" si="1"/>
        <v>271</v>
      </c>
      <c r="R29" s="36" t="s">
        <v>153</v>
      </c>
      <c r="S29" s="34">
        <f>SUM(C86:C89)</f>
        <v>56</v>
      </c>
      <c r="T29" s="34">
        <f t="shared" ref="T29:AF29" si="21">SUM(D86:D89)</f>
        <v>16</v>
      </c>
      <c r="U29" s="34">
        <f t="shared" si="21"/>
        <v>2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5</v>
      </c>
      <c r="AA29" s="34">
        <f t="shared" si="21"/>
        <v>0</v>
      </c>
      <c r="AB29" s="34">
        <f t="shared" si="21"/>
        <v>1</v>
      </c>
      <c r="AC29" s="34">
        <f t="shared" si="21"/>
        <v>77</v>
      </c>
      <c r="AD29" s="34">
        <f t="shared" si="21"/>
        <v>0</v>
      </c>
      <c r="AE29" s="31">
        <f t="shared" si="21"/>
        <v>82</v>
      </c>
      <c r="AF29" s="31">
        <f t="shared" si="21"/>
        <v>159</v>
      </c>
    </row>
    <row r="30" spans="2:32" ht="23.1" customHeight="1" x14ac:dyDescent="0.25">
      <c r="B30" s="45" t="s">
        <v>57</v>
      </c>
      <c r="C30" s="50">
        <v>35</v>
      </c>
      <c r="D30" s="50">
        <v>30</v>
      </c>
      <c r="E30" s="50">
        <v>15</v>
      </c>
      <c r="F30" s="50">
        <v>20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97</v>
      </c>
      <c r="N30" s="50">
        <v>0</v>
      </c>
      <c r="O30" s="15">
        <f t="shared" si="0"/>
        <v>104</v>
      </c>
      <c r="P30" s="15">
        <f t="shared" si="1"/>
        <v>201</v>
      </c>
      <c r="R30" s="36" t="s">
        <v>154</v>
      </c>
      <c r="S30" s="34">
        <f>SUM(C90:C93)</f>
        <v>34</v>
      </c>
      <c r="T30" s="34">
        <f t="shared" ref="T30:AF30" si="22">SUM(D90:D93)</f>
        <v>7</v>
      </c>
      <c r="U30" s="34">
        <f t="shared" si="22"/>
        <v>2</v>
      </c>
      <c r="V30" s="34">
        <f t="shared" si="22"/>
        <v>2</v>
      </c>
      <c r="W30" s="34">
        <f t="shared" si="22"/>
        <v>1</v>
      </c>
      <c r="X30" s="34">
        <f t="shared" si="22"/>
        <v>0</v>
      </c>
      <c r="Y30" s="34">
        <f t="shared" si="22"/>
        <v>1</v>
      </c>
      <c r="Z30" s="34">
        <f t="shared" si="22"/>
        <v>3</v>
      </c>
      <c r="AA30" s="34">
        <f t="shared" si="22"/>
        <v>2</v>
      </c>
      <c r="AB30" s="34">
        <f t="shared" si="22"/>
        <v>0</v>
      </c>
      <c r="AC30" s="34">
        <f t="shared" si="22"/>
        <v>65</v>
      </c>
      <c r="AD30" s="34">
        <f t="shared" si="22"/>
        <v>0</v>
      </c>
      <c r="AE30" s="31">
        <f t="shared" si="22"/>
        <v>52</v>
      </c>
      <c r="AF30" s="31">
        <f t="shared" si="22"/>
        <v>117</v>
      </c>
    </row>
    <row r="31" spans="2:32" ht="23.1" customHeight="1" x14ac:dyDescent="0.25">
      <c r="B31" s="46" t="s">
        <v>58</v>
      </c>
      <c r="C31" s="50">
        <v>30</v>
      </c>
      <c r="D31" s="50">
        <v>30</v>
      </c>
      <c r="E31" s="50">
        <v>18</v>
      </c>
      <c r="F31" s="50">
        <v>10</v>
      </c>
      <c r="G31" s="50">
        <v>0</v>
      </c>
      <c r="H31" s="50">
        <v>0</v>
      </c>
      <c r="I31" s="50">
        <v>1</v>
      </c>
      <c r="J31" s="50">
        <v>2</v>
      </c>
      <c r="K31" s="50">
        <v>1</v>
      </c>
      <c r="L31" s="50">
        <v>2</v>
      </c>
      <c r="M31" s="50">
        <v>81</v>
      </c>
      <c r="N31" s="50">
        <v>0</v>
      </c>
      <c r="O31" s="15">
        <f t="shared" si="0"/>
        <v>94</v>
      </c>
      <c r="P31" s="15">
        <f t="shared" si="1"/>
        <v>175</v>
      </c>
      <c r="R31" s="36" t="s">
        <v>155</v>
      </c>
      <c r="S31" s="34">
        <f>SUM(C94:C97)</f>
        <v>18</v>
      </c>
      <c r="T31" s="34">
        <f t="shared" ref="T31:AF31" si="23">SUM(D94:D97)</f>
        <v>10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6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53</v>
      </c>
      <c r="AD31" s="34">
        <f t="shared" si="23"/>
        <v>0</v>
      </c>
      <c r="AE31" s="31">
        <f t="shared" si="23"/>
        <v>37</v>
      </c>
      <c r="AF31" s="31">
        <f t="shared" si="23"/>
        <v>90</v>
      </c>
    </row>
    <row r="32" spans="2:32" ht="23.1" customHeight="1" x14ac:dyDescent="0.25">
      <c r="B32" s="46" t="s">
        <v>59</v>
      </c>
      <c r="C32" s="50">
        <v>42</v>
      </c>
      <c r="D32" s="50">
        <v>45</v>
      </c>
      <c r="E32" s="50">
        <v>30</v>
      </c>
      <c r="F32" s="50">
        <v>30</v>
      </c>
      <c r="G32" s="50">
        <v>0</v>
      </c>
      <c r="H32" s="50">
        <v>0</v>
      </c>
      <c r="I32" s="50">
        <v>4</v>
      </c>
      <c r="J32" s="50">
        <v>2</v>
      </c>
      <c r="K32" s="50">
        <v>2</v>
      </c>
      <c r="L32" s="50">
        <v>0</v>
      </c>
      <c r="M32" s="50">
        <v>121</v>
      </c>
      <c r="N32" s="50">
        <v>0</v>
      </c>
      <c r="O32" s="15">
        <f t="shared" si="0"/>
        <v>155</v>
      </c>
      <c r="P32" s="15">
        <f t="shared" si="1"/>
        <v>276</v>
      </c>
      <c r="R32" s="33" t="s">
        <v>156</v>
      </c>
      <c r="S32" s="34">
        <f>SUM(C98:C101)</f>
        <v>25</v>
      </c>
      <c r="T32" s="34">
        <f t="shared" ref="T32:AF32" si="24">SUM(D98:D101)</f>
        <v>8</v>
      </c>
      <c r="U32" s="34">
        <f t="shared" si="24"/>
        <v>2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60</v>
      </c>
      <c r="AD32" s="34">
        <f t="shared" si="24"/>
        <v>0</v>
      </c>
      <c r="AE32" s="31">
        <f t="shared" si="24"/>
        <v>47</v>
      </c>
      <c r="AF32" s="31">
        <f t="shared" si="24"/>
        <v>107</v>
      </c>
    </row>
    <row r="33" spans="2:32" ht="23.1" customHeight="1" x14ac:dyDescent="0.25">
      <c r="B33" s="45" t="s">
        <v>60</v>
      </c>
      <c r="C33" s="50">
        <v>33</v>
      </c>
      <c r="D33" s="50">
        <v>30</v>
      </c>
      <c r="E33" s="50">
        <v>15</v>
      </c>
      <c r="F33" s="50">
        <v>15</v>
      </c>
      <c r="G33" s="50">
        <v>0</v>
      </c>
      <c r="H33" s="50">
        <v>0</v>
      </c>
      <c r="I33" s="50">
        <v>1</v>
      </c>
      <c r="J33" s="50">
        <v>4</v>
      </c>
      <c r="K33" s="50">
        <v>0</v>
      </c>
      <c r="L33" s="50">
        <v>2</v>
      </c>
      <c r="M33" s="50">
        <v>100</v>
      </c>
      <c r="N33" s="50">
        <v>0</v>
      </c>
      <c r="O33" s="15">
        <f t="shared" si="0"/>
        <v>100</v>
      </c>
      <c r="P33" s="15">
        <f t="shared" si="1"/>
        <v>200</v>
      </c>
      <c r="R33" s="33" t="s">
        <v>157</v>
      </c>
      <c r="S33" s="34">
        <f>SUM(C102:C105)</f>
        <v>31</v>
      </c>
      <c r="T33" s="34">
        <f t="shared" ref="T33:AF33" si="25">SUM(D102:D105)</f>
        <v>12</v>
      </c>
      <c r="U33" s="34">
        <f t="shared" si="25"/>
        <v>6</v>
      </c>
      <c r="V33" s="34">
        <f t="shared" si="25"/>
        <v>23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3</v>
      </c>
      <c r="AA33" s="34">
        <f t="shared" si="25"/>
        <v>0</v>
      </c>
      <c r="AB33" s="34">
        <f t="shared" si="25"/>
        <v>1</v>
      </c>
      <c r="AC33" s="34">
        <f t="shared" si="25"/>
        <v>57</v>
      </c>
      <c r="AD33" s="34">
        <f t="shared" si="25"/>
        <v>0</v>
      </c>
      <c r="AE33" s="31">
        <f t="shared" si="25"/>
        <v>77</v>
      </c>
      <c r="AF33" s="31">
        <f t="shared" si="25"/>
        <v>134</v>
      </c>
    </row>
    <row r="34" spans="2:32" ht="23.1" customHeight="1" x14ac:dyDescent="0.25">
      <c r="B34" s="46" t="s">
        <v>61</v>
      </c>
      <c r="C34" s="50">
        <v>30</v>
      </c>
      <c r="D34" s="50">
        <v>15</v>
      </c>
      <c r="E34" s="50">
        <v>13</v>
      </c>
      <c r="F34" s="50">
        <v>11</v>
      </c>
      <c r="G34" s="50">
        <v>0</v>
      </c>
      <c r="H34" s="50">
        <v>0</v>
      </c>
      <c r="I34" s="50">
        <v>4</v>
      </c>
      <c r="J34" s="50">
        <v>2</v>
      </c>
      <c r="K34" s="50">
        <v>0</v>
      </c>
      <c r="L34" s="50">
        <v>1</v>
      </c>
      <c r="M34" s="50">
        <v>83</v>
      </c>
      <c r="N34" s="50">
        <v>0</v>
      </c>
      <c r="O34" s="15">
        <f t="shared" si="0"/>
        <v>76</v>
      </c>
      <c r="P34" s="15">
        <f t="shared" si="1"/>
        <v>159</v>
      </c>
      <c r="R34" s="38" t="s">
        <v>90</v>
      </c>
      <c r="S34" s="39">
        <f t="shared" ref="S34:AF34" si="26">MAX(S10:S12)</f>
        <v>126</v>
      </c>
      <c r="T34" s="39">
        <f t="shared" si="26"/>
        <v>113</v>
      </c>
      <c r="U34" s="39">
        <f t="shared" si="26"/>
        <v>67</v>
      </c>
      <c r="V34" s="39">
        <f t="shared" si="26"/>
        <v>68</v>
      </c>
      <c r="W34" s="39">
        <f t="shared" si="26"/>
        <v>7</v>
      </c>
      <c r="X34" s="39">
        <f t="shared" si="26"/>
        <v>0</v>
      </c>
      <c r="Y34" s="39">
        <f t="shared" si="26"/>
        <v>34</v>
      </c>
      <c r="Z34" s="39">
        <f t="shared" si="26"/>
        <v>11</v>
      </c>
      <c r="AA34" s="39">
        <f t="shared" si="26"/>
        <v>3</v>
      </c>
      <c r="AB34" s="39">
        <f t="shared" si="26"/>
        <v>2</v>
      </c>
      <c r="AC34" s="39">
        <f t="shared" si="26"/>
        <v>492</v>
      </c>
      <c r="AD34" s="39">
        <f t="shared" si="26"/>
        <v>0</v>
      </c>
      <c r="AE34" s="40">
        <f t="shared" si="26"/>
        <v>424</v>
      </c>
      <c r="AF34" s="40">
        <f t="shared" si="26"/>
        <v>916</v>
      </c>
    </row>
    <row r="35" spans="2:32" ht="23.1" customHeight="1" x14ac:dyDescent="0.25">
      <c r="B35" s="46" t="s">
        <v>62</v>
      </c>
      <c r="C35" s="50">
        <v>35</v>
      </c>
      <c r="D35" s="50">
        <v>38</v>
      </c>
      <c r="E35" s="50">
        <v>25</v>
      </c>
      <c r="F35" s="50">
        <v>15</v>
      </c>
      <c r="G35" s="50">
        <v>0</v>
      </c>
      <c r="H35" s="50">
        <v>0</v>
      </c>
      <c r="I35" s="50">
        <v>4</v>
      </c>
      <c r="J35" s="50">
        <v>0</v>
      </c>
      <c r="K35" s="50">
        <v>1</v>
      </c>
      <c r="L35" s="50">
        <v>1</v>
      </c>
      <c r="M35" s="50">
        <v>85</v>
      </c>
      <c r="N35" s="50">
        <v>0</v>
      </c>
      <c r="O35" s="15">
        <f t="shared" si="0"/>
        <v>119</v>
      </c>
      <c r="P35" s="15">
        <f t="shared" si="1"/>
        <v>204</v>
      </c>
      <c r="R35" s="38" t="s">
        <v>91</v>
      </c>
      <c r="S35" s="39">
        <f t="shared" ref="S35:AF35" si="27">MAX(S13:S18)</f>
        <v>203</v>
      </c>
      <c r="T35" s="39">
        <f t="shared" si="27"/>
        <v>199</v>
      </c>
      <c r="U35" s="39">
        <f t="shared" si="27"/>
        <v>88</v>
      </c>
      <c r="V35" s="39">
        <f t="shared" si="27"/>
        <v>82</v>
      </c>
      <c r="W35" s="39">
        <f t="shared" si="27"/>
        <v>0</v>
      </c>
      <c r="X35" s="39">
        <f t="shared" si="27"/>
        <v>0</v>
      </c>
      <c r="Y35" s="39">
        <f t="shared" si="27"/>
        <v>19</v>
      </c>
      <c r="Z35" s="39">
        <f t="shared" si="27"/>
        <v>15</v>
      </c>
      <c r="AA35" s="39">
        <f t="shared" si="27"/>
        <v>7</v>
      </c>
      <c r="AB35" s="39">
        <f t="shared" si="27"/>
        <v>13</v>
      </c>
      <c r="AC35" s="39">
        <f t="shared" si="27"/>
        <v>521</v>
      </c>
      <c r="AD35" s="39">
        <f t="shared" si="27"/>
        <v>0</v>
      </c>
      <c r="AE35" s="40">
        <f t="shared" si="27"/>
        <v>593</v>
      </c>
      <c r="AF35" s="40">
        <f t="shared" si="27"/>
        <v>1022</v>
      </c>
    </row>
    <row r="36" spans="2:32" ht="23.1" customHeight="1" x14ac:dyDescent="0.25">
      <c r="B36" s="46" t="s">
        <v>63</v>
      </c>
      <c r="C36" s="50">
        <v>30</v>
      </c>
      <c r="D36" s="50">
        <v>25</v>
      </c>
      <c r="E36" s="50">
        <v>20</v>
      </c>
      <c r="F36" s="50">
        <v>18</v>
      </c>
      <c r="G36" s="50">
        <v>0</v>
      </c>
      <c r="H36" s="50">
        <v>0</v>
      </c>
      <c r="I36" s="50">
        <v>6</v>
      </c>
      <c r="J36" s="50">
        <v>7</v>
      </c>
      <c r="K36" s="50">
        <v>2</v>
      </c>
      <c r="L36" s="50">
        <v>1</v>
      </c>
      <c r="M36" s="50">
        <v>111</v>
      </c>
      <c r="N36" s="50">
        <v>0</v>
      </c>
      <c r="O36" s="15">
        <f t="shared" si="0"/>
        <v>109</v>
      </c>
      <c r="P36" s="15">
        <f t="shared" si="1"/>
        <v>220</v>
      </c>
      <c r="R36" s="38" t="s">
        <v>92</v>
      </c>
      <c r="S36" s="39">
        <f t="shared" ref="S36:AF36" si="28">MAX(S19:S21)</f>
        <v>160</v>
      </c>
      <c r="T36" s="39">
        <f t="shared" si="28"/>
        <v>145</v>
      </c>
      <c r="U36" s="39">
        <f t="shared" si="28"/>
        <v>118</v>
      </c>
      <c r="V36" s="39">
        <f t="shared" si="28"/>
        <v>103</v>
      </c>
      <c r="W36" s="39">
        <f t="shared" si="28"/>
        <v>1</v>
      </c>
      <c r="X36" s="39">
        <f t="shared" si="28"/>
        <v>0</v>
      </c>
      <c r="Y36" s="39">
        <f t="shared" si="28"/>
        <v>12</v>
      </c>
      <c r="Z36" s="39">
        <f t="shared" si="28"/>
        <v>17</v>
      </c>
      <c r="AA36" s="39">
        <f t="shared" si="28"/>
        <v>9</v>
      </c>
      <c r="AB36" s="39">
        <f t="shared" si="28"/>
        <v>5</v>
      </c>
      <c r="AC36" s="39">
        <f t="shared" si="28"/>
        <v>351</v>
      </c>
      <c r="AD36" s="39">
        <f t="shared" si="28"/>
        <v>0</v>
      </c>
      <c r="AE36" s="40">
        <f t="shared" si="28"/>
        <v>540</v>
      </c>
      <c r="AF36" s="40">
        <f t="shared" si="28"/>
        <v>847</v>
      </c>
    </row>
    <row r="37" spans="2:32" ht="23.1" customHeight="1" x14ac:dyDescent="0.25">
      <c r="B37" s="45" t="s">
        <v>64</v>
      </c>
      <c r="C37" s="50">
        <v>20</v>
      </c>
      <c r="D37" s="50">
        <v>16</v>
      </c>
      <c r="E37" s="50">
        <v>20</v>
      </c>
      <c r="F37" s="50">
        <v>10</v>
      </c>
      <c r="G37" s="50">
        <v>0</v>
      </c>
      <c r="H37" s="50">
        <v>0</v>
      </c>
      <c r="I37" s="50">
        <v>5</v>
      </c>
      <c r="J37" s="50">
        <v>6</v>
      </c>
      <c r="K37" s="50">
        <v>0</v>
      </c>
      <c r="L37" s="50">
        <v>2</v>
      </c>
      <c r="M37" s="50">
        <v>87</v>
      </c>
      <c r="N37" s="50">
        <v>0</v>
      </c>
      <c r="O37" s="15">
        <f t="shared" si="0"/>
        <v>79</v>
      </c>
      <c r="P37" s="15">
        <f t="shared" si="1"/>
        <v>166</v>
      </c>
      <c r="R37" s="37" t="s">
        <v>85</v>
      </c>
      <c r="S37" s="35">
        <f t="shared" ref="S37:AF37" si="29">SUM(S10:S12)</f>
        <v>304</v>
      </c>
      <c r="T37" s="16">
        <f t="shared" si="29"/>
        <v>272</v>
      </c>
      <c r="U37" s="16">
        <f t="shared" si="29"/>
        <v>123</v>
      </c>
      <c r="V37" s="16">
        <f t="shared" si="29"/>
        <v>137</v>
      </c>
      <c r="W37" s="16">
        <f t="shared" si="29"/>
        <v>7</v>
      </c>
      <c r="X37" s="16">
        <f t="shared" si="29"/>
        <v>0</v>
      </c>
      <c r="Y37" s="16">
        <f t="shared" si="29"/>
        <v>56</v>
      </c>
      <c r="Z37" s="16">
        <f t="shared" si="29"/>
        <v>25</v>
      </c>
      <c r="AA37" s="16">
        <f t="shared" si="29"/>
        <v>8</v>
      </c>
      <c r="AB37" s="16">
        <f t="shared" si="29"/>
        <v>4</v>
      </c>
      <c r="AC37" s="16">
        <f t="shared" si="29"/>
        <v>1192</v>
      </c>
      <c r="AD37" s="16">
        <f t="shared" si="29"/>
        <v>0</v>
      </c>
      <c r="AE37" s="32">
        <f t="shared" si="29"/>
        <v>936</v>
      </c>
      <c r="AF37" s="32">
        <f t="shared" si="29"/>
        <v>2128</v>
      </c>
    </row>
    <row r="38" spans="2:32" ht="23.1" customHeight="1" x14ac:dyDescent="0.25">
      <c r="B38" s="46" t="s">
        <v>65</v>
      </c>
      <c r="C38" s="50">
        <v>40</v>
      </c>
      <c r="D38" s="50">
        <v>30</v>
      </c>
      <c r="E38" s="50">
        <v>18</v>
      </c>
      <c r="F38" s="50">
        <v>25</v>
      </c>
      <c r="G38" s="50">
        <v>0</v>
      </c>
      <c r="H38" s="50">
        <v>0</v>
      </c>
      <c r="I38" s="50">
        <v>2</v>
      </c>
      <c r="J38" s="50">
        <v>10</v>
      </c>
      <c r="K38" s="50">
        <v>4</v>
      </c>
      <c r="L38" s="50">
        <v>1</v>
      </c>
      <c r="M38" s="50">
        <v>100</v>
      </c>
      <c r="N38" s="50">
        <v>0</v>
      </c>
      <c r="O38" s="15">
        <f t="shared" si="0"/>
        <v>130</v>
      </c>
      <c r="P38" s="15">
        <f t="shared" si="1"/>
        <v>230</v>
      </c>
      <c r="R38" s="28" t="s">
        <v>86</v>
      </c>
      <c r="S38" s="16">
        <f t="shared" ref="S38:AF38" si="30">SUM(S13:S18)</f>
        <v>972</v>
      </c>
      <c r="T38" s="16">
        <f t="shared" si="30"/>
        <v>754</v>
      </c>
      <c r="U38" s="16">
        <f t="shared" si="30"/>
        <v>454</v>
      </c>
      <c r="V38" s="16">
        <f t="shared" si="30"/>
        <v>407</v>
      </c>
      <c r="W38" s="16">
        <f t="shared" si="30"/>
        <v>0</v>
      </c>
      <c r="X38" s="16">
        <f t="shared" si="30"/>
        <v>0</v>
      </c>
      <c r="Y38" s="16">
        <f t="shared" si="30"/>
        <v>71</v>
      </c>
      <c r="Z38" s="16">
        <f t="shared" si="30"/>
        <v>66</v>
      </c>
      <c r="AA38" s="16">
        <f t="shared" si="30"/>
        <v>20</v>
      </c>
      <c r="AB38" s="16">
        <f t="shared" si="30"/>
        <v>34</v>
      </c>
      <c r="AC38" s="16">
        <f t="shared" si="30"/>
        <v>2338</v>
      </c>
      <c r="AD38" s="16">
        <f t="shared" si="30"/>
        <v>0</v>
      </c>
      <c r="AE38" s="32">
        <f t="shared" si="30"/>
        <v>2778</v>
      </c>
      <c r="AF38" s="32">
        <f t="shared" si="30"/>
        <v>5116</v>
      </c>
    </row>
    <row r="39" spans="2:32" ht="23.1" customHeight="1" x14ac:dyDescent="0.25">
      <c r="B39" s="46" t="s">
        <v>66</v>
      </c>
      <c r="C39" s="50">
        <v>33</v>
      </c>
      <c r="D39" s="50">
        <v>25</v>
      </c>
      <c r="E39" s="50">
        <v>25</v>
      </c>
      <c r="F39" s="50">
        <v>25</v>
      </c>
      <c r="G39" s="50">
        <v>0</v>
      </c>
      <c r="H39" s="50">
        <v>0</v>
      </c>
      <c r="I39" s="50">
        <v>4</v>
      </c>
      <c r="J39" s="50">
        <v>4</v>
      </c>
      <c r="K39" s="50">
        <v>1</v>
      </c>
      <c r="L39" s="50">
        <v>1</v>
      </c>
      <c r="M39" s="50">
        <v>73</v>
      </c>
      <c r="N39" s="50">
        <v>0</v>
      </c>
      <c r="O39" s="15">
        <f t="shared" si="0"/>
        <v>118</v>
      </c>
      <c r="P39" s="15">
        <f t="shared" si="1"/>
        <v>191</v>
      </c>
      <c r="R39" s="29" t="s">
        <v>87</v>
      </c>
      <c r="S39" s="16">
        <f t="shared" ref="S39:AF39" si="31">SUM(S19:S21)</f>
        <v>449</v>
      </c>
      <c r="T39" s="16">
        <f t="shared" si="31"/>
        <v>423</v>
      </c>
      <c r="U39" s="16">
        <f t="shared" si="31"/>
        <v>330</v>
      </c>
      <c r="V39" s="16">
        <f t="shared" si="31"/>
        <v>260</v>
      </c>
      <c r="W39" s="16">
        <f t="shared" si="31"/>
        <v>1</v>
      </c>
      <c r="X39" s="16">
        <f t="shared" si="31"/>
        <v>0</v>
      </c>
      <c r="Y39" s="16">
        <f t="shared" si="31"/>
        <v>30</v>
      </c>
      <c r="Z39" s="16">
        <f t="shared" si="31"/>
        <v>38</v>
      </c>
      <c r="AA39" s="16">
        <f t="shared" si="31"/>
        <v>16</v>
      </c>
      <c r="AB39" s="16">
        <f t="shared" si="31"/>
        <v>12</v>
      </c>
      <c r="AC39" s="16">
        <f t="shared" si="31"/>
        <v>966</v>
      </c>
      <c r="AD39" s="16">
        <f t="shared" si="31"/>
        <v>0</v>
      </c>
      <c r="AE39" s="32">
        <f t="shared" si="31"/>
        <v>1559</v>
      </c>
      <c r="AF39" s="32">
        <f t="shared" si="31"/>
        <v>2525</v>
      </c>
    </row>
    <row r="40" spans="2:32" ht="23.1" customHeight="1" x14ac:dyDescent="0.25">
      <c r="B40" s="46" t="s">
        <v>67</v>
      </c>
      <c r="C40" s="50">
        <v>53</v>
      </c>
      <c r="D40" s="50">
        <v>44</v>
      </c>
      <c r="E40" s="50">
        <v>30</v>
      </c>
      <c r="F40" s="50">
        <v>15</v>
      </c>
      <c r="G40" s="50">
        <v>0</v>
      </c>
      <c r="H40" s="50">
        <v>0</v>
      </c>
      <c r="I40" s="50">
        <v>2</v>
      </c>
      <c r="J40" s="50">
        <v>0</v>
      </c>
      <c r="K40" s="50">
        <v>2</v>
      </c>
      <c r="L40" s="50">
        <v>1</v>
      </c>
      <c r="M40" s="50">
        <v>67</v>
      </c>
      <c r="N40" s="50">
        <v>0</v>
      </c>
      <c r="O40" s="15">
        <f t="shared" si="0"/>
        <v>147</v>
      </c>
      <c r="P40" s="15">
        <f t="shared" si="1"/>
        <v>214</v>
      </c>
      <c r="R40" s="5" t="s">
        <v>17</v>
      </c>
      <c r="S40" s="16">
        <f t="shared" ref="S40:AF40" si="32">SUM(S10:S21)</f>
        <v>1725</v>
      </c>
      <c r="T40" s="16">
        <f t="shared" si="32"/>
        <v>1449</v>
      </c>
      <c r="U40" s="16">
        <f t="shared" si="32"/>
        <v>907</v>
      </c>
      <c r="V40" s="16">
        <f t="shared" si="32"/>
        <v>804</v>
      </c>
      <c r="W40" s="16">
        <f t="shared" si="32"/>
        <v>8</v>
      </c>
      <c r="X40" s="16">
        <f t="shared" si="32"/>
        <v>0</v>
      </c>
      <c r="Y40" s="16">
        <f t="shared" si="32"/>
        <v>157</v>
      </c>
      <c r="Z40" s="16">
        <f t="shared" si="32"/>
        <v>129</v>
      </c>
      <c r="AA40" s="16">
        <f t="shared" si="32"/>
        <v>44</v>
      </c>
      <c r="AB40" s="16">
        <f t="shared" si="32"/>
        <v>50</v>
      </c>
      <c r="AC40" s="16">
        <f t="shared" si="32"/>
        <v>4496</v>
      </c>
      <c r="AD40" s="16">
        <f t="shared" si="32"/>
        <v>0</v>
      </c>
      <c r="AE40" s="32">
        <f t="shared" si="32"/>
        <v>5273</v>
      </c>
      <c r="AF40" s="32">
        <f t="shared" si="32"/>
        <v>9769</v>
      </c>
    </row>
    <row r="41" spans="2:32" ht="23.1" customHeight="1" x14ac:dyDescent="0.25">
      <c r="B41" s="45" t="s">
        <v>68</v>
      </c>
      <c r="C41" s="50">
        <v>32</v>
      </c>
      <c r="D41" s="50">
        <v>7</v>
      </c>
      <c r="E41" s="50">
        <v>3</v>
      </c>
      <c r="F41" s="50">
        <v>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1</v>
      </c>
      <c r="M41" s="50">
        <v>70</v>
      </c>
      <c r="N41" s="50">
        <v>0</v>
      </c>
      <c r="O41" s="15">
        <f t="shared" si="0"/>
        <v>46</v>
      </c>
      <c r="P41" s="15">
        <f t="shared" si="1"/>
        <v>116</v>
      </c>
      <c r="R41" s="5" t="s">
        <v>159</v>
      </c>
      <c r="S41" s="16">
        <f>SUM(S10:S33)</f>
        <v>2947</v>
      </c>
      <c r="T41" s="16">
        <f t="shared" ref="T41:AF41" si="33">SUM(T10:T33)</f>
        <v>1889</v>
      </c>
      <c r="U41" s="16">
        <f t="shared" si="33"/>
        <v>1009</v>
      </c>
      <c r="V41" s="16">
        <f t="shared" si="33"/>
        <v>1006</v>
      </c>
      <c r="W41" s="16">
        <f t="shared" si="33"/>
        <v>11</v>
      </c>
      <c r="X41" s="16">
        <f t="shared" si="33"/>
        <v>0</v>
      </c>
      <c r="Y41" s="16">
        <f t="shared" si="33"/>
        <v>212</v>
      </c>
      <c r="Z41" s="16">
        <f t="shared" si="33"/>
        <v>164</v>
      </c>
      <c r="AA41" s="16">
        <f t="shared" si="33"/>
        <v>53</v>
      </c>
      <c r="AB41" s="16">
        <f t="shared" si="33"/>
        <v>60</v>
      </c>
      <c r="AC41" s="16">
        <f t="shared" si="33"/>
        <v>6190</v>
      </c>
      <c r="AD41" s="16">
        <f t="shared" si="33"/>
        <v>0</v>
      </c>
      <c r="AE41" s="32">
        <f t="shared" si="33"/>
        <v>7351</v>
      </c>
      <c r="AF41" s="32">
        <f t="shared" si="33"/>
        <v>13541</v>
      </c>
    </row>
    <row r="42" spans="2:32" ht="23.1" customHeight="1" x14ac:dyDescent="0.25">
      <c r="B42" s="46" t="s">
        <v>69</v>
      </c>
      <c r="C42" s="50">
        <v>55</v>
      </c>
      <c r="D42" s="50">
        <v>12</v>
      </c>
      <c r="E42" s="50">
        <v>4</v>
      </c>
      <c r="F42" s="50">
        <v>10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2</v>
      </c>
      <c r="M42" s="50">
        <v>120</v>
      </c>
      <c r="N42" s="50">
        <v>0</v>
      </c>
      <c r="O42" s="15">
        <f t="shared" si="0"/>
        <v>85</v>
      </c>
      <c r="P42" s="15">
        <f t="shared" si="1"/>
        <v>205</v>
      </c>
      <c r="R42" s="5" t="s">
        <v>160</v>
      </c>
      <c r="S42" s="48">
        <f>S41/S40</f>
        <v>1.7084057971014492</v>
      </c>
      <c r="T42" s="48">
        <f t="shared" ref="T42:AF42" si="34">T41/T40</f>
        <v>1.3036576949620429</v>
      </c>
      <c r="U42" s="48">
        <f t="shared" si="34"/>
        <v>1.1124586549062845</v>
      </c>
      <c r="V42" s="48">
        <f t="shared" si="34"/>
        <v>1.2512437810945274</v>
      </c>
      <c r="W42" s="48">
        <f t="shared" si="34"/>
        <v>1.375</v>
      </c>
      <c r="X42" s="48" t="e">
        <f t="shared" si="34"/>
        <v>#DIV/0!</v>
      </c>
      <c r="Y42" s="48">
        <f t="shared" si="34"/>
        <v>1.3503184713375795</v>
      </c>
      <c r="Z42" s="48">
        <f t="shared" si="34"/>
        <v>1.2713178294573644</v>
      </c>
      <c r="AA42" s="48">
        <f t="shared" si="34"/>
        <v>1.2045454545454546</v>
      </c>
      <c r="AB42" s="48">
        <f t="shared" si="34"/>
        <v>1.2</v>
      </c>
      <c r="AC42" s="48">
        <f t="shared" si="34"/>
        <v>1.376779359430605</v>
      </c>
      <c r="AD42" s="48" t="e">
        <f t="shared" si="34"/>
        <v>#DIV/0!</v>
      </c>
      <c r="AE42" s="48">
        <f t="shared" si="34"/>
        <v>1.3940830646690689</v>
      </c>
      <c r="AF42" s="48">
        <f t="shared" si="34"/>
        <v>1.3861193571501689</v>
      </c>
    </row>
    <row r="43" spans="2:32" ht="23.1" customHeight="1" x14ac:dyDescent="0.25">
      <c r="B43" s="45" t="s">
        <v>70</v>
      </c>
      <c r="C43" s="50">
        <v>46</v>
      </c>
      <c r="D43" s="50">
        <v>13</v>
      </c>
      <c r="E43" s="50">
        <v>6</v>
      </c>
      <c r="F43" s="50">
        <v>4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83</v>
      </c>
      <c r="N43" s="50">
        <v>0</v>
      </c>
      <c r="O43" s="15">
        <f t="shared" si="0"/>
        <v>70</v>
      </c>
      <c r="P43" s="15">
        <f t="shared" si="1"/>
        <v>153</v>
      </c>
    </row>
    <row r="44" spans="2:32" ht="23.1" customHeight="1" x14ac:dyDescent="0.25">
      <c r="B44" s="47" t="s">
        <v>71</v>
      </c>
      <c r="C44" s="50">
        <v>65</v>
      </c>
      <c r="D44" s="50">
        <v>35</v>
      </c>
      <c r="E44" s="50">
        <v>15</v>
      </c>
      <c r="F44" s="50">
        <v>15</v>
      </c>
      <c r="G44" s="50">
        <v>0</v>
      </c>
      <c r="H44" s="50">
        <v>0</v>
      </c>
      <c r="I44" s="50">
        <v>1</v>
      </c>
      <c r="J44" s="50">
        <v>5</v>
      </c>
      <c r="K44" s="50">
        <v>2</v>
      </c>
      <c r="L44" s="50">
        <v>0</v>
      </c>
      <c r="M44" s="50">
        <v>63</v>
      </c>
      <c r="N44" s="50">
        <v>0</v>
      </c>
      <c r="O44" s="15">
        <f t="shared" si="0"/>
        <v>138</v>
      </c>
      <c r="P44" s="15">
        <f t="shared" si="1"/>
        <v>201</v>
      </c>
    </row>
    <row r="45" spans="2:32" ht="23.1" customHeight="1" x14ac:dyDescent="0.25">
      <c r="B45" s="45" t="s">
        <v>72</v>
      </c>
      <c r="C45" s="50">
        <v>35</v>
      </c>
      <c r="D45" s="50">
        <v>35</v>
      </c>
      <c r="E45" s="50">
        <v>32</v>
      </c>
      <c r="F45" s="50">
        <v>25</v>
      </c>
      <c r="G45" s="50">
        <v>0</v>
      </c>
      <c r="H45" s="50">
        <v>0</v>
      </c>
      <c r="I45" s="50">
        <v>1</v>
      </c>
      <c r="J45" s="50">
        <v>4</v>
      </c>
      <c r="K45" s="50">
        <v>2</v>
      </c>
      <c r="L45" s="50">
        <v>1</v>
      </c>
      <c r="M45" s="50">
        <v>47</v>
      </c>
      <c r="N45" s="50">
        <v>0</v>
      </c>
      <c r="O45" s="15">
        <f t="shared" si="0"/>
        <v>135</v>
      </c>
      <c r="P45" s="15">
        <f t="shared" si="1"/>
        <v>182</v>
      </c>
    </row>
    <row r="46" spans="2:32" ht="23.1" customHeight="1" x14ac:dyDescent="0.25">
      <c r="B46" s="46" t="s">
        <v>73</v>
      </c>
      <c r="C46" s="50">
        <v>50</v>
      </c>
      <c r="D46" s="50">
        <v>45</v>
      </c>
      <c r="E46" s="50">
        <v>30</v>
      </c>
      <c r="F46" s="50">
        <v>32</v>
      </c>
      <c r="G46" s="50">
        <v>0</v>
      </c>
      <c r="H46" s="50">
        <v>0</v>
      </c>
      <c r="I46" s="50">
        <v>4</v>
      </c>
      <c r="J46" s="50">
        <v>2</v>
      </c>
      <c r="K46" s="50">
        <v>3</v>
      </c>
      <c r="L46" s="50">
        <v>3</v>
      </c>
      <c r="M46" s="50">
        <v>102</v>
      </c>
      <c r="N46" s="50">
        <v>0</v>
      </c>
      <c r="O46" s="15">
        <f t="shared" si="0"/>
        <v>169</v>
      </c>
      <c r="P46" s="15">
        <f t="shared" si="1"/>
        <v>271</v>
      </c>
      <c r="R46" s="8"/>
      <c r="T46"/>
    </row>
    <row r="47" spans="2:32" ht="23.1" customHeight="1" x14ac:dyDescent="0.25">
      <c r="B47" s="46" t="s">
        <v>74</v>
      </c>
      <c r="C47" s="50">
        <v>35</v>
      </c>
      <c r="D47" s="50">
        <v>33</v>
      </c>
      <c r="E47" s="50">
        <v>20</v>
      </c>
      <c r="F47" s="50">
        <v>15</v>
      </c>
      <c r="G47" s="50">
        <v>0</v>
      </c>
      <c r="H47" s="50">
        <v>0</v>
      </c>
      <c r="I47" s="50">
        <v>0</v>
      </c>
      <c r="J47" s="50">
        <v>1</v>
      </c>
      <c r="K47" s="50">
        <v>1</v>
      </c>
      <c r="L47" s="50">
        <v>1</v>
      </c>
      <c r="M47" s="50">
        <v>61</v>
      </c>
      <c r="N47" s="50">
        <v>0</v>
      </c>
      <c r="O47" s="15">
        <f t="shared" si="0"/>
        <v>106</v>
      </c>
      <c r="P47" s="15">
        <f t="shared" si="1"/>
        <v>167</v>
      </c>
      <c r="R47" s="8"/>
      <c r="T47"/>
    </row>
    <row r="48" spans="2:32" ht="23.1" customHeight="1" x14ac:dyDescent="0.25">
      <c r="B48" s="46" t="s">
        <v>75</v>
      </c>
      <c r="C48" s="50">
        <v>40</v>
      </c>
      <c r="D48" s="50">
        <v>35</v>
      </c>
      <c r="E48" s="50">
        <v>20</v>
      </c>
      <c r="F48" s="50">
        <v>30</v>
      </c>
      <c r="G48" s="50">
        <v>0</v>
      </c>
      <c r="H48" s="50">
        <v>0</v>
      </c>
      <c r="I48" s="50">
        <v>3</v>
      </c>
      <c r="J48" s="50">
        <v>6</v>
      </c>
      <c r="K48" s="50">
        <v>0</v>
      </c>
      <c r="L48" s="50">
        <v>1</v>
      </c>
      <c r="M48" s="50">
        <v>70</v>
      </c>
      <c r="N48" s="50">
        <v>0</v>
      </c>
      <c r="O48" s="15">
        <f t="shared" si="0"/>
        <v>135</v>
      </c>
      <c r="P48" s="15">
        <f t="shared" si="1"/>
        <v>205</v>
      </c>
      <c r="R48" s="8"/>
      <c r="T48"/>
    </row>
    <row r="49" spans="2:20" ht="23.1" customHeight="1" x14ac:dyDescent="0.25">
      <c r="B49" s="45" t="s">
        <v>76</v>
      </c>
      <c r="C49" s="50">
        <v>35</v>
      </c>
      <c r="D49" s="50">
        <v>30</v>
      </c>
      <c r="E49" s="50">
        <v>32</v>
      </c>
      <c r="F49" s="50">
        <v>26</v>
      </c>
      <c r="G49" s="50">
        <v>1</v>
      </c>
      <c r="H49" s="50">
        <v>0</v>
      </c>
      <c r="I49" s="50">
        <v>2</v>
      </c>
      <c r="J49" s="50">
        <v>3</v>
      </c>
      <c r="K49" s="50">
        <v>1</v>
      </c>
      <c r="L49" s="50">
        <v>0</v>
      </c>
      <c r="M49" s="50">
        <v>60</v>
      </c>
      <c r="N49" s="50">
        <v>0</v>
      </c>
      <c r="O49" s="15">
        <f t="shared" si="0"/>
        <v>130</v>
      </c>
      <c r="P49" s="15">
        <f t="shared" si="1"/>
        <v>190</v>
      </c>
      <c r="R49" s="8"/>
      <c r="T49"/>
    </row>
    <row r="50" spans="2:20" ht="23.1" customHeight="1" x14ac:dyDescent="0.25">
      <c r="B50" s="46" t="s">
        <v>77</v>
      </c>
      <c r="C50" s="50">
        <v>40</v>
      </c>
      <c r="D50" s="50">
        <v>30</v>
      </c>
      <c r="E50" s="50">
        <v>10</v>
      </c>
      <c r="F50" s="50">
        <v>15</v>
      </c>
      <c r="G50" s="50">
        <v>0</v>
      </c>
      <c r="H50" s="50">
        <v>0</v>
      </c>
      <c r="I50" s="50">
        <v>1</v>
      </c>
      <c r="J50" s="50">
        <v>3</v>
      </c>
      <c r="K50" s="50">
        <v>0</v>
      </c>
      <c r="L50" s="50">
        <v>3</v>
      </c>
      <c r="M50" s="50">
        <v>55</v>
      </c>
      <c r="N50" s="50">
        <v>0</v>
      </c>
      <c r="O50" s="15">
        <f t="shared" si="0"/>
        <v>102</v>
      </c>
      <c r="P50" s="15">
        <f t="shared" si="1"/>
        <v>157</v>
      </c>
      <c r="R50" s="8"/>
      <c r="T50"/>
    </row>
    <row r="51" spans="2:20" ht="23.1" customHeight="1" x14ac:dyDescent="0.25">
      <c r="B51" s="46" t="s">
        <v>78</v>
      </c>
      <c r="C51" s="50">
        <v>45</v>
      </c>
      <c r="D51" s="50">
        <v>45</v>
      </c>
      <c r="E51" s="50">
        <v>45</v>
      </c>
      <c r="F51" s="50">
        <v>25</v>
      </c>
      <c r="G51" s="50">
        <v>0</v>
      </c>
      <c r="H51" s="50">
        <v>0</v>
      </c>
      <c r="I51" s="50">
        <v>1</v>
      </c>
      <c r="J51" s="50">
        <v>3</v>
      </c>
      <c r="K51" s="50">
        <v>0</v>
      </c>
      <c r="L51" s="50">
        <v>0</v>
      </c>
      <c r="M51" s="50">
        <v>66</v>
      </c>
      <c r="N51" s="50">
        <v>0</v>
      </c>
      <c r="O51" s="15">
        <f t="shared" si="0"/>
        <v>164</v>
      </c>
      <c r="P51" s="15">
        <f t="shared" si="1"/>
        <v>230</v>
      </c>
      <c r="R51" s="8"/>
      <c r="T51"/>
    </row>
    <row r="52" spans="2:20" ht="23.1" customHeight="1" x14ac:dyDescent="0.25">
      <c r="B52" s="46" t="s">
        <v>79</v>
      </c>
      <c r="C52" s="50">
        <v>40</v>
      </c>
      <c r="D52" s="50">
        <v>35</v>
      </c>
      <c r="E52" s="50">
        <v>30</v>
      </c>
      <c r="F52" s="50">
        <v>35</v>
      </c>
      <c r="G52" s="50">
        <v>0</v>
      </c>
      <c r="H52" s="50">
        <v>0</v>
      </c>
      <c r="I52" s="50">
        <v>1</v>
      </c>
      <c r="J52" s="50">
        <v>6</v>
      </c>
      <c r="K52" s="50">
        <v>2</v>
      </c>
      <c r="L52" s="50">
        <v>1</v>
      </c>
      <c r="M52" s="50">
        <v>115</v>
      </c>
      <c r="N52" s="50">
        <v>0</v>
      </c>
      <c r="O52" s="15">
        <f t="shared" si="0"/>
        <v>150</v>
      </c>
      <c r="P52" s="15">
        <f t="shared" si="1"/>
        <v>265</v>
      </c>
      <c r="R52" s="8"/>
      <c r="T52"/>
    </row>
    <row r="53" spans="2:20" ht="23.1" customHeight="1" x14ac:dyDescent="0.25">
      <c r="B53" s="45" t="s">
        <v>80</v>
      </c>
      <c r="C53" s="50">
        <v>32</v>
      </c>
      <c r="D53" s="50">
        <v>35</v>
      </c>
      <c r="E53" s="50">
        <v>25</v>
      </c>
      <c r="F53" s="50">
        <v>2</v>
      </c>
      <c r="G53" s="50">
        <v>0</v>
      </c>
      <c r="H53" s="50">
        <v>0</v>
      </c>
      <c r="I53" s="50">
        <v>9</v>
      </c>
      <c r="J53" s="50">
        <v>5</v>
      </c>
      <c r="K53" s="50">
        <v>0</v>
      </c>
      <c r="L53" s="50">
        <v>1</v>
      </c>
      <c r="M53" s="50">
        <v>86</v>
      </c>
      <c r="N53" s="50">
        <v>0</v>
      </c>
      <c r="O53" s="15">
        <f t="shared" si="0"/>
        <v>109</v>
      </c>
      <c r="P53" s="15">
        <f t="shared" si="1"/>
        <v>195</v>
      </c>
      <c r="R53" s="8"/>
      <c r="T53"/>
    </row>
    <row r="54" spans="2:20" ht="23.1" customHeight="1" x14ac:dyDescent="0.25">
      <c r="B54" s="45" t="s">
        <v>81</v>
      </c>
      <c r="C54" s="50">
        <v>35</v>
      </c>
      <c r="D54" s="50">
        <v>40</v>
      </c>
      <c r="E54" s="50">
        <v>18</v>
      </c>
      <c r="F54" s="50">
        <v>20</v>
      </c>
      <c r="G54" s="50">
        <v>0</v>
      </c>
      <c r="H54" s="50">
        <v>0</v>
      </c>
      <c r="I54" s="50">
        <v>2</v>
      </c>
      <c r="J54" s="50">
        <v>2</v>
      </c>
      <c r="K54" s="50">
        <v>2</v>
      </c>
      <c r="L54" s="50">
        <v>0</v>
      </c>
      <c r="M54" s="50">
        <v>90</v>
      </c>
      <c r="N54" s="50">
        <v>0</v>
      </c>
      <c r="O54" s="15">
        <f t="shared" si="0"/>
        <v>119</v>
      </c>
      <c r="P54" s="15">
        <f t="shared" si="1"/>
        <v>209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35</v>
      </c>
      <c r="E55" s="50">
        <v>25</v>
      </c>
      <c r="F55" s="50">
        <v>10</v>
      </c>
      <c r="G55" s="50">
        <v>0</v>
      </c>
      <c r="H55" s="50">
        <v>0</v>
      </c>
      <c r="I55" s="50">
        <v>2</v>
      </c>
      <c r="J55" s="50">
        <v>1</v>
      </c>
      <c r="K55" s="50">
        <v>1</v>
      </c>
      <c r="L55" s="50">
        <v>0</v>
      </c>
      <c r="M55" s="50">
        <v>66</v>
      </c>
      <c r="N55" s="50">
        <v>0</v>
      </c>
      <c r="O55" s="15">
        <f t="shared" si="0"/>
        <v>104</v>
      </c>
      <c r="P55" s="15">
        <f t="shared" si="1"/>
        <v>170</v>
      </c>
      <c r="R55" s="8"/>
      <c r="T55"/>
    </row>
    <row r="56" spans="2:20" ht="23.1" customHeight="1" x14ac:dyDescent="0.25">
      <c r="B56" s="45" t="s">
        <v>83</v>
      </c>
      <c r="C56" s="50">
        <v>32</v>
      </c>
      <c r="D56" s="50">
        <v>30</v>
      </c>
      <c r="E56" s="50">
        <v>35</v>
      </c>
      <c r="F56" s="50">
        <v>20</v>
      </c>
      <c r="G56" s="50">
        <v>0</v>
      </c>
      <c r="H56" s="50">
        <v>0</v>
      </c>
      <c r="I56" s="50">
        <v>2</v>
      </c>
      <c r="J56" s="50">
        <v>4</v>
      </c>
      <c r="K56" s="50">
        <v>3</v>
      </c>
      <c r="L56" s="50">
        <v>2</v>
      </c>
      <c r="M56" s="50">
        <v>95</v>
      </c>
      <c r="N56" s="50">
        <v>0</v>
      </c>
      <c r="O56" s="15">
        <f t="shared" si="0"/>
        <v>128</v>
      </c>
      <c r="P56" s="15">
        <f t="shared" si="1"/>
        <v>223</v>
      </c>
      <c r="R56" s="8"/>
      <c r="T56"/>
    </row>
    <row r="57" spans="2:20" ht="23.1" customHeight="1" x14ac:dyDescent="0.25">
      <c r="B57" s="45" t="s">
        <v>84</v>
      </c>
      <c r="C57" s="50">
        <v>35</v>
      </c>
      <c r="D57" s="50">
        <v>30</v>
      </c>
      <c r="E57" s="50">
        <v>40</v>
      </c>
      <c r="F57" s="50">
        <v>30</v>
      </c>
      <c r="G57" s="50">
        <v>0</v>
      </c>
      <c r="H57" s="50">
        <v>0</v>
      </c>
      <c r="I57" s="50">
        <v>3</v>
      </c>
      <c r="J57" s="50">
        <v>2</v>
      </c>
      <c r="K57" s="50">
        <v>3</v>
      </c>
      <c r="L57" s="50">
        <v>0</v>
      </c>
      <c r="M57" s="50">
        <v>100</v>
      </c>
      <c r="N57" s="50">
        <v>0</v>
      </c>
      <c r="O57" s="15">
        <f t="shared" si="0"/>
        <v>143</v>
      </c>
      <c r="P57" s="15">
        <f t="shared" si="1"/>
        <v>243</v>
      </c>
      <c r="R57" s="8"/>
      <c r="T57"/>
    </row>
    <row r="58" spans="2:20" ht="23.1" customHeight="1" x14ac:dyDescent="0.25">
      <c r="B58" s="45" t="s">
        <v>99</v>
      </c>
      <c r="C58" s="50">
        <v>20</v>
      </c>
      <c r="D58" s="50">
        <v>18</v>
      </c>
      <c r="E58" s="50">
        <v>0</v>
      </c>
      <c r="F58" s="50">
        <v>11</v>
      </c>
      <c r="G58" s="50">
        <v>1</v>
      </c>
      <c r="H58" s="50">
        <v>0</v>
      </c>
      <c r="I58" s="50">
        <v>2</v>
      </c>
      <c r="J58" s="50">
        <v>0</v>
      </c>
      <c r="K58" s="50">
        <v>0</v>
      </c>
      <c r="L58" s="50">
        <v>2</v>
      </c>
      <c r="M58" s="50">
        <v>47</v>
      </c>
      <c r="N58" s="50">
        <v>0</v>
      </c>
      <c r="O58" s="15">
        <f t="shared" si="0"/>
        <v>54</v>
      </c>
      <c r="P58" s="15">
        <f t="shared" si="1"/>
        <v>101</v>
      </c>
      <c r="R58" s="8"/>
      <c r="T58"/>
    </row>
    <row r="59" spans="2:20" ht="23.1" customHeight="1" x14ac:dyDescent="0.25">
      <c r="B59" s="45" t="s">
        <v>100</v>
      </c>
      <c r="C59" s="50">
        <v>25</v>
      </c>
      <c r="D59" s="50">
        <v>7</v>
      </c>
      <c r="E59" s="50">
        <v>7</v>
      </c>
      <c r="F59" s="50">
        <v>13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60</v>
      </c>
      <c r="N59" s="50">
        <v>0</v>
      </c>
      <c r="O59" s="15">
        <f t="shared" si="0"/>
        <v>52</v>
      </c>
      <c r="P59" s="15">
        <f t="shared" si="1"/>
        <v>112</v>
      </c>
      <c r="R59" s="8"/>
      <c r="T59"/>
    </row>
    <row r="60" spans="2:20" ht="23.1" customHeight="1" x14ac:dyDescent="0.25">
      <c r="B60" s="45" t="s">
        <v>101</v>
      </c>
      <c r="C60" s="50">
        <v>25</v>
      </c>
      <c r="D60" s="50">
        <v>19</v>
      </c>
      <c r="E60" s="50">
        <v>7</v>
      </c>
      <c r="F60" s="50">
        <v>6</v>
      </c>
      <c r="G60" s="50">
        <v>0</v>
      </c>
      <c r="H60" s="50">
        <v>0</v>
      </c>
      <c r="I60" s="50">
        <v>4</v>
      </c>
      <c r="J60" s="50">
        <v>1</v>
      </c>
      <c r="K60" s="50">
        <v>0</v>
      </c>
      <c r="L60" s="50">
        <v>0</v>
      </c>
      <c r="M60" s="50">
        <v>100</v>
      </c>
      <c r="N60" s="50">
        <v>0</v>
      </c>
      <c r="O60" s="15">
        <f t="shared" si="0"/>
        <v>62</v>
      </c>
      <c r="P60" s="15">
        <f t="shared" si="1"/>
        <v>162</v>
      </c>
      <c r="R60" s="8"/>
      <c r="T60"/>
    </row>
    <row r="61" spans="2:20" ht="23.1" customHeight="1" x14ac:dyDescent="0.25">
      <c r="B61" s="45" t="s">
        <v>102</v>
      </c>
      <c r="C61" s="50">
        <v>60</v>
      </c>
      <c r="D61" s="50">
        <v>24</v>
      </c>
      <c r="E61" s="50">
        <v>7</v>
      </c>
      <c r="F61" s="50">
        <v>13</v>
      </c>
      <c r="G61" s="50">
        <v>0</v>
      </c>
      <c r="H61" s="50">
        <v>0</v>
      </c>
      <c r="I61" s="50">
        <v>6</v>
      </c>
      <c r="J61" s="50">
        <v>0</v>
      </c>
      <c r="K61" s="50">
        <v>0</v>
      </c>
      <c r="L61" s="50">
        <v>0</v>
      </c>
      <c r="M61" s="50">
        <v>75</v>
      </c>
      <c r="N61" s="50">
        <v>0</v>
      </c>
      <c r="O61" s="15">
        <f t="shared" si="0"/>
        <v>110</v>
      </c>
      <c r="P61" s="15">
        <f t="shared" si="1"/>
        <v>185</v>
      </c>
      <c r="R61" s="8"/>
      <c r="T61"/>
    </row>
    <row r="62" spans="2:20" ht="23.1" customHeight="1" x14ac:dyDescent="0.25">
      <c r="B62" s="45" t="s">
        <v>107</v>
      </c>
      <c r="C62" s="50">
        <v>42</v>
      </c>
      <c r="D62" s="50">
        <v>7</v>
      </c>
      <c r="E62" s="50">
        <v>4</v>
      </c>
      <c r="F62" s="50">
        <v>12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28</v>
      </c>
      <c r="N62" s="50">
        <v>0</v>
      </c>
      <c r="O62" s="15">
        <f t="shared" si="0"/>
        <v>67</v>
      </c>
      <c r="P62" s="15">
        <f t="shared" si="1"/>
        <v>95</v>
      </c>
      <c r="R62" s="8"/>
      <c r="T62"/>
    </row>
    <row r="63" spans="2:20" ht="23.1" customHeight="1" x14ac:dyDescent="0.25">
      <c r="B63" s="45" t="s">
        <v>108</v>
      </c>
      <c r="C63" s="50">
        <v>63</v>
      </c>
      <c r="D63" s="50">
        <v>15</v>
      </c>
      <c r="E63" s="50">
        <v>3</v>
      </c>
      <c r="F63" s="50">
        <v>15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45</v>
      </c>
      <c r="N63" s="50">
        <v>0</v>
      </c>
      <c r="O63" s="15">
        <f t="shared" si="0"/>
        <v>97</v>
      </c>
      <c r="P63" s="15">
        <f t="shared" si="1"/>
        <v>142</v>
      </c>
      <c r="R63" s="8"/>
      <c r="T63"/>
    </row>
    <row r="64" spans="2:20" ht="23.1" customHeight="1" x14ac:dyDescent="0.25">
      <c r="B64" s="45" t="s">
        <v>109</v>
      </c>
      <c r="C64" s="50">
        <v>55</v>
      </c>
      <c r="D64" s="50">
        <v>22</v>
      </c>
      <c r="E64" s="50">
        <v>7</v>
      </c>
      <c r="F64" s="50">
        <v>8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66</v>
      </c>
      <c r="N64" s="50">
        <v>0</v>
      </c>
      <c r="O64" s="15">
        <f t="shared" si="0"/>
        <v>94</v>
      </c>
      <c r="P64" s="15">
        <f t="shared" si="1"/>
        <v>160</v>
      </c>
      <c r="R64" s="8"/>
      <c r="T64"/>
    </row>
    <row r="65" spans="2:20" ht="23.1" customHeight="1" x14ac:dyDescent="0.25">
      <c r="B65" s="45" t="s">
        <v>158</v>
      </c>
      <c r="C65" s="50">
        <v>47</v>
      </c>
      <c r="D65" s="50">
        <v>21</v>
      </c>
      <c r="E65" s="50">
        <v>5</v>
      </c>
      <c r="F65" s="50">
        <v>10</v>
      </c>
      <c r="G65" s="50">
        <v>0</v>
      </c>
      <c r="H65" s="50">
        <v>0</v>
      </c>
      <c r="I65" s="50">
        <v>2</v>
      </c>
      <c r="J65" s="50">
        <v>0</v>
      </c>
      <c r="K65" s="50">
        <v>1</v>
      </c>
      <c r="L65" s="50">
        <v>0</v>
      </c>
      <c r="M65" s="50">
        <v>86</v>
      </c>
      <c r="N65" s="50">
        <v>0</v>
      </c>
      <c r="O65" s="15">
        <f t="shared" si="0"/>
        <v>86</v>
      </c>
      <c r="P65" s="15">
        <f t="shared" si="1"/>
        <v>172</v>
      </c>
      <c r="R65" s="8"/>
      <c r="T65"/>
    </row>
    <row r="66" spans="2:20" ht="23.1" customHeight="1" x14ac:dyDescent="0.25">
      <c r="B66" s="45" t="s">
        <v>103</v>
      </c>
      <c r="C66" s="50">
        <v>70</v>
      </c>
      <c r="D66" s="50">
        <v>24</v>
      </c>
      <c r="E66" s="50">
        <v>3</v>
      </c>
      <c r="F66" s="50">
        <v>8</v>
      </c>
      <c r="G66" s="50">
        <v>0</v>
      </c>
      <c r="H66" s="50">
        <v>0</v>
      </c>
      <c r="I66" s="50">
        <v>3</v>
      </c>
      <c r="J66" s="50">
        <v>4</v>
      </c>
      <c r="K66" s="50">
        <v>0</v>
      </c>
      <c r="L66" s="50">
        <v>0</v>
      </c>
      <c r="M66" s="50">
        <v>68</v>
      </c>
      <c r="N66" s="50">
        <v>0</v>
      </c>
      <c r="O66" s="15">
        <f t="shared" si="0"/>
        <v>112</v>
      </c>
      <c r="P66" s="15">
        <f t="shared" si="1"/>
        <v>180</v>
      </c>
      <c r="R66" s="8"/>
      <c r="T66"/>
    </row>
    <row r="67" spans="2:20" ht="23.1" customHeight="1" x14ac:dyDescent="0.25">
      <c r="B67" s="45" t="s">
        <v>104</v>
      </c>
      <c r="C67" s="50">
        <v>48</v>
      </c>
      <c r="D67" s="50">
        <v>9</v>
      </c>
      <c r="E67" s="50">
        <v>5</v>
      </c>
      <c r="F67" s="50">
        <v>5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1</v>
      </c>
      <c r="M67" s="50">
        <v>48</v>
      </c>
      <c r="N67" s="50">
        <v>0</v>
      </c>
      <c r="O67" s="15">
        <f t="shared" si="0"/>
        <v>69</v>
      </c>
      <c r="P67" s="15">
        <f t="shared" si="1"/>
        <v>117</v>
      </c>
      <c r="R67" s="8"/>
      <c r="T67"/>
    </row>
    <row r="68" spans="2:20" ht="23.1" customHeight="1" x14ac:dyDescent="0.25">
      <c r="B68" s="45" t="s">
        <v>105</v>
      </c>
      <c r="C68" s="50">
        <v>52</v>
      </c>
      <c r="D68" s="50">
        <v>12</v>
      </c>
      <c r="E68" s="50">
        <v>1</v>
      </c>
      <c r="F68" s="50">
        <v>5</v>
      </c>
      <c r="G68" s="50">
        <v>0</v>
      </c>
      <c r="H68" s="50">
        <v>0</v>
      </c>
      <c r="I68" s="50">
        <v>2</v>
      </c>
      <c r="J68" s="50">
        <v>0</v>
      </c>
      <c r="K68" s="50">
        <v>1</v>
      </c>
      <c r="L68" s="50">
        <v>0</v>
      </c>
      <c r="M68" s="50">
        <v>59</v>
      </c>
      <c r="N68" s="50">
        <v>0</v>
      </c>
      <c r="O68" s="15">
        <f t="shared" si="0"/>
        <v>73</v>
      </c>
      <c r="P68" s="15">
        <f t="shared" si="1"/>
        <v>132</v>
      </c>
      <c r="R68" s="8"/>
      <c r="T68"/>
    </row>
    <row r="69" spans="2:20" ht="23.1" customHeight="1" x14ac:dyDescent="0.25">
      <c r="B69" s="45" t="s">
        <v>106</v>
      </c>
      <c r="C69" s="50">
        <v>35</v>
      </c>
      <c r="D69" s="50">
        <v>23</v>
      </c>
      <c r="E69" s="50">
        <v>7</v>
      </c>
      <c r="F69" s="50">
        <v>12</v>
      </c>
      <c r="G69" s="50">
        <v>0</v>
      </c>
      <c r="H69" s="50">
        <v>0</v>
      </c>
      <c r="I69" s="50">
        <v>3</v>
      </c>
      <c r="J69" s="50">
        <v>1</v>
      </c>
      <c r="K69" s="50">
        <v>0</v>
      </c>
      <c r="L69" s="50">
        <v>0</v>
      </c>
      <c r="M69" s="50">
        <v>48</v>
      </c>
      <c r="N69" s="50">
        <v>0</v>
      </c>
      <c r="O69" s="15">
        <f t="shared" si="0"/>
        <v>81</v>
      </c>
      <c r="P69" s="15">
        <f t="shared" si="1"/>
        <v>129</v>
      </c>
      <c r="R69" s="8"/>
      <c r="T69"/>
    </row>
    <row r="70" spans="2:20" ht="23.1" customHeight="1" x14ac:dyDescent="0.25">
      <c r="B70" s="45" t="s">
        <v>110</v>
      </c>
      <c r="C70" s="50">
        <v>62</v>
      </c>
      <c r="D70" s="50">
        <v>21</v>
      </c>
      <c r="E70" s="50">
        <v>1</v>
      </c>
      <c r="F70" s="50">
        <v>6</v>
      </c>
      <c r="G70" s="50">
        <v>0</v>
      </c>
      <c r="H70" s="50">
        <v>0</v>
      </c>
      <c r="I70" s="50">
        <v>3</v>
      </c>
      <c r="J70" s="50">
        <v>2</v>
      </c>
      <c r="K70" s="50">
        <v>0</v>
      </c>
      <c r="L70" s="50">
        <v>0</v>
      </c>
      <c r="M70" s="50">
        <v>46</v>
      </c>
      <c r="N70" s="50">
        <v>0</v>
      </c>
      <c r="O70" s="15">
        <f t="shared" si="0"/>
        <v>95</v>
      </c>
      <c r="P70" s="15">
        <f t="shared" si="1"/>
        <v>141</v>
      </c>
      <c r="R70" s="8"/>
      <c r="T70"/>
    </row>
    <row r="71" spans="2:20" ht="23.1" customHeight="1" x14ac:dyDescent="0.25">
      <c r="B71" s="45" t="s">
        <v>111</v>
      </c>
      <c r="C71" s="50">
        <v>62</v>
      </c>
      <c r="D71" s="50">
        <v>11</v>
      </c>
      <c r="E71" s="50">
        <v>4</v>
      </c>
      <c r="F71" s="50">
        <v>5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34</v>
      </c>
      <c r="N71" s="50">
        <v>0</v>
      </c>
      <c r="O71" s="15">
        <f t="shared" si="0"/>
        <v>85</v>
      </c>
      <c r="P71" s="15">
        <f t="shared" si="1"/>
        <v>119</v>
      </c>
      <c r="R71" s="8"/>
      <c r="T71"/>
    </row>
    <row r="72" spans="2:20" ht="23.1" customHeight="1" x14ac:dyDescent="0.25">
      <c r="B72" s="45" t="s">
        <v>112</v>
      </c>
      <c r="C72" s="50">
        <v>50</v>
      </c>
      <c r="D72" s="50">
        <v>23</v>
      </c>
      <c r="E72" s="50">
        <v>0</v>
      </c>
      <c r="F72" s="50">
        <v>6</v>
      </c>
      <c r="G72" s="50">
        <v>0</v>
      </c>
      <c r="H72" s="50">
        <v>0</v>
      </c>
      <c r="I72" s="50">
        <v>2</v>
      </c>
      <c r="J72" s="50">
        <v>2</v>
      </c>
      <c r="K72" s="50">
        <v>1</v>
      </c>
      <c r="L72" s="50">
        <v>2</v>
      </c>
      <c r="M72" s="50">
        <v>54</v>
      </c>
      <c r="N72" s="50">
        <v>0</v>
      </c>
      <c r="O72" s="15">
        <f t="shared" si="0"/>
        <v>86</v>
      </c>
      <c r="P72" s="15">
        <f t="shared" si="1"/>
        <v>140</v>
      </c>
      <c r="R72" s="8"/>
      <c r="T72"/>
    </row>
    <row r="73" spans="2:20" ht="23.1" customHeight="1" x14ac:dyDescent="0.25">
      <c r="B73" s="45" t="s">
        <v>113</v>
      </c>
      <c r="C73" s="50">
        <v>61</v>
      </c>
      <c r="D73" s="50">
        <v>24</v>
      </c>
      <c r="E73" s="50">
        <v>5</v>
      </c>
      <c r="F73" s="50">
        <v>6</v>
      </c>
      <c r="G73" s="50">
        <v>1</v>
      </c>
      <c r="H73" s="50">
        <v>0</v>
      </c>
      <c r="I73" s="50">
        <v>0</v>
      </c>
      <c r="J73" s="50">
        <v>2</v>
      </c>
      <c r="K73" s="50">
        <v>1</v>
      </c>
      <c r="L73" s="50">
        <v>2</v>
      </c>
      <c r="M73" s="50">
        <v>152</v>
      </c>
      <c r="N73" s="50">
        <v>0</v>
      </c>
      <c r="O73" s="15">
        <f t="shared" si="0"/>
        <v>102</v>
      </c>
      <c r="P73" s="15">
        <f t="shared" si="1"/>
        <v>254</v>
      </c>
      <c r="R73" s="8"/>
      <c r="T73"/>
    </row>
    <row r="74" spans="2:20" ht="23.1" customHeight="1" x14ac:dyDescent="0.25">
      <c r="B74" s="45" t="s">
        <v>114</v>
      </c>
      <c r="C74" s="50">
        <v>36</v>
      </c>
      <c r="D74" s="50">
        <v>25</v>
      </c>
      <c r="E74" s="50">
        <v>1</v>
      </c>
      <c r="F74" s="50">
        <v>6</v>
      </c>
      <c r="G74" s="50">
        <v>0</v>
      </c>
      <c r="H74" s="50">
        <v>0</v>
      </c>
      <c r="I74" s="50">
        <v>1</v>
      </c>
      <c r="J74" s="50">
        <v>1</v>
      </c>
      <c r="K74" s="50">
        <v>1</v>
      </c>
      <c r="L74" s="50">
        <v>0</v>
      </c>
      <c r="M74" s="50">
        <v>50</v>
      </c>
      <c r="N74" s="50">
        <v>0</v>
      </c>
      <c r="O74" s="15">
        <f t="shared" ref="O74:O105" si="35">SUM(C74:L74,N74)</f>
        <v>71</v>
      </c>
      <c r="P74" s="15">
        <f t="shared" ref="P74:P105" si="36">SUM(C74:N74)</f>
        <v>121</v>
      </c>
      <c r="R74" s="8"/>
      <c r="T74"/>
    </row>
    <row r="75" spans="2:20" ht="23.1" customHeight="1" x14ac:dyDescent="0.25">
      <c r="B75" s="45" t="s">
        <v>115</v>
      </c>
      <c r="C75" s="50">
        <v>42</v>
      </c>
      <c r="D75" s="50">
        <v>17</v>
      </c>
      <c r="E75" s="50">
        <v>2</v>
      </c>
      <c r="F75" s="50">
        <v>7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55</v>
      </c>
      <c r="N75" s="50">
        <v>0</v>
      </c>
      <c r="O75" s="15">
        <f t="shared" si="35"/>
        <v>70</v>
      </c>
      <c r="P75" s="15">
        <f t="shared" si="36"/>
        <v>125</v>
      </c>
      <c r="R75" s="8"/>
      <c r="T75"/>
    </row>
    <row r="76" spans="2:20" ht="23.1" customHeight="1" x14ac:dyDescent="0.25">
      <c r="B76" s="45" t="s">
        <v>116</v>
      </c>
      <c r="C76" s="50">
        <v>26</v>
      </c>
      <c r="D76" s="50">
        <v>6</v>
      </c>
      <c r="E76" s="50">
        <v>5</v>
      </c>
      <c r="F76" s="50">
        <v>5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1</v>
      </c>
      <c r="M76" s="50">
        <v>30</v>
      </c>
      <c r="N76" s="50">
        <v>0</v>
      </c>
      <c r="O76" s="15">
        <f t="shared" si="35"/>
        <v>45</v>
      </c>
      <c r="P76" s="15">
        <f t="shared" si="36"/>
        <v>75</v>
      </c>
      <c r="R76" s="8"/>
      <c r="T76"/>
    </row>
    <row r="77" spans="2:20" ht="23.1" customHeight="1" x14ac:dyDescent="0.25">
      <c r="B77" s="45" t="s">
        <v>117</v>
      </c>
      <c r="C77" s="50">
        <v>19</v>
      </c>
      <c r="D77" s="50">
        <v>16</v>
      </c>
      <c r="E77" s="50">
        <v>4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49</v>
      </c>
      <c r="N77" s="50">
        <v>0</v>
      </c>
      <c r="O77" s="15">
        <f t="shared" si="35"/>
        <v>40</v>
      </c>
      <c r="P77" s="15">
        <f t="shared" si="36"/>
        <v>89</v>
      </c>
      <c r="R77" s="8"/>
      <c r="T77"/>
    </row>
    <row r="78" spans="2:20" ht="23.1" customHeight="1" x14ac:dyDescent="0.25">
      <c r="B78" s="46" t="s">
        <v>118</v>
      </c>
      <c r="C78" s="50">
        <v>29</v>
      </c>
      <c r="D78" s="50">
        <v>8</v>
      </c>
      <c r="E78" s="50">
        <v>6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1</v>
      </c>
      <c r="L78" s="50">
        <v>0</v>
      </c>
      <c r="M78" s="50">
        <v>23</v>
      </c>
      <c r="N78" s="50">
        <v>0</v>
      </c>
      <c r="O78" s="15">
        <f t="shared" si="35"/>
        <v>45</v>
      </c>
      <c r="P78" s="15">
        <f t="shared" si="36"/>
        <v>68</v>
      </c>
      <c r="R78" s="8"/>
      <c r="T78"/>
    </row>
    <row r="79" spans="2:20" ht="23.1" customHeight="1" x14ac:dyDescent="0.25">
      <c r="B79" s="45" t="s">
        <v>119</v>
      </c>
      <c r="C79" s="50">
        <v>18</v>
      </c>
      <c r="D79" s="50">
        <v>5</v>
      </c>
      <c r="E79" s="50">
        <v>0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19</v>
      </c>
      <c r="N79" s="50">
        <v>0</v>
      </c>
      <c r="O79" s="15">
        <f t="shared" si="35"/>
        <v>26</v>
      </c>
      <c r="P79" s="15">
        <f t="shared" si="36"/>
        <v>45</v>
      </c>
      <c r="R79" s="8"/>
      <c r="T79"/>
    </row>
    <row r="80" spans="2:20" ht="23.1" customHeight="1" x14ac:dyDescent="0.25">
      <c r="B80" s="47" t="s">
        <v>120</v>
      </c>
      <c r="C80" s="50">
        <v>21</v>
      </c>
      <c r="D80" s="50">
        <v>7</v>
      </c>
      <c r="E80" s="50">
        <v>3</v>
      </c>
      <c r="F80" s="50">
        <v>0</v>
      </c>
      <c r="G80" s="50">
        <v>0</v>
      </c>
      <c r="H80" s="50">
        <v>0</v>
      </c>
      <c r="I80" s="50">
        <v>1</v>
      </c>
      <c r="J80" s="50">
        <v>2</v>
      </c>
      <c r="K80" s="50">
        <v>0</v>
      </c>
      <c r="L80" s="50">
        <v>0</v>
      </c>
      <c r="M80" s="50">
        <v>26</v>
      </c>
      <c r="N80" s="50">
        <v>0</v>
      </c>
      <c r="O80" s="15">
        <f t="shared" si="35"/>
        <v>34</v>
      </c>
      <c r="P80" s="15">
        <f t="shared" si="36"/>
        <v>60</v>
      </c>
      <c r="R80" s="8"/>
      <c r="T80"/>
    </row>
    <row r="81" spans="2:20" ht="23.1" customHeight="1" x14ac:dyDescent="0.25">
      <c r="B81" s="45" t="s">
        <v>121</v>
      </c>
      <c r="C81" s="50">
        <v>24</v>
      </c>
      <c r="D81" s="50">
        <v>9</v>
      </c>
      <c r="E81" s="50">
        <v>1</v>
      </c>
      <c r="F81" s="50">
        <v>2</v>
      </c>
      <c r="G81" s="50">
        <v>0</v>
      </c>
      <c r="H81" s="50">
        <v>0</v>
      </c>
      <c r="I81" s="50">
        <v>1</v>
      </c>
      <c r="J81" s="50">
        <v>2</v>
      </c>
      <c r="K81" s="50">
        <v>0</v>
      </c>
      <c r="L81" s="50">
        <v>0</v>
      </c>
      <c r="M81" s="50">
        <v>19</v>
      </c>
      <c r="N81" s="50">
        <v>0</v>
      </c>
      <c r="O81" s="15">
        <f t="shared" si="35"/>
        <v>39</v>
      </c>
      <c r="P81" s="15">
        <f t="shared" si="36"/>
        <v>58</v>
      </c>
      <c r="R81" s="8"/>
      <c r="T81"/>
    </row>
    <row r="82" spans="2:20" ht="23.1" customHeight="1" x14ac:dyDescent="0.25">
      <c r="B82" s="46" t="s">
        <v>122</v>
      </c>
      <c r="C82" s="50">
        <v>13</v>
      </c>
      <c r="D82" s="50">
        <v>6</v>
      </c>
      <c r="E82" s="50">
        <v>2</v>
      </c>
      <c r="F82" s="50">
        <v>2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30</v>
      </c>
      <c r="N82" s="50">
        <v>0</v>
      </c>
      <c r="O82" s="15">
        <f t="shared" si="35"/>
        <v>23</v>
      </c>
      <c r="P82" s="15">
        <f t="shared" si="36"/>
        <v>53</v>
      </c>
      <c r="R82" s="8"/>
      <c r="T82"/>
    </row>
    <row r="83" spans="2:20" ht="23.1" customHeight="1" x14ac:dyDescent="0.25">
      <c r="B83" s="45" t="s">
        <v>123</v>
      </c>
      <c r="C83" s="50">
        <v>17</v>
      </c>
      <c r="D83" s="50">
        <v>3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22</v>
      </c>
      <c r="N83" s="50">
        <v>0</v>
      </c>
      <c r="O83" s="15">
        <f t="shared" si="35"/>
        <v>21</v>
      </c>
      <c r="P83" s="15">
        <f t="shared" si="36"/>
        <v>43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3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1</v>
      </c>
      <c r="L84" s="50">
        <v>0</v>
      </c>
      <c r="M84" s="50">
        <v>20</v>
      </c>
      <c r="N84" s="50">
        <v>0</v>
      </c>
      <c r="O84" s="15">
        <f t="shared" si="35"/>
        <v>21</v>
      </c>
      <c r="P84" s="15">
        <f t="shared" si="36"/>
        <v>41</v>
      </c>
      <c r="R84" s="8"/>
      <c r="T84"/>
    </row>
    <row r="85" spans="2:20" ht="23.1" customHeight="1" x14ac:dyDescent="0.25">
      <c r="B85" s="45" t="s">
        <v>125</v>
      </c>
      <c r="C85" s="50">
        <v>20</v>
      </c>
      <c r="D85" s="50">
        <v>2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23</v>
      </c>
      <c r="N85" s="50">
        <v>0</v>
      </c>
      <c r="O85" s="15">
        <f t="shared" si="35"/>
        <v>23</v>
      </c>
      <c r="P85" s="15">
        <f t="shared" si="36"/>
        <v>46</v>
      </c>
      <c r="R85" s="8"/>
      <c r="T85"/>
    </row>
    <row r="86" spans="2:20" ht="23.1" customHeight="1" x14ac:dyDescent="0.25">
      <c r="B86" s="46" t="s">
        <v>126</v>
      </c>
      <c r="C86" s="50">
        <v>13</v>
      </c>
      <c r="D86" s="50">
        <v>4</v>
      </c>
      <c r="E86" s="50">
        <v>0</v>
      </c>
      <c r="F86" s="50">
        <v>1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11</v>
      </c>
      <c r="N86" s="50">
        <v>0</v>
      </c>
      <c r="O86" s="15">
        <f t="shared" si="35"/>
        <v>19</v>
      </c>
      <c r="P86" s="15">
        <f t="shared" si="36"/>
        <v>30</v>
      </c>
      <c r="R86" s="8"/>
      <c r="T86"/>
    </row>
    <row r="87" spans="2:20" ht="23.1" customHeight="1" x14ac:dyDescent="0.25">
      <c r="B87" s="45" t="s">
        <v>127</v>
      </c>
      <c r="C87" s="50">
        <v>12</v>
      </c>
      <c r="D87" s="50">
        <v>7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4</v>
      </c>
      <c r="K87" s="50">
        <v>0</v>
      </c>
      <c r="L87" s="50">
        <v>0</v>
      </c>
      <c r="M87" s="50">
        <v>21</v>
      </c>
      <c r="N87" s="50">
        <v>0</v>
      </c>
      <c r="O87" s="15">
        <f t="shared" si="35"/>
        <v>23</v>
      </c>
      <c r="P87" s="15">
        <f t="shared" si="36"/>
        <v>44</v>
      </c>
      <c r="R87" s="8"/>
      <c r="T87"/>
    </row>
    <row r="88" spans="2:20" ht="23.1" customHeight="1" x14ac:dyDescent="0.25">
      <c r="B88" s="47" t="s">
        <v>128</v>
      </c>
      <c r="C88" s="50">
        <v>17</v>
      </c>
      <c r="D88" s="50">
        <v>5</v>
      </c>
      <c r="E88" s="50">
        <v>2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1</v>
      </c>
      <c r="M88" s="50">
        <v>23</v>
      </c>
      <c r="N88" s="50">
        <v>0</v>
      </c>
      <c r="O88" s="15">
        <f t="shared" si="35"/>
        <v>26</v>
      </c>
      <c r="P88" s="15">
        <f t="shared" si="36"/>
        <v>49</v>
      </c>
      <c r="R88" s="8"/>
      <c r="T88"/>
    </row>
    <row r="89" spans="2:20" ht="23.1" customHeight="1" x14ac:dyDescent="0.25">
      <c r="B89" s="45" t="s">
        <v>129</v>
      </c>
      <c r="C89" s="50">
        <v>14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22</v>
      </c>
      <c r="N89" s="50">
        <v>0</v>
      </c>
      <c r="O89" s="15">
        <f t="shared" si="35"/>
        <v>14</v>
      </c>
      <c r="P89" s="15">
        <f t="shared" si="36"/>
        <v>36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4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13</v>
      </c>
      <c r="N90" s="50">
        <v>0</v>
      </c>
      <c r="O90" s="15">
        <f t="shared" si="35"/>
        <v>15</v>
      </c>
      <c r="P90" s="15">
        <f t="shared" si="36"/>
        <v>28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1</v>
      </c>
      <c r="L91" s="50">
        <v>0</v>
      </c>
      <c r="M91" s="50">
        <v>16</v>
      </c>
      <c r="N91" s="50">
        <v>0</v>
      </c>
      <c r="O91" s="15">
        <f t="shared" si="35"/>
        <v>6</v>
      </c>
      <c r="P91" s="15">
        <f t="shared" si="36"/>
        <v>22</v>
      </c>
      <c r="R91" s="8"/>
      <c r="T91"/>
    </row>
    <row r="92" spans="2:20" ht="23.1" customHeight="1" x14ac:dyDescent="0.25">
      <c r="B92" s="47" t="s">
        <v>132</v>
      </c>
      <c r="C92" s="50">
        <v>10</v>
      </c>
      <c r="D92" s="50">
        <v>2</v>
      </c>
      <c r="E92" s="50">
        <v>1</v>
      </c>
      <c r="F92" s="50">
        <v>0</v>
      </c>
      <c r="G92" s="50">
        <v>1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27</v>
      </c>
      <c r="N92" s="50">
        <v>0</v>
      </c>
      <c r="O92" s="15">
        <f t="shared" si="35"/>
        <v>15</v>
      </c>
      <c r="P92" s="15">
        <f t="shared" si="36"/>
        <v>42</v>
      </c>
      <c r="R92" s="8"/>
      <c r="T92"/>
    </row>
    <row r="93" spans="2:20" ht="23.1" customHeight="1" x14ac:dyDescent="0.25">
      <c r="B93" s="45" t="s">
        <v>133</v>
      </c>
      <c r="C93" s="50">
        <v>10</v>
      </c>
      <c r="D93" s="50">
        <v>1</v>
      </c>
      <c r="E93" s="50">
        <v>1</v>
      </c>
      <c r="F93" s="50">
        <v>1</v>
      </c>
      <c r="G93" s="50">
        <v>0</v>
      </c>
      <c r="H93" s="50">
        <v>0</v>
      </c>
      <c r="I93" s="50">
        <v>1</v>
      </c>
      <c r="J93" s="50">
        <v>1</v>
      </c>
      <c r="K93" s="50">
        <v>1</v>
      </c>
      <c r="L93" s="50">
        <v>0</v>
      </c>
      <c r="M93" s="50">
        <v>9</v>
      </c>
      <c r="N93" s="50">
        <v>0</v>
      </c>
      <c r="O93" s="15">
        <f t="shared" si="35"/>
        <v>16</v>
      </c>
      <c r="P93" s="15">
        <f t="shared" si="36"/>
        <v>25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3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14</v>
      </c>
      <c r="N94" s="50">
        <v>0</v>
      </c>
      <c r="O94" s="15">
        <f t="shared" si="35"/>
        <v>6</v>
      </c>
      <c r="P94" s="15">
        <f t="shared" si="36"/>
        <v>20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2</v>
      </c>
      <c r="E95" s="50">
        <v>0</v>
      </c>
      <c r="F95" s="50">
        <v>1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19</v>
      </c>
      <c r="N95" s="50">
        <v>0</v>
      </c>
      <c r="O95" s="15">
        <f t="shared" si="35"/>
        <v>11</v>
      </c>
      <c r="P95" s="15">
        <f t="shared" si="36"/>
        <v>30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2</v>
      </c>
      <c r="E96" s="50">
        <v>0</v>
      </c>
      <c r="F96" s="50">
        <v>1</v>
      </c>
      <c r="G96" s="50">
        <v>0</v>
      </c>
      <c r="H96" s="50">
        <v>0</v>
      </c>
      <c r="I96" s="50">
        <v>3</v>
      </c>
      <c r="J96" s="50">
        <v>0</v>
      </c>
      <c r="K96" s="50">
        <v>0</v>
      </c>
      <c r="L96" s="50">
        <v>0</v>
      </c>
      <c r="M96" s="50">
        <v>8</v>
      </c>
      <c r="N96" s="50">
        <v>0</v>
      </c>
      <c r="O96" s="15">
        <f t="shared" si="35"/>
        <v>11</v>
      </c>
      <c r="P96" s="15">
        <f t="shared" si="36"/>
        <v>19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3</v>
      </c>
      <c r="E97" s="50">
        <v>0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12</v>
      </c>
      <c r="N97" s="50">
        <v>0</v>
      </c>
      <c r="O97" s="15">
        <f t="shared" si="35"/>
        <v>9</v>
      </c>
      <c r="P97" s="15">
        <f t="shared" si="36"/>
        <v>21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5</v>
      </c>
      <c r="P98" s="15">
        <f t="shared" si="36"/>
        <v>15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3</v>
      </c>
      <c r="E99" s="50">
        <v>1</v>
      </c>
      <c r="F99" s="50">
        <v>1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0</v>
      </c>
      <c r="M99" s="50">
        <v>17</v>
      </c>
      <c r="N99" s="50">
        <v>0</v>
      </c>
      <c r="O99" s="15">
        <f t="shared" si="35"/>
        <v>14</v>
      </c>
      <c r="P99" s="15">
        <f t="shared" si="36"/>
        <v>31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3</v>
      </c>
      <c r="E100" s="50">
        <v>0</v>
      </c>
      <c r="F100" s="50">
        <v>1</v>
      </c>
      <c r="G100" s="50">
        <v>0</v>
      </c>
      <c r="H100" s="50">
        <v>0</v>
      </c>
      <c r="I100" s="50">
        <v>3</v>
      </c>
      <c r="J100" s="50">
        <v>0</v>
      </c>
      <c r="K100" s="50">
        <v>0</v>
      </c>
      <c r="L100" s="50">
        <v>0</v>
      </c>
      <c r="M100" s="50">
        <v>12</v>
      </c>
      <c r="N100" s="50">
        <v>0</v>
      </c>
      <c r="O100" s="15">
        <f t="shared" si="35"/>
        <v>10</v>
      </c>
      <c r="P100" s="15">
        <f t="shared" si="36"/>
        <v>22</v>
      </c>
      <c r="R100" s="8"/>
      <c r="T100"/>
    </row>
    <row r="101" spans="2:20" ht="23.1" customHeight="1" x14ac:dyDescent="0.25">
      <c r="B101" s="45" t="s">
        <v>141</v>
      </c>
      <c r="C101" s="50">
        <v>10</v>
      </c>
      <c r="D101" s="50">
        <v>2</v>
      </c>
      <c r="E101" s="50">
        <v>1</v>
      </c>
      <c r="F101" s="50">
        <v>4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21</v>
      </c>
      <c r="N101" s="50">
        <v>0</v>
      </c>
      <c r="O101" s="15">
        <f t="shared" si="35"/>
        <v>18</v>
      </c>
      <c r="P101" s="15">
        <f t="shared" si="36"/>
        <v>39</v>
      </c>
      <c r="R101" s="8"/>
      <c r="T101"/>
    </row>
    <row r="102" spans="2:20" ht="23.1" customHeight="1" x14ac:dyDescent="0.25">
      <c r="B102" s="46" t="s">
        <v>142</v>
      </c>
      <c r="C102" s="50">
        <v>10</v>
      </c>
      <c r="D102" s="50">
        <v>2</v>
      </c>
      <c r="E102" s="50">
        <v>2</v>
      </c>
      <c r="F102" s="50">
        <v>4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16</v>
      </c>
      <c r="N102" s="50">
        <v>0</v>
      </c>
      <c r="O102" s="15">
        <f t="shared" si="35"/>
        <v>18</v>
      </c>
      <c r="P102" s="15">
        <f t="shared" si="36"/>
        <v>34</v>
      </c>
      <c r="R102" s="8"/>
      <c r="T102"/>
    </row>
    <row r="103" spans="2:20" ht="23.1" customHeight="1" x14ac:dyDescent="0.25">
      <c r="B103" s="45" t="s">
        <v>143</v>
      </c>
      <c r="C103" s="50">
        <v>11</v>
      </c>
      <c r="D103" s="50">
        <v>2</v>
      </c>
      <c r="E103" s="50">
        <v>2</v>
      </c>
      <c r="F103" s="50">
        <v>5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15</v>
      </c>
      <c r="N103" s="50">
        <v>0</v>
      </c>
      <c r="O103" s="15">
        <f t="shared" si="35"/>
        <v>22</v>
      </c>
      <c r="P103" s="15">
        <f t="shared" si="36"/>
        <v>37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4</v>
      </c>
      <c r="E104" s="50">
        <v>1</v>
      </c>
      <c r="F104" s="50">
        <v>6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12</v>
      </c>
      <c r="N104" s="50">
        <v>0</v>
      </c>
      <c r="O104" s="15">
        <f t="shared" si="35"/>
        <v>17</v>
      </c>
      <c r="P104" s="15">
        <f t="shared" si="36"/>
        <v>29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4</v>
      </c>
      <c r="E105" s="50">
        <v>1</v>
      </c>
      <c r="F105" s="50">
        <v>8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1</v>
      </c>
      <c r="M105" s="50">
        <v>14</v>
      </c>
      <c r="N105" s="50">
        <v>0</v>
      </c>
      <c r="O105" s="15">
        <f t="shared" si="35"/>
        <v>20</v>
      </c>
      <c r="P105" s="15">
        <f t="shared" si="36"/>
        <v>34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2947</v>
      </c>
      <c r="D106" s="16">
        <f t="shared" ref="D106:P106" si="37">SUM(D10:D105)</f>
        <v>1889</v>
      </c>
      <c r="E106" s="16">
        <f t="shared" si="37"/>
        <v>1009</v>
      </c>
      <c r="F106" s="16">
        <f t="shared" si="37"/>
        <v>1006</v>
      </c>
      <c r="G106" s="16">
        <f t="shared" si="37"/>
        <v>11</v>
      </c>
      <c r="H106" s="16">
        <f t="shared" si="37"/>
        <v>0</v>
      </c>
      <c r="I106" s="16">
        <f t="shared" si="37"/>
        <v>212</v>
      </c>
      <c r="J106" s="16">
        <f t="shared" si="37"/>
        <v>164</v>
      </c>
      <c r="K106" s="16">
        <f t="shared" si="37"/>
        <v>53</v>
      </c>
      <c r="L106" s="16">
        <f t="shared" si="37"/>
        <v>60</v>
      </c>
      <c r="M106" s="16">
        <f t="shared" si="37"/>
        <v>6190</v>
      </c>
      <c r="N106" s="16">
        <f t="shared" si="37"/>
        <v>0</v>
      </c>
      <c r="O106" s="16">
        <f t="shared" si="37"/>
        <v>7351</v>
      </c>
      <c r="P106" s="16">
        <f t="shared" si="37"/>
        <v>13541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0.21763532973931024</v>
      </c>
      <c r="D107" s="43">
        <f t="shared" si="38"/>
        <v>0.13950225241858061</v>
      </c>
      <c r="E107" s="43">
        <f t="shared" si="38"/>
        <v>7.4514437633852737E-2</v>
      </c>
      <c r="F107" s="43">
        <f t="shared" si="38"/>
        <v>7.4292888265268447E-2</v>
      </c>
      <c r="G107" s="43">
        <f t="shared" si="38"/>
        <v>8.1234768480909826E-4</v>
      </c>
      <c r="H107" s="43">
        <f t="shared" si="38"/>
        <v>0</v>
      </c>
      <c r="I107" s="43">
        <f t="shared" si="38"/>
        <v>1.5656155379957168E-2</v>
      </c>
      <c r="J107" s="43">
        <f t="shared" si="38"/>
        <v>1.2111365482608374E-2</v>
      </c>
      <c r="K107" s="43">
        <f t="shared" si="38"/>
        <v>3.914038844989292E-3</v>
      </c>
      <c r="L107" s="43">
        <f t="shared" si="38"/>
        <v>4.430987371685991E-3</v>
      </c>
      <c r="M107" s="43">
        <f t="shared" si="38"/>
        <v>0.45713019717893805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0.40089783702897563</v>
      </c>
      <c r="D108" s="44">
        <f t="shared" ref="D108:N108" si="39">D106/$O$106</f>
        <v>0.25697184056590938</v>
      </c>
      <c r="E108" s="44">
        <f t="shared" si="39"/>
        <v>0.13726023670248946</v>
      </c>
      <c r="F108" s="44">
        <f t="shared" si="39"/>
        <v>0.13685212896204599</v>
      </c>
      <c r="G108" s="44">
        <f t="shared" si="39"/>
        <v>1.4963950482927493E-3</v>
      </c>
      <c r="H108" s="44">
        <f t="shared" si="39"/>
        <v>0</v>
      </c>
      <c r="I108" s="44">
        <f t="shared" si="39"/>
        <v>2.8839613658005712E-2</v>
      </c>
      <c r="J108" s="44">
        <f t="shared" si="39"/>
        <v>2.2309889810910082E-2</v>
      </c>
      <c r="K108" s="44">
        <f t="shared" si="39"/>
        <v>7.2099034145014281E-3</v>
      </c>
      <c r="L108" s="44">
        <f t="shared" si="39"/>
        <v>8.1621548088695421E-3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1" zoomScale="60" workbookViewId="0">
      <selection activeCell="S22" sqref="S22:AF3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Kisaasi-Ntinda-24h'!D5</f>
        <v>03.08.19</v>
      </c>
      <c r="E5" s="3"/>
      <c r="F5" s="41" t="s">
        <v>1</v>
      </c>
      <c r="G5" s="65" t="str">
        <f>'03.08 Kisaasi-Ntinda-24h'!G5:H5</f>
        <v>Ndere Center</v>
      </c>
      <c r="H5" s="66"/>
      <c r="I5" s="14"/>
      <c r="J5" s="2" t="s">
        <v>5</v>
      </c>
      <c r="K5" s="65" t="s">
        <v>183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Ntinda-Kisaasi'!D6:E6</f>
        <v xml:space="preserve">Ntinda </v>
      </c>
      <c r="E6" s="66"/>
      <c r="F6" s="2" t="s">
        <v>2</v>
      </c>
      <c r="G6" s="65" t="str">
        <f>'29.07 Ntinda-Kisaasi'!G6:H6</f>
        <v>Kisaasi</v>
      </c>
      <c r="H6" s="66"/>
      <c r="J6" s="2" t="s">
        <v>21</v>
      </c>
      <c r="K6" s="65" t="str">
        <f>'03.08 Kisaasi-Ntinda-24h'!K6:L6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30</v>
      </c>
      <c r="D10" s="50">
        <v>10</v>
      </c>
      <c r="E10" s="50">
        <v>10</v>
      </c>
      <c r="F10" s="50">
        <v>15</v>
      </c>
      <c r="G10" s="50">
        <v>0</v>
      </c>
      <c r="H10" s="50">
        <v>0</v>
      </c>
      <c r="I10" s="50">
        <v>3</v>
      </c>
      <c r="J10" s="50">
        <v>1</v>
      </c>
      <c r="K10" s="50">
        <v>0</v>
      </c>
      <c r="L10" s="50">
        <v>0</v>
      </c>
      <c r="M10" s="50">
        <v>50</v>
      </c>
      <c r="N10" s="50">
        <v>0</v>
      </c>
      <c r="O10" s="15">
        <f t="shared" ref="O10:O73" si="0">SUM(C10:L10,N10)</f>
        <v>69</v>
      </c>
      <c r="P10" s="15">
        <f t="shared" ref="P10:P73" si="1">SUM(C10:N10)</f>
        <v>119</v>
      </c>
      <c r="R10" s="1" t="s">
        <v>6</v>
      </c>
      <c r="S10" s="17">
        <f t="shared" ref="S10:AF10" si="2">SUM(C10:C13)</f>
        <v>125</v>
      </c>
      <c r="T10" s="17">
        <f t="shared" si="2"/>
        <v>56</v>
      </c>
      <c r="U10" s="17">
        <f t="shared" si="2"/>
        <v>28</v>
      </c>
      <c r="V10" s="17">
        <f t="shared" si="2"/>
        <v>38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2</v>
      </c>
      <c r="AB10" s="17">
        <f t="shared" si="2"/>
        <v>0</v>
      </c>
      <c r="AC10" s="17">
        <f t="shared" si="2"/>
        <v>212</v>
      </c>
      <c r="AD10" s="17">
        <f t="shared" si="2"/>
        <v>0</v>
      </c>
      <c r="AE10" s="31">
        <f t="shared" si="2"/>
        <v>254</v>
      </c>
      <c r="AF10" s="31">
        <f t="shared" si="2"/>
        <v>466</v>
      </c>
    </row>
    <row r="11" spans="2:32" s="6" customFormat="1" ht="23.1" customHeight="1" x14ac:dyDescent="0.25">
      <c r="B11" s="45" t="s">
        <v>38</v>
      </c>
      <c r="C11" s="50">
        <v>35</v>
      </c>
      <c r="D11" s="50">
        <v>11</v>
      </c>
      <c r="E11" s="50">
        <v>10</v>
      </c>
      <c r="F11" s="50">
        <v>9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45</v>
      </c>
      <c r="N11" s="50">
        <v>0</v>
      </c>
      <c r="O11" s="15">
        <f t="shared" si="0"/>
        <v>65</v>
      </c>
      <c r="P11" s="15">
        <f t="shared" si="1"/>
        <v>110</v>
      </c>
      <c r="R11" s="1" t="s">
        <v>7</v>
      </c>
      <c r="S11" s="17">
        <f t="shared" ref="S11:AF11" si="3">SUM(C14:C17)</f>
        <v>61</v>
      </c>
      <c r="T11" s="17">
        <f t="shared" si="3"/>
        <v>53</v>
      </c>
      <c r="U11" s="17">
        <f t="shared" si="3"/>
        <v>18</v>
      </c>
      <c r="V11" s="17">
        <f t="shared" si="3"/>
        <v>52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215</v>
      </c>
      <c r="AD11" s="17">
        <f t="shared" si="3"/>
        <v>0</v>
      </c>
      <c r="AE11" s="31">
        <f t="shared" si="3"/>
        <v>192</v>
      </c>
      <c r="AF11" s="31">
        <f t="shared" si="3"/>
        <v>407</v>
      </c>
    </row>
    <row r="12" spans="2:32" ht="23.1" customHeight="1" x14ac:dyDescent="0.25">
      <c r="B12" s="45" t="s">
        <v>39</v>
      </c>
      <c r="C12" s="50">
        <v>40</v>
      </c>
      <c r="D12" s="50">
        <v>15</v>
      </c>
      <c r="E12" s="50">
        <v>4</v>
      </c>
      <c r="F12" s="50">
        <v>7</v>
      </c>
      <c r="G12" s="50">
        <v>0</v>
      </c>
      <c r="H12" s="50">
        <v>0</v>
      </c>
      <c r="I12" s="50">
        <v>0</v>
      </c>
      <c r="J12" s="50">
        <v>0</v>
      </c>
      <c r="K12" s="50">
        <v>2</v>
      </c>
      <c r="L12" s="50">
        <v>0</v>
      </c>
      <c r="M12" s="50">
        <v>65</v>
      </c>
      <c r="N12" s="50">
        <v>0</v>
      </c>
      <c r="O12" s="15">
        <f t="shared" si="0"/>
        <v>68</v>
      </c>
      <c r="P12" s="15">
        <f t="shared" si="1"/>
        <v>133</v>
      </c>
      <c r="R12" s="1" t="s">
        <v>8</v>
      </c>
      <c r="S12" s="17">
        <f t="shared" ref="S12:AF12" si="4">SUM(C18:C21)</f>
        <v>77</v>
      </c>
      <c r="T12" s="17">
        <f t="shared" si="4"/>
        <v>48</v>
      </c>
      <c r="U12" s="17">
        <f t="shared" si="4"/>
        <v>32</v>
      </c>
      <c r="V12" s="17">
        <f t="shared" si="4"/>
        <v>75</v>
      </c>
      <c r="W12" s="17">
        <f t="shared" si="4"/>
        <v>0</v>
      </c>
      <c r="X12" s="17">
        <f t="shared" si="4"/>
        <v>0</v>
      </c>
      <c r="Y12" s="17">
        <f t="shared" si="4"/>
        <v>17</v>
      </c>
      <c r="Z12" s="17">
        <f t="shared" si="4"/>
        <v>3</v>
      </c>
      <c r="AA12" s="17">
        <f t="shared" si="4"/>
        <v>0</v>
      </c>
      <c r="AB12" s="17">
        <f t="shared" si="4"/>
        <v>4</v>
      </c>
      <c r="AC12" s="17">
        <f t="shared" si="4"/>
        <v>268</v>
      </c>
      <c r="AD12" s="17">
        <f t="shared" si="4"/>
        <v>0</v>
      </c>
      <c r="AE12" s="31">
        <f t="shared" si="4"/>
        <v>256</v>
      </c>
      <c r="AF12" s="31">
        <f t="shared" si="4"/>
        <v>524</v>
      </c>
    </row>
    <row r="13" spans="2:32" ht="23.1" customHeight="1" x14ac:dyDescent="0.25">
      <c r="B13" s="45" t="s">
        <v>40</v>
      </c>
      <c r="C13" s="50">
        <v>20</v>
      </c>
      <c r="D13" s="50">
        <v>20</v>
      </c>
      <c r="E13" s="50">
        <v>4</v>
      </c>
      <c r="F13" s="50">
        <v>7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52</v>
      </c>
      <c r="N13" s="50">
        <v>0</v>
      </c>
      <c r="O13" s="15">
        <f t="shared" si="0"/>
        <v>52</v>
      </c>
      <c r="P13" s="15">
        <f t="shared" si="1"/>
        <v>104</v>
      </c>
      <c r="R13" s="1" t="s">
        <v>9</v>
      </c>
      <c r="S13" s="17">
        <f t="shared" ref="S13:AF13" si="5">SUM(C22:C25)</f>
        <v>109</v>
      </c>
      <c r="T13" s="17">
        <f t="shared" si="5"/>
        <v>58</v>
      </c>
      <c r="U13" s="17">
        <f t="shared" si="5"/>
        <v>24</v>
      </c>
      <c r="V13" s="17">
        <f t="shared" si="5"/>
        <v>53</v>
      </c>
      <c r="W13" s="17">
        <f t="shared" si="5"/>
        <v>1</v>
      </c>
      <c r="X13" s="17">
        <f t="shared" si="5"/>
        <v>0</v>
      </c>
      <c r="Y13" s="17">
        <f t="shared" si="5"/>
        <v>13</v>
      </c>
      <c r="Z13" s="17">
        <f t="shared" si="5"/>
        <v>6</v>
      </c>
      <c r="AA13" s="17">
        <f t="shared" si="5"/>
        <v>2</v>
      </c>
      <c r="AB13" s="17">
        <f t="shared" si="5"/>
        <v>9</v>
      </c>
      <c r="AC13" s="17">
        <f t="shared" si="5"/>
        <v>303</v>
      </c>
      <c r="AD13" s="17">
        <f t="shared" si="5"/>
        <v>0</v>
      </c>
      <c r="AE13" s="31">
        <f t="shared" si="5"/>
        <v>275</v>
      </c>
      <c r="AF13" s="31">
        <f t="shared" si="5"/>
        <v>578</v>
      </c>
    </row>
    <row r="14" spans="2:32" ht="23.1" customHeight="1" x14ac:dyDescent="0.25">
      <c r="B14" s="45" t="s">
        <v>41</v>
      </c>
      <c r="C14" s="50">
        <v>14</v>
      </c>
      <c r="D14" s="50">
        <v>19</v>
      </c>
      <c r="E14" s="50">
        <v>8</v>
      </c>
      <c r="F14" s="50">
        <v>19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70</v>
      </c>
      <c r="N14" s="50">
        <v>0</v>
      </c>
      <c r="O14" s="15">
        <f t="shared" si="0"/>
        <v>60</v>
      </c>
      <c r="P14" s="15">
        <f t="shared" si="1"/>
        <v>130</v>
      </c>
      <c r="R14" s="1" t="s">
        <v>10</v>
      </c>
      <c r="S14" s="17">
        <f t="shared" ref="S14:AF14" si="6">SUM(C26:C29)</f>
        <v>96</v>
      </c>
      <c r="T14" s="17">
        <f t="shared" si="6"/>
        <v>75</v>
      </c>
      <c r="U14" s="17">
        <f t="shared" si="6"/>
        <v>12</v>
      </c>
      <c r="V14" s="17">
        <f t="shared" si="6"/>
        <v>36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0</v>
      </c>
      <c r="AA14" s="17">
        <f t="shared" si="6"/>
        <v>2</v>
      </c>
      <c r="AB14" s="17">
        <f t="shared" si="6"/>
        <v>7</v>
      </c>
      <c r="AC14" s="17">
        <f t="shared" si="6"/>
        <v>231</v>
      </c>
      <c r="AD14" s="17">
        <f t="shared" si="6"/>
        <v>0</v>
      </c>
      <c r="AE14" s="31">
        <f t="shared" si="6"/>
        <v>238</v>
      </c>
      <c r="AF14" s="31">
        <f t="shared" si="6"/>
        <v>469</v>
      </c>
    </row>
    <row r="15" spans="2:32" ht="23.1" customHeight="1" x14ac:dyDescent="0.25">
      <c r="B15" s="45" t="s">
        <v>42</v>
      </c>
      <c r="C15" s="50">
        <v>10</v>
      </c>
      <c r="D15" s="50">
        <v>11</v>
      </c>
      <c r="E15" s="50">
        <v>1</v>
      </c>
      <c r="F15" s="50">
        <v>6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55</v>
      </c>
      <c r="N15" s="50">
        <v>0</v>
      </c>
      <c r="O15" s="15">
        <f t="shared" si="0"/>
        <v>31</v>
      </c>
      <c r="P15" s="15">
        <f t="shared" si="1"/>
        <v>86</v>
      </c>
      <c r="R15" s="1" t="s">
        <v>11</v>
      </c>
      <c r="S15" s="17">
        <f t="shared" ref="S15:AF15" si="7">SUM(C30:C33)</f>
        <v>165</v>
      </c>
      <c r="T15" s="17">
        <f t="shared" si="7"/>
        <v>89</v>
      </c>
      <c r="U15" s="17">
        <f t="shared" si="7"/>
        <v>27</v>
      </c>
      <c r="V15" s="17">
        <f t="shared" si="7"/>
        <v>43</v>
      </c>
      <c r="W15" s="17">
        <f t="shared" si="7"/>
        <v>0</v>
      </c>
      <c r="X15" s="17">
        <f t="shared" si="7"/>
        <v>0</v>
      </c>
      <c r="Y15" s="17">
        <f t="shared" si="7"/>
        <v>14</v>
      </c>
      <c r="Z15" s="17">
        <f t="shared" si="7"/>
        <v>0</v>
      </c>
      <c r="AA15" s="17">
        <f t="shared" si="7"/>
        <v>4</v>
      </c>
      <c r="AB15" s="17">
        <f t="shared" si="7"/>
        <v>4</v>
      </c>
      <c r="AC15" s="17">
        <f t="shared" si="7"/>
        <v>315</v>
      </c>
      <c r="AD15" s="17">
        <f t="shared" si="7"/>
        <v>0</v>
      </c>
      <c r="AE15" s="31">
        <f t="shared" si="7"/>
        <v>346</v>
      </c>
      <c r="AF15" s="31">
        <f t="shared" si="7"/>
        <v>661</v>
      </c>
    </row>
    <row r="16" spans="2:32" ht="23.1" customHeight="1" x14ac:dyDescent="0.25">
      <c r="B16" s="45" t="s">
        <v>43</v>
      </c>
      <c r="C16" s="50">
        <v>17</v>
      </c>
      <c r="D16" s="50">
        <v>12</v>
      </c>
      <c r="E16" s="50">
        <v>4</v>
      </c>
      <c r="F16" s="50">
        <v>8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45</v>
      </c>
      <c r="N16" s="50">
        <v>0</v>
      </c>
      <c r="O16" s="15">
        <f t="shared" si="0"/>
        <v>43</v>
      </c>
      <c r="P16" s="15">
        <f t="shared" si="1"/>
        <v>88</v>
      </c>
      <c r="R16" s="1" t="s">
        <v>12</v>
      </c>
      <c r="S16" s="17">
        <f t="shared" ref="S16:AF16" si="8">SUM(C34:C37)</f>
        <v>180</v>
      </c>
      <c r="T16" s="17">
        <f t="shared" si="8"/>
        <v>127</v>
      </c>
      <c r="U16" s="17">
        <f t="shared" si="8"/>
        <v>19</v>
      </c>
      <c r="V16" s="17">
        <f t="shared" si="8"/>
        <v>36</v>
      </c>
      <c r="W16" s="17">
        <f t="shared" si="8"/>
        <v>2</v>
      </c>
      <c r="X16" s="17">
        <f t="shared" si="8"/>
        <v>0</v>
      </c>
      <c r="Y16" s="17">
        <f t="shared" si="8"/>
        <v>21</v>
      </c>
      <c r="Z16" s="17">
        <f t="shared" si="8"/>
        <v>6</v>
      </c>
      <c r="AA16" s="17">
        <f t="shared" si="8"/>
        <v>0</v>
      </c>
      <c r="AB16" s="17">
        <f t="shared" si="8"/>
        <v>9</v>
      </c>
      <c r="AC16" s="17">
        <f t="shared" si="8"/>
        <v>340</v>
      </c>
      <c r="AD16" s="17">
        <f t="shared" si="8"/>
        <v>0</v>
      </c>
      <c r="AE16" s="31">
        <f t="shared" si="8"/>
        <v>400</v>
      </c>
      <c r="AF16" s="31">
        <f t="shared" si="8"/>
        <v>740</v>
      </c>
    </row>
    <row r="17" spans="2:32" ht="23.1" customHeight="1" x14ac:dyDescent="0.25">
      <c r="B17" s="45" t="s">
        <v>44</v>
      </c>
      <c r="C17" s="50">
        <v>20</v>
      </c>
      <c r="D17" s="50">
        <v>11</v>
      </c>
      <c r="E17" s="50">
        <v>5</v>
      </c>
      <c r="F17" s="50">
        <v>19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45</v>
      </c>
      <c r="N17" s="50">
        <v>0</v>
      </c>
      <c r="O17" s="15">
        <f t="shared" si="0"/>
        <v>58</v>
      </c>
      <c r="P17" s="15">
        <f t="shared" si="1"/>
        <v>103</v>
      </c>
      <c r="R17" s="1" t="s">
        <v>13</v>
      </c>
      <c r="S17" s="17">
        <f t="shared" ref="S17:AF17" si="9">SUM(C38:C41)</f>
        <v>199</v>
      </c>
      <c r="T17" s="17">
        <f t="shared" si="9"/>
        <v>131</v>
      </c>
      <c r="U17" s="17">
        <f t="shared" si="9"/>
        <v>29</v>
      </c>
      <c r="V17" s="17">
        <f t="shared" si="9"/>
        <v>59</v>
      </c>
      <c r="W17" s="17">
        <f t="shared" si="9"/>
        <v>0</v>
      </c>
      <c r="X17" s="17">
        <f t="shared" si="9"/>
        <v>1</v>
      </c>
      <c r="Y17" s="17">
        <f t="shared" si="9"/>
        <v>11</v>
      </c>
      <c r="Z17" s="17">
        <f t="shared" si="9"/>
        <v>6</v>
      </c>
      <c r="AA17" s="17">
        <f t="shared" si="9"/>
        <v>2</v>
      </c>
      <c r="AB17" s="17">
        <f t="shared" si="9"/>
        <v>7</v>
      </c>
      <c r="AC17" s="17">
        <f t="shared" si="9"/>
        <v>335</v>
      </c>
      <c r="AD17" s="17">
        <f t="shared" si="9"/>
        <v>0</v>
      </c>
      <c r="AE17" s="31">
        <f t="shared" si="9"/>
        <v>445</v>
      </c>
      <c r="AF17" s="31">
        <f t="shared" si="9"/>
        <v>780</v>
      </c>
    </row>
    <row r="18" spans="2:32" ht="23.1" customHeight="1" x14ac:dyDescent="0.25">
      <c r="B18" s="45" t="s">
        <v>45</v>
      </c>
      <c r="C18" s="50">
        <v>22</v>
      </c>
      <c r="D18" s="50">
        <v>14</v>
      </c>
      <c r="E18" s="50">
        <v>10</v>
      </c>
      <c r="F18" s="50">
        <v>18</v>
      </c>
      <c r="G18" s="50">
        <v>0</v>
      </c>
      <c r="H18" s="50">
        <v>0</v>
      </c>
      <c r="I18" s="50">
        <v>8</v>
      </c>
      <c r="J18" s="50">
        <v>2</v>
      </c>
      <c r="K18" s="50">
        <v>0</v>
      </c>
      <c r="L18" s="50">
        <v>0</v>
      </c>
      <c r="M18" s="50">
        <v>70</v>
      </c>
      <c r="N18" s="50">
        <v>0</v>
      </c>
      <c r="O18" s="15">
        <f t="shared" si="0"/>
        <v>74</v>
      </c>
      <c r="P18" s="15">
        <f t="shared" si="1"/>
        <v>144</v>
      </c>
      <c r="R18" s="1" t="s">
        <v>14</v>
      </c>
      <c r="S18" s="17">
        <f t="shared" ref="S18:AF18" si="10">SUM(C42:C45)</f>
        <v>167</v>
      </c>
      <c r="T18" s="17">
        <f t="shared" si="10"/>
        <v>101</v>
      </c>
      <c r="U18" s="17">
        <f t="shared" si="10"/>
        <v>33</v>
      </c>
      <c r="V18" s="17">
        <f t="shared" si="10"/>
        <v>36</v>
      </c>
      <c r="W18" s="17">
        <f t="shared" si="10"/>
        <v>2</v>
      </c>
      <c r="X18" s="17">
        <f t="shared" si="10"/>
        <v>0</v>
      </c>
      <c r="Y18" s="17">
        <f t="shared" si="10"/>
        <v>10</v>
      </c>
      <c r="Z18" s="17">
        <f t="shared" si="10"/>
        <v>4</v>
      </c>
      <c r="AA18" s="17">
        <f t="shared" si="10"/>
        <v>3</v>
      </c>
      <c r="AB18" s="17">
        <f t="shared" si="10"/>
        <v>7</v>
      </c>
      <c r="AC18" s="17">
        <f t="shared" si="10"/>
        <v>334</v>
      </c>
      <c r="AD18" s="17">
        <f t="shared" si="10"/>
        <v>0</v>
      </c>
      <c r="AE18" s="31">
        <f t="shared" si="10"/>
        <v>363</v>
      </c>
      <c r="AF18" s="31">
        <f t="shared" si="10"/>
        <v>697</v>
      </c>
    </row>
    <row r="19" spans="2:32" ht="23.1" customHeight="1" x14ac:dyDescent="0.25">
      <c r="B19" s="45" t="s">
        <v>46</v>
      </c>
      <c r="C19" s="50">
        <v>16</v>
      </c>
      <c r="D19" s="50">
        <v>11</v>
      </c>
      <c r="E19" s="50">
        <v>6</v>
      </c>
      <c r="F19" s="50">
        <v>20</v>
      </c>
      <c r="G19" s="50">
        <v>0</v>
      </c>
      <c r="H19" s="50">
        <v>0</v>
      </c>
      <c r="I19" s="50">
        <v>5</v>
      </c>
      <c r="J19" s="50">
        <v>0</v>
      </c>
      <c r="K19" s="50">
        <v>0</v>
      </c>
      <c r="L19" s="50">
        <v>1</v>
      </c>
      <c r="M19" s="50">
        <v>60</v>
      </c>
      <c r="N19" s="50">
        <v>0</v>
      </c>
      <c r="O19" s="15">
        <f t="shared" si="0"/>
        <v>59</v>
      </c>
      <c r="P19" s="15">
        <f t="shared" si="1"/>
        <v>119</v>
      </c>
      <c r="R19" s="1" t="s">
        <v>15</v>
      </c>
      <c r="S19" s="17">
        <f t="shared" ref="S19:AF19" si="11">SUM(C46:C49)</f>
        <v>189</v>
      </c>
      <c r="T19" s="17">
        <f t="shared" si="11"/>
        <v>79</v>
      </c>
      <c r="U19" s="17">
        <f t="shared" si="11"/>
        <v>26</v>
      </c>
      <c r="V19" s="17">
        <f t="shared" si="11"/>
        <v>44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5</v>
      </c>
      <c r="AA19" s="17">
        <f t="shared" si="11"/>
        <v>4</v>
      </c>
      <c r="AB19" s="17">
        <f t="shared" si="11"/>
        <v>6</v>
      </c>
      <c r="AC19" s="17">
        <f t="shared" si="11"/>
        <v>305</v>
      </c>
      <c r="AD19" s="17">
        <f t="shared" si="11"/>
        <v>0</v>
      </c>
      <c r="AE19" s="31">
        <f t="shared" si="11"/>
        <v>366</v>
      </c>
      <c r="AF19" s="31">
        <f t="shared" si="11"/>
        <v>671</v>
      </c>
    </row>
    <row r="20" spans="2:32" ht="23.1" customHeight="1" x14ac:dyDescent="0.25">
      <c r="B20" s="45" t="s">
        <v>47</v>
      </c>
      <c r="C20" s="50">
        <v>25</v>
      </c>
      <c r="D20" s="50">
        <v>11</v>
      </c>
      <c r="E20" s="50">
        <v>11</v>
      </c>
      <c r="F20" s="50">
        <v>17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3</v>
      </c>
      <c r="M20" s="50">
        <v>55</v>
      </c>
      <c r="N20" s="50">
        <v>0</v>
      </c>
      <c r="O20" s="15">
        <f t="shared" si="0"/>
        <v>71</v>
      </c>
      <c r="P20" s="15">
        <f t="shared" si="1"/>
        <v>126</v>
      </c>
      <c r="R20" s="1" t="s">
        <v>16</v>
      </c>
      <c r="S20" s="17">
        <f t="shared" ref="S20:AF20" si="12">SUM(C50:C53)</f>
        <v>163</v>
      </c>
      <c r="T20" s="17">
        <f t="shared" si="12"/>
        <v>93</v>
      </c>
      <c r="U20" s="17">
        <f t="shared" si="12"/>
        <v>20</v>
      </c>
      <c r="V20" s="17">
        <f t="shared" si="12"/>
        <v>52</v>
      </c>
      <c r="W20" s="17">
        <f t="shared" si="12"/>
        <v>1</v>
      </c>
      <c r="X20" s="17">
        <f t="shared" si="12"/>
        <v>0</v>
      </c>
      <c r="Y20" s="17">
        <f t="shared" si="12"/>
        <v>13</v>
      </c>
      <c r="Z20" s="17">
        <f t="shared" si="12"/>
        <v>3</v>
      </c>
      <c r="AA20" s="17">
        <f t="shared" si="12"/>
        <v>1</v>
      </c>
      <c r="AB20" s="17">
        <f t="shared" si="12"/>
        <v>8</v>
      </c>
      <c r="AC20" s="17">
        <f t="shared" si="12"/>
        <v>285</v>
      </c>
      <c r="AD20" s="17">
        <f t="shared" si="12"/>
        <v>0</v>
      </c>
      <c r="AE20" s="31">
        <f t="shared" si="12"/>
        <v>354</v>
      </c>
      <c r="AF20" s="31">
        <f t="shared" si="12"/>
        <v>639</v>
      </c>
    </row>
    <row r="21" spans="2:32" ht="23.1" customHeight="1" x14ac:dyDescent="0.25">
      <c r="B21" s="45" t="s">
        <v>48</v>
      </c>
      <c r="C21" s="50">
        <v>14</v>
      </c>
      <c r="D21" s="50">
        <v>12</v>
      </c>
      <c r="E21" s="50">
        <v>5</v>
      </c>
      <c r="F21" s="50">
        <v>20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83</v>
      </c>
      <c r="N21" s="50">
        <v>0</v>
      </c>
      <c r="O21" s="15">
        <f t="shared" si="0"/>
        <v>52</v>
      </c>
      <c r="P21" s="15">
        <f t="shared" si="1"/>
        <v>135</v>
      </c>
      <c r="R21" s="36" t="s">
        <v>20</v>
      </c>
      <c r="S21" s="34">
        <f t="shared" ref="S21:AF21" si="13">SUM(C54:C57)</f>
        <v>130</v>
      </c>
      <c r="T21" s="17">
        <f t="shared" si="13"/>
        <v>60</v>
      </c>
      <c r="U21" s="17">
        <f t="shared" si="13"/>
        <v>13</v>
      </c>
      <c r="V21" s="17">
        <f t="shared" si="13"/>
        <v>24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420</v>
      </c>
      <c r="AD21" s="17">
        <f t="shared" si="13"/>
        <v>0</v>
      </c>
      <c r="AE21" s="31">
        <f t="shared" si="13"/>
        <v>235</v>
      </c>
      <c r="AF21" s="31">
        <f t="shared" si="13"/>
        <v>655</v>
      </c>
    </row>
    <row r="22" spans="2:32" ht="23.1" customHeight="1" x14ac:dyDescent="0.25">
      <c r="B22" s="45" t="s">
        <v>49</v>
      </c>
      <c r="C22" s="50">
        <v>25</v>
      </c>
      <c r="D22" s="50">
        <v>12</v>
      </c>
      <c r="E22" s="50">
        <v>5</v>
      </c>
      <c r="F22" s="50">
        <v>13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1</v>
      </c>
      <c r="M22" s="50">
        <v>53</v>
      </c>
      <c r="N22" s="50">
        <v>0</v>
      </c>
      <c r="O22" s="15">
        <f t="shared" si="0"/>
        <v>59</v>
      </c>
      <c r="P22" s="15">
        <f t="shared" si="1"/>
        <v>112</v>
      </c>
      <c r="R22" s="36" t="s">
        <v>146</v>
      </c>
      <c r="S22" s="34">
        <f>SUM(C58:C61)</f>
        <v>159</v>
      </c>
      <c r="T22" s="34">
        <f t="shared" ref="T22:AF22" si="14">SUM(D58:D61)</f>
        <v>110</v>
      </c>
      <c r="U22" s="34">
        <f t="shared" si="14"/>
        <v>20</v>
      </c>
      <c r="V22" s="34">
        <f t="shared" si="14"/>
        <v>36</v>
      </c>
      <c r="W22" s="34">
        <f t="shared" si="14"/>
        <v>0</v>
      </c>
      <c r="X22" s="34">
        <f t="shared" si="14"/>
        <v>0</v>
      </c>
      <c r="Y22" s="34">
        <f t="shared" si="14"/>
        <v>21</v>
      </c>
      <c r="Z22" s="34">
        <f t="shared" si="14"/>
        <v>4</v>
      </c>
      <c r="AA22" s="34">
        <f t="shared" si="14"/>
        <v>3</v>
      </c>
      <c r="AB22" s="34">
        <f t="shared" si="14"/>
        <v>2</v>
      </c>
      <c r="AC22" s="34">
        <f t="shared" si="14"/>
        <v>400</v>
      </c>
      <c r="AD22" s="34">
        <f t="shared" si="14"/>
        <v>0</v>
      </c>
      <c r="AE22" s="31">
        <f t="shared" si="14"/>
        <v>355</v>
      </c>
      <c r="AF22" s="31">
        <f t="shared" si="14"/>
        <v>755</v>
      </c>
    </row>
    <row r="23" spans="2:32" ht="23.1" customHeight="1" x14ac:dyDescent="0.25">
      <c r="B23" s="45" t="s">
        <v>50</v>
      </c>
      <c r="C23" s="50">
        <v>29</v>
      </c>
      <c r="D23" s="50">
        <v>14</v>
      </c>
      <c r="E23" s="50">
        <v>4</v>
      </c>
      <c r="F23" s="50">
        <v>21</v>
      </c>
      <c r="G23" s="50">
        <v>0</v>
      </c>
      <c r="H23" s="50">
        <v>0</v>
      </c>
      <c r="I23" s="50">
        <v>6</v>
      </c>
      <c r="J23" s="50">
        <v>3</v>
      </c>
      <c r="K23" s="50">
        <v>1</v>
      </c>
      <c r="L23" s="50">
        <v>2</v>
      </c>
      <c r="M23" s="50">
        <v>65</v>
      </c>
      <c r="N23" s="50">
        <v>0</v>
      </c>
      <c r="O23" s="15">
        <f t="shared" si="0"/>
        <v>80</v>
      </c>
      <c r="P23" s="15">
        <f t="shared" si="1"/>
        <v>145</v>
      </c>
      <c r="R23" s="36" t="s">
        <v>147</v>
      </c>
      <c r="S23" s="34">
        <f>SUM(C62:C65)</f>
        <v>82</v>
      </c>
      <c r="T23" s="34">
        <f t="shared" ref="T23:AF23" si="15">SUM(D62:D65)</f>
        <v>58</v>
      </c>
      <c r="U23" s="34">
        <f t="shared" si="15"/>
        <v>8</v>
      </c>
      <c r="V23" s="34">
        <f t="shared" si="15"/>
        <v>48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265</v>
      </c>
      <c r="AD23" s="34">
        <f t="shared" si="15"/>
        <v>0</v>
      </c>
      <c r="AE23" s="31">
        <f t="shared" si="15"/>
        <v>202</v>
      </c>
      <c r="AF23" s="31">
        <f t="shared" si="15"/>
        <v>467</v>
      </c>
    </row>
    <row r="24" spans="2:32" ht="23.1" customHeight="1" x14ac:dyDescent="0.25">
      <c r="B24" s="45" t="s">
        <v>51</v>
      </c>
      <c r="C24" s="50">
        <v>33</v>
      </c>
      <c r="D24" s="50">
        <v>18</v>
      </c>
      <c r="E24" s="50">
        <v>7</v>
      </c>
      <c r="F24" s="50">
        <v>15</v>
      </c>
      <c r="G24" s="50">
        <v>1</v>
      </c>
      <c r="H24" s="50">
        <v>0</v>
      </c>
      <c r="I24" s="50">
        <v>5</v>
      </c>
      <c r="J24" s="50">
        <v>1</v>
      </c>
      <c r="K24" s="50">
        <v>0</v>
      </c>
      <c r="L24" s="50">
        <v>4</v>
      </c>
      <c r="M24" s="50">
        <v>110</v>
      </c>
      <c r="N24" s="50">
        <v>0</v>
      </c>
      <c r="O24" s="15">
        <f t="shared" si="0"/>
        <v>84</v>
      </c>
      <c r="P24" s="15">
        <f t="shared" si="1"/>
        <v>194</v>
      </c>
      <c r="R24" s="36" t="s">
        <v>148</v>
      </c>
      <c r="S24" s="34">
        <f>SUM(C66:C69)</f>
        <v>117</v>
      </c>
      <c r="T24" s="34">
        <f t="shared" ref="T24:AF24" si="16">SUM(D66:D69)</f>
        <v>65</v>
      </c>
      <c r="U24" s="34">
        <f t="shared" si="16"/>
        <v>17</v>
      </c>
      <c r="V24" s="34">
        <f t="shared" si="16"/>
        <v>42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0</v>
      </c>
      <c r="AA24" s="34">
        <f t="shared" si="16"/>
        <v>1</v>
      </c>
      <c r="AB24" s="34">
        <f t="shared" si="16"/>
        <v>1</v>
      </c>
      <c r="AC24" s="34">
        <f t="shared" si="16"/>
        <v>196</v>
      </c>
      <c r="AD24" s="34">
        <f t="shared" si="16"/>
        <v>0</v>
      </c>
      <c r="AE24" s="31">
        <f t="shared" si="16"/>
        <v>250</v>
      </c>
      <c r="AF24" s="31">
        <f t="shared" si="16"/>
        <v>446</v>
      </c>
    </row>
    <row r="25" spans="2:32" ht="23.1" customHeight="1" x14ac:dyDescent="0.25">
      <c r="B25" s="45" t="s">
        <v>52</v>
      </c>
      <c r="C25" s="50">
        <v>22</v>
      </c>
      <c r="D25" s="50">
        <v>14</v>
      </c>
      <c r="E25" s="50">
        <v>8</v>
      </c>
      <c r="F25" s="50">
        <v>4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2</v>
      </c>
      <c r="M25" s="50">
        <v>75</v>
      </c>
      <c r="N25" s="50">
        <v>0</v>
      </c>
      <c r="O25" s="15">
        <f t="shared" si="0"/>
        <v>52</v>
      </c>
      <c r="P25" s="15">
        <f t="shared" si="1"/>
        <v>127</v>
      </c>
      <c r="R25" s="36" t="s">
        <v>149</v>
      </c>
      <c r="S25" s="34">
        <f>SUM(C70:C73)</f>
        <v>142</v>
      </c>
      <c r="T25" s="34">
        <f t="shared" ref="T25:AF25" si="17">SUM(D70:D73)</f>
        <v>100</v>
      </c>
      <c r="U25" s="34">
        <f t="shared" si="17"/>
        <v>15</v>
      </c>
      <c r="V25" s="34">
        <f t="shared" si="17"/>
        <v>40</v>
      </c>
      <c r="W25" s="34">
        <f t="shared" si="17"/>
        <v>0</v>
      </c>
      <c r="X25" s="34">
        <f t="shared" si="17"/>
        <v>0</v>
      </c>
      <c r="Y25" s="34">
        <f t="shared" si="17"/>
        <v>9</v>
      </c>
      <c r="Z25" s="34">
        <f t="shared" si="17"/>
        <v>1</v>
      </c>
      <c r="AA25" s="34">
        <f t="shared" si="17"/>
        <v>0</v>
      </c>
      <c r="AB25" s="34">
        <f t="shared" si="17"/>
        <v>1</v>
      </c>
      <c r="AC25" s="34">
        <f t="shared" si="17"/>
        <v>320</v>
      </c>
      <c r="AD25" s="34">
        <f t="shared" si="17"/>
        <v>0</v>
      </c>
      <c r="AE25" s="31">
        <f t="shared" si="17"/>
        <v>308</v>
      </c>
      <c r="AF25" s="31">
        <f t="shared" si="17"/>
        <v>628</v>
      </c>
    </row>
    <row r="26" spans="2:32" ht="23.1" customHeight="1" x14ac:dyDescent="0.25">
      <c r="B26" s="45" t="s">
        <v>53</v>
      </c>
      <c r="C26" s="50">
        <v>20</v>
      </c>
      <c r="D26" s="50">
        <v>23</v>
      </c>
      <c r="E26" s="50">
        <v>4</v>
      </c>
      <c r="F26" s="50">
        <v>11</v>
      </c>
      <c r="G26" s="50">
        <v>0</v>
      </c>
      <c r="H26" s="50">
        <v>0</v>
      </c>
      <c r="I26" s="50">
        <v>4</v>
      </c>
      <c r="J26" s="50">
        <v>0</v>
      </c>
      <c r="K26" s="50">
        <v>1</v>
      </c>
      <c r="L26" s="50">
        <v>0</v>
      </c>
      <c r="M26" s="50">
        <v>50</v>
      </c>
      <c r="N26" s="50">
        <v>0</v>
      </c>
      <c r="O26" s="15">
        <f t="shared" si="0"/>
        <v>63</v>
      </c>
      <c r="P26" s="15">
        <f t="shared" si="1"/>
        <v>113</v>
      </c>
      <c r="R26" s="36" t="s">
        <v>150</v>
      </c>
      <c r="S26" s="34">
        <f>SUM(C74:C77)</f>
        <v>123</v>
      </c>
      <c r="T26" s="34">
        <f t="shared" ref="T26:AF26" si="18">SUM(D74:D77)</f>
        <v>73</v>
      </c>
      <c r="U26" s="34">
        <f t="shared" si="18"/>
        <v>9</v>
      </c>
      <c r="V26" s="34">
        <f t="shared" si="18"/>
        <v>19</v>
      </c>
      <c r="W26" s="34">
        <f t="shared" si="18"/>
        <v>0</v>
      </c>
      <c r="X26" s="34">
        <f t="shared" si="18"/>
        <v>1</v>
      </c>
      <c r="Y26" s="34">
        <f t="shared" si="18"/>
        <v>4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266</v>
      </c>
      <c r="AD26" s="34">
        <f t="shared" si="18"/>
        <v>0</v>
      </c>
      <c r="AE26" s="31">
        <f t="shared" si="18"/>
        <v>231</v>
      </c>
      <c r="AF26" s="31">
        <f t="shared" si="18"/>
        <v>497</v>
      </c>
    </row>
    <row r="27" spans="2:32" ht="23.1" customHeight="1" x14ac:dyDescent="0.25">
      <c r="B27" s="45" t="s">
        <v>54</v>
      </c>
      <c r="C27" s="50">
        <v>24</v>
      </c>
      <c r="D27" s="50">
        <v>13</v>
      </c>
      <c r="E27" s="50">
        <v>1</v>
      </c>
      <c r="F27" s="50">
        <v>5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4</v>
      </c>
      <c r="M27" s="50">
        <v>70</v>
      </c>
      <c r="N27" s="50">
        <v>0</v>
      </c>
      <c r="O27" s="15">
        <f t="shared" si="0"/>
        <v>49</v>
      </c>
      <c r="P27" s="15">
        <f t="shared" si="1"/>
        <v>119</v>
      </c>
      <c r="R27" s="36" t="s">
        <v>151</v>
      </c>
      <c r="S27" s="34">
        <f>SUM(C78:C81)</f>
        <v>108</v>
      </c>
      <c r="T27" s="34">
        <f t="shared" ref="T27:AF27" si="19">SUM(D78:D81)</f>
        <v>46</v>
      </c>
      <c r="U27" s="34">
        <f t="shared" si="19"/>
        <v>10</v>
      </c>
      <c r="V27" s="34">
        <f t="shared" si="19"/>
        <v>17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3</v>
      </c>
      <c r="AA27" s="34">
        <f t="shared" si="19"/>
        <v>0</v>
      </c>
      <c r="AB27" s="34">
        <f t="shared" si="19"/>
        <v>0</v>
      </c>
      <c r="AC27" s="34">
        <f t="shared" si="19"/>
        <v>149</v>
      </c>
      <c r="AD27" s="34">
        <f t="shared" si="19"/>
        <v>0</v>
      </c>
      <c r="AE27" s="31">
        <f t="shared" si="19"/>
        <v>189</v>
      </c>
      <c r="AF27" s="31">
        <f t="shared" si="19"/>
        <v>338</v>
      </c>
    </row>
    <row r="28" spans="2:32" ht="23.1" customHeight="1" x14ac:dyDescent="0.25">
      <c r="B28" s="45" t="s">
        <v>55</v>
      </c>
      <c r="C28" s="50">
        <v>30</v>
      </c>
      <c r="D28" s="50">
        <v>23</v>
      </c>
      <c r="E28" s="50">
        <v>3</v>
      </c>
      <c r="F28" s="50">
        <v>14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2</v>
      </c>
      <c r="M28" s="50">
        <v>51</v>
      </c>
      <c r="N28" s="50">
        <v>0</v>
      </c>
      <c r="O28" s="15">
        <f t="shared" si="0"/>
        <v>75</v>
      </c>
      <c r="P28" s="15">
        <f t="shared" si="1"/>
        <v>126</v>
      </c>
      <c r="R28" s="36" t="s">
        <v>152</v>
      </c>
      <c r="S28" s="34">
        <f>SUM(C82:C85)</f>
        <v>126</v>
      </c>
      <c r="T28" s="34">
        <f t="shared" ref="T28:AF28" si="20">SUM(D82:D85)</f>
        <v>30</v>
      </c>
      <c r="U28" s="34">
        <f t="shared" si="20"/>
        <v>5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128</v>
      </c>
      <c r="AD28" s="34">
        <f t="shared" si="20"/>
        <v>0</v>
      </c>
      <c r="AE28" s="31">
        <f t="shared" si="20"/>
        <v>166</v>
      </c>
      <c r="AF28" s="31">
        <f t="shared" si="20"/>
        <v>294</v>
      </c>
    </row>
    <row r="29" spans="2:32" ht="23.1" customHeight="1" x14ac:dyDescent="0.25">
      <c r="B29" s="45" t="s">
        <v>56</v>
      </c>
      <c r="C29" s="50">
        <v>22</v>
      </c>
      <c r="D29" s="50">
        <v>16</v>
      </c>
      <c r="E29" s="50">
        <v>4</v>
      </c>
      <c r="F29" s="50">
        <v>6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1</v>
      </c>
      <c r="M29" s="50">
        <v>60</v>
      </c>
      <c r="N29" s="50">
        <v>0</v>
      </c>
      <c r="O29" s="15">
        <f t="shared" si="0"/>
        <v>51</v>
      </c>
      <c r="P29" s="15">
        <f t="shared" si="1"/>
        <v>111</v>
      </c>
      <c r="R29" s="36" t="s">
        <v>153</v>
      </c>
      <c r="S29" s="34">
        <f>SUM(C86:C89)</f>
        <v>67</v>
      </c>
      <c r="T29" s="34">
        <f t="shared" ref="T29:AF29" si="21">SUM(D86:D89)</f>
        <v>20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99</v>
      </c>
      <c r="AD29" s="34">
        <f t="shared" si="21"/>
        <v>0</v>
      </c>
      <c r="AE29" s="31">
        <f t="shared" si="21"/>
        <v>92</v>
      </c>
      <c r="AF29" s="31">
        <f t="shared" si="21"/>
        <v>191</v>
      </c>
    </row>
    <row r="30" spans="2:32" ht="23.1" customHeight="1" x14ac:dyDescent="0.25">
      <c r="B30" s="45" t="s">
        <v>57</v>
      </c>
      <c r="C30" s="50">
        <v>42</v>
      </c>
      <c r="D30" s="50">
        <v>27</v>
      </c>
      <c r="E30" s="50">
        <v>8</v>
      </c>
      <c r="F30" s="50">
        <v>21</v>
      </c>
      <c r="G30" s="50">
        <v>0</v>
      </c>
      <c r="H30" s="50">
        <v>0</v>
      </c>
      <c r="I30" s="50">
        <v>6</v>
      </c>
      <c r="J30" s="50">
        <v>0</v>
      </c>
      <c r="K30" s="50">
        <v>4</v>
      </c>
      <c r="L30" s="50">
        <v>1</v>
      </c>
      <c r="M30" s="50">
        <v>75</v>
      </c>
      <c r="N30" s="50">
        <v>0</v>
      </c>
      <c r="O30" s="15">
        <f t="shared" si="0"/>
        <v>109</v>
      </c>
      <c r="P30" s="15">
        <f t="shared" si="1"/>
        <v>184</v>
      </c>
      <c r="R30" s="36" t="s">
        <v>154</v>
      </c>
      <c r="S30" s="34">
        <f>SUM(C90:C93)</f>
        <v>69</v>
      </c>
      <c r="T30" s="34">
        <f t="shared" ref="T30:AF30" si="22">SUM(D90:D93)</f>
        <v>26</v>
      </c>
      <c r="U30" s="34">
        <f t="shared" si="22"/>
        <v>4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0</v>
      </c>
      <c r="AA30" s="34">
        <f t="shared" si="22"/>
        <v>0</v>
      </c>
      <c r="AB30" s="34">
        <f t="shared" si="22"/>
        <v>1</v>
      </c>
      <c r="AC30" s="34">
        <f t="shared" si="22"/>
        <v>72</v>
      </c>
      <c r="AD30" s="34">
        <f t="shared" si="22"/>
        <v>0</v>
      </c>
      <c r="AE30" s="31">
        <f t="shared" si="22"/>
        <v>103</v>
      </c>
      <c r="AF30" s="31">
        <f t="shared" si="22"/>
        <v>175</v>
      </c>
    </row>
    <row r="31" spans="2:32" ht="23.1" customHeight="1" x14ac:dyDescent="0.25">
      <c r="B31" s="46" t="s">
        <v>58</v>
      </c>
      <c r="C31" s="50">
        <v>41</v>
      </c>
      <c r="D31" s="50">
        <v>22</v>
      </c>
      <c r="E31" s="50">
        <v>7</v>
      </c>
      <c r="F31" s="50">
        <v>2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1</v>
      </c>
      <c r="M31" s="50">
        <v>60</v>
      </c>
      <c r="N31" s="50">
        <v>0</v>
      </c>
      <c r="O31" s="15">
        <f t="shared" si="0"/>
        <v>78</v>
      </c>
      <c r="P31" s="15">
        <f t="shared" si="1"/>
        <v>138</v>
      </c>
      <c r="R31" s="36" t="s">
        <v>155</v>
      </c>
      <c r="S31" s="34">
        <f>SUM(C94:C97)</f>
        <v>33</v>
      </c>
      <c r="T31" s="34">
        <f t="shared" ref="T31:AF31" si="23">SUM(D94:D97)</f>
        <v>25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63</v>
      </c>
      <c r="AD31" s="34">
        <f t="shared" si="23"/>
        <v>0</v>
      </c>
      <c r="AE31" s="31">
        <f t="shared" si="23"/>
        <v>62</v>
      </c>
      <c r="AF31" s="31">
        <f t="shared" si="23"/>
        <v>125</v>
      </c>
    </row>
    <row r="32" spans="2:32" ht="23.1" customHeight="1" x14ac:dyDescent="0.25">
      <c r="B32" s="46" t="s">
        <v>59</v>
      </c>
      <c r="C32" s="50">
        <v>47</v>
      </c>
      <c r="D32" s="50">
        <v>20</v>
      </c>
      <c r="E32" s="50">
        <v>10</v>
      </c>
      <c r="F32" s="50">
        <v>15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105</v>
      </c>
      <c r="N32" s="50">
        <v>0</v>
      </c>
      <c r="O32" s="15">
        <f t="shared" si="0"/>
        <v>92</v>
      </c>
      <c r="P32" s="15">
        <f t="shared" si="1"/>
        <v>197</v>
      </c>
      <c r="R32" s="33" t="s">
        <v>156</v>
      </c>
      <c r="S32" s="34">
        <f>SUM(C98:C101)</f>
        <v>53</v>
      </c>
      <c r="T32" s="34">
        <f t="shared" ref="T32:AF32" si="24">SUM(D98:D101)</f>
        <v>17</v>
      </c>
      <c r="U32" s="34">
        <f t="shared" si="24"/>
        <v>1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79</v>
      </c>
      <c r="AD32" s="34">
        <f t="shared" si="24"/>
        <v>0</v>
      </c>
      <c r="AE32" s="31">
        <f t="shared" si="24"/>
        <v>79</v>
      </c>
      <c r="AF32" s="31">
        <f t="shared" si="24"/>
        <v>158</v>
      </c>
    </row>
    <row r="33" spans="2:32" ht="23.1" customHeight="1" x14ac:dyDescent="0.25">
      <c r="B33" s="45" t="s">
        <v>60</v>
      </c>
      <c r="C33" s="50">
        <v>35</v>
      </c>
      <c r="D33" s="50">
        <v>20</v>
      </c>
      <c r="E33" s="50">
        <v>2</v>
      </c>
      <c r="F33" s="50">
        <v>5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2</v>
      </c>
      <c r="M33" s="50">
        <v>75</v>
      </c>
      <c r="N33" s="50">
        <v>0</v>
      </c>
      <c r="O33" s="15">
        <f t="shared" si="0"/>
        <v>67</v>
      </c>
      <c r="P33" s="15">
        <f t="shared" si="1"/>
        <v>142</v>
      </c>
      <c r="R33" s="33" t="s">
        <v>157</v>
      </c>
      <c r="S33" s="34">
        <f>SUM(C102:C105)</f>
        <v>31</v>
      </c>
      <c r="T33" s="34">
        <f t="shared" ref="T33:AF33" si="25">SUM(D102:D105)</f>
        <v>16</v>
      </c>
      <c r="U33" s="34">
        <f t="shared" si="25"/>
        <v>2</v>
      </c>
      <c r="V33" s="34">
        <f t="shared" si="25"/>
        <v>12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1</v>
      </c>
      <c r="AA33" s="34">
        <f t="shared" si="25"/>
        <v>1</v>
      </c>
      <c r="AB33" s="34">
        <f t="shared" si="25"/>
        <v>4</v>
      </c>
      <c r="AC33" s="34">
        <f t="shared" si="25"/>
        <v>98</v>
      </c>
      <c r="AD33" s="34">
        <f t="shared" si="25"/>
        <v>0</v>
      </c>
      <c r="AE33" s="31">
        <f t="shared" si="25"/>
        <v>71</v>
      </c>
      <c r="AF33" s="31">
        <f t="shared" si="25"/>
        <v>169</v>
      </c>
    </row>
    <row r="34" spans="2:32" ht="23.1" customHeight="1" x14ac:dyDescent="0.25">
      <c r="B34" s="46" t="s">
        <v>61</v>
      </c>
      <c r="C34" s="50">
        <v>44</v>
      </c>
      <c r="D34" s="50">
        <v>24</v>
      </c>
      <c r="E34" s="50">
        <v>4</v>
      </c>
      <c r="F34" s="50">
        <v>9</v>
      </c>
      <c r="G34" s="50">
        <v>0</v>
      </c>
      <c r="H34" s="50">
        <v>0</v>
      </c>
      <c r="I34" s="50">
        <v>4</v>
      </c>
      <c r="J34" s="50">
        <v>2</v>
      </c>
      <c r="K34" s="50">
        <v>0</v>
      </c>
      <c r="L34" s="50">
        <v>7</v>
      </c>
      <c r="M34" s="50">
        <v>115</v>
      </c>
      <c r="N34" s="50">
        <v>0</v>
      </c>
      <c r="O34" s="15">
        <f t="shared" si="0"/>
        <v>94</v>
      </c>
      <c r="P34" s="15">
        <f t="shared" si="1"/>
        <v>209</v>
      </c>
      <c r="R34" s="38" t="s">
        <v>90</v>
      </c>
      <c r="S34" s="39">
        <f t="shared" ref="S34:AF34" si="26">MAX(S10:S12)</f>
        <v>125</v>
      </c>
      <c r="T34" s="39">
        <f t="shared" si="26"/>
        <v>56</v>
      </c>
      <c r="U34" s="39">
        <f t="shared" si="26"/>
        <v>32</v>
      </c>
      <c r="V34" s="39">
        <f t="shared" si="26"/>
        <v>75</v>
      </c>
      <c r="W34" s="39">
        <f t="shared" si="26"/>
        <v>0</v>
      </c>
      <c r="X34" s="39">
        <f t="shared" si="26"/>
        <v>0</v>
      </c>
      <c r="Y34" s="39">
        <f t="shared" si="26"/>
        <v>17</v>
      </c>
      <c r="Z34" s="39">
        <f t="shared" si="26"/>
        <v>3</v>
      </c>
      <c r="AA34" s="39">
        <f t="shared" si="26"/>
        <v>2</v>
      </c>
      <c r="AB34" s="39">
        <f t="shared" si="26"/>
        <v>4</v>
      </c>
      <c r="AC34" s="39">
        <f t="shared" si="26"/>
        <v>268</v>
      </c>
      <c r="AD34" s="39">
        <f t="shared" si="26"/>
        <v>0</v>
      </c>
      <c r="AE34" s="40">
        <f t="shared" si="26"/>
        <v>256</v>
      </c>
      <c r="AF34" s="40">
        <f t="shared" si="26"/>
        <v>524</v>
      </c>
    </row>
    <row r="35" spans="2:32" ht="23.1" customHeight="1" x14ac:dyDescent="0.25">
      <c r="B35" s="46" t="s">
        <v>62</v>
      </c>
      <c r="C35" s="50">
        <v>55</v>
      </c>
      <c r="D35" s="50">
        <v>37</v>
      </c>
      <c r="E35" s="50">
        <v>6</v>
      </c>
      <c r="F35" s="50">
        <v>9</v>
      </c>
      <c r="G35" s="50">
        <v>1</v>
      </c>
      <c r="H35" s="50">
        <v>0</v>
      </c>
      <c r="I35" s="50">
        <v>7</v>
      </c>
      <c r="J35" s="50">
        <v>2</v>
      </c>
      <c r="K35" s="50">
        <v>0</v>
      </c>
      <c r="L35" s="50">
        <v>1</v>
      </c>
      <c r="M35" s="50">
        <v>95</v>
      </c>
      <c r="N35" s="50">
        <v>0</v>
      </c>
      <c r="O35" s="15">
        <f t="shared" si="0"/>
        <v>118</v>
      </c>
      <c r="P35" s="15">
        <f t="shared" si="1"/>
        <v>213</v>
      </c>
      <c r="R35" s="38" t="s">
        <v>91</v>
      </c>
      <c r="S35" s="39">
        <f t="shared" ref="S35:AF35" si="27">MAX(S13:S18)</f>
        <v>199</v>
      </c>
      <c r="T35" s="39">
        <f t="shared" si="27"/>
        <v>131</v>
      </c>
      <c r="U35" s="39">
        <f t="shared" si="27"/>
        <v>33</v>
      </c>
      <c r="V35" s="39">
        <f t="shared" si="27"/>
        <v>59</v>
      </c>
      <c r="W35" s="39">
        <f t="shared" si="27"/>
        <v>2</v>
      </c>
      <c r="X35" s="39">
        <f t="shared" si="27"/>
        <v>1</v>
      </c>
      <c r="Y35" s="39">
        <f t="shared" si="27"/>
        <v>21</v>
      </c>
      <c r="Z35" s="39">
        <f t="shared" si="27"/>
        <v>6</v>
      </c>
      <c r="AA35" s="39">
        <f t="shared" si="27"/>
        <v>4</v>
      </c>
      <c r="AB35" s="39">
        <f t="shared" si="27"/>
        <v>9</v>
      </c>
      <c r="AC35" s="39">
        <f t="shared" si="27"/>
        <v>340</v>
      </c>
      <c r="AD35" s="39">
        <f t="shared" si="27"/>
        <v>0</v>
      </c>
      <c r="AE35" s="40">
        <f t="shared" si="27"/>
        <v>445</v>
      </c>
      <c r="AF35" s="40">
        <f t="shared" si="27"/>
        <v>780</v>
      </c>
    </row>
    <row r="36" spans="2:32" ht="23.1" customHeight="1" x14ac:dyDescent="0.25">
      <c r="B36" s="46" t="s">
        <v>63</v>
      </c>
      <c r="C36" s="50">
        <v>40</v>
      </c>
      <c r="D36" s="50">
        <v>33</v>
      </c>
      <c r="E36" s="50">
        <v>3</v>
      </c>
      <c r="F36" s="50">
        <v>12</v>
      </c>
      <c r="G36" s="50">
        <v>1</v>
      </c>
      <c r="H36" s="50">
        <v>0</v>
      </c>
      <c r="I36" s="50">
        <v>6</v>
      </c>
      <c r="J36" s="50">
        <v>1</v>
      </c>
      <c r="K36" s="50">
        <v>0</v>
      </c>
      <c r="L36" s="50">
        <v>1</v>
      </c>
      <c r="M36" s="50">
        <v>55</v>
      </c>
      <c r="N36" s="50">
        <v>0</v>
      </c>
      <c r="O36" s="15">
        <f t="shared" si="0"/>
        <v>97</v>
      </c>
      <c r="P36" s="15">
        <f t="shared" si="1"/>
        <v>152</v>
      </c>
      <c r="R36" s="38" t="s">
        <v>92</v>
      </c>
      <c r="S36" s="39">
        <f t="shared" ref="S36:AF36" si="28">MAX(S19:S21)</f>
        <v>189</v>
      </c>
      <c r="T36" s="39">
        <f t="shared" si="28"/>
        <v>93</v>
      </c>
      <c r="U36" s="39">
        <f t="shared" si="28"/>
        <v>26</v>
      </c>
      <c r="V36" s="39">
        <f t="shared" si="28"/>
        <v>52</v>
      </c>
      <c r="W36" s="39">
        <f t="shared" si="28"/>
        <v>1</v>
      </c>
      <c r="X36" s="39">
        <f t="shared" si="28"/>
        <v>0</v>
      </c>
      <c r="Y36" s="39">
        <f t="shared" si="28"/>
        <v>13</v>
      </c>
      <c r="Z36" s="39">
        <f t="shared" si="28"/>
        <v>5</v>
      </c>
      <c r="AA36" s="39">
        <f t="shared" si="28"/>
        <v>4</v>
      </c>
      <c r="AB36" s="39">
        <f t="shared" si="28"/>
        <v>8</v>
      </c>
      <c r="AC36" s="39">
        <f t="shared" si="28"/>
        <v>420</v>
      </c>
      <c r="AD36" s="39">
        <f t="shared" si="28"/>
        <v>0</v>
      </c>
      <c r="AE36" s="40">
        <f t="shared" si="28"/>
        <v>366</v>
      </c>
      <c r="AF36" s="40">
        <f t="shared" si="28"/>
        <v>671</v>
      </c>
    </row>
    <row r="37" spans="2:32" ht="23.1" customHeight="1" x14ac:dyDescent="0.25">
      <c r="B37" s="45" t="s">
        <v>64</v>
      </c>
      <c r="C37" s="50">
        <v>41</v>
      </c>
      <c r="D37" s="50">
        <v>33</v>
      </c>
      <c r="E37" s="50">
        <v>6</v>
      </c>
      <c r="F37" s="50">
        <v>6</v>
      </c>
      <c r="G37" s="50">
        <v>0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75</v>
      </c>
      <c r="N37" s="50">
        <v>0</v>
      </c>
      <c r="O37" s="15">
        <f t="shared" si="0"/>
        <v>91</v>
      </c>
      <c r="P37" s="15">
        <f t="shared" si="1"/>
        <v>166</v>
      </c>
      <c r="R37" s="37" t="s">
        <v>85</v>
      </c>
      <c r="S37" s="35">
        <f t="shared" ref="S37:AF37" si="29">SUM(S10:S12)</f>
        <v>263</v>
      </c>
      <c r="T37" s="16">
        <f t="shared" si="29"/>
        <v>157</v>
      </c>
      <c r="U37" s="16">
        <f t="shared" si="29"/>
        <v>78</v>
      </c>
      <c r="V37" s="16">
        <f t="shared" si="29"/>
        <v>165</v>
      </c>
      <c r="W37" s="16">
        <f t="shared" si="29"/>
        <v>0</v>
      </c>
      <c r="X37" s="16">
        <f t="shared" si="29"/>
        <v>0</v>
      </c>
      <c r="Y37" s="16">
        <f t="shared" si="29"/>
        <v>27</v>
      </c>
      <c r="Z37" s="16">
        <f t="shared" si="29"/>
        <v>5</v>
      </c>
      <c r="AA37" s="16">
        <f t="shared" si="29"/>
        <v>3</v>
      </c>
      <c r="AB37" s="16">
        <f t="shared" si="29"/>
        <v>4</v>
      </c>
      <c r="AC37" s="16">
        <f t="shared" si="29"/>
        <v>695</v>
      </c>
      <c r="AD37" s="16">
        <f t="shared" si="29"/>
        <v>0</v>
      </c>
      <c r="AE37" s="32">
        <f t="shared" si="29"/>
        <v>702</v>
      </c>
      <c r="AF37" s="32">
        <f t="shared" si="29"/>
        <v>1397</v>
      </c>
    </row>
    <row r="38" spans="2:32" ht="23.1" customHeight="1" x14ac:dyDescent="0.25">
      <c r="B38" s="46" t="s">
        <v>65</v>
      </c>
      <c r="C38" s="50">
        <v>37</v>
      </c>
      <c r="D38" s="50">
        <v>27</v>
      </c>
      <c r="E38" s="50">
        <v>5</v>
      </c>
      <c r="F38" s="50">
        <v>10</v>
      </c>
      <c r="G38" s="50">
        <v>0</v>
      </c>
      <c r="H38" s="50">
        <v>1</v>
      </c>
      <c r="I38" s="50">
        <v>1</v>
      </c>
      <c r="J38" s="50">
        <v>2</v>
      </c>
      <c r="K38" s="50">
        <v>0</v>
      </c>
      <c r="L38" s="50">
        <v>2</v>
      </c>
      <c r="M38" s="50">
        <v>90</v>
      </c>
      <c r="N38" s="50">
        <v>0</v>
      </c>
      <c r="O38" s="15">
        <f t="shared" si="0"/>
        <v>85</v>
      </c>
      <c r="P38" s="15">
        <f t="shared" si="1"/>
        <v>175</v>
      </c>
      <c r="R38" s="28" t="s">
        <v>86</v>
      </c>
      <c r="S38" s="16">
        <f t="shared" ref="S38:AF38" si="30">SUM(S13:S18)</f>
        <v>916</v>
      </c>
      <c r="T38" s="16">
        <f t="shared" si="30"/>
        <v>581</v>
      </c>
      <c r="U38" s="16">
        <f t="shared" si="30"/>
        <v>144</v>
      </c>
      <c r="V38" s="16">
        <f t="shared" si="30"/>
        <v>263</v>
      </c>
      <c r="W38" s="16">
        <f t="shared" si="30"/>
        <v>5</v>
      </c>
      <c r="X38" s="16">
        <f t="shared" si="30"/>
        <v>1</v>
      </c>
      <c r="Y38" s="16">
        <f t="shared" si="30"/>
        <v>79</v>
      </c>
      <c r="Z38" s="16">
        <f t="shared" si="30"/>
        <v>22</v>
      </c>
      <c r="AA38" s="16">
        <f t="shared" si="30"/>
        <v>13</v>
      </c>
      <c r="AB38" s="16">
        <f t="shared" si="30"/>
        <v>43</v>
      </c>
      <c r="AC38" s="16">
        <f t="shared" si="30"/>
        <v>1858</v>
      </c>
      <c r="AD38" s="16">
        <f t="shared" si="30"/>
        <v>0</v>
      </c>
      <c r="AE38" s="32">
        <f t="shared" si="30"/>
        <v>2067</v>
      </c>
      <c r="AF38" s="32">
        <f t="shared" si="30"/>
        <v>3925</v>
      </c>
    </row>
    <row r="39" spans="2:32" ht="23.1" customHeight="1" x14ac:dyDescent="0.25">
      <c r="B39" s="46" t="s">
        <v>66</v>
      </c>
      <c r="C39" s="50">
        <v>45</v>
      </c>
      <c r="D39" s="50">
        <v>37</v>
      </c>
      <c r="E39" s="50">
        <v>9</v>
      </c>
      <c r="F39" s="50">
        <v>15</v>
      </c>
      <c r="G39" s="50">
        <v>0</v>
      </c>
      <c r="H39" s="50">
        <v>0</v>
      </c>
      <c r="I39" s="50">
        <v>4</v>
      </c>
      <c r="J39" s="50">
        <v>0</v>
      </c>
      <c r="K39" s="50">
        <v>1</v>
      </c>
      <c r="L39" s="50">
        <v>0</v>
      </c>
      <c r="M39" s="50">
        <v>80</v>
      </c>
      <c r="N39" s="50">
        <v>0</v>
      </c>
      <c r="O39" s="15">
        <f t="shared" si="0"/>
        <v>111</v>
      </c>
      <c r="P39" s="15">
        <f t="shared" si="1"/>
        <v>191</v>
      </c>
      <c r="R39" s="29" t="s">
        <v>87</v>
      </c>
      <c r="S39" s="16">
        <f t="shared" ref="S39:AF39" si="31">SUM(S19:S21)</f>
        <v>482</v>
      </c>
      <c r="T39" s="16">
        <f t="shared" si="31"/>
        <v>232</v>
      </c>
      <c r="U39" s="16">
        <f t="shared" si="31"/>
        <v>59</v>
      </c>
      <c r="V39" s="16">
        <f t="shared" si="31"/>
        <v>120</v>
      </c>
      <c r="W39" s="16">
        <f t="shared" si="31"/>
        <v>1</v>
      </c>
      <c r="X39" s="16">
        <f t="shared" si="31"/>
        <v>0</v>
      </c>
      <c r="Y39" s="16">
        <f t="shared" si="31"/>
        <v>33</v>
      </c>
      <c r="Z39" s="16">
        <f t="shared" si="31"/>
        <v>9</v>
      </c>
      <c r="AA39" s="16">
        <f t="shared" si="31"/>
        <v>5</v>
      </c>
      <c r="AB39" s="16">
        <f t="shared" si="31"/>
        <v>14</v>
      </c>
      <c r="AC39" s="16">
        <f t="shared" si="31"/>
        <v>1010</v>
      </c>
      <c r="AD39" s="16">
        <f t="shared" si="31"/>
        <v>0</v>
      </c>
      <c r="AE39" s="32">
        <f t="shared" si="31"/>
        <v>955</v>
      </c>
      <c r="AF39" s="32">
        <f t="shared" si="31"/>
        <v>1965</v>
      </c>
    </row>
    <row r="40" spans="2:32" ht="23.1" customHeight="1" x14ac:dyDescent="0.25">
      <c r="B40" s="46" t="s">
        <v>67</v>
      </c>
      <c r="C40" s="50">
        <v>67</v>
      </c>
      <c r="D40" s="50">
        <v>44</v>
      </c>
      <c r="E40" s="50">
        <v>9</v>
      </c>
      <c r="F40" s="50">
        <v>14</v>
      </c>
      <c r="G40" s="50">
        <v>0</v>
      </c>
      <c r="H40" s="50">
        <v>0</v>
      </c>
      <c r="I40" s="50">
        <v>3</v>
      </c>
      <c r="J40" s="50">
        <v>3</v>
      </c>
      <c r="K40" s="50">
        <v>1</v>
      </c>
      <c r="L40" s="50">
        <v>3</v>
      </c>
      <c r="M40" s="50">
        <v>85</v>
      </c>
      <c r="N40" s="50">
        <v>0</v>
      </c>
      <c r="O40" s="15">
        <f t="shared" si="0"/>
        <v>144</v>
      </c>
      <c r="P40" s="15">
        <f t="shared" si="1"/>
        <v>229</v>
      </c>
      <c r="R40" s="5" t="s">
        <v>17</v>
      </c>
      <c r="S40" s="16">
        <f t="shared" ref="S40:AF40" si="32">SUM(S10:S21)</f>
        <v>1661</v>
      </c>
      <c r="T40" s="16">
        <f t="shared" si="32"/>
        <v>970</v>
      </c>
      <c r="U40" s="16">
        <f t="shared" si="32"/>
        <v>281</v>
      </c>
      <c r="V40" s="16">
        <f t="shared" si="32"/>
        <v>548</v>
      </c>
      <c r="W40" s="16">
        <f t="shared" si="32"/>
        <v>6</v>
      </c>
      <c r="X40" s="16">
        <f t="shared" si="32"/>
        <v>1</v>
      </c>
      <c r="Y40" s="16">
        <f t="shared" si="32"/>
        <v>139</v>
      </c>
      <c r="Z40" s="16">
        <f t="shared" si="32"/>
        <v>36</v>
      </c>
      <c r="AA40" s="16">
        <f t="shared" si="32"/>
        <v>21</v>
      </c>
      <c r="AB40" s="16">
        <f t="shared" si="32"/>
        <v>61</v>
      </c>
      <c r="AC40" s="16">
        <f t="shared" si="32"/>
        <v>3563</v>
      </c>
      <c r="AD40" s="16">
        <f t="shared" si="32"/>
        <v>0</v>
      </c>
      <c r="AE40" s="32">
        <f t="shared" si="32"/>
        <v>3724</v>
      </c>
      <c r="AF40" s="32">
        <f t="shared" si="32"/>
        <v>7287</v>
      </c>
    </row>
    <row r="41" spans="2:32" ht="23.1" customHeight="1" x14ac:dyDescent="0.25">
      <c r="B41" s="45" t="s">
        <v>68</v>
      </c>
      <c r="C41" s="50">
        <v>50</v>
      </c>
      <c r="D41" s="50">
        <v>23</v>
      </c>
      <c r="E41" s="50">
        <v>6</v>
      </c>
      <c r="F41" s="50">
        <v>20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2</v>
      </c>
      <c r="M41" s="50">
        <v>80</v>
      </c>
      <c r="N41" s="50">
        <v>0</v>
      </c>
      <c r="O41" s="15">
        <f t="shared" si="0"/>
        <v>105</v>
      </c>
      <c r="P41" s="15">
        <f t="shared" si="1"/>
        <v>185</v>
      </c>
      <c r="R41" s="5" t="s">
        <v>159</v>
      </c>
      <c r="S41" s="16">
        <f>SUM(S10:S33)</f>
        <v>2771</v>
      </c>
      <c r="T41" s="16">
        <f t="shared" ref="T41:AF41" si="33">SUM(T10:T33)</f>
        <v>1556</v>
      </c>
      <c r="U41" s="16">
        <f t="shared" si="33"/>
        <v>377</v>
      </c>
      <c r="V41" s="16">
        <f t="shared" si="33"/>
        <v>768</v>
      </c>
      <c r="W41" s="16">
        <f t="shared" si="33"/>
        <v>6</v>
      </c>
      <c r="X41" s="16">
        <f t="shared" si="33"/>
        <v>2</v>
      </c>
      <c r="Y41" s="16">
        <f t="shared" si="33"/>
        <v>205</v>
      </c>
      <c r="Z41" s="16">
        <f t="shared" si="33"/>
        <v>49</v>
      </c>
      <c r="AA41" s="16">
        <f t="shared" si="33"/>
        <v>27</v>
      </c>
      <c r="AB41" s="16">
        <f t="shared" si="33"/>
        <v>71</v>
      </c>
      <c r="AC41" s="16">
        <f t="shared" si="33"/>
        <v>5698</v>
      </c>
      <c r="AD41" s="16">
        <f t="shared" si="33"/>
        <v>0</v>
      </c>
      <c r="AE41" s="32">
        <f t="shared" si="33"/>
        <v>5832</v>
      </c>
      <c r="AF41" s="32">
        <f t="shared" si="33"/>
        <v>11530</v>
      </c>
    </row>
    <row r="42" spans="2:32" ht="23.1" customHeight="1" x14ac:dyDescent="0.25">
      <c r="B42" s="46" t="s">
        <v>69</v>
      </c>
      <c r="C42" s="50">
        <v>37</v>
      </c>
      <c r="D42" s="50">
        <v>12</v>
      </c>
      <c r="E42" s="50">
        <v>6</v>
      </c>
      <c r="F42" s="50">
        <v>11</v>
      </c>
      <c r="G42" s="50">
        <v>1</v>
      </c>
      <c r="H42" s="50">
        <v>0</v>
      </c>
      <c r="I42" s="50">
        <v>4</v>
      </c>
      <c r="J42" s="50">
        <v>1</v>
      </c>
      <c r="K42" s="50">
        <v>1</v>
      </c>
      <c r="L42" s="50">
        <v>3</v>
      </c>
      <c r="M42" s="50">
        <v>61</v>
      </c>
      <c r="N42" s="50">
        <v>0</v>
      </c>
      <c r="O42" s="15">
        <f t="shared" si="0"/>
        <v>76</v>
      </c>
      <c r="P42" s="15">
        <f t="shared" si="1"/>
        <v>137</v>
      </c>
      <c r="R42" s="5" t="s">
        <v>160</v>
      </c>
      <c r="S42" s="48">
        <f>S41/S40</f>
        <v>1.6682721252257675</v>
      </c>
      <c r="T42" s="48">
        <f t="shared" ref="T42:AF42" si="34">T41/T40</f>
        <v>1.6041237113402063</v>
      </c>
      <c r="U42" s="48">
        <f t="shared" si="34"/>
        <v>1.3416370106761566</v>
      </c>
      <c r="V42" s="48">
        <f t="shared" si="34"/>
        <v>1.4014598540145986</v>
      </c>
      <c r="W42" s="48">
        <f t="shared" si="34"/>
        <v>1</v>
      </c>
      <c r="X42" s="48">
        <f t="shared" si="34"/>
        <v>2</v>
      </c>
      <c r="Y42" s="48">
        <f t="shared" si="34"/>
        <v>1.474820143884892</v>
      </c>
      <c r="Z42" s="48">
        <f t="shared" si="34"/>
        <v>1.3611111111111112</v>
      </c>
      <c r="AA42" s="48">
        <f t="shared" si="34"/>
        <v>1.2857142857142858</v>
      </c>
      <c r="AB42" s="48">
        <f t="shared" si="34"/>
        <v>1.1639344262295082</v>
      </c>
      <c r="AC42" s="48">
        <f t="shared" si="34"/>
        <v>1.5992141453831041</v>
      </c>
      <c r="AD42" s="48" t="e">
        <f t="shared" si="34"/>
        <v>#DIV/0!</v>
      </c>
      <c r="AE42" s="48">
        <f t="shared" si="34"/>
        <v>1.5660580021482278</v>
      </c>
      <c r="AF42" s="48">
        <f t="shared" si="34"/>
        <v>1.5822697955262797</v>
      </c>
    </row>
    <row r="43" spans="2:32" ht="23.1" customHeight="1" x14ac:dyDescent="0.25">
      <c r="B43" s="45" t="s">
        <v>70</v>
      </c>
      <c r="C43" s="50">
        <v>62</v>
      </c>
      <c r="D43" s="50">
        <v>22</v>
      </c>
      <c r="E43" s="50">
        <v>9</v>
      </c>
      <c r="F43" s="50">
        <v>12</v>
      </c>
      <c r="G43" s="50">
        <v>1</v>
      </c>
      <c r="H43" s="50">
        <v>0</v>
      </c>
      <c r="I43" s="50">
        <v>3</v>
      </c>
      <c r="J43" s="50">
        <v>2</v>
      </c>
      <c r="K43" s="50">
        <v>2</v>
      </c>
      <c r="L43" s="50">
        <v>0</v>
      </c>
      <c r="M43" s="50">
        <v>115</v>
      </c>
      <c r="N43" s="50">
        <v>0</v>
      </c>
      <c r="O43" s="15">
        <f t="shared" si="0"/>
        <v>113</v>
      </c>
      <c r="P43" s="15">
        <f t="shared" si="1"/>
        <v>228</v>
      </c>
    </row>
    <row r="44" spans="2:32" ht="23.1" customHeight="1" x14ac:dyDescent="0.25">
      <c r="B44" s="47" t="s">
        <v>71</v>
      </c>
      <c r="C44" s="50">
        <v>45</v>
      </c>
      <c r="D44" s="50">
        <v>48</v>
      </c>
      <c r="E44" s="50">
        <v>13</v>
      </c>
      <c r="F44" s="50">
        <v>9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1</v>
      </c>
      <c r="M44" s="50">
        <v>60</v>
      </c>
      <c r="N44" s="50">
        <v>0</v>
      </c>
      <c r="O44" s="15">
        <f t="shared" si="0"/>
        <v>118</v>
      </c>
      <c r="P44" s="15">
        <f t="shared" si="1"/>
        <v>178</v>
      </c>
    </row>
    <row r="45" spans="2:32" ht="23.1" customHeight="1" x14ac:dyDescent="0.25">
      <c r="B45" s="45" t="s">
        <v>72</v>
      </c>
      <c r="C45" s="50">
        <v>23</v>
      </c>
      <c r="D45" s="50">
        <v>19</v>
      </c>
      <c r="E45" s="50">
        <v>5</v>
      </c>
      <c r="F45" s="50">
        <v>4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3</v>
      </c>
      <c r="M45" s="50">
        <v>98</v>
      </c>
      <c r="N45" s="50">
        <v>0</v>
      </c>
      <c r="O45" s="15">
        <f t="shared" si="0"/>
        <v>56</v>
      </c>
      <c r="P45" s="15">
        <f t="shared" si="1"/>
        <v>154</v>
      </c>
    </row>
    <row r="46" spans="2:32" ht="23.1" customHeight="1" x14ac:dyDescent="0.25">
      <c r="B46" s="46" t="s">
        <v>73</v>
      </c>
      <c r="C46" s="50">
        <v>51</v>
      </c>
      <c r="D46" s="50">
        <v>30</v>
      </c>
      <c r="E46" s="50">
        <v>8</v>
      </c>
      <c r="F46" s="50">
        <v>12</v>
      </c>
      <c r="G46" s="50">
        <v>0</v>
      </c>
      <c r="H46" s="50">
        <v>0</v>
      </c>
      <c r="I46" s="50">
        <v>4</v>
      </c>
      <c r="J46" s="50">
        <v>0</v>
      </c>
      <c r="K46" s="50">
        <v>3</v>
      </c>
      <c r="L46" s="50">
        <v>2</v>
      </c>
      <c r="M46" s="50">
        <v>85</v>
      </c>
      <c r="N46" s="50">
        <v>0</v>
      </c>
      <c r="O46" s="15">
        <f t="shared" si="0"/>
        <v>110</v>
      </c>
      <c r="P46" s="15">
        <f t="shared" si="1"/>
        <v>195</v>
      </c>
      <c r="R46" s="8"/>
      <c r="T46"/>
    </row>
    <row r="47" spans="2:32" ht="23.1" customHeight="1" x14ac:dyDescent="0.25">
      <c r="B47" s="46" t="s">
        <v>74</v>
      </c>
      <c r="C47" s="50">
        <v>49</v>
      </c>
      <c r="D47" s="50">
        <v>13</v>
      </c>
      <c r="E47" s="50">
        <v>8</v>
      </c>
      <c r="F47" s="50">
        <v>14</v>
      </c>
      <c r="G47" s="50">
        <v>0</v>
      </c>
      <c r="H47" s="50">
        <v>0</v>
      </c>
      <c r="I47" s="50">
        <v>4</v>
      </c>
      <c r="J47" s="50">
        <v>2</v>
      </c>
      <c r="K47" s="50">
        <v>1</v>
      </c>
      <c r="L47" s="50">
        <v>1</v>
      </c>
      <c r="M47" s="50">
        <v>90</v>
      </c>
      <c r="N47" s="50">
        <v>0</v>
      </c>
      <c r="O47" s="15">
        <f t="shared" si="0"/>
        <v>92</v>
      </c>
      <c r="P47" s="15">
        <f t="shared" si="1"/>
        <v>182</v>
      </c>
      <c r="R47" s="8"/>
      <c r="T47"/>
    </row>
    <row r="48" spans="2:32" ht="23.1" customHeight="1" x14ac:dyDescent="0.25">
      <c r="B48" s="46" t="s">
        <v>75</v>
      </c>
      <c r="C48" s="50">
        <v>41</v>
      </c>
      <c r="D48" s="50">
        <v>25</v>
      </c>
      <c r="E48" s="50">
        <v>3</v>
      </c>
      <c r="F48" s="50">
        <v>11</v>
      </c>
      <c r="G48" s="50">
        <v>0</v>
      </c>
      <c r="H48" s="50">
        <v>0</v>
      </c>
      <c r="I48" s="50">
        <v>3</v>
      </c>
      <c r="J48" s="50">
        <v>3</v>
      </c>
      <c r="K48" s="50">
        <v>0</v>
      </c>
      <c r="L48" s="50">
        <v>1</v>
      </c>
      <c r="M48" s="50">
        <v>60</v>
      </c>
      <c r="N48" s="50">
        <v>0</v>
      </c>
      <c r="O48" s="15">
        <f t="shared" si="0"/>
        <v>87</v>
      </c>
      <c r="P48" s="15">
        <f t="shared" si="1"/>
        <v>147</v>
      </c>
      <c r="R48" s="8"/>
      <c r="T48"/>
    </row>
    <row r="49" spans="2:20" ht="23.1" customHeight="1" x14ac:dyDescent="0.25">
      <c r="B49" s="45" t="s">
        <v>76</v>
      </c>
      <c r="C49" s="50">
        <v>48</v>
      </c>
      <c r="D49" s="50">
        <v>11</v>
      </c>
      <c r="E49" s="50">
        <v>7</v>
      </c>
      <c r="F49" s="50">
        <v>7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2</v>
      </c>
      <c r="M49" s="50">
        <v>70</v>
      </c>
      <c r="N49" s="50">
        <v>0</v>
      </c>
      <c r="O49" s="15">
        <f t="shared" si="0"/>
        <v>77</v>
      </c>
      <c r="P49" s="15">
        <f t="shared" si="1"/>
        <v>147</v>
      </c>
      <c r="R49" s="8"/>
      <c r="T49"/>
    </row>
    <row r="50" spans="2:20" ht="23.1" customHeight="1" x14ac:dyDescent="0.25">
      <c r="B50" s="46" t="s">
        <v>77</v>
      </c>
      <c r="C50" s="50">
        <v>41</v>
      </c>
      <c r="D50" s="50">
        <v>26</v>
      </c>
      <c r="E50" s="50">
        <v>3</v>
      </c>
      <c r="F50" s="50">
        <v>9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0</v>
      </c>
      <c r="M50" s="50">
        <v>50</v>
      </c>
      <c r="N50" s="50">
        <v>0</v>
      </c>
      <c r="O50" s="15">
        <f t="shared" si="0"/>
        <v>83</v>
      </c>
      <c r="P50" s="15">
        <f t="shared" si="1"/>
        <v>133</v>
      </c>
      <c r="R50" s="8"/>
      <c r="T50"/>
    </row>
    <row r="51" spans="2:20" ht="23.1" customHeight="1" x14ac:dyDescent="0.25">
      <c r="B51" s="46" t="s">
        <v>78</v>
      </c>
      <c r="C51" s="50">
        <v>45</v>
      </c>
      <c r="D51" s="50">
        <v>25</v>
      </c>
      <c r="E51" s="50">
        <v>8</v>
      </c>
      <c r="F51" s="50">
        <v>5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1</v>
      </c>
      <c r="M51" s="50">
        <v>60</v>
      </c>
      <c r="N51" s="50">
        <v>0</v>
      </c>
      <c r="O51" s="15">
        <f t="shared" si="0"/>
        <v>86</v>
      </c>
      <c r="P51" s="15">
        <f t="shared" si="1"/>
        <v>146</v>
      </c>
      <c r="R51" s="8"/>
      <c r="T51"/>
    </row>
    <row r="52" spans="2:20" ht="23.1" customHeight="1" x14ac:dyDescent="0.25">
      <c r="B52" s="46" t="s">
        <v>79</v>
      </c>
      <c r="C52" s="50">
        <v>44</v>
      </c>
      <c r="D52" s="50">
        <v>24</v>
      </c>
      <c r="E52" s="50">
        <v>5</v>
      </c>
      <c r="F52" s="50">
        <v>23</v>
      </c>
      <c r="G52" s="50">
        <v>0</v>
      </c>
      <c r="H52" s="50">
        <v>0</v>
      </c>
      <c r="I52" s="50">
        <v>7</v>
      </c>
      <c r="J52" s="50">
        <v>1</v>
      </c>
      <c r="K52" s="50">
        <v>0</v>
      </c>
      <c r="L52" s="50">
        <v>5</v>
      </c>
      <c r="M52" s="50">
        <v>85</v>
      </c>
      <c r="N52" s="50">
        <v>0</v>
      </c>
      <c r="O52" s="15">
        <f t="shared" si="0"/>
        <v>109</v>
      </c>
      <c r="P52" s="15">
        <f t="shared" si="1"/>
        <v>194</v>
      </c>
      <c r="R52" s="8"/>
      <c r="T52"/>
    </row>
    <row r="53" spans="2:20" ht="23.1" customHeight="1" x14ac:dyDescent="0.25">
      <c r="B53" s="45" t="s">
        <v>80</v>
      </c>
      <c r="C53" s="50">
        <v>33</v>
      </c>
      <c r="D53" s="50">
        <v>18</v>
      </c>
      <c r="E53" s="50">
        <v>4</v>
      </c>
      <c r="F53" s="50">
        <v>15</v>
      </c>
      <c r="G53" s="50">
        <v>1</v>
      </c>
      <c r="H53" s="50">
        <v>0</v>
      </c>
      <c r="I53" s="50">
        <v>2</v>
      </c>
      <c r="J53" s="50">
        <v>1</v>
      </c>
      <c r="K53" s="50">
        <v>0</v>
      </c>
      <c r="L53" s="50">
        <v>2</v>
      </c>
      <c r="M53" s="50">
        <v>90</v>
      </c>
      <c r="N53" s="50">
        <v>0</v>
      </c>
      <c r="O53" s="15">
        <f t="shared" si="0"/>
        <v>76</v>
      </c>
      <c r="P53" s="15">
        <f t="shared" si="1"/>
        <v>166</v>
      </c>
      <c r="R53" s="8"/>
      <c r="T53"/>
    </row>
    <row r="54" spans="2:20" ht="23.1" customHeight="1" x14ac:dyDescent="0.25">
      <c r="B54" s="45" t="s">
        <v>81</v>
      </c>
      <c r="C54" s="50">
        <v>20</v>
      </c>
      <c r="D54" s="50">
        <v>11</v>
      </c>
      <c r="E54" s="50">
        <v>1</v>
      </c>
      <c r="F54" s="50">
        <v>3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110</v>
      </c>
      <c r="N54" s="50">
        <v>0</v>
      </c>
      <c r="O54" s="15">
        <f t="shared" si="0"/>
        <v>38</v>
      </c>
      <c r="P54" s="15">
        <f t="shared" si="1"/>
        <v>148</v>
      </c>
      <c r="R54" s="8"/>
      <c r="T54"/>
    </row>
    <row r="55" spans="2:20" ht="23.1" customHeight="1" x14ac:dyDescent="0.25">
      <c r="B55" s="45" t="s">
        <v>82</v>
      </c>
      <c r="C55" s="50">
        <v>23</v>
      </c>
      <c r="D55" s="50">
        <v>6</v>
      </c>
      <c r="E55" s="50">
        <v>1</v>
      </c>
      <c r="F55" s="50">
        <v>9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40</v>
      </c>
      <c r="P55" s="15">
        <f t="shared" si="1"/>
        <v>165</v>
      </c>
      <c r="R55" s="8"/>
      <c r="T55"/>
    </row>
    <row r="56" spans="2:20" ht="23.1" customHeight="1" x14ac:dyDescent="0.25">
      <c r="B56" s="45" t="s">
        <v>83</v>
      </c>
      <c r="C56" s="50">
        <v>33</v>
      </c>
      <c r="D56" s="50">
        <v>20</v>
      </c>
      <c r="E56" s="50">
        <v>6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75</v>
      </c>
      <c r="N56" s="50">
        <v>0</v>
      </c>
      <c r="O56" s="15">
        <f t="shared" si="0"/>
        <v>60</v>
      </c>
      <c r="P56" s="15">
        <f t="shared" si="1"/>
        <v>135</v>
      </c>
      <c r="R56" s="8"/>
      <c r="T56"/>
    </row>
    <row r="57" spans="2:20" ht="23.1" customHeight="1" x14ac:dyDescent="0.25">
      <c r="B57" s="45" t="s">
        <v>84</v>
      </c>
      <c r="C57" s="50">
        <v>54</v>
      </c>
      <c r="D57" s="50">
        <v>23</v>
      </c>
      <c r="E57" s="50">
        <v>5</v>
      </c>
      <c r="F57" s="50">
        <v>12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110</v>
      </c>
      <c r="N57" s="50">
        <v>0</v>
      </c>
      <c r="O57" s="15">
        <f t="shared" si="0"/>
        <v>97</v>
      </c>
      <c r="P57" s="15">
        <f t="shared" si="1"/>
        <v>207</v>
      </c>
      <c r="R57" s="8"/>
      <c r="T57"/>
    </row>
    <row r="58" spans="2:20" ht="23.1" customHeight="1" x14ac:dyDescent="0.25">
      <c r="B58" s="45" t="s">
        <v>99</v>
      </c>
      <c r="C58" s="50">
        <v>43</v>
      </c>
      <c r="D58" s="50">
        <v>30</v>
      </c>
      <c r="E58" s="50">
        <v>5</v>
      </c>
      <c r="F58" s="50">
        <v>8</v>
      </c>
      <c r="G58" s="50">
        <v>0</v>
      </c>
      <c r="H58" s="50">
        <v>0</v>
      </c>
      <c r="I58" s="50">
        <v>7</v>
      </c>
      <c r="J58" s="50">
        <v>2</v>
      </c>
      <c r="K58" s="50">
        <v>1</v>
      </c>
      <c r="L58" s="50">
        <v>0</v>
      </c>
      <c r="M58" s="50">
        <v>80</v>
      </c>
      <c r="N58" s="50">
        <v>0</v>
      </c>
      <c r="O58" s="15">
        <f t="shared" si="0"/>
        <v>96</v>
      </c>
      <c r="P58" s="15">
        <f t="shared" si="1"/>
        <v>176</v>
      </c>
      <c r="R58" s="8"/>
      <c r="T58"/>
    </row>
    <row r="59" spans="2:20" ht="23.1" customHeight="1" x14ac:dyDescent="0.25">
      <c r="B59" s="45" t="s">
        <v>100</v>
      </c>
      <c r="C59" s="50">
        <v>44</v>
      </c>
      <c r="D59" s="50">
        <v>25</v>
      </c>
      <c r="E59" s="50">
        <v>5</v>
      </c>
      <c r="F59" s="50">
        <v>10</v>
      </c>
      <c r="G59" s="50">
        <v>0</v>
      </c>
      <c r="H59" s="50">
        <v>0</v>
      </c>
      <c r="I59" s="50">
        <v>7</v>
      </c>
      <c r="J59" s="50">
        <v>2</v>
      </c>
      <c r="K59" s="50">
        <v>1</v>
      </c>
      <c r="L59" s="50">
        <v>1</v>
      </c>
      <c r="M59" s="50">
        <v>95</v>
      </c>
      <c r="N59" s="50">
        <v>0</v>
      </c>
      <c r="O59" s="15">
        <f t="shared" si="0"/>
        <v>95</v>
      </c>
      <c r="P59" s="15">
        <f t="shared" si="1"/>
        <v>190</v>
      </c>
      <c r="R59" s="8"/>
      <c r="T59"/>
    </row>
    <row r="60" spans="2:20" ht="23.1" customHeight="1" x14ac:dyDescent="0.25">
      <c r="B60" s="45" t="s">
        <v>101</v>
      </c>
      <c r="C60" s="50">
        <v>33</v>
      </c>
      <c r="D60" s="50">
        <v>18</v>
      </c>
      <c r="E60" s="50">
        <v>4</v>
      </c>
      <c r="F60" s="50">
        <v>7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101</v>
      </c>
      <c r="N60" s="50">
        <v>0</v>
      </c>
      <c r="O60" s="15">
        <f t="shared" si="0"/>
        <v>65</v>
      </c>
      <c r="P60" s="15">
        <f t="shared" si="1"/>
        <v>166</v>
      </c>
      <c r="R60" s="8"/>
      <c r="T60"/>
    </row>
    <row r="61" spans="2:20" ht="23.1" customHeight="1" x14ac:dyDescent="0.25">
      <c r="B61" s="45" t="s">
        <v>102</v>
      </c>
      <c r="C61" s="50">
        <v>39</v>
      </c>
      <c r="D61" s="50">
        <v>37</v>
      </c>
      <c r="E61" s="50">
        <v>6</v>
      </c>
      <c r="F61" s="50">
        <v>11</v>
      </c>
      <c r="G61" s="50">
        <v>0</v>
      </c>
      <c r="H61" s="50">
        <v>0</v>
      </c>
      <c r="I61" s="50">
        <v>4</v>
      </c>
      <c r="J61" s="50">
        <v>0</v>
      </c>
      <c r="K61" s="50">
        <v>1</v>
      </c>
      <c r="L61" s="50">
        <v>1</v>
      </c>
      <c r="M61" s="50">
        <v>124</v>
      </c>
      <c r="N61" s="50">
        <v>0</v>
      </c>
      <c r="O61" s="15">
        <f t="shared" si="0"/>
        <v>99</v>
      </c>
      <c r="P61" s="15">
        <f t="shared" si="1"/>
        <v>223</v>
      </c>
      <c r="R61" s="8"/>
      <c r="T61"/>
    </row>
    <row r="62" spans="2:20" ht="23.1" customHeight="1" x14ac:dyDescent="0.25">
      <c r="B62" s="45" t="s">
        <v>107</v>
      </c>
      <c r="C62" s="50">
        <v>17</v>
      </c>
      <c r="D62" s="50">
        <v>12</v>
      </c>
      <c r="E62" s="50">
        <v>5</v>
      </c>
      <c r="F62" s="50">
        <v>10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75</v>
      </c>
      <c r="N62" s="50">
        <v>0</v>
      </c>
      <c r="O62" s="15">
        <f t="shared" si="0"/>
        <v>45</v>
      </c>
      <c r="P62" s="15">
        <f t="shared" si="1"/>
        <v>120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17</v>
      </c>
      <c r="E63" s="50">
        <v>1</v>
      </c>
      <c r="F63" s="50">
        <v>17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55</v>
      </c>
      <c r="N63" s="50">
        <v>0</v>
      </c>
      <c r="O63" s="15">
        <f t="shared" si="0"/>
        <v>62</v>
      </c>
      <c r="P63" s="15">
        <f t="shared" si="1"/>
        <v>117</v>
      </c>
      <c r="R63" s="8"/>
      <c r="T63"/>
    </row>
    <row r="64" spans="2:20" ht="23.1" customHeight="1" x14ac:dyDescent="0.25">
      <c r="B64" s="45" t="s">
        <v>109</v>
      </c>
      <c r="C64" s="50">
        <v>27</v>
      </c>
      <c r="D64" s="50">
        <v>17</v>
      </c>
      <c r="E64" s="50">
        <v>1</v>
      </c>
      <c r="F64" s="50">
        <v>17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50</v>
      </c>
      <c r="N64" s="50">
        <v>0</v>
      </c>
      <c r="O64" s="15">
        <f t="shared" si="0"/>
        <v>64</v>
      </c>
      <c r="P64" s="15">
        <f t="shared" si="1"/>
        <v>114</v>
      </c>
      <c r="R64" s="8"/>
      <c r="T64"/>
    </row>
    <row r="65" spans="2:20" ht="23.1" customHeight="1" x14ac:dyDescent="0.25">
      <c r="B65" s="45" t="s">
        <v>158</v>
      </c>
      <c r="C65" s="50">
        <v>13</v>
      </c>
      <c r="D65" s="50">
        <v>12</v>
      </c>
      <c r="E65" s="50">
        <v>1</v>
      </c>
      <c r="F65" s="50">
        <v>4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85</v>
      </c>
      <c r="N65" s="50">
        <v>0</v>
      </c>
      <c r="O65" s="15">
        <f t="shared" si="0"/>
        <v>31</v>
      </c>
      <c r="P65" s="15">
        <f t="shared" si="1"/>
        <v>116</v>
      </c>
      <c r="R65" s="8"/>
      <c r="T65"/>
    </row>
    <row r="66" spans="2:20" ht="23.1" customHeight="1" x14ac:dyDescent="0.25">
      <c r="B66" s="45" t="s">
        <v>103</v>
      </c>
      <c r="C66" s="50">
        <v>25</v>
      </c>
      <c r="D66" s="50">
        <v>11</v>
      </c>
      <c r="E66" s="50">
        <v>4</v>
      </c>
      <c r="F66" s="50">
        <v>15</v>
      </c>
      <c r="G66" s="50">
        <v>0</v>
      </c>
      <c r="H66" s="50">
        <v>0</v>
      </c>
      <c r="I66" s="50">
        <v>0</v>
      </c>
      <c r="J66" s="50">
        <v>0</v>
      </c>
      <c r="K66" s="50">
        <v>1</v>
      </c>
      <c r="L66" s="50">
        <v>1</v>
      </c>
      <c r="M66" s="50">
        <v>25</v>
      </c>
      <c r="N66" s="50">
        <v>0</v>
      </c>
      <c r="O66" s="15">
        <f t="shared" si="0"/>
        <v>57</v>
      </c>
      <c r="P66" s="15">
        <f t="shared" si="1"/>
        <v>82</v>
      </c>
      <c r="R66" s="8"/>
      <c r="T66"/>
    </row>
    <row r="67" spans="2:20" ht="23.1" customHeight="1" x14ac:dyDescent="0.25">
      <c r="B67" s="45" t="s">
        <v>104</v>
      </c>
      <c r="C67" s="50">
        <v>30</v>
      </c>
      <c r="D67" s="50">
        <v>19</v>
      </c>
      <c r="E67" s="50">
        <v>5</v>
      </c>
      <c r="F67" s="50">
        <v>10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65</v>
      </c>
      <c r="N67" s="50">
        <v>0</v>
      </c>
      <c r="O67" s="15">
        <f t="shared" si="0"/>
        <v>64</v>
      </c>
      <c r="P67" s="15">
        <f t="shared" si="1"/>
        <v>129</v>
      </c>
      <c r="R67" s="8"/>
      <c r="T67"/>
    </row>
    <row r="68" spans="2:20" ht="23.1" customHeight="1" x14ac:dyDescent="0.25">
      <c r="B68" s="45" t="s">
        <v>105</v>
      </c>
      <c r="C68" s="50">
        <v>27</v>
      </c>
      <c r="D68" s="50">
        <v>19</v>
      </c>
      <c r="E68" s="50">
        <v>3</v>
      </c>
      <c r="F68" s="50">
        <v>8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0</v>
      </c>
      <c r="M68" s="50">
        <v>36</v>
      </c>
      <c r="N68" s="50">
        <v>0</v>
      </c>
      <c r="O68" s="15">
        <f t="shared" si="0"/>
        <v>61</v>
      </c>
      <c r="P68" s="15">
        <f t="shared" si="1"/>
        <v>97</v>
      </c>
      <c r="R68" s="8"/>
      <c r="T68"/>
    </row>
    <row r="69" spans="2:20" ht="23.1" customHeight="1" x14ac:dyDescent="0.25">
      <c r="B69" s="45" t="s">
        <v>106</v>
      </c>
      <c r="C69" s="50">
        <v>35</v>
      </c>
      <c r="D69" s="50">
        <v>16</v>
      </c>
      <c r="E69" s="50">
        <v>5</v>
      </c>
      <c r="F69" s="50">
        <v>9</v>
      </c>
      <c r="G69" s="50">
        <v>0</v>
      </c>
      <c r="H69" s="50">
        <v>0</v>
      </c>
      <c r="I69" s="50">
        <v>3</v>
      </c>
      <c r="J69" s="50">
        <v>0</v>
      </c>
      <c r="K69" s="50">
        <v>0</v>
      </c>
      <c r="L69" s="50">
        <v>0</v>
      </c>
      <c r="M69" s="50">
        <v>70</v>
      </c>
      <c r="N69" s="50">
        <v>0</v>
      </c>
      <c r="O69" s="15">
        <f t="shared" si="0"/>
        <v>68</v>
      </c>
      <c r="P69" s="15">
        <f t="shared" si="1"/>
        <v>138</v>
      </c>
      <c r="R69" s="8"/>
      <c r="T69"/>
    </row>
    <row r="70" spans="2:20" ht="23.1" customHeight="1" x14ac:dyDescent="0.25">
      <c r="B70" s="45" t="s">
        <v>110</v>
      </c>
      <c r="C70" s="50">
        <v>34</v>
      </c>
      <c r="D70" s="50">
        <v>27</v>
      </c>
      <c r="E70" s="50">
        <v>6</v>
      </c>
      <c r="F70" s="50">
        <v>10</v>
      </c>
      <c r="G70" s="50">
        <v>0</v>
      </c>
      <c r="H70" s="50">
        <v>0</v>
      </c>
      <c r="I70" s="50">
        <v>4</v>
      </c>
      <c r="J70" s="50">
        <v>0</v>
      </c>
      <c r="K70" s="50">
        <v>0</v>
      </c>
      <c r="L70" s="50">
        <v>1</v>
      </c>
      <c r="M70" s="50">
        <v>68</v>
      </c>
      <c r="N70" s="50">
        <v>0</v>
      </c>
      <c r="O70" s="15">
        <f t="shared" si="0"/>
        <v>82</v>
      </c>
      <c r="P70" s="15">
        <f t="shared" si="1"/>
        <v>150</v>
      </c>
      <c r="R70" s="8"/>
      <c r="T70"/>
    </row>
    <row r="71" spans="2:20" ht="23.1" customHeight="1" x14ac:dyDescent="0.25">
      <c r="B71" s="45" t="s">
        <v>111</v>
      </c>
      <c r="C71" s="50">
        <v>40</v>
      </c>
      <c r="D71" s="50">
        <v>29</v>
      </c>
      <c r="E71" s="50">
        <v>6</v>
      </c>
      <c r="F71" s="50">
        <v>10</v>
      </c>
      <c r="G71" s="50">
        <v>0</v>
      </c>
      <c r="H71" s="50">
        <v>0</v>
      </c>
      <c r="I71" s="50">
        <v>1</v>
      </c>
      <c r="J71" s="50">
        <v>1</v>
      </c>
      <c r="K71" s="50">
        <v>0</v>
      </c>
      <c r="L71" s="50">
        <v>0</v>
      </c>
      <c r="M71" s="50">
        <v>105</v>
      </c>
      <c r="N71" s="50">
        <v>0</v>
      </c>
      <c r="O71" s="15">
        <f t="shared" si="0"/>
        <v>87</v>
      </c>
      <c r="P71" s="15">
        <f t="shared" si="1"/>
        <v>192</v>
      </c>
      <c r="R71" s="8"/>
      <c r="T71"/>
    </row>
    <row r="72" spans="2:20" ht="23.1" customHeight="1" x14ac:dyDescent="0.25">
      <c r="B72" s="45" t="s">
        <v>112</v>
      </c>
      <c r="C72" s="50">
        <v>19</v>
      </c>
      <c r="D72" s="50">
        <v>7</v>
      </c>
      <c r="E72" s="50">
        <v>1</v>
      </c>
      <c r="F72" s="50">
        <v>9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67</v>
      </c>
      <c r="N72" s="50">
        <v>0</v>
      </c>
      <c r="O72" s="15">
        <f t="shared" si="0"/>
        <v>38</v>
      </c>
      <c r="P72" s="15">
        <f t="shared" si="1"/>
        <v>105</v>
      </c>
      <c r="R72" s="8"/>
      <c r="T72"/>
    </row>
    <row r="73" spans="2:20" ht="23.1" customHeight="1" x14ac:dyDescent="0.25">
      <c r="B73" s="45" t="s">
        <v>113</v>
      </c>
      <c r="C73" s="50">
        <v>49</v>
      </c>
      <c r="D73" s="50">
        <v>37</v>
      </c>
      <c r="E73" s="50">
        <v>2</v>
      </c>
      <c r="F73" s="50">
        <v>11</v>
      </c>
      <c r="G73" s="50">
        <v>0</v>
      </c>
      <c r="H73" s="50">
        <v>0</v>
      </c>
      <c r="I73" s="50">
        <v>2</v>
      </c>
      <c r="J73" s="50">
        <v>0</v>
      </c>
      <c r="K73" s="50">
        <v>0</v>
      </c>
      <c r="L73" s="50">
        <v>0</v>
      </c>
      <c r="M73" s="50">
        <v>80</v>
      </c>
      <c r="N73" s="50">
        <v>0</v>
      </c>
      <c r="O73" s="15">
        <f t="shared" si="0"/>
        <v>101</v>
      </c>
      <c r="P73" s="15">
        <f t="shared" si="1"/>
        <v>181</v>
      </c>
      <c r="R73" s="8"/>
      <c r="T73"/>
    </row>
    <row r="74" spans="2:20" ht="23.1" customHeight="1" x14ac:dyDescent="0.25">
      <c r="B74" s="45" t="s">
        <v>114</v>
      </c>
      <c r="C74" s="50">
        <v>35</v>
      </c>
      <c r="D74" s="50">
        <v>22</v>
      </c>
      <c r="E74" s="50">
        <v>6</v>
      </c>
      <c r="F74" s="50">
        <v>4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63</v>
      </c>
      <c r="N74" s="50">
        <v>0</v>
      </c>
      <c r="O74" s="15">
        <f t="shared" ref="O74:O105" si="35">SUM(C74:L74,N74)</f>
        <v>68</v>
      </c>
      <c r="P74" s="15">
        <f t="shared" ref="P74:P105" si="36">SUM(C74:N74)</f>
        <v>131</v>
      </c>
      <c r="R74" s="8"/>
      <c r="T74"/>
    </row>
    <row r="75" spans="2:20" ht="23.1" customHeight="1" x14ac:dyDescent="0.25">
      <c r="B75" s="45" t="s">
        <v>115</v>
      </c>
      <c r="C75" s="50">
        <v>32</v>
      </c>
      <c r="D75" s="50">
        <v>20</v>
      </c>
      <c r="E75" s="50">
        <v>2</v>
      </c>
      <c r="F75" s="50">
        <v>6</v>
      </c>
      <c r="G75" s="50">
        <v>0</v>
      </c>
      <c r="H75" s="50">
        <v>0</v>
      </c>
      <c r="I75" s="50">
        <v>2</v>
      </c>
      <c r="J75" s="50">
        <v>0</v>
      </c>
      <c r="K75" s="50">
        <v>1</v>
      </c>
      <c r="L75" s="50">
        <v>0</v>
      </c>
      <c r="M75" s="50">
        <v>82</v>
      </c>
      <c r="N75" s="50">
        <v>0</v>
      </c>
      <c r="O75" s="15">
        <f t="shared" si="35"/>
        <v>63</v>
      </c>
      <c r="P75" s="15">
        <f t="shared" si="36"/>
        <v>145</v>
      </c>
      <c r="R75" s="8"/>
      <c r="T75"/>
    </row>
    <row r="76" spans="2:20" ht="23.1" customHeight="1" x14ac:dyDescent="0.25">
      <c r="B76" s="45" t="s">
        <v>116</v>
      </c>
      <c r="C76" s="50">
        <v>30</v>
      </c>
      <c r="D76" s="50">
        <v>15</v>
      </c>
      <c r="E76" s="50">
        <v>0</v>
      </c>
      <c r="F76" s="50">
        <v>6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61</v>
      </c>
      <c r="N76" s="50">
        <v>0</v>
      </c>
      <c r="O76" s="15">
        <f t="shared" si="35"/>
        <v>53</v>
      </c>
      <c r="P76" s="15">
        <f t="shared" si="36"/>
        <v>114</v>
      </c>
      <c r="R76" s="8"/>
      <c r="T76"/>
    </row>
    <row r="77" spans="2:20" ht="23.1" customHeight="1" x14ac:dyDescent="0.25">
      <c r="B77" s="45" t="s">
        <v>117</v>
      </c>
      <c r="C77" s="50">
        <v>26</v>
      </c>
      <c r="D77" s="50">
        <v>16</v>
      </c>
      <c r="E77" s="50">
        <v>1</v>
      </c>
      <c r="F77" s="50">
        <v>3</v>
      </c>
      <c r="G77" s="50">
        <v>0</v>
      </c>
      <c r="H77" s="50">
        <v>1</v>
      </c>
      <c r="I77" s="50">
        <v>0</v>
      </c>
      <c r="J77" s="50">
        <v>0</v>
      </c>
      <c r="K77" s="50">
        <v>0</v>
      </c>
      <c r="L77" s="50">
        <v>0</v>
      </c>
      <c r="M77" s="50">
        <v>60</v>
      </c>
      <c r="N77" s="50">
        <v>0</v>
      </c>
      <c r="O77" s="15">
        <f t="shared" si="35"/>
        <v>47</v>
      </c>
      <c r="P77" s="15">
        <f t="shared" si="36"/>
        <v>107</v>
      </c>
      <c r="R77" s="8"/>
      <c r="T77"/>
    </row>
    <row r="78" spans="2:20" ht="23.1" customHeight="1" x14ac:dyDescent="0.25">
      <c r="B78" s="46" t="s">
        <v>118</v>
      </c>
      <c r="C78" s="50">
        <v>26</v>
      </c>
      <c r="D78" s="50">
        <v>17</v>
      </c>
      <c r="E78" s="50">
        <v>3</v>
      </c>
      <c r="F78" s="50">
        <v>7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47</v>
      </c>
      <c r="N78" s="50">
        <v>0</v>
      </c>
      <c r="O78" s="15">
        <f t="shared" si="35"/>
        <v>55</v>
      </c>
      <c r="P78" s="15">
        <f t="shared" si="36"/>
        <v>102</v>
      </c>
      <c r="R78" s="8"/>
      <c r="T78"/>
    </row>
    <row r="79" spans="2:20" ht="23.1" customHeight="1" x14ac:dyDescent="0.25">
      <c r="B79" s="45" t="s">
        <v>119</v>
      </c>
      <c r="C79" s="50">
        <v>30</v>
      </c>
      <c r="D79" s="50">
        <v>16</v>
      </c>
      <c r="E79" s="50">
        <v>1</v>
      </c>
      <c r="F79" s="50">
        <v>4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38</v>
      </c>
      <c r="N79" s="50">
        <v>0</v>
      </c>
      <c r="O79" s="15">
        <f t="shared" si="35"/>
        <v>52</v>
      </c>
      <c r="P79" s="15">
        <f t="shared" si="36"/>
        <v>90</v>
      </c>
      <c r="R79" s="8"/>
      <c r="T79"/>
    </row>
    <row r="80" spans="2:20" ht="23.1" customHeight="1" x14ac:dyDescent="0.25">
      <c r="B80" s="47" t="s">
        <v>120</v>
      </c>
      <c r="C80" s="50">
        <v>21</v>
      </c>
      <c r="D80" s="50">
        <v>7</v>
      </c>
      <c r="E80" s="50">
        <v>4</v>
      </c>
      <c r="F80" s="50">
        <v>5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0</v>
      </c>
      <c r="M80" s="50">
        <v>32</v>
      </c>
      <c r="N80" s="50">
        <v>0</v>
      </c>
      <c r="O80" s="15">
        <f t="shared" si="35"/>
        <v>39</v>
      </c>
      <c r="P80" s="15">
        <f t="shared" si="36"/>
        <v>71</v>
      </c>
      <c r="R80" s="8"/>
      <c r="T80"/>
    </row>
    <row r="81" spans="2:20" ht="23.1" customHeight="1" x14ac:dyDescent="0.25">
      <c r="B81" s="45" t="s">
        <v>121</v>
      </c>
      <c r="C81" s="50">
        <v>31</v>
      </c>
      <c r="D81" s="50">
        <v>6</v>
      </c>
      <c r="E81" s="50">
        <v>2</v>
      </c>
      <c r="F81" s="50">
        <v>1</v>
      </c>
      <c r="G81" s="50">
        <v>0</v>
      </c>
      <c r="H81" s="50">
        <v>0</v>
      </c>
      <c r="I81" s="50">
        <v>1</v>
      </c>
      <c r="J81" s="50">
        <v>2</v>
      </c>
      <c r="K81" s="50">
        <v>0</v>
      </c>
      <c r="L81" s="50">
        <v>0</v>
      </c>
      <c r="M81" s="50">
        <v>32</v>
      </c>
      <c r="N81" s="50">
        <v>0</v>
      </c>
      <c r="O81" s="15">
        <f t="shared" si="35"/>
        <v>43</v>
      </c>
      <c r="P81" s="15">
        <f t="shared" si="36"/>
        <v>75</v>
      </c>
      <c r="R81" s="8"/>
      <c r="T81"/>
    </row>
    <row r="82" spans="2:20" ht="23.1" customHeight="1" x14ac:dyDescent="0.25">
      <c r="B82" s="46" t="s">
        <v>122</v>
      </c>
      <c r="C82" s="50">
        <v>38</v>
      </c>
      <c r="D82" s="50">
        <v>5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42</v>
      </c>
      <c r="N82" s="50">
        <v>0</v>
      </c>
      <c r="O82" s="15">
        <f t="shared" si="35"/>
        <v>45</v>
      </c>
      <c r="P82" s="15">
        <f t="shared" si="36"/>
        <v>87</v>
      </c>
      <c r="R82" s="8"/>
      <c r="T82"/>
    </row>
    <row r="83" spans="2:20" ht="23.1" customHeight="1" x14ac:dyDescent="0.25">
      <c r="B83" s="45" t="s">
        <v>123</v>
      </c>
      <c r="C83" s="50">
        <v>22</v>
      </c>
      <c r="D83" s="50">
        <v>10</v>
      </c>
      <c r="E83" s="50">
        <v>3</v>
      </c>
      <c r="F83" s="50">
        <v>1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23</v>
      </c>
      <c r="N83" s="50">
        <v>0</v>
      </c>
      <c r="O83" s="15">
        <f t="shared" si="35"/>
        <v>37</v>
      </c>
      <c r="P83" s="15">
        <f t="shared" si="36"/>
        <v>60</v>
      </c>
      <c r="R83" s="8"/>
      <c r="T83"/>
    </row>
    <row r="84" spans="2:20" ht="23.1" customHeight="1" x14ac:dyDescent="0.25">
      <c r="B84" s="47" t="s">
        <v>124</v>
      </c>
      <c r="C84" s="50">
        <v>37</v>
      </c>
      <c r="D84" s="50">
        <v>3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31</v>
      </c>
      <c r="N84" s="50">
        <v>0</v>
      </c>
      <c r="O84" s="15">
        <f t="shared" si="35"/>
        <v>40</v>
      </c>
      <c r="P84" s="15">
        <f t="shared" si="36"/>
        <v>71</v>
      </c>
      <c r="R84" s="8"/>
      <c r="T84"/>
    </row>
    <row r="85" spans="2:20" ht="23.1" customHeight="1" x14ac:dyDescent="0.25">
      <c r="B85" s="45" t="s">
        <v>125</v>
      </c>
      <c r="C85" s="50">
        <v>29</v>
      </c>
      <c r="D85" s="50">
        <v>12</v>
      </c>
      <c r="E85" s="50">
        <v>1</v>
      </c>
      <c r="F85" s="50">
        <v>0</v>
      </c>
      <c r="G85" s="50">
        <v>0</v>
      </c>
      <c r="H85" s="50">
        <v>0</v>
      </c>
      <c r="I85" s="50">
        <v>1</v>
      </c>
      <c r="J85" s="50">
        <v>1</v>
      </c>
      <c r="K85" s="50">
        <v>0</v>
      </c>
      <c r="L85" s="50">
        <v>0</v>
      </c>
      <c r="M85" s="50">
        <v>32</v>
      </c>
      <c r="N85" s="50">
        <v>0</v>
      </c>
      <c r="O85" s="15">
        <f t="shared" si="35"/>
        <v>44</v>
      </c>
      <c r="P85" s="15">
        <f t="shared" si="36"/>
        <v>76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3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11</v>
      </c>
      <c r="N86" s="50">
        <v>0</v>
      </c>
      <c r="O86" s="15">
        <f t="shared" si="35"/>
        <v>17</v>
      </c>
      <c r="P86" s="15">
        <f t="shared" si="36"/>
        <v>28</v>
      </c>
      <c r="R86" s="8"/>
      <c r="T86"/>
    </row>
    <row r="87" spans="2:20" ht="23.1" customHeight="1" x14ac:dyDescent="0.25">
      <c r="B87" s="45" t="s">
        <v>127</v>
      </c>
      <c r="C87" s="50">
        <v>15</v>
      </c>
      <c r="D87" s="50">
        <v>5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0</v>
      </c>
      <c r="M87" s="50">
        <v>32</v>
      </c>
      <c r="N87" s="50">
        <v>0</v>
      </c>
      <c r="O87" s="15">
        <f t="shared" si="35"/>
        <v>22</v>
      </c>
      <c r="P87" s="15">
        <f t="shared" si="36"/>
        <v>54</v>
      </c>
      <c r="R87" s="8"/>
      <c r="T87"/>
    </row>
    <row r="88" spans="2:20" ht="23.1" customHeight="1" x14ac:dyDescent="0.25">
      <c r="B88" s="47" t="s">
        <v>128</v>
      </c>
      <c r="C88" s="50">
        <v>19</v>
      </c>
      <c r="D88" s="50">
        <v>3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27</v>
      </c>
      <c r="N88" s="50">
        <v>0</v>
      </c>
      <c r="O88" s="15">
        <f t="shared" si="35"/>
        <v>23</v>
      </c>
      <c r="P88" s="15">
        <f t="shared" si="36"/>
        <v>50</v>
      </c>
      <c r="R88" s="8"/>
      <c r="T88"/>
    </row>
    <row r="89" spans="2:20" ht="23.1" customHeight="1" x14ac:dyDescent="0.25">
      <c r="B89" s="45" t="s">
        <v>129</v>
      </c>
      <c r="C89" s="50">
        <v>19</v>
      </c>
      <c r="D89" s="50">
        <v>9</v>
      </c>
      <c r="E89" s="50">
        <v>2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29</v>
      </c>
      <c r="N89" s="50">
        <v>0</v>
      </c>
      <c r="O89" s="15">
        <f t="shared" si="35"/>
        <v>30</v>
      </c>
      <c r="P89" s="15">
        <f t="shared" si="36"/>
        <v>59</v>
      </c>
      <c r="R89" s="8"/>
      <c r="T89"/>
    </row>
    <row r="90" spans="2:20" ht="23.1" customHeight="1" x14ac:dyDescent="0.25">
      <c r="B90" s="46" t="s">
        <v>130</v>
      </c>
      <c r="C90" s="50">
        <v>15</v>
      </c>
      <c r="D90" s="50">
        <v>3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19</v>
      </c>
      <c r="P90" s="15">
        <f t="shared" si="36"/>
        <v>38</v>
      </c>
      <c r="R90" s="8"/>
      <c r="T90"/>
    </row>
    <row r="91" spans="2:20" ht="23.1" customHeight="1" x14ac:dyDescent="0.25">
      <c r="B91" s="45" t="s">
        <v>131</v>
      </c>
      <c r="C91" s="50">
        <v>11</v>
      </c>
      <c r="D91" s="50">
        <v>11</v>
      </c>
      <c r="E91" s="50">
        <v>3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29</v>
      </c>
      <c r="N91" s="50">
        <v>0</v>
      </c>
      <c r="O91" s="15">
        <f t="shared" si="35"/>
        <v>26</v>
      </c>
      <c r="P91" s="15">
        <f t="shared" si="36"/>
        <v>55</v>
      </c>
      <c r="R91" s="8"/>
      <c r="T91"/>
    </row>
    <row r="92" spans="2:20" ht="23.1" customHeight="1" x14ac:dyDescent="0.25">
      <c r="B92" s="47" t="s">
        <v>132</v>
      </c>
      <c r="C92" s="50">
        <v>20</v>
      </c>
      <c r="D92" s="50">
        <v>4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7</v>
      </c>
      <c r="N92" s="50">
        <v>0</v>
      </c>
      <c r="O92" s="15">
        <f t="shared" si="35"/>
        <v>25</v>
      </c>
      <c r="P92" s="15">
        <f t="shared" si="36"/>
        <v>32</v>
      </c>
      <c r="R92" s="8"/>
      <c r="T92"/>
    </row>
    <row r="93" spans="2:20" ht="23.1" customHeight="1" x14ac:dyDescent="0.25">
      <c r="B93" s="45" t="s">
        <v>133</v>
      </c>
      <c r="C93" s="50">
        <v>23</v>
      </c>
      <c r="D93" s="50">
        <v>8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1</v>
      </c>
      <c r="M93" s="50">
        <v>17</v>
      </c>
      <c r="N93" s="50">
        <v>0</v>
      </c>
      <c r="O93" s="15">
        <f t="shared" si="35"/>
        <v>33</v>
      </c>
      <c r="P93" s="15">
        <f t="shared" si="36"/>
        <v>50</v>
      </c>
      <c r="R93" s="8"/>
      <c r="T93"/>
    </row>
    <row r="94" spans="2:20" ht="23.1" customHeight="1" x14ac:dyDescent="0.25">
      <c r="B94" s="46" t="s">
        <v>134</v>
      </c>
      <c r="C94" s="50">
        <v>15</v>
      </c>
      <c r="D94" s="50">
        <v>9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24</v>
      </c>
      <c r="N94" s="50">
        <v>0</v>
      </c>
      <c r="O94" s="15">
        <f t="shared" si="35"/>
        <v>25</v>
      </c>
      <c r="P94" s="15">
        <f t="shared" si="36"/>
        <v>49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8</v>
      </c>
      <c r="E95" s="50">
        <v>1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18</v>
      </c>
      <c r="N95" s="50">
        <v>0</v>
      </c>
      <c r="O95" s="15">
        <f t="shared" si="35"/>
        <v>14</v>
      </c>
      <c r="P95" s="15">
        <f t="shared" si="36"/>
        <v>32</v>
      </c>
      <c r="R95" s="8"/>
      <c r="T95"/>
    </row>
    <row r="96" spans="2:20" ht="23.1" customHeight="1" x14ac:dyDescent="0.25">
      <c r="B96" s="47" t="s">
        <v>136</v>
      </c>
      <c r="C96" s="50">
        <v>11</v>
      </c>
      <c r="D96" s="50">
        <v>7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12</v>
      </c>
      <c r="N96" s="50">
        <v>0</v>
      </c>
      <c r="O96" s="15">
        <f t="shared" si="35"/>
        <v>18</v>
      </c>
      <c r="P96" s="15">
        <f t="shared" si="36"/>
        <v>30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9</v>
      </c>
      <c r="N97" s="50">
        <v>0</v>
      </c>
      <c r="O97" s="15">
        <f t="shared" si="35"/>
        <v>5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14</v>
      </c>
      <c r="D98" s="50">
        <v>4</v>
      </c>
      <c r="E98" s="50">
        <v>0</v>
      </c>
      <c r="F98" s="50">
        <v>2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22</v>
      </c>
      <c r="N98" s="50">
        <v>0</v>
      </c>
      <c r="O98" s="15">
        <f t="shared" si="35"/>
        <v>21</v>
      </c>
      <c r="P98" s="15">
        <f t="shared" si="36"/>
        <v>43</v>
      </c>
      <c r="R98" s="8"/>
      <c r="T98"/>
    </row>
    <row r="99" spans="2:20" ht="23.1" customHeight="1" x14ac:dyDescent="0.25">
      <c r="B99" s="45" t="s">
        <v>139</v>
      </c>
      <c r="C99" s="50">
        <v>14</v>
      </c>
      <c r="D99" s="50">
        <v>2</v>
      </c>
      <c r="E99" s="50">
        <v>0</v>
      </c>
      <c r="F99" s="50">
        <v>2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19</v>
      </c>
      <c r="N99" s="50">
        <v>0</v>
      </c>
      <c r="O99" s="15">
        <f t="shared" si="35"/>
        <v>19</v>
      </c>
      <c r="P99" s="15">
        <f t="shared" si="36"/>
        <v>38</v>
      </c>
      <c r="R99" s="8"/>
      <c r="T99"/>
    </row>
    <row r="100" spans="2:20" ht="23.1" customHeight="1" x14ac:dyDescent="0.25">
      <c r="B100" s="47" t="s">
        <v>140</v>
      </c>
      <c r="C100" s="50">
        <v>14</v>
      </c>
      <c r="D100" s="50">
        <v>8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22</v>
      </c>
      <c r="N100" s="50">
        <v>0</v>
      </c>
      <c r="O100" s="15">
        <f t="shared" si="35"/>
        <v>23</v>
      </c>
      <c r="P100" s="15">
        <f t="shared" si="36"/>
        <v>45</v>
      </c>
      <c r="R100" s="8"/>
      <c r="T100"/>
    </row>
    <row r="101" spans="2:20" ht="23.1" customHeight="1" x14ac:dyDescent="0.25">
      <c r="B101" s="45" t="s">
        <v>141</v>
      </c>
      <c r="C101" s="50">
        <v>11</v>
      </c>
      <c r="D101" s="50">
        <v>3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16</v>
      </c>
      <c r="N101" s="50">
        <v>0</v>
      </c>
      <c r="O101" s="15">
        <f t="shared" si="35"/>
        <v>16</v>
      </c>
      <c r="P101" s="15">
        <f t="shared" si="36"/>
        <v>32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2</v>
      </c>
      <c r="E102" s="50">
        <v>0</v>
      </c>
      <c r="F102" s="50">
        <v>2</v>
      </c>
      <c r="G102" s="50">
        <v>0</v>
      </c>
      <c r="H102" s="50">
        <v>0</v>
      </c>
      <c r="I102" s="50">
        <v>2</v>
      </c>
      <c r="J102" s="50">
        <v>1</v>
      </c>
      <c r="K102" s="50">
        <v>0</v>
      </c>
      <c r="L102" s="50">
        <v>0</v>
      </c>
      <c r="M102" s="50">
        <v>17</v>
      </c>
      <c r="N102" s="50">
        <v>0</v>
      </c>
      <c r="O102" s="15">
        <f t="shared" si="35"/>
        <v>11</v>
      </c>
      <c r="P102" s="15">
        <f t="shared" si="36"/>
        <v>28</v>
      </c>
      <c r="R102" s="8"/>
      <c r="T102"/>
    </row>
    <row r="103" spans="2:20" ht="23.1" customHeight="1" x14ac:dyDescent="0.25">
      <c r="B103" s="45" t="s">
        <v>143</v>
      </c>
      <c r="C103" s="50">
        <v>10</v>
      </c>
      <c r="D103" s="50">
        <v>6</v>
      </c>
      <c r="E103" s="50">
        <v>0</v>
      </c>
      <c r="F103" s="50">
        <v>4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2</v>
      </c>
      <c r="M103" s="50">
        <v>33</v>
      </c>
      <c r="N103" s="50">
        <v>0</v>
      </c>
      <c r="O103" s="15">
        <f t="shared" si="35"/>
        <v>23</v>
      </c>
      <c r="P103" s="15">
        <f t="shared" si="36"/>
        <v>56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4</v>
      </c>
      <c r="E104" s="50">
        <v>1</v>
      </c>
      <c r="F104" s="50">
        <v>3</v>
      </c>
      <c r="G104" s="50">
        <v>0</v>
      </c>
      <c r="H104" s="50">
        <v>0</v>
      </c>
      <c r="I104" s="50">
        <v>1</v>
      </c>
      <c r="J104" s="50">
        <v>0</v>
      </c>
      <c r="K104" s="50">
        <v>1</v>
      </c>
      <c r="L104" s="50">
        <v>0</v>
      </c>
      <c r="M104" s="50">
        <v>23</v>
      </c>
      <c r="N104" s="50">
        <v>0</v>
      </c>
      <c r="O104" s="15">
        <f t="shared" si="35"/>
        <v>18</v>
      </c>
      <c r="P104" s="15">
        <f t="shared" si="36"/>
        <v>41</v>
      </c>
      <c r="R104" s="8"/>
      <c r="T104"/>
    </row>
    <row r="105" spans="2:20" ht="23.1" customHeight="1" x14ac:dyDescent="0.25">
      <c r="B105" s="45" t="s">
        <v>145</v>
      </c>
      <c r="C105" s="50">
        <v>9</v>
      </c>
      <c r="D105" s="50">
        <v>4</v>
      </c>
      <c r="E105" s="50">
        <v>1</v>
      </c>
      <c r="F105" s="50">
        <v>3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2</v>
      </c>
      <c r="M105" s="50">
        <v>25</v>
      </c>
      <c r="N105" s="50">
        <v>0</v>
      </c>
      <c r="O105" s="15">
        <f t="shared" si="35"/>
        <v>19</v>
      </c>
      <c r="P105" s="15">
        <f t="shared" si="36"/>
        <v>44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2771</v>
      </c>
      <c r="D106" s="16">
        <f t="shared" ref="D106:P106" si="37">SUM(D10:D105)</f>
        <v>1556</v>
      </c>
      <c r="E106" s="16">
        <f t="shared" si="37"/>
        <v>377</v>
      </c>
      <c r="F106" s="16">
        <f t="shared" si="37"/>
        <v>768</v>
      </c>
      <c r="G106" s="16">
        <f t="shared" si="37"/>
        <v>6</v>
      </c>
      <c r="H106" s="16">
        <f t="shared" si="37"/>
        <v>2</v>
      </c>
      <c r="I106" s="16">
        <f t="shared" si="37"/>
        <v>205</v>
      </c>
      <c r="J106" s="16">
        <f t="shared" si="37"/>
        <v>49</v>
      </c>
      <c r="K106" s="16">
        <f t="shared" si="37"/>
        <v>27</v>
      </c>
      <c r="L106" s="16">
        <f t="shared" si="37"/>
        <v>71</v>
      </c>
      <c r="M106" s="16">
        <f t="shared" si="37"/>
        <v>5698</v>
      </c>
      <c r="N106" s="16">
        <f t="shared" si="37"/>
        <v>0</v>
      </c>
      <c r="O106" s="16">
        <f t="shared" si="37"/>
        <v>5832</v>
      </c>
      <c r="P106" s="16">
        <f t="shared" si="37"/>
        <v>11530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0.24032957502168256</v>
      </c>
      <c r="D107" s="43">
        <f t="shared" si="38"/>
        <v>0.13495229835212488</v>
      </c>
      <c r="E107" s="43">
        <f t="shared" si="38"/>
        <v>3.2697311361665218E-2</v>
      </c>
      <c r="F107" s="43">
        <f t="shared" si="38"/>
        <v>6.6608846487424114E-2</v>
      </c>
      <c r="G107" s="43">
        <f t="shared" si="38"/>
        <v>5.2038161318300089E-4</v>
      </c>
      <c r="H107" s="43">
        <f t="shared" si="38"/>
        <v>1.7346053772766696E-4</v>
      </c>
      <c r="I107" s="43">
        <f t="shared" si="38"/>
        <v>1.7779705117085862E-2</v>
      </c>
      <c r="J107" s="43">
        <f t="shared" si="38"/>
        <v>4.2497831743278404E-3</v>
      </c>
      <c r="K107" s="43">
        <f t="shared" si="38"/>
        <v>2.3417172593235037E-3</v>
      </c>
      <c r="L107" s="43">
        <f t="shared" si="38"/>
        <v>6.157849089332177E-3</v>
      </c>
      <c r="M107" s="43">
        <f t="shared" si="38"/>
        <v>0.49418907198612316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0.47513717421124829</v>
      </c>
      <c r="D108" s="44">
        <f t="shared" ref="D108:N108" si="39">D106/$O$106</f>
        <v>0.26680384087791498</v>
      </c>
      <c r="E108" s="44">
        <f t="shared" si="39"/>
        <v>6.464334705075446E-2</v>
      </c>
      <c r="F108" s="44">
        <f t="shared" si="39"/>
        <v>0.13168724279835392</v>
      </c>
      <c r="G108" s="44">
        <f t="shared" si="39"/>
        <v>1.02880658436214E-3</v>
      </c>
      <c r="H108" s="44">
        <f t="shared" si="39"/>
        <v>3.4293552812071328E-4</v>
      </c>
      <c r="I108" s="44">
        <f t="shared" si="39"/>
        <v>3.5150891632373116E-2</v>
      </c>
      <c r="J108" s="44">
        <f t="shared" si="39"/>
        <v>8.4019204389574765E-3</v>
      </c>
      <c r="K108" s="44">
        <f t="shared" si="39"/>
        <v>4.6296296296296294E-3</v>
      </c>
      <c r="L108" s="44">
        <f t="shared" si="39"/>
        <v>1.2174211248285322E-2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9" zoomScale="60" workbookViewId="0">
      <selection activeCell="I37" sqref="I3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Kisaasi-Ntinda'!C3:G3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184</v>
      </c>
      <c r="E5" s="3"/>
      <c r="F5" s="41" t="s">
        <v>1</v>
      </c>
      <c r="G5" s="65" t="str">
        <f>'03.08 Ntinda-Kisaasi-24h'!G5:H5</f>
        <v>Ndere Center</v>
      </c>
      <c r="H5" s="66"/>
      <c r="I5" s="14"/>
      <c r="J5" s="2" t="s">
        <v>5</v>
      </c>
      <c r="K5" s="65" t="s">
        <v>185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Kisaasi-Ntinda'!D6:E6</f>
        <v>Kisaasi</v>
      </c>
      <c r="E6" s="66"/>
      <c r="F6" s="2" t="s">
        <v>2</v>
      </c>
      <c r="G6" s="65" t="str">
        <f>'29.07 Kisaasi-Ntinda'!G6:H6</f>
        <v>Ntinda</v>
      </c>
      <c r="H6" s="66"/>
      <c r="J6" s="2" t="s">
        <v>21</v>
      </c>
      <c r="K6" s="65" t="str">
        <f>'03.08 Ntinda-Kisaasi-24h'!K6:L6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</v>
      </c>
      <c r="D10" s="50">
        <v>13</v>
      </c>
      <c r="E10" s="50">
        <v>4</v>
      </c>
      <c r="F10" s="50">
        <v>8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42</v>
      </c>
      <c r="N10" s="50">
        <v>0</v>
      </c>
      <c r="O10" s="15">
        <f t="shared" ref="O10:O57" si="0">SUM(C10:L10,N10)</f>
        <v>39</v>
      </c>
      <c r="P10" s="15">
        <f t="shared" ref="P10:P57" si="1">SUM(C10:N10)</f>
        <v>81</v>
      </c>
      <c r="R10" s="1" t="s">
        <v>6</v>
      </c>
      <c r="S10" s="17">
        <f t="shared" ref="S10:AF10" si="2">SUM(C10:C13)</f>
        <v>91</v>
      </c>
      <c r="T10" s="17">
        <f t="shared" si="2"/>
        <v>79</v>
      </c>
      <c r="U10" s="17">
        <f t="shared" si="2"/>
        <v>22</v>
      </c>
      <c r="V10" s="17">
        <f t="shared" si="2"/>
        <v>40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327</v>
      </c>
      <c r="AD10" s="17">
        <f t="shared" si="2"/>
        <v>0</v>
      </c>
      <c r="AE10" s="31">
        <f t="shared" si="2"/>
        <v>242</v>
      </c>
      <c r="AF10" s="31">
        <f t="shared" si="2"/>
        <v>569</v>
      </c>
    </row>
    <row r="11" spans="2:32" s="6" customFormat="1" ht="23.1" customHeight="1" x14ac:dyDescent="0.25">
      <c r="B11" s="23" t="s">
        <v>38</v>
      </c>
      <c r="C11" s="50">
        <v>25</v>
      </c>
      <c r="D11" s="50">
        <v>17</v>
      </c>
      <c r="E11" s="50">
        <v>10</v>
      </c>
      <c r="F11" s="50">
        <v>11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75</v>
      </c>
      <c r="N11" s="50">
        <v>0</v>
      </c>
      <c r="O11" s="15">
        <f t="shared" si="0"/>
        <v>64</v>
      </c>
      <c r="P11" s="15">
        <f t="shared" si="1"/>
        <v>139</v>
      </c>
      <c r="R11" s="1" t="s">
        <v>7</v>
      </c>
      <c r="S11" s="17">
        <f t="shared" ref="S11:AF11" si="3">SUM(C14:C17)</f>
        <v>76</v>
      </c>
      <c r="T11" s="17">
        <f t="shared" si="3"/>
        <v>66</v>
      </c>
      <c r="U11" s="17">
        <f t="shared" si="3"/>
        <v>27</v>
      </c>
      <c r="V11" s="17">
        <f t="shared" si="3"/>
        <v>56</v>
      </c>
      <c r="W11" s="17">
        <f t="shared" si="3"/>
        <v>1</v>
      </c>
      <c r="X11" s="17">
        <f t="shared" si="3"/>
        <v>0</v>
      </c>
      <c r="Y11" s="17">
        <f t="shared" si="3"/>
        <v>6</v>
      </c>
      <c r="Z11" s="17">
        <f t="shared" si="3"/>
        <v>6</v>
      </c>
      <c r="AA11" s="17">
        <f t="shared" si="3"/>
        <v>1</v>
      </c>
      <c r="AB11" s="17">
        <f t="shared" si="3"/>
        <v>0</v>
      </c>
      <c r="AC11" s="17">
        <f t="shared" si="3"/>
        <v>335</v>
      </c>
      <c r="AD11" s="17">
        <f t="shared" si="3"/>
        <v>0</v>
      </c>
      <c r="AE11" s="31">
        <f t="shared" si="3"/>
        <v>239</v>
      </c>
      <c r="AF11" s="31">
        <f t="shared" si="3"/>
        <v>574</v>
      </c>
    </row>
    <row r="12" spans="2:32" ht="23.1" customHeight="1" x14ac:dyDescent="0.25">
      <c r="B12" s="23" t="s">
        <v>39</v>
      </c>
      <c r="C12" s="50">
        <v>23</v>
      </c>
      <c r="D12" s="50">
        <v>18</v>
      </c>
      <c r="E12" s="50">
        <v>3</v>
      </c>
      <c r="F12" s="50">
        <v>8</v>
      </c>
      <c r="G12" s="50">
        <v>0</v>
      </c>
      <c r="H12" s="50">
        <v>0</v>
      </c>
      <c r="I12" s="50">
        <v>3</v>
      </c>
      <c r="J12" s="50">
        <v>4</v>
      </c>
      <c r="K12" s="50">
        <v>0</v>
      </c>
      <c r="L12" s="50">
        <v>0</v>
      </c>
      <c r="M12" s="50">
        <v>100</v>
      </c>
      <c r="N12" s="50">
        <v>0</v>
      </c>
      <c r="O12" s="15">
        <f t="shared" si="0"/>
        <v>59</v>
      </c>
      <c r="P12" s="15">
        <f t="shared" si="1"/>
        <v>159</v>
      </c>
      <c r="R12" s="1" t="s">
        <v>8</v>
      </c>
      <c r="S12" s="17">
        <f t="shared" ref="S12:AF12" si="4">SUM(C18:C21)</f>
        <v>131</v>
      </c>
      <c r="T12" s="17">
        <f t="shared" si="4"/>
        <v>153</v>
      </c>
      <c r="U12" s="17">
        <f t="shared" si="4"/>
        <v>31</v>
      </c>
      <c r="V12" s="17">
        <f t="shared" si="4"/>
        <v>63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12</v>
      </c>
      <c r="AA12" s="17">
        <f t="shared" si="4"/>
        <v>3</v>
      </c>
      <c r="AB12" s="17">
        <f t="shared" si="4"/>
        <v>1</v>
      </c>
      <c r="AC12" s="17">
        <f t="shared" si="4"/>
        <v>420</v>
      </c>
      <c r="AD12" s="17">
        <f t="shared" si="4"/>
        <v>1</v>
      </c>
      <c r="AE12" s="31">
        <f t="shared" si="4"/>
        <v>405</v>
      </c>
      <c r="AF12" s="31">
        <f t="shared" si="4"/>
        <v>825</v>
      </c>
    </row>
    <row r="13" spans="2:32" ht="23.1" customHeight="1" x14ac:dyDescent="0.25">
      <c r="B13" s="23" t="s">
        <v>40</v>
      </c>
      <c r="C13" s="50">
        <v>30</v>
      </c>
      <c r="D13" s="50">
        <v>31</v>
      </c>
      <c r="E13" s="50">
        <v>5</v>
      </c>
      <c r="F13" s="50">
        <v>13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110</v>
      </c>
      <c r="N13" s="50">
        <v>0</v>
      </c>
      <c r="O13" s="15">
        <f t="shared" si="0"/>
        <v>80</v>
      </c>
      <c r="P13" s="15">
        <f t="shared" si="1"/>
        <v>190</v>
      </c>
      <c r="R13" s="1" t="s">
        <v>9</v>
      </c>
      <c r="S13" s="17">
        <f t="shared" ref="S13:AF13" si="5">SUM(C22:C25)</f>
        <v>155</v>
      </c>
      <c r="T13" s="17">
        <f t="shared" si="5"/>
        <v>155</v>
      </c>
      <c r="U13" s="17">
        <f t="shared" si="5"/>
        <v>83</v>
      </c>
      <c r="V13" s="17">
        <f t="shared" si="5"/>
        <v>84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1</v>
      </c>
      <c r="AB13" s="17">
        <f t="shared" si="5"/>
        <v>1</v>
      </c>
      <c r="AC13" s="17">
        <f t="shared" si="5"/>
        <v>349</v>
      </c>
      <c r="AD13" s="17">
        <f t="shared" si="5"/>
        <v>0</v>
      </c>
      <c r="AE13" s="31">
        <f t="shared" si="5"/>
        <v>484</v>
      </c>
      <c r="AF13" s="31">
        <f t="shared" si="5"/>
        <v>833</v>
      </c>
    </row>
    <row r="14" spans="2:32" ht="23.1" customHeight="1" x14ac:dyDescent="0.25">
      <c r="B14" s="23" t="s">
        <v>41</v>
      </c>
      <c r="C14" s="50">
        <v>21</v>
      </c>
      <c r="D14" s="50">
        <v>22</v>
      </c>
      <c r="E14" s="50">
        <v>5</v>
      </c>
      <c r="F14" s="50">
        <v>18</v>
      </c>
      <c r="G14" s="50">
        <v>1</v>
      </c>
      <c r="H14" s="50">
        <v>0</v>
      </c>
      <c r="I14" s="50">
        <v>0</v>
      </c>
      <c r="J14" s="50">
        <v>3</v>
      </c>
      <c r="K14" s="50">
        <v>0</v>
      </c>
      <c r="L14" s="50">
        <v>0</v>
      </c>
      <c r="M14" s="50">
        <v>98</v>
      </c>
      <c r="N14" s="50">
        <v>0</v>
      </c>
      <c r="O14" s="15">
        <f t="shared" si="0"/>
        <v>70</v>
      </c>
      <c r="P14" s="15">
        <f t="shared" si="1"/>
        <v>168</v>
      </c>
      <c r="R14" s="1" t="s">
        <v>10</v>
      </c>
      <c r="S14" s="17">
        <f t="shared" ref="S14:AF14" si="6">SUM(C26:C29)</f>
        <v>192</v>
      </c>
      <c r="T14" s="17">
        <f t="shared" si="6"/>
        <v>218</v>
      </c>
      <c r="U14" s="17">
        <f t="shared" si="6"/>
        <v>47</v>
      </c>
      <c r="V14" s="17">
        <f t="shared" si="6"/>
        <v>56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4</v>
      </c>
      <c r="AA14" s="17">
        <f t="shared" si="6"/>
        <v>2</v>
      </c>
      <c r="AB14" s="17">
        <f t="shared" si="6"/>
        <v>2</v>
      </c>
      <c r="AC14" s="17">
        <f t="shared" si="6"/>
        <v>398</v>
      </c>
      <c r="AD14" s="17">
        <f t="shared" si="6"/>
        <v>0</v>
      </c>
      <c r="AE14" s="31">
        <f t="shared" si="6"/>
        <v>529</v>
      </c>
      <c r="AF14" s="31">
        <f t="shared" si="6"/>
        <v>927</v>
      </c>
    </row>
    <row r="15" spans="2:32" ht="23.1" customHeight="1" x14ac:dyDescent="0.25">
      <c r="B15" s="23" t="s">
        <v>42</v>
      </c>
      <c r="C15" s="50">
        <v>20</v>
      </c>
      <c r="D15" s="50">
        <v>15</v>
      </c>
      <c r="E15" s="50">
        <v>10</v>
      </c>
      <c r="F15" s="50">
        <v>15</v>
      </c>
      <c r="G15" s="50">
        <v>0</v>
      </c>
      <c r="H15" s="50">
        <v>0</v>
      </c>
      <c r="I15" s="50">
        <v>3</v>
      </c>
      <c r="J15" s="50">
        <v>0</v>
      </c>
      <c r="K15" s="50">
        <v>1</v>
      </c>
      <c r="L15" s="50">
        <v>0</v>
      </c>
      <c r="M15" s="50">
        <v>92</v>
      </c>
      <c r="N15" s="50">
        <v>0</v>
      </c>
      <c r="O15" s="15">
        <f t="shared" si="0"/>
        <v>64</v>
      </c>
      <c r="P15" s="15">
        <f t="shared" si="1"/>
        <v>156</v>
      </c>
      <c r="R15" s="1" t="s">
        <v>11</v>
      </c>
      <c r="S15" s="17">
        <f t="shared" ref="S15:AF15" si="7">SUM(C30:C33)</f>
        <v>199</v>
      </c>
      <c r="T15" s="17">
        <f t="shared" si="7"/>
        <v>200</v>
      </c>
      <c r="U15" s="17">
        <f t="shared" si="7"/>
        <v>63</v>
      </c>
      <c r="V15" s="17">
        <f t="shared" si="7"/>
        <v>99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11</v>
      </c>
      <c r="AA15" s="17">
        <f t="shared" si="7"/>
        <v>1</v>
      </c>
      <c r="AB15" s="17">
        <f t="shared" si="7"/>
        <v>3</v>
      </c>
      <c r="AC15" s="17">
        <f t="shared" si="7"/>
        <v>436</v>
      </c>
      <c r="AD15" s="17">
        <f t="shared" si="7"/>
        <v>0</v>
      </c>
      <c r="AE15" s="31">
        <f t="shared" si="7"/>
        <v>586</v>
      </c>
      <c r="AF15" s="31">
        <f t="shared" si="7"/>
        <v>1022</v>
      </c>
    </row>
    <row r="16" spans="2:32" ht="23.1" customHeight="1" x14ac:dyDescent="0.25">
      <c r="B16" s="23" t="s">
        <v>43</v>
      </c>
      <c r="C16" s="50">
        <v>18</v>
      </c>
      <c r="D16" s="50">
        <v>16</v>
      </c>
      <c r="E16" s="50">
        <v>6</v>
      </c>
      <c r="F16" s="50">
        <v>9</v>
      </c>
      <c r="G16" s="50">
        <v>0</v>
      </c>
      <c r="H16" s="50">
        <v>0</v>
      </c>
      <c r="I16" s="50">
        <v>2</v>
      </c>
      <c r="J16" s="50">
        <v>3</v>
      </c>
      <c r="K16" s="50">
        <v>0</v>
      </c>
      <c r="L16" s="50">
        <v>0</v>
      </c>
      <c r="M16" s="50">
        <v>75</v>
      </c>
      <c r="N16" s="50">
        <v>0</v>
      </c>
      <c r="O16" s="15">
        <f t="shared" si="0"/>
        <v>54</v>
      </c>
      <c r="P16" s="15">
        <f t="shared" si="1"/>
        <v>129</v>
      </c>
      <c r="R16" s="1" t="s">
        <v>12</v>
      </c>
      <c r="S16" s="17">
        <f t="shared" ref="S16:AF16" si="8">SUM(C34:C37)</f>
        <v>107</v>
      </c>
      <c r="T16" s="17">
        <f t="shared" si="8"/>
        <v>91</v>
      </c>
      <c r="U16" s="17">
        <f t="shared" si="8"/>
        <v>21</v>
      </c>
      <c r="V16" s="17">
        <f t="shared" si="8"/>
        <v>42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15</v>
      </c>
      <c r="AA16" s="17">
        <f t="shared" si="8"/>
        <v>0</v>
      </c>
      <c r="AB16" s="17">
        <f t="shared" si="8"/>
        <v>4</v>
      </c>
      <c r="AC16" s="17">
        <f t="shared" si="8"/>
        <v>354</v>
      </c>
      <c r="AD16" s="17">
        <f t="shared" si="8"/>
        <v>0</v>
      </c>
      <c r="AE16" s="31">
        <f t="shared" si="8"/>
        <v>294</v>
      </c>
      <c r="AF16" s="31">
        <f t="shared" si="8"/>
        <v>648</v>
      </c>
    </row>
    <row r="17" spans="2:32" ht="23.1" customHeight="1" x14ac:dyDescent="0.25">
      <c r="B17" s="23" t="s">
        <v>44</v>
      </c>
      <c r="C17" s="50">
        <v>17</v>
      </c>
      <c r="D17" s="50">
        <v>13</v>
      </c>
      <c r="E17" s="50">
        <v>6</v>
      </c>
      <c r="F17" s="50">
        <v>14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70</v>
      </c>
      <c r="N17" s="50">
        <v>0</v>
      </c>
      <c r="O17" s="15">
        <f t="shared" si="0"/>
        <v>51</v>
      </c>
      <c r="P17" s="15">
        <f t="shared" si="1"/>
        <v>121</v>
      </c>
      <c r="R17" s="1" t="s">
        <v>13</v>
      </c>
      <c r="S17" s="17">
        <f t="shared" ref="S17:AF17" si="9">SUM(C38:C41)</f>
        <v>146</v>
      </c>
      <c r="T17" s="17">
        <f t="shared" si="9"/>
        <v>134</v>
      </c>
      <c r="U17" s="17">
        <f t="shared" si="9"/>
        <v>38</v>
      </c>
      <c r="V17" s="17">
        <f t="shared" si="9"/>
        <v>50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11</v>
      </c>
      <c r="AA17" s="17">
        <f t="shared" si="9"/>
        <v>3</v>
      </c>
      <c r="AB17" s="17">
        <f t="shared" si="9"/>
        <v>2</v>
      </c>
      <c r="AC17" s="17">
        <f t="shared" si="9"/>
        <v>285</v>
      </c>
      <c r="AD17" s="17">
        <f t="shared" si="9"/>
        <v>0</v>
      </c>
      <c r="AE17" s="31">
        <f t="shared" si="9"/>
        <v>394</v>
      </c>
      <c r="AF17" s="31">
        <f t="shared" si="9"/>
        <v>679</v>
      </c>
    </row>
    <row r="18" spans="2:32" ht="23.1" customHeight="1" x14ac:dyDescent="0.25">
      <c r="B18" s="23" t="s">
        <v>45</v>
      </c>
      <c r="C18" s="50">
        <v>33</v>
      </c>
      <c r="D18" s="50">
        <v>38</v>
      </c>
      <c r="E18" s="50">
        <v>8</v>
      </c>
      <c r="F18" s="50">
        <v>15</v>
      </c>
      <c r="G18" s="50">
        <v>0</v>
      </c>
      <c r="H18" s="50">
        <v>0</v>
      </c>
      <c r="I18" s="50">
        <v>4</v>
      </c>
      <c r="J18" s="50">
        <v>4</v>
      </c>
      <c r="K18" s="50">
        <v>0</v>
      </c>
      <c r="L18" s="50">
        <v>0</v>
      </c>
      <c r="M18" s="50">
        <v>141</v>
      </c>
      <c r="N18" s="50">
        <v>0</v>
      </c>
      <c r="O18" s="15">
        <f t="shared" si="0"/>
        <v>102</v>
      </c>
      <c r="P18" s="15">
        <f t="shared" si="1"/>
        <v>243</v>
      </c>
      <c r="R18" s="1" t="s">
        <v>14</v>
      </c>
      <c r="S18" s="17">
        <f t="shared" ref="S18:AF18" si="10">SUM(C42:C45)</f>
        <v>122</v>
      </c>
      <c r="T18" s="17">
        <f t="shared" si="10"/>
        <v>104</v>
      </c>
      <c r="U18" s="17">
        <f t="shared" si="10"/>
        <v>38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10</v>
      </c>
      <c r="AA18" s="17">
        <f t="shared" si="10"/>
        <v>0</v>
      </c>
      <c r="AB18" s="17">
        <f t="shared" si="10"/>
        <v>1</v>
      </c>
      <c r="AC18" s="17">
        <f t="shared" si="10"/>
        <v>265</v>
      </c>
      <c r="AD18" s="17">
        <f t="shared" si="10"/>
        <v>0</v>
      </c>
      <c r="AE18" s="31">
        <f t="shared" si="10"/>
        <v>330</v>
      </c>
      <c r="AF18" s="31">
        <f t="shared" si="10"/>
        <v>595</v>
      </c>
    </row>
    <row r="19" spans="2:32" ht="23.1" customHeight="1" x14ac:dyDescent="0.25">
      <c r="B19" s="23" t="s">
        <v>46</v>
      </c>
      <c r="C19" s="50">
        <v>23</v>
      </c>
      <c r="D19" s="50">
        <v>20</v>
      </c>
      <c r="E19" s="50">
        <v>4</v>
      </c>
      <c r="F19" s="50">
        <v>12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1</v>
      </c>
      <c r="M19" s="50">
        <v>83</v>
      </c>
      <c r="N19" s="50">
        <v>0</v>
      </c>
      <c r="O19" s="15">
        <f t="shared" si="0"/>
        <v>62</v>
      </c>
      <c r="P19" s="15">
        <f t="shared" si="1"/>
        <v>145</v>
      </c>
      <c r="R19" s="1" t="s">
        <v>15</v>
      </c>
      <c r="S19" s="17">
        <f t="shared" ref="S19:AF19" si="11">SUM(C46:C49)</f>
        <v>108</v>
      </c>
      <c r="T19" s="17">
        <f t="shared" si="11"/>
        <v>115</v>
      </c>
      <c r="U19" s="17">
        <f t="shared" si="11"/>
        <v>47</v>
      </c>
      <c r="V19" s="17">
        <f t="shared" si="11"/>
        <v>44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4</v>
      </c>
      <c r="AA19" s="17">
        <f t="shared" si="11"/>
        <v>0</v>
      </c>
      <c r="AB19" s="17">
        <f t="shared" si="11"/>
        <v>3</v>
      </c>
      <c r="AC19" s="17">
        <f t="shared" si="11"/>
        <v>264</v>
      </c>
      <c r="AD19" s="17">
        <f t="shared" si="11"/>
        <v>0</v>
      </c>
      <c r="AE19" s="31">
        <f t="shared" si="11"/>
        <v>325</v>
      </c>
      <c r="AF19" s="31">
        <f t="shared" si="11"/>
        <v>589</v>
      </c>
    </row>
    <row r="20" spans="2:32" ht="23.1" customHeight="1" x14ac:dyDescent="0.25">
      <c r="B20" s="23" t="s">
        <v>47</v>
      </c>
      <c r="C20" s="50">
        <v>40</v>
      </c>
      <c r="D20" s="50">
        <v>50</v>
      </c>
      <c r="E20" s="50">
        <v>8</v>
      </c>
      <c r="F20" s="50">
        <v>18</v>
      </c>
      <c r="G20" s="50">
        <v>0</v>
      </c>
      <c r="H20" s="50">
        <v>0</v>
      </c>
      <c r="I20" s="50">
        <v>3</v>
      </c>
      <c r="J20" s="50">
        <v>3</v>
      </c>
      <c r="K20" s="50">
        <v>1</v>
      </c>
      <c r="L20" s="50">
        <v>0</v>
      </c>
      <c r="M20" s="50">
        <v>96</v>
      </c>
      <c r="N20" s="50">
        <v>1</v>
      </c>
      <c r="O20" s="15">
        <f t="shared" si="0"/>
        <v>124</v>
      </c>
      <c r="P20" s="15">
        <f t="shared" si="1"/>
        <v>220</v>
      </c>
      <c r="R20" s="1" t="s">
        <v>16</v>
      </c>
      <c r="S20" s="17">
        <f t="shared" ref="S20:AF20" si="12">SUM(C50:C53)</f>
        <v>115</v>
      </c>
      <c r="T20" s="17">
        <f t="shared" si="12"/>
        <v>124</v>
      </c>
      <c r="U20" s="17">
        <f t="shared" si="12"/>
        <v>65</v>
      </c>
      <c r="V20" s="17">
        <f t="shared" si="12"/>
        <v>67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6</v>
      </c>
      <c r="AA20" s="17">
        <f t="shared" si="12"/>
        <v>2</v>
      </c>
      <c r="AB20" s="17">
        <f t="shared" si="12"/>
        <v>1</v>
      </c>
      <c r="AC20" s="17">
        <f t="shared" si="12"/>
        <v>281</v>
      </c>
      <c r="AD20" s="17">
        <f t="shared" si="12"/>
        <v>0</v>
      </c>
      <c r="AE20" s="31">
        <f t="shared" si="12"/>
        <v>387</v>
      </c>
      <c r="AF20" s="31">
        <f t="shared" si="12"/>
        <v>668</v>
      </c>
    </row>
    <row r="21" spans="2:32" ht="23.1" customHeight="1" x14ac:dyDescent="0.25">
      <c r="B21" s="23" t="s">
        <v>48</v>
      </c>
      <c r="C21" s="50">
        <v>35</v>
      </c>
      <c r="D21" s="50">
        <v>45</v>
      </c>
      <c r="E21" s="50">
        <v>11</v>
      </c>
      <c r="F21" s="50">
        <v>18</v>
      </c>
      <c r="G21" s="50">
        <v>0</v>
      </c>
      <c r="H21" s="50">
        <v>0</v>
      </c>
      <c r="I21" s="50">
        <v>2</v>
      </c>
      <c r="J21" s="50">
        <v>4</v>
      </c>
      <c r="K21" s="50">
        <v>2</v>
      </c>
      <c r="L21" s="50">
        <v>0</v>
      </c>
      <c r="M21" s="50">
        <v>100</v>
      </c>
      <c r="N21" s="50">
        <v>0</v>
      </c>
      <c r="O21" s="15">
        <f t="shared" si="0"/>
        <v>117</v>
      </c>
      <c r="P21" s="15">
        <f t="shared" si="1"/>
        <v>217</v>
      </c>
      <c r="R21" s="36" t="s">
        <v>20</v>
      </c>
      <c r="S21" s="34">
        <f t="shared" ref="S21:AF21" si="13">SUM(C54:C57)</f>
        <v>98</v>
      </c>
      <c r="T21" s="17">
        <f t="shared" si="13"/>
        <v>88</v>
      </c>
      <c r="U21" s="17">
        <f t="shared" si="13"/>
        <v>40</v>
      </c>
      <c r="V21" s="17">
        <f t="shared" si="13"/>
        <v>46</v>
      </c>
      <c r="W21" s="17">
        <f t="shared" si="13"/>
        <v>0</v>
      </c>
      <c r="X21" s="17">
        <f t="shared" si="13"/>
        <v>0</v>
      </c>
      <c r="Y21" s="17">
        <f t="shared" si="13"/>
        <v>16</v>
      </c>
      <c r="Z21" s="17">
        <f t="shared" si="13"/>
        <v>8</v>
      </c>
      <c r="AA21" s="17">
        <f t="shared" si="13"/>
        <v>2</v>
      </c>
      <c r="AB21" s="17">
        <f t="shared" si="13"/>
        <v>1</v>
      </c>
      <c r="AC21" s="17">
        <f t="shared" si="13"/>
        <v>245</v>
      </c>
      <c r="AD21" s="17">
        <f t="shared" si="13"/>
        <v>0</v>
      </c>
      <c r="AE21" s="31">
        <f t="shared" si="13"/>
        <v>299</v>
      </c>
      <c r="AF21" s="31">
        <f t="shared" si="13"/>
        <v>544</v>
      </c>
    </row>
    <row r="22" spans="2:32" ht="23.1" customHeight="1" x14ac:dyDescent="0.25">
      <c r="B22" s="23" t="s">
        <v>49</v>
      </c>
      <c r="C22" s="50">
        <v>40</v>
      </c>
      <c r="D22" s="50">
        <v>60</v>
      </c>
      <c r="E22" s="50">
        <v>28</v>
      </c>
      <c r="F22" s="50">
        <v>15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110</v>
      </c>
      <c r="N22" s="50">
        <v>0</v>
      </c>
      <c r="O22" s="15">
        <f t="shared" si="0"/>
        <v>144</v>
      </c>
      <c r="P22" s="15">
        <f t="shared" si="1"/>
        <v>254</v>
      </c>
      <c r="R22" s="38" t="s">
        <v>90</v>
      </c>
      <c r="S22" s="39">
        <f>MAX(S10:S12)</f>
        <v>131</v>
      </c>
      <c r="T22" s="39">
        <f t="shared" ref="T22:AF22" si="14">MAX(T10:T12)</f>
        <v>153</v>
      </c>
      <c r="U22" s="39">
        <f t="shared" si="14"/>
        <v>31</v>
      </c>
      <c r="V22" s="39">
        <f t="shared" si="14"/>
        <v>63</v>
      </c>
      <c r="W22" s="39">
        <f t="shared" si="14"/>
        <v>1</v>
      </c>
      <c r="X22" s="39">
        <f t="shared" si="14"/>
        <v>0</v>
      </c>
      <c r="Y22" s="39">
        <f t="shared" si="14"/>
        <v>10</v>
      </c>
      <c r="Z22" s="39">
        <f t="shared" si="14"/>
        <v>12</v>
      </c>
      <c r="AA22" s="39">
        <f t="shared" si="14"/>
        <v>3</v>
      </c>
      <c r="AB22" s="39">
        <f t="shared" si="14"/>
        <v>1</v>
      </c>
      <c r="AC22" s="39">
        <f t="shared" si="14"/>
        <v>420</v>
      </c>
      <c r="AD22" s="39">
        <f t="shared" si="14"/>
        <v>1</v>
      </c>
      <c r="AE22" s="40">
        <f t="shared" si="14"/>
        <v>405</v>
      </c>
      <c r="AF22" s="40">
        <f t="shared" si="14"/>
        <v>825</v>
      </c>
    </row>
    <row r="23" spans="2:32" ht="23.1" customHeight="1" x14ac:dyDescent="0.25">
      <c r="B23" s="23" t="s">
        <v>50</v>
      </c>
      <c r="C23" s="50">
        <v>45</v>
      </c>
      <c r="D23" s="50">
        <v>30</v>
      </c>
      <c r="E23" s="50">
        <v>20</v>
      </c>
      <c r="F23" s="50">
        <v>17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82</v>
      </c>
      <c r="N23" s="50">
        <v>0</v>
      </c>
      <c r="O23" s="15">
        <f t="shared" si="0"/>
        <v>113</v>
      </c>
      <c r="P23" s="15">
        <f t="shared" si="1"/>
        <v>195</v>
      </c>
      <c r="R23" s="38" t="s">
        <v>91</v>
      </c>
      <c r="S23" s="39">
        <f>MAX(S13:S18)</f>
        <v>199</v>
      </c>
      <c r="T23" s="39">
        <f t="shared" ref="T23:AF23" si="15">MAX(T13:T18)</f>
        <v>218</v>
      </c>
      <c r="U23" s="39">
        <f t="shared" si="15"/>
        <v>83</v>
      </c>
      <c r="V23" s="39">
        <f t="shared" si="15"/>
        <v>99</v>
      </c>
      <c r="W23" s="39">
        <f t="shared" si="15"/>
        <v>0</v>
      </c>
      <c r="X23" s="39">
        <f t="shared" si="15"/>
        <v>0</v>
      </c>
      <c r="Y23" s="39">
        <f t="shared" si="15"/>
        <v>14</v>
      </c>
      <c r="Z23" s="39">
        <f t="shared" si="15"/>
        <v>15</v>
      </c>
      <c r="AA23" s="39">
        <f t="shared" si="15"/>
        <v>3</v>
      </c>
      <c r="AB23" s="39">
        <f t="shared" si="15"/>
        <v>4</v>
      </c>
      <c r="AC23" s="39">
        <f t="shared" si="15"/>
        <v>436</v>
      </c>
      <c r="AD23" s="39">
        <f t="shared" si="15"/>
        <v>0</v>
      </c>
      <c r="AE23" s="40">
        <f t="shared" si="15"/>
        <v>586</v>
      </c>
      <c r="AF23" s="40">
        <f t="shared" si="15"/>
        <v>1022</v>
      </c>
    </row>
    <row r="24" spans="2:32" ht="23.1" customHeight="1" x14ac:dyDescent="0.25">
      <c r="B24" s="23" t="s">
        <v>51</v>
      </c>
      <c r="C24" s="50">
        <v>30</v>
      </c>
      <c r="D24" s="50">
        <v>35</v>
      </c>
      <c r="E24" s="50">
        <v>17</v>
      </c>
      <c r="F24" s="50">
        <v>25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74</v>
      </c>
      <c r="N24" s="50">
        <v>0</v>
      </c>
      <c r="O24" s="15">
        <f t="shared" si="0"/>
        <v>109</v>
      </c>
      <c r="P24" s="15">
        <f t="shared" si="1"/>
        <v>183</v>
      </c>
      <c r="R24" s="38" t="s">
        <v>92</v>
      </c>
      <c r="S24" s="39">
        <f>MAX(S19:S21)</f>
        <v>115</v>
      </c>
      <c r="T24" s="39">
        <f t="shared" ref="T24:AF24" si="16">MAX(T19:T21)</f>
        <v>124</v>
      </c>
      <c r="U24" s="39">
        <f t="shared" si="16"/>
        <v>65</v>
      </c>
      <c r="V24" s="39">
        <f t="shared" si="16"/>
        <v>67</v>
      </c>
      <c r="W24" s="39">
        <f t="shared" si="16"/>
        <v>0</v>
      </c>
      <c r="X24" s="39">
        <f t="shared" si="16"/>
        <v>0</v>
      </c>
      <c r="Y24" s="39">
        <f t="shared" si="16"/>
        <v>16</v>
      </c>
      <c r="Z24" s="39">
        <f t="shared" si="16"/>
        <v>8</v>
      </c>
      <c r="AA24" s="39">
        <f t="shared" si="16"/>
        <v>2</v>
      </c>
      <c r="AB24" s="39">
        <f t="shared" si="16"/>
        <v>3</v>
      </c>
      <c r="AC24" s="39">
        <f t="shared" si="16"/>
        <v>281</v>
      </c>
      <c r="AD24" s="39">
        <f t="shared" si="16"/>
        <v>0</v>
      </c>
      <c r="AE24" s="40">
        <f t="shared" si="16"/>
        <v>387</v>
      </c>
      <c r="AF24" s="40">
        <f t="shared" si="16"/>
        <v>668</v>
      </c>
    </row>
    <row r="25" spans="2:32" ht="23.1" customHeight="1" x14ac:dyDescent="0.25">
      <c r="B25" s="23" t="s">
        <v>52</v>
      </c>
      <c r="C25" s="50">
        <v>40</v>
      </c>
      <c r="D25" s="50">
        <v>30</v>
      </c>
      <c r="E25" s="50">
        <v>18</v>
      </c>
      <c r="F25" s="50">
        <v>27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0</v>
      </c>
      <c r="M25" s="50">
        <v>83</v>
      </c>
      <c r="N25" s="50">
        <v>0</v>
      </c>
      <c r="O25" s="15">
        <f t="shared" si="0"/>
        <v>118</v>
      </c>
      <c r="P25" s="15">
        <f t="shared" si="1"/>
        <v>201</v>
      </c>
      <c r="R25" s="37" t="s">
        <v>85</v>
      </c>
      <c r="S25" s="35">
        <f t="shared" ref="S25:AF25" si="17">SUM(S10:S12)</f>
        <v>298</v>
      </c>
      <c r="T25" s="16">
        <f t="shared" si="17"/>
        <v>298</v>
      </c>
      <c r="U25" s="16">
        <f t="shared" si="17"/>
        <v>80</v>
      </c>
      <c r="V25" s="16">
        <f t="shared" si="17"/>
        <v>159</v>
      </c>
      <c r="W25" s="16">
        <f t="shared" si="17"/>
        <v>1</v>
      </c>
      <c r="X25" s="16">
        <f t="shared" si="17"/>
        <v>0</v>
      </c>
      <c r="Y25" s="16">
        <f t="shared" si="17"/>
        <v>21</v>
      </c>
      <c r="Z25" s="16">
        <f t="shared" si="17"/>
        <v>22</v>
      </c>
      <c r="AA25" s="16">
        <f t="shared" si="17"/>
        <v>5</v>
      </c>
      <c r="AB25" s="16">
        <f t="shared" si="17"/>
        <v>1</v>
      </c>
      <c r="AC25" s="16">
        <f t="shared" si="17"/>
        <v>1082</v>
      </c>
      <c r="AD25" s="16">
        <f t="shared" si="17"/>
        <v>1</v>
      </c>
      <c r="AE25" s="32">
        <f t="shared" si="17"/>
        <v>886</v>
      </c>
      <c r="AF25" s="32">
        <f t="shared" si="17"/>
        <v>1968</v>
      </c>
    </row>
    <row r="26" spans="2:32" ht="23.1" customHeight="1" x14ac:dyDescent="0.25">
      <c r="B26" s="23" t="s">
        <v>53</v>
      </c>
      <c r="C26" s="50">
        <v>52</v>
      </c>
      <c r="D26" s="50">
        <v>60</v>
      </c>
      <c r="E26" s="50">
        <v>10</v>
      </c>
      <c r="F26" s="50">
        <v>11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1</v>
      </c>
      <c r="M26" s="50">
        <v>98</v>
      </c>
      <c r="N26" s="50">
        <v>0</v>
      </c>
      <c r="O26" s="15">
        <f t="shared" si="0"/>
        <v>136</v>
      </c>
      <c r="P26" s="15">
        <f t="shared" si="1"/>
        <v>234</v>
      </c>
      <c r="R26" s="28" t="s">
        <v>86</v>
      </c>
      <c r="S26" s="16">
        <f t="shared" ref="S26:AF26" si="18">SUM(S13:S18)</f>
        <v>921</v>
      </c>
      <c r="T26" s="16">
        <f t="shared" si="18"/>
        <v>902</v>
      </c>
      <c r="U26" s="16">
        <f t="shared" si="18"/>
        <v>290</v>
      </c>
      <c r="V26" s="16">
        <f t="shared" si="18"/>
        <v>373</v>
      </c>
      <c r="W26" s="16">
        <f t="shared" si="18"/>
        <v>0</v>
      </c>
      <c r="X26" s="16">
        <f t="shared" si="18"/>
        <v>0</v>
      </c>
      <c r="Y26" s="16">
        <f t="shared" si="18"/>
        <v>59</v>
      </c>
      <c r="Z26" s="16">
        <f t="shared" si="18"/>
        <v>52</v>
      </c>
      <c r="AA26" s="16">
        <f t="shared" si="18"/>
        <v>7</v>
      </c>
      <c r="AB26" s="16">
        <f t="shared" si="18"/>
        <v>13</v>
      </c>
      <c r="AC26" s="16">
        <f t="shared" si="18"/>
        <v>2087</v>
      </c>
      <c r="AD26" s="16">
        <f t="shared" si="18"/>
        <v>0</v>
      </c>
      <c r="AE26" s="32">
        <f t="shared" si="18"/>
        <v>2617</v>
      </c>
      <c r="AF26" s="32">
        <f t="shared" si="18"/>
        <v>4704</v>
      </c>
    </row>
    <row r="27" spans="2:32" ht="23.1" customHeight="1" x14ac:dyDescent="0.25">
      <c r="B27" s="23" t="s">
        <v>54</v>
      </c>
      <c r="C27" s="50">
        <v>35</v>
      </c>
      <c r="D27" s="50">
        <v>55</v>
      </c>
      <c r="E27" s="50">
        <v>13</v>
      </c>
      <c r="F27" s="50">
        <v>10</v>
      </c>
      <c r="G27" s="50">
        <v>0</v>
      </c>
      <c r="H27" s="50">
        <v>0</v>
      </c>
      <c r="I27" s="50">
        <v>3</v>
      </c>
      <c r="J27" s="50">
        <v>1</v>
      </c>
      <c r="K27" s="50">
        <v>2</v>
      </c>
      <c r="L27" s="50">
        <v>1</v>
      </c>
      <c r="M27" s="50">
        <v>87</v>
      </c>
      <c r="N27" s="50">
        <v>0</v>
      </c>
      <c r="O27" s="15">
        <f t="shared" si="0"/>
        <v>120</v>
      </c>
      <c r="P27" s="15">
        <f t="shared" si="1"/>
        <v>207</v>
      </c>
      <c r="R27" s="29" t="s">
        <v>87</v>
      </c>
      <c r="S27" s="16">
        <f t="shared" ref="S27:AF27" si="19">SUM(S19:S21)</f>
        <v>321</v>
      </c>
      <c r="T27" s="16">
        <f t="shared" si="19"/>
        <v>327</v>
      </c>
      <c r="U27" s="16">
        <f t="shared" si="19"/>
        <v>152</v>
      </c>
      <c r="V27" s="16">
        <f t="shared" si="19"/>
        <v>157</v>
      </c>
      <c r="W27" s="16">
        <f t="shared" si="19"/>
        <v>0</v>
      </c>
      <c r="X27" s="16">
        <f t="shared" si="19"/>
        <v>0</v>
      </c>
      <c r="Y27" s="16">
        <f t="shared" si="19"/>
        <v>27</v>
      </c>
      <c r="Z27" s="16">
        <f t="shared" si="19"/>
        <v>18</v>
      </c>
      <c r="AA27" s="16">
        <f t="shared" si="19"/>
        <v>4</v>
      </c>
      <c r="AB27" s="16">
        <f t="shared" si="19"/>
        <v>5</v>
      </c>
      <c r="AC27" s="16">
        <f t="shared" si="19"/>
        <v>790</v>
      </c>
      <c r="AD27" s="16">
        <f t="shared" si="19"/>
        <v>0</v>
      </c>
      <c r="AE27" s="32">
        <f t="shared" si="19"/>
        <v>1011</v>
      </c>
      <c r="AF27" s="32">
        <f t="shared" si="19"/>
        <v>1801</v>
      </c>
    </row>
    <row r="28" spans="2:32" ht="23.1" customHeight="1" x14ac:dyDescent="0.25">
      <c r="B28" s="23" t="s">
        <v>55</v>
      </c>
      <c r="C28" s="50">
        <v>55</v>
      </c>
      <c r="D28" s="50">
        <v>48</v>
      </c>
      <c r="E28" s="50">
        <v>11</v>
      </c>
      <c r="F28" s="50">
        <v>16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90</v>
      </c>
      <c r="N28" s="50">
        <v>0</v>
      </c>
      <c r="O28" s="15">
        <f t="shared" si="0"/>
        <v>132</v>
      </c>
      <c r="P28" s="15">
        <f t="shared" si="1"/>
        <v>222</v>
      </c>
      <c r="R28" s="5" t="s">
        <v>17</v>
      </c>
      <c r="S28" s="16">
        <f t="shared" ref="S28:AF28" si="20">SUM(S10:S21)</f>
        <v>1540</v>
      </c>
      <c r="T28" s="16">
        <f t="shared" si="20"/>
        <v>1527</v>
      </c>
      <c r="U28" s="16">
        <f t="shared" si="20"/>
        <v>522</v>
      </c>
      <c r="V28" s="16">
        <f t="shared" si="20"/>
        <v>689</v>
      </c>
      <c r="W28" s="16">
        <f t="shared" si="20"/>
        <v>1</v>
      </c>
      <c r="X28" s="16">
        <f t="shared" si="20"/>
        <v>0</v>
      </c>
      <c r="Y28" s="16">
        <f t="shared" si="20"/>
        <v>107</v>
      </c>
      <c r="Z28" s="16">
        <f t="shared" si="20"/>
        <v>92</v>
      </c>
      <c r="AA28" s="16">
        <f t="shared" si="20"/>
        <v>16</v>
      </c>
      <c r="AB28" s="16">
        <f t="shared" si="20"/>
        <v>19</v>
      </c>
      <c r="AC28" s="16">
        <f t="shared" si="20"/>
        <v>3959</v>
      </c>
      <c r="AD28" s="16">
        <f t="shared" si="20"/>
        <v>1</v>
      </c>
      <c r="AE28" s="32">
        <f t="shared" si="20"/>
        <v>4514</v>
      </c>
      <c r="AF28" s="32">
        <f t="shared" si="20"/>
        <v>8473</v>
      </c>
    </row>
    <row r="29" spans="2:32" ht="23.1" customHeight="1" x14ac:dyDescent="0.25">
      <c r="B29" s="23" t="s">
        <v>56</v>
      </c>
      <c r="C29" s="50">
        <v>50</v>
      </c>
      <c r="D29" s="50">
        <v>55</v>
      </c>
      <c r="E29" s="50">
        <v>13</v>
      </c>
      <c r="F29" s="50">
        <v>19</v>
      </c>
      <c r="G29" s="50">
        <v>0</v>
      </c>
      <c r="H29" s="50">
        <v>0</v>
      </c>
      <c r="I29" s="50">
        <v>2</v>
      </c>
      <c r="J29" s="50">
        <v>2</v>
      </c>
      <c r="K29" s="50">
        <v>0</v>
      </c>
      <c r="L29" s="50">
        <v>0</v>
      </c>
      <c r="M29" s="50">
        <v>123</v>
      </c>
      <c r="N29" s="50">
        <v>0</v>
      </c>
      <c r="O29" s="15">
        <f t="shared" si="0"/>
        <v>141</v>
      </c>
      <c r="P29" s="15">
        <f t="shared" si="1"/>
        <v>264</v>
      </c>
      <c r="R29"/>
      <c r="S29" s="20"/>
      <c r="T29" s="19"/>
    </row>
    <row r="30" spans="2:32" ht="23.1" customHeight="1" x14ac:dyDescent="0.25">
      <c r="B30" s="23" t="s">
        <v>57</v>
      </c>
      <c r="C30" s="50">
        <v>60</v>
      </c>
      <c r="D30" s="50">
        <v>63</v>
      </c>
      <c r="E30" s="50">
        <v>23</v>
      </c>
      <c r="F30" s="50">
        <v>22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2</v>
      </c>
      <c r="M30" s="50">
        <v>133</v>
      </c>
      <c r="N30" s="50">
        <v>0</v>
      </c>
      <c r="O30" s="15">
        <f t="shared" si="0"/>
        <v>174</v>
      </c>
      <c r="P30" s="15">
        <f t="shared" si="1"/>
        <v>307</v>
      </c>
    </row>
    <row r="31" spans="2:32" ht="23.1" customHeight="1" x14ac:dyDescent="0.25">
      <c r="B31" s="24" t="s">
        <v>58</v>
      </c>
      <c r="C31" s="50">
        <v>63</v>
      </c>
      <c r="D31" s="50">
        <v>60</v>
      </c>
      <c r="E31" s="50">
        <v>17</v>
      </c>
      <c r="F31" s="50">
        <v>23</v>
      </c>
      <c r="G31" s="50">
        <v>0</v>
      </c>
      <c r="H31" s="50">
        <v>0</v>
      </c>
      <c r="I31" s="50">
        <v>2</v>
      </c>
      <c r="J31" s="50">
        <v>2</v>
      </c>
      <c r="K31" s="50">
        <v>0</v>
      </c>
      <c r="L31" s="50">
        <v>0</v>
      </c>
      <c r="M31" s="50">
        <v>140</v>
      </c>
      <c r="N31" s="50">
        <v>0</v>
      </c>
      <c r="O31" s="15">
        <f t="shared" si="0"/>
        <v>167</v>
      </c>
      <c r="P31" s="15">
        <f t="shared" si="1"/>
        <v>307</v>
      </c>
    </row>
    <row r="32" spans="2:32" ht="23.1" customHeight="1" x14ac:dyDescent="0.25">
      <c r="B32" s="24" t="s">
        <v>59</v>
      </c>
      <c r="C32" s="50">
        <v>45</v>
      </c>
      <c r="D32" s="50">
        <v>42</v>
      </c>
      <c r="E32" s="50">
        <v>8</v>
      </c>
      <c r="F32" s="50">
        <v>24</v>
      </c>
      <c r="G32" s="50">
        <v>0</v>
      </c>
      <c r="H32" s="50">
        <v>0</v>
      </c>
      <c r="I32" s="50">
        <v>2</v>
      </c>
      <c r="J32" s="50">
        <v>5</v>
      </c>
      <c r="K32" s="50">
        <v>0</v>
      </c>
      <c r="L32" s="50">
        <v>1</v>
      </c>
      <c r="M32" s="50">
        <v>105</v>
      </c>
      <c r="N32" s="50">
        <v>0</v>
      </c>
      <c r="O32" s="15">
        <f t="shared" si="0"/>
        <v>127</v>
      </c>
      <c r="P32" s="15">
        <f t="shared" si="1"/>
        <v>232</v>
      </c>
    </row>
    <row r="33" spans="2:20" ht="23.1" customHeight="1" x14ac:dyDescent="0.25">
      <c r="B33" s="23" t="s">
        <v>60</v>
      </c>
      <c r="C33" s="50">
        <v>31</v>
      </c>
      <c r="D33" s="50">
        <v>35</v>
      </c>
      <c r="E33" s="50">
        <v>15</v>
      </c>
      <c r="F33" s="50">
        <v>30</v>
      </c>
      <c r="G33" s="50">
        <v>0</v>
      </c>
      <c r="H33" s="50">
        <v>0</v>
      </c>
      <c r="I33" s="50">
        <v>3</v>
      </c>
      <c r="J33" s="50">
        <v>3</v>
      </c>
      <c r="K33" s="50">
        <v>1</v>
      </c>
      <c r="L33" s="50">
        <v>0</v>
      </c>
      <c r="M33" s="50">
        <v>58</v>
      </c>
      <c r="N33" s="50">
        <v>0</v>
      </c>
      <c r="O33" s="15">
        <f t="shared" si="0"/>
        <v>118</v>
      </c>
      <c r="P33" s="15">
        <f t="shared" si="1"/>
        <v>176</v>
      </c>
    </row>
    <row r="34" spans="2:20" ht="23.1" customHeight="1" x14ac:dyDescent="0.25">
      <c r="B34" s="24" t="s">
        <v>61</v>
      </c>
      <c r="C34" s="50">
        <v>26</v>
      </c>
      <c r="D34" s="50">
        <v>25</v>
      </c>
      <c r="E34" s="50">
        <v>5</v>
      </c>
      <c r="F34" s="50">
        <v>10</v>
      </c>
      <c r="G34" s="50">
        <v>0</v>
      </c>
      <c r="H34" s="50">
        <v>0</v>
      </c>
      <c r="I34" s="50">
        <v>7</v>
      </c>
      <c r="J34" s="50">
        <v>5</v>
      </c>
      <c r="K34" s="50">
        <v>0</v>
      </c>
      <c r="L34" s="50">
        <v>0</v>
      </c>
      <c r="M34" s="50">
        <v>110</v>
      </c>
      <c r="N34" s="50">
        <v>0</v>
      </c>
      <c r="O34" s="15">
        <f t="shared" si="0"/>
        <v>78</v>
      </c>
      <c r="P34" s="15">
        <f t="shared" si="1"/>
        <v>188</v>
      </c>
    </row>
    <row r="35" spans="2:20" ht="23.1" customHeight="1" x14ac:dyDescent="0.25">
      <c r="B35" s="24" t="s">
        <v>62</v>
      </c>
      <c r="C35" s="50">
        <v>35</v>
      </c>
      <c r="D35" s="50">
        <v>30</v>
      </c>
      <c r="E35" s="50">
        <v>6</v>
      </c>
      <c r="F35" s="50">
        <v>11</v>
      </c>
      <c r="G35" s="50">
        <v>0</v>
      </c>
      <c r="H35" s="50">
        <v>0</v>
      </c>
      <c r="I35" s="50">
        <v>4</v>
      </c>
      <c r="J35" s="50">
        <v>6</v>
      </c>
      <c r="K35" s="50">
        <v>0</v>
      </c>
      <c r="L35" s="50">
        <v>2</v>
      </c>
      <c r="M35" s="50">
        <v>98</v>
      </c>
      <c r="N35" s="50">
        <v>0</v>
      </c>
      <c r="O35" s="15">
        <f t="shared" si="0"/>
        <v>94</v>
      </c>
      <c r="P35" s="15">
        <f t="shared" si="1"/>
        <v>192</v>
      </c>
    </row>
    <row r="36" spans="2:20" ht="23.1" customHeight="1" x14ac:dyDescent="0.25">
      <c r="B36" s="24" t="s">
        <v>63</v>
      </c>
      <c r="C36" s="50">
        <v>25</v>
      </c>
      <c r="D36" s="50">
        <v>16</v>
      </c>
      <c r="E36" s="50">
        <v>6</v>
      </c>
      <c r="F36" s="50">
        <v>13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1</v>
      </c>
      <c r="M36" s="50">
        <v>76</v>
      </c>
      <c r="N36" s="50">
        <v>0</v>
      </c>
      <c r="O36" s="15">
        <f t="shared" si="0"/>
        <v>65</v>
      </c>
      <c r="P36" s="15">
        <f t="shared" si="1"/>
        <v>141</v>
      </c>
    </row>
    <row r="37" spans="2:20" ht="23.1" customHeight="1" x14ac:dyDescent="0.25">
      <c r="B37" s="23" t="s">
        <v>64</v>
      </c>
      <c r="C37" s="50">
        <v>21</v>
      </c>
      <c r="D37" s="50">
        <v>20</v>
      </c>
      <c r="E37" s="50">
        <v>4</v>
      </c>
      <c r="F37" s="50">
        <v>8</v>
      </c>
      <c r="G37" s="50">
        <v>0</v>
      </c>
      <c r="H37" s="50">
        <v>0</v>
      </c>
      <c r="I37" s="50">
        <v>0</v>
      </c>
      <c r="J37" s="50">
        <v>3</v>
      </c>
      <c r="K37" s="50">
        <v>0</v>
      </c>
      <c r="L37" s="50">
        <v>1</v>
      </c>
      <c r="M37" s="50">
        <v>70</v>
      </c>
      <c r="N37" s="50">
        <v>0</v>
      </c>
      <c r="O37" s="15">
        <f t="shared" si="0"/>
        <v>57</v>
      </c>
      <c r="P37" s="15">
        <f t="shared" si="1"/>
        <v>127</v>
      </c>
    </row>
    <row r="38" spans="2:20" ht="23.1" customHeight="1" x14ac:dyDescent="0.25">
      <c r="B38" s="24" t="s">
        <v>65</v>
      </c>
      <c r="C38" s="50">
        <v>21</v>
      </c>
      <c r="D38" s="50">
        <v>20</v>
      </c>
      <c r="E38" s="50">
        <v>8</v>
      </c>
      <c r="F38" s="50">
        <v>15</v>
      </c>
      <c r="G38" s="50">
        <v>0</v>
      </c>
      <c r="H38" s="50">
        <v>0</v>
      </c>
      <c r="I38" s="50"/>
      <c r="J38" s="50">
        <v>3</v>
      </c>
      <c r="K38" s="50">
        <v>1</v>
      </c>
      <c r="L38" s="50">
        <v>0</v>
      </c>
      <c r="M38" s="50">
        <v>85</v>
      </c>
      <c r="N38" s="50">
        <v>0</v>
      </c>
      <c r="O38" s="15">
        <f t="shared" si="0"/>
        <v>68</v>
      </c>
      <c r="P38" s="15">
        <f t="shared" si="1"/>
        <v>153</v>
      </c>
    </row>
    <row r="39" spans="2:20" ht="23.1" customHeight="1" x14ac:dyDescent="0.25">
      <c r="B39" s="24" t="s">
        <v>66</v>
      </c>
      <c r="C39" s="50">
        <v>25</v>
      </c>
      <c r="D39" s="50">
        <v>30</v>
      </c>
      <c r="E39" s="50">
        <v>12</v>
      </c>
      <c r="F39" s="50">
        <v>13</v>
      </c>
      <c r="G39" s="50">
        <v>0</v>
      </c>
      <c r="H39" s="50">
        <v>0</v>
      </c>
      <c r="I39" s="50">
        <v>4</v>
      </c>
      <c r="J39" s="50">
        <v>6</v>
      </c>
      <c r="K39" s="50">
        <v>1</v>
      </c>
      <c r="L39" s="50">
        <v>1</v>
      </c>
      <c r="M39" s="50">
        <v>67</v>
      </c>
      <c r="N39" s="50">
        <v>0</v>
      </c>
      <c r="O39" s="15">
        <f t="shared" si="0"/>
        <v>92</v>
      </c>
      <c r="P39" s="15">
        <f t="shared" si="1"/>
        <v>159</v>
      </c>
    </row>
    <row r="40" spans="2:20" ht="23.1" customHeight="1" x14ac:dyDescent="0.25">
      <c r="B40" s="24" t="s">
        <v>67</v>
      </c>
      <c r="C40" s="50">
        <v>55</v>
      </c>
      <c r="D40" s="50">
        <v>39</v>
      </c>
      <c r="E40" s="50">
        <v>13</v>
      </c>
      <c r="F40" s="50">
        <v>10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58</v>
      </c>
      <c r="N40" s="50">
        <v>0</v>
      </c>
      <c r="O40" s="15">
        <f t="shared" si="0"/>
        <v>120</v>
      </c>
      <c r="P40" s="15">
        <f t="shared" si="1"/>
        <v>178</v>
      </c>
    </row>
    <row r="41" spans="2:20" ht="23.1" customHeight="1" x14ac:dyDescent="0.25">
      <c r="B41" s="23" t="s">
        <v>68</v>
      </c>
      <c r="C41" s="50">
        <v>45</v>
      </c>
      <c r="D41" s="50">
        <v>45</v>
      </c>
      <c r="E41" s="50">
        <v>5</v>
      </c>
      <c r="F41" s="50">
        <v>12</v>
      </c>
      <c r="G41" s="50">
        <v>0</v>
      </c>
      <c r="H41" s="50">
        <v>0</v>
      </c>
      <c r="I41" s="50">
        <v>4</v>
      </c>
      <c r="J41" s="50">
        <v>1</v>
      </c>
      <c r="K41" s="50">
        <v>1</v>
      </c>
      <c r="L41" s="50">
        <v>1</v>
      </c>
      <c r="M41" s="50">
        <v>75</v>
      </c>
      <c r="N41" s="50">
        <v>0</v>
      </c>
      <c r="O41" s="15">
        <f t="shared" si="0"/>
        <v>114</v>
      </c>
      <c r="P41" s="15">
        <f t="shared" si="1"/>
        <v>189</v>
      </c>
    </row>
    <row r="42" spans="2:20" ht="23.1" customHeight="1" x14ac:dyDescent="0.25">
      <c r="B42" s="24" t="s">
        <v>69</v>
      </c>
      <c r="C42" s="50">
        <v>33</v>
      </c>
      <c r="D42" s="50">
        <v>32</v>
      </c>
      <c r="E42" s="50">
        <v>10</v>
      </c>
      <c r="F42" s="50">
        <v>12</v>
      </c>
      <c r="G42" s="50">
        <v>0</v>
      </c>
      <c r="H42" s="50">
        <v>0</v>
      </c>
      <c r="I42" s="50">
        <v>7</v>
      </c>
      <c r="J42" s="50">
        <v>2</v>
      </c>
      <c r="K42" s="50">
        <v>0</v>
      </c>
      <c r="L42" s="50">
        <v>0</v>
      </c>
      <c r="M42" s="50">
        <v>66</v>
      </c>
      <c r="N42" s="50">
        <v>0</v>
      </c>
      <c r="O42" s="15">
        <f t="shared" si="0"/>
        <v>96</v>
      </c>
      <c r="P42" s="15">
        <f t="shared" si="1"/>
        <v>162</v>
      </c>
    </row>
    <row r="43" spans="2:20" ht="23.1" customHeight="1" x14ac:dyDescent="0.25">
      <c r="B43" s="23" t="s">
        <v>70</v>
      </c>
      <c r="C43" s="50">
        <v>28</v>
      </c>
      <c r="D43" s="50">
        <v>25</v>
      </c>
      <c r="E43" s="50">
        <v>9</v>
      </c>
      <c r="F43" s="50">
        <v>10</v>
      </c>
      <c r="G43" s="50">
        <v>0</v>
      </c>
      <c r="H43" s="50">
        <v>0</v>
      </c>
      <c r="I43" s="50">
        <v>3</v>
      </c>
      <c r="J43" s="50">
        <v>6</v>
      </c>
      <c r="K43" s="50">
        <v>0</v>
      </c>
      <c r="L43" s="50">
        <v>0</v>
      </c>
      <c r="M43" s="50">
        <v>81</v>
      </c>
      <c r="N43" s="50">
        <v>0</v>
      </c>
      <c r="O43" s="15">
        <f t="shared" si="0"/>
        <v>81</v>
      </c>
      <c r="P43" s="15">
        <f t="shared" si="1"/>
        <v>162</v>
      </c>
    </row>
    <row r="44" spans="2:20" ht="23.1" customHeight="1" x14ac:dyDescent="0.25">
      <c r="B44" s="25" t="s">
        <v>71</v>
      </c>
      <c r="C44" s="50">
        <v>30</v>
      </c>
      <c r="D44" s="50">
        <v>22</v>
      </c>
      <c r="E44" s="50">
        <v>8</v>
      </c>
      <c r="F44" s="50">
        <v>13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1</v>
      </c>
      <c r="M44" s="50">
        <v>56</v>
      </c>
      <c r="N44" s="50">
        <v>0</v>
      </c>
      <c r="O44" s="15">
        <f t="shared" si="0"/>
        <v>76</v>
      </c>
      <c r="P44" s="15">
        <f t="shared" si="1"/>
        <v>132</v>
      </c>
    </row>
    <row r="45" spans="2:20" ht="23.1" customHeight="1" x14ac:dyDescent="0.25">
      <c r="B45" s="23" t="s">
        <v>72</v>
      </c>
      <c r="C45" s="50">
        <v>31</v>
      </c>
      <c r="D45" s="50">
        <v>25</v>
      </c>
      <c r="E45" s="50">
        <v>11</v>
      </c>
      <c r="F45" s="50">
        <v>7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62</v>
      </c>
      <c r="N45" s="50">
        <v>0</v>
      </c>
      <c r="O45" s="15">
        <f t="shared" si="0"/>
        <v>77</v>
      </c>
      <c r="P45" s="15">
        <f t="shared" si="1"/>
        <v>139</v>
      </c>
    </row>
    <row r="46" spans="2:20" ht="23.1" customHeight="1" x14ac:dyDescent="0.25">
      <c r="B46" s="24" t="s">
        <v>73</v>
      </c>
      <c r="C46" s="50">
        <v>35</v>
      </c>
      <c r="D46" s="50">
        <v>30</v>
      </c>
      <c r="E46" s="50">
        <v>21</v>
      </c>
      <c r="F46" s="50">
        <v>8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57</v>
      </c>
      <c r="N46" s="50">
        <v>0</v>
      </c>
      <c r="O46" s="15">
        <f t="shared" si="0"/>
        <v>96</v>
      </c>
      <c r="P46" s="15">
        <f t="shared" si="1"/>
        <v>153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30</v>
      </c>
      <c r="E47" s="50">
        <v>7</v>
      </c>
      <c r="F47" s="50">
        <v>7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81</v>
      </c>
      <c r="N47" s="50">
        <v>0</v>
      </c>
      <c r="O47" s="15">
        <f t="shared" si="0"/>
        <v>67</v>
      </c>
      <c r="P47" s="15">
        <f t="shared" si="1"/>
        <v>148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30</v>
      </c>
      <c r="E48" s="50">
        <v>8</v>
      </c>
      <c r="F48" s="50">
        <v>14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3</v>
      </c>
      <c r="M48" s="50">
        <v>65</v>
      </c>
      <c r="N48" s="50">
        <v>0</v>
      </c>
      <c r="O48" s="15">
        <f t="shared" si="0"/>
        <v>81</v>
      </c>
      <c r="P48" s="15">
        <f t="shared" si="1"/>
        <v>146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25</v>
      </c>
      <c r="E49" s="50">
        <v>11</v>
      </c>
      <c r="F49" s="50">
        <v>15</v>
      </c>
      <c r="G49" s="50">
        <v>0</v>
      </c>
      <c r="H49" s="50">
        <v>0</v>
      </c>
      <c r="I49" s="50">
        <v>1</v>
      </c>
      <c r="J49" s="50">
        <v>3</v>
      </c>
      <c r="K49" s="50">
        <v>0</v>
      </c>
      <c r="L49" s="50">
        <v>0</v>
      </c>
      <c r="M49" s="50">
        <v>61</v>
      </c>
      <c r="N49" s="50">
        <v>0</v>
      </c>
      <c r="O49" s="15">
        <f t="shared" si="0"/>
        <v>81</v>
      </c>
      <c r="P49" s="15">
        <f t="shared" si="1"/>
        <v>142</v>
      </c>
      <c r="R49" s="8"/>
      <c r="T49"/>
    </row>
    <row r="50" spans="2:20" ht="23.1" customHeight="1" x14ac:dyDescent="0.25">
      <c r="B50" s="24" t="s">
        <v>77</v>
      </c>
      <c r="C50" s="50">
        <v>35</v>
      </c>
      <c r="D50" s="50">
        <v>30</v>
      </c>
      <c r="E50" s="50">
        <v>5</v>
      </c>
      <c r="F50" s="50">
        <v>12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78</v>
      </c>
      <c r="N50" s="50">
        <v>0</v>
      </c>
      <c r="O50" s="15">
        <f t="shared" si="0"/>
        <v>84</v>
      </c>
      <c r="P50" s="15">
        <f t="shared" si="1"/>
        <v>162</v>
      </c>
      <c r="R50" s="8"/>
      <c r="T50"/>
    </row>
    <row r="51" spans="2:20" ht="23.1" customHeight="1" x14ac:dyDescent="0.25">
      <c r="B51" s="24" t="s">
        <v>78</v>
      </c>
      <c r="C51" s="50">
        <v>35</v>
      </c>
      <c r="D51" s="50">
        <v>35</v>
      </c>
      <c r="E51" s="50">
        <v>10</v>
      </c>
      <c r="F51" s="50">
        <v>20</v>
      </c>
      <c r="G51" s="50">
        <v>0</v>
      </c>
      <c r="H51" s="50">
        <v>0</v>
      </c>
      <c r="I51" s="50">
        <v>1</v>
      </c>
      <c r="J51" s="50">
        <v>3</v>
      </c>
      <c r="K51" s="50">
        <v>0</v>
      </c>
      <c r="L51" s="50">
        <v>0</v>
      </c>
      <c r="M51" s="50">
        <v>58</v>
      </c>
      <c r="N51" s="50">
        <v>0</v>
      </c>
      <c r="O51" s="15">
        <f t="shared" si="0"/>
        <v>104</v>
      </c>
      <c r="P51" s="15">
        <f t="shared" si="1"/>
        <v>162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20</v>
      </c>
      <c r="E52" s="50">
        <v>30</v>
      </c>
      <c r="F52" s="50">
        <v>15</v>
      </c>
      <c r="G52" s="50">
        <v>0</v>
      </c>
      <c r="H52" s="50">
        <v>0</v>
      </c>
      <c r="I52" s="50">
        <v>3</v>
      </c>
      <c r="J52" s="50">
        <v>2</v>
      </c>
      <c r="K52" s="50">
        <v>1</v>
      </c>
      <c r="L52" s="50">
        <v>0</v>
      </c>
      <c r="M52" s="50">
        <v>62</v>
      </c>
      <c r="N52" s="50">
        <v>0</v>
      </c>
      <c r="O52" s="15">
        <f t="shared" si="0"/>
        <v>96</v>
      </c>
      <c r="P52" s="15">
        <f t="shared" si="1"/>
        <v>158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39</v>
      </c>
      <c r="E53" s="50">
        <v>20</v>
      </c>
      <c r="F53" s="50">
        <v>20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1</v>
      </c>
      <c r="M53" s="50">
        <v>83</v>
      </c>
      <c r="N53" s="50">
        <v>0</v>
      </c>
      <c r="O53" s="15">
        <f t="shared" si="0"/>
        <v>103</v>
      </c>
      <c r="P53" s="15">
        <f t="shared" si="1"/>
        <v>186</v>
      </c>
      <c r="R53" s="8"/>
      <c r="T53"/>
    </row>
    <row r="54" spans="2:20" ht="23.1" customHeight="1" x14ac:dyDescent="0.25">
      <c r="B54" s="23" t="s">
        <v>81</v>
      </c>
      <c r="C54" s="50">
        <v>20</v>
      </c>
      <c r="D54" s="50">
        <v>30</v>
      </c>
      <c r="E54" s="50">
        <v>15</v>
      </c>
      <c r="F54" s="50">
        <v>5</v>
      </c>
      <c r="G54" s="50">
        <v>0</v>
      </c>
      <c r="H54" s="50">
        <v>0</v>
      </c>
      <c r="I54" s="50">
        <v>4</v>
      </c>
      <c r="J54" s="50">
        <v>3</v>
      </c>
      <c r="K54" s="50">
        <v>0</v>
      </c>
      <c r="L54" s="50">
        <v>0</v>
      </c>
      <c r="M54" s="50">
        <v>51</v>
      </c>
      <c r="N54" s="50">
        <v>0</v>
      </c>
      <c r="O54" s="15">
        <f t="shared" si="0"/>
        <v>77</v>
      </c>
      <c r="P54" s="15">
        <f t="shared" si="1"/>
        <v>128</v>
      </c>
      <c r="R54" s="8"/>
      <c r="T54"/>
    </row>
    <row r="55" spans="2:20" ht="23.1" customHeight="1" x14ac:dyDescent="0.25">
      <c r="B55" s="23" t="s">
        <v>82</v>
      </c>
      <c r="C55" s="50">
        <v>26</v>
      </c>
      <c r="D55" s="50">
        <v>25</v>
      </c>
      <c r="E55" s="50">
        <v>8</v>
      </c>
      <c r="F55" s="50">
        <v>10</v>
      </c>
      <c r="G55" s="50">
        <v>0</v>
      </c>
      <c r="H55" s="50">
        <v>0</v>
      </c>
      <c r="I55" s="50">
        <v>5</v>
      </c>
      <c r="J55" s="50">
        <v>0</v>
      </c>
      <c r="K55" s="50">
        <v>1</v>
      </c>
      <c r="L55" s="50">
        <v>0</v>
      </c>
      <c r="M55" s="50">
        <v>61</v>
      </c>
      <c r="N55" s="50">
        <v>0</v>
      </c>
      <c r="O55" s="15">
        <f t="shared" si="0"/>
        <v>75</v>
      </c>
      <c r="P55" s="15">
        <f t="shared" si="1"/>
        <v>136</v>
      </c>
      <c r="R55" s="8"/>
      <c r="T55"/>
    </row>
    <row r="56" spans="2:20" ht="23.1" customHeight="1" x14ac:dyDescent="0.25">
      <c r="B56" s="23" t="s">
        <v>83</v>
      </c>
      <c r="C56" s="50">
        <v>25</v>
      </c>
      <c r="D56" s="50">
        <v>20</v>
      </c>
      <c r="E56" s="50">
        <v>10</v>
      </c>
      <c r="F56" s="50">
        <v>15</v>
      </c>
      <c r="G56" s="50">
        <v>0</v>
      </c>
      <c r="H56" s="50">
        <v>0</v>
      </c>
      <c r="I56" s="50">
        <v>4</v>
      </c>
      <c r="J56" s="50">
        <v>4</v>
      </c>
      <c r="K56" s="50">
        <v>0</v>
      </c>
      <c r="L56" s="50">
        <v>1</v>
      </c>
      <c r="M56" s="50">
        <v>60</v>
      </c>
      <c r="N56" s="50">
        <v>0</v>
      </c>
      <c r="O56" s="15">
        <f t="shared" si="0"/>
        <v>79</v>
      </c>
      <c r="P56" s="15">
        <f t="shared" si="1"/>
        <v>139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13</v>
      </c>
      <c r="E57" s="50">
        <v>7</v>
      </c>
      <c r="F57" s="50">
        <v>16</v>
      </c>
      <c r="G57" s="50">
        <v>0</v>
      </c>
      <c r="H57" s="50">
        <v>0</v>
      </c>
      <c r="I57" s="50">
        <v>3</v>
      </c>
      <c r="J57" s="50">
        <v>1</v>
      </c>
      <c r="K57" s="50">
        <v>1</v>
      </c>
      <c r="L57" s="50">
        <v>0</v>
      </c>
      <c r="M57" s="50">
        <v>73</v>
      </c>
      <c r="N57" s="50">
        <v>0</v>
      </c>
      <c r="O57" s="15">
        <f t="shared" si="0"/>
        <v>68</v>
      </c>
      <c r="P57" s="15">
        <f t="shared" si="1"/>
        <v>141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1540</v>
      </c>
      <c r="D58" s="16">
        <f t="shared" si="21"/>
        <v>1527</v>
      </c>
      <c r="E58" s="16">
        <f t="shared" si="21"/>
        <v>522</v>
      </c>
      <c r="F58" s="16">
        <f t="shared" si="21"/>
        <v>689</v>
      </c>
      <c r="G58" s="16">
        <f t="shared" si="21"/>
        <v>1</v>
      </c>
      <c r="H58" s="16">
        <f t="shared" si="21"/>
        <v>0</v>
      </c>
      <c r="I58" s="16">
        <f t="shared" si="21"/>
        <v>107</v>
      </c>
      <c r="J58" s="16">
        <f t="shared" si="21"/>
        <v>92</v>
      </c>
      <c r="K58" s="16">
        <f t="shared" si="21"/>
        <v>16</v>
      </c>
      <c r="L58" s="16">
        <f t="shared" si="21"/>
        <v>19</v>
      </c>
      <c r="M58" s="16">
        <f t="shared" si="21"/>
        <v>3959</v>
      </c>
      <c r="N58" s="16">
        <f t="shared" si="21"/>
        <v>1</v>
      </c>
      <c r="O58" s="16">
        <f t="shared" si="21"/>
        <v>4514</v>
      </c>
      <c r="P58" s="16">
        <f t="shared" si="21"/>
        <v>8473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0.18175380620795467</v>
      </c>
      <c r="D59" s="43">
        <f t="shared" si="22"/>
        <v>0.18021952083087453</v>
      </c>
      <c r="E59" s="43">
        <f t="shared" si="22"/>
        <v>6.1607458987371654E-2</v>
      </c>
      <c r="F59" s="43">
        <f t="shared" si="22"/>
        <v>8.1317124985247249E-2</v>
      </c>
      <c r="G59" s="43">
        <f t="shared" si="22"/>
        <v>1.1802195208308746E-4</v>
      </c>
      <c r="H59" s="43">
        <f t="shared" si="22"/>
        <v>0</v>
      </c>
      <c r="I59" s="43">
        <f t="shared" si="22"/>
        <v>1.2628348872890358E-2</v>
      </c>
      <c r="J59" s="43">
        <f t="shared" si="22"/>
        <v>1.0858019591644046E-2</v>
      </c>
      <c r="K59" s="43">
        <f t="shared" si="22"/>
        <v>1.8883512333293993E-3</v>
      </c>
      <c r="L59" s="43">
        <f t="shared" si="22"/>
        <v>2.2424170895786618E-3</v>
      </c>
      <c r="M59" s="43">
        <f t="shared" si="22"/>
        <v>0.46724890829694321</v>
      </c>
      <c r="N59" s="43">
        <f t="shared" si="22"/>
        <v>1.1802195208308746E-4</v>
      </c>
      <c r="R59" s="8"/>
      <c r="T59"/>
    </row>
    <row r="60" spans="2:20" ht="23.1" customHeight="1" x14ac:dyDescent="0.25">
      <c r="B60" s="42" t="s">
        <v>94</v>
      </c>
      <c r="C60" s="44">
        <f>C58/$O$58</f>
        <v>0.34116083296411165</v>
      </c>
      <c r="D60" s="44">
        <f t="shared" ref="D60:N60" si="23">D58/$O$58</f>
        <v>0.33828090385467435</v>
      </c>
      <c r="E60" s="44">
        <f t="shared" si="23"/>
        <v>0.11564023039432876</v>
      </c>
      <c r="F60" s="44">
        <f t="shared" si="23"/>
        <v>0.15263624280017724</v>
      </c>
      <c r="G60" s="44">
        <f t="shared" si="23"/>
        <v>2.2153300841825432E-4</v>
      </c>
      <c r="H60" s="44">
        <f t="shared" si="23"/>
        <v>0</v>
      </c>
      <c r="I60" s="44">
        <f t="shared" si="23"/>
        <v>2.3704031900753212E-2</v>
      </c>
      <c r="J60" s="44">
        <f t="shared" si="23"/>
        <v>2.0381036774479399E-2</v>
      </c>
      <c r="K60" s="44">
        <f t="shared" si="23"/>
        <v>3.544528134692069E-3</v>
      </c>
      <c r="L60" s="44">
        <f t="shared" si="23"/>
        <v>4.2091271599468318E-3</v>
      </c>
      <c r="M60" s="44"/>
      <c r="N60" s="44">
        <f t="shared" si="23"/>
        <v>2.2153300841825432E-4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17" sqref="K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Kisaasi-Ntinda'!D5</f>
        <v>04.08.19</v>
      </c>
      <c r="E5" s="3"/>
      <c r="F5" s="41" t="s">
        <v>1</v>
      </c>
      <c r="G5" s="65" t="str">
        <f>'04.08 Kisaasi-Ntinda'!G5:H5</f>
        <v>Ndere Center</v>
      </c>
      <c r="H5" s="66"/>
      <c r="I5" s="14"/>
      <c r="J5" s="2" t="s">
        <v>5</v>
      </c>
      <c r="K5" s="65" t="s">
        <v>170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Ntinda-Kisaasi'!D6:E6</f>
        <v xml:space="preserve">Ntinda </v>
      </c>
      <c r="E6" s="66"/>
      <c r="F6" s="2" t="s">
        <v>2</v>
      </c>
      <c r="G6" s="65" t="str">
        <f>'29.07 Ntinda-Kisaasi'!G6:H6</f>
        <v>Kisaasi</v>
      </c>
      <c r="H6" s="66"/>
      <c r="J6" s="2" t="s">
        <v>21</v>
      </c>
      <c r="K6" s="65" t="str">
        <f>'04.08 Kisaasi-Ntinda'!K6:L6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8</v>
      </c>
      <c r="E10" s="50">
        <v>2</v>
      </c>
      <c r="F10" s="50">
        <v>8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45</v>
      </c>
      <c r="N10" s="50">
        <v>0</v>
      </c>
      <c r="O10" s="15">
        <f t="shared" ref="O10:O57" si="0">SUM(C10:L10,N10)</f>
        <v>36</v>
      </c>
      <c r="P10" s="15">
        <f t="shared" ref="P10:P57" si="1">SUM(C10:N10)</f>
        <v>81</v>
      </c>
      <c r="R10" s="1" t="s">
        <v>6</v>
      </c>
      <c r="S10" s="17">
        <f t="shared" ref="S10:AF10" si="2">SUM(C10:C13)</f>
        <v>44</v>
      </c>
      <c r="T10" s="17">
        <f t="shared" si="2"/>
        <v>21</v>
      </c>
      <c r="U10" s="17">
        <f t="shared" si="2"/>
        <v>5</v>
      </c>
      <c r="V10" s="17">
        <f t="shared" si="2"/>
        <v>33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5</v>
      </c>
      <c r="AC10" s="17">
        <f t="shared" si="2"/>
        <v>235</v>
      </c>
      <c r="AD10" s="17">
        <f t="shared" si="2"/>
        <v>0</v>
      </c>
      <c r="AE10" s="31">
        <f t="shared" si="2"/>
        <v>115</v>
      </c>
      <c r="AF10" s="31">
        <f t="shared" si="2"/>
        <v>350</v>
      </c>
    </row>
    <row r="11" spans="2:32" s="6" customFormat="1" ht="23.1" customHeight="1" x14ac:dyDescent="0.25">
      <c r="B11" s="23" t="s">
        <v>38</v>
      </c>
      <c r="C11" s="50">
        <v>12</v>
      </c>
      <c r="D11" s="50">
        <v>2</v>
      </c>
      <c r="E11" s="50">
        <v>1</v>
      </c>
      <c r="F11" s="50">
        <v>6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1</v>
      </c>
      <c r="M11" s="50">
        <v>55</v>
      </c>
      <c r="N11" s="50">
        <v>0</v>
      </c>
      <c r="O11" s="15">
        <f t="shared" si="0"/>
        <v>23</v>
      </c>
      <c r="P11" s="15">
        <f t="shared" si="1"/>
        <v>78</v>
      </c>
      <c r="R11" s="1" t="s">
        <v>7</v>
      </c>
      <c r="S11" s="17">
        <f t="shared" ref="S11:AF11" si="3">SUM(C14:C17)</f>
        <v>54</v>
      </c>
      <c r="T11" s="17">
        <f t="shared" si="3"/>
        <v>16</v>
      </c>
      <c r="U11" s="17">
        <f t="shared" si="3"/>
        <v>2</v>
      </c>
      <c r="V11" s="17">
        <f t="shared" si="3"/>
        <v>29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6</v>
      </c>
      <c r="AC11" s="17">
        <f t="shared" si="3"/>
        <v>185</v>
      </c>
      <c r="AD11" s="17">
        <f t="shared" si="3"/>
        <v>0</v>
      </c>
      <c r="AE11" s="31">
        <f t="shared" si="3"/>
        <v>110</v>
      </c>
      <c r="AF11" s="31">
        <f t="shared" si="3"/>
        <v>295</v>
      </c>
    </row>
    <row r="12" spans="2:32" ht="23.1" customHeight="1" x14ac:dyDescent="0.25">
      <c r="B12" s="23" t="s">
        <v>39</v>
      </c>
      <c r="C12" s="50">
        <v>11</v>
      </c>
      <c r="D12" s="50">
        <v>4</v>
      </c>
      <c r="E12" s="50">
        <v>1</v>
      </c>
      <c r="F12" s="50">
        <v>11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3</v>
      </c>
      <c r="M12" s="50">
        <v>60</v>
      </c>
      <c r="N12" s="50">
        <v>0</v>
      </c>
      <c r="O12" s="15">
        <f t="shared" si="0"/>
        <v>32</v>
      </c>
      <c r="P12" s="15">
        <f t="shared" si="1"/>
        <v>92</v>
      </c>
      <c r="R12" s="1" t="s">
        <v>8</v>
      </c>
      <c r="S12" s="17">
        <f t="shared" ref="S12:AF12" si="4">SUM(C18:C21)</f>
        <v>139</v>
      </c>
      <c r="T12" s="17">
        <f t="shared" si="4"/>
        <v>71</v>
      </c>
      <c r="U12" s="17">
        <f t="shared" si="4"/>
        <v>21</v>
      </c>
      <c r="V12" s="17">
        <f t="shared" si="4"/>
        <v>64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2</v>
      </c>
      <c r="AA12" s="17">
        <f t="shared" si="4"/>
        <v>0</v>
      </c>
      <c r="AB12" s="17">
        <f t="shared" si="4"/>
        <v>3</v>
      </c>
      <c r="AC12" s="17">
        <f t="shared" si="4"/>
        <v>313</v>
      </c>
      <c r="AD12" s="17">
        <f t="shared" si="4"/>
        <v>0</v>
      </c>
      <c r="AE12" s="31">
        <f t="shared" si="4"/>
        <v>310</v>
      </c>
      <c r="AF12" s="31">
        <f t="shared" si="4"/>
        <v>623</v>
      </c>
    </row>
    <row r="13" spans="2:32" ht="23.1" customHeight="1" x14ac:dyDescent="0.25">
      <c r="B13" s="23" t="s">
        <v>40</v>
      </c>
      <c r="C13" s="50">
        <v>6</v>
      </c>
      <c r="D13" s="50">
        <v>7</v>
      </c>
      <c r="E13" s="50">
        <v>1</v>
      </c>
      <c r="F13" s="50">
        <v>8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1</v>
      </c>
      <c r="M13" s="50">
        <v>75</v>
      </c>
      <c r="N13" s="50">
        <v>0</v>
      </c>
      <c r="O13" s="15">
        <f t="shared" si="0"/>
        <v>24</v>
      </c>
      <c r="P13" s="15">
        <f t="shared" si="1"/>
        <v>99</v>
      </c>
      <c r="R13" s="1" t="s">
        <v>9</v>
      </c>
      <c r="S13" s="17">
        <f t="shared" ref="S13:AF13" si="5">SUM(C22:C25)</f>
        <v>171</v>
      </c>
      <c r="T13" s="17">
        <f t="shared" si="5"/>
        <v>98</v>
      </c>
      <c r="U13" s="17">
        <f t="shared" si="5"/>
        <v>25</v>
      </c>
      <c r="V13" s="17">
        <f t="shared" si="5"/>
        <v>48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3</v>
      </c>
      <c r="AA13" s="17">
        <f t="shared" si="5"/>
        <v>1</v>
      </c>
      <c r="AB13" s="17">
        <f t="shared" si="5"/>
        <v>1</v>
      </c>
      <c r="AC13" s="17">
        <f t="shared" si="5"/>
        <v>395</v>
      </c>
      <c r="AD13" s="17">
        <f t="shared" si="5"/>
        <v>0</v>
      </c>
      <c r="AE13" s="31">
        <f t="shared" si="5"/>
        <v>357</v>
      </c>
      <c r="AF13" s="31">
        <f t="shared" si="5"/>
        <v>752</v>
      </c>
    </row>
    <row r="14" spans="2:32" ht="23.1" customHeight="1" x14ac:dyDescent="0.25">
      <c r="B14" s="23" t="s">
        <v>41</v>
      </c>
      <c r="C14" s="50">
        <v>15</v>
      </c>
      <c r="D14" s="50">
        <v>6</v>
      </c>
      <c r="E14" s="50">
        <v>2</v>
      </c>
      <c r="F14" s="50">
        <v>8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65</v>
      </c>
      <c r="N14" s="50">
        <v>0</v>
      </c>
      <c r="O14" s="15">
        <f t="shared" si="0"/>
        <v>32</v>
      </c>
      <c r="P14" s="15">
        <f t="shared" si="1"/>
        <v>97</v>
      </c>
      <c r="R14" s="1" t="s">
        <v>10</v>
      </c>
      <c r="S14" s="17">
        <f t="shared" ref="S14:AF14" si="6">SUM(C26:C29)</f>
        <v>184</v>
      </c>
      <c r="T14" s="17">
        <f t="shared" si="6"/>
        <v>95</v>
      </c>
      <c r="U14" s="17">
        <f t="shared" si="6"/>
        <v>25</v>
      </c>
      <c r="V14" s="17">
        <f t="shared" si="6"/>
        <v>49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3</v>
      </c>
      <c r="AA14" s="17">
        <f t="shared" si="6"/>
        <v>0</v>
      </c>
      <c r="AB14" s="17">
        <f t="shared" si="6"/>
        <v>2</v>
      </c>
      <c r="AC14" s="17">
        <f t="shared" si="6"/>
        <v>360</v>
      </c>
      <c r="AD14" s="17">
        <f t="shared" si="6"/>
        <v>0</v>
      </c>
      <c r="AE14" s="31">
        <f t="shared" si="6"/>
        <v>370</v>
      </c>
      <c r="AF14" s="31">
        <f t="shared" si="6"/>
        <v>730</v>
      </c>
    </row>
    <row r="15" spans="2:32" ht="23.1" customHeight="1" x14ac:dyDescent="0.25">
      <c r="B15" s="23" t="s">
        <v>42</v>
      </c>
      <c r="C15" s="50">
        <v>6</v>
      </c>
      <c r="D15" s="50">
        <v>2</v>
      </c>
      <c r="E15" s="50">
        <v>0</v>
      </c>
      <c r="F15" s="50">
        <v>8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</v>
      </c>
      <c r="M15" s="50">
        <v>35</v>
      </c>
      <c r="N15" s="50">
        <v>0</v>
      </c>
      <c r="O15" s="15">
        <f t="shared" si="0"/>
        <v>18</v>
      </c>
      <c r="P15" s="15">
        <f t="shared" si="1"/>
        <v>53</v>
      </c>
      <c r="R15" s="1" t="s">
        <v>11</v>
      </c>
      <c r="S15" s="17">
        <f t="shared" ref="S15:AF15" si="7">SUM(C30:C33)</f>
        <v>231</v>
      </c>
      <c r="T15" s="17">
        <f t="shared" si="7"/>
        <v>118</v>
      </c>
      <c r="U15" s="17">
        <f t="shared" si="7"/>
        <v>25</v>
      </c>
      <c r="V15" s="17">
        <f t="shared" si="7"/>
        <v>35</v>
      </c>
      <c r="W15" s="17">
        <f t="shared" si="7"/>
        <v>0</v>
      </c>
      <c r="X15" s="17">
        <f t="shared" si="7"/>
        <v>1</v>
      </c>
      <c r="Y15" s="17">
        <f t="shared" si="7"/>
        <v>14</v>
      </c>
      <c r="Z15" s="17">
        <f t="shared" si="7"/>
        <v>3</v>
      </c>
      <c r="AA15" s="17">
        <f t="shared" si="7"/>
        <v>0</v>
      </c>
      <c r="AB15" s="17">
        <f t="shared" si="7"/>
        <v>2</v>
      </c>
      <c r="AC15" s="17">
        <f t="shared" si="7"/>
        <v>321</v>
      </c>
      <c r="AD15" s="17">
        <f t="shared" si="7"/>
        <v>0</v>
      </c>
      <c r="AE15" s="31">
        <f t="shared" si="7"/>
        <v>429</v>
      </c>
      <c r="AF15" s="31">
        <f t="shared" si="7"/>
        <v>750</v>
      </c>
    </row>
    <row r="16" spans="2:32" ht="23.1" customHeight="1" x14ac:dyDescent="0.25">
      <c r="B16" s="23" t="s">
        <v>43</v>
      </c>
      <c r="C16" s="50">
        <v>16</v>
      </c>
      <c r="D16" s="50">
        <v>3</v>
      </c>
      <c r="E16" s="50">
        <v>0</v>
      </c>
      <c r="F16" s="50">
        <v>6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2</v>
      </c>
      <c r="M16" s="50">
        <v>25</v>
      </c>
      <c r="N16" s="50">
        <v>0</v>
      </c>
      <c r="O16" s="15">
        <f t="shared" si="0"/>
        <v>28</v>
      </c>
      <c r="P16" s="15">
        <f t="shared" si="1"/>
        <v>53</v>
      </c>
      <c r="R16" s="1" t="s">
        <v>12</v>
      </c>
      <c r="S16" s="17">
        <f t="shared" ref="S16:AF16" si="8">SUM(C34:C37)</f>
        <v>236</v>
      </c>
      <c r="T16" s="17">
        <f t="shared" si="8"/>
        <v>87</v>
      </c>
      <c r="U16" s="17">
        <f t="shared" si="8"/>
        <v>18</v>
      </c>
      <c r="V16" s="17">
        <f t="shared" si="8"/>
        <v>42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324</v>
      </c>
      <c r="AD16" s="17">
        <f t="shared" si="8"/>
        <v>0</v>
      </c>
      <c r="AE16" s="31">
        <f t="shared" si="8"/>
        <v>398</v>
      </c>
      <c r="AF16" s="31">
        <f t="shared" si="8"/>
        <v>722</v>
      </c>
    </row>
    <row r="17" spans="2:32" ht="23.1" customHeight="1" x14ac:dyDescent="0.25">
      <c r="B17" s="23" t="s">
        <v>44</v>
      </c>
      <c r="C17" s="50">
        <v>17</v>
      </c>
      <c r="D17" s="50">
        <v>5</v>
      </c>
      <c r="E17" s="50">
        <v>0</v>
      </c>
      <c r="F17" s="50">
        <v>7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3</v>
      </c>
      <c r="M17" s="50">
        <v>60</v>
      </c>
      <c r="N17" s="50">
        <v>0</v>
      </c>
      <c r="O17" s="15">
        <f t="shared" si="0"/>
        <v>32</v>
      </c>
      <c r="P17" s="15">
        <f t="shared" si="1"/>
        <v>92</v>
      </c>
      <c r="R17" s="1" t="s">
        <v>13</v>
      </c>
      <c r="S17" s="17">
        <f t="shared" ref="S17:AF17" si="9">SUM(C38:C41)</f>
        <v>329</v>
      </c>
      <c r="T17" s="17">
        <f t="shared" si="9"/>
        <v>184</v>
      </c>
      <c r="U17" s="17">
        <f t="shared" si="9"/>
        <v>19</v>
      </c>
      <c r="V17" s="17">
        <f t="shared" si="9"/>
        <v>40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8</v>
      </c>
      <c r="AA17" s="17">
        <f t="shared" si="9"/>
        <v>2</v>
      </c>
      <c r="AB17" s="17">
        <f t="shared" si="9"/>
        <v>5</v>
      </c>
      <c r="AC17" s="17">
        <f t="shared" si="9"/>
        <v>360</v>
      </c>
      <c r="AD17" s="17">
        <f t="shared" si="9"/>
        <v>0</v>
      </c>
      <c r="AE17" s="31">
        <f t="shared" si="9"/>
        <v>601</v>
      </c>
      <c r="AF17" s="31">
        <f t="shared" si="9"/>
        <v>961</v>
      </c>
    </row>
    <row r="18" spans="2:32" ht="23.1" customHeight="1" x14ac:dyDescent="0.25">
      <c r="B18" s="23" t="s">
        <v>45</v>
      </c>
      <c r="C18" s="50">
        <v>37</v>
      </c>
      <c r="D18" s="50">
        <v>16</v>
      </c>
      <c r="E18" s="50">
        <v>11</v>
      </c>
      <c r="F18" s="50">
        <v>20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1</v>
      </c>
      <c r="M18" s="50">
        <v>80</v>
      </c>
      <c r="N18" s="50">
        <v>0</v>
      </c>
      <c r="O18" s="15">
        <f t="shared" si="0"/>
        <v>86</v>
      </c>
      <c r="P18" s="15">
        <f t="shared" si="1"/>
        <v>166</v>
      </c>
      <c r="R18" s="1" t="s">
        <v>14</v>
      </c>
      <c r="S18" s="17">
        <f t="shared" ref="S18:AF18" si="10">SUM(C42:C45)</f>
        <v>208</v>
      </c>
      <c r="T18" s="17">
        <f t="shared" si="10"/>
        <v>96</v>
      </c>
      <c r="U18" s="17">
        <f t="shared" si="10"/>
        <v>24</v>
      </c>
      <c r="V18" s="17">
        <f t="shared" si="10"/>
        <v>44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2</v>
      </c>
      <c r="AA18" s="17">
        <f t="shared" si="10"/>
        <v>1</v>
      </c>
      <c r="AB18" s="17">
        <f t="shared" si="10"/>
        <v>2</v>
      </c>
      <c r="AC18" s="17">
        <f t="shared" si="10"/>
        <v>265</v>
      </c>
      <c r="AD18" s="17">
        <f t="shared" si="10"/>
        <v>0</v>
      </c>
      <c r="AE18" s="31">
        <f t="shared" si="10"/>
        <v>391</v>
      </c>
      <c r="AF18" s="31">
        <f t="shared" si="10"/>
        <v>656</v>
      </c>
    </row>
    <row r="19" spans="2:32" ht="23.1" customHeight="1" x14ac:dyDescent="0.25">
      <c r="B19" s="23" t="s">
        <v>46</v>
      </c>
      <c r="C19" s="50">
        <v>32</v>
      </c>
      <c r="D19" s="50">
        <v>13</v>
      </c>
      <c r="E19" s="50">
        <v>4</v>
      </c>
      <c r="F19" s="50">
        <v>21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1</v>
      </c>
      <c r="M19" s="50">
        <v>63</v>
      </c>
      <c r="N19" s="50">
        <v>0</v>
      </c>
      <c r="O19" s="15">
        <f t="shared" si="0"/>
        <v>76</v>
      </c>
      <c r="P19" s="15">
        <f t="shared" si="1"/>
        <v>139</v>
      </c>
      <c r="R19" s="1" t="s">
        <v>15</v>
      </c>
      <c r="S19" s="17">
        <f t="shared" ref="S19:AF19" si="11">SUM(C46:C49)</f>
        <v>184</v>
      </c>
      <c r="T19" s="17">
        <f t="shared" si="11"/>
        <v>104</v>
      </c>
      <c r="U19" s="17">
        <f t="shared" si="11"/>
        <v>20</v>
      </c>
      <c r="V19" s="17">
        <f t="shared" si="11"/>
        <v>50</v>
      </c>
      <c r="W19" s="17">
        <f t="shared" si="11"/>
        <v>0</v>
      </c>
      <c r="X19" s="17">
        <f t="shared" si="11"/>
        <v>0</v>
      </c>
      <c r="Y19" s="17">
        <f t="shared" si="11"/>
        <v>12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355</v>
      </c>
      <c r="AD19" s="17">
        <f t="shared" si="11"/>
        <v>0</v>
      </c>
      <c r="AE19" s="31">
        <f t="shared" si="11"/>
        <v>371</v>
      </c>
      <c r="AF19" s="31">
        <f t="shared" si="11"/>
        <v>726</v>
      </c>
    </row>
    <row r="20" spans="2:32" ht="23.1" customHeight="1" x14ac:dyDescent="0.25">
      <c r="B20" s="23" t="s">
        <v>47</v>
      </c>
      <c r="C20" s="50">
        <v>33</v>
      </c>
      <c r="D20" s="50">
        <v>12</v>
      </c>
      <c r="E20" s="50">
        <v>2</v>
      </c>
      <c r="F20" s="50">
        <v>11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1</v>
      </c>
      <c r="M20" s="50">
        <v>75</v>
      </c>
      <c r="N20" s="50">
        <v>0</v>
      </c>
      <c r="O20" s="15">
        <f t="shared" si="0"/>
        <v>61</v>
      </c>
      <c r="P20" s="15">
        <f t="shared" si="1"/>
        <v>136</v>
      </c>
      <c r="R20" s="1" t="s">
        <v>16</v>
      </c>
      <c r="S20" s="17">
        <f t="shared" ref="S20:AF20" si="12">SUM(C50:C53)</f>
        <v>157</v>
      </c>
      <c r="T20" s="17">
        <f t="shared" si="12"/>
        <v>66</v>
      </c>
      <c r="U20" s="17">
        <f t="shared" si="12"/>
        <v>20</v>
      </c>
      <c r="V20" s="17">
        <f t="shared" si="12"/>
        <v>41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360</v>
      </c>
      <c r="AD20" s="17">
        <f t="shared" si="12"/>
        <v>0</v>
      </c>
      <c r="AE20" s="31">
        <f t="shared" si="12"/>
        <v>294</v>
      </c>
      <c r="AF20" s="31">
        <f t="shared" si="12"/>
        <v>654</v>
      </c>
    </row>
    <row r="21" spans="2:32" ht="23.1" customHeight="1" x14ac:dyDescent="0.25">
      <c r="B21" s="23" t="s">
        <v>48</v>
      </c>
      <c r="C21" s="50">
        <v>37</v>
      </c>
      <c r="D21" s="50">
        <v>30</v>
      </c>
      <c r="E21" s="50">
        <v>4</v>
      </c>
      <c r="F21" s="50">
        <v>12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95</v>
      </c>
      <c r="N21" s="50">
        <v>0</v>
      </c>
      <c r="O21" s="15">
        <f t="shared" si="0"/>
        <v>87</v>
      </c>
      <c r="P21" s="15">
        <f t="shared" si="1"/>
        <v>182</v>
      </c>
      <c r="R21" s="36" t="s">
        <v>20</v>
      </c>
      <c r="S21" s="34">
        <f t="shared" ref="S21:AF21" si="13">SUM(C54:C57)</f>
        <v>183</v>
      </c>
      <c r="T21" s="17">
        <f t="shared" si="13"/>
        <v>72</v>
      </c>
      <c r="U21" s="17">
        <f t="shared" si="13"/>
        <v>20</v>
      </c>
      <c r="V21" s="17">
        <f t="shared" si="13"/>
        <v>37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3</v>
      </c>
      <c r="AA21" s="17">
        <f t="shared" si="13"/>
        <v>0</v>
      </c>
      <c r="AB21" s="17">
        <f t="shared" si="13"/>
        <v>1</v>
      </c>
      <c r="AC21" s="17">
        <f t="shared" si="13"/>
        <v>270</v>
      </c>
      <c r="AD21" s="17">
        <f t="shared" si="13"/>
        <v>0</v>
      </c>
      <c r="AE21" s="31">
        <f t="shared" si="13"/>
        <v>324</v>
      </c>
      <c r="AF21" s="31">
        <f t="shared" si="13"/>
        <v>594</v>
      </c>
    </row>
    <row r="22" spans="2:32" ht="23.1" customHeight="1" x14ac:dyDescent="0.25">
      <c r="B22" s="23" t="s">
        <v>49</v>
      </c>
      <c r="C22" s="50">
        <v>58</v>
      </c>
      <c r="D22" s="50">
        <v>33</v>
      </c>
      <c r="E22" s="50">
        <v>3</v>
      </c>
      <c r="F22" s="50">
        <v>10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105</v>
      </c>
      <c r="N22" s="50">
        <v>0</v>
      </c>
      <c r="O22" s="15">
        <f t="shared" si="0"/>
        <v>108</v>
      </c>
      <c r="P22" s="15">
        <f t="shared" si="1"/>
        <v>213</v>
      </c>
      <c r="R22" s="38" t="s">
        <v>90</v>
      </c>
      <c r="S22" s="39">
        <f>MAX(S10:S12)</f>
        <v>139</v>
      </c>
      <c r="T22" s="39">
        <f t="shared" ref="T22:AF22" si="14">MAX(T10:T12)</f>
        <v>71</v>
      </c>
      <c r="U22" s="39">
        <f t="shared" si="14"/>
        <v>21</v>
      </c>
      <c r="V22" s="39">
        <f t="shared" si="14"/>
        <v>64</v>
      </c>
      <c r="W22" s="39">
        <f t="shared" si="14"/>
        <v>0</v>
      </c>
      <c r="X22" s="39">
        <f t="shared" si="14"/>
        <v>0</v>
      </c>
      <c r="Y22" s="39">
        <f t="shared" si="14"/>
        <v>10</v>
      </c>
      <c r="Z22" s="39">
        <f t="shared" si="14"/>
        <v>2</v>
      </c>
      <c r="AA22" s="39">
        <f t="shared" si="14"/>
        <v>0</v>
      </c>
      <c r="AB22" s="39">
        <f t="shared" si="14"/>
        <v>6</v>
      </c>
      <c r="AC22" s="39">
        <f t="shared" si="14"/>
        <v>313</v>
      </c>
      <c r="AD22" s="39">
        <f t="shared" si="14"/>
        <v>0</v>
      </c>
      <c r="AE22" s="40">
        <f t="shared" si="14"/>
        <v>310</v>
      </c>
      <c r="AF22" s="40">
        <f t="shared" si="14"/>
        <v>623</v>
      </c>
    </row>
    <row r="23" spans="2:32" ht="23.1" customHeight="1" x14ac:dyDescent="0.25">
      <c r="B23" s="23" t="s">
        <v>50</v>
      </c>
      <c r="C23" s="50">
        <v>31</v>
      </c>
      <c r="D23" s="50">
        <v>19</v>
      </c>
      <c r="E23" s="50">
        <v>4</v>
      </c>
      <c r="F23" s="50">
        <v>12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100</v>
      </c>
      <c r="N23" s="50">
        <v>0</v>
      </c>
      <c r="O23" s="15">
        <f t="shared" si="0"/>
        <v>68</v>
      </c>
      <c r="P23" s="15">
        <f t="shared" si="1"/>
        <v>168</v>
      </c>
      <c r="R23" s="38" t="s">
        <v>91</v>
      </c>
      <c r="S23" s="39">
        <f>MAX(S13:S18)</f>
        <v>329</v>
      </c>
      <c r="T23" s="39">
        <f t="shared" ref="T23:AF23" si="15">MAX(T13:T18)</f>
        <v>184</v>
      </c>
      <c r="U23" s="39">
        <f t="shared" si="15"/>
        <v>25</v>
      </c>
      <c r="V23" s="39">
        <f t="shared" si="15"/>
        <v>49</v>
      </c>
      <c r="W23" s="39">
        <f t="shared" si="15"/>
        <v>0</v>
      </c>
      <c r="X23" s="39">
        <f t="shared" si="15"/>
        <v>1</v>
      </c>
      <c r="Y23" s="39">
        <f t="shared" si="15"/>
        <v>14</v>
      </c>
      <c r="Z23" s="39">
        <f t="shared" si="15"/>
        <v>8</v>
      </c>
      <c r="AA23" s="39">
        <f t="shared" si="15"/>
        <v>2</v>
      </c>
      <c r="AB23" s="39">
        <f t="shared" si="15"/>
        <v>5</v>
      </c>
      <c r="AC23" s="39">
        <f t="shared" si="15"/>
        <v>395</v>
      </c>
      <c r="AD23" s="39">
        <f t="shared" si="15"/>
        <v>0</v>
      </c>
      <c r="AE23" s="40">
        <f t="shared" si="15"/>
        <v>601</v>
      </c>
      <c r="AF23" s="40">
        <f t="shared" si="15"/>
        <v>961</v>
      </c>
    </row>
    <row r="24" spans="2:32" ht="23.1" customHeight="1" x14ac:dyDescent="0.25">
      <c r="B24" s="23" t="s">
        <v>51</v>
      </c>
      <c r="C24" s="50">
        <v>34</v>
      </c>
      <c r="D24" s="50">
        <v>24</v>
      </c>
      <c r="E24" s="50">
        <v>8</v>
      </c>
      <c r="F24" s="50">
        <v>10</v>
      </c>
      <c r="G24" s="50">
        <v>0</v>
      </c>
      <c r="H24" s="50">
        <v>0</v>
      </c>
      <c r="I24" s="50">
        <v>2</v>
      </c>
      <c r="J24" s="50">
        <v>2</v>
      </c>
      <c r="K24" s="50">
        <v>1</v>
      </c>
      <c r="L24" s="50">
        <v>0</v>
      </c>
      <c r="M24" s="50">
        <v>75</v>
      </c>
      <c r="N24" s="50">
        <v>0</v>
      </c>
      <c r="O24" s="15">
        <f t="shared" si="0"/>
        <v>81</v>
      </c>
      <c r="P24" s="15">
        <f t="shared" si="1"/>
        <v>156</v>
      </c>
      <c r="R24" s="38" t="s">
        <v>92</v>
      </c>
      <c r="S24" s="39">
        <f>MAX(S19:S21)</f>
        <v>184</v>
      </c>
      <c r="T24" s="39">
        <f t="shared" ref="T24:AF24" si="16">MAX(T19:T21)</f>
        <v>104</v>
      </c>
      <c r="U24" s="39">
        <f t="shared" si="16"/>
        <v>20</v>
      </c>
      <c r="V24" s="39">
        <f t="shared" si="16"/>
        <v>50</v>
      </c>
      <c r="W24" s="39">
        <f t="shared" si="16"/>
        <v>0</v>
      </c>
      <c r="X24" s="39">
        <f t="shared" si="16"/>
        <v>0</v>
      </c>
      <c r="Y24" s="39">
        <f t="shared" si="16"/>
        <v>12</v>
      </c>
      <c r="Z24" s="39">
        <f t="shared" si="16"/>
        <v>3</v>
      </c>
      <c r="AA24" s="39">
        <f t="shared" si="16"/>
        <v>0</v>
      </c>
      <c r="AB24" s="39">
        <f t="shared" si="16"/>
        <v>1</v>
      </c>
      <c r="AC24" s="39">
        <f t="shared" si="16"/>
        <v>360</v>
      </c>
      <c r="AD24" s="39">
        <f t="shared" si="16"/>
        <v>0</v>
      </c>
      <c r="AE24" s="40">
        <f t="shared" si="16"/>
        <v>371</v>
      </c>
      <c r="AF24" s="40">
        <f t="shared" si="16"/>
        <v>726</v>
      </c>
    </row>
    <row r="25" spans="2:32" ht="23.1" customHeight="1" x14ac:dyDescent="0.25">
      <c r="B25" s="23" t="s">
        <v>52</v>
      </c>
      <c r="C25" s="50">
        <v>48</v>
      </c>
      <c r="D25" s="50">
        <v>22</v>
      </c>
      <c r="E25" s="50">
        <v>10</v>
      </c>
      <c r="F25" s="50">
        <v>16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1</v>
      </c>
      <c r="M25" s="50">
        <v>115</v>
      </c>
      <c r="N25" s="50">
        <v>0</v>
      </c>
      <c r="O25" s="15">
        <f t="shared" si="0"/>
        <v>100</v>
      </c>
      <c r="P25" s="15">
        <f t="shared" si="1"/>
        <v>215</v>
      </c>
      <c r="R25" s="37" t="s">
        <v>85</v>
      </c>
      <c r="S25" s="35">
        <f t="shared" ref="S25:AF25" si="17">SUM(S10:S12)</f>
        <v>237</v>
      </c>
      <c r="T25" s="16">
        <f t="shared" si="17"/>
        <v>108</v>
      </c>
      <c r="U25" s="16">
        <f t="shared" si="17"/>
        <v>28</v>
      </c>
      <c r="V25" s="16">
        <f t="shared" si="17"/>
        <v>126</v>
      </c>
      <c r="W25" s="16">
        <f t="shared" si="17"/>
        <v>0</v>
      </c>
      <c r="X25" s="16">
        <f t="shared" si="17"/>
        <v>0</v>
      </c>
      <c r="Y25" s="16">
        <f t="shared" si="17"/>
        <v>20</v>
      </c>
      <c r="Z25" s="16">
        <f t="shared" si="17"/>
        <v>2</v>
      </c>
      <c r="AA25" s="16">
        <f t="shared" si="17"/>
        <v>0</v>
      </c>
      <c r="AB25" s="16">
        <f t="shared" si="17"/>
        <v>14</v>
      </c>
      <c r="AC25" s="16">
        <f t="shared" si="17"/>
        <v>733</v>
      </c>
      <c r="AD25" s="16">
        <f t="shared" si="17"/>
        <v>0</v>
      </c>
      <c r="AE25" s="32">
        <f t="shared" si="17"/>
        <v>535</v>
      </c>
      <c r="AF25" s="32">
        <f t="shared" si="17"/>
        <v>1268</v>
      </c>
    </row>
    <row r="26" spans="2:32" ht="23.1" customHeight="1" x14ac:dyDescent="0.25">
      <c r="B26" s="23" t="s">
        <v>53</v>
      </c>
      <c r="C26" s="50">
        <v>35</v>
      </c>
      <c r="D26" s="50">
        <v>18</v>
      </c>
      <c r="E26" s="50">
        <v>5</v>
      </c>
      <c r="F26" s="50">
        <v>12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1</v>
      </c>
      <c r="M26" s="50">
        <v>95</v>
      </c>
      <c r="N26" s="50">
        <v>0</v>
      </c>
      <c r="O26" s="15">
        <f t="shared" si="0"/>
        <v>74</v>
      </c>
      <c r="P26" s="15">
        <f t="shared" si="1"/>
        <v>169</v>
      </c>
      <c r="R26" s="28" t="s">
        <v>86</v>
      </c>
      <c r="S26" s="16">
        <f t="shared" ref="S26:AF26" si="18">SUM(S13:S18)</f>
        <v>1359</v>
      </c>
      <c r="T26" s="16">
        <f t="shared" si="18"/>
        <v>678</v>
      </c>
      <c r="U26" s="16">
        <f t="shared" si="18"/>
        <v>136</v>
      </c>
      <c r="V26" s="16">
        <f t="shared" si="18"/>
        <v>258</v>
      </c>
      <c r="W26" s="16">
        <f t="shared" si="18"/>
        <v>0</v>
      </c>
      <c r="X26" s="16">
        <f t="shared" si="18"/>
        <v>1</v>
      </c>
      <c r="Y26" s="16">
        <f t="shared" si="18"/>
        <v>74</v>
      </c>
      <c r="Z26" s="16">
        <f t="shared" si="18"/>
        <v>23</v>
      </c>
      <c r="AA26" s="16">
        <f t="shared" si="18"/>
        <v>5</v>
      </c>
      <c r="AB26" s="16">
        <f t="shared" si="18"/>
        <v>12</v>
      </c>
      <c r="AC26" s="16">
        <f t="shared" si="18"/>
        <v>2025</v>
      </c>
      <c r="AD26" s="16">
        <f t="shared" si="18"/>
        <v>0</v>
      </c>
      <c r="AE26" s="32">
        <f t="shared" si="18"/>
        <v>2546</v>
      </c>
      <c r="AF26" s="32">
        <f t="shared" si="18"/>
        <v>4571</v>
      </c>
    </row>
    <row r="27" spans="2:32" ht="23.1" customHeight="1" x14ac:dyDescent="0.25">
      <c r="B27" s="23" t="s">
        <v>54</v>
      </c>
      <c r="C27" s="50">
        <v>43</v>
      </c>
      <c r="D27" s="50">
        <v>16</v>
      </c>
      <c r="E27" s="50">
        <v>7</v>
      </c>
      <c r="F27" s="50">
        <v>13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70</v>
      </c>
      <c r="N27" s="50">
        <v>0</v>
      </c>
      <c r="O27" s="15">
        <f t="shared" si="0"/>
        <v>83</v>
      </c>
      <c r="P27" s="15">
        <f t="shared" si="1"/>
        <v>153</v>
      </c>
      <c r="R27" s="29" t="s">
        <v>87</v>
      </c>
      <c r="S27" s="16">
        <f t="shared" ref="S27:AF27" si="19">SUM(S19:S21)</f>
        <v>524</v>
      </c>
      <c r="T27" s="16">
        <f t="shared" si="19"/>
        <v>242</v>
      </c>
      <c r="U27" s="16">
        <f t="shared" si="19"/>
        <v>60</v>
      </c>
      <c r="V27" s="16">
        <f t="shared" si="19"/>
        <v>128</v>
      </c>
      <c r="W27" s="16">
        <f t="shared" si="19"/>
        <v>0</v>
      </c>
      <c r="X27" s="16">
        <f t="shared" si="19"/>
        <v>0</v>
      </c>
      <c r="Y27" s="16">
        <f t="shared" si="19"/>
        <v>29</v>
      </c>
      <c r="Z27" s="16">
        <f t="shared" si="19"/>
        <v>5</v>
      </c>
      <c r="AA27" s="16">
        <f t="shared" si="19"/>
        <v>0</v>
      </c>
      <c r="AB27" s="16">
        <f t="shared" si="19"/>
        <v>1</v>
      </c>
      <c r="AC27" s="16">
        <f t="shared" si="19"/>
        <v>985</v>
      </c>
      <c r="AD27" s="16">
        <f t="shared" si="19"/>
        <v>0</v>
      </c>
      <c r="AE27" s="32">
        <f t="shared" si="19"/>
        <v>989</v>
      </c>
      <c r="AF27" s="32">
        <f t="shared" si="19"/>
        <v>1974</v>
      </c>
    </row>
    <row r="28" spans="2:32" ht="23.1" customHeight="1" x14ac:dyDescent="0.25">
      <c r="B28" s="23" t="s">
        <v>55</v>
      </c>
      <c r="C28" s="50">
        <v>51</v>
      </c>
      <c r="D28" s="50">
        <v>34</v>
      </c>
      <c r="E28" s="50">
        <v>10</v>
      </c>
      <c r="F28" s="50">
        <v>14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1</v>
      </c>
      <c r="M28" s="50">
        <v>95</v>
      </c>
      <c r="N28" s="50">
        <v>0</v>
      </c>
      <c r="O28" s="15">
        <f t="shared" si="0"/>
        <v>116</v>
      </c>
      <c r="P28" s="15">
        <f t="shared" si="1"/>
        <v>211</v>
      </c>
      <c r="R28" s="5" t="s">
        <v>17</v>
      </c>
      <c r="S28" s="16">
        <f t="shared" ref="S28:AF28" si="20">SUM(S10:S21)</f>
        <v>2120</v>
      </c>
      <c r="T28" s="16">
        <f t="shared" si="20"/>
        <v>1028</v>
      </c>
      <c r="U28" s="16">
        <f t="shared" si="20"/>
        <v>224</v>
      </c>
      <c r="V28" s="16">
        <f t="shared" si="20"/>
        <v>512</v>
      </c>
      <c r="W28" s="16">
        <f t="shared" si="20"/>
        <v>0</v>
      </c>
      <c r="X28" s="16">
        <f t="shared" si="20"/>
        <v>1</v>
      </c>
      <c r="Y28" s="16">
        <f t="shared" si="20"/>
        <v>123</v>
      </c>
      <c r="Z28" s="16">
        <f t="shared" si="20"/>
        <v>30</v>
      </c>
      <c r="AA28" s="16">
        <f t="shared" si="20"/>
        <v>5</v>
      </c>
      <c r="AB28" s="16">
        <f t="shared" si="20"/>
        <v>27</v>
      </c>
      <c r="AC28" s="16">
        <f t="shared" si="20"/>
        <v>3743</v>
      </c>
      <c r="AD28" s="16">
        <f t="shared" si="20"/>
        <v>0</v>
      </c>
      <c r="AE28" s="32">
        <f t="shared" si="20"/>
        <v>4070</v>
      </c>
      <c r="AF28" s="32">
        <f t="shared" si="20"/>
        <v>7813</v>
      </c>
    </row>
    <row r="29" spans="2:32" ht="23.1" customHeight="1" x14ac:dyDescent="0.25">
      <c r="B29" s="23" t="s">
        <v>56</v>
      </c>
      <c r="C29" s="50">
        <v>55</v>
      </c>
      <c r="D29" s="50">
        <v>27</v>
      </c>
      <c r="E29" s="50">
        <v>3</v>
      </c>
      <c r="F29" s="50">
        <v>10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100</v>
      </c>
      <c r="N29" s="50">
        <v>0</v>
      </c>
      <c r="O29" s="15">
        <f t="shared" si="0"/>
        <v>97</v>
      </c>
      <c r="P29" s="15">
        <f t="shared" si="1"/>
        <v>197</v>
      </c>
      <c r="R29"/>
      <c r="S29" s="20"/>
      <c r="T29" s="19"/>
    </row>
    <row r="30" spans="2:32" ht="23.1" customHeight="1" x14ac:dyDescent="0.25">
      <c r="B30" s="23" t="s">
        <v>57</v>
      </c>
      <c r="C30" s="50">
        <v>51</v>
      </c>
      <c r="D30" s="50">
        <v>36</v>
      </c>
      <c r="E30" s="50">
        <v>7</v>
      </c>
      <c r="F30" s="50">
        <v>13</v>
      </c>
      <c r="G30" s="50">
        <v>0</v>
      </c>
      <c r="H30" s="50">
        <v>1</v>
      </c>
      <c r="I30" s="50">
        <v>6</v>
      </c>
      <c r="J30" s="50">
        <v>0</v>
      </c>
      <c r="K30" s="50">
        <v>0</v>
      </c>
      <c r="L30" s="50">
        <v>1</v>
      </c>
      <c r="M30" s="50">
        <v>71</v>
      </c>
      <c r="N30" s="50">
        <v>0</v>
      </c>
      <c r="O30" s="15">
        <f t="shared" si="0"/>
        <v>115</v>
      </c>
      <c r="P30" s="15">
        <f t="shared" si="1"/>
        <v>186</v>
      </c>
    </row>
    <row r="31" spans="2:32" ht="23.1" customHeight="1" x14ac:dyDescent="0.25">
      <c r="B31" s="24" t="s">
        <v>58</v>
      </c>
      <c r="C31" s="50">
        <v>78</v>
      </c>
      <c r="D31" s="50">
        <v>31</v>
      </c>
      <c r="E31" s="50">
        <v>7</v>
      </c>
      <c r="F31" s="50">
        <v>10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105</v>
      </c>
      <c r="N31" s="50">
        <v>0</v>
      </c>
      <c r="O31" s="15">
        <f t="shared" si="0"/>
        <v>130</v>
      </c>
      <c r="P31" s="15">
        <f t="shared" si="1"/>
        <v>235</v>
      </c>
    </row>
    <row r="32" spans="2:32" ht="23.1" customHeight="1" x14ac:dyDescent="0.25">
      <c r="B32" s="24" t="s">
        <v>59</v>
      </c>
      <c r="C32" s="50">
        <v>37</v>
      </c>
      <c r="D32" s="50">
        <v>20</v>
      </c>
      <c r="E32" s="50">
        <v>5</v>
      </c>
      <c r="F32" s="50">
        <v>3</v>
      </c>
      <c r="G32" s="50">
        <v>0</v>
      </c>
      <c r="H32" s="50">
        <v>0</v>
      </c>
      <c r="I32" s="50">
        <v>2</v>
      </c>
      <c r="J32" s="50">
        <v>3</v>
      </c>
      <c r="K32" s="50">
        <v>0</v>
      </c>
      <c r="L32" s="50">
        <v>0</v>
      </c>
      <c r="M32" s="50">
        <v>75</v>
      </c>
      <c r="N32" s="50">
        <v>0</v>
      </c>
      <c r="O32" s="15">
        <f t="shared" si="0"/>
        <v>70</v>
      </c>
      <c r="P32" s="15">
        <f t="shared" si="1"/>
        <v>145</v>
      </c>
    </row>
    <row r="33" spans="2:20" ht="23.1" customHeight="1" x14ac:dyDescent="0.25">
      <c r="B33" s="23" t="s">
        <v>60</v>
      </c>
      <c r="C33" s="50">
        <v>65</v>
      </c>
      <c r="D33" s="50">
        <v>31</v>
      </c>
      <c r="E33" s="50">
        <v>6</v>
      </c>
      <c r="F33" s="50">
        <v>9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1</v>
      </c>
      <c r="M33" s="50">
        <v>70</v>
      </c>
      <c r="N33" s="50">
        <v>0</v>
      </c>
      <c r="O33" s="15">
        <f t="shared" si="0"/>
        <v>114</v>
      </c>
      <c r="P33" s="15">
        <f t="shared" si="1"/>
        <v>184</v>
      </c>
    </row>
    <row r="34" spans="2:20" ht="23.1" customHeight="1" x14ac:dyDescent="0.25">
      <c r="B34" s="24" t="s">
        <v>61</v>
      </c>
      <c r="C34" s="50">
        <v>55</v>
      </c>
      <c r="D34" s="50">
        <v>20</v>
      </c>
      <c r="E34" s="50">
        <v>4</v>
      </c>
      <c r="F34" s="50">
        <v>11</v>
      </c>
      <c r="G34" s="50">
        <v>0</v>
      </c>
      <c r="H34" s="50">
        <v>0</v>
      </c>
      <c r="I34" s="50">
        <v>2</v>
      </c>
      <c r="J34" s="50">
        <v>1</v>
      </c>
      <c r="K34" s="50">
        <v>1</v>
      </c>
      <c r="L34" s="50">
        <v>0</v>
      </c>
      <c r="M34" s="50">
        <v>60</v>
      </c>
      <c r="N34" s="50">
        <v>0</v>
      </c>
      <c r="O34" s="15">
        <f t="shared" si="0"/>
        <v>94</v>
      </c>
      <c r="P34" s="15">
        <f t="shared" si="1"/>
        <v>154</v>
      </c>
    </row>
    <row r="35" spans="2:20" ht="23.1" customHeight="1" x14ac:dyDescent="0.25">
      <c r="B35" s="24" t="s">
        <v>62</v>
      </c>
      <c r="C35" s="50">
        <v>60</v>
      </c>
      <c r="D35" s="50">
        <v>20</v>
      </c>
      <c r="E35" s="50">
        <v>5</v>
      </c>
      <c r="F35" s="50">
        <v>13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v>0</v>
      </c>
      <c r="M35" s="50">
        <v>99</v>
      </c>
      <c r="N35" s="50">
        <v>0</v>
      </c>
      <c r="O35" s="15">
        <f t="shared" si="0"/>
        <v>102</v>
      </c>
      <c r="P35" s="15">
        <f t="shared" si="1"/>
        <v>201</v>
      </c>
    </row>
    <row r="36" spans="2:20" ht="23.1" customHeight="1" x14ac:dyDescent="0.25">
      <c r="B36" s="24" t="s">
        <v>63</v>
      </c>
      <c r="C36" s="50">
        <v>51</v>
      </c>
      <c r="D36" s="50">
        <v>12</v>
      </c>
      <c r="E36" s="50">
        <v>0</v>
      </c>
      <c r="F36" s="50">
        <v>4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55</v>
      </c>
      <c r="N36" s="50">
        <v>0</v>
      </c>
      <c r="O36" s="15">
        <f t="shared" si="0"/>
        <v>69</v>
      </c>
      <c r="P36" s="15">
        <f t="shared" si="1"/>
        <v>124</v>
      </c>
    </row>
    <row r="37" spans="2:20" ht="23.1" customHeight="1" x14ac:dyDescent="0.25">
      <c r="B37" s="23" t="s">
        <v>64</v>
      </c>
      <c r="C37" s="50">
        <v>70</v>
      </c>
      <c r="D37" s="50">
        <v>35</v>
      </c>
      <c r="E37" s="50">
        <v>9</v>
      </c>
      <c r="F37" s="50">
        <v>14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0</v>
      </c>
      <c r="M37" s="50">
        <v>110</v>
      </c>
      <c r="N37" s="50">
        <v>0</v>
      </c>
      <c r="O37" s="15">
        <f t="shared" si="0"/>
        <v>133</v>
      </c>
      <c r="P37" s="15">
        <f t="shared" si="1"/>
        <v>243</v>
      </c>
    </row>
    <row r="38" spans="2:20" ht="23.1" customHeight="1" x14ac:dyDescent="0.25">
      <c r="B38" s="24" t="s">
        <v>65</v>
      </c>
      <c r="C38" s="50">
        <v>93</v>
      </c>
      <c r="D38" s="50">
        <v>72</v>
      </c>
      <c r="E38" s="50">
        <v>5</v>
      </c>
      <c r="F38" s="50">
        <v>12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1</v>
      </c>
      <c r="M38" s="50">
        <v>110</v>
      </c>
      <c r="N38" s="50">
        <v>0</v>
      </c>
      <c r="O38" s="15">
        <f t="shared" si="0"/>
        <v>187</v>
      </c>
      <c r="P38" s="15">
        <f t="shared" si="1"/>
        <v>297</v>
      </c>
    </row>
    <row r="39" spans="2:20" ht="23.1" customHeight="1" x14ac:dyDescent="0.25">
      <c r="B39" s="24" t="s">
        <v>66</v>
      </c>
      <c r="C39" s="50">
        <v>60</v>
      </c>
      <c r="D39" s="50">
        <v>30</v>
      </c>
      <c r="E39" s="50">
        <v>5</v>
      </c>
      <c r="F39" s="50">
        <v>8</v>
      </c>
      <c r="G39" s="50">
        <v>0</v>
      </c>
      <c r="H39" s="50">
        <v>0</v>
      </c>
      <c r="I39" s="50">
        <v>6</v>
      </c>
      <c r="J39" s="50">
        <v>3</v>
      </c>
      <c r="K39" s="50">
        <v>0</v>
      </c>
      <c r="L39" s="50">
        <v>0</v>
      </c>
      <c r="M39" s="50">
        <v>85</v>
      </c>
      <c r="N39" s="50">
        <v>0</v>
      </c>
      <c r="O39" s="15">
        <f t="shared" si="0"/>
        <v>112</v>
      </c>
      <c r="P39" s="15">
        <f t="shared" si="1"/>
        <v>197</v>
      </c>
    </row>
    <row r="40" spans="2:20" ht="23.1" customHeight="1" x14ac:dyDescent="0.25">
      <c r="B40" s="24" t="s">
        <v>67</v>
      </c>
      <c r="C40" s="50">
        <v>85</v>
      </c>
      <c r="D40" s="50">
        <v>46</v>
      </c>
      <c r="E40" s="50">
        <v>4</v>
      </c>
      <c r="F40" s="50">
        <v>10</v>
      </c>
      <c r="G40" s="50">
        <v>0</v>
      </c>
      <c r="H40" s="50">
        <v>0</v>
      </c>
      <c r="I40" s="50">
        <v>1</v>
      </c>
      <c r="J40" s="50">
        <v>3</v>
      </c>
      <c r="K40" s="50">
        <v>2</v>
      </c>
      <c r="L40" s="50">
        <v>1</v>
      </c>
      <c r="M40" s="50">
        <v>85</v>
      </c>
      <c r="N40" s="50">
        <v>0</v>
      </c>
      <c r="O40" s="15">
        <f t="shared" si="0"/>
        <v>152</v>
      </c>
      <c r="P40" s="15">
        <f t="shared" si="1"/>
        <v>237</v>
      </c>
    </row>
    <row r="41" spans="2:20" ht="23.1" customHeight="1" x14ac:dyDescent="0.25">
      <c r="B41" s="23" t="s">
        <v>68</v>
      </c>
      <c r="C41" s="50">
        <v>91</v>
      </c>
      <c r="D41" s="50">
        <v>36</v>
      </c>
      <c r="E41" s="50">
        <v>5</v>
      </c>
      <c r="F41" s="50">
        <v>10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3</v>
      </c>
      <c r="M41" s="50">
        <v>80</v>
      </c>
      <c r="N41" s="50">
        <v>0</v>
      </c>
      <c r="O41" s="15">
        <f t="shared" si="0"/>
        <v>150</v>
      </c>
      <c r="P41" s="15">
        <f t="shared" si="1"/>
        <v>230</v>
      </c>
    </row>
    <row r="42" spans="2:20" ht="23.1" customHeight="1" x14ac:dyDescent="0.25">
      <c r="B42" s="24" t="s">
        <v>69</v>
      </c>
      <c r="C42" s="50">
        <v>72</v>
      </c>
      <c r="D42" s="50">
        <v>34</v>
      </c>
      <c r="E42" s="50">
        <v>7</v>
      </c>
      <c r="F42" s="50">
        <v>13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1</v>
      </c>
      <c r="M42" s="50">
        <v>85</v>
      </c>
      <c r="N42" s="50">
        <v>0</v>
      </c>
      <c r="O42" s="15">
        <f t="shared" si="0"/>
        <v>131</v>
      </c>
      <c r="P42" s="15">
        <f t="shared" si="1"/>
        <v>216</v>
      </c>
    </row>
    <row r="43" spans="2:20" ht="23.1" customHeight="1" x14ac:dyDescent="0.25">
      <c r="B43" s="23" t="s">
        <v>70</v>
      </c>
      <c r="C43" s="50">
        <v>38</v>
      </c>
      <c r="D43" s="50">
        <v>31</v>
      </c>
      <c r="E43" s="50">
        <v>6</v>
      </c>
      <c r="F43" s="50">
        <v>8</v>
      </c>
      <c r="G43" s="50">
        <v>0</v>
      </c>
      <c r="H43" s="50">
        <v>0</v>
      </c>
      <c r="I43" s="50">
        <v>5</v>
      </c>
      <c r="J43" s="50">
        <v>1</v>
      </c>
      <c r="K43" s="50">
        <v>1</v>
      </c>
      <c r="L43" s="50">
        <v>0</v>
      </c>
      <c r="M43" s="50">
        <v>65</v>
      </c>
      <c r="N43" s="50">
        <v>0</v>
      </c>
      <c r="O43" s="15">
        <f t="shared" si="0"/>
        <v>90</v>
      </c>
      <c r="P43" s="15">
        <f t="shared" si="1"/>
        <v>155</v>
      </c>
    </row>
    <row r="44" spans="2:20" ht="23.1" customHeight="1" x14ac:dyDescent="0.25">
      <c r="B44" s="25" t="s">
        <v>71</v>
      </c>
      <c r="C44" s="50">
        <v>40</v>
      </c>
      <c r="D44" s="50">
        <v>14</v>
      </c>
      <c r="E44" s="50">
        <v>4</v>
      </c>
      <c r="F44" s="50">
        <v>12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1</v>
      </c>
      <c r="M44" s="50">
        <v>60</v>
      </c>
      <c r="N44" s="50">
        <v>0</v>
      </c>
      <c r="O44" s="15">
        <f t="shared" si="0"/>
        <v>73</v>
      </c>
      <c r="P44" s="15">
        <f t="shared" si="1"/>
        <v>133</v>
      </c>
    </row>
    <row r="45" spans="2:20" ht="23.1" customHeight="1" x14ac:dyDescent="0.25">
      <c r="B45" s="23" t="s">
        <v>72</v>
      </c>
      <c r="C45" s="50">
        <v>58</v>
      </c>
      <c r="D45" s="50">
        <v>17</v>
      </c>
      <c r="E45" s="50">
        <v>7</v>
      </c>
      <c r="F45" s="50">
        <v>11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55</v>
      </c>
      <c r="N45" s="50">
        <v>0</v>
      </c>
      <c r="O45" s="15">
        <f t="shared" si="0"/>
        <v>97</v>
      </c>
      <c r="P45" s="15">
        <f t="shared" si="1"/>
        <v>152</v>
      </c>
    </row>
    <row r="46" spans="2:20" ht="23.1" customHeight="1" x14ac:dyDescent="0.25">
      <c r="B46" s="24" t="s">
        <v>73</v>
      </c>
      <c r="C46" s="50">
        <v>47</v>
      </c>
      <c r="D46" s="50">
        <v>24</v>
      </c>
      <c r="E46" s="50">
        <v>7</v>
      </c>
      <c r="F46" s="50">
        <v>11</v>
      </c>
      <c r="G46" s="50">
        <v>0</v>
      </c>
      <c r="H46" s="50">
        <v>0</v>
      </c>
      <c r="I46" s="50">
        <v>5</v>
      </c>
      <c r="J46" s="50">
        <v>1</v>
      </c>
      <c r="K46" s="50">
        <v>0</v>
      </c>
      <c r="L46" s="50">
        <v>0</v>
      </c>
      <c r="M46" s="50">
        <v>90</v>
      </c>
      <c r="N46" s="50">
        <v>0</v>
      </c>
      <c r="O46" s="15">
        <f t="shared" si="0"/>
        <v>95</v>
      </c>
      <c r="P46" s="15">
        <f t="shared" si="1"/>
        <v>185</v>
      </c>
      <c r="R46" s="8"/>
      <c r="T46"/>
    </row>
    <row r="47" spans="2:20" ht="23.1" customHeight="1" x14ac:dyDescent="0.25">
      <c r="B47" s="24" t="s">
        <v>74</v>
      </c>
      <c r="C47" s="50">
        <v>45</v>
      </c>
      <c r="D47" s="50">
        <v>32</v>
      </c>
      <c r="E47" s="50">
        <v>3</v>
      </c>
      <c r="F47" s="50">
        <v>14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99</v>
      </c>
      <c r="P47" s="15">
        <f t="shared" si="1"/>
        <v>214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27</v>
      </c>
      <c r="E48" s="50">
        <v>5</v>
      </c>
      <c r="F48" s="50">
        <v>10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65</v>
      </c>
      <c r="N48" s="50">
        <v>0</v>
      </c>
      <c r="O48" s="15">
        <f t="shared" si="0"/>
        <v>93</v>
      </c>
      <c r="P48" s="15">
        <f t="shared" si="1"/>
        <v>158</v>
      </c>
      <c r="R48" s="8"/>
      <c r="T48"/>
    </row>
    <row r="49" spans="2:20" ht="23.1" customHeight="1" x14ac:dyDescent="0.25">
      <c r="B49" s="23" t="s">
        <v>76</v>
      </c>
      <c r="C49" s="50">
        <v>42</v>
      </c>
      <c r="D49" s="50">
        <v>21</v>
      </c>
      <c r="E49" s="50">
        <v>5</v>
      </c>
      <c r="F49" s="50">
        <v>15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85</v>
      </c>
      <c r="N49" s="50">
        <v>0</v>
      </c>
      <c r="O49" s="15">
        <f t="shared" si="0"/>
        <v>84</v>
      </c>
      <c r="P49" s="15">
        <f t="shared" si="1"/>
        <v>169</v>
      </c>
      <c r="R49" s="8"/>
      <c r="T49"/>
    </row>
    <row r="50" spans="2:20" ht="23.1" customHeight="1" x14ac:dyDescent="0.25">
      <c r="B50" s="24" t="s">
        <v>77</v>
      </c>
      <c r="C50" s="50">
        <v>34</v>
      </c>
      <c r="D50" s="50">
        <v>22</v>
      </c>
      <c r="E50" s="50">
        <v>4</v>
      </c>
      <c r="F50" s="50">
        <v>8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110</v>
      </c>
      <c r="N50" s="50">
        <v>0</v>
      </c>
      <c r="O50" s="15">
        <f t="shared" si="0"/>
        <v>69</v>
      </c>
      <c r="P50" s="15">
        <f t="shared" si="1"/>
        <v>179</v>
      </c>
      <c r="R50" s="8"/>
      <c r="T50"/>
    </row>
    <row r="51" spans="2:20" ht="23.1" customHeight="1" x14ac:dyDescent="0.25">
      <c r="B51" s="24" t="s">
        <v>78</v>
      </c>
      <c r="C51" s="50">
        <v>46</v>
      </c>
      <c r="D51" s="50">
        <v>15</v>
      </c>
      <c r="E51" s="50">
        <v>7</v>
      </c>
      <c r="F51" s="50">
        <v>15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75</v>
      </c>
      <c r="N51" s="50">
        <v>0</v>
      </c>
      <c r="O51" s="15">
        <f t="shared" si="0"/>
        <v>86</v>
      </c>
      <c r="P51" s="15">
        <f t="shared" si="1"/>
        <v>161</v>
      </c>
      <c r="R51" s="8"/>
      <c r="T51"/>
    </row>
    <row r="52" spans="2:20" ht="23.1" customHeight="1" x14ac:dyDescent="0.25">
      <c r="B52" s="24" t="s">
        <v>79</v>
      </c>
      <c r="C52" s="50">
        <v>58</v>
      </c>
      <c r="D52" s="50">
        <v>19</v>
      </c>
      <c r="E52" s="50">
        <v>6</v>
      </c>
      <c r="F52" s="50">
        <v>11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99</v>
      </c>
      <c r="P52" s="15">
        <f t="shared" si="1"/>
        <v>184</v>
      </c>
      <c r="R52" s="8"/>
      <c r="T52"/>
    </row>
    <row r="53" spans="2:20" ht="23.1" customHeight="1" x14ac:dyDescent="0.25">
      <c r="B53" s="23" t="s">
        <v>80</v>
      </c>
      <c r="C53" s="50">
        <v>19</v>
      </c>
      <c r="D53" s="50">
        <v>10</v>
      </c>
      <c r="E53" s="50">
        <v>3</v>
      </c>
      <c r="F53" s="50">
        <v>7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90</v>
      </c>
      <c r="N53" s="50">
        <v>0</v>
      </c>
      <c r="O53" s="15">
        <f t="shared" si="0"/>
        <v>40</v>
      </c>
      <c r="P53" s="15">
        <f t="shared" si="1"/>
        <v>130</v>
      </c>
      <c r="R53" s="8"/>
      <c r="T53"/>
    </row>
    <row r="54" spans="2:20" ht="23.1" customHeight="1" x14ac:dyDescent="0.25">
      <c r="B54" s="23" t="s">
        <v>81</v>
      </c>
      <c r="C54" s="50">
        <v>54</v>
      </c>
      <c r="D54" s="50">
        <v>17</v>
      </c>
      <c r="E54" s="50">
        <v>8</v>
      </c>
      <c r="F54" s="50">
        <v>13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1</v>
      </c>
      <c r="M54" s="50">
        <v>75</v>
      </c>
      <c r="N54" s="50">
        <v>0</v>
      </c>
      <c r="O54" s="15">
        <f t="shared" si="0"/>
        <v>93</v>
      </c>
      <c r="P54" s="15">
        <f t="shared" si="1"/>
        <v>168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23</v>
      </c>
      <c r="E55" s="50">
        <v>3</v>
      </c>
      <c r="F55" s="50">
        <v>7</v>
      </c>
      <c r="G55" s="50">
        <v>0</v>
      </c>
      <c r="H55" s="50">
        <v>0</v>
      </c>
      <c r="I55" s="50">
        <v>5</v>
      </c>
      <c r="J55" s="50">
        <v>1</v>
      </c>
      <c r="K55" s="50">
        <v>0</v>
      </c>
      <c r="L55" s="50">
        <v>0</v>
      </c>
      <c r="M55" s="50">
        <v>60</v>
      </c>
      <c r="N55" s="50">
        <v>0</v>
      </c>
      <c r="O55" s="15">
        <f t="shared" si="0"/>
        <v>79</v>
      </c>
      <c r="P55" s="15">
        <f t="shared" si="1"/>
        <v>139</v>
      </c>
      <c r="R55" s="8"/>
      <c r="T55"/>
    </row>
    <row r="56" spans="2:20" ht="23.1" customHeight="1" x14ac:dyDescent="0.25">
      <c r="B56" s="23" t="s">
        <v>83</v>
      </c>
      <c r="C56" s="50">
        <v>43</v>
      </c>
      <c r="D56" s="50">
        <v>22</v>
      </c>
      <c r="E56" s="50">
        <v>6</v>
      </c>
      <c r="F56" s="50">
        <v>10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0</v>
      </c>
      <c r="M56" s="50">
        <v>65</v>
      </c>
      <c r="N56" s="50">
        <v>0</v>
      </c>
      <c r="O56" s="15">
        <f t="shared" si="0"/>
        <v>86</v>
      </c>
      <c r="P56" s="15">
        <f t="shared" si="1"/>
        <v>151</v>
      </c>
      <c r="R56" s="8"/>
      <c r="T56"/>
    </row>
    <row r="57" spans="2:20" ht="23.1" customHeight="1" x14ac:dyDescent="0.25">
      <c r="B57" s="23" t="s">
        <v>84</v>
      </c>
      <c r="C57" s="50">
        <v>46</v>
      </c>
      <c r="D57" s="50">
        <v>10</v>
      </c>
      <c r="E57" s="50">
        <v>3</v>
      </c>
      <c r="F57" s="50">
        <v>7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70</v>
      </c>
      <c r="N57" s="50">
        <v>0</v>
      </c>
      <c r="O57" s="15">
        <f t="shared" si="0"/>
        <v>66</v>
      </c>
      <c r="P57" s="15">
        <f t="shared" si="1"/>
        <v>136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2120</v>
      </c>
      <c r="D58" s="16">
        <f t="shared" si="21"/>
        <v>1028</v>
      </c>
      <c r="E58" s="16">
        <f t="shared" si="21"/>
        <v>224</v>
      </c>
      <c r="F58" s="16">
        <f t="shared" si="21"/>
        <v>512</v>
      </c>
      <c r="G58" s="16">
        <f t="shared" si="21"/>
        <v>0</v>
      </c>
      <c r="H58" s="16">
        <f t="shared" si="21"/>
        <v>1</v>
      </c>
      <c r="I58" s="16">
        <f t="shared" si="21"/>
        <v>123</v>
      </c>
      <c r="J58" s="16">
        <f t="shared" si="21"/>
        <v>30</v>
      </c>
      <c r="K58" s="16">
        <f t="shared" si="21"/>
        <v>5</v>
      </c>
      <c r="L58" s="16">
        <f t="shared" si="21"/>
        <v>27</v>
      </c>
      <c r="M58" s="16">
        <f t="shared" si="21"/>
        <v>3743</v>
      </c>
      <c r="N58" s="16">
        <f t="shared" si="21"/>
        <v>0</v>
      </c>
      <c r="O58" s="16">
        <f t="shared" si="21"/>
        <v>4070</v>
      </c>
      <c r="P58" s="16">
        <f t="shared" si="21"/>
        <v>7813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0.27134263407141945</v>
      </c>
      <c r="D59" s="43">
        <f t="shared" si="22"/>
        <v>0.13157557916293358</v>
      </c>
      <c r="E59" s="43">
        <f t="shared" si="22"/>
        <v>2.8670165109432995E-2</v>
      </c>
      <c r="F59" s="43">
        <f t="shared" si="22"/>
        <v>6.553180596441828E-2</v>
      </c>
      <c r="G59" s="43">
        <f t="shared" si="22"/>
        <v>0</v>
      </c>
      <c r="H59" s="43">
        <f t="shared" si="22"/>
        <v>1.2799180852425445E-4</v>
      </c>
      <c r="I59" s="43">
        <f t="shared" si="22"/>
        <v>1.5742992448483296E-2</v>
      </c>
      <c r="J59" s="43">
        <f t="shared" si="22"/>
        <v>3.8397542557276334E-3</v>
      </c>
      <c r="K59" s="43">
        <f t="shared" si="22"/>
        <v>6.3995904262127224E-4</v>
      </c>
      <c r="L59" s="43">
        <f t="shared" si="22"/>
        <v>3.4557788301548703E-3</v>
      </c>
      <c r="M59" s="43">
        <f t="shared" si="22"/>
        <v>0.47907333930628437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0.52088452088452086</v>
      </c>
      <c r="D60" s="44">
        <f t="shared" ref="D60:N60" si="23">D58/$O$58</f>
        <v>0.2525798525798526</v>
      </c>
      <c r="E60" s="44">
        <f t="shared" si="23"/>
        <v>5.5036855036855035E-2</v>
      </c>
      <c r="F60" s="44">
        <f t="shared" si="23"/>
        <v>0.1257985257985258</v>
      </c>
      <c r="G60" s="44">
        <f t="shared" si="23"/>
        <v>0</v>
      </c>
      <c r="H60" s="44">
        <f t="shared" si="23"/>
        <v>2.4570024570024569E-4</v>
      </c>
      <c r="I60" s="44">
        <f t="shared" si="23"/>
        <v>3.0221130221130221E-2</v>
      </c>
      <c r="J60" s="44">
        <f t="shared" si="23"/>
        <v>7.3710073710073713E-3</v>
      </c>
      <c r="K60" s="44">
        <f t="shared" si="23"/>
        <v>1.2285012285012285E-3</v>
      </c>
      <c r="L60" s="44">
        <f t="shared" si="23"/>
        <v>6.633906633906634E-3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H85" zoomScale="60" workbookViewId="0">
      <selection activeCell="AD53" sqref="AD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'04.08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'04.08 Kisaasi-Ntinda'!G5:H5</f>
        <v>Ndere Center</v>
      </c>
      <c r="H5" s="66"/>
      <c r="I5" s="14"/>
      <c r="J5" s="2" t="s">
        <v>5</v>
      </c>
      <c r="K5" s="65" t="str">
        <f>'04.08 Kisaasi-Ntinda'!K5:L5</f>
        <v>Faridah &amp; Ashaba Kuraiba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'04.08 Kisaasi-Ntinda'!D6:E6</f>
        <v>Kisaasi</v>
      </c>
      <c r="E6" s="66"/>
      <c r="F6" s="2" t="s">
        <v>2</v>
      </c>
      <c r="G6" s="65" t="str">
        <f>'04.08 Kisaasi-Ntinda'!G6:H6</f>
        <v>Ntinda</v>
      </c>
      <c r="H6" s="66"/>
      <c r="J6" s="2" t="s">
        <v>21</v>
      </c>
      <c r="K6" s="65" t="str">
        <f>'04.08 Kisaasi-Ntinda'!K6:L6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Kisaasi-Ntinda'!C10,'30.07 Kisaasi-Ntinda'!C10,'31.07 Kisaasi-Ntinda'!C10,'02.08 Kisaasi-Ntinda'!C10,'01.08 Kisaasi-Ntinda-24h'!C10,'03.08 Kisaasi-Ntinda-24h'!C10,'04.08 Kisaasi-Ntinda'!C10)</f>
        <v>65.857142857142861</v>
      </c>
      <c r="D10" s="49">
        <f>AVERAGE('29.07 Kisaasi-Ntinda'!D10,'30.07 Kisaasi-Ntinda'!D10,'31.07 Kisaasi-Ntinda'!D10,'02.08 Kisaasi-Ntinda'!D10,'01.08 Kisaasi-Ntinda-24h'!D10,'03.08 Kisaasi-Ntinda-24h'!D10,'04.08 Kisaasi-Ntinda'!D10)</f>
        <v>44.714285714285715</v>
      </c>
      <c r="E10" s="49">
        <f>AVERAGE('29.07 Kisaasi-Ntinda'!E10,'30.07 Kisaasi-Ntinda'!E10,'31.07 Kisaasi-Ntinda'!E10,'02.08 Kisaasi-Ntinda'!E10,'01.08 Kisaasi-Ntinda-24h'!E10,'03.08 Kisaasi-Ntinda-24h'!E10,'04.08 Kisaasi-Ntinda'!E10)</f>
        <v>13.285714285714286</v>
      </c>
      <c r="F10" s="49">
        <f>AVERAGE('29.07 Kisaasi-Ntinda'!F10,'30.07 Kisaasi-Ntinda'!F10,'31.07 Kisaasi-Ntinda'!F10,'02.08 Kisaasi-Ntinda'!F10,'01.08 Kisaasi-Ntinda-24h'!F10,'03.08 Kisaasi-Ntinda-24h'!F10,'04.08 Kisaasi-Ntinda'!F10)</f>
        <v>15.428571428571429</v>
      </c>
      <c r="G10" s="49">
        <f>AVERAGE('29.07 Kisaasi-Ntinda'!G10,'30.07 Kisaasi-Ntinda'!G10,'31.07 Kisaasi-Ntinda'!G10,'02.08 Kisaasi-Ntinda'!G10,'01.08 Kisaasi-Ntinda-24h'!G10,'03.08 Kisaasi-Ntinda-24h'!G10,'04.08 Kisaasi-Ntinda'!G10)</f>
        <v>0.8571428571428571</v>
      </c>
      <c r="H10" s="49">
        <f>AVERAGE('29.07 Kisaasi-Ntinda'!H10,'30.07 Kisaasi-Ntinda'!H10,'31.07 Kisaasi-Ntinda'!H10,'02.08 Kisaasi-Ntinda'!H10,'01.08 Kisaasi-Ntinda-24h'!H10,'03.08 Kisaasi-Ntinda-24h'!H10,'04.08 Kisaasi-Ntinda'!H10)</f>
        <v>0</v>
      </c>
      <c r="I10" s="49">
        <f>AVERAGE('29.07 Kisaasi-Ntinda'!I10,'30.07 Kisaasi-Ntinda'!I10,'31.07 Kisaasi-Ntinda'!I10,'02.08 Kisaasi-Ntinda'!I10,'01.08 Kisaasi-Ntinda-24h'!I10,'03.08 Kisaasi-Ntinda-24h'!I10,'04.08 Kisaasi-Ntinda'!I10)</f>
        <v>2.4285714285714284</v>
      </c>
      <c r="J10" s="49">
        <f>AVERAGE('29.07 Kisaasi-Ntinda'!J10,'30.07 Kisaasi-Ntinda'!J10,'31.07 Kisaasi-Ntinda'!J10,'02.08 Kisaasi-Ntinda'!J10,'01.08 Kisaasi-Ntinda-24h'!J10,'03.08 Kisaasi-Ntinda-24h'!J10,'04.08 Kisaasi-Ntinda'!J10)</f>
        <v>1.5714285714285714</v>
      </c>
      <c r="K10" s="49">
        <f>AVERAGE('29.07 Kisaasi-Ntinda'!K10,'30.07 Kisaasi-Ntinda'!K10,'31.07 Kisaasi-Ntinda'!K10,'02.08 Kisaasi-Ntinda'!K10,'01.08 Kisaasi-Ntinda-24h'!K10,'03.08 Kisaasi-Ntinda-24h'!K10,'04.08 Kisaasi-Ntinda'!K10)</f>
        <v>1</v>
      </c>
      <c r="L10" s="49">
        <f>AVERAGE('29.07 Kisaasi-Ntinda'!L10,'30.07 Kisaasi-Ntinda'!L10,'31.07 Kisaasi-Ntinda'!L10,'02.08 Kisaasi-Ntinda'!L10,'01.08 Kisaasi-Ntinda-24h'!L10,'03.08 Kisaasi-Ntinda-24h'!L10,'04.08 Kisaasi-Ntinda'!L10)</f>
        <v>0.8571428571428571</v>
      </c>
      <c r="M10" s="49">
        <f>AVERAGE('29.07 Kisaasi-Ntinda'!M10,'30.07 Kisaasi-Ntinda'!M10,'31.07 Kisaasi-Ntinda'!M10,'02.08 Kisaasi-Ntinda'!M10,'01.08 Kisaasi-Ntinda-24h'!M10,'03.08 Kisaasi-Ntinda-24h'!M10,'04.08 Kisaasi-Ntinda'!M10)</f>
        <v>77.857142857142861</v>
      </c>
      <c r="N10" s="49">
        <f>AVERAGE('29.07 Kisaasi-Ntinda'!N10,'30.07 Kisaasi-Ntinda'!N10,'31.07 Kisaasi-Ntinda'!N10,'02.08 Kisaasi-Ntinda'!N10,'01.08 Kisaasi-Ntinda-24h'!N10,'03.08 Kisaasi-Ntinda-24h'!N10,'04.08 Kisaasi-Ntinda'!N10)</f>
        <v>0</v>
      </c>
      <c r="O10" s="15">
        <f t="shared" ref="O10:O57" si="0">SUM(C10:L10,N10)</f>
        <v>146.00000000000003</v>
      </c>
      <c r="P10" s="15">
        <f t="shared" ref="P10:P57" si="1">SUM(C10:N10)</f>
        <v>223.85714285714289</v>
      </c>
      <c r="R10" s="1" t="s">
        <v>6</v>
      </c>
      <c r="S10" s="17">
        <f t="shared" ref="S10:AF10" si="2">SUM(C10:C13)</f>
        <v>314.28571428571428</v>
      </c>
      <c r="T10" s="17">
        <f t="shared" si="2"/>
        <v>189.85714285714289</v>
      </c>
      <c r="U10" s="17">
        <f t="shared" si="2"/>
        <v>48</v>
      </c>
      <c r="V10" s="17">
        <f t="shared" si="2"/>
        <v>59.428571428571431</v>
      </c>
      <c r="W10" s="17">
        <f t="shared" si="2"/>
        <v>2</v>
      </c>
      <c r="X10" s="17">
        <f t="shared" si="2"/>
        <v>0</v>
      </c>
      <c r="Y10" s="17">
        <f t="shared" si="2"/>
        <v>13.714285714285714</v>
      </c>
      <c r="Z10" s="17">
        <f t="shared" si="2"/>
        <v>5.2857142857142856</v>
      </c>
      <c r="AA10" s="17">
        <f t="shared" si="2"/>
        <v>2</v>
      </c>
      <c r="AB10" s="17">
        <f t="shared" si="2"/>
        <v>3.1428571428571428</v>
      </c>
      <c r="AC10" s="17">
        <f t="shared" si="2"/>
        <v>449.42857142857144</v>
      </c>
      <c r="AD10" s="17">
        <f t="shared" si="2"/>
        <v>0</v>
      </c>
      <c r="AE10" s="31">
        <f t="shared" si="2"/>
        <v>637.71428571428578</v>
      </c>
      <c r="AF10" s="31">
        <f t="shared" si="2"/>
        <v>1087.1428571428573</v>
      </c>
    </row>
    <row r="11" spans="2:32" s="6" customFormat="1" ht="23.1" customHeight="1" x14ac:dyDescent="0.25">
      <c r="B11" s="23" t="s">
        <v>38</v>
      </c>
      <c r="C11" s="49">
        <f>AVERAGE('29.07 Kisaasi-Ntinda'!C11,'30.07 Kisaasi-Ntinda'!C11,'31.07 Kisaasi-Ntinda'!C11,'02.08 Kisaasi-Ntinda'!C11,'01.08 Kisaasi-Ntinda-24h'!C11,'03.08 Kisaasi-Ntinda-24h'!C11,'04.08 Kisaasi-Ntinda'!C11)</f>
        <v>84</v>
      </c>
      <c r="D11" s="49">
        <f>AVERAGE('29.07 Kisaasi-Ntinda'!D11,'30.07 Kisaasi-Ntinda'!D11,'31.07 Kisaasi-Ntinda'!D11,'02.08 Kisaasi-Ntinda'!D11,'01.08 Kisaasi-Ntinda-24h'!D11,'03.08 Kisaasi-Ntinda-24h'!D11,'04.08 Kisaasi-Ntinda'!D11)</f>
        <v>50.285714285714285</v>
      </c>
      <c r="E11" s="49">
        <f>AVERAGE('29.07 Kisaasi-Ntinda'!E11,'30.07 Kisaasi-Ntinda'!E11,'31.07 Kisaasi-Ntinda'!E11,'02.08 Kisaasi-Ntinda'!E11,'01.08 Kisaasi-Ntinda-24h'!E11,'03.08 Kisaasi-Ntinda-24h'!E11,'04.08 Kisaasi-Ntinda'!E11)</f>
        <v>8.7142857142857135</v>
      </c>
      <c r="F11" s="49">
        <f>AVERAGE('29.07 Kisaasi-Ntinda'!F11,'30.07 Kisaasi-Ntinda'!F11,'31.07 Kisaasi-Ntinda'!F11,'02.08 Kisaasi-Ntinda'!F11,'01.08 Kisaasi-Ntinda-24h'!F11,'03.08 Kisaasi-Ntinda-24h'!F11,'04.08 Kisaasi-Ntinda'!F11)</f>
        <v>13.857142857142858</v>
      </c>
      <c r="G11" s="49">
        <f>AVERAGE('29.07 Kisaasi-Ntinda'!G11,'30.07 Kisaasi-Ntinda'!G11,'31.07 Kisaasi-Ntinda'!G11,'02.08 Kisaasi-Ntinda'!G11,'01.08 Kisaasi-Ntinda-24h'!G11,'03.08 Kisaasi-Ntinda-24h'!G11,'04.08 Kisaasi-Ntinda'!G11)</f>
        <v>0.2857142857142857</v>
      </c>
      <c r="H11" s="49">
        <f>AVERAGE('29.07 Kisaasi-Ntinda'!H11,'30.07 Kisaasi-Ntinda'!H11,'31.07 Kisaasi-Ntinda'!H11,'02.08 Kisaasi-Ntinda'!H11,'01.08 Kisaasi-Ntinda-24h'!H11,'03.08 Kisaasi-Ntinda-24h'!H11,'04.08 Kisaasi-Ntinda'!H11)</f>
        <v>0</v>
      </c>
      <c r="I11" s="49">
        <f>AVERAGE('29.07 Kisaasi-Ntinda'!I11,'30.07 Kisaasi-Ntinda'!I11,'31.07 Kisaasi-Ntinda'!I11,'02.08 Kisaasi-Ntinda'!I11,'01.08 Kisaasi-Ntinda-24h'!I11,'03.08 Kisaasi-Ntinda-24h'!I11,'04.08 Kisaasi-Ntinda'!I11)</f>
        <v>3.7142857142857144</v>
      </c>
      <c r="J11" s="49">
        <f>AVERAGE('29.07 Kisaasi-Ntinda'!J11,'30.07 Kisaasi-Ntinda'!J11,'31.07 Kisaasi-Ntinda'!J11,'02.08 Kisaasi-Ntinda'!J11,'01.08 Kisaasi-Ntinda-24h'!J11,'03.08 Kisaasi-Ntinda-24h'!J11,'04.08 Kisaasi-Ntinda'!J11)</f>
        <v>0.5714285714285714</v>
      </c>
      <c r="K11" s="49">
        <f>AVERAGE('29.07 Kisaasi-Ntinda'!K11,'30.07 Kisaasi-Ntinda'!K11,'31.07 Kisaasi-Ntinda'!K11,'02.08 Kisaasi-Ntinda'!K11,'01.08 Kisaasi-Ntinda-24h'!K11,'03.08 Kisaasi-Ntinda-24h'!K11,'04.08 Kisaasi-Ntinda'!K11)</f>
        <v>0</v>
      </c>
      <c r="L11" s="49">
        <f>AVERAGE('29.07 Kisaasi-Ntinda'!L11,'30.07 Kisaasi-Ntinda'!L11,'31.07 Kisaasi-Ntinda'!L11,'02.08 Kisaasi-Ntinda'!L11,'01.08 Kisaasi-Ntinda-24h'!L11,'03.08 Kisaasi-Ntinda-24h'!L11,'04.08 Kisaasi-Ntinda'!L11)</f>
        <v>0.7142857142857143</v>
      </c>
      <c r="M11" s="49">
        <f>AVERAGE('29.07 Kisaasi-Ntinda'!M11,'30.07 Kisaasi-Ntinda'!M11,'31.07 Kisaasi-Ntinda'!M11,'02.08 Kisaasi-Ntinda'!M11,'01.08 Kisaasi-Ntinda-24h'!M11,'03.08 Kisaasi-Ntinda-24h'!M11,'04.08 Kisaasi-Ntinda'!M11)</f>
        <v>110.14285714285714</v>
      </c>
      <c r="N11" s="49">
        <f>AVERAGE('29.07 Kisaasi-Ntinda'!N11,'30.07 Kisaasi-Ntinda'!N11,'31.07 Kisaasi-Ntinda'!N11,'02.08 Kisaasi-Ntinda'!N11,'01.08 Kisaasi-Ntinda-24h'!N11,'03.08 Kisaasi-Ntinda-24h'!N11,'04.08 Kisaasi-Ntinda'!N11)</f>
        <v>0</v>
      </c>
      <c r="O11" s="15">
        <f t="shared" si="0"/>
        <v>162.14285714285717</v>
      </c>
      <c r="P11" s="15">
        <f t="shared" si="1"/>
        <v>272.28571428571433</v>
      </c>
      <c r="R11" s="1" t="s">
        <v>7</v>
      </c>
      <c r="S11" s="17">
        <f t="shared" ref="S11:AF11" si="3">SUM(C14:C17)</f>
        <v>206.71428571428572</v>
      </c>
      <c r="T11" s="17">
        <f t="shared" si="3"/>
        <v>133</v>
      </c>
      <c r="U11" s="17">
        <f t="shared" si="3"/>
        <v>39</v>
      </c>
      <c r="V11" s="17">
        <f t="shared" si="3"/>
        <v>54.285714285714292</v>
      </c>
      <c r="W11" s="17">
        <f t="shared" si="3"/>
        <v>2.1428571428571428</v>
      </c>
      <c r="X11" s="17">
        <f t="shared" si="3"/>
        <v>0</v>
      </c>
      <c r="Y11" s="17">
        <f t="shared" si="3"/>
        <v>14.142857142857146</v>
      </c>
      <c r="Z11" s="17">
        <f t="shared" si="3"/>
        <v>7.1428571428571432</v>
      </c>
      <c r="AA11" s="17">
        <f t="shared" si="3"/>
        <v>0.99999999999999978</v>
      </c>
      <c r="AB11" s="17">
        <f t="shared" si="3"/>
        <v>4.2857142857142856</v>
      </c>
      <c r="AC11" s="17">
        <f t="shared" si="3"/>
        <v>568.71428571428567</v>
      </c>
      <c r="AD11" s="17">
        <f t="shared" si="3"/>
        <v>0</v>
      </c>
      <c r="AE11" s="31">
        <f t="shared" si="3"/>
        <v>461.71428571428567</v>
      </c>
      <c r="AF11" s="31">
        <f t="shared" si="3"/>
        <v>1030.4285714285716</v>
      </c>
    </row>
    <row r="12" spans="2:32" ht="23.1" customHeight="1" x14ac:dyDescent="0.25">
      <c r="B12" s="23" t="s">
        <v>39</v>
      </c>
      <c r="C12" s="49">
        <f>AVERAGE('29.07 Kisaasi-Ntinda'!C12,'30.07 Kisaasi-Ntinda'!C12,'31.07 Kisaasi-Ntinda'!C12,'02.08 Kisaasi-Ntinda'!C12,'01.08 Kisaasi-Ntinda-24h'!C12,'03.08 Kisaasi-Ntinda-24h'!C12,'04.08 Kisaasi-Ntinda'!C12)</f>
        <v>86.714285714285708</v>
      </c>
      <c r="D12" s="49">
        <f>AVERAGE('29.07 Kisaasi-Ntinda'!D12,'30.07 Kisaasi-Ntinda'!D12,'31.07 Kisaasi-Ntinda'!D12,'02.08 Kisaasi-Ntinda'!D12,'01.08 Kisaasi-Ntinda-24h'!D12,'03.08 Kisaasi-Ntinda-24h'!D12,'04.08 Kisaasi-Ntinda'!D12)</f>
        <v>47.428571428571431</v>
      </c>
      <c r="E12" s="49">
        <f>AVERAGE('29.07 Kisaasi-Ntinda'!E12,'30.07 Kisaasi-Ntinda'!E12,'31.07 Kisaasi-Ntinda'!E12,'02.08 Kisaasi-Ntinda'!E12,'01.08 Kisaasi-Ntinda-24h'!E12,'03.08 Kisaasi-Ntinda-24h'!E12,'04.08 Kisaasi-Ntinda'!E12)</f>
        <v>12.285714285714286</v>
      </c>
      <c r="F12" s="49">
        <f>AVERAGE('29.07 Kisaasi-Ntinda'!F12,'30.07 Kisaasi-Ntinda'!F12,'31.07 Kisaasi-Ntinda'!F12,'02.08 Kisaasi-Ntinda'!F12,'01.08 Kisaasi-Ntinda-24h'!F12,'03.08 Kisaasi-Ntinda-24h'!F12,'04.08 Kisaasi-Ntinda'!F12)</f>
        <v>14.428571428571429</v>
      </c>
      <c r="G12" s="49">
        <f>AVERAGE('29.07 Kisaasi-Ntinda'!G12,'30.07 Kisaasi-Ntinda'!G12,'31.07 Kisaasi-Ntinda'!G12,'02.08 Kisaasi-Ntinda'!G12,'01.08 Kisaasi-Ntinda-24h'!G12,'03.08 Kisaasi-Ntinda-24h'!G12,'04.08 Kisaasi-Ntinda'!G12)</f>
        <v>0.42857142857142855</v>
      </c>
      <c r="H12" s="49">
        <f>AVERAGE('29.07 Kisaasi-Ntinda'!H12,'30.07 Kisaasi-Ntinda'!H12,'31.07 Kisaasi-Ntinda'!H12,'02.08 Kisaasi-Ntinda'!H12,'01.08 Kisaasi-Ntinda-24h'!H12,'03.08 Kisaasi-Ntinda-24h'!H12,'04.08 Kisaasi-Ntinda'!H12)</f>
        <v>0</v>
      </c>
      <c r="I12" s="49">
        <f>AVERAGE('29.07 Kisaasi-Ntinda'!I12,'30.07 Kisaasi-Ntinda'!I12,'31.07 Kisaasi-Ntinda'!I12,'02.08 Kisaasi-Ntinda'!I12,'01.08 Kisaasi-Ntinda-24h'!I12,'03.08 Kisaasi-Ntinda-24h'!I12,'04.08 Kisaasi-Ntinda'!I12)</f>
        <v>4</v>
      </c>
      <c r="J12" s="49">
        <f>AVERAGE('29.07 Kisaasi-Ntinda'!J12,'30.07 Kisaasi-Ntinda'!J12,'31.07 Kisaasi-Ntinda'!J12,'02.08 Kisaasi-Ntinda'!J12,'01.08 Kisaasi-Ntinda-24h'!J12,'03.08 Kisaasi-Ntinda-24h'!J12,'04.08 Kisaasi-Ntinda'!J12)</f>
        <v>2.4285714285714284</v>
      </c>
      <c r="K12" s="49">
        <f>AVERAGE('29.07 Kisaasi-Ntinda'!K12,'30.07 Kisaasi-Ntinda'!K12,'31.07 Kisaasi-Ntinda'!K12,'02.08 Kisaasi-Ntinda'!K12,'01.08 Kisaasi-Ntinda-24h'!K12,'03.08 Kisaasi-Ntinda-24h'!K12,'04.08 Kisaasi-Ntinda'!K12)</f>
        <v>0.2857142857142857</v>
      </c>
      <c r="L12" s="49">
        <f>AVERAGE('29.07 Kisaasi-Ntinda'!L12,'30.07 Kisaasi-Ntinda'!L12,'31.07 Kisaasi-Ntinda'!L12,'02.08 Kisaasi-Ntinda'!L12,'01.08 Kisaasi-Ntinda-24h'!L12,'03.08 Kisaasi-Ntinda-24h'!L12,'04.08 Kisaasi-Ntinda'!L12)</f>
        <v>0.8571428571428571</v>
      </c>
      <c r="M12" s="49">
        <f>AVERAGE('29.07 Kisaasi-Ntinda'!M12,'30.07 Kisaasi-Ntinda'!M12,'31.07 Kisaasi-Ntinda'!M12,'02.08 Kisaasi-Ntinda'!M12,'01.08 Kisaasi-Ntinda-24h'!M12,'03.08 Kisaasi-Ntinda-24h'!M12,'04.08 Kisaasi-Ntinda'!M12)</f>
        <v>129.71428571428572</v>
      </c>
      <c r="N12" s="49">
        <f>AVERAGE('29.07 Kisaasi-Ntinda'!N12,'30.07 Kisaasi-Ntinda'!N12,'31.07 Kisaasi-Ntinda'!N12,'02.08 Kisaasi-Ntinda'!N12,'01.08 Kisaasi-Ntinda-24h'!N12,'03.08 Kisaasi-Ntinda-24h'!N12,'04.08 Kisaasi-Ntinda'!N12)</f>
        <v>0</v>
      </c>
      <c r="O12" s="15">
        <f t="shared" si="0"/>
        <v>168.8571428571428</v>
      </c>
      <c r="P12" s="15">
        <f t="shared" si="1"/>
        <v>298.57142857142856</v>
      </c>
      <c r="R12" s="1" t="s">
        <v>8</v>
      </c>
      <c r="S12" s="17">
        <f t="shared" ref="S12:AF12" si="4">SUM(C18:C21)</f>
        <v>168</v>
      </c>
      <c r="T12" s="17">
        <f t="shared" si="4"/>
        <v>115</v>
      </c>
      <c r="U12" s="17">
        <f t="shared" si="4"/>
        <v>37</v>
      </c>
      <c r="V12" s="17">
        <f t="shared" si="4"/>
        <v>51.142857142857139</v>
      </c>
      <c r="W12" s="17">
        <f t="shared" si="4"/>
        <v>0.14285714285714285</v>
      </c>
      <c r="X12" s="17">
        <f t="shared" si="4"/>
        <v>0</v>
      </c>
      <c r="Y12" s="17">
        <f t="shared" si="4"/>
        <v>16.285714285714288</v>
      </c>
      <c r="Z12" s="17">
        <f t="shared" si="4"/>
        <v>8.5714285714285712</v>
      </c>
      <c r="AA12" s="17">
        <f t="shared" si="4"/>
        <v>1.5714285714285714</v>
      </c>
      <c r="AB12" s="17">
        <f t="shared" si="4"/>
        <v>3</v>
      </c>
      <c r="AC12" s="17">
        <f t="shared" si="4"/>
        <v>502.28571428571433</v>
      </c>
      <c r="AD12" s="17">
        <f t="shared" si="4"/>
        <v>0.14285714285714285</v>
      </c>
      <c r="AE12" s="31">
        <f t="shared" si="4"/>
        <v>400.85714285714289</v>
      </c>
      <c r="AF12" s="31">
        <f t="shared" si="4"/>
        <v>903.14285714285711</v>
      </c>
    </row>
    <row r="13" spans="2:32" ht="23.1" customHeight="1" x14ac:dyDescent="0.25">
      <c r="B13" s="23" t="s">
        <v>40</v>
      </c>
      <c r="C13" s="49">
        <f>AVERAGE('29.07 Kisaasi-Ntinda'!C13,'30.07 Kisaasi-Ntinda'!C13,'31.07 Kisaasi-Ntinda'!C13,'02.08 Kisaasi-Ntinda'!C13,'01.08 Kisaasi-Ntinda-24h'!C13,'03.08 Kisaasi-Ntinda-24h'!C13,'04.08 Kisaasi-Ntinda'!C13)</f>
        <v>77.714285714285708</v>
      </c>
      <c r="D13" s="49">
        <f>AVERAGE('29.07 Kisaasi-Ntinda'!D13,'30.07 Kisaasi-Ntinda'!D13,'31.07 Kisaasi-Ntinda'!D13,'02.08 Kisaasi-Ntinda'!D13,'01.08 Kisaasi-Ntinda-24h'!D13,'03.08 Kisaasi-Ntinda-24h'!D13,'04.08 Kisaasi-Ntinda'!D13)</f>
        <v>47.428571428571431</v>
      </c>
      <c r="E13" s="49">
        <f>AVERAGE('29.07 Kisaasi-Ntinda'!E13,'30.07 Kisaasi-Ntinda'!E13,'31.07 Kisaasi-Ntinda'!E13,'02.08 Kisaasi-Ntinda'!E13,'01.08 Kisaasi-Ntinda-24h'!E13,'03.08 Kisaasi-Ntinda-24h'!E13,'04.08 Kisaasi-Ntinda'!E13)</f>
        <v>13.714285714285714</v>
      </c>
      <c r="F13" s="49">
        <f>AVERAGE('29.07 Kisaasi-Ntinda'!F13,'30.07 Kisaasi-Ntinda'!F13,'31.07 Kisaasi-Ntinda'!F13,'02.08 Kisaasi-Ntinda'!F13,'01.08 Kisaasi-Ntinda-24h'!F13,'03.08 Kisaasi-Ntinda-24h'!F13,'04.08 Kisaasi-Ntinda'!F13)</f>
        <v>15.714285714285714</v>
      </c>
      <c r="G13" s="49">
        <f>AVERAGE('29.07 Kisaasi-Ntinda'!G13,'30.07 Kisaasi-Ntinda'!G13,'31.07 Kisaasi-Ntinda'!G13,'02.08 Kisaasi-Ntinda'!G13,'01.08 Kisaasi-Ntinda-24h'!G13,'03.08 Kisaasi-Ntinda-24h'!G13,'04.08 Kisaasi-Ntinda'!G13)</f>
        <v>0.42857142857142855</v>
      </c>
      <c r="H13" s="49">
        <f>AVERAGE('29.07 Kisaasi-Ntinda'!H13,'30.07 Kisaasi-Ntinda'!H13,'31.07 Kisaasi-Ntinda'!H13,'02.08 Kisaasi-Ntinda'!H13,'01.08 Kisaasi-Ntinda-24h'!H13,'03.08 Kisaasi-Ntinda-24h'!H13,'04.08 Kisaasi-Ntinda'!H13)</f>
        <v>0</v>
      </c>
      <c r="I13" s="49">
        <f>AVERAGE('29.07 Kisaasi-Ntinda'!I13,'30.07 Kisaasi-Ntinda'!I13,'31.07 Kisaasi-Ntinda'!I13,'02.08 Kisaasi-Ntinda'!I13,'01.08 Kisaasi-Ntinda-24h'!I13,'03.08 Kisaasi-Ntinda-24h'!I13,'04.08 Kisaasi-Ntinda'!I13)</f>
        <v>3.5714285714285716</v>
      </c>
      <c r="J13" s="49">
        <f>AVERAGE('29.07 Kisaasi-Ntinda'!J13,'30.07 Kisaasi-Ntinda'!J13,'31.07 Kisaasi-Ntinda'!J13,'02.08 Kisaasi-Ntinda'!J13,'01.08 Kisaasi-Ntinda-24h'!J13,'03.08 Kisaasi-Ntinda-24h'!J13,'04.08 Kisaasi-Ntinda'!J13)</f>
        <v>0.7142857142857143</v>
      </c>
      <c r="K13" s="49">
        <f>AVERAGE('29.07 Kisaasi-Ntinda'!K13,'30.07 Kisaasi-Ntinda'!K13,'31.07 Kisaasi-Ntinda'!K13,'02.08 Kisaasi-Ntinda'!K13,'01.08 Kisaasi-Ntinda-24h'!K13,'03.08 Kisaasi-Ntinda-24h'!K13,'04.08 Kisaasi-Ntinda'!K13)</f>
        <v>0.7142857142857143</v>
      </c>
      <c r="L13" s="49">
        <f>AVERAGE('29.07 Kisaasi-Ntinda'!L13,'30.07 Kisaasi-Ntinda'!L13,'31.07 Kisaasi-Ntinda'!L13,'02.08 Kisaasi-Ntinda'!L13,'01.08 Kisaasi-Ntinda-24h'!L13,'03.08 Kisaasi-Ntinda-24h'!L13,'04.08 Kisaasi-Ntinda'!L13)</f>
        <v>0.7142857142857143</v>
      </c>
      <c r="M13" s="49">
        <f>AVERAGE('29.07 Kisaasi-Ntinda'!M13,'30.07 Kisaasi-Ntinda'!M13,'31.07 Kisaasi-Ntinda'!M13,'02.08 Kisaasi-Ntinda'!M13,'01.08 Kisaasi-Ntinda-24h'!M13,'03.08 Kisaasi-Ntinda-24h'!M13,'04.08 Kisaasi-Ntinda'!M13)</f>
        <v>131.71428571428572</v>
      </c>
      <c r="N13" s="49">
        <f>AVERAGE('29.07 Kisaasi-Ntinda'!N13,'30.07 Kisaasi-Ntinda'!N13,'31.07 Kisaasi-Ntinda'!N13,'02.08 Kisaasi-Ntinda'!N13,'01.08 Kisaasi-Ntinda-24h'!N13,'03.08 Kisaasi-Ntinda-24h'!N13,'04.08 Kisaasi-Ntinda'!N13)</f>
        <v>0</v>
      </c>
      <c r="O13" s="15">
        <f t="shared" si="0"/>
        <v>160.71428571428575</v>
      </c>
      <c r="P13" s="15">
        <f t="shared" si="1"/>
        <v>292.42857142857144</v>
      </c>
      <c r="R13" s="1" t="s">
        <v>9</v>
      </c>
      <c r="S13" s="17">
        <f t="shared" ref="S13:AF13" si="5">SUM(C22:C25)</f>
        <v>146.28571428571428</v>
      </c>
      <c r="T13" s="17">
        <f t="shared" si="5"/>
        <v>94.857142857142861</v>
      </c>
      <c r="U13" s="17">
        <f t="shared" si="5"/>
        <v>41.428571428571431</v>
      </c>
      <c r="V13" s="17">
        <f t="shared" si="5"/>
        <v>49.571428571428577</v>
      </c>
      <c r="W13" s="17">
        <f t="shared" si="5"/>
        <v>0</v>
      </c>
      <c r="X13" s="17">
        <f t="shared" si="5"/>
        <v>0.14285714285714285</v>
      </c>
      <c r="Y13" s="17">
        <f t="shared" si="5"/>
        <v>15.428571428571427</v>
      </c>
      <c r="Z13" s="17">
        <f t="shared" si="5"/>
        <v>7</v>
      </c>
      <c r="AA13" s="17">
        <f t="shared" si="5"/>
        <v>2</v>
      </c>
      <c r="AB13" s="17">
        <f t="shared" si="5"/>
        <v>4.7142857142857135</v>
      </c>
      <c r="AC13" s="17">
        <f t="shared" si="5"/>
        <v>392.28571428571433</v>
      </c>
      <c r="AD13" s="17">
        <f t="shared" si="5"/>
        <v>0</v>
      </c>
      <c r="AE13" s="31">
        <f t="shared" si="5"/>
        <v>361.42857142857144</v>
      </c>
      <c r="AF13" s="31">
        <f t="shared" si="5"/>
        <v>753.71428571428567</v>
      </c>
    </row>
    <row r="14" spans="2:32" ht="23.1" customHeight="1" x14ac:dyDescent="0.25">
      <c r="B14" s="23" t="s">
        <v>41</v>
      </c>
      <c r="C14" s="49">
        <f>AVERAGE('29.07 Kisaasi-Ntinda'!C14,'30.07 Kisaasi-Ntinda'!C14,'31.07 Kisaasi-Ntinda'!C14,'02.08 Kisaasi-Ntinda'!C14,'01.08 Kisaasi-Ntinda-24h'!C14,'03.08 Kisaasi-Ntinda-24h'!C14,'04.08 Kisaasi-Ntinda'!C14)</f>
        <v>64.428571428571431</v>
      </c>
      <c r="D14" s="49">
        <f>AVERAGE('29.07 Kisaasi-Ntinda'!D14,'30.07 Kisaasi-Ntinda'!D14,'31.07 Kisaasi-Ntinda'!D14,'02.08 Kisaasi-Ntinda'!D14,'01.08 Kisaasi-Ntinda-24h'!D14,'03.08 Kisaasi-Ntinda-24h'!D14,'04.08 Kisaasi-Ntinda'!D14)</f>
        <v>39.857142857142854</v>
      </c>
      <c r="E14" s="49">
        <f>AVERAGE('29.07 Kisaasi-Ntinda'!E14,'30.07 Kisaasi-Ntinda'!E14,'31.07 Kisaasi-Ntinda'!E14,'02.08 Kisaasi-Ntinda'!E14,'01.08 Kisaasi-Ntinda-24h'!E14,'03.08 Kisaasi-Ntinda-24h'!E14,'04.08 Kisaasi-Ntinda'!E14)</f>
        <v>11.142857142857142</v>
      </c>
      <c r="F14" s="49">
        <f>AVERAGE('29.07 Kisaasi-Ntinda'!F14,'30.07 Kisaasi-Ntinda'!F14,'31.07 Kisaasi-Ntinda'!F14,'02.08 Kisaasi-Ntinda'!F14,'01.08 Kisaasi-Ntinda-24h'!F14,'03.08 Kisaasi-Ntinda-24h'!F14,'04.08 Kisaasi-Ntinda'!F14)</f>
        <v>15.857142857142858</v>
      </c>
      <c r="G14" s="49">
        <f>AVERAGE('29.07 Kisaasi-Ntinda'!G14,'30.07 Kisaasi-Ntinda'!G14,'31.07 Kisaasi-Ntinda'!G14,'02.08 Kisaasi-Ntinda'!G14,'01.08 Kisaasi-Ntinda-24h'!G14,'03.08 Kisaasi-Ntinda-24h'!G14,'04.08 Kisaasi-Ntinda'!G14)</f>
        <v>1</v>
      </c>
      <c r="H14" s="49">
        <f>AVERAGE('29.07 Kisaasi-Ntinda'!H14,'30.07 Kisaasi-Ntinda'!H14,'31.07 Kisaasi-Ntinda'!H14,'02.08 Kisaasi-Ntinda'!H14,'01.08 Kisaasi-Ntinda-24h'!H14,'03.08 Kisaasi-Ntinda-24h'!H14,'04.08 Kisaasi-Ntinda'!H14)</f>
        <v>0</v>
      </c>
      <c r="I14" s="49">
        <f>AVERAGE('29.07 Kisaasi-Ntinda'!I14,'30.07 Kisaasi-Ntinda'!I14,'31.07 Kisaasi-Ntinda'!I14,'02.08 Kisaasi-Ntinda'!I14,'01.08 Kisaasi-Ntinda-24h'!I14,'03.08 Kisaasi-Ntinda-24h'!I14,'04.08 Kisaasi-Ntinda'!I14)</f>
        <v>5.4285714285714288</v>
      </c>
      <c r="J14" s="49">
        <f>AVERAGE('29.07 Kisaasi-Ntinda'!J14,'30.07 Kisaasi-Ntinda'!J14,'31.07 Kisaasi-Ntinda'!J14,'02.08 Kisaasi-Ntinda'!J14,'01.08 Kisaasi-Ntinda-24h'!J14,'03.08 Kisaasi-Ntinda-24h'!J14,'04.08 Kisaasi-Ntinda'!J14)</f>
        <v>3.2857142857142856</v>
      </c>
      <c r="K14" s="49">
        <f>AVERAGE('29.07 Kisaasi-Ntinda'!K14,'30.07 Kisaasi-Ntinda'!K14,'31.07 Kisaasi-Ntinda'!K14,'02.08 Kisaasi-Ntinda'!K14,'01.08 Kisaasi-Ntinda-24h'!K14,'03.08 Kisaasi-Ntinda-24h'!K14,'04.08 Kisaasi-Ntinda'!K14)</f>
        <v>0.5714285714285714</v>
      </c>
      <c r="L14" s="49">
        <f>AVERAGE('29.07 Kisaasi-Ntinda'!L14,'30.07 Kisaasi-Ntinda'!L14,'31.07 Kisaasi-Ntinda'!L14,'02.08 Kisaasi-Ntinda'!L14,'01.08 Kisaasi-Ntinda-24h'!L14,'03.08 Kisaasi-Ntinda-24h'!L14,'04.08 Kisaasi-Ntinda'!L14)</f>
        <v>1.1428571428571428</v>
      </c>
      <c r="M14" s="49">
        <f>AVERAGE('29.07 Kisaasi-Ntinda'!M14,'30.07 Kisaasi-Ntinda'!M14,'31.07 Kisaasi-Ntinda'!M14,'02.08 Kisaasi-Ntinda'!M14,'01.08 Kisaasi-Ntinda-24h'!M14,'03.08 Kisaasi-Ntinda-24h'!M14,'04.08 Kisaasi-Ntinda'!M14)</f>
        <v>146.28571428571428</v>
      </c>
      <c r="N14" s="49">
        <f>AVERAGE('29.07 Kisaasi-Ntinda'!N14,'30.07 Kisaasi-Ntinda'!N14,'31.07 Kisaasi-Ntinda'!N14,'02.08 Kisaasi-Ntinda'!N14,'01.08 Kisaasi-Ntinda-24h'!N14,'03.08 Kisaasi-Ntinda-24h'!N14,'04.08 Kisaasi-Ntinda'!N14)</f>
        <v>0</v>
      </c>
      <c r="O14" s="15">
        <f t="shared" si="0"/>
        <v>142.71428571428569</v>
      </c>
      <c r="P14" s="15">
        <f t="shared" si="1"/>
        <v>289</v>
      </c>
      <c r="R14" s="1" t="s">
        <v>10</v>
      </c>
      <c r="S14" s="17">
        <f t="shared" ref="S14:AF14" si="6">SUM(C26:C29)</f>
        <v>148.28571428571428</v>
      </c>
      <c r="T14" s="17">
        <f t="shared" si="6"/>
        <v>105.42857142857143</v>
      </c>
      <c r="U14" s="17">
        <f t="shared" si="6"/>
        <v>32.857142857142854</v>
      </c>
      <c r="V14" s="17">
        <f t="shared" si="6"/>
        <v>40.714285714285708</v>
      </c>
      <c r="W14" s="17">
        <f t="shared" si="6"/>
        <v>0.42857142857142855</v>
      </c>
      <c r="X14" s="17">
        <f t="shared" si="6"/>
        <v>0</v>
      </c>
      <c r="Y14" s="17">
        <f t="shared" si="6"/>
        <v>12.428571428571427</v>
      </c>
      <c r="Z14" s="17">
        <f t="shared" si="6"/>
        <v>8.1428571428571423</v>
      </c>
      <c r="AA14" s="17">
        <f t="shared" si="6"/>
        <v>2</v>
      </c>
      <c r="AB14" s="17">
        <f t="shared" si="6"/>
        <v>6.8571428571428577</v>
      </c>
      <c r="AC14" s="17">
        <f t="shared" si="6"/>
        <v>394</v>
      </c>
      <c r="AD14" s="17">
        <f t="shared" si="6"/>
        <v>0</v>
      </c>
      <c r="AE14" s="31">
        <f t="shared" si="6"/>
        <v>357.14285714285711</v>
      </c>
      <c r="AF14" s="31">
        <f t="shared" si="6"/>
        <v>751.14285714285711</v>
      </c>
    </row>
    <row r="15" spans="2:32" ht="23.1" customHeight="1" x14ac:dyDescent="0.25">
      <c r="B15" s="23" t="s">
        <v>42</v>
      </c>
      <c r="C15" s="49">
        <f>AVERAGE('29.07 Kisaasi-Ntinda'!C15,'30.07 Kisaasi-Ntinda'!C15,'31.07 Kisaasi-Ntinda'!C15,'02.08 Kisaasi-Ntinda'!C15,'01.08 Kisaasi-Ntinda-24h'!C15,'03.08 Kisaasi-Ntinda-24h'!C15,'04.08 Kisaasi-Ntinda'!C15)</f>
        <v>59.142857142857146</v>
      </c>
      <c r="D15" s="49">
        <f>AVERAGE('29.07 Kisaasi-Ntinda'!D15,'30.07 Kisaasi-Ntinda'!D15,'31.07 Kisaasi-Ntinda'!D15,'02.08 Kisaasi-Ntinda'!D15,'01.08 Kisaasi-Ntinda-24h'!D15,'03.08 Kisaasi-Ntinda-24h'!D15,'04.08 Kisaasi-Ntinda'!D15)</f>
        <v>39.285714285714285</v>
      </c>
      <c r="E15" s="49">
        <f>AVERAGE('29.07 Kisaasi-Ntinda'!E15,'30.07 Kisaasi-Ntinda'!E15,'31.07 Kisaasi-Ntinda'!E15,'02.08 Kisaasi-Ntinda'!E15,'01.08 Kisaasi-Ntinda-24h'!E15,'03.08 Kisaasi-Ntinda-24h'!E15,'04.08 Kisaasi-Ntinda'!E15)</f>
        <v>12.428571428571429</v>
      </c>
      <c r="F15" s="49">
        <f>AVERAGE('29.07 Kisaasi-Ntinda'!F15,'30.07 Kisaasi-Ntinda'!F15,'31.07 Kisaasi-Ntinda'!F15,'02.08 Kisaasi-Ntinda'!F15,'01.08 Kisaasi-Ntinda-24h'!F15,'03.08 Kisaasi-Ntinda-24h'!F15,'04.08 Kisaasi-Ntinda'!F15)</f>
        <v>17</v>
      </c>
      <c r="G15" s="49">
        <f>AVERAGE('29.07 Kisaasi-Ntinda'!G15,'30.07 Kisaasi-Ntinda'!G15,'31.07 Kisaasi-Ntinda'!G15,'02.08 Kisaasi-Ntinda'!G15,'01.08 Kisaasi-Ntinda-24h'!G15,'03.08 Kisaasi-Ntinda-24h'!G15,'04.08 Kisaasi-Ntinda'!G15)</f>
        <v>0.7142857142857143</v>
      </c>
      <c r="H15" s="49">
        <f>AVERAGE('29.07 Kisaasi-Ntinda'!H15,'30.07 Kisaasi-Ntinda'!H15,'31.07 Kisaasi-Ntinda'!H15,'02.08 Kisaasi-Ntinda'!H15,'01.08 Kisaasi-Ntinda-24h'!H15,'03.08 Kisaasi-Ntinda-24h'!H15,'04.08 Kisaasi-Ntinda'!H15)</f>
        <v>0</v>
      </c>
      <c r="I15" s="49">
        <f>AVERAGE('29.07 Kisaasi-Ntinda'!I15,'30.07 Kisaasi-Ntinda'!I15,'31.07 Kisaasi-Ntinda'!I15,'02.08 Kisaasi-Ntinda'!I15,'01.08 Kisaasi-Ntinda-24h'!I15,'03.08 Kisaasi-Ntinda-24h'!I15,'04.08 Kisaasi-Ntinda'!I15)</f>
        <v>3.2857142857142856</v>
      </c>
      <c r="J15" s="49">
        <f>AVERAGE('29.07 Kisaasi-Ntinda'!J15,'30.07 Kisaasi-Ntinda'!J15,'31.07 Kisaasi-Ntinda'!J15,'02.08 Kisaasi-Ntinda'!J15,'01.08 Kisaasi-Ntinda-24h'!J15,'03.08 Kisaasi-Ntinda-24h'!J15,'04.08 Kisaasi-Ntinda'!J15)</f>
        <v>1.4285714285714286</v>
      </c>
      <c r="K15" s="49">
        <f>AVERAGE('29.07 Kisaasi-Ntinda'!K15,'30.07 Kisaasi-Ntinda'!K15,'31.07 Kisaasi-Ntinda'!K15,'02.08 Kisaasi-Ntinda'!K15,'01.08 Kisaasi-Ntinda-24h'!K15,'03.08 Kisaasi-Ntinda-24h'!K15,'04.08 Kisaasi-Ntinda'!K15)</f>
        <v>0.14285714285714285</v>
      </c>
      <c r="L15" s="49">
        <f>AVERAGE('29.07 Kisaasi-Ntinda'!L15,'30.07 Kisaasi-Ntinda'!L15,'31.07 Kisaasi-Ntinda'!L15,'02.08 Kisaasi-Ntinda'!L15,'01.08 Kisaasi-Ntinda-24h'!L15,'03.08 Kisaasi-Ntinda-24h'!L15,'04.08 Kisaasi-Ntinda'!L15)</f>
        <v>0.7142857142857143</v>
      </c>
      <c r="M15" s="49">
        <f>AVERAGE('29.07 Kisaasi-Ntinda'!M15,'30.07 Kisaasi-Ntinda'!M15,'31.07 Kisaasi-Ntinda'!M15,'02.08 Kisaasi-Ntinda'!M15,'01.08 Kisaasi-Ntinda-24h'!M15,'03.08 Kisaasi-Ntinda-24h'!M15,'04.08 Kisaasi-Ntinda'!M15)</f>
        <v>141.85714285714286</v>
      </c>
      <c r="N15" s="49">
        <f>AVERAGE('29.07 Kisaasi-Ntinda'!N15,'30.07 Kisaasi-Ntinda'!N15,'31.07 Kisaasi-Ntinda'!N15,'02.08 Kisaasi-Ntinda'!N15,'01.08 Kisaasi-Ntinda-24h'!N15,'03.08 Kisaasi-Ntinda-24h'!N15,'04.08 Kisaasi-Ntinda'!N15)</f>
        <v>0</v>
      </c>
      <c r="O15" s="15">
        <f t="shared" si="0"/>
        <v>134.14285714285714</v>
      </c>
      <c r="P15" s="15">
        <f t="shared" si="1"/>
        <v>276</v>
      </c>
      <c r="R15" s="1" t="s">
        <v>11</v>
      </c>
      <c r="S15" s="17">
        <f t="shared" ref="S15:AF15" si="7">SUM(C30:C33)</f>
        <v>148.42857142857144</v>
      </c>
      <c r="T15" s="17">
        <f t="shared" si="7"/>
        <v>103.57142857142857</v>
      </c>
      <c r="U15" s="17">
        <f t="shared" si="7"/>
        <v>38.428571428571431</v>
      </c>
      <c r="V15" s="17">
        <f t="shared" si="7"/>
        <v>51.714285714285708</v>
      </c>
      <c r="W15" s="17">
        <f t="shared" si="7"/>
        <v>0.71428571428571419</v>
      </c>
      <c r="X15" s="17">
        <f t="shared" si="7"/>
        <v>0</v>
      </c>
      <c r="Y15" s="17">
        <f t="shared" si="7"/>
        <v>14.714285714285714</v>
      </c>
      <c r="Z15" s="17">
        <f t="shared" si="7"/>
        <v>9.5714285714285712</v>
      </c>
      <c r="AA15" s="17">
        <f t="shared" si="7"/>
        <v>3</v>
      </c>
      <c r="AB15" s="17">
        <f t="shared" si="7"/>
        <v>9.5714285714285712</v>
      </c>
      <c r="AC15" s="17">
        <f t="shared" si="7"/>
        <v>403.14285714285717</v>
      </c>
      <c r="AD15" s="17">
        <f t="shared" si="7"/>
        <v>0.2857142857142857</v>
      </c>
      <c r="AE15" s="31">
        <f t="shared" si="7"/>
        <v>380</v>
      </c>
      <c r="AF15" s="31">
        <f t="shared" si="7"/>
        <v>783.14285714285711</v>
      </c>
    </row>
    <row r="16" spans="2:32" ht="23.1" customHeight="1" x14ac:dyDescent="0.25">
      <c r="B16" s="23" t="s">
        <v>43</v>
      </c>
      <c r="C16" s="49">
        <f>AVERAGE('29.07 Kisaasi-Ntinda'!C16,'30.07 Kisaasi-Ntinda'!C16,'31.07 Kisaasi-Ntinda'!C16,'02.08 Kisaasi-Ntinda'!C16,'01.08 Kisaasi-Ntinda-24h'!C16,'03.08 Kisaasi-Ntinda-24h'!C16,'04.08 Kisaasi-Ntinda'!C16)</f>
        <v>43.857142857142854</v>
      </c>
      <c r="D16" s="49">
        <f>AVERAGE('29.07 Kisaasi-Ntinda'!D16,'30.07 Kisaasi-Ntinda'!D16,'31.07 Kisaasi-Ntinda'!D16,'02.08 Kisaasi-Ntinda'!D16,'01.08 Kisaasi-Ntinda-24h'!D16,'03.08 Kisaasi-Ntinda-24h'!D16,'04.08 Kisaasi-Ntinda'!D16)</f>
        <v>28</v>
      </c>
      <c r="E16" s="49">
        <f>AVERAGE('29.07 Kisaasi-Ntinda'!E16,'30.07 Kisaasi-Ntinda'!E16,'31.07 Kisaasi-Ntinda'!E16,'02.08 Kisaasi-Ntinda'!E16,'01.08 Kisaasi-Ntinda-24h'!E16,'03.08 Kisaasi-Ntinda-24h'!E16,'04.08 Kisaasi-Ntinda'!E16)</f>
        <v>9.4285714285714288</v>
      </c>
      <c r="F16" s="49">
        <f>AVERAGE('29.07 Kisaasi-Ntinda'!F16,'30.07 Kisaasi-Ntinda'!F16,'31.07 Kisaasi-Ntinda'!F16,'02.08 Kisaasi-Ntinda'!F16,'01.08 Kisaasi-Ntinda-24h'!F16,'03.08 Kisaasi-Ntinda-24h'!F16,'04.08 Kisaasi-Ntinda'!F16)</f>
        <v>10.571428571428571</v>
      </c>
      <c r="G16" s="49">
        <f>AVERAGE('29.07 Kisaasi-Ntinda'!G16,'30.07 Kisaasi-Ntinda'!G16,'31.07 Kisaasi-Ntinda'!G16,'02.08 Kisaasi-Ntinda'!G16,'01.08 Kisaasi-Ntinda-24h'!G16,'03.08 Kisaasi-Ntinda-24h'!G16,'04.08 Kisaasi-Ntinda'!G16)</f>
        <v>0</v>
      </c>
      <c r="H16" s="49">
        <f>AVERAGE('29.07 Kisaasi-Ntinda'!H16,'30.07 Kisaasi-Ntinda'!H16,'31.07 Kisaasi-Ntinda'!H16,'02.08 Kisaasi-Ntinda'!H16,'01.08 Kisaasi-Ntinda-24h'!H16,'03.08 Kisaasi-Ntinda-24h'!H16,'04.08 Kisaasi-Ntinda'!H16)</f>
        <v>0</v>
      </c>
      <c r="I16" s="49">
        <f>AVERAGE('29.07 Kisaasi-Ntinda'!I16,'30.07 Kisaasi-Ntinda'!I16,'31.07 Kisaasi-Ntinda'!I16,'02.08 Kisaasi-Ntinda'!I16,'01.08 Kisaasi-Ntinda-24h'!I16,'03.08 Kisaasi-Ntinda-24h'!I16,'04.08 Kisaasi-Ntinda'!I16)</f>
        <v>2.7142857142857144</v>
      </c>
      <c r="J16" s="49">
        <f>AVERAGE('29.07 Kisaasi-Ntinda'!J16,'30.07 Kisaasi-Ntinda'!J16,'31.07 Kisaasi-Ntinda'!J16,'02.08 Kisaasi-Ntinda'!J16,'01.08 Kisaasi-Ntinda-24h'!J16,'03.08 Kisaasi-Ntinda-24h'!J16,'04.08 Kisaasi-Ntinda'!J16)</f>
        <v>1.4285714285714286</v>
      </c>
      <c r="K16" s="49">
        <f>AVERAGE('29.07 Kisaasi-Ntinda'!K16,'30.07 Kisaasi-Ntinda'!K16,'31.07 Kisaasi-Ntinda'!K16,'02.08 Kisaasi-Ntinda'!K16,'01.08 Kisaasi-Ntinda-24h'!K16,'03.08 Kisaasi-Ntinda-24h'!K16,'04.08 Kisaasi-Ntinda'!K16)</f>
        <v>0.14285714285714285</v>
      </c>
      <c r="L16" s="49">
        <f>AVERAGE('29.07 Kisaasi-Ntinda'!L16,'30.07 Kisaasi-Ntinda'!L16,'31.07 Kisaasi-Ntinda'!L16,'02.08 Kisaasi-Ntinda'!L16,'01.08 Kisaasi-Ntinda-24h'!L16,'03.08 Kisaasi-Ntinda-24h'!L16,'04.08 Kisaasi-Ntinda'!L16)</f>
        <v>1.4285714285714286</v>
      </c>
      <c r="M16" s="49">
        <f>AVERAGE('29.07 Kisaasi-Ntinda'!M16,'30.07 Kisaasi-Ntinda'!M16,'31.07 Kisaasi-Ntinda'!M16,'02.08 Kisaasi-Ntinda'!M16,'01.08 Kisaasi-Ntinda-24h'!M16,'03.08 Kisaasi-Ntinda-24h'!M16,'04.08 Kisaasi-Ntinda'!M16)</f>
        <v>148.28571428571428</v>
      </c>
      <c r="N16" s="49">
        <f>AVERAGE('29.07 Kisaasi-Ntinda'!N16,'30.07 Kisaasi-Ntinda'!N16,'31.07 Kisaasi-Ntinda'!N16,'02.08 Kisaasi-Ntinda'!N16,'01.08 Kisaasi-Ntinda-24h'!N16,'03.08 Kisaasi-Ntinda-24h'!N16,'04.08 Kisaasi-Ntinda'!N16)</f>
        <v>0</v>
      </c>
      <c r="O16" s="15">
        <f t="shared" si="0"/>
        <v>97.571428571428569</v>
      </c>
      <c r="P16" s="15">
        <f t="shared" si="1"/>
        <v>245.85714285714283</v>
      </c>
      <c r="R16" s="1" t="s">
        <v>12</v>
      </c>
      <c r="S16" s="17">
        <f t="shared" ref="S16:AF16" si="8">SUM(C34:C37)</f>
        <v>106.85714285714286</v>
      </c>
      <c r="T16" s="17">
        <f t="shared" si="8"/>
        <v>69.142857142857139</v>
      </c>
      <c r="U16" s="17">
        <f t="shared" si="8"/>
        <v>30.714285714285715</v>
      </c>
      <c r="V16" s="17">
        <f t="shared" si="8"/>
        <v>34.428571428571423</v>
      </c>
      <c r="W16" s="17">
        <f t="shared" si="8"/>
        <v>0.14285714285714285</v>
      </c>
      <c r="X16" s="17">
        <f t="shared" si="8"/>
        <v>0</v>
      </c>
      <c r="Y16" s="17">
        <f t="shared" si="8"/>
        <v>13.571428571428571</v>
      </c>
      <c r="Z16" s="17">
        <f t="shared" si="8"/>
        <v>10.285714285714286</v>
      </c>
      <c r="AA16" s="17">
        <f t="shared" si="8"/>
        <v>3.2857142857142856</v>
      </c>
      <c r="AB16" s="17">
        <f t="shared" si="8"/>
        <v>7</v>
      </c>
      <c r="AC16" s="17">
        <f t="shared" si="8"/>
        <v>363.71428571428567</v>
      </c>
      <c r="AD16" s="17">
        <f t="shared" si="8"/>
        <v>0</v>
      </c>
      <c r="AE16" s="31">
        <f t="shared" si="8"/>
        <v>275.42857142857144</v>
      </c>
      <c r="AF16" s="31">
        <f t="shared" si="8"/>
        <v>639.14285714285711</v>
      </c>
    </row>
    <row r="17" spans="2:32" ht="23.1" customHeight="1" x14ac:dyDescent="0.25">
      <c r="B17" s="23" t="s">
        <v>44</v>
      </c>
      <c r="C17" s="49">
        <f>AVERAGE('29.07 Kisaasi-Ntinda'!C17,'30.07 Kisaasi-Ntinda'!C17,'31.07 Kisaasi-Ntinda'!C17,'02.08 Kisaasi-Ntinda'!C17,'01.08 Kisaasi-Ntinda-24h'!C17,'03.08 Kisaasi-Ntinda-24h'!C17,'04.08 Kisaasi-Ntinda'!C17)</f>
        <v>39.285714285714285</v>
      </c>
      <c r="D17" s="49">
        <f>AVERAGE('29.07 Kisaasi-Ntinda'!D17,'30.07 Kisaasi-Ntinda'!D17,'31.07 Kisaasi-Ntinda'!D17,'02.08 Kisaasi-Ntinda'!D17,'01.08 Kisaasi-Ntinda-24h'!D17,'03.08 Kisaasi-Ntinda-24h'!D17,'04.08 Kisaasi-Ntinda'!D17)</f>
        <v>25.857142857142858</v>
      </c>
      <c r="E17" s="49">
        <f>AVERAGE('29.07 Kisaasi-Ntinda'!E17,'30.07 Kisaasi-Ntinda'!E17,'31.07 Kisaasi-Ntinda'!E17,'02.08 Kisaasi-Ntinda'!E17,'01.08 Kisaasi-Ntinda-24h'!E17,'03.08 Kisaasi-Ntinda-24h'!E17,'04.08 Kisaasi-Ntinda'!E17)</f>
        <v>6</v>
      </c>
      <c r="F17" s="49">
        <f>AVERAGE('29.07 Kisaasi-Ntinda'!F17,'30.07 Kisaasi-Ntinda'!F17,'31.07 Kisaasi-Ntinda'!F17,'02.08 Kisaasi-Ntinda'!F17,'01.08 Kisaasi-Ntinda-24h'!F17,'03.08 Kisaasi-Ntinda-24h'!F17,'04.08 Kisaasi-Ntinda'!F17)</f>
        <v>10.857142857142858</v>
      </c>
      <c r="G17" s="49">
        <f>AVERAGE('29.07 Kisaasi-Ntinda'!G17,'30.07 Kisaasi-Ntinda'!G17,'31.07 Kisaasi-Ntinda'!G17,'02.08 Kisaasi-Ntinda'!G17,'01.08 Kisaasi-Ntinda-24h'!G17,'03.08 Kisaasi-Ntinda-24h'!G17,'04.08 Kisaasi-Ntinda'!G17)</f>
        <v>0.42857142857142855</v>
      </c>
      <c r="H17" s="49">
        <f>AVERAGE('29.07 Kisaasi-Ntinda'!H17,'30.07 Kisaasi-Ntinda'!H17,'31.07 Kisaasi-Ntinda'!H17,'02.08 Kisaasi-Ntinda'!H17,'01.08 Kisaasi-Ntinda-24h'!H17,'03.08 Kisaasi-Ntinda-24h'!H17,'04.08 Kisaasi-Ntinda'!H17)</f>
        <v>0</v>
      </c>
      <c r="I17" s="49">
        <f>AVERAGE('29.07 Kisaasi-Ntinda'!I17,'30.07 Kisaasi-Ntinda'!I17,'31.07 Kisaasi-Ntinda'!I17,'02.08 Kisaasi-Ntinda'!I17,'01.08 Kisaasi-Ntinda-24h'!I17,'03.08 Kisaasi-Ntinda-24h'!I17,'04.08 Kisaasi-Ntinda'!I17)</f>
        <v>2.7142857142857144</v>
      </c>
      <c r="J17" s="49">
        <f>AVERAGE('29.07 Kisaasi-Ntinda'!J17,'30.07 Kisaasi-Ntinda'!J17,'31.07 Kisaasi-Ntinda'!J17,'02.08 Kisaasi-Ntinda'!J17,'01.08 Kisaasi-Ntinda-24h'!J17,'03.08 Kisaasi-Ntinda-24h'!J17,'04.08 Kisaasi-Ntinda'!J17)</f>
        <v>1</v>
      </c>
      <c r="K17" s="49">
        <f>AVERAGE('29.07 Kisaasi-Ntinda'!K17,'30.07 Kisaasi-Ntinda'!K17,'31.07 Kisaasi-Ntinda'!K17,'02.08 Kisaasi-Ntinda'!K17,'01.08 Kisaasi-Ntinda-24h'!K17,'03.08 Kisaasi-Ntinda-24h'!K17,'04.08 Kisaasi-Ntinda'!K17)</f>
        <v>0.14285714285714285</v>
      </c>
      <c r="L17" s="49">
        <f>AVERAGE('29.07 Kisaasi-Ntinda'!L17,'30.07 Kisaasi-Ntinda'!L17,'31.07 Kisaasi-Ntinda'!L17,'02.08 Kisaasi-Ntinda'!L17,'01.08 Kisaasi-Ntinda-24h'!L17,'03.08 Kisaasi-Ntinda-24h'!L17,'04.08 Kisaasi-Ntinda'!L17)</f>
        <v>1</v>
      </c>
      <c r="M17" s="49">
        <f>AVERAGE('29.07 Kisaasi-Ntinda'!M17,'30.07 Kisaasi-Ntinda'!M17,'31.07 Kisaasi-Ntinda'!M17,'02.08 Kisaasi-Ntinda'!M17,'01.08 Kisaasi-Ntinda-24h'!M17,'03.08 Kisaasi-Ntinda-24h'!M17,'04.08 Kisaasi-Ntinda'!M17)</f>
        <v>132.28571428571428</v>
      </c>
      <c r="N17" s="49">
        <f>AVERAGE('29.07 Kisaasi-Ntinda'!N17,'30.07 Kisaasi-Ntinda'!N17,'31.07 Kisaasi-Ntinda'!N17,'02.08 Kisaasi-Ntinda'!N17,'01.08 Kisaasi-Ntinda-24h'!N17,'03.08 Kisaasi-Ntinda-24h'!N17,'04.08 Kisaasi-Ntinda'!N17)</f>
        <v>0</v>
      </c>
      <c r="O17" s="15">
        <f t="shared" si="0"/>
        <v>87.285714285714278</v>
      </c>
      <c r="P17" s="15">
        <f t="shared" si="1"/>
        <v>219.57142857142856</v>
      </c>
      <c r="R17" s="1" t="s">
        <v>13</v>
      </c>
      <c r="S17" s="17">
        <f t="shared" ref="S17:AF17" si="9">SUM(C38:C41)</f>
        <v>136.14285714285714</v>
      </c>
      <c r="T17" s="17">
        <f t="shared" si="9"/>
        <v>79.714285714285722</v>
      </c>
      <c r="U17" s="17">
        <f t="shared" si="9"/>
        <v>35.714285714285715</v>
      </c>
      <c r="V17" s="17">
        <f t="shared" si="9"/>
        <v>42.571428571428569</v>
      </c>
      <c r="W17" s="17">
        <f t="shared" si="9"/>
        <v>2.2857142857142856</v>
      </c>
      <c r="X17" s="17">
        <f t="shared" si="9"/>
        <v>0</v>
      </c>
      <c r="Y17" s="17">
        <f t="shared" si="9"/>
        <v>14.214285714285715</v>
      </c>
      <c r="Z17" s="17">
        <f t="shared" si="9"/>
        <v>10.285714285714286</v>
      </c>
      <c r="AA17" s="17">
        <f t="shared" si="9"/>
        <v>3.5714285714285712</v>
      </c>
      <c r="AB17" s="17">
        <f t="shared" si="9"/>
        <v>5.1428571428571423</v>
      </c>
      <c r="AC17" s="17">
        <f t="shared" si="9"/>
        <v>336.42857142857144</v>
      </c>
      <c r="AD17" s="17">
        <f t="shared" si="9"/>
        <v>0</v>
      </c>
      <c r="AE17" s="31">
        <f t="shared" si="9"/>
        <v>329.64285714285717</v>
      </c>
      <c r="AF17" s="31">
        <f t="shared" si="9"/>
        <v>666.07142857142856</v>
      </c>
    </row>
    <row r="18" spans="2:32" ht="23.1" customHeight="1" x14ac:dyDescent="0.25">
      <c r="B18" s="23" t="s">
        <v>45</v>
      </c>
      <c r="C18" s="49">
        <f>AVERAGE('29.07 Kisaasi-Ntinda'!C18,'30.07 Kisaasi-Ntinda'!C18,'31.07 Kisaasi-Ntinda'!C18,'02.08 Kisaasi-Ntinda'!C18,'01.08 Kisaasi-Ntinda-24h'!C18,'03.08 Kisaasi-Ntinda-24h'!C18,'04.08 Kisaasi-Ntinda'!C18)</f>
        <v>40.857142857142854</v>
      </c>
      <c r="D18" s="49">
        <f>AVERAGE('29.07 Kisaasi-Ntinda'!D18,'30.07 Kisaasi-Ntinda'!D18,'31.07 Kisaasi-Ntinda'!D18,'02.08 Kisaasi-Ntinda'!D18,'01.08 Kisaasi-Ntinda-24h'!D18,'03.08 Kisaasi-Ntinda-24h'!D18,'04.08 Kisaasi-Ntinda'!D18)</f>
        <v>34</v>
      </c>
      <c r="E18" s="49">
        <f>AVERAGE('29.07 Kisaasi-Ntinda'!E18,'30.07 Kisaasi-Ntinda'!E18,'31.07 Kisaasi-Ntinda'!E18,'02.08 Kisaasi-Ntinda'!E18,'01.08 Kisaasi-Ntinda-24h'!E18,'03.08 Kisaasi-Ntinda-24h'!E18,'04.08 Kisaasi-Ntinda'!E18)</f>
        <v>7.2857142857142856</v>
      </c>
      <c r="F18" s="49">
        <f>AVERAGE('29.07 Kisaasi-Ntinda'!F18,'30.07 Kisaasi-Ntinda'!F18,'31.07 Kisaasi-Ntinda'!F18,'02.08 Kisaasi-Ntinda'!F18,'01.08 Kisaasi-Ntinda-24h'!F18,'03.08 Kisaasi-Ntinda-24h'!F18,'04.08 Kisaasi-Ntinda'!F18)</f>
        <v>10.714285714285714</v>
      </c>
      <c r="G18" s="49">
        <f>AVERAGE('29.07 Kisaasi-Ntinda'!G18,'30.07 Kisaasi-Ntinda'!G18,'31.07 Kisaasi-Ntinda'!G18,'02.08 Kisaasi-Ntinda'!G18,'01.08 Kisaasi-Ntinda-24h'!G18,'03.08 Kisaasi-Ntinda-24h'!G18,'04.08 Kisaasi-Ntinda'!G18)</f>
        <v>0.14285714285714285</v>
      </c>
      <c r="H18" s="49">
        <f>AVERAGE('29.07 Kisaasi-Ntinda'!H18,'30.07 Kisaasi-Ntinda'!H18,'31.07 Kisaasi-Ntinda'!H18,'02.08 Kisaasi-Ntinda'!H18,'01.08 Kisaasi-Ntinda-24h'!H18,'03.08 Kisaasi-Ntinda-24h'!H18,'04.08 Kisaasi-Ntinda'!H18)</f>
        <v>0</v>
      </c>
      <c r="I18" s="49">
        <f>AVERAGE('29.07 Kisaasi-Ntinda'!I18,'30.07 Kisaasi-Ntinda'!I18,'31.07 Kisaasi-Ntinda'!I18,'02.08 Kisaasi-Ntinda'!I18,'01.08 Kisaasi-Ntinda-24h'!I18,'03.08 Kisaasi-Ntinda-24h'!I18,'04.08 Kisaasi-Ntinda'!I18)</f>
        <v>5.4285714285714288</v>
      </c>
      <c r="J18" s="49">
        <f>AVERAGE('29.07 Kisaasi-Ntinda'!J18,'30.07 Kisaasi-Ntinda'!J18,'31.07 Kisaasi-Ntinda'!J18,'02.08 Kisaasi-Ntinda'!J18,'01.08 Kisaasi-Ntinda-24h'!J18,'03.08 Kisaasi-Ntinda-24h'!J18,'04.08 Kisaasi-Ntinda'!J18)</f>
        <v>2.4285714285714284</v>
      </c>
      <c r="K18" s="49">
        <f>AVERAGE('29.07 Kisaasi-Ntinda'!K18,'30.07 Kisaasi-Ntinda'!K18,'31.07 Kisaasi-Ntinda'!K18,'02.08 Kisaasi-Ntinda'!K18,'01.08 Kisaasi-Ntinda-24h'!K18,'03.08 Kisaasi-Ntinda-24h'!K18,'04.08 Kisaasi-Ntinda'!K18)</f>
        <v>0.2857142857142857</v>
      </c>
      <c r="L18" s="49">
        <f>AVERAGE('29.07 Kisaasi-Ntinda'!L18,'30.07 Kisaasi-Ntinda'!L18,'31.07 Kisaasi-Ntinda'!L18,'02.08 Kisaasi-Ntinda'!L18,'01.08 Kisaasi-Ntinda-24h'!L18,'03.08 Kisaasi-Ntinda-24h'!L18,'04.08 Kisaasi-Ntinda'!L18)</f>
        <v>1.2857142857142858</v>
      </c>
      <c r="M18" s="49">
        <f>AVERAGE('29.07 Kisaasi-Ntinda'!M18,'30.07 Kisaasi-Ntinda'!M18,'31.07 Kisaasi-Ntinda'!M18,'02.08 Kisaasi-Ntinda'!M18,'01.08 Kisaasi-Ntinda-24h'!M18,'03.08 Kisaasi-Ntinda-24h'!M18,'04.08 Kisaasi-Ntinda'!M18)</f>
        <v>131.85714285714286</v>
      </c>
      <c r="N18" s="49">
        <f>AVERAGE('29.07 Kisaasi-Ntinda'!N18,'30.07 Kisaasi-Ntinda'!N18,'31.07 Kisaasi-Ntinda'!N18,'02.08 Kisaasi-Ntinda'!N18,'01.08 Kisaasi-Ntinda-24h'!N18,'03.08 Kisaasi-Ntinda-24h'!N18,'04.08 Kisaasi-Ntinda'!N18)</f>
        <v>0</v>
      </c>
      <c r="O18" s="15">
        <f t="shared" si="0"/>
        <v>102.42857142857144</v>
      </c>
      <c r="P18" s="15">
        <f t="shared" si="1"/>
        <v>234.28571428571431</v>
      </c>
      <c r="R18" s="1" t="s">
        <v>14</v>
      </c>
      <c r="S18" s="17">
        <f t="shared" ref="S18:AF18" si="10">SUM(C42:C45)</f>
        <v>151.71428571428572</v>
      </c>
      <c r="T18" s="17">
        <f t="shared" si="10"/>
        <v>84.857142857142861</v>
      </c>
      <c r="U18" s="17">
        <f t="shared" si="10"/>
        <v>33.857142857142861</v>
      </c>
      <c r="V18" s="17">
        <f t="shared" si="10"/>
        <v>34.428571428571431</v>
      </c>
      <c r="W18" s="17">
        <f t="shared" si="10"/>
        <v>0.2857142857142857</v>
      </c>
      <c r="X18" s="17">
        <f t="shared" si="10"/>
        <v>0</v>
      </c>
      <c r="Y18" s="17">
        <f t="shared" si="10"/>
        <v>13</v>
      </c>
      <c r="Z18" s="17">
        <f t="shared" si="10"/>
        <v>9.2857142857142865</v>
      </c>
      <c r="AA18" s="17">
        <f t="shared" si="10"/>
        <v>2.8571428571428568</v>
      </c>
      <c r="AB18" s="17">
        <f t="shared" si="10"/>
        <v>5.4285714285714288</v>
      </c>
      <c r="AC18" s="17">
        <f t="shared" si="10"/>
        <v>338.85714285714283</v>
      </c>
      <c r="AD18" s="17">
        <f t="shared" si="10"/>
        <v>0.14285714285714285</v>
      </c>
      <c r="AE18" s="31">
        <f t="shared" si="10"/>
        <v>335.85714285714283</v>
      </c>
      <c r="AF18" s="31">
        <f t="shared" si="10"/>
        <v>674.71428571428567</v>
      </c>
    </row>
    <row r="19" spans="2:32" ht="23.1" customHeight="1" x14ac:dyDescent="0.25">
      <c r="B19" s="23" t="s">
        <v>46</v>
      </c>
      <c r="C19" s="49">
        <f>AVERAGE('29.07 Kisaasi-Ntinda'!C19,'30.07 Kisaasi-Ntinda'!C19,'31.07 Kisaasi-Ntinda'!C19,'02.08 Kisaasi-Ntinda'!C19,'01.08 Kisaasi-Ntinda-24h'!C19,'03.08 Kisaasi-Ntinda-24h'!C19,'04.08 Kisaasi-Ntinda'!C19)</f>
        <v>42</v>
      </c>
      <c r="D19" s="49">
        <f>AVERAGE('29.07 Kisaasi-Ntinda'!D19,'30.07 Kisaasi-Ntinda'!D19,'31.07 Kisaasi-Ntinda'!D19,'02.08 Kisaasi-Ntinda'!D19,'01.08 Kisaasi-Ntinda-24h'!D19,'03.08 Kisaasi-Ntinda-24h'!D19,'04.08 Kisaasi-Ntinda'!D19)</f>
        <v>25.714285714285715</v>
      </c>
      <c r="E19" s="49">
        <f>AVERAGE('29.07 Kisaasi-Ntinda'!E19,'30.07 Kisaasi-Ntinda'!E19,'31.07 Kisaasi-Ntinda'!E19,'02.08 Kisaasi-Ntinda'!E19,'01.08 Kisaasi-Ntinda-24h'!E19,'03.08 Kisaasi-Ntinda-24h'!E19,'04.08 Kisaasi-Ntinda'!E19)</f>
        <v>9.1428571428571423</v>
      </c>
      <c r="F19" s="49">
        <f>AVERAGE('29.07 Kisaasi-Ntinda'!F19,'30.07 Kisaasi-Ntinda'!F19,'31.07 Kisaasi-Ntinda'!F19,'02.08 Kisaasi-Ntinda'!F19,'01.08 Kisaasi-Ntinda-24h'!F19,'03.08 Kisaasi-Ntinda-24h'!F19,'04.08 Kisaasi-Ntinda'!F19)</f>
        <v>12.142857142857142</v>
      </c>
      <c r="G19" s="49">
        <f>AVERAGE('29.07 Kisaasi-Ntinda'!G19,'30.07 Kisaasi-Ntinda'!G19,'31.07 Kisaasi-Ntinda'!G19,'02.08 Kisaasi-Ntinda'!G19,'01.08 Kisaasi-Ntinda-24h'!G19,'03.08 Kisaasi-Ntinda-24h'!G19,'04.08 Kisaasi-Ntinda'!G19)</f>
        <v>0</v>
      </c>
      <c r="H19" s="49">
        <f>AVERAGE('29.07 Kisaasi-Ntinda'!H19,'30.07 Kisaasi-Ntinda'!H19,'31.07 Kisaasi-Ntinda'!H19,'02.08 Kisaasi-Ntinda'!H19,'01.08 Kisaasi-Ntinda-24h'!H19,'03.08 Kisaasi-Ntinda-24h'!H19,'04.08 Kisaasi-Ntinda'!H19)</f>
        <v>0</v>
      </c>
      <c r="I19" s="49">
        <f>AVERAGE('29.07 Kisaasi-Ntinda'!I19,'30.07 Kisaasi-Ntinda'!I19,'31.07 Kisaasi-Ntinda'!I19,'02.08 Kisaasi-Ntinda'!I19,'01.08 Kisaasi-Ntinda-24h'!I19,'03.08 Kisaasi-Ntinda-24h'!I19,'04.08 Kisaasi-Ntinda'!I19)</f>
        <v>4.1428571428571432</v>
      </c>
      <c r="J19" s="49">
        <f>AVERAGE('29.07 Kisaasi-Ntinda'!J19,'30.07 Kisaasi-Ntinda'!J19,'31.07 Kisaasi-Ntinda'!J19,'02.08 Kisaasi-Ntinda'!J19,'01.08 Kisaasi-Ntinda-24h'!J19,'03.08 Kisaasi-Ntinda-24h'!J19,'04.08 Kisaasi-Ntinda'!J19)</f>
        <v>1.4285714285714286</v>
      </c>
      <c r="K19" s="49">
        <f>AVERAGE('29.07 Kisaasi-Ntinda'!K19,'30.07 Kisaasi-Ntinda'!K19,'31.07 Kisaasi-Ntinda'!K19,'02.08 Kisaasi-Ntinda'!K19,'01.08 Kisaasi-Ntinda-24h'!K19,'03.08 Kisaasi-Ntinda-24h'!K19,'04.08 Kisaasi-Ntinda'!K19)</f>
        <v>0.42857142857142855</v>
      </c>
      <c r="L19" s="49">
        <f>AVERAGE('29.07 Kisaasi-Ntinda'!L19,'30.07 Kisaasi-Ntinda'!L19,'31.07 Kisaasi-Ntinda'!L19,'02.08 Kisaasi-Ntinda'!L19,'01.08 Kisaasi-Ntinda-24h'!L19,'03.08 Kisaasi-Ntinda-24h'!L19,'04.08 Kisaasi-Ntinda'!L19)</f>
        <v>0.2857142857142857</v>
      </c>
      <c r="M19" s="49">
        <f>AVERAGE('29.07 Kisaasi-Ntinda'!M19,'30.07 Kisaasi-Ntinda'!M19,'31.07 Kisaasi-Ntinda'!M19,'02.08 Kisaasi-Ntinda'!M19,'01.08 Kisaasi-Ntinda-24h'!M19,'03.08 Kisaasi-Ntinda-24h'!M19,'04.08 Kisaasi-Ntinda'!M19)</f>
        <v>120.28571428571429</v>
      </c>
      <c r="N19" s="49">
        <f>AVERAGE('29.07 Kisaasi-Ntinda'!N19,'30.07 Kisaasi-Ntinda'!N19,'31.07 Kisaasi-Ntinda'!N19,'02.08 Kisaasi-Ntinda'!N19,'01.08 Kisaasi-Ntinda-24h'!N19,'03.08 Kisaasi-Ntinda-24h'!N19,'04.08 Kisaasi-Ntinda'!N19)</f>
        <v>0</v>
      </c>
      <c r="O19" s="15">
        <f t="shared" si="0"/>
        <v>95.285714285714292</v>
      </c>
      <c r="P19" s="15">
        <f t="shared" si="1"/>
        <v>215.57142857142858</v>
      </c>
      <c r="R19" s="1" t="s">
        <v>15</v>
      </c>
      <c r="S19" s="17">
        <f t="shared" ref="S19:AF19" si="11">SUM(C46:C49)</f>
        <v>159</v>
      </c>
      <c r="T19" s="17">
        <f t="shared" si="11"/>
        <v>105.42857142857143</v>
      </c>
      <c r="U19" s="17">
        <f t="shared" si="11"/>
        <v>41.571428571428569</v>
      </c>
      <c r="V19" s="17">
        <f t="shared" si="11"/>
        <v>49.857142857142861</v>
      </c>
      <c r="W19" s="17">
        <f t="shared" si="11"/>
        <v>0.71428571428571419</v>
      </c>
      <c r="X19" s="17">
        <f t="shared" si="11"/>
        <v>0</v>
      </c>
      <c r="Y19" s="17">
        <f t="shared" si="11"/>
        <v>12.142857142857144</v>
      </c>
      <c r="Z19" s="17">
        <f t="shared" si="11"/>
        <v>7.5714285714285712</v>
      </c>
      <c r="AA19" s="17">
        <f t="shared" si="11"/>
        <v>3.1428571428571428</v>
      </c>
      <c r="AB19" s="17">
        <f t="shared" si="11"/>
        <v>6</v>
      </c>
      <c r="AC19" s="17">
        <f t="shared" si="11"/>
        <v>370.14285714285717</v>
      </c>
      <c r="AD19" s="17">
        <f t="shared" si="11"/>
        <v>0.2857142857142857</v>
      </c>
      <c r="AE19" s="31">
        <f t="shared" si="11"/>
        <v>385.71428571428567</v>
      </c>
      <c r="AF19" s="31">
        <f t="shared" si="11"/>
        <v>755.85714285714289</v>
      </c>
    </row>
    <row r="20" spans="2:32" ht="23.1" customHeight="1" x14ac:dyDescent="0.25">
      <c r="B20" s="23" t="s">
        <v>47</v>
      </c>
      <c r="C20" s="49">
        <f>AVERAGE('29.07 Kisaasi-Ntinda'!C20,'30.07 Kisaasi-Ntinda'!C20,'31.07 Kisaasi-Ntinda'!C20,'02.08 Kisaasi-Ntinda'!C20,'01.08 Kisaasi-Ntinda-24h'!C20,'03.08 Kisaasi-Ntinda-24h'!C20,'04.08 Kisaasi-Ntinda'!C20)</f>
        <v>43.857142857142854</v>
      </c>
      <c r="D20" s="49">
        <f>AVERAGE('29.07 Kisaasi-Ntinda'!D20,'30.07 Kisaasi-Ntinda'!D20,'31.07 Kisaasi-Ntinda'!D20,'02.08 Kisaasi-Ntinda'!D20,'01.08 Kisaasi-Ntinda-24h'!D20,'03.08 Kisaasi-Ntinda-24h'!D20,'04.08 Kisaasi-Ntinda'!D20)</f>
        <v>27.714285714285715</v>
      </c>
      <c r="E20" s="49">
        <f>AVERAGE('29.07 Kisaasi-Ntinda'!E20,'30.07 Kisaasi-Ntinda'!E20,'31.07 Kisaasi-Ntinda'!E20,'02.08 Kisaasi-Ntinda'!E20,'01.08 Kisaasi-Ntinda-24h'!E20,'03.08 Kisaasi-Ntinda-24h'!E20,'04.08 Kisaasi-Ntinda'!E20)</f>
        <v>9.5714285714285712</v>
      </c>
      <c r="F20" s="49">
        <f>AVERAGE('29.07 Kisaasi-Ntinda'!F20,'30.07 Kisaasi-Ntinda'!F20,'31.07 Kisaasi-Ntinda'!F20,'02.08 Kisaasi-Ntinda'!F20,'01.08 Kisaasi-Ntinda-24h'!F20,'03.08 Kisaasi-Ntinda-24h'!F20,'04.08 Kisaasi-Ntinda'!F20)</f>
        <v>14</v>
      </c>
      <c r="G20" s="49">
        <f>AVERAGE('29.07 Kisaasi-Ntinda'!G20,'30.07 Kisaasi-Ntinda'!G20,'31.07 Kisaasi-Ntinda'!G20,'02.08 Kisaasi-Ntinda'!G20,'01.08 Kisaasi-Ntinda-24h'!G20,'03.08 Kisaasi-Ntinda-24h'!G20,'04.08 Kisaasi-Ntinda'!G20)</f>
        <v>0</v>
      </c>
      <c r="H20" s="49">
        <f>AVERAGE('29.07 Kisaasi-Ntinda'!H20,'30.07 Kisaasi-Ntinda'!H20,'31.07 Kisaasi-Ntinda'!H20,'02.08 Kisaasi-Ntinda'!H20,'01.08 Kisaasi-Ntinda-24h'!H20,'03.08 Kisaasi-Ntinda-24h'!H20,'04.08 Kisaasi-Ntinda'!H20)</f>
        <v>0</v>
      </c>
      <c r="I20" s="49">
        <f>AVERAGE('29.07 Kisaasi-Ntinda'!I20,'30.07 Kisaasi-Ntinda'!I20,'31.07 Kisaasi-Ntinda'!I20,'02.08 Kisaasi-Ntinda'!I20,'01.08 Kisaasi-Ntinda-24h'!I20,'03.08 Kisaasi-Ntinda-24h'!I20,'04.08 Kisaasi-Ntinda'!I20)</f>
        <v>4.7142857142857144</v>
      </c>
      <c r="J20" s="49">
        <f>AVERAGE('29.07 Kisaasi-Ntinda'!J20,'30.07 Kisaasi-Ntinda'!J20,'31.07 Kisaasi-Ntinda'!J20,'02.08 Kisaasi-Ntinda'!J20,'01.08 Kisaasi-Ntinda-24h'!J20,'03.08 Kisaasi-Ntinda-24h'!J20,'04.08 Kisaasi-Ntinda'!J20)</f>
        <v>2.7142857142857144</v>
      </c>
      <c r="K20" s="49">
        <f>AVERAGE('29.07 Kisaasi-Ntinda'!K20,'30.07 Kisaasi-Ntinda'!K20,'31.07 Kisaasi-Ntinda'!K20,'02.08 Kisaasi-Ntinda'!K20,'01.08 Kisaasi-Ntinda-24h'!K20,'03.08 Kisaasi-Ntinda-24h'!K20,'04.08 Kisaasi-Ntinda'!K20)</f>
        <v>0.42857142857142855</v>
      </c>
      <c r="L20" s="49">
        <f>AVERAGE('29.07 Kisaasi-Ntinda'!L20,'30.07 Kisaasi-Ntinda'!L20,'31.07 Kisaasi-Ntinda'!L20,'02.08 Kisaasi-Ntinda'!L20,'01.08 Kisaasi-Ntinda-24h'!L20,'03.08 Kisaasi-Ntinda-24h'!L20,'04.08 Kisaasi-Ntinda'!L20)</f>
        <v>0.8571428571428571</v>
      </c>
      <c r="M20" s="49">
        <f>AVERAGE('29.07 Kisaasi-Ntinda'!M20,'30.07 Kisaasi-Ntinda'!M20,'31.07 Kisaasi-Ntinda'!M20,'02.08 Kisaasi-Ntinda'!M20,'01.08 Kisaasi-Ntinda-24h'!M20,'03.08 Kisaasi-Ntinda-24h'!M20,'04.08 Kisaasi-Ntinda'!M20)</f>
        <v>139.28571428571428</v>
      </c>
      <c r="N20" s="49">
        <f>AVERAGE('29.07 Kisaasi-Ntinda'!N20,'30.07 Kisaasi-Ntinda'!N20,'31.07 Kisaasi-Ntinda'!N20,'02.08 Kisaasi-Ntinda'!N20,'01.08 Kisaasi-Ntinda-24h'!N20,'03.08 Kisaasi-Ntinda-24h'!N20,'04.08 Kisaasi-Ntinda'!N20)</f>
        <v>0.14285714285714285</v>
      </c>
      <c r="O20" s="15">
        <f t="shared" si="0"/>
        <v>103.99999999999999</v>
      </c>
      <c r="P20" s="15">
        <f t="shared" si="1"/>
        <v>243.28571428571425</v>
      </c>
      <c r="R20" s="1" t="s">
        <v>16</v>
      </c>
      <c r="S20" s="17">
        <f t="shared" ref="S20:AF20" si="12">SUM(C50:C53)</f>
        <v>162.14285714285714</v>
      </c>
      <c r="T20" s="17">
        <f t="shared" si="12"/>
        <v>102.28571428571429</v>
      </c>
      <c r="U20" s="17">
        <f t="shared" si="12"/>
        <v>44.428571428571431</v>
      </c>
      <c r="V20" s="17">
        <f t="shared" si="12"/>
        <v>53.999999999999993</v>
      </c>
      <c r="W20" s="17">
        <f t="shared" si="12"/>
        <v>1.1428571428571428</v>
      </c>
      <c r="X20" s="17">
        <f t="shared" si="12"/>
        <v>0</v>
      </c>
      <c r="Y20" s="17">
        <f t="shared" si="12"/>
        <v>11.428571428571427</v>
      </c>
      <c r="Z20" s="17">
        <f t="shared" si="12"/>
        <v>8.5714285714285712</v>
      </c>
      <c r="AA20" s="17">
        <f t="shared" si="12"/>
        <v>3.2857142857142856</v>
      </c>
      <c r="AB20" s="17">
        <f t="shared" si="12"/>
        <v>4.5714285714285712</v>
      </c>
      <c r="AC20" s="17">
        <f t="shared" si="12"/>
        <v>393.42857142857144</v>
      </c>
      <c r="AD20" s="17">
        <f t="shared" si="12"/>
        <v>0.14285714285714285</v>
      </c>
      <c r="AE20" s="31">
        <f t="shared" si="12"/>
        <v>391.99999999999989</v>
      </c>
      <c r="AF20" s="31">
        <f t="shared" si="12"/>
        <v>785.42857142857133</v>
      </c>
    </row>
    <row r="21" spans="2:32" ht="23.1" customHeight="1" x14ac:dyDescent="0.25">
      <c r="B21" s="23" t="s">
        <v>48</v>
      </c>
      <c r="C21" s="49">
        <f>AVERAGE('29.07 Kisaasi-Ntinda'!C21,'30.07 Kisaasi-Ntinda'!C21,'31.07 Kisaasi-Ntinda'!C21,'02.08 Kisaasi-Ntinda'!C21,'01.08 Kisaasi-Ntinda-24h'!C21,'03.08 Kisaasi-Ntinda-24h'!C21,'04.08 Kisaasi-Ntinda'!C21)</f>
        <v>41.285714285714285</v>
      </c>
      <c r="D21" s="49">
        <f>AVERAGE('29.07 Kisaasi-Ntinda'!D21,'30.07 Kisaasi-Ntinda'!D21,'31.07 Kisaasi-Ntinda'!D21,'02.08 Kisaasi-Ntinda'!D21,'01.08 Kisaasi-Ntinda-24h'!D21,'03.08 Kisaasi-Ntinda-24h'!D21,'04.08 Kisaasi-Ntinda'!D21)</f>
        <v>27.571428571428573</v>
      </c>
      <c r="E21" s="49">
        <f>AVERAGE('29.07 Kisaasi-Ntinda'!E21,'30.07 Kisaasi-Ntinda'!E21,'31.07 Kisaasi-Ntinda'!E21,'02.08 Kisaasi-Ntinda'!E21,'01.08 Kisaasi-Ntinda-24h'!E21,'03.08 Kisaasi-Ntinda-24h'!E21,'04.08 Kisaasi-Ntinda'!E21)</f>
        <v>11</v>
      </c>
      <c r="F21" s="49">
        <f>AVERAGE('29.07 Kisaasi-Ntinda'!F21,'30.07 Kisaasi-Ntinda'!F21,'31.07 Kisaasi-Ntinda'!F21,'02.08 Kisaasi-Ntinda'!F21,'01.08 Kisaasi-Ntinda-24h'!F21,'03.08 Kisaasi-Ntinda-24h'!F21,'04.08 Kisaasi-Ntinda'!F21)</f>
        <v>14.285714285714286</v>
      </c>
      <c r="G21" s="49">
        <f>AVERAGE('29.07 Kisaasi-Ntinda'!G21,'30.07 Kisaasi-Ntinda'!G21,'31.07 Kisaasi-Ntinda'!G21,'02.08 Kisaasi-Ntinda'!G21,'01.08 Kisaasi-Ntinda-24h'!G21,'03.08 Kisaasi-Ntinda-24h'!G21,'04.08 Kisaasi-Ntinda'!G21)</f>
        <v>0</v>
      </c>
      <c r="H21" s="49">
        <f>AVERAGE('29.07 Kisaasi-Ntinda'!H21,'30.07 Kisaasi-Ntinda'!H21,'31.07 Kisaasi-Ntinda'!H21,'02.08 Kisaasi-Ntinda'!H21,'01.08 Kisaasi-Ntinda-24h'!H21,'03.08 Kisaasi-Ntinda-24h'!H21,'04.08 Kisaasi-Ntinda'!H21)</f>
        <v>0</v>
      </c>
      <c r="I21" s="49">
        <f>AVERAGE('29.07 Kisaasi-Ntinda'!I21,'30.07 Kisaasi-Ntinda'!I21,'31.07 Kisaasi-Ntinda'!I21,'02.08 Kisaasi-Ntinda'!I21,'01.08 Kisaasi-Ntinda-24h'!I21,'03.08 Kisaasi-Ntinda-24h'!I21,'04.08 Kisaasi-Ntinda'!I21)</f>
        <v>2</v>
      </c>
      <c r="J21" s="49">
        <f>AVERAGE('29.07 Kisaasi-Ntinda'!J21,'30.07 Kisaasi-Ntinda'!J21,'31.07 Kisaasi-Ntinda'!J21,'02.08 Kisaasi-Ntinda'!J21,'01.08 Kisaasi-Ntinda-24h'!J21,'03.08 Kisaasi-Ntinda-24h'!J21,'04.08 Kisaasi-Ntinda'!J21)</f>
        <v>2</v>
      </c>
      <c r="K21" s="49">
        <f>AVERAGE('29.07 Kisaasi-Ntinda'!K21,'30.07 Kisaasi-Ntinda'!K21,'31.07 Kisaasi-Ntinda'!K21,'02.08 Kisaasi-Ntinda'!K21,'01.08 Kisaasi-Ntinda-24h'!K21,'03.08 Kisaasi-Ntinda-24h'!K21,'04.08 Kisaasi-Ntinda'!K21)</f>
        <v>0.42857142857142855</v>
      </c>
      <c r="L21" s="49">
        <f>AVERAGE('29.07 Kisaasi-Ntinda'!L21,'30.07 Kisaasi-Ntinda'!L21,'31.07 Kisaasi-Ntinda'!L21,'02.08 Kisaasi-Ntinda'!L21,'01.08 Kisaasi-Ntinda-24h'!L21,'03.08 Kisaasi-Ntinda-24h'!L21,'04.08 Kisaasi-Ntinda'!L21)</f>
        <v>0.5714285714285714</v>
      </c>
      <c r="M21" s="49">
        <f>AVERAGE('29.07 Kisaasi-Ntinda'!M21,'30.07 Kisaasi-Ntinda'!M21,'31.07 Kisaasi-Ntinda'!M21,'02.08 Kisaasi-Ntinda'!M21,'01.08 Kisaasi-Ntinda-24h'!M21,'03.08 Kisaasi-Ntinda-24h'!M21,'04.08 Kisaasi-Ntinda'!M21)</f>
        <v>110.85714285714286</v>
      </c>
      <c r="N21" s="49">
        <f>AVERAGE('29.07 Kisaasi-Ntinda'!N21,'30.07 Kisaasi-Ntinda'!N21,'31.07 Kisaasi-Ntinda'!N21,'02.08 Kisaasi-Ntinda'!N21,'01.08 Kisaasi-Ntinda-24h'!N21,'03.08 Kisaasi-Ntinda-24h'!N21,'04.08 Kisaasi-Ntinda'!N21)</f>
        <v>0</v>
      </c>
      <c r="O21" s="15">
        <f t="shared" si="0"/>
        <v>99.142857142857153</v>
      </c>
      <c r="P21" s="15">
        <f t="shared" si="1"/>
        <v>210</v>
      </c>
      <c r="R21" s="36" t="s">
        <v>20</v>
      </c>
      <c r="S21" s="34">
        <f t="shared" ref="S21:AF21" si="13">SUM(C54:C57)</f>
        <v>126.28571428571429</v>
      </c>
      <c r="T21" s="17">
        <f t="shared" si="13"/>
        <v>85.428571428571431</v>
      </c>
      <c r="U21" s="17">
        <f t="shared" si="13"/>
        <v>41.142857142857139</v>
      </c>
      <c r="V21" s="17">
        <f t="shared" si="13"/>
        <v>51.428571428571431</v>
      </c>
      <c r="W21" s="17">
        <f t="shared" si="13"/>
        <v>0.5714285714285714</v>
      </c>
      <c r="X21" s="17">
        <f t="shared" si="13"/>
        <v>0</v>
      </c>
      <c r="Y21" s="17">
        <f t="shared" si="13"/>
        <v>8.5714285714285694</v>
      </c>
      <c r="Z21" s="17">
        <f t="shared" si="13"/>
        <v>6</v>
      </c>
      <c r="AA21" s="17">
        <f t="shared" si="13"/>
        <v>5.2857142857142847</v>
      </c>
      <c r="AB21" s="17">
        <f t="shared" si="13"/>
        <v>2.714285714285714</v>
      </c>
      <c r="AC21" s="17">
        <f t="shared" si="13"/>
        <v>368.14285714285711</v>
      </c>
      <c r="AD21" s="17">
        <f t="shared" si="13"/>
        <v>0</v>
      </c>
      <c r="AE21" s="31">
        <f t="shared" si="13"/>
        <v>327.42857142857139</v>
      </c>
      <c r="AF21" s="31">
        <f t="shared" si="13"/>
        <v>695.57142857142867</v>
      </c>
    </row>
    <row r="22" spans="2:32" ht="23.1" customHeight="1" x14ac:dyDescent="0.25">
      <c r="B22" s="23" t="s">
        <v>49</v>
      </c>
      <c r="C22" s="49">
        <f>AVERAGE('29.07 Kisaasi-Ntinda'!C22,'30.07 Kisaasi-Ntinda'!C22,'31.07 Kisaasi-Ntinda'!C22,'02.08 Kisaasi-Ntinda'!C22,'01.08 Kisaasi-Ntinda-24h'!C22,'03.08 Kisaasi-Ntinda-24h'!C22,'04.08 Kisaasi-Ntinda'!C22)</f>
        <v>34</v>
      </c>
      <c r="D22" s="49">
        <f>AVERAGE('29.07 Kisaasi-Ntinda'!D22,'30.07 Kisaasi-Ntinda'!D22,'31.07 Kisaasi-Ntinda'!D22,'02.08 Kisaasi-Ntinda'!D22,'01.08 Kisaasi-Ntinda-24h'!D22,'03.08 Kisaasi-Ntinda-24h'!D22,'04.08 Kisaasi-Ntinda'!D22)</f>
        <v>20.714285714285715</v>
      </c>
      <c r="E22" s="49">
        <f>AVERAGE('29.07 Kisaasi-Ntinda'!E22,'30.07 Kisaasi-Ntinda'!E22,'31.07 Kisaasi-Ntinda'!E22,'02.08 Kisaasi-Ntinda'!E22,'01.08 Kisaasi-Ntinda-24h'!E22,'03.08 Kisaasi-Ntinda-24h'!E22,'04.08 Kisaasi-Ntinda'!E22)</f>
        <v>11.857142857142858</v>
      </c>
      <c r="F22" s="49">
        <f>AVERAGE('29.07 Kisaasi-Ntinda'!F22,'30.07 Kisaasi-Ntinda'!F22,'31.07 Kisaasi-Ntinda'!F22,'02.08 Kisaasi-Ntinda'!F22,'01.08 Kisaasi-Ntinda-24h'!F22,'03.08 Kisaasi-Ntinda-24h'!F22,'04.08 Kisaasi-Ntinda'!F22)</f>
        <v>9</v>
      </c>
      <c r="G22" s="49">
        <f>AVERAGE('29.07 Kisaasi-Ntinda'!G22,'30.07 Kisaasi-Ntinda'!G22,'31.07 Kisaasi-Ntinda'!G22,'02.08 Kisaasi-Ntinda'!G22,'01.08 Kisaasi-Ntinda-24h'!G22,'03.08 Kisaasi-Ntinda-24h'!G22,'04.08 Kisaasi-Ntinda'!G22)</f>
        <v>0</v>
      </c>
      <c r="H22" s="49">
        <f>AVERAGE('29.07 Kisaasi-Ntinda'!H22,'30.07 Kisaasi-Ntinda'!H22,'31.07 Kisaasi-Ntinda'!H22,'02.08 Kisaasi-Ntinda'!H22,'01.08 Kisaasi-Ntinda-24h'!H22,'03.08 Kisaasi-Ntinda-24h'!H22,'04.08 Kisaasi-Ntinda'!H22)</f>
        <v>0</v>
      </c>
      <c r="I22" s="49">
        <f>AVERAGE('29.07 Kisaasi-Ntinda'!I22,'30.07 Kisaasi-Ntinda'!I22,'31.07 Kisaasi-Ntinda'!I22,'02.08 Kisaasi-Ntinda'!I22,'01.08 Kisaasi-Ntinda-24h'!I22,'03.08 Kisaasi-Ntinda-24h'!I22,'04.08 Kisaasi-Ntinda'!I22)</f>
        <v>2.5714285714285716</v>
      </c>
      <c r="J22" s="49">
        <f>AVERAGE('29.07 Kisaasi-Ntinda'!J22,'30.07 Kisaasi-Ntinda'!J22,'31.07 Kisaasi-Ntinda'!J22,'02.08 Kisaasi-Ntinda'!J22,'01.08 Kisaasi-Ntinda-24h'!J22,'03.08 Kisaasi-Ntinda-24h'!J22,'04.08 Kisaasi-Ntinda'!J22)</f>
        <v>1.8571428571428572</v>
      </c>
      <c r="K22" s="49">
        <f>AVERAGE('29.07 Kisaasi-Ntinda'!K22,'30.07 Kisaasi-Ntinda'!K22,'31.07 Kisaasi-Ntinda'!K22,'02.08 Kisaasi-Ntinda'!K22,'01.08 Kisaasi-Ntinda-24h'!K22,'03.08 Kisaasi-Ntinda-24h'!K22,'04.08 Kisaasi-Ntinda'!K22)</f>
        <v>0.5714285714285714</v>
      </c>
      <c r="L22" s="49">
        <f>AVERAGE('29.07 Kisaasi-Ntinda'!L22,'30.07 Kisaasi-Ntinda'!L22,'31.07 Kisaasi-Ntinda'!L22,'02.08 Kisaasi-Ntinda'!L22,'01.08 Kisaasi-Ntinda-24h'!L22,'03.08 Kisaasi-Ntinda-24h'!L22,'04.08 Kisaasi-Ntinda'!L22)</f>
        <v>1.1428571428571428</v>
      </c>
      <c r="M22" s="49">
        <f>AVERAGE('29.07 Kisaasi-Ntinda'!M22,'30.07 Kisaasi-Ntinda'!M22,'31.07 Kisaasi-Ntinda'!M22,'02.08 Kisaasi-Ntinda'!M22,'01.08 Kisaasi-Ntinda-24h'!M22,'03.08 Kisaasi-Ntinda-24h'!M22,'04.08 Kisaasi-Ntinda'!M22)</f>
        <v>98</v>
      </c>
      <c r="N22" s="49">
        <f>AVERAGE('29.07 Kisaasi-Ntinda'!N22,'30.07 Kisaasi-Ntinda'!N22,'31.07 Kisaasi-Ntinda'!N22,'02.08 Kisaasi-Ntinda'!N22,'01.08 Kisaasi-Ntinda-24h'!N22,'03.08 Kisaasi-Ntinda-24h'!N22,'04.08 Kisaasi-Ntinda'!N22)</f>
        <v>0</v>
      </c>
      <c r="O22" s="15">
        <f t="shared" si="0"/>
        <v>81.714285714285708</v>
      </c>
      <c r="P22" s="15">
        <f t="shared" si="1"/>
        <v>179.71428571428572</v>
      </c>
      <c r="R22" s="1" t="s">
        <v>146</v>
      </c>
      <c r="S22" s="34">
        <f>SUM(C58:C61)</f>
        <v>116</v>
      </c>
      <c r="T22" s="34">
        <f t="shared" ref="T22:AF22" si="14">SUM(D58:D61)</f>
        <v>31.926808709394759</v>
      </c>
      <c r="U22" s="34">
        <f t="shared" si="14"/>
        <v>10.949913591067308</v>
      </c>
      <c r="V22" s="34">
        <f t="shared" si="14"/>
        <v>23.700530343992362</v>
      </c>
      <c r="W22" s="34">
        <f t="shared" si="14"/>
        <v>2.2303732629374174E-3</v>
      </c>
      <c r="X22" s="34">
        <f t="shared" si="14"/>
        <v>0</v>
      </c>
      <c r="Y22" s="34">
        <f t="shared" si="14"/>
        <v>6.5353497210445717</v>
      </c>
      <c r="Z22" s="34">
        <f t="shared" si="14"/>
        <v>1.5212875551555418</v>
      </c>
      <c r="AA22" s="34">
        <f t="shared" si="14"/>
        <v>1.4357178738864849</v>
      </c>
      <c r="AB22" s="34">
        <f t="shared" si="14"/>
        <v>1.1563633284414236</v>
      </c>
      <c r="AC22" s="34">
        <f t="shared" si="14"/>
        <v>281.29452283797377</v>
      </c>
      <c r="AD22" s="34">
        <f t="shared" si="14"/>
        <v>2.7839538231039164E-4</v>
      </c>
      <c r="AE22" s="52">
        <f t="shared" si="14"/>
        <v>237</v>
      </c>
      <c r="AF22" s="52">
        <f t="shared" si="14"/>
        <v>576.5</v>
      </c>
    </row>
    <row r="23" spans="2:32" ht="23.1" customHeight="1" x14ac:dyDescent="0.25">
      <c r="B23" s="23" t="s">
        <v>50</v>
      </c>
      <c r="C23" s="49">
        <f>AVERAGE('29.07 Kisaasi-Ntinda'!C23,'30.07 Kisaasi-Ntinda'!C23,'31.07 Kisaasi-Ntinda'!C23,'02.08 Kisaasi-Ntinda'!C23,'01.08 Kisaasi-Ntinda-24h'!C23,'03.08 Kisaasi-Ntinda-24h'!C23,'04.08 Kisaasi-Ntinda'!C23)</f>
        <v>42.571428571428569</v>
      </c>
      <c r="D23" s="49">
        <f>AVERAGE('29.07 Kisaasi-Ntinda'!D23,'30.07 Kisaasi-Ntinda'!D23,'31.07 Kisaasi-Ntinda'!D23,'02.08 Kisaasi-Ntinda'!D23,'01.08 Kisaasi-Ntinda-24h'!D23,'03.08 Kisaasi-Ntinda-24h'!D23,'04.08 Kisaasi-Ntinda'!D23)</f>
        <v>29</v>
      </c>
      <c r="E23" s="49">
        <f>AVERAGE('29.07 Kisaasi-Ntinda'!E23,'30.07 Kisaasi-Ntinda'!E23,'31.07 Kisaasi-Ntinda'!E23,'02.08 Kisaasi-Ntinda'!E23,'01.08 Kisaasi-Ntinda-24h'!E23,'03.08 Kisaasi-Ntinda-24h'!E23,'04.08 Kisaasi-Ntinda'!E23)</f>
        <v>9.8571428571428577</v>
      </c>
      <c r="F23" s="49">
        <f>AVERAGE('29.07 Kisaasi-Ntinda'!F23,'30.07 Kisaasi-Ntinda'!F23,'31.07 Kisaasi-Ntinda'!F23,'02.08 Kisaasi-Ntinda'!F23,'01.08 Kisaasi-Ntinda-24h'!F23,'03.08 Kisaasi-Ntinda-24h'!F23,'04.08 Kisaasi-Ntinda'!F23)</f>
        <v>10.714285714285714</v>
      </c>
      <c r="G23" s="49">
        <f>AVERAGE('29.07 Kisaasi-Ntinda'!G23,'30.07 Kisaasi-Ntinda'!G23,'31.07 Kisaasi-Ntinda'!G23,'02.08 Kisaasi-Ntinda'!G23,'01.08 Kisaasi-Ntinda-24h'!G23,'03.08 Kisaasi-Ntinda-24h'!G23,'04.08 Kisaasi-Ntinda'!G23)</f>
        <v>0</v>
      </c>
      <c r="H23" s="49">
        <f>AVERAGE('29.07 Kisaasi-Ntinda'!H23,'30.07 Kisaasi-Ntinda'!H23,'31.07 Kisaasi-Ntinda'!H23,'02.08 Kisaasi-Ntinda'!H23,'01.08 Kisaasi-Ntinda-24h'!H23,'03.08 Kisaasi-Ntinda-24h'!H23,'04.08 Kisaasi-Ntinda'!H23)</f>
        <v>0</v>
      </c>
      <c r="I23" s="49">
        <f>AVERAGE('29.07 Kisaasi-Ntinda'!I23,'30.07 Kisaasi-Ntinda'!I23,'31.07 Kisaasi-Ntinda'!I23,'02.08 Kisaasi-Ntinda'!I23,'01.08 Kisaasi-Ntinda-24h'!I23,'03.08 Kisaasi-Ntinda-24h'!I23,'04.08 Kisaasi-Ntinda'!I23)</f>
        <v>3.4285714285714284</v>
      </c>
      <c r="J23" s="49">
        <f>AVERAGE('29.07 Kisaasi-Ntinda'!J23,'30.07 Kisaasi-Ntinda'!J23,'31.07 Kisaasi-Ntinda'!J23,'02.08 Kisaasi-Ntinda'!J23,'01.08 Kisaasi-Ntinda-24h'!J23,'03.08 Kisaasi-Ntinda-24h'!J23,'04.08 Kisaasi-Ntinda'!J23)</f>
        <v>1.2857142857142858</v>
      </c>
      <c r="K23" s="49">
        <f>AVERAGE('29.07 Kisaasi-Ntinda'!K23,'30.07 Kisaasi-Ntinda'!K23,'31.07 Kisaasi-Ntinda'!K23,'02.08 Kisaasi-Ntinda'!K23,'01.08 Kisaasi-Ntinda-24h'!K23,'03.08 Kisaasi-Ntinda-24h'!K23,'04.08 Kisaasi-Ntinda'!K23)</f>
        <v>0.42857142857142855</v>
      </c>
      <c r="L23" s="49">
        <f>AVERAGE('29.07 Kisaasi-Ntinda'!L23,'30.07 Kisaasi-Ntinda'!L23,'31.07 Kisaasi-Ntinda'!L23,'02.08 Kisaasi-Ntinda'!L23,'01.08 Kisaasi-Ntinda-24h'!L23,'03.08 Kisaasi-Ntinda-24h'!L23,'04.08 Kisaasi-Ntinda'!L23)</f>
        <v>1.1428571428571428</v>
      </c>
      <c r="M23" s="49">
        <f>AVERAGE('29.07 Kisaasi-Ntinda'!M23,'30.07 Kisaasi-Ntinda'!M23,'31.07 Kisaasi-Ntinda'!M23,'02.08 Kisaasi-Ntinda'!M23,'01.08 Kisaasi-Ntinda-24h'!M23,'03.08 Kisaasi-Ntinda-24h'!M23,'04.08 Kisaasi-Ntinda'!M23)</f>
        <v>107.57142857142857</v>
      </c>
      <c r="N23" s="49">
        <f>AVERAGE('29.07 Kisaasi-Ntinda'!N23,'30.07 Kisaasi-Ntinda'!N23,'31.07 Kisaasi-Ntinda'!N23,'02.08 Kisaasi-Ntinda'!N23,'01.08 Kisaasi-Ntinda-24h'!N23,'03.08 Kisaasi-Ntinda-24h'!N23,'04.08 Kisaasi-Ntinda'!N23)</f>
        <v>0</v>
      </c>
      <c r="O23" s="15">
        <f t="shared" si="0"/>
        <v>98.428571428571431</v>
      </c>
      <c r="P23" s="15">
        <f t="shared" si="1"/>
        <v>206</v>
      </c>
      <c r="R23" s="1" t="s">
        <v>147</v>
      </c>
      <c r="S23" s="34">
        <f>SUM(C62:C65)</f>
        <v>168</v>
      </c>
      <c r="T23" s="34">
        <f t="shared" ref="T23:AF23" si="15">SUM(D62:D65)</f>
        <v>51</v>
      </c>
      <c r="U23" s="34">
        <f t="shared" si="15"/>
        <v>16.5</v>
      </c>
      <c r="V23" s="34">
        <f t="shared" si="15"/>
        <v>46.5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1.5</v>
      </c>
      <c r="AA23" s="34">
        <f t="shared" si="15"/>
        <v>1.5</v>
      </c>
      <c r="AB23" s="34">
        <f t="shared" si="15"/>
        <v>2</v>
      </c>
      <c r="AC23" s="34">
        <f t="shared" si="15"/>
        <v>346.5</v>
      </c>
      <c r="AD23" s="34">
        <f t="shared" si="15"/>
        <v>0</v>
      </c>
      <c r="AE23" s="52">
        <f t="shared" si="15"/>
        <v>281</v>
      </c>
      <c r="AF23" s="52">
        <f t="shared" si="15"/>
        <v>627.5</v>
      </c>
    </row>
    <row r="24" spans="2:32" ht="23.1" customHeight="1" x14ac:dyDescent="0.25">
      <c r="B24" s="23" t="s">
        <v>51</v>
      </c>
      <c r="C24" s="49">
        <f>AVERAGE('29.07 Kisaasi-Ntinda'!C24,'30.07 Kisaasi-Ntinda'!C24,'31.07 Kisaasi-Ntinda'!C24,'02.08 Kisaasi-Ntinda'!C24,'01.08 Kisaasi-Ntinda-24h'!C24,'03.08 Kisaasi-Ntinda-24h'!C24,'04.08 Kisaasi-Ntinda'!C24)</f>
        <v>38.857142857142854</v>
      </c>
      <c r="D24" s="49">
        <f>AVERAGE('29.07 Kisaasi-Ntinda'!D24,'30.07 Kisaasi-Ntinda'!D24,'31.07 Kisaasi-Ntinda'!D24,'02.08 Kisaasi-Ntinda'!D24,'01.08 Kisaasi-Ntinda-24h'!D24,'03.08 Kisaasi-Ntinda-24h'!D24,'04.08 Kisaasi-Ntinda'!D24)</f>
        <v>25.857142857142858</v>
      </c>
      <c r="E24" s="49">
        <f>AVERAGE('29.07 Kisaasi-Ntinda'!E24,'30.07 Kisaasi-Ntinda'!E24,'31.07 Kisaasi-Ntinda'!E24,'02.08 Kisaasi-Ntinda'!E24,'01.08 Kisaasi-Ntinda-24h'!E24,'03.08 Kisaasi-Ntinda-24h'!E24,'04.08 Kisaasi-Ntinda'!E24)</f>
        <v>8.4285714285714288</v>
      </c>
      <c r="F24" s="49">
        <f>AVERAGE('29.07 Kisaasi-Ntinda'!F24,'30.07 Kisaasi-Ntinda'!F24,'31.07 Kisaasi-Ntinda'!F24,'02.08 Kisaasi-Ntinda'!F24,'01.08 Kisaasi-Ntinda-24h'!F24,'03.08 Kisaasi-Ntinda-24h'!F24,'04.08 Kisaasi-Ntinda'!F24)</f>
        <v>14.428571428571429</v>
      </c>
      <c r="G24" s="49">
        <f>AVERAGE('29.07 Kisaasi-Ntinda'!G24,'30.07 Kisaasi-Ntinda'!G24,'31.07 Kisaasi-Ntinda'!G24,'02.08 Kisaasi-Ntinda'!G24,'01.08 Kisaasi-Ntinda-24h'!G24,'03.08 Kisaasi-Ntinda-24h'!G24,'04.08 Kisaasi-Ntinda'!G24)</f>
        <v>0</v>
      </c>
      <c r="H24" s="49">
        <f>AVERAGE('29.07 Kisaasi-Ntinda'!H24,'30.07 Kisaasi-Ntinda'!H24,'31.07 Kisaasi-Ntinda'!H24,'02.08 Kisaasi-Ntinda'!H24,'01.08 Kisaasi-Ntinda-24h'!H24,'03.08 Kisaasi-Ntinda-24h'!H24,'04.08 Kisaasi-Ntinda'!H24)</f>
        <v>0.14285714285714285</v>
      </c>
      <c r="I24" s="49">
        <f>AVERAGE('29.07 Kisaasi-Ntinda'!I24,'30.07 Kisaasi-Ntinda'!I24,'31.07 Kisaasi-Ntinda'!I24,'02.08 Kisaasi-Ntinda'!I24,'01.08 Kisaasi-Ntinda-24h'!I24,'03.08 Kisaasi-Ntinda-24h'!I24,'04.08 Kisaasi-Ntinda'!I24)</f>
        <v>3.5714285714285716</v>
      </c>
      <c r="J24" s="49">
        <f>AVERAGE('29.07 Kisaasi-Ntinda'!J24,'30.07 Kisaasi-Ntinda'!J24,'31.07 Kisaasi-Ntinda'!J24,'02.08 Kisaasi-Ntinda'!J24,'01.08 Kisaasi-Ntinda-24h'!J24,'03.08 Kisaasi-Ntinda-24h'!J24,'04.08 Kisaasi-Ntinda'!J24)</f>
        <v>1.4285714285714286</v>
      </c>
      <c r="K24" s="49">
        <f>AVERAGE('29.07 Kisaasi-Ntinda'!K24,'30.07 Kisaasi-Ntinda'!K24,'31.07 Kisaasi-Ntinda'!K24,'02.08 Kisaasi-Ntinda'!K24,'01.08 Kisaasi-Ntinda-24h'!K24,'03.08 Kisaasi-Ntinda-24h'!K24,'04.08 Kisaasi-Ntinda'!K24)</f>
        <v>0.2857142857142857</v>
      </c>
      <c r="L24" s="49">
        <f>AVERAGE('29.07 Kisaasi-Ntinda'!L24,'30.07 Kisaasi-Ntinda'!L24,'31.07 Kisaasi-Ntinda'!L24,'02.08 Kisaasi-Ntinda'!L24,'01.08 Kisaasi-Ntinda-24h'!L24,'03.08 Kisaasi-Ntinda-24h'!L24,'04.08 Kisaasi-Ntinda'!L24)</f>
        <v>1.5714285714285714</v>
      </c>
      <c r="M24" s="49">
        <f>AVERAGE('29.07 Kisaasi-Ntinda'!M24,'30.07 Kisaasi-Ntinda'!M24,'31.07 Kisaasi-Ntinda'!M24,'02.08 Kisaasi-Ntinda'!M24,'01.08 Kisaasi-Ntinda-24h'!M24,'03.08 Kisaasi-Ntinda-24h'!M24,'04.08 Kisaasi-Ntinda'!M24)</f>
        <v>95.857142857142861</v>
      </c>
      <c r="N24" s="49">
        <f>AVERAGE('29.07 Kisaasi-Ntinda'!N24,'30.07 Kisaasi-Ntinda'!N24,'31.07 Kisaasi-Ntinda'!N24,'02.08 Kisaasi-Ntinda'!N24,'01.08 Kisaasi-Ntinda-24h'!N24,'03.08 Kisaasi-Ntinda-24h'!N24,'04.08 Kisaasi-Ntinda'!N24)</f>
        <v>0</v>
      </c>
      <c r="O24" s="15">
        <f t="shared" si="0"/>
        <v>94.571428571428569</v>
      </c>
      <c r="P24" s="15">
        <f t="shared" si="1"/>
        <v>190.42857142857144</v>
      </c>
      <c r="R24" s="1" t="s">
        <v>148</v>
      </c>
      <c r="S24" s="34">
        <f>SUM(C66:C69)</f>
        <v>139.5</v>
      </c>
      <c r="T24" s="34">
        <f t="shared" ref="T24:AF24" si="16">SUM(D66:D69)</f>
        <v>48</v>
      </c>
      <c r="U24" s="34">
        <f t="shared" si="16"/>
        <v>12.5</v>
      </c>
      <c r="V24" s="34">
        <f t="shared" si="16"/>
        <v>26.5</v>
      </c>
      <c r="W24" s="34">
        <f t="shared" si="16"/>
        <v>0</v>
      </c>
      <c r="X24" s="34">
        <f t="shared" si="16"/>
        <v>0</v>
      </c>
      <c r="Y24" s="34">
        <f t="shared" si="16"/>
        <v>7.5</v>
      </c>
      <c r="Z24" s="34">
        <f t="shared" si="16"/>
        <v>5</v>
      </c>
      <c r="AA24" s="34">
        <f t="shared" si="16"/>
        <v>2.5</v>
      </c>
      <c r="AB24" s="34">
        <f t="shared" si="16"/>
        <v>2</v>
      </c>
      <c r="AC24" s="34">
        <f t="shared" si="16"/>
        <v>285.5</v>
      </c>
      <c r="AD24" s="34">
        <f t="shared" si="16"/>
        <v>0</v>
      </c>
      <c r="AE24" s="52">
        <f t="shared" si="16"/>
        <v>247.5</v>
      </c>
      <c r="AF24" s="52">
        <f t="shared" si="16"/>
        <v>533</v>
      </c>
    </row>
    <row r="25" spans="2:32" ht="23.1" customHeight="1" x14ac:dyDescent="0.25">
      <c r="B25" s="23" t="s">
        <v>52</v>
      </c>
      <c r="C25" s="49">
        <f>AVERAGE('29.07 Kisaasi-Ntinda'!C25,'30.07 Kisaasi-Ntinda'!C25,'31.07 Kisaasi-Ntinda'!C25,'02.08 Kisaasi-Ntinda'!C25,'01.08 Kisaasi-Ntinda-24h'!C25,'03.08 Kisaasi-Ntinda-24h'!C25,'04.08 Kisaasi-Ntinda'!C25)</f>
        <v>30.857142857142858</v>
      </c>
      <c r="D25" s="49">
        <f>AVERAGE('29.07 Kisaasi-Ntinda'!D25,'30.07 Kisaasi-Ntinda'!D25,'31.07 Kisaasi-Ntinda'!D25,'02.08 Kisaasi-Ntinda'!D25,'01.08 Kisaasi-Ntinda-24h'!D25,'03.08 Kisaasi-Ntinda-24h'!D25,'04.08 Kisaasi-Ntinda'!D25)</f>
        <v>19.285714285714285</v>
      </c>
      <c r="E25" s="49">
        <f>AVERAGE('29.07 Kisaasi-Ntinda'!E25,'30.07 Kisaasi-Ntinda'!E25,'31.07 Kisaasi-Ntinda'!E25,'02.08 Kisaasi-Ntinda'!E25,'01.08 Kisaasi-Ntinda-24h'!E25,'03.08 Kisaasi-Ntinda-24h'!E25,'04.08 Kisaasi-Ntinda'!E25)</f>
        <v>11.285714285714286</v>
      </c>
      <c r="F25" s="49">
        <f>AVERAGE('29.07 Kisaasi-Ntinda'!F25,'30.07 Kisaasi-Ntinda'!F25,'31.07 Kisaasi-Ntinda'!F25,'02.08 Kisaasi-Ntinda'!F25,'01.08 Kisaasi-Ntinda-24h'!F25,'03.08 Kisaasi-Ntinda-24h'!F25,'04.08 Kisaasi-Ntinda'!F25)</f>
        <v>15.428571428571429</v>
      </c>
      <c r="G25" s="49">
        <f>AVERAGE('29.07 Kisaasi-Ntinda'!G25,'30.07 Kisaasi-Ntinda'!G25,'31.07 Kisaasi-Ntinda'!G25,'02.08 Kisaasi-Ntinda'!G25,'01.08 Kisaasi-Ntinda-24h'!G25,'03.08 Kisaasi-Ntinda-24h'!G25,'04.08 Kisaasi-Ntinda'!G25)</f>
        <v>0</v>
      </c>
      <c r="H25" s="49">
        <f>AVERAGE('29.07 Kisaasi-Ntinda'!H25,'30.07 Kisaasi-Ntinda'!H25,'31.07 Kisaasi-Ntinda'!H25,'02.08 Kisaasi-Ntinda'!H25,'01.08 Kisaasi-Ntinda-24h'!H25,'03.08 Kisaasi-Ntinda-24h'!H25,'04.08 Kisaasi-Ntinda'!H25)</f>
        <v>0</v>
      </c>
      <c r="I25" s="49">
        <f>AVERAGE('29.07 Kisaasi-Ntinda'!I25,'30.07 Kisaasi-Ntinda'!I25,'31.07 Kisaasi-Ntinda'!I25,'02.08 Kisaasi-Ntinda'!I25,'01.08 Kisaasi-Ntinda-24h'!I25,'03.08 Kisaasi-Ntinda-24h'!I25,'04.08 Kisaasi-Ntinda'!I25)</f>
        <v>5.8571428571428568</v>
      </c>
      <c r="J25" s="49">
        <f>AVERAGE('29.07 Kisaasi-Ntinda'!J25,'30.07 Kisaasi-Ntinda'!J25,'31.07 Kisaasi-Ntinda'!J25,'02.08 Kisaasi-Ntinda'!J25,'01.08 Kisaasi-Ntinda-24h'!J25,'03.08 Kisaasi-Ntinda-24h'!J25,'04.08 Kisaasi-Ntinda'!J25)</f>
        <v>2.4285714285714284</v>
      </c>
      <c r="K25" s="49">
        <f>AVERAGE('29.07 Kisaasi-Ntinda'!K25,'30.07 Kisaasi-Ntinda'!K25,'31.07 Kisaasi-Ntinda'!K25,'02.08 Kisaasi-Ntinda'!K25,'01.08 Kisaasi-Ntinda-24h'!K25,'03.08 Kisaasi-Ntinda-24h'!K25,'04.08 Kisaasi-Ntinda'!K25)</f>
        <v>0.7142857142857143</v>
      </c>
      <c r="L25" s="49">
        <f>AVERAGE('29.07 Kisaasi-Ntinda'!L25,'30.07 Kisaasi-Ntinda'!L25,'31.07 Kisaasi-Ntinda'!L25,'02.08 Kisaasi-Ntinda'!L25,'01.08 Kisaasi-Ntinda-24h'!L25,'03.08 Kisaasi-Ntinda-24h'!L25,'04.08 Kisaasi-Ntinda'!L25)</f>
        <v>0.8571428571428571</v>
      </c>
      <c r="M25" s="49">
        <f>AVERAGE('29.07 Kisaasi-Ntinda'!M25,'30.07 Kisaasi-Ntinda'!M25,'31.07 Kisaasi-Ntinda'!M25,'02.08 Kisaasi-Ntinda'!M25,'01.08 Kisaasi-Ntinda-24h'!M25,'03.08 Kisaasi-Ntinda-24h'!M25,'04.08 Kisaasi-Ntinda'!M25)</f>
        <v>90.857142857142861</v>
      </c>
      <c r="N25" s="49">
        <f>AVERAGE('29.07 Kisaasi-Ntinda'!N25,'30.07 Kisaasi-Ntinda'!N25,'31.07 Kisaasi-Ntinda'!N25,'02.08 Kisaasi-Ntinda'!N25,'01.08 Kisaasi-Ntinda-24h'!N25,'03.08 Kisaasi-Ntinda-24h'!N25,'04.08 Kisaasi-Ntinda'!N25)</f>
        <v>0</v>
      </c>
      <c r="O25" s="15">
        <f t="shared" si="0"/>
        <v>86.714285714285708</v>
      </c>
      <c r="P25" s="15">
        <f t="shared" si="1"/>
        <v>177.57142857142856</v>
      </c>
      <c r="R25" s="1" t="s">
        <v>149</v>
      </c>
      <c r="S25" s="34">
        <f>SUM(C70:C73)</f>
        <v>130.5</v>
      </c>
      <c r="T25" s="34">
        <f t="shared" ref="T25:AF25" si="17">SUM(D70:D73)</f>
        <v>55.5</v>
      </c>
      <c r="U25" s="34">
        <f t="shared" si="17"/>
        <v>8.5</v>
      </c>
      <c r="V25" s="34">
        <f t="shared" si="17"/>
        <v>17.5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4</v>
      </c>
      <c r="AA25" s="34">
        <f t="shared" si="17"/>
        <v>2.5</v>
      </c>
      <c r="AB25" s="34">
        <f t="shared" si="17"/>
        <v>3</v>
      </c>
      <c r="AC25" s="34">
        <f t="shared" si="17"/>
        <v>305.5</v>
      </c>
      <c r="AD25" s="34">
        <f t="shared" si="17"/>
        <v>0</v>
      </c>
      <c r="AE25" s="52">
        <f t="shared" si="17"/>
        <v>241.5</v>
      </c>
      <c r="AF25" s="52">
        <f t="shared" si="17"/>
        <v>547</v>
      </c>
    </row>
    <row r="26" spans="2:32" ht="23.1" customHeight="1" x14ac:dyDescent="0.25">
      <c r="B26" s="23" t="s">
        <v>53</v>
      </c>
      <c r="C26" s="49">
        <f>AVERAGE('29.07 Kisaasi-Ntinda'!C26,'30.07 Kisaasi-Ntinda'!C26,'31.07 Kisaasi-Ntinda'!C26,'02.08 Kisaasi-Ntinda'!C26,'01.08 Kisaasi-Ntinda-24h'!C26,'03.08 Kisaasi-Ntinda-24h'!C26,'04.08 Kisaasi-Ntinda'!C26)</f>
        <v>33.714285714285715</v>
      </c>
      <c r="D26" s="49">
        <f>AVERAGE('29.07 Kisaasi-Ntinda'!D26,'30.07 Kisaasi-Ntinda'!D26,'31.07 Kisaasi-Ntinda'!D26,'02.08 Kisaasi-Ntinda'!D26,'01.08 Kisaasi-Ntinda-24h'!D26,'03.08 Kisaasi-Ntinda-24h'!D26,'04.08 Kisaasi-Ntinda'!D26)</f>
        <v>27.285714285714285</v>
      </c>
      <c r="E26" s="49">
        <f>AVERAGE('29.07 Kisaasi-Ntinda'!E26,'30.07 Kisaasi-Ntinda'!E26,'31.07 Kisaasi-Ntinda'!E26,'02.08 Kisaasi-Ntinda'!E26,'01.08 Kisaasi-Ntinda-24h'!E26,'03.08 Kisaasi-Ntinda-24h'!E26,'04.08 Kisaasi-Ntinda'!E26)</f>
        <v>8.7142857142857135</v>
      </c>
      <c r="F26" s="49">
        <f>AVERAGE('29.07 Kisaasi-Ntinda'!F26,'30.07 Kisaasi-Ntinda'!F26,'31.07 Kisaasi-Ntinda'!F26,'02.08 Kisaasi-Ntinda'!F26,'01.08 Kisaasi-Ntinda-24h'!F26,'03.08 Kisaasi-Ntinda-24h'!F26,'04.08 Kisaasi-Ntinda'!F26)</f>
        <v>8.5714285714285712</v>
      </c>
      <c r="G26" s="49">
        <f>AVERAGE('29.07 Kisaasi-Ntinda'!G26,'30.07 Kisaasi-Ntinda'!G26,'31.07 Kisaasi-Ntinda'!G26,'02.08 Kisaasi-Ntinda'!G26,'01.08 Kisaasi-Ntinda-24h'!G26,'03.08 Kisaasi-Ntinda-24h'!G26,'04.08 Kisaasi-Ntinda'!G26)</f>
        <v>0.42857142857142855</v>
      </c>
      <c r="H26" s="49">
        <f>AVERAGE('29.07 Kisaasi-Ntinda'!H26,'30.07 Kisaasi-Ntinda'!H26,'31.07 Kisaasi-Ntinda'!H26,'02.08 Kisaasi-Ntinda'!H26,'01.08 Kisaasi-Ntinda-24h'!H26,'03.08 Kisaasi-Ntinda-24h'!H26,'04.08 Kisaasi-Ntinda'!H26)</f>
        <v>0</v>
      </c>
      <c r="I26" s="49">
        <f>AVERAGE('29.07 Kisaasi-Ntinda'!I26,'30.07 Kisaasi-Ntinda'!I26,'31.07 Kisaasi-Ntinda'!I26,'02.08 Kisaasi-Ntinda'!I26,'01.08 Kisaasi-Ntinda-24h'!I26,'03.08 Kisaasi-Ntinda-24h'!I26,'04.08 Kisaasi-Ntinda'!I26)</f>
        <v>2.7142857142857144</v>
      </c>
      <c r="J26" s="49">
        <f>AVERAGE('29.07 Kisaasi-Ntinda'!J26,'30.07 Kisaasi-Ntinda'!J26,'31.07 Kisaasi-Ntinda'!J26,'02.08 Kisaasi-Ntinda'!J26,'01.08 Kisaasi-Ntinda-24h'!J26,'03.08 Kisaasi-Ntinda-24h'!J26,'04.08 Kisaasi-Ntinda'!J26)</f>
        <v>1.4285714285714286</v>
      </c>
      <c r="K26" s="49">
        <f>AVERAGE('29.07 Kisaasi-Ntinda'!K26,'30.07 Kisaasi-Ntinda'!K26,'31.07 Kisaasi-Ntinda'!K26,'02.08 Kisaasi-Ntinda'!K26,'01.08 Kisaasi-Ntinda-24h'!K26,'03.08 Kisaasi-Ntinda-24h'!K26,'04.08 Kisaasi-Ntinda'!K26)</f>
        <v>0.14285714285714285</v>
      </c>
      <c r="L26" s="49">
        <f>AVERAGE('29.07 Kisaasi-Ntinda'!L26,'30.07 Kisaasi-Ntinda'!L26,'31.07 Kisaasi-Ntinda'!L26,'02.08 Kisaasi-Ntinda'!L26,'01.08 Kisaasi-Ntinda-24h'!L26,'03.08 Kisaasi-Ntinda-24h'!L26,'04.08 Kisaasi-Ntinda'!L26)</f>
        <v>2.1428571428571428</v>
      </c>
      <c r="M26" s="49">
        <f>AVERAGE('29.07 Kisaasi-Ntinda'!M26,'30.07 Kisaasi-Ntinda'!M26,'31.07 Kisaasi-Ntinda'!M26,'02.08 Kisaasi-Ntinda'!M26,'01.08 Kisaasi-Ntinda-24h'!M26,'03.08 Kisaasi-Ntinda-24h'!M26,'04.08 Kisaasi-Ntinda'!M26)</f>
        <v>101.28571428571429</v>
      </c>
      <c r="N26" s="49">
        <f>AVERAGE('29.07 Kisaasi-Ntinda'!N26,'30.07 Kisaasi-Ntinda'!N26,'31.07 Kisaasi-Ntinda'!N26,'02.08 Kisaasi-Ntinda'!N26,'01.08 Kisaasi-Ntinda-24h'!N26,'03.08 Kisaasi-Ntinda-24h'!N26,'04.08 Kisaasi-Ntinda'!N26)</f>
        <v>0</v>
      </c>
      <c r="O26" s="15">
        <f t="shared" si="0"/>
        <v>85.142857142857125</v>
      </c>
      <c r="P26" s="15">
        <f t="shared" si="1"/>
        <v>186.42857142857142</v>
      </c>
      <c r="R26" s="1" t="s">
        <v>150</v>
      </c>
      <c r="S26" s="34">
        <f>SUM(C74:C77)</f>
        <v>86</v>
      </c>
      <c r="T26" s="34">
        <f t="shared" ref="T26:AF26" si="18">SUM(D74:D77)</f>
        <v>45</v>
      </c>
      <c r="U26" s="34">
        <f t="shared" si="18"/>
        <v>7.5</v>
      </c>
      <c r="V26" s="34">
        <f t="shared" si="18"/>
        <v>11.5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3</v>
      </c>
      <c r="AA26" s="34">
        <f t="shared" si="18"/>
        <v>2</v>
      </c>
      <c r="AB26" s="34">
        <f t="shared" si="18"/>
        <v>1</v>
      </c>
      <c r="AC26" s="34">
        <f t="shared" si="18"/>
        <v>208.5</v>
      </c>
      <c r="AD26" s="34">
        <f t="shared" si="18"/>
        <v>0</v>
      </c>
      <c r="AE26" s="52">
        <f t="shared" si="18"/>
        <v>165.5</v>
      </c>
      <c r="AF26" s="52">
        <f t="shared" si="18"/>
        <v>374</v>
      </c>
    </row>
    <row r="27" spans="2:32" ht="23.1" customHeight="1" x14ac:dyDescent="0.25">
      <c r="B27" s="23" t="s">
        <v>54</v>
      </c>
      <c r="C27" s="49">
        <f>AVERAGE('29.07 Kisaasi-Ntinda'!C27,'30.07 Kisaasi-Ntinda'!C27,'31.07 Kisaasi-Ntinda'!C27,'02.08 Kisaasi-Ntinda'!C27,'01.08 Kisaasi-Ntinda-24h'!C27,'03.08 Kisaasi-Ntinda-24h'!C27,'04.08 Kisaasi-Ntinda'!C27)</f>
        <v>41.285714285714285</v>
      </c>
      <c r="D27" s="49">
        <f>AVERAGE('29.07 Kisaasi-Ntinda'!D27,'30.07 Kisaasi-Ntinda'!D27,'31.07 Kisaasi-Ntinda'!D27,'02.08 Kisaasi-Ntinda'!D27,'01.08 Kisaasi-Ntinda-24h'!D27,'03.08 Kisaasi-Ntinda-24h'!D27,'04.08 Kisaasi-Ntinda'!D27)</f>
        <v>24.285714285714285</v>
      </c>
      <c r="E27" s="49">
        <f>AVERAGE('29.07 Kisaasi-Ntinda'!E27,'30.07 Kisaasi-Ntinda'!E27,'31.07 Kisaasi-Ntinda'!E27,'02.08 Kisaasi-Ntinda'!E27,'01.08 Kisaasi-Ntinda-24h'!E27,'03.08 Kisaasi-Ntinda-24h'!E27,'04.08 Kisaasi-Ntinda'!E27)</f>
        <v>6.5714285714285712</v>
      </c>
      <c r="F27" s="49">
        <f>AVERAGE('29.07 Kisaasi-Ntinda'!F27,'30.07 Kisaasi-Ntinda'!F27,'31.07 Kisaasi-Ntinda'!F27,'02.08 Kisaasi-Ntinda'!F27,'01.08 Kisaasi-Ntinda-24h'!F27,'03.08 Kisaasi-Ntinda-24h'!F27,'04.08 Kisaasi-Ntinda'!F27)</f>
        <v>9</v>
      </c>
      <c r="G27" s="49">
        <f>AVERAGE('29.07 Kisaasi-Ntinda'!G27,'30.07 Kisaasi-Ntinda'!G27,'31.07 Kisaasi-Ntinda'!G27,'02.08 Kisaasi-Ntinda'!G27,'01.08 Kisaasi-Ntinda-24h'!G27,'03.08 Kisaasi-Ntinda-24h'!G27,'04.08 Kisaasi-Ntinda'!G27)</f>
        <v>0</v>
      </c>
      <c r="H27" s="49">
        <f>AVERAGE('29.07 Kisaasi-Ntinda'!H27,'30.07 Kisaasi-Ntinda'!H27,'31.07 Kisaasi-Ntinda'!H27,'02.08 Kisaasi-Ntinda'!H27,'01.08 Kisaasi-Ntinda-24h'!H27,'03.08 Kisaasi-Ntinda-24h'!H27,'04.08 Kisaasi-Ntinda'!H27)</f>
        <v>0</v>
      </c>
      <c r="I27" s="49">
        <f>AVERAGE('29.07 Kisaasi-Ntinda'!I27,'30.07 Kisaasi-Ntinda'!I27,'31.07 Kisaasi-Ntinda'!I27,'02.08 Kisaasi-Ntinda'!I27,'01.08 Kisaasi-Ntinda-24h'!I27,'03.08 Kisaasi-Ntinda-24h'!I27,'04.08 Kisaasi-Ntinda'!I27)</f>
        <v>2.4285714285714284</v>
      </c>
      <c r="J27" s="49">
        <f>AVERAGE('29.07 Kisaasi-Ntinda'!J27,'30.07 Kisaasi-Ntinda'!J27,'31.07 Kisaasi-Ntinda'!J27,'02.08 Kisaasi-Ntinda'!J27,'01.08 Kisaasi-Ntinda-24h'!J27,'03.08 Kisaasi-Ntinda-24h'!J27,'04.08 Kisaasi-Ntinda'!J27)</f>
        <v>1.7142857142857142</v>
      </c>
      <c r="K27" s="49">
        <f>AVERAGE('29.07 Kisaasi-Ntinda'!K27,'30.07 Kisaasi-Ntinda'!K27,'31.07 Kisaasi-Ntinda'!K27,'02.08 Kisaasi-Ntinda'!K27,'01.08 Kisaasi-Ntinda-24h'!K27,'03.08 Kisaasi-Ntinda-24h'!K27,'04.08 Kisaasi-Ntinda'!K27)</f>
        <v>1</v>
      </c>
      <c r="L27" s="49">
        <f>AVERAGE('29.07 Kisaasi-Ntinda'!L27,'30.07 Kisaasi-Ntinda'!L27,'31.07 Kisaasi-Ntinda'!L27,'02.08 Kisaasi-Ntinda'!L27,'01.08 Kisaasi-Ntinda-24h'!L27,'03.08 Kisaasi-Ntinda-24h'!L27,'04.08 Kisaasi-Ntinda'!L27)</f>
        <v>1</v>
      </c>
      <c r="M27" s="49">
        <f>AVERAGE('29.07 Kisaasi-Ntinda'!M27,'30.07 Kisaasi-Ntinda'!M27,'31.07 Kisaasi-Ntinda'!M27,'02.08 Kisaasi-Ntinda'!M27,'01.08 Kisaasi-Ntinda-24h'!M27,'03.08 Kisaasi-Ntinda-24h'!M27,'04.08 Kisaasi-Ntinda'!M27)</f>
        <v>89.714285714285708</v>
      </c>
      <c r="N27" s="49">
        <f>AVERAGE('29.07 Kisaasi-Ntinda'!N27,'30.07 Kisaasi-Ntinda'!N27,'31.07 Kisaasi-Ntinda'!N27,'02.08 Kisaasi-Ntinda'!N27,'01.08 Kisaasi-Ntinda-24h'!N27,'03.08 Kisaasi-Ntinda-24h'!N27,'04.08 Kisaasi-Ntinda'!N27)</f>
        <v>0</v>
      </c>
      <c r="O27" s="15">
        <f t="shared" si="0"/>
        <v>87.285714285714278</v>
      </c>
      <c r="P27" s="15">
        <f t="shared" si="1"/>
        <v>177</v>
      </c>
      <c r="R27" s="1" t="s">
        <v>151</v>
      </c>
      <c r="S27" s="34">
        <f>SUM(C78:C81)</f>
        <v>45.5</v>
      </c>
      <c r="T27" s="34">
        <f t="shared" ref="T27:AF27" si="19">SUM(D78:D81)</f>
        <v>19.5</v>
      </c>
      <c r="U27" s="34">
        <f t="shared" si="19"/>
        <v>7.5</v>
      </c>
      <c r="V27" s="34">
        <f t="shared" si="19"/>
        <v>2.5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3</v>
      </c>
      <c r="AA27" s="34">
        <f t="shared" si="19"/>
        <v>1.5</v>
      </c>
      <c r="AB27" s="34">
        <f t="shared" si="19"/>
        <v>0.5</v>
      </c>
      <c r="AC27" s="34">
        <f t="shared" si="19"/>
        <v>127.5</v>
      </c>
      <c r="AD27" s="34">
        <f t="shared" si="19"/>
        <v>0</v>
      </c>
      <c r="AE27" s="52">
        <f t="shared" si="19"/>
        <v>92</v>
      </c>
      <c r="AF27" s="52">
        <f t="shared" si="19"/>
        <v>219.5</v>
      </c>
    </row>
    <row r="28" spans="2:32" ht="23.1" customHeight="1" x14ac:dyDescent="0.25">
      <c r="B28" s="23" t="s">
        <v>55</v>
      </c>
      <c r="C28" s="49">
        <f>AVERAGE('29.07 Kisaasi-Ntinda'!C28,'30.07 Kisaasi-Ntinda'!C28,'31.07 Kisaasi-Ntinda'!C28,'02.08 Kisaasi-Ntinda'!C28,'01.08 Kisaasi-Ntinda-24h'!C28,'03.08 Kisaasi-Ntinda-24h'!C28,'04.08 Kisaasi-Ntinda'!C28)</f>
        <v>39</v>
      </c>
      <c r="D28" s="49">
        <f>AVERAGE('29.07 Kisaasi-Ntinda'!D28,'30.07 Kisaasi-Ntinda'!D28,'31.07 Kisaasi-Ntinda'!D28,'02.08 Kisaasi-Ntinda'!D28,'01.08 Kisaasi-Ntinda-24h'!D28,'03.08 Kisaasi-Ntinda-24h'!D28,'04.08 Kisaasi-Ntinda'!D28)</f>
        <v>29.428571428571427</v>
      </c>
      <c r="E28" s="49">
        <f>AVERAGE('29.07 Kisaasi-Ntinda'!E28,'30.07 Kisaasi-Ntinda'!E28,'31.07 Kisaasi-Ntinda'!E28,'02.08 Kisaasi-Ntinda'!E28,'01.08 Kisaasi-Ntinda-24h'!E28,'03.08 Kisaasi-Ntinda-24h'!E28,'04.08 Kisaasi-Ntinda'!E28)</f>
        <v>7.8571428571428568</v>
      </c>
      <c r="F28" s="49">
        <f>AVERAGE('29.07 Kisaasi-Ntinda'!F28,'30.07 Kisaasi-Ntinda'!F28,'31.07 Kisaasi-Ntinda'!F28,'02.08 Kisaasi-Ntinda'!F28,'01.08 Kisaasi-Ntinda-24h'!F28,'03.08 Kisaasi-Ntinda-24h'!F28,'04.08 Kisaasi-Ntinda'!F28)</f>
        <v>11.571428571428571</v>
      </c>
      <c r="G28" s="49">
        <f>AVERAGE('29.07 Kisaasi-Ntinda'!G28,'30.07 Kisaasi-Ntinda'!G28,'31.07 Kisaasi-Ntinda'!G28,'02.08 Kisaasi-Ntinda'!G28,'01.08 Kisaasi-Ntinda-24h'!G28,'03.08 Kisaasi-Ntinda-24h'!G28,'04.08 Kisaasi-Ntinda'!G28)</f>
        <v>0</v>
      </c>
      <c r="H28" s="49">
        <f>AVERAGE('29.07 Kisaasi-Ntinda'!H28,'30.07 Kisaasi-Ntinda'!H28,'31.07 Kisaasi-Ntinda'!H28,'02.08 Kisaasi-Ntinda'!H28,'01.08 Kisaasi-Ntinda-24h'!H28,'03.08 Kisaasi-Ntinda-24h'!H28,'04.08 Kisaasi-Ntinda'!H28)</f>
        <v>0</v>
      </c>
      <c r="I28" s="49">
        <f>AVERAGE('29.07 Kisaasi-Ntinda'!I28,'30.07 Kisaasi-Ntinda'!I28,'31.07 Kisaasi-Ntinda'!I28,'02.08 Kisaasi-Ntinda'!I28,'01.08 Kisaasi-Ntinda-24h'!I28,'03.08 Kisaasi-Ntinda-24h'!I28,'04.08 Kisaasi-Ntinda'!I28)</f>
        <v>2.7142857142857144</v>
      </c>
      <c r="J28" s="49">
        <f>AVERAGE('29.07 Kisaasi-Ntinda'!J28,'30.07 Kisaasi-Ntinda'!J28,'31.07 Kisaasi-Ntinda'!J28,'02.08 Kisaasi-Ntinda'!J28,'01.08 Kisaasi-Ntinda-24h'!J28,'03.08 Kisaasi-Ntinda-24h'!J28,'04.08 Kisaasi-Ntinda'!J28)</f>
        <v>1.5714285714285714</v>
      </c>
      <c r="K28" s="49">
        <f>AVERAGE('29.07 Kisaasi-Ntinda'!K28,'30.07 Kisaasi-Ntinda'!K28,'31.07 Kisaasi-Ntinda'!K28,'02.08 Kisaasi-Ntinda'!K28,'01.08 Kisaasi-Ntinda-24h'!K28,'03.08 Kisaasi-Ntinda-24h'!K28,'04.08 Kisaasi-Ntinda'!K28)</f>
        <v>0.7142857142857143</v>
      </c>
      <c r="L28" s="49">
        <f>AVERAGE('29.07 Kisaasi-Ntinda'!L28,'30.07 Kisaasi-Ntinda'!L28,'31.07 Kisaasi-Ntinda'!L28,'02.08 Kisaasi-Ntinda'!L28,'01.08 Kisaasi-Ntinda-24h'!L28,'03.08 Kisaasi-Ntinda-24h'!L28,'04.08 Kisaasi-Ntinda'!L28)</f>
        <v>2.2857142857142856</v>
      </c>
      <c r="M28" s="49">
        <f>AVERAGE('29.07 Kisaasi-Ntinda'!M28,'30.07 Kisaasi-Ntinda'!M28,'31.07 Kisaasi-Ntinda'!M28,'02.08 Kisaasi-Ntinda'!M28,'01.08 Kisaasi-Ntinda-24h'!M28,'03.08 Kisaasi-Ntinda-24h'!M28,'04.08 Kisaasi-Ntinda'!M28)</f>
        <v>99.857142857142861</v>
      </c>
      <c r="N28" s="49">
        <f>AVERAGE('29.07 Kisaasi-Ntinda'!N28,'30.07 Kisaasi-Ntinda'!N28,'31.07 Kisaasi-Ntinda'!N28,'02.08 Kisaasi-Ntinda'!N28,'01.08 Kisaasi-Ntinda-24h'!N28,'03.08 Kisaasi-Ntinda-24h'!N28,'04.08 Kisaasi-Ntinda'!N28)</f>
        <v>0</v>
      </c>
      <c r="O28" s="15">
        <f t="shared" si="0"/>
        <v>95.142857142857139</v>
      </c>
      <c r="P28" s="15">
        <f t="shared" si="1"/>
        <v>195</v>
      </c>
      <c r="R28" s="1" t="s">
        <v>152</v>
      </c>
      <c r="S28" s="34">
        <f>SUM(C82:C85)</f>
        <v>45</v>
      </c>
      <c r="T28" s="34">
        <f t="shared" ref="T28:AF28" si="20">SUM(D82:D85)</f>
        <v>8</v>
      </c>
      <c r="U28" s="34">
        <f t="shared" si="20"/>
        <v>1.5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1.5</v>
      </c>
      <c r="Z28" s="34">
        <f t="shared" si="20"/>
        <v>3</v>
      </c>
      <c r="AA28" s="34">
        <f t="shared" si="20"/>
        <v>0.5</v>
      </c>
      <c r="AB28" s="34">
        <f t="shared" si="20"/>
        <v>2</v>
      </c>
      <c r="AC28" s="34">
        <f t="shared" si="20"/>
        <v>85.5</v>
      </c>
      <c r="AD28" s="34">
        <f t="shared" si="20"/>
        <v>0</v>
      </c>
      <c r="AE28" s="52">
        <f t="shared" si="20"/>
        <v>63</v>
      </c>
      <c r="AF28" s="52">
        <f t="shared" si="20"/>
        <v>148.5</v>
      </c>
    </row>
    <row r="29" spans="2:32" ht="23.1" customHeight="1" x14ac:dyDescent="0.25">
      <c r="B29" s="23" t="s">
        <v>56</v>
      </c>
      <c r="C29" s="49">
        <f>AVERAGE('29.07 Kisaasi-Ntinda'!C29,'30.07 Kisaasi-Ntinda'!C29,'31.07 Kisaasi-Ntinda'!C29,'02.08 Kisaasi-Ntinda'!C29,'01.08 Kisaasi-Ntinda-24h'!C29,'03.08 Kisaasi-Ntinda-24h'!C29,'04.08 Kisaasi-Ntinda'!C29)</f>
        <v>34.285714285714285</v>
      </c>
      <c r="D29" s="49">
        <f>AVERAGE('29.07 Kisaasi-Ntinda'!D29,'30.07 Kisaasi-Ntinda'!D29,'31.07 Kisaasi-Ntinda'!D29,'02.08 Kisaasi-Ntinda'!D29,'01.08 Kisaasi-Ntinda-24h'!D29,'03.08 Kisaasi-Ntinda-24h'!D29,'04.08 Kisaasi-Ntinda'!D29)</f>
        <v>24.428571428571427</v>
      </c>
      <c r="E29" s="49">
        <f>AVERAGE('29.07 Kisaasi-Ntinda'!E29,'30.07 Kisaasi-Ntinda'!E29,'31.07 Kisaasi-Ntinda'!E29,'02.08 Kisaasi-Ntinda'!E29,'01.08 Kisaasi-Ntinda-24h'!E29,'03.08 Kisaasi-Ntinda-24h'!E29,'04.08 Kisaasi-Ntinda'!E29)</f>
        <v>9.7142857142857135</v>
      </c>
      <c r="F29" s="49">
        <f>AVERAGE('29.07 Kisaasi-Ntinda'!F29,'30.07 Kisaasi-Ntinda'!F29,'31.07 Kisaasi-Ntinda'!F29,'02.08 Kisaasi-Ntinda'!F29,'01.08 Kisaasi-Ntinda-24h'!F29,'03.08 Kisaasi-Ntinda-24h'!F29,'04.08 Kisaasi-Ntinda'!F29)</f>
        <v>11.571428571428571</v>
      </c>
      <c r="G29" s="49">
        <f>AVERAGE('29.07 Kisaasi-Ntinda'!G29,'30.07 Kisaasi-Ntinda'!G29,'31.07 Kisaasi-Ntinda'!G29,'02.08 Kisaasi-Ntinda'!G29,'01.08 Kisaasi-Ntinda-24h'!G29,'03.08 Kisaasi-Ntinda-24h'!G29,'04.08 Kisaasi-Ntinda'!G29)</f>
        <v>0</v>
      </c>
      <c r="H29" s="49">
        <f>AVERAGE('29.07 Kisaasi-Ntinda'!H29,'30.07 Kisaasi-Ntinda'!H29,'31.07 Kisaasi-Ntinda'!H29,'02.08 Kisaasi-Ntinda'!H29,'01.08 Kisaasi-Ntinda-24h'!H29,'03.08 Kisaasi-Ntinda-24h'!H29,'04.08 Kisaasi-Ntinda'!H29)</f>
        <v>0</v>
      </c>
      <c r="I29" s="49">
        <f>AVERAGE('29.07 Kisaasi-Ntinda'!I29,'30.07 Kisaasi-Ntinda'!I29,'31.07 Kisaasi-Ntinda'!I29,'02.08 Kisaasi-Ntinda'!I29,'01.08 Kisaasi-Ntinda-24h'!I29,'03.08 Kisaasi-Ntinda-24h'!I29,'04.08 Kisaasi-Ntinda'!I29)</f>
        <v>4.5714285714285712</v>
      </c>
      <c r="J29" s="49">
        <f>AVERAGE('29.07 Kisaasi-Ntinda'!J29,'30.07 Kisaasi-Ntinda'!J29,'31.07 Kisaasi-Ntinda'!J29,'02.08 Kisaasi-Ntinda'!J29,'01.08 Kisaasi-Ntinda-24h'!J29,'03.08 Kisaasi-Ntinda-24h'!J29,'04.08 Kisaasi-Ntinda'!J29)</f>
        <v>3.4285714285714284</v>
      </c>
      <c r="K29" s="49">
        <f>AVERAGE('29.07 Kisaasi-Ntinda'!K29,'30.07 Kisaasi-Ntinda'!K29,'31.07 Kisaasi-Ntinda'!K29,'02.08 Kisaasi-Ntinda'!K29,'01.08 Kisaasi-Ntinda-24h'!K29,'03.08 Kisaasi-Ntinda-24h'!K29,'04.08 Kisaasi-Ntinda'!K29)</f>
        <v>0.14285714285714285</v>
      </c>
      <c r="L29" s="49">
        <f>AVERAGE('29.07 Kisaasi-Ntinda'!L29,'30.07 Kisaasi-Ntinda'!L29,'31.07 Kisaasi-Ntinda'!L29,'02.08 Kisaasi-Ntinda'!L29,'01.08 Kisaasi-Ntinda-24h'!L29,'03.08 Kisaasi-Ntinda-24h'!L29,'04.08 Kisaasi-Ntinda'!L29)</f>
        <v>1.4285714285714286</v>
      </c>
      <c r="M29" s="49">
        <f>AVERAGE('29.07 Kisaasi-Ntinda'!M29,'30.07 Kisaasi-Ntinda'!M29,'31.07 Kisaasi-Ntinda'!M29,'02.08 Kisaasi-Ntinda'!M29,'01.08 Kisaasi-Ntinda-24h'!M29,'03.08 Kisaasi-Ntinda-24h'!M29,'04.08 Kisaasi-Ntinda'!M29)</f>
        <v>103.14285714285714</v>
      </c>
      <c r="N29" s="49">
        <f>AVERAGE('29.07 Kisaasi-Ntinda'!N29,'30.07 Kisaasi-Ntinda'!N29,'31.07 Kisaasi-Ntinda'!N29,'02.08 Kisaasi-Ntinda'!N29,'01.08 Kisaasi-Ntinda-24h'!N29,'03.08 Kisaasi-Ntinda-24h'!N29,'04.08 Kisaasi-Ntinda'!N29)</f>
        <v>0</v>
      </c>
      <c r="O29" s="15">
        <f t="shared" si="0"/>
        <v>89.571428571428555</v>
      </c>
      <c r="P29" s="15">
        <f t="shared" si="1"/>
        <v>192.71428571428569</v>
      </c>
      <c r="R29" s="1" t="s">
        <v>153</v>
      </c>
      <c r="S29" s="34">
        <f>SUM(C86:C89)</f>
        <v>30</v>
      </c>
      <c r="T29" s="34">
        <f t="shared" ref="T29:AF29" si="21">SUM(D86:D89)</f>
        <v>8</v>
      </c>
      <c r="U29" s="34">
        <f t="shared" si="21"/>
        <v>2.5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4</v>
      </c>
      <c r="AA29" s="34">
        <f t="shared" si="21"/>
        <v>1.5</v>
      </c>
      <c r="AB29" s="34">
        <f t="shared" si="21"/>
        <v>1.5</v>
      </c>
      <c r="AC29" s="34">
        <f t="shared" si="21"/>
        <v>77.5</v>
      </c>
      <c r="AD29" s="34">
        <f t="shared" si="21"/>
        <v>0</v>
      </c>
      <c r="AE29" s="52">
        <f t="shared" si="21"/>
        <v>53</v>
      </c>
      <c r="AF29" s="52">
        <f t="shared" si="21"/>
        <v>130.5</v>
      </c>
    </row>
    <row r="30" spans="2:32" ht="23.1" customHeight="1" x14ac:dyDescent="0.25">
      <c r="B30" s="23" t="s">
        <v>57</v>
      </c>
      <c r="C30" s="49">
        <f>AVERAGE('29.07 Kisaasi-Ntinda'!C30,'30.07 Kisaasi-Ntinda'!C30,'31.07 Kisaasi-Ntinda'!C30,'02.08 Kisaasi-Ntinda'!C30,'01.08 Kisaasi-Ntinda-24h'!C30,'03.08 Kisaasi-Ntinda-24h'!C30,'04.08 Kisaasi-Ntinda'!C30)</f>
        <v>39</v>
      </c>
      <c r="D30" s="49">
        <f>AVERAGE('29.07 Kisaasi-Ntinda'!D30,'30.07 Kisaasi-Ntinda'!D30,'31.07 Kisaasi-Ntinda'!D30,'02.08 Kisaasi-Ntinda'!D30,'01.08 Kisaasi-Ntinda-24h'!D30,'03.08 Kisaasi-Ntinda-24h'!D30,'04.08 Kisaasi-Ntinda'!D30)</f>
        <v>28.142857142857142</v>
      </c>
      <c r="E30" s="49">
        <f>AVERAGE('29.07 Kisaasi-Ntinda'!E30,'30.07 Kisaasi-Ntinda'!E30,'31.07 Kisaasi-Ntinda'!E30,'02.08 Kisaasi-Ntinda'!E30,'01.08 Kisaasi-Ntinda-24h'!E30,'03.08 Kisaasi-Ntinda-24h'!E30,'04.08 Kisaasi-Ntinda'!E30)</f>
        <v>10.428571428571429</v>
      </c>
      <c r="F30" s="49">
        <f>AVERAGE('29.07 Kisaasi-Ntinda'!F30,'30.07 Kisaasi-Ntinda'!F30,'31.07 Kisaasi-Ntinda'!F30,'02.08 Kisaasi-Ntinda'!F30,'01.08 Kisaasi-Ntinda-24h'!F30,'03.08 Kisaasi-Ntinda-24h'!F30,'04.08 Kisaasi-Ntinda'!F30)</f>
        <v>13.142857142857142</v>
      </c>
      <c r="G30" s="49">
        <f>AVERAGE('29.07 Kisaasi-Ntinda'!G30,'30.07 Kisaasi-Ntinda'!G30,'31.07 Kisaasi-Ntinda'!G30,'02.08 Kisaasi-Ntinda'!G30,'01.08 Kisaasi-Ntinda-24h'!G30,'03.08 Kisaasi-Ntinda-24h'!G30,'04.08 Kisaasi-Ntinda'!G30)</f>
        <v>0.2857142857142857</v>
      </c>
      <c r="H30" s="49">
        <f>AVERAGE('29.07 Kisaasi-Ntinda'!H30,'30.07 Kisaasi-Ntinda'!H30,'31.07 Kisaasi-Ntinda'!H30,'02.08 Kisaasi-Ntinda'!H30,'01.08 Kisaasi-Ntinda-24h'!H30,'03.08 Kisaasi-Ntinda-24h'!H30,'04.08 Kisaasi-Ntinda'!H30)</f>
        <v>0</v>
      </c>
      <c r="I30" s="49">
        <f>AVERAGE('29.07 Kisaasi-Ntinda'!I30,'30.07 Kisaasi-Ntinda'!I30,'31.07 Kisaasi-Ntinda'!I30,'02.08 Kisaasi-Ntinda'!I30,'01.08 Kisaasi-Ntinda-24h'!I30,'03.08 Kisaasi-Ntinda-24h'!I30,'04.08 Kisaasi-Ntinda'!I30)</f>
        <v>3</v>
      </c>
      <c r="J30" s="49">
        <f>AVERAGE('29.07 Kisaasi-Ntinda'!J30,'30.07 Kisaasi-Ntinda'!J30,'31.07 Kisaasi-Ntinda'!J30,'02.08 Kisaasi-Ntinda'!J30,'01.08 Kisaasi-Ntinda-24h'!J30,'03.08 Kisaasi-Ntinda-24h'!J30,'04.08 Kisaasi-Ntinda'!J30)</f>
        <v>1.4285714285714286</v>
      </c>
      <c r="K30" s="49">
        <f>AVERAGE('29.07 Kisaasi-Ntinda'!K30,'30.07 Kisaasi-Ntinda'!K30,'31.07 Kisaasi-Ntinda'!K30,'02.08 Kisaasi-Ntinda'!K30,'01.08 Kisaasi-Ntinda-24h'!K30,'03.08 Kisaasi-Ntinda-24h'!K30,'04.08 Kisaasi-Ntinda'!K30)</f>
        <v>0.8571428571428571</v>
      </c>
      <c r="L30" s="49">
        <f>AVERAGE('29.07 Kisaasi-Ntinda'!L30,'30.07 Kisaasi-Ntinda'!L30,'31.07 Kisaasi-Ntinda'!L30,'02.08 Kisaasi-Ntinda'!L30,'01.08 Kisaasi-Ntinda-24h'!L30,'03.08 Kisaasi-Ntinda-24h'!L30,'04.08 Kisaasi-Ntinda'!L30)</f>
        <v>1.8571428571428572</v>
      </c>
      <c r="M30" s="49">
        <f>AVERAGE('29.07 Kisaasi-Ntinda'!M30,'30.07 Kisaasi-Ntinda'!M30,'31.07 Kisaasi-Ntinda'!M30,'02.08 Kisaasi-Ntinda'!M30,'01.08 Kisaasi-Ntinda-24h'!M30,'03.08 Kisaasi-Ntinda-24h'!M30,'04.08 Kisaasi-Ntinda'!M30)</f>
        <v>96.428571428571431</v>
      </c>
      <c r="N30" s="49">
        <f>AVERAGE('29.07 Kisaasi-Ntinda'!N30,'30.07 Kisaasi-Ntinda'!N30,'31.07 Kisaasi-Ntinda'!N30,'02.08 Kisaasi-Ntinda'!N30,'01.08 Kisaasi-Ntinda-24h'!N30,'03.08 Kisaasi-Ntinda-24h'!N30,'04.08 Kisaasi-Ntinda'!N30)</f>
        <v>0</v>
      </c>
      <c r="O30" s="15">
        <f t="shared" si="0"/>
        <v>98.142857142857153</v>
      </c>
      <c r="P30" s="15">
        <f t="shared" si="1"/>
        <v>194.57142857142858</v>
      </c>
      <c r="R30" s="1" t="s">
        <v>154</v>
      </c>
      <c r="S30" s="34">
        <f>SUM(C90:C93)</f>
        <v>18.5</v>
      </c>
      <c r="T30" s="34">
        <f t="shared" ref="T30:AF30" si="22">SUM(D90:D93)</f>
        <v>3.5</v>
      </c>
      <c r="U30" s="34">
        <f t="shared" si="22"/>
        <v>1.5</v>
      </c>
      <c r="V30" s="34">
        <f t="shared" si="22"/>
        <v>1</v>
      </c>
      <c r="W30" s="34">
        <f t="shared" si="22"/>
        <v>0.5</v>
      </c>
      <c r="X30" s="34">
        <f t="shared" si="22"/>
        <v>0</v>
      </c>
      <c r="Y30" s="34">
        <f t="shared" si="22"/>
        <v>1</v>
      </c>
      <c r="Z30" s="34">
        <f t="shared" si="22"/>
        <v>4.5</v>
      </c>
      <c r="AA30" s="34">
        <f t="shared" si="22"/>
        <v>1</v>
      </c>
      <c r="AB30" s="34">
        <f t="shared" si="22"/>
        <v>1.5</v>
      </c>
      <c r="AC30" s="34">
        <f t="shared" si="22"/>
        <v>61</v>
      </c>
      <c r="AD30" s="34">
        <f t="shared" si="22"/>
        <v>0</v>
      </c>
      <c r="AE30" s="52">
        <f t="shared" si="22"/>
        <v>36.5</v>
      </c>
      <c r="AF30" s="52">
        <f t="shared" si="22"/>
        <v>97.5</v>
      </c>
    </row>
    <row r="31" spans="2:32" ht="23.1" customHeight="1" x14ac:dyDescent="0.25">
      <c r="B31" s="24" t="s">
        <v>58</v>
      </c>
      <c r="C31" s="49">
        <f>AVERAGE('29.07 Kisaasi-Ntinda'!C31,'30.07 Kisaasi-Ntinda'!C31,'31.07 Kisaasi-Ntinda'!C31,'02.08 Kisaasi-Ntinda'!C31,'01.08 Kisaasi-Ntinda-24h'!C31,'03.08 Kisaasi-Ntinda-24h'!C31,'04.08 Kisaasi-Ntinda'!C31)</f>
        <v>34.714285714285715</v>
      </c>
      <c r="D31" s="49">
        <f>AVERAGE('29.07 Kisaasi-Ntinda'!D31,'30.07 Kisaasi-Ntinda'!D31,'31.07 Kisaasi-Ntinda'!D31,'02.08 Kisaasi-Ntinda'!D31,'01.08 Kisaasi-Ntinda-24h'!D31,'03.08 Kisaasi-Ntinda-24h'!D31,'04.08 Kisaasi-Ntinda'!D31)</f>
        <v>25.285714285714285</v>
      </c>
      <c r="E31" s="49">
        <f>AVERAGE('29.07 Kisaasi-Ntinda'!E31,'30.07 Kisaasi-Ntinda'!E31,'31.07 Kisaasi-Ntinda'!E31,'02.08 Kisaasi-Ntinda'!E31,'01.08 Kisaasi-Ntinda-24h'!E31,'03.08 Kisaasi-Ntinda-24h'!E31,'04.08 Kisaasi-Ntinda'!E31)</f>
        <v>8.7142857142857135</v>
      </c>
      <c r="F31" s="49">
        <f>AVERAGE('29.07 Kisaasi-Ntinda'!F31,'30.07 Kisaasi-Ntinda'!F31,'31.07 Kisaasi-Ntinda'!F31,'02.08 Kisaasi-Ntinda'!F31,'01.08 Kisaasi-Ntinda-24h'!F31,'03.08 Kisaasi-Ntinda-24h'!F31,'04.08 Kisaasi-Ntinda'!F31)</f>
        <v>11</v>
      </c>
      <c r="G31" s="49">
        <f>AVERAGE('29.07 Kisaasi-Ntinda'!G31,'30.07 Kisaasi-Ntinda'!G31,'31.07 Kisaasi-Ntinda'!G31,'02.08 Kisaasi-Ntinda'!G31,'01.08 Kisaasi-Ntinda-24h'!G31,'03.08 Kisaasi-Ntinda-24h'!G31,'04.08 Kisaasi-Ntinda'!G31)</f>
        <v>0.14285714285714285</v>
      </c>
      <c r="H31" s="49">
        <f>AVERAGE('29.07 Kisaasi-Ntinda'!H31,'30.07 Kisaasi-Ntinda'!H31,'31.07 Kisaasi-Ntinda'!H31,'02.08 Kisaasi-Ntinda'!H31,'01.08 Kisaasi-Ntinda-24h'!H31,'03.08 Kisaasi-Ntinda-24h'!H31,'04.08 Kisaasi-Ntinda'!H31)</f>
        <v>0</v>
      </c>
      <c r="I31" s="49">
        <f>AVERAGE('29.07 Kisaasi-Ntinda'!I31,'30.07 Kisaasi-Ntinda'!I31,'31.07 Kisaasi-Ntinda'!I31,'02.08 Kisaasi-Ntinda'!I31,'01.08 Kisaasi-Ntinda-24h'!I31,'03.08 Kisaasi-Ntinda-24h'!I31,'04.08 Kisaasi-Ntinda'!I31)</f>
        <v>3</v>
      </c>
      <c r="J31" s="49">
        <f>AVERAGE('29.07 Kisaasi-Ntinda'!J31,'30.07 Kisaasi-Ntinda'!J31,'31.07 Kisaasi-Ntinda'!J31,'02.08 Kisaasi-Ntinda'!J31,'01.08 Kisaasi-Ntinda-24h'!J31,'03.08 Kisaasi-Ntinda-24h'!J31,'04.08 Kisaasi-Ntinda'!J31)</f>
        <v>2.5714285714285716</v>
      </c>
      <c r="K31" s="49">
        <f>AVERAGE('29.07 Kisaasi-Ntinda'!K31,'30.07 Kisaasi-Ntinda'!K31,'31.07 Kisaasi-Ntinda'!K31,'02.08 Kisaasi-Ntinda'!K31,'01.08 Kisaasi-Ntinda-24h'!K31,'03.08 Kisaasi-Ntinda-24h'!K31,'04.08 Kisaasi-Ntinda'!K31)</f>
        <v>0.5714285714285714</v>
      </c>
      <c r="L31" s="49">
        <f>AVERAGE('29.07 Kisaasi-Ntinda'!L31,'30.07 Kisaasi-Ntinda'!L31,'31.07 Kisaasi-Ntinda'!L31,'02.08 Kisaasi-Ntinda'!L31,'01.08 Kisaasi-Ntinda-24h'!L31,'03.08 Kisaasi-Ntinda-24h'!L31,'04.08 Kisaasi-Ntinda'!L31)</f>
        <v>1.2857142857142858</v>
      </c>
      <c r="M31" s="49">
        <f>AVERAGE('29.07 Kisaasi-Ntinda'!M31,'30.07 Kisaasi-Ntinda'!M31,'31.07 Kisaasi-Ntinda'!M31,'02.08 Kisaasi-Ntinda'!M31,'01.08 Kisaasi-Ntinda-24h'!M31,'03.08 Kisaasi-Ntinda-24h'!M31,'04.08 Kisaasi-Ntinda'!M31)</f>
        <v>105.42857142857143</v>
      </c>
      <c r="N31" s="49">
        <f>AVERAGE('29.07 Kisaasi-Ntinda'!N31,'30.07 Kisaasi-Ntinda'!N31,'31.07 Kisaasi-Ntinda'!N31,'02.08 Kisaasi-Ntinda'!N31,'01.08 Kisaasi-Ntinda-24h'!N31,'03.08 Kisaasi-Ntinda-24h'!N31,'04.08 Kisaasi-Ntinda'!N31)</f>
        <v>0.2857142857142857</v>
      </c>
      <c r="O31" s="15">
        <f t="shared" si="0"/>
        <v>87.571428571428569</v>
      </c>
      <c r="P31" s="15">
        <f t="shared" si="1"/>
        <v>193</v>
      </c>
      <c r="R31" s="1" t="s">
        <v>155</v>
      </c>
      <c r="S31" s="34">
        <f>SUM(C94:C97)</f>
        <v>16</v>
      </c>
      <c r="T31" s="34">
        <f t="shared" ref="T31:AF31" si="23">SUM(D94:D97)</f>
        <v>7</v>
      </c>
      <c r="U31" s="34">
        <f t="shared" si="23"/>
        <v>2</v>
      </c>
      <c r="V31" s="34">
        <f t="shared" si="23"/>
        <v>4.5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1</v>
      </c>
      <c r="AA31" s="34">
        <f t="shared" si="23"/>
        <v>1</v>
      </c>
      <c r="AB31" s="34">
        <f t="shared" si="23"/>
        <v>1</v>
      </c>
      <c r="AC31" s="34">
        <f t="shared" si="23"/>
        <v>43.5</v>
      </c>
      <c r="AD31" s="34">
        <f t="shared" si="23"/>
        <v>0</v>
      </c>
      <c r="AE31" s="52">
        <f t="shared" si="23"/>
        <v>34</v>
      </c>
      <c r="AF31" s="52">
        <f t="shared" si="23"/>
        <v>77.5</v>
      </c>
    </row>
    <row r="32" spans="2:32" ht="23.1" customHeight="1" x14ac:dyDescent="0.25">
      <c r="B32" s="24" t="s">
        <v>59</v>
      </c>
      <c r="C32" s="49">
        <f>AVERAGE('29.07 Kisaasi-Ntinda'!C32,'30.07 Kisaasi-Ntinda'!C32,'31.07 Kisaasi-Ntinda'!C32,'02.08 Kisaasi-Ntinda'!C32,'01.08 Kisaasi-Ntinda-24h'!C32,'03.08 Kisaasi-Ntinda-24h'!C32,'04.08 Kisaasi-Ntinda'!C32)</f>
        <v>40</v>
      </c>
      <c r="D32" s="49">
        <f>AVERAGE('29.07 Kisaasi-Ntinda'!D32,'30.07 Kisaasi-Ntinda'!D32,'31.07 Kisaasi-Ntinda'!D32,'02.08 Kisaasi-Ntinda'!D32,'01.08 Kisaasi-Ntinda-24h'!D32,'03.08 Kisaasi-Ntinda-24h'!D32,'04.08 Kisaasi-Ntinda'!D32)</f>
        <v>26.714285714285715</v>
      </c>
      <c r="E32" s="49">
        <f>AVERAGE('29.07 Kisaasi-Ntinda'!E32,'30.07 Kisaasi-Ntinda'!E32,'31.07 Kisaasi-Ntinda'!E32,'02.08 Kisaasi-Ntinda'!E32,'01.08 Kisaasi-Ntinda-24h'!E32,'03.08 Kisaasi-Ntinda-24h'!E32,'04.08 Kisaasi-Ntinda'!E32)</f>
        <v>9.1428571428571423</v>
      </c>
      <c r="F32" s="49">
        <f>AVERAGE('29.07 Kisaasi-Ntinda'!F32,'30.07 Kisaasi-Ntinda'!F32,'31.07 Kisaasi-Ntinda'!F32,'02.08 Kisaasi-Ntinda'!F32,'01.08 Kisaasi-Ntinda-24h'!F32,'03.08 Kisaasi-Ntinda-24h'!F32,'04.08 Kisaasi-Ntinda'!F32)</f>
        <v>14.714285714285714</v>
      </c>
      <c r="G32" s="49">
        <f>AVERAGE('29.07 Kisaasi-Ntinda'!G32,'30.07 Kisaasi-Ntinda'!G32,'31.07 Kisaasi-Ntinda'!G32,'02.08 Kisaasi-Ntinda'!G32,'01.08 Kisaasi-Ntinda-24h'!G32,'03.08 Kisaasi-Ntinda-24h'!G32,'04.08 Kisaasi-Ntinda'!G32)</f>
        <v>0.2857142857142857</v>
      </c>
      <c r="H32" s="49">
        <f>AVERAGE('29.07 Kisaasi-Ntinda'!H32,'30.07 Kisaasi-Ntinda'!H32,'31.07 Kisaasi-Ntinda'!H32,'02.08 Kisaasi-Ntinda'!H32,'01.08 Kisaasi-Ntinda-24h'!H32,'03.08 Kisaasi-Ntinda-24h'!H32,'04.08 Kisaasi-Ntinda'!H32)</f>
        <v>0</v>
      </c>
      <c r="I32" s="49">
        <f>AVERAGE('29.07 Kisaasi-Ntinda'!I32,'30.07 Kisaasi-Ntinda'!I32,'31.07 Kisaasi-Ntinda'!I32,'02.08 Kisaasi-Ntinda'!I32,'01.08 Kisaasi-Ntinda-24h'!I32,'03.08 Kisaasi-Ntinda-24h'!I32,'04.08 Kisaasi-Ntinda'!I32)</f>
        <v>5.1428571428571432</v>
      </c>
      <c r="J32" s="49">
        <f>AVERAGE('29.07 Kisaasi-Ntinda'!J32,'30.07 Kisaasi-Ntinda'!J32,'31.07 Kisaasi-Ntinda'!J32,'02.08 Kisaasi-Ntinda'!J32,'01.08 Kisaasi-Ntinda-24h'!J32,'03.08 Kisaasi-Ntinda-24h'!J32,'04.08 Kisaasi-Ntinda'!J32)</f>
        <v>3</v>
      </c>
      <c r="K32" s="49">
        <f>AVERAGE('29.07 Kisaasi-Ntinda'!K32,'30.07 Kisaasi-Ntinda'!K32,'31.07 Kisaasi-Ntinda'!K32,'02.08 Kisaasi-Ntinda'!K32,'01.08 Kisaasi-Ntinda-24h'!K32,'03.08 Kisaasi-Ntinda-24h'!K32,'04.08 Kisaasi-Ntinda'!K32)</f>
        <v>1</v>
      </c>
      <c r="L32" s="49">
        <f>AVERAGE('29.07 Kisaasi-Ntinda'!L32,'30.07 Kisaasi-Ntinda'!L32,'31.07 Kisaasi-Ntinda'!L32,'02.08 Kisaasi-Ntinda'!L32,'01.08 Kisaasi-Ntinda-24h'!L32,'03.08 Kisaasi-Ntinda-24h'!L32,'04.08 Kisaasi-Ntinda'!L32)</f>
        <v>4.7142857142857144</v>
      </c>
      <c r="M32" s="49">
        <f>AVERAGE('29.07 Kisaasi-Ntinda'!M32,'30.07 Kisaasi-Ntinda'!M32,'31.07 Kisaasi-Ntinda'!M32,'02.08 Kisaasi-Ntinda'!M32,'01.08 Kisaasi-Ntinda-24h'!M32,'03.08 Kisaasi-Ntinda-24h'!M32,'04.08 Kisaasi-Ntinda'!M32)</f>
        <v>100.28571428571429</v>
      </c>
      <c r="N32" s="49">
        <f>AVERAGE('29.07 Kisaasi-Ntinda'!N32,'30.07 Kisaasi-Ntinda'!N32,'31.07 Kisaasi-Ntinda'!N32,'02.08 Kisaasi-Ntinda'!N32,'01.08 Kisaasi-Ntinda-24h'!N32,'03.08 Kisaasi-Ntinda-24h'!N32,'04.08 Kisaasi-Ntinda'!N32)</f>
        <v>0</v>
      </c>
      <c r="O32" s="15">
        <f t="shared" si="0"/>
        <v>104.71428571428571</v>
      </c>
      <c r="P32" s="15">
        <f t="shared" si="1"/>
        <v>205</v>
      </c>
      <c r="R32" s="1" t="s">
        <v>156</v>
      </c>
      <c r="S32" s="34">
        <f>SUM(C98:C101)</f>
        <v>28</v>
      </c>
      <c r="T32" s="34">
        <f t="shared" ref="T32:AF32" si="24">SUM(D98:D101)</f>
        <v>14.5</v>
      </c>
      <c r="U32" s="34">
        <f t="shared" si="24"/>
        <v>2.5</v>
      </c>
      <c r="V32" s="34">
        <f t="shared" si="24"/>
        <v>12</v>
      </c>
      <c r="W32" s="34">
        <f t="shared" si="24"/>
        <v>1</v>
      </c>
      <c r="X32" s="34">
        <f t="shared" si="24"/>
        <v>0</v>
      </c>
      <c r="Y32" s="34">
        <f t="shared" si="24"/>
        <v>4.5</v>
      </c>
      <c r="Z32" s="34">
        <f t="shared" si="24"/>
        <v>2.5</v>
      </c>
      <c r="AA32" s="34">
        <f t="shared" si="24"/>
        <v>1</v>
      </c>
      <c r="AB32" s="34">
        <f t="shared" si="24"/>
        <v>0</v>
      </c>
      <c r="AC32" s="34">
        <f t="shared" si="24"/>
        <v>60</v>
      </c>
      <c r="AD32" s="34">
        <f t="shared" si="24"/>
        <v>0</v>
      </c>
      <c r="AE32" s="52">
        <f t="shared" si="24"/>
        <v>63.5</v>
      </c>
      <c r="AF32" s="52">
        <f t="shared" si="24"/>
        <v>123.5</v>
      </c>
    </row>
    <row r="33" spans="2:32" ht="23.1" customHeight="1" x14ac:dyDescent="0.25">
      <c r="B33" s="23" t="s">
        <v>60</v>
      </c>
      <c r="C33" s="49">
        <f>AVERAGE('29.07 Kisaasi-Ntinda'!C33,'30.07 Kisaasi-Ntinda'!C33,'31.07 Kisaasi-Ntinda'!C33,'02.08 Kisaasi-Ntinda'!C33,'01.08 Kisaasi-Ntinda-24h'!C33,'03.08 Kisaasi-Ntinda-24h'!C33,'04.08 Kisaasi-Ntinda'!C33)</f>
        <v>34.714285714285715</v>
      </c>
      <c r="D33" s="49">
        <f>AVERAGE('29.07 Kisaasi-Ntinda'!D33,'30.07 Kisaasi-Ntinda'!D33,'31.07 Kisaasi-Ntinda'!D33,'02.08 Kisaasi-Ntinda'!D33,'01.08 Kisaasi-Ntinda-24h'!D33,'03.08 Kisaasi-Ntinda-24h'!D33,'04.08 Kisaasi-Ntinda'!D33)</f>
        <v>23.428571428571427</v>
      </c>
      <c r="E33" s="49">
        <f>AVERAGE('29.07 Kisaasi-Ntinda'!E33,'30.07 Kisaasi-Ntinda'!E33,'31.07 Kisaasi-Ntinda'!E33,'02.08 Kisaasi-Ntinda'!E33,'01.08 Kisaasi-Ntinda-24h'!E33,'03.08 Kisaasi-Ntinda-24h'!E33,'04.08 Kisaasi-Ntinda'!E33)</f>
        <v>10.142857142857142</v>
      </c>
      <c r="F33" s="49">
        <f>AVERAGE('29.07 Kisaasi-Ntinda'!F33,'30.07 Kisaasi-Ntinda'!F33,'31.07 Kisaasi-Ntinda'!F33,'02.08 Kisaasi-Ntinda'!F33,'01.08 Kisaasi-Ntinda-24h'!F33,'03.08 Kisaasi-Ntinda-24h'!F33,'04.08 Kisaasi-Ntinda'!F33)</f>
        <v>12.857142857142858</v>
      </c>
      <c r="G33" s="49">
        <f>AVERAGE('29.07 Kisaasi-Ntinda'!G33,'30.07 Kisaasi-Ntinda'!G33,'31.07 Kisaasi-Ntinda'!G33,'02.08 Kisaasi-Ntinda'!G33,'01.08 Kisaasi-Ntinda-24h'!G33,'03.08 Kisaasi-Ntinda-24h'!G33,'04.08 Kisaasi-Ntinda'!G33)</f>
        <v>0</v>
      </c>
      <c r="H33" s="49">
        <f>AVERAGE('29.07 Kisaasi-Ntinda'!H33,'30.07 Kisaasi-Ntinda'!H33,'31.07 Kisaasi-Ntinda'!H33,'02.08 Kisaasi-Ntinda'!H33,'01.08 Kisaasi-Ntinda-24h'!H33,'03.08 Kisaasi-Ntinda-24h'!H33,'04.08 Kisaasi-Ntinda'!H33)</f>
        <v>0</v>
      </c>
      <c r="I33" s="49">
        <f>AVERAGE('29.07 Kisaasi-Ntinda'!I33,'30.07 Kisaasi-Ntinda'!I33,'31.07 Kisaasi-Ntinda'!I33,'02.08 Kisaasi-Ntinda'!I33,'01.08 Kisaasi-Ntinda-24h'!I33,'03.08 Kisaasi-Ntinda-24h'!I33,'04.08 Kisaasi-Ntinda'!I33)</f>
        <v>3.5714285714285716</v>
      </c>
      <c r="J33" s="49">
        <f>AVERAGE('29.07 Kisaasi-Ntinda'!J33,'30.07 Kisaasi-Ntinda'!J33,'31.07 Kisaasi-Ntinda'!J33,'02.08 Kisaasi-Ntinda'!J33,'01.08 Kisaasi-Ntinda-24h'!J33,'03.08 Kisaasi-Ntinda-24h'!J33,'04.08 Kisaasi-Ntinda'!J33)</f>
        <v>2.5714285714285716</v>
      </c>
      <c r="K33" s="49">
        <f>AVERAGE('29.07 Kisaasi-Ntinda'!K33,'30.07 Kisaasi-Ntinda'!K33,'31.07 Kisaasi-Ntinda'!K33,'02.08 Kisaasi-Ntinda'!K33,'01.08 Kisaasi-Ntinda-24h'!K33,'03.08 Kisaasi-Ntinda-24h'!K33,'04.08 Kisaasi-Ntinda'!K33)</f>
        <v>0.5714285714285714</v>
      </c>
      <c r="L33" s="49">
        <f>AVERAGE('29.07 Kisaasi-Ntinda'!L33,'30.07 Kisaasi-Ntinda'!L33,'31.07 Kisaasi-Ntinda'!L33,'02.08 Kisaasi-Ntinda'!L33,'01.08 Kisaasi-Ntinda-24h'!L33,'03.08 Kisaasi-Ntinda-24h'!L33,'04.08 Kisaasi-Ntinda'!L33)</f>
        <v>1.7142857142857142</v>
      </c>
      <c r="M33" s="49">
        <f>AVERAGE('29.07 Kisaasi-Ntinda'!M33,'30.07 Kisaasi-Ntinda'!M33,'31.07 Kisaasi-Ntinda'!M33,'02.08 Kisaasi-Ntinda'!M33,'01.08 Kisaasi-Ntinda-24h'!M33,'03.08 Kisaasi-Ntinda-24h'!M33,'04.08 Kisaasi-Ntinda'!M33)</f>
        <v>101</v>
      </c>
      <c r="N33" s="49">
        <f>AVERAGE('29.07 Kisaasi-Ntinda'!N33,'30.07 Kisaasi-Ntinda'!N33,'31.07 Kisaasi-Ntinda'!N33,'02.08 Kisaasi-Ntinda'!N33,'01.08 Kisaasi-Ntinda-24h'!N33,'03.08 Kisaasi-Ntinda-24h'!N33,'04.08 Kisaasi-Ntinda'!N33)</f>
        <v>0</v>
      </c>
      <c r="O33" s="15">
        <f t="shared" si="0"/>
        <v>89.571428571428555</v>
      </c>
      <c r="P33" s="15">
        <f t="shared" si="1"/>
        <v>190.57142857142856</v>
      </c>
      <c r="R33" s="1" t="s">
        <v>157</v>
      </c>
      <c r="S33" s="34">
        <f>SUM(C102:C105)</f>
        <v>1610.5</v>
      </c>
      <c r="T33" s="34">
        <f t="shared" ref="T33:AF33" si="25">SUM(D102:D105)</f>
        <v>55</v>
      </c>
      <c r="U33" s="34">
        <f t="shared" si="25"/>
        <v>13.5</v>
      </c>
      <c r="V33" s="34">
        <f t="shared" si="25"/>
        <v>37.5</v>
      </c>
      <c r="W33" s="34">
        <f t="shared" si="25"/>
        <v>0.5</v>
      </c>
      <c r="X33" s="34">
        <f t="shared" si="25"/>
        <v>0</v>
      </c>
      <c r="Y33" s="34">
        <f t="shared" si="25"/>
        <v>1</v>
      </c>
      <c r="Z33" s="34">
        <f t="shared" si="25"/>
        <v>4.5</v>
      </c>
      <c r="AA33" s="34">
        <f t="shared" si="25"/>
        <v>1.5</v>
      </c>
      <c r="AB33" s="34">
        <f t="shared" si="25"/>
        <v>3.5</v>
      </c>
      <c r="AC33" s="34">
        <f t="shared" si="25"/>
        <v>104</v>
      </c>
      <c r="AD33" s="34">
        <f t="shared" si="25"/>
        <v>0</v>
      </c>
      <c r="AE33" s="52">
        <f t="shared" si="25"/>
        <v>259</v>
      </c>
      <c r="AF33" s="52">
        <f t="shared" si="25"/>
        <v>363</v>
      </c>
    </row>
    <row r="34" spans="2:32" ht="23.1" customHeight="1" x14ac:dyDescent="0.25">
      <c r="B34" s="24" t="s">
        <v>61</v>
      </c>
      <c r="C34" s="49">
        <f>AVERAGE('29.07 Kisaasi-Ntinda'!C34,'30.07 Kisaasi-Ntinda'!C34,'31.07 Kisaasi-Ntinda'!C34,'02.08 Kisaasi-Ntinda'!C34,'01.08 Kisaasi-Ntinda-24h'!C34,'03.08 Kisaasi-Ntinda-24h'!C34,'04.08 Kisaasi-Ntinda'!C34)</f>
        <v>32.428571428571431</v>
      </c>
      <c r="D34" s="49">
        <f>AVERAGE('29.07 Kisaasi-Ntinda'!D34,'30.07 Kisaasi-Ntinda'!D34,'31.07 Kisaasi-Ntinda'!D34,'02.08 Kisaasi-Ntinda'!D34,'01.08 Kisaasi-Ntinda-24h'!D34,'03.08 Kisaasi-Ntinda-24h'!D34,'04.08 Kisaasi-Ntinda'!D34)</f>
        <v>17.142857142857142</v>
      </c>
      <c r="E34" s="49">
        <f>AVERAGE('29.07 Kisaasi-Ntinda'!E34,'30.07 Kisaasi-Ntinda'!E34,'31.07 Kisaasi-Ntinda'!E34,'02.08 Kisaasi-Ntinda'!E34,'01.08 Kisaasi-Ntinda-24h'!E34,'03.08 Kisaasi-Ntinda-24h'!E34,'04.08 Kisaasi-Ntinda'!E34)</f>
        <v>6</v>
      </c>
      <c r="F34" s="49">
        <f>AVERAGE('29.07 Kisaasi-Ntinda'!F34,'30.07 Kisaasi-Ntinda'!F34,'31.07 Kisaasi-Ntinda'!F34,'02.08 Kisaasi-Ntinda'!F34,'01.08 Kisaasi-Ntinda-24h'!F34,'03.08 Kisaasi-Ntinda-24h'!F34,'04.08 Kisaasi-Ntinda'!F34)</f>
        <v>7.5714285714285712</v>
      </c>
      <c r="G34" s="49">
        <f>AVERAGE('29.07 Kisaasi-Ntinda'!G34,'30.07 Kisaasi-Ntinda'!G34,'31.07 Kisaasi-Ntinda'!G34,'02.08 Kisaasi-Ntinda'!G34,'01.08 Kisaasi-Ntinda-24h'!G34,'03.08 Kisaasi-Ntinda-24h'!G34,'04.08 Kisaasi-Ntinda'!G34)</f>
        <v>0.14285714285714285</v>
      </c>
      <c r="H34" s="49">
        <f>AVERAGE('29.07 Kisaasi-Ntinda'!H34,'30.07 Kisaasi-Ntinda'!H34,'31.07 Kisaasi-Ntinda'!H34,'02.08 Kisaasi-Ntinda'!H34,'01.08 Kisaasi-Ntinda-24h'!H34,'03.08 Kisaasi-Ntinda-24h'!H34,'04.08 Kisaasi-Ntinda'!H34)</f>
        <v>0</v>
      </c>
      <c r="I34" s="49">
        <f>AVERAGE('29.07 Kisaasi-Ntinda'!I34,'30.07 Kisaasi-Ntinda'!I34,'31.07 Kisaasi-Ntinda'!I34,'02.08 Kisaasi-Ntinda'!I34,'01.08 Kisaasi-Ntinda-24h'!I34,'03.08 Kisaasi-Ntinda-24h'!I34,'04.08 Kisaasi-Ntinda'!I34)</f>
        <v>3.5714285714285716</v>
      </c>
      <c r="J34" s="49">
        <f>AVERAGE('29.07 Kisaasi-Ntinda'!J34,'30.07 Kisaasi-Ntinda'!J34,'31.07 Kisaasi-Ntinda'!J34,'02.08 Kisaasi-Ntinda'!J34,'01.08 Kisaasi-Ntinda-24h'!J34,'03.08 Kisaasi-Ntinda-24h'!J34,'04.08 Kisaasi-Ntinda'!J34)</f>
        <v>2.1428571428571428</v>
      </c>
      <c r="K34" s="49">
        <f>AVERAGE('29.07 Kisaasi-Ntinda'!K34,'30.07 Kisaasi-Ntinda'!K34,'31.07 Kisaasi-Ntinda'!K34,'02.08 Kisaasi-Ntinda'!K34,'01.08 Kisaasi-Ntinda-24h'!K34,'03.08 Kisaasi-Ntinda-24h'!K34,'04.08 Kisaasi-Ntinda'!K34)</f>
        <v>0.7142857142857143</v>
      </c>
      <c r="L34" s="49">
        <f>AVERAGE('29.07 Kisaasi-Ntinda'!L34,'30.07 Kisaasi-Ntinda'!L34,'31.07 Kisaasi-Ntinda'!L34,'02.08 Kisaasi-Ntinda'!L34,'01.08 Kisaasi-Ntinda-24h'!L34,'03.08 Kisaasi-Ntinda-24h'!L34,'04.08 Kisaasi-Ntinda'!L34)</f>
        <v>1.5714285714285714</v>
      </c>
      <c r="M34" s="49">
        <f>AVERAGE('29.07 Kisaasi-Ntinda'!M34,'30.07 Kisaasi-Ntinda'!M34,'31.07 Kisaasi-Ntinda'!M34,'02.08 Kisaasi-Ntinda'!M34,'01.08 Kisaasi-Ntinda-24h'!M34,'03.08 Kisaasi-Ntinda-24h'!M34,'04.08 Kisaasi-Ntinda'!M34)</f>
        <v>99.428571428571431</v>
      </c>
      <c r="N34" s="49">
        <f>AVERAGE('29.07 Kisaasi-Ntinda'!N34,'30.07 Kisaasi-Ntinda'!N34,'31.07 Kisaasi-Ntinda'!N34,'02.08 Kisaasi-Ntinda'!N34,'01.08 Kisaasi-Ntinda-24h'!N34,'03.08 Kisaasi-Ntinda-24h'!N34,'04.08 Kisaasi-Ntinda'!N34)</f>
        <v>0</v>
      </c>
      <c r="O34" s="15">
        <f t="shared" si="0"/>
        <v>71.285714285714278</v>
      </c>
      <c r="P34" s="15">
        <f t="shared" si="1"/>
        <v>170.71428571428572</v>
      </c>
      <c r="R34" s="38" t="s">
        <v>90</v>
      </c>
      <c r="S34" s="39">
        <f t="shared" ref="S34:AF34" si="26">MAX(S10:S12)</f>
        <v>314.28571428571428</v>
      </c>
      <c r="T34" s="39">
        <f t="shared" si="26"/>
        <v>189.85714285714289</v>
      </c>
      <c r="U34" s="39">
        <f t="shared" si="26"/>
        <v>48</v>
      </c>
      <c r="V34" s="39">
        <f t="shared" si="26"/>
        <v>59.428571428571431</v>
      </c>
      <c r="W34" s="39">
        <f t="shared" si="26"/>
        <v>2.1428571428571428</v>
      </c>
      <c r="X34" s="39">
        <f t="shared" si="26"/>
        <v>0</v>
      </c>
      <c r="Y34" s="39">
        <f t="shared" si="26"/>
        <v>16.285714285714288</v>
      </c>
      <c r="Z34" s="39">
        <f t="shared" si="26"/>
        <v>8.5714285714285712</v>
      </c>
      <c r="AA34" s="39">
        <f t="shared" si="26"/>
        <v>2</v>
      </c>
      <c r="AB34" s="39">
        <f t="shared" si="26"/>
        <v>4.2857142857142856</v>
      </c>
      <c r="AC34" s="39">
        <f t="shared" si="26"/>
        <v>568.71428571428567</v>
      </c>
      <c r="AD34" s="39">
        <f t="shared" si="26"/>
        <v>0.14285714285714285</v>
      </c>
      <c r="AE34" s="40">
        <f t="shared" si="26"/>
        <v>637.71428571428578</v>
      </c>
      <c r="AF34" s="40">
        <f t="shared" si="26"/>
        <v>1087.1428571428573</v>
      </c>
    </row>
    <row r="35" spans="2:32" ht="23.1" customHeight="1" x14ac:dyDescent="0.25">
      <c r="B35" s="24" t="s">
        <v>62</v>
      </c>
      <c r="C35" s="49">
        <f>AVERAGE('29.07 Kisaasi-Ntinda'!C35,'30.07 Kisaasi-Ntinda'!C35,'31.07 Kisaasi-Ntinda'!C35,'02.08 Kisaasi-Ntinda'!C35,'01.08 Kisaasi-Ntinda-24h'!C35,'03.08 Kisaasi-Ntinda-24h'!C35,'04.08 Kisaasi-Ntinda'!C35)</f>
        <v>25.857142857142858</v>
      </c>
      <c r="D35" s="49">
        <f>AVERAGE('29.07 Kisaasi-Ntinda'!D35,'30.07 Kisaasi-Ntinda'!D35,'31.07 Kisaasi-Ntinda'!D35,'02.08 Kisaasi-Ntinda'!D35,'01.08 Kisaasi-Ntinda-24h'!D35,'03.08 Kisaasi-Ntinda-24h'!D35,'04.08 Kisaasi-Ntinda'!D35)</f>
        <v>18.428571428571427</v>
      </c>
      <c r="E35" s="49">
        <f>AVERAGE('29.07 Kisaasi-Ntinda'!E35,'30.07 Kisaasi-Ntinda'!E35,'31.07 Kisaasi-Ntinda'!E35,'02.08 Kisaasi-Ntinda'!E35,'01.08 Kisaasi-Ntinda-24h'!E35,'03.08 Kisaasi-Ntinda-24h'!E35,'04.08 Kisaasi-Ntinda'!E35)</f>
        <v>8.1428571428571423</v>
      </c>
      <c r="F35" s="49">
        <f>AVERAGE('29.07 Kisaasi-Ntinda'!F35,'30.07 Kisaasi-Ntinda'!F35,'31.07 Kisaasi-Ntinda'!F35,'02.08 Kisaasi-Ntinda'!F35,'01.08 Kisaasi-Ntinda-24h'!F35,'03.08 Kisaasi-Ntinda-24h'!F35,'04.08 Kisaasi-Ntinda'!F35)</f>
        <v>9.2857142857142865</v>
      </c>
      <c r="G35" s="49">
        <f>AVERAGE('29.07 Kisaasi-Ntinda'!G35,'30.07 Kisaasi-Ntinda'!G35,'31.07 Kisaasi-Ntinda'!G35,'02.08 Kisaasi-Ntinda'!G35,'01.08 Kisaasi-Ntinda-24h'!G35,'03.08 Kisaasi-Ntinda-24h'!G35,'04.08 Kisaasi-Ntinda'!G35)</f>
        <v>0</v>
      </c>
      <c r="H35" s="49">
        <f>AVERAGE('29.07 Kisaasi-Ntinda'!H35,'30.07 Kisaasi-Ntinda'!H35,'31.07 Kisaasi-Ntinda'!H35,'02.08 Kisaasi-Ntinda'!H35,'01.08 Kisaasi-Ntinda-24h'!H35,'03.08 Kisaasi-Ntinda-24h'!H35,'04.08 Kisaasi-Ntinda'!H35)</f>
        <v>0</v>
      </c>
      <c r="I35" s="49">
        <f>AVERAGE('29.07 Kisaasi-Ntinda'!I35,'30.07 Kisaasi-Ntinda'!I35,'31.07 Kisaasi-Ntinda'!I35,'02.08 Kisaasi-Ntinda'!I35,'01.08 Kisaasi-Ntinda-24h'!I35,'03.08 Kisaasi-Ntinda-24h'!I35,'04.08 Kisaasi-Ntinda'!I35)</f>
        <v>3.5714285714285716</v>
      </c>
      <c r="J35" s="49">
        <f>AVERAGE('29.07 Kisaasi-Ntinda'!J35,'30.07 Kisaasi-Ntinda'!J35,'31.07 Kisaasi-Ntinda'!J35,'02.08 Kisaasi-Ntinda'!J35,'01.08 Kisaasi-Ntinda-24h'!J35,'03.08 Kisaasi-Ntinda-24h'!J35,'04.08 Kisaasi-Ntinda'!J35)</f>
        <v>2.7142857142857144</v>
      </c>
      <c r="K35" s="49">
        <f>AVERAGE('29.07 Kisaasi-Ntinda'!K35,'30.07 Kisaasi-Ntinda'!K35,'31.07 Kisaasi-Ntinda'!K35,'02.08 Kisaasi-Ntinda'!K35,'01.08 Kisaasi-Ntinda-24h'!K35,'03.08 Kisaasi-Ntinda-24h'!K35,'04.08 Kisaasi-Ntinda'!K35)</f>
        <v>0.8571428571428571</v>
      </c>
      <c r="L35" s="49">
        <f>AVERAGE('29.07 Kisaasi-Ntinda'!L35,'30.07 Kisaasi-Ntinda'!L35,'31.07 Kisaasi-Ntinda'!L35,'02.08 Kisaasi-Ntinda'!L35,'01.08 Kisaasi-Ntinda-24h'!L35,'03.08 Kisaasi-Ntinda-24h'!L35,'04.08 Kisaasi-Ntinda'!L35)</f>
        <v>1.2857142857142858</v>
      </c>
      <c r="M35" s="49">
        <f>AVERAGE('29.07 Kisaasi-Ntinda'!M35,'30.07 Kisaasi-Ntinda'!M35,'31.07 Kisaasi-Ntinda'!M35,'02.08 Kisaasi-Ntinda'!M35,'01.08 Kisaasi-Ntinda-24h'!M35,'03.08 Kisaasi-Ntinda-24h'!M35,'04.08 Kisaasi-Ntinda'!M35)</f>
        <v>91.142857142857139</v>
      </c>
      <c r="N35" s="49">
        <f>AVERAGE('29.07 Kisaasi-Ntinda'!N35,'30.07 Kisaasi-Ntinda'!N35,'31.07 Kisaasi-Ntinda'!N35,'02.08 Kisaasi-Ntinda'!N35,'01.08 Kisaasi-Ntinda-24h'!N35,'03.08 Kisaasi-Ntinda-24h'!N35,'04.08 Kisaasi-Ntinda'!N35)</f>
        <v>0</v>
      </c>
      <c r="O35" s="15">
        <f t="shared" si="0"/>
        <v>70.142857142857153</v>
      </c>
      <c r="P35" s="15">
        <f t="shared" si="1"/>
        <v>161.28571428571428</v>
      </c>
      <c r="R35" s="38" t="s">
        <v>91</v>
      </c>
      <c r="S35" s="39">
        <f t="shared" ref="S35:AF35" si="27">MAX(S13:S18)</f>
        <v>151.71428571428572</v>
      </c>
      <c r="T35" s="39">
        <f t="shared" si="27"/>
        <v>105.42857142857143</v>
      </c>
      <c r="U35" s="39">
        <f t="shared" si="27"/>
        <v>41.428571428571431</v>
      </c>
      <c r="V35" s="39">
        <f t="shared" si="27"/>
        <v>51.714285714285708</v>
      </c>
      <c r="W35" s="39">
        <f t="shared" si="27"/>
        <v>2.2857142857142856</v>
      </c>
      <c r="X35" s="39">
        <f t="shared" si="27"/>
        <v>0.14285714285714285</v>
      </c>
      <c r="Y35" s="39">
        <f t="shared" si="27"/>
        <v>15.428571428571427</v>
      </c>
      <c r="Z35" s="39">
        <f t="shared" si="27"/>
        <v>10.285714285714286</v>
      </c>
      <c r="AA35" s="39">
        <f t="shared" si="27"/>
        <v>3.5714285714285712</v>
      </c>
      <c r="AB35" s="39">
        <f t="shared" si="27"/>
        <v>9.5714285714285712</v>
      </c>
      <c r="AC35" s="39">
        <f t="shared" si="27"/>
        <v>403.14285714285717</v>
      </c>
      <c r="AD35" s="39">
        <f t="shared" si="27"/>
        <v>0.2857142857142857</v>
      </c>
      <c r="AE35" s="40">
        <f t="shared" si="27"/>
        <v>380</v>
      </c>
      <c r="AF35" s="40">
        <f t="shared" si="27"/>
        <v>783.14285714285711</v>
      </c>
    </row>
    <row r="36" spans="2:32" ht="23.1" customHeight="1" x14ac:dyDescent="0.25">
      <c r="B36" s="24" t="s">
        <v>63</v>
      </c>
      <c r="C36" s="49">
        <f>AVERAGE('29.07 Kisaasi-Ntinda'!C36,'30.07 Kisaasi-Ntinda'!C36,'31.07 Kisaasi-Ntinda'!C36,'02.08 Kisaasi-Ntinda'!C36,'01.08 Kisaasi-Ntinda-24h'!C36,'03.08 Kisaasi-Ntinda-24h'!C36,'04.08 Kisaasi-Ntinda'!C36)</f>
        <v>25.571428571428573</v>
      </c>
      <c r="D36" s="49">
        <f>AVERAGE('29.07 Kisaasi-Ntinda'!D36,'30.07 Kisaasi-Ntinda'!D36,'31.07 Kisaasi-Ntinda'!D36,'02.08 Kisaasi-Ntinda'!D36,'01.08 Kisaasi-Ntinda-24h'!D36,'03.08 Kisaasi-Ntinda-24h'!D36,'04.08 Kisaasi-Ntinda'!D36)</f>
        <v>17.142857142857142</v>
      </c>
      <c r="E36" s="49">
        <f>AVERAGE('29.07 Kisaasi-Ntinda'!E36,'30.07 Kisaasi-Ntinda'!E36,'31.07 Kisaasi-Ntinda'!E36,'02.08 Kisaasi-Ntinda'!E36,'01.08 Kisaasi-Ntinda-24h'!E36,'03.08 Kisaasi-Ntinda-24h'!E36,'04.08 Kisaasi-Ntinda'!E36)</f>
        <v>7.1428571428571432</v>
      </c>
      <c r="F36" s="49">
        <f>AVERAGE('29.07 Kisaasi-Ntinda'!F36,'30.07 Kisaasi-Ntinda'!F36,'31.07 Kisaasi-Ntinda'!F36,'02.08 Kisaasi-Ntinda'!F36,'01.08 Kisaasi-Ntinda-24h'!F36,'03.08 Kisaasi-Ntinda-24h'!F36,'04.08 Kisaasi-Ntinda'!F36)</f>
        <v>9.7142857142857135</v>
      </c>
      <c r="G36" s="49">
        <f>AVERAGE('29.07 Kisaasi-Ntinda'!G36,'30.07 Kisaasi-Ntinda'!G36,'31.07 Kisaasi-Ntinda'!G36,'02.08 Kisaasi-Ntinda'!G36,'01.08 Kisaasi-Ntinda-24h'!G36,'03.08 Kisaasi-Ntinda-24h'!G36,'04.08 Kisaasi-Ntinda'!G36)</f>
        <v>0</v>
      </c>
      <c r="H36" s="49">
        <f>AVERAGE('29.07 Kisaasi-Ntinda'!H36,'30.07 Kisaasi-Ntinda'!H36,'31.07 Kisaasi-Ntinda'!H36,'02.08 Kisaasi-Ntinda'!H36,'01.08 Kisaasi-Ntinda-24h'!H36,'03.08 Kisaasi-Ntinda-24h'!H36,'04.08 Kisaasi-Ntinda'!H36)</f>
        <v>0</v>
      </c>
      <c r="I36" s="49">
        <f>AVERAGE('29.07 Kisaasi-Ntinda'!I36,'30.07 Kisaasi-Ntinda'!I36,'31.07 Kisaasi-Ntinda'!I36,'02.08 Kisaasi-Ntinda'!I36,'01.08 Kisaasi-Ntinda-24h'!I36,'03.08 Kisaasi-Ntinda-24h'!I36,'04.08 Kisaasi-Ntinda'!I36)</f>
        <v>3.8571428571428572</v>
      </c>
      <c r="J36" s="49">
        <f>AVERAGE('29.07 Kisaasi-Ntinda'!J36,'30.07 Kisaasi-Ntinda'!J36,'31.07 Kisaasi-Ntinda'!J36,'02.08 Kisaasi-Ntinda'!J36,'01.08 Kisaasi-Ntinda-24h'!J36,'03.08 Kisaasi-Ntinda-24h'!J36,'04.08 Kisaasi-Ntinda'!J36)</f>
        <v>2.8571428571428572</v>
      </c>
      <c r="K36" s="49">
        <f>AVERAGE('29.07 Kisaasi-Ntinda'!K36,'30.07 Kisaasi-Ntinda'!K36,'31.07 Kisaasi-Ntinda'!K36,'02.08 Kisaasi-Ntinda'!K36,'01.08 Kisaasi-Ntinda-24h'!K36,'03.08 Kisaasi-Ntinda-24h'!K36,'04.08 Kisaasi-Ntinda'!K36)</f>
        <v>1.1428571428571428</v>
      </c>
      <c r="L36" s="49">
        <f>AVERAGE('29.07 Kisaasi-Ntinda'!L36,'30.07 Kisaasi-Ntinda'!L36,'31.07 Kisaasi-Ntinda'!L36,'02.08 Kisaasi-Ntinda'!L36,'01.08 Kisaasi-Ntinda-24h'!L36,'03.08 Kisaasi-Ntinda-24h'!L36,'04.08 Kisaasi-Ntinda'!L36)</f>
        <v>2</v>
      </c>
      <c r="M36" s="49">
        <f>AVERAGE('29.07 Kisaasi-Ntinda'!M36,'30.07 Kisaasi-Ntinda'!M36,'31.07 Kisaasi-Ntinda'!M36,'02.08 Kisaasi-Ntinda'!M36,'01.08 Kisaasi-Ntinda-24h'!M36,'03.08 Kisaasi-Ntinda-24h'!M36,'04.08 Kisaasi-Ntinda'!M36)</f>
        <v>94.571428571428569</v>
      </c>
      <c r="N36" s="49">
        <f>AVERAGE('29.07 Kisaasi-Ntinda'!N36,'30.07 Kisaasi-Ntinda'!N36,'31.07 Kisaasi-Ntinda'!N36,'02.08 Kisaasi-Ntinda'!N36,'01.08 Kisaasi-Ntinda-24h'!N36,'03.08 Kisaasi-Ntinda-24h'!N36,'04.08 Kisaasi-Ntinda'!N36)</f>
        <v>0</v>
      </c>
      <c r="O36" s="15">
        <f t="shared" si="0"/>
        <v>69.428571428571431</v>
      </c>
      <c r="P36" s="15">
        <f t="shared" si="1"/>
        <v>164</v>
      </c>
      <c r="R36" s="38" t="s">
        <v>92</v>
      </c>
      <c r="S36" s="39">
        <f t="shared" ref="S36:AF36" si="28">MAX(S19:S21)</f>
        <v>162.14285714285714</v>
      </c>
      <c r="T36" s="39">
        <f t="shared" si="28"/>
        <v>105.42857142857143</v>
      </c>
      <c r="U36" s="39">
        <f t="shared" si="28"/>
        <v>44.428571428571431</v>
      </c>
      <c r="V36" s="39">
        <f t="shared" si="28"/>
        <v>53.999999999999993</v>
      </c>
      <c r="W36" s="39">
        <f t="shared" si="28"/>
        <v>1.1428571428571428</v>
      </c>
      <c r="X36" s="39">
        <f t="shared" si="28"/>
        <v>0</v>
      </c>
      <c r="Y36" s="39">
        <f t="shared" si="28"/>
        <v>12.142857142857144</v>
      </c>
      <c r="Z36" s="39">
        <f t="shared" si="28"/>
        <v>8.5714285714285712</v>
      </c>
      <c r="AA36" s="39">
        <f t="shared" si="28"/>
        <v>5.2857142857142847</v>
      </c>
      <c r="AB36" s="39">
        <f t="shared" si="28"/>
        <v>6</v>
      </c>
      <c r="AC36" s="39">
        <f t="shared" si="28"/>
        <v>393.42857142857144</v>
      </c>
      <c r="AD36" s="39">
        <f t="shared" si="28"/>
        <v>0.2857142857142857</v>
      </c>
      <c r="AE36" s="40">
        <f t="shared" si="28"/>
        <v>391.99999999999989</v>
      </c>
      <c r="AF36" s="40">
        <f t="shared" si="28"/>
        <v>785.42857142857133</v>
      </c>
    </row>
    <row r="37" spans="2:32" ht="23.1" customHeight="1" x14ac:dyDescent="0.25">
      <c r="B37" s="23" t="s">
        <v>64</v>
      </c>
      <c r="C37" s="49">
        <f>AVERAGE('29.07 Kisaasi-Ntinda'!C37,'30.07 Kisaasi-Ntinda'!C37,'31.07 Kisaasi-Ntinda'!C37,'02.08 Kisaasi-Ntinda'!C37,'01.08 Kisaasi-Ntinda-24h'!C37,'03.08 Kisaasi-Ntinda-24h'!C37,'04.08 Kisaasi-Ntinda'!C37)</f>
        <v>23</v>
      </c>
      <c r="D37" s="49">
        <f>AVERAGE('29.07 Kisaasi-Ntinda'!D37,'30.07 Kisaasi-Ntinda'!D37,'31.07 Kisaasi-Ntinda'!D37,'02.08 Kisaasi-Ntinda'!D37,'01.08 Kisaasi-Ntinda-24h'!D37,'03.08 Kisaasi-Ntinda-24h'!D37,'04.08 Kisaasi-Ntinda'!D37)</f>
        <v>16.428571428571427</v>
      </c>
      <c r="E37" s="49">
        <f>AVERAGE('29.07 Kisaasi-Ntinda'!E37,'30.07 Kisaasi-Ntinda'!E37,'31.07 Kisaasi-Ntinda'!E37,'02.08 Kisaasi-Ntinda'!E37,'01.08 Kisaasi-Ntinda-24h'!E37,'03.08 Kisaasi-Ntinda-24h'!E37,'04.08 Kisaasi-Ntinda'!E37)</f>
        <v>9.4285714285714288</v>
      </c>
      <c r="F37" s="49">
        <f>AVERAGE('29.07 Kisaasi-Ntinda'!F37,'30.07 Kisaasi-Ntinda'!F37,'31.07 Kisaasi-Ntinda'!F37,'02.08 Kisaasi-Ntinda'!F37,'01.08 Kisaasi-Ntinda-24h'!F37,'03.08 Kisaasi-Ntinda-24h'!F37,'04.08 Kisaasi-Ntinda'!F37)</f>
        <v>7.8571428571428568</v>
      </c>
      <c r="G37" s="49">
        <f>AVERAGE('29.07 Kisaasi-Ntinda'!G37,'30.07 Kisaasi-Ntinda'!G37,'31.07 Kisaasi-Ntinda'!G37,'02.08 Kisaasi-Ntinda'!G37,'01.08 Kisaasi-Ntinda-24h'!G37,'03.08 Kisaasi-Ntinda-24h'!G37,'04.08 Kisaasi-Ntinda'!G37)</f>
        <v>0</v>
      </c>
      <c r="H37" s="49">
        <f>AVERAGE('29.07 Kisaasi-Ntinda'!H37,'30.07 Kisaasi-Ntinda'!H37,'31.07 Kisaasi-Ntinda'!H37,'02.08 Kisaasi-Ntinda'!H37,'01.08 Kisaasi-Ntinda-24h'!H37,'03.08 Kisaasi-Ntinda-24h'!H37,'04.08 Kisaasi-Ntinda'!H37)</f>
        <v>0</v>
      </c>
      <c r="I37" s="49">
        <f>AVERAGE('29.07 Kisaasi-Ntinda'!I37,'30.07 Kisaasi-Ntinda'!I37,'31.07 Kisaasi-Ntinda'!I37,'02.08 Kisaasi-Ntinda'!I37,'01.08 Kisaasi-Ntinda-24h'!I37,'03.08 Kisaasi-Ntinda-24h'!I37,'04.08 Kisaasi-Ntinda'!I37)</f>
        <v>2.5714285714285716</v>
      </c>
      <c r="J37" s="49">
        <f>AVERAGE('29.07 Kisaasi-Ntinda'!J37,'30.07 Kisaasi-Ntinda'!J37,'31.07 Kisaasi-Ntinda'!J37,'02.08 Kisaasi-Ntinda'!J37,'01.08 Kisaasi-Ntinda-24h'!J37,'03.08 Kisaasi-Ntinda-24h'!J37,'04.08 Kisaasi-Ntinda'!J37)</f>
        <v>2.5714285714285716</v>
      </c>
      <c r="K37" s="49">
        <f>AVERAGE('29.07 Kisaasi-Ntinda'!K37,'30.07 Kisaasi-Ntinda'!K37,'31.07 Kisaasi-Ntinda'!K37,'02.08 Kisaasi-Ntinda'!K37,'01.08 Kisaasi-Ntinda-24h'!K37,'03.08 Kisaasi-Ntinda-24h'!K37,'04.08 Kisaasi-Ntinda'!K37)</f>
        <v>0.5714285714285714</v>
      </c>
      <c r="L37" s="49">
        <f>AVERAGE('29.07 Kisaasi-Ntinda'!L37,'30.07 Kisaasi-Ntinda'!L37,'31.07 Kisaasi-Ntinda'!L37,'02.08 Kisaasi-Ntinda'!L37,'01.08 Kisaasi-Ntinda-24h'!L37,'03.08 Kisaasi-Ntinda-24h'!L37,'04.08 Kisaasi-Ntinda'!L37)</f>
        <v>2.1428571428571428</v>
      </c>
      <c r="M37" s="49">
        <f>AVERAGE('29.07 Kisaasi-Ntinda'!M37,'30.07 Kisaasi-Ntinda'!M37,'31.07 Kisaasi-Ntinda'!M37,'02.08 Kisaasi-Ntinda'!M37,'01.08 Kisaasi-Ntinda-24h'!M37,'03.08 Kisaasi-Ntinda-24h'!M37,'04.08 Kisaasi-Ntinda'!M37)</f>
        <v>78.571428571428569</v>
      </c>
      <c r="N37" s="49">
        <f>AVERAGE('29.07 Kisaasi-Ntinda'!N37,'30.07 Kisaasi-Ntinda'!N37,'31.07 Kisaasi-Ntinda'!N37,'02.08 Kisaasi-Ntinda'!N37,'01.08 Kisaasi-Ntinda-24h'!N37,'03.08 Kisaasi-Ntinda-24h'!N37,'04.08 Kisaasi-Ntinda'!N37)</f>
        <v>0</v>
      </c>
      <c r="O37" s="15">
        <f t="shared" si="0"/>
        <v>64.571428571428569</v>
      </c>
      <c r="P37" s="15">
        <f t="shared" si="1"/>
        <v>143.14285714285714</v>
      </c>
      <c r="R37" s="37" t="s">
        <v>85</v>
      </c>
      <c r="S37" s="35">
        <f t="shared" ref="S37:AF37" si="29">SUM(S10:S12)</f>
        <v>689</v>
      </c>
      <c r="T37" s="16">
        <f t="shared" si="29"/>
        <v>437.85714285714289</v>
      </c>
      <c r="U37" s="16">
        <f t="shared" si="29"/>
        <v>124</v>
      </c>
      <c r="V37" s="16">
        <f t="shared" si="29"/>
        <v>164.85714285714286</v>
      </c>
      <c r="W37" s="16">
        <f t="shared" si="29"/>
        <v>4.2857142857142856</v>
      </c>
      <c r="X37" s="16">
        <f t="shared" si="29"/>
        <v>0</v>
      </c>
      <c r="Y37" s="16">
        <f t="shared" si="29"/>
        <v>44.142857142857153</v>
      </c>
      <c r="Z37" s="16">
        <f t="shared" si="29"/>
        <v>21</v>
      </c>
      <c r="AA37" s="16">
        <f t="shared" si="29"/>
        <v>4.5714285714285712</v>
      </c>
      <c r="AB37" s="16">
        <f t="shared" si="29"/>
        <v>10.428571428571429</v>
      </c>
      <c r="AC37" s="16">
        <f t="shared" si="29"/>
        <v>1520.4285714285716</v>
      </c>
      <c r="AD37" s="16">
        <f t="shared" si="29"/>
        <v>0.14285714285714285</v>
      </c>
      <c r="AE37" s="32">
        <f t="shared" si="29"/>
        <v>1500.2857142857144</v>
      </c>
      <c r="AF37" s="32">
        <f t="shared" si="29"/>
        <v>3020.7142857142862</v>
      </c>
    </row>
    <row r="38" spans="2:32" ht="23.1" customHeight="1" x14ac:dyDescent="0.25">
      <c r="B38" s="24" t="s">
        <v>65</v>
      </c>
      <c r="C38" s="49">
        <f>AVERAGE('29.07 Kisaasi-Ntinda'!C38,'30.07 Kisaasi-Ntinda'!C38,'31.07 Kisaasi-Ntinda'!C38,'02.08 Kisaasi-Ntinda'!C38,'01.08 Kisaasi-Ntinda-24h'!C38,'03.08 Kisaasi-Ntinda-24h'!C38,'04.08 Kisaasi-Ntinda'!C38)</f>
        <v>33.571428571428569</v>
      </c>
      <c r="D38" s="49">
        <f>AVERAGE('29.07 Kisaasi-Ntinda'!D38,'30.07 Kisaasi-Ntinda'!D38,'31.07 Kisaasi-Ntinda'!D38,'02.08 Kisaasi-Ntinda'!D38,'01.08 Kisaasi-Ntinda-24h'!D38,'03.08 Kisaasi-Ntinda-24h'!D38,'04.08 Kisaasi-Ntinda'!D38)</f>
        <v>21.428571428571427</v>
      </c>
      <c r="E38" s="49">
        <f>AVERAGE('29.07 Kisaasi-Ntinda'!E38,'30.07 Kisaasi-Ntinda'!E38,'31.07 Kisaasi-Ntinda'!E38,'02.08 Kisaasi-Ntinda'!E38,'01.08 Kisaasi-Ntinda-24h'!E38,'03.08 Kisaasi-Ntinda-24h'!E38,'04.08 Kisaasi-Ntinda'!E38)</f>
        <v>9.4285714285714288</v>
      </c>
      <c r="F38" s="49">
        <f>AVERAGE('29.07 Kisaasi-Ntinda'!F38,'30.07 Kisaasi-Ntinda'!F38,'31.07 Kisaasi-Ntinda'!F38,'02.08 Kisaasi-Ntinda'!F38,'01.08 Kisaasi-Ntinda-24h'!F38,'03.08 Kisaasi-Ntinda-24h'!F38,'04.08 Kisaasi-Ntinda'!F38)</f>
        <v>13.571428571428571</v>
      </c>
      <c r="G38" s="49">
        <f>AVERAGE('29.07 Kisaasi-Ntinda'!G38,'30.07 Kisaasi-Ntinda'!G38,'31.07 Kisaasi-Ntinda'!G38,'02.08 Kisaasi-Ntinda'!G38,'01.08 Kisaasi-Ntinda-24h'!G38,'03.08 Kisaasi-Ntinda-24h'!G38,'04.08 Kisaasi-Ntinda'!G38)</f>
        <v>0</v>
      </c>
      <c r="H38" s="49">
        <f>AVERAGE('29.07 Kisaasi-Ntinda'!H38,'30.07 Kisaasi-Ntinda'!H38,'31.07 Kisaasi-Ntinda'!H38,'02.08 Kisaasi-Ntinda'!H38,'01.08 Kisaasi-Ntinda-24h'!H38,'03.08 Kisaasi-Ntinda-24h'!H38,'04.08 Kisaasi-Ntinda'!H38)</f>
        <v>0</v>
      </c>
      <c r="I38" s="49">
        <f>AVERAGE('29.07 Kisaasi-Ntinda'!I38,'30.07 Kisaasi-Ntinda'!I38,'31.07 Kisaasi-Ntinda'!I38,'02.08 Kisaasi-Ntinda'!I38,'01.08 Kisaasi-Ntinda-24h'!I38,'03.08 Kisaasi-Ntinda-24h'!I38,'04.08 Kisaasi-Ntinda'!I38)</f>
        <v>4.5</v>
      </c>
      <c r="J38" s="49">
        <f>AVERAGE('29.07 Kisaasi-Ntinda'!J38,'30.07 Kisaasi-Ntinda'!J38,'31.07 Kisaasi-Ntinda'!J38,'02.08 Kisaasi-Ntinda'!J38,'01.08 Kisaasi-Ntinda-24h'!J38,'03.08 Kisaasi-Ntinda-24h'!J38,'04.08 Kisaasi-Ntinda'!J38)</f>
        <v>3.8571428571428572</v>
      </c>
      <c r="K38" s="49">
        <f>AVERAGE('29.07 Kisaasi-Ntinda'!K38,'30.07 Kisaasi-Ntinda'!K38,'31.07 Kisaasi-Ntinda'!K38,'02.08 Kisaasi-Ntinda'!K38,'01.08 Kisaasi-Ntinda-24h'!K38,'03.08 Kisaasi-Ntinda-24h'!K38,'04.08 Kisaasi-Ntinda'!K38)</f>
        <v>1</v>
      </c>
      <c r="L38" s="49">
        <f>AVERAGE('29.07 Kisaasi-Ntinda'!L38,'30.07 Kisaasi-Ntinda'!L38,'31.07 Kisaasi-Ntinda'!L38,'02.08 Kisaasi-Ntinda'!L38,'01.08 Kisaasi-Ntinda-24h'!L38,'03.08 Kisaasi-Ntinda-24h'!L38,'04.08 Kisaasi-Ntinda'!L38)</f>
        <v>1.2857142857142858</v>
      </c>
      <c r="M38" s="49">
        <f>AVERAGE('29.07 Kisaasi-Ntinda'!M38,'30.07 Kisaasi-Ntinda'!M38,'31.07 Kisaasi-Ntinda'!M38,'02.08 Kisaasi-Ntinda'!M38,'01.08 Kisaasi-Ntinda-24h'!M38,'03.08 Kisaasi-Ntinda-24h'!M38,'04.08 Kisaasi-Ntinda'!M38)</f>
        <v>87.142857142857139</v>
      </c>
      <c r="N38" s="49">
        <f>AVERAGE('29.07 Kisaasi-Ntinda'!N38,'30.07 Kisaasi-Ntinda'!N38,'31.07 Kisaasi-Ntinda'!N38,'02.08 Kisaasi-Ntinda'!N38,'01.08 Kisaasi-Ntinda-24h'!N38,'03.08 Kisaasi-Ntinda-24h'!N38,'04.08 Kisaasi-Ntinda'!N38)</f>
        <v>0</v>
      </c>
      <c r="O38" s="15">
        <f t="shared" si="0"/>
        <v>88.642857142857153</v>
      </c>
      <c r="P38" s="15">
        <f t="shared" si="1"/>
        <v>175.78571428571428</v>
      </c>
      <c r="R38" s="28" t="s">
        <v>86</v>
      </c>
      <c r="S38" s="16">
        <f t="shared" ref="S38:AF38" si="30">SUM(S13:S18)</f>
        <v>837.71428571428578</v>
      </c>
      <c r="T38" s="16">
        <f t="shared" si="30"/>
        <v>537.57142857142856</v>
      </c>
      <c r="U38" s="16">
        <f t="shared" si="30"/>
        <v>213</v>
      </c>
      <c r="V38" s="16">
        <f t="shared" si="30"/>
        <v>253.42857142857144</v>
      </c>
      <c r="W38" s="16">
        <f t="shared" si="30"/>
        <v>3.8571428571428568</v>
      </c>
      <c r="X38" s="16">
        <f t="shared" si="30"/>
        <v>0.14285714285714285</v>
      </c>
      <c r="Y38" s="16">
        <f t="shared" si="30"/>
        <v>83.357142857142861</v>
      </c>
      <c r="Z38" s="16">
        <f t="shared" si="30"/>
        <v>54.571428571428569</v>
      </c>
      <c r="AA38" s="16">
        <f t="shared" si="30"/>
        <v>16.714285714285712</v>
      </c>
      <c r="AB38" s="16">
        <f t="shared" si="30"/>
        <v>38.714285714285715</v>
      </c>
      <c r="AC38" s="16">
        <f t="shared" si="30"/>
        <v>2228.4285714285716</v>
      </c>
      <c r="AD38" s="16">
        <f t="shared" si="30"/>
        <v>0.42857142857142855</v>
      </c>
      <c r="AE38" s="32">
        <f t="shared" si="30"/>
        <v>2039.5</v>
      </c>
      <c r="AF38" s="32">
        <f t="shared" si="30"/>
        <v>4267.9285714285706</v>
      </c>
    </row>
    <row r="39" spans="2:32" ht="23.1" customHeight="1" x14ac:dyDescent="0.25">
      <c r="B39" s="24" t="s">
        <v>66</v>
      </c>
      <c r="C39" s="49">
        <f>AVERAGE('29.07 Kisaasi-Ntinda'!C39,'30.07 Kisaasi-Ntinda'!C39,'31.07 Kisaasi-Ntinda'!C39,'02.08 Kisaasi-Ntinda'!C39,'01.08 Kisaasi-Ntinda-24h'!C39,'03.08 Kisaasi-Ntinda-24h'!C39,'04.08 Kisaasi-Ntinda'!C39)</f>
        <v>31.285714285714285</v>
      </c>
      <c r="D39" s="49">
        <f>AVERAGE('29.07 Kisaasi-Ntinda'!D39,'30.07 Kisaasi-Ntinda'!D39,'31.07 Kisaasi-Ntinda'!D39,'02.08 Kisaasi-Ntinda'!D39,'01.08 Kisaasi-Ntinda-24h'!D39,'03.08 Kisaasi-Ntinda-24h'!D39,'04.08 Kisaasi-Ntinda'!D39)</f>
        <v>17.428571428571427</v>
      </c>
      <c r="E39" s="49">
        <f>AVERAGE('29.07 Kisaasi-Ntinda'!E39,'30.07 Kisaasi-Ntinda'!E39,'31.07 Kisaasi-Ntinda'!E39,'02.08 Kisaasi-Ntinda'!E39,'01.08 Kisaasi-Ntinda-24h'!E39,'03.08 Kisaasi-Ntinda-24h'!E39,'04.08 Kisaasi-Ntinda'!E39)</f>
        <v>8.5714285714285712</v>
      </c>
      <c r="F39" s="49">
        <f>AVERAGE('29.07 Kisaasi-Ntinda'!F39,'30.07 Kisaasi-Ntinda'!F39,'31.07 Kisaasi-Ntinda'!F39,'02.08 Kisaasi-Ntinda'!F39,'01.08 Kisaasi-Ntinda-24h'!F39,'03.08 Kisaasi-Ntinda-24h'!F39,'04.08 Kisaasi-Ntinda'!F39)</f>
        <v>11.428571428571429</v>
      </c>
      <c r="G39" s="49">
        <f>AVERAGE('29.07 Kisaasi-Ntinda'!G39,'30.07 Kisaasi-Ntinda'!G39,'31.07 Kisaasi-Ntinda'!G39,'02.08 Kisaasi-Ntinda'!G39,'01.08 Kisaasi-Ntinda-24h'!G39,'03.08 Kisaasi-Ntinda-24h'!G39,'04.08 Kisaasi-Ntinda'!G39)</f>
        <v>1.1428571428571428</v>
      </c>
      <c r="H39" s="49">
        <f>AVERAGE('29.07 Kisaasi-Ntinda'!H39,'30.07 Kisaasi-Ntinda'!H39,'31.07 Kisaasi-Ntinda'!H39,'02.08 Kisaasi-Ntinda'!H39,'01.08 Kisaasi-Ntinda-24h'!H39,'03.08 Kisaasi-Ntinda-24h'!H39,'04.08 Kisaasi-Ntinda'!H39)</f>
        <v>0</v>
      </c>
      <c r="I39" s="49">
        <f>AVERAGE('29.07 Kisaasi-Ntinda'!I39,'30.07 Kisaasi-Ntinda'!I39,'31.07 Kisaasi-Ntinda'!I39,'02.08 Kisaasi-Ntinda'!I39,'01.08 Kisaasi-Ntinda-24h'!I39,'03.08 Kisaasi-Ntinda-24h'!I39,'04.08 Kisaasi-Ntinda'!I39)</f>
        <v>3.7142857142857144</v>
      </c>
      <c r="J39" s="49">
        <f>AVERAGE('29.07 Kisaasi-Ntinda'!J39,'30.07 Kisaasi-Ntinda'!J39,'31.07 Kisaasi-Ntinda'!J39,'02.08 Kisaasi-Ntinda'!J39,'01.08 Kisaasi-Ntinda-24h'!J39,'03.08 Kisaasi-Ntinda-24h'!J39,'04.08 Kisaasi-Ntinda'!J39)</f>
        <v>2.8571428571428572</v>
      </c>
      <c r="K39" s="49">
        <f>AVERAGE('29.07 Kisaasi-Ntinda'!K39,'30.07 Kisaasi-Ntinda'!K39,'31.07 Kisaasi-Ntinda'!K39,'02.08 Kisaasi-Ntinda'!K39,'01.08 Kisaasi-Ntinda-24h'!K39,'03.08 Kisaasi-Ntinda-24h'!K39,'04.08 Kisaasi-Ntinda'!K39)</f>
        <v>1.2857142857142858</v>
      </c>
      <c r="L39" s="49">
        <f>AVERAGE('29.07 Kisaasi-Ntinda'!L39,'30.07 Kisaasi-Ntinda'!L39,'31.07 Kisaasi-Ntinda'!L39,'02.08 Kisaasi-Ntinda'!L39,'01.08 Kisaasi-Ntinda-24h'!L39,'03.08 Kisaasi-Ntinda-24h'!L39,'04.08 Kisaasi-Ntinda'!L39)</f>
        <v>1.2857142857142858</v>
      </c>
      <c r="M39" s="49">
        <f>AVERAGE('29.07 Kisaasi-Ntinda'!M39,'30.07 Kisaasi-Ntinda'!M39,'31.07 Kisaasi-Ntinda'!M39,'02.08 Kisaasi-Ntinda'!M39,'01.08 Kisaasi-Ntinda-24h'!M39,'03.08 Kisaasi-Ntinda-24h'!M39,'04.08 Kisaasi-Ntinda'!M39)</f>
        <v>83.857142857142861</v>
      </c>
      <c r="N39" s="49">
        <f>AVERAGE('29.07 Kisaasi-Ntinda'!N39,'30.07 Kisaasi-Ntinda'!N39,'31.07 Kisaasi-Ntinda'!N39,'02.08 Kisaasi-Ntinda'!N39,'01.08 Kisaasi-Ntinda-24h'!N39,'03.08 Kisaasi-Ntinda-24h'!N39,'04.08 Kisaasi-Ntinda'!N39)</f>
        <v>0</v>
      </c>
      <c r="O39" s="15">
        <f t="shared" si="0"/>
        <v>79</v>
      </c>
      <c r="P39" s="15">
        <f t="shared" si="1"/>
        <v>162.85714285714286</v>
      </c>
      <c r="R39" s="29" t="s">
        <v>87</v>
      </c>
      <c r="S39" s="16">
        <f t="shared" ref="S39:AF39" si="31">SUM(S19:S21)</f>
        <v>447.42857142857139</v>
      </c>
      <c r="T39" s="16">
        <f t="shared" si="31"/>
        <v>293.14285714285717</v>
      </c>
      <c r="U39" s="16">
        <f t="shared" si="31"/>
        <v>127.14285714285714</v>
      </c>
      <c r="V39" s="16">
        <f t="shared" si="31"/>
        <v>155.28571428571428</v>
      </c>
      <c r="W39" s="16">
        <f t="shared" si="31"/>
        <v>2.4285714285714284</v>
      </c>
      <c r="X39" s="16">
        <f t="shared" si="31"/>
        <v>0</v>
      </c>
      <c r="Y39" s="16">
        <f t="shared" si="31"/>
        <v>32.142857142857139</v>
      </c>
      <c r="Z39" s="16">
        <f t="shared" si="31"/>
        <v>22.142857142857142</v>
      </c>
      <c r="AA39" s="16">
        <f t="shared" si="31"/>
        <v>11.714285714285714</v>
      </c>
      <c r="AB39" s="16">
        <f t="shared" si="31"/>
        <v>13.285714285714285</v>
      </c>
      <c r="AC39" s="16">
        <f t="shared" si="31"/>
        <v>1131.7142857142858</v>
      </c>
      <c r="AD39" s="16">
        <f t="shared" si="31"/>
        <v>0.42857142857142855</v>
      </c>
      <c r="AE39" s="32">
        <f t="shared" si="31"/>
        <v>1105.1428571428569</v>
      </c>
      <c r="AF39" s="32">
        <f t="shared" si="31"/>
        <v>2236.8571428571431</v>
      </c>
    </row>
    <row r="40" spans="2:32" ht="23.1" customHeight="1" x14ac:dyDescent="0.25">
      <c r="B40" s="24" t="s">
        <v>67</v>
      </c>
      <c r="C40" s="49">
        <f>AVERAGE('29.07 Kisaasi-Ntinda'!C40,'30.07 Kisaasi-Ntinda'!C40,'31.07 Kisaasi-Ntinda'!C40,'02.08 Kisaasi-Ntinda'!C40,'01.08 Kisaasi-Ntinda-24h'!C40,'03.08 Kisaasi-Ntinda-24h'!C40,'04.08 Kisaasi-Ntinda'!C40)</f>
        <v>37.285714285714285</v>
      </c>
      <c r="D40" s="49">
        <f>AVERAGE('29.07 Kisaasi-Ntinda'!D40,'30.07 Kisaasi-Ntinda'!D40,'31.07 Kisaasi-Ntinda'!D40,'02.08 Kisaasi-Ntinda'!D40,'01.08 Kisaasi-Ntinda-24h'!D40,'03.08 Kisaasi-Ntinda-24h'!D40,'04.08 Kisaasi-Ntinda'!D40)</f>
        <v>21.571428571428573</v>
      </c>
      <c r="E40" s="49">
        <f>AVERAGE('29.07 Kisaasi-Ntinda'!E40,'30.07 Kisaasi-Ntinda'!E40,'31.07 Kisaasi-Ntinda'!E40,'02.08 Kisaasi-Ntinda'!E40,'01.08 Kisaasi-Ntinda-24h'!E40,'03.08 Kisaasi-Ntinda-24h'!E40,'04.08 Kisaasi-Ntinda'!E40)</f>
        <v>9.4285714285714288</v>
      </c>
      <c r="F40" s="49">
        <f>AVERAGE('29.07 Kisaasi-Ntinda'!F40,'30.07 Kisaasi-Ntinda'!F40,'31.07 Kisaasi-Ntinda'!F40,'02.08 Kisaasi-Ntinda'!F40,'01.08 Kisaasi-Ntinda-24h'!F40,'03.08 Kisaasi-Ntinda-24h'!F40,'04.08 Kisaasi-Ntinda'!F40)</f>
        <v>9.4285714285714288</v>
      </c>
      <c r="G40" s="49">
        <f>AVERAGE('29.07 Kisaasi-Ntinda'!G40,'30.07 Kisaasi-Ntinda'!G40,'31.07 Kisaasi-Ntinda'!G40,'02.08 Kisaasi-Ntinda'!G40,'01.08 Kisaasi-Ntinda-24h'!G40,'03.08 Kisaasi-Ntinda-24h'!G40,'04.08 Kisaasi-Ntinda'!G40)</f>
        <v>0.7142857142857143</v>
      </c>
      <c r="H40" s="49">
        <f>AVERAGE('29.07 Kisaasi-Ntinda'!H40,'30.07 Kisaasi-Ntinda'!H40,'31.07 Kisaasi-Ntinda'!H40,'02.08 Kisaasi-Ntinda'!H40,'01.08 Kisaasi-Ntinda-24h'!H40,'03.08 Kisaasi-Ntinda-24h'!H40,'04.08 Kisaasi-Ntinda'!H40)</f>
        <v>0</v>
      </c>
      <c r="I40" s="49">
        <f>AVERAGE('29.07 Kisaasi-Ntinda'!I40,'30.07 Kisaasi-Ntinda'!I40,'31.07 Kisaasi-Ntinda'!I40,'02.08 Kisaasi-Ntinda'!I40,'01.08 Kisaasi-Ntinda-24h'!I40,'03.08 Kisaasi-Ntinda-24h'!I40,'04.08 Kisaasi-Ntinda'!I40)</f>
        <v>2.8571428571428572</v>
      </c>
      <c r="J40" s="49">
        <f>AVERAGE('29.07 Kisaasi-Ntinda'!J40,'30.07 Kisaasi-Ntinda'!J40,'31.07 Kisaasi-Ntinda'!J40,'02.08 Kisaasi-Ntinda'!J40,'01.08 Kisaasi-Ntinda-24h'!J40,'03.08 Kisaasi-Ntinda-24h'!J40,'04.08 Kisaasi-Ntinda'!J40)</f>
        <v>2.1428571428571428</v>
      </c>
      <c r="K40" s="49">
        <f>AVERAGE('29.07 Kisaasi-Ntinda'!K40,'30.07 Kisaasi-Ntinda'!K40,'31.07 Kisaasi-Ntinda'!K40,'02.08 Kisaasi-Ntinda'!K40,'01.08 Kisaasi-Ntinda-24h'!K40,'03.08 Kisaasi-Ntinda-24h'!K40,'04.08 Kisaasi-Ntinda'!K40)</f>
        <v>0.5714285714285714</v>
      </c>
      <c r="L40" s="49">
        <f>AVERAGE('29.07 Kisaasi-Ntinda'!L40,'30.07 Kisaasi-Ntinda'!L40,'31.07 Kisaasi-Ntinda'!L40,'02.08 Kisaasi-Ntinda'!L40,'01.08 Kisaasi-Ntinda-24h'!L40,'03.08 Kisaasi-Ntinda-24h'!L40,'04.08 Kisaasi-Ntinda'!L40)</f>
        <v>1.7142857142857142</v>
      </c>
      <c r="M40" s="49">
        <f>AVERAGE('29.07 Kisaasi-Ntinda'!M40,'30.07 Kisaasi-Ntinda'!M40,'31.07 Kisaasi-Ntinda'!M40,'02.08 Kisaasi-Ntinda'!M40,'01.08 Kisaasi-Ntinda-24h'!M40,'03.08 Kisaasi-Ntinda-24h'!M40,'04.08 Kisaasi-Ntinda'!M40)</f>
        <v>86.285714285714292</v>
      </c>
      <c r="N40" s="49">
        <f>AVERAGE('29.07 Kisaasi-Ntinda'!N40,'30.07 Kisaasi-Ntinda'!N40,'31.07 Kisaasi-Ntinda'!N40,'02.08 Kisaasi-Ntinda'!N40,'01.08 Kisaasi-Ntinda-24h'!N40,'03.08 Kisaasi-Ntinda-24h'!N40,'04.08 Kisaasi-Ntinda'!N40)</f>
        <v>0</v>
      </c>
      <c r="O40" s="15">
        <f t="shared" si="0"/>
        <v>85.714285714285708</v>
      </c>
      <c r="P40" s="15">
        <f t="shared" si="1"/>
        <v>172</v>
      </c>
      <c r="R40" s="5" t="s">
        <v>17</v>
      </c>
      <c r="S40" s="16">
        <f t="shared" ref="S40:AF40" si="32">SUM(S10:S21)</f>
        <v>1974.1428571428571</v>
      </c>
      <c r="T40" s="16">
        <f t="shared" si="32"/>
        <v>1268.5714285714284</v>
      </c>
      <c r="U40" s="16">
        <f t="shared" si="32"/>
        <v>464.14285714285711</v>
      </c>
      <c r="V40" s="16">
        <f t="shared" si="32"/>
        <v>573.57142857142867</v>
      </c>
      <c r="W40" s="16">
        <f t="shared" si="32"/>
        <v>10.571428571428571</v>
      </c>
      <c r="X40" s="16">
        <f t="shared" si="32"/>
        <v>0.14285714285714285</v>
      </c>
      <c r="Y40" s="16">
        <f t="shared" si="32"/>
        <v>159.64285714285711</v>
      </c>
      <c r="Z40" s="16">
        <f t="shared" si="32"/>
        <v>97.714285714285708</v>
      </c>
      <c r="AA40" s="16">
        <f t="shared" si="32"/>
        <v>33</v>
      </c>
      <c r="AB40" s="16">
        <f t="shared" si="32"/>
        <v>62.428571428571423</v>
      </c>
      <c r="AC40" s="16">
        <f t="shared" si="32"/>
        <v>4880.5714285714284</v>
      </c>
      <c r="AD40" s="16">
        <f t="shared" si="32"/>
        <v>1</v>
      </c>
      <c r="AE40" s="32">
        <f t="shared" si="32"/>
        <v>4644.9285714285716</v>
      </c>
      <c r="AF40" s="32">
        <f t="shared" si="32"/>
        <v>9525.5</v>
      </c>
    </row>
    <row r="41" spans="2:32" ht="23.1" customHeight="1" x14ac:dyDescent="0.25">
      <c r="B41" s="23" t="s">
        <v>68</v>
      </c>
      <c r="C41" s="49">
        <f>AVERAGE('29.07 Kisaasi-Ntinda'!C41,'30.07 Kisaasi-Ntinda'!C41,'31.07 Kisaasi-Ntinda'!C41,'02.08 Kisaasi-Ntinda'!C41,'01.08 Kisaasi-Ntinda-24h'!C41,'03.08 Kisaasi-Ntinda-24h'!C41,'04.08 Kisaasi-Ntinda'!C41)</f>
        <v>34</v>
      </c>
      <c r="D41" s="49">
        <f>AVERAGE('29.07 Kisaasi-Ntinda'!D41,'30.07 Kisaasi-Ntinda'!D41,'31.07 Kisaasi-Ntinda'!D41,'02.08 Kisaasi-Ntinda'!D41,'01.08 Kisaasi-Ntinda-24h'!D41,'03.08 Kisaasi-Ntinda-24h'!D41,'04.08 Kisaasi-Ntinda'!D41)</f>
        <v>19.285714285714285</v>
      </c>
      <c r="E41" s="49">
        <f>AVERAGE('29.07 Kisaasi-Ntinda'!E41,'30.07 Kisaasi-Ntinda'!E41,'31.07 Kisaasi-Ntinda'!E41,'02.08 Kisaasi-Ntinda'!E41,'01.08 Kisaasi-Ntinda-24h'!E41,'03.08 Kisaasi-Ntinda-24h'!E41,'04.08 Kisaasi-Ntinda'!E41)</f>
        <v>8.2857142857142865</v>
      </c>
      <c r="F41" s="49">
        <f>AVERAGE('29.07 Kisaasi-Ntinda'!F41,'30.07 Kisaasi-Ntinda'!F41,'31.07 Kisaasi-Ntinda'!F41,'02.08 Kisaasi-Ntinda'!F41,'01.08 Kisaasi-Ntinda-24h'!F41,'03.08 Kisaasi-Ntinda-24h'!F41,'04.08 Kisaasi-Ntinda'!F41)</f>
        <v>8.1428571428571423</v>
      </c>
      <c r="G41" s="49">
        <f>AVERAGE('29.07 Kisaasi-Ntinda'!G41,'30.07 Kisaasi-Ntinda'!G41,'31.07 Kisaasi-Ntinda'!G41,'02.08 Kisaasi-Ntinda'!G41,'01.08 Kisaasi-Ntinda-24h'!G41,'03.08 Kisaasi-Ntinda-24h'!G41,'04.08 Kisaasi-Ntinda'!G41)</f>
        <v>0.42857142857142855</v>
      </c>
      <c r="H41" s="49">
        <f>AVERAGE('29.07 Kisaasi-Ntinda'!H41,'30.07 Kisaasi-Ntinda'!H41,'31.07 Kisaasi-Ntinda'!H41,'02.08 Kisaasi-Ntinda'!H41,'01.08 Kisaasi-Ntinda-24h'!H41,'03.08 Kisaasi-Ntinda-24h'!H41,'04.08 Kisaasi-Ntinda'!H41)</f>
        <v>0</v>
      </c>
      <c r="I41" s="49">
        <f>AVERAGE('29.07 Kisaasi-Ntinda'!I41,'30.07 Kisaasi-Ntinda'!I41,'31.07 Kisaasi-Ntinda'!I41,'02.08 Kisaasi-Ntinda'!I41,'01.08 Kisaasi-Ntinda-24h'!I41,'03.08 Kisaasi-Ntinda-24h'!I41,'04.08 Kisaasi-Ntinda'!I41)</f>
        <v>3.1428571428571428</v>
      </c>
      <c r="J41" s="49">
        <f>AVERAGE('29.07 Kisaasi-Ntinda'!J41,'30.07 Kisaasi-Ntinda'!J41,'31.07 Kisaasi-Ntinda'!J41,'02.08 Kisaasi-Ntinda'!J41,'01.08 Kisaasi-Ntinda-24h'!J41,'03.08 Kisaasi-Ntinda-24h'!J41,'04.08 Kisaasi-Ntinda'!J41)</f>
        <v>1.4285714285714286</v>
      </c>
      <c r="K41" s="49">
        <f>AVERAGE('29.07 Kisaasi-Ntinda'!K41,'30.07 Kisaasi-Ntinda'!K41,'31.07 Kisaasi-Ntinda'!K41,'02.08 Kisaasi-Ntinda'!K41,'01.08 Kisaasi-Ntinda-24h'!K41,'03.08 Kisaasi-Ntinda-24h'!K41,'04.08 Kisaasi-Ntinda'!K41)</f>
        <v>0.7142857142857143</v>
      </c>
      <c r="L41" s="49">
        <f>AVERAGE('29.07 Kisaasi-Ntinda'!L41,'30.07 Kisaasi-Ntinda'!L41,'31.07 Kisaasi-Ntinda'!L41,'02.08 Kisaasi-Ntinda'!L41,'01.08 Kisaasi-Ntinda-24h'!L41,'03.08 Kisaasi-Ntinda-24h'!L41,'04.08 Kisaasi-Ntinda'!L41)</f>
        <v>0.8571428571428571</v>
      </c>
      <c r="M41" s="49">
        <f>AVERAGE('29.07 Kisaasi-Ntinda'!M41,'30.07 Kisaasi-Ntinda'!M41,'31.07 Kisaasi-Ntinda'!M41,'02.08 Kisaasi-Ntinda'!M41,'01.08 Kisaasi-Ntinda-24h'!M41,'03.08 Kisaasi-Ntinda-24h'!M41,'04.08 Kisaasi-Ntinda'!M41)</f>
        <v>79.142857142857139</v>
      </c>
      <c r="N41" s="49">
        <f>AVERAGE('29.07 Kisaasi-Ntinda'!N41,'30.07 Kisaasi-Ntinda'!N41,'31.07 Kisaasi-Ntinda'!N41,'02.08 Kisaasi-Ntinda'!N41,'01.08 Kisaasi-Ntinda-24h'!N41,'03.08 Kisaasi-Ntinda-24h'!N41,'04.08 Kisaasi-Ntinda'!N41)</f>
        <v>0</v>
      </c>
      <c r="O41" s="15">
        <f t="shared" si="0"/>
        <v>76.285714285714278</v>
      </c>
      <c r="P41" s="15">
        <f t="shared" si="1"/>
        <v>155.42857142857142</v>
      </c>
      <c r="R41" s="51" t="s">
        <v>186</v>
      </c>
      <c r="S41" s="16">
        <f>SUM(S10:S33)</f>
        <v>4407.6428571428569</v>
      </c>
      <c r="T41" s="16">
        <f t="shared" ref="T41:AD41" si="33">SUM(T10:T33)</f>
        <v>1615.4982372808231</v>
      </c>
      <c r="U41" s="16">
        <f t="shared" si="33"/>
        <v>551.09277073392445</v>
      </c>
      <c r="V41" s="16">
        <f t="shared" si="33"/>
        <v>758.77195891542101</v>
      </c>
      <c r="W41" s="16">
        <f t="shared" si="33"/>
        <v>13.573658944691509</v>
      </c>
      <c r="X41" s="16">
        <f t="shared" si="33"/>
        <v>0.14285714285714285</v>
      </c>
      <c r="Y41" s="16">
        <f t="shared" si="33"/>
        <v>211.67820686390169</v>
      </c>
      <c r="Z41" s="16">
        <f t="shared" si="33"/>
        <v>135.23557326944126</v>
      </c>
      <c r="AA41" s="16">
        <f t="shared" si="33"/>
        <v>50.935717873886482</v>
      </c>
      <c r="AB41" s="16">
        <f t="shared" si="33"/>
        <v>81.584934757012846</v>
      </c>
      <c r="AC41" s="16">
        <f t="shared" si="33"/>
        <v>6866.8659514094024</v>
      </c>
      <c r="AD41" s="16">
        <f t="shared" si="33"/>
        <v>1.0002783953823104</v>
      </c>
      <c r="AE41" s="32">
        <f>SUM(AE10:AE33)</f>
        <v>6418.4285714285716</v>
      </c>
      <c r="AF41" s="32">
        <f>SUM(AF10:AF33)</f>
        <v>13343.5</v>
      </c>
    </row>
    <row r="42" spans="2:32" ht="23.1" customHeight="1" x14ac:dyDescent="0.25">
      <c r="B42" s="24" t="s">
        <v>69</v>
      </c>
      <c r="C42" s="49">
        <f>AVERAGE('29.07 Kisaasi-Ntinda'!C42,'30.07 Kisaasi-Ntinda'!C42,'31.07 Kisaasi-Ntinda'!C42,'02.08 Kisaasi-Ntinda'!C42,'01.08 Kisaasi-Ntinda-24h'!C42,'03.08 Kisaasi-Ntinda-24h'!C42,'04.08 Kisaasi-Ntinda'!C42)</f>
        <v>35.285714285714285</v>
      </c>
      <c r="D42" s="49">
        <f>AVERAGE('29.07 Kisaasi-Ntinda'!D42,'30.07 Kisaasi-Ntinda'!D42,'31.07 Kisaasi-Ntinda'!D42,'02.08 Kisaasi-Ntinda'!D42,'01.08 Kisaasi-Ntinda-24h'!D42,'03.08 Kisaasi-Ntinda-24h'!D42,'04.08 Kisaasi-Ntinda'!D42)</f>
        <v>19.857142857142858</v>
      </c>
      <c r="E42" s="49">
        <f>AVERAGE('29.07 Kisaasi-Ntinda'!E42,'30.07 Kisaasi-Ntinda'!E42,'31.07 Kisaasi-Ntinda'!E42,'02.08 Kisaasi-Ntinda'!E42,'01.08 Kisaasi-Ntinda-24h'!E42,'03.08 Kisaasi-Ntinda-24h'!E42,'04.08 Kisaasi-Ntinda'!E42)</f>
        <v>7.2857142857142856</v>
      </c>
      <c r="F42" s="49">
        <f>AVERAGE('29.07 Kisaasi-Ntinda'!F42,'30.07 Kisaasi-Ntinda'!F42,'31.07 Kisaasi-Ntinda'!F42,'02.08 Kisaasi-Ntinda'!F42,'01.08 Kisaasi-Ntinda-24h'!F42,'03.08 Kisaasi-Ntinda-24h'!F42,'04.08 Kisaasi-Ntinda'!F42)</f>
        <v>7.5714285714285712</v>
      </c>
      <c r="G42" s="49">
        <f>AVERAGE('29.07 Kisaasi-Ntinda'!G42,'30.07 Kisaasi-Ntinda'!G42,'31.07 Kisaasi-Ntinda'!G42,'02.08 Kisaasi-Ntinda'!G42,'01.08 Kisaasi-Ntinda-24h'!G42,'03.08 Kisaasi-Ntinda-24h'!G42,'04.08 Kisaasi-Ntinda'!G42)</f>
        <v>0</v>
      </c>
      <c r="H42" s="49">
        <f>AVERAGE('29.07 Kisaasi-Ntinda'!H42,'30.07 Kisaasi-Ntinda'!H42,'31.07 Kisaasi-Ntinda'!H42,'02.08 Kisaasi-Ntinda'!H42,'01.08 Kisaasi-Ntinda-24h'!H42,'03.08 Kisaasi-Ntinda-24h'!H42,'04.08 Kisaasi-Ntinda'!H42)</f>
        <v>0</v>
      </c>
      <c r="I42" s="49">
        <f>AVERAGE('29.07 Kisaasi-Ntinda'!I42,'30.07 Kisaasi-Ntinda'!I42,'31.07 Kisaasi-Ntinda'!I42,'02.08 Kisaasi-Ntinda'!I42,'01.08 Kisaasi-Ntinda-24h'!I42,'03.08 Kisaasi-Ntinda-24h'!I42,'04.08 Kisaasi-Ntinda'!I42)</f>
        <v>3.1428571428571428</v>
      </c>
      <c r="J42" s="49">
        <f>AVERAGE('29.07 Kisaasi-Ntinda'!J42,'30.07 Kisaasi-Ntinda'!J42,'31.07 Kisaasi-Ntinda'!J42,'02.08 Kisaasi-Ntinda'!J42,'01.08 Kisaasi-Ntinda-24h'!J42,'03.08 Kisaasi-Ntinda-24h'!J42,'04.08 Kisaasi-Ntinda'!J42)</f>
        <v>1.4285714285714286</v>
      </c>
      <c r="K42" s="49">
        <f>AVERAGE('29.07 Kisaasi-Ntinda'!K42,'30.07 Kisaasi-Ntinda'!K42,'31.07 Kisaasi-Ntinda'!K42,'02.08 Kisaasi-Ntinda'!K42,'01.08 Kisaasi-Ntinda-24h'!K42,'03.08 Kisaasi-Ntinda-24h'!K42,'04.08 Kisaasi-Ntinda'!K42)</f>
        <v>0.7142857142857143</v>
      </c>
      <c r="L42" s="49">
        <f>AVERAGE('29.07 Kisaasi-Ntinda'!L42,'30.07 Kisaasi-Ntinda'!L42,'31.07 Kisaasi-Ntinda'!L42,'02.08 Kisaasi-Ntinda'!L42,'01.08 Kisaasi-Ntinda-24h'!L42,'03.08 Kisaasi-Ntinda-24h'!L42,'04.08 Kisaasi-Ntinda'!L42)</f>
        <v>1.8571428571428572</v>
      </c>
      <c r="M42" s="49">
        <f>AVERAGE('29.07 Kisaasi-Ntinda'!M42,'30.07 Kisaasi-Ntinda'!M42,'31.07 Kisaasi-Ntinda'!M42,'02.08 Kisaasi-Ntinda'!M42,'01.08 Kisaasi-Ntinda-24h'!M42,'03.08 Kisaasi-Ntinda-24h'!M42,'04.08 Kisaasi-Ntinda'!M42)</f>
        <v>86.571428571428569</v>
      </c>
      <c r="N42" s="49">
        <f>AVERAGE('29.07 Kisaasi-Ntinda'!N42,'30.07 Kisaasi-Ntinda'!N42,'31.07 Kisaasi-Ntinda'!N42,'02.08 Kisaasi-Ntinda'!N42,'01.08 Kisaasi-Ntinda-24h'!N42,'03.08 Kisaasi-Ntinda-24h'!N42,'04.08 Kisaasi-Ntinda'!N42)</f>
        <v>0</v>
      </c>
      <c r="O42" s="15">
        <f t="shared" si="0"/>
        <v>77.142857142857139</v>
      </c>
      <c r="P42" s="15">
        <f t="shared" si="1"/>
        <v>163.71428571428572</v>
      </c>
      <c r="R42" s="51" t="s">
        <v>160</v>
      </c>
      <c r="S42" s="48">
        <f>S41/S40</f>
        <v>2.2326868803820825</v>
      </c>
      <c r="T42" s="48">
        <f t="shared" ref="T42:AF42" si="34">T41/T40</f>
        <v>1.2734783401988472</v>
      </c>
      <c r="U42" s="48">
        <f t="shared" si="34"/>
        <v>1.187334378312549</v>
      </c>
      <c r="V42" s="48">
        <f t="shared" si="34"/>
        <v>1.3228900902634984</v>
      </c>
      <c r="W42" s="48">
        <f t="shared" si="34"/>
        <v>1.2839947650383861</v>
      </c>
      <c r="X42" s="48">
        <f t="shared" si="34"/>
        <v>1</v>
      </c>
      <c r="Y42" s="48">
        <f t="shared" si="34"/>
        <v>1.3259484993711965</v>
      </c>
      <c r="Z42" s="48">
        <f t="shared" si="34"/>
        <v>1.3839897849211826</v>
      </c>
      <c r="AA42" s="48">
        <f t="shared" si="34"/>
        <v>1.5435066022389843</v>
      </c>
      <c r="AB42" s="48">
        <f t="shared" si="34"/>
        <v>1.3068525018285813</v>
      </c>
      <c r="AC42" s="48">
        <f t="shared" si="34"/>
        <v>1.4069799104281062</v>
      </c>
      <c r="AD42" s="48">
        <f t="shared" si="34"/>
        <v>1.0002783953823104</v>
      </c>
      <c r="AE42" s="53">
        <f t="shared" si="34"/>
        <v>1.3818142674806624</v>
      </c>
      <c r="AF42" s="53">
        <f t="shared" si="34"/>
        <v>1.4008188546532991</v>
      </c>
    </row>
    <row r="43" spans="2:32" ht="23.1" customHeight="1" x14ac:dyDescent="0.25">
      <c r="B43" s="23" t="s">
        <v>70</v>
      </c>
      <c r="C43" s="49">
        <f>AVERAGE('29.07 Kisaasi-Ntinda'!C43,'30.07 Kisaasi-Ntinda'!C43,'31.07 Kisaasi-Ntinda'!C43,'02.08 Kisaasi-Ntinda'!C43,'01.08 Kisaasi-Ntinda-24h'!C43,'03.08 Kisaasi-Ntinda-24h'!C43,'04.08 Kisaasi-Ntinda'!C43)</f>
        <v>37.428571428571431</v>
      </c>
      <c r="D43" s="49">
        <f>AVERAGE('29.07 Kisaasi-Ntinda'!D43,'30.07 Kisaasi-Ntinda'!D43,'31.07 Kisaasi-Ntinda'!D43,'02.08 Kisaasi-Ntinda'!D43,'01.08 Kisaasi-Ntinda-24h'!D43,'03.08 Kisaasi-Ntinda-24h'!D43,'04.08 Kisaasi-Ntinda'!D43)</f>
        <v>20.285714285714285</v>
      </c>
      <c r="E43" s="49">
        <f>AVERAGE('29.07 Kisaasi-Ntinda'!E43,'30.07 Kisaasi-Ntinda'!E43,'31.07 Kisaasi-Ntinda'!E43,'02.08 Kisaasi-Ntinda'!E43,'01.08 Kisaasi-Ntinda-24h'!E43,'03.08 Kisaasi-Ntinda-24h'!E43,'04.08 Kisaasi-Ntinda'!E43)</f>
        <v>6.4285714285714288</v>
      </c>
      <c r="F43" s="49">
        <f>AVERAGE('29.07 Kisaasi-Ntinda'!F43,'30.07 Kisaasi-Ntinda'!F43,'31.07 Kisaasi-Ntinda'!F43,'02.08 Kisaasi-Ntinda'!F43,'01.08 Kisaasi-Ntinda-24h'!F43,'03.08 Kisaasi-Ntinda-24h'!F43,'04.08 Kisaasi-Ntinda'!F43)</f>
        <v>8.1428571428571423</v>
      </c>
      <c r="G43" s="49">
        <f>AVERAGE('29.07 Kisaasi-Ntinda'!G43,'30.07 Kisaasi-Ntinda'!G43,'31.07 Kisaasi-Ntinda'!G43,'02.08 Kisaasi-Ntinda'!G43,'01.08 Kisaasi-Ntinda-24h'!G43,'03.08 Kisaasi-Ntinda-24h'!G43,'04.08 Kisaasi-Ntinda'!G43)</f>
        <v>0.14285714285714285</v>
      </c>
      <c r="H43" s="49">
        <f>AVERAGE('29.07 Kisaasi-Ntinda'!H43,'30.07 Kisaasi-Ntinda'!H43,'31.07 Kisaasi-Ntinda'!H43,'02.08 Kisaasi-Ntinda'!H43,'01.08 Kisaasi-Ntinda-24h'!H43,'03.08 Kisaasi-Ntinda-24h'!H43,'04.08 Kisaasi-Ntinda'!H43)</f>
        <v>0</v>
      </c>
      <c r="I43" s="49">
        <f>AVERAGE('29.07 Kisaasi-Ntinda'!I43,'30.07 Kisaasi-Ntinda'!I43,'31.07 Kisaasi-Ntinda'!I43,'02.08 Kisaasi-Ntinda'!I43,'01.08 Kisaasi-Ntinda-24h'!I43,'03.08 Kisaasi-Ntinda-24h'!I43,'04.08 Kisaasi-Ntinda'!I43)</f>
        <v>3.2857142857142856</v>
      </c>
      <c r="J43" s="49">
        <f>AVERAGE('29.07 Kisaasi-Ntinda'!J43,'30.07 Kisaasi-Ntinda'!J43,'31.07 Kisaasi-Ntinda'!J43,'02.08 Kisaasi-Ntinda'!J43,'01.08 Kisaasi-Ntinda-24h'!J43,'03.08 Kisaasi-Ntinda-24h'!J43,'04.08 Kisaasi-Ntinda'!J43)</f>
        <v>2.8571428571428572</v>
      </c>
      <c r="K43" s="49">
        <f>AVERAGE('29.07 Kisaasi-Ntinda'!K43,'30.07 Kisaasi-Ntinda'!K43,'31.07 Kisaasi-Ntinda'!K43,'02.08 Kisaasi-Ntinda'!K43,'01.08 Kisaasi-Ntinda-24h'!K43,'03.08 Kisaasi-Ntinda-24h'!K43,'04.08 Kisaasi-Ntinda'!K43)</f>
        <v>0.42857142857142855</v>
      </c>
      <c r="L43" s="49">
        <f>AVERAGE('29.07 Kisaasi-Ntinda'!L43,'30.07 Kisaasi-Ntinda'!L43,'31.07 Kisaasi-Ntinda'!L43,'02.08 Kisaasi-Ntinda'!L43,'01.08 Kisaasi-Ntinda-24h'!L43,'03.08 Kisaasi-Ntinda-24h'!L43,'04.08 Kisaasi-Ntinda'!L43)</f>
        <v>1</v>
      </c>
      <c r="M43" s="49">
        <f>AVERAGE('29.07 Kisaasi-Ntinda'!M43,'30.07 Kisaasi-Ntinda'!M43,'31.07 Kisaasi-Ntinda'!M43,'02.08 Kisaasi-Ntinda'!M43,'01.08 Kisaasi-Ntinda-24h'!M43,'03.08 Kisaasi-Ntinda-24h'!M43,'04.08 Kisaasi-Ntinda'!M43)</f>
        <v>87</v>
      </c>
      <c r="N43" s="49">
        <f>AVERAGE('29.07 Kisaasi-Ntinda'!N43,'30.07 Kisaasi-Ntinda'!N43,'31.07 Kisaasi-Ntinda'!N43,'02.08 Kisaasi-Ntinda'!N43,'01.08 Kisaasi-Ntinda-24h'!N43,'03.08 Kisaasi-Ntinda-24h'!N43,'04.08 Kisaasi-Ntinda'!N43)</f>
        <v>0</v>
      </c>
      <c r="O43" s="15">
        <f t="shared" si="0"/>
        <v>80</v>
      </c>
      <c r="P43" s="15">
        <f t="shared" si="1"/>
        <v>167</v>
      </c>
    </row>
    <row r="44" spans="2:32" ht="23.1" customHeight="1" x14ac:dyDescent="0.25">
      <c r="B44" s="25" t="s">
        <v>71</v>
      </c>
      <c r="C44" s="49">
        <f>AVERAGE('29.07 Kisaasi-Ntinda'!C44,'30.07 Kisaasi-Ntinda'!C44,'31.07 Kisaasi-Ntinda'!C44,'02.08 Kisaasi-Ntinda'!C44,'01.08 Kisaasi-Ntinda-24h'!C44,'03.08 Kisaasi-Ntinda-24h'!C44,'04.08 Kisaasi-Ntinda'!C44)</f>
        <v>40.857142857142854</v>
      </c>
      <c r="D44" s="49">
        <f>AVERAGE('29.07 Kisaasi-Ntinda'!D44,'30.07 Kisaasi-Ntinda'!D44,'31.07 Kisaasi-Ntinda'!D44,'02.08 Kisaasi-Ntinda'!D44,'01.08 Kisaasi-Ntinda-24h'!D44,'03.08 Kisaasi-Ntinda-24h'!D44,'04.08 Kisaasi-Ntinda'!D44)</f>
        <v>20.714285714285715</v>
      </c>
      <c r="E44" s="49">
        <f>AVERAGE('29.07 Kisaasi-Ntinda'!E44,'30.07 Kisaasi-Ntinda'!E44,'31.07 Kisaasi-Ntinda'!E44,'02.08 Kisaasi-Ntinda'!E44,'01.08 Kisaasi-Ntinda-24h'!E44,'03.08 Kisaasi-Ntinda-24h'!E44,'04.08 Kisaasi-Ntinda'!E44)</f>
        <v>9.1428571428571423</v>
      </c>
      <c r="F44" s="49">
        <f>AVERAGE('29.07 Kisaasi-Ntinda'!F44,'30.07 Kisaasi-Ntinda'!F44,'31.07 Kisaasi-Ntinda'!F44,'02.08 Kisaasi-Ntinda'!F44,'01.08 Kisaasi-Ntinda-24h'!F44,'03.08 Kisaasi-Ntinda-24h'!F44,'04.08 Kisaasi-Ntinda'!F44)</f>
        <v>9.2857142857142865</v>
      </c>
      <c r="G44" s="49">
        <f>AVERAGE('29.07 Kisaasi-Ntinda'!G44,'30.07 Kisaasi-Ntinda'!G44,'31.07 Kisaasi-Ntinda'!G44,'02.08 Kisaasi-Ntinda'!G44,'01.08 Kisaasi-Ntinda-24h'!G44,'03.08 Kisaasi-Ntinda-24h'!G44,'04.08 Kisaasi-Ntinda'!G44)</f>
        <v>0.14285714285714285</v>
      </c>
      <c r="H44" s="49">
        <f>AVERAGE('29.07 Kisaasi-Ntinda'!H44,'30.07 Kisaasi-Ntinda'!H44,'31.07 Kisaasi-Ntinda'!H44,'02.08 Kisaasi-Ntinda'!H44,'01.08 Kisaasi-Ntinda-24h'!H44,'03.08 Kisaasi-Ntinda-24h'!H44,'04.08 Kisaasi-Ntinda'!H44)</f>
        <v>0</v>
      </c>
      <c r="I44" s="49">
        <f>AVERAGE('29.07 Kisaasi-Ntinda'!I44,'30.07 Kisaasi-Ntinda'!I44,'31.07 Kisaasi-Ntinda'!I44,'02.08 Kisaasi-Ntinda'!I44,'01.08 Kisaasi-Ntinda-24h'!I44,'03.08 Kisaasi-Ntinda-24h'!I44,'04.08 Kisaasi-Ntinda'!I44)</f>
        <v>3</v>
      </c>
      <c r="J44" s="49">
        <f>AVERAGE('29.07 Kisaasi-Ntinda'!J44,'30.07 Kisaasi-Ntinda'!J44,'31.07 Kisaasi-Ntinda'!J44,'02.08 Kisaasi-Ntinda'!J44,'01.08 Kisaasi-Ntinda-24h'!J44,'03.08 Kisaasi-Ntinda-24h'!J44,'04.08 Kisaasi-Ntinda'!J44)</f>
        <v>2.5714285714285716</v>
      </c>
      <c r="K44" s="49">
        <f>AVERAGE('29.07 Kisaasi-Ntinda'!K44,'30.07 Kisaasi-Ntinda'!K44,'31.07 Kisaasi-Ntinda'!K44,'02.08 Kisaasi-Ntinda'!K44,'01.08 Kisaasi-Ntinda-24h'!K44,'03.08 Kisaasi-Ntinda-24h'!K44,'04.08 Kisaasi-Ntinda'!K44)</f>
        <v>1.1428571428571428</v>
      </c>
      <c r="L44" s="49">
        <f>AVERAGE('29.07 Kisaasi-Ntinda'!L44,'30.07 Kisaasi-Ntinda'!L44,'31.07 Kisaasi-Ntinda'!L44,'02.08 Kisaasi-Ntinda'!L44,'01.08 Kisaasi-Ntinda-24h'!L44,'03.08 Kisaasi-Ntinda-24h'!L44,'04.08 Kisaasi-Ntinda'!L44)</f>
        <v>1.4285714285714286</v>
      </c>
      <c r="M44" s="49">
        <f>AVERAGE('29.07 Kisaasi-Ntinda'!M44,'30.07 Kisaasi-Ntinda'!M44,'31.07 Kisaasi-Ntinda'!M44,'02.08 Kisaasi-Ntinda'!M44,'01.08 Kisaasi-Ntinda-24h'!M44,'03.08 Kisaasi-Ntinda-24h'!M44,'04.08 Kisaasi-Ntinda'!M44)</f>
        <v>82.571428571428569</v>
      </c>
      <c r="N44" s="49">
        <f>AVERAGE('29.07 Kisaasi-Ntinda'!N44,'30.07 Kisaasi-Ntinda'!N44,'31.07 Kisaasi-Ntinda'!N44,'02.08 Kisaasi-Ntinda'!N44,'01.08 Kisaasi-Ntinda-24h'!N44,'03.08 Kisaasi-Ntinda-24h'!N44,'04.08 Kisaasi-Ntinda'!N44)</f>
        <v>0</v>
      </c>
      <c r="O44" s="15">
        <f t="shared" si="0"/>
        <v>88.285714285714278</v>
      </c>
      <c r="P44" s="15">
        <f t="shared" si="1"/>
        <v>170.85714285714283</v>
      </c>
    </row>
    <row r="45" spans="2:32" ht="23.1" customHeight="1" x14ac:dyDescent="0.25">
      <c r="B45" s="23" t="s">
        <v>72</v>
      </c>
      <c r="C45" s="49">
        <f>AVERAGE('29.07 Kisaasi-Ntinda'!C45,'30.07 Kisaasi-Ntinda'!C45,'31.07 Kisaasi-Ntinda'!C45,'02.08 Kisaasi-Ntinda'!C45,'01.08 Kisaasi-Ntinda-24h'!C45,'03.08 Kisaasi-Ntinda-24h'!C45,'04.08 Kisaasi-Ntinda'!C45)</f>
        <v>38.142857142857146</v>
      </c>
      <c r="D45" s="49">
        <f>AVERAGE('29.07 Kisaasi-Ntinda'!D45,'30.07 Kisaasi-Ntinda'!D45,'31.07 Kisaasi-Ntinda'!D45,'02.08 Kisaasi-Ntinda'!D45,'01.08 Kisaasi-Ntinda-24h'!D45,'03.08 Kisaasi-Ntinda-24h'!D45,'04.08 Kisaasi-Ntinda'!D45)</f>
        <v>24</v>
      </c>
      <c r="E45" s="49">
        <f>AVERAGE('29.07 Kisaasi-Ntinda'!E45,'30.07 Kisaasi-Ntinda'!E45,'31.07 Kisaasi-Ntinda'!E45,'02.08 Kisaasi-Ntinda'!E45,'01.08 Kisaasi-Ntinda-24h'!E45,'03.08 Kisaasi-Ntinda-24h'!E45,'04.08 Kisaasi-Ntinda'!E45)</f>
        <v>11</v>
      </c>
      <c r="F45" s="49">
        <f>AVERAGE('29.07 Kisaasi-Ntinda'!F45,'30.07 Kisaasi-Ntinda'!F45,'31.07 Kisaasi-Ntinda'!F45,'02.08 Kisaasi-Ntinda'!F45,'01.08 Kisaasi-Ntinda-24h'!F45,'03.08 Kisaasi-Ntinda-24h'!F45,'04.08 Kisaasi-Ntinda'!F45)</f>
        <v>9.4285714285714288</v>
      </c>
      <c r="G45" s="49">
        <f>AVERAGE('29.07 Kisaasi-Ntinda'!G45,'30.07 Kisaasi-Ntinda'!G45,'31.07 Kisaasi-Ntinda'!G45,'02.08 Kisaasi-Ntinda'!G45,'01.08 Kisaasi-Ntinda-24h'!G45,'03.08 Kisaasi-Ntinda-24h'!G45,'04.08 Kisaasi-Ntinda'!G45)</f>
        <v>0</v>
      </c>
      <c r="H45" s="49">
        <f>AVERAGE('29.07 Kisaasi-Ntinda'!H45,'30.07 Kisaasi-Ntinda'!H45,'31.07 Kisaasi-Ntinda'!H45,'02.08 Kisaasi-Ntinda'!H45,'01.08 Kisaasi-Ntinda-24h'!H45,'03.08 Kisaasi-Ntinda-24h'!H45,'04.08 Kisaasi-Ntinda'!H45)</f>
        <v>0</v>
      </c>
      <c r="I45" s="49">
        <f>AVERAGE('29.07 Kisaasi-Ntinda'!I45,'30.07 Kisaasi-Ntinda'!I45,'31.07 Kisaasi-Ntinda'!I45,'02.08 Kisaasi-Ntinda'!I45,'01.08 Kisaasi-Ntinda-24h'!I45,'03.08 Kisaasi-Ntinda-24h'!I45,'04.08 Kisaasi-Ntinda'!I45)</f>
        <v>3.5714285714285716</v>
      </c>
      <c r="J45" s="49">
        <f>AVERAGE('29.07 Kisaasi-Ntinda'!J45,'30.07 Kisaasi-Ntinda'!J45,'31.07 Kisaasi-Ntinda'!J45,'02.08 Kisaasi-Ntinda'!J45,'01.08 Kisaasi-Ntinda-24h'!J45,'03.08 Kisaasi-Ntinda-24h'!J45,'04.08 Kisaasi-Ntinda'!J45)</f>
        <v>2.4285714285714284</v>
      </c>
      <c r="K45" s="49">
        <f>AVERAGE('29.07 Kisaasi-Ntinda'!K45,'30.07 Kisaasi-Ntinda'!K45,'31.07 Kisaasi-Ntinda'!K45,'02.08 Kisaasi-Ntinda'!K45,'01.08 Kisaasi-Ntinda-24h'!K45,'03.08 Kisaasi-Ntinda-24h'!K45,'04.08 Kisaasi-Ntinda'!K45)</f>
        <v>0.5714285714285714</v>
      </c>
      <c r="L45" s="49">
        <f>AVERAGE('29.07 Kisaasi-Ntinda'!L45,'30.07 Kisaasi-Ntinda'!L45,'31.07 Kisaasi-Ntinda'!L45,'02.08 Kisaasi-Ntinda'!L45,'01.08 Kisaasi-Ntinda-24h'!L45,'03.08 Kisaasi-Ntinda-24h'!L45,'04.08 Kisaasi-Ntinda'!L45)</f>
        <v>1.1428571428571428</v>
      </c>
      <c r="M45" s="49">
        <f>AVERAGE('29.07 Kisaasi-Ntinda'!M45,'30.07 Kisaasi-Ntinda'!M45,'31.07 Kisaasi-Ntinda'!M45,'02.08 Kisaasi-Ntinda'!M45,'01.08 Kisaasi-Ntinda-24h'!M45,'03.08 Kisaasi-Ntinda-24h'!M45,'04.08 Kisaasi-Ntinda'!M45)</f>
        <v>82.714285714285708</v>
      </c>
      <c r="N45" s="49">
        <f>AVERAGE('29.07 Kisaasi-Ntinda'!N45,'30.07 Kisaasi-Ntinda'!N45,'31.07 Kisaasi-Ntinda'!N45,'02.08 Kisaasi-Ntinda'!N45,'01.08 Kisaasi-Ntinda-24h'!N45,'03.08 Kisaasi-Ntinda-24h'!N45,'04.08 Kisaasi-Ntinda'!N45)</f>
        <v>0.14285714285714285</v>
      </c>
      <c r="O45" s="15">
        <f t="shared" si="0"/>
        <v>90.428571428571416</v>
      </c>
      <c r="P45" s="15">
        <f t="shared" si="1"/>
        <v>173.14285714285714</v>
      </c>
    </row>
    <row r="46" spans="2:32" ht="23.1" customHeight="1" x14ac:dyDescent="0.25">
      <c r="B46" s="24" t="s">
        <v>73</v>
      </c>
      <c r="C46" s="49">
        <f>AVERAGE('29.07 Kisaasi-Ntinda'!C46,'30.07 Kisaasi-Ntinda'!C46,'31.07 Kisaasi-Ntinda'!C46,'02.08 Kisaasi-Ntinda'!C46,'01.08 Kisaasi-Ntinda-24h'!C46,'03.08 Kisaasi-Ntinda-24h'!C46,'04.08 Kisaasi-Ntinda'!C46)</f>
        <v>45.571428571428569</v>
      </c>
      <c r="D46" s="49">
        <f>AVERAGE('29.07 Kisaasi-Ntinda'!D46,'30.07 Kisaasi-Ntinda'!D46,'31.07 Kisaasi-Ntinda'!D46,'02.08 Kisaasi-Ntinda'!D46,'01.08 Kisaasi-Ntinda-24h'!D46,'03.08 Kisaasi-Ntinda-24h'!D46,'04.08 Kisaasi-Ntinda'!D46)</f>
        <v>24.142857142857142</v>
      </c>
      <c r="E46" s="49">
        <f>AVERAGE('29.07 Kisaasi-Ntinda'!E46,'30.07 Kisaasi-Ntinda'!E46,'31.07 Kisaasi-Ntinda'!E46,'02.08 Kisaasi-Ntinda'!E46,'01.08 Kisaasi-Ntinda-24h'!E46,'03.08 Kisaasi-Ntinda-24h'!E46,'04.08 Kisaasi-Ntinda'!E46)</f>
        <v>10.571428571428571</v>
      </c>
      <c r="F46" s="49">
        <f>AVERAGE('29.07 Kisaasi-Ntinda'!F46,'30.07 Kisaasi-Ntinda'!F46,'31.07 Kisaasi-Ntinda'!F46,'02.08 Kisaasi-Ntinda'!F46,'01.08 Kisaasi-Ntinda-24h'!F46,'03.08 Kisaasi-Ntinda-24h'!F46,'04.08 Kisaasi-Ntinda'!F46)</f>
        <v>12.142857142857142</v>
      </c>
      <c r="G46" s="49">
        <f>AVERAGE('29.07 Kisaasi-Ntinda'!G46,'30.07 Kisaasi-Ntinda'!G46,'31.07 Kisaasi-Ntinda'!G46,'02.08 Kisaasi-Ntinda'!G46,'01.08 Kisaasi-Ntinda-24h'!G46,'03.08 Kisaasi-Ntinda-24h'!G46,'04.08 Kisaasi-Ntinda'!G46)</f>
        <v>0.14285714285714285</v>
      </c>
      <c r="H46" s="49">
        <f>AVERAGE('29.07 Kisaasi-Ntinda'!H46,'30.07 Kisaasi-Ntinda'!H46,'31.07 Kisaasi-Ntinda'!H46,'02.08 Kisaasi-Ntinda'!H46,'01.08 Kisaasi-Ntinda-24h'!H46,'03.08 Kisaasi-Ntinda-24h'!H46,'04.08 Kisaasi-Ntinda'!H46)</f>
        <v>0</v>
      </c>
      <c r="I46" s="49">
        <f>AVERAGE('29.07 Kisaasi-Ntinda'!I46,'30.07 Kisaasi-Ntinda'!I46,'31.07 Kisaasi-Ntinda'!I46,'02.08 Kisaasi-Ntinda'!I46,'01.08 Kisaasi-Ntinda-24h'!I46,'03.08 Kisaasi-Ntinda-24h'!I46,'04.08 Kisaasi-Ntinda'!I46)</f>
        <v>5.4285714285714288</v>
      </c>
      <c r="J46" s="49">
        <f>AVERAGE('29.07 Kisaasi-Ntinda'!J46,'30.07 Kisaasi-Ntinda'!J46,'31.07 Kisaasi-Ntinda'!J46,'02.08 Kisaasi-Ntinda'!J46,'01.08 Kisaasi-Ntinda-24h'!J46,'03.08 Kisaasi-Ntinda-24h'!J46,'04.08 Kisaasi-Ntinda'!J46)</f>
        <v>2</v>
      </c>
      <c r="K46" s="49">
        <f>AVERAGE('29.07 Kisaasi-Ntinda'!K46,'30.07 Kisaasi-Ntinda'!K46,'31.07 Kisaasi-Ntinda'!K46,'02.08 Kisaasi-Ntinda'!K46,'01.08 Kisaasi-Ntinda-24h'!K46,'03.08 Kisaasi-Ntinda-24h'!K46,'04.08 Kisaasi-Ntinda'!K46)</f>
        <v>1.2857142857142858</v>
      </c>
      <c r="L46" s="49">
        <f>AVERAGE('29.07 Kisaasi-Ntinda'!L46,'30.07 Kisaasi-Ntinda'!L46,'31.07 Kisaasi-Ntinda'!L46,'02.08 Kisaasi-Ntinda'!L46,'01.08 Kisaasi-Ntinda-24h'!L46,'03.08 Kisaasi-Ntinda-24h'!L46,'04.08 Kisaasi-Ntinda'!L46)</f>
        <v>1.7142857142857142</v>
      </c>
      <c r="M46" s="49">
        <f>AVERAGE('29.07 Kisaasi-Ntinda'!M46,'30.07 Kisaasi-Ntinda'!M46,'31.07 Kisaasi-Ntinda'!M46,'02.08 Kisaasi-Ntinda'!M46,'01.08 Kisaasi-Ntinda-24h'!M46,'03.08 Kisaasi-Ntinda-24h'!M46,'04.08 Kisaasi-Ntinda'!M46)</f>
        <v>92.571428571428569</v>
      </c>
      <c r="N46" s="49">
        <f>AVERAGE('29.07 Kisaasi-Ntinda'!N46,'30.07 Kisaasi-Ntinda'!N46,'31.07 Kisaasi-Ntinda'!N46,'02.08 Kisaasi-Ntinda'!N46,'01.08 Kisaasi-Ntinda-24h'!N46,'03.08 Kisaasi-Ntinda-24h'!N46,'04.08 Kisaasi-Ntinda'!N46)</f>
        <v>0</v>
      </c>
      <c r="O46" s="15">
        <f t="shared" si="0"/>
        <v>102.99999999999999</v>
      </c>
      <c r="P46" s="15">
        <f t="shared" si="1"/>
        <v>195.57142857142856</v>
      </c>
      <c r="R46" s="8"/>
      <c r="T46"/>
    </row>
    <row r="47" spans="2:32" ht="23.1" customHeight="1" x14ac:dyDescent="0.25">
      <c r="B47" s="24" t="s">
        <v>74</v>
      </c>
      <c r="C47" s="49">
        <f>AVERAGE('29.07 Kisaasi-Ntinda'!C47,'30.07 Kisaasi-Ntinda'!C47,'31.07 Kisaasi-Ntinda'!C47,'02.08 Kisaasi-Ntinda'!C47,'01.08 Kisaasi-Ntinda-24h'!C47,'03.08 Kisaasi-Ntinda-24h'!C47,'04.08 Kisaasi-Ntinda'!C47)</f>
        <v>36.714285714285715</v>
      </c>
      <c r="D47" s="49">
        <f>AVERAGE('29.07 Kisaasi-Ntinda'!D47,'30.07 Kisaasi-Ntinda'!D47,'31.07 Kisaasi-Ntinda'!D47,'02.08 Kisaasi-Ntinda'!D47,'01.08 Kisaasi-Ntinda-24h'!D47,'03.08 Kisaasi-Ntinda-24h'!D47,'04.08 Kisaasi-Ntinda'!D47)</f>
        <v>26.428571428571427</v>
      </c>
      <c r="E47" s="49">
        <f>AVERAGE('29.07 Kisaasi-Ntinda'!E47,'30.07 Kisaasi-Ntinda'!E47,'31.07 Kisaasi-Ntinda'!E47,'02.08 Kisaasi-Ntinda'!E47,'01.08 Kisaasi-Ntinda-24h'!E47,'03.08 Kisaasi-Ntinda-24h'!E47,'04.08 Kisaasi-Ntinda'!E47)</f>
        <v>8.1428571428571423</v>
      </c>
      <c r="F47" s="49">
        <f>AVERAGE('29.07 Kisaasi-Ntinda'!F47,'30.07 Kisaasi-Ntinda'!F47,'31.07 Kisaasi-Ntinda'!F47,'02.08 Kisaasi-Ntinda'!F47,'01.08 Kisaasi-Ntinda-24h'!F47,'03.08 Kisaasi-Ntinda-24h'!F47,'04.08 Kisaasi-Ntinda'!F47)</f>
        <v>10.857142857142858</v>
      </c>
      <c r="G47" s="49">
        <f>AVERAGE('29.07 Kisaasi-Ntinda'!G47,'30.07 Kisaasi-Ntinda'!G47,'31.07 Kisaasi-Ntinda'!G47,'02.08 Kisaasi-Ntinda'!G47,'01.08 Kisaasi-Ntinda-24h'!G47,'03.08 Kisaasi-Ntinda-24h'!G47,'04.08 Kisaasi-Ntinda'!G47)</f>
        <v>0</v>
      </c>
      <c r="H47" s="49">
        <f>AVERAGE('29.07 Kisaasi-Ntinda'!H47,'30.07 Kisaasi-Ntinda'!H47,'31.07 Kisaasi-Ntinda'!H47,'02.08 Kisaasi-Ntinda'!H47,'01.08 Kisaasi-Ntinda-24h'!H47,'03.08 Kisaasi-Ntinda-24h'!H47,'04.08 Kisaasi-Ntinda'!H47)</f>
        <v>0</v>
      </c>
      <c r="I47" s="49">
        <f>AVERAGE('29.07 Kisaasi-Ntinda'!I47,'30.07 Kisaasi-Ntinda'!I47,'31.07 Kisaasi-Ntinda'!I47,'02.08 Kisaasi-Ntinda'!I47,'01.08 Kisaasi-Ntinda-24h'!I47,'03.08 Kisaasi-Ntinda-24h'!I47,'04.08 Kisaasi-Ntinda'!I47)</f>
        <v>1.4285714285714286</v>
      </c>
      <c r="J47" s="49">
        <f>AVERAGE('29.07 Kisaasi-Ntinda'!J47,'30.07 Kisaasi-Ntinda'!J47,'31.07 Kisaasi-Ntinda'!J47,'02.08 Kisaasi-Ntinda'!J47,'01.08 Kisaasi-Ntinda-24h'!J47,'03.08 Kisaasi-Ntinda-24h'!J47,'04.08 Kisaasi-Ntinda'!J47)</f>
        <v>1.1428571428571428</v>
      </c>
      <c r="K47" s="49">
        <f>AVERAGE('29.07 Kisaasi-Ntinda'!K47,'30.07 Kisaasi-Ntinda'!K47,'31.07 Kisaasi-Ntinda'!K47,'02.08 Kisaasi-Ntinda'!K47,'01.08 Kisaasi-Ntinda-24h'!K47,'03.08 Kisaasi-Ntinda-24h'!K47,'04.08 Kisaasi-Ntinda'!K47)</f>
        <v>0.5714285714285714</v>
      </c>
      <c r="L47" s="49">
        <f>AVERAGE('29.07 Kisaasi-Ntinda'!L47,'30.07 Kisaasi-Ntinda'!L47,'31.07 Kisaasi-Ntinda'!L47,'02.08 Kisaasi-Ntinda'!L47,'01.08 Kisaasi-Ntinda-24h'!L47,'03.08 Kisaasi-Ntinda-24h'!L47,'04.08 Kisaasi-Ntinda'!L47)</f>
        <v>1.1428571428571428</v>
      </c>
      <c r="M47" s="49">
        <f>AVERAGE('29.07 Kisaasi-Ntinda'!M47,'30.07 Kisaasi-Ntinda'!M47,'31.07 Kisaasi-Ntinda'!M47,'02.08 Kisaasi-Ntinda'!M47,'01.08 Kisaasi-Ntinda-24h'!M47,'03.08 Kisaasi-Ntinda-24h'!M47,'04.08 Kisaasi-Ntinda'!M47)</f>
        <v>89.142857142857139</v>
      </c>
      <c r="N47" s="49">
        <f>AVERAGE('29.07 Kisaasi-Ntinda'!N47,'30.07 Kisaasi-Ntinda'!N47,'31.07 Kisaasi-Ntinda'!N47,'02.08 Kisaasi-Ntinda'!N47,'01.08 Kisaasi-Ntinda-24h'!N47,'03.08 Kisaasi-Ntinda-24h'!N47,'04.08 Kisaasi-Ntinda'!N47)</f>
        <v>0</v>
      </c>
      <c r="O47" s="15">
        <f t="shared" si="0"/>
        <v>86.428571428571416</v>
      </c>
      <c r="P47" s="15">
        <f t="shared" si="1"/>
        <v>175.57142857142856</v>
      </c>
      <c r="R47" s="8"/>
      <c r="T47"/>
    </row>
    <row r="48" spans="2:32" ht="23.1" customHeight="1" x14ac:dyDescent="0.25">
      <c r="B48" s="24" t="s">
        <v>75</v>
      </c>
      <c r="C48" s="49">
        <f>AVERAGE('29.07 Kisaasi-Ntinda'!C48,'30.07 Kisaasi-Ntinda'!C48,'31.07 Kisaasi-Ntinda'!C48,'02.08 Kisaasi-Ntinda'!C48,'01.08 Kisaasi-Ntinda-24h'!C48,'03.08 Kisaasi-Ntinda-24h'!C48,'04.08 Kisaasi-Ntinda'!C48)</f>
        <v>39.142857142857146</v>
      </c>
      <c r="D48" s="49">
        <f>AVERAGE('29.07 Kisaasi-Ntinda'!D48,'30.07 Kisaasi-Ntinda'!D48,'31.07 Kisaasi-Ntinda'!D48,'02.08 Kisaasi-Ntinda'!D48,'01.08 Kisaasi-Ntinda-24h'!D48,'03.08 Kisaasi-Ntinda-24h'!D48,'04.08 Kisaasi-Ntinda'!D48)</f>
        <v>27.428571428571427</v>
      </c>
      <c r="E48" s="49">
        <f>AVERAGE('29.07 Kisaasi-Ntinda'!E48,'30.07 Kisaasi-Ntinda'!E48,'31.07 Kisaasi-Ntinda'!E48,'02.08 Kisaasi-Ntinda'!E48,'01.08 Kisaasi-Ntinda-24h'!E48,'03.08 Kisaasi-Ntinda-24h'!E48,'04.08 Kisaasi-Ntinda'!E48)</f>
        <v>9.7142857142857135</v>
      </c>
      <c r="F48" s="49">
        <f>AVERAGE('29.07 Kisaasi-Ntinda'!F48,'30.07 Kisaasi-Ntinda'!F48,'31.07 Kisaasi-Ntinda'!F48,'02.08 Kisaasi-Ntinda'!F48,'01.08 Kisaasi-Ntinda-24h'!F48,'03.08 Kisaasi-Ntinda-24h'!F48,'04.08 Kisaasi-Ntinda'!F48)</f>
        <v>11.857142857142858</v>
      </c>
      <c r="G48" s="49">
        <f>AVERAGE('29.07 Kisaasi-Ntinda'!G48,'30.07 Kisaasi-Ntinda'!G48,'31.07 Kisaasi-Ntinda'!G48,'02.08 Kisaasi-Ntinda'!G48,'01.08 Kisaasi-Ntinda-24h'!G48,'03.08 Kisaasi-Ntinda-24h'!G48,'04.08 Kisaasi-Ntinda'!G48)</f>
        <v>0.42857142857142855</v>
      </c>
      <c r="H48" s="49">
        <f>AVERAGE('29.07 Kisaasi-Ntinda'!H48,'30.07 Kisaasi-Ntinda'!H48,'31.07 Kisaasi-Ntinda'!H48,'02.08 Kisaasi-Ntinda'!H48,'01.08 Kisaasi-Ntinda-24h'!H48,'03.08 Kisaasi-Ntinda-24h'!H48,'04.08 Kisaasi-Ntinda'!H48)</f>
        <v>0</v>
      </c>
      <c r="I48" s="49">
        <f>AVERAGE('29.07 Kisaasi-Ntinda'!I48,'30.07 Kisaasi-Ntinda'!I48,'31.07 Kisaasi-Ntinda'!I48,'02.08 Kisaasi-Ntinda'!I48,'01.08 Kisaasi-Ntinda-24h'!I48,'03.08 Kisaasi-Ntinda-24h'!I48,'04.08 Kisaasi-Ntinda'!I48)</f>
        <v>2.8571428571428572</v>
      </c>
      <c r="J48" s="49">
        <f>AVERAGE('29.07 Kisaasi-Ntinda'!J48,'30.07 Kisaasi-Ntinda'!J48,'31.07 Kisaasi-Ntinda'!J48,'02.08 Kisaasi-Ntinda'!J48,'01.08 Kisaasi-Ntinda-24h'!J48,'03.08 Kisaasi-Ntinda-24h'!J48,'04.08 Kisaasi-Ntinda'!J48)</f>
        <v>2</v>
      </c>
      <c r="K48" s="49">
        <f>AVERAGE('29.07 Kisaasi-Ntinda'!K48,'30.07 Kisaasi-Ntinda'!K48,'31.07 Kisaasi-Ntinda'!K48,'02.08 Kisaasi-Ntinda'!K48,'01.08 Kisaasi-Ntinda-24h'!K48,'03.08 Kisaasi-Ntinda-24h'!K48,'04.08 Kisaasi-Ntinda'!K48)</f>
        <v>0.8571428571428571</v>
      </c>
      <c r="L48" s="49">
        <f>AVERAGE('29.07 Kisaasi-Ntinda'!L48,'30.07 Kisaasi-Ntinda'!L48,'31.07 Kisaasi-Ntinda'!L48,'02.08 Kisaasi-Ntinda'!L48,'01.08 Kisaasi-Ntinda-24h'!L48,'03.08 Kisaasi-Ntinda-24h'!L48,'04.08 Kisaasi-Ntinda'!L48)</f>
        <v>1.2857142857142858</v>
      </c>
      <c r="M48" s="49">
        <f>AVERAGE('29.07 Kisaasi-Ntinda'!M48,'30.07 Kisaasi-Ntinda'!M48,'31.07 Kisaasi-Ntinda'!M48,'02.08 Kisaasi-Ntinda'!M48,'01.08 Kisaasi-Ntinda-24h'!M48,'03.08 Kisaasi-Ntinda-24h'!M48,'04.08 Kisaasi-Ntinda'!M48)</f>
        <v>93.714285714285708</v>
      </c>
      <c r="N48" s="49">
        <f>AVERAGE('29.07 Kisaasi-Ntinda'!N48,'30.07 Kisaasi-Ntinda'!N48,'31.07 Kisaasi-Ntinda'!N48,'02.08 Kisaasi-Ntinda'!N48,'01.08 Kisaasi-Ntinda-24h'!N48,'03.08 Kisaasi-Ntinda-24h'!N48,'04.08 Kisaasi-Ntinda'!N48)</f>
        <v>0.14285714285714285</v>
      </c>
      <c r="O48" s="15">
        <f t="shared" si="0"/>
        <v>95.714285714285722</v>
      </c>
      <c r="P48" s="15">
        <f t="shared" si="1"/>
        <v>189.42857142857142</v>
      </c>
      <c r="R48" s="8"/>
      <c r="T48"/>
    </row>
    <row r="49" spans="2:20" ht="23.1" customHeight="1" x14ac:dyDescent="0.25">
      <c r="B49" s="23" t="s">
        <v>76</v>
      </c>
      <c r="C49" s="49">
        <f>AVERAGE('29.07 Kisaasi-Ntinda'!C49,'30.07 Kisaasi-Ntinda'!C49,'31.07 Kisaasi-Ntinda'!C49,'02.08 Kisaasi-Ntinda'!C49,'01.08 Kisaasi-Ntinda-24h'!C49,'03.08 Kisaasi-Ntinda-24h'!C49,'04.08 Kisaasi-Ntinda'!C49)</f>
        <v>37.571428571428569</v>
      </c>
      <c r="D49" s="49">
        <f>AVERAGE('29.07 Kisaasi-Ntinda'!D49,'30.07 Kisaasi-Ntinda'!D49,'31.07 Kisaasi-Ntinda'!D49,'02.08 Kisaasi-Ntinda'!D49,'01.08 Kisaasi-Ntinda-24h'!D49,'03.08 Kisaasi-Ntinda-24h'!D49,'04.08 Kisaasi-Ntinda'!D49)</f>
        <v>27.428571428571427</v>
      </c>
      <c r="E49" s="49">
        <f>AVERAGE('29.07 Kisaasi-Ntinda'!E49,'30.07 Kisaasi-Ntinda'!E49,'31.07 Kisaasi-Ntinda'!E49,'02.08 Kisaasi-Ntinda'!E49,'01.08 Kisaasi-Ntinda-24h'!E49,'03.08 Kisaasi-Ntinda-24h'!E49,'04.08 Kisaasi-Ntinda'!E49)</f>
        <v>13.142857142857142</v>
      </c>
      <c r="F49" s="49">
        <f>AVERAGE('29.07 Kisaasi-Ntinda'!F49,'30.07 Kisaasi-Ntinda'!F49,'31.07 Kisaasi-Ntinda'!F49,'02.08 Kisaasi-Ntinda'!F49,'01.08 Kisaasi-Ntinda-24h'!F49,'03.08 Kisaasi-Ntinda-24h'!F49,'04.08 Kisaasi-Ntinda'!F49)</f>
        <v>15</v>
      </c>
      <c r="G49" s="49">
        <f>AVERAGE('29.07 Kisaasi-Ntinda'!G49,'30.07 Kisaasi-Ntinda'!G49,'31.07 Kisaasi-Ntinda'!G49,'02.08 Kisaasi-Ntinda'!G49,'01.08 Kisaasi-Ntinda-24h'!G49,'03.08 Kisaasi-Ntinda-24h'!G49,'04.08 Kisaasi-Ntinda'!G49)</f>
        <v>0.14285714285714285</v>
      </c>
      <c r="H49" s="49">
        <f>AVERAGE('29.07 Kisaasi-Ntinda'!H49,'30.07 Kisaasi-Ntinda'!H49,'31.07 Kisaasi-Ntinda'!H49,'02.08 Kisaasi-Ntinda'!H49,'01.08 Kisaasi-Ntinda-24h'!H49,'03.08 Kisaasi-Ntinda-24h'!H49,'04.08 Kisaasi-Ntinda'!H49)</f>
        <v>0</v>
      </c>
      <c r="I49" s="49">
        <f>AVERAGE('29.07 Kisaasi-Ntinda'!I49,'30.07 Kisaasi-Ntinda'!I49,'31.07 Kisaasi-Ntinda'!I49,'02.08 Kisaasi-Ntinda'!I49,'01.08 Kisaasi-Ntinda-24h'!I49,'03.08 Kisaasi-Ntinda-24h'!I49,'04.08 Kisaasi-Ntinda'!I49)</f>
        <v>2.4285714285714284</v>
      </c>
      <c r="J49" s="49">
        <f>AVERAGE('29.07 Kisaasi-Ntinda'!J49,'30.07 Kisaasi-Ntinda'!J49,'31.07 Kisaasi-Ntinda'!J49,'02.08 Kisaasi-Ntinda'!J49,'01.08 Kisaasi-Ntinda-24h'!J49,'03.08 Kisaasi-Ntinda-24h'!J49,'04.08 Kisaasi-Ntinda'!J49)</f>
        <v>2.4285714285714284</v>
      </c>
      <c r="K49" s="49">
        <f>AVERAGE('29.07 Kisaasi-Ntinda'!K49,'30.07 Kisaasi-Ntinda'!K49,'31.07 Kisaasi-Ntinda'!K49,'02.08 Kisaasi-Ntinda'!K49,'01.08 Kisaasi-Ntinda-24h'!K49,'03.08 Kisaasi-Ntinda-24h'!K49,'04.08 Kisaasi-Ntinda'!K49)</f>
        <v>0.42857142857142855</v>
      </c>
      <c r="L49" s="49">
        <f>AVERAGE('29.07 Kisaasi-Ntinda'!L49,'30.07 Kisaasi-Ntinda'!L49,'31.07 Kisaasi-Ntinda'!L49,'02.08 Kisaasi-Ntinda'!L49,'01.08 Kisaasi-Ntinda-24h'!L49,'03.08 Kisaasi-Ntinda-24h'!L49,'04.08 Kisaasi-Ntinda'!L49)</f>
        <v>1.8571428571428572</v>
      </c>
      <c r="M49" s="49">
        <f>AVERAGE('29.07 Kisaasi-Ntinda'!M49,'30.07 Kisaasi-Ntinda'!M49,'31.07 Kisaasi-Ntinda'!M49,'02.08 Kisaasi-Ntinda'!M49,'01.08 Kisaasi-Ntinda-24h'!M49,'03.08 Kisaasi-Ntinda-24h'!M49,'04.08 Kisaasi-Ntinda'!M49)</f>
        <v>94.714285714285708</v>
      </c>
      <c r="N49" s="49">
        <f>AVERAGE('29.07 Kisaasi-Ntinda'!N49,'30.07 Kisaasi-Ntinda'!N49,'31.07 Kisaasi-Ntinda'!N49,'02.08 Kisaasi-Ntinda'!N49,'01.08 Kisaasi-Ntinda-24h'!N49,'03.08 Kisaasi-Ntinda-24h'!N49,'04.08 Kisaasi-Ntinda'!N49)</f>
        <v>0.14285714285714285</v>
      </c>
      <c r="O49" s="15">
        <f t="shared" si="0"/>
        <v>100.57142857142857</v>
      </c>
      <c r="P49" s="15">
        <f t="shared" si="1"/>
        <v>195.28571428571428</v>
      </c>
      <c r="R49" s="8"/>
      <c r="T49"/>
    </row>
    <row r="50" spans="2:20" ht="23.1" customHeight="1" x14ac:dyDescent="0.25">
      <c r="B50" s="24" t="s">
        <v>77</v>
      </c>
      <c r="C50" s="49">
        <f>AVERAGE('29.07 Kisaasi-Ntinda'!C50,'30.07 Kisaasi-Ntinda'!C50,'31.07 Kisaasi-Ntinda'!C50,'02.08 Kisaasi-Ntinda'!C50,'01.08 Kisaasi-Ntinda-24h'!C50,'03.08 Kisaasi-Ntinda-24h'!C50,'04.08 Kisaasi-Ntinda'!C50)</f>
        <v>45.857142857142854</v>
      </c>
      <c r="D50" s="49">
        <f>AVERAGE('29.07 Kisaasi-Ntinda'!D50,'30.07 Kisaasi-Ntinda'!D50,'31.07 Kisaasi-Ntinda'!D50,'02.08 Kisaasi-Ntinda'!D50,'01.08 Kisaasi-Ntinda-24h'!D50,'03.08 Kisaasi-Ntinda-24h'!D50,'04.08 Kisaasi-Ntinda'!D50)</f>
        <v>24.714285714285715</v>
      </c>
      <c r="E50" s="49">
        <f>AVERAGE('29.07 Kisaasi-Ntinda'!E50,'30.07 Kisaasi-Ntinda'!E50,'31.07 Kisaasi-Ntinda'!E50,'02.08 Kisaasi-Ntinda'!E50,'01.08 Kisaasi-Ntinda-24h'!E50,'03.08 Kisaasi-Ntinda-24h'!E50,'04.08 Kisaasi-Ntinda'!E50)</f>
        <v>7.7142857142857144</v>
      </c>
      <c r="F50" s="49">
        <f>AVERAGE('29.07 Kisaasi-Ntinda'!F50,'30.07 Kisaasi-Ntinda'!F50,'31.07 Kisaasi-Ntinda'!F50,'02.08 Kisaasi-Ntinda'!F50,'01.08 Kisaasi-Ntinda-24h'!F50,'03.08 Kisaasi-Ntinda-24h'!F50,'04.08 Kisaasi-Ntinda'!F50)</f>
        <v>11.714285714285714</v>
      </c>
      <c r="G50" s="49">
        <f>AVERAGE('29.07 Kisaasi-Ntinda'!G50,'30.07 Kisaasi-Ntinda'!G50,'31.07 Kisaasi-Ntinda'!G50,'02.08 Kisaasi-Ntinda'!G50,'01.08 Kisaasi-Ntinda-24h'!G50,'03.08 Kisaasi-Ntinda-24h'!G50,'04.08 Kisaasi-Ntinda'!G50)</f>
        <v>0.14285714285714285</v>
      </c>
      <c r="H50" s="49">
        <f>AVERAGE('29.07 Kisaasi-Ntinda'!H50,'30.07 Kisaasi-Ntinda'!H50,'31.07 Kisaasi-Ntinda'!H50,'02.08 Kisaasi-Ntinda'!H50,'01.08 Kisaasi-Ntinda-24h'!H50,'03.08 Kisaasi-Ntinda-24h'!H50,'04.08 Kisaasi-Ntinda'!H50)</f>
        <v>0</v>
      </c>
      <c r="I50" s="49">
        <f>AVERAGE('29.07 Kisaasi-Ntinda'!I50,'30.07 Kisaasi-Ntinda'!I50,'31.07 Kisaasi-Ntinda'!I50,'02.08 Kisaasi-Ntinda'!I50,'01.08 Kisaasi-Ntinda-24h'!I50,'03.08 Kisaasi-Ntinda-24h'!I50,'04.08 Kisaasi-Ntinda'!I50)</f>
        <v>2.4285714285714284</v>
      </c>
      <c r="J50" s="49">
        <f>AVERAGE('29.07 Kisaasi-Ntinda'!J50,'30.07 Kisaasi-Ntinda'!J50,'31.07 Kisaasi-Ntinda'!J50,'02.08 Kisaasi-Ntinda'!J50,'01.08 Kisaasi-Ntinda-24h'!J50,'03.08 Kisaasi-Ntinda-24h'!J50,'04.08 Kisaasi-Ntinda'!J50)</f>
        <v>1.7142857142857142</v>
      </c>
      <c r="K50" s="49">
        <f>AVERAGE('29.07 Kisaasi-Ntinda'!K50,'30.07 Kisaasi-Ntinda'!K50,'31.07 Kisaasi-Ntinda'!K50,'02.08 Kisaasi-Ntinda'!K50,'01.08 Kisaasi-Ntinda-24h'!K50,'03.08 Kisaasi-Ntinda-24h'!K50,'04.08 Kisaasi-Ntinda'!K50)</f>
        <v>1</v>
      </c>
      <c r="L50" s="49">
        <f>AVERAGE('29.07 Kisaasi-Ntinda'!L50,'30.07 Kisaasi-Ntinda'!L50,'31.07 Kisaasi-Ntinda'!L50,'02.08 Kisaasi-Ntinda'!L50,'01.08 Kisaasi-Ntinda-24h'!L50,'03.08 Kisaasi-Ntinda-24h'!L50,'04.08 Kisaasi-Ntinda'!L50)</f>
        <v>1.8571428571428572</v>
      </c>
      <c r="M50" s="49">
        <f>AVERAGE('29.07 Kisaasi-Ntinda'!M50,'30.07 Kisaasi-Ntinda'!M50,'31.07 Kisaasi-Ntinda'!M50,'02.08 Kisaasi-Ntinda'!M50,'01.08 Kisaasi-Ntinda-24h'!M50,'03.08 Kisaasi-Ntinda-24h'!M50,'04.08 Kisaasi-Ntinda'!M50)</f>
        <v>94.142857142857139</v>
      </c>
      <c r="N50" s="49">
        <f>AVERAGE('29.07 Kisaasi-Ntinda'!N50,'30.07 Kisaasi-Ntinda'!N50,'31.07 Kisaasi-Ntinda'!N50,'02.08 Kisaasi-Ntinda'!N50,'01.08 Kisaasi-Ntinda-24h'!N50,'03.08 Kisaasi-Ntinda-24h'!N50,'04.08 Kisaasi-Ntinda'!N50)</f>
        <v>0.14285714285714285</v>
      </c>
      <c r="O50" s="15">
        <f t="shared" si="0"/>
        <v>97.285714285714263</v>
      </c>
      <c r="P50" s="15">
        <f t="shared" si="1"/>
        <v>191.42857142857142</v>
      </c>
      <c r="R50" s="8"/>
      <c r="T50"/>
    </row>
    <row r="51" spans="2:20" ht="23.1" customHeight="1" x14ac:dyDescent="0.25">
      <c r="B51" s="24" t="s">
        <v>78</v>
      </c>
      <c r="C51" s="49">
        <f>AVERAGE('29.07 Kisaasi-Ntinda'!C51,'30.07 Kisaasi-Ntinda'!C51,'31.07 Kisaasi-Ntinda'!C51,'02.08 Kisaasi-Ntinda'!C51,'01.08 Kisaasi-Ntinda-24h'!C51,'03.08 Kisaasi-Ntinda-24h'!C51,'04.08 Kisaasi-Ntinda'!C51)</f>
        <v>38.857142857142854</v>
      </c>
      <c r="D51" s="49">
        <f>AVERAGE('29.07 Kisaasi-Ntinda'!D51,'30.07 Kisaasi-Ntinda'!D51,'31.07 Kisaasi-Ntinda'!D51,'02.08 Kisaasi-Ntinda'!D51,'01.08 Kisaasi-Ntinda-24h'!D51,'03.08 Kisaasi-Ntinda-24h'!D51,'04.08 Kisaasi-Ntinda'!D51)</f>
        <v>26.571428571428573</v>
      </c>
      <c r="E51" s="49">
        <f>AVERAGE('29.07 Kisaasi-Ntinda'!E51,'30.07 Kisaasi-Ntinda'!E51,'31.07 Kisaasi-Ntinda'!E51,'02.08 Kisaasi-Ntinda'!E51,'01.08 Kisaasi-Ntinda-24h'!E51,'03.08 Kisaasi-Ntinda-24h'!E51,'04.08 Kisaasi-Ntinda'!E51)</f>
        <v>12.571428571428571</v>
      </c>
      <c r="F51" s="49">
        <f>AVERAGE('29.07 Kisaasi-Ntinda'!F51,'30.07 Kisaasi-Ntinda'!F51,'31.07 Kisaasi-Ntinda'!F51,'02.08 Kisaasi-Ntinda'!F51,'01.08 Kisaasi-Ntinda-24h'!F51,'03.08 Kisaasi-Ntinda-24h'!F51,'04.08 Kisaasi-Ntinda'!F51)</f>
        <v>13.142857142857142</v>
      </c>
      <c r="G51" s="49">
        <f>AVERAGE('29.07 Kisaasi-Ntinda'!G51,'30.07 Kisaasi-Ntinda'!G51,'31.07 Kisaasi-Ntinda'!G51,'02.08 Kisaasi-Ntinda'!G51,'01.08 Kisaasi-Ntinda-24h'!G51,'03.08 Kisaasi-Ntinda-24h'!G51,'04.08 Kisaasi-Ntinda'!G51)</f>
        <v>0.2857142857142857</v>
      </c>
      <c r="H51" s="49">
        <f>AVERAGE('29.07 Kisaasi-Ntinda'!H51,'30.07 Kisaasi-Ntinda'!H51,'31.07 Kisaasi-Ntinda'!H51,'02.08 Kisaasi-Ntinda'!H51,'01.08 Kisaasi-Ntinda-24h'!H51,'03.08 Kisaasi-Ntinda-24h'!H51,'04.08 Kisaasi-Ntinda'!H51)</f>
        <v>0</v>
      </c>
      <c r="I51" s="49">
        <f>AVERAGE('29.07 Kisaasi-Ntinda'!I51,'30.07 Kisaasi-Ntinda'!I51,'31.07 Kisaasi-Ntinda'!I51,'02.08 Kisaasi-Ntinda'!I51,'01.08 Kisaasi-Ntinda-24h'!I51,'03.08 Kisaasi-Ntinda-24h'!I51,'04.08 Kisaasi-Ntinda'!I51)</f>
        <v>2.4285714285714284</v>
      </c>
      <c r="J51" s="49">
        <f>AVERAGE('29.07 Kisaasi-Ntinda'!J51,'30.07 Kisaasi-Ntinda'!J51,'31.07 Kisaasi-Ntinda'!J51,'02.08 Kisaasi-Ntinda'!J51,'01.08 Kisaasi-Ntinda-24h'!J51,'03.08 Kisaasi-Ntinda-24h'!J51,'04.08 Kisaasi-Ntinda'!J51)</f>
        <v>1.7142857142857142</v>
      </c>
      <c r="K51" s="49">
        <f>AVERAGE('29.07 Kisaasi-Ntinda'!K51,'30.07 Kisaasi-Ntinda'!K51,'31.07 Kisaasi-Ntinda'!K51,'02.08 Kisaasi-Ntinda'!K51,'01.08 Kisaasi-Ntinda-24h'!K51,'03.08 Kisaasi-Ntinda-24h'!K51,'04.08 Kisaasi-Ntinda'!K51)</f>
        <v>0.7142857142857143</v>
      </c>
      <c r="L51" s="49">
        <f>AVERAGE('29.07 Kisaasi-Ntinda'!L51,'30.07 Kisaasi-Ntinda'!L51,'31.07 Kisaasi-Ntinda'!L51,'02.08 Kisaasi-Ntinda'!L51,'01.08 Kisaasi-Ntinda-24h'!L51,'03.08 Kisaasi-Ntinda-24h'!L51,'04.08 Kisaasi-Ntinda'!L51)</f>
        <v>0.8571428571428571</v>
      </c>
      <c r="M51" s="49">
        <f>AVERAGE('29.07 Kisaasi-Ntinda'!M51,'30.07 Kisaasi-Ntinda'!M51,'31.07 Kisaasi-Ntinda'!M51,'02.08 Kisaasi-Ntinda'!M51,'01.08 Kisaasi-Ntinda-24h'!M51,'03.08 Kisaasi-Ntinda-24h'!M51,'04.08 Kisaasi-Ntinda'!M51)</f>
        <v>91</v>
      </c>
      <c r="N51" s="49">
        <f>AVERAGE('29.07 Kisaasi-Ntinda'!N51,'30.07 Kisaasi-Ntinda'!N51,'31.07 Kisaasi-Ntinda'!N51,'02.08 Kisaasi-Ntinda'!N51,'01.08 Kisaasi-Ntinda-24h'!N51,'03.08 Kisaasi-Ntinda-24h'!N51,'04.08 Kisaasi-Ntinda'!N51)</f>
        <v>0</v>
      </c>
      <c r="O51" s="15">
        <f t="shared" si="0"/>
        <v>97.142857142857139</v>
      </c>
      <c r="P51" s="15">
        <f t="shared" si="1"/>
        <v>188.14285714285714</v>
      </c>
      <c r="R51" s="8"/>
      <c r="T51"/>
    </row>
    <row r="52" spans="2:20" ht="23.1" customHeight="1" x14ac:dyDescent="0.25">
      <c r="B52" s="24" t="s">
        <v>79</v>
      </c>
      <c r="C52" s="49">
        <f>AVERAGE('29.07 Kisaasi-Ntinda'!C52,'30.07 Kisaasi-Ntinda'!C52,'31.07 Kisaasi-Ntinda'!C52,'02.08 Kisaasi-Ntinda'!C52,'01.08 Kisaasi-Ntinda-24h'!C52,'03.08 Kisaasi-Ntinda-24h'!C52,'04.08 Kisaasi-Ntinda'!C52)</f>
        <v>38.571428571428569</v>
      </c>
      <c r="D52" s="49">
        <f>AVERAGE('29.07 Kisaasi-Ntinda'!D52,'30.07 Kisaasi-Ntinda'!D52,'31.07 Kisaasi-Ntinda'!D52,'02.08 Kisaasi-Ntinda'!D52,'01.08 Kisaasi-Ntinda-24h'!D52,'03.08 Kisaasi-Ntinda-24h'!D52,'04.08 Kisaasi-Ntinda'!D52)</f>
        <v>24.142857142857142</v>
      </c>
      <c r="E52" s="49">
        <f>AVERAGE('29.07 Kisaasi-Ntinda'!E52,'30.07 Kisaasi-Ntinda'!E52,'31.07 Kisaasi-Ntinda'!E52,'02.08 Kisaasi-Ntinda'!E52,'01.08 Kisaasi-Ntinda-24h'!E52,'03.08 Kisaasi-Ntinda-24h'!E52,'04.08 Kisaasi-Ntinda'!E52)</f>
        <v>13</v>
      </c>
      <c r="F52" s="49">
        <f>AVERAGE('29.07 Kisaasi-Ntinda'!F52,'30.07 Kisaasi-Ntinda'!F52,'31.07 Kisaasi-Ntinda'!F52,'02.08 Kisaasi-Ntinda'!F52,'01.08 Kisaasi-Ntinda-24h'!F52,'03.08 Kisaasi-Ntinda-24h'!F52,'04.08 Kisaasi-Ntinda'!F52)</f>
        <v>17.428571428571427</v>
      </c>
      <c r="G52" s="49">
        <f>AVERAGE('29.07 Kisaasi-Ntinda'!G52,'30.07 Kisaasi-Ntinda'!G52,'31.07 Kisaasi-Ntinda'!G52,'02.08 Kisaasi-Ntinda'!G52,'01.08 Kisaasi-Ntinda-24h'!G52,'03.08 Kisaasi-Ntinda-24h'!G52,'04.08 Kisaasi-Ntinda'!G52)</f>
        <v>0.7142857142857143</v>
      </c>
      <c r="H52" s="49">
        <f>AVERAGE('29.07 Kisaasi-Ntinda'!H52,'30.07 Kisaasi-Ntinda'!H52,'31.07 Kisaasi-Ntinda'!H52,'02.08 Kisaasi-Ntinda'!H52,'01.08 Kisaasi-Ntinda-24h'!H52,'03.08 Kisaasi-Ntinda-24h'!H52,'04.08 Kisaasi-Ntinda'!H52)</f>
        <v>0</v>
      </c>
      <c r="I52" s="49">
        <f>AVERAGE('29.07 Kisaasi-Ntinda'!I52,'30.07 Kisaasi-Ntinda'!I52,'31.07 Kisaasi-Ntinda'!I52,'02.08 Kisaasi-Ntinda'!I52,'01.08 Kisaasi-Ntinda-24h'!I52,'03.08 Kisaasi-Ntinda-24h'!I52,'04.08 Kisaasi-Ntinda'!I52)</f>
        <v>3.2857142857142856</v>
      </c>
      <c r="J52" s="49">
        <f>AVERAGE('29.07 Kisaasi-Ntinda'!J52,'30.07 Kisaasi-Ntinda'!J52,'31.07 Kisaasi-Ntinda'!J52,'02.08 Kisaasi-Ntinda'!J52,'01.08 Kisaasi-Ntinda-24h'!J52,'03.08 Kisaasi-Ntinda-24h'!J52,'04.08 Kisaasi-Ntinda'!J52)</f>
        <v>3</v>
      </c>
      <c r="K52" s="49">
        <f>AVERAGE('29.07 Kisaasi-Ntinda'!K52,'30.07 Kisaasi-Ntinda'!K52,'31.07 Kisaasi-Ntinda'!K52,'02.08 Kisaasi-Ntinda'!K52,'01.08 Kisaasi-Ntinda-24h'!K52,'03.08 Kisaasi-Ntinda-24h'!K52,'04.08 Kisaasi-Ntinda'!K52)</f>
        <v>1</v>
      </c>
      <c r="L52" s="49">
        <f>AVERAGE('29.07 Kisaasi-Ntinda'!L52,'30.07 Kisaasi-Ntinda'!L52,'31.07 Kisaasi-Ntinda'!L52,'02.08 Kisaasi-Ntinda'!L52,'01.08 Kisaasi-Ntinda-24h'!L52,'03.08 Kisaasi-Ntinda-24h'!L52,'04.08 Kisaasi-Ntinda'!L52)</f>
        <v>0.7142857142857143</v>
      </c>
      <c r="M52" s="49">
        <f>AVERAGE('29.07 Kisaasi-Ntinda'!M52,'30.07 Kisaasi-Ntinda'!M52,'31.07 Kisaasi-Ntinda'!M52,'02.08 Kisaasi-Ntinda'!M52,'01.08 Kisaasi-Ntinda-24h'!M52,'03.08 Kisaasi-Ntinda-24h'!M52,'04.08 Kisaasi-Ntinda'!M52)</f>
        <v>108.28571428571429</v>
      </c>
      <c r="N52" s="49">
        <f>AVERAGE('29.07 Kisaasi-Ntinda'!N52,'30.07 Kisaasi-Ntinda'!N52,'31.07 Kisaasi-Ntinda'!N52,'02.08 Kisaasi-Ntinda'!N52,'01.08 Kisaasi-Ntinda-24h'!N52,'03.08 Kisaasi-Ntinda-24h'!N52,'04.08 Kisaasi-Ntinda'!N52)</f>
        <v>0</v>
      </c>
      <c r="O52" s="15">
        <f t="shared" si="0"/>
        <v>101.85714285714285</v>
      </c>
      <c r="P52" s="15">
        <f t="shared" si="1"/>
        <v>210.14285714285714</v>
      </c>
      <c r="R52" s="8"/>
      <c r="T52"/>
    </row>
    <row r="53" spans="2:20" ht="23.1" customHeight="1" x14ac:dyDescent="0.25">
      <c r="B53" s="23" t="s">
        <v>80</v>
      </c>
      <c r="C53" s="49">
        <f>AVERAGE('29.07 Kisaasi-Ntinda'!C53,'30.07 Kisaasi-Ntinda'!C53,'31.07 Kisaasi-Ntinda'!C53,'02.08 Kisaasi-Ntinda'!C53,'01.08 Kisaasi-Ntinda-24h'!C53,'03.08 Kisaasi-Ntinda-24h'!C53,'04.08 Kisaasi-Ntinda'!C53)</f>
        <v>38.857142857142854</v>
      </c>
      <c r="D53" s="49">
        <f>AVERAGE('29.07 Kisaasi-Ntinda'!D53,'30.07 Kisaasi-Ntinda'!D53,'31.07 Kisaasi-Ntinda'!D53,'02.08 Kisaasi-Ntinda'!D53,'01.08 Kisaasi-Ntinda-24h'!D53,'03.08 Kisaasi-Ntinda-24h'!D53,'04.08 Kisaasi-Ntinda'!D53)</f>
        <v>26.857142857142858</v>
      </c>
      <c r="E53" s="49">
        <f>AVERAGE('29.07 Kisaasi-Ntinda'!E53,'30.07 Kisaasi-Ntinda'!E53,'31.07 Kisaasi-Ntinda'!E53,'02.08 Kisaasi-Ntinda'!E53,'01.08 Kisaasi-Ntinda-24h'!E53,'03.08 Kisaasi-Ntinda-24h'!E53,'04.08 Kisaasi-Ntinda'!E53)</f>
        <v>11.142857142857142</v>
      </c>
      <c r="F53" s="49">
        <f>AVERAGE('29.07 Kisaasi-Ntinda'!F53,'30.07 Kisaasi-Ntinda'!F53,'31.07 Kisaasi-Ntinda'!F53,'02.08 Kisaasi-Ntinda'!F53,'01.08 Kisaasi-Ntinda-24h'!F53,'03.08 Kisaasi-Ntinda-24h'!F53,'04.08 Kisaasi-Ntinda'!F53)</f>
        <v>11.714285714285714</v>
      </c>
      <c r="G53" s="49">
        <f>AVERAGE('29.07 Kisaasi-Ntinda'!G53,'30.07 Kisaasi-Ntinda'!G53,'31.07 Kisaasi-Ntinda'!G53,'02.08 Kisaasi-Ntinda'!G53,'01.08 Kisaasi-Ntinda-24h'!G53,'03.08 Kisaasi-Ntinda-24h'!G53,'04.08 Kisaasi-Ntinda'!G53)</f>
        <v>0</v>
      </c>
      <c r="H53" s="49">
        <f>AVERAGE('29.07 Kisaasi-Ntinda'!H53,'30.07 Kisaasi-Ntinda'!H53,'31.07 Kisaasi-Ntinda'!H53,'02.08 Kisaasi-Ntinda'!H53,'01.08 Kisaasi-Ntinda-24h'!H53,'03.08 Kisaasi-Ntinda-24h'!H53,'04.08 Kisaasi-Ntinda'!H53)</f>
        <v>0</v>
      </c>
      <c r="I53" s="49">
        <f>AVERAGE('29.07 Kisaasi-Ntinda'!I53,'30.07 Kisaasi-Ntinda'!I53,'31.07 Kisaasi-Ntinda'!I53,'02.08 Kisaasi-Ntinda'!I53,'01.08 Kisaasi-Ntinda-24h'!I53,'03.08 Kisaasi-Ntinda-24h'!I53,'04.08 Kisaasi-Ntinda'!I53)</f>
        <v>3.2857142857142856</v>
      </c>
      <c r="J53" s="49">
        <f>AVERAGE('29.07 Kisaasi-Ntinda'!J53,'30.07 Kisaasi-Ntinda'!J53,'31.07 Kisaasi-Ntinda'!J53,'02.08 Kisaasi-Ntinda'!J53,'01.08 Kisaasi-Ntinda-24h'!J53,'03.08 Kisaasi-Ntinda-24h'!J53,'04.08 Kisaasi-Ntinda'!J53)</f>
        <v>2.1428571428571428</v>
      </c>
      <c r="K53" s="49">
        <f>AVERAGE('29.07 Kisaasi-Ntinda'!K53,'30.07 Kisaasi-Ntinda'!K53,'31.07 Kisaasi-Ntinda'!K53,'02.08 Kisaasi-Ntinda'!K53,'01.08 Kisaasi-Ntinda-24h'!K53,'03.08 Kisaasi-Ntinda-24h'!K53,'04.08 Kisaasi-Ntinda'!K53)</f>
        <v>0.5714285714285714</v>
      </c>
      <c r="L53" s="49">
        <f>AVERAGE('29.07 Kisaasi-Ntinda'!L53,'30.07 Kisaasi-Ntinda'!L53,'31.07 Kisaasi-Ntinda'!L53,'02.08 Kisaasi-Ntinda'!L53,'01.08 Kisaasi-Ntinda-24h'!L53,'03.08 Kisaasi-Ntinda-24h'!L53,'04.08 Kisaasi-Ntinda'!L53)</f>
        <v>1.1428571428571428</v>
      </c>
      <c r="M53" s="49">
        <f>AVERAGE('29.07 Kisaasi-Ntinda'!M53,'30.07 Kisaasi-Ntinda'!M53,'31.07 Kisaasi-Ntinda'!M53,'02.08 Kisaasi-Ntinda'!M53,'01.08 Kisaasi-Ntinda-24h'!M53,'03.08 Kisaasi-Ntinda-24h'!M53,'04.08 Kisaasi-Ntinda'!M53)</f>
        <v>100</v>
      </c>
      <c r="N53" s="49">
        <f>AVERAGE('29.07 Kisaasi-Ntinda'!N53,'30.07 Kisaasi-Ntinda'!N53,'31.07 Kisaasi-Ntinda'!N53,'02.08 Kisaasi-Ntinda'!N53,'01.08 Kisaasi-Ntinda-24h'!N53,'03.08 Kisaasi-Ntinda-24h'!N53,'04.08 Kisaasi-Ntinda'!N53)</f>
        <v>0</v>
      </c>
      <c r="O53" s="15">
        <f t="shared" si="0"/>
        <v>95.714285714285694</v>
      </c>
      <c r="P53" s="15">
        <f t="shared" si="1"/>
        <v>195.71428571428569</v>
      </c>
      <c r="R53" s="8"/>
      <c r="T53"/>
    </row>
    <row r="54" spans="2:20" ht="23.1" customHeight="1" x14ac:dyDescent="0.25">
      <c r="B54" s="23" t="s">
        <v>81</v>
      </c>
      <c r="C54" s="49">
        <f>AVERAGE('29.07 Kisaasi-Ntinda'!C54,'30.07 Kisaasi-Ntinda'!C54,'31.07 Kisaasi-Ntinda'!C54,'02.08 Kisaasi-Ntinda'!C54,'01.08 Kisaasi-Ntinda-24h'!C54,'03.08 Kisaasi-Ntinda-24h'!C54,'04.08 Kisaasi-Ntinda'!C54)</f>
        <v>33.285714285714285</v>
      </c>
      <c r="D54" s="49">
        <f>AVERAGE('29.07 Kisaasi-Ntinda'!D54,'30.07 Kisaasi-Ntinda'!D54,'31.07 Kisaasi-Ntinda'!D54,'02.08 Kisaasi-Ntinda'!D54,'01.08 Kisaasi-Ntinda-24h'!D54,'03.08 Kisaasi-Ntinda-24h'!D54,'04.08 Kisaasi-Ntinda'!D54)</f>
        <v>25.857142857142858</v>
      </c>
      <c r="E54" s="49">
        <f>AVERAGE('29.07 Kisaasi-Ntinda'!E54,'30.07 Kisaasi-Ntinda'!E54,'31.07 Kisaasi-Ntinda'!E54,'02.08 Kisaasi-Ntinda'!E54,'01.08 Kisaasi-Ntinda-24h'!E54,'03.08 Kisaasi-Ntinda-24h'!E54,'04.08 Kisaasi-Ntinda'!E54)</f>
        <v>8.8571428571428577</v>
      </c>
      <c r="F54" s="49">
        <f>AVERAGE('29.07 Kisaasi-Ntinda'!F54,'30.07 Kisaasi-Ntinda'!F54,'31.07 Kisaasi-Ntinda'!F54,'02.08 Kisaasi-Ntinda'!F54,'01.08 Kisaasi-Ntinda-24h'!F54,'03.08 Kisaasi-Ntinda-24h'!F54,'04.08 Kisaasi-Ntinda'!F54)</f>
        <v>11.857142857142858</v>
      </c>
      <c r="G54" s="49">
        <f>AVERAGE('29.07 Kisaasi-Ntinda'!G54,'30.07 Kisaasi-Ntinda'!G54,'31.07 Kisaasi-Ntinda'!G54,'02.08 Kisaasi-Ntinda'!G54,'01.08 Kisaasi-Ntinda-24h'!G54,'03.08 Kisaasi-Ntinda-24h'!G54,'04.08 Kisaasi-Ntinda'!G54)</f>
        <v>0</v>
      </c>
      <c r="H54" s="49">
        <f>AVERAGE('29.07 Kisaasi-Ntinda'!H54,'30.07 Kisaasi-Ntinda'!H54,'31.07 Kisaasi-Ntinda'!H54,'02.08 Kisaasi-Ntinda'!H54,'01.08 Kisaasi-Ntinda-24h'!H54,'03.08 Kisaasi-Ntinda-24h'!H54,'04.08 Kisaasi-Ntinda'!H54)</f>
        <v>0</v>
      </c>
      <c r="I54" s="49">
        <f>AVERAGE('29.07 Kisaasi-Ntinda'!I54,'30.07 Kisaasi-Ntinda'!I54,'31.07 Kisaasi-Ntinda'!I54,'02.08 Kisaasi-Ntinda'!I54,'01.08 Kisaasi-Ntinda-24h'!I54,'03.08 Kisaasi-Ntinda-24h'!I54,'04.08 Kisaasi-Ntinda'!I54)</f>
        <v>2.2857142857142856</v>
      </c>
      <c r="J54" s="49">
        <f>AVERAGE('29.07 Kisaasi-Ntinda'!J54,'30.07 Kisaasi-Ntinda'!J54,'31.07 Kisaasi-Ntinda'!J54,'02.08 Kisaasi-Ntinda'!J54,'01.08 Kisaasi-Ntinda-24h'!J54,'03.08 Kisaasi-Ntinda-24h'!J54,'04.08 Kisaasi-Ntinda'!J54)</f>
        <v>1.4285714285714286</v>
      </c>
      <c r="K54" s="49">
        <f>AVERAGE('29.07 Kisaasi-Ntinda'!K54,'30.07 Kisaasi-Ntinda'!K54,'31.07 Kisaasi-Ntinda'!K54,'02.08 Kisaasi-Ntinda'!K54,'01.08 Kisaasi-Ntinda-24h'!K54,'03.08 Kisaasi-Ntinda-24h'!K54,'04.08 Kisaasi-Ntinda'!K54)</f>
        <v>2.1428571428571428</v>
      </c>
      <c r="L54" s="49">
        <f>AVERAGE('29.07 Kisaasi-Ntinda'!L54,'30.07 Kisaasi-Ntinda'!L54,'31.07 Kisaasi-Ntinda'!L54,'02.08 Kisaasi-Ntinda'!L54,'01.08 Kisaasi-Ntinda-24h'!L54,'03.08 Kisaasi-Ntinda-24h'!L54,'04.08 Kisaasi-Ntinda'!L54)</f>
        <v>0.7142857142857143</v>
      </c>
      <c r="M54" s="49">
        <f>AVERAGE('29.07 Kisaasi-Ntinda'!M54,'30.07 Kisaasi-Ntinda'!M54,'31.07 Kisaasi-Ntinda'!M54,'02.08 Kisaasi-Ntinda'!M54,'01.08 Kisaasi-Ntinda-24h'!M54,'03.08 Kisaasi-Ntinda-24h'!M54,'04.08 Kisaasi-Ntinda'!M54)</f>
        <v>102.28571428571429</v>
      </c>
      <c r="N54" s="49">
        <f>AVERAGE('29.07 Kisaasi-Ntinda'!N54,'30.07 Kisaasi-Ntinda'!N54,'31.07 Kisaasi-Ntinda'!N54,'02.08 Kisaasi-Ntinda'!N54,'01.08 Kisaasi-Ntinda-24h'!N54,'03.08 Kisaasi-Ntinda-24h'!N54,'04.08 Kisaasi-Ntinda'!N54)</f>
        <v>0</v>
      </c>
      <c r="O54" s="15">
        <f t="shared" si="0"/>
        <v>86.428571428571431</v>
      </c>
      <c r="P54" s="15">
        <f t="shared" si="1"/>
        <v>188.71428571428572</v>
      </c>
      <c r="R54" s="8"/>
      <c r="T54"/>
    </row>
    <row r="55" spans="2:20" ht="23.1" customHeight="1" x14ac:dyDescent="0.25">
      <c r="B55" s="23" t="s">
        <v>82</v>
      </c>
      <c r="C55" s="49">
        <f>AVERAGE('29.07 Kisaasi-Ntinda'!C55,'30.07 Kisaasi-Ntinda'!C55,'31.07 Kisaasi-Ntinda'!C55,'02.08 Kisaasi-Ntinda'!C55,'01.08 Kisaasi-Ntinda-24h'!C55,'03.08 Kisaasi-Ntinda-24h'!C55,'04.08 Kisaasi-Ntinda'!C55)</f>
        <v>34.571428571428569</v>
      </c>
      <c r="D55" s="49">
        <f>AVERAGE('29.07 Kisaasi-Ntinda'!D55,'30.07 Kisaasi-Ntinda'!D55,'31.07 Kisaasi-Ntinda'!D55,'02.08 Kisaasi-Ntinda'!D55,'01.08 Kisaasi-Ntinda-24h'!D55,'03.08 Kisaasi-Ntinda-24h'!D55,'04.08 Kisaasi-Ntinda'!D55)</f>
        <v>24.857142857142858</v>
      </c>
      <c r="E55" s="49">
        <f>AVERAGE('29.07 Kisaasi-Ntinda'!E55,'30.07 Kisaasi-Ntinda'!E55,'31.07 Kisaasi-Ntinda'!E55,'02.08 Kisaasi-Ntinda'!E55,'01.08 Kisaasi-Ntinda-24h'!E55,'03.08 Kisaasi-Ntinda-24h'!E55,'04.08 Kisaasi-Ntinda'!E55)</f>
        <v>8.7142857142857135</v>
      </c>
      <c r="F55" s="49">
        <f>AVERAGE('29.07 Kisaasi-Ntinda'!F55,'30.07 Kisaasi-Ntinda'!F55,'31.07 Kisaasi-Ntinda'!F55,'02.08 Kisaasi-Ntinda'!F55,'01.08 Kisaasi-Ntinda-24h'!F55,'03.08 Kisaasi-Ntinda-24h'!F55,'04.08 Kisaasi-Ntinda'!F55)</f>
        <v>11.857142857142858</v>
      </c>
      <c r="G55" s="49">
        <f>AVERAGE('29.07 Kisaasi-Ntinda'!G55,'30.07 Kisaasi-Ntinda'!G55,'31.07 Kisaasi-Ntinda'!G55,'02.08 Kisaasi-Ntinda'!G55,'01.08 Kisaasi-Ntinda-24h'!G55,'03.08 Kisaasi-Ntinda-24h'!G55,'04.08 Kisaasi-Ntinda'!G55)</f>
        <v>0.14285714285714285</v>
      </c>
      <c r="H55" s="49">
        <f>AVERAGE('29.07 Kisaasi-Ntinda'!H55,'30.07 Kisaasi-Ntinda'!H55,'31.07 Kisaasi-Ntinda'!H55,'02.08 Kisaasi-Ntinda'!H55,'01.08 Kisaasi-Ntinda-24h'!H55,'03.08 Kisaasi-Ntinda-24h'!H55,'04.08 Kisaasi-Ntinda'!H55)</f>
        <v>0</v>
      </c>
      <c r="I55" s="49">
        <f>AVERAGE('29.07 Kisaasi-Ntinda'!I55,'30.07 Kisaasi-Ntinda'!I55,'31.07 Kisaasi-Ntinda'!I55,'02.08 Kisaasi-Ntinda'!I55,'01.08 Kisaasi-Ntinda-24h'!I55,'03.08 Kisaasi-Ntinda-24h'!I55,'04.08 Kisaasi-Ntinda'!I55)</f>
        <v>2.4285714285714284</v>
      </c>
      <c r="J55" s="49">
        <f>AVERAGE('29.07 Kisaasi-Ntinda'!J55,'30.07 Kisaasi-Ntinda'!J55,'31.07 Kisaasi-Ntinda'!J55,'02.08 Kisaasi-Ntinda'!J55,'01.08 Kisaasi-Ntinda-24h'!J55,'03.08 Kisaasi-Ntinda-24h'!J55,'04.08 Kisaasi-Ntinda'!J55)</f>
        <v>0.8571428571428571</v>
      </c>
      <c r="K55" s="49">
        <f>AVERAGE('29.07 Kisaasi-Ntinda'!K55,'30.07 Kisaasi-Ntinda'!K55,'31.07 Kisaasi-Ntinda'!K55,'02.08 Kisaasi-Ntinda'!K55,'01.08 Kisaasi-Ntinda-24h'!K55,'03.08 Kisaasi-Ntinda-24h'!K55,'04.08 Kisaasi-Ntinda'!K55)</f>
        <v>0.42857142857142855</v>
      </c>
      <c r="L55" s="49">
        <f>AVERAGE('29.07 Kisaasi-Ntinda'!L55,'30.07 Kisaasi-Ntinda'!L55,'31.07 Kisaasi-Ntinda'!L55,'02.08 Kisaasi-Ntinda'!L55,'01.08 Kisaasi-Ntinda-24h'!L55,'03.08 Kisaasi-Ntinda-24h'!L55,'04.08 Kisaasi-Ntinda'!L55)</f>
        <v>0.42857142857142855</v>
      </c>
      <c r="M55" s="49">
        <f>AVERAGE('29.07 Kisaasi-Ntinda'!M55,'30.07 Kisaasi-Ntinda'!M55,'31.07 Kisaasi-Ntinda'!M55,'02.08 Kisaasi-Ntinda'!M55,'01.08 Kisaasi-Ntinda-24h'!M55,'03.08 Kisaasi-Ntinda-24h'!M55,'04.08 Kisaasi-Ntinda'!M55)</f>
        <v>92.428571428571431</v>
      </c>
      <c r="N55" s="49">
        <f>AVERAGE('29.07 Kisaasi-Ntinda'!N55,'30.07 Kisaasi-Ntinda'!N55,'31.07 Kisaasi-Ntinda'!N55,'02.08 Kisaasi-Ntinda'!N55,'01.08 Kisaasi-Ntinda-24h'!N55,'03.08 Kisaasi-Ntinda-24h'!N55,'04.08 Kisaasi-Ntinda'!N55)</f>
        <v>0</v>
      </c>
      <c r="O55" s="15">
        <f t="shared" si="0"/>
        <v>84.285714285714292</v>
      </c>
      <c r="P55" s="15">
        <f t="shared" si="1"/>
        <v>176.71428571428572</v>
      </c>
      <c r="R55" s="8"/>
      <c r="T55"/>
    </row>
    <row r="56" spans="2:20" ht="23.1" customHeight="1" x14ac:dyDescent="0.25">
      <c r="B56" s="23" t="s">
        <v>83</v>
      </c>
      <c r="C56" s="49">
        <f>AVERAGE('29.07 Kisaasi-Ntinda'!C56,'30.07 Kisaasi-Ntinda'!C56,'31.07 Kisaasi-Ntinda'!C56,'02.08 Kisaasi-Ntinda'!C56,'01.08 Kisaasi-Ntinda-24h'!C56,'03.08 Kisaasi-Ntinda-24h'!C56,'04.08 Kisaasi-Ntinda'!C56)</f>
        <v>31</v>
      </c>
      <c r="D56" s="49">
        <f>AVERAGE('29.07 Kisaasi-Ntinda'!D56,'30.07 Kisaasi-Ntinda'!D56,'31.07 Kisaasi-Ntinda'!D56,'02.08 Kisaasi-Ntinda'!D56,'01.08 Kisaasi-Ntinda-24h'!D56,'03.08 Kisaasi-Ntinda-24h'!D56,'04.08 Kisaasi-Ntinda'!D56)</f>
        <v>18.142857142857142</v>
      </c>
      <c r="E56" s="49">
        <f>AVERAGE('29.07 Kisaasi-Ntinda'!E56,'30.07 Kisaasi-Ntinda'!E56,'31.07 Kisaasi-Ntinda'!E56,'02.08 Kisaasi-Ntinda'!E56,'01.08 Kisaasi-Ntinda-24h'!E56,'03.08 Kisaasi-Ntinda-24h'!E56,'04.08 Kisaasi-Ntinda'!E56)</f>
        <v>11.857142857142858</v>
      </c>
      <c r="F56" s="49">
        <f>AVERAGE('29.07 Kisaasi-Ntinda'!F56,'30.07 Kisaasi-Ntinda'!F56,'31.07 Kisaasi-Ntinda'!F56,'02.08 Kisaasi-Ntinda'!F56,'01.08 Kisaasi-Ntinda-24h'!F56,'03.08 Kisaasi-Ntinda-24h'!F56,'04.08 Kisaasi-Ntinda'!F56)</f>
        <v>14</v>
      </c>
      <c r="G56" s="49">
        <f>AVERAGE('29.07 Kisaasi-Ntinda'!G56,'30.07 Kisaasi-Ntinda'!G56,'31.07 Kisaasi-Ntinda'!G56,'02.08 Kisaasi-Ntinda'!G56,'01.08 Kisaasi-Ntinda-24h'!G56,'03.08 Kisaasi-Ntinda-24h'!G56,'04.08 Kisaasi-Ntinda'!G56)</f>
        <v>0.14285714285714285</v>
      </c>
      <c r="H56" s="49">
        <f>AVERAGE('29.07 Kisaasi-Ntinda'!H56,'30.07 Kisaasi-Ntinda'!H56,'31.07 Kisaasi-Ntinda'!H56,'02.08 Kisaasi-Ntinda'!H56,'01.08 Kisaasi-Ntinda-24h'!H56,'03.08 Kisaasi-Ntinda-24h'!H56,'04.08 Kisaasi-Ntinda'!H56)</f>
        <v>0</v>
      </c>
      <c r="I56" s="49">
        <f>AVERAGE('29.07 Kisaasi-Ntinda'!I56,'30.07 Kisaasi-Ntinda'!I56,'31.07 Kisaasi-Ntinda'!I56,'02.08 Kisaasi-Ntinda'!I56,'01.08 Kisaasi-Ntinda-24h'!I56,'03.08 Kisaasi-Ntinda-24h'!I56,'04.08 Kisaasi-Ntinda'!I56)</f>
        <v>2.1428571428571428</v>
      </c>
      <c r="J56" s="49">
        <f>AVERAGE('29.07 Kisaasi-Ntinda'!J56,'30.07 Kisaasi-Ntinda'!J56,'31.07 Kisaasi-Ntinda'!J56,'02.08 Kisaasi-Ntinda'!J56,'01.08 Kisaasi-Ntinda-24h'!J56,'03.08 Kisaasi-Ntinda-24h'!J56,'04.08 Kisaasi-Ntinda'!J56)</f>
        <v>2.1428571428571428</v>
      </c>
      <c r="K56" s="49">
        <f>AVERAGE('29.07 Kisaasi-Ntinda'!K56,'30.07 Kisaasi-Ntinda'!K56,'31.07 Kisaasi-Ntinda'!K56,'02.08 Kisaasi-Ntinda'!K56,'01.08 Kisaasi-Ntinda-24h'!K56,'03.08 Kisaasi-Ntinda-24h'!K56,'04.08 Kisaasi-Ntinda'!K56)</f>
        <v>1.5714285714285714</v>
      </c>
      <c r="L56" s="49">
        <f>AVERAGE('29.07 Kisaasi-Ntinda'!L56,'30.07 Kisaasi-Ntinda'!L56,'31.07 Kisaasi-Ntinda'!L56,'02.08 Kisaasi-Ntinda'!L56,'01.08 Kisaasi-Ntinda-24h'!L56,'03.08 Kisaasi-Ntinda-24h'!L56,'04.08 Kisaasi-Ntinda'!L56)</f>
        <v>1.1428571428571428</v>
      </c>
      <c r="M56" s="49">
        <f>AVERAGE('29.07 Kisaasi-Ntinda'!M56,'30.07 Kisaasi-Ntinda'!M56,'31.07 Kisaasi-Ntinda'!M56,'02.08 Kisaasi-Ntinda'!M56,'01.08 Kisaasi-Ntinda-24h'!M56,'03.08 Kisaasi-Ntinda-24h'!M56,'04.08 Kisaasi-Ntinda'!M56)</f>
        <v>100.28571428571429</v>
      </c>
      <c r="N56" s="49">
        <f>AVERAGE('29.07 Kisaasi-Ntinda'!N56,'30.07 Kisaasi-Ntinda'!N56,'31.07 Kisaasi-Ntinda'!N56,'02.08 Kisaasi-Ntinda'!N56,'01.08 Kisaasi-Ntinda-24h'!N56,'03.08 Kisaasi-Ntinda-24h'!N56,'04.08 Kisaasi-Ntinda'!N56)</f>
        <v>0</v>
      </c>
      <c r="O56" s="15">
        <f t="shared" si="0"/>
        <v>82.142857142857125</v>
      </c>
      <c r="P56" s="15">
        <f t="shared" si="1"/>
        <v>182.42857142857142</v>
      </c>
      <c r="R56" s="8"/>
      <c r="T56"/>
    </row>
    <row r="57" spans="2:20" ht="23.1" customHeight="1" x14ac:dyDescent="0.25">
      <c r="B57" s="23" t="s">
        <v>84</v>
      </c>
      <c r="C57" s="49">
        <f>AVERAGE('29.07 Kisaasi-Ntinda'!C57,'30.07 Kisaasi-Ntinda'!C57,'31.07 Kisaasi-Ntinda'!C57,'02.08 Kisaasi-Ntinda'!C57,'01.08 Kisaasi-Ntinda-24h'!C57,'03.08 Kisaasi-Ntinda-24h'!C57,'04.08 Kisaasi-Ntinda'!C57)</f>
        <v>27.428571428571427</v>
      </c>
      <c r="D57" s="49">
        <f>AVERAGE('29.07 Kisaasi-Ntinda'!D57,'30.07 Kisaasi-Ntinda'!D57,'31.07 Kisaasi-Ntinda'!D57,'02.08 Kisaasi-Ntinda'!D57,'01.08 Kisaasi-Ntinda-24h'!D57,'03.08 Kisaasi-Ntinda-24h'!D57,'04.08 Kisaasi-Ntinda'!D57)</f>
        <v>16.571428571428573</v>
      </c>
      <c r="E57" s="49">
        <f>AVERAGE('29.07 Kisaasi-Ntinda'!E57,'30.07 Kisaasi-Ntinda'!E57,'31.07 Kisaasi-Ntinda'!E57,'02.08 Kisaasi-Ntinda'!E57,'01.08 Kisaasi-Ntinda-24h'!E57,'03.08 Kisaasi-Ntinda-24h'!E57,'04.08 Kisaasi-Ntinda'!E57)</f>
        <v>11.714285714285714</v>
      </c>
      <c r="F57" s="49">
        <f>AVERAGE('29.07 Kisaasi-Ntinda'!F57,'30.07 Kisaasi-Ntinda'!F57,'31.07 Kisaasi-Ntinda'!F57,'02.08 Kisaasi-Ntinda'!F57,'01.08 Kisaasi-Ntinda-24h'!F57,'03.08 Kisaasi-Ntinda-24h'!F57,'04.08 Kisaasi-Ntinda'!F57)</f>
        <v>13.714285714285714</v>
      </c>
      <c r="G57" s="49">
        <f>AVERAGE('29.07 Kisaasi-Ntinda'!G57,'30.07 Kisaasi-Ntinda'!G57,'31.07 Kisaasi-Ntinda'!G57,'02.08 Kisaasi-Ntinda'!G57,'01.08 Kisaasi-Ntinda-24h'!G57,'03.08 Kisaasi-Ntinda-24h'!G57,'04.08 Kisaasi-Ntinda'!G57)</f>
        <v>0.2857142857142857</v>
      </c>
      <c r="H57" s="49">
        <f>AVERAGE('29.07 Kisaasi-Ntinda'!H57,'30.07 Kisaasi-Ntinda'!H57,'31.07 Kisaasi-Ntinda'!H57,'02.08 Kisaasi-Ntinda'!H57,'01.08 Kisaasi-Ntinda-24h'!H57,'03.08 Kisaasi-Ntinda-24h'!H57,'04.08 Kisaasi-Ntinda'!H57)</f>
        <v>0</v>
      </c>
      <c r="I57" s="49">
        <f>AVERAGE('29.07 Kisaasi-Ntinda'!I57,'30.07 Kisaasi-Ntinda'!I57,'31.07 Kisaasi-Ntinda'!I57,'02.08 Kisaasi-Ntinda'!I57,'01.08 Kisaasi-Ntinda-24h'!I57,'03.08 Kisaasi-Ntinda-24h'!I57,'04.08 Kisaasi-Ntinda'!I57)</f>
        <v>1.7142857142857142</v>
      </c>
      <c r="J57" s="49">
        <f>AVERAGE('29.07 Kisaasi-Ntinda'!J57,'30.07 Kisaasi-Ntinda'!J57,'31.07 Kisaasi-Ntinda'!J57,'02.08 Kisaasi-Ntinda'!J57,'01.08 Kisaasi-Ntinda-24h'!J57,'03.08 Kisaasi-Ntinda-24h'!J57,'04.08 Kisaasi-Ntinda'!J57)</f>
        <v>1.5714285714285714</v>
      </c>
      <c r="K57" s="49">
        <f>AVERAGE('29.07 Kisaasi-Ntinda'!K57,'30.07 Kisaasi-Ntinda'!K57,'31.07 Kisaasi-Ntinda'!K57,'02.08 Kisaasi-Ntinda'!K57,'01.08 Kisaasi-Ntinda-24h'!K57,'03.08 Kisaasi-Ntinda-24h'!K57,'04.08 Kisaasi-Ntinda'!K57)</f>
        <v>1.1428571428571428</v>
      </c>
      <c r="L57" s="49">
        <f>AVERAGE('29.07 Kisaasi-Ntinda'!L57,'30.07 Kisaasi-Ntinda'!L57,'31.07 Kisaasi-Ntinda'!L57,'02.08 Kisaasi-Ntinda'!L57,'01.08 Kisaasi-Ntinda-24h'!L57,'03.08 Kisaasi-Ntinda-24h'!L57,'04.08 Kisaasi-Ntinda'!L57)</f>
        <v>0.42857142857142855</v>
      </c>
      <c r="M57" s="49">
        <f>AVERAGE('29.07 Kisaasi-Ntinda'!M57,'30.07 Kisaasi-Ntinda'!M57,'31.07 Kisaasi-Ntinda'!M57,'02.08 Kisaasi-Ntinda'!M57,'01.08 Kisaasi-Ntinda-24h'!M57,'03.08 Kisaasi-Ntinda-24h'!M57,'04.08 Kisaasi-Ntinda'!M57)</f>
        <v>73.142857142857139</v>
      </c>
      <c r="N57" s="49">
        <f>AVERAGE('29.07 Kisaasi-Ntinda'!N57,'30.07 Kisaasi-Ntinda'!N57,'31.07 Kisaasi-Ntinda'!N57,'02.08 Kisaasi-Ntinda'!N57,'01.08 Kisaasi-Ntinda-24h'!N57,'03.08 Kisaasi-Ntinda-24h'!N57,'04.08 Kisaasi-Ntinda'!N57)</f>
        <v>0</v>
      </c>
      <c r="O57" s="15">
        <f t="shared" si="0"/>
        <v>74.571428571428569</v>
      </c>
      <c r="P57" s="15">
        <f t="shared" si="1"/>
        <v>147.71428571428572</v>
      </c>
      <c r="R57" s="8"/>
      <c r="T57"/>
    </row>
    <row r="58" spans="2:20" ht="23.1" customHeight="1" x14ac:dyDescent="0.25">
      <c r="B58" s="23" t="s">
        <v>99</v>
      </c>
      <c r="C58" s="49">
        <f>AVERAGE('01.08 Kisaasi-Ntinda-24h'!C58,'03.08 Kisaasi-Ntinda-24h'!C59)</f>
        <v>22.5</v>
      </c>
      <c r="D58" s="49">
        <f>AVERAGE('01.08 Kisaasi-Ntinda-24h'!D58,'03.08 Kisaasi-Ntinda-24h'!D59)</f>
        <v>8.5</v>
      </c>
      <c r="E58" s="49">
        <f>AVERAGE('01.08 Kisaasi-Ntinda-24h'!E58,'03.08 Kisaasi-Ntinda-24h'!E59)</f>
        <v>4</v>
      </c>
      <c r="F58" s="49">
        <f>AVERAGE('01.08 Kisaasi-Ntinda-24h'!F58,'03.08 Kisaasi-Ntinda-24h'!F59)</f>
        <v>9.5</v>
      </c>
      <c r="G58" s="49">
        <f>AVERAGE('01.08 Kisaasi-Ntinda-24h'!G58,'03.08 Kisaasi-Ntinda-24h'!G59)</f>
        <v>0</v>
      </c>
      <c r="H58" s="49">
        <f>AVERAGE('01.08 Kisaasi-Ntinda-24h'!H58,'03.08 Kisaasi-Ntinda-24h'!H59)</f>
        <v>0</v>
      </c>
      <c r="I58" s="49">
        <f>AVERAGE('01.08 Kisaasi-Ntinda-24h'!I58,'03.08 Kisaasi-Ntinda-24h'!I59)</f>
        <v>2</v>
      </c>
      <c r="J58" s="49">
        <f>AVERAGE('01.08 Kisaasi-Ntinda-24h'!J58,'03.08 Kisaasi-Ntinda-24h'!J59)</f>
        <v>0.5</v>
      </c>
      <c r="K58" s="49">
        <f>AVERAGE('01.08 Kisaasi-Ntinda-24h'!K58,'03.08 Kisaasi-Ntinda-24h'!K59)</f>
        <v>0</v>
      </c>
      <c r="L58" s="49">
        <f>AVERAGE('01.08 Kisaasi-Ntinda-24h'!L58,'03.08 Kisaasi-Ntinda-24h'!L59)</f>
        <v>0.5</v>
      </c>
      <c r="M58" s="49">
        <f>AVERAGE('01.08 Kisaasi-Ntinda-24h'!M58,'03.08 Kisaasi-Ntinda-24h'!M59)</f>
        <v>75</v>
      </c>
      <c r="N58" s="49">
        <f>AVERAGE('01.08 Kisaasi-Ntinda-24h'!N58,'03.08 Kisaasi-Ntinda-24h'!N59)</f>
        <v>0</v>
      </c>
      <c r="O58" s="49">
        <f>AVERAGE('01.08 Kisaasi-Ntinda-24h'!O58,'03.08 Kisaasi-Ntinda-24h'!O59)</f>
        <v>47.5</v>
      </c>
      <c r="P58" s="49">
        <f>AVERAGE('01.08 Kisaasi-Ntinda-24h'!P58,'03.08 Kisaasi-Ntinda-24h'!P59)</f>
        <v>122.5</v>
      </c>
      <c r="R58" s="8"/>
      <c r="T58"/>
    </row>
    <row r="59" spans="2:20" ht="23.1" customHeight="1" x14ac:dyDescent="0.25">
      <c r="B59" s="23" t="s">
        <v>100</v>
      </c>
      <c r="C59" s="49">
        <f>AVERAGE('01.08 Kisaasi-Ntinda-24h'!C59,'03.08 Kisaasi-Ntinda-24h'!C60)</f>
        <v>22.5</v>
      </c>
      <c r="D59" s="49">
        <f>AVERAGE('29.07 Kisaasi-Ntinda'!D59,'30.07 Kisaasi-Ntinda'!D59,'31.07 Kisaasi-Ntinda'!D59,'02.08 Kisaasi-Ntinda'!D59,'01.08 Kisaasi-Ntinda-24h'!D59,'03.08 Kisaasi-Ntinda-24h'!D59,'04.08 Kisaasi-Ntinda'!D59)</f>
        <v>3.2365111271801661</v>
      </c>
      <c r="E59" s="49">
        <f>AVERAGE('29.07 Kisaasi-Ntinda'!E59,'30.07 Kisaasi-Ntinda'!E59,'31.07 Kisaasi-Ntinda'!E59,'02.08 Kisaasi-Ntinda'!E59,'01.08 Kisaasi-Ntinda-24h'!E59,'03.08 Kisaasi-Ntinda-24h'!E59,'04.08 Kisaasi-Ntinda'!E59)</f>
        <v>1.3164527346968229</v>
      </c>
      <c r="F59" s="49">
        <f>AVERAGE('29.07 Kisaasi-Ntinda'!F59,'30.07 Kisaasi-Ntinda'!F59,'31.07 Kisaasi-Ntinda'!F59,'02.08 Kisaasi-Ntinda'!F59,'01.08 Kisaasi-Ntinda-24h'!F59,'03.08 Kisaasi-Ntinda-24h'!F59,'04.08 Kisaasi-Ntinda'!F59)</f>
        <v>3.3283230319074844</v>
      </c>
      <c r="G59" s="49">
        <f>AVERAGE('29.07 Kisaasi-Ntinda'!G59,'30.07 Kisaasi-Ntinda'!G59,'31.07 Kisaasi-Ntinda'!G59,'02.08 Kisaasi-Ntinda'!G59,'01.08 Kisaasi-Ntinda-24h'!G59,'03.08 Kisaasi-Ntinda-24h'!G59,'04.08 Kisaasi-Ntinda'!G59)</f>
        <v>7.2012371290552739E-4</v>
      </c>
      <c r="H59" s="49">
        <f>AVERAGE('29.07 Kisaasi-Ntinda'!H59,'30.07 Kisaasi-Ntinda'!H59,'31.07 Kisaasi-Ntinda'!H59,'02.08 Kisaasi-Ntinda'!H59,'01.08 Kisaasi-Ntinda-24h'!H59,'03.08 Kisaasi-Ntinda-24h'!H59,'04.08 Kisaasi-Ntinda'!H59)</f>
        <v>0</v>
      </c>
      <c r="I59" s="49">
        <f>AVERAGE('29.07 Kisaasi-Ntinda'!I59,'30.07 Kisaasi-Ntinda'!I59,'31.07 Kisaasi-Ntinda'!I59,'02.08 Kisaasi-Ntinda'!I59,'01.08 Kisaasi-Ntinda-24h'!I59,'03.08 Kisaasi-Ntinda-24h'!I59,'04.08 Kisaasi-Ntinda'!I59)</f>
        <v>1.1547044936311018E-2</v>
      </c>
      <c r="J59" s="49">
        <f>AVERAGE('29.07 Kisaasi-Ntinda'!J59,'30.07 Kisaasi-Ntinda'!J59,'31.07 Kisaasi-Ntinda'!J59,'02.08 Kisaasi-Ntinda'!J59,'01.08 Kisaasi-Ntinda-24h'!J59,'03.08 Kisaasi-Ntinda-24h'!J59,'04.08 Kisaasi-Ntinda'!J59)</f>
        <v>0.29268053283997253</v>
      </c>
      <c r="K59" s="49">
        <f>AVERAGE('29.07 Kisaasi-Ntinda'!K59,'30.07 Kisaasi-Ntinda'!K59,'31.07 Kisaasi-Ntinda'!K59,'02.08 Kisaasi-Ntinda'!K59,'01.08 Kisaasi-Ntinda-24h'!K59,'03.08 Kisaasi-Ntinda-24h'!K59,'04.08 Kisaasi-Ntinda'!K59)</f>
        <v>0.145170735648706</v>
      </c>
      <c r="L59" s="49">
        <f>AVERAGE('29.07 Kisaasi-Ntinda'!L59,'30.07 Kisaasi-Ntinda'!L59,'31.07 Kisaasi-Ntinda'!L59,'02.08 Kisaasi-Ntinda'!L59,'01.08 Kisaasi-Ntinda-24h'!L59,'03.08 Kisaasi-Ntinda-24h'!L59,'04.08 Kisaasi-Ntinda'!L59)</f>
        <v>0.14721983909776867</v>
      </c>
      <c r="M59" s="49">
        <f>AVERAGE('29.07 Kisaasi-Ntinda'!M59,'30.07 Kisaasi-Ntinda'!M59,'31.07 Kisaasi-Ntinda'!M59,'02.08 Kisaasi-Ntinda'!M59,'01.08 Kisaasi-Ntinda-24h'!M59,'03.08 Kisaasi-Ntinda-24h'!M59,'04.08 Kisaasi-Ntinda'!M59)</f>
        <v>23.79452283797378</v>
      </c>
      <c r="N59" s="49">
        <f>AVERAGE('29.07 Kisaasi-Ntinda'!N59,'30.07 Kisaasi-Ntinda'!N59,'31.07 Kisaasi-Ntinda'!N59,'02.08 Kisaasi-Ntinda'!N59,'01.08 Kisaasi-Ntinda-24h'!N59,'03.08 Kisaasi-Ntinda-24h'!N59,'04.08 Kisaasi-Ntinda'!N59)</f>
        <v>9.0287674584360321E-5</v>
      </c>
      <c r="O59" s="49">
        <f>AVERAGE('29.07 Kisaasi-Ntinda'!O59,'30.07 Kisaasi-Ntinda'!O59,'31.07 Kisaasi-Ntinda'!O59,'02.08 Kisaasi-Ntinda'!O59,'01.08 Kisaasi-Ntinda-24h'!O59,'03.08 Kisaasi-Ntinda-24h'!O59,'04.08 Kisaasi-Ntinda'!O59)</f>
        <v>51.5</v>
      </c>
      <c r="P59" s="49">
        <f>AVERAGE('29.07 Kisaasi-Ntinda'!P59,'30.07 Kisaasi-Ntinda'!P59,'31.07 Kisaasi-Ntinda'!P59,'02.08 Kisaasi-Ntinda'!P59,'01.08 Kisaasi-Ntinda-24h'!P59,'03.08 Kisaasi-Ntinda-24h'!P59,'04.08 Kisaasi-Ntinda'!P59)</f>
        <v>133.5</v>
      </c>
      <c r="R59" s="8"/>
      <c r="T59"/>
    </row>
    <row r="60" spans="2:20" ht="23.1" customHeight="1" x14ac:dyDescent="0.25">
      <c r="B60" s="23" t="s">
        <v>101</v>
      </c>
      <c r="C60" s="49">
        <f>AVERAGE('01.08 Kisaasi-Ntinda-24h'!C60,'03.08 Kisaasi-Ntinda-24h'!C61)</f>
        <v>45</v>
      </c>
      <c r="D60" s="49">
        <f>AVERAGE('29.07 Kisaasi-Ntinda'!D60,'30.07 Kisaasi-Ntinda'!D60,'31.07 Kisaasi-Ntinda'!D60,'02.08 Kisaasi-Ntinda'!D60,'01.08 Kisaasi-Ntinda-24h'!D60,'03.08 Kisaasi-Ntinda-24h'!D60,'04.08 Kisaasi-Ntinda'!D60)</f>
        <v>7.1902975822145949</v>
      </c>
      <c r="E60" s="49">
        <f>AVERAGE('29.07 Kisaasi-Ntinda'!E60,'30.07 Kisaasi-Ntinda'!E60,'31.07 Kisaasi-Ntinda'!E60,'02.08 Kisaasi-Ntinda'!E60,'01.08 Kisaasi-Ntinda-24h'!E60,'03.08 Kisaasi-Ntinda-24h'!E60,'04.08 Kisaasi-Ntinda'!E60)</f>
        <v>1.6334608563704851</v>
      </c>
      <c r="F60" s="49">
        <f>AVERAGE('29.07 Kisaasi-Ntinda'!F60,'30.07 Kisaasi-Ntinda'!F60,'31.07 Kisaasi-Ntinda'!F60,'02.08 Kisaasi-Ntinda'!F60,'01.08 Kisaasi-Ntinda-24h'!F60,'03.08 Kisaasi-Ntinda-24h'!F60,'04.08 Kisaasi-Ntinda'!F60)</f>
        <v>2.3722073120848779</v>
      </c>
      <c r="G60" s="49">
        <f>AVERAGE('29.07 Kisaasi-Ntinda'!G60,'30.07 Kisaasi-Ntinda'!G60,'31.07 Kisaasi-Ntinda'!G60,'02.08 Kisaasi-Ntinda'!G60,'01.08 Kisaasi-Ntinda-24h'!G60,'03.08 Kisaasi-Ntinda-24h'!G60,'04.08 Kisaasi-Ntinda'!G60)</f>
        <v>1.5102495500318898E-3</v>
      </c>
      <c r="H60" s="49">
        <f>AVERAGE('29.07 Kisaasi-Ntinda'!H60,'30.07 Kisaasi-Ntinda'!H60,'31.07 Kisaasi-Ntinda'!H60,'02.08 Kisaasi-Ntinda'!H60,'01.08 Kisaasi-Ntinda-24h'!H60,'03.08 Kisaasi-Ntinda-24h'!H60,'04.08 Kisaasi-Ntinda'!H60)</f>
        <v>0</v>
      </c>
      <c r="I60" s="49">
        <f>AVERAGE('29.07 Kisaasi-Ntinda'!I60,'30.07 Kisaasi-Ntinda'!I60,'31.07 Kisaasi-Ntinda'!I60,'02.08 Kisaasi-Ntinda'!I60,'01.08 Kisaasi-Ntinda-24h'!I60,'03.08 Kisaasi-Ntinda-24h'!I60,'04.08 Kisaasi-Ntinda'!I60)</f>
        <v>1.0238026761082604</v>
      </c>
      <c r="J60" s="49">
        <f>AVERAGE('29.07 Kisaasi-Ntinda'!J60,'30.07 Kisaasi-Ntinda'!J60,'31.07 Kisaasi-Ntinda'!J60,'02.08 Kisaasi-Ntinda'!J60,'01.08 Kisaasi-Ntinda-24h'!J60,'03.08 Kisaasi-Ntinda-24h'!J60,'04.08 Kisaasi-Ntinda'!J60)</f>
        <v>0.72860702231556929</v>
      </c>
      <c r="K60" s="49">
        <f>AVERAGE('29.07 Kisaasi-Ntinda'!K60,'30.07 Kisaasi-Ntinda'!K60,'31.07 Kisaasi-Ntinda'!K60,'02.08 Kisaasi-Ntinda'!K60,'01.08 Kisaasi-Ntinda-24h'!K60,'03.08 Kisaasi-Ntinda-24h'!K60,'04.08 Kisaasi-Ntinda'!K60)</f>
        <v>0.29054713823777883</v>
      </c>
      <c r="L60" s="49">
        <f>AVERAGE('29.07 Kisaasi-Ntinda'!L60,'30.07 Kisaasi-Ntinda'!L60,'31.07 Kisaasi-Ntinda'!L60,'02.08 Kisaasi-Ntinda'!L60,'01.08 Kisaasi-Ntinda-24h'!L60,'03.08 Kisaasi-Ntinda-24h'!L60,'04.08 Kisaasi-Ntinda'!L60)</f>
        <v>9.1434893436549754E-3</v>
      </c>
      <c r="M60" s="49">
        <f>AVERAGE('29.07 Kisaasi-Ntinda'!M60,'30.07 Kisaasi-Ntinda'!M60,'31.07 Kisaasi-Ntinda'!M60,'02.08 Kisaasi-Ntinda'!M60,'01.08 Kisaasi-Ntinda-24h'!M60,'03.08 Kisaasi-Ntinda-24h'!M60,'04.08 Kisaasi-Ntinda'!M60)</f>
        <v>95</v>
      </c>
      <c r="N60" s="49">
        <f>AVERAGE('29.07 Kisaasi-Ntinda'!N60,'30.07 Kisaasi-Ntinda'!N60,'31.07 Kisaasi-Ntinda'!N60,'02.08 Kisaasi-Ntinda'!N60,'01.08 Kisaasi-Ntinda-24h'!N60,'03.08 Kisaasi-Ntinda-24h'!N60,'04.08 Kisaasi-Ntinda'!N60)</f>
        <v>1.8810770772603134E-4</v>
      </c>
      <c r="O60" s="49">
        <f>AVERAGE('29.07 Kisaasi-Ntinda'!O60,'30.07 Kisaasi-Ntinda'!O60,'31.07 Kisaasi-Ntinda'!O60,'02.08 Kisaasi-Ntinda'!O60,'01.08 Kisaasi-Ntinda-24h'!O60,'03.08 Kisaasi-Ntinda-24h'!O60,'04.08 Kisaasi-Ntinda'!O60)</f>
        <v>72.5</v>
      </c>
      <c r="P60" s="49">
        <f>AVERAGE('29.07 Kisaasi-Ntinda'!P60,'30.07 Kisaasi-Ntinda'!P60,'31.07 Kisaasi-Ntinda'!P60,'02.08 Kisaasi-Ntinda'!P60,'01.08 Kisaasi-Ntinda-24h'!P60,'03.08 Kisaasi-Ntinda-24h'!P60,'04.08 Kisaasi-Ntinda'!P60)</f>
        <v>167.5</v>
      </c>
      <c r="R60" s="8"/>
      <c r="T60"/>
    </row>
    <row r="61" spans="2:20" ht="23.1" customHeight="1" x14ac:dyDescent="0.25">
      <c r="B61" s="23" t="s">
        <v>102</v>
      </c>
      <c r="C61" s="49">
        <f>AVERAGE('01.08 Kisaasi-Ntinda-24h'!C61,'03.08 Kisaasi-Ntinda-24h'!C62)</f>
        <v>26</v>
      </c>
      <c r="D61" s="49">
        <f>AVERAGE('29.07 Kisaasi-Ntinda'!D61,'30.07 Kisaasi-Ntinda'!D61,'31.07 Kisaasi-Ntinda'!D61,'02.08 Kisaasi-Ntinda'!D61,'01.08 Kisaasi-Ntinda-24h'!D61,'03.08 Kisaasi-Ntinda-24h'!D61,'04.08 Kisaasi-Ntinda'!D61)</f>
        <v>13</v>
      </c>
      <c r="E61" s="49">
        <f>AVERAGE('29.07 Kisaasi-Ntinda'!E61,'30.07 Kisaasi-Ntinda'!E61,'31.07 Kisaasi-Ntinda'!E61,'02.08 Kisaasi-Ntinda'!E61,'01.08 Kisaasi-Ntinda-24h'!E61,'03.08 Kisaasi-Ntinda-24h'!E61,'04.08 Kisaasi-Ntinda'!E61)</f>
        <v>4</v>
      </c>
      <c r="F61" s="49">
        <f>AVERAGE('29.07 Kisaasi-Ntinda'!F61,'30.07 Kisaasi-Ntinda'!F61,'31.07 Kisaasi-Ntinda'!F61,'02.08 Kisaasi-Ntinda'!F61,'01.08 Kisaasi-Ntinda-24h'!F61,'03.08 Kisaasi-Ntinda-24h'!F61,'04.08 Kisaasi-Ntinda'!F61)</f>
        <v>8.5</v>
      </c>
      <c r="G61" s="49">
        <f>AVERAGE('29.07 Kisaasi-Ntinda'!G61,'30.07 Kisaasi-Ntinda'!G61,'31.07 Kisaasi-Ntinda'!G61,'02.08 Kisaasi-Ntinda'!G61,'01.08 Kisaasi-Ntinda-24h'!G61,'03.08 Kisaasi-Ntinda-24h'!G61,'04.08 Kisaasi-Ntinda'!G61)</f>
        <v>0</v>
      </c>
      <c r="H61" s="49">
        <f>AVERAGE('29.07 Kisaasi-Ntinda'!H61,'30.07 Kisaasi-Ntinda'!H61,'31.07 Kisaasi-Ntinda'!H61,'02.08 Kisaasi-Ntinda'!H61,'01.08 Kisaasi-Ntinda-24h'!H61,'03.08 Kisaasi-Ntinda-24h'!H61,'04.08 Kisaasi-Ntinda'!H61)</f>
        <v>0</v>
      </c>
      <c r="I61" s="49">
        <f>AVERAGE('29.07 Kisaasi-Ntinda'!I61,'30.07 Kisaasi-Ntinda'!I61,'31.07 Kisaasi-Ntinda'!I61,'02.08 Kisaasi-Ntinda'!I61,'01.08 Kisaasi-Ntinda-24h'!I61,'03.08 Kisaasi-Ntinda-24h'!I61,'04.08 Kisaasi-Ntinda'!I61)</f>
        <v>3.5</v>
      </c>
      <c r="J61" s="49">
        <f>AVERAGE('29.07 Kisaasi-Ntinda'!J61,'30.07 Kisaasi-Ntinda'!J61,'31.07 Kisaasi-Ntinda'!J61,'02.08 Kisaasi-Ntinda'!J61,'01.08 Kisaasi-Ntinda-24h'!J61,'03.08 Kisaasi-Ntinda-24h'!J61,'04.08 Kisaasi-Ntinda'!J61)</f>
        <v>0</v>
      </c>
      <c r="K61" s="49">
        <f>AVERAGE('29.07 Kisaasi-Ntinda'!K61,'30.07 Kisaasi-Ntinda'!K61,'31.07 Kisaasi-Ntinda'!K61,'02.08 Kisaasi-Ntinda'!K61,'01.08 Kisaasi-Ntinda-24h'!K61,'03.08 Kisaasi-Ntinda-24h'!K61,'04.08 Kisaasi-Ntinda'!K61)</f>
        <v>1</v>
      </c>
      <c r="L61" s="49">
        <f>AVERAGE('29.07 Kisaasi-Ntinda'!L61,'30.07 Kisaasi-Ntinda'!L61,'31.07 Kisaasi-Ntinda'!L61,'02.08 Kisaasi-Ntinda'!L61,'01.08 Kisaasi-Ntinda-24h'!L61,'03.08 Kisaasi-Ntinda-24h'!L61,'04.08 Kisaasi-Ntinda'!L61)</f>
        <v>0.5</v>
      </c>
      <c r="M61" s="49">
        <f>AVERAGE('29.07 Kisaasi-Ntinda'!M61,'30.07 Kisaasi-Ntinda'!M61,'31.07 Kisaasi-Ntinda'!M61,'02.08 Kisaasi-Ntinda'!M61,'01.08 Kisaasi-Ntinda-24h'!M61,'03.08 Kisaasi-Ntinda-24h'!M61,'04.08 Kisaasi-Ntinda'!M61)</f>
        <v>87.5</v>
      </c>
      <c r="N61" s="49">
        <f>AVERAGE('29.07 Kisaasi-Ntinda'!N61,'30.07 Kisaasi-Ntinda'!N61,'31.07 Kisaasi-Ntinda'!N61,'02.08 Kisaasi-Ntinda'!N61,'01.08 Kisaasi-Ntinda-24h'!N61,'03.08 Kisaasi-Ntinda-24h'!N61,'04.08 Kisaasi-Ntinda'!N61)</f>
        <v>0</v>
      </c>
      <c r="O61" s="49">
        <f>AVERAGE('29.07 Kisaasi-Ntinda'!O61,'30.07 Kisaasi-Ntinda'!O61,'31.07 Kisaasi-Ntinda'!O61,'02.08 Kisaasi-Ntinda'!O61,'01.08 Kisaasi-Ntinda-24h'!O61,'03.08 Kisaasi-Ntinda-24h'!O61,'04.08 Kisaasi-Ntinda'!O61)</f>
        <v>65.5</v>
      </c>
      <c r="P61" s="49">
        <f>AVERAGE('29.07 Kisaasi-Ntinda'!P61,'30.07 Kisaasi-Ntinda'!P61,'31.07 Kisaasi-Ntinda'!P61,'02.08 Kisaasi-Ntinda'!P61,'01.08 Kisaasi-Ntinda-24h'!P61,'03.08 Kisaasi-Ntinda-24h'!P61,'04.08 Kisaasi-Ntinda'!P61)</f>
        <v>153</v>
      </c>
      <c r="R61" s="8"/>
      <c r="T61"/>
    </row>
    <row r="62" spans="2:20" ht="23.1" customHeight="1" x14ac:dyDescent="0.25">
      <c r="B62" s="23" t="s">
        <v>107</v>
      </c>
      <c r="C62" s="49">
        <f>AVERAGE('01.08 Kisaasi-Ntinda-24h'!C62,'03.08 Kisaasi-Ntinda-24h'!C63)</f>
        <v>42.5</v>
      </c>
      <c r="D62" s="49">
        <f>AVERAGE('29.07 Kisaasi-Ntinda'!D62,'30.07 Kisaasi-Ntinda'!D62,'31.07 Kisaasi-Ntinda'!D62,'02.08 Kisaasi-Ntinda'!D62,'01.08 Kisaasi-Ntinda-24h'!D62,'03.08 Kisaasi-Ntinda-24h'!D62,'04.08 Kisaasi-Ntinda'!D62)</f>
        <v>10.5</v>
      </c>
      <c r="E62" s="49">
        <f>AVERAGE('29.07 Kisaasi-Ntinda'!E62,'30.07 Kisaasi-Ntinda'!E62,'31.07 Kisaasi-Ntinda'!E62,'02.08 Kisaasi-Ntinda'!E62,'01.08 Kisaasi-Ntinda-24h'!E62,'03.08 Kisaasi-Ntinda-24h'!E62,'04.08 Kisaasi-Ntinda'!E62)</f>
        <v>3.5</v>
      </c>
      <c r="F62" s="49">
        <f>AVERAGE('29.07 Kisaasi-Ntinda'!F62,'30.07 Kisaasi-Ntinda'!F62,'31.07 Kisaasi-Ntinda'!F62,'02.08 Kisaasi-Ntinda'!F62,'01.08 Kisaasi-Ntinda-24h'!F62,'03.08 Kisaasi-Ntinda-24h'!F62,'04.08 Kisaasi-Ntinda'!F62)</f>
        <v>15</v>
      </c>
      <c r="G62" s="49">
        <f>AVERAGE('29.07 Kisaasi-Ntinda'!G62,'30.07 Kisaasi-Ntinda'!G62,'31.07 Kisaasi-Ntinda'!G62,'02.08 Kisaasi-Ntinda'!G62,'01.08 Kisaasi-Ntinda-24h'!G62,'03.08 Kisaasi-Ntinda-24h'!G62,'04.08 Kisaasi-Ntinda'!G62)</f>
        <v>0</v>
      </c>
      <c r="H62" s="49">
        <f>AVERAGE('29.07 Kisaasi-Ntinda'!H62,'30.07 Kisaasi-Ntinda'!H62,'31.07 Kisaasi-Ntinda'!H62,'02.08 Kisaasi-Ntinda'!H62,'01.08 Kisaasi-Ntinda-24h'!H62,'03.08 Kisaasi-Ntinda-24h'!H62,'04.08 Kisaasi-Ntinda'!H62)</f>
        <v>0</v>
      </c>
      <c r="I62" s="49">
        <f>AVERAGE('29.07 Kisaasi-Ntinda'!I62,'30.07 Kisaasi-Ntinda'!I62,'31.07 Kisaasi-Ntinda'!I62,'02.08 Kisaasi-Ntinda'!I62,'01.08 Kisaasi-Ntinda-24h'!I62,'03.08 Kisaasi-Ntinda-24h'!I62,'04.08 Kisaasi-Ntinda'!I62)</f>
        <v>2</v>
      </c>
      <c r="J62" s="49">
        <f>AVERAGE('29.07 Kisaasi-Ntinda'!J62,'30.07 Kisaasi-Ntinda'!J62,'31.07 Kisaasi-Ntinda'!J62,'02.08 Kisaasi-Ntinda'!J62,'01.08 Kisaasi-Ntinda-24h'!J62,'03.08 Kisaasi-Ntinda-24h'!J62,'04.08 Kisaasi-Ntinda'!J62)</f>
        <v>0</v>
      </c>
      <c r="K62" s="49">
        <f>AVERAGE('29.07 Kisaasi-Ntinda'!K62,'30.07 Kisaasi-Ntinda'!K62,'31.07 Kisaasi-Ntinda'!K62,'02.08 Kisaasi-Ntinda'!K62,'01.08 Kisaasi-Ntinda-24h'!K62,'03.08 Kisaasi-Ntinda-24h'!K62,'04.08 Kisaasi-Ntinda'!K62)</f>
        <v>0</v>
      </c>
      <c r="L62" s="49">
        <f>AVERAGE('29.07 Kisaasi-Ntinda'!L62,'30.07 Kisaasi-Ntinda'!L62,'31.07 Kisaasi-Ntinda'!L62,'02.08 Kisaasi-Ntinda'!L62,'01.08 Kisaasi-Ntinda-24h'!L62,'03.08 Kisaasi-Ntinda-24h'!L62,'04.08 Kisaasi-Ntinda'!L62)</f>
        <v>0.5</v>
      </c>
      <c r="M62" s="49">
        <f>AVERAGE('29.07 Kisaasi-Ntinda'!M62,'30.07 Kisaasi-Ntinda'!M62,'31.07 Kisaasi-Ntinda'!M62,'02.08 Kisaasi-Ntinda'!M62,'01.08 Kisaasi-Ntinda-24h'!M62,'03.08 Kisaasi-Ntinda-24h'!M62,'04.08 Kisaasi-Ntinda'!M62)</f>
        <v>69</v>
      </c>
      <c r="N62" s="49">
        <f>AVERAGE('29.07 Kisaasi-Ntinda'!N62,'30.07 Kisaasi-Ntinda'!N62,'31.07 Kisaasi-Ntinda'!N62,'02.08 Kisaasi-Ntinda'!N62,'01.08 Kisaasi-Ntinda-24h'!N62,'03.08 Kisaasi-Ntinda-24h'!N62,'04.08 Kisaasi-Ntinda'!N62)</f>
        <v>0</v>
      </c>
      <c r="O62" s="49">
        <f>AVERAGE('29.07 Kisaasi-Ntinda'!O62,'30.07 Kisaasi-Ntinda'!O62,'31.07 Kisaasi-Ntinda'!O62,'02.08 Kisaasi-Ntinda'!O62,'01.08 Kisaasi-Ntinda-24h'!O62,'03.08 Kisaasi-Ntinda-24h'!O62,'04.08 Kisaasi-Ntinda'!O62)</f>
        <v>63.5</v>
      </c>
      <c r="P62" s="49">
        <f>AVERAGE('29.07 Kisaasi-Ntinda'!P62,'30.07 Kisaasi-Ntinda'!P62,'31.07 Kisaasi-Ntinda'!P62,'02.08 Kisaasi-Ntinda'!P62,'01.08 Kisaasi-Ntinda-24h'!P62,'03.08 Kisaasi-Ntinda-24h'!P62,'04.08 Kisaasi-Ntinda'!P62)</f>
        <v>132.5</v>
      </c>
      <c r="R62" s="8"/>
      <c r="T62"/>
    </row>
    <row r="63" spans="2:20" ht="23.1" customHeight="1" x14ac:dyDescent="0.25">
      <c r="B63" s="23" t="s">
        <v>108</v>
      </c>
      <c r="C63" s="49">
        <f>AVERAGE('01.08 Kisaasi-Ntinda-24h'!C63,'03.08 Kisaasi-Ntinda-24h'!C64)</f>
        <v>42</v>
      </c>
      <c r="D63" s="49">
        <f>AVERAGE('29.07 Kisaasi-Ntinda'!D63,'30.07 Kisaasi-Ntinda'!D63,'31.07 Kisaasi-Ntinda'!D63,'02.08 Kisaasi-Ntinda'!D63,'01.08 Kisaasi-Ntinda-24h'!D63,'03.08 Kisaasi-Ntinda-24h'!D63,'04.08 Kisaasi-Ntinda'!D63)</f>
        <v>14</v>
      </c>
      <c r="E63" s="49">
        <f>AVERAGE('29.07 Kisaasi-Ntinda'!E63,'30.07 Kisaasi-Ntinda'!E63,'31.07 Kisaasi-Ntinda'!E63,'02.08 Kisaasi-Ntinda'!E63,'01.08 Kisaasi-Ntinda-24h'!E63,'03.08 Kisaasi-Ntinda-24h'!E63,'04.08 Kisaasi-Ntinda'!E63)</f>
        <v>3</v>
      </c>
      <c r="F63" s="49">
        <f>AVERAGE('29.07 Kisaasi-Ntinda'!F63,'30.07 Kisaasi-Ntinda'!F63,'31.07 Kisaasi-Ntinda'!F63,'02.08 Kisaasi-Ntinda'!F63,'01.08 Kisaasi-Ntinda-24h'!F63,'03.08 Kisaasi-Ntinda-24h'!F63,'04.08 Kisaasi-Ntinda'!F63)</f>
        <v>13.5</v>
      </c>
      <c r="G63" s="49">
        <f>AVERAGE('29.07 Kisaasi-Ntinda'!G63,'30.07 Kisaasi-Ntinda'!G63,'31.07 Kisaasi-Ntinda'!G63,'02.08 Kisaasi-Ntinda'!G63,'01.08 Kisaasi-Ntinda-24h'!G63,'03.08 Kisaasi-Ntinda-24h'!G63,'04.08 Kisaasi-Ntinda'!G63)</f>
        <v>0</v>
      </c>
      <c r="H63" s="49">
        <f>AVERAGE('29.07 Kisaasi-Ntinda'!H63,'30.07 Kisaasi-Ntinda'!H63,'31.07 Kisaasi-Ntinda'!H63,'02.08 Kisaasi-Ntinda'!H63,'01.08 Kisaasi-Ntinda-24h'!H63,'03.08 Kisaasi-Ntinda-24h'!H63,'04.08 Kisaasi-Ntinda'!H63)</f>
        <v>0</v>
      </c>
      <c r="I63" s="49">
        <f>AVERAGE('29.07 Kisaasi-Ntinda'!I63,'30.07 Kisaasi-Ntinda'!I63,'31.07 Kisaasi-Ntinda'!I63,'02.08 Kisaasi-Ntinda'!I63,'01.08 Kisaasi-Ntinda-24h'!I63,'03.08 Kisaasi-Ntinda-24h'!I63,'04.08 Kisaasi-Ntinda'!I63)</f>
        <v>1.5</v>
      </c>
      <c r="J63" s="49">
        <f>AVERAGE('29.07 Kisaasi-Ntinda'!J63,'30.07 Kisaasi-Ntinda'!J63,'31.07 Kisaasi-Ntinda'!J63,'02.08 Kisaasi-Ntinda'!J63,'01.08 Kisaasi-Ntinda-24h'!J63,'03.08 Kisaasi-Ntinda-24h'!J63,'04.08 Kisaasi-Ntinda'!J63)</f>
        <v>1</v>
      </c>
      <c r="K63" s="49">
        <f>AVERAGE('29.07 Kisaasi-Ntinda'!K63,'30.07 Kisaasi-Ntinda'!K63,'31.07 Kisaasi-Ntinda'!K63,'02.08 Kisaasi-Ntinda'!K63,'01.08 Kisaasi-Ntinda-24h'!K63,'03.08 Kisaasi-Ntinda-24h'!K63,'04.08 Kisaasi-Ntinda'!K63)</f>
        <v>0.5</v>
      </c>
      <c r="L63" s="49">
        <f>AVERAGE('29.07 Kisaasi-Ntinda'!L63,'30.07 Kisaasi-Ntinda'!L63,'31.07 Kisaasi-Ntinda'!L63,'02.08 Kisaasi-Ntinda'!L63,'01.08 Kisaasi-Ntinda-24h'!L63,'03.08 Kisaasi-Ntinda-24h'!L63,'04.08 Kisaasi-Ntinda'!L63)</f>
        <v>0</v>
      </c>
      <c r="M63" s="49">
        <f>AVERAGE('29.07 Kisaasi-Ntinda'!M63,'30.07 Kisaasi-Ntinda'!M63,'31.07 Kisaasi-Ntinda'!M63,'02.08 Kisaasi-Ntinda'!M63,'01.08 Kisaasi-Ntinda-24h'!M63,'03.08 Kisaasi-Ntinda-24h'!M63,'04.08 Kisaasi-Ntinda'!M63)</f>
        <v>91.5</v>
      </c>
      <c r="N63" s="49">
        <f>AVERAGE('29.07 Kisaasi-Ntinda'!N63,'30.07 Kisaasi-Ntinda'!N63,'31.07 Kisaasi-Ntinda'!N63,'02.08 Kisaasi-Ntinda'!N63,'01.08 Kisaasi-Ntinda-24h'!N63,'03.08 Kisaasi-Ntinda-24h'!N63,'04.08 Kisaasi-Ntinda'!N63)</f>
        <v>0</v>
      </c>
      <c r="O63" s="49">
        <f>AVERAGE('29.07 Kisaasi-Ntinda'!O63,'30.07 Kisaasi-Ntinda'!O63,'31.07 Kisaasi-Ntinda'!O63,'02.08 Kisaasi-Ntinda'!O63,'01.08 Kisaasi-Ntinda-24h'!O63,'03.08 Kisaasi-Ntinda-24h'!O63,'04.08 Kisaasi-Ntinda'!O63)</f>
        <v>79.5</v>
      </c>
      <c r="P63" s="49">
        <f>AVERAGE('29.07 Kisaasi-Ntinda'!P63,'30.07 Kisaasi-Ntinda'!P63,'31.07 Kisaasi-Ntinda'!P63,'02.08 Kisaasi-Ntinda'!P63,'01.08 Kisaasi-Ntinda-24h'!P63,'03.08 Kisaasi-Ntinda-24h'!P63,'04.08 Kisaasi-Ntinda'!P63)</f>
        <v>171</v>
      </c>
      <c r="R63" s="8"/>
      <c r="T63"/>
    </row>
    <row r="64" spans="2:20" ht="23.1" customHeight="1" x14ac:dyDescent="0.25">
      <c r="B64" s="23" t="s">
        <v>109</v>
      </c>
      <c r="C64" s="49">
        <f>AVERAGE('01.08 Kisaasi-Ntinda-24h'!C64,'03.08 Kisaasi-Ntinda-24h'!C65)</f>
        <v>39</v>
      </c>
      <c r="D64" s="49">
        <f>AVERAGE('29.07 Kisaasi-Ntinda'!D64,'30.07 Kisaasi-Ntinda'!D64,'31.07 Kisaasi-Ntinda'!D64,'02.08 Kisaasi-Ntinda'!D64,'01.08 Kisaasi-Ntinda-24h'!D64,'03.08 Kisaasi-Ntinda-24h'!D64,'04.08 Kisaasi-Ntinda'!D64)</f>
        <v>13</v>
      </c>
      <c r="E64" s="49">
        <f>AVERAGE('29.07 Kisaasi-Ntinda'!E64,'30.07 Kisaasi-Ntinda'!E64,'31.07 Kisaasi-Ntinda'!E64,'02.08 Kisaasi-Ntinda'!E64,'01.08 Kisaasi-Ntinda-24h'!E64,'03.08 Kisaasi-Ntinda-24h'!E64,'04.08 Kisaasi-Ntinda'!E64)</f>
        <v>5.5</v>
      </c>
      <c r="F64" s="49">
        <f>AVERAGE('29.07 Kisaasi-Ntinda'!F64,'30.07 Kisaasi-Ntinda'!F64,'31.07 Kisaasi-Ntinda'!F64,'02.08 Kisaasi-Ntinda'!F64,'01.08 Kisaasi-Ntinda-24h'!F64,'03.08 Kisaasi-Ntinda-24h'!F64,'04.08 Kisaasi-Ntinda'!F64)</f>
        <v>9</v>
      </c>
      <c r="G64" s="49">
        <f>AVERAGE('29.07 Kisaasi-Ntinda'!G64,'30.07 Kisaasi-Ntinda'!G64,'31.07 Kisaasi-Ntinda'!G64,'02.08 Kisaasi-Ntinda'!G64,'01.08 Kisaasi-Ntinda-24h'!G64,'03.08 Kisaasi-Ntinda-24h'!G64,'04.08 Kisaasi-Ntinda'!G64)</f>
        <v>0</v>
      </c>
      <c r="H64" s="49">
        <f>AVERAGE('29.07 Kisaasi-Ntinda'!H64,'30.07 Kisaasi-Ntinda'!H64,'31.07 Kisaasi-Ntinda'!H64,'02.08 Kisaasi-Ntinda'!H64,'01.08 Kisaasi-Ntinda-24h'!H64,'03.08 Kisaasi-Ntinda-24h'!H64,'04.08 Kisaasi-Ntinda'!H64)</f>
        <v>0</v>
      </c>
      <c r="I64" s="49">
        <f>AVERAGE('29.07 Kisaasi-Ntinda'!I64,'30.07 Kisaasi-Ntinda'!I64,'31.07 Kisaasi-Ntinda'!I64,'02.08 Kisaasi-Ntinda'!I64,'01.08 Kisaasi-Ntinda-24h'!I64,'03.08 Kisaasi-Ntinda-24h'!I64,'04.08 Kisaasi-Ntinda'!I64)</f>
        <v>2</v>
      </c>
      <c r="J64" s="49">
        <f>AVERAGE('29.07 Kisaasi-Ntinda'!J64,'30.07 Kisaasi-Ntinda'!J64,'31.07 Kisaasi-Ntinda'!J64,'02.08 Kisaasi-Ntinda'!J64,'01.08 Kisaasi-Ntinda-24h'!J64,'03.08 Kisaasi-Ntinda-24h'!J64,'04.08 Kisaasi-Ntinda'!J64)</f>
        <v>0</v>
      </c>
      <c r="K64" s="49">
        <f>AVERAGE('29.07 Kisaasi-Ntinda'!K64,'30.07 Kisaasi-Ntinda'!K64,'31.07 Kisaasi-Ntinda'!K64,'02.08 Kisaasi-Ntinda'!K64,'01.08 Kisaasi-Ntinda-24h'!K64,'03.08 Kisaasi-Ntinda-24h'!K64,'04.08 Kisaasi-Ntinda'!K64)</f>
        <v>0</v>
      </c>
      <c r="L64" s="49">
        <f>AVERAGE('29.07 Kisaasi-Ntinda'!L64,'30.07 Kisaasi-Ntinda'!L64,'31.07 Kisaasi-Ntinda'!L64,'02.08 Kisaasi-Ntinda'!L64,'01.08 Kisaasi-Ntinda-24h'!L64,'03.08 Kisaasi-Ntinda-24h'!L64,'04.08 Kisaasi-Ntinda'!L64)</f>
        <v>1</v>
      </c>
      <c r="M64" s="49">
        <f>AVERAGE('29.07 Kisaasi-Ntinda'!M64,'30.07 Kisaasi-Ntinda'!M64,'31.07 Kisaasi-Ntinda'!M64,'02.08 Kisaasi-Ntinda'!M64,'01.08 Kisaasi-Ntinda-24h'!M64,'03.08 Kisaasi-Ntinda-24h'!M64,'04.08 Kisaasi-Ntinda'!M64)</f>
        <v>90.5</v>
      </c>
      <c r="N64" s="49">
        <f>AVERAGE('29.07 Kisaasi-Ntinda'!N64,'30.07 Kisaasi-Ntinda'!N64,'31.07 Kisaasi-Ntinda'!N64,'02.08 Kisaasi-Ntinda'!N64,'01.08 Kisaasi-Ntinda-24h'!N64,'03.08 Kisaasi-Ntinda-24h'!N64,'04.08 Kisaasi-Ntinda'!N64)</f>
        <v>0</v>
      </c>
      <c r="O64" s="49">
        <f>AVERAGE('29.07 Kisaasi-Ntinda'!O64,'30.07 Kisaasi-Ntinda'!O64,'31.07 Kisaasi-Ntinda'!O64,'02.08 Kisaasi-Ntinda'!O64,'01.08 Kisaasi-Ntinda-24h'!O64,'03.08 Kisaasi-Ntinda-24h'!O64,'04.08 Kisaasi-Ntinda'!O64)</f>
        <v>73.5</v>
      </c>
      <c r="P64" s="49">
        <f>AVERAGE('29.07 Kisaasi-Ntinda'!P64,'30.07 Kisaasi-Ntinda'!P64,'31.07 Kisaasi-Ntinda'!P64,'02.08 Kisaasi-Ntinda'!P64,'01.08 Kisaasi-Ntinda-24h'!P64,'03.08 Kisaasi-Ntinda-24h'!P64,'04.08 Kisaasi-Ntinda'!P64)</f>
        <v>164</v>
      </c>
      <c r="R64" s="8"/>
      <c r="T64"/>
    </row>
    <row r="65" spans="2:20" ht="23.1" customHeight="1" x14ac:dyDescent="0.25">
      <c r="B65" s="23" t="s">
        <v>158</v>
      </c>
      <c r="C65" s="49">
        <f>AVERAGE('01.08 Kisaasi-Ntinda-24h'!C65,'03.08 Kisaasi-Ntinda-24h'!C66)</f>
        <v>44.5</v>
      </c>
      <c r="D65" s="49">
        <f>AVERAGE('29.07 Kisaasi-Ntinda'!D65,'30.07 Kisaasi-Ntinda'!D65,'31.07 Kisaasi-Ntinda'!D65,'02.08 Kisaasi-Ntinda'!D65,'01.08 Kisaasi-Ntinda-24h'!D65,'03.08 Kisaasi-Ntinda-24h'!D65,'04.08 Kisaasi-Ntinda'!D65)</f>
        <v>13.5</v>
      </c>
      <c r="E65" s="49">
        <f>AVERAGE('29.07 Kisaasi-Ntinda'!E65,'30.07 Kisaasi-Ntinda'!E65,'31.07 Kisaasi-Ntinda'!E65,'02.08 Kisaasi-Ntinda'!E65,'01.08 Kisaasi-Ntinda-24h'!E65,'03.08 Kisaasi-Ntinda-24h'!E65,'04.08 Kisaasi-Ntinda'!E65)</f>
        <v>4.5</v>
      </c>
      <c r="F65" s="49">
        <f>AVERAGE('29.07 Kisaasi-Ntinda'!F65,'30.07 Kisaasi-Ntinda'!F65,'31.07 Kisaasi-Ntinda'!F65,'02.08 Kisaasi-Ntinda'!F65,'01.08 Kisaasi-Ntinda-24h'!F65,'03.08 Kisaasi-Ntinda-24h'!F65,'04.08 Kisaasi-Ntinda'!F65)</f>
        <v>9</v>
      </c>
      <c r="G65" s="49">
        <f>AVERAGE('29.07 Kisaasi-Ntinda'!G65,'30.07 Kisaasi-Ntinda'!G65,'31.07 Kisaasi-Ntinda'!G65,'02.08 Kisaasi-Ntinda'!G65,'01.08 Kisaasi-Ntinda-24h'!G65,'03.08 Kisaasi-Ntinda-24h'!G65,'04.08 Kisaasi-Ntinda'!G65)</f>
        <v>0</v>
      </c>
      <c r="H65" s="49">
        <f>AVERAGE('29.07 Kisaasi-Ntinda'!H65,'30.07 Kisaasi-Ntinda'!H65,'31.07 Kisaasi-Ntinda'!H65,'02.08 Kisaasi-Ntinda'!H65,'01.08 Kisaasi-Ntinda-24h'!H65,'03.08 Kisaasi-Ntinda-24h'!H65,'04.08 Kisaasi-Ntinda'!H65)</f>
        <v>0</v>
      </c>
      <c r="I65" s="49">
        <f>AVERAGE('29.07 Kisaasi-Ntinda'!I65,'30.07 Kisaasi-Ntinda'!I65,'31.07 Kisaasi-Ntinda'!I65,'02.08 Kisaasi-Ntinda'!I65,'01.08 Kisaasi-Ntinda-24h'!I65,'03.08 Kisaasi-Ntinda-24h'!I65,'04.08 Kisaasi-Ntinda'!I65)</f>
        <v>2.5</v>
      </c>
      <c r="J65" s="49">
        <f>AVERAGE('29.07 Kisaasi-Ntinda'!J65,'30.07 Kisaasi-Ntinda'!J65,'31.07 Kisaasi-Ntinda'!J65,'02.08 Kisaasi-Ntinda'!J65,'01.08 Kisaasi-Ntinda-24h'!J65,'03.08 Kisaasi-Ntinda-24h'!J65,'04.08 Kisaasi-Ntinda'!J65)</f>
        <v>0.5</v>
      </c>
      <c r="K65" s="49">
        <f>AVERAGE('29.07 Kisaasi-Ntinda'!K65,'30.07 Kisaasi-Ntinda'!K65,'31.07 Kisaasi-Ntinda'!K65,'02.08 Kisaasi-Ntinda'!K65,'01.08 Kisaasi-Ntinda-24h'!K65,'03.08 Kisaasi-Ntinda-24h'!K65,'04.08 Kisaasi-Ntinda'!K65)</f>
        <v>1</v>
      </c>
      <c r="L65" s="49">
        <f>AVERAGE('29.07 Kisaasi-Ntinda'!L65,'30.07 Kisaasi-Ntinda'!L65,'31.07 Kisaasi-Ntinda'!L65,'02.08 Kisaasi-Ntinda'!L65,'01.08 Kisaasi-Ntinda-24h'!L65,'03.08 Kisaasi-Ntinda-24h'!L65,'04.08 Kisaasi-Ntinda'!L65)</f>
        <v>0.5</v>
      </c>
      <c r="M65" s="49">
        <f>AVERAGE('29.07 Kisaasi-Ntinda'!M65,'30.07 Kisaasi-Ntinda'!M65,'31.07 Kisaasi-Ntinda'!M65,'02.08 Kisaasi-Ntinda'!M65,'01.08 Kisaasi-Ntinda-24h'!M65,'03.08 Kisaasi-Ntinda-24h'!M65,'04.08 Kisaasi-Ntinda'!M65)</f>
        <v>95.5</v>
      </c>
      <c r="N65" s="49">
        <f>AVERAGE('29.07 Kisaasi-Ntinda'!N65,'30.07 Kisaasi-Ntinda'!N65,'31.07 Kisaasi-Ntinda'!N65,'02.08 Kisaasi-Ntinda'!N65,'01.08 Kisaasi-Ntinda-24h'!N65,'03.08 Kisaasi-Ntinda-24h'!N65,'04.08 Kisaasi-Ntinda'!N65)</f>
        <v>0</v>
      </c>
      <c r="O65" s="49">
        <f>AVERAGE('29.07 Kisaasi-Ntinda'!O65,'30.07 Kisaasi-Ntinda'!O65,'31.07 Kisaasi-Ntinda'!O65,'02.08 Kisaasi-Ntinda'!O65,'01.08 Kisaasi-Ntinda-24h'!O65,'03.08 Kisaasi-Ntinda-24h'!O65,'04.08 Kisaasi-Ntinda'!O65)</f>
        <v>64.5</v>
      </c>
      <c r="P65" s="49">
        <f>AVERAGE('29.07 Kisaasi-Ntinda'!P65,'30.07 Kisaasi-Ntinda'!P65,'31.07 Kisaasi-Ntinda'!P65,'02.08 Kisaasi-Ntinda'!P65,'01.08 Kisaasi-Ntinda-24h'!P65,'03.08 Kisaasi-Ntinda-24h'!P65,'04.08 Kisaasi-Ntinda'!P65)</f>
        <v>160</v>
      </c>
      <c r="R65" s="8"/>
      <c r="T65"/>
    </row>
    <row r="66" spans="2:20" ht="23.1" customHeight="1" x14ac:dyDescent="0.25">
      <c r="B66" s="23" t="s">
        <v>103</v>
      </c>
      <c r="C66" s="49">
        <f>AVERAGE('01.08 Kisaasi-Ntinda-24h'!C66,'03.08 Kisaasi-Ntinda-24h'!C67)</f>
        <v>37</v>
      </c>
      <c r="D66" s="49">
        <f>AVERAGE('29.07 Kisaasi-Ntinda'!D66,'30.07 Kisaasi-Ntinda'!D66,'31.07 Kisaasi-Ntinda'!D66,'02.08 Kisaasi-Ntinda'!D66,'01.08 Kisaasi-Ntinda-24h'!D66,'03.08 Kisaasi-Ntinda-24h'!D66,'04.08 Kisaasi-Ntinda'!D66)</f>
        <v>16.5</v>
      </c>
      <c r="E66" s="49">
        <f>AVERAGE('29.07 Kisaasi-Ntinda'!E66,'30.07 Kisaasi-Ntinda'!E66,'31.07 Kisaasi-Ntinda'!E66,'02.08 Kisaasi-Ntinda'!E66,'01.08 Kisaasi-Ntinda-24h'!E66,'03.08 Kisaasi-Ntinda-24h'!E66,'04.08 Kisaasi-Ntinda'!E66)</f>
        <v>4</v>
      </c>
      <c r="F66" s="49">
        <f>AVERAGE('29.07 Kisaasi-Ntinda'!F66,'30.07 Kisaasi-Ntinda'!F66,'31.07 Kisaasi-Ntinda'!F66,'02.08 Kisaasi-Ntinda'!F66,'01.08 Kisaasi-Ntinda-24h'!F66,'03.08 Kisaasi-Ntinda-24h'!F66,'04.08 Kisaasi-Ntinda'!F66)</f>
        <v>6.5</v>
      </c>
      <c r="G66" s="49">
        <f>AVERAGE('29.07 Kisaasi-Ntinda'!G66,'30.07 Kisaasi-Ntinda'!G66,'31.07 Kisaasi-Ntinda'!G66,'02.08 Kisaasi-Ntinda'!G66,'01.08 Kisaasi-Ntinda-24h'!G66,'03.08 Kisaasi-Ntinda-24h'!G66,'04.08 Kisaasi-Ntinda'!G66)</f>
        <v>0</v>
      </c>
      <c r="H66" s="49">
        <f>AVERAGE('29.07 Kisaasi-Ntinda'!H66,'30.07 Kisaasi-Ntinda'!H66,'31.07 Kisaasi-Ntinda'!H66,'02.08 Kisaasi-Ntinda'!H66,'01.08 Kisaasi-Ntinda-24h'!H66,'03.08 Kisaasi-Ntinda-24h'!H66,'04.08 Kisaasi-Ntinda'!H66)</f>
        <v>0</v>
      </c>
      <c r="I66" s="49">
        <f>AVERAGE('29.07 Kisaasi-Ntinda'!I66,'30.07 Kisaasi-Ntinda'!I66,'31.07 Kisaasi-Ntinda'!I66,'02.08 Kisaasi-Ntinda'!I66,'01.08 Kisaasi-Ntinda-24h'!I66,'03.08 Kisaasi-Ntinda-24h'!I66,'04.08 Kisaasi-Ntinda'!I66)</f>
        <v>2</v>
      </c>
      <c r="J66" s="49">
        <f>AVERAGE('29.07 Kisaasi-Ntinda'!J66,'30.07 Kisaasi-Ntinda'!J66,'31.07 Kisaasi-Ntinda'!J66,'02.08 Kisaasi-Ntinda'!J66,'01.08 Kisaasi-Ntinda-24h'!J66,'03.08 Kisaasi-Ntinda-24h'!J66,'04.08 Kisaasi-Ntinda'!J66)</f>
        <v>2.5</v>
      </c>
      <c r="K66" s="49">
        <f>AVERAGE('29.07 Kisaasi-Ntinda'!K66,'30.07 Kisaasi-Ntinda'!K66,'31.07 Kisaasi-Ntinda'!K66,'02.08 Kisaasi-Ntinda'!K66,'01.08 Kisaasi-Ntinda-24h'!K66,'03.08 Kisaasi-Ntinda-24h'!K66,'04.08 Kisaasi-Ntinda'!K66)</f>
        <v>0.5</v>
      </c>
      <c r="L66" s="49">
        <f>AVERAGE('29.07 Kisaasi-Ntinda'!L66,'30.07 Kisaasi-Ntinda'!L66,'31.07 Kisaasi-Ntinda'!L66,'02.08 Kisaasi-Ntinda'!L66,'01.08 Kisaasi-Ntinda-24h'!L66,'03.08 Kisaasi-Ntinda-24h'!L66,'04.08 Kisaasi-Ntinda'!L66)</f>
        <v>1</v>
      </c>
      <c r="M66" s="49">
        <f>AVERAGE('29.07 Kisaasi-Ntinda'!M66,'30.07 Kisaasi-Ntinda'!M66,'31.07 Kisaasi-Ntinda'!M66,'02.08 Kisaasi-Ntinda'!M66,'01.08 Kisaasi-Ntinda-24h'!M66,'03.08 Kisaasi-Ntinda-24h'!M66,'04.08 Kisaasi-Ntinda'!M66)</f>
        <v>111.5</v>
      </c>
      <c r="N66" s="49">
        <f>AVERAGE('29.07 Kisaasi-Ntinda'!N66,'30.07 Kisaasi-Ntinda'!N66,'31.07 Kisaasi-Ntinda'!N66,'02.08 Kisaasi-Ntinda'!N66,'01.08 Kisaasi-Ntinda-24h'!N66,'03.08 Kisaasi-Ntinda-24h'!N66,'04.08 Kisaasi-Ntinda'!N66)</f>
        <v>0</v>
      </c>
      <c r="O66" s="49">
        <f>AVERAGE('29.07 Kisaasi-Ntinda'!O66,'30.07 Kisaasi-Ntinda'!O66,'31.07 Kisaasi-Ntinda'!O66,'02.08 Kisaasi-Ntinda'!O66,'01.08 Kisaasi-Ntinda-24h'!O66,'03.08 Kisaasi-Ntinda-24h'!O66,'04.08 Kisaasi-Ntinda'!O66)</f>
        <v>81</v>
      </c>
      <c r="P66" s="49">
        <f>AVERAGE('29.07 Kisaasi-Ntinda'!P66,'30.07 Kisaasi-Ntinda'!P66,'31.07 Kisaasi-Ntinda'!P66,'02.08 Kisaasi-Ntinda'!P66,'01.08 Kisaasi-Ntinda-24h'!P66,'03.08 Kisaasi-Ntinda-24h'!P66,'04.08 Kisaasi-Ntinda'!P66)</f>
        <v>192.5</v>
      </c>
      <c r="R66" s="8"/>
      <c r="T66"/>
    </row>
    <row r="67" spans="2:20" ht="23.1" customHeight="1" x14ac:dyDescent="0.25">
      <c r="B67" s="23" t="s">
        <v>104</v>
      </c>
      <c r="C67" s="49">
        <f>AVERAGE('01.08 Kisaasi-Ntinda-24h'!C67,'03.08 Kisaasi-Ntinda-24h'!C68)</f>
        <v>36</v>
      </c>
      <c r="D67" s="49">
        <f>AVERAGE('29.07 Kisaasi-Ntinda'!D67,'30.07 Kisaasi-Ntinda'!D67,'31.07 Kisaasi-Ntinda'!D67,'02.08 Kisaasi-Ntinda'!D67,'01.08 Kisaasi-Ntinda-24h'!D67,'03.08 Kisaasi-Ntinda-24h'!D67,'04.08 Kisaasi-Ntinda'!D67)</f>
        <v>9.5</v>
      </c>
      <c r="E67" s="49">
        <f>AVERAGE('29.07 Kisaasi-Ntinda'!E67,'30.07 Kisaasi-Ntinda'!E67,'31.07 Kisaasi-Ntinda'!E67,'02.08 Kisaasi-Ntinda'!E67,'01.08 Kisaasi-Ntinda-24h'!E67,'03.08 Kisaasi-Ntinda-24h'!E67,'04.08 Kisaasi-Ntinda'!E67)</f>
        <v>2.5</v>
      </c>
      <c r="F67" s="49">
        <f>AVERAGE('29.07 Kisaasi-Ntinda'!F67,'30.07 Kisaasi-Ntinda'!F67,'31.07 Kisaasi-Ntinda'!F67,'02.08 Kisaasi-Ntinda'!F67,'01.08 Kisaasi-Ntinda-24h'!F67,'03.08 Kisaasi-Ntinda-24h'!F67,'04.08 Kisaasi-Ntinda'!F67)</f>
        <v>5.5</v>
      </c>
      <c r="G67" s="49">
        <f>AVERAGE('29.07 Kisaasi-Ntinda'!G67,'30.07 Kisaasi-Ntinda'!G67,'31.07 Kisaasi-Ntinda'!G67,'02.08 Kisaasi-Ntinda'!G67,'01.08 Kisaasi-Ntinda-24h'!G67,'03.08 Kisaasi-Ntinda-24h'!G67,'04.08 Kisaasi-Ntinda'!G67)</f>
        <v>0</v>
      </c>
      <c r="H67" s="49">
        <f>AVERAGE('29.07 Kisaasi-Ntinda'!H67,'30.07 Kisaasi-Ntinda'!H67,'31.07 Kisaasi-Ntinda'!H67,'02.08 Kisaasi-Ntinda'!H67,'01.08 Kisaasi-Ntinda-24h'!H67,'03.08 Kisaasi-Ntinda-24h'!H67,'04.08 Kisaasi-Ntinda'!H67)</f>
        <v>0</v>
      </c>
      <c r="I67" s="49">
        <f>AVERAGE('29.07 Kisaasi-Ntinda'!I67,'30.07 Kisaasi-Ntinda'!I67,'31.07 Kisaasi-Ntinda'!I67,'02.08 Kisaasi-Ntinda'!I67,'01.08 Kisaasi-Ntinda-24h'!I67,'03.08 Kisaasi-Ntinda-24h'!I67,'04.08 Kisaasi-Ntinda'!I67)</f>
        <v>0</v>
      </c>
      <c r="J67" s="49">
        <f>AVERAGE('29.07 Kisaasi-Ntinda'!J67,'30.07 Kisaasi-Ntinda'!J67,'31.07 Kisaasi-Ntinda'!J67,'02.08 Kisaasi-Ntinda'!J67,'01.08 Kisaasi-Ntinda-24h'!J67,'03.08 Kisaasi-Ntinda-24h'!J67,'04.08 Kisaasi-Ntinda'!J67)</f>
        <v>1.5</v>
      </c>
      <c r="K67" s="49">
        <f>AVERAGE('29.07 Kisaasi-Ntinda'!K67,'30.07 Kisaasi-Ntinda'!K67,'31.07 Kisaasi-Ntinda'!K67,'02.08 Kisaasi-Ntinda'!K67,'01.08 Kisaasi-Ntinda-24h'!K67,'03.08 Kisaasi-Ntinda-24h'!K67,'04.08 Kisaasi-Ntinda'!K67)</f>
        <v>0</v>
      </c>
      <c r="L67" s="49">
        <f>AVERAGE('29.07 Kisaasi-Ntinda'!L67,'30.07 Kisaasi-Ntinda'!L67,'31.07 Kisaasi-Ntinda'!L67,'02.08 Kisaasi-Ntinda'!L67,'01.08 Kisaasi-Ntinda-24h'!L67,'03.08 Kisaasi-Ntinda-24h'!L67,'04.08 Kisaasi-Ntinda'!L67)</f>
        <v>0.5</v>
      </c>
      <c r="M67" s="49">
        <f>AVERAGE('29.07 Kisaasi-Ntinda'!M67,'30.07 Kisaasi-Ntinda'!M67,'31.07 Kisaasi-Ntinda'!M67,'02.08 Kisaasi-Ntinda'!M67,'01.08 Kisaasi-Ntinda-24h'!M67,'03.08 Kisaasi-Ntinda-24h'!M67,'04.08 Kisaasi-Ntinda'!M67)</f>
        <v>46.5</v>
      </c>
      <c r="N67" s="49">
        <f>AVERAGE('29.07 Kisaasi-Ntinda'!N67,'30.07 Kisaasi-Ntinda'!N67,'31.07 Kisaasi-Ntinda'!N67,'02.08 Kisaasi-Ntinda'!N67,'01.08 Kisaasi-Ntinda-24h'!N67,'03.08 Kisaasi-Ntinda-24h'!N67,'04.08 Kisaasi-Ntinda'!N67)</f>
        <v>0</v>
      </c>
      <c r="O67" s="49">
        <f>AVERAGE('29.07 Kisaasi-Ntinda'!O67,'30.07 Kisaasi-Ntinda'!O67,'31.07 Kisaasi-Ntinda'!O67,'02.08 Kisaasi-Ntinda'!O67,'01.08 Kisaasi-Ntinda-24h'!O67,'03.08 Kisaasi-Ntinda-24h'!O67,'04.08 Kisaasi-Ntinda'!O67)</f>
        <v>53.5</v>
      </c>
      <c r="P67" s="49">
        <f>AVERAGE('29.07 Kisaasi-Ntinda'!P67,'30.07 Kisaasi-Ntinda'!P67,'31.07 Kisaasi-Ntinda'!P67,'02.08 Kisaasi-Ntinda'!P67,'01.08 Kisaasi-Ntinda-24h'!P67,'03.08 Kisaasi-Ntinda-24h'!P67,'04.08 Kisaasi-Ntinda'!P67)</f>
        <v>100</v>
      </c>
      <c r="R67" s="8"/>
      <c r="T67"/>
    </row>
    <row r="68" spans="2:20" ht="23.1" customHeight="1" x14ac:dyDescent="0.25">
      <c r="B68" s="23" t="s">
        <v>105</v>
      </c>
      <c r="C68" s="49">
        <f>AVERAGE('01.08 Kisaasi-Ntinda-24h'!C68,'03.08 Kisaasi-Ntinda-24h'!C69)</f>
        <v>33</v>
      </c>
      <c r="D68" s="49">
        <f>AVERAGE('29.07 Kisaasi-Ntinda'!D68,'30.07 Kisaasi-Ntinda'!D68,'31.07 Kisaasi-Ntinda'!D68,'02.08 Kisaasi-Ntinda'!D68,'01.08 Kisaasi-Ntinda-24h'!D68,'03.08 Kisaasi-Ntinda-24h'!D68,'04.08 Kisaasi-Ntinda'!D68)</f>
        <v>9</v>
      </c>
      <c r="E68" s="49">
        <f>AVERAGE('29.07 Kisaasi-Ntinda'!E68,'30.07 Kisaasi-Ntinda'!E68,'31.07 Kisaasi-Ntinda'!E68,'02.08 Kisaasi-Ntinda'!E68,'01.08 Kisaasi-Ntinda-24h'!E68,'03.08 Kisaasi-Ntinda-24h'!E68,'04.08 Kisaasi-Ntinda'!E68)</f>
        <v>2.5</v>
      </c>
      <c r="F68" s="49">
        <f>AVERAGE('29.07 Kisaasi-Ntinda'!F68,'30.07 Kisaasi-Ntinda'!F68,'31.07 Kisaasi-Ntinda'!F68,'02.08 Kisaasi-Ntinda'!F68,'01.08 Kisaasi-Ntinda-24h'!F68,'03.08 Kisaasi-Ntinda-24h'!F68,'04.08 Kisaasi-Ntinda'!F68)</f>
        <v>6.5</v>
      </c>
      <c r="G68" s="49">
        <f>AVERAGE('29.07 Kisaasi-Ntinda'!G68,'30.07 Kisaasi-Ntinda'!G68,'31.07 Kisaasi-Ntinda'!G68,'02.08 Kisaasi-Ntinda'!G68,'01.08 Kisaasi-Ntinda-24h'!G68,'03.08 Kisaasi-Ntinda-24h'!G68,'04.08 Kisaasi-Ntinda'!G68)</f>
        <v>0</v>
      </c>
      <c r="H68" s="49">
        <f>AVERAGE('29.07 Kisaasi-Ntinda'!H68,'30.07 Kisaasi-Ntinda'!H68,'31.07 Kisaasi-Ntinda'!H68,'02.08 Kisaasi-Ntinda'!H68,'01.08 Kisaasi-Ntinda-24h'!H68,'03.08 Kisaasi-Ntinda-24h'!H68,'04.08 Kisaasi-Ntinda'!H68)</f>
        <v>0</v>
      </c>
      <c r="I68" s="49">
        <f>AVERAGE('29.07 Kisaasi-Ntinda'!I68,'30.07 Kisaasi-Ntinda'!I68,'31.07 Kisaasi-Ntinda'!I68,'02.08 Kisaasi-Ntinda'!I68,'01.08 Kisaasi-Ntinda-24h'!I68,'03.08 Kisaasi-Ntinda-24h'!I68,'04.08 Kisaasi-Ntinda'!I68)</f>
        <v>2</v>
      </c>
      <c r="J68" s="49">
        <f>AVERAGE('29.07 Kisaasi-Ntinda'!J68,'30.07 Kisaasi-Ntinda'!J68,'31.07 Kisaasi-Ntinda'!J68,'02.08 Kisaasi-Ntinda'!J68,'01.08 Kisaasi-Ntinda-24h'!J68,'03.08 Kisaasi-Ntinda-24h'!J68,'04.08 Kisaasi-Ntinda'!J68)</f>
        <v>0</v>
      </c>
      <c r="K68" s="49">
        <f>AVERAGE('29.07 Kisaasi-Ntinda'!K68,'30.07 Kisaasi-Ntinda'!K68,'31.07 Kisaasi-Ntinda'!K68,'02.08 Kisaasi-Ntinda'!K68,'01.08 Kisaasi-Ntinda-24h'!K68,'03.08 Kisaasi-Ntinda-24h'!K68,'04.08 Kisaasi-Ntinda'!K68)</f>
        <v>2</v>
      </c>
      <c r="L68" s="49">
        <f>AVERAGE('29.07 Kisaasi-Ntinda'!L68,'30.07 Kisaasi-Ntinda'!L68,'31.07 Kisaasi-Ntinda'!L68,'02.08 Kisaasi-Ntinda'!L68,'01.08 Kisaasi-Ntinda-24h'!L68,'03.08 Kisaasi-Ntinda-24h'!L68,'04.08 Kisaasi-Ntinda'!L68)</f>
        <v>0.5</v>
      </c>
      <c r="M68" s="49">
        <f>AVERAGE('29.07 Kisaasi-Ntinda'!M68,'30.07 Kisaasi-Ntinda'!M68,'31.07 Kisaasi-Ntinda'!M68,'02.08 Kisaasi-Ntinda'!M68,'01.08 Kisaasi-Ntinda-24h'!M68,'03.08 Kisaasi-Ntinda-24h'!M68,'04.08 Kisaasi-Ntinda'!M68)</f>
        <v>62</v>
      </c>
      <c r="N68" s="49">
        <f>AVERAGE('29.07 Kisaasi-Ntinda'!N68,'30.07 Kisaasi-Ntinda'!N68,'31.07 Kisaasi-Ntinda'!N68,'02.08 Kisaasi-Ntinda'!N68,'01.08 Kisaasi-Ntinda-24h'!N68,'03.08 Kisaasi-Ntinda-24h'!N68,'04.08 Kisaasi-Ntinda'!N68)</f>
        <v>0</v>
      </c>
      <c r="O68" s="49">
        <f>AVERAGE('29.07 Kisaasi-Ntinda'!O68,'30.07 Kisaasi-Ntinda'!O68,'31.07 Kisaasi-Ntinda'!O68,'02.08 Kisaasi-Ntinda'!O68,'01.08 Kisaasi-Ntinda-24h'!O68,'03.08 Kisaasi-Ntinda-24h'!O68,'04.08 Kisaasi-Ntinda'!O68)</f>
        <v>64</v>
      </c>
      <c r="P68" s="49">
        <f>AVERAGE('29.07 Kisaasi-Ntinda'!P68,'30.07 Kisaasi-Ntinda'!P68,'31.07 Kisaasi-Ntinda'!P68,'02.08 Kisaasi-Ntinda'!P68,'01.08 Kisaasi-Ntinda-24h'!P68,'03.08 Kisaasi-Ntinda-24h'!P68,'04.08 Kisaasi-Ntinda'!P68)</f>
        <v>126</v>
      </c>
      <c r="R68" s="8"/>
      <c r="T68"/>
    </row>
    <row r="69" spans="2:20" ht="23.1" customHeight="1" x14ac:dyDescent="0.25">
      <c r="B69" s="23" t="s">
        <v>106</v>
      </c>
      <c r="C69" s="49">
        <f>AVERAGE('01.08 Kisaasi-Ntinda-24h'!C69,'03.08 Kisaasi-Ntinda-24h'!C70)</f>
        <v>33.5</v>
      </c>
      <c r="D69" s="49">
        <f>AVERAGE('29.07 Kisaasi-Ntinda'!D69,'30.07 Kisaasi-Ntinda'!D69,'31.07 Kisaasi-Ntinda'!D69,'02.08 Kisaasi-Ntinda'!D69,'01.08 Kisaasi-Ntinda-24h'!D69,'03.08 Kisaasi-Ntinda-24h'!D69,'04.08 Kisaasi-Ntinda'!D69)</f>
        <v>13</v>
      </c>
      <c r="E69" s="49">
        <f>AVERAGE('29.07 Kisaasi-Ntinda'!E69,'30.07 Kisaasi-Ntinda'!E69,'31.07 Kisaasi-Ntinda'!E69,'02.08 Kisaasi-Ntinda'!E69,'01.08 Kisaasi-Ntinda-24h'!E69,'03.08 Kisaasi-Ntinda-24h'!E69,'04.08 Kisaasi-Ntinda'!E69)</f>
        <v>3.5</v>
      </c>
      <c r="F69" s="49">
        <f>AVERAGE('29.07 Kisaasi-Ntinda'!F69,'30.07 Kisaasi-Ntinda'!F69,'31.07 Kisaasi-Ntinda'!F69,'02.08 Kisaasi-Ntinda'!F69,'01.08 Kisaasi-Ntinda-24h'!F69,'03.08 Kisaasi-Ntinda-24h'!F69,'04.08 Kisaasi-Ntinda'!F69)</f>
        <v>8</v>
      </c>
      <c r="G69" s="49">
        <f>AVERAGE('29.07 Kisaasi-Ntinda'!G69,'30.07 Kisaasi-Ntinda'!G69,'31.07 Kisaasi-Ntinda'!G69,'02.08 Kisaasi-Ntinda'!G69,'01.08 Kisaasi-Ntinda-24h'!G69,'03.08 Kisaasi-Ntinda-24h'!G69,'04.08 Kisaasi-Ntinda'!G69)</f>
        <v>0</v>
      </c>
      <c r="H69" s="49">
        <f>AVERAGE('29.07 Kisaasi-Ntinda'!H69,'30.07 Kisaasi-Ntinda'!H69,'31.07 Kisaasi-Ntinda'!H69,'02.08 Kisaasi-Ntinda'!H69,'01.08 Kisaasi-Ntinda-24h'!H69,'03.08 Kisaasi-Ntinda-24h'!H69,'04.08 Kisaasi-Ntinda'!H69)</f>
        <v>0</v>
      </c>
      <c r="I69" s="49">
        <f>AVERAGE('29.07 Kisaasi-Ntinda'!I69,'30.07 Kisaasi-Ntinda'!I69,'31.07 Kisaasi-Ntinda'!I69,'02.08 Kisaasi-Ntinda'!I69,'01.08 Kisaasi-Ntinda-24h'!I69,'03.08 Kisaasi-Ntinda-24h'!I69,'04.08 Kisaasi-Ntinda'!I69)</f>
        <v>3.5</v>
      </c>
      <c r="J69" s="49">
        <f>AVERAGE('29.07 Kisaasi-Ntinda'!J69,'30.07 Kisaasi-Ntinda'!J69,'31.07 Kisaasi-Ntinda'!J69,'02.08 Kisaasi-Ntinda'!J69,'01.08 Kisaasi-Ntinda-24h'!J69,'03.08 Kisaasi-Ntinda-24h'!J69,'04.08 Kisaasi-Ntinda'!J69)</f>
        <v>1</v>
      </c>
      <c r="K69" s="49">
        <f>AVERAGE('29.07 Kisaasi-Ntinda'!K69,'30.07 Kisaasi-Ntinda'!K69,'31.07 Kisaasi-Ntinda'!K69,'02.08 Kisaasi-Ntinda'!K69,'01.08 Kisaasi-Ntinda-24h'!K69,'03.08 Kisaasi-Ntinda-24h'!K69,'04.08 Kisaasi-Ntinda'!K69)</f>
        <v>0</v>
      </c>
      <c r="L69" s="49">
        <f>AVERAGE('29.07 Kisaasi-Ntinda'!L69,'30.07 Kisaasi-Ntinda'!L69,'31.07 Kisaasi-Ntinda'!L69,'02.08 Kisaasi-Ntinda'!L69,'01.08 Kisaasi-Ntinda-24h'!L69,'03.08 Kisaasi-Ntinda-24h'!L69,'04.08 Kisaasi-Ntinda'!L69)</f>
        <v>0</v>
      </c>
      <c r="M69" s="49">
        <f>AVERAGE('29.07 Kisaasi-Ntinda'!M69,'30.07 Kisaasi-Ntinda'!M69,'31.07 Kisaasi-Ntinda'!M69,'02.08 Kisaasi-Ntinda'!M69,'01.08 Kisaasi-Ntinda-24h'!M69,'03.08 Kisaasi-Ntinda-24h'!M69,'04.08 Kisaasi-Ntinda'!M69)</f>
        <v>65.5</v>
      </c>
      <c r="N69" s="49">
        <f>AVERAGE('29.07 Kisaasi-Ntinda'!N69,'30.07 Kisaasi-Ntinda'!N69,'31.07 Kisaasi-Ntinda'!N69,'02.08 Kisaasi-Ntinda'!N69,'01.08 Kisaasi-Ntinda-24h'!N69,'03.08 Kisaasi-Ntinda-24h'!N69,'04.08 Kisaasi-Ntinda'!N69)</f>
        <v>0</v>
      </c>
      <c r="O69" s="49">
        <f>AVERAGE('29.07 Kisaasi-Ntinda'!O69,'30.07 Kisaasi-Ntinda'!O69,'31.07 Kisaasi-Ntinda'!O69,'02.08 Kisaasi-Ntinda'!O69,'01.08 Kisaasi-Ntinda-24h'!O69,'03.08 Kisaasi-Ntinda-24h'!O69,'04.08 Kisaasi-Ntinda'!O69)</f>
        <v>49</v>
      </c>
      <c r="P69" s="49">
        <f>AVERAGE('29.07 Kisaasi-Ntinda'!P69,'30.07 Kisaasi-Ntinda'!P69,'31.07 Kisaasi-Ntinda'!P69,'02.08 Kisaasi-Ntinda'!P69,'01.08 Kisaasi-Ntinda-24h'!P69,'03.08 Kisaasi-Ntinda-24h'!P69,'04.08 Kisaasi-Ntinda'!P69)</f>
        <v>114.5</v>
      </c>
      <c r="R69" s="8"/>
      <c r="T69"/>
    </row>
    <row r="70" spans="2:20" ht="23.1" customHeight="1" x14ac:dyDescent="0.25">
      <c r="B70" s="23" t="s">
        <v>110</v>
      </c>
      <c r="C70" s="49">
        <f>AVERAGE('01.08 Kisaasi-Ntinda-24h'!C70,'03.08 Kisaasi-Ntinda-24h'!C71)</f>
        <v>33.5</v>
      </c>
      <c r="D70" s="49">
        <f>AVERAGE('29.07 Kisaasi-Ntinda'!D70,'30.07 Kisaasi-Ntinda'!D70,'31.07 Kisaasi-Ntinda'!D70,'02.08 Kisaasi-Ntinda'!D70,'01.08 Kisaasi-Ntinda-24h'!D70,'03.08 Kisaasi-Ntinda-24h'!D70,'04.08 Kisaasi-Ntinda'!D70)</f>
        <v>12</v>
      </c>
      <c r="E70" s="49">
        <f>AVERAGE('29.07 Kisaasi-Ntinda'!E70,'30.07 Kisaasi-Ntinda'!E70,'31.07 Kisaasi-Ntinda'!E70,'02.08 Kisaasi-Ntinda'!E70,'01.08 Kisaasi-Ntinda-24h'!E70,'03.08 Kisaasi-Ntinda-24h'!E70,'04.08 Kisaasi-Ntinda'!E70)</f>
        <v>1</v>
      </c>
      <c r="F70" s="49">
        <f>AVERAGE('29.07 Kisaasi-Ntinda'!F70,'30.07 Kisaasi-Ntinda'!F70,'31.07 Kisaasi-Ntinda'!F70,'02.08 Kisaasi-Ntinda'!F70,'01.08 Kisaasi-Ntinda-24h'!F70,'03.08 Kisaasi-Ntinda-24h'!F70,'04.08 Kisaasi-Ntinda'!F70)</f>
        <v>3.5</v>
      </c>
      <c r="G70" s="49">
        <f>AVERAGE('29.07 Kisaasi-Ntinda'!G70,'30.07 Kisaasi-Ntinda'!G70,'31.07 Kisaasi-Ntinda'!G70,'02.08 Kisaasi-Ntinda'!G70,'01.08 Kisaasi-Ntinda-24h'!G70,'03.08 Kisaasi-Ntinda-24h'!G70,'04.08 Kisaasi-Ntinda'!G70)</f>
        <v>0</v>
      </c>
      <c r="H70" s="49">
        <f>AVERAGE('29.07 Kisaasi-Ntinda'!H70,'30.07 Kisaasi-Ntinda'!H70,'31.07 Kisaasi-Ntinda'!H70,'02.08 Kisaasi-Ntinda'!H70,'01.08 Kisaasi-Ntinda-24h'!H70,'03.08 Kisaasi-Ntinda-24h'!H70,'04.08 Kisaasi-Ntinda'!H70)</f>
        <v>0</v>
      </c>
      <c r="I70" s="49">
        <f>AVERAGE('29.07 Kisaasi-Ntinda'!I70,'30.07 Kisaasi-Ntinda'!I70,'31.07 Kisaasi-Ntinda'!I70,'02.08 Kisaasi-Ntinda'!I70,'01.08 Kisaasi-Ntinda-24h'!I70,'03.08 Kisaasi-Ntinda-24h'!I70,'04.08 Kisaasi-Ntinda'!I70)</f>
        <v>2.5</v>
      </c>
      <c r="J70" s="49">
        <f>AVERAGE('29.07 Kisaasi-Ntinda'!J70,'30.07 Kisaasi-Ntinda'!J70,'31.07 Kisaasi-Ntinda'!J70,'02.08 Kisaasi-Ntinda'!J70,'01.08 Kisaasi-Ntinda-24h'!J70,'03.08 Kisaasi-Ntinda-24h'!J70,'04.08 Kisaasi-Ntinda'!J70)</f>
        <v>1.5</v>
      </c>
      <c r="K70" s="49">
        <f>AVERAGE('29.07 Kisaasi-Ntinda'!K70,'30.07 Kisaasi-Ntinda'!K70,'31.07 Kisaasi-Ntinda'!K70,'02.08 Kisaasi-Ntinda'!K70,'01.08 Kisaasi-Ntinda-24h'!K70,'03.08 Kisaasi-Ntinda-24h'!K70,'04.08 Kisaasi-Ntinda'!K70)</f>
        <v>0</v>
      </c>
      <c r="L70" s="49">
        <f>AVERAGE('29.07 Kisaasi-Ntinda'!L70,'30.07 Kisaasi-Ntinda'!L70,'31.07 Kisaasi-Ntinda'!L70,'02.08 Kisaasi-Ntinda'!L70,'01.08 Kisaasi-Ntinda-24h'!L70,'03.08 Kisaasi-Ntinda-24h'!L70,'04.08 Kisaasi-Ntinda'!L70)</f>
        <v>0.5</v>
      </c>
      <c r="M70" s="49">
        <f>AVERAGE('29.07 Kisaasi-Ntinda'!M70,'30.07 Kisaasi-Ntinda'!M70,'31.07 Kisaasi-Ntinda'!M70,'02.08 Kisaasi-Ntinda'!M70,'01.08 Kisaasi-Ntinda-24h'!M70,'03.08 Kisaasi-Ntinda-24h'!M70,'04.08 Kisaasi-Ntinda'!M70)</f>
        <v>81.5</v>
      </c>
      <c r="N70" s="49">
        <f>AVERAGE('29.07 Kisaasi-Ntinda'!N70,'30.07 Kisaasi-Ntinda'!N70,'31.07 Kisaasi-Ntinda'!N70,'02.08 Kisaasi-Ntinda'!N70,'01.08 Kisaasi-Ntinda-24h'!N70,'03.08 Kisaasi-Ntinda-24h'!N70,'04.08 Kisaasi-Ntinda'!N70)</f>
        <v>0</v>
      </c>
      <c r="O70" s="49">
        <f>AVERAGE('29.07 Kisaasi-Ntinda'!O70,'30.07 Kisaasi-Ntinda'!O70,'31.07 Kisaasi-Ntinda'!O70,'02.08 Kisaasi-Ntinda'!O70,'01.08 Kisaasi-Ntinda-24h'!O70,'03.08 Kisaasi-Ntinda-24h'!O70,'04.08 Kisaasi-Ntinda'!O70)</f>
        <v>54.5</v>
      </c>
      <c r="P70" s="49">
        <f>AVERAGE('29.07 Kisaasi-Ntinda'!P70,'30.07 Kisaasi-Ntinda'!P70,'31.07 Kisaasi-Ntinda'!P70,'02.08 Kisaasi-Ntinda'!P70,'01.08 Kisaasi-Ntinda-24h'!P70,'03.08 Kisaasi-Ntinda-24h'!P70,'04.08 Kisaasi-Ntinda'!P70)</f>
        <v>136</v>
      </c>
      <c r="R70" s="8"/>
      <c r="T70"/>
    </row>
    <row r="71" spans="2:20" ht="23.1" customHeight="1" x14ac:dyDescent="0.25">
      <c r="B71" s="23" t="s">
        <v>111</v>
      </c>
      <c r="C71" s="49">
        <f>AVERAGE('01.08 Kisaasi-Ntinda-24h'!C71,'03.08 Kisaasi-Ntinda-24h'!C72)</f>
        <v>30.5</v>
      </c>
      <c r="D71" s="49">
        <f>AVERAGE('29.07 Kisaasi-Ntinda'!D71,'30.07 Kisaasi-Ntinda'!D71,'31.07 Kisaasi-Ntinda'!D71,'02.08 Kisaasi-Ntinda'!D71,'01.08 Kisaasi-Ntinda-24h'!D71,'03.08 Kisaasi-Ntinda-24h'!D71,'04.08 Kisaasi-Ntinda'!D71)</f>
        <v>10</v>
      </c>
      <c r="E71" s="49">
        <f>AVERAGE('29.07 Kisaasi-Ntinda'!E71,'30.07 Kisaasi-Ntinda'!E71,'31.07 Kisaasi-Ntinda'!E71,'02.08 Kisaasi-Ntinda'!E71,'01.08 Kisaasi-Ntinda-24h'!E71,'03.08 Kisaasi-Ntinda-24h'!E71,'04.08 Kisaasi-Ntinda'!E71)</f>
        <v>2</v>
      </c>
      <c r="F71" s="49">
        <f>AVERAGE('29.07 Kisaasi-Ntinda'!F71,'30.07 Kisaasi-Ntinda'!F71,'31.07 Kisaasi-Ntinda'!F71,'02.08 Kisaasi-Ntinda'!F71,'01.08 Kisaasi-Ntinda-24h'!F71,'03.08 Kisaasi-Ntinda-24h'!F71,'04.08 Kisaasi-Ntinda'!F71)</f>
        <v>5</v>
      </c>
      <c r="G71" s="49">
        <f>AVERAGE('29.07 Kisaasi-Ntinda'!G71,'30.07 Kisaasi-Ntinda'!G71,'31.07 Kisaasi-Ntinda'!G71,'02.08 Kisaasi-Ntinda'!G71,'01.08 Kisaasi-Ntinda-24h'!G71,'03.08 Kisaasi-Ntinda-24h'!G71,'04.08 Kisaasi-Ntinda'!G71)</f>
        <v>0</v>
      </c>
      <c r="H71" s="49">
        <f>AVERAGE('29.07 Kisaasi-Ntinda'!H71,'30.07 Kisaasi-Ntinda'!H71,'31.07 Kisaasi-Ntinda'!H71,'02.08 Kisaasi-Ntinda'!H71,'01.08 Kisaasi-Ntinda-24h'!H71,'03.08 Kisaasi-Ntinda-24h'!H71,'04.08 Kisaasi-Ntinda'!H71)</f>
        <v>0</v>
      </c>
      <c r="I71" s="49">
        <f>AVERAGE('29.07 Kisaasi-Ntinda'!I71,'30.07 Kisaasi-Ntinda'!I71,'31.07 Kisaasi-Ntinda'!I71,'02.08 Kisaasi-Ntinda'!I71,'01.08 Kisaasi-Ntinda-24h'!I71,'03.08 Kisaasi-Ntinda-24h'!I71,'04.08 Kisaasi-Ntinda'!I71)</f>
        <v>1.5</v>
      </c>
      <c r="J71" s="49">
        <f>AVERAGE('29.07 Kisaasi-Ntinda'!J71,'30.07 Kisaasi-Ntinda'!J71,'31.07 Kisaasi-Ntinda'!J71,'02.08 Kisaasi-Ntinda'!J71,'01.08 Kisaasi-Ntinda-24h'!J71,'03.08 Kisaasi-Ntinda-24h'!J71,'04.08 Kisaasi-Ntinda'!J71)</f>
        <v>0</v>
      </c>
      <c r="K71" s="49">
        <f>AVERAGE('29.07 Kisaasi-Ntinda'!K71,'30.07 Kisaasi-Ntinda'!K71,'31.07 Kisaasi-Ntinda'!K71,'02.08 Kisaasi-Ntinda'!K71,'01.08 Kisaasi-Ntinda-24h'!K71,'03.08 Kisaasi-Ntinda-24h'!K71,'04.08 Kisaasi-Ntinda'!K71)</f>
        <v>0.5</v>
      </c>
      <c r="L71" s="49">
        <f>AVERAGE('29.07 Kisaasi-Ntinda'!L71,'30.07 Kisaasi-Ntinda'!L71,'31.07 Kisaasi-Ntinda'!L71,'02.08 Kisaasi-Ntinda'!L71,'01.08 Kisaasi-Ntinda-24h'!L71,'03.08 Kisaasi-Ntinda-24h'!L71,'04.08 Kisaasi-Ntinda'!L71)</f>
        <v>0</v>
      </c>
      <c r="M71" s="49">
        <f>AVERAGE('29.07 Kisaasi-Ntinda'!M71,'30.07 Kisaasi-Ntinda'!M71,'31.07 Kisaasi-Ntinda'!M71,'02.08 Kisaasi-Ntinda'!M71,'01.08 Kisaasi-Ntinda-24h'!M71,'03.08 Kisaasi-Ntinda-24h'!M71,'04.08 Kisaasi-Ntinda'!M71)</f>
        <v>48.5</v>
      </c>
      <c r="N71" s="49">
        <f>AVERAGE('29.07 Kisaasi-Ntinda'!N71,'30.07 Kisaasi-Ntinda'!N71,'31.07 Kisaasi-Ntinda'!N71,'02.08 Kisaasi-Ntinda'!N71,'01.08 Kisaasi-Ntinda-24h'!N71,'03.08 Kisaasi-Ntinda-24h'!N71,'04.08 Kisaasi-Ntinda'!N71)</f>
        <v>0</v>
      </c>
      <c r="O71" s="49">
        <f>AVERAGE('29.07 Kisaasi-Ntinda'!O71,'30.07 Kisaasi-Ntinda'!O71,'31.07 Kisaasi-Ntinda'!O71,'02.08 Kisaasi-Ntinda'!O71,'01.08 Kisaasi-Ntinda-24h'!O71,'03.08 Kisaasi-Ntinda-24h'!O71,'04.08 Kisaasi-Ntinda'!O71)</f>
        <v>55.5</v>
      </c>
      <c r="P71" s="49">
        <f>AVERAGE('29.07 Kisaasi-Ntinda'!P71,'30.07 Kisaasi-Ntinda'!P71,'31.07 Kisaasi-Ntinda'!P71,'02.08 Kisaasi-Ntinda'!P71,'01.08 Kisaasi-Ntinda-24h'!P71,'03.08 Kisaasi-Ntinda-24h'!P71,'04.08 Kisaasi-Ntinda'!P71)</f>
        <v>104</v>
      </c>
      <c r="R71" s="8"/>
      <c r="T71"/>
    </row>
    <row r="72" spans="2:20" ht="23.1" customHeight="1" x14ac:dyDescent="0.25">
      <c r="B72" s="23" t="s">
        <v>112</v>
      </c>
      <c r="C72" s="49">
        <f>AVERAGE('01.08 Kisaasi-Ntinda-24h'!C72,'03.08 Kisaasi-Ntinda-24h'!C73)</f>
        <v>38.5</v>
      </c>
      <c r="D72" s="49">
        <f>AVERAGE('29.07 Kisaasi-Ntinda'!D72,'30.07 Kisaasi-Ntinda'!D72,'31.07 Kisaasi-Ntinda'!D72,'02.08 Kisaasi-Ntinda'!D72,'01.08 Kisaasi-Ntinda-24h'!D72,'03.08 Kisaasi-Ntinda-24h'!D72,'04.08 Kisaasi-Ntinda'!D72)</f>
        <v>17.5</v>
      </c>
      <c r="E72" s="49">
        <f>AVERAGE('29.07 Kisaasi-Ntinda'!E72,'30.07 Kisaasi-Ntinda'!E72,'31.07 Kisaasi-Ntinda'!E72,'02.08 Kisaasi-Ntinda'!E72,'01.08 Kisaasi-Ntinda-24h'!E72,'03.08 Kisaasi-Ntinda-24h'!E72,'04.08 Kisaasi-Ntinda'!E72)</f>
        <v>1</v>
      </c>
      <c r="F72" s="49">
        <f>AVERAGE('29.07 Kisaasi-Ntinda'!F72,'30.07 Kisaasi-Ntinda'!F72,'31.07 Kisaasi-Ntinda'!F72,'02.08 Kisaasi-Ntinda'!F72,'01.08 Kisaasi-Ntinda-24h'!F72,'03.08 Kisaasi-Ntinda-24h'!F72,'04.08 Kisaasi-Ntinda'!F72)</f>
        <v>5.5</v>
      </c>
      <c r="G72" s="49">
        <f>AVERAGE('29.07 Kisaasi-Ntinda'!G72,'30.07 Kisaasi-Ntinda'!G72,'31.07 Kisaasi-Ntinda'!G72,'02.08 Kisaasi-Ntinda'!G72,'01.08 Kisaasi-Ntinda-24h'!G72,'03.08 Kisaasi-Ntinda-24h'!G72,'04.08 Kisaasi-Ntinda'!G72)</f>
        <v>0.5</v>
      </c>
      <c r="H72" s="49">
        <f>AVERAGE('29.07 Kisaasi-Ntinda'!H72,'30.07 Kisaasi-Ntinda'!H72,'31.07 Kisaasi-Ntinda'!H72,'02.08 Kisaasi-Ntinda'!H72,'01.08 Kisaasi-Ntinda-24h'!H72,'03.08 Kisaasi-Ntinda-24h'!H72,'04.08 Kisaasi-Ntinda'!H72)</f>
        <v>0</v>
      </c>
      <c r="I72" s="49">
        <f>AVERAGE('29.07 Kisaasi-Ntinda'!I72,'30.07 Kisaasi-Ntinda'!I72,'31.07 Kisaasi-Ntinda'!I72,'02.08 Kisaasi-Ntinda'!I72,'01.08 Kisaasi-Ntinda-24h'!I72,'03.08 Kisaasi-Ntinda-24h'!I72,'04.08 Kisaasi-Ntinda'!I72)</f>
        <v>1.5</v>
      </c>
      <c r="J72" s="49">
        <f>AVERAGE('29.07 Kisaasi-Ntinda'!J72,'30.07 Kisaasi-Ntinda'!J72,'31.07 Kisaasi-Ntinda'!J72,'02.08 Kisaasi-Ntinda'!J72,'01.08 Kisaasi-Ntinda-24h'!J72,'03.08 Kisaasi-Ntinda-24h'!J72,'04.08 Kisaasi-Ntinda'!J72)</f>
        <v>1.5</v>
      </c>
      <c r="K72" s="49">
        <f>AVERAGE('29.07 Kisaasi-Ntinda'!K72,'30.07 Kisaasi-Ntinda'!K72,'31.07 Kisaasi-Ntinda'!K72,'02.08 Kisaasi-Ntinda'!K72,'01.08 Kisaasi-Ntinda-24h'!K72,'03.08 Kisaasi-Ntinda-24h'!K72,'04.08 Kisaasi-Ntinda'!K72)</f>
        <v>1.5</v>
      </c>
      <c r="L72" s="49">
        <f>AVERAGE('29.07 Kisaasi-Ntinda'!L72,'30.07 Kisaasi-Ntinda'!L72,'31.07 Kisaasi-Ntinda'!L72,'02.08 Kisaasi-Ntinda'!L72,'01.08 Kisaasi-Ntinda-24h'!L72,'03.08 Kisaasi-Ntinda-24h'!L72,'04.08 Kisaasi-Ntinda'!L72)</f>
        <v>1</v>
      </c>
      <c r="M72" s="49">
        <f>AVERAGE('29.07 Kisaasi-Ntinda'!M72,'30.07 Kisaasi-Ntinda'!M72,'31.07 Kisaasi-Ntinda'!M72,'02.08 Kisaasi-Ntinda'!M72,'01.08 Kisaasi-Ntinda-24h'!M72,'03.08 Kisaasi-Ntinda-24h'!M72,'04.08 Kisaasi-Ntinda'!M72)</f>
        <v>62</v>
      </c>
      <c r="N72" s="49">
        <f>AVERAGE('29.07 Kisaasi-Ntinda'!N72,'30.07 Kisaasi-Ntinda'!N72,'31.07 Kisaasi-Ntinda'!N72,'02.08 Kisaasi-Ntinda'!N72,'01.08 Kisaasi-Ntinda-24h'!N72,'03.08 Kisaasi-Ntinda-24h'!N72,'04.08 Kisaasi-Ntinda'!N72)</f>
        <v>0</v>
      </c>
      <c r="O72" s="49">
        <f>AVERAGE('29.07 Kisaasi-Ntinda'!O72,'30.07 Kisaasi-Ntinda'!O72,'31.07 Kisaasi-Ntinda'!O72,'02.08 Kisaasi-Ntinda'!O72,'01.08 Kisaasi-Ntinda-24h'!O72,'03.08 Kisaasi-Ntinda-24h'!O72,'04.08 Kisaasi-Ntinda'!O72)</f>
        <v>63</v>
      </c>
      <c r="P72" s="49">
        <f>AVERAGE('29.07 Kisaasi-Ntinda'!P72,'30.07 Kisaasi-Ntinda'!P72,'31.07 Kisaasi-Ntinda'!P72,'02.08 Kisaasi-Ntinda'!P72,'01.08 Kisaasi-Ntinda-24h'!P72,'03.08 Kisaasi-Ntinda-24h'!P72,'04.08 Kisaasi-Ntinda'!P72)</f>
        <v>125</v>
      </c>
      <c r="R72" s="8"/>
      <c r="T72"/>
    </row>
    <row r="73" spans="2:20" ht="23.1" customHeight="1" x14ac:dyDescent="0.25">
      <c r="B73" s="23" t="s">
        <v>113</v>
      </c>
      <c r="C73" s="49">
        <f>AVERAGE('01.08 Kisaasi-Ntinda-24h'!C73,'03.08 Kisaasi-Ntinda-24h'!C74)</f>
        <v>28</v>
      </c>
      <c r="D73" s="49">
        <f>AVERAGE('29.07 Kisaasi-Ntinda'!D73,'30.07 Kisaasi-Ntinda'!D73,'31.07 Kisaasi-Ntinda'!D73,'02.08 Kisaasi-Ntinda'!D73,'01.08 Kisaasi-Ntinda-24h'!D73,'03.08 Kisaasi-Ntinda-24h'!D73,'04.08 Kisaasi-Ntinda'!D73)</f>
        <v>16</v>
      </c>
      <c r="E73" s="49">
        <f>AVERAGE('29.07 Kisaasi-Ntinda'!E73,'30.07 Kisaasi-Ntinda'!E73,'31.07 Kisaasi-Ntinda'!E73,'02.08 Kisaasi-Ntinda'!E73,'01.08 Kisaasi-Ntinda-24h'!E73,'03.08 Kisaasi-Ntinda-24h'!E73,'04.08 Kisaasi-Ntinda'!E73)</f>
        <v>4.5</v>
      </c>
      <c r="F73" s="49">
        <f>AVERAGE('29.07 Kisaasi-Ntinda'!F73,'30.07 Kisaasi-Ntinda'!F73,'31.07 Kisaasi-Ntinda'!F73,'02.08 Kisaasi-Ntinda'!F73,'01.08 Kisaasi-Ntinda-24h'!F73,'03.08 Kisaasi-Ntinda-24h'!F73,'04.08 Kisaasi-Ntinda'!F73)</f>
        <v>3.5</v>
      </c>
      <c r="G73" s="49">
        <f>AVERAGE('29.07 Kisaasi-Ntinda'!G73,'30.07 Kisaasi-Ntinda'!G73,'31.07 Kisaasi-Ntinda'!G73,'02.08 Kisaasi-Ntinda'!G73,'01.08 Kisaasi-Ntinda-24h'!G73,'03.08 Kisaasi-Ntinda-24h'!G73,'04.08 Kisaasi-Ntinda'!G73)</f>
        <v>0.5</v>
      </c>
      <c r="H73" s="49">
        <f>AVERAGE('29.07 Kisaasi-Ntinda'!H73,'30.07 Kisaasi-Ntinda'!H73,'31.07 Kisaasi-Ntinda'!H73,'02.08 Kisaasi-Ntinda'!H73,'01.08 Kisaasi-Ntinda-24h'!H73,'03.08 Kisaasi-Ntinda-24h'!H73,'04.08 Kisaasi-Ntinda'!H73)</f>
        <v>0</v>
      </c>
      <c r="I73" s="49">
        <f>AVERAGE('29.07 Kisaasi-Ntinda'!I73,'30.07 Kisaasi-Ntinda'!I73,'31.07 Kisaasi-Ntinda'!I73,'02.08 Kisaasi-Ntinda'!I73,'01.08 Kisaasi-Ntinda-24h'!I73,'03.08 Kisaasi-Ntinda-24h'!I73,'04.08 Kisaasi-Ntinda'!I73)</f>
        <v>0.5</v>
      </c>
      <c r="J73" s="49">
        <f>AVERAGE('29.07 Kisaasi-Ntinda'!J73,'30.07 Kisaasi-Ntinda'!J73,'31.07 Kisaasi-Ntinda'!J73,'02.08 Kisaasi-Ntinda'!J73,'01.08 Kisaasi-Ntinda-24h'!J73,'03.08 Kisaasi-Ntinda-24h'!J73,'04.08 Kisaasi-Ntinda'!J73)</f>
        <v>1</v>
      </c>
      <c r="K73" s="49">
        <f>AVERAGE('29.07 Kisaasi-Ntinda'!K73,'30.07 Kisaasi-Ntinda'!K73,'31.07 Kisaasi-Ntinda'!K73,'02.08 Kisaasi-Ntinda'!K73,'01.08 Kisaasi-Ntinda-24h'!K73,'03.08 Kisaasi-Ntinda-24h'!K73,'04.08 Kisaasi-Ntinda'!K73)</f>
        <v>0.5</v>
      </c>
      <c r="L73" s="49">
        <f>AVERAGE('29.07 Kisaasi-Ntinda'!L73,'30.07 Kisaasi-Ntinda'!L73,'31.07 Kisaasi-Ntinda'!L73,'02.08 Kisaasi-Ntinda'!L73,'01.08 Kisaasi-Ntinda-24h'!L73,'03.08 Kisaasi-Ntinda-24h'!L73,'04.08 Kisaasi-Ntinda'!L73)</f>
        <v>1.5</v>
      </c>
      <c r="M73" s="49">
        <f>AVERAGE('29.07 Kisaasi-Ntinda'!M73,'30.07 Kisaasi-Ntinda'!M73,'31.07 Kisaasi-Ntinda'!M73,'02.08 Kisaasi-Ntinda'!M73,'01.08 Kisaasi-Ntinda-24h'!M73,'03.08 Kisaasi-Ntinda-24h'!M73,'04.08 Kisaasi-Ntinda'!M73)</f>
        <v>113.5</v>
      </c>
      <c r="N73" s="49">
        <f>AVERAGE('29.07 Kisaasi-Ntinda'!N73,'30.07 Kisaasi-Ntinda'!N73,'31.07 Kisaasi-Ntinda'!N73,'02.08 Kisaasi-Ntinda'!N73,'01.08 Kisaasi-Ntinda-24h'!N73,'03.08 Kisaasi-Ntinda-24h'!N73,'04.08 Kisaasi-Ntinda'!N73)</f>
        <v>0</v>
      </c>
      <c r="O73" s="49">
        <f>AVERAGE('29.07 Kisaasi-Ntinda'!O73,'30.07 Kisaasi-Ntinda'!O73,'31.07 Kisaasi-Ntinda'!O73,'02.08 Kisaasi-Ntinda'!O73,'01.08 Kisaasi-Ntinda-24h'!O73,'03.08 Kisaasi-Ntinda-24h'!O73,'04.08 Kisaasi-Ntinda'!O73)</f>
        <v>68.5</v>
      </c>
      <c r="P73" s="49">
        <f>AVERAGE('29.07 Kisaasi-Ntinda'!P73,'30.07 Kisaasi-Ntinda'!P73,'31.07 Kisaasi-Ntinda'!P73,'02.08 Kisaasi-Ntinda'!P73,'01.08 Kisaasi-Ntinda-24h'!P73,'03.08 Kisaasi-Ntinda-24h'!P73,'04.08 Kisaasi-Ntinda'!P73)</f>
        <v>182</v>
      </c>
      <c r="R73" s="8"/>
      <c r="T73"/>
    </row>
    <row r="74" spans="2:20" ht="23.1" customHeight="1" x14ac:dyDescent="0.25">
      <c r="B74" s="23" t="s">
        <v>114</v>
      </c>
      <c r="C74" s="49">
        <f>AVERAGE('01.08 Kisaasi-Ntinda-24h'!C74,'03.08 Kisaasi-Ntinda-24h'!C75)</f>
        <v>33</v>
      </c>
      <c r="D74" s="49">
        <f>AVERAGE('29.07 Kisaasi-Ntinda'!D74,'30.07 Kisaasi-Ntinda'!D74,'31.07 Kisaasi-Ntinda'!D74,'02.08 Kisaasi-Ntinda'!D74,'01.08 Kisaasi-Ntinda-24h'!D74,'03.08 Kisaasi-Ntinda-24h'!D74,'04.08 Kisaasi-Ntinda'!D74)</f>
        <v>16.5</v>
      </c>
      <c r="E74" s="49">
        <f>AVERAGE('29.07 Kisaasi-Ntinda'!E74,'30.07 Kisaasi-Ntinda'!E74,'31.07 Kisaasi-Ntinda'!E74,'02.08 Kisaasi-Ntinda'!E74,'01.08 Kisaasi-Ntinda-24h'!E74,'03.08 Kisaasi-Ntinda-24h'!E74,'04.08 Kisaasi-Ntinda'!E74)</f>
        <v>1.5</v>
      </c>
      <c r="F74" s="49">
        <f>AVERAGE('29.07 Kisaasi-Ntinda'!F74,'30.07 Kisaasi-Ntinda'!F74,'31.07 Kisaasi-Ntinda'!F74,'02.08 Kisaasi-Ntinda'!F74,'01.08 Kisaasi-Ntinda-24h'!F74,'03.08 Kisaasi-Ntinda-24h'!F74,'04.08 Kisaasi-Ntinda'!F74)</f>
        <v>4</v>
      </c>
      <c r="G74" s="49">
        <f>AVERAGE('29.07 Kisaasi-Ntinda'!G74,'30.07 Kisaasi-Ntinda'!G74,'31.07 Kisaasi-Ntinda'!G74,'02.08 Kisaasi-Ntinda'!G74,'01.08 Kisaasi-Ntinda-24h'!G74,'03.08 Kisaasi-Ntinda-24h'!G74,'04.08 Kisaasi-Ntinda'!G74)</f>
        <v>0</v>
      </c>
      <c r="H74" s="49">
        <f>AVERAGE('29.07 Kisaasi-Ntinda'!H74,'30.07 Kisaasi-Ntinda'!H74,'31.07 Kisaasi-Ntinda'!H74,'02.08 Kisaasi-Ntinda'!H74,'01.08 Kisaasi-Ntinda-24h'!H74,'03.08 Kisaasi-Ntinda-24h'!H74,'04.08 Kisaasi-Ntinda'!H74)</f>
        <v>0</v>
      </c>
      <c r="I74" s="49">
        <f>AVERAGE('29.07 Kisaasi-Ntinda'!I74,'30.07 Kisaasi-Ntinda'!I74,'31.07 Kisaasi-Ntinda'!I74,'02.08 Kisaasi-Ntinda'!I74,'01.08 Kisaasi-Ntinda-24h'!I74,'03.08 Kisaasi-Ntinda-24h'!I74,'04.08 Kisaasi-Ntinda'!I74)</f>
        <v>2</v>
      </c>
      <c r="J74" s="49">
        <f>AVERAGE('29.07 Kisaasi-Ntinda'!J74,'30.07 Kisaasi-Ntinda'!J74,'31.07 Kisaasi-Ntinda'!J74,'02.08 Kisaasi-Ntinda'!J74,'01.08 Kisaasi-Ntinda-24h'!J74,'03.08 Kisaasi-Ntinda-24h'!J74,'04.08 Kisaasi-Ntinda'!J74)</f>
        <v>0.5</v>
      </c>
      <c r="K74" s="49">
        <f>AVERAGE('29.07 Kisaasi-Ntinda'!K74,'30.07 Kisaasi-Ntinda'!K74,'31.07 Kisaasi-Ntinda'!K74,'02.08 Kisaasi-Ntinda'!K74,'01.08 Kisaasi-Ntinda-24h'!K74,'03.08 Kisaasi-Ntinda-24h'!K74,'04.08 Kisaasi-Ntinda'!K74)</f>
        <v>1</v>
      </c>
      <c r="L74" s="49">
        <f>AVERAGE('29.07 Kisaasi-Ntinda'!L74,'30.07 Kisaasi-Ntinda'!L74,'31.07 Kisaasi-Ntinda'!L74,'02.08 Kisaasi-Ntinda'!L74,'01.08 Kisaasi-Ntinda-24h'!L74,'03.08 Kisaasi-Ntinda-24h'!L74,'04.08 Kisaasi-Ntinda'!L74)</f>
        <v>0</v>
      </c>
      <c r="M74" s="49">
        <f>AVERAGE('29.07 Kisaasi-Ntinda'!M74,'30.07 Kisaasi-Ntinda'!M74,'31.07 Kisaasi-Ntinda'!M74,'02.08 Kisaasi-Ntinda'!M74,'01.08 Kisaasi-Ntinda-24h'!M74,'03.08 Kisaasi-Ntinda-24h'!M74,'04.08 Kisaasi-Ntinda'!M74)</f>
        <v>62.5</v>
      </c>
      <c r="N74" s="49">
        <f>AVERAGE('29.07 Kisaasi-Ntinda'!N74,'30.07 Kisaasi-Ntinda'!N74,'31.07 Kisaasi-Ntinda'!N74,'02.08 Kisaasi-Ntinda'!N74,'01.08 Kisaasi-Ntinda-24h'!N74,'03.08 Kisaasi-Ntinda-24h'!N74,'04.08 Kisaasi-Ntinda'!N74)</f>
        <v>0</v>
      </c>
      <c r="O74" s="49">
        <f>AVERAGE('29.07 Kisaasi-Ntinda'!O74,'30.07 Kisaasi-Ntinda'!O74,'31.07 Kisaasi-Ntinda'!O74,'02.08 Kisaasi-Ntinda'!O74,'01.08 Kisaasi-Ntinda-24h'!O74,'03.08 Kisaasi-Ntinda-24h'!O74,'04.08 Kisaasi-Ntinda'!O74)</f>
        <v>55.5</v>
      </c>
      <c r="P74" s="49">
        <f>AVERAGE('29.07 Kisaasi-Ntinda'!P74,'30.07 Kisaasi-Ntinda'!P74,'31.07 Kisaasi-Ntinda'!P74,'02.08 Kisaasi-Ntinda'!P74,'01.08 Kisaasi-Ntinda-24h'!P74,'03.08 Kisaasi-Ntinda-24h'!P74,'04.08 Kisaasi-Ntinda'!P74)</f>
        <v>118</v>
      </c>
      <c r="R74" s="8"/>
      <c r="T74"/>
    </row>
    <row r="75" spans="2:20" ht="23.1" customHeight="1" x14ac:dyDescent="0.25">
      <c r="B75" s="23" t="s">
        <v>115</v>
      </c>
      <c r="C75" s="49">
        <f>AVERAGE('01.08 Kisaasi-Ntinda-24h'!C75,'03.08 Kisaasi-Ntinda-24h'!C76)</f>
        <v>18</v>
      </c>
      <c r="D75" s="49">
        <f>AVERAGE('29.07 Kisaasi-Ntinda'!D75,'30.07 Kisaasi-Ntinda'!D75,'31.07 Kisaasi-Ntinda'!D75,'02.08 Kisaasi-Ntinda'!D75,'01.08 Kisaasi-Ntinda-24h'!D75,'03.08 Kisaasi-Ntinda-24h'!D75,'04.08 Kisaasi-Ntinda'!D75)</f>
        <v>12.5</v>
      </c>
      <c r="E75" s="49">
        <f>AVERAGE('29.07 Kisaasi-Ntinda'!E75,'30.07 Kisaasi-Ntinda'!E75,'31.07 Kisaasi-Ntinda'!E75,'02.08 Kisaasi-Ntinda'!E75,'01.08 Kisaasi-Ntinda-24h'!E75,'03.08 Kisaasi-Ntinda-24h'!E75,'04.08 Kisaasi-Ntinda'!E75)</f>
        <v>1</v>
      </c>
      <c r="F75" s="49">
        <f>AVERAGE('29.07 Kisaasi-Ntinda'!F75,'30.07 Kisaasi-Ntinda'!F75,'31.07 Kisaasi-Ntinda'!F75,'02.08 Kisaasi-Ntinda'!F75,'01.08 Kisaasi-Ntinda-24h'!F75,'03.08 Kisaasi-Ntinda-24h'!F75,'04.08 Kisaasi-Ntinda'!F75)</f>
        <v>4.5</v>
      </c>
      <c r="G75" s="49">
        <f>AVERAGE('29.07 Kisaasi-Ntinda'!G75,'30.07 Kisaasi-Ntinda'!G75,'31.07 Kisaasi-Ntinda'!G75,'02.08 Kisaasi-Ntinda'!G75,'01.08 Kisaasi-Ntinda-24h'!G75,'03.08 Kisaasi-Ntinda-24h'!G75,'04.08 Kisaasi-Ntinda'!G75)</f>
        <v>0</v>
      </c>
      <c r="H75" s="49">
        <f>AVERAGE('29.07 Kisaasi-Ntinda'!H75,'30.07 Kisaasi-Ntinda'!H75,'31.07 Kisaasi-Ntinda'!H75,'02.08 Kisaasi-Ntinda'!H75,'01.08 Kisaasi-Ntinda-24h'!H75,'03.08 Kisaasi-Ntinda-24h'!H75,'04.08 Kisaasi-Ntinda'!H75)</f>
        <v>0</v>
      </c>
      <c r="I75" s="49">
        <f>AVERAGE('29.07 Kisaasi-Ntinda'!I75,'30.07 Kisaasi-Ntinda'!I75,'31.07 Kisaasi-Ntinda'!I75,'02.08 Kisaasi-Ntinda'!I75,'01.08 Kisaasi-Ntinda-24h'!I75,'03.08 Kisaasi-Ntinda-24h'!I75,'04.08 Kisaasi-Ntinda'!I75)</f>
        <v>2</v>
      </c>
      <c r="J75" s="49">
        <f>AVERAGE('29.07 Kisaasi-Ntinda'!J75,'30.07 Kisaasi-Ntinda'!J75,'31.07 Kisaasi-Ntinda'!J75,'02.08 Kisaasi-Ntinda'!J75,'01.08 Kisaasi-Ntinda-24h'!J75,'03.08 Kisaasi-Ntinda-24h'!J75,'04.08 Kisaasi-Ntinda'!J75)</f>
        <v>0.5</v>
      </c>
      <c r="K75" s="49">
        <f>AVERAGE('29.07 Kisaasi-Ntinda'!K75,'30.07 Kisaasi-Ntinda'!K75,'31.07 Kisaasi-Ntinda'!K75,'02.08 Kisaasi-Ntinda'!K75,'01.08 Kisaasi-Ntinda-24h'!K75,'03.08 Kisaasi-Ntinda-24h'!K75,'04.08 Kisaasi-Ntinda'!K75)</f>
        <v>0</v>
      </c>
      <c r="L75" s="49">
        <f>AVERAGE('29.07 Kisaasi-Ntinda'!L75,'30.07 Kisaasi-Ntinda'!L75,'31.07 Kisaasi-Ntinda'!L75,'02.08 Kisaasi-Ntinda'!L75,'01.08 Kisaasi-Ntinda-24h'!L75,'03.08 Kisaasi-Ntinda-24h'!L75,'04.08 Kisaasi-Ntinda'!L75)</f>
        <v>0.5</v>
      </c>
      <c r="M75" s="49">
        <f>AVERAGE('29.07 Kisaasi-Ntinda'!M75,'30.07 Kisaasi-Ntinda'!M75,'31.07 Kisaasi-Ntinda'!M75,'02.08 Kisaasi-Ntinda'!M75,'01.08 Kisaasi-Ntinda-24h'!M75,'03.08 Kisaasi-Ntinda-24h'!M75,'04.08 Kisaasi-Ntinda'!M75)</f>
        <v>56</v>
      </c>
      <c r="N75" s="49">
        <f>AVERAGE('29.07 Kisaasi-Ntinda'!N75,'30.07 Kisaasi-Ntinda'!N75,'31.07 Kisaasi-Ntinda'!N75,'02.08 Kisaasi-Ntinda'!N75,'01.08 Kisaasi-Ntinda-24h'!N75,'03.08 Kisaasi-Ntinda-24h'!N75,'04.08 Kisaasi-Ntinda'!N75)</f>
        <v>0</v>
      </c>
      <c r="O75" s="49">
        <f>AVERAGE('29.07 Kisaasi-Ntinda'!O75,'30.07 Kisaasi-Ntinda'!O75,'31.07 Kisaasi-Ntinda'!O75,'02.08 Kisaasi-Ntinda'!O75,'01.08 Kisaasi-Ntinda-24h'!O75,'03.08 Kisaasi-Ntinda-24h'!O75,'04.08 Kisaasi-Ntinda'!O75)</f>
        <v>47</v>
      </c>
      <c r="P75" s="49">
        <f>AVERAGE('29.07 Kisaasi-Ntinda'!P75,'30.07 Kisaasi-Ntinda'!P75,'31.07 Kisaasi-Ntinda'!P75,'02.08 Kisaasi-Ntinda'!P75,'01.08 Kisaasi-Ntinda-24h'!P75,'03.08 Kisaasi-Ntinda-24h'!P75,'04.08 Kisaasi-Ntinda'!P75)</f>
        <v>103</v>
      </c>
      <c r="R75" s="8"/>
      <c r="T75"/>
    </row>
    <row r="76" spans="2:20" ht="23.1" customHeight="1" x14ac:dyDescent="0.25">
      <c r="B76" s="23" t="s">
        <v>116</v>
      </c>
      <c r="C76" s="49">
        <f>AVERAGE('01.08 Kisaasi-Ntinda-24h'!C76,'03.08 Kisaasi-Ntinda-24h'!C77)</f>
        <v>12</v>
      </c>
      <c r="D76" s="49">
        <f>AVERAGE('29.07 Kisaasi-Ntinda'!D76,'30.07 Kisaasi-Ntinda'!D76,'31.07 Kisaasi-Ntinda'!D76,'02.08 Kisaasi-Ntinda'!D76,'01.08 Kisaasi-Ntinda-24h'!D76,'03.08 Kisaasi-Ntinda-24h'!D76,'04.08 Kisaasi-Ntinda'!D76)</f>
        <v>4.5</v>
      </c>
      <c r="E76" s="49">
        <f>AVERAGE('29.07 Kisaasi-Ntinda'!E76,'30.07 Kisaasi-Ntinda'!E76,'31.07 Kisaasi-Ntinda'!E76,'02.08 Kisaasi-Ntinda'!E76,'01.08 Kisaasi-Ntinda-24h'!E76,'03.08 Kisaasi-Ntinda-24h'!E76,'04.08 Kisaasi-Ntinda'!E76)</f>
        <v>3</v>
      </c>
      <c r="F76" s="49">
        <f>AVERAGE('29.07 Kisaasi-Ntinda'!F76,'30.07 Kisaasi-Ntinda'!F76,'31.07 Kisaasi-Ntinda'!F76,'02.08 Kisaasi-Ntinda'!F76,'01.08 Kisaasi-Ntinda-24h'!F76,'03.08 Kisaasi-Ntinda-24h'!F76,'04.08 Kisaasi-Ntinda'!F76)</f>
        <v>2.5</v>
      </c>
      <c r="G76" s="49">
        <f>AVERAGE('29.07 Kisaasi-Ntinda'!G76,'30.07 Kisaasi-Ntinda'!G76,'31.07 Kisaasi-Ntinda'!G76,'02.08 Kisaasi-Ntinda'!G76,'01.08 Kisaasi-Ntinda-24h'!G76,'03.08 Kisaasi-Ntinda-24h'!G76,'04.08 Kisaasi-Ntinda'!G76)</f>
        <v>0</v>
      </c>
      <c r="H76" s="49">
        <f>AVERAGE('29.07 Kisaasi-Ntinda'!H76,'30.07 Kisaasi-Ntinda'!H76,'31.07 Kisaasi-Ntinda'!H76,'02.08 Kisaasi-Ntinda'!H76,'01.08 Kisaasi-Ntinda-24h'!H76,'03.08 Kisaasi-Ntinda-24h'!H76,'04.08 Kisaasi-Ntinda'!H76)</f>
        <v>0</v>
      </c>
      <c r="I76" s="49">
        <f>AVERAGE('29.07 Kisaasi-Ntinda'!I76,'30.07 Kisaasi-Ntinda'!I76,'31.07 Kisaasi-Ntinda'!I76,'02.08 Kisaasi-Ntinda'!I76,'01.08 Kisaasi-Ntinda-24h'!I76,'03.08 Kisaasi-Ntinda-24h'!I76,'04.08 Kisaasi-Ntinda'!I76)</f>
        <v>1</v>
      </c>
      <c r="J76" s="49">
        <f>AVERAGE('29.07 Kisaasi-Ntinda'!J76,'30.07 Kisaasi-Ntinda'!J76,'31.07 Kisaasi-Ntinda'!J76,'02.08 Kisaasi-Ntinda'!J76,'01.08 Kisaasi-Ntinda-24h'!J76,'03.08 Kisaasi-Ntinda-24h'!J76,'04.08 Kisaasi-Ntinda'!J76)</f>
        <v>0.5</v>
      </c>
      <c r="K76" s="49">
        <f>AVERAGE('29.07 Kisaasi-Ntinda'!K76,'30.07 Kisaasi-Ntinda'!K76,'31.07 Kisaasi-Ntinda'!K76,'02.08 Kisaasi-Ntinda'!K76,'01.08 Kisaasi-Ntinda-24h'!K76,'03.08 Kisaasi-Ntinda-24h'!K76,'04.08 Kisaasi-Ntinda'!K76)</f>
        <v>1</v>
      </c>
      <c r="L76" s="49">
        <f>AVERAGE('29.07 Kisaasi-Ntinda'!L76,'30.07 Kisaasi-Ntinda'!L76,'31.07 Kisaasi-Ntinda'!L76,'02.08 Kisaasi-Ntinda'!L76,'01.08 Kisaasi-Ntinda-24h'!L76,'03.08 Kisaasi-Ntinda-24h'!L76,'04.08 Kisaasi-Ntinda'!L76)</f>
        <v>0.5</v>
      </c>
      <c r="M76" s="49">
        <f>AVERAGE('29.07 Kisaasi-Ntinda'!M76,'30.07 Kisaasi-Ntinda'!M76,'31.07 Kisaasi-Ntinda'!M76,'02.08 Kisaasi-Ntinda'!M76,'01.08 Kisaasi-Ntinda-24h'!M76,'03.08 Kisaasi-Ntinda-24h'!M76,'04.08 Kisaasi-Ntinda'!M76)</f>
        <v>46.5</v>
      </c>
      <c r="N76" s="49">
        <f>AVERAGE('29.07 Kisaasi-Ntinda'!N76,'30.07 Kisaasi-Ntinda'!N76,'31.07 Kisaasi-Ntinda'!N76,'02.08 Kisaasi-Ntinda'!N76,'01.08 Kisaasi-Ntinda-24h'!N76,'03.08 Kisaasi-Ntinda-24h'!N76,'04.08 Kisaasi-Ntinda'!N76)</f>
        <v>0</v>
      </c>
      <c r="O76" s="49">
        <f>AVERAGE('29.07 Kisaasi-Ntinda'!O76,'30.07 Kisaasi-Ntinda'!O76,'31.07 Kisaasi-Ntinda'!O76,'02.08 Kisaasi-Ntinda'!O76,'01.08 Kisaasi-Ntinda-24h'!O76,'03.08 Kisaasi-Ntinda-24h'!O76,'04.08 Kisaasi-Ntinda'!O76)</f>
        <v>28.5</v>
      </c>
      <c r="P76" s="49">
        <f>AVERAGE('29.07 Kisaasi-Ntinda'!P76,'30.07 Kisaasi-Ntinda'!P76,'31.07 Kisaasi-Ntinda'!P76,'02.08 Kisaasi-Ntinda'!P76,'01.08 Kisaasi-Ntinda-24h'!P76,'03.08 Kisaasi-Ntinda-24h'!P76,'04.08 Kisaasi-Ntinda'!P76)</f>
        <v>75</v>
      </c>
      <c r="R76" s="8"/>
      <c r="T76"/>
    </row>
    <row r="77" spans="2:20" ht="23.1" customHeight="1" x14ac:dyDescent="0.25">
      <c r="B77" s="23" t="s">
        <v>117</v>
      </c>
      <c r="C77" s="49">
        <f>AVERAGE('01.08 Kisaasi-Ntinda-24h'!C77,'03.08 Kisaasi-Ntinda-24h'!C78)</f>
        <v>23</v>
      </c>
      <c r="D77" s="49">
        <f>AVERAGE('29.07 Kisaasi-Ntinda'!D77,'30.07 Kisaasi-Ntinda'!D77,'31.07 Kisaasi-Ntinda'!D77,'02.08 Kisaasi-Ntinda'!D77,'01.08 Kisaasi-Ntinda-24h'!D77,'03.08 Kisaasi-Ntinda-24h'!D77,'04.08 Kisaasi-Ntinda'!D77)</f>
        <v>11.5</v>
      </c>
      <c r="E77" s="49">
        <f>AVERAGE('29.07 Kisaasi-Ntinda'!E77,'30.07 Kisaasi-Ntinda'!E77,'31.07 Kisaasi-Ntinda'!E77,'02.08 Kisaasi-Ntinda'!E77,'01.08 Kisaasi-Ntinda-24h'!E77,'03.08 Kisaasi-Ntinda-24h'!E77,'04.08 Kisaasi-Ntinda'!E77)</f>
        <v>2</v>
      </c>
      <c r="F77" s="49">
        <f>AVERAGE('29.07 Kisaasi-Ntinda'!F77,'30.07 Kisaasi-Ntinda'!F77,'31.07 Kisaasi-Ntinda'!F77,'02.08 Kisaasi-Ntinda'!F77,'01.08 Kisaasi-Ntinda-24h'!F77,'03.08 Kisaasi-Ntinda-24h'!F77,'04.08 Kisaasi-Ntinda'!F77)</f>
        <v>0.5</v>
      </c>
      <c r="G77" s="49">
        <f>AVERAGE('29.07 Kisaasi-Ntinda'!G77,'30.07 Kisaasi-Ntinda'!G77,'31.07 Kisaasi-Ntinda'!G77,'02.08 Kisaasi-Ntinda'!G77,'01.08 Kisaasi-Ntinda-24h'!G77,'03.08 Kisaasi-Ntinda-24h'!G77,'04.08 Kisaasi-Ntinda'!G77)</f>
        <v>0</v>
      </c>
      <c r="H77" s="49">
        <f>AVERAGE('29.07 Kisaasi-Ntinda'!H77,'30.07 Kisaasi-Ntinda'!H77,'31.07 Kisaasi-Ntinda'!H77,'02.08 Kisaasi-Ntinda'!H77,'01.08 Kisaasi-Ntinda-24h'!H77,'03.08 Kisaasi-Ntinda-24h'!H77,'04.08 Kisaasi-Ntinda'!H77)</f>
        <v>0</v>
      </c>
      <c r="I77" s="49">
        <f>AVERAGE('29.07 Kisaasi-Ntinda'!I77,'30.07 Kisaasi-Ntinda'!I77,'31.07 Kisaasi-Ntinda'!I77,'02.08 Kisaasi-Ntinda'!I77,'01.08 Kisaasi-Ntinda-24h'!I77,'03.08 Kisaasi-Ntinda-24h'!I77,'04.08 Kisaasi-Ntinda'!I77)</f>
        <v>1</v>
      </c>
      <c r="J77" s="49">
        <f>AVERAGE('29.07 Kisaasi-Ntinda'!J77,'30.07 Kisaasi-Ntinda'!J77,'31.07 Kisaasi-Ntinda'!J77,'02.08 Kisaasi-Ntinda'!J77,'01.08 Kisaasi-Ntinda-24h'!J77,'03.08 Kisaasi-Ntinda-24h'!J77,'04.08 Kisaasi-Ntinda'!J77)</f>
        <v>1.5</v>
      </c>
      <c r="K77" s="49">
        <f>AVERAGE('29.07 Kisaasi-Ntinda'!K77,'30.07 Kisaasi-Ntinda'!K77,'31.07 Kisaasi-Ntinda'!K77,'02.08 Kisaasi-Ntinda'!K77,'01.08 Kisaasi-Ntinda-24h'!K77,'03.08 Kisaasi-Ntinda-24h'!K77,'04.08 Kisaasi-Ntinda'!K77)</f>
        <v>0</v>
      </c>
      <c r="L77" s="49">
        <f>AVERAGE('29.07 Kisaasi-Ntinda'!L77,'30.07 Kisaasi-Ntinda'!L77,'31.07 Kisaasi-Ntinda'!L77,'02.08 Kisaasi-Ntinda'!L77,'01.08 Kisaasi-Ntinda-24h'!L77,'03.08 Kisaasi-Ntinda-24h'!L77,'04.08 Kisaasi-Ntinda'!L77)</f>
        <v>0</v>
      </c>
      <c r="M77" s="49">
        <f>AVERAGE('29.07 Kisaasi-Ntinda'!M77,'30.07 Kisaasi-Ntinda'!M77,'31.07 Kisaasi-Ntinda'!M77,'02.08 Kisaasi-Ntinda'!M77,'01.08 Kisaasi-Ntinda-24h'!M77,'03.08 Kisaasi-Ntinda-24h'!M77,'04.08 Kisaasi-Ntinda'!M77)</f>
        <v>43.5</v>
      </c>
      <c r="N77" s="49">
        <f>AVERAGE('29.07 Kisaasi-Ntinda'!N77,'30.07 Kisaasi-Ntinda'!N77,'31.07 Kisaasi-Ntinda'!N77,'02.08 Kisaasi-Ntinda'!N77,'01.08 Kisaasi-Ntinda-24h'!N77,'03.08 Kisaasi-Ntinda-24h'!N77,'04.08 Kisaasi-Ntinda'!N77)</f>
        <v>0</v>
      </c>
      <c r="O77" s="49">
        <f>AVERAGE('29.07 Kisaasi-Ntinda'!O77,'30.07 Kisaasi-Ntinda'!O77,'31.07 Kisaasi-Ntinda'!O77,'02.08 Kisaasi-Ntinda'!O77,'01.08 Kisaasi-Ntinda-24h'!O77,'03.08 Kisaasi-Ntinda-24h'!O77,'04.08 Kisaasi-Ntinda'!O77)</f>
        <v>34.5</v>
      </c>
      <c r="P77" s="49">
        <f>AVERAGE('29.07 Kisaasi-Ntinda'!P77,'30.07 Kisaasi-Ntinda'!P77,'31.07 Kisaasi-Ntinda'!P77,'02.08 Kisaasi-Ntinda'!P77,'01.08 Kisaasi-Ntinda-24h'!P77,'03.08 Kisaasi-Ntinda-24h'!P77,'04.08 Kisaasi-Ntinda'!P77)</f>
        <v>78</v>
      </c>
      <c r="R77" s="8"/>
      <c r="T77"/>
    </row>
    <row r="78" spans="2:20" ht="23.1" customHeight="1" x14ac:dyDescent="0.25">
      <c r="B78" s="24" t="s">
        <v>118</v>
      </c>
      <c r="C78" s="49">
        <f>AVERAGE('01.08 Kisaasi-Ntinda-24h'!C78,'03.08 Kisaasi-Ntinda-24h'!C79)</f>
        <v>11</v>
      </c>
      <c r="D78" s="49">
        <f>AVERAGE('29.07 Kisaasi-Ntinda'!D78,'30.07 Kisaasi-Ntinda'!D78,'31.07 Kisaasi-Ntinda'!D78,'02.08 Kisaasi-Ntinda'!D78,'01.08 Kisaasi-Ntinda-24h'!D78,'03.08 Kisaasi-Ntinda-24h'!D78,'04.08 Kisaasi-Ntinda'!D78)</f>
        <v>5</v>
      </c>
      <c r="E78" s="49">
        <f>AVERAGE('29.07 Kisaasi-Ntinda'!E78,'30.07 Kisaasi-Ntinda'!E78,'31.07 Kisaasi-Ntinda'!E78,'02.08 Kisaasi-Ntinda'!E78,'01.08 Kisaasi-Ntinda-24h'!E78,'03.08 Kisaasi-Ntinda-24h'!E78,'04.08 Kisaasi-Ntinda'!E78)</f>
        <v>3</v>
      </c>
      <c r="F78" s="49">
        <f>AVERAGE('29.07 Kisaasi-Ntinda'!F78,'30.07 Kisaasi-Ntinda'!F78,'31.07 Kisaasi-Ntinda'!F78,'02.08 Kisaasi-Ntinda'!F78,'01.08 Kisaasi-Ntinda-24h'!F78,'03.08 Kisaasi-Ntinda-24h'!F78,'04.08 Kisaasi-Ntinda'!F78)</f>
        <v>0.5</v>
      </c>
      <c r="G78" s="49">
        <f>AVERAGE('29.07 Kisaasi-Ntinda'!G78,'30.07 Kisaasi-Ntinda'!G78,'31.07 Kisaasi-Ntinda'!G78,'02.08 Kisaasi-Ntinda'!G78,'01.08 Kisaasi-Ntinda-24h'!G78,'03.08 Kisaasi-Ntinda-24h'!G78,'04.08 Kisaasi-Ntinda'!G78)</f>
        <v>0</v>
      </c>
      <c r="H78" s="49">
        <f>AVERAGE('29.07 Kisaasi-Ntinda'!H78,'30.07 Kisaasi-Ntinda'!H78,'31.07 Kisaasi-Ntinda'!H78,'02.08 Kisaasi-Ntinda'!H78,'01.08 Kisaasi-Ntinda-24h'!H78,'03.08 Kisaasi-Ntinda-24h'!H78,'04.08 Kisaasi-Ntinda'!H78)</f>
        <v>0</v>
      </c>
      <c r="I78" s="49">
        <f>AVERAGE('29.07 Kisaasi-Ntinda'!I78,'30.07 Kisaasi-Ntinda'!I78,'31.07 Kisaasi-Ntinda'!I78,'02.08 Kisaasi-Ntinda'!I78,'01.08 Kisaasi-Ntinda-24h'!I78,'03.08 Kisaasi-Ntinda-24h'!I78,'04.08 Kisaasi-Ntinda'!I78)</f>
        <v>1</v>
      </c>
      <c r="J78" s="49">
        <f>AVERAGE('29.07 Kisaasi-Ntinda'!J78,'30.07 Kisaasi-Ntinda'!J78,'31.07 Kisaasi-Ntinda'!J78,'02.08 Kisaasi-Ntinda'!J78,'01.08 Kisaasi-Ntinda-24h'!J78,'03.08 Kisaasi-Ntinda-24h'!J78,'04.08 Kisaasi-Ntinda'!J78)</f>
        <v>0.5</v>
      </c>
      <c r="K78" s="49">
        <f>AVERAGE('29.07 Kisaasi-Ntinda'!K78,'30.07 Kisaasi-Ntinda'!K78,'31.07 Kisaasi-Ntinda'!K78,'02.08 Kisaasi-Ntinda'!K78,'01.08 Kisaasi-Ntinda-24h'!K78,'03.08 Kisaasi-Ntinda-24h'!K78,'04.08 Kisaasi-Ntinda'!K78)</f>
        <v>0.5</v>
      </c>
      <c r="L78" s="49">
        <f>AVERAGE('29.07 Kisaasi-Ntinda'!L78,'30.07 Kisaasi-Ntinda'!L78,'31.07 Kisaasi-Ntinda'!L78,'02.08 Kisaasi-Ntinda'!L78,'01.08 Kisaasi-Ntinda-24h'!L78,'03.08 Kisaasi-Ntinda-24h'!L78,'04.08 Kisaasi-Ntinda'!L78)</f>
        <v>0</v>
      </c>
      <c r="M78" s="49">
        <f>AVERAGE('29.07 Kisaasi-Ntinda'!M78,'30.07 Kisaasi-Ntinda'!M78,'31.07 Kisaasi-Ntinda'!M78,'02.08 Kisaasi-Ntinda'!M78,'01.08 Kisaasi-Ntinda-24h'!M78,'03.08 Kisaasi-Ntinda-24h'!M78,'04.08 Kisaasi-Ntinda'!M78)</f>
        <v>38</v>
      </c>
      <c r="N78" s="49">
        <f>AVERAGE('29.07 Kisaasi-Ntinda'!N78,'30.07 Kisaasi-Ntinda'!N78,'31.07 Kisaasi-Ntinda'!N78,'02.08 Kisaasi-Ntinda'!N78,'01.08 Kisaasi-Ntinda-24h'!N78,'03.08 Kisaasi-Ntinda-24h'!N78,'04.08 Kisaasi-Ntinda'!N78)</f>
        <v>0</v>
      </c>
      <c r="O78" s="49">
        <f>AVERAGE('29.07 Kisaasi-Ntinda'!O78,'30.07 Kisaasi-Ntinda'!O78,'31.07 Kisaasi-Ntinda'!O78,'02.08 Kisaasi-Ntinda'!O78,'01.08 Kisaasi-Ntinda-24h'!O78,'03.08 Kisaasi-Ntinda-24h'!O78,'04.08 Kisaasi-Ntinda'!O78)</f>
        <v>27</v>
      </c>
      <c r="P78" s="49">
        <f>AVERAGE('29.07 Kisaasi-Ntinda'!P78,'30.07 Kisaasi-Ntinda'!P78,'31.07 Kisaasi-Ntinda'!P78,'02.08 Kisaasi-Ntinda'!P78,'01.08 Kisaasi-Ntinda-24h'!P78,'03.08 Kisaasi-Ntinda-24h'!P78,'04.08 Kisaasi-Ntinda'!P78)</f>
        <v>65</v>
      </c>
      <c r="R78" s="8"/>
      <c r="T78"/>
    </row>
    <row r="79" spans="2:20" ht="23.1" customHeight="1" x14ac:dyDescent="0.25">
      <c r="B79" s="23" t="s">
        <v>119</v>
      </c>
      <c r="C79" s="49">
        <f>AVERAGE('01.08 Kisaasi-Ntinda-24h'!C79,'03.08 Kisaasi-Ntinda-24h'!C80)</f>
        <v>12</v>
      </c>
      <c r="D79" s="49">
        <f>AVERAGE('29.07 Kisaasi-Ntinda'!D79,'30.07 Kisaasi-Ntinda'!D79,'31.07 Kisaasi-Ntinda'!D79,'02.08 Kisaasi-Ntinda'!D79,'01.08 Kisaasi-Ntinda-24h'!D79,'03.08 Kisaasi-Ntinda-24h'!D79,'04.08 Kisaasi-Ntinda'!D79)</f>
        <v>4</v>
      </c>
      <c r="E79" s="49">
        <f>AVERAGE('29.07 Kisaasi-Ntinda'!E79,'30.07 Kisaasi-Ntinda'!E79,'31.07 Kisaasi-Ntinda'!E79,'02.08 Kisaasi-Ntinda'!E79,'01.08 Kisaasi-Ntinda-24h'!E79,'03.08 Kisaasi-Ntinda-24h'!E79,'04.08 Kisaasi-Ntinda'!E79)</f>
        <v>1</v>
      </c>
      <c r="F79" s="49">
        <f>AVERAGE('29.07 Kisaasi-Ntinda'!F79,'30.07 Kisaasi-Ntinda'!F79,'31.07 Kisaasi-Ntinda'!F79,'02.08 Kisaasi-Ntinda'!F79,'01.08 Kisaasi-Ntinda-24h'!F79,'03.08 Kisaasi-Ntinda-24h'!F79,'04.08 Kisaasi-Ntinda'!F79)</f>
        <v>1</v>
      </c>
      <c r="G79" s="49">
        <f>AVERAGE('29.07 Kisaasi-Ntinda'!G79,'30.07 Kisaasi-Ntinda'!G79,'31.07 Kisaasi-Ntinda'!G79,'02.08 Kisaasi-Ntinda'!G79,'01.08 Kisaasi-Ntinda-24h'!G79,'03.08 Kisaasi-Ntinda-24h'!G79,'04.08 Kisaasi-Ntinda'!G79)</f>
        <v>0</v>
      </c>
      <c r="H79" s="49">
        <f>AVERAGE('29.07 Kisaasi-Ntinda'!H79,'30.07 Kisaasi-Ntinda'!H79,'31.07 Kisaasi-Ntinda'!H79,'02.08 Kisaasi-Ntinda'!H79,'01.08 Kisaasi-Ntinda-24h'!H79,'03.08 Kisaasi-Ntinda-24h'!H79,'04.08 Kisaasi-Ntinda'!H79)</f>
        <v>0</v>
      </c>
      <c r="I79" s="49">
        <f>AVERAGE('29.07 Kisaasi-Ntinda'!I79,'30.07 Kisaasi-Ntinda'!I79,'31.07 Kisaasi-Ntinda'!I79,'02.08 Kisaasi-Ntinda'!I79,'01.08 Kisaasi-Ntinda-24h'!I79,'03.08 Kisaasi-Ntinda-24h'!I79,'04.08 Kisaasi-Ntinda'!I79)</f>
        <v>0.5</v>
      </c>
      <c r="J79" s="49">
        <f>AVERAGE('29.07 Kisaasi-Ntinda'!J79,'30.07 Kisaasi-Ntinda'!J79,'31.07 Kisaasi-Ntinda'!J79,'02.08 Kisaasi-Ntinda'!J79,'01.08 Kisaasi-Ntinda-24h'!J79,'03.08 Kisaasi-Ntinda-24h'!J79,'04.08 Kisaasi-Ntinda'!J79)</f>
        <v>0</v>
      </c>
      <c r="K79" s="49">
        <f>AVERAGE('29.07 Kisaasi-Ntinda'!K79,'30.07 Kisaasi-Ntinda'!K79,'31.07 Kisaasi-Ntinda'!K79,'02.08 Kisaasi-Ntinda'!K79,'01.08 Kisaasi-Ntinda-24h'!K79,'03.08 Kisaasi-Ntinda-24h'!K79,'04.08 Kisaasi-Ntinda'!K79)</f>
        <v>1</v>
      </c>
      <c r="L79" s="49">
        <f>AVERAGE('29.07 Kisaasi-Ntinda'!L79,'30.07 Kisaasi-Ntinda'!L79,'31.07 Kisaasi-Ntinda'!L79,'02.08 Kisaasi-Ntinda'!L79,'01.08 Kisaasi-Ntinda-24h'!L79,'03.08 Kisaasi-Ntinda-24h'!L79,'04.08 Kisaasi-Ntinda'!L79)</f>
        <v>0</v>
      </c>
      <c r="M79" s="49">
        <f>AVERAGE('29.07 Kisaasi-Ntinda'!M79,'30.07 Kisaasi-Ntinda'!M79,'31.07 Kisaasi-Ntinda'!M79,'02.08 Kisaasi-Ntinda'!M79,'01.08 Kisaasi-Ntinda-24h'!M79,'03.08 Kisaasi-Ntinda-24h'!M79,'04.08 Kisaasi-Ntinda'!M79)</f>
        <v>31</v>
      </c>
      <c r="N79" s="49">
        <f>AVERAGE('29.07 Kisaasi-Ntinda'!N79,'30.07 Kisaasi-Ntinda'!N79,'31.07 Kisaasi-Ntinda'!N79,'02.08 Kisaasi-Ntinda'!N79,'01.08 Kisaasi-Ntinda-24h'!N79,'03.08 Kisaasi-Ntinda-24h'!N79,'04.08 Kisaasi-Ntinda'!N79)</f>
        <v>0</v>
      </c>
      <c r="O79" s="49">
        <f>AVERAGE('29.07 Kisaasi-Ntinda'!O79,'30.07 Kisaasi-Ntinda'!O79,'31.07 Kisaasi-Ntinda'!O79,'02.08 Kisaasi-Ntinda'!O79,'01.08 Kisaasi-Ntinda-24h'!O79,'03.08 Kisaasi-Ntinda-24h'!O79,'04.08 Kisaasi-Ntinda'!O79)</f>
        <v>18</v>
      </c>
      <c r="P79" s="49">
        <f>AVERAGE('29.07 Kisaasi-Ntinda'!P79,'30.07 Kisaasi-Ntinda'!P79,'31.07 Kisaasi-Ntinda'!P79,'02.08 Kisaasi-Ntinda'!P79,'01.08 Kisaasi-Ntinda-24h'!P79,'03.08 Kisaasi-Ntinda-24h'!P79,'04.08 Kisaasi-Ntinda'!P79)</f>
        <v>49</v>
      </c>
      <c r="R79" s="8"/>
      <c r="T79"/>
    </row>
    <row r="80" spans="2:20" ht="23.1" customHeight="1" x14ac:dyDescent="0.25">
      <c r="B80" s="25" t="s">
        <v>120</v>
      </c>
      <c r="C80" s="49">
        <f>AVERAGE('01.08 Kisaasi-Ntinda-24h'!C80,'03.08 Kisaasi-Ntinda-24h'!C81)</f>
        <v>14</v>
      </c>
      <c r="D80" s="49">
        <f>AVERAGE('29.07 Kisaasi-Ntinda'!D80,'30.07 Kisaasi-Ntinda'!D80,'31.07 Kisaasi-Ntinda'!D80,'02.08 Kisaasi-Ntinda'!D80,'01.08 Kisaasi-Ntinda-24h'!D80,'03.08 Kisaasi-Ntinda-24h'!D80,'04.08 Kisaasi-Ntinda'!D80)</f>
        <v>4.5</v>
      </c>
      <c r="E80" s="49">
        <f>AVERAGE('29.07 Kisaasi-Ntinda'!E80,'30.07 Kisaasi-Ntinda'!E80,'31.07 Kisaasi-Ntinda'!E80,'02.08 Kisaasi-Ntinda'!E80,'01.08 Kisaasi-Ntinda-24h'!E80,'03.08 Kisaasi-Ntinda-24h'!E80,'04.08 Kisaasi-Ntinda'!E80)</f>
        <v>2.5</v>
      </c>
      <c r="F80" s="49">
        <f>AVERAGE('29.07 Kisaasi-Ntinda'!F80,'30.07 Kisaasi-Ntinda'!F80,'31.07 Kisaasi-Ntinda'!F80,'02.08 Kisaasi-Ntinda'!F80,'01.08 Kisaasi-Ntinda-24h'!F80,'03.08 Kisaasi-Ntinda-24h'!F80,'04.08 Kisaasi-Ntinda'!F80)</f>
        <v>0</v>
      </c>
      <c r="G80" s="49">
        <f>AVERAGE('29.07 Kisaasi-Ntinda'!G80,'30.07 Kisaasi-Ntinda'!G80,'31.07 Kisaasi-Ntinda'!G80,'02.08 Kisaasi-Ntinda'!G80,'01.08 Kisaasi-Ntinda-24h'!G80,'03.08 Kisaasi-Ntinda-24h'!G80,'04.08 Kisaasi-Ntinda'!G80)</f>
        <v>0</v>
      </c>
      <c r="H80" s="49">
        <f>AVERAGE('29.07 Kisaasi-Ntinda'!H80,'30.07 Kisaasi-Ntinda'!H80,'31.07 Kisaasi-Ntinda'!H80,'02.08 Kisaasi-Ntinda'!H80,'01.08 Kisaasi-Ntinda-24h'!H80,'03.08 Kisaasi-Ntinda-24h'!H80,'04.08 Kisaasi-Ntinda'!H80)</f>
        <v>0</v>
      </c>
      <c r="I80" s="49">
        <f>AVERAGE('29.07 Kisaasi-Ntinda'!I80,'30.07 Kisaasi-Ntinda'!I80,'31.07 Kisaasi-Ntinda'!I80,'02.08 Kisaasi-Ntinda'!I80,'01.08 Kisaasi-Ntinda-24h'!I80,'03.08 Kisaasi-Ntinda-24h'!I80,'04.08 Kisaasi-Ntinda'!I80)</f>
        <v>2</v>
      </c>
      <c r="J80" s="49">
        <f>AVERAGE('29.07 Kisaasi-Ntinda'!J80,'30.07 Kisaasi-Ntinda'!J80,'31.07 Kisaasi-Ntinda'!J80,'02.08 Kisaasi-Ntinda'!J80,'01.08 Kisaasi-Ntinda-24h'!J80,'03.08 Kisaasi-Ntinda-24h'!J80,'04.08 Kisaasi-Ntinda'!J80)</f>
        <v>1.5</v>
      </c>
      <c r="K80" s="49">
        <f>AVERAGE('29.07 Kisaasi-Ntinda'!K80,'30.07 Kisaasi-Ntinda'!K80,'31.07 Kisaasi-Ntinda'!K80,'02.08 Kisaasi-Ntinda'!K80,'01.08 Kisaasi-Ntinda-24h'!K80,'03.08 Kisaasi-Ntinda-24h'!K80,'04.08 Kisaasi-Ntinda'!K80)</f>
        <v>0</v>
      </c>
      <c r="L80" s="49">
        <f>AVERAGE('29.07 Kisaasi-Ntinda'!L80,'30.07 Kisaasi-Ntinda'!L80,'31.07 Kisaasi-Ntinda'!L80,'02.08 Kisaasi-Ntinda'!L80,'01.08 Kisaasi-Ntinda-24h'!L80,'03.08 Kisaasi-Ntinda-24h'!L80,'04.08 Kisaasi-Ntinda'!L80)</f>
        <v>0</v>
      </c>
      <c r="M80" s="49">
        <f>AVERAGE('29.07 Kisaasi-Ntinda'!M80,'30.07 Kisaasi-Ntinda'!M80,'31.07 Kisaasi-Ntinda'!M80,'02.08 Kisaasi-Ntinda'!M80,'01.08 Kisaasi-Ntinda-24h'!M80,'03.08 Kisaasi-Ntinda-24h'!M80,'04.08 Kisaasi-Ntinda'!M80)</f>
        <v>32</v>
      </c>
      <c r="N80" s="49">
        <f>AVERAGE('29.07 Kisaasi-Ntinda'!N80,'30.07 Kisaasi-Ntinda'!N80,'31.07 Kisaasi-Ntinda'!N80,'02.08 Kisaasi-Ntinda'!N80,'01.08 Kisaasi-Ntinda-24h'!N80,'03.08 Kisaasi-Ntinda-24h'!N80,'04.08 Kisaasi-Ntinda'!N80)</f>
        <v>0</v>
      </c>
      <c r="O80" s="49">
        <f>AVERAGE('29.07 Kisaasi-Ntinda'!O80,'30.07 Kisaasi-Ntinda'!O80,'31.07 Kisaasi-Ntinda'!O80,'02.08 Kisaasi-Ntinda'!O80,'01.08 Kisaasi-Ntinda-24h'!O80,'03.08 Kisaasi-Ntinda-24h'!O80,'04.08 Kisaasi-Ntinda'!O80)</f>
        <v>23</v>
      </c>
      <c r="P80" s="49">
        <f>AVERAGE('29.07 Kisaasi-Ntinda'!P80,'30.07 Kisaasi-Ntinda'!P80,'31.07 Kisaasi-Ntinda'!P80,'02.08 Kisaasi-Ntinda'!P80,'01.08 Kisaasi-Ntinda-24h'!P80,'03.08 Kisaasi-Ntinda-24h'!P80,'04.08 Kisaasi-Ntinda'!P80)</f>
        <v>55</v>
      </c>
      <c r="R80" s="8"/>
      <c r="T80"/>
    </row>
    <row r="81" spans="2:20" ht="23.1" customHeight="1" x14ac:dyDescent="0.25">
      <c r="B81" s="23" t="s">
        <v>121</v>
      </c>
      <c r="C81" s="49">
        <f>AVERAGE('01.08 Kisaasi-Ntinda-24h'!C81,'03.08 Kisaasi-Ntinda-24h'!C82)</f>
        <v>8.5</v>
      </c>
      <c r="D81" s="49">
        <f>AVERAGE('29.07 Kisaasi-Ntinda'!D81,'30.07 Kisaasi-Ntinda'!D81,'31.07 Kisaasi-Ntinda'!D81,'02.08 Kisaasi-Ntinda'!D81,'01.08 Kisaasi-Ntinda-24h'!D81,'03.08 Kisaasi-Ntinda-24h'!D81,'04.08 Kisaasi-Ntinda'!D81)</f>
        <v>6</v>
      </c>
      <c r="E81" s="49">
        <f>AVERAGE('29.07 Kisaasi-Ntinda'!E81,'30.07 Kisaasi-Ntinda'!E81,'31.07 Kisaasi-Ntinda'!E81,'02.08 Kisaasi-Ntinda'!E81,'01.08 Kisaasi-Ntinda-24h'!E81,'03.08 Kisaasi-Ntinda-24h'!E81,'04.08 Kisaasi-Ntinda'!E81)</f>
        <v>1</v>
      </c>
      <c r="F81" s="49">
        <f>AVERAGE('29.07 Kisaasi-Ntinda'!F81,'30.07 Kisaasi-Ntinda'!F81,'31.07 Kisaasi-Ntinda'!F81,'02.08 Kisaasi-Ntinda'!F81,'01.08 Kisaasi-Ntinda-24h'!F81,'03.08 Kisaasi-Ntinda-24h'!F81,'04.08 Kisaasi-Ntinda'!F81)</f>
        <v>1</v>
      </c>
      <c r="G81" s="49">
        <f>AVERAGE('29.07 Kisaasi-Ntinda'!G81,'30.07 Kisaasi-Ntinda'!G81,'31.07 Kisaasi-Ntinda'!G81,'02.08 Kisaasi-Ntinda'!G81,'01.08 Kisaasi-Ntinda-24h'!G81,'03.08 Kisaasi-Ntinda-24h'!G81,'04.08 Kisaasi-Ntinda'!G81)</f>
        <v>0</v>
      </c>
      <c r="H81" s="49">
        <f>AVERAGE('29.07 Kisaasi-Ntinda'!H81,'30.07 Kisaasi-Ntinda'!H81,'31.07 Kisaasi-Ntinda'!H81,'02.08 Kisaasi-Ntinda'!H81,'01.08 Kisaasi-Ntinda-24h'!H81,'03.08 Kisaasi-Ntinda-24h'!H81,'04.08 Kisaasi-Ntinda'!H81)</f>
        <v>0</v>
      </c>
      <c r="I81" s="49">
        <f>AVERAGE('29.07 Kisaasi-Ntinda'!I81,'30.07 Kisaasi-Ntinda'!I81,'31.07 Kisaasi-Ntinda'!I81,'02.08 Kisaasi-Ntinda'!I81,'01.08 Kisaasi-Ntinda-24h'!I81,'03.08 Kisaasi-Ntinda-24h'!I81,'04.08 Kisaasi-Ntinda'!I81)</f>
        <v>0.5</v>
      </c>
      <c r="J81" s="49">
        <f>AVERAGE('29.07 Kisaasi-Ntinda'!J81,'30.07 Kisaasi-Ntinda'!J81,'31.07 Kisaasi-Ntinda'!J81,'02.08 Kisaasi-Ntinda'!J81,'01.08 Kisaasi-Ntinda-24h'!J81,'03.08 Kisaasi-Ntinda-24h'!J81,'04.08 Kisaasi-Ntinda'!J81)</f>
        <v>1</v>
      </c>
      <c r="K81" s="49">
        <f>AVERAGE('29.07 Kisaasi-Ntinda'!K81,'30.07 Kisaasi-Ntinda'!K81,'31.07 Kisaasi-Ntinda'!K81,'02.08 Kisaasi-Ntinda'!K81,'01.08 Kisaasi-Ntinda-24h'!K81,'03.08 Kisaasi-Ntinda-24h'!K81,'04.08 Kisaasi-Ntinda'!K81)</f>
        <v>0</v>
      </c>
      <c r="L81" s="49">
        <f>AVERAGE('29.07 Kisaasi-Ntinda'!L81,'30.07 Kisaasi-Ntinda'!L81,'31.07 Kisaasi-Ntinda'!L81,'02.08 Kisaasi-Ntinda'!L81,'01.08 Kisaasi-Ntinda-24h'!L81,'03.08 Kisaasi-Ntinda-24h'!L81,'04.08 Kisaasi-Ntinda'!L81)</f>
        <v>0.5</v>
      </c>
      <c r="M81" s="49">
        <f>AVERAGE('29.07 Kisaasi-Ntinda'!M81,'30.07 Kisaasi-Ntinda'!M81,'31.07 Kisaasi-Ntinda'!M81,'02.08 Kisaasi-Ntinda'!M81,'01.08 Kisaasi-Ntinda-24h'!M81,'03.08 Kisaasi-Ntinda-24h'!M81,'04.08 Kisaasi-Ntinda'!M81)</f>
        <v>26.5</v>
      </c>
      <c r="N81" s="49">
        <f>AVERAGE('29.07 Kisaasi-Ntinda'!N81,'30.07 Kisaasi-Ntinda'!N81,'31.07 Kisaasi-Ntinda'!N81,'02.08 Kisaasi-Ntinda'!N81,'01.08 Kisaasi-Ntinda-24h'!N81,'03.08 Kisaasi-Ntinda-24h'!N81,'04.08 Kisaasi-Ntinda'!N81)</f>
        <v>0</v>
      </c>
      <c r="O81" s="49">
        <f>AVERAGE('29.07 Kisaasi-Ntinda'!O81,'30.07 Kisaasi-Ntinda'!O81,'31.07 Kisaasi-Ntinda'!O81,'02.08 Kisaasi-Ntinda'!O81,'01.08 Kisaasi-Ntinda-24h'!O81,'03.08 Kisaasi-Ntinda-24h'!O81,'04.08 Kisaasi-Ntinda'!O81)</f>
        <v>24</v>
      </c>
      <c r="P81" s="49">
        <f>AVERAGE('29.07 Kisaasi-Ntinda'!P81,'30.07 Kisaasi-Ntinda'!P81,'31.07 Kisaasi-Ntinda'!P81,'02.08 Kisaasi-Ntinda'!P81,'01.08 Kisaasi-Ntinda-24h'!P81,'03.08 Kisaasi-Ntinda-24h'!P81,'04.08 Kisaasi-Ntinda'!P81)</f>
        <v>50.5</v>
      </c>
      <c r="R81" s="8"/>
      <c r="T81"/>
    </row>
    <row r="82" spans="2:20" ht="23.1" customHeight="1" x14ac:dyDescent="0.25">
      <c r="B82" s="24" t="s">
        <v>122</v>
      </c>
      <c r="C82" s="49">
        <f>AVERAGE('01.08 Kisaasi-Ntinda-24h'!C82,'03.08 Kisaasi-Ntinda-24h'!C83)</f>
        <v>9.5</v>
      </c>
      <c r="D82" s="49">
        <f>AVERAGE('29.07 Kisaasi-Ntinda'!D82,'30.07 Kisaasi-Ntinda'!D82,'31.07 Kisaasi-Ntinda'!D82,'02.08 Kisaasi-Ntinda'!D82,'01.08 Kisaasi-Ntinda-24h'!D82,'03.08 Kisaasi-Ntinda-24h'!D82,'04.08 Kisaasi-Ntinda'!D82)</f>
        <v>3.5</v>
      </c>
      <c r="E82" s="49">
        <f>AVERAGE('29.07 Kisaasi-Ntinda'!E82,'30.07 Kisaasi-Ntinda'!E82,'31.07 Kisaasi-Ntinda'!E82,'02.08 Kisaasi-Ntinda'!E82,'01.08 Kisaasi-Ntinda-24h'!E82,'03.08 Kisaasi-Ntinda-24h'!E82,'04.08 Kisaasi-Ntinda'!E82)</f>
        <v>1</v>
      </c>
      <c r="F82" s="49">
        <f>AVERAGE('29.07 Kisaasi-Ntinda'!F82,'30.07 Kisaasi-Ntinda'!F82,'31.07 Kisaasi-Ntinda'!F82,'02.08 Kisaasi-Ntinda'!F82,'01.08 Kisaasi-Ntinda-24h'!F82,'03.08 Kisaasi-Ntinda-24h'!F82,'04.08 Kisaasi-Ntinda'!F82)</f>
        <v>1</v>
      </c>
      <c r="G82" s="49">
        <f>AVERAGE('29.07 Kisaasi-Ntinda'!G82,'30.07 Kisaasi-Ntinda'!G82,'31.07 Kisaasi-Ntinda'!G82,'02.08 Kisaasi-Ntinda'!G82,'01.08 Kisaasi-Ntinda-24h'!G82,'03.08 Kisaasi-Ntinda-24h'!G82,'04.08 Kisaasi-Ntinda'!G82)</f>
        <v>0</v>
      </c>
      <c r="H82" s="49">
        <f>AVERAGE('29.07 Kisaasi-Ntinda'!H82,'30.07 Kisaasi-Ntinda'!H82,'31.07 Kisaasi-Ntinda'!H82,'02.08 Kisaasi-Ntinda'!H82,'01.08 Kisaasi-Ntinda-24h'!H82,'03.08 Kisaasi-Ntinda-24h'!H82,'04.08 Kisaasi-Ntinda'!H82)</f>
        <v>0</v>
      </c>
      <c r="I82" s="49">
        <f>AVERAGE('29.07 Kisaasi-Ntinda'!I82,'30.07 Kisaasi-Ntinda'!I82,'31.07 Kisaasi-Ntinda'!I82,'02.08 Kisaasi-Ntinda'!I82,'01.08 Kisaasi-Ntinda-24h'!I82,'03.08 Kisaasi-Ntinda-24h'!I82,'04.08 Kisaasi-Ntinda'!I82)</f>
        <v>0.5</v>
      </c>
      <c r="J82" s="49">
        <f>AVERAGE('29.07 Kisaasi-Ntinda'!J82,'30.07 Kisaasi-Ntinda'!J82,'31.07 Kisaasi-Ntinda'!J82,'02.08 Kisaasi-Ntinda'!J82,'01.08 Kisaasi-Ntinda-24h'!J82,'03.08 Kisaasi-Ntinda-24h'!J82,'04.08 Kisaasi-Ntinda'!J82)</f>
        <v>0</v>
      </c>
      <c r="K82" s="49">
        <f>AVERAGE('29.07 Kisaasi-Ntinda'!K82,'30.07 Kisaasi-Ntinda'!K82,'31.07 Kisaasi-Ntinda'!K82,'02.08 Kisaasi-Ntinda'!K82,'01.08 Kisaasi-Ntinda-24h'!K82,'03.08 Kisaasi-Ntinda-24h'!K82,'04.08 Kisaasi-Ntinda'!K82)</f>
        <v>0</v>
      </c>
      <c r="L82" s="49">
        <f>AVERAGE('29.07 Kisaasi-Ntinda'!L82,'30.07 Kisaasi-Ntinda'!L82,'31.07 Kisaasi-Ntinda'!L82,'02.08 Kisaasi-Ntinda'!L82,'01.08 Kisaasi-Ntinda-24h'!L82,'03.08 Kisaasi-Ntinda-24h'!L82,'04.08 Kisaasi-Ntinda'!L82)</f>
        <v>1.5</v>
      </c>
      <c r="M82" s="49">
        <f>AVERAGE('29.07 Kisaasi-Ntinda'!M82,'30.07 Kisaasi-Ntinda'!M82,'31.07 Kisaasi-Ntinda'!M82,'02.08 Kisaasi-Ntinda'!M82,'01.08 Kisaasi-Ntinda-24h'!M82,'03.08 Kisaasi-Ntinda-24h'!M82,'04.08 Kisaasi-Ntinda'!M82)</f>
        <v>26</v>
      </c>
      <c r="N82" s="49">
        <f>AVERAGE('29.07 Kisaasi-Ntinda'!N82,'30.07 Kisaasi-Ntinda'!N82,'31.07 Kisaasi-Ntinda'!N82,'02.08 Kisaasi-Ntinda'!N82,'01.08 Kisaasi-Ntinda-24h'!N82,'03.08 Kisaasi-Ntinda-24h'!N82,'04.08 Kisaasi-Ntinda'!N82)</f>
        <v>0</v>
      </c>
      <c r="O82" s="49">
        <f>AVERAGE('29.07 Kisaasi-Ntinda'!O82,'30.07 Kisaasi-Ntinda'!O82,'31.07 Kisaasi-Ntinda'!O82,'02.08 Kisaasi-Ntinda'!O82,'01.08 Kisaasi-Ntinda-24h'!O82,'03.08 Kisaasi-Ntinda-24h'!O82,'04.08 Kisaasi-Ntinda'!O82)</f>
        <v>15</v>
      </c>
      <c r="P82" s="49">
        <f>AVERAGE('29.07 Kisaasi-Ntinda'!P82,'30.07 Kisaasi-Ntinda'!P82,'31.07 Kisaasi-Ntinda'!P82,'02.08 Kisaasi-Ntinda'!P82,'01.08 Kisaasi-Ntinda-24h'!P82,'03.08 Kisaasi-Ntinda-24h'!P82,'04.08 Kisaasi-Ntinda'!P82)</f>
        <v>41</v>
      </c>
      <c r="R82" s="8"/>
      <c r="T82"/>
    </row>
    <row r="83" spans="2:20" ht="23.1" customHeight="1" x14ac:dyDescent="0.25">
      <c r="B83" s="23" t="s">
        <v>123</v>
      </c>
      <c r="C83" s="49">
        <f>AVERAGE('01.08 Kisaasi-Ntinda-24h'!C83,'03.08 Kisaasi-Ntinda-24h'!C84)</f>
        <v>13</v>
      </c>
      <c r="D83" s="49">
        <f>AVERAGE('29.07 Kisaasi-Ntinda'!D83,'30.07 Kisaasi-Ntinda'!D83,'31.07 Kisaasi-Ntinda'!D83,'02.08 Kisaasi-Ntinda'!D83,'01.08 Kisaasi-Ntinda-24h'!D83,'03.08 Kisaasi-Ntinda-24h'!D83,'04.08 Kisaasi-Ntinda'!D83)</f>
        <v>2</v>
      </c>
      <c r="E83" s="49">
        <f>AVERAGE('29.07 Kisaasi-Ntinda'!E83,'30.07 Kisaasi-Ntinda'!E83,'31.07 Kisaasi-Ntinda'!E83,'02.08 Kisaasi-Ntinda'!E83,'01.08 Kisaasi-Ntinda-24h'!E83,'03.08 Kisaasi-Ntinda-24h'!E83,'04.08 Kisaasi-Ntinda'!E83)</f>
        <v>0</v>
      </c>
      <c r="F83" s="49">
        <f>AVERAGE('29.07 Kisaasi-Ntinda'!F83,'30.07 Kisaasi-Ntinda'!F83,'31.07 Kisaasi-Ntinda'!F83,'02.08 Kisaasi-Ntinda'!F83,'01.08 Kisaasi-Ntinda-24h'!F83,'03.08 Kisaasi-Ntinda-24h'!F83,'04.08 Kisaasi-Ntinda'!F83)</f>
        <v>0</v>
      </c>
      <c r="G83" s="49">
        <f>AVERAGE('29.07 Kisaasi-Ntinda'!G83,'30.07 Kisaasi-Ntinda'!G83,'31.07 Kisaasi-Ntinda'!G83,'02.08 Kisaasi-Ntinda'!G83,'01.08 Kisaasi-Ntinda-24h'!G83,'03.08 Kisaasi-Ntinda-24h'!G83,'04.08 Kisaasi-Ntinda'!G83)</f>
        <v>0</v>
      </c>
      <c r="H83" s="49">
        <f>AVERAGE('29.07 Kisaasi-Ntinda'!H83,'30.07 Kisaasi-Ntinda'!H83,'31.07 Kisaasi-Ntinda'!H83,'02.08 Kisaasi-Ntinda'!H83,'01.08 Kisaasi-Ntinda-24h'!H83,'03.08 Kisaasi-Ntinda-24h'!H83,'04.08 Kisaasi-Ntinda'!H83)</f>
        <v>0</v>
      </c>
      <c r="I83" s="49">
        <f>AVERAGE('29.07 Kisaasi-Ntinda'!I83,'30.07 Kisaasi-Ntinda'!I83,'31.07 Kisaasi-Ntinda'!I83,'02.08 Kisaasi-Ntinda'!I83,'01.08 Kisaasi-Ntinda-24h'!I83,'03.08 Kisaasi-Ntinda-24h'!I83,'04.08 Kisaasi-Ntinda'!I83)</f>
        <v>0.5</v>
      </c>
      <c r="J83" s="49">
        <f>AVERAGE('29.07 Kisaasi-Ntinda'!J83,'30.07 Kisaasi-Ntinda'!J83,'31.07 Kisaasi-Ntinda'!J83,'02.08 Kisaasi-Ntinda'!J83,'01.08 Kisaasi-Ntinda-24h'!J83,'03.08 Kisaasi-Ntinda-24h'!J83,'04.08 Kisaasi-Ntinda'!J83)</f>
        <v>0.5</v>
      </c>
      <c r="K83" s="49">
        <f>AVERAGE('29.07 Kisaasi-Ntinda'!K83,'30.07 Kisaasi-Ntinda'!K83,'31.07 Kisaasi-Ntinda'!K83,'02.08 Kisaasi-Ntinda'!K83,'01.08 Kisaasi-Ntinda-24h'!K83,'03.08 Kisaasi-Ntinda-24h'!K83,'04.08 Kisaasi-Ntinda'!K83)</f>
        <v>0</v>
      </c>
      <c r="L83" s="49">
        <f>AVERAGE('29.07 Kisaasi-Ntinda'!L83,'30.07 Kisaasi-Ntinda'!L83,'31.07 Kisaasi-Ntinda'!L83,'02.08 Kisaasi-Ntinda'!L83,'01.08 Kisaasi-Ntinda-24h'!L83,'03.08 Kisaasi-Ntinda-24h'!L83,'04.08 Kisaasi-Ntinda'!L83)</f>
        <v>0</v>
      </c>
      <c r="M83" s="49">
        <f>AVERAGE('29.07 Kisaasi-Ntinda'!M83,'30.07 Kisaasi-Ntinda'!M83,'31.07 Kisaasi-Ntinda'!M83,'02.08 Kisaasi-Ntinda'!M83,'01.08 Kisaasi-Ntinda-24h'!M83,'03.08 Kisaasi-Ntinda-24h'!M83,'04.08 Kisaasi-Ntinda'!M83)</f>
        <v>21.5</v>
      </c>
      <c r="N83" s="49">
        <f>AVERAGE('29.07 Kisaasi-Ntinda'!N83,'30.07 Kisaasi-Ntinda'!N83,'31.07 Kisaasi-Ntinda'!N83,'02.08 Kisaasi-Ntinda'!N83,'01.08 Kisaasi-Ntinda-24h'!N83,'03.08 Kisaasi-Ntinda-24h'!N83,'04.08 Kisaasi-Ntinda'!N83)</f>
        <v>0</v>
      </c>
      <c r="O83" s="49">
        <f>AVERAGE('29.07 Kisaasi-Ntinda'!O83,'30.07 Kisaasi-Ntinda'!O83,'31.07 Kisaasi-Ntinda'!O83,'02.08 Kisaasi-Ntinda'!O83,'01.08 Kisaasi-Ntinda-24h'!O83,'03.08 Kisaasi-Ntinda-24h'!O83,'04.08 Kisaasi-Ntinda'!O83)</f>
        <v>16.5</v>
      </c>
      <c r="P83" s="49">
        <f>AVERAGE('29.07 Kisaasi-Ntinda'!P83,'30.07 Kisaasi-Ntinda'!P83,'31.07 Kisaasi-Ntinda'!P83,'02.08 Kisaasi-Ntinda'!P83,'01.08 Kisaasi-Ntinda-24h'!P83,'03.08 Kisaasi-Ntinda-24h'!P83,'04.08 Kisaasi-Ntinda'!P83)</f>
        <v>38</v>
      </c>
      <c r="R83" s="8"/>
      <c r="T83"/>
    </row>
    <row r="84" spans="2:20" ht="23.1" customHeight="1" x14ac:dyDescent="0.25">
      <c r="B84" s="25" t="s">
        <v>124</v>
      </c>
      <c r="C84" s="49">
        <f>AVERAGE('01.08 Kisaasi-Ntinda-24h'!C84,'03.08 Kisaasi-Ntinda-24h'!C85)</f>
        <v>14</v>
      </c>
      <c r="D84" s="49">
        <f>AVERAGE('29.07 Kisaasi-Ntinda'!D84,'30.07 Kisaasi-Ntinda'!D84,'31.07 Kisaasi-Ntinda'!D84,'02.08 Kisaasi-Ntinda'!D84,'01.08 Kisaasi-Ntinda-24h'!D84,'03.08 Kisaasi-Ntinda-24h'!D84,'04.08 Kisaasi-Ntinda'!D84)</f>
        <v>1.5</v>
      </c>
      <c r="E84" s="49">
        <f>AVERAGE('29.07 Kisaasi-Ntinda'!E84,'30.07 Kisaasi-Ntinda'!E84,'31.07 Kisaasi-Ntinda'!E84,'02.08 Kisaasi-Ntinda'!E84,'01.08 Kisaasi-Ntinda-24h'!E84,'03.08 Kisaasi-Ntinda-24h'!E84,'04.08 Kisaasi-Ntinda'!E84)</f>
        <v>0</v>
      </c>
      <c r="F84" s="49">
        <f>AVERAGE('29.07 Kisaasi-Ntinda'!F84,'30.07 Kisaasi-Ntinda'!F84,'31.07 Kisaasi-Ntinda'!F84,'02.08 Kisaasi-Ntinda'!F84,'01.08 Kisaasi-Ntinda-24h'!F84,'03.08 Kisaasi-Ntinda-24h'!F84,'04.08 Kisaasi-Ntinda'!F84)</f>
        <v>0.5</v>
      </c>
      <c r="G84" s="49">
        <f>AVERAGE('29.07 Kisaasi-Ntinda'!G84,'30.07 Kisaasi-Ntinda'!G84,'31.07 Kisaasi-Ntinda'!G84,'02.08 Kisaasi-Ntinda'!G84,'01.08 Kisaasi-Ntinda-24h'!G84,'03.08 Kisaasi-Ntinda-24h'!G84,'04.08 Kisaasi-Ntinda'!G84)</f>
        <v>0</v>
      </c>
      <c r="H84" s="49">
        <f>AVERAGE('29.07 Kisaasi-Ntinda'!H84,'30.07 Kisaasi-Ntinda'!H84,'31.07 Kisaasi-Ntinda'!H84,'02.08 Kisaasi-Ntinda'!H84,'01.08 Kisaasi-Ntinda-24h'!H84,'03.08 Kisaasi-Ntinda-24h'!H84,'04.08 Kisaasi-Ntinda'!H84)</f>
        <v>0</v>
      </c>
      <c r="I84" s="49">
        <f>AVERAGE('29.07 Kisaasi-Ntinda'!I84,'30.07 Kisaasi-Ntinda'!I84,'31.07 Kisaasi-Ntinda'!I84,'02.08 Kisaasi-Ntinda'!I84,'01.08 Kisaasi-Ntinda-24h'!I84,'03.08 Kisaasi-Ntinda-24h'!I84,'04.08 Kisaasi-Ntinda'!I84)</f>
        <v>0</v>
      </c>
      <c r="J84" s="49">
        <f>AVERAGE('29.07 Kisaasi-Ntinda'!J84,'30.07 Kisaasi-Ntinda'!J84,'31.07 Kisaasi-Ntinda'!J84,'02.08 Kisaasi-Ntinda'!J84,'01.08 Kisaasi-Ntinda-24h'!J84,'03.08 Kisaasi-Ntinda-24h'!J84,'04.08 Kisaasi-Ntinda'!J84)</f>
        <v>1</v>
      </c>
      <c r="K84" s="49">
        <f>AVERAGE('29.07 Kisaasi-Ntinda'!K84,'30.07 Kisaasi-Ntinda'!K84,'31.07 Kisaasi-Ntinda'!K84,'02.08 Kisaasi-Ntinda'!K84,'01.08 Kisaasi-Ntinda-24h'!K84,'03.08 Kisaasi-Ntinda-24h'!K84,'04.08 Kisaasi-Ntinda'!K84)</f>
        <v>0.5</v>
      </c>
      <c r="L84" s="49">
        <f>AVERAGE('29.07 Kisaasi-Ntinda'!L84,'30.07 Kisaasi-Ntinda'!L84,'31.07 Kisaasi-Ntinda'!L84,'02.08 Kisaasi-Ntinda'!L84,'01.08 Kisaasi-Ntinda-24h'!L84,'03.08 Kisaasi-Ntinda-24h'!L84,'04.08 Kisaasi-Ntinda'!L84)</f>
        <v>0</v>
      </c>
      <c r="M84" s="49">
        <f>AVERAGE('29.07 Kisaasi-Ntinda'!M84,'30.07 Kisaasi-Ntinda'!M84,'31.07 Kisaasi-Ntinda'!M84,'02.08 Kisaasi-Ntinda'!M84,'01.08 Kisaasi-Ntinda-24h'!M84,'03.08 Kisaasi-Ntinda-24h'!M84,'04.08 Kisaasi-Ntinda'!M84)</f>
        <v>18</v>
      </c>
      <c r="N84" s="49">
        <f>AVERAGE('29.07 Kisaasi-Ntinda'!N84,'30.07 Kisaasi-Ntinda'!N84,'31.07 Kisaasi-Ntinda'!N84,'02.08 Kisaasi-Ntinda'!N84,'01.08 Kisaasi-Ntinda-24h'!N84,'03.08 Kisaasi-Ntinda-24h'!N84,'04.08 Kisaasi-Ntinda'!N84)</f>
        <v>0</v>
      </c>
      <c r="O84" s="49">
        <f>AVERAGE('29.07 Kisaasi-Ntinda'!O84,'30.07 Kisaasi-Ntinda'!O84,'31.07 Kisaasi-Ntinda'!O84,'02.08 Kisaasi-Ntinda'!O84,'01.08 Kisaasi-Ntinda-24h'!O84,'03.08 Kisaasi-Ntinda-24h'!O84,'04.08 Kisaasi-Ntinda'!O84)</f>
        <v>15.5</v>
      </c>
      <c r="P84" s="49">
        <f>AVERAGE('29.07 Kisaasi-Ntinda'!P84,'30.07 Kisaasi-Ntinda'!P84,'31.07 Kisaasi-Ntinda'!P84,'02.08 Kisaasi-Ntinda'!P84,'01.08 Kisaasi-Ntinda-24h'!P84,'03.08 Kisaasi-Ntinda-24h'!P84,'04.08 Kisaasi-Ntinda'!P84)</f>
        <v>33.5</v>
      </c>
      <c r="R84" s="8"/>
      <c r="T84"/>
    </row>
    <row r="85" spans="2:20" ht="23.1" customHeight="1" x14ac:dyDescent="0.25">
      <c r="B85" s="23" t="s">
        <v>125</v>
      </c>
      <c r="C85" s="49">
        <f>AVERAGE('01.08 Kisaasi-Ntinda-24h'!C85,'03.08 Kisaasi-Ntinda-24h'!C86)</f>
        <v>8.5</v>
      </c>
      <c r="D85" s="49">
        <f>AVERAGE('29.07 Kisaasi-Ntinda'!D85,'30.07 Kisaasi-Ntinda'!D85,'31.07 Kisaasi-Ntinda'!D85,'02.08 Kisaasi-Ntinda'!D85,'01.08 Kisaasi-Ntinda-24h'!D85,'03.08 Kisaasi-Ntinda-24h'!D85,'04.08 Kisaasi-Ntinda'!D85)</f>
        <v>1</v>
      </c>
      <c r="E85" s="49">
        <f>AVERAGE('29.07 Kisaasi-Ntinda'!E85,'30.07 Kisaasi-Ntinda'!E85,'31.07 Kisaasi-Ntinda'!E85,'02.08 Kisaasi-Ntinda'!E85,'01.08 Kisaasi-Ntinda-24h'!E85,'03.08 Kisaasi-Ntinda-24h'!E85,'04.08 Kisaasi-Ntinda'!E85)</f>
        <v>0.5</v>
      </c>
      <c r="F85" s="49">
        <f>AVERAGE('29.07 Kisaasi-Ntinda'!F85,'30.07 Kisaasi-Ntinda'!F85,'31.07 Kisaasi-Ntinda'!F85,'02.08 Kisaasi-Ntinda'!F85,'01.08 Kisaasi-Ntinda-24h'!F85,'03.08 Kisaasi-Ntinda-24h'!F85,'04.08 Kisaasi-Ntinda'!F85)</f>
        <v>0</v>
      </c>
      <c r="G85" s="49">
        <f>AVERAGE('29.07 Kisaasi-Ntinda'!G85,'30.07 Kisaasi-Ntinda'!G85,'31.07 Kisaasi-Ntinda'!G85,'02.08 Kisaasi-Ntinda'!G85,'01.08 Kisaasi-Ntinda-24h'!G85,'03.08 Kisaasi-Ntinda-24h'!G85,'04.08 Kisaasi-Ntinda'!G85)</f>
        <v>0</v>
      </c>
      <c r="H85" s="49">
        <f>AVERAGE('29.07 Kisaasi-Ntinda'!H85,'30.07 Kisaasi-Ntinda'!H85,'31.07 Kisaasi-Ntinda'!H85,'02.08 Kisaasi-Ntinda'!H85,'01.08 Kisaasi-Ntinda-24h'!H85,'03.08 Kisaasi-Ntinda-24h'!H85,'04.08 Kisaasi-Ntinda'!H85)</f>
        <v>0</v>
      </c>
      <c r="I85" s="49">
        <f>AVERAGE('29.07 Kisaasi-Ntinda'!I85,'30.07 Kisaasi-Ntinda'!I85,'31.07 Kisaasi-Ntinda'!I85,'02.08 Kisaasi-Ntinda'!I85,'01.08 Kisaasi-Ntinda-24h'!I85,'03.08 Kisaasi-Ntinda-24h'!I85,'04.08 Kisaasi-Ntinda'!I85)</f>
        <v>0.5</v>
      </c>
      <c r="J85" s="49">
        <f>AVERAGE('29.07 Kisaasi-Ntinda'!J85,'30.07 Kisaasi-Ntinda'!J85,'31.07 Kisaasi-Ntinda'!J85,'02.08 Kisaasi-Ntinda'!J85,'01.08 Kisaasi-Ntinda-24h'!J85,'03.08 Kisaasi-Ntinda-24h'!J85,'04.08 Kisaasi-Ntinda'!J85)</f>
        <v>1.5</v>
      </c>
      <c r="K85" s="49">
        <f>AVERAGE('29.07 Kisaasi-Ntinda'!K85,'30.07 Kisaasi-Ntinda'!K85,'31.07 Kisaasi-Ntinda'!K85,'02.08 Kisaasi-Ntinda'!K85,'01.08 Kisaasi-Ntinda-24h'!K85,'03.08 Kisaasi-Ntinda-24h'!K85,'04.08 Kisaasi-Ntinda'!K85)</f>
        <v>0</v>
      </c>
      <c r="L85" s="49">
        <f>AVERAGE('29.07 Kisaasi-Ntinda'!L85,'30.07 Kisaasi-Ntinda'!L85,'31.07 Kisaasi-Ntinda'!L85,'02.08 Kisaasi-Ntinda'!L85,'01.08 Kisaasi-Ntinda-24h'!L85,'03.08 Kisaasi-Ntinda-24h'!L85,'04.08 Kisaasi-Ntinda'!L85)</f>
        <v>0.5</v>
      </c>
      <c r="M85" s="49">
        <f>AVERAGE('29.07 Kisaasi-Ntinda'!M85,'30.07 Kisaasi-Ntinda'!M85,'31.07 Kisaasi-Ntinda'!M85,'02.08 Kisaasi-Ntinda'!M85,'01.08 Kisaasi-Ntinda-24h'!M85,'03.08 Kisaasi-Ntinda-24h'!M85,'04.08 Kisaasi-Ntinda'!M85)</f>
        <v>20</v>
      </c>
      <c r="N85" s="49">
        <f>AVERAGE('29.07 Kisaasi-Ntinda'!N85,'30.07 Kisaasi-Ntinda'!N85,'31.07 Kisaasi-Ntinda'!N85,'02.08 Kisaasi-Ntinda'!N85,'01.08 Kisaasi-Ntinda-24h'!N85,'03.08 Kisaasi-Ntinda-24h'!N85,'04.08 Kisaasi-Ntinda'!N85)</f>
        <v>0</v>
      </c>
      <c r="O85" s="49">
        <f>AVERAGE('29.07 Kisaasi-Ntinda'!O85,'30.07 Kisaasi-Ntinda'!O85,'31.07 Kisaasi-Ntinda'!O85,'02.08 Kisaasi-Ntinda'!O85,'01.08 Kisaasi-Ntinda-24h'!O85,'03.08 Kisaasi-Ntinda-24h'!O85,'04.08 Kisaasi-Ntinda'!O85)</f>
        <v>16</v>
      </c>
      <c r="P85" s="49">
        <f>AVERAGE('29.07 Kisaasi-Ntinda'!P85,'30.07 Kisaasi-Ntinda'!P85,'31.07 Kisaasi-Ntinda'!P85,'02.08 Kisaasi-Ntinda'!P85,'01.08 Kisaasi-Ntinda-24h'!P85,'03.08 Kisaasi-Ntinda-24h'!P85,'04.08 Kisaasi-Ntinda'!P85)</f>
        <v>36</v>
      </c>
      <c r="R85" s="8"/>
      <c r="T85"/>
    </row>
    <row r="86" spans="2:20" ht="23.1" customHeight="1" x14ac:dyDescent="0.25">
      <c r="B86" s="24" t="s">
        <v>126</v>
      </c>
      <c r="C86" s="49">
        <f>AVERAGE('01.08 Kisaasi-Ntinda-24h'!C86,'03.08 Kisaasi-Ntinda-24h'!C87)</f>
        <v>7</v>
      </c>
      <c r="D86" s="49">
        <f>AVERAGE('29.07 Kisaasi-Ntinda'!D86,'30.07 Kisaasi-Ntinda'!D86,'31.07 Kisaasi-Ntinda'!D86,'02.08 Kisaasi-Ntinda'!D86,'01.08 Kisaasi-Ntinda-24h'!D86,'03.08 Kisaasi-Ntinda-24h'!D86,'04.08 Kisaasi-Ntinda'!D86)</f>
        <v>2</v>
      </c>
      <c r="E86" s="49">
        <f>AVERAGE('29.07 Kisaasi-Ntinda'!E86,'30.07 Kisaasi-Ntinda'!E86,'31.07 Kisaasi-Ntinda'!E86,'02.08 Kisaasi-Ntinda'!E86,'01.08 Kisaasi-Ntinda-24h'!E86,'03.08 Kisaasi-Ntinda-24h'!E86,'04.08 Kisaasi-Ntinda'!E86)</f>
        <v>0</v>
      </c>
      <c r="F86" s="49">
        <f>AVERAGE('29.07 Kisaasi-Ntinda'!F86,'30.07 Kisaasi-Ntinda'!F86,'31.07 Kisaasi-Ntinda'!F86,'02.08 Kisaasi-Ntinda'!F86,'01.08 Kisaasi-Ntinda-24h'!F86,'03.08 Kisaasi-Ntinda-24h'!F86,'04.08 Kisaasi-Ntinda'!F86)</f>
        <v>0.5</v>
      </c>
      <c r="G86" s="49">
        <f>AVERAGE('29.07 Kisaasi-Ntinda'!G86,'30.07 Kisaasi-Ntinda'!G86,'31.07 Kisaasi-Ntinda'!G86,'02.08 Kisaasi-Ntinda'!G86,'01.08 Kisaasi-Ntinda-24h'!G86,'03.08 Kisaasi-Ntinda-24h'!G86,'04.08 Kisaasi-Ntinda'!G86)</f>
        <v>0</v>
      </c>
      <c r="H86" s="49">
        <f>AVERAGE('29.07 Kisaasi-Ntinda'!H86,'30.07 Kisaasi-Ntinda'!H86,'31.07 Kisaasi-Ntinda'!H86,'02.08 Kisaasi-Ntinda'!H86,'01.08 Kisaasi-Ntinda-24h'!H86,'03.08 Kisaasi-Ntinda-24h'!H86,'04.08 Kisaasi-Ntinda'!H86)</f>
        <v>0</v>
      </c>
      <c r="I86" s="49">
        <f>AVERAGE('29.07 Kisaasi-Ntinda'!I86,'30.07 Kisaasi-Ntinda'!I86,'31.07 Kisaasi-Ntinda'!I86,'02.08 Kisaasi-Ntinda'!I86,'01.08 Kisaasi-Ntinda-24h'!I86,'03.08 Kisaasi-Ntinda-24h'!I86,'04.08 Kisaasi-Ntinda'!I86)</f>
        <v>1.5</v>
      </c>
      <c r="J86" s="49">
        <f>AVERAGE('29.07 Kisaasi-Ntinda'!J86,'30.07 Kisaasi-Ntinda'!J86,'31.07 Kisaasi-Ntinda'!J86,'02.08 Kisaasi-Ntinda'!J86,'01.08 Kisaasi-Ntinda-24h'!J86,'03.08 Kisaasi-Ntinda-24h'!J86,'04.08 Kisaasi-Ntinda'!J86)</f>
        <v>0</v>
      </c>
      <c r="K86" s="49">
        <f>AVERAGE('29.07 Kisaasi-Ntinda'!K86,'30.07 Kisaasi-Ntinda'!K86,'31.07 Kisaasi-Ntinda'!K86,'02.08 Kisaasi-Ntinda'!K86,'01.08 Kisaasi-Ntinda-24h'!K86,'03.08 Kisaasi-Ntinda-24h'!K86,'04.08 Kisaasi-Ntinda'!K86)</f>
        <v>0.5</v>
      </c>
      <c r="L86" s="49">
        <f>AVERAGE('29.07 Kisaasi-Ntinda'!L86,'30.07 Kisaasi-Ntinda'!L86,'31.07 Kisaasi-Ntinda'!L86,'02.08 Kisaasi-Ntinda'!L86,'01.08 Kisaasi-Ntinda-24h'!L86,'03.08 Kisaasi-Ntinda-24h'!L86,'04.08 Kisaasi-Ntinda'!L86)</f>
        <v>0.5</v>
      </c>
      <c r="M86" s="49">
        <f>AVERAGE('29.07 Kisaasi-Ntinda'!M86,'30.07 Kisaasi-Ntinda'!M86,'31.07 Kisaasi-Ntinda'!M86,'02.08 Kisaasi-Ntinda'!M86,'01.08 Kisaasi-Ntinda-24h'!M86,'03.08 Kisaasi-Ntinda-24h'!M86,'04.08 Kisaasi-Ntinda'!M86)</f>
        <v>14.5</v>
      </c>
      <c r="N86" s="49">
        <f>AVERAGE('29.07 Kisaasi-Ntinda'!N86,'30.07 Kisaasi-Ntinda'!N86,'31.07 Kisaasi-Ntinda'!N86,'02.08 Kisaasi-Ntinda'!N86,'01.08 Kisaasi-Ntinda-24h'!N86,'03.08 Kisaasi-Ntinda-24h'!N86,'04.08 Kisaasi-Ntinda'!N86)</f>
        <v>0</v>
      </c>
      <c r="O86" s="49">
        <f>AVERAGE('29.07 Kisaasi-Ntinda'!O86,'30.07 Kisaasi-Ntinda'!O86,'31.07 Kisaasi-Ntinda'!O86,'02.08 Kisaasi-Ntinda'!O86,'01.08 Kisaasi-Ntinda-24h'!O86,'03.08 Kisaasi-Ntinda-24h'!O86,'04.08 Kisaasi-Ntinda'!O86)</f>
        <v>12.5</v>
      </c>
      <c r="P86" s="49">
        <f>AVERAGE('29.07 Kisaasi-Ntinda'!P86,'30.07 Kisaasi-Ntinda'!P86,'31.07 Kisaasi-Ntinda'!P86,'02.08 Kisaasi-Ntinda'!P86,'01.08 Kisaasi-Ntinda-24h'!P86,'03.08 Kisaasi-Ntinda-24h'!P86,'04.08 Kisaasi-Ntinda'!P86)</f>
        <v>27</v>
      </c>
      <c r="R86" s="8"/>
      <c r="T86"/>
    </row>
    <row r="87" spans="2:20" ht="23.1" customHeight="1" x14ac:dyDescent="0.25">
      <c r="B87" s="23" t="s">
        <v>127</v>
      </c>
      <c r="C87" s="49">
        <f>AVERAGE('01.08 Kisaasi-Ntinda-24h'!C87,'03.08 Kisaasi-Ntinda-24h'!C88)</f>
        <v>10</v>
      </c>
      <c r="D87" s="49">
        <f>AVERAGE('29.07 Kisaasi-Ntinda'!D87,'30.07 Kisaasi-Ntinda'!D87,'31.07 Kisaasi-Ntinda'!D87,'02.08 Kisaasi-Ntinda'!D87,'01.08 Kisaasi-Ntinda-24h'!D87,'03.08 Kisaasi-Ntinda-24h'!D87,'04.08 Kisaasi-Ntinda'!D87)</f>
        <v>3.5</v>
      </c>
      <c r="E87" s="49">
        <f>AVERAGE('29.07 Kisaasi-Ntinda'!E87,'30.07 Kisaasi-Ntinda'!E87,'31.07 Kisaasi-Ntinda'!E87,'02.08 Kisaasi-Ntinda'!E87,'01.08 Kisaasi-Ntinda-24h'!E87,'03.08 Kisaasi-Ntinda-24h'!E87,'04.08 Kisaasi-Ntinda'!E87)</f>
        <v>0</v>
      </c>
      <c r="F87" s="49">
        <f>AVERAGE('29.07 Kisaasi-Ntinda'!F87,'30.07 Kisaasi-Ntinda'!F87,'31.07 Kisaasi-Ntinda'!F87,'02.08 Kisaasi-Ntinda'!F87,'01.08 Kisaasi-Ntinda-24h'!F87,'03.08 Kisaasi-Ntinda-24h'!F87,'04.08 Kisaasi-Ntinda'!F87)</f>
        <v>0</v>
      </c>
      <c r="G87" s="49">
        <f>AVERAGE('29.07 Kisaasi-Ntinda'!G87,'30.07 Kisaasi-Ntinda'!G87,'31.07 Kisaasi-Ntinda'!G87,'02.08 Kisaasi-Ntinda'!G87,'01.08 Kisaasi-Ntinda-24h'!G87,'03.08 Kisaasi-Ntinda-24h'!G87,'04.08 Kisaasi-Ntinda'!G87)</f>
        <v>0</v>
      </c>
      <c r="H87" s="49">
        <f>AVERAGE('29.07 Kisaasi-Ntinda'!H87,'30.07 Kisaasi-Ntinda'!H87,'31.07 Kisaasi-Ntinda'!H87,'02.08 Kisaasi-Ntinda'!H87,'01.08 Kisaasi-Ntinda-24h'!H87,'03.08 Kisaasi-Ntinda-24h'!H87,'04.08 Kisaasi-Ntinda'!H87)</f>
        <v>0</v>
      </c>
      <c r="I87" s="49">
        <f>AVERAGE('29.07 Kisaasi-Ntinda'!I87,'30.07 Kisaasi-Ntinda'!I87,'31.07 Kisaasi-Ntinda'!I87,'02.08 Kisaasi-Ntinda'!I87,'01.08 Kisaasi-Ntinda-24h'!I87,'03.08 Kisaasi-Ntinda-24h'!I87,'04.08 Kisaasi-Ntinda'!I87)</f>
        <v>0</v>
      </c>
      <c r="J87" s="49">
        <f>AVERAGE('29.07 Kisaasi-Ntinda'!J87,'30.07 Kisaasi-Ntinda'!J87,'31.07 Kisaasi-Ntinda'!J87,'02.08 Kisaasi-Ntinda'!J87,'01.08 Kisaasi-Ntinda-24h'!J87,'03.08 Kisaasi-Ntinda-24h'!J87,'04.08 Kisaasi-Ntinda'!J87)</f>
        <v>3</v>
      </c>
      <c r="K87" s="49">
        <f>AVERAGE('29.07 Kisaasi-Ntinda'!K87,'30.07 Kisaasi-Ntinda'!K87,'31.07 Kisaasi-Ntinda'!K87,'02.08 Kisaasi-Ntinda'!K87,'01.08 Kisaasi-Ntinda-24h'!K87,'03.08 Kisaasi-Ntinda-24h'!K87,'04.08 Kisaasi-Ntinda'!K87)</f>
        <v>0</v>
      </c>
      <c r="L87" s="49">
        <f>AVERAGE('29.07 Kisaasi-Ntinda'!L87,'30.07 Kisaasi-Ntinda'!L87,'31.07 Kisaasi-Ntinda'!L87,'02.08 Kisaasi-Ntinda'!L87,'01.08 Kisaasi-Ntinda-24h'!L87,'03.08 Kisaasi-Ntinda-24h'!L87,'04.08 Kisaasi-Ntinda'!L87)</f>
        <v>0</v>
      </c>
      <c r="M87" s="49">
        <f>AVERAGE('29.07 Kisaasi-Ntinda'!M87,'30.07 Kisaasi-Ntinda'!M87,'31.07 Kisaasi-Ntinda'!M87,'02.08 Kisaasi-Ntinda'!M87,'01.08 Kisaasi-Ntinda-24h'!M87,'03.08 Kisaasi-Ntinda-24h'!M87,'04.08 Kisaasi-Ntinda'!M87)</f>
        <v>21</v>
      </c>
      <c r="N87" s="49">
        <f>AVERAGE('29.07 Kisaasi-Ntinda'!N87,'30.07 Kisaasi-Ntinda'!N87,'31.07 Kisaasi-Ntinda'!N87,'02.08 Kisaasi-Ntinda'!N87,'01.08 Kisaasi-Ntinda-24h'!N87,'03.08 Kisaasi-Ntinda-24h'!N87,'04.08 Kisaasi-Ntinda'!N87)</f>
        <v>0</v>
      </c>
      <c r="O87" s="49">
        <f>AVERAGE('29.07 Kisaasi-Ntinda'!O87,'30.07 Kisaasi-Ntinda'!O87,'31.07 Kisaasi-Ntinda'!O87,'02.08 Kisaasi-Ntinda'!O87,'01.08 Kisaasi-Ntinda-24h'!O87,'03.08 Kisaasi-Ntinda-24h'!O87,'04.08 Kisaasi-Ntinda'!O87)</f>
        <v>14</v>
      </c>
      <c r="P87" s="49">
        <f>AVERAGE('29.07 Kisaasi-Ntinda'!P87,'30.07 Kisaasi-Ntinda'!P87,'31.07 Kisaasi-Ntinda'!P87,'02.08 Kisaasi-Ntinda'!P87,'01.08 Kisaasi-Ntinda-24h'!P87,'03.08 Kisaasi-Ntinda-24h'!P87,'04.08 Kisaasi-Ntinda'!P87)</f>
        <v>35</v>
      </c>
      <c r="R87" s="8"/>
      <c r="T87"/>
    </row>
    <row r="88" spans="2:20" ht="23.1" customHeight="1" x14ac:dyDescent="0.25">
      <c r="B88" s="25" t="s">
        <v>128</v>
      </c>
      <c r="C88" s="49">
        <f>AVERAGE('01.08 Kisaasi-Ntinda-24h'!C88,'03.08 Kisaasi-Ntinda-24h'!C89)</f>
        <v>8.5</v>
      </c>
      <c r="D88" s="49">
        <f>AVERAGE('29.07 Kisaasi-Ntinda'!D88,'30.07 Kisaasi-Ntinda'!D88,'31.07 Kisaasi-Ntinda'!D88,'02.08 Kisaasi-Ntinda'!D88,'01.08 Kisaasi-Ntinda-24h'!D88,'03.08 Kisaasi-Ntinda-24h'!D88,'04.08 Kisaasi-Ntinda'!D88)</f>
        <v>2.5</v>
      </c>
      <c r="E88" s="49">
        <f>AVERAGE('29.07 Kisaasi-Ntinda'!E88,'30.07 Kisaasi-Ntinda'!E88,'31.07 Kisaasi-Ntinda'!E88,'02.08 Kisaasi-Ntinda'!E88,'01.08 Kisaasi-Ntinda-24h'!E88,'03.08 Kisaasi-Ntinda-24h'!E88,'04.08 Kisaasi-Ntinda'!E88)</f>
        <v>2</v>
      </c>
      <c r="F88" s="49">
        <f>AVERAGE('29.07 Kisaasi-Ntinda'!F88,'30.07 Kisaasi-Ntinda'!F88,'31.07 Kisaasi-Ntinda'!F88,'02.08 Kisaasi-Ntinda'!F88,'01.08 Kisaasi-Ntinda-24h'!F88,'03.08 Kisaasi-Ntinda-24h'!F88,'04.08 Kisaasi-Ntinda'!F88)</f>
        <v>0</v>
      </c>
      <c r="G88" s="49">
        <f>AVERAGE('29.07 Kisaasi-Ntinda'!G88,'30.07 Kisaasi-Ntinda'!G88,'31.07 Kisaasi-Ntinda'!G88,'02.08 Kisaasi-Ntinda'!G88,'01.08 Kisaasi-Ntinda-24h'!G88,'03.08 Kisaasi-Ntinda-24h'!G88,'04.08 Kisaasi-Ntinda'!G88)</f>
        <v>0</v>
      </c>
      <c r="H88" s="49">
        <f>AVERAGE('29.07 Kisaasi-Ntinda'!H88,'30.07 Kisaasi-Ntinda'!H88,'31.07 Kisaasi-Ntinda'!H88,'02.08 Kisaasi-Ntinda'!H88,'01.08 Kisaasi-Ntinda-24h'!H88,'03.08 Kisaasi-Ntinda-24h'!H88,'04.08 Kisaasi-Ntinda'!H88)</f>
        <v>0</v>
      </c>
      <c r="I88" s="49">
        <f>AVERAGE('29.07 Kisaasi-Ntinda'!I88,'30.07 Kisaasi-Ntinda'!I88,'31.07 Kisaasi-Ntinda'!I88,'02.08 Kisaasi-Ntinda'!I88,'01.08 Kisaasi-Ntinda-24h'!I88,'03.08 Kisaasi-Ntinda-24h'!I88,'04.08 Kisaasi-Ntinda'!I88)</f>
        <v>0</v>
      </c>
      <c r="J88" s="49">
        <f>AVERAGE('29.07 Kisaasi-Ntinda'!J88,'30.07 Kisaasi-Ntinda'!J88,'31.07 Kisaasi-Ntinda'!J88,'02.08 Kisaasi-Ntinda'!J88,'01.08 Kisaasi-Ntinda-24h'!J88,'03.08 Kisaasi-Ntinda-24h'!J88,'04.08 Kisaasi-Ntinda'!J88)</f>
        <v>0.5</v>
      </c>
      <c r="K88" s="49">
        <f>AVERAGE('29.07 Kisaasi-Ntinda'!K88,'30.07 Kisaasi-Ntinda'!K88,'31.07 Kisaasi-Ntinda'!K88,'02.08 Kisaasi-Ntinda'!K88,'01.08 Kisaasi-Ntinda-24h'!K88,'03.08 Kisaasi-Ntinda-24h'!K88,'04.08 Kisaasi-Ntinda'!K88)</f>
        <v>1</v>
      </c>
      <c r="L88" s="49">
        <f>AVERAGE('29.07 Kisaasi-Ntinda'!L88,'30.07 Kisaasi-Ntinda'!L88,'31.07 Kisaasi-Ntinda'!L88,'02.08 Kisaasi-Ntinda'!L88,'01.08 Kisaasi-Ntinda-24h'!L88,'03.08 Kisaasi-Ntinda-24h'!L88,'04.08 Kisaasi-Ntinda'!L88)</f>
        <v>0.5</v>
      </c>
      <c r="M88" s="49">
        <f>AVERAGE('29.07 Kisaasi-Ntinda'!M88,'30.07 Kisaasi-Ntinda'!M88,'31.07 Kisaasi-Ntinda'!M88,'02.08 Kisaasi-Ntinda'!M88,'01.08 Kisaasi-Ntinda-24h'!M88,'03.08 Kisaasi-Ntinda-24h'!M88,'04.08 Kisaasi-Ntinda'!M88)</f>
        <v>22.5</v>
      </c>
      <c r="N88" s="49">
        <f>AVERAGE('29.07 Kisaasi-Ntinda'!N88,'30.07 Kisaasi-Ntinda'!N88,'31.07 Kisaasi-Ntinda'!N88,'02.08 Kisaasi-Ntinda'!N88,'01.08 Kisaasi-Ntinda-24h'!N88,'03.08 Kisaasi-Ntinda-24h'!N88,'04.08 Kisaasi-Ntinda'!N88)</f>
        <v>0</v>
      </c>
      <c r="O88" s="49">
        <f>AVERAGE('29.07 Kisaasi-Ntinda'!O88,'30.07 Kisaasi-Ntinda'!O88,'31.07 Kisaasi-Ntinda'!O88,'02.08 Kisaasi-Ntinda'!O88,'01.08 Kisaasi-Ntinda-24h'!O88,'03.08 Kisaasi-Ntinda-24h'!O88,'04.08 Kisaasi-Ntinda'!O88)</f>
        <v>16.5</v>
      </c>
      <c r="P88" s="49">
        <f>AVERAGE('29.07 Kisaasi-Ntinda'!P88,'30.07 Kisaasi-Ntinda'!P88,'31.07 Kisaasi-Ntinda'!P88,'02.08 Kisaasi-Ntinda'!P88,'01.08 Kisaasi-Ntinda-24h'!P88,'03.08 Kisaasi-Ntinda-24h'!P88,'04.08 Kisaasi-Ntinda'!P88)</f>
        <v>39</v>
      </c>
      <c r="R88" s="8"/>
      <c r="T88"/>
    </row>
    <row r="89" spans="2:20" ht="23.1" customHeight="1" x14ac:dyDescent="0.25">
      <c r="B89" s="23" t="s">
        <v>129</v>
      </c>
      <c r="C89" s="49">
        <f>AVERAGE('01.08 Kisaasi-Ntinda-24h'!C89,'03.08 Kisaasi-Ntinda-24h'!C90)</f>
        <v>4.5</v>
      </c>
      <c r="D89" s="49">
        <f>AVERAGE('29.07 Kisaasi-Ntinda'!D89,'30.07 Kisaasi-Ntinda'!D89,'31.07 Kisaasi-Ntinda'!D89,'02.08 Kisaasi-Ntinda'!D89,'01.08 Kisaasi-Ntinda-24h'!D89,'03.08 Kisaasi-Ntinda-24h'!D89,'04.08 Kisaasi-Ntinda'!D89)</f>
        <v>0</v>
      </c>
      <c r="E89" s="49">
        <f>AVERAGE('29.07 Kisaasi-Ntinda'!E89,'30.07 Kisaasi-Ntinda'!E89,'31.07 Kisaasi-Ntinda'!E89,'02.08 Kisaasi-Ntinda'!E89,'01.08 Kisaasi-Ntinda-24h'!E89,'03.08 Kisaasi-Ntinda-24h'!E89,'04.08 Kisaasi-Ntinda'!E89)</f>
        <v>0.5</v>
      </c>
      <c r="F89" s="49">
        <f>AVERAGE('29.07 Kisaasi-Ntinda'!F89,'30.07 Kisaasi-Ntinda'!F89,'31.07 Kisaasi-Ntinda'!F89,'02.08 Kisaasi-Ntinda'!F89,'01.08 Kisaasi-Ntinda-24h'!F89,'03.08 Kisaasi-Ntinda-24h'!F89,'04.08 Kisaasi-Ntinda'!F89)</f>
        <v>0</v>
      </c>
      <c r="G89" s="49">
        <f>AVERAGE('29.07 Kisaasi-Ntinda'!G89,'30.07 Kisaasi-Ntinda'!G89,'31.07 Kisaasi-Ntinda'!G89,'02.08 Kisaasi-Ntinda'!G89,'01.08 Kisaasi-Ntinda-24h'!G89,'03.08 Kisaasi-Ntinda-24h'!G89,'04.08 Kisaasi-Ntinda'!G89)</f>
        <v>0</v>
      </c>
      <c r="H89" s="49">
        <f>AVERAGE('29.07 Kisaasi-Ntinda'!H89,'30.07 Kisaasi-Ntinda'!H89,'31.07 Kisaasi-Ntinda'!H89,'02.08 Kisaasi-Ntinda'!H89,'01.08 Kisaasi-Ntinda-24h'!H89,'03.08 Kisaasi-Ntinda-24h'!H89,'04.08 Kisaasi-Ntinda'!H89)</f>
        <v>0</v>
      </c>
      <c r="I89" s="49">
        <f>AVERAGE('29.07 Kisaasi-Ntinda'!I89,'30.07 Kisaasi-Ntinda'!I89,'31.07 Kisaasi-Ntinda'!I89,'02.08 Kisaasi-Ntinda'!I89,'01.08 Kisaasi-Ntinda-24h'!I89,'03.08 Kisaasi-Ntinda-24h'!I89,'04.08 Kisaasi-Ntinda'!I89)</f>
        <v>1.5</v>
      </c>
      <c r="J89" s="49">
        <f>AVERAGE('29.07 Kisaasi-Ntinda'!J89,'30.07 Kisaasi-Ntinda'!J89,'31.07 Kisaasi-Ntinda'!J89,'02.08 Kisaasi-Ntinda'!J89,'01.08 Kisaasi-Ntinda-24h'!J89,'03.08 Kisaasi-Ntinda-24h'!J89,'04.08 Kisaasi-Ntinda'!J89)</f>
        <v>0.5</v>
      </c>
      <c r="K89" s="49">
        <f>AVERAGE('29.07 Kisaasi-Ntinda'!K89,'30.07 Kisaasi-Ntinda'!K89,'31.07 Kisaasi-Ntinda'!K89,'02.08 Kisaasi-Ntinda'!K89,'01.08 Kisaasi-Ntinda-24h'!K89,'03.08 Kisaasi-Ntinda-24h'!K89,'04.08 Kisaasi-Ntinda'!K89)</f>
        <v>0</v>
      </c>
      <c r="L89" s="49">
        <f>AVERAGE('29.07 Kisaasi-Ntinda'!L89,'30.07 Kisaasi-Ntinda'!L89,'31.07 Kisaasi-Ntinda'!L89,'02.08 Kisaasi-Ntinda'!L89,'01.08 Kisaasi-Ntinda-24h'!L89,'03.08 Kisaasi-Ntinda-24h'!L89,'04.08 Kisaasi-Ntinda'!L89)</f>
        <v>0.5</v>
      </c>
      <c r="M89" s="49">
        <f>AVERAGE('29.07 Kisaasi-Ntinda'!M89,'30.07 Kisaasi-Ntinda'!M89,'31.07 Kisaasi-Ntinda'!M89,'02.08 Kisaasi-Ntinda'!M89,'01.08 Kisaasi-Ntinda-24h'!M89,'03.08 Kisaasi-Ntinda-24h'!M89,'04.08 Kisaasi-Ntinda'!M89)</f>
        <v>19.5</v>
      </c>
      <c r="N89" s="49">
        <f>AVERAGE('29.07 Kisaasi-Ntinda'!N89,'30.07 Kisaasi-Ntinda'!N89,'31.07 Kisaasi-Ntinda'!N89,'02.08 Kisaasi-Ntinda'!N89,'01.08 Kisaasi-Ntinda-24h'!N89,'03.08 Kisaasi-Ntinda-24h'!N89,'04.08 Kisaasi-Ntinda'!N89)</f>
        <v>0</v>
      </c>
      <c r="O89" s="49">
        <f>AVERAGE('29.07 Kisaasi-Ntinda'!O89,'30.07 Kisaasi-Ntinda'!O89,'31.07 Kisaasi-Ntinda'!O89,'02.08 Kisaasi-Ntinda'!O89,'01.08 Kisaasi-Ntinda-24h'!O89,'03.08 Kisaasi-Ntinda-24h'!O89,'04.08 Kisaasi-Ntinda'!O89)</f>
        <v>10</v>
      </c>
      <c r="P89" s="49">
        <f>AVERAGE('29.07 Kisaasi-Ntinda'!P89,'30.07 Kisaasi-Ntinda'!P89,'31.07 Kisaasi-Ntinda'!P89,'02.08 Kisaasi-Ntinda'!P89,'01.08 Kisaasi-Ntinda-24h'!P89,'03.08 Kisaasi-Ntinda-24h'!P89,'04.08 Kisaasi-Ntinda'!P89)</f>
        <v>29.5</v>
      </c>
      <c r="R89" s="8"/>
      <c r="T89"/>
    </row>
    <row r="90" spans="2:20" ht="23.1" customHeight="1" x14ac:dyDescent="0.25">
      <c r="B90" s="24" t="s">
        <v>130</v>
      </c>
      <c r="C90" s="49">
        <f>AVERAGE('01.08 Kisaasi-Ntinda-24h'!C90,'03.08 Kisaasi-Ntinda-24h'!C91)</f>
        <v>5</v>
      </c>
      <c r="D90" s="49">
        <f>AVERAGE('29.07 Kisaasi-Ntinda'!D90,'30.07 Kisaasi-Ntinda'!D90,'31.07 Kisaasi-Ntinda'!D90,'02.08 Kisaasi-Ntinda'!D90,'01.08 Kisaasi-Ntinda-24h'!D90,'03.08 Kisaasi-Ntinda-24h'!D90,'04.08 Kisaasi-Ntinda'!D90)</f>
        <v>2</v>
      </c>
      <c r="E90" s="49">
        <f>AVERAGE('29.07 Kisaasi-Ntinda'!E90,'30.07 Kisaasi-Ntinda'!E90,'31.07 Kisaasi-Ntinda'!E90,'02.08 Kisaasi-Ntinda'!E90,'01.08 Kisaasi-Ntinda-24h'!E90,'03.08 Kisaasi-Ntinda-24h'!E90,'04.08 Kisaasi-Ntinda'!E90)</f>
        <v>0</v>
      </c>
      <c r="F90" s="49">
        <f>AVERAGE('29.07 Kisaasi-Ntinda'!F90,'30.07 Kisaasi-Ntinda'!F90,'31.07 Kisaasi-Ntinda'!F90,'02.08 Kisaasi-Ntinda'!F90,'01.08 Kisaasi-Ntinda-24h'!F90,'03.08 Kisaasi-Ntinda-24h'!F90,'04.08 Kisaasi-Ntinda'!F90)</f>
        <v>0.5</v>
      </c>
      <c r="G90" s="49">
        <f>AVERAGE('29.07 Kisaasi-Ntinda'!G90,'30.07 Kisaasi-Ntinda'!G90,'31.07 Kisaasi-Ntinda'!G90,'02.08 Kisaasi-Ntinda'!G90,'01.08 Kisaasi-Ntinda-24h'!G90,'03.08 Kisaasi-Ntinda-24h'!G90,'04.08 Kisaasi-Ntinda'!G90)</f>
        <v>0</v>
      </c>
      <c r="H90" s="49">
        <f>AVERAGE('29.07 Kisaasi-Ntinda'!H90,'30.07 Kisaasi-Ntinda'!H90,'31.07 Kisaasi-Ntinda'!H90,'02.08 Kisaasi-Ntinda'!H90,'01.08 Kisaasi-Ntinda-24h'!H90,'03.08 Kisaasi-Ntinda-24h'!H90,'04.08 Kisaasi-Ntinda'!H90)</f>
        <v>0</v>
      </c>
      <c r="I90" s="49">
        <f>AVERAGE('29.07 Kisaasi-Ntinda'!I90,'30.07 Kisaasi-Ntinda'!I90,'31.07 Kisaasi-Ntinda'!I90,'02.08 Kisaasi-Ntinda'!I90,'01.08 Kisaasi-Ntinda-24h'!I90,'03.08 Kisaasi-Ntinda-24h'!I90,'04.08 Kisaasi-Ntinda'!I90)</f>
        <v>0</v>
      </c>
      <c r="J90" s="49">
        <f>AVERAGE('29.07 Kisaasi-Ntinda'!J90,'30.07 Kisaasi-Ntinda'!J90,'31.07 Kisaasi-Ntinda'!J90,'02.08 Kisaasi-Ntinda'!J90,'01.08 Kisaasi-Ntinda-24h'!J90,'03.08 Kisaasi-Ntinda-24h'!J90,'04.08 Kisaasi-Ntinda'!J90)</f>
        <v>1</v>
      </c>
      <c r="K90" s="49">
        <f>AVERAGE('29.07 Kisaasi-Ntinda'!K90,'30.07 Kisaasi-Ntinda'!K90,'31.07 Kisaasi-Ntinda'!K90,'02.08 Kisaasi-Ntinda'!K90,'01.08 Kisaasi-Ntinda-24h'!K90,'03.08 Kisaasi-Ntinda-24h'!K90,'04.08 Kisaasi-Ntinda'!K90)</f>
        <v>0</v>
      </c>
      <c r="L90" s="49">
        <f>AVERAGE('29.07 Kisaasi-Ntinda'!L90,'30.07 Kisaasi-Ntinda'!L90,'31.07 Kisaasi-Ntinda'!L90,'02.08 Kisaasi-Ntinda'!L90,'01.08 Kisaasi-Ntinda-24h'!L90,'03.08 Kisaasi-Ntinda-24h'!L90,'04.08 Kisaasi-Ntinda'!L90)</f>
        <v>0</v>
      </c>
      <c r="M90" s="49">
        <f>AVERAGE('29.07 Kisaasi-Ntinda'!M90,'30.07 Kisaasi-Ntinda'!M90,'31.07 Kisaasi-Ntinda'!M90,'02.08 Kisaasi-Ntinda'!M90,'01.08 Kisaasi-Ntinda-24h'!M90,'03.08 Kisaasi-Ntinda-24h'!M90,'04.08 Kisaasi-Ntinda'!M90)</f>
        <v>17.5</v>
      </c>
      <c r="N90" s="49">
        <f>AVERAGE('29.07 Kisaasi-Ntinda'!N90,'30.07 Kisaasi-Ntinda'!N90,'31.07 Kisaasi-Ntinda'!N90,'02.08 Kisaasi-Ntinda'!N90,'01.08 Kisaasi-Ntinda-24h'!N90,'03.08 Kisaasi-Ntinda-24h'!N90,'04.08 Kisaasi-Ntinda'!N90)</f>
        <v>0</v>
      </c>
      <c r="O90" s="49">
        <f>AVERAGE('29.07 Kisaasi-Ntinda'!O90,'30.07 Kisaasi-Ntinda'!O90,'31.07 Kisaasi-Ntinda'!O90,'02.08 Kisaasi-Ntinda'!O90,'01.08 Kisaasi-Ntinda-24h'!O90,'03.08 Kisaasi-Ntinda-24h'!O90,'04.08 Kisaasi-Ntinda'!O90)</f>
        <v>10.5</v>
      </c>
      <c r="P90" s="49">
        <f>AVERAGE('29.07 Kisaasi-Ntinda'!P90,'30.07 Kisaasi-Ntinda'!P90,'31.07 Kisaasi-Ntinda'!P90,'02.08 Kisaasi-Ntinda'!P90,'01.08 Kisaasi-Ntinda-24h'!P90,'03.08 Kisaasi-Ntinda-24h'!P90,'04.08 Kisaasi-Ntinda'!P90)</f>
        <v>28</v>
      </c>
      <c r="R90" s="8"/>
      <c r="T90"/>
    </row>
    <row r="91" spans="2:20" ht="23.1" customHeight="1" x14ac:dyDescent="0.25">
      <c r="B91" s="23" t="s">
        <v>131</v>
      </c>
      <c r="C91" s="49">
        <f>AVERAGE('01.08 Kisaasi-Ntinda-24h'!C91,'03.08 Kisaasi-Ntinda-24h'!C92)</f>
        <v>5.5</v>
      </c>
      <c r="D91" s="49">
        <f>AVERAGE('29.07 Kisaasi-Ntinda'!D91,'30.07 Kisaasi-Ntinda'!D91,'31.07 Kisaasi-Ntinda'!D91,'02.08 Kisaasi-Ntinda'!D91,'01.08 Kisaasi-Ntinda-24h'!D91,'03.08 Kisaasi-Ntinda-24h'!D91,'04.08 Kisaasi-Ntinda'!D91)</f>
        <v>0</v>
      </c>
      <c r="E91" s="49">
        <f>AVERAGE('29.07 Kisaasi-Ntinda'!E91,'30.07 Kisaasi-Ntinda'!E91,'31.07 Kisaasi-Ntinda'!E91,'02.08 Kisaasi-Ntinda'!E91,'01.08 Kisaasi-Ntinda-24h'!E91,'03.08 Kisaasi-Ntinda-24h'!E91,'04.08 Kisaasi-Ntinda'!E91)</f>
        <v>0</v>
      </c>
      <c r="F91" s="49">
        <f>AVERAGE('29.07 Kisaasi-Ntinda'!F91,'30.07 Kisaasi-Ntinda'!F91,'31.07 Kisaasi-Ntinda'!F91,'02.08 Kisaasi-Ntinda'!F91,'01.08 Kisaasi-Ntinda-24h'!F91,'03.08 Kisaasi-Ntinda-24h'!F91,'04.08 Kisaasi-Ntinda'!F91)</f>
        <v>0</v>
      </c>
      <c r="G91" s="49">
        <f>AVERAGE('29.07 Kisaasi-Ntinda'!G91,'30.07 Kisaasi-Ntinda'!G91,'31.07 Kisaasi-Ntinda'!G91,'02.08 Kisaasi-Ntinda'!G91,'01.08 Kisaasi-Ntinda-24h'!G91,'03.08 Kisaasi-Ntinda-24h'!G91,'04.08 Kisaasi-Ntinda'!G91)</f>
        <v>0</v>
      </c>
      <c r="H91" s="49">
        <f>AVERAGE('29.07 Kisaasi-Ntinda'!H91,'30.07 Kisaasi-Ntinda'!H91,'31.07 Kisaasi-Ntinda'!H91,'02.08 Kisaasi-Ntinda'!H91,'01.08 Kisaasi-Ntinda-24h'!H91,'03.08 Kisaasi-Ntinda-24h'!H91,'04.08 Kisaasi-Ntinda'!H91)</f>
        <v>0</v>
      </c>
      <c r="I91" s="49">
        <f>AVERAGE('29.07 Kisaasi-Ntinda'!I91,'30.07 Kisaasi-Ntinda'!I91,'31.07 Kisaasi-Ntinda'!I91,'02.08 Kisaasi-Ntinda'!I91,'01.08 Kisaasi-Ntinda-24h'!I91,'03.08 Kisaasi-Ntinda-24h'!I91,'04.08 Kisaasi-Ntinda'!I91)</f>
        <v>0.5</v>
      </c>
      <c r="J91" s="49">
        <f>AVERAGE('29.07 Kisaasi-Ntinda'!J91,'30.07 Kisaasi-Ntinda'!J91,'31.07 Kisaasi-Ntinda'!J91,'02.08 Kisaasi-Ntinda'!J91,'01.08 Kisaasi-Ntinda-24h'!J91,'03.08 Kisaasi-Ntinda-24h'!J91,'04.08 Kisaasi-Ntinda'!J91)</f>
        <v>1</v>
      </c>
      <c r="K91" s="49">
        <f>AVERAGE('29.07 Kisaasi-Ntinda'!K91,'30.07 Kisaasi-Ntinda'!K91,'31.07 Kisaasi-Ntinda'!K91,'02.08 Kisaasi-Ntinda'!K91,'01.08 Kisaasi-Ntinda-24h'!K91,'03.08 Kisaasi-Ntinda-24h'!K91,'04.08 Kisaasi-Ntinda'!K91)</f>
        <v>0.5</v>
      </c>
      <c r="L91" s="49">
        <f>AVERAGE('29.07 Kisaasi-Ntinda'!L91,'30.07 Kisaasi-Ntinda'!L91,'31.07 Kisaasi-Ntinda'!L91,'02.08 Kisaasi-Ntinda'!L91,'01.08 Kisaasi-Ntinda-24h'!L91,'03.08 Kisaasi-Ntinda-24h'!L91,'04.08 Kisaasi-Ntinda'!L91)</f>
        <v>0</v>
      </c>
      <c r="M91" s="49">
        <f>AVERAGE('29.07 Kisaasi-Ntinda'!M91,'30.07 Kisaasi-Ntinda'!M91,'31.07 Kisaasi-Ntinda'!M91,'02.08 Kisaasi-Ntinda'!M91,'01.08 Kisaasi-Ntinda-24h'!M91,'03.08 Kisaasi-Ntinda-24h'!M91,'04.08 Kisaasi-Ntinda'!M91)</f>
        <v>17.5</v>
      </c>
      <c r="N91" s="49">
        <f>AVERAGE('29.07 Kisaasi-Ntinda'!N91,'30.07 Kisaasi-Ntinda'!N91,'31.07 Kisaasi-Ntinda'!N91,'02.08 Kisaasi-Ntinda'!N91,'01.08 Kisaasi-Ntinda-24h'!N91,'03.08 Kisaasi-Ntinda-24h'!N91,'04.08 Kisaasi-Ntinda'!N91)</f>
        <v>0</v>
      </c>
      <c r="O91" s="49">
        <f>AVERAGE('29.07 Kisaasi-Ntinda'!O91,'30.07 Kisaasi-Ntinda'!O91,'31.07 Kisaasi-Ntinda'!O91,'02.08 Kisaasi-Ntinda'!O91,'01.08 Kisaasi-Ntinda-24h'!O91,'03.08 Kisaasi-Ntinda-24h'!O91,'04.08 Kisaasi-Ntinda'!O91)</f>
        <v>5</v>
      </c>
      <c r="P91" s="49">
        <f>AVERAGE('29.07 Kisaasi-Ntinda'!P91,'30.07 Kisaasi-Ntinda'!P91,'31.07 Kisaasi-Ntinda'!P91,'02.08 Kisaasi-Ntinda'!P91,'01.08 Kisaasi-Ntinda-24h'!P91,'03.08 Kisaasi-Ntinda-24h'!P91,'04.08 Kisaasi-Ntinda'!P91)</f>
        <v>22.5</v>
      </c>
      <c r="R91" s="8"/>
      <c r="T91"/>
    </row>
    <row r="92" spans="2:20" ht="23.1" customHeight="1" x14ac:dyDescent="0.25">
      <c r="B92" s="25" t="s">
        <v>132</v>
      </c>
      <c r="C92" s="49">
        <f>AVERAGE('01.08 Kisaasi-Ntinda-24h'!C92,'03.08 Kisaasi-Ntinda-24h'!C93)</f>
        <v>6</v>
      </c>
      <c r="D92" s="49">
        <f>AVERAGE('29.07 Kisaasi-Ntinda'!D92,'30.07 Kisaasi-Ntinda'!D92,'31.07 Kisaasi-Ntinda'!D92,'02.08 Kisaasi-Ntinda'!D92,'01.08 Kisaasi-Ntinda-24h'!D92,'03.08 Kisaasi-Ntinda-24h'!D92,'04.08 Kisaasi-Ntinda'!D92)</f>
        <v>1</v>
      </c>
      <c r="E92" s="49">
        <f>AVERAGE('29.07 Kisaasi-Ntinda'!E92,'30.07 Kisaasi-Ntinda'!E92,'31.07 Kisaasi-Ntinda'!E92,'02.08 Kisaasi-Ntinda'!E92,'01.08 Kisaasi-Ntinda-24h'!E92,'03.08 Kisaasi-Ntinda-24h'!E92,'04.08 Kisaasi-Ntinda'!E92)</f>
        <v>1</v>
      </c>
      <c r="F92" s="49">
        <f>AVERAGE('29.07 Kisaasi-Ntinda'!F92,'30.07 Kisaasi-Ntinda'!F92,'31.07 Kisaasi-Ntinda'!F92,'02.08 Kisaasi-Ntinda'!F92,'01.08 Kisaasi-Ntinda-24h'!F92,'03.08 Kisaasi-Ntinda-24h'!F92,'04.08 Kisaasi-Ntinda'!F92)</f>
        <v>0</v>
      </c>
      <c r="G92" s="49">
        <f>AVERAGE('29.07 Kisaasi-Ntinda'!G92,'30.07 Kisaasi-Ntinda'!G92,'31.07 Kisaasi-Ntinda'!G92,'02.08 Kisaasi-Ntinda'!G92,'01.08 Kisaasi-Ntinda-24h'!G92,'03.08 Kisaasi-Ntinda-24h'!G92,'04.08 Kisaasi-Ntinda'!G92)</f>
        <v>0.5</v>
      </c>
      <c r="H92" s="49">
        <f>AVERAGE('29.07 Kisaasi-Ntinda'!H92,'30.07 Kisaasi-Ntinda'!H92,'31.07 Kisaasi-Ntinda'!H92,'02.08 Kisaasi-Ntinda'!H92,'01.08 Kisaasi-Ntinda-24h'!H92,'03.08 Kisaasi-Ntinda-24h'!H92,'04.08 Kisaasi-Ntinda'!H92)</f>
        <v>0</v>
      </c>
      <c r="I92" s="49">
        <f>AVERAGE('29.07 Kisaasi-Ntinda'!I92,'30.07 Kisaasi-Ntinda'!I92,'31.07 Kisaasi-Ntinda'!I92,'02.08 Kisaasi-Ntinda'!I92,'01.08 Kisaasi-Ntinda-24h'!I92,'03.08 Kisaasi-Ntinda-24h'!I92,'04.08 Kisaasi-Ntinda'!I92)</f>
        <v>0</v>
      </c>
      <c r="J92" s="49">
        <f>AVERAGE('29.07 Kisaasi-Ntinda'!J92,'30.07 Kisaasi-Ntinda'!J92,'31.07 Kisaasi-Ntinda'!J92,'02.08 Kisaasi-Ntinda'!J92,'01.08 Kisaasi-Ntinda-24h'!J92,'03.08 Kisaasi-Ntinda-24h'!J92,'04.08 Kisaasi-Ntinda'!J92)</f>
        <v>0.5</v>
      </c>
      <c r="K92" s="49">
        <f>AVERAGE('29.07 Kisaasi-Ntinda'!K92,'30.07 Kisaasi-Ntinda'!K92,'31.07 Kisaasi-Ntinda'!K92,'02.08 Kisaasi-Ntinda'!K92,'01.08 Kisaasi-Ntinda-24h'!K92,'03.08 Kisaasi-Ntinda-24h'!K92,'04.08 Kisaasi-Ntinda'!K92)</f>
        <v>0</v>
      </c>
      <c r="L92" s="49">
        <f>AVERAGE('29.07 Kisaasi-Ntinda'!L92,'30.07 Kisaasi-Ntinda'!L92,'31.07 Kisaasi-Ntinda'!L92,'02.08 Kisaasi-Ntinda'!L92,'01.08 Kisaasi-Ntinda-24h'!L92,'03.08 Kisaasi-Ntinda-24h'!L92,'04.08 Kisaasi-Ntinda'!L92)</f>
        <v>1</v>
      </c>
      <c r="M92" s="49">
        <f>AVERAGE('29.07 Kisaasi-Ntinda'!M92,'30.07 Kisaasi-Ntinda'!M92,'31.07 Kisaasi-Ntinda'!M92,'02.08 Kisaasi-Ntinda'!M92,'01.08 Kisaasi-Ntinda-24h'!M92,'03.08 Kisaasi-Ntinda-24h'!M92,'04.08 Kisaasi-Ntinda'!M92)</f>
        <v>17</v>
      </c>
      <c r="N92" s="49">
        <f>AVERAGE('29.07 Kisaasi-Ntinda'!N92,'30.07 Kisaasi-Ntinda'!N92,'31.07 Kisaasi-Ntinda'!N92,'02.08 Kisaasi-Ntinda'!N92,'01.08 Kisaasi-Ntinda-24h'!N92,'03.08 Kisaasi-Ntinda-24h'!N92,'04.08 Kisaasi-Ntinda'!N92)</f>
        <v>0</v>
      </c>
      <c r="O92" s="49">
        <f>AVERAGE('29.07 Kisaasi-Ntinda'!O92,'30.07 Kisaasi-Ntinda'!O92,'31.07 Kisaasi-Ntinda'!O92,'02.08 Kisaasi-Ntinda'!O92,'01.08 Kisaasi-Ntinda-24h'!O92,'03.08 Kisaasi-Ntinda-24h'!O92,'04.08 Kisaasi-Ntinda'!O92)</f>
        <v>10</v>
      </c>
      <c r="P92" s="49">
        <f>AVERAGE('29.07 Kisaasi-Ntinda'!P92,'30.07 Kisaasi-Ntinda'!P92,'31.07 Kisaasi-Ntinda'!P92,'02.08 Kisaasi-Ntinda'!P92,'01.08 Kisaasi-Ntinda-24h'!P92,'03.08 Kisaasi-Ntinda-24h'!P92,'04.08 Kisaasi-Ntinda'!P92)</f>
        <v>27</v>
      </c>
      <c r="R92" s="8"/>
      <c r="T92"/>
    </row>
    <row r="93" spans="2:20" ht="23.1" customHeight="1" x14ac:dyDescent="0.25">
      <c r="B93" s="23" t="s">
        <v>133</v>
      </c>
      <c r="C93" s="49">
        <f>AVERAGE('01.08 Kisaasi-Ntinda-24h'!C93,'03.08 Kisaasi-Ntinda-24h'!C94)</f>
        <v>2</v>
      </c>
      <c r="D93" s="49">
        <f>AVERAGE('29.07 Kisaasi-Ntinda'!D93,'30.07 Kisaasi-Ntinda'!D93,'31.07 Kisaasi-Ntinda'!D93,'02.08 Kisaasi-Ntinda'!D93,'01.08 Kisaasi-Ntinda-24h'!D93,'03.08 Kisaasi-Ntinda-24h'!D93,'04.08 Kisaasi-Ntinda'!D93)</f>
        <v>0.5</v>
      </c>
      <c r="E93" s="49">
        <f>AVERAGE('29.07 Kisaasi-Ntinda'!E93,'30.07 Kisaasi-Ntinda'!E93,'31.07 Kisaasi-Ntinda'!E93,'02.08 Kisaasi-Ntinda'!E93,'01.08 Kisaasi-Ntinda-24h'!E93,'03.08 Kisaasi-Ntinda-24h'!E93,'04.08 Kisaasi-Ntinda'!E93)</f>
        <v>0.5</v>
      </c>
      <c r="F93" s="49">
        <f>AVERAGE('29.07 Kisaasi-Ntinda'!F93,'30.07 Kisaasi-Ntinda'!F93,'31.07 Kisaasi-Ntinda'!F93,'02.08 Kisaasi-Ntinda'!F93,'01.08 Kisaasi-Ntinda-24h'!F93,'03.08 Kisaasi-Ntinda-24h'!F93,'04.08 Kisaasi-Ntinda'!F93)</f>
        <v>0.5</v>
      </c>
      <c r="G93" s="49">
        <f>AVERAGE('29.07 Kisaasi-Ntinda'!G93,'30.07 Kisaasi-Ntinda'!G93,'31.07 Kisaasi-Ntinda'!G93,'02.08 Kisaasi-Ntinda'!G93,'01.08 Kisaasi-Ntinda-24h'!G93,'03.08 Kisaasi-Ntinda-24h'!G93,'04.08 Kisaasi-Ntinda'!G93)</f>
        <v>0</v>
      </c>
      <c r="H93" s="49">
        <f>AVERAGE('29.07 Kisaasi-Ntinda'!H93,'30.07 Kisaasi-Ntinda'!H93,'31.07 Kisaasi-Ntinda'!H93,'02.08 Kisaasi-Ntinda'!H93,'01.08 Kisaasi-Ntinda-24h'!H93,'03.08 Kisaasi-Ntinda-24h'!H93,'04.08 Kisaasi-Ntinda'!H93)</f>
        <v>0</v>
      </c>
      <c r="I93" s="49">
        <f>AVERAGE('29.07 Kisaasi-Ntinda'!I93,'30.07 Kisaasi-Ntinda'!I93,'31.07 Kisaasi-Ntinda'!I93,'02.08 Kisaasi-Ntinda'!I93,'01.08 Kisaasi-Ntinda-24h'!I93,'03.08 Kisaasi-Ntinda-24h'!I93,'04.08 Kisaasi-Ntinda'!I93)</f>
        <v>0.5</v>
      </c>
      <c r="J93" s="49">
        <f>AVERAGE('29.07 Kisaasi-Ntinda'!J93,'30.07 Kisaasi-Ntinda'!J93,'31.07 Kisaasi-Ntinda'!J93,'02.08 Kisaasi-Ntinda'!J93,'01.08 Kisaasi-Ntinda-24h'!J93,'03.08 Kisaasi-Ntinda-24h'!J93,'04.08 Kisaasi-Ntinda'!J93)</f>
        <v>2</v>
      </c>
      <c r="K93" s="49">
        <f>AVERAGE('29.07 Kisaasi-Ntinda'!K93,'30.07 Kisaasi-Ntinda'!K93,'31.07 Kisaasi-Ntinda'!K93,'02.08 Kisaasi-Ntinda'!K93,'01.08 Kisaasi-Ntinda-24h'!K93,'03.08 Kisaasi-Ntinda-24h'!K93,'04.08 Kisaasi-Ntinda'!K93)</f>
        <v>0.5</v>
      </c>
      <c r="L93" s="49">
        <f>AVERAGE('29.07 Kisaasi-Ntinda'!L93,'30.07 Kisaasi-Ntinda'!L93,'31.07 Kisaasi-Ntinda'!L93,'02.08 Kisaasi-Ntinda'!L93,'01.08 Kisaasi-Ntinda-24h'!L93,'03.08 Kisaasi-Ntinda-24h'!L93,'04.08 Kisaasi-Ntinda'!L93)</f>
        <v>0.5</v>
      </c>
      <c r="M93" s="49">
        <f>AVERAGE('29.07 Kisaasi-Ntinda'!M93,'30.07 Kisaasi-Ntinda'!M93,'31.07 Kisaasi-Ntinda'!M93,'02.08 Kisaasi-Ntinda'!M93,'01.08 Kisaasi-Ntinda-24h'!M93,'03.08 Kisaasi-Ntinda-24h'!M93,'04.08 Kisaasi-Ntinda'!M93)</f>
        <v>9</v>
      </c>
      <c r="N93" s="49">
        <f>AVERAGE('29.07 Kisaasi-Ntinda'!N93,'30.07 Kisaasi-Ntinda'!N93,'31.07 Kisaasi-Ntinda'!N93,'02.08 Kisaasi-Ntinda'!N93,'01.08 Kisaasi-Ntinda-24h'!N93,'03.08 Kisaasi-Ntinda-24h'!N93,'04.08 Kisaasi-Ntinda'!N93)</f>
        <v>0</v>
      </c>
      <c r="O93" s="49">
        <f>AVERAGE('29.07 Kisaasi-Ntinda'!O93,'30.07 Kisaasi-Ntinda'!O93,'31.07 Kisaasi-Ntinda'!O93,'02.08 Kisaasi-Ntinda'!O93,'01.08 Kisaasi-Ntinda-24h'!O93,'03.08 Kisaasi-Ntinda-24h'!O93,'04.08 Kisaasi-Ntinda'!O93)</f>
        <v>11</v>
      </c>
      <c r="P93" s="49">
        <f>AVERAGE('29.07 Kisaasi-Ntinda'!P93,'30.07 Kisaasi-Ntinda'!P93,'31.07 Kisaasi-Ntinda'!P93,'02.08 Kisaasi-Ntinda'!P93,'01.08 Kisaasi-Ntinda-24h'!P93,'03.08 Kisaasi-Ntinda-24h'!P93,'04.08 Kisaasi-Ntinda'!P93)</f>
        <v>20</v>
      </c>
      <c r="R93" s="8"/>
      <c r="T93"/>
    </row>
    <row r="94" spans="2:20" ht="23.1" customHeight="1" x14ac:dyDescent="0.25">
      <c r="B94" s="24" t="s">
        <v>134</v>
      </c>
      <c r="C94" s="49">
        <f>AVERAGE('01.08 Kisaasi-Ntinda-24h'!C94,'03.08 Kisaasi-Ntinda-24h'!C95)</f>
        <v>5</v>
      </c>
      <c r="D94" s="49">
        <f>AVERAGE('29.07 Kisaasi-Ntinda'!D94,'30.07 Kisaasi-Ntinda'!D94,'31.07 Kisaasi-Ntinda'!D94,'02.08 Kisaasi-Ntinda'!D94,'01.08 Kisaasi-Ntinda-24h'!D94,'03.08 Kisaasi-Ntinda-24h'!D94,'04.08 Kisaasi-Ntinda'!D94)</f>
        <v>2.5</v>
      </c>
      <c r="E94" s="49">
        <f>AVERAGE('29.07 Kisaasi-Ntinda'!E94,'30.07 Kisaasi-Ntinda'!E94,'31.07 Kisaasi-Ntinda'!E94,'02.08 Kisaasi-Ntinda'!E94,'01.08 Kisaasi-Ntinda-24h'!E94,'03.08 Kisaasi-Ntinda-24h'!E94,'04.08 Kisaasi-Ntinda'!E94)</f>
        <v>1</v>
      </c>
      <c r="F94" s="49">
        <f>AVERAGE('29.07 Kisaasi-Ntinda'!F94,'30.07 Kisaasi-Ntinda'!F94,'31.07 Kisaasi-Ntinda'!F94,'02.08 Kisaasi-Ntinda'!F94,'01.08 Kisaasi-Ntinda-24h'!F94,'03.08 Kisaasi-Ntinda-24h'!F94,'04.08 Kisaasi-Ntinda'!F94)</f>
        <v>0.5</v>
      </c>
      <c r="G94" s="49">
        <f>AVERAGE('29.07 Kisaasi-Ntinda'!G94,'30.07 Kisaasi-Ntinda'!G94,'31.07 Kisaasi-Ntinda'!G94,'02.08 Kisaasi-Ntinda'!G94,'01.08 Kisaasi-Ntinda-24h'!G94,'03.08 Kisaasi-Ntinda-24h'!G94,'04.08 Kisaasi-Ntinda'!G94)</f>
        <v>0</v>
      </c>
      <c r="H94" s="49">
        <f>AVERAGE('29.07 Kisaasi-Ntinda'!H94,'30.07 Kisaasi-Ntinda'!H94,'31.07 Kisaasi-Ntinda'!H94,'02.08 Kisaasi-Ntinda'!H94,'01.08 Kisaasi-Ntinda-24h'!H94,'03.08 Kisaasi-Ntinda-24h'!H94,'04.08 Kisaasi-Ntinda'!H94)</f>
        <v>0</v>
      </c>
      <c r="I94" s="49">
        <f>AVERAGE('29.07 Kisaasi-Ntinda'!I94,'30.07 Kisaasi-Ntinda'!I94,'31.07 Kisaasi-Ntinda'!I94,'02.08 Kisaasi-Ntinda'!I94,'01.08 Kisaasi-Ntinda-24h'!I94,'03.08 Kisaasi-Ntinda-24h'!I94,'04.08 Kisaasi-Ntinda'!I94)</f>
        <v>0.5</v>
      </c>
      <c r="J94" s="49">
        <f>AVERAGE('29.07 Kisaasi-Ntinda'!J94,'30.07 Kisaasi-Ntinda'!J94,'31.07 Kisaasi-Ntinda'!J94,'02.08 Kisaasi-Ntinda'!J94,'01.08 Kisaasi-Ntinda-24h'!J94,'03.08 Kisaasi-Ntinda-24h'!J94,'04.08 Kisaasi-Ntinda'!J94)</f>
        <v>0</v>
      </c>
      <c r="K94" s="49">
        <f>AVERAGE('29.07 Kisaasi-Ntinda'!K94,'30.07 Kisaasi-Ntinda'!K94,'31.07 Kisaasi-Ntinda'!K94,'02.08 Kisaasi-Ntinda'!K94,'01.08 Kisaasi-Ntinda-24h'!K94,'03.08 Kisaasi-Ntinda-24h'!K94,'04.08 Kisaasi-Ntinda'!K94)</f>
        <v>0</v>
      </c>
      <c r="L94" s="49">
        <f>AVERAGE('29.07 Kisaasi-Ntinda'!L94,'30.07 Kisaasi-Ntinda'!L94,'31.07 Kisaasi-Ntinda'!L94,'02.08 Kisaasi-Ntinda'!L94,'01.08 Kisaasi-Ntinda-24h'!L94,'03.08 Kisaasi-Ntinda-24h'!L94,'04.08 Kisaasi-Ntinda'!L94)</f>
        <v>0.5</v>
      </c>
      <c r="M94" s="49">
        <f>AVERAGE('29.07 Kisaasi-Ntinda'!M94,'30.07 Kisaasi-Ntinda'!M94,'31.07 Kisaasi-Ntinda'!M94,'02.08 Kisaasi-Ntinda'!M94,'01.08 Kisaasi-Ntinda-24h'!M94,'03.08 Kisaasi-Ntinda-24h'!M94,'04.08 Kisaasi-Ntinda'!M94)</f>
        <v>11.5</v>
      </c>
      <c r="N94" s="49">
        <f>AVERAGE('29.07 Kisaasi-Ntinda'!N94,'30.07 Kisaasi-Ntinda'!N94,'31.07 Kisaasi-Ntinda'!N94,'02.08 Kisaasi-Ntinda'!N94,'01.08 Kisaasi-Ntinda-24h'!N94,'03.08 Kisaasi-Ntinda-24h'!N94,'04.08 Kisaasi-Ntinda'!N94)</f>
        <v>0</v>
      </c>
      <c r="O94" s="49">
        <f>AVERAGE('29.07 Kisaasi-Ntinda'!O94,'30.07 Kisaasi-Ntinda'!O94,'31.07 Kisaasi-Ntinda'!O94,'02.08 Kisaasi-Ntinda'!O94,'01.08 Kisaasi-Ntinda-24h'!O94,'03.08 Kisaasi-Ntinda-24h'!O94,'04.08 Kisaasi-Ntinda'!O94)</f>
        <v>7.5</v>
      </c>
      <c r="P94" s="49">
        <f>AVERAGE('29.07 Kisaasi-Ntinda'!P94,'30.07 Kisaasi-Ntinda'!P94,'31.07 Kisaasi-Ntinda'!P94,'02.08 Kisaasi-Ntinda'!P94,'01.08 Kisaasi-Ntinda-24h'!P94,'03.08 Kisaasi-Ntinda-24h'!P94,'04.08 Kisaasi-Ntinda'!P94)</f>
        <v>19</v>
      </c>
      <c r="R94" s="8"/>
      <c r="T94"/>
    </row>
    <row r="95" spans="2:20" ht="23.1" customHeight="1" x14ac:dyDescent="0.25">
      <c r="B95" s="23" t="s">
        <v>135</v>
      </c>
      <c r="C95" s="49">
        <f>AVERAGE('01.08 Kisaasi-Ntinda-24h'!C95,'03.08 Kisaasi-Ntinda-24h'!C96)</f>
        <v>3</v>
      </c>
      <c r="D95" s="49">
        <f>AVERAGE('29.07 Kisaasi-Ntinda'!D95,'30.07 Kisaasi-Ntinda'!D95,'31.07 Kisaasi-Ntinda'!D95,'02.08 Kisaasi-Ntinda'!D95,'01.08 Kisaasi-Ntinda-24h'!D95,'03.08 Kisaasi-Ntinda-24h'!D95,'04.08 Kisaasi-Ntinda'!D95)</f>
        <v>1.5</v>
      </c>
      <c r="E95" s="49">
        <f>AVERAGE('29.07 Kisaasi-Ntinda'!E95,'30.07 Kisaasi-Ntinda'!E95,'31.07 Kisaasi-Ntinda'!E95,'02.08 Kisaasi-Ntinda'!E95,'01.08 Kisaasi-Ntinda-24h'!E95,'03.08 Kisaasi-Ntinda-24h'!E95,'04.08 Kisaasi-Ntinda'!E95)</f>
        <v>0.5</v>
      </c>
      <c r="F95" s="49">
        <f>AVERAGE('29.07 Kisaasi-Ntinda'!F95,'30.07 Kisaasi-Ntinda'!F95,'31.07 Kisaasi-Ntinda'!F95,'02.08 Kisaasi-Ntinda'!F95,'01.08 Kisaasi-Ntinda-24h'!F95,'03.08 Kisaasi-Ntinda-24h'!F95,'04.08 Kisaasi-Ntinda'!F95)</f>
        <v>1.5</v>
      </c>
      <c r="G95" s="49">
        <f>AVERAGE('29.07 Kisaasi-Ntinda'!G95,'30.07 Kisaasi-Ntinda'!G95,'31.07 Kisaasi-Ntinda'!G95,'02.08 Kisaasi-Ntinda'!G95,'01.08 Kisaasi-Ntinda-24h'!G95,'03.08 Kisaasi-Ntinda-24h'!G95,'04.08 Kisaasi-Ntinda'!G95)</f>
        <v>0</v>
      </c>
      <c r="H95" s="49">
        <f>AVERAGE('29.07 Kisaasi-Ntinda'!H95,'30.07 Kisaasi-Ntinda'!H95,'31.07 Kisaasi-Ntinda'!H95,'02.08 Kisaasi-Ntinda'!H95,'01.08 Kisaasi-Ntinda-24h'!H95,'03.08 Kisaasi-Ntinda-24h'!H95,'04.08 Kisaasi-Ntinda'!H95)</f>
        <v>0</v>
      </c>
      <c r="I95" s="49">
        <f>AVERAGE('29.07 Kisaasi-Ntinda'!I95,'30.07 Kisaasi-Ntinda'!I95,'31.07 Kisaasi-Ntinda'!I95,'02.08 Kisaasi-Ntinda'!I95,'01.08 Kisaasi-Ntinda-24h'!I95,'03.08 Kisaasi-Ntinda-24h'!I95,'04.08 Kisaasi-Ntinda'!I95)</f>
        <v>0.5</v>
      </c>
      <c r="J95" s="49">
        <f>AVERAGE('29.07 Kisaasi-Ntinda'!J95,'30.07 Kisaasi-Ntinda'!J95,'31.07 Kisaasi-Ntinda'!J95,'02.08 Kisaasi-Ntinda'!J95,'01.08 Kisaasi-Ntinda-24h'!J95,'03.08 Kisaasi-Ntinda-24h'!J95,'04.08 Kisaasi-Ntinda'!J95)</f>
        <v>0.5</v>
      </c>
      <c r="K95" s="49">
        <f>AVERAGE('29.07 Kisaasi-Ntinda'!K95,'30.07 Kisaasi-Ntinda'!K95,'31.07 Kisaasi-Ntinda'!K95,'02.08 Kisaasi-Ntinda'!K95,'01.08 Kisaasi-Ntinda-24h'!K95,'03.08 Kisaasi-Ntinda-24h'!K95,'04.08 Kisaasi-Ntinda'!K95)</f>
        <v>0</v>
      </c>
      <c r="L95" s="49">
        <f>AVERAGE('29.07 Kisaasi-Ntinda'!L95,'30.07 Kisaasi-Ntinda'!L95,'31.07 Kisaasi-Ntinda'!L95,'02.08 Kisaasi-Ntinda'!L95,'01.08 Kisaasi-Ntinda-24h'!L95,'03.08 Kisaasi-Ntinda-24h'!L95,'04.08 Kisaasi-Ntinda'!L95)</f>
        <v>0</v>
      </c>
      <c r="M95" s="49">
        <f>AVERAGE('29.07 Kisaasi-Ntinda'!M95,'30.07 Kisaasi-Ntinda'!M95,'31.07 Kisaasi-Ntinda'!M95,'02.08 Kisaasi-Ntinda'!M95,'01.08 Kisaasi-Ntinda-24h'!M95,'03.08 Kisaasi-Ntinda-24h'!M95,'04.08 Kisaasi-Ntinda'!M95)</f>
        <v>14.5</v>
      </c>
      <c r="N95" s="49">
        <f>AVERAGE('29.07 Kisaasi-Ntinda'!N95,'30.07 Kisaasi-Ntinda'!N95,'31.07 Kisaasi-Ntinda'!N95,'02.08 Kisaasi-Ntinda'!N95,'01.08 Kisaasi-Ntinda-24h'!N95,'03.08 Kisaasi-Ntinda-24h'!N95,'04.08 Kisaasi-Ntinda'!N95)</f>
        <v>0</v>
      </c>
      <c r="O95" s="49">
        <f>AVERAGE('29.07 Kisaasi-Ntinda'!O95,'30.07 Kisaasi-Ntinda'!O95,'31.07 Kisaasi-Ntinda'!O95,'02.08 Kisaasi-Ntinda'!O95,'01.08 Kisaasi-Ntinda-24h'!O95,'03.08 Kisaasi-Ntinda-24h'!O95,'04.08 Kisaasi-Ntinda'!O95)</f>
        <v>8.5</v>
      </c>
      <c r="P95" s="49">
        <f>AVERAGE('29.07 Kisaasi-Ntinda'!P95,'30.07 Kisaasi-Ntinda'!P95,'31.07 Kisaasi-Ntinda'!P95,'02.08 Kisaasi-Ntinda'!P95,'01.08 Kisaasi-Ntinda-24h'!P95,'03.08 Kisaasi-Ntinda-24h'!P95,'04.08 Kisaasi-Ntinda'!P95)</f>
        <v>23</v>
      </c>
      <c r="R95" s="8"/>
      <c r="T95"/>
    </row>
    <row r="96" spans="2:20" ht="23.1" customHeight="1" x14ac:dyDescent="0.25">
      <c r="B96" s="25" t="s">
        <v>136</v>
      </c>
      <c r="C96" s="49">
        <f>AVERAGE('01.08 Kisaasi-Ntinda-24h'!C96,'03.08 Kisaasi-Ntinda-24h'!C97)</f>
        <v>3.5</v>
      </c>
      <c r="D96" s="49">
        <f>AVERAGE('29.07 Kisaasi-Ntinda'!D96,'30.07 Kisaasi-Ntinda'!D96,'31.07 Kisaasi-Ntinda'!D96,'02.08 Kisaasi-Ntinda'!D96,'01.08 Kisaasi-Ntinda-24h'!D96,'03.08 Kisaasi-Ntinda-24h'!D96,'04.08 Kisaasi-Ntinda'!D96)</f>
        <v>1.5</v>
      </c>
      <c r="E96" s="49">
        <f>AVERAGE('29.07 Kisaasi-Ntinda'!E96,'30.07 Kisaasi-Ntinda'!E96,'31.07 Kisaasi-Ntinda'!E96,'02.08 Kisaasi-Ntinda'!E96,'01.08 Kisaasi-Ntinda-24h'!E96,'03.08 Kisaasi-Ntinda-24h'!E96,'04.08 Kisaasi-Ntinda'!E96)</f>
        <v>0</v>
      </c>
      <c r="F96" s="49">
        <f>AVERAGE('29.07 Kisaasi-Ntinda'!F96,'30.07 Kisaasi-Ntinda'!F96,'31.07 Kisaasi-Ntinda'!F96,'02.08 Kisaasi-Ntinda'!F96,'01.08 Kisaasi-Ntinda-24h'!F96,'03.08 Kisaasi-Ntinda-24h'!F96,'04.08 Kisaasi-Ntinda'!F96)</f>
        <v>0.5</v>
      </c>
      <c r="G96" s="49">
        <f>AVERAGE('29.07 Kisaasi-Ntinda'!G96,'30.07 Kisaasi-Ntinda'!G96,'31.07 Kisaasi-Ntinda'!G96,'02.08 Kisaasi-Ntinda'!G96,'01.08 Kisaasi-Ntinda-24h'!G96,'03.08 Kisaasi-Ntinda-24h'!G96,'04.08 Kisaasi-Ntinda'!G96)</f>
        <v>0</v>
      </c>
      <c r="H96" s="49">
        <f>AVERAGE('29.07 Kisaasi-Ntinda'!H96,'30.07 Kisaasi-Ntinda'!H96,'31.07 Kisaasi-Ntinda'!H96,'02.08 Kisaasi-Ntinda'!H96,'01.08 Kisaasi-Ntinda-24h'!H96,'03.08 Kisaasi-Ntinda-24h'!H96,'04.08 Kisaasi-Ntinda'!H96)</f>
        <v>0</v>
      </c>
      <c r="I96" s="49">
        <f>AVERAGE('29.07 Kisaasi-Ntinda'!I96,'30.07 Kisaasi-Ntinda'!I96,'31.07 Kisaasi-Ntinda'!I96,'02.08 Kisaasi-Ntinda'!I96,'01.08 Kisaasi-Ntinda-24h'!I96,'03.08 Kisaasi-Ntinda-24h'!I96,'04.08 Kisaasi-Ntinda'!I96)</f>
        <v>1.5</v>
      </c>
      <c r="J96" s="49">
        <f>AVERAGE('29.07 Kisaasi-Ntinda'!J96,'30.07 Kisaasi-Ntinda'!J96,'31.07 Kisaasi-Ntinda'!J96,'02.08 Kisaasi-Ntinda'!J96,'01.08 Kisaasi-Ntinda-24h'!J96,'03.08 Kisaasi-Ntinda-24h'!J96,'04.08 Kisaasi-Ntinda'!J96)</f>
        <v>0.5</v>
      </c>
      <c r="K96" s="49">
        <f>AVERAGE('29.07 Kisaasi-Ntinda'!K96,'30.07 Kisaasi-Ntinda'!K96,'31.07 Kisaasi-Ntinda'!K96,'02.08 Kisaasi-Ntinda'!K96,'01.08 Kisaasi-Ntinda-24h'!K96,'03.08 Kisaasi-Ntinda-24h'!K96,'04.08 Kisaasi-Ntinda'!K96)</f>
        <v>1</v>
      </c>
      <c r="L96" s="49">
        <f>AVERAGE('29.07 Kisaasi-Ntinda'!L96,'30.07 Kisaasi-Ntinda'!L96,'31.07 Kisaasi-Ntinda'!L96,'02.08 Kisaasi-Ntinda'!L96,'01.08 Kisaasi-Ntinda-24h'!L96,'03.08 Kisaasi-Ntinda-24h'!L96,'04.08 Kisaasi-Ntinda'!L96)</f>
        <v>0</v>
      </c>
      <c r="M96" s="49">
        <f>AVERAGE('29.07 Kisaasi-Ntinda'!M96,'30.07 Kisaasi-Ntinda'!M96,'31.07 Kisaasi-Ntinda'!M96,'02.08 Kisaasi-Ntinda'!M96,'01.08 Kisaasi-Ntinda-24h'!M96,'03.08 Kisaasi-Ntinda-24h'!M96,'04.08 Kisaasi-Ntinda'!M96)</f>
        <v>7</v>
      </c>
      <c r="N96" s="49">
        <f>AVERAGE('29.07 Kisaasi-Ntinda'!N96,'30.07 Kisaasi-Ntinda'!N96,'31.07 Kisaasi-Ntinda'!N96,'02.08 Kisaasi-Ntinda'!N96,'01.08 Kisaasi-Ntinda-24h'!N96,'03.08 Kisaasi-Ntinda-24h'!N96,'04.08 Kisaasi-Ntinda'!N96)</f>
        <v>0</v>
      </c>
      <c r="O96" s="49">
        <f>AVERAGE('29.07 Kisaasi-Ntinda'!O96,'30.07 Kisaasi-Ntinda'!O96,'31.07 Kisaasi-Ntinda'!O96,'02.08 Kisaasi-Ntinda'!O96,'01.08 Kisaasi-Ntinda-24h'!O96,'03.08 Kisaasi-Ntinda-24h'!O96,'04.08 Kisaasi-Ntinda'!O96)</f>
        <v>9</v>
      </c>
      <c r="P96" s="49">
        <f>AVERAGE('29.07 Kisaasi-Ntinda'!P96,'30.07 Kisaasi-Ntinda'!P96,'31.07 Kisaasi-Ntinda'!P96,'02.08 Kisaasi-Ntinda'!P96,'01.08 Kisaasi-Ntinda-24h'!P96,'03.08 Kisaasi-Ntinda-24h'!P96,'04.08 Kisaasi-Ntinda'!P96)</f>
        <v>16</v>
      </c>
      <c r="R96" s="8"/>
      <c r="T96"/>
    </row>
    <row r="97" spans="2:20" ht="23.1" customHeight="1" x14ac:dyDescent="0.25">
      <c r="B97" s="23" t="s">
        <v>137</v>
      </c>
      <c r="C97" s="49">
        <f>AVERAGE('01.08 Kisaasi-Ntinda-24h'!C97,'03.08 Kisaasi-Ntinda-24h'!C98)</f>
        <v>4.5</v>
      </c>
      <c r="D97" s="49">
        <f>AVERAGE('29.07 Kisaasi-Ntinda'!D97,'30.07 Kisaasi-Ntinda'!D97,'31.07 Kisaasi-Ntinda'!D97,'02.08 Kisaasi-Ntinda'!D97,'01.08 Kisaasi-Ntinda-24h'!D97,'03.08 Kisaasi-Ntinda-24h'!D97,'04.08 Kisaasi-Ntinda'!D97)</f>
        <v>1.5</v>
      </c>
      <c r="E97" s="49">
        <f>AVERAGE('29.07 Kisaasi-Ntinda'!E97,'30.07 Kisaasi-Ntinda'!E97,'31.07 Kisaasi-Ntinda'!E97,'02.08 Kisaasi-Ntinda'!E97,'01.08 Kisaasi-Ntinda-24h'!E97,'03.08 Kisaasi-Ntinda-24h'!E97,'04.08 Kisaasi-Ntinda'!E97)</f>
        <v>0.5</v>
      </c>
      <c r="F97" s="49">
        <f>AVERAGE('29.07 Kisaasi-Ntinda'!F97,'30.07 Kisaasi-Ntinda'!F97,'31.07 Kisaasi-Ntinda'!F97,'02.08 Kisaasi-Ntinda'!F97,'01.08 Kisaasi-Ntinda-24h'!F97,'03.08 Kisaasi-Ntinda-24h'!F97,'04.08 Kisaasi-Ntinda'!F97)</f>
        <v>2</v>
      </c>
      <c r="G97" s="49">
        <f>AVERAGE('29.07 Kisaasi-Ntinda'!G97,'30.07 Kisaasi-Ntinda'!G97,'31.07 Kisaasi-Ntinda'!G97,'02.08 Kisaasi-Ntinda'!G97,'01.08 Kisaasi-Ntinda-24h'!G97,'03.08 Kisaasi-Ntinda-24h'!G97,'04.08 Kisaasi-Ntinda'!G97)</f>
        <v>0</v>
      </c>
      <c r="H97" s="49">
        <f>AVERAGE('29.07 Kisaasi-Ntinda'!H97,'30.07 Kisaasi-Ntinda'!H97,'31.07 Kisaasi-Ntinda'!H97,'02.08 Kisaasi-Ntinda'!H97,'01.08 Kisaasi-Ntinda-24h'!H97,'03.08 Kisaasi-Ntinda-24h'!H97,'04.08 Kisaasi-Ntinda'!H97)</f>
        <v>0</v>
      </c>
      <c r="I97" s="49">
        <f>AVERAGE('29.07 Kisaasi-Ntinda'!I97,'30.07 Kisaasi-Ntinda'!I97,'31.07 Kisaasi-Ntinda'!I97,'02.08 Kisaasi-Ntinda'!I97,'01.08 Kisaasi-Ntinda-24h'!I97,'03.08 Kisaasi-Ntinda-24h'!I97,'04.08 Kisaasi-Ntinda'!I97)</f>
        <v>0.5</v>
      </c>
      <c r="J97" s="49">
        <f>AVERAGE('29.07 Kisaasi-Ntinda'!J97,'30.07 Kisaasi-Ntinda'!J97,'31.07 Kisaasi-Ntinda'!J97,'02.08 Kisaasi-Ntinda'!J97,'01.08 Kisaasi-Ntinda-24h'!J97,'03.08 Kisaasi-Ntinda-24h'!J97,'04.08 Kisaasi-Ntinda'!J97)</f>
        <v>0</v>
      </c>
      <c r="K97" s="49">
        <f>AVERAGE('29.07 Kisaasi-Ntinda'!K97,'30.07 Kisaasi-Ntinda'!K97,'31.07 Kisaasi-Ntinda'!K97,'02.08 Kisaasi-Ntinda'!K97,'01.08 Kisaasi-Ntinda-24h'!K97,'03.08 Kisaasi-Ntinda-24h'!K97,'04.08 Kisaasi-Ntinda'!K97)</f>
        <v>0</v>
      </c>
      <c r="L97" s="49">
        <f>AVERAGE('29.07 Kisaasi-Ntinda'!L97,'30.07 Kisaasi-Ntinda'!L97,'31.07 Kisaasi-Ntinda'!L97,'02.08 Kisaasi-Ntinda'!L97,'01.08 Kisaasi-Ntinda-24h'!L97,'03.08 Kisaasi-Ntinda-24h'!L97,'04.08 Kisaasi-Ntinda'!L97)</f>
        <v>0.5</v>
      </c>
      <c r="M97" s="49">
        <f>AVERAGE('29.07 Kisaasi-Ntinda'!M97,'30.07 Kisaasi-Ntinda'!M97,'31.07 Kisaasi-Ntinda'!M97,'02.08 Kisaasi-Ntinda'!M97,'01.08 Kisaasi-Ntinda-24h'!M97,'03.08 Kisaasi-Ntinda-24h'!M97,'04.08 Kisaasi-Ntinda'!M97)</f>
        <v>10.5</v>
      </c>
      <c r="N97" s="49">
        <f>AVERAGE('29.07 Kisaasi-Ntinda'!N97,'30.07 Kisaasi-Ntinda'!N97,'31.07 Kisaasi-Ntinda'!N97,'02.08 Kisaasi-Ntinda'!N97,'01.08 Kisaasi-Ntinda-24h'!N97,'03.08 Kisaasi-Ntinda-24h'!N97,'04.08 Kisaasi-Ntinda'!N97)</f>
        <v>0</v>
      </c>
      <c r="O97" s="49">
        <f>AVERAGE('29.07 Kisaasi-Ntinda'!O97,'30.07 Kisaasi-Ntinda'!O97,'31.07 Kisaasi-Ntinda'!O97,'02.08 Kisaasi-Ntinda'!O97,'01.08 Kisaasi-Ntinda-24h'!O97,'03.08 Kisaasi-Ntinda-24h'!O97,'04.08 Kisaasi-Ntinda'!O97)</f>
        <v>9</v>
      </c>
      <c r="P97" s="49">
        <f>AVERAGE('29.07 Kisaasi-Ntinda'!P97,'30.07 Kisaasi-Ntinda'!P97,'31.07 Kisaasi-Ntinda'!P97,'02.08 Kisaasi-Ntinda'!P97,'01.08 Kisaasi-Ntinda-24h'!P97,'03.08 Kisaasi-Ntinda-24h'!P97,'04.08 Kisaasi-Ntinda'!P97)</f>
        <v>19.5</v>
      </c>
      <c r="R97" s="8"/>
      <c r="T97"/>
    </row>
    <row r="98" spans="2:20" ht="23.1" customHeight="1" x14ac:dyDescent="0.25">
      <c r="B98" s="24" t="s">
        <v>138</v>
      </c>
      <c r="C98" s="49">
        <f>AVERAGE('01.08 Kisaasi-Ntinda-24h'!C98,'03.08 Kisaasi-Ntinda-24h'!C99)</f>
        <v>5.5</v>
      </c>
      <c r="D98" s="49">
        <f>AVERAGE('29.07 Kisaasi-Ntinda'!D98,'30.07 Kisaasi-Ntinda'!D98,'31.07 Kisaasi-Ntinda'!D98,'02.08 Kisaasi-Ntinda'!D98,'01.08 Kisaasi-Ntinda-24h'!D98,'03.08 Kisaasi-Ntinda-24h'!D98,'04.08 Kisaasi-Ntinda'!D98)</f>
        <v>3</v>
      </c>
      <c r="E98" s="49">
        <f>AVERAGE('29.07 Kisaasi-Ntinda'!E98,'30.07 Kisaasi-Ntinda'!E98,'31.07 Kisaasi-Ntinda'!E98,'02.08 Kisaasi-Ntinda'!E98,'01.08 Kisaasi-Ntinda-24h'!E98,'03.08 Kisaasi-Ntinda-24h'!E98,'04.08 Kisaasi-Ntinda'!E98)</f>
        <v>0</v>
      </c>
      <c r="F98" s="49">
        <f>AVERAGE('29.07 Kisaasi-Ntinda'!F98,'30.07 Kisaasi-Ntinda'!F98,'31.07 Kisaasi-Ntinda'!F98,'02.08 Kisaasi-Ntinda'!F98,'01.08 Kisaasi-Ntinda-24h'!F98,'03.08 Kisaasi-Ntinda-24h'!F98,'04.08 Kisaasi-Ntinda'!F98)</f>
        <v>1</v>
      </c>
      <c r="G98" s="49">
        <f>AVERAGE('29.07 Kisaasi-Ntinda'!G98,'30.07 Kisaasi-Ntinda'!G98,'31.07 Kisaasi-Ntinda'!G98,'02.08 Kisaasi-Ntinda'!G98,'01.08 Kisaasi-Ntinda-24h'!G98,'03.08 Kisaasi-Ntinda-24h'!G98,'04.08 Kisaasi-Ntinda'!G98)</f>
        <v>0</v>
      </c>
      <c r="H98" s="49">
        <f>AVERAGE('29.07 Kisaasi-Ntinda'!H98,'30.07 Kisaasi-Ntinda'!H98,'31.07 Kisaasi-Ntinda'!H98,'02.08 Kisaasi-Ntinda'!H98,'01.08 Kisaasi-Ntinda-24h'!H98,'03.08 Kisaasi-Ntinda-24h'!H98,'04.08 Kisaasi-Ntinda'!H98)</f>
        <v>0</v>
      </c>
      <c r="I98" s="49">
        <f>AVERAGE('29.07 Kisaasi-Ntinda'!I98,'30.07 Kisaasi-Ntinda'!I98,'31.07 Kisaasi-Ntinda'!I98,'02.08 Kisaasi-Ntinda'!I98,'01.08 Kisaasi-Ntinda-24h'!I98,'03.08 Kisaasi-Ntinda-24h'!I98,'04.08 Kisaasi-Ntinda'!I98)</f>
        <v>0.5</v>
      </c>
      <c r="J98" s="49">
        <f>AVERAGE('29.07 Kisaasi-Ntinda'!J98,'30.07 Kisaasi-Ntinda'!J98,'31.07 Kisaasi-Ntinda'!J98,'02.08 Kisaasi-Ntinda'!J98,'01.08 Kisaasi-Ntinda-24h'!J98,'03.08 Kisaasi-Ntinda-24h'!J98,'04.08 Kisaasi-Ntinda'!J98)</f>
        <v>0</v>
      </c>
      <c r="K98" s="49">
        <f>AVERAGE('29.07 Kisaasi-Ntinda'!K98,'30.07 Kisaasi-Ntinda'!K98,'31.07 Kisaasi-Ntinda'!K98,'02.08 Kisaasi-Ntinda'!K98,'01.08 Kisaasi-Ntinda-24h'!K98,'03.08 Kisaasi-Ntinda-24h'!K98,'04.08 Kisaasi-Ntinda'!K98)</f>
        <v>0.5</v>
      </c>
      <c r="L98" s="49">
        <f>AVERAGE('29.07 Kisaasi-Ntinda'!L98,'30.07 Kisaasi-Ntinda'!L98,'31.07 Kisaasi-Ntinda'!L98,'02.08 Kisaasi-Ntinda'!L98,'01.08 Kisaasi-Ntinda-24h'!L98,'03.08 Kisaasi-Ntinda-24h'!L98,'04.08 Kisaasi-Ntinda'!L98)</f>
        <v>0</v>
      </c>
      <c r="M98" s="49">
        <f>AVERAGE('29.07 Kisaasi-Ntinda'!M98,'30.07 Kisaasi-Ntinda'!M98,'31.07 Kisaasi-Ntinda'!M98,'02.08 Kisaasi-Ntinda'!M98,'01.08 Kisaasi-Ntinda-24h'!M98,'03.08 Kisaasi-Ntinda-24h'!M98,'04.08 Kisaasi-Ntinda'!M98)</f>
        <v>8.5</v>
      </c>
      <c r="N98" s="49">
        <f>AVERAGE('29.07 Kisaasi-Ntinda'!N98,'30.07 Kisaasi-Ntinda'!N98,'31.07 Kisaasi-Ntinda'!N98,'02.08 Kisaasi-Ntinda'!N98,'01.08 Kisaasi-Ntinda-24h'!N98,'03.08 Kisaasi-Ntinda-24h'!N98,'04.08 Kisaasi-Ntinda'!N98)</f>
        <v>0</v>
      </c>
      <c r="O98" s="49">
        <f>AVERAGE('29.07 Kisaasi-Ntinda'!O98,'30.07 Kisaasi-Ntinda'!O98,'31.07 Kisaasi-Ntinda'!O98,'02.08 Kisaasi-Ntinda'!O98,'01.08 Kisaasi-Ntinda-24h'!O98,'03.08 Kisaasi-Ntinda-24h'!O98,'04.08 Kisaasi-Ntinda'!O98)</f>
        <v>9.5</v>
      </c>
      <c r="P98" s="49">
        <f>AVERAGE('29.07 Kisaasi-Ntinda'!P98,'30.07 Kisaasi-Ntinda'!P98,'31.07 Kisaasi-Ntinda'!P98,'02.08 Kisaasi-Ntinda'!P98,'01.08 Kisaasi-Ntinda-24h'!P98,'03.08 Kisaasi-Ntinda-24h'!P98,'04.08 Kisaasi-Ntinda'!P98)</f>
        <v>18</v>
      </c>
      <c r="R98" s="8"/>
      <c r="T98"/>
    </row>
    <row r="99" spans="2:20" ht="23.1" customHeight="1" x14ac:dyDescent="0.25">
      <c r="B99" s="23" t="s">
        <v>139</v>
      </c>
      <c r="C99" s="49">
        <f>AVERAGE('01.08 Kisaasi-Ntinda-24h'!C99,'03.08 Kisaasi-Ntinda-24h'!C100)</f>
        <v>4</v>
      </c>
      <c r="D99" s="49">
        <f>AVERAGE('29.07 Kisaasi-Ntinda'!D99,'30.07 Kisaasi-Ntinda'!D99,'31.07 Kisaasi-Ntinda'!D99,'02.08 Kisaasi-Ntinda'!D99,'01.08 Kisaasi-Ntinda-24h'!D99,'03.08 Kisaasi-Ntinda-24h'!D99,'04.08 Kisaasi-Ntinda'!D99)</f>
        <v>3</v>
      </c>
      <c r="E99" s="49">
        <f>AVERAGE('29.07 Kisaasi-Ntinda'!E99,'30.07 Kisaasi-Ntinda'!E99,'31.07 Kisaasi-Ntinda'!E99,'02.08 Kisaasi-Ntinda'!E99,'01.08 Kisaasi-Ntinda-24h'!E99,'03.08 Kisaasi-Ntinda-24h'!E99,'04.08 Kisaasi-Ntinda'!E99)</f>
        <v>1.5</v>
      </c>
      <c r="F99" s="49">
        <f>AVERAGE('29.07 Kisaasi-Ntinda'!F99,'30.07 Kisaasi-Ntinda'!F99,'31.07 Kisaasi-Ntinda'!F99,'02.08 Kisaasi-Ntinda'!F99,'01.08 Kisaasi-Ntinda-24h'!F99,'03.08 Kisaasi-Ntinda-24h'!F99,'04.08 Kisaasi-Ntinda'!F99)</f>
        <v>3</v>
      </c>
      <c r="G99" s="49">
        <f>AVERAGE('29.07 Kisaasi-Ntinda'!G99,'30.07 Kisaasi-Ntinda'!G99,'31.07 Kisaasi-Ntinda'!G99,'02.08 Kisaasi-Ntinda'!G99,'01.08 Kisaasi-Ntinda-24h'!G99,'03.08 Kisaasi-Ntinda-24h'!G99,'04.08 Kisaasi-Ntinda'!G99)</f>
        <v>0</v>
      </c>
      <c r="H99" s="49">
        <f>AVERAGE('29.07 Kisaasi-Ntinda'!H99,'30.07 Kisaasi-Ntinda'!H99,'31.07 Kisaasi-Ntinda'!H99,'02.08 Kisaasi-Ntinda'!H99,'01.08 Kisaasi-Ntinda-24h'!H99,'03.08 Kisaasi-Ntinda-24h'!H99,'04.08 Kisaasi-Ntinda'!H99)</f>
        <v>0</v>
      </c>
      <c r="I99" s="49">
        <f>AVERAGE('29.07 Kisaasi-Ntinda'!I99,'30.07 Kisaasi-Ntinda'!I99,'31.07 Kisaasi-Ntinda'!I99,'02.08 Kisaasi-Ntinda'!I99,'01.08 Kisaasi-Ntinda-24h'!I99,'03.08 Kisaasi-Ntinda-24h'!I99,'04.08 Kisaasi-Ntinda'!I99)</f>
        <v>1</v>
      </c>
      <c r="J99" s="49">
        <f>AVERAGE('29.07 Kisaasi-Ntinda'!J99,'30.07 Kisaasi-Ntinda'!J99,'31.07 Kisaasi-Ntinda'!J99,'02.08 Kisaasi-Ntinda'!J99,'01.08 Kisaasi-Ntinda-24h'!J99,'03.08 Kisaasi-Ntinda-24h'!J99,'04.08 Kisaasi-Ntinda'!J99)</f>
        <v>1</v>
      </c>
      <c r="K99" s="49">
        <f>AVERAGE('29.07 Kisaasi-Ntinda'!K99,'30.07 Kisaasi-Ntinda'!K99,'31.07 Kisaasi-Ntinda'!K99,'02.08 Kisaasi-Ntinda'!K99,'01.08 Kisaasi-Ntinda-24h'!K99,'03.08 Kisaasi-Ntinda-24h'!K99,'04.08 Kisaasi-Ntinda'!K99)</f>
        <v>0</v>
      </c>
      <c r="L99" s="49">
        <f>AVERAGE('29.07 Kisaasi-Ntinda'!L99,'30.07 Kisaasi-Ntinda'!L99,'31.07 Kisaasi-Ntinda'!L99,'02.08 Kisaasi-Ntinda'!L99,'01.08 Kisaasi-Ntinda-24h'!L99,'03.08 Kisaasi-Ntinda-24h'!L99,'04.08 Kisaasi-Ntinda'!L99)</f>
        <v>0</v>
      </c>
      <c r="M99" s="49">
        <f>AVERAGE('29.07 Kisaasi-Ntinda'!M99,'30.07 Kisaasi-Ntinda'!M99,'31.07 Kisaasi-Ntinda'!M99,'02.08 Kisaasi-Ntinda'!M99,'01.08 Kisaasi-Ntinda-24h'!M99,'03.08 Kisaasi-Ntinda-24h'!M99,'04.08 Kisaasi-Ntinda'!M99)</f>
        <v>14</v>
      </c>
      <c r="N99" s="49">
        <f>AVERAGE('29.07 Kisaasi-Ntinda'!N99,'30.07 Kisaasi-Ntinda'!N99,'31.07 Kisaasi-Ntinda'!N99,'02.08 Kisaasi-Ntinda'!N99,'01.08 Kisaasi-Ntinda-24h'!N99,'03.08 Kisaasi-Ntinda-24h'!N99,'04.08 Kisaasi-Ntinda'!N99)</f>
        <v>0</v>
      </c>
      <c r="O99" s="49">
        <f>AVERAGE('29.07 Kisaasi-Ntinda'!O99,'30.07 Kisaasi-Ntinda'!O99,'31.07 Kisaasi-Ntinda'!O99,'02.08 Kisaasi-Ntinda'!O99,'01.08 Kisaasi-Ntinda-24h'!O99,'03.08 Kisaasi-Ntinda-24h'!O99,'04.08 Kisaasi-Ntinda'!O99)</f>
        <v>15.5</v>
      </c>
      <c r="P99" s="49">
        <f>AVERAGE('29.07 Kisaasi-Ntinda'!P99,'30.07 Kisaasi-Ntinda'!P99,'31.07 Kisaasi-Ntinda'!P99,'02.08 Kisaasi-Ntinda'!P99,'01.08 Kisaasi-Ntinda-24h'!P99,'03.08 Kisaasi-Ntinda-24h'!P99,'04.08 Kisaasi-Ntinda'!P99)</f>
        <v>29.5</v>
      </c>
      <c r="R99" s="8"/>
      <c r="T99"/>
    </row>
    <row r="100" spans="2:20" ht="23.1" customHeight="1" x14ac:dyDescent="0.25">
      <c r="B100" s="25" t="s">
        <v>140</v>
      </c>
      <c r="C100" s="49">
        <f>AVERAGE('01.08 Kisaasi-Ntinda-24h'!C100,'03.08 Kisaasi-Ntinda-24h'!C101)</f>
        <v>7.5</v>
      </c>
      <c r="D100" s="49">
        <f>AVERAGE('29.07 Kisaasi-Ntinda'!D100,'30.07 Kisaasi-Ntinda'!D100,'31.07 Kisaasi-Ntinda'!D100,'02.08 Kisaasi-Ntinda'!D100,'01.08 Kisaasi-Ntinda-24h'!D100,'03.08 Kisaasi-Ntinda-24h'!D100,'04.08 Kisaasi-Ntinda'!D100)</f>
        <v>2</v>
      </c>
      <c r="E100" s="49">
        <f>AVERAGE('29.07 Kisaasi-Ntinda'!E100,'30.07 Kisaasi-Ntinda'!E100,'31.07 Kisaasi-Ntinda'!E100,'02.08 Kisaasi-Ntinda'!E100,'01.08 Kisaasi-Ntinda-24h'!E100,'03.08 Kisaasi-Ntinda-24h'!E100,'04.08 Kisaasi-Ntinda'!E100)</f>
        <v>0</v>
      </c>
      <c r="F100" s="49">
        <f>AVERAGE('29.07 Kisaasi-Ntinda'!F100,'30.07 Kisaasi-Ntinda'!F100,'31.07 Kisaasi-Ntinda'!F100,'02.08 Kisaasi-Ntinda'!F100,'01.08 Kisaasi-Ntinda-24h'!F100,'03.08 Kisaasi-Ntinda-24h'!F100,'04.08 Kisaasi-Ntinda'!F100)</f>
        <v>4</v>
      </c>
      <c r="G100" s="49">
        <f>AVERAGE('29.07 Kisaasi-Ntinda'!G100,'30.07 Kisaasi-Ntinda'!G100,'31.07 Kisaasi-Ntinda'!G100,'02.08 Kisaasi-Ntinda'!G100,'01.08 Kisaasi-Ntinda-24h'!G100,'03.08 Kisaasi-Ntinda-24h'!G100,'04.08 Kisaasi-Ntinda'!G100)</f>
        <v>0.5</v>
      </c>
      <c r="H100" s="49">
        <f>AVERAGE('29.07 Kisaasi-Ntinda'!H100,'30.07 Kisaasi-Ntinda'!H100,'31.07 Kisaasi-Ntinda'!H100,'02.08 Kisaasi-Ntinda'!H100,'01.08 Kisaasi-Ntinda-24h'!H100,'03.08 Kisaasi-Ntinda-24h'!H100,'04.08 Kisaasi-Ntinda'!H100)</f>
        <v>0</v>
      </c>
      <c r="I100" s="49">
        <f>AVERAGE('29.07 Kisaasi-Ntinda'!I100,'30.07 Kisaasi-Ntinda'!I100,'31.07 Kisaasi-Ntinda'!I100,'02.08 Kisaasi-Ntinda'!I100,'01.08 Kisaasi-Ntinda-24h'!I100,'03.08 Kisaasi-Ntinda-24h'!I100,'04.08 Kisaasi-Ntinda'!I100)</f>
        <v>1.5</v>
      </c>
      <c r="J100" s="49">
        <f>AVERAGE('29.07 Kisaasi-Ntinda'!J100,'30.07 Kisaasi-Ntinda'!J100,'31.07 Kisaasi-Ntinda'!J100,'02.08 Kisaasi-Ntinda'!J100,'01.08 Kisaasi-Ntinda-24h'!J100,'03.08 Kisaasi-Ntinda-24h'!J100,'04.08 Kisaasi-Ntinda'!J100)</f>
        <v>1</v>
      </c>
      <c r="K100" s="49">
        <f>AVERAGE('29.07 Kisaasi-Ntinda'!K100,'30.07 Kisaasi-Ntinda'!K100,'31.07 Kisaasi-Ntinda'!K100,'02.08 Kisaasi-Ntinda'!K100,'01.08 Kisaasi-Ntinda-24h'!K100,'03.08 Kisaasi-Ntinda-24h'!K100,'04.08 Kisaasi-Ntinda'!K100)</f>
        <v>0</v>
      </c>
      <c r="L100" s="49">
        <f>AVERAGE('29.07 Kisaasi-Ntinda'!L100,'30.07 Kisaasi-Ntinda'!L100,'31.07 Kisaasi-Ntinda'!L100,'02.08 Kisaasi-Ntinda'!L100,'01.08 Kisaasi-Ntinda-24h'!L100,'03.08 Kisaasi-Ntinda-24h'!L100,'04.08 Kisaasi-Ntinda'!L100)</f>
        <v>0</v>
      </c>
      <c r="M100" s="49">
        <f>AVERAGE('29.07 Kisaasi-Ntinda'!M100,'30.07 Kisaasi-Ntinda'!M100,'31.07 Kisaasi-Ntinda'!M100,'02.08 Kisaasi-Ntinda'!M100,'01.08 Kisaasi-Ntinda-24h'!M100,'03.08 Kisaasi-Ntinda-24h'!M100,'04.08 Kisaasi-Ntinda'!M100)</f>
        <v>12.5</v>
      </c>
      <c r="N100" s="49">
        <f>AVERAGE('29.07 Kisaasi-Ntinda'!N100,'30.07 Kisaasi-Ntinda'!N100,'31.07 Kisaasi-Ntinda'!N100,'02.08 Kisaasi-Ntinda'!N100,'01.08 Kisaasi-Ntinda-24h'!N100,'03.08 Kisaasi-Ntinda-24h'!N100,'04.08 Kisaasi-Ntinda'!N100)</f>
        <v>0</v>
      </c>
      <c r="O100" s="49">
        <f>AVERAGE('29.07 Kisaasi-Ntinda'!O100,'30.07 Kisaasi-Ntinda'!O100,'31.07 Kisaasi-Ntinda'!O100,'02.08 Kisaasi-Ntinda'!O100,'01.08 Kisaasi-Ntinda-24h'!O100,'03.08 Kisaasi-Ntinda-24h'!O100,'04.08 Kisaasi-Ntinda'!O100)</f>
        <v>13</v>
      </c>
      <c r="P100" s="49">
        <f>AVERAGE('29.07 Kisaasi-Ntinda'!P100,'30.07 Kisaasi-Ntinda'!P100,'31.07 Kisaasi-Ntinda'!P100,'02.08 Kisaasi-Ntinda'!P100,'01.08 Kisaasi-Ntinda-24h'!P100,'03.08 Kisaasi-Ntinda-24h'!P100,'04.08 Kisaasi-Ntinda'!P100)</f>
        <v>25.5</v>
      </c>
      <c r="R100" s="8"/>
      <c r="T100"/>
    </row>
    <row r="101" spans="2:20" ht="23.1" customHeight="1" x14ac:dyDescent="0.25">
      <c r="B101" s="23" t="s">
        <v>141</v>
      </c>
      <c r="C101" s="49">
        <f>AVERAGE('01.08 Kisaasi-Ntinda-24h'!C101,'03.08 Kisaasi-Ntinda-24h'!C102)</f>
        <v>11</v>
      </c>
      <c r="D101" s="49">
        <f>AVERAGE('29.07 Kisaasi-Ntinda'!D101,'30.07 Kisaasi-Ntinda'!D101,'31.07 Kisaasi-Ntinda'!D101,'02.08 Kisaasi-Ntinda'!D101,'01.08 Kisaasi-Ntinda-24h'!D101,'03.08 Kisaasi-Ntinda-24h'!D101,'04.08 Kisaasi-Ntinda'!D101)</f>
        <v>6.5</v>
      </c>
      <c r="E101" s="49">
        <f>AVERAGE('29.07 Kisaasi-Ntinda'!E101,'30.07 Kisaasi-Ntinda'!E101,'31.07 Kisaasi-Ntinda'!E101,'02.08 Kisaasi-Ntinda'!E101,'01.08 Kisaasi-Ntinda-24h'!E101,'03.08 Kisaasi-Ntinda-24h'!E101,'04.08 Kisaasi-Ntinda'!E101)</f>
        <v>1</v>
      </c>
      <c r="F101" s="49">
        <f>AVERAGE('29.07 Kisaasi-Ntinda'!F101,'30.07 Kisaasi-Ntinda'!F101,'31.07 Kisaasi-Ntinda'!F101,'02.08 Kisaasi-Ntinda'!F101,'01.08 Kisaasi-Ntinda-24h'!F101,'03.08 Kisaasi-Ntinda-24h'!F101,'04.08 Kisaasi-Ntinda'!F101)</f>
        <v>4</v>
      </c>
      <c r="G101" s="49">
        <f>AVERAGE('29.07 Kisaasi-Ntinda'!G101,'30.07 Kisaasi-Ntinda'!G101,'31.07 Kisaasi-Ntinda'!G101,'02.08 Kisaasi-Ntinda'!G101,'01.08 Kisaasi-Ntinda-24h'!G101,'03.08 Kisaasi-Ntinda-24h'!G101,'04.08 Kisaasi-Ntinda'!G101)</f>
        <v>0.5</v>
      </c>
      <c r="H101" s="49">
        <f>AVERAGE('29.07 Kisaasi-Ntinda'!H101,'30.07 Kisaasi-Ntinda'!H101,'31.07 Kisaasi-Ntinda'!H101,'02.08 Kisaasi-Ntinda'!H101,'01.08 Kisaasi-Ntinda-24h'!H101,'03.08 Kisaasi-Ntinda-24h'!H101,'04.08 Kisaasi-Ntinda'!H101)</f>
        <v>0</v>
      </c>
      <c r="I101" s="49">
        <f>AVERAGE('29.07 Kisaasi-Ntinda'!I101,'30.07 Kisaasi-Ntinda'!I101,'31.07 Kisaasi-Ntinda'!I101,'02.08 Kisaasi-Ntinda'!I101,'01.08 Kisaasi-Ntinda-24h'!I101,'03.08 Kisaasi-Ntinda-24h'!I101,'04.08 Kisaasi-Ntinda'!I101)</f>
        <v>1.5</v>
      </c>
      <c r="J101" s="49">
        <f>AVERAGE('29.07 Kisaasi-Ntinda'!J101,'30.07 Kisaasi-Ntinda'!J101,'31.07 Kisaasi-Ntinda'!J101,'02.08 Kisaasi-Ntinda'!J101,'01.08 Kisaasi-Ntinda-24h'!J101,'03.08 Kisaasi-Ntinda-24h'!J101,'04.08 Kisaasi-Ntinda'!J101)</f>
        <v>0.5</v>
      </c>
      <c r="K101" s="49">
        <f>AVERAGE('29.07 Kisaasi-Ntinda'!K101,'30.07 Kisaasi-Ntinda'!K101,'31.07 Kisaasi-Ntinda'!K101,'02.08 Kisaasi-Ntinda'!K101,'01.08 Kisaasi-Ntinda-24h'!K101,'03.08 Kisaasi-Ntinda-24h'!K101,'04.08 Kisaasi-Ntinda'!K101)</f>
        <v>0.5</v>
      </c>
      <c r="L101" s="49">
        <f>AVERAGE('29.07 Kisaasi-Ntinda'!L101,'30.07 Kisaasi-Ntinda'!L101,'31.07 Kisaasi-Ntinda'!L101,'02.08 Kisaasi-Ntinda'!L101,'01.08 Kisaasi-Ntinda-24h'!L101,'03.08 Kisaasi-Ntinda-24h'!L101,'04.08 Kisaasi-Ntinda'!L101)</f>
        <v>0</v>
      </c>
      <c r="M101" s="49">
        <f>AVERAGE('29.07 Kisaasi-Ntinda'!M101,'30.07 Kisaasi-Ntinda'!M101,'31.07 Kisaasi-Ntinda'!M101,'02.08 Kisaasi-Ntinda'!M101,'01.08 Kisaasi-Ntinda-24h'!M101,'03.08 Kisaasi-Ntinda-24h'!M101,'04.08 Kisaasi-Ntinda'!M101)</f>
        <v>25</v>
      </c>
      <c r="N101" s="49">
        <f>AVERAGE('29.07 Kisaasi-Ntinda'!N101,'30.07 Kisaasi-Ntinda'!N101,'31.07 Kisaasi-Ntinda'!N101,'02.08 Kisaasi-Ntinda'!N101,'01.08 Kisaasi-Ntinda-24h'!N101,'03.08 Kisaasi-Ntinda-24h'!N101,'04.08 Kisaasi-Ntinda'!N101)</f>
        <v>0</v>
      </c>
      <c r="O101" s="49">
        <f>AVERAGE('29.07 Kisaasi-Ntinda'!O101,'30.07 Kisaasi-Ntinda'!O101,'31.07 Kisaasi-Ntinda'!O101,'02.08 Kisaasi-Ntinda'!O101,'01.08 Kisaasi-Ntinda-24h'!O101,'03.08 Kisaasi-Ntinda-24h'!O101,'04.08 Kisaasi-Ntinda'!O101)</f>
        <v>25.5</v>
      </c>
      <c r="P101" s="49">
        <f>AVERAGE('29.07 Kisaasi-Ntinda'!P101,'30.07 Kisaasi-Ntinda'!P101,'31.07 Kisaasi-Ntinda'!P101,'02.08 Kisaasi-Ntinda'!P101,'01.08 Kisaasi-Ntinda-24h'!P101,'03.08 Kisaasi-Ntinda-24h'!P101,'04.08 Kisaasi-Ntinda'!P101)</f>
        <v>50.5</v>
      </c>
      <c r="R101" s="8"/>
      <c r="T101"/>
    </row>
    <row r="102" spans="2:20" ht="23.1" customHeight="1" x14ac:dyDescent="0.25">
      <c r="B102" s="24" t="s">
        <v>142</v>
      </c>
      <c r="C102" s="49">
        <f>AVERAGE('01.08 Kisaasi-Ntinda-24h'!C102,'03.08 Kisaasi-Ntinda-24h'!C103)</f>
        <v>22.5</v>
      </c>
      <c r="D102" s="49">
        <f>AVERAGE('29.07 Kisaasi-Ntinda'!D102,'30.07 Kisaasi-Ntinda'!D102,'31.07 Kisaasi-Ntinda'!D102,'02.08 Kisaasi-Ntinda'!D102,'01.08 Kisaasi-Ntinda-24h'!D102,'03.08 Kisaasi-Ntinda-24h'!D102,'04.08 Kisaasi-Ntinda'!D102)</f>
        <v>6.5</v>
      </c>
      <c r="E102" s="49">
        <f>AVERAGE('29.07 Kisaasi-Ntinda'!E102,'30.07 Kisaasi-Ntinda'!E102,'31.07 Kisaasi-Ntinda'!E102,'02.08 Kisaasi-Ntinda'!E102,'01.08 Kisaasi-Ntinda-24h'!E102,'03.08 Kisaasi-Ntinda-24h'!E102,'04.08 Kisaasi-Ntinda'!E102)</f>
        <v>2</v>
      </c>
      <c r="F102" s="49">
        <f>AVERAGE('29.07 Kisaasi-Ntinda'!F102,'30.07 Kisaasi-Ntinda'!F102,'31.07 Kisaasi-Ntinda'!F102,'02.08 Kisaasi-Ntinda'!F102,'01.08 Kisaasi-Ntinda-24h'!F102,'03.08 Kisaasi-Ntinda-24h'!F102,'04.08 Kisaasi-Ntinda'!F102)</f>
        <v>8</v>
      </c>
      <c r="G102" s="49">
        <f>AVERAGE('29.07 Kisaasi-Ntinda'!G102,'30.07 Kisaasi-Ntinda'!G102,'31.07 Kisaasi-Ntinda'!G102,'02.08 Kisaasi-Ntinda'!G102,'01.08 Kisaasi-Ntinda-24h'!G102,'03.08 Kisaasi-Ntinda-24h'!G102,'04.08 Kisaasi-Ntinda'!G102)</f>
        <v>0</v>
      </c>
      <c r="H102" s="49">
        <f>AVERAGE('29.07 Kisaasi-Ntinda'!H102,'30.07 Kisaasi-Ntinda'!H102,'31.07 Kisaasi-Ntinda'!H102,'02.08 Kisaasi-Ntinda'!H102,'01.08 Kisaasi-Ntinda-24h'!H102,'03.08 Kisaasi-Ntinda-24h'!H102,'04.08 Kisaasi-Ntinda'!H102)</f>
        <v>0</v>
      </c>
      <c r="I102" s="49">
        <f>AVERAGE('29.07 Kisaasi-Ntinda'!I102,'30.07 Kisaasi-Ntinda'!I102,'31.07 Kisaasi-Ntinda'!I102,'02.08 Kisaasi-Ntinda'!I102,'01.08 Kisaasi-Ntinda-24h'!I102,'03.08 Kisaasi-Ntinda-24h'!I102,'04.08 Kisaasi-Ntinda'!I102)</f>
        <v>0</v>
      </c>
      <c r="J102" s="49">
        <f>AVERAGE('29.07 Kisaasi-Ntinda'!J102,'30.07 Kisaasi-Ntinda'!J102,'31.07 Kisaasi-Ntinda'!J102,'02.08 Kisaasi-Ntinda'!J102,'01.08 Kisaasi-Ntinda-24h'!J102,'03.08 Kisaasi-Ntinda-24h'!J102,'04.08 Kisaasi-Ntinda'!J102)</f>
        <v>1</v>
      </c>
      <c r="K102" s="49">
        <f>AVERAGE('29.07 Kisaasi-Ntinda'!K102,'30.07 Kisaasi-Ntinda'!K102,'31.07 Kisaasi-Ntinda'!K102,'02.08 Kisaasi-Ntinda'!K102,'01.08 Kisaasi-Ntinda-24h'!K102,'03.08 Kisaasi-Ntinda-24h'!K102,'04.08 Kisaasi-Ntinda'!K102)</f>
        <v>0.5</v>
      </c>
      <c r="L102" s="49">
        <f>AVERAGE('29.07 Kisaasi-Ntinda'!L102,'30.07 Kisaasi-Ntinda'!L102,'31.07 Kisaasi-Ntinda'!L102,'02.08 Kisaasi-Ntinda'!L102,'01.08 Kisaasi-Ntinda-24h'!L102,'03.08 Kisaasi-Ntinda-24h'!L102,'04.08 Kisaasi-Ntinda'!L102)</f>
        <v>0.5</v>
      </c>
      <c r="M102" s="49">
        <f>AVERAGE('29.07 Kisaasi-Ntinda'!M102,'30.07 Kisaasi-Ntinda'!M102,'31.07 Kisaasi-Ntinda'!M102,'02.08 Kisaasi-Ntinda'!M102,'01.08 Kisaasi-Ntinda-24h'!M102,'03.08 Kisaasi-Ntinda-24h'!M102,'04.08 Kisaasi-Ntinda'!M102)</f>
        <v>21.5</v>
      </c>
      <c r="N102" s="49">
        <f>AVERAGE('29.07 Kisaasi-Ntinda'!N102,'30.07 Kisaasi-Ntinda'!N102,'31.07 Kisaasi-Ntinda'!N102,'02.08 Kisaasi-Ntinda'!N102,'01.08 Kisaasi-Ntinda-24h'!N102,'03.08 Kisaasi-Ntinda-24h'!N102,'04.08 Kisaasi-Ntinda'!N102)</f>
        <v>0</v>
      </c>
      <c r="O102" s="49">
        <f>AVERAGE('29.07 Kisaasi-Ntinda'!O102,'30.07 Kisaasi-Ntinda'!O102,'31.07 Kisaasi-Ntinda'!O102,'02.08 Kisaasi-Ntinda'!O102,'01.08 Kisaasi-Ntinda-24h'!O102,'03.08 Kisaasi-Ntinda-24h'!O102,'04.08 Kisaasi-Ntinda'!O102)</f>
        <v>40.5</v>
      </c>
      <c r="P102" s="49">
        <f>AVERAGE('29.07 Kisaasi-Ntinda'!P102,'30.07 Kisaasi-Ntinda'!P102,'31.07 Kisaasi-Ntinda'!P102,'02.08 Kisaasi-Ntinda'!P102,'01.08 Kisaasi-Ntinda-24h'!P102,'03.08 Kisaasi-Ntinda-24h'!P102,'04.08 Kisaasi-Ntinda'!P102)</f>
        <v>62</v>
      </c>
      <c r="R102" s="8"/>
      <c r="T102"/>
    </row>
    <row r="103" spans="2:20" ht="23.1" customHeight="1" x14ac:dyDescent="0.25">
      <c r="B103" s="23" t="s">
        <v>143</v>
      </c>
      <c r="C103" s="49">
        <f>AVERAGE('01.08 Kisaasi-Ntinda-24h'!C103,'03.08 Kisaasi-Ntinda-24h'!C104)</f>
        <v>25.5</v>
      </c>
      <c r="D103" s="49">
        <f>AVERAGE('29.07 Kisaasi-Ntinda'!D103,'30.07 Kisaasi-Ntinda'!D103,'31.07 Kisaasi-Ntinda'!D103,'02.08 Kisaasi-Ntinda'!D103,'01.08 Kisaasi-Ntinda-24h'!D103,'03.08 Kisaasi-Ntinda-24h'!D103,'04.08 Kisaasi-Ntinda'!D103)</f>
        <v>13.5</v>
      </c>
      <c r="E103" s="49">
        <f>AVERAGE('29.07 Kisaasi-Ntinda'!E103,'30.07 Kisaasi-Ntinda'!E103,'31.07 Kisaasi-Ntinda'!E103,'02.08 Kisaasi-Ntinda'!E103,'01.08 Kisaasi-Ntinda-24h'!E103,'03.08 Kisaasi-Ntinda-24h'!E103,'04.08 Kisaasi-Ntinda'!E103)</f>
        <v>3</v>
      </c>
      <c r="F103" s="49">
        <f>AVERAGE('29.07 Kisaasi-Ntinda'!F103,'30.07 Kisaasi-Ntinda'!F103,'31.07 Kisaasi-Ntinda'!F103,'02.08 Kisaasi-Ntinda'!F103,'01.08 Kisaasi-Ntinda-24h'!F103,'03.08 Kisaasi-Ntinda-24h'!F103,'04.08 Kisaasi-Ntinda'!F103)</f>
        <v>9</v>
      </c>
      <c r="G103" s="49">
        <f>AVERAGE('29.07 Kisaasi-Ntinda'!G103,'30.07 Kisaasi-Ntinda'!G103,'31.07 Kisaasi-Ntinda'!G103,'02.08 Kisaasi-Ntinda'!G103,'01.08 Kisaasi-Ntinda-24h'!G103,'03.08 Kisaasi-Ntinda-24h'!G103,'04.08 Kisaasi-Ntinda'!G103)</f>
        <v>0.5</v>
      </c>
      <c r="H103" s="49">
        <f>AVERAGE('29.07 Kisaasi-Ntinda'!H103,'30.07 Kisaasi-Ntinda'!H103,'31.07 Kisaasi-Ntinda'!H103,'02.08 Kisaasi-Ntinda'!H103,'01.08 Kisaasi-Ntinda-24h'!H103,'03.08 Kisaasi-Ntinda-24h'!H103,'04.08 Kisaasi-Ntinda'!H103)</f>
        <v>0</v>
      </c>
      <c r="I103" s="49">
        <f>AVERAGE('29.07 Kisaasi-Ntinda'!I103,'30.07 Kisaasi-Ntinda'!I103,'31.07 Kisaasi-Ntinda'!I103,'02.08 Kisaasi-Ntinda'!I103,'01.08 Kisaasi-Ntinda-24h'!I103,'03.08 Kisaasi-Ntinda-24h'!I103,'04.08 Kisaasi-Ntinda'!I103)</f>
        <v>0.5</v>
      </c>
      <c r="J103" s="49">
        <f>AVERAGE('29.07 Kisaasi-Ntinda'!J103,'30.07 Kisaasi-Ntinda'!J103,'31.07 Kisaasi-Ntinda'!J103,'02.08 Kisaasi-Ntinda'!J103,'01.08 Kisaasi-Ntinda-24h'!J103,'03.08 Kisaasi-Ntinda-24h'!J103,'04.08 Kisaasi-Ntinda'!J103)</f>
        <v>1</v>
      </c>
      <c r="K103" s="49">
        <f>AVERAGE('29.07 Kisaasi-Ntinda'!K103,'30.07 Kisaasi-Ntinda'!K103,'31.07 Kisaasi-Ntinda'!K103,'02.08 Kisaasi-Ntinda'!K103,'01.08 Kisaasi-Ntinda-24h'!K103,'03.08 Kisaasi-Ntinda-24h'!K103,'04.08 Kisaasi-Ntinda'!K103)</f>
        <v>0</v>
      </c>
      <c r="L103" s="49">
        <f>AVERAGE('29.07 Kisaasi-Ntinda'!L103,'30.07 Kisaasi-Ntinda'!L103,'31.07 Kisaasi-Ntinda'!L103,'02.08 Kisaasi-Ntinda'!L103,'01.08 Kisaasi-Ntinda-24h'!L103,'03.08 Kisaasi-Ntinda-24h'!L103,'04.08 Kisaasi-Ntinda'!L103)</f>
        <v>0.5</v>
      </c>
      <c r="M103" s="49">
        <f>AVERAGE('29.07 Kisaasi-Ntinda'!M103,'30.07 Kisaasi-Ntinda'!M103,'31.07 Kisaasi-Ntinda'!M103,'02.08 Kisaasi-Ntinda'!M103,'01.08 Kisaasi-Ntinda-24h'!M103,'03.08 Kisaasi-Ntinda-24h'!M103,'04.08 Kisaasi-Ntinda'!M103)</f>
        <v>22</v>
      </c>
      <c r="N103" s="49">
        <f>AVERAGE('29.07 Kisaasi-Ntinda'!N103,'30.07 Kisaasi-Ntinda'!N103,'31.07 Kisaasi-Ntinda'!N103,'02.08 Kisaasi-Ntinda'!N103,'01.08 Kisaasi-Ntinda-24h'!N103,'03.08 Kisaasi-Ntinda-24h'!N103,'04.08 Kisaasi-Ntinda'!N103)</f>
        <v>0</v>
      </c>
      <c r="O103" s="49">
        <f>AVERAGE('29.07 Kisaasi-Ntinda'!O103,'30.07 Kisaasi-Ntinda'!O103,'31.07 Kisaasi-Ntinda'!O103,'02.08 Kisaasi-Ntinda'!O103,'01.08 Kisaasi-Ntinda-24h'!O103,'03.08 Kisaasi-Ntinda-24h'!O103,'04.08 Kisaasi-Ntinda'!O103)</f>
        <v>56.5</v>
      </c>
      <c r="P103" s="49">
        <f>AVERAGE('29.07 Kisaasi-Ntinda'!P103,'30.07 Kisaasi-Ntinda'!P103,'31.07 Kisaasi-Ntinda'!P103,'02.08 Kisaasi-Ntinda'!P103,'01.08 Kisaasi-Ntinda-24h'!P103,'03.08 Kisaasi-Ntinda-24h'!P103,'04.08 Kisaasi-Ntinda'!P103)</f>
        <v>78.5</v>
      </c>
      <c r="R103" s="8"/>
      <c r="T103"/>
    </row>
    <row r="104" spans="2:20" ht="23.1" customHeight="1" x14ac:dyDescent="0.25">
      <c r="B104" s="25" t="s">
        <v>144</v>
      </c>
      <c r="C104" s="49">
        <f>AVERAGE('01.08 Kisaasi-Ntinda-24h'!C104,'03.08 Kisaasi-Ntinda-24h'!C105)</f>
        <v>41</v>
      </c>
      <c r="D104" s="49">
        <f>AVERAGE('29.07 Kisaasi-Ntinda'!D104,'30.07 Kisaasi-Ntinda'!D104,'31.07 Kisaasi-Ntinda'!D104,'02.08 Kisaasi-Ntinda'!D104,'01.08 Kisaasi-Ntinda-24h'!D104,'03.08 Kisaasi-Ntinda-24h'!D104,'04.08 Kisaasi-Ntinda'!D104)</f>
        <v>11</v>
      </c>
      <c r="E104" s="49">
        <f>AVERAGE('29.07 Kisaasi-Ntinda'!E104,'30.07 Kisaasi-Ntinda'!E104,'31.07 Kisaasi-Ntinda'!E104,'02.08 Kisaasi-Ntinda'!E104,'01.08 Kisaasi-Ntinda-24h'!E104,'03.08 Kisaasi-Ntinda-24h'!E104,'04.08 Kisaasi-Ntinda'!E104)</f>
        <v>3</v>
      </c>
      <c r="F104" s="49">
        <f>AVERAGE('29.07 Kisaasi-Ntinda'!F104,'30.07 Kisaasi-Ntinda'!F104,'31.07 Kisaasi-Ntinda'!F104,'02.08 Kisaasi-Ntinda'!F104,'01.08 Kisaasi-Ntinda-24h'!F104,'03.08 Kisaasi-Ntinda-24h'!F104,'04.08 Kisaasi-Ntinda'!F104)</f>
        <v>7</v>
      </c>
      <c r="G104" s="49">
        <f>AVERAGE('29.07 Kisaasi-Ntinda'!G104,'30.07 Kisaasi-Ntinda'!G104,'31.07 Kisaasi-Ntinda'!G104,'02.08 Kisaasi-Ntinda'!G104,'01.08 Kisaasi-Ntinda-24h'!G104,'03.08 Kisaasi-Ntinda-24h'!G104,'04.08 Kisaasi-Ntinda'!G104)</f>
        <v>0</v>
      </c>
      <c r="H104" s="49">
        <f>AVERAGE('29.07 Kisaasi-Ntinda'!H104,'30.07 Kisaasi-Ntinda'!H104,'31.07 Kisaasi-Ntinda'!H104,'02.08 Kisaasi-Ntinda'!H104,'01.08 Kisaasi-Ntinda-24h'!H104,'03.08 Kisaasi-Ntinda-24h'!H104,'04.08 Kisaasi-Ntinda'!H104)</f>
        <v>0</v>
      </c>
      <c r="I104" s="49">
        <f>AVERAGE('29.07 Kisaasi-Ntinda'!I104,'30.07 Kisaasi-Ntinda'!I104,'31.07 Kisaasi-Ntinda'!I104,'02.08 Kisaasi-Ntinda'!I104,'01.08 Kisaasi-Ntinda-24h'!I104,'03.08 Kisaasi-Ntinda-24h'!I104,'04.08 Kisaasi-Ntinda'!I104)</f>
        <v>0</v>
      </c>
      <c r="J104" s="49">
        <f>AVERAGE('29.07 Kisaasi-Ntinda'!J104,'30.07 Kisaasi-Ntinda'!J104,'31.07 Kisaasi-Ntinda'!J104,'02.08 Kisaasi-Ntinda'!J104,'01.08 Kisaasi-Ntinda-24h'!J104,'03.08 Kisaasi-Ntinda-24h'!J104,'04.08 Kisaasi-Ntinda'!J104)</f>
        <v>1</v>
      </c>
      <c r="K104" s="49">
        <f>AVERAGE('29.07 Kisaasi-Ntinda'!K104,'30.07 Kisaasi-Ntinda'!K104,'31.07 Kisaasi-Ntinda'!K104,'02.08 Kisaasi-Ntinda'!K104,'01.08 Kisaasi-Ntinda-24h'!K104,'03.08 Kisaasi-Ntinda-24h'!K104,'04.08 Kisaasi-Ntinda'!K104)</f>
        <v>1</v>
      </c>
      <c r="L104" s="49">
        <f>AVERAGE('29.07 Kisaasi-Ntinda'!L104,'30.07 Kisaasi-Ntinda'!L104,'31.07 Kisaasi-Ntinda'!L104,'02.08 Kisaasi-Ntinda'!L104,'01.08 Kisaasi-Ntinda-24h'!L104,'03.08 Kisaasi-Ntinda-24h'!L104,'04.08 Kisaasi-Ntinda'!L104)</f>
        <v>1</v>
      </c>
      <c r="M104" s="49">
        <f>AVERAGE('29.07 Kisaasi-Ntinda'!M104,'30.07 Kisaasi-Ntinda'!M104,'31.07 Kisaasi-Ntinda'!M104,'02.08 Kisaasi-Ntinda'!M104,'01.08 Kisaasi-Ntinda-24h'!M104,'03.08 Kisaasi-Ntinda-24h'!M104,'04.08 Kisaasi-Ntinda'!M104)</f>
        <v>29.5</v>
      </c>
      <c r="N104" s="49">
        <f>AVERAGE('29.07 Kisaasi-Ntinda'!N104,'30.07 Kisaasi-Ntinda'!N104,'31.07 Kisaasi-Ntinda'!N104,'02.08 Kisaasi-Ntinda'!N104,'01.08 Kisaasi-Ntinda-24h'!N104,'03.08 Kisaasi-Ntinda-24h'!N104,'04.08 Kisaasi-Ntinda'!N104)</f>
        <v>0</v>
      </c>
      <c r="O104" s="49">
        <f>AVERAGE('29.07 Kisaasi-Ntinda'!O104,'30.07 Kisaasi-Ntinda'!O104,'31.07 Kisaasi-Ntinda'!O104,'02.08 Kisaasi-Ntinda'!O104,'01.08 Kisaasi-Ntinda-24h'!O104,'03.08 Kisaasi-Ntinda-24h'!O104,'04.08 Kisaasi-Ntinda'!O104)</f>
        <v>65</v>
      </c>
      <c r="P104" s="49">
        <f>AVERAGE('29.07 Kisaasi-Ntinda'!P104,'30.07 Kisaasi-Ntinda'!P104,'31.07 Kisaasi-Ntinda'!P104,'02.08 Kisaasi-Ntinda'!P104,'01.08 Kisaasi-Ntinda-24h'!P104,'03.08 Kisaasi-Ntinda-24h'!P104,'04.08 Kisaasi-Ntinda'!P104)</f>
        <v>94.5</v>
      </c>
      <c r="R104" s="8"/>
      <c r="T104"/>
    </row>
    <row r="105" spans="2:20" ht="23.1" customHeight="1" x14ac:dyDescent="0.25">
      <c r="B105" s="23" t="s">
        <v>145</v>
      </c>
      <c r="C105" s="49">
        <f>AVERAGE('01.08 Kisaasi-Ntinda-24h'!C105,'03.08 Kisaasi-Ntinda-24h'!C106)</f>
        <v>1521.5</v>
      </c>
      <c r="D105" s="49">
        <f>AVERAGE('29.07 Kisaasi-Ntinda'!D105,'30.07 Kisaasi-Ntinda'!D105,'31.07 Kisaasi-Ntinda'!D105,'02.08 Kisaasi-Ntinda'!D105,'01.08 Kisaasi-Ntinda-24h'!D105,'03.08 Kisaasi-Ntinda-24h'!D105,'04.08 Kisaasi-Ntinda'!D105)</f>
        <v>24</v>
      </c>
      <c r="E105" s="49">
        <f>AVERAGE('29.07 Kisaasi-Ntinda'!E105,'30.07 Kisaasi-Ntinda'!E105,'31.07 Kisaasi-Ntinda'!E105,'02.08 Kisaasi-Ntinda'!E105,'01.08 Kisaasi-Ntinda-24h'!E105,'03.08 Kisaasi-Ntinda-24h'!E105,'04.08 Kisaasi-Ntinda'!E105)</f>
        <v>5.5</v>
      </c>
      <c r="F105" s="49">
        <f>AVERAGE('29.07 Kisaasi-Ntinda'!F105,'30.07 Kisaasi-Ntinda'!F105,'31.07 Kisaasi-Ntinda'!F105,'02.08 Kisaasi-Ntinda'!F105,'01.08 Kisaasi-Ntinda-24h'!F105,'03.08 Kisaasi-Ntinda-24h'!F105,'04.08 Kisaasi-Ntinda'!F105)</f>
        <v>13.5</v>
      </c>
      <c r="G105" s="49">
        <f>AVERAGE('29.07 Kisaasi-Ntinda'!G105,'30.07 Kisaasi-Ntinda'!G105,'31.07 Kisaasi-Ntinda'!G105,'02.08 Kisaasi-Ntinda'!G105,'01.08 Kisaasi-Ntinda-24h'!G105,'03.08 Kisaasi-Ntinda-24h'!G105,'04.08 Kisaasi-Ntinda'!G105)</f>
        <v>0</v>
      </c>
      <c r="H105" s="49">
        <f>AVERAGE('29.07 Kisaasi-Ntinda'!H105,'30.07 Kisaasi-Ntinda'!H105,'31.07 Kisaasi-Ntinda'!H105,'02.08 Kisaasi-Ntinda'!H105,'01.08 Kisaasi-Ntinda-24h'!H105,'03.08 Kisaasi-Ntinda-24h'!H105,'04.08 Kisaasi-Ntinda'!H105)</f>
        <v>0</v>
      </c>
      <c r="I105" s="49">
        <f>AVERAGE('29.07 Kisaasi-Ntinda'!I105,'30.07 Kisaasi-Ntinda'!I105,'31.07 Kisaasi-Ntinda'!I105,'02.08 Kisaasi-Ntinda'!I105,'01.08 Kisaasi-Ntinda-24h'!I105,'03.08 Kisaasi-Ntinda-24h'!I105,'04.08 Kisaasi-Ntinda'!I105)</f>
        <v>0.5</v>
      </c>
      <c r="J105" s="49">
        <f>AVERAGE('29.07 Kisaasi-Ntinda'!J105,'30.07 Kisaasi-Ntinda'!J105,'31.07 Kisaasi-Ntinda'!J105,'02.08 Kisaasi-Ntinda'!J105,'01.08 Kisaasi-Ntinda-24h'!J105,'03.08 Kisaasi-Ntinda-24h'!J105,'04.08 Kisaasi-Ntinda'!J105)</f>
        <v>1.5</v>
      </c>
      <c r="K105" s="49">
        <f>AVERAGE('29.07 Kisaasi-Ntinda'!K105,'30.07 Kisaasi-Ntinda'!K105,'31.07 Kisaasi-Ntinda'!K105,'02.08 Kisaasi-Ntinda'!K105,'01.08 Kisaasi-Ntinda-24h'!K105,'03.08 Kisaasi-Ntinda-24h'!K105,'04.08 Kisaasi-Ntinda'!K105)</f>
        <v>0</v>
      </c>
      <c r="L105" s="49">
        <f>AVERAGE('29.07 Kisaasi-Ntinda'!L105,'30.07 Kisaasi-Ntinda'!L105,'31.07 Kisaasi-Ntinda'!L105,'02.08 Kisaasi-Ntinda'!L105,'01.08 Kisaasi-Ntinda-24h'!L105,'03.08 Kisaasi-Ntinda-24h'!L105,'04.08 Kisaasi-Ntinda'!L105)</f>
        <v>1.5</v>
      </c>
      <c r="M105" s="49">
        <f>AVERAGE('29.07 Kisaasi-Ntinda'!M105,'30.07 Kisaasi-Ntinda'!M105,'31.07 Kisaasi-Ntinda'!M105,'02.08 Kisaasi-Ntinda'!M105,'01.08 Kisaasi-Ntinda-24h'!M105,'03.08 Kisaasi-Ntinda-24h'!M105,'04.08 Kisaasi-Ntinda'!M105)</f>
        <v>31</v>
      </c>
      <c r="N105" s="49">
        <f>AVERAGE('29.07 Kisaasi-Ntinda'!N105,'30.07 Kisaasi-Ntinda'!N105,'31.07 Kisaasi-Ntinda'!N105,'02.08 Kisaasi-Ntinda'!N105,'01.08 Kisaasi-Ntinda-24h'!N105,'03.08 Kisaasi-Ntinda-24h'!N105,'04.08 Kisaasi-Ntinda'!N105)</f>
        <v>0</v>
      </c>
      <c r="O105" s="49">
        <f>AVERAGE('29.07 Kisaasi-Ntinda'!O105,'30.07 Kisaasi-Ntinda'!O105,'31.07 Kisaasi-Ntinda'!O105,'02.08 Kisaasi-Ntinda'!O105,'01.08 Kisaasi-Ntinda-24h'!O105,'03.08 Kisaasi-Ntinda-24h'!O105,'04.08 Kisaasi-Ntinda'!O105)</f>
        <v>97</v>
      </c>
      <c r="P105" s="49">
        <f>AVERAGE('29.07 Kisaasi-Ntinda'!P105,'30.07 Kisaasi-Ntinda'!P105,'31.07 Kisaasi-Ntinda'!P105,'02.08 Kisaasi-Ntinda'!P105,'01.08 Kisaasi-Ntinda-24h'!P105,'03.08 Kisaasi-Ntinda-24h'!P105,'04.08 Kisaasi-Ntinda'!P105)</f>
        <v>128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4407.6428571428578</v>
      </c>
      <c r="D106" s="16">
        <f t="shared" ref="D106:O106" si="35">SUM(D10:D105)</f>
        <v>1615.4982372808236</v>
      </c>
      <c r="E106" s="16">
        <f t="shared" si="35"/>
        <v>551.09277073392457</v>
      </c>
      <c r="F106" s="16">
        <f t="shared" si="35"/>
        <v>758.77195891542112</v>
      </c>
      <c r="G106" s="16">
        <f t="shared" si="35"/>
        <v>13.573658944691509</v>
      </c>
      <c r="H106" s="16">
        <f t="shared" si="35"/>
        <v>0.14285714285714285</v>
      </c>
      <c r="I106" s="16">
        <f t="shared" si="35"/>
        <v>211.67820686390161</v>
      </c>
      <c r="J106" s="16">
        <f t="shared" si="35"/>
        <v>135.23557326944123</v>
      </c>
      <c r="K106" s="16">
        <f t="shared" si="35"/>
        <v>50.935717873886489</v>
      </c>
      <c r="L106" s="16">
        <f t="shared" si="35"/>
        <v>81.58493475701286</v>
      </c>
      <c r="M106" s="16">
        <f t="shared" si="35"/>
        <v>6866.8659514094034</v>
      </c>
      <c r="N106" s="16">
        <f t="shared" si="35"/>
        <v>1.00027839538231</v>
      </c>
      <c r="O106" s="16">
        <f t="shared" si="35"/>
        <v>6418.4285714285716</v>
      </c>
      <c r="P106" s="16">
        <f>SUM(P10:P105)</f>
        <v>13343.5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0.33032134426071552</v>
      </c>
      <c r="D107" s="43">
        <f t="shared" si="36"/>
        <v>0.12107005188150212</v>
      </c>
      <c r="E107" s="43">
        <f t="shared" si="36"/>
        <v>4.1300466199567169E-2</v>
      </c>
      <c r="F107" s="43">
        <f t="shared" si="36"/>
        <v>5.6864537708653733E-2</v>
      </c>
      <c r="G107" s="43">
        <f t="shared" si="36"/>
        <v>1.0172487686657555E-3</v>
      </c>
      <c r="H107" s="43">
        <f t="shared" si="36"/>
        <v>1.0706122296034987E-5</v>
      </c>
      <c r="I107" s="43">
        <f t="shared" si="36"/>
        <v>1.5863769390632262E-2</v>
      </c>
      <c r="J107" s="43">
        <f t="shared" si="36"/>
        <v>1.0134940103379265E-2</v>
      </c>
      <c r="K107" s="43">
        <f t="shared" si="36"/>
        <v>3.8172681735591479E-3</v>
      </c>
      <c r="L107" s="43">
        <f t="shared" si="36"/>
        <v>6.1142080231583063E-3</v>
      </c>
      <c r="M107" s="43">
        <f t="shared" si="36"/>
        <v>0.51462254666387408</v>
      </c>
      <c r="N107" s="43">
        <f t="shared" si="36"/>
        <v>7.4963719817312547E-5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0.68671681987135269</v>
      </c>
      <c r="D108" s="44">
        <f t="shared" ref="D108:N108" si="37">D106/$O$106</f>
        <v>0.25169684749194876</v>
      </c>
      <c r="E108" s="44">
        <f t="shared" si="37"/>
        <v>8.5861011710420265E-2</v>
      </c>
      <c r="F108" s="44">
        <f t="shared" si="37"/>
        <v>0.11821771489256266</v>
      </c>
      <c r="G108" s="44">
        <f t="shared" si="37"/>
        <v>2.1147947341993048E-3</v>
      </c>
      <c r="H108" s="44">
        <f t="shared" si="37"/>
        <v>2.2257339357653185E-5</v>
      </c>
      <c r="I108" s="44">
        <f t="shared" si="37"/>
        <v>3.2979755793525592E-2</v>
      </c>
      <c r="J108" s="44">
        <f t="shared" si="37"/>
        <v>2.1069888332393077E-2</v>
      </c>
      <c r="K108" s="44">
        <f t="shared" si="37"/>
        <v>7.935854907013408E-3</v>
      </c>
      <c r="L108" s="44">
        <f t="shared" si="37"/>
        <v>1.2711045055511808E-2</v>
      </c>
      <c r="M108" s="44"/>
      <c r="N108" s="44">
        <f t="shared" si="37"/>
        <v>1.5584474988707004E-4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I85" zoomScale="60" workbookViewId="0">
      <selection activeCell="V81" sqref="V8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'04.08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'04.08 Ntinda-Kisaasi'!G5:H5</f>
        <v>Ndere Center</v>
      </c>
      <c r="H5" s="66"/>
      <c r="I5" s="14"/>
      <c r="J5" s="2" t="s">
        <v>5</v>
      </c>
      <c r="K5" s="65" t="str">
        <f>'04.08 Ntinda-Kisaasi'!K5:L5</f>
        <v>Okello Peter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'04.08 Ntinda-Kisaasi'!D6:E6</f>
        <v xml:space="preserve">Ntinda </v>
      </c>
      <c r="E6" s="66"/>
      <c r="F6" s="2" t="s">
        <v>2</v>
      </c>
      <c r="G6" s="65" t="str">
        <f>'04.08 Ntinda-Kisaasi'!G6:H6</f>
        <v>Kisaasi</v>
      </c>
      <c r="H6" s="66"/>
      <c r="J6" s="2" t="s">
        <v>21</v>
      </c>
      <c r="K6" s="65" t="str">
        <f>'04.08 Ntinda-Kisaasi'!K6:L6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Ntinda-Kisaasi'!C10,'30.07 Ntinda-Kisaasi'!C10,'31.07 Ntinda-Kisaasi'!C10,'02.08 Ntinda-Kisaasi'!C10,'01.08 Ntinda-Kisaasi-24h'!C10,'03.08 Ntinda-Kisaasi-24h'!C10,'04.08 Ntinda-Kisaasi'!C10)</f>
        <v>32.285714285714285</v>
      </c>
      <c r="D10" s="49">
        <f>AVERAGE('29.07 Ntinda-Kisaasi'!D10,'30.07 Ntinda-Kisaasi'!D10,'31.07 Ntinda-Kisaasi'!D10,'02.08 Ntinda-Kisaasi'!D10,'01.08 Ntinda-Kisaasi-24h'!D10,'03.08 Ntinda-Kisaasi-24h'!D10,'04.08 Ntinda-Kisaasi'!D10)</f>
        <v>11.571428571428571</v>
      </c>
      <c r="E10" s="49">
        <f>AVERAGE('29.07 Ntinda-Kisaasi'!E10,'30.07 Ntinda-Kisaasi'!E10,'31.07 Ntinda-Kisaasi'!E10,'02.08 Ntinda-Kisaasi'!E10,'01.08 Ntinda-Kisaasi-24h'!E10,'03.08 Ntinda-Kisaasi-24h'!E10,'04.08 Ntinda-Kisaasi'!E10)</f>
        <v>6</v>
      </c>
      <c r="F10" s="49">
        <f>AVERAGE('29.07 Ntinda-Kisaasi'!F10,'30.07 Ntinda-Kisaasi'!F10,'31.07 Ntinda-Kisaasi'!F10,'02.08 Ntinda-Kisaasi'!F10,'01.08 Ntinda-Kisaasi-24h'!F10,'03.08 Ntinda-Kisaasi-24h'!F10,'04.08 Ntinda-Kisaasi'!F10)</f>
        <v>13</v>
      </c>
      <c r="G10" s="49">
        <f>AVERAGE('29.07 Ntinda-Kisaasi'!G10,'30.07 Ntinda-Kisaasi'!G10,'31.07 Ntinda-Kisaasi'!G10,'02.08 Ntinda-Kisaasi'!G10,'01.08 Ntinda-Kisaasi-24h'!G10,'03.08 Ntinda-Kisaasi-24h'!G10,'04.08 Ntinda-Kisaasi'!G10)</f>
        <v>0</v>
      </c>
      <c r="H10" s="49">
        <f>AVERAGE('29.07 Ntinda-Kisaasi'!H10,'30.07 Ntinda-Kisaasi'!H10,'31.07 Ntinda-Kisaasi'!H10,'02.08 Ntinda-Kisaasi'!H10,'01.08 Ntinda-Kisaasi-24h'!H10,'03.08 Ntinda-Kisaasi-24h'!H10,'04.08 Ntinda-Kisaasi'!H10)</f>
        <v>0</v>
      </c>
      <c r="I10" s="49">
        <f>AVERAGE('29.07 Ntinda-Kisaasi'!I10,'30.07 Ntinda-Kisaasi'!I10,'31.07 Ntinda-Kisaasi'!I10,'02.08 Ntinda-Kisaasi'!I10,'01.08 Ntinda-Kisaasi-24h'!I10,'03.08 Ntinda-Kisaasi-24h'!I10,'04.08 Ntinda-Kisaasi'!I10)</f>
        <v>3.5714285714285716</v>
      </c>
      <c r="J10" s="49">
        <f>AVERAGE('29.07 Ntinda-Kisaasi'!J10,'30.07 Ntinda-Kisaasi'!J10,'31.07 Ntinda-Kisaasi'!J10,'02.08 Ntinda-Kisaasi'!J10,'01.08 Ntinda-Kisaasi-24h'!J10,'03.08 Ntinda-Kisaasi-24h'!J10,'04.08 Ntinda-Kisaasi'!J10)</f>
        <v>0.14285714285714285</v>
      </c>
      <c r="K10" s="49">
        <f>AVERAGE('29.07 Ntinda-Kisaasi'!K10,'30.07 Ntinda-Kisaasi'!K10,'31.07 Ntinda-Kisaasi'!K10,'02.08 Ntinda-Kisaasi'!K10,'01.08 Ntinda-Kisaasi-24h'!K10,'03.08 Ntinda-Kisaasi-24h'!K10,'04.08 Ntinda-Kisaasi'!K10)</f>
        <v>0.2857142857142857</v>
      </c>
      <c r="L10" s="49">
        <f>AVERAGE('29.07 Ntinda-Kisaasi'!L10,'30.07 Ntinda-Kisaasi'!L10,'31.07 Ntinda-Kisaasi'!L10,'02.08 Ntinda-Kisaasi'!L10,'01.08 Ntinda-Kisaasi-24h'!L10,'03.08 Ntinda-Kisaasi-24h'!L10,'04.08 Ntinda-Kisaasi'!L10)</f>
        <v>0.14285714285714285</v>
      </c>
      <c r="M10" s="49">
        <f>AVERAGE('29.07 Ntinda-Kisaasi'!M10,'30.07 Ntinda-Kisaasi'!M10,'31.07 Ntinda-Kisaasi'!M10,'02.08 Ntinda-Kisaasi'!M10,'01.08 Ntinda-Kisaasi-24h'!M10,'03.08 Ntinda-Kisaasi-24h'!M10,'04.08 Ntinda-Kisaasi'!M10)</f>
        <v>55.142857142857146</v>
      </c>
      <c r="N10" s="49">
        <f>AVERAGE('29.07 Ntinda-Kisaasi'!N10,'30.07 Ntinda-Kisaasi'!N10,'31.07 Ntinda-Kisaasi'!N10,'02.08 Ntinda-Kisaasi'!N10,'01.08 Ntinda-Kisaasi-24h'!N10,'03.08 Ntinda-Kisaasi-24h'!N10,'04.08 Ntinda-Kisaasi'!N10)</f>
        <v>0</v>
      </c>
      <c r="O10" s="15">
        <f t="shared" ref="O10:O56" si="0">SUM(C10:L10,N10)</f>
        <v>67</v>
      </c>
      <c r="P10" s="15">
        <f t="shared" ref="P10:P56" si="1">SUM(C10:N10)</f>
        <v>122.14285714285714</v>
      </c>
      <c r="R10" s="1" t="s">
        <v>6</v>
      </c>
      <c r="S10" s="17">
        <f t="shared" ref="S10:AF10" si="2">SUM(C10:C13)</f>
        <v>125.42857142857143</v>
      </c>
      <c r="T10" s="17">
        <f t="shared" si="2"/>
        <v>53.714285714285708</v>
      </c>
      <c r="U10" s="17">
        <f t="shared" si="2"/>
        <v>19.714285714285712</v>
      </c>
      <c r="V10" s="17">
        <f t="shared" si="2"/>
        <v>71.142857142857139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2</v>
      </c>
      <c r="AA10" s="17">
        <f t="shared" si="2"/>
        <v>3.5714285714285712</v>
      </c>
      <c r="AB10" s="17">
        <f t="shared" si="2"/>
        <v>2</v>
      </c>
      <c r="AC10" s="17">
        <f t="shared" si="2"/>
        <v>309.57142857142856</v>
      </c>
      <c r="AD10" s="17">
        <f t="shared" si="2"/>
        <v>0</v>
      </c>
      <c r="AE10" s="31">
        <f t="shared" si="2"/>
        <v>286.57142857142861</v>
      </c>
      <c r="AF10" s="31">
        <f t="shared" si="2"/>
        <v>596.14285714285711</v>
      </c>
    </row>
    <row r="11" spans="2:32" s="6" customFormat="1" ht="23.1" customHeight="1" x14ac:dyDescent="0.25">
      <c r="B11" s="23" t="s">
        <v>38</v>
      </c>
      <c r="C11" s="49">
        <f>AVERAGE('29.07 Ntinda-Kisaasi'!C11,'30.07 Ntinda-Kisaasi'!C11,'31.07 Ntinda-Kisaasi'!C11,'02.08 Ntinda-Kisaasi'!C11,'01.08 Ntinda-Kisaasi-24h'!C11,'03.08 Ntinda-Kisaasi-24h'!C11,'04.08 Ntinda-Kisaasi'!C11)</f>
        <v>36.428571428571431</v>
      </c>
      <c r="D11" s="49">
        <f>AVERAGE('29.07 Ntinda-Kisaasi'!D11,'30.07 Ntinda-Kisaasi'!D11,'31.07 Ntinda-Kisaasi'!D11,'02.08 Ntinda-Kisaasi'!D11,'01.08 Ntinda-Kisaasi-24h'!D11,'03.08 Ntinda-Kisaasi-24h'!D11,'04.08 Ntinda-Kisaasi'!D11)</f>
        <v>14.714285714285714</v>
      </c>
      <c r="E11" s="49">
        <f>AVERAGE('29.07 Ntinda-Kisaasi'!E11,'30.07 Ntinda-Kisaasi'!E11,'31.07 Ntinda-Kisaasi'!E11,'02.08 Ntinda-Kisaasi'!E11,'01.08 Ntinda-Kisaasi-24h'!E11,'03.08 Ntinda-Kisaasi-24h'!E11,'04.08 Ntinda-Kisaasi'!E11)</f>
        <v>6.5714285714285712</v>
      </c>
      <c r="F11" s="49">
        <f>AVERAGE('29.07 Ntinda-Kisaasi'!F11,'30.07 Ntinda-Kisaasi'!F11,'31.07 Ntinda-Kisaasi'!F11,'02.08 Ntinda-Kisaasi'!F11,'01.08 Ntinda-Kisaasi-24h'!F11,'03.08 Ntinda-Kisaasi-24h'!F11,'04.08 Ntinda-Kisaasi'!F11)</f>
        <v>18.285714285714285</v>
      </c>
      <c r="G11" s="49">
        <f>AVERAGE('29.07 Ntinda-Kisaasi'!G11,'30.07 Ntinda-Kisaasi'!G11,'31.07 Ntinda-Kisaasi'!G11,'02.08 Ntinda-Kisaasi'!G11,'01.08 Ntinda-Kisaasi-24h'!G11,'03.08 Ntinda-Kisaasi-24h'!G11,'04.08 Ntinda-Kisaasi'!G11)</f>
        <v>0.8571428571428571</v>
      </c>
      <c r="H11" s="49">
        <f>AVERAGE('29.07 Ntinda-Kisaasi'!H11,'30.07 Ntinda-Kisaasi'!H11,'31.07 Ntinda-Kisaasi'!H11,'02.08 Ntinda-Kisaasi'!H11,'01.08 Ntinda-Kisaasi-24h'!H11,'03.08 Ntinda-Kisaasi-24h'!H11,'04.08 Ntinda-Kisaasi'!H11)</f>
        <v>0</v>
      </c>
      <c r="I11" s="49">
        <f>AVERAGE('29.07 Ntinda-Kisaasi'!I11,'30.07 Ntinda-Kisaasi'!I11,'31.07 Ntinda-Kisaasi'!I11,'02.08 Ntinda-Kisaasi'!I11,'01.08 Ntinda-Kisaasi-24h'!I11,'03.08 Ntinda-Kisaasi-24h'!I11,'04.08 Ntinda-Kisaasi'!I11)</f>
        <v>1.5714285714285714</v>
      </c>
      <c r="J11" s="49">
        <f>AVERAGE('29.07 Ntinda-Kisaasi'!J11,'30.07 Ntinda-Kisaasi'!J11,'31.07 Ntinda-Kisaasi'!J11,'02.08 Ntinda-Kisaasi'!J11,'01.08 Ntinda-Kisaasi-24h'!J11,'03.08 Ntinda-Kisaasi-24h'!J11,'04.08 Ntinda-Kisaasi'!J11)</f>
        <v>0.5714285714285714</v>
      </c>
      <c r="K11" s="49">
        <f>AVERAGE('29.07 Ntinda-Kisaasi'!K11,'30.07 Ntinda-Kisaasi'!K11,'31.07 Ntinda-Kisaasi'!K11,'02.08 Ntinda-Kisaasi'!K11,'01.08 Ntinda-Kisaasi-24h'!K11,'03.08 Ntinda-Kisaasi-24h'!K11,'04.08 Ntinda-Kisaasi'!K11)</f>
        <v>2</v>
      </c>
      <c r="L11" s="49">
        <f>AVERAGE('29.07 Ntinda-Kisaasi'!L11,'30.07 Ntinda-Kisaasi'!L11,'31.07 Ntinda-Kisaasi'!L11,'02.08 Ntinda-Kisaasi'!L11,'01.08 Ntinda-Kisaasi-24h'!L11,'03.08 Ntinda-Kisaasi-24h'!L11,'04.08 Ntinda-Kisaasi'!L11)</f>
        <v>0.8571428571428571</v>
      </c>
      <c r="M11" s="49">
        <f>AVERAGE('29.07 Ntinda-Kisaasi'!M11,'30.07 Ntinda-Kisaasi'!M11,'31.07 Ntinda-Kisaasi'!M11,'02.08 Ntinda-Kisaasi'!M11,'01.08 Ntinda-Kisaasi-24h'!M11,'03.08 Ntinda-Kisaasi-24h'!M11,'04.08 Ntinda-Kisaasi'!M11)</f>
        <v>70.142857142857139</v>
      </c>
      <c r="N11" s="49">
        <f>AVERAGE('29.07 Ntinda-Kisaasi'!N11,'30.07 Ntinda-Kisaasi'!N11,'31.07 Ntinda-Kisaasi'!N11,'02.08 Ntinda-Kisaasi'!N11,'01.08 Ntinda-Kisaasi-24h'!N11,'03.08 Ntinda-Kisaasi-24h'!N11,'04.08 Ntinda-Kisaasi'!N11)</f>
        <v>0</v>
      </c>
      <c r="O11" s="15">
        <f t="shared" si="0"/>
        <v>81.857142857142861</v>
      </c>
      <c r="P11" s="15">
        <f t="shared" si="1"/>
        <v>152</v>
      </c>
      <c r="R11" s="1" t="s">
        <v>7</v>
      </c>
      <c r="S11" s="17">
        <f t="shared" ref="S11:AF11" si="3">SUM(C14:C17)</f>
        <v>89.857142857142861</v>
      </c>
      <c r="T11" s="17">
        <f t="shared" si="3"/>
        <v>44.142857142857146</v>
      </c>
      <c r="U11" s="17">
        <f t="shared" si="3"/>
        <v>13.714285714285715</v>
      </c>
      <c r="V11" s="17">
        <f t="shared" si="3"/>
        <v>98.285714285714292</v>
      </c>
      <c r="W11" s="17">
        <f t="shared" si="3"/>
        <v>0.42857142857142855</v>
      </c>
      <c r="X11" s="17">
        <f t="shared" si="3"/>
        <v>0</v>
      </c>
      <c r="Y11" s="17">
        <f t="shared" si="3"/>
        <v>8.7142857142857153</v>
      </c>
      <c r="Z11" s="17">
        <f t="shared" si="3"/>
        <v>1.8571428571428572</v>
      </c>
      <c r="AA11" s="17">
        <f t="shared" si="3"/>
        <v>0.5714285714285714</v>
      </c>
      <c r="AB11" s="17">
        <f t="shared" si="3"/>
        <v>2.5714285714285712</v>
      </c>
      <c r="AC11" s="17">
        <f t="shared" si="3"/>
        <v>397.28571428571428</v>
      </c>
      <c r="AD11" s="17">
        <f t="shared" si="3"/>
        <v>0</v>
      </c>
      <c r="AE11" s="31">
        <f t="shared" si="3"/>
        <v>260.14285714285717</v>
      </c>
      <c r="AF11" s="31">
        <f t="shared" si="3"/>
        <v>657.42857142857144</v>
      </c>
    </row>
    <row r="12" spans="2:32" ht="23.1" customHeight="1" x14ac:dyDescent="0.25">
      <c r="B12" s="23" t="s">
        <v>39</v>
      </c>
      <c r="C12" s="49">
        <f>AVERAGE('29.07 Ntinda-Kisaasi'!C12,'30.07 Ntinda-Kisaasi'!C12,'31.07 Ntinda-Kisaasi'!C12,'02.08 Ntinda-Kisaasi'!C12,'01.08 Ntinda-Kisaasi-24h'!C12,'03.08 Ntinda-Kisaasi-24h'!C12,'04.08 Ntinda-Kisaasi'!C12)</f>
        <v>31.142857142857142</v>
      </c>
      <c r="D12" s="49">
        <f>AVERAGE('29.07 Ntinda-Kisaasi'!D12,'30.07 Ntinda-Kisaasi'!D12,'31.07 Ntinda-Kisaasi'!D12,'02.08 Ntinda-Kisaasi'!D12,'01.08 Ntinda-Kisaasi-24h'!D12,'03.08 Ntinda-Kisaasi-24h'!D12,'04.08 Ntinda-Kisaasi'!D12)</f>
        <v>12.285714285714286</v>
      </c>
      <c r="E12" s="49">
        <f>AVERAGE('29.07 Ntinda-Kisaasi'!E12,'30.07 Ntinda-Kisaasi'!E12,'31.07 Ntinda-Kisaasi'!E12,'02.08 Ntinda-Kisaasi'!E12,'01.08 Ntinda-Kisaasi-24h'!E12,'03.08 Ntinda-Kisaasi-24h'!E12,'04.08 Ntinda-Kisaasi'!E12)</f>
        <v>3.8571428571428572</v>
      </c>
      <c r="F12" s="49">
        <f>AVERAGE('29.07 Ntinda-Kisaasi'!F12,'30.07 Ntinda-Kisaasi'!F12,'31.07 Ntinda-Kisaasi'!F12,'02.08 Ntinda-Kisaasi'!F12,'01.08 Ntinda-Kisaasi-24h'!F12,'03.08 Ntinda-Kisaasi-24h'!F12,'04.08 Ntinda-Kisaasi'!F12)</f>
        <v>21.142857142857142</v>
      </c>
      <c r="G12" s="49">
        <f>AVERAGE('29.07 Ntinda-Kisaasi'!G12,'30.07 Ntinda-Kisaasi'!G12,'31.07 Ntinda-Kisaasi'!G12,'02.08 Ntinda-Kisaasi'!G12,'01.08 Ntinda-Kisaasi-24h'!G12,'03.08 Ntinda-Kisaasi-24h'!G12,'04.08 Ntinda-Kisaasi'!G12)</f>
        <v>0.14285714285714285</v>
      </c>
      <c r="H12" s="49">
        <f>AVERAGE('29.07 Ntinda-Kisaasi'!H12,'30.07 Ntinda-Kisaasi'!H12,'31.07 Ntinda-Kisaasi'!H12,'02.08 Ntinda-Kisaasi'!H12,'01.08 Ntinda-Kisaasi-24h'!H12,'03.08 Ntinda-Kisaasi-24h'!H12,'04.08 Ntinda-Kisaasi'!H12)</f>
        <v>0</v>
      </c>
      <c r="I12" s="49">
        <f>AVERAGE('29.07 Ntinda-Kisaasi'!I12,'30.07 Ntinda-Kisaasi'!I12,'31.07 Ntinda-Kisaasi'!I12,'02.08 Ntinda-Kisaasi'!I12,'01.08 Ntinda-Kisaasi-24h'!I12,'03.08 Ntinda-Kisaasi-24h'!I12,'04.08 Ntinda-Kisaasi'!I12)</f>
        <v>1.7142857142857142</v>
      </c>
      <c r="J12" s="49">
        <f>AVERAGE('29.07 Ntinda-Kisaasi'!J12,'30.07 Ntinda-Kisaasi'!J12,'31.07 Ntinda-Kisaasi'!J12,'02.08 Ntinda-Kisaasi'!J12,'01.08 Ntinda-Kisaasi-24h'!J12,'03.08 Ntinda-Kisaasi-24h'!J12,'04.08 Ntinda-Kisaasi'!J12)</f>
        <v>0.42857142857142855</v>
      </c>
      <c r="K12" s="49">
        <f>AVERAGE('29.07 Ntinda-Kisaasi'!K12,'30.07 Ntinda-Kisaasi'!K12,'31.07 Ntinda-Kisaasi'!K12,'02.08 Ntinda-Kisaasi'!K12,'01.08 Ntinda-Kisaasi-24h'!K12,'03.08 Ntinda-Kisaasi-24h'!K12,'04.08 Ntinda-Kisaasi'!K12)</f>
        <v>0.42857142857142855</v>
      </c>
      <c r="L12" s="49">
        <f>AVERAGE('29.07 Ntinda-Kisaasi'!L12,'30.07 Ntinda-Kisaasi'!L12,'31.07 Ntinda-Kisaasi'!L12,'02.08 Ntinda-Kisaasi'!L12,'01.08 Ntinda-Kisaasi-24h'!L12,'03.08 Ntinda-Kisaasi-24h'!L12,'04.08 Ntinda-Kisaasi'!L12)</f>
        <v>0.7142857142857143</v>
      </c>
      <c r="M12" s="49">
        <f>AVERAGE('29.07 Ntinda-Kisaasi'!M12,'30.07 Ntinda-Kisaasi'!M12,'31.07 Ntinda-Kisaasi'!M12,'02.08 Ntinda-Kisaasi'!M12,'01.08 Ntinda-Kisaasi-24h'!M12,'03.08 Ntinda-Kisaasi-24h'!M12,'04.08 Ntinda-Kisaasi'!M12)</f>
        <v>85.428571428571431</v>
      </c>
      <c r="N12" s="49">
        <f>AVERAGE('29.07 Ntinda-Kisaasi'!N12,'30.07 Ntinda-Kisaasi'!N12,'31.07 Ntinda-Kisaasi'!N12,'02.08 Ntinda-Kisaasi'!N12,'01.08 Ntinda-Kisaasi-24h'!N12,'03.08 Ntinda-Kisaasi-24h'!N12,'04.08 Ntinda-Kisaasi'!N12)</f>
        <v>0</v>
      </c>
      <c r="O12" s="15">
        <f t="shared" si="0"/>
        <v>71.857142857142847</v>
      </c>
      <c r="P12" s="15">
        <f t="shared" si="1"/>
        <v>157.28571428571428</v>
      </c>
      <c r="R12" s="1" t="s">
        <v>8</v>
      </c>
      <c r="S12" s="17">
        <f t="shared" ref="S12:AF12" si="4">SUM(C18:C21)</f>
        <v>119</v>
      </c>
      <c r="T12" s="17">
        <f t="shared" si="4"/>
        <v>58.571428571428569</v>
      </c>
      <c r="U12" s="17">
        <f t="shared" si="4"/>
        <v>26.428571428571427</v>
      </c>
      <c r="V12" s="17">
        <f t="shared" si="4"/>
        <v>88.571428571428555</v>
      </c>
      <c r="W12" s="17">
        <f t="shared" si="4"/>
        <v>0.5714285714285714</v>
      </c>
      <c r="X12" s="17">
        <f t="shared" si="4"/>
        <v>0.7142857142857143</v>
      </c>
      <c r="Y12" s="17">
        <f t="shared" si="4"/>
        <v>15.142857142857142</v>
      </c>
      <c r="Z12" s="17">
        <f t="shared" si="4"/>
        <v>4.2857142857142856</v>
      </c>
      <c r="AA12" s="17">
        <f t="shared" si="4"/>
        <v>0.85714285714285698</v>
      </c>
      <c r="AB12" s="17">
        <f t="shared" si="4"/>
        <v>5.1428571428571432</v>
      </c>
      <c r="AC12" s="17">
        <f t="shared" si="4"/>
        <v>392.71428571428578</v>
      </c>
      <c r="AD12" s="17">
        <f t="shared" si="4"/>
        <v>0</v>
      </c>
      <c r="AE12" s="31">
        <f t="shared" si="4"/>
        <v>319.28571428571433</v>
      </c>
      <c r="AF12" s="31">
        <f t="shared" si="4"/>
        <v>712</v>
      </c>
    </row>
    <row r="13" spans="2:32" ht="23.1" customHeight="1" x14ac:dyDescent="0.25">
      <c r="B13" s="23" t="s">
        <v>40</v>
      </c>
      <c r="C13" s="49">
        <f>AVERAGE('29.07 Ntinda-Kisaasi'!C13,'30.07 Ntinda-Kisaasi'!C13,'31.07 Ntinda-Kisaasi'!C13,'02.08 Ntinda-Kisaasi'!C13,'01.08 Ntinda-Kisaasi-24h'!C13,'03.08 Ntinda-Kisaasi-24h'!C13,'04.08 Ntinda-Kisaasi'!C13)</f>
        <v>25.571428571428573</v>
      </c>
      <c r="D13" s="49">
        <f>AVERAGE('29.07 Ntinda-Kisaasi'!D13,'30.07 Ntinda-Kisaasi'!D13,'31.07 Ntinda-Kisaasi'!D13,'02.08 Ntinda-Kisaasi'!D13,'01.08 Ntinda-Kisaasi-24h'!D13,'03.08 Ntinda-Kisaasi-24h'!D13,'04.08 Ntinda-Kisaasi'!D13)</f>
        <v>15.142857142857142</v>
      </c>
      <c r="E13" s="49">
        <f>AVERAGE('29.07 Ntinda-Kisaasi'!E13,'30.07 Ntinda-Kisaasi'!E13,'31.07 Ntinda-Kisaasi'!E13,'02.08 Ntinda-Kisaasi'!E13,'01.08 Ntinda-Kisaasi-24h'!E13,'03.08 Ntinda-Kisaasi-24h'!E13,'04.08 Ntinda-Kisaasi'!E13)</f>
        <v>3.2857142857142856</v>
      </c>
      <c r="F13" s="49">
        <f>AVERAGE('29.07 Ntinda-Kisaasi'!F13,'30.07 Ntinda-Kisaasi'!F13,'31.07 Ntinda-Kisaasi'!F13,'02.08 Ntinda-Kisaasi'!F13,'01.08 Ntinda-Kisaasi-24h'!F13,'03.08 Ntinda-Kisaasi-24h'!F13,'04.08 Ntinda-Kisaasi'!F13)</f>
        <v>18.714285714285715</v>
      </c>
      <c r="G13" s="49">
        <f>AVERAGE('29.07 Ntinda-Kisaasi'!G13,'30.07 Ntinda-Kisaasi'!G13,'31.07 Ntinda-Kisaasi'!G13,'02.08 Ntinda-Kisaasi'!G13,'01.08 Ntinda-Kisaasi-24h'!G13,'03.08 Ntinda-Kisaasi-24h'!G13,'04.08 Ntinda-Kisaasi'!G13)</f>
        <v>0</v>
      </c>
      <c r="H13" s="49">
        <f>AVERAGE('29.07 Ntinda-Kisaasi'!H13,'30.07 Ntinda-Kisaasi'!H13,'31.07 Ntinda-Kisaasi'!H13,'02.08 Ntinda-Kisaasi'!H13,'01.08 Ntinda-Kisaasi-24h'!H13,'03.08 Ntinda-Kisaasi-24h'!H13,'04.08 Ntinda-Kisaasi'!H13)</f>
        <v>0</v>
      </c>
      <c r="I13" s="49">
        <f>AVERAGE('29.07 Ntinda-Kisaasi'!I13,'30.07 Ntinda-Kisaasi'!I13,'31.07 Ntinda-Kisaasi'!I13,'02.08 Ntinda-Kisaasi'!I13,'01.08 Ntinda-Kisaasi-24h'!I13,'03.08 Ntinda-Kisaasi-24h'!I13,'04.08 Ntinda-Kisaasi'!I13)</f>
        <v>1.1428571428571428</v>
      </c>
      <c r="J13" s="49">
        <f>AVERAGE('29.07 Ntinda-Kisaasi'!J13,'30.07 Ntinda-Kisaasi'!J13,'31.07 Ntinda-Kisaasi'!J13,'02.08 Ntinda-Kisaasi'!J13,'01.08 Ntinda-Kisaasi-24h'!J13,'03.08 Ntinda-Kisaasi-24h'!J13,'04.08 Ntinda-Kisaasi'!J13)</f>
        <v>0.8571428571428571</v>
      </c>
      <c r="K13" s="49">
        <f>AVERAGE('29.07 Ntinda-Kisaasi'!K13,'30.07 Ntinda-Kisaasi'!K13,'31.07 Ntinda-Kisaasi'!K13,'02.08 Ntinda-Kisaasi'!K13,'01.08 Ntinda-Kisaasi-24h'!K13,'03.08 Ntinda-Kisaasi-24h'!K13,'04.08 Ntinda-Kisaasi'!K13)</f>
        <v>0.8571428571428571</v>
      </c>
      <c r="L13" s="49">
        <f>AVERAGE('29.07 Ntinda-Kisaasi'!L13,'30.07 Ntinda-Kisaasi'!L13,'31.07 Ntinda-Kisaasi'!L13,'02.08 Ntinda-Kisaasi'!L13,'01.08 Ntinda-Kisaasi-24h'!L13,'03.08 Ntinda-Kisaasi-24h'!L13,'04.08 Ntinda-Kisaasi'!L13)</f>
        <v>0.2857142857142857</v>
      </c>
      <c r="M13" s="49">
        <f>AVERAGE('29.07 Ntinda-Kisaasi'!M13,'30.07 Ntinda-Kisaasi'!M13,'31.07 Ntinda-Kisaasi'!M13,'02.08 Ntinda-Kisaasi'!M13,'01.08 Ntinda-Kisaasi-24h'!M13,'03.08 Ntinda-Kisaasi-24h'!M13,'04.08 Ntinda-Kisaasi'!M13)</f>
        <v>98.857142857142861</v>
      </c>
      <c r="N13" s="49">
        <f>AVERAGE('29.07 Ntinda-Kisaasi'!N13,'30.07 Ntinda-Kisaasi'!N13,'31.07 Ntinda-Kisaasi'!N13,'02.08 Ntinda-Kisaasi'!N13,'01.08 Ntinda-Kisaasi-24h'!N13,'03.08 Ntinda-Kisaasi-24h'!N13,'04.08 Ntinda-Kisaasi'!N13)</f>
        <v>0</v>
      </c>
      <c r="O13" s="15">
        <f t="shared" si="0"/>
        <v>65.857142857142875</v>
      </c>
      <c r="P13" s="15">
        <f t="shared" si="1"/>
        <v>164.71428571428572</v>
      </c>
      <c r="R13" s="1" t="s">
        <v>9</v>
      </c>
      <c r="S13" s="17">
        <f t="shared" ref="S13:AF13" si="5">SUM(C22:C25)</f>
        <v>132.71428571428572</v>
      </c>
      <c r="T13" s="17">
        <f t="shared" si="5"/>
        <v>70.285714285714278</v>
      </c>
      <c r="U13" s="17">
        <f t="shared" si="5"/>
        <v>29.142857142857142</v>
      </c>
      <c r="V13" s="17">
        <f t="shared" si="5"/>
        <v>69</v>
      </c>
      <c r="W13" s="17">
        <f t="shared" si="5"/>
        <v>0.71428571428571419</v>
      </c>
      <c r="X13" s="17">
        <f t="shared" si="5"/>
        <v>0</v>
      </c>
      <c r="Y13" s="17">
        <f t="shared" si="5"/>
        <v>16.857142857142858</v>
      </c>
      <c r="Z13" s="17">
        <f t="shared" si="5"/>
        <v>5.4285714285714288</v>
      </c>
      <c r="AA13" s="17">
        <f t="shared" si="5"/>
        <v>1.5714285714285714</v>
      </c>
      <c r="AB13" s="17">
        <f t="shared" si="5"/>
        <v>7.5714285714285712</v>
      </c>
      <c r="AC13" s="17">
        <f t="shared" si="5"/>
        <v>374.14285714285711</v>
      </c>
      <c r="AD13" s="17">
        <f t="shared" si="5"/>
        <v>0</v>
      </c>
      <c r="AE13" s="31">
        <f t="shared" si="5"/>
        <v>333.28571428571428</v>
      </c>
      <c r="AF13" s="31">
        <f t="shared" si="5"/>
        <v>707.42857142857133</v>
      </c>
    </row>
    <row r="14" spans="2:32" ht="23.1" customHeight="1" x14ac:dyDescent="0.25">
      <c r="B14" s="23" t="s">
        <v>41</v>
      </c>
      <c r="C14" s="49">
        <f>AVERAGE('29.07 Ntinda-Kisaasi'!C14,'30.07 Ntinda-Kisaasi'!C14,'31.07 Ntinda-Kisaasi'!C14,'02.08 Ntinda-Kisaasi'!C14,'01.08 Ntinda-Kisaasi-24h'!C14,'03.08 Ntinda-Kisaasi-24h'!C14,'04.08 Ntinda-Kisaasi'!C14)</f>
        <v>23.571428571428573</v>
      </c>
      <c r="D14" s="49">
        <f>AVERAGE('29.07 Ntinda-Kisaasi'!D14,'30.07 Ntinda-Kisaasi'!D14,'31.07 Ntinda-Kisaasi'!D14,'02.08 Ntinda-Kisaasi'!D14,'01.08 Ntinda-Kisaasi-24h'!D14,'03.08 Ntinda-Kisaasi-24h'!D14,'04.08 Ntinda-Kisaasi'!D14)</f>
        <v>15.285714285714286</v>
      </c>
      <c r="E14" s="49">
        <f>AVERAGE('29.07 Ntinda-Kisaasi'!E14,'30.07 Ntinda-Kisaasi'!E14,'31.07 Ntinda-Kisaasi'!E14,'02.08 Ntinda-Kisaasi'!E14,'01.08 Ntinda-Kisaasi-24h'!E14,'03.08 Ntinda-Kisaasi-24h'!E14,'04.08 Ntinda-Kisaasi'!E14)</f>
        <v>4.2857142857142856</v>
      </c>
      <c r="F14" s="49">
        <f>AVERAGE('29.07 Ntinda-Kisaasi'!F14,'30.07 Ntinda-Kisaasi'!F14,'31.07 Ntinda-Kisaasi'!F14,'02.08 Ntinda-Kisaasi'!F14,'01.08 Ntinda-Kisaasi-24h'!F14,'03.08 Ntinda-Kisaasi-24h'!F14,'04.08 Ntinda-Kisaasi'!F14)</f>
        <v>29.857142857142858</v>
      </c>
      <c r="G14" s="49">
        <f>AVERAGE('29.07 Ntinda-Kisaasi'!G14,'30.07 Ntinda-Kisaasi'!G14,'31.07 Ntinda-Kisaasi'!G14,'02.08 Ntinda-Kisaasi'!G14,'01.08 Ntinda-Kisaasi-24h'!G14,'03.08 Ntinda-Kisaasi-24h'!G14,'04.08 Ntinda-Kisaasi'!G14)</f>
        <v>0.14285714285714285</v>
      </c>
      <c r="H14" s="49">
        <f>AVERAGE('29.07 Ntinda-Kisaasi'!H14,'30.07 Ntinda-Kisaasi'!H14,'31.07 Ntinda-Kisaasi'!H14,'02.08 Ntinda-Kisaasi'!H14,'01.08 Ntinda-Kisaasi-24h'!H14,'03.08 Ntinda-Kisaasi-24h'!H14,'04.08 Ntinda-Kisaasi'!H14)</f>
        <v>0</v>
      </c>
      <c r="I14" s="49">
        <f>AVERAGE('29.07 Ntinda-Kisaasi'!I14,'30.07 Ntinda-Kisaasi'!I14,'31.07 Ntinda-Kisaasi'!I14,'02.08 Ntinda-Kisaasi'!I14,'01.08 Ntinda-Kisaasi-24h'!I14,'03.08 Ntinda-Kisaasi-24h'!I14,'04.08 Ntinda-Kisaasi'!I14)</f>
        <v>1.4285714285714286</v>
      </c>
      <c r="J14" s="49">
        <f>AVERAGE('29.07 Ntinda-Kisaasi'!J14,'30.07 Ntinda-Kisaasi'!J14,'31.07 Ntinda-Kisaasi'!J14,'02.08 Ntinda-Kisaasi'!J14,'01.08 Ntinda-Kisaasi-24h'!J14,'03.08 Ntinda-Kisaasi-24h'!J14,'04.08 Ntinda-Kisaasi'!J14)</f>
        <v>0.14285714285714285</v>
      </c>
      <c r="K14" s="49">
        <f>AVERAGE('29.07 Ntinda-Kisaasi'!K14,'30.07 Ntinda-Kisaasi'!K14,'31.07 Ntinda-Kisaasi'!K14,'02.08 Ntinda-Kisaasi'!K14,'01.08 Ntinda-Kisaasi-24h'!K14,'03.08 Ntinda-Kisaasi-24h'!K14,'04.08 Ntinda-Kisaasi'!K14)</f>
        <v>0.42857142857142855</v>
      </c>
      <c r="L14" s="49">
        <f>AVERAGE('29.07 Ntinda-Kisaasi'!L14,'30.07 Ntinda-Kisaasi'!L14,'31.07 Ntinda-Kisaasi'!L14,'02.08 Ntinda-Kisaasi'!L14,'01.08 Ntinda-Kisaasi-24h'!L14,'03.08 Ntinda-Kisaasi-24h'!L14,'04.08 Ntinda-Kisaasi'!L14)</f>
        <v>0.2857142857142857</v>
      </c>
      <c r="M14" s="49">
        <f>AVERAGE('29.07 Ntinda-Kisaasi'!M14,'30.07 Ntinda-Kisaasi'!M14,'31.07 Ntinda-Kisaasi'!M14,'02.08 Ntinda-Kisaasi'!M14,'01.08 Ntinda-Kisaasi-24h'!M14,'03.08 Ntinda-Kisaasi-24h'!M14,'04.08 Ntinda-Kisaasi'!M14)</f>
        <v>104.28571428571429</v>
      </c>
      <c r="N14" s="49">
        <f>AVERAGE('29.07 Ntinda-Kisaasi'!N14,'30.07 Ntinda-Kisaasi'!N14,'31.07 Ntinda-Kisaasi'!N14,'02.08 Ntinda-Kisaasi'!N14,'01.08 Ntinda-Kisaasi-24h'!N14,'03.08 Ntinda-Kisaasi-24h'!N14,'04.08 Ntinda-Kisaasi'!N14)</f>
        <v>0</v>
      </c>
      <c r="O14" s="15">
        <f t="shared" si="0"/>
        <v>75.428571428571431</v>
      </c>
      <c r="P14" s="15">
        <f t="shared" si="1"/>
        <v>179.71428571428572</v>
      </c>
      <c r="R14" s="1" t="s">
        <v>10</v>
      </c>
      <c r="S14" s="17">
        <f t="shared" ref="S14:AF14" si="6">SUM(C26:C29)</f>
        <v>138.71428571428572</v>
      </c>
      <c r="T14" s="17">
        <f t="shared" si="6"/>
        <v>68.571428571428569</v>
      </c>
      <c r="U14" s="17">
        <f t="shared" si="6"/>
        <v>29.285714285714285</v>
      </c>
      <c r="V14" s="17">
        <f t="shared" si="6"/>
        <v>61.714285714285722</v>
      </c>
      <c r="W14" s="17">
        <f t="shared" si="6"/>
        <v>0.42857142857142855</v>
      </c>
      <c r="X14" s="17">
        <f t="shared" si="6"/>
        <v>0</v>
      </c>
      <c r="Y14" s="17">
        <f t="shared" si="6"/>
        <v>20.714285714285715</v>
      </c>
      <c r="Z14" s="17">
        <f t="shared" si="6"/>
        <v>6</v>
      </c>
      <c r="AA14" s="17">
        <f t="shared" si="6"/>
        <v>2.714285714285714</v>
      </c>
      <c r="AB14" s="17">
        <f t="shared" si="6"/>
        <v>11.142857142857142</v>
      </c>
      <c r="AC14" s="17">
        <f t="shared" si="6"/>
        <v>307.85714285714283</v>
      </c>
      <c r="AD14" s="17">
        <f t="shared" si="6"/>
        <v>0</v>
      </c>
      <c r="AE14" s="31">
        <f t="shared" si="6"/>
        <v>339.28571428571428</v>
      </c>
      <c r="AF14" s="31">
        <f t="shared" si="6"/>
        <v>647.14285714285711</v>
      </c>
    </row>
    <row r="15" spans="2:32" ht="23.1" customHeight="1" x14ac:dyDescent="0.25">
      <c r="B15" s="23" t="s">
        <v>42</v>
      </c>
      <c r="C15" s="49">
        <f>AVERAGE('29.07 Ntinda-Kisaasi'!C15,'30.07 Ntinda-Kisaasi'!C15,'31.07 Ntinda-Kisaasi'!C15,'02.08 Ntinda-Kisaasi'!C15,'01.08 Ntinda-Kisaasi-24h'!C15,'03.08 Ntinda-Kisaasi-24h'!C15,'04.08 Ntinda-Kisaasi'!C15)</f>
        <v>19.428571428571427</v>
      </c>
      <c r="D15" s="49">
        <f>AVERAGE('29.07 Ntinda-Kisaasi'!D15,'30.07 Ntinda-Kisaasi'!D15,'31.07 Ntinda-Kisaasi'!D15,'02.08 Ntinda-Kisaasi'!D15,'01.08 Ntinda-Kisaasi-24h'!D15,'03.08 Ntinda-Kisaasi-24h'!D15,'04.08 Ntinda-Kisaasi'!D15)</f>
        <v>8.4285714285714288</v>
      </c>
      <c r="E15" s="49">
        <f>AVERAGE('29.07 Ntinda-Kisaasi'!E15,'30.07 Ntinda-Kisaasi'!E15,'31.07 Ntinda-Kisaasi'!E15,'02.08 Ntinda-Kisaasi'!E15,'01.08 Ntinda-Kisaasi-24h'!E15,'03.08 Ntinda-Kisaasi-24h'!E15,'04.08 Ntinda-Kisaasi'!E15)</f>
        <v>2.5714285714285716</v>
      </c>
      <c r="F15" s="49">
        <f>AVERAGE('29.07 Ntinda-Kisaasi'!F15,'30.07 Ntinda-Kisaasi'!F15,'31.07 Ntinda-Kisaasi'!F15,'02.08 Ntinda-Kisaasi'!F15,'01.08 Ntinda-Kisaasi-24h'!F15,'03.08 Ntinda-Kisaasi-24h'!F15,'04.08 Ntinda-Kisaasi'!F15)</f>
        <v>22</v>
      </c>
      <c r="G15" s="49">
        <f>AVERAGE('29.07 Ntinda-Kisaasi'!G15,'30.07 Ntinda-Kisaasi'!G15,'31.07 Ntinda-Kisaasi'!G15,'02.08 Ntinda-Kisaasi'!G15,'01.08 Ntinda-Kisaasi-24h'!G15,'03.08 Ntinda-Kisaasi-24h'!G15,'04.08 Ntinda-Kisaasi'!G15)</f>
        <v>0</v>
      </c>
      <c r="H15" s="49">
        <f>AVERAGE('29.07 Ntinda-Kisaasi'!H15,'30.07 Ntinda-Kisaasi'!H15,'31.07 Ntinda-Kisaasi'!H15,'02.08 Ntinda-Kisaasi'!H15,'01.08 Ntinda-Kisaasi-24h'!H15,'03.08 Ntinda-Kisaasi-24h'!H15,'04.08 Ntinda-Kisaasi'!H15)</f>
        <v>0</v>
      </c>
      <c r="I15" s="49">
        <f>AVERAGE('29.07 Ntinda-Kisaasi'!I15,'30.07 Ntinda-Kisaasi'!I15,'31.07 Ntinda-Kisaasi'!I15,'02.08 Ntinda-Kisaasi'!I15,'01.08 Ntinda-Kisaasi-24h'!I15,'03.08 Ntinda-Kisaasi-24h'!I15,'04.08 Ntinda-Kisaasi'!I15)</f>
        <v>2</v>
      </c>
      <c r="J15" s="49">
        <f>AVERAGE('29.07 Ntinda-Kisaasi'!J15,'30.07 Ntinda-Kisaasi'!J15,'31.07 Ntinda-Kisaasi'!J15,'02.08 Ntinda-Kisaasi'!J15,'01.08 Ntinda-Kisaasi-24h'!J15,'03.08 Ntinda-Kisaasi-24h'!J15,'04.08 Ntinda-Kisaasi'!J15)</f>
        <v>0.8571428571428571</v>
      </c>
      <c r="K15" s="49">
        <f>AVERAGE('29.07 Ntinda-Kisaasi'!K15,'30.07 Ntinda-Kisaasi'!K15,'31.07 Ntinda-Kisaasi'!K15,'02.08 Ntinda-Kisaasi'!K15,'01.08 Ntinda-Kisaasi-24h'!K15,'03.08 Ntinda-Kisaasi-24h'!K15,'04.08 Ntinda-Kisaasi'!K15)</f>
        <v>0</v>
      </c>
      <c r="L15" s="49">
        <f>AVERAGE('29.07 Ntinda-Kisaasi'!L15,'30.07 Ntinda-Kisaasi'!L15,'31.07 Ntinda-Kisaasi'!L15,'02.08 Ntinda-Kisaasi'!L15,'01.08 Ntinda-Kisaasi-24h'!L15,'03.08 Ntinda-Kisaasi-24h'!L15,'04.08 Ntinda-Kisaasi'!L15)</f>
        <v>0.7142857142857143</v>
      </c>
      <c r="M15" s="49">
        <f>AVERAGE('29.07 Ntinda-Kisaasi'!M15,'30.07 Ntinda-Kisaasi'!M15,'31.07 Ntinda-Kisaasi'!M15,'02.08 Ntinda-Kisaasi'!M15,'01.08 Ntinda-Kisaasi-24h'!M15,'03.08 Ntinda-Kisaasi-24h'!M15,'04.08 Ntinda-Kisaasi'!M15)</f>
        <v>99</v>
      </c>
      <c r="N15" s="49">
        <f>AVERAGE('29.07 Ntinda-Kisaasi'!N15,'30.07 Ntinda-Kisaasi'!N15,'31.07 Ntinda-Kisaasi'!N15,'02.08 Ntinda-Kisaasi'!N15,'01.08 Ntinda-Kisaasi-24h'!N15,'03.08 Ntinda-Kisaasi-24h'!N15,'04.08 Ntinda-Kisaasi'!N15)</f>
        <v>0</v>
      </c>
      <c r="O15" s="15">
        <f t="shared" si="0"/>
        <v>56</v>
      </c>
      <c r="P15" s="15">
        <f t="shared" si="1"/>
        <v>155</v>
      </c>
      <c r="R15" s="1" t="s">
        <v>11</v>
      </c>
      <c r="S15" s="17">
        <f t="shared" ref="S15:AF15" si="7">SUM(C30:C33)</f>
        <v>158.14285714285711</v>
      </c>
      <c r="T15" s="17">
        <f t="shared" si="7"/>
        <v>82</v>
      </c>
      <c r="U15" s="17">
        <f t="shared" si="7"/>
        <v>28.571428571428573</v>
      </c>
      <c r="V15" s="17">
        <f t="shared" si="7"/>
        <v>71.428571428571431</v>
      </c>
      <c r="W15" s="17">
        <f t="shared" si="7"/>
        <v>0.2857142857142857</v>
      </c>
      <c r="X15" s="17">
        <f t="shared" si="7"/>
        <v>0.14285714285714285</v>
      </c>
      <c r="Y15" s="17">
        <f t="shared" si="7"/>
        <v>19.571428571428573</v>
      </c>
      <c r="Z15" s="17">
        <f t="shared" si="7"/>
        <v>6.4285714285714279</v>
      </c>
      <c r="AA15" s="17">
        <f t="shared" si="7"/>
        <v>2.8571428571428568</v>
      </c>
      <c r="AB15" s="17">
        <f t="shared" si="7"/>
        <v>8.8571428571428577</v>
      </c>
      <c r="AC15" s="17">
        <f t="shared" si="7"/>
        <v>318.57142857142856</v>
      </c>
      <c r="AD15" s="17">
        <f t="shared" si="7"/>
        <v>0</v>
      </c>
      <c r="AE15" s="31">
        <f t="shared" si="7"/>
        <v>378.28571428571428</v>
      </c>
      <c r="AF15" s="31">
        <f t="shared" si="7"/>
        <v>696.85714285714278</v>
      </c>
    </row>
    <row r="16" spans="2:32" ht="23.1" customHeight="1" x14ac:dyDescent="0.25">
      <c r="B16" s="23" t="s">
        <v>43</v>
      </c>
      <c r="C16" s="49">
        <f>AVERAGE('29.07 Ntinda-Kisaasi'!C16,'30.07 Ntinda-Kisaasi'!C16,'31.07 Ntinda-Kisaasi'!C16,'02.08 Ntinda-Kisaasi'!C16,'01.08 Ntinda-Kisaasi-24h'!C16,'03.08 Ntinda-Kisaasi-24h'!C16,'04.08 Ntinda-Kisaasi'!C16)</f>
        <v>25</v>
      </c>
      <c r="D16" s="49">
        <f>AVERAGE('29.07 Ntinda-Kisaasi'!D16,'30.07 Ntinda-Kisaasi'!D16,'31.07 Ntinda-Kisaasi'!D16,'02.08 Ntinda-Kisaasi'!D16,'01.08 Ntinda-Kisaasi-24h'!D16,'03.08 Ntinda-Kisaasi-24h'!D16,'04.08 Ntinda-Kisaasi'!D16)</f>
        <v>10.428571428571429</v>
      </c>
      <c r="E16" s="49">
        <f>AVERAGE('29.07 Ntinda-Kisaasi'!E16,'30.07 Ntinda-Kisaasi'!E16,'31.07 Ntinda-Kisaasi'!E16,'02.08 Ntinda-Kisaasi'!E16,'01.08 Ntinda-Kisaasi-24h'!E16,'03.08 Ntinda-Kisaasi-24h'!E16,'04.08 Ntinda-Kisaasi'!E16)</f>
        <v>3</v>
      </c>
      <c r="F16" s="49">
        <f>AVERAGE('29.07 Ntinda-Kisaasi'!F16,'30.07 Ntinda-Kisaasi'!F16,'31.07 Ntinda-Kisaasi'!F16,'02.08 Ntinda-Kisaasi'!F16,'01.08 Ntinda-Kisaasi-24h'!F16,'03.08 Ntinda-Kisaasi-24h'!F16,'04.08 Ntinda-Kisaasi'!F16)</f>
        <v>24</v>
      </c>
      <c r="G16" s="49">
        <f>AVERAGE('29.07 Ntinda-Kisaasi'!G16,'30.07 Ntinda-Kisaasi'!G16,'31.07 Ntinda-Kisaasi'!G16,'02.08 Ntinda-Kisaasi'!G16,'01.08 Ntinda-Kisaasi-24h'!G16,'03.08 Ntinda-Kisaasi-24h'!G16,'04.08 Ntinda-Kisaasi'!G16)</f>
        <v>0</v>
      </c>
      <c r="H16" s="49">
        <f>AVERAGE('29.07 Ntinda-Kisaasi'!H16,'30.07 Ntinda-Kisaasi'!H16,'31.07 Ntinda-Kisaasi'!H16,'02.08 Ntinda-Kisaasi'!H16,'01.08 Ntinda-Kisaasi-24h'!H16,'03.08 Ntinda-Kisaasi-24h'!H16,'04.08 Ntinda-Kisaasi'!H16)</f>
        <v>0</v>
      </c>
      <c r="I16" s="49">
        <f>AVERAGE('29.07 Ntinda-Kisaasi'!I16,'30.07 Ntinda-Kisaasi'!I16,'31.07 Ntinda-Kisaasi'!I16,'02.08 Ntinda-Kisaasi'!I16,'01.08 Ntinda-Kisaasi-24h'!I16,'03.08 Ntinda-Kisaasi-24h'!I16,'04.08 Ntinda-Kisaasi'!I16)</f>
        <v>3</v>
      </c>
      <c r="J16" s="49">
        <f>AVERAGE('29.07 Ntinda-Kisaasi'!J16,'30.07 Ntinda-Kisaasi'!J16,'31.07 Ntinda-Kisaasi'!J16,'02.08 Ntinda-Kisaasi'!J16,'01.08 Ntinda-Kisaasi-24h'!J16,'03.08 Ntinda-Kisaasi-24h'!J16,'04.08 Ntinda-Kisaasi'!J16)</f>
        <v>0.5714285714285714</v>
      </c>
      <c r="K16" s="49">
        <f>AVERAGE('29.07 Ntinda-Kisaasi'!K16,'30.07 Ntinda-Kisaasi'!K16,'31.07 Ntinda-Kisaasi'!K16,'02.08 Ntinda-Kisaasi'!K16,'01.08 Ntinda-Kisaasi-24h'!K16,'03.08 Ntinda-Kisaasi-24h'!K16,'04.08 Ntinda-Kisaasi'!K16)</f>
        <v>0.14285714285714285</v>
      </c>
      <c r="L16" s="49">
        <f>AVERAGE('29.07 Ntinda-Kisaasi'!L16,'30.07 Ntinda-Kisaasi'!L16,'31.07 Ntinda-Kisaasi'!L16,'02.08 Ntinda-Kisaasi'!L16,'01.08 Ntinda-Kisaasi-24h'!L16,'03.08 Ntinda-Kisaasi-24h'!L16,'04.08 Ntinda-Kisaasi'!L16)</f>
        <v>0.2857142857142857</v>
      </c>
      <c r="M16" s="49">
        <f>AVERAGE('29.07 Ntinda-Kisaasi'!M16,'30.07 Ntinda-Kisaasi'!M16,'31.07 Ntinda-Kisaasi'!M16,'02.08 Ntinda-Kisaasi'!M16,'01.08 Ntinda-Kisaasi-24h'!M16,'03.08 Ntinda-Kisaasi-24h'!M16,'04.08 Ntinda-Kisaasi'!M16)</f>
        <v>94.285714285714292</v>
      </c>
      <c r="N16" s="49">
        <f>AVERAGE('29.07 Ntinda-Kisaasi'!N16,'30.07 Ntinda-Kisaasi'!N16,'31.07 Ntinda-Kisaasi'!N16,'02.08 Ntinda-Kisaasi'!N16,'01.08 Ntinda-Kisaasi-24h'!N16,'03.08 Ntinda-Kisaasi-24h'!N16,'04.08 Ntinda-Kisaasi'!N16)</f>
        <v>0</v>
      </c>
      <c r="O16" s="15">
        <f t="shared" si="0"/>
        <v>66.428571428571431</v>
      </c>
      <c r="P16" s="15">
        <f t="shared" si="1"/>
        <v>160.71428571428572</v>
      </c>
      <c r="R16" s="1" t="s">
        <v>12</v>
      </c>
      <c r="S16" s="17">
        <f t="shared" ref="S16:AF16" si="8">SUM(C34:C37)</f>
        <v>155.14285714285714</v>
      </c>
      <c r="T16" s="17">
        <f t="shared" si="8"/>
        <v>79</v>
      </c>
      <c r="U16" s="17">
        <f t="shared" si="8"/>
        <v>27.428571428571431</v>
      </c>
      <c r="V16" s="17">
        <f t="shared" si="8"/>
        <v>54.571428571428569</v>
      </c>
      <c r="W16" s="17">
        <f t="shared" si="8"/>
        <v>1.4285714285714284</v>
      </c>
      <c r="X16" s="17">
        <f t="shared" si="8"/>
        <v>0.14285714285714285</v>
      </c>
      <c r="Y16" s="17">
        <f t="shared" si="8"/>
        <v>18</v>
      </c>
      <c r="Z16" s="17">
        <f t="shared" si="8"/>
        <v>7.2857142857142847</v>
      </c>
      <c r="AA16" s="17">
        <f t="shared" si="8"/>
        <v>2.714285714285714</v>
      </c>
      <c r="AB16" s="17">
        <f t="shared" si="8"/>
        <v>5.5714285714285712</v>
      </c>
      <c r="AC16" s="17">
        <f t="shared" si="8"/>
        <v>319</v>
      </c>
      <c r="AD16" s="17">
        <f t="shared" si="8"/>
        <v>0.2857142857142857</v>
      </c>
      <c r="AE16" s="31">
        <f t="shared" si="8"/>
        <v>351.57142857142856</v>
      </c>
      <c r="AF16" s="31">
        <f t="shared" si="8"/>
        <v>670.57142857142856</v>
      </c>
    </row>
    <row r="17" spans="2:32" ht="23.1" customHeight="1" x14ac:dyDescent="0.25">
      <c r="B17" s="23" t="s">
        <v>44</v>
      </c>
      <c r="C17" s="49">
        <f>AVERAGE('29.07 Ntinda-Kisaasi'!C17,'30.07 Ntinda-Kisaasi'!C17,'31.07 Ntinda-Kisaasi'!C17,'02.08 Ntinda-Kisaasi'!C17,'01.08 Ntinda-Kisaasi-24h'!C17,'03.08 Ntinda-Kisaasi-24h'!C17,'04.08 Ntinda-Kisaasi'!C17)</f>
        <v>21.857142857142858</v>
      </c>
      <c r="D17" s="49">
        <f>AVERAGE('29.07 Ntinda-Kisaasi'!D17,'30.07 Ntinda-Kisaasi'!D17,'31.07 Ntinda-Kisaasi'!D17,'02.08 Ntinda-Kisaasi'!D17,'01.08 Ntinda-Kisaasi-24h'!D17,'03.08 Ntinda-Kisaasi-24h'!D17,'04.08 Ntinda-Kisaasi'!D17)</f>
        <v>10</v>
      </c>
      <c r="E17" s="49">
        <f>AVERAGE('29.07 Ntinda-Kisaasi'!E17,'30.07 Ntinda-Kisaasi'!E17,'31.07 Ntinda-Kisaasi'!E17,'02.08 Ntinda-Kisaasi'!E17,'01.08 Ntinda-Kisaasi-24h'!E17,'03.08 Ntinda-Kisaasi-24h'!E17,'04.08 Ntinda-Kisaasi'!E17)</f>
        <v>3.8571428571428572</v>
      </c>
      <c r="F17" s="49">
        <f>AVERAGE('29.07 Ntinda-Kisaasi'!F17,'30.07 Ntinda-Kisaasi'!F17,'31.07 Ntinda-Kisaasi'!F17,'02.08 Ntinda-Kisaasi'!F17,'01.08 Ntinda-Kisaasi-24h'!F17,'03.08 Ntinda-Kisaasi-24h'!F17,'04.08 Ntinda-Kisaasi'!F17)</f>
        <v>22.428571428571427</v>
      </c>
      <c r="G17" s="49">
        <f>AVERAGE('29.07 Ntinda-Kisaasi'!G17,'30.07 Ntinda-Kisaasi'!G17,'31.07 Ntinda-Kisaasi'!G17,'02.08 Ntinda-Kisaasi'!G17,'01.08 Ntinda-Kisaasi-24h'!G17,'03.08 Ntinda-Kisaasi-24h'!G17,'04.08 Ntinda-Kisaasi'!G17)</f>
        <v>0.2857142857142857</v>
      </c>
      <c r="H17" s="49">
        <f>AVERAGE('29.07 Ntinda-Kisaasi'!H17,'30.07 Ntinda-Kisaasi'!H17,'31.07 Ntinda-Kisaasi'!H17,'02.08 Ntinda-Kisaasi'!H17,'01.08 Ntinda-Kisaasi-24h'!H17,'03.08 Ntinda-Kisaasi-24h'!H17,'04.08 Ntinda-Kisaasi'!H17)</f>
        <v>0</v>
      </c>
      <c r="I17" s="49">
        <f>AVERAGE('29.07 Ntinda-Kisaasi'!I17,'30.07 Ntinda-Kisaasi'!I17,'31.07 Ntinda-Kisaasi'!I17,'02.08 Ntinda-Kisaasi'!I17,'01.08 Ntinda-Kisaasi-24h'!I17,'03.08 Ntinda-Kisaasi-24h'!I17,'04.08 Ntinda-Kisaasi'!I17)</f>
        <v>2.2857142857142856</v>
      </c>
      <c r="J17" s="49">
        <f>AVERAGE('29.07 Ntinda-Kisaasi'!J17,'30.07 Ntinda-Kisaasi'!J17,'31.07 Ntinda-Kisaasi'!J17,'02.08 Ntinda-Kisaasi'!J17,'01.08 Ntinda-Kisaasi-24h'!J17,'03.08 Ntinda-Kisaasi-24h'!J17,'04.08 Ntinda-Kisaasi'!J17)</f>
        <v>0.2857142857142857</v>
      </c>
      <c r="K17" s="49">
        <f>AVERAGE('29.07 Ntinda-Kisaasi'!K17,'30.07 Ntinda-Kisaasi'!K17,'31.07 Ntinda-Kisaasi'!K17,'02.08 Ntinda-Kisaasi'!K17,'01.08 Ntinda-Kisaasi-24h'!K17,'03.08 Ntinda-Kisaasi-24h'!K17,'04.08 Ntinda-Kisaasi'!K17)</f>
        <v>0</v>
      </c>
      <c r="L17" s="49">
        <f>AVERAGE('29.07 Ntinda-Kisaasi'!L17,'30.07 Ntinda-Kisaasi'!L17,'31.07 Ntinda-Kisaasi'!L17,'02.08 Ntinda-Kisaasi'!L17,'01.08 Ntinda-Kisaasi-24h'!L17,'03.08 Ntinda-Kisaasi-24h'!L17,'04.08 Ntinda-Kisaasi'!L17)</f>
        <v>1.2857142857142858</v>
      </c>
      <c r="M17" s="49">
        <f>AVERAGE('29.07 Ntinda-Kisaasi'!M17,'30.07 Ntinda-Kisaasi'!M17,'31.07 Ntinda-Kisaasi'!M17,'02.08 Ntinda-Kisaasi'!M17,'01.08 Ntinda-Kisaasi-24h'!M17,'03.08 Ntinda-Kisaasi-24h'!M17,'04.08 Ntinda-Kisaasi'!M17)</f>
        <v>99.714285714285708</v>
      </c>
      <c r="N17" s="49">
        <f>AVERAGE('29.07 Ntinda-Kisaasi'!N17,'30.07 Ntinda-Kisaasi'!N17,'31.07 Ntinda-Kisaasi'!N17,'02.08 Ntinda-Kisaasi'!N17,'01.08 Ntinda-Kisaasi-24h'!N17,'03.08 Ntinda-Kisaasi-24h'!N17,'04.08 Ntinda-Kisaasi'!N17)</f>
        <v>0</v>
      </c>
      <c r="O17" s="15">
        <f t="shared" si="0"/>
        <v>62.285714285714278</v>
      </c>
      <c r="P17" s="15">
        <f t="shared" si="1"/>
        <v>162</v>
      </c>
      <c r="R17" s="1" t="s">
        <v>13</v>
      </c>
      <c r="S17" s="17">
        <f t="shared" ref="S17:AF17" si="9">SUM(C38:C41)</f>
        <v>177.57142857142858</v>
      </c>
      <c r="T17" s="17">
        <f t="shared" si="9"/>
        <v>100</v>
      </c>
      <c r="U17" s="17">
        <f t="shared" si="9"/>
        <v>24.714285714285712</v>
      </c>
      <c r="V17" s="17">
        <f t="shared" si="9"/>
        <v>56</v>
      </c>
      <c r="W17" s="17">
        <f t="shared" si="9"/>
        <v>1.714285714285714</v>
      </c>
      <c r="X17" s="17">
        <f t="shared" si="9"/>
        <v>0.14285714285714285</v>
      </c>
      <c r="Y17" s="17">
        <f t="shared" si="9"/>
        <v>18.142857142857146</v>
      </c>
      <c r="Z17" s="17">
        <f t="shared" si="9"/>
        <v>8.5714285714285712</v>
      </c>
      <c r="AA17" s="17">
        <f t="shared" si="9"/>
        <v>2.714285714285714</v>
      </c>
      <c r="AB17" s="17">
        <f t="shared" si="9"/>
        <v>6.8571428571428577</v>
      </c>
      <c r="AC17" s="17">
        <f t="shared" si="9"/>
        <v>317.14285714285711</v>
      </c>
      <c r="AD17" s="17">
        <f t="shared" si="9"/>
        <v>0</v>
      </c>
      <c r="AE17" s="31">
        <f t="shared" si="9"/>
        <v>396.42857142857139</v>
      </c>
      <c r="AF17" s="31">
        <f t="shared" si="9"/>
        <v>713.57142857142844</v>
      </c>
    </row>
    <row r="18" spans="2:32" ht="23.1" customHeight="1" x14ac:dyDescent="0.25">
      <c r="B18" s="23" t="s">
        <v>45</v>
      </c>
      <c r="C18" s="49">
        <f>AVERAGE('29.07 Ntinda-Kisaasi'!C18,'30.07 Ntinda-Kisaasi'!C18,'31.07 Ntinda-Kisaasi'!C18,'02.08 Ntinda-Kisaasi'!C18,'01.08 Ntinda-Kisaasi-24h'!C18,'03.08 Ntinda-Kisaasi-24h'!C18,'04.08 Ntinda-Kisaasi'!C18)</f>
        <v>30</v>
      </c>
      <c r="D18" s="49">
        <f>AVERAGE('29.07 Ntinda-Kisaasi'!D18,'30.07 Ntinda-Kisaasi'!D18,'31.07 Ntinda-Kisaasi'!D18,'02.08 Ntinda-Kisaasi'!D18,'01.08 Ntinda-Kisaasi-24h'!D18,'03.08 Ntinda-Kisaasi-24h'!D18,'04.08 Ntinda-Kisaasi'!D18)</f>
        <v>14.714285714285714</v>
      </c>
      <c r="E18" s="49">
        <f>AVERAGE('29.07 Ntinda-Kisaasi'!E18,'30.07 Ntinda-Kisaasi'!E18,'31.07 Ntinda-Kisaasi'!E18,'02.08 Ntinda-Kisaasi'!E18,'01.08 Ntinda-Kisaasi-24h'!E18,'03.08 Ntinda-Kisaasi-24h'!E18,'04.08 Ntinda-Kisaasi'!E18)</f>
        <v>6.5714285714285712</v>
      </c>
      <c r="F18" s="49">
        <f>AVERAGE('29.07 Ntinda-Kisaasi'!F18,'30.07 Ntinda-Kisaasi'!F18,'31.07 Ntinda-Kisaasi'!F18,'02.08 Ntinda-Kisaasi'!F18,'01.08 Ntinda-Kisaasi-24h'!F18,'03.08 Ntinda-Kisaasi-24h'!F18,'04.08 Ntinda-Kisaasi'!F18)</f>
        <v>25.571428571428573</v>
      </c>
      <c r="G18" s="49">
        <f>AVERAGE('29.07 Ntinda-Kisaasi'!G18,'30.07 Ntinda-Kisaasi'!G18,'31.07 Ntinda-Kisaasi'!G18,'02.08 Ntinda-Kisaasi'!G18,'01.08 Ntinda-Kisaasi-24h'!G18,'03.08 Ntinda-Kisaasi-24h'!G18,'04.08 Ntinda-Kisaasi'!G18)</f>
        <v>0.2857142857142857</v>
      </c>
      <c r="H18" s="49">
        <f>AVERAGE('29.07 Ntinda-Kisaasi'!H18,'30.07 Ntinda-Kisaasi'!H18,'31.07 Ntinda-Kisaasi'!H18,'02.08 Ntinda-Kisaasi'!H18,'01.08 Ntinda-Kisaasi-24h'!H18,'03.08 Ntinda-Kisaasi-24h'!H18,'04.08 Ntinda-Kisaasi'!H18)</f>
        <v>0</v>
      </c>
      <c r="I18" s="49">
        <f>AVERAGE('29.07 Ntinda-Kisaasi'!I18,'30.07 Ntinda-Kisaasi'!I18,'31.07 Ntinda-Kisaasi'!I18,'02.08 Ntinda-Kisaasi'!I18,'01.08 Ntinda-Kisaasi-24h'!I18,'03.08 Ntinda-Kisaasi-24h'!I18,'04.08 Ntinda-Kisaasi'!I18)</f>
        <v>4.1428571428571432</v>
      </c>
      <c r="J18" s="49">
        <f>AVERAGE('29.07 Ntinda-Kisaasi'!J18,'30.07 Ntinda-Kisaasi'!J18,'31.07 Ntinda-Kisaasi'!J18,'02.08 Ntinda-Kisaasi'!J18,'01.08 Ntinda-Kisaasi-24h'!J18,'03.08 Ntinda-Kisaasi-24h'!J18,'04.08 Ntinda-Kisaasi'!J18)</f>
        <v>1.2857142857142858</v>
      </c>
      <c r="K18" s="49">
        <f>AVERAGE('29.07 Ntinda-Kisaasi'!K18,'30.07 Ntinda-Kisaasi'!K18,'31.07 Ntinda-Kisaasi'!K18,'02.08 Ntinda-Kisaasi'!K18,'01.08 Ntinda-Kisaasi-24h'!K18,'03.08 Ntinda-Kisaasi-24h'!K18,'04.08 Ntinda-Kisaasi'!K18)</f>
        <v>0.2857142857142857</v>
      </c>
      <c r="L18" s="49">
        <f>AVERAGE('29.07 Ntinda-Kisaasi'!L18,'30.07 Ntinda-Kisaasi'!L18,'31.07 Ntinda-Kisaasi'!L18,'02.08 Ntinda-Kisaasi'!L18,'01.08 Ntinda-Kisaasi-24h'!L18,'03.08 Ntinda-Kisaasi-24h'!L18,'04.08 Ntinda-Kisaasi'!L18)</f>
        <v>1.1428571428571428</v>
      </c>
      <c r="M18" s="49">
        <f>AVERAGE('29.07 Ntinda-Kisaasi'!M18,'30.07 Ntinda-Kisaasi'!M18,'31.07 Ntinda-Kisaasi'!M18,'02.08 Ntinda-Kisaasi'!M18,'01.08 Ntinda-Kisaasi-24h'!M18,'03.08 Ntinda-Kisaasi-24h'!M18,'04.08 Ntinda-Kisaasi'!M18)</f>
        <v>105.14285714285714</v>
      </c>
      <c r="N18" s="49">
        <f>AVERAGE('29.07 Ntinda-Kisaasi'!N18,'30.07 Ntinda-Kisaasi'!N18,'31.07 Ntinda-Kisaasi'!N18,'02.08 Ntinda-Kisaasi'!N18,'01.08 Ntinda-Kisaasi-24h'!N18,'03.08 Ntinda-Kisaasi-24h'!N18,'04.08 Ntinda-Kisaasi'!N18)</f>
        <v>0</v>
      </c>
      <c r="O18" s="15">
        <f t="shared" si="0"/>
        <v>84.000000000000014</v>
      </c>
      <c r="P18" s="15">
        <f t="shared" si="1"/>
        <v>189.14285714285717</v>
      </c>
      <c r="R18" s="1" t="s">
        <v>14</v>
      </c>
      <c r="S18" s="17">
        <f t="shared" ref="S18:AF18" si="10">SUM(C42:C45)</f>
        <v>164.14285714285714</v>
      </c>
      <c r="T18" s="17">
        <f t="shared" si="10"/>
        <v>78.571428571428569</v>
      </c>
      <c r="U18" s="17">
        <f t="shared" si="10"/>
        <v>27.285714285714285</v>
      </c>
      <c r="V18" s="17">
        <f t="shared" si="10"/>
        <v>50.714285714285708</v>
      </c>
      <c r="W18" s="17">
        <f t="shared" si="10"/>
        <v>2</v>
      </c>
      <c r="X18" s="17">
        <f t="shared" si="10"/>
        <v>0.2857142857142857</v>
      </c>
      <c r="Y18" s="17">
        <f t="shared" si="10"/>
        <v>15.142857142857142</v>
      </c>
      <c r="Z18" s="17">
        <f t="shared" si="10"/>
        <v>4.7142857142857144</v>
      </c>
      <c r="AA18" s="17">
        <f t="shared" si="10"/>
        <v>1.7142857142857144</v>
      </c>
      <c r="AB18" s="17">
        <f t="shared" si="10"/>
        <v>8</v>
      </c>
      <c r="AC18" s="17">
        <f t="shared" si="10"/>
        <v>290.14285714285711</v>
      </c>
      <c r="AD18" s="17">
        <f t="shared" si="10"/>
        <v>0.14285714285714285</v>
      </c>
      <c r="AE18" s="31">
        <f t="shared" si="10"/>
        <v>352.71428571428567</v>
      </c>
      <c r="AF18" s="31">
        <f t="shared" si="10"/>
        <v>642.85714285714289</v>
      </c>
    </row>
    <row r="19" spans="2:32" ht="23.1" customHeight="1" x14ac:dyDescent="0.25">
      <c r="B19" s="23" t="s">
        <v>46</v>
      </c>
      <c r="C19" s="49">
        <f>AVERAGE('29.07 Ntinda-Kisaasi'!C19,'30.07 Ntinda-Kisaasi'!C19,'31.07 Ntinda-Kisaasi'!C19,'02.08 Ntinda-Kisaasi'!C19,'01.08 Ntinda-Kisaasi-24h'!C19,'03.08 Ntinda-Kisaasi-24h'!C19,'04.08 Ntinda-Kisaasi'!C19)</f>
        <v>29.571428571428573</v>
      </c>
      <c r="D19" s="49">
        <f>AVERAGE('29.07 Ntinda-Kisaasi'!D19,'30.07 Ntinda-Kisaasi'!D19,'31.07 Ntinda-Kisaasi'!D19,'02.08 Ntinda-Kisaasi'!D19,'01.08 Ntinda-Kisaasi-24h'!D19,'03.08 Ntinda-Kisaasi-24h'!D19,'04.08 Ntinda-Kisaasi'!D19)</f>
        <v>13.428571428571429</v>
      </c>
      <c r="E19" s="49">
        <f>AVERAGE('29.07 Ntinda-Kisaasi'!E19,'30.07 Ntinda-Kisaasi'!E19,'31.07 Ntinda-Kisaasi'!E19,'02.08 Ntinda-Kisaasi'!E19,'01.08 Ntinda-Kisaasi-24h'!E19,'03.08 Ntinda-Kisaasi-24h'!E19,'04.08 Ntinda-Kisaasi'!E19)</f>
        <v>5.5714285714285712</v>
      </c>
      <c r="F19" s="49">
        <f>AVERAGE('29.07 Ntinda-Kisaasi'!F19,'30.07 Ntinda-Kisaasi'!F19,'31.07 Ntinda-Kisaasi'!F19,'02.08 Ntinda-Kisaasi'!F19,'01.08 Ntinda-Kisaasi-24h'!F19,'03.08 Ntinda-Kisaasi-24h'!F19,'04.08 Ntinda-Kisaasi'!F19)</f>
        <v>22</v>
      </c>
      <c r="G19" s="49">
        <f>AVERAGE('29.07 Ntinda-Kisaasi'!G19,'30.07 Ntinda-Kisaasi'!G19,'31.07 Ntinda-Kisaasi'!G19,'02.08 Ntinda-Kisaasi'!G19,'01.08 Ntinda-Kisaasi-24h'!G19,'03.08 Ntinda-Kisaasi-24h'!G19,'04.08 Ntinda-Kisaasi'!G19)</f>
        <v>0.14285714285714285</v>
      </c>
      <c r="H19" s="49">
        <f>AVERAGE('29.07 Ntinda-Kisaasi'!H19,'30.07 Ntinda-Kisaasi'!H19,'31.07 Ntinda-Kisaasi'!H19,'02.08 Ntinda-Kisaasi'!H19,'01.08 Ntinda-Kisaasi-24h'!H19,'03.08 Ntinda-Kisaasi-24h'!H19,'04.08 Ntinda-Kisaasi'!H19)</f>
        <v>0.7142857142857143</v>
      </c>
      <c r="I19" s="49">
        <f>AVERAGE('29.07 Ntinda-Kisaasi'!I19,'30.07 Ntinda-Kisaasi'!I19,'31.07 Ntinda-Kisaasi'!I19,'02.08 Ntinda-Kisaasi'!I19,'01.08 Ntinda-Kisaasi-24h'!I19,'03.08 Ntinda-Kisaasi-24h'!I19,'04.08 Ntinda-Kisaasi'!I19)</f>
        <v>3.7142857142857144</v>
      </c>
      <c r="J19" s="49">
        <f>AVERAGE('29.07 Ntinda-Kisaasi'!J19,'30.07 Ntinda-Kisaasi'!J19,'31.07 Ntinda-Kisaasi'!J19,'02.08 Ntinda-Kisaasi'!J19,'01.08 Ntinda-Kisaasi-24h'!J19,'03.08 Ntinda-Kisaasi-24h'!J19,'04.08 Ntinda-Kisaasi'!J19)</f>
        <v>1.1428571428571428</v>
      </c>
      <c r="K19" s="49">
        <f>AVERAGE('29.07 Ntinda-Kisaasi'!K19,'30.07 Ntinda-Kisaasi'!K19,'31.07 Ntinda-Kisaasi'!K19,'02.08 Ntinda-Kisaasi'!K19,'01.08 Ntinda-Kisaasi-24h'!K19,'03.08 Ntinda-Kisaasi-24h'!K19,'04.08 Ntinda-Kisaasi'!K19)</f>
        <v>0.2857142857142857</v>
      </c>
      <c r="L19" s="49">
        <f>AVERAGE('29.07 Ntinda-Kisaasi'!L19,'30.07 Ntinda-Kisaasi'!L19,'31.07 Ntinda-Kisaasi'!L19,'02.08 Ntinda-Kisaasi'!L19,'01.08 Ntinda-Kisaasi-24h'!L19,'03.08 Ntinda-Kisaasi-24h'!L19,'04.08 Ntinda-Kisaasi'!L19)</f>
        <v>0.8571428571428571</v>
      </c>
      <c r="M19" s="49">
        <f>AVERAGE('29.07 Ntinda-Kisaasi'!M19,'30.07 Ntinda-Kisaasi'!M19,'31.07 Ntinda-Kisaasi'!M19,'02.08 Ntinda-Kisaasi'!M19,'01.08 Ntinda-Kisaasi-24h'!M19,'03.08 Ntinda-Kisaasi-24h'!M19,'04.08 Ntinda-Kisaasi'!M19)</f>
        <v>86.285714285714292</v>
      </c>
      <c r="N19" s="49">
        <f>AVERAGE('29.07 Ntinda-Kisaasi'!N19,'30.07 Ntinda-Kisaasi'!N19,'31.07 Ntinda-Kisaasi'!N19,'02.08 Ntinda-Kisaasi'!N19,'01.08 Ntinda-Kisaasi-24h'!N19,'03.08 Ntinda-Kisaasi-24h'!N19,'04.08 Ntinda-Kisaasi'!N19)</f>
        <v>0</v>
      </c>
      <c r="O19" s="15">
        <f t="shared" si="0"/>
        <v>77.428571428571416</v>
      </c>
      <c r="P19" s="15">
        <f t="shared" si="1"/>
        <v>163.71428571428572</v>
      </c>
      <c r="R19" s="1" t="s">
        <v>15</v>
      </c>
      <c r="S19" s="17">
        <f t="shared" ref="S19:AF19" si="11">SUM(C46:C49)</f>
        <v>222.28571428571428</v>
      </c>
      <c r="T19" s="17">
        <f t="shared" si="11"/>
        <v>98.857142857142861</v>
      </c>
      <c r="U19" s="17">
        <f t="shared" si="11"/>
        <v>29.857142857142854</v>
      </c>
      <c r="V19" s="17">
        <f t="shared" si="11"/>
        <v>56.857142857142854</v>
      </c>
      <c r="W19" s="17">
        <f t="shared" si="11"/>
        <v>0.99999999999999989</v>
      </c>
      <c r="X19" s="17">
        <f t="shared" si="11"/>
        <v>0.14285714285714285</v>
      </c>
      <c r="Y19" s="17">
        <f t="shared" si="11"/>
        <v>15.428571428571429</v>
      </c>
      <c r="Z19" s="17">
        <f t="shared" si="11"/>
        <v>6.8571428571428577</v>
      </c>
      <c r="AA19" s="17">
        <f t="shared" si="11"/>
        <v>2.9999999999999996</v>
      </c>
      <c r="AB19" s="17">
        <f t="shared" si="11"/>
        <v>7.1428571428571423</v>
      </c>
      <c r="AC19" s="17">
        <f t="shared" si="11"/>
        <v>326.71428571428572</v>
      </c>
      <c r="AD19" s="17">
        <f t="shared" si="11"/>
        <v>0</v>
      </c>
      <c r="AE19" s="31">
        <f t="shared" si="11"/>
        <v>441.42857142857139</v>
      </c>
      <c r="AF19" s="31">
        <f t="shared" si="11"/>
        <v>768.14285714285711</v>
      </c>
    </row>
    <row r="20" spans="2:32" ht="23.1" customHeight="1" x14ac:dyDescent="0.25">
      <c r="B20" s="23" t="s">
        <v>47</v>
      </c>
      <c r="C20" s="49">
        <f>AVERAGE('29.07 Ntinda-Kisaasi'!C20,'30.07 Ntinda-Kisaasi'!C20,'31.07 Ntinda-Kisaasi'!C20,'02.08 Ntinda-Kisaasi'!C20,'01.08 Ntinda-Kisaasi-24h'!C20,'03.08 Ntinda-Kisaasi-24h'!C20,'04.08 Ntinda-Kisaasi'!C20)</f>
        <v>31.857142857142858</v>
      </c>
      <c r="D20" s="49">
        <f>AVERAGE('29.07 Ntinda-Kisaasi'!D20,'30.07 Ntinda-Kisaasi'!D20,'31.07 Ntinda-Kisaasi'!D20,'02.08 Ntinda-Kisaasi'!D20,'01.08 Ntinda-Kisaasi-24h'!D20,'03.08 Ntinda-Kisaasi-24h'!D20,'04.08 Ntinda-Kisaasi'!D20)</f>
        <v>14.285714285714286</v>
      </c>
      <c r="E20" s="49">
        <f>AVERAGE('29.07 Ntinda-Kisaasi'!E20,'30.07 Ntinda-Kisaasi'!E20,'31.07 Ntinda-Kisaasi'!E20,'02.08 Ntinda-Kisaasi'!E20,'01.08 Ntinda-Kisaasi-24h'!E20,'03.08 Ntinda-Kisaasi-24h'!E20,'04.08 Ntinda-Kisaasi'!E20)</f>
        <v>7.4285714285714288</v>
      </c>
      <c r="F20" s="49">
        <f>AVERAGE('29.07 Ntinda-Kisaasi'!F20,'30.07 Ntinda-Kisaasi'!F20,'31.07 Ntinda-Kisaasi'!F20,'02.08 Ntinda-Kisaasi'!F20,'01.08 Ntinda-Kisaasi-24h'!F20,'03.08 Ntinda-Kisaasi-24h'!F20,'04.08 Ntinda-Kisaasi'!F20)</f>
        <v>22.714285714285715</v>
      </c>
      <c r="G20" s="49">
        <f>AVERAGE('29.07 Ntinda-Kisaasi'!G20,'30.07 Ntinda-Kisaasi'!G20,'31.07 Ntinda-Kisaasi'!G20,'02.08 Ntinda-Kisaasi'!G20,'01.08 Ntinda-Kisaasi-24h'!G20,'03.08 Ntinda-Kisaasi-24h'!G20,'04.08 Ntinda-Kisaasi'!G20)</f>
        <v>0</v>
      </c>
      <c r="H20" s="49">
        <f>AVERAGE('29.07 Ntinda-Kisaasi'!H20,'30.07 Ntinda-Kisaasi'!H20,'31.07 Ntinda-Kisaasi'!H20,'02.08 Ntinda-Kisaasi'!H20,'01.08 Ntinda-Kisaasi-24h'!H20,'03.08 Ntinda-Kisaasi-24h'!H20,'04.08 Ntinda-Kisaasi'!H20)</f>
        <v>0</v>
      </c>
      <c r="I20" s="49">
        <f>AVERAGE('29.07 Ntinda-Kisaasi'!I20,'30.07 Ntinda-Kisaasi'!I20,'31.07 Ntinda-Kisaasi'!I20,'02.08 Ntinda-Kisaasi'!I20,'01.08 Ntinda-Kisaasi-24h'!I20,'03.08 Ntinda-Kisaasi-24h'!I20,'04.08 Ntinda-Kisaasi'!I20)</f>
        <v>3.5714285714285716</v>
      </c>
      <c r="J20" s="49">
        <f>AVERAGE('29.07 Ntinda-Kisaasi'!J20,'30.07 Ntinda-Kisaasi'!J20,'31.07 Ntinda-Kisaasi'!J20,'02.08 Ntinda-Kisaasi'!J20,'01.08 Ntinda-Kisaasi-24h'!J20,'03.08 Ntinda-Kisaasi-24h'!J20,'04.08 Ntinda-Kisaasi'!J20)</f>
        <v>1</v>
      </c>
      <c r="K20" s="49">
        <f>AVERAGE('29.07 Ntinda-Kisaasi'!K20,'30.07 Ntinda-Kisaasi'!K20,'31.07 Ntinda-Kisaasi'!K20,'02.08 Ntinda-Kisaasi'!K20,'01.08 Ntinda-Kisaasi-24h'!K20,'03.08 Ntinda-Kisaasi-24h'!K20,'04.08 Ntinda-Kisaasi'!K20)</f>
        <v>0.14285714285714285</v>
      </c>
      <c r="L20" s="49">
        <f>AVERAGE('29.07 Ntinda-Kisaasi'!L20,'30.07 Ntinda-Kisaasi'!L20,'31.07 Ntinda-Kisaasi'!L20,'02.08 Ntinda-Kisaasi'!L20,'01.08 Ntinda-Kisaasi-24h'!L20,'03.08 Ntinda-Kisaasi-24h'!L20,'04.08 Ntinda-Kisaasi'!L20)</f>
        <v>1.7142857142857142</v>
      </c>
      <c r="M20" s="49">
        <f>AVERAGE('29.07 Ntinda-Kisaasi'!M20,'30.07 Ntinda-Kisaasi'!M20,'31.07 Ntinda-Kisaasi'!M20,'02.08 Ntinda-Kisaasi'!M20,'01.08 Ntinda-Kisaasi-24h'!M20,'03.08 Ntinda-Kisaasi-24h'!M20,'04.08 Ntinda-Kisaasi'!M20)</f>
        <v>104.42857142857143</v>
      </c>
      <c r="N20" s="49">
        <f>AVERAGE('29.07 Ntinda-Kisaasi'!N20,'30.07 Ntinda-Kisaasi'!N20,'31.07 Ntinda-Kisaasi'!N20,'02.08 Ntinda-Kisaasi'!N20,'01.08 Ntinda-Kisaasi-24h'!N20,'03.08 Ntinda-Kisaasi-24h'!N20,'04.08 Ntinda-Kisaasi'!N20)</f>
        <v>0</v>
      </c>
      <c r="O20" s="15">
        <f t="shared" si="0"/>
        <v>82.714285714285708</v>
      </c>
      <c r="P20" s="15">
        <f t="shared" si="1"/>
        <v>187.14285714285714</v>
      </c>
      <c r="R20" s="1" t="s">
        <v>16</v>
      </c>
      <c r="S20" s="17">
        <f t="shared" ref="S20:AF20" si="12">SUM(C50:C53)</f>
        <v>272.28571428571428</v>
      </c>
      <c r="T20" s="17">
        <f t="shared" si="12"/>
        <v>110</v>
      </c>
      <c r="U20" s="17">
        <f t="shared" si="12"/>
        <v>33.571428571428569</v>
      </c>
      <c r="V20" s="17">
        <f t="shared" si="12"/>
        <v>52.428571428571431</v>
      </c>
      <c r="W20" s="17">
        <f t="shared" si="12"/>
        <v>2.7142857142857144</v>
      </c>
      <c r="X20" s="17">
        <f t="shared" si="12"/>
        <v>0</v>
      </c>
      <c r="Y20" s="17">
        <f t="shared" si="12"/>
        <v>15.428571428571427</v>
      </c>
      <c r="Z20" s="17">
        <f t="shared" si="12"/>
        <v>4.5714285714285712</v>
      </c>
      <c r="AA20" s="17">
        <f t="shared" si="12"/>
        <v>1.7142857142857142</v>
      </c>
      <c r="AB20" s="17">
        <f t="shared" si="12"/>
        <v>7.7142857142857135</v>
      </c>
      <c r="AC20" s="17">
        <f t="shared" si="12"/>
        <v>341.57142857142856</v>
      </c>
      <c r="AD20" s="17">
        <f t="shared" si="12"/>
        <v>0</v>
      </c>
      <c r="AE20" s="31">
        <f t="shared" si="12"/>
        <v>500.42857142857133</v>
      </c>
      <c r="AF20" s="31">
        <f t="shared" si="12"/>
        <v>841.99999999999989</v>
      </c>
    </row>
    <row r="21" spans="2:32" ht="23.1" customHeight="1" x14ac:dyDescent="0.25">
      <c r="B21" s="23" t="s">
        <v>48</v>
      </c>
      <c r="C21" s="49">
        <f>AVERAGE('29.07 Ntinda-Kisaasi'!C21,'30.07 Ntinda-Kisaasi'!C21,'31.07 Ntinda-Kisaasi'!C21,'02.08 Ntinda-Kisaasi'!C21,'01.08 Ntinda-Kisaasi-24h'!C21,'03.08 Ntinda-Kisaasi-24h'!C21,'04.08 Ntinda-Kisaasi'!C21)</f>
        <v>27.571428571428573</v>
      </c>
      <c r="D21" s="49">
        <f>AVERAGE('29.07 Ntinda-Kisaasi'!D21,'30.07 Ntinda-Kisaasi'!D21,'31.07 Ntinda-Kisaasi'!D21,'02.08 Ntinda-Kisaasi'!D21,'01.08 Ntinda-Kisaasi-24h'!D21,'03.08 Ntinda-Kisaasi-24h'!D21,'04.08 Ntinda-Kisaasi'!D21)</f>
        <v>16.142857142857142</v>
      </c>
      <c r="E21" s="49">
        <f>AVERAGE('29.07 Ntinda-Kisaasi'!E21,'30.07 Ntinda-Kisaasi'!E21,'31.07 Ntinda-Kisaasi'!E21,'02.08 Ntinda-Kisaasi'!E21,'01.08 Ntinda-Kisaasi-24h'!E21,'03.08 Ntinda-Kisaasi-24h'!E21,'04.08 Ntinda-Kisaasi'!E21)</f>
        <v>6.8571428571428568</v>
      </c>
      <c r="F21" s="49">
        <f>AVERAGE('29.07 Ntinda-Kisaasi'!F21,'30.07 Ntinda-Kisaasi'!F21,'31.07 Ntinda-Kisaasi'!F21,'02.08 Ntinda-Kisaasi'!F21,'01.08 Ntinda-Kisaasi-24h'!F21,'03.08 Ntinda-Kisaasi-24h'!F21,'04.08 Ntinda-Kisaasi'!F21)</f>
        <v>18.285714285714285</v>
      </c>
      <c r="G21" s="49">
        <f>AVERAGE('29.07 Ntinda-Kisaasi'!G21,'30.07 Ntinda-Kisaasi'!G21,'31.07 Ntinda-Kisaasi'!G21,'02.08 Ntinda-Kisaasi'!G21,'01.08 Ntinda-Kisaasi-24h'!G21,'03.08 Ntinda-Kisaasi-24h'!G21,'04.08 Ntinda-Kisaasi'!G21)</f>
        <v>0.14285714285714285</v>
      </c>
      <c r="H21" s="49">
        <f>AVERAGE('29.07 Ntinda-Kisaasi'!H21,'30.07 Ntinda-Kisaasi'!H21,'31.07 Ntinda-Kisaasi'!H21,'02.08 Ntinda-Kisaasi'!H21,'01.08 Ntinda-Kisaasi-24h'!H21,'03.08 Ntinda-Kisaasi-24h'!H21,'04.08 Ntinda-Kisaasi'!H21)</f>
        <v>0</v>
      </c>
      <c r="I21" s="49">
        <f>AVERAGE('29.07 Ntinda-Kisaasi'!I21,'30.07 Ntinda-Kisaasi'!I21,'31.07 Ntinda-Kisaasi'!I21,'02.08 Ntinda-Kisaasi'!I21,'01.08 Ntinda-Kisaasi-24h'!I21,'03.08 Ntinda-Kisaasi-24h'!I21,'04.08 Ntinda-Kisaasi'!I21)</f>
        <v>3.7142857142857144</v>
      </c>
      <c r="J21" s="49">
        <f>AVERAGE('29.07 Ntinda-Kisaasi'!J21,'30.07 Ntinda-Kisaasi'!J21,'31.07 Ntinda-Kisaasi'!J21,'02.08 Ntinda-Kisaasi'!J21,'01.08 Ntinda-Kisaasi-24h'!J21,'03.08 Ntinda-Kisaasi-24h'!J21,'04.08 Ntinda-Kisaasi'!J21)</f>
        <v>0.8571428571428571</v>
      </c>
      <c r="K21" s="49">
        <f>AVERAGE('29.07 Ntinda-Kisaasi'!K21,'30.07 Ntinda-Kisaasi'!K21,'31.07 Ntinda-Kisaasi'!K21,'02.08 Ntinda-Kisaasi'!K21,'01.08 Ntinda-Kisaasi-24h'!K21,'03.08 Ntinda-Kisaasi-24h'!K21,'04.08 Ntinda-Kisaasi'!K21)</f>
        <v>0.14285714285714285</v>
      </c>
      <c r="L21" s="49">
        <f>AVERAGE('29.07 Ntinda-Kisaasi'!L21,'30.07 Ntinda-Kisaasi'!L21,'31.07 Ntinda-Kisaasi'!L21,'02.08 Ntinda-Kisaasi'!L21,'01.08 Ntinda-Kisaasi-24h'!L21,'03.08 Ntinda-Kisaasi-24h'!L21,'04.08 Ntinda-Kisaasi'!L21)</f>
        <v>1.4285714285714286</v>
      </c>
      <c r="M21" s="49">
        <f>AVERAGE('29.07 Ntinda-Kisaasi'!M21,'30.07 Ntinda-Kisaasi'!M21,'31.07 Ntinda-Kisaasi'!M21,'02.08 Ntinda-Kisaasi'!M21,'01.08 Ntinda-Kisaasi-24h'!M21,'03.08 Ntinda-Kisaasi-24h'!M21,'04.08 Ntinda-Kisaasi'!M21)</f>
        <v>96.857142857142861</v>
      </c>
      <c r="N21" s="49">
        <f>AVERAGE('29.07 Ntinda-Kisaasi'!N21,'30.07 Ntinda-Kisaasi'!N21,'31.07 Ntinda-Kisaasi'!N21,'02.08 Ntinda-Kisaasi'!N21,'01.08 Ntinda-Kisaasi-24h'!N21,'03.08 Ntinda-Kisaasi-24h'!N21,'04.08 Ntinda-Kisaasi'!N21)</f>
        <v>0</v>
      </c>
      <c r="O21" s="15">
        <f t="shared" si="0"/>
        <v>75.142857142857139</v>
      </c>
      <c r="P21" s="15">
        <f t="shared" si="1"/>
        <v>172</v>
      </c>
      <c r="R21" s="36" t="s">
        <v>20</v>
      </c>
      <c r="S21" s="34">
        <f t="shared" ref="S21:AF21" si="13">SUM(C54:C57)</f>
        <v>237.14285714285714</v>
      </c>
      <c r="T21" s="17">
        <f t="shared" si="13"/>
        <v>96.857142857142861</v>
      </c>
      <c r="U21" s="17">
        <f t="shared" si="13"/>
        <v>28.857142857142858</v>
      </c>
      <c r="V21" s="17">
        <f t="shared" si="13"/>
        <v>54.857142857142861</v>
      </c>
      <c r="W21" s="17">
        <f t="shared" si="13"/>
        <v>0.42857142857142855</v>
      </c>
      <c r="X21" s="17">
        <f t="shared" si="13"/>
        <v>0</v>
      </c>
      <c r="Y21" s="17">
        <f t="shared" si="13"/>
        <v>10.714285714285714</v>
      </c>
      <c r="Z21" s="17">
        <f t="shared" si="13"/>
        <v>6.5714285714285712</v>
      </c>
      <c r="AA21" s="17">
        <f t="shared" si="13"/>
        <v>2</v>
      </c>
      <c r="AB21" s="17">
        <f t="shared" si="13"/>
        <v>6.8571428571428568</v>
      </c>
      <c r="AC21" s="17">
        <f t="shared" si="13"/>
        <v>317.14285714285711</v>
      </c>
      <c r="AD21" s="17">
        <f t="shared" si="13"/>
        <v>0</v>
      </c>
      <c r="AE21" s="31">
        <f t="shared" si="13"/>
        <v>444.28571428571433</v>
      </c>
      <c r="AF21" s="31">
        <f t="shared" si="13"/>
        <v>761.42857142857144</v>
      </c>
    </row>
    <row r="22" spans="2:32" ht="23.1" customHeight="1" x14ac:dyDescent="0.25">
      <c r="B22" s="23" t="s">
        <v>49</v>
      </c>
      <c r="C22" s="49">
        <f>AVERAGE('29.07 Ntinda-Kisaasi'!C22,'30.07 Ntinda-Kisaasi'!C22,'31.07 Ntinda-Kisaasi'!C22,'02.08 Ntinda-Kisaasi'!C22,'01.08 Ntinda-Kisaasi-24h'!C22,'03.08 Ntinda-Kisaasi-24h'!C22,'04.08 Ntinda-Kisaasi'!C22)</f>
        <v>30.714285714285715</v>
      </c>
      <c r="D22" s="49">
        <f>AVERAGE('29.07 Ntinda-Kisaasi'!D22,'30.07 Ntinda-Kisaasi'!D22,'31.07 Ntinda-Kisaasi'!D22,'02.08 Ntinda-Kisaasi'!D22,'01.08 Ntinda-Kisaasi-24h'!D22,'03.08 Ntinda-Kisaasi-24h'!D22,'04.08 Ntinda-Kisaasi'!D22)</f>
        <v>16</v>
      </c>
      <c r="E22" s="49">
        <f>AVERAGE('29.07 Ntinda-Kisaasi'!E22,'30.07 Ntinda-Kisaasi'!E22,'31.07 Ntinda-Kisaasi'!E22,'02.08 Ntinda-Kisaasi'!E22,'01.08 Ntinda-Kisaasi-24h'!E22,'03.08 Ntinda-Kisaasi-24h'!E22,'04.08 Ntinda-Kisaasi'!E22)</f>
        <v>7.2857142857142856</v>
      </c>
      <c r="F22" s="49">
        <f>AVERAGE('29.07 Ntinda-Kisaasi'!F22,'30.07 Ntinda-Kisaasi'!F22,'31.07 Ntinda-Kisaasi'!F22,'02.08 Ntinda-Kisaasi'!F22,'01.08 Ntinda-Kisaasi-24h'!F22,'03.08 Ntinda-Kisaasi-24h'!F22,'04.08 Ntinda-Kisaasi'!F22)</f>
        <v>16.714285714285715</v>
      </c>
      <c r="G22" s="49">
        <f>AVERAGE('29.07 Ntinda-Kisaasi'!G22,'30.07 Ntinda-Kisaasi'!G22,'31.07 Ntinda-Kisaasi'!G22,'02.08 Ntinda-Kisaasi'!G22,'01.08 Ntinda-Kisaasi-24h'!G22,'03.08 Ntinda-Kisaasi-24h'!G22,'04.08 Ntinda-Kisaasi'!G22)</f>
        <v>0.14285714285714285</v>
      </c>
      <c r="H22" s="49">
        <f>AVERAGE('29.07 Ntinda-Kisaasi'!H22,'30.07 Ntinda-Kisaasi'!H22,'31.07 Ntinda-Kisaasi'!H22,'02.08 Ntinda-Kisaasi'!H22,'01.08 Ntinda-Kisaasi-24h'!H22,'03.08 Ntinda-Kisaasi-24h'!H22,'04.08 Ntinda-Kisaasi'!H22)</f>
        <v>0</v>
      </c>
      <c r="I22" s="49">
        <f>AVERAGE('29.07 Ntinda-Kisaasi'!I22,'30.07 Ntinda-Kisaasi'!I22,'31.07 Ntinda-Kisaasi'!I22,'02.08 Ntinda-Kisaasi'!I22,'01.08 Ntinda-Kisaasi-24h'!I22,'03.08 Ntinda-Kisaasi-24h'!I22,'04.08 Ntinda-Kisaasi'!I22)</f>
        <v>3</v>
      </c>
      <c r="J22" s="49">
        <f>AVERAGE('29.07 Ntinda-Kisaasi'!J22,'30.07 Ntinda-Kisaasi'!J22,'31.07 Ntinda-Kisaasi'!J22,'02.08 Ntinda-Kisaasi'!J22,'01.08 Ntinda-Kisaasi-24h'!J22,'03.08 Ntinda-Kisaasi-24h'!J22,'04.08 Ntinda-Kisaasi'!J22)</f>
        <v>1.5714285714285714</v>
      </c>
      <c r="K22" s="49">
        <f>AVERAGE('29.07 Ntinda-Kisaasi'!K22,'30.07 Ntinda-Kisaasi'!K22,'31.07 Ntinda-Kisaasi'!K22,'02.08 Ntinda-Kisaasi'!K22,'01.08 Ntinda-Kisaasi-24h'!K22,'03.08 Ntinda-Kisaasi-24h'!K22,'04.08 Ntinda-Kisaasi'!K22)</f>
        <v>0</v>
      </c>
      <c r="L22" s="49">
        <f>AVERAGE('29.07 Ntinda-Kisaasi'!L22,'30.07 Ntinda-Kisaasi'!L22,'31.07 Ntinda-Kisaasi'!L22,'02.08 Ntinda-Kisaasi'!L22,'01.08 Ntinda-Kisaasi-24h'!L22,'03.08 Ntinda-Kisaasi-24h'!L22,'04.08 Ntinda-Kisaasi'!L22)</f>
        <v>2</v>
      </c>
      <c r="M22" s="49">
        <f>AVERAGE('29.07 Ntinda-Kisaasi'!M22,'30.07 Ntinda-Kisaasi'!M22,'31.07 Ntinda-Kisaasi'!M22,'02.08 Ntinda-Kisaasi'!M22,'01.08 Ntinda-Kisaasi-24h'!M22,'03.08 Ntinda-Kisaasi-24h'!M22,'04.08 Ntinda-Kisaasi'!M22)</f>
        <v>88</v>
      </c>
      <c r="N22" s="49">
        <f>AVERAGE('29.07 Ntinda-Kisaasi'!N22,'30.07 Ntinda-Kisaasi'!N22,'31.07 Ntinda-Kisaasi'!N22,'02.08 Ntinda-Kisaasi'!N22,'01.08 Ntinda-Kisaasi-24h'!N22,'03.08 Ntinda-Kisaasi-24h'!N22,'04.08 Ntinda-Kisaasi'!N22)</f>
        <v>0</v>
      </c>
      <c r="O22" s="15">
        <f t="shared" si="0"/>
        <v>77.428571428571431</v>
      </c>
      <c r="P22" s="15">
        <f t="shared" si="1"/>
        <v>165.42857142857144</v>
      </c>
      <c r="R22" s="1" t="s">
        <v>146</v>
      </c>
      <c r="S22" s="34">
        <f>SUM(C58:C61)</f>
        <v>125.06902915194684</v>
      </c>
      <c r="T22" s="34">
        <f t="shared" ref="T22:AF33" si="14">SUM(D58:D61)</f>
        <v>62.088745097451529</v>
      </c>
      <c r="U22" s="34">
        <f t="shared" si="14"/>
        <v>17.435145473792112</v>
      </c>
      <c r="V22" s="34">
        <f t="shared" si="14"/>
        <v>43.342599529921543</v>
      </c>
      <c r="W22" s="34">
        <f t="shared" si="14"/>
        <v>3.1405715996349927E-3</v>
      </c>
      <c r="X22" s="34">
        <f t="shared" si="14"/>
        <v>4.8237623481897087E-4</v>
      </c>
      <c r="Y22" s="34">
        <f t="shared" si="14"/>
        <v>7.2590263761237992</v>
      </c>
      <c r="Z22" s="34">
        <f t="shared" si="14"/>
        <v>7.6602016089958314</v>
      </c>
      <c r="AA22" s="34">
        <f t="shared" si="14"/>
        <v>1.7204032324498642</v>
      </c>
      <c r="AB22" s="34">
        <f t="shared" si="14"/>
        <v>0.9480417516812103</v>
      </c>
      <c r="AC22" s="34">
        <f t="shared" si="14"/>
        <v>268.54446425192475</v>
      </c>
      <c r="AD22" s="34">
        <f t="shared" si="14"/>
        <v>1.4914930665316077E-4</v>
      </c>
      <c r="AE22" s="52">
        <f t="shared" si="14"/>
        <v>393</v>
      </c>
      <c r="AF22" s="52">
        <f t="shared" si="14"/>
        <v>713</v>
      </c>
    </row>
    <row r="23" spans="2:32" ht="23.1" customHeight="1" x14ac:dyDescent="0.25">
      <c r="B23" s="23" t="s">
        <v>50</v>
      </c>
      <c r="C23" s="49">
        <f>AVERAGE('29.07 Ntinda-Kisaasi'!C23,'30.07 Ntinda-Kisaasi'!C23,'31.07 Ntinda-Kisaasi'!C23,'02.08 Ntinda-Kisaasi'!C23,'01.08 Ntinda-Kisaasi-24h'!C23,'03.08 Ntinda-Kisaasi-24h'!C23,'04.08 Ntinda-Kisaasi'!C23)</f>
        <v>42.142857142857146</v>
      </c>
      <c r="D23" s="49">
        <f>AVERAGE('29.07 Ntinda-Kisaasi'!D23,'30.07 Ntinda-Kisaasi'!D23,'31.07 Ntinda-Kisaasi'!D23,'02.08 Ntinda-Kisaasi'!D23,'01.08 Ntinda-Kisaasi-24h'!D23,'03.08 Ntinda-Kisaasi-24h'!D23,'04.08 Ntinda-Kisaasi'!D23)</f>
        <v>19.285714285714285</v>
      </c>
      <c r="E23" s="49">
        <f>AVERAGE('29.07 Ntinda-Kisaasi'!E23,'30.07 Ntinda-Kisaasi'!E23,'31.07 Ntinda-Kisaasi'!E23,'02.08 Ntinda-Kisaasi'!E23,'01.08 Ntinda-Kisaasi-24h'!E23,'03.08 Ntinda-Kisaasi-24h'!E23,'04.08 Ntinda-Kisaasi'!E23)</f>
        <v>7.7142857142857144</v>
      </c>
      <c r="F23" s="49">
        <f>AVERAGE('29.07 Ntinda-Kisaasi'!F23,'30.07 Ntinda-Kisaasi'!F23,'31.07 Ntinda-Kisaasi'!F23,'02.08 Ntinda-Kisaasi'!F23,'01.08 Ntinda-Kisaasi-24h'!F23,'03.08 Ntinda-Kisaasi-24h'!F23,'04.08 Ntinda-Kisaasi'!F23)</f>
        <v>21.714285714285715</v>
      </c>
      <c r="G23" s="49">
        <f>AVERAGE('29.07 Ntinda-Kisaasi'!G23,'30.07 Ntinda-Kisaasi'!G23,'31.07 Ntinda-Kisaasi'!G23,'02.08 Ntinda-Kisaasi'!G23,'01.08 Ntinda-Kisaasi-24h'!G23,'03.08 Ntinda-Kisaasi-24h'!G23,'04.08 Ntinda-Kisaasi'!G23)</f>
        <v>0</v>
      </c>
      <c r="H23" s="49">
        <f>AVERAGE('29.07 Ntinda-Kisaasi'!H23,'30.07 Ntinda-Kisaasi'!H23,'31.07 Ntinda-Kisaasi'!H23,'02.08 Ntinda-Kisaasi'!H23,'01.08 Ntinda-Kisaasi-24h'!H23,'03.08 Ntinda-Kisaasi-24h'!H23,'04.08 Ntinda-Kisaasi'!H23)</f>
        <v>0</v>
      </c>
      <c r="I23" s="49">
        <f>AVERAGE('29.07 Ntinda-Kisaasi'!I23,'30.07 Ntinda-Kisaasi'!I23,'31.07 Ntinda-Kisaasi'!I23,'02.08 Ntinda-Kisaasi'!I23,'01.08 Ntinda-Kisaasi-24h'!I23,'03.08 Ntinda-Kisaasi-24h'!I23,'04.08 Ntinda-Kisaasi'!I23)</f>
        <v>6</v>
      </c>
      <c r="J23" s="49">
        <f>AVERAGE('29.07 Ntinda-Kisaasi'!J23,'30.07 Ntinda-Kisaasi'!J23,'31.07 Ntinda-Kisaasi'!J23,'02.08 Ntinda-Kisaasi'!J23,'01.08 Ntinda-Kisaasi-24h'!J23,'03.08 Ntinda-Kisaasi-24h'!J23,'04.08 Ntinda-Kisaasi'!J23)</f>
        <v>1.5714285714285714</v>
      </c>
      <c r="K23" s="49">
        <f>AVERAGE('29.07 Ntinda-Kisaasi'!K23,'30.07 Ntinda-Kisaasi'!K23,'31.07 Ntinda-Kisaasi'!K23,'02.08 Ntinda-Kisaasi'!K23,'01.08 Ntinda-Kisaasi-24h'!K23,'03.08 Ntinda-Kisaasi-24h'!K23,'04.08 Ntinda-Kisaasi'!K23)</f>
        <v>0.5714285714285714</v>
      </c>
      <c r="L23" s="49">
        <f>AVERAGE('29.07 Ntinda-Kisaasi'!L23,'30.07 Ntinda-Kisaasi'!L23,'31.07 Ntinda-Kisaasi'!L23,'02.08 Ntinda-Kisaasi'!L23,'01.08 Ntinda-Kisaasi-24h'!L23,'03.08 Ntinda-Kisaasi-24h'!L23,'04.08 Ntinda-Kisaasi'!L23)</f>
        <v>2</v>
      </c>
      <c r="M23" s="49">
        <f>AVERAGE('29.07 Ntinda-Kisaasi'!M23,'30.07 Ntinda-Kisaasi'!M23,'31.07 Ntinda-Kisaasi'!M23,'02.08 Ntinda-Kisaasi'!M23,'01.08 Ntinda-Kisaasi-24h'!M23,'03.08 Ntinda-Kisaasi-24h'!M23,'04.08 Ntinda-Kisaasi'!M23)</f>
        <v>99.285714285714292</v>
      </c>
      <c r="N23" s="49">
        <f>AVERAGE('29.07 Ntinda-Kisaasi'!N23,'30.07 Ntinda-Kisaasi'!N23,'31.07 Ntinda-Kisaasi'!N23,'02.08 Ntinda-Kisaasi'!N23,'01.08 Ntinda-Kisaasi-24h'!N23,'03.08 Ntinda-Kisaasi-24h'!N23,'04.08 Ntinda-Kisaasi'!N23)</f>
        <v>0</v>
      </c>
      <c r="O23" s="15">
        <f t="shared" si="0"/>
        <v>101</v>
      </c>
      <c r="P23" s="15">
        <f t="shared" si="1"/>
        <v>200.28571428571428</v>
      </c>
      <c r="R23" s="1" t="s">
        <v>147</v>
      </c>
      <c r="S23" s="34">
        <f t="shared" ref="S23:S33" si="15">SUM(C59:C62)</f>
        <v>105.56902915194684</v>
      </c>
      <c r="T23" s="34">
        <f t="shared" si="14"/>
        <v>54.588745097451529</v>
      </c>
      <c r="U23" s="34">
        <f t="shared" si="14"/>
        <v>15.435145473792115</v>
      </c>
      <c r="V23" s="34">
        <f t="shared" si="14"/>
        <v>41.842599529921543</v>
      </c>
      <c r="W23" s="34">
        <f t="shared" si="14"/>
        <v>3.1405715996349927E-3</v>
      </c>
      <c r="X23" s="34">
        <f t="shared" si="14"/>
        <v>4.8237623481897087E-4</v>
      </c>
      <c r="Y23" s="34">
        <f t="shared" si="14"/>
        <v>4.2590263761238001</v>
      </c>
      <c r="Z23" s="34">
        <f t="shared" si="14"/>
        <v>7.1602016089958314</v>
      </c>
      <c r="AA23" s="34">
        <f t="shared" si="14"/>
        <v>1.2204032324498644</v>
      </c>
      <c r="AB23" s="34">
        <f t="shared" si="14"/>
        <v>0.9480417516812103</v>
      </c>
      <c r="AC23" s="34">
        <f t="shared" si="14"/>
        <v>288.54446425192475</v>
      </c>
      <c r="AD23" s="34">
        <f t="shared" si="14"/>
        <v>1.4914930665316077E-4</v>
      </c>
      <c r="AE23" s="52">
        <f t="shared" si="14"/>
        <v>358.5</v>
      </c>
      <c r="AF23" s="52">
        <f t="shared" si="14"/>
        <v>698.5</v>
      </c>
    </row>
    <row r="24" spans="2:32" ht="23.1" customHeight="1" x14ac:dyDescent="0.25">
      <c r="B24" s="23" t="s">
        <v>51</v>
      </c>
      <c r="C24" s="49">
        <f>AVERAGE('29.07 Ntinda-Kisaasi'!C24,'30.07 Ntinda-Kisaasi'!C24,'31.07 Ntinda-Kisaasi'!C24,'02.08 Ntinda-Kisaasi'!C24,'01.08 Ntinda-Kisaasi-24h'!C24,'03.08 Ntinda-Kisaasi-24h'!C24,'04.08 Ntinda-Kisaasi'!C24)</f>
        <v>29.428571428571427</v>
      </c>
      <c r="D24" s="49">
        <f>AVERAGE('29.07 Ntinda-Kisaasi'!D24,'30.07 Ntinda-Kisaasi'!D24,'31.07 Ntinda-Kisaasi'!D24,'02.08 Ntinda-Kisaasi'!D24,'01.08 Ntinda-Kisaasi-24h'!D24,'03.08 Ntinda-Kisaasi-24h'!D24,'04.08 Ntinda-Kisaasi'!D24)</f>
        <v>18.285714285714285</v>
      </c>
      <c r="E24" s="49">
        <f>AVERAGE('29.07 Ntinda-Kisaasi'!E24,'30.07 Ntinda-Kisaasi'!E24,'31.07 Ntinda-Kisaasi'!E24,'02.08 Ntinda-Kisaasi'!E24,'01.08 Ntinda-Kisaasi-24h'!E24,'03.08 Ntinda-Kisaasi-24h'!E24,'04.08 Ntinda-Kisaasi'!E24)</f>
        <v>6.8571428571428568</v>
      </c>
      <c r="F24" s="49">
        <f>AVERAGE('29.07 Ntinda-Kisaasi'!F24,'30.07 Ntinda-Kisaasi'!F24,'31.07 Ntinda-Kisaasi'!F24,'02.08 Ntinda-Kisaasi'!F24,'01.08 Ntinda-Kisaasi-24h'!F24,'03.08 Ntinda-Kisaasi-24h'!F24,'04.08 Ntinda-Kisaasi'!F24)</f>
        <v>16</v>
      </c>
      <c r="G24" s="49">
        <f>AVERAGE('29.07 Ntinda-Kisaasi'!G24,'30.07 Ntinda-Kisaasi'!G24,'31.07 Ntinda-Kisaasi'!G24,'02.08 Ntinda-Kisaasi'!G24,'01.08 Ntinda-Kisaasi-24h'!G24,'03.08 Ntinda-Kisaasi-24h'!G24,'04.08 Ntinda-Kisaasi'!G24)</f>
        <v>0.42857142857142855</v>
      </c>
      <c r="H24" s="49">
        <f>AVERAGE('29.07 Ntinda-Kisaasi'!H24,'30.07 Ntinda-Kisaasi'!H24,'31.07 Ntinda-Kisaasi'!H24,'02.08 Ntinda-Kisaasi'!H24,'01.08 Ntinda-Kisaasi-24h'!H24,'03.08 Ntinda-Kisaasi-24h'!H24,'04.08 Ntinda-Kisaasi'!H24)</f>
        <v>0</v>
      </c>
      <c r="I24" s="49">
        <f>AVERAGE('29.07 Ntinda-Kisaasi'!I24,'30.07 Ntinda-Kisaasi'!I24,'31.07 Ntinda-Kisaasi'!I24,'02.08 Ntinda-Kisaasi'!I24,'01.08 Ntinda-Kisaasi-24h'!I24,'03.08 Ntinda-Kisaasi-24h'!I24,'04.08 Ntinda-Kisaasi'!I24)</f>
        <v>4.1428571428571432</v>
      </c>
      <c r="J24" s="49">
        <f>AVERAGE('29.07 Ntinda-Kisaasi'!J24,'30.07 Ntinda-Kisaasi'!J24,'31.07 Ntinda-Kisaasi'!J24,'02.08 Ntinda-Kisaasi'!J24,'01.08 Ntinda-Kisaasi-24h'!J24,'03.08 Ntinda-Kisaasi-24h'!J24,'04.08 Ntinda-Kisaasi'!J24)</f>
        <v>1.2857142857142858</v>
      </c>
      <c r="K24" s="49">
        <f>AVERAGE('29.07 Ntinda-Kisaasi'!K24,'30.07 Ntinda-Kisaasi'!K24,'31.07 Ntinda-Kisaasi'!K24,'02.08 Ntinda-Kisaasi'!K24,'01.08 Ntinda-Kisaasi-24h'!K24,'03.08 Ntinda-Kisaasi-24h'!K24,'04.08 Ntinda-Kisaasi'!K24)</f>
        <v>0.42857142857142855</v>
      </c>
      <c r="L24" s="49">
        <f>AVERAGE('29.07 Ntinda-Kisaasi'!L24,'30.07 Ntinda-Kisaasi'!L24,'31.07 Ntinda-Kisaasi'!L24,'02.08 Ntinda-Kisaasi'!L24,'01.08 Ntinda-Kisaasi-24h'!L24,'03.08 Ntinda-Kisaasi-24h'!L24,'04.08 Ntinda-Kisaasi'!L24)</f>
        <v>1.7142857142857142</v>
      </c>
      <c r="M24" s="49">
        <f>AVERAGE('29.07 Ntinda-Kisaasi'!M24,'30.07 Ntinda-Kisaasi'!M24,'31.07 Ntinda-Kisaasi'!M24,'02.08 Ntinda-Kisaasi'!M24,'01.08 Ntinda-Kisaasi-24h'!M24,'03.08 Ntinda-Kisaasi-24h'!M24,'04.08 Ntinda-Kisaasi'!M24)</f>
        <v>83</v>
      </c>
      <c r="N24" s="49">
        <f>AVERAGE('29.07 Ntinda-Kisaasi'!N24,'30.07 Ntinda-Kisaasi'!N24,'31.07 Ntinda-Kisaasi'!N24,'02.08 Ntinda-Kisaasi'!N24,'01.08 Ntinda-Kisaasi-24h'!N24,'03.08 Ntinda-Kisaasi-24h'!N24,'04.08 Ntinda-Kisaasi'!N24)</f>
        <v>0</v>
      </c>
      <c r="O24" s="15">
        <f t="shared" si="0"/>
        <v>78.571428571428555</v>
      </c>
      <c r="P24" s="15">
        <f t="shared" si="1"/>
        <v>161.57142857142856</v>
      </c>
      <c r="R24" s="1" t="s">
        <v>148</v>
      </c>
      <c r="S24" s="34">
        <f t="shared" si="15"/>
        <v>135.96653164894738</v>
      </c>
      <c r="T24" s="34">
        <f t="shared" si="14"/>
        <v>73.079308263330432</v>
      </c>
      <c r="U24" s="34">
        <f t="shared" si="14"/>
        <v>15.336406395271036</v>
      </c>
      <c r="V24" s="34">
        <f t="shared" si="14"/>
        <v>54.486932976993216</v>
      </c>
      <c r="W24" s="34">
        <f t="shared" si="14"/>
        <v>2.038434554347619E-3</v>
      </c>
      <c r="X24" s="34">
        <f t="shared" si="14"/>
        <v>3.124769912953956E-4</v>
      </c>
      <c r="Y24" s="34">
        <f t="shared" si="14"/>
        <v>4.9576494246946652</v>
      </c>
      <c r="Z24" s="34">
        <f t="shared" si="14"/>
        <v>6.5826989540287766</v>
      </c>
      <c r="AA24" s="34">
        <f t="shared" si="14"/>
        <v>1.2896883506211028</v>
      </c>
      <c r="AB24" s="34">
        <f t="shared" si="14"/>
        <v>1.6554780879213549</v>
      </c>
      <c r="AC24" s="34">
        <f t="shared" si="14"/>
        <v>337.5</v>
      </c>
      <c r="AD24" s="34">
        <f t="shared" si="14"/>
        <v>9.7843789264120916E-5</v>
      </c>
      <c r="AE24" s="52">
        <f t="shared" si="14"/>
        <v>353</v>
      </c>
      <c r="AF24" s="52">
        <f t="shared" si="14"/>
        <v>690.5</v>
      </c>
    </row>
    <row r="25" spans="2:32" ht="23.1" customHeight="1" x14ac:dyDescent="0.25">
      <c r="B25" s="23" t="s">
        <v>52</v>
      </c>
      <c r="C25" s="49">
        <f>AVERAGE('29.07 Ntinda-Kisaasi'!C25,'30.07 Ntinda-Kisaasi'!C25,'31.07 Ntinda-Kisaasi'!C25,'02.08 Ntinda-Kisaasi'!C25,'01.08 Ntinda-Kisaasi-24h'!C25,'03.08 Ntinda-Kisaasi-24h'!C25,'04.08 Ntinda-Kisaasi'!C25)</f>
        <v>30.428571428571427</v>
      </c>
      <c r="D25" s="49">
        <f>AVERAGE('29.07 Ntinda-Kisaasi'!D25,'30.07 Ntinda-Kisaasi'!D25,'31.07 Ntinda-Kisaasi'!D25,'02.08 Ntinda-Kisaasi'!D25,'01.08 Ntinda-Kisaasi-24h'!D25,'03.08 Ntinda-Kisaasi-24h'!D25,'04.08 Ntinda-Kisaasi'!D25)</f>
        <v>16.714285714285715</v>
      </c>
      <c r="E25" s="49">
        <f>AVERAGE('29.07 Ntinda-Kisaasi'!E25,'30.07 Ntinda-Kisaasi'!E25,'31.07 Ntinda-Kisaasi'!E25,'02.08 Ntinda-Kisaasi'!E25,'01.08 Ntinda-Kisaasi-24h'!E25,'03.08 Ntinda-Kisaasi-24h'!E25,'04.08 Ntinda-Kisaasi'!E25)</f>
        <v>7.2857142857142856</v>
      </c>
      <c r="F25" s="49">
        <f>AVERAGE('29.07 Ntinda-Kisaasi'!F25,'30.07 Ntinda-Kisaasi'!F25,'31.07 Ntinda-Kisaasi'!F25,'02.08 Ntinda-Kisaasi'!F25,'01.08 Ntinda-Kisaasi-24h'!F25,'03.08 Ntinda-Kisaasi-24h'!F25,'04.08 Ntinda-Kisaasi'!F25)</f>
        <v>14.571428571428571</v>
      </c>
      <c r="G25" s="49">
        <f>AVERAGE('29.07 Ntinda-Kisaasi'!G25,'30.07 Ntinda-Kisaasi'!G25,'31.07 Ntinda-Kisaasi'!G25,'02.08 Ntinda-Kisaasi'!G25,'01.08 Ntinda-Kisaasi-24h'!G25,'03.08 Ntinda-Kisaasi-24h'!G25,'04.08 Ntinda-Kisaasi'!G25)</f>
        <v>0.14285714285714285</v>
      </c>
      <c r="H25" s="49">
        <f>AVERAGE('29.07 Ntinda-Kisaasi'!H25,'30.07 Ntinda-Kisaasi'!H25,'31.07 Ntinda-Kisaasi'!H25,'02.08 Ntinda-Kisaasi'!H25,'01.08 Ntinda-Kisaasi-24h'!H25,'03.08 Ntinda-Kisaasi-24h'!H25,'04.08 Ntinda-Kisaasi'!H25)</f>
        <v>0</v>
      </c>
      <c r="I25" s="49">
        <f>AVERAGE('29.07 Ntinda-Kisaasi'!I25,'30.07 Ntinda-Kisaasi'!I25,'31.07 Ntinda-Kisaasi'!I25,'02.08 Ntinda-Kisaasi'!I25,'01.08 Ntinda-Kisaasi-24h'!I25,'03.08 Ntinda-Kisaasi-24h'!I25,'04.08 Ntinda-Kisaasi'!I25)</f>
        <v>3.7142857142857144</v>
      </c>
      <c r="J25" s="49">
        <f>AVERAGE('29.07 Ntinda-Kisaasi'!J25,'30.07 Ntinda-Kisaasi'!J25,'31.07 Ntinda-Kisaasi'!J25,'02.08 Ntinda-Kisaasi'!J25,'01.08 Ntinda-Kisaasi-24h'!J25,'03.08 Ntinda-Kisaasi-24h'!J25,'04.08 Ntinda-Kisaasi'!J25)</f>
        <v>1</v>
      </c>
      <c r="K25" s="49">
        <f>AVERAGE('29.07 Ntinda-Kisaasi'!K25,'30.07 Ntinda-Kisaasi'!K25,'31.07 Ntinda-Kisaasi'!K25,'02.08 Ntinda-Kisaasi'!K25,'01.08 Ntinda-Kisaasi-24h'!K25,'03.08 Ntinda-Kisaasi-24h'!K25,'04.08 Ntinda-Kisaasi'!K25)</f>
        <v>0.5714285714285714</v>
      </c>
      <c r="L25" s="49">
        <f>AVERAGE('29.07 Ntinda-Kisaasi'!L25,'30.07 Ntinda-Kisaasi'!L25,'31.07 Ntinda-Kisaasi'!L25,'02.08 Ntinda-Kisaasi'!L25,'01.08 Ntinda-Kisaasi-24h'!L25,'03.08 Ntinda-Kisaasi-24h'!L25,'04.08 Ntinda-Kisaasi'!L25)</f>
        <v>1.8571428571428572</v>
      </c>
      <c r="M25" s="49">
        <f>AVERAGE('29.07 Ntinda-Kisaasi'!M25,'30.07 Ntinda-Kisaasi'!M25,'31.07 Ntinda-Kisaasi'!M25,'02.08 Ntinda-Kisaasi'!M25,'01.08 Ntinda-Kisaasi-24h'!M25,'03.08 Ntinda-Kisaasi-24h'!M25,'04.08 Ntinda-Kisaasi'!M25)</f>
        <v>103.85714285714286</v>
      </c>
      <c r="N25" s="49">
        <f>AVERAGE('29.07 Ntinda-Kisaasi'!N25,'30.07 Ntinda-Kisaasi'!N25,'31.07 Ntinda-Kisaasi'!N25,'02.08 Ntinda-Kisaasi'!N25,'01.08 Ntinda-Kisaasi-24h'!N25,'03.08 Ntinda-Kisaasi-24h'!N25,'04.08 Ntinda-Kisaasi'!N25)</f>
        <v>0</v>
      </c>
      <c r="O25" s="15">
        <f t="shared" si="0"/>
        <v>76.285714285714278</v>
      </c>
      <c r="P25" s="15">
        <f t="shared" si="1"/>
        <v>180.14285714285714</v>
      </c>
      <c r="R25" s="1" t="s">
        <v>149</v>
      </c>
      <c r="S25" s="34">
        <f t="shared" si="15"/>
        <v>171.5</v>
      </c>
      <c r="T25" s="34">
        <f t="shared" si="14"/>
        <v>100.5</v>
      </c>
      <c r="U25" s="34">
        <f t="shared" si="14"/>
        <v>16.5</v>
      </c>
      <c r="V25" s="34">
        <f t="shared" si="14"/>
        <v>66</v>
      </c>
      <c r="W25" s="34">
        <f t="shared" si="14"/>
        <v>0</v>
      </c>
      <c r="X25" s="34">
        <f t="shared" si="14"/>
        <v>0</v>
      </c>
      <c r="Y25" s="34">
        <f t="shared" si="14"/>
        <v>6</v>
      </c>
      <c r="Z25" s="34">
        <f t="shared" si="14"/>
        <v>6</v>
      </c>
      <c r="AA25" s="34">
        <f t="shared" si="14"/>
        <v>1</v>
      </c>
      <c r="AB25" s="34">
        <f t="shared" si="14"/>
        <v>1.5</v>
      </c>
      <c r="AC25" s="34">
        <f t="shared" si="14"/>
        <v>307</v>
      </c>
      <c r="AD25" s="34">
        <f t="shared" si="14"/>
        <v>0</v>
      </c>
      <c r="AE25" s="52">
        <f t="shared" si="14"/>
        <v>369</v>
      </c>
      <c r="AF25" s="52">
        <f t="shared" si="14"/>
        <v>676</v>
      </c>
    </row>
    <row r="26" spans="2:32" ht="23.1" customHeight="1" x14ac:dyDescent="0.25">
      <c r="B26" s="23" t="s">
        <v>53</v>
      </c>
      <c r="C26" s="49">
        <f>AVERAGE('29.07 Ntinda-Kisaasi'!C26,'30.07 Ntinda-Kisaasi'!C26,'31.07 Ntinda-Kisaasi'!C26,'02.08 Ntinda-Kisaasi'!C26,'01.08 Ntinda-Kisaasi-24h'!C26,'03.08 Ntinda-Kisaasi-24h'!C26,'04.08 Ntinda-Kisaasi'!C26)</f>
        <v>35</v>
      </c>
      <c r="D26" s="49">
        <f>AVERAGE('29.07 Ntinda-Kisaasi'!D26,'30.07 Ntinda-Kisaasi'!D26,'31.07 Ntinda-Kisaasi'!D26,'02.08 Ntinda-Kisaasi'!D26,'01.08 Ntinda-Kisaasi-24h'!D26,'03.08 Ntinda-Kisaasi-24h'!D26,'04.08 Ntinda-Kisaasi'!D26)</f>
        <v>14.571428571428571</v>
      </c>
      <c r="E26" s="49">
        <f>AVERAGE('29.07 Ntinda-Kisaasi'!E26,'30.07 Ntinda-Kisaasi'!E26,'31.07 Ntinda-Kisaasi'!E26,'02.08 Ntinda-Kisaasi'!E26,'01.08 Ntinda-Kisaasi-24h'!E26,'03.08 Ntinda-Kisaasi-24h'!E26,'04.08 Ntinda-Kisaasi'!E26)</f>
        <v>7.1428571428571432</v>
      </c>
      <c r="F26" s="49">
        <f>AVERAGE('29.07 Ntinda-Kisaasi'!F26,'30.07 Ntinda-Kisaasi'!F26,'31.07 Ntinda-Kisaasi'!F26,'02.08 Ntinda-Kisaasi'!F26,'01.08 Ntinda-Kisaasi-24h'!F26,'03.08 Ntinda-Kisaasi-24h'!F26,'04.08 Ntinda-Kisaasi'!F26)</f>
        <v>14.142857142857142</v>
      </c>
      <c r="G26" s="49">
        <f>AVERAGE('29.07 Ntinda-Kisaasi'!G26,'30.07 Ntinda-Kisaasi'!G26,'31.07 Ntinda-Kisaasi'!G26,'02.08 Ntinda-Kisaasi'!G26,'01.08 Ntinda-Kisaasi-24h'!G26,'03.08 Ntinda-Kisaasi-24h'!G26,'04.08 Ntinda-Kisaasi'!G26)</f>
        <v>0</v>
      </c>
      <c r="H26" s="49">
        <f>AVERAGE('29.07 Ntinda-Kisaasi'!H26,'30.07 Ntinda-Kisaasi'!H26,'31.07 Ntinda-Kisaasi'!H26,'02.08 Ntinda-Kisaasi'!H26,'01.08 Ntinda-Kisaasi-24h'!H26,'03.08 Ntinda-Kisaasi-24h'!H26,'04.08 Ntinda-Kisaasi'!H26)</f>
        <v>0</v>
      </c>
      <c r="I26" s="49">
        <f>AVERAGE('29.07 Ntinda-Kisaasi'!I26,'30.07 Ntinda-Kisaasi'!I26,'31.07 Ntinda-Kisaasi'!I26,'02.08 Ntinda-Kisaasi'!I26,'01.08 Ntinda-Kisaasi-24h'!I26,'03.08 Ntinda-Kisaasi-24h'!I26,'04.08 Ntinda-Kisaasi'!I26)</f>
        <v>5.8571428571428568</v>
      </c>
      <c r="J26" s="49">
        <f>AVERAGE('29.07 Ntinda-Kisaasi'!J26,'30.07 Ntinda-Kisaasi'!J26,'31.07 Ntinda-Kisaasi'!J26,'02.08 Ntinda-Kisaasi'!J26,'01.08 Ntinda-Kisaasi-24h'!J26,'03.08 Ntinda-Kisaasi-24h'!J26,'04.08 Ntinda-Kisaasi'!J26)</f>
        <v>1.5714285714285714</v>
      </c>
      <c r="K26" s="49">
        <f>AVERAGE('29.07 Ntinda-Kisaasi'!K26,'30.07 Ntinda-Kisaasi'!K26,'31.07 Ntinda-Kisaasi'!K26,'02.08 Ntinda-Kisaasi'!K26,'01.08 Ntinda-Kisaasi-24h'!K26,'03.08 Ntinda-Kisaasi-24h'!K26,'04.08 Ntinda-Kisaasi'!K26)</f>
        <v>0.42857142857142855</v>
      </c>
      <c r="L26" s="49">
        <f>AVERAGE('29.07 Ntinda-Kisaasi'!L26,'30.07 Ntinda-Kisaasi'!L26,'31.07 Ntinda-Kisaasi'!L26,'02.08 Ntinda-Kisaasi'!L26,'01.08 Ntinda-Kisaasi-24h'!L26,'03.08 Ntinda-Kisaasi-24h'!L26,'04.08 Ntinda-Kisaasi'!L26)</f>
        <v>1.8571428571428572</v>
      </c>
      <c r="M26" s="49">
        <f>AVERAGE('29.07 Ntinda-Kisaasi'!M26,'30.07 Ntinda-Kisaasi'!M26,'31.07 Ntinda-Kisaasi'!M26,'02.08 Ntinda-Kisaasi'!M26,'01.08 Ntinda-Kisaasi-24h'!M26,'03.08 Ntinda-Kisaasi-24h'!M26,'04.08 Ntinda-Kisaasi'!M26)</f>
        <v>79.857142857142861</v>
      </c>
      <c r="N26" s="49">
        <f>AVERAGE('29.07 Ntinda-Kisaasi'!N26,'30.07 Ntinda-Kisaasi'!N26,'31.07 Ntinda-Kisaasi'!N26,'02.08 Ntinda-Kisaasi'!N26,'01.08 Ntinda-Kisaasi-24h'!N26,'03.08 Ntinda-Kisaasi-24h'!N26,'04.08 Ntinda-Kisaasi'!N26)</f>
        <v>0</v>
      </c>
      <c r="O26" s="15">
        <f t="shared" si="0"/>
        <v>80.571428571428584</v>
      </c>
      <c r="P26" s="15">
        <f t="shared" si="1"/>
        <v>160.42857142857144</v>
      </c>
      <c r="R26" s="1" t="s">
        <v>150</v>
      </c>
      <c r="S26" s="34">
        <f t="shared" si="15"/>
        <v>158.5</v>
      </c>
      <c r="T26" s="34">
        <f t="shared" si="14"/>
        <v>92.5</v>
      </c>
      <c r="U26" s="34">
        <f t="shared" si="14"/>
        <v>12.5</v>
      </c>
      <c r="V26" s="34">
        <f t="shared" si="14"/>
        <v>55</v>
      </c>
      <c r="W26" s="34">
        <f t="shared" si="14"/>
        <v>0</v>
      </c>
      <c r="X26" s="34">
        <f t="shared" si="14"/>
        <v>0</v>
      </c>
      <c r="Y26" s="34">
        <f t="shared" si="14"/>
        <v>5</v>
      </c>
      <c r="Z26" s="34">
        <f t="shared" si="14"/>
        <v>0.5</v>
      </c>
      <c r="AA26" s="34">
        <f t="shared" si="14"/>
        <v>1</v>
      </c>
      <c r="AB26" s="34">
        <f t="shared" si="14"/>
        <v>1</v>
      </c>
      <c r="AC26" s="34">
        <f t="shared" si="14"/>
        <v>277</v>
      </c>
      <c r="AD26" s="34">
        <f t="shared" si="14"/>
        <v>0</v>
      </c>
      <c r="AE26" s="52">
        <f t="shared" si="14"/>
        <v>326</v>
      </c>
      <c r="AF26" s="52">
        <f t="shared" si="14"/>
        <v>603</v>
      </c>
    </row>
    <row r="27" spans="2:32" ht="23.1" customHeight="1" x14ac:dyDescent="0.25">
      <c r="B27" s="23" t="s">
        <v>54</v>
      </c>
      <c r="C27" s="49">
        <f>AVERAGE('29.07 Ntinda-Kisaasi'!C27,'30.07 Ntinda-Kisaasi'!C27,'31.07 Ntinda-Kisaasi'!C27,'02.08 Ntinda-Kisaasi'!C27,'01.08 Ntinda-Kisaasi-24h'!C27,'03.08 Ntinda-Kisaasi-24h'!C27,'04.08 Ntinda-Kisaasi'!C27)</f>
        <v>38</v>
      </c>
      <c r="D27" s="49">
        <f>AVERAGE('29.07 Ntinda-Kisaasi'!D27,'30.07 Ntinda-Kisaasi'!D27,'31.07 Ntinda-Kisaasi'!D27,'02.08 Ntinda-Kisaasi'!D27,'01.08 Ntinda-Kisaasi-24h'!D27,'03.08 Ntinda-Kisaasi-24h'!D27,'04.08 Ntinda-Kisaasi'!D27)</f>
        <v>15.285714285714286</v>
      </c>
      <c r="E27" s="49">
        <f>AVERAGE('29.07 Ntinda-Kisaasi'!E27,'30.07 Ntinda-Kisaasi'!E27,'31.07 Ntinda-Kisaasi'!E27,'02.08 Ntinda-Kisaasi'!E27,'01.08 Ntinda-Kisaasi-24h'!E27,'03.08 Ntinda-Kisaasi-24h'!E27,'04.08 Ntinda-Kisaasi'!E27)</f>
        <v>6.4285714285714288</v>
      </c>
      <c r="F27" s="49">
        <f>AVERAGE('29.07 Ntinda-Kisaasi'!F27,'30.07 Ntinda-Kisaasi'!F27,'31.07 Ntinda-Kisaasi'!F27,'02.08 Ntinda-Kisaasi'!F27,'01.08 Ntinda-Kisaasi-24h'!F27,'03.08 Ntinda-Kisaasi-24h'!F27,'04.08 Ntinda-Kisaasi'!F27)</f>
        <v>16.142857142857142</v>
      </c>
      <c r="G27" s="49">
        <f>AVERAGE('29.07 Ntinda-Kisaasi'!G27,'30.07 Ntinda-Kisaasi'!G27,'31.07 Ntinda-Kisaasi'!G27,'02.08 Ntinda-Kisaasi'!G27,'01.08 Ntinda-Kisaasi-24h'!G27,'03.08 Ntinda-Kisaasi-24h'!G27,'04.08 Ntinda-Kisaasi'!G27)</f>
        <v>0.2857142857142857</v>
      </c>
      <c r="H27" s="49">
        <f>AVERAGE('29.07 Ntinda-Kisaasi'!H27,'30.07 Ntinda-Kisaasi'!H27,'31.07 Ntinda-Kisaasi'!H27,'02.08 Ntinda-Kisaasi'!H27,'01.08 Ntinda-Kisaasi-24h'!H27,'03.08 Ntinda-Kisaasi-24h'!H27,'04.08 Ntinda-Kisaasi'!H27)</f>
        <v>0</v>
      </c>
      <c r="I27" s="49">
        <f>AVERAGE('29.07 Ntinda-Kisaasi'!I27,'30.07 Ntinda-Kisaasi'!I27,'31.07 Ntinda-Kisaasi'!I27,'02.08 Ntinda-Kisaasi'!I27,'01.08 Ntinda-Kisaasi-24h'!I27,'03.08 Ntinda-Kisaasi-24h'!I27,'04.08 Ntinda-Kisaasi'!I27)</f>
        <v>3.7142857142857144</v>
      </c>
      <c r="J27" s="49">
        <f>AVERAGE('29.07 Ntinda-Kisaasi'!J27,'30.07 Ntinda-Kisaasi'!J27,'31.07 Ntinda-Kisaasi'!J27,'02.08 Ntinda-Kisaasi'!J27,'01.08 Ntinda-Kisaasi-24h'!J27,'03.08 Ntinda-Kisaasi-24h'!J27,'04.08 Ntinda-Kisaasi'!J27)</f>
        <v>1.1428571428571428</v>
      </c>
      <c r="K27" s="49">
        <f>AVERAGE('29.07 Ntinda-Kisaasi'!K27,'30.07 Ntinda-Kisaasi'!K27,'31.07 Ntinda-Kisaasi'!K27,'02.08 Ntinda-Kisaasi'!K27,'01.08 Ntinda-Kisaasi-24h'!K27,'03.08 Ntinda-Kisaasi-24h'!K27,'04.08 Ntinda-Kisaasi'!K27)</f>
        <v>0.7142857142857143</v>
      </c>
      <c r="L27" s="49">
        <f>AVERAGE('29.07 Ntinda-Kisaasi'!L27,'30.07 Ntinda-Kisaasi'!L27,'31.07 Ntinda-Kisaasi'!L27,'02.08 Ntinda-Kisaasi'!L27,'01.08 Ntinda-Kisaasi-24h'!L27,'03.08 Ntinda-Kisaasi-24h'!L27,'04.08 Ntinda-Kisaasi'!L27)</f>
        <v>3.1428571428571428</v>
      </c>
      <c r="M27" s="49">
        <f>AVERAGE('29.07 Ntinda-Kisaasi'!M27,'30.07 Ntinda-Kisaasi'!M27,'31.07 Ntinda-Kisaasi'!M27,'02.08 Ntinda-Kisaasi'!M27,'01.08 Ntinda-Kisaasi-24h'!M27,'03.08 Ntinda-Kisaasi-24h'!M27,'04.08 Ntinda-Kisaasi'!M27)</f>
        <v>67.428571428571431</v>
      </c>
      <c r="N27" s="49">
        <f>AVERAGE('29.07 Ntinda-Kisaasi'!N27,'30.07 Ntinda-Kisaasi'!N27,'31.07 Ntinda-Kisaasi'!N27,'02.08 Ntinda-Kisaasi'!N27,'01.08 Ntinda-Kisaasi-24h'!N27,'03.08 Ntinda-Kisaasi-24h'!N27,'04.08 Ntinda-Kisaasi'!N27)</f>
        <v>0</v>
      </c>
      <c r="O27" s="15">
        <f t="shared" si="0"/>
        <v>84.857142857142847</v>
      </c>
      <c r="P27" s="15">
        <f t="shared" si="1"/>
        <v>152.28571428571428</v>
      </c>
      <c r="R27" s="1" t="s">
        <v>151</v>
      </c>
      <c r="S27" s="34">
        <f t="shared" si="15"/>
        <v>159.5</v>
      </c>
      <c r="T27" s="34">
        <f t="shared" si="14"/>
        <v>96.5</v>
      </c>
      <c r="U27" s="34">
        <f t="shared" si="14"/>
        <v>15</v>
      </c>
      <c r="V27" s="34">
        <f t="shared" si="14"/>
        <v>53</v>
      </c>
      <c r="W27" s="34">
        <f t="shared" si="14"/>
        <v>0</v>
      </c>
      <c r="X27" s="34">
        <f t="shared" si="14"/>
        <v>0</v>
      </c>
      <c r="Y27" s="34">
        <f t="shared" si="14"/>
        <v>5.5</v>
      </c>
      <c r="Z27" s="34">
        <f t="shared" si="14"/>
        <v>0.5</v>
      </c>
      <c r="AA27" s="34">
        <f t="shared" si="14"/>
        <v>1.5</v>
      </c>
      <c r="AB27" s="34">
        <f t="shared" si="14"/>
        <v>1.5</v>
      </c>
      <c r="AC27" s="34">
        <f t="shared" si="14"/>
        <v>229.5</v>
      </c>
      <c r="AD27" s="34">
        <f t="shared" si="14"/>
        <v>0</v>
      </c>
      <c r="AE27" s="52">
        <f t="shared" si="14"/>
        <v>333</v>
      </c>
      <c r="AF27" s="52">
        <f t="shared" si="14"/>
        <v>562.5</v>
      </c>
    </row>
    <row r="28" spans="2:32" ht="23.1" customHeight="1" x14ac:dyDescent="0.25">
      <c r="B28" s="23" t="s">
        <v>55</v>
      </c>
      <c r="C28" s="49">
        <f>AVERAGE('29.07 Ntinda-Kisaasi'!C28,'30.07 Ntinda-Kisaasi'!C28,'31.07 Ntinda-Kisaasi'!C28,'02.08 Ntinda-Kisaasi'!C28,'01.08 Ntinda-Kisaasi-24h'!C28,'03.08 Ntinda-Kisaasi-24h'!C28,'04.08 Ntinda-Kisaasi'!C28)</f>
        <v>33.571428571428569</v>
      </c>
      <c r="D28" s="49">
        <f>AVERAGE('29.07 Ntinda-Kisaasi'!D28,'30.07 Ntinda-Kisaasi'!D28,'31.07 Ntinda-Kisaasi'!D28,'02.08 Ntinda-Kisaasi'!D28,'01.08 Ntinda-Kisaasi-24h'!D28,'03.08 Ntinda-Kisaasi-24h'!D28,'04.08 Ntinda-Kisaasi'!D28)</f>
        <v>20.285714285714285</v>
      </c>
      <c r="E28" s="49">
        <f>AVERAGE('29.07 Ntinda-Kisaasi'!E28,'30.07 Ntinda-Kisaasi'!E28,'31.07 Ntinda-Kisaasi'!E28,'02.08 Ntinda-Kisaasi'!E28,'01.08 Ntinda-Kisaasi-24h'!E28,'03.08 Ntinda-Kisaasi-24h'!E28,'04.08 Ntinda-Kisaasi'!E28)</f>
        <v>8.4285714285714288</v>
      </c>
      <c r="F28" s="49">
        <f>AVERAGE('29.07 Ntinda-Kisaasi'!F28,'30.07 Ntinda-Kisaasi'!F28,'31.07 Ntinda-Kisaasi'!F28,'02.08 Ntinda-Kisaasi'!F28,'01.08 Ntinda-Kisaasi-24h'!F28,'03.08 Ntinda-Kisaasi-24h'!F28,'04.08 Ntinda-Kisaasi'!F28)</f>
        <v>17.571428571428573</v>
      </c>
      <c r="G28" s="49">
        <f>AVERAGE('29.07 Ntinda-Kisaasi'!G28,'30.07 Ntinda-Kisaasi'!G28,'31.07 Ntinda-Kisaasi'!G28,'02.08 Ntinda-Kisaasi'!G28,'01.08 Ntinda-Kisaasi-24h'!G28,'03.08 Ntinda-Kisaasi-24h'!G28,'04.08 Ntinda-Kisaasi'!G28)</f>
        <v>0</v>
      </c>
      <c r="H28" s="49">
        <f>AVERAGE('29.07 Ntinda-Kisaasi'!H28,'30.07 Ntinda-Kisaasi'!H28,'31.07 Ntinda-Kisaasi'!H28,'02.08 Ntinda-Kisaasi'!H28,'01.08 Ntinda-Kisaasi-24h'!H28,'03.08 Ntinda-Kisaasi-24h'!H28,'04.08 Ntinda-Kisaasi'!H28)</f>
        <v>0</v>
      </c>
      <c r="I28" s="49">
        <f>AVERAGE('29.07 Ntinda-Kisaasi'!I28,'30.07 Ntinda-Kisaasi'!I28,'31.07 Ntinda-Kisaasi'!I28,'02.08 Ntinda-Kisaasi'!I28,'01.08 Ntinda-Kisaasi-24h'!I28,'03.08 Ntinda-Kisaasi-24h'!I28,'04.08 Ntinda-Kisaasi'!I28)</f>
        <v>5.7142857142857144</v>
      </c>
      <c r="J28" s="49">
        <f>AVERAGE('29.07 Ntinda-Kisaasi'!J28,'30.07 Ntinda-Kisaasi'!J28,'31.07 Ntinda-Kisaasi'!J28,'02.08 Ntinda-Kisaasi'!J28,'01.08 Ntinda-Kisaasi-24h'!J28,'03.08 Ntinda-Kisaasi-24h'!J28,'04.08 Ntinda-Kisaasi'!J28)</f>
        <v>1.8571428571428572</v>
      </c>
      <c r="K28" s="49">
        <f>AVERAGE('29.07 Ntinda-Kisaasi'!K28,'30.07 Ntinda-Kisaasi'!K28,'31.07 Ntinda-Kisaasi'!K28,'02.08 Ntinda-Kisaasi'!K28,'01.08 Ntinda-Kisaasi-24h'!K28,'03.08 Ntinda-Kisaasi-24h'!K28,'04.08 Ntinda-Kisaasi'!K28)</f>
        <v>1.1428571428571428</v>
      </c>
      <c r="L28" s="49">
        <f>AVERAGE('29.07 Ntinda-Kisaasi'!L28,'30.07 Ntinda-Kisaasi'!L28,'31.07 Ntinda-Kisaasi'!L28,'02.08 Ntinda-Kisaasi'!L28,'01.08 Ntinda-Kisaasi-24h'!L28,'03.08 Ntinda-Kisaasi-24h'!L28,'04.08 Ntinda-Kisaasi'!L28)</f>
        <v>3.5714285714285716</v>
      </c>
      <c r="M28" s="49">
        <f>AVERAGE('29.07 Ntinda-Kisaasi'!M28,'30.07 Ntinda-Kisaasi'!M28,'31.07 Ntinda-Kisaasi'!M28,'02.08 Ntinda-Kisaasi'!M28,'01.08 Ntinda-Kisaasi-24h'!M28,'03.08 Ntinda-Kisaasi-24h'!M28,'04.08 Ntinda-Kisaasi'!M28)</f>
        <v>85.857142857142861</v>
      </c>
      <c r="N28" s="49">
        <f>AVERAGE('29.07 Ntinda-Kisaasi'!N28,'30.07 Ntinda-Kisaasi'!N28,'31.07 Ntinda-Kisaasi'!N28,'02.08 Ntinda-Kisaasi'!N28,'01.08 Ntinda-Kisaasi-24h'!N28,'03.08 Ntinda-Kisaasi-24h'!N28,'04.08 Ntinda-Kisaasi'!N28)</f>
        <v>0</v>
      </c>
      <c r="O28" s="15">
        <f t="shared" si="0"/>
        <v>92.142857142857139</v>
      </c>
      <c r="P28" s="15">
        <f t="shared" si="1"/>
        <v>178</v>
      </c>
      <c r="R28" s="1" t="s">
        <v>152</v>
      </c>
      <c r="S28" s="34">
        <f t="shared" si="15"/>
        <v>155.5</v>
      </c>
      <c r="T28" s="34">
        <f t="shared" si="14"/>
        <v>98</v>
      </c>
      <c r="U28" s="34">
        <f t="shared" si="14"/>
        <v>18.5</v>
      </c>
      <c r="V28" s="34">
        <f t="shared" si="14"/>
        <v>50</v>
      </c>
      <c r="W28" s="34">
        <f t="shared" si="14"/>
        <v>0</v>
      </c>
      <c r="X28" s="34">
        <f t="shared" si="14"/>
        <v>0</v>
      </c>
      <c r="Y28" s="34">
        <f t="shared" si="14"/>
        <v>4.5</v>
      </c>
      <c r="Z28" s="34">
        <f t="shared" si="14"/>
        <v>0.5</v>
      </c>
      <c r="AA28" s="34">
        <f t="shared" si="14"/>
        <v>1</v>
      </c>
      <c r="AB28" s="34">
        <f t="shared" si="14"/>
        <v>0.5</v>
      </c>
      <c r="AC28" s="34">
        <f t="shared" si="14"/>
        <v>214</v>
      </c>
      <c r="AD28" s="34">
        <f t="shared" si="14"/>
        <v>0</v>
      </c>
      <c r="AE28" s="52">
        <f t="shared" si="14"/>
        <v>328.5</v>
      </c>
      <c r="AF28" s="52">
        <f t="shared" si="14"/>
        <v>542.5</v>
      </c>
    </row>
    <row r="29" spans="2:32" ht="23.1" customHeight="1" x14ac:dyDescent="0.25">
      <c r="B29" s="23" t="s">
        <v>56</v>
      </c>
      <c r="C29" s="49">
        <f>AVERAGE('29.07 Ntinda-Kisaasi'!C29,'30.07 Ntinda-Kisaasi'!C29,'31.07 Ntinda-Kisaasi'!C29,'02.08 Ntinda-Kisaasi'!C29,'01.08 Ntinda-Kisaasi-24h'!C29,'03.08 Ntinda-Kisaasi-24h'!C29,'04.08 Ntinda-Kisaasi'!C29)</f>
        <v>32.142857142857146</v>
      </c>
      <c r="D29" s="49">
        <f>AVERAGE('29.07 Ntinda-Kisaasi'!D29,'30.07 Ntinda-Kisaasi'!D29,'31.07 Ntinda-Kisaasi'!D29,'02.08 Ntinda-Kisaasi'!D29,'01.08 Ntinda-Kisaasi-24h'!D29,'03.08 Ntinda-Kisaasi-24h'!D29,'04.08 Ntinda-Kisaasi'!D29)</f>
        <v>18.428571428571427</v>
      </c>
      <c r="E29" s="49">
        <f>AVERAGE('29.07 Ntinda-Kisaasi'!E29,'30.07 Ntinda-Kisaasi'!E29,'31.07 Ntinda-Kisaasi'!E29,'02.08 Ntinda-Kisaasi'!E29,'01.08 Ntinda-Kisaasi-24h'!E29,'03.08 Ntinda-Kisaasi-24h'!E29,'04.08 Ntinda-Kisaasi'!E29)</f>
        <v>7.2857142857142856</v>
      </c>
      <c r="F29" s="49">
        <f>AVERAGE('29.07 Ntinda-Kisaasi'!F29,'30.07 Ntinda-Kisaasi'!F29,'31.07 Ntinda-Kisaasi'!F29,'02.08 Ntinda-Kisaasi'!F29,'01.08 Ntinda-Kisaasi-24h'!F29,'03.08 Ntinda-Kisaasi-24h'!F29,'04.08 Ntinda-Kisaasi'!F29)</f>
        <v>13.857142857142858</v>
      </c>
      <c r="G29" s="49">
        <f>AVERAGE('29.07 Ntinda-Kisaasi'!G29,'30.07 Ntinda-Kisaasi'!G29,'31.07 Ntinda-Kisaasi'!G29,'02.08 Ntinda-Kisaasi'!G29,'01.08 Ntinda-Kisaasi-24h'!G29,'03.08 Ntinda-Kisaasi-24h'!G29,'04.08 Ntinda-Kisaasi'!G29)</f>
        <v>0.14285714285714285</v>
      </c>
      <c r="H29" s="49">
        <f>AVERAGE('29.07 Ntinda-Kisaasi'!H29,'30.07 Ntinda-Kisaasi'!H29,'31.07 Ntinda-Kisaasi'!H29,'02.08 Ntinda-Kisaasi'!H29,'01.08 Ntinda-Kisaasi-24h'!H29,'03.08 Ntinda-Kisaasi-24h'!H29,'04.08 Ntinda-Kisaasi'!H29)</f>
        <v>0</v>
      </c>
      <c r="I29" s="49">
        <f>AVERAGE('29.07 Ntinda-Kisaasi'!I29,'30.07 Ntinda-Kisaasi'!I29,'31.07 Ntinda-Kisaasi'!I29,'02.08 Ntinda-Kisaasi'!I29,'01.08 Ntinda-Kisaasi-24h'!I29,'03.08 Ntinda-Kisaasi-24h'!I29,'04.08 Ntinda-Kisaasi'!I29)</f>
        <v>5.4285714285714288</v>
      </c>
      <c r="J29" s="49">
        <f>AVERAGE('29.07 Ntinda-Kisaasi'!J29,'30.07 Ntinda-Kisaasi'!J29,'31.07 Ntinda-Kisaasi'!J29,'02.08 Ntinda-Kisaasi'!J29,'01.08 Ntinda-Kisaasi-24h'!J29,'03.08 Ntinda-Kisaasi-24h'!J29,'04.08 Ntinda-Kisaasi'!J29)</f>
        <v>1.4285714285714286</v>
      </c>
      <c r="K29" s="49">
        <f>AVERAGE('29.07 Ntinda-Kisaasi'!K29,'30.07 Ntinda-Kisaasi'!K29,'31.07 Ntinda-Kisaasi'!K29,'02.08 Ntinda-Kisaasi'!K29,'01.08 Ntinda-Kisaasi-24h'!K29,'03.08 Ntinda-Kisaasi-24h'!K29,'04.08 Ntinda-Kisaasi'!K29)</f>
        <v>0.42857142857142855</v>
      </c>
      <c r="L29" s="49">
        <f>AVERAGE('29.07 Ntinda-Kisaasi'!L29,'30.07 Ntinda-Kisaasi'!L29,'31.07 Ntinda-Kisaasi'!L29,'02.08 Ntinda-Kisaasi'!L29,'01.08 Ntinda-Kisaasi-24h'!L29,'03.08 Ntinda-Kisaasi-24h'!L29,'04.08 Ntinda-Kisaasi'!L29)</f>
        <v>2.5714285714285716</v>
      </c>
      <c r="M29" s="49">
        <f>AVERAGE('29.07 Ntinda-Kisaasi'!M29,'30.07 Ntinda-Kisaasi'!M29,'31.07 Ntinda-Kisaasi'!M29,'02.08 Ntinda-Kisaasi'!M29,'01.08 Ntinda-Kisaasi-24h'!M29,'03.08 Ntinda-Kisaasi-24h'!M29,'04.08 Ntinda-Kisaasi'!M29)</f>
        <v>74.714285714285708</v>
      </c>
      <c r="N29" s="49">
        <f>AVERAGE('29.07 Ntinda-Kisaasi'!N29,'30.07 Ntinda-Kisaasi'!N29,'31.07 Ntinda-Kisaasi'!N29,'02.08 Ntinda-Kisaasi'!N29,'01.08 Ntinda-Kisaasi-24h'!N29,'03.08 Ntinda-Kisaasi-24h'!N29,'04.08 Ntinda-Kisaasi'!N29)</f>
        <v>0</v>
      </c>
      <c r="O29" s="15">
        <f t="shared" si="0"/>
        <v>81.714285714285708</v>
      </c>
      <c r="P29" s="15">
        <f t="shared" si="1"/>
        <v>156.42857142857142</v>
      </c>
      <c r="R29" s="1" t="s">
        <v>153</v>
      </c>
      <c r="S29" s="34">
        <f t="shared" si="15"/>
        <v>130.5</v>
      </c>
      <c r="T29" s="34">
        <f t="shared" si="14"/>
        <v>77</v>
      </c>
      <c r="U29" s="34">
        <f t="shared" si="14"/>
        <v>17</v>
      </c>
      <c r="V29" s="34">
        <f t="shared" si="14"/>
        <v>40</v>
      </c>
      <c r="W29" s="34">
        <f t="shared" si="14"/>
        <v>0</v>
      </c>
      <c r="X29" s="34">
        <f t="shared" si="14"/>
        <v>0</v>
      </c>
      <c r="Y29" s="34">
        <f t="shared" si="14"/>
        <v>6.5</v>
      </c>
      <c r="Z29" s="34">
        <f t="shared" si="14"/>
        <v>0.5</v>
      </c>
      <c r="AA29" s="34">
        <f t="shared" si="14"/>
        <v>1.5</v>
      </c>
      <c r="AB29" s="34">
        <f t="shared" si="14"/>
        <v>2</v>
      </c>
      <c r="AC29" s="34">
        <f t="shared" si="14"/>
        <v>183.5</v>
      </c>
      <c r="AD29" s="34">
        <f t="shared" si="14"/>
        <v>0</v>
      </c>
      <c r="AE29" s="52">
        <f t="shared" si="14"/>
        <v>275</v>
      </c>
      <c r="AF29" s="52">
        <f t="shared" si="14"/>
        <v>458.5</v>
      </c>
    </row>
    <row r="30" spans="2:32" ht="23.1" customHeight="1" x14ac:dyDescent="0.25">
      <c r="B30" s="23" t="s">
        <v>57</v>
      </c>
      <c r="C30" s="49">
        <f>AVERAGE('29.07 Ntinda-Kisaasi'!C30,'30.07 Ntinda-Kisaasi'!C30,'31.07 Ntinda-Kisaasi'!C30,'02.08 Ntinda-Kisaasi'!C30,'01.08 Ntinda-Kisaasi-24h'!C30,'03.08 Ntinda-Kisaasi-24h'!C30,'04.08 Ntinda-Kisaasi'!C30)</f>
        <v>45.428571428571431</v>
      </c>
      <c r="D30" s="49">
        <f>AVERAGE('29.07 Ntinda-Kisaasi'!D30,'30.07 Ntinda-Kisaasi'!D30,'31.07 Ntinda-Kisaasi'!D30,'02.08 Ntinda-Kisaasi'!D30,'01.08 Ntinda-Kisaasi-24h'!D30,'03.08 Ntinda-Kisaasi-24h'!D30,'04.08 Ntinda-Kisaasi'!D30)</f>
        <v>22.857142857142858</v>
      </c>
      <c r="E30" s="49">
        <f>AVERAGE('29.07 Ntinda-Kisaasi'!E30,'30.07 Ntinda-Kisaasi'!E30,'31.07 Ntinda-Kisaasi'!E30,'02.08 Ntinda-Kisaasi'!E30,'01.08 Ntinda-Kisaasi-24h'!E30,'03.08 Ntinda-Kisaasi-24h'!E30,'04.08 Ntinda-Kisaasi'!E30)</f>
        <v>8.1428571428571423</v>
      </c>
      <c r="F30" s="49">
        <f>AVERAGE('29.07 Ntinda-Kisaasi'!F30,'30.07 Ntinda-Kisaasi'!F30,'31.07 Ntinda-Kisaasi'!F30,'02.08 Ntinda-Kisaasi'!F30,'01.08 Ntinda-Kisaasi-24h'!F30,'03.08 Ntinda-Kisaasi-24h'!F30,'04.08 Ntinda-Kisaasi'!F30)</f>
        <v>16.428571428571427</v>
      </c>
      <c r="G30" s="49">
        <f>AVERAGE('29.07 Ntinda-Kisaasi'!G30,'30.07 Ntinda-Kisaasi'!G30,'31.07 Ntinda-Kisaasi'!G30,'02.08 Ntinda-Kisaasi'!G30,'01.08 Ntinda-Kisaasi-24h'!G30,'03.08 Ntinda-Kisaasi-24h'!G30,'04.08 Ntinda-Kisaasi'!G30)</f>
        <v>0</v>
      </c>
      <c r="H30" s="49">
        <f>AVERAGE('29.07 Ntinda-Kisaasi'!H30,'30.07 Ntinda-Kisaasi'!H30,'31.07 Ntinda-Kisaasi'!H30,'02.08 Ntinda-Kisaasi'!H30,'01.08 Ntinda-Kisaasi-24h'!H30,'03.08 Ntinda-Kisaasi-24h'!H30,'04.08 Ntinda-Kisaasi'!H30)</f>
        <v>0.14285714285714285</v>
      </c>
      <c r="I30" s="49">
        <f>AVERAGE('29.07 Ntinda-Kisaasi'!I30,'30.07 Ntinda-Kisaasi'!I30,'31.07 Ntinda-Kisaasi'!I30,'02.08 Ntinda-Kisaasi'!I30,'01.08 Ntinda-Kisaasi-24h'!I30,'03.08 Ntinda-Kisaasi-24h'!I30,'04.08 Ntinda-Kisaasi'!I30)</f>
        <v>4.8571428571428568</v>
      </c>
      <c r="J30" s="49">
        <f>AVERAGE('29.07 Ntinda-Kisaasi'!J30,'30.07 Ntinda-Kisaasi'!J30,'31.07 Ntinda-Kisaasi'!J30,'02.08 Ntinda-Kisaasi'!J30,'01.08 Ntinda-Kisaasi-24h'!J30,'03.08 Ntinda-Kisaasi-24h'!J30,'04.08 Ntinda-Kisaasi'!J30)</f>
        <v>1.4285714285714286</v>
      </c>
      <c r="K30" s="49">
        <f>AVERAGE('29.07 Ntinda-Kisaasi'!K30,'30.07 Ntinda-Kisaasi'!K30,'31.07 Ntinda-Kisaasi'!K30,'02.08 Ntinda-Kisaasi'!K30,'01.08 Ntinda-Kisaasi-24h'!K30,'03.08 Ntinda-Kisaasi-24h'!K30,'04.08 Ntinda-Kisaasi'!K30)</f>
        <v>1.1428571428571428</v>
      </c>
      <c r="L30" s="49">
        <f>AVERAGE('29.07 Ntinda-Kisaasi'!L30,'30.07 Ntinda-Kisaasi'!L30,'31.07 Ntinda-Kisaasi'!L30,'02.08 Ntinda-Kisaasi'!L30,'01.08 Ntinda-Kisaasi-24h'!L30,'03.08 Ntinda-Kisaasi-24h'!L30,'04.08 Ntinda-Kisaasi'!L30)</f>
        <v>2.4285714285714284</v>
      </c>
      <c r="M30" s="49">
        <f>AVERAGE('29.07 Ntinda-Kisaasi'!M30,'30.07 Ntinda-Kisaasi'!M30,'31.07 Ntinda-Kisaasi'!M30,'02.08 Ntinda-Kisaasi'!M30,'01.08 Ntinda-Kisaasi-24h'!M30,'03.08 Ntinda-Kisaasi-24h'!M30,'04.08 Ntinda-Kisaasi'!M30)</f>
        <v>76.142857142857139</v>
      </c>
      <c r="N30" s="49">
        <f>AVERAGE('29.07 Ntinda-Kisaasi'!N30,'30.07 Ntinda-Kisaasi'!N30,'31.07 Ntinda-Kisaasi'!N30,'02.08 Ntinda-Kisaasi'!N30,'01.08 Ntinda-Kisaasi-24h'!N30,'03.08 Ntinda-Kisaasi-24h'!N30,'04.08 Ntinda-Kisaasi'!N30)</f>
        <v>0</v>
      </c>
      <c r="O30" s="15">
        <f t="shared" si="0"/>
        <v>102.85714285714286</v>
      </c>
      <c r="P30" s="15">
        <f t="shared" si="1"/>
        <v>179</v>
      </c>
      <c r="R30" s="1" t="s">
        <v>154</v>
      </c>
      <c r="S30" s="34">
        <f t="shared" si="15"/>
        <v>117.5</v>
      </c>
      <c r="T30" s="34">
        <f t="shared" si="14"/>
        <v>66.5</v>
      </c>
      <c r="U30" s="34">
        <f t="shared" si="14"/>
        <v>15.5</v>
      </c>
      <c r="V30" s="34">
        <f t="shared" si="14"/>
        <v>36</v>
      </c>
      <c r="W30" s="34">
        <f t="shared" si="14"/>
        <v>0</v>
      </c>
      <c r="X30" s="34">
        <f t="shared" si="14"/>
        <v>0</v>
      </c>
      <c r="Y30" s="34">
        <f t="shared" si="14"/>
        <v>7.5</v>
      </c>
      <c r="Z30" s="34">
        <f t="shared" si="14"/>
        <v>0.5</v>
      </c>
      <c r="AA30" s="34">
        <f t="shared" si="14"/>
        <v>1</v>
      </c>
      <c r="AB30" s="34">
        <f t="shared" si="14"/>
        <v>2</v>
      </c>
      <c r="AC30" s="34">
        <f t="shared" si="14"/>
        <v>166.5</v>
      </c>
      <c r="AD30" s="34">
        <f t="shared" si="14"/>
        <v>0</v>
      </c>
      <c r="AE30" s="52">
        <f t="shared" si="14"/>
        <v>246.5</v>
      </c>
      <c r="AF30" s="52">
        <f t="shared" si="14"/>
        <v>413</v>
      </c>
    </row>
    <row r="31" spans="2:32" ht="23.1" customHeight="1" x14ac:dyDescent="0.25">
      <c r="B31" s="24" t="s">
        <v>58</v>
      </c>
      <c r="C31" s="49">
        <f>AVERAGE('29.07 Ntinda-Kisaasi'!C31,'30.07 Ntinda-Kisaasi'!C31,'31.07 Ntinda-Kisaasi'!C31,'02.08 Ntinda-Kisaasi'!C31,'01.08 Ntinda-Kisaasi-24h'!C31,'03.08 Ntinda-Kisaasi-24h'!C31,'04.08 Ntinda-Kisaasi'!C31)</f>
        <v>40.857142857142854</v>
      </c>
      <c r="D31" s="49">
        <f>AVERAGE('29.07 Ntinda-Kisaasi'!D31,'30.07 Ntinda-Kisaasi'!D31,'31.07 Ntinda-Kisaasi'!D31,'02.08 Ntinda-Kisaasi'!D31,'01.08 Ntinda-Kisaasi-24h'!D31,'03.08 Ntinda-Kisaasi-24h'!D31,'04.08 Ntinda-Kisaasi'!D31)</f>
        <v>18.857142857142858</v>
      </c>
      <c r="E31" s="49">
        <f>AVERAGE('29.07 Ntinda-Kisaasi'!E31,'30.07 Ntinda-Kisaasi'!E31,'31.07 Ntinda-Kisaasi'!E31,'02.08 Ntinda-Kisaasi'!E31,'01.08 Ntinda-Kisaasi-24h'!E31,'03.08 Ntinda-Kisaasi-24h'!E31,'04.08 Ntinda-Kisaasi'!E31)</f>
        <v>6.5714285714285712</v>
      </c>
      <c r="F31" s="49">
        <f>AVERAGE('29.07 Ntinda-Kisaasi'!F31,'30.07 Ntinda-Kisaasi'!F31,'31.07 Ntinda-Kisaasi'!F31,'02.08 Ntinda-Kisaasi'!F31,'01.08 Ntinda-Kisaasi-24h'!F31,'03.08 Ntinda-Kisaasi-24h'!F31,'04.08 Ntinda-Kisaasi'!F31)</f>
        <v>15.714285714285714</v>
      </c>
      <c r="G31" s="49">
        <f>AVERAGE('29.07 Ntinda-Kisaasi'!G31,'30.07 Ntinda-Kisaasi'!G31,'31.07 Ntinda-Kisaasi'!G31,'02.08 Ntinda-Kisaasi'!G31,'01.08 Ntinda-Kisaasi-24h'!G31,'03.08 Ntinda-Kisaasi-24h'!G31,'04.08 Ntinda-Kisaasi'!G31)</f>
        <v>0.2857142857142857</v>
      </c>
      <c r="H31" s="49">
        <f>AVERAGE('29.07 Ntinda-Kisaasi'!H31,'30.07 Ntinda-Kisaasi'!H31,'31.07 Ntinda-Kisaasi'!H31,'02.08 Ntinda-Kisaasi'!H31,'01.08 Ntinda-Kisaasi-24h'!H31,'03.08 Ntinda-Kisaasi-24h'!H31,'04.08 Ntinda-Kisaasi'!H31)</f>
        <v>0</v>
      </c>
      <c r="I31" s="49">
        <f>AVERAGE('29.07 Ntinda-Kisaasi'!I31,'30.07 Ntinda-Kisaasi'!I31,'31.07 Ntinda-Kisaasi'!I31,'02.08 Ntinda-Kisaasi'!I31,'01.08 Ntinda-Kisaasi-24h'!I31,'03.08 Ntinda-Kisaasi-24h'!I31,'04.08 Ntinda-Kisaasi'!I31)</f>
        <v>4.1428571428571432</v>
      </c>
      <c r="J31" s="49">
        <f>AVERAGE('29.07 Ntinda-Kisaasi'!J31,'30.07 Ntinda-Kisaasi'!J31,'31.07 Ntinda-Kisaasi'!J31,'02.08 Ntinda-Kisaasi'!J31,'01.08 Ntinda-Kisaasi-24h'!J31,'03.08 Ntinda-Kisaasi-24h'!J31,'04.08 Ntinda-Kisaasi'!J31)</f>
        <v>1.5714285714285714</v>
      </c>
      <c r="K31" s="49">
        <f>AVERAGE('29.07 Ntinda-Kisaasi'!K31,'30.07 Ntinda-Kisaasi'!K31,'31.07 Ntinda-Kisaasi'!K31,'02.08 Ntinda-Kisaasi'!K31,'01.08 Ntinda-Kisaasi-24h'!K31,'03.08 Ntinda-Kisaasi-24h'!K31,'04.08 Ntinda-Kisaasi'!K31)</f>
        <v>1</v>
      </c>
      <c r="L31" s="49">
        <f>AVERAGE('29.07 Ntinda-Kisaasi'!L31,'30.07 Ntinda-Kisaasi'!L31,'31.07 Ntinda-Kisaasi'!L31,'02.08 Ntinda-Kisaasi'!L31,'01.08 Ntinda-Kisaasi-24h'!L31,'03.08 Ntinda-Kisaasi-24h'!L31,'04.08 Ntinda-Kisaasi'!L31)</f>
        <v>1.7142857142857142</v>
      </c>
      <c r="M31" s="49">
        <f>AVERAGE('29.07 Ntinda-Kisaasi'!M31,'30.07 Ntinda-Kisaasi'!M31,'31.07 Ntinda-Kisaasi'!M31,'02.08 Ntinda-Kisaasi'!M31,'01.08 Ntinda-Kisaasi-24h'!M31,'03.08 Ntinda-Kisaasi-24h'!M31,'04.08 Ntinda-Kisaasi'!M31)</f>
        <v>75.714285714285708</v>
      </c>
      <c r="N31" s="49">
        <f>AVERAGE('29.07 Ntinda-Kisaasi'!N31,'30.07 Ntinda-Kisaasi'!N31,'31.07 Ntinda-Kisaasi'!N31,'02.08 Ntinda-Kisaasi'!N31,'01.08 Ntinda-Kisaasi-24h'!N31,'03.08 Ntinda-Kisaasi-24h'!N31,'04.08 Ntinda-Kisaasi'!N31)</f>
        <v>0</v>
      </c>
      <c r="O31" s="15">
        <f t="shared" si="0"/>
        <v>90.714285714285694</v>
      </c>
      <c r="P31" s="15">
        <f t="shared" si="1"/>
        <v>166.42857142857139</v>
      </c>
      <c r="R31" s="1" t="s">
        <v>155</v>
      </c>
      <c r="S31" s="34">
        <f t="shared" si="15"/>
        <v>117.5</v>
      </c>
      <c r="T31" s="34">
        <f t="shared" si="14"/>
        <v>66.5</v>
      </c>
      <c r="U31" s="34">
        <f t="shared" si="14"/>
        <v>13.5</v>
      </c>
      <c r="V31" s="34">
        <f t="shared" si="14"/>
        <v>33</v>
      </c>
      <c r="W31" s="34">
        <f t="shared" si="14"/>
        <v>0</v>
      </c>
      <c r="X31" s="34">
        <f t="shared" si="14"/>
        <v>0</v>
      </c>
      <c r="Y31" s="34">
        <f t="shared" si="14"/>
        <v>8.5</v>
      </c>
      <c r="Z31" s="34">
        <f t="shared" si="14"/>
        <v>0</v>
      </c>
      <c r="AA31" s="34">
        <f t="shared" si="14"/>
        <v>0.5</v>
      </c>
      <c r="AB31" s="34">
        <f t="shared" si="14"/>
        <v>2</v>
      </c>
      <c r="AC31" s="34">
        <f t="shared" si="14"/>
        <v>178</v>
      </c>
      <c r="AD31" s="34">
        <f t="shared" si="14"/>
        <v>0</v>
      </c>
      <c r="AE31" s="52">
        <f t="shared" si="14"/>
        <v>241.5</v>
      </c>
      <c r="AF31" s="52">
        <f t="shared" si="14"/>
        <v>419.5</v>
      </c>
    </row>
    <row r="32" spans="2:32" ht="23.1" customHeight="1" x14ac:dyDescent="0.25">
      <c r="B32" s="24" t="s">
        <v>59</v>
      </c>
      <c r="C32" s="49">
        <f>AVERAGE('29.07 Ntinda-Kisaasi'!C32,'30.07 Ntinda-Kisaasi'!C32,'31.07 Ntinda-Kisaasi'!C32,'02.08 Ntinda-Kisaasi'!C32,'01.08 Ntinda-Kisaasi-24h'!C32,'03.08 Ntinda-Kisaasi-24h'!C32,'04.08 Ntinda-Kisaasi'!C32)</f>
        <v>34.285714285714285</v>
      </c>
      <c r="D32" s="49">
        <f>AVERAGE('29.07 Ntinda-Kisaasi'!D32,'30.07 Ntinda-Kisaasi'!D32,'31.07 Ntinda-Kisaasi'!D32,'02.08 Ntinda-Kisaasi'!D32,'01.08 Ntinda-Kisaasi-24h'!D32,'03.08 Ntinda-Kisaasi-24h'!D32,'04.08 Ntinda-Kisaasi'!D32)</f>
        <v>19.714285714285715</v>
      </c>
      <c r="E32" s="49">
        <f>AVERAGE('29.07 Ntinda-Kisaasi'!E32,'30.07 Ntinda-Kisaasi'!E32,'31.07 Ntinda-Kisaasi'!E32,'02.08 Ntinda-Kisaasi'!E32,'01.08 Ntinda-Kisaasi-24h'!E32,'03.08 Ntinda-Kisaasi-24h'!E32,'04.08 Ntinda-Kisaasi'!E32)</f>
        <v>7.1428571428571432</v>
      </c>
      <c r="F32" s="49">
        <f>AVERAGE('29.07 Ntinda-Kisaasi'!F32,'30.07 Ntinda-Kisaasi'!F32,'31.07 Ntinda-Kisaasi'!F32,'02.08 Ntinda-Kisaasi'!F32,'01.08 Ntinda-Kisaasi-24h'!F32,'03.08 Ntinda-Kisaasi-24h'!F32,'04.08 Ntinda-Kisaasi'!F32)</f>
        <v>26.857142857142858</v>
      </c>
      <c r="G32" s="49">
        <f>AVERAGE('29.07 Ntinda-Kisaasi'!G32,'30.07 Ntinda-Kisaasi'!G32,'31.07 Ntinda-Kisaasi'!G32,'02.08 Ntinda-Kisaasi'!G32,'01.08 Ntinda-Kisaasi-24h'!G32,'03.08 Ntinda-Kisaasi-24h'!G32,'04.08 Ntinda-Kisaasi'!G32)</f>
        <v>0</v>
      </c>
      <c r="H32" s="49">
        <f>AVERAGE('29.07 Ntinda-Kisaasi'!H32,'30.07 Ntinda-Kisaasi'!H32,'31.07 Ntinda-Kisaasi'!H32,'02.08 Ntinda-Kisaasi'!H32,'01.08 Ntinda-Kisaasi-24h'!H32,'03.08 Ntinda-Kisaasi-24h'!H32,'04.08 Ntinda-Kisaasi'!H32)</f>
        <v>0</v>
      </c>
      <c r="I32" s="49">
        <f>AVERAGE('29.07 Ntinda-Kisaasi'!I32,'30.07 Ntinda-Kisaasi'!I32,'31.07 Ntinda-Kisaasi'!I32,'02.08 Ntinda-Kisaasi'!I32,'01.08 Ntinda-Kisaasi-24h'!I32,'03.08 Ntinda-Kisaasi-24h'!I32,'04.08 Ntinda-Kisaasi'!I32)</f>
        <v>4.8571428571428568</v>
      </c>
      <c r="J32" s="49">
        <f>AVERAGE('29.07 Ntinda-Kisaasi'!J32,'30.07 Ntinda-Kisaasi'!J32,'31.07 Ntinda-Kisaasi'!J32,'02.08 Ntinda-Kisaasi'!J32,'01.08 Ntinda-Kisaasi-24h'!J32,'03.08 Ntinda-Kisaasi-24h'!J32,'04.08 Ntinda-Kisaasi'!J32)</f>
        <v>2.1428571428571428</v>
      </c>
      <c r="K32" s="49">
        <f>AVERAGE('29.07 Ntinda-Kisaasi'!K32,'30.07 Ntinda-Kisaasi'!K32,'31.07 Ntinda-Kisaasi'!K32,'02.08 Ntinda-Kisaasi'!K32,'01.08 Ntinda-Kisaasi-24h'!K32,'03.08 Ntinda-Kisaasi-24h'!K32,'04.08 Ntinda-Kisaasi'!K32)</f>
        <v>0.42857142857142855</v>
      </c>
      <c r="L32" s="49">
        <f>AVERAGE('29.07 Ntinda-Kisaasi'!L32,'30.07 Ntinda-Kisaasi'!L32,'31.07 Ntinda-Kisaasi'!L32,'02.08 Ntinda-Kisaasi'!L32,'01.08 Ntinda-Kisaasi-24h'!L32,'03.08 Ntinda-Kisaasi-24h'!L32,'04.08 Ntinda-Kisaasi'!L32)</f>
        <v>2</v>
      </c>
      <c r="M32" s="49">
        <f>AVERAGE('29.07 Ntinda-Kisaasi'!M32,'30.07 Ntinda-Kisaasi'!M32,'31.07 Ntinda-Kisaasi'!M32,'02.08 Ntinda-Kisaasi'!M32,'01.08 Ntinda-Kisaasi-24h'!M32,'03.08 Ntinda-Kisaasi-24h'!M32,'04.08 Ntinda-Kisaasi'!M32)</f>
        <v>91.428571428571431</v>
      </c>
      <c r="N32" s="49">
        <f>AVERAGE('29.07 Ntinda-Kisaasi'!N32,'30.07 Ntinda-Kisaasi'!N32,'31.07 Ntinda-Kisaasi'!N32,'02.08 Ntinda-Kisaasi'!N32,'01.08 Ntinda-Kisaasi-24h'!N32,'03.08 Ntinda-Kisaasi-24h'!N32,'04.08 Ntinda-Kisaasi'!N32)</f>
        <v>0</v>
      </c>
      <c r="O32" s="15">
        <f t="shared" si="0"/>
        <v>97.428571428571431</v>
      </c>
      <c r="P32" s="15">
        <f t="shared" si="1"/>
        <v>188.85714285714286</v>
      </c>
      <c r="R32" s="1" t="s">
        <v>156</v>
      </c>
      <c r="S32" s="34">
        <f t="shared" si="15"/>
        <v>110.5</v>
      </c>
      <c r="T32" s="34">
        <f t="shared" si="14"/>
        <v>62</v>
      </c>
      <c r="U32" s="34">
        <f t="shared" si="14"/>
        <v>14</v>
      </c>
      <c r="V32" s="34">
        <f t="shared" si="14"/>
        <v>28</v>
      </c>
      <c r="W32" s="34">
        <f t="shared" si="14"/>
        <v>0</v>
      </c>
      <c r="X32" s="34">
        <f t="shared" si="14"/>
        <v>0</v>
      </c>
      <c r="Y32" s="34">
        <f t="shared" si="14"/>
        <v>8.5</v>
      </c>
      <c r="Z32" s="34">
        <f t="shared" si="14"/>
        <v>0.5</v>
      </c>
      <c r="AA32" s="34">
        <f t="shared" si="14"/>
        <v>0.5</v>
      </c>
      <c r="AB32" s="34">
        <f t="shared" si="14"/>
        <v>2</v>
      </c>
      <c r="AC32" s="34">
        <f t="shared" si="14"/>
        <v>197.5</v>
      </c>
      <c r="AD32" s="34">
        <f t="shared" si="14"/>
        <v>0</v>
      </c>
      <c r="AE32" s="52">
        <f t="shared" si="14"/>
        <v>226</v>
      </c>
      <c r="AF32" s="52">
        <f t="shared" si="14"/>
        <v>423.5</v>
      </c>
    </row>
    <row r="33" spans="2:32" ht="23.1" customHeight="1" x14ac:dyDescent="0.25">
      <c r="B33" s="23" t="s">
        <v>60</v>
      </c>
      <c r="C33" s="49">
        <f>AVERAGE('29.07 Ntinda-Kisaasi'!C33,'30.07 Ntinda-Kisaasi'!C33,'31.07 Ntinda-Kisaasi'!C33,'02.08 Ntinda-Kisaasi'!C33,'01.08 Ntinda-Kisaasi-24h'!C33,'03.08 Ntinda-Kisaasi-24h'!C33,'04.08 Ntinda-Kisaasi'!C33)</f>
        <v>37.571428571428569</v>
      </c>
      <c r="D33" s="49">
        <f>AVERAGE('29.07 Ntinda-Kisaasi'!D33,'30.07 Ntinda-Kisaasi'!D33,'31.07 Ntinda-Kisaasi'!D33,'02.08 Ntinda-Kisaasi'!D33,'01.08 Ntinda-Kisaasi-24h'!D33,'03.08 Ntinda-Kisaasi-24h'!D33,'04.08 Ntinda-Kisaasi'!D33)</f>
        <v>20.571428571428573</v>
      </c>
      <c r="E33" s="49">
        <f>AVERAGE('29.07 Ntinda-Kisaasi'!E33,'30.07 Ntinda-Kisaasi'!E33,'31.07 Ntinda-Kisaasi'!E33,'02.08 Ntinda-Kisaasi'!E33,'01.08 Ntinda-Kisaasi-24h'!E33,'03.08 Ntinda-Kisaasi-24h'!E33,'04.08 Ntinda-Kisaasi'!E33)</f>
        <v>6.7142857142857144</v>
      </c>
      <c r="F33" s="49">
        <f>AVERAGE('29.07 Ntinda-Kisaasi'!F33,'30.07 Ntinda-Kisaasi'!F33,'31.07 Ntinda-Kisaasi'!F33,'02.08 Ntinda-Kisaasi'!F33,'01.08 Ntinda-Kisaasi-24h'!F33,'03.08 Ntinda-Kisaasi-24h'!F33,'04.08 Ntinda-Kisaasi'!F33)</f>
        <v>12.428571428571429</v>
      </c>
      <c r="G33" s="49">
        <f>AVERAGE('29.07 Ntinda-Kisaasi'!G33,'30.07 Ntinda-Kisaasi'!G33,'31.07 Ntinda-Kisaasi'!G33,'02.08 Ntinda-Kisaasi'!G33,'01.08 Ntinda-Kisaasi-24h'!G33,'03.08 Ntinda-Kisaasi-24h'!G33,'04.08 Ntinda-Kisaasi'!G33)</f>
        <v>0</v>
      </c>
      <c r="H33" s="49">
        <f>AVERAGE('29.07 Ntinda-Kisaasi'!H33,'30.07 Ntinda-Kisaasi'!H33,'31.07 Ntinda-Kisaasi'!H33,'02.08 Ntinda-Kisaasi'!H33,'01.08 Ntinda-Kisaasi-24h'!H33,'03.08 Ntinda-Kisaasi-24h'!H33,'04.08 Ntinda-Kisaasi'!H33)</f>
        <v>0</v>
      </c>
      <c r="I33" s="49">
        <f>AVERAGE('29.07 Ntinda-Kisaasi'!I33,'30.07 Ntinda-Kisaasi'!I33,'31.07 Ntinda-Kisaasi'!I33,'02.08 Ntinda-Kisaasi'!I33,'01.08 Ntinda-Kisaasi-24h'!I33,'03.08 Ntinda-Kisaasi-24h'!I33,'04.08 Ntinda-Kisaasi'!I33)</f>
        <v>5.7142857142857144</v>
      </c>
      <c r="J33" s="49">
        <f>AVERAGE('29.07 Ntinda-Kisaasi'!J33,'30.07 Ntinda-Kisaasi'!J33,'31.07 Ntinda-Kisaasi'!J33,'02.08 Ntinda-Kisaasi'!J33,'01.08 Ntinda-Kisaasi-24h'!J33,'03.08 Ntinda-Kisaasi-24h'!J33,'04.08 Ntinda-Kisaasi'!J33)</f>
        <v>1.2857142857142858</v>
      </c>
      <c r="K33" s="49">
        <f>AVERAGE('29.07 Ntinda-Kisaasi'!K33,'30.07 Ntinda-Kisaasi'!K33,'31.07 Ntinda-Kisaasi'!K33,'02.08 Ntinda-Kisaasi'!K33,'01.08 Ntinda-Kisaasi-24h'!K33,'03.08 Ntinda-Kisaasi-24h'!K33,'04.08 Ntinda-Kisaasi'!K33)</f>
        <v>0.2857142857142857</v>
      </c>
      <c r="L33" s="49">
        <f>AVERAGE('29.07 Ntinda-Kisaasi'!L33,'30.07 Ntinda-Kisaasi'!L33,'31.07 Ntinda-Kisaasi'!L33,'02.08 Ntinda-Kisaasi'!L33,'01.08 Ntinda-Kisaasi-24h'!L33,'03.08 Ntinda-Kisaasi-24h'!L33,'04.08 Ntinda-Kisaasi'!L33)</f>
        <v>2.7142857142857144</v>
      </c>
      <c r="M33" s="49">
        <f>AVERAGE('29.07 Ntinda-Kisaasi'!M33,'30.07 Ntinda-Kisaasi'!M33,'31.07 Ntinda-Kisaasi'!M33,'02.08 Ntinda-Kisaasi'!M33,'01.08 Ntinda-Kisaasi-24h'!M33,'03.08 Ntinda-Kisaasi-24h'!M33,'04.08 Ntinda-Kisaasi'!M33)</f>
        <v>75.285714285714292</v>
      </c>
      <c r="N33" s="49">
        <f>AVERAGE('29.07 Ntinda-Kisaasi'!N33,'30.07 Ntinda-Kisaasi'!N33,'31.07 Ntinda-Kisaasi'!N33,'02.08 Ntinda-Kisaasi'!N33,'01.08 Ntinda-Kisaasi-24h'!N33,'03.08 Ntinda-Kisaasi-24h'!N33,'04.08 Ntinda-Kisaasi'!N33)</f>
        <v>0</v>
      </c>
      <c r="O33" s="15">
        <f t="shared" si="0"/>
        <v>87.285714285714278</v>
      </c>
      <c r="P33" s="15">
        <f t="shared" si="1"/>
        <v>162.57142857142856</v>
      </c>
      <c r="R33" s="1" t="s">
        <v>157</v>
      </c>
      <c r="S33" s="34">
        <f t="shared" si="15"/>
        <v>120.5</v>
      </c>
      <c r="T33" s="34">
        <f t="shared" si="14"/>
        <v>58</v>
      </c>
      <c r="U33" s="34">
        <f t="shared" si="14"/>
        <v>15</v>
      </c>
      <c r="V33" s="34">
        <f t="shared" si="14"/>
        <v>32.5</v>
      </c>
      <c r="W33" s="34">
        <f t="shared" si="14"/>
        <v>0.5</v>
      </c>
      <c r="X33" s="34">
        <f t="shared" si="14"/>
        <v>0</v>
      </c>
      <c r="Y33" s="34">
        <f t="shared" si="14"/>
        <v>6</v>
      </c>
      <c r="Z33" s="34">
        <f t="shared" si="14"/>
        <v>0.5</v>
      </c>
      <c r="AA33" s="34">
        <f t="shared" si="14"/>
        <v>0</v>
      </c>
      <c r="AB33" s="34">
        <f t="shared" si="14"/>
        <v>1</v>
      </c>
      <c r="AC33" s="34">
        <f t="shared" si="14"/>
        <v>226.5</v>
      </c>
      <c r="AD33" s="34">
        <f t="shared" si="14"/>
        <v>0</v>
      </c>
      <c r="AE33" s="52">
        <f t="shared" si="14"/>
        <v>234</v>
      </c>
      <c r="AF33" s="52">
        <f t="shared" si="14"/>
        <v>460.5</v>
      </c>
    </row>
    <row r="34" spans="2:32" ht="23.1" customHeight="1" x14ac:dyDescent="0.25">
      <c r="B34" s="24" t="s">
        <v>61</v>
      </c>
      <c r="C34" s="49">
        <f>AVERAGE('29.07 Ntinda-Kisaasi'!C34,'30.07 Ntinda-Kisaasi'!C34,'31.07 Ntinda-Kisaasi'!C34,'02.08 Ntinda-Kisaasi'!C34,'01.08 Ntinda-Kisaasi-24h'!C34,'03.08 Ntinda-Kisaasi-24h'!C34,'04.08 Ntinda-Kisaasi'!C34)</f>
        <v>39.428571428571431</v>
      </c>
      <c r="D34" s="49">
        <f>AVERAGE('29.07 Ntinda-Kisaasi'!D34,'30.07 Ntinda-Kisaasi'!D34,'31.07 Ntinda-Kisaasi'!D34,'02.08 Ntinda-Kisaasi'!D34,'01.08 Ntinda-Kisaasi-24h'!D34,'03.08 Ntinda-Kisaasi-24h'!D34,'04.08 Ntinda-Kisaasi'!D34)</f>
        <v>19.285714285714285</v>
      </c>
      <c r="E34" s="49">
        <f>AVERAGE('29.07 Ntinda-Kisaasi'!E34,'30.07 Ntinda-Kisaasi'!E34,'31.07 Ntinda-Kisaasi'!E34,'02.08 Ntinda-Kisaasi'!E34,'01.08 Ntinda-Kisaasi-24h'!E34,'03.08 Ntinda-Kisaasi-24h'!E34,'04.08 Ntinda-Kisaasi'!E34)</f>
        <v>7.7142857142857144</v>
      </c>
      <c r="F34" s="49">
        <f>AVERAGE('29.07 Ntinda-Kisaasi'!F34,'30.07 Ntinda-Kisaasi'!F34,'31.07 Ntinda-Kisaasi'!F34,'02.08 Ntinda-Kisaasi'!F34,'01.08 Ntinda-Kisaasi-24h'!F34,'03.08 Ntinda-Kisaasi-24h'!F34,'04.08 Ntinda-Kisaasi'!F34)</f>
        <v>15.571428571428571</v>
      </c>
      <c r="G34" s="49">
        <f>AVERAGE('29.07 Ntinda-Kisaasi'!G34,'30.07 Ntinda-Kisaasi'!G34,'31.07 Ntinda-Kisaasi'!G34,'02.08 Ntinda-Kisaasi'!G34,'01.08 Ntinda-Kisaasi-24h'!G34,'03.08 Ntinda-Kisaasi-24h'!G34,'04.08 Ntinda-Kisaasi'!G34)</f>
        <v>0.5714285714285714</v>
      </c>
      <c r="H34" s="49">
        <f>AVERAGE('29.07 Ntinda-Kisaasi'!H34,'30.07 Ntinda-Kisaasi'!H34,'31.07 Ntinda-Kisaasi'!H34,'02.08 Ntinda-Kisaasi'!H34,'01.08 Ntinda-Kisaasi-24h'!H34,'03.08 Ntinda-Kisaasi-24h'!H34,'04.08 Ntinda-Kisaasi'!H34)</f>
        <v>0.14285714285714285</v>
      </c>
      <c r="I34" s="49">
        <f>AVERAGE('29.07 Ntinda-Kisaasi'!I34,'30.07 Ntinda-Kisaasi'!I34,'31.07 Ntinda-Kisaasi'!I34,'02.08 Ntinda-Kisaasi'!I34,'01.08 Ntinda-Kisaasi-24h'!I34,'03.08 Ntinda-Kisaasi-24h'!I34,'04.08 Ntinda-Kisaasi'!I34)</f>
        <v>5.5714285714285712</v>
      </c>
      <c r="J34" s="49">
        <f>AVERAGE('29.07 Ntinda-Kisaasi'!J34,'30.07 Ntinda-Kisaasi'!J34,'31.07 Ntinda-Kisaasi'!J34,'02.08 Ntinda-Kisaasi'!J34,'01.08 Ntinda-Kisaasi-24h'!J34,'03.08 Ntinda-Kisaasi-24h'!J34,'04.08 Ntinda-Kisaasi'!J34)</f>
        <v>2.1428571428571428</v>
      </c>
      <c r="K34" s="49">
        <f>AVERAGE('29.07 Ntinda-Kisaasi'!K34,'30.07 Ntinda-Kisaasi'!K34,'31.07 Ntinda-Kisaasi'!K34,'02.08 Ntinda-Kisaasi'!K34,'01.08 Ntinda-Kisaasi-24h'!K34,'03.08 Ntinda-Kisaasi-24h'!K34,'04.08 Ntinda-Kisaasi'!K34)</f>
        <v>0.8571428571428571</v>
      </c>
      <c r="L34" s="49">
        <f>AVERAGE('29.07 Ntinda-Kisaasi'!L34,'30.07 Ntinda-Kisaasi'!L34,'31.07 Ntinda-Kisaasi'!L34,'02.08 Ntinda-Kisaasi'!L34,'01.08 Ntinda-Kisaasi-24h'!L34,'03.08 Ntinda-Kisaasi-24h'!L34,'04.08 Ntinda-Kisaasi'!L34)</f>
        <v>1.7142857142857142</v>
      </c>
      <c r="M34" s="49">
        <f>AVERAGE('29.07 Ntinda-Kisaasi'!M34,'30.07 Ntinda-Kisaasi'!M34,'31.07 Ntinda-Kisaasi'!M34,'02.08 Ntinda-Kisaasi'!M34,'01.08 Ntinda-Kisaasi-24h'!M34,'03.08 Ntinda-Kisaasi-24h'!M34,'04.08 Ntinda-Kisaasi'!M34)</f>
        <v>78</v>
      </c>
      <c r="N34" s="49">
        <f>AVERAGE('29.07 Ntinda-Kisaasi'!N34,'30.07 Ntinda-Kisaasi'!N34,'31.07 Ntinda-Kisaasi'!N34,'02.08 Ntinda-Kisaasi'!N34,'01.08 Ntinda-Kisaasi-24h'!N34,'03.08 Ntinda-Kisaasi-24h'!N34,'04.08 Ntinda-Kisaasi'!N34)</f>
        <v>0.14285714285714285</v>
      </c>
      <c r="O34" s="15">
        <f t="shared" si="0"/>
        <v>93.142857142857125</v>
      </c>
      <c r="P34" s="15">
        <f t="shared" si="1"/>
        <v>171.14285714285714</v>
      </c>
      <c r="R34" s="38" t="s">
        <v>90</v>
      </c>
      <c r="S34" s="39">
        <f t="shared" ref="S34:AF34" si="16">MAX(S10:S12)</f>
        <v>125.42857142857143</v>
      </c>
      <c r="T34" s="39">
        <f t="shared" si="16"/>
        <v>58.571428571428569</v>
      </c>
      <c r="U34" s="39">
        <f t="shared" si="16"/>
        <v>26.428571428571427</v>
      </c>
      <c r="V34" s="39">
        <f t="shared" si="16"/>
        <v>98.285714285714292</v>
      </c>
      <c r="W34" s="39">
        <f t="shared" si="16"/>
        <v>1</v>
      </c>
      <c r="X34" s="39">
        <f t="shared" si="16"/>
        <v>0.7142857142857143</v>
      </c>
      <c r="Y34" s="39">
        <f t="shared" si="16"/>
        <v>15.142857142857142</v>
      </c>
      <c r="Z34" s="39">
        <f t="shared" si="16"/>
        <v>4.2857142857142856</v>
      </c>
      <c r="AA34" s="39">
        <f t="shared" si="16"/>
        <v>3.5714285714285712</v>
      </c>
      <c r="AB34" s="39">
        <f t="shared" si="16"/>
        <v>5.1428571428571432</v>
      </c>
      <c r="AC34" s="39">
        <f t="shared" si="16"/>
        <v>397.28571428571428</v>
      </c>
      <c r="AD34" s="39">
        <f t="shared" si="16"/>
        <v>0</v>
      </c>
      <c r="AE34" s="40">
        <f t="shared" si="16"/>
        <v>319.28571428571433</v>
      </c>
      <c r="AF34" s="40">
        <f t="shared" si="16"/>
        <v>712</v>
      </c>
    </row>
    <row r="35" spans="2:32" ht="23.1" customHeight="1" x14ac:dyDescent="0.25">
      <c r="B35" s="24" t="s">
        <v>62</v>
      </c>
      <c r="C35" s="49">
        <f>AVERAGE('29.07 Ntinda-Kisaasi'!C35,'30.07 Ntinda-Kisaasi'!C35,'31.07 Ntinda-Kisaasi'!C35,'02.08 Ntinda-Kisaasi'!C35,'01.08 Ntinda-Kisaasi-24h'!C35,'03.08 Ntinda-Kisaasi-24h'!C35,'04.08 Ntinda-Kisaasi'!C35)</f>
        <v>38</v>
      </c>
      <c r="D35" s="49">
        <f>AVERAGE('29.07 Ntinda-Kisaasi'!D35,'30.07 Ntinda-Kisaasi'!D35,'31.07 Ntinda-Kisaasi'!D35,'02.08 Ntinda-Kisaasi'!D35,'01.08 Ntinda-Kisaasi-24h'!D35,'03.08 Ntinda-Kisaasi-24h'!D35,'04.08 Ntinda-Kisaasi'!D35)</f>
        <v>17.714285714285715</v>
      </c>
      <c r="E35" s="49">
        <f>AVERAGE('29.07 Ntinda-Kisaasi'!E35,'30.07 Ntinda-Kisaasi'!E35,'31.07 Ntinda-Kisaasi'!E35,'02.08 Ntinda-Kisaasi'!E35,'01.08 Ntinda-Kisaasi-24h'!E35,'03.08 Ntinda-Kisaasi-24h'!E35,'04.08 Ntinda-Kisaasi'!E35)</f>
        <v>5.2857142857142856</v>
      </c>
      <c r="F35" s="49">
        <f>AVERAGE('29.07 Ntinda-Kisaasi'!F35,'30.07 Ntinda-Kisaasi'!F35,'31.07 Ntinda-Kisaasi'!F35,'02.08 Ntinda-Kisaasi'!F35,'01.08 Ntinda-Kisaasi-24h'!F35,'03.08 Ntinda-Kisaasi-24h'!F35,'04.08 Ntinda-Kisaasi'!F35)</f>
        <v>11</v>
      </c>
      <c r="G35" s="49">
        <f>AVERAGE('29.07 Ntinda-Kisaasi'!G35,'30.07 Ntinda-Kisaasi'!G35,'31.07 Ntinda-Kisaasi'!G35,'02.08 Ntinda-Kisaasi'!G35,'01.08 Ntinda-Kisaasi-24h'!G35,'03.08 Ntinda-Kisaasi-24h'!G35,'04.08 Ntinda-Kisaasi'!G35)</f>
        <v>0.14285714285714285</v>
      </c>
      <c r="H35" s="49">
        <f>AVERAGE('29.07 Ntinda-Kisaasi'!H35,'30.07 Ntinda-Kisaasi'!H35,'31.07 Ntinda-Kisaasi'!H35,'02.08 Ntinda-Kisaasi'!H35,'01.08 Ntinda-Kisaasi-24h'!H35,'03.08 Ntinda-Kisaasi-24h'!H35,'04.08 Ntinda-Kisaasi'!H35)</f>
        <v>0</v>
      </c>
      <c r="I35" s="49">
        <f>AVERAGE('29.07 Ntinda-Kisaasi'!I35,'30.07 Ntinda-Kisaasi'!I35,'31.07 Ntinda-Kisaasi'!I35,'02.08 Ntinda-Kisaasi'!I35,'01.08 Ntinda-Kisaasi-24h'!I35,'03.08 Ntinda-Kisaasi-24h'!I35,'04.08 Ntinda-Kisaasi'!I35)</f>
        <v>4</v>
      </c>
      <c r="J35" s="49">
        <f>AVERAGE('29.07 Ntinda-Kisaasi'!J35,'30.07 Ntinda-Kisaasi'!J35,'31.07 Ntinda-Kisaasi'!J35,'02.08 Ntinda-Kisaasi'!J35,'01.08 Ntinda-Kisaasi-24h'!J35,'03.08 Ntinda-Kisaasi-24h'!J35,'04.08 Ntinda-Kisaasi'!J35)</f>
        <v>2.1428571428571428</v>
      </c>
      <c r="K35" s="49">
        <f>AVERAGE('29.07 Ntinda-Kisaasi'!K35,'30.07 Ntinda-Kisaasi'!K35,'31.07 Ntinda-Kisaasi'!K35,'02.08 Ntinda-Kisaasi'!K35,'01.08 Ntinda-Kisaasi-24h'!K35,'03.08 Ntinda-Kisaasi-24h'!K35,'04.08 Ntinda-Kisaasi'!K35)</f>
        <v>0.5714285714285714</v>
      </c>
      <c r="L35" s="49">
        <f>AVERAGE('29.07 Ntinda-Kisaasi'!L35,'30.07 Ntinda-Kisaasi'!L35,'31.07 Ntinda-Kisaasi'!L35,'02.08 Ntinda-Kisaasi'!L35,'01.08 Ntinda-Kisaasi-24h'!L35,'03.08 Ntinda-Kisaasi-24h'!L35,'04.08 Ntinda-Kisaasi'!L35)</f>
        <v>1.1428571428571428</v>
      </c>
      <c r="M35" s="49">
        <f>AVERAGE('29.07 Ntinda-Kisaasi'!M35,'30.07 Ntinda-Kisaasi'!M35,'31.07 Ntinda-Kisaasi'!M35,'02.08 Ntinda-Kisaasi'!M35,'01.08 Ntinda-Kisaasi-24h'!M35,'03.08 Ntinda-Kisaasi-24h'!M35,'04.08 Ntinda-Kisaasi'!M35)</f>
        <v>89.428571428571431</v>
      </c>
      <c r="N35" s="49">
        <f>AVERAGE('29.07 Ntinda-Kisaasi'!N35,'30.07 Ntinda-Kisaasi'!N35,'31.07 Ntinda-Kisaasi'!N35,'02.08 Ntinda-Kisaasi'!N35,'01.08 Ntinda-Kisaasi-24h'!N35,'03.08 Ntinda-Kisaasi-24h'!N35,'04.08 Ntinda-Kisaasi'!N35)</f>
        <v>0.14285714285714285</v>
      </c>
      <c r="O35" s="15">
        <f t="shared" si="0"/>
        <v>80.142857142857125</v>
      </c>
      <c r="P35" s="15">
        <f t="shared" si="1"/>
        <v>169.57142857142856</v>
      </c>
      <c r="R35" s="38" t="s">
        <v>91</v>
      </c>
      <c r="S35" s="39">
        <f t="shared" ref="S35:AF35" si="17">MAX(S13:S18)</f>
        <v>177.57142857142858</v>
      </c>
      <c r="T35" s="39">
        <f t="shared" si="17"/>
        <v>100</v>
      </c>
      <c r="U35" s="39">
        <f t="shared" si="17"/>
        <v>29.285714285714285</v>
      </c>
      <c r="V35" s="39">
        <f t="shared" si="17"/>
        <v>71.428571428571431</v>
      </c>
      <c r="W35" s="39">
        <f t="shared" si="17"/>
        <v>2</v>
      </c>
      <c r="X35" s="39">
        <f t="shared" si="17"/>
        <v>0.2857142857142857</v>
      </c>
      <c r="Y35" s="39">
        <f t="shared" si="17"/>
        <v>20.714285714285715</v>
      </c>
      <c r="Z35" s="39">
        <f t="shared" si="17"/>
        <v>8.5714285714285712</v>
      </c>
      <c r="AA35" s="39">
        <f t="shared" si="17"/>
        <v>2.8571428571428568</v>
      </c>
      <c r="AB35" s="39">
        <f t="shared" si="17"/>
        <v>11.142857142857142</v>
      </c>
      <c r="AC35" s="39">
        <f t="shared" si="17"/>
        <v>374.14285714285711</v>
      </c>
      <c r="AD35" s="39">
        <f t="shared" si="17"/>
        <v>0.2857142857142857</v>
      </c>
      <c r="AE35" s="40">
        <f t="shared" si="17"/>
        <v>396.42857142857139</v>
      </c>
      <c r="AF35" s="40">
        <f t="shared" si="17"/>
        <v>713.57142857142844</v>
      </c>
    </row>
    <row r="36" spans="2:32" ht="23.1" customHeight="1" x14ac:dyDescent="0.25">
      <c r="B36" s="24" t="s">
        <v>63</v>
      </c>
      <c r="C36" s="49">
        <f>AVERAGE('29.07 Ntinda-Kisaasi'!C36,'30.07 Ntinda-Kisaasi'!C36,'31.07 Ntinda-Kisaasi'!C36,'02.08 Ntinda-Kisaasi'!C36,'01.08 Ntinda-Kisaasi-24h'!C36,'03.08 Ntinda-Kisaasi-24h'!C36,'04.08 Ntinda-Kisaasi'!C36)</f>
        <v>31.714285714285715</v>
      </c>
      <c r="D36" s="49">
        <f>AVERAGE('29.07 Ntinda-Kisaasi'!D36,'30.07 Ntinda-Kisaasi'!D36,'31.07 Ntinda-Kisaasi'!D36,'02.08 Ntinda-Kisaasi'!D36,'01.08 Ntinda-Kisaasi-24h'!D36,'03.08 Ntinda-Kisaasi-24h'!D36,'04.08 Ntinda-Kisaasi'!D36)</f>
        <v>16</v>
      </c>
      <c r="E36" s="49">
        <f>AVERAGE('29.07 Ntinda-Kisaasi'!E36,'30.07 Ntinda-Kisaasi'!E36,'31.07 Ntinda-Kisaasi'!E36,'02.08 Ntinda-Kisaasi'!E36,'01.08 Ntinda-Kisaasi-24h'!E36,'03.08 Ntinda-Kisaasi-24h'!E36,'04.08 Ntinda-Kisaasi'!E36)</f>
        <v>5.7142857142857144</v>
      </c>
      <c r="F36" s="49">
        <f>AVERAGE('29.07 Ntinda-Kisaasi'!F36,'30.07 Ntinda-Kisaasi'!F36,'31.07 Ntinda-Kisaasi'!F36,'02.08 Ntinda-Kisaasi'!F36,'01.08 Ntinda-Kisaasi-24h'!F36,'03.08 Ntinda-Kisaasi-24h'!F36,'04.08 Ntinda-Kisaasi'!F36)</f>
        <v>12.571428571428571</v>
      </c>
      <c r="G36" s="49">
        <f>AVERAGE('29.07 Ntinda-Kisaasi'!G36,'30.07 Ntinda-Kisaasi'!G36,'31.07 Ntinda-Kisaasi'!G36,'02.08 Ntinda-Kisaasi'!G36,'01.08 Ntinda-Kisaasi-24h'!G36,'03.08 Ntinda-Kisaasi-24h'!G36,'04.08 Ntinda-Kisaasi'!G36)</f>
        <v>0.14285714285714285</v>
      </c>
      <c r="H36" s="49">
        <f>AVERAGE('29.07 Ntinda-Kisaasi'!H36,'30.07 Ntinda-Kisaasi'!H36,'31.07 Ntinda-Kisaasi'!H36,'02.08 Ntinda-Kisaasi'!H36,'01.08 Ntinda-Kisaasi-24h'!H36,'03.08 Ntinda-Kisaasi-24h'!H36,'04.08 Ntinda-Kisaasi'!H36)</f>
        <v>0</v>
      </c>
      <c r="I36" s="49">
        <f>AVERAGE('29.07 Ntinda-Kisaasi'!I36,'30.07 Ntinda-Kisaasi'!I36,'31.07 Ntinda-Kisaasi'!I36,'02.08 Ntinda-Kisaasi'!I36,'01.08 Ntinda-Kisaasi-24h'!I36,'03.08 Ntinda-Kisaasi-24h'!I36,'04.08 Ntinda-Kisaasi'!I36)</f>
        <v>4.2857142857142856</v>
      </c>
      <c r="J36" s="49">
        <f>AVERAGE('29.07 Ntinda-Kisaasi'!J36,'30.07 Ntinda-Kisaasi'!J36,'31.07 Ntinda-Kisaasi'!J36,'02.08 Ntinda-Kisaasi'!J36,'01.08 Ntinda-Kisaasi-24h'!J36,'03.08 Ntinda-Kisaasi-24h'!J36,'04.08 Ntinda-Kisaasi'!J36)</f>
        <v>0.8571428571428571</v>
      </c>
      <c r="K36" s="49">
        <f>AVERAGE('29.07 Ntinda-Kisaasi'!K36,'30.07 Ntinda-Kisaasi'!K36,'31.07 Ntinda-Kisaasi'!K36,'02.08 Ntinda-Kisaasi'!K36,'01.08 Ntinda-Kisaasi-24h'!K36,'03.08 Ntinda-Kisaasi-24h'!K36,'04.08 Ntinda-Kisaasi'!K36)</f>
        <v>0.8571428571428571</v>
      </c>
      <c r="L36" s="49">
        <f>AVERAGE('29.07 Ntinda-Kisaasi'!L36,'30.07 Ntinda-Kisaasi'!L36,'31.07 Ntinda-Kisaasi'!L36,'02.08 Ntinda-Kisaasi'!L36,'01.08 Ntinda-Kisaasi-24h'!L36,'03.08 Ntinda-Kisaasi-24h'!L36,'04.08 Ntinda-Kisaasi'!L36)</f>
        <v>1.4285714285714286</v>
      </c>
      <c r="M36" s="49">
        <f>AVERAGE('29.07 Ntinda-Kisaasi'!M36,'30.07 Ntinda-Kisaasi'!M36,'31.07 Ntinda-Kisaasi'!M36,'02.08 Ntinda-Kisaasi'!M36,'01.08 Ntinda-Kisaasi-24h'!M36,'03.08 Ntinda-Kisaasi-24h'!M36,'04.08 Ntinda-Kisaasi'!M36)</f>
        <v>65.571428571428569</v>
      </c>
      <c r="N36" s="49">
        <f>AVERAGE('29.07 Ntinda-Kisaasi'!N36,'30.07 Ntinda-Kisaasi'!N36,'31.07 Ntinda-Kisaasi'!N36,'02.08 Ntinda-Kisaasi'!N36,'01.08 Ntinda-Kisaasi-24h'!N36,'03.08 Ntinda-Kisaasi-24h'!N36,'04.08 Ntinda-Kisaasi'!N36)</f>
        <v>0</v>
      </c>
      <c r="O36" s="15">
        <f t="shared" si="0"/>
        <v>73.571428571428584</v>
      </c>
      <c r="P36" s="15">
        <f t="shared" si="1"/>
        <v>139.14285714285717</v>
      </c>
      <c r="R36" s="38" t="s">
        <v>92</v>
      </c>
      <c r="S36" s="39">
        <f t="shared" ref="S36:AF36" si="18">MAX(S19:S21)</f>
        <v>272.28571428571428</v>
      </c>
      <c r="T36" s="39">
        <f t="shared" si="18"/>
        <v>110</v>
      </c>
      <c r="U36" s="39">
        <f t="shared" si="18"/>
        <v>33.571428571428569</v>
      </c>
      <c r="V36" s="39">
        <f t="shared" si="18"/>
        <v>56.857142857142854</v>
      </c>
      <c r="W36" s="39">
        <f t="shared" si="18"/>
        <v>2.7142857142857144</v>
      </c>
      <c r="X36" s="39">
        <f t="shared" si="18"/>
        <v>0.14285714285714285</v>
      </c>
      <c r="Y36" s="39">
        <f t="shared" si="18"/>
        <v>15.428571428571429</v>
      </c>
      <c r="Z36" s="39">
        <f t="shared" si="18"/>
        <v>6.8571428571428577</v>
      </c>
      <c r="AA36" s="39">
        <f t="shared" si="18"/>
        <v>2.9999999999999996</v>
      </c>
      <c r="AB36" s="39">
        <f t="shared" si="18"/>
        <v>7.7142857142857135</v>
      </c>
      <c r="AC36" s="39">
        <f t="shared" si="18"/>
        <v>341.57142857142856</v>
      </c>
      <c r="AD36" s="39">
        <f t="shared" si="18"/>
        <v>0</v>
      </c>
      <c r="AE36" s="40">
        <f t="shared" si="18"/>
        <v>500.42857142857133</v>
      </c>
      <c r="AF36" s="40">
        <f t="shared" si="18"/>
        <v>841.99999999999989</v>
      </c>
    </row>
    <row r="37" spans="2:32" ht="23.1" customHeight="1" x14ac:dyDescent="0.25">
      <c r="B37" s="23" t="s">
        <v>64</v>
      </c>
      <c r="C37" s="49">
        <f>AVERAGE('29.07 Ntinda-Kisaasi'!C37,'30.07 Ntinda-Kisaasi'!C37,'31.07 Ntinda-Kisaasi'!C37,'02.08 Ntinda-Kisaasi'!C37,'01.08 Ntinda-Kisaasi-24h'!C37,'03.08 Ntinda-Kisaasi-24h'!C37,'04.08 Ntinda-Kisaasi'!C37)</f>
        <v>46</v>
      </c>
      <c r="D37" s="49">
        <f>AVERAGE('29.07 Ntinda-Kisaasi'!D37,'30.07 Ntinda-Kisaasi'!D37,'31.07 Ntinda-Kisaasi'!D37,'02.08 Ntinda-Kisaasi'!D37,'01.08 Ntinda-Kisaasi-24h'!D37,'03.08 Ntinda-Kisaasi-24h'!D37,'04.08 Ntinda-Kisaasi'!D37)</f>
        <v>26</v>
      </c>
      <c r="E37" s="49">
        <f>AVERAGE('29.07 Ntinda-Kisaasi'!E37,'30.07 Ntinda-Kisaasi'!E37,'31.07 Ntinda-Kisaasi'!E37,'02.08 Ntinda-Kisaasi'!E37,'01.08 Ntinda-Kisaasi-24h'!E37,'03.08 Ntinda-Kisaasi-24h'!E37,'04.08 Ntinda-Kisaasi'!E37)</f>
        <v>8.7142857142857135</v>
      </c>
      <c r="F37" s="49">
        <f>AVERAGE('29.07 Ntinda-Kisaasi'!F37,'30.07 Ntinda-Kisaasi'!F37,'31.07 Ntinda-Kisaasi'!F37,'02.08 Ntinda-Kisaasi'!F37,'01.08 Ntinda-Kisaasi-24h'!F37,'03.08 Ntinda-Kisaasi-24h'!F37,'04.08 Ntinda-Kisaasi'!F37)</f>
        <v>15.428571428571429</v>
      </c>
      <c r="G37" s="49">
        <f>AVERAGE('29.07 Ntinda-Kisaasi'!G37,'30.07 Ntinda-Kisaasi'!G37,'31.07 Ntinda-Kisaasi'!G37,'02.08 Ntinda-Kisaasi'!G37,'01.08 Ntinda-Kisaasi-24h'!G37,'03.08 Ntinda-Kisaasi-24h'!G37,'04.08 Ntinda-Kisaasi'!G37)</f>
        <v>0.5714285714285714</v>
      </c>
      <c r="H37" s="49">
        <f>AVERAGE('29.07 Ntinda-Kisaasi'!H37,'30.07 Ntinda-Kisaasi'!H37,'31.07 Ntinda-Kisaasi'!H37,'02.08 Ntinda-Kisaasi'!H37,'01.08 Ntinda-Kisaasi-24h'!H37,'03.08 Ntinda-Kisaasi-24h'!H37,'04.08 Ntinda-Kisaasi'!H37)</f>
        <v>0</v>
      </c>
      <c r="I37" s="49">
        <f>AVERAGE('29.07 Ntinda-Kisaasi'!I37,'30.07 Ntinda-Kisaasi'!I37,'31.07 Ntinda-Kisaasi'!I37,'02.08 Ntinda-Kisaasi'!I37,'01.08 Ntinda-Kisaasi-24h'!I37,'03.08 Ntinda-Kisaasi-24h'!I37,'04.08 Ntinda-Kisaasi'!I37)</f>
        <v>4.1428571428571432</v>
      </c>
      <c r="J37" s="49">
        <f>AVERAGE('29.07 Ntinda-Kisaasi'!J37,'30.07 Ntinda-Kisaasi'!J37,'31.07 Ntinda-Kisaasi'!J37,'02.08 Ntinda-Kisaasi'!J37,'01.08 Ntinda-Kisaasi-24h'!J37,'03.08 Ntinda-Kisaasi-24h'!J37,'04.08 Ntinda-Kisaasi'!J37)</f>
        <v>2.1428571428571428</v>
      </c>
      <c r="K37" s="49">
        <f>AVERAGE('29.07 Ntinda-Kisaasi'!K37,'30.07 Ntinda-Kisaasi'!K37,'31.07 Ntinda-Kisaasi'!K37,'02.08 Ntinda-Kisaasi'!K37,'01.08 Ntinda-Kisaasi-24h'!K37,'03.08 Ntinda-Kisaasi-24h'!K37,'04.08 Ntinda-Kisaasi'!K37)</f>
        <v>0.42857142857142855</v>
      </c>
      <c r="L37" s="49">
        <f>AVERAGE('29.07 Ntinda-Kisaasi'!L37,'30.07 Ntinda-Kisaasi'!L37,'31.07 Ntinda-Kisaasi'!L37,'02.08 Ntinda-Kisaasi'!L37,'01.08 Ntinda-Kisaasi-24h'!L37,'03.08 Ntinda-Kisaasi-24h'!L37,'04.08 Ntinda-Kisaasi'!L37)</f>
        <v>1.2857142857142858</v>
      </c>
      <c r="M37" s="49">
        <f>AVERAGE('29.07 Ntinda-Kisaasi'!M37,'30.07 Ntinda-Kisaasi'!M37,'31.07 Ntinda-Kisaasi'!M37,'02.08 Ntinda-Kisaasi'!M37,'01.08 Ntinda-Kisaasi-24h'!M37,'03.08 Ntinda-Kisaasi-24h'!M37,'04.08 Ntinda-Kisaasi'!M37)</f>
        <v>86</v>
      </c>
      <c r="N37" s="49">
        <f>AVERAGE('29.07 Ntinda-Kisaasi'!N37,'30.07 Ntinda-Kisaasi'!N37,'31.07 Ntinda-Kisaasi'!N37,'02.08 Ntinda-Kisaasi'!N37,'01.08 Ntinda-Kisaasi-24h'!N37,'03.08 Ntinda-Kisaasi-24h'!N37,'04.08 Ntinda-Kisaasi'!N37)</f>
        <v>0</v>
      </c>
      <c r="O37" s="15">
        <f t="shared" si="0"/>
        <v>104.71428571428571</v>
      </c>
      <c r="P37" s="15">
        <f t="shared" si="1"/>
        <v>190.71428571428572</v>
      </c>
      <c r="R37" s="37" t="s">
        <v>85</v>
      </c>
      <c r="S37" s="35">
        <f t="shared" ref="S37:AF37" si="19">SUM(S10:S12)</f>
        <v>334.28571428571428</v>
      </c>
      <c r="T37" s="16">
        <f t="shared" si="19"/>
        <v>156.42857142857144</v>
      </c>
      <c r="U37" s="16">
        <f t="shared" si="19"/>
        <v>59.857142857142861</v>
      </c>
      <c r="V37" s="16">
        <f t="shared" si="19"/>
        <v>258</v>
      </c>
      <c r="W37" s="16">
        <f t="shared" si="19"/>
        <v>2</v>
      </c>
      <c r="X37" s="16">
        <f t="shared" si="19"/>
        <v>0.7142857142857143</v>
      </c>
      <c r="Y37" s="16">
        <f t="shared" si="19"/>
        <v>31.857142857142858</v>
      </c>
      <c r="Z37" s="16">
        <f t="shared" si="19"/>
        <v>8.1428571428571423</v>
      </c>
      <c r="AA37" s="16">
        <f t="shared" si="19"/>
        <v>4.9999999999999991</v>
      </c>
      <c r="AB37" s="16">
        <f t="shared" si="19"/>
        <v>9.7142857142857153</v>
      </c>
      <c r="AC37" s="16">
        <f t="shared" si="19"/>
        <v>1099.5714285714287</v>
      </c>
      <c r="AD37" s="16">
        <f t="shared" si="19"/>
        <v>0</v>
      </c>
      <c r="AE37" s="32">
        <f t="shared" si="19"/>
        <v>866.00000000000011</v>
      </c>
      <c r="AF37" s="32">
        <f t="shared" si="19"/>
        <v>1965.5714285714284</v>
      </c>
    </row>
    <row r="38" spans="2:32" ht="23.1" customHeight="1" x14ac:dyDescent="0.25">
      <c r="B38" s="24" t="s">
        <v>65</v>
      </c>
      <c r="C38" s="49">
        <f>AVERAGE('29.07 Ntinda-Kisaasi'!C38,'30.07 Ntinda-Kisaasi'!C38,'31.07 Ntinda-Kisaasi'!C38,'02.08 Ntinda-Kisaasi'!C38,'01.08 Ntinda-Kisaasi-24h'!C38,'03.08 Ntinda-Kisaasi-24h'!C38,'04.08 Ntinda-Kisaasi'!C38)</f>
        <v>41.571428571428569</v>
      </c>
      <c r="D38" s="49">
        <f>AVERAGE('29.07 Ntinda-Kisaasi'!D38,'30.07 Ntinda-Kisaasi'!D38,'31.07 Ntinda-Kisaasi'!D38,'02.08 Ntinda-Kisaasi'!D38,'01.08 Ntinda-Kisaasi-24h'!D38,'03.08 Ntinda-Kisaasi-24h'!D38,'04.08 Ntinda-Kisaasi'!D38)</f>
        <v>27.142857142857142</v>
      </c>
      <c r="E38" s="49">
        <f>AVERAGE('29.07 Ntinda-Kisaasi'!E38,'30.07 Ntinda-Kisaasi'!E38,'31.07 Ntinda-Kisaasi'!E38,'02.08 Ntinda-Kisaasi'!E38,'01.08 Ntinda-Kisaasi-24h'!E38,'03.08 Ntinda-Kisaasi-24h'!E38,'04.08 Ntinda-Kisaasi'!E38)</f>
        <v>5.4285714285714288</v>
      </c>
      <c r="F38" s="49">
        <f>AVERAGE('29.07 Ntinda-Kisaasi'!F38,'30.07 Ntinda-Kisaasi'!F38,'31.07 Ntinda-Kisaasi'!F38,'02.08 Ntinda-Kisaasi'!F38,'01.08 Ntinda-Kisaasi-24h'!F38,'03.08 Ntinda-Kisaasi-24h'!F38,'04.08 Ntinda-Kisaasi'!F38)</f>
        <v>13.285714285714286</v>
      </c>
      <c r="G38" s="49">
        <f>AVERAGE('29.07 Ntinda-Kisaasi'!G38,'30.07 Ntinda-Kisaasi'!G38,'31.07 Ntinda-Kisaasi'!G38,'02.08 Ntinda-Kisaasi'!G38,'01.08 Ntinda-Kisaasi-24h'!G38,'03.08 Ntinda-Kisaasi-24h'!G38,'04.08 Ntinda-Kisaasi'!G38)</f>
        <v>0.2857142857142857</v>
      </c>
      <c r="H38" s="49">
        <f>AVERAGE('29.07 Ntinda-Kisaasi'!H38,'30.07 Ntinda-Kisaasi'!H38,'31.07 Ntinda-Kisaasi'!H38,'02.08 Ntinda-Kisaasi'!H38,'01.08 Ntinda-Kisaasi-24h'!H38,'03.08 Ntinda-Kisaasi-24h'!H38,'04.08 Ntinda-Kisaasi'!H38)</f>
        <v>0.14285714285714285</v>
      </c>
      <c r="I38" s="49">
        <f>AVERAGE('29.07 Ntinda-Kisaasi'!I38,'30.07 Ntinda-Kisaasi'!I38,'31.07 Ntinda-Kisaasi'!I38,'02.08 Ntinda-Kisaasi'!I38,'01.08 Ntinda-Kisaasi-24h'!I38,'03.08 Ntinda-Kisaasi-24h'!I38,'04.08 Ntinda-Kisaasi'!I38)</f>
        <v>4.1428571428571432</v>
      </c>
      <c r="J38" s="49">
        <f>AVERAGE('29.07 Ntinda-Kisaasi'!J38,'30.07 Ntinda-Kisaasi'!J38,'31.07 Ntinda-Kisaasi'!J38,'02.08 Ntinda-Kisaasi'!J38,'01.08 Ntinda-Kisaasi-24h'!J38,'03.08 Ntinda-Kisaasi-24h'!J38,'04.08 Ntinda-Kisaasi'!J38)</f>
        <v>1.7142857142857142</v>
      </c>
      <c r="K38" s="49">
        <f>AVERAGE('29.07 Ntinda-Kisaasi'!K38,'30.07 Ntinda-Kisaasi'!K38,'31.07 Ntinda-Kisaasi'!K38,'02.08 Ntinda-Kisaasi'!K38,'01.08 Ntinda-Kisaasi-24h'!K38,'03.08 Ntinda-Kisaasi-24h'!K38,'04.08 Ntinda-Kisaasi'!K38)</f>
        <v>0.42857142857142855</v>
      </c>
      <c r="L38" s="49">
        <f>AVERAGE('29.07 Ntinda-Kisaasi'!L38,'30.07 Ntinda-Kisaasi'!L38,'31.07 Ntinda-Kisaasi'!L38,'02.08 Ntinda-Kisaasi'!L38,'01.08 Ntinda-Kisaasi-24h'!L38,'03.08 Ntinda-Kisaasi-24h'!L38,'04.08 Ntinda-Kisaasi'!L38)</f>
        <v>1</v>
      </c>
      <c r="M38" s="49">
        <f>AVERAGE('29.07 Ntinda-Kisaasi'!M38,'30.07 Ntinda-Kisaasi'!M38,'31.07 Ntinda-Kisaasi'!M38,'02.08 Ntinda-Kisaasi'!M38,'01.08 Ntinda-Kisaasi-24h'!M38,'03.08 Ntinda-Kisaasi-24h'!M38,'04.08 Ntinda-Kisaasi'!M38)</f>
        <v>81.857142857142861</v>
      </c>
      <c r="N38" s="49">
        <f>AVERAGE('29.07 Ntinda-Kisaasi'!N38,'30.07 Ntinda-Kisaasi'!N38,'31.07 Ntinda-Kisaasi'!N38,'02.08 Ntinda-Kisaasi'!N38,'01.08 Ntinda-Kisaasi-24h'!N38,'03.08 Ntinda-Kisaasi-24h'!N38,'04.08 Ntinda-Kisaasi'!N38)</f>
        <v>0</v>
      </c>
      <c r="O38" s="15">
        <f t="shared" si="0"/>
        <v>95.142857142857139</v>
      </c>
      <c r="P38" s="15">
        <f t="shared" si="1"/>
        <v>177</v>
      </c>
      <c r="R38" s="28" t="s">
        <v>86</v>
      </c>
      <c r="S38" s="16">
        <f t="shared" ref="S38:AF38" si="20">SUM(S13:S18)</f>
        <v>926.42857142857133</v>
      </c>
      <c r="T38" s="16">
        <f t="shared" si="20"/>
        <v>478.42857142857139</v>
      </c>
      <c r="U38" s="16">
        <f t="shared" si="20"/>
        <v>166.42857142857142</v>
      </c>
      <c r="V38" s="16">
        <f t="shared" si="20"/>
        <v>363.42857142857144</v>
      </c>
      <c r="W38" s="16">
        <f t="shared" si="20"/>
        <v>6.5714285714285712</v>
      </c>
      <c r="X38" s="16">
        <f t="shared" si="20"/>
        <v>0.71428571428571419</v>
      </c>
      <c r="Y38" s="16">
        <f t="shared" si="20"/>
        <v>108.42857142857142</v>
      </c>
      <c r="Z38" s="16">
        <f t="shared" si="20"/>
        <v>38.428571428571431</v>
      </c>
      <c r="AA38" s="16">
        <f t="shared" si="20"/>
        <v>14.285714285714285</v>
      </c>
      <c r="AB38" s="16">
        <f t="shared" si="20"/>
        <v>48</v>
      </c>
      <c r="AC38" s="16">
        <f t="shared" si="20"/>
        <v>1926.8571428571427</v>
      </c>
      <c r="AD38" s="16">
        <f t="shared" si="20"/>
        <v>0.42857142857142855</v>
      </c>
      <c r="AE38" s="32">
        <f t="shared" si="20"/>
        <v>2151.5714285714284</v>
      </c>
      <c r="AF38" s="32">
        <f t="shared" si="20"/>
        <v>4078.4285714285706</v>
      </c>
    </row>
    <row r="39" spans="2:32" ht="23.1" customHeight="1" x14ac:dyDescent="0.25">
      <c r="B39" s="24" t="s">
        <v>66</v>
      </c>
      <c r="C39" s="49">
        <f>AVERAGE('29.07 Ntinda-Kisaasi'!C39,'30.07 Ntinda-Kisaasi'!C39,'31.07 Ntinda-Kisaasi'!C39,'02.08 Ntinda-Kisaasi'!C39,'01.08 Ntinda-Kisaasi-24h'!C39,'03.08 Ntinda-Kisaasi-24h'!C39,'04.08 Ntinda-Kisaasi'!C39)</f>
        <v>40.285714285714285</v>
      </c>
      <c r="D39" s="49">
        <f>AVERAGE('29.07 Ntinda-Kisaasi'!D39,'30.07 Ntinda-Kisaasi'!D39,'31.07 Ntinda-Kisaasi'!D39,'02.08 Ntinda-Kisaasi'!D39,'01.08 Ntinda-Kisaasi-24h'!D39,'03.08 Ntinda-Kisaasi-24h'!D39,'04.08 Ntinda-Kisaasi'!D39)</f>
        <v>23</v>
      </c>
      <c r="E39" s="49">
        <f>AVERAGE('29.07 Ntinda-Kisaasi'!E39,'30.07 Ntinda-Kisaasi'!E39,'31.07 Ntinda-Kisaasi'!E39,'02.08 Ntinda-Kisaasi'!E39,'01.08 Ntinda-Kisaasi-24h'!E39,'03.08 Ntinda-Kisaasi-24h'!E39,'04.08 Ntinda-Kisaasi'!E39)</f>
        <v>7.8571428571428568</v>
      </c>
      <c r="F39" s="49">
        <f>AVERAGE('29.07 Ntinda-Kisaasi'!F39,'30.07 Ntinda-Kisaasi'!F39,'31.07 Ntinda-Kisaasi'!F39,'02.08 Ntinda-Kisaasi'!F39,'01.08 Ntinda-Kisaasi-24h'!F39,'03.08 Ntinda-Kisaasi-24h'!F39,'04.08 Ntinda-Kisaasi'!F39)</f>
        <v>15</v>
      </c>
      <c r="G39" s="49">
        <f>AVERAGE('29.07 Ntinda-Kisaasi'!G39,'30.07 Ntinda-Kisaasi'!G39,'31.07 Ntinda-Kisaasi'!G39,'02.08 Ntinda-Kisaasi'!G39,'01.08 Ntinda-Kisaasi-24h'!G39,'03.08 Ntinda-Kisaasi-24h'!G39,'04.08 Ntinda-Kisaasi'!G39)</f>
        <v>0.42857142857142855</v>
      </c>
      <c r="H39" s="49">
        <f>AVERAGE('29.07 Ntinda-Kisaasi'!H39,'30.07 Ntinda-Kisaasi'!H39,'31.07 Ntinda-Kisaasi'!H39,'02.08 Ntinda-Kisaasi'!H39,'01.08 Ntinda-Kisaasi-24h'!H39,'03.08 Ntinda-Kisaasi-24h'!H39,'04.08 Ntinda-Kisaasi'!H39)</f>
        <v>0</v>
      </c>
      <c r="I39" s="49">
        <f>AVERAGE('29.07 Ntinda-Kisaasi'!I39,'30.07 Ntinda-Kisaasi'!I39,'31.07 Ntinda-Kisaasi'!I39,'02.08 Ntinda-Kisaasi'!I39,'01.08 Ntinda-Kisaasi-24h'!I39,'03.08 Ntinda-Kisaasi-24h'!I39,'04.08 Ntinda-Kisaasi'!I39)</f>
        <v>4.5714285714285712</v>
      </c>
      <c r="J39" s="49">
        <f>AVERAGE('29.07 Ntinda-Kisaasi'!J39,'30.07 Ntinda-Kisaasi'!J39,'31.07 Ntinda-Kisaasi'!J39,'02.08 Ntinda-Kisaasi'!J39,'01.08 Ntinda-Kisaasi-24h'!J39,'03.08 Ntinda-Kisaasi-24h'!J39,'04.08 Ntinda-Kisaasi'!J39)</f>
        <v>2.4285714285714284</v>
      </c>
      <c r="K39" s="49">
        <f>AVERAGE('29.07 Ntinda-Kisaasi'!K39,'30.07 Ntinda-Kisaasi'!K39,'31.07 Ntinda-Kisaasi'!K39,'02.08 Ntinda-Kisaasi'!K39,'01.08 Ntinda-Kisaasi-24h'!K39,'03.08 Ntinda-Kisaasi-24h'!K39,'04.08 Ntinda-Kisaasi'!K39)</f>
        <v>0.7142857142857143</v>
      </c>
      <c r="L39" s="49">
        <f>AVERAGE('29.07 Ntinda-Kisaasi'!L39,'30.07 Ntinda-Kisaasi'!L39,'31.07 Ntinda-Kisaasi'!L39,'02.08 Ntinda-Kisaasi'!L39,'01.08 Ntinda-Kisaasi-24h'!L39,'03.08 Ntinda-Kisaasi-24h'!L39,'04.08 Ntinda-Kisaasi'!L39)</f>
        <v>1.1428571428571428</v>
      </c>
      <c r="M39" s="49">
        <f>AVERAGE('29.07 Ntinda-Kisaasi'!M39,'30.07 Ntinda-Kisaasi'!M39,'31.07 Ntinda-Kisaasi'!M39,'02.08 Ntinda-Kisaasi'!M39,'01.08 Ntinda-Kisaasi-24h'!M39,'03.08 Ntinda-Kisaasi-24h'!M39,'04.08 Ntinda-Kisaasi'!M39)</f>
        <v>78.428571428571431</v>
      </c>
      <c r="N39" s="49">
        <f>AVERAGE('29.07 Ntinda-Kisaasi'!N39,'30.07 Ntinda-Kisaasi'!N39,'31.07 Ntinda-Kisaasi'!N39,'02.08 Ntinda-Kisaasi'!N39,'01.08 Ntinda-Kisaasi-24h'!N39,'03.08 Ntinda-Kisaasi-24h'!N39,'04.08 Ntinda-Kisaasi'!N39)</f>
        <v>0</v>
      </c>
      <c r="O39" s="15">
        <f t="shared" si="0"/>
        <v>95.428571428571416</v>
      </c>
      <c r="P39" s="15">
        <f t="shared" si="1"/>
        <v>173.85714285714283</v>
      </c>
      <c r="R39" s="29" t="s">
        <v>87</v>
      </c>
      <c r="S39" s="16">
        <f t="shared" ref="S39:AF39" si="21">SUM(S19:S21)</f>
        <v>731.71428571428567</v>
      </c>
      <c r="T39" s="16">
        <f t="shared" si="21"/>
        <v>305.71428571428572</v>
      </c>
      <c r="U39" s="16">
        <f t="shared" si="21"/>
        <v>92.285714285714278</v>
      </c>
      <c r="V39" s="16">
        <f t="shared" si="21"/>
        <v>164.14285714285714</v>
      </c>
      <c r="W39" s="16">
        <f t="shared" si="21"/>
        <v>4.1428571428571432</v>
      </c>
      <c r="X39" s="16">
        <f t="shared" si="21"/>
        <v>0.14285714285714285</v>
      </c>
      <c r="Y39" s="16">
        <f t="shared" si="21"/>
        <v>41.571428571428569</v>
      </c>
      <c r="Z39" s="16">
        <f t="shared" si="21"/>
        <v>18</v>
      </c>
      <c r="AA39" s="16">
        <f t="shared" si="21"/>
        <v>6.7142857142857135</v>
      </c>
      <c r="AB39" s="16">
        <f t="shared" si="21"/>
        <v>21.714285714285712</v>
      </c>
      <c r="AC39" s="16">
        <f t="shared" si="21"/>
        <v>985.42857142857133</v>
      </c>
      <c r="AD39" s="16">
        <f t="shared" si="21"/>
        <v>0</v>
      </c>
      <c r="AE39" s="32">
        <f t="shared" si="21"/>
        <v>1386.1428571428569</v>
      </c>
      <c r="AF39" s="32">
        <f t="shared" si="21"/>
        <v>2371.5714285714284</v>
      </c>
    </row>
    <row r="40" spans="2:32" ht="23.1" customHeight="1" x14ac:dyDescent="0.25">
      <c r="B40" s="24" t="s">
        <v>67</v>
      </c>
      <c r="C40" s="49">
        <f>AVERAGE('29.07 Ntinda-Kisaasi'!C40,'30.07 Ntinda-Kisaasi'!C40,'31.07 Ntinda-Kisaasi'!C40,'02.08 Ntinda-Kisaasi'!C40,'01.08 Ntinda-Kisaasi-24h'!C40,'03.08 Ntinda-Kisaasi-24h'!C40,'04.08 Ntinda-Kisaasi'!C40)</f>
        <v>47.857142857142854</v>
      </c>
      <c r="D40" s="49">
        <f>AVERAGE('29.07 Ntinda-Kisaasi'!D40,'30.07 Ntinda-Kisaasi'!D40,'31.07 Ntinda-Kisaasi'!D40,'02.08 Ntinda-Kisaasi'!D40,'01.08 Ntinda-Kisaasi-24h'!D40,'03.08 Ntinda-Kisaasi-24h'!D40,'04.08 Ntinda-Kisaasi'!D40)</f>
        <v>25.571428571428573</v>
      </c>
      <c r="E40" s="49">
        <f>AVERAGE('29.07 Ntinda-Kisaasi'!E40,'30.07 Ntinda-Kisaasi'!E40,'31.07 Ntinda-Kisaasi'!E40,'02.08 Ntinda-Kisaasi'!E40,'01.08 Ntinda-Kisaasi-24h'!E40,'03.08 Ntinda-Kisaasi-24h'!E40,'04.08 Ntinda-Kisaasi'!E40)</f>
        <v>6.1428571428571432</v>
      </c>
      <c r="F40" s="49">
        <f>AVERAGE('29.07 Ntinda-Kisaasi'!F40,'30.07 Ntinda-Kisaasi'!F40,'31.07 Ntinda-Kisaasi'!F40,'02.08 Ntinda-Kisaasi'!F40,'01.08 Ntinda-Kisaasi-24h'!F40,'03.08 Ntinda-Kisaasi-24h'!F40,'04.08 Ntinda-Kisaasi'!F40)</f>
        <v>14</v>
      </c>
      <c r="G40" s="49">
        <f>AVERAGE('29.07 Ntinda-Kisaasi'!G40,'30.07 Ntinda-Kisaasi'!G40,'31.07 Ntinda-Kisaasi'!G40,'02.08 Ntinda-Kisaasi'!G40,'01.08 Ntinda-Kisaasi-24h'!G40,'03.08 Ntinda-Kisaasi-24h'!G40,'04.08 Ntinda-Kisaasi'!G40)</f>
        <v>0.7142857142857143</v>
      </c>
      <c r="H40" s="49">
        <f>AVERAGE('29.07 Ntinda-Kisaasi'!H40,'30.07 Ntinda-Kisaasi'!H40,'31.07 Ntinda-Kisaasi'!H40,'02.08 Ntinda-Kisaasi'!H40,'01.08 Ntinda-Kisaasi-24h'!H40,'03.08 Ntinda-Kisaasi-24h'!H40,'04.08 Ntinda-Kisaasi'!H40)</f>
        <v>0</v>
      </c>
      <c r="I40" s="49">
        <f>AVERAGE('29.07 Ntinda-Kisaasi'!I40,'30.07 Ntinda-Kisaasi'!I40,'31.07 Ntinda-Kisaasi'!I40,'02.08 Ntinda-Kisaasi'!I40,'01.08 Ntinda-Kisaasi-24h'!I40,'03.08 Ntinda-Kisaasi-24h'!I40,'04.08 Ntinda-Kisaasi'!I40)</f>
        <v>4.7142857142857144</v>
      </c>
      <c r="J40" s="49">
        <f>AVERAGE('29.07 Ntinda-Kisaasi'!J40,'30.07 Ntinda-Kisaasi'!J40,'31.07 Ntinda-Kisaasi'!J40,'02.08 Ntinda-Kisaasi'!J40,'01.08 Ntinda-Kisaasi-24h'!J40,'03.08 Ntinda-Kisaasi-24h'!J40,'04.08 Ntinda-Kisaasi'!J40)</f>
        <v>1.7142857142857142</v>
      </c>
      <c r="K40" s="49">
        <f>AVERAGE('29.07 Ntinda-Kisaasi'!K40,'30.07 Ntinda-Kisaasi'!K40,'31.07 Ntinda-Kisaasi'!K40,'02.08 Ntinda-Kisaasi'!K40,'01.08 Ntinda-Kisaasi-24h'!K40,'03.08 Ntinda-Kisaasi-24h'!K40,'04.08 Ntinda-Kisaasi'!K40)</f>
        <v>1.1428571428571428</v>
      </c>
      <c r="L40" s="49">
        <f>AVERAGE('29.07 Ntinda-Kisaasi'!L40,'30.07 Ntinda-Kisaasi'!L40,'31.07 Ntinda-Kisaasi'!L40,'02.08 Ntinda-Kisaasi'!L40,'01.08 Ntinda-Kisaasi-24h'!L40,'03.08 Ntinda-Kisaasi-24h'!L40,'04.08 Ntinda-Kisaasi'!L40)</f>
        <v>2.1428571428571428</v>
      </c>
      <c r="M40" s="49">
        <f>AVERAGE('29.07 Ntinda-Kisaasi'!M40,'30.07 Ntinda-Kisaasi'!M40,'31.07 Ntinda-Kisaasi'!M40,'02.08 Ntinda-Kisaasi'!M40,'01.08 Ntinda-Kisaasi-24h'!M40,'03.08 Ntinda-Kisaasi-24h'!M40,'04.08 Ntinda-Kisaasi'!M40)</f>
        <v>79.714285714285708</v>
      </c>
      <c r="N40" s="49">
        <f>AVERAGE('29.07 Ntinda-Kisaasi'!N40,'30.07 Ntinda-Kisaasi'!N40,'31.07 Ntinda-Kisaasi'!N40,'02.08 Ntinda-Kisaasi'!N40,'01.08 Ntinda-Kisaasi-24h'!N40,'03.08 Ntinda-Kisaasi-24h'!N40,'04.08 Ntinda-Kisaasi'!N40)</f>
        <v>0</v>
      </c>
      <c r="O40" s="15">
        <f t="shared" si="0"/>
        <v>103.99999999999997</v>
      </c>
      <c r="P40" s="15">
        <f t="shared" si="1"/>
        <v>183.71428571428567</v>
      </c>
      <c r="R40" s="5" t="s">
        <v>17</v>
      </c>
      <c r="S40" s="16">
        <f t="shared" ref="S40:AF40" si="22">SUM(S10:S21)</f>
        <v>1992.4285714285713</v>
      </c>
      <c r="T40" s="16">
        <f t="shared" si="22"/>
        <v>940.57142857142856</v>
      </c>
      <c r="U40" s="16">
        <f t="shared" si="22"/>
        <v>318.5714285714285</v>
      </c>
      <c r="V40" s="16">
        <f t="shared" si="22"/>
        <v>785.57142857142867</v>
      </c>
      <c r="W40" s="16">
        <f t="shared" si="22"/>
        <v>12.714285714285714</v>
      </c>
      <c r="X40" s="16">
        <f t="shared" si="22"/>
        <v>1.5714285714285712</v>
      </c>
      <c r="Y40" s="16">
        <f t="shared" si="22"/>
        <v>181.85714285714283</v>
      </c>
      <c r="Z40" s="16">
        <f t="shared" si="22"/>
        <v>64.571428571428555</v>
      </c>
      <c r="AA40" s="16">
        <f t="shared" si="22"/>
        <v>26</v>
      </c>
      <c r="AB40" s="16">
        <f t="shared" si="22"/>
        <v>79.428571428571416</v>
      </c>
      <c r="AC40" s="16">
        <f t="shared" si="22"/>
        <v>4011.8571428571431</v>
      </c>
      <c r="AD40" s="16">
        <f t="shared" si="22"/>
        <v>0.42857142857142855</v>
      </c>
      <c r="AE40" s="32">
        <f t="shared" si="22"/>
        <v>4403.7142857142862</v>
      </c>
      <c r="AF40" s="32">
        <f t="shared" si="22"/>
        <v>8415.5714285714275</v>
      </c>
    </row>
    <row r="41" spans="2:32" ht="23.1" customHeight="1" x14ac:dyDescent="0.25">
      <c r="B41" s="23" t="s">
        <v>68</v>
      </c>
      <c r="C41" s="49">
        <f>AVERAGE('29.07 Ntinda-Kisaasi'!C41,'30.07 Ntinda-Kisaasi'!C41,'31.07 Ntinda-Kisaasi'!C41,'02.08 Ntinda-Kisaasi'!C41,'01.08 Ntinda-Kisaasi-24h'!C41,'03.08 Ntinda-Kisaasi-24h'!C41,'04.08 Ntinda-Kisaasi'!C41)</f>
        <v>47.857142857142854</v>
      </c>
      <c r="D41" s="49">
        <f>AVERAGE('29.07 Ntinda-Kisaasi'!D41,'30.07 Ntinda-Kisaasi'!D41,'31.07 Ntinda-Kisaasi'!D41,'02.08 Ntinda-Kisaasi'!D41,'01.08 Ntinda-Kisaasi-24h'!D41,'03.08 Ntinda-Kisaasi-24h'!D41,'04.08 Ntinda-Kisaasi'!D41)</f>
        <v>24.285714285714285</v>
      </c>
      <c r="E41" s="49">
        <f>AVERAGE('29.07 Ntinda-Kisaasi'!E41,'30.07 Ntinda-Kisaasi'!E41,'31.07 Ntinda-Kisaasi'!E41,'02.08 Ntinda-Kisaasi'!E41,'01.08 Ntinda-Kisaasi-24h'!E41,'03.08 Ntinda-Kisaasi-24h'!E41,'04.08 Ntinda-Kisaasi'!E41)</f>
        <v>5.2857142857142856</v>
      </c>
      <c r="F41" s="49">
        <f>AVERAGE('29.07 Ntinda-Kisaasi'!F41,'30.07 Ntinda-Kisaasi'!F41,'31.07 Ntinda-Kisaasi'!F41,'02.08 Ntinda-Kisaasi'!F41,'01.08 Ntinda-Kisaasi-24h'!F41,'03.08 Ntinda-Kisaasi-24h'!F41,'04.08 Ntinda-Kisaasi'!F41)</f>
        <v>13.714285714285714</v>
      </c>
      <c r="G41" s="49">
        <f>AVERAGE('29.07 Ntinda-Kisaasi'!G41,'30.07 Ntinda-Kisaasi'!G41,'31.07 Ntinda-Kisaasi'!G41,'02.08 Ntinda-Kisaasi'!G41,'01.08 Ntinda-Kisaasi-24h'!G41,'03.08 Ntinda-Kisaasi-24h'!G41,'04.08 Ntinda-Kisaasi'!G41)</f>
        <v>0.2857142857142857</v>
      </c>
      <c r="H41" s="49">
        <f>AVERAGE('29.07 Ntinda-Kisaasi'!H41,'30.07 Ntinda-Kisaasi'!H41,'31.07 Ntinda-Kisaasi'!H41,'02.08 Ntinda-Kisaasi'!H41,'01.08 Ntinda-Kisaasi-24h'!H41,'03.08 Ntinda-Kisaasi-24h'!H41,'04.08 Ntinda-Kisaasi'!H41)</f>
        <v>0</v>
      </c>
      <c r="I41" s="49">
        <f>AVERAGE('29.07 Ntinda-Kisaasi'!I41,'30.07 Ntinda-Kisaasi'!I41,'31.07 Ntinda-Kisaasi'!I41,'02.08 Ntinda-Kisaasi'!I41,'01.08 Ntinda-Kisaasi-24h'!I41,'03.08 Ntinda-Kisaasi-24h'!I41,'04.08 Ntinda-Kisaasi'!I41)</f>
        <v>4.7142857142857144</v>
      </c>
      <c r="J41" s="49">
        <f>AVERAGE('29.07 Ntinda-Kisaasi'!J41,'30.07 Ntinda-Kisaasi'!J41,'31.07 Ntinda-Kisaasi'!J41,'02.08 Ntinda-Kisaasi'!J41,'01.08 Ntinda-Kisaasi-24h'!J41,'03.08 Ntinda-Kisaasi-24h'!J41,'04.08 Ntinda-Kisaasi'!J41)</f>
        <v>2.7142857142857144</v>
      </c>
      <c r="K41" s="49">
        <f>AVERAGE('29.07 Ntinda-Kisaasi'!K41,'30.07 Ntinda-Kisaasi'!K41,'31.07 Ntinda-Kisaasi'!K41,'02.08 Ntinda-Kisaasi'!K41,'01.08 Ntinda-Kisaasi-24h'!K41,'03.08 Ntinda-Kisaasi-24h'!K41,'04.08 Ntinda-Kisaasi'!K41)</f>
        <v>0.42857142857142855</v>
      </c>
      <c r="L41" s="49">
        <f>AVERAGE('29.07 Ntinda-Kisaasi'!L41,'30.07 Ntinda-Kisaasi'!L41,'31.07 Ntinda-Kisaasi'!L41,'02.08 Ntinda-Kisaasi'!L41,'01.08 Ntinda-Kisaasi-24h'!L41,'03.08 Ntinda-Kisaasi-24h'!L41,'04.08 Ntinda-Kisaasi'!L41)</f>
        <v>2.5714285714285716</v>
      </c>
      <c r="M41" s="49">
        <f>AVERAGE('29.07 Ntinda-Kisaasi'!M41,'30.07 Ntinda-Kisaasi'!M41,'31.07 Ntinda-Kisaasi'!M41,'02.08 Ntinda-Kisaasi'!M41,'01.08 Ntinda-Kisaasi-24h'!M41,'03.08 Ntinda-Kisaasi-24h'!M41,'04.08 Ntinda-Kisaasi'!M41)</f>
        <v>77.142857142857139</v>
      </c>
      <c r="N41" s="49">
        <f>AVERAGE('29.07 Ntinda-Kisaasi'!N41,'30.07 Ntinda-Kisaasi'!N41,'31.07 Ntinda-Kisaasi'!N41,'02.08 Ntinda-Kisaasi'!N41,'01.08 Ntinda-Kisaasi-24h'!N41,'03.08 Ntinda-Kisaasi-24h'!N41,'04.08 Ntinda-Kisaasi'!N41)</f>
        <v>0</v>
      </c>
      <c r="O41" s="15">
        <f t="shared" si="0"/>
        <v>101.85714285714285</v>
      </c>
      <c r="P41" s="15">
        <f t="shared" si="1"/>
        <v>179</v>
      </c>
      <c r="R41" s="5" t="s">
        <v>186</v>
      </c>
      <c r="S41" s="54">
        <f>SUM(S10:S33)</f>
        <v>3600.5331613814124</v>
      </c>
      <c r="T41" s="54">
        <f t="shared" ref="T41:AD41" si="23">SUM(T10:T33)</f>
        <v>1847.828227029662</v>
      </c>
      <c r="U41" s="54">
        <f t="shared" si="23"/>
        <v>504.27812591428369</v>
      </c>
      <c r="V41" s="54">
        <f t="shared" si="23"/>
        <v>1318.7435606082649</v>
      </c>
      <c r="W41" s="54">
        <f t="shared" si="23"/>
        <v>13.222605292039331</v>
      </c>
      <c r="X41" s="54">
        <f t="shared" si="23"/>
        <v>1.5727058008895045</v>
      </c>
      <c r="Y41" s="54">
        <f t="shared" si="23"/>
        <v>256.33284503408515</v>
      </c>
      <c r="Z41" s="54">
        <f t="shared" si="23"/>
        <v>95.474530743448994</v>
      </c>
      <c r="AA41" s="54">
        <f t="shared" si="23"/>
        <v>38.230494815520828</v>
      </c>
      <c r="AB41" s="54">
        <f t="shared" si="23"/>
        <v>96.480133019855202</v>
      </c>
      <c r="AC41" s="54">
        <f t="shared" si="23"/>
        <v>6885.9460713609933</v>
      </c>
      <c r="AD41" s="54">
        <f t="shared" si="23"/>
        <v>0.42896757097399901</v>
      </c>
      <c r="AE41" s="55">
        <f>SUM(AE10:AE33)</f>
        <v>8087.7142857142862</v>
      </c>
      <c r="AF41" s="55">
        <f>SUM(AF10:AF33)</f>
        <v>15076.571428571428</v>
      </c>
    </row>
    <row r="42" spans="2:32" ht="23.1" customHeight="1" x14ac:dyDescent="0.25">
      <c r="B42" s="24" t="s">
        <v>69</v>
      </c>
      <c r="C42" s="49">
        <f>AVERAGE('29.07 Ntinda-Kisaasi'!C42,'30.07 Ntinda-Kisaasi'!C42,'31.07 Ntinda-Kisaasi'!C42,'02.08 Ntinda-Kisaasi'!C42,'01.08 Ntinda-Kisaasi-24h'!C42,'03.08 Ntinda-Kisaasi-24h'!C42,'04.08 Ntinda-Kisaasi'!C42)</f>
        <v>44.714285714285715</v>
      </c>
      <c r="D42" s="49">
        <f>AVERAGE('29.07 Ntinda-Kisaasi'!D42,'30.07 Ntinda-Kisaasi'!D42,'31.07 Ntinda-Kisaasi'!D42,'02.08 Ntinda-Kisaasi'!D42,'01.08 Ntinda-Kisaasi-24h'!D42,'03.08 Ntinda-Kisaasi-24h'!D42,'04.08 Ntinda-Kisaasi'!D42)</f>
        <v>19.714285714285715</v>
      </c>
      <c r="E42" s="49">
        <f>AVERAGE('29.07 Ntinda-Kisaasi'!E42,'30.07 Ntinda-Kisaasi'!E42,'31.07 Ntinda-Kisaasi'!E42,'02.08 Ntinda-Kisaasi'!E42,'01.08 Ntinda-Kisaasi-24h'!E42,'03.08 Ntinda-Kisaasi-24h'!E42,'04.08 Ntinda-Kisaasi'!E42)</f>
        <v>6.7142857142857144</v>
      </c>
      <c r="F42" s="49">
        <f>AVERAGE('29.07 Ntinda-Kisaasi'!F42,'30.07 Ntinda-Kisaasi'!F42,'31.07 Ntinda-Kisaasi'!F42,'02.08 Ntinda-Kisaasi'!F42,'01.08 Ntinda-Kisaasi-24h'!F42,'03.08 Ntinda-Kisaasi-24h'!F42,'04.08 Ntinda-Kisaasi'!F42)</f>
        <v>14.714285714285714</v>
      </c>
      <c r="G42" s="49">
        <f>AVERAGE('29.07 Ntinda-Kisaasi'!G42,'30.07 Ntinda-Kisaasi'!G42,'31.07 Ntinda-Kisaasi'!G42,'02.08 Ntinda-Kisaasi'!G42,'01.08 Ntinda-Kisaasi-24h'!G42,'03.08 Ntinda-Kisaasi-24h'!G42,'04.08 Ntinda-Kisaasi'!G42)</f>
        <v>0.14285714285714285</v>
      </c>
      <c r="H42" s="49">
        <f>AVERAGE('29.07 Ntinda-Kisaasi'!H42,'30.07 Ntinda-Kisaasi'!H42,'31.07 Ntinda-Kisaasi'!H42,'02.08 Ntinda-Kisaasi'!H42,'01.08 Ntinda-Kisaasi-24h'!H42,'03.08 Ntinda-Kisaasi-24h'!H42,'04.08 Ntinda-Kisaasi'!H42)</f>
        <v>0</v>
      </c>
      <c r="I42" s="49">
        <f>AVERAGE('29.07 Ntinda-Kisaasi'!I42,'30.07 Ntinda-Kisaasi'!I42,'31.07 Ntinda-Kisaasi'!I42,'02.08 Ntinda-Kisaasi'!I42,'01.08 Ntinda-Kisaasi-24h'!I42,'03.08 Ntinda-Kisaasi-24h'!I42,'04.08 Ntinda-Kisaasi'!I42)</f>
        <v>4.2857142857142856</v>
      </c>
      <c r="J42" s="49">
        <f>AVERAGE('29.07 Ntinda-Kisaasi'!J42,'30.07 Ntinda-Kisaasi'!J42,'31.07 Ntinda-Kisaasi'!J42,'02.08 Ntinda-Kisaasi'!J42,'01.08 Ntinda-Kisaasi-24h'!J42,'03.08 Ntinda-Kisaasi-24h'!J42,'04.08 Ntinda-Kisaasi'!J42)</f>
        <v>1.1428571428571428</v>
      </c>
      <c r="K42" s="49">
        <f>AVERAGE('29.07 Ntinda-Kisaasi'!K42,'30.07 Ntinda-Kisaasi'!K42,'31.07 Ntinda-Kisaasi'!K42,'02.08 Ntinda-Kisaasi'!K42,'01.08 Ntinda-Kisaasi-24h'!K42,'03.08 Ntinda-Kisaasi-24h'!K42,'04.08 Ntinda-Kisaasi'!K42)</f>
        <v>0.42857142857142855</v>
      </c>
      <c r="L42" s="49">
        <f>AVERAGE('29.07 Ntinda-Kisaasi'!L42,'30.07 Ntinda-Kisaasi'!L42,'31.07 Ntinda-Kisaasi'!L42,'02.08 Ntinda-Kisaasi'!L42,'01.08 Ntinda-Kisaasi-24h'!L42,'03.08 Ntinda-Kisaasi-24h'!L42,'04.08 Ntinda-Kisaasi'!L42)</f>
        <v>2.2857142857142856</v>
      </c>
      <c r="M42" s="49">
        <f>AVERAGE('29.07 Ntinda-Kisaasi'!M42,'30.07 Ntinda-Kisaasi'!M42,'31.07 Ntinda-Kisaasi'!M42,'02.08 Ntinda-Kisaasi'!M42,'01.08 Ntinda-Kisaasi-24h'!M42,'03.08 Ntinda-Kisaasi-24h'!M42,'04.08 Ntinda-Kisaasi'!M42)</f>
        <v>75</v>
      </c>
      <c r="N42" s="49">
        <f>AVERAGE('29.07 Ntinda-Kisaasi'!N42,'30.07 Ntinda-Kisaasi'!N42,'31.07 Ntinda-Kisaasi'!N42,'02.08 Ntinda-Kisaasi'!N42,'01.08 Ntinda-Kisaasi-24h'!N42,'03.08 Ntinda-Kisaasi-24h'!N42,'04.08 Ntinda-Kisaasi'!N42)</f>
        <v>0</v>
      </c>
      <c r="O42" s="15">
        <f t="shared" si="0"/>
        <v>94.142857142857139</v>
      </c>
      <c r="P42" s="15">
        <f t="shared" si="1"/>
        <v>169.14285714285714</v>
      </c>
      <c r="R42" s="5" t="s">
        <v>160</v>
      </c>
      <c r="S42" s="48">
        <f>S41/S40</f>
        <v>1.8071077744081083</v>
      </c>
      <c r="T42" s="48">
        <f t="shared" ref="T42:AF42" si="24">T41/T40</f>
        <v>1.9645804357848775</v>
      </c>
      <c r="U42" s="48">
        <f t="shared" si="24"/>
        <v>1.5829358212555993</v>
      </c>
      <c r="V42" s="48">
        <f t="shared" si="24"/>
        <v>1.6787061146131756</v>
      </c>
      <c r="W42" s="48">
        <f t="shared" si="24"/>
        <v>1.0399801915087115</v>
      </c>
      <c r="X42" s="48">
        <f t="shared" si="24"/>
        <v>1.0008127823842303</v>
      </c>
      <c r="Y42" s="48">
        <f t="shared" si="24"/>
        <v>1.4095286058433592</v>
      </c>
      <c r="Z42" s="48">
        <f t="shared" si="24"/>
        <v>1.4785878654958919</v>
      </c>
      <c r="AA42" s="48">
        <f t="shared" si="24"/>
        <v>1.470403646750801</v>
      </c>
      <c r="AB42" s="48">
        <f t="shared" si="24"/>
        <v>1.2146779337032132</v>
      </c>
      <c r="AC42" s="48">
        <f t="shared" si="24"/>
        <v>1.7163986219252554</v>
      </c>
      <c r="AD42" s="48">
        <f t="shared" si="24"/>
        <v>1.0009243322726644</v>
      </c>
      <c r="AE42" s="53">
        <f t="shared" si="24"/>
        <v>1.8365665347433984</v>
      </c>
      <c r="AF42" s="53">
        <f t="shared" si="24"/>
        <v>1.7915089375137925</v>
      </c>
    </row>
    <row r="43" spans="2:32" ht="23.1" customHeight="1" x14ac:dyDescent="0.25">
      <c r="B43" s="23" t="s">
        <v>70</v>
      </c>
      <c r="C43" s="49">
        <f>AVERAGE('29.07 Ntinda-Kisaasi'!C43,'30.07 Ntinda-Kisaasi'!C43,'31.07 Ntinda-Kisaasi'!C43,'02.08 Ntinda-Kisaasi'!C43,'01.08 Ntinda-Kisaasi-24h'!C43,'03.08 Ntinda-Kisaasi-24h'!C43,'04.08 Ntinda-Kisaasi'!C43)</f>
        <v>37.857142857142854</v>
      </c>
      <c r="D43" s="49">
        <f>AVERAGE('29.07 Ntinda-Kisaasi'!D43,'30.07 Ntinda-Kisaasi'!D43,'31.07 Ntinda-Kisaasi'!D43,'02.08 Ntinda-Kisaasi'!D43,'01.08 Ntinda-Kisaasi-24h'!D43,'03.08 Ntinda-Kisaasi-24h'!D43,'04.08 Ntinda-Kisaasi'!D43)</f>
        <v>19</v>
      </c>
      <c r="E43" s="49">
        <f>AVERAGE('29.07 Ntinda-Kisaasi'!E43,'30.07 Ntinda-Kisaasi'!E43,'31.07 Ntinda-Kisaasi'!E43,'02.08 Ntinda-Kisaasi'!E43,'01.08 Ntinda-Kisaasi-24h'!E43,'03.08 Ntinda-Kisaasi-24h'!E43,'04.08 Ntinda-Kisaasi'!E43)</f>
        <v>6.2857142857142856</v>
      </c>
      <c r="F43" s="49">
        <f>AVERAGE('29.07 Ntinda-Kisaasi'!F43,'30.07 Ntinda-Kisaasi'!F43,'31.07 Ntinda-Kisaasi'!F43,'02.08 Ntinda-Kisaasi'!F43,'01.08 Ntinda-Kisaasi-24h'!F43,'03.08 Ntinda-Kisaasi-24h'!F43,'04.08 Ntinda-Kisaasi'!F43)</f>
        <v>11</v>
      </c>
      <c r="G43" s="49">
        <f>AVERAGE('29.07 Ntinda-Kisaasi'!G43,'30.07 Ntinda-Kisaasi'!G43,'31.07 Ntinda-Kisaasi'!G43,'02.08 Ntinda-Kisaasi'!G43,'01.08 Ntinda-Kisaasi-24h'!G43,'03.08 Ntinda-Kisaasi-24h'!G43,'04.08 Ntinda-Kisaasi'!G43)</f>
        <v>0.42857142857142855</v>
      </c>
      <c r="H43" s="49">
        <f>AVERAGE('29.07 Ntinda-Kisaasi'!H43,'30.07 Ntinda-Kisaasi'!H43,'31.07 Ntinda-Kisaasi'!H43,'02.08 Ntinda-Kisaasi'!H43,'01.08 Ntinda-Kisaasi-24h'!H43,'03.08 Ntinda-Kisaasi-24h'!H43,'04.08 Ntinda-Kisaasi'!H43)</f>
        <v>0</v>
      </c>
      <c r="I43" s="49">
        <f>AVERAGE('29.07 Ntinda-Kisaasi'!I43,'30.07 Ntinda-Kisaasi'!I43,'31.07 Ntinda-Kisaasi'!I43,'02.08 Ntinda-Kisaasi'!I43,'01.08 Ntinda-Kisaasi-24h'!I43,'03.08 Ntinda-Kisaasi-24h'!I43,'04.08 Ntinda-Kisaasi'!I43)</f>
        <v>3.7142857142857144</v>
      </c>
      <c r="J43" s="49">
        <f>AVERAGE('29.07 Ntinda-Kisaasi'!J43,'30.07 Ntinda-Kisaasi'!J43,'31.07 Ntinda-Kisaasi'!J43,'02.08 Ntinda-Kisaasi'!J43,'01.08 Ntinda-Kisaasi-24h'!J43,'03.08 Ntinda-Kisaasi-24h'!J43,'04.08 Ntinda-Kisaasi'!J43)</f>
        <v>1.4285714285714286</v>
      </c>
      <c r="K43" s="49">
        <f>AVERAGE('29.07 Ntinda-Kisaasi'!K43,'30.07 Ntinda-Kisaasi'!K43,'31.07 Ntinda-Kisaasi'!K43,'02.08 Ntinda-Kisaasi'!K43,'01.08 Ntinda-Kisaasi-24h'!K43,'03.08 Ntinda-Kisaasi-24h'!K43,'04.08 Ntinda-Kisaasi'!K43)</f>
        <v>0.5714285714285714</v>
      </c>
      <c r="L43" s="49">
        <f>AVERAGE('29.07 Ntinda-Kisaasi'!L43,'30.07 Ntinda-Kisaasi'!L43,'31.07 Ntinda-Kisaasi'!L43,'02.08 Ntinda-Kisaasi'!L43,'01.08 Ntinda-Kisaasi-24h'!L43,'03.08 Ntinda-Kisaasi-24h'!L43,'04.08 Ntinda-Kisaasi'!L43)</f>
        <v>1.4285714285714286</v>
      </c>
      <c r="M43" s="49">
        <f>AVERAGE('29.07 Ntinda-Kisaasi'!M43,'30.07 Ntinda-Kisaasi'!M43,'31.07 Ntinda-Kisaasi'!M43,'02.08 Ntinda-Kisaasi'!M43,'01.08 Ntinda-Kisaasi-24h'!M43,'03.08 Ntinda-Kisaasi-24h'!M43,'04.08 Ntinda-Kisaasi'!M43)</f>
        <v>80</v>
      </c>
      <c r="N43" s="49">
        <f>AVERAGE('29.07 Ntinda-Kisaasi'!N43,'30.07 Ntinda-Kisaasi'!N43,'31.07 Ntinda-Kisaasi'!N43,'02.08 Ntinda-Kisaasi'!N43,'01.08 Ntinda-Kisaasi-24h'!N43,'03.08 Ntinda-Kisaasi-24h'!N43,'04.08 Ntinda-Kisaasi'!N43)</f>
        <v>0</v>
      </c>
      <c r="O43" s="15">
        <f t="shared" si="0"/>
        <v>81.714285714285708</v>
      </c>
      <c r="P43" s="15">
        <f t="shared" si="1"/>
        <v>161.71428571428572</v>
      </c>
    </row>
    <row r="44" spans="2:32" ht="23.1" customHeight="1" x14ac:dyDescent="0.25">
      <c r="B44" s="25" t="s">
        <v>71</v>
      </c>
      <c r="C44" s="49">
        <f>AVERAGE('29.07 Ntinda-Kisaasi'!C44,'30.07 Ntinda-Kisaasi'!C44,'31.07 Ntinda-Kisaasi'!C44,'02.08 Ntinda-Kisaasi'!C44,'01.08 Ntinda-Kisaasi-24h'!C44,'03.08 Ntinda-Kisaasi-24h'!C44,'04.08 Ntinda-Kisaasi'!C44)</f>
        <v>42.285714285714285</v>
      </c>
      <c r="D44" s="49">
        <f>AVERAGE('29.07 Ntinda-Kisaasi'!D44,'30.07 Ntinda-Kisaasi'!D44,'31.07 Ntinda-Kisaasi'!D44,'02.08 Ntinda-Kisaasi'!D44,'01.08 Ntinda-Kisaasi-24h'!D44,'03.08 Ntinda-Kisaasi-24h'!D44,'04.08 Ntinda-Kisaasi'!D44)</f>
        <v>22.714285714285715</v>
      </c>
      <c r="E44" s="49">
        <f>AVERAGE('29.07 Ntinda-Kisaasi'!E44,'30.07 Ntinda-Kisaasi'!E44,'31.07 Ntinda-Kisaasi'!E44,'02.08 Ntinda-Kisaasi'!E44,'01.08 Ntinda-Kisaasi-24h'!E44,'03.08 Ntinda-Kisaasi-24h'!E44,'04.08 Ntinda-Kisaasi'!E44)</f>
        <v>9.1428571428571423</v>
      </c>
      <c r="F44" s="49">
        <f>AVERAGE('29.07 Ntinda-Kisaasi'!F44,'30.07 Ntinda-Kisaasi'!F44,'31.07 Ntinda-Kisaasi'!F44,'02.08 Ntinda-Kisaasi'!F44,'01.08 Ntinda-Kisaasi-24h'!F44,'03.08 Ntinda-Kisaasi-24h'!F44,'04.08 Ntinda-Kisaasi'!F44)</f>
        <v>13.857142857142858</v>
      </c>
      <c r="G44" s="49">
        <f>AVERAGE('29.07 Ntinda-Kisaasi'!G44,'30.07 Ntinda-Kisaasi'!G44,'31.07 Ntinda-Kisaasi'!G44,'02.08 Ntinda-Kisaasi'!G44,'01.08 Ntinda-Kisaasi-24h'!G44,'03.08 Ntinda-Kisaasi-24h'!G44,'04.08 Ntinda-Kisaasi'!G44)</f>
        <v>1</v>
      </c>
      <c r="H44" s="49">
        <f>AVERAGE('29.07 Ntinda-Kisaasi'!H44,'30.07 Ntinda-Kisaasi'!H44,'31.07 Ntinda-Kisaasi'!H44,'02.08 Ntinda-Kisaasi'!H44,'01.08 Ntinda-Kisaasi-24h'!H44,'03.08 Ntinda-Kisaasi-24h'!H44,'04.08 Ntinda-Kisaasi'!H44)</f>
        <v>0.14285714285714285</v>
      </c>
      <c r="I44" s="49">
        <f>AVERAGE('29.07 Ntinda-Kisaasi'!I44,'30.07 Ntinda-Kisaasi'!I44,'31.07 Ntinda-Kisaasi'!I44,'02.08 Ntinda-Kisaasi'!I44,'01.08 Ntinda-Kisaasi-24h'!I44,'03.08 Ntinda-Kisaasi-24h'!I44,'04.08 Ntinda-Kisaasi'!I44)</f>
        <v>4.4285714285714288</v>
      </c>
      <c r="J44" s="49">
        <f>AVERAGE('29.07 Ntinda-Kisaasi'!J44,'30.07 Ntinda-Kisaasi'!J44,'31.07 Ntinda-Kisaasi'!J44,'02.08 Ntinda-Kisaasi'!J44,'01.08 Ntinda-Kisaasi-24h'!J44,'03.08 Ntinda-Kisaasi-24h'!J44,'04.08 Ntinda-Kisaasi'!J44)</f>
        <v>0.7142857142857143</v>
      </c>
      <c r="K44" s="49">
        <f>AVERAGE('29.07 Ntinda-Kisaasi'!K44,'30.07 Ntinda-Kisaasi'!K44,'31.07 Ntinda-Kisaasi'!K44,'02.08 Ntinda-Kisaasi'!K44,'01.08 Ntinda-Kisaasi-24h'!K44,'03.08 Ntinda-Kisaasi-24h'!K44,'04.08 Ntinda-Kisaasi'!K44)</f>
        <v>0.42857142857142855</v>
      </c>
      <c r="L44" s="49">
        <f>AVERAGE('29.07 Ntinda-Kisaasi'!L44,'30.07 Ntinda-Kisaasi'!L44,'31.07 Ntinda-Kisaasi'!L44,'02.08 Ntinda-Kisaasi'!L44,'01.08 Ntinda-Kisaasi-24h'!L44,'03.08 Ntinda-Kisaasi-24h'!L44,'04.08 Ntinda-Kisaasi'!L44)</f>
        <v>2.1428571428571428</v>
      </c>
      <c r="M44" s="49">
        <f>AVERAGE('29.07 Ntinda-Kisaasi'!M44,'30.07 Ntinda-Kisaasi'!M44,'31.07 Ntinda-Kisaasi'!M44,'02.08 Ntinda-Kisaasi'!M44,'01.08 Ntinda-Kisaasi-24h'!M44,'03.08 Ntinda-Kisaasi-24h'!M44,'04.08 Ntinda-Kisaasi'!M44)</f>
        <v>70</v>
      </c>
      <c r="N44" s="49">
        <f>AVERAGE('29.07 Ntinda-Kisaasi'!N44,'30.07 Ntinda-Kisaasi'!N44,'31.07 Ntinda-Kisaasi'!N44,'02.08 Ntinda-Kisaasi'!N44,'01.08 Ntinda-Kisaasi-24h'!N44,'03.08 Ntinda-Kisaasi-24h'!N44,'04.08 Ntinda-Kisaasi'!N44)</f>
        <v>0.14285714285714285</v>
      </c>
      <c r="O44" s="15">
        <f t="shared" si="0"/>
        <v>96.999999999999986</v>
      </c>
      <c r="P44" s="15">
        <f t="shared" si="1"/>
        <v>166.99999999999997</v>
      </c>
    </row>
    <row r="45" spans="2:32" ht="23.1" customHeight="1" x14ac:dyDescent="0.25">
      <c r="B45" s="23" t="s">
        <v>72</v>
      </c>
      <c r="C45" s="49">
        <f>AVERAGE('29.07 Ntinda-Kisaasi'!C45,'30.07 Ntinda-Kisaasi'!C45,'31.07 Ntinda-Kisaasi'!C45,'02.08 Ntinda-Kisaasi'!C45,'01.08 Ntinda-Kisaasi-24h'!C45,'03.08 Ntinda-Kisaasi-24h'!C45,'04.08 Ntinda-Kisaasi'!C45)</f>
        <v>39.285714285714285</v>
      </c>
      <c r="D45" s="49">
        <f>AVERAGE('29.07 Ntinda-Kisaasi'!D45,'30.07 Ntinda-Kisaasi'!D45,'31.07 Ntinda-Kisaasi'!D45,'02.08 Ntinda-Kisaasi'!D45,'01.08 Ntinda-Kisaasi-24h'!D45,'03.08 Ntinda-Kisaasi-24h'!D45,'04.08 Ntinda-Kisaasi'!D45)</f>
        <v>17.142857142857142</v>
      </c>
      <c r="E45" s="49">
        <f>AVERAGE('29.07 Ntinda-Kisaasi'!E45,'30.07 Ntinda-Kisaasi'!E45,'31.07 Ntinda-Kisaasi'!E45,'02.08 Ntinda-Kisaasi'!E45,'01.08 Ntinda-Kisaasi-24h'!E45,'03.08 Ntinda-Kisaasi-24h'!E45,'04.08 Ntinda-Kisaasi'!E45)</f>
        <v>5.1428571428571432</v>
      </c>
      <c r="F45" s="49">
        <f>AVERAGE('29.07 Ntinda-Kisaasi'!F45,'30.07 Ntinda-Kisaasi'!F45,'31.07 Ntinda-Kisaasi'!F45,'02.08 Ntinda-Kisaasi'!F45,'01.08 Ntinda-Kisaasi-24h'!F45,'03.08 Ntinda-Kisaasi-24h'!F45,'04.08 Ntinda-Kisaasi'!F45)</f>
        <v>11.142857142857142</v>
      </c>
      <c r="G45" s="49">
        <f>AVERAGE('29.07 Ntinda-Kisaasi'!G45,'30.07 Ntinda-Kisaasi'!G45,'31.07 Ntinda-Kisaasi'!G45,'02.08 Ntinda-Kisaasi'!G45,'01.08 Ntinda-Kisaasi-24h'!G45,'03.08 Ntinda-Kisaasi-24h'!G45,'04.08 Ntinda-Kisaasi'!G45)</f>
        <v>0.42857142857142855</v>
      </c>
      <c r="H45" s="49">
        <f>AVERAGE('29.07 Ntinda-Kisaasi'!H45,'30.07 Ntinda-Kisaasi'!H45,'31.07 Ntinda-Kisaasi'!H45,'02.08 Ntinda-Kisaasi'!H45,'01.08 Ntinda-Kisaasi-24h'!H45,'03.08 Ntinda-Kisaasi-24h'!H45,'04.08 Ntinda-Kisaasi'!H45)</f>
        <v>0.14285714285714285</v>
      </c>
      <c r="I45" s="49">
        <f>AVERAGE('29.07 Ntinda-Kisaasi'!I45,'30.07 Ntinda-Kisaasi'!I45,'31.07 Ntinda-Kisaasi'!I45,'02.08 Ntinda-Kisaasi'!I45,'01.08 Ntinda-Kisaasi-24h'!I45,'03.08 Ntinda-Kisaasi-24h'!I45,'04.08 Ntinda-Kisaasi'!I45)</f>
        <v>2.7142857142857144</v>
      </c>
      <c r="J45" s="49">
        <f>AVERAGE('29.07 Ntinda-Kisaasi'!J45,'30.07 Ntinda-Kisaasi'!J45,'31.07 Ntinda-Kisaasi'!J45,'02.08 Ntinda-Kisaasi'!J45,'01.08 Ntinda-Kisaasi-24h'!J45,'03.08 Ntinda-Kisaasi-24h'!J45,'04.08 Ntinda-Kisaasi'!J45)</f>
        <v>1.4285714285714286</v>
      </c>
      <c r="K45" s="49">
        <f>AVERAGE('29.07 Ntinda-Kisaasi'!K45,'30.07 Ntinda-Kisaasi'!K45,'31.07 Ntinda-Kisaasi'!K45,'02.08 Ntinda-Kisaasi'!K45,'01.08 Ntinda-Kisaasi-24h'!K45,'03.08 Ntinda-Kisaasi-24h'!K45,'04.08 Ntinda-Kisaasi'!K45)</f>
        <v>0.2857142857142857</v>
      </c>
      <c r="L45" s="49">
        <f>AVERAGE('29.07 Ntinda-Kisaasi'!L45,'30.07 Ntinda-Kisaasi'!L45,'31.07 Ntinda-Kisaasi'!L45,'02.08 Ntinda-Kisaasi'!L45,'01.08 Ntinda-Kisaasi-24h'!L45,'03.08 Ntinda-Kisaasi-24h'!L45,'04.08 Ntinda-Kisaasi'!L45)</f>
        <v>2.1428571428571428</v>
      </c>
      <c r="M45" s="49">
        <f>AVERAGE('29.07 Ntinda-Kisaasi'!M45,'30.07 Ntinda-Kisaasi'!M45,'31.07 Ntinda-Kisaasi'!M45,'02.08 Ntinda-Kisaasi'!M45,'01.08 Ntinda-Kisaasi-24h'!M45,'03.08 Ntinda-Kisaasi-24h'!M45,'04.08 Ntinda-Kisaasi'!M45)</f>
        <v>65.142857142857139</v>
      </c>
      <c r="N45" s="49">
        <f>AVERAGE('29.07 Ntinda-Kisaasi'!N45,'30.07 Ntinda-Kisaasi'!N45,'31.07 Ntinda-Kisaasi'!N45,'02.08 Ntinda-Kisaasi'!N45,'01.08 Ntinda-Kisaasi-24h'!N45,'03.08 Ntinda-Kisaasi-24h'!N45,'04.08 Ntinda-Kisaasi'!N45)</f>
        <v>0</v>
      </c>
      <c r="O45" s="15">
        <f t="shared" si="0"/>
        <v>79.857142857142861</v>
      </c>
      <c r="P45" s="15">
        <f t="shared" si="1"/>
        <v>145</v>
      </c>
    </row>
    <row r="46" spans="2:32" ht="23.1" customHeight="1" x14ac:dyDescent="0.25">
      <c r="B46" s="24" t="s">
        <v>73</v>
      </c>
      <c r="C46" s="49">
        <f>AVERAGE('29.07 Ntinda-Kisaasi'!C46,'30.07 Ntinda-Kisaasi'!C46,'31.07 Ntinda-Kisaasi'!C46,'02.08 Ntinda-Kisaasi'!C46,'01.08 Ntinda-Kisaasi-24h'!C46,'03.08 Ntinda-Kisaasi-24h'!C46,'04.08 Ntinda-Kisaasi'!C46)</f>
        <v>50.857142857142854</v>
      </c>
      <c r="D46" s="49">
        <f>AVERAGE('29.07 Ntinda-Kisaasi'!D46,'30.07 Ntinda-Kisaasi'!D46,'31.07 Ntinda-Kisaasi'!D46,'02.08 Ntinda-Kisaasi'!D46,'01.08 Ntinda-Kisaasi-24h'!D46,'03.08 Ntinda-Kisaasi-24h'!D46,'04.08 Ntinda-Kisaasi'!D46)</f>
        <v>22.428571428571427</v>
      </c>
      <c r="E46" s="49">
        <f>AVERAGE('29.07 Ntinda-Kisaasi'!E46,'30.07 Ntinda-Kisaasi'!E46,'31.07 Ntinda-Kisaasi'!E46,'02.08 Ntinda-Kisaasi'!E46,'01.08 Ntinda-Kisaasi-24h'!E46,'03.08 Ntinda-Kisaasi-24h'!E46,'04.08 Ntinda-Kisaasi'!E46)</f>
        <v>8.5714285714285712</v>
      </c>
      <c r="F46" s="49">
        <f>AVERAGE('29.07 Ntinda-Kisaasi'!F46,'30.07 Ntinda-Kisaasi'!F46,'31.07 Ntinda-Kisaasi'!F46,'02.08 Ntinda-Kisaasi'!F46,'01.08 Ntinda-Kisaasi-24h'!F46,'03.08 Ntinda-Kisaasi-24h'!F46,'04.08 Ntinda-Kisaasi'!F46)</f>
        <v>13.571428571428571</v>
      </c>
      <c r="G46" s="49">
        <f>AVERAGE('29.07 Ntinda-Kisaasi'!G46,'30.07 Ntinda-Kisaasi'!G46,'31.07 Ntinda-Kisaasi'!G46,'02.08 Ntinda-Kisaasi'!G46,'01.08 Ntinda-Kisaasi-24h'!G46,'03.08 Ntinda-Kisaasi-24h'!G46,'04.08 Ntinda-Kisaasi'!G46)</f>
        <v>0.42857142857142855</v>
      </c>
      <c r="H46" s="49">
        <f>AVERAGE('29.07 Ntinda-Kisaasi'!H46,'30.07 Ntinda-Kisaasi'!H46,'31.07 Ntinda-Kisaasi'!H46,'02.08 Ntinda-Kisaasi'!H46,'01.08 Ntinda-Kisaasi-24h'!H46,'03.08 Ntinda-Kisaasi-24h'!H46,'04.08 Ntinda-Kisaasi'!H46)</f>
        <v>0</v>
      </c>
      <c r="I46" s="49">
        <f>AVERAGE('29.07 Ntinda-Kisaasi'!I46,'30.07 Ntinda-Kisaasi'!I46,'31.07 Ntinda-Kisaasi'!I46,'02.08 Ntinda-Kisaasi'!I46,'01.08 Ntinda-Kisaasi-24h'!I46,'03.08 Ntinda-Kisaasi-24h'!I46,'04.08 Ntinda-Kisaasi'!I46)</f>
        <v>3.7142857142857144</v>
      </c>
      <c r="J46" s="49">
        <f>AVERAGE('29.07 Ntinda-Kisaasi'!J46,'30.07 Ntinda-Kisaasi'!J46,'31.07 Ntinda-Kisaasi'!J46,'02.08 Ntinda-Kisaasi'!J46,'01.08 Ntinda-Kisaasi-24h'!J46,'03.08 Ntinda-Kisaasi-24h'!J46,'04.08 Ntinda-Kisaasi'!J46)</f>
        <v>2.1428571428571428</v>
      </c>
      <c r="K46" s="49">
        <f>AVERAGE('29.07 Ntinda-Kisaasi'!K46,'30.07 Ntinda-Kisaasi'!K46,'31.07 Ntinda-Kisaasi'!K46,'02.08 Ntinda-Kisaasi'!K46,'01.08 Ntinda-Kisaasi-24h'!K46,'03.08 Ntinda-Kisaasi-24h'!K46,'04.08 Ntinda-Kisaasi'!K46)</f>
        <v>1.1428571428571428</v>
      </c>
      <c r="L46" s="49">
        <f>AVERAGE('29.07 Ntinda-Kisaasi'!L46,'30.07 Ntinda-Kisaasi'!L46,'31.07 Ntinda-Kisaasi'!L46,'02.08 Ntinda-Kisaasi'!L46,'01.08 Ntinda-Kisaasi-24h'!L46,'03.08 Ntinda-Kisaasi-24h'!L46,'04.08 Ntinda-Kisaasi'!L46)</f>
        <v>1.1428571428571428</v>
      </c>
      <c r="M46" s="49">
        <f>AVERAGE('29.07 Ntinda-Kisaasi'!M46,'30.07 Ntinda-Kisaasi'!M46,'31.07 Ntinda-Kisaasi'!M46,'02.08 Ntinda-Kisaasi'!M46,'01.08 Ntinda-Kisaasi-24h'!M46,'03.08 Ntinda-Kisaasi-24h'!M46,'04.08 Ntinda-Kisaasi'!M46)</f>
        <v>81.142857142857139</v>
      </c>
      <c r="N46" s="49">
        <f>AVERAGE('29.07 Ntinda-Kisaasi'!N46,'30.07 Ntinda-Kisaasi'!N46,'31.07 Ntinda-Kisaasi'!N46,'02.08 Ntinda-Kisaasi'!N46,'01.08 Ntinda-Kisaasi-24h'!N46,'03.08 Ntinda-Kisaasi-24h'!N46,'04.08 Ntinda-Kisaasi'!N46)</f>
        <v>0</v>
      </c>
      <c r="O46" s="15">
        <f t="shared" si="0"/>
        <v>103.99999999999997</v>
      </c>
      <c r="P46" s="15">
        <f t="shared" si="1"/>
        <v>185.14285714285711</v>
      </c>
    </row>
    <row r="47" spans="2:32" ht="23.1" customHeight="1" x14ac:dyDescent="0.25">
      <c r="B47" s="24" t="s">
        <v>74</v>
      </c>
      <c r="C47" s="49">
        <f>AVERAGE('29.07 Ntinda-Kisaasi'!C47,'30.07 Ntinda-Kisaasi'!C47,'31.07 Ntinda-Kisaasi'!C47,'02.08 Ntinda-Kisaasi'!C47,'01.08 Ntinda-Kisaasi-24h'!C47,'03.08 Ntinda-Kisaasi-24h'!C47,'04.08 Ntinda-Kisaasi'!C47)</f>
        <v>54.428571428571431</v>
      </c>
      <c r="D47" s="49">
        <f>AVERAGE('29.07 Ntinda-Kisaasi'!D47,'30.07 Ntinda-Kisaasi'!D47,'31.07 Ntinda-Kisaasi'!D47,'02.08 Ntinda-Kisaasi'!D47,'01.08 Ntinda-Kisaasi-24h'!D47,'03.08 Ntinda-Kisaasi-24h'!D47,'04.08 Ntinda-Kisaasi'!D47)</f>
        <v>25.285714285714285</v>
      </c>
      <c r="E47" s="49">
        <f>AVERAGE('29.07 Ntinda-Kisaasi'!E47,'30.07 Ntinda-Kisaasi'!E47,'31.07 Ntinda-Kisaasi'!E47,'02.08 Ntinda-Kisaasi'!E47,'01.08 Ntinda-Kisaasi-24h'!E47,'03.08 Ntinda-Kisaasi-24h'!E47,'04.08 Ntinda-Kisaasi'!E47)</f>
        <v>6</v>
      </c>
      <c r="F47" s="49">
        <f>AVERAGE('29.07 Ntinda-Kisaasi'!F47,'30.07 Ntinda-Kisaasi'!F47,'31.07 Ntinda-Kisaasi'!F47,'02.08 Ntinda-Kisaasi'!F47,'01.08 Ntinda-Kisaasi-24h'!F47,'03.08 Ntinda-Kisaasi-24h'!F47,'04.08 Ntinda-Kisaasi'!F47)</f>
        <v>16</v>
      </c>
      <c r="G47" s="49">
        <f>AVERAGE('29.07 Ntinda-Kisaasi'!G47,'30.07 Ntinda-Kisaasi'!G47,'31.07 Ntinda-Kisaasi'!G47,'02.08 Ntinda-Kisaasi'!G47,'01.08 Ntinda-Kisaasi-24h'!G47,'03.08 Ntinda-Kisaasi-24h'!G47,'04.08 Ntinda-Kisaasi'!G47)</f>
        <v>0.2857142857142857</v>
      </c>
      <c r="H47" s="49">
        <f>AVERAGE('29.07 Ntinda-Kisaasi'!H47,'30.07 Ntinda-Kisaasi'!H47,'31.07 Ntinda-Kisaasi'!H47,'02.08 Ntinda-Kisaasi'!H47,'01.08 Ntinda-Kisaasi-24h'!H47,'03.08 Ntinda-Kisaasi-24h'!H47,'04.08 Ntinda-Kisaasi'!H47)</f>
        <v>0</v>
      </c>
      <c r="I47" s="49">
        <f>AVERAGE('29.07 Ntinda-Kisaasi'!I47,'30.07 Ntinda-Kisaasi'!I47,'31.07 Ntinda-Kisaasi'!I47,'02.08 Ntinda-Kisaasi'!I47,'01.08 Ntinda-Kisaasi-24h'!I47,'03.08 Ntinda-Kisaasi-24h'!I47,'04.08 Ntinda-Kisaasi'!I47)</f>
        <v>4.1428571428571432</v>
      </c>
      <c r="J47" s="49">
        <f>AVERAGE('29.07 Ntinda-Kisaasi'!J47,'30.07 Ntinda-Kisaasi'!J47,'31.07 Ntinda-Kisaasi'!J47,'02.08 Ntinda-Kisaasi'!J47,'01.08 Ntinda-Kisaasi-24h'!J47,'03.08 Ntinda-Kisaasi-24h'!J47,'04.08 Ntinda-Kisaasi'!J47)</f>
        <v>1.2857142857142858</v>
      </c>
      <c r="K47" s="49">
        <f>AVERAGE('29.07 Ntinda-Kisaasi'!K47,'30.07 Ntinda-Kisaasi'!K47,'31.07 Ntinda-Kisaasi'!K47,'02.08 Ntinda-Kisaasi'!K47,'01.08 Ntinda-Kisaasi-24h'!K47,'03.08 Ntinda-Kisaasi-24h'!K47,'04.08 Ntinda-Kisaasi'!K47)</f>
        <v>0.42857142857142855</v>
      </c>
      <c r="L47" s="49">
        <f>AVERAGE('29.07 Ntinda-Kisaasi'!L47,'30.07 Ntinda-Kisaasi'!L47,'31.07 Ntinda-Kisaasi'!L47,'02.08 Ntinda-Kisaasi'!L47,'01.08 Ntinda-Kisaasi-24h'!L47,'03.08 Ntinda-Kisaasi-24h'!L47,'04.08 Ntinda-Kisaasi'!L47)</f>
        <v>1.8571428571428572</v>
      </c>
      <c r="M47" s="49">
        <f>AVERAGE('29.07 Ntinda-Kisaasi'!M47,'30.07 Ntinda-Kisaasi'!M47,'31.07 Ntinda-Kisaasi'!M47,'02.08 Ntinda-Kisaasi'!M47,'01.08 Ntinda-Kisaasi-24h'!M47,'03.08 Ntinda-Kisaasi-24h'!M47,'04.08 Ntinda-Kisaasi'!M47)</f>
        <v>84</v>
      </c>
      <c r="N47" s="49">
        <f>AVERAGE('29.07 Ntinda-Kisaasi'!N47,'30.07 Ntinda-Kisaasi'!N47,'31.07 Ntinda-Kisaasi'!N47,'02.08 Ntinda-Kisaasi'!N47,'01.08 Ntinda-Kisaasi-24h'!N47,'03.08 Ntinda-Kisaasi-24h'!N47,'04.08 Ntinda-Kisaasi'!N47)</f>
        <v>0</v>
      </c>
      <c r="O47" s="15">
        <f t="shared" si="0"/>
        <v>109.71428571428574</v>
      </c>
      <c r="P47" s="15">
        <f t="shared" si="1"/>
        <v>193.71428571428572</v>
      </c>
      <c r="R47" s="8"/>
      <c r="T47"/>
    </row>
    <row r="48" spans="2:32" ht="23.1" customHeight="1" x14ac:dyDescent="0.25">
      <c r="B48" s="24" t="s">
        <v>75</v>
      </c>
      <c r="C48" s="49">
        <f>AVERAGE('29.07 Ntinda-Kisaasi'!C48,'30.07 Ntinda-Kisaasi'!C48,'31.07 Ntinda-Kisaasi'!C48,'02.08 Ntinda-Kisaasi'!C48,'01.08 Ntinda-Kisaasi-24h'!C48,'03.08 Ntinda-Kisaasi-24h'!C48,'04.08 Ntinda-Kisaasi'!C48)</f>
        <v>55</v>
      </c>
      <c r="D48" s="49">
        <f>AVERAGE('29.07 Ntinda-Kisaasi'!D48,'30.07 Ntinda-Kisaasi'!D48,'31.07 Ntinda-Kisaasi'!D48,'02.08 Ntinda-Kisaasi'!D48,'01.08 Ntinda-Kisaasi-24h'!D48,'03.08 Ntinda-Kisaasi-24h'!D48,'04.08 Ntinda-Kisaasi'!D48)</f>
        <v>28.857142857142858</v>
      </c>
      <c r="E48" s="49">
        <f>AVERAGE('29.07 Ntinda-Kisaasi'!E48,'30.07 Ntinda-Kisaasi'!E48,'31.07 Ntinda-Kisaasi'!E48,'02.08 Ntinda-Kisaasi'!E48,'01.08 Ntinda-Kisaasi-24h'!E48,'03.08 Ntinda-Kisaasi-24h'!E48,'04.08 Ntinda-Kisaasi'!E48)</f>
        <v>6.5714285714285712</v>
      </c>
      <c r="F48" s="49">
        <f>AVERAGE('29.07 Ntinda-Kisaasi'!F48,'30.07 Ntinda-Kisaasi'!F48,'31.07 Ntinda-Kisaasi'!F48,'02.08 Ntinda-Kisaasi'!F48,'01.08 Ntinda-Kisaasi-24h'!F48,'03.08 Ntinda-Kisaasi-24h'!F48,'04.08 Ntinda-Kisaasi'!F48)</f>
        <v>12.714285714285714</v>
      </c>
      <c r="G48" s="49">
        <f>AVERAGE('29.07 Ntinda-Kisaasi'!G48,'30.07 Ntinda-Kisaasi'!G48,'31.07 Ntinda-Kisaasi'!G48,'02.08 Ntinda-Kisaasi'!G48,'01.08 Ntinda-Kisaasi-24h'!G48,'03.08 Ntinda-Kisaasi-24h'!G48,'04.08 Ntinda-Kisaasi'!G48)</f>
        <v>0</v>
      </c>
      <c r="H48" s="49">
        <f>AVERAGE('29.07 Ntinda-Kisaasi'!H48,'30.07 Ntinda-Kisaasi'!H48,'31.07 Ntinda-Kisaasi'!H48,'02.08 Ntinda-Kisaasi'!H48,'01.08 Ntinda-Kisaasi-24h'!H48,'03.08 Ntinda-Kisaasi-24h'!H48,'04.08 Ntinda-Kisaasi'!H48)</f>
        <v>0</v>
      </c>
      <c r="I48" s="49">
        <f>AVERAGE('29.07 Ntinda-Kisaasi'!I48,'30.07 Ntinda-Kisaasi'!I48,'31.07 Ntinda-Kisaasi'!I48,'02.08 Ntinda-Kisaasi'!I48,'01.08 Ntinda-Kisaasi-24h'!I48,'03.08 Ntinda-Kisaasi-24h'!I48,'04.08 Ntinda-Kisaasi'!I48)</f>
        <v>3.1428571428571428</v>
      </c>
      <c r="J48" s="49">
        <f>AVERAGE('29.07 Ntinda-Kisaasi'!J48,'30.07 Ntinda-Kisaasi'!J48,'31.07 Ntinda-Kisaasi'!J48,'02.08 Ntinda-Kisaasi'!J48,'01.08 Ntinda-Kisaasi-24h'!J48,'03.08 Ntinda-Kisaasi-24h'!J48,'04.08 Ntinda-Kisaasi'!J48)</f>
        <v>1.7142857142857142</v>
      </c>
      <c r="K48" s="49">
        <f>AVERAGE('29.07 Ntinda-Kisaasi'!K48,'30.07 Ntinda-Kisaasi'!K48,'31.07 Ntinda-Kisaasi'!K48,'02.08 Ntinda-Kisaasi'!K48,'01.08 Ntinda-Kisaasi-24h'!K48,'03.08 Ntinda-Kisaasi-24h'!K48,'04.08 Ntinda-Kisaasi'!K48)</f>
        <v>1</v>
      </c>
      <c r="L48" s="49">
        <f>AVERAGE('29.07 Ntinda-Kisaasi'!L48,'30.07 Ntinda-Kisaasi'!L48,'31.07 Ntinda-Kisaasi'!L48,'02.08 Ntinda-Kisaasi'!L48,'01.08 Ntinda-Kisaasi-24h'!L48,'03.08 Ntinda-Kisaasi-24h'!L48,'04.08 Ntinda-Kisaasi'!L48)</f>
        <v>2.1428571428571428</v>
      </c>
      <c r="M48" s="49">
        <f>AVERAGE('29.07 Ntinda-Kisaasi'!M48,'30.07 Ntinda-Kisaasi'!M48,'31.07 Ntinda-Kisaasi'!M48,'02.08 Ntinda-Kisaasi'!M48,'01.08 Ntinda-Kisaasi-24h'!M48,'03.08 Ntinda-Kisaasi-24h'!M48,'04.08 Ntinda-Kisaasi'!M48)</f>
        <v>71.571428571428569</v>
      </c>
      <c r="N48" s="49">
        <f>AVERAGE('29.07 Ntinda-Kisaasi'!N48,'30.07 Ntinda-Kisaasi'!N48,'31.07 Ntinda-Kisaasi'!N48,'02.08 Ntinda-Kisaasi'!N48,'01.08 Ntinda-Kisaasi-24h'!N48,'03.08 Ntinda-Kisaasi-24h'!N48,'04.08 Ntinda-Kisaasi'!N48)</f>
        <v>0</v>
      </c>
      <c r="O48" s="15">
        <f t="shared" si="0"/>
        <v>111.14285714285712</v>
      </c>
      <c r="P48" s="15">
        <f t="shared" si="1"/>
        <v>182.71428571428569</v>
      </c>
      <c r="R48" s="8"/>
      <c r="T48"/>
    </row>
    <row r="49" spans="2:20" ht="23.1" customHeight="1" x14ac:dyDescent="0.25">
      <c r="B49" s="23" t="s">
        <v>76</v>
      </c>
      <c r="C49" s="49">
        <f>AVERAGE('29.07 Ntinda-Kisaasi'!C49,'30.07 Ntinda-Kisaasi'!C49,'31.07 Ntinda-Kisaasi'!C49,'02.08 Ntinda-Kisaasi'!C49,'01.08 Ntinda-Kisaasi-24h'!C49,'03.08 Ntinda-Kisaasi-24h'!C49,'04.08 Ntinda-Kisaasi'!C49)</f>
        <v>62</v>
      </c>
      <c r="D49" s="49">
        <f>AVERAGE('29.07 Ntinda-Kisaasi'!D49,'30.07 Ntinda-Kisaasi'!D49,'31.07 Ntinda-Kisaasi'!D49,'02.08 Ntinda-Kisaasi'!D49,'01.08 Ntinda-Kisaasi-24h'!D49,'03.08 Ntinda-Kisaasi-24h'!D49,'04.08 Ntinda-Kisaasi'!D49)</f>
        <v>22.285714285714285</v>
      </c>
      <c r="E49" s="49">
        <f>AVERAGE('29.07 Ntinda-Kisaasi'!E49,'30.07 Ntinda-Kisaasi'!E49,'31.07 Ntinda-Kisaasi'!E49,'02.08 Ntinda-Kisaasi'!E49,'01.08 Ntinda-Kisaasi-24h'!E49,'03.08 Ntinda-Kisaasi-24h'!E49,'04.08 Ntinda-Kisaasi'!E49)</f>
        <v>8.7142857142857135</v>
      </c>
      <c r="F49" s="49">
        <f>AVERAGE('29.07 Ntinda-Kisaasi'!F49,'30.07 Ntinda-Kisaasi'!F49,'31.07 Ntinda-Kisaasi'!F49,'02.08 Ntinda-Kisaasi'!F49,'01.08 Ntinda-Kisaasi-24h'!F49,'03.08 Ntinda-Kisaasi-24h'!F49,'04.08 Ntinda-Kisaasi'!F49)</f>
        <v>14.571428571428571</v>
      </c>
      <c r="G49" s="49">
        <f>AVERAGE('29.07 Ntinda-Kisaasi'!G49,'30.07 Ntinda-Kisaasi'!G49,'31.07 Ntinda-Kisaasi'!G49,'02.08 Ntinda-Kisaasi'!G49,'01.08 Ntinda-Kisaasi-24h'!G49,'03.08 Ntinda-Kisaasi-24h'!G49,'04.08 Ntinda-Kisaasi'!G49)</f>
        <v>0.2857142857142857</v>
      </c>
      <c r="H49" s="49">
        <f>AVERAGE('29.07 Ntinda-Kisaasi'!H49,'30.07 Ntinda-Kisaasi'!H49,'31.07 Ntinda-Kisaasi'!H49,'02.08 Ntinda-Kisaasi'!H49,'01.08 Ntinda-Kisaasi-24h'!H49,'03.08 Ntinda-Kisaasi-24h'!H49,'04.08 Ntinda-Kisaasi'!H49)</f>
        <v>0.14285714285714285</v>
      </c>
      <c r="I49" s="49">
        <f>AVERAGE('29.07 Ntinda-Kisaasi'!I49,'30.07 Ntinda-Kisaasi'!I49,'31.07 Ntinda-Kisaasi'!I49,'02.08 Ntinda-Kisaasi'!I49,'01.08 Ntinda-Kisaasi-24h'!I49,'03.08 Ntinda-Kisaasi-24h'!I49,'04.08 Ntinda-Kisaasi'!I49)</f>
        <v>4.4285714285714288</v>
      </c>
      <c r="J49" s="49">
        <f>AVERAGE('29.07 Ntinda-Kisaasi'!J49,'30.07 Ntinda-Kisaasi'!J49,'31.07 Ntinda-Kisaasi'!J49,'02.08 Ntinda-Kisaasi'!J49,'01.08 Ntinda-Kisaasi-24h'!J49,'03.08 Ntinda-Kisaasi-24h'!J49,'04.08 Ntinda-Kisaasi'!J49)</f>
        <v>1.7142857142857142</v>
      </c>
      <c r="K49" s="49">
        <f>AVERAGE('29.07 Ntinda-Kisaasi'!K49,'30.07 Ntinda-Kisaasi'!K49,'31.07 Ntinda-Kisaasi'!K49,'02.08 Ntinda-Kisaasi'!K49,'01.08 Ntinda-Kisaasi-24h'!K49,'03.08 Ntinda-Kisaasi-24h'!K49,'04.08 Ntinda-Kisaasi'!K49)</f>
        <v>0.42857142857142855</v>
      </c>
      <c r="L49" s="49">
        <f>AVERAGE('29.07 Ntinda-Kisaasi'!L49,'30.07 Ntinda-Kisaasi'!L49,'31.07 Ntinda-Kisaasi'!L49,'02.08 Ntinda-Kisaasi'!L49,'01.08 Ntinda-Kisaasi-24h'!L49,'03.08 Ntinda-Kisaasi-24h'!L49,'04.08 Ntinda-Kisaasi'!L49)</f>
        <v>2</v>
      </c>
      <c r="M49" s="49">
        <f>AVERAGE('29.07 Ntinda-Kisaasi'!M49,'30.07 Ntinda-Kisaasi'!M49,'31.07 Ntinda-Kisaasi'!M49,'02.08 Ntinda-Kisaasi'!M49,'01.08 Ntinda-Kisaasi-24h'!M49,'03.08 Ntinda-Kisaasi-24h'!M49,'04.08 Ntinda-Kisaasi'!M49)</f>
        <v>90</v>
      </c>
      <c r="N49" s="49">
        <f>AVERAGE('29.07 Ntinda-Kisaasi'!N49,'30.07 Ntinda-Kisaasi'!N49,'31.07 Ntinda-Kisaasi'!N49,'02.08 Ntinda-Kisaasi'!N49,'01.08 Ntinda-Kisaasi-24h'!N49,'03.08 Ntinda-Kisaasi-24h'!N49,'04.08 Ntinda-Kisaasi'!N49)</f>
        <v>0</v>
      </c>
      <c r="O49" s="15">
        <f t="shared" si="0"/>
        <v>116.57142857142856</v>
      </c>
      <c r="P49" s="15">
        <f t="shared" si="1"/>
        <v>206.57142857142856</v>
      </c>
      <c r="R49" s="8"/>
      <c r="T49"/>
    </row>
    <row r="50" spans="2:20" ht="23.1" customHeight="1" x14ac:dyDescent="0.25">
      <c r="B50" s="24" t="s">
        <v>77</v>
      </c>
      <c r="C50" s="49">
        <f>AVERAGE('29.07 Ntinda-Kisaasi'!C50,'30.07 Ntinda-Kisaasi'!C50,'31.07 Ntinda-Kisaasi'!C50,'02.08 Ntinda-Kisaasi'!C50,'01.08 Ntinda-Kisaasi-24h'!C50,'03.08 Ntinda-Kisaasi-24h'!C50,'04.08 Ntinda-Kisaasi'!C50)</f>
        <v>78.714285714285708</v>
      </c>
      <c r="D50" s="49">
        <f>AVERAGE('29.07 Ntinda-Kisaasi'!D50,'30.07 Ntinda-Kisaasi'!D50,'31.07 Ntinda-Kisaasi'!D50,'02.08 Ntinda-Kisaasi'!D50,'01.08 Ntinda-Kisaasi-24h'!D50,'03.08 Ntinda-Kisaasi-24h'!D50,'04.08 Ntinda-Kisaasi'!D50)</f>
        <v>29.857142857142858</v>
      </c>
      <c r="E50" s="49">
        <f>AVERAGE('29.07 Ntinda-Kisaasi'!E50,'30.07 Ntinda-Kisaasi'!E50,'31.07 Ntinda-Kisaasi'!E50,'02.08 Ntinda-Kisaasi'!E50,'01.08 Ntinda-Kisaasi-24h'!E50,'03.08 Ntinda-Kisaasi-24h'!E50,'04.08 Ntinda-Kisaasi'!E50)</f>
        <v>7.4285714285714288</v>
      </c>
      <c r="F50" s="49">
        <f>AVERAGE('29.07 Ntinda-Kisaasi'!F50,'30.07 Ntinda-Kisaasi'!F50,'31.07 Ntinda-Kisaasi'!F50,'02.08 Ntinda-Kisaasi'!F50,'01.08 Ntinda-Kisaasi-24h'!F50,'03.08 Ntinda-Kisaasi-24h'!F50,'04.08 Ntinda-Kisaasi'!F50)</f>
        <v>13.285714285714286</v>
      </c>
      <c r="G50" s="49">
        <f>AVERAGE('29.07 Ntinda-Kisaasi'!G50,'30.07 Ntinda-Kisaasi'!G50,'31.07 Ntinda-Kisaasi'!G50,'02.08 Ntinda-Kisaasi'!G50,'01.08 Ntinda-Kisaasi-24h'!G50,'03.08 Ntinda-Kisaasi-24h'!G50,'04.08 Ntinda-Kisaasi'!G50)</f>
        <v>1</v>
      </c>
      <c r="H50" s="49">
        <f>AVERAGE('29.07 Ntinda-Kisaasi'!H50,'30.07 Ntinda-Kisaasi'!H50,'31.07 Ntinda-Kisaasi'!H50,'02.08 Ntinda-Kisaasi'!H50,'01.08 Ntinda-Kisaasi-24h'!H50,'03.08 Ntinda-Kisaasi-24h'!H50,'04.08 Ntinda-Kisaasi'!H50)</f>
        <v>0</v>
      </c>
      <c r="I50" s="49">
        <f>AVERAGE('29.07 Ntinda-Kisaasi'!I50,'30.07 Ntinda-Kisaasi'!I50,'31.07 Ntinda-Kisaasi'!I50,'02.08 Ntinda-Kisaasi'!I50,'01.08 Ntinda-Kisaasi-24h'!I50,'03.08 Ntinda-Kisaasi-24h'!I50,'04.08 Ntinda-Kisaasi'!I50)</f>
        <v>4.8571428571428568</v>
      </c>
      <c r="J50" s="49">
        <f>AVERAGE('29.07 Ntinda-Kisaasi'!J50,'30.07 Ntinda-Kisaasi'!J50,'31.07 Ntinda-Kisaasi'!J50,'02.08 Ntinda-Kisaasi'!J50,'01.08 Ntinda-Kisaasi-24h'!J50,'03.08 Ntinda-Kisaasi-24h'!J50,'04.08 Ntinda-Kisaasi'!J50)</f>
        <v>1.4285714285714286</v>
      </c>
      <c r="K50" s="49">
        <f>AVERAGE('29.07 Ntinda-Kisaasi'!K50,'30.07 Ntinda-Kisaasi'!K50,'31.07 Ntinda-Kisaasi'!K50,'02.08 Ntinda-Kisaasi'!K50,'01.08 Ntinda-Kisaasi-24h'!K50,'03.08 Ntinda-Kisaasi-24h'!K50,'04.08 Ntinda-Kisaasi'!K50)</f>
        <v>0.42857142857142855</v>
      </c>
      <c r="L50" s="49">
        <f>AVERAGE('29.07 Ntinda-Kisaasi'!L50,'30.07 Ntinda-Kisaasi'!L50,'31.07 Ntinda-Kisaasi'!L50,'02.08 Ntinda-Kisaasi'!L50,'01.08 Ntinda-Kisaasi-24h'!L50,'03.08 Ntinda-Kisaasi-24h'!L50,'04.08 Ntinda-Kisaasi'!L50)</f>
        <v>2.4285714285714284</v>
      </c>
      <c r="M50" s="49">
        <f>AVERAGE('29.07 Ntinda-Kisaasi'!M50,'30.07 Ntinda-Kisaasi'!M50,'31.07 Ntinda-Kisaasi'!M50,'02.08 Ntinda-Kisaasi'!M50,'01.08 Ntinda-Kisaasi-24h'!M50,'03.08 Ntinda-Kisaasi-24h'!M50,'04.08 Ntinda-Kisaasi'!M50)</f>
        <v>89.285714285714292</v>
      </c>
      <c r="N50" s="49">
        <f>AVERAGE('29.07 Ntinda-Kisaasi'!N50,'30.07 Ntinda-Kisaasi'!N50,'31.07 Ntinda-Kisaasi'!N50,'02.08 Ntinda-Kisaasi'!N50,'01.08 Ntinda-Kisaasi-24h'!N50,'03.08 Ntinda-Kisaasi-24h'!N50,'04.08 Ntinda-Kisaasi'!N50)</f>
        <v>0</v>
      </c>
      <c r="O50" s="15">
        <f t="shared" si="0"/>
        <v>139.42857142857139</v>
      </c>
      <c r="P50" s="15">
        <f t="shared" si="1"/>
        <v>228.71428571428567</v>
      </c>
      <c r="R50" s="8"/>
      <c r="T50"/>
    </row>
    <row r="51" spans="2:20" ht="23.1" customHeight="1" x14ac:dyDescent="0.25">
      <c r="B51" s="24" t="s">
        <v>78</v>
      </c>
      <c r="C51" s="49">
        <f>AVERAGE('29.07 Ntinda-Kisaasi'!C51,'30.07 Ntinda-Kisaasi'!C51,'31.07 Ntinda-Kisaasi'!C51,'02.08 Ntinda-Kisaasi'!C51,'01.08 Ntinda-Kisaasi-24h'!C51,'03.08 Ntinda-Kisaasi-24h'!C51,'04.08 Ntinda-Kisaasi'!C51)</f>
        <v>75.714285714285708</v>
      </c>
      <c r="D51" s="49">
        <f>AVERAGE('29.07 Ntinda-Kisaasi'!D51,'30.07 Ntinda-Kisaasi'!D51,'31.07 Ntinda-Kisaasi'!D51,'02.08 Ntinda-Kisaasi'!D51,'01.08 Ntinda-Kisaasi-24h'!D51,'03.08 Ntinda-Kisaasi-24h'!D51,'04.08 Ntinda-Kisaasi'!D51)</f>
        <v>31.142857142857142</v>
      </c>
      <c r="E51" s="49">
        <f>AVERAGE('29.07 Ntinda-Kisaasi'!E51,'30.07 Ntinda-Kisaasi'!E51,'31.07 Ntinda-Kisaasi'!E51,'02.08 Ntinda-Kisaasi'!E51,'01.08 Ntinda-Kisaasi-24h'!E51,'03.08 Ntinda-Kisaasi-24h'!E51,'04.08 Ntinda-Kisaasi'!E51)</f>
        <v>7.8571428571428568</v>
      </c>
      <c r="F51" s="49">
        <f>AVERAGE('29.07 Ntinda-Kisaasi'!F51,'30.07 Ntinda-Kisaasi'!F51,'31.07 Ntinda-Kisaasi'!F51,'02.08 Ntinda-Kisaasi'!F51,'01.08 Ntinda-Kisaasi-24h'!F51,'03.08 Ntinda-Kisaasi-24h'!F51,'04.08 Ntinda-Kisaasi'!F51)</f>
        <v>11.857142857142858</v>
      </c>
      <c r="G51" s="49">
        <f>AVERAGE('29.07 Ntinda-Kisaasi'!G51,'30.07 Ntinda-Kisaasi'!G51,'31.07 Ntinda-Kisaasi'!G51,'02.08 Ntinda-Kisaasi'!G51,'01.08 Ntinda-Kisaasi-24h'!G51,'03.08 Ntinda-Kisaasi-24h'!G51,'04.08 Ntinda-Kisaasi'!G51)</f>
        <v>0.14285714285714285</v>
      </c>
      <c r="H51" s="49">
        <f>AVERAGE('29.07 Ntinda-Kisaasi'!H51,'30.07 Ntinda-Kisaasi'!H51,'31.07 Ntinda-Kisaasi'!H51,'02.08 Ntinda-Kisaasi'!H51,'01.08 Ntinda-Kisaasi-24h'!H51,'03.08 Ntinda-Kisaasi-24h'!H51,'04.08 Ntinda-Kisaasi'!H51)</f>
        <v>0</v>
      </c>
      <c r="I51" s="49">
        <f>AVERAGE('29.07 Ntinda-Kisaasi'!I51,'30.07 Ntinda-Kisaasi'!I51,'31.07 Ntinda-Kisaasi'!I51,'02.08 Ntinda-Kisaasi'!I51,'01.08 Ntinda-Kisaasi-24h'!I51,'03.08 Ntinda-Kisaasi-24h'!I51,'04.08 Ntinda-Kisaasi'!I51)</f>
        <v>4.4285714285714288</v>
      </c>
      <c r="J51" s="49">
        <f>AVERAGE('29.07 Ntinda-Kisaasi'!J51,'30.07 Ntinda-Kisaasi'!J51,'31.07 Ntinda-Kisaasi'!J51,'02.08 Ntinda-Kisaasi'!J51,'01.08 Ntinda-Kisaasi-24h'!J51,'03.08 Ntinda-Kisaasi-24h'!J51,'04.08 Ntinda-Kisaasi'!J51)</f>
        <v>1.1428571428571428</v>
      </c>
      <c r="K51" s="49">
        <f>AVERAGE('29.07 Ntinda-Kisaasi'!K51,'30.07 Ntinda-Kisaasi'!K51,'31.07 Ntinda-Kisaasi'!K51,'02.08 Ntinda-Kisaasi'!K51,'01.08 Ntinda-Kisaasi-24h'!K51,'03.08 Ntinda-Kisaasi-24h'!K51,'04.08 Ntinda-Kisaasi'!K51)</f>
        <v>0.2857142857142857</v>
      </c>
      <c r="L51" s="49">
        <f>AVERAGE('29.07 Ntinda-Kisaasi'!L51,'30.07 Ntinda-Kisaasi'!L51,'31.07 Ntinda-Kisaasi'!L51,'02.08 Ntinda-Kisaasi'!L51,'01.08 Ntinda-Kisaasi-24h'!L51,'03.08 Ntinda-Kisaasi-24h'!L51,'04.08 Ntinda-Kisaasi'!L51)</f>
        <v>1.8571428571428572</v>
      </c>
      <c r="M51" s="49">
        <f>AVERAGE('29.07 Ntinda-Kisaasi'!M51,'30.07 Ntinda-Kisaasi'!M51,'31.07 Ntinda-Kisaasi'!M51,'02.08 Ntinda-Kisaasi'!M51,'01.08 Ntinda-Kisaasi-24h'!M51,'03.08 Ntinda-Kisaasi-24h'!M51,'04.08 Ntinda-Kisaasi'!M51)</f>
        <v>83</v>
      </c>
      <c r="N51" s="49">
        <f>AVERAGE('29.07 Ntinda-Kisaasi'!N51,'30.07 Ntinda-Kisaasi'!N51,'31.07 Ntinda-Kisaasi'!N51,'02.08 Ntinda-Kisaasi'!N51,'01.08 Ntinda-Kisaasi-24h'!N51,'03.08 Ntinda-Kisaasi-24h'!N51,'04.08 Ntinda-Kisaasi'!N51)</f>
        <v>0</v>
      </c>
      <c r="O51" s="15">
        <f t="shared" si="0"/>
        <v>134.42857142857142</v>
      </c>
      <c r="P51" s="15">
        <f t="shared" si="1"/>
        <v>217.42857142857142</v>
      </c>
      <c r="R51" s="8"/>
      <c r="T51"/>
    </row>
    <row r="52" spans="2:20" ht="23.1" customHeight="1" x14ac:dyDescent="0.25">
      <c r="B52" s="24" t="s">
        <v>79</v>
      </c>
      <c r="C52" s="49">
        <f>AVERAGE('29.07 Ntinda-Kisaasi'!C52,'30.07 Ntinda-Kisaasi'!C52,'31.07 Ntinda-Kisaasi'!C52,'02.08 Ntinda-Kisaasi'!C52,'01.08 Ntinda-Kisaasi-24h'!C52,'03.08 Ntinda-Kisaasi-24h'!C52,'04.08 Ntinda-Kisaasi'!C52)</f>
        <v>63.714285714285715</v>
      </c>
      <c r="D52" s="49">
        <f>AVERAGE('29.07 Ntinda-Kisaasi'!D52,'30.07 Ntinda-Kisaasi'!D52,'31.07 Ntinda-Kisaasi'!D52,'02.08 Ntinda-Kisaasi'!D52,'01.08 Ntinda-Kisaasi-24h'!D52,'03.08 Ntinda-Kisaasi-24h'!D52,'04.08 Ntinda-Kisaasi'!D52)</f>
        <v>26.714285714285715</v>
      </c>
      <c r="E52" s="49">
        <f>AVERAGE('29.07 Ntinda-Kisaasi'!E52,'30.07 Ntinda-Kisaasi'!E52,'31.07 Ntinda-Kisaasi'!E52,'02.08 Ntinda-Kisaasi'!E52,'01.08 Ntinda-Kisaasi-24h'!E52,'03.08 Ntinda-Kisaasi-24h'!E52,'04.08 Ntinda-Kisaasi'!E52)</f>
        <v>9.5714285714285712</v>
      </c>
      <c r="F52" s="49">
        <f>AVERAGE('29.07 Ntinda-Kisaasi'!F52,'30.07 Ntinda-Kisaasi'!F52,'31.07 Ntinda-Kisaasi'!F52,'02.08 Ntinda-Kisaasi'!F52,'01.08 Ntinda-Kisaasi-24h'!F52,'03.08 Ntinda-Kisaasi-24h'!F52,'04.08 Ntinda-Kisaasi'!F52)</f>
        <v>15.428571428571429</v>
      </c>
      <c r="G52" s="49">
        <f>AVERAGE('29.07 Ntinda-Kisaasi'!G52,'30.07 Ntinda-Kisaasi'!G52,'31.07 Ntinda-Kisaasi'!G52,'02.08 Ntinda-Kisaasi'!G52,'01.08 Ntinda-Kisaasi-24h'!G52,'03.08 Ntinda-Kisaasi-24h'!G52,'04.08 Ntinda-Kisaasi'!G52)</f>
        <v>0.42857142857142855</v>
      </c>
      <c r="H52" s="49">
        <f>AVERAGE('29.07 Ntinda-Kisaasi'!H52,'30.07 Ntinda-Kisaasi'!H52,'31.07 Ntinda-Kisaasi'!H52,'02.08 Ntinda-Kisaasi'!H52,'01.08 Ntinda-Kisaasi-24h'!H52,'03.08 Ntinda-Kisaasi-24h'!H52,'04.08 Ntinda-Kisaasi'!H52)</f>
        <v>0</v>
      </c>
      <c r="I52" s="49">
        <f>AVERAGE('29.07 Ntinda-Kisaasi'!I52,'30.07 Ntinda-Kisaasi'!I52,'31.07 Ntinda-Kisaasi'!I52,'02.08 Ntinda-Kisaasi'!I52,'01.08 Ntinda-Kisaasi-24h'!I52,'03.08 Ntinda-Kisaasi-24h'!I52,'04.08 Ntinda-Kisaasi'!I52)</f>
        <v>3.5714285714285716</v>
      </c>
      <c r="J52" s="49">
        <f>AVERAGE('29.07 Ntinda-Kisaasi'!J52,'30.07 Ntinda-Kisaasi'!J52,'31.07 Ntinda-Kisaasi'!J52,'02.08 Ntinda-Kisaasi'!J52,'01.08 Ntinda-Kisaasi-24h'!J52,'03.08 Ntinda-Kisaasi-24h'!J52,'04.08 Ntinda-Kisaasi'!J52)</f>
        <v>1.2857142857142858</v>
      </c>
      <c r="K52" s="49">
        <f>AVERAGE('29.07 Ntinda-Kisaasi'!K52,'30.07 Ntinda-Kisaasi'!K52,'31.07 Ntinda-Kisaasi'!K52,'02.08 Ntinda-Kisaasi'!K52,'01.08 Ntinda-Kisaasi-24h'!K52,'03.08 Ntinda-Kisaasi-24h'!K52,'04.08 Ntinda-Kisaasi'!K52)</f>
        <v>0.5714285714285714</v>
      </c>
      <c r="L52" s="49">
        <f>AVERAGE('29.07 Ntinda-Kisaasi'!L52,'30.07 Ntinda-Kisaasi'!L52,'31.07 Ntinda-Kisaasi'!L52,'02.08 Ntinda-Kisaasi'!L52,'01.08 Ntinda-Kisaasi-24h'!L52,'03.08 Ntinda-Kisaasi-24h'!L52,'04.08 Ntinda-Kisaasi'!L52)</f>
        <v>2.2857142857142856</v>
      </c>
      <c r="M52" s="49">
        <f>AVERAGE('29.07 Ntinda-Kisaasi'!M52,'30.07 Ntinda-Kisaasi'!M52,'31.07 Ntinda-Kisaasi'!M52,'02.08 Ntinda-Kisaasi'!M52,'01.08 Ntinda-Kisaasi-24h'!M52,'03.08 Ntinda-Kisaasi-24h'!M52,'04.08 Ntinda-Kisaasi'!M52)</f>
        <v>83.571428571428569</v>
      </c>
      <c r="N52" s="49">
        <f>AVERAGE('29.07 Ntinda-Kisaasi'!N52,'30.07 Ntinda-Kisaasi'!N52,'31.07 Ntinda-Kisaasi'!N52,'02.08 Ntinda-Kisaasi'!N52,'01.08 Ntinda-Kisaasi-24h'!N52,'03.08 Ntinda-Kisaasi-24h'!N52,'04.08 Ntinda-Kisaasi'!N52)</f>
        <v>0</v>
      </c>
      <c r="O52" s="15">
        <f t="shared" si="0"/>
        <v>123.57142857142858</v>
      </c>
      <c r="P52" s="15">
        <f t="shared" si="1"/>
        <v>207.14285714285717</v>
      </c>
      <c r="R52" s="8"/>
      <c r="T52"/>
    </row>
    <row r="53" spans="2:20" ht="23.1" customHeight="1" x14ac:dyDescent="0.25">
      <c r="B53" s="23" t="s">
        <v>80</v>
      </c>
      <c r="C53" s="49">
        <f>AVERAGE('29.07 Ntinda-Kisaasi'!C53,'30.07 Ntinda-Kisaasi'!C53,'31.07 Ntinda-Kisaasi'!C53,'02.08 Ntinda-Kisaasi'!C53,'01.08 Ntinda-Kisaasi-24h'!C53,'03.08 Ntinda-Kisaasi-24h'!C53,'04.08 Ntinda-Kisaasi'!C53)</f>
        <v>54.142857142857146</v>
      </c>
      <c r="D53" s="49">
        <f>AVERAGE('29.07 Ntinda-Kisaasi'!D53,'30.07 Ntinda-Kisaasi'!D53,'31.07 Ntinda-Kisaasi'!D53,'02.08 Ntinda-Kisaasi'!D53,'01.08 Ntinda-Kisaasi-24h'!D53,'03.08 Ntinda-Kisaasi-24h'!D53,'04.08 Ntinda-Kisaasi'!D53)</f>
        <v>22.285714285714285</v>
      </c>
      <c r="E53" s="49">
        <f>AVERAGE('29.07 Ntinda-Kisaasi'!E53,'30.07 Ntinda-Kisaasi'!E53,'31.07 Ntinda-Kisaasi'!E53,'02.08 Ntinda-Kisaasi'!E53,'01.08 Ntinda-Kisaasi-24h'!E53,'03.08 Ntinda-Kisaasi-24h'!E53,'04.08 Ntinda-Kisaasi'!E53)</f>
        <v>8.7142857142857135</v>
      </c>
      <c r="F53" s="49">
        <f>AVERAGE('29.07 Ntinda-Kisaasi'!F53,'30.07 Ntinda-Kisaasi'!F53,'31.07 Ntinda-Kisaasi'!F53,'02.08 Ntinda-Kisaasi'!F53,'01.08 Ntinda-Kisaasi-24h'!F53,'03.08 Ntinda-Kisaasi-24h'!F53,'04.08 Ntinda-Kisaasi'!F53)</f>
        <v>11.857142857142858</v>
      </c>
      <c r="G53" s="49">
        <f>AVERAGE('29.07 Ntinda-Kisaasi'!G53,'30.07 Ntinda-Kisaasi'!G53,'31.07 Ntinda-Kisaasi'!G53,'02.08 Ntinda-Kisaasi'!G53,'01.08 Ntinda-Kisaasi-24h'!G53,'03.08 Ntinda-Kisaasi-24h'!G53,'04.08 Ntinda-Kisaasi'!G53)</f>
        <v>1.1428571428571428</v>
      </c>
      <c r="H53" s="49">
        <f>AVERAGE('29.07 Ntinda-Kisaasi'!H53,'30.07 Ntinda-Kisaasi'!H53,'31.07 Ntinda-Kisaasi'!H53,'02.08 Ntinda-Kisaasi'!H53,'01.08 Ntinda-Kisaasi-24h'!H53,'03.08 Ntinda-Kisaasi-24h'!H53,'04.08 Ntinda-Kisaasi'!H53)</f>
        <v>0</v>
      </c>
      <c r="I53" s="49">
        <f>AVERAGE('29.07 Ntinda-Kisaasi'!I53,'30.07 Ntinda-Kisaasi'!I53,'31.07 Ntinda-Kisaasi'!I53,'02.08 Ntinda-Kisaasi'!I53,'01.08 Ntinda-Kisaasi-24h'!I53,'03.08 Ntinda-Kisaasi-24h'!I53,'04.08 Ntinda-Kisaasi'!I53)</f>
        <v>2.5714285714285716</v>
      </c>
      <c r="J53" s="49">
        <f>AVERAGE('29.07 Ntinda-Kisaasi'!J53,'30.07 Ntinda-Kisaasi'!J53,'31.07 Ntinda-Kisaasi'!J53,'02.08 Ntinda-Kisaasi'!J53,'01.08 Ntinda-Kisaasi-24h'!J53,'03.08 Ntinda-Kisaasi-24h'!J53,'04.08 Ntinda-Kisaasi'!J53)</f>
        <v>0.7142857142857143</v>
      </c>
      <c r="K53" s="49">
        <f>AVERAGE('29.07 Ntinda-Kisaasi'!K53,'30.07 Ntinda-Kisaasi'!K53,'31.07 Ntinda-Kisaasi'!K53,'02.08 Ntinda-Kisaasi'!K53,'01.08 Ntinda-Kisaasi-24h'!K53,'03.08 Ntinda-Kisaasi-24h'!K53,'04.08 Ntinda-Kisaasi'!K53)</f>
        <v>0.42857142857142855</v>
      </c>
      <c r="L53" s="49">
        <f>AVERAGE('29.07 Ntinda-Kisaasi'!L53,'30.07 Ntinda-Kisaasi'!L53,'31.07 Ntinda-Kisaasi'!L53,'02.08 Ntinda-Kisaasi'!L53,'01.08 Ntinda-Kisaasi-24h'!L53,'03.08 Ntinda-Kisaasi-24h'!L53,'04.08 Ntinda-Kisaasi'!L53)</f>
        <v>1.1428571428571428</v>
      </c>
      <c r="M53" s="49">
        <f>AVERAGE('29.07 Ntinda-Kisaasi'!M53,'30.07 Ntinda-Kisaasi'!M53,'31.07 Ntinda-Kisaasi'!M53,'02.08 Ntinda-Kisaasi'!M53,'01.08 Ntinda-Kisaasi-24h'!M53,'03.08 Ntinda-Kisaasi-24h'!M53,'04.08 Ntinda-Kisaasi'!M53)</f>
        <v>85.714285714285708</v>
      </c>
      <c r="N53" s="49">
        <f>AVERAGE('29.07 Ntinda-Kisaasi'!N53,'30.07 Ntinda-Kisaasi'!N53,'31.07 Ntinda-Kisaasi'!N53,'02.08 Ntinda-Kisaasi'!N53,'01.08 Ntinda-Kisaasi-24h'!N53,'03.08 Ntinda-Kisaasi-24h'!N53,'04.08 Ntinda-Kisaasi'!N53)</f>
        <v>0</v>
      </c>
      <c r="O53" s="15">
        <f t="shared" si="0"/>
        <v>102.99999999999999</v>
      </c>
      <c r="P53" s="15">
        <f t="shared" si="1"/>
        <v>188.71428571428569</v>
      </c>
      <c r="R53" s="8"/>
      <c r="T53"/>
    </row>
    <row r="54" spans="2:20" ht="23.1" customHeight="1" x14ac:dyDescent="0.25">
      <c r="B54" s="23" t="s">
        <v>81</v>
      </c>
      <c r="C54" s="49">
        <f>AVERAGE('29.07 Ntinda-Kisaasi'!C54,'30.07 Ntinda-Kisaasi'!C54,'31.07 Ntinda-Kisaasi'!C54,'02.08 Ntinda-Kisaasi'!C54,'01.08 Ntinda-Kisaasi-24h'!C54,'03.08 Ntinda-Kisaasi-24h'!C54,'04.08 Ntinda-Kisaasi'!C54)</f>
        <v>69.285714285714292</v>
      </c>
      <c r="D54" s="49">
        <f>AVERAGE('29.07 Ntinda-Kisaasi'!D54,'30.07 Ntinda-Kisaasi'!D54,'31.07 Ntinda-Kisaasi'!D54,'02.08 Ntinda-Kisaasi'!D54,'01.08 Ntinda-Kisaasi-24h'!D54,'03.08 Ntinda-Kisaasi-24h'!D54,'04.08 Ntinda-Kisaasi'!D54)</f>
        <v>24.285714285714285</v>
      </c>
      <c r="E54" s="49">
        <f>AVERAGE('29.07 Ntinda-Kisaasi'!E54,'30.07 Ntinda-Kisaasi'!E54,'31.07 Ntinda-Kisaasi'!E54,'02.08 Ntinda-Kisaasi'!E54,'01.08 Ntinda-Kisaasi-24h'!E54,'03.08 Ntinda-Kisaasi-24h'!E54,'04.08 Ntinda-Kisaasi'!E54)</f>
        <v>8.1428571428571423</v>
      </c>
      <c r="F54" s="49">
        <f>AVERAGE('29.07 Ntinda-Kisaasi'!F54,'30.07 Ntinda-Kisaasi'!F54,'31.07 Ntinda-Kisaasi'!F54,'02.08 Ntinda-Kisaasi'!F54,'01.08 Ntinda-Kisaasi-24h'!F54,'03.08 Ntinda-Kisaasi-24h'!F54,'04.08 Ntinda-Kisaasi'!F54)</f>
        <v>14.571428571428571</v>
      </c>
      <c r="G54" s="49">
        <f>AVERAGE('29.07 Ntinda-Kisaasi'!G54,'30.07 Ntinda-Kisaasi'!G54,'31.07 Ntinda-Kisaasi'!G54,'02.08 Ntinda-Kisaasi'!G54,'01.08 Ntinda-Kisaasi-24h'!G54,'03.08 Ntinda-Kisaasi-24h'!G54,'04.08 Ntinda-Kisaasi'!G54)</f>
        <v>0.2857142857142857</v>
      </c>
      <c r="H54" s="49">
        <f>AVERAGE('29.07 Ntinda-Kisaasi'!H54,'30.07 Ntinda-Kisaasi'!H54,'31.07 Ntinda-Kisaasi'!H54,'02.08 Ntinda-Kisaasi'!H54,'01.08 Ntinda-Kisaasi-24h'!H54,'03.08 Ntinda-Kisaasi-24h'!H54,'04.08 Ntinda-Kisaasi'!H54)</f>
        <v>0</v>
      </c>
      <c r="I54" s="49">
        <f>AVERAGE('29.07 Ntinda-Kisaasi'!I54,'30.07 Ntinda-Kisaasi'!I54,'31.07 Ntinda-Kisaasi'!I54,'02.08 Ntinda-Kisaasi'!I54,'01.08 Ntinda-Kisaasi-24h'!I54,'03.08 Ntinda-Kisaasi-24h'!I54,'04.08 Ntinda-Kisaasi'!I54)</f>
        <v>3.2857142857142856</v>
      </c>
      <c r="J54" s="49">
        <f>AVERAGE('29.07 Ntinda-Kisaasi'!J54,'30.07 Ntinda-Kisaasi'!J54,'31.07 Ntinda-Kisaasi'!J54,'02.08 Ntinda-Kisaasi'!J54,'01.08 Ntinda-Kisaasi-24h'!J54,'03.08 Ntinda-Kisaasi-24h'!J54,'04.08 Ntinda-Kisaasi'!J54)</f>
        <v>1.5714285714285714</v>
      </c>
      <c r="K54" s="49">
        <f>AVERAGE('29.07 Ntinda-Kisaasi'!K54,'30.07 Ntinda-Kisaasi'!K54,'31.07 Ntinda-Kisaasi'!K54,'02.08 Ntinda-Kisaasi'!K54,'01.08 Ntinda-Kisaasi-24h'!K54,'03.08 Ntinda-Kisaasi-24h'!K54,'04.08 Ntinda-Kisaasi'!K54)</f>
        <v>1</v>
      </c>
      <c r="L54" s="49">
        <f>AVERAGE('29.07 Ntinda-Kisaasi'!L54,'30.07 Ntinda-Kisaasi'!L54,'31.07 Ntinda-Kisaasi'!L54,'02.08 Ntinda-Kisaasi'!L54,'01.08 Ntinda-Kisaasi-24h'!L54,'03.08 Ntinda-Kisaasi-24h'!L54,'04.08 Ntinda-Kisaasi'!L54)</f>
        <v>2.5714285714285716</v>
      </c>
      <c r="M54" s="49">
        <f>AVERAGE('29.07 Ntinda-Kisaasi'!M54,'30.07 Ntinda-Kisaasi'!M54,'31.07 Ntinda-Kisaasi'!M54,'02.08 Ntinda-Kisaasi'!M54,'01.08 Ntinda-Kisaasi-24h'!M54,'03.08 Ntinda-Kisaasi-24h'!M54,'04.08 Ntinda-Kisaasi'!M54)</f>
        <v>85.714285714285708</v>
      </c>
      <c r="N54" s="49">
        <f>AVERAGE('29.07 Ntinda-Kisaasi'!N54,'30.07 Ntinda-Kisaasi'!N54,'31.07 Ntinda-Kisaasi'!N54,'02.08 Ntinda-Kisaasi'!N54,'01.08 Ntinda-Kisaasi-24h'!N54,'03.08 Ntinda-Kisaasi-24h'!N54,'04.08 Ntinda-Kisaasi'!N54)</f>
        <v>0</v>
      </c>
      <c r="O54" s="15">
        <f t="shared" si="0"/>
        <v>125.00000000000001</v>
      </c>
      <c r="P54" s="15">
        <f t="shared" si="1"/>
        <v>210.71428571428572</v>
      </c>
      <c r="R54" s="8"/>
      <c r="T54"/>
    </row>
    <row r="55" spans="2:20" ht="23.1" customHeight="1" x14ac:dyDescent="0.25">
      <c r="B55" s="23" t="s">
        <v>82</v>
      </c>
      <c r="C55" s="49">
        <f>AVERAGE('29.07 Ntinda-Kisaasi'!C55,'30.07 Ntinda-Kisaasi'!C55,'31.07 Ntinda-Kisaasi'!C55,'02.08 Ntinda-Kisaasi'!C55,'01.08 Ntinda-Kisaasi-24h'!C55,'03.08 Ntinda-Kisaasi-24h'!C55,'04.08 Ntinda-Kisaasi'!C55)</f>
        <v>54.285714285714285</v>
      </c>
      <c r="D55" s="49">
        <f>AVERAGE('29.07 Ntinda-Kisaasi'!D55,'30.07 Ntinda-Kisaasi'!D55,'31.07 Ntinda-Kisaasi'!D55,'02.08 Ntinda-Kisaasi'!D55,'01.08 Ntinda-Kisaasi-24h'!D55,'03.08 Ntinda-Kisaasi-24h'!D55,'04.08 Ntinda-Kisaasi'!D55)</f>
        <v>26.571428571428573</v>
      </c>
      <c r="E55" s="49">
        <f>AVERAGE('29.07 Ntinda-Kisaasi'!E55,'30.07 Ntinda-Kisaasi'!E55,'31.07 Ntinda-Kisaasi'!E55,'02.08 Ntinda-Kisaasi'!E55,'01.08 Ntinda-Kisaasi-24h'!E55,'03.08 Ntinda-Kisaasi-24h'!E55,'04.08 Ntinda-Kisaasi'!E55)</f>
        <v>6.4285714285714288</v>
      </c>
      <c r="F55" s="49">
        <f>AVERAGE('29.07 Ntinda-Kisaasi'!F55,'30.07 Ntinda-Kisaasi'!F55,'31.07 Ntinda-Kisaasi'!F55,'02.08 Ntinda-Kisaasi'!F55,'01.08 Ntinda-Kisaasi-24h'!F55,'03.08 Ntinda-Kisaasi-24h'!F55,'04.08 Ntinda-Kisaasi'!F55)</f>
        <v>11.285714285714286</v>
      </c>
      <c r="G55" s="49">
        <f>AVERAGE('29.07 Ntinda-Kisaasi'!G55,'30.07 Ntinda-Kisaasi'!G55,'31.07 Ntinda-Kisaasi'!G55,'02.08 Ntinda-Kisaasi'!G55,'01.08 Ntinda-Kisaasi-24h'!G55,'03.08 Ntinda-Kisaasi-24h'!G55,'04.08 Ntinda-Kisaasi'!G55)</f>
        <v>0</v>
      </c>
      <c r="H55" s="49">
        <f>AVERAGE('29.07 Ntinda-Kisaasi'!H55,'30.07 Ntinda-Kisaasi'!H55,'31.07 Ntinda-Kisaasi'!H55,'02.08 Ntinda-Kisaasi'!H55,'01.08 Ntinda-Kisaasi-24h'!H55,'03.08 Ntinda-Kisaasi-24h'!H55,'04.08 Ntinda-Kisaasi'!H55)</f>
        <v>0</v>
      </c>
      <c r="I55" s="49">
        <f>AVERAGE('29.07 Ntinda-Kisaasi'!I55,'30.07 Ntinda-Kisaasi'!I55,'31.07 Ntinda-Kisaasi'!I55,'02.08 Ntinda-Kisaasi'!I55,'01.08 Ntinda-Kisaasi-24h'!I55,'03.08 Ntinda-Kisaasi-24h'!I55,'04.08 Ntinda-Kisaasi'!I55)</f>
        <v>3.2857142857142856</v>
      </c>
      <c r="J55" s="49">
        <f>AVERAGE('29.07 Ntinda-Kisaasi'!J55,'30.07 Ntinda-Kisaasi'!J55,'31.07 Ntinda-Kisaasi'!J55,'02.08 Ntinda-Kisaasi'!J55,'01.08 Ntinda-Kisaasi-24h'!J55,'03.08 Ntinda-Kisaasi-24h'!J55,'04.08 Ntinda-Kisaasi'!J55)</f>
        <v>1.5714285714285714</v>
      </c>
      <c r="K55" s="49">
        <f>AVERAGE('29.07 Ntinda-Kisaasi'!K55,'30.07 Ntinda-Kisaasi'!K55,'31.07 Ntinda-Kisaasi'!K55,'02.08 Ntinda-Kisaasi'!K55,'01.08 Ntinda-Kisaasi-24h'!K55,'03.08 Ntinda-Kisaasi-24h'!K55,'04.08 Ntinda-Kisaasi'!K55)</f>
        <v>0.42857142857142855</v>
      </c>
      <c r="L55" s="49">
        <f>AVERAGE('29.07 Ntinda-Kisaasi'!L55,'30.07 Ntinda-Kisaasi'!L55,'31.07 Ntinda-Kisaasi'!L55,'02.08 Ntinda-Kisaasi'!L55,'01.08 Ntinda-Kisaasi-24h'!L55,'03.08 Ntinda-Kisaasi-24h'!L55,'04.08 Ntinda-Kisaasi'!L55)</f>
        <v>1.1428571428571428</v>
      </c>
      <c r="M55" s="49">
        <f>AVERAGE('29.07 Ntinda-Kisaasi'!M55,'30.07 Ntinda-Kisaasi'!M55,'31.07 Ntinda-Kisaasi'!M55,'02.08 Ntinda-Kisaasi'!M55,'01.08 Ntinda-Kisaasi-24h'!M55,'03.08 Ntinda-Kisaasi-24h'!M55,'04.08 Ntinda-Kisaasi'!M55)</f>
        <v>83.571428571428569</v>
      </c>
      <c r="N55" s="49">
        <f>AVERAGE('29.07 Ntinda-Kisaasi'!N55,'30.07 Ntinda-Kisaasi'!N55,'31.07 Ntinda-Kisaasi'!N55,'02.08 Ntinda-Kisaasi'!N55,'01.08 Ntinda-Kisaasi-24h'!N55,'03.08 Ntinda-Kisaasi-24h'!N55,'04.08 Ntinda-Kisaasi'!N55)</f>
        <v>0</v>
      </c>
      <c r="O55" s="15">
        <f t="shared" si="0"/>
        <v>105.00000000000001</v>
      </c>
      <c r="P55" s="15">
        <f t="shared" si="1"/>
        <v>188.57142857142858</v>
      </c>
      <c r="R55" s="8"/>
      <c r="T55"/>
    </row>
    <row r="56" spans="2:20" ht="23.1" customHeight="1" x14ac:dyDescent="0.25">
      <c r="B56" s="23" t="s">
        <v>83</v>
      </c>
      <c r="C56" s="49">
        <f>AVERAGE('29.07 Ntinda-Kisaasi'!C56,'30.07 Ntinda-Kisaasi'!C56,'31.07 Ntinda-Kisaasi'!C56,'02.08 Ntinda-Kisaasi'!C56,'01.08 Ntinda-Kisaasi-24h'!C56,'03.08 Ntinda-Kisaasi-24h'!C56,'04.08 Ntinda-Kisaasi'!C56)</f>
        <v>59.285714285714285</v>
      </c>
      <c r="D56" s="49">
        <f>AVERAGE('29.07 Ntinda-Kisaasi'!D56,'30.07 Ntinda-Kisaasi'!D56,'31.07 Ntinda-Kisaasi'!D56,'02.08 Ntinda-Kisaasi'!D56,'01.08 Ntinda-Kisaasi-24h'!D56,'03.08 Ntinda-Kisaasi-24h'!D56,'04.08 Ntinda-Kisaasi'!D56)</f>
        <v>27.285714285714285</v>
      </c>
      <c r="E56" s="49">
        <f>AVERAGE('29.07 Ntinda-Kisaasi'!E56,'30.07 Ntinda-Kisaasi'!E56,'31.07 Ntinda-Kisaasi'!E56,'02.08 Ntinda-Kisaasi'!E56,'01.08 Ntinda-Kisaasi-24h'!E56,'03.08 Ntinda-Kisaasi-24h'!E56,'04.08 Ntinda-Kisaasi'!E56)</f>
        <v>7.1428571428571432</v>
      </c>
      <c r="F56" s="49">
        <f>AVERAGE('29.07 Ntinda-Kisaasi'!F56,'30.07 Ntinda-Kisaasi'!F56,'31.07 Ntinda-Kisaasi'!F56,'02.08 Ntinda-Kisaasi'!F56,'01.08 Ntinda-Kisaasi-24h'!F56,'03.08 Ntinda-Kisaasi-24h'!F56,'04.08 Ntinda-Kisaasi'!F56)</f>
        <v>14.285714285714286</v>
      </c>
      <c r="G56" s="49">
        <f>AVERAGE('29.07 Ntinda-Kisaasi'!G56,'30.07 Ntinda-Kisaasi'!G56,'31.07 Ntinda-Kisaasi'!G56,'02.08 Ntinda-Kisaasi'!G56,'01.08 Ntinda-Kisaasi-24h'!G56,'03.08 Ntinda-Kisaasi-24h'!G56,'04.08 Ntinda-Kisaasi'!G56)</f>
        <v>0</v>
      </c>
      <c r="H56" s="49">
        <f>AVERAGE('29.07 Ntinda-Kisaasi'!H56,'30.07 Ntinda-Kisaasi'!H56,'31.07 Ntinda-Kisaasi'!H56,'02.08 Ntinda-Kisaasi'!H56,'01.08 Ntinda-Kisaasi-24h'!H56,'03.08 Ntinda-Kisaasi-24h'!H56,'04.08 Ntinda-Kisaasi'!H56)</f>
        <v>0</v>
      </c>
      <c r="I56" s="49">
        <f>AVERAGE('29.07 Ntinda-Kisaasi'!I56,'30.07 Ntinda-Kisaasi'!I56,'31.07 Ntinda-Kisaasi'!I56,'02.08 Ntinda-Kisaasi'!I56,'01.08 Ntinda-Kisaasi-24h'!I56,'03.08 Ntinda-Kisaasi-24h'!I56,'04.08 Ntinda-Kisaasi'!I56)</f>
        <v>2.1428571428571428</v>
      </c>
      <c r="J56" s="49">
        <f>AVERAGE('29.07 Ntinda-Kisaasi'!J56,'30.07 Ntinda-Kisaasi'!J56,'31.07 Ntinda-Kisaasi'!J56,'02.08 Ntinda-Kisaasi'!J56,'01.08 Ntinda-Kisaasi-24h'!J56,'03.08 Ntinda-Kisaasi-24h'!J56,'04.08 Ntinda-Kisaasi'!J56)</f>
        <v>2</v>
      </c>
      <c r="K56" s="49">
        <f>AVERAGE('29.07 Ntinda-Kisaasi'!K56,'30.07 Ntinda-Kisaasi'!K56,'31.07 Ntinda-Kisaasi'!K56,'02.08 Ntinda-Kisaasi'!K56,'01.08 Ntinda-Kisaasi-24h'!K56,'03.08 Ntinda-Kisaasi-24h'!K56,'04.08 Ntinda-Kisaasi'!K56)</f>
        <v>0.42857142857142855</v>
      </c>
      <c r="L56" s="49">
        <f>AVERAGE('29.07 Ntinda-Kisaasi'!L56,'30.07 Ntinda-Kisaasi'!L56,'31.07 Ntinda-Kisaasi'!L56,'02.08 Ntinda-Kisaasi'!L56,'01.08 Ntinda-Kisaasi-24h'!L56,'03.08 Ntinda-Kisaasi-24h'!L56,'04.08 Ntinda-Kisaasi'!L56)</f>
        <v>1.5714285714285714</v>
      </c>
      <c r="M56" s="49">
        <f>AVERAGE('29.07 Ntinda-Kisaasi'!M56,'30.07 Ntinda-Kisaasi'!M56,'31.07 Ntinda-Kisaasi'!M56,'02.08 Ntinda-Kisaasi'!M56,'01.08 Ntinda-Kisaasi-24h'!M56,'03.08 Ntinda-Kisaasi-24h'!M56,'04.08 Ntinda-Kisaasi'!M56)</f>
        <v>72.857142857142861</v>
      </c>
      <c r="N56" s="49">
        <f>AVERAGE('29.07 Ntinda-Kisaasi'!N56,'30.07 Ntinda-Kisaasi'!N56,'31.07 Ntinda-Kisaasi'!N56,'02.08 Ntinda-Kisaasi'!N56,'01.08 Ntinda-Kisaasi-24h'!N56,'03.08 Ntinda-Kisaasi-24h'!N56,'04.08 Ntinda-Kisaasi'!N56)</f>
        <v>0</v>
      </c>
      <c r="O56" s="15">
        <f t="shared" si="0"/>
        <v>114.14285714285714</v>
      </c>
      <c r="P56" s="15">
        <f t="shared" si="1"/>
        <v>187</v>
      </c>
      <c r="R56" s="8"/>
      <c r="T56"/>
    </row>
    <row r="57" spans="2:20" ht="23.1" customHeight="1" x14ac:dyDescent="0.25">
      <c r="B57" s="23" t="s">
        <v>84</v>
      </c>
      <c r="C57" s="49">
        <f>AVERAGE('29.07 Ntinda-Kisaasi'!C57,'30.07 Ntinda-Kisaasi'!C57,'31.07 Ntinda-Kisaasi'!C57,'02.08 Ntinda-Kisaasi'!C57,'01.08 Ntinda-Kisaasi-24h'!C57,'03.08 Ntinda-Kisaasi-24h'!C57,'04.08 Ntinda-Kisaasi'!C57)</f>
        <v>54.285714285714285</v>
      </c>
      <c r="D57" s="49">
        <f>AVERAGE('29.07 Ntinda-Kisaasi'!D57,'30.07 Ntinda-Kisaasi'!D57,'31.07 Ntinda-Kisaasi'!D57,'02.08 Ntinda-Kisaasi'!D57,'01.08 Ntinda-Kisaasi-24h'!D57,'03.08 Ntinda-Kisaasi-24h'!D57,'04.08 Ntinda-Kisaasi'!D57)</f>
        <v>18.714285714285715</v>
      </c>
      <c r="E57" s="49">
        <f>AVERAGE('29.07 Ntinda-Kisaasi'!E57,'30.07 Ntinda-Kisaasi'!E57,'31.07 Ntinda-Kisaasi'!E57,'02.08 Ntinda-Kisaasi'!E57,'01.08 Ntinda-Kisaasi-24h'!E57,'03.08 Ntinda-Kisaasi-24h'!E57,'04.08 Ntinda-Kisaasi'!E57)</f>
        <v>7.1428571428571432</v>
      </c>
      <c r="F57" s="49">
        <f>AVERAGE('29.07 Ntinda-Kisaasi'!F57,'30.07 Ntinda-Kisaasi'!F57,'31.07 Ntinda-Kisaasi'!F57,'02.08 Ntinda-Kisaasi'!F57,'01.08 Ntinda-Kisaasi-24h'!F57,'03.08 Ntinda-Kisaasi-24h'!F57,'04.08 Ntinda-Kisaasi'!F57)</f>
        <v>14.714285714285714</v>
      </c>
      <c r="G57" s="49">
        <f>AVERAGE('29.07 Ntinda-Kisaasi'!G57,'30.07 Ntinda-Kisaasi'!G57,'31.07 Ntinda-Kisaasi'!G57,'02.08 Ntinda-Kisaasi'!G57,'01.08 Ntinda-Kisaasi-24h'!G57,'03.08 Ntinda-Kisaasi-24h'!G57,'04.08 Ntinda-Kisaasi'!G57)</f>
        <v>0.14285714285714285</v>
      </c>
      <c r="H57" s="49">
        <f>AVERAGE('29.07 Ntinda-Kisaasi'!H57,'30.07 Ntinda-Kisaasi'!H57,'31.07 Ntinda-Kisaasi'!H57,'02.08 Ntinda-Kisaasi'!H57,'01.08 Ntinda-Kisaasi-24h'!H57,'03.08 Ntinda-Kisaasi-24h'!H57,'04.08 Ntinda-Kisaasi'!H57)</f>
        <v>0</v>
      </c>
      <c r="I57" s="49">
        <f>AVERAGE('29.07 Ntinda-Kisaasi'!I57,'30.07 Ntinda-Kisaasi'!I57,'31.07 Ntinda-Kisaasi'!I57,'02.08 Ntinda-Kisaasi'!I57,'01.08 Ntinda-Kisaasi-24h'!I57,'03.08 Ntinda-Kisaasi-24h'!I57,'04.08 Ntinda-Kisaasi'!I57)</f>
        <v>2</v>
      </c>
      <c r="J57" s="49">
        <f>AVERAGE('29.07 Ntinda-Kisaasi'!J57,'30.07 Ntinda-Kisaasi'!J57,'31.07 Ntinda-Kisaasi'!J57,'02.08 Ntinda-Kisaasi'!J57,'01.08 Ntinda-Kisaasi-24h'!J57,'03.08 Ntinda-Kisaasi-24h'!J57,'04.08 Ntinda-Kisaasi'!J57)</f>
        <v>1.4285714285714286</v>
      </c>
      <c r="K57" s="49">
        <f>AVERAGE('29.07 Ntinda-Kisaasi'!K57,'30.07 Ntinda-Kisaasi'!K57,'31.07 Ntinda-Kisaasi'!K57,'02.08 Ntinda-Kisaasi'!K57,'01.08 Ntinda-Kisaasi-24h'!K57,'03.08 Ntinda-Kisaasi-24h'!K57,'04.08 Ntinda-Kisaasi'!K57)</f>
        <v>0.14285714285714285</v>
      </c>
      <c r="L57" s="49">
        <f>AVERAGE('29.07 Ntinda-Kisaasi'!L57,'30.07 Ntinda-Kisaasi'!L57,'31.07 Ntinda-Kisaasi'!L57,'02.08 Ntinda-Kisaasi'!L57,'01.08 Ntinda-Kisaasi-24h'!L57,'03.08 Ntinda-Kisaasi-24h'!L57,'04.08 Ntinda-Kisaasi'!L57)</f>
        <v>1.5714285714285714</v>
      </c>
      <c r="M57" s="49">
        <f>AVERAGE('29.07 Ntinda-Kisaasi'!M57,'30.07 Ntinda-Kisaasi'!M57,'31.07 Ntinda-Kisaasi'!M57,'02.08 Ntinda-Kisaasi'!M57,'01.08 Ntinda-Kisaasi-24h'!M57,'03.08 Ntinda-Kisaasi-24h'!M57,'04.08 Ntinda-Kisaasi'!M57)</f>
        <v>75</v>
      </c>
      <c r="N57" s="49">
        <f>AVERAGE('29.07 Ntinda-Kisaasi'!N57,'30.07 Ntinda-Kisaasi'!N57,'31.07 Ntinda-Kisaasi'!N57,'02.08 Ntinda-Kisaasi'!N57,'01.08 Ntinda-Kisaasi-24h'!N57,'03.08 Ntinda-Kisaasi-24h'!N57,'04.08 Ntinda-Kisaasi'!N57)</f>
        <v>0</v>
      </c>
      <c r="O57" s="49">
        <f>AVERAGE('29.07 Ntinda-Kisaasi'!O57,'30.07 Ntinda-Kisaasi'!O57,'31.07 Ntinda-Kisaasi'!O57,'02.08 Ntinda-Kisaasi'!O57,'01.08 Ntinda-Kisaasi-24h'!O57,'03.08 Ntinda-Kisaasi-24h'!O57,'04.08 Ntinda-Kisaasi'!O57)</f>
        <v>100.14285714285714</v>
      </c>
      <c r="P57" s="49">
        <f>AVERAGE('29.07 Ntinda-Kisaasi'!P57,'30.07 Ntinda-Kisaasi'!P57,'31.07 Ntinda-Kisaasi'!P57,'02.08 Ntinda-Kisaasi'!P57,'01.08 Ntinda-Kisaasi-24h'!P57,'03.08 Ntinda-Kisaasi-24h'!P57,'04.08 Ntinda-Kisaasi'!P57)</f>
        <v>175.14285714285714</v>
      </c>
      <c r="R57" s="8"/>
      <c r="T57"/>
    </row>
    <row r="58" spans="2:20" ht="23.1" customHeight="1" x14ac:dyDescent="0.25">
      <c r="B58" s="23" t="s">
        <v>99</v>
      </c>
      <c r="C58" s="49">
        <f>AVERAGE('01.08 Ntinda-Kisaasi-24h'!C58,'03.08 Ntinda-Kisaasi-24h'!C58)</f>
        <v>50.5</v>
      </c>
      <c r="D58" s="49">
        <f>AVERAGE('01.08 Ntinda-Kisaasi-24h'!D58,'03.08 Ntinda-Kisaasi-24h'!D58)</f>
        <v>22.5</v>
      </c>
      <c r="E58" s="49">
        <f>AVERAGE('01.08 Ntinda-Kisaasi-24h'!E58,'03.08 Ntinda-Kisaasi-24h'!E58)</f>
        <v>5.5</v>
      </c>
      <c r="F58" s="49">
        <f>AVERAGE('01.08 Ntinda-Kisaasi-24h'!F58,'03.08 Ntinda-Kisaasi-24h'!F58)</f>
        <v>15.5</v>
      </c>
      <c r="G58" s="49">
        <f>AVERAGE('01.08 Ntinda-Kisaasi-24h'!G58,'03.08 Ntinda-Kisaasi-24h'!G58)</f>
        <v>0</v>
      </c>
      <c r="H58" s="49">
        <f>AVERAGE('01.08 Ntinda-Kisaasi-24h'!H58,'03.08 Ntinda-Kisaasi-24h'!H58)</f>
        <v>0</v>
      </c>
      <c r="I58" s="49">
        <f>AVERAGE('01.08 Ntinda-Kisaasi-24h'!I58,'03.08 Ntinda-Kisaasi-24h'!I58)</f>
        <v>3.5</v>
      </c>
      <c r="J58" s="49">
        <f>AVERAGE('01.08 Ntinda-Kisaasi-24h'!J58,'03.08 Ntinda-Kisaasi-24h'!J58)</f>
        <v>1</v>
      </c>
      <c r="K58" s="49">
        <f>AVERAGE('01.08 Ntinda-Kisaasi-24h'!K58,'03.08 Ntinda-Kisaasi-24h'!K58)</f>
        <v>0.5</v>
      </c>
      <c r="L58" s="49">
        <f>AVERAGE('01.08 Ntinda-Kisaasi-24h'!L58,'03.08 Ntinda-Kisaasi-24h'!L58)</f>
        <v>0</v>
      </c>
      <c r="M58" s="49">
        <f>AVERAGE('01.08 Ntinda-Kisaasi-24h'!M58,'03.08 Ntinda-Kisaasi-24h'!M58)</f>
        <v>67.5</v>
      </c>
      <c r="N58" s="49">
        <f>AVERAGE('01.08 Ntinda-Kisaasi-24h'!N58,'03.08 Ntinda-Kisaasi-24h'!N58)</f>
        <v>0</v>
      </c>
      <c r="O58" s="49">
        <f>AVERAGE('01.08 Ntinda-Kisaasi-24h'!O58,'03.08 Ntinda-Kisaasi-24h'!O58)</f>
        <v>99</v>
      </c>
      <c r="P58" s="49">
        <f>AVERAGE('01.08 Ntinda-Kisaasi-24h'!P58,'03.08 Ntinda-Kisaasi-24h'!P58)</f>
        <v>166.5</v>
      </c>
      <c r="R58" s="8"/>
      <c r="T58"/>
    </row>
    <row r="59" spans="2:20" ht="23.1" customHeight="1" x14ac:dyDescent="0.25">
      <c r="B59" s="23" t="s">
        <v>100</v>
      </c>
      <c r="C59" s="49">
        <f>AVERAGE('29.07 Ntinda-Kisaasi'!C59,'30.07 Ntinda-Kisaasi'!C59,'31.07 Ntinda-Kisaasi'!C59,'02.08 Ntinda-Kisaasi'!C59,'01.08 Ntinda-Kisaasi-24h'!C59,'03.08 Ntinda-Kisaasi-24h'!C59,'04.08 Ntinda-Kisaasi'!C59)</f>
        <v>13.602497502999466</v>
      </c>
      <c r="D59" s="49">
        <f>AVERAGE('29.07 Ntinda-Kisaasi'!D59,'30.07 Ntinda-Kisaasi'!D59,'31.07 Ntinda-Kisaasi'!D59,'02.08 Ntinda-Kisaasi'!D59,'01.08 Ntinda-Kisaasi-24h'!D59,'03.08 Ntinda-Kisaasi-24h'!D59,'04.08 Ntinda-Kisaasi'!D59)</f>
        <v>6.5094368341211011</v>
      </c>
      <c r="E59" s="49">
        <f>AVERAGE('29.07 Ntinda-Kisaasi'!E59,'30.07 Ntinda-Kisaasi'!E59,'31.07 Ntinda-Kisaasi'!E59,'02.08 Ntinda-Kisaasi'!E59,'01.08 Ntinda-Kisaasi-24h'!E59,'03.08 Ntinda-Kisaasi-24h'!E59,'04.08 Ntinda-Kisaasi'!E59)</f>
        <v>1.5987390785210789</v>
      </c>
      <c r="F59" s="49">
        <f>AVERAGE('29.07 Ntinda-Kisaasi'!F59,'30.07 Ntinda-Kisaasi'!F59,'31.07 Ntinda-Kisaasi'!F59,'02.08 Ntinda-Kisaasi'!F59,'01.08 Ntinda-Kisaasi-24h'!F59,'03.08 Ntinda-Kisaasi-24h'!F59,'04.08 Ntinda-Kisaasi'!F59)</f>
        <v>3.3556665529283305</v>
      </c>
      <c r="G59" s="49">
        <f>AVERAGE('29.07 Ntinda-Kisaasi'!G59,'30.07 Ntinda-Kisaasi'!G59,'31.07 Ntinda-Kisaasi'!G59,'02.08 Ntinda-Kisaasi'!G59,'01.08 Ntinda-Kisaasi-24h'!G59,'03.08 Ntinda-Kisaasi-24h'!G59,'04.08 Ntinda-Kisaasi'!G59)</f>
        <v>1.1021370452873737E-3</v>
      </c>
      <c r="H59" s="49">
        <f>AVERAGE('29.07 Ntinda-Kisaasi'!H59,'30.07 Ntinda-Kisaasi'!H59,'31.07 Ntinda-Kisaasi'!H59,'02.08 Ntinda-Kisaasi'!H59,'01.08 Ntinda-Kisaasi-24h'!H59,'03.08 Ntinda-Kisaasi-24h'!H59,'04.08 Ntinda-Kisaasi'!H59)</f>
        <v>1.6989924352357524E-4</v>
      </c>
      <c r="I59" s="49">
        <f>AVERAGE('29.07 Ntinda-Kisaasi'!I59,'30.07 Ntinda-Kisaasi'!I59,'31.07 Ntinda-Kisaasi'!I59,'02.08 Ntinda-Kisaasi'!I59,'01.08 Ntinda-Kisaasi-24h'!I59,'03.08 Ntinda-Kisaasi-24h'!I59,'04.08 Ntinda-Kisaasi'!I59)</f>
        <v>1.3013769514291345</v>
      </c>
      <c r="J59" s="49">
        <f>AVERAGE('29.07 Ntinda-Kisaasi'!J59,'30.07 Ntinda-Kisaasi'!J59,'31.07 Ntinda-Kisaasi'!J59,'02.08 Ntinda-Kisaasi'!J59,'01.08 Ntinda-Kisaasi-24h'!J59,'03.08 Ntinda-Kisaasi-24h'!J59,'04.08 Ntinda-Kisaasi'!J59)</f>
        <v>0.57750265496705488</v>
      </c>
      <c r="K59" s="49">
        <f>AVERAGE('29.07 Ntinda-Kisaasi'!K59,'30.07 Ntinda-Kisaasi'!K59,'31.07 Ntinda-Kisaasi'!K59,'02.08 Ntinda-Kisaasi'!K59,'01.08 Ntinda-Kisaasi-24h'!K59,'03.08 Ntinda-Kisaasi-24h'!K59,'04.08 Ntinda-Kisaasi'!K59)</f>
        <v>0.43071488182876144</v>
      </c>
      <c r="L59" s="49">
        <f>AVERAGE('29.07 Ntinda-Kisaasi'!L59,'30.07 Ntinda-Kisaasi'!L59,'31.07 Ntinda-Kisaasi'!L59,'02.08 Ntinda-Kisaasi'!L59,'01.08 Ntinda-Kisaasi-24h'!L59,'03.08 Ntinda-Kisaasi-24h'!L59,'04.08 Ntinda-Kisaasi'!L59)</f>
        <v>0.29256366375985532</v>
      </c>
      <c r="M59" s="49">
        <f>AVERAGE('29.07 Ntinda-Kisaasi'!M59,'30.07 Ntinda-Kisaasi'!M59,'31.07 Ntinda-Kisaasi'!M59,'02.08 Ntinda-Kisaasi'!M59,'01.08 Ntinda-Kisaasi-24h'!M59,'03.08 Ntinda-Kisaasi-24h'!M59,'04.08 Ntinda-Kisaasi'!M59)</f>
        <v>21.044464251924733</v>
      </c>
      <c r="N59" s="49">
        <f>AVERAGE('29.07 Ntinda-Kisaasi'!N59,'30.07 Ntinda-Kisaasi'!N59,'31.07 Ntinda-Kisaasi'!N59,'02.08 Ntinda-Kisaasi'!N59,'01.08 Ntinda-Kisaasi-24h'!N59,'03.08 Ntinda-Kisaasi-24h'!N59,'04.08 Ntinda-Kisaasi'!N59)</f>
        <v>5.1305517389039846E-5</v>
      </c>
      <c r="O59" s="49">
        <f>AVERAGE('29.07 Ntinda-Kisaasi'!O59,'30.07 Ntinda-Kisaasi'!O59,'31.07 Ntinda-Kisaasi'!O59,'02.08 Ntinda-Kisaasi'!O59,'01.08 Ntinda-Kisaasi-24h'!O59,'03.08 Ntinda-Kisaasi-24h'!O59,'04.08 Ntinda-Kisaasi'!O59)</f>
        <v>95.5</v>
      </c>
      <c r="P59" s="49">
        <f>AVERAGE('29.07 Ntinda-Kisaasi'!P59,'30.07 Ntinda-Kisaasi'!P59,'31.07 Ntinda-Kisaasi'!P59,'02.08 Ntinda-Kisaasi'!P59,'01.08 Ntinda-Kisaasi-24h'!P59,'03.08 Ntinda-Kisaasi-24h'!P59,'04.08 Ntinda-Kisaasi'!P59)</f>
        <v>168</v>
      </c>
      <c r="R59" s="8"/>
      <c r="T59"/>
    </row>
    <row r="60" spans="2:20" ht="23.1" customHeight="1" x14ac:dyDescent="0.25">
      <c r="B60" s="23" t="s">
        <v>101</v>
      </c>
      <c r="C60" s="49">
        <f>AVERAGE('29.07 Ntinda-Kisaasi'!C60,'30.07 Ntinda-Kisaasi'!C60,'31.07 Ntinda-Kisaasi'!C60,'02.08 Ntinda-Kisaasi'!C60,'01.08 Ntinda-Kisaasi-24h'!C60,'03.08 Ntinda-Kisaasi-24h'!C60,'04.08 Ntinda-Kisaasi'!C60)</f>
        <v>11.466531648947372</v>
      </c>
      <c r="D60" s="49">
        <f>AVERAGE('29.07 Ntinda-Kisaasi'!D60,'30.07 Ntinda-Kisaasi'!D60,'31.07 Ntinda-Kisaasi'!D60,'02.08 Ntinda-Kisaasi'!D60,'01.08 Ntinda-Kisaasi-24h'!D60,'03.08 Ntinda-Kisaasi-24h'!D60,'04.08 Ntinda-Kisaasi'!D60)</f>
        <v>5.5793082633304261</v>
      </c>
      <c r="E60" s="49">
        <f>AVERAGE('29.07 Ntinda-Kisaasi'!E60,'30.07 Ntinda-Kisaasi'!E60,'31.07 Ntinda-Kisaasi'!E60,'02.08 Ntinda-Kisaasi'!E60,'01.08 Ntinda-Kisaasi-24h'!E60,'03.08 Ntinda-Kisaasi-24h'!E60,'04.08 Ntinda-Kisaasi'!E60)</f>
        <v>2.3364063952710352</v>
      </c>
      <c r="F60" s="49">
        <f>AVERAGE('29.07 Ntinda-Kisaasi'!F60,'30.07 Ntinda-Kisaasi'!F60,'31.07 Ntinda-Kisaasi'!F60,'02.08 Ntinda-Kisaasi'!F60,'01.08 Ntinda-Kisaasi-24h'!F60,'03.08 Ntinda-Kisaasi-24h'!F60,'04.08 Ntinda-Kisaasi'!F60)</f>
        <v>3.986932976993216</v>
      </c>
      <c r="G60" s="49">
        <f>AVERAGE('29.07 Ntinda-Kisaasi'!G60,'30.07 Ntinda-Kisaasi'!G60,'31.07 Ntinda-Kisaasi'!G60,'02.08 Ntinda-Kisaasi'!G60,'01.08 Ntinda-Kisaasi-24h'!G60,'03.08 Ntinda-Kisaasi-24h'!G60,'04.08 Ntinda-Kisaasi'!G60)</f>
        <v>2.038434554347619E-3</v>
      </c>
      <c r="H60" s="49">
        <f>AVERAGE('29.07 Ntinda-Kisaasi'!H60,'30.07 Ntinda-Kisaasi'!H60,'31.07 Ntinda-Kisaasi'!H60,'02.08 Ntinda-Kisaasi'!H60,'01.08 Ntinda-Kisaasi-24h'!H60,'03.08 Ntinda-Kisaasi-24h'!H60,'04.08 Ntinda-Kisaasi'!H60)</f>
        <v>3.124769912953956E-4</v>
      </c>
      <c r="I60" s="49">
        <f>AVERAGE('29.07 Ntinda-Kisaasi'!I60,'30.07 Ntinda-Kisaasi'!I60,'31.07 Ntinda-Kisaasi'!I60,'02.08 Ntinda-Kisaasi'!I60,'01.08 Ntinda-Kisaasi-24h'!I60,'03.08 Ntinda-Kisaasi-24h'!I60,'04.08 Ntinda-Kisaasi'!I60)</f>
        <v>0.45764942469466552</v>
      </c>
      <c r="J60" s="49">
        <f>AVERAGE('29.07 Ntinda-Kisaasi'!J60,'30.07 Ntinda-Kisaasi'!J60,'31.07 Ntinda-Kisaasi'!J60,'02.08 Ntinda-Kisaasi'!J60,'01.08 Ntinda-Kisaasi-24h'!J60,'03.08 Ntinda-Kisaasi-24h'!J60,'04.08 Ntinda-Kisaasi'!J60)</f>
        <v>0.58269895402877658</v>
      </c>
      <c r="K60" s="49">
        <f>AVERAGE('29.07 Ntinda-Kisaasi'!K60,'30.07 Ntinda-Kisaasi'!K60,'31.07 Ntinda-Kisaasi'!K60,'02.08 Ntinda-Kisaasi'!K60,'01.08 Ntinda-Kisaasi-24h'!K60,'03.08 Ntinda-Kisaasi-24h'!K60,'04.08 Ntinda-Kisaasi'!K60)</f>
        <v>0.28968835062110282</v>
      </c>
      <c r="L60" s="49">
        <f>AVERAGE('29.07 Ntinda-Kisaasi'!L60,'30.07 Ntinda-Kisaasi'!L60,'31.07 Ntinda-Kisaasi'!L60,'02.08 Ntinda-Kisaasi'!L60,'01.08 Ntinda-Kisaasi-24h'!L60,'03.08 Ntinda-Kisaasi-24h'!L60,'04.08 Ntinda-Kisaasi'!L60)</f>
        <v>0.15547808792135492</v>
      </c>
      <c r="M60" s="49">
        <f>AVERAGE('29.07 Ntinda-Kisaasi'!M60,'30.07 Ntinda-Kisaasi'!M60,'31.07 Ntinda-Kisaasi'!M60,'02.08 Ntinda-Kisaasi'!M60,'01.08 Ntinda-Kisaasi-24h'!M60,'03.08 Ntinda-Kisaasi-24h'!M60,'04.08 Ntinda-Kisaasi'!M60)</f>
        <v>90.5</v>
      </c>
      <c r="N60" s="49">
        <f>AVERAGE('29.07 Ntinda-Kisaasi'!N60,'30.07 Ntinda-Kisaasi'!N60,'31.07 Ntinda-Kisaasi'!N60,'02.08 Ntinda-Kisaasi'!N60,'01.08 Ntinda-Kisaasi-24h'!N60,'03.08 Ntinda-Kisaasi-24h'!N60,'04.08 Ntinda-Kisaasi'!N60)</f>
        <v>9.7843789264120916E-5</v>
      </c>
      <c r="O60" s="49">
        <f>AVERAGE('29.07 Ntinda-Kisaasi'!O60,'30.07 Ntinda-Kisaasi'!O60,'31.07 Ntinda-Kisaasi'!O60,'02.08 Ntinda-Kisaasi'!O60,'01.08 Ntinda-Kisaasi-24h'!O60,'03.08 Ntinda-Kisaasi-24h'!O60,'04.08 Ntinda-Kisaasi'!O60)</f>
        <v>84.5</v>
      </c>
      <c r="P60" s="49">
        <f>AVERAGE('29.07 Ntinda-Kisaasi'!P60,'30.07 Ntinda-Kisaasi'!P60,'31.07 Ntinda-Kisaasi'!P60,'02.08 Ntinda-Kisaasi'!P60,'01.08 Ntinda-Kisaasi-24h'!P60,'03.08 Ntinda-Kisaasi-24h'!P60,'04.08 Ntinda-Kisaasi'!P60)</f>
        <v>175</v>
      </c>
      <c r="R60" s="8"/>
      <c r="T60"/>
    </row>
    <row r="61" spans="2:20" ht="23.1" customHeight="1" x14ac:dyDescent="0.25">
      <c r="B61" s="23" t="s">
        <v>102</v>
      </c>
      <c r="C61" s="49">
        <f>AVERAGE('29.07 Ntinda-Kisaasi'!C61,'30.07 Ntinda-Kisaasi'!C61,'31.07 Ntinda-Kisaasi'!C61,'02.08 Ntinda-Kisaasi'!C61,'01.08 Ntinda-Kisaasi-24h'!C61,'03.08 Ntinda-Kisaasi-24h'!C61,'04.08 Ntinda-Kisaasi'!C61)</f>
        <v>49.5</v>
      </c>
      <c r="D61" s="49">
        <f>AVERAGE('29.07 Ntinda-Kisaasi'!D61,'30.07 Ntinda-Kisaasi'!D61,'31.07 Ntinda-Kisaasi'!D61,'02.08 Ntinda-Kisaasi'!D61,'01.08 Ntinda-Kisaasi-24h'!D61,'03.08 Ntinda-Kisaasi-24h'!D61,'04.08 Ntinda-Kisaasi'!D61)</f>
        <v>27.5</v>
      </c>
      <c r="E61" s="49">
        <f>AVERAGE('29.07 Ntinda-Kisaasi'!E61,'30.07 Ntinda-Kisaasi'!E61,'31.07 Ntinda-Kisaasi'!E61,'02.08 Ntinda-Kisaasi'!E61,'01.08 Ntinda-Kisaasi-24h'!E61,'03.08 Ntinda-Kisaasi-24h'!E61,'04.08 Ntinda-Kisaasi'!E61)</f>
        <v>8</v>
      </c>
      <c r="F61" s="49">
        <f>AVERAGE('29.07 Ntinda-Kisaasi'!F61,'30.07 Ntinda-Kisaasi'!F61,'31.07 Ntinda-Kisaasi'!F61,'02.08 Ntinda-Kisaasi'!F61,'01.08 Ntinda-Kisaasi-24h'!F61,'03.08 Ntinda-Kisaasi-24h'!F61,'04.08 Ntinda-Kisaasi'!F61)</f>
        <v>20.5</v>
      </c>
      <c r="G61" s="49">
        <f>AVERAGE('29.07 Ntinda-Kisaasi'!G61,'30.07 Ntinda-Kisaasi'!G61,'31.07 Ntinda-Kisaasi'!G61,'02.08 Ntinda-Kisaasi'!G61,'01.08 Ntinda-Kisaasi-24h'!G61,'03.08 Ntinda-Kisaasi-24h'!G61,'04.08 Ntinda-Kisaasi'!G61)</f>
        <v>0</v>
      </c>
      <c r="H61" s="49">
        <f>AVERAGE('29.07 Ntinda-Kisaasi'!H61,'30.07 Ntinda-Kisaasi'!H61,'31.07 Ntinda-Kisaasi'!H61,'02.08 Ntinda-Kisaasi'!H61,'01.08 Ntinda-Kisaasi-24h'!H61,'03.08 Ntinda-Kisaasi-24h'!H61,'04.08 Ntinda-Kisaasi'!H61)</f>
        <v>0</v>
      </c>
      <c r="I61" s="49">
        <f>AVERAGE('29.07 Ntinda-Kisaasi'!I61,'30.07 Ntinda-Kisaasi'!I61,'31.07 Ntinda-Kisaasi'!I61,'02.08 Ntinda-Kisaasi'!I61,'01.08 Ntinda-Kisaasi-24h'!I61,'03.08 Ntinda-Kisaasi-24h'!I61,'04.08 Ntinda-Kisaasi'!I61)</f>
        <v>2</v>
      </c>
      <c r="J61" s="49">
        <f>AVERAGE('29.07 Ntinda-Kisaasi'!J61,'30.07 Ntinda-Kisaasi'!J61,'31.07 Ntinda-Kisaasi'!J61,'02.08 Ntinda-Kisaasi'!J61,'01.08 Ntinda-Kisaasi-24h'!J61,'03.08 Ntinda-Kisaasi-24h'!J61,'04.08 Ntinda-Kisaasi'!J61)</f>
        <v>5.5</v>
      </c>
      <c r="K61" s="49">
        <f>AVERAGE('29.07 Ntinda-Kisaasi'!K61,'30.07 Ntinda-Kisaasi'!K61,'31.07 Ntinda-Kisaasi'!K61,'02.08 Ntinda-Kisaasi'!K61,'01.08 Ntinda-Kisaasi-24h'!K61,'03.08 Ntinda-Kisaasi-24h'!K61,'04.08 Ntinda-Kisaasi'!K61)</f>
        <v>0.5</v>
      </c>
      <c r="L61" s="49">
        <f>AVERAGE('29.07 Ntinda-Kisaasi'!L61,'30.07 Ntinda-Kisaasi'!L61,'31.07 Ntinda-Kisaasi'!L61,'02.08 Ntinda-Kisaasi'!L61,'01.08 Ntinda-Kisaasi-24h'!L61,'03.08 Ntinda-Kisaasi-24h'!L61,'04.08 Ntinda-Kisaasi'!L61)</f>
        <v>0.5</v>
      </c>
      <c r="M61" s="49">
        <f>AVERAGE('29.07 Ntinda-Kisaasi'!M61,'30.07 Ntinda-Kisaasi'!M61,'31.07 Ntinda-Kisaasi'!M61,'02.08 Ntinda-Kisaasi'!M61,'01.08 Ntinda-Kisaasi-24h'!M61,'03.08 Ntinda-Kisaasi-24h'!M61,'04.08 Ntinda-Kisaasi'!M61)</f>
        <v>89.5</v>
      </c>
      <c r="N61" s="49">
        <f>AVERAGE('29.07 Ntinda-Kisaasi'!N61,'30.07 Ntinda-Kisaasi'!N61,'31.07 Ntinda-Kisaasi'!N61,'02.08 Ntinda-Kisaasi'!N61,'01.08 Ntinda-Kisaasi-24h'!N61,'03.08 Ntinda-Kisaasi-24h'!N61,'04.08 Ntinda-Kisaasi'!N61)</f>
        <v>0</v>
      </c>
      <c r="O61" s="49">
        <f>AVERAGE('29.07 Ntinda-Kisaasi'!O61,'30.07 Ntinda-Kisaasi'!O61,'31.07 Ntinda-Kisaasi'!O61,'02.08 Ntinda-Kisaasi'!O61,'01.08 Ntinda-Kisaasi-24h'!O61,'03.08 Ntinda-Kisaasi-24h'!O61,'04.08 Ntinda-Kisaasi'!O61)</f>
        <v>114</v>
      </c>
      <c r="P61" s="49">
        <f>AVERAGE('29.07 Ntinda-Kisaasi'!P61,'30.07 Ntinda-Kisaasi'!P61,'31.07 Ntinda-Kisaasi'!P61,'02.08 Ntinda-Kisaasi'!P61,'01.08 Ntinda-Kisaasi-24h'!P61,'03.08 Ntinda-Kisaasi-24h'!P61,'04.08 Ntinda-Kisaasi'!P61)</f>
        <v>203.5</v>
      </c>
      <c r="R61" s="8"/>
      <c r="T61"/>
    </row>
    <row r="62" spans="2:20" ht="23.1" customHeight="1" x14ac:dyDescent="0.25">
      <c r="B62" s="23" t="s">
        <v>107</v>
      </c>
      <c r="C62" s="49">
        <f>AVERAGE('29.07 Ntinda-Kisaasi'!C62,'30.07 Ntinda-Kisaasi'!C62,'31.07 Ntinda-Kisaasi'!C62,'02.08 Ntinda-Kisaasi'!C62,'01.08 Ntinda-Kisaasi-24h'!C62,'03.08 Ntinda-Kisaasi-24h'!C62,'04.08 Ntinda-Kisaasi'!C62)</f>
        <v>31</v>
      </c>
      <c r="D62" s="49">
        <f>AVERAGE('29.07 Ntinda-Kisaasi'!D62,'30.07 Ntinda-Kisaasi'!D62,'31.07 Ntinda-Kisaasi'!D62,'02.08 Ntinda-Kisaasi'!D62,'01.08 Ntinda-Kisaasi-24h'!D62,'03.08 Ntinda-Kisaasi-24h'!D62,'04.08 Ntinda-Kisaasi'!D62)</f>
        <v>15</v>
      </c>
      <c r="E62" s="49">
        <f>AVERAGE('29.07 Ntinda-Kisaasi'!E62,'30.07 Ntinda-Kisaasi'!E62,'31.07 Ntinda-Kisaasi'!E62,'02.08 Ntinda-Kisaasi'!E62,'01.08 Ntinda-Kisaasi-24h'!E62,'03.08 Ntinda-Kisaasi-24h'!E62,'04.08 Ntinda-Kisaasi'!E62)</f>
        <v>3.5</v>
      </c>
      <c r="F62" s="49">
        <f>AVERAGE('29.07 Ntinda-Kisaasi'!F62,'30.07 Ntinda-Kisaasi'!F62,'31.07 Ntinda-Kisaasi'!F62,'02.08 Ntinda-Kisaasi'!F62,'01.08 Ntinda-Kisaasi-24h'!F62,'03.08 Ntinda-Kisaasi-24h'!F62,'04.08 Ntinda-Kisaasi'!F62)</f>
        <v>14</v>
      </c>
      <c r="G62" s="49">
        <f>AVERAGE('29.07 Ntinda-Kisaasi'!G62,'30.07 Ntinda-Kisaasi'!G62,'31.07 Ntinda-Kisaasi'!G62,'02.08 Ntinda-Kisaasi'!G62,'01.08 Ntinda-Kisaasi-24h'!G62,'03.08 Ntinda-Kisaasi-24h'!G62,'04.08 Ntinda-Kisaasi'!G62)</f>
        <v>0</v>
      </c>
      <c r="H62" s="49">
        <f>AVERAGE('29.07 Ntinda-Kisaasi'!H62,'30.07 Ntinda-Kisaasi'!H62,'31.07 Ntinda-Kisaasi'!H62,'02.08 Ntinda-Kisaasi'!H62,'01.08 Ntinda-Kisaasi-24h'!H62,'03.08 Ntinda-Kisaasi-24h'!H62,'04.08 Ntinda-Kisaasi'!H62)</f>
        <v>0</v>
      </c>
      <c r="I62" s="49">
        <f>AVERAGE('29.07 Ntinda-Kisaasi'!I62,'30.07 Ntinda-Kisaasi'!I62,'31.07 Ntinda-Kisaasi'!I62,'02.08 Ntinda-Kisaasi'!I62,'01.08 Ntinda-Kisaasi-24h'!I62,'03.08 Ntinda-Kisaasi-24h'!I62,'04.08 Ntinda-Kisaasi'!I62)</f>
        <v>0.5</v>
      </c>
      <c r="J62" s="49">
        <f>AVERAGE('29.07 Ntinda-Kisaasi'!J62,'30.07 Ntinda-Kisaasi'!J62,'31.07 Ntinda-Kisaasi'!J62,'02.08 Ntinda-Kisaasi'!J62,'01.08 Ntinda-Kisaasi-24h'!J62,'03.08 Ntinda-Kisaasi-24h'!J62,'04.08 Ntinda-Kisaasi'!J62)</f>
        <v>0.5</v>
      </c>
      <c r="K62" s="49">
        <f>AVERAGE('29.07 Ntinda-Kisaasi'!K62,'30.07 Ntinda-Kisaasi'!K62,'31.07 Ntinda-Kisaasi'!K62,'02.08 Ntinda-Kisaasi'!K62,'01.08 Ntinda-Kisaasi-24h'!K62,'03.08 Ntinda-Kisaasi-24h'!K62,'04.08 Ntinda-Kisaasi'!K62)</f>
        <v>0</v>
      </c>
      <c r="L62" s="49">
        <f>AVERAGE('29.07 Ntinda-Kisaasi'!L62,'30.07 Ntinda-Kisaasi'!L62,'31.07 Ntinda-Kisaasi'!L62,'02.08 Ntinda-Kisaasi'!L62,'01.08 Ntinda-Kisaasi-24h'!L62,'03.08 Ntinda-Kisaasi-24h'!L62,'04.08 Ntinda-Kisaasi'!L62)</f>
        <v>0</v>
      </c>
      <c r="M62" s="49">
        <f>AVERAGE('29.07 Ntinda-Kisaasi'!M62,'30.07 Ntinda-Kisaasi'!M62,'31.07 Ntinda-Kisaasi'!M62,'02.08 Ntinda-Kisaasi'!M62,'01.08 Ntinda-Kisaasi-24h'!M62,'03.08 Ntinda-Kisaasi-24h'!M62,'04.08 Ntinda-Kisaasi'!M62)</f>
        <v>87.5</v>
      </c>
      <c r="N62" s="49">
        <f>AVERAGE('29.07 Ntinda-Kisaasi'!N62,'30.07 Ntinda-Kisaasi'!N62,'31.07 Ntinda-Kisaasi'!N62,'02.08 Ntinda-Kisaasi'!N62,'01.08 Ntinda-Kisaasi-24h'!N62,'03.08 Ntinda-Kisaasi-24h'!N62,'04.08 Ntinda-Kisaasi'!N62)</f>
        <v>0</v>
      </c>
      <c r="O62" s="49">
        <f>AVERAGE('29.07 Ntinda-Kisaasi'!O62,'30.07 Ntinda-Kisaasi'!O62,'31.07 Ntinda-Kisaasi'!O62,'02.08 Ntinda-Kisaasi'!O62,'01.08 Ntinda-Kisaasi-24h'!O62,'03.08 Ntinda-Kisaasi-24h'!O62,'04.08 Ntinda-Kisaasi'!O62)</f>
        <v>64.5</v>
      </c>
      <c r="P62" s="49">
        <f>AVERAGE('29.07 Ntinda-Kisaasi'!P62,'30.07 Ntinda-Kisaasi'!P62,'31.07 Ntinda-Kisaasi'!P62,'02.08 Ntinda-Kisaasi'!P62,'01.08 Ntinda-Kisaasi-24h'!P62,'03.08 Ntinda-Kisaasi-24h'!P62,'04.08 Ntinda-Kisaasi'!P62)</f>
        <v>152</v>
      </c>
      <c r="R62" s="8"/>
      <c r="T62"/>
    </row>
    <row r="63" spans="2:20" ht="23.1" customHeight="1" x14ac:dyDescent="0.25">
      <c r="B63" s="23" t="s">
        <v>108</v>
      </c>
      <c r="C63" s="49">
        <f>AVERAGE('29.07 Ntinda-Kisaasi'!C63,'30.07 Ntinda-Kisaasi'!C63,'31.07 Ntinda-Kisaasi'!C63,'02.08 Ntinda-Kisaasi'!C63,'01.08 Ntinda-Kisaasi-24h'!C63,'03.08 Ntinda-Kisaasi-24h'!C63,'04.08 Ntinda-Kisaasi'!C63)</f>
        <v>44</v>
      </c>
      <c r="D63" s="49">
        <f>AVERAGE('29.07 Ntinda-Kisaasi'!D63,'30.07 Ntinda-Kisaasi'!D63,'31.07 Ntinda-Kisaasi'!D63,'02.08 Ntinda-Kisaasi'!D63,'01.08 Ntinda-Kisaasi-24h'!D63,'03.08 Ntinda-Kisaasi-24h'!D63,'04.08 Ntinda-Kisaasi'!D63)</f>
        <v>25</v>
      </c>
      <c r="E63" s="49">
        <f>AVERAGE('29.07 Ntinda-Kisaasi'!E63,'30.07 Ntinda-Kisaasi'!E63,'31.07 Ntinda-Kisaasi'!E63,'02.08 Ntinda-Kisaasi'!E63,'01.08 Ntinda-Kisaasi-24h'!E63,'03.08 Ntinda-Kisaasi-24h'!E63,'04.08 Ntinda-Kisaasi'!E63)</f>
        <v>1.5</v>
      </c>
      <c r="F63" s="49">
        <f>AVERAGE('29.07 Ntinda-Kisaasi'!F63,'30.07 Ntinda-Kisaasi'!F63,'31.07 Ntinda-Kisaasi'!F63,'02.08 Ntinda-Kisaasi'!F63,'01.08 Ntinda-Kisaasi-24h'!F63,'03.08 Ntinda-Kisaasi-24h'!F63,'04.08 Ntinda-Kisaasi'!F63)</f>
        <v>16</v>
      </c>
      <c r="G63" s="49">
        <f>AVERAGE('29.07 Ntinda-Kisaasi'!G63,'30.07 Ntinda-Kisaasi'!G63,'31.07 Ntinda-Kisaasi'!G63,'02.08 Ntinda-Kisaasi'!G63,'01.08 Ntinda-Kisaasi-24h'!G63,'03.08 Ntinda-Kisaasi-24h'!G63,'04.08 Ntinda-Kisaasi'!G63)</f>
        <v>0</v>
      </c>
      <c r="H63" s="49">
        <f>AVERAGE('29.07 Ntinda-Kisaasi'!H63,'30.07 Ntinda-Kisaasi'!H63,'31.07 Ntinda-Kisaasi'!H63,'02.08 Ntinda-Kisaasi'!H63,'01.08 Ntinda-Kisaasi-24h'!H63,'03.08 Ntinda-Kisaasi-24h'!H63,'04.08 Ntinda-Kisaasi'!H63)</f>
        <v>0</v>
      </c>
      <c r="I63" s="49">
        <f>AVERAGE('29.07 Ntinda-Kisaasi'!I63,'30.07 Ntinda-Kisaasi'!I63,'31.07 Ntinda-Kisaasi'!I63,'02.08 Ntinda-Kisaasi'!I63,'01.08 Ntinda-Kisaasi-24h'!I63,'03.08 Ntinda-Kisaasi-24h'!I63,'04.08 Ntinda-Kisaasi'!I63)</f>
        <v>2</v>
      </c>
      <c r="J63" s="49">
        <f>AVERAGE('29.07 Ntinda-Kisaasi'!J63,'30.07 Ntinda-Kisaasi'!J63,'31.07 Ntinda-Kisaasi'!J63,'02.08 Ntinda-Kisaasi'!J63,'01.08 Ntinda-Kisaasi-24h'!J63,'03.08 Ntinda-Kisaasi-24h'!J63,'04.08 Ntinda-Kisaasi'!J63)</f>
        <v>0</v>
      </c>
      <c r="K63" s="49">
        <f>AVERAGE('29.07 Ntinda-Kisaasi'!K63,'30.07 Ntinda-Kisaasi'!K63,'31.07 Ntinda-Kisaasi'!K63,'02.08 Ntinda-Kisaasi'!K63,'01.08 Ntinda-Kisaasi-24h'!K63,'03.08 Ntinda-Kisaasi-24h'!K63,'04.08 Ntinda-Kisaasi'!K63)</f>
        <v>0.5</v>
      </c>
      <c r="L63" s="49">
        <f>AVERAGE('29.07 Ntinda-Kisaasi'!L63,'30.07 Ntinda-Kisaasi'!L63,'31.07 Ntinda-Kisaasi'!L63,'02.08 Ntinda-Kisaasi'!L63,'01.08 Ntinda-Kisaasi-24h'!L63,'03.08 Ntinda-Kisaasi-24h'!L63,'04.08 Ntinda-Kisaasi'!L63)</f>
        <v>1</v>
      </c>
      <c r="M63" s="49">
        <f>AVERAGE('29.07 Ntinda-Kisaasi'!M63,'30.07 Ntinda-Kisaasi'!M63,'31.07 Ntinda-Kisaasi'!M63,'02.08 Ntinda-Kisaasi'!M63,'01.08 Ntinda-Kisaasi-24h'!M63,'03.08 Ntinda-Kisaasi-24h'!M63,'04.08 Ntinda-Kisaasi'!M63)</f>
        <v>70</v>
      </c>
      <c r="N63" s="49">
        <f>AVERAGE('29.07 Ntinda-Kisaasi'!N63,'30.07 Ntinda-Kisaasi'!N63,'31.07 Ntinda-Kisaasi'!N63,'02.08 Ntinda-Kisaasi'!N63,'01.08 Ntinda-Kisaasi-24h'!N63,'03.08 Ntinda-Kisaasi-24h'!N63,'04.08 Ntinda-Kisaasi'!N63)</f>
        <v>0</v>
      </c>
      <c r="O63" s="49">
        <f>AVERAGE('29.07 Ntinda-Kisaasi'!O63,'30.07 Ntinda-Kisaasi'!O63,'31.07 Ntinda-Kisaasi'!O63,'02.08 Ntinda-Kisaasi'!O63,'01.08 Ntinda-Kisaasi-24h'!O63,'03.08 Ntinda-Kisaasi-24h'!O63,'04.08 Ntinda-Kisaasi'!O63)</f>
        <v>90</v>
      </c>
      <c r="P63" s="49">
        <f>AVERAGE('29.07 Ntinda-Kisaasi'!P63,'30.07 Ntinda-Kisaasi'!P63,'31.07 Ntinda-Kisaasi'!P63,'02.08 Ntinda-Kisaasi'!P63,'01.08 Ntinda-Kisaasi-24h'!P63,'03.08 Ntinda-Kisaasi-24h'!P63,'04.08 Ntinda-Kisaasi'!P63)</f>
        <v>160</v>
      </c>
      <c r="R63" s="8"/>
      <c r="T63"/>
    </row>
    <row r="64" spans="2:20" ht="23.1" customHeight="1" x14ac:dyDescent="0.25">
      <c r="B64" s="23" t="s">
        <v>109</v>
      </c>
      <c r="C64" s="49">
        <f>AVERAGE('29.07 Ntinda-Kisaasi'!C64,'30.07 Ntinda-Kisaasi'!C64,'31.07 Ntinda-Kisaasi'!C64,'02.08 Ntinda-Kisaasi'!C64,'01.08 Ntinda-Kisaasi-24h'!C64,'03.08 Ntinda-Kisaasi-24h'!C64,'04.08 Ntinda-Kisaasi'!C64)</f>
        <v>47</v>
      </c>
      <c r="D64" s="49">
        <f>AVERAGE('29.07 Ntinda-Kisaasi'!D64,'30.07 Ntinda-Kisaasi'!D64,'31.07 Ntinda-Kisaasi'!D64,'02.08 Ntinda-Kisaasi'!D64,'01.08 Ntinda-Kisaasi-24h'!D64,'03.08 Ntinda-Kisaasi-24h'!D64,'04.08 Ntinda-Kisaasi'!D64)</f>
        <v>33</v>
      </c>
      <c r="E64" s="49">
        <f>AVERAGE('29.07 Ntinda-Kisaasi'!E64,'30.07 Ntinda-Kisaasi'!E64,'31.07 Ntinda-Kisaasi'!E64,'02.08 Ntinda-Kisaasi'!E64,'01.08 Ntinda-Kisaasi-24h'!E64,'03.08 Ntinda-Kisaasi-24h'!E64,'04.08 Ntinda-Kisaasi'!E64)</f>
        <v>3.5</v>
      </c>
      <c r="F64" s="49">
        <f>AVERAGE('29.07 Ntinda-Kisaasi'!F64,'30.07 Ntinda-Kisaasi'!F64,'31.07 Ntinda-Kisaasi'!F64,'02.08 Ntinda-Kisaasi'!F64,'01.08 Ntinda-Kisaasi-24h'!F64,'03.08 Ntinda-Kisaasi-24h'!F64,'04.08 Ntinda-Kisaasi'!F64)</f>
        <v>15.5</v>
      </c>
      <c r="G64" s="49">
        <f>AVERAGE('29.07 Ntinda-Kisaasi'!G64,'30.07 Ntinda-Kisaasi'!G64,'31.07 Ntinda-Kisaasi'!G64,'02.08 Ntinda-Kisaasi'!G64,'01.08 Ntinda-Kisaasi-24h'!G64,'03.08 Ntinda-Kisaasi-24h'!G64,'04.08 Ntinda-Kisaasi'!G64)</f>
        <v>0</v>
      </c>
      <c r="H64" s="49">
        <f>AVERAGE('29.07 Ntinda-Kisaasi'!H64,'30.07 Ntinda-Kisaasi'!H64,'31.07 Ntinda-Kisaasi'!H64,'02.08 Ntinda-Kisaasi'!H64,'01.08 Ntinda-Kisaasi-24h'!H64,'03.08 Ntinda-Kisaasi-24h'!H64,'04.08 Ntinda-Kisaasi'!H64)</f>
        <v>0</v>
      </c>
      <c r="I64" s="49">
        <f>AVERAGE('29.07 Ntinda-Kisaasi'!I64,'30.07 Ntinda-Kisaasi'!I64,'31.07 Ntinda-Kisaasi'!I64,'02.08 Ntinda-Kisaasi'!I64,'01.08 Ntinda-Kisaasi-24h'!I64,'03.08 Ntinda-Kisaasi-24h'!I64,'04.08 Ntinda-Kisaasi'!I64)</f>
        <v>1.5</v>
      </c>
      <c r="J64" s="49">
        <f>AVERAGE('29.07 Ntinda-Kisaasi'!J64,'30.07 Ntinda-Kisaasi'!J64,'31.07 Ntinda-Kisaasi'!J64,'02.08 Ntinda-Kisaasi'!J64,'01.08 Ntinda-Kisaasi-24h'!J64,'03.08 Ntinda-Kisaasi-24h'!J64,'04.08 Ntinda-Kisaasi'!J64)</f>
        <v>0</v>
      </c>
      <c r="K64" s="49">
        <f>AVERAGE('29.07 Ntinda-Kisaasi'!K64,'30.07 Ntinda-Kisaasi'!K64,'31.07 Ntinda-Kisaasi'!K64,'02.08 Ntinda-Kisaasi'!K64,'01.08 Ntinda-Kisaasi-24h'!K64,'03.08 Ntinda-Kisaasi-24h'!K64,'04.08 Ntinda-Kisaasi'!K64)</f>
        <v>0</v>
      </c>
      <c r="L64" s="49">
        <f>AVERAGE('29.07 Ntinda-Kisaasi'!L64,'30.07 Ntinda-Kisaasi'!L64,'31.07 Ntinda-Kisaasi'!L64,'02.08 Ntinda-Kisaasi'!L64,'01.08 Ntinda-Kisaasi-24h'!L64,'03.08 Ntinda-Kisaasi-24h'!L64,'04.08 Ntinda-Kisaasi'!L64)</f>
        <v>0</v>
      </c>
      <c r="M64" s="49">
        <f>AVERAGE('29.07 Ntinda-Kisaasi'!M64,'30.07 Ntinda-Kisaasi'!M64,'31.07 Ntinda-Kisaasi'!M64,'02.08 Ntinda-Kisaasi'!M64,'01.08 Ntinda-Kisaasi-24h'!M64,'03.08 Ntinda-Kisaasi-24h'!M64,'04.08 Ntinda-Kisaasi'!M64)</f>
        <v>60</v>
      </c>
      <c r="N64" s="49">
        <f>AVERAGE('29.07 Ntinda-Kisaasi'!N64,'30.07 Ntinda-Kisaasi'!N64,'31.07 Ntinda-Kisaasi'!N64,'02.08 Ntinda-Kisaasi'!N64,'01.08 Ntinda-Kisaasi-24h'!N64,'03.08 Ntinda-Kisaasi-24h'!N64,'04.08 Ntinda-Kisaasi'!N64)</f>
        <v>0</v>
      </c>
      <c r="O64" s="49">
        <f>AVERAGE('29.07 Ntinda-Kisaasi'!O64,'30.07 Ntinda-Kisaasi'!O64,'31.07 Ntinda-Kisaasi'!O64,'02.08 Ntinda-Kisaasi'!O64,'01.08 Ntinda-Kisaasi-24h'!O64,'03.08 Ntinda-Kisaasi-24h'!O64,'04.08 Ntinda-Kisaasi'!O64)</f>
        <v>100.5</v>
      </c>
      <c r="P64" s="49">
        <f>AVERAGE('29.07 Ntinda-Kisaasi'!P64,'30.07 Ntinda-Kisaasi'!P64,'31.07 Ntinda-Kisaasi'!P64,'02.08 Ntinda-Kisaasi'!P64,'01.08 Ntinda-Kisaasi-24h'!P64,'03.08 Ntinda-Kisaasi-24h'!P64,'04.08 Ntinda-Kisaasi'!P64)</f>
        <v>160.5</v>
      </c>
      <c r="R64" s="8"/>
      <c r="T64"/>
    </row>
    <row r="65" spans="2:20" ht="23.1" customHeight="1" x14ac:dyDescent="0.25">
      <c r="B65" s="23" t="s">
        <v>158</v>
      </c>
      <c r="C65" s="49">
        <f>AVERAGE('29.07 Ntinda-Kisaasi'!C65,'30.07 Ntinda-Kisaasi'!C65,'31.07 Ntinda-Kisaasi'!C65,'02.08 Ntinda-Kisaasi'!C65,'01.08 Ntinda-Kisaasi-24h'!C65,'03.08 Ntinda-Kisaasi-24h'!C65,'04.08 Ntinda-Kisaasi'!C65)</f>
        <v>36.5</v>
      </c>
      <c r="D65" s="49">
        <f>AVERAGE('29.07 Ntinda-Kisaasi'!D65,'30.07 Ntinda-Kisaasi'!D65,'31.07 Ntinda-Kisaasi'!D65,'02.08 Ntinda-Kisaasi'!D65,'01.08 Ntinda-Kisaasi-24h'!D65,'03.08 Ntinda-Kisaasi-24h'!D65,'04.08 Ntinda-Kisaasi'!D65)</f>
        <v>19.5</v>
      </c>
      <c r="E65" s="49">
        <f>AVERAGE('29.07 Ntinda-Kisaasi'!E65,'30.07 Ntinda-Kisaasi'!E65,'31.07 Ntinda-Kisaasi'!E65,'02.08 Ntinda-Kisaasi'!E65,'01.08 Ntinda-Kisaasi-24h'!E65,'03.08 Ntinda-Kisaasi-24h'!E65,'04.08 Ntinda-Kisaasi'!E65)</f>
        <v>4</v>
      </c>
      <c r="F65" s="49">
        <f>AVERAGE('29.07 Ntinda-Kisaasi'!F65,'30.07 Ntinda-Kisaasi'!F65,'31.07 Ntinda-Kisaasi'!F65,'02.08 Ntinda-Kisaasi'!F65,'01.08 Ntinda-Kisaasi-24h'!F65,'03.08 Ntinda-Kisaasi-24h'!F65,'04.08 Ntinda-Kisaasi'!F65)</f>
        <v>9.5</v>
      </c>
      <c r="G65" s="49">
        <f>AVERAGE('29.07 Ntinda-Kisaasi'!G65,'30.07 Ntinda-Kisaasi'!G65,'31.07 Ntinda-Kisaasi'!G65,'02.08 Ntinda-Kisaasi'!G65,'01.08 Ntinda-Kisaasi-24h'!G65,'03.08 Ntinda-Kisaasi-24h'!G65,'04.08 Ntinda-Kisaasi'!G65)</f>
        <v>0</v>
      </c>
      <c r="H65" s="49">
        <f>AVERAGE('29.07 Ntinda-Kisaasi'!H65,'30.07 Ntinda-Kisaasi'!H65,'31.07 Ntinda-Kisaasi'!H65,'02.08 Ntinda-Kisaasi'!H65,'01.08 Ntinda-Kisaasi-24h'!H65,'03.08 Ntinda-Kisaasi-24h'!H65,'04.08 Ntinda-Kisaasi'!H65)</f>
        <v>0</v>
      </c>
      <c r="I65" s="49">
        <f>AVERAGE('29.07 Ntinda-Kisaasi'!I65,'30.07 Ntinda-Kisaasi'!I65,'31.07 Ntinda-Kisaasi'!I65,'02.08 Ntinda-Kisaasi'!I65,'01.08 Ntinda-Kisaasi-24h'!I65,'03.08 Ntinda-Kisaasi-24h'!I65,'04.08 Ntinda-Kisaasi'!I65)</f>
        <v>1</v>
      </c>
      <c r="J65" s="49">
        <f>AVERAGE('29.07 Ntinda-Kisaasi'!J65,'30.07 Ntinda-Kisaasi'!J65,'31.07 Ntinda-Kisaasi'!J65,'02.08 Ntinda-Kisaasi'!J65,'01.08 Ntinda-Kisaasi-24h'!J65,'03.08 Ntinda-Kisaasi-24h'!J65,'04.08 Ntinda-Kisaasi'!J65)</f>
        <v>0</v>
      </c>
      <c r="K65" s="49">
        <f>AVERAGE('29.07 Ntinda-Kisaasi'!K65,'30.07 Ntinda-Kisaasi'!K65,'31.07 Ntinda-Kisaasi'!K65,'02.08 Ntinda-Kisaasi'!K65,'01.08 Ntinda-Kisaasi-24h'!K65,'03.08 Ntinda-Kisaasi-24h'!K65,'04.08 Ntinda-Kisaasi'!K65)</f>
        <v>0.5</v>
      </c>
      <c r="L65" s="49">
        <f>AVERAGE('29.07 Ntinda-Kisaasi'!L65,'30.07 Ntinda-Kisaasi'!L65,'31.07 Ntinda-Kisaasi'!L65,'02.08 Ntinda-Kisaasi'!L65,'01.08 Ntinda-Kisaasi-24h'!L65,'03.08 Ntinda-Kisaasi-24h'!L65,'04.08 Ntinda-Kisaasi'!L65)</f>
        <v>0</v>
      </c>
      <c r="M65" s="49">
        <f>AVERAGE('29.07 Ntinda-Kisaasi'!M65,'30.07 Ntinda-Kisaasi'!M65,'31.07 Ntinda-Kisaasi'!M65,'02.08 Ntinda-Kisaasi'!M65,'01.08 Ntinda-Kisaasi-24h'!M65,'03.08 Ntinda-Kisaasi-24h'!M65,'04.08 Ntinda-Kisaasi'!M65)</f>
        <v>59.5</v>
      </c>
      <c r="N65" s="49">
        <f>AVERAGE('29.07 Ntinda-Kisaasi'!N65,'30.07 Ntinda-Kisaasi'!N65,'31.07 Ntinda-Kisaasi'!N65,'02.08 Ntinda-Kisaasi'!N65,'01.08 Ntinda-Kisaasi-24h'!N65,'03.08 Ntinda-Kisaasi-24h'!N65,'04.08 Ntinda-Kisaasi'!N65)</f>
        <v>0</v>
      </c>
      <c r="O65" s="49">
        <f>AVERAGE('29.07 Ntinda-Kisaasi'!O65,'30.07 Ntinda-Kisaasi'!O65,'31.07 Ntinda-Kisaasi'!O65,'02.08 Ntinda-Kisaasi'!O65,'01.08 Ntinda-Kisaasi-24h'!O65,'03.08 Ntinda-Kisaasi-24h'!O65,'04.08 Ntinda-Kisaasi'!O65)</f>
        <v>71</v>
      </c>
      <c r="P65" s="49">
        <f>AVERAGE('29.07 Ntinda-Kisaasi'!P65,'30.07 Ntinda-Kisaasi'!P65,'31.07 Ntinda-Kisaasi'!P65,'02.08 Ntinda-Kisaasi'!P65,'01.08 Ntinda-Kisaasi-24h'!P65,'03.08 Ntinda-Kisaasi-24h'!P65,'04.08 Ntinda-Kisaasi'!P65)</f>
        <v>130.5</v>
      </c>
      <c r="R65" s="8"/>
      <c r="T65"/>
    </row>
    <row r="66" spans="2:20" ht="23.1" customHeight="1" x14ac:dyDescent="0.25">
      <c r="B66" s="23" t="s">
        <v>103</v>
      </c>
      <c r="C66" s="49">
        <f>AVERAGE('29.07 Ntinda-Kisaasi'!C66,'30.07 Ntinda-Kisaasi'!C66,'31.07 Ntinda-Kisaasi'!C66,'02.08 Ntinda-Kisaasi'!C66,'01.08 Ntinda-Kisaasi-24h'!C66,'03.08 Ntinda-Kisaasi-24h'!C66,'04.08 Ntinda-Kisaasi'!C66)</f>
        <v>32</v>
      </c>
      <c r="D66" s="49">
        <f>AVERAGE('29.07 Ntinda-Kisaasi'!D66,'30.07 Ntinda-Kisaasi'!D66,'31.07 Ntinda-Kisaasi'!D66,'02.08 Ntinda-Kisaasi'!D66,'01.08 Ntinda-Kisaasi-24h'!D66,'03.08 Ntinda-Kisaasi-24h'!D66,'04.08 Ntinda-Kisaasi'!D66)</f>
        <v>19</v>
      </c>
      <c r="E66" s="49">
        <f>AVERAGE('29.07 Ntinda-Kisaasi'!E66,'30.07 Ntinda-Kisaasi'!E66,'31.07 Ntinda-Kisaasi'!E66,'02.08 Ntinda-Kisaasi'!E66,'01.08 Ntinda-Kisaasi-24h'!E66,'03.08 Ntinda-Kisaasi-24h'!E66,'04.08 Ntinda-Kisaasi'!E66)</f>
        <v>6</v>
      </c>
      <c r="F66" s="49">
        <f>AVERAGE('29.07 Ntinda-Kisaasi'!F66,'30.07 Ntinda-Kisaasi'!F66,'31.07 Ntinda-Kisaasi'!F66,'02.08 Ntinda-Kisaasi'!F66,'01.08 Ntinda-Kisaasi-24h'!F66,'03.08 Ntinda-Kisaasi-24h'!F66,'04.08 Ntinda-Kisaasi'!F66)</f>
        <v>12</v>
      </c>
      <c r="G66" s="49">
        <f>AVERAGE('29.07 Ntinda-Kisaasi'!G66,'30.07 Ntinda-Kisaasi'!G66,'31.07 Ntinda-Kisaasi'!G66,'02.08 Ntinda-Kisaasi'!G66,'01.08 Ntinda-Kisaasi-24h'!G66,'03.08 Ntinda-Kisaasi-24h'!G66,'04.08 Ntinda-Kisaasi'!G66)</f>
        <v>0</v>
      </c>
      <c r="H66" s="49">
        <f>AVERAGE('29.07 Ntinda-Kisaasi'!H66,'30.07 Ntinda-Kisaasi'!H66,'31.07 Ntinda-Kisaasi'!H66,'02.08 Ntinda-Kisaasi'!H66,'01.08 Ntinda-Kisaasi-24h'!H66,'03.08 Ntinda-Kisaasi-24h'!H66,'04.08 Ntinda-Kisaasi'!H66)</f>
        <v>0</v>
      </c>
      <c r="I66" s="49">
        <f>AVERAGE('29.07 Ntinda-Kisaasi'!I66,'30.07 Ntinda-Kisaasi'!I66,'31.07 Ntinda-Kisaasi'!I66,'02.08 Ntinda-Kisaasi'!I66,'01.08 Ntinda-Kisaasi-24h'!I66,'03.08 Ntinda-Kisaasi-24h'!I66,'04.08 Ntinda-Kisaasi'!I66)</f>
        <v>1</v>
      </c>
      <c r="J66" s="49">
        <f>AVERAGE('29.07 Ntinda-Kisaasi'!J66,'30.07 Ntinda-Kisaasi'!J66,'31.07 Ntinda-Kisaasi'!J66,'02.08 Ntinda-Kisaasi'!J66,'01.08 Ntinda-Kisaasi-24h'!J66,'03.08 Ntinda-Kisaasi-24h'!J66,'04.08 Ntinda-Kisaasi'!J66)</f>
        <v>0.5</v>
      </c>
      <c r="K66" s="49">
        <f>AVERAGE('29.07 Ntinda-Kisaasi'!K66,'30.07 Ntinda-Kisaasi'!K66,'31.07 Ntinda-Kisaasi'!K66,'02.08 Ntinda-Kisaasi'!K66,'01.08 Ntinda-Kisaasi-24h'!K66,'03.08 Ntinda-Kisaasi-24h'!K66,'04.08 Ntinda-Kisaasi'!K66)</f>
        <v>0.5</v>
      </c>
      <c r="L66" s="49">
        <f>AVERAGE('29.07 Ntinda-Kisaasi'!L66,'30.07 Ntinda-Kisaasi'!L66,'31.07 Ntinda-Kisaasi'!L66,'02.08 Ntinda-Kisaasi'!L66,'01.08 Ntinda-Kisaasi-24h'!L66,'03.08 Ntinda-Kisaasi-24h'!L66,'04.08 Ntinda-Kisaasi'!L66)</f>
        <v>0.5</v>
      </c>
      <c r="M66" s="49">
        <f>AVERAGE('29.07 Ntinda-Kisaasi'!M66,'30.07 Ntinda-Kisaasi'!M66,'31.07 Ntinda-Kisaasi'!M66,'02.08 Ntinda-Kisaasi'!M66,'01.08 Ntinda-Kisaasi-24h'!M66,'03.08 Ntinda-Kisaasi-24h'!M66,'04.08 Ntinda-Kisaasi'!M66)</f>
        <v>40</v>
      </c>
      <c r="N66" s="49">
        <f>AVERAGE('29.07 Ntinda-Kisaasi'!N66,'30.07 Ntinda-Kisaasi'!N66,'31.07 Ntinda-Kisaasi'!N66,'02.08 Ntinda-Kisaasi'!N66,'01.08 Ntinda-Kisaasi-24h'!N66,'03.08 Ntinda-Kisaasi-24h'!N66,'04.08 Ntinda-Kisaasi'!N66)</f>
        <v>0</v>
      </c>
      <c r="O66" s="49">
        <f>AVERAGE('29.07 Ntinda-Kisaasi'!O66,'30.07 Ntinda-Kisaasi'!O66,'31.07 Ntinda-Kisaasi'!O66,'02.08 Ntinda-Kisaasi'!O66,'01.08 Ntinda-Kisaasi-24h'!O66,'03.08 Ntinda-Kisaasi-24h'!O66,'04.08 Ntinda-Kisaasi'!O66)</f>
        <v>71.5</v>
      </c>
      <c r="P66" s="49">
        <f>AVERAGE('29.07 Ntinda-Kisaasi'!P66,'30.07 Ntinda-Kisaasi'!P66,'31.07 Ntinda-Kisaasi'!P66,'02.08 Ntinda-Kisaasi'!P66,'01.08 Ntinda-Kisaasi-24h'!P66,'03.08 Ntinda-Kisaasi-24h'!P66,'04.08 Ntinda-Kisaasi'!P66)</f>
        <v>111.5</v>
      </c>
      <c r="R66" s="8"/>
      <c r="T66"/>
    </row>
    <row r="67" spans="2:20" ht="23.1" customHeight="1" x14ac:dyDescent="0.25">
      <c r="B67" s="23" t="s">
        <v>104</v>
      </c>
      <c r="C67" s="49">
        <f>AVERAGE('29.07 Ntinda-Kisaasi'!C67,'30.07 Ntinda-Kisaasi'!C67,'31.07 Ntinda-Kisaasi'!C67,'02.08 Ntinda-Kisaasi'!C67,'01.08 Ntinda-Kisaasi-24h'!C67,'03.08 Ntinda-Kisaasi-24h'!C67,'04.08 Ntinda-Kisaasi'!C67)</f>
        <v>40</v>
      </c>
      <c r="D67" s="49">
        <f>AVERAGE('29.07 Ntinda-Kisaasi'!D67,'30.07 Ntinda-Kisaasi'!D67,'31.07 Ntinda-Kisaasi'!D67,'02.08 Ntinda-Kisaasi'!D67,'01.08 Ntinda-Kisaasi-24h'!D67,'03.08 Ntinda-Kisaasi-24h'!D67,'04.08 Ntinda-Kisaasi'!D67)</f>
        <v>26.5</v>
      </c>
      <c r="E67" s="49">
        <f>AVERAGE('29.07 Ntinda-Kisaasi'!E67,'30.07 Ntinda-Kisaasi'!E67,'31.07 Ntinda-Kisaasi'!E67,'02.08 Ntinda-Kisaasi'!E67,'01.08 Ntinda-Kisaasi-24h'!E67,'03.08 Ntinda-Kisaasi-24h'!E67,'04.08 Ntinda-Kisaasi'!E67)</f>
        <v>5</v>
      </c>
      <c r="F67" s="49">
        <f>AVERAGE('29.07 Ntinda-Kisaasi'!F67,'30.07 Ntinda-Kisaasi'!F67,'31.07 Ntinda-Kisaasi'!F67,'02.08 Ntinda-Kisaasi'!F67,'01.08 Ntinda-Kisaasi-24h'!F67,'03.08 Ntinda-Kisaasi-24h'!F67,'04.08 Ntinda-Kisaasi'!F67)</f>
        <v>13</v>
      </c>
      <c r="G67" s="49">
        <f>AVERAGE('29.07 Ntinda-Kisaasi'!G67,'30.07 Ntinda-Kisaasi'!G67,'31.07 Ntinda-Kisaasi'!G67,'02.08 Ntinda-Kisaasi'!G67,'01.08 Ntinda-Kisaasi-24h'!G67,'03.08 Ntinda-Kisaasi-24h'!G67,'04.08 Ntinda-Kisaasi'!G67)</f>
        <v>0</v>
      </c>
      <c r="H67" s="49">
        <f>AVERAGE('29.07 Ntinda-Kisaasi'!H67,'30.07 Ntinda-Kisaasi'!H67,'31.07 Ntinda-Kisaasi'!H67,'02.08 Ntinda-Kisaasi'!H67,'01.08 Ntinda-Kisaasi-24h'!H67,'03.08 Ntinda-Kisaasi-24h'!H67,'04.08 Ntinda-Kisaasi'!H67)</f>
        <v>0</v>
      </c>
      <c r="I67" s="49">
        <f>AVERAGE('29.07 Ntinda-Kisaasi'!I67,'30.07 Ntinda-Kisaasi'!I67,'31.07 Ntinda-Kisaasi'!I67,'02.08 Ntinda-Kisaasi'!I67,'01.08 Ntinda-Kisaasi-24h'!I67,'03.08 Ntinda-Kisaasi-24h'!I67,'04.08 Ntinda-Kisaasi'!I67)</f>
        <v>1</v>
      </c>
      <c r="J67" s="49">
        <f>AVERAGE('29.07 Ntinda-Kisaasi'!J67,'30.07 Ntinda-Kisaasi'!J67,'31.07 Ntinda-Kisaasi'!J67,'02.08 Ntinda-Kisaasi'!J67,'01.08 Ntinda-Kisaasi-24h'!J67,'03.08 Ntinda-Kisaasi-24h'!J67,'04.08 Ntinda-Kisaasi'!J67)</f>
        <v>0</v>
      </c>
      <c r="K67" s="49">
        <f>AVERAGE('29.07 Ntinda-Kisaasi'!K67,'30.07 Ntinda-Kisaasi'!K67,'31.07 Ntinda-Kisaasi'!K67,'02.08 Ntinda-Kisaasi'!K67,'01.08 Ntinda-Kisaasi-24h'!K67,'03.08 Ntinda-Kisaasi-24h'!K67,'04.08 Ntinda-Kisaasi'!K67)</f>
        <v>0</v>
      </c>
      <c r="L67" s="49">
        <f>AVERAGE('29.07 Ntinda-Kisaasi'!L67,'30.07 Ntinda-Kisaasi'!L67,'31.07 Ntinda-Kisaasi'!L67,'02.08 Ntinda-Kisaasi'!L67,'01.08 Ntinda-Kisaasi-24h'!L67,'03.08 Ntinda-Kisaasi-24h'!L67,'04.08 Ntinda-Kisaasi'!L67)</f>
        <v>0</v>
      </c>
      <c r="M67" s="49">
        <f>AVERAGE('29.07 Ntinda-Kisaasi'!M67,'30.07 Ntinda-Kisaasi'!M67,'31.07 Ntinda-Kisaasi'!M67,'02.08 Ntinda-Kisaasi'!M67,'01.08 Ntinda-Kisaasi-24h'!M67,'03.08 Ntinda-Kisaasi-24h'!M67,'04.08 Ntinda-Kisaasi'!M67)</f>
        <v>54.5</v>
      </c>
      <c r="N67" s="49">
        <f>AVERAGE('29.07 Ntinda-Kisaasi'!N67,'30.07 Ntinda-Kisaasi'!N67,'31.07 Ntinda-Kisaasi'!N67,'02.08 Ntinda-Kisaasi'!N67,'01.08 Ntinda-Kisaasi-24h'!N67,'03.08 Ntinda-Kisaasi-24h'!N67,'04.08 Ntinda-Kisaasi'!N67)</f>
        <v>0</v>
      </c>
      <c r="O67" s="49">
        <f>AVERAGE('29.07 Ntinda-Kisaasi'!O67,'30.07 Ntinda-Kisaasi'!O67,'31.07 Ntinda-Kisaasi'!O67,'02.08 Ntinda-Kisaasi'!O67,'01.08 Ntinda-Kisaasi-24h'!O67,'03.08 Ntinda-Kisaasi-24h'!O67,'04.08 Ntinda-Kisaasi'!O67)</f>
        <v>85.5</v>
      </c>
      <c r="P67" s="49">
        <f>AVERAGE('29.07 Ntinda-Kisaasi'!P67,'30.07 Ntinda-Kisaasi'!P67,'31.07 Ntinda-Kisaasi'!P67,'02.08 Ntinda-Kisaasi'!P67,'01.08 Ntinda-Kisaasi-24h'!P67,'03.08 Ntinda-Kisaasi-24h'!P67,'04.08 Ntinda-Kisaasi'!P67)</f>
        <v>140</v>
      </c>
      <c r="R67" s="8"/>
      <c r="T67"/>
    </row>
    <row r="68" spans="2:20" ht="23.1" customHeight="1" x14ac:dyDescent="0.25">
      <c r="B68" s="23" t="s">
        <v>105</v>
      </c>
      <c r="C68" s="49">
        <f>AVERAGE('29.07 Ntinda-Kisaasi'!C68,'30.07 Ntinda-Kisaasi'!C68,'31.07 Ntinda-Kisaasi'!C68,'02.08 Ntinda-Kisaasi'!C68,'01.08 Ntinda-Kisaasi-24h'!C68,'03.08 Ntinda-Kisaasi-24h'!C68,'04.08 Ntinda-Kisaasi'!C68)</f>
        <v>22</v>
      </c>
      <c r="D68" s="49">
        <f>AVERAGE('29.07 Ntinda-Kisaasi'!D68,'30.07 Ntinda-Kisaasi'!D68,'31.07 Ntinda-Kisaasi'!D68,'02.08 Ntinda-Kisaasi'!D68,'01.08 Ntinda-Kisaasi-24h'!D68,'03.08 Ntinda-Kisaasi-24h'!D68,'04.08 Ntinda-Kisaasi'!D68)</f>
        <v>12</v>
      </c>
      <c r="E68" s="49">
        <f>AVERAGE('29.07 Ntinda-Kisaasi'!E68,'30.07 Ntinda-Kisaasi'!E68,'31.07 Ntinda-Kisaasi'!E68,'02.08 Ntinda-Kisaasi'!E68,'01.08 Ntinda-Kisaasi-24h'!E68,'03.08 Ntinda-Kisaasi-24h'!E68,'04.08 Ntinda-Kisaasi'!E68)</f>
        <v>2</v>
      </c>
      <c r="F68" s="49">
        <f>AVERAGE('29.07 Ntinda-Kisaasi'!F68,'30.07 Ntinda-Kisaasi'!F68,'31.07 Ntinda-Kisaasi'!F68,'02.08 Ntinda-Kisaasi'!F68,'01.08 Ntinda-Kisaasi-24h'!F68,'03.08 Ntinda-Kisaasi-24h'!F68,'04.08 Ntinda-Kisaasi'!F68)</f>
        <v>5.5</v>
      </c>
      <c r="G68" s="49">
        <f>AVERAGE('29.07 Ntinda-Kisaasi'!G68,'30.07 Ntinda-Kisaasi'!G68,'31.07 Ntinda-Kisaasi'!G68,'02.08 Ntinda-Kisaasi'!G68,'01.08 Ntinda-Kisaasi-24h'!G68,'03.08 Ntinda-Kisaasi-24h'!G68,'04.08 Ntinda-Kisaasi'!G68)</f>
        <v>0</v>
      </c>
      <c r="H68" s="49">
        <f>AVERAGE('29.07 Ntinda-Kisaasi'!H68,'30.07 Ntinda-Kisaasi'!H68,'31.07 Ntinda-Kisaasi'!H68,'02.08 Ntinda-Kisaasi'!H68,'01.08 Ntinda-Kisaasi-24h'!H68,'03.08 Ntinda-Kisaasi-24h'!H68,'04.08 Ntinda-Kisaasi'!H68)</f>
        <v>0</v>
      </c>
      <c r="I68" s="49">
        <f>AVERAGE('29.07 Ntinda-Kisaasi'!I68,'30.07 Ntinda-Kisaasi'!I68,'31.07 Ntinda-Kisaasi'!I68,'02.08 Ntinda-Kisaasi'!I68,'01.08 Ntinda-Kisaasi-24h'!I68,'03.08 Ntinda-Kisaasi-24h'!I68,'04.08 Ntinda-Kisaasi'!I68)</f>
        <v>3.5</v>
      </c>
      <c r="J68" s="49">
        <f>AVERAGE('29.07 Ntinda-Kisaasi'!J68,'30.07 Ntinda-Kisaasi'!J68,'31.07 Ntinda-Kisaasi'!J68,'02.08 Ntinda-Kisaasi'!J68,'01.08 Ntinda-Kisaasi-24h'!J68,'03.08 Ntinda-Kisaasi-24h'!J68,'04.08 Ntinda-Kisaasi'!J68)</f>
        <v>0</v>
      </c>
      <c r="K68" s="49">
        <f>AVERAGE('29.07 Ntinda-Kisaasi'!K68,'30.07 Ntinda-Kisaasi'!K68,'31.07 Ntinda-Kisaasi'!K68,'02.08 Ntinda-Kisaasi'!K68,'01.08 Ntinda-Kisaasi-24h'!K68,'03.08 Ntinda-Kisaasi-24h'!K68,'04.08 Ntinda-Kisaasi'!K68)</f>
        <v>0.5</v>
      </c>
      <c r="L68" s="49">
        <f>AVERAGE('29.07 Ntinda-Kisaasi'!L68,'30.07 Ntinda-Kisaasi'!L68,'31.07 Ntinda-Kisaasi'!L68,'02.08 Ntinda-Kisaasi'!L68,'01.08 Ntinda-Kisaasi-24h'!L68,'03.08 Ntinda-Kisaasi-24h'!L68,'04.08 Ntinda-Kisaasi'!L68)</f>
        <v>1.5</v>
      </c>
      <c r="M68" s="49">
        <f>AVERAGE('29.07 Ntinda-Kisaasi'!M68,'30.07 Ntinda-Kisaasi'!M68,'31.07 Ntinda-Kisaasi'!M68,'02.08 Ntinda-Kisaasi'!M68,'01.08 Ntinda-Kisaasi-24h'!M68,'03.08 Ntinda-Kisaasi-24h'!M68,'04.08 Ntinda-Kisaasi'!M68)</f>
        <v>29.5</v>
      </c>
      <c r="N68" s="49">
        <f>AVERAGE('29.07 Ntinda-Kisaasi'!N68,'30.07 Ntinda-Kisaasi'!N68,'31.07 Ntinda-Kisaasi'!N68,'02.08 Ntinda-Kisaasi'!N68,'01.08 Ntinda-Kisaasi-24h'!N68,'03.08 Ntinda-Kisaasi-24h'!N68,'04.08 Ntinda-Kisaasi'!N68)</f>
        <v>0</v>
      </c>
      <c r="O68" s="49">
        <f>AVERAGE('29.07 Ntinda-Kisaasi'!O68,'30.07 Ntinda-Kisaasi'!O68,'31.07 Ntinda-Kisaasi'!O68,'02.08 Ntinda-Kisaasi'!O68,'01.08 Ntinda-Kisaasi-24h'!O68,'03.08 Ntinda-Kisaasi-24h'!O68,'04.08 Ntinda-Kisaasi'!O68)</f>
        <v>47</v>
      </c>
      <c r="P68" s="49">
        <f>AVERAGE('29.07 Ntinda-Kisaasi'!P68,'30.07 Ntinda-Kisaasi'!P68,'31.07 Ntinda-Kisaasi'!P68,'02.08 Ntinda-Kisaasi'!P68,'01.08 Ntinda-Kisaasi-24h'!P68,'03.08 Ntinda-Kisaasi-24h'!P68,'04.08 Ntinda-Kisaasi'!P68)</f>
        <v>76.5</v>
      </c>
      <c r="R68" s="8"/>
      <c r="T68"/>
    </row>
    <row r="69" spans="2:20" ht="23.1" customHeight="1" x14ac:dyDescent="0.25">
      <c r="B69" s="23" t="s">
        <v>106</v>
      </c>
      <c r="C69" s="49">
        <f>AVERAGE('29.07 Ntinda-Kisaasi'!C69,'30.07 Ntinda-Kisaasi'!C69,'31.07 Ntinda-Kisaasi'!C69,'02.08 Ntinda-Kisaasi'!C69,'01.08 Ntinda-Kisaasi-24h'!C69,'03.08 Ntinda-Kisaasi-24h'!C69,'04.08 Ntinda-Kisaasi'!C69)</f>
        <v>23.5</v>
      </c>
      <c r="D69" s="49">
        <f>AVERAGE('29.07 Ntinda-Kisaasi'!D69,'30.07 Ntinda-Kisaasi'!D69,'31.07 Ntinda-Kisaasi'!D69,'02.08 Ntinda-Kisaasi'!D69,'01.08 Ntinda-Kisaasi-24h'!D69,'03.08 Ntinda-Kisaasi-24h'!D69,'04.08 Ntinda-Kisaasi'!D69)</f>
        <v>9</v>
      </c>
      <c r="E69" s="49">
        <f>AVERAGE('29.07 Ntinda-Kisaasi'!E69,'30.07 Ntinda-Kisaasi'!E69,'31.07 Ntinda-Kisaasi'!E69,'02.08 Ntinda-Kisaasi'!E69,'01.08 Ntinda-Kisaasi-24h'!E69,'03.08 Ntinda-Kisaasi-24h'!E69,'04.08 Ntinda-Kisaasi'!E69)</f>
        <v>2.5</v>
      </c>
      <c r="F69" s="49">
        <f>AVERAGE('29.07 Ntinda-Kisaasi'!F69,'30.07 Ntinda-Kisaasi'!F69,'31.07 Ntinda-Kisaasi'!F69,'02.08 Ntinda-Kisaasi'!F69,'01.08 Ntinda-Kisaasi-24h'!F69,'03.08 Ntinda-Kisaasi-24h'!F69,'04.08 Ntinda-Kisaasi'!F69)</f>
        <v>5.5</v>
      </c>
      <c r="G69" s="49">
        <f>AVERAGE('29.07 Ntinda-Kisaasi'!G69,'30.07 Ntinda-Kisaasi'!G69,'31.07 Ntinda-Kisaasi'!G69,'02.08 Ntinda-Kisaasi'!G69,'01.08 Ntinda-Kisaasi-24h'!G69,'03.08 Ntinda-Kisaasi-24h'!G69,'04.08 Ntinda-Kisaasi'!G69)</f>
        <v>0</v>
      </c>
      <c r="H69" s="49">
        <f>AVERAGE('29.07 Ntinda-Kisaasi'!H69,'30.07 Ntinda-Kisaasi'!H69,'31.07 Ntinda-Kisaasi'!H69,'02.08 Ntinda-Kisaasi'!H69,'01.08 Ntinda-Kisaasi-24h'!H69,'03.08 Ntinda-Kisaasi-24h'!H69,'04.08 Ntinda-Kisaasi'!H69)</f>
        <v>0</v>
      </c>
      <c r="I69" s="49">
        <f>AVERAGE('29.07 Ntinda-Kisaasi'!I69,'30.07 Ntinda-Kisaasi'!I69,'31.07 Ntinda-Kisaasi'!I69,'02.08 Ntinda-Kisaasi'!I69,'01.08 Ntinda-Kisaasi-24h'!I69,'03.08 Ntinda-Kisaasi-24h'!I69,'04.08 Ntinda-Kisaasi'!I69)</f>
        <v>2</v>
      </c>
      <c r="J69" s="49">
        <f>AVERAGE('29.07 Ntinda-Kisaasi'!J69,'30.07 Ntinda-Kisaasi'!J69,'31.07 Ntinda-Kisaasi'!J69,'02.08 Ntinda-Kisaasi'!J69,'01.08 Ntinda-Kisaasi-24h'!J69,'03.08 Ntinda-Kisaasi-24h'!J69,'04.08 Ntinda-Kisaasi'!J69)</f>
        <v>0</v>
      </c>
      <c r="K69" s="49">
        <f>AVERAGE('29.07 Ntinda-Kisaasi'!K69,'30.07 Ntinda-Kisaasi'!K69,'31.07 Ntinda-Kisaasi'!K69,'02.08 Ntinda-Kisaasi'!K69,'01.08 Ntinda-Kisaasi-24h'!K69,'03.08 Ntinda-Kisaasi-24h'!K69,'04.08 Ntinda-Kisaasi'!K69)</f>
        <v>0</v>
      </c>
      <c r="L69" s="49">
        <f>AVERAGE('29.07 Ntinda-Kisaasi'!L69,'30.07 Ntinda-Kisaasi'!L69,'31.07 Ntinda-Kisaasi'!L69,'02.08 Ntinda-Kisaasi'!L69,'01.08 Ntinda-Kisaasi-24h'!L69,'03.08 Ntinda-Kisaasi-24h'!L69,'04.08 Ntinda-Kisaasi'!L69)</f>
        <v>0</v>
      </c>
      <c r="M69" s="49">
        <f>AVERAGE('29.07 Ntinda-Kisaasi'!M69,'30.07 Ntinda-Kisaasi'!M69,'31.07 Ntinda-Kisaasi'!M69,'02.08 Ntinda-Kisaasi'!M69,'01.08 Ntinda-Kisaasi-24h'!M69,'03.08 Ntinda-Kisaasi-24h'!M69,'04.08 Ntinda-Kisaasi'!M69)</f>
        <v>42.5</v>
      </c>
      <c r="N69" s="49">
        <f>AVERAGE('29.07 Ntinda-Kisaasi'!N69,'30.07 Ntinda-Kisaasi'!N69,'31.07 Ntinda-Kisaasi'!N69,'02.08 Ntinda-Kisaasi'!N69,'01.08 Ntinda-Kisaasi-24h'!N69,'03.08 Ntinda-Kisaasi-24h'!N69,'04.08 Ntinda-Kisaasi'!N69)</f>
        <v>0</v>
      </c>
      <c r="O69" s="49">
        <f>AVERAGE('29.07 Ntinda-Kisaasi'!O69,'30.07 Ntinda-Kisaasi'!O69,'31.07 Ntinda-Kisaasi'!O69,'02.08 Ntinda-Kisaasi'!O69,'01.08 Ntinda-Kisaasi-24h'!O69,'03.08 Ntinda-Kisaasi-24h'!O69,'04.08 Ntinda-Kisaasi'!O69)</f>
        <v>42.5</v>
      </c>
      <c r="P69" s="49">
        <f>AVERAGE('29.07 Ntinda-Kisaasi'!P69,'30.07 Ntinda-Kisaasi'!P69,'31.07 Ntinda-Kisaasi'!P69,'02.08 Ntinda-Kisaasi'!P69,'01.08 Ntinda-Kisaasi-24h'!P69,'03.08 Ntinda-Kisaasi-24h'!P69,'04.08 Ntinda-Kisaasi'!P69)</f>
        <v>85</v>
      </c>
      <c r="R69" s="8"/>
      <c r="T69"/>
    </row>
    <row r="70" spans="2:20" ht="23.1" customHeight="1" x14ac:dyDescent="0.25">
      <c r="B70" s="23" t="s">
        <v>110</v>
      </c>
      <c r="C70" s="49">
        <f>AVERAGE('29.07 Ntinda-Kisaasi'!C70,'30.07 Ntinda-Kisaasi'!C70,'31.07 Ntinda-Kisaasi'!C70,'02.08 Ntinda-Kisaasi'!C70,'01.08 Ntinda-Kisaasi-24h'!C70,'03.08 Ntinda-Kisaasi-24h'!C70,'04.08 Ntinda-Kisaasi'!C70)</f>
        <v>32</v>
      </c>
      <c r="D70" s="49">
        <f>AVERAGE('29.07 Ntinda-Kisaasi'!D70,'30.07 Ntinda-Kisaasi'!D70,'31.07 Ntinda-Kisaasi'!D70,'02.08 Ntinda-Kisaasi'!D70,'01.08 Ntinda-Kisaasi-24h'!D70,'03.08 Ntinda-Kisaasi-24h'!D70,'04.08 Ntinda-Kisaasi'!D70)</f>
        <v>19</v>
      </c>
      <c r="E70" s="49">
        <f>AVERAGE('29.07 Ntinda-Kisaasi'!E70,'30.07 Ntinda-Kisaasi'!E70,'31.07 Ntinda-Kisaasi'!E70,'02.08 Ntinda-Kisaasi'!E70,'01.08 Ntinda-Kisaasi-24h'!E70,'03.08 Ntinda-Kisaasi-24h'!E70,'04.08 Ntinda-Kisaasi'!E70)</f>
        <v>4</v>
      </c>
      <c r="F70" s="49">
        <f>AVERAGE('29.07 Ntinda-Kisaasi'!F70,'30.07 Ntinda-Kisaasi'!F70,'31.07 Ntinda-Kisaasi'!F70,'02.08 Ntinda-Kisaasi'!F70,'01.08 Ntinda-Kisaasi-24h'!F70,'03.08 Ntinda-Kisaasi-24h'!F70,'04.08 Ntinda-Kisaasi'!F70)</f>
        <v>9</v>
      </c>
      <c r="G70" s="49">
        <f>AVERAGE('29.07 Ntinda-Kisaasi'!G70,'30.07 Ntinda-Kisaasi'!G70,'31.07 Ntinda-Kisaasi'!G70,'02.08 Ntinda-Kisaasi'!G70,'01.08 Ntinda-Kisaasi-24h'!G70,'03.08 Ntinda-Kisaasi-24h'!G70,'04.08 Ntinda-Kisaasi'!G70)</f>
        <v>0</v>
      </c>
      <c r="H70" s="49">
        <f>AVERAGE('29.07 Ntinda-Kisaasi'!H70,'30.07 Ntinda-Kisaasi'!H70,'31.07 Ntinda-Kisaasi'!H70,'02.08 Ntinda-Kisaasi'!H70,'01.08 Ntinda-Kisaasi-24h'!H70,'03.08 Ntinda-Kisaasi-24h'!H70,'04.08 Ntinda-Kisaasi'!H70)</f>
        <v>0</v>
      </c>
      <c r="I70" s="49">
        <f>AVERAGE('29.07 Ntinda-Kisaasi'!I70,'30.07 Ntinda-Kisaasi'!I70,'31.07 Ntinda-Kisaasi'!I70,'02.08 Ntinda-Kisaasi'!I70,'01.08 Ntinda-Kisaasi-24h'!I70,'03.08 Ntinda-Kisaasi-24h'!I70,'04.08 Ntinda-Kisaasi'!I70)</f>
        <v>2</v>
      </c>
      <c r="J70" s="49">
        <f>AVERAGE('29.07 Ntinda-Kisaasi'!J70,'30.07 Ntinda-Kisaasi'!J70,'31.07 Ntinda-Kisaasi'!J70,'02.08 Ntinda-Kisaasi'!J70,'01.08 Ntinda-Kisaasi-24h'!J70,'03.08 Ntinda-Kisaasi-24h'!J70,'04.08 Ntinda-Kisaasi'!J70)</f>
        <v>0</v>
      </c>
      <c r="K70" s="49">
        <f>AVERAGE('29.07 Ntinda-Kisaasi'!K70,'30.07 Ntinda-Kisaasi'!K70,'31.07 Ntinda-Kisaasi'!K70,'02.08 Ntinda-Kisaasi'!K70,'01.08 Ntinda-Kisaasi-24h'!K70,'03.08 Ntinda-Kisaasi-24h'!K70,'04.08 Ntinda-Kisaasi'!K70)</f>
        <v>0</v>
      </c>
      <c r="L70" s="49">
        <f>AVERAGE('29.07 Ntinda-Kisaasi'!L70,'30.07 Ntinda-Kisaasi'!L70,'31.07 Ntinda-Kisaasi'!L70,'02.08 Ntinda-Kisaasi'!L70,'01.08 Ntinda-Kisaasi-24h'!L70,'03.08 Ntinda-Kisaasi-24h'!L70,'04.08 Ntinda-Kisaasi'!L70)</f>
        <v>0.5</v>
      </c>
      <c r="M70" s="49">
        <f>AVERAGE('29.07 Ntinda-Kisaasi'!M70,'30.07 Ntinda-Kisaasi'!M70,'31.07 Ntinda-Kisaasi'!M70,'02.08 Ntinda-Kisaasi'!M70,'01.08 Ntinda-Kisaasi-24h'!M70,'03.08 Ntinda-Kisaasi-24h'!M70,'04.08 Ntinda-Kisaasi'!M70)</f>
        <v>51.5</v>
      </c>
      <c r="N70" s="49">
        <f>AVERAGE('29.07 Ntinda-Kisaasi'!N70,'30.07 Ntinda-Kisaasi'!N70,'31.07 Ntinda-Kisaasi'!N70,'02.08 Ntinda-Kisaasi'!N70,'01.08 Ntinda-Kisaasi-24h'!N70,'03.08 Ntinda-Kisaasi-24h'!N70,'04.08 Ntinda-Kisaasi'!N70)</f>
        <v>0</v>
      </c>
      <c r="O70" s="49">
        <f>AVERAGE('29.07 Ntinda-Kisaasi'!O70,'30.07 Ntinda-Kisaasi'!O70,'31.07 Ntinda-Kisaasi'!O70,'02.08 Ntinda-Kisaasi'!O70,'01.08 Ntinda-Kisaasi-24h'!O70,'03.08 Ntinda-Kisaasi-24h'!O70,'04.08 Ntinda-Kisaasi'!O70)</f>
        <v>66.5</v>
      </c>
      <c r="P70" s="49">
        <f>AVERAGE('29.07 Ntinda-Kisaasi'!P70,'30.07 Ntinda-Kisaasi'!P70,'31.07 Ntinda-Kisaasi'!P70,'02.08 Ntinda-Kisaasi'!P70,'01.08 Ntinda-Kisaasi-24h'!P70,'03.08 Ntinda-Kisaasi-24h'!P70,'04.08 Ntinda-Kisaasi'!P70)</f>
        <v>118</v>
      </c>
      <c r="R70" s="8"/>
      <c r="T70"/>
    </row>
    <row r="71" spans="2:20" ht="23.1" customHeight="1" x14ac:dyDescent="0.25">
      <c r="B71" s="23" t="s">
        <v>111</v>
      </c>
      <c r="C71" s="49">
        <f>AVERAGE('29.07 Ntinda-Kisaasi'!C71,'30.07 Ntinda-Kisaasi'!C71,'31.07 Ntinda-Kisaasi'!C71,'02.08 Ntinda-Kisaasi'!C71,'01.08 Ntinda-Kisaasi-24h'!C71,'03.08 Ntinda-Kisaasi-24h'!C71,'04.08 Ntinda-Kisaasi'!C71)</f>
        <v>33</v>
      </c>
      <c r="D71" s="49">
        <f>AVERAGE('29.07 Ntinda-Kisaasi'!D71,'30.07 Ntinda-Kisaasi'!D71,'31.07 Ntinda-Kisaasi'!D71,'02.08 Ntinda-Kisaasi'!D71,'01.08 Ntinda-Kisaasi-24h'!D71,'03.08 Ntinda-Kisaasi-24h'!D71,'04.08 Ntinda-Kisaasi'!D71)</f>
        <v>22</v>
      </c>
      <c r="E71" s="49">
        <f>AVERAGE('29.07 Ntinda-Kisaasi'!E71,'30.07 Ntinda-Kisaasi'!E71,'31.07 Ntinda-Kisaasi'!E71,'02.08 Ntinda-Kisaasi'!E71,'01.08 Ntinda-Kisaasi-24h'!E71,'03.08 Ntinda-Kisaasi-24h'!E71,'04.08 Ntinda-Kisaasi'!E71)</f>
        <v>5.5</v>
      </c>
      <c r="F71" s="49">
        <f>AVERAGE('29.07 Ntinda-Kisaasi'!F71,'30.07 Ntinda-Kisaasi'!F71,'31.07 Ntinda-Kisaasi'!F71,'02.08 Ntinda-Kisaasi'!F71,'01.08 Ntinda-Kisaasi-24h'!F71,'03.08 Ntinda-Kisaasi-24h'!F71,'04.08 Ntinda-Kisaasi'!F71)</f>
        <v>8</v>
      </c>
      <c r="G71" s="49">
        <f>AVERAGE('29.07 Ntinda-Kisaasi'!G71,'30.07 Ntinda-Kisaasi'!G71,'31.07 Ntinda-Kisaasi'!G71,'02.08 Ntinda-Kisaasi'!G71,'01.08 Ntinda-Kisaasi-24h'!G71,'03.08 Ntinda-Kisaasi-24h'!G71,'04.08 Ntinda-Kisaasi'!G71)</f>
        <v>0</v>
      </c>
      <c r="H71" s="49">
        <f>AVERAGE('29.07 Ntinda-Kisaasi'!H71,'30.07 Ntinda-Kisaasi'!H71,'31.07 Ntinda-Kisaasi'!H71,'02.08 Ntinda-Kisaasi'!H71,'01.08 Ntinda-Kisaasi-24h'!H71,'03.08 Ntinda-Kisaasi-24h'!H71,'04.08 Ntinda-Kisaasi'!H71)</f>
        <v>0</v>
      </c>
      <c r="I71" s="49">
        <f>AVERAGE('29.07 Ntinda-Kisaasi'!I71,'30.07 Ntinda-Kisaasi'!I71,'31.07 Ntinda-Kisaasi'!I71,'02.08 Ntinda-Kisaasi'!I71,'01.08 Ntinda-Kisaasi-24h'!I71,'03.08 Ntinda-Kisaasi-24h'!I71,'04.08 Ntinda-Kisaasi'!I71)</f>
        <v>1</v>
      </c>
      <c r="J71" s="49">
        <f>AVERAGE('29.07 Ntinda-Kisaasi'!J71,'30.07 Ntinda-Kisaasi'!J71,'31.07 Ntinda-Kisaasi'!J71,'02.08 Ntinda-Kisaasi'!J71,'01.08 Ntinda-Kisaasi-24h'!J71,'03.08 Ntinda-Kisaasi-24h'!J71,'04.08 Ntinda-Kisaasi'!J71)</f>
        <v>0.5</v>
      </c>
      <c r="K71" s="49">
        <f>AVERAGE('29.07 Ntinda-Kisaasi'!K71,'30.07 Ntinda-Kisaasi'!K71,'31.07 Ntinda-Kisaasi'!K71,'02.08 Ntinda-Kisaasi'!K71,'01.08 Ntinda-Kisaasi-24h'!K71,'03.08 Ntinda-Kisaasi-24h'!K71,'04.08 Ntinda-Kisaasi'!K71)</f>
        <v>0</v>
      </c>
      <c r="L71" s="49">
        <f>AVERAGE('29.07 Ntinda-Kisaasi'!L71,'30.07 Ntinda-Kisaasi'!L71,'31.07 Ntinda-Kisaasi'!L71,'02.08 Ntinda-Kisaasi'!L71,'01.08 Ntinda-Kisaasi-24h'!L71,'03.08 Ntinda-Kisaasi-24h'!L71,'04.08 Ntinda-Kisaasi'!L71)</f>
        <v>0</v>
      </c>
      <c r="M71" s="49">
        <f>AVERAGE('29.07 Ntinda-Kisaasi'!M71,'30.07 Ntinda-Kisaasi'!M71,'31.07 Ntinda-Kisaasi'!M71,'02.08 Ntinda-Kisaasi'!M71,'01.08 Ntinda-Kisaasi-24h'!M71,'03.08 Ntinda-Kisaasi-24h'!M71,'04.08 Ntinda-Kisaasi'!M71)</f>
        <v>74</v>
      </c>
      <c r="N71" s="49">
        <f>AVERAGE('29.07 Ntinda-Kisaasi'!N71,'30.07 Ntinda-Kisaasi'!N71,'31.07 Ntinda-Kisaasi'!N71,'02.08 Ntinda-Kisaasi'!N71,'01.08 Ntinda-Kisaasi-24h'!N71,'03.08 Ntinda-Kisaasi-24h'!N71,'04.08 Ntinda-Kisaasi'!N71)</f>
        <v>0</v>
      </c>
      <c r="O71" s="49">
        <f>AVERAGE('29.07 Ntinda-Kisaasi'!O71,'30.07 Ntinda-Kisaasi'!O71,'31.07 Ntinda-Kisaasi'!O71,'02.08 Ntinda-Kisaasi'!O71,'01.08 Ntinda-Kisaasi-24h'!O71,'03.08 Ntinda-Kisaasi-24h'!O71,'04.08 Ntinda-Kisaasi'!O71)</f>
        <v>70</v>
      </c>
      <c r="P71" s="49">
        <f>AVERAGE('29.07 Ntinda-Kisaasi'!P71,'30.07 Ntinda-Kisaasi'!P71,'31.07 Ntinda-Kisaasi'!P71,'02.08 Ntinda-Kisaasi'!P71,'01.08 Ntinda-Kisaasi-24h'!P71,'03.08 Ntinda-Kisaasi-24h'!P71,'04.08 Ntinda-Kisaasi'!P71)</f>
        <v>144</v>
      </c>
      <c r="R71" s="8"/>
      <c r="T71"/>
    </row>
    <row r="72" spans="2:20" ht="23.1" customHeight="1" x14ac:dyDescent="0.25">
      <c r="B72" s="23" t="s">
        <v>112</v>
      </c>
      <c r="C72" s="49">
        <f>AVERAGE('29.07 Ntinda-Kisaasi'!C72,'30.07 Ntinda-Kisaasi'!C72,'31.07 Ntinda-Kisaasi'!C72,'02.08 Ntinda-Kisaasi'!C72,'01.08 Ntinda-Kisaasi-24h'!C72,'03.08 Ntinda-Kisaasi-24h'!C72,'04.08 Ntinda-Kisaasi'!C72)</f>
        <v>32</v>
      </c>
      <c r="D72" s="49">
        <f>AVERAGE('29.07 Ntinda-Kisaasi'!D72,'30.07 Ntinda-Kisaasi'!D72,'31.07 Ntinda-Kisaasi'!D72,'02.08 Ntinda-Kisaasi'!D72,'01.08 Ntinda-Kisaasi-24h'!D72,'03.08 Ntinda-Kisaasi-24h'!D72,'04.08 Ntinda-Kisaasi'!D72)</f>
        <v>8</v>
      </c>
      <c r="E72" s="49">
        <f>AVERAGE('29.07 Ntinda-Kisaasi'!E72,'30.07 Ntinda-Kisaasi'!E72,'31.07 Ntinda-Kisaasi'!E72,'02.08 Ntinda-Kisaasi'!E72,'01.08 Ntinda-Kisaasi-24h'!E72,'03.08 Ntinda-Kisaasi-24h'!E72,'04.08 Ntinda-Kisaasi'!E72)</f>
        <v>3</v>
      </c>
      <c r="F72" s="49">
        <f>AVERAGE('29.07 Ntinda-Kisaasi'!F72,'30.07 Ntinda-Kisaasi'!F72,'31.07 Ntinda-Kisaasi'!F72,'02.08 Ntinda-Kisaasi'!F72,'01.08 Ntinda-Kisaasi-24h'!F72,'03.08 Ntinda-Kisaasi-24h'!F72,'04.08 Ntinda-Kisaasi'!F72)</f>
        <v>10</v>
      </c>
      <c r="G72" s="49">
        <f>AVERAGE('29.07 Ntinda-Kisaasi'!G72,'30.07 Ntinda-Kisaasi'!G72,'31.07 Ntinda-Kisaasi'!G72,'02.08 Ntinda-Kisaasi'!G72,'01.08 Ntinda-Kisaasi-24h'!G72,'03.08 Ntinda-Kisaasi-24h'!G72,'04.08 Ntinda-Kisaasi'!G72)</f>
        <v>0.5</v>
      </c>
      <c r="H72" s="49">
        <f>AVERAGE('29.07 Ntinda-Kisaasi'!H72,'30.07 Ntinda-Kisaasi'!H72,'31.07 Ntinda-Kisaasi'!H72,'02.08 Ntinda-Kisaasi'!H72,'01.08 Ntinda-Kisaasi-24h'!H72,'03.08 Ntinda-Kisaasi-24h'!H72,'04.08 Ntinda-Kisaasi'!H72)</f>
        <v>0</v>
      </c>
      <c r="I72" s="49">
        <f>AVERAGE('29.07 Ntinda-Kisaasi'!I72,'30.07 Ntinda-Kisaasi'!I72,'31.07 Ntinda-Kisaasi'!I72,'02.08 Ntinda-Kisaasi'!I72,'01.08 Ntinda-Kisaasi-24h'!I72,'03.08 Ntinda-Kisaasi-24h'!I72,'04.08 Ntinda-Kisaasi'!I72)</f>
        <v>1</v>
      </c>
      <c r="J72" s="49">
        <f>AVERAGE('29.07 Ntinda-Kisaasi'!J72,'30.07 Ntinda-Kisaasi'!J72,'31.07 Ntinda-Kisaasi'!J72,'02.08 Ntinda-Kisaasi'!J72,'01.08 Ntinda-Kisaasi-24h'!J72,'03.08 Ntinda-Kisaasi-24h'!J72,'04.08 Ntinda-Kisaasi'!J72)</f>
        <v>0</v>
      </c>
      <c r="K72" s="49">
        <f>AVERAGE('29.07 Ntinda-Kisaasi'!K72,'30.07 Ntinda-Kisaasi'!K72,'31.07 Ntinda-Kisaasi'!K72,'02.08 Ntinda-Kisaasi'!K72,'01.08 Ntinda-Kisaasi-24h'!K72,'03.08 Ntinda-Kisaasi-24h'!K72,'04.08 Ntinda-Kisaasi'!K72)</f>
        <v>0</v>
      </c>
      <c r="L72" s="49">
        <f>AVERAGE('29.07 Ntinda-Kisaasi'!L72,'30.07 Ntinda-Kisaasi'!L72,'31.07 Ntinda-Kisaasi'!L72,'02.08 Ntinda-Kisaasi'!L72,'01.08 Ntinda-Kisaasi-24h'!L72,'03.08 Ntinda-Kisaasi-24h'!L72,'04.08 Ntinda-Kisaasi'!L72)</f>
        <v>0.5</v>
      </c>
      <c r="M72" s="49">
        <f>AVERAGE('29.07 Ntinda-Kisaasi'!M72,'30.07 Ntinda-Kisaasi'!M72,'31.07 Ntinda-Kisaasi'!M72,'02.08 Ntinda-Kisaasi'!M72,'01.08 Ntinda-Kisaasi-24h'!M72,'03.08 Ntinda-Kisaasi-24h'!M72,'04.08 Ntinda-Kisaasi'!M72)</f>
        <v>58.5</v>
      </c>
      <c r="N72" s="49">
        <f>AVERAGE('29.07 Ntinda-Kisaasi'!N72,'30.07 Ntinda-Kisaasi'!N72,'31.07 Ntinda-Kisaasi'!N72,'02.08 Ntinda-Kisaasi'!N72,'01.08 Ntinda-Kisaasi-24h'!N72,'03.08 Ntinda-Kisaasi-24h'!N72,'04.08 Ntinda-Kisaasi'!N72)</f>
        <v>0</v>
      </c>
      <c r="O72" s="49">
        <f>AVERAGE('29.07 Ntinda-Kisaasi'!O72,'30.07 Ntinda-Kisaasi'!O72,'31.07 Ntinda-Kisaasi'!O72,'02.08 Ntinda-Kisaasi'!O72,'01.08 Ntinda-Kisaasi-24h'!O72,'03.08 Ntinda-Kisaasi-24h'!O72,'04.08 Ntinda-Kisaasi'!O72)</f>
        <v>55</v>
      </c>
      <c r="P72" s="49">
        <f>AVERAGE('29.07 Ntinda-Kisaasi'!P72,'30.07 Ntinda-Kisaasi'!P72,'31.07 Ntinda-Kisaasi'!P72,'02.08 Ntinda-Kisaasi'!P72,'01.08 Ntinda-Kisaasi-24h'!P72,'03.08 Ntinda-Kisaasi-24h'!P72,'04.08 Ntinda-Kisaasi'!P72)</f>
        <v>113.5</v>
      </c>
      <c r="R72" s="8"/>
      <c r="T72"/>
    </row>
    <row r="73" spans="2:20" ht="23.1" customHeight="1" x14ac:dyDescent="0.25">
      <c r="B73" s="23" t="s">
        <v>113</v>
      </c>
      <c r="C73" s="49">
        <f>AVERAGE('29.07 Ntinda-Kisaasi'!C73,'30.07 Ntinda-Kisaasi'!C73,'31.07 Ntinda-Kisaasi'!C73,'02.08 Ntinda-Kisaasi'!C73,'01.08 Ntinda-Kisaasi-24h'!C73,'03.08 Ntinda-Kisaasi-24h'!C73,'04.08 Ntinda-Kisaasi'!C73)</f>
        <v>42.5</v>
      </c>
      <c r="D73" s="49">
        <f>AVERAGE('29.07 Ntinda-Kisaasi'!D73,'30.07 Ntinda-Kisaasi'!D73,'31.07 Ntinda-Kisaasi'!D73,'02.08 Ntinda-Kisaasi'!D73,'01.08 Ntinda-Kisaasi-24h'!D73,'03.08 Ntinda-Kisaasi-24h'!D73,'04.08 Ntinda-Kisaasi'!D73)</f>
        <v>24.5</v>
      </c>
      <c r="E73" s="49">
        <f>AVERAGE('29.07 Ntinda-Kisaasi'!E73,'30.07 Ntinda-Kisaasi'!E73,'31.07 Ntinda-Kisaasi'!E73,'02.08 Ntinda-Kisaasi'!E73,'01.08 Ntinda-Kisaasi-24h'!E73,'03.08 Ntinda-Kisaasi-24h'!E73,'04.08 Ntinda-Kisaasi'!E73)</f>
        <v>2</v>
      </c>
      <c r="F73" s="49">
        <f>AVERAGE('29.07 Ntinda-Kisaasi'!F73,'30.07 Ntinda-Kisaasi'!F73,'31.07 Ntinda-Kisaasi'!F73,'02.08 Ntinda-Kisaasi'!F73,'01.08 Ntinda-Kisaasi-24h'!F73,'03.08 Ntinda-Kisaasi-24h'!F73,'04.08 Ntinda-Kisaasi'!F73)</f>
        <v>7</v>
      </c>
      <c r="G73" s="49">
        <f>AVERAGE('29.07 Ntinda-Kisaasi'!G73,'30.07 Ntinda-Kisaasi'!G73,'31.07 Ntinda-Kisaasi'!G73,'02.08 Ntinda-Kisaasi'!G73,'01.08 Ntinda-Kisaasi-24h'!G73,'03.08 Ntinda-Kisaasi-24h'!G73,'04.08 Ntinda-Kisaasi'!G73)</f>
        <v>0</v>
      </c>
      <c r="H73" s="49">
        <f>AVERAGE('29.07 Ntinda-Kisaasi'!H73,'30.07 Ntinda-Kisaasi'!H73,'31.07 Ntinda-Kisaasi'!H73,'02.08 Ntinda-Kisaasi'!H73,'01.08 Ntinda-Kisaasi-24h'!H73,'03.08 Ntinda-Kisaasi-24h'!H73,'04.08 Ntinda-Kisaasi'!H73)</f>
        <v>0</v>
      </c>
      <c r="I73" s="49">
        <f>AVERAGE('29.07 Ntinda-Kisaasi'!I73,'30.07 Ntinda-Kisaasi'!I73,'31.07 Ntinda-Kisaasi'!I73,'02.08 Ntinda-Kisaasi'!I73,'01.08 Ntinda-Kisaasi-24h'!I73,'03.08 Ntinda-Kisaasi-24h'!I73,'04.08 Ntinda-Kisaasi'!I73)</f>
        <v>1</v>
      </c>
      <c r="J73" s="49">
        <f>AVERAGE('29.07 Ntinda-Kisaasi'!J73,'30.07 Ntinda-Kisaasi'!J73,'31.07 Ntinda-Kisaasi'!J73,'02.08 Ntinda-Kisaasi'!J73,'01.08 Ntinda-Kisaasi-24h'!J73,'03.08 Ntinda-Kisaasi-24h'!J73,'04.08 Ntinda-Kisaasi'!J73)</f>
        <v>0</v>
      </c>
      <c r="K73" s="49">
        <f>AVERAGE('29.07 Ntinda-Kisaasi'!K73,'30.07 Ntinda-Kisaasi'!K73,'31.07 Ntinda-Kisaasi'!K73,'02.08 Ntinda-Kisaasi'!K73,'01.08 Ntinda-Kisaasi-24h'!K73,'03.08 Ntinda-Kisaasi-24h'!K73,'04.08 Ntinda-Kisaasi'!K73)</f>
        <v>0</v>
      </c>
      <c r="L73" s="49">
        <f>AVERAGE('29.07 Ntinda-Kisaasi'!L73,'30.07 Ntinda-Kisaasi'!L73,'31.07 Ntinda-Kisaasi'!L73,'02.08 Ntinda-Kisaasi'!L73,'01.08 Ntinda-Kisaasi-24h'!L73,'03.08 Ntinda-Kisaasi-24h'!L73,'04.08 Ntinda-Kisaasi'!L73)</f>
        <v>0</v>
      </c>
      <c r="M73" s="49">
        <f>AVERAGE('29.07 Ntinda-Kisaasi'!M73,'30.07 Ntinda-Kisaasi'!M73,'31.07 Ntinda-Kisaasi'!M73,'02.08 Ntinda-Kisaasi'!M73,'01.08 Ntinda-Kisaasi-24h'!M73,'03.08 Ntinda-Kisaasi-24h'!M73,'04.08 Ntinda-Kisaasi'!M73)</f>
        <v>70</v>
      </c>
      <c r="N73" s="49">
        <f>AVERAGE('29.07 Ntinda-Kisaasi'!N73,'30.07 Ntinda-Kisaasi'!N73,'31.07 Ntinda-Kisaasi'!N73,'02.08 Ntinda-Kisaasi'!N73,'01.08 Ntinda-Kisaasi-24h'!N73,'03.08 Ntinda-Kisaasi-24h'!N73,'04.08 Ntinda-Kisaasi'!N73)</f>
        <v>0</v>
      </c>
      <c r="O73" s="49">
        <f>AVERAGE('29.07 Ntinda-Kisaasi'!O73,'30.07 Ntinda-Kisaasi'!O73,'31.07 Ntinda-Kisaasi'!O73,'02.08 Ntinda-Kisaasi'!O73,'01.08 Ntinda-Kisaasi-24h'!O73,'03.08 Ntinda-Kisaasi-24h'!O73,'04.08 Ntinda-Kisaasi'!O73)</f>
        <v>77</v>
      </c>
      <c r="P73" s="49">
        <f>AVERAGE('29.07 Ntinda-Kisaasi'!P73,'30.07 Ntinda-Kisaasi'!P73,'31.07 Ntinda-Kisaasi'!P73,'02.08 Ntinda-Kisaasi'!P73,'01.08 Ntinda-Kisaasi-24h'!P73,'03.08 Ntinda-Kisaasi-24h'!P73,'04.08 Ntinda-Kisaasi'!P73)</f>
        <v>147</v>
      </c>
      <c r="R73" s="8"/>
      <c r="T73"/>
    </row>
    <row r="74" spans="2:20" ht="23.1" customHeight="1" x14ac:dyDescent="0.25">
      <c r="B74" s="23" t="s">
        <v>114</v>
      </c>
      <c r="C74" s="49">
        <f>AVERAGE('29.07 Ntinda-Kisaasi'!C74,'30.07 Ntinda-Kisaasi'!C74,'31.07 Ntinda-Kisaasi'!C74,'02.08 Ntinda-Kisaasi'!C74,'01.08 Ntinda-Kisaasi-24h'!C74,'03.08 Ntinda-Kisaasi-24h'!C74,'04.08 Ntinda-Kisaasi'!C74)</f>
        <v>41</v>
      </c>
      <c r="D74" s="49">
        <f>AVERAGE('29.07 Ntinda-Kisaasi'!D74,'30.07 Ntinda-Kisaasi'!D74,'31.07 Ntinda-Kisaasi'!D74,'02.08 Ntinda-Kisaasi'!D74,'01.08 Ntinda-Kisaasi-24h'!D74,'03.08 Ntinda-Kisaasi-24h'!D74,'04.08 Ntinda-Kisaasi'!D74)</f>
        <v>24</v>
      </c>
      <c r="E74" s="49">
        <f>AVERAGE('29.07 Ntinda-Kisaasi'!E74,'30.07 Ntinda-Kisaasi'!E74,'31.07 Ntinda-Kisaasi'!E74,'02.08 Ntinda-Kisaasi'!E74,'01.08 Ntinda-Kisaasi-24h'!E74,'03.08 Ntinda-Kisaasi-24h'!E74,'04.08 Ntinda-Kisaasi'!E74)</f>
        <v>6.5</v>
      </c>
      <c r="F74" s="49">
        <f>AVERAGE('29.07 Ntinda-Kisaasi'!F74,'30.07 Ntinda-Kisaasi'!F74,'31.07 Ntinda-Kisaasi'!F74,'02.08 Ntinda-Kisaasi'!F74,'01.08 Ntinda-Kisaasi-24h'!F74,'03.08 Ntinda-Kisaasi-24h'!F74,'04.08 Ntinda-Kisaasi'!F74)</f>
        <v>8</v>
      </c>
      <c r="G74" s="49">
        <f>AVERAGE('29.07 Ntinda-Kisaasi'!G74,'30.07 Ntinda-Kisaasi'!G74,'31.07 Ntinda-Kisaasi'!G74,'02.08 Ntinda-Kisaasi'!G74,'01.08 Ntinda-Kisaasi-24h'!G74,'03.08 Ntinda-Kisaasi-24h'!G74,'04.08 Ntinda-Kisaasi'!G74)</f>
        <v>0.5</v>
      </c>
      <c r="H74" s="49">
        <f>AVERAGE('29.07 Ntinda-Kisaasi'!H74,'30.07 Ntinda-Kisaasi'!H74,'31.07 Ntinda-Kisaasi'!H74,'02.08 Ntinda-Kisaasi'!H74,'01.08 Ntinda-Kisaasi-24h'!H74,'03.08 Ntinda-Kisaasi-24h'!H74,'04.08 Ntinda-Kisaasi'!H74)</f>
        <v>0</v>
      </c>
      <c r="I74" s="49">
        <f>AVERAGE('29.07 Ntinda-Kisaasi'!I74,'30.07 Ntinda-Kisaasi'!I74,'31.07 Ntinda-Kisaasi'!I74,'02.08 Ntinda-Kisaasi'!I74,'01.08 Ntinda-Kisaasi-24h'!I74,'03.08 Ntinda-Kisaasi-24h'!I74,'04.08 Ntinda-Kisaasi'!I74)</f>
        <v>1.5</v>
      </c>
      <c r="J74" s="49">
        <f>AVERAGE('29.07 Ntinda-Kisaasi'!J74,'30.07 Ntinda-Kisaasi'!J74,'31.07 Ntinda-Kisaasi'!J74,'02.08 Ntinda-Kisaasi'!J74,'01.08 Ntinda-Kisaasi-24h'!J74,'03.08 Ntinda-Kisaasi-24h'!J74,'04.08 Ntinda-Kisaasi'!J74)</f>
        <v>0.5</v>
      </c>
      <c r="K74" s="49">
        <f>AVERAGE('29.07 Ntinda-Kisaasi'!K74,'30.07 Ntinda-Kisaasi'!K74,'31.07 Ntinda-Kisaasi'!K74,'02.08 Ntinda-Kisaasi'!K74,'01.08 Ntinda-Kisaasi-24h'!K74,'03.08 Ntinda-Kisaasi-24h'!K74,'04.08 Ntinda-Kisaasi'!K74)</f>
        <v>0</v>
      </c>
      <c r="L74" s="49">
        <f>AVERAGE('29.07 Ntinda-Kisaasi'!L74,'30.07 Ntinda-Kisaasi'!L74,'31.07 Ntinda-Kisaasi'!L74,'02.08 Ntinda-Kisaasi'!L74,'01.08 Ntinda-Kisaasi-24h'!L74,'03.08 Ntinda-Kisaasi-24h'!L74,'04.08 Ntinda-Kisaasi'!L74)</f>
        <v>0</v>
      </c>
      <c r="M74" s="49">
        <f>AVERAGE('29.07 Ntinda-Kisaasi'!M74,'30.07 Ntinda-Kisaasi'!M74,'31.07 Ntinda-Kisaasi'!M74,'02.08 Ntinda-Kisaasi'!M74,'01.08 Ntinda-Kisaasi-24h'!M74,'03.08 Ntinda-Kisaasi-24h'!M74,'04.08 Ntinda-Kisaasi'!M74)</f>
        <v>46.5</v>
      </c>
      <c r="N74" s="49">
        <f>AVERAGE('29.07 Ntinda-Kisaasi'!N74,'30.07 Ntinda-Kisaasi'!N74,'31.07 Ntinda-Kisaasi'!N74,'02.08 Ntinda-Kisaasi'!N74,'01.08 Ntinda-Kisaasi-24h'!N74,'03.08 Ntinda-Kisaasi-24h'!N74,'04.08 Ntinda-Kisaasi'!N74)</f>
        <v>0</v>
      </c>
      <c r="O74" s="49">
        <f>AVERAGE('29.07 Ntinda-Kisaasi'!O74,'30.07 Ntinda-Kisaasi'!O74,'31.07 Ntinda-Kisaasi'!O74,'02.08 Ntinda-Kisaasi'!O74,'01.08 Ntinda-Kisaasi-24h'!O74,'03.08 Ntinda-Kisaasi-24h'!O74,'04.08 Ntinda-Kisaasi'!O74)</f>
        <v>82</v>
      </c>
      <c r="P74" s="49">
        <f>AVERAGE('29.07 Ntinda-Kisaasi'!P74,'30.07 Ntinda-Kisaasi'!P74,'31.07 Ntinda-Kisaasi'!P74,'02.08 Ntinda-Kisaasi'!P74,'01.08 Ntinda-Kisaasi-24h'!P74,'03.08 Ntinda-Kisaasi-24h'!P74,'04.08 Ntinda-Kisaasi'!P74)</f>
        <v>128.5</v>
      </c>
      <c r="R74" s="8"/>
      <c r="T74"/>
    </row>
    <row r="75" spans="2:20" ht="23.1" customHeight="1" x14ac:dyDescent="0.25">
      <c r="B75" s="23" t="s">
        <v>115</v>
      </c>
      <c r="C75" s="49">
        <f>AVERAGE('29.07 Ntinda-Kisaasi'!C75,'30.07 Ntinda-Kisaasi'!C75,'31.07 Ntinda-Kisaasi'!C75,'02.08 Ntinda-Kisaasi'!C75,'01.08 Ntinda-Kisaasi-24h'!C75,'03.08 Ntinda-Kisaasi-24h'!C75,'04.08 Ntinda-Kisaasi'!C75)</f>
        <v>31.5</v>
      </c>
      <c r="D75" s="49">
        <f>AVERAGE('29.07 Ntinda-Kisaasi'!D75,'30.07 Ntinda-Kisaasi'!D75,'31.07 Ntinda-Kisaasi'!D75,'02.08 Ntinda-Kisaasi'!D75,'01.08 Ntinda-Kisaasi-24h'!D75,'03.08 Ntinda-Kisaasi-24h'!D75,'04.08 Ntinda-Kisaasi'!D75)</f>
        <v>13.5</v>
      </c>
      <c r="E75" s="49">
        <f>AVERAGE('29.07 Ntinda-Kisaasi'!E75,'30.07 Ntinda-Kisaasi'!E75,'31.07 Ntinda-Kisaasi'!E75,'02.08 Ntinda-Kisaasi'!E75,'01.08 Ntinda-Kisaasi-24h'!E75,'03.08 Ntinda-Kisaasi-24h'!E75,'04.08 Ntinda-Kisaasi'!E75)</f>
        <v>2.5</v>
      </c>
      <c r="F75" s="49">
        <f>AVERAGE('29.07 Ntinda-Kisaasi'!F75,'30.07 Ntinda-Kisaasi'!F75,'31.07 Ntinda-Kisaasi'!F75,'02.08 Ntinda-Kisaasi'!F75,'01.08 Ntinda-Kisaasi-24h'!F75,'03.08 Ntinda-Kisaasi-24h'!F75,'04.08 Ntinda-Kisaasi'!F75)</f>
        <v>5</v>
      </c>
      <c r="G75" s="49">
        <f>AVERAGE('29.07 Ntinda-Kisaasi'!G75,'30.07 Ntinda-Kisaasi'!G75,'31.07 Ntinda-Kisaasi'!G75,'02.08 Ntinda-Kisaasi'!G75,'01.08 Ntinda-Kisaasi-24h'!G75,'03.08 Ntinda-Kisaasi-24h'!G75,'04.08 Ntinda-Kisaasi'!G75)</f>
        <v>0</v>
      </c>
      <c r="H75" s="49">
        <f>AVERAGE('29.07 Ntinda-Kisaasi'!H75,'30.07 Ntinda-Kisaasi'!H75,'31.07 Ntinda-Kisaasi'!H75,'02.08 Ntinda-Kisaasi'!H75,'01.08 Ntinda-Kisaasi-24h'!H75,'03.08 Ntinda-Kisaasi-24h'!H75,'04.08 Ntinda-Kisaasi'!H75)</f>
        <v>0</v>
      </c>
      <c r="I75" s="49">
        <f>AVERAGE('29.07 Ntinda-Kisaasi'!I75,'30.07 Ntinda-Kisaasi'!I75,'31.07 Ntinda-Kisaasi'!I75,'02.08 Ntinda-Kisaasi'!I75,'01.08 Ntinda-Kisaasi-24h'!I75,'03.08 Ntinda-Kisaasi-24h'!I75,'04.08 Ntinda-Kisaasi'!I75)</f>
        <v>1</v>
      </c>
      <c r="J75" s="49">
        <f>AVERAGE('29.07 Ntinda-Kisaasi'!J75,'30.07 Ntinda-Kisaasi'!J75,'31.07 Ntinda-Kisaasi'!J75,'02.08 Ntinda-Kisaasi'!J75,'01.08 Ntinda-Kisaasi-24h'!J75,'03.08 Ntinda-Kisaasi-24h'!J75,'04.08 Ntinda-Kisaasi'!J75)</f>
        <v>0</v>
      </c>
      <c r="K75" s="49">
        <f>AVERAGE('29.07 Ntinda-Kisaasi'!K75,'30.07 Ntinda-Kisaasi'!K75,'31.07 Ntinda-Kisaasi'!K75,'02.08 Ntinda-Kisaasi'!K75,'01.08 Ntinda-Kisaasi-24h'!K75,'03.08 Ntinda-Kisaasi-24h'!K75,'04.08 Ntinda-Kisaasi'!K75)</f>
        <v>0.5</v>
      </c>
      <c r="L75" s="49">
        <f>AVERAGE('29.07 Ntinda-Kisaasi'!L75,'30.07 Ntinda-Kisaasi'!L75,'31.07 Ntinda-Kisaasi'!L75,'02.08 Ntinda-Kisaasi'!L75,'01.08 Ntinda-Kisaasi-24h'!L75,'03.08 Ntinda-Kisaasi-24h'!L75,'04.08 Ntinda-Kisaasi'!L75)</f>
        <v>0</v>
      </c>
      <c r="M75" s="49">
        <f>AVERAGE('29.07 Ntinda-Kisaasi'!M75,'30.07 Ntinda-Kisaasi'!M75,'31.07 Ntinda-Kisaasi'!M75,'02.08 Ntinda-Kisaasi'!M75,'01.08 Ntinda-Kisaasi-24h'!M75,'03.08 Ntinda-Kisaasi-24h'!M75,'04.08 Ntinda-Kisaasi'!M75)</f>
        <v>52</v>
      </c>
      <c r="N75" s="49">
        <f>AVERAGE('29.07 Ntinda-Kisaasi'!N75,'30.07 Ntinda-Kisaasi'!N75,'31.07 Ntinda-Kisaasi'!N75,'02.08 Ntinda-Kisaasi'!N75,'01.08 Ntinda-Kisaasi-24h'!N75,'03.08 Ntinda-Kisaasi-24h'!N75,'04.08 Ntinda-Kisaasi'!N75)</f>
        <v>0</v>
      </c>
      <c r="O75" s="49">
        <f>AVERAGE('29.07 Ntinda-Kisaasi'!O75,'30.07 Ntinda-Kisaasi'!O75,'31.07 Ntinda-Kisaasi'!O75,'02.08 Ntinda-Kisaasi'!O75,'01.08 Ntinda-Kisaasi-24h'!O75,'03.08 Ntinda-Kisaasi-24h'!O75,'04.08 Ntinda-Kisaasi'!O75)</f>
        <v>54</v>
      </c>
      <c r="P75" s="49">
        <f>AVERAGE('29.07 Ntinda-Kisaasi'!P75,'30.07 Ntinda-Kisaasi'!P75,'31.07 Ntinda-Kisaasi'!P75,'02.08 Ntinda-Kisaasi'!P75,'01.08 Ntinda-Kisaasi-24h'!P75,'03.08 Ntinda-Kisaasi-24h'!P75,'04.08 Ntinda-Kisaasi'!P75)</f>
        <v>106</v>
      </c>
      <c r="R75" s="8"/>
      <c r="T75"/>
    </row>
    <row r="76" spans="2:20" ht="23.1" customHeight="1" x14ac:dyDescent="0.25">
      <c r="B76" s="23" t="s">
        <v>116</v>
      </c>
      <c r="C76" s="49">
        <f>AVERAGE('29.07 Ntinda-Kisaasi'!C76,'30.07 Ntinda-Kisaasi'!C76,'31.07 Ntinda-Kisaasi'!C76,'02.08 Ntinda-Kisaasi'!C76,'01.08 Ntinda-Kisaasi-24h'!C76,'03.08 Ntinda-Kisaasi-24h'!C76,'04.08 Ntinda-Kisaasi'!C76)</f>
        <v>27</v>
      </c>
      <c r="D76" s="49">
        <f>AVERAGE('29.07 Ntinda-Kisaasi'!D76,'30.07 Ntinda-Kisaasi'!D76,'31.07 Ntinda-Kisaasi'!D76,'02.08 Ntinda-Kisaasi'!D76,'01.08 Ntinda-Kisaasi-24h'!D76,'03.08 Ntinda-Kisaasi-24h'!D76,'04.08 Ntinda-Kisaasi'!D76)</f>
        <v>11.5</v>
      </c>
      <c r="E76" s="49">
        <f>AVERAGE('29.07 Ntinda-Kisaasi'!E76,'30.07 Ntinda-Kisaasi'!E76,'31.07 Ntinda-Kisaasi'!E76,'02.08 Ntinda-Kisaasi'!E76,'01.08 Ntinda-Kisaasi-24h'!E76,'03.08 Ntinda-Kisaasi-24h'!E76,'04.08 Ntinda-Kisaasi'!E76)</f>
        <v>0</v>
      </c>
      <c r="F76" s="49">
        <f>AVERAGE('29.07 Ntinda-Kisaasi'!F76,'30.07 Ntinda-Kisaasi'!F76,'31.07 Ntinda-Kisaasi'!F76,'02.08 Ntinda-Kisaasi'!F76,'01.08 Ntinda-Kisaasi-24h'!F76,'03.08 Ntinda-Kisaasi-24h'!F76,'04.08 Ntinda-Kisaasi'!F76)</f>
        <v>5.5</v>
      </c>
      <c r="G76" s="49">
        <f>AVERAGE('29.07 Ntinda-Kisaasi'!G76,'30.07 Ntinda-Kisaasi'!G76,'31.07 Ntinda-Kisaasi'!G76,'02.08 Ntinda-Kisaasi'!G76,'01.08 Ntinda-Kisaasi-24h'!G76,'03.08 Ntinda-Kisaasi-24h'!G76,'04.08 Ntinda-Kisaasi'!G76)</f>
        <v>0</v>
      </c>
      <c r="H76" s="49">
        <f>AVERAGE('29.07 Ntinda-Kisaasi'!H76,'30.07 Ntinda-Kisaasi'!H76,'31.07 Ntinda-Kisaasi'!H76,'02.08 Ntinda-Kisaasi'!H76,'01.08 Ntinda-Kisaasi-24h'!H76,'03.08 Ntinda-Kisaasi-24h'!H76,'04.08 Ntinda-Kisaasi'!H76)</f>
        <v>0</v>
      </c>
      <c r="I76" s="49">
        <f>AVERAGE('29.07 Ntinda-Kisaasi'!I76,'30.07 Ntinda-Kisaasi'!I76,'31.07 Ntinda-Kisaasi'!I76,'02.08 Ntinda-Kisaasi'!I76,'01.08 Ntinda-Kisaasi-24h'!I76,'03.08 Ntinda-Kisaasi-24h'!I76,'04.08 Ntinda-Kisaasi'!I76)</f>
        <v>1</v>
      </c>
      <c r="J76" s="49">
        <f>AVERAGE('29.07 Ntinda-Kisaasi'!J76,'30.07 Ntinda-Kisaasi'!J76,'31.07 Ntinda-Kisaasi'!J76,'02.08 Ntinda-Kisaasi'!J76,'01.08 Ntinda-Kisaasi-24h'!J76,'03.08 Ntinda-Kisaasi-24h'!J76,'04.08 Ntinda-Kisaasi'!J76)</f>
        <v>0</v>
      </c>
      <c r="K76" s="49">
        <f>AVERAGE('29.07 Ntinda-Kisaasi'!K76,'30.07 Ntinda-Kisaasi'!K76,'31.07 Ntinda-Kisaasi'!K76,'02.08 Ntinda-Kisaasi'!K76,'01.08 Ntinda-Kisaasi-24h'!K76,'03.08 Ntinda-Kisaasi-24h'!K76,'04.08 Ntinda-Kisaasi'!K76)</f>
        <v>0</v>
      </c>
      <c r="L76" s="49">
        <f>AVERAGE('29.07 Ntinda-Kisaasi'!L76,'30.07 Ntinda-Kisaasi'!L76,'31.07 Ntinda-Kisaasi'!L76,'02.08 Ntinda-Kisaasi'!L76,'01.08 Ntinda-Kisaasi-24h'!L76,'03.08 Ntinda-Kisaasi-24h'!L76,'04.08 Ntinda-Kisaasi'!L76)</f>
        <v>0</v>
      </c>
      <c r="M76" s="49">
        <f>AVERAGE('29.07 Ntinda-Kisaasi'!M76,'30.07 Ntinda-Kisaasi'!M76,'31.07 Ntinda-Kisaasi'!M76,'02.08 Ntinda-Kisaasi'!M76,'01.08 Ntinda-Kisaasi-24h'!M76,'03.08 Ntinda-Kisaasi-24h'!M76,'04.08 Ntinda-Kisaasi'!M76)</f>
        <v>48</v>
      </c>
      <c r="N76" s="49">
        <f>AVERAGE('29.07 Ntinda-Kisaasi'!N76,'30.07 Ntinda-Kisaasi'!N76,'31.07 Ntinda-Kisaasi'!N76,'02.08 Ntinda-Kisaasi'!N76,'01.08 Ntinda-Kisaasi-24h'!N76,'03.08 Ntinda-Kisaasi-24h'!N76,'04.08 Ntinda-Kisaasi'!N76)</f>
        <v>0</v>
      </c>
      <c r="O76" s="49">
        <f>AVERAGE('29.07 Ntinda-Kisaasi'!O76,'30.07 Ntinda-Kisaasi'!O76,'31.07 Ntinda-Kisaasi'!O76,'02.08 Ntinda-Kisaasi'!O76,'01.08 Ntinda-Kisaasi-24h'!O76,'03.08 Ntinda-Kisaasi-24h'!O76,'04.08 Ntinda-Kisaasi'!O76)</f>
        <v>45</v>
      </c>
      <c r="P76" s="49">
        <f>AVERAGE('29.07 Ntinda-Kisaasi'!P76,'30.07 Ntinda-Kisaasi'!P76,'31.07 Ntinda-Kisaasi'!P76,'02.08 Ntinda-Kisaasi'!P76,'01.08 Ntinda-Kisaasi-24h'!P76,'03.08 Ntinda-Kisaasi-24h'!P76,'04.08 Ntinda-Kisaasi'!P76)</f>
        <v>93</v>
      </c>
      <c r="R76" s="8"/>
      <c r="T76"/>
    </row>
    <row r="77" spans="2:20" ht="23.1" customHeight="1" x14ac:dyDescent="0.25">
      <c r="B77" s="23" t="s">
        <v>117</v>
      </c>
      <c r="C77" s="49">
        <f>AVERAGE('29.07 Ntinda-Kisaasi'!C77,'30.07 Ntinda-Kisaasi'!C77,'31.07 Ntinda-Kisaasi'!C77,'02.08 Ntinda-Kisaasi'!C77,'01.08 Ntinda-Kisaasi-24h'!C77,'03.08 Ntinda-Kisaasi-24h'!C77,'04.08 Ntinda-Kisaasi'!C77)</f>
        <v>26</v>
      </c>
      <c r="D77" s="49">
        <f>AVERAGE('29.07 Ntinda-Kisaasi'!D77,'30.07 Ntinda-Kisaasi'!D77,'31.07 Ntinda-Kisaasi'!D77,'02.08 Ntinda-Kisaasi'!D77,'01.08 Ntinda-Kisaasi-24h'!D77,'03.08 Ntinda-Kisaasi-24h'!D77,'04.08 Ntinda-Kisaasi'!D77)</f>
        <v>11.5</v>
      </c>
      <c r="E77" s="49">
        <f>AVERAGE('29.07 Ntinda-Kisaasi'!E77,'30.07 Ntinda-Kisaasi'!E77,'31.07 Ntinda-Kisaasi'!E77,'02.08 Ntinda-Kisaasi'!E77,'01.08 Ntinda-Kisaasi-24h'!E77,'03.08 Ntinda-Kisaasi-24h'!E77,'04.08 Ntinda-Kisaasi'!E77)</f>
        <v>1.5</v>
      </c>
      <c r="F77" s="49">
        <f>AVERAGE('29.07 Ntinda-Kisaasi'!F77,'30.07 Ntinda-Kisaasi'!F77,'31.07 Ntinda-Kisaasi'!F77,'02.08 Ntinda-Kisaasi'!F77,'01.08 Ntinda-Kisaasi-24h'!F77,'03.08 Ntinda-Kisaasi-24h'!F77,'04.08 Ntinda-Kisaasi'!F77)</f>
        <v>5.5</v>
      </c>
      <c r="G77" s="49">
        <f>AVERAGE('29.07 Ntinda-Kisaasi'!G77,'30.07 Ntinda-Kisaasi'!G77,'31.07 Ntinda-Kisaasi'!G77,'02.08 Ntinda-Kisaasi'!G77,'01.08 Ntinda-Kisaasi-24h'!G77,'03.08 Ntinda-Kisaasi-24h'!G77,'04.08 Ntinda-Kisaasi'!G77)</f>
        <v>0</v>
      </c>
      <c r="H77" s="49">
        <f>AVERAGE('29.07 Ntinda-Kisaasi'!H77,'30.07 Ntinda-Kisaasi'!H77,'31.07 Ntinda-Kisaasi'!H77,'02.08 Ntinda-Kisaasi'!H77,'01.08 Ntinda-Kisaasi-24h'!H77,'03.08 Ntinda-Kisaasi-24h'!H77,'04.08 Ntinda-Kisaasi'!H77)</f>
        <v>0.5</v>
      </c>
      <c r="I77" s="49">
        <f>AVERAGE('29.07 Ntinda-Kisaasi'!I77,'30.07 Ntinda-Kisaasi'!I77,'31.07 Ntinda-Kisaasi'!I77,'02.08 Ntinda-Kisaasi'!I77,'01.08 Ntinda-Kisaasi-24h'!I77,'03.08 Ntinda-Kisaasi-24h'!I77,'04.08 Ntinda-Kisaasi'!I77)</f>
        <v>0</v>
      </c>
      <c r="J77" s="49">
        <f>AVERAGE('29.07 Ntinda-Kisaasi'!J77,'30.07 Ntinda-Kisaasi'!J77,'31.07 Ntinda-Kisaasi'!J77,'02.08 Ntinda-Kisaasi'!J77,'01.08 Ntinda-Kisaasi-24h'!J77,'03.08 Ntinda-Kisaasi-24h'!J77,'04.08 Ntinda-Kisaasi'!J77)</f>
        <v>0.5</v>
      </c>
      <c r="K77" s="49">
        <f>AVERAGE('29.07 Ntinda-Kisaasi'!K77,'30.07 Ntinda-Kisaasi'!K77,'31.07 Ntinda-Kisaasi'!K77,'02.08 Ntinda-Kisaasi'!K77,'01.08 Ntinda-Kisaasi-24h'!K77,'03.08 Ntinda-Kisaasi-24h'!K77,'04.08 Ntinda-Kisaasi'!K77)</f>
        <v>0</v>
      </c>
      <c r="L77" s="49">
        <f>AVERAGE('29.07 Ntinda-Kisaasi'!L77,'30.07 Ntinda-Kisaasi'!L77,'31.07 Ntinda-Kisaasi'!L77,'02.08 Ntinda-Kisaasi'!L77,'01.08 Ntinda-Kisaasi-24h'!L77,'03.08 Ntinda-Kisaasi-24h'!L77,'04.08 Ntinda-Kisaasi'!L77)</f>
        <v>0</v>
      </c>
      <c r="M77" s="49">
        <f>AVERAGE('29.07 Ntinda-Kisaasi'!M77,'30.07 Ntinda-Kisaasi'!M77,'31.07 Ntinda-Kisaasi'!M77,'02.08 Ntinda-Kisaasi'!M77,'01.08 Ntinda-Kisaasi-24h'!M77,'03.08 Ntinda-Kisaasi-24h'!M77,'04.08 Ntinda-Kisaasi'!M77)</f>
        <v>45</v>
      </c>
      <c r="N77" s="49">
        <f>AVERAGE('29.07 Ntinda-Kisaasi'!N77,'30.07 Ntinda-Kisaasi'!N77,'31.07 Ntinda-Kisaasi'!N77,'02.08 Ntinda-Kisaasi'!N77,'01.08 Ntinda-Kisaasi-24h'!N77,'03.08 Ntinda-Kisaasi-24h'!N77,'04.08 Ntinda-Kisaasi'!N77)</f>
        <v>0</v>
      </c>
      <c r="O77" s="49">
        <f>AVERAGE('29.07 Ntinda-Kisaasi'!O77,'30.07 Ntinda-Kisaasi'!O77,'31.07 Ntinda-Kisaasi'!O77,'02.08 Ntinda-Kisaasi'!O77,'01.08 Ntinda-Kisaasi-24h'!O77,'03.08 Ntinda-Kisaasi-24h'!O77,'04.08 Ntinda-Kisaasi'!O77)</f>
        <v>45.5</v>
      </c>
      <c r="P77" s="49">
        <f>AVERAGE('29.07 Ntinda-Kisaasi'!P77,'30.07 Ntinda-Kisaasi'!P77,'31.07 Ntinda-Kisaasi'!P77,'02.08 Ntinda-Kisaasi'!P77,'01.08 Ntinda-Kisaasi-24h'!P77,'03.08 Ntinda-Kisaasi-24h'!P77,'04.08 Ntinda-Kisaasi'!P77)</f>
        <v>90.5</v>
      </c>
      <c r="R77" s="8"/>
      <c r="T77"/>
    </row>
    <row r="78" spans="2:20" ht="23.1" customHeight="1" x14ac:dyDescent="0.25">
      <c r="B78" s="24" t="s">
        <v>118</v>
      </c>
      <c r="C78" s="49">
        <f>AVERAGE('29.07 Ntinda-Kisaasi'!C78,'30.07 Ntinda-Kisaasi'!C78,'31.07 Ntinda-Kisaasi'!C78,'02.08 Ntinda-Kisaasi'!C78,'01.08 Ntinda-Kisaasi-24h'!C78,'03.08 Ntinda-Kisaasi-24h'!C78,'04.08 Ntinda-Kisaasi'!C78)</f>
        <v>19.5</v>
      </c>
      <c r="D78" s="49">
        <f>AVERAGE('29.07 Ntinda-Kisaasi'!D78,'30.07 Ntinda-Kisaasi'!D78,'31.07 Ntinda-Kisaasi'!D78,'02.08 Ntinda-Kisaasi'!D78,'01.08 Ntinda-Kisaasi-24h'!D78,'03.08 Ntinda-Kisaasi-24h'!D78,'04.08 Ntinda-Kisaasi'!D78)</f>
        <v>11</v>
      </c>
      <c r="E78" s="49">
        <f>AVERAGE('29.07 Ntinda-Kisaasi'!E78,'30.07 Ntinda-Kisaasi'!E78,'31.07 Ntinda-Kisaasi'!E78,'02.08 Ntinda-Kisaasi'!E78,'01.08 Ntinda-Kisaasi-24h'!E78,'03.08 Ntinda-Kisaasi-24h'!E78,'04.08 Ntinda-Kisaasi'!E78)</f>
        <v>2</v>
      </c>
      <c r="F78" s="49">
        <f>AVERAGE('29.07 Ntinda-Kisaasi'!F78,'30.07 Ntinda-Kisaasi'!F78,'31.07 Ntinda-Kisaasi'!F78,'02.08 Ntinda-Kisaasi'!F78,'01.08 Ntinda-Kisaasi-24h'!F78,'03.08 Ntinda-Kisaasi-24h'!F78,'04.08 Ntinda-Kisaasi'!F78)</f>
        <v>4.5</v>
      </c>
      <c r="G78" s="49">
        <f>AVERAGE('29.07 Ntinda-Kisaasi'!G78,'30.07 Ntinda-Kisaasi'!G78,'31.07 Ntinda-Kisaasi'!G78,'02.08 Ntinda-Kisaasi'!G78,'01.08 Ntinda-Kisaasi-24h'!G78,'03.08 Ntinda-Kisaasi-24h'!G78,'04.08 Ntinda-Kisaasi'!G78)</f>
        <v>0</v>
      </c>
      <c r="H78" s="49">
        <f>AVERAGE('29.07 Ntinda-Kisaasi'!H78,'30.07 Ntinda-Kisaasi'!H78,'31.07 Ntinda-Kisaasi'!H78,'02.08 Ntinda-Kisaasi'!H78,'01.08 Ntinda-Kisaasi-24h'!H78,'03.08 Ntinda-Kisaasi-24h'!H78,'04.08 Ntinda-Kisaasi'!H78)</f>
        <v>0</v>
      </c>
      <c r="I78" s="49">
        <f>AVERAGE('29.07 Ntinda-Kisaasi'!I78,'30.07 Ntinda-Kisaasi'!I78,'31.07 Ntinda-Kisaasi'!I78,'02.08 Ntinda-Kisaasi'!I78,'01.08 Ntinda-Kisaasi-24h'!I78,'03.08 Ntinda-Kisaasi-24h'!I78,'04.08 Ntinda-Kisaasi'!I78)</f>
        <v>1</v>
      </c>
      <c r="J78" s="49">
        <f>AVERAGE('29.07 Ntinda-Kisaasi'!J78,'30.07 Ntinda-Kisaasi'!J78,'31.07 Ntinda-Kisaasi'!J78,'02.08 Ntinda-Kisaasi'!J78,'01.08 Ntinda-Kisaasi-24h'!J78,'03.08 Ntinda-Kisaasi-24h'!J78,'04.08 Ntinda-Kisaasi'!J78)</f>
        <v>0</v>
      </c>
      <c r="K78" s="49">
        <f>AVERAGE('29.07 Ntinda-Kisaasi'!K78,'30.07 Ntinda-Kisaasi'!K78,'31.07 Ntinda-Kisaasi'!K78,'02.08 Ntinda-Kisaasi'!K78,'01.08 Ntinda-Kisaasi-24h'!K78,'03.08 Ntinda-Kisaasi-24h'!K78,'04.08 Ntinda-Kisaasi'!K78)</f>
        <v>0</v>
      </c>
      <c r="L78" s="49">
        <f>AVERAGE('29.07 Ntinda-Kisaasi'!L78,'30.07 Ntinda-Kisaasi'!L78,'31.07 Ntinda-Kisaasi'!L78,'02.08 Ntinda-Kisaasi'!L78,'01.08 Ntinda-Kisaasi-24h'!L78,'03.08 Ntinda-Kisaasi-24h'!L78,'04.08 Ntinda-Kisaasi'!L78)</f>
        <v>0</v>
      </c>
      <c r="M78" s="49">
        <f>AVERAGE('29.07 Ntinda-Kisaasi'!M78,'30.07 Ntinda-Kisaasi'!M78,'31.07 Ntinda-Kisaasi'!M78,'02.08 Ntinda-Kisaasi'!M78,'01.08 Ntinda-Kisaasi-24h'!M78,'03.08 Ntinda-Kisaasi-24h'!M78,'04.08 Ntinda-Kisaasi'!M78)</f>
        <v>33.5</v>
      </c>
      <c r="N78" s="49">
        <f>AVERAGE('29.07 Ntinda-Kisaasi'!N78,'30.07 Ntinda-Kisaasi'!N78,'31.07 Ntinda-Kisaasi'!N78,'02.08 Ntinda-Kisaasi'!N78,'01.08 Ntinda-Kisaasi-24h'!N78,'03.08 Ntinda-Kisaasi-24h'!N78,'04.08 Ntinda-Kisaasi'!N78)</f>
        <v>0</v>
      </c>
      <c r="O78" s="49">
        <f>AVERAGE('29.07 Ntinda-Kisaasi'!O78,'30.07 Ntinda-Kisaasi'!O78,'31.07 Ntinda-Kisaasi'!O78,'02.08 Ntinda-Kisaasi'!O78,'01.08 Ntinda-Kisaasi-24h'!O78,'03.08 Ntinda-Kisaasi-24h'!O78,'04.08 Ntinda-Kisaasi'!O78)</f>
        <v>38</v>
      </c>
      <c r="P78" s="49">
        <f>AVERAGE('29.07 Ntinda-Kisaasi'!P78,'30.07 Ntinda-Kisaasi'!P78,'31.07 Ntinda-Kisaasi'!P78,'02.08 Ntinda-Kisaasi'!P78,'01.08 Ntinda-Kisaasi-24h'!P78,'03.08 Ntinda-Kisaasi-24h'!P78,'04.08 Ntinda-Kisaasi'!P78)</f>
        <v>71.5</v>
      </c>
      <c r="R78" s="8"/>
      <c r="T78"/>
    </row>
    <row r="79" spans="2:20" ht="23.1" customHeight="1" x14ac:dyDescent="0.25">
      <c r="B79" s="23" t="s">
        <v>119</v>
      </c>
      <c r="C79" s="49">
        <f>AVERAGE('29.07 Ntinda-Kisaasi'!C79,'30.07 Ntinda-Kisaasi'!C79,'31.07 Ntinda-Kisaasi'!C79,'02.08 Ntinda-Kisaasi'!C79,'01.08 Ntinda-Kisaasi-24h'!C79,'03.08 Ntinda-Kisaasi-24h'!C79,'04.08 Ntinda-Kisaasi'!C79)</f>
        <v>31</v>
      </c>
      <c r="D79" s="49">
        <f>AVERAGE('29.07 Ntinda-Kisaasi'!D79,'30.07 Ntinda-Kisaasi'!D79,'31.07 Ntinda-Kisaasi'!D79,'02.08 Ntinda-Kisaasi'!D79,'01.08 Ntinda-Kisaasi-24h'!D79,'03.08 Ntinda-Kisaasi-24h'!D79,'04.08 Ntinda-Kisaasi'!D79)</f>
        <v>11</v>
      </c>
      <c r="E79" s="49">
        <f>AVERAGE('29.07 Ntinda-Kisaasi'!E79,'30.07 Ntinda-Kisaasi'!E79,'31.07 Ntinda-Kisaasi'!E79,'02.08 Ntinda-Kisaasi'!E79,'01.08 Ntinda-Kisaasi-24h'!E79,'03.08 Ntinda-Kisaasi-24h'!E79,'04.08 Ntinda-Kisaasi'!E79)</f>
        <v>2</v>
      </c>
      <c r="F79" s="49">
        <f>AVERAGE('29.07 Ntinda-Kisaasi'!F79,'30.07 Ntinda-Kisaasi'!F79,'31.07 Ntinda-Kisaasi'!F79,'02.08 Ntinda-Kisaasi'!F79,'01.08 Ntinda-Kisaasi-24h'!F79,'03.08 Ntinda-Kisaasi-24h'!F79,'04.08 Ntinda-Kisaasi'!F79)</f>
        <v>3</v>
      </c>
      <c r="G79" s="49">
        <f>AVERAGE('29.07 Ntinda-Kisaasi'!G79,'30.07 Ntinda-Kisaasi'!G79,'31.07 Ntinda-Kisaasi'!G79,'02.08 Ntinda-Kisaasi'!G79,'01.08 Ntinda-Kisaasi-24h'!G79,'03.08 Ntinda-Kisaasi-24h'!G79,'04.08 Ntinda-Kisaasi'!G79)</f>
        <v>0</v>
      </c>
      <c r="H79" s="49">
        <f>AVERAGE('29.07 Ntinda-Kisaasi'!H79,'30.07 Ntinda-Kisaasi'!H79,'31.07 Ntinda-Kisaasi'!H79,'02.08 Ntinda-Kisaasi'!H79,'01.08 Ntinda-Kisaasi-24h'!H79,'03.08 Ntinda-Kisaasi-24h'!H79,'04.08 Ntinda-Kisaasi'!H79)</f>
        <v>0</v>
      </c>
      <c r="I79" s="49">
        <f>AVERAGE('29.07 Ntinda-Kisaasi'!I79,'30.07 Ntinda-Kisaasi'!I79,'31.07 Ntinda-Kisaasi'!I79,'02.08 Ntinda-Kisaasi'!I79,'01.08 Ntinda-Kisaasi-24h'!I79,'03.08 Ntinda-Kisaasi-24h'!I79,'04.08 Ntinda-Kisaasi'!I79)</f>
        <v>0.5</v>
      </c>
      <c r="J79" s="49">
        <f>AVERAGE('29.07 Ntinda-Kisaasi'!J79,'30.07 Ntinda-Kisaasi'!J79,'31.07 Ntinda-Kisaasi'!J79,'02.08 Ntinda-Kisaasi'!J79,'01.08 Ntinda-Kisaasi-24h'!J79,'03.08 Ntinda-Kisaasi-24h'!J79,'04.08 Ntinda-Kisaasi'!J79)</f>
        <v>0</v>
      </c>
      <c r="K79" s="49">
        <f>AVERAGE('29.07 Ntinda-Kisaasi'!K79,'30.07 Ntinda-Kisaasi'!K79,'31.07 Ntinda-Kisaasi'!K79,'02.08 Ntinda-Kisaasi'!K79,'01.08 Ntinda-Kisaasi-24h'!K79,'03.08 Ntinda-Kisaasi-24h'!K79,'04.08 Ntinda-Kisaasi'!K79)</f>
        <v>0</v>
      </c>
      <c r="L79" s="49">
        <f>AVERAGE('29.07 Ntinda-Kisaasi'!L79,'30.07 Ntinda-Kisaasi'!L79,'31.07 Ntinda-Kisaasi'!L79,'02.08 Ntinda-Kisaasi'!L79,'01.08 Ntinda-Kisaasi-24h'!L79,'03.08 Ntinda-Kisaasi-24h'!L79,'04.08 Ntinda-Kisaasi'!L79)</f>
        <v>0</v>
      </c>
      <c r="M79" s="49">
        <f>AVERAGE('29.07 Ntinda-Kisaasi'!M79,'30.07 Ntinda-Kisaasi'!M79,'31.07 Ntinda-Kisaasi'!M79,'02.08 Ntinda-Kisaasi'!M79,'01.08 Ntinda-Kisaasi-24h'!M79,'03.08 Ntinda-Kisaasi-24h'!M79,'04.08 Ntinda-Kisaasi'!M79)</f>
        <v>31.5</v>
      </c>
      <c r="N79" s="49">
        <f>AVERAGE('29.07 Ntinda-Kisaasi'!N79,'30.07 Ntinda-Kisaasi'!N79,'31.07 Ntinda-Kisaasi'!N79,'02.08 Ntinda-Kisaasi'!N79,'01.08 Ntinda-Kisaasi-24h'!N79,'03.08 Ntinda-Kisaasi-24h'!N79,'04.08 Ntinda-Kisaasi'!N79)</f>
        <v>0</v>
      </c>
      <c r="O79" s="49">
        <f>AVERAGE('29.07 Ntinda-Kisaasi'!O79,'30.07 Ntinda-Kisaasi'!O79,'31.07 Ntinda-Kisaasi'!O79,'02.08 Ntinda-Kisaasi'!O79,'01.08 Ntinda-Kisaasi-24h'!O79,'03.08 Ntinda-Kisaasi-24h'!O79,'04.08 Ntinda-Kisaasi'!O79)</f>
        <v>47.5</v>
      </c>
      <c r="P79" s="49">
        <f>AVERAGE('29.07 Ntinda-Kisaasi'!P79,'30.07 Ntinda-Kisaasi'!P79,'31.07 Ntinda-Kisaasi'!P79,'02.08 Ntinda-Kisaasi'!P79,'01.08 Ntinda-Kisaasi-24h'!P79,'03.08 Ntinda-Kisaasi-24h'!P79,'04.08 Ntinda-Kisaasi'!P79)</f>
        <v>79</v>
      </c>
      <c r="R79" s="8"/>
      <c r="T79"/>
    </row>
    <row r="80" spans="2:20" ht="23.1" customHeight="1" x14ac:dyDescent="0.25">
      <c r="B80" s="25" t="s">
        <v>120</v>
      </c>
      <c r="C80" s="49">
        <f>AVERAGE('29.07 Ntinda-Kisaasi'!C80,'30.07 Ntinda-Kisaasi'!C80,'31.07 Ntinda-Kisaasi'!C80,'02.08 Ntinda-Kisaasi'!C80,'01.08 Ntinda-Kisaasi-24h'!C80,'03.08 Ntinda-Kisaasi-24h'!C80,'04.08 Ntinda-Kisaasi'!C80)</f>
        <v>21</v>
      </c>
      <c r="D80" s="49">
        <f>AVERAGE('29.07 Ntinda-Kisaasi'!D80,'30.07 Ntinda-Kisaasi'!D80,'31.07 Ntinda-Kisaasi'!D80,'02.08 Ntinda-Kisaasi'!D80,'01.08 Ntinda-Kisaasi-24h'!D80,'03.08 Ntinda-Kisaasi-24h'!D80,'04.08 Ntinda-Kisaasi'!D80)</f>
        <v>6</v>
      </c>
      <c r="E80" s="49">
        <f>AVERAGE('29.07 Ntinda-Kisaasi'!E80,'30.07 Ntinda-Kisaasi'!E80,'31.07 Ntinda-Kisaasi'!E80,'02.08 Ntinda-Kisaasi'!E80,'01.08 Ntinda-Kisaasi-24h'!E80,'03.08 Ntinda-Kisaasi-24h'!E80,'04.08 Ntinda-Kisaasi'!E80)</f>
        <v>2.5</v>
      </c>
      <c r="F80" s="49">
        <f>AVERAGE('29.07 Ntinda-Kisaasi'!F80,'30.07 Ntinda-Kisaasi'!F80,'31.07 Ntinda-Kisaasi'!F80,'02.08 Ntinda-Kisaasi'!F80,'01.08 Ntinda-Kisaasi-24h'!F80,'03.08 Ntinda-Kisaasi-24h'!F80,'04.08 Ntinda-Kisaasi'!F80)</f>
        <v>3</v>
      </c>
      <c r="G80" s="49">
        <f>AVERAGE('29.07 Ntinda-Kisaasi'!G80,'30.07 Ntinda-Kisaasi'!G80,'31.07 Ntinda-Kisaasi'!G80,'02.08 Ntinda-Kisaasi'!G80,'01.08 Ntinda-Kisaasi-24h'!G80,'03.08 Ntinda-Kisaasi-24h'!G80,'04.08 Ntinda-Kisaasi'!G80)</f>
        <v>0</v>
      </c>
      <c r="H80" s="49">
        <f>AVERAGE('29.07 Ntinda-Kisaasi'!H80,'30.07 Ntinda-Kisaasi'!H80,'31.07 Ntinda-Kisaasi'!H80,'02.08 Ntinda-Kisaasi'!H80,'01.08 Ntinda-Kisaasi-24h'!H80,'03.08 Ntinda-Kisaasi-24h'!H80,'04.08 Ntinda-Kisaasi'!H80)</f>
        <v>0</v>
      </c>
      <c r="I80" s="49">
        <f>AVERAGE('29.07 Ntinda-Kisaasi'!I80,'30.07 Ntinda-Kisaasi'!I80,'31.07 Ntinda-Kisaasi'!I80,'02.08 Ntinda-Kisaasi'!I80,'01.08 Ntinda-Kisaasi-24h'!I80,'03.08 Ntinda-Kisaasi-24h'!I80,'04.08 Ntinda-Kisaasi'!I80)</f>
        <v>0.5</v>
      </c>
      <c r="J80" s="49">
        <f>AVERAGE('29.07 Ntinda-Kisaasi'!J80,'30.07 Ntinda-Kisaasi'!J80,'31.07 Ntinda-Kisaasi'!J80,'02.08 Ntinda-Kisaasi'!J80,'01.08 Ntinda-Kisaasi-24h'!J80,'03.08 Ntinda-Kisaasi-24h'!J80,'04.08 Ntinda-Kisaasi'!J80)</f>
        <v>0.5</v>
      </c>
      <c r="K80" s="49">
        <f>AVERAGE('29.07 Ntinda-Kisaasi'!K80,'30.07 Ntinda-Kisaasi'!K80,'31.07 Ntinda-Kisaasi'!K80,'02.08 Ntinda-Kisaasi'!K80,'01.08 Ntinda-Kisaasi-24h'!K80,'03.08 Ntinda-Kisaasi-24h'!K80,'04.08 Ntinda-Kisaasi'!K80)</f>
        <v>0</v>
      </c>
      <c r="L80" s="49">
        <f>AVERAGE('29.07 Ntinda-Kisaasi'!L80,'30.07 Ntinda-Kisaasi'!L80,'31.07 Ntinda-Kisaasi'!L80,'02.08 Ntinda-Kisaasi'!L80,'01.08 Ntinda-Kisaasi-24h'!L80,'03.08 Ntinda-Kisaasi-24h'!L80,'04.08 Ntinda-Kisaasi'!L80)</f>
        <v>0</v>
      </c>
      <c r="M80" s="49">
        <f>AVERAGE('29.07 Ntinda-Kisaasi'!M80,'30.07 Ntinda-Kisaasi'!M80,'31.07 Ntinda-Kisaasi'!M80,'02.08 Ntinda-Kisaasi'!M80,'01.08 Ntinda-Kisaasi-24h'!M80,'03.08 Ntinda-Kisaasi-24h'!M80,'04.08 Ntinda-Kisaasi'!M80)</f>
        <v>26</v>
      </c>
      <c r="N80" s="49">
        <f>AVERAGE('29.07 Ntinda-Kisaasi'!N80,'30.07 Ntinda-Kisaasi'!N80,'31.07 Ntinda-Kisaasi'!N80,'02.08 Ntinda-Kisaasi'!N80,'01.08 Ntinda-Kisaasi-24h'!N80,'03.08 Ntinda-Kisaasi-24h'!N80,'04.08 Ntinda-Kisaasi'!N80)</f>
        <v>0</v>
      </c>
      <c r="O80" s="49">
        <f>AVERAGE('29.07 Ntinda-Kisaasi'!O80,'30.07 Ntinda-Kisaasi'!O80,'31.07 Ntinda-Kisaasi'!O80,'02.08 Ntinda-Kisaasi'!O80,'01.08 Ntinda-Kisaasi-24h'!O80,'03.08 Ntinda-Kisaasi-24h'!O80,'04.08 Ntinda-Kisaasi'!O80)</f>
        <v>33.5</v>
      </c>
      <c r="P80" s="49">
        <f>AVERAGE('29.07 Ntinda-Kisaasi'!P80,'30.07 Ntinda-Kisaasi'!P80,'31.07 Ntinda-Kisaasi'!P80,'02.08 Ntinda-Kisaasi'!P80,'01.08 Ntinda-Kisaasi-24h'!P80,'03.08 Ntinda-Kisaasi-24h'!P80,'04.08 Ntinda-Kisaasi'!P80)</f>
        <v>59.5</v>
      </c>
      <c r="R80" s="8"/>
      <c r="T80"/>
    </row>
    <row r="81" spans="2:20" ht="23.1" customHeight="1" x14ac:dyDescent="0.25">
      <c r="B81" s="23" t="s">
        <v>121</v>
      </c>
      <c r="C81" s="49">
        <f>AVERAGE('29.07 Ntinda-Kisaasi'!C81,'30.07 Ntinda-Kisaasi'!C81,'31.07 Ntinda-Kisaasi'!C81,'02.08 Ntinda-Kisaasi'!C81,'01.08 Ntinda-Kisaasi-24h'!C81,'03.08 Ntinda-Kisaasi-24h'!C81,'04.08 Ntinda-Kisaasi'!C81)</f>
        <v>24.5</v>
      </c>
      <c r="D81" s="49">
        <f>AVERAGE('29.07 Ntinda-Kisaasi'!D81,'30.07 Ntinda-Kisaasi'!D81,'31.07 Ntinda-Kisaasi'!D81,'02.08 Ntinda-Kisaasi'!D81,'01.08 Ntinda-Kisaasi-24h'!D81,'03.08 Ntinda-Kisaasi-24h'!D81,'04.08 Ntinda-Kisaasi'!D81)</f>
        <v>3.5</v>
      </c>
      <c r="E81" s="49">
        <f>AVERAGE('29.07 Ntinda-Kisaasi'!E81,'30.07 Ntinda-Kisaasi'!E81,'31.07 Ntinda-Kisaasi'!E81,'02.08 Ntinda-Kisaasi'!E81,'01.08 Ntinda-Kisaasi-24h'!E81,'03.08 Ntinda-Kisaasi-24h'!E81,'04.08 Ntinda-Kisaasi'!E81)</f>
        <v>1.5</v>
      </c>
      <c r="F81" s="49">
        <f>AVERAGE('29.07 Ntinda-Kisaasi'!F81,'30.07 Ntinda-Kisaasi'!F81,'31.07 Ntinda-Kisaasi'!F81,'02.08 Ntinda-Kisaasi'!F81,'01.08 Ntinda-Kisaasi-24h'!F81,'03.08 Ntinda-Kisaasi-24h'!F81,'04.08 Ntinda-Kisaasi'!F81)</f>
        <v>2</v>
      </c>
      <c r="G81" s="49">
        <f>AVERAGE('29.07 Ntinda-Kisaasi'!G81,'30.07 Ntinda-Kisaasi'!G81,'31.07 Ntinda-Kisaasi'!G81,'02.08 Ntinda-Kisaasi'!G81,'01.08 Ntinda-Kisaasi-24h'!G81,'03.08 Ntinda-Kisaasi-24h'!G81,'04.08 Ntinda-Kisaasi'!G81)</f>
        <v>0</v>
      </c>
      <c r="H81" s="49">
        <f>AVERAGE('29.07 Ntinda-Kisaasi'!H81,'30.07 Ntinda-Kisaasi'!H81,'31.07 Ntinda-Kisaasi'!H81,'02.08 Ntinda-Kisaasi'!H81,'01.08 Ntinda-Kisaasi-24h'!H81,'03.08 Ntinda-Kisaasi-24h'!H81,'04.08 Ntinda-Kisaasi'!H81)</f>
        <v>0</v>
      </c>
      <c r="I81" s="49">
        <f>AVERAGE('29.07 Ntinda-Kisaasi'!I81,'30.07 Ntinda-Kisaasi'!I81,'31.07 Ntinda-Kisaasi'!I81,'02.08 Ntinda-Kisaasi'!I81,'01.08 Ntinda-Kisaasi-24h'!I81,'03.08 Ntinda-Kisaasi-24h'!I81,'04.08 Ntinda-Kisaasi'!I81)</f>
        <v>0.5</v>
      </c>
      <c r="J81" s="49">
        <f>AVERAGE('29.07 Ntinda-Kisaasi'!J81,'30.07 Ntinda-Kisaasi'!J81,'31.07 Ntinda-Kisaasi'!J81,'02.08 Ntinda-Kisaasi'!J81,'01.08 Ntinda-Kisaasi-24h'!J81,'03.08 Ntinda-Kisaasi-24h'!J81,'04.08 Ntinda-Kisaasi'!J81)</f>
        <v>1</v>
      </c>
      <c r="K81" s="49">
        <f>AVERAGE('29.07 Ntinda-Kisaasi'!K81,'30.07 Ntinda-Kisaasi'!K81,'31.07 Ntinda-Kisaasi'!K81,'02.08 Ntinda-Kisaasi'!K81,'01.08 Ntinda-Kisaasi-24h'!K81,'03.08 Ntinda-Kisaasi-24h'!K81,'04.08 Ntinda-Kisaasi'!K81)</f>
        <v>0</v>
      </c>
      <c r="L81" s="49">
        <f>AVERAGE('29.07 Ntinda-Kisaasi'!L81,'30.07 Ntinda-Kisaasi'!L81,'31.07 Ntinda-Kisaasi'!L81,'02.08 Ntinda-Kisaasi'!L81,'01.08 Ntinda-Kisaasi-24h'!L81,'03.08 Ntinda-Kisaasi-24h'!L81,'04.08 Ntinda-Kisaasi'!L81)</f>
        <v>0</v>
      </c>
      <c r="M81" s="49">
        <f>AVERAGE('29.07 Ntinda-Kisaasi'!M81,'30.07 Ntinda-Kisaasi'!M81,'31.07 Ntinda-Kisaasi'!M81,'02.08 Ntinda-Kisaasi'!M81,'01.08 Ntinda-Kisaasi-24h'!M81,'03.08 Ntinda-Kisaasi-24h'!M81,'04.08 Ntinda-Kisaasi'!M81)</f>
        <v>23.5</v>
      </c>
      <c r="N81" s="49">
        <f>AVERAGE('29.07 Ntinda-Kisaasi'!N81,'30.07 Ntinda-Kisaasi'!N81,'31.07 Ntinda-Kisaasi'!N81,'02.08 Ntinda-Kisaasi'!N81,'01.08 Ntinda-Kisaasi-24h'!N81,'03.08 Ntinda-Kisaasi-24h'!N81,'04.08 Ntinda-Kisaasi'!N81)</f>
        <v>0</v>
      </c>
      <c r="O81" s="49">
        <f>AVERAGE('29.07 Ntinda-Kisaasi'!O81,'30.07 Ntinda-Kisaasi'!O81,'31.07 Ntinda-Kisaasi'!O81,'02.08 Ntinda-Kisaasi'!O81,'01.08 Ntinda-Kisaasi-24h'!O81,'03.08 Ntinda-Kisaasi-24h'!O81,'04.08 Ntinda-Kisaasi'!O81)</f>
        <v>33</v>
      </c>
      <c r="P81" s="49">
        <f>AVERAGE('29.07 Ntinda-Kisaasi'!P81,'30.07 Ntinda-Kisaasi'!P81,'31.07 Ntinda-Kisaasi'!P81,'02.08 Ntinda-Kisaasi'!P81,'01.08 Ntinda-Kisaasi-24h'!P81,'03.08 Ntinda-Kisaasi-24h'!P81,'04.08 Ntinda-Kisaasi'!P81)</f>
        <v>56.5</v>
      </c>
      <c r="R81" s="8"/>
      <c r="T81"/>
    </row>
    <row r="82" spans="2:20" ht="23.1" customHeight="1" x14ac:dyDescent="0.25">
      <c r="B82" s="24" t="s">
        <v>122</v>
      </c>
      <c r="C82" s="49">
        <f>AVERAGE('29.07 Ntinda-Kisaasi'!C82,'30.07 Ntinda-Kisaasi'!C82,'31.07 Ntinda-Kisaasi'!C82,'02.08 Ntinda-Kisaasi'!C82,'01.08 Ntinda-Kisaasi-24h'!C82,'03.08 Ntinda-Kisaasi-24h'!C82,'04.08 Ntinda-Kisaasi'!C82)</f>
        <v>23</v>
      </c>
      <c r="D82" s="49">
        <f>AVERAGE('29.07 Ntinda-Kisaasi'!D82,'30.07 Ntinda-Kisaasi'!D82,'31.07 Ntinda-Kisaasi'!D82,'02.08 Ntinda-Kisaasi'!D82,'01.08 Ntinda-Kisaasi-24h'!D82,'03.08 Ntinda-Kisaasi-24h'!D82,'04.08 Ntinda-Kisaasi'!D82)</f>
        <v>3.5</v>
      </c>
      <c r="E82" s="49">
        <f>AVERAGE('29.07 Ntinda-Kisaasi'!E82,'30.07 Ntinda-Kisaasi'!E82,'31.07 Ntinda-Kisaasi'!E82,'02.08 Ntinda-Kisaasi'!E82,'01.08 Ntinda-Kisaasi-24h'!E82,'03.08 Ntinda-Kisaasi-24h'!E82,'04.08 Ntinda-Kisaasi'!E82)</f>
        <v>1</v>
      </c>
      <c r="F82" s="49">
        <f>AVERAGE('29.07 Ntinda-Kisaasi'!F82,'30.07 Ntinda-Kisaasi'!F82,'31.07 Ntinda-Kisaasi'!F82,'02.08 Ntinda-Kisaasi'!F82,'01.08 Ntinda-Kisaasi-24h'!F82,'03.08 Ntinda-Kisaasi-24h'!F82,'04.08 Ntinda-Kisaasi'!F82)</f>
        <v>1</v>
      </c>
      <c r="G82" s="49">
        <f>AVERAGE('29.07 Ntinda-Kisaasi'!G82,'30.07 Ntinda-Kisaasi'!G82,'31.07 Ntinda-Kisaasi'!G82,'02.08 Ntinda-Kisaasi'!G82,'01.08 Ntinda-Kisaasi-24h'!G82,'03.08 Ntinda-Kisaasi-24h'!G82,'04.08 Ntinda-Kisaasi'!G82)</f>
        <v>0</v>
      </c>
      <c r="H82" s="49">
        <f>AVERAGE('29.07 Ntinda-Kisaasi'!H82,'30.07 Ntinda-Kisaasi'!H82,'31.07 Ntinda-Kisaasi'!H82,'02.08 Ntinda-Kisaasi'!H82,'01.08 Ntinda-Kisaasi-24h'!H82,'03.08 Ntinda-Kisaasi-24h'!H82,'04.08 Ntinda-Kisaasi'!H82)</f>
        <v>0</v>
      </c>
      <c r="I82" s="49">
        <f>AVERAGE('29.07 Ntinda-Kisaasi'!I82,'30.07 Ntinda-Kisaasi'!I82,'31.07 Ntinda-Kisaasi'!I82,'02.08 Ntinda-Kisaasi'!I82,'01.08 Ntinda-Kisaasi-24h'!I82,'03.08 Ntinda-Kisaasi-24h'!I82,'04.08 Ntinda-Kisaasi'!I82)</f>
        <v>0</v>
      </c>
      <c r="J82" s="49">
        <f>AVERAGE('29.07 Ntinda-Kisaasi'!J82,'30.07 Ntinda-Kisaasi'!J82,'31.07 Ntinda-Kisaasi'!J82,'02.08 Ntinda-Kisaasi'!J82,'01.08 Ntinda-Kisaasi-24h'!J82,'03.08 Ntinda-Kisaasi-24h'!J82,'04.08 Ntinda-Kisaasi'!J82)</f>
        <v>0.5</v>
      </c>
      <c r="K82" s="49">
        <f>AVERAGE('29.07 Ntinda-Kisaasi'!K82,'30.07 Ntinda-Kisaasi'!K82,'31.07 Ntinda-Kisaasi'!K82,'02.08 Ntinda-Kisaasi'!K82,'01.08 Ntinda-Kisaasi-24h'!K82,'03.08 Ntinda-Kisaasi-24h'!K82,'04.08 Ntinda-Kisaasi'!K82)</f>
        <v>0</v>
      </c>
      <c r="L82" s="49">
        <f>AVERAGE('29.07 Ntinda-Kisaasi'!L82,'30.07 Ntinda-Kisaasi'!L82,'31.07 Ntinda-Kisaasi'!L82,'02.08 Ntinda-Kisaasi'!L82,'01.08 Ntinda-Kisaasi-24h'!L82,'03.08 Ntinda-Kisaasi-24h'!L82,'04.08 Ntinda-Kisaasi'!L82)</f>
        <v>0</v>
      </c>
      <c r="M82" s="49">
        <f>AVERAGE('29.07 Ntinda-Kisaasi'!M82,'30.07 Ntinda-Kisaasi'!M82,'31.07 Ntinda-Kisaasi'!M82,'02.08 Ntinda-Kisaasi'!M82,'01.08 Ntinda-Kisaasi-24h'!M82,'03.08 Ntinda-Kisaasi-24h'!M82,'04.08 Ntinda-Kisaasi'!M82)</f>
        <v>26</v>
      </c>
      <c r="N82" s="49">
        <f>AVERAGE('29.07 Ntinda-Kisaasi'!N82,'30.07 Ntinda-Kisaasi'!N82,'31.07 Ntinda-Kisaasi'!N82,'02.08 Ntinda-Kisaasi'!N82,'01.08 Ntinda-Kisaasi-24h'!N82,'03.08 Ntinda-Kisaasi-24h'!N82,'04.08 Ntinda-Kisaasi'!N82)</f>
        <v>0</v>
      </c>
      <c r="O82" s="49">
        <f>AVERAGE('29.07 Ntinda-Kisaasi'!O82,'30.07 Ntinda-Kisaasi'!O82,'31.07 Ntinda-Kisaasi'!O82,'02.08 Ntinda-Kisaasi'!O82,'01.08 Ntinda-Kisaasi-24h'!O82,'03.08 Ntinda-Kisaasi-24h'!O82,'04.08 Ntinda-Kisaasi'!O82)</f>
        <v>29</v>
      </c>
      <c r="P82" s="49">
        <f>AVERAGE('29.07 Ntinda-Kisaasi'!P82,'30.07 Ntinda-Kisaasi'!P82,'31.07 Ntinda-Kisaasi'!P82,'02.08 Ntinda-Kisaasi'!P82,'01.08 Ntinda-Kisaasi-24h'!P82,'03.08 Ntinda-Kisaasi-24h'!P82,'04.08 Ntinda-Kisaasi'!P82)</f>
        <v>55</v>
      </c>
      <c r="R82" s="8"/>
      <c r="T82"/>
    </row>
    <row r="83" spans="2:20" ht="23.1" customHeight="1" x14ac:dyDescent="0.25">
      <c r="B83" s="23" t="s">
        <v>123</v>
      </c>
      <c r="C83" s="49">
        <f>AVERAGE('29.07 Ntinda-Kisaasi'!C83,'30.07 Ntinda-Kisaasi'!C83,'31.07 Ntinda-Kisaasi'!C83,'02.08 Ntinda-Kisaasi'!C83,'01.08 Ntinda-Kisaasi-24h'!C83,'03.08 Ntinda-Kisaasi-24h'!C83,'04.08 Ntinda-Kisaasi'!C83)</f>
        <v>18</v>
      </c>
      <c r="D83" s="49">
        <f>AVERAGE('29.07 Ntinda-Kisaasi'!D83,'30.07 Ntinda-Kisaasi'!D83,'31.07 Ntinda-Kisaasi'!D83,'02.08 Ntinda-Kisaasi'!D83,'01.08 Ntinda-Kisaasi-24h'!D83,'03.08 Ntinda-Kisaasi-24h'!D83,'04.08 Ntinda-Kisaasi'!D83)</f>
        <v>5</v>
      </c>
      <c r="E83" s="49">
        <f>AVERAGE('29.07 Ntinda-Kisaasi'!E83,'30.07 Ntinda-Kisaasi'!E83,'31.07 Ntinda-Kisaasi'!E83,'02.08 Ntinda-Kisaasi'!E83,'01.08 Ntinda-Kisaasi-24h'!E83,'03.08 Ntinda-Kisaasi-24h'!E83,'04.08 Ntinda-Kisaasi'!E83)</f>
        <v>1.5</v>
      </c>
      <c r="F83" s="49">
        <f>AVERAGE('29.07 Ntinda-Kisaasi'!F83,'30.07 Ntinda-Kisaasi'!F83,'31.07 Ntinda-Kisaasi'!F83,'02.08 Ntinda-Kisaasi'!F83,'01.08 Ntinda-Kisaasi-24h'!F83,'03.08 Ntinda-Kisaasi-24h'!F83,'04.08 Ntinda-Kisaasi'!F83)</f>
        <v>1.5</v>
      </c>
      <c r="G83" s="49">
        <f>AVERAGE('29.07 Ntinda-Kisaasi'!G83,'30.07 Ntinda-Kisaasi'!G83,'31.07 Ntinda-Kisaasi'!G83,'02.08 Ntinda-Kisaasi'!G83,'01.08 Ntinda-Kisaasi-24h'!G83,'03.08 Ntinda-Kisaasi-24h'!G83,'04.08 Ntinda-Kisaasi'!G83)</f>
        <v>0</v>
      </c>
      <c r="H83" s="49">
        <f>AVERAGE('29.07 Ntinda-Kisaasi'!H83,'30.07 Ntinda-Kisaasi'!H83,'31.07 Ntinda-Kisaasi'!H83,'02.08 Ntinda-Kisaasi'!H83,'01.08 Ntinda-Kisaasi-24h'!H83,'03.08 Ntinda-Kisaasi-24h'!H83,'04.08 Ntinda-Kisaasi'!H83)</f>
        <v>0</v>
      </c>
      <c r="I83" s="49">
        <f>AVERAGE('29.07 Ntinda-Kisaasi'!I83,'30.07 Ntinda-Kisaasi'!I83,'31.07 Ntinda-Kisaasi'!I83,'02.08 Ntinda-Kisaasi'!I83,'01.08 Ntinda-Kisaasi-24h'!I83,'03.08 Ntinda-Kisaasi-24h'!I83,'04.08 Ntinda-Kisaasi'!I83)</f>
        <v>0.5</v>
      </c>
      <c r="J83" s="49">
        <f>AVERAGE('29.07 Ntinda-Kisaasi'!J83,'30.07 Ntinda-Kisaasi'!J83,'31.07 Ntinda-Kisaasi'!J83,'02.08 Ntinda-Kisaasi'!J83,'01.08 Ntinda-Kisaasi-24h'!J83,'03.08 Ntinda-Kisaasi-24h'!J83,'04.08 Ntinda-Kisaasi'!J83)</f>
        <v>0</v>
      </c>
      <c r="K83" s="49">
        <f>AVERAGE('29.07 Ntinda-Kisaasi'!K83,'30.07 Ntinda-Kisaasi'!K83,'31.07 Ntinda-Kisaasi'!K83,'02.08 Ntinda-Kisaasi'!K83,'01.08 Ntinda-Kisaasi-24h'!K83,'03.08 Ntinda-Kisaasi-24h'!K83,'04.08 Ntinda-Kisaasi'!K83)</f>
        <v>0</v>
      </c>
      <c r="L83" s="49">
        <f>AVERAGE('29.07 Ntinda-Kisaasi'!L83,'30.07 Ntinda-Kisaasi'!L83,'31.07 Ntinda-Kisaasi'!L83,'02.08 Ntinda-Kisaasi'!L83,'01.08 Ntinda-Kisaasi-24h'!L83,'03.08 Ntinda-Kisaasi-24h'!L83,'04.08 Ntinda-Kisaasi'!L83)</f>
        <v>0.5</v>
      </c>
      <c r="M83" s="49">
        <f>AVERAGE('29.07 Ntinda-Kisaasi'!M83,'30.07 Ntinda-Kisaasi'!M83,'31.07 Ntinda-Kisaasi'!M83,'02.08 Ntinda-Kisaasi'!M83,'01.08 Ntinda-Kisaasi-24h'!M83,'03.08 Ntinda-Kisaasi-24h'!M83,'04.08 Ntinda-Kisaasi'!M83)</f>
        <v>17</v>
      </c>
      <c r="N83" s="49">
        <f>AVERAGE('29.07 Ntinda-Kisaasi'!N83,'30.07 Ntinda-Kisaasi'!N83,'31.07 Ntinda-Kisaasi'!N83,'02.08 Ntinda-Kisaasi'!N83,'01.08 Ntinda-Kisaasi-24h'!N83,'03.08 Ntinda-Kisaasi-24h'!N83,'04.08 Ntinda-Kisaasi'!N83)</f>
        <v>0</v>
      </c>
      <c r="O83" s="49">
        <f>AVERAGE('29.07 Ntinda-Kisaasi'!O83,'30.07 Ntinda-Kisaasi'!O83,'31.07 Ntinda-Kisaasi'!O83,'02.08 Ntinda-Kisaasi'!O83,'01.08 Ntinda-Kisaasi-24h'!O83,'03.08 Ntinda-Kisaasi-24h'!O83,'04.08 Ntinda-Kisaasi'!O83)</f>
        <v>27</v>
      </c>
      <c r="P83" s="49">
        <f>AVERAGE('29.07 Ntinda-Kisaasi'!P83,'30.07 Ntinda-Kisaasi'!P83,'31.07 Ntinda-Kisaasi'!P83,'02.08 Ntinda-Kisaasi'!P83,'01.08 Ntinda-Kisaasi-24h'!P83,'03.08 Ntinda-Kisaasi-24h'!P83,'04.08 Ntinda-Kisaasi'!P83)</f>
        <v>44</v>
      </c>
      <c r="R83" s="8"/>
      <c r="T83"/>
    </row>
    <row r="84" spans="2:20" ht="23.1" customHeight="1" x14ac:dyDescent="0.25">
      <c r="B84" s="25" t="s">
        <v>124</v>
      </c>
      <c r="C84" s="49">
        <f>AVERAGE('29.07 Ntinda-Kisaasi'!C84,'30.07 Ntinda-Kisaasi'!C84,'31.07 Ntinda-Kisaasi'!C84,'02.08 Ntinda-Kisaasi'!C84,'01.08 Ntinda-Kisaasi-24h'!C84,'03.08 Ntinda-Kisaasi-24h'!C84,'04.08 Ntinda-Kisaasi'!C84)</f>
        <v>25</v>
      </c>
      <c r="D84" s="49">
        <f>AVERAGE('29.07 Ntinda-Kisaasi'!D84,'30.07 Ntinda-Kisaasi'!D84,'31.07 Ntinda-Kisaasi'!D84,'02.08 Ntinda-Kisaasi'!D84,'01.08 Ntinda-Kisaasi-24h'!D84,'03.08 Ntinda-Kisaasi-24h'!D84,'04.08 Ntinda-Kisaasi'!D84)</f>
        <v>2</v>
      </c>
      <c r="E84" s="49">
        <f>AVERAGE('29.07 Ntinda-Kisaasi'!E84,'30.07 Ntinda-Kisaasi'!E84,'31.07 Ntinda-Kisaasi'!E84,'02.08 Ntinda-Kisaasi'!E84,'01.08 Ntinda-Kisaasi-24h'!E84,'03.08 Ntinda-Kisaasi-24h'!E84,'04.08 Ntinda-Kisaasi'!E84)</f>
        <v>0.5</v>
      </c>
      <c r="F84" s="49">
        <f>AVERAGE('29.07 Ntinda-Kisaasi'!F84,'30.07 Ntinda-Kisaasi'!F84,'31.07 Ntinda-Kisaasi'!F84,'02.08 Ntinda-Kisaasi'!F84,'01.08 Ntinda-Kisaasi-24h'!F84,'03.08 Ntinda-Kisaasi-24h'!F84,'04.08 Ntinda-Kisaasi'!F84)</f>
        <v>1</v>
      </c>
      <c r="G84" s="49">
        <f>AVERAGE('29.07 Ntinda-Kisaasi'!G84,'30.07 Ntinda-Kisaasi'!G84,'31.07 Ntinda-Kisaasi'!G84,'02.08 Ntinda-Kisaasi'!G84,'01.08 Ntinda-Kisaasi-24h'!G84,'03.08 Ntinda-Kisaasi-24h'!G84,'04.08 Ntinda-Kisaasi'!G84)</f>
        <v>0</v>
      </c>
      <c r="H84" s="49">
        <f>AVERAGE('29.07 Ntinda-Kisaasi'!H84,'30.07 Ntinda-Kisaasi'!H84,'31.07 Ntinda-Kisaasi'!H84,'02.08 Ntinda-Kisaasi'!H84,'01.08 Ntinda-Kisaasi-24h'!H84,'03.08 Ntinda-Kisaasi-24h'!H84,'04.08 Ntinda-Kisaasi'!H84)</f>
        <v>0</v>
      </c>
      <c r="I84" s="49">
        <f>AVERAGE('29.07 Ntinda-Kisaasi'!I84,'30.07 Ntinda-Kisaasi'!I84,'31.07 Ntinda-Kisaasi'!I84,'02.08 Ntinda-Kisaasi'!I84,'01.08 Ntinda-Kisaasi-24h'!I84,'03.08 Ntinda-Kisaasi-24h'!I84,'04.08 Ntinda-Kisaasi'!I84)</f>
        <v>0</v>
      </c>
      <c r="J84" s="49">
        <f>AVERAGE('29.07 Ntinda-Kisaasi'!J84,'30.07 Ntinda-Kisaasi'!J84,'31.07 Ntinda-Kisaasi'!J84,'02.08 Ntinda-Kisaasi'!J84,'01.08 Ntinda-Kisaasi-24h'!J84,'03.08 Ntinda-Kisaasi-24h'!J84,'04.08 Ntinda-Kisaasi'!J84)</f>
        <v>0</v>
      </c>
      <c r="K84" s="49">
        <f>AVERAGE('29.07 Ntinda-Kisaasi'!K84,'30.07 Ntinda-Kisaasi'!K84,'31.07 Ntinda-Kisaasi'!K84,'02.08 Ntinda-Kisaasi'!K84,'01.08 Ntinda-Kisaasi-24h'!K84,'03.08 Ntinda-Kisaasi-24h'!K84,'04.08 Ntinda-Kisaasi'!K84)</f>
        <v>0</v>
      </c>
      <c r="L84" s="49">
        <f>AVERAGE('29.07 Ntinda-Kisaasi'!L84,'30.07 Ntinda-Kisaasi'!L84,'31.07 Ntinda-Kisaasi'!L84,'02.08 Ntinda-Kisaasi'!L84,'01.08 Ntinda-Kisaasi-24h'!L84,'03.08 Ntinda-Kisaasi-24h'!L84,'04.08 Ntinda-Kisaasi'!L84)</f>
        <v>0</v>
      </c>
      <c r="M84" s="49">
        <f>AVERAGE('29.07 Ntinda-Kisaasi'!M84,'30.07 Ntinda-Kisaasi'!M84,'31.07 Ntinda-Kisaasi'!M84,'02.08 Ntinda-Kisaasi'!M84,'01.08 Ntinda-Kisaasi-24h'!M84,'03.08 Ntinda-Kisaasi-24h'!M84,'04.08 Ntinda-Kisaasi'!M84)</f>
        <v>18</v>
      </c>
      <c r="N84" s="49">
        <f>AVERAGE('29.07 Ntinda-Kisaasi'!N84,'30.07 Ntinda-Kisaasi'!N84,'31.07 Ntinda-Kisaasi'!N84,'02.08 Ntinda-Kisaasi'!N84,'01.08 Ntinda-Kisaasi-24h'!N84,'03.08 Ntinda-Kisaasi-24h'!N84,'04.08 Ntinda-Kisaasi'!N84)</f>
        <v>0</v>
      </c>
      <c r="O84" s="49">
        <f>AVERAGE('29.07 Ntinda-Kisaasi'!O84,'30.07 Ntinda-Kisaasi'!O84,'31.07 Ntinda-Kisaasi'!O84,'02.08 Ntinda-Kisaasi'!O84,'01.08 Ntinda-Kisaasi-24h'!O84,'03.08 Ntinda-Kisaasi-24h'!O84,'04.08 Ntinda-Kisaasi'!O84)</f>
        <v>28.5</v>
      </c>
      <c r="P84" s="49">
        <f>AVERAGE('29.07 Ntinda-Kisaasi'!P84,'30.07 Ntinda-Kisaasi'!P84,'31.07 Ntinda-Kisaasi'!P84,'02.08 Ntinda-Kisaasi'!P84,'01.08 Ntinda-Kisaasi-24h'!P84,'03.08 Ntinda-Kisaasi-24h'!P84,'04.08 Ntinda-Kisaasi'!P84)</f>
        <v>46.5</v>
      </c>
      <c r="R84" s="8"/>
      <c r="T84"/>
    </row>
    <row r="85" spans="2:20" ht="23.1" customHeight="1" x14ac:dyDescent="0.25">
      <c r="B85" s="23" t="s">
        <v>125</v>
      </c>
      <c r="C85" s="49">
        <f>AVERAGE('29.07 Ntinda-Kisaasi'!C85,'30.07 Ntinda-Kisaasi'!C85,'31.07 Ntinda-Kisaasi'!C85,'02.08 Ntinda-Kisaasi'!C85,'01.08 Ntinda-Kisaasi-24h'!C85,'03.08 Ntinda-Kisaasi-24h'!C85,'04.08 Ntinda-Kisaasi'!C85)</f>
        <v>19.5</v>
      </c>
      <c r="D85" s="49">
        <f>AVERAGE('29.07 Ntinda-Kisaasi'!D85,'30.07 Ntinda-Kisaasi'!D85,'31.07 Ntinda-Kisaasi'!D85,'02.08 Ntinda-Kisaasi'!D85,'01.08 Ntinda-Kisaasi-24h'!D85,'03.08 Ntinda-Kisaasi-24h'!D85,'04.08 Ntinda-Kisaasi'!D85)</f>
        <v>7.5</v>
      </c>
      <c r="E85" s="49">
        <f>AVERAGE('29.07 Ntinda-Kisaasi'!E85,'30.07 Ntinda-Kisaasi'!E85,'31.07 Ntinda-Kisaasi'!E85,'02.08 Ntinda-Kisaasi'!E85,'01.08 Ntinda-Kisaasi-24h'!E85,'03.08 Ntinda-Kisaasi-24h'!E85,'04.08 Ntinda-Kisaasi'!E85)</f>
        <v>0.5</v>
      </c>
      <c r="F85" s="49">
        <f>AVERAGE('29.07 Ntinda-Kisaasi'!F85,'30.07 Ntinda-Kisaasi'!F85,'31.07 Ntinda-Kisaasi'!F85,'02.08 Ntinda-Kisaasi'!F85,'01.08 Ntinda-Kisaasi-24h'!F85,'03.08 Ntinda-Kisaasi-24h'!F85,'04.08 Ntinda-Kisaasi'!F85)</f>
        <v>0</v>
      </c>
      <c r="G85" s="49">
        <f>AVERAGE('29.07 Ntinda-Kisaasi'!G85,'30.07 Ntinda-Kisaasi'!G85,'31.07 Ntinda-Kisaasi'!G85,'02.08 Ntinda-Kisaasi'!G85,'01.08 Ntinda-Kisaasi-24h'!G85,'03.08 Ntinda-Kisaasi-24h'!G85,'04.08 Ntinda-Kisaasi'!G85)</f>
        <v>0</v>
      </c>
      <c r="H85" s="49">
        <f>AVERAGE('29.07 Ntinda-Kisaasi'!H85,'30.07 Ntinda-Kisaasi'!H85,'31.07 Ntinda-Kisaasi'!H85,'02.08 Ntinda-Kisaasi'!H85,'01.08 Ntinda-Kisaasi-24h'!H85,'03.08 Ntinda-Kisaasi-24h'!H85,'04.08 Ntinda-Kisaasi'!H85)</f>
        <v>0</v>
      </c>
      <c r="I85" s="49">
        <f>AVERAGE('29.07 Ntinda-Kisaasi'!I85,'30.07 Ntinda-Kisaasi'!I85,'31.07 Ntinda-Kisaasi'!I85,'02.08 Ntinda-Kisaasi'!I85,'01.08 Ntinda-Kisaasi-24h'!I85,'03.08 Ntinda-Kisaasi-24h'!I85,'04.08 Ntinda-Kisaasi'!I85)</f>
        <v>0.5</v>
      </c>
      <c r="J85" s="49">
        <f>AVERAGE('29.07 Ntinda-Kisaasi'!J85,'30.07 Ntinda-Kisaasi'!J85,'31.07 Ntinda-Kisaasi'!J85,'02.08 Ntinda-Kisaasi'!J85,'01.08 Ntinda-Kisaasi-24h'!J85,'03.08 Ntinda-Kisaasi-24h'!J85,'04.08 Ntinda-Kisaasi'!J85)</f>
        <v>0.5</v>
      </c>
      <c r="K85" s="49">
        <f>AVERAGE('29.07 Ntinda-Kisaasi'!K85,'30.07 Ntinda-Kisaasi'!K85,'31.07 Ntinda-Kisaasi'!K85,'02.08 Ntinda-Kisaasi'!K85,'01.08 Ntinda-Kisaasi-24h'!K85,'03.08 Ntinda-Kisaasi-24h'!K85,'04.08 Ntinda-Kisaasi'!K85)</f>
        <v>0</v>
      </c>
      <c r="L85" s="49">
        <f>AVERAGE('29.07 Ntinda-Kisaasi'!L85,'30.07 Ntinda-Kisaasi'!L85,'31.07 Ntinda-Kisaasi'!L85,'02.08 Ntinda-Kisaasi'!L85,'01.08 Ntinda-Kisaasi-24h'!L85,'03.08 Ntinda-Kisaasi-24h'!L85,'04.08 Ntinda-Kisaasi'!L85)</f>
        <v>0</v>
      </c>
      <c r="M85" s="49">
        <f>AVERAGE('29.07 Ntinda-Kisaasi'!M85,'30.07 Ntinda-Kisaasi'!M85,'31.07 Ntinda-Kisaasi'!M85,'02.08 Ntinda-Kisaasi'!M85,'01.08 Ntinda-Kisaasi-24h'!M85,'03.08 Ntinda-Kisaasi-24h'!M85,'04.08 Ntinda-Kisaasi'!M85)</f>
        <v>17.5</v>
      </c>
      <c r="N85" s="49">
        <f>AVERAGE('29.07 Ntinda-Kisaasi'!N85,'30.07 Ntinda-Kisaasi'!N85,'31.07 Ntinda-Kisaasi'!N85,'02.08 Ntinda-Kisaasi'!N85,'01.08 Ntinda-Kisaasi-24h'!N85,'03.08 Ntinda-Kisaasi-24h'!N85,'04.08 Ntinda-Kisaasi'!N85)</f>
        <v>0</v>
      </c>
      <c r="O85" s="49">
        <f>AVERAGE('29.07 Ntinda-Kisaasi'!O85,'30.07 Ntinda-Kisaasi'!O85,'31.07 Ntinda-Kisaasi'!O85,'02.08 Ntinda-Kisaasi'!O85,'01.08 Ntinda-Kisaasi-24h'!O85,'03.08 Ntinda-Kisaasi-24h'!O85,'04.08 Ntinda-Kisaasi'!O85)</f>
        <v>28.5</v>
      </c>
      <c r="P85" s="49">
        <f>AVERAGE('29.07 Ntinda-Kisaasi'!P85,'30.07 Ntinda-Kisaasi'!P85,'31.07 Ntinda-Kisaasi'!P85,'02.08 Ntinda-Kisaasi'!P85,'01.08 Ntinda-Kisaasi-24h'!P85,'03.08 Ntinda-Kisaasi-24h'!P85,'04.08 Ntinda-Kisaasi'!P85)</f>
        <v>46</v>
      </c>
      <c r="R85" s="8"/>
      <c r="T85"/>
    </row>
    <row r="86" spans="2:20" ht="23.1" customHeight="1" x14ac:dyDescent="0.25">
      <c r="B86" s="24" t="s">
        <v>126</v>
      </c>
      <c r="C86" s="49">
        <f>AVERAGE('29.07 Ntinda-Kisaasi'!C86,'30.07 Ntinda-Kisaasi'!C86,'31.07 Ntinda-Kisaasi'!C86,'02.08 Ntinda-Kisaasi'!C86,'01.08 Ntinda-Kisaasi-24h'!C86,'03.08 Ntinda-Kisaasi-24h'!C86,'04.08 Ntinda-Kisaasi'!C86)</f>
        <v>10</v>
      </c>
      <c r="D86" s="49">
        <f>AVERAGE('29.07 Ntinda-Kisaasi'!D86,'30.07 Ntinda-Kisaasi'!D86,'31.07 Ntinda-Kisaasi'!D86,'02.08 Ntinda-Kisaasi'!D86,'01.08 Ntinda-Kisaasi-24h'!D86,'03.08 Ntinda-Kisaasi-24h'!D86,'04.08 Ntinda-Kisaasi'!D86)</f>
        <v>2</v>
      </c>
      <c r="E86" s="49">
        <f>AVERAGE('29.07 Ntinda-Kisaasi'!E86,'30.07 Ntinda-Kisaasi'!E86,'31.07 Ntinda-Kisaasi'!E86,'02.08 Ntinda-Kisaasi'!E86,'01.08 Ntinda-Kisaasi-24h'!E86,'03.08 Ntinda-Kisaasi-24h'!E86,'04.08 Ntinda-Kisaasi'!E86)</f>
        <v>1.5</v>
      </c>
      <c r="F86" s="49">
        <f>AVERAGE('29.07 Ntinda-Kisaasi'!F86,'30.07 Ntinda-Kisaasi'!F86,'31.07 Ntinda-Kisaasi'!F86,'02.08 Ntinda-Kisaasi'!F86,'01.08 Ntinda-Kisaasi-24h'!F86,'03.08 Ntinda-Kisaasi-24h'!F86,'04.08 Ntinda-Kisaasi'!F86)</f>
        <v>0.5</v>
      </c>
      <c r="G86" s="49">
        <f>AVERAGE('29.07 Ntinda-Kisaasi'!G86,'30.07 Ntinda-Kisaasi'!G86,'31.07 Ntinda-Kisaasi'!G86,'02.08 Ntinda-Kisaasi'!G86,'01.08 Ntinda-Kisaasi-24h'!G86,'03.08 Ntinda-Kisaasi-24h'!G86,'04.08 Ntinda-Kisaasi'!G86)</f>
        <v>0</v>
      </c>
      <c r="H86" s="49">
        <f>AVERAGE('29.07 Ntinda-Kisaasi'!H86,'30.07 Ntinda-Kisaasi'!H86,'31.07 Ntinda-Kisaasi'!H86,'02.08 Ntinda-Kisaasi'!H86,'01.08 Ntinda-Kisaasi-24h'!H86,'03.08 Ntinda-Kisaasi-24h'!H86,'04.08 Ntinda-Kisaasi'!H86)</f>
        <v>0</v>
      </c>
      <c r="I86" s="49">
        <f>AVERAGE('29.07 Ntinda-Kisaasi'!I86,'30.07 Ntinda-Kisaasi'!I86,'31.07 Ntinda-Kisaasi'!I86,'02.08 Ntinda-Kisaasi'!I86,'01.08 Ntinda-Kisaasi-24h'!I86,'03.08 Ntinda-Kisaasi-24h'!I86,'04.08 Ntinda-Kisaasi'!I86)</f>
        <v>0</v>
      </c>
      <c r="J86" s="49">
        <f>AVERAGE('29.07 Ntinda-Kisaasi'!J86,'30.07 Ntinda-Kisaasi'!J86,'31.07 Ntinda-Kisaasi'!J86,'02.08 Ntinda-Kisaasi'!J86,'01.08 Ntinda-Kisaasi-24h'!J86,'03.08 Ntinda-Kisaasi-24h'!J86,'04.08 Ntinda-Kisaasi'!J86)</f>
        <v>0</v>
      </c>
      <c r="K86" s="49">
        <f>AVERAGE('29.07 Ntinda-Kisaasi'!K86,'30.07 Ntinda-Kisaasi'!K86,'31.07 Ntinda-Kisaasi'!K86,'02.08 Ntinda-Kisaasi'!K86,'01.08 Ntinda-Kisaasi-24h'!K86,'03.08 Ntinda-Kisaasi-24h'!K86,'04.08 Ntinda-Kisaasi'!K86)</f>
        <v>0</v>
      </c>
      <c r="L86" s="49">
        <f>AVERAGE('29.07 Ntinda-Kisaasi'!L86,'30.07 Ntinda-Kisaasi'!L86,'31.07 Ntinda-Kisaasi'!L86,'02.08 Ntinda-Kisaasi'!L86,'01.08 Ntinda-Kisaasi-24h'!L86,'03.08 Ntinda-Kisaasi-24h'!L86,'04.08 Ntinda-Kisaasi'!L86)</f>
        <v>0</v>
      </c>
      <c r="M86" s="49">
        <f>AVERAGE('29.07 Ntinda-Kisaasi'!M86,'30.07 Ntinda-Kisaasi'!M86,'31.07 Ntinda-Kisaasi'!M86,'02.08 Ntinda-Kisaasi'!M86,'01.08 Ntinda-Kisaasi-24h'!M86,'03.08 Ntinda-Kisaasi-24h'!M86,'04.08 Ntinda-Kisaasi'!M86)</f>
        <v>8</v>
      </c>
      <c r="N86" s="49">
        <f>AVERAGE('29.07 Ntinda-Kisaasi'!N86,'30.07 Ntinda-Kisaasi'!N86,'31.07 Ntinda-Kisaasi'!N86,'02.08 Ntinda-Kisaasi'!N86,'01.08 Ntinda-Kisaasi-24h'!N86,'03.08 Ntinda-Kisaasi-24h'!N86,'04.08 Ntinda-Kisaasi'!N86)</f>
        <v>0</v>
      </c>
      <c r="O86" s="49">
        <f>AVERAGE('29.07 Ntinda-Kisaasi'!O86,'30.07 Ntinda-Kisaasi'!O86,'31.07 Ntinda-Kisaasi'!O86,'02.08 Ntinda-Kisaasi'!O86,'01.08 Ntinda-Kisaasi-24h'!O86,'03.08 Ntinda-Kisaasi-24h'!O86,'04.08 Ntinda-Kisaasi'!O86)</f>
        <v>14</v>
      </c>
      <c r="P86" s="49">
        <f>AVERAGE('29.07 Ntinda-Kisaasi'!P86,'30.07 Ntinda-Kisaasi'!P86,'31.07 Ntinda-Kisaasi'!P86,'02.08 Ntinda-Kisaasi'!P86,'01.08 Ntinda-Kisaasi-24h'!P86,'03.08 Ntinda-Kisaasi-24h'!P86,'04.08 Ntinda-Kisaasi'!P86)</f>
        <v>22</v>
      </c>
      <c r="R86" s="8"/>
      <c r="T86"/>
    </row>
    <row r="87" spans="2:20" ht="23.1" customHeight="1" x14ac:dyDescent="0.25">
      <c r="B87" s="23" t="s">
        <v>127</v>
      </c>
      <c r="C87" s="49">
        <f>AVERAGE('29.07 Ntinda-Kisaasi'!C87,'30.07 Ntinda-Kisaasi'!C87,'31.07 Ntinda-Kisaasi'!C87,'02.08 Ntinda-Kisaasi'!C87,'01.08 Ntinda-Kisaasi-24h'!C87,'03.08 Ntinda-Kisaasi-24h'!C87,'04.08 Ntinda-Kisaasi'!C87)</f>
        <v>11.5</v>
      </c>
      <c r="D87" s="49">
        <f>AVERAGE('29.07 Ntinda-Kisaasi'!D87,'30.07 Ntinda-Kisaasi'!D87,'31.07 Ntinda-Kisaasi'!D87,'02.08 Ntinda-Kisaasi'!D87,'01.08 Ntinda-Kisaasi-24h'!D87,'03.08 Ntinda-Kisaasi-24h'!D87,'04.08 Ntinda-Kisaasi'!D87)</f>
        <v>2.5</v>
      </c>
      <c r="E87" s="49">
        <f>AVERAGE('29.07 Ntinda-Kisaasi'!E87,'30.07 Ntinda-Kisaasi'!E87,'31.07 Ntinda-Kisaasi'!E87,'02.08 Ntinda-Kisaasi'!E87,'01.08 Ntinda-Kisaasi-24h'!E87,'03.08 Ntinda-Kisaasi-24h'!E87,'04.08 Ntinda-Kisaasi'!E87)</f>
        <v>2.5</v>
      </c>
      <c r="F87" s="49">
        <f>AVERAGE('29.07 Ntinda-Kisaasi'!F87,'30.07 Ntinda-Kisaasi'!F87,'31.07 Ntinda-Kisaasi'!F87,'02.08 Ntinda-Kisaasi'!F87,'01.08 Ntinda-Kisaasi-24h'!F87,'03.08 Ntinda-Kisaasi-24h'!F87,'04.08 Ntinda-Kisaasi'!F87)</f>
        <v>0</v>
      </c>
      <c r="G87" s="49">
        <f>AVERAGE('29.07 Ntinda-Kisaasi'!G87,'30.07 Ntinda-Kisaasi'!G87,'31.07 Ntinda-Kisaasi'!G87,'02.08 Ntinda-Kisaasi'!G87,'01.08 Ntinda-Kisaasi-24h'!G87,'03.08 Ntinda-Kisaasi-24h'!G87,'04.08 Ntinda-Kisaasi'!G87)</f>
        <v>0</v>
      </c>
      <c r="H87" s="49">
        <f>AVERAGE('29.07 Ntinda-Kisaasi'!H87,'30.07 Ntinda-Kisaasi'!H87,'31.07 Ntinda-Kisaasi'!H87,'02.08 Ntinda-Kisaasi'!H87,'01.08 Ntinda-Kisaasi-24h'!H87,'03.08 Ntinda-Kisaasi-24h'!H87,'04.08 Ntinda-Kisaasi'!H87)</f>
        <v>0</v>
      </c>
      <c r="I87" s="49">
        <f>AVERAGE('29.07 Ntinda-Kisaasi'!I87,'30.07 Ntinda-Kisaasi'!I87,'31.07 Ntinda-Kisaasi'!I87,'02.08 Ntinda-Kisaasi'!I87,'01.08 Ntinda-Kisaasi-24h'!I87,'03.08 Ntinda-Kisaasi-24h'!I87,'04.08 Ntinda-Kisaasi'!I87)</f>
        <v>0</v>
      </c>
      <c r="J87" s="49">
        <f>AVERAGE('29.07 Ntinda-Kisaasi'!J87,'30.07 Ntinda-Kisaasi'!J87,'31.07 Ntinda-Kisaasi'!J87,'02.08 Ntinda-Kisaasi'!J87,'01.08 Ntinda-Kisaasi-24h'!J87,'03.08 Ntinda-Kisaasi-24h'!J87,'04.08 Ntinda-Kisaasi'!J87)</f>
        <v>0.5</v>
      </c>
      <c r="K87" s="49">
        <f>AVERAGE('29.07 Ntinda-Kisaasi'!K87,'30.07 Ntinda-Kisaasi'!K87,'31.07 Ntinda-Kisaasi'!K87,'02.08 Ntinda-Kisaasi'!K87,'01.08 Ntinda-Kisaasi-24h'!K87,'03.08 Ntinda-Kisaasi-24h'!K87,'04.08 Ntinda-Kisaasi'!K87)</f>
        <v>0</v>
      </c>
      <c r="L87" s="49">
        <f>AVERAGE('29.07 Ntinda-Kisaasi'!L87,'30.07 Ntinda-Kisaasi'!L87,'31.07 Ntinda-Kisaasi'!L87,'02.08 Ntinda-Kisaasi'!L87,'01.08 Ntinda-Kisaasi-24h'!L87,'03.08 Ntinda-Kisaasi-24h'!L87,'04.08 Ntinda-Kisaasi'!L87)</f>
        <v>0</v>
      </c>
      <c r="M87" s="49">
        <f>AVERAGE('29.07 Ntinda-Kisaasi'!M87,'30.07 Ntinda-Kisaasi'!M87,'31.07 Ntinda-Kisaasi'!M87,'02.08 Ntinda-Kisaasi'!M87,'01.08 Ntinda-Kisaasi-24h'!M87,'03.08 Ntinda-Kisaasi-24h'!M87,'04.08 Ntinda-Kisaasi'!M87)</f>
        <v>19</v>
      </c>
      <c r="N87" s="49">
        <f>AVERAGE('29.07 Ntinda-Kisaasi'!N87,'30.07 Ntinda-Kisaasi'!N87,'31.07 Ntinda-Kisaasi'!N87,'02.08 Ntinda-Kisaasi'!N87,'01.08 Ntinda-Kisaasi-24h'!N87,'03.08 Ntinda-Kisaasi-24h'!N87,'04.08 Ntinda-Kisaasi'!N87)</f>
        <v>0</v>
      </c>
      <c r="O87" s="49">
        <f>AVERAGE('29.07 Ntinda-Kisaasi'!O87,'30.07 Ntinda-Kisaasi'!O87,'31.07 Ntinda-Kisaasi'!O87,'02.08 Ntinda-Kisaasi'!O87,'01.08 Ntinda-Kisaasi-24h'!O87,'03.08 Ntinda-Kisaasi-24h'!O87,'04.08 Ntinda-Kisaasi'!O87)</f>
        <v>17</v>
      </c>
      <c r="P87" s="49">
        <f>AVERAGE('29.07 Ntinda-Kisaasi'!P87,'30.07 Ntinda-Kisaasi'!P87,'31.07 Ntinda-Kisaasi'!P87,'02.08 Ntinda-Kisaasi'!P87,'01.08 Ntinda-Kisaasi-24h'!P87,'03.08 Ntinda-Kisaasi-24h'!P87,'04.08 Ntinda-Kisaasi'!P87)</f>
        <v>36</v>
      </c>
      <c r="R87" s="8"/>
      <c r="T87"/>
    </row>
    <row r="88" spans="2:20" ht="23.1" customHeight="1" x14ac:dyDescent="0.25">
      <c r="B88" s="25" t="s">
        <v>128</v>
      </c>
      <c r="C88" s="49">
        <f>AVERAGE('29.07 Ntinda-Kisaasi'!C88,'30.07 Ntinda-Kisaasi'!C88,'31.07 Ntinda-Kisaasi'!C88,'02.08 Ntinda-Kisaasi'!C88,'01.08 Ntinda-Kisaasi-24h'!C88,'03.08 Ntinda-Kisaasi-24h'!C88,'04.08 Ntinda-Kisaasi'!C88)</f>
        <v>12.5</v>
      </c>
      <c r="D88" s="49">
        <f>AVERAGE('29.07 Ntinda-Kisaasi'!D88,'30.07 Ntinda-Kisaasi'!D88,'31.07 Ntinda-Kisaasi'!D88,'02.08 Ntinda-Kisaasi'!D88,'01.08 Ntinda-Kisaasi-24h'!D88,'03.08 Ntinda-Kisaasi-24h'!D88,'04.08 Ntinda-Kisaasi'!D88)</f>
        <v>2</v>
      </c>
      <c r="E88" s="49">
        <f>AVERAGE('29.07 Ntinda-Kisaasi'!E88,'30.07 Ntinda-Kisaasi'!E88,'31.07 Ntinda-Kisaasi'!E88,'02.08 Ntinda-Kisaasi'!E88,'01.08 Ntinda-Kisaasi-24h'!E88,'03.08 Ntinda-Kisaasi-24h'!E88,'04.08 Ntinda-Kisaasi'!E88)</f>
        <v>1.5</v>
      </c>
      <c r="F88" s="49">
        <f>AVERAGE('29.07 Ntinda-Kisaasi'!F88,'30.07 Ntinda-Kisaasi'!F88,'31.07 Ntinda-Kisaasi'!F88,'02.08 Ntinda-Kisaasi'!F88,'01.08 Ntinda-Kisaasi-24h'!F88,'03.08 Ntinda-Kisaasi-24h'!F88,'04.08 Ntinda-Kisaasi'!F88)</f>
        <v>0</v>
      </c>
      <c r="G88" s="49">
        <f>AVERAGE('29.07 Ntinda-Kisaasi'!G88,'30.07 Ntinda-Kisaasi'!G88,'31.07 Ntinda-Kisaasi'!G88,'02.08 Ntinda-Kisaasi'!G88,'01.08 Ntinda-Kisaasi-24h'!G88,'03.08 Ntinda-Kisaasi-24h'!G88,'04.08 Ntinda-Kisaasi'!G88)</f>
        <v>0</v>
      </c>
      <c r="H88" s="49">
        <f>AVERAGE('29.07 Ntinda-Kisaasi'!H88,'30.07 Ntinda-Kisaasi'!H88,'31.07 Ntinda-Kisaasi'!H88,'02.08 Ntinda-Kisaasi'!H88,'01.08 Ntinda-Kisaasi-24h'!H88,'03.08 Ntinda-Kisaasi-24h'!H88,'04.08 Ntinda-Kisaasi'!H88)</f>
        <v>0</v>
      </c>
      <c r="I88" s="49">
        <f>AVERAGE('29.07 Ntinda-Kisaasi'!I88,'30.07 Ntinda-Kisaasi'!I88,'31.07 Ntinda-Kisaasi'!I88,'02.08 Ntinda-Kisaasi'!I88,'01.08 Ntinda-Kisaasi-24h'!I88,'03.08 Ntinda-Kisaasi-24h'!I88,'04.08 Ntinda-Kisaasi'!I88)</f>
        <v>0</v>
      </c>
      <c r="J88" s="49">
        <f>AVERAGE('29.07 Ntinda-Kisaasi'!J88,'30.07 Ntinda-Kisaasi'!J88,'31.07 Ntinda-Kisaasi'!J88,'02.08 Ntinda-Kisaasi'!J88,'01.08 Ntinda-Kisaasi-24h'!J88,'03.08 Ntinda-Kisaasi-24h'!J88,'04.08 Ntinda-Kisaasi'!J88)</f>
        <v>0</v>
      </c>
      <c r="K88" s="49">
        <f>AVERAGE('29.07 Ntinda-Kisaasi'!K88,'30.07 Ntinda-Kisaasi'!K88,'31.07 Ntinda-Kisaasi'!K88,'02.08 Ntinda-Kisaasi'!K88,'01.08 Ntinda-Kisaasi-24h'!K88,'03.08 Ntinda-Kisaasi-24h'!K88,'04.08 Ntinda-Kisaasi'!K88)</f>
        <v>0</v>
      </c>
      <c r="L88" s="49">
        <f>AVERAGE('29.07 Ntinda-Kisaasi'!L88,'30.07 Ntinda-Kisaasi'!L88,'31.07 Ntinda-Kisaasi'!L88,'02.08 Ntinda-Kisaasi'!L88,'01.08 Ntinda-Kisaasi-24h'!L88,'03.08 Ntinda-Kisaasi-24h'!L88,'04.08 Ntinda-Kisaasi'!L88)</f>
        <v>0</v>
      </c>
      <c r="M88" s="49">
        <f>AVERAGE('29.07 Ntinda-Kisaasi'!M88,'30.07 Ntinda-Kisaasi'!M88,'31.07 Ntinda-Kisaasi'!M88,'02.08 Ntinda-Kisaasi'!M88,'01.08 Ntinda-Kisaasi-24h'!M88,'03.08 Ntinda-Kisaasi-24h'!M88,'04.08 Ntinda-Kisaasi'!M88)</f>
        <v>17</v>
      </c>
      <c r="N88" s="49">
        <f>AVERAGE('29.07 Ntinda-Kisaasi'!N88,'30.07 Ntinda-Kisaasi'!N88,'31.07 Ntinda-Kisaasi'!N88,'02.08 Ntinda-Kisaasi'!N88,'01.08 Ntinda-Kisaasi-24h'!N88,'03.08 Ntinda-Kisaasi-24h'!N88,'04.08 Ntinda-Kisaasi'!N88)</f>
        <v>0</v>
      </c>
      <c r="O88" s="49">
        <f>AVERAGE('29.07 Ntinda-Kisaasi'!O88,'30.07 Ntinda-Kisaasi'!O88,'31.07 Ntinda-Kisaasi'!O88,'02.08 Ntinda-Kisaasi'!O88,'01.08 Ntinda-Kisaasi-24h'!O88,'03.08 Ntinda-Kisaasi-24h'!O88,'04.08 Ntinda-Kisaasi'!O88)</f>
        <v>16</v>
      </c>
      <c r="P88" s="49">
        <f>AVERAGE('29.07 Ntinda-Kisaasi'!P88,'30.07 Ntinda-Kisaasi'!P88,'31.07 Ntinda-Kisaasi'!P88,'02.08 Ntinda-Kisaasi'!P88,'01.08 Ntinda-Kisaasi-24h'!P88,'03.08 Ntinda-Kisaasi-24h'!P88,'04.08 Ntinda-Kisaasi'!P88)</f>
        <v>33</v>
      </c>
      <c r="R88" s="8"/>
      <c r="T88"/>
    </row>
    <row r="89" spans="2:20" ht="23.1" customHeight="1" x14ac:dyDescent="0.25">
      <c r="B89" s="23" t="s">
        <v>129</v>
      </c>
      <c r="C89" s="49">
        <f>AVERAGE('29.07 Ntinda-Kisaasi'!C89,'30.07 Ntinda-Kisaasi'!C89,'31.07 Ntinda-Kisaasi'!C89,'02.08 Ntinda-Kisaasi'!C89,'01.08 Ntinda-Kisaasi-24h'!C89,'03.08 Ntinda-Kisaasi-24h'!C89,'04.08 Ntinda-Kisaasi'!C89)</f>
        <v>14</v>
      </c>
      <c r="D89" s="49">
        <f>AVERAGE('29.07 Ntinda-Kisaasi'!D89,'30.07 Ntinda-Kisaasi'!D89,'31.07 Ntinda-Kisaasi'!D89,'02.08 Ntinda-Kisaasi'!D89,'01.08 Ntinda-Kisaasi-24h'!D89,'03.08 Ntinda-Kisaasi-24h'!D89,'04.08 Ntinda-Kisaasi'!D89)</f>
        <v>4.5</v>
      </c>
      <c r="E89" s="49">
        <f>AVERAGE('29.07 Ntinda-Kisaasi'!E89,'30.07 Ntinda-Kisaasi'!E89,'31.07 Ntinda-Kisaasi'!E89,'02.08 Ntinda-Kisaasi'!E89,'01.08 Ntinda-Kisaasi-24h'!E89,'03.08 Ntinda-Kisaasi-24h'!E89,'04.08 Ntinda-Kisaasi'!E89)</f>
        <v>2</v>
      </c>
      <c r="F89" s="49">
        <f>AVERAGE('29.07 Ntinda-Kisaasi'!F89,'30.07 Ntinda-Kisaasi'!F89,'31.07 Ntinda-Kisaasi'!F89,'02.08 Ntinda-Kisaasi'!F89,'01.08 Ntinda-Kisaasi-24h'!F89,'03.08 Ntinda-Kisaasi-24h'!F89,'04.08 Ntinda-Kisaasi'!F89)</f>
        <v>0.5</v>
      </c>
      <c r="G89" s="49">
        <f>AVERAGE('29.07 Ntinda-Kisaasi'!G89,'30.07 Ntinda-Kisaasi'!G89,'31.07 Ntinda-Kisaasi'!G89,'02.08 Ntinda-Kisaasi'!G89,'01.08 Ntinda-Kisaasi-24h'!G89,'03.08 Ntinda-Kisaasi-24h'!G89,'04.08 Ntinda-Kisaasi'!G89)</f>
        <v>0</v>
      </c>
      <c r="H89" s="49">
        <f>AVERAGE('29.07 Ntinda-Kisaasi'!H89,'30.07 Ntinda-Kisaasi'!H89,'31.07 Ntinda-Kisaasi'!H89,'02.08 Ntinda-Kisaasi'!H89,'01.08 Ntinda-Kisaasi-24h'!H89,'03.08 Ntinda-Kisaasi-24h'!H89,'04.08 Ntinda-Kisaasi'!H89)</f>
        <v>0</v>
      </c>
      <c r="I89" s="49">
        <f>AVERAGE('29.07 Ntinda-Kisaasi'!I89,'30.07 Ntinda-Kisaasi'!I89,'31.07 Ntinda-Kisaasi'!I89,'02.08 Ntinda-Kisaasi'!I89,'01.08 Ntinda-Kisaasi-24h'!I89,'03.08 Ntinda-Kisaasi-24h'!I89,'04.08 Ntinda-Kisaasi'!I89)</f>
        <v>0</v>
      </c>
      <c r="J89" s="49">
        <f>AVERAGE('29.07 Ntinda-Kisaasi'!J89,'30.07 Ntinda-Kisaasi'!J89,'31.07 Ntinda-Kisaasi'!J89,'02.08 Ntinda-Kisaasi'!J89,'01.08 Ntinda-Kisaasi-24h'!J89,'03.08 Ntinda-Kisaasi-24h'!J89,'04.08 Ntinda-Kisaasi'!J89)</f>
        <v>0</v>
      </c>
      <c r="K89" s="49">
        <f>AVERAGE('29.07 Ntinda-Kisaasi'!K89,'30.07 Ntinda-Kisaasi'!K89,'31.07 Ntinda-Kisaasi'!K89,'02.08 Ntinda-Kisaasi'!K89,'01.08 Ntinda-Kisaasi-24h'!K89,'03.08 Ntinda-Kisaasi-24h'!K89,'04.08 Ntinda-Kisaasi'!K89)</f>
        <v>0</v>
      </c>
      <c r="L89" s="49">
        <f>AVERAGE('29.07 Ntinda-Kisaasi'!L89,'30.07 Ntinda-Kisaasi'!L89,'31.07 Ntinda-Kisaasi'!L89,'02.08 Ntinda-Kisaasi'!L89,'01.08 Ntinda-Kisaasi-24h'!L89,'03.08 Ntinda-Kisaasi-24h'!L89,'04.08 Ntinda-Kisaasi'!L89)</f>
        <v>0</v>
      </c>
      <c r="M89" s="49">
        <f>AVERAGE('29.07 Ntinda-Kisaasi'!M89,'30.07 Ntinda-Kisaasi'!M89,'31.07 Ntinda-Kisaasi'!M89,'02.08 Ntinda-Kisaasi'!M89,'01.08 Ntinda-Kisaasi-24h'!M89,'03.08 Ntinda-Kisaasi-24h'!M89,'04.08 Ntinda-Kisaasi'!M89)</f>
        <v>19.5</v>
      </c>
      <c r="N89" s="49">
        <f>AVERAGE('29.07 Ntinda-Kisaasi'!N89,'30.07 Ntinda-Kisaasi'!N89,'31.07 Ntinda-Kisaasi'!N89,'02.08 Ntinda-Kisaasi'!N89,'01.08 Ntinda-Kisaasi-24h'!N89,'03.08 Ntinda-Kisaasi-24h'!N89,'04.08 Ntinda-Kisaasi'!N89)</f>
        <v>0</v>
      </c>
      <c r="O89" s="49">
        <f>AVERAGE('29.07 Ntinda-Kisaasi'!O89,'30.07 Ntinda-Kisaasi'!O89,'31.07 Ntinda-Kisaasi'!O89,'02.08 Ntinda-Kisaasi'!O89,'01.08 Ntinda-Kisaasi-24h'!O89,'03.08 Ntinda-Kisaasi-24h'!O89,'04.08 Ntinda-Kisaasi'!O89)</f>
        <v>21</v>
      </c>
      <c r="P89" s="49">
        <f>AVERAGE('29.07 Ntinda-Kisaasi'!P89,'30.07 Ntinda-Kisaasi'!P89,'31.07 Ntinda-Kisaasi'!P89,'02.08 Ntinda-Kisaasi'!P89,'01.08 Ntinda-Kisaasi-24h'!P89,'03.08 Ntinda-Kisaasi-24h'!P89,'04.08 Ntinda-Kisaasi'!P89)</f>
        <v>40.5</v>
      </c>
      <c r="R89" s="8"/>
      <c r="T89"/>
    </row>
    <row r="90" spans="2:20" ht="23.1" customHeight="1" x14ac:dyDescent="0.25">
      <c r="B90" s="24" t="s">
        <v>130</v>
      </c>
      <c r="C90" s="49">
        <f>AVERAGE('29.07 Ntinda-Kisaasi'!C90,'30.07 Ntinda-Kisaasi'!C90,'31.07 Ntinda-Kisaasi'!C90,'02.08 Ntinda-Kisaasi'!C90,'01.08 Ntinda-Kisaasi-24h'!C90,'03.08 Ntinda-Kisaasi-24h'!C90,'04.08 Ntinda-Kisaasi'!C90)</f>
        <v>11.5</v>
      </c>
      <c r="D90" s="49">
        <f>AVERAGE('29.07 Ntinda-Kisaasi'!D90,'30.07 Ntinda-Kisaasi'!D90,'31.07 Ntinda-Kisaasi'!D90,'02.08 Ntinda-Kisaasi'!D90,'01.08 Ntinda-Kisaasi-24h'!D90,'03.08 Ntinda-Kisaasi-24h'!D90,'04.08 Ntinda-Kisaasi'!D90)</f>
        <v>3</v>
      </c>
      <c r="E90" s="49">
        <f>AVERAGE('29.07 Ntinda-Kisaasi'!E90,'30.07 Ntinda-Kisaasi'!E90,'31.07 Ntinda-Kisaasi'!E90,'02.08 Ntinda-Kisaasi'!E90,'01.08 Ntinda-Kisaasi-24h'!E90,'03.08 Ntinda-Kisaasi-24h'!E90,'04.08 Ntinda-Kisaasi'!E90)</f>
        <v>0</v>
      </c>
      <c r="F90" s="49">
        <f>AVERAGE('29.07 Ntinda-Kisaasi'!F90,'30.07 Ntinda-Kisaasi'!F90,'31.07 Ntinda-Kisaasi'!F90,'02.08 Ntinda-Kisaasi'!F90,'01.08 Ntinda-Kisaasi-24h'!F90,'03.08 Ntinda-Kisaasi-24h'!F90,'04.08 Ntinda-Kisaasi'!F90)</f>
        <v>0.5</v>
      </c>
      <c r="G90" s="49">
        <f>AVERAGE('29.07 Ntinda-Kisaasi'!G90,'30.07 Ntinda-Kisaasi'!G90,'31.07 Ntinda-Kisaasi'!G90,'02.08 Ntinda-Kisaasi'!G90,'01.08 Ntinda-Kisaasi-24h'!G90,'03.08 Ntinda-Kisaasi-24h'!G90,'04.08 Ntinda-Kisaasi'!G90)</f>
        <v>0</v>
      </c>
      <c r="H90" s="49">
        <f>AVERAGE('29.07 Ntinda-Kisaasi'!H90,'30.07 Ntinda-Kisaasi'!H90,'31.07 Ntinda-Kisaasi'!H90,'02.08 Ntinda-Kisaasi'!H90,'01.08 Ntinda-Kisaasi-24h'!H90,'03.08 Ntinda-Kisaasi-24h'!H90,'04.08 Ntinda-Kisaasi'!H90)</f>
        <v>0</v>
      </c>
      <c r="I90" s="49">
        <f>AVERAGE('29.07 Ntinda-Kisaasi'!I90,'30.07 Ntinda-Kisaasi'!I90,'31.07 Ntinda-Kisaasi'!I90,'02.08 Ntinda-Kisaasi'!I90,'01.08 Ntinda-Kisaasi-24h'!I90,'03.08 Ntinda-Kisaasi-24h'!I90,'04.08 Ntinda-Kisaasi'!I90)</f>
        <v>1</v>
      </c>
      <c r="J90" s="49">
        <f>AVERAGE('29.07 Ntinda-Kisaasi'!J90,'30.07 Ntinda-Kisaasi'!J90,'31.07 Ntinda-Kisaasi'!J90,'02.08 Ntinda-Kisaasi'!J90,'01.08 Ntinda-Kisaasi-24h'!J90,'03.08 Ntinda-Kisaasi-24h'!J90,'04.08 Ntinda-Kisaasi'!J90)</f>
        <v>0</v>
      </c>
      <c r="K90" s="49">
        <f>AVERAGE('29.07 Ntinda-Kisaasi'!K90,'30.07 Ntinda-Kisaasi'!K90,'31.07 Ntinda-Kisaasi'!K90,'02.08 Ntinda-Kisaasi'!K90,'01.08 Ntinda-Kisaasi-24h'!K90,'03.08 Ntinda-Kisaasi-24h'!K90,'04.08 Ntinda-Kisaasi'!K90)</f>
        <v>0</v>
      </c>
      <c r="L90" s="49">
        <f>AVERAGE('29.07 Ntinda-Kisaasi'!L90,'30.07 Ntinda-Kisaasi'!L90,'31.07 Ntinda-Kisaasi'!L90,'02.08 Ntinda-Kisaasi'!L90,'01.08 Ntinda-Kisaasi-24h'!L90,'03.08 Ntinda-Kisaasi-24h'!L90,'04.08 Ntinda-Kisaasi'!L90)</f>
        <v>0</v>
      </c>
      <c r="M90" s="49">
        <f>AVERAGE('29.07 Ntinda-Kisaasi'!M90,'30.07 Ntinda-Kisaasi'!M90,'31.07 Ntinda-Kisaasi'!M90,'02.08 Ntinda-Kisaasi'!M90,'01.08 Ntinda-Kisaasi-24h'!M90,'03.08 Ntinda-Kisaasi-24h'!M90,'04.08 Ntinda-Kisaasi'!M90)</f>
        <v>12.5</v>
      </c>
      <c r="N90" s="49">
        <f>AVERAGE('29.07 Ntinda-Kisaasi'!N90,'30.07 Ntinda-Kisaasi'!N90,'31.07 Ntinda-Kisaasi'!N90,'02.08 Ntinda-Kisaasi'!N90,'01.08 Ntinda-Kisaasi-24h'!N90,'03.08 Ntinda-Kisaasi-24h'!N90,'04.08 Ntinda-Kisaasi'!N90)</f>
        <v>0</v>
      </c>
      <c r="O90" s="49">
        <f>AVERAGE('29.07 Ntinda-Kisaasi'!O90,'30.07 Ntinda-Kisaasi'!O90,'31.07 Ntinda-Kisaasi'!O90,'02.08 Ntinda-Kisaasi'!O90,'01.08 Ntinda-Kisaasi-24h'!O90,'03.08 Ntinda-Kisaasi-24h'!O90,'04.08 Ntinda-Kisaasi'!O90)</f>
        <v>16</v>
      </c>
      <c r="P90" s="49">
        <f>AVERAGE('29.07 Ntinda-Kisaasi'!P90,'30.07 Ntinda-Kisaasi'!P90,'31.07 Ntinda-Kisaasi'!P90,'02.08 Ntinda-Kisaasi'!P90,'01.08 Ntinda-Kisaasi-24h'!P90,'03.08 Ntinda-Kisaasi-24h'!P90,'04.08 Ntinda-Kisaasi'!P90)</f>
        <v>28.5</v>
      </c>
      <c r="R90" s="8"/>
      <c r="T90"/>
    </row>
    <row r="91" spans="2:20" ht="23.1" customHeight="1" x14ac:dyDescent="0.25">
      <c r="B91" s="23" t="s">
        <v>131</v>
      </c>
      <c r="C91" s="49">
        <f>AVERAGE('29.07 Ntinda-Kisaasi'!C91,'30.07 Ntinda-Kisaasi'!C91,'31.07 Ntinda-Kisaasi'!C91,'02.08 Ntinda-Kisaasi'!C91,'01.08 Ntinda-Kisaasi-24h'!C91,'03.08 Ntinda-Kisaasi-24h'!C91,'04.08 Ntinda-Kisaasi'!C91)</f>
        <v>8</v>
      </c>
      <c r="D91" s="49">
        <f>AVERAGE('29.07 Ntinda-Kisaasi'!D91,'30.07 Ntinda-Kisaasi'!D91,'31.07 Ntinda-Kisaasi'!D91,'02.08 Ntinda-Kisaasi'!D91,'01.08 Ntinda-Kisaasi-24h'!D91,'03.08 Ntinda-Kisaasi-24h'!D91,'04.08 Ntinda-Kisaasi'!D91)</f>
        <v>6.5</v>
      </c>
      <c r="E91" s="49">
        <f>AVERAGE('29.07 Ntinda-Kisaasi'!E91,'30.07 Ntinda-Kisaasi'!E91,'31.07 Ntinda-Kisaasi'!E91,'02.08 Ntinda-Kisaasi'!E91,'01.08 Ntinda-Kisaasi-24h'!E91,'03.08 Ntinda-Kisaasi-24h'!E91,'04.08 Ntinda-Kisaasi'!E91)</f>
        <v>2</v>
      </c>
      <c r="F91" s="49">
        <f>AVERAGE('29.07 Ntinda-Kisaasi'!F91,'30.07 Ntinda-Kisaasi'!F91,'31.07 Ntinda-Kisaasi'!F91,'02.08 Ntinda-Kisaasi'!F91,'01.08 Ntinda-Kisaasi-24h'!F91,'03.08 Ntinda-Kisaasi-24h'!F91,'04.08 Ntinda-Kisaasi'!F91)</f>
        <v>0</v>
      </c>
      <c r="G91" s="49">
        <f>AVERAGE('29.07 Ntinda-Kisaasi'!G91,'30.07 Ntinda-Kisaasi'!G91,'31.07 Ntinda-Kisaasi'!G91,'02.08 Ntinda-Kisaasi'!G91,'01.08 Ntinda-Kisaasi-24h'!G91,'03.08 Ntinda-Kisaasi-24h'!G91,'04.08 Ntinda-Kisaasi'!G91)</f>
        <v>0</v>
      </c>
      <c r="H91" s="49">
        <f>AVERAGE('29.07 Ntinda-Kisaasi'!H91,'30.07 Ntinda-Kisaasi'!H91,'31.07 Ntinda-Kisaasi'!H91,'02.08 Ntinda-Kisaasi'!H91,'01.08 Ntinda-Kisaasi-24h'!H91,'03.08 Ntinda-Kisaasi-24h'!H91,'04.08 Ntinda-Kisaasi'!H91)</f>
        <v>0</v>
      </c>
      <c r="I91" s="49">
        <f>AVERAGE('29.07 Ntinda-Kisaasi'!I91,'30.07 Ntinda-Kisaasi'!I91,'31.07 Ntinda-Kisaasi'!I91,'02.08 Ntinda-Kisaasi'!I91,'01.08 Ntinda-Kisaasi-24h'!I91,'03.08 Ntinda-Kisaasi-24h'!I91,'04.08 Ntinda-Kisaasi'!I91)</f>
        <v>1</v>
      </c>
      <c r="J91" s="49">
        <f>AVERAGE('29.07 Ntinda-Kisaasi'!J91,'30.07 Ntinda-Kisaasi'!J91,'31.07 Ntinda-Kisaasi'!J91,'02.08 Ntinda-Kisaasi'!J91,'01.08 Ntinda-Kisaasi-24h'!J91,'03.08 Ntinda-Kisaasi-24h'!J91,'04.08 Ntinda-Kisaasi'!J91)</f>
        <v>0.5</v>
      </c>
      <c r="K91" s="49">
        <f>AVERAGE('29.07 Ntinda-Kisaasi'!K91,'30.07 Ntinda-Kisaasi'!K91,'31.07 Ntinda-Kisaasi'!K91,'02.08 Ntinda-Kisaasi'!K91,'01.08 Ntinda-Kisaasi-24h'!K91,'03.08 Ntinda-Kisaasi-24h'!K91,'04.08 Ntinda-Kisaasi'!K91)</f>
        <v>0</v>
      </c>
      <c r="L91" s="49">
        <f>AVERAGE('29.07 Ntinda-Kisaasi'!L91,'30.07 Ntinda-Kisaasi'!L91,'31.07 Ntinda-Kisaasi'!L91,'02.08 Ntinda-Kisaasi'!L91,'01.08 Ntinda-Kisaasi-24h'!L91,'03.08 Ntinda-Kisaasi-24h'!L91,'04.08 Ntinda-Kisaasi'!L91)</f>
        <v>0</v>
      </c>
      <c r="M91" s="49">
        <f>AVERAGE('29.07 Ntinda-Kisaasi'!M91,'30.07 Ntinda-Kisaasi'!M91,'31.07 Ntinda-Kisaasi'!M91,'02.08 Ntinda-Kisaasi'!M91,'01.08 Ntinda-Kisaasi-24h'!M91,'03.08 Ntinda-Kisaasi-24h'!M91,'04.08 Ntinda-Kisaasi'!M91)</f>
        <v>18</v>
      </c>
      <c r="N91" s="49">
        <f>AVERAGE('29.07 Ntinda-Kisaasi'!N91,'30.07 Ntinda-Kisaasi'!N91,'31.07 Ntinda-Kisaasi'!N91,'02.08 Ntinda-Kisaasi'!N91,'01.08 Ntinda-Kisaasi-24h'!N91,'03.08 Ntinda-Kisaasi-24h'!N91,'04.08 Ntinda-Kisaasi'!N91)</f>
        <v>0</v>
      </c>
      <c r="O91" s="49">
        <f>AVERAGE('29.07 Ntinda-Kisaasi'!O91,'30.07 Ntinda-Kisaasi'!O91,'31.07 Ntinda-Kisaasi'!O91,'02.08 Ntinda-Kisaasi'!O91,'01.08 Ntinda-Kisaasi-24h'!O91,'03.08 Ntinda-Kisaasi-24h'!O91,'04.08 Ntinda-Kisaasi'!O91)</f>
        <v>18</v>
      </c>
      <c r="P91" s="49">
        <f>AVERAGE('29.07 Ntinda-Kisaasi'!P91,'30.07 Ntinda-Kisaasi'!P91,'31.07 Ntinda-Kisaasi'!P91,'02.08 Ntinda-Kisaasi'!P91,'01.08 Ntinda-Kisaasi-24h'!P91,'03.08 Ntinda-Kisaasi-24h'!P91,'04.08 Ntinda-Kisaasi'!P91)</f>
        <v>36</v>
      </c>
      <c r="R91" s="8"/>
      <c r="T91"/>
    </row>
    <row r="92" spans="2:20" ht="23.1" customHeight="1" x14ac:dyDescent="0.25">
      <c r="B92" s="25" t="s">
        <v>132</v>
      </c>
      <c r="C92" s="49">
        <f>AVERAGE('29.07 Ntinda-Kisaasi'!C92,'30.07 Ntinda-Kisaasi'!C92,'31.07 Ntinda-Kisaasi'!C92,'02.08 Ntinda-Kisaasi'!C92,'01.08 Ntinda-Kisaasi-24h'!C92,'03.08 Ntinda-Kisaasi-24h'!C92,'04.08 Ntinda-Kisaasi'!C92)</f>
        <v>11.5</v>
      </c>
      <c r="D92" s="49">
        <f>AVERAGE('29.07 Ntinda-Kisaasi'!D92,'30.07 Ntinda-Kisaasi'!D92,'31.07 Ntinda-Kisaasi'!D92,'02.08 Ntinda-Kisaasi'!D92,'01.08 Ntinda-Kisaasi-24h'!D92,'03.08 Ntinda-Kisaasi-24h'!D92,'04.08 Ntinda-Kisaasi'!D92)</f>
        <v>2.5</v>
      </c>
      <c r="E92" s="49">
        <f>AVERAGE('29.07 Ntinda-Kisaasi'!E92,'30.07 Ntinda-Kisaasi'!E92,'31.07 Ntinda-Kisaasi'!E92,'02.08 Ntinda-Kisaasi'!E92,'01.08 Ntinda-Kisaasi-24h'!E92,'03.08 Ntinda-Kisaasi-24h'!E92,'04.08 Ntinda-Kisaasi'!E92)</f>
        <v>0.5</v>
      </c>
      <c r="F92" s="49">
        <f>AVERAGE('29.07 Ntinda-Kisaasi'!F92,'30.07 Ntinda-Kisaasi'!F92,'31.07 Ntinda-Kisaasi'!F92,'02.08 Ntinda-Kisaasi'!F92,'01.08 Ntinda-Kisaasi-24h'!F92,'03.08 Ntinda-Kisaasi-24h'!F92,'04.08 Ntinda-Kisaasi'!F92)</f>
        <v>0</v>
      </c>
      <c r="G92" s="49">
        <f>AVERAGE('29.07 Ntinda-Kisaasi'!G92,'30.07 Ntinda-Kisaasi'!G92,'31.07 Ntinda-Kisaasi'!G92,'02.08 Ntinda-Kisaasi'!G92,'01.08 Ntinda-Kisaasi-24h'!G92,'03.08 Ntinda-Kisaasi-24h'!G92,'04.08 Ntinda-Kisaasi'!G92)</f>
        <v>0</v>
      </c>
      <c r="H92" s="49">
        <f>AVERAGE('29.07 Ntinda-Kisaasi'!H92,'30.07 Ntinda-Kisaasi'!H92,'31.07 Ntinda-Kisaasi'!H92,'02.08 Ntinda-Kisaasi'!H92,'01.08 Ntinda-Kisaasi-24h'!H92,'03.08 Ntinda-Kisaasi-24h'!H92,'04.08 Ntinda-Kisaasi'!H92)</f>
        <v>0</v>
      </c>
      <c r="I92" s="49">
        <f>AVERAGE('29.07 Ntinda-Kisaasi'!I92,'30.07 Ntinda-Kisaasi'!I92,'31.07 Ntinda-Kisaasi'!I92,'02.08 Ntinda-Kisaasi'!I92,'01.08 Ntinda-Kisaasi-24h'!I92,'03.08 Ntinda-Kisaasi-24h'!I92,'04.08 Ntinda-Kisaasi'!I92)</f>
        <v>0.5</v>
      </c>
      <c r="J92" s="49">
        <f>AVERAGE('29.07 Ntinda-Kisaasi'!J92,'30.07 Ntinda-Kisaasi'!J92,'31.07 Ntinda-Kisaasi'!J92,'02.08 Ntinda-Kisaasi'!J92,'01.08 Ntinda-Kisaasi-24h'!J92,'03.08 Ntinda-Kisaasi-24h'!J92,'04.08 Ntinda-Kisaasi'!J92)</f>
        <v>0</v>
      </c>
      <c r="K92" s="49">
        <f>AVERAGE('29.07 Ntinda-Kisaasi'!K92,'30.07 Ntinda-Kisaasi'!K92,'31.07 Ntinda-Kisaasi'!K92,'02.08 Ntinda-Kisaasi'!K92,'01.08 Ntinda-Kisaasi-24h'!K92,'03.08 Ntinda-Kisaasi-24h'!K92,'04.08 Ntinda-Kisaasi'!K92)</f>
        <v>0</v>
      </c>
      <c r="L92" s="49">
        <f>AVERAGE('29.07 Ntinda-Kisaasi'!L92,'30.07 Ntinda-Kisaasi'!L92,'31.07 Ntinda-Kisaasi'!L92,'02.08 Ntinda-Kisaasi'!L92,'01.08 Ntinda-Kisaasi-24h'!L92,'03.08 Ntinda-Kisaasi-24h'!L92,'04.08 Ntinda-Kisaasi'!L92)</f>
        <v>0</v>
      </c>
      <c r="M92" s="49">
        <f>AVERAGE('29.07 Ntinda-Kisaasi'!M92,'30.07 Ntinda-Kisaasi'!M92,'31.07 Ntinda-Kisaasi'!M92,'02.08 Ntinda-Kisaasi'!M92,'01.08 Ntinda-Kisaasi-24h'!M92,'03.08 Ntinda-Kisaasi-24h'!M92,'04.08 Ntinda-Kisaasi'!M92)</f>
        <v>4.5</v>
      </c>
      <c r="N92" s="49">
        <f>AVERAGE('29.07 Ntinda-Kisaasi'!N92,'30.07 Ntinda-Kisaasi'!N92,'31.07 Ntinda-Kisaasi'!N92,'02.08 Ntinda-Kisaasi'!N92,'01.08 Ntinda-Kisaasi-24h'!N92,'03.08 Ntinda-Kisaasi-24h'!N92,'04.08 Ntinda-Kisaasi'!N92)</f>
        <v>0</v>
      </c>
      <c r="O92" s="49">
        <f>AVERAGE('29.07 Ntinda-Kisaasi'!O92,'30.07 Ntinda-Kisaasi'!O92,'31.07 Ntinda-Kisaasi'!O92,'02.08 Ntinda-Kisaasi'!O92,'01.08 Ntinda-Kisaasi-24h'!O92,'03.08 Ntinda-Kisaasi-24h'!O92,'04.08 Ntinda-Kisaasi'!O92)</f>
        <v>15</v>
      </c>
      <c r="P92" s="49">
        <f>AVERAGE('29.07 Ntinda-Kisaasi'!P92,'30.07 Ntinda-Kisaasi'!P92,'31.07 Ntinda-Kisaasi'!P92,'02.08 Ntinda-Kisaasi'!P92,'01.08 Ntinda-Kisaasi-24h'!P92,'03.08 Ntinda-Kisaasi-24h'!P92,'04.08 Ntinda-Kisaasi'!P92)</f>
        <v>19.5</v>
      </c>
      <c r="R92" s="8"/>
      <c r="T92"/>
    </row>
    <row r="93" spans="2:20" ht="23.1" customHeight="1" x14ac:dyDescent="0.25">
      <c r="B93" s="23" t="s">
        <v>133</v>
      </c>
      <c r="C93" s="49">
        <f>AVERAGE('29.07 Ntinda-Kisaasi'!C93,'30.07 Ntinda-Kisaasi'!C93,'31.07 Ntinda-Kisaasi'!C93,'02.08 Ntinda-Kisaasi'!C93,'01.08 Ntinda-Kisaasi-24h'!C93,'03.08 Ntinda-Kisaasi-24h'!C93,'04.08 Ntinda-Kisaasi'!C93)</f>
        <v>13.5</v>
      </c>
      <c r="D93" s="49">
        <f>AVERAGE('29.07 Ntinda-Kisaasi'!D93,'30.07 Ntinda-Kisaasi'!D93,'31.07 Ntinda-Kisaasi'!D93,'02.08 Ntinda-Kisaasi'!D93,'01.08 Ntinda-Kisaasi-24h'!D93,'03.08 Ntinda-Kisaasi-24h'!D93,'04.08 Ntinda-Kisaasi'!D93)</f>
        <v>4</v>
      </c>
      <c r="E93" s="49">
        <f>AVERAGE('29.07 Ntinda-Kisaasi'!E93,'30.07 Ntinda-Kisaasi'!E93,'31.07 Ntinda-Kisaasi'!E93,'02.08 Ntinda-Kisaasi'!E93,'01.08 Ntinda-Kisaasi-24h'!E93,'03.08 Ntinda-Kisaasi-24h'!E93,'04.08 Ntinda-Kisaasi'!E93)</f>
        <v>0.5</v>
      </c>
      <c r="F93" s="49">
        <f>AVERAGE('29.07 Ntinda-Kisaasi'!F93,'30.07 Ntinda-Kisaasi'!F93,'31.07 Ntinda-Kisaasi'!F93,'02.08 Ntinda-Kisaasi'!F93,'01.08 Ntinda-Kisaasi-24h'!F93,'03.08 Ntinda-Kisaasi-24h'!F93,'04.08 Ntinda-Kisaasi'!F93)</f>
        <v>0</v>
      </c>
      <c r="G93" s="49">
        <f>AVERAGE('29.07 Ntinda-Kisaasi'!G93,'30.07 Ntinda-Kisaasi'!G93,'31.07 Ntinda-Kisaasi'!G93,'02.08 Ntinda-Kisaasi'!G93,'01.08 Ntinda-Kisaasi-24h'!G93,'03.08 Ntinda-Kisaasi-24h'!G93,'04.08 Ntinda-Kisaasi'!G93)</f>
        <v>0</v>
      </c>
      <c r="H93" s="49">
        <f>AVERAGE('29.07 Ntinda-Kisaasi'!H93,'30.07 Ntinda-Kisaasi'!H93,'31.07 Ntinda-Kisaasi'!H93,'02.08 Ntinda-Kisaasi'!H93,'01.08 Ntinda-Kisaasi-24h'!H93,'03.08 Ntinda-Kisaasi-24h'!H93,'04.08 Ntinda-Kisaasi'!H93)</f>
        <v>0</v>
      </c>
      <c r="I93" s="49">
        <f>AVERAGE('29.07 Ntinda-Kisaasi'!I93,'30.07 Ntinda-Kisaasi'!I93,'31.07 Ntinda-Kisaasi'!I93,'02.08 Ntinda-Kisaasi'!I93,'01.08 Ntinda-Kisaasi-24h'!I93,'03.08 Ntinda-Kisaasi-24h'!I93,'04.08 Ntinda-Kisaasi'!I93)</f>
        <v>0.5</v>
      </c>
      <c r="J93" s="49">
        <f>AVERAGE('29.07 Ntinda-Kisaasi'!J93,'30.07 Ntinda-Kisaasi'!J93,'31.07 Ntinda-Kisaasi'!J93,'02.08 Ntinda-Kisaasi'!J93,'01.08 Ntinda-Kisaasi-24h'!J93,'03.08 Ntinda-Kisaasi-24h'!J93,'04.08 Ntinda-Kisaasi'!J93)</f>
        <v>0</v>
      </c>
      <c r="K93" s="49">
        <f>AVERAGE('29.07 Ntinda-Kisaasi'!K93,'30.07 Ntinda-Kisaasi'!K93,'31.07 Ntinda-Kisaasi'!K93,'02.08 Ntinda-Kisaasi'!K93,'01.08 Ntinda-Kisaasi-24h'!K93,'03.08 Ntinda-Kisaasi-24h'!K93,'04.08 Ntinda-Kisaasi'!K93)</f>
        <v>0</v>
      </c>
      <c r="L93" s="49">
        <f>AVERAGE('29.07 Ntinda-Kisaasi'!L93,'30.07 Ntinda-Kisaasi'!L93,'31.07 Ntinda-Kisaasi'!L93,'02.08 Ntinda-Kisaasi'!L93,'01.08 Ntinda-Kisaasi-24h'!L93,'03.08 Ntinda-Kisaasi-24h'!L93,'04.08 Ntinda-Kisaasi'!L93)</f>
        <v>0.5</v>
      </c>
      <c r="M93" s="49">
        <f>AVERAGE('29.07 Ntinda-Kisaasi'!M93,'30.07 Ntinda-Kisaasi'!M93,'31.07 Ntinda-Kisaasi'!M93,'02.08 Ntinda-Kisaasi'!M93,'01.08 Ntinda-Kisaasi-24h'!M93,'03.08 Ntinda-Kisaasi-24h'!M93,'04.08 Ntinda-Kisaasi'!M93)</f>
        <v>12</v>
      </c>
      <c r="N93" s="49">
        <f>AVERAGE('29.07 Ntinda-Kisaasi'!N93,'30.07 Ntinda-Kisaasi'!N93,'31.07 Ntinda-Kisaasi'!N93,'02.08 Ntinda-Kisaasi'!N93,'01.08 Ntinda-Kisaasi-24h'!N93,'03.08 Ntinda-Kisaasi-24h'!N93,'04.08 Ntinda-Kisaasi'!N93)</f>
        <v>0</v>
      </c>
      <c r="O93" s="49">
        <f>AVERAGE('29.07 Ntinda-Kisaasi'!O93,'30.07 Ntinda-Kisaasi'!O93,'31.07 Ntinda-Kisaasi'!O93,'02.08 Ntinda-Kisaasi'!O93,'01.08 Ntinda-Kisaasi-24h'!O93,'03.08 Ntinda-Kisaasi-24h'!O93,'04.08 Ntinda-Kisaasi'!O93)</f>
        <v>19</v>
      </c>
      <c r="P93" s="49">
        <f>AVERAGE('29.07 Ntinda-Kisaasi'!P93,'30.07 Ntinda-Kisaasi'!P93,'31.07 Ntinda-Kisaasi'!P93,'02.08 Ntinda-Kisaasi'!P93,'01.08 Ntinda-Kisaasi-24h'!P93,'03.08 Ntinda-Kisaasi-24h'!P93,'04.08 Ntinda-Kisaasi'!P93)</f>
        <v>31</v>
      </c>
      <c r="R93" s="8"/>
      <c r="T93"/>
    </row>
    <row r="94" spans="2:20" ht="23.1" customHeight="1" x14ac:dyDescent="0.25">
      <c r="B94" s="24" t="s">
        <v>134</v>
      </c>
      <c r="C94" s="49">
        <f>AVERAGE('29.07 Ntinda-Kisaasi'!C94,'30.07 Ntinda-Kisaasi'!C94,'31.07 Ntinda-Kisaasi'!C94,'02.08 Ntinda-Kisaasi'!C94,'01.08 Ntinda-Kisaasi-24h'!C94,'03.08 Ntinda-Kisaasi-24h'!C94,'04.08 Ntinda-Kisaasi'!C94)</f>
        <v>11.5</v>
      </c>
      <c r="D94" s="49">
        <f>AVERAGE('29.07 Ntinda-Kisaasi'!D94,'30.07 Ntinda-Kisaasi'!D94,'31.07 Ntinda-Kisaasi'!D94,'02.08 Ntinda-Kisaasi'!D94,'01.08 Ntinda-Kisaasi-24h'!D94,'03.08 Ntinda-Kisaasi-24h'!D94,'04.08 Ntinda-Kisaasi'!D94)</f>
        <v>5</v>
      </c>
      <c r="E94" s="49">
        <f>AVERAGE('29.07 Ntinda-Kisaasi'!E94,'30.07 Ntinda-Kisaasi'!E94,'31.07 Ntinda-Kisaasi'!E94,'02.08 Ntinda-Kisaasi'!E94,'01.08 Ntinda-Kisaasi-24h'!E94,'03.08 Ntinda-Kisaasi-24h'!E94,'04.08 Ntinda-Kisaasi'!E94)</f>
        <v>0.5</v>
      </c>
      <c r="F94" s="49">
        <f>AVERAGE('29.07 Ntinda-Kisaasi'!F94,'30.07 Ntinda-Kisaasi'!F94,'31.07 Ntinda-Kisaasi'!F94,'02.08 Ntinda-Kisaasi'!F94,'01.08 Ntinda-Kisaasi-24h'!F94,'03.08 Ntinda-Kisaasi-24h'!F94,'04.08 Ntinda-Kisaasi'!F94)</f>
        <v>1.5</v>
      </c>
      <c r="G94" s="49">
        <f>AVERAGE('29.07 Ntinda-Kisaasi'!G94,'30.07 Ntinda-Kisaasi'!G94,'31.07 Ntinda-Kisaasi'!G94,'02.08 Ntinda-Kisaasi'!G94,'01.08 Ntinda-Kisaasi-24h'!G94,'03.08 Ntinda-Kisaasi-24h'!G94,'04.08 Ntinda-Kisaasi'!G94)</f>
        <v>0</v>
      </c>
      <c r="H94" s="49">
        <f>AVERAGE('29.07 Ntinda-Kisaasi'!H94,'30.07 Ntinda-Kisaasi'!H94,'31.07 Ntinda-Kisaasi'!H94,'02.08 Ntinda-Kisaasi'!H94,'01.08 Ntinda-Kisaasi-24h'!H94,'03.08 Ntinda-Kisaasi-24h'!H94,'04.08 Ntinda-Kisaasi'!H94)</f>
        <v>0</v>
      </c>
      <c r="I94" s="49">
        <f>AVERAGE('29.07 Ntinda-Kisaasi'!I94,'30.07 Ntinda-Kisaasi'!I94,'31.07 Ntinda-Kisaasi'!I94,'02.08 Ntinda-Kisaasi'!I94,'01.08 Ntinda-Kisaasi-24h'!I94,'03.08 Ntinda-Kisaasi-24h'!I94,'04.08 Ntinda-Kisaasi'!I94)</f>
        <v>1</v>
      </c>
      <c r="J94" s="49">
        <f>AVERAGE('29.07 Ntinda-Kisaasi'!J94,'30.07 Ntinda-Kisaasi'!J94,'31.07 Ntinda-Kisaasi'!J94,'02.08 Ntinda-Kisaasi'!J94,'01.08 Ntinda-Kisaasi-24h'!J94,'03.08 Ntinda-Kisaasi-24h'!J94,'04.08 Ntinda-Kisaasi'!J94)</f>
        <v>0.5</v>
      </c>
      <c r="K94" s="49">
        <f>AVERAGE('29.07 Ntinda-Kisaasi'!K94,'30.07 Ntinda-Kisaasi'!K94,'31.07 Ntinda-Kisaasi'!K94,'02.08 Ntinda-Kisaasi'!K94,'01.08 Ntinda-Kisaasi-24h'!K94,'03.08 Ntinda-Kisaasi-24h'!K94,'04.08 Ntinda-Kisaasi'!K94)</f>
        <v>0.5</v>
      </c>
      <c r="L94" s="49">
        <f>AVERAGE('29.07 Ntinda-Kisaasi'!L94,'30.07 Ntinda-Kisaasi'!L94,'31.07 Ntinda-Kisaasi'!L94,'02.08 Ntinda-Kisaasi'!L94,'01.08 Ntinda-Kisaasi-24h'!L94,'03.08 Ntinda-Kisaasi-24h'!L94,'04.08 Ntinda-Kisaasi'!L94)</f>
        <v>0</v>
      </c>
      <c r="M94" s="49">
        <f>AVERAGE('29.07 Ntinda-Kisaasi'!M94,'30.07 Ntinda-Kisaasi'!M94,'31.07 Ntinda-Kisaasi'!M94,'02.08 Ntinda-Kisaasi'!M94,'01.08 Ntinda-Kisaasi-24h'!M94,'03.08 Ntinda-Kisaasi-24h'!M94,'04.08 Ntinda-Kisaasi'!M94)</f>
        <v>16</v>
      </c>
      <c r="N94" s="49">
        <f>AVERAGE('29.07 Ntinda-Kisaasi'!N94,'30.07 Ntinda-Kisaasi'!N94,'31.07 Ntinda-Kisaasi'!N94,'02.08 Ntinda-Kisaasi'!N94,'01.08 Ntinda-Kisaasi-24h'!N94,'03.08 Ntinda-Kisaasi-24h'!N94,'04.08 Ntinda-Kisaasi'!N94)</f>
        <v>0</v>
      </c>
      <c r="O94" s="49">
        <f>AVERAGE('29.07 Ntinda-Kisaasi'!O94,'30.07 Ntinda-Kisaasi'!O94,'31.07 Ntinda-Kisaasi'!O94,'02.08 Ntinda-Kisaasi'!O94,'01.08 Ntinda-Kisaasi-24h'!O94,'03.08 Ntinda-Kisaasi-24h'!O94,'04.08 Ntinda-Kisaasi'!O94)</f>
        <v>20.5</v>
      </c>
      <c r="P94" s="49">
        <f>AVERAGE('29.07 Ntinda-Kisaasi'!P94,'30.07 Ntinda-Kisaasi'!P94,'31.07 Ntinda-Kisaasi'!P94,'02.08 Ntinda-Kisaasi'!P94,'01.08 Ntinda-Kisaasi-24h'!P94,'03.08 Ntinda-Kisaasi-24h'!P94,'04.08 Ntinda-Kisaasi'!P94)</f>
        <v>36.5</v>
      </c>
      <c r="R94" s="8"/>
      <c r="T94"/>
    </row>
    <row r="95" spans="2:20" ht="23.1" customHeight="1" x14ac:dyDescent="0.25">
      <c r="B95" s="23" t="s">
        <v>135</v>
      </c>
      <c r="C95" s="49">
        <f>AVERAGE('29.07 Ntinda-Kisaasi'!C95,'30.07 Ntinda-Kisaasi'!C95,'31.07 Ntinda-Kisaasi'!C95,'02.08 Ntinda-Kisaasi'!C95,'01.08 Ntinda-Kisaasi-24h'!C95,'03.08 Ntinda-Kisaasi-24h'!C95,'04.08 Ntinda-Kisaasi'!C95)</f>
        <v>7.5</v>
      </c>
      <c r="D95" s="49">
        <f>AVERAGE('29.07 Ntinda-Kisaasi'!D95,'30.07 Ntinda-Kisaasi'!D95,'31.07 Ntinda-Kisaasi'!D95,'02.08 Ntinda-Kisaasi'!D95,'01.08 Ntinda-Kisaasi-24h'!D95,'03.08 Ntinda-Kisaasi-24h'!D95,'04.08 Ntinda-Kisaasi'!D95)</f>
        <v>5</v>
      </c>
      <c r="E95" s="49">
        <f>AVERAGE('29.07 Ntinda-Kisaasi'!E95,'30.07 Ntinda-Kisaasi'!E95,'31.07 Ntinda-Kisaasi'!E95,'02.08 Ntinda-Kisaasi'!E95,'01.08 Ntinda-Kisaasi-24h'!E95,'03.08 Ntinda-Kisaasi-24h'!E95,'04.08 Ntinda-Kisaasi'!E95)</f>
        <v>1.5</v>
      </c>
      <c r="F95" s="49">
        <f>AVERAGE('29.07 Ntinda-Kisaasi'!F95,'30.07 Ntinda-Kisaasi'!F95,'31.07 Ntinda-Kisaasi'!F95,'02.08 Ntinda-Kisaasi'!F95,'01.08 Ntinda-Kisaasi-24h'!F95,'03.08 Ntinda-Kisaasi-24h'!F95,'04.08 Ntinda-Kisaasi'!F95)</f>
        <v>1.5</v>
      </c>
      <c r="G95" s="49">
        <f>AVERAGE('29.07 Ntinda-Kisaasi'!G95,'30.07 Ntinda-Kisaasi'!G95,'31.07 Ntinda-Kisaasi'!G95,'02.08 Ntinda-Kisaasi'!G95,'01.08 Ntinda-Kisaasi-24h'!G95,'03.08 Ntinda-Kisaasi-24h'!G95,'04.08 Ntinda-Kisaasi'!G95)</f>
        <v>0</v>
      </c>
      <c r="H95" s="49">
        <f>AVERAGE('29.07 Ntinda-Kisaasi'!H95,'30.07 Ntinda-Kisaasi'!H95,'31.07 Ntinda-Kisaasi'!H95,'02.08 Ntinda-Kisaasi'!H95,'01.08 Ntinda-Kisaasi-24h'!H95,'03.08 Ntinda-Kisaasi-24h'!H95,'04.08 Ntinda-Kisaasi'!H95)</f>
        <v>0</v>
      </c>
      <c r="I95" s="49">
        <f>AVERAGE('29.07 Ntinda-Kisaasi'!I95,'30.07 Ntinda-Kisaasi'!I95,'31.07 Ntinda-Kisaasi'!I95,'02.08 Ntinda-Kisaasi'!I95,'01.08 Ntinda-Kisaasi-24h'!I95,'03.08 Ntinda-Kisaasi-24h'!I95,'04.08 Ntinda-Kisaasi'!I95)</f>
        <v>0.5</v>
      </c>
      <c r="J95" s="49">
        <f>AVERAGE('29.07 Ntinda-Kisaasi'!J95,'30.07 Ntinda-Kisaasi'!J95,'31.07 Ntinda-Kisaasi'!J95,'02.08 Ntinda-Kisaasi'!J95,'01.08 Ntinda-Kisaasi-24h'!J95,'03.08 Ntinda-Kisaasi-24h'!J95,'04.08 Ntinda-Kisaasi'!J95)</f>
        <v>0</v>
      </c>
      <c r="K95" s="49">
        <f>AVERAGE('29.07 Ntinda-Kisaasi'!K95,'30.07 Ntinda-Kisaasi'!K95,'31.07 Ntinda-Kisaasi'!K95,'02.08 Ntinda-Kisaasi'!K95,'01.08 Ntinda-Kisaasi-24h'!K95,'03.08 Ntinda-Kisaasi-24h'!K95,'04.08 Ntinda-Kisaasi'!K95)</f>
        <v>0</v>
      </c>
      <c r="L95" s="49">
        <f>AVERAGE('29.07 Ntinda-Kisaasi'!L95,'30.07 Ntinda-Kisaasi'!L95,'31.07 Ntinda-Kisaasi'!L95,'02.08 Ntinda-Kisaasi'!L95,'01.08 Ntinda-Kisaasi-24h'!L95,'03.08 Ntinda-Kisaasi-24h'!L95,'04.08 Ntinda-Kisaasi'!L95)</f>
        <v>0</v>
      </c>
      <c r="M95" s="49">
        <f>AVERAGE('29.07 Ntinda-Kisaasi'!M95,'30.07 Ntinda-Kisaasi'!M95,'31.07 Ntinda-Kisaasi'!M95,'02.08 Ntinda-Kisaasi'!M95,'01.08 Ntinda-Kisaasi-24h'!M95,'03.08 Ntinda-Kisaasi-24h'!M95,'04.08 Ntinda-Kisaasi'!M95)</f>
        <v>12</v>
      </c>
      <c r="N95" s="49">
        <f>AVERAGE('29.07 Ntinda-Kisaasi'!N95,'30.07 Ntinda-Kisaasi'!N95,'31.07 Ntinda-Kisaasi'!N95,'02.08 Ntinda-Kisaasi'!N95,'01.08 Ntinda-Kisaasi-24h'!N95,'03.08 Ntinda-Kisaasi-24h'!N95,'04.08 Ntinda-Kisaasi'!N95)</f>
        <v>0</v>
      </c>
      <c r="O95" s="49">
        <f>AVERAGE('29.07 Ntinda-Kisaasi'!O95,'30.07 Ntinda-Kisaasi'!O95,'31.07 Ntinda-Kisaasi'!O95,'02.08 Ntinda-Kisaasi'!O95,'01.08 Ntinda-Kisaasi-24h'!O95,'03.08 Ntinda-Kisaasi-24h'!O95,'04.08 Ntinda-Kisaasi'!O95)</f>
        <v>16</v>
      </c>
      <c r="P95" s="49">
        <f>AVERAGE('29.07 Ntinda-Kisaasi'!P95,'30.07 Ntinda-Kisaasi'!P95,'31.07 Ntinda-Kisaasi'!P95,'02.08 Ntinda-Kisaasi'!P95,'01.08 Ntinda-Kisaasi-24h'!P95,'03.08 Ntinda-Kisaasi-24h'!P95,'04.08 Ntinda-Kisaasi'!P95)</f>
        <v>28</v>
      </c>
      <c r="R95" s="8"/>
      <c r="T95"/>
    </row>
    <row r="96" spans="2:20" ht="23.1" customHeight="1" x14ac:dyDescent="0.25">
      <c r="B96" s="25" t="s">
        <v>136</v>
      </c>
      <c r="C96" s="49">
        <f>AVERAGE('29.07 Ntinda-Kisaasi'!C96,'30.07 Ntinda-Kisaasi'!C96,'31.07 Ntinda-Kisaasi'!C96,'02.08 Ntinda-Kisaasi'!C96,'01.08 Ntinda-Kisaasi-24h'!C96,'03.08 Ntinda-Kisaasi-24h'!C96,'04.08 Ntinda-Kisaasi'!C96)</f>
        <v>10.5</v>
      </c>
      <c r="D96" s="49">
        <f>AVERAGE('29.07 Ntinda-Kisaasi'!D96,'30.07 Ntinda-Kisaasi'!D96,'31.07 Ntinda-Kisaasi'!D96,'02.08 Ntinda-Kisaasi'!D96,'01.08 Ntinda-Kisaasi-24h'!D96,'03.08 Ntinda-Kisaasi-24h'!D96,'04.08 Ntinda-Kisaasi'!D96)</f>
        <v>3.5</v>
      </c>
      <c r="E96" s="49">
        <f>AVERAGE('29.07 Ntinda-Kisaasi'!E96,'30.07 Ntinda-Kisaasi'!E96,'31.07 Ntinda-Kisaasi'!E96,'02.08 Ntinda-Kisaasi'!E96,'01.08 Ntinda-Kisaasi-24h'!E96,'03.08 Ntinda-Kisaasi-24h'!E96,'04.08 Ntinda-Kisaasi'!E96)</f>
        <v>1.5</v>
      </c>
      <c r="F96" s="49">
        <f>AVERAGE('29.07 Ntinda-Kisaasi'!F96,'30.07 Ntinda-Kisaasi'!F96,'31.07 Ntinda-Kisaasi'!F96,'02.08 Ntinda-Kisaasi'!F96,'01.08 Ntinda-Kisaasi-24h'!F96,'03.08 Ntinda-Kisaasi-24h'!F96,'04.08 Ntinda-Kisaasi'!F96)</f>
        <v>0</v>
      </c>
      <c r="G96" s="49">
        <f>AVERAGE('29.07 Ntinda-Kisaasi'!G96,'30.07 Ntinda-Kisaasi'!G96,'31.07 Ntinda-Kisaasi'!G96,'02.08 Ntinda-Kisaasi'!G96,'01.08 Ntinda-Kisaasi-24h'!G96,'03.08 Ntinda-Kisaasi-24h'!G96,'04.08 Ntinda-Kisaasi'!G96)</f>
        <v>0</v>
      </c>
      <c r="H96" s="49">
        <f>AVERAGE('29.07 Ntinda-Kisaasi'!H96,'30.07 Ntinda-Kisaasi'!H96,'31.07 Ntinda-Kisaasi'!H96,'02.08 Ntinda-Kisaasi'!H96,'01.08 Ntinda-Kisaasi-24h'!H96,'03.08 Ntinda-Kisaasi-24h'!H96,'04.08 Ntinda-Kisaasi'!H96)</f>
        <v>0</v>
      </c>
      <c r="I96" s="49">
        <f>AVERAGE('29.07 Ntinda-Kisaasi'!I96,'30.07 Ntinda-Kisaasi'!I96,'31.07 Ntinda-Kisaasi'!I96,'02.08 Ntinda-Kisaasi'!I96,'01.08 Ntinda-Kisaasi-24h'!I96,'03.08 Ntinda-Kisaasi-24h'!I96,'04.08 Ntinda-Kisaasi'!I96)</f>
        <v>0</v>
      </c>
      <c r="J96" s="49">
        <f>AVERAGE('29.07 Ntinda-Kisaasi'!J96,'30.07 Ntinda-Kisaasi'!J96,'31.07 Ntinda-Kisaasi'!J96,'02.08 Ntinda-Kisaasi'!J96,'01.08 Ntinda-Kisaasi-24h'!J96,'03.08 Ntinda-Kisaasi-24h'!J96,'04.08 Ntinda-Kisaasi'!J96)</f>
        <v>0</v>
      </c>
      <c r="K96" s="49">
        <f>AVERAGE('29.07 Ntinda-Kisaasi'!K96,'30.07 Ntinda-Kisaasi'!K96,'31.07 Ntinda-Kisaasi'!K96,'02.08 Ntinda-Kisaasi'!K96,'01.08 Ntinda-Kisaasi-24h'!K96,'03.08 Ntinda-Kisaasi-24h'!K96,'04.08 Ntinda-Kisaasi'!K96)</f>
        <v>0</v>
      </c>
      <c r="L96" s="49">
        <f>AVERAGE('29.07 Ntinda-Kisaasi'!L96,'30.07 Ntinda-Kisaasi'!L96,'31.07 Ntinda-Kisaasi'!L96,'02.08 Ntinda-Kisaasi'!L96,'01.08 Ntinda-Kisaasi-24h'!L96,'03.08 Ntinda-Kisaasi-24h'!L96,'04.08 Ntinda-Kisaasi'!L96)</f>
        <v>0</v>
      </c>
      <c r="M96" s="49">
        <f>AVERAGE('29.07 Ntinda-Kisaasi'!M96,'30.07 Ntinda-Kisaasi'!M96,'31.07 Ntinda-Kisaasi'!M96,'02.08 Ntinda-Kisaasi'!M96,'01.08 Ntinda-Kisaasi-24h'!M96,'03.08 Ntinda-Kisaasi-24h'!M96,'04.08 Ntinda-Kisaasi'!M96)</f>
        <v>9.5</v>
      </c>
      <c r="N96" s="49">
        <f>AVERAGE('29.07 Ntinda-Kisaasi'!N96,'30.07 Ntinda-Kisaasi'!N96,'31.07 Ntinda-Kisaasi'!N96,'02.08 Ntinda-Kisaasi'!N96,'01.08 Ntinda-Kisaasi-24h'!N96,'03.08 Ntinda-Kisaasi-24h'!N96,'04.08 Ntinda-Kisaasi'!N96)</f>
        <v>0</v>
      </c>
      <c r="O96" s="49">
        <f>AVERAGE('29.07 Ntinda-Kisaasi'!O96,'30.07 Ntinda-Kisaasi'!O96,'31.07 Ntinda-Kisaasi'!O96,'02.08 Ntinda-Kisaasi'!O96,'01.08 Ntinda-Kisaasi-24h'!O96,'03.08 Ntinda-Kisaasi-24h'!O96,'04.08 Ntinda-Kisaasi'!O96)</f>
        <v>15.5</v>
      </c>
      <c r="P96" s="49">
        <f>AVERAGE('29.07 Ntinda-Kisaasi'!P96,'30.07 Ntinda-Kisaasi'!P96,'31.07 Ntinda-Kisaasi'!P96,'02.08 Ntinda-Kisaasi'!P96,'01.08 Ntinda-Kisaasi-24h'!P96,'03.08 Ntinda-Kisaasi-24h'!P96,'04.08 Ntinda-Kisaasi'!P96)</f>
        <v>25</v>
      </c>
      <c r="R96" s="8"/>
      <c r="T96"/>
    </row>
    <row r="97" spans="2:20" ht="23.1" customHeight="1" x14ac:dyDescent="0.25">
      <c r="B97" s="23" t="s">
        <v>137</v>
      </c>
      <c r="C97" s="49">
        <f>AVERAGE('29.07 Ntinda-Kisaasi'!C97,'30.07 Ntinda-Kisaasi'!C97,'31.07 Ntinda-Kisaasi'!C97,'02.08 Ntinda-Kisaasi'!C97,'01.08 Ntinda-Kisaasi-24h'!C97,'03.08 Ntinda-Kisaasi-24h'!C97,'04.08 Ntinda-Kisaasi'!C97)</f>
        <v>8</v>
      </c>
      <c r="D97" s="49">
        <f>AVERAGE('29.07 Ntinda-Kisaasi'!D97,'30.07 Ntinda-Kisaasi'!D97,'31.07 Ntinda-Kisaasi'!D97,'02.08 Ntinda-Kisaasi'!D97,'01.08 Ntinda-Kisaasi-24h'!D97,'03.08 Ntinda-Kisaasi-24h'!D97,'04.08 Ntinda-Kisaasi'!D97)</f>
        <v>2</v>
      </c>
      <c r="E97" s="49">
        <f>AVERAGE('29.07 Ntinda-Kisaasi'!E97,'30.07 Ntinda-Kisaasi'!E97,'31.07 Ntinda-Kisaasi'!E97,'02.08 Ntinda-Kisaasi'!E97,'01.08 Ntinda-Kisaasi-24h'!E97,'03.08 Ntinda-Kisaasi-24h'!E97,'04.08 Ntinda-Kisaasi'!E97)</f>
        <v>5.5</v>
      </c>
      <c r="F97" s="49">
        <f>AVERAGE('29.07 Ntinda-Kisaasi'!F97,'30.07 Ntinda-Kisaasi'!F97,'31.07 Ntinda-Kisaasi'!F97,'02.08 Ntinda-Kisaasi'!F97,'01.08 Ntinda-Kisaasi-24h'!F97,'03.08 Ntinda-Kisaasi-24h'!F97,'04.08 Ntinda-Kisaasi'!F97)</f>
        <v>0</v>
      </c>
      <c r="G97" s="49">
        <f>AVERAGE('29.07 Ntinda-Kisaasi'!G97,'30.07 Ntinda-Kisaasi'!G97,'31.07 Ntinda-Kisaasi'!G97,'02.08 Ntinda-Kisaasi'!G97,'01.08 Ntinda-Kisaasi-24h'!G97,'03.08 Ntinda-Kisaasi-24h'!G97,'04.08 Ntinda-Kisaasi'!G97)</f>
        <v>0</v>
      </c>
      <c r="H97" s="49">
        <f>AVERAGE('29.07 Ntinda-Kisaasi'!H97,'30.07 Ntinda-Kisaasi'!H97,'31.07 Ntinda-Kisaasi'!H97,'02.08 Ntinda-Kisaasi'!H97,'01.08 Ntinda-Kisaasi-24h'!H97,'03.08 Ntinda-Kisaasi-24h'!H97,'04.08 Ntinda-Kisaasi'!H97)</f>
        <v>0</v>
      </c>
      <c r="I97" s="49">
        <f>AVERAGE('29.07 Ntinda-Kisaasi'!I97,'30.07 Ntinda-Kisaasi'!I97,'31.07 Ntinda-Kisaasi'!I97,'02.08 Ntinda-Kisaasi'!I97,'01.08 Ntinda-Kisaasi-24h'!I97,'03.08 Ntinda-Kisaasi-24h'!I97,'04.08 Ntinda-Kisaasi'!I97)</f>
        <v>0.5</v>
      </c>
      <c r="J97" s="49">
        <f>AVERAGE('29.07 Ntinda-Kisaasi'!J97,'30.07 Ntinda-Kisaasi'!J97,'31.07 Ntinda-Kisaasi'!J97,'02.08 Ntinda-Kisaasi'!J97,'01.08 Ntinda-Kisaasi-24h'!J97,'03.08 Ntinda-Kisaasi-24h'!J97,'04.08 Ntinda-Kisaasi'!J97)</f>
        <v>0</v>
      </c>
      <c r="K97" s="49">
        <f>AVERAGE('29.07 Ntinda-Kisaasi'!K97,'30.07 Ntinda-Kisaasi'!K97,'31.07 Ntinda-Kisaasi'!K97,'02.08 Ntinda-Kisaasi'!K97,'01.08 Ntinda-Kisaasi-24h'!K97,'03.08 Ntinda-Kisaasi-24h'!K97,'04.08 Ntinda-Kisaasi'!K97)</f>
        <v>0</v>
      </c>
      <c r="L97" s="49">
        <f>AVERAGE('29.07 Ntinda-Kisaasi'!L97,'30.07 Ntinda-Kisaasi'!L97,'31.07 Ntinda-Kisaasi'!L97,'02.08 Ntinda-Kisaasi'!L97,'01.08 Ntinda-Kisaasi-24h'!L97,'03.08 Ntinda-Kisaasi-24h'!L97,'04.08 Ntinda-Kisaasi'!L97)</f>
        <v>0</v>
      </c>
      <c r="M97" s="49">
        <f>AVERAGE('29.07 Ntinda-Kisaasi'!M97,'30.07 Ntinda-Kisaasi'!M97,'31.07 Ntinda-Kisaasi'!M97,'02.08 Ntinda-Kisaasi'!M97,'01.08 Ntinda-Kisaasi-24h'!M97,'03.08 Ntinda-Kisaasi-24h'!M97,'04.08 Ntinda-Kisaasi'!M97)</f>
        <v>7</v>
      </c>
      <c r="N97" s="49">
        <f>AVERAGE('29.07 Ntinda-Kisaasi'!N97,'30.07 Ntinda-Kisaasi'!N97,'31.07 Ntinda-Kisaasi'!N97,'02.08 Ntinda-Kisaasi'!N97,'01.08 Ntinda-Kisaasi-24h'!N97,'03.08 Ntinda-Kisaasi-24h'!N97,'04.08 Ntinda-Kisaasi'!N97)</f>
        <v>0</v>
      </c>
      <c r="O97" s="49">
        <f>AVERAGE('29.07 Ntinda-Kisaasi'!O97,'30.07 Ntinda-Kisaasi'!O97,'31.07 Ntinda-Kisaasi'!O97,'02.08 Ntinda-Kisaasi'!O97,'01.08 Ntinda-Kisaasi-24h'!O97,'03.08 Ntinda-Kisaasi-24h'!O97,'04.08 Ntinda-Kisaasi'!O97)</f>
        <v>16</v>
      </c>
      <c r="P97" s="49">
        <f>AVERAGE('29.07 Ntinda-Kisaasi'!P97,'30.07 Ntinda-Kisaasi'!P97,'31.07 Ntinda-Kisaasi'!P97,'02.08 Ntinda-Kisaasi'!P97,'01.08 Ntinda-Kisaasi-24h'!P97,'03.08 Ntinda-Kisaasi-24h'!P97,'04.08 Ntinda-Kisaasi'!P97)</f>
        <v>23</v>
      </c>
      <c r="R97" s="8"/>
      <c r="T97"/>
    </row>
    <row r="98" spans="2:20" ht="23.1" customHeight="1" x14ac:dyDescent="0.25">
      <c r="B98" s="24" t="s">
        <v>138</v>
      </c>
      <c r="C98" s="49">
        <f>AVERAGE('29.07 Ntinda-Kisaasi'!C98,'30.07 Ntinda-Kisaasi'!C98,'31.07 Ntinda-Kisaasi'!C98,'02.08 Ntinda-Kisaasi'!C98,'01.08 Ntinda-Kisaasi-24h'!C98,'03.08 Ntinda-Kisaasi-24h'!C98,'04.08 Ntinda-Kisaasi'!C98)</f>
        <v>13</v>
      </c>
      <c r="D98" s="49">
        <f>AVERAGE('29.07 Ntinda-Kisaasi'!D98,'30.07 Ntinda-Kisaasi'!D98,'31.07 Ntinda-Kisaasi'!D98,'02.08 Ntinda-Kisaasi'!D98,'01.08 Ntinda-Kisaasi-24h'!D98,'03.08 Ntinda-Kisaasi-24h'!D98,'04.08 Ntinda-Kisaasi'!D98)</f>
        <v>2.5</v>
      </c>
      <c r="E98" s="49">
        <f>AVERAGE('29.07 Ntinda-Kisaasi'!E98,'30.07 Ntinda-Kisaasi'!E98,'31.07 Ntinda-Kisaasi'!E98,'02.08 Ntinda-Kisaasi'!E98,'01.08 Ntinda-Kisaasi-24h'!E98,'03.08 Ntinda-Kisaasi-24h'!E98,'04.08 Ntinda-Kisaasi'!E98)</f>
        <v>0</v>
      </c>
      <c r="F98" s="49">
        <f>AVERAGE('29.07 Ntinda-Kisaasi'!F98,'30.07 Ntinda-Kisaasi'!F98,'31.07 Ntinda-Kisaasi'!F98,'02.08 Ntinda-Kisaasi'!F98,'01.08 Ntinda-Kisaasi-24h'!F98,'03.08 Ntinda-Kisaasi-24h'!F98,'04.08 Ntinda-Kisaasi'!F98)</f>
        <v>2</v>
      </c>
      <c r="G98" s="49">
        <f>AVERAGE('29.07 Ntinda-Kisaasi'!G98,'30.07 Ntinda-Kisaasi'!G98,'31.07 Ntinda-Kisaasi'!G98,'02.08 Ntinda-Kisaasi'!G98,'01.08 Ntinda-Kisaasi-24h'!G98,'03.08 Ntinda-Kisaasi-24h'!G98,'04.08 Ntinda-Kisaasi'!G98)</f>
        <v>0</v>
      </c>
      <c r="H98" s="49">
        <f>AVERAGE('29.07 Ntinda-Kisaasi'!H98,'30.07 Ntinda-Kisaasi'!H98,'31.07 Ntinda-Kisaasi'!H98,'02.08 Ntinda-Kisaasi'!H98,'01.08 Ntinda-Kisaasi-24h'!H98,'03.08 Ntinda-Kisaasi-24h'!H98,'04.08 Ntinda-Kisaasi'!H98)</f>
        <v>0</v>
      </c>
      <c r="I98" s="49">
        <f>AVERAGE('29.07 Ntinda-Kisaasi'!I98,'30.07 Ntinda-Kisaasi'!I98,'31.07 Ntinda-Kisaasi'!I98,'02.08 Ntinda-Kisaasi'!I98,'01.08 Ntinda-Kisaasi-24h'!I98,'03.08 Ntinda-Kisaasi-24h'!I98,'04.08 Ntinda-Kisaasi'!I98)</f>
        <v>1</v>
      </c>
      <c r="J98" s="49">
        <f>AVERAGE('29.07 Ntinda-Kisaasi'!J98,'30.07 Ntinda-Kisaasi'!J98,'31.07 Ntinda-Kisaasi'!J98,'02.08 Ntinda-Kisaasi'!J98,'01.08 Ntinda-Kisaasi-24h'!J98,'03.08 Ntinda-Kisaasi-24h'!J98,'04.08 Ntinda-Kisaasi'!J98)</f>
        <v>1.5</v>
      </c>
      <c r="K98" s="49">
        <f>AVERAGE('29.07 Ntinda-Kisaasi'!K98,'30.07 Ntinda-Kisaasi'!K98,'31.07 Ntinda-Kisaasi'!K98,'02.08 Ntinda-Kisaasi'!K98,'01.08 Ntinda-Kisaasi-24h'!K98,'03.08 Ntinda-Kisaasi-24h'!K98,'04.08 Ntinda-Kisaasi'!K98)</f>
        <v>0</v>
      </c>
      <c r="L98" s="49">
        <f>AVERAGE('29.07 Ntinda-Kisaasi'!L98,'30.07 Ntinda-Kisaasi'!L98,'31.07 Ntinda-Kisaasi'!L98,'02.08 Ntinda-Kisaasi'!L98,'01.08 Ntinda-Kisaasi-24h'!L98,'03.08 Ntinda-Kisaasi-24h'!L98,'04.08 Ntinda-Kisaasi'!L98)</f>
        <v>0</v>
      </c>
      <c r="M98" s="49">
        <f>AVERAGE('29.07 Ntinda-Kisaasi'!M98,'30.07 Ntinda-Kisaasi'!M98,'31.07 Ntinda-Kisaasi'!M98,'02.08 Ntinda-Kisaasi'!M98,'01.08 Ntinda-Kisaasi-24h'!M98,'03.08 Ntinda-Kisaasi-24h'!M98,'04.08 Ntinda-Kisaasi'!M98)</f>
        <v>16</v>
      </c>
      <c r="N98" s="49">
        <f>AVERAGE('29.07 Ntinda-Kisaasi'!N98,'30.07 Ntinda-Kisaasi'!N98,'31.07 Ntinda-Kisaasi'!N98,'02.08 Ntinda-Kisaasi'!N98,'01.08 Ntinda-Kisaasi-24h'!N98,'03.08 Ntinda-Kisaasi-24h'!N98,'04.08 Ntinda-Kisaasi'!N98)</f>
        <v>0</v>
      </c>
      <c r="O98" s="49">
        <f>AVERAGE('29.07 Ntinda-Kisaasi'!O98,'30.07 Ntinda-Kisaasi'!O98,'31.07 Ntinda-Kisaasi'!O98,'02.08 Ntinda-Kisaasi'!O98,'01.08 Ntinda-Kisaasi-24h'!O98,'03.08 Ntinda-Kisaasi-24h'!O98,'04.08 Ntinda-Kisaasi'!O98)</f>
        <v>20</v>
      </c>
      <c r="P98" s="49">
        <f>AVERAGE('29.07 Ntinda-Kisaasi'!P98,'30.07 Ntinda-Kisaasi'!P98,'31.07 Ntinda-Kisaasi'!P98,'02.08 Ntinda-Kisaasi'!P98,'01.08 Ntinda-Kisaasi-24h'!P98,'03.08 Ntinda-Kisaasi-24h'!P98,'04.08 Ntinda-Kisaasi'!P98)</f>
        <v>36</v>
      </c>
      <c r="R98" s="8"/>
      <c r="T98"/>
    </row>
    <row r="99" spans="2:20" ht="23.1" customHeight="1" x14ac:dyDescent="0.25">
      <c r="B99" s="23" t="s">
        <v>139</v>
      </c>
      <c r="C99" s="49">
        <f>AVERAGE('29.07 Ntinda-Kisaasi'!C99,'30.07 Ntinda-Kisaasi'!C99,'31.07 Ntinda-Kisaasi'!C99,'02.08 Ntinda-Kisaasi'!C99,'01.08 Ntinda-Kisaasi-24h'!C99,'03.08 Ntinda-Kisaasi-24h'!C99,'04.08 Ntinda-Kisaasi'!C99)</f>
        <v>11</v>
      </c>
      <c r="D99" s="49">
        <f>AVERAGE('29.07 Ntinda-Kisaasi'!D99,'30.07 Ntinda-Kisaasi'!D99,'31.07 Ntinda-Kisaasi'!D99,'02.08 Ntinda-Kisaasi'!D99,'01.08 Ntinda-Kisaasi-24h'!D99,'03.08 Ntinda-Kisaasi-24h'!D99,'04.08 Ntinda-Kisaasi'!D99)</f>
        <v>1</v>
      </c>
      <c r="E99" s="49">
        <f>AVERAGE('29.07 Ntinda-Kisaasi'!E99,'30.07 Ntinda-Kisaasi'!E99,'31.07 Ntinda-Kisaasi'!E99,'02.08 Ntinda-Kisaasi'!E99,'01.08 Ntinda-Kisaasi-24h'!E99,'03.08 Ntinda-Kisaasi-24h'!E99,'04.08 Ntinda-Kisaasi'!E99)</f>
        <v>2</v>
      </c>
      <c r="F99" s="49">
        <f>AVERAGE('29.07 Ntinda-Kisaasi'!F99,'30.07 Ntinda-Kisaasi'!F99,'31.07 Ntinda-Kisaasi'!F99,'02.08 Ntinda-Kisaasi'!F99,'01.08 Ntinda-Kisaasi-24h'!F99,'03.08 Ntinda-Kisaasi-24h'!F99,'04.08 Ntinda-Kisaasi'!F99)</f>
        <v>2.5</v>
      </c>
      <c r="G99" s="49">
        <f>AVERAGE('29.07 Ntinda-Kisaasi'!G99,'30.07 Ntinda-Kisaasi'!G99,'31.07 Ntinda-Kisaasi'!G99,'02.08 Ntinda-Kisaasi'!G99,'01.08 Ntinda-Kisaasi-24h'!G99,'03.08 Ntinda-Kisaasi-24h'!G99,'04.08 Ntinda-Kisaasi'!G99)</f>
        <v>0.5</v>
      </c>
      <c r="H99" s="49">
        <f>AVERAGE('29.07 Ntinda-Kisaasi'!H99,'30.07 Ntinda-Kisaasi'!H99,'31.07 Ntinda-Kisaasi'!H99,'02.08 Ntinda-Kisaasi'!H99,'01.08 Ntinda-Kisaasi-24h'!H99,'03.08 Ntinda-Kisaasi-24h'!H99,'04.08 Ntinda-Kisaasi'!H99)</f>
        <v>0</v>
      </c>
      <c r="I99" s="49">
        <f>AVERAGE('29.07 Ntinda-Kisaasi'!I99,'30.07 Ntinda-Kisaasi'!I99,'31.07 Ntinda-Kisaasi'!I99,'02.08 Ntinda-Kisaasi'!I99,'01.08 Ntinda-Kisaasi-24h'!I99,'03.08 Ntinda-Kisaasi-24h'!I99,'04.08 Ntinda-Kisaasi'!I99)</f>
        <v>0.5</v>
      </c>
      <c r="J99" s="49">
        <f>AVERAGE('29.07 Ntinda-Kisaasi'!J99,'30.07 Ntinda-Kisaasi'!J99,'31.07 Ntinda-Kisaasi'!J99,'02.08 Ntinda-Kisaasi'!J99,'01.08 Ntinda-Kisaasi-24h'!J99,'03.08 Ntinda-Kisaasi-24h'!J99,'04.08 Ntinda-Kisaasi'!J99)</f>
        <v>0.5</v>
      </c>
      <c r="K99" s="49">
        <f>AVERAGE('29.07 Ntinda-Kisaasi'!K99,'30.07 Ntinda-Kisaasi'!K99,'31.07 Ntinda-Kisaasi'!K99,'02.08 Ntinda-Kisaasi'!K99,'01.08 Ntinda-Kisaasi-24h'!K99,'03.08 Ntinda-Kisaasi-24h'!K99,'04.08 Ntinda-Kisaasi'!K99)</f>
        <v>0</v>
      </c>
      <c r="L99" s="49">
        <f>AVERAGE('29.07 Ntinda-Kisaasi'!L99,'30.07 Ntinda-Kisaasi'!L99,'31.07 Ntinda-Kisaasi'!L99,'02.08 Ntinda-Kisaasi'!L99,'01.08 Ntinda-Kisaasi-24h'!L99,'03.08 Ntinda-Kisaasi-24h'!L99,'04.08 Ntinda-Kisaasi'!L99)</f>
        <v>0</v>
      </c>
      <c r="M99" s="49">
        <f>AVERAGE('29.07 Ntinda-Kisaasi'!M99,'30.07 Ntinda-Kisaasi'!M99,'31.07 Ntinda-Kisaasi'!M99,'02.08 Ntinda-Kisaasi'!M99,'01.08 Ntinda-Kisaasi-24h'!M99,'03.08 Ntinda-Kisaasi-24h'!M99,'04.08 Ntinda-Kisaasi'!M99)</f>
        <v>15</v>
      </c>
      <c r="N99" s="49">
        <f>AVERAGE('29.07 Ntinda-Kisaasi'!N99,'30.07 Ntinda-Kisaasi'!N99,'31.07 Ntinda-Kisaasi'!N99,'02.08 Ntinda-Kisaasi'!N99,'01.08 Ntinda-Kisaasi-24h'!N99,'03.08 Ntinda-Kisaasi-24h'!N99,'04.08 Ntinda-Kisaasi'!N99)</f>
        <v>0</v>
      </c>
      <c r="O99" s="49">
        <f>AVERAGE('29.07 Ntinda-Kisaasi'!O99,'30.07 Ntinda-Kisaasi'!O99,'31.07 Ntinda-Kisaasi'!O99,'02.08 Ntinda-Kisaasi'!O99,'01.08 Ntinda-Kisaasi-24h'!O99,'03.08 Ntinda-Kisaasi-24h'!O99,'04.08 Ntinda-Kisaasi'!O99)</f>
        <v>18</v>
      </c>
      <c r="P99" s="49">
        <f>AVERAGE('29.07 Ntinda-Kisaasi'!P99,'30.07 Ntinda-Kisaasi'!P99,'31.07 Ntinda-Kisaasi'!P99,'02.08 Ntinda-Kisaasi'!P99,'01.08 Ntinda-Kisaasi-24h'!P99,'03.08 Ntinda-Kisaasi-24h'!P99,'04.08 Ntinda-Kisaasi'!P99)</f>
        <v>33</v>
      </c>
      <c r="R99" s="8"/>
      <c r="T99"/>
    </row>
    <row r="100" spans="2:20" ht="23.1" customHeight="1" x14ac:dyDescent="0.25">
      <c r="B100" s="25" t="s">
        <v>140</v>
      </c>
      <c r="C100" s="49">
        <f>AVERAGE('29.07 Ntinda-Kisaasi'!C100,'30.07 Ntinda-Kisaasi'!C100,'31.07 Ntinda-Kisaasi'!C100,'02.08 Ntinda-Kisaasi'!C100,'01.08 Ntinda-Kisaasi-24h'!C100,'03.08 Ntinda-Kisaasi-24h'!C100,'04.08 Ntinda-Kisaasi'!C100)</f>
        <v>9.5</v>
      </c>
      <c r="D100" s="49">
        <f>AVERAGE('29.07 Ntinda-Kisaasi'!D100,'30.07 Ntinda-Kisaasi'!D100,'31.07 Ntinda-Kisaasi'!D100,'02.08 Ntinda-Kisaasi'!D100,'01.08 Ntinda-Kisaasi-24h'!D100,'03.08 Ntinda-Kisaasi-24h'!D100,'04.08 Ntinda-Kisaasi'!D100)</f>
        <v>6</v>
      </c>
      <c r="E100" s="49">
        <f>AVERAGE('29.07 Ntinda-Kisaasi'!E100,'30.07 Ntinda-Kisaasi'!E100,'31.07 Ntinda-Kisaasi'!E100,'02.08 Ntinda-Kisaasi'!E100,'01.08 Ntinda-Kisaasi-24h'!E100,'03.08 Ntinda-Kisaasi-24h'!E100,'04.08 Ntinda-Kisaasi'!E100)</f>
        <v>0</v>
      </c>
      <c r="F100" s="49">
        <f>AVERAGE('29.07 Ntinda-Kisaasi'!F100,'30.07 Ntinda-Kisaasi'!F100,'31.07 Ntinda-Kisaasi'!F100,'02.08 Ntinda-Kisaasi'!F100,'01.08 Ntinda-Kisaasi-24h'!F100,'03.08 Ntinda-Kisaasi-24h'!F100,'04.08 Ntinda-Kisaasi'!F100)</f>
        <v>2.5</v>
      </c>
      <c r="G100" s="49">
        <f>AVERAGE('29.07 Ntinda-Kisaasi'!G100,'30.07 Ntinda-Kisaasi'!G100,'31.07 Ntinda-Kisaasi'!G100,'02.08 Ntinda-Kisaasi'!G100,'01.08 Ntinda-Kisaasi-24h'!G100,'03.08 Ntinda-Kisaasi-24h'!G100,'04.08 Ntinda-Kisaasi'!G100)</f>
        <v>0</v>
      </c>
      <c r="H100" s="49">
        <f>AVERAGE('29.07 Ntinda-Kisaasi'!H100,'30.07 Ntinda-Kisaasi'!H100,'31.07 Ntinda-Kisaasi'!H100,'02.08 Ntinda-Kisaasi'!H100,'01.08 Ntinda-Kisaasi-24h'!H100,'03.08 Ntinda-Kisaasi-24h'!H100,'04.08 Ntinda-Kisaasi'!H100)</f>
        <v>0</v>
      </c>
      <c r="I100" s="49">
        <f>AVERAGE('29.07 Ntinda-Kisaasi'!I100,'30.07 Ntinda-Kisaasi'!I100,'31.07 Ntinda-Kisaasi'!I100,'02.08 Ntinda-Kisaasi'!I100,'01.08 Ntinda-Kisaasi-24h'!I100,'03.08 Ntinda-Kisaasi-24h'!I100,'04.08 Ntinda-Kisaasi'!I100)</f>
        <v>0</v>
      </c>
      <c r="J100" s="49">
        <f>AVERAGE('29.07 Ntinda-Kisaasi'!J100,'30.07 Ntinda-Kisaasi'!J100,'31.07 Ntinda-Kisaasi'!J100,'02.08 Ntinda-Kisaasi'!J100,'01.08 Ntinda-Kisaasi-24h'!J100,'03.08 Ntinda-Kisaasi-24h'!J100,'04.08 Ntinda-Kisaasi'!J100)</f>
        <v>0</v>
      </c>
      <c r="K100" s="49">
        <f>AVERAGE('29.07 Ntinda-Kisaasi'!K100,'30.07 Ntinda-Kisaasi'!K100,'31.07 Ntinda-Kisaasi'!K100,'02.08 Ntinda-Kisaasi'!K100,'01.08 Ntinda-Kisaasi-24h'!K100,'03.08 Ntinda-Kisaasi-24h'!K100,'04.08 Ntinda-Kisaasi'!K100)</f>
        <v>0.5</v>
      </c>
      <c r="L100" s="49">
        <f>AVERAGE('29.07 Ntinda-Kisaasi'!L100,'30.07 Ntinda-Kisaasi'!L100,'31.07 Ntinda-Kisaasi'!L100,'02.08 Ntinda-Kisaasi'!L100,'01.08 Ntinda-Kisaasi-24h'!L100,'03.08 Ntinda-Kisaasi-24h'!L100,'04.08 Ntinda-Kisaasi'!L100)</f>
        <v>0</v>
      </c>
      <c r="M100" s="49">
        <f>AVERAGE('29.07 Ntinda-Kisaasi'!M100,'30.07 Ntinda-Kisaasi'!M100,'31.07 Ntinda-Kisaasi'!M100,'02.08 Ntinda-Kisaasi'!M100,'01.08 Ntinda-Kisaasi-24h'!M100,'03.08 Ntinda-Kisaasi-24h'!M100,'04.08 Ntinda-Kisaasi'!M100)</f>
        <v>18.5</v>
      </c>
      <c r="N100" s="49">
        <f>AVERAGE('29.07 Ntinda-Kisaasi'!N100,'30.07 Ntinda-Kisaasi'!N100,'31.07 Ntinda-Kisaasi'!N100,'02.08 Ntinda-Kisaasi'!N100,'01.08 Ntinda-Kisaasi-24h'!N100,'03.08 Ntinda-Kisaasi-24h'!N100,'04.08 Ntinda-Kisaasi'!N100)</f>
        <v>0</v>
      </c>
      <c r="O100" s="49">
        <f>AVERAGE('29.07 Ntinda-Kisaasi'!O100,'30.07 Ntinda-Kisaasi'!O100,'31.07 Ntinda-Kisaasi'!O100,'02.08 Ntinda-Kisaasi'!O100,'01.08 Ntinda-Kisaasi-24h'!O100,'03.08 Ntinda-Kisaasi-24h'!O100,'04.08 Ntinda-Kisaasi'!O100)</f>
        <v>18.5</v>
      </c>
      <c r="P100" s="49">
        <f>AVERAGE('29.07 Ntinda-Kisaasi'!P100,'30.07 Ntinda-Kisaasi'!P100,'31.07 Ntinda-Kisaasi'!P100,'02.08 Ntinda-Kisaasi'!P100,'01.08 Ntinda-Kisaasi-24h'!P100,'03.08 Ntinda-Kisaasi-24h'!P100,'04.08 Ntinda-Kisaasi'!P100)</f>
        <v>37</v>
      </c>
      <c r="R100" s="8"/>
      <c r="T100"/>
    </row>
    <row r="101" spans="2:20" ht="23.1" customHeight="1" x14ac:dyDescent="0.25">
      <c r="B101" s="23" t="s">
        <v>141</v>
      </c>
      <c r="C101" s="49">
        <f>AVERAGE('29.07 Ntinda-Kisaasi'!C101,'30.07 Ntinda-Kisaasi'!C101,'31.07 Ntinda-Kisaasi'!C101,'02.08 Ntinda-Kisaasi'!C101,'01.08 Ntinda-Kisaasi-24h'!C101,'03.08 Ntinda-Kisaasi-24h'!C101,'04.08 Ntinda-Kisaasi'!C101)</f>
        <v>13.5</v>
      </c>
      <c r="D101" s="49">
        <f>AVERAGE('29.07 Ntinda-Kisaasi'!D101,'30.07 Ntinda-Kisaasi'!D101,'31.07 Ntinda-Kisaasi'!D101,'02.08 Ntinda-Kisaasi'!D101,'01.08 Ntinda-Kisaasi-24h'!D101,'03.08 Ntinda-Kisaasi-24h'!D101,'04.08 Ntinda-Kisaasi'!D101)</f>
        <v>3</v>
      </c>
      <c r="E101" s="49">
        <f>AVERAGE('29.07 Ntinda-Kisaasi'!E101,'30.07 Ntinda-Kisaasi'!E101,'31.07 Ntinda-Kisaasi'!E101,'02.08 Ntinda-Kisaasi'!E101,'01.08 Ntinda-Kisaasi-24h'!E101,'03.08 Ntinda-Kisaasi-24h'!E101,'04.08 Ntinda-Kisaasi'!E101)</f>
        <v>1.5</v>
      </c>
      <c r="F101" s="49">
        <f>AVERAGE('29.07 Ntinda-Kisaasi'!F101,'30.07 Ntinda-Kisaasi'!F101,'31.07 Ntinda-Kisaasi'!F101,'02.08 Ntinda-Kisaasi'!F101,'01.08 Ntinda-Kisaasi-24h'!F101,'03.08 Ntinda-Kisaasi-24h'!F101,'04.08 Ntinda-Kisaasi'!F101)</f>
        <v>5.5</v>
      </c>
      <c r="G101" s="49">
        <f>AVERAGE('29.07 Ntinda-Kisaasi'!G101,'30.07 Ntinda-Kisaasi'!G101,'31.07 Ntinda-Kisaasi'!G101,'02.08 Ntinda-Kisaasi'!G101,'01.08 Ntinda-Kisaasi-24h'!G101,'03.08 Ntinda-Kisaasi-24h'!G101,'04.08 Ntinda-Kisaasi'!G101)</f>
        <v>0</v>
      </c>
      <c r="H101" s="49">
        <f>AVERAGE('29.07 Ntinda-Kisaasi'!H101,'30.07 Ntinda-Kisaasi'!H101,'31.07 Ntinda-Kisaasi'!H101,'02.08 Ntinda-Kisaasi'!H101,'01.08 Ntinda-Kisaasi-24h'!H101,'03.08 Ntinda-Kisaasi-24h'!H101,'04.08 Ntinda-Kisaasi'!H101)</f>
        <v>0</v>
      </c>
      <c r="I101" s="49">
        <f>AVERAGE('29.07 Ntinda-Kisaasi'!I101,'30.07 Ntinda-Kisaasi'!I101,'31.07 Ntinda-Kisaasi'!I101,'02.08 Ntinda-Kisaasi'!I101,'01.08 Ntinda-Kisaasi-24h'!I101,'03.08 Ntinda-Kisaasi-24h'!I101,'04.08 Ntinda-Kisaasi'!I101)</f>
        <v>0</v>
      </c>
      <c r="J101" s="49">
        <f>AVERAGE('29.07 Ntinda-Kisaasi'!J101,'30.07 Ntinda-Kisaasi'!J101,'31.07 Ntinda-Kisaasi'!J101,'02.08 Ntinda-Kisaasi'!J101,'01.08 Ntinda-Kisaasi-24h'!J101,'03.08 Ntinda-Kisaasi-24h'!J101,'04.08 Ntinda-Kisaasi'!J101)</f>
        <v>0</v>
      </c>
      <c r="K101" s="49">
        <f>AVERAGE('29.07 Ntinda-Kisaasi'!K101,'30.07 Ntinda-Kisaasi'!K101,'31.07 Ntinda-Kisaasi'!K101,'02.08 Ntinda-Kisaasi'!K101,'01.08 Ntinda-Kisaasi-24h'!K101,'03.08 Ntinda-Kisaasi-24h'!K101,'04.08 Ntinda-Kisaasi'!K101)</f>
        <v>0</v>
      </c>
      <c r="L101" s="49">
        <f>AVERAGE('29.07 Ntinda-Kisaasi'!L101,'30.07 Ntinda-Kisaasi'!L101,'31.07 Ntinda-Kisaasi'!L101,'02.08 Ntinda-Kisaasi'!L101,'01.08 Ntinda-Kisaasi-24h'!L101,'03.08 Ntinda-Kisaasi-24h'!L101,'04.08 Ntinda-Kisaasi'!L101)</f>
        <v>0.5</v>
      </c>
      <c r="M101" s="49">
        <f>AVERAGE('29.07 Ntinda-Kisaasi'!M101,'30.07 Ntinda-Kisaasi'!M101,'31.07 Ntinda-Kisaasi'!M101,'02.08 Ntinda-Kisaasi'!M101,'01.08 Ntinda-Kisaasi-24h'!M101,'03.08 Ntinda-Kisaasi-24h'!M101,'04.08 Ntinda-Kisaasi'!M101)</f>
        <v>16.5</v>
      </c>
      <c r="N101" s="49">
        <f>AVERAGE('29.07 Ntinda-Kisaasi'!N101,'30.07 Ntinda-Kisaasi'!N101,'31.07 Ntinda-Kisaasi'!N101,'02.08 Ntinda-Kisaasi'!N101,'01.08 Ntinda-Kisaasi-24h'!N101,'03.08 Ntinda-Kisaasi-24h'!N101,'04.08 Ntinda-Kisaasi'!N101)</f>
        <v>0</v>
      </c>
      <c r="O101" s="49">
        <f>AVERAGE('29.07 Ntinda-Kisaasi'!O101,'30.07 Ntinda-Kisaasi'!O101,'31.07 Ntinda-Kisaasi'!O101,'02.08 Ntinda-Kisaasi'!O101,'01.08 Ntinda-Kisaasi-24h'!O101,'03.08 Ntinda-Kisaasi-24h'!O101,'04.08 Ntinda-Kisaasi'!O101)</f>
        <v>24</v>
      </c>
      <c r="P101" s="49">
        <f>AVERAGE('29.07 Ntinda-Kisaasi'!P101,'30.07 Ntinda-Kisaasi'!P101,'31.07 Ntinda-Kisaasi'!P101,'02.08 Ntinda-Kisaasi'!P101,'01.08 Ntinda-Kisaasi-24h'!P101,'03.08 Ntinda-Kisaasi-24h'!P101,'04.08 Ntinda-Kisaasi'!P101)</f>
        <v>40.5</v>
      </c>
      <c r="R101" s="8"/>
      <c r="T101"/>
    </row>
    <row r="102" spans="2:20" ht="23.1" customHeight="1" x14ac:dyDescent="0.25">
      <c r="B102" s="24" t="s">
        <v>142</v>
      </c>
      <c r="C102" s="49">
        <f>AVERAGE('29.07 Ntinda-Kisaasi'!C102,'30.07 Ntinda-Kisaasi'!C102,'31.07 Ntinda-Kisaasi'!C102,'02.08 Ntinda-Kisaasi'!C102,'01.08 Ntinda-Kisaasi-24h'!C102,'03.08 Ntinda-Kisaasi-24h'!C102,'04.08 Ntinda-Kisaasi'!C102)</f>
        <v>9.5</v>
      </c>
      <c r="D102" s="49">
        <f>AVERAGE('29.07 Ntinda-Kisaasi'!D102,'30.07 Ntinda-Kisaasi'!D102,'31.07 Ntinda-Kisaasi'!D102,'02.08 Ntinda-Kisaasi'!D102,'01.08 Ntinda-Kisaasi-24h'!D102,'03.08 Ntinda-Kisaasi-24h'!D102,'04.08 Ntinda-Kisaasi'!D102)</f>
        <v>3.5</v>
      </c>
      <c r="E102" s="49">
        <f>AVERAGE('29.07 Ntinda-Kisaasi'!E102,'30.07 Ntinda-Kisaasi'!E102,'31.07 Ntinda-Kisaasi'!E102,'02.08 Ntinda-Kisaasi'!E102,'01.08 Ntinda-Kisaasi-24h'!E102,'03.08 Ntinda-Kisaasi-24h'!E102,'04.08 Ntinda-Kisaasi'!E102)</f>
        <v>2.5</v>
      </c>
      <c r="F102" s="49">
        <f>AVERAGE('29.07 Ntinda-Kisaasi'!F102,'30.07 Ntinda-Kisaasi'!F102,'31.07 Ntinda-Kisaasi'!F102,'02.08 Ntinda-Kisaasi'!F102,'01.08 Ntinda-Kisaasi-24h'!F102,'03.08 Ntinda-Kisaasi-24h'!F102,'04.08 Ntinda-Kisaasi'!F102)</f>
        <v>5</v>
      </c>
      <c r="G102" s="49">
        <f>AVERAGE('29.07 Ntinda-Kisaasi'!G102,'30.07 Ntinda-Kisaasi'!G102,'31.07 Ntinda-Kisaasi'!G102,'02.08 Ntinda-Kisaasi'!G102,'01.08 Ntinda-Kisaasi-24h'!G102,'03.08 Ntinda-Kisaasi-24h'!G102,'04.08 Ntinda-Kisaasi'!G102)</f>
        <v>0</v>
      </c>
      <c r="H102" s="49">
        <f>AVERAGE('29.07 Ntinda-Kisaasi'!H102,'30.07 Ntinda-Kisaasi'!H102,'31.07 Ntinda-Kisaasi'!H102,'02.08 Ntinda-Kisaasi'!H102,'01.08 Ntinda-Kisaasi-24h'!H102,'03.08 Ntinda-Kisaasi-24h'!H102,'04.08 Ntinda-Kisaasi'!H102)</f>
        <v>0</v>
      </c>
      <c r="I102" s="49">
        <f>AVERAGE('29.07 Ntinda-Kisaasi'!I102,'30.07 Ntinda-Kisaasi'!I102,'31.07 Ntinda-Kisaasi'!I102,'02.08 Ntinda-Kisaasi'!I102,'01.08 Ntinda-Kisaasi-24h'!I102,'03.08 Ntinda-Kisaasi-24h'!I102,'04.08 Ntinda-Kisaasi'!I102)</f>
        <v>1</v>
      </c>
      <c r="J102" s="49">
        <f>AVERAGE('29.07 Ntinda-Kisaasi'!J102,'30.07 Ntinda-Kisaasi'!J102,'31.07 Ntinda-Kisaasi'!J102,'02.08 Ntinda-Kisaasi'!J102,'01.08 Ntinda-Kisaasi-24h'!J102,'03.08 Ntinda-Kisaasi-24h'!J102,'04.08 Ntinda-Kisaasi'!J102)</f>
        <v>0.5</v>
      </c>
      <c r="K102" s="49">
        <f>AVERAGE('29.07 Ntinda-Kisaasi'!K102,'30.07 Ntinda-Kisaasi'!K102,'31.07 Ntinda-Kisaasi'!K102,'02.08 Ntinda-Kisaasi'!K102,'01.08 Ntinda-Kisaasi-24h'!K102,'03.08 Ntinda-Kisaasi-24h'!K102,'04.08 Ntinda-Kisaasi'!K102)</f>
        <v>0</v>
      </c>
      <c r="L102" s="49">
        <f>AVERAGE('29.07 Ntinda-Kisaasi'!L102,'30.07 Ntinda-Kisaasi'!L102,'31.07 Ntinda-Kisaasi'!L102,'02.08 Ntinda-Kisaasi'!L102,'01.08 Ntinda-Kisaasi-24h'!L102,'03.08 Ntinda-Kisaasi-24h'!L102,'04.08 Ntinda-Kisaasi'!L102)</f>
        <v>0.5</v>
      </c>
      <c r="M102" s="49">
        <f>AVERAGE('29.07 Ntinda-Kisaasi'!M102,'30.07 Ntinda-Kisaasi'!M102,'31.07 Ntinda-Kisaasi'!M102,'02.08 Ntinda-Kisaasi'!M102,'01.08 Ntinda-Kisaasi-24h'!M102,'03.08 Ntinda-Kisaasi-24h'!M102,'04.08 Ntinda-Kisaasi'!M102)</f>
        <v>19</v>
      </c>
      <c r="N102" s="49">
        <f>AVERAGE('29.07 Ntinda-Kisaasi'!N102,'30.07 Ntinda-Kisaasi'!N102,'31.07 Ntinda-Kisaasi'!N102,'02.08 Ntinda-Kisaasi'!N102,'01.08 Ntinda-Kisaasi-24h'!N102,'03.08 Ntinda-Kisaasi-24h'!N102,'04.08 Ntinda-Kisaasi'!N102)</f>
        <v>0</v>
      </c>
      <c r="O102" s="49">
        <f>AVERAGE('29.07 Ntinda-Kisaasi'!O102,'30.07 Ntinda-Kisaasi'!O102,'31.07 Ntinda-Kisaasi'!O102,'02.08 Ntinda-Kisaasi'!O102,'01.08 Ntinda-Kisaasi-24h'!O102,'03.08 Ntinda-Kisaasi-24h'!O102,'04.08 Ntinda-Kisaasi'!O102)</f>
        <v>22.5</v>
      </c>
      <c r="P102" s="49">
        <f>AVERAGE('29.07 Ntinda-Kisaasi'!P102,'30.07 Ntinda-Kisaasi'!P102,'31.07 Ntinda-Kisaasi'!P102,'02.08 Ntinda-Kisaasi'!P102,'01.08 Ntinda-Kisaasi-24h'!P102,'03.08 Ntinda-Kisaasi-24h'!P102,'04.08 Ntinda-Kisaasi'!P102)</f>
        <v>41.5</v>
      </c>
      <c r="R102" s="8"/>
      <c r="T102"/>
    </row>
    <row r="103" spans="2:20" ht="23.1" customHeight="1" x14ac:dyDescent="0.25">
      <c r="B103" s="23" t="s">
        <v>143</v>
      </c>
      <c r="C103" s="49">
        <f>AVERAGE('29.07 Ntinda-Kisaasi'!C103,'30.07 Ntinda-Kisaasi'!C103,'31.07 Ntinda-Kisaasi'!C103,'02.08 Ntinda-Kisaasi'!C103,'01.08 Ntinda-Kisaasi-24h'!C103,'03.08 Ntinda-Kisaasi-24h'!C103,'04.08 Ntinda-Kisaasi'!C103)</f>
        <v>18</v>
      </c>
      <c r="D103" s="49">
        <f>AVERAGE('29.07 Ntinda-Kisaasi'!D103,'30.07 Ntinda-Kisaasi'!D103,'31.07 Ntinda-Kisaasi'!D103,'02.08 Ntinda-Kisaasi'!D103,'01.08 Ntinda-Kisaasi-24h'!D103,'03.08 Ntinda-Kisaasi-24h'!D103,'04.08 Ntinda-Kisaasi'!D103)</f>
        <v>8</v>
      </c>
      <c r="E103" s="49">
        <f>AVERAGE('29.07 Ntinda-Kisaasi'!E103,'30.07 Ntinda-Kisaasi'!E103,'31.07 Ntinda-Kisaasi'!E103,'02.08 Ntinda-Kisaasi'!E103,'01.08 Ntinda-Kisaasi-24h'!E103,'03.08 Ntinda-Kisaasi-24h'!E103,'04.08 Ntinda-Kisaasi'!E103)</f>
        <v>2</v>
      </c>
      <c r="F103" s="49">
        <f>AVERAGE('29.07 Ntinda-Kisaasi'!F103,'30.07 Ntinda-Kisaasi'!F103,'31.07 Ntinda-Kisaasi'!F103,'02.08 Ntinda-Kisaasi'!F103,'01.08 Ntinda-Kisaasi-24h'!F103,'03.08 Ntinda-Kisaasi-24h'!F103,'04.08 Ntinda-Kisaasi'!F103)</f>
        <v>9.5</v>
      </c>
      <c r="G103" s="49">
        <f>AVERAGE('29.07 Ntinda-Kisaasi'!G103,'30.07 Ntinda-Kisaasi'!G103,'31.07 Ntinda-Kisaasi'!G103,'02.08 Ntinda-Kisaasi'!G103,'01.08 Ntinda-Kisaasi-24h'!G103,'03.08 Ntinda-Kisaasi-24h'!G103,'04.08 Ntinda-Kisaasi'!G103)</f>
        <v>0.5</v>
      </c>
      <c r="H103" s="49">
        <f>AVERAGE('29.07 Ntinda-Kisaasi'!H103,'30.07 Ntinda-Kisaasi'!H103,'31.07 Ntinda-Kisaasi'!H103,'02.08 Ntinda-Kisaasi'!H103,'01.08 Ntinda-Kisaasi-24h'!H103,'03.08 Ntinda-Kisaasi-24h'!H103,'04.08 Ntinda-Kisaasi'!H103)</f>
        <v>0</v>
      </c>
      <c r="I103" s="49">
        <f>AVERAGE('29.07 Ntinda-Kisaasi'!I103,'30.07 Ntinda-Kisaasi'!I103,'31.07 Ntinda-Kisaasi'!I103,'02.08 Ntinda-Kisaasi'!I103,'01.08 Ntinda-Kisaasi-24h'!I103,'03.08 Ntinda-Kisaasi-24h'!I103,'04.08 Ntinda-Kisaasi'!I103)</f>
        <v>1</v>
      </c>
      <c r="J103" s="49">
        <f>AVERAGE('29.07 Ntinda-Kisaasi'!J103,'30.07 Ntinda-Kisaasi'!J103,'31.07 Ntinda-Kisaasi'!J103,'02.08 Ntinda-Kisaasi'!J103,'01.08 Ntinda-Kisaasi-24h'!J103,'03.08 Ntinda-Kisaasi-24h'!J103,'04.08 Ntinda-Kisaasi'!J103)</f>
        <v>0</v>
      </c>
      <c r="K103" s="49">
        <f>AVERAGE('29.07 Ntinda-Kisaasi'!K103,'30.07 Ntinda-Kisaasi'!K103,'31.07 Ntinda-Kisaasi'!K103,'02.08 Ntinda-Kisaasi'!K103,'01.08 Ntinda-Kisaasi-24h'!K103,'03.08 Ntinda-Kisaasi-24h'!K103,'04.08 Ntinda-Kisaasi'!K103)</f>
        <v>0.5</v>
      </c>
      <c r="L103" s="49">
        <f>AVERAGE('29.07 Ntinda-Kisaasi'!L103,'30.07 Ntinda-Kisaasi'!L103,'31.07 Ntinda-Kisaasi'!L103,'02.08 Ntinda-Kisaasi'!L103,'01.08 Ntinda-Kisaasi-24h'!L103,'03.08 Ntinda-Kisaasi-24h'!L103,'04.08 Ntinda-Kisaasi'!L103)</f>
        <v>1.5</v>
      </c>
      <c r="M103" s="49">
        <f>AVERAGE('29.07 Ntinda-Kisaasi'!M103,'30.07 Ntinda-Kisaasi'!M103,'31.07 Ntinda-Kisaasi'!M103,'02.08 Ntinda-Kisaasi'!M103,'01.08 Ntinda-Kisaasi-24h'!M103,'03.08 Ntinda-Kisaasi-24h'!M103,'04.08 Ntinda-Kisaasi'!M103)</f>
        <v>26</v>
      </c>
      <c r="N103" s="49">
        <f>AVERAGE('29.07 Ntinda-Kisaasi'!N103,'30.07 Ntinda-Kisaasi'!N103,'31.07 Ntinda-Kisaasi'!N103,'02.08 Ntinda-Kisaasi'!N103,'01.08 Ntinda-Kisaasi-24h'!N103,'03.08 Ntinda-Kisaasi-24h'!N103,'04.08 Ntinda-Kisaasi'!N103)</f>
        <v>0</v>
      </c>
      <c r="O103" s="49">
        <f>AVERAGE('29.07 Ntinda-Kisaasi'!O103,'30.07 Ntinda-Kisaasi'!O103,'31.07 Ntinda-Kisaasi'!O103,'02.08 Ntinda-Kisaasi'!O103,'01.08 Ntinda-Kisaasi-24h'!O103,'03.08 Ntinda-Kisaasi-24h'!O103,'04.08 Ntinda-Kisaasi'!O103)</f>
        <v>41</v>
      </c>
      <c r="P103" s="49">
        <f>AVERAGE('29.07 Ntinda-Kisaasi'!P103,'30.07 Ntinda-Kisaasi'!P103,'31.07 Ntinda-Kisaasi'!P103,'02.08 Ntinda-Kisaasi'!P103,'01.08 Ntinda-Kisaasi-24h'!P103,'03.08 Ntinda-Kisaasi-24h'!P103,'04.08 Ntinda-Kisaasi'!P103)</f>
        <v>67</v>
      </c>
      <c r="R103" s="8"/>
      <c r="T103"/>
    </row>
    <row r="104" spans="2:20" ht="23.1" customHeight="1" x14ac:dyDescent="0.25">
      <c r="B104" s="25" t="s">
        <v>144</v>
      </c>
      <c r="C104" s="49">
        <f>AVERAGE('29.07 Ntinda-Kisaasi'!C104,'30.07 Ntinda-Kisaasi'!C104,'31.07 Ntinda-Kisaasi'!C104,'02.08 Ntinda-Kisaasi'!C104,'01.08 Ntinda-Kisaasi-24h'!C104,'03.08 Ntinda-Kisaasi-24h'!C104,'04.08 Ntinda-Kisaasi'!C104)</f>
        <v>16.5</v>
      </c>
      <c r="D104" s="49">
        <f>AVERAGE('29.07 Ntinda-Kisaasi'!D104,'30.07 Ntinda-Kisaasi'!D104,'31.07 Ntinda-Kisaasi'!D104,'02.08 Ntinda-Kisaasi'!D104,'01.08 Ntinda-Kisaasi-24h'!D104,'03.08 Ntinda-Kisaasi-24h'!D104,'04.08 Ntinda-Kisaasi'!D104)</f>
        <v>12</v>
      </c>
      <c r="E104" s="49">
        <f>AVERAGE('29.07 Ntinda-Kisaasi'!E104,'30.07 Ntinda-Kisaasi'!E104,'31.07 Ntinda-Kisaasi'!E104,'02.08 Ntinda-Kisaasi'!E104,'01.08 Ntinda-Kisaasi-24h'!E104,'03.08 Ntinda-Kisaasi-24h'!E104,'04.08 Ntinda-Kisaasi'!E104)</f>
        <v>3.5</v>
      </c>
      <c r="F104" s="49">
        <f>AVERAGE('29.07 Ntinda-Kisaasi'!F104,'30.07 Ntinda-Kisaasi'!F104,'31.07 Ntinda-Kisaasi'!F104,'02.08 Ntinda-Kisaasi'!F104,'01.08 Ntinda-Kisaasi-24h'!F104,'03.08 Ntinda-Kisaasi-24h'!F104,'04.08 Ntinda-Kisaasi'!F104)</f>
        <v>7.5</v>
      </c>
      <c r="G104" s="49">
        <f>AVERAGE('29.07 Ntinda-Kisaasi'!G104,'30.07 Ntinda-Kisaasi'!G104,'31.07 Ntinda-Kisaasi'!G104,'02.08 Ntinda-Kisaasi'!G104,'01.08 Ntinda-Kisaasi-24h'!G104,'03.08 Ntinda-Kisaasi-24h'!G104,'04.08 Ntinda-Kisaasi'!G104)</f>
        <v>0</v>
      </c>
      <c r="H104" s="49">
        <f>AVERAGE('29.07 Ntinda-Kisaasi'!H104,'30.07 Ntinda-Kisaasi'!H104,'31.07 Ntinda-Kisaasi'!H104,'02.08 Ntinda-Kisaasi'!H104,'01.08 Ntinda-Kisaasi-24h'!H104,'03.08 Ntinda-Kisaasi-24h'!H104,'04.08 Ntinda-Kisaasi'!H104)</f>
        <v>0</v>
      </c>
      <c r="I104" s="49">
        <f>AVERAGE('29.07 Ntinda-Kisaasi'!I104,'30.07 Ntinda-Kisaasi'!I104,'31.07 Ntinda-Kisaasi'!I104,'02.08 Ntinda-Kisaasi'!I104,'01.08 Ntinda-Kisaasi-24h'!I104,'03.08 Ntinda-Kisaasi-24h'!I104,'04.08 Ntinda-Kisaasi'!I104)</f>
        <v>2</v>
      </c>
      <c r="J104" s="49">
        <f>AVERAGE('29.07 Ntinda-Kisaasi'!J104,'30.07 Ntinda-Kisaasi'!J104,'31.07 Ntinda-Kisaasi'!J104,'02.08 Ntinda-Kisaasi'!J104,'01.08 Ntinda-Kisaasi-24h'!J104,'03.08 Ntinda-Kisaasi-24h'!J104,'04.08 Ntinda-Kisaasi'!J104)</f>
        <v>0</v>
      </c>
      <c r="K104" s="49">
        <f>AVERAGE('29.07 Ntinda-Kisaasi'!K104,'30.07 Ntinda-Kisaasi'!K104,'31.07 Ntinda-Kisaasi'!K104,'02.08 Ntinda-Kisaasi'!K104,'01.08 Ntinda-Kisaasi-24h'!K104,'03.08 Ntinda-Kisaasi-24h'!K104,'04.08 Ntinda-Kisaasi'!K104)</f>
        <v>0.5</v>
      </c>
      <c r="L104" s="49">
        <f>AVERAGE('29.07 Ntinda-Kisaasi'!L104,'30.07 Ntinda-Kisaasi'!L104,'31.07 Ntinda-Kisaasi'!L104,'02.08 Ntinda-Kisaasi'!L104,'01.08 Ntinda-Kisaasi-24h'!L104,'03.08 Ntinda-Kisaasi-24h'!L104,'04.08 Ntinda-Kisaasi'!L104)</f>
        <v>0</v>
      </c>
      <c r="M104" s="49">
        <f>AVERAGE('29.07 Ntinda-Kisaasi'!M104,'30.07 Ntinda-Kisaasi'!M104,'31.07 Ntinda-Kisaasi'!M104,'02.08 Ntinda-Kisaasi'!M104,'01.08 Ntinda-Kisaasi-24h'!M104,'03.08 Ntinda-Kisaasi-24h'!M104,'04.08 Ntinda-Kisaasi'!M104)</f>
        <v>29</v>
      </c>
      <c r="N104" s="49">
        <f>AVERAGE('29.07 Ntinda-Kisaasi'!N104,'30.07 Ntinda-Kisaasi'!N104,'31.07 Ntinda-Kisaasi'!N104,'02.08 Ntinda-Kisaasi'!N104,'01.08 Ntinda-Kisaasi-24h'!N104,'03.08 Ntinda-Kisaasi-24h'!N104,'04.08 Ntinda-Kisaasi'!N104)</f>
        <v>0</v>
      </c>
      <c r="O104" s="49">
        <f>AVERAGE('29.07 Ntinda-Kisaasi'!O104,'30.07 Ntinda-Kisaasi'!O104,'31.07 Ntinda-Kisaasi'!O104,'02.08 Ntinda-Kisaasi'!O104,'01.08 Ntinda-Kisaasi-24h'!O104,'03.08 Ntinda-Kisaasi-24h'!O104,'04.08 Ntinda-Kisaasi'!O104)</f>
        <v>42</v>
      </c>
      <c r="P104" s="49">
        <f>AVERAGE('29.07 Ntinda-Kisaasi'!P104,'30.07 Ntinda-Kisaasi'!P104,'31.07 Ntinda-Kisaasi'!P104,'02.08 Ntinda-Kisaasi'!P104,'01.08 Ntinda-Kisaasi-24h'!P104,'03.08 Ntinda-Kisaasi-24h'!P104,'04.08 Ntinda-Kisaasi'!P104)</f>
        <v>71</v>
      </c>
      <c r="R104" s="8"/>
      <c r="T104"/>
    </row>
    <row r="105" spans="2:20" ht="23.1" customHeight="1" x14ac:dyDescent="0.25">
      <c r="B105" s="23" t="s">
        <v>145</v>
      </c>
      <c r="C105" s="49">
        <f>AVERAGE('29.07 Ntinda-Kisaasi'!C105,'30.07 Ntinda-Kisaasi'!C105,'31.07 Ntinda-Kisaasi'!C105,'02.08 Ntinda-Kisaasi'!C105,'01.08 Ntinda-Kisaasi-24h'!C105,'03.08 Ntinda-Kisaasi-24h'!C105,'04.08 Ntinda-Kisaasi'!C105)</f>
        <v>27</v>
      </c>
      <c r="D105" s="49">
        <f>AVERAGE('29.07 Ntinda-Kisaasi'!D105,'30.07 Ntinda-Kisaasi'!D105,'31.07 Ntinda-Kisaasi'!D105,'02.08 Ntinda-Kisaasi'!D105,'01.08 Ntinda-Kisaasi-24h'!D105,'03.08 Ntinda-Kisaasi-24h'!D105,'04.08 Ntinda-Kisaasi'!D105)</f>
        <v>10.5</v>
      </c>
      <c r="E105" s="49">
        <f>AVERAGE('29.07 Ntinda-Kisaasi'!E105,'30.07 Ntinda-Kisaasi'!E105,'31.07 Ntinda-Kisaasi'!E105,'02.08 Ntinda-Kisaasi'!E105,'01.08 Ntinda-Kisaasi-24h'!E105,'03.08 Ntinda-Kisaasi-24h'!E105,'04.08 Ntinda-Kisaasi'!E105)</f>
        <v>3.5</v>
      </c>
      <c r="F105" s="49">
        <f>AVERAGE('29.07 Ntinda-Kisaasi'!F105,'30.07 Ntinda-Kisaasi'!F105,'31.07 Ntinda-Kisaasi'!F105,'02.08 Ntinda-Kisaasi'!F105,'01.08 Ntinda-Kisaasi-24h'!F105,'03.08 Ntinda-Kisaasi-24h'!F105,'04.08 Ntinda-Kisaasi'!F105)</f>
        <v>8.5</v>
      </c>
      <c r="G105" s="49">
        <f>AVERAGE('29.07 Ntinda-Kisaasi'!G105,'30.07 Ntinda-Kisaasi'!G105,'31.07 Ntinda-Kisaasi'!G105,'02.08 Ntinda-Kisaasi'!G105,'01.08 Ntinda-Kisaasi-24h'!G105,'03.08 Ntinda-Kisaasi-24h'!G105,'04.08 Ntinda-Kisaasi'!G105)</f>
        <v>0</v>
      </c>
      <c r="H105" s="49">
        <f>AVERAGE('29.07 Ntinda-Kisaasi'!H105,'30.07 Ntinda-Kisaasi'!H105,'31.07 Ntinda-Kisaasi'!H105,'02.08 Ntinda-Kisaasi'!H105,'01.08 Ntinda-Kisaasi-24h'!H105,'03.08 Ntinda-Kisaasi-24h'!H105,'04.08 Ntinda-Kisaasi'!H105)</f>
        <v>0</v>
      </c>
      <c r="I105" s="49">
        <f>AVERAGE('29.07 Ntinda-Kisaasi'!I105,'30.07 Ntinda-Kisaasi'!I105,'31.07 Ntinda-Kisaasi'!I105,'02.08 Ntinda-Kisaasi'!I105,'01.08 Ntinda-Kisaasi-24h'!I105,'03.08 Ntinda-Kisaasi-24h'!I105,'04.08 Ntinda-Kisaasi'!I105)</f>
        <v>1.5</v>
      </c>
      <c r="J105" s="49">
        <f>AVERAGE('29.07 Ntinda-Kisaasi'!J105,'30.07 Ntinda-Kisaasi'!J105,'31.07 Ntinda-Kisaasi'!J105,'02.08 Ntinda-Kisaasi'!J105,'01.08 Ntinda-Kisaasi-24h'!J105,'03.08 Ntinda-Kisaasi-24h'!J105,'04.08 Ntinda-Kisaasi'!J105)</f>
        <v>0.5</v>
      </c>
      <c r="K105" s="49">
        <f>AVERAGE('29.07 Ntinda-Kisaasi'!K105,'30.07 Ntinda-Kisaasi'!K105,'31.07 Ntinda-Kisaasi'!K105,'02.08 Ntinda-Kisaasi'!K105,'01.08 Ntinda-Kisaasi-24h'!K105,'03.08 Ntinda-Kisaasi-24h'!K105,'04.08 Ntinda-Kisaasi'!K105)</f>
        <v>0</v>
      </c>
      <c r="L105" s="49">
        <f>AVERAGE('29.07 Ntinda-Kisaasi'!L105,'30.07 Ntinda-Kisaasi'!L105,'31.07 Ntinda-Kisaasi'!L105,'02.08 Ntinda-Kisaasi'!L105,'01.08 Ntinda-Kisaasi-24h'!L105,'03.08 Ntinda-Kisaasi-24h'!L105,'04.08 Ntinda-Kisaasi'!L105)</f>
        <v>1</v>
      </c>
      <c r="M105" s="49">
        <f>AVERAGE('29.07 Ntinda-Kisaasi'!M105,'30.07 Ntinda-Kisaasi'!M105,'31.07 Ntinda-Kisaasi'!M105,'02.08 Ntinda-Kisaasi'!M105,'01.08 Ntinda-Kisaasi-24h'!M105,'03.08 Ntinda-Kisaasi-24h'!M105,'04.08 Ntinda-Kisaasi'!M105)</f>
        <v>52.5</v>
      </c>
      <c r="N105" s="49">
        <f>AVERAGE('29.07 Ntinda-Kisaasi'!N105,'30.07 Ntinda-Kisaasi'!N105,'31.07 Ntinda-Kisaasi'!N105,'02.08 Ntinda-Kisaasi'!N105,'01.08 Ntinda-Kisaasi-24h'!N105,'03.08 Ntinda-Kisaasi-24h'!N105,'04.08 Ntinda-Kisaasi'!N105)</f>
        <v>0</v>
      </c>
      <c r="O105" s="49">
        <f>AVERAGE('29.07 Ntinda-Kisaasi'!O105,'30.07 Ntinda-Kisaasi'!O105,'31.07 Ntinda-Kisaasi'!O105,'02.08 Ntinda-Kisaasi'!O105,'01.08 Ntinda-Kisaasi-24h'!O105,'03.08 Ntinda-Kisaasi-24h'!O105,'04.08 Ntinda-Kisaasi'!O105)</f>
        <v>52.5</v>
      </c>
      <c r="P105" s="49">
        <f>AVERAGE('29.07 Ntinda-Kisaasi'!P105,'30.07 Ntinda-Kisaasi'!P105,'31.07 Ntinda-Kisaasi'!P105,'02.08 Ntinda-Kisaasi'!P105,'01.08 Ntinda-Kisaasi-24h'!P105,'03.08 Ntinda-Kisaasi-24h'!P105,'04.08 Ntinda-Kisaasi'!P105)</f>
        <v>105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3087.9976005805179</v>
      </c>
      <c r="D106" s="16">
        <f t="shared" ref="D106:O106" si="25">SUM(D10:D105)</f>
        <v>1434.1601736688801</v>
      </c>
      <c r="E106" s="16">
        <f t="shared" si="25"/>
        <v>435.00657404522076</v>
      </c>
      <c r="F106" s="16">
        <f t="shared" si="25"/>
        <v>1041.4140281013501</v>
      </c>
      <c r="G106" s="16">
        <f t="shared" si="25"/>
        <v>14.717426285885349</v>
      </c>
      <c r="H106" s="16">
        <f t="shared" si="25"/>
        <v>2.0719109476633903</v>
      </c>
      <c r="I106" s="16">
        <f t="shared" si="25"/>
        <v>225.61616923326665</v>
      </c>
      <c r="J106" s="16">
        <f t="shared" si="25"/>
        <v>81.731630180424403</v>
      </c>
      <c r="K106" s="16">
        <f t="shared" si="25"/>
        <v>32.220403232449854</v>
      </c>
      <c r="L106" s="16">
        <f t="shared" si="25"/>
        <v>88.876613180252647</v>
      </c>
      <c r="M106" s="16">
        <f t="shared" si="25"/>
        <v>5709.9016071090682</v>
      </c>
      <c r="N106" s="16">
        <f t="shared" si="25"/>
        <v>0.42872057787808171</v>
      </c>
      <c r="O106" s="16">
        <f t="shared" si="25"/>
        <v>6571.7142857142862</v>
      </c>
      <c r="P106" s="16">
        <f>SUM(P10:P105)</f>
        <v>12333.071428571424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26">C106/$P$106</f>
        <v>0.25038350085500233</v>
      </c>
      <c r="D107" s="43">
        <f t="shared" si="26"/>
        <v>0.11628572671252282</v>
      </c>
      <c r="E107" s="43">
        <f t="shared" si="26"/>
        <v>3.5271552310761962E-2</v>
      </c>
      <c r="F107" s="43">
        <f t="shared" si="26"/>
        <v>8.4440768395191254E-2</v>
      </c>
      <c r="G107" s="43">
        <f t="shared" si="26"/>
        <v>1.1933301749789762E-3</v>
      </c>
      <c r="H107" s="43">
        <f t="shared" si="26"/>
        <v>1.6799634703026982E-4</v>
      </c>
      <c r="I107" s="43">
        <f t="shared" si="26"/>
        <v>1.8293591384753737E-2</v>
      </c>
      <c r="J107" s="43">
        <f t="shared" si="26"/>
        <v>6.6270296619770422E-3</v>
      </c>
      <c r="K107" s="43">
        <f t="shared" si="26"/>
        <v>2.6125206051921842E-3</v>
      </c>
      <c r="L107" s="43">
        <f t="shared" si="26"/>
        <v>7.2063649103950326E-3</v>
      </c>
      <c r="M107" s="43">
        <f t="shared" si="26"/>
        <v>0.46297482668276924</v>
      </c>
      <c r="N107" s="43">
        <f t="shared" si="26"/>
        <v>3.4761866122406924E-5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0.46989224825145914</v>
      </c>
      <c r="D108" s="44">
        <f t="shared" ref="D108:N108" si="27">D106/$O$106</f>
        <v>0.21823227719842964</v>
      </c>
      <c r="E108" s="44">
        <f t="shared" si="27"/>
        <v>6.6193774581899595E-2</v>
      </c>
      <c r="F108" s="44">
        <f t="shared" si="27"/>
        <v>0.15846915779117104</v>
      </c>
      <c r="G108" s="44">
        <f t="shared" si="27"/>
        <v>2.2395109778096047E-3</v>
      </c>
      <c r="H108" s="44">
        <f t="shared" si="27"/>
        <v>3.1527708868405135E-4</v>
      </c>
      <c r="I108" s="44">
        <f t="shared" si="27"/>
        <v>3.4331402648425428E-2</v>
      </c>
      <c r="J108" s="44">
        <f t="shared" si="27"/>
        <v>1.2436881250010233E-2</v>
      </c>
      <c r="K108" s="44">
        <f t="shared" si="27"/>
        <v>4.9028916705175637E-3</v>
      </c>
      <c r="L108" s="44">
        <f t="shared" si="27"/>
        <v>1.3524114000734066E-2</v>
      </c>
      <c r="M108" s="44"/>
      <c r="N108" s="44">
        <f t="shared" si="27"/>
        <v>6.5237251535728267E-5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L43" zoomScale="60" workbookViewId="0">
      <selection activeCell="AD55" sqref="AD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'04.08 Ntinda-Kisaasi'!C3:G3</f>
        <v>MCC - C1 - STN33 - NTINDA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'Avg Week Ntinda-Kisaasi'!G5:H5</f>
        <v>Ndere Center</v>
      </c>
      <c r="H5" s="66"/>
      <c r="I5" s="14"/>
      <c r="J5" s="2" t="s">
        <v>5</v>
      </c>
      <c r="K5" s="65" t="str">
        <f>'Avg Week Ntinda-Kisaasi'!K5:L5</f>
        <v>Okello Peter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5" t="str">
        <f>'Avg Week Ntinda-Kisaasi'!K6:L6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Kisaasi-Ntinda'!C10+'Avg Week Ntinda-Kisaasi'!C10</f>
        <v>98.142857142857139</v>
      </c>
      <c r="D10" s="49">
        <f>'Avg Week Kisaasi-Ntinda'!D10+'Avg Week Ntinda-Kisaasi'!D10</f>
        <v>56.285714285714285</v>
      </c>
      <c r="E10" s="49">
        <f>'Avg Week Kisaasi-Ntinda'!E10+'Avg Week Ntinda-Kisaasi'!E10</f>
        <v>19.285714285714285</v>
      </c>
      <c r="F10" s="49">
        <f>'Avg Week Kisaasi-Ntinda'!F10+'Avg Week Ntinda-Kisaasi'!F10</f>
        <v>28.428571428571431</v>
      </c>
      <c r="G10" s="49">
        <f>'Avg Week Kisaasi-Ntinda'!G10+'Avg Week Ntinda-Kisaasi'!G10</f>
        <v>0.8571428571428571</v>
      </c>
      <c r="H10" s="49">
        <f>'Avg Week Kisaasi-Ntinda'!H10+'Avg Week Ntinda-Kisaasi'!H10</f>
        <v>0</v>
      </c>
      <c r="I10" s="49">
        <f>'Avg Week Kisaasi-Ntinda'!I10+'Avg Week Ntinda-Kisaasi'!I10</f>
        <v>6</v>
      </c>
      <c r="J10" s="49">
        <f>'Avg Week Kisaasi-Ntinda'!J10+'Avg Week Ntinda-Kisaasi'!J10</f>
        <v>1.7142857142857142</v>
      </c>
      <c r="K10" s="49">
        <f>'Avg Week Kisaasi-Ntinda'!K10+'Avg Week Ntinda-Kisaasi'!K10</f>
        <v>1.2857142857142856</v>
      </c>
      <c r="L10" s="49">
        <f>'Avg Week Kisaasi-Ntinda'!L10+'Avg Week Ntinda-Kisaasi'!L10</f>
        <v>1</v>
      </c>
      <c r="M10" s="49">
        <f>'Avg Week Kisaasi-Ntinda'!M10+'Avg Week Ntinda-Kisaasi'!M10</f>
        <v>133</v>
      </c>
      <c r="N10" s="49">
        <f>'Avg Week Kisaasi-Ntinda'!N10+'Avg Week Ntinda-Kisaasi'!N10</f>
        <v>0</v>
      </c>
      <c r="O10" s="15">
        <f t="shared" ref="O10:O57" si="0">SUM(C10:L10,N10)</f>
        <v>212.99999999999997</v>
      </c>
      <c r="P10" s="15">
        <f t="shared" ref="P10:P57" si="1">SUM(C10:N10)</f>
        <v>346</v>
      </c>
      <c r="R10" s="1" t="s">
        <v>6</v>
      </c>
      <c r="S10" s="17">
        <f t="shared" ref="S10:AF10" si="2">SUM(C10:C13)</f>
        <v>439.71428571428567</v>
      </c>
      <c r="T10" s="17">
        <f t="shared" si="2"/>
        <v>243.57142857142856</v>
      </c>
      <c r="U10" s="17">
        <f t="shared" si="2"/>
        <v>67.714285714285708</v>
      </c>
      <c r="V10" s="17">
        <f t="shared" si="2"/>
        <v>130.57142857142856</v>
      </c>
      <c r="W10" s="17">
        <f t="shared" si="2"/>
        <v>2.9999999999999996</v>
      </c>
      <c r="X10" s="17">
        <f t="shared" si="2"/>
        <v>0</v>
      </c>
      <c r="Y10" s="17">
        <f t="shared" si="2"/>
        <v>21.714285714285715</v>
      </c>
      <c r="Z10" s="17">
        <f t="shared" si="2"/>
        <v>7.2857142857142847</v>
      </c>
      <c r="AA10" s="17">
        <f t="shared" si="2"/>
        <v>5.5714285714285712</v>
      </c>
      <c r="AB10" s="17">
        <f t="shared" si="2"/>
        <v>5.1428571428571423</v>
      </c>
      <c r="AC10" s="17">
        <f t="shared" si="2"/>
        <v>759</v>
      </c>
      <c r="AD10" s="17">
        <f t="shared" si="2"/>
        <v>0</v>
      </c>
      <c r="AE10" s="31">
        <f t="shared" si="2"/>
        <v>924.28571428571433</v>
      </c>
      <c r="AF10" s="31">
        <f t="shared" si="2"/>
        <v>1683.2857142857142</v>
      </c>
    </row>
    <row r="11" spans="2:32" s="6" customFormat="1" ht="23.1" customHeight="1" x14ac:dyDescent="0.25">
      <c r="B11" s="23" t="s">
        <v>38</v>
      </c>
      <c r="C11" s="49">
        <f>'Avg Week Kisaasi-Ntinda'!C11+'Avg Week Ntinda-Kisaasi'!C11</f>
        <v>120.42857142857143</v>
      </c>
      <c r="D11" s="49">
        <f>'Avg Week Kisaasi-Ntinda'!D11+'Avg Week Ntinda-Kisaasi'!D11</f>
        <v>65</v>
      </c>
      <c r="E11" s="49">
        <f>'Avg Week Kisaasi-Ntinda'!E11+'Avg Week Ntinda-Kisaasi'!E11</f>
        <v>15.285714285714285</v>
      </c>
      <c r="F11" s="49">
        <f>'Avg Week Kisaasi-Ntinda'!F11+'Avg Week Ntinda-Kisaasi'!F11</f>
        <v>32.142857142857139</v>
      </c>
      <c r="G11" s="49">
        <f>'Avg Week Kisaasi-Ntinda'!G11+'Avg Week Ntinda-Kisaasi'!G11</f>
        <v>1.1428571428571428</v>
      </c>
      <c r="H11" s="49">
        <f>'Avg Week Kisaasi-Ntinda'!H11+'Avg Week Ntinda-Kisaasi'!H11</f>
        <v>0</v>
      </c>
      <c r="I11" s="49">
        <f>'Avg Week Kisaasi-Ntinda'!I11+'Avg Week Ntinda-Kisaasi'!I11</f>
        <v>5.2857142857142856</v>
      </c>
      <c r="J11" s="49">
        <f>'Avg Week Kisaasi-Ntinda'!J11+'Avg Week Ntinda-Kisaasi'!J11</f>
        <v>1.1428571428571428</v>
      </c>
      <c r="K11" s="49">
        <f>'Avg Week Kisaasi-Ntinda'!K11+'Avg Week Ntinda-Kisaasi'!K11</f>
        <v>2</v>
      </c>
      <c r="L11" s="49">
        <f>'Avg Week Kisaasi-Ntinda'!L11+'Avg Week Ntinda-Kisaasi'!L11</f>
        <v>1.5714285714285714</v>
      </c>
      <c r="M11" s="49">
        <f>'Avg Week Kisaasi-Ntinda'!M11+'Avg Week Ntinda-Kisaasi'!M11</f>
        <v>180.28571428571428</v>
      </c>
      <c r="N11" s="49">
        <f>'Avg Week Kisaasi-Ntinda'!N11+'Avg Week Ntinda-Kisaasi'!N11</f>
        <v>0</v>
      </c>
      <c r="O11" s="15">
        <f t="shared" si="0"/>
        <v>244</v>
      </c>
      <c r="P11" s="15">
        <f t="shared" si="1"/>
        <v>424.28571428571428</v>
      </c>
      <c r="R11" s="1" t="s">
        <v>7</v>
      </c>
      <c r="S11" s="17">
        <f t="shared" ref="S11:AF11" si="3">SUM(C14:C17)</f>
        <v>296.57142857142856</v>
      </c>
      <c r="T11" s="17">
        <f t="shared" si="3"/>
        <v>177.14285714285714</v>
      </c>
      <c r="U11" s="17">
        <f t="shared" si="3"/>
        <v>52.714285714285708</v>
      </c>
      <c r="V11" s="17">
        <f t="shared" si="3"/>
        <v>152.57142857142858</v>
      </c>
      <c r="W11" s="17">
        <f t="shared" si="3"/>
        <v>2.5714285714285712</v>
      </c>
      <c r="X11" s="17">
        <f t="shared" si="3"/>
        <v>0</v>
      </c>
      <c r="Y11" s="17">
        <f t="shared" si="3"/>
        <v>22.857142857142858</v>
      </c>
      <c r="Z11" s="17">
        <f t="shared" si="3"/>
        <v>9</v>
      </c>
      <c r="AA11" s="17">
        <f t="shared" si="3"/>
        <v>1.5714285714285712</v>
      </c>
      <c r="AB11" s="17">
        <f t="shared" si="3"/>
        <v>6.8571428571428568</v>
      </c>
      <c r="AC11" s="17">
        <f t="shared" si="3"/>
        <v>966</v>
      </c>
      <c r="AD11" s="17">
        <f t="shared" si="3"/>
        <v>0</v>
      </c>
      <c r="AE11" s="31">
        <f t="shared" si="3"/>
        <v>721.85714285714278</v>
      </c>
      <c r="AF11" s="31">
        <f t="shared" si="3"/>
        <v>1687.8571428571427</v>
      </c>
    </row>
    <row r="12" spans="2:32" ht="23.1" customHeight="1" x14ac:dyDescent="0.25">
      <c r="B12" s="23" t="s">
        <v>39</v>
      </c>
      <c r="C12" s="49">
        <f>'Avg Week Kisaasi-Ntinda'!C12+'Avg Week Ntinda-Kisaasi'!C12</f>
        <v>117.85714285714285</v>
      </c>
      <c r="D12" s="49">
        <f>'Avg Week Kisaasi-Ntinda'!D12+'Avg Week Ntinda-Kisaasi'!D12</f>
        <v>59.714285714285715</v>
      </c>
      <c r="E12" s="49">
        <f>'Avg Week Kisaasi-Ntinda'!E12+'Avg Week Ntinda-Kisaasi'!E12</f>
        <v>16.142857142857142</v>
      </c>
      <c r="F12" s="49">
        <f>'Avg Week Kisaasi-Ntinda'!F12+'Avg Week Ntinda-Kisaasi'!F12</f>
        <v>35.571428571428569</v>
      </c>
      <c r="G12" s="49">
        <f>'Avg Week Kisaasi-Ntinda'!G12+'Avg Week Ntinda-Kisaasi'!G12</f>
        <v>0.5714285714285714</v>
      </c>
      <c r="H12" s="49">
        <f>'Avg Week Kisaasi-Ntinda'!H12+'Avg Week Ntinda-Kisaasi'!H12</f>
        <v>0</v>
      </c>
      <c r="I12" s="49">
        <f>'Avg Week Kisaasi-Ntinda'!I12+'Avg Week Ntinda-Kisaasi'!I12</f>
        <v>5.7142857142857144</v>
      </c>
      <c r="J12" s="49">
        <f>'Avg Week Kisaasi-Ntinda'!J12+'Avg Week Ntinda-Kisaasi'!J12</f>
        <v>2.8571428571428568</v>
      </c>
      <c r="K12" s="49">
        <f>'Avg Week Kisaasi-Ntinda'!K12+'Avg Week Ntinda-Kisaasi'!K12</f>
        <v>0.71428571428571419</v>
      </c>
      <c r="L12" s="49">
        <f>'Avg Week Kisaasi-Ntinda'!L12+'Avg Week Ntinda-Kisaasi'!L12</f>
        <v>1.5714285714285714</v>
      </c>
      <c r="M12" s="49">
        <f>'Avg Week Kisaasi-Ntinda'!M12+'Avg Week Ntinda-Kisaasi'!M12</f>
        <v>215.14285714285717</v>
      </c>
      <c r="N12" s="49">
        <f>'Avg Week Kisaasi-Ntinda'!N12+'Avg Week Ntinda-Kisaasi'!N12</f>
        <v>0</v>
      </c>
      <c r="O12" s="15">
        <f t="shared" si="0"/>
        <v>240.71428571428575</v>
      </c>
      <c r="P12" s="15">
        <f t="shared" si="1"/>
        <v>455.85714285714289</v>
      </c>
      <c r="R12" s="1" t="s">
        <v>8</v>
      </c>
      <c r="S12" s="17">
        <f t="shared" ref="S12:AF12" si="4">SUM(C18:C21)</f>
        <v>287</v>
      </c>
      <c r="T12" s="17">
        <f t="shared" si="4"/>
        <v>173.57142857142858</v>
      </c>
      <c r="U12" s="17">
        <f t="shared" si="4"/>
        <v>63.428571428571431</v>
      </c>
      <c r="V12" s="17">
        <f t="shared" si="4"/>
        <v>139.71428571428572</v>
      </c>
      <c r="W12" s="17">
        <f t="shared" si="4"/>
        <v>0.71428571428571419</v>
      </c>
      <c r="X12" s="17">
        <f t="shared" si="4"/>
        <v>0.7142857142857143</v>
      </c>
      <c r="Y12" s="17">
        <f t="shared" si="4"/>
        <v>31.428571428571431</v>
      </c>
      <c r="Z12" s="17">
        <f t="shared" si="4"/>
        <v>12.857142857142858</v>
      </c>
      <c r="AA12" s="17">
        <f t="shared" si="4"/>
        <v>2.4285714285714284</v>
      </c>
      <c r="AB12" s="17">
        <f t="shared" si="4"/>
        <v>8.1428571428571423</v>
      </c>
      <c r="AC12" s="17">
        <f t="shared" si="4"/>
        <v>895</v>
      </c>
      <c r="AD12" s="17">
        <f t="shared" si="4"/>
        <v>0.14285714285714285</v>
      </c>
      <c r="AE12" s="31">
        <f t="shared" si="4"/>
        <v>720.14285714285722</v>
      </c>
      <c r="AF12" s="31">
        <f t="shared" si="4"/>
        <v>1615.1428571428573</v>
      </c>
    </row>
    <row r="13" spans="2:32" ht="23.1" customHeight="1" x14ac:dyDescent="0.25">
      <c r="B13" s="23" t="s">
        <v>40</v>
      </c>
      <c r="C13" s="49">
        <f>'Avg Week Kisaasi-Ntinda'!C13+'Avg Week Ntinda-Kisaasi'!C13</f>
        <v>103.28571428571428</v>
      </c>
      <c r="D13" s="49">
        <f>'Avg Week Kisaasi-Ntinda'!D13+'Avg Week Ntinda-Kisaasi'!D13</f>
        <v>62.571428571428569</v>
      </c>
      <c r="E13" s="49">
        <f>'Avg Week Kisaasi-Ntinda'!E13+'Avg Week Ntinda-Kisaasi'!E13</f>
        <v>17</v>
      </c>
      <c r="F13" s="49">
        <f>'Avg Week Kisaasi-Ntinda'!F13+'Avg Week Ntinda-Kisaasi'!F13</f>
        <v>34.428571428571431</v>
      </c>
      <c r="G13" s="49">
        <f>'Avg Week Kisaasi-Ntinda'!G13+'Avg Week Ntinda-Kisaasi'!G13</f>
        <v>0.42857142857142855</v>
      </c>
      <c r="H13" s="49">
        <f>'Avg Week Kisaasi-Ntinda'!H13+'Avg Week Ntinda-Kisaasi'!H13</f>
        <v>0</v>
      </c>
      <c r="I13" s="49">
        <f>'Avg Week Kisaasi-Ntinda'!I13+'Avg Week Ntinda-Kisaasi'!I13</f>
        <v>4.7142857142857144</v>
      </c>
      <c r="J13" s="49">
        <f>'Avg Week Kisaasi-Ntinda'!J13+'Avg Week Ntinda-Kisaasi'!J13</f>
        <v>1.5714285714285714</v>
      </c>
      <c r="K13" s="49">
        <f>'Avg Week Kisaasi-Ntinda'!K13+'Avg Week Ntinda-Kisaasi'!K13</f>
        <v>1.5714285714285714</v>
      </c>
      <c r="L13" s="49">
        <f>'Avg Week Kisaasi-Ntinda'!L13+'Avg Week Ntinda-Kisaasi'!L13</f>
        <v>1</v>
      </c>
      <c r="M13" s="49">
        <f>'Avg Week Kisaasi-Ntinda'!M13+'Avg Week Ntinda-Kisaasi'!M13</f>
        <v>230.57142857142858</v>
      </c>
      <c r="N13" s="49">
        <f>'Avg Week Kisaasi-Ntinda'!N13+'Avg Week Ntinda-Kisaasi'!N13</f>
        <v>0</v>
      </c>
      <c r="O13" s="15">
        <f t="shared" si="0"/>
        <v>226.57142857142858</v>
      </c>
      <c r="P13" s="15">
        <f t="shared" si="1"/>
        <v>457.14285714285717</v>
      </c>
      <c r="R13" s="1" t="s">
        <v>9</v>
      </c>
      <c r="S13" s="17">
        <f t="shared" ref="S13:AF13" si="5">SUM(C22:C25)</f>
        <v>279</v>
      </c>
      <c r="T13" s="17">
        <f t="shared" si="5"/>
        <v>165.14285714285714</v>
      </c>
      <c r="U13" s="17">
        <f t="shared" si="5"/>
        <v>70.571428571428569</v>
      </c>
      <c r="V13" s="17">
        <f t="shared" si="5"/>
        <v>118.57142857142858</v>
      </c>
      <c r="W13" s="17">
        <f t="shared" si="5"/>
        <v>0.71428571428571419</v>
      </c>
      <c r="X13" s="17">
        <f t="shared" si="5"/>
        <v>0.14285714285714285</v>
      </c>
      <c r="Y13" s="17">
        <f t="shared" si="5"/>
        <v>32.285714285714285</v>
      </c>
      <c r="Z13" s="17">
        <f t="shared" si="5"/>
        <v>12.428571428571429</v>
      </c>
      <c r="AA13" s="17">
        <f t="shared" si="5"/>
        <v>3.5714285714285712</v>
      </c>
      <c r="AB13" s="17">
        <f t="shared" si="5"/>
        <v>12.285714285714285</v>
      </c>
      <c r="AC13" s="17">
        <f t="shared" si="5"/>
        <v>766.42857142857156</v>
      </c>
      <c r="AD13" s="17">
        <f t="shared" si="5"/>
        <v>0</v>
      </c>
      <c r="AE13" s="31">
        <f t="shared" si="5"/>
        <v>694.71428571428567</v>
      </c>
      <c r="AF13" s="31">
        <f t="shared" si="5"/>
        <v>1461.1428571428573</v>
      </c>
    </row>
    <row r="14" spans="2:32" ht="23.1" customHeight="1" x14ac:dyDescent="0.25">
      <c r="B14" s="23" t="s">
        <v>41</v>
      </c>
      <c r="C14" s="49">
        <f>'Avg Week Kisaasi-Ntinda'!C14+'Avg Week Ntinda-Kisaasi'!C14</f>
        <v>88</v>
      </c>
      <c r="D14" s="49">
        <f>'Avg Week Kisaasi-Ntinda'!D14+'Avg Week Ntinda-Kisaasi'!D14</f>
        <v>55.142857142857139</v>
      </c>
      <c r="E14" s="49">
        <f>'Avg Week Kisaasi-Ntinda'!E14+'Avg Week Ntinda-Kisaasi'!E14</f>
        <v>15.428571428571427</v>
      </c>
      <c r="F14" s="49">
        <f>'Avg Week Kisaasi-Ntinda'!F14+'Avg Week Ntinda-Kisaasi'!F14</f>
        <v>45.714285714285715</v>
      </c>
      <c r="G14" s="49">
        <f>'Avg Week Kisaasi-Ntinda'!G14+'Avg Week Ntinda-Kisaasi'!G14</f>
        <v>1.1428571428571428</v>
      </c>
      <c r="H14" s="49">
        <f>'Avg Week Kisaasi-Ntinda'!H14+'Avg Week Ntinda-Kisaasi'!H14</f>
        <v>0</v>
      </c>
      <c r="I14" s="49">
        <f>'Avg Week Kisaasi-Ntinda'!I14+'Avg Week Ntinda-Kisaasi'!I14</f>
        <v>6.8571428571428577</v>
      </c>
      <c r="J14" s="49">
        <f>'Avg Week Kisaasi-Ntinda'!J14+'Avg Week Ntinda-Kisaasi'!J14</f>
        <v>3.4285714285714284</v>
      </c>
      <c r="K14" s="49">
        <f>'Avg Week Kisaasi-Ntinda'!K14+'Avg Week Ntinda-Kisaasi'!K14</f>
        <v>1</v>
      </c>
      <c r="L14" s="49">
        <f>'Avg Week Kisaasi-Ntinda'!L14+'Avg Week Ntinda-Kisaasi'!L14</f>
        <v>1.4285714285714284</v>
      </c>
      <c r="M14" s="49">
        <f>'Avg Week Kisaasi-Ntinda'!M14+'Avg Week Ntinda-Kisaasi'!M14</f>
        <v>250.57142857142856</v>
      </c>
      <c r="N14" s="49">
        <f>'Avg Week Kisaasi-Ntinda'!N14+'Avg Week Ntinda-Kisaasi'!N14</f>
        <v>0</v>
      </c>
      <c r="O14" s="15">
        <f t="shared" si="0"/>
        <v>218.14285714285711</v>
      </c>
      <c r="P14" s="15">
        <f t="shared" si="1"/>
        <v>468.71428571428567</v>
      </c>
      <c r="R14" s="1" t="s">
        <v>10</v>
      </c>
      <c r="S14" s="17">
        <f t="shared" ref="S14:AF14" si="6">SUM(C26:C29)</f>
        <v>287</v>
      </c>
      <c r="T14" s="17">
        <f t="shared" si="6"/>
        <v>173.99999999999997</v>
      </c>
      <c r="U14" s="17">
        <f t="shared" si="6"/>
        <v>62.142857142857139</v>
      </c>
      <c r="V14" s="17">
        <f t="shared" si="6"/>
        <v>102.42857142857143</v>
      </c>
      <c r="W14" s="17">
        <f t="shared" si="6"/>
        <v>0.85714285714285698</v>
      </c>
      <c r="X14" s="17">
        <f t="shared" si="6"/>
        <v>0</v>
      </c>
      <c r="Y14" s="17">
        <f t="shared" si="6"/>
        <v>33.142857142857139</v>
      </c>
      <c r="Z14" s="17">
        <f t="shared" si="6"/>
        <v>14.142857142857142</v>
      </c>
      <c r="AA14" s="17">
        <f t="shared" si="6"/>
        <v>4.7142857142857135</v>
      </c>
      <c r="AB14" s="17">
        <f t="shared" si="6"/>
        <v>18</v>
      </c>
      <c r="AC14" s="17">
        <f t="shared" si="6"/>
        <v>701.85714285714289</v>
      </c>
      <c r="AD14" s="17">
        <f t="shared" si="6"/>
        <v>0</v>
      </c>
      <c r="AE14" s="31">
        <f t="shared" si="6"/>
        <v>696.42857142857144</v>
      </c>
      <c r="AF14" s="31">
        <f t="shared" si="6"/>
        <v>1398.2857142857142</v>
      </c>
    </row>
    <row r="15" spans="2:32" ht="23.1" customHeight="1" x14ac:dyDescent="0.25">
      <c r="B15" s="23" t="s">
        <v>42</v>
      </c>
      <c r="C15" s="49">
        <f>'Avg Week Kisaasi-Ntinda'!C15+'Avg Week Ntinda-Kisaasi'!C15</f>
        <v>78.571428571428569</v>
      </c>
      <c r="D15" s="49">
        <f>'Avg Week Kisaasi-Ntinda'!D15+'Avg Week Ntinda-Kisaasi'!D15</f>
        <v>47.714285714285715</v>
      </c>
      <c r="E15" s="49">
        <f>'Avg Week Kisaasi-Ntinda'!E15+'Avg Week Ntinda-Kisaasi'!E15</f>
        <v>15</v>
      </c>
      <c r="F15" s="49">
        <f>'Avg Week Kisaasi-Ntinda'!F15+'Avg Week Ntinda-Kisaasi'!F15</f>
        <v>39</v>
      </c>
      <c r="G15" s="49">
        <f>'Avg Week Kisaasi-Ntinda'!G15+'Avg Week Ntinda-Kisaasi'!G15</f>
        <v>0.7142857142857143</v>
      </c>
      <c r="H15" s="49">
        <f>'Avg Week Kisaasi-Ntinda'!H15+'Avg Week Ntinda-Kisaasi'!H15</f>
        <v>0</v>
      </c>
      <c r="I15" s="49">
        <f>'Avg Week Kisaasi-Ntinda'!I15+'Avg Week Ntinda-Kisaasi'!I15</f>
        <v>5.2857142857142856</v>
      </c>
      <c r="J15" s="49">
        <f>'Avg Week Kisaasi-Ntinda'!J15+'Avg Week Ntinda-Kisaasi'!J15</f>
        <v>2.2857142857142856</v>
      </c>
      <c r="K15" s="49">
        <f>'Avg Week Kisaasi-Ntinda'!K15+'Avg Week Ntinda-Kisaasi'!K15</f>
        <v>0.14285714285714285</v>
      </c>
      <c r="L15" s="49">
        <f>'Avg Week Kisaasi-Ntinda'!L15+'Avg Week Ntinda-Kisaasi'!L15</f>
        <v>1.4285714285714286</v>
      </c>
      <c r="M15" s="49">
        <f>'Avg Week Kisaasi-Ntinda'!M15+'Avg Week Ntinda-Kisaasi'!M15</f>
        <v>240.85714285714286</v>
      </c>
      <c r="N15" s="49">
        <f>'Avg Week Kisaasi-Ntinda'!N15+'Avg Week Ntinda-Kisaasi'!N15</f>
        <v>0</v>
      </c>
      <c r="O15" s="15">
        <f t="shared" si="0"/>
        <v>190.14285714285711</v>
      </c>
      <c r="P15" s="15">
        <f t="shared" si="1"/>
        <v>431</v>
      </c>
      <c r="R15" s="1" t="s">
        <v>11</v>
      </c>
      <c r="S15" s="17">
        <f t="shared" ref="S15:AF15" si="7">SUM(C30:C33)</f>
        <v>306.57142857142856</v>
      </c>
      <c r="T15" s="17">
        <f t="shared" si="7"/>
        <v>185.57142857142856</v>
      </c>
      <c r="U15" s="17">
        <f t="shared" si="7"/>
        <v>67</v>
      </c>
      <c r="V15" s="17">
        <f t="shared" si="7"/>
        <v>123.14285714285714</v>
      </c>
      <c r="W15" s="17">
        <f t="shared" si="7"/>
        <v>0.99999999999999989</v>
      </c>
      <c r="X15" s="17">
        <f t="shared" si="7"/>
        <v>0.14285714285714285</v>
      </c>
      <c r="Y15" s="17">
        <f t="shared" si="7"/>
        <v>34.285714285714285</v>
      </c>
      <c r="Z15" s="17">
        <f t="shared" si="7"/>
        <v>16</v>
      </c>
      <c r="AA15" s="17">
        <f t="shared" si="7"/>
        <v>5.8571428571428568</v>
      </c>
      <c r="AB15" s="17">
        <f t="shared" si="7"/>
        <v>18.428571428571431</v>
      </c>
      <c r="AC15" s="17">
        <f t="shared" si="7"/>
        <v>721.71428571428555</v>
      </c>
      <c r="AD15" s="17">
        <f t="shared" si="7"/>
        <v>0.2857142857142857</v>
      </c>
      <c r="AE15" s="31">
        <f t="shared" si="7"/>
        <v>758.28571428571422</v>
      </c>
      <c r="AF15" s="31">
        <f t="shared" si="7"/>
        <v>1480</v>
      </c>
    </row>
    <row r="16" spans="2:32" ht="23.1" customHeight="1" x14ac:dyDescent="0.25">
      <c r="B16" s="23" t="s">
        <v>43</v>
      </c>
      <c r="C16" s="49">
        <f>'Avg Week Kisaasi-Ntinda'!C16+'Avg Week Ntinda-Kisaasi'!C16</f>
        <v>68.857142857142861</v>
      </c>
      <c r="D16" s="49">
        <f>'Avg Week Kisaasi-Ntinda'!D16+'Avg Week Ntinda-Kisaasi'!D16</f>
        <v>38.428571428571431</v>
      </c>
      <c r="E16" s="49">
        <f>'Avg Week Kisaasi-Ntinda'!E16+'Avg Week Ntinda-Kisaasi'!E16</f>
        <v>12.428571428571429</v>
      </c>
      <c r="F16" s="49">
        <f>'Avg Week Kisaasi-Ntinda'!F16+'Avg Week Ntinda-Kisaasi'!F16</f>
        <v>34.571428571428569</v>
      </c>
      <c r="G16" s="49">
        <f>'Avg Week Kisaasi-Ntinda'!G16+'Avg Week Ntinda-Kisaasi'!G16</f>
        <v>0</v>
      </c>
      <c r="H16" s="49">
        <f>'Avg Week Kisaasi-Ntinda'!H16+'Avg Week Ntinda-Kisaasi'!H16</f>
        <v>0</v>
      </c>
      <c r="I16" s="49">
        <f>'Avg Week Kisaasi-Ntinda'!I16+'Avg Week Ntinda-Kisaasi'!I16</f>
        <v>5.7142857142857144</v>
      </c>
      <c r="J16" s="49">
        <f>'Avg Week Kisaasi-Ntinda'!J16+'Avg Week Ntinda-Kisaasi'!J16</f>
        <v>2</v>
      </c>
      <c r="K16" s="49">
        <f>'Avg Week Kisaasi-Ntinda'!K16+'Avg Week Ntinda-Kisaasi'!K16</f>
        <v>0.2857142857142857</v>
      </c>
      <c r="L16" s="49">
        <f>'Avg Week Kisaasi-Ntinda'!L16+'Avg Week Ntinda-Kisaasi'!L16</f>
        <v>1.7142857142857144</v>
      </c>
      <c r="M16" s="49">
        <f>'Avg Week Kisaasi-Ntinda'!M16+'Avg Week Ntinda-Kisaasi'!M16</f>
        <v>242.57142857142856</v>
      </c>
      <c r="N16" s="49">
        <f>'Avg Week Kisaasi-Ntinda'!N16+'Avg Week Ntinda-Kisaasi'!N16</f>
        <v>0</v>
      </c>
      <c r="O16" s="15">
        <f t="shared" si="0"/>
        <v>164</v>
      </c>
      <c r="P16" s="15">
        <f t="shared" si="1"/>
        <v>406.57142857142856</v>
      </c>
      <c r="R16" s="1" t="s">
        <v>12</v>
      </c>
      <c r="S16" s="17">
        <f t="shared" ref="S16:AF16" si="8">SUM(C34:C37)</f>
        <v>262</v>
      </c>
      <c r="T16" s="17">
        <f t="shared" si="8"/>
        <v>148.14285714285714</v>
      </c>
      <c r="U16" s="17">
        <f t="shared" si="8"/>
        <v>58.142857142857139</v>
      </c>
      <c r="V16" s="17">
        <f t="shared" si="8"/>
        <v>89</v>
      </c>
      <c r="W16" s="17">
        <f t="shared" si="8"/>
        <v>1.5714285714285712</v>
      </c>
      <c r="X16" s="17">
        <f t="shared" si="8"/>
        <v>0.14285714285714285</v>
      </c>
      <c r="Y16" s="17">
        <f t="shared" si="8"/>
        <v>31.571428571428573</v>
      </c>
      <c r="Z16" s="17">
        <f t="shared" si="8"/>
        <v>17.571428571428573</v>
      </c>
      <c r="AA16" s="17">
        <f t="shared" si="8"/>
        <v>6</v>
      </c>
      <c r="AB16" s="17">
        <f t="shared" si="8"/>
        <v>12.571428571428571</v>
      </c>
      <c r="AC16" s="17">
        <f t="shared" si="8"/>
        <v>682.71428571428567</v>
      </c>
      <c r="AD16" s="17">
        <f t="shared" si="8"/>
        <v>0.2857142857142857</v>
      </c>
      <c r="AE16" s="31">
        <f t="shared" si="8"/>
        <v>627</v>
      </c>
      <c r="AF16" s="31">
        <f t="shared" si="8"/>
        <v>1309.7142857142858</v>
      </c>
    </row>
    <row r="17" spans="2:32" ht="23.1" customHeight="1" x14ac:dyDescent="0.25">
      <c r="B17" s="23" t="s">
        <v>44</v>
      </c>
      <c r="C17" s="49">
        <f>'Avg Week Kisaasi-Ntinda'!C17+'Avg Week Ntinda-Kisaasi'!C17</f>
        <v>61.142857142857139</v>
      </c>
      <c r="D17" s="49">
        <f>'Avg Week Kisaasi-Ntinda'!D17+'Avg Week Ntinda-Kisaasi'!D17</f>
        <v>35.857142857142861</v>
      </c>
      <c r="E17" s="49">
        <f>'Avg Week Kisaasi-Ntinda'!E17+'Avg Week Ntinda-Kisaasi'!E17</f>
        <v>9.8571428571428577</v>
      </c>
      <c r="F17" s="49">
        <f>'Avg Week Kisaasi-Ntinda'!F17+'Avg Week Ntinda-Kisaasi'!F17</f>
        <v>33.285714285714285</v>
      </c>
      <c r="G17" s="49">
        <f>'Avg Week Kisaasi-Ntinda'!G17+'Avg Week Ntinda-Kisaasi'!G17</f>
        <v>0.71428571428571419</v>
      </c>
      <c r="H17" s="49">
        <f>'Avg Week Kisaasi-Ntinda'!H17+'Avg Week Ntinda-Kisaasi'!H17</f>
        <v>0</v>
      </c>
      <c r="I17" s="49">
        <f>'Avg Week Kisaasi-Ntinda'!I17+'Avg Week Ntinda-Kisaasi'!I17</f>
        <v>5</v>
      </c>
      <c r="J17" s="49">
        <f>'Avg Week Kisaasi-Ntinda'!J17+'Avg Week Ntinda-Kisaasi'!J17</f>
        <v>1.2857142857142856</v>
      </c>
      <c r="K17" s="49">
        <f>'Avg Week Kisaasi-Ntinda'!K17+'Avg Week Ntinda-Kisaasi'!K17</f>
        <v>0.14285714285714285</v>
      </c>
      <c r="L17" s="49">
        <f>'Avg Week Kisaasi-Ntinda'!L17+'Avg Week Ntinda-Kisaasi'!L17</f>
        <v>2.2857142857142856</v>
      </c>
      <c r="M17" s="49">
        <f>'Avg Week Kisaasi-Ntinda'!M17+'Avg Week Ntinda-Kisaasi'!M17</f>
        <v>232</v>
      </c>
      <c r="N17" s="49">
        <f>'Avg Week Kisaasi-Ntinda'!N17+'Avg Week Ntinda-Kisaasi'!N17</f>
        <v>0</v>
      </c>
      <c r="O17" s="15">
        <f t="shared" si="0"/>
        <v>149.57142857142856</v>
      </c>
      <c r="P17" s="15">
        <f t="shared" si="1"/>
        <v>381.57142857142856</v>
      </c>
      <c r="R17" s="1" t="s">
        <v>13</v>
      </c>
      <c r="S17" s="17">
        <f t="shared" ref="S17:AF17" si="9">SUM(C38:C41)</f>
        <v>313.71428571428572</v>
      </c>
      <c r="T17" s="17">
        <f t="shared" si="9"/>
        <v>179.71428571428572</v>
      </c>
      <c r="U17" s="17">
        <f t="shared" si="9"/>
        <v>60.428571428571431</v>
      </c>
      <c r="V17" s="17">
        <f t="shared" si="9"/>
        <v>98.571428571428584</v>
      </c>
      <c r="W17" s="17">
        <f t="shared" si="9"/>
        <v>4</v>
      </c>
      <c r="X17" s="17">
        <f t="shared" si="9"/>
        <v>0.14285714285714285</v>
      </c>
      <c r="Y17" s="17">
        <f t="shared" si="9"/>
        <v>32.357142857142861</v>
      </c>
      <c r="Z17" s="17">
        <f t="shared" si="9"/>
        <v>18.857142857142858</v>
      </c>
      <c r="AA17" s="17">
        <f t="shared" si="9"/>
        <v>6.2857142857142865</v>
      </c>
      <c r="AB17" s="17">
        <f t="shared" si="9"/>
        <v>12</v>
      </c>
      <c r="AC17" s="17">
        <f t="shared" si="9"/>
        <v>653.57142857142856</v>
      </c>
      <c r="AD17" s="17">
        <f t="shared" si="9"/>
        <v>0</v>
      </c>
      <c r="AE17" s="31">
        <f t="shared" si="9"/>
        <v>726.07142857142844</v>
      </c>
      <c r="AF17" s="31">
        <f t="shared" si="9"/>
        <v>1379.6428571428569</v>
      </c>
    </row>
    <row r="18" spans="2:32" ht="23.1" customHeight="1" x14ac:dyDescent="0.25">
      <c r="B18" s="23" t="s">
        <v>45</v>
      </c>
      <c r="C18" s="49">
        <f>'Avg Week Kisaasi-Ntinda'!C18+'Avg Week Ntinda-Kisaasi'!C18</f>
        <v>70.857142857142861</v>
      </c>
      <c r="D18" s="49">
        <f>'Avg Week Kisaasi-Ntinda'!D18+'Avg Week Ntinda-Kisaasi'!D18</f>
        <v>48.714285714285715</v>
      </c>
      <c r="E18" s="49">
        <f>'Avg Week Kisaasi-Ntinda'!E18+'Avg Week Ntinda-Kisaasi'!E18</f>
        <v>13.857142857142858</v>
      </c>
      <c r="F18" s="49">
        <f>'Avg Week Kisaasi-Ntinda'!F18+'Avg Week Ntinda-Kisaasi'!F18</f>
        <v>36.285714285714285</v>
      </c>
      <c r="G18" s="49">
        <f>'Avg Week Kisaasi-Ntinda'!G18+'Avg Week Ntinda-Kisaasi'!G18</f>
        <v>0.42857142857142855</v>
      </c>
      <c r="H18" s="49">
        <f>'Avg Week Kisaasi-Ntinda'!H18+'Avg Week Ntinda-Kisaasi'!H18</f>
        <v>0</v>
      </c>
      <c r="I18" s="49">
        <f>'Avg Week Kisaasi-Ntinda'!I18+'Avg Week Ntinda-Kisaasi'!I18</f>
        <v>9.571428571428573</v>
      </c>
      <c r="J18" s="49">
        <f>'Avg Week Kisaasi-Ntinda'!J18+'Avg Week Ntinda-Kisaasi'!J18</f>
        <v>3.7142857142857144</v>
      </c>
      <c r="K18" s="49">
        <f>'Avg Week Kisaasi-Ntinda'!K18+'Avg Week Ntinda-Kisaasi'!K18</f>
        <v>0.5714285714285714</v>
      </c>
      <c r="L18" s="49">
        <f>'Avg Week Kisaasi-Ntinda'!L18+'Avg Week Ntinda-Kisaasi'!L18</f>
        <v>2.4285714285714288</v>
      </c>
      <c r="M18" s="49">
        <f>'Avg Week Kisaasi-Ntinda'!M18+'Avg Week Ntinda-Kisaasi'!M18</f>
        <v>237</v>
      </c>
      <c r="N18" s="49">
        <f>'Avg Week Kisaasi-Ntinda'!N18+'Avg Week Ntinda-Kisaasi'!N18</f>
        <v>0</v>
      </c>
      <c r="O18" s="15">
        <f t="shared" si="0"/>
        <v>186.42857142857144</v>
      </c>
      <c r="P18" s="15">
        <f t="shared" si="1"/>
        <v>423.42857142857144</v>
      </c>
      <c r="R18" s="1" t="s">
        <v>14</v>
      </c>
      <c r="S18" s="17">
        <f t="shared" ref="S18:AF18" si="10">SUM(C42:C45)</f>
        <v>315.85714285714283</v>
      </c>
      <c r="T18" s="17">
        <f t="shared" si="10"/>
        <v>163.42857142857144</v>
      </c>
      <c r="U18" s="17">
        <f t="shared" si="10"/>
        <v>61.142857142857139</v>
      </c>
      <c r="V18" s="17">
        <f t="shared" si="10"/>
        <v>85.142857142857153</v>
      </c>
      <c r="W18" s="17">
        <f t="shared" si="10"/>
        <v>2.2857142857142856</v>
      </c>
      <c r="X18" s="17">
        <f t="shared" si="10"/>
        <v>0.2857142857142857</v>
      </c>
      <c r="Y18" s="17">
        <f t="shared" si="10"/>
        <v>28.142857142857146</v>
      </c>
      <c r="Z18" s="17">
        <f t="shared" si="10"/>
        <v>14</v>
      </c>
      <c r="AA18" s="17">
        <f t="shared" si="10"/>
        <v>4.5714285714285712</v>
      </c>
      <c r="AB18" s="17">
        <f t="shared" si="10"/>
        <v>13.428571428571427</v>
      </c>
      <c r="AC18" s="17">
        <f t="shared" si="10"/>
        <v>629</v>
      </c>
      <c r="AD18" s="17">
        <f t="shared" si="10"/>
        <v>0.2857142857142857</v>
      </c>
      <c r="AE18" s="31">
        <f t="shared" si="10"/>
        <v>688.57142857142844</v>
      </c>
      <c r="AF18" s="31">
        <f t="shared" si="10"/>
        <v>1317.5714285714284</v>
      </c>
    </row>
    <row r="19" spans="2:32" ht="23.1" customHeight="1" x14ac:dyDescent="0.25">
      <c r="B19" s="23" t="s">
        <v>46</v>
      </c>
      <c r="C19" s="49">
        <f>'Avg Week Kisaasi-Ntinda'!C19+'Avg Week Ntinda-Kisaasi'!C19</f>
        <v>71.571428571428569</v>
      </c>
      <c r="D19" s="49">
        <f>'Avg Week Kisaasi-Ntinda'!D19+'Avg Week Ntinda-Kisaasi'!D19</f>
        <v>39.142857142857146</v>
      </c>
      <c r="E19" s="49">
        <f>'Avg Week Kisaasi-Ntinda'!E19+'Avg Week Ntinda-Kisaasi'!E19</f>
        <v>14.714285714285714</v>
      </c>
      <c r="F19" s="49">
        <f>'Avg Week Kisaasi-Ntinda'!F19+'Avg Week Ntinda-Kisaasi'!F19</f>
        <v>34.142857142857139</v>
      </c>
      <c r="G19" s="49">
        <f>'Avg Week Kisaasi-Ntinda'!G19+'Avg Week Ntinda-Kisaasi'!G19</f>
        <v>0.14285714285714285</v>
      </c>
      <c r="H19" s="49">
        <f>'Avg Week Kisaasi-Ntinda'!H19+'Avg Week Ntinda-Kisaasi'!H19</f>
        <v>0.7142857142857143</v>
      </c>
      <c r="I19" s="49">
        <f>'Avg Week Kisaasi-Ntinda'!I19+'Avg Week Ntinda-Kisaasi'!I19</f>
        <v>7.8571428571428577</v>
      </c>
      <c r="J19" s="49">
        <f>'Avg Week Kisaasi-Ntinda'!J19+'Avg Week Ntinda-Kisaasi'!J19</f>
        <v>2.5714285714285712</v>
      </c>
      <c r="K19" s="49">
        <f>'Avg Week Kisaasi-Ntinda'!K19+'Avg Week Ntinda-Kisaasi'!K19</f>
        <v>0.71428571428571419</v>
      </c>
      <c r="L19" s="49">
        <f>'Avg Week Kisaasi-Ntinda'!L19+'Avg Week Ntinda-Kisaasi'!L19</f>
        <v>1.1428571428571428</v>
      </c>
      <c r="M19" s="49">
        <f>'Avg Week Kisaasi-Ntinda'!M19+'Avg Week Ntinda-Kisaasi'!M19</f>
        <v>206.57142857142858</v>
      </c>
      <c r="N19" s="49">
        <f>'Avg Week Kisaasi-Ntinda'!N19+'Avg Week Ntinda-Kisaasi'!N19</f>
        <v>0</v>
      </c>
      <c r="O19" s="15">
        <f t="shared" si="0"/>
        <v>172.71428571428572</v>
      </c>
      <c r="P19" s="15">
        <f t="shared" si="1"/>
        <v>379.28571428571433</v>
      </c>
      <c r="R19" s="1" t="s">
        <v>15</v>
      </c>
      <c r="S19" s="17">
        <f t="shared" ref="S19:AF19" si="11">SUM(C46:C49)</f>
        <v>381.28571428571422</v>
      </c>
      <c r="T19" s="17">
        <f t="shared" si="11"/>
        <v>204.28571428571428</v>
      </c>
      <c r="U19" s="17">
        <f t="shared" si="11"/>
        <v>71.428571428571416</v>
      </c>
      <c r="V19" s="17">
        <f t="shared" si="11"/>
        <v>106.71428571428571</v>
      </c>
      <c r="W19" s="17">
        <f t="shared" si="11"/>
        <v>1.7142857142857142</v>
      </c>
      <c r="X19" s="17">
        <f t="shared" si="11"/>
        <v>0.14285714285714285</v>
      </c>
      <c r="Y19" s="17">
        <f t="shared" si="11"/>
        <v>27.571428571428573</v>
      </c>
      <c r="Z19" s="17">
        <f t="shared" si="11"/>
        <v>14.428571428571427</v>
      </c>
      <c r="AA19" s="17">
        <f t="shared" si="11"/>
        <v>6.1428571428571432</v>
      </c>
      <c r="AB19" s="17">
        <f t="shared" si="11"/>
        <v>13.142857142857142</v>
      </c>
      <c r="AC19" s="17">
        <f t="shared" si="11"/>
        <v>696.85714285714289</v>
      </c>
      <c r="AD19" s="17">
        <f t="shared" si="11"/>
        <v>0.2857142857142857</v>
      </c>
      <c r="AE19" s="31">
        <f t="shared" si="11"/>
        <v>827.14285714285711</v>
      </c>
      <c r="AF19" s="31">
        <f t="shared" si="11"/>
        <v>1524</v>
      </c>
    </row>
    <row r="20" spans="2:32" ht="23.1" customHeight="1" x14ac:dyDescent="0.25">
      <c r="B20" s="23" t="s">
        <v>47</v>
      </c>
      <c r="C20" s="49">
        <f>'Avg Week Kisaasi-Ntinda'!C20+'Avg Week Ntinda-Kisaasi'!C20</f>
        <v>75.714285714285708</v>
      </c>
      <c r="D20" s="49">
        <f>'Avg Week Kisaasi-Ntinda'!D20+'Avg Week Ntinda-Kisaasi'!D20</f>
        <v>42</v>
      </c>
      <c r="E20" s="49">
        <f>'Avg Week Kisaasi-Ntinda'!E20+'Avg Week Ntinda-Kisaasi'!E20</f>
        <v>17</v>
      </c>
      <c r="F20" s="49">
        <f>'Avg Week Kisaasi-Ntinda'!F20+'Avg Week Ntinda-Kisaasi'!F20</f>
        <v>36.714285714285715</v>
      </c>
      <c r="G20" s="49">
        <f>'Avg Week Kisaasi-Ntinda'!G20+'Avg Week Ntinda-Kisaasi'!G20</f>
        <v>0</v>
      </c>
      <c r="H20" s="49">
        <f>'Avg Week Kisaasi-Ntinda'!H20+'Avg Week Ntinda-Kisaasi'!H20</f>
        <v>0</v>
      </c>
      <c r="I20" s="49">
        <f>'Avg Week Kisaasi-Ntinda'!I20+'Avg Week Ntinda-Kisaasi'!I20</f>
        <v>8.2857142857142865</v>
      </c>
      <c r="J20" s="49">
        <f>'Avg Week Kisaasi-Ntinda'!J20+'Avg Week Ntinda-Kisaasi'!J20</f>
        <v>3.7142857142857144</v>
      </c>
      <c r="K20" s="49">
        <f>'Avg Week Kisaasi-Ntinda'!K20+'Avg Week Ntinda-Kisaasi'!K20</f>
        <v>0.5714285714285714</v>
      </c>
      <c r="L20" s="49">
        <f>'Avg Week Kisaasi-Ntinda'!L20+'Avg Week Ntinda-Kisaasi'!L20</f>
        <v>2.5714285714285712</v>
      </c>
      <c r="M20" s="49">
        <f>'Avg Week Kisaasi-Ntinda'!M20+'Avg Week Ntinda-Kisaasi'!M20</f>
        <v>243.71428571428572</v>
      </c>
      <c r="N20" s="49">
        <f>'Avg Week Kisaasi-Ntinda'!N20+'Avg Week Ntinda-Kisaasi'!N20</f>
        <v>0.14285714285714285</v>
      </c>
      <c r="O20" s="15">
        <f t="shared" si="0"/>
        <v>186.71428571428575</v>
      </c>
      <c r="P20" s="15">
        <f t="shared" si="1"/>
        <v>430.4285714285715</v>
      </c>
      <c r="R20" s="1" t="s">
        <v>16</v>
      </c>
      <c r="S20" s="17">
        <f t="shared" ref="S20:AF20" si="12">SUM(C50:C53)</f>
        <v>434.42857142857139</v>
      </c>
      <c r="T20" s="17">
        <f t="shared" si="12"/>
        <v>212.28571428571428</v>
      </c>
      <c r="U20" s="17">
        <f t="shared" si="12"/>
        <v>78</v>
      </c>
      <c r="V20" s="17">
        <f t="shared" si="12"/>
        <v>106.42857142857143</v>
      </c>
      <c r="W20" s="17">
        <f t="shared" si="12"/>
        <v>3.8571428571428572</v>
      </c>
      <c r="X20" s="17">
        <f t="shared" si="12"/>
        <v>0</v>
      </c>
      <c r="Y20" s="17">
        <f t="shared" si="12"/>
        <v>26.857142857142858</v>
      </c>
      <c r="Z20" s="17">
        <f t="shared" si="12"/>
        <v>13.142857142857142</v>
      </c>
      <c r="AA20" s="17">
        <f t="shared" si="12"/>
        <v>5</v>
      </c>
      <c r="AB20" s="17">
        <f t="shared" si="12"/>
        <v>12.285714285714285</v>
      </c>
      <c r="AC20" s="17">
        <f t="shared" si="12"/>
        <v>735</v>
      </c>
      <c r="AD20" s="17">
        <f t="shared" si="12"/>
        <v>0.14285714285714285</v>
      </c>
      <c r="AE20" s="31">
        <f t="shared" si="12"/>
        <v>892.42857142857133</v>
      </c>
      <c r="AF20" s="31">
        <f t="shared" si="12"/>
        <v>1627.4285714285716</v>
      </c>
    </row>
    <row r="21" spans="2:32" ht="23.1" customHeight="1" x14ac:dyDescent="0.25">
      <c r="B21" s="23" t="s">
        <v>48</v>
      </c>
      <c r="C21" s="49">
        <f>'Avg Week Kisaasi-Ntinda'!C21+'Avg Week Ntinda-Kisaasi'!C21</f>
        <v>68.857142857142861</v>
      </c>
      <c r="D21" s="49">
        <f>'Avg Week Kisaasi-Ntinda'!D21+'Avg Week Ntinda-Kisaasi'!D21</f>
        <v>43.714285714285715</v>
      </c>
      <c r="E21" s="49">
        <f>'Avg Week Kisaasi-Ntinda'!E21+'Avg Week Ntinda-Kisaasi'!E21</f>
        <v>17.857142857142858</v>
      </c>
      <c r="F21" s="49">
        <f>'Avg Week Kisaasi-Ntinda'!F21+'Avg Week Ntinda-Kisaasi'!F21</f>
        <v>32.571428571428569</v>
      </c>
      <c r="G21" s="49">
        <f>'Avg Week Kisaasi-Ntinda'!G21+'Avg Week Ntinda-Kisaasi'!G21</f>
        <v>0.14285714285714285</v>
      </c>
      <c r="H21" s="49">
        <f>'Avg Week Kisaasi-Ntinda'!H21+'Avg Week Ntinda-Kisaasi'!H21</f>
        <v>0</v>
      </c>
      <c r="I21" s="49">
        <f>'Avg Week Kisaasi-Ntinda'!I21+'Avg Week Ntinda-Kisaasi'!I21</f>
        <v>5.7142857142857144</v>
      </c>
      <c r="J21" s="49">
        <f>'Avg Week Kisaasi-Ntinda'!J21+'Avg Week Ntinda-Kisaasi'!J21</f>
        <v>2.8571428571428572</v>
      </c>
      <c r="K21" s="49">
        <f>'Avg Week Kisaasi-Ntinda'!K21+'Avg Week Ntinda-Kisaasi'!K21</f>
        <v>0.5714285714285714</v>
      </c>
      <c r="L21" s="49">
        <f>'Avg Week Kisaasi-Ntinda'!L21+'Avg Week Ntinda-Kisaasi'!L21</f>
        <v>2</v>
      </c>
      <c r="M21" s="49">
        <f>'Avg Week Kisaasi-Ntinda'!M21+'Avg Week Ntinda-Kisaasi'!M21</f>
        <v>207.71428571428572</v>
      </c>
      <c r="N21" s="49">
        <f>'Avg Week Kisaasi-Ntinda'!N21+'Avg Week Ntinda-Kisaasi'!N21</f>
        <v>0</v>
      </c>
      <c r="O21" s="15">
        <f t="shared" si="0"/>
        <v>174.28571428571431</v>
      </c>
      <c r="P21" s="15">
        <f t="shared" si="1"/>
        <v>382</v>
      </c>
      <c r="R21" s="36" t="s">
        <v>20</v>
      </c>
      <c r="S21" s="34">
        <f t="shared" ref="S21:AF21" si="13">SUM(C54:C57)</f>
        <v>363.42857142857144</v>
      </c>
      <c r="T21" s="17">
        <f t="shared" si="13"/>
        <v>182.28571428571428</v>
      </c>
      <c r="U21" s="17">
        <f t="shared" si="13"/>
        <v>70</v>
      </c>
      <c r="V21" s="17">
        <f t="shared" si="13"/>
        <v>106.28571428571429</v>
      </c>
      <c r="W21" s="17">
        <f t="shared" si="13"/>
        <v>1</v>
      </c>
      <c r="X21" s="17">
        <f t="shared" si="13"/>
        <v>0</v>
      </c>
      <c r="Y21" s="17">
        <f t="shared" si="13"/>
        <v>19.285714285714285</v>
      </c>
      <c r="Z21" s="17">
        <f t="shared" si="13"/>
        <v>12.571428571428571</v>
      </c>
      <c r="AA21" s="17">
        <f t="shared" si="13"/>
        <v>7.2857142857142856</v>
      </c>
      <c r="AB21" s="17">
        <f t="shared" si="13"/>
        <v>9.571428571428573</v>
      </c>
      <c r="AC21" s="17">
        <f t="shared" si="13"/>
        <v>685.28571428571422</v>
      </c>
      <c r="AD21" s="17">
        <f t="shared" si="13"/>
        <v>0</v>
      </c>
      <c r="AE21" s="31">
        <f t="shared" si="13"/>
        <v>771.71428571428567</v>
      </c>
      <c r="AF21" s="31">
        <f t="shared" si="13"/>
        <v>1457.0000000000002</v>
      </c>
    </row>
    <row r="22" spans="2:32" ht="23.1" customHeight="1" x14ac:dyDescent="0.25">
      <c r="B22" s="23" t="s">
        <v>49</v>
      </c>
      <c r="C22" s="49">
        <f>'Avg Week Kisaasi-Ntinda'!C22+'Avg Week Ntinda-Kisaasi'!C22</f>
        <v>64.714285714285722</v>
      </c>
      <c r="D22" s="49">
        <f>'Avg Week Kisaasi-Ntinda'!D22+'Avg Week Ntinda-Kisaasi'!D22</f>
        <v>36.714285714285715</v>
      </c>
      <c r="E22" s="49">
        <f>'Avg Week Kisaasi-Ntinda'!E22+'Avg Week Ntinda-Kisaasi'!E22</f>
        <v>19.142857142857142</v>
      </c>
      <c r="F22" s="49">
        <f>'Avg Week Kisaasi-Ntinda'!F22+'Avg Week Ntinda-Kisaasi'!F22</f>
        <v>25.714285714285715</v>
      </c>
      <c r="G22" s="49">
        <f>'Avg Week Kisaasi-Ntinda'!G22+'Avg Week Ntinda-Kisaasi'!G22</f>
        <v>0.14285714285714285</v>
      </c>
      <c r="H22" s="49">
        <f>'Avg Week Kisaasi-Ntinda'!H22+'Avg Week Ntinda-Kisaasi'!H22</f>
        <v>0</v>
      </c>
      <c r="I22" s="49">
        <f>'Avg Week Kisaasi-Ntinda'!I22+'Avg Week Ntinda-Kisaasi'!I22</f>
        <v>5.5714285714285712</v>
      </c>
      <c r="J22" s="49">
        <f>'Avg Week Kisaasi-Ntinda'!J22+'Avg Week Ntinda-Kisaasi'!J22</f>
        <v>3.4285714285714288</v>
      </c>
      <c r="K22" s="49">
        <f>'Avg Week Kisaasi-Ntinda'!K22+'Avg Week Ntinda-Kisaasi'!K22</f>
        <v>0.5714285714285714</v>
      </c>
      <c r="L22" s="49">
        <f>'Avg Week Kisaasi-Ntinda'!L22+'Avg Week Ntinda-Kisaasi'!L22</f>
        <v>3.1428571428571428</v>
      </c>
      <c r="M22" s="49">
        <f>'Avg Week Kisaasi-Ntinda'!M22+'Avg Week Ntinda-Kisaasi'!M22</f>
        <v>186</v>
      </c>
      <c r="N22" s="49">
        <f>'Avg Week Kisaasi-Ntinda'!N22+'Avg Week Ntinda-Kisaasi'!N22</f>
        <v>0</v>
      </c>
      <c r="O22" s="15">
        <f t="shared" si="0"/>
        <v>159.14285714285717</v>
      </c>
      <c r="P22" s="15">
        <f t="shared" si="1"/>
        <v>345.14285714285717</v>
      </c>
      <c r="R22" s="36" t="s">
        <v>146</v>
      </c>
      <c r="S22" s="34">
        <f>SUM(C58:C61)</f>
        <v>241.06902915194684</v>
      </c>
      <c r="T22" s="34">
        <f t="shared" ref="T22:AF22" si="14">SUM(D58:D61)</f>
        <v>94.015553806846299</v>
      </c>
      <c r="U22" s="34">
        <f t="shared" si="14"/>
        <v>28.385059064859423</v>
      </c>
      <c r="V22" s="34">
        <f t="shared" si="14"/>
        <v>67.043129873913898</v>
      </c>
      <c r="W22" s="34">
        <f t="shared" si="14"/>
        <v>5.3709448625724101E-3</v>
      </c>
      <c r="X22" s="34">
        <f t="shared" si="14"/>
        <v>4.8237623481897087E-4</v>
      </c>
      <c r="Y22" s="34">
        <f t="shared" si="14"/>
        <v>13.794376097168371</v>
      </c>
      <c r="Z22" s="34">
        <f t="shared" si="14"/>
        <v>9.1814891641513725</v>
      </c>
      <c r="AA22" s="34">
        <f t="shared" si="14"/>
        <v>3.1561211063363492</v>
      </c>
      <c r="AB22" s="34">
        <f t="shared" si="14"/>
        <v>2.1044050801226337</v>
      </c>
      <c r="AC22" s="34">
        <f t="shared" si="14"/>
        <v>549.83898708989852</v>
      </c>
      <c r="AD22" s="34">
        <f t="shared" si="14"/>
        <v>4.2754468896355241E-4</v>
      </c>
      <c r="AE22" s="31">
        <f t="shared" si="14"/>
        <v>458.75544421113159</v>
      </c>
      <c r="AF22" s="31">
        <f t="shared" si="14"/>
        <v>1008.59443130103</v>
      </c>
    </row>
    <row r="23" spans="2:32" ht="23.1" customHeight="1" x14ac:dyDescent="0.25">
      <c r="B23" s="23" t="s">
        <v>50</v>
      </c>
      <c r="C23" s="49">
        <f>'Avg Week Kisaasi-Ntinda'!C23+'Avg Week Ntinda-Kisaasi'!C23</f>
        <v>84.714285714285722</v>
      </c>
      <c r="D23" s="49">
        <f>'Avg Week Kisaasi-Ntinda'!D23+'Avg Week Ntinda-Kisaasi'!D23</f>
        <v>48.285714285714285</v>
      </c>
      <c r="E23" s="49">
        <f>'Avg Week Kisaasi-Ntinda'!E23+'Avg Week Ntinda-Kisaasi'!E23</f>
        <v>17.571428571428573</v>
      </c>
      <c r="F23" s="49">
        <f>'Avg Week Kisaasi-Ntinda'!F23+'Avg Week Ntinda-Kisaasi'!F23</f>
        <v>32.428571428571431</v>
      </c>
      <c r="G23" s="49">
        <f>'Avg Week Kisaasi-Ntinda'!G23+'Avg Week Ntinda-Kisaasi'!G23</f>
        <v>0</v>
      </c>
      <c r="H23" s="49">
        <f>'Avg Week Kisaasi-Ntinda'!H23+'Avg Week Ntinda-Kisaasi'!H23</f>
        <v>0</v>
      </c>
      <c r="I23" s="49">
        <f>'Avg Week Kisaasi-Ntinda'!I23+'Avg Week Ntinda-Kisaasi'!I23</f>
        <v>9.4285714285714288</v>
      </c>
      <c r="J23" s="49">
        <f>'Avg Week Kisaasi-Ntinda'!J23+'Avg Week Ntinda-Kisaasi'!J23</f>
        <v>2.8571428571428572</v>
      </c>
      <c r="K23" s="49">
        <f>'Avg Week Kisaasi-Ntinda'!K23+'Avg Week Ntinda-Kisaasi'!K23</f>
        <v>1</v>
      </c>
      <c r="L23" s="49">
        <f>'Avg Week Kisaasi-Ntinda'!L23+'Avg Week Ntinda-Kisaasi'!L23</f>
        <v>3.1428571428571428</v>
      </c>
      <c r="M23" s="49">
        <f>'Avg Week Kisaasi-Ntinda'!M23+'Avg Week Ntinda-Kisaasi'!M23</f>
        <v>206.85714285714286</v>
      </c>
      <c r="N23" s="49">
        <f>'Avg Week Kisaasi-Ntinda'!N23+'Avg Week Ntinda-Kisaasi'!N23</f>
        <v>0</v>
      </c>
      <c r="O23" s="15">
        <f t="shared" si="0"/>
        <v>199.42857142857142</v>
      </c>
      <c r="P23" s="15">
        <f t="shared" si="1"/>
        <v>406.28571428571428</v>
      </c>
      <c r="R23" s="36" t="s">
        <v>147</v>
      </c>
      <c r="S23" s="34">
        <f>SUM(C62:C65)</f>
        <v>326.5</v>
      </c>
      <c r="T23" s="34">
        <f t="shared" ref="T23:AF23" si="15">SUM(D62:D65)</f>
        <v>143.5</v>
      </c>
      <c r="U23" s="34">
        <f t="shared" si="15"/>
        <v>29</v>
      </c>
      <c r="V23" s="34">
        <f t="shared" si="15"/>
        <v>101.5</v>
      </c>
      <c r="W23" s="34">
        <f t="shared" si="15"/>
        <v>0</v>
      </c>
      <c r="X23" s="34">
        <f t="shared" si="15"/>
        <v>0</v>
      </c>
      <c r="Y23" s="34">
        <f t="shared" si="15"/>
        <v>13</v>
      </c>
      <c r="Z23" s="34">
        <f t="shared" si="15"/>
        <v>2</v>
      </c>
      <c r="AA23" s="34">
        <f t="shared" si="15"/>
        <v>2.5</v>
      </c>
      <c r="AB23" s="34">
        <f t="shared" si="15"/>
        <v>3</v>
      </c>
      <c r="AC23" s="34">
        <f t="shared" si="15"/>
        <v>623.5</v>
      </c>
      <c r="AD23" s="34">
        <f t="shared" si="15"/>
        <v>0</v>
      </c>
      <c r="AE23" s="31">
        <f t="shared" si="15"/>
        <v>621</v>
      </c>
      <c r="AF23" s="31">
        <f t="shared" si="15"/>
        <v>1244.5</v>
      </c>
    </row>
    <row r="24" spans="2:32" ht="23.1" customHeight="1" x14ac:dyDescent="0.25">
      <c r="B24" s="23" t="s">
        <v>51</v>
      </c>
      <c r="C24" s="49">
        <f>'Avg Week Kisaasi-Ntinda'!C24+'Avg Week Ntinda-Kisaasi'!C24</f>
        <v>68.285714285714278</v>
      </c>
      <c r="D24" s="49">
        <f>'Avg Week Kisaasi-Ntinda'!D24+'Avg Week Ntinda-Kisaasi'!D24</f>
        <v>44.142857142857139</v>
      </c>
      <c r="E24" s="49">
        <f>'Avg Week Kisaasi-Ntinda'!E24+'Avg Week Ntinda-Kisaasi'!E24</f>
        <v>15.285714285714285</v>
      </c>
      <c r="F24" s="49">
        <f>'Avg Week Kisaasi-Ntinda'!F24+'Avg Week Ntinda-Kisaasi'!F24</f>
        <v>30.428571428571431</v>
      </c>
      <c r="G24" s="49">
        <f>'Avg Week Kisaasi-Ntinda'!G24+'Avg Week Ntinda-Kisaasi'!G24</f>
        <v>0.42857142857142855</v>
      </c>
      <c r="H24" s="49">
        <f>'Avg Week Kisaasi-Ntinda'!H24+'Avg Week Ntinda-Kisaasi'!H24</f>
        <v>0.14285714285714285</v>
      </c>
      <c r="I24" s="49">
        <f>'Avg Week Kisaasi-Ntinda'!I24+'Avg Week Ntinda-Kisaasi'!I24</f>
        <v>7.7142857142857153</v>
      </c>
      <c r="J24" s="49">
        <f>'Avg Week Kisaasi-Ntinda'!J24+'Avg Week Ntinda-Kisaasi'!J24</f>
        <v>2.7142857142857144</v>
      </c>
      <c r="K24" s="49">
        <f>'Avg Week Kisaasi-Ntinda'!K24+'Avg Week Ntinda-Kisaasi'!K24</f>
        <v>0.71428571428571419</v>
      </c>
      <c r="L24" s="49">
        <f>'Avg Week Kisaasi-Ntinda'!L24+'Avg Week Ntinda-Kisaasi'!L24</f>
        <v>3.2857142857142856</v>
      </c>
      <c r="M24" s="49">
        <f>'Avg Week Kisaasi-Ntinda'!M24+'Avg Week Ntinda-Kisaasi'!M24</f>
        <v>178.85714285714286</v>
      </c>
      <c r="N24" s="49">
        <f>'Avg Week Kisaasi-Ntinda'!N24+'Avg Week Ntinda-Kisaasi'!N24</f>
        <v>0</v>
      </c>
      <c r="O24" s="15">
        <f t="shared" si="0"/>
        <v>173.14285714285711</v>
      </c>
      <c r="P24" s="15">
        <f t="shared" si="1"/>
        <v>352</v>
      </c>
      <c r="R24" s="36" t="s">
        <v>148</v>
      </c>
      <c r="S24" s="34">
        <f>SUM(C66:C69)</f>
        <v>257</v>
      </c>
      <c r="T24" s="34">
        <f t="shared" ref="T24:AF24" si="16">SUM(D66:D69)</f>
        <v>114.5</v>
      </c>
      <c r="U24" s="34">
        <f t="shared" si="16"/>
        <v>28</v>
      </c>
      <c r="V24" s="34">
        <f t="shared" si="16"/>
        <v>62.5</v>
      </c>
      <c r="W24" s="34">
        <f t="shared" si="16"/>
        <v>0</v>
      </c>
      <c r="X24" s="34">
        <f t="shared" si="16"/>
        <v>0</v>
      </c>
      <c r="Y24" s="34">
        <f t="shared" si="16"/>
        <v>15</v>
      </c>
      <c r="Z24" s="34">
        <f t="shared" si="16"/>
        <v>5.5</v>
      </c>
      <c r="AA24" s="34">
        <f t="shared" si="16"/>
        <v>3.5</v>
      </c>
      <c r="AB24" s="34">
        <f t="shared" si="16"/>
        <v>4</v>
      </c>
      <c r="AC24" s="34">
        <f t="shared" si="16"/>
        <v>452</v>
      </c>
      <c r="AD24" s="34">
        <f t="shared" si="16"/>
        <v>0</v>
      </c>
      <c r="AE24" s="31">
        <f t="shared" si="16"/>
        <v>490</v>
      </c>
      <c r="AF24" s="31">
        <f t="shared" si="16"/>
        <v>942</v>
      </c>
    </row>
    <row r="25" spans="2:32" ht="23.1" customHeight="1" x14ac:dyDescent="0.25">
      <c r="B25" s="23" t="s">
        <v>52</v>
      </c>
      <c r="C25" s="49">
        <f>'Avg Week Kisaasi-Ntinda'!C25+'Avg Week Ntinda-Kisaasi'!C25</f>
        <v>61.285714285714285</v>
      </c>
      <c r="D25" s="49">
        <f>'Avg Week Kisaasi-Ntinda'!D25+'Avg Week Ntinda-Kisaasi'!D25</f>
        <v>36</v>
      </c>
      <c r="E25" s="49">
        <f>'Avg Week Kisaasi-Ntinda'!E25+'Avg Week Ntinda-Kisaasi'!E25</f>
        <v>18.571428571428573</v>
      </c>
      <c r="F25" s="49">
        <f>'Avg Week Kisaasi-Ntinda'!F25+'Avg Week Ntinda-Kisaasi'!F25</f>
        <v>30</v>
      </c>
      <c r="G25" s="49">
        <f>'Avg Week Kisaasi-Ntinda'!G25+'Avg Week Ntinda-Kisaasi'!G25</f>
        <v>0.14285714285714285</v>
      </c>
      <c r="H25" s="49">
        <f>'Avg Week Kisaasi-Ntinda'!H25+'Avg Week Ntinda-Kisaasi'!H25</f>
        <v>0</v>
      </c>
      <c r="I25" s="49">
        <f>'Avg Week Kisaasi-Ntinda'!I25+'Avg Week Ntinda-Kisaasi'!I25</f>
        <v>9.5714285714285712</v>
      </c>
      <c r="J25" s="49">
        <f>'Avg Week Kisaasi-Ntinda'!J25+'Avg Week Ntinda-Kisaasi'!J25</f>
        <v>3.4285714285714284</v>
      </c>
      <c r="K25" s="49">
        <f>'Avg Week Kisaasi-Ntinda'!K25+'Avg Week Ntinda-Kisaasi'!K25</f>
        <v>1.2857142857142856</v>
      </c>
      <c r="L25" s="49">
        <f>'Avg Week Kisaasi-Ntinda'!L25+'Avg Week Ntinda-Kisaasi'!L25</f>
        <v>2.7142857142857144</v>
      </c>
      <c r="M25" s="49">
        <f>'Avg Week Kisaasi-Ntinda'!M25+'Avg Week Ntinda-Kisaasi'!M25</f>
        <v>194.71428571428572</v>
      </c>
      <c r="N25" s="49">
        <f>'Avg Week Kisaasi-Ntinda'!N25+'Avg Week Ntinda-Kisaasi'!N25</f>
        <v>0</v>
      </c>
      <c r="O25" s="15">
        <f t="shared" si="0"/>
        <v>162.99999999999997</v>
      </c>
      <c r="P25" s="15">
        <f t="shared" si="1"/>
        <v>357.71428571428567</v>
      </c>
      <c r="R25" s="36" t="s">
        <v>149</v>
      </c>
      <c r="S25" s="34">
        <f>SUM(C70:C73)</f>
        <v>270</v>
      </c>
      <c r="T25" s="34">
        <f t="shared" ref="T25:AF25" si="17">SUM(D70:D73)</f>
        <v>129</v>
      </c>
      <c r="U25" s="34">
        <f t="shared" si="17"/>
        <v>23</v>
      </c>
      <c r="V25" s="34">
        <f t="shared" si="17"/>
        <v>51.5</v>
      </c>
      <c r="W25" s="34">
        <f t="shared" si="17"/>
        <v>1.5</v>
      </c>
      <c r="X25" s="34">
        <f t="shared" si="17"/>
        <v>0</v>
      </c>
      <c r="Y25" s="34">
        <f t="shared" si="17"/>
        <v>11</v>
      </c>
      <c r="Z25" s="34">
        <f t="shared" si="17"/>
        <v>4.5</v>
      </c>
      <c r="AA25" s="34">
        <f t="shared" si="17"/>
        <v>2.5</v>
      </c>
      <c r="AB25" s="34">
        <f t="shared" si="17"/>
        <v>4</v>
      </c>
      <c r="AC25" s="34">
        <f t="shared" si="17"/>
        <v>559.5</v>
      </c>
      <c r="AD25" s="34">
        <f t="shared" si="17"/>
        <v>0</v>
      </c>
      <c r="AE25" s="31">
        <f t="shared" si="17"/>
        <v>497</v>
      </c>
      <c r="AF25" s="31">
        <f t="shared" si="17"/>
        <v>1056.5</v>
      </c>
    </row>
    <row r="26" spans="2:32" ht="23.1" customHeight="1" x14ac:dyDescent="0.25">
      <c r="B26" s="23" t="s">
        <v>53</v>
      </c>
      <c r="C26" s="49">
        <f>'Avg Week Kisaasi-Ntinda'!C26+'Avg Week Ntinda-Kisaasi'!C26</f>
        <v>68.714285714285722</v>
      </c>
      <c r="D26" s="49">
        <f>'Avg Week Kisaasi-Ntinda'!D26+'Avg Week Ntinda-Kisaasi'!D26</f>
        <v>41.857142857142854</v>
      </c>
      <c r="E26" s="49">
        <f>'Avg Week Kisaasi-Ntinda'!E26+'Avg Week Ntinda-Kisaasi'!E26</f>
        <v>15.857142857142858</v>
      </c>
      <c r="F26" s="49">
        <f>'Avg Week Kisaasi-Ntinda'!F26+'Avg Week Ntinda-Kisaasi'!F26</f>
        <v>22.714285714285715</v>
      </c>
      <c r="G26" s="49">
        <f>'Avg Week Kisaasi-Ntinda'!G26+'Avg Week Ntinda-Kisaasi'!G26</f>
        <v>0.42857142857142855</v>
      </c>
      <c r="H26" s="49">
        <f>'Avg Week Kisaasi-Ntinda'!H26+'Avg Week Ntinda-Kisaasi'!H26</f>
        <v>0</v>
      </c>
      <c r="I26" s="49">
        <f>'Avg Week Kisaasi-Ntinda'!I26+'Avg Week Ntinda-Kisaasi'!I26</f>
        <v>8.5714285714285712</v>
      </c>
      <c r="J26" s="49">
        <f>'Avg Week Kisaasi-Ntinda'!J26+'Avg Week Ntinda-Kisaasi'!J26</f>
        <v>3</v>
      </c>
      <c r="K26" s="49">
        <f>'Avg Week Kisaasi-Ntinda'!K26+'Avg Week Ntinda-Kisaasi'!K26</f>
        <v>0.5714285714285714</v>
      </c>
      <c r="L26" s="49">
        <f>'Avg Week Kisaasi-Ntinda'!L26+'Avg Week Ntinda-Kisaasi'!L26</f>
        <v>4</v>
      </c>
      <c r="M26" s="49">
        <f>'Avg Week Kisaasi-Ntinda'!M26+'Avg Week Ntinda-Kisaasi'!M26</f>
        <v>181.14285714285717</v>
      </c>
      <c r="N26" s="49">
        <f>'Avg Week Kisaasi-Ntinda'!N26+'Avg Week Ntinda-Kisaasi'!N26</f>
        <v>0</v>
      </c>
      <c r="O26" s="15">
        <f t="shared" si="0"/>
        <v>165.71428571428575</v>
      </c>
      <c r="P26" s="15">
        <f t="shared" si="1"/>
        <v>346.85714285714289</v>
      </c>
      <c r="R26" s="36" t="s">
        <v>150</v>
      </c>
      <c r="S26" s="34">
        <f>SUM(C74:C77)</f>
        <v>211.5</v>
      </c>
      <c r="T26" s="34">
        <f t="shared" ref="T26:AF26" si="18">SUM(D74:D77)</f>
        <v>105.5</v>
      </c>
      <c r="U26" s="34">
        <f t="shared" si="18"/>
        <v>18</v>
      </c>
      <c r="V26" s="34">
        <f t="shared" si="18"/>
        <v>35.5</v>
      </c>
      <c r="W26" s="34">
        <f t="shared" si="18"/>
        <v>0.5</v>
      </c>
      <c r="X26" s="34">
        <f t="shared" si="18"/>
        <v>0.5</v>
      </c>
      <c r="Y26" s="34">
        <f t="shared" si="18"/>
        <v>9.5</v>
      </c>
      <c r="Z26" s="34">
        <f t="shared" si="18"/>
        <v>4</v>
      </c>
      <c r="AA26" s="34">
        <f t="shared" si="18"/>
        <v>2.5</v>
      </c>
      <c r="AB26" s="34">
        <f t="shared" si="18"/>
        <v>1</v>
      </c>
      <c r="AC26" s="34">
        <f t="shared" si="18"/>
        <v>400</v>
      </c>
      <c r="AD26" s="34">
        <f t="shared" si="18"/>
        <v>0</v>
      </c>
      <c r="AE26" s="31">
        <f t="shared" si="18"/>
        <v>388.5</v>
      </c>
      <c r="AF26" s="31">
        <f t="shared" si="18"/>
        <v>788.5</v>
      </c>
    </row>
    <row r="27" spans="2:32" ht="23.1" customHeight="1" x14ac:dyDescent="0.25">
      <c r="B27" s="23" t="s">
        <v>54</v>
      </c>
      <c r="C27" s="49">
        <f>'Avg Week Kisaasi-Ntinda'!C27+'Avg Week Ntinda-Kisaasi'!C27</f>
        <v>79.285714285714278</v>
      </c>
      <c r="D27" s="49">
        <f>'Avg Week Kisaasi-Ntinda'!D27+'Avg Week Ntinda-Kisaasi'!D27</f>
        <v>39.571428571428569</v>
      </c>
      <c r="E27" s="49">
        <f>'Avg Week Kisaasi-Ntinda'!E27+'Avg Week Ntinda-Kisaasi'!E27</f>
        <v>13</v>
      </c>
      <c r="F27" s="49">
        <f>'Avg Week Kisaasi-Ntinda'!F27+'Avg Week Ntinda-Kisaasi'!F27</f>
        <v>25.142857142857142</v>
      </c>
      <c r="G27" s="49">
        <f>'Avg Week Kisaasi-Ntinda'!G27+'Avg Week Ntinda-Kisaasi'!G27</f>
        <v>0.2857142857142857</v>
      </c>
      <c r="H27" s="49">
        <f>'Avg Week Kisaasi-Ntinda'!H27+'Avg Week Ntinda-Kisaasi'!H27</f>
        <v>0</v>
      </c>
      <c r="I27" s="49">
        <f>'Avg Week Kisaasi-Ntinda'!I27+'Avg Week Ntinda-Kisaasi'!I27</f>
        <v>6.1428571428571423</v>
      </c>
      <c r="J27" s="49">
        <f>'Avg Week Kisaasi-Ntinda'!J27+'Avg Week Ntinda-Kisaasi'!J27</f>
        <v>2.8571428571428568</v>
      </c>
      <c r="K27" s="49">
        <f>'Avg Week Kisaasi-Ntinda'!K27+'Avg Week Ntinda-Kisaasi'!K27</f>
        <v>1.7142857142857144</v>
      </c>
      <c r="L27" s="49">
        <f>'Avg Week Kisaasi-Ntinda'!L27+'Avg Week Ntinda-Kisaasi'!L27</f>
        <v>4.1428571428571423</v>
      </c>
      <c r="M27" s="49">
        <f>'Avg Week Kisaasi-Ntinda'!M27+'Avg Week Ntinda-Kisaasi'!M27</f>
        <v>157.14285714285714</v>
      </c>
      <c r="N27" s="49">
        <f>'Avg Week Kisaasi-Ntinda'!N27+'Avg Week Ntinda-Kisaasi'!N27</f>
        <v>0</v>
      </c>
      <c r="O27" s="15">
        <f t="shared" si="0"/>
        <v>172.14285714285711</v>
      </c>
      <c r="P27" s="15">
        <f t="shared" si="1"/>
        <v>329.28571428571422</v>
      </c>
      <c r="R27" s="36" t="s">
        <v>151</v>
      </c>
      <c r="S27" s="34">
        <f>SUM(C78:C81)</f>
        <v>141.5</v>
      </c>
      <c r="T27" s="34">
        <f t="shared" ref="T27:AF27" si="19">SUM(D78:D81)</f>
        <v>51</v>
      </c>
      <c r="U27" s="34">
        <f t="shared" si="19"/>
        <v>15.5</v>
      </c>
      <c r="V27" s="34">
        <f t="shared" si="19"/>
        <v>15</v>
      </c>
      <c r="W27" s="34">
        <f t="shared" si="19"/>
        <v>0</v>
      </c>
      <c r="X27" s="34">
        <f t="shared" si="19"/>
        <v>0</v>
      </c>
      <c r="Y27" s="34">
        <f t="shared" si="19"/>
        <v>6.5</v>
      </c>
      <c r="Z27" s="34">
        <f t="shared" si="19"/>
        <v>4.5</v>
      </c>
      <c r="AA27" s="34">
        <f t="shared" si="19"/>
        <v>1.5</v>
      </c>
      <c r="AB27" s="34">
        <f t="shared" si="19"/>
        <v>0.5</v>
      </c>
      <c r="AC27" s="34">
        <f t="shared" si="19"/>
        <v>242</v>
      </c>
      <c r="AD27" s="34">
        <f t="shared" si="19"/>
        <v>0</v>
      </c>
      <c r="AE27" s="31">
        <f t="shared" si="19"/>
        <v>236</v>
      </c>
      <c r="AF27" s="31">
        <f t="shared" si="19"/>
        <v>478</v>
      </c>
    </row>
    <row r="28" spans="2:32" ht="23.1" customHeight="1" x14ac:dyDescent="0.25">
      <c r="B28" s="23" t="s">
        <v>55</v>
      </c>
      <c r="C28" s="49">
        <f>'Avg Week Kisaasi-Ntinda'!C28+'Avg Week Ntinda-Kisaasi'!C28</f>
        <v>72.571428571428569</v>
      </c>
      <c r="D28" s="49">
        <f>'Avg Week Kisaasi-Ntinda'!D28+'Avg Week Ntinda-Kisaasi'!D28</f>
        <v>49.714285714285708</v>
      </c>
      <c r="E28" s="49">
        <f>'Avg Week Kisaasi-Ntinda'!E28+'Avg Week Ntinda-Kisaasi'!E28</f>
        <v>16.285714285714285</v>
      </c>
      <c r="F28" s="49">
        <f>'Avg Week Kisaasi-Ntinda'!F28+'Avg Week Ntinda-Kisaasi'!F28</f>
        <v>29.142857142857146</v>
      </c>
      <c r="G28" s="49">
        <f>'Avg Week Kisaasi-Ntinda'!G28+'Avg Week Ntinda-Kisaasi'!G28</f>
        <v>0</v>
      </c>
      <c r="H28" s="49">
        <f>'Avg Week Kisaasi-Ntinda'!H28+'Avg Week Ntinda-Kisaasi'!H28</f>
        <v>0</v>
      </c>
      <c r="I28" s="49">
        <f>'Avg Week Kisaasi-Ntinda'!I28+'Avg Week Ntinda-Kisaasi'!I28</f>
        <v>8.4285714285714288</v>
      </c>
      <c r="J28" s="49">
        <f>'Avg Week Kisaasi-Ntinda'!J28+'Avg Week Ntinda-Kisaasi'!J28</f>
        <v>3.4285714285714288</v>
      </c>
      <c r="K28" s="49">
        <f>'Avg Week Kisaasi-Ntinda'!K28+'Avg Week Ntinda-Kisaasi'!K28</f>
        <v>1.8571428571428572</v>
      </c>
      <c r="L28" s="49">
        <f>'Avg Week Kisaasi-Ntinda'!L28+'Avg Week Ntinda-Kisaasi'!L28</f>
        <v>5.8571428571428577</v>
      </c>
      <c r="M28" s="49">
        <f>'Avg Week Kisaasi-Ntinda'!M28+'Avg Week Ntinda-Kisaasi'!M28</f>
        <v>185.71428571428572</v>
      </c>
      <c r="N28" s="49">
        <f>'Avg Week Kisaasi-Ntinda'!N28+'Avg Week Ntinda-Kisaasi'!N28</f>
        <v>0</v>
      </c>
      <c r="O28" s="15">
        <f t="shared" si="0"/>
        <v>187.28571428571425</v>
      </c>
      <c r="P28" s="15">
        <f t="shared" si="1"/>
        <v>373</v>
      </c>
      <c r="R28" s="36" t="s">
        <v>152</v>
      </c>
      <c r="S28" s="34">
        <f>SUM(C82:C85)</f>
        <v>130.5</v>
      </c>
      <c r="T28" s="34">
        <f t="shared" ref="T28:AF28" si="20">SUM(D82:D85)</f>
        <v>26</v>
      </c>
      <c r="U28" s="34">
        <f t="shared" si="20"/>
        <v>5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2.5</v>
      </c>
      <c r="Z28" s="34">
        <f t="shared" si="20"/>
        <v>4</v>
      </c>
      <c r="AA28" s="34">
        <f t="shared" si="20"/>
        <v>0.5</v>
      </c>
      <c r="AB28" s="34">
        <f t="shared" si="20"/>
        <v>2.5</v>
      </c>
      <c r="AC28" s="34">
        <f t="shared" si="20"/>
        <v>164</v>
      </c>
      <c r="AD28" s="34">
        <f t="shared" si="20"/>
        <v>0</v>
      </c>
      <c r="AE28" s="31">
        <f t="shared" si="20"/>
        <v>176</v>
      </c>
      <c r="AF28" s="31">
        <f t="shared" si="20"/>
        <v>340</v>
      </c>
    </row>
    <row r="29" spans="2:32" ht="23.1" customHeight="1" x14ac:dyDescent="0.25">
      <c r="B29" s="23" t="s">
        <v>56</v>
      </c>
      <c r="C29" s="49">
        <f>'Avg Week Kisaasi-Ntinda'!C29+'Avg Week Ntinda-Kisaasi'!C29</f>
        <v>66.428571428571431</v>
      </c>
      <c r="D29" s="49">
        <f>'Avg Week Kisaasi-Ntinda'!D29+'Avg Week Ntinda-Kisaasi'!D29</f>
        <v>42.857142857142854</v>
      </c>
      <c r="E29" s="49">
        <f>'Avg Week Kisaasi-Ntinda'!E29+'Avg Week Ntinda-Kisaasi'!E29</f>
        <v>17</v>
      </c>
      <c r="F29" s="49">
        <f>'Avg Week Kisaasi-Ntinda'!F29+'Avg Week Ntinda-Kisaasi'!F29</f>
        <v>25.428571428571431</v>
      </c>
      <c r="G29" s="49">
        <f>'Avg Week Kisaasi-Ntinda'!G29+'Avg Week Ntinda-Kisaasi'!G29</f>
        <v>0.14285714285714285</v>
      </c>
      <c r="H29" s="49">
        <f>'Avg Week Kisaasi-Ntinda'!H29+'Avg Week Ntinda-Kisaasi'!H29</f>
        <v>0</v>
      </c>
      <c r="I29" s="49">
        <f>'Avg Week Kisaasi-Ntinda'!I29+'Avg Week Ntinda-Kisaasi'!I29</f>
        <v>10</v>
      </c>
      <c r="J29" s="49">
        <f>'Avg Week Kisaasi-Ntinda'!J29+'Avg Week Ntinda-Kisaasi'!J29</f>
        <v>4.8571428571428568</v>
      </c>
      <c r="K29" s="49">
        <f>'Avg Week Kisaasi-Ntinda'!K29+'Avg Week Ntinda-Kisaasi'!K29</f>
        <v>0.5714285714285714</v>
      </c>
      <c r="L29" s="49">
        <f>'Avg Week Kisaasi-Ntinda'!L29+'Avg Week Ntinda-Kisaasi'!L29</f>
        <v>4</v>
      </c>
      <c r="M29" s="49">
        <f>'Avg Week Kisaasi-Ntinda'!M29+'Avg Week Ntinda-Kisaasi'!M29</f>
        <v>177.85714285714283</v>
      </c>
      <c r="N29" s="49">
        <f>'Avg Week Kisaasi-Ntinda'!N29+'Avg Week Ntinda-Kisaasi'!N29</f>
        <v>0</v>
      </c>
      <c r="O29" s="15">
        <f t="shared" si="0"/>
        <v>171.28571428571431</v>
      </c>
      <c r="P29" s="15">
        <f t="shared" si="1"/>
        <v>349.14285714285711</v>
      </c>
      <c r="R29" s="36" t="s">
        <v>153</v>
      </c>
      <c r="S29" s="34">
        <f>SUM(C86:C89)</f>
        <v>78</v>
      </c>
      <c r="T29" s="34">
        <f t="shared" ref="T29:AF29" si="21">SUM(D86:D89)</f>
        <v>19</v>
      </c>
      <c r="U29" s="34">
        <f t="shared" si="21"/>
        <v>10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4.5</v>
      </c>
      <c r="AA29" s="34">
        <f t="shared" si="21"/>
        <v>1.5</v>
      </c>
      <c r="AB29" s="34">
        <f t="shared" si="21"/>
        <v>1.5</v>
      </c>
      <c r="AC29" s="34">
        <f t="shared" si="21"/>
        <v>141</v>
      </c>
      <c r="AD29" s="34">
        <f t="shared" si="21"/>
        <v>0</v>
      </c>
      <c r="AE29" s="31">
        <f t="shared" si="21"/>
        <v>119</v>
      </c>
      <c r="AF29" s="31">
        <f t="shared" si="21"/>
        <v>260</v>
      </c>
    </row>
    <row r="30" spans="2:32" ht="23.1" customHeight="1" x14ac:dyDescent="0.25">
      <c r="B30" s="23" t="s">
        <v>57</v>
      </c>
      <c r="C30" s="49">
        <f>'Avg Week Kisaasi-Ntinda'!C30+'Avg Week Ntinda-Kisaasi'!C30</f>
        <v>84.428571428571431</v>
      </c>
      <c r="D30" s="49">
        <f>'Avg Week Kisaasi-Ntinda'!D30+'Avg Week Ntinda-Kisaasi'!D30</f>
        <v>51</v>
      </c>
      <c r="E30" s="49">
        <f>'Avg Week Kisaasi-Ntinda'!E30+'Avg Week Ntinda-Kisaasi'!E30</f>
        <v>18.571428571428569</v>
      </c>
      <c r="F30" s="49">
        <f>'Avg Week Kisaasi-Ntinda'!F30+'Avg Week Ntinda-Kisaasi'!F30</f>
        <v>29.571428571428569</v>
      </c>
      <c r="G30" s="49">
        <f>'Avg Week Kisaasi-Ntinda'!G30+'Avg Week Ntinda-Kisaasi'!G30</f>
        <v>0.2857142857142857</v>
      </c>
      <c r="H30" s="49">
        <f>'Avg Week Kisaasi-Ntinda'!H30+'Avg Week Ntinda-Kisaasi'!H30</f>
        <v>0.14285714285714285</v>
      </c>
      <c r="I30" s="49">
        <f>'Avg Week Kisaasi-Ntinda'!I30+'Avg Week Ntinda-Kisaasi'!I30</f>
        <v>7.8571428571428568</v>
      </c>
      <c r="J30" s="49">
        <f>'Avg Week Kisaasi-Ntinda'!J30+'Avg Week Ntinda-Kisaasi'!J30</f>
        <v>2.8571428571428572</v>
      </c>
      <c r="K30" s="49">
        <f>'Avg Week Kisaasi-Ntinda'!K30+'Avg Week Ntinda-Kisaasi'!K30</f>
        <v>2</v>
      </c>
      <c r="L30" s="49">
        <f>'Avg Week Kisaasi-Ntinda'!L30+'Avg Week Ntinda-Kisaasi'!L30</f>
        <v>4.2857142857142856</v>
      </c>
      <c r="M30" s="49">
        <f>'Avg Week Kisaasi-Ntinda'!M30+'Avg Week Ntinda-Kisaasi'!M30</f>
        <v>172.57142857142856</v>
      </c>
      <c r="N30" s="49">
        <f>'Avg Week Kisaasi-Ntinda'!N30+'Avg Week Ntinda-Kisaasi'!N30</f>
        <v>0</v>
      </c>
      <c r="O30" s="15">
        <f t="shared" si="0"/>
        <v>200.99999999999997</v>
      </c>
      <c r="P30" s="15">
        <f t="shared" si="1"/>
        <v>373.57142857142856</v>
      </c>
      <c r="R30" s="36" t="s">
        <v>154</v>
      </c>
      <c r="S30" s="34">
        <f>SUM(C90:C93)</f>
        <v>63</v>
      </c>
      <c r="T30" s="34">
        <f t="shared" ref="T30:AF30" si="22">SUM(D90:D93)</f>
        <v>19.5</v>
      </c>
      <c r="U30" s="34">
        <f t="shared" si="22"/>
        <v>4.5</v>
      </c>
      <c r="V30" s="34">
        <f t="shared" si="22"/>
        <v>1.5</v>
      </c>
      <c r="W30" s="34">
        <f t="shared" si="22"/>
        <v>0.5</v>
      </c>
      <c r="X30" s="34">
        <f t="shared" si="22"/>
        <v>0</v>
      </c>
      <c r="Y30" s="34">
        <f t="shared" si="22"/>
        <v>4</v>
      </c>
      <c r="Z30" s="34">
        <f t="shared" si="22"/>
        <v>5</v>
      </c>
      <c r="AA30" s="34">
        <f t="shared" si="22"/>
        <v>1</v>
      </c>
      <c r="AB30" s="34">
        <f t="shared" si="22"/>
        <v>2</v>
      </c>
      <c r="AC30" s="34">
        <f t="shared" si="22"/>
        <v>108</v>
      </c>
      <c r="AD30" s="34">
        <f t="shared" si="22"/>
        <v>0</v>
      </c>
      <c r="AE30" s="31">
        <f t="shared" si="22"/>
        <v>101</v>
      </c>
      <c r="AF30" s="31">
        <f t="shared" si="22"/>
        <v>209</v>
      </c>
    </row>
    <row r="31" spans="2:32" ht="23.1" customHeight="1" x14ac:dyDescent="0.25">
      <c r="B31" s="24" t="s">
        <v>58</v>
      </c>
      <c r="C31" s="49">
        <f>'Avg Week Kisaasi-Ntinda'!C31+'Avg Week Ntinda-Kisaasi'!C31</f>
        <v>75.571428571428569</v>
      </c>
      <c r="D31" s="49">
        <f>'Avg Week Kisaasi-Ntinda'!D31+'Avg Week Ntinda-Kisaasi'!D31</f>
        <v>44.142857142857139</v>
      </c>
      <c r="E31" s="49">
        <f>'Avg Week Kisaasi-Ntinda'!E31+'Avg Week Ntinda-Kisaasi'!E31</f>
        <v>15.285714285714285</v>
      </c>
      <c r="F31" s="49">
        <f>'Avg Week Kisaasi-Ntinda'!F31+'Avg Week Ntinda-Kisaasi'!F31</f>
        <v>26.714285714285715</v>
      </c>
      <c r="G31" s="49">
        <f>'Avg Week Kisaasi-Ntinda'!G31+'Avg Week Ntinda-Kisaasi'!G31</f>
        <v>0.42857142857142855</v>
      </c>
      <c r="H31" s="49">
        <f>'Avg Week Kisaasi-Ntinda'!H31+'Avg Week Ntinda-Kisaasi'!H31</f>
        <v>0</v>
      </c>
      <c r="I31" s="49">
        <f>'Avg Week Kisaasi-Ntinda'!I31+'Avg Week Ntinda-Kisaasi'!I31</f>
        <v>7.1428571428571432</v>
      </c>
      <c r="J31" s="49">
        <f>'Avg Week Kisaasi-Ntinda'!J31+'Avg Week Ntinda-Kisaasi'!J31</f>
        <v>4.1428571428571432</v>
      </c>
      <c r="K31" s="49">
        <f>'Avg Week Kisaasi-Ntinda'!K31+'Avg Week Ntinda-Kisaasi'!K31</f>
        <v>1.5714285714285714</v>
      </c>
      <c r="L31" s="49">
        <f>'Avg Week Kisaasi-Ntinda'!L31+'Avg Week Ntinda-Kisaasi'!L31</f>
        <v>3</v>
      </c>
      <c r="M31" s="49">
        <f>'Avg Week Kisaasi-Ntinda'!M31+'Avg Week Ntinda-Kisaasi'!M31</f>
        <v>181.14285714285714</v>
      </c>
      <c r="N31" s="49">
        <f>'Avg Week Kisaasi-Ntinda'!N31+'Avg Week Ntinda-Kisaasi'!N31</f>
        <v>0.2857142857142857</v>
      </c>
      <c r="O31" s="15">
        <f t="shared" si="0"/>
        <v>178.28571428571428</v>
      </c>
      <c r="P31" s="15">
        <f t="shared" si="1"/>
        <v>359.42857142857139</v>
      </c>
      <c r="R31" s="36" t="s">
        <v>155</v>
      </c>
      <c r="S31" s="34">
        <f>SUM(C94:C97)</f>
        <v>53.5</v>
      </c>
      <c r="T31" s="34">
        <f t="shared" ref="T31:AF31" si="23">SUM(D94:D97)</f>
        <v>22.5</v>
      </c>
      <c r="U31" s="34">
        <f t="shared" si="23"/>
        <v>11</v>
      </c>
      <c r="V31" s="34">
        <f t="shared" si="23"/>
        <v>7.5</v>
      </c>
      <c r="W31" s="34">
        <f t="shared" si="23"/>
        <v>0</v>
      </c>
      <c r="X31" s="34">
        <f t="shared" si="23"/>
        <v>0</v>
      </c>
      <c r="Y31" s="34">
        <f t="shared" si="23"/>
        <v>5</v>
      </c>
      <c r="Z31" s="34">
        <f t="shared" si="23"/>
        <v>1.5</v>
      </c>
      <c r="AA31" s="34">
        <f t="shared" si="23"/>
        <v>1.5</v>
      </c>
      <c r="AB31" s="34">
        <f t="shared" si="23"/>
        <v>1</v>
      </c>
      <c r="AC31" s="34">
        <f t="shared" si="23"/>
        <v>88</v>
      </c>
      <c r="AD31" s="34">
        <f t="shared" si="23"/>
        <v>0</v>
      </c>
      <c r="AE31" s="31">
        <f t="shared" si="23"/>
        <v>103.5</v>
      </c>
      <c r="AF31" s="31">
        <f t="shared" si="23"/>
        <v>191.5</v>
      </c>
    </row>
    <row r="32" spans="2:32" ht="23.1" customHeight="1" x14ac:dyDescent="0.25">
      <c r="B32" s="24" t="s">
        <v>59</v>
      </c>
      <c r="C32" s="49">
        <f>'Avg Week Kisaasi-Ntinda'!C32+'Avg Week Ntinda-Kisaasi'!C32</f>
        <v>74.285714285714278</v>
      </c>
      <c r="D32" s="49">
        <f>'Avg Week Kisaasi-Ntinda'!D32+'Avg Week Ntinda-Kisaasi'!D32</f>
        <v>46.428571428571431</v>
      </c>
      <c r="E32" s="49">
        <f>'Avg Week Kisaasi-Ntinda'!E32+'Avg Week Ntinda-Kisaasi'!E32</f>
        <v>16.285714285714285</v>
      </c>
      <c r="F32" s="49">
        <f>'Avg Week Kisaasi-Ntinda'!F32+'Avg Week Ntinda-Kisaasi'!F32</f>
        <v>41.571428571428569</v>
      </c>
      <c r="G32" s="49">
        <f>'Avg Week Kisaasi-Ntinda'!G32+'Avg Week Ntinda-Kisaasi'!G32</f>
        <v>0.2857142857142857</v>
      </c>
      <c r="H32" s="49">
        <f>'Avg Week Kisaasi-Ntinda'!H32+'Avg Week Ntinda-Kisaasi'!H32</f>
        <v>0</v>
      </c>
      <c r="I32" s="49">
        <f>'Avg Week Kisaasi-Ntinda'!I32+'Avg Week Ntinda-Kisaasi'!I32</f>
        <v>10</v>
      </c>
      <c r="J32" s="49">
        <f>'Avg Week Kisaasi-Ntinda'!J32+'Avg Week Ntinda-Kisaasi'!J32</f>
        <v>5.1428571428571423</v>
      </c>
      <c r="K32" s="49">
        <f>'Avg Week Kisaasi-Ntinda'!K32+'Avg Week Ntinda-Kisaasi'!K32</f>
        <v>1.4285714285714286</v>
      </c>
      <c r="L32" s="49">
        <f>'Avg Week Kisaasi-Ntinda'!L32+'Avg Week Ntinda-Kisaasi'!L32</f>
        <v>6.7142857142857144</v>
      </c>
      <c r="M32" s="49">
        <f>'Avg Week Kisaasi-Ntinda'!M32+'Avg Week Ntinda-Kisaasi'!M32</f>
        <v>191.71428571428572</v>
      </c>
      <c r="N32" s="49">
        <f>'Avg Week Kisaasi-Ntinda'!N32+'Avg Week Ntinda-Kisaasi'!N32</f>
        <v>0</v>
      </c>
      <c r="O32" s="15">
        <f t="shared" si="0"/>
        <v>202.14285714285711</v>
      </c>
      <c r="P32" s="15">
        <f t="shared" si="1"/>
        <v>393.85714285714283</v>
      </c>
      <c r="R32" s="33" t="s">
        <v>156</v>
      </c>
      <c r="S32" s="34">
        <f>SUM(C98:C101)</f>
        <v>75</v>
      </c>
      <c r="T32" s="34">
        <f t="shared" ref="T32:AF32" si="24">SUM(D98:D101)</f>
        <v>27</v>
      </c>
      <c r="U32" s="34">
        <f t="shared" si="24"/>
        <v>6</v>
      </c>
      <c r="V32" s="34">
        <f t="shared" si="24"/>
        <v>24.5</v>
      </c>
      <c r="W32" s="34">
        <f t="shared" si="24"/>
        <v>1.5</v>
      </c>
      <c r="X32" s="34">
        <f t="shared" si="24"/>
        <v>0</v>
      </c>
      <c r="Y32" s="34">
        <f t="shared" si="24"/>
        <v>6</v>
      </c>
      <c r="Z32" s="34">
        <f t="shared" si="24"/>
        <v>4.5</v>
      </c>
      <c r="AA32" s="34">
        <f t="shared" si="24"/>
        <v>1.5</v>
      </c>
      <c r="AB32" s="34">
        <f t="shared" si="24"/>
        <v>0.5</v>
      </c>
      <c r="AC32" s="34">
        <f t="shared" si="24"/>
        <v>126</v>
      </c>
      <c r="AD32" s="34">
        <f t="shared" si="24"/>
        <v>0</v>
      </c>
      <c r="AE32" s="31">
        <f t="shared" si="24"/>
        <v>146.5</v>
      </c>
      <c r="AF32" s="31">
        <f t="shared" si="24"/>
        <v>272.5</v>
      </c>
    </row>
    <row r="33" spans="2:32" ht="23.1" customHeight="1" x14ac:dyDescent="0.25">
      <c r="B33" s="23" t="s">
        <v>60</v>
      </c>
      <c r="C33" s="49">
        <f>'Avg Week Kisaasi-Ntinda'!C33+'Avg Week Ntinda-Kisaasi'!C33</f>
        <v>72.285714285714278</v>
      </c>
      <c r="D33" s="49">
        <f>'Avg Week Kisaasi-Ntinda'!D33+'Avg Week Ntinda-Kisaasi'!D33</f>
        <v>44</v>
      </c>
      <c r="E33" s="49">
        <f>'Avg Week Kisaasi-Ntinda'!E33+'Avg Week Ntinda-Kisaasi'!E33</f>
        <v>16.857142857142858</v>
      </c>
      <c r="F33" s="49">
        <f>'Avg Week Kisaasi-Ntinda'!F33+'Avg Week Ntinda-Kisaasi'!F33</f>
        <v>25.285714285714285</v>
      </c>
      <c r="G33" s="49">
        <f>'Avg Week Kisaasi-Ntinda'!G33+'Avg Week Ntinda-Kisaasi'!G33</f>
        <v>0</v>
      </c>
      <c r="H33" s="49">
        <f>'Avg Week Kisaasi-Ntinda'!H33+'Avg Week Ntinda-Kisaasi'!H33</f>
        <v>0</v>
      </c>
      <c r="I33" s="49">
        <f>'Avg Week Kisaasi-Ntinda'!I33+'Avg Week Ntinda-Kisaasi'!I33</f>
        <v>9.2857142857142865</v>
      </c>
      <c r="J33" s="49">
        <f>'Avg Week Kisaasi-Ntinda'!J33+'Avg Week Ntinda-Kisaasi'!J33</f>
        <v>3.8571428571428577</v>
      </c>
      <c r="K33" s="49">
        <f>'Avg Week Kisaasi-Ntinda'!K33+'Avg Week Ntinda-Kisaasi'!K33</f>
        <v>0.8571428571428571</v>
      </c>
      <c r="L33" s="49">
        <f>'Avg Week Kisaasi-Ntinda'!L33+'Avg Week Ntinda-Kisaasi'!L33</f>
        <v>4.4285714285714288</v>
      </c>
      <c r="M33" s="49">
        <f>'Avg Week Kisaasi-Ntinda'!M33+'Avg Week Ntinda-Kisaasi'!M33</f>
        <v>176.28571428571428</v>
      </c>
      <c r="N33" s="49">
        <f>'Avg Week Kisaasi-Ntinda'!N33+'Avg Week Ntinda-Kisaasi'!N33</f>
        <v>0</v>
      </c>
      <c r="O33" s="15">
        <f t="shared" si="0"/>
        <v>176.85714285714283</v>
      </c>
      <c r="P33" s="15">
        <f t="shared" si="1"/>
        <v>353.14285714285711</v>
      </c>
      <c r="R33" s="33" t="s">
        <v>157</v>
      </c>
      <c r="S33" s="34">
        <f>SUM(C102:C105)</f>
        <v>1681.5</v>
      </c>
      <c r="T33" s="34">
        <f t="shared" ref="T33:AF33" si="25">SUM(D102:D105)</f>
        <v>89</v>
      </c>
      <c r="U33" s="34">
        <f t="shared" si="25"/>
        <v>25</v>
      </c>
      <c r="V33" s="34">
        <f t="shared" si="25"/>
        <v>68</v>
      </c>
      <c r="W33" s="34">
        <f t="shared" si="25"/>
        <v>1</v>
      </c>
      <c r="X33" s="34">
        <f t="shared" si="25"/>
        <v>0</v>
      </c>
      <c r="Y33" s="34">
        <f t="shared" si="25"/>
        <v>6.5</v>
      </c>
      <c r="Z33" s="34">
        <f t="shared" si="25"/>
        <v>5.5</v>
      </c>
      <c r="AA33" s="34">
        <f t="shared" si="25"/>
        <v>2.5</v>
      </c>
      <c r="AB33" s="34">
        <f t="shared" si="25"/>
        <v>6.5</v>
      </c>
      <c r="AC33" s="34">
        <f t="shared" si="25"/>
        <v>230.5</v>
      </c>
      <c r="AD33" s="34">
        <f t="shared" si="25"/>
        <v>0</v>
      </c>
      <c r="AE33" s="31">
        <f t="shared" si="25"/>
        <v>1885.5</v>
      </c>
      <c r="AF33" s="31">
        <f t="shared" si="25"/>
        <v>2116</v>
      </c>
    </row>
    <row r="34" spans="2:32" ht="23.1" customHeight="1" x14ac:dyDescent="0.25">
      <c r="B34" s="24" t="s">
        <v>61</v>
      </c>
      <c r="C34" s="49">
        <f>'Avg Week Kisaasi-Ntinda'!C34+'Avg Week Ntinda-Kisaasi'!C34</f>
        <v>71.857142857142861</v>
      </c>
      <c r="D34" s="49">
        <f>'Avg Week Kisaasi-Ntinda'!D34+'Avg Week Ntinda-Kisaasi'!D34</f>
        <v>36.428571428571431</v>
      </c>
      <c r="E34" s="49">
        <f>'Avg Week Kisaasi-Ntinda'!E34+'Avg Week Ntinda-Kisaasi'!E34</f>
        <v>13.714285714285715</v>
      </c>
      <c r="F34" s="49">
        <f>'Avg Week Kisaasi-Ntinda'!F34+'Avg Week Ntinda-Kisaasi'!F34</f>
        <v>23.142857142857142</v>
      </c>
      <c r="G34" s="49">
        <f>'Avg Week Kisaasi-Ntinda'!G34+'Avg Week Ntinda-Kisaasi'!G34</f>
        <v>0.71428571428571419</v>
      </c>
      <c r="H34" s="49">
        <f>'Avg Week Kisaasi-Ntinda'!H34+'Avg Week Ntinda-Kisaasi'!H34</f>
        <v>0.14285714285714285</v>
      </c>
      <c r="I34" s="49">
        <f>'Avg Week Kisaasi-Ntinda'!I34+'Avg Week Ntinda-Kisaasi'!I34</f>
        <v>9.1428571428571423</v>
      </c>
      <c r="J34" s="49">
        <f>'Avg Week Kisaasi-Ntinda'!J34+'Avg Week Ntinda-Kisaasi'!J34</f>
        <v>4.2857142857142856</v>
      </c>
      <c r="K34" s="49">
        <f>'Avg Week Kisaasi-Ntinda'!K34+'Avg Week Ntinda-Kisaasi'!K34</f>
        <v>1.5714285714285714</v>
      </c>
      <c r="L34" s="49">
        <f>'Avg Week Kisaasi-Ntinda'!L34+'Avg Week Ntinda-Kisaasi'!L34</f>
        <v>3.2857142857142856</v>
      </c>
      <c r="M34" s="49">
        <f>'Avg Week Kisaasi-Ntinda'!M34+'Avg Week Ntinda-Kisaasi'!M34</f>
        <v>177.42857142857144</v>
      </c>
      <c r="N34" s="49">
        <f>'Avg Week Kisaasi-Ntinda'!N34+'Avg Week Ntinda-Kisaasi'!N34</f>
        <v>0.14285714285714285</v>
      </c>
      <c r="O34" s="15">
        <f t="shared" si="0"/>
        <v>164.42857142857142</v>
      </c>
      <c r="P34" s="15">
        <f t="shared" si="1"/>
        <v>341.85714285714289</v>
      </c>
      <c r="R34" s="38" t="s">
        <v>90</v>
      </c>
      <c r="S34" s="39">
        <f t="shared" ref="S34:AF34" si="26">MAX(S10:S12)</f>
        <v>439.71428571428567</v>
      </c>
      <c r="T34" s="39">
        <f t="shared" si="26"/>
        <v>243.57142857142856</v>
      </c>
      <c r="U34" s="39">
        <f t="shared" si="26"/>
        <v>67.714285714285708</v>
      </c>
      <c r="V34" s="39">
        <f t="shared" si="26"/>
        <v>152.57142857142858</v>
      </c>
      <c r="W34" s="39">
        <f t="shared" si="26"/>
        <v>2.9999999999999996</v>
      </c>
      <c r="X34" s="39">
        <f t="shared" si="26"/>
        <v>0.7142857142857143</v>
      </c>
      <c r="Y34" s="39">
        <f t="shared" si="26"/>
        <v>31.428571428571431</v>
      </c>
      <c r="Z34" s="39">
        <f t="shared" si="26"/>
        <v>12.857142857142858</v>
      </c>
      <c r="AA34" s="39">
        <f t="shared" si="26"/>
        <v>5.5714285714285712</v>
      </c>
      <c r="AB34" s="39">
        <f t="shared" si="26"/>
        <v>8.1428571428571423</v>
      </c>
      <c r="AC34" s="39">
        <f t="shared" si="26"/>
        <v>966</v>
      </c>
      <c r="AD34" s="39">
        <f t="shared" si="26"/>
        <v>0.14285714285714285</v>
      </c>
      <c r="AE34" s="40">
        <f t="shared" si="26"/>
        <v>924.28571428571433</v>
      </c>
      <c r="AF34" s="40">
        <f t="shared" si="26"/>
        <v>1687.8571428571427</v>
      </c>
    </row>
    <row r="35" spans="2:32" ht="23.1" customHeight="1" x14ac:dyDescent="0.25">
      <c r="B35" s="24" t="s">
        <v>62</v>
      </c>
      <c r="C35" s="49">
        <f>'Avg Week Kisaasi-Ntinda'!C35+'Avg Week Ntinda-Kisaasi'!C35</f>
        <v>63.857142857142861</v>
      </c>
      <c r="D35" s="49">
        <f>'Avg Week Kisaasi-Ntinda'!D35+'Avg Week Ntinda-Kisaasi'!D35</f>
        <v>36.142857142857139</v>
      </c>
      <c r="E35" s="49">
        <f>'Avg Week Kisaasi-Ntinda'!E35+'Avg Week Ntinda-Kisaasi'!E35</f>
        <v>13.428571428571427</v>
      </c>
      <c r="F35" s="49">
        <f>'Avg Week Kisaasi-Ntinda'!F35+'Avg Week Ntinda-Kisaasi'!F35</f>
        <v>20.285714285714285</v>
      </c>
      <c r="G35" s="49">
        <f>'Avg Week Kisaasi-Ntinda'!G35+'Avg Week Ntinda-Kisaasi'!G35</f>
        <v>0.14285714285714285</v>
      </c>
      <c r="H35" s="49">
        <f>'Avg Week Kisaasi-Ntinda'!H35+'Avg Week Ntinda-Kisaasi'!H35</f>
        <v>0</v>
      </c>
      <c r="I35" s="49">
        <f>'Avg Week Kisaasi-Ntinda'!I35+'Avg Week Ntinda-Kisaasi'!I35</f>
        <v>7.5714285714285712</v>
      </c>
      <c r="J35" s="49">
        <f>'Avg Week Kisaasi-Ntinda'!J35+'Avg Week Ntinda-Kisaasi'!J35</f>
        <v>4.8571428571428577</v>
      </c>
      <c r="K35" s="49">
        <f>'Avg Week Kisaasi-Ntinda'!K35+'Avg Week Ntinda-Kisaasi'!K35</f>
        <v>1.4285714285714284</v>
      </c>
      <c r="L35" s="49">
        <f>'Avg Week Kisaasi-Ntinda'!L35+'Avg Week Ntinda-Kisaasi'!L35</f>
        <v>2.4285714285714288</v>
      </c>
      <c r="M35" s="49">
        <f>'Avg Week Kisaasi-Ntinda'!M35+'Avg Week Ntinda-Kisaasi'!M35</f>
        <v>180.57142857142856</v>
      </c>
      <c r="N35" s="49">
        <f>'Avg Week Kisaasi-Ntinda'!N35+'Avg Week Ntinda-Kisaasi'!N35</f>
        <v>0.14285714285714285</v>
      </c>
      <c r="O35" s="15">
        <f t="shared" si="0"/>
        <v>150.28571428571428</v>
      </c>
      <c r="P35" s="15">
        <f t="shared" si="1"/>
        <v>330.85714285714283</v>
      </c>
      <c r="R35" s="38" t="s">
        <v>91</v>
      </c>
      <c r="S35" s="39">
        <f t="shared" ref="S35:AF35" si="27">MAX(S13:S18)</f>
        <v>315.85714285714283</v>
      </c>
      <c r="T35" s="39">
        <f t="shared" si="27"/>
        <v>185.57142857142856</v>
      </c>
      <c r="U35" s="39">
        <f t="shared" si="27"/>
        <v>70.571428571428569</v>
      </c>
      <c r="V35" s="39">
        <f t="shared" si="27"/>
        <v>123.14285714285714</v>
      </c>
      <c r="W35" s="39">
        <f t="shared" si="27"/>
        <v>4</v>
      </c>
      <c r="X35" s="39">
        <f t="shared" si="27"/>
        <v>0.2857142857142857</v>
      </c>
      <c r="Y35" s="39">
        <f t="shared" si="27"/>
        <v>34.285714285714285</v>
      </c>
      <c r="Z35" s="39">
        <f t="shared" si="27"/>
        <v>18.857142857142858</v>
      </c>
      <c r="AA35" s="39">
        <f t="shared" si="27"/>
        <v>6.2857142857142865</v>
      </c>
      <c r="AB35" s="39">
        <f t="shared" si="27"/>
        <v>18.428571428571431</v>
      </c>
      <c r="AC35" s="39">
        <f t="shared" si="27"/>
        <v>766.42857142857156</v>
      </c>
      <c r="AD35" s="39">
        <f t="shared" si="27"/>
        <v>0.2857142857142857</v>
      </c>
      <c r="AE35" s="40">
        <f t="shared" si="27"/>
        <v>758.28571428571422</v>
      </c>
      <c r="AF35" s="40">
        <f t="shared" si="27"/>
        <v>1480</v>
      </c>
    </row>
    <row r="36" spans="2:32" ht="23.1" customHeight="1" x14ac:dyDescent="0.25">
      <c r="B36" s="24" t="s">
        <v>63</v>
      </c>
      <c r="C36" s="49">
        <f>'Avg Week Kisaasi-Ntinda'!C36+'Avg Week Ntinda-Kisaasi'!C36</f>
        <v>57.285714285714292</v>
      </c>
      <c r="D36" s="49">
        <f>'Avg Week Kisaasi-Ntinda'!D36+'Avg Week Ntinda-Kisaasi'!D36</f>
        <v>33.142857142857139</v>
      </c>
      <c r="E36" s="49">
        <f>'Avg Week Kisaasi-Ntinda'!E36+'Avg Week Ntinda-Kisaasi'!E36</f>
        <v>12.857142857142858</v>
      </c>
      <c r="F36" s="49">
        <f>'Avg Week Kisaasi-Ntinda'!F36+'Avg Week Ntinda-Kisaasi'!F36</f>
        <v>22.285714285714285</v>
      </c>
      <c r="G36" s="49">
        <f>'Avg Week Kisaasi-Ntinda'!G36+'Avg Week Ntinda-Kisaasi'!G36</f>
        <v>0.14285714285714285</v>
      </c>
      <c r="H36" s="49">
        <f>'Avg Week Kisaasi-Ntinda'!H36+'Avg Week Ntinda-Kisaasi'!H36</f>
        <v>0</v>
      </c>
      <c r="I36" s="49">
        <f>'Avg Week Kisaasi-Ntinda'!I36+'Avg Week Ntinda-Kisaasi'!I36</f>
        <v>8.1428571428571423</v>
      </c>
      <c r="J36" s="49">
        <f>'Avg Week Kisaasi-Ntinda'!J36+'Avg Week Ntinda-Kisaasi'!J36</f>
        <v>3.7142857142857144</v>
      </c>
      <c r="K36" s="49">
        <f>'Avg Week Kisaasi-Ntinda'!K36+'Avg Week Ntinda-Kisaasi'!K36</f>
        <v>2</v>
      </c>
      <c r="L36" s="49">
        <f>'Avg Week Kisaasi-Ntinda'!L36+'Avg Week Ntinda-Kisaasi'!L36</f>
        <v>3.4285714285714288</v>
      </c>
      <c r="M36" s="49">
        <f>'Avg Week Kisaasi-Ntinda'!M36+'Avg Week Ntinda-Kisaasi'!M36</f>
        <v>160.14285714285714</v>
      </c>
      <c r="N36" s="49">
        <f>'Avg Week Kisaasi-Ntinda'!N36+'Avg Week Ntinda-Kisaasi'!N36</f>
        <v>0</v>
      </c>
      <c r="O36" s="15">
        <f t="shared" si="0"/>
        <v>143</v>
      </c>
      <c r="P36" s="15">
        <f t="shared" si="1"/>
        <v>303.14285714285711</v>
      </c>
      <c r="R36" s="38" t="s">
        <v>92</v>
      </c>
      <c r="S36" s="39">
        <f t="shared" ref="S36:AF36" si="28">MAX(S19:S21)</f>
        <v>434.42857142857139</v>
      </c>
      <c r="T36" s="39">
        <f t="shared" si="28"/>
        <v>212.28571428571428</v>
      </c>
      <c r="U36" s="39">
        <f t="shared" si="28"/>
        <v>78</v>
      </c>
      <c r="V36" s="39">
        <f t="shared" si="28"/>
        <v>106.71428571428571</v>
      </c>
      <c r="W36" s="39">
        <f t="shared" si="28"/>
        <v>3.8571428571428572</v>
      </c>
      <c r="X36" s="39">
        <f t="shared" si="28"/>
        <v>0.14285714285714285</v>
      </c>
      <c r="Y36" s="39">
        <f t="shared" si="28"/>
        <v>27.571428571428573</v>
      </c>
      <c r="Z36" s="39">
        <f t="shared" si="28"/>
        <v>14.428571428571427</v>
      </c>
      <c r="AA36" s="39">
        <f t="shared" si="28"/>
        <v>7.2857142857142856</v>
      </c>
      <c r="AB36" s="39">
        <f t="shared" si="28"/>
        <v>13.142857142857142</v>
      </c>
      <c r="AC36" s="39">
        <f t="shared" si="28"/>
        <v>735</v>
      </c>
      <c r="AD36" s="39">
        <f t="shared" si="28"/>
        <v>0.2857142857142857</v>
      </c>
      <c r="AE36" s="40">
        <f t="shared" si="28"/>
        <v>892.42857142857133</v>
      </c>
      <c r="AF36" s="40">
        <f t="shared" si="28"/>
        <v>1627.4285714285716</v>
      </c>
    </row>
    <row r="37" spans="2:32" ht="23.1" customHeight="1" x14ac:dyDescent="0.25">
      <c r="B37" s="23" t="s">
        <v>64</v>
      </c>
      <c r="C37" s="49">
        <f>'Avg Week Kisaasi-Ntinda'!C37+'Avg Week Ntinda-Kisaasi'!C37</f>
        <v>69</v>
      </c>
      <c r="D37" s="49">
        <f>'Avg Week Kisaasi-Ntinda'!D37+'Avg Week Ntinda-Kisaasi'!D37</f>
        <v>42.428571428571431</v>
      </c>
      <c r="E37" s="49">
        <f>'Avg Week Kisaasi-Ntinda'!E37+'Avg Week Ntinda-Kisaasi'!E37</f>
        <v>18.142857142857142</v>
      </c>
      <c r="F37" s="49">
        <f>'Avg Week Kisaasi-Ntinda'!F37+'Avg Week Ntinda-Kisaasi'!F37</f>
        <v>23.285714285714285</v>
      </c>
      <c r="G37" s="49">
        <f>'Avg Week Kisaasi-Ntinda'!G37+'Avg Week Ntinda-Kisaasi'!G37</f>
        <v>0.5714285714285714</v>
      </c>
      <c r="H37" s="49">
        <f>'Avg Week Kisaasi-Ntinda'!H37+'Avg Week Ntinda-Kisaasi'!H37</f>
        <v>0</v>
      </c>
      <c r="I37" s="49">
        <f>'Avg Week Kisaasi-Ntinda'!I37+'Avg Week Ntinda-Kisaasi'!I37</f>
        <v>6.7142857142857153</v>
      </c>
      <c r="J37" s="49">
        <f>'Avg Week Kisaasi-Ntinda'!J37+'Avg Week Ntinda-Kisaasi'!J37</f>
        <v>4.7142857142857144</v>
      </c>
      <c r="K37" s="49">
        <f>'Avg Week Kisaasi-Ntinda'!K37+'Avg Week Ntinda-Kisaasi'!K37</f>
        <v>1</v>
      </c>
      <c r="L37" s="49">
        <f>'Avg Week Kisaasi-Ntinda'!L37+'Avg Week Ntinda-Kisaasi'!L37</f>
        <v>3.4285714285714288</v>
      </c>
      <c r="M37" s="49">
        <f>'Avg Week Kisaasi-Ntinda'!M37+'Avg Week Ntinda-Kisaasi'!M37</f>
        <v>164.57142857142856</v>
      </c>
      <c r="N37" s="49">
        <f>'Avg Week Kisaasi-Ntinda'!N37+'Avg Week Ntinda-Kisaasi'!N37</f>
        <v>0</v>
      </c>
      <c r="O37" s="15">
        <f t="shared" si="0"/>
        <v>169.28571428571431</v>
      </c>
      <c r="P37" s="15">
        <f t="shared" si="1"/>
        <v>333.85714285714289</v>
      </c>
      <c r="R37" s="37" t="s">
        <v>85</v>
      </c>
      <c r="S37" s="35">
        <f t="shared" ref="S37:AF37" si="29">SUM(S10:S12)</f>
        <v>1023.2857142857142</v>
      </c>
      <c r="T37" s="16">
        <f t="shared" si="29"/>
        <v>594.28571428571422</v>
      </c>
      <c r="U37" s="16">
        <f t="shared" si="29"/>
        <v>183.85714285714283</v>
      </c>
      <c r="V37" s="16">
        <f t="shared" si="29"/>
        <v>422.85714285714283</v>
      </c>
      <c r="W37" s="16">
        <f t="shared" si="29"/>
        <v>6.2857142857142856</v>
      </c>
      <c r="X37" s="16">
        <f t="shared" si="29"/>
        <v>0.7142857142857143</v>
      </c>
      <c r="Y37" s="16">
        <f t="shared" si="29"/>
        <v>76</v>
      </c>
      <c r="Z37" s="16">
        <f t="shared" si="29"/>
        <v>29.142857142857142</v>
      </c>
      <c r="AA37" s="16">
        <f t="shared" si="29"/>
        <v>9.5714285714285712</v>
      </c>
      <c r="AB37" s="16">
        <f t="shared" si="29"/>
        <v>20.142857142857142</v>
      </c>
      <c r="AC37" s="16">
        <f t="shared" si="29"/>
        <v>2620</v>
      </c>
      <c r="AD37" s="16">
        <f t="shared" si="29"/>
        <v>0.14285714285714285</v>
      </c>
      <c r="AE37" s="32">
        <f t="shared" si="29"/>
        <v>2366.2857142857142</v>
      </c>
      <c r="AF37" s="32">
        <f t="shared" si="29"/>
        <v>4986.2857142857138</v>
      </c>
    </row>
    <row r="38" spans="2:32" ht="23.1" customHeight="1" x14ac:dyDescent="0.25">
      <c r="B38" s="24" t="s">
        <v>65</v>
      </c>
      <c r="C38" s="49">
        <f>'Avg Week Kisaasi-Ntinda'!C38+'Avg Week Ntinda-Kisaasi'!C38</f>
        <v>75.142857142857139</v>
      </c>
      <c r="D38" s="49">
        <f>'Avg Week Kisaasi-Ntinda'!D38+'Avg Week Ntinda-Kisaasi'!D38</f>
        <v>48.571428571428569</v>
      </c>
      <c r="E38" s="49">
        <f>'Avg Week Kisaasi-Ntinda'!E38+'Avg Week Ntinda-Kisaasi'!E38</f>
        <v>14.857142857142858</v>
      </c>
      <c r="F38" s="49">
        <f>'Avg Week Kisaasi-Ntinda'!F38+'Avg Week Ntinda-Kisaasi'!F38</f>
        <v>26.857142857142858</v>
      </c>
      <c r="G38" s="49">
        <f>'Avg Week Kisaasi-Ntinda'!G38+'Avg Week Ntinda-Kisaasi'!G38</f>
        <v>0.2857142857142857</v>
      </c>
      <c r="H38" s="49">
        <f>'Avg Week Kisaasi-Ntinda'!H38+'Avg Week Ntinda-Kisaasi'!H38</f>
        <v>0.14285714285714285</v>
      </c>
      <c r="I38" s="49">
        <f>'Avg Week Kisaasi-Ntinda'!I38+'Avg Week Ntinda-Kisaasi'!I38</f>
        <v>8.6428571428571423</v>
      </c>
      <c r="J38" s="49">
        <f>'Avg Week Kisaasi-Ntinda'!J38+'Avg Week Ntinda-Kisaasi'!J38</f>
        <v>5.5714285714285712</v>
      </c>
      <c r="K38" s="49">
        <f>'Avg Week Kisaasi-Ntinda'!K38+'Avg Week Ntinda-Kisaasi'!K38</f>
        <v>1.4285714285714286</v>
      </c>
      <c r="L38" s="49">
        <f>'Avg Week Kisaasi-Ntinda'!L38+'Avg Week Ntinda-Kisaasi'!L38</f>
        <v>2.2857142857142856</v>
      </c>
      <c r="M38" s="49">
        <f>'Avg Week Kisaasi-Ntinda'!M38+'Avg Week Ntinda-Kisaasi'!M38</f>
        <v>169</v>
      </c>
      <c r="N38" s="49">
        <f>'Avg Week Kisaasi-Ntinda'!N38+'Avg Week Ntinda-Kisaasi'!N38</f>
        <v>0</v>
      </c>
      <c r="O38" s="15">
        <f t="shared" si="0"/>
        <v>183.78571428571425</v>
      </c>
      <c r="P38" s="15">
        <f t="shared" si="1"/>
        <v>352.78571428571422</v>
      </c>
      <c r="R38" s="28" t="s">
        <v>86</v>
      </c>
      <c r="S38" s="16">
        <f t="shared" ref="S38:AF38" si="30">SUM(S13:S18)</f>
        <v>1764.1428571428571</v>
      </c>
      <c r="T38" s="16">
        <f t="shared" si="30"/>
        <v>1015.9999999999999</v>
      </c>
      <c r="U38" s="16">
        <f t="shared" si="30"/>
        <v>379.42857142857144</v>
      </c>
      <c r="V38" s="16">
        <f t="shared" si="30"/>
        <v>616.85714285714278</v>
      </c>
      <c r="W38" s="16">
        <f t="shared" si="30"/>
        <v>10.428571428571427</v>
      </c>
      <c r="X38" s="16">
        <f t="shared" si="30"/>
        <v>0.8571428571428571</v>
      </c>
      <c r="Y38" s="16">
        <f t="shared" si="30"/>
        <v>191.78571428571428</v>
      </c>
      <c r="Z38" s="16">
        <f t="shared" si="30"/>
        <v>93</v>
      </c>
      <c r="AA38" s="16">
        <f t="shared" si="30"/>
        <v>31</v>
      </c>
      <c r="AB38" s="16">
        <f t="shared" si="30"/>
        <v>86.714285714285708</v>
      </c>
      <c r="AC38" s="16">
        <f t="shared" si="30"/>
        <v>4155.2857142857138</v>
      </c>
      <c r="AD38" s="16">
        <f t="shared" si="30"/>
        <v>0.8571428571428571</v>
      </c>
      <c r="AE38" s="32">
        <f t="shared" si="30"/>
        <v>4191.0714285714284</v>
      </c>
      <c r="AF38" s="32">
        <f t="shared" si="30"/>
        <v>8346.3571428571413</v>
      </c>
    </row>
    <row r="39" spans="2:32" ht="23.1" customHeight="1" x14ac:dyDescent="0.25">
      <c r="B39" s="24" t="s">
        <v>66</v>
      </c>
      <c r="C39" s="49">
        <f>'Avg Week Kisaasi-Ntinda'!C39+'Avg Week Ntinda-Kisaasi'!C39</f>
        <v>71.571428571428569</v>
      </c>
      <c r="D39" s="49">
        <f>'Avg Week Kisaasi-Ntinda'!D39+'Avg Week Ntinda-Kisaasi'!D39</f>
        <v>40.428571428571431</v>
      </c>
      <c r="E39" s="49">
        <f>'Avg Week Kisaasi-Ntinda'!E39+'Avg Week Ntinda-Kisaasi'!E39</f>
        <v>16.428571428571427</v>
      </c>
      <c r="F39" s="49">
        <f>'Avg Week Kisaasi-Ntinda'!F39+'Avg Week Ntinda-Kisaasi'!F39</f>
        <v>26.428571428571431</v>
      </c>
      <c r="G39" s="49">
        <f>'Avg Week Kisaasi-Ntinda'!G39+'Avg Week Ntinda-Kisaasi'!G39</f>
        <v>1.5714285714285714</v>
      </c>
      <c r="H39" s="49">
        <f>'Avg Week Kisaasi-Ntinda'!H39+'Avg Week Ntinda-Kisaasi'!H39</f>
        <v>0</v>
      </c>
      <c r="I39" s="49">
        <f>'Avg Week Kisaasi-Ntinda'!I39+'Avg Week Ntinda-Kisaasi'!I39</f>
        <v>8.2857142857142847</v>
      </c>
      <c r="J39" s="49">
        <f>'Avg Week Kisaasi-Ntinda'!J39+'Avg Week Ntinda-Kisaasi'!J39</f>
        <v>5.2857142857142856</v>
      </c>
      <c r="K39" s="49">
        <f>'Avg Week Kisaasi-Ntinda'!K39+'Avg Week Ntinda-Kisaasi'!K39</f>
        <v>2</v>
      </c>
      <c r="L39" s="49">
        <f>'Avg Week Kisaasi-Ntinda'!L39+'Avg Week Ntinda-Kisaasi'!L39</f>
        <v>2.4285714285714288</v>
      </c>
      <c r="M39" s="49">
        <f>'Avg Week Kisaasi-Ntinda'!M39+'Avg Week Ntinda-Kisaasi'!M39</f>
        <v>162.28571428571428</v>
      </c>
      <c r="N39" s="49">
        <f>'Avg Week Kisaasi-Ntinda'!N39+'Avg Week Ntinda-Kisaasi'!N39</f>
        <v>0</v>
      </c>
      <c r="O39" s="15">
        <f t="shared" si="0"/>
        <v>174.42857142857139</v>
      </c>
      <c r="P39" s="15">
        <f t="shared" si="1"/>
        <v>336.71428571428567</v>
      </c>
      <c r="R39" s="29" t="s">
        <v>87</v>
      </c>
      <c r="S39" s="16">
        <f t="shared" ref="S39:AF39" si="31">SUM(S19:S21)</f>
        <v>1179.1428571428569</v>
      </c>
      <c r="T39" s="16">
        <f t="shared" si="31"/>
        <v>598.85714285714289</v>
      </c>
      <c r="U39" s="16">
        <f t="shared" si="31"/>
        <v>219.42857142857142</v>
      </c>
      <c r="V39" s="16">
        <f t="shared" si="31"/>
        <v>319.42857142857144</v>
      </c>
      <c r="W39" s="16">
        <f t="shared" si="31"/>
        <v>6.5714285714285712</v>
      </c>
      <c r="X39" s="16">
        <f t="shared" si="31"/>
        <v>0.14285714285714285</v>
      </c>
      <c r="Y39" s="16">
        <f t="shared" si="31"/>
        <v>73.714285714285722</v>
      </c>
      <c r="Z39" s="16">
        <f t="shared" si="31"/>
        <v>40.142857142857139</v>
      </c>
      <c r="AA39" s="16">
        <f t="shared" si="31"/>
        <v>18.428571428571427</v>
      </c>
      <c r="AB39" s="16">
        <f t="shared" si="31"/>
        <v>35</v>
      </c>
      <c r="AC39" s="16">
        <f t="shared" si="31"/>
        <v>2117.1428571428569</v>
      </c>
      <c r="AD39" s="16">
        <f t="shared" si="31"/>
        <v>0.42857142857142855</v>
      </c>
      <c r="AE39" s="32">
        <f t="shared" si="31"/>
        <v>2491.2857142857142</v>
      </c>
      <c r="AF39" s="32">
        <f t="shared" si="31"/>
        <v>4608.4285714285716</v>
      </c>
    </row>
    <row r="40" spans="2:32" ht="23.1" customHeight="1" x14ac:dyDescent="0.25">
      <c r="B40" s="24" t="s">
        <v>67</v>
      </c>
      <c r="C40" s="49">
        <f>'Avg Week Kisaasi-Ntinda'!C40+'Avg Week Ntinda-Kisaasi'!C40</f>
        <v>85.142857142857139</v>
      </c>
      <c r="D40" s="49">
        <f>'Avg Week Kisaasi-Ntinda'!D40+'Avg Week Ntinda-Kisaasi'!D40</f>
        <v>47.142857142857146</v>
      </c>
      <c r="E40" s="49">
        <f>'Avg Week Kisaasi-Ntinda'!E40+'Avg Week Ntinda-Kisaasi'!E40</f>
        <v>15.571428571428573</v>
      </c>
      <c r="F40" s="49">
        <f>'Avg Week Kisaasi-Ntinda'!F40+'Avg Week Ntinda-Kisaasi'!F40</f>
        <v>23.428571428571431</v>
      </c>
      <c r="G40" s="49">
        <f>'Avg Week Kisaasi-Ntinda'!G40+'Avg Week Ntinda-Kisaasi'!G40</f>
        <v>1.4285714285714286</v>
      </c>
      <c r="H40" s="49">
        <f>'Avg Week Kisaasi-Ntinda'!H40+'Avg Week Ntinda-Kisaasi'!H40</f>
        <v>0</v>
      </c>
      <c r="I40" s="49">
        <f>'Avg Week Kisaasi-Ntinda'!I40+'Avg Week Ntinda-Kisaasi'!I40</f>
        <v>7.5714285714285712</v>
      </c>
      <c r="J40" s="49">
        <f>'Avg Week Kisaasi-Ntinda'!J40+'Avg Week Ntinda-Kisaasi'!J40</f>
        <v>3.8571428571428568</v>
      </c>
      <c r="K40" s="49">
        <f>'Avg Week Kisaasi-Ntinda'!K40+'Avg Week Ntinda-Kisaasi'!K40</f>
        <v>1.7142857142857142</v>
      </c>
      <c r="L40" s="49">
        <f>'Avg Week Kisaasi-Ntinda'!L40+'Avg Week Ntinda-Kisaasi'!L40</f>
        <v>3.8571428571428568</v>
      </c>
      <c r="M40" s="49">
        <f>'Avg Week Kisaasi-Ntinda'!M40+'Avg Week Ntinda-Kisaasi'!M40</f>
        <v>166</v>
      </c>
      <c r="N40" s="49">
        <f>'Avg Week Kisaasi-Ntinda'!N40+'Avg Week Ntinda-Kisaasi'!N40</f>
        <v>0</v>
      </c>
      <c r="O40" s="15">
        <f t="shared" si="0"/>
        <v>189.71428571428572</v>
      </c>
      <c r="P40" s="15">
        <f t="shared" si="1"/>
        <v>355.71428571428572</v>
      </c>
      <c r="R40" s="5" t="s">
        <v>17</v>
      </c>
      <c r="S40" s="16">
        <f t="shared" ref="S40:AF40" si="32">SUM(S10:S21)</f>
        <v>3966.5714285714284</v>
      </c>
      <c r="T40" s="16">
        <f t="shared" si="32"/>
        <v>2209.1428571428569</v>
      </c>
      <c r="U40" s="16">
        <f t="shared" si="32"/>
        <v>782.71428571428567</v>
      </c>
      <c r="V40" s="16">
        <f t="shared" si="32"/>
        <v>1359.1428571428571</v>
      </c>
      <c r="W40" s="16">
        <f t="shared" si="32"/>
        <v>23.285714285714285</v>
      </c>
      <c r="X40" s="16">
        <f t="shared" si="32"/>
        <v>1.714285714285714</v>
      </c>
      <c r="Y40" s="16">
        <f t="shared" si="32"/>
        <v>341.49999999999994</v>
      </c>
      <c r="Z40" s="16">
        <f t="shared" si="32"/>
        <v>162.28571428571428</v>
      </c>
      <c r="AA40" s="16">
        <f t="shared" si="32"/>
        <v>59</v>
      </c>
      <c r="AB40" s="16">
        <f t="shared" si="32"/>
        <v>141.85714285714286</v>
      </c>
      <c r="AC40" s="16">
        <f t="shared" si="32"/>
        <v>8892.4285714285706</v>
      </c>
      <c r="AD40" s="16">
        <f t="shared" si="32"/>
        <v>1.4285714285714284</v>
      </c>
      <c r="AE40" s="32">
        <f t="shared" si="32"/>
        <v>9048.6428571428569</v>
      </c>
      <c r="AF40" s="32">
        <f t="shared" si="32"/>
        <v>17941.071428571428</v>
      </c>
    </row>
    <row r="41" spans="2:32" ht="23.1" customHeight="1" x14ac:dyDescent="0.25">
      <c r="B41" s="23" t="s">
        <v>68</v>
      </c>
      <c r="C41" s="49">
        <f>'Avg Week Kisaasi-Ntinda'!C41+'Avg Week Ntinda-Kisaasi'!C41</f>
        <v>81.857142857142861</v>
      </c>
      <c r="D41" s="49">
        <f>'Avg Week Kisaasi-Ntinda'!D41+'Avg Week Ntinda-Kisaasi'!D41</f>
        <v>43.571428571428569</v>
      </c>
      <c r="E41" s="49">
        <f>'Avg Week Kisaasi-Ntinda'!E41+'Avg Week Ntinda-Kisaasi'!E41</f>
        <v>13.571428571428573</v>
      </c>
      <c r="F41" s="49">
        <f>'Avg Week Kisaasi-Ntinda'!F41+'Avg Week Ntinda-Kisaasi'!F41</f>
        <v>21.857142857142854</v>
      </c>
      <c r="G41" s="49">
        <f>'Avg Week Kisaasi-Ntinda'!G41+'Avg Week Ntinda-Kisaasi'!G41</f>
        <v>0.71428571428571419</v>
      </c>
      <c r="H41" s="49">
        <f>'Avg Week Kisaasi-Ntinda'!H41+'Avg Week Ntinda-Kisaasi'!H41</f>
        <v>0</v>
      </c>
      <c r="I41" s="49">
        <f>'Avg Week Kisaasi-Ntinda'!I41+'Avg Week Ntinda-Kisaasi'!I41</f>
        <v>7.8571428571428577</v>
      </c>
      <c r="J41" s="49">
        <f>'Avg Week Kisaasi-Ntinda'!J41+'Avg Week Ntinda-Kisaasi'!J41</f>
        <v>4.1428571428571432</v>
      </c>
      <c r="K41" s="49">
        <f>'Avg Week Kisaasi-Ntinda'!K41+'Avg Week Ntinda-Kisaasi'!K41</f>
        <v>1.1428571428571428</v>
      </c>
      <c r="L41" s="49">
        <f>'Avg Week Kisaasi-Ntinda'!L41+'Avg Week Ntinda-Kisaasi'!L41</f>
        <v>3.4285714285714288</v>
      </c>
      <c r="M41" s="49">
        <f>'Avg Week Kisaasi-Ntinda'!M41+'Avg Week Ntinda-Kisaasi'!M41</f>
        <v>156.28571428571428</v>
      </c>
      <c r="N41" s="49">
        <f>'Avg Week Kisaasi-Ntinda'!N41+'Avg Week Ntinda-Kisaasi'!N41</f>
        <v>0</v>
      </c>
      <c r="O41" s="15">
        <f t="shared" si="0"/>
        <v>178.14285714285714</v>
      </c>
      <c r="P41" s="15">
        <f t="shared" si="1"/>
        <v>334.42857142857144</v>
      </c>
      <c r="R41" s="5" t="s">
        <v>186</v>
      </c>
      <c r="S41" s="54">
        <f>SUM(S10:S33)</f>
        <v>7495.6404577233752</v>
      </c>
      <c r="T41" s="54">
        <f t="shared" ref="T41:AD41" si="33">SUM(T10:T33)</f>
        <v>3049.658410949703</v>
      </c>
      <c r="U41" s="54">
        <f t="shared" si="33"/>
        <v>986.0993447791451</v>
      </c>
      <c r="V41" s="54">
        <f t="shared" si="33"/>
        <v>1800.1859870167709</v>
      </c>
      <c r="W41" s="54">
        <f t="shared" si="33"/>
        <v>28.291085230576858</v>
      </c>
      <c r="X41" s="54">
        <f t="shared" si="33"/>
        <v>2.2147680905205327</v>
      </c>
      <c r="Y41" s="54">
        <f t="shared" si="33"/>
        <v>437.29437609716831</v>
      </c>
      <c r="Z41" s="54">
        <f t="shared" si="33"/>
        <v>216.96720344986565</v>
      </c>
      <c r="AA41" s="54">
        <f t="shared" si="33"/>
        <v>83.156121106336343</v>
      </c>
      <c r="AB41" s="54">
        <f t="shared" si="33"/>
        <v>170.46154793726549</v>
      </c>
      <c r="AC41" s="54">
        <f t="shared" si="33"/>
        <v>12576.76755851847</v>
      </c>
      <c r="AD41" s="54">
        <f t="shared" si="33"/>
        <v>1.4289989732603918</v>
      </c>
      <c r="AE41" s="55">
        <f>SUM(AE10:AE33)</f>
        <v>14271.398301353989</v>
      </c>
      <c r="AF41" s="55">
        <f>SUM(AF10:AF33)</f>
        <v>26848.165859872457</v>
      </c>
    </row>
    <row r="42" spans="2:32" ht="23.1" customHeight="1" x14ac:dyDescent="0.25">
      <c r="B42" s="24" t="s">
        <v>69</v>
      </c>
      <c r="C42" s="49">
        <f>'Avg Week Kisaasi-Ntinda'!C42+'Avg Week Ntinda-Kisaasi'!C42</f>
        <v>80</v>
      </c>
      <c r="D42" s="49">
        <f>'Avg Week Kisaasi-Ntinda'!D42+'Avg Week Ntinda-Kisaasi'!D42</f>
        <v>39.571428571428569</v>
      </c>
      <c r="E42" s="49">
        <f>'Avg Week Kisaasi-Ntinda'!E42+'Avg Week Ntinda-Kisaasi'!E42</f>
        <v>14</v>
      </c>
      <c r="F42" s="49">
        <f>'Avg Week Kisaasi-Ntinda'!F42+'Avg Week Ntinda-Kisaasi'!F42</f>
        <v>22.285714285714285</v>
      </c>
      <c r="G42" s="49">
        <f>'Avg Week Kisaasi-Ntinda'!G42+'Avg Week Ntinda-Kisaasi'!G42</f>
        <v>0.14285714285714285</v>
      </c>
      <c r="H42" s="49">
        <f>'Avg Week Kisaasi-Ntinda'!H42+'Avg Week Ntinda-Kisaasi'!H42</f>
        <v>0</v>
      </c>
      <c r="I42" s="49">
        <f>'Avg Week Kisaasi-Ntinda'!I42+'Avg Week Ntinda-Kisaasi'!I42</f>
        <v>7.4285714285714288</v>
      </c>
      <c r="J42" s="49">
        <f>'Avg Week Kisaasi-Ntinda'!J42+'Avg Week Ntinda-Kisaasi'!J42</f>
        <v>2.5714285714285712</v>
      </c>
      <c r="K42" s="49">
        <f>'Avg Week Kisaasi-Ntinda'!K42+'Avg Week Ntinda-Kisaasi'!K42</f>
        <v>1.1428571428571428</v>
      </c>
      <c r="L42" s="49">
        <f>'Avg Week Kisaasi-Ntinda'!L42+'Avg Week Ntinda-Kisaasi'!L42</f>
        <v>4.1428571428571423</v>
      </c>
      <c r="M42" s="49">
        <f>'Avg Week Kisaasi-Ntinda'!M42+'Avg Week Ntinda-Kisaasi'!M42</f>
        <v>161.57142857142856</v>
      </c>
      <c r="N42" s="49">
        <f>'Avg Week Kisaasi-Ntinda'!N42+'Avg Week Ntinda-Kisaasi'!N42</f>
        <v>0</v>
      </c>
      <c r="O42" s="15">
        <f t="shared" si="0"/>
        <v>171.28571428571425</v>
      </c>
      <c r="P42" s="15">
        <f t="shared" si="1"/>
        <v>332.85714285714278</v>
      </c>
      <c r="R42" s="5" t="s">
        <v>160</v>
      </c>
      <c r="S42" s="48">
        <f>S41/S40</f>
        <v>1.8897026292610972</v>
      </c>
      <c r="T42" s="48">
        <f t="shared" ref="T42:AF42" si="34">T41/T40</f>
        <v>1.3804713448427266</v>
      </c>
      <c r="U42" s="48">
        <f t="shared" si="34"/>
        <v>1.2598458502380026</v>
      </c>
      <c r="V42" s="48">
        <f t="shared" si="34"/>
        <v>1.3245009364218412</v>
      </c>
      <c r="W42" s="48">
        <f t="shared" si="34"/>
        <v>1.214954580454221</v>
      </c>
      <c r="X42" s="48">
        <f t="shared" si="34"/>
        <v>1.2919480528036442</v>
      </c>
      <c r="Y42" s="48">
        <f t="shared" si="34"/>
        <v>1.2805106181469059</v>
      </c>
      <c r="Z42" s="48">
        <f t="shared" si="34"/>
        <v>1.3369457959058624</v>
      </c>
      <c r="AA42" s="48">
        <f t="shared" si="34"/>
        <v>1.4094257814633278</v>
      </c>
      <c r="AB42" s="48">
        <f t="shared" si="34"/>
        <v>1.2016423318840468</v>
      </c>
      <c r="AC42" s="48">
        <f t="shared" si="34"/>
        <v>1.4143231466517148</v>
      </c>
      <c r="AD42" s="48">
        <f t="shared" si="34"/>
        <v>1.0002992812822744</v>
      </c>
      <c r="AE42" s="53">
        <f t="shared" si="34"/>
        <v>1.5771866042970599</v>
      </c>
      <c r="AF42" s="53">
        <f t="shared" si="34"/>
        <v>1.4964639077862623</v>
      </c>
    </row>
    <row r="43" spans="2:32" ht="23.1" customHeight="1" x14ac:dyDescent="0.25">
      <c r="B43" s="23" t="s">
        <v>70</v>
      </c>
      <c r="C43" s="49">
        <f>'Avg Week Kisaasi-Ntinda'!C43+'Avg Week Ntinda-Kisaasi'!C43</f>
        <v>75.285714285714278</v>
      </c>
      <c r="D43" s="49">
        <f>'Avg Week Kisaasi-Ntinda'!D43+'Avg Week Ntinda-Kisaasi'!D43</f>
        <v>39.285714285714285</v>
      </c>
      <c r="E43" s="49">
        <f>'Avg Week Kisaasi-Ntinda'!E43+'Avg Week Ntinda-Kisaasi'!E43</f>
        <v>12.714285714285715</v>
      </c>
      <c r="F43" s="49">
        <f>'Avg Week Kisaasi-Ntinda'!F43+'Avg Week Ntinda-Kisaasi'!F43</f>
        <v>19.142857142857142</v>
      </c>
      <c r="G43" s="49">
        <f>'Avg Week Kisaasi-Ntinda'!G43+'Avg Week Ntinda-Kisaasi'!G43</f>
        <v>0.5714285714285714</v>
      </c>
      <c r="H43" s="49">
        <f>'Avg Week Kisaasi-Ntinda'!H43+'Avg Week Ntinda-Kisaasi'!H43</f>
        <v>0</v>
      </c>
      <c r="I43" s="49">
        <f>'Avg Week Kisaasi-Ntinda'!I43+'Avg Week Ntinda-Kisaasi'!I43</f>
        <v>7</v>
      </c>
      <c r="J43" s="49">
        <f>'Avg Week Kisaasi-Ntinda'!J43+'Avg Week Ntinda-Kisaasi'!J43</f>
        <v>4.2857142857142856</v>
      </c>
      <c r="K43" s="49">
        <f>'Avg Week Kisaasi-Ntinda'!K43+'Avg Week Ntinda-Kisaasi'!K43</f>
        <v>1</v>
      </c>
      <c r="L43" s="49">
        <f>'Avg Week Kisaasi-Ntinda'!L43+'Avg Week Ntinda-Kisaasi'!L43</f>
        <v>2.4285714285714288</v>
      </c>
      <c r="M43" s="49">
        <f>'Avg Week Kisaasi-Ntinda'!M43+'Avg Week Ntinda-Kisaasi'!M43</f>
        <v>167</v>
      </c>
      <c r="N43" s="49">
        <f>'Avg Week Kisaasi-Ntinda'!N43+'Avg Week Ntinda-Kisaasi'!N43</f>
        <v>0</v>
      </c>
      <c r="O43" s="15">
        <f t="shared" si="0"/>
        <v>161.71428571428569</v>
      </c>
      <c r="P43" s="15">
        <f t="shared" si="1"/>
        <v>328.71428571428567</v>
      </c>
    </row>
    <row r="44" spans="2:32" ht="23.1" customHeight="1" x14ac:dyDescent="0.25">
      <c r="B44" s="25" t="s">
        <v>71</v>
      </c>
      <c r="C44" s="49">
        <f>'Avg Week Kisaasi-Ntinda'!C44+'Avg Week Ntinda-Kisaasi'!C44</f>
        <v>83.142857142857139</v>
      </c>
      <c r="D44" s="49">
        <f>'Avg Week Kisaasi-Ntinda'!D44+'Avg Week Ntinda-Kisaasi'!D44</f>
        <v>43.428571428571431</v>
      </c>
      <c r="E44" s="49">
        <f>'Avg Week Kisaasi-Ntinda'!E44+'Avg Week Ntinda-Kisaasi'!E44</f>
        <v>18.285714285714285</v>
      </c>
      <c r="F44" s="49">
        <f>'Avg Week Kisaasi-Ntinda'!F44+'Avg Week Ntinda-Kisaasi'!F44</f>
        <v>23.142857142857146</v>
      </c>
      <c r="G44" s="49">
        <f>'Avg Week Kisaasi-Ntinda'!G44+'Avg Week Ntinda-Kisaasi'!G44</f>
        <v>1.1428571428571428</v>
      </c>
      <c r="H44" s="49">
        <f>'Avg Week Kisaasi-Ntinda'!H44+'Avg Week Ntinda-Kisaasi'!H44</f>
        <v>0.14285714285714285</v>
      </c>
      <c r="I44" s="49">
        <f>'Avg Week Kisaasi-Ntinda'!I44+'Avg Week Ntinda-Kisaasi'!I44</f>
        <v>7.4285714285714288</v>
      </c>
      <c r="J44" s="49">
        <f>'Avg Week Kisaasi-Ntinda'!J44+'Avg Week Ntinda-Kisaasi'!J44</f>
        <v>3.285714285714286</v>
      </c>
      <c r="K44" s="49">
        <f>'Avg Week Kisaasi-Ntinda'!K44+'Avg Week Ntinda-Kisaasi'!K44</f>
        <v>1.5714285714285714</v>
      </c>
      <c r="L44" s="49">
        <f>'Avg Week Kisaasi-Ntinda'!L44+'Avg Week Ntinda-Kisaasi'!L44</f>
        <v>3.5714285714285712</v>
      </c>
      <c r="M44" s="49">
        <f>'Avg Week Kisaasi-Ntinda'!M44+'Avg Week Ntinda-Kisaasi'!M44</f>
        <v>152.57142857142856</v>
      </c>
      <c r="N44" s="49">
        <f>'Avg Week Kisaasi-Ntinda'!N44+'Avg Week Ntinda-Kisaasi'!N44</f>
        <v>0.14285714285714285</v>
      </c>
      <c r="O44" s="15">
        <f t="shared" si="0"/>
        <v>185.28571428571428</v>
      </c>
      <c r="P44" s="15">
        <f t="shared" si="1"/>
        <v>337.85714285714283</v>
      </c>
    </row>
    <row r="45" spans="2:32" ht="23.1" customHeight="1" x14ac:dyDescent="0.25">
      <c r="B45" s="23" t="s">
        <v>72</v>
      </c>
      <c r="C45" s="49">
        <f>'Avg Week Kisaasi-Ntinda'!C45+'Avg Week Ntinda-Kisaasi'!C45</f>
        <v>77.428571428571431</v>
      </c>
      <c r="D45" s="49">
        <f>'Avg Week Kisaasi-Ntinda'!D45+'Avg Week Ntinda-Kisaasi'!D45</f>
        <v>41.142857142857139</v>
      </c>
      <c r="E45" s="49">
        <f>'Avg Week Kisaasi-Ntinda'!E45+'Avg Week Ntinda-Kisaasi'!E45</f>
        <v>16.142857142857142</v>
      </c>
      <c r="F45" s="49">
        <f>'Avg Week Kisaasi-Ntinda'!F45+'Avg Week Ntinda-Kisaasi'!F45</f>
        <v>20.571428571428569</v>
      </c>
      <c r="G45" s="49">
        <f>'Avg Week Kisaasi-Ntinda'!G45+'Avg Week Ntinda-Kisaasi'!G45</f>
        <v>0.42857142857142855</v>
      </c>
      <c r="H45" s="49">
        <f>'Avg Week Kisaasi-Ntinda'!H45+'Avg Week Ntinda-Kisaasi'!H45</f>
        <v>0.14285714285714285</v>
      </c>
      <c r="I45" s="49">
        <f>'Avg Week Kisaasi-Ntinda'!I45+'Avg Week Ntinda-Kisaasi'!I45</f>
        <v>6.2857142857142865</v>
      </c>
      <c r="J45" s="49">
        <f>'Avg Week Kisaasi-Ntinda'!J45+'Avg Week Ntinda-Kisaasi'!J45</f>
        <v>3.8571428571428568</v>
      </c>
      <c r="K45" s="49">
        <f>'Avg Week Kisaasi-Ntinda'!K45+'Avg Week Ntinda-Kisaasi'!K45</f>
        <v>0.8571428571428571</v>
      </c>
      <c r="L45" s="49">
        <f>'Avg Week Kisaasi-Ntinda'!L45+'Avg Week Ntinda-Kisaasi'!L45</f>
        <v>3.2857142857142856</v>
      </c>
      <c r="M45" s="49">
        <f>'Avg Week Kisaasi-Ntinda'!M45+'Avg Week Ntinda-Kisaasi'!M45</f>
        <v>147.85714285714283</v>
      </c>
      <c r="N45" s="49">
        <f>'Avg Week Kisaasi-Ntinda'!N45+'Avg Week Ntinda-Kisaasi'!N45</f>
        <v>0.14285714285714285</v>
      </c>
      <c r="O45" s="15">
        <f t="shared" si="0"/>
        <v>170.28571428571425</v>
      </c>
      <c r="P45" s="15">
        <f t="shared" si="1"/>
        <v>318.14285714285711</v>
      </c>
    </row>
    <row r="46" spans="2:32" ht="23.1" customHeight="1" x14ac:dyDescent="0.25">
      <c r="B46" s="24" t="s">
        <v>73</v>
      </c>
      <c r="C46" s="49">
        <f>'Avg Week Kisaasi-Ntinda'!C46+'Avg Week Ntinda-Kisaasi'!C46</f>
        <v>96.428571428571416</v>
      </c>
      <c r="D46" s="49">
        <f>'Avg Week Kisaasi-Ntinda'!D46+'Avg Week Ntinda-Kisaasi'!D46</f>
        <v>46.571428571428569</v>
      </c>
      <c r="E46" s="49">
        <f>'Avg Week Kisaasi-Ntinda'!E46+'Avg Week Ntinda-Kisaasi'!E46</f>
        <v>19.142857142857142</v>
      </c>
      <c r="F46" s="49">
        <f>'Avg Week Kisaasi-Ntinda'!F46+'Avg Week Ntinda-Kisaasi'!F46</f>
        <v>25.714285714285715</v>
      </c>
      <c r="G46" s="49">
        <f>'Avg Week Kisaasi-Ntinda'!G46+'Avg Week Ntinda-Kisaasi'!G46</f>
        <v>0.5714285714285714</v>
      </c>
      <c r="H46" s="49">
        <f>'Avg Week Kisaasi-Ntinda'!H46+'Avg Week Ntinda-Kisaasi'!H46</f>
        <v>0</v>
      </c>
      <c r="I46" s="49">
        <f>'Avg Week Kisaasi-Ntinda'!I46+'Avg Week Ntinda-Kisaasi'!I46</f>
        <v>9.1428571428571423</v>
      </c>
      <c r="J46" s="49">
        <f>'Avg Week Kisaasi-Ntinda'!J46+'Avg Week Ntinda-Kisaasi'!J46</f>
        <v>4.1428571428571423</v>
      </c>
      <c r="K46" s="49">
        <f>'Avg Week Kisaasi-Ntinda'!K46+'Avg Week Ntinda-Kisaasi'!K46</f>
        <v>2.4285714285714288</v>
      </c>
      <c r="L46" s="49">
        <f>'Avg Week Kisaasi-Ntinda'!L46+'Avg Week Ntinda-Kisaasi'!L46</f>
        <v>2.8571428571428568</v>
      </c>
      <c r="M46" s="49">
        <f>'Avg Week Kisaasi-Ntinda'!M46+'Avg Week Ntinda-Kisaasi'!M46</f>
        <v>173.71428571428572</v>
      </c>
      <c r="N46" s="49">
        <f>'Avg Week Kisaasi-Ntinda'!N46+'Avg Week Ntinda-Kisaasi'!N46</f>
        <v>0</v>
      </c>
      <c r="O46" s="15">
        <f t="shared" si="0"/>
        <v>207</v>
      </c>
      <c r="P46" s="15">
        <f t="shared" si="1"/>
        <v>380.71428571428572</v>
      </c>
      <c r="R46" s="8"/>
      <c r="T46"/>
    </row>
    <row r="47" spans="2:32" ht="23.1" customHeight="1" x14ac:dyDescent="0.25">
      <c r="B47" s="24" t="s">
        <v>74</v>
      </c>
      <c r="C47" s="49">
        <f>'Avg Week Kisaasi-Ntinda'!C47+'Avg Week Ntinda-Kisaasi'!C47</f>
        <v>91.142857142857139</v>
      </c>
      <c r="D47" s="49">
        <f>'Avg Week Kisaasi-Ntinda'!D47+'Avg Week Ntinda-Kisaasi'!D47</f>
        <v>51.714285714285708</v>
      </c>
      <c r="E47" s="49">
        <f>'Avg Week Kisaasi-Ntinda'!E47+'Avg Week Ntinda-Kisaasi'!E47</f>
        <v>14.142857142857142</v>
      </c>
      <c r="F47" s="49">
        <f>'Avg Week Kisaasi-Ntinda'!F47+'Avg Week Ntinda-Kisaasi'!F47</f>
        <v>26.857142857142858</v>
      </c>
      <c r="G47" s="49">
        <f>'Avg Week Kisaasi-Ntinda'!G47+'Avg Week Ntinda-Kisaasi'!G47</f>
        <v>0.2857142857142857</v>
      </c>
      <c r="H47" s="49">
        <f>'Avg Week Kisaasi-Ntinda'!H47+'Avg Week Ntinda-Kisaasi'!H47</f>
        <v>0</v>
      </c>
      <c r="I47" s="49">
        <f>'Avg Week Kisaasi-Ntinda'!I47+'Avg Week Ntinda-Kisaasi'!I47</f>
        <v>5.5714285714285721</v>
      </c>
      <c r="J47" s="49">
        <f>'Avg Week Kisaasi-Ntinda'!J47+'Avg Week Ntinda-Kisaasi'!J47</f>
        <v>2.4285714285714288</v>
      </c>
      <c r="K47" s="49">
        <f>'Avg Week Kisaasi-Ntinda'!K47+'Avg Week Ntinda-Kisaasi'!K47</f>
        <v>1</v>
      </c>
      <c r="L47" s="49">
        <f>'Avg Week Kisaasi-Ntinda'!L47+'Avg Week Ntinda-Kisaasi'!L47</f>
        <v>3</v>
      </c>
      <c r="M47" s="49">
        <f>'Avg Week Kisaasi-Ntinda'!M47+'Avg Week Ntinda-Kisaasi'!M47</f>
        <v>173.14285714285714</v>
      </c>
      <c r="N47" s="49">
        <f>'Avg Week Kisaasi-Ntinda'!N47+'Avg Week Ntinda-Kisaasi'!N47</f>
        <v>0</v>
      </c>
      <c r="O47" s="15">
        <f t="shared" si="0"/>
        <v>196.14285714285711</v>
      </c>
      <c r="P47" s="15">
        <f t="shared" si="1"/>
        <v>369.28571428571422</v>
      </c>
      <c r="R47" s="8"/>
      <c r="T47"/>
    </row>
    <row r="48" spans="2:32" ht="23.1" customHeight="1" x14ac:dyDescent="0.25">
      <c r="B48" s="24" t="s">
        <v>75</v>
      </c>
      <c r="C48" s="49">
        <f>'Avg Week Kisaasi-Ntinda'!C48+'Avg Week Ntinda-Kisaasi'!C48</f>
        <v>94.142857142857139</v>
      </c>
      <c r="D48" s="49">
        <f>'Avg Week Kisaasi-Ntinda'!D48+'Avg Week Ntinda-Kisaasi'!D48</f>
        <v>56.285714285714285</v>
      </c>
      <c r="E48" s="49">
        <f>'Avg Week Kisaasi-Ntinda'!E48+'Avg Week Ntinda-Kisaasi'!E48</f>
        <v>16.285714285714285</v>
      </c>
      <c r="F48" s="49">
        <f>'Avg Week Kisaasi-Ntinda'!F48+'Avg Week Ntinda-Kisaasi'!F48</f>
        <v>24.571428571428569</v>
      </c>
      <c r="G48" s="49">
        <f>'Avg Week Kisaasi-Ntinda'!G48+'Avg Week Ntinda-Kisaasi'!G48</f>
        <v>0.42857142857142855</v>
      </c>
      <c r="H48" s="49">
        <f>'Avg Week Kisaasi-Ntinda'!H48+'Avg Week Ntinda-Kisaasi'!H48</f>
        <v>0</v>
      </c>
      <c r="I48" s="49">
        <f>'Avg Week Kisaasi-Ntinda'!I48+'Avg Week Ntinda-Kisaasi'!I48</f>
        <v>6</v>
      </c>
      <c r="J48" s="49">
        <f>'Avg Week Kisaasi-Ntinda'!J48+'Avg Week Ntinda-Kisaasi'!J48</f>
        <v>3.7142857142857144</v>
      </c>
      <c r="K48" s="49">
        <f>'Avg Week Kisaasi-Ntinda'!K48+'Avg Week Ntinda-Kisaasi'!K48</f>
        <v>1.8571428571428572</v>
      </c>
      <c r="L48" s="49">
        <f>'Avg Week Kisaasi-Ntinda'!L48+'Avg Week Ntinda-Kisaasi'!L48</f>
        <v>3.4285714285714288</v>
      </c>
      <c r="M48" s="49">
        <f>'Avg Week Kisaasi-Ntinda'!M48+'Avg Week Ntinda-Kisaasi'!M48</f>
        <v>165.28571428571428</v>
      </c>
      <c r="N48" s="49">
        <f>'Avg Week Kisaasi-Ntinda'!N48+'Avg Week Ntinda-Kisaasi'!N48</f>
        <v>0.14285714285714285</v>
      </c>
      <c r="O48" s="15">
        <f t="shared" si="0"/>
        <v>206.85714285714283</v>
      </c>
      <c r="P48" s="15">
        <f t="shared" si="1"/>
        <v>372.14285714285717</v>
      </c>
      <c r="R48" s="8"/>
      <c r="T48"/>
    </row>
    <row r="49" spans="2:20" ht="23.1" customHeight="1" x14ac:dyDescent="0.25">
      <c r="B49" s="23" t="s">
        <v>76</v>
      </c>
      <c r="C49" s="49">
        <f>'Avg Week Kisaasi-Ntinda'!C49+'Avg Week Ntinda-Kisaasi'!C49</f>
        <v>99.571428571428569</v>
      </c>
      <c r="D49" s="49">
        <f>'Avg Week Kisaasi-Ntinda'!D49+'Avg Week Ntinda-Kisaasi'!D49</f>
        <v>49.714285714285708</v>
      </c>
      <c r="E49" s="49">
        <f>'Avg Week Kisaasi-Ntinda'!E49+'Avg Week Ntinda-Kisaasi'!E49</f>
        <v>21.857142857142854</v>
      </c>
      <c r="F49" s="49">
        <f>'Avg Week Kisaasi-Ntinda'!F49+'Avg Week Ntinda-Kisaasi'!F49</f>
        <v>29.571428571428569</v>
      </c>
      <c r="G49" s="49">
        <f>'Avg Week Kisaasi-Ntinda'!G49+'Avg Week Ntinda-Kisaasi'!G49</f>
        <v>0.42857142857142855</v>
      </c>
      <c r="H49" s="49">
        <f>'Avg Week Kisaasi-Ntinda'!H49+'Avg Week Ntinda-Kisaasi'!H49</f>
        <v>0.14285714285714285</v>
      </c>
      <c r="I49" s="49">
        <f>'Avg Week Kisaasi-Ntinda'!I49+'Avg Week Ntinda-Kisaasi'!I49</f>
        <v>6.8571428571428577</v>
      </c>
      <c r="J49" s="49">
        <f>'Avg Week Kisaasi-Ntinda'!J49+'Avg Week Ntinda-Kisaasi'!J49</f>
        <v>4.1428571428571423</v>
      </c>
      <c r="K49" s="49">
        <f>'Avg Week Kisaasi-Ntinda'!K49+'Avg Week Ntinda-Kisaasi'!K49</f>
        <v>0.8571428571428571</v>
      </c>
      <c r="L49" s="49">
        <f>'Avg Week Kisaasi-Ntinda'!L49+'Avg Week Ntinda-Kisaasi'!L49</f>
        <v>3.8571428571428572</v>
      </c>
      <c r="M49" s="49">
        <f>'Avg Week Kisaasi-Ntinda'!M49+'Avg Week Ntinda-Kisaasi'!M49</f>
        <v>184.71428571428572</v>
      </c>
      <c r="N49" s="49">
        <f>'Avg Week Kisaasi-Ntinda'!N49+'Avg Week Ntinda-Kisaasi'!N49</f>
        <v>0.14285714285714285</v>
      </c>
      <c r="O49" s="15">
        <f t="shared" si="0"/>
        <v>217.14285714285714</v>
      </c>
      <c r="P49" s="15">
        <f t="shared" si="1"/>
        <v>401.85714285714289</v>
      </c>
      <c r="R49" s="8"/>
      <c r="T49"/>
    </row>
    <row r="50" spans="2:20" ht="23.1" customHeight="1" x14ac:dyDescent="0.25">
      <c r="B50" s="24" t="s">
        <v>77</v>
      </c>
      <c r="C50" s="49">
        <f>'Avg Week Kisaasi-Ntinda'!C50+'Avg Week Ntinda-Kisaasi'!C50</f>
        <v>124.57142857142856</v>
      </c>
      <c r="D50" s="49">
        <f>'Avg Week Kisaasi-Ntinda'!D50+'Avg Week Ntinda-Kisaasi'!D50</f>
        <v>54.571428571428569</v>
      </c>
      <c r="E50" s="49">
        <f>'Avg Week Kisaasi-Ntinda'!E50+'Avg Week Ntinda-Kisaasi'!E50</f>
        <v>15.142857142857142</v>
      </c>
      <c r="F50" s="49">
        <f>'Avg Week Kisaasi-Ntinda'!F50+'Avg Week Ntinda-Kisaasi'!F50</f>
        <v>25</v>
      </c>
      <c r="G50" s="49">
        <f>'Avg Week Kisaasi-Ntinda'!G50+'Avg Week Ntinda-Kisaasi'!G50</f>
        <v>1.1428571428571428</v>
      </c>
      <c r="H50" s="49">
        <f>'Avg Week Kisaasi-Ntinda'!H50+'Avg Week Ntinda-Kisaasi'!H50</f>
        <v>0</v>
      </c>
      <c r="I50" s="49">
        <f>'Avg Week Kisaasi-Ntinda'!I50+'Avg Week Ntinda-Kisaasi'!I50</f>
        <v>7.2857142857142847</v>
      </c>
      <c r="J50" s="49">
        <f>'Avg Week Kisaasi-Ntinda'!J50+'Avg Week Ntinda-Kisaasi'!J50</f>
        <v>3.1428571428571428</v>
      </c>
      <c r="K50" s="49">
        <f>'Avg Week Kisaasi-Ntinda'!K50+'Avg Week Ntinda-Kisaasi'!K50</f>
        <v>1.4285714285714286</v>
      </c>
      <c r="L50" s="49">
        <f>'Avg Week Kisaasi-Ntinda'!L50+'Avg Week Ntinda-Kisaasi'!L50</f>
        <v>4.2857142857142856</v>
      </c>
      <c r="M50" s="49">
        <f>'Avg Week Kisaasi-Ntinda'!M50+'Avg Week Ntinda-Kisaasi'!M50</f>
        <v>183.42857142857144</v>
      </c>
      <c r="N50" s="49">
        <f>'Avg Week Kisaasi-Ntinda'!N50+'Avg Week Ntinda-Kisaasi'!N50</f>
        <v>0.14285714285714285</v>
      </c>
      <c r="O50" s="15">
        <f t="shared" si="0"/>
        <v>236.71428571428564</v>
      </c>
      <c r="P50" s="15">
        <f t="shared" si="1"/>
        <v>420.14285714285711</v>
      </c>
      <c r="R50" s="8"/>
      <c r="T50"/>
    </row>
    <row r="51" spans="2:20" ht="23.1" customHeight="1" x14ac:dyDescent="0.25">
      <c r="B51" s="24" t="s">
        <v>78</v>
      </c>
      <c r="C51" s="49">
        <f>'Avg Week Kisaasi-Ntinda'!C51+'Avg Week Ntinda-Kisaasi'!C51</f>
        <v>114.57142857142856</v>
      </c>
      <c r="D51" s="49">
        <f>'Avg Week Kisaasi-Ntinda'!D51+'Avg Week Ntinda-Kisaasi'!D51</f>
        <v>57.714285714285715</v>
      </c>
      <c r="E51" s="49">
        <f>'Avg Week Kisaasi-Ntinda'!E51+'Avg Week Ntinda-Kisaasi'!E51</f>
        <v>20.428571428571427</v>
      </c>
      <c r="F51" s="49">
        <f>'Avg Week Kisaasi-Ntinda'!F51+'Avg Week Ntinda-Kisaasi'!F51</f>
        <v>25</v>
      </c>
      <c r="G51" s="49">
        <f>'Avg Week Kisaasi-Ntinda'!G51+'Avg Week Ntinda-Kisaasi'!G51</f>
        <v>0.42857142857142855</v>
      </c>
      <c r="H51" s="49">
        <f>'Avg Week Kisaasi-Ntinda'!H51+'Avg Week Ntinda-Kisaasi'!H51</f>
        <v>0</v>
      </c>
      <c r="I51" s="49">
        <f>'Avg Week Kisaasi-Ntinda'!I51+'Avg Week Ntinda-Kisaasi'!I51</f>
        <v>6.8571428571428577</v>
      </c>
      <c r="J51" s="49">
        <f>'Avg Week Kisaasi-Ntinda'!J51+'Avg Week Ntinda-Kisaasi'!J51</f>
        <v>2.8571428571428568</v>
      </c>
      <c r="K51" s="49">
        <f>'Avg Week Kisaasi-Ntinda'!K51+'Avg Week Ntinda-Kisaasi'!K51</f>
        <v>1</v>
      </c>
      <c r="L51" s="49">
        <f>'Avg Week Kisaasi-Ntinda'!L51+'Avg Week Ntinda-Kisaasi'!L51</f>
        <v>2.7142857142857144</v>
      </c>
      <c r="M51" s="49">
        <f>'Avg Week Kisaasi-Ntinda'!M51+'Avg Week Ntinda-Kisaasi'!M51</f>
        <v>174</v>
      </c>
      <c r="N51" s="49">
        <f>'Avg Week Kisaasi-Ntinda'!N51+'Avg Week Ntinda-Kisaasi'!N51</f>
        <v>0</v>
      </c>
      <c r="O51" s="15">
        <f t="shared" si="0"/>
        <v>231.57142857142856</v>
      </c>
      <c r="P51" s="15">
        <f t="shared" si="1"/>
        <v>405.57142857142856</v>
      </c>
      <c r="R51" s="8"/>
      <c r="T51"/>
    </row>
    <row r="52" spans="2:20" ht="23.1" customHeight="1" x14ac:dyDescent="0.25">
      <c r="B52" s="24" t="s">
        <v>79</v>
      </c>
      <c r="C52" s="49">
        <f>'Avg Week Kisaasi-Ntinda'!C52+'Avg Week Ntinda-Kisaasi'!C52</f>
        <v>102.28571428571428</v>
      </c>
      <c r="D52" s="49">
        <f>'Avg Week Kisaasi-Ntinda'!D52+'Avg Week Ntinda-Kisaasi'!D52</f>
        <v>50.857142857142861</v>
      </c>
      <c r="E52" s="49">
        <f>'Avg Week Kisaasi-Ntinda'!E52+'Avg Week Ntinda-Kisaasi'!E52</f>
        <v>22.571428571428569</v>
      </c>
      <c r="F52" s="49">
        <f>'Avg Week Kisaasi-Ntinda'!F52+'Avg Week Ntinda-Kisaasi'!F52</f>
        <v>32.857142857142854</v>
      </c>
      <c r="G52" s="49">
        <f>'Avg Week Kisaasi-Ntinda'!G52+'Avg Week Ntinda-Kisaasi'!G52</f>
        <v>1.1428571428571428</v>
      </c>
      <c r="H52" s="49">
        <f>'Avg Week Kisaasi-Ntinda'!H52+'Avg Week Ntinda-Kisaasi'!H52</f>
        <v>0</v>
      </c>
      <c r="I52" s="49">
        <f>'Avg Week Kisaasi-Ntinda'!I52+'Avg Week Ntinda-Kisaasi'!I52</f>
        <v>6.8571428571428577</v>
      </c>
      <c r="J52" s="49">
        <f>'Avg Week Kisaasi-Ntinda'!J52+'Avg Week Ntinda-Kisaasi'!J52</f>
        <v>4.2857142857142856</v>
      </c>
      <c r="K52" s="49">
        <f>'Avg Week Kisaasi-Ntinda'!K52+'Avg Week Ntinda-Kisaasi'!K52</f>
        <v>1.5714285714285714</v>
      </c>
      <c r="L52" s="49">
        <f>'Avg Week Kisaasi-Ntinda'!L52+'Avg Week Ntinda-Kisaasi'!L52</f>
        <v>3</v>
      </c>
      <c r="M52" s="49">
        <f>'Avg Week Kisaasi-Ntinda'!M52+'Avg Week Ntinda-Kisaasi'!M52</f>
        <v>191.85714285714286</v>
      </c>
      <c r="N52" s="49">
        <f>'Avg Week Kisaasi-Ntinda'!N52+'Avg Week Ntinda-Kisaasi'!N52</f>
        <v>0</v>
      </c>
      <c r="O52" s="15">
        <f t="shared" si="0"/>
        <v>225.42857142857144</v>
      </c>
      <c r="P52" s="15">
        <f t="shared" si="1"/>
        <v>417.28571428571433</v>
      </c>
      <c r="R52" s="8"/>
      <c r="T52"/>
    </row>
    <row r="53" spans="2:20" ht="23.1" customHeight="1" x14ac:dyDescent="0.25">
      <c r="B53" s="23" t="s">
        <v>80</v>
      </c>
      <c r="C53" s="49">
        <f>'Avg Week Kisaasi-Ntinda'!C53+'Avg Week Ntinda-Kisaasi'!C53</f>
        <v>93</v>
      </c>
      <c r="D53" s="49">
        <f>'Avg Week Kisaasi-Ntinda'!D53+'Avg Week Ntinda-Kisaasi'!D53</f>
        <v>49.142857142857139</v>
      </c>
      <c r="E53" s="49">
        <f>'Avg Week Kisaasi-Ntinda'!E53+'Avg Week Ntinda-Kisaasi'!E53</f>
        <v>19.857142857142854</v>
      </c>
      <c r="F53" s="49">
        <f>'Avg Week Kisaasi-Ntinda'!F53+'Avg Week Ntinda-Kisaasi'!F53</f>
        <v>23.571428571428569</v>
      </c>
      <c r="G53" s="49">
        <f>'Avg Week Kisaasi-Ntinda'!G53+'Avg Week Ntinda-Kisaasi'!G53</f>
        <v>1.1428571428571428</v>
      </c>
      <c r="H53" s="49">
        <f>'Avg Week Kisaasi-Ntinda'!H53+'Avg Week Ntinda-Kisaasi'!H53</f>
        <v>0</v>
      </c>
      <c r="I53" s="49">
        <f>'Avg Week Kisaasi-Ntinda'!I53+'Avg Week Ntinda-Kisaasi'!I53</f>
        <v>5.8571428571428577</v>
      </c>
      <c r="J53" s="49">
        <f>'Avg Week Kisaasi-Ntinda'!J53+'Avg Week Ntinda-Kisaasi'!J53</f>
        <v>2.8571428571428572</v>
      </c>
      <c r="K53" s="49">
        <f>'Avg Week Kisaasi-Ntinda'!K53+'Avg Week Ntinda-Kisaasi'!K53</f>
        <v>1</v>
      </c>
      <c r="L53" s="49">
        <f>'Avg Week Kisaasi-Ntinda'!L53+'Avg Week Ntinda-Kisaasi'!L53</f>
        <v>2.2857142857142856</v>
      </c>
      <c r="M53" s="49">
        <f>'Avg Week Kisaasi-Ntinda'!M53+'Avg Week Ntinda-Kisaasi'!M53</f>
        <v>185.71428571428572</v>
      </c>
      <c r="N53" s="49">
        <f>'Avg Week Kisaasi-Ntinda'!N53+'Avg Week Ntinda-Kisaasi'!N53</f>
        <v>0</v>
      </c>
      <c r="O53" s="15">
        <f t="shared" si="0"/>
        <v>198.71428571428569</v>
      </c>
      <c r="P53" s="15">
        <f t="shared" si="1"/>
        <v>384.42857142857144</v>
      </c>
      <c r="R53" s="8"/>
      <c r="T53"/>
    </row>
    <row r="54" spans="2:20" ht="23.1" customHeight="1" x14ac:dyDescent="0.25">
      <c r="B54" s="23" t="s">
        <v>81</v>
      </c>
      <c r="C54" s="49">
        <f>'Avg Week Kisaasi-Ntinda'!C54+'Avg Week Ntinda-Kisaasi'!C54</f>
        <v>102.57142857142858</v>
      </c>
      <c r="D54" s="49">
        <f>'Avg Week Kisaasi-Ntinda'!D54+'Avg Week Ntinda-Kisaasi'!D54</f>
        <v>50.142857142857139</v>
      </c>
      <c r="E54" s="49">
        <f>'Avg Week Kisaasi-Ntinda'!E54+'Avg Week Ntinda-Kisaasi'!E54</f>
        <v>17</v>
      </c>
      <c r="F54" s="49">
        <f>'Avg Week Kisaasi-Ntinda'!F54+'Avg Week Ntinda-Kisaasi'!F54</f>
        <v>26.428571428571431</v>
      </c>
      <c r="G54" s="49">
        <f>'Avg Week Kisaasi-Ntinda'!G54+'Avg Week Ntinda-Kisaasi'!G54</f>
        <v>0.2857142857142857</v>
      </c>
      <c r="H54" s="49">
        <f>'Avg Week Kisaasi-Ntinda'!H54+'Avg Week Ntinda-Kisaasi'!H54</f>
        <v>0</v>
      </c>
      <c r="I54" s="49">
        <f>'Avg Week Kisaasi-Ntinda'!I54+'Avg Week Ntinda-Kisaasi'!I54</f>
        <v>5.5714285714285712</v>
      </c>
      <c r="J54" s="49">
        <f>'Avg Week Kisaasi-Ntinda'!J54+'Avg Week Ntinda-Kisaasi'!J54</f>
        <v>3</v>
      </c>
      <c r="K54" s="49">
        <f>'Avg Week Kisaasi-Ntinda'!K54+'Avg Week Ntinda-Kisaasi'!K54</f>
        <v>3.1428571428571428</v>
      </c>
      <c r="L54" s="49">
        <f>'Avg Week Kisaasi-Ntinda'!L54+'Avg Week Ntinda-Kisaasi'!L54</f>
        <v>3.285714285714286</v>
      </c>
      <c r="M54" s="49">
        <f>'Avg Week Kisaasi-Ntinda'!M54+'Avg Week Ntinda-Kisaasi'!M54</f>
        <v>188</v>
      </c>
      <c r="N54" s="49">
        <f>'Avg Week Kisaasi-Ntinda'!N54+'Avg Week Ntinda-Kisaasi'!N54</f>
        <v>0</v>
      </c>
      <c r="O54" s="15">
        <f t="shared" si="0"/>
        <v>211.42857142857144</v>
      </c>
      <c r="P54" s="15">
        <f t="shared" si="1"/>
        <v>399.42857142857144</v>
      </c>
      <c r="R54" s="8"/>
      <c r="T54"/>
    </row>
    <row r="55" spans="2:20" ht="23.1" customHeight="1" x14ac:dyDescent="0.25">
      <c r="B55" s="23" t="s">
        <v>82</v>
      </c>
      <c r="C55" s="49">
        <f>'Avg Week Kisaasi-Ntinda'!C55+'Avg Week Ntinda-Kisaasi'!C55</f>
        <v>88.857142857142861</v>
      </c>
      <c r="D55" s="49">
        <f>'Avg Week Kisaasi-Ntinda'!D55+'Avg Week Ntinda-Kisaasi'!D55</f>
        <v>51.428571428571431</v>
      </c>
      <c r="E55" s="49">
        <f>'Avg Week Kisaasi-Ntinda'!E55+'Avg Week Ntinda-Kisaasi'!E55</f>
        <v>15.142857142857142</v>
      </c>
      <c r="F55" s="49">
        <f>'Avg Week Kisaasi-Ntinda'!F55+'Avg Week Ntinda-Kisaasi'!F55</f>
        <v>23.142857142857146</v>
      </c>
      <c r="G55" s="49">
        <f>'Avg Week Kisaasi-Ntinda'!G55+'Avg Week Ntinda-Kisaasi'!G55</f>
        <v>0.14285714285714285</v>
      </c>
      <c r="H55" s="49">
        <f>'Avg Week Kisaasi-Ntinda'!H55+'Avg Week Ntinda-Kisaasi'!H55</f>
        <v>0</v>
      </c>
      <c r="I55" s="49">
        <f>'Avg Week Kisaasi-Ntinda'!I55+'Avg Week Ntinda-Kisaasi'!I55</f>
        <v>5.7142857142857135</v>
      </c>
      <c r="J55" s="49">
        <f>'Avg Week Kisaasi-Ntinda'!J55+'Avg Week Ntinda-Kisaasi'!J55</f>
        <v>2.4285714285714284</v>
      </c>
      <c r="K55" s="49">
        <f>'Avg Week Kisaasi-Ntinda'!K55+'Avg Week Ntinda-Kisaasi'!K55</f>
        <v>0.8571428571428571</v>
      </c>
      <c r="L55" s="49">
        <f>'Avg Week Kisaasi-Ntinda'!L55+'Avg Week Ntinda-Kisaasi'!L55</f>
        <v>1.5714285714285714</v>
      </c>
      <c r="M55" s="49">
        <f>'Avg Week Kisaasi-Ntinda'!M55+'Avg Week Ntinda-Kisaasi'!M55</f>
        <v>176</v>
      </c>
      <c r="N55" s="49">
        <f>'Avg Week Kisaasi-Ntinda'!N55+'Avg Week Ntinda-Kisaasi'!N55</f>
        <v>0</v>
      </c>
      <c r="O55" s="15">
        <f t="shared" si="0"/>
        <v>189.28571428571428</v>
      </c>
      <c r="P55" s="15">
        <f t="shared" si="1"/>
        <v>365.28571428571428</v>
      </c>
      <c r="R55" s="8"/>
      <c r="T55"/>
    </row>
    <row r="56" spans="2:20" ht="23.1" customHeight="1" x14ac:dyDescent="0.25">
      <c r="B56" s="23" t="s">
        <v>83</v>
      </c>
      <c r="C56" s="49">
        <f>'Avg Week Kisaasi-Ntinda'!C56+'Avg Week Ntinda-Kisaasi'!C56</f>
        <v>90.285714285714278</v>
      </c>
      <c r="D56" s="49">
        <f>'Avg Week Kisaasi-Ntinda'!D56+'Avg Week Ntinda-Kisaasi'!D56</f>
        <v>45.428571428571431</v>
      </c>
      <c r="E56" s="49">
        <f>'Avg Week Kisaasi-Ntinda'!E56+'Avg Week Ntinda-Kisaasi'!E56</f>
        <v>19</v>
      </c>
      <c r="F56" s="49">
        <f>'Avg Week Kisaasi-Ntinda'!F56+'Avg Week Ntinda-Kisaasi'!F56</f>
        <v>28.285714285714285</v>
      </c>
      <c r="G56" s="49">
        <f>'Avg Week Kisaasi-Ntinda'!G56+'Avg Week Ntinda-Kisaasi'!G56</f>
        <v>0.14285714285714285</v>
      </c>
      <c r="H56" s="49">
        <f>'Avg Week Kisaasi-Ntinda'!H56+'Avg Week Ntinda-Kisaasi'!H56</f>
        <v>0</v>
      </c>
      <c r="I56" s="49">
        <f>'Avg Week Kisaasi-Ntinda'!I56+'Avg Week Ntinda-Kisaasi'!I56</f>
        <v>4.2857142857142856</v>
      </c>
      <c r="J56" s="49">
        <f>'Avg Week Kisaasi-Ntinda'!J56+'Avg Week Ntinda-Kisaasi'!J56</f>
        <v>4.1428571428571423</v>
      </c>
      <c r="K56" s="49">
        <f>'Avg Week Kisaasi-Ntinda'!K56+'Avg Week Ntinda-Kisaasi'!K56</f>
        <v>2</v>
      </c>
      <c r="L56" s="49">
        <f>'Avg Week Kisaasi-Ntinda'!L56+'Avg Week Ntinda-Kisaasi'!L56</f>
        <v>2.7142857142857144</v>
      </c>
      <c r="M56" s="49">
        <f>'Avg Week Kisaasi-Ntinda'!M56+'Avg Week Ntinda-Kisaasi'!M56</f>
        <v>173.14285714285717</v>
      </c>
      <c r="N56" s="49">
        <f>'Avg Week Kisaasi-Ntinda'!N56+'Avg Week Ntinda-Kisaasi'!N56</f>
        <v>0</v>
      </c>
      <c r="O56" s="15">
        <f t="shared" si="0"/>
        <v>196.28571428571428</v>
      </c>
      <c r="P56" s="15">
        <f t="shared" si="1"/>
        <v>369.42857142857144</v>
      </c>
      <c r="R56" s="8"/>
      <c r="T56"/>
    </row>
    <row r="57" spans="2:20" ht="23.1" customHeight="1" x14ac:dyDescent="0.25">
      <c r="B57" s="23" t="s">
        <v>84</v>
      </c>
      <c r="C57" s="49">
        <f>'Avg Week Kisaasi-Ntinda'!C57+'Avg Week Ntinda-Kisaasi'!C57</f>
        <v>81.714285714285708</v>
      </c>
      <c r="D57" s="49">
        <f>'Avg Week Kisaasi-Ntinda'!D57+'Avg Week Ntinda-Kisaasi'!D57</f>
        <v>35.285714285714292</v>
      </c>
      <c r="E57" s="49">
        <f>'Avg Week Kisaasi-Ntinda'!E57+'Avg Week Ntinda-Kisaasi'!E57</f>
        <v>18.857142857142858</v>
      </c>
      <c r="F57" s="49">
        <f>'Avg Week Kisaasi-Ntinda'!F57+'Avg Week Ntinda-Kisaasi'!F57</f>
        <v>28.428571428571427</v>
      </c>
      <c r="G57" s="49">
        <f>'Avg Week Kisaasi-Ntinda'!G57+'Avg Week Ntinda-Kisaasi'!G57</f>
        <v>0.42857142857142855</v>
      </c>
      <c r="H57" s="49">
        <f>'Avg Week Kisaasi-Ntinda'!H57+'Avg Week Ntinda-Kisaasi'!H57</f>
        <v>0</v>
      </c>
      <c r="I57" s="49">
        <f>'Avg Week Kisaasi-Ntinda'!I57+'Avg Week Ntinda-Kisaasi'!I57</f>
        <v>3.7142857142857144</v>
      </c>
      <c r="J57" s="49">
        <f>'Avg Week Kisaasi-Ntinda'!J57+'Avg Week Ntinda-Kisaasi'!J57</f>
        <v>3</v>
      </c>
      <c r="K57" s="49">
        <f>'Avg Week Kisaasi-Ntinda'!K57+'Avg Week Ntinda-Kisaasi'!K57</f>
        <v>1.2857142857142856</v>
      </c>
      <c r="L57" s="49">
        <f>'Avg Week Kisaasi-Ntinda'!L57+'Avg Week Ntinda-Kisaasi'!L57</f>
        <v>2</v>
      </c>
      <c r="M57" s="49">
        <f>'Avg Week Kisaasi-Ntinda'!M57+'Avg Week Ntinda-Kisaasi'!M57</f>
        <v>148.14285714285714</v>
      </c>
      <c r="N57" s="49">
        <f>'Avg Week Kisaasi-Ntinda'!N57+'Avg Week Ntinda-Kisaasi'!N57</f>
        <v>0</v>
      </c>
      <c r="O57" s="15">
        <f t="shared" si="0"/>
        <v>174.71428571428569</v>
      </c>
      <c r="P57" s="15">
        <f t="shared" si="1"/>
        <v>322.85714285714283</v>
      </c>
      <c r="R57" s="8"/>
      <c r="T57"/>
    </row>
    <row r="58" spans="2:20" ht="23.1" customHeight="1" x14ac:dyDescent="0.25">
      <c r="B58" s="23" t="s">
        <v>99</v>
      </c>
      <c r="C58" s="49">
        <f>'Avg Week Kisaasi-Ntinda'!C58+'Avg Week Ntinda-Kisaasi'!C58</f>
        <v>73</v>
      </c>
      <c r="D58" s="49">
        <f>'Avg Week Kisaasi-Ntinda'!D58+'Avg Week Ntinda-Kisaasi'!D58</f>
        <v>31</v>
      </c>
      <c r="E58" s="49">
        <f>'Avg Week Kisaasi-Ntinda'!E58+'Avg Week Ntinda-Kisaasi'!E58</f>
        <v>9.5</v>
      </c>
      <c r="F58" s="49">
        <f>'Avg Week Kisaasi-Ntinda'!F58+'Avg Week Ntinda-Kisaasi'!F58</f>
        <v>25</v>
      </c>
      <c r="G58" s="49">
        <f>'Avg Week Kisaasi-Ntinda'!G58+'Avg Week Ntinda-Kisaasi'!G58</f>
        <v>0</v>
      </c>
      <c r="H58" s="49">
        <f>'Avg Week Kisaasi-Ntinda'!H58+'Avg Week Ntinda-Kisaasi'!H58</f>
        <v>0</v>
      </c>
      <c r="I58" s="49">
        <f>'Avg Week Kisaasi-Ntinda'!I58+'Avg Week Ntinda-Kisaasi'!I58</f>
        <v>5.5</v>
      </c>
      <c r="J58" s="49">
        <f>'Avg Week Kisaasi-Ntinda'!J58+'Avg Week Ntinda-Kisaasi'!J58</f>
        <v>1.5</v>
      </c>
      <c r="K58" s="49">
        <f>'Avg Week Kisaasi-Ntinda'!K58+'Avg Week Ntinda-Kisaasi'!K58</f>
        <v>0.5</v>
      </c>
      <c r="L58" s="49">
        <f>'Avg Week Kisaasi-Ntinda'!L58+'Avg Week Ntinda-Kisaasi'!L58</f>
        <v>0.5</v>
      </c>
      <c r="M58" s="49">
        <f>'Avg Week Kisaasi-Ntinda'!M58+'Avg Week Ntinda-Kisaasi'!M58</f>
        <v>142.5</v>
      </c>
      <c r="N58" s="49">
        <f>'Avg Week Kisaasi-Ntinda'!N58+'Avg Week Ntinda-Kisaasi'!N58</f>
        <v>0</v>
      </c>
      <c r="O58" s="15">
        <f t="shared" ref="O58:O105" si="35">SUM(C58:L58,N58)</f>
        <v>146.5</v>
      </c>
      <c r="P58" s="15">
        <f t="shared" ref="P58:P105" si="36">SUM(C58:N58)</f>
        <v>289</v>
      </c>
      <c r="R58" s="8"/>
      <c r="T58"/>
    </row>
    <row r="59" spans="2:20" ht="23.1" customHeight="1" x14ac:dyDescent="0.25">
      <c r="B59" s="23" t="s">
        <v>100</v>
      </c>
      <c r="C59" s="49">
        <f>'Avg Week Kisaasi-Ntinda'!C59+'Avg Week Ntinda-Kisaasi'!C59</f>
        <v>36.102497502999469</v>
      </c>
      <c r="D59" s="49">
        <f>'Avg Week Kisaasi-Ntinda'!D59+'Avg Week Ntinda-Kisaasi'!D59</f>
        <v>9.7459479613012672</v>
      </c>
      <c r="E59" s="49">
        <f>'Avg Week Kisaasi-Ntinda'!E59+'Avg Week Ntinda-Kisaasi'!E59</f>
        <v>2.915191813217902</v>
      </c>
      <c r="F59" s="49">
        <f>'Avg Week Kisaasi-Ntinda'!F59+'Avg Week Ntinda-Kisaasi'!F59</f>
        <v>6.6839895848358148</v>
      </c>
      <c r="G59" s="49">
        <f>'Avg Week Kisaasi-Ntinda'!G59+'Avg Week Ntinda-Kisaasi'!G59</f>
        <v>1.8222607581929011E-3</v>
      </c>
      <c r="H59" s="49">
        <f>'Avg Week Kisaasi-Ntinda'!H59+'Avg Week Ntinda-Kisaasi'!H59</f>
        <v>1.6989924352357524E-4</v>
      </c>
      <c r="I59" s="49">
        <f>'Avg Week Kisaasi-Ntinda'!I59+'Avg Week Ntinda-Kisaasi'!I59</f>
        <v>1.3129239963654455</v>
      </c>
      <c r="J59" s="49">
        <f>'Avg Week Kisaasi-Ntinda'!J59+'Avg Week Ntinda-Kisaasi'!J59</f>
        <v>0.87018318780702741</v>
      </c>
      <c r="K59" s="49">
        <f>'Avg Week Kisaasi-Ntinda'!K59+'Avg Week Ntinda-Kisaasi'!K59</f>
        <v>0.57588561747746747</v>
      </c>
      <c r="L59" s="49">
        <f>'Avg Week Kisaasi-Ntinda'!L59+'Avg Week Ntinda-Kisaasi'!L59</f>
        <v>0.43978350285762402</v>
      </c>
      <c r="M59" s="49">
        <f>'Avg Week Kisaasi-Ntinda'!M59+'Avg Week Ntinda-Kisaasi'!M59</f>
        <v>44.838987089898509</v>
      </c>
      <c r="N59" s="49">
        <f>'Avg Week Kisaasi-Ntinda'!N59+'Avg Week Ntinda-Kisaasi'!N59</f>
        <v>1.4159319197340017E-4</v>
      </c>
      <c r="O59" s="15">
        <f t="shared" si="35"/>
        <v>58.648536920055719</v>
      </c>
      <c r="P59" s="15">
        <f t="shared" si="36"/>
        <v>103.48752400995421</v>
      </c>
      <c r="R59" s="8"/>
      <c r="T59"/>
    </row>
    <row r="60" spans="2:20" ht="23.1" customHeight="1" x14ac:dyDescent="0.25">
      <c r="B60" s="23" t="s">
        <v>101</v>
      </c>
      <c r="C60" s="49">
        <f>'Avg Week Kisaasi-Ntinda'!C60+'Avg Week Ntinda-Kisaasi'!C60</f>
        <v>56.466531648947374</v>
      </c>
      <c r="D60" s="49">
        <f>'Avg Week Kisaasi-Ntinda'!D60+'Avg Week Ntinda-Kisaasi'!D60</f>
        <v>12.769605845545021</v>
      </c>
      <c r="E60" s="49">
        <f>'Avg Week Kisaasi-Ntinda'!E60+'Avg Week Ntinda-Kisaasi'!E60</f>
        <v>3.9698672516415203</v>
      </c>
      <c r="F60" s="49">
        <f>'Avg Week Kisaasi-Ntinda'!F60+'Avg Week Ntinda-Kisaasi'!F60</f>
        <v>6.3591402890780939</v>
      </c>
      <c r="G60" s="49">
        <f>'Avg Week Kisaasi-Ntinda'!G60+'Avg Week Ntinda-Kisaasi'!G60</f>
        <v>3.5486841043795088E-3</v>
      </c>
      <c r="H60" s="49">
        <f>'Avg Week Kisaasi-Ntinda'!H60+'Avg Week Ntinda-Kisaasi'!H60</f>
        <v>3.124769912953956E-4</v>
      </c>
      <c r="I60" s="49">
        <f>'Avg Week Kisaasi-Ntinda'!I60+'Avg Week Ntinda-Kisaasi'!I60</f>
        <v>1.481452100802926</v>
      </c>
      <c r="J60" s="49">
        <f>'Avg Week Kisaasi-Ntinda'!J60+'Avg Week Ntinda-Kisaasi'!J60</f>
        <v>1.3113059763443458</v>
      </c>
      <c r="K60" s="49">
        <f>'Avg Week Kisaasi-Ntinda'!K60+'Avg Week Ntinda-Kisaasi'!K60</f>
        <v>0.58023548885888165</v>
      </c>
      <c r="L60" s="49">
        <f>'Avg Week Kisaasi-Ntinda'!L60+'Avg Week Ntinda-Kisaasi'!L60</f>
        <v>0.16462157726500989</v>
      </c>
      <c r="M60" s="49">
        <f>'Avg Week Kisaasi-Ntinda'!M60+'Avg Week Ntinda-Kisaasi'!M60</f>
        <v>185.5</v>
      </c>
      <c r="N60" s="49">
        <f>'Avg Week Kisaasi-Ntinda'!N60+'Avg Week Ntinda-Kisaasi'!N60</f>
        <v>2.8595149699015227E-4</v>
      </c>
      <c r="O60" s="15">
        <f t="shared" si="35"/>
        <v>83.106907291075828</v>
      </c>
      <c r="P60" s="15">
        <f t="shared" si="36"/>
        <v>268.60690729107586</v>
      </c>
      <c r="R60" s="8"/>
      <c r="T60"/>
    </row>
    <row r="61" spans="2:20" ht="23.1" customHeight="1" x14ac:dyDescent="0.25">
      <c r="B61" s="23" t="s">
        <v>102</v>
      </c>
      <c r="C61" s="49">
        <f>'Avg Week Kisaasi-Ntinda'!C61+'Avg Week Ntinda-Kisaasi'!C61</f>
        <v>75.5</v>
      </c>
      <c r="D61" s="49">
        <f>'Avg Week Kisaasi-Ntinda'!D61+'Avg Week Ntinda-Kisaasi'!D61</f>
        <v>40.5</v>
      </c>
      <c r="E61" s="49">
        <f>'Avg Week Kisaasi-Ntinda'!E61+'Avg Week Ntinda-Kisaasi'!E61</f>
        <v>12</v>
      </c>
      <c r="F61" s="49">
        <f>'Avg Week Kisaasi-Ntinda'!F61+'Avg Week Ntinda-Kisaasi'!F61</f>
        <v>29</v>
      </c>
      <c r="G61" s="49">
        <f>'Avg Week Kisaasi-Ntinda'!G61+'Avg Week Ntinda-Kisaasi'!G61</f>
        <v>0</v>
      </c>
      <c r="H61" s="49">
        <f>'Avg Week Kisaasi-Ntinda'!H61+'Avg Week Ntinda-Kisaasi'!H61</f>
        <v>0</v>
      </c>
      <c r="I61" s="49">
        <f>'Avg Week Kisaasi-Ntinda'!I61+'Avg Week Ntinda-Kisaasi'!I61</f>
        <v>5.5</v>
      </c>
      <c r="J61" s="49">
        <f>'Avg Week Kisaasi-Ntinda'!J61+'Avg Week Ntinda-Kisaasi'!J61</f>
        <v>5.5</v>
      </c>
      <c r="K61" s="49">
        <f>'Avg Week Kisaasi-Ntinda'!K61+'Avg Week Ntinda-Kisaasi'!K61</f>
        <v>1.5</v>
      </c>
      <c r="L61" s="49">
        <f>'Avg Week Kisaasi-Ntinda'!L61+'Avg Week Ntinda-Kisaasi'!L61</f>
        <v>1</v>
      </c>
      <c r="M61" s="49">
        <f>'Avg Week Kisaasi-Ntinda'!M61+'Avg Week Ntinda-Kisaasi'!M61</f>
        <v>177</v>
      </c>
      <c r="N61" s="49">
        <f>'Avg Week Kisaasi-Ntinda'!N61+'Avg Week Ntinda-Kisaasi'!N61</f>
        <v>0</v>
      </c>
      <c r="O61" s="15">
        <f t="shared" si="35"/>
        <v>170.5</v>
      </c>
      <c r="P61" s="15">
        <f t="shared" si="36"/>
        <v>347.5</v>
      </c>
      <c r="R61" s="8"/>
      <c r="T61"/>
    </row>
    <row r="62" spans="2:20" ht="23.1" customHeight="1" x14ac:dyDescent="0.25">
      <c r="B62" s="23" t="s">
        <v>107</v>
      </c>
      <c r="C62" s="49">
        <f>'Avg Week Kisaasi-Ntinda'!C62+'Avg Week Ntinda-Kisaasi'!C62</f>
        <v>73.5</v>
      </c>
      <c r="D62" s="49">
        <f>'Avg Week Kisaasi-Ntinda'!D62+'Avg Week Ntinda-Kisaasi'!D62</f>
        <v>25.5</v>
      </c>
      <c r="E62" s="49">
        <f>'Avg Week Kisaasi-Ntinda'!E62+'Avg Week Ntinda-Kisaasi'!E62</f>
        <v>7</v>
      </c>
      <c r="F62" s="49">
        <f>'Avg Week Kisaasi-Ntinda'!F62+'Avg Week Ntinda-Kisaasi'!F62</f>
        <v>29</v>
      </c>
      <c r="G62" s="49">
        <f>'Avg Week Kisaasi-Ntinda'!G62+'Avg Week Ntinda-Kisaasi'!G62</f>
        <v>0</v>
      </c>
      <c r="H62" s="49">
        <f>'Avg Week Kisaasi-Ntinda'!H62+'Avg Week Ntinda-Kisaasi'!H62</f>
        <v>0</v>
      </c>
      <c r="I62" s="49">
        <f>'Avg Week Kisaasi-Ntinda'!I62+'Avg Week Ntinda-Kisaasi'!I62</f>
        <v>2.5</v>
      </c>
      <c r="J62" s="49">
        <f>'Avg Week Kisaasi-Ntinda'!J62+'Avg Week Ntinda-Kisaasi'!J62</f>
        <v>0.5</v>
      </c>
      <c r="K62" s="49">
        <f>'Avg Week Kisaasi-Ntinda'!K62+'Avg Week Ntinda-Kisaasi'!K62</f>
        <v>0</v>
      </c>
      <c r="L62" s="49">
        <f>'Avg Week Kisaasi-Ntinda'!L62+'Avg Week Ntinda-Kisaasi'!L62</f>
        <v>0.5</v>
      </c>
      <c r="M62" s="49">
        <f>'Avg Week Kisaasi-Ntinda'!M62+'Avg Week Ntinda-Kisaasi'!M62</f>
        <v>156.5</v>
      </c>
      <c r="N62" s="49">
        <f>'Avg Week Kisaasi-Ntinda'!N62+'Avg Week Ntinda-Kisaasi'!N62</f>
        <v>0</v>
      </c>
      <c r="O62" s="15">
        <f t="shared" si="35"/>
        <v>138.5</v>
      </c>
      <c r="P62" s="15">
        <f t="shared" si="36"/>
        <v>295</v>
      </c>
      <c r="R62" s="8"/>
      <c r="T62"/>
    </row>
    <row r="63" spans="2:20" ht="23.1" customHeight="1" x14ac:dyDescent="0.25">
      <c r="B63" s="23" t="s">
        <v>108</v>
      </c>
      <c r="C63" s="49">
        <f>'Avg Week Kisaasi-Ntinda'!C63+'Avg Week Ntinda-Kisaasi'!C63</f>
        <v>86</v>
      </c>
      <c r="D63" s="49">
        <f>'Avg Week Kisaasi-Ntinda'!D63+'Avg Week Ntinda-Kisaasi'!D63</f>
        <v>39</v>
      </c>
      <c r="E63" s="49">
        <f>'Avg Week Kisaasi-Ntinda'!E63+'Avg Week Ntinda-Kisaasi'!E63</f>
        <v>4.5</v>
      </c>
      <c r="F63" s="49">
        <f>'Avg Week Kisaasi-Ntinda'!F63+'Avg Week Ntinda-Kisaasi'!F63</f>
        <v>29.5</v>
      </c>
      <c r="G63" s="49">
        <f>'Avg Week Kisaasi-Ntinda'!G63+'Avg Week Ntinda-Kisaasi'!G63</f>
        <v>0</v>
      </c>
      <c r="H63" s="49">
        <f>'Avg Week Kisaasi-Ntinda'!H63+'Avg Week Ntinda-Kisaasi'!H63</f>
        <v>0</v>
      </c>
      <c r="I63" s="49">
        <f>'Avg Week Kisaasi-Ntinda'!I63+'Avg Week Ntinda-Kisaasi'!I63</f>
        <v>3.5</v>
      </c>
      <c r="J63" s="49">
        <f>'Avg Week Kisaasi-Ntinda'!J63+'Avg Week Ntinda-Kisaasi'!J63</f>
        <v>1</v>
      </c>
      <c r="K63" s="49">
        <f>'Avg Week Kisaasi-Ntinda'!K63+'Avg Week Ntinda-Kisaasi'!K63</f>
        <v>1</v>
      </c>
      <c r="L63" s="49">
        <f>'Avg Week Kisaasi-Ntinda'!L63+'Avg Week Ntinda-Kisaasi'!L63</f>
        <v>1</v>
      </c>
      <c r="M63" s="49">
        <f>'Avg Week Kisaasi-Ntinda'!M63+'Avg Week Ntinda-Kisaasi'!M63</f>
        <v>161.5</v>
      </c>
      <c r="N63" s="49">
        <f>'Avg Week Kisaasi-Ntinda'!N63+'Avg Week Ntinda-Kisaasi'!N63</f>
        <v>0</v>
      </c>
      <c r="O63" s="15">
        <f t="shared" si="35"/>
        <v>165.5</v>
      </c>
      <c r="P63" s="15">
        <f t="shared" si="36"/>
        <v>327</v>
      </c>
      <c r="R63" s="8"/>
      <c r="T63"/>
    </row>
    <row r="64" spans="2:20" ht="23.1" customHeight="1" x14ac:dyDescent="0.25">
      <c r="B64" s="23" t="s">
        <v>109</v>
      </c>
      <c r="C64" s="49">
        <f>'Avg Week Kisaasi-Ntinda'!C64+'Avg Week Ntinda-Kisaasi'!C64</f>
        <v>86</v>
      </c>
      <c r="D64" s="49">
        <f>'Avg Week Kisaasi-Ntinda'!D64+'Avg Week Ntinda-Kisaasi'!D64</f>
        <v>46</v>
      </c>
      <c r="E64" s="49">
        <f>'Avg Week Kisaasi-Ntinda'!E64+'Avg Week Ntinda-Kisaasi'!E64</f>
        <v>9</v>
      </c>
      <c r="F64" s="49">
        <f>'Avg Week Kisaasi-Ntinda'!F64+'Avg Week Ntinda-Kisaasi'!F64</f>
        <v>24.5</v>
      </c>
      <c r="G64" s="49">
        <f>'Avg Week Kisaasi-Ntinda'!G64+'Avg Week Ntinda-Kisaasi'!G64</f>
        <v>0</v>
      </c>
      <c r="H64" s="49">
        <f>'Avg Week Kisaasi-Ntinda'!H64+'Avg Week Ntinda-Kisaasi'!H64</f>
        <v>0</v>
      </c>
      <c r="I64" s="49">
        <f>'Avg Week Kisaasi-Ntinda'!I64+'Avg Week Ntinda-Kisaasi'!I64</f>
        <v>3.5</v>
      </c>
      <c r="J64" s="49">
        <f>'Avg Week Kisaasi-Ntinda'!J64+'Avg Week Ntinda-Kisaasi'!J64</f>
        <v>0</v>
      </c>
      <c r="K64" s="49">
        <f>'Avg Week Kisaasi-Ntinda'!K64+'Avg Week Ntinda-Kisaasi'!K64</f>
        <v>0</v>
      </c>
      <c r="L64" s="49">
        <f>'Avg Week Kisaasi-Ntinda'!L64+'Avg Week Ntinda-Kisaasi'!L64</f>
        <v>1</v>
      </c>
      <c r="M64" s="49">
        <f>'Avg Week Kisaasi-Ntinda'!M64+'Avg Week Ntinda-Kisaasi'!M64</f>
        <v>150.5</v>
      </c>
      <c r="N64" s="49">
        <f>'Avg Week Kisaasi-Ntinda'!N64+'Avg Week Ntinda-Kisaasi'!N64</f>
        <v>0</v>
      </c>
      <c r="O64" s="15">
        <f t="shared" si="35"/>
        <v>170</v>
      </c>
      <c r="P64" s="15">
        <f t="shared" si="36"/>
        <v>320.5</v>
      </c>
      <c r="R64" s="8"/>
      <c r="T64"/>
    </row>
    <row r="65" spans="2:20" ht="23.1" customHeight="1" x14ac:dyDescent="0.25">
      <c r="B65" s="23" t="s">
        <v>158</v>
      </c>
      <c r="C65" s="49">
        <f>'Avg Week Kisaasi-Ntinda'!C65+'Avg Week Ntinda-Kisaasi'!C65</f>
        <v>81</v>
      </c>
      <c r="D65" s="49">
        <f>'Avg Week Kisaasi-Ntinda'!D65+'Avg Week Ntinda-Kisaasi'!D65</f>
        <v>33</v>
      </c>
      <c r="E65" s="49">
        <f>'Avg Week Kisaasi-Ntinda'!E65+'Avg Week Ntinda-Kisaasi'!E65</f>
        <v>8.5</v>
      </c>
      <c r="F65" s="49">
        <f>'Avg Week Kisaasi-Ntinda'!F65+'Avg Week Ntinda-Kisaasi'!F65</f>
        <v>18.5</v>
      </c>
      <c r="G65" s="49">
        <f>'Avg Week Kisaasi-Ntinda'!G65+'Avg Week Ntinda-Kisaasi'!G65</f>
        <v>0</v>
      </c>
      <c r="H65" s="49">
        <f>'Avg Week Kisaasi-Ntinda'!H65+'Avg Week Ntinda-Kisaasi'!H65</f>
        <v>0</v>
      </c>
      <c r="I65" s="49">
        <f>'Avg Week Kisaasi-Ntinda'!I65+'Avg Week Ntinda-Kisaasi'!I65</f>
        <v>3.5</v>
      </c>
      <c r="J65" s="49">
        <f>'Avg Week Kisaasi-Ntinda'!J65+'Avg Week Ntinda-Kisaasi'!J65</f>
        <v>0.5</v>
      </c>
      <c r="K65" s="49">
        <f>'Avg Week Kisaasi-Ntinda'!K65+'Avg Week Ntinda-Kisaasi'!K65</f>
        <v>1.5</v>
      </c>
      <c r="L65" s="49">
        <f>'Avg Week Kisaasi-Ntinda'!L65+'Avg Week Ntinda-Kisaasi'!L65</f>
        <v>0.5</v>
      </c>
      <c r="M65" s="49">
        <f>'Avg Week Kisaasi-Ntinda'!M65+'Avg Week Ntinda-Kisaasi'!M65</f>
        <v>155</v>
      </c>
      <c r="N65" s="49">
        <f>'Avg Week Kisaasi-Ntinda'!N65+'Avg Week Ntinda-Kisaasi'!N65</f>
        <v>0</v>
      </c>
      <c r="O65" s="15">
        <f t="shared" si="35"/>
        <v>147</v>
      </c>
      <c r="P65" s="15">
        <f t="shared" si="36"/>
        <v>302</v>
      </c>
      <c r="R65" s="8"/>
      <c r="T65"/>
    </row>
    <row r="66" spans="2:20" ht="23.1" customHeight="1" x14ac:dyDescent="0.25">
      <c r="B66" s="23" t="s">
        <v>103</v>
      </c>
      <c r="C66" s="49">
        <f>'Avg Week Kisaasi-Ntinda'!C66+'Avg Week Ntinda-Kisaasi'!C66</f>
        <v>69</v>
      </c>
      <c r="D66" s="49">
        <f>'Avg Week Kisaasi-Ntinda'!D66+'Avg Week Ntinda-Kisaasi'!D66</f>
        <v>35.5</v>
      </c>
      <c r="E66" s="49">
        <f>'Avg Week Kisaasi-Ntinda'!E66+'Avg Week Ntinda-Kisaasi'!E66</f>
        <v>10</v>
      </c>
      <c r="F66" s="49">
        <f>'Avg Week Kisaasi-Ntinda'!F66+'Avg Week Ntinda-Kisaasi'!F66</f>
        <v>18.5</v>
      </c>
      <c r="G66" s="49">
        <f>'Avg Week Kisaasi-Ntinda'!G66+'Avg Week Ntinda-Kisaasi'!G66</f>
        <v>0</v>
      </c>
      <c r="H66" s="49">
        <f>'Avg Week Kisaasi-Ntinda'!H66+'Avg Week Ntinda-Kisaasi'!H66</f>
        <v>0</v>
      </c>
      <c r="I66" s="49">
        <f>'Avg Week Kisaasi-Ntinda'!I66+'Avg Week Ntinda-Kisaasi'!I66</f>
        <v>3</v>
      </c>
      <c r="J66" s="49">
        <f>'Avg Week Kisaasi-Ntinda'!J66+'Avg Week Ntinda-Kisaasi'!J66</f>
        <v>3</v>
      </c>
      <c r="K66" s="49">
        <f>'Avg Week Kisaasi-Ntinda'!K66+'Avg Week Ntinda-Kisaasi'!K66</f>
        <v>1</v>
      </c>
      <c r="L66" s="49">
        <f>'Avg Week Kisaasi-Ntinda'!L66+'Avg Week Ntinda-Kisaasi'!L66</f>
        <v>1.5</v>
      </c>
      <c r="M66" s="49">
        <f>'Avg Week Kisaasi-Ntinda'!M66+'Avg Week Ntinda-Kisaasi'!M66</f>
        <v>151.5</v>
      </c>
      <c r="N66" s="49">
        <f>'Avg Week Kisaasi-Ntinda'!N66+'Avg Week Ntinda-Kisaasi'!N66</f>
        <v>0</v>
      </c>
      <c r="O66" s="15">
        <f t="shared" si="35"/>
        <v>141.5</v>
      </c>
      <c r="P66" s="15">
        <f t="shared" si="36"/>
        <v>293</v>
      </c>
      <c r="R66" s="8"/>
      <c r="T66"/>
    </row>
    <row r="67" spans="2:20" ht="23.1" customHeight="1" x14ac:dyDescent="0.25">
      <c r="B67" s="23" t="s">
        <v>104</v>
      </c>
      <c r="C67" s="49">
        <f>'Avg Week Kisaasi-Ntinda'!C67+'Avg Week Ntinda-Kisaasi'!C67</f>
        <v>76</v>
      </c>
      <c r="D67" s="49">
        <f>'Avg Week Kisaasi-Ntinda'!D67+'Avg Week Ntinda-Kisaasi'!D67</f>
        <v>36</v>
      </c>
      <c r="E67" s="49">
        <f>'Avg Week Kisaasi-Ntinda'!E67+'Avg Week Ntinda-Kisaasi'!E67</f>
        <v>7.5</v>
      </c>
      <c r="F67" s="49">
        <f>'Avg Week Kisaasi-Ntinda'!F67+'Avg Week Ntinda-Kisaasi'!F67</f>
        <v>18.5</v>
      </c>
      <c r="G67" s="49">
        <f>'Avg Week Kisaasi-Ntinda'!G67+'Avg Week Ntinda-Kisaasi'!G67</f>
        <v>0</v>
      </c>
      <c r="H67" s="49">
        <f>'Avg Week Kisaasi-Ntinda'!H67+'Avg Week Ntinda-Kisaasi'!H67</f>
        <v>0</v>
      </c>
      <c r="I67" s="49">
        <f>'Avg Week Kisaasi-Ntinda'!I67+'Avg Week Ntinda-Kisaasi'!I67</f>
        <v>1</v>
      </c>
      <c r="J67" s="49">
        <f>'Avg Week Kisaasi-Ntinda'!J67+'Avg Week Ntinda-Kisaasi'!J67</f>
        <v>1.5</v>
      </c>
      <c r="K67" s="49">
        <f>'Avg Week Kisaasi-Ntinda'!K67+'Avg Week Ntinda-Kisaasi'!K67</f>
        <v>0</v>
      </c>
      <c r="L67" s="49">
        <f>'Avg Week Kisaasi-Ntinda'!L67+'Avg Week Ntinda-Kisaasi'!L67</f>
        <v>0.5</v>
      </c>
      <c r="M67" s="49">
        <f>'Avg Week Kisaasi-Ntinda'!M67+'Avg Week Ntinda-Kisaasi'!M67</f>
        <v>101</v>
      </c>
      <c r="N67" s="49">
        <f>'Avg Week Kisaasi-Ntinda'!N67+'Avg Week Ntinda-Kisaasi'!N67</f>
        <v>0</v>
      </c>
      <c r="O67" s="15">
        <f t="shared" si="35"/>
        <v>141</v>
      </c>
      <c r="P67" s="15">
        <f t="shared" si="36"/>
        <v>242</v>
      </c>
      <c r="R67" s="8"/>
      <c r="T67"/>
    </row>
    <row r="68" spans="2:20" ht="23.1" customHeight="1" x14ac:dyDescent="0.25">
      <c r="B68" s="23" t="s">
        <v>105</v>
      </c>
      <c r="C68" s="49">
        <f>'Avg Week Kisaasi-Ntinda'!C68+'Avg Week Ntinda-Kisaasi'!C68</f>
        <v>55</v>
      </c>
      <c r="D68" s="49">
        <f>'Avg Week Kisaasi-Ntinda'!D68+'Avg Week Ntinda-Kisaasi'!D68</f>
        <v>21</v>
      </c>
      <c r="E68" s="49">
        <f>'Avg Week Kisaasi-Ntinda'!E68+'Avg Week Ntinda-Kisaasi'!E68</f>
        <v>4.5</v>
      </c>
      <c r="F68" s="49">
        <f>'Avg Week Kisaasi-Ntinda'!F68+'Avg Week Ntinda-Kisaasi'!F68</f>
        <v>12</v>
      </c>
      <c r="G68" s="49">
        <f>'Avg Week Kisaasi-Ntinda'!G68+'Avg Week Ntinda-Kisaasi'!G68</f>
        <v>0</v>
      </c>
      <c r="H68" s="49">
        <f>'Avg Week Kisaasi-Ntinda'!H68+'Avg Week Ntinda-Kisaasi'!H68</f>
        <v>0</v>
      </c>
      <c r="I68" s="49">
        <f>'Avg Week Kisaasi-Ntinda'!I68+'Avg Week Ntinda-Kisaasi'!I68</f>
        <v>5.5</v>
      </c>
      <c r="J68" s="49">
        <f>'Avg Week Kisaasi-Ntinda'!J68+'Avg Week Ntinda-Kisaasi'!J68</f>
        <v>0</v>
      </c>
      <c r="K68" s="49">
        <f>'Avg Week Kisaasi-Ntinda'!K68+'Avg Week Ntinda-Kisaasi'!K68</f>
        <v>2.5</v>
      </c>
      <c r="L68" s="49">
        <f>'Avg Week Kisaasi-Ntinda'!L68+'Avg Week Ntinda-Kisaasi'!L68</f>
        <v>2</v>
      </c>
      <c r="M68" s="49">
        <f>'Avg Week Kisaasi-Ntinda'!M68+'Avg Week Ntinda-Kisaasi'!M68</f>
        <v>91.5</v>
      </c>
      <c r="N68" s="49">
        <f>'Avg Week Kisaasi-Ntinda'!N68+'Avg Week Ntinda-Kisaasi'!N68</f>
        <v>0</v>
      </c>
      <c r="O68" s="15">
        <f t="shared" si="35"/>
        <v>102.5</v>
      </c>
      <c r="P68" s="15">
        <f t="shared" si="36"/>
        <v>194</v>
      </c>
      <c r="R68" s="8"/>
      <c r="T68"/>
    </row>
    <row r="69" spans="2:20" ht="23.1" customHeight="1" x14ac:dyDescent="0.25">
      <c r="B69" s="23" t="s">
        <v>106</v>
      </c>
      <c r="C69" s="49">
        <f>'Avg Week Kisaasi-Ntinda'!C69+'Avg Week Ntinda-Kisaasi'!C69</f>
        <v>57</v>
      </c>
      <c r="D69" s="49">
        <f>'Avg Week Kisaasi-Ntinda'!D69+'Avg Week Ntinda-Kisaasi'!D69</f>
        <v>22</v>
      </c>
      <c r="E69" s="49">
        <f>'Avg Week Kisaasi-Ntinda'!E69+'Avg Week Ntinda-Kisaasi'!E69</f>
        <v>6</v>
      </c>
      <c r="F69" s="49">
        <f>'Avg Week Kisaasi-Ntinda'!F69+'Avg Week Ntinda-Kisaasi'!F69</f>
        <v>13.5</v>
      </c>
      <c r="G69" s="49">
        <f>'Avg Week Kisaasi-Ntinda'!G69+'Avg Week Ntinda-Kisaasi'!G69</f>
        <v>0</v>
      </c>
      <c r="H69" s="49">
        <f>'Avg Week Kisaasi-Ntinda'!H69+'Avg Week Ntinda-Kisaasi'!H69</f>
        <v>0</v>
      </c>
      <c r="I69" s="49">
        <f>'Avg Week Kisaasi-Ntinda'!I69+'Avg Week Ntinda-Kisaasi'!I69</f>
        <v>5.5</v>
      </c>
      <c r="J69" s="49">
        <f>'Avg Week Kisaasi-Ntinda'!J69+'Avg Week Ntinda-Kisaasi'!J69</f>
        <v>1</v>
      </c>
      <c r="K69" s="49">
        <f>'Avg Week Kisaasi-Ntinda'!K69+'Avg Week Ntinda-Kisaasi'!K69</f>
        <v>0</v>
      </c>
      <c r="L69" s="49">
        <f>'Avg Week Kisaasi-Ntinda'!L69+'Avg Week Ntinda-Kisaasi'!L69</f>
        <v>0</v>
      </c>
      <c r="M69" s="49">
        <f>'Avg Week Kisaasi-Ntinda'!M69+'Avg Week Ntinda-Kisaasi'!M69</f>
        <v>108</v>
      </c>
      <c r="N69" s="49">
        <f>'Avg Week Kisaasi-Ntinda'!N69+'Avg Week Ntinda-Kisaasi'!N69</f>
        <v>0</v>
      </c>
      <c r="O69" s="15">
        <f t="shared" si="35"/>
        <v>105</v>
      </c>
      <c r="P69" s="15">
        <f t="shared" si="36"/>
        <v>213</v>
      </c>
      <c r="R69" s="8"/>
      <c r="T69"/>
    </row>
    <row r="70" spans="2:20" ht="23.1" customHeight="1" x14ac:dyDescent="0.25">
      <c r="B70" s="23" t="s">
        <v>110</v>
      </c>
      <c r="C70" s="49">
        <f>'Avg Week Kisaasi-Ntinda'!C70+'Avg Week Ntinda-Kisaasi'!C70</f>
        <v>65.5</v>
      </c>
      <c r="D70" s="49">
        <f>'Avg Week Kisaasi-Ntinda'!D70+'Avg Week Ntinda-Kisaasi'!D70</f>
        <v>31</v>
      </c>
      <c r="E70" s="49">
        <f>'Avg Week Kisaasi-Ntinda'!E70+'Avg Week Ntinda-Kisaasi'!E70</f>
        <v>5</v>
      </c>
      <c r="F70" s="49">
        <f>'Avg Week Kisaasi-Ntinda'!F70+'Avg Week Ntinda-Kisaasi'!F70</f>
        <v>12.5</v>
      </c>
      <c r="G70" s="49">
        <f>'Avg Week Kisaasi-Ntinda'!G70+'Avg Week Ntinda-Kisaasi'!G70</f>
        <v>0</v>
      </c>
      <c r="H70" s="49">
        <f>'Avg Week Kisaasi-Ntinda'!H70+'Avg Week Ntinda-Kisaasi'!H70</f>
        <v>0</v>
      </c>
      <c r="I70" s="49">
        <f>'Avg Week Kisaasi-Ntinda'!I70+'Avg Week Ntinda-Kisaasi'!I70</f>
        <v>4.5</v>
      </c>
      <c r="J70" s="49">
        <f>'Avg Week Kisaasi-Ntinda'!J70+'Avg Week Ntinda-Kisaasi'!J70</f>
        <v>1.5</v>
      </c>
      <c r="K70" s="49">
        <f>'Avg Week Kisaasi-Ntinda'!K70+'Avg Week Ntinda-Kisaasi'!K70</f>
        <v>0</v>
      </c>
      <c r="L70" s="49">
        <f>'Avg Week Kisaasi-Ntinda'!L70+'Avg Week Ntinda-Kisaasi'!L70</f>
        <v>1</v>
      </c>
      <c r="M70" s="49">
        <f>'Avg Week Kisaasi-Ntinda'!M70+'Avg Week Ntinda-Kisaasi'!M70</f>
        <v>133</v>
      </c>
      <c r="N70" s="49">
        <f>'Avg Week Kisaasi-Ntinda'!N70+'Avg Week Ntinda-Kisaasi'!N70</f>
        <v>0</v>
      </c>
      <c r="O70" s="15">
        <f t="shared" si="35"/>
        <v>121</v>
      </c>
      <c r="P70" s="15">
        <f t="shared" si="36"/>
        <v>254</v>
      </c>
      <c r="R70" s="8"/>
      <c r="T70"/>
    </row>
    <row r="71" spans="2:20" ht="23.1" customHeight="1" x14ac:dyDescent="0.25">
      <c r="B71" s="23" t="s">
        <v>111</v>
      </c>
      <c r="C71" s="49">
        <f>'Avg Week Kisaasi-Ntinda'!C71+'Avg Week Ntinda-Kisaasi'!C71</f>
        <v>63.5</v>
      </c>
      <c r="D71" s="49">
        <f>'Avg Week Kisaasi-Ntinda'!D71+'Avg Week Ntinda-Kisaasi'!D71</f>
        <v>32</v>
      </c>
      <c r="E71" s="49">
        <f>'Avg Week Kisaasi-Ntinda'!E71+'Avg Week Ntinda-Kisaasi'!E71</f>
        <v>7.5</v>
      </c>
      <c r="F71" s="49">
        <f>'Avg Week Kisaasi-Ntinda'!F71+'Avg Week Ntinda-Kisaasi'!F71</f>
        <v>13</v>
      </c>
      <c r="G71" s="49">
        <f>'Avg Week Kisaasi-Ntinda'!G71+'Avg Week Ntinda-Kisaasi'!G71</f>
        <v>0</v>
      </c>
      <c r="H71" s="49">
        <f>'Avg Week Kisaasi-Ntinda'!H71+'Avg Week Ntinda-Kisaasi'!H71</f>
        <v>0</v>
      </c>
      <c r="I71" s="49">
        <f>'Avg Week Kisaasi-Ntinda'!I71+'Avg Week Ntinda-Kisaasi'!I71</f>
        <v>2.5</v>
      </c>
      <c r="J71" s="49">
        <f>'Avg Week Kisaasi-Ntinda'!J71+'Avg Week Ntinda-Kisaasi'!J71</f>
        <v>0.5</v>
      </c>
      <c r="K71" s="49">
        <f>'Avg Week Kisaasi-Ntinda'!K71+'Avg Week Ntinda-Kisaasi'!K71</f>
        <v>0.5</v>
      </c>
      <c r="L71" s="49">
        <f>'Avg Week Kisaasi-Ntinda'!L71+'Avg Week Ntinda-Kisaasi'!L71</f>
        <v>0</v>
      </c>
      <c r="M71" s="49">
        <f>'Avg Week Kisaasi-Ntinda'!M71+'Avg Week Ntinda-Kisaasi'!M71</f>
        <v>122.5</v>
      </c>
      <c r="N71" s="49">
        <f>'Avg Week Kisaasi-Ntinda'!N71+'Avg Week Ntinda-Kisaasi'!N71</f>
        <v>0</v>
      </c>
      <c r="O71" s="15">
        <f t="shared" si="35"/>
        <v>119.5</v>
      </c>
      <c r="P71" s="15">
        <f t="shared" si="36"/>
        <v>242</v>
      </c>
      <c r="R71" s="8"/>
      <c r="T71"/>
    </row>
    <row r="72" spans="2:20" ht="23.1" customHeight="1" x14ac:dyDescent="0.25">
      <c r="B72" s="23" t="s">
        <v>112</v>
      </c>
      <c r="C72" s="49">
        <f>'Avg Week Kisaasi-Ntinda'!C72+'Avg Week Ntinda-Kisaasi'!C72</f>
        <v>70.5</v>
      </c>
      <c r="D72" s="49">
        <f>'Avg Week Kisaasi-Ntinda'!D72+'Avg Week Ntinda-Kisaasi'!D72</f>
        <v>25.5</v>
      </c>
      <c r="E72" s="49">
        <f>'Avg Week Kisaasi-Ntinda'!E72+'Avg Week Ntinda-Kisaasi'!E72</f>
        <v>4</v>
      </c>
      <c r="F72" s="49">
        <f>'Avg Week Kisaasi-Ntinda'!F72+'Avg Week Ntinda-Kisaasi'!F72</f>
        <v>15.5</v>
      </c>
      <c r="G72" s="49">
        <f>'Avg Week Kisaasi-Ntinda'!G72+'Avg Week Ntinda-Kisaasi'!G72</f>
        <v>1</v>
      </c>
      <c r="H72" s="49">
        <f>'Avg Week Kisaasi-Ntinda'!H72+'Avg Week Ntinda-Kisaasi'!H72</f>
        <v>0</v>
      </c>
      <c r="I72" s="49">
        <f>'Avg Week Kisaasi-Ntinda'!I72+'Avg Week Ntinda-Kisaasi'!I72</f>
        <v>2.5</v>
      </c>
      <c r="J72" s="49">
        <f>'Avg Week Kisaasi-Ntinda'!J72+'Avg Week Ntinda-Kisaasi'!J72</f>
        <v>1.5</v>
      </c>
      <c r="K72" s="49">
        <f>'Avg Week Kisaasi-Ntinda'!K72+'Avg Week Ntinda-Kisaasi'!K72</f>
        <v>1.5</v>
      </c>
      <c r="L72" s="49">
        <f>'Avg Week Kisaasi-Ntinda'!L72+'Avg Week Ntinda-Kisaasi'!L72</f>
        <v>1.5</v>
      </c>
      <c r="M72" s="49">
        <f>'Avg Week Kisaasi-Ntinda'!M72+'Avg Week Ntinda-Kisaasi'!M72</f>
        <v>120.5</v>
      </c>
      <c r="N72" s="49">
        <f>'Avg Week Kisaasi-Ntinda'!N72+'Avg Week Ntinda-Kisaasi'!N72</f>
        <v>0</v>
      </c>
      <c r="O72" s="15">
        <f t="shared" si="35"/>
        <v>123.5</v>
      </c>
      <c r="P72" s="15">
        <f t="shared" si="36"/>
        <v>244</v>
      </c>
      <c r="R72" s="8"/>
      <c r="T72"/>
    </row>
    <row r="73" spans="2:20" ht="23.1" customHeight="1" x14ac:dyDescent="0.25">
      <c r="B73" s="23" t="s">
        <v>113</v>
      </c>
      <c r="C73" s="49">
        <f>'Avg Week Kisaasi-Ntinda'!C73+'Avg Week Ntinda-Kisaasi'!C73</f>
        <v>70.5</v>
      </c>
      <c r="D73" s="49">
        <f>'Avg Week Kisaasi-Ntinda'!D73+'Avg Week Ntinda-Kisaasi'!D73</f>
        <v>40.5</v>
      </c>
      <c r="E73" s="49">
        <f>'Avg Week Kisaasi-Ntinda'!E73+'Avg Week Ntinda-Kisaasi'!E73</f>
        <v>6.5</v>
      </c>
      <c r="F73" s="49">
        <f>'Avg Week Kisaasi-Ntinda'!F73+'Avg Week Ntinda-Kisaasi'!F73</f>
        <v>10.5</v>
      </c>
      <c r="G73" s="49">
        <f>'Avg Week Kisaasi-Ntinda'!G73+'Avg Week Ntinda-Kisaasi'!G73</f>
        <v>0.5</v>
      </c>
      <c r="H73" s="49">
        <f>'Avg Week Kisaasi-Ntinda'!H73+'Avg Week Ntinda-Kisaasi'!H73</f>
        <v>0</v>
      </c>
      <c r="I73" s="49">
        <f>'Avg Week Kisaasi-Ntinda'!I73+'Avg Week Ntinda-Kisaasi'!I73</f>
        <v>1.5</v>
      </c>
      <c r="J73" s="49">
        <f>'Avg Week Kisaasi-Ntinda'!J73+'Avg Week Ntinda-Kisaasi'!J73</f>
        <v>1</v>
      </c>
      <c r="K73" s="49">
        <f>'Avg Week Kisaasi-Ntinda'!K73+'Avg Week Ntinda-Kisaasi'!K73</f>
        <v>0.5</v>
      </c>
      <c r="L73" s="49">
        <f>'Avg Week Kisaasi-Ntinda'!L73+'Avg Week Ntinda-Kisaasi'!L73</f>
        <v>1.5</v>
      </c>
      <c r="M73" s="49">
        <f>'Avg Week Kisaasi-Ntinda'!M73+'Avg Week Ntinda-Kisaasi'!M73</f>
        <v>183.5</v>
      </c>
      <c r="N73" s="49">
        <f>'Avg Week Kisaasi-Ntinda'!N73+'Avg Week Ntinda-Kisaasi'!N73</f>
        <v>0</v>
      </c>
      <c r="O73" s="15">
        <f t="shared" si="35"/>
        <v>133</v>
      </c>
      <c r="P73" s="15">
        <f t="shared" si="36"/>
        <v>316.5</v>
      </c>
      <c r="R73" s="8"/>
      <c r="T73"/>
    </row>
    <row r="74" spans="2:20" ht="23.1" customHeight="1" x14ac:dyDescent="0.25">
      <c r="B74" s="23" t="s">
        <v>114</v>
      </c>
      <c r="C74" s="49">
        <f>'Avg Week Kisaasi-Ntinda'!C74+'Avg Week Ntinda-Kisaasi'!C74</f>
        <v>74</v>
      </c>
      <c r="D74" s="49">
        <f>'Avg Week Kisaasi-Ntinda'!D74+'Avg Week Ntinda-Kisaasi'!D74</f>
        <v>40.5</v>
      </c>
      <c r="E74" s="49">
        <f>'Avg Week Kisaasi-Ntinda'!E74+'Avg Week Ntinda-Kisaasi'!E74</f>
        <v>8</v>
      </c>
      <c r="F74" s="49">
        <f>'Avg Week Kisaasi-Ntinda'!F74+'Avg Week Ntinda-Kisaasi'!F74</f>
        <v>12</v>
      </c>
      <c r="G74" s="49">
        <f>'Avg Week Kisaasi-Ntinda'!G74+'Avg Week Ntinda-Kisaasi'!G74</f>
        <v>0.5</v>
      </c>
      <c r="H74" s="49">
        <f>'Avg Week Kisaasi-Ntinda'!H74+'Avg Week Ntinda-Kisaasi'!H74</f>
        <v>0</v>
      </c>
      <c r="I74" s="49">
        <f>'Avg Week Kisaasi-Ntinda'!I74+'Avg Week Ntinda-Kisaasi'!I74</f>
        <v>3.5</v>
      </c>
      <c r="J74" s="49">
        <f>'Avg Week Kisaasi-Ntinda'!J74+'Avg Week Ntinda-Kisaasi'!J74</f>
        <v>1</v>
      </c>
      <c r="K74" s="49">
        <f>'Avg Week Kisaasi-Ntinda'!K74+'Avg Week Ntinda-Kisaasi'!K74</f>
        <v>1</v>
      </c>
      <c r="L74" s="49">
        <f>'Avg Week Kisaasi-Ntinda'!L74+'Avg Week Ntinda-Kisaasi'!L74</f>
        <v>0</v>
      </c>
      <c r="M74" s="49">
        <f>'Avg Week Kisaasi-Ntinda'!M74+'Avg Week Ntinda-Kisaasi'!M74</f>
        <v>109</v>
      </c>
      <c r="N74" s="49">
        <f>'Avg Week Kisaasi-Ntinda'!N74+'Avg Week Ntinda-Kisaasi'!N74</f>
        <v>0</v>
      </c>
      <c r="O74" s="15">
        <f t="shared" si="35"/>
        <v>140.5</v>
      </c>
      <c r="P74" s="15">
        <f t="shared" si="36"/>
        <v>249.5</v>
      </c>
      <c r="R74" s="8"/>
      <c r="T74"/>
    </row>
    <row r="75" spans="2:20" ht="23.1" customHeight="1" x14ac:dyDescent="0.25">
      <c r="B75" s="23" t="s">
        <v>115</v>
      </c>
      <c r="C75" s="49">
        <f>'Avg Week Kisaasi-Ntinda'!C75+'Avg Week Ntinda-Kisaasi'!C75</f>
        <v>49.5</v>
      </c>
      <c r="D75" s="49">
        <f>'Avg Week Kisaasi-Ntinda'!D75+'Avg Week Ntinda-Kisaasi'!D75</f>
        <v>26</v>
      </c>
      <c r="E75" s="49">
        <f>'Avg Week Kisaasi-Ntinda'!E75+'Avg Week Ntinda-Kisaasi'!E75</f>
        <v>3.5</v>
      </c>
      <c r="F75" s="49">
        <f>'Avg Week Kisaasi-Ntinda'!F75+'Avg Week Ntinda-Kisaasi'!F75</f>
        <v>9.5</v>
      </c>
      <c r="G75" s="49">
        <f>'Avg Week Kisaasi-Ntinda'!G75+'Avg Week Ntinda-Kisaasi'!G75</f>
        <v>0</v>
      </c>
      <c r="H75" s="49">
        <f>'Avg Week Kisaasi-Ntinda'!H75+'Avg Week Ntinda-Kisaasi'!H75</f>
        <v>0</v>
      </c>
      <c r="I75" s="49">
        <f>'Avg Week Kisaasi-Ntinda'!I75+'Avg Week Ntinda-Kisaasi'!I75</f>
        <v>3</v>
      </c>
      <c r="J75" s="49">
        <f>'Avg Week Kisaasi-Ntinda'!J75+'Avg Week Ntinda-Kisaasi'!J75</f>
        <v>0.5</v>
      </c>
      <c r="K75" s="49">
        <f>'Avg Week Kisaasi-Ntinda'!K75+'Avg Week Ntinda-Kisaasi'!K75</f>
        <v>0.5</v>
      </c>
      <c r="L75" s="49">
        <f>'Avg Week Kisaasi-Ntinda'!L75+'Avg Week Ntinda-Kisaasi'!L75</f>
        <v>0.5</v>
      </c>
      <c r="M75" s="49">
        <f>'Avg Week Kisaasi-Ntinda'!M75+'Avg Week Ntinda-Kisaasi'!M75</f>
        <v>108</v>
      </c>
      <c r="N75" s="49">
        <f>'Avg Week Kisaasi-Ntinda'!N75+'Avg Week Ntinda-Kisaasi'!N75</f>
        <v>0</v>
      </c>
      <c r="O75" s="15">
        <f t="shared" si="35"/>
        <v>93</v>
      </c>
      <c r="P75" s="15">
        <f t="shared" si="36"/>
        <v>201</v>
      </c>
      <c r="R75" s="8"/>
      <c r="T75"/>
    </row>
    <row r="76" spans="2:20" ht="23.1" customHeight="1" x14ac:dyDescent="0.25">
      <c r="B76" s="23" t="s">
        <v>116</v>
      </c>
      <c r="C76" s="49">
        <f>'Avg Week Kisaasi-Ntinda'!C76+'Avg Week Ntinda-Kisaasi'!C76</f>
        <v>39</v>
      </c>
      <c r="D76" s="49">
        <f>'Avg Week Kisaasi-Ntinda'!D76+'Avg Week Ntinda-Kisaasi'!D76</f>
        <v>16</v>
      </c>
      <c r="E76" s="49">
        <f>'Avg Week Kisaasi-Ntinda'!E76+'Avg Week Ntinda-Kisaasi'!E76</f>
        <v>3</v>
      </c>
      <c r="F76" s="49">
        <f>'Avg Week Kisaasi-Ntinda'!F76+'Avg Week Ntinda-Kisaasi'!F76</f>
        <v>8</v>
      </c>
      <c r="G76" s="49">
        <f>'Avg Week Kisaasi-Ntinda'!G76+'Avg Week Ntinda-Kisaasi'!G76</f>
        <v>0</v>
      </c>
      <c r="H76" s="49">
        <f>'Avg Week Kisaasi-Ntinda'!H76+'Avg Week Ntinda-Kisaasi'!H76</f>
        <v>0</v>
      </c>
      <c r="I76" s="49">
        <f>'Avg Week Kisaasi-Ntinda'!I76+'Avg Week Ntinda-Kisaasi'!I76</f>
        <v>2</v>
      </c>
      <c r="J76" s="49">
        <f>'Avg Week Kisaasi-Ntinda'!J76+'Avg Week Ntinda-Kisaasi'!J76</f>
        <v>0.5</v>
      </c>
      <c r="K76" s="49">
        <f>'Avg Week Kisaasi-Ntinda'!K76+'Avg Week Ntinda-Kisaasi'!K76</f>
        <v>1</v>
      </c>
      <c r="L76" s="49">
        <f>'Avg Week Kisaasi-Ntinda'!L76+'Avg Week Ntinda-Kisaasi'!L76</f>
        <v>0.5</v>
      </c>
      <c r="M76" s="49">
        <f>'Avg Week Kisaasi-Ntinda'!M76+'Avg Week Ntinda-Kisaasi'!M76</f>
        <v>94.5</v>
      </c>
      <c r="N76" s="49">
        <f>'Avg Week Kisaasi-Ntinda'!N76+'Avg Week Ntinda-Kisaasi'!N76</f>
        <v>0</v>
      </c>
      <c r="O76" s="15">
        <f t="shared" si="35"/>
        <v>70</v>
      </c>
      <c r="P76" s="15">
        <f t="shared" si="36"/>
        <v>164.5</v>
      </c>
      <c r="R76" s="8"/>
      <c r="T76"/>
    </row>
    <row r="77" spans="2:20" ht="23.1" customHeight="1" x14ac:dyDescent="0.25">
      <c r="B77" s="23" t="s">
        <v>117</v>
      </c>
      <c r="C77" s="49">
        <f>'Avg Week Kisaasi-Ntinda'!C77+'Avg Week Ntinda-Kisaasi'!C77</f>
        <v>49</v>
      </c>
      <c r="D77" s="49">
        <f>'Avg Week Kisaasi-Ntinda'!D77+'Avg Week Ntinda-Kisaasi'!D77</f>
        <v>23</v>
      </c>
      <c r="E77" s="49">
        <f>'Avg Week Kisaasi-Ntinda'!E77+'Avg Week Ntinda-Kisaasi'!E77</f>
        <v>3.5</v>
      </c>
      <c r="F77" s="49">
        <f>'Avg Week Kisaasi-Ntinda'!F77+'Avg Week Ntinda-Kisaasi'!F77</f>
        <v>6</v>
      </c>
      <c r="G77" s="49">
        <f>'Avg Week Kisaasi-Ntinda'!G77+'Avg Week Ntinda-Kisaasi'!G77</f>
        <v>0</v>
      </c>
      <c r="H77" s="49">
        <f>'Avg Week Kisaasi-Ntinda'!H77+'Avg Week Ntinda-Kisaasi'!H77</f>
        <v>0.5</v>
      </c>
      <c r="I77" s="49">
        <f>'Avg Week Kisaasi-Ntinda'!I77+'Avg Week Ntinda-Kisaasi'!I77</f>
        <v>1</v>
      </c>
      <c r="J77" s="49">
        <f>'Avg Week Kisaasi-Ntinda'!J77+'Avg Week Ntinda-Kisaasi'!J77</f>
        <v>2</v>
      </c>
      <c r="K77" s="49">
        <f>'Avg Week Kisaasi-Ntinda'!K77+'Avg Week Ntinda-Kisaasi'!K77</f>
        <v>0</v>
      </c>
      <c r="L77" s="49">
        <f>'Avg Week Kisaasi-Ntinda'!L77+'Avg Week Ntinda-Kisaasi'!L77</f>
        <v>0</v>
      </c>
      <c r="M77" s="49">
        <f>'Avg Week Kisaasi-Ntinda'!M77+'Avg Week Ntinda-Kisaasi'!M77</f>
        <v>88.5</v>
      </c>
      <c r="N77" s="49">
        <f>'Avg Week Kisaasi-Ntinda'!N77+'Avg Week Ntinda-Kisaasi'!N77</f>
        <v>0</v>
      </c>
      <c r="O77" s="15">
        <f t="shared" si="35"/>
        <v>85</v>
      </c>
      <c r="P77" s="15">
        <f t="shared" si="36"/>
        <v>173.5</v>
      </c>
      <c r="R77" s="8"/>
      <c r="T77"/>
    </row>
    <row r="78" spans="2:20" ht="23.1" customHeight="1" x14ac:dyDescent="0.25">
      <c r="B78" s="24" t="s">
        <v>118</v>
      </c>
      <c r="C78" s="49">
        <f>'Avg Week Kisaasi-Ntinda'!C78+'Avg Week Ntinda-Kisaasi'!C78</f>
        <v>30.5</v>
      </c>
      <c r="D78" s="49">
        <f>'Avg Week Kisaasi-Ntinda'!D78+'Avg Week Ntinda-Kisaasi'!D78</f>
        <v>16</v>
      </c>
      <c r="E78" s="49">
        <f>'Avg Week Kisaasi-Ntinda'!E78+'Avg Week Ntinda-Kisaasi'!E78</f>
        <v>5</v>
      </c>
      <c r="F78" s="49">
        <f>'Avg Week Kisaasi-Ntinda'!F78+'Avg Week Ntinda-Kisaasi'!F78</f>
        <v>5</v>
      </c>
      <c r="G78" s="49">
        <f>'Avg Week Kisaasi-Ntinda'!G78+'Avg Week Ntinda-Kisaasi'!G78</f>
        <v>0</v>
      </c>
      <c r="H78" s="49">
        <f>'Avg Week Kisaasi-Ntinda'!H78+'Avg Week Ntinda-Kisaasi'!H78</f>
        <v>0</v>
      </c>
      <c r="I78" s="49">
        <f>'Avg Week Kisaasi-Ntinda'!I78+'Avg Week Ntinda-Kisaasi'!I78</f>
        <v>2</v>
      </c>
      <c r="J78" s="49">
        <f>'Avg Week Kisaasi-Ntinda'!J78+'Avg Week Ntinda-Kisaasi'!J78</f>
        <v>0.5</v>
      </c>
      <c r="K78" s="49">
        <f>'Avg Week Kisaasi-Ntinda'!K78+'Avg Week Ntinda-Kisaasi'!K78</f>
        <v>0.5</v>
      </c>
      <c r="L78" s="49">
        <f>'Avg Week Kisaasi-Ntinda'!L78+'Avg Week Ntinda-Kisaasi'!L78</f>
        <v>0</v>
      </c>
      <c r="M78" s="49">
        <f>'Avg Week Kisaasi-Ntinda'!M78+'Avg Week Ntinda-Kisaasi'!M78</f>
        <v>71.5</v>
      </c>
      <c r="N78" s="49">
        <f>'Avg Week Kisaasi-Ntinda'!N78+'Avg Week Ntinda-Kisaasi'!N78</f>
        <v>0</v>
      </c>
      <c r="O78" s="15">
        <f t="shared" si="35"/>
        <v>59.5</v>
      </c>
      <c r="P78" s="15">
        <f t="shared" si="36"/>
        <v>131</v>
      </c>
      <c r="R78" s="8"/>
      <c r="T78"/>
    </row>
    <row r="79" spans="2:20" ht="23.1" customHeight="1" x14ac:dyDescent="0.25">
      <c r="B79" s="23" t="s">
        <v>119</v>
      </c>
      <c r="C79" s="49">
        <f>'Avg Week Kisaasi-Ntinda'!C79+'Avg Week Ntinda-Kisaasi'!C79</f>
        <v>43</v>
      </c>
      <c r="D79" s="49">
        <f>'Avg Week Kisaasi-Ntinda'!D79+'Avg Week Ntinda-Kisaasi'!D79</f>
        <v>15</v>
      </c>
      <c r="E79" s="49">
        <f>'Avg Week Kisaasi-Ntinda'!E79+'Avg Week Ntinda-Kisaasi'!E79</f>
        <v>3</v>
      </c>
      <c r="F79" s="49">
        <f>'Avg Week Kisaasi-Ntinda'!F79+'Avg Week Ntinda-Kisaasi'!F79</f>
        <v>4</v>
      </c>
      <c r="G79" s="49">
        <f>'Avg Week Kisaasi-Ntinda'!G79+'Avg Week Ntinda-Kisaasi'!G79</f>
        <v>0</v>
      </c>
      <c r="H79" s="49">
        <f>'Avg Week Kisaasi-Ntinda'!H79+'Avg Week Ntinda-Kisaasi'!H79</f>
        <v>0</v>
      </c>
      <c r="I79" s="49">
        <f>'Avg Week Kisaasi-Ntinda'!I79+'Avg Week Ntinda-Kisaasi'!I79</f>
        <v>1</v>
      </c>
      <c r="J79" s="49">
        <f>'Avg Week Kisaasi-Ntinda'!J79+'Avg Week Ntinda-Kisaasi'!J79</f>
        <v>0</v>
      </c>
      <c r="K79" s="49">
        <f>'Avg Week Kisaasi-Ntinda'!K79+'Avg Week Ntinda-Kisaasi'!K79</f>
        <v>1</v>
      </c>
      <c r="L79" s="49">
        <f>'Avg Week Kisaasi-Ntinda'!L79+'Avg Week Ntinda-Kisaasi'!L79</f>
        <v>0</v>
      </c>
      <c r="M79" s="49">
        <f>'Avg Week Kisaasi-Ntinda'!M79+'Avg Week Ntinda-Kisaasi'!M79</f>
        <v>62.5</v>
      </c>
      <c r="N79" s="49">
        <f>'Avg Week Kisaasi-Ntinda'!N79+'Avg Week Ntinda-Kisaasi'!N79</f>
        <v>0</v>
      </c>
      <c r="O79" s="15">
        <f t="shared" si="35"/>
        <v>67</v>
      </c>
      <c r="P79" s="15">
        <f t="shared" si="36"/>
        <v>129.5</v>
      </c>
      <c r="R79" s="8"/>
      <c r="T79"/>
    </row>
    <row r="80" spans="2:20" ht="23.1" customHeight="1" x14ac:dyDescent="0.25">
      <c r="B80" s="25" t="s">
        <v>120</v>
      </c>
      <c r="C80" s="49">
        <f>'Avg Week Kisaasi-Ntinda'!C80+'Avg Week Ntinda-Kisaasi'!C80</f>
        <v>35</v>
      </c>
      <c r="D80" s="49">
        <f>'Avg Week Kisaasi-Ntinda'!D80+'Avg Week Ntinda-Kisaasi'!D80</f>
        <v>10.5</v>
      </c>
      <c r="E80" s="49">
        <f>'Avg Week Kisaasi-Ntinda'!E80+'Avg Week Ntinda-Kisaasi'!E80</f>
        <v>5</v>
      </c>
      <c r="F80" s="49">
        <f>'Avg Week Kisaasi-Ntinda'!F80+'Avg Week Ntinda-Kisaasi'!F80</f>
        <v>3</v>
      </c>
      <c r="G80" s="49">
        <f>'Avg Week Kisaasi-Ntinda'!G80+'Avg Week Ntinda-Kisaasi'!G80</f>
        <v>0</v>
      </c>
      <c r="H80" s="49">
        <f>'Avg Week Kisaasi-Ntinda'!H80+'Avg Week Ntinda-Kisaasi'!H80</f>
        <v>0</v>
      </c>
      <c r="I80" s="49">
        <f>'Avg Week Kisaasi-Ntinda'!I80+'Avg Week Ntinda-Kisaasi'!I80</f>
        <v>2.5</v>
      </c>
      <c r="J80" s="49">
        <f>'Avg Week Kisaasi-Ntinda'!J80+'Avg Week Ntinda-Kisaasi'!J80</f>
        <v>2</v>
      </c>
      <c r="K80" s="49">
        <f>'Avg Week Kisaasi-Ntinda'!K80+'Avg Week Ntinda-Kisaasi'!K80</f>
        <v>0</v>
      </c>
      <c r="L80" s="49">
        <f>'Avg Week Kisaasi-Ntinda'!L80+'Avg Week Ntinda-Kisaasi'!L80</f>
        <v>0</v>
      </c>
      <c r="M80" s="49">
        <f>'Avg Week Kisaasi-Ntinda'!M80+'Avg Week Ntinda-Kisaasi'!M80</f>
        <v>58</v>
      </c>
      <c r="N80" s="49">
        <f>'Avg Week Kisaasi-Ntinda'!N80+'Avg Week Ntinda-Kisaasi'!N80</f>
        <v>0</v>
      </c>
      <c r="O80" s="15">
        <f t="shared" si="35"/>
        <v>58</v>
      </c>
      <c r="P80" s="15">
        <f t="shared" si="36"/>
        <v>116</v>
      </c>
      <c r="R80" s="8"/>
      <c r="T80"/>
    </row>
    <row r="81" spans="2:20" ht="23.1" customHeight="1" x14ac:dyDescent="0.25">
      <c r="B81" s="23" t="s">
        <v>121</v>
      </c>
      <c r="C81" s="49">
        <f>'Avg Week Kisaasi-Ntinda'!C81+'Avg Week Ntinda-Kisaasi'!C81</f>
        <v>33</v>
      </c>
      <c r="D81" s="49">
        <f>'Avg Week Kisaasi-Ntinda'!D81+'Avg Week Ntinda-Kisaasi'!D81</f>
        <v>9.5</v>
      </c>
      <c r="E81" s="49">
        <f>'Avg Week Kisaasi-Ntinda'!E81+'Avg Week Ntinda-Kisaasi'!E81</f>
        <v>2.5</v>
      </c>
      <c r="F81" s="49">
        <f>'Avg Week Kisaasi-Ntinda'!F81+'Avg Week Ntinda-Kisaasi'!F81</f>
        <v>3</v>
      </c>
      <c r="G81" s="49">
        <f>'Avg Week Kisaasi-Ntinda'!G81+'Avg Week Ntinda-Kisaasi'!G81</f>
        <v>0</v>
      </c>
      <c r="H81" s="49">
        <f>'Avg Week Kisaasi-Ntinda'!H81+'Avg Week Ntinda-Kisaasi'!H81</f>
        <v>0</v>
      </c>
      <c r="I81" s="49">
        <f>'Avg Week Kisaasi-Ntinda'!I81+'Avg Week Ntinda-Kisaasi'!I81</f>
        <v>1</v>
      </c>
      <c r="J81" s="49">
        <f>'Avg Week Kisaasi-Ntinda'!J81+'Avg Week Ntinda-Kisaasi'!J81</f>
        <v>2</v>
      </c>
      <c r="K81" s="49">
        <f>'Avg Week Kisaasi-Ntinda'!K81+'Avg Week Ntinda-Kisaasi'!K81</f>
        <v>0</v>
      </c>
      <c r="L81" s="49">
        <f>'Avg Week Kisaasi-Ntinda'!L81+'Avg Week Ntinda-Kisaasi'!L81</f>
        <v>0.5</v>
      </c>
      <c r="M81" s="49">
        <f>'Avg Week Kisaasi-Ntinda'!M81+'Avg Week Ntinda-Kisaasi'!M81</f>
        <v>50</v>
      </c>
      <c r="N81" s="49">
        <f>'Avg Week Kisaasi-Ntinda'!N81+'Avg Week Ntinda-Kisaasi'!N81</f>
        <v>0</v>
      </c>
      <c r="O81" s="15">
        <f t="shared" si="35"/>
        <v>51.5</v>
      </c>
      <c r="P81" s="15">
        <f t="shared" si="36"/>
        <v>101.5</v>
      </c>
      <c r="R81" s="8"/>
      <c r="T81"/>
    </row>
    <row r="82" spans="2:20" ht="23.1" customHeight="1" x14ac:dyDescent="0.25">
      <c r="B82" s="24" t="s">
        <v>122</v>
      </c>
      <c r="C82" s="49">
        <f>'Avg Week Kisaasi-Ntinda'!C82+'Avg Week Ntinda-Kisaasi'!C82</f>
        <v>32.5</v>
      </c>
      <c r="D82" s="49">
        <f>'Avg Week Kisaasi-Ntinda'!D82+'Avg Week Ntinda-Kisaasi'!D82</f>
        <v>7</v>
      </c>
      <c r="E82" s="49">
        <f>'Avg Week Kisaasi-Ntinda'!E82+'Avg Week Ntinda-Kisaasi'!E82</f>
        <v>2</v>
      </c>
      <c r="F82" s="49">
        <f>'Avg Week Kisaasi-Ntinda'!F82+'Avg Week Ntinda-Kisaasi'!F82</f>
        <v>2</v>
      </c>
      <c r="G82" s="49">
        <f>'Avg Week Kisaasi-Ntinda'!G82+'Avg Week Ntinda-Kisaasi'!G82</f>
        <v>0</v>
      </c>
      <c r="H82" s="49">
        <f>'Avg Week Kisaasi-Ntinda'!H82+'Avg Week Ntinda-Kisaasi'!H82</f>
        <v>0</v>
      </c>
      <c r="I82" s="49">
        <f>'Avg Week Kisaasi-Ntinda'!I82+'Avg Week Ntinda-Kisaasi'!I82</f>
        <v>0.5</v>
      </c>
      <c r="J82" s="49">
        <f>'Avg Week Kisaasi-Ntinda'!J82+'Avg Week Ntinda-Kisaasi'!J82</f>
        <v>0.5</v>
      </c>
      <c r="K82" s="49">
        <f>'Avg Week Kisaasi-Ntinda'!K82+'Avg Week Ntinda-Kisaasi'!K82</f>
        <v>0</v>
      </c>
      <c r="L82" s="49">
        <f>'Avg Week Kisaasi-Ntinda'!L82+'Avg Week Ntinda-Kisaasi'!L82</f>
        <v>1.5</v>
      </c>
      <c r="M82" s="49">
        <f>'Avg Week Kisaasi-Ntinda'!M82+'Avg Week Ntinda-Kisaasi'!M82</f>
        <v>52</v>
      </c>
      <c r="N82" s="49">
        <f>'Avg Week Kisaasi-Ntinda'!N82+'Avg Week Ntinda-Kisaasi'!N82</f>
        <v>0</v>
      </c>
      <c r="O82" s="15">
        <f t="shared" si="35"/>
        <v>46</v>
      </c>
      <c r="P82" s="15">
        <f t="shared" si="36"/>
        <v>98</v>
      </c>
      <c r="R82" s="8"/>
      <c r="T82"/>
    </row>
    <row r="83" spans="2:20" ht="23.1" customHeight="1" x14ac:dyDescent="0.25">
      <c r="B83" s="23" t="s">
        <v>123</v>
      </c>
      <c r="C83" s="49">
        <f>'Avg Week Kisaasi-Ntinda'!C83+'Avg Week Ntinda-Kisaasi'!C83</f>
        <v>31</v>
      </c>
      <c r="D83" s="49">
        <f>'Avg Week Kisaasi-Ntinda'!D83+'Avg Week Ntinda-Kisaasi'!D83</f>
        <v>7</v>
      </c>
      <c r="E83" s="49">
        <f>'Avg Week Kisaasi-Ntinda'!E83+'Avg Week Ntinda-Kisaasi'!E83</f>
        <v>1.5</v>
      </c>
      <c r="F83" s="49">
        <f>'Avg Week Kisaasi-Ntinda'!F83+'Avg Week Ntinda-Kisaasi'!F83</f>
        <v>1.5</v>
      </c>
      <c r="G83" s="49">
        <f>'Avg Week Kisaasi-Ntinda'!G83+'Avg Week Ntinda-Kisaasi'!G83</f>
        <v>0</v>
      </c>
      <c r="H83" s="49">
        <f>'Avg Week Kisaasi-Ntinda'!H83+'Avg Week Ntinda-Kisaasi'!H83</f>
        <v>0</v>
      </c>
      <c r="I83" s="49">
        <f>'Avg Week Kisaasi-Ntinda'!I83+'Avg Week Ntinda-Kisaasi'!I83</f>
        <v>1</v>
      </c>
      <c r="J83" s="49">
        <f>'Avg Week Kisaasi-Ntinda'!J83+'Avg Week Ntinda-Kisaasi'!J83</f>
        <v>0.5</v>
      </c>
      <c r="K83" s="49">
        <f>'Avg Week Kisaasi-Ntinda'!K83+'Avg Week Ntinda-Kisaasi'!K83</f>
        <v>0</v>
      </c>
      <c r="L83" s="49">
        <f>'Avg Week Kisaasi-Ntinda'!L83+'Avg Week Ntinda-Kisaasi'!L83</f>
        <v>0.5</v>
      </c>
      <c r="M83" s="49">
        <f>'Avg Week Kisaasi-Ntinda'!M83+'Avg Week Ntinda-Kisaasi'!M83</f>
        <v>38.5</v>
      </c>
      <c r="N83" s="49">
        <f>'Avg Week Kisaasi-Ntinda'!N83+'Avg Week Ntinda-Kisaasi'!N83</f>
        <v>0</v>
      </c>
      <c r="O83" s="15">
        <f t="shared" si="35"/>
        <v>43</v>
      </c>
      <c r="P83" s="15">
        <f t="shared" si="36"/>
        <v>81.5</v>
      </c>
      <c r="R83" s="8"/>
      <c r="T83"/>
    </row>
    <row r="84" spans="2:20" ht="23.1" customHeight="1" x14ac:dyDescent="0.25">
      <c r="B84" s="25" t="s">
        <v>124</v>
      </c>
      <c r="C84" s="49">
        <f>'Avg Week Kisaasi-Ntinda'!C84+'Avg Week Ntinda-Kisaasi'!C84</f>
        <v>39</v>
      </c>
      <c r="D84" s="49">
        <f>'Avg Week Kisaasi-Ntinda'!D84+'Avg Week Ntinda-Kisaasi'!D84</f>
        <v>3.5</v>
      </c>
      <c r="E84" s="49">
        <f>'Avg Week Kisaasi-Ntinda'!E84+'Avg Week Ntinda-Kisaasi'!E84</f>
        <v>0.5</v>
      </c>
      <c r="F84" s="49">
        <f>'Avg Week Kisaasi-Ntinda'!F84+'Avg Week Ntinda-Kisaasi'!F84</f>
        <v>1.5</v>
      </c>
      <c r="G84" s="49">
        <f>'Avg Week Kisaasi-Ntinda'!G84+'Avg Week Ntinda-Kisaasi'!G84</f>
        <v>0</v>
      </c>
      <c r="H84" s="49">
        <f>'Avg Week Kisaasi-Ntinda'!H84+'Avg Week Ntinda-Kisaasi'!H84</f>
        <v>0</v>
      </c>
      <c r="I84" s="49">
        <f>'Avg Week Kisaasi-Ntinda'!I84+'Avg Week Ntinda-Kisaasi'!I84</f>
        <v>0</v>
      </c>
      <c r="J84" s="49">
        <f>'Avg Week Kisaasi-Ntinda'!J84+'Avg Week Ntinda-Kisaasi'!J84</f>
        <v>1</v>
      </c>
      <c r="K84" s="49">
        <f>'Avg Week Kisaasi-Ntinda'!K84+'Avg Week Ntinda-Kisaasi'!K84</f>
        <v>0.5</v>
      </c>
      <c r="L84" s="49">
        <f>'Avg Week Kisaasi-Ntinda'!L84+'Avg Week Ntinda-Kisaasi'!L84</f>
        <v>0</v>
      </c>
      <c r="M84" s="49">
        <f>'Avg Week Kisaasi-Ntinda'!M84+'Avg Week Ntinda-Kisaasi'!M84</f>
        <v>36</v>
      </c>
      <c r="N84" s="49">
        <f>'Avg Week Kisaasi-Ntinda'!N84+'Avg Week Ntinda-Kisaasi'!N84</f>
        <v>0</v>
      </c>
      <c r="O84" s="15">
        <f t="shared" si="35"/>
        <v>46</v>
      </c>
      <c r="P84" s="15">
        <f t="shared" si="36"/>
        <v>82</v>
      </c>
      <c r="R84" s="8"/>
      <c r="T84"/>
    </row>
    <row r="85" spans="2:20" ht="23.1" customHeight="1" x14ac:dyDescent="0.25">
      <c r="B85" s="23" t="s">
        <v>125</v>
      </c>
      <c r="C85" s="49">
        <f>'Avg Week Kisaasi-Ntinda'!C85+'Avg Week Ntinda-Kisaasi'!C85</f>
        <v>28</v>
      </c>
      <c r="D85" s="49">
        <f>'Avg Week Kisaasi-Ntinda'!D85+'Avg Week Ntinda-Kisaasi'!D85</f>
        <v>8.5</v>
      </c>
      <c r="E85" s="49">
        <f>'Avg Week Kisaasi-Ntinda'!E85+'Avg Week Ntinda-Kisaasi'!E85</f>
        <v>1</v>
      </c>
      <c r="F85" s="49">
        <f>'Avg Week Kisaasi-Ntinda'!F85+'Avg Week Ntinda-Kisaasi'!F85</f>
        <v>0</v>
      </c>
      <c r="G85" s="49">
        <f>'Avg Week Kisaasi-Ntinda'!G85+'Avg Week Ntinda-Kisaasi'!G85</f>
        <v>0</v>
      </c>
      <c r="H85" s="49">
        <f>'Avg Week Kisaasi-Ntinda'!H85+'Avg Week Ntinda-Kisaasi'!H85</f>
        <v>0</v>
      </c>
      <c r="I85" s="49">
        <f>'Avg Week Kisaasi-Ntinda'!I85+'Avg Week Ntinda-Kisaasi'!I85</f>
        <v>1</v>
      </c>
      <c r="J85" s="49">
        <f>'Avg Week Kisaasi-Ntinda'!J85+'Avg Week Ntinda-Kisaasi'!J85</f>
        <v>2</v>
      </c>
      <c r="K85" s="49">
        <f>'Avg Week Kisaasi-Ntinda'!K85+'Avg Week Ntinda-Kisaasi'!K85</f>
        <v>0</v>
      </c>
      <c r="L85" s="49">
        <f>'Avg Week Kisaasi-Ntinda'!L85+'Avg Week Ntinda-Kisaasi'!L85</f>
        <v>0.5</v>
      </c>
      <c r="M85" s="49">
        <f>'Avg Week Kisaasi-Ntinda'!M85+'Avg Week Ntinda-Kisaasi'!M85</f>
        <v>37.5</v>
      </c>
      <c r="N85" s="49">
        <f>'Avg Week Kisaasi-Ntinda'!N85+'Avg Week Ntinda-Kisaasi'!N85</f>
        <v>0</v>
      </c>
      <c r="O85" s="15">
        <f t="shared" si="35"/>
        <v>41</v>
      </c>
      <c r="P85" s="15">
        <f t="shared" si="36"/>
        <v>78.5</v>
      </c>
      <c r="R85" s="8"/>
      <c r="T85"/>
    </row>
    <row r="86" spans="2:20" ht="23.1" customHeight="1" x14ac:dyDescent="0.25">
      <c r="B86" s="24" t="s">
        <v>126</v>
      </c>
      <c r="C86" s="49">
        <f>'Avg Week Kisaasi-Ntinda'!C86+'Avg Week Ntinda-Kisaasi'!C86</f>
        <v>17</v>
      </c>
      <c r="D86" s="49">
        <f>'Avg Week Kisaasi-Ntinda'!D86+'Avg Week Ntinda-Kisaasi'!D86</f>
        <v>4</v>
      </c>
      <c r="E86" s="49">
        <f>'Avg Week Kisaasi-Ntinda'!E86+'Avg Week Ntinda-Kisaasi'!E86</f>
        <v>1.5</v>
      </c>
      <c r="F86" s="49">
        <f>'Avg Week Kisaasi-Ntinda'!F86+'Avg Week Ntinda-Kisaasi'!F86</f>
        <v>1</v>
      </c>
      <c r="G86" s="49">
        <f>'Avg Week Kisaasi-Ntinda'!G86+'Avg Week Ntinda-Kisaasi'!G86</f>
        <v>0</v>
      </c>
      <c r="H86" s="49">
        <f>'Avg Week Kisaasi-Ntinda'!H86+'Avg Week Ntinda-Kisaasi'!H86</f>
        <v>0</v>
      </c>
      <c r="I86" s="49">
        <f>'Avg Week Kisaasi-Ntinda'!I86+'Avg Week Ntinda-Kisaasi'!I86</f>
        <v>1.5</v>
      </c>
      <c r="J86" s="49">
        <f>'Avg Week Kisaasi-Ntinda'!J86+'Avg Week Ntinda-Kisaasi'!J86</f>
        <v>0</v>
      </c>
      <c r="K86" s="49">
        <f>'Avg Week Kisaasi-Ntinda'!K86+'Avg Week Ntinda-Kisaasi'!K86</f>
        <v>0.5</v>
      </c>
      <c r="L86" s="49">
        <f>'Avg Week Kisaasi-Ntinda'!L86+'Avg Week Ntinda-Kisaasi'!L86</f>
        <v>0.5</v>
      </c>
      <c r="M86" s="49">
        <f>'Avg Week Kisaasi-Ntinda'!M86+'Avg Week Ntinda-Kisaasi'!M86</f>
        <v>22.5</v>
      </c>
      <c r="N86" s="49">
        <f>'Avg Week Kisaasi-Ntinda'!N86+'Avg Week Ntinda-Kisaasi'!N86</f>
        <v>0</v>
      </c>
      <c r="O86" s="15">
        <f t="shared" si="35"/>
        <v>26</v>
      </c>
      <c r="P86" s="15">
        <f t="shared" si="36"/>
        <v>48.5</v>
      </c>
      <c r="R86" s="8"/>
      <c r="T86"/>
    </row>
    <row r="87" spans="2:20" ht="23.1" customHeight="1" x14ac:dyDescent="0.25">
      <c r="B87" s="23" t="s">
        <v>127</v>
      </c>
      <c r="C87" s="49">
        <f>'Avg Week Kisaasi-Ntinda'!C87+'Avg Week Ntinda-Kisaasi'!C87</f>
        <v>21.5</v>
      </c>
      <c r="D87" s="49">
        <f>'Avg Week Kisaasi-Ntinda'!D87+'Avg Week Ntinda-Kisaasi'!D87</f>
        <v>6</v>
      </c>
      <c r="E87" s="49">
        <f>'Avg Week Kisaasi-Ntinda'!E87+'Avg Week Ntinda-Kisaasi'!E87</f>
        <v>2.5</v>
      </c>
      <c r="F87" s="49">
        <f>'Avg Week Kisaasi-Ntinda'!F87+'Avg Week Ntinda-Kisaasi'!F87</f>
        <v>0</v>
      </c>
      <c r="G87" s="49">
        <f>'Avg Week Kisaasi-Ntinda'!G87+'Avg Week Ntinda-Kisaasi'!G87</f>
        <v>0</v>
      </c>
      <c r="H87" s="49">
        <f>'Avg Week Kisaasi-Ntinda'!H87+'Avg Week Ntinda-Kisaasi'!H87</f>
        <v>0</v>
      </c>
      <c r="I87" s="49">
        <f>'Avg Week Kisaasi-Ntinda'!I87+'Avg Week Ntinda-Kisaasi'!I87</f>
        <v>0</v>
      </c>
      <c r="J87" s="49">
        <f>'Avg Week Kisaasi-Ntinda'!J87+'Avg Week Ntinda-Kisaasi'!J87</f>
        <v>3.5</v>
      </c>
      <c r="K87" s="49">
        <f>'Avg Week Kisaasi-Ntinda'!K87+'Avg Week Ntinda-Kisaasi'!K87</f>
        <v>0</v>
      </c>
      <c r="L87" s="49">
        <f>'Avg Week Kisaasi-Ntinda'!L87+'Avg Week Ntinda-Kisaasi'!L87</f>
        <v>0</v>
      </c>
      <c r="M87" s="49">
        <f>'Avg Week Kisaasi-Ntinda'!M87+'Avg Week Ntinda-Kisaasi'!M87</f>
        <v>40</v>
      </c>
      <c r="N87" s="49">
        <f>'Avg Week Kisaasi-Ntinda'!N87+'Avg Week Ntinda-Kisaasi'!N87</f>
        <v>0</v>
      </c>
      <c r="O87" s="15">
        <f t="shared" si="35"/>
        <v>33.5</v>
      </c>
      <c r="P87" s="15">
        <f t="shared" si="36"/>
        <v>73.5</v>
      </c>
      <c r="R87" s="8"/>
      <c r="T87"/>
    </row>
    <row r="88" spans="2:20" ht="23.1" customHeight="1" x14ac:dyDescent="0.25">
      <c r="B88" s="25" t="s">
        <v>128</v>
      </c>
      <c r="C88" s="49">
        <f>'Avg Week Kisaasi-Ntinda'!C88+'Avg Week Ntinda-Kisaasi'!C88</f>
        <v>21</v>
      </c>
      <c r="D88" s="49">
        <f>'Avg Week Kisaasi-Ntinda'!D88+'Avg Week Ntinda-Kisaasi'!D88</f>
        <v>4.5</v>
      </c>
      <c r="E88" s="49">
        <f>'Avg Week Kisaasi-Ntinda'!E88+'Avg Week Ntinda-Kisaasi'!E88</f>
        <v>3.5</v>
      </c>
      <c r="F88" s="49">
        <f>'Avg Week Kisaasi-Ntinda'!F88+'Avg Week Ntinda-Kisaasi'!F88</f>
        <v>0</v>
      </c>
      <c r="G88" s="49">
        <f>'Avg Week Kisaasi-Ntinda'!G88+'Avg Week Ntinda-Kisaasi'!G88</f>
        <v>0</v>
      </c>
      <c r="H88" s="49">
        <f>'Avg Week Kisaasi-Ntinda'!H88+'Avg Week Ntinda-Kisaasi'!H88</f>
        <v>0</v>
      </c>
      <c r="I88" s="49">
        <f>'Avg Week Kisaasi-Ntinda'!I88+'Avg Week Ntinda-Kisaasi'!I88</f>
        <v>0</v>
      </c>
      <c r="J88" s="49">
        <f>'Avg Week Kisaasi-Ntinda'!J88+'Avg Week Ntinda-Kisaasi'!J88</f>
        <v>0.5</v>
      </c>
      <c r="K88" s="49">
        <f>'Avg Week Kisaasi-Ntinda'!K88+'Avg Week Ntinda-Kisaasi'!K88</f>
        <v>1</v>
      </c>
      <c r="L88" s="49">
        <f>'Avg Week Kisaasi-Ntinda'!L88+'Avg Week Ntinda-Kisaasi'!L88</f>
        <v>0.5</v>
      </c>
      <c r="M88" s="49">
        <f>'Avg Week Kisaasi-Ntinda'!M88+'Avg Week Ntinda-Kisaasi'!M88</f>
        <v>39.5</v>
      </c>
      <c r="N88" s="49">
        <f>'Avg Week Kisaasi-Ntinda'!N88+'Avg Week Ntinda-Kisaasi'!N88</f>
        <v>0</v>
      </c>
      <c r="O88" s="15">
        <f t="shared" si="35"/>
        <v>31</v>
      </c>
      <c r="P88" s="15">
        <f t="shared" si="36"/>
        <v>70.5</v>
      </c>
      <c r="R88" s="8"/>
      <c r="T88"/>
    </row>
    <row r="89" spans="2:20" ht="23.1" customHeight="1" x14ac:dyDescent="0.25">
      <c r="B89" s="23" t="s">
        <v>129</v>
      </c>
      <c r="C89" s="49">
        <f>'Avg Week Kisaasi-Ntinda'!C89+'Avg Week Ntinda-Kisaasi'!C89</f>
        <v>18.5</v>
      </c>
      <c r="D89" s="49">
        <f>'Avg Week Kisaasi-Ntinda'!D89+'Avg Week Ntinda-Kisaasi'!D89</f>
        <v>4.5</v>
      </c>
      <c r="E89" s="49">
        <f>'Avg Week Kisaasi-Ntinda'!E89+'Avg Week Ntinda-Kisaasi'!E89</f>
        <v>2.5</v>
      </c>
      <c r="F89" s="49">
        <f>'Avg Week Kisaasi-Ntinda'!F89+'Avg Week Ntinda-Kisaasi'!F89</f>
        <v>0.5</v>
      </c>
      <c r="G89" s="49">
        <f>'Avg Week Kisaasi-Ntinda'!G89+'Avg Week Ntinda-Kisaasi'!G89</f>
        <v>0</v>
      </c>
      <c r="H89" s="49">
        <f>'Avg Week Kisaasi-Ntinda'!H89+'Avg Week Ntinda-Kisaasi'!H89</f>
        <v>0</v>
      </c>
      <c r="I89" s="49">
        <f>'Avg Week Kisaasi-Ntinda'!I89+'Avg Week Ntinda-Kisaasi'!I89</f>
        <v>1.5</v>
      </c>
      <c r="J89" s="49">
        <f>'Avg Week Kisaasi-Ntinda'!J89+'Avg Week Ntinda-Kisaasi'!J89</f>
        <v>0.5</v>
      </c>
      <c r="K89" s="49">
        <f>'Avg Week Kisaasi-Ntinda'!K89+'Avg Week Ntinda-Kisaasi'!K89</f>
        <v>0</v>
      </c>
      <c r="L89" s="49">
        <f>'Avg Week Kisaasi-Ntinda'!L89+'Avg Week Ntinda-Kisaasi'!L89</f>
        <v>0.5</v>
      </c>
      <c r="M89" s="49">
        <f>'Avg Week Kisaasi-Ntinda'!M89+'Avg Week Ntinda-Kisaasi'!M89</f>
        <v>39</v>
      </c>
      <c r="N89" s="49">
        <f>'Avg Week Kisaasi-Ntinda'!N89+'Avg Week Ntinda-Kisaasi'!N89</f>
        <v>0</v>
      </c>
      <c r="O89" s="15">
        <f t="shared" si="35"/>
        <v>28.5</v>
      </c>
      <c r="P89" s="15">
        <f t="shared" si="36"/>
        <v>67.5</v>
      </c>
      <c r="R89" s="8"/>
      <c r="T89"/>
    </row>
    <row r="90" spans="2:20" ht="23.1" customHeight="1" x14ac:dyDescent="0.25">
      <c r="B90" s="24" t="s">
        <v>130</v>
      </c>
      <c r="C90" s="49">
        <f>'Avg Week Kisaasi-Ntinda'!C90+'Avg Week Ntinda-Kisaasi'!C90</f>
        <v>16.5</v>
      </c>
      <c r="D90" s="49">
        <f>'Avg Week Kisaasi-Ntinda'!D90+'Avg Week Ntinda-Kisaasi'!D90</f>
        <v>5</v>
      </c>
      <c r="E90" s="49">
        <f>'Avg Week Kisaasi-Ntinda'!E90+'Avg Week Ntinda-Kisaasi'!E90</f>
        <v>0</v>
      </c>
      <c r="F90" s="49">
        <f>'Avg Week Kisaasi-Ntinda'!F90+'Avg Week Ntinda-Kisaasi'!F90</f>
        <v>1</v>
      </c>
      <c r="G90" s="49">
        <f>'Avg Week Kisaasi-Ntinda'!G90+'Avg Week Ntinda-Kisaasi'!G90</f>
        <v>0</v>
      </c>
      <c r="H90" s="49">
        <f>'Avg Week Kisaasi-Ntinda'!H90+'Avg Week Ntinda-Kisaasi'!H90</f>
        <v>0</v>
      </c>
      <c r="I90" s="49">
        <f>'Avg Week Kisaasi-Ntinda'!I90+'Avg Week Ntinda-Kisaasi'!I90</f>
        <v>1</v>
      </c>
      <c r="J90" s="49">
        <f>'Avg Week Kisaasi-Ntinda'!J90+'Avg Week Ntinda-Kisaasi'!J90</f>
        <v>1</v>
      </c>
      <c r="K90" s="49">
        <f>'Avg Week Kisaasi-Ntinda'!K90+'Avg Week Ntinda-Kisaasi'!K90</f>
        <v>0</v>
      </c>
      <c r="L90" s="49">
        <f>'Avg Week Kisaasi-Ntinda'!L90+'Avg Week Ntinda-Kisaasi'!L90</f>
        <v>0</v>
      </c>
      <c r="M90" s="49">
        <f>'Avg Week Kisaasi-Ntinda'!M90+'Avg Week Ntinda-Kisaasi'!M90</f>
        <v>30</v>
      </c>
      <c r="N90" s="49">
        <f>'Avg Week Kisaasi-Ntinda'!N90+'Avg Week Ntinda-Kisaasi'!N90</f>
        <v>0</v>
      </c>
      <c r="O90" s="15">
        <f t="shared" si="35"/>
        <v>24.5</v>
      </c>
      <c r="P90" s="15">
        <f t="shared" si="36"/>
        <v>54.5</v>
      </c>
      <c r="R90" s="8"/>
      <c r="T90"/>
    </row>
    <row r="91" spans="2:20" ht="23.1" customHeight="1" x14ac:dyDescent="0.25">
      <c r="B91" s="23" t="s">
        <v>131</v>
      </c>
      <c r="C91" s="49">
        <f>'Avg Week Kisaasi-Ntinda'!C91+'Avg Week Ntinda-Kisaasi'!C91</f>
        <v>13.5</v>
      </c>
      <c r="D91" s="49">
        <f>'Avg Week Kisaasi-Ntinda'!D91+'Avg Week Ntinda-Kisaasi'!D91</f>
        <v>6.5</v>
      </c>
      <c r="E91" s="49">
        <f>'Avg Week Kisaasi-Ntinda'!E91+'Avg Week Ntinda-Kisaasi'!E91</f>
        <v>2</v>
      </c>
      <c r="F91" s="49">
        <f>'Avg Week Kisaasi-Ntinda'!F91+'Avg Week Ntinda-Kisaasi'!F91</f>
        <v>0</v>
      </c>
      <c r="G91" s="49">
        <f>'Avg Week Kisaasi-Ntinda'!G91+'Avg Week Ntinda-Kisaasi'!G91</f>
        <v>0</v>
      </c>
      <c r="H91" s="49">
        <f>'Avg Week Kisaasi-Ntinda'!H91+'Avg Week Ntinda-Kisaasi'!H91</f>
        <v>0</v>
      </c>
      <c r="I91" s="49">
        <f>'Avg Week Kisaasi-Ntinda'!I91+'Avg Week Ntinda-Kisaasi'!I91</f>
        <v>1.5</v>
      </c>
      <c r="J91" s="49">
        <f>'Avg Week Kisaasi-Ntinda'!J91+'Avg Week Ntinda-Kisaasi'!J91</f>
        <v>1.5</v>
      </c>
      <c r="K91" s="49">
        <f>'Avg Week Kisaasi-Ntinda'!K91+'Avg Week Ntinda-Kisaasi'!K91</f>
        <v>0.5</v>
      </c>
      <c r="L91" s="49">
        <f>'Avg Week Kisaasi-Ntinda'!L91+'Avg Week Ntinda-Kisaasi'!L91</f>
        <v>0</v>
      </c>
      <c r="M91" s="49">
        <f>'Avg Week Kisaasi-Ntinda'!M91+'Avg Week Ntinda-Kisaasi'!M91</f>
        <v>35.5</v>
      </c>
      <c r="N91" s="49">
        <f>'Avg Week Kisaasi-Ntinda'!N91+'Avg Week Ntinda-Kisaasi'!N91</f>
        <v>0</v>
      </c>
      <c r="O91" s="15">
        <f t="shared" si="35"/>
        <v>25.5</v>
      </c>
      <c r="P91" s="15">
        <f t="shared" si="36"/>
        <v>61</v>
      </c>
      <c r="R91" s="8"/>
      <c r="T91"/>
    </row>
    <row r="92" spans="2:20" ht="23.1" customHeight="1" x14ac:dyDescent="0.25">
      <c r="B92" s="25" t="s">
        <v>132</v>
      </c>
      <c r="C92" s="49">
        <f>'Avg Week Kisaasi-Ntinda'!C92+'Avg Week Ntinda-Kisaasi'!C92</f>
        <v>17.5</v>
      </c>
      <c r="D92" s="49">
        <f>'Avg Week Kisaasi-Ntinda'!D92+'Avg Week Ntinda-Kisaasi'!D92</f>
        <v>3.5</v>
      </c>
      <c r="E92" s="49">
        <f>'Avg Week Kisaasi-Ntinda'!E92+'Avg Week Ntinda-Kisaasi'!E92</f>
        <v>1.5</v>
      </c>
      <c r="F92" s="49">
        <f>'Avg Week Kisaasi-Ntinda'!F92+'Avg Week Ntinda-Kisaasi'!F92</f>
        <v>0</v>
      </c>
      <c r="G92" s="49">
        <f>'Avg Week Kisaasi-Ntinda'!G92+'Avg Week Ntinda-Kisaasi'!G92</f>
        <v>0.5</v>
      </c>
      <c r="H92" s="49">
        <f>'Avg Week Kisaasi-Ntinda'!H92+'Avg Week Ntinda-Kisaasi'!H92</f>
        <v>0</v>
      </c>
      <c r="I92" s="49">
        <f>'Avg Week Kisaasi-Ntinda'!I92+'Avg Week Ntinda-Kisaasi'!I92</f>
        <v>0.5</v>
      </c>
      <c r="J92" s="49">
        <f>'Avg Week Kisaasi-Ntinda'!J92+'Avg Week Ntinda-Kisaasi'!J92</f>
        <v>0.5</v>
      </c>
      <c r="K92" s="49">
        <f>'Avg Week Kisaasi-Ntinda'!K92+'Avg Week Ntinda-Kisaasi'!K92</f>
        <v>0</v>
      </c>
      <c r="L92" s="49">
        <f>'Avg Week Kisaasi-Ntinda'!L92+'Avg Week Ntinda-Kisaasi'!L92</f>
        <v>1</v>
      </c>
      <c r="M92" s="49">
        <f>'Avg Week Kisaasi-Ntinda'!M92+'Avg Week Ntinda-Kisaasi'!M92</f>
        <v>21.5</v>
      </c>
      <c r="N92" s="49">
        <f>'Avg Week Kisaasi-Ntinda'!N92+'Avg Week Ntinda-Kisaasi'!N92</f>
        <v>0</v>
      </c>
      <c r="O92" s="15">
        <f t="shared" si="35"/>
        <v>25</v>
      </c>
      <c r="P92" s="15">
        <f t="shared" si="36"/>
        <v>46.5</v>
      </c>
      <c r="R92" s="8"/>
      <c r="T92"/>
    </row>
    <row r="93" spans="2:20" ht="23.1" customHeight="1" x14ac:dyDescent="0.25">
      <c r="B93" s="23" t="s">
        <v>133</v>
      </c>
      <c r="C93" s="49">
        <f>'Avg Week Kisaasi-Ntinda'!C93+'Avg Week Ntinda-Kisaasi'!C93</f>
        <v>15.5</v>
      </c>
      <c r="D93" s="49">
        <f>'Avg Week Kisaasi-Ntinda'!D93+'Avg Week Ntinda-Kisaasi'!D93</f>
        <v>4.5</v>
      </c>
      <c r="E93" s="49">
        <f>'Avg Week Kisaasi-Ntinda'!E93+'Avg Week Ntinda-Kisaasi'!E93</f>
        <v>1</v>
      </c>
      <c r="F93" s="49">
        <f>'Avg Week Kisaasi-Ntinda'!F93+'Avg Week Ntinda-Kisaasi'!F93</f>
        <v>0.5</v>
      </c>
      <c r="G93" s="49">
        <f>'Avg Week Kisaasi-Ntinda'!G93+'Avg Week Ntinda-Kisaasi'!G93</f>
        <v>0</v>
      </c>
      <c r="H93" s="49">
        <f>'Avg Week Kisaasi-Ntinda'!H93+'Avg Week Ntinda-Kisaasi'!H93</f>
        <v>0</v>
      </c>
      <c r="I93" s="49">
        <f>'Avg Week Kisaasi-Ntinda'!I93+'Avg Week Ntinda-Kisaasi'!I93</f>
        <v>1</v>
      </c>
      <c r="J93" s="49">
        <f>'Avg Week Kisaasi-Ntinda'!J93+'Avg Week Ntinda-Kisaasi'!J93</f>
        <v>2</v>
      </c>
      <c r="K93" s="49">
        <f>'Avg Week Kisaasi-Ntinda'!K93+'Avg Week Ntinda-Kisaasi'!K93</f>
        <v>0.5</v>
      </c>
      <c r="L93" s="49">
        <f>'Avg Week Kisaasi-Ntinda'!L93+'Avg Week Ntinda-Kisaasi'!L93</f>
        <v>1</v>
      </c>
      <c r="M93" s="49">
        <f>'Avg Week Kisaasi-Ntinda'!M93+'Avg Week Ntinda-Kisaasi'!M93</f>
        <v>21</v>
      </c>
      <c r="N93" s="49">
        <f>'Avg Week Kisaasi-Ntinda'!N93+'Avg Week Ntinda-Kisaasi'!N93</f>
        <v>0</v>
      </c>
      <c r="O93" s="15">
        <f t="shared" si="35"/>
        <v>26</v>
      </c>
      <c r="P93" s="15">
        <f t="shared" si="36"/>
        <v>47</v>
      </c>
      <c r="R93" s="8"/>
      <c r="T93"/>
    </row>
    <row r="94" spans="2:20" ht="23.1" customHeight="1" x14ac:dyDescent="0.25">
      <c r="B94" s="24" t="s">
        <v>134</v>
      </c>
      <c r="C94" s="49">
        <f>'Avg Week Kisaasi-Ntinda'!C94+'Avg Week Ntinda-Kisaasi'!C94</f>
        <v>16.5</v>
      </c>
      <c r="D94" s="49">
        <f>'Avg Week Kisaasi-Ntinda'!D94+'Avg Week Ntinda-Kisaasi'!D94</f>
        <v>7.5</v>
      </c>
      <c r="E94" s="49">
        <f>'Avg Week Kisaasi-Ntinda'!E94+'Avg Week Ntinda-Kisaasi'!E94</f>
        <v>1.5</v>
      </c>
      <c r="F94" s="49">
        <f>'Avg Week Kisaasi-Ntinda'!F94+'Avg Week Ntinda-Kisaasi'!F94</f>
        <v>2</v>
      </c>
      <c r="G94" s="49">
        <f>'Avg Week Kisaasi-Ntinda'!G94+'Avg Week Ntinda-Kisaasi'!G94</f>
        <v>0</v>
      </c>
      <c r="H94" s="49">
        <f>'Avg Week Kisaasi-Ntinda'!H94+'Avg Week Ntinda-Kisaasi'!H94</f>
        <v>0</v>
      </c>
      <c r="I94" s="49">
        <f>'Avg Week Kisaasi-Ntinda'!I94+'Avg Week Ntinda-Kisaasi'!I94</f>
        <v>1.5</v>
      </c>
      <c r="J94" s="49">
        <f>'Avg Week Kisaasi-Ntinda'!J94+'Avg Week Ntinda-Kisaasi'!J94</f>
        <v>0.5</v>
      </c>
      <c r="K94" s="49">
        <f>'Avg Week Kisaasi-Ntinda'!K94+'Avg Week Ntinda-Kisaasi'!K94</f>
        <v>0.5</v>
      </c>
      <c r="L94" s="49">
        <f>'Avg Week Kisaasi-Ntinda'!L94+'Avg Week Ntinda-Kisaasi'!L94</f>
        <v>0.5</v>
      </c>
      <c r="M94" s="49">
        <f>'Avg Week Kisaasi-Ntinda'!M94+'Avg Week Ntinda-Kisaasi'!M94</f>
        <v>27.5</v>
      </c>
      <c r="N94" s="49">
        <f>'Avg Week Kisaasi-Ntinda'!N94+'Avg Week Ntinda-Kisaasi'!N94</f>
        <v>0</v>
      </c>
      <c r="O94" s="15">
        <f t="shared" si="35"/>
        <v>30.5</v>
      </c>
      <c r="P94" s="15">
        <f t="shared" si="36"/>
        <v>58</v>
      </c>
      <c r="R94" s="8"/>
      <c r="T94"/>
    </row>
    <row r="95" spans="2:20" ht="23.1" customHeight="1" x14ac:dyDescent="0.25">
      <c r="B95" s="23" t="s">
        <v>135</v>
      </c>
      <c r="C95" s="49">
        <f>'Avg Week Kisaasi-Ntinda'!C95+'Avg Week Ntinda-Kisaasi'!C95</f>
        <v>10.5</v>
      </c>
      <c r="D95" s="49">
        <f>'Avg Week Kisaasi-Ntinda'!D95+'Avg Week Ntinda-Kisaasi'!D95</f>
        <v>6.5</v>
      </c>
      <c r="E95" s="49">
        <f>'Avg Week Kisaasi-Ntinda'!E95+'Avg Week Ntinda-Kisaasi'!E95</f>
        <v>2</v>
      </c>
      <c r="F95" s="49">
        <f>'Avg Week Kisaasi-Ntinda'!F95+'Avg Week Ntinda-Kisaasi'!F95</f>
        <v>3</v>
      </c>
      <c r="G95" s="49">
        <f>'Avg Week Kisaasi-Ntinda'!G95+'Avg Week Ntinda-Kisaasi'!G95</f>
        <v>0</v>
      </c>
      <c r="H95" s="49">
        <f>'Avg Week Kisaasi-Ntinda'!H95+'Avg Week Ntinda-Kisaasi'!H95</f>
        <v>0</v>
      </c>
      <c r="I95" s="49">
        <f>'Avg Week Kisaasi-Ntinda'!I95+'Avg Week Ntinda-Kisaasi'!I95</f>
        <v>1</v>
      </c>
      <c r="J95" s="49">
        <f>'Avg Week Kisaasi-Ntinda'!J95+'Avg Week Ntinda-Kisaasi'!J95</f>
        <v>0.5</v>
      </c>
      <c r="K95" s="49">
        <f>'Avg Week Kisaasi-Ntinda'!K95+'Avg Week Ntinda-Kisaasi'!K95</f>
        <v>0</v>
      </c>
      <c r="L95" s="49">
        <f>'Avg Week Kisaasi-Ntinda'!L95+'Avg Week Ntinda-Kisaasi'!L95</f>
        <v>0</v>
      </c>
      <c r="M95" s="49">
        <f>'Avg Week Kisaasi-Ntinda'!M95+'Avg Week Ntinda-Kisaasi'!M95</f>
        <v>26.5</v>
      </c>
      <c r="N95" s="49">
        <f>'Avg Week Kisaasi-Ntinda'!N95+'Avg Week Ntinda-Kisaasi'!N95</f>
        <v>0</v>
      </c>
      <c r="O95" s="15">
        <f t="shared" si="35"/>
        <v>23.5</v>
      </c>
      <c r="P95" s="15">
        <f t="shared" si="36"/>
        <v>50</v>
      </c>
      <c r="R95" s="8"/>
      <c r="T95"/>
    </row>
    <row r="96" spans="2:20" ht="23.1" customHeight="1" x14ac:dyDescent="0.25">
      <c r="B96" s="25" t="s">
        <v>136</v>
      </c>
      <c r="C96" s="49">
        <f>'Avg Week Kisaasi-Ntinda'!C96+'Avg Week Ntinda-Kisaasi'!C96</f>
        <v>14</v>
      </c>
      <c r="D96" s="49">
        <f>'Avg Week Kisaasi-Ntinda'!D96+'Avg Week Ntinda-Kisaasi'!D96</f>
        <v>5</v>
      </c>
      <c r="E96" s="49">
        <f>'Avg Week Kisaasi-Ntinda'!E96+'Avg Week Ntinda-Kisaasi'!E96</f>
        <v>1.5</v>
      </c>
      <c r="F96" s="49">
        <f>'Avg Week Kisaasi-Ntinda'!F96+'Avg Week Ntinda-Kisaasi'!F96</f>
        <v>0.5</v>
      </c>
      <c r="G96" s="49">
        <f>'Avg Week Kisaasi-Ntinda'!G96+'Avg Week Ntinda-Kisaasi'!G96</f>
        <v>0</v>
      </c>
      <c r="H96" s="49">
        <f>'Avg Week Kisaasi-Ntinda'!H96+'Avg Week Ntinda-Kisaasi'!H96</f>
        <v>0</v>
      </c>
      <c r="I96" s="49">
        <f>'Avg Week Kisaasi-Ntinda'!I96+'Avg Week Ntinda-Kisaasi'!I96</f>
        <v>1.5</v>
      </c>
      <c r="J96" s="49">
        <f>'Avg Week Kisaasi-Ntinda'!J96+'Avg Week Ntinda-Kisaasi'!J96</f>
        <v>0.5</v>
      </c>
      <c r="K96" s="49">
        <f>'Avg Week Kisaasi-Ntinda'!K96+'Avg Week Ntinda-Kisaasi'!K96</f>
        <v>1</v>
      </c>
      <c r="L96" s="49">
        <f>'Avg Week Kisaasi-Ntinda'!L96+'Avg Week Ntinda-Kisaasi'!L96</f>
        <v>0</v>
      </c>
      <c r="M96" s="49">
        <f>'Avg Week Kisaasi-Ntinda'!M96+'Avg Week Ntinda-Kisaasi'!M96</f>
        <v>16.5</v>
      </c>
      <c r="N96" s="49">
        <f>'Avg Week Kisaasi-Ntinda'!N96+'Avg Week Ntinda-Kisaasi'!N96</f>
        <v>0</v>
      </c>
      <c r="O96" s="15">
        <f t="shared" si="35"/>
        <v>24</v>
      </c>
      <c r="P96" s="15">
        <f t="shared" si="36"/>
        <v>40.5</v>
      </c>
      <c r="R96" s="8"/>
      <c r="T96"/>
    </row>
    <row r="97" spans="2:20" ht="23.1" customHeight="1" x14ac:dyDescent="0.25">
      <c r="B97" s="23" t="s">
        <v>137</v>
      </c>
      <c r="C97" s="49">
        <f>'Avg Week Kisaasi-Ntinda'!C97+'Avg Week Ntinda-Kisaasi'!C97</f>
        <v>12.5</v>
      </c>
      <c r="D97" s="49">
        <f>'Avg Week Kisaasi-Ntinda'!D97+'Avg Week Ntinda-Kisaasi'!D97</f>
        <v>3.5</v>
      </c>
      <c r="E97" s="49">
        <f>'Avg Week Kisaasi-Ntinda'!E97+'Avg Week Ntinda-Kisaasi'!E97</f>
        <v>6</v>
      </c>
      <c r="F97" s="49">
        <f>'Avg Week Kisaasi-Ntinda'!F97+'Avg Week Ntinda-Kisaasi'!F97</f>
        <v>2</v>
      </c>
      <c r="G97" s="49">
        <f>'Avg Week Kisaasi-Ntinda'!G97+'Avg Week Ntinda-Kisaasi'!G97</f>
        <v>0</v>
      </c>
      <c r="H97" s="49">
        <f>'Avg Week Kisaasi-Ntinda'!H97+'Avg Week Ntinda-Kisaasi'!H97</f>
        <v>0</v>
      </c>
      <c r="I97" s="49">
        <f>'Avg Week Kisaasi-Ntinda'!I97+'Avg Week Ntinda-Kisaasi'!I97</f>
        <v>1</v>
      </c>
      <c r="J97" s="49">
        <f>'Avg Week Kisaasi-Ntinda'!J97+'Avg Week Ntinda-Kisaasi'!J97</f>
        <v>0</v>
      </c>
      <c r="K97" s="49">
        <f>'Avg Week Kisaasi-Ntinda'!K97+'Avg Week Ntinda-Kisaasi'!K97</f>
        <v>0</v>
      </c>
      <c r="L97" s="49">
        <f>'Avg Week Kisaasi-Ntinda'!L97+'Avg Week Ntinda-Kisaasi'!L97</f>
        <v>0.5</v>
      </c>
      <c r="M97" s="49">
        <f>'Avg Week Kisaasi-Ntinda'!M97+'Avg Week Ntinda-Kisaasi'!M97</f>
        <v>17.5</v>
      </c>
      <c r="N97" s="49">
        <f>'Avg Week Kisaasi-Ntinda'!N97+'Avg Week Ntinda-Kisaasi'!N97</f>
        <v>0</v>
      </c>
      <c r="O97" s="15">
        <f t="shared" si="35"/>
        <v>25.5</v>
      </c>
      <c r="P97" s="15">
        <f t="shared" si="36"/>
        <v>43</v>
      </c>
      <c r="R97" s="8"/>
      <c r="T97"/>
    </row>
    <row r="98" spans="2:20" ht="23.1" customHeight="1" x14ac:dyDescent="0.25">
      <c r="B98" s="24" t="s">
        <v>138</v>
      </c>
      <c r="C98" s="49">
        <f>'Avg Week Kisaasi-Ntinda'!C98+'Avg Week Ntinda-Kisaasi'!C98</f>
        <v>18.5</v>
      </c>
      <c r="D98" s="49">
        <f>'Avg Week Kisaasi-Ntinda'!D98+'Avg Week Ntinda-Kisaasi'!D98</f>
        <v>5.5</v>
      </c>
      <c r="E98" s="49">
        <f>'Avg Week Kisaasi-Ntinda'!E98+'Avg Week Ntinda-Kisaasi'!E98</f>
        <v>0</v>
      </c>
      <c r="F98" s="49">
        <f>'Avg Week Kisaasi-Ntinda'!F98+'Avg Week Ntinda-Kisaasi'!F98</f>
        <v>3</v>
      </c>
      <c r="G98" s="49">
        <f>'Avg Week Kisaasi-Ntinda'!G98+'Avg Week Ntinda-Kisaasi'!G98</f>
        <v>0</v>
      </c>
      <c r="H98" s="49">
        <f>'Avg Week Kisaasi-Ntinda'!H98+'Avg Week Ntinda-Kisaasi'!H98</f>
        <v>0</v>
      </c>
      <c r="I98" s="49">
        <f>'Avg Week Kisaasi-Ntinda'!I98+'Avg Week Ntinda-Kisaasi'!I98</f>
        <v>1.5</v>
      </c>
      <c r="J98" s="49">
        <f>'Avg Week Kisaasi-Ntinda'!J98+'Avg Week Ntinda-Kisaasi'!J98</f>
        <v>1.5</v>
      </c>
      <c r="K98" s="49">
        <f>'Avg Week Kisaasi-Ntinda'!K98+'Avg Week Ntinda-Kisaasi'!K98</f>
        <v>0.5</v>
      </c>
      <c r="L98" s="49">
        <f>'Avg Week Kisaasi-Ntinda'!L98+'Avg Week Ntinda-Kisaasi'!L98</f>
        <v>0</v>
      </c>
      <c r="M98" s="49">
        <f>'Avg Week Kisaasi-Ntinda'!M98+'Avg Week Ntinda-Kisaasi'!M98</f>
        <v>24.5</v>
      </c>
      <c r="N98" s="49">
        <f>'Avg Week Kisaasi-Ntinda'!N98+'Avg Week Ntinda-Kisaasi'!N98</f>
        <v>0</v>
      </c>
      <c r="O98" s="15">
        <f t="shared" si="35"/>
        <v>30.5</v>
      </c>
      <c r="P98" s="15">
        <f t="shared" si="36"/>
        <v>55</v>
      </c>
      <c r="R98" s="8"/>
      <c r="T98"/>
    </row>
    <row r="99" spans="2:20" ht="23.1" customHeight="1" x14ac:dyDescent="0.25">
      <c r="B99" s="23" t="s">
        <v>139</v>
      </c>
      <c r="C99" s="49">
        <f>'Avg Week Kisaasi-Ntinda'!C99+'Avg Week Ntinda-Kisaasi'!C99</f>
        <v>15</v>
      </c>
      <c r="D99" s="49">
        <f>'Avg Week Kisaasi-Ntinda'!D99+'Avg Week Ntinda-Kisaasi'!D99</f>
        <v>4</v>
      </c>
      <c r="E99" s="49">
        <f>'Avg Week Kisaasi-Ntinda'!E99+'Avg Week Ntinda-Kisaasi'!E99</f>
        <v>3.5</v>
      </c>
      <c r="F99" s="49">
        <f>'Avg Week Kisaasi-Ntinda'!F99+'Avg Week Ntinda-Kisaasi'!F99</f>
        <v>5.5</v>
      </c>
      <c r="G99" s="49">
        <f>'Avg Week Kisaasi-Ntinda'!G99+'Avg Week Ntinda-Kisaasi'!G99</f>
        <v>0.5</v>
      </c>
      <c r="H99" s="49">
        <f>'Avg Week Kisaasi-Ntinda'!H99+'Avg Week Ntinda-Kisaasi'!H99</f>
        <v>0</v>
      </c>
      <c r="I99" s="49">
        <f>'Avg Week Kisaasi-Ntinda'!I99+'Avg Week Ntinda-Kisaasi'!I99</f>
        <v>1.5</v>
      </c>
      <c r="J99" s="49">
        <f>'Avg Week Kisaasi-Ntinda'!J99+'Avg Week Ntinda-Kisaasi'!J99</f>
        <v>1.5</v>
      </c>
      <c r="K99" s="49">
        <f>'Avg Week Kisaasi-Ntinda'!K99+'Avg Week Ntinda-Kisaasi'!K99</f>
        <v>0</v>
      </c>
      <c r="L99" s="49">
        <f>'Avg Week Kisaasi-Ntinda'!L99+'Avg Week Ntinda-Kisaasi'!L99</f>
        <v>0</v>
      </c>
      <c r="M99" s="49">
        <f>'Avg Week Kisaasi-Ntinda'!M99+'Avg Week Ntinda-Kisaasi'!M99</f>
        <v>29</v>
      </c>
      <c r="N99" s="49">
        <f>'Avg Week Kisaasi-Ntinda'!N99+'Avg Week Ntinda-Kisaasi'!N99</f>
        <v>0</v>
      </c>
      <c r="O99" s="15">
        <f t="shared" si="35"/>
        <v>31.5</v>
      </c>
      <c r="P99" s="15">
        <f t="shared" si="36"/>
        <v>60.5</v>
      </c>
      <c r="R99" s="8"/>
      <c r="T99"/>
    </row>
    <row r="100" spans="2:20" ht="23.1" customHeight="1" x14ac:dyDescent="0.25">
      <c r="B100" s="25" t="s">
        <v>140</v>
      </c>
      <c r="C100" s="49">
        <f>'Avg Week Kisaasi-Ntinda'!C100+'Avg Week Ntinda-Kisaasi'!C100</f>
        <v>17</v>
      </c>
      <c r="D100" s="49">
        <f>'Avg Week Kisaasi-Ntinda'!D100+'Avg Week Ntinda-Kisaasi'!D100</f>
        <v>8</v>
      </c>
      <c r="E100" s="49">
        <f>'Avg Week Kisaasi-Ntinda'!E100+'Avg Week Ntinda-Kisaasi'!E100</f>
        <v>0</v>
      </c>
      <c r="F100" s="49">
        <f>'Avg Week Kisaasi-Ntinda'!F100+'Avg Week Ntinda-Kisaasi'!F100</f>
        <v>6.5</v>
      </c>
      <c r="G100" s="49">
        <f>'Avg Week Kisaasi-Ntinda'!G100+'Avg Week Ntinda-Kisaasi'!G100</f>
        <v>0.5</v>
      </c>
      <c r="H100" s="49">
        <f>'Avg Week Kisaasi-Ntinda'!H100+'Avg Week Ntinda-Kisaasi'!H100</f>
        <v>0</v>
      </c>
      <c r="I100" s="49">
        <f>'Avg Week Kisaasi-Ntinda'!I100+'Avg Week Ntinda-Kisaasi'!I100</f>
        <v>1.5</v>
      </c>
      <c r="J100" s="49">
        <f>'Avg Week Kisaasi-Ntinda'!J100+'Avg Week Ntinda-Kisaasi'!J100</f>
        <v>1</v>
      </c>
      <c r="K100" s="49">
        <f>'Avg Week Kisaasi-Ntinda'!K100+'Avg Week Ntinda-Kisaasi'!K100</f>
        <v>0.5</v>
      </c>
      <c r="L100" s="49">
        <f>'Avg Week Kisaasi-Ntinda'!L100+'Avg Week Ntinda-Kisaasi'!L100</f>
        <v>0</v>
      </c>
      <c r="M100" s="49">
        <f>'Avg Week Kisaasi-Ntinda'!M100+'Avg Week Ntinda-Kisaasi'!M100</f>
        <v>31</v>
      </c>
      <c r="N100" s="49">
        <f>'Avg Week Kisaasi-Ntinda'!N100+'Avg Week Ntinda-Kisaasi'!N100</f>
        <v>0</v>
      </c>
      <c r="O100" s="15">
        <f t="shared" si="35"/>
        <v>35</v>
      </c>
      <c r="P100" s="15">
        <f t="shared" si="36"/>
        <v>66</v>
      </c>
      <c r="R100" s="8"/>
      <c r="T100"/>
    </row>
    <row r="101" spans="2:20" ht="23.1" customHeight="1" x14ac:dyDescent="0.25">
      <c r="B101" s="23" t="s">
        <v>141</v>
      </c>
      <c r="C101" s="49">
        <f>'Avg Week Kisaasi-Ntinda'!C101+'Avg Week Ntinda-Kisaasi'!C101</f>
        <v>24.5</v>
      </c>
      <c r="D101" s="49">
        <f>'Avg Week Kisaasi-Ntinda'!D101+'Avg Week Ntinda-Kisaasi'!D101</f>
        <v>9.5</v>
      </c>
      <c r="E101" s="49">
        <f>'Avg Week Kisaasi-Ntinda'!E101+'Avg Week Ntinda-Kisaasi'!E101</f>
        <v>2.5</v>
      </c>
      <c r="F101" s="49">
        <f>'Avg Week Kisaasi-Ntinda'!F101+'Avg Week Ntinda-Kisaasi'!F101</f>
        <v>9.5</v>
      </c>
      <c r="G101" s="49">
        <f>'Avg Week Kisaasi-Ntinda'!G101+'Avg Week Ntinda-Kisaasi'!G101</f>
        <v>0.5</v>
      </c>
      <c r="H101" s="49">
        <f>'Avg Week Kisaasi-Ntinda'!H101+'Avg Week Ntinda-Kisaasi'!H101</f>
        <v>0</v>
      </c>
      <c r="I101" s="49">
        <f>'Avg Week Kisaasi-Ntinda'!I101+'Avg Week Ntinda-Kisaasi'!I101</f>
        <v>1.5</v>
      </c>
      <c r="J101" s="49">
        <f>'Avg Week Kisaasi-Ntinda'!J101+'Avg Week Ntinda-Kisaasi'!J101</f>
        <v>0.5</v>
      </c>
      <c r="K101" s="49">
        <f>'Avg Week Kisaasi-Ntinda'!K101+'Avg Week Ntinda-Kisaasi'!K101</f>
        <v>0.5</v>
      </c>
      <c r="L101" s="49">
        <f>'Avg Week Kisaasi-Ntinda'!L101+'Avg Week Ntinda-Kisaasi'!L101</f>
        <v>0.5</v>
      </c>
      <c r="M101" s="49">
        <f>'Avg Week Kisaasi-Ntinda'!M101+'Avg Week Ntinda-Kisaasi'!M101</f>
        <v>41.5</v>
      </c>
      <c r="N101" s="49">
        <f>'Avg Week Kisaasi-Ntinda'!N101+'Avg Week Ntinda-Kisaasi'!N101</f>
        <v>0</v>
      </c>
      <c r="O101" s="15">
        <f t="shared" si="35"/>
        <v>49.5</v>
      </c>
      <c r="P101" s="15">
        <f t="shared" si="36"/>
        <v>91</v>
      </c>
      <c r="R101" s="8"/>
      <c r="T101"/>
    </row>
    <row r="102" spans="2:20" ht="23.1" customHeight="1" x14ac:dyDescent="0.25">
      <c r="B102" s="24" t="s">
        <v>142</v>
      </c>
      <c r="C102" s="49">
        <f>'Avg Week Kisaasi-Ntinda'!C102+'Avg Week Ntinda-Kisaasi'!C102</f>
        <v>32</v>
      </c>
      <c r="D102" s="49">
        <f>'Avg Week Kisaasi-Ntinda'!D102+'Avg Week Ntinda-Kisaasi'!D102</f>
        <v>10</v>
      </c>
      <c r="E102" s="49">
        <f>'Avg Week Kisaasi-Ntinda'!E102+'Avg Week Ntinda-Kisaasi'!E102</f>
        <v>4.5</v>
      </c>
      <c r="F102" s="49">
        <f>'Avg Week Kisaasi-Ntinda'!F102+'Avg Week Ntinda-Kisaasi'!F102</f>
        <v>13</v>
      </c>
      <c r="G102" s="49">
        <f>'Avg Week Kisaasi-Ntinda'!G102+'Avg Week Ntinda-Kisaasi'!G102</f>
        <v>0</v>
      </c>
      <c r="H102" s="49">
        <f>'Avg Week Kisaasi-Ntinda'!H102+'Avg Week Ntinda-Kisaasi'!H102</f>
        <v>0</v>
      </c>
      <c r="I102" s="49">
        <f>'Avg Week Kisaasi-Ntinda'!I102+'Avg Week Ntinda-Kisaasi'!I102</f>
        <v>1</v>
      </c>
      <c r="J102" s="49">
        <f>'Avg Week Kisaasi-Ntinda'!J102+'Avg Week Ntinda-Kisaasi'!J102</f>
        <v>1.5</v>
      </c>
      <c r="K102" s="49">
        <f>'Avg Week Kisaasi-Ntinda'!K102+'Avg Week Ntinda-Kisaasi'!K102</f>
        <v>0.5</v>
      </c>
      <c r="L102" s="49">
        <f>'Avg Week Kisaasi-Ntinda'!L102+'Avg Week Ntinda-Kisaasi'!L102</f>
        <v>1</v>
      </c>
      <c r="M102" s="49">
        <f>'Avg Week Kisaasi-Ntinda'!M102+'Avg Week Ntinda-Kisaasi'!M102</f>
        <v>40.5</v>
      </c>
      <c r="N102" s="49">
        <f>'Avg Week Kisaasi-Ntinda'!N102+'Avg Week Ntinda-Kisaasi'!N102</f>
        <v>0</v>
      </c>
      <c r="O102" s="15">
        <f t="shared" si="35"/>
        <v>63.5</v>
      </c>
      <c r="P102" s="15">
        <f t="shared" si="36"/>
        <v>104</v>
      </c>
      <c r="R102" s="8"/>
      <c r="T102"/>
    </row>
    <row r="103" spans="2:20" ht="23.1" customHeight="1" x14ac:dyDescent="0.25">
      <c r="B103" s="23" t="s">
        <v>143</v>
      </c>
      <c r="C103" s="49">
        <f>'Avg Week Kisaasi-Ntinda'!C103+'Avg Week Ntinda-Kisaasi'!C103</f>
        <v>43.5</v>
      </c>
      <c r="D103" s="49">
        <f>'Avg Week Kisaasi-Ntinda'!D103+'Avg Week Ntinda-Kisaasi'!D103</f>
        <v>21.5</v>
      </c>
      <c r="E103" s="49">
        <f>'Avg Week Kisaasi-Ntinda'!E103+'Avg Week Ntinda-Kisaasi'!E103</f>
        <v>5</v>
      </c>
      <c r="F103" s="49">
        <f>'Avg Week Kisaasi-Ntinda'!F103+'Avg Week Ntinda-Kisaasi'!F103</f>
        <v>18.5</v>
      </c>
      <c r="G103" s="49">
        <f>'Avg Week Kisaasi-Ntinda'!G103+'Avg Week Ntinda-Kisaasi'!G103</f>
        <v>1</v>
      </c>
      <c r="H103" s="49">
        <f>'Avg Week Kisaasi-Ntinda'!H103+'Avg Week Ntinda-Kisaasi'!H103</f>
        <v>0</v>
      </c>
      <c r="I103" s="49">
        <f>'Avg Week Kisaasi-Ntinda'!I103+'Avg Week Ntinda-Kisaasi'!I103</f>
        <v>1.5</v>
      </c>
      <c r="J103" s="49">
        <f>'Avg Week Kisaasi-Ntinda'!J103+'Avg Week Ntinda-Kisaasi'!J103</f>
        <v>1</v>
      </c>
      <c r="K103" s="49">
        <f>'Avg Week Kisaasi-Ntinda'!K103+'Avg Week Ntinda-Kisaasi'!K103</f>
        <v>0.5</v>
      </c>
      <c r="L103" s="49">
        <f>'Avg Week Kisaasi-Ntinda'!L103+'Avg Week Ntinda-Kisaasi'!L103</f>
        <v>2</v>
      </c>
      <c r="M103" s="49">
        <f>'Avg Week Kisaasi-Ntinda'!M103+'Avg Week Ntinda-Kisaasi'!M103</f>
        <v>48</v>
      </c>
      <c r="N103" s="49">
        <f>'Avg Week Kisaasi-Ntinda'!N103+'Avg Week Ntinda-Kisaasi'!N103</f>
        <v>0</v>
      </c>
      <c r="O103" s="15">
        <f t="shared" si="35"/>
        <v>94.5</v>
      </c>
      <c r="P103" s="15">
        <f t="shared" si="36"/>
        <v>142.5</v>
      </c>
      <c r="R103" s="8"/>
      <c r="T103"/>
    </row>
    <row r="104" spans="2:20" ht="23.1" customHeight="1" x14ac:dyDescent="0.25">
      <c r="B104" s="25" t="s">
        <v>144</v>
      </c>
      <c r="C104" s="49">
        <f>'Avg Week Kisaasi-Ntinda'!C104+'Avg Week Ntinda-Kisaasi'!C104</f>
        <v>57.5</v>
      </c>
      <c r="D104" s="49">
        <f>'Avg Week Kisaasi-Ntinda'!D104+'Avg Week Ntinda-Kisaasi'!D104</f>
        <v>23</v>
      </c>
      <c r="E104" s="49">
        <f>'Avg Week Kisaasi-Ntinda'!E104+'Avg Week Ntinda-Kisaasi'!E104</f>
        <v>6.5</v>
      </c>
      <c r="F104" s="49">
        <f>'Avg Week Kisaasi-Ntinda'!F104+'Avg Week Ntinda-Kisaasi'!F104</f>
        <v>14.5</v>
      </c>
      <c r="G104" s="49">
        <f>'Avg Week Kisaasi-Ntinda'!G104+'Avg Week Ntinda-Kisaasi'!G104</f>
        <v>0</v>
      </c>
      <c r="H104" s="49">
        <f>'Avg Week Kisaasi-Ntinda'!H104+'Avg Week Ntinda-Kisaasi'!H104</f>
        <v>0</v>
      </c>
      <c r="I104" s="49">
        <f>'Avg Week Kisaasi-Ntinda'!I104+'Avg Week Ntinda-Kisaasi'!I104</f>
        <v>2</v>
      </c>
      <c r="J104" s="49">
        <f>'Avg Week Kisaasi-Ntinda'!J104+'Avg Week Ntinda-Kisaasi'!J104</f>
        <v>1</v>
      </c>
      <c r="K104" s="49">
        <f>'Avg Week Kisaasi-Ntinda'!K104+'Avg Week Ntinda-Kisaasi'!K104</f>
        <v>1.5</v>
      </c>
      <c r="L104" s="49">
        <f>'Avg Week Kisaasi-Ntinda'!L104+'Avg Week Ntinda-Kisaasi'!L104</f>
        <v>1</v>
      </c>
      <c r="M104" s="49">
        <f>'Avg Week Kisaasi-Ntinda'!M104+'Avg Week Ntinda-Kisaasi'!M104</f>
        <v>58.5</v>
      </c>
      <c r="N104" s="49">
        <f>'Avg Week Kisaasi-Ntinda'!N104+'Avg Week Ntinda-Kisaasi'!N104</f>
        <v>0</v>
      </c>
      <c r="O104" s="15">
        <f t="shared" si="35"/>
        <v>107</v>
      </c>
      <c r="P104" s="15">
        <f t="shared" si="36"/>
        <v>165.5</v>
      </c>
      <c r="R104" s="8"/>
      <c r="T104"/>
    </row>
    <row r="105" spans="2:20" ht="23.1" customHeight="1" x14ac:dyDescent="0.25">
      <c r="B105" s="23" t="s">
        <v>145</v>
      </c>
      <c r="C105" s="49">
        <f>'Avg Week Kisaasi-Ntinda'!C105+'Avg Week Ntinda-Kisaasi'!C105</f>
        <v>1548.5</v>
      </c>
      <c r="D105" s="49">
        <f>'Avg Week Kisaasi-Ntinda'!D105+'Avg Week Ntinda-Kisaasi'!D105</f>
        <v>34.5</v>
      </c>
      <c r="E105" s="49">
        <f>'Avg Week Kisaasi-Ntinda'!E105+'Avg Week Ntinda-Kisaasi'!E105</f>
        <v>9</v>
      </c>
      <c r="F105" s="49">
        <f>'Avg Week Kisaasi-Ntinda'!F105+'Avg Week Ntinda-Kisaasi'!F105</f>
        <v>22</v>
      </c>
      <c r="G105" s="49">
        <f>'Avg Week Kisaasi-Ntinda'!G105+'Avg Week Ntinda-Kisaasi'!G105</f>
        <v>0</v>
      </c>
      <c r="H105" s="49">
        <f>'Avg Week Kisaasi-Ntinda'!H105+'Avg Week Ntinda-Kisaasi'!H105</f>
        <v>0</v>
      </c>
      <c r="I105" s="49">
        <f>'Avg Week Kisaasi-Ntinda'!I105+'Avg Week Ntinda-Kisaasi'!I105</f>
        <v>2</v>
      </c>
      <c r="J105" s="49">
        <f>'Avg Week Kisaasi-Ntinda'!J105+'Avg Week Ntinda-Kisaasi'!J105</f>
        <v>2</v>
      </c>
      <c r="K105" s="49">
        <f>'Avg Week Kisaasi-Ntinda'!K105+'Avg Week Ntinda-Kisaasi'!K105</f>
        <v>0</v>
      </c>
      <c r="L105" s="49">
        <f>'Avg Week Kisaasi-Ntinda'!L105+'Avg Week Ntinda-Kisaasi'!L105</f>
        <v>2.5</v>
      </c>
      <c r="M105" s="49">
        <f>'Avg Week Kisaasi-Ntinda'!M105+'Avg Week Ntinda-Kisaasi'!M105</f>
        <v>83.5</v>
      </c>
      <c r="N105" s="49">
        <f>'Avg Week Kisaasi-Ntinda'!N105+'Avg Week Ntinda-Kisaasi'!N105</f>
        <v>0</v>
      </c>
      <c r="O105" s="15">
        <f t="shared" si="35"/>
        <v>1620.5</v>
      </c>
      <c r="P105" s="15">
        <f t="shared" si="36"/>
        <v>1704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7495.6404577233752</v>
      </c>
      <c r="D106" s="16">
        <f t="shared" ref="D106:O106" si="37">SUM(D10:D105)</f>
        <v>3049.6584109497035</v>
      </c>
      <c r="E106" s="16">
        <f t="shared" si="37"/>
        <v>986.0993447791451</v>
      </c>
      <c r="F106" s="16">
        <f t="shared" si="37"/>
        <v>1800.1859870167714</v>
      </c>
      <c r="G106" s="16">
        <f t="shared" si="37"/>
        <v>28.291085230576851</v>
      </c>
      <c r="H106" s="16">
        <f t="shared" si="37"/>
        <v>2.2147680905205327</v>
      </c>
      <c r="I106" s="16">
        <f t="shared" si="37"/>
        <v>437.29437609716825</v>
      </c>
      <c r="J106" s="16">
        <f t="shared" si="37"/>
        <v>216.96720344986565</v>
      </c>
      <c r="K106" s="16">
        <f t="shared" si="37"/>
        <v>83.156121106336343</v>
      </c>
      <c r="L106" s="16">
        <f t="shared" si="37"/>
        <v>170.46154793726558</v>
      </c>
      <c r="M106" s="16">
        <f t="shared" si="37"/>
        <v>12576.76755851847</v>
      </c>
      <c r="N106" s="16">
        <f t="shared" si="37"/>
        <v>1.4289989732603918</v>
      </c>
      <c r="O106" s="16">
        <f t="shared" si="37"/>
        <v>14271.398301353991</v>
      </c>
      <c r="P106" s="16">
        <f>SUM(P10:P105)</f>
        <v>26848.165859872461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0.27918631376329639</v>
      </c>
      <c r="D107" s="43">
        <f t="shared" si="38"/>
        <v>0.11358907818383801</v>
      </c>
      <c r="E107" s="43">
        <f t="shared" si="38"/>
        <v>3.6728741543308893E-2</v>
      </c>
      <c r="F107" s="43">
        <f t="shared" si="38"/>
        <v>6.7050613304924025E-2</v>
      </c>
      <c r="G107" s="43">
        <f t="shared" si="38"/>
        <v>1.0537436850709043E-3</v>
      </c>
      <c r="H107" s="43">
        <f t="shared" si="38"/>
        <v>8.2492342384950302E-5</v>
      </c>
      <c r="I107" s="43">
        <f t="shared" si="38"/>
        <v>1.6287681563780593E-2</v>
      </c>
      <c r="J107" s="43">
        <f t="shared" si="38"/>
        <v>8.0812672486557831E-3</v>
      </c>
      <c r="K107" s="43">
        <f t="shared" si="38"/>
        <v>3.0972738152896442E-3</v>
      </c>
      <c r="L107" s="43">
        <f t="shared" si="38"/>
        <v>6.3490947138418541E-3</v>
      </c>
      <c r="M107" s="43">
        <f t="shared" si="38"/>
        <v>0.46844047463651262</v>
      </c>
      <c r="N107" s="43">
        <f t="shared" si="38"/>
        <v>5.3225199096232793E-5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0.52522116610060776</v>
      </c>
      <c r="D108" s="44">
        <f t="shared" ref="D108:N108" si="39">D106/$O$106</f>
        <v>0.21369023178761459</v>
      </c>
      <c r="E108" s="44">
        <f t="shared" si="39"/>
        <v>6.9096196739571722E-2</v>
      </c>
      <c r="F108" s="44">
        <f t="shared" si="39"/>
        <v>0.12613942579445631</v>
      </c>
      <c r="G108" s="44">
        <f t="shared" si="39"/>
        <v>1.9823625291077993E-3</v>
      </c>
      <c r="H108" s="44">
        <f t="shared" si="39"/>
        <v>1.5518928445227458E-4</v>
      </c>
      <c r="I108" s="44">
        <f t="shared" si="39"/>
        <v>3.0641312565404345E-2</v>
      </c>
      <c r="J108" s="44">
        <f t="shared" si="39"/>
        <v>1.520293939447272E-2</v>
      </c>
      <c r="K108" s="44">
        <f t="shared" si="39"/>
        <v>5.8267675914032164E-3</v>
      </c>
      <c r="L108" s="44">
        <f t="shared" si="39"/>
        <v>1.1944277942343822E-2</v>
      </c>
      <c r="M108" s="44"/>
      <c r="N108" s="44">
        <f t="shared" si="39"/>
        <v>1.0013027056534582E-4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Kisaasi-Ntinda</vt:lpstr>
      <vt:lpstr>29.07 Ntinda-Kisaasi</vt:lpstr>
      <vt:lpstr>30.07 Kisaasi-Ntinda</vt:lpstr>
      <vt:lpstr>30.07 Ntinda-Kisaasi</vt:lpstr>
      <vt:lpstr>31.07 Kisaasi-Ntinda</vt:lpstr>
      <vt:lpstr>31.07 Ntinda-Kisaasi</vt:lpstr>
      <vt:lpstr>01.08 Kisaasi-Ntinda-24h</vt:lpstr>
      <vt:lpstr>01.08 Ntinda-Kisaasi-24h</vt:lpstr>
      <vt:lpstr>02.08 Kisaasi-Ntinda</vt:lpstr>
      <vt:lpstr>02.08 Ntinda-Kisaasi</vt:lpstr>
      <vt:lpstr>03.08 Kisaasi-Ntinda-24h</vt:lpstr>
      <vt:lpstr>03.08 Ntinda-Kisaasi-24h</vt:lpstr>
      <vt:lpstr>04.08 Kisaasi-Ntinda</vt:lpstr>
      <vt:lpstr>04.08 Ntinda-Kisaasi</vt:lpstr>
      <vt:lpstr>Avg Week Kisaasi-Ntinda</vt:lpstr>
      <vt:lpstr>Avg Week Ntinda-Kisaasi</vt:lpstr>
      <vt:lpstr>Avg Week Kisaasi-Ntinda-2Dir</vt:lpstr>
      <vt:lpstr>'01.08 Kisaasi-Ntinda-24h'!Print_Area</vt:lpstr>
      <vt:lpstr>'01.08 Ntinda-Kisaasi-24h'!Print_Area</vt:lpstr>
      <vt:lpstr>'02.08 Kisaasi-Ntinda'!Print_Area</vt:lpstr>
      <vt:lpstr>'02.08 Ntinda-Kisaasi'!Print_Area</vt:lpstr>
      <vt:lpstr>'03.08 Kisaasi-Ntinda-24h'!Print_Area</vt:lpstr>
      <vt:lpstr>'03.08 Ntinda-Kisaasi-24h'!Print_Area</vt:lpstr>
      <vt:lpstr>'04.08 Kisaasi-Ntinda'!Print_Area</vt:lpstr>
      <vt:lpstr>'04.08 Ntinda-Kisaasi'!Print_Area</vt:lpstr>
      <vt:lpstr>'29.07 Kisaasi-Ntinda'!Print_Area</vt:lpstr>
      <vt:lpstr>'29.07 Ntinda-Kisaasi'!Print_Area</vt:lpstr>
      <vt:lpstr>'30.07 Kisaasi-Ntinda'!Print_Area</vt:lpstr>
      <vt:lpstr>'30.07 Ntinda-Kisaasi'!Print_Area</vt:lpstr>
      <vt:lpstr>'31.07 Kisaasi-Ntinda'!Print_Area</vt:lpstr>
      <vt:lpstr>'31.07 Ntinda-Kisaasi'!Print_Area</vt:lpstr>
      <vt:lpstr>'Avg Week Kisaasi-Ntinda'!Print_Area</vt:lpstr>
      <vt:lpstr>'Avg Week Kisaasi-Ntinda-2Dir'!Print_Area</vt:lpstr>
      <vt:lpstr>'Avg Week Ntinda-Kisaasi'!Print_Area</vt:lpstr>
      <vt:lpstr>'01.08 Kisaasi-Ntinda-24h'!Print_Titles</vt:lpstr>
      <vt:lpstr>'01.08 Ntinda-Kisaasi-24h'!Print_Titles</vt:lpstr>
      <vt:lpstr>'02.08 Kisaasi-Ntinda'!Print_Titles</vt:lpstr>
      <vt:lpstr>'02.08 Ntinda-Kisaasi'!Print_Titles</vt:lpstr>
      <vt:lpstr>'03.08 Kisaasi-Ntinda-24h'!Print_Titles</vt:lpstr>
      <vt:lpstr>'03.08 Ntinda-Kisaasi-24h'!Print_Titles</vt:lpstr>
      <vt:lpstr>'04.08 Kisaasi-Ntinda'!Print_Titles</vt:lpstr>
      <vt:lpstr>'04.08 Ntinda-Kisaasi'!Print_Titles</vt:lpstr>
      <vt:lpstr>'29.07 Kisaasi-Ntinda'!Print_Titles</vt:lpstr>
      <vt:lpstr>'29.07 Ntinda-Kisaasi'!Print_Titles</vt:lpstr>
      <vt:lpstr>'30.07 Kisaasi-Ntinda'!Print_Titles</vt:lpstr>
      <vt:lpstr>'30.07 Ntinda-Kisaasi'!Print_Titles</vt:lpstr>
      <vt:lpstr>'31.07 Kisaasi-Ntinda'!Print_Titles</vt:lpstr>
      <vt:lpstr>'31.07 Ntinda-Kisaasi'!Print_Titles</vt:lpstr>
      <vt:lpstr>'Avg Week Kisaasi-Ntinda'!Print_Titles</vt:lpstr>
      <vt:lpstr>'Avg Week Kisaasi-Ntinda-2Dir'!Print_Titles</vt:lpstr>
      <vt:lpstr>'Avg Week Ntinda-Kisaasi'!Print_Titles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2020-01-15T17:36:41Z</dcterms:modified>
</cp:coreProperties>
</file>