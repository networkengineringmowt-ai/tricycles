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26-GAYAZA ROAD-KANYANYA\MCC DATA\"/>
    </mc:Choice>
  </mc:AlternateContent>
  <bookViews>
    <workbookView xWindow="-120" yWindow="-120" windowWidth="20730" windowHeight="11160" tabRatio="925" firstSheet="13" activeTab="16"/>
  </bookViews>
  <sheets>
    <sheet name="22.07 KALERWE-GAYAZA" sheetId="93" r:id="rId1"/>
    <sheet name="22.07 GAYAZA-KALERWE" sheetId="94" r:id="rId2"/>
    <sheet name="23.07 KALERWE-GAYAZA" sheetId="95" r:id="rId3"/>
    <sheet name="23.07 GAYAZA-KALERWE" sheetId="96" r:id="rId4"/>
    <sheet name="24.07 KALERWE-GAYAZA" sheetId="97" r:id="rId5"/>
    <sheet name="24.07 GAYAZA-KALERWE" sheetId="98" r:id="rId6"/>
    <sheet name="25.07 KALERWE-GAYAZA" sheetId="99" r:id="rId7"/>
    <sheet name="25.07 GAYAZA-KALERWE" sheetId="100" r:id="rId8"/>
    <sheet name="26.07 KALERWE-GAYAZA-24h" sheetId="101" r:id="rId9"/>
    <sheet name="26.07 GAYAZA-KALERWE-24h" sheetId="109" r:id="rId10"/>
    <sheet name="27.07 KALERWE-GAYAZA-24h" sheetId="105" r:id="rId11"/>
    <sheet name="27.07 GAYAZA-KALERWE-24h" sheetId="110" r:id="rId12"/>
    <sheet name="28.07 KALERWE-GAYAZA" sheetId="103" r:id="rId13"/>
    <sheet name="28.07 GAYAZA-KALERWE" sheetId="104" r:id="rId14"/>
    <sheet name="Avg Week KALERWE-GAYAZA" sheetId="107" r:id="rId15"/>
    <sheet name="Avg Week GAYAZA-KALERWE" sheetId="108" r:id="rId16"/>
    <sheet name="Avg Week KALERWE-GAYAZA-2Dir" sheetId="111" r:id="rId17"/>
  </sheets>
  <definedNames>
    <definedName name="_xlnm.Print_Area" localSheetId="1">'22.07 GAYAZA-KALERWE'!$A$1:$AF$60</definedName>
    <definedName name="_xlnm.Print_Area" localSheetId="0">'22.07 KALERWE-GAYAZA'!$A$1:$AF$60</definedName>
    <definedName name="_xlnm.Print_Area" localSheetId="3">'23.07 GAYAZA-KALERWE'!$A$1:$AF$60</definedName>
    <definedName name="_xlnm.Print_Area" localSheetId="2">'23.07 KALERWE-GAYAZA'!$A$1:$AF$60</definedName>
    <definedName name="_xlnm.Print_Area" localSheetId="5">'24.07 GAYAZA-KALERWE'!$A$1:$AF$60</definedName>
    <definedName name="_xlnm.Print_Area" localSheetId="4">'24.07 KALERWE-GAYAZA'!$A$1:$AF$60</definedName>
    <definedName name="_xlnm.Print_Area" localSheetId="7">'25.07 GAYAZA-KALERWE'!$A$1:$AF$60</definedName>
    <definedName name="_xlnm.Print_Area" localSheetId="6">'25.07 KALERWE-GAYAZA'!$A$1:$AF$60</definedName>
    <definedName name="_xlnm.Print_Area" localSheetId="9">'26.07 GAYAZA-KALERWE-24h'!$A$1:$AF$108</definedName>
    <definedName name="_xlnm.Print_Area" localSheetId="8">'26.07 KALERWE-GAYAZA-24h'!$A$1:$AF$108</definedName>
    <definedName name="_xlnm.Print_Area" localSheetId="11">'27.07 GAYAZA-KALERWE-24h'!$A$1:$AF$108</definedName>
    <definedName name="_xlnm.Print_Area" localSheetId="10">'27.07 KALERWE-GAYAZA-24h'!$A$1:$AF$108</definedName>
    <definedName name="_xlnm.Print_Area" localSheetId="13">'28.07 GAYAZA-KALERWE'!$A$1:$AF$60</definedName>
    <definedName name="_xlnm.Print_Area" localSheetId="12">'28.07 KALERWE-GAYAZA'!$A$1:$AF$60</definedName>
    <definedName name="_xlnm.Print_Area" localSheetId="15">'Avg Week GAYAZA-KALERWE'!$A$1:$AF$109</definedName>
    <definedName name="_xlnm.Print_Area" localSheetId="14">'Avg Week KALERWE-GAYAZA'!$A$1:$AF$109</definedName>
    <definedName name="_xlnm.Print_Area" localSheetId="16">'Avg Week KALERWE-GAYAZA-2Dir'!$A$1:$AF$109</definedName>
    <definedName name="_xlnm.Print_Titles" localSheetId="1">'22.07 GAYAZA-KALERWE'!$1:$8</definedName>
    <definedName name="_xlnm.Print_Titles" localSheetId="0">'22.07 KALERWE-GAYAZA'!$1:$8</definedName>
    <definedName name="_xlnm.Print_Titles" localSheetId="3">'23.07 GAYAZA-KALERWE'!$1:$8</definedName>
    <definedName name="_xlnm.Print_Titles" localSheetId="2">'23.07 KALERWE-GAYAZA'!$1:$8</definedName>
    <definedName name="_xlnm.Print_Titles" localSheetId="5">'24.07 GAYAZA-KALERWE'!$1:$8</definedName>
    <definedName name="_xlnm.Print_Titles" localSheetId="4">'24.07 KALERWE-GAYAZA'!$1:$8</definedName>
    <definedName name="_xlnm.Print_Titles" localSheetId="7">'25.07 GAYAZA-KALERWE'!$1:$8</definedName>
    <definedName name="_xlnm.Print_Titles" localSheetId="6">'25.07 KALERWE-GAYAZA'!$1:$8</definedName>
    <definedName name="_xlnm.Print_Titles" localSheetId="9">'26.07 GAYAZA-KALERWE-24h'!$1:$8</definedName>
    <definedName name="_xlnm.Print_Titles" localSheetId="8">'26.07 KALERWE-GAYAZA-24h'!$1:$8</definedName>
    <definedName name="_xlnm.Print_Titles" localSheetId="11">'27.07 GAYAZA-KALERWE-24h'!$1:$8</definedName>
    <definedName name="_xlnm.Print_Titles" localSheetId="10">'27.07 KALERWE-GAYAZA-24h'!$1:$8</definedName>
    <definedName name="_xlnm.Print_Titles" localSheetId="13">'28.07 GAYAZA-KALERWE'!$1:$8</definedName>
    <definedName name="_xlnm.Print_Titles" localSheetId="12">'28.07 KALERWE-GAYAZA'!$1:$8</definedName>
    <definedName name="_xlnm.Print_Titles" localSheetId="15">'Avg Week GAYAZA-KALERWE'!$1:$8</definedName>
    <definedName name="_xlnm.Print_Titles" localSheetId="14">'Avg Week KALERWE-GAYAZA'!$1:$8</definedName>
    <definedName name="_xlnm.Print_Titles" localSheetId="16">'Avg Week KALERWE-GAYAZA-2Dir'!$1:$8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7" i="108" l="1"/>
  <c r="AF40" i="108"/>
  <c r="AE40" i="108"/>
  <c r="AD40" i="108"/>
  <c r="AC40" i="108"/>
  <c r="AC42" i="108" s="1"/>
  <c r="AB40" i="108"/>
  <c r="AA40" i="108"/>
  <c r="Z40" i="108"/>
  <c r="Y40" i="108"/>
  <c r="X40" i="108"/>
  <c r="W40" i="108"/>
  <c r="V40" i="108"/>
  <c r="U40" i="108"/>
  <c r="U42" i="108" s="1"/>
  <c r="T40" i="108"/>
  <c r="S40" i="108"/>
  <c r="AF39" i="108"/>
  <c r="AE39" i="108"/>
  <c r="AD39" i="108"/>
  <c r="AC39" i="108"/>
  <c r="AB39" i="108"/>
  <c r="AA39" i="108"/>
  <c r="Z39" i="108"/>
  <c r="Y39" i="108"/>
  <c r="X39" i="108"/>
  <c r="W39" i="108"/>
  <c r="V39" i="108"/>
  <c r="U39" i="108"/>
  <c r="T39" i="108"/>
  <c r="S39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AF37" i="108"/>
  <c r="AE37" i="108"/>
  <c r="AC37" i="108"/>
  <c r="AB37" i="108"/>
  <c r="AA37" i="108"/>
  <c r="Z37" i="108"/>
  <c r="Y37" i="108"/>
  <c r="X37" i="108"/>
  <c r="W37" i="108"/>
  <c r="V37" i="108"/>
  <c r="U37" i="108"/>
  <c r="T37" i="108"/>
  <c r="S37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Y42" i="108"/>
  <c r="AF41" i="108"/>
  <c r="AF42" i="108" s="1"/>
  <c r="AE41" i="108"/>
  <c r="AE42" i="108" s="1"/>
  <c r="AD41" i="108"/>
  <c r="AD42" i="108" s="1"/>
  <c r="AC41" i="108"/>
  <c r="AB41" i="108"/>
  <c r="AB42" i="108" s="1"/>
  <c r="AA41" i="108"/>
  <c r="AA42" i="108" s="1"/>
  <c r="Z41" i="108"/>
  <c r="Z42" i="108" s="1"/>
  <c r="Y41" i="108"/>
  <c r="X41" i="108"/>
  <c r="X42" i="108" s="1"/>
  <c r="W41" i="108"/>
  <c r="W42" i="108" s="1"/>
  <c r="V41" i="108"/>
  <c r="V42" i="108" s="1"/>
  <c r="U41" i="108"/>
  <c r="T41" i="108"/>
  <c r="T42" i="108" s="1"/>
  <c r="S41" i="108"/>
  <c r="S42" i="108" s="1"/>
  <c r="AC42" i="107"/>
  <c r="Y42" i="107"/>
  <c r="U42" i="107"/>
  <c r="AF41" i="107"/>
  <c r="AF42" i="107" s="1"/>
  <c r="AE41" i="107"/>
  <c r="AE42" i="107" s="1"/>
  <c r="AD41" i="107"/>
  <c r="AD42" i="107" s="1"/>
  <c r="AC41" i="107"/>
  <c r="AB41" i="107"/>
  <c r="AB42" i="107" s="1"/>
  <c r="AA41" i="107"/>
  <c r="AA42" i="107" s="1"/>
  <c r="Z41" i="107"/>
  <c r="Z42" i="107" s="1"/>
  <c r="Y41" i="107"/>
  <c r="X41" i="107"/>
  <c r="X42" i="107" s="1"/>
  <c r="W41" i="107"/>
  <c r="W42" i="107" s="1"/>
  <c r="V41" i="107"/>
  <c r="V42" i="107" s="1"/>
  <c r="U41" i="107"/>
  <c r="T41" i="107"/>
  <c r="T42" i="107" s="1"/>
  <c r="S41" i="107"/>
  <c r="S42" i="107" s="1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T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S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C59" i="108" l="1"/>
  <c r="P59" i="108" s="1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O60" i="108" s="1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O61" i="108" s="1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O62" i="108" s="1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P63" i="108" s="1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O64" i="108" s="1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O65" i="108" s="1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O66" i="108" s="1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P67" i="108" s="1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O68" i="108" s="1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O69" i="108" s="1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O70" i="108" s="1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P71" i="108" s="1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O72" i="108" s="1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O73" i="108" s="1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O74" i="108" s="1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P75" i="108" s="1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O76" i="108" s="1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O77" i="108" s="1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O78" i="108" s="1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P79" i="108" s="1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O80" i="108" s="1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O81" i="108" s="1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O82" i="108" s="1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P83" i="108" s="1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O84" i="108" s="1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O85" i="108" s="1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O86" i="108" s="1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P87" i="108" s="1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O88" i="108" s="1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O89" i="108" s="1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O90" i="108" s="1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P91" i="108" s="1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O92" i="108" s="1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O93" i="108" s="1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O94" i="108" s="1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P95" i="108" s="1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O96" i="108" s="1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O97" i="108" s="1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O98" i="108" s="1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P99" i="108" s="1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O100" i="108" s="1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O101" i="108" s="1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O102" i="108" s="1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P103" i="108" s="1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O104" i="108" s="1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O105" i="108" s="1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O58" i="108" s="1"/>
  <c r="D58" i="107"/>
  <c r="D58" i="111" s="1"/>
  <c r="E58" i="107"/>
  <c r="E58" i="111" s="1"/>
  <c r="F58" i="107"/>
  <c r="F58" i="111" s="1"/>
  <c r="G58" i="107"/>
  <c r="G58" i="111" s="1"/>
  <c r="W22" i="111" s="1"/>
  <c r="H58" i="107"/>
  <c r="H58" i="111" s="1"/>
  <c r="I58" i="107"/>
  <c r="I58" i="111" s="1"/>
  <c r="J58" i="107"/>
  <c r="J58" i="111" s="1"/>
  <c r="K58" i="107"/>
  <c r="K58" i="111" s="1"/>
  <c r="AA22" i="111" s="1"/>
  <c r="L58" i="107"/>
  <c r="L58" i="111" s="1"/>
  <c r="M58" i="107"/>
  <c r="M58" i="111" s="1"/>
  <c r="N58" i="107"/>
  <c r="N58" i="111" s="1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D62" i="111" s="1"/>
  <c r="E62" i="107"/>
  <c r="E62" i="111" s="1"/>
  <c r="F62" i="107"/>
  <c r="F62" i="111" s="1"/>
  <c r="G62" i="107"/>
  <c r="G62" i="111" s="1"/>
  <c r="W23" i="111" s="1"/>
  <c r="H62" i="107"/>
  <c r="H62" i="111" s="1"/>
  <c r="I62" i="107"/>
  <c r="I62" i="111" s="1"/>
  <c r="J62" i="107"/>
  <c r="J62" i="111" s="1"/>
  <c r="K62" i="107"/>
  <c r="K62" i="111" s="1"/>
  <c r="AA23" i="111" s="1"/>
  <c r="L62" i="107"/>
  <c r="L62" i="111" s="1"/>
  <c r="M62" i="107"/>
  <c r="M62" i="111" s="1"/>
  <c r="N62" i="107"/>
  <c r="N62" i="111" s="1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D66" i="111" s="1"/>
  <c r="E66" i="107"/>
  <c r="E66" i="111" s="1"/>
  <c r="F66" i="107"/>
  <c r="F66" i="111" s="1"/>
  <c r="G66" i="107"/>
  <c r="G66" i="111" s="1"/>
  <c r="W24" i="111" s="1"/>
  <c r="H66" i="107"/>
  <c r="H66" i="111" s="1"/>
  <c r="I66" i="107"/>
  <c r="I66" i="111" s="1"/>
  <c r="J66" i="107"/>
  <c r="J66" i="111" s="1"/>
  <c r="K66" i="107"/>
  <c r="K66" i="111" s="1"/>
  <c r="AA24" i="111" s="1"/>
  <c r="L66" i="107"/>
  <c r="L66" i="111" s="1"/>
  <c r="M66" i="107"/>
  <c r="M66" i="111" s="1"/>
  <c r="N66" i="107"/>
  <c r="N66" i="111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D70" i="111" s="1"/>
  <c r="E70" i="107"/>
  <c r="E70" i="111" s="1"/>
  <c r="F70" i="107"/>
  <c r="F70" i="111" s="1"/>
  <c r="G70" i="107"/>
  <c r="G70" i="111" s="1"/>
  <c r="W25" i="111" s="1"/>
  <c r="H70" i="107"/>
  <c r="H70" i="111" s="1"/>
  <c r="I70" i="107"/>
  <c r="I70" i="111" s="1"/>
  <c r="J70" i="107"/>
  <c r="J70" i="111" s="1"/>
  <c r="K70" i="107"/>
  <c r="K70" i="111" s="1"/>
  <c r="AA25" i="111" s="1"/>
  <c r="L70" i="107"/>
  <c r="L70" i="111" s="1"/>
  <c r="M70" i="107"/>
  <c r="M70" i="111" s="1"/>
  <c r="N70" i="107"/>
  <c r="N70" i="111" s="1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D74" i="111" s="1"/>
  <c r="E74" i="107"/>
  <c r="E74" i="111" s="1"/>
  <c r="F74" i="107"/>
  <c r="F74" i="111" s="1"/>
  <c r="G74" i="107"/>
  <c r="G74" i="111" s="1"/>
  <c r="W26" i="111" s="1"/>
  <c r="H74" i="107"/>
  <c r="H74" i="111" s="1"/>
  <c r="I74" i="107"/>
  <c r="I74" i="111" s="1"/>
  <c r="J74" i="107"/>
  <c r="J74" i="111" s="1"/>
  <c r="K74" i="107"/>
  <c r="K74" i="111" s="1"/>
  <c r="AA26" i="111" s="1"/>
  <c r="L74" i="107"/>
  <c r="L74" i="111" s="1"/>
  <c r="M74" i="107"/>
  <c r="M74" i="111" s="1"/>
  <c r="N74" i="107"/>
  <c r="N74" i="111" s="1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D78" i="111" s="1"/>
  <c r="E78" i="107"/>
  <c r="E78" i="111" s="1"/>
  <c r="F78" i="107"/>
  <c r="F78" i="111" s="1"/>
  <c r="G78" i="107"/>
  <c r="G78" i="111" s="1"/>
  <c r="W27" i="111" s="1"/>
  <c r="H78" i="107"/>
  <c r="H78" i="111" s="1"/>
  <c r="I78" i="107"/>
  <c r="I78" i="111" s="1"/>
  <c r="J78" i="107"/>
  <c r="J78" i="111" s="1"/>
  <c r="K78" i="107"/>
  <c r="K78" i="111" s="1"/>
  <c r="AA27" i="111" s="1"/>
  <c r="L78" i="107"/>
  <c r="L78" i="111" s="1"/>
  <c r="M78" i="107"/>
  <c r="M78" i="111" s="1"/>
  <c r="N78" i="107"/>
  <c r="N78" i="111" s="1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D82" i="111" s="1"/>
  <c r="E82" i="107"/>
  <c r="E82" i="111" s="1"/>
  <c r="F82" i="107"/>
  <c r="F82" i="111" s="1"/>
  <c r="G82" i="107"/>
  <c r="G82" i="111" s="1"/>
  <c r="W28" i="111" s="1"/>
  <c r="H82" i="107"/>
  <c r="H82" i="111" s="1"/>
  <c r="I82" i="107"/>
  <c r="I82" i="111" s="1"/>
  <c r="J82" i="107"/>
  <c r="J82" i="111" s="1"/>
  <c r="K82" i="107"/>
  <c r="K82" i="111" s="1"/>
  <c r="AA28" i="111" s="1"/>
  <c r="L82" i="107"/>
  <c r="L82" i="111" s="1"/>
  <c r="M82" i="107"/>
  <c r="M82" i="111" s="1"/>
  <c r="N82" i="107"/>
  <c r="N82" i="111" s="1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D86" i="111" s="1"/>
  <c r="E86" i="107"/>
  <c r="E86" i="111" s="1"/>
  <c r="F86" i="107"/>
  <c r="F86" i="111" s="1"/>
  <c r="G86" i="107"/>
  <c r="G86" i="111" s="1"/>
  <c r="W29" i="111" s="1"/>
  <c r="H86" i="107"/>
  <c r="H86" i="111" s="1"/>
  <c r="I86" i="107"/>
  <c r="I86" i="111" s="1"/>
  <c r="J86" i="107"/>
  <c r="J86" i="111" s="1"/>
  <c r="K86" i="107"/>
  <c r="K86" i="111" s="1"/>
  <c r="AA29" i="111" s="1"/>
  <c r="L86" i="107"/>
  <c r="L86" i="111" s="1"/>
  <c r="M86" i="107"/>
  <c r="M86" i="111" s="1"/>
  <c r="N86" i="107"/>
  <c r="N86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D90" i="111" s="1"/>
  <c r="E90" i="107"/>
  <c r="E90" i="111" s="1"/>
  <c r="F90" i="107"/>
  <c r="F90" i="111" s="1"/>
  <c r="G90" i="107"/>
  <c r="G90" i="111" s="1"/>
  <c r="W30" i="111" s="1"/>
  <c r="H90" i="107"/>
  <c r="H90" i="111" s="1"/>
  <c r="I90" i="107"/>
  <c r="I90" i="111" s="1"/>
  <c r="J90" i="107"/>
  <c r="J90" i="111" s="1"/>
  <c r="K90" i="107"/>
  <c r="K90" i="111" s="1"/>
  <c r="AA30" i="111" s="1"/>
  <c r="L90" i="107"/>
  <c r="L90" i="111" s="1"/>
  <c r="M90" i="107"/>
  <c r="M90" i="111" s="1"/>
  <c r="N90" i="107"/>
  <c r="N90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D94" i="111" s="1"/>
  <c r="E94" i="107"/>
  <c r="E94" i="111" s="1"/>
  <c r="F94" i="107"/>
  <c r="F94" i="111" s="1"/>
  <c r="G94" i="107"/>
  <c r="G94" i="111" s="1"/>
  <c r="W31" i="111" s="1"/>
  <c r="H94" i="107"/>
  <c r="H94" i="111" s="1"/>
  <c r="I94" i="107"/>
  <c r="I94" i="111" s="1"/>
  <c r="J94" i="107"/>
  <c r="J94" i="111" s="1"/>
  <c r="K94" i="107"/>
  <c r="K94" i="111" s="1"/>
  <c r="AA31" i="111" s="1"/>
  <c r="L94" i="107"/>
  <c r="L94" i="111" s="1"/>
  <c r="M94" i="107"/>
  <c r="M94" i="111" s="1"/>
  <c r="N94" i="107"/>
  <c r="N94" i="111" s="1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D98" i="111" s="1"/>
  <c r="E98" i="107"/>
  <c r="E98" i="111" s="1"/>
  <c r="F98" i="107"/>
  <c r="F98" i="111" s="1"/>
  <c r="G98" i="107"/>
  <c r="G98" i="111" s="1"/>
  <c r="W32" i="111" s="1"/>
  <c r="H98" i="107"/>
  <c r="H98" i="111" s="1"/>
  <c r="I98" i="107"/>
  <c r="I98" i="111" s="1"/>
  <c r="J98" i="107"/>
  <c r="J98" i="111" s="1"/>
  <c r="K98" i="107"/>
  <c r="K98" i="111" s="1"/>
  <c r="AA32" i="111" s="1"/>
  <c r="L98" i="107"/>
  <c r="L98" i="111" s="1"/>
  <c r="M98" i="107"/>
  <c r="M98" i="111" s="1"/>
  <c r="N98" i="107"/>
  <c r="N98" i="111" s="1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D102" i="111" s="1"/>
  <c r="E102" i="107"/>
  <c r="E102" i="111" s="1"/>
  <c r="F102" i="107"/>
  <c r="F102" i="111" s="1"/>
  <c r="G102" i="107"/>
  <c r="G102" i="111" s="1"/>
  <c r="W33" i="111" s="1"/>
  <c r="H102" i="107"/>
  <c r="H102" i="111" s="1"/>
  <c r="I102" i="107"/>
  <c r="I102" i="111" s="1"/>
  <c r="J102" i="107"/>
  <c r="J102" i="111" s="1"/>
  <c r="K102" i="107"/>
  <c r="K102" i="111" s="1"/>
  <c r="AA33" i="111" s="1"/>
  <c r="L102" i="107"/>
  <c r="L102" i="111" s="1"/>
  <c r="M102" i="107"/>
  <c r="M102" i="111" s="1"/>
  <c r="N102" i="107"/>
  <c r="N102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Z33" i="111" l="1"/>
  <c r="Z32" i="111"/>
  <c r="V31" i="111"/>
  <c r="AD30" i="111"/>
  <c r="V30" i="111"/>
  <c r="Z29" i="111"/>
  <c r="V28" i="111"/>
  <c r="AD27" i="111"/>
  <c r="Z27" i="111"/>
  <c r="V27" i="111"/>
  <c r="AD26" i="111"/>
  <c r="Z26" i="111"/>
  <c r="V26" i="111"/>
  <c r="AD25" i="111"/>
  <c r="Z25" i="111"/>
  <c r="V25" i="111"/>
  <c r="AD24" i="111"/>
  <c r="Z24" i="111"/>
  <c r="V24" i="111"/>
  <c r="AD23" i="111"/>
  <c r="Z23" i="111"/>
  <c r="V23" i="111"/>
  <c r="AD22" i="111"/>
  <c r="Z22" i="111"/>
  <c r="V22" i="111"/>
  <c r="V33" i="111"/>
  <c r="AD32" i="111"/>
  <c r="V32" i="111"/>
  <c r="AD31" i="111"/>
  <c r="Z31" i="111"/>
  <c r="Z30" i="111"/>
  <c r="AD29" i="111"/>
  <c r="V29" i="111"/>
  <c r="AD28" i="111"/>
  <c r="Z28" i="111"/>
  <c r="AC33" i="111"/>
  <c r="Y33" i="111"/>
  <c r="U33" i="111"/>
  <c r="AC32" i="111"/>
  <c r="Y32" i="111"/>
  <c r="U32" i="111"/>
  <c r="AC31" i="111"/>
  <c r="Y31" i="111"/>
  <c r="U31" i="111"/>
  <c r="AC30" i="111"/>
  <c r="Y30" i="111"/>
  <c r="U30" i="111"/>
  <c r="AC29" i="111"/>
  <c r="Y29" i="111"/>
  <c r="U29" i="111"/>
  <c r="AC28" i="111"/>
  <c r="Y28" i="111"/>
  <c r="U28" i="111"/>
  <c r="AC27" i="111"/>
  <c r="Y27" i="111"/>
  <c r="U27" i="111"/>
  <c r="AC26" i="111"/>
  <c r="Y26" i="111"/>
  <c r="U26" i="111"/>
  <c r="AC25" i="111"/>
  <c r="Y25" i="111"/>
  <c r="U25" i="111"/>
  <c r="AC24" i="111"/>
  <c r="Y24" i="111"/>
  <c r="U24" i="111"/>
  <c r="AC23" i="111"/>
  <c r="Y23" i="111"/>
  <c r="U23" i="111"/>
  <c r="AC22" i="111"/>
  <c r="Y22" i="111"/>
  <c r="U22" i="111"/>
  <c r="AD33" i="111"/>
  <c r="AB33" i="111"/>
  <c r="X33" i="111"/>
  <c r="T33" i="111"/>
  <c r="AB32" i="111"/>
  <c r="X32" i="111"/>
  <c r="T32" i="111"/>
  <c r="AB31" i="111"/>
  <c r="X31" i="111"/>
  <c r="T31" i="111"/>
  <c r="AB30" i="111"/>
  <c r="X30" i="111"/>
  <c r="T30" i="111"/>
  <c r="AB29" i="111"/>
  <c r="X29" i="111"/>
  <c r="T29" i="111"/>
  <c r="AB28" i="111"/>
  <c r="X28" i="111"/>
  <c r="T28" i="111"/>
  <c r="AB27" i="111"/>
  <c r="X27" i="111"/>
  <c r="T27" i="111"/>
  <c r="AB26" i="111"/>
  <c r="X26" i="111"/>
  <c r="T26" i="111"/>
  <c r="AB25" i="111"/>
  <c r="X25" i="111"/>
  <c r="T25" i="111"/>
  <c r="AB24" i="111"/>
  <c r="X24" i="111"/>
  <c r="T24" i="111"/>
  <c r="AB23" i="111"/>
  <c r="X23" i="111"/>
  <c r="T23" i="111"/>
  <c r="AB22" i="111"/>
  <c r="X22" i="111"/>
  <c r="T22" i="111"/>
  <c r="P95" i="107"/>
  <c r="C95" i="111"/>
  <c r="P95" i="111" s="1"/>
  <c r="P83" i="107"/>
  <c r="C83" i="111"/>
  <c r="P83" i="111" s="1"/>
  <c r="P98" i="107"/>
  <c r="C98" i="111"/>
  <c r="P94" i="107"/>
  <c r="C94" i="111"/>
  <c r="P90" i="107"/>
  <c r="C90" i="111"/>
  <c r="P86" i="107"/>
  <c r="C86" i="111"/>
  <c r="P82" i="107"/>
  <c r="C82" i="111"/>
  <c r="P78" i="107"/>
  <c r="C78" i="111"/>
  <c r="P74" i="107"/>
  <c r="C74" i="111"/>
  <c r="P70" i="107"/>
  <c r="C70" i="111"/>
  <c r="P91" i="107"/>
  <c r="C91" i="111"/>
  <c r="P91" i="111" s="1"/>
  <c r="P75" i="107"/>
  <c r="C75" i="111"/>
  <c r="P75" i="111" s="1"/>
  <c r="P102" i="107"/>
  <c r="C102" i="111"/>
  <c r="O102" i="111" s="1"/>
  <c r="P101" i="107"/>
  <c r="C101" i="111"/>
  <c r="P101" i="111" s="1"/>
  <c r="P93" i="107"/>
  <c r="C93" i="111"/>
  <c r="P93" i="111" s="1"/>
  <c r="P89" i="107"/>
  <c r="C89" i="111"/>
  <c r="P89" i="111" s="1"/>
  <c r="P85" i="107"/>
  <c r="C85" i="111"/>
  <c r="P85" i="111" s="1"/>
  <c r="P81" i="107"/>
  <c r="C81" i="111"/>
  <c r="P81" i="111" s="1"/>
  <c r="P99" i="107"/>
  <c r="C99" i="111"/>
  <c r="P99" i="111" s="1"/>
  <c r="P87" i="107"/>
  <c r="C87" i="111"/>
  <c r="P87" i="111" s="1"/>
  <c r="P71" i="107"/>
  <c r="C71" i="111"/>
  <c r="P71" i="111" s="1"/>
  <c r="P58" i="107"/>
  <c r="C58" i="111"/>
  <c r="P105" i="107"/>
  <c r="C105" i="111"/>
  <c r="P105" i="111" s="1"/>
  <c r="P97" i="107"/>
  <c r="C97" i="111"/>
  <c r="P97" i="111" s="1"/>
  <c r="P104" i="107"/>
  <c r="C104" i="111"/>
  <c r="P104" i="111" s="1"/>
  <c r="P100" i="107"/>
  <c r="C100" i="111"/>
  <c r="P100" i="111" s="1"/>
  <c r="P96" i="107"/>
  <c r="C96" i="111"/>
  <c r="P96" i="111" s="1"/>
  <c r="P92" i="107"/>
  <c r="C92" i="111"/>
  <c r="P92" i="111" s="1"/>
  <c r="P88" i="107"/>
  <c r="C88" i="111"/>
  <c r="P88" i="111" s="1"/>
  <c r="P84" i="107"/>
  <c r="C84" i="111"/>
  <c r="P84" i="111" s="1"/>
  <c r="P80" i="107"/>
  <c r="C80" i="111"/>
  <c r="P80" i="111" s="1"/>
  <c r="P76" i="107"/>
  <c r="C76" i="111"/>
  <c r="P76" i="111" s="1"/>
  <c r="P72" i="107"/>
  <c r="C72" i="111"/>
  <c r="P72" i="111" s="1"/>
  <c r="P103" i="107"/>
  <c r="C103" i="111"/>
  <c r="P103" i="111" s="1"/>
  <c r="P79" i="107"/>
  <c r="C79" i="111"/>
  <c r="P79" i="111" s="1"/>
  <c r="P77" i="107"/>
  <c r="C77" i="111"/>
  <c r="P77" i="111" s="1"/>
  <c r="P73" i="107"/>
  <c r="C73" i="111"/>
  <c r="P73" i="111" s="1"/>
  <c r="P69" i="107"/>
  <c r="C69" i="111"/>
  <c r="P69" i="111" s="1"/>
  <c r="P65" i="107"/>
  <c r="C65" i="111"/>
  <c r="P65" i="111" s="1"/>
  <c r="P61" i="107"/>
  <c r="C61" i="111"/>
  <c r="P61" i="111" s="1"/>
  <c r="O103" i="108"/>
  <c r="O99" i="108"/>
  <c r="O95" i="108"/>
  <c r="O91" i="108"/>
  <c r="O87" i="108"/>
  <c r="O83" i="108"/>
  <c r="O79" i="108"/>
  <c r="O75" i="108"/>
  <c r="O71" i="108"/>
  <c r="O67" i="108"/>
  <c r="O63" i="108"/>
  <c r="O59" i="108"/>
  <c r="P102" i="108"/>
  <c r="P98" i="108"/>
  <c r="P94" i="108"/>
  <c r="P90" i="108"/>
  <c r="P86" i="108"/>
  <c r="P82" i="108"/>
  <c r="P78" i="108"/>
  <c r="P74" i="108"/>
  <c r="P70" i="108"/>
  <c r="P66" i="108"/>
  <c r="P62" i="108"/>
  <c r="P68" i="107"/>
  <c r="C68" i="111"/>
  <c r="P68" i="111" s="1"/>
  <c r="P64" i="107"/>
  <c r="C64" i="111"/>
  <c r="P64" i="111" s="1"/>
  <c r="P60" i="107"/>
  <c r="C60" i="111"/>
  <c r="P60" i="111" s="1"/>
  <c r="P58" i="108"/>
  <c r="P105" i="108"/>
  <c r="P101" i="108"/>
  <c r="P97" i="108"/>
  <c r="P93" i="108"/>
  <c r="P89" i="108"/>
  <c r="P85" i="108"/>
  <c r="P81" i="108"/>
  <c r="P77" i="108"/>
  <c r="P73" i="108"/>
  <c r="P69" i="108"/>
  <c r="P65" i="108"/>
  <c r="P61" i="108"/>
  <c r="P67" i="107"/>
  <c r="C67" i="111"/>
  <c r="P67" i="111" s="1"/>
  <c r="P63" i="107"/>
  <c r="C63" i="111"/>
  <c r="P63" i="111" s="1"/>
  <c r="P59" i="107"/>
  <c r="C59" i="111"/>
  <c r="P59" i="111" s="1"/>
  <c r="P104" i="108"/>
  <c r="P100" i="108"/>
  <c r="P96" i="108"/>
  <c r="P92" i="108"/>
  <c r="P88" i="108"/>
  <c r="P84" i="108"/>
  <c r="P80" i="108"/>
  <c r="P76" i="108"/>
  <c r="P72" i="108"/>
  <c r="P68" i="108"/>
  <c r="P64" i="108"/>
  <c r="P60" i="108"/>
  <c r="P66" i="107"/>
  <c r="C66" i="111"/>
  <c r="P62" i="107"/>
  <c r="C62" i="111"/>
  <c r="O95" i="111"/>
  <c r="O91" i="111"/>
  <c r="O98" i="111"/>
  <c r="O90" i="111"/>
  <c r="O82" i="111"/>
  <c r="O74" i="111"/>
  <c r="O105" i="107"/>
  <c r="O103" i="107"/>
  <c r="O101" i="107"/>
  <c r="O99" i="107"/>
  <c r="O97" i="107"/>
  <c r="O95" i="107"/>
  <c r="O93" i="107"/>
  <c r="O91" i="107"/>
  <c r="O89" i="107"/>
  <c r="O87" i="107"/>
  <c r="O85" i="107"/>
  <c r="O83" i="107"/>
  <c r="O81" i="107"/>
  <c r="O79" i="107"/>
  <c r="O77" i="107"/>
  <c r="O75" i="107"/>
  <c r="O73" i="107"/>
  <c r="O71" i="107"/>
  <c r="O69" i="107"/>
  <c r="O67" i="107"/>
  <c r="O65" i="107"/>
  <c r="O63" i="107"/>
  <c r="O61" i="107"/>
  <c r="O59" i="107"/>
  <c r="O104" i="107"/>
  <c r="O102" i="107"/>
  <c r="O100" i="107"/>
  <c r="O98" i="107"/>
  <c r="O96" i="107"/>
  <c r="O94" i="107"/>
  <c r="O92" i="107"/>
  <c r="O90" i="107"/>
  <c r="O88" i="107"/>
  <c r="O86" i="107"/>
  <c r="O84" i="107"/>
  <c r="O82" i="107"/>
  <c r="O80" i="107"/>
  <c r="O78" i="107"/>
  <c r="O76" i="107"/>
  <c r="O74" i="107"/>
  <c r="O72" i="107"/>
  <c r="O70" i="107"/>
  <c r="O68" i="107"/>
  <c r="O66" i="107"/>
  <c r="O64" i="107"/>
  <c r="O62" i="107"/>
  <c r="O60" i="107"/>
  <c r="O58" i="107"/>
  <c r="O104" i="111" l="1"/>
  <c r="O73" i="111"/>
  <c r="O72" i="111"/>
  <c r="P62" i="111"/>
  <c r="AF23" i="111" s="1"/>
  <c r="S23" i="111"/>
  <c r="P58" i="111"/>
  <c r="AF22" i="111" s="1"/>
  <c r="S22" i="111"/>
  <c r="P78" i="111"/>
  <c r="AF27" i="111" s="1"/>
  <c r="S27" i="111"/>
  <c r="O88" i="111"/>
  <c r="O87" i="111"/>
  <c r="P94" i="111"/>
  <c r="AF31" i="111" s="1"/>
  <c r="S31" i="111"/>
  <c r="P102" i="111"/>
  <c r="AF33" i="111" s="1"/>
  <c r="S33" i="111"/>
  <c r="P74" i="111"/>
  <c r="AF26" i="111" s="1"/>
  <c r="S26" i="111"/>
  <c r="P82" i="111"/>
  <c r="AF28" i="111" s="1"/>
  <c r="S28" i="111"/>
  <c r="P90" i="111"/>
  <c r="AF30" i="111" s="1"/>
  <c r="S30" i="111"/>
  <c r="P98" i="111"/>
  <c r="AF32" i="111" s="1"/>
  <c r="S32" i="111"/>
  <c r="P70" i="111"/>
  <c r="AF25" i="111" s="1"/>
  <c r="S25" i="111"/>
  <c r="P86" i="111"/>
  <c r="AF29" i="111" s="1"/>
  <c r="S29" i="111"/>
  <c r="P66" i="111"/>
  <c r="AF24" i="111" s="1"/>
  <c r="S24" i="111"/>
  <c r="O96" i="111"/>
  <c r="O69" i="111"/>
  <c r="O92" i="111"/>
  <c r="O77" i="111"/>
  <c r="O84" i="111"/>
  <c r="O58" i="111"/>
  <c r="O76" i="111"/>
  <c r="O61" i="111"/>
  <c r="O64" i="111"/>
  <c r="O80" i="111"/>
  <c r="O100" i="111"/>
  <c r="O65" i="111"/>
  <c r="O81" i="111"/>
  <c r="O97" i="111"/>
  <c r="O70" i="111"/>
  <c r="O78" i="111"/>
  <c r="O86" i="111"/>
  <c r="O94" i="111"/>
  <c r="O63" i="111"/>
  <c r="O71" i="111"/>
  <c r="O79" i="111"/>
  <c r="O89" i="111"/>
  <c r="O101" i="111"/>
  <c r="O103" i="111"/>
  <c r="O62" i="111"/>
  <c r="O59" i="111"/>
  <c r="O67" i="111"/>
  <c r="O75" i="111"/>
  <c r="O83" i="111"/>
  <c r="O105" i="111"/>
  <c r="O99" i="111"/>
  <c r="AE32" i="111" s="1"/>
  <c r="O66" i="111"/>
  <c r="O60" i="111"/>
  <c r="O68" i="111"/>
  <c r="O85" i="111"/>
  <c r="O93" i="111"/>
  <c r="O29" i="104"/>
  <c r="P29" i="104"/>
  <c r="O35" i="105"/>
  <c r="P35" i="105"/>
  <c r="O64" i="105"/>
  <c r="P64" i="105"/>
  <c r="AE30" i="111" l="1"/>
  <c r="AE23" i="111"/>
  <c r="AE29" i="111"/>
  <c r="AE28" i="111"/>
  <c r="AE24" i="111"/>
  <c r="AE26" i="111"/>
  <c r="AE33" i="111"/>
  <c r="AE27" i="111"/>
  <c r="AE25" i="111"/>
  <c r="AE31" i="111"/>
  <c r="AE22" i="111"/>
  <c r="O43" i="105"/>
  <c r="P43" i="105"/>
  <c r="O14" i="105"/>
  <c r="P14" i="105"/>
  <c r="O87" i="109" l="1"/>
  <c r="O63" i="101"/>
  <c r="P63" i="101"/>
  <c r="O34" i="100" l="1"/>
  <c r="P34" i="100"/>
  <c r="O53" i="94" l="1"/>
  <c r="O35" i="96" l="1"/>
  <c r="P35" i="96"/>
  <c r="C3" i="94"/>
  <c r="K6" i="99" l="1"/>
  <c r="K6" i="100" s="1"/>
  <c r="K6" i="110" s="1"/>
  <c r="K6" i="103" s="1"/>
  <c r="K5" i="110"/>
  <c r="K5" i="103" s="1"/>
  <c r="G5" i="98"/>
  <c r="G5" i="99" s="1"/>
  <c r="G5" i="100" s="1"/>
  <c r="G5" i="101" s="1"/>
  <c r="G5" i="109" s="1"/>
  <c r="G5" i="105" s="1"/>
  <c r="G5" i="110" s="1"/>
  <c r="G5" i="103" s="1"/>
  <c r="K6" i="97"/>
  <c r="G5" i="97"/>
  <c r="G5" i="96"/>
  <c r="K5" i="95"/>
  <c r="G5" i="95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7" l="1"/>
  <c r="K5" i="108"/>
  <c r="K5" i="111" s="1"/>
  <c r="K6" i="108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Y19" i="105"/>
  <c r="X19" i="105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39" i="105" l="1"/>
  <c r="Z39" i="105"/>
  <c r="Y39" i="109"/>
  <c r="AA27" i="99"/>
  <c r="X39" i="105"/>
  <c r="X26" i="98"/>
  <c r="AA26" i="95"/>
  <c r="AA39" i="101"/>
  <c r="AD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5" i="105"/>
  <c r="P32" i="105"/>
  <c r="P34" i="105"/>
  <c r="P36" i="105"/>
  <c r="P37" i="105"/>
  <c r="P38" i="105"/>
  <c r="P39" i="105"/>
  <c r="P40" i="105"/>
  <c r="P41" i="105"/>
  <c r="P42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6" i="105"/>
  <c r="W36" i="105"/>
  <c r="Y36" i="105"/>
  <c r="AA36" i="105"/>
  <c r="AC36" i="105"/>
  <c r="O37" i="105"/>
  <c r="O38" i="105"/>
  <c r="O39" i="105"/>
  <c r="O40" i="105"/>
  <c r="O41" i="105"/>
  <c r="O42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P57" i="108" l="1"/>
  <c r="Y38" i="105"/>
  <c r="AD26" i="97"/>
  <c r="AF25" i="101"/>
  <c r="AF28" i="101"/>
  <c r="T36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G106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H106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K106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D10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L106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N106" i="108"/>
  <c r="J106" i="108"/>
  <c r="F106" i="108"/>
  <c r="AB11" i="108"/>
  <c r="O41" i="108"/>
  <c r="O33" i="108"/>
  <c r="O25" i="108"/>
  <c r="V15" i="108"/>
  <c r="O23" i="108"/>
  <c r="O19" i="108"/>
  <c r="O15" i="108"/>
  <c r="C106" i="108"/>
  <c r="M106" i="108"/>
  <c r="I106" i="108"/>
  <c r="E106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C106" i="107"/>
  <c r="AC10" i="107"/>
  <c r="K106" i="107"/>
  <c r="I106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N106" i="107"/>
  <c r="AB10" i="107"/>
  <c r="L106" i="107"/>
  <c r="J106" i="107"/>
  <c r="Z10" i="107"/>
  <c r="X10" i="107"/>
  <c r="H106" i="107"/>
  <c r="F106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6" i="107" s="1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M106" i="107"/>
  <c r="E106" i="107"/>
  <c r="AB38" i="105"/>
  <c r="T38" i="105"/>
  <c r="AD10" i="107"/>
  <c r="V10" i="107"/>
  <c r="D106" i="107"/>
  <c r="AA10" i="107"/>
  <c r="G106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D12" i="111" l="1"/>
  <c r="U39" i="107"/>
  <c r="X42" i="109"/>
  <c r="T12" i="111"/>
  <c r="T13" i="111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B12" i="111"/>
  <c r="S18" i="111"/>
  <c r="Y14" i="111"/>
  <c r="S15" i="111"/>
  <c r="W17" i="111"/>
  <c r="W18" i="111"/>
  <c r="Y19" i="111"/>
  <c r="O52" i="111"/>
  <c r="AC20" i="111"/>
  <c r="AA21" i="111"/>
  <c r="D106" i="111"/>
  <c r="L106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P10" i="111"/>
  <c r="X19" i="111"/>
  <c r="W10" i="111"/>
  <c r="O22" i="111"/>
  <c r="P31" i="111"/>
  <c r="W16" i="111"/>
  <c r="V10" i="111"/>
  <c r="N106" i="111"/>
  <c r="T10" i="111"/>
  <c r="AB10" i="111"/>
  <c r="J106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O34" i="111"/>
  <c r="M106" i="111"/>
  <c r="P17" i="111"/>
  <c r="O21" i="111"/>
  <c r="O37" i="111"/>
  <c r="P41" i="111"/>
  <c r="O42" i="111"/>
  <c r="U20" i="111"/>
  <c r="P53" i="111"/>
  <c r="H106" i="111"/>
  <c r="X10" i="111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F106" i="111"/>
  <c r="O10" i="111"/>
  <c r="C108" i="110"/>
  <c r="E106" i="111"/>
  <c r="P15" i="111"/>
  <c r="O28" i="111"/>
  <c r="O35" i="111"/>
  <c r="O25" i="111"/>
  <c r="O44" i="111"/>
  <c r="O54" i="111"/>
  <c r="AD10" i="111"/>
  <c r="AD41" i="111" s="1"/>
  <c r="P36" i="111"/>
  <c r="O57" i="111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106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I106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F108" i="110"/>
  <c r="G106" i="111"/>
  <c r="AA10" i="111"/>
  <c r="K106" i="111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E20" i="107"/>
  <c r="T39" i="107"/>
  <c r="AB39" i="107"/>
  <c r="AF11" i="108"/>
  <c r="AF21" i="108"/>
  <c r="AE10" i="108"/>
  <c r="AF19" i="108"/>
  <c r="AD34" i="107"/>
  <c r="S38" i="107"/>
  <c r="AC34" i="107"/>
  <c r="V34" i="107"/>
  <c r="AE12" i="108"/>
  <c r="AE18" i="108"/>
  <c r="AE19" i="108"/>
  <c r="AD38" i="107"/>
  <c r="AF20" i="108"/>
  <c r="AE17" i="108"/>
  <c r="AE14" i="108"/>
  <c r="AF14" i="108"/>
  <c r="AE15" i="108"/>
  <c r="AF17" i="108"/>
  <c r="AE20" i="108"/>
  <c r="AE13" i="108"/>
  <c r="O106" i="108"/>
  <c r="H108" i="108" s="1"/>
  <c r="V36" i="107"/>
  <c r="AD37" i="107"/>
  <c r="AD35" i="107"/>
  <c r="P106" i="107"/>
  <c r="C107" i="107" s="1"/>
  <c r="V37" i="107"/>
  <c r="Y37" i="107"/>
  <c r="W34" i="107"/>
  <c r="AF12" i="108"/>
  <c r="AF18" i="108"/>
  <c r="AE11" i="108"/>
  <c r="AD36" i="107"/>
  <c r="Y34" i="107"/>
  <c r="Z40" i="107"/>
  <c r="AB35" i="107"/>
  <c r="Z36" i="107"/>
  <c r="AF13" i="108"/>
  <c r="AF15" i="108"/>
  <c r="AE16" i="108"/>
  <c r="F107" i="105"/>
  <c r="AE12" i="107"/>
  <c r="AE16" i="107"/>
  <c r="AF18" i="107"/>
  <c r="P106" i="108"/>
  <c r="H107" i="108" s="1"/>
  <c r="AF16" i="108"/>
  <c r="Y40" i="107"/>
  <c r="AE14" i="107"/>
  <c r="AE18" i="107"/>
  <c r="T38" i="107"/>
  <c r="V38" i="107"/>
  <c r="X36" i="107"/>
  <c r="U37" i="107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O106" i="107"/>
  <c r="H108" i="107" s="1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V41" i="111" l="1"/>
  <c r="AA41" i="111"/>
  <c r="AB41" i="111"/>
  <c r="S41" i="111"/>
  <c r="U41" i="111"/>
  <c r="Y41" i="111"/>
  <c r="X41" i="111"/>
  <c r="T41" i="111"/>
  <c r="Z41" i="111"/>
  <c r="W41" i="111"/>
  <c r="AC41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AD42" i="111" s="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O106" i="111"/>
  <c r="K108" i="111" s="1"/>
  <c r="P106" i="111"/>
  <c r="N107" i="111" s="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AE39" i="107"/>
  <c r="D107" i="107"/>
  <c r="G107" i="107"/>
  <c r="J107" i="107"/>
  <c r="N108" i="107"/>
  <c r="G108" i="107"/>
  <c r="D107" i="108"/>
  <c r="M107" i="108"/>
  <c r="K107" i="108"/>
  <c r="L108" i="107"/>
  <c r="AF40" i="107"/>
  <c r="F107" i="107"/>
  <c r="I107" i="107"/>
  <c r="E107" i="107"/>
  <c r="N107" i="107"/>
  <c r="C107" i="108"/>
  <c r="N107" i="108"/>
  <c r="F107" i="108"/>
  <c r="I107" i="108"/>
  <c r="E107" i="108"/>
  <c r="H107" i="107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X42" i="111" l="1"/>
  <c r="AB42" i="111"/>
  <c r="Z42" i="111"/>
  <c r="V42" i="111"/>
  <c r="AC42" i="111"/>
  <c r="AF41" i="111"/>
  <c r="W42" i="111"/>
  <c r="Y42" i="111"/>
  <c r="AA42" i="111"/>
  <c r="U42" i="111"/>
  <c r="AE41" i="111"/>
  <c r="T42" i="111"/>
  <c r="S42" i="111"/>
  <c r="AF34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  <c r="AE42" i="111"/>
</calcChain>
</file>

<file path=xl/sharedStrings.xml><?xml version="1.0" encoding="utf-8"?>
<sst xmlns="http://schemas.openxmlformats.org/spreadsheetml/2006/main" count="2342" uniqueCount="186">
  <si>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</si>
  <si>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</si>
  <si>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</si>
  <si>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</si>
  <si>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</si>
  <si>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</si>
  <si>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</si>
  <si>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</si>
  <si>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</si>
  <si>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</si>
  <si>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</si>
  <si>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</si>
  <si>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</si>
  <si>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</si>
  <si>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</si>
  <si>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</si>
  <si>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</si>
  <si>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</si>
  <si>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</si>
  <si>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</si>
  <si>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</si>
  <si>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</si>
  <si>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</si>
  <si>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</si>
  <si>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</si>
  <si>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</si>
  <si>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</si>
  <si>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</si>
  <si>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</si>
  <si>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</si>
  <si>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</si>
  <si>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</si>
  <si>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</si>
  <si>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</si>
  <si>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</si>
  <si>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</si>
  <si>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</si>
  <si>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</si>
  <si>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</si>
  <si>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</si>
  <si>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</si>
  <si>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</si>
  <si>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</si>
  <si>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</si>
  <si>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</si>
  <si>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</si>
  <si>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</si>
  <si>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</si>
  <si>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</si>
  <si>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</si>
  <si>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</si>
  <si>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</si>
  <si>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</si>
  <si>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</si>
  <si>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</si>
  <si>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</si>
  <si>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</si>
  <si>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</si>
  <si>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</si>
  <si>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</si>
  <si>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</si>
  <si>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</si>
  <si>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</si>
  <si>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</si>
  <si>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</si>
  <si>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</si>
  <si>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</si>
  <si>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</si>
  <si>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</si>
  <si>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</si>
  <si>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</si>
  <si>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</si>
  <si>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</si>
  <si>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</si>
  <si>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</si>
  <si>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</si>
  <si>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</si>
  <si>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</si>
  <si>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</si>
  <si>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</si>
  <si>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</si>
  <si>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</si>
  <si>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</si>
  <si>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</si>
  <si>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</si>
  <si>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</si>
  <si>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</si>
  <si>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</si>
  <si>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</si>
  <si>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</si>
  <si>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</si>
  <si>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</si>
  <si>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</si>
  <si>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</si>
  <si>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</si>
  <si>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</si>
  <si>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</si>
  <si>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</si>
  <si>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</si>
  <si>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</si>
  <si>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</si>
  <si>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</si>
  <si>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</si>
  <si>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</si>
  <si>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</si>
  <si>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</si>
  <si>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</si>
  <si>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</si>
  <si>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</si>
  <si>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</si>
  <si>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</si>
  <si>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</si>
  <si>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</si>
  <si>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</si>
  <si>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</si>
  <si>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</si>
  <si>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</si>
  <si>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</si>
  <si>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</si>
  <si>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</si>
  <si>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</si>
  <si>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</si>
  <si>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</si>
  <si>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</si>
  <si>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</si>
  <si>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</si>
  <si>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</si>
  <si>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</si>
  <si>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</si>
  <si>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</si>
  <si>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</si>
  <si>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</si>
  <si>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</si>
  <si>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</si>
  <si>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</si>
  <si>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</si>
  <si>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</si>
  <si>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</si>
  <si>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</si>
  <si>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</si>
  <si>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</si>
  <si>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</si>
  <si>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</si>
  <si>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</si>
  <si>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</si>
  <si>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</si>
  <si>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</si>
  <si>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</si>
  <si>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</si>
  <si>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</si>
  <si>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</si>
  <si>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</si>
  <si>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</si>
  <si>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</si>
  <si>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</si>
  <si>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</si>
  <si>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</si>
  <si>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</si>
  <si>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</si>
  <si>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</si>
  <si>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</si>
  <si>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</si>
  <si>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</si>
  <si>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</si>
  <si>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</si>
  <si>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</si>
  <si>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</si>
  <si>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</si>
  <si>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</si>
  <si>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</si>
  <si>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DELTA KYEBANDO</t>
  </si>
  <si>
    <t>KALERWE</t>
  </si>
  <si>
    <t>GAYAZA</t>
  </si>
  <si>
    <t>WALAKIRA</t>
  </si>
  <si>
    <t>NALUBEGA JOSEPHINE</t>
  </si>
  <si>
    <t>MORREEN</t>
  </si>
  <si>
    <t>LAWRENCE</t>
  </si>
  <si>
    <t>WALAKILA</t>
  </si>
  <si>
    <t>MORREEN AND BABIRYE</t>
  </si>
  <si>
    <t>NALUBEGA JOSEPHINE AND NANDUTU SANDRAH</t>
  </si>
  <si>
    <t>NANDUTU SANDRAH AND NALUBEGA JOSEPHINE</t>
  </si>
  <si>
    <t>BABIRYE AND MORREEN</t>
  </si>
  <si>
    <t>WALAKILA AND LAWRENCE</t>
  </si>
  <si>
    <t>LAWRENCE AND WALAKILA</t>
  </si>
  <si>
    <t>MCC - C1 - STN26 - Gayaza Road Kanyanya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</si>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</sst>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KALERWE-GAYAZA'!$AE$9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KALERWE-GAYAZA'!$AE$10:$AE$21</c:f>
              <c:numCache>
                <c:formatCode>0</c:formatCode>
                <c:ptCount val="12"/>
                <c:pt idx="0">
                  <c:v>381</c:v>
                </c:pt>
                <c:pt idx="1">
                  <c:v>387</c:v>
                </c:pt>
                <c:pt idx="2">
                  <c:v>453</c:v>
                </c:pt>
                <c:pt idx="3">
                  <c:v>730</c:v>
                </c:pt>
                <c:pt idx="4">
                  <c:v>536</c:v>
                </c:pt>
                <c:pt idx="5">
                  <c:v>554</c:v>
                </c:pt>
                <c:pt idx="6">
                  <c:v>513</c:v>
                </c:pt>
                <c:pt idx="7">
                  <c:v>615</c:v>
                </c:pt>
                <c:pt idx="8">
                  <c:v>474</c:v>
                </c:pt>
                <c:pt idx="9">
                  <c:v>640</c:v>
                </c:pt>
                <c:pt idx="10">
                  <c:v>695</c:v>
                </c:pt>
                <c:pt idx="11">
                  <c:v>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KALERWE-GAYAZA'!$AF$9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KALERWE-GAYAZA'!$AF$10:$AF$21</c:f>
              <c:numCache>
                <c:formatCode>0</c:formatCode>
                <c:ptCount val="12"/>
                <c:pt idx="0">
                  <c:v>1470</c:v>
                </c:pt>
                <c:pt idx="1">
                  <c:v>1663</c:v>
                </c:pt>
                <c:pt idx="2">
                  <c:v>723</c:v>
                </c:pt>
                <c:pt idx="3">
                  <c:v>1492</c:v>
                </c:pt>
                <c:pt idx="4">
                  <c:v>1423</c:v>
                </c:pt>
                <c:pt idx="5">
                  <c:v>1364</c:v>
                </c:pt>
                <c:pt idx="6">
                  <c:v>1282</c:v>
                </c:pt>
                <c:pt idx="7">
                  <c:v>1138</c:v>
                </c:pt>
                <c:pt idx="8">
                  <c:v>635</c:v>
                </c:pt>
                <c:pt idx="9">
                  <c:v>1482</c:v>
                </c:pt>
                <c:pt idx="10">
                  <c:v>1710</c:v>
                </c:pt>
                <c:pt idx="11">
                  <c:v>2079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69408"/>
        <c:axId val="165175680"/>
      </c:lineChart>
      <c:catAx>
        <c:axId val="1651694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175680"/>
        <c:crosses val="autoZero"/>
        <c:auto val="1"/>
        <c:lblAlgn val="ctr"/>
        <c:lblOffset val="100"/>
        <c:noMultiLvlLbl val="0"/>
      </c:catAx>
      <c:valAx>
        <c:axId val="165175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1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KALERWE-GAYAZA'!$C$59:$N$59</c:f>
              <c:numCache>
                <c:formatCode>0.0%</c:formatCode>
                <c:ptCount val="12"/>
                <c:pt idx="0">
                  <c:v>0.13413522872243486</c:v>
                </c:pt>
                <c:pt idx="1">
                  <c:v>4.3314500941619587E-2</c:v>
                </c:pt>
                <c:pt idx="2">
                  <c:v>2.1262377741327988E-2</c:v>
                </c:pt>
                <c:pt idx="3">
                  <c:v>0.16092582467650812</c:v>
                </c:pt>
                <c:pt idx="4">
                  <c:v>2.49073567826985E-3</c:v>
                </c:pt>
                <c:pt idx="5">
                  <c:v>2.49073567826985E-3</c:v>
                </c:pt>
                <c:pt idx="6">
                  <c:v>3.6571289715084138E-2</c:v>
                </c:pt>
                <c:pt idx="7">
                  <c:v>8.3227021444626688E-3</c:v>
                </c:pt>
                <c:pt idx="8">
                  <c:v>3.6449790413705121E-3</c:v>
                </c:pt>
                <c:pt idx="9">
                  <c:v>1.2757426644796792E-3</c:v>
                </c:pt>
                <c:pt idx="10">
                  <c:v>0.58556588299617274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KALERWE-GAYAZA'!$C$60:$N$60</c:f>
              <c:numCache>
                <c:formatCode>0.00%</c:formatCode>
                <c:ptCount val="12"/>
                <c:pt idx="0">
                  <c:v>0.32365875109938436</c:v>
                </c:pt>
                <c:pt idx="1">
                  <c:v>0.10451480504250953</c:v>
                </c:pt>
                <c:pt idx="2">
                  <c:v>5.1304602755790088E-2</c:v>
                </c:pt>
                <c:pt idx="3">
                  <c:v>0.38830255057167984</c:v>
                </c:pt>
                <c:pt idx="4">
                  <c:v>6.0099677513925538E-3</c:v>
                </c:pt>
                <c:pt idx="5">
                  <c:v>6.0099677513925538E-3</c:v>
                </c:pt>
                <c:pt idx="6">
                  <c:v>8.8243916739958961E-2</c:v>
                </c:pt>
                <c:pt idx="7">
                  <c:v>2.0082087364409265E-2</c:v>
                </c:pt>
                <c:pt idx="8">
                  <c:v>8.795074758135445E-3</c:v>
                </c:pt>
                <c:pt idx="9">
                  <c:v>3.0782761653474055E-3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GAYAZA-KALERWE'!$AE$9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GAYAZA-KALERWE'!$AE$10:$AE$21</c:f>
              <c:numCache>
                <c:formatCode>0</c:formatCode>
                <c:ptCount val="12"/>
                <c:pt idx="0">
                  <c:v>480</c:v>
                </c:pt>
                <c:pt idx="1">
                  <c:v>484</c:v>
                </c:pt>
                <c:pt idx="2">
                  <c:v>547</c:v>
                </c:pt>
                <c:pt idx="3">
                  <c:v>566</c:v>
                </c:pt>
                <c:pt idx="4">
                  <c:v>544</c:v>
                </c:pt>
                <c:pt idx="5">
                  <c:v>401</c:v>
                </c:pt>
                <c:pt idx="6">
                  <c:v>449</c:v>
                </c:pt>
                <c:pt idx="7">
                  <c:v>458</c:v>
                </c:pt>
                <c:pt idx="8">
                  <c:v>367</c:v>
                </c:pt>
                <c:pt idx="9">
                  <c:v>408</c:v>
                </c:pt>
                <c:pt idx="10">
                  <c:v>557</c:v>
                </c:pt>
                <c:pt idx="11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GAYAZA-KALERWE'!$AF$9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GAYAZA-KALERWE'!$AF$10:$AF$21</c:f>
              <c:numCache>
                <c:formatCode>0</c:formatCode>
                <c:ptCount val="12"/>
                <c:pt idx="0">
                  <c:v>921</c:v>
                </c:pt>
                <c:pt idx="1">
                  <c:v>982</c:v>
                </c:pt>
                <c:pt idx="2">
                  <c:v>1050</c:v>
                </c:pt>
                <c:pt idx="3">
                  <c:v>1011</c:v>
                </c:pt>
                <c:pt idx="4">
                  <c:v>865</c:v>
                </c:pt>
                <c:pt idx="5">
                  <c:v>694</c:v>
                </c:pt>
                <c:pt idx="6">
                  <c:v>736</c:v>
                </c:pt>
                <c:pt idx="7">
                  <c:v>824</c:v>
                </c:pt>
                <c:pt idx="8">
                  <c:v>473</c:v>
                </c:pt>
                <c:pt idx="9">
                  <c:v>892</c:v>
                </c:pt>
                <c:pt idx="10">
                  <c:v>1192</c:v>
                </c:pt>
                <c:pt idx="11">
                  <c:v>1273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97376"/>
        <c:axId val="165003648"/>
      </c:lineChart>
      <c:catAx>
        <c:axId val="164997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03648"/>
        <c:crosses val="autoZero"/>
        <c:auto val="1"/>
        <c:lblAlgn val="ctr"/>
        <c:lblOffset val="100"/>
        <c:noMultiLvlLbl val="0"/>
      </c:catAx>
      <c:valAx>
        <c:axId val="165003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99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GAYAZA-KALERWE'!$C$59:$N$59</c:f>
              <c:numCache>
                <c:formatCode>0.0%</c:formatCode>
                <c:ptCount val="12"/>
                <c:pt idx="0">
                  <c:v>0.20498488041785026</c:v>
                </c:pt>
                <c:pt idx="1">
                  <c:v>2.987262897461743E-2</c:v>
                </c:pt>
                <c:pt idx="2">
                  <c:v>2.3091725465041693E-2</c:v>
                </c:pt>
                <c:pt idx="3">
                  <c:v>0.18152661962796665</c:v>
                </c:pt>
                <c:pt idx="4">
                  <c:v>4.0318885732612483E-3</c:v>
                </c:pt>
                <c:pt idx="5">
                  <c:v>2.6573811051040044E-3</c:v>
                </c:pt>
                <c:pt idx="6">
                  <c:v>5.1498213140291398E-2</c:v>
                </c:pt>
                <c:pt idx="7">
                  <c:v>3.1980207092458537E-2</c:v>
                </c:pt>
                <c:pt idx="8">
                  <c:v>3.7569870796297991E-3</c:v>
                </c:pt>
                <c:pt idx="9">
                  <c:v>1.8326766242096582E-4</c:v>
                </c:pt>
                <c:pt idx="10">
                  <c:v>0.46641620086135799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GAYAZA-KALERWE'!$S$9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GAYAZA-KALERWE'!$S$10:$S$21</c:f>
              <c:numCache>
                <c:formatCode>0</c:formatCode>
                <c:ptCount val="12"/>
                <c:pt idx="0">
                  <c:v>222</c:v>
                </c:pt>
                <c:pt idx="1">
                  <c:v>234</c:v>
                </c:pt>
                <c:pt idx="2">
                  <c:v>269</c:v>
                </c:pt>
                <c:pt idx="3">
                  <c:v>227</c:v>
                </c:pt>
                <c:pt idx="4">
                  <c:v>224</c:v>
                </c:pt>
                <c:pt idx="5">
                  <c:v>133</c:v>
                </c:pt>
                <c:pt idx="6">
                  <c:v>145</c:v>
                </c:pt>
                <c:pt idx="7">
                  <c:v>166</c:v>
                </c:pt>
                <c:pt idx="8">
                  <c:v>151</c:v>
                </c:pt>
                <c:pt idx="9">
                  <c:v>122</c:v>
                </c:pt>
                <c:pt idx="10">
                  <c:v>182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GAYAZA-KALERWE'!$T$9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GAYAZA-KALERWE'!$T$10:$T$21</c:f>
              <c:numCache>
                <c:formatCode>0</c:formatCode>
                <c:ptCount val="12"/>
                <c:pt idx="0">
                  <c:v>61</c:v>
                </c:pt>
                <c:pt idx="1">
                  <c:v>22</c:v>
                </c:pt>
                <c:pt idx="2">
                  <c:v>30</c:v>
                </c:pt>
                <c:pt idx="3">
                  <c:v>22</c:v>
                </c:pt>
                <c:pt idx="4">
                  <c:v>30</c:v>
                </c:pt>
                <c:pt idx="5">
                  <c:v>30</c:v>
                </c:pt>
                <c:pt idx="6">
                  <c:v>29</c:v>
                </c:pt>
                <c:pt idx="7">
                  <c:v>19</c:v>
                </c:pt>
                <c:pt idx="8">
                  <c:v>13</c:v>
                </c:pt>
                <c:pt idx="9">
                  <c:v>25</c:v>
                </c:pt>
                <c:pt idx="10">
                  <c:v>27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GAYAZA-KALERWE'!$U$9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GAYAZA-KALERWE'!$U$10:$U$21</c:f>
              <c:numCache>
                <c:formatCode>0</c:formatCode>
                <c:ptCount val="12"/>
                <c:pt idx="0">
                  <c:v>27</c:v>
                </c:pt>
                <c:pt idx="1">
                  <c:v>8</c:v>
                </c:pt>
                <c:pt idx="2">
                  <c:v>31</c:v>
                </c:pt>
                <c:pt idx="3">
                  <c:v>21</c:v>
                </c:pt>
                <c:pt idx="4">
                  <c:v>26</c:v>
                </c:pt>
                <c:pt idx="5">
                  <c:v>24</c:v>
                </c:pt>
                <c:pt idx="6">
                  <c:v>27</c:v>
                </c:pt>
                <c:pt idx="7">
                  <c:v>29</c:v>
                </c:pt>
                <c:pt idx="8">
                  <c:v>11</c:v>
                </c:pt>
                <c:pt idx="9">
                  <c:v>22</c:v>
                </c:pt>
                <c:pt idx="10">
                  <c:v>9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GAYAZA-KALERWE'!$V$9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GAYAZA-KALERWE'!$V$10:$V$21</c:f>
              <c:numCache>
                <c:formatCode>0</c:formatCode>
                <c:ptCount val="12"/>
                <c:pt idx="0">
                  <c:v>138</c:v>
                </c:pt>
                <c:pt idx="1">
                  <c:v>175</c:v>
                </c:pt>
                <c:pt idx="2">
                  <c:v>155</c:v>
                </c:pt>
                <c:pt idx="3">
                  <c:v>203</c:v>
                </c:pt>
                <c:pt idx="4">
                  <c:v>169</c:v>
                </c:pt>
                <c:pt idx="5">
                  <c:v>131</c:v>
                </c:pt>
                <c:pt idx="6">
                  <c:v>144</c:v>
                </c:pt>
                <c:pt idx="7">
                  <c:v>146</c:v>
                </c:pt>
                <c:pt idx="8">
                  <c:v>111</c:v>
                </c:pt>
                <c:pt idx="9">
                  <c:v>135</c:v>
                </c:pt>
                <c:pt idx="10">
                  <c:v>228</c:v>
                </c:pt>
                <c:pt idx="11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GAYAZA-KALERWE'!$W$9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GAYAZA-KALERWE'!$W$10:$W$21</c:f>
              <c:numCache>
                <c:formatCode>0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6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GAYAZA-KALERWE'!$X$9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GAYAZA-KALERWE'!$X$10:$X$21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GAYAZA-KALERWE'!$Y$9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GAYAZA-KALERWE'!$Y$10:$Y$21</c:f>
              <c:numCache>
                <c:formatCode>0</c:formatCode>
                <c:ptCount val="12"/>
                <c:pt idx="0">
                  <c:v>17</c:v>
                </c:pt>
                <c:pt idx="1">
                  <c:v>15</c:v>
                </c:pt>
                <c:pt idx="2">
                  <c:v>19</c:v>
                </c:pt>
                <c:pt idx="3">
                  <c:v>46</c:v>
                </c:pt>
                <c:pt idx="4">
                  <c:v>52</c:v>
                </c:pt>
                <c:pt idx="5">
                  <c:v>50</c:v>
                </c:pt>
                <c:pt idx="6">
                  <c:v>68</c:v>
                </c:pt>
                <c:pt idx="7">
                  <c:v>59</c:v>
                </c:pt>
                <c:pt idx="8">
                  <c:v>48</c:v>
                </c:pt>
                <c:pt idx="9">
                  <c:v>63</c:v>
                </c:pt>
                <c:pt idx="10">
                  <c:v>69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GAYAZA-KALERWE'!$Z$9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GAYAZA-KALERWE'!$Z$10:$Z$21</c:f>
              <c:numCache>
                <c:formatCode>0</c:formatCode>
                <c:ptCount val="12"/>
                <c:pt idx="0">
                  <c:v>12</c:v>
                </c:pt>
                <c:pt idx="1">
                  <c:v>18</c:v>
                </c:pt>
                <c:pt idx="2">
                  <c:v>28</c:v>
                </c:pt>
                <c:pt idx="3">
                  <c:v>34</c:v>
                </c:pt>
                <c:pt idx="4">
                  <c:v>33</c:v>
                </c:pt>
                <c:pt idx="5">
                  <c:v>25</c:v>
                </c:pt>
                <c:pt idx="6">
                  <c:v>32</c:v>
                </c:pt>
                <c:pt idx="7">
                  <c:v>30</c:v>
                </c:pt>
                <c:pt idx="8">
                  <c:v>26</c:v>
                </c:pt>
                <c:pt idx="9">
                  <c:v>35</c:v>
                </c:pt>
                <c:pt idx="10">
                  <c:v>31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GAYAZA-KALERWE'!$AA$9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GAYAZA-KALERWE'!$AB$9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GAYAZA-KALERWE'!$AC$9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GAYAZA-KALERWE'!$AC$10:$AC$21</c:f>
              <c:numCache>
                <c:formatCode>0</c:formatCode>
                <c:ptCount val="12"/>
                <c:pt idx="0">
                  <c:v>441</c:v>
                </c:pt>
                <c:pt idx="1">
                  <c:v>498</c:v>
                </c:pt>
                <c:pt idx="2">
                  <c:v>503</c:v>
                </c:pt>
                <c:pt idx="3">
                  <c:v>445</c:v>
                </c:pt>
                <c:pt idx="4">
                  <c:v>321</c:v>
                </c:pt>
                <c:pt idx="5">
                  <c:v>293</c:v>
                </c:pt>
                <c:pt idx="6">
                  <c:v>287</c:v>
                </c:pt>
                <c:pt idx="7">
                  <c:v>366</c:v>
                </c:pt>
                <c:pt idx="8">
                  <c:v>106</c:v>
                </c:pt>
                <c:pt idx="9">
                  <c:v>484</c:v>
                </c:pt>
                <c:pt idx="10">
                  <c:v>635</c:v>
                </c:pt>
                <c:pt idx="11">
                  <c:v>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GAYAZA-KALERWE'!$AD$9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GAYAZA-KALERWE'!$AD$10:$AD$21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66400"/>
        <c:axId val="165368192"/>
      </c:lineChart>
      <c:catAx>
        <c:axId val="1653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368192"/>
        <c:crosses val="autoZero"/>
        <c:auto val="1"/>
        <c:lblAlgn val="ctr"/>
        <c:lblOffset val="100"/>
        <c:noMultiLvlLbl val="0"/>
      </c:catAx>
      <c:valAx>
        <c:axId val="1653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3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GAYAZA-KALERWE'!$C$60:$N$60</c:f>
              <c:numCache>
                <c:formatCode>0.00%</c:formatCode>
                <c:ptCount val="12"/>
                <c:pt idx="0">
                  <c:v>0.38416623733470717</c:v>
                </c:pt>
                <c:pt idx="1">
                  <c:v>5.5984887515026616E-2</c:v>
                </c:pt>
                <c:pt idx="2">
                  <c:v>4.3276661514683151E-2</c:v>
                </c:pt>
                <c:pt idx="3">
                  <c:v>0.34020264468487033</c:v>
                </c:pt>
                <c:pt idx="4">
                  <c:v>7.5562424866907089E-3</c:v>
                </c:pt>
                <c:pt idx="5">
                  <c:v>4.9802507298643307E-3</c:v>
                </c:pt>
                <c:pt idx="6">
                  <c:v>9.6513824489094971E-2</c:v>
                </c:pt>
                <c:pt idx="7">
                  <c:v>5.99347415421604E-2</c:v>
                </c:pt>
                <c:pt idx="8">
                  <c:v>7.0410441353254338E-3</c:v>
                </c:pt>
                <c:pt idx="9">
                  <c:v>3.4346556757685042E-4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KALERWE-GAYAZA'!$AE$9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KALERWE-GAYAZA'!$AE$10:$AE$21</c:f>
              <c:numCache>
                <c:formatCode>0</c:formatCode>
                <c:ptCount val="12"/>
                <c:pt idx="0">
                  <c:v>456</c:v>
                </c:pt>
                <c:pt idx="1">
                  <c:v>555</c:v>
                </c:pt>
                <c:pt idx="2">
                  <c:v>482</c:v>
                </c:pt>
                <c:pt idx="3">
                  <c:v>647</c:v>
                </c:pt>
                <c:pt idx="4">
                  <c:v>450</c:v>
                </c:pt>
                <c:pt idx="5">
                  <c:v>629</c:v>
                </c:pt>
                <c:pt idx="6">
                  <c:v>521</c:v>
                </c:pt>
                <c:pt idx="7">
                  <c:v>540</c:v>
                </c:pt>
                <c:pt idx="8">
                  <c:v>586</c:v>
                </c:pt>
                <c:pt idx="9">
                  <c:v>613</c:v>
                </c:pt>
                <c:pt idx="10">
                  <c:v>687</c:v>
                </c:pt>
                <c:pt idx="11">
                  <c:v>730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KALERWE-GAYAZA'!$AF$9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KALERWE-GAYAZA'!$AF$10:$AF$21</c:f>
              <c:numCache>
                <c:formatCode>0</c:formatCode>
                <c:ptCount val="12"/>
                <c:pt idx="0">
                  <c:v>1204</c:v>
                </c:pt>
                <c:pt idx="1">
                  <c:v>1694</c:v>
                </c:pt>
                <c:pt idx="2">
                  <c:v>1462</c:v>
                </c:pt>
                <c:pt idx="3">
                  <c:v>1643</c:v>
                </c:pt>
                <c:pt idx="4">
                  <c:v>1120</c:v>
                </c:pt>
                <c:pt idx="5">
                  <c:v>1339</c:v>
                </c:pt>
                <c:pt idx="6">
                  <c:v>1249</c:v>
                </c:pt>
                <c:pt idx="7">
                  <c:v>1202</c:v>
                </c:pt>
                <c:pt idx="8">
                  <c:v>1279</c:v>
                </c:pt>
                <c:pt idx="9">
                  <c:v>1237</c:v>
                </c:pt>
                <c:pt idx="10">
                  <c:v>1476</c:v>
                </c:pt>
                <c:pt idx="11">
                  <c:v>2001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41376"/>
        <c:axId val="165543296"/>
      </c:lineChart>
      <c:catAx>
        <c:axId val="165541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543296"/>
        <c:crosses val="autoZero"/>
        <c:auto val="1"/>
        <c:lblAlgn val="ctr"/>
        <c:lblOffset val="100"/>
        <c:noMultiLvlLbl val="0"/>
      </c:catAx>
      <c:valAx>
        <c:axId val="165543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5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KALERWE-GAYAZA'!$C$59:$N$59</c:f>
              <c:numCache>
                <c:formatCode>0.0%</c:formatCode>
                <c:ptCount val="12"/>
                <c:pt idx="0">
                  <c:v>0.13131432627469539</c:v>
                </c:pt>
                <c:pt idx="1">
                  <c:v>3.8211285933987933E-2</c:v>
                </c:pt>
                <c:pt idx="2">
                  <c:v>2.4015142552939784E-2</c:v>
                </c:pt>
                <c:pt idx="3">
                  <c:v>0.16603572696084232</c:v>
                </c:pt>
                <c:pt idx="4">
                  <c:v>2.3660238968413582E-3</c:v>
                </c:pt>
                <c:pt idx="5">
                  <c:v>2.3660238968413582E-3</c:v>
                </c:pt>
                <c:pt idx="6">
                  <c:v>3.0699160061516621E-2</c:v>
                </c:pt>
                <c:pt idx="7">
                  <c:v>7.8670294569975156E-3</c:v>
                </c:pt>
                <c:pt idx="8">
                  <c:v>3.608186442683071E-3</c:v>
                </c:pt>
                <c:pt idx="9">
                  <c:v>1.3604637406837809E-3</c:v>
                </c:pt>
                <c:pt idx="10">
                  <c:v>0.59209748018454988</c:v>
                </c:pt>
                <c:pt idx="11">
                  <c:v>5.915059742103395E-5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KALERWE-GAYAZA'!$S$9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KALERWE-GAYAZA'!$S$10:$S$21</c:f>
              <c:numCache>
                <c:formatCode>0</c:formatCode>
                <c:ptCount val="12"/>
                <c:pt idx="0">
                  <c:v>113</c:v>
                </c:pt>
                <c:pt idx="1">
                  <c:v>137</c:v>
                </c:pt>
                <c:pt idx="2">
                  <c:v>102</c:v>
                </c:pt>
                <c:pt idx="3">
                  <c:v>192</c:v>
                </c:pt>
                <c:pt idx="4">
                  <c:v>155</c:v>
                </c:pt>
                <c:pt idx="5">
                  <c:v>174</c:v>
                </c:pt>
                <c:pt idx="6">
                  <c:v>156</c:v>
                </c:pt>
                <c:pt idx="7">
                  <c:v>138</c:v>
                </c:pt>
                <c:pt idx="8">
                  <c:v>185</c:v>
                </c:pt>
                <c:pt idx="9">
                  <c:v>240</c:v>
                </c:pt>
                <c:pt idx="10">
                  <c:v>306</c:v>
                </c:pt>
                <c:pt idx="11">
                  <c:v>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KALERWE-GAYAZA'!$T$9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KALERWE-GAYAZA'!$T$10:$T$21</c:f>
              <c:numCache>
                <c:formatCode>0</c:formatCode>
                <c:ptCount val="12"/>
                <c:pt idx="0">
                  <c:v>31</c:v>
                </c:pt>
                <c:pt idx="1">
                  <c:v>28</c:v>
                </c:pt>
                <c:pt idx="2">
                  <c:v>54</c:v>
                </c:pt>
                <c:pt idx="3">
                  <c:v>50</c:v>
                </c:pt>
                <c:pt idx="4">
                  <c:v>21</c:v>
                </c:pt>
                <c:pt idx="5">
                  <c:v>36</c:v>
                </c:pt>
                <c:pt idx="6">
                  <c:v>61</c:v>
                </c:pt>
                <c:pt idx="7">
                  <c:v>63</c:v>
                </c:pt>
                <c:pt idx="8">
                  <c:v>61</c:v>
                </c:pt>
                <c:pt idx="9">
                  <c:v>63</c:v>
                </c:pt>
                <c:pt idx="10">
                  <c:v>85</c:v>
                </c:pt>
                <c:pt idx="11">
                  <c:v>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KALERWE-GAYAZA'!$U$9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KALERWE-GAYAZA'!$U$10:$U$21</c:f>
              <c:numCache>
                <c:formatCode>0</c:formatCode>
                <c:ptCount val="12"/>
                <c:pt idx="0">
                  <c:v>16</c:v>
                </c:pt>
                <c:pt idx="1">
                  <c:v>30</c:v>
                </c:pt>
                <c:pt idx="2">
                  <c:v>20</c:v>
                </c:pt>
                <c:pt idx="3">
                  <c:v>40</c:v>
                </c:pt>
                <c:pt idx="4">
                  <c:v>22</c:v>
                </c:pt>
                <c:pt idx="5">
                  <c:v>26</c:v>
                </c:pt>
                <c:pt idx="6">
                  <c:v>32</c:v>
                </c:pt>
                <c:pt idx="7">
                  <c:v>41</c:v>
                </c:pt>
                <c:pt idx="8">
                  <c:v>49</c:v>
                </c:pt>
                <c:pt idx="9">
                  <c:v>49</c:v>
                </c:pt>
                <c:pt idx="10">
                  <c:v>35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KALERWE-GAYAZA'!$V$9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KALERWE-GAYAZA'!$V$10:$V$21</c:f>
              <c:numCache>
                <c:formatCode>0</c:formatCode>
                <c:ptCount val="12"/>
                <c:pt idx="0">
                  <c:v>250</c:v>
                </c:pt>
                <c:pt idx="1">
                  <c:v>325</c:v>
                </c:pt>
                <c:pt idx="2">
                  <c:v>244</c:v>
                </c:pt>
                <c:pt idx="3">
                  <c:v>284</c:v>
                </c:pt>
                <c:pt idx="4">
                  <c:v>182</c:v>
                </c:pt>
                <c:pt idx="5">
                  <c:v>329</c:v>
                </c:pt>
                <c:pt idx="6">
                  <c:v>186</c:v>
                </c:pt>
                <c:pt idx="7">
                  <c:v>199</c:v>
                </c:pt>
                <c:pt idx="8">
                  <c:v>214</c:v>
                </c:pt>
                <c:pt idx="9">
                  <c:v>188</c:v>
                </c:pt>
                <c:pt idx="10">
                  <c:v>205</c:v>
                </c:pt>
                <c:pt idx="11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KALERWE-GAYAZA'!$W$9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KALERWE-GAYAZA'!$W$10:$W$21</c:f>
              <c:numCache>
                <c:formatCode>0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KALERWE-GAYAZA'!$X$9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KALERWE-GAYAZA'!$X$10:$X$21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KALERWE-GAYAZA'!$Y$9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KALERWE-GAYAZA'!$Y$10:$Y$21</c:f>
              <c:numCache>
                <c:formatCode>0</c:formatCode>
                <c:ptCount val="12"/>
                <c:pt idx="0">
                  <c:v>22</c:v>
                </c:pt>
                <c:pt idx="1">
                  <c:v>29</c:v>
                </c:pt>
                <c:pt idx="2">
                  <c:v>39</c:v>
                </c:pt>
                <c:pt idx="3">
                  <c:v>60</c:v>
                </c:pt>
                <c:pt idx="4">
                  <c:v>43</c:v>
                </c:pt>
                <c:pt idx="5">
                  <c:v>35</c:v>
                </c:pt>
                <c:pt idx="6">
                  <c:v>54</c:v>
                </c:pt>
                <c:pt idx="7">
                  <c:v>72</c:v>
                </c:pt>
                <c:pt idx="8">
                  <c:v>53</c:v>
                </c:pt>
                <c:pt idx="9">
                  <c:v>39</c:v>
                </c:pt>
                <c:pt idx="10">
                  <c:v>28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KALERWE-GAYAZA'!$Z$9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KALERWE-GAYAZA'!$Z$10:$Z$21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11</c:v>
                </c:pt>
                <c:pt idx="3">
                  <c:v>7</c:v>
                </c:pt>
                <c:pt idx="4">
                  <c:v>14</c:v>
                </c:pt>
                <c:pt idx="5">
                  <c:v>18</c:v>
                </c:pt>
                <c:pt idx="6">
                  <c:v>24</c:v>
                </c:pt>
                <c:pt idx="7">
                  <c:v>5</c:v>
                </c:pt>
                <c:pt idx="8">
                  <c:v>15</c:v>
                </c:pt>
                <c:pt idx="9">
                  <c:v>11</c:v>
                </c:pt>
                <c:pt idx="10">
                  <c:v>11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KALERWE-GAYAZA'!$AA$9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KALERWE-GAYAZA'!$AA$10:$AA$21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15</c:v>
                </c:pt>
                <c:pt idx="8">
                  <c:v>4</c:v>
                </c:pt>
                <c:pt idx="9">
                  <c:v>10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KALERWE-GAYAZA'!$AB$9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KALERWE-GAYAZA'!$AC$9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KALERWE-GAYAZA'!$AC$10:$AC$21</c:f>
              <c:numCache>
                <c:formatCode>0</c:formatCode>
                <c:ptCount val="12"/>
                <c:pt idx="0">
                  <c:v>748</c:v>
                </c:pt>
                <c:pt idx="1">
                  <c:v>1139</c:v>
                </c:pt>
                <c:pt idx="2">
                  <c:v>980</c:v>
                </c:pt>
                <c:pt idx="3">
                  <c:v>996</c:v>
                </c:pt>
                <c:pt idx="4">
                  <c:v>670</c:v>
                </c:pt>
                <c:pt idx="5">
                  <c:v>710</c:v>
                </c:pt>
                <c:pt idx="6">
                  <c:v>728</c:v>
                </c:pt>
                <c:pt idx="7">
                  <c:v>662</c:v>
                </c:pt>
                <c:pt idx="8">
                  <c:v>693</c:v>
                </c:pt>
                <c:pt idx="9">
                  <c:v>624</c:v>
                </c:pt>
                <c:pt idx="10">
                  <c:v>789</c:v>
                </c:pt>
                <c:pt idx="11">
                  <c:v>1271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KALERWE-GAYAZA'!$AD$9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KALERWE-GAYAZA'!$AD$10:$AD$21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02784"/>
        <c:axId val="166904576"/>
      </c:lineChart>
      <c:catAx>
        <c:axId val="16690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904576"/>
        <c:crosses val="autoZero"/>
        <c:auto val="1"/>
        <c:lblAlgn val="ctr"/>
        <c:lblOffset val="100"/>
        <c:noMultiLvlLbl val="0"/>
      </c:catAx>
      <c:valAx>
        <c:axId val="1669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90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KALERWE-GAYAZA'!$C$60:$N$60</c:f>
              <c:numCache>
                <c:formatCode>0.00%</c:formatCode>
                <c:ptCount val="12"/>
                <c:pt idx="0">
                  <c:v>0.32192575406032481</c:v>
                </c:pt>
                <c:pt idx="1">
                  <c:v>9.3677494199535957E-2</c:v>
                </c:pt>
                <c:pt idx="2">
                  <c:v>5.8874709976798147E-2</c:v>
                </c:pt>
                <c:pt idx="3">
                  <c:v>0.40704756380510443</c:v>
                </c:pt>
                <c:pt idx="4">
                  <c:v>5.8004640371229696E-3</c:v>
                </c:pt>
                <c:pt idx="5">
                  <c:v>5.8004640371229696E-3</c:v>
                </c:pt>
                <c:pt idx="6">
                  <c:v>7.526102088167054E-2</c:v>
                </c:pt>
                <c:pt idx="7">
                  <c:v>1.9286542923433875E-2</c:v>
                </c:pt>
                <c:pt idx="8">
                  <c:v>8.8457076566125295E-3</c:v>
                </c:pt>
                <c:pt idx="9">
                  <c:v>3.3352668213457075E-3</c:v>
                </c:pt>
                <c:pt idx="11">
                  <c:v>1.4501160092807424E-4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GAYAZA-KALERWE'!$AE$9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GAYAZA-KALERWE'!$AE$10:$AE$21</c:f>
              <c:numCache>
                <c:formatCode>0</c:formatCode>
                <c:ptCount val="12"/>
                <c:pt idx="0">
                  <c:v>775</c:v>
                </c:pt>
                <c:pt idx="1">
                  <c:v>474</c:v>
                </c:pt>
                <c:pt idx="2">
                  <c:v>565</c:v>
                </c:pt>
                <c:pt idx="3">
                  <c:v>702</c:v>
                </c:pt>
                <c:pt idx="4">
                  <c:v>641</c:v>
                </c:pt>
                <c:pt idx="5">
                  <c:v>834</c:v>
                </c:pt>
                <c:pt idx="6">
                  <c:v>486</c:v>
                </c:pt>
                <c:pt idx="7">
                  <c:v>452</c:v>
                </c:pt>
                <c:pt idx="8">
                  <c:v>550</c:v>
                </c:pt>
                <c:pt idx="9">
                  <c:v>664</c:v>
                </c:pt>
                <c:pt idx="10">
                  <c:v>416</c:v>
                </c:pt>
                <c:pt idx="11">
                  <c:v>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GAYAZA-KALERWE'!$AF$9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GAYAZA-KALERWE'!$AF$10:$AF$21</c:f>
              <c:numCache>
                <c:formatCode>0</c:formatCode>
                <c:ptCount val="12"/>
                <c:pt idx="0">
                  <c:v>1815</c:v>
                </c:pt>
                <c:pt idx="1">
                  <c:v>1489</c:v>
                </c:pt>
                <c:pt idx="2">
                  <c:v>1357</c:v>
                </c:pt>
                <c:pt idx="3">
                  <c:v>1690</c:v>
                </c:pt>
                <c:pt idx="4">
                  <c:v>1320</c:v>
                </c:pt>
                <c:pt idx="5">
                  <c:v>1325</c:v>
                </c:pt>
                <c:pt idx="6">
                  <c:v>899</c:v>
                </c:pt>
                <c:pt idx="7">
                  <c:v>734</c:v>
                </c:pt>
                <c:pt idx="8">
                  <c:v>1110</c:v>
                </c:pt>
                <c:pt idx="9">
                  <c:v>1213</c:v>
                </c:pt>
                <c:pt idx="10">
                  <c:v>1147</c:v>
                </c:pt>
                <c:pt idx="11">
                  <c:v>1906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8976"/>
        <c:axId val="167040896"/>
      </c:lineChart>
      <c:catAx>
        <c:axId val="167038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040896"/>
        <c:crosses val="autoZero"/>
        <c:auto val="1"/>
        <c:lblAlgn val="ctr"/>
        <c:lblOffset val="100"/>
        <c:noMultiLvlLbl val="0"/>
      </c:catAx>
      <c:valAx>
        <c:axId val="167040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03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GAYAZA-KALERWE'!$C$59:$N$59</c:f>
              <c:numCache>
                <c:formatCode>0.0%</c:formatCode>
                <c:ptCount val="12"/>
                <c:pt idx="0">
                  <c:v>0.18637925648234926</c:v>
                </c:pt>
                <c:pt idx="1">
                  <c:v>3.2989690721649485E-2</c:v>
                </c:pt>
                <c:pt idx="2">
                  <c:v>1.9431427678850359E-2</c:v>
                </c:pt>
                <c:pt idx="3">
                  <c:v>0.16819743830053108</c:v>
                </c:pt>
                <c:pt idx="4">
                  <c:v>2.0618556701030928E-3</c:v>
                </c:pt>
                <c:pt idx="5">
                  <c:v>2.0618556701030928E-3</c:v>
                </c:pt>
                <c:pt idx="6">
                  <c:v>2.8741018431740081E-2</c:v>
                </c:pt>
                <c:pt idx="7">
                  <c:v>1.9368947203998749E-2</c:v>
                </c:pt>
                <c:pt idx="8">
                  <c:v>8.5598250546704158E-3</c:v>
                </c:pt>
                <c:pt idx="9">
                  <c:v>1.3120899718837863E-3</c:v>
                </c:pt>
                <c:pt idx="10">
                  <c:v>0.53089659481412055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GAYAZA-KALERWE'!$S$9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GAYAZA-KALERWE'!$S$10:$S$21</c:f>
              <c:numCache>
                <c:formatCode>0</c:formatCode>
                <c:ptCount val="12"/>
                <c:pt idx="0">
                  <c:v>499</c:v>
                </c:pt>
                <c:pt idx="1">
                  <c:v>188</c:v>
                </c:pt>
                <c:pt idx="2">
                  <c:v>212</c:v>
                </c:pt>
                <c:pt idx="3">
                  <c:v>289</c:v>
                </c:pt>
                <c:pt idx="4">
                  <c:v>263</c:v>
                </c:pt>
                <c:pt idx="5">
                  <c:v>367</c:v>
                </c:pt>
                <c:pt idx="6">
                  <c:v>178</c:v>
                </c:pt>
                <c:pt idx="7">
                  <c:v>148</c:v>
                </c:pt>
                <c:pt idx="8">
                  <c:v>185</c:v>
                </c:pt>
                <c:pt idx="9">
                  <c:v>253</c:v>
                </c:pt>
                <c:pt idx="10">
                  <c:v>119</c:v>
                </c:pt>
                <c:pt idx="11">
                  <c:v>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GAYAZA-KALERWE'!$T$9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GAYAZA-KALERWE'!$T$10:$T$21</c:f>
              <c:numCache>
                <c:formatCode>0</c:formatCode>
                <c:ptCount val="12"/>
                <c:pt idx="0">
                  <c:v>44</c:v>
                </c:pt>
                <c:pt idx="1">
                  <c:v>33</c:v>
                </c:pt>
                <c:pt idx="2">
                  <c:v>44</c:v>
                </c:pt>
                <c:pt idx="3">
                  <c:v>55</c:v>
                </c:pt>
                <c:pt idx="4">
                  <c:v>34</c:v>
                </c:pt>
                <c:pt idx="5">
                  <c:v>61</c:v>
                </c:pt>
                <c:pt idx="6">
                  <c:v>45</c:v>
                </c:pt>
                <c:pt idx="7">
                  <c:v>45</c:v>
                </c:pt>
                <c:pt idx="8">
                  <c:v>57</c:v>
                </c:pt>
                <c:pt idx="9">
                  <c:v>44</c:v>
                </c:pt>
                <c:pt idx="10">
                  <c:v>30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GAYAZA-KALERWE'!$U$9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GAYAZA-KALERWE'!$U$10:$U$21</c:f>
              <c:numCache>
                <c:formatCode>0</c:formatCode>
                <c:ptCount val="12"/>
                <c:pt idx="0">
                  <c:v>22</c:v>
                </c:pt>
                <c:pt idx="1">
                  <c:v>25</c:v>
                </c:pt>
                <c:pt idx="2">
                  <c:v>26</c:v>
                </c:pt>
                <c:pt idx="3">
                  <c:v>22</c:v>
                </c:pt>
                <c:pt idx="4">
                  <c:v>28</c:v>
                </c:pt>
                <c:pt idx="5">
                  <c:v>38</c:v>
                </c:pt>
                <c:pt idx="6">
                  <c:v>20</c:v>
                </c:pt>
                <c:pt idx="7">
                  <c:v>32</c:v>
                </c:pt>
                <c:pt idx="8">
                  <c:v>28</c:v>
                </c:pt>
                <c:pt idx="9">
                  <c:v>26</c:v>
                </c:pt>
                <c:pt idx="10">
                  <c:v>17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GAYAZA-KALERWE'!$V$9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GAYAZA-KALERWE'!$V$10:$V$21</c:f>
              <c:numCache>
                <c:formatCode>0</c:formatCode>
                <c:ptCount val="12"/>
                <c:pt idx="0">
                  <c:v>178</c:v>
                </c:pt>
                <c:pt idx="1">
                  <c:v>172</c:v>
                </c:pt>
                <c:pt idx="2">
                  <c:v>205</c:v>
                </c:pt>
                <c:pt idx="3">
                  <c:v>238</c:v>
                </c:pt>
                <c:pt idx="4">
                  <c:v>260</c:v>
                </c:pt>
                <c:pt idx="5">
                  <c:v>261</c:v>
                </c:pt>
                <c:pt idx="6">
                  <c:v>162</c:v>
                </c:pt>
                <c:pt idx="7">
                  <c:v>133</c:v>
                </c:pt>
                <c:pt idx="8">
                  <c:v>166</c:v>
                </c:pt>
                <c:pt idx="9">
                  <c:v>245</c:v>
                </c:pt>
                <c:pt idx="10">
                  <c:v>167</c:v>
                </c:pt>
                <c:pt idx="11">
                  <c:v>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GAYAZA-KALERWE'!$W$9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GAYAZA-KALERWE'!$W$10:$W$21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GAYAZA-KALERWE'!$X$9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GAYAZA-KALERWE'!$X$10:$X$21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GAYAZA-KALERWE'!$Y$9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GAYAZA-KALERWE'!$Y$10:$Y$21</c:f>
              <c:numCache>
                <c:formatCode>0</c:formatCode>
                <c:ptCount val="12"/>
                <c:pt idx="0">
                  <c:v>17</c:v>
                </c:pt>
                <c:pt idx="1">
                  <c:v>31</c:v>
                </c:pt>
                <c:pt idx="2">
                  <c:v>54</c:v>
                </c:pt>
                <c:pt idx="3">
                  <c:v>40</c:v>
                </c:pt>
                <c:pt idx="4">
                  <c:v>25</c:v>
                </c:pt>
                <c:pt idx="5">
                  <c:v>39</c:v>
                </c:pt>
                <c:pt idx="6">
                  <c:v>38</c:v>
                </c:pt>
                <c:pt idx="7">
                  <c:v>32</c:v>
                </c:pt>
                <c:pt idx="8">
                  <c:v>56</c:v>
                </c:pt>
                <c:pt idx="9">
                  <c:v>48</c:v>
                </c:pt>
                <c:pt idx="10">
                  <c:v>34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GAYAZA-KALERWE'!$Z$9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GAYAZA-KALERWE'!$Z$10:$Z$21</c:f>
              <c:numCache>
                <c:formatCode>0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13</c:v>
                </c:pt>
                <c:pt idx="3">
                  <c:v>34</c:v>
                </c:pt>
                <c:pt idx="4">
                  <c:v>15</c:v>
                </c:pt>
                <c:pt idx="5">
                  <c:v>44</c:v>
                </c:pt>
                <c:pt idx="6">
                  <c:v>23</c:v>
                </c:pt>
                <c:pt idx="7">
                  <c:v>35</c:v>
                </c:pt>
                <c:pt idx="8">
                  <c:v>39</c:v>
                </c:pt>
                <c:pt idx="9">
                  <c:v>34</c:v>
                </c:pt>
                <c:pt idx="10">
                  <c:v>30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GAYAZA-KALERWE'!$AA$9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GAYAZA-KALERWE'!$AA$10:$AA$21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18</c:v>
                </c:pt>
                <c:pt idx="4">
                  <c:v>11</c:v>
                </c:pt>
                <c:pt idx="5">
                  <c:v>19</c:v>
                </c:pt>
                <c:pt idx="6">
                  <c:v>11</c:v>
                </c:pt>
                <c:pt idx="7">
                  <c:v>22</c:v>
                </c:pt>
                <c:pt idx="8">
                  <c:v>14</c:v>
                </c:pt>
                <c:pt idx="9">
                  <c:v>8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GAYAZA-KALERWE'!$AB$9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GAYAZA-KALERWE'!$AC$9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GAYAZA-KALERWE'!$AC$10:$AC$21</c:f>
              <c:numCache>
                <c:formatCode>0</c:formatCode>
                <c:ptCount val="12"/>
                <c:pt idx="0">
                  <c:v>1040</c:v>
                </c:pt>
                <c:pt idx="1">
                  <c:v>1015</c:v>
                </c:pt>
                <c:pt idx="2">
                  <c:v>792</c:v>
                </c:pt>
                <c:pt idx="3">
                  <c:v>988</c:v>
                </c:pt>
                <c:pt idx="4">
                  <c:v>679</c:v>
                </c:pt>
                <c:pt idx="5">
                  <c:v>491</c:v>
                </c:pt>
                <c:pt idx="6">
                  <c:v>413</c:v>
                </c:pt>
                <c:pt idx="7">
                  <c:v>282</c:v>
                </c:pt>
                <c:pt idx="8">
                  <c:v>560</c:v>
                </c:pt>
                <c:pt idx="9">
                  <c:v>549</c:v>
                </c:pt>
                <c:pt idx="10">
                  <c:v>731</c:v>
                </c:pt>
                <c:pt idx="11">
                  <c:v>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GAYAZA-KALERWE'!$AD$9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GAYAZA-KALERWE'!$AD$10:$AD$21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82560"/>
        <c:axId val="167284096"/>
      </c:lineChart>
      <c:catAx>
        <c:axId val="16728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284096"/>
        <c:crosses val="autoZero"/>
        <c:auto val="1"/>
        <c:lblAlgn val="ctr"/>
        <c:lblOffset val="100"/>
        <c:noMultiLvlLbl val="0"/>
      </c:catAx>
      <c:valAx>
        <c:axId val="1672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28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GAYAZA-KALERWE'!$C$60:$N$60</c:f>
              <c:numCache>
                <c:formatCode>0.00%</c:formatCode>
                <c:ptCount val="12"/>
                <c:pt idx="0">
                  <c:v>0.39730953649440598</c:v>
                </c:pt>
                <c:pt idx="1">
                  <c:v>7.0324986680873738E-2</c:v>
                </c:pt>
                <c:pt idx="2">
                  <c:v>4.1422482685135854E-2</c:v>
                </c:pt>
                <c:pt idx="3">
                  <c:v>0.35855087906233352</c:v>
                </c:pt>
                <c:pt idx="4">
                  <c:v>4.3953116675546086E-3</c:v>
                </c:pt>
                <c:pt idx="5">
                  <c:v>4.3953116675546086E-3</c:v>
                </c:pt>
                <c:pt idx="6">
                  <c:v>6.126798082045818E-2</c:v>
                </c:pt>
                <c:pt idx="7">
                  <c:v>4.1289291422482687E-2</c:v>
                </c:pt>
                <c:pt idx="8">
                  <c:v>1.8247202983484284E-2</c:v>
                </c:pt>
                <c:pt idx="9">
                  <c:v>2.7970165157165691E-3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KALERWE-GAYAZA'!$AE$9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KALERWE-GAYAZA'!$AE$10:$AE$21</c:f>
              <c:numCache>
                <c:formatCode>0</c:formatCode>
                <c:ptCount val="12"/>
                <c:pt idx="0">
                  <c:v>367</c:v>
                </c:pt>
                <c:pt idx="1">
                  <c:v>407</c:v>
                </c:pt>
                <c:pt idx="2">
                  <c:v>477</c:v>
                </c:pt>
                <c:pt idx="3">
                  <c:v>488</c:v>
                </c:pt>
                <c:pt idx="4">
                  <c:v>481</c:v>
                </c:pt>
                <c:pt idx="5">
                  <c:v>484</c:v>
                </c:pt>
                <c:pt idx="6">
                  <c:v>465</c:v>
                </c:pt>
                <c:pt idx="7">
                  <c:v>519</c:v>
                </c:pt>
                <c:pt idx="8">
                  <c:v>629</c:v>
                </c:pt>
                <c:pt idx="9">
                  <c:v>607</c:v>
                </c:pt>
                <c:pt idx="10">
                  <c:v>644</c:v>
                </c:pt>
                <c:pt idx="11">
                  <c:v>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KALERWE-GAYAZA'!$AF$9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KALERWE-GAYAZA'!$AF$10:$AF$21</c:f>
              <c:numCache>
                <c:formatCode>0</c:formatCode>
                <c:ptCount val="12"/>
                <c:pt idx="0">
                  <c:v>1882</c:v>
                </c:pt>
                <c:pt idx="1">
                  <c:v>1851</c:v>
                </c:pt>
                <c:pt idx="2">
                  <c:v>1780</c:v>
                </c:pt>
                <c:pt idx="3">
                  <c:v>1514</c:v>
                </c:pt>
                <c:pt idx="4">
                  <c:v>1437</c:v>
                </c:pt>
                <c:pt idx="5">
                  <c:v>1208</c:v>
                </c:pt>
                <c:pt idx="6">
                  <c:v>1245</c:v>
                </c:pt>
                <c:pt idx="7">
                  <c:v>1696</c:v>
                </c:pt>
                <c:pt idx="8">
                  <c:v>1750</c:v>
                </c:pt>
                <c:pt idx="9">
                  <c:v>1747</c:v>
                </c:pt>
                <c:pt idx="10">
                  <c:v>1794</c:v>
                </c:pt>
                <c:pt idx="11">
                  <c:v>1892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06208"/>
        <c:axId val="168973056"/>
      </c:lineChart>
      <c:catAx>
        <c:axId val="167406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973056"/>
        <c:crosses val="autoZero"/>
        <c:auto val="1"/>
        <c:lblAlgn val="ctr"/>
        <c:lblOffset val="100"/>
        <c:noMultiLvlLbl val="0"/>
      </c:catAx>
      <c:valAx>
        <c:axId val="168973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40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KALERWE-GAYAZA'!$C$59:$N$59</c:f>
              <c:numCache>
                <c:formatCode>0.0%</c:formatCode>
                <c:ptCount val="12"/>
                <c:pt idx="0">
                  <c:v>0.10916346736714488</c:v>
                </c:pt>
                <c:pt idx="1">
                  <c:v>2.7126692261062842E-2</c:v>
                </c:pt>
                <c:pt idx="2">
                  <c:v>2.2529804000808243E-2</c:v>
                </c:pt>
                <c:pt idx="3">
                  <c:v>0.11421499292786422</c:v>
                </c:pt>
                <c:pt idx="4">
                  <c:v>1.8185492018589614E-3</c:v>
                </c:pt>
                <c:pt idx="5">
                  <c:v>1.8185492018589614E-3</c:v>
                </c:pt>
                <c:pt idx="6">
                  <c:v>2.4297837947060013E-2</c:v>
                </c:pt>
                <c:pt idx="7">
                  <c:v>7.0721357850070717E-3</c:v>
                </c:pt>
                <c:pt idx="8">
                  <c:v>1.5659729238229946E-3</c:v>
                </c:pt>
                <c:pt idx="9">
                  <c:v>2.5762780359668619E-3</c:v>
                </c:pt>
                <c:pt idx="10">
                  <c:v>0.68781572034754501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KALERWE-GAYAZA'!$S$9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KALERWE-GAYAZA'!$S$10:$S$21</c:f>
              <c:numCache>
                <c:formatCode>0</c:formatCode>
                <c:ptCount val="12"/>
                <c:pt idx="0">
                  <c:v>76</c:v>
                </c:pt>
                <c:pt idx="1">
                  <c:v>89</c:v>
                </c:pt>
                <c:pt idx="2">
                  <c:v>149</c:v>
                </c:pt>
                <c:pt idx="3">
                  <c:v>169</c:v>
                </c:pt>
                <c:pt idx="4">
                  <c:v>146</c:v>
                </c:pt>
                <c:pt idx="5">
                  <c:v>164</c:v>
                </c:pt>
                <c:pt idx="6">
                  <c:v>160</c:v>
                </c:pt>
                <c:pt idx="7">
                  <c:v>187</c:v>
                </c:pt>
                <c:pt idx="8">
                  <c:v>242</c:v>
                </c:pt>
                <c:pt idx="9">
                  <c:v>230</c:v>
                </c:pt>
                <c:pt idx="10">
                  <c:v>285</c:v>
                </c:pt>
                <c:pt idx="11">
                  <c:v>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KALERWE-GAYAZA'!$T$9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KALERWE-GAYAZA'!$T$10:$T$21</c:f>
              <c:numCache>
                <c:formatCode>0</c:formatCode>
                <c:ptCount val="12"/>
                <c:pt idx="0">
                  <c:v>17</c:v>
                </c:pt>
                <c:pt idx="1">
                  <c:v>25</c:v>
                </c:pt>
                <c:pt idx="2">
                  <c:v>32</c:v>
                </c:pt>
                <c:pt idx="3">
                  <c:v>40</c:v>
                </c:pt>
                <c:pt idx="4">
                  <c:v>42</c:v>
                </c:pt>
                <c:pt idx="5">
                  <c:v>23</c:v>
                </c:pt>
                <c:pt idx="6">
                  <c:v>33</c:v>
                </c:pt>
                <c:pt idx="7">
                  <c:v>36</c:v>
                </c:pt>
                <c:pt idx="8">
                  <c:v>54</c:v>
                </c:pt>
                <c:pt idx="9">
                  <c:v>78</c:v>
                </c:pt>
                <c:pt idx="10">
                  <c:v>79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KALERWE-GAYAZA'!$U$9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KALERWE-GAYAZA'!$U$10:$U$21</c:f>
              <c:numCache>
                <c:formatCode>0</c:formatCode>
                <c:ptCount val="12"/>
                <c:pt idx="0">
                  <c:v>18</c:v>
                </c:pt>
                <c:pt idx="1">
                  <c:v>25</c:v>
                </c:pt>
                <c:pt idx="2">
                  <c:v>34</c:v>
                </c:pt>
                <c:pt idx="3">
                  <c:v>29</c:v>
                </c:pt>
                <c:pt idx="4">
                  <c:v>32</c:v>
                </c:pt>
                <c:pt idx="5">
                  <c:v>45</c:v>
                </c:pt>
                <c:pt idx="6">
                  <c:v>39</c:v>
                </c:pt>
                <c:pt idx="7">
                  <c:v>34</c:v>
                </c:pt>
                <c:pt idx="8">
                  <c:v>52</c:v>
                </c:pt>
                <c:pt idx="9">
                  <c:v>37</c:v>
                </c:pt>
                <c:pt idx="10">
                  <c:v>50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KALERWE-GAYAZA'!$V$9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KALERWE-GAYAZA'!$V$10:$V$21</c:f>
              <c:numCache>
                <c:formatCode>0</c:formatCode>
                <c:ptCount val="12"/>
                <c:pt idx="0">
                  <c:v>196</c:v>
                </c:pt>
                <c:pt idx="1">
                  <c:v>234</c:v>
                </c:pt>
                <c:pt idx="2">
                  <c:v>216</c:v>
                </c:pt>
                <c:pt idx="3">
                  <c:v>175</c:v>
                </c:pt>
                <c:pt idx="4">
                  <c:v>186</c:v>
                </c:pt>
                <c:pt idx="5">
                  <c:v>171</c:v>
                </c:pt>
                <c:pt idx="6">
                  <c:v>156</c:v>
                </c:pt>
                <c:pt idx="7">
                  <c:v>179</c:v>
                </c:pt>
                <c:pt idx="8">
                  <c:v>215</c:v>
                </c:pt>
                <c:pt idx="9">
                  <c:v>185</c:v>
                </c:pt>
                <c:pt idx="10">
                  <c:v>171</c:v>
                </c:pt>
                <c:pt idx="11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KALERWE-GAYAZA'!$W$9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KALERWE-GAYAZA'!$W$10:$W$21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KALERWE-GAYAZA'!$X$9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KALERWE-GAYAZA'!$X$10:$X$21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KALERWE-GAYAZA'!$Y$9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KALERWE-GAYAZA'!$Y$10:$Y$21</c:f>
              <c:numCache>
                <c:formatCode>0</c:formatCode>
                <c:ptCount val="12"/>
                <c:pt idx="0">
                  <c:v>34</c:v>
                </c:pt>
                <c:pt idx="1">
                  <c:v>21</c:v>
                </c:pt>
                <c:pt idx="2">
                  <c:v>31</c:v>
                </c:pt>
                <c:pt idx="3">
                  <c:v>49</c:v>
                </c:pt>
                <c:pt idx="4">
                  <c:v>63</c:v>
                </c:pt>
                <c:pt idx="5">
                  <c:v>48</c:v>
                </c:pt>
                <c:pt idx="6">
                  <c:v>44</c:v>
                </c:pt>
                <c:pt idx="7">
                  <c:v>48</c:v>
                </c:pt>
                <c:pt idx="8">
                  <c:v>45</c:v>
                </c:pt>
                <c:pt idx="9">
                  <c:v>44</c:v>
                </c:pt>
                <c:pt idx="10">
                  <c:v>37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KALERWE-GAYAZA'!$Z$9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KALERWE-GAYAZA'!$Z$10:$Z$21</c:f>
              <c:numCache>
                <c:formatCode>0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8</c:v>
                </c:pt>
                <c:pt idx="3">
                  <c:v>15</c:v>
                </c:pt>
                <c:pt idx="4">
                  <c:v>7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13</c:v>
                </c:pt>
                <c:pt idx="9">
                  <c:v>13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KALERWE-GAYAZA'!$AA$9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  <c:pt idx="9">
                  <c:v>8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KALERWE-GAYAZA'!$AB$9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KALERWE-GAYAZA'!$AB$10:$AB$21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KALERWE-GAYAZA'!$AC$9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KALERWE-GAYAZA'!$AC$10:$AC$21</c:f>
              <c:numCache>
                <c:formatCode>0</c:formatCode>
                <c:ptCount val="12"/>
                <c:pt idx="0">
                  <c:v>1515</c:v>
                </c:pt>
                <c:pt idx="1">
                  <c:v>1444</c:v>
                </c:pt>
                <c:pt idx="2">
                  <c:v>1303</c:v>
                </c:pt>
                <c:pt idx="3">
                  <c:v>1026</c:v>
                </c:pt>
                <c:pt idx="4">
                  <c:v>956</c:v>
                </c:pt>
                <c:pt idx="5">
                  <c:v>724</c:v>
                </c:pt>
                <c:pt idx="6">
                  <c:v>780</c:v>
                </c:pt>
                <c:pt idx="7">
                  <c:v>1177</c:v>
                </c:pt>
                <c:pt idx="8">
                  <c:v>1121</c:v>
                </c:pt>
                <c:pt idx="9">
                  <c:v>1140</c:v>
                </c:pt>
                <c:pt idx="10">
                  <c:v>1150</c:v>
                </c:pt>
                <c:pt idx="11">
                  <c:v>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KALERWE-GAYAZA'!$AD$9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KALERWE-GAYAZA'!$AD$10:$AD$21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27616"/>
        <c:axId val="168929152"/>
      </c:lineChart>
      <c:catAx>
        <c:axId val="16892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929152"/>
        <c:crosses val="autoZero"/>
        <c:auto val="1"/>
        <c:lblAlgn val="ctr"/>
        <c:lblOffset val="100"/>
        <c:noMultiLvlLbl val="0"/>
      </c:catAx>
      <c:valAx>
        <c:axId val="1689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9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KALERWE-GAYAZA'!$C$60:$N$60</c:f>
              <c:numCache>
                <c:formatCode>0.00%</c:formatCode>
                <c:ptCount val="12"/>
                <c:pt idx="0">
                  <c:v>0.34967637540453073</c:v>
                </c:pt>
                <c:pt idx="1">
                  <c:v>8.689320388349514E-2</c:v>
                </c:pt>
                <c:pt idx="2">
                  <c:v>7.2168284789644016E-2</c:v>
                </c:pt>
                <c:pt idx="3">
                  <c:v>0.36585760517799354</c:v>
                </c:pt>
                <c:pt idx="4">
                  <c:v>5.8252427184466021E-3</c:v>
                </c:pt>
                <c:pt idx="5">
                  <c:v>5.8252427184466021E-3</c:v>
                </c:pt>
                <c:pt idx="6">
                  <c:v>7.7831715210355992E-2</c:v>
                </c:pt>
                <c:pt idx="7">
                  <c:v>2.2653721682847898E-2</c:v>
                </c:pt>
                <c:pt idx="8">
                  <c:v>5.016181229773463E-3</c:v>
                </c:pt>
                <c:pt idx="9">
                  <c:v>8.2524271844660203E-3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GAYAZA-KALERWE'!$AE$9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GAYAZA-KALERWE'!$AE$10:$AE$21</c:f>
              <c:numCache>
                <c:formatCode>0</c:formatCode>
                <c:ptCount val="12"/>
                <c:pt idx="0">
                  <c:v>855</c:v>
                </c:pt>
                <c:pt idx="1">
                  <c:v>557</c:v>
                </c:pt>
                <c:pt idx="2">
                  <c:v>621</c:v>
                </c:pt>
                <c:pt idx="3">
                  <c:v>759</c:v>
                </c:pt>
                <c:pt idx="4">
                  <c:v>636</c:v>
                </c:pt>
                <c:pt idx="5">
                  <c:v>735</c:v>
                </c:pt>
                <c:pt idx="6">
                  <c:v>537</c:v>
                </c:pt>
                <c:pt idx="7">
                  <c:v>560</c:v>
                </c:pt>
                <c:pt idx="8">
                  <c:v>638</c:v>
                </c:pt>
                <c:pt idx="9">
                  <c:v>580</c:v>
                </c:pt>
                <c:pt idx="10">
                  <c:v>591</c:v>
                </c:pt>
                <c:pt idx="11">
                  <c:v>532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GAYAZA-KALERWE'!$AF$9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GAYAZA-KALERWE'!$AF$10:$AF$21</c:f>
              <c:numCache>
                <c:formatCode>0</c:formatCode>
                <c:ptCount val="12"/>
                <c:pt idx="0">
                  <c:v>1710</c:v>
                </c:pt>
                <c:pt idx="1">
                  <c:v>2306</c:v>
                </c:pt>
                <c:pt idx="2">
                  <c:v>2009</c:v>
                </c:pt>
                <c:pt idx="3">
                  <c:v>1757</c:v>
                </c:pt>
                <c:pt idx="4">
                  <c:v>1446</c:v>
                </c:pt>
                <c:pt idx="5">
                  <c:v>1647</c:v>
                </c:pt>
                <c:pt idx="6">
                  <c:v>1264</c:v>
                </c:pt>
                <c:pt idx="7">
                  <c:v>1310</c:v>
                </c:pt>
                <c:pt idx="8">
                  <c:v>1828</c:v>
                </c:pt>
                <c:pt idx="9">
                  <c:v>1760</c:v>
                </c:pt>
                <c:pt idx="10">
                  <c:v>1664</c:v>
                </c:pt>
                <c:pt idx="11">
                  <c:v>1542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71904"/>
        <c:axId val="167373824"/>
      </c:lineChart>
      <c:catAx>
        <c:axId val="167371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373824"/>
        <c:crosses val="autoZero"/>
        <c:auto val="1"/>
        <c:lblAlgn val="ctr"/>
        <c:lblOffset val="100"/>
        <c:noMultiLvlLbl val="0"/>
      </c:catAx>
      <c:valAx>
        <c:axId val="167373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37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GAYAZA-KALERWE'!$C$59:$N$59</c:f>
              <c:numCache>
                <c:formatCode>0.0%</c:formatCode>
                <c:ptCount val="12"/>
                <c:pt idx="0">
                  <c:v>0.13584942943239639</c:v>
                </c:pt>
                <c:pt idx="1">
                  <c:v>2.3909499580101762E-2</c:v>
                </c:pt>
                <c:pt idx="2">
                  <c:v>2.0451514103640763E-2</c:v>
                </c:pt>
                <c:pt idx="3">
                  <c:v>0.12562367238057601</c:v>
                </c:pt>
                <c:pt idx="4">
                  <c:v>4.2483821567949418E-3</c:v>
                </c:pt>
                <c:pt idx="5">
                  <c:v>1.6301931531887567E-3</c:v>
                </c:pt>
                <c:pt idx="6">
                  <c:v>2.1291310576495578E-2</c:v>
                </c:pt>
                <c:pt idx="7">
                  <c:v>1.3782542113323124E-2</c:v>
                </c:pt>
                <c:pt idx="8">
                  <c:v>6.7183717828385118E-3</c:v>
                </c:pt>
                <c:pt idx="9">
                  <c:v>2.1982907671787778E-2</c:v>
                </c:pt>
                <c:pt idx="10">
                  <c:v>0.62451217704885642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GAYAZA-KALERWE'!$C$60:$N$60</c:f>
              <c:numCache>
                <c:formatCode>0.00%</c:formatCode>
                <c:ptCount val="12"/>
                <c:pt idx="0">
                  <c:v>0.36179450072358899</c:v>
                </c:pt>
                <c:pt idx="1">
                  <c:v>6.3675832127351659E-2</c:v>
                </c:pt>
                <c:pt idx="2">
                  <c:v>5.4466517563478492E-2</c:v>
                </c:pt>
                <c:pt idx="3">
                  <c:v>0.33456124194184977</c:v>
                </c:pt>
                <c:pt idx="4">
                  <c:v>1.131430074990133E-2</c:v>
                </c:pt>
                <c:pt idx="5">
                  <c:v>4.3415340086830683E-3</c:v>
                </c:pt>
                <c:pt idx="6">
                  <c:v>5.6703065386133407E-2</c:v>
                </c:pt>
                <c:pt idx="7">
                  <c:v>3.6705696618865941E-2</c:v>
                </c:pt>
                <c:pt idx="8">
                  <c:v>1.7892382581239312E-2</c:v>
                </c:pt>
                <c:pt idx="9">
                  <c:v>5.854492829890804E-2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KALERWE-GAYAZA'!$AE$9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KALERWE-GAYAZA'!$AE$10:$AE$21</c:f>
              <c:numCache>
                <c:formatCode>0</c:formatCode>
                <c:ptCount val="12"/>
                <c:pt idx="0">
                  <c:v>389</c:v>
                </c:pt>
                <c:pt idx="1">
                  <c:v>368</c:v>
                </c:pt>
                <c:pt idx="2">
                  <c:v>467</c:v>
                </c:pt>
                <c:pt idx="3">
                  <c:v>507</c:v>
                </c:pt>
                <c:pt idx="4">
                  <c:v>566</c:v>
                </c:pt>
                <c:pt idx="5">
                  <c:v>573</c:v>
                </c:pt>
                <c:pt idx="6">
                  <c:v>546</c:v>
                </c:pt>
                <c:pt idx="7">
                  <c:v>636</c:v>
                </c:pt>
                <c:pt idx="8">
                  <c:v>761</c:v>
                </c:pt>
                <c:pt idx="9">
                  <c:v>926</c:v>
                </c:pt>
                <c:pt idx="10">
                  <c:v>1100</c:v>
                </c:pt>
                <c:pt idx="11">
                  <c:v>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KALERWE-GAYAZA'!$AF$9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KALERWE-GAYAZA'!$AF$10:$AF$21</c:f>
              <c:numCache>
                <c:formatCode>0</c:formatCode>
                <c:ptCount val="12"/>
                <c:pt idx="0">
                  <c:v>2074</c:v>
                </c:pt>
                <c:pt idx="1">
                  <c:v>2663</c:v>
                </c:pt>
                <c:pt idx="2">
                  <c:v>2512</c:v>
                </c:pt>
                <c:pt idx="3">
                  <c:v>2492</c:v>
                </c:pt>
                <c:pt idx="4">
                  <c:v>2357</c:v>
                </c:pt>
                <c:pt idx="5">
                  <c:v>2502</c:v>
                </c:pt>
                <c:pt idx="6">
                  <c:v>2108</c:v>
                </c:pt>
                <c:pt idx="7">
                  <c:v>2201</c:v>
                </c:pt>
                <c:pt idx="8">
                  <c:v>1588</c:v>
                </c:pt>
                <c:pt idx="9">
                  <c:v>1557</c:v>
                </c:pt>
                <c:pt idx="10">
                  <c:v>1875</c:v>
                </c:pt>
                <c:pt idx="11">
                  <c:v>1264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49600"/>
        <c:axId val="164251520"/>
      </c:lineChart>
      <c:catAx>
        <c:axId val="164249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251520"/>
        <c:crosses val="autoZero"/>
        <c:auto val="1"/>
        <c:lblAlgn val="ctr"/>
        <c:lblOffset val="100"/>
        <c:noMultiLvlLbl val="0"/>
      </c:catAx>
      <c:valAx>
        <c:axId val="164251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2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KALERWE-GAYAZA'!$C$59:$N$59</c:f>
              <c:numCache>
                <c:formatCode>0.0%</c:formatCode>
                <c:ptCount val="12"/>
                <c:pt idx="0">
                  <c:v>0.10566427182153773</c:v>
                </c:pt>
                <c:pt idx="1">
                  <c:v>3.1238836184654468E-2</c:v>
                </c:pt>
                <c:pt idx="2">
                  <c:v>2.1037589806692337E-2</c:v>
                </c:pt>
                <c:pt idx="3">
                  <c:v>0.11098320962172031</c:v>
                </c:pt>
                <c:pt idx="4">
                  <c:v>1.9052911523042115E-3</c:v>
                </c:pt>
                <c:pt idx="5">
                  <c:v>1.5480490612471717E-3</c:v>
                </c:pt>
                <c:pt idx="6">
                  <c:v>1.405152224824356E-2</c:v>
                </c:pt>
                <c:pt idx="7">
                  <c:v>4.4456793553764931E-3</c:v>
                </c:pt>
                <c:pt idx="8">
                  <c:v>7.1448418211407928E-4</c:v>
                </c:pt>
                <c:pt idx="9">
                  <c:v>3.4533402135513832E-3</c:v>
                </c:pt>
                <c:pt idx="10">
                  <c:v>0.70495772635255827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KALERWE-GAYAZA'!$S$9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KALERWE-GAYAZA'!$S$10:$S$21</c:f>
              <c:numCache>
                <c:formatCode>0</c:formatCode>
                <c:ptCount val="12"/>
                <c:pt idx="0">
                  <c:v>102</c:v>
                </c:pt>
                <c:pt idx="1">
                  <c:v>93</c:v>
                </c:pt>
                <c:pt idx="2">
                  <c:v>92</c:v>
                </c:pt>
                <c:pt idx="3">
                  <c:v>148</c:v>
                </c:pt>
                <c:pt idx="4">
                  <c:v>186</c:v>
                </c:pt>
                <c:pt idx="5">
                  <c:v>220</c:v>
                </c:pt>
                <c:pt idx="6">
                  <c:v>198</c:v>
                </c:pt>
                <c:pt idx="7">
                  <c:v>218</c:v>
                </c:pt>
                <c:pt idx="8">
                  <c:v>287</c:v>
                </c:pt>
                <c:pt idx="9">
                  <c:v>373</c:v>
                </c:pt>
                <c:pt idx="10">
                  <c:v>514</c:v>
                </c:pt>
                <c:pt idx="11">
                  <c:v>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KALERWE-GAYAZA'!$T$9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KALERWE-GAYAZA'!$T$10:$T$21</c:f>
              <c:numCache>
                <c:formatCode>0</c:formatCode>
                <c:ptCount val="12"/>
                <c:pt idx="0">
                  <c:v>32</c:v>
                </c:pt>
                <c:pt idx="1">
                  <c:v>17</c:v>
                </c:pt>
                <c:pt idx="2">
                  <c:v>28</c:v>
                </c:pt>
                <c:pt idx="3">
                  <c:v>34</c:v>
                </c:pt>
                <c:pt idx="4">
                  <c:v>55</c:v>
                </c:pt>
                <c:pt idx="5">
                  <c:v>46</c:v>
                </c:pt>
                <c:pt idx="6">
                  <c:v>53</c:v>
                </c:pt>
                <c:pt idx="7">
                  <c:v>76</c:v>
                </c:pt>
                <c:pt idx="8">
                  <c:v>85</c:v>
                </c:pt>
                <c:pt idx="9">
                  <c:v>120</c:v>
                </c:pt>
                <c:pt idx="10">
                  <c:v>157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KALERWE-GAYAZA'!$U$9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KALERWE-GAYAZA'!$U$10:$U$21</c:f>
              <c:numCache>
                <c:formatCode>0</c:formatCode>
                <c:ptCount val="12"/>
                <c:pt idx="0">
                  <c:v>28</c:v>
                </c:pt>
                <c:pt idx="1">
                  <c:v>22</c:v>
                </c:pt>
                <c:pt idx="2">
                  <c:v>35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43</c:v>
                </c:pt>
                <c:pt idx="7">
                  <c:v>48</c:v>
                </c:pt>
                <c:pt idx="8">
                  <c:v>50</c:v>
                </c:pt>
                <c:pt idx="9">
                  <c:v>54</c:v>
                </c:pt>
                <c:pt idx="10">
                  <c:v>83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KALERWE-GAYAZA'!$V$9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KALERWE-GAYAZA'!$V$10:$V$21</c:f>
              <c:numCache>
                <c:formatCode>0</c:formatCode>
                <c:ptCount val="12"/>
                <c:pt idx="0">
                  <c:v>186</c:v>
                </c:pt>
                <c:pt idx="1">
                  <c:v>193</c:v>
                </c:pt>
                <c:pt idx="2">
                  <c:v>260</c:v>
                </c:pt>
                <c:pt idx="3">
                  <c:v>239</c:v>
                </c:pt>
                <c:pt idx="4">
                  <c:v>200</c:v>
                </c:pt>
                <c:pt idx="5">
                  <c:v>196</c:v>
                </c:pt>
                <c:pt idx="6">
                  <c:v>197</c:v>
                </c:pt>
                <c:pt idx="7">
                  <c:v>238</c:v>
                </c:pt>
                <c:pt idx="8">
                  <c:v>276</c:v>
                </c:pt>
                <c:pt idx="9">
                  <c:v>307</c:v>
                </c:pt>
                <c:pt idx="10">
                  <c:v>306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KALERWE-GAYAZA'!$W$9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KALERWE-GAYAZA'!$W$10:$W$21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KALERWE-GAYAZA'!$X$9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KALERWE-GAYAZA'!$X$10:$X$21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KALERWE-GAYAZA'!$Y$9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KALERWE-GAYAZA'!$Y$10:$Y$21</c:f>
              <c:numCache>
                <c:formatCode>0</c:formatCode>
                <c:ptCount val="12"/>
                <c:pt idx="0">
                  <c:v>14</c:v>
                </c:pt>
                <c:pt idx="1">
                  <c:v>29</c:v>
                </c:pt>
                <c:pt idx="2">
                  <c:v>41</c:v>
                </c:pt>
                <c:pt idx="3">
                  <c:v>34</c:v>
                </c:pt>
                <c:pt idx="4">
                  <c:v>60</c:v>
                </c:pt>
                <c:pt idx="5">
                  <c:v>37</c:v>
                </c:pt>
                <c:pt idx="6">
                  <c:v>32</c:v>
                </c:pt>
                <c:pt idx="7">
                  <c:v>26</c:v>
                </c:pt>
                <c:pt idx="8">
                  <c:v>24</c:v>
                </c:pt>
                <c:pt idx="9">
                  <c:v>37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KALERWE-GAYAZA'!$Z$9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KALERWE-GAYAZA'!$Z$10:$Z$21</c:f>
              <c:numCache>
                <c:formatCode>0</c:formatCode>
                <c:ptCount val="12"/>
                <c:pt idx="0">
                  <c:v>10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17</c:v>
                </c:pt>
                <c:pt idx="6">
                  <c:v>9</c:v>
                </c:pt>
                <c:pt idx="7">
                  <c:v>18</c:v>
                </c:pt>
                <c:pt idx="8">
                  <c:v>19</c:v>
                </c:pt>
                <c:pt idx="9">
                  <c:v>13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KALERWE-GAYAZA'!$AA$9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KALERWE-GAYAZA'!$AA$10:$AA$21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KALERWE-GAYAZA'!$AB$9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KALERWE-GAYAZA'!$AB$10:$AB$21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13</c:v>
                </c:pt>
                <c:pt idx="9">
                  <c:v>12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KALERWE-GAYAZA'!$AC$9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KALERWE-GAYAZA'!$AC$10:$AC$21</c:f>
              <c:numCache>
                <c:formatCode>0</c:formatCode>
                <c:ptCount val="12"/>
                <c:pt idx="0">
                  <c:v>1685</c:v>
                </c:pt>
                <c:pt idx="1">
                  <c:v>2295</c:v>
                </c:pt>
                <c:pt idx="2">
                  <c:v>2045</c:v>
                </c:pt>
                <c:pt idx="3">
                  <c:v>1985</c:v>
                </c:pt>
                <c:pt idx="4">
                  <c:v>1791</c:v>
                </c:pt>
                <c:pt idx="5">
                  <c:v>1929</c:v>
                </c:pt>
                <c:pt idx="6">
                  <c:v>1562</c:v>
                </c:pt>
                <c:pt idx="7">
                  <c:v>1565</c:v>
                </c:pt>
                <c:pt idx="8">
                  <c:v>827</c:v>
                </c:pt>
                <c:pt idx="9">
                  <c:v>631</c:v>
                </c:pt>
                <c:pt idx="10">
                  <c:v>775</c:v>
                </c:pt>
                <c:pt idx="11">
                  <c:v>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KALERWE-GAYAZA'!$AD$9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KALERWE-GAYAZA'!$AD$10:$AD$21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09088"/>
        <c:axId val="169610624"/>
      </c:lineChart>
      <c:catAx>
        <c:axId val="16960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610624"/>
        <c:crosses val="autoZero"/>
        <c:auto val="1"/>
        <c:lblAlgn val="ctr"/>
        <c:lblOffset val="100"/>
        <c:noMultiLvlLbl val="0"/>
      </c:catAx>
      <c:valAx>
        <c:axId val="1696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6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KALERWE-GAYAZA'!$C$60:$N$60</c:f>
              <c:numCache>
                <c:formatCode>0.00%</c:formatCode>
                <c:ptCount val="12"/>
                <c:pt idx="0">
                  <c:v>0.35813265168841651</c:v>
                </c:pt>
                <c:pt idx="1">
                  <c:v>0.10587918740750707</c:v>
                </c:pt>
                <c:pt idx="2">
                  <c:v>7.130364590340374E-2</c:v>
                </c:pt>
                <c:pt idx="3">
                  <c:v>0.37616036593569219</c:v>
                </c:pt>
                <c:pt idx="4">
                  <c:v>6.4576886855912822E-3</c:v>
                </c:pt>
                <c:pt idx="5">
                  <c:v>5.2468720570429169E-3</c:v>
                </c:pt>
                <c:pt idx="6">
                  <c:v>4.7625454056235708E-2</c:v>
                </c:pt>
                <c:pt idx="7">
                  <c:v>1.5067940266379658E-2</c:v>
                </c:pt>
                <c:pt idx="8">
                  <c:v>2.4216332570967309E-3</c:v>
                </c:pt>
                <c:pt idx="9">
                  <c:v>1.1704560742634198E-2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GAYAZA-KALERWE'!$AE$9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GAYAZA-KALERWE'!$AE$10:$AE$21</c:f>
              <c:numCache>
                <c:formatCode>0</c:formatCode>
                <c:ptCount val="12"/>
                <c:pt idx="0">
                  <c:v>478</c:v>
                </c:pt>
                <c:pt idx="1">
                  <c:v>538</c:v>
                </c:pt>
                <c:pt idx="2">
                  <c:v>562</c:v>
                </c:pt>
                <c:pt idx="3">
                  <c:v>657</c:v>
                </c:pt>
                <c:pt idx="4">
                  <c:v>635</c:v>
                </c:pt>
                <c:pt idx="5">
                  <c:v>558</c:v>
                </c:pt>
                <c:pt idx="6">
                  <c:v>560</c:v>
                </c:pt>
                <c:pt idx="7">
                  <c:v>489</c:v>
                </c:pt>
                <c:pt idx="8">
                  <c:v>576</c:v>
                </c:pt>
                <c:pt idx="9">
                  <c:v>557</c:v>
                </c:pt>
                <c:pt idx="10">
                  <c:v>613</c:v>
                </c:pt>
                <c:pt idx="11">
                  <c:v>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GAYAZA-KALERWE'!$AF$9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GAYAZA-KALERWE'!$AF$10:$AF$21</c:f>
              <c:numCache>
                <c:formatCode>0</c:formatCode>
                <c:ptCount val="12"/>
                <c:pt idx="0">
                  <c:v>1688</c:v>
                </c:pt>
                <c:pt idx="1">
                  <c:v>1818</c:v>
                </c:pt>
                <c:pt idx="2">
                  <c:v>1739</c:v>
                </c:pt>
                <c:pt idx="3">
                  <c:v>1872</c:v>
                </c:pt>
                <c:pt idx="4">
                  <c:v>1465</c:v>
                </c:pt>
                <c:pt idx="5">
                  <c:v>1343</c:v>
                </c:pt>
                <c:pt idx="6">
                  <c:v>1322</c:v>
                </c:pt>
                <c:pt idx="7">
                  <c:v>1091</c:v>
                </c:pt>
                <c:pt idx="8">
                  <c:v>1213</c:v>
                </c:pt>
                <c:pt idx="9">
                  <c:v>1354</c:v>
                </c:pt>
                <c:pt idx="10">
                  <c:v>1453</c:v>
                </c:pt>
                <c:pt idx="11">
                  <c:v>1373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60672"/>
        <c:axId val="169902848"/>
      </c:lineChart>
      <c:catAx>
        <c:axId val="146860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902848"/>
        <c:crosses val="autoZero"/>
        <c:auto val="1"/>
        <c:lblAlgn val="ctr"/>
        <c:lblOffset val="100"/>
        <c:noMultiLvlLbl val="0"/>
      </c:catAx>
      <c:valAx>
        <c:axId val="169902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86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GAYAZA-KALERWE'!$C$59:$N$59</c:f>
              <c:numCache>
                <c:formatCode>0.0%</c:formatCode>
                <c:ptCount val="12"/>
                <c:pt idx="0">
                  <c:v>0.15943827195307653</c:v>
                </c:pt>
                <c:pt idx="1">
                  <c:v>1.7934690654785403E-2</c:v>
                </c:pt>
                <c:pt idx="2">
                  <c:v>2.2390164119339011E-2</c:v>
                </c:pt>
                <c:pt idx="3">
                  <c:v>0.13208504878461452</c:v>
                </c:pt>
                <c:pt idx="4">
                  <c:v>2.1431391348485703E-3</c:v>
                </c:pt>
                <c:pt idx="5">
                  <c:v>1.5227567537081947E-3</c:v>
                </c:pt>
                <c:pt idx="6">
                  <c:v>2.0190626586204952E-2</c:v>
                </c:pt>
                <c:pt idx="7">
                  <c:v>1.5396762731938412E-2</c:v>
                </c:pt>
                <c:pt idx="8">
                  <c:v>7.4445885736845073E-3</c:v>
                </c:pt>
                <c:pt idx="9">
                  <c:v>4.5118718628390951E-3</c:v>
                </c:pt>
                <c:pt idx="10">
                  <c:v>0.61694207884496077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GAYAZA-KALERWE'!$S$9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GAYAZA-KALERWE'!$S$10:$S$21</c:f>
              <c:numCache>
                <c:formatCode>0</c:formatCode>
                <c:ptCount val="12"/>
                <c:pt idx="0">
                  <c:v>260</c:v>
                </c:pt>
                <c:pt idx="1">
                  <c:v>217</c:v>
                </c:pt>
                <c:pt idx="2">
                  <c:v>227</c:v>
                </c:pt>
                <c:pt idx="3">
                  <c:v>280</c:v>
                </c:pt>
                <c:pt idx="4">
                  <c:v>252</c:v>
                </c:pt>
                <c:pt idx="5">
                  <c:v>241</c:v>
                </c:pt>
                <c:pt idx="6">
                  <c:v>248</c:v>
                </c:pt>
                <c:pt idx="7">
                  <c:v>216</c:v>
                </c:pt>
                <c:pt idx="8">
                  <c:v>228</c:v>
                </c:pt>
                <c:pt idx="9">
                  <c:v>189</c:v>
                </c:pt>
                <c:pt idx="10">
                  <c:v>228</c:v>
                </c:pt>
                <c:pt idx="11">
                  <c:v>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GAYAZA-KALERWE'!$T$9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GAYAZA-KALERWE'!$T$10:$T$21</c:f>
              <c:numCache>
                <c:formatCode>0</c:formatCode>
                <c:ptCount val="12"/>
                <c:pt idx="0">
                  <c:v>12</c:v>
                </c:pt>
                <c:pt idx="1">
                  <c:v>27</c:v>
                </c:pt>
                <c:pt idx="2">
                  <c:v>34</c:v>
                </c:pt>
                <c:pt idx="3">
                  <c:v>38</c:v>
                </c:pt>
                <c:pt idx="4">
                  <c:v>37</c:v>
                </c:pt>
                <c:pt idx="5">
                  <c:v>31</c:v>
                </c:pt>
                <c:pt idx="6">
                  <c:v>32</c:v>
                </c:pt>
                <c:pt idx="7">
                  <c:v>23</c:v>
                </c:pt>
                <c:pt idx="8">
                  <c:v>19</c:v>
                </c:pt>
                <c:pt idx="9">
                  <c:v>27</c:v>
                </c:pt>
                <c:pt idx="10">
                  <c:v>24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GAYAZA-KALERWE'!$U$9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GAYAZA-KALERWE'!$U$10:$U$21</c:f>
              <c:numCache>
                <c:formatCode>0</c:formatCode>
                <c:ptCount val="12"/>
                <c:pt idx="0">
                  <c:v>17</c:v>
                </c:pt>
                <c:pt idx="1">
                  <c:v>31</c:v>
                </c:pt>
                <c:pt idx="2">
                  <c:v>28</c:v>
                </c:pt>
                <c:pt idx="3">
                  <c:v>35</c:v>
                </c:pt>
                <c:pt idx="4">
                  <c:v>35</c:v>
                </c:pt>
                <c:pt idx="5">
                  <c:v>27</c:v>
                </c:pt>
                <c:pt idx="6">
                  <c:v>25</c:v>
                </c:pt>
                <c:pt idx="7">
                  <c:v>35</c:v>
                </c:pt>
                <c:pt idx="8">
                  <c:v>39</c:v>
                </c:pt>
                <c:pt idx="9">
                  <c:v>47</c:v>
                </c:pt>
                <c:pt idx="10">
                  <c:v>47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GAYAZA-KALERWE'!$V$9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GAYAZA-KALERWE'!$V$10:$V$21</c:f>
              <c:numCache>
                <c:formatCode>0</c:formatCode>
                <c:ptCount val="12"/>
                <c:pt idx="0">
                  <c:v>167</c:v>
                </c:pt>
                <c:pt idx="1">
                  <c:v>201</c:v>
                </c:pt>
                <c:pt idx="2">
                  <c:v>212</c:v>
                </c:pt>
                <c:pt idx="3">
                  <c:v>230</c:v>
                </c:pt>
                <c:pt idx="4">
                  <c:v>219</c:v>
                </c:pt>
                <c:pt idx="5">
                  <c:v>181</c:v>
                </c:pt>
                <c:pt idx="6">
                  <c:v>164</c:v>
                </c:pt>
                <c:pt idx="7">
                  <c:v>129</c:v>
                </c:pt>
                <c:pt idx="8">
                  <c:v>185</c:v>
                </c:pt>
                <c:pt idx="9">
                  <c:v>183</c:v>
                </c:pt>
                <c:pt idx="10">
                  <c:v>232</c:v>
                </c:pt>
                <c:pt idx="11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GAYAZA-KALERWE'!$W$9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GAYAZA-KALERWE'!$W$10:$W$21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GAYAZA-KALERWE'!$X$9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GAYAZA-KALERWE'!$X$10:$X$21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GAYAZA-KALERWE'!$Y$9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GAYAZA-KALERWE'!$Y$10:$Y$21</c:f>
              <c:numCache>
                <c:formatCode>0</c:formatCode>
                <c:ptCount val="12"/>
                <c:pt idx="0">
                  <c:v>8</c:v>
                </c:pt>
                <c:pt idx="1">
                  <c:v>28</c:v>
                </c:pt>
                <c:pt idx="2">
                  <c:v>23</c:v>
                </c:pt>
                <c:pt idx="3">
                  <c:v>33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38</c:v>
                </c:pt>
                <c:pt idx="8">
                  <c:v>37</c:v>
                </c:pt>
                <c:pt idx="9">
                  <c:v>54</c:v>
                </c:pt>
                <c:pt idx="10">
                  <c:v>25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GAYAZA-KALERWE'!$Z$9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GAYAZA-KALERWE'!$Z$10:$Z$21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17</c:v>
                </c:pt>
                <c:pt idx="3">
                  <c:v>26</c:v>
                </c:pt>
                <c:pt idx="4">
                  <c:v>26</c:v>
                </c:pt>
                <c:pt idx="5">
                  <c:v>24</c:v>
                </c:pt>
                <c:pt idx="6">
                  <c:v>29</c:v>
                </c:pt>
                <c:pt idx="7">
                  <c:v>30</c:v>
                </c:pt>
                <c:pt idx="8">
                  <c:v>36</c:v>
                </c:pt>
                <c:pt idx="9">
                  <c:v>31</c:v>
                </c:pt>
                <c:pt idx="10">
                  <c:v>20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GAYAZA-KALERWE'!$AA$9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GAYAZA-KALERWE'!$AA$10:$AA$21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7</c:v>
                </c:pt>
                <c:pt idx="4">
                  <c:v>12</c:v>
                </c:pt>
                <c:pt idx="5">
                  <c:v>11</c:v>
                </c:pt>
                <c:pt idx="6">
                  <c:v>14</c:v>
                </c:pt>
                <c:pt idx="7">
                  <c:v>10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GAYAZA-KALERWE'!$AB$9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GAYAZA-KALERWE'!$AB$10:$AB$21</c:f>
              <c:numCache>
                <c:formatCode>0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15</c:v>
                </c:pt>
                <c:pt idx="5">
                  <c:v>7</c:v>
                </c:pt>
                <c:pt idx="6">
                  <c:v>9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11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GAYAZA-KALERWE'!$AC$9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GAYAZA-KALERWE'!$AC$10:$AC$21</c:f>
              <c:numCache>
                <c:formatCode>0</c:formatCode>
                <c:ptCount val="12"/>
                <c:pt idx="0">
                  <c:v>1210</c:v>
                </c:pt>
                <c:pt idx="1">
                  <c:v>1280</c:v>
                </c:pt>
                <c:pt idx="2">
                  <c:v>1177</c:v>
                </c:pt>
                <c:pt idx="3">
                  <c:v>1215</c:v>
                </c:pt>
                <c:pt idx="4">
                  <c:v>830</c:v>
                </c:pt>
                <c:pt idx="5">
                  <c:v>785</c:v>
                </c:pt>
                <c:pt idx="6">
                  <c:v>762</c:v>
                </c:pt>
                <c:pt idx="7">
                  <c:v>602</c:v>
                </c:pt>
                <c:pt idx="8">
                  <c:v>637</c:v>
                </c:pt>
                <c:pt idx="9">
                  <c:v>797</c:v>
                </c:pt>
                <c:pt idx="10">
                  <c:v>840</c:v>
                </c:pt>
                <c:pt idx="11">
                  <c:v>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GAYAZA-KALERWE'!$AD$9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GAYAZA-KALERWE'!$AD$10:$AD$21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99456"/>
        <c:axId val="170100992"/>
      </c:lineChart>
      <c:catAx>
        <c:axId val="1700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100992"/>
        <c:crosses val="autoZero"/>
        <c:auto val="1"/>
        <c:lblAlgn val="ctr"/>
        <c:lblOffset val="100"/>
        <c:noMultiLvlLbl val="0"/>
      </c:catAx>
      <c:valAx>
        <c:axId val="1701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0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GAYAZA-KALERWE'!$C$60:$N$60</c:f>
              <c:numCache>
                <c:formatCode>0.00%</c:formatCode>
                <c:ptCount val="12"/>
                <c:pt idx="0">
                  <c:v>0.41622497055359248</c:v>
                </c:pt>
                <c:pt idx="1">
                  <c:v>4.6819787985865724E-2</c:v>
                </c:pt>
                <c:pt idx="2">
                  <c:v>5.8451118963486454E-2</c:v>
                </c:pt>
                <c:pt idx="3">
                  <c:v>0.34481743227326267</c:v>
                </c:pt>
                <c:pt idx="4">
                  <c:v>5.5948174322732625E-3</c:v>
                </c:pt>
                <c:pt idx="5">
                  <c:v>3.9752650176678441E-3</c:v>
                </c:pt>
                <c:pt idx="6">
                  <c:v>5.270906949352179E-2</c:v>
                </c:pt>
                <c:pt idx="7">
                  <c:v>4.0194346289752651E-2</c:v>
                </c:pt>
                <c:pt idx="8">
                  <c:v>1.9434628975265017E-2</c:v>
                </c:pt>
                <c:pt idx="9">
                  <c:v>1.1778563015312132E-2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KALERWE-GAYAZA-24h'!$AE$9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KALERWE-GAYAZA-24h'!$R$10:$R$33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KALERWE-GAYAZA-24h'!$AE$10:$AE$33</c:f>
              <c:numCache>
                <c:formatCode>0</c:formatCode>
                <c:ptCount val="24"/>
                <c:pt idx="0">
                  <c:v>418</c:v>
                </c:pt>
                <c:pt idx="1">
                  <c:v>496</c:v>
                </c:pt>
                <c:pt idx="2">
                  <c:v>486</c:v>
                </c:pt>
                <c:pt idx="3">
                  <c:v>656</c:v>
                </c:pt>
                <c:pt idx="4">
                  <c:v>411</c:v>
                </c:pt>
                <c:pt idx="5">
                  <c:v>425</c:v>
                </c:pt>
                <c:pt idx="6">
                  <c:v>484</c:v>
                </c:pt>
                <c:pt idx="7">
                  <c:v>636</c:v>
                </c:pt>
                <c:pt idx="8">
                  <c:v>653</c:v>
                </c:pt>
                <c:pt idx="9">
                  <c:v>1139</c:v>
                </c:pt>
                <c:pt idx="10">
                  <c:v>757</c:v>
                </c:pt>
                <c:pt idx="11">
                  <c:v>755</c:v>
                </c:pt>
                <c:pt idx="12">
                  <c:v>681</c:v>
                </c:pt>
                <c:pt idx="13">
                  <c:v>740</c:v>
                </c:pt>
                <c:pt idx="14">
                  <c:v>692</c:v>
                </c:pt>
                <c:pt idx="15">
                  <c:v>570</c:v>
                </c:pt>
                <c:pt idx="16">
                  <c:v>524</c:v>
                </c:pt>
                <c:pt idx="17">
                  <c:v>436</c:v>
                </c:pt>
                <c:pt idx="18">
                  <c:v>113</c:v>
                </c:pt>
                <c:pt idx="19">
                  <c:v>64</c:v>
                </c:pt>
                <c:pt idx="20">
                  <c:v>108</c:v>
                </c:pt>
                <c:pt idx="21">
                  <c:v>148</c:v>
                </c:pt>
                <c:pt idx="22">
                  <c:v>220</c:v>
                </c:pt>
                <c:pt idx="23">
                  <c:v>305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KALERWE-GAYAZA-24h'!$AF$9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KALERWE-GAYAZA-24h'!$R$10:$R$33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KALERWE-GAYAZA-24h'!$AF$10:$AF$33</c:f>
              <c:numCache>
                <c:formatCode>0</c:formatCode>
                <c:ptCount val="24"/>
                <c:pt idx="0">
                  <c:v>1447</c:v>
                </c:pt>
                <c:pt idx="1">
                  <c:v>1627</c:v>
                </c:pt>
                <c:pt idx="2">
                  <c:v>1504</c:v>
                </c:pt>
                <c:pt idx="3">
                  <c:v>1908</c:v>
                </c:pt>
                <c:pt idx="4">
                  <c:v>2125</c:v>
                </c:pt>
                <c:pt idx="5">
                  <c:v>1355</c:v>
                </c:pt>
                <c:pt idx="6">
                  <c:v>1413</c:v>
                </c:pt>
                <c:pt idx="7">
                  <c:v>1658</c:v>
                </c:pt>
                <c:pt idx="8">
                  <c:v>1902</c:v>
                </c:pt>
                <c:pt idx="9">
                  <c:v>2296</c:v>
                </c:pt>
                <c:pt idx="10">
                  <c:v>2607</c:v>
                </c:pt>
                <c:pt idx="11">
                  <c:v>2455</c:v>
                </c:pt>
                <c:pt idx="12">
                  <c:v>2706</c:v>
                </c:pt>
                <c:pt idx="13">
                  <c:v>3430</c:v>
                </c:pt>
                <c:pt idx="14">
                  <c:v>2517</c:v>
                </c:pt>
                <c:pt idx="15">
                  <c:v>2395</c:v>
                </c:pt>
                <c:pt idx="16">
                  <c:v>1489</c:v>
                </c:pt>
                <c:pt idx="17">
                  <c:v>817</c:v>
                </c:pt>
                <c:pt idx="18">
                  <c:v>288</c:v>
                </c:pt>
                <c:pt idx="19">
                  <c:v>238</c:v>
                </c:pt>
                <c:pt idx="20">
                  <c:v>264</c:v>
                </c:pt>
                <c:pt idx="21">
                  <c:v>363</c:v>
                </c:pt>
                <c:pt idx="22">
                  <c:v>458</c:v>
                </c:pt>
                <c:pt idx="23">
                  <c:v>707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01696"/>
        <c:axId val="170307968"/>
      </c:lineChart>
      <c:catAx>
        <c:axId val="1703016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307968"/>
        <c:crosses val="autoZero"/>
        <c:auto val="1"/>
        <c:lblAlgn val="ctr"/>
        <c:lblOffset val="100"/>
        <c:noMultiLvlLbl val="0"/>
      </c:catAx>
      <c:valAx>
        <c:axId val="170307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30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KALERWE-GAYAZA-24h'!$C$9:$N$9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KALERWE-GAYAZA-24h'!$C$107:$N$107</c:f>
              <c:numCache>
                <c:formatCode>0.0%</c:formatCode>
                <c:ptCount val="12"/>
                <c:pt idx="0">
                  <c:v>0.11311859674998025</c:v>
                </c:pt>
                <c:pt idx="1">
                  <c:v>3.8505096262740658E-2</c:v>
                </c:pt>
                <c:pt idx="2">
                  <c:v>2.5678843266875608E-2</c:v>
                </c:pt>
                <c:pt idx="3">
                  <c:v>0.10953672733019042</c:v>
                </c:pt>
                <c:pt idx="4">
                  <c:v>2.0543074613500489E-3</c:v>
                </c:pt>
                <c:pt idx="5">
                  <c:v>1.3695383075666991E-3</c:v>
                </c:pt>
                <c:pt idx="6">
                  <c:v>9.4024072269483002E-3</c:v>
                </c:pt>
                <c:pt idx="7">
                  <c:v>9.1917090257841918E-3</c:v>
                </c:pt>
                <c:pt idx="8">
                  <c:v>4.2139640232821511E-4</c:v>
                </c:pt>
                <c:pt idx="9">
                  <c:v>4.5563486001738264E-3</c:v>
                </c:pt>
                <c:pt idx="10">
                  <c:v>0.68613869209091627</c:v>
                </c:pt>
                <c:pt idx="11">
                  <c:v>2.6337275145513444E-5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KALERWE-GAYAZA-24h'!$C$9:$N$9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KALERWE-GAYAZA-24h'!$C$108:$N$108</c:f>
              <c:numCache>
                <c:formatCode>0.00%</c:formatCode>
                <c:ptCount val="12"/>
                <c:pt idx="0">
                  <c:v>0.36040949903499203</c:v>
                </c:pt>
                <c:pt idx="1">
                  <c:v>0.12268188302425106</c:v>
                </c:pt>
                <c:pt idx="2">
                  <c:v>8.1815893261726946E-2</c:v>
                </c:pt>
                <c:pt idx="3">
                  <c:v>0.3489972308466896</c:v>
                </c:pt>
                <c:pt idx="4">
                  <c:v>6.5452714609381558E-3</c:v>
                </c:pt>
                <c:pt idx="5">
                  <c:v>4.3635143072921038E-3</c:v>
                </c:pt>
                <c:pt idx="6">
                  <c:v>2.9957203994293864E-2</c:v>
                </c:pt>
                <c:pt idx="7">
                  <c:v>2.928589410086431E-2</c:v>
                </c:pt>
                <c:pt idx="8">
                  <c:v>1.3426197868591089E-3</c:v>
                </c:pt>
                <c:pt idx="9">
                  <c:v>1.4517076445414114E-2</c:v>
                </c:pt>
                <c:pt idx="11">
                  <c:v>8.3913736678694305E-5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GAYAZA-KALERWE-24h'!$AE$9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GAYAZA-KALERWE-24h'!$R$10:$R$33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GAYAZA-KALERWE-24h'!$AE$10:$AE$33</c:f>
              <c:numCache>
                <c:formatCode>0</c:formatCode>
                <c:ptCount val="24"/>
                <c:pt idx="0">
                  <c:v>447</c:v>
                </c:pt>
                <c:pt idx="1">
                  <c:v>542</c:v>
                </c:pt>
                <c:pt idx="2">
                  <c:v>738</c:v>
                </c:pt>
                <c:pt idx="3">
                  <c:v>691</c:v>
                </c:pt>
                <c:pt idx="4">
                  <c:v>485</c:v>
                </c:pt>
                <c:pt idx="5">
                  <c:v>595</c:v>
                </c:pt>
                <c:pt idx="6">
                  <c:v>473</c:v>
                </c:pt>
                <c:pt idx="7">
                  <c:v>439</c:v>
                </c:pt>
                <c:pt idx="8">
                  <c:v>556</c:v>
                </c:pt>
                <c:pt idx="9">
                  <c:v>502</c:v>
                </c:pt>
                <c:pt idx="10">
                  <c:v>625</c:v>
                </c:pt>
                <c:pt idx="11">
                  <c:v>639</c:v>
                </c:pt>
                <c:pt idx="12">
                  <c:v>433</c:v>
                </c:pt>
                <c:pt idx="13">
                  <c:v>265</c:v>
                </c:pt>
                <c:pt idx="14">
                  <c:v>268</c:v>
                </c:pt>
                <c:pt idx="15">
                  <c:v>221</c:v>
                </c:pt>
                <c:pt idx="16">
                  <c:v>172</c:v>
                </c:pt>
                <c:pt idx="17">
                  <c:v>13</c:v>
                </c:pt>
                <c:pt idx="18">
                  <c:v>48</c:v>
                </c:pt>
                <c:pt idx="19">
                  <c:v>71</c:v>
                </c:pt>
                <c:pt idx="20">
                  <c:v>56</c:v>
                </c:pt>
                <c:pt idx="21">
                  <c:v>191</c:v>
                </c:pt>
                <c:pt idx="22">
                  <c:v>134</c:v>
                </c:pt>
                <c:pt idx="23">
                  <c:v>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GAYAZA-KALERWE-24h'!$AF$9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GAYAZA-KALERWE-24h'!$R$10:$R$33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GAYAZA-KALERWE-24h'!$AF$10:$AF$33</c:f>
              <c:numCache>
                <c:formatCode>0</c:formatCode>
                <c:ptCount val="24"/>
                <c:pt idx="0">
                  <c:v>1583</c:v>
                </c:pt>
                <c:pt idx="1">
                  <c:v>1409</c:v>
                </c:pt>
                <c:pt idx="2">
                  <c:v>1424</c:v>
                </c:pt>
                <c:pt idx="3">
                  <c:v>1411</c:v>
                </c:pt>
                <c:pt idx="4">
                  <c:v>1111</c:v>
                </c:pt>
                <c:pt idx="5">
                  <c:v>1178</c:v>
                </c:pt>
                <c:pt idx="6">
                  <c:v>961</c:v>
                </c:pt>
                <c:pt idx="7">
                  <c:v>955</c:v>
                </c:pt>
                <c:pt idx="8">
                  <c:v>1254</c:v>
                </c:pt>
                <c:pt idx="9">
                  <c:v>1131</c:v>
                </c:pt>
                <c:pt idx="10">
                  <c:v>1367</c:v>
                </c:pt>
                <c:pt idx="11">
                  <c:v>1321</c:v>
                </c:pt>
                <c:pt idx="12">
                  <c:v>1085</c:v>
                </c:pt>
                <c:pt idx="13">
                  <c:v>1054</c:v>
                </c:pt>
                <c:pt idx="14">
                  <c:v>790</c:v>
                </c:pt>
                <c:pt idx="15">
                  <c:v>728</c:v>
                </c:pt>
                <c:pt idx="16">
                  <c:v>516</c:v>
                </c:pt>
                <c:pt idx="17">
                  <c:v>147</c:v>
                </c:pt>
                <c:pt idx="18">
                  <c:v>185</c:v>
                </c:pt>
                <c:pt idx="19">
                  <c:v>203</c:v>
                </c:pt>
                <c:pt idx="20">
                  <c:v>170</c:v>
                </c:pt>
                <c:pt idx="21">
                  <c:v>320</c:v>
                </c:pt>
                <c:pt idx="22">
                  <c:v>661</c:v>
                </c:pt>
                <c:pt idx="23">
                  <c:v>1425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45152"/>
        <c:axId val="146947072"/>
      </c:lineChart>
      <c:catAx>
        <c:axId val="146945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947072"/>
        <c:crosses val="autoZero"/>
        <c:auto val="1"/>
        <c:lblAlgn val="ctr"/>
        <c:lblOffset val="100"/>
        <c:noMultiLvlLbl val="0"/>
      </c:catAx>
      <c:valAx>
        <c:axId val="146947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9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GAYAZA-KALERWE-24h'!$C$9:$N$9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GAYAZA-KALERWE-24h'!$C$107:$N$107</c:f>
              <c:numCache>
                <c:formatCode>0.0%</c:formatCode>
                <c:ptCount val="12"/>
                <c:pt idx="0">
                  <c:v>0.16070391710214837</c:v>
                </c:pt>
                <c:pt idx="1">
                  <c:v>1.5320023225691188E-2</c:v>
                </c:pt>
                <c:pt idx="2">
                  <c:v>2.3717003885836793E-2</c:v>
                </c:pt>
                <c:pt idx="3">
                  <c:v>0.14283800080396622</c:v>
                </c:pt>
                <c:pt idx="4">
                  <c:v>2.992540979945509E-3</c:v>
                </c:pt>
                <c:pt idx="5">
                  <c:v>2.2332395372727681E-3</c:v>
                </c:pt>
                <c:pt idx="6">
                  <c:v>2.8764125240073251E-2</c:v>
                </c:pt>
                <c:pt idx="7">
                  <c:v>1.6034659877618474E-2</c:v>
                </c:pt>
                <c:pt idx="8">
                  <c:v>5.717093215418286E-3</c:v>
                </c:pt>
                <c:pt idx="9">
                  <c:v>3.5731832596364284E-3</c:v>
                </c:pt>
                <c:pt idx="10">
                  <c:v>0.59806154808164724</c:v>
                </c:pt>
                <c:pt idx="11">
                  <c:v>4.4664790745455359E-5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GAYAZA-KALERWE-24h'!$C$9:$N$9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GAYAZA-KALERWE-24h'!$C$108:$N$108</c:f>
              <c:numCache>
                <c:formatCode>0.00%</c:formatCode>
                <c:ptCount val="12"/>
                <c:pt idx="0">
                  <c:v>0.39982220246694078</c:v>
                </c:pt>
                <c:pt idx="1">
                  <c:v>3.8115346149572175E-2</c:v>
                </c:pt>
                <c:pt idx="2">
                  <c:v>5.9006556284031557E-2</c:v>
                </c:pt>
                <c:pt idx="3">
                  <c:v>0.35537281920213359</c:v>
                </c:pt>
                <c:pt idx="4">
                  <c:v>7.4452716968552062E-3</c:v>
                </c:pt>
                <c:pt idx="5">
                  <c:v>5.5561729081008999E-3</c:v>
                </c:pt>
                <c:pt idx="6">
                  <c:v>7.1563507056339598E-2</c:v>
                </c:pt>
                <c:pt idx="7">
                  <c:v>3.9893321480164466E-2</c:v>
                </c:pt>
                <c:pt idx="8">
                  <c:v>1.4223802644738305E-2</c:v>
                </c:pt>
                <c:pt idx="9">
                  <c:v>8.8898766529614398E-3</c:v>
                </c:pt>
                <c:pt idx="11">
                  <c:v>1.1112345816201801E-4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KALERWE-GAYAZA-24h'!$AE$9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KALERWE-GAYAZA-24h'!$R$10:$R$33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KALERWE-GAYAZA-24h'!$AE$10:$AE$33</c:f>
              <c:numCache>
                <c:formatCode>0</c:formatCode>
                <c:ptCount val="24"/>
                <c:pt idx="0">
                  <c:v>475</c:v>
                </c:pt>
                <c:pt idx="1">
                  <c:v>846</c:v>
                </c:pt>
                <c:pt idx="2">
                  <c:v>773</c:v>
                </c:pt>
                <c:pt idx="3">
                  <c:v>849</c:v>
                </c:pt>
                <c:pt idx="4">
                  <c:v>1144</c:v>
                </c:pt>
                <c:pt idx="5">
                  <c:v>771</c:v>
                </c:pt>
                <c:pt idx="6">
                  <c:v>617</c:v>
                </c:pt>
                <c:pt idx="7">
                  <c:v>449</c:v>
                </c:pt>
                <c:pt idx="8">
                  <c:v>498</c:v>
                </c:pt>
                <c:pt idx="9">
                  <c:v>590</c:v>
                </c:pt>
                <c:pt idx="10">
                  <c:v>516</c:v>
                </c:pt>
                <c:pt idx="11">
                  <c:v>535</c:v>
                </c:pt>
                <c:pt idx="12">
                  <c:v>439</c:v>
                </c:pt>
                <c:pt idx="13">
                  <c:v>246</c:v>
                </c:pt>
                <c:pt idx="14">
                  <c:v>469</c:v>
                </c:pt>
                <c:pt idx="15">
                  <c:v>421</c:v>
                </c:pt>
                <c:pt idx="16">
                  <c:v>511</c:v>
                </c:pt>
                <c:pt idx="17">
                  <c:v>481</c:v>
                </c:pt>
                <c:pt idx="18">
                  <c:v>90</c:v>
                </c:pt>
                <c:pt idx="19">
                  <c:v>51</c:v>
                </c:pt>
                <c:pt idx="20">
                  <c:v>39</c:v>
                </c:pt>
                <c:pt idx="21">
                  <c:v>59</c:v>
                </c:pt>
                <c:pt idx="22">
                  <c:v>76</c:v>
                </c:pt>
                <c:pt idx="23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KALERWE-GAYAZA-24h'!$AF$9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KALERWE-GAYAZA-24h'!$R$10:$R$33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KALERWE-GAYAZA-24h'!$AF$10:$AF$33</c:f>
              <c:numCache>
                <c:formatCode>0</c:formatCode>
                <c:ptCount val="24"/>
                <c:pt idx="0">
                  <c:v>1480</c:v>
                </c:pt>
                <c:pt idx="1">
                  <c:v>2331</c:v>
                </c:pt>
                <c:pt idx="2">
                  <c:v>2143</c:v>
                </c:pt>
                <c:pt idx="3">
                  <c:v>1954</c:v>
                </c:pt>
                <c:pt idx="4">
                  <c:v>2484</c:v>
                </c:pt>
                <c:pt idx="5">
                  <c:v>2041</c:v>
                </c:pt>
                <c:pt idx="6">
                  <c:v>1597</c:v>
                </c:pt>
                <c:pt idx="7">
                  <c:v>1484</c:v>
                </c:pt>
                <c:pt idx="8">
                  <c:v>2068</c:v>
                </c:pt>
                <c:pt idx="9">
                  <c:v>2605</c:v>
                </c:pt>
                <c:pt idx="10">
                  <c:v>2646</c:v>
                </c:pt>
                <c:pt idx="11">
                  <c:v>2749</c:v>
                </c:pt>
                <c:pt idx="12">
                  <c:v>1593</c:v>
                </c:pt>
                <c:pt idx="13">
                  <c:v>1716</c:v>
                </c:pt>
                <c:pt idx="14">
                  <c:v>1510</c:v>
                </c:pt>
                <c:pt idx="15">
                  <c:v>1156</c:v>
                </c:pt>
                <c:pt idx="16">
                  <c:v>1126</c:v>
                </c:pt>
                <c:pt idx="17">
                  <c:v>857</c:v>
                </c:pt>
                <c:pt idx="18">
                  <c:v>290</c:v>
                </c:pt>
                <c:pt idx="19">
                  <c:v>164</c:v>
                </c:pt>
                <c:pt idx="20">
                  <c:v>159</c:v>
                </c:pt>
                <c:pt idx="21">
                  <c:v>148</c:v>
                </c:pt>
                <c:pt idx="22">
                  <c:v>247</c:v>
                </c:pt>
                <c:pt idx="23">
                  <c:v>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75456"/>
        <c:axId val="147077376"/>
      </c:lineChart>
      <c:catAx>
        <c:axId val="147075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077376"/>
        <c:crosses val="autoZero"/>
        <c:auto val="1"/>
        <c:lblAlgn val="ctr"/>
        <c:lblOffset val="100"/>
        <c:noMultiLvlLbl val="0"/>
      </c:catAx>
      <c:valAx>
        <c:axId val="147077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0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KALERWE-GAYAZA-24h'!$C$9:$N$9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KALERWE-GAYAZA-24h'!$C$107:$N$107</c:f>
              <c:numCache>
                <c:formatCode>0.0%</c:formatCode>
                <c:ptCount val="12"/>
                <c:pt idx="0">
                  <c:v>0.10807328943601489</c:v>
                </c:pt>
                <c:pt idx="1">
                  <c:v>5.2018322359003721E-2</c:v>
                </c:pt>
                <c:pt idx="2">
                  <c:v>2.8428285141711994E-2</c:v>
                </c:pt>
                <c:pt idx="3">
                  <c:v>9.2556541654738048E-2</c:v>
                </c:pt>
                <c:pt idx="4">
                  <c:v>2.1185227598053248E-3</c:v>
                </c:pt>
                <c:pt idx="5">
                  <c:v>1.4886916690523904E-3</c:v>
                </c:pt>
                <c:pt idx="6">
                  <c:v>1.3598625823074721E-2</c:v>
                </c:pt>
                <c:pt idx="7">
                  <c:v>1.1165187517892928E-2</c:v>
                </c:pt>
                <c:pt idx="8">
                  <c:v>5.6684798167764101E-3</c:v>
                </c:pt>
                <c:pt idx="9">
                  <c:v>1.6604637847122817E-3</c:v>
                </c:pt>
                <c:pt idx="10">
                  <c:v>0.68322359003721733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KALERWE-GAYAZA-24h'!$C$9:$N$9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KALERWE-GAYAZA-24h'!$C$108:$N$108</c:f>
              <c:numCache>
                <c:formatCode>0.00%</c:formatCode>
                <c:ptCount val="12"/>
                <c:pt idx="0">
                  <c:v>0.34116583822864888</c:v>
                </c:pt>
                <c:pt idx="1">
                  <c:v>0.16421147763217353</c:v>
                </c:pt>
                <c:pt idx="2">
                  <c:v>8.9742431089019428E-2</c:v>
                </c:pt>
                <c:pt idx="3">
                  <c:v>0.2921825576140985</c:v>
                </c:pt>
                <c:pt idx="4">
                  <c:v>6.6877541798463624E-3</c:v>
                </c:pt>
                <c:pt idx="5">
                  <c:v>4.6995029371893361E-3</c:v>
                </c:pt>
                <c:pt idx="6">
                  <c:v>4.2928151830094893E-2</c:v>
                </c:pt>
                <c:pt idx="7">
                  <c:v>3.5246272028920021E-2</c:v>
                </c:pt>
                <c:pt idx="8">
                  <c:v>1.789426118391324E-2</c:v>
                </c:pt>
                <c:pt idx="9">
                  <c:v>5.2417532760957973E-3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GAYAZA-KALERWE-24h'!$AE$9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GAYAZA-KALERWE-24h'!$R$10:$R$33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GAYAZA-KALERWE-24h'!$AE$10:$AE$33</c:f>
              <c:numCache>
                <c:formatCode>0</c:formatCode>
                <c:ptCount val="24"/>
                <c:pt idx="0">
                  <c:v>513</c:v>
                </c:pt>
                <c:pt idx="1">
                  <c:v>557</c:v>
                </c:pt>
                <c:pt idx="2">
                  <c:v>606</c:v>
                </c:pt>
                <c:pt idx="3">
                  <c:v>521</c:v>
                </c:pt>
                <c:pt idx="4">
                  <c:v>621</c:v>
                </c:pt>
                <c:pt idx="5">
                  <c:v>610</c:v>
                </c:pt>
                <c:pt idx="6">
                  <c:v>463</c:v>
                </c:pt>
                <c:pt idx="7">
                  <c:v>398</c:v>
                </c:pt>
                <c:pt idx="8">
                  <c:v>492</c:v>
                </c:pt>
                <c:pt idx="9">
                  <c:v>546</c:v>
                </c:pt>
                <c:pt idx="10">
                  <c:v>769</c:v>
                </c:pt>
                <c:pt idx="11">
                  <c:v>614</c:v>
                </c:pt>
                <c:pt idx="12">
                  <c:v>625</c:v>
                </c:pt>
                <c:pt idx="13">
                  <c:v>610</c:v>
                </c:pt>
                <c:pt idx="14">
                  <c:v>493</c:v>
                </c:pt>
                <c:pt idx="15">
                  <c:v>478</c:v>
                </c:pt>
                <c:pt idx="16">
                  <c:v>348</c:v>
                </c:pt>
                <c:pt idx="17">
                  <c:v>153</c:v>
                </c:pt>
                <c:pt idx="18">
                  <c:v>84</c:v>
                </c:pt>
                <c:pt idx="19">
                  <c:v>66</c:v>
                </c:pt>
                <c:pt idx="20">
                  <c:v>61</c:v>
                </c:pt>
                <c:pt idx="21">
                  <c:v>94</c:v>
                </c:pt>
                <c:pt idx="22">
                  <c:v>183</c:v>
                </c:pt>
                <c:pt idx="23">
                  <c:v>296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GAYAZA-KALERWE-24h'!$AF$9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GAYAZA-KALERWE-24h'!$R$10:$R$33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GAYAZA-KALERWE-24h'!$AF$10:$AF$33</c:f>
              <c:numCache>
                <c:formatCode>0</c:formatCode>
                <c:ptCount val="24"/>
                <c:pt idx="0">
                  <c:v>1335</c:v>
                </c:pt>
                <c:pt idx="1">
                  <c:v>1232</c:v>
                </c:pt>
                <c:pt idx="2">
                  <c:v>1339</c:v>
                </c:pt>
                <c:pt idx="3">
                  <c:v>890</c:v>
                </c:pt>
                <c:pt idx="4">
                  <c:v>1046</c:v>
                </c:pt>
                <c:pt idx="5">
                  <c:v>1009</c:v>
                </c:pt>
                <c:pt idx="6">
                  <c:v>805</c:v>
                </c:pt>
                <c:pt idx="7">
                  <c:v>932</c:v>
                </c:pt>
                <c:pt idx="8">
                  <c:v>1206</c:v>
                </c:pt>
                <c:pt idx="9">
                  <c:v>1131</c:v>
                </c:pt>
                <c:pt idx="10">
                  <c:v>1417</c:v>
                </c:pt>
                <c:pt idx="11">
                  <c:v>1215</c:v>
                </c:pt>
                <c:pt idx="12">
                  <c:v>2014</c:v>
                </c:pt>
                <c:pt idx="13">
                  <c:v>1880</c:v>
                </c:pt>
                <c:pt idx="14">
                  <c:v>1485</c:v>
                </c:pt>
                <c:pt idx="15">
                  <c:v>1270</c:v>
                </c:pt>
                <c:pt idx="16">
                  <c:v>828</c:v>
                </c:pt>
                <c:pt idx="17">
                  <c:v>468</c:v>
                </c:pt>
                <c:pt idx="18">
                  <c:v>279</c:v>
                </c:pt>
                <c:pt idx="19">
                  <c:v>232</c:v>
                </c:pt>
                <c:pt idx="20">
                  <c:v>252</c:v>
                </c:pt>
                <c:pt idx="21">
                  <c:v>396</c:v>
                </c:pt>
                <c:pt idx="22">
                  <c:v>431</c:v>
                </c:pt>
                <c:pt idx="23">
                  <c:v>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96992"/>
        <c:axId val="171295488"/>
      </c:lineChart>
      <c:catAx>
        <c:axId val="170596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295488"/>
        <c:crosses val="autoZero"/>
        <c:auto val="1"/>
        <c:lblAlgn val="ctr"/>
        <c:lblOffset val="100"/>
        <c:noMultiLvlLbl val="0"/>
      </c:catAx>
      <c:valAx>
        <c:axId val="171295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5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GAYAZA-KALERWE-24h'!$C$9:$N$9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GAYAZA-KALERWE-24h'!$C$107:$N$107</c:f>
              <c:numCache>
                <c:formatCode>0.0%</c:formatCode>
                <c:ptCount val="12"/>
                <c:pt idx="0">
                  <c:v>0.17346554537467052</c:v>
                </c:pt>
                <c:pt idx="1">
                  <c:v>3.6441989874900632E-2</c:v>
                </c:pt>
                <c:pt idx="2">
                  <c:v>2.7948621396594285E-2</c:v>
                </c:pt>
                <c:pt idx="3">
                  <c:v>0.14949165306890924</c:v>
                </c:pt>
                <c:pt idx="4">
                  <c:v>3.6400150621312918E-3</c:v>
                </c:pt>
                <c:pt idx="5">
                  <c:v>1.5898916363332079E-3</c:v>
                </c:pt>
                <c:pt idx="6">
                  <c:v>1.409982845906029E-2</c:v>
                </c:pt>
                <c:pt idx="7">
                  <c:v>1.0292456382578134E-2</c:v>
                </c:pt>
                <c:pt idx="8">
                  <c:v>5.857495502280239E-3</c:v>
                </c:pt>
                <c:pt idx="9">
                  <c:v>3.9747290908330197E-3</c:v>
                </c:pt>
                <c:pt idx="10">
                  <c:v>0.57319777415170914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GAYAZA-KALERWE-24h'!$C$9:$N$9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GAYAZA-KALERWE-24h'!$C$108:$N$108</c:f>
              <c:numCache>
                <c:formatCode>0.00%</c:formatCode>
                <c:ptCount val="12"/>
                <c:pt idx="0">
                  <c:v>0.4064307420841094</c:v>
                </c:pt>
                <c:pt idx="1">
                  <c:v>8.5383785903342807E-2</c:v>
                </c:pt>
                <c:pt idx="2">
                  <c:v>6.5483776100382321E-2</c:v>
                </c:pt>
                <c:pt idx="3">
                  <c:v>0.35025977845309281</c:v>
                </c:pt>
                <c:pt idx="4">
                  <c:v>8.5285756298402113E-3</c:v>
                </c:pt>
                <c:pt idx="5">
                  <c:v>3.7251249877462995E-3</c:v>
                </c:pt>
                <c:pt idx="6">
                  <c:v>3.3035976865013236E-2</c:v>
                </c:pt>
                <c:pt idx="7">
                  <c:v>2.4115282815410255E-2</c:v>
                </c:pt>
                <c:pt idx="8">
                  <c:v>1.3724144691696893E-2</c:v>
                </c:pt>
                <c:pt idx="9">
                  <c:v>9.3128124693657478E-3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KALERWE-GAYAZA'!$AE$9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KALERWE-GAYAZA'!$AE$10:$AE$21</c:f>
              <c:numCache>
                <c:formatCode>0</c:formatCode>
                <c:ptCount val="12"/>
                <c:pt idx="0">
                  <c:v>616</c:v>
                </c:pt>
                <c:pt idx="1">
                  <c:v>508</c:v>
                </c:pt>
                <c:pt idx="2">
                  <c:v>584</c:v>
                </c:pt>
                <c:pt idx="3">
                  <c:v>612</c:v>
                </c:pt>
                <c:pt idx="4">
                  <c:v>452</c:v>
                </c:pt>
                <c:pt idx="5">
                  <c:v>803</c:v>
                </c:pt>
                <c:pt idx="6">
                  <c:v>931</c:v>
                </c:pt>
                <c:pt idx="7">
                  <c:v>834</c:v>
                </c:pt>
                <c:pt idx="8">
                  <c:v>696</c:v>
                </c:pt>
                <c:pt idx="9">
                  <c:v>592</c:v>
                </c:pt>
                <c:pt idx="10">
                  <c:v>685</c:v>
                </c:pt>
                <c:pt idx="11">
                  <c:v>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KALERWE-GAYAZA'!$AF$9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KALERWE-GAYAZA'!$AF$10:$AF$21</c:f>
              <c:numCache>
                <c:formatCode>0</c:formatCode>
                <c:ptCount val="12"/>
                <c:pt idx="0">
                  <c:v>1296</c:v>
                </c:pt>
                <c:pt idx="1">
                  <c:v>1432</c:v>
                </c:pt>
                <c:pt idx="2">
                  <c:v>1504</c:v>
                </c:pt>
                <c:pt idx="3">
                  <c:v>1435</c:v>
                </c:pt>
                <c:pt idx="4">
                  <c:v>1197</c:v>
                </c:pt>
                <c:pt idx="5">
                  <c:v>1788</c:v>
                </c:pt>
                <c:pt idx="6">
                  <c:v>1930</c:v>
                </c:pt>
                <c:pt idx="7">
                  <c:v>1799</c:v>
                </c:pt>
                <c:pt idx="8">
                  <c:v>1659</c:v>
                </c:pt>
                <c:pt idx="9">
                  <c:v>1607</c:v>
                </c:pt>
                <c:pt idx="10">
                  <c:v>1503</c:v>
                </c:pt>
                <c:pt idx="11">
                  <c:v>1478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25152"/>
        <c:axId val="171027072"/>
      </c:lineChart>
      <c:catAx>
        <c:axId val="171025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027072"/>
        <c:crosses val="autoZero"/>
        <c:auto val="1"/>
        <c:lblAlgn val="ctr"/>
        <c:lblOffset val="100"/>
        <c:noMultiLvlLbl val="0"/>
      </c:catAx>
      <c:valAx>
        <c:axId val="171027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02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KALERWE-GAYAZA'!$C$59:$N$59</c:f>
              <c:numCache>
                <c:formatCode>0.0%</c:formatCode>
                <c:ptCount val="12"/>
                <c:pt idx="0">
                  <c:v>0.19749838952115095</c:v>
                </c:pt>
                <c:pt idx="1">
                  <c:v>4.1389306420442348E-2</c:v>
                </c:pt>
                <c:pt idx="2">
                  <c:v>2.9632810822417865E-2</c:v>
                </c:pt>
                <c:pt idx="3">
                  <c:v>0.13442130126691001</c:v>
                </c:pt>
                <c:pt idx="4">
                  <c:v>2.6304487867726003E-3</c:v>
                </c:pt>
                <c:pt idx="5">
                  <c:v>1.5567962207429676E-3</c:v>
                </c:pt>
                <c:pt idx="6">
                  <c:v>9.2870946961563245E-3</c:v>
                </c:pt>
                <c:pt idx="7">
                  <c:v>6.8176937942881688E-3</c:v>
                </c:pt>
                <c:pt idx="8">
                  <c:v>2.7378140433755639E-3</c:v>
                </c:pt>
                <c:pt idx="9">
                  <c:v>4.8314365471333477E-4</c:v>
                </c:pt>
                <c:pt idx="10">
                  <c:v>0.57354520077302984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KALERWE-GAYAZA'!$S$9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KALERWE-GAYAZA'!$S$10:$S$21</c:f>
              <c:numCache>
                <c:formatCode>0</c:formatCode>
                <c:ptCount val="12"/>
                <c:pt idx="0">
                  <c:v>169</c:v>
                </c:pt>
                <c:pt idx="1">
                  <c:v>145</c:v>
                </c:pt>
                <c:pt idx="2">
                  <c:v>204</c:v>
                </c:pt>
                <c:pt idx="3">
                  <c:v>280</c:v>
                </c:pt>
                <c:pt idx="4">
                  <c:v>198</c:v>
                </c:pt>
                <c:pt idx="5">
                  <c:v>434</c:v>
                </c:pt>
                <c:pt idx="6">
                  <c:v>497</c:v>
                </c:pt>
                <c:pt idx="7">
                  <c:v>478</c:v>
                </c:pt>
                <c:pt idx="8">
                  <c:v>371</c:v>
                </c:pt>
                <c:pt idx="9">
                  <c:v>270</c:v>
                </c:pt>
                <c:pt idx="10">
                  <c:v>334</c:v>
                </c:pt>
                <c:pt idx="11">
                  <c:v>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KALERWE-GAYAZA'!$T$9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KALERWE-GAYAZA'!$R$10:$R$21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KALERWE-GAYAZA'!$T$10:$T$21</c:f>
              <c:numCache>
                <c:formatCode>0</c:formatCode>
                <c:ptCount val="12"/>
                <c:pt idx="0">
                  <c:v>77</c:v>
                </c:pt>
                <c:pt idx="1">
                  <c:v>55</c:v>
                </c:pt>
                <c:pt idx="2">
                  <c:v>48</c:v>
                </c:pt>
                <c:pt idx="3">
                  <c:v>61</c:v>
                </c:pt>
                <c:pt idx="4">
                  <c:v>33</c:v>
                </c:pt>
                <c:pt idx="5">
                  <c:v>77</c:v>
                </c:pt>
                <c:pt idx="6">
                  <c:v>87</c:v>
                </c:pt>
                <c:pt idx="7">
                  <c:v>74</c:v>
                </c:pt>
                <c:pt idx="8">
                  <c:v>55</c:v>
                </c:pt>
                <c:pt idx="9">
                  <c:v>68</c:v>
                </c:pt>
                <c:pt idx="10">
                  <c:v>65</c:v>
                </c:pt>
                <c:pt idx="11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KALERWE-GAYAZA'!$U$9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KALERWE-GAYAZA'!$U$10:$U$21</c:f>
              <c:numCache>
                <c:formatCode>0</c:formatCode>
                <c:ptCount val="12"/>
                <c:pt idx="0">
                  <c:v>54</c:v>
                </c:pt>
                <c:pt idx="1">
                  <c:v>50</c:v>
                </c:pt>
                <c:pt idx="2">
                  <c:v>59</c:v>
                </c:pt>
                <c:pt idx="3">
                  <c:v>45</c:v>
                </c:pt>
                <c:pt idx="4">
                  <c:v>42</c:v>
                </c:pt>
                <c:pt idx="5">
                  <c:v>47</c:v>
                </c:pt>
                <c:pt idx="6">
                  <c:v>55</c:v>
                </c:pt>
                <c:pt idx="7">
                  <c:v>46</c:v>
                </c:pt>
                <c:pt idx="8">
                  <c:v>43</c:v>
                </c:pt>
                <c:pt idx="9">
                  <c:v>38</c:v>
                </c:pt>
                <c:pt idx="10">
                  <c:v>42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KALERWE-GAYAZA'!$V$9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KALERWE-GAYAZA'!$V$10:$V$21</c:f>
              <c:numCache>
                <c:formatCode>0</c:formatCode>
                <c:ptCount val="12"/>
                <c:pt idx="0">
                  <c:v>268</c:v>
                </c:pt>
                <c:pt idx="1">
                  <c:v>209</c:v>
                </c:pt>
                <c:pt idx="2">
                  <c:v>240</c:v>
                </c:pt>
                <c:pt idx="3">
                  <c:v>193</c:v>
                </c:pt>
                <c:pt idx="4">
                  <c:v>161</c:v>
                </c:pt>
                <c:pt idx="5">
                  <c:v>217</c:v>
                </c:pt>
                <c:pt idx="6">
                  <c:v>253</c:v>
                </c:pt>
                <c:pt idx="7">
                  <c:v>203</c:v>
                </c:pt>
                <c:pt idx="8">
                  <c:v>190</c:v>
                </c:pt>
                <c:pt idx="9">
                  <c:v>182</c:v>
                </c:pt>
                <c:pt idx="10">
                  <c:v>208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KALERWE-GAYAZA'!$W$9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KALERWE-GAYAZA'!$W$10:$W$21</c:f>
              <c:numCache>
                <c:formatCode>0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KALERWE-GAYAZA'!$X$9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KALERWE-GAYAZA'!$X$10:$X$21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KALERWE-GAYAZA'!$Y$9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KALERWE-GAYAZA'!$Y$10:$Y$21</c:f>
              <c:numCache>
                <c:formatCode>0</c:formatCode>
                <c:ptCount val="12"/>
                <c:pt idx="0">
                  <c:v>18</c:v>
                </c:pt>
                <c:pt idx="1">
                  <c:v>14</c:v>
                </c:pt>
                <c:pt idx="2">
                  <c:v>9</c:v>
                </c:pt>
                <c:pt idx="3">
                  <c:v>13</c:v>
                </c:pt>
                <c:pt idx="4">
                  <c:v>7</c:v>
                </c:pt>
                <c:pt idx="5">
                  <c:v>12</c:v>
                </c:pt>
                <c:pt idx="6">
                  <c:v>20</c:v>
                </c:pt>
                <c:pt idx="7">
                  <c:v>12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KALERWE-GAYAZA'!$Z$9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KALERWE-GAYAZA'!$Z$10:$Z$21</c:f>
              <c:numCache>
                <c:formatCode>0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11</c:v>
                </c:pt>
                <c:pt idx="7">
                  <c:v>14</c:v>
                </c:pt>
                <c:pt idx="8">
                  <c:v>17</c:v>
                </c:pt>
                <c:pt idx="9">
                  <c:v>8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KALERWE-GAYAZA'!$AA$9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KALERWE-GAYAZA'!$AA$10:$AA$21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KALERWE-GAYAZA'!$AB$9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KALERWE-GAYAZA'!$AB$10:$AB$21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KALERWE-GAYAZA'!$AC$9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KALERWE-GAYAZA'!$AC$10:$AC$21</c:f>
              <c:numCache>
                <c:formatCode>0</c:formatCode>
                <c:ptCount val="12"/>
                <c:pt idx="0">
                  <c:v>680</c:v>
                </c:pt>
                <c:pt idx="1">
                  <c:v>924</c:v>
                </c:pt>
                <c:pt idx="2">
                  <c:v>920</c:v>
                </c:pt>
                <c:pt idx="3">
                  <c:v>823</c:v>
                </c:pt>
                <c:pt idx="4">
                  <c:v>745</c:v>
                </c:pt>
                <c:pt idx="5">
                  <c:v>985</c:v>
                </c:pt>
                <c:pt idx="6">
                  <c:v>999</c:v>
                </c:pt>
                <c:pt idx="7">
                  <c:v>965</c:v>
                </c:pt>
                <c:pt idx="8">
                  <c:v>963</c:v>
                </c:pt>
                <c:pt idx="9">
                  <c:v>1015</c:v>
                </c:pt>
                <c:pt idx="10">
                  <c:v>818</c:v>
                </c:pt>
                <c:pt idx="11">
                  <c:v>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KALERWE-GAYAZA'!$AD$9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KALERWE-GAYAZA'!$AD$10:$AD$21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58144"/>
        <c:axId val="171159936"/>
      </c:lineChart>
      <c:catAx>
        <c:axId val="17115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159936"/>
        <c:crosses val="autoZero"/>
        <c:auto val="1"/>
        <c:lblAlgn val="ctr"/>
        <c:lblOffset val="100"/>
        <c:noMultiLvlLbl val="0"/>
      </c:catAx>
      <c:valAx>
        <c:axId val="1711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15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KALERWE-GAYAZA'!$C$60:$N$60</c:f>
              <c:numCache>
                <c:formatCode>0.00%</c:formatCode>
                <c:ptCount val="12"/>
                <c:pt idx="0">
                  <c:v>0.46311681772406849</c:v>
                </c:pt>
                <c:pt idx="1">
                  <c:v>9.7054380664652565E-2</c:v>
                </c:pt>
                <c:pt idx="2">
                  <c:v>6.9486404833836862E-2</c:v>
                </c:pt>
                <c:pt idx="3">
                  <c:v>0.3152064451158107</c:v>
                </c:pt>
                <c:pt idx="4">
                  <c:v>6.1681772406847937E-3</c:v>
                </c:pt>
                <c:pt idx="5">
                  <c:v>3.65055387713998E-3</c:v>
                </c:pt>
                <c:pt idx="6">
                  <c:v>2.177744209466264E-2</c:v>
                </c:pt>
                <c:pt idx="7">
                  <c:v>1.5986908358509567E-2</c:v>
                </c:pt>
                <c:pt idx="8">
                  <c:v>6.4199395770392752E-3</c:v>
                </c:pt>
                <c:pt idx="9">
                  <c:v>1.1329305135951663E-3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GAYAZA-KALERWE'!$AE$9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GAYAZA-KALERWE'!$AE$10:$AE$21</c:f>
              <c:numCache>
                <c:formatCode>0</c:formatCode>
                <c:ptCount val="12"/>
                <c:pt idx="0">
                  <c:v>419</c:v>
                </c:pt>
                <c:pt idx="1">
                  <c:v>559</c:v>
                </c:pt>
                <c:pt idx="2">
                  <c:v>716</c:v>
                </c:pt>
                <c:pt idx="3">
                  <c:v>560</c:v>
                </c:pt>
                <c:pt idx="4">
                  <c:v>538</c:v>
                </c:pt>
                <c:pt idx="5">
                  <c:v>506</c:v>
                </c:pt>
                <c:pt idx="6">
                  <c:v>504</c:v>
                </c:pt>
                <c:pt idx="7">
                  <c:v>441</c:v>
                </c:pt>
                <c:pt idx="8">
                  <c:v>425</c:v>
                </c:pt>
                <c:pt idx="9">
                  <c:v>558</c:v>
                </c:pt>
                <c:pt idx="10">
                  <c:v>665</c:v>
                </c:pt>
                <c:pt idx="11">
                  <c:v>761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GAYAZA-KALERWE'!$AF$9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GAYAZA-KALERWE'!$AF$10:$AF$21</c:f>
              <c:numCache>
                <c:formatCode>0</c:formatCode>
                <c:ptCount val="12"/>
                <c:pt idx="0">
                  <c:v>1181</c:v>
                </c:pt>
                <c:pt idx="1">
                  <c:v>1417</c:v>
                </c:pt>
                <c:pt idx="2">
                  <c:v>1430</c:v>
                </c:pt>
                <c:pt idx="3">
                  <c:v>1285</c:v>
                </c:pt>
                <c:pt idx="4">
                  <c:v>1061</c:v>
                </c:pt>
                <c:pt idx="5">
                  <c:v>1005</c:v>
                </c:pt>
                <c:pt idx="6">
                  <c:v>1062</c:v>
                </c:pt>
                <c:pt idx="7">
                  <c:v>977</c:v>
                </c:pt>
                <c:pt idx="8">
                  <c:v>425</c:v>
                </c:pt>
                <c:pt idx="9">
                  <c:v>1059</c:v>
                </c:pt>
                <c:pt idx="10">
                  <c:v>1190</c:v>
                </c:pt>
                <c:pt idx="11">
                  <c:v>1447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80800"/>
        <c:axId val="171582976"/>
      </c:lineChart>
      <c:catAx>
        <c:axId val="171580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582976"/>
        <c:crosses val="autoZero"/>
        <c:auto val="1"/>
        <c:lblAlgn val="ctr"/>
        <c:lblOffset val="100"/>
        <c:noMultiLvlLbl val="0"/>
      </c:catAx>
      <c:valAx>
        <c:axId val="171582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58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GAYAZA-KALERWE'!$C$59:$N$59</c:f>
              <c:numCache>
                <c:formatCode>0.0%</c:formatCode>
                <c:ptCount val="12"/>
                <c:pt idx="0">
                  <c:v>0.21973557869857449</c:v>
                </c:pt>
                <c:pt idx="1">
                  <c:v>2.1862766821774134E-2</c:v>
                </c:pt>
                <c:pt idx="2">
                  <c:v>2.555580175788463E-2</c:v>
                </c:pt>
                <c:pt idx="3">
                  <c:v>0.18590737868380236</c:v>
                </c:pt>
                <c:pt idx="4">
                  <c:v>2.658985153999557E-3</c:v>
                </c:pt>
                <c:pt idx="5">
                  <c:v>1.4033532757219884E-3</c:v>
                </c:pt>
                <c:pt idx="6">
                  <c:v>1.6397075116330602E-2</c:v>
                </c:pt>
                <c:pt idx="7">
                  <c:v>1.0266637122387177E-2</c:v>
                </c:pt>
                <c:pt idx="8">
                  <c:v>4.3577812246103848E-3</c:v>
                </c:pt>
                <c:pt idx="9">
                  <c:v>3.1760100450550261E-3</c:v>
                </c:pt>
                <c:pt idx="10">
                  <c:v>0.50867863209985964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GAYAZA-KALERWE'!$S$9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GAYAZA-KALERWE'!$S$10:$S$21</c:f>
              <c:numCache>
                <c:formatCode>0</c:formatCode>
                <c:ptCount val="12"/>
                <c:pt idx="0">
                  <c:v>172</c:v>
                </c:pt>
                <c:pt idx="1">
                  <c:v>211</c:v>
                </c:pt>
                <c:pt idx="2">
                  <c:v>344</c:v>
                </c:pt>
                <c:pt idx="3">
                  <c:v>241</c:v>
                </c:pt>
                <c:pt idx="4">
                  <c:v>236</c:v>
                </c:pt>
                <c:pt idx="5">
                  <c:v>267</c:v>
                </c:pt>
                <c:pt idx="6">
                  <c:v>234</c:v>
                </c:pt>
                <c:pt idx="7">
                  <c:v>190</c:v>
                </c:pt>
                <c:pt idx="8">
                  <c:v>205</c:v>
                </c:pt>
                <c:pt idx="9">
                  <c:v>268</c:v>
                </c:pt>
                <c:pt idx="10">
                  <c:v>302</c:v>
                </c:pt>
                <c:pt idx="11">
                  <c:v>305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GAYAZA-KALERWE'!$T$9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GAYAZA-KALERWE'!$R$10:$R$21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GAYAZA-KALERWE'!$T$10:$T$21</c:f>
              <c:numCache>
                <c:formatCode>0</c:formatCode>
                <c:ptCount val="12"/>
                <c:pt idx="0">
                  <c:v>24</c:v>
                </c:pt>
                <c:pt idx="1">
                  <c:v>18</c:v>
                </c:pt>
                <c:pt idx="2">
                  <c:v>24</c:v>
                </c:pt>
                <c:pt idx="3">
                  <c:v>28</c:v>
                </c:pt>
                <c:pt idx="4">
                  <c:v>27</c:v>
                </c:pt>
                <c:pt idx="5">
                  <c:v>14</c:v>
                </c:pt>
                <c:pt idx="6">
                  <c:v>36</c:v>
                </c:pt>
                <c:pt idx="7">
                  <c:v>21</c:v>
                </c:pt>
                <c:pt idx="8">
                  <c:v>24</c:v>
                </c:pt>
                <c:pt idx="9">
                  <c:v>21</c:v>
                </c:pt>
                <c:pt idx="10">
                  <c:v>40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GAYAZA-KALERWE'!$U$9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GAYAZA-KALERWE'!$U$10:$U$21</c:f>
              <c:numCache>
                <c:formatCode>0</c:formatCode>
                <c:ptCount val="12"/>
                <c:pt idx="0">
                  <c:v>15</c:v>
                </c:pt>
                <c:pt idx="1">
                  <c:v>33</c:v>
                </c:pt>
                <c:pt idx="2">
                  <c:v>35</c:v>
                </c:pt>
                <c:pt idx="3">
                  <c:v>27</c:v>
                </c:pt>
                <c:pt idx="4">
                  <c:v>23</c:v>
                </c:pt>
                <c:pt idx="5">
                  <c:v>27</c:v>
                </c:pt>
                <c:pt idx="6">
                  <c:v>39</c:v>
                </c:pt>
                <c:pt idx="7">
                  <c:v>27</c:v>
                </c:pt>
                <c:pt idx="8">
                  <c:v>25</c:v>
                </c:pt>
                <c:pt idx="9">
                  <c:v>40</c:v>
                </c:pt>
                <c:pt idx="10">
                  <c:v>35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GAYAZA-KALERWE'!$V$9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GAYAZA-KALERWE'!$V$10:$V$21</c:f>
              <c:numCache>
                <c:formatCode>0</c:formatCode>
                <c:ptCount val="12"/>
                <c:pt idx="0">
                  <c:v>170</c:v>
                </c:pt>
                <c:pt idx="1">
                  <c:v>250</c:v>
                </c:pt>
                <c:pt idx="2">
                  <c:v>261</c:v>
                </c:pt>
                <c:pt idx="3">
                  <c:v>223</c:v>
                </c:pt>
                <c:pt idx="4">
                  <c:v>192</c:v>
                </c:pt>
                <c:pt idx="5">
                  <c:v>142</c:v>
                </c:pt>
                <c:pt idx="6">
                  <c:v>152</c:v>
                </c:pt>
                <c:pt idx="7">
                  <c:v>149</c:v>
                </c:pt>
                <c:pt idx="8">
                  <c:v>170</c:v>
                </c:pt>
                <c:pt idx="9">
                  <c:v>204</c:v>
                </c:pt>
                <c:pt idx="10">
                  <c:v>231</c:v>
                </c:pt>
                <c:pt idx="11">
                  <c:v>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GAYAZA-KALERWE'!$W$9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GAYAZA-KALERWE'!$W$10:$W$21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GAYAZA-KALERWE'!$X$9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GAYAZA-KALERWE'!$X$10:$X$21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GAYAZA-KALERWE'!$Y$9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GAYAZA-KALERWE'!$Y$10:$Y$21</c:f>
              <c:numCache>
                <c:formatCode>0</c:formatCode>
                <c:ptCount val="12"/>
                <c:pt idx="0">
                  <c:v>21</c:v>
                </c:pt>
                <c:pt idx="1">
                  <c:v>16</c:v>
                </c:pt>
                <c:pt idx="2">
                  <c:v>22</c:v>
                </c:pt>
                <c:pt idx="3">
                  <c:v>18</c:v>
                </c:pt>
                <c:pt idx="4">
                  <c:v>27</c:v>
                </c:pt>
                <c:pt idx="5">
                  <c:v>26</c:v>
                </c:pt>
                <c:pt idx="6">
                  <c:v>19</c:v>
                </c:pt>
                <c:pt idx="7">
                  <c:v>19</c:v>
                </c:pt>
                <c:pt idx="8">
                  <c:v>0</c:v>
                </c:pt>
                <c:pt idx="9">
                  <c:v>13</c:v>
                </c:pt>
                <c:pt idx="10">
                  <c:v>22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GAYAZA-KALERWE'!$Z$9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GAYAZA-KALERWE'!$Z$10:$Z$21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18</c:v>
                </c:pt>
                <c:pt idx="3">
                  <c:v>10</c:v>
                </c:pt>
                <c:pt idx="4">
                  <c:v>18</c:v>
                </c:pt>
                <c:pt idx="5">
                  <c:v>15</c:v>
                </c:pt>
                <c:pt idx="6">
                  <c:v>19</c:v>
                </c:pt>
                <c:pt idx="7">
                  <c:v>16</c:v>
                </c:pt>
                <c:pt idx="8">
                  <c:v>0</c:v>
                </c:pt>
                <c:pt idx="9">
                  <c:v>4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GAYAZA-KALERWE'!$AA$9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GAYAZA-KALERWE'!$AA$10:$AA$21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9</c:v>
                </c:pt>
                <c:pt idx="5">
                  <c:v>10</c:v>
                </c:pt>
                <c:pt idx="6">
                  <c:v>4</c:v>
                </c:pt>
                <c:pt idx="7">
                  <c:v>9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GAYAZA-KALERWE'!$AB$9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GAYAZA-KALERWE'!$AB$10:$AB$21</c:f>
              <c:numCache>
                <c:formatCode>0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GAYAZA-KALERWE'!$AC$9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GAYAZA-KALERWE'!$AC$10:$AC$21</c:f>
              <c:numCache>
                <c:formatCode>0</c:formatCode>
                <c:ptCount val="12"/>
                <c:pt idx="0">
                  <c:v>762</c:v>
                </c:pt>
                <c:pt idx="1">
                  <c:v>858</c:v>
                </c:pt>
                <c:pt idx="2">
                  <c:v>714</c:v>
                </c:pt>
                <c:pt idx="3">
                  <c:v>725</c:v>
                </c:pt>
                <c:pt idx="4">
                  <c:v>523</c:v>
                </c:pt>
                <c:pt idx="5">
                  <c:v>499</c:v>
                </c:pt>
                <c:pt idx="6">
                  <c:v>558</c:v>
                </c:pt>
                <c:pt idx="7">
                  <c:v>536</c:v>
                </c:pt>
                <c:pt idx="8">
                  <c:v>0</c:v>
                </c:pt>
                <c:pt idx="9">
                  <c:v>501</c:v>
                </c:pt>
                <c:pt idx="10">
                  <c:v>525</c:v>
                </c:pt>
                <c:pt idx="11">
                  <c:v>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GAYAZA-KALERWE'!$AD$9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GAYAZA-KALERWE'!$AD$10:$AD$21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27456"/>
        <c:axId val="172628992"/>
      </c:lineChart>
      <c:catAx>
        <c:axId val="17262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628992"/>
        <c:crosses val="autoZero"/>
        <c:auto val="1"/>
        <c:lblAlgn val="ctr"/>
        <c:lblOffset val="100"/>
        <c:noMultiLvlLbl val="0"/>
      </c:catAx>
      <c:valAx>
        <c:axId val="1726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6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GAYAZA-KALERWE'!$C$60:$N$60</c:f>
              <c:numCache>
                <c:formatCode>0.00%</c:formatCode>
                <c:ptCount val="12"/>
                <c:pt idx="0">
                  <c:v>0.44723391461214673</c:v>
                </c:pt>
                <c:pt idx="1">
                  <c:v>4.4497895369813592E-2</c:v>
                </c:pt>
                <c:pt idx="2">
                  <c:v>5.2014431749849668E-2</c:v>
                </c:pt>
                <c:pt idx="3">
                  <c:v>0.37838244137101623</c:v>
                </c:pt>
                <c:pt idx="4">
                  <c:v>5.4119061936259774E-3</c:v>
                </c:pt>
                <c:pt idx="5">
                  <c:v>2.8562838244137103E-3</c:v>
                </c:pt>
                <c:pt idx="6">
                  <c:v>3.3373421527360191E-2</c:v>
                </c:pt>
                <c:pt idx="7">
                  <c:v>2.08959711365003E-2</c:v>
                </c:pt>
                <c:pt idx="8">
                  <c:v>8.8695129284425741E-3</c:v>
                </c:pt>
                <c:pt idx="9">
                  <c:v>6.4642212868310286E-3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KALERWE-GAYAZA'!$AE$9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KALERWE-GAYAZA'!$R$10:$R$33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KALERWE-GAYAZA'!$AE$10:$AE$33</c:f>
              <c:numCache>
                <c:formatCode>0</c:formatCode>
                <c:ptCount val="24"/>
                <c:pt idx="0">
                  <c:v>443.14285714285711</c:v>
                </c:pt>
                <c:pt idx="1">
                  <c:v>509.57142857142861</c:v>
                </c:pt>
                <c:pt idx="2">
                  <c:v>531.71428571428567</c:v>
                </c:pt>
                <c:pt idx="3">
                  <c:v>641.28571428571433</c:v>
                </c:pt>
                <c:pt idx="4">
                  <c:v>577.14285714285711</c:v>
                </c:pt>
                <c:pt idx="5">
                  <c:v>605.57142857142856</c:v>
                </c:pt>
                <c:pt idx="6">
                  <c:v>582.42857142857133</c:v>
                </c:pt>
                <c:pt idx="7">
                  <c:v>604.14285714285711</c:v>
                </c:pt>
                <c:pt idx="8">
                  <c:v>613.85714285714278</c:v>
                </c:pt>
                <c:pt idx="9">
                  <c:v>729.57142857142844</c:v>
                </c:pt>
                <c:pt idx="10">
                  <c:v>726.28571428571445</c:v>
                </c:pt>
                <c:pt idx="11">
                  <c:v>671.57142857142867</c:v>
                </c:pt>
                <c:pt idx="12">
                  <c:v>560</c:v>
                </c:pt>
                <c:pt idx="13">
                  <c:v>493</c:v>
                </c:pt>
                <c:pt idx="14">
                  <c:v>580.5</c:v>
                </c:pt>
                <c:pt idx="15">
                  <c:v>495.5</c:v>
                </c:pt>
                <c:pt idx="16">
                  <c:v>517.5</c:v>
                </c:pt>
                <c:pt idx="17">
                  <c:v>458.5</c:v>
                </c:pt>
                <c:pt idx="18">
                  <c:v>101.5</c:v>
                </c:pt>
                <c:pt idx="19">
                  <c:v>57.5</c:v>
                </c:pt>
                <c:pt idx="20">
                  <c:v>73.5</c:v>
                </c:pt>
                <c:pt idx="21">
                  <c:v>103.5</c:v>
                </c:pt>
                <c:pt idx="22">
                  <c:v>148</c:v>
                </c:pt>
                <c:pt idx="23">
                  <c:v>212.5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KALERWE-GAYAZA'!$AF$9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KALERWE-GAYAZA'!$R$10:$R$33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KALERWE-GAYAZA'!$AF$10:$AF$33</c:f>
              <c:numCache>
                <c:formatCode>0</c:formatCode>
                <c:ptCount val="24"/>
                <c:pt idx="0">
                  <c:v>1550.4285714285716</c:v>
                </c:pt>
                <c:pt idx="1">
                  <c:v>1894.4285714285716</c:v>
                </c:pt>
                <c:pt idx="2">
                  <c:v>1661.1428571428573</c:v>
                </c:pt>
                <c:pt idx="3">
                  <c:v>1776.8571428571431</c:v>
                </c:pt>
                <c:pt idx="4">
                  <c:v>1734.7142857142858</c:v>
                </c:pt>
                <c:pt idx="5">
                  <c:v>1656.7142857142858</c:v>
                </c:pt>
                <c:pt idx="6">
                  <c:v>1546.2857142857142</c:v>
                </c:pt>
                <c:pt idx="7">
                  <c:v>1596.8571428571429</c:v>
                </c:pt>
                <c:pt idx="8">
                  <c:v>1554.4285714285713</c:v>
                </c:pt>
                <c:pt idx="9">
                  <c:v>1790.1428571428571</c:v>
                </c:pt>
                <c:pt idx="10">
                  <c:v>1944.4285714285716</c:v>
                </c:pt>
                <c:pt idx="11">
                  <c:v>1988.2857142857142</c:v>
                </c:pt>
                <c:pt idx="12">
                  <c:v>2149.5</c:v>
                </c:pt>
                <c:pt idx="13">
                  <c:v>2573</c:v>
                </c:pt>
                <c:pt idx="14">
                  <c:v>2013.5</c:v>
                </c:pt>
                <c:pt idx="15">
                  <c:v>1775.5</c:v>
                </c:pt>
                <c:pt idx="16">
                  <c:v>1307.5</c:v>
                </c:pt>
                <c:pt idx="17">
                  <c:v>837</c:v>
                </c:pt>
                <c:pt idx="18">
                  <c:v>289</c:v>
                </c:pt>
                <c:pt idx="19">
                  <c:v>201</c:v>
                </c:pt>
                <c:pt idx="20">
                  <c:v>211.5</c:v>
                </c:pt>
                <c:pt idx="21">
                  <c:v>255.5</c:v>
                </c:pt>
                <c:pt idx="22">
                  <c:v>352.5</c:v>
                </c:pt>
                <c:pt idx="23">
                  <c:v>544.5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47296"/>
        <c:axId val="172249472"/>
      </c:lineChart>
      <c:catAx>
        <c:axId val="172247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249472"/>
        <c:crosses val="autoZero"/>
        <c:auto val="1"/>
        <c:lblAlgn val="ctr"/>
        <c:lblOffset val="100"/>
        <c:noMultiLvlLbl val="0"/>
      </c:catAx>
      <c:valAx>
        <c:axId val="17224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24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KALERWE-GAYAZA'!$C$107:$N$107</c:f>
              <c:numCache>
                <c:formatCode>0.0%</c:formatCode>
                <c:ptCount val="12"/>
                <c:pt idx="0">
                  <c:v>0.12408275405037862</c:v>
                </c:pt>
                <c:pt idx="1">
                  <c:v>3.8878112423462168E-2</c:v>
                </c:pt>
                <c:pt idx="2">
                  <c:v>2.5955558009981838E-2</c:v>
                </c:pt>
                <c:pt idx="3">
                  <c:v>0.1255738180211648</c:v>
                </c:pt>
                <c:pt idx="4">
                  <c:v>2.2296928822404622E-3</c:v>
                </c:pt>
                <c:pt idx="5">
                  <c:v>1.7740900022780145E-3</c:v>
                </c:pt>
                <c:pt idx="6">
                  <c:v>1.8527850451806188E-2</c:v>
                </c:pt>
                <c:pt idx="7">
                  <c:v>7.7107335896674763E-3</c:v>
                </c:pt>
                <c:pt idx="8">
                  <c:v>2.5610404313040594E-3</c:v>
                </c:pt>
                <c:pt idx="9">
                  <c:v>2.3608512870781358E-3</c:v>
                </c:pt>
                <c:pt idx="10">
                  <c:v>0.6503316927027607</c:v>
                </c:pt>
                <c:pt idx="11">
                  <c:v>1.3806147877649917E-5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KALERWE-GAYAZA'!$C$108:$N$108</c:f>
              <c:numCache>
                <c:formatCode>0.00%</c:formatCode>
                <c:ptCount val="12"/>
                <c:pt idx="0">
                  <c:v>0.35485845145496897</c:v>
                </c:pt>
                <c:pt idx="1">
                  <c:v>0.11118569115963201</c:v>
                </c:pt>
                <c:pt idx="2">
                  <c:v>7.4229083586686118E-2</c:v>
                </c:pt>
                <c:pt idx="3">
                  <c:v>0.35912267540569348</c:v>
                </c:pt>
                <c:pt idx="4">
                  <c:v>6.376594148537135E-3</c:v>
                </c:pt>
                <c:pt idx="5">
                  <c:v>5.0736368302601968E-3</c:v>
                </c:pt>
                <c:pt idx="6">
                  <c:v>5.2986930943262123E-2</c:v>
                </c:pt>
                <c:pt idx="7">
                  <c:v>2.2051565522959681E-2</c:v>
                </c:pt>
                <c:pt idx="8">
                  <c:v>7.32419947092036E-3</c:v>
                </c:pt>
                <c:pt idx="9">
                  <c:v>6.7516879219804947E-3</c:v>
                </c:pt>
                <c:pt idx="11">
                  <c:v>3.9483555099301135E-5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GAYAZA-KALERWE'!$AE$9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GAYAZA-KALERWE'!$R$10:$R$33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GAYAZA-KALERWE'!$AE$10:$AE$33</c:f>
              <c:numCache>
                <c:formatCode>0</c:formatCode>
                <c:ptCount val="24"/>
                <c:pt idx="0">
                  <c:v>566.71428571428567</c:v>
                </c:pt>
                <c:pt idx="1">
                  <c:v>530.14285714285722</c:v>
                </c:pt>
                <c:pt idx="2">
                  <c:v>622.14285714285711</c:v>
                </c:pt>
                <c:pt idx="3">
                  <c:v>636.57142857142867</c:v>
                </c:pt>
                <c:pt idx="4">
                  <c:v>585.71428571428578</c:v>
                </c:pt>
                <c:pt idx="5">
                  <c:v>605.57142857142867</c:v>
                </c:pt>
                <c:pt idx="6">
                  <c:v>496</c:v>
                </c:pt>
                <c:pt idx="7">
                  <c:v>462.42857142857133</c:v>
                </c:pt>
                <c:pt idx="8">
                  <c:v>514.85714285714289</c:v>
                </c:pt>
                <c:pt idx="9">
                  <c:v>545.00000000000011</c:v>
                </c:pt>
                <c:pt idx="10">
                  <c:v>605.14285714285722</c:v>
                </c:pt>
                <c:pt idx="11">
                  <c:v>660.85714285714289</c:v>
                </c:pt>
                <c:pt idx="12">
                  <c:v>529</c:v>
                </c:pt>
                <c:pt idx="13">
                  <c:v>437.5</c:v>
                </c:pt>
                <c:pt idx="14">
                  <c:v>380.5</c:v>
                </c:pt>
                <c:pt idx="15">
                  <c:v>349.5</c:v>
                </c:pt>
                <c:pt idx="16">
                  <c:v>260</c:v>
                </c:pt>
                <c:pt idx="17">
                  <c:v>83</c:v>
                </c:pt>
                <c:pt idx="18">
                  <c:v>66</c:v>
                </c:pt>
                <c:pt idx="19">
                  <c:v>68.5</c:v>
                </c:pt>
                <c:pt idx="20">
                  <c:v>58.5</c:v>
                </c:pt>
                <c:pt idx="21">
                  <c:v>142.5</c:v>
                </c:pt>
                <c:pt idx="22">
                  <c:v>158.5</c:v>
                </c:pt>
                <c:pt idx="23">
                  <c:v>345.5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GAYAZA-KALERWE'!$AF$9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GAYAZA-KALERWE'!$R$10:$R$33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GAYAZA-KALERWE'!$AF$10:$AF$33</c:f>
              <c:numCache>
                <c:formatCode>0</c:formatCode>
                <c:ptCount val="24"/>
                <c:pt idx="0">
                  <c:v>1461.8571428571427</c:v>
                </c:pt>
                <c:pt idx="1">
                  <c:v>1521.8571428571429</c:v>
                </c:pt>
                <c:pt idx="2">
                  <c:v>1478.2857142857142</c:v>
                </c:pt>
                <c:pt idx="3">
                  <c:v>1416.5714285714287</c:v>
                </c:pt>
                <c:pt idx="4">
                  <c:v>1187.7142857142858</c:v>
                </c:pt>
                <c:pt idx="5">
                  <c:v>1171.5714285714284</c:v>
                </c:pt>
                <c:pt idx="6">
                  <c:v>1007</c:v>
                </c:pt>
                <c:pt idx="7">
                  <c:v>974.71428571428567</c:v>
                </c:pt>
                <c:pt idx="8">
                  <c:v>1072.7142857142858</c:v>
                </c:pt>
                <c:pt idx="9">
                  <c:v>1220</c:v>
                </c:pt>
                <c:pt idx="10">
                  <c:v>1347.1428571428571</c:v>
                </c:pt>
                <c:pt idx="11">
                  <c:v>1439.5714285714287</c:v>
                </c:pt>
                <c:pt idx="12">
                  <c:v>1549.5</c:v>
                </c:pt>
                <c:pt idx="13">
                  <c:v>1467</c:v>
                </c:pt>
                <c:pt idx="14">
                  <c:v>1137.5</c:v>
                </c:pt>
                <c:pt idx="15">
                  <c:v>999</c:v>
                </c:pt>
                <c:pt idx="16">
                  <c:v>672</c:v>
                </c:pt>
                <c:pt idx="17">
                  <c:v>307.5</c:v>
                </c:pt>
                <c:pt idx="18">
                  <c:v>232</c:v>
                </c:pt>
                <c:pt idx="19">
                  <c:v>217.5</c:v>
                </c:pt>
                <c:pt idx="20">
                  <c:v>211</c:v>
                </c:pt>
                <c:pt idx="21">
                  <c:v>358</c:v>
                </c:pt>
                <c:pt idx="22">
                  <c:v>546</c:v>
                </c:pt>
                <c:pt idx="23">
                  <c:v>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06432"/>
        <c:axId val="174308352"/>
      </c:lineChart>
      <c:catAx>
        <c:axId val="174306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308352"/>
        <c:crosses val="autoZero"/>
        <c:auto val="1"/>
        <c:lblAlgn val="ctr"/>
        <c:lblOffset val="100"/>
        <c:noMultiLvlLbl val="0"/>
      </c:catAx>
      <c:valAx>
        <c:axId val="174308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3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GAYAZA-KALERWE'!$C$107:$N$107</c:f>
              <c:numCache>
                <c:formatCode>0.0%</c:formatCode>
                <c:ptCount val="12"/>
                <c:pt idx="0">
                  <c:v>0.18045063636278752</c:v>
                </c:pt>
                <c:pt idx="1">
                  <c:v>2.4063197407860452E-2</c:v>
                </c:pt>
                <c:pt idx="2">
                  <c:v>2.4053859729394077E-2</c:v>
                </c:pt>
                <c:pt idx="3">
                  <c:v>0.15912337874557628</c:v>
                </c:pt>
                <c:pt idx="4">
                  <c:v>3.1187846077708145E-3</c:v>
                </c:pt>
                <c:pt idx="5">
                  <c:v>1.9235617640742152E-3</c:v>
                </c:pt>
                <c:pt idx="6">
                  <c:v>2.4744847935906176E-2</c:v>
                </c:pt>
                <c:pt idx="7">
                  <c:v>1.5902066428244613E-2</c:v>
                </c:pt>
                <c:pt idx="8">
                  <c:v>6.4056474279364645E-3</c:v>
                </c:pt>
                <c:pt idx="9">
                  <c:v>6.7137908173269924E-3</c:v>
                </c:pt>
                <c:pt idx="10">
                  <c:v>0.55349089109465599</c:v>
                </c:pt>
                <c:pt idx="11">
                  <c:v>9.3376784663796868E-6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625381115659691E-2"/>
          <c:y val="0.22466584091553829"/>
          <c:w val="0.82192414729823426"/>
          <c:h val="0.75846013964569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GAYAZA-KALERWE'!$C$9:$N$9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GAYAZA-KALERWE'!$C$108:$N$108</c:f>
              <c:numCache>
                <c:formatCode>0.00%</c:formatCode>
                <c:ptCount val="12"/>
                <c:pt idx="0">
                  <c:v>0.40413651762934472</c:v>
                </c:pt>
                <c:pt idx="1">
                  <c:v>5.389183989292734E-2</c:v>
                </c:pt>
                <c:pt idx="2">
                  <c:v>5.3870927265883134E-2</c:v>
                </c:pt>
                <c:pt idx="3">
                  <c:v>0.35637207746037058</c:v>
                </c:pt>
                <c:pt idx="4">
                  <c:v>6.9848174327659003E-3</c:v>
                </c:pt>
                <c:pt idx="5">
                  <c:v>4.3080011711071134E-3</c:v>
                </c:pt>
                <c:pt idx="6">
                  <c:v>5.5418461667154625E-2</c:v>
                </c:pt>
                <c:pt idx="7">
                  <c:v>3.5614203856288433E-2</c:v>
                </c:pt>
                <c:pt idx="8">
                  <c:v>1.4346062152327572E-2</c:v>
                </c:pt>
                <c:pt idx="9">
                  <c:v>1.5036178844786474E-2</c:v>
                </c:pt>
                <c:pt idx="11">
                  <c:v>2.091262704420929E-5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KALERWE-GAYAZA-2Dir'!$C$9:$N$9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KALERWE-GAYAZA-2Dir'!$C$107:$N$107</c:f>
              <c:numCache>
                <c:formatCode>0.0%</c:formatCode>
                <c:ptCount val="12"/>
                <c:pt idx="0">
                  <c:v>0.14804172157043291</c:v>
                </c:pt>
                <c:pt idx="1">
                  <c:v>3.2581085586372224E-2</c:v>
                </c:pt>
                <c:pt idx="2">
                  <c:v>2.5147247932178634E-2</c:v>
                </c:pt>
                <c:pt idx="3">
                  <c:v>0.13983393925923576</c:v>
                </c:pt>
                <c:pt idx="4">
                  <c:v>2.6075981520582961E-3</c:v>
                </c:pt>
                <c:pt idx="5">
                  <c:v>1.8376224420136849E-3</c:v>
                </c:pt>
                <c:pt idx="6">
                  <c:v>2.1170363079267805E-2</c:v>
                </c:pt>
                <c:pt idx="7">
                  <c:v>1.1192430424359806E-2</c:v>
                </c:pt>
                <c:pt idx="8">
                  <c:v>4.1951769356554326E-3</c:v>
                </c:pt>
                <c:pt idx="9">
                  <c:v>4.2110527234914029E-3</c:v>
                </c:pt>
                <c:pt idx="10">
                  <c:v>0.60916985505405707</c:v>
                </c:pt>
                <c:pt idx="11">
                  <c:v>1.1906840876978518E-5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KALERWE-GAYAZA-2Dir'!$C$9:$N$9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KALERWE-GAYAZA-2Dir'!$C$108:$N$108</c:f>
              <c:numCache>
                <c:formatCode>0.00%</c:formatCode>
                <c:ptCount val="12"/>
                <c:pt idx="0">
                  <c:v>0.37878787878787878</c:v>
                </c:pt>
                <c:pt idx="1">
                  <c:v>8.3363798846372586E-2</c:v>
                </c:pt>
                <c:pt idx="2">
                  <c:v>6.434316353887401E-2</c:v>
                </c:pt>
                <c:pt idx="3">
                  <c:v>0.35778698513282975</c:v>
                </c:pt>
                <c:pt idx="4">
                  <c:v>6.6719473555934697E-3</c:v>
                </c:pt>
                <c:pt idx="5">
                  <c:v>4.7018441790559759E-3</c:v>
                </c:pt>
                <c:pt idx="6">
                  <c:v>5.4167682183767975E-2</c:v>
                </c:pt>
                <c:pt idx="7">
                  <c:v>2.8637582256885202E-2</c:v>
                </c:pt>
                <c:pt idx="8">
                  <c:v>1.0734015760825414E-2</c:v>
                </c:pt>
                <c:pt idx="9">
                  <c:v>1.0774636444877733E-2</c:v>
                </c:pt>
                <c:pt idx="11">
                  <c:v>3.0465513039239581E-5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KALERWE-GAYAZA-2Dir'!$AE$9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KALERWE-GAYAZA-2Dir'!$R$10:$R$33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KALERWE-GAYAZA-2Dir'!$AE$10:$AE$33</c:f>
              <c:numCache>
                <c:formatCode>0</c:formatCode>
                <c:ptCount val="24"/>
                <c:pt idx="0">
                  <c:v>1009.857142857143</c:v>
                </c:pt>
                <c:pt idx="1">
                  <c:v>1039.7142857142858</c:v>
                </c:pt>
                <c:pt idx="2">
                  <c:v>1153.8571428571427</c:v>
                </c:pt>
                <c:pt idx="3">
                  <c:v>1277.8571428571431</c:v>
                </c:pt>
                <c:pt idx="4">
                  <c:v>1162.8571428571429</c:v>
                </c:pt>
                <c:pt idx="5">
                  <c:v>1211.1428571428571</c:v>
                </c:pt>
                <c:pt idx="6">
                  <c:v>1078.4285714285713</c:v>
                </c:pt>
                <c:pt idx="7">
                  <c:v>1066.5714285714284</c:v>
                </c:pt>
                <c:pt idx="8">
                  <c:v>1128.7142857142856</c:v>
                </c:pt>
                <c:pt idx="9">
                  <c:v>1274.5714285714284</c:v>
                </c:pt>
                <c:pt idx="10">
                  <c:v>1331.4285714285716</c:v>
                </c:pt>
                <c:pt idx="11">
                  <c:v>1332.4285714285711</c:v>
                </c:pt>
                <c:pt idx="12">
                  <c:v>1089</c:v>
                </c:pt>
                <c:pt idx="13">
                  <c:v>930.5</c:v>
                </c:pt>
                <c:pt idx="14">
                  <c:v>961</c:v>
                </c:pt>
                <c:pt idx="15">
                  <c:v>845</c:v>
                </c:pt>
                <c:pt idx="16">
                  <c:v>777.5</c:v>
                </c:pt>
                <c:pt idx="17">
                  <c:v>541.5</c:v>
                </c:pt>
                <c:pt idx="18">
                  <c:v>167.5</c:v>
                </c:pt>
                <c:pt idx="19">
                  <c:v>126</c:v>
                </c:pt>
                <c:pt idx="20">
                  <c:v>132</c:v>
                </c:pt>
                <c:pt idx="21">
                  <c:v>246</c:v>
                </c:pt>
                <c:pt idx="22">
                  <c:v>306.5</c:v>
                </c:pt>
                <c:pt idx="23">
                  <c:v>558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9D-4C8D-8EC6-216EDA4895AD}"/>
            </c:ext>
          </c:extLst>
        </c:ser>
        <c:ser>
          <c:idx val="1"/>
          <c:order val="1"/>
          <c:tx>
            <c:strRef>
              <c:f>'Avg Week KALERWE-GAYAZA-2Dir'!$AF$9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KALERWE-GAYAZA-2Dir'!$R$10:$R$33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KALERWE-GAYAZA-2Dir'!$AF$10:$AF$33</c:f>
              <c:numCache>
                <c:formatCode>0</c:formatCode>
                <c:ptCount val="24"/>
                <c:pt idx="0">
                  <c:v>3012.2857142857147</c:v>
                </c:pt>
                <c:pt idx="1">
                  <c:v>3416.2857142857147</c:v>
                </c:pt>
                <c:pt idx="2">
                  <c:v>3139.4285714285716</c:v>
                </c:pt>
                <c:pt idx="3">
                  <c:v>3193.4285714285711</c:v>
                </c:pt>
                <c:pt idx="4">
                  <c:v>2922.4285714285716</c:v>
                </c:pt>
                <c:pt idx="5">
                  <c:v>2828.2857142857142</c:v>
                </c:pt>
                <c:pt idx="6">
                  <c:v>2553.2857142857142</c:v>
                </c:pt>
                <c:pt idx="7">
                  <c:v>2571.5714285714284</c:v>
                </c:pt>
                <c:pt idx="8">
                  <c:v>2627.1428571428569</c:v>
                </c:pt>
                <c:pt idx="9">
                  <c:v>3010.1428571428573</c:v>
                </c:pt>
                <c:pt idx="10">
                  <c:v>3291.5714285714284</c:v>
                </c:pt>
                <c:pt idx="11">
                  <c:v>3427.8571428571427</c:v>
                </c:pt>
                <c:pt idx="12">
                  <c:v>3699</c:v>
                </c:pt>
                <c:pt idx="13">
                  <c:v>4040</c:v>
                </c:pt>
                <c:pt idx="14">
                  <c:v>3151</c:v>
                </c:pt>
                <c:pt idx="15">
                  <c:v>2774.5</c:v>
                </c:pt>
                <c:pt idx="16">
                  <c:v>1979.5</c:v>
                </c:pt>
                <c:pt idx="17">
                  <c:v>1144.5</c:v>
                </c:pt>
                <c:pt idx="18">
                  <c:v>521</c:v>
                </c:pt>
                <c:pt idx="19">
                  <c:v>418.5</c:v>
                </c:pt>
                <c:pt idx="20">
                  <c:v>422.5</c:v>
                </c:pt>
                <c:pt idx="21">
                  <c:v>613.5</c:v>
                </c:pt>
                <c:pt idx="22">
                  <c:v>898.5</c:v>
                </c:pt>
                <c:pt idx="23">
                  <c:v>1661.5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9D-4C8D-8EC6-216EDA4895AD}"/>
            </c:ext>
          </c:extLst>
        </c:ser>
        <c:ser>
          <c:idx val="5"/>
          <c:order val="2"/>
          <c:tx>
            <c:strRef>
              <c:f>'Avg Week KALERWE-GAYAZA-2Dir'!$AC$9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KALERWE-GAYAZA-2Dir'!$R$10:$R$33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KALERWE-GAYAZA-2Dir'!$AC$10:$AC$33</c:f>
              <c:numCache>
                <c:formatCode>0</c:formatCode>
                <c:ptCount val="24"/>
                <c:pt idx="0">
                  <c:v>2002.4285714285716</c:v>
                </c:pt>
                <c:pt idx="1">
                  <c:v>2376.5714285714284</c:v>
                </c:pt>
                <c:pt idx="2">
                  <c:v>1985.5714285714287</c:v>
                </c:pt>
                <c:pt idx="3">
                  <c:v>1915.5714285714287</c:v>
                </c:pt>
                <c:pt idx="4">
                  <c:v>1759.5714285714284</c:v>
                </c:pt>
                <c:pt idx="5">
                  <c:v>1617.1428571428573</c:v>
                </c:pt>
                <c:pt idx="6">
                  <c:v>1474.8571428571427</c:v>
                </c:pt>
                <c:pt idx="7">
                  <c:v>1505</c:v>
                </c:pt>
                <c:pt idx="8">
                  <c:v>1498.4285714285716</c:v>
                </c:pt>
                <c:pt idx="9">
                  <c:v>1735.5714285714287</c:v>
                </c:pt>
                <c:pt idx="10">
                  <c:v>1960.1428571428573</c:v>
                </c:pt>
                <c:pt idx="11">
                  <c:v>2095.4285714285711</c:v>
                </c:pt>
                <c:pt idx="12">
                  <c:v>2610</c:v>
                </c:pt>
                <c:pt idx="13">
                  <c:v>3109.5</c:v>
                </c:pt>
                <c:pt idx="14">
                  <c:v>2190</c:v>
                </c:pt>
                <c:pt idx="15">
                  <c:v>1929.5</c:v>
                </c:pt>
                <c:pt idx="16">
                  <c:v>1202</c:v>
                </c:pt>
                <c:pt idx="17">
                  <c:v>603</c:v>
                </c:pt>
                <c:pt idx="18">
                  <c:v>353.5</c:v>
                </c:pt>
                <c:pt idx="19">
                  <c:v>292.5</c:v>
                </c:pt>
                <c:pt idx="20">
                  <c:v>290.5</c:v>
                </c:pt>
                <c:pt idx="21">
                  <c:v>367.5</c:v>
                </c:pt>
                <c:pt idx="22">
                  <c:v>592</c:v>
                </c:pt>
                <c:pt idx="23">
                  <c:v>1103.5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9D-4C8D-8EC6-216EDA489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KALERWE-GAYAZA-2Dir'!$S$9:$AF$9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KALERWE-GAYAZA-2Dir'!$S$41:$AF$41</c:f>
              <c:numCache>
                <c:formatCode>_(* #,##0_);_(* \(#,##0\);_(* "-"_);_(@_)</c:formatCode>
                <c:ptCount val="14"/>
                <c:pt idx="0">
                  <c:v>7936.5714285714275</c:v>
                </c:pt>
                <c:pt idx="1">
                  <c:v>2017.7142857142856</c:v>
                </c:pt>
                <c:pt idx="2">
                  <c:v>1322.6428571428573</c:v>
                </c:pt>
                <c:pt idx="3">
                  <c:v>7044.6428571428569</c:v>
                </c:pt>
                <c:pt idx="4">
                  <c:v>143.85714285714286</c:v>
                </c:pt>
                <c:pt idx="5">
                  <c:v>93.642857142857139</c:v>
                </c:pt>
                <c:pt idx="6">
                  <c:v>1082.5</c:v>
                </c:pt>
                <c:pt idx="7">
                  <c:v>664.35714285714289</c:v>
                </c:pt>
                <c:pt idx="8">
                  <c:v>226.5</c:v>
                </c:pt>
                <c:pt idx="9">
                  <c:v>215.07142857142856</c:v>
                </c:pt>
                <c:pt idx="10">
                  <c:v>36569.785714285717</c:v>
                </c:pt>
                <c:pt idx="11">
                  <c:v>0.42857142857142855</c:v>
                </c:pt>
                <c:pt idx="12">
                  <c:v>20747.928571428572</c:v>
                </c:pt>
                <c:pt idx="13">
                  <c:v>57317.714285714283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D-4292-8DC1-BAB78648FD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KALERWE-GAYAZA-2Dir'!$S$9:$AF$9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KALERWE-GAYAZA-2Dir'!$S$42:$AF$42</c:f>
              <c:numCache>
                <c:formatCode>0.000</c:formatCode>
                <c:ptCount val="14"/>
                <c:pt idx="0">
                  <c:v>1.4894369973190349</c:v>
                </c:pt>
                <c:pt idx="1">
                  <c:v>1.7205506151784629</c:v>
                </c:pt>
                <c:pt idx="2">
                  <c:v>1.4612531565656566</c:v>
                </c:pt>
                <c:pt idx="3">
                  <c:v>1.3996508855585832</c:v>
                </c:pt>
                <c:pt idx="4">
                  <c:v>1.5327245053272451</c:v>
                </c:pt>
                <c:pt idx="5">
                  <c:v>1.4157667386609072</c:v>
                </c:pt>
                <c:pt idx="6">
                  <c:v>1.4206036745406827</c:v>
                </c:pt>
                <c:pt idx="7">
                  <c:v>1.6491134751773049</c:v>
                </c:pt>
                <c:pt idx="8">
                  <c:v>1.5</c:v>
                </c:pt>
                <c:pt idx="9">
                  <c:v>1.4189443920829408</c:v>
                </c:pt>
                <c:pt idx="10">
                  <c:v>1.6678513721299939</c:v>
                </c:pt>
                <c:pt idx="11">
                  <c:v>1</c:v>
                </c:pt>
                <c:pt idx="12">
                  <c:v>1.4748913396701602</c:v>
                </c:pt>
                <c:pt idx="13">
                  <c:v>1.5924367746749433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2-4CA3-ACB9-12BE0DC26E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619125</xdr:colOff>
      <xdr:row>76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59</xdr:row>
      <xdr:rowOff>0</xdr:rowOff>
    </xdr:from>
    <xdr:to>
      <xdr:col>24</xdr:col>
      <xdr:colOff>1</xdr:colOff>
      <xdr:row>76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146961</xdr:colOff>
      <xdr:row>42</xdr:row>
      <xdr:rowOff>69849</xdr:rowOff>
    </xdr:from>
    <xdr:to>
      <xdr:col>28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523875</xdr:colOff>
      <xdr:row>75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59</xdr:row>
      <xdr:rowOff>1</xdr:rowOff>
    </xdr:from>
    <xdr:to>
      <xdr:col>23</xdr:col>
      <xdr:colOff>714374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279399</xdr:rowOff>
    </xdr:from>
    <xdr:to>
      <xdr:col>25</xdr:col>
      <xdr:colOff>0</xdr:colOff>
      <xdr:row>93</xdr:row>
      <xdr:rowOff>15874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6348</xdr:colOff>
      <xdr:row>59</xdr:row>
      <xdr:rowOff>2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BA35621-D83E-4A10-BD36-C498668AC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31</xdr:col>
      <xdr:colOff>539750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67BA30F-D3E0-40D6-990E-8A1035DC1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74</xdr:row>
      <xdr:rowOff>285749</xdr:rowOff>
    </xdr:from>
    <xdr:to>
      <xdr:col>31</xdr:col>
      <xdr:colOff>555625</xdr:colOff>
      <xdr:row>93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0AC0880-5035-485C-A2B2-7FB9F6FE6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R4" sqref="R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1" t="s">
        <v>96</v>
      </c>
      <c r="C3" s="61" t="s">
        <v>184</v>
      </c>
      <c r="D3" s="61"/>
      <c r="E3" s="61"/>
      <c r="F3" s="61"/>
      <c r="G3" s="6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56" t="s">
        <v>170</v>
      </c>
      <c r="H5" s="57"/>
      <c r="I5" s="14"/>
      <c r="J5" s="2" t="s">
        <v>5</v>
      </c>
      <c r="K5" s="56" t="s">
        <v>174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171</v>
      </c>
      <c r="E6" s="57"/>
      <c r="F6" s="2" t="s">
        <v>2</v>
      </c>
      <c r="G6" s="56" t="s">
        <v>172</v>
      </c>
      <c r="H6" s="57"/>
      <c r="J6" s="2" t="s">
        <v>21</v>
      </c>
      <c r="K6" s="56" t="s">
        <v>173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27</v>
      </c>
      <c r="D10" s="50">
        <v>8</v>
      </c>
      <c r="E10" s="50">
        <v>2</v>
      </c>
      <c r="F10" s="50">
        <v>44</v>
      </c>
      <c r="G10" s="50">
        <v>0</v>
      </c>
      <c r="H10" s="50">
        <v>5</v>
      </c>
      <c r="I10" s="50">
        <v>6</v>
      </c>
      <c r="J10" s="50">
        <v>0</v>
      </c>
      <c r="K10" s="50">
        <v>1</v>
      </c>
      <c r="L10" s="50">
        <v>1</v>
      </c>
      <c r="M10" s="50">
        <v>215</v>
      </c>
      <c r="N10" s="50">
        <v>0</v>
      </c>
      <c r="O10" s="15">
        <f t="shared" ref="O10:O57" si="0">SUM(C10:L10,N10)</f>
        <v>94</v>
      </c>
      <c r="P10" s="15">
        <f t="shared" ref="P10:P57" si="1">SUM(C10:N10)</f>
        <v>309</v>
      </c>
      <c r="R10" s="1" t="s">
        <v>6</v>
      </c>
      <c r="S10" s="17">
        <f t="shared" ref="S10:AF10" si="2">SUM(C10:C13)</f>
        <v>91</v>
      </c>
      <c r="T10" s="17">
        <f t="shared" si="2"/>
        <v>31</v>
      </c>
      <c r="U10" s="17">
        <f t="shared" si="2"/>
        <v>9</v>
      </c>
      <c r="V10" s="17">
        <f t="shared" si="2"/>
        <v>205</v>
      </c>
      <c r="W10" s="17">
        <f t="shared" si="2"/>
        <v>4</v>
      </c>
      <c r="X10" s="17">
        <f t="shared" si="2"/>
        <v>6</v>
      </c>
      <c r="Y10" s="17">
        <f t="shared" si="2"/>
        <v>19</v>
      </c>
      <c r="Z10" s="17">
        <f t="shared" si="2"/>
        <v>10</v>
      </c>
      <c r="AA10" s="17">
        <f t="shared" si="2"/>
        <v>2</v>
      </c>
      <c r="AB10" s="17">
        <f t="shared" si="2"/>
        <v>4</v>
      </c>
      <c r="AC10" s="17">
        <f t="shared" si="2"/>
        <v>1089</v>
      </c>
      <c r="AD10" s="17">
        <f t="shared" si="2"/>
        <v>0</v>
      </c>
      <c r="AE10" s="31">
        <f t="shared" si="2"/>
        <v>381</v>
      </c>
      <c r="AF10" s="31">
        <f t="shared" si="2"/>
        <v>1470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2</v>
      </c>
      <c r="E11" s="50">
        <v>0</v>
      </c>
      <c r="F11" s="50">
        <v>27</v>
      </c>
      <c r="G11" s="50">
        <v>3</v>
      </c>
      <c r="H11" s="50">
        <v>0</v>
      </c>
      <c r="I11" s="50">
        <v>1</v>
      </c>
      <c r="J11" s="50">
        <v>2</v>
      </c>
      <c r="K11" s="50">
        <v>0</v>
      </c>
      <c r="L11" s="50">
        <v>1</v>
      </c>
      <c r="M11" s="50">
        <v>155</v>
      </c>
      <c r="N11" s="50">
        <v>0</v>
      </c>
      <c r="O11" s="15">
        <f t="shared" si="0"/>
        <v>52</v>
      </c>
      <c r="P11" s="15">
        <f t="shared" si="1"/>
        <v>207</v>
      </c>
      <c r="R11" s="1" t="s">
        <v>7</v>
      </c>
      <c r="S11" s="17">
        <f t="shared" ref="S11:AF11" si="3">SUM(C14:C17)</f>
        <v>69</v>
      </c>
      <c r="T11" s="17">
        <f t="shared" si="3"/>
        <v>46</v>
      </c>
      <c r="U11" s="17">
        <f t="shared" si="3"/>
        <v>10</v>
      </c>
      <c r="V11" s="17">
        <f t="shared" si="3"/>
        <v>206</v>
      </c>
      <c r="W11" s="17">
        <f t="shared" si="3"/>
        <v>3</v>
      </c>
      <c r="X11" s="17">
        <f t="shared" si="3"/>
        <v>3</v>
      </c>
      <c r="Y11" s="17">
        <f t="shared" si="3"/>
        <v>23</v>
      </c>
      <c r="Z11" s="17">
        <f t="shared" si="3"/>
        <v>13</v>
      </c>
      <c r="AA11" s="17">
        <f t="shared" si="3"/>
        <v>5</v>
      </c>
      <c r="AB11" s="17">
        <f t="shared" si="3"/>
        <v>9</v>
      </c>
      <c r="AC11" s="17">
        <f t="shared" si="3"/>
        <v>1276</v>
      </c>
      <c r="AD11" s="17">
        <f t="shared" si="3"/>
        <v>0</v>
      </c>
      <c r="AE11" s="31">
        <f t="shared" si="3"/>
        <v>387</v>
      </c>
      <c r="AF11" s="31">
        <f t="shared" si="3"/>
        <v>1663</v>
      </c>
    </row>
    <row r="12" spans="2:32" ht="23.1" customHeight="1" x14ac:dyDescent="0.25">
      <c r="B12" s="23" t="s">
        <v>39</v>
      </c>
      <c r="C12" s="50">
        <v>35</v>
      </c>
      <c r="D12" s="50">
        <v>11</v>
      </c>
      <c r="E12" s="50">
        <v>5</v>
      </c>
      <c r="F12" s="50">
        <v>82</v>
      </c>
      <c r="G12" s="50">
        <v>1</v>
      </c>
      <c r="H12" s="50">
        <v>1</v>
      </c>
      <c r="I12" s="50">
        <v>10</v>
      </c>
      <c r="J12" s="50">
        <v>6</v>
      </c>
      <c r="K12" s="50">
        <v>1</v>
      </c>
      <c r="L12" s="50">
        <v>2</v>
      </c>
      <c r="M12" s="50">
        <v>550</v>
      </c>
      <c r="N12" s="50">
        <v>0</v>
      </c>
      <c r="O12" s="15">
        <f t="shared" si="0"/>
        <v>154</v>
      </c>
      <c r="P12" s="15">
        <f t="shared" si="1"/>
        <v>704</v>
      </c>
      <c r="R12" s="1" t="s">
        <v>8</v>
      </c>
      <c r="S12" s="17">
        <f t="shared" ref="S12:AF12" si="4">SUM(C18:C21)</f>
        <v>67</v>
      </c>
      <c r="T12" s="17">
        <f t="shared" si="4"/>
        <v>42</v>
      </c>
      <c r="U12" s="17">
        <f t="shared" si="4"/>
        <v>20</v>
      </c>
      <c r="V12" s="17">
        <f t="shared" si="4"/>
        <v>264</v>
      </c>
      <c r="W12" s="17">
        <f t="shared" si="4"/>
        <v>1</v>
      </c>
      <c r="X12" s="17">
        <f t="shared" si="4"/>
        <v>1</v>
      </c>
      <c r="Y12" s="17">
        <f t="shared" si="4"/>
        <v>30</v>
      </c>
      <c r="Z12" s="17">
        <f t="shared" si="4"/>
        <v>17</v>
      </c>
      <c r="AA12" s="17">
        <f t="shared" si="4"/>
        <v>9</v>
      </c>
      <c r="AB12" s="17">
        <f t="shared" si="4"/>
        <v>2</v>
      </c>
      <c r="AC12" s="17">
        <f t="shared" si="4"/>
        <v>270</v>
      </c>
      <c r="AD12" s="17">
        <f t="shared" si="4"/>
        <v>0</v>
      </c>
      <c r="AE12" s="31">
        <f t="shared" si="4"/>
        <v>453</v>
      </c>
      <c r="AF12" s="31">
        <f t="shared" si="4"/>
        <v>723</v>
      </c>
    </row>
    <row r="13" spans="2:32" ht="23.1" customHeight="1" x14ac:dyDescent="0.25">
      <c r="B13" s="23" t="s">
        <v>40</v>
      </c>
      <c r="C13" s="50">
        <v>13</v>
      </c>
      <c r="D13" s="50">
        <v>10</v>
      </c>
      <c r="E13" s="50">
        <v>2</v>
      </c>
      <c r="F13" s="50">
        <v>52</v>
      </c>
      <c r="G13" s="50">
        <v>0</v>
      </c>
      <c r="H13" s="50">
        <v>0</v>
      </c>
      <c r="I13" s="50">
        <v>2</v>
      </c>
      <c r="J13" s="50">
        <v>2</v>
      </c>
      <c r="K13" s="50">
        <v>0</v>
      </c>
      <c r="L13" s="50">
        <v>0</v>
      </c>
      <c r="M13" s="50">
        <v>169</v>
      </c>
      <c r="N13" s="50">
        <v>0</v>
      </c>
      <c r="O13" s="15">
        <f t="shared" si="0"/>
        <v>81</v>
      </c>
      <c r="P13" s="15">
        <f t="shared" si="1"/>
        <v>250</v>
      </c>
      <c r="R13" s="1" t="s">
        <v>9</v>
      </c>
      <c r="S13" s="17">
        <f t="shared" ref="S13:AF13" si="5">SUM(C22:C25)</f>
        <v>165</v>
      </c>
      <c r="T13" s="17">
        <f t="shared" si="5"/>
        <v>108</v>
      </c>
      <c r="U13" s="17">
        <f t="shared" si="5"/>
        <v>53</v>
      </c>
      <c r="V13" s="17">
        <f t="shared" si="5"/>
        <v>324</v>
      </c>
      <c r="W13" s="17">
        <f t="shared" si="5"/>
        <v>4</v>
      </c>
      <c r="X13" s="17">
        <f t="shared" si="5"/>
        <v>1</v>
      </c>
      <c r="Y13" s="17">
        <f t="shared" si="5"/>
        <v>45</v>
      </c>
      <c r="Z13" s="17">
        <f t="shared" si="5"/>
        <v>18</v>
      </c>
      <c r="AA13" s="17">
        <f t="shared" si="5"/>
        <v>11</v>
      </c>
      <c r="AB13" s="17">
        <f t="shared" si="5"/>
        <v>1</v>
      </c>
      <c r="AC13" s="17">
        <f t="shared" si="5"/>
        <v>762</v>
      </c>
      <c r="AD13" s="17">
        <f t="shared" si="5"/>
        <v>0</v>
      </c>
      <c r="AE13" s="31">
        <f t="shared" si="5"/>
        <v>730</v>
      </c>
      <c r="AF13" s="31">
        <f t="shared" si="5"/>
        <v>1492</v>
      </c>
    </row>
    <row r="14" spans="2:32" ht="23.1" customHeight="1" x14ac:dyDescent="0.25">
      <c r="B14" s="23" t="s">
        <v>41</v>
      </c>
      <c r="C14" s="50">
        <v>18</v>
      </c>
      <c r="D14" s="50">
        <v>8</v>
      </c>
      <c r="E14" s="50">
        <v>3</v>
      </c>
      <c r="F14" s="50">
        <v>53</v>
      </c>
      <c r="G14" s="50">
        <v>1</v>
      </c>
      <c r="H14" s="50">
        <v>2</v>
      </c>
      <c r="I14" s="50">
        <v>5</v>
      </c>
      <c r="J14" s="50">
        <v>4</v>
      </c>
      <c r="K14" s="50">
        <v>1</v>
      </c>
      <c r="L14" s="50">
        <v>1</v>
      </c>
      <c r="M14" s="50">
        <v>299</v>
      </c>
      <c r="N14" s="50">
        <v>0</v>
      </c>
      <c r="O14" s="15">
        <f t="shared" si="0"/>
        <v>96</v>
      </c>
      <c r="P14" s="15">
        <f t="shared" si="1"/>
        <v>395</v>
      </c>
      <c r="R14" s="1" t="s">
        <v>10</v>
      </c>
      <c r="S14" s="17">
        <f t="shared" ref="S14:AF14" si="6">SUM(C26:C29)</f>
        <v>159</v>
      </c>
      <c r="T14" s="17">
        <f t="shared" si="6"/>
        <v>53</v>
      </c>
      <c r="U14" s="17">
        <f t="shared" si="6"/>
        <v>30</v>
      </c>
      <c r="V14" s="17">
        <f t="shared" si="6"/>
        <v>206</v>
      </c>
      <c r="W14" s="17">
        <f t="shared" si="6"/>
        <v>2</v>
      </c>
      <c r="X14" s="17">
        <f t="shared" si="6"/>
        <v>3</v>
      </c>
      <c r="Y14" s="17">
        <f t="shared" si="6"/>
        <v>59</v>
      </c>
      <c r="Z14" s="17">
        <f t="shared" si="6"/>
        <v>21</v>
      </c>
      <c r="AA14" s="17">
        <f t="shared" si="6"/>
        <v>3</v>
      </c>
      <c r="AB14" s="17">
        <f t="shared" si="6"/>
        <v>0</v>
      </c>
      <c r="AC14" s="17">
        <f t="shared" si="6"/>
        <v>887</v>
      </c>
      <c r="AD14" s="17">
        <f t="shared" si="6"/>
        <v>0</v>
      </c>
      <c r="AE14" s="31">
        <f t="shared" si="6"/>
        <v>536</v>
      </c>
      <c r="AF14" s="31">
        <f t="shared" si="6"/>
        <v>1423</v>
      </c>
    </row>
    <row r="15" spans="2:32" ht="23.1" customHeight="1" x14ac:dyDescent="0.25">
      <c r="B15" s="23" t="s">
        <v>42</v>
      </c>
      <c r="C15" s="50">
        <v>7</v>
      </c>
      <c r="D15" s="50">
        <v>2</v>
      </c>
      <c r="E15" s="50">
        <v>1</v>
      </c>
      <c r="F15" s="50">
        <v>13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285</v>
      </c>
      <c r="N15" s="50">
        <v>0</v>
      </c>
      <c r="O15" s="15">
        <f t="shared" si="0"/>
        <v>23</v>
      </c>
      <c r="P15" s="15">
        <f t="shared" si="1"/>
        <v>308</v>
      </c>
      <c r="R15" s="1" t="s">
        <v>11</v>
      </c>
      <c r="S15" s="17">
        <f t="shared" ref="S15:AF15" si="7">SUM(C30:C33)</f>
        <v>197</v>
      </c>
      <c r="T15" s="17">
        <f t="shared" si="7"/>
        <v>49</v>
      </c>
      <c r="U15" s="17">
        <f t="shared" si="7"/>
        <v>39</v>
      </c>
      <c r="V15" s="17">
        <f t="shared" si="7"/>
        <v>203</v>
      </c>
      <c r="W15" s="17">
        <f t="shared" si="7"/>
        <v>2</v>
      </c>
      <c r="X15" s="17">
        <f t="shared" si="7"/>
        <v>3</v>
      </c>
      <c r="Y15" s="17">
        <f t="shared" si="7"/>
        <v>38</v>
      </c>
      <c r="Z15" s="17">
        <f t="shared" si="7"/>
        <v>15</v>
      </c>
      <c r="AA15" s="17">
        <f t="shared" si="7"/>
        <v>6</v>
      </c>
      <c r="AB15" s="17">
        <f t="shared" si="7"/>
        <v>2</v>
      </c>
      <c r="AC15" s="17">
        <f t="shared" si="7"/>
        <v>810</v>
      </c>
      <c r="AD15" s="17">
        <f t="shared" si="7"/>
        <v>0</v>
      </c>
      <c r="AE15" s="31">
        <f t="shared" si="7"/>
        <v>554</v>
      </c>
      <c r="AF15" s="31">
        <f t="shared" si="7"/>
        <v>1364</v>
      </c>
    </row>
    <row r="16" spans="2:32" ht="23.1" customHeight="1" x14ac:dyDescent="0.25">
      <c r="B16" s="23" t="s">
        <v>43</v>
      </c>
      <c r="C16" s="50">
        <v>26</v>
      </c>
      <c r="D16" s="50">
        <v>19</v>
      </c>
      <c r="E16" s="50">
        <v>1</v>
      </c>
      <c r="F16" s="50">
        <v>60</v>
      </c>
      <c r="G16" s="50">
        <v>1</v>
      </c>
      <c r="H16" s="50">
        <v>0</v>
      </c>
      <c r="I16" s="50">
        <v>9</v>
      </c>
      <c r="J16" s="50">
        <v>4</v>
      </c>
      <c r="K16" s="50">
        <v>0</v>
      </c>
      <c r="L16" s="50">
        <v>2</v>
      </c>
      <c r="M16" s="50">
        <v>342</v>
      </c>
      <c r="N16" s="50">
        <v>0</v>
      </c>
      <c r="O16" s="15">
        <f t="shared" si="0"/>
        <v>122</v>
      </c>
      <c r="P16" s="15">
        <f t="shared" si="1"/>
        <v>464</v>
      </c>
      <c r="R16" s="1" t="s">
        <v>12</v>
      </c>
      <c r="S16" s="17">
        <f t="shared" ref="S16:AF16" si="8">SUM(C34:C37)</f>
        <v>141</v>
      </c>
      <c r="T16" s="17">
        <f t="shared" si="8"/>
        <v>47</v>
      </c>
      <c r="U16" s="17">
        <f t="shared" si="8"/>
        <v>32</v>
      </c>
      <c r="V16" s="17">
        <f t="shared" si="8"/>
        <v>221</v>
      </c>
      <c r="W16" s="17">
        <f t="shared" si="8"/>
        <v>5</v>
      </c>
      <c r="X16" s="17">
        <f t="shared" si="8"/>
        <v>0</v>
      </c>
      <c r="Y16" s="17">
        <f t="shared" si="8"/>
        <v>51</v>
      </c>
      <c r="Z16" s="17">
        <f t="shared" si="8"/>
        <v>13</v>
      </c>
      <c r="AA16" s="17">
        <f t="shared" si="8"/>
        <v>3</v>
      </c>
      <c r="AB16" s="17">
        <f t="shared" si="8"/>
        <v>0</v>
      </c>
      <c r="AC16" s="17">
        <f t="shared" si="8"/>
        <v>769</v>
      </c>
      <c r="AD16" s="17">
        <f t="shared" si="8"/>
        <v>0</v>
      </c>
      <c r="AE16" s="31">
        <f t="shared" si="8"/>
        <v>513</v>
      </c>
      <c r="AF16" s="31">
        <f t="shared" si="8"/>
        <v>1282</v>
      </c>
    </row>
    <row r="17" spans="2:32" ht="23.1" customHeight="1" x14ac:dyDescent="0.25">
      <c r="B17" s="23" t="s">
        <v>44</v>
      </c>
      <c r="C17" s="50">
        <v>18</v>
      </c>
      <c r="D17" s="50">
        <v>17</v>
      </c>
      <c r="E17" s="50">
        <v>5</v>
      </c>
      <c r="F17" s="50">
        <v>80</v>
      </c>
      <c r="G17" s="50">
        <v>1</v>
      </c>
      <c r="H17" s="50">
        <v>1</v>
      </c>
      <c r="I17" s="50">
        <v>9</v>
      </c>
      <c r="J17" s="50">
        <v>5</v>
      </c>
      <c r="K17" s="50">
        <v>4</v>
      </c>
      <c r="L17" s="50">
        <v>6</v>
      </c>
      <c r="M17" s="50">
        <v>350</v>
      </c>
      <c r="N17" s="50">
        <v>0</v>
      </c>
      <c r="O17" s="15">
        <f t="shared" si="0"/>
        <v>146</v>
      </c>
      <c r="P17" s="15">
        <f t="shared" si="1"/>
        <v>496</v>
      </c>
      <c r="R17" s="1" t="s">
        <v>13</v>
      </c>
      <c r="S17" s="17">
        <f t="shared" ref="S17:AF17" si="9">SUM(C38:C41)</f>
        <v>217</v>
      </c>
      <c r="T17" s="17">
        <f t="shared" si="9"/>
        <v>43</v>
      </c>
      <c r="U17" s="17">
        <f t="shared" si="9"/>
        <v>34</v>
      </c>
      <c r="V17" s="17">
        <f t="shared" si="9"/>
        <v>210</v>
      </c>
      <c r="W17" s="17">
        <f t="shared" si="9"/>
        <v>3</v>
      </c>
      <c r="X17" s="17">
        <f t="shared" si="9"/>
        <v>5</v>
      </c>
      <c r="Y17" s="17">
        <f t="shared" si="9"/>
        <v>81</v>
      </c>
      <c r="Z17" s="17">
        <f t="shared" si="9"/>
        <v>16</v>
      </c>
      <c r="AA17" s="17">
        <f t="shared" si="9"/>
        <v>6</v>
      </c>
      <c r="AB17" s="17">
        <f t="shared" si="9"/>
        <v>0</v>
      </c>
      <c r="AC17" s="17">
        <f t="shared" si="9"/>
        <v>523</v>
      </c>
      <c r="AD17" s="17">
        <f t="shared" si="9"/>
        <v>0</v>
      </c>
      <c r="AE17" s="31">
        <f t="shared" si="9"/>
        <v>615</v>
      </c>
      <c r="AF17" s="31">
        <f t="shared" si="9"/>
        <v>1138</v>
      </c>
    </row>
    <row r="18" spans="2:32" ht="23.1" customHeight="1" x14ac:dyDescent="0.25">
      <c r="B18" s="23" t="s">
        <v>45</v>
      </c>
      <c r="C18" s="50">
        <v>13</v>
      </c>
      <c r="D18" s="50">
        <v>13</v>
      </c>
      <c r="E18" s="50">
        <v>3</v>
      </c>
      <c r="F18" s="50">
        <v>47</v>
      </c>
      <c r="G18" s="50">
        <v>1</v>
      </c>
      <c r="H18" s="50">
        <v>0</v>
      </c>
      <c r="I18" s="50">
        <v>11</v>
      </c>
      <c r="J18" s="50">
        <v>4</v>
      </c>
      <c r="K18" s="50">
        <v>2</v>
      </c>
      <c r="L18" s="50">
        <v>1</v>
      </c>
      <c r="M18" s="50">
        <v>45</v>
      </c>
      <c r="N18" s="50">
        <v>0</v>
      </c>
      <c r="O18" s="15">
        <f t="shared" si="0"/>
        <v>95</v>
      </c>
      <c r="P18" s="15">
        <f t="shared" si="1"/>
        <v>140</v>
      </c>
      <c r="R18" s="1" t="s">
        <v>14</v>
      </c>
      <c r="S18" s="17">
        <f t="shared" ref="S18:AF18" si="10">SUM(C42:C45)</f>
        <v>198</v>
      </c>
      <c r="T18" s="17">
        <f t="shared" si="10"/>
        <v>37</v>
      </c>
      <c r="U18" s="17">
        <f t="shared" si="10"/>
        <v>24</v>
      </c>
      <c r="V18" s="17">
        <f t="shared" si="10"/>
        <v>142</v>
      </c>
      <c r="W18" s="17">
        <f t="shared" si="10"/>
        <v>1</v>
      </c>
      <c r="X18" s="17">
        <f t="shared" si="10"/>
        <v>3</v>
      </c>
      <c r="Y18" s="17">
        <f t="shared" si="10"/>
        <v>61</v>
      </c>
      <c r="Z18" s="17">
        <f t="shared" si="10"/>
        <v>5</v>
      </c>
      <c r="AA18" s="17">
        <f t="shared" si="10"/>
        <v>3</v>
      </c>
      <c r="AB18" s="17">
        <f t="shared" si="10"/>
        <v>0</v>
      </c>
      <c r="AC18" s="17">
        <f t="shared" si="10"/>
        <v>161</v>
      </c>
      <c r="AD18" s="17">
        <f t="shared" si="10"/>
        <v>0</v>
      </c>
      <c r="AE18" s="31">
        <f t="shared" si="10"/>
        <v>474</v>
      </c>
      <c r="AF18" s="31">
        <f t="shared" si="10"/>
        <v>635</v>
      </c>
    </row>
    <row r="19" spans="2:32" ht="23.1" customHeight="1" x14ac:dyDescent="0.25">
      <c r="B19" s="23" t="s">
        <v>46</v>
      </c>
      <c r="C19" s="50">
        <v>16</v>
      </c>
      <c r="D19" s="50">
        <v>8</v>
      </c>
      <c r="E19" s="50">
        <v>4</v>
      </c>
      <c r="F19" s="50">
        <v>60</v>
      </c>
      <c r="G19" s="50">
        <v>0</v>
      </c>
      <c r="H19" s="50">
        <v>1</v>
      </c>
      <c r="I19" s="50">
        <v>6</v>
      </c>
      <c r="J19" s="50">
        <v>6</v>
      </c>
      <c r="K19" s="50">
        <v>3</v>
      </c>
      <c r="L19" s="50">
        <v>0</v>
      </c>
      <c r="M19" s="50">
        <v>90</v>
      </c>
      <c r="N19" s="50">
        <v>0</v>
      </c>
      <c r="O19" s="15">
        <f t="shared" si="0"/>
        <v>104</v>
      </c>
      <c r="P19" s="15">
        <f t="shared" si="1"/>
        <v>194</v>
      </c>
      <c r="R19" s="1" t="s">
        <v>15</v>
      </c>
      <c r="S19" s="17">
        <f t="shared" ref="S19:AF19" si="11">SUM(C46:C49)</f>
        <v>238</v>
      </c>
      <c r="T19" s="17">
        <f t="shared" si="11"/>
        <v>83</v>
      </c>
      <c r="U19" s="17">
        <f t="shared" si="11"/>
        <v>33</v>
      </c>
      <c r="V19" s="17">
        <f t="shared" si="11"/>
        <v>210</v>
      </c>
      <c r="W19" s="17">
        <f t="shared" si="11"/>
        <v>2</v>
      </c>
      <c r="X19" s="17">
        <f t="shared" si="11"/>
        <v>7</v>
      </c>
      <c r="Y19" s="17">
        <f t="shared" si="11"/>
        <v>62</v>
      </c>
      <c r="Z19" s="17">
        <f t="shared" si="11"/>
        <v>3</v>
      </c>
      <c r="AA19" s="17">
        <f t="shared" si="11"/>
        <v>1</v>
      </c>
      <c r="AB19" s="17">
        <f t="shared" si="11"/>
        <v>1</v>
      </c>
      <c r="AC19" s="17">
        <f t="shared" si="11"/>
        <v>842</v>
      </c>
      <c r="AD19" s="17">
        <f t="shared" si="11"/>
        <v>0</v>
      </c>
      <c r="AE19" s="31">
        <f t="shared" si="11"/>
        <v>640</v>
      </c>
      <c r="AF19" s="31">
        <f t="shared" si="11"/>
        <v>1482</v>
      </c>
    </row>
    <row r="20" spans="2:32" ht="23.1" customHeight="1" x14ac:dyDescent="0.25">
      <c r="B20" s="23" t="s">
        <v>47</v>
      </c>
      <c r="C20" s="50">
        <v>18</v>
      </c>
      <c r="D20" s="50">
        <v>11</v>
      </c>
      <c r="E20" s="50">
        <v>8</v>
      </c>
      <c r="F20" s="50">
        <v>62</v>
      </c>
      <c r="G20" s="50">
        <v>0</v>
      </c>
      <c r="H20" s="50">
        <v>0</v>
      </c>
      <c r="I20" s="50">
        <v>7</v>
      </c>
      <c r="J20" s="50">
        <v>4</v>
      </c>
      <c r="K20" s="50">
        <v>1</v>
      </c>
      <c r="L20" s="50">
        <v>1</v>
      </c>
      <c r="M20" s="50">
        <v>135</v>
      </c>
      <c r="N20" s="50">
        <v>0</v>
      </c>
      <c r="O20" s="15">
        <f t="shared" si="0"/>
        <v>112</v>
      </c>
      <c r="P20" s="15">
        <f t="shared" si="1"/>
        <v>247</v>
      </c>
      <c r="R20" s="1" t="s">
        <v>16</v>
      </c>
      <c r="S20" s="17">
        <f t="shared" ref="S20:AF20" si="12">SUM(C50:C53)</f>
        <v>296</v>
      </c>
      <c r="T20" s="17">
        <f t="shared" si="12"/>
        <v>75</v>
      </c>
      <c r="U20" s="17">
        <f t="shared" si="12"/>
        <v>35</v>
      </c>
      <c r="V20" s="17">
        <f t="shared" si="12"/>
        <v>200</v>
      </c>
      <c r="W20" s="17">
        <f t="shared" si="12"/>
        <v>3</v>
      </c>
      <c r="X20" s="17">
        <f t="shared" si="12"/>
        <v>2</v>
      </c>
      <c r="Y20" s="17">
        <f t="shared" si="12"/>
        <v>74</v>
      </c>
      <c r="Z20" s="17">
        <f t="shared" si="12"/>
        <v>4</v>
      </c>
      <c r="AA20" s="17">
        <f t="shared" si="12"/>
        <v>5</v>
      </c>
      <c r="AB20" s="17">
        <f t="shared" si="12"/>
        <v>1</v>
      </c>
      <c r="AC20" s="17">
        <f t="shared" si="12"/>
        <v>1015</v>
      </c>
      <c r="AD20" s="17">
        <f t="shared" si="12"/>
        <v>0</v>
      </c>
      <c r="AE20" s="31">
        <f t="shared" si="12"/>
        <v>695</v>
      </c>
      <c r="AF20" s="31">
        <f t="shared" si="12"/>
        <v>1710</v>
      </c>
    </row>
    <row r="21" spans="2:32" ht="23.1" customHeight="1" x14ac:dyDescent="0.25">
      <c r="B21" s="23" t="s">
        <v>48</v>
      </c>
      <c r="C21" s="50">
        <v>20</v>
      </c>
      <c r="D21" s="50">
        <v>10</v>
      </c>
      <c r="E21" s="50">
        <v>5</v>
      </c>
      <c r="F21" s="50">
        <v>95</v>
      </c>
      <c r="G21" s="50">
        <v>0</v>
      </c>
      <c r="H21" s="50">
        <v>0</v>
      </c>
      <c r="I21" s="50">
        <v>6</v>
      </c>
      <c r="J21" s="50">
        <v>3</v>
      </c>
      <c r="K21" s="50">
        <v>3</v>
      </c>
      <c r="L21" s="50">
        <v>0</v>
      </c>
      <c r="M21" s="50">
        <v>0</v>
      </c>
      <c r="N21" s="50">
        <v>0</v>
      </c>
      <c r="O21" s="15">
        <f t="shared" si="0"/>
        <v>142</v>
      </c>
      <c r="P21" s="15">
        <f t="shared" si="1"/>
        <v>142</v>
      </c>
      <c r="R21" s="36" t="s">
        <v>20</v>
      </c>
      <c r="S21" s="34">
        <f t="shared" ref="S21:AF21" si="13">SUM(C54:C57)</f>
        <v>370</v>
      </c>
      <c r="T21" s="17">
        <f t="shared" si="13"/>
        <v>99</v>
      </c>
      <c r="U21" s="17">
        <f t="shared" si="13"/>
        <v>31</v>
      </c>
      <c r="V21" s="17">
        <f t="shared" si="13"/>
        <v>258</v>
      </c>
      <c r="W21" s="17">
        <f t="shared" si="13"/>
        <v>11</v>
      </c>
      <c r="X21" s="17">
        <f t="shared" si="13"/>
        <v>7</v>
      </c>
      <c r="Y21" s="17">
        <f t="shared" si="13"/>
        <v>59</v>
      </c>
      <c r="Z21" s="17">
        <f t="shared" si="13"/>
        <v>2</v>
      </c>
      <c r="AA21" s="17">
        <f t="shared" si="13"/>
        <v>6</v>
      </c>
      <c r="AB21" s="17">
        <f t="shared" si="13"/>
        <v>1</v>
      </c>
      <c r="AC21" s="17">
        <f t="shared" si="13"/>
        <v>1235</v>
      </c>
      <c r="AD21" s="17">
        <f t="shared" si="13"/>
        <v>0</v>
      </c>
      <c r="AE21" s="31">
        <f t="shared" si="13"/>
        <v>844</v>
      </c>
      <c r="AF21" s="31">
        <f t="shared" si="13"/>
        <v>2079</v>
      </c>
    </row>
    <row r="22" spans="2:32" ht="23.1" customHeight="1" x14ac:dyDescent="0.25">
      <c r="B22" s="23" t="s">
        <v>49</v>
      </c>
      <c r="C22" s="50">
        <v>39</v>
      </c>
      <c r="D22" s="50">
        <v>25</v>
      </c>
      <c r="E22" s="50">
        <v>19</v>
      </c>
      <c r="F22" s="50">
        <v>135</v>
      </c>
      <c r="G22" s="50">
        <v>1</v>
      </c>
      <c r="H22" s="50">
        <v>1</v>
      </c>
      <c r="I22" s="50">
        <v>1</v>
      </c>
      <c r="J22" s="50">
        <v>2</v>
      </c>
      <c r="K22" s="50">
        <v>4</v>
      </c>
      <c r="L22" s="50">
        <v>1</v>
      </c>
      <c r="M22" s="50">
        <v>130</v>
      </c>
      <c r="N22" s="50">
        <v>0</v>
      </c>
      <c r="O22" s="15">
        <f t="shared" si="0"/>
        <v>228</v>
      </c>
      <c r="P22" s="15">
        <f t="shared" si="1"/>
        <v>358</v>
      </c>
      <c r="R22" s="38" t="s">
        <v>90</v>
      </c>
      <c r="S22" s="39">
        <f>MAX(S10:S12)</f>
        <v>91</v>
      </c>
      <c r="T22" s="39">
        <f t="shared" ref="T22:AF22" si="14">MAX(T10:T12)</f>
        <v>46</v>
      </c>
      <c r="U22" s="39">
        <f t="shared" si="14"/>
        <v>20</v>
      </c>
      <c r="V22" s="39">
        <f t="shared" si="14"/>
        <v>264</v>
      </c>
      <c r="W22" s="39">
        <f t="shared" si="14"/>
        <v>4</v>
      </c>
      <c r="X22" s="39">
        <f t="shared" si="14"/>
        <v>6</v>
      </c>
      <c r="Y22" s="39">
        <f t="shared" si="14"/>
        <v>30</v>
      </c>
      <c r="Z22" s="39">
        <f t="shared" si="14"/>
        <v>17</v>
      </c>
      <c r="AA22" s="39">
        <f t="shared" si="14"/>
        <v>9</v>
      </c>
      <c r="AB22" s="39">
        <f t="shared" si="14"/>
        <v>9</v>
      </c>
      <c r="AC22" s="39">
        <f t="shared" si="14"/>
        <v>1276</v>
      </c>
      <c r="AD22" s="39">
        <f t="shared" si="14"/>
        <v>0</v>
      </c>
      <c r="AE22" s="40">
        <f t="shared" si="14"/>
        <v>453</v>
      </c>
      <c r="AF22" s="40">
        <f t="shared" si="14"/>
        <v>1663</v>
      </c>
    </row>
    <row r="23" spans="2:32" ht="23.1" customHeight="1" x14ac:dyDescent="0.25">
      <c r="B23" s="23" t="s">
        <v>50</v>
      </c>
      <c r="C23" s="50">
        <v>41</v>
      </c>
      <c r="D23" s="50">
        <v>36</v>
      </c>
      <c r="E23" s="50">
        <v>10</v>
      </c>
      <c r="F23" s="50">
        <v>75</v>
      </c>
      <c r="G23" s="50">
        <v>1</v>
      </c>
      <c r="H23" s="50">
        <v>0</v>
      </c>
      <c r="I23" s="50">
        <v>11</v>
      </c>
      <c r="J23" s="50">
        <v>9</v>
      </c>
      <c r="K23" s="50">
        <v>5</v>
      </c>
      <c r="L23" s="50">
        <v>0</v>
      </c>
      <c r="M23" s="50">
        <v>230</v>
      </c>
      <c r="N23" s="50">
        <v>0</v>
      </c>
      <c r="O23" s="15">
        <f t="shared" si="0"/>
        <v>188</v>
      </c>
      <c r="P23" s="15">
        <f t="shared" si="1"/>
        <v>418</v>
      </c>
      <c r="R23" s="38" t="s">
        <v>91</v>
      </c>
      <c r="S23" s="39">
        <f>MAX(S13:S18)</f>
        <v>217</v>
      </c>
      <c r="T23" s="39">
        <f t="shared" ref="T23:AF23" si="15">MAX(T13:T18)</f>
        <v>108</v>
      </c>
      <c r="U23" s="39">
        <f t="shared" si="15"/>
        <v>53</v>
      </c>
      <c r="V23" s="39">
        <f t="shared" si="15"/>
        <v>324</v>
      </c>
      <c r="W23" s="39">
        <f t="shared" si="15"/>
        <v>5</v>
      </c>
      <c r="X23" s="39">
        <f t="shared" si="15"/>
        <v>5</v>
      </c>
      <c r="Y23" s="39">
        <f t="shared" si="15"/>
        <v>81</v>
      </c>
      <c r="Z23" s="39">
        <f t="shared" si="15"/>
        <v>21</v>
      </c>
      <c r="AA23" s="39">
        <f t="shared" si="15"/>
        <v>11</v>
      </c>
      <c r="AB23" s="39">
        <f t="shared" si="15"/>
        <v>2</v>
      </c>
      <c r="AC23" s="39">
        <f t="shared" si="15"/>
        <v>887</v>
      </c>
      <c r="AD23" s="39">
        <f t="shared" si="15"/>
        <v>0</v>
      </c>
      <c r="AE23" s="40">
        <f t="shared" si="15"/>
        <v>730</v>
      </c>
      <c r="AF23" s="40">
        <f t="shared" si="15"/>
        <v>1492</v>
      </c>
    </row>
    <row r="24" spans="2:32" ht="23.1" customHeight="1" x14ac:dyDescent="0.25">
      <c r="B24" s="23" t="s">
        <v>51</v>
      </c>
      <c r="C24" s="50">
        <v>44</v>
      </c>
      <c r="D24" s="50">
        <v>26</v>
      </c>
      <c r="E24" s="50">
        <v>3</v>
      </c>
      <c r="F24" s="50">
        <v>61</v>
      </c>
      <c r="G24" s="50">
        <v>0</v>
      </c>
      <c r="H24" s="50">
        <v>0</v>
      </c>
      <c r="I24" s="50">
        <v>6</v>
      </c>
      <c r="J24" s="50">
        <v>3</v>
      </c>
      <c r="K24" s="50">
        <v>0</v>
      </c>
      <c r="L24" s="50">
        <v>0</v>
      </c>
      <c r="M24" s="50">
        <v>182</v>
      </c>
      <c r="N24" s="50">
        <v>0</v>
      </c>
      <c r="O24" s="15">
        <f t="shared" si="0"/>
        <v>143</v>
      </c>
      <c r="P24" s="15">
        <f t="shared" si="1"/>
        <v>325</v>
      </c>
      <c r="R24" s="38" t="s">
        <v>92</v>
      </c>
      <c r="S24" s="39">
        <f>MAX(S19:S21)</f>
        <v>370</v>
      </c>
      <c r="T24" s="39">
        <f t="shared" ref="T24:AF24" si="16">MAX(T19:T21)</f>
        <v>99</v>
      </c>
      <c r="U24" s="39">
        <f t="shared" si="16"/>
        <v>35</v>
      </c>
      <c r="V24" s="39">
        <f t="shared" si="16"/>
        <v>258</v>
      </c>
      <c r="W24" s="39">
        <f t="shared" si="16"/>
        <v>11</v>
      </c>
      <c r="X24" s="39">
        <f t="shared" si="16"/>
        <v>7</v>
      </c>
      <c r="Y24" s="39">
        <f t="shared" si="16"/>
        <v>74</v>
      </c>
      <c r="Z24" s="39">
        <f t="shared" si="16"/>
        <v>4</v>
      </c>
      <c r="AA24" s="39">
        <f t="shared" si="16"/>
        <v>6</v>
      </c>
      <c r="AB24" s="39">
        <f t="shared" si="16"/>
        <v>1</v>
      </c>
      <c r="AC24" s="39">
        <f t="shared" si="16"/>
        <v>1235</v>
      </c>
      <c r="AD24" s="39">
        <f t="shared" si="16"/>
        <v>0</v>
      </c>
      <c r="AE24" s="40">
        <f t="shared" si="16"/>
        <v>844</v>
      </c>
      <c r="AF24" s="40">
        <f t="shared" si="16"/>
        <v>2079</v>
      </c>
    </row>
    <row r="25" spans="2:32" ht="23.1" customHeight="1" x14ac:dyDescent="0.25">
      <c r="B25" s="23" t="s">
        <v>52</v>
      </c>
      <c r="C25" s="50">
        <v>41</v>
      </c>
      <c r="D25" s="50">
        <v>21</v>
      </c>
      <c r="E25" s="50">
        <v>21</v>
      </c>
      <c r="F25" s="50">
        <v>53</v>
      </c>
      <c r="G25" s="50">
        <v>2</v>
      </c>
      <c r="H25" s="50">
        <v>0</v>
      </c>
      <c r="I25" s="50">
        <v>27</v>
      </c>
      <c r="J25" s="50">
        <v>4</v>
      </c>
      <c r="K25" s="50">
        <v>2</v>
      </c>
      <c r="L25" s="50">
        <v>0</v>
      </c>
      <c r="M25" s="50">
        <v>220</v>
      </c>
      <c r="N25" s="50">
        <v>0</v>
      </c>
      <c r="O25" s="15">
        <f t="shared" si="0"/>
        <v>171</v>
      </c>
      <c r="P25" s="15">
        <f t="shared" si="1"/>
        <v>391</v>
      </c>
      <c r="R25" s="37" t="s">
        <v>85</v>
      </c>
      <c r="S25" s="35">
        <f t="shared" ref="S25:AF25" si="17">SUM(S10:S12)</f>
        <v>227</v>
      </c>
      <c r="T25" s="16">
        <f t="shared" si="17"/>
        <v>119</v>
      </c>
      <c r="U25" s="16">
        <f t="shared" si="17"/>
        <v>39</v>
      </c>
      <c r="V25" s="16">
        <f t="shared" si="17"/>
        <v>675</v>
      </c>
      <c r="W25" s="16">
        <f t="shared" si="17"/>
        <v>8</v>
      </c>
      <c r="X25" s="16">
        <f t="shared" si="17"/>
        <v>10</v>
      </c>
      <c r="Y25" s="16">
        <f t="shared" si="17"/>
        <v>72</v>
      </c>
      <c r="Z25" s="16">
        <f t="shared" si="17"/>
        <v>40</v>
      </c>
      <c r="AA25" s="16">
        <f t="shared" si="17"/>
        <v>16</v>
      </c>
      <c r="AB25" s="16">
        <f t="shared" si="17"/>
        <v>15</v>
      </c>
      <c r="AC25" s="16">
        <f t="shared" si="17"/>
        <v>2635</v>
      </c>
      <c r="AD25" s="16">
        <f t="shared" si="17"/>
        <v>0</v>
      </c>
      <c r="AE25" s="32">
        <f t="shared" si="17"/>
        <v>1221</v>
      </c>
      <c r="AF25" s="32">
        <f t="shared" si="17"/>
        <v>3856</v>
      </c>
    </row>
    <row r="26" spans="2:32" ht="23.1" customHeight="1" x14ac:dyDescent="0.25">
      <c r="B26" s="23" t="s">
        <v>53</v>
      </c>
      <c r="C26" s="50">
        <v>24</v>
      </c>
      <c r="D26" s="50">
        <v>11</v>
      </c>
      <c r="E26" s="50">
        <v>8</v>
      </c>
      <c r="F26" s="50">
        <v>58</v>
      </c>
      <c r="G26" s="50">
        <v>0</v>
      </c>
      <c r="H26" s="50">
        <v>0</v>
      </c>
      <c r="I26" s="50">
        <v>25</v>
      </c>
      <c r="J26" s="50">
        <v>3</v>
      </c>
      <c r="K26" s="50">
        <v>0</v>
      </c>
      <c r="L26" s="50">
        <v>0</v>
      </c>
      <c r="M26" s="50">
        <v>155</v>
      </c>
      <c r="N26" s="50">
        <v>0</v>
      </c>
      <c r="O26" s="15">
        <f t="shared" si="0"/>
        <v>129</v>
      </c>
      <c r="P26" s="15">
        <f t="shared" si="1"/>
        <v>284</v>
      </c>
      <c r="R26" s="28" t="s">
        <v>86</v>
      </c>
      <c r="S26" s="16">
        <f t="shared" ref="S26:AF26" si="18">SUM(S13:S18)</f>
        <v>1077</v>
      </c>
      <c r="T26" s="16">
        <f t="shared" si="18"/>
        <v>337</v>
      </c>
      <c r="U26" s="16">
        <f t="shared" si="18"/>
        <v>212</v>
      </c>
      <c r="V26" s="16">
        <f t="shared" si="18"/>
        <v>1306</v>
      </c>
      <c r="W26" s="16">
        <f t="shared" si="18"/>
        <v>17</v>
      </c>
      <c r="X26" s="16">
        <f t="shared" si="18"/>
        <v>15</v>
      </c>
      <c r="Y26" s="16">
        <f t="shared" si="18"/>
        <v>335</v>
      </c>
      <c r="Z26" s="16">
        <f t="shared" si="18"/>
        <v>88</v>
      </c>
      <c r="AA26" s="16">
        <f t="shared" si="18"/>
        <v>32</v>
      </c>
      <c r="AB26" s="16">
        <f t="shared" si="18"/>
        <v>3</v>
      </c>
      <c r="AC26" s="16">
        <f t="shared" si="18"/>
        <v>3912</v>
      </c>
      <c r="AD26" s="16">
        <f t="shared" si="18"/>
        <v>0</v>
      </c>
      <c r="AE26" s="32">
        <f t="shared" si="18"/>
        <v>3422</v>
      </c>
      <c r="AF26" s="32">
        <f t="shared" si="18"/>
        <v>7334</v>
      </c>
    </row>
    <row r="27" spans="2:32" ht="23.1" customHeight="1" x14ac:dyDescent="0.25">
      <c r="B27" s="23" t="s">
        <v>54</v>
      </c>
      <c r="C27" s="50">
        <v>46</v>
      </c>
      <c r="D27" s="50">
        <v>11</v>
      </c>
      <c r="E27" s="50">
        <v>10</v>
      </c>
      <c r="F27" s="50">
        <v>43</v>
      </c>
      <c r="G27" s="50">
        <v>0</v>
      </c>
      <c r="H27" s="50">
        <v>0</v>
      </c>
      <c r="I27" s="50">
        <v>6</v>
      </c>
      <c r="J27" s="50">
        <v>4</v>
      </c>
      <c r="K27" s="50">
        <v>0</v>
      </c>
      <c r="L27" s="50">
        <v>0</v>
      </c>
      <c r="M27" s="50">
        <v>223</v>
      </c>
      <c r="N27" s="50">
        <v>0</v>
      </c>
      <c r="O27" s="15">
        <f t="shared" si="0"/>
        <v>120</v>
      </c>
      <c r="P27" s="15">
        <f t="shared" si="1"/>
        <v>343</v>
      </c>
      <c r="R27" s="29" t="s">
        <v>87</v>
      </c>
      <c r="S27" s="16">
        <f t="shared" ref="S27:AF27" si="19">SUM(S19:S21)</f>
        <v>904</v>
      </c>
      <c r="T27" s="16">
        <f t="shared" si="19"/>
        <v>257</v>
      </c>
      <c r="U27" s="16">
        <f t="shared" si="19"/>
        <v>99</v>
      </c>
      <c r="V27" s="16">
        <f t="shared" si="19"/>
        <v>668</v>
      </c>
      <c r="W27" s="16">
        <f t="shared" si="19"/>
        <v>16</v>
      </c>
      <c r="X27" s="16">
        <f t="shared" si="19"/>
        <v>16</v>
      </c>
      <c r="Y27" s="16">
        <f t="shared" si="19"/>
        <v>195</v>
      </c>
      <c r="Z27" s="16">
        <f t="shared" si="19"/>
        <v>9</v>
      </c>
      <c r="AA27" s="16">
        <f t="shared" si="19"/>
        <v>12</v>
      </c>
      <c r="AB27" s="16">
        <f t="shared" si="19"/>
        <v>3</v>
      </c>
      <c r="AC27" s="16">
        <f t="shared" si="19"/>
        <v>3092</v>
      </c>
      <c r="AD27" s="16">
        <f t="shared" si="19"/>
        <v>0</v>
      </c>
      <c r="AE27" s="32">
        <f t="shared" si="19"/>
        <v>2179</v>
      </c>
      <c r="AF27" s="32">
        <f t="shared" si="19"/>
        <v>5271</v>
      </c>
    </row>
    <row r="28" spans="2:32" ht="23.1" customHeight="1" x14ac:dyDescent="0.25">
      <c r="B28" s="23" t="s">
        <v>55</v>
      </c>
      <c r="C28" s="50">
        <v>45</v>
      </c>
      <c r="D28" s="50">
        <v>24</v>
      </c>
      <c r="E28" s="50">
        <v>8</v>
      </c>
      <c r="F28" s="50">
        <v>54</v>
      </c>
      <c r="G28" s="50">
        <v>1</v>
      </c>
      <c r="H28" s="50">
        <v>1</v>
      </c>
      <c r="I28" s="50">
        <v>8</v>
      </c>
      <c r="J28" s="50">
        <v>7</v>
      </c>
      <c r="K28" s="50">
        <v>1</v>
      </c>
      <c r="L28" s="50">
        <v>0</v>
      </c>
      <c r="M28" s="50">
        <v>260</v>
      </c>
      <c r="N28" s="50">
        <v>0</v>
      </c>
      <c r="O28" s="15">
        <f t="shared" si="0"/>
        <v>149</v>
      </c>
      <c r="P28" s="15">
        <f t="shared" si="1"/>
        <v>409</v>
      </c>
      <c r="R28" s="5" t="s">
        <v>17</v>
      </c>
      <c r="S28" s="16">
        <f t="shared" ref="S28:AF28" si="20">SUM(S10:S21)</f>
        <v>2208</v>
      </c>
      <c r="T28" s="16">
        <f t="shared" si="20"/>
        <v>713</v>
      </c>
      <c r="U28" s="16">
        <f t="shared" si="20"/>
        <v>350</v>
      </c>
      <c r="V28" s="16">
        <f t="shared" si="20"/>
        <v>2649</v>
      </c>
      <c r="W28" s="16">
        <f t="shared" si="20"/>
        <v>41</v>
      </c>
      <c r="X28" s="16">
        <f t="shared" si="20"/>
        <v>41</v>
      </c>
      <c r="Y28" s="16">
        <f t="shared" si="20"/>
        <v>602</v>
      </c>
      <c r="Z28" s="16">
        <f t="shared" si="20"/>
        <v>137</v>
      </c>
      <c r="AA28" s="16">
        <f t="shared" si="20"/>
        <v>60</v>
      </c>
      <c r="AB28" s="16">
        <f t="shared" si="20"/>
        <v>21</v>
      </c>
      <c r="AC28" s="16">
        <f t="shared" si="20"/>
        <v>9639</v>
      </c>
      <c r="AD28" s="16">
        <f t="shared" si="20"/>
        <v>0</v>
      </c>
      <c r="AE28" s="32">
        <f t="shared" si="20"/>
        <v>6822</v>
      </c>
      <c r="AF28" s="32">
        <f t="shared" si="20"/>
        <v>16461</v>
      </c>
    </row>
    <row r="29" spans="2:32" ht="23.1" customHeight="1" x14ac:dyDescent="0.25">
      <c r="B29" s="23" t="s">
        <v>56</v>
      </c>
      <c r="C29" s="50">
        <v>44</v>
      </c>
      <c r="D29" s="50">
        <v>7</v>
      </c>
      <c r="E29" s="50">
        <v>4</v>
      </c>
      <c r="F29" s="50">
        <v>51</v>
      </c>
      <c r="G29" s="50">
        <v>1</v>
      </c>
      <c r="H29" s="50">
        <v>2</v>
      </c>
      <c r="I29" s="50">
        <v>20</v>
      </c>
      <c r="J29" s="50">
        <v>7</v>
      </c>
      <c r="K29" s="50">
        <v>2</v>
      </c>
      <c r="L29" s="50">
        <v>0</v>
      </c>
      <c r="M29" s="50">
        <v>249</v>
      </c>
      <c r="N29" s="50">
        <v>0</v>
      </c>
      <c r="O29" s="15">
        <f t="shared" si="0"/>
        <v>138</v>
      </c>
      <c r="P29" s="15">
        <f t="shared" si="1"/>
        <v>387</v>
      </c>
      <c r="R29"/>
      <c r="S29" s="20"/>
      <c r="T29" s="19"/>
    </row>
    <row r="30" spans="2:32" ht="23.1" customHeight="1" x14ac:dyDescent="0.25">
      <c r="B30" s="23" t="s">
        <v>57</v>
      </c>
      <c r="C30" s="50">
        <v>47</v>
      </c>
      <c r="D30" s="50">
        <v>10</v>
      </c>
      <c r="E30" s="50">
        <v>11</v>
      </c>
      <c r="F30" s="50">
        <v>49</v>
      </c>
      <c r="G30" s="50">
        <v>0</v>
      </c>
      <c r="H30" s="50">
        <v>0</v>
      </c>
      <c r="I30" s="50">
        <v>12</v>
      </c>
      <c r="J30" s="50">
        <v>6</v>
      </c>
      <c r="K30" s="50">
        <v>2</v>
      </c>
      <c r="L30" s="50">
        <v>2</v>
      </c>
      <c r="M30" s="50">
        <v>195</v>
      </c>
      <c r="N30" s="50">
        <v>0</v>
      </c>
      <c r="O30" s="15">
        <f t="shared" si="0"/>
        <v>139</v>
      </c>
      <c r="P30" s="15">
        <f t="shared" si="1"/>
        <v>334</v>
      </c>
    </row>
    <row r="31" spans="2:32" ht="23.1" customHeight="1" x14ac:dyDescent="0.25">
      <c r="B31" s="24" t="s">
        <v>58</v>
      </c>
      <c r="C31" s="50">
        <v>39</v>
      </c>
      <c r="D31" s="50">
        <v>11</v>
      </c>
      <c r="E31" s="50">
        <v>13</v>
      </c>
      <c r="F31" s="50">
        <v>51</v>
      </c>
      <c r="G31" s="50">
        <v>0</v>
      </c>
      <c r="H31" s="50">
        <v>2</v>
      </c>
      <c r="I31" s="50">
        <v>11</v>
      </c>
      <c r="J31" s="50">
        <v>3</v>
      </c>
      <c r="K31" s="50">
        <v>1</v>
      </c>
      <c r="L31" s="50">
        <v>0</v>
      </c>
      <c r="M31" s="50">
        <v>225</v>
      </c>
      <c r="N31" s="50">
        <v>0</v>
      </c>
      <c r="O31" s="15">
        <f t="shared" si="0"/>
        <v>131</v>
      </c>
      <c r="P31" s="15">
        <f t="shared" si="1"/>
        <v>356</v>
      </c>
    </row>
    <row r="32" spans="2:32" ht="23.1" customHeight="1" x14ac:dyDescent="0.25">
      <c r="B32" s="24" t="s">
        <v>59</v>
      </c>
      <c r="C32" s="50">
        <v>53</v>
      </c>
      <c r="D32" s="50">
        <v>17</v>
      </c>
      <c r="E32" s="50">
        <v>7</v>
      </c>
      <c r="F32" s="50">
        <v>52</v>
      </c>
      <c r="G32" s="50">
        <v>0</v>
      </c>
      <c r="H32" s="50">
        <v>1</v>
      </c>
      <c r="I32" s="50">
        <v>6</v>
      </c>
      <c r="J32" s="50">
        <v>4</v>
      </c>
      <c r="K32" s="50">
        <v>2</v>
      </c>
      <c r="L32" s="50">
        <v>0</v>
      </c>
      <c r="M32" s="50">
        <v>200</v>
      </c>
      <c r="N32" s="50">
        <v>0</v>
      </c>
      <c r="O32" s="15">
        <f t="shared" si="0"/>
        <v>142</v>
      </c>
      <c r="P32" s="15">
        <f t="shared" si="1"/>
        <v>342</v>
      </c>
    </row>
    <row r="33" spans="2:20" ht="23.1" customHeight="1" x14ac:dyDescent="0.25">
      <c r="B33" s="23" t="s">
        <v>60</v>
      </c>
      <c r="C33" s="50">
        <v>58</v>
      </c>
      <c r="D33" s="50">
        <v>11</v>
      </c>
      <c r="E33" s="50">
        <v>8</v>
      </c>
      <c r="F33" s="50">
        <v>51</v>
      </c>
      <c r="G33" s="50">
        <v>2</v>
      </c>
      <c r="H33" s="50">
        <v>0</v>
      </c>
      <c r="I33" s="50">
        <v>9</v>
      </c>
      <c r="J33" s="50">
        <v>2</v>
      </c>
      <c r="K33" s="50">
        <v>1</v>
      </c>
      <c r="L33" s="50">
        <v>0</v>
      </c>
      <c r="M33" s="50">
        <v>190</v>
      </c>
      <c r="N33" s="50">
        <v>0</v>
      </c>
      <c r="O33" s="15">
        <f t="shared" si="0"/>
        <v>142</v>
      </c>
      <c r="P33" s="15">
        <f t="shared" si="1"/>
        <v>332</v>
      </c>
    </row>
    <row r="34" spans="2:20" ht="23.1" customHeight="1" x14ac:dyDescent="0.25">
      <c r="B34" s="24" t="s">
        <v>61</v>
      </c>
      <c r="C34" s="50">
        <v>43</v>
      </c>
      <c r="D34" s="50">
        <v>13</v>
      </c>
      <c r="E34" s="50">
        <v>5</v>
      </c>
      <c r="F34" s="50">
        <v>65</v>
      </c>
      <c r="G34" s="50">
        <v>1</v>
      </c>
      <c r="H34" s="50">
        <v>0</v>
      </c>
      <c r="I34" s="50">
        <v>15</v>
      </c>
      <c r="J34" s="50">
        <v>2</v>
      </c>
      <c r="K34" s="50">
        <v>0</v>
      </c>
      <c r="L34" s="50">
        <v>0</v>
      </c>
      <c r="M34" s="50">
        <v>215</v>
      </c>
      <c r="N34" s="50">
        <v>0</v>
      </c>
      <c r="O34" s="15">
        <f t="shared" si="0"/>
        <v>144</v>
      </c>
      <c r="P34" s="15">
        <f t="shared" si="1"/>
        <v>359</v>
      </c>
    </row>
    <row r="35" spans="2:20" ht="23.1" customHeight="1" x14ac:dyDescent="0.25">
      <c r="B35" s="24" t="s">
        <v>62</v>
      </c>
      <c r="C35" s="50">
        <v>53</v>
      </c>
      <c r="D35" s="50">
        <v>8</v>
      </c>
      <c r="E35" s="50">
        <v>12</v>
      </c>
      <c r="F35" s="50">
        <v>52</v>
      </c>
      <c r="G35" s="50">
        <v>2</v>
      </c>
      <c r="H35" s="50">
        <v>0</v>
      </c>
      <c r="I35" s="50">
        <v>12</v>
      </c>
      <c r="J35" s="50">
        <v>1</v>
      </c>
      <c r="K35" s="50">
        <v>1</v>
      </c>
      <c r="L35" s="50">
        <v>0</v>
      </c>
      <c r="M35" s="50">
        <v>220</v>
      </c>
      <c r="N35" s="50">
        <v>0</v>
      </c>
      <c r="O35" s="15">
        <f t="shared" si="0"/>
        <v>141</v>
      </c>
      <c r="P35" s="15">
        <f t="shared" si="1"/>
        <v>361</v>
      </c>
    </row>
    <row r="36" spans="2:20" ht="23.1" customHeight="1" x14ac:dyDescent="0.25">
      <c r="B36" s="24" t="s">
        <v>63</v>
      </c>
      <c r="C36" s="50">
        <v>29</v>
      </c>
      <c r="D36" s="50">
        <v>11</v>
      </c>
      <c r="E36" s="50">
        <v>6</v>
      </c>
      <c r="F36" s="50">
        <v>53</v>
      </c>
      <c r="G36" s="50">
        <v>2</v>
      </c>
      <c r="H36" s="50">
        <v>0</v>
      </c>
      <c r="I36" s="50">
        <v>16</v>
      </c>
      <c r="J36" s="50">
        <v>2</v>
      </c>
      <c r="K36" s="50">
        <v>1</v>
      </c>
      <c r="L36" s="50">
        <v>0</v>
      </c>
      <c r="M36" s="50">
        <v>204</v>
      </c>
      <c r="N36" s="50">
        <v>0</v>
      </c>
      <c r="O36" s="15">
        <f t="shared" si="0"/>
        <v>120</v>
      </c>
      <c r="P36" s="15">
        <f t="shared" si="1"/>
        <v>324</v>
      </c>
    </row>
    <row r="37" spans="2:20" ht="23.1" customHeight="1" x14ac:dyDescent="0.25">
      <c r="B37" s="23" t="s">
        <v>64</v>
      </c>
      <c r="C37" s="50">
        <v>16</v>
      </c>
      <c r="D37" s="50">
        <v>15</v>
      </c>
      <c r="E37" s="50">
        <v>9</v>
      </c>
      <c r="F37" s="50">
        <v>51</v>
      </c>
      <c r="G37" s="50">
        <v>0</v>
      </c>
      <c r="H37" s="50">
        <v>0</v>
      </c>
      <c r="I37" s="50">
        <v>8</v>
      </c>
      <c r="J37" s="50">
        <v>8</v>
      </c>
      <c r="K37" s="50">
        <v>1</v>
      </c>
      <c r="L37" s="50">
        <v>0</v>
      </c>
      <c r="M37" s="50">
        <v>130</v>
      </c>
      <c r="N37" s="50">
        <v>0</v>
      </c>
      <c r="O37" s="15">
        <f t="shared" si="0"/>
        <v>108</v>
      </c>
      <c r="P37" s="15">
        <f t="shared" si="1"/>
        <v>238</v>
      </c>
    </row>
    <row r="38" spans="2:20" ht="23.1" customHeight="1" x14ac:dyDescent="0.25">
      <c r="B38" s="24" t="s">
        <v>65</v>
      </c>
      <c r="C38" s="50">
        <v>40</v>
      </c>
      <c r="D38" s="50">
        <v>7</v>
      </c>
      <c r="E38" s="50">
        <v>6</v>
      </c>
      <c r="F38" s="50">
        <v>35</v>
      </c>
      <c r="G38" s="50">
        <v>0</v>
      </c>
      <c r="H38" s="50">
        <v>1</v>
      </c>
      <c r="I38" s="50">
        <v>19</v>
      </c>
      <c r="J38" s="50">
        <v>4</v>
      </c>
      <c r="K38" s="50">
        <v>3</v>
      </c>
      <c r="L38" s="50">
        <v>0</v>
      </c>
      <c r="M38" s="50">
        <v>95</v>
      </c>
      <c r="N38" s="50">
        <v>0</v>
      </c>
      <c r="O38" s="15">
        <f t="shared" si="0"/>
        <v>115</v>
      </c>
      <c r="P38" s="15">
        <f t="shared" si="1"/>
        <v>210</v>
      </c>
    </row>
    <row r="39" spans="2:20" ht="23.1" customHeight="1" x14ac:dyDescent="0.25">
      <c r="B39" s="24" t="s">
        <v>66</v>
      </c>
      <c r="C39" s="50">
        <v>67</v>
      </c>
      <c r="D39" s="50">
        <v>9</v>
      </c>
      <c r="E39" s="50">
        <v>17</v>
      </c>
      <c r="F39" s="50">
        <v>70</v>
      </c>
      <c r="G39" s="50">
        <v>1</v>
      </c>
      <c r="H39" s="50">
        <v>2</v>
      </c>
      <c r="I39" s="50">
        <v>25</v>
      </c>
      <c r="J39" s="50">
        <v>5</v>
      </c>
      <c r="K39" s="50">
        <v>3</v>
      </c>
      <c r="L39" s="50">
        <v>0</v>
      </c>
      <c r="M39" s="50">
        <v>148</v>
      </c>
      <c r="N39" s="50">
        <v>0</v>
      </c>
      <c r="O39" s="15">
        <f t="shared" si="0"/>
        <v>199</v>
      </c>
      <c r="P39" s="15">
        <f t="shared" si="1"/>
        <v>347</v>
      </c>
    </row>
    <row r="40" spans="2:20" ht="23.1" customHeight="1" x14ac:dyDescent="0.25">
      <c r="B40" s="24" t="s">
        <v>67</v>
      </c>
      <c r="C40" s="50">
        <v>53</v>
      </c>
      <c r="D40" s="50">
        <v>15</v>
      </c>
      <c r="E40" s="50">
        <v>4</v>
      </c>
      <c r="F40" s="50">
        <v>50</v>
      </c>
      <c r="G40" s="50">
        <v>2</v>
      </c>
      <c r="H40" s="50">
        <v>1</v>
      </c>
      <c r="I40" s="50">
        <v>16</v>
      </c>
      <c r="J40" s="50">
        <v>1</v>
      </c>
      <c r="K40" s="50">
        <v>0</v>
      </c>
      <c r="L40" s="50">
        <v>0</v>
      </c>
      <c r="M40" s="50">
        <v>170</v>
      </c>
      <c r="N40" s="50">
        <v>0</v>
      </c>
      <c r="O40" s="15">
        <f t="shared" si="0"/>
        <v>142</v>
      </c>
      <c r="P40" s="15">
        <f t="shared" si="1"/>
        <v>312</v>
      </c>
    </row>
    <row r="41" spans="2:20" ht="23.1" customHeight="1" x14ac:dyDescent="0.25">
      <c r="B41" s="23" t="s">
        <v>68</v>
      </c>
      <c r="C41" s="50">
        <v>57</v>
      </c>
      <c r="D41" s="50">
        <v>12</v>
      </c>
      <c r="E41" s="50">
        <v>7</v>
      </c>
      <c r="F41" s="50">
        <v>55</v>
      </c>
      <c r="G41" s="50">
        <v>0</v>
      </c>
      <c r="H41" s="50">
        <v>1</v>
      </c>
      <c r="I41" s="50">
        <v>21</v>
      </c>
      <c r="J41" s="50">
        <v>6</v>
      </c>
      <c r="K41" s="50">
        <v>0</v>
      </c>
      <c r="L41" s="50">
        <v>0</v>
      </c>
      <c r="M41" s="50">
        <v>110</v>
      </c>
      <c r="N41" s="50">
        <v>0</v>
      </c>
      <c r="O41" s="15">
        <f t="shared" si="0"/>
        <v>159</v>
      </c>
      <c r="P41" s="15">
        <f t="shared" si="1"/>
        <v>269</v>
      </c>
    </row>
    <row r="42" spans="2:20" ht="23.1" customHeight="1" x14ac:dyDescent="0.25">
      <c r="B42" s="24" t="s">
        <v>69</v>
      </c>
      <c r="C42" s="50">
        <v>61</v>
      </c>
      <c r="D42" s="50">
        <v>17</v>
      </c>
      <c r="E42" s="50">
        <v>9</v>
      </c>
      <c r="F42" s="50">
        <v>55</v>
      </c>
      <c r="G42" s="50">
        <v>0</v>
      </c>
      <c r="H42" s="50">
        <v>1</v>
      </c>
      <c r="I42" s="50">
        <v>20</v>
      </c>
      <c r="J42" s="50">
        <v>1</v>
      </c>
      <c r="K42" s="50">
        <v>2</v>
      </c>
      <c r="L42" s="50">
        <v>0</v>
      </c>
      <c r="M42" s="50">
        <v>1</v>
      </c>
      <c r="N42" s="50">
        <v>0</v>
      </c>
      <c r="O42" s="15">
        <f t="shared" si="0"/>
        <v>166</v>
      </c>
      <c r="P42" s="15">
        <f t="shared" si="1"/>
        <v>167</v>
      </c>
    </row>
    <row r="43" spans="2:20" ht="23.1" customHeight="1" x14ac:dyDescent="0.25">
      <c r="B43" s="23" t="s">
        <v>70</v>
      </c>
      <c r="C43" s="50">
        <v>54</v>
      </c>
      <c r="D43" s="50">
        <v>4</v>
      </c>
      <c r="E43" s="50">
        <v>7</v>
      </c>
      <c r="F43" s="50">
        <v>15</v>
      </c>
      <c r="G43" s="50">
        <v>0</v>
      </c>
      <c r="H43" s="50">
        <v>0</v>
      </c>
      <c r="I43" s="50">
        <v>14</v>
      </c>
      <c r="J43" s="50">
        <v>3</v>
      </c>
      <c r="K43" s="50">
        <v>1</v>
      </c>
      <c r="L43" s="50">
        <v>0</v>
      </c>
      <c r="M43" s="50">
        <v>9</v>
      </c>
      <c r="N43" s="50">
        <v>0</v>
      </c>
      <c r="O43" s="15">
        <f t="shared" si="0"/>
        <v>98</v>
      </c>
      <c r="P43" s="15">
        <f t="shared" si="1"/>
        <v>107</v>
      </c>
    </row>
    <row r="44" spans="2:20" ht="23.1" customHeight="1" x14ac:dyDescent="0.25">
      <c r="B44" s="25" t="s">
        <v>71</v>
      </c>
      <c r="C44" s="50">
        <v>43</v>
      </c>
      <c r="D44" s="50">
        <v>8</v>
      </c>
      <c r="E44" s="50">
        <v>4</v>
      </c>
      <c r="F44" s="50">
        <v>35</v>
      </c>
      <c r="G44" s="50">
        <v>1</v>
      </c>
      <c r="H44" s="50">
        <v>0</v>
      </c>
      <c r="I44" s="50">
        <v>14</v>
      </c>
      <c r="J44" s="50">
        <v>0</v>
      </c>
      <c r="K44" s="50">
        <v>0</v>
      </c>
      <c r="L44" s="50">
        <v>0</v>
      </c>
      <c r="M44" s="50">
        <v>28</v>
      </c>
      <c r="N44" s="50">
        <v>0</v>
      </c>
      <c r="O44" s="15">
        <f t="shared" si="0"/>
        <v>105</v>
      </c>
      <c r="P44" s="15">
        <f t="shared" si="1"/>
        <v>133</v>
      </c>
    </row>
    <row r="45" spans="2:20" ht="23.1" customHeight="1" x14ac:dyDescent="0.25">
      <c r="B45" s="23" t="s">
        <v>72</v>
      </c>
      <c r="C45" s="50">
        <v>40</v>
      </c>
      <c r="D45" s="50">
        <v>8</v>
      </c>
      <c r="E45" s="50">
        <v>4</v>
      </c>
      <c r="F45" s="50">
        <v>37</v>
      </c>
      <c r="G45" s="50">
        <v>0</v>
      </c>
      <c r="H45" s="50">
        <v>2</v>
      </c>
      <c r="I45" s="50">
        <v>13</v>
      </c>
      <c r="J45" s="50">
        <v>1</v>
      </c>
      <c r="K45" s="50">
        <v>0</v>
      </c>
      <c r="L45" s="50">
        <v>0</v>
      </c>
      <c r="M45" s="50">
        <v>123</v>
      </c>
      <c r="N45" s="50">
        <v>0</v>
      </c>
      <c r="O45" s="15">
        <f t="shared" si="0"/>
        <v>105</v>
      </c>
      <c r="P45" s="15">
        <f t="shared" si="1"/>
        <v>228</v>
      </c>
    </row>
    <row r="46" spans="2:20" ht="23.1" customHeight="1" x14ac:dyDescent="0.25">
      <c r="B46" s="24" t="s">
        <v>73</v>
      </c>
      <c r="C46" s="50">
        <v>65</v>
      </c>
      <c r="D46" s="50">
        <v>12</v>
      </c>
      <c r="E46" s="50">
        <v>9</v>
      </c>
      <c r="F46" s="50">
        <v>47</v>
      </c>
      <c r="G46" s="50">
        <v>0</v>
      </c>
      <c r="H46" s="50">
        <v>2</v>
      </c>
      <c r="I46" s="50">
        <v>24</v>
      </c>
      <c r="J46" s="50">
        <v>0</v>
      </c>
      <c r="K46" s="50">
        <v>0</v>
      </c>
      <c r="L46" s="50">
        <v>0</v>
      </c>
      <c r="M46" s="50">
        <v>215</v>
      </c>
      <c r="N46" s="50">
        <v>0</v>
      </c>
      <c r="O46" s="15">
        <f t="shared" si="0"/>
        <v>159</v>
      </c>
      <c r="P46" s="15">
        <f t="shared" si="1"/>
        <v>374</v>
      </c>
      <c r="R46" s="8"/>
      <c r="T46"/>
    </row>
    <row r="47" spans="2:20" ht="23.1" customHeight="1" x14ac:dyDescent="0.25">
      <c r="B47" s="24" t="s">
        <v>74</v>
      </c>
      <c r="C47" s="50">
        <v>51</v>
      </c>
      <c r="D47" s="50">
        <v>18</v>
      </c>
      <c r="E47" s="50">
        <v>10</v>
      </c>
      <c r="F47" s="50">
        <v>52</v>
      </c>
      <c r="G47" s="50">
        <v>1</v>
      </c>
      <c r="H47" s="50">
        <v>1</v>
      </c>
      <c r="I47" s="50">
        <v>11</v>
      </c>
      <c r="J47" s="50">
        <v>1</v>
      </c>
      <c r="K47" s="50">
        <v>0</v>
      </c>
      <c r="L47" s="50">
        <v>1</v>
      </c>
      <c r="M47" s="50">
        <v>212</v>
      </c>
      <c r="N47" s="50">
        <v>0</v>
      </c>
      <c r="O47" s="15">
        <f t="shared" si="0"/>
        <v>146</v>
      </c>
      <c r="P47" s="15">
        <f t="shared" si="1"/>
        <v>358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29</v>
      </c>
      <c r="E48" s="50">
        <v>7</v>
      </c>
      <c r="F48" s="50">
        <v>54</v>
      </c>
      <c r="G48" s="50">
        <v>1</v>
      </c>
      <c r="H48" s="50">
        <v>2</v>
      </c>
      <c r="I48" s="50">
        <v>14</v>
      </c>
      <c r="J48" s="50">
        <v>1</v>
      </c>
      <c r="K48" s="50">
        <v>1</v>
      </c>
      <c r="L48" s="50">
        <v>0</v>
      </c>
      <c r="M48" s="50">
        <v>205</v>
      </c>
      <c r="N48" s="50">
        <v>0</v>
      </c>
      <c r="O48" s="15">
        <f t="shared" si="0"/>
        <v>159</v>
      </c>
      <c r="P48" s="15">
        <f t="shared" si="1"/>
        <v>364</v>
      </c>
      <c r="R48" s="8"/>
      <c r="T48"/>
    </row>
    <row r="49" spans="2:20" ht="23.1" customHeight="1" x14ac:dyDescent="0.25">
      <c r="B49" s="23" t="s">
        <v>76</v>
      </c>
      <c r="C49" s="50">
        <v>72</v>
      </c>
      <c r="D49" s="50">
        <v>24</v>
      </c>
      <c r="E49" s="50">
        <v>7</v>
      </c>
      <c r="F49" s="50">
        <v>57</v>
      </c>
      <c r="G49" s="50">
        <v>0</v>
      </c>
      <c r="H49" s="50">
        <v>2</v>
      </c>
      <c r="I49" s="50">
        <v>13</v>
      </c>
      <c r="J49" s="50">
        <v>1</v>
      </c>
      <c r="K49" s="50">
        <v>0</v>
      </c>
      <c r="L49" s="50">
        <v>0</v>
      </c>
      <c r="M49" s="50">
        <v>210</v>
      </c>
      <c r="N49" s="50">
        <v>0</v>
      </c>
      <c r="O49" s="15">
        <f t="shared" si="0"/>
        <v>176</v>
      </c>
      <c r="P49" s="15">
        <f t="shared" si="1"/>
        <v>386</v>
      </c>
      <c r="R49" s="8"/>
      <c r="T49"/>
    </row>
    <row r="50" spans="2:20" ht="23.1" customHeight="1" x14ac:dyDescent="0.25">
      <c r="B50" s="24" t="s">
        <v>77</v>
      </c>
      <c r="C50" s="50">
        <v>44</v>
      </c>
      <c r="D50" s="50">
        <v>19</v>
      </c>
      <c r="E50" s="50">
        <v>10</v>
      </c>
      <c r="F50" s="50">
        <v>42</v>
      </c>
      <c r="G50" s="50">
        <v>1</v>
      </c>
      <c r="H50" s="50">
        <v>0</v>
      </c>
      <c r="I50" s="50">
        <v>21</v>
      </c>
      <c r="J50" s="50">
        <v>1</v>
      </c>
      <c r="K50" s="50">
        <v>3</v>
      </c>
      <c r="L50" s="50">
        <v>0</v>
      </c>
      <c r="M50" s="50">
        <v>245</v>
      </c>
      <c r="N50" s="50">
        <v>0</v>
      </c>
      <c r="O50" s="15">
        <f t="shared" si="0"/>
        <v>141</v>
      </c>
      <c r="P50" s="15">
        <f t="shared" si="1"/>
        <v>386</v>
      </c>
      <c r="R50" s="8"/>
      <c r="T50"/>
    </row>
    <row r="51" spans="2:20" ht="23.1" customHeight="1" x14ac:dyDescent="0.25">
      <c r="B51" s="24" t="s">
        <v>78</v>
      </c>
      <c r="C51" s="50">
        <v>88</v>
      </c>
      <c r="D51" s="50">
        <v>17</v>
      </c>
      <c r="E51" s="50">
        <v>13</v>
      </c>
      <c r="F51" s="50">
        <v>55</v>
      </c>
      <c r="G51" s="50">
        <v>1</v>
      </c>
      <c r="H51" s="50">
        <v>1</v>
      </c>
      <c r="I51" s="50">
        <v>18</v>
      </c>
      <c r="J51" s="50">
        <v>3</v>
      </c>
      <c r="K51" s="50">
        <v>0</v>
      </c>
      <c r="L51" s="50">
        <v>0</v>
      </c>
      <c r="M51" s="50">
        <v>250</v>
      </c>
      <c r="N51" s="50">
        <v>0</v>
      </c>
      <c r="O51" s="15">
        <f t="shared" si="0"/>
        <v>196</v>
      </c>
      <c r="P51" s="15">
        <f t="shared" si="1"/>
        <v>446</v>
      </c>
      <c r="R51" s="8"/>
      <c r="T51"/>
    </row>
    <row r="52" spans="2:20" ht="23.1" customHeight="1" x14ac:dyDescent="0.25">
      <c r="B52" s="24" t="s">
        <v>79</v>
      </c>
      <c r="C52" s="50">
        <v>90</v>
      </c>
      <c r="D52" s="50">
        <v>22</v>
      </c>
      <c r="E52" s="50">
        <v>6</v>
      </c>
      <c r="F52" s="50">
        <v>37</v>
      </c>
      <c r="G52" s="50">
        <v>1</v>
      </c>
      <c r="H52" s="50">
        <v>1</v>
      </c>
      <c r="I52" s="50">
        <v>12</v>
      </c>
      <c r="J52" s="50">
        <v>0</v>
      </c>
      <c r="K52" s="50">
        <v>2</v>
      </c>
      <c r="L52" s="50">
        <v>0</v>
      </c>
      <c r="M52" s="50">
        <v>230</v>
      </c>
      <c r="N52" s="50">
        <v>0</v>
      </c>
      <c r="O52" s="15">
        <f t="shared" si="0"/>
        <v>171</v>
      </c>
      <c r="P52" s="15">
        <f t="shared" si="1"/>
        <v>401</v>
      </c>
      <c r="R52" s="8"/>
      <c r="T52"/>
    </row>
    <row r="53" spans="2:20" ht="23.1" customHeight="1" x14ac:dyDescent="0.25">
      <c r="B53" s="23" t="s">
        <v>80</v>
      </c>
      <c r="C53" s="50">
        <v>74</v>
      </c>
      <c r="D53" s="50">
        <v>17</v>
      </c>
      <c r="E53" s="50">
        <v>6</v>
      </c>
      <c r="F53" s="50">
        <v>66</v>
      </c>
      <c r="G53" s="50">
        <v>0</v>
      </c>
      <c r="H53" s="50">
        <v>0</v>
      </c>
      <c r="I53" s="50">
        <v>23</v>
      </c>
      <c r="J53" s="50">
        <v>0</v>
      </c>
      <c r="K53" s="50">
        <v>0</v>
      </c>
      <c r="L53" s="50">
        <v>1</v>
      </c>
      <c r="M53" s="50">
        <v>290</v>
      </c>
      <c r="N53" s="50">
        <v>0</v>
      </c>
      <c r="O53" s="15">
        <f t="shared" si="0"/>
        <v>187</v>
      </c>
      <c r="P53" s="15">
        <f t="shared" si="1"/>
        <v>477</v>
      </c>
      <c r="R53" s="8"/>
      <c r="T53"/>
    </row>
    <row r="54" spans="2:20" ht="23.1" customHeight="1" x14ac:dyDescent="0.25">
      <c r="B54" s="23" t="s">
        <v>81</v>
      </c>
      <c r="C54" s="50">
        <v>86</v>
      </c>
      <c r="D54" s="50">
        <v>15</v>
      </c>
      <c r="E54" s="50">
        <v>7</v>
      </c>
      <c r="F54" s="50">
        <v>48</v>
      </c>
      <c r="G54" s="50">
        <v>4</v>
      </c>
      <c r="H54" s="50">
        <v>0</v>
      </c>
      <c r="I54" s="50">
        <v>5</v>
      </c>
      <c r="J54" s="50">
        <v>0</v>
      </c>
      <c r="K54" s="50">
        <v>1</v>
      </c>
      <c r="L54" s="50">
        <v>1</v>
      </c>
      <c r="M54" s="50">
        <v>370</v>
      </c>
      <c r="N54" s="50">
        <v>0</v>
      </c>
      <c r="O54" s="15">
        <f t="shared" si="0"/>
        <v>167</v>
      </c>
      <c r="P54" s="15">
        <f t="shared" si="1"/>
        <v>537</v>
      </c>
      <c r="R54" s="8"/>
      <c r="T54"/>
    </row>
    <row r="55" spans="2:20" ht="23.1" customHeight="1" x14ac:dyDescent="0.25">
      <c r="B55" s="23" t="s">
        <v>82</v>
      </c>
      <c r="C55" s="50">
        <v>91</v>
      </c>
      <c r="D55" s="50">
        <v>17</v>
      </c>
      <c r="E55" s="50">
        <v>8</v>
      </c>
      <c r="F55" s="50">
        <v>35</v>
      </c>
      <c r="G55" s="50">
        <v>4</v>
      </c>
      <c r="H55" s="50">
        <v>2</v>
      </c>
      <c r="I55" s="50">
        <v>12</v>
      </c>
      <c r="J55" s="50">
        <v>0</v>
      </c>
      <c r="K55" s="50">
        <v>2</v>
      </c>
      <c r="L55" s="50">
        <v>0</v>
      </c>
      <c r="M55" s="50">
        <v>230</v>
      </c>
      <c r="N55" s="50">
        <v>0</v>
      </c>
      <c r="O55" s="15">
        <f t="shared" si="0"/>
        <v>171</v>
      </c>
      <c r="P55" s="15">
        <f t="shared" si="1"/>
        <v>401</v>
      </c>
      <c r="R55" s="8"/>
      <c r="T55"/>
    </row>
    <row r="56" spans="2:20" ht="23.1" customHeight="1" x14ac:dyDescent="0.25">
      <c r="B56" s="23" t="s">
        <v>83</v>
      </c>
      <c r="C56" s="50">
        <v>99</v>
      </c>
      <c r="D56" s="50">
        <v>30</v>
      </c>
      <c r="E56" s="50">
        <v>3</v>
      </c>
      <c r="F56" s="50">
        <v>100</v>
      </c>
      <c r="G56" s="50">
        <v>1</v>
      </c>
      <c r="H56" s="50">
        <v>5</v>
      </c>
      <c r="I56" s="50">
        <v>25</v>
      </c>
      <c r="J56" s="50">
        <v>0</v>
      </c>
      <c r="K56" s="50">
        <v>1</v>
      </c>
      <c r="L56" s="50">
        <v>0</v>
      </c>
      <c r="M56" s="50">
        <v>390</v>
      </c>
      <c r="N56" s="50">
        <v>0</v>
      </c>
      <c r="O56" s="15">
        <f t="shared" si="0"/>
        <v>264</v>
      </c>
      <c r="P56" s="15">
        <f t="shared" si="1"/>
        <v>654</v>
      </c>
      <c r="R56" s="8"/>
      <c r="T56"/>
    </row>
    <row r="57" spans="2:20" ht="23.1" customHeight="1" x14ac:dyDescent="0.25">
      <c r="B57" s="23" t="s">
        <v>84</v>
      </c>
      <c r="C57" s="50">
        <v>94</v>
      </c>
      <c r="D57" s="50">
        <v>37</v>
      </c>
      <c r="E57" s="50">
        <v>13</v>
      </c>
      <c r="F57" s="50">
        <v>75</v>
      </c>
      <c r="G57" s="50">
        <v>2</v>
      </c>
      <c r="H57" s="50">
        <v>0</v>
      </c>
      <c r="I57" s="50">
        <v>17</v>
      </c>
      <c r="J57" s="50">
        <v>2</v>
      </c>
      <c r="K57" s="50">
        <v>2</v>
      </c>
      <c r="L57" s="50">
        <v>0</v>
      </c>
      <c r="M57" s="50">
        <v>245</v>
      </c>
      <c r="N57" s="50">
        <v>0</v>
      </c>
      <c r="O57" s="15">
        <f t="shared" si="0"/>
        <v>242</v>
      </c>
      <c r="P57" s="15">
        <f t="shared" si="1"/>
        <v>487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2208</v>
      </c>
      <c r="D58" s="16">
        <f t="shared" si="21"/>
        <v>713</v>
      </c>
      <c r="E58" s="16">
        <f t="shared" si="21"/>
        <v>350</v>
      </c>
      <c r="F58" s="16">
        <f t="shared" si="21"/>
        <v>2649</v>
      </c>
      <c r="G58" s="16">
        <f t="shared" si="21"/>
        <v>41</v>
      </c>
      <c r="H58" s="16">
        <f t="shared" si="21"/>
        <v>41</v>
      </c>
      <c r="I58" s="16">
        <f t="shared" si="21"/>
        <v>602</v>
      </c>
      <c r="J58" s="16">
        <f t="shared" si="21"/>
        <v>137</v>
      </c>
      <c r="K58" s="16">
        <f t="shared" si="21"/>
        <v>60</v>
      </c>
      <c r="L58" s="16">
        <f t="shared" si="21"/>
        <v>21</v>
      </c>
      <c r="M58" s="16">
        <f t="shared" si="21"/>
        <v>9639</v>
      </c>
      <c r="N58" s="16">
        <f t="shared" si="21"/>
        <v>0</v>
      </c>
      <c r="O58" s="16">
        <f t="shared" si="21"/>
        <v>6822</v>
      </c>
      <c r="P58" s="16">
        <f t="shared" si="21"/>
        <v>16461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0.13413522872243486</v>
      </c>
      <c r="D59" s="43">
        <f t="shared" si="22"/>
        <v>4.3314500941619587E-2</v>
      </c>
      <c r="E59" s="43">
        <f t="shared" si="22"/>
        <v>2.1262377741327988E-2</v>
      </c>
      <c r="F59" s="43">
        <f t="shared" si="22"/>
        <v>0.16092582467650812</v>
      </c>
      <c r="G59" s="43">
        <f t="shared" si="22"/>
        <v>2.49073567826985E-3</v>
      </c>
      <c r="H59" s="43">
        <f t="shared" si="22"/>
        <v>2.49073567826985E-3</v>
      </c>
      <c r="I59" s="43">
        <f t="shared" si="22"/>
        <v>3.6571289715084138E-2</v>
      </c>
      <c r="J59" s="43">
        <f t="shared" si="22"/>
        <v>8.3227021444626688E-3</v>
      </c>
      <c r="K59" s="43">
        <f t="shared" si="22"/>
        <v>3.6449790413705121E-3</v>
      </c>
      <c r="L59" s="43">
        <f t="shared" si="22"/>
        <v>1.2757426644796792E-3</v>
      </c>
      <c r="M59" s="43">
        <f t="shared" si="22"/>
        <v>0.58556588299617274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0.32365875109938436</v>
      </c>
      <c r="D60" s="44">
        <f t="shared" ref="D60:N60" si="23">D58/$O$58</f>
        <v>0.10451480504250953</v>
      </c>
      <c r="E60" s="44">
        <f t="shared" si="23"/>
        <v>5.1304602755790088E-2</v>
      </c>
      <c r="F60" s="44">
        <f t="shared" si="23"/>
        <v>0.38830255057167984</v>
      </c>
      <c r="G60" s="44">
        <f t="shared" si="23"/>
        <v>6.0099677513925538E-3</v>
      </c>
      <c r="H60" s="44">
        <f t="shared" si="23"/>
        <v>6.0099677513925538E-3</v>
      </c>
      <c r="I60" s="44">
        <f t="shared" si="23"/>
        <v>8.8243916739958961E-2</v>
      </c>
      <c r="J60" s="44">
        <f t="shared" si="23"/>
        <v>2.0082087364409265E-2</v>
      </c>
      <c r="K60" s="44">
        <f t="shared" si="23"/>
        <v>8.795074758135445E-3</v>
      </c>
      <c r="L60" s="44">
        <f t="shared" si="23"/>
        <v>3.0782761653474055E-3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0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KALERWE-GAYAZA'!D5</f>
        <v>22.07.19</v>
      </c>
      <c r="E5" s="3"/>
      <c r="F5" s="41" t="s">
        <v>1</v>
      </c>
      <c r="G5" s="62" t="str">
        <f>'22.07 KALERWE-GAYAZA'!G5:H5</f>
        <v>DELTA KYEBANDO</v>
      </c>
      <c r="H5" s="63"/>
      <c r="I5" s="14"/>
      <c r="J5" s="2" t="s">
        <v>5</v>
      </c>
      <c r="K5" s="62" t="s">
        <v>175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172</v>
      </c>
      <c r="E6" s="57"/>
      <c r="F6" s="2" t="s">
        <v>2</v>
      </c>
      <c r="G6" s="56" t="s">
        <v>171</v>
      </c>
      <c r="H6" s="57"/>
      <c r="J6" s="2" t="s">
        <v>21</v>
      </c>
      <c r="K6" s="62" t="s">
        <v>176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50</v>
      </c>
      <c r="D10" s="50">
        <v>20</v>
      </c>
      <c r="E10" s="50">
        <v>18</v>
      </c>
      <c r="F10" s="50">
        <v>36</v>
      </c>
      <c r="G10" s="50">
        <v>0</v>
      </c>
      <c r="H10" s="50">
        <v>0</v>
      </c>
      <c r="I10" s="50">
        <v>1</v>
      </c>
      <c r="J10" s="50">
        <v>5</v>
      </c>
      <c r="K10" s="50">
        <v>0</v>
      </c>
      <c r="L10" s="50">
        <v>0</v>
      </c>
      <c r="M10" s="50">
        <v>131</v>
      </c>
      <c r="N10" s="50">
        <v>0</v>
      </c>
      <c r="O10" s="15">
        <f t="shared" ref="O10:O57" si="0">SUM(C10:L10,N10)</f>
        <v>130</v>
      </c>
      <c r="P10" s="15">
        <f t="shared" ref="P10:P57" si="1">SUM(C10:N10)</f>
        <v>261</v>
      </c>
      <c r="R10" s="1" t="s">
        <v>6</v>
      </c>
      <c r="S10" s="17">
        <f t="shared" ref="S10:AF10" si="2">SUM(C10:C13)</f>
        <v>222</v>
      </c>
      <c r="T10" s="17">
        <f t="shared" si="2"/>
        <v>61</v>
      </c>
      <c r="U10" s="17">
        <f t="shared" si="2"/>
        <v>27</v>
      </c>
      <c r="V10" s="17">
        <f t="shared" si="2"/>
        <v>138</v>
      </c>
      <c r="W10" s="17">
        <f t="shared" si="2"/>
        <v>0</v>
      </c>
      <c r="X10" s="17">
        <f t="shared" si="2"/>
        <v>3</v>
      </c>
      <c r="Y10" s="17">
        <f t="shared" si="2"/>
        <v>17</v>
      </c>
      <c r="Z10" s="17">
        <f t="shared" si="2"/>
        <v>12</v>
      </c>
      <c r="AA10" s="17">
        <f t="shared" si="2"/>
        <v>0</v>
      </c>
      <c r="AB10" s="17">
        <f t="shared" si="2"/>
        <v>0</v>
      </c>
      <c r="AC10" s="17">
        <f t="shared" si="2"/>
        <v>441</v>
      </c>
      <c r="AD10" s="17">
        <f t="shared" si="2"/>
        <v>0</v>
      </c>
      <c r="AE10" s="31">
        <f t="shared" si="2"/>
        <v>480</v>
      </c>
      <c r="AF10" s="31">
        <f t="shared" si="2"/>
        <v>921</v>
      </c>
    </row>
    <row r="11" spans="2:32" s="6" customFormat="1" ht="23.1" customHeight="1" x14ac:dyDescent="0.25">
      <c r="B11" s="23" t="s">
        <v>38</v>
      </c>
      <c r="C11" s="50">
        <v>60</v>
      </c>
      <c r="D11" s="50">
        <v>15</v>
      </c>
      <c r="E11" s="50">
        <v>5</v>
      </c>
      <c r="F11" s="50">
        <v>29</v>
      </c>
      <c r="G11" s="50">
        <v>0</v>
      </c>
      <c r="H11" s="50">
        <v>1</v>
      </c>
      <c r="I11" s="50">
        <v>6</v>
      </c>
      <c r="J11" s="50">
        <v>3</v>
      </c>
      <c r="K11" s="50">
        <v>0</v>
      </c>
      <c r="L11" s="50">
        <v>0</v>
      </c>
      <c r="M11" s="50">
        <v>110</v>
      </c>
      <c r="N11" s="50">
        <v>0</v>
      </c>
      <c r="O11" s="15">
        <f t="shared" si="0"/>
        <v>119</v>
      </c>
      <c r="P11" s="15">
        <f t="shared" si="1"/>
        <v>229</v>
      </c>
      <c r="R11" s="1" t="s">
        <v>7</v>
      </c>
      <c r="S11" s="17">
        <f t="shared" ref="S11:AF11" si="3">SUM(C14:C17)</f>
        <v>234</v>
      </c>
      <c r="T11" s="17">
        <f t="shared" si="3"/>
        <v>22</v>
      </c>
      <c r="U11" s="17">
        <f t="shared" si="3"/>
        <v>8</v>
      </c>
      <c r="V11" s="17">
        <f t="shared" si="3"/>
        <v>175</v>
      </c>
      <c r="W11" s="17">
        <f t="shared" si="3"/>
        <v>6</v>
      </c>
      <c r="X11" s="17">
        <f t="shared" si="3"/>
        <v>4</v>
      </c>
      <c r="Y11" s="17">
        <f t="shared" si="3"/>
        <v>15</v>
      </c>
      <c r="Z11" s="17">
        <f t="shared" si="3"/>
        <v>18</v>
      </c>
      <c r="AA11" s="17">
        <f t="shared" si="3"/>
        <v>2</v>
      </c>
      <c r="AB11" s="17">
        <f t="shared" si="3"/>
        <v>0</v>
      </c>
      <c r="AC11" s="17">
        <f t="shared" si="3"/>
        <v>498</v>
      </c>
      <c r="AD11" s="17">
        <f t="shared" si="3"/>
        <v>0</v>
      </c>
      <c r="AE11" s="31">
        <f t="shared" si="3"/>
        <v>484</v>
      </c>
      <c r="AF11" s="31">
        <f t="shared" si="3"/>
        <v>982</v>
      </c>
    </row>
    <row r="12" spans="2:32" ht="23.1" customHeight="1" x14ac:dyDescent="0.25">
      <c r="B12" s="23" t="s">
        <v>39</v>
      </c>
      <c r="C12" s="50">
        <v>45</v>
      </c>
      <c r="D12" s="50">
        <v>14</v>
      </c>
      <c r="E12" s="50">
        <v>2</v>
      </c>
      <c r="F12" s="50">
        <v>30</v>
      </c>
      <c r="G12" s="50">
        <v>0</v>
      </c>
      <c r="H12" s="50">
        <v>1</v>
      </c>
      <c r="I12" s="50">
        <v>5</v>
      </c>
      <c r="J12" s="50">
        <v>0</v>
      </c>
      <c r="K12" s="50">
        <v>0</v>
      </c>
      <c r="L12" s="50">
        <v>0</v>
      </c>
      <c r="M12" s="50">
        <v>95</v>
      </c>
      <c r="N12" s="50">
        <v>0</v>
      </c>
      <c r="O12" s="15">
        <f t="shared" si="0"/>
        <v>97</v>
      </c>
      <c r="P12" s="15">
        <f t="shared" si="1"/>
        <v>192</v>
      </c>
      <c r="R12" s="1" t="s">
        <v>8</v>
      </c>
      <c r="S12" s="17">
        <f t="shared" ref="S12:AF12" si="4">SUM(C18:C21)</f>
        <v>269</v>
      </c>
      <c r="T12" s="17">
        <f t="shared" si="4"/>
        <v>30</v>
      </c>
      <c r="U12" s="17">
        <f t="shared" si="4"/>
        <v>31</v>
      </c>
      <c r="V12" s="17">
        <f t="shared" si="4"/>
        <v>155</v>
      </c>
      <c r="W12" s="17">
        <f t="shared" si="4"/>
        <v>4</v>
      </c>
      <c r="X12" s="17">
        <f t="shared" si="4"/>
        <v>3</v>
      </c>
      <c r="Y12" s="17">
        <f t="shared" si="4"/>
        <v>19</v>
      </c>
      <c r="Z12" s="17">
        <f t="shared" si="4"/>
        <v>28</v>
      </c>
      <c r="AA12" s="17">
        <f t="shared" si="4"/>
        <v>7</v>
      </c>
      <c r="AB12" s="17">
        <f t="shared" si="4"/>
        <v>1</v>
      </c>
      <c r="AC12" s="17">
        <f t="shared" si="4"/>
        <v>503</v>
      </c>
      <c r="AD12" s="17">
        <f t="shared" si="4"/>
        <v>0</v>
      </c>
      <c r="AE12" s="31">
        <f t="shared" si="4"/>
        <v>547</v>
      </c>
      <c r="AF12" s="31">
        <f t="shared" si="4"/>
        <v>1050</v>
      </c>
    </row>
    <row r="13" spans="2:32" ht="23.1" customHeight="1" x14ac:dyDescent="0.25">
      <c r="B13" s="23" t="s">
        <v>40</v>
      </c>
      <c r="C13" s="50">
        <v>67</v>
      </c>
      <c r="D13" s="50">
        <v>12</v>
      </c>
      <c r="E13" s="50">
        <v>2</v>
      </c>
      <c r="F13" s="50">
        <v>43</v>
      </c>
      <c r="G13" s="50">
        <v>0</v>
      </c>
      <c r="H13" s="50">
        <v>1</v>
      </c>
      <c r="I13" s="50">
        <v>5</v>
      </c>
      <c r="J13" s="50">
        <v>4</v>
      </c>
      <c r="K13" s="50">
        <v>0</v>
      </c>
      <c r="L13" s="50">
        <v>0</v>
      </c>
      <c r="M13" s="50">
        <v>105</v>
      </c>
      <c r="N13" s="50">
        <v>0</v>
      </c>
      <c r="O13" s="15">
        <f t="shared" si="0"/>
        <v>134</v>
      </c>
      <c r="P13" s="15">
        <f t="shared" si="1"/>
        <v>239</v>
      </c>
      <c r="R13" s="1" t="s">
        <v>9</v>
      </c>
      <c r="S13" s="17">
        <f t="shared" ref="S13:AF13" si="5">SUM(C22:C25)</f>
        <v>227</v>
      </c>
      <c r="T13" s="17">
        <f t="shared" si="5"/>
        <v>22</v>
      </c>
      <c r="U13" s="17">
        <f t="shared" si="5"/>
        <v>21</v>
      </c>
      <c r="V13" s="17">
        <f t="shared" si="5"/>
        <v>203</v>
      </c>
      <c r="W13" s="17">
        <f t="shared" si="5"/>
        <v>4</v>
      </c>
      <c r="X13" s="17">
        <f t="shared" si="5"/>
        <v>1</v>
      </c>
      <c r="Y13" s="17">
        <f t="shared" si="5"/>
        <v>46</v>
      </c>
      <c r="Z13" s="17">
        <f t="shared" si="5"/>
        <v>34</v>
      </c>
      <c r="AA13" s="17">
        <f t="shared" si="5"/>
        <v>8</v>
      </c>
      <c r="AB13" s="17">
        <f t="shared" si="5"/>
        <v>0</v>
      </c>
      <c r="AC13" s="17">
        <f t="shared" si="5"/>
        <v>445</v>
      </c>
      <c r="AD13" s="17">
        <f t="shared" si="5"/>
        <v>0</v>
      </c>
      <c r="AE13" s="31">
        <f t="shared" si="5"/>
        <v>566</v>
      </c>
      <c r="AF13" s="31">
        <f t="shared" si="5"/>
        <v>1011</v>
      </c>
    </row>
    <row r="14" spans="2:32" ht="23.1" customHeight="1" x14ac:dyDescent="0.25">
      <c r="B14" s="23" t="s">
        <v>41</v>
      </c>
      <c r="C14" s="50">
        <v>75</v>
      </c>
      <c r="D14" s="50">
        <v>6</v>
      </c>
      <c r="E14" s="50">
        <v>2</v>
      </c>
      <c r="F14" s="50">
        <v>50</v>
      </c>
      <c r="G14" s="50">
        <v>0</v>
      </c>
      <c r="H14" s="50">
        <v>1</v>
      </c>
      <c r="I14" s="50">
        <v>5</v>
      </c>
      <c r="J14" s="50">
        <v>7</v>
      </c>
      <c r="K14" s="50">
        <v>0</v>
      </c>
      <c r="L14" s="50">
        <v>0</v>
      </c>
      <c r="M14" s="50">
        <v>115</v>
      </c>
      <c r="N14" s="50">
        <v>0</v>
      </c>
      <c r="O14" s="15">
        <f t="shared" si="0"/>
        <v>146</v>
      </c>
      <c r="P14" s="15">
        <f t="shared" si="1"/>
        <v>261</v>
      </c>
      <c r="R14" s="1" t="s">
        <v>10</v>
      </c>
      <c r="S14" s="17">
        <f t="shared" ref="S14:AF14" si="6">SUM(C26:C29)</f>
        <v>224</v>
      </c>
      <c r="T14" s="17">
        <f t="shared" si="6"/>
        <v>30</v>
      </c>
      <c r="U14" s="17">
        <f t="shared" si="6"/>
        <v>26</v>
      </c>
      <c r="V14" s="17">
        <f t="shared" si="6"/>
        <v>169</v>
      </c>
      <c r="W14" s="17">
        <f t="shared" si="6"/>
        <v>1</v>
      </c>
      <c r="X14" s="17">
        <f t="shared" si="6"/>
        <v>4</v>
      </c>
      <c r="Y14" s="17">
        <f t="shared" si="6"/>
        <v>52</v>
      </c>
      <c r="Z14" s="17">
        <f t="shared" si="6"/>
        <v>33</v>
      </c>
      <c r="AA14" s="17">
        <f t="shared" si="6"/>
        <v>5</v>
      </c>
      <c r="AB14" s="17">
        <f t="shared" si="6"/>
        <v>0</v>
      </c>
      <c r="AC14" s="17">
        <f t="shared" si="6"/>
        <v>321</v>
      </c>
      <c r="AD14" s="17">
        <f t="shared" si="6"/>
        <v>0</v>
      </c>
      <c r="AE14" s="31">
        <f t="shared" si="6"/>
        <v>544</v>
      </c>
      <c r="AF14" s="31">
        <f t="shared" si="6"/>
        <v>865</v>
      </c>
    </row>
    <row r="15" spans="2:32" ht="23.1" customHeight="1" x14ac:dyDescent="0.25">
      <c r="B15" s="23" t="s">
        <v>42</v>
      </c>
      <c r="C15" s="50">
        <v>39</v>
      </c>
      <c r="D15" s="50">
        <v>1</v>
      </c>
      <c r="E15" s="50">
        <v>1</v>
      </c>
      <c r="F15" s="50">
        <v>17</v>
      </c>
      <c r="G15" s="50">
        <v>2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135</v>
      </c>
      <c r="N15" s="50">
        <v>0</v>
      </c>
      <c r="O15" s="15">
        <f t="shared" si="0"/>
        <v>64</v>
      </c>
      <c r="P15" s="15">
        <f t="shared" si="1"/>
        <v>199</v>
      </c>
      <c r="R15" s="1" t="s">
        <v>11</v>
      </c>
      <c r="S15" s="17">
        <f t="shared" ref="S15:AF15" si="7">SUM(C30:C33)</f>
        <v>133</v>
      </c>
      <c r="T15" s="17">
        <f t="shared" si="7"/>
        <v>30</v>
      </c>
      <c r="U15" s="17">
        <f t="shared" si="7"/>
        <v>24</v>
      </c>
      <c r="V15" s="17">
        <f t="shared" si="7"/>
        <v>131</v>
      </c>
      <c r="W15" s="17">
        <f t="shared" si="7"/>
        <v>3</v>
      </c>
      <c r="X15" s="17">
        <f t="shared" si="7"/>
        <v>1</v>
      </c>
      <c r="Y15" s="17">
        <f t="shared" si="7"/>
        <v>50</v>
      </c>
      <c r="Z15" s="17">
        <f t="shared" si="7"/>
        <v>25</v>
      </c>
      <c r="AA15" s="17">
        <f t="shared" si="7"/>
        <v>4</v>
      </c>
      <c r="AB15" s="17">
        <f t="shared" si="7"/>
        <v>0</v>
      </c>
      <c r="AC15" s="17">
        <f t="shared" si="7"/>
        <v>293</v>
      </c>
      <c r="AD15" s="17">
        <f t="shared" si="7"/>
        <v>0</v>
      </c>
      <c r="AE15" s="31">
        <f t="shared" si="7"/>
        <v>401</v>
      </c>
      <c r="AF15" s="31">
        <f t="shared" si="7"/>
        <v>694</v>
      </c>
    </row>
    <row r="16" spans="2:32" ht="23.1" customHeight="1" x14ac:dyDescent="0.25">
      <c r="B16" s="23" t="s">
        <v>43</v>
      </c>
      <c r="C16" s="50">
        <v>50</v>
      </c>
      <c r="D16" s="50">
        <v>9</v>
      </c>
      <c r="E16" s="50">
        <v>2</v>
      </c>
      <c r="F16" s="50">
        <v>51</v>
      </c>
      <c r="G16" s="50">
        <v>2</v>
      </c>
      <c r="H16" s="50">
        <v>2</v>
      </c>
      <c r="I16" s="50">
        <v>2</v>
      </c>
      <c r="J16" s="50">
        <v>5</v>
      </c>
      <c r="K16" s="50">
        <v>1</v>
      </c>
      <c r="L16" s="50">
        <v>0</v>
      </c>
      <c r="M16" s="50">
        <v>133</v>
      </c>
      <c r="N16" s="50">
        <v>0</v>
      </c>
      <c r="O16" s="15">
        <f t="shared" si="0"/>
        <v>124</v>
      </c>
      <c r="P16" s="15">
        <f t="shared" si="1"/>
        <v>257</v>
      </c>
      <c r="R16" s="1" t="s">
        <v>12</v>
      </c>
      <c r="S16" s="17">
        <f t="shared" ref="S16:AF16" si="8">SUM(C34:C37)</f>
        <v>145</v>
      </c>
      <c r="T16" s="17">
        <f t="shared" si="8"/>
        <v>29</v>
      </c>
      <c r="U16" s="17">
        <f t="shared" si="8"/>
        <v>27</v>
      </c>
      <c r="V16" s="17">
        <f t="shared" si="8"/>
        <v>144</v>
      </c>
      <c r="W16" s="17">
        <f t="shared" si="8"/>
        <v>1</v>
      </c>
      <c r="X16" s="17">
        <f t="shared" si="8"/>
        <v>1</v>
      </c>
      <c r="Y16" s="17">
        <f t="shared" si="8"/>
        <v>68</v>
      </c>
      <c r="Z16" s="17">
        <f t="shared" si="8"/>
        <v>32</v>
      </c>
      <c r="AA16" s="17">
        <f t="shared" si="8"/>
        <v>2</v>
      </c>
      <c r="AB16" s="17">
        <f t="shared" si="8"/>
        <v>0</v>
      </c>
      <c r="AC16" s="17">
        <f t="shared" si="8"/>
        <v>287</v>
      </c>
      <c r="AD16" s="17">
        <f t="shared" si="8"/>
        <v>0</v>
      </c>
      <c r="AE16" s="31">
        <f t="shared" si="8"/>
        <v>449</v>
      </c>
      <c r="AF16" s="31">
        <f t="shared" si="8"/>
        <v>736</v>
      </c>
    </row>
    <row r="17" spans="2:32" ht="23.1" customHeight="1" x14ac:dyDescent="0.25">
      <c r="B17" s="23" t="s">
        <v>44</v>
      </c>
      <c r="C17" s="50">
        <v>70</v>
      </c>
      <c r="D17" s="50">
        <v>6</v>
      </c>
      <c r="E17" s="50">
        <v>3</v>
      </c>
      <c r="F17" s="50">
        <v>57</v>
      </c>
      <c r="G17" s="50">
        <v>2</v>
      </c>
      <c r="H17" s="50">
        <v>1</v>
      </c>
      <c r="I17" s="50">
        <v>4</v>
      </c>
      <c r="J17" s="50">
        <v>6</v>
      </c>
      <c r="K17" s="50">
        <v>1</v>
      </c>
      <c r="L17" s="50">
        <v>0</v>
      </c>
      <c r="M17" s="50">
        <v>115</v>
      </c>
      <c r="N17" s="50">
        <v>0</v>
      </c>
      <c r="O17" s="15">
        <f t="shared" si="0"/>
        <v>150</v>
      </c>
      <c r="P17" s="15">
        <f t="shared" si="1"/>
        <v>265</v>
      </c>
      <c r="R17" s="1" t="s">
        <v>13</v>
      </c>
      <c r="S17" s="17">
        <f t="shared" ref="S17:AF17" si="9">SUM(C38:C41)</f>
        <v>166</v>
      </c>
      <c r="T17" s="17">
        <f t="shared" si="9"/>
        <v>19</v>
      </c>
      <c r="U17" s="17">
        <f t="shared" si="9"/>
        <v>29</v>
      </c>
      <c r="V17" s="17">
        <f t="shared" si="9"/>
        <v>146</v>
      </c>
      <c r="W17" s="17">
        <f t="shared" si="9"/>
        <v>2</v>
      </c>
      <c r="X17" s="17">
        <f t="shared" si="9"/>
        <v>3</v>
      </c>
      <c r="Y17" s="17">
        <f t="shared" si="9"/>
        <v>59</v>
      </c>
      <c r="Z17" s="17">
        <f t="shared" si="9"/>
        <v>30</v>
      </c>
      <c r="AA17" s="17">
        <f t="shared" si="9"/>
        <v>3</v>
      </c>
      <c r="AB17" s="17">
        <f t="shared" si="9"/>
        <v>1</v>
      </c>
      <c r="AC17" s="17">
        <f t="shared" si="9"/>
        <v>366</v>
      </c>
      <c r="AD17" s="17">
        <f t="shared" si="9"/>
        <v>0</v>
      </c>
      <c r="AE17" s="31">
        <f t="shared" si="9"/>
        <v>458</v>
      </c>
      <c r="AF17" s="31">
        <f t="shared" si="9"/>
        <v>824</v>
      </c>
    </row>
    <row r="18" spans="2:32" ht="23.1" customHeight="1" x14ac:dyDescent="0.25">
      <c r="B18" s="23" t="s">
        <v>45</v>
      </c>
      <c r="C18" s="50">
        <v>63</v>
      </c>
      <c r="D18" s="50">
        <v>12</v>
      </c>
      <c r="E18" s="50">
        <v>21</v>
      </c>
      <c r="F18" s="50">
        <v>42</v>
      </c>
      <c r="G18" s="50">
        <v>3</v>
      </c>
      <c r="H18" s="50">
        <v>1</v>
      </c>
      <c r="I18" s="50">
        <v>1</v>
      </c>
      <c r="J18" s="50">
        <v>11</v>
      </c>
      <c r="K18" s="50">
        <v>2</v>
      </c>
      <c r="L18" s="50">
        <v>0</v>
      </c>
      <c r="M18" s="50">
        <v>145</v>
      </c>
      <c r="N18" s="50">
        <v>0</v>
      </c>
      <c r="O18" s="15">
        <f t="shared" si="0"/>
        <v>156</v>
      </c>
      <c r="P18" s="15">
        <f t="shared" si="1"/>
        <v>301</v>
      </c>
      <c r="R18" s="1" t="s">
        <v>14</v>
      </c>
      <c r="S18" s="17">
        <f t="shared" ref="S18:AF18" si="10">SUM(C42:C45)</f>
        <v>151</v>
      </c>
      <c r="T18" s="17">
        <f t="shared" si="10"/>
        <v>13</v>
      </c>
      <c r="U18" s="17">
        <f t="shared" si="10"/>
        <v>11</v>
      </c>
      <c r="V18" s="17">
        <f t="shared" si="10"/>
        <v>111</v>
      </c>
      <c r="W18" s="17">
        <f t="shared" si="10"/>
        <v>5</v>
      </c>
      <c r="X18" s="17">
        <f t="shared" si="10"/>
        <v>1</v>
      </c>
      <c r="Y18" s="17">
        <f t="shared" si="10"/>
        <v>48</v>
      </c>
      <c r="Z18" s="17">
        <f t="shared" si="10"/>
        <v>26</v>
      </c>
      <c r="AA18" s="17">
        <f t="shared" si="10"/>
        <v>1</v>
      </c>
      <c r="AB18" s="17">
        <f t="shared" si="10"/>
        <v>0</v>
      </c>
      <c r="AC18" s="17">
        <f t="shared" si="10"/>
        <v>106</v>
      </c>
      <c r="AD18" s="17">
        <f t="shared" si="10"/>
        <v>0</v>
      </c>
      <c r="AE18" s="31">
        <f t="shared" si="10"/>
        <v>367</v>
      </c>
      <c r="AF18" s="31">
        <f t="shared" si="10"/>
        <v>473</v>
      </c>
    </row>
    <row r="19" spans="2:32" ht="23.1" customHeight="1" x14ac:dyDescent="0.25">
      <c r="B19" s="23" t="s">
        <v>46</v>
      </c>
      <c r="C19" s="50">
        <v>55</v>
      </c>
      <c r="D19" s="50">
        <v>7</v>
      </c>
      <c r="E19" s="50">
        <v>6</v>
      </c>
      <c r="F19" s="50">
        <v>47</v>
      </c>
      <c r="G19" s="50">
        <v>1</v>
      </c>
      <c r="H19" s="50">
        <v>1</v>
      </c>
      <c r="I19" s="50">
        <v>5</v>
      </c>
      <c r="J19" s="50">
        <v>5</v>
      </c>
      <c r="K19" s="50">
        <v>2</v>
      </c>
      <c r="L19" s="50">
        <v>1</v>
      </c>
      <c r="M19" s="50">
        <v>130</v>
      </c>
      <c r="N19" s="50">
        <v>0</v>
      </c>
      <c r="O19" s="15">
        <f t="shared" si="0"/>
        <v>130</v>
      </c>
      <c r="P19" s="15">
        <f t="shared" si="1"/>
        <v>260</v>
      </c>
      <c r="R19" s="1" t="s">
        <v>15</v>
      </c>
      <c r="S19" s="17">
        <f t="shared" ref="S19:AF19" si="11">SUM(C46:C49)</f>
        <v>122</v>
      </c>
      <c r="T19" s="17">
        <f t="shared" si="11"/>
        <v>25</v>
      </c>
      <c r="U19" s="17">
        <f t="shared" si="11"/>
        <v>22</v>
      </c>
      <c r="V19" s="17">
        <f t="shared" si="11"/>
        <v>135</v>
      </c>
      <c r="W19" s="17">
        <f t="shared" si="11"/>
        <v>2</v>
      </c>
      <c r="X19" s="17">
        <f t="shared" si="11"/>
        <v>1</v>
      </c>
      <c r="Y19" s="17">
        <f t="shared" si="11"/>
        <v>63</v>
      </c>
      <c r="Z19" s="17">
        <f t="shared" si="11"/>
        <v>35</v>
      </c>
      <c r="AA19" s="17">
        <f t="shared" si="11"/>
        <v>3</v>
      </c>
      <c r="AB19" s="17">
        <f t="shared" si="11"/>
        <v>0</v>
      </c>
      <c r="AC19" s="17">
        <f t="shared" si="11"/>
        <v>484</v>
      </c>
      <c r="AD19" s="17">
        <f t="shared" si="11"/>
        <v>0</v>
      </c>
      <c r="AE19" s="31">
        <f t="shared" si="11"/>
        <v>408</v>
      </c>
      <c r="AF19" s="31">
        <f t="shared" si="11"/>
        <v>892</v>
      </c>
    </row>
    <row r="20" spans="2:32" ht="23.1" customHeight="1" x14ac:dyDescent="0.25">
      <c r="B20" s="23" t="s">
        <v>47</v>
      </c>
      <c r="C20" s="50">
        <v>70</v>
      </c>
      <c r="D20" s="50">
        <v>4</v>
      </c>
      <c r="E20" s="50">
        <v>1</v>
      </c>
      <c r="F20" s="50">
        <v>38</v>
      </c>
      <c r="G20" s="50">
        <v>0</v>
      </c>
      <c r="H20" s="50">
        <v>1</v>
      </c>
      <c r="I20" s="50">
        <v>9</v>
      </c>
      <c r="J20" s="50">
        <v>5</v>
      </c>
      <c r="K20" s="50">
        <v>1</v>
      </c>
      <c r="L20" s="50">
        <v>0</v>
      </c>
      <c r="M20" s="50">
        <v>110</v>
      </c>
      <c r="N20" s="50">
        <v>0</v>
      </c>
      <c r="O20" s="15">
        <f t="shared" si="0"/>
        <v>129</v>
      </c>
      <c r="P20" s="15">
        <f t="shared" si="1"/>
        <v>239</v>
      </c>
      <c r="R20" s="1" t="s">
        <v>16</v>
      </c>
      <c r="S20" s="17">
        <f t="shared" ref="S20:AF20" si="12">SUM(C50:C53)</f>
        <v>182</v>
      </c>
      <c r="T20" s="17">
        <f t="shared" si="12"/>
        <v>27</v>
      </c>
      <c r="U20" s="17">
        <f t="shared" si="12"/>
        <v>9</v>
      </c>
      <c r="V20" s="17">
        <f t="shared" si="12"/>
        <v>228</v>
      </c>
      <c r="W20" s="17">
        <f t="shared" si="12"/>
        <v>6</v>
      </c>
      <c r="X20" s="17">
        <f t="shared" si="12"/>
        <v>1</v>
      </c>
      <c r="Y20" s="17">
        <f t="shared" si="12"/>
        <v>69</v>
      </c>
      <c r="Z20" s="17">
        <f t="shared" si="12"/>
        <v>31</v>
      </c>
      <c r="AA20" s="17">
        <f t="shared" si="12"/>
        <v>4</v>
      </c>
      <c r="AB20" s="17">
        <f t="shared" si="12"/>
        <v>0</v>
      </c>
      <c r="AC20" s="17">
        <f t="shared" si="12"/>
        <v>635</v>
      </c>
      <c r="AD20" s="17">
        <f t="shared" si="12"/>
        <v>0</v>
      </c>
      <c r="AE20" s="31">
        <f t="shared" si="12"/>
        <v>557</v>
      </c>
      <c r="AF20" s="31">
        <f t="shared" si="12"/>
        <v>1192</v>
      </c>
    </row>
    <row r="21" spans="2:32" ht="23.1" customHeight="1" x14ac:dyDescent="0.25">
      <c r="B21" s="23" t="s">
        <v>48</v>
      </c>
      <c r="C21" s="50">
        <v>81</v>
      </c>
      <c r="D21" s="50">
        <v>7</v>
      </c>
      <c r="E21" s="50">
        <v>3</v>
      </c>
      <c r="F21" s="50">
        <v>28</v>
      </c>
      <c r="G21" s="50">
        <v>0</v>
      </c>
      <c r="H21" s="50">
        <v>0</v>
      </c>
      <c r="I21" s="50">
        <v>4</v>
      </c>
      <c r="J21" s="50">
        <v>7</v>
      </c>
      <c r="K21" s="50">
        <v>2</v>
      </c>
      <c r="L21" s="50">
        <v>0</v>
      </c>
      <c r="M21" s="50">
        <v>118</v>
      </c>
      <c r="N21" s="50">
        <v>0</v>
      </c>
      <c r="O21" s="15">
        <f t="shared" si="0"/>
        <v>132</v>
      </c>
      <c r="P21" s="15">
        <f t="shared" si="1"/>
        <v>250</v>
      </c>
      <c r="R21" s="36" t="s">
        <v>20</v>
      </c>
      <c r="S21" s="34">
        <f t="shared" ref="S21:AF21" si="13">SUM(C54:C57)</f>
        <v>162</v>
      </c>
      <c r="T21" s="17">
        <f t="shared" si="13"/>
        <v>18</v>
      </c>
      <c r="U21" s="17">
        <f t="shared" si="13"/>
        <v>17</v>
      </c>
      <c r="V21" s="17">
        <f t="shared" si="13"/>
        <v>246</v>
      </c>
      <c r="W21" s="17">
        <f t="shared" si="13"/>
        <v>10</v>
      </c>
      <c r="X21" s="17">
        <f t="shared" si="13"/>
        <v>6</v>
      </c>
      <c r="Y21" s="17">
        <f t="shared" si="13"/>
        <v>56</v>
      </c>
      <c r="Z21" s="17">
        <f t="shared" si="13"/>
        <v>45</v>
      </c>
      <c r="AA21" s="17">
        <f t="shared" si="13"/>
        <v>2</v>
      </c>
      <c r="AB21" s="17">
        <f t="shared" si="13"/>
        <v>0</v>
      </c>
      <c r="AC21" s="17">
        <f t="shared" si="13"/>
        <v>711</v>
      </c>
      <c r="AD21" s="17">
        <f t="shared" si="13"/>
        <v>0</v>
      </c>
      <c r="AE21" s="31">
        <f t="shared" si="13"/>
        <v>562</v>
      </c>
      <c r="AF21" s="31">
        <f t="shared" si="13"/>
        <v>1273</v>
      </c>
    </row>
    <row r="22" spans="2:32" ht="23.1" customHeight="1" x14ac:dyDescent="0.25">
      <c r="B22" s="23" t="s">
        <v>49</v>
      </c>
      <c r="C22" s="50">
        <v>60</v>
      </c>
      <c r="D22" s="50">
        <v>3</v>
      </c>
      <c r="E22" s="50">
        <v>5</v>
      </c>
      <c r="F22" s="50">
        <v>60</v>
      </c>
      <c r="G22" s="50">
        <v>2</v>
      </c>
      <c r="H22" s="50">
        <v>0</v>
      </c>
      <c r="I22" s="50">
        <v>9</v>
      </c>
      <c r="J22" s="50">
        <v>4</v>
      </c>
      <c r="K22" s="50">
        <v>1</v>
      </c>
      <c r="L22" s="50">
        <v>0</v>
      </c>
      <c r="M22" s="50">
        <v>130</v>
      </c>
      <c r="N22" s="50">
        <v>0</v>
      </c>
      <c r="O22" s="15">
        <f t="shared" si="0"/>
        <v>144</v>
      </c>
      <c r="P22" s="15">
        <f t="shared" si="1"/>
        <v>274</v>
      </c>
      <c r="R22" s="38" t="s">
        <v>90</v>
      </c>
      <c r="S22" s="39">
        <f>MAX(S10:S12)</f>
        <v>269</v>
      </c>
      <c r="T22" s="39">
        <f t="shared" ref="T22:AF22" si="14">MAX(T10:T12)</f>
        <v>61</v>
      </c>
      <c r="U22" s="39">
        <f t="shared" si="14"/>
        <v>31</v>
      </c>
      <c r="V22" s="39">
        <f t="shared" si="14"/>
        <v>175</v>
      </c>
      <c r="W22" s="39">
        <f t="shared" si="14"/>
        <v>6</v>
      </c>
      <c r="X22" s="39">
        <f t="shared" si="14"/>
        <v>4</v>
      </c>
      <c r="Y22" s="39">
        <f t="shared" si="14"/>
        <v>19</v>
      </c>
      <c r="Z22" s="39">
        <f t="shared" si="14"/>
        <v>28</v>
      </c>
      <c r="AA22" s="39">
        <f t="shared" si="14"/>
        <v>7</v>
      </c>
      <c r="AB22" s="39">
        <f t="shared" si="14"/>
        <v>1</v>
      </c>
      <c r="AC22" s="39">
        <f t="shared" si="14"/>
        <v>503</v>
      </c>
      <c r="AD22" s="39">
        <f t="shared" si="14"/>
        <v>0</v>
      </c>
      <c r="AE22" s="40">
        <f t="shared" si="14"/>
        <v>547</v>
      </c>
      <c r="AF22" s="40">
        <f t="shared" si="14"/>
        <v>1050</v>
      </c>
    </row>
    <row r="23" spans="2:32" ht="23.1" customHeight="1" x14ac:dyDescent="0.25">
      <c r="B23" s="23" t="s">
        <v>50</v>
      </c>
      <c r="C23" s="50">
        <v>51</v>
      </c>
      <c r="D23" s="50">
        <v>3</v>
      </c>
      <c r="E23" s="50">
        <v>3</v>
      </c>
      <c r="F23" s="50">
        <v>39</v>
      </c>
      <c r="G23" s="50">
        <v>1</v>
      </c>
      <c r="H23" s="50">
        <v>0</v>
      </c>
      <c r="I23" s="50">
        <v>12</v>
      </c>
      <c r="J23" s="50">
        <v>10</v>
      </c>
      <c r="K23" s="50">
        <v>3</v>
      </c>
      <c r="L23" s="50">
        <v>0</v>
      </c>
      <c r="M23" s="50">
        <v>115</v>
      </c>
      <c r="N23" s="50">
        <v>0</v>
      </c>
      <c r="O23" s="15">
        <f t="shared" si="0"/>
        <v>122</v>
      </c>
      <c r="P23" s="15">
        <f t="shared" si="1"/>
        <v>237</v>
      </c>
      <c r="R23" s="38" t="s">
        <v>91</v>
      </c>
      <c r="S23" s="39">
        <f>MAX(S13:S18)</f>
        <v>227</v>
      </c>
      <c r="T23" s="39">
        <f t="shared" ref="T23:AF23" si="15">MAX(T13:T18)</f>
        <v>30</v>
      </c>
      <c r="U23" s="39">
        <f t="shared" si="15"/>
        <v>29</v>
      </c>
      <c r="V23" s="39">
        <f t="shared" si="15"/>
        <v>203</v>
      </c>
      <c r="W23" s="39">
        <f t="shared" si="15"/>
        <v>5</v>
      </c>
      <c r="X23" s="39">
        <f t="shared" si="15"/>
        <v>4</v>
      </c>
      <c r="Y23" s="39">
        <f t="shared" si="15"/>
        <v>68</v>
      </c>
      <c r="Z23" s="39">
        <f t="shared" si="15"/>
        <v>34</v>
      </c>
      <c r="AA23" s="39">
        <f t="shared" si="15"/>
        <v>8</v>
      </c>
      <c r="AB23" s="39">
        <f t="shared" si="15"/>
        <v>1</v>
      </c>
      <c r="AC23" s="39">
        <f t="shared" si="15"/>
        <v>445</v>
      </c>
      <c r="AD23" s="39">
        <f t="shared" si="15"/>
        <v>0</v>
      </c>
      <c r="AE23" s="40">
        <f t="shared" si="15"/>
        <v>566</v>
      </c>
      <c r="AF23" s="40">
        <f t="shared" si="15"/>
        <v>1011</v>
      </c>
    </row>
    <row r="24" spans="2:32" ht="23.1" customHeight="1" x14ac:dyDescent="0.25">
      <c r="B24" s="23" t="s">
        <v>51</v>
      </c>
      <c r="C24" s="50">
        <v>66</v>
      </c>
      <c r="D24" s="50">
        <v>12</v>
      </c>
      <c r="E24" s="50">
        <v>4</v>
      </c>
      <c r="F24" s="50">
        <v>58</v>
      </c>
      <c r="G24" s="50">
        <v>1</v>
      </c>
      <c r="H24" s="50">
        <v>1</v>
      </c>
      <c r="I24" s="50">
        <v>13</v>
      </c>
      <c r="J24" s="50">
        <v>8</v>
      </c>
      <c r="K24" s="50">
        <v>1</v>
      </c>
      <c r="L24" s="50">
        <v>0</v>
      </c>
      <c r="M24" s="50">
        <v>110</v>
      </c>
      <c r="N24" s="50">
        <v>0</v>
      </c>
      <c r="O24" s="15">
        <f t="shared" si="0"/>
        <v>164</v>
      </c>
      <c r="P24" s="15">
        <f t="shared" si="1"/>
        <v>274</v>
      </c>
      <c r="R24" s="38" t="s">
        <v>92</v>
      </c>
      <c r="S24" s="39">
        <f>MAX(S19:S21)</f>
        <v>182</v>
      </c>
      <c r="T24" s="39">
        <f t="shared" ref="T24:AF24" si="16">MAX(T19:T21)</f>
        <v>27</v>
      </c>
      <c r="U24" s="39">
        <f t="shared" si="16"/>
        <v>22</v>
      </c>
      <c r="V24" s="39">
        <f t="shared" si="16"/>
        <v>246</v>
      </c>
      <c r="W24" s="39">
        <f t="shared" si="16"/>
        <v>10</v>
      </c>
      <c r="X24" s="39">
        <f t="shared" si="16"/>
        <v>6</v>
      </c>
      <c r="Y24" s="39">
        <f t="shared" si="16"/>
        <v>69</v>
      </c>
      <c r="Z24" s="39">
        <f t="shared" si="16"/>
        <v>45</v>
      </c>
      <c r="AA24" s="39">
        <f t="shared" si="16"/>
        <v>4</v>
      </c>
      <c r="AB24" s="39">
        <f t="shared" si="16"/>
        <v>0</v>
      </c>
      <c r="AC24" s="39">
        <f t="shared" si="16"/>
        <v>711</v>
      </c>
      <c r="AD24" s="39">
        <f t="shared" si="16"/>
        <v>0</v>
      </c>
      <c r="AE24" s="40">
        <f t="shared" si="16"/>
        <v>562</v>
      </c>
      <c r="AF24" s="40">
        <f t="shared" si="16"/>
        <v>1273</v>
      </c>
    </row>
    <row r="25" spans="2:32" ht="23.1" customHeight="1" x14ac:dyDescent="0.25">
      <c r="B25" s="23" t="s">
        <v>52</v>
      </c>
      <c r="C25" s="50">
        <v>50</v>
      </c>
      <c r="D25" s="50">
        <v>4</v>
      </c>
      <c r="E25" s="50">
        <v>9</v>
      </c>
      <c r="F25" s="50">
        <v>46</v>
      </c>
      <c r="G25" s="50">
        <v>0</v>
      </c>
      <c r="H25" s="50">
        <v>0</v>
      </c>
      <c r="I25" s="50">
        <v>12</v>
      </c>
      <c r="J25" s="50">
        <v>12</v>
      </c>
      <c r="K25" s="50">
        <v>3</v>
      </c>
      <c r="L25" s="50">
        <v>0</v>
      </c>
      <c r="M25" s="50">
        <v>90</v>
      </c>
      <c r="N25" s="50">
        <v>0</v>
      </c>
      <c r="O25" s="15">
        <f t="shared" si="0"/>
        <v>136</v>
      </c>
      <c r="P25" s="15">
        <f t="shared" si="1"/>
        <v>226</v>
      </c>
      <c r="R25" s="37" t="s">
        <v>85</v>
      </c>
      <c r="S25" s="35">
        <f t="shared" ref="S25:AF25" si="17">SUM(S10:S12)</f>
        <v>725</v>
      </c>
      <c r="T25" s="16">
        <f t="shared" si="17"/>
        <v>113</v>
      </c>
      <c r="U25" s="16">
        <f t="shared" si="17"/>
        <v>66</v>
      </c>
      <c r="V25" s="16">
        <f t="shared" si="17"/>
        <v>468</v>
      </c>
      <c r="W25" s="16">
        <f t="shared" si="17"/>
        <v>10</v>
      </c>
      <c r="X25" s="16">
        <f t="shared" si="17"/>
        <v>10</v>
      </c>
      <c r="Y25" s="16">
        <f t="shared" si="17"/>
        <v>51</v>
      </c>
      <c r="Z25" s="16">
        <f t="shared" si="17"/>
        <v>58</v>
      </c>
      <c r="AA25" s="16">
        <f t="shared" si="17"/>
        <v>9</v>
      </c>
      <c r="AB25" s="16">
        <f t="shared" si="17"/>
        <v>1</v>
      </c>
      <c r="AC25" s="16">
        <f t="shared" si="17"/>
        <v>1442</v>
      </c>
      <c r="AD25" s="16">
        <f t="shared" si="17"/>
        <v>0</v>
      </c>
      <c r="AE25" s="32">
        <f t="shared" si="17"/>
        <v>1511</v>
      </c>
      <c r="AF25" s="32">
        <f t="shared" si="17"/>
        <v>2953</v>
      </c>
    </row>
    <row r="26" spans="2:32" ht="23.1" customHeight="1" x14ac:dyDescent="0.25">
      <c r="B26" s="23" t="s">
        <v>53</v>
      </c>
      <c r="C26" s="50">
        <v>50</v>
      </c>
      <c r="D26" s="50">
        <v>10</v>
      </c>
      <c r="E26" s="50">
        <v>11</v>
      </c>
      <c r="F26" s="50">
        <v>44</v>
      </c>
      <c r="G26" s="50">
        <v>0</v>
      </c>
      <c r="H26" s="50">
        <v>1</v>
      </c>
      <c r="I26" s="50">
        <v>15</v>
      </c>
      <c r="J26" s="50">
        <v>8</v>
      </c>
      <c r="K26" s="50">
        <v>2</v>
      </c>
      <c r="L26" s="50">
        <v>0</v>
      </c>
      <c r="M26" s="50">
        <v>45</v>
      </c>
      <c r="N26" s="50">
        <v>0</v>
      </c>
      <c r="O26" s="15">
        <f t="shared" si="0"/>
        <v>141</v>
      </c>
      <c r="P26" s="15">
        <f t="shared" si="1"/>
        <v>186</v>
      </c>
      <c r="R26" s="28" t="s">
        <v>86</v>
      </c>
      <c r="S26" s="16">
        <f t="shared" ref="S26:AF26" si="18">SUM(S13:S18)</f>
        <v>1046</v>
      </c>
      <c r="T26" s="16">
        <f t="shared" si="18"/>
        <v>143</v>
      </c>
      <c r="U26" s="16">
        <f t="shared" si="18"/>
        <v>138</v>
      </c>
      <c r="V26" s="16">
        <f t="shared" si="18"/>
        <v>904</v>
      </c>
      <c r="W26" s="16">
        <f t="shared" si="18"/>
        <v>16</v>
      </c>
      <c r="X26" s="16">
        <f t="shared" si="18"/>
        <v>11</v>
      </c>
      <c r="Y26" s="16">
        <f t="shared" si="18"/>
        <v>323</v>
      </c>
      <c r="Z26" s="16">
        <f t="shared" si="18"/>
        <v>180</v>
      </c>
      <c r="AA26" s="16">
        <f t="shared" si="18"/>
        <v>23</v>
      </c>
      <c r="AB26" s="16">
        <f t="shared" si="18"/>
        <v>1</v>
      </c>
      <c r="AC26" s="16">
        <f t="shared" si="18"/>
        <v>1818</v>
      </c>
      <c r="AD26" s="16">
        <f t="shared" si="18"/>
        <v>0</v>
      </c>
      <c r="AE26" s="32">
        <f t="shared" si="18"/>
        <v>2785</v>
      </c>
      <c r="AF26" s="32">
        <f t="shared" si="18"/>
        <v>4603</v>
      </c>
    </row>
    <row r="27" spans="2:32" ht="23.1" customHeight="1" x14ac:dyDescent="0.25">
      <c r="B27" s="23" t="s">
        <v>54</v>
      </c>
      <c r="C27" s="50">
        <v>57</v>
      </c>
      <c r="D27" s="50">
        <v>7</v>
      </c>
      <c r="E27" s="50">
        <v>6</v>
      </c>
      <c r="F27" s="50">
        <v>48</v>
      </c>
      <c r="G27" s="50">
        <v>1</v>
      </c>
      <c r="H27" s="50">
        <v>1</v>
      </c>
      <c r="I27" s="50">
        <v>13</v>
      </c>
      <c r="J27" s="50">
        <v>9</v>
      </c>
      <c r="K27" s="50">
        <v>0</v>
      </c>
      <c r="L27" s="50">
        <v>0</v>
      </c>
      <c r="M27" s="50">
        <v>85</v>
      </c>
      <c r="N27" s="50">
        <v>0</v>
      </c>
      <c r="O27" s="15">
        <f t="shared" si="0"/>
        <v>142</v>
      </c>
      <c r="P27" s="15">
        <f t="shared" si="1"/>
        <v>227</v>
      </c>
      <c r="R27" s="29" t="s">
        <v>87</v>
      </c>
      <c r="S27" s="16">
        <f t="shared" ref="S27:AF27" si="19">SUM(S19:S21)</f>
        <v>466</v>
      </c>
      <c r="T27" s="16">
        <f t="shared" si="19"/>
        <v>70</v>
      </c>
      <c r="U27" s="16">
        <f t="shared" si="19"/>
        <v>48</v>
      </c>
      <c r="V27" s="16">
        <f t="shared" si="19"/>
        <v>609</v>
      </c>
      <c r="W27" s="16">
        <f t="shared" si="19"/>
        <v>18</v>
      </c>
      <c r="X27" s="16">
        <f t="shared" si="19"/>
        <v>8</v>
      </c>
      <c r="Y27" s="16">
        <f t="shared" si="19"/>
        <v>188</v>
      </c>
      <c r="Z27" s="16">
        <f t="shared" si="19"/>
        <v>111</v>
      </c>
      <c r="AA27" s="16">
        <f t="shared" si="19"/>
        <v>9</v>
      </c>
      <c r="AB27" s="16">
        <f t="shared" si="19"/>
        <v>0</v>
      </c>
      <c r="AC27" s="16">
        <f t="shared" si="19"/>
        <v>1830</v>
      </c>
      <c r="AD27" s="16">
        <f t="shared" si="19"/>
        <v>0</v>
      </c>
      <c r="AE27" s="32">
        <f t="shared" si="19"/>
        <v>1527</v>
      </c>
      <c r="AF27" s="32">
        <f t="shared" si="19"/>
        <v>3357</v>
      </c>
    </row>
    <row r="28" spans="2:32" ht="23.1" customHeight="1" x14ac:dyDescent="0.25">
      <c r="B28" s="23" t="s">
        <v>55</v>
      </c>
      <c r="C28" s="50">
        <v>70</v>
      </c>
      <c r="D28" s="50">
        <v>6</v>
      </c>
      <c r="E28" s="50">
        <v>4</v>
      </c>
      <c r="F28" s="50">
        <v>37</v>
      </c>
      <c r="G28" s="50">
        <v>0</v>
      </c>
      <c r="H28" s="50">
        <v>2</v>
      </c>
      <c r="I28" s="50">
        <v>12</v>
      </c>
      <c r="J28" s="50">
        <v>8</v>
      </c>
      <c r="K28" s="50">
        <v>2</v>
      </c>
      <c r="L28" s="50">
        <v>0</v>
      </c>
      <c r="M28" s="50">
        <v>80</v>
      </c>
      <c r="N28" s="50">
        <v>0</v>
      </c>
      <c r="O28" s="15">
        <f t="shared" si="0"/>
        <v>141</v>
      </c>
      <c r="P28" s="15">
        <f t="shared" si="1"/>
        <v>221</v>
      </c>
      <c r="R28" s="5" t="s">
        <v>17</v>
      </c>
      <c r="S28" s="16">
        <f t="shared" ref="S28:AF28" si="20">SUM(S10:S21)</f>
        <v>2237</v>
      </c>
      <c r="T28" s="16">
        <f t="shared" si="20"/>
        <v>326</v>
      </c>
      <c r="U28" s="16">
        <f t="shared" si="20"/>
        <v>252</v>
      </c>
      <c r="V28" s="16">
        <f t="shared" si="20"/>
        <v>1981</v>
      </c>
      <c r="W28" s="16">
        <f t="shared" si="20"/>
        <v>44</v>
      </c>
      <c r="X28" s="16">
        <f t="shared" si="20"/>
        <v>29</v>
      </c>
      <c r="Y28" s="16">
        <f t="shared" si="20"/>
        <v>562</v>
      </c>
      <c r="Z28" s="16">
        <f t="shared" si="20"/>
        <v>349</v>
      </c>
      <c r="AA28" s="16">
        <f t="shared" si="20"/>
        <v>41</v>
      </c>
      <c r="AB28" s="16">
        <f t="shared" si="20"/>
        <v>2</v>
      </c>
      <c r="AC28" s="16">
        <f t="shared" si="20"/>
        <v>5090</v>
      </c>
      <c r="AD28" s="16">
        <f t="shared" si="20"/>
        <v>0</v>
      </c>
      <c r="AE28" s="32">
        <f t="shared" si="20"/>
        <v>5823</v>
      </c>
      <c r="AF28" s="32">
        <f t="shared" si="20"/>
        <v>10913</v>
      </c>
    </row>
    <row r="29" spans="2:32" ht="23.1" customHeight="1" x14ac:dyDescent="0.25">
      <c r="B29" s="23" t="s">
        <v>56</v>
      </c>
      <c r="C29" s="50">
        <v>47</v>
      </c>
      <c r="D29" s="50">
        <v>7</v>
      </c>
      <c r="E29" s="50">
        <v>5</v>
      </c>
      <c r="F29" s="50">
        <v>40</v>
      </c>
      <c r="G29" s="50">
        <v>0</v>
      </c>
      <c r="H29" s="50">
        <v>0</v>
      </c>
      <c r="I29" s="50">
        <v>12</v>
      </c>
      <c r="J29" s="50">
        <v>8</v>
      </c>
      <c r="K29" s="50">
        <v>1</v>
      </c>
      <c r="L29" s="50">
        <v>0</v>
      </c>
      <c r="M29" s="50">
        <v>111</v>
      </c>
      <c r="N29" s="50">
        <v>0</v>
      </c>
      <c r="O29" s="15">
        <f t="shared" si="0"/>
        <v>120</v>
      </c>
      <c r="P29" s="15">
        <f t="shared" si="1"/>
        <v>231</v>
      </c>
      <c r="R29"/>
      <c r="S29" s="20"/>
      <c r="T29" s="19"/>
    </row>
    <row r="30" spans="2:32" ht="23.1" customHeight="1" x14ac:dyDescent="0.25">
      <c r="B30" s="23" t="s">
        <v>57</v>
      </c>
      <c r="C30" s="50">
        <v>50</v>
      </c>
      <c r="D30" s="50">
        <v>12</v>
      </c>
      <c r="E30" s="50">
        <v>13</v>
      </c>
      <c r="F30" s="50">
        <v>49</v>
      </c>
      <c r="G30" s="50">
        <v>3</v>
      </c>
      <c r="H30" s="50">
        <v>0</v>
      </c>
      <c r="I30" s="50">
        <v>17</v>
      </c>
      <c r="J30" s="50">
        <v>9</v>
      </c>
      <c r="K30" s="50">
        <v>1</v>
      </c>
      <c r="L30" s="50">
        <v>0</v>
      </c>
      <c r="M30" s="50">
        <v>114</v>
      </c>
      <c r="N30" s="50">
        <v>0</v>
      </c>
      <c r="O30" s="15">
        <f t="shared" si="0"/>
        <v>154</v>
      </c>
      <c r="P30" s="15">
        <f t="shared" si="1"/>
        <v>268</v>
      </c>
    </row>
    <row r="31" spans="2:32" ht="23.1" customHeight="1" x14ac:dyDescent="0.25">
      <c r="B31" s="24" t="s">
        <v>58</v>
      </c>
      <c r="C31" s="50">
        <v>25</v>
      </c>
      <c r="D31" s="50">
        <v>8</v>
      </c>
      <c r="E31" s="50">
        <v>3</v>
      </c>
      <c r="F31" s="50">
        <v>13</v>
      </c>
      <c r="G31" s="50">
        <v>0</v>
      </c>
      <c r="H31" s="50">
        <v>0</v>
      </c>
      <c r="I31" s="50">
        <v>4</v>
      </c>
      <c r="J31" s="50">
        <v>2</v>
      </c>
      <c r="K31" s="50">
        <v>1</v>
      </c>
      <c r="L31" s="50">
        <v>0</v>
      </c>
      <c r="M31" s="50">
        <v>83</v>
      </c>
      <c r="N31" s="50">
        <v>0</v>
      </c>
      <c r="O31" s="15">
        <f t="shared" si="0"/>
        <v>56</v>
      </c>
      <c r="P31" s="15">
        <f t="shared" si="1"/>
        <v>139</v>
      </c>
    </row>
    <row r="32" spans="2:32" ht="23.1" customHeight="1" x14ac:dyDescent="0.25">
      <c r="B32" s="24" t="s">
        <v>59</v>
      </c>
      <c r="C32" s="50">
        <v>44</v>
      </c>
      <c r="D32" s="50">
        <v>8</v>
      </c>
      <c r="E32" s="50">
        <v>6</v>
      </c>
      <c r="F32" s="50">
        <v>49</v>
      </c>
      <c r="G32" s="50">
        <v>0</v>
      </c>
      <c r="H32" s="50">
        <v>1</v>
      </c>
      <c r="I32" s="50">
        <v>21</v>
      </c>
      <c r="J32" s="50">
        <v>10</v>
      </c>
      <c r="K32" s="50">
        <v>1</v>
      </c>
      <c r="L32" s="50">
        <v>0</v>
      </c>
      <c r="M32" s="50">
        <v>66</v>
      </c>
      <c r="N32" s="50">
        <v>0</v>
      </c>
      <c r="O32" s="15">
        <f t="shared" si="0"/>
        <v>140</v>
      </c>
      <c r="P32" s="15">
        <f t="shared" si="1"/>
        <v>206</v>
      </c>
    </row>
    <row r="33" spans="2:20" ht="23.1" customHeight="1" x14ac:dyDescent="0.25">
      <c r="B33" s="23" t="s">
        <v>60</v>
      </c>
      <c r="C33" s="50">
        <v>14</v>
      </c>
      <c r="D33" s="50">
        <v>2</v>
      </c>
      <c r="E33" s="50">
        <v>2</v>
      </c>
      <c r="F33" s="50">
        <v>20</v>
      </c>
      <c r="G33" s="50">
        <v>0</v>
      </c>
      <c r="H33" s="50">
        <v>0</v>
      </c>
      <c r="I33" s="50">
        <v>8</v>
      </c>
      <c r="J33" s="50">
        <v>4</v>
      </c>
      <c r="K33" s="50">
        <v>1</v>
      </c>
      <c r="L33" s="50">
        <v>0</v>
      </c>
      <c r="M33" s="50">
        <v>30</v>
      </c>
      <c r="N33" s="50">
        <v>0</v>
      </c>
      <c r="O33" s="15">
        <f t="shared" si="0"/>
        <v>51</v>
      </c>
      <c r="P33" s="15">
        <f t="shared" si="1"/>
        <v>81</v>
      </c>
    </row>
    <row r="34" spans="2:20" ht="23.1" customHeight="1" x14ac:dyDescent="0.25">
      <c r="B34" s="24" t="s">
        <v>61</v>
      </c>
      <c r="C34" s="50">
        <v>40</v>
      </c>
      <c r="D34" s="50">
        <v>10</v>
      </c>
      <c r="E34" s="50">
        <v>6</v>
      </c>
      <c r="F34" s="50">
        <v>35</v>
      </c>
      <c r="G34" s="50">
        <v>0</v>
      </c>
      <c r="H34" s="50">
        <v>1</v>
      </c>
      <c r="I34" s="50">
        <v>21</v>
      </c>
      <c r="J34" s="50">
        <v>7</v>
      </c>
      <c r="K34" s="50">
        <v>0</v>
      </c>
      <c r="L34" s="50">
        <v>0</v>
      </c>
      <c r="M34" s="50">
        <v>71</v>
      </c>
      <c r="N34" s="50">
        <v>0</v>
      </c>
      <c r="O34" s="15">
        <f t="shared" si="0"/>
        <v>120</v>
      </c>
      <c r="P34" s="15">
        <f t="shared" si="1"/>
        <v>191</v>
      </c>
    </row>
    <row r="35" spans="2:20" ht="23.1" customHeight="1" x14ac:dyDescent="0.25">
      <c r="B35" s="24" t="s">
        <v>62</v>
      </c>
      <c r="C35" s="50">
        <v>29</v>
      </c>
      <c r="D35" s="50">
        <v>4</v>
      </c>
      <c r="E35" s="50">
        <v>4</v>
      </c>
      <c r="F35" s="50">
        <v>25</v>
      </c>
      <c r="G35" s="50">
        <v>1</v>
      </c>
      <c r="H35" s="50">
        <v>0</v>
      </c>
      <c r="I35" s="50">
        <v>16</v>
      </c>
      <c r="J35" s="50">
        <v>5</v>
      </c>
      <c r="K35" s="50">
        <v>0</v>
      </c>
      <c r="L35" s="50">
        <v>0</v>
      </c>
      <c r="M35" s="50">
        <v>69</v>
      </c>
      <c r="N35" s="50">
        <v>0</v>
      </c>
      <c r="O35" s="15">
        <f t="shared" si="0"/>
        <v>84</v>
      </c>
      <c r="P35" s="15">
        <f t="shared" si="1"/>
        <v>153</v>
      </c>
    </row>
    <row r="36" spans="2:20" ht="23.1" customHeight="1" x14ac:dyDescent="0.25">
      <c r="B36" s="24" t="s">
        <v>63</v>
      </c>
      <c r="C36" s="50">
        <v>37</v>
      </c>
      <c r="D36" s="50">
        <v>8</v>
      </c>
      <c r="E36" s="50">
        <v>13</v>
      </c>
      <c r="F36" s="50">
        <v>46</v>
      </c>
      <c r="G36" s="50">
        <v>0</v>
      </c>
      <c r="H36" s="50">
        <v>0</v>
      </c>
      <c r="I36" s="50">
        <v>13</v>
      </c>
      <c r="J36" s="50">
        <v>6</v>
      </c>
      <c r="K36" s="50">
        <v>0</v>
      </c>
      <c r="L36" s="50">
        <v>0</v>
      </c>
      <c r="M36" s="50">
        <v>78</v>
      </c>
      <c r="N36" s="50">
        <v>0</v>
      </c>
      <c r="O36" s="15">
        <f t="shared" si="0"/>
        <v>123</v>
      </c>
      <c r="P36" s="15">
        <f t="shared" si="1"/>
        <v>201</v>
      </c>
    </row>
    <row r="37" spans="2:20" ht="23.1" customHeight="1" x14ac:dyDescent="0.25">
      <c r="B37" s="23" t="s">
        <v>64</v>
      </c>
      <c r="C37" s="50">
        <v>39</v>
      </c>
      <c r="D37" s="50">
        <v>7</v>
      </c>
      <c r="E37" s="50">
        <v>4</v>
      </c>
      <c r="F37" s="50">
        <v>38</v>
      </c>
      <c r="G37" s="50">
        <v>0</v>
      </c>
      <c r="H37" s="50">
        <v>0</v>
      </c>
      <c r="I37" s="50">
        <v>18</v>
      </c>
      <c r="J37" s="50">
        <v>14</v>
      </c>
      <c r="K37" s="50">
        <v>2</v>
      </c>
      <c r="L37" s="50">
        <v>0</v>
      </c>
      <c r="M37" s="50">
        <v>69</v>
      </c>
      <c r="N37" s="50">
        <v>0</v>
      </c>
      <c r="O37" s="15">
        <f t="shared" si="0"/>
        <v>122</v>
      </c>
      <c r="P37" s="15">
        <f t="shared" si="1"/>
        <v>191</v>
      </c>
    </row>
    <row r="38" spans="2:20" ht="23.1" customHeight="1" x14ac:dyDescent="0.25">
      <c r="B38" s="24" t="s">
        <v>65</v>
      </c>
      <c r="C38" s="50">
        <v>37</v>
      </c>
      <c r="D38" s="50">
        <v>5</v>
      </c>
      <c r="E38" s="50">
        <v>8</v>
      </c>
      <c r="F38" s="50">
        <v>36</v>
      </c>
      <c r="G38" s="50">
        <v>0</v>
      </c>
      <c r="H38" s="50">
        <v>1</v>
      </c>
      <c r="I38" s="50">
        <v>16</v>
      </c>
      <c r="J38" s="50">
        <v>7</v>
      </c>
      <c r="K38" s="50">
        <v>0</v>
      </c>
      <c r="L38" s="50">
        <v>0</v>
      </c>
      <c r="M38" s="50">
        <v>97</v>
      </c>
      <c r="N38" s="50">
        <v>0</v>
      </c>
      <c r="O38" s="15">
        <f t="shared" si="0"/>
        <v>110</v>
      </c>
      <c r="P38" s="15">
        <f t="shared" si="1"/>
        <v>207</v>
      </c>
    </row>
    <row r="39" spans="2:20" ht="23.1" customHeight="1" x14ac:dyDescent="0.25">
      <c r="B39" s="24" t="s">
        <v>66</v>
      </c>
      <c r="C39" s="50">
        <v>50</v>
      </c>
      <c r="D39" s="50">
        <v>6</v>
      </c>
      <c r="E39" s="50">
        <v>4</v>
      </c>
      <c r="F39" s="50">
        <v>40</v>
      </c>
      <c r="G39" s="50">
        <v>0</v>
      </c>
      <c r="H39" s="50">
        <v>1</v>
      </c>
      <c r="I39" s="50">
        <v>12</v>
      </c>
      <c r="J39" s="50">
        <v>10</v>
      </c>
      <c r="K39" s="50">
        <v>1</v>
      </c>
      <c r="L39" s="50">
        <v>1</v>
      </c>
      <c r="M39" s="50">
        <v>110</v>
      </c>
      <c r="N39" s="50">
        <v>0</v>
      </c>
      <c r="O39" s="15">
        <f t="shared" si="0"/>
        <v>125</v>
      </c>
      <c r="P39" s="15">
        <f t="shared" si="1"/>
        <v>235</v>
      </c>
    </row>
    <row r="40" spans="2:20" ht="23.1" customHeight="1" x14ac:dyDescent="0.25">
      <c r="B40" s="24" t="s">
        <v>67</v>
      </c>
      <c r="C40" s="50">
        <v>42</v>
      </c>
      <c r="D40" s="50">
        <v>3</v>
      </c>
      <c r="E40" s="50">
        <v>4</v>
      </c>
      <c r="F40" s="50">
        <v>47</v>
      </c>
      <c r="G40" s="50">
        <v>0</v>
      </c>
      <c r="H40" s="50">
        <v>0</v>
      </c>
      <c r="I40" s="50">
        <v>16</v>
      </c>
      <c r="J40" s="50">
        <v>9</v>
      </c>
      <c r="K40" s="50">
        <v>1</v>
      </c>
      <c r="L40" s="50">
        <v>0</v>
      </c>
      <c r="M40" s="50">
        <v>86</v>
      </c>
      <c r="N40" s="50">
        <v>0</v>
      </c>
      <c r="O40" s="15">
        <f t="shared" si="0"/>
        <v>122</v>
      </c>
      <c r="P40" s="15">
        <f t="shared" si="1"/>
        <v>208</v>
      </c>
    </row>
    <row r="41" spans="2:20" ht="23.1" customHeight="1" x14ac:dyDescent="0.25">
      <c r="B41" s="23" t="s">
        <v>68</v>
      </c>
      <c r="C41" s="50">
        <v>37</v>
      </c>
      <c r="D41" s="50">
        <v>5</v>
      </c>
      <c r="E41" s="50">
        <v>13</v>
      </c>
      <c r="F41" s="50">
        <v>23</v>
      </c>
      <c r="G41" s="50">
        <v>2</v>
      </c>
      <c r="H41" s="50">
        <v>1</v>
      </c>
      <c r="I41" s="50">
        <v>15</v>
      </c>
      <c r="J41" s="50">
        <v>4</v>
      </c>
      <c r="K41" s="50">
        <v>1</v>
      </c>
      <c r="L41" s="50">
        <v>0</v>
      </c>
      <c r="M41" s="50">
        <v>73</v>
      </c>
      <c r="N41" s="50">
        <v>0</v>
      </c>
      <c r="O41" s="15">
        <f t="shared" si="0"/>
        <v>101</v>
      </c>
      <c r="P41" s="15">
        <f t="shared" si="1"/>
        <v>174</v>
      </c>
    </row>
    <row r="42" spans="2:20" ht="23.1" customHeight="1" x14ac:dyDescent="0.25">
      <c r="B42" s="24" t="s">
        <v>69</v>
      </c>
      <c r="C42" s="50">
        <v>35</v>
      </c>
      <c r="D42" s="50">
        <v>1</v>
      </c>
      <c r="E42" s="50">
        <v>3</v>
      </c>
      <c r="F42" s="50">
        <v>20</v>
      </c>
      <c r="G42" s="50">
        <v>5</v>
      </c>
      <c r="H42" s="50">
        <v>1</v>
      </c>
      <c r="I42" s="50">
        <v>13</v>
      </c>
      <c r="J42" s="50">
        <v>6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84</v>
      </c>
      <c r="P42" s="15">
        <f t="shared" si="1"/>
        <v>90</v>
      </c>
    </row>
    <row r="43" spans="2:20" ht="23.1" customHeight="1" x14ac:dyDescent="0.25">
      <c r="B43" s="23" t="s">
        <v>70</v>
      </c>
      <c r="C43" s="50">
        <v>20</v>
      </c>
      <c r="D43" s="50">
        <v>5</v>
      </c>
      <c r="E43" s="50">
        <v>2</v>
      </c>
      <c r="F43" s="50">
        <v>25</v>
      </c>
      <c r="G43" s="50">
        <v>0</v>
      </c>
      <c r="H43" s="50">
        <v>0</v>
      </c>
      <c r="I43" s="50">
        <v>7</v>
      </c>
      <c r="J43" s="50">
        <v>11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70</v>
      </c>
      <c r="P43" s="15">
        <f t="shared" si="1"/>
        <v>71</v>
      </c>
    </row>
    <row r="44" spans="2:20" ht="23.1" customHeight="1" x14ac:dyDescent="0.25">
      <c r="B44" s="25" t="s">
        <v>71</v>
      </c>
      <c r="C44" s="50">
        <v>36</v>
      </c>
      <c r="D44" s="50">
        <v>4</v>
      </c>
      <c r="E44" s="50">
        <v>3</v>
      </c>
      <c r="F44" s="50">
        <v>37</v>
      </c>
      <c r="G44" s="50">
        <v>0</v>
      </c>
      <c r="H44" s="50">
        <v>0</v>
      </c>
      <c r="I44" s="50">
        <v>9</v>
      </c>
      <c r="J44" s="50">
        <v>0</v>
      </c>
      <c r="K44" s="50">
        <v>1</v>
      </c>
      <c r="L44" s="50">
        <v>0</v>
      </c>
      <c r="M44" s="50">
        <v>9</v>
      </c>
      <c r="N44" s="50">
        <v>0</v>
      </c>
      <c r="O44" s="15">
        <f t="shared" si="0"/>
        <v>90</v>
      </c>
      <c r="P44" s="15">
        <f t="shared" si="1"/>
        <v>99</v>
      </c>
    </row>
    <row r="45" spans="2:20" ht="23.1" customHeight="1" x14ac:dyDescent="0.25">
      <c r="B45" s="23" t="s">
        <v>72</v>
      </c>
      <c r="C45" s="50">
        <v>60</v>
      </c>
      <c r="D45" s="50">
        <v>3</v>
      </c>
      <c r="E45" s="50">
        <v>3</v>
      </c>
      <c r="F45" s="50">
        <v>29</v>
      </c>
      <c r="G45" s="50">
        <v>0</v>
      </c>
      <c r="H45" s="50">
        <v>0</v>
      </c>
      <c r="I45" s="50">
        <v>19</v>
      </c>
      <c r="J45" s="50">
        <v>9</v>
      </c>
      <c r="K45" s="50">
        <v>0</v>
      </c>
      <c r="L45" s="50">
        <v>0</v>
      </c>
      <c r="M45" s="50">
        <v>90</v>
      </c>
      <c r="N45" s="50">
        <v>0</v>
      </c>
      <c r="O45" s="15">
        <f t="shared" si="0"/>
        <v>123</v>
      </c>
      <c r="P45" s="15">
        <f t="shared" si="1"/>
        <v>213</v>
      </c>
    </row>
    <row r="46" spans="2:20" ht="23.1" customHeight="1" x14ac:dyDescent="0.25">
      <c r="B46" s="24" t="s">
        <v>73</v>
      </c>
      <c r="C46" s="50">
        <v>26</v>
      </c>
      <c r="D46" s="50">
        <v>6</v>
      </c>
      <c r="E46" s="50">
        <v>8</v>
      </c>
      <c r="F46" s="50">
        <v>34</v>
      </c>
      <c r="G46" s="50">
        <v>1</v>
      </c>
      <c r="H46" s="50">
        <v>1</v>
      </c>
      <c r="I46" s="50">
        <v>16</v>
      </c>
      <c r="J46" s="50">
        <v>6</v>
      </c>
      <c r="K46" s="50">
        <v>0</v>
      </c>
      <c r="L46" s="50">
        <v>0</v>
      </c>
      <c r="M46" s="50">
        <v>120</v>
      </c>
      <c r="N46" s="50">
        <v>0</v>
      </c>
      <c r="O46" s="15">
        <f t="shared" si="0"/>
        <v>98</v>
      </c>
      <c r="P46" s="15">
        <f t="shared" si="1"/>
        <v>218</v>
      </c>
      <c r="R46" s="8"/>
      <c r="T46"/>
    </row>
    <row r="47" spans="2:20" ht="23.1" customHeight="1" x14ac:dyDescent="0.25">
      <c r="B47" s="24" t="s">
        <v>74</v>
      </c>
      <c r="C47" s="50">
        <v>27</v>
      </c>
      <c r="D47" s="50">
        <v>6</v>
      </c>
      <c r="E47" s="50">
        <v>6</v>
      </c>
      <c r="F47" s="50">
        <v>36</v>
      </c>
      <c r="G47" s="50">
        <v>0</v>
      </c>
      <c r="H47" s="50">
        <v>0</v>
      </c>
      <c r="I47" s="50">
        <v>16</v>
      </c>
      <c r="J47" s="50">
        <v>11</v>
      </c>
      <c r="K47" s="50">
        <v>0</v>
      </c>
      <c r="L47" s="50">
        <v>0</v>
      </c>
      <c r="M47" s="50">
        <v>115</v>
      </c>
      <c r="N47" s="50">
        <v>0</v>
      </c>
      <c r="O47" s="15">
        <f t="shared" si="0"/>
        <v>102</v>
      </c>
      <c r="P47" s="15">
        <f t="shared" si="1"/>
        <v>217</v>
      </c>
      <c r="R47" s="8"/>
      <c r="T47"/>
    </row>
    <row r="48" spans="2:20" ht="23.1" customHeight="1" x14ac:dyDescent="0.25">
      <c r="B48" s="24" t="s">
        <v>75</v>
      </c>
      <c r="C48" s="50">
        <v>39</v>
      </c>
      <c r="D48" s="50">
        <v>4</v>
      </c>
      <c r="E48" s="50">
        <v>4</v>
      </c>
      <c r="F48" s="50">
        <v>35</v>
      </c>
      <c r="G48" s="50">
        <v>0</v>
      </c>
      <c r="H48" s="50">
        <v>0</v>
      </c>
      <c r="I48" s="50">
        <v>20</v>
      </c>
      <c r="J48" s="50">
        <v>12</v>
      </c>
      <c r="K48" s="50">
        <v>1</v>
      </c>
      <c r="L48" s="50">
        <v>0</v>
      </c>
      <c r="M48" s="50">
        <v>130</v>
      </c>
      <c r="N48" s="50">
        <v>0</v>
      </c>
      <c r="O48" s="15">
        <f t="shared" si="0"/>
        <v>115</v>
      </c>
      <c r="P48" s="15">
        <f t="shared" si="1"/>
        <v>245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9</v>
      </c>
      <c r="E49" s="50">
        <v>4</v>
      </c>
      <c r="F49" s="50">
        <v>30</v>
      </c>
      <c r="G49" s="50">
        <v>1</v>
      </c>
      <c r="H49" s="50">
        <v>0</v>
      </c>
      <c r="I49" s="50">
        <v>11</v>
      </c>
      <c r="J49" s="50">
        <v>6</v>
      </c>
      <c r="K49" s="50">
        <v>2</v>
      </c>
      <c r="L49" s="50">
        <v>0</v>
      </c>
      <c r="M49" s="50">
        <v>119</v>
      </c>
      <c r="N49" s="50">
        <v>0</v>
      </c>
      <c r="O49" s="15">
        <f t="shared" si="0"/>
        <v>93</v>
      </c>
      <c r="P49" s="15">
        <f t="shared" si="1"/>
        <v>212</v>
      </c>
      <c r="R49" s="8"/>
      <c r="T49"/>
    </row>
    <row r="50" spans="2:20" ht="23.1" customHeight="1" x14ac:dyDescent="0.25">
      <c r="B50" s="24" t="s">
        <v>77</v>
      </c>
      <c r="C50" s="50">
        <v>48</v>
      </c>
      <c r="D50" s="50">
        <v>7</v>
      </c>
      <c r="E50" s="50">
        <v>0</v>
      </c>
      <c r="F50" s="50">
        <v>52</v>
      </c>
      <c r="G50" s="50">
        <v>2</v>
      </c>
      <c r="H50" s="50">
        <v>1</v>
      </c>
      <c r="I50" s="50">
        <v>21</v>
      </c>
      <c r="J50" s="50">
        <v>2</v>
      </c>
      <c r="K50" s="50">
        <v>0</v>
      </c>
      <c r="L50" s="50">
        <v>0</v>
      </c>
      <c r="M50" s="50">
        <v>159</v>
      </c>
      <c r="N50" s="50">
        <v>0</v>
      </c>
      <c r="O50" s="15">
        <f t="shared" si="0"/>
        <v>133</v>
      </c>
      <c r="P50" s="15">
        <f t="shared" si="1"/>
        <v>292</v>
      </c>
      <c r="R50" s="8"/>
      <c r="T50"/>
    </row>
    <row r="51" spans="2:20" ht="23.1" customHeight="1" x14ac:dyDescent="0.25">
      <c r="B51" s="24" t="s">
        <v>78</v>
      </c>
      <c r="C51" s="50">
        <v>52</v>
      </c>
      <c r="D51" s="50">
        <v>6</v>
      </c>
      <c r="E51" s="50">
        <v>2</v>
      </c>
      <c r="F51" s="50">
        <v>60</v>
      </c>
      <c r="G51" s="50">
        <v>4</v>
      </c>
      <c r="H51" s="50">
        <v>0</v>
      </c>
      <c r="I51" s="50">
        <v>18</v>
      </c>
      <c r="J51" s="50">
        <v>8</v>
      </c>
      <c r="K51" s="50">
        <v>2</v>
      </c>
      <c r="L51" s="50">
        <v>0</v>
      </c>
      <c r="M51" s="50">
        <v>140</v>
      </c>
      <c r="N51" s="50">
        <v>0</v>
      </c>
      <c r="O51" s="15">
        <f t="shared" si="0"/>
        <v>152</v>
      </c>
      <c r="P51" s="15">
        <f t="shared" si="1"/>
        <v>292</v>
      </c>
      <c r="R51" s="8"/>
      <c r="T51"/>
    </row>
    <row r="52" spans="2:20" ht="23.1" customHeight="1" x14ac:dyDescent="0.25">
      <c r="B52" s="24" t="s">
        <v>79</v>
      </c>
      <c r="C52" s="50">
        <v>46</v>
      </c>
      <c r="D52" s="50">
        <v>8</v>
      </c>
      <c r="E52" s="50">
        <v>2</v>
      </c>
      <c r="F52" s="50">
        <v>51</v>
      </c>
      <c r="G52" s="50">
        <v>0</v>
      </c>
      <c r="H52" s="50">
        <v>0</v>
      </c>
      <c r="I52" s="50">
        <v>15</v>
      </c>
      <c r="J52" s="50">
        <v>14</v>
      </c>
      <c r="K52" s="50">
        <v>0</v>
      </c>
      <c r="L52" s="50">
        <v>0</v>
      </c>
      <c r="M52" s="50">
        <v>180</v>
      </c>
      <c r="N52" s="50">
        <v>0</v>
      </c>
      <c r="O52" s="15">
        <f t="shared" si="0"/>
        <v>136</v>
      </c>
      <c r="P52" s="15">
        <f t="shared" si="1"/>
        <v>316</v>
      </c>
      <c r="R52" s="8"/>
      <c r="T52"/>
    </row>
    <row r="53" spans="2:20" ht="23.1" customHeight="1" x14ac:dyDescent="0.25">
      <c r="B53" s="23" t="s">
        <v>80</v>
      </c>
      <c r="C53" s="50">
        <v>36</v>
      </c>
      <c r="D53" s="50">
        <v>6</v>
      </c>
      <c r="E53" s="50">
        <v>5</v>
      </c>
      <c r="F53" s="50">
        <v>65</v>
      </c>
      <c r="G53" s="50">
        <v>0</v>
      </c>
      <c r="H53" s="50">
        <v>0</v>
      </c>
      <c r="I53" s="50">
        <v>15</v>
      </c>
      <c r="J53" s="50">
        <v>7</v>
      </c>
      <c r="K53" s="50">
        <v>2</v>
      </c>
      <c r="L53" s="50">
        <v>0</v>
      </c>
      <c r="M53" s="50">
        <v>156</v>
      </c>
      <c r="N53" s="50">
        <v>0</v>
      </c>
      <c r="O53" s="15">
        <f t="shared" si="0"/>
        <v>136</v>
      </c>
      <c r="P53" s="15">
        <f t="shared" si="1"/>
        <v>292</v>
      </c>
      <c r="R53" s="8"/>
      <c r="T53"/>
    </row>
    <row r="54" spans="2:20" ht="23.1" customHeight="1" x14ac:dyDescent="0.25">
      <c r="B54" s="23" t="s">
        <v>81</v>
      </c>
      <c r="C54" s="50">
        <v>41</v>
      </c>
      <c r="D54" s="50">
        <v>2</v>
      </c>
      <c r="E54" s="50">
        <v>4</v>
      </c>
      <c r="F54" s="50">
        <v>52</v>
      </c>
      <c r="G54" s="50">
        <v>3</v>
      </c>
      <c r="H54" s="50">
        <v>3</v>
      </c>
      <c r="I54" s="50">
        <v>11</v>
      </c>
      <c r="J54" s="50">
        <v>13</v>
      </c>
      <c r="K54" s="50">
        <v>2</v>
      </c>
      <c r="L54" s="50">
        <v>0</v>
      </c>
      <c r="M54" s="50">
        <v>203</v>
      </c>
      <c r="N54" s="50">
        <v>0</v>
      </c>
      <c r="O54" s="15">
        <f t="shared" si="0"/>
        <v>131</v>
      </c>
      <c r="P54" s="15">
        <f t="shared" si="1"/>
        <v>334</v>
      </c>
      <c r="R54" s="8"/>
      <c r="T54"/>
    </row>
    <row r="55" spans="2:20" ht="23.1" customHeight="1" x14ac:dyDescent="0.25">
      <c r="B55" s="23" t="s">
        <v>82</v>
      </c>
      <c r="C55" s="50">
        <v>35</v>
      </c>
      <c r="D55" s="50">
        <v>4</v>
      </c>
      <c r="E55" s="50">
        <v>1</v>
      </c>
      <c r="F55" s="50">
        <v>50</v>
      </c>
      <c r="G55" s="50">
        <v>0</v>
      </c>
      <c r="H55" s="50">
        <v>1</v>
      </c>
      <c r="I55" s="50">
        <v>13</v>
      </c>
      <c r="J55" s="50">
        <v>12</v>
      </c>
      <c r="K55" s="50">
        <v>0</v>
      </c>
      <c r="L55" s="50">
        <v>0</v>
      </c>
      <c r="M55" s="50">
        <v>125</v>
      </c>
      <c r="N55" s="50">
        <v>0</v>
      </c>
      <c r="O55" s="15">
        <f t="shared" si="0"/>
        <v>116</v>
      </c>
      <c r="P55" s="15">
        <f t="shared" si="1"/>
        <v>241</v>
      </c>
      <c r="R55" s="8"/>
      <c r="T55"/>
    </row>
    <row r="56" spans="2:20" ht="23.1" customHeight="1" x14ac:dyDescent="0.25">
      <c r="B56" s="23" t="s">
        <v>83</v>
      </c>
      <c r="C56" s="50">
        <v>48</v>
      </c>
      <c r="D56" s="50">
        <v>5</v>
      </c>
      <c r="E56" s="50">
        <v>3</v>
      </c>
      <c r="F56" s="50">
        <v>65</v>
      </c>
      <c r="G56" s="50">
        <v>3</v>
      </c>
      <c r="H56" s="50">
        <v>1</v>
      </c>
      <c r="I56" s="50">
        <v>22</v>
      </c>
      <c r="J56" s="50">
        <v>8</v>
      </c>
      <c r="K56" s="50">
        <v>0</v>
      </c>
      <c r="L56" s="50">
        <v>0</v>
      </c>
      <c r="M56" s="50">
        <v>170</v>
      </c>
      <c r="N56" s="50">
        <v>0</v>
      </c>
      <c r="O56" s="15">
        <f t="shared" si="0"/>
        <v>155</v>
      </c>
      <c r="P56" s="15">
        <f t="shared" si="1"/>
        <v>325</v>
      </c>
      <c r="R56" s="8"/>
      <c r="T56"/>
    </row>
    <row r="57" spans="2:20" ht="23.1" customHeight="1" x14ac:dyDescent="0.25">
      <c r="B57" s="23" t="s">
        <v>84</v>
      </c>
      <c r="C57" s="50">
        <v>38</v>
      </c>
      <c r="D57" s="50">
        <v>7</v>
      </c>
      <c r="E57" s="50">
        <v>9</v>
      </c>
      <c r="F57" s="50">
        <v>79</v>
      </c>
      <c r="G57" s="50">
        <v>4</v>
      </c>
      <c r="H57" s="50">
        <v>1</v>
      </c>
      <c r="I57" s="50">
        <v>10</v>
      </c>
      <c r="J57" s="50">
        <v>12</v>
      </c>
      <c r="K57" s="50">
        <v>0</v>
      </c>
      <c r="L57" s="50">
        <v>0</v>
      </c>
      <c r="M57" s="50">
        <v>213</v>
      </c>
      <c r="N57" s="50">
        <v>0</v>
      </c>
      <c r="O57" s="15">
        <f t="shared" si="0"/>
        <v>160</v>
      </c>
      <c r="P57" s="15">
        <f t="shared" si="1"/>
        <v>373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2237</v>
      </c>
      <c r="D58" s="16">
        <f t="shared" si="21"/>
        <v>326</v>
      </c>
      <c r="E58" s="16">
        <f t="shared" si="21"/>
        <v>252</v>
      </c>
      <c r="F58" s="16">
        <f t="shared" si="21"/>
        <v>1981</v>
      </c>
      <c r="G58" s="16">
        <f t="shared" si="21"/>
        <v>44</v>
      </c>
      <c r="H58" s="16">
        <f t="shared" si="21"/>
        <v>29</v>
      </c>
      <c r="I58" s="16">
        <f t="shared" si="21"/>
        <v>562</v>
      </c>
      <c r="J58" s="16">
        <f t="shared" si="21"/>
        <v>349</v>
      </c>
      <c r="K58" s="16">
        <f t="shared" si="21"/>
        <v>41</v>
      </c>
      <c r="L58" s="16">
        <f t="shared" si="21"/>
        <v>2</v>
      </c>
      <c r="M58" s="16">
        <f t="shared" si="21"/>
        <v>5090</v>
      </c>
      <c r="N58" s="16">
        <f t="shared" si="21"/>
        <v>0</v>
      </c>
      <c r="O58" s="16">
        <f t="shared" si="21"/>
        <v>5823</v>
      </c>
      <c r="P58" s="16">
        <f t="shared" si="21"/>
        <v>10913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0.20498488041785026</v>
      </c>
      <c r="D59" s="43">
        <f t="shared" si="22"/>
        <v>2.987262897461743E-2</v>
      </c>
      <c r="E59" s="43">
        <f t="shared" si="22"/>
        <v>2.3091725465041693E-2</v>
      </c>
      <c r="F59" s="43">
        <f t="shared" si="22"/>
        <v>0.18152661962796665</v>
      </c>
      <c r="G59" s="43">
        <f t="shared" si="22"/>
        <v>4.0318885732612483E-3</v>
      </c>
      <c r="H59" s="43">
        <f t="shared" si="22"/>
        <v>2.6573811051040044E-3</v>
      </c>
      <c r="I59" s="43">
        <f t="shared" si="22"/>
        <v>5.1498213140291398E-2</v>
      </c>
      <c r="J59" s="43">
        <f t="shared" si="22"/>
        <v>3.1980207092458537E-2</v>
      </c>
      <c r="K59" s="43">
        <f t="shared" si="22"/>
        <v>3.7569870796297991E-3</v>
      </c>
      <c r="L59" s="43">
        <f t="shared" si="22"/>
        <v>1.8326766242096582E-4</v>
      </c>
      <c r="M59" s="43">
        <f t="shared" si="22"/>
        <v>0.46641620086135799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0.38416623733470717</v>
      </c>
      <c r="D60" s="44">
        <f t="shared" ref="D60:N60" si="23">D58/$O$58</f>
        <v>5.5984887515026616E-2</v>
      </c>
      <c r="E60" s="44">
        <f t="shared" si="23"/>
        <v>4.3276661514683151E-2</v>
      </c>
      <c r="F60" s="44">
        <f t="shared" si="23"/>
        <v>0.34020264468487033</v>
      </c>
      <c r="G60" s="44">
        <f t="shared" si="23"/>
        <v>7.5562424866907089E-3</v>
      </c>
      <c r="H60" s="44">
        <f t="shared" si="23"/>
        <v>4.9802507298643307E-3</v>
      </c>
      <c r="I60" s="44">
        <f t="shared" si="23"/>
        <v>9.6513824489094971E-2</v>
      </c>
      <c r="J60" s="44">
        <f t="shared" si="23"/>
        <v>5.99347415421604E-2</v>
      </c>
      <c r="K60" s="44">
        <f t="shared" si="23"/>
        <v>7.0410441353254338E-3</v>
      </c>
      <c r="L60" s="44">
        <f t="shared" si="23"/>
        <v>3.4346556757685042E-4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5" t="str">
        <f>'22.07 KALERWE-GAYAZA'!G5:H5</f>
        <v>DELTA KYEBANDO</v>
      </c>
      <c r="H5" s="66"/>
      <c r="I5" s="14"/>
      <c r="J5" s="2" t="s">
        <v>5</v>
      </c>
      <c r="K5" s="65" t="str">
        <f>'22.07 KALERWE-GAYAZA'!K5:L5</f>
        <v>NALUBEGA JOSEPHINE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KALERWE-GAYAZA'!D6:E6</f>
        <v>KALERWE</v>
      </c>
      <c r="E6" s="66"/>
      <c r="F6" s="2" t="s">
        <v>2</v>
      </c>
      <c r="G6" s="65" t="str">
        <f>'22.07 KALERWE-GAYAZA'!G6:H6</f>
        <v>GAYAZA</v>
      </c>
      <c r="H6" s="66"/>
      <c r="J6" s="2" t="s">
        <v>21</v>
      </c>
      <c r="K6" s="65" t="s">
        <v>177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31</v>
      </c>
      <c r="D10" s="50">
        <v>9</v>
      </c>
      <c r="E10" s="50">
        <v>6</v>
      </c>
      <c r="F10" s="50">
        <v>75</v>
      </c>
      <c r="G10" s="50">
        <v>4</v>
      </c>
      <c r="H10" s="50">
        <v>1</v>
      </c>
      <c r="I10" s="50">
        <v>9</v>
      </c>
      <c r="J10" s="50">
        <v>2</v>
      </c>
      <c r="K10" s="50">
        <v>1</v>
      </c>
      <c r="L10" s="50">
        <v>1</v>
      </c>
      <c r="M10" s="50">
        <v>150</v>
      </c>
      <c r="N10" s="50">
        <v>0</v>
      </c>
      <c r="O10" s="15">
        <f t="shared" ref="O10:O57" si="0">SUM(C10:L10,N10)</f>
        <v>139</v>
      </c>
      <c r="P10" s="15">
        <f t="shared" ref="P10:P57" si="1">SUM(C10:N10)</f>
        <v>289</v>
      </c>
      <c r="R10" s="1" t="s">
        <v>6</v>
      </c>
      <c r="S10" s="17">
        <f t="shared" ref="S10:AF10" si="2">SUM(C10:C13)</f>
        <v>113</v>
      </c>
      <c r="T10" s="17">
        <f t="shared" si="2"/>
        <v>31</v>
      </c>
      <c r="U10" s="17">
        <f t="shared" si="2"/>
        <v>16</v>
      </c>
      <c r="V10" s="17">
        <f t="shared" si="2"/>
        <v>250</v>
      </c>
      <c r="W10" s="17">
        <f t="shared" si="2"/>
        <v>7</v>
      </c>
      <c r="X10" s="17">
        <f t="shared" si="2"/>
        <v>4</v>
      </c>
      <c r="Y10" s="17">
        <f t="shared" si="2"/>
        <v>22</v>
      </c>
      <c r="Z10" s="17">
        <f t="shared" si="2"/>
        <v>8</v>
      </c>
      <c r="AA10" s="17">
        <f t="shared" si="2"/>
        <v>4</v>
      </c>
      <c r="AB10" s="17">
        <f t="shared" si="2"/>
        <v>1</v>
      </c>
      <c r="AC10" s="17">
        <f t="shared" si="2"/>
        <v>748</v>
      </c>
      <c r="AD10" s="17">
        <f t="shared" si="2"/>
        <v>0</v>
      </c>
      <c r="AE10" s="31">
        <f t="shared" si="2"/>
        <v>456</v>
      </c>
      <c r="AF10" s="31">
        <f t="shared" si="2"/>
        <v>1204</v>
      </c>
    </row>
    <row r="11" spans="2:32" s="6" customFormat="1" ht="23.1" customHeight="1" x14ac:dyDescent="0.25">
      <c r="B11" s="23" t="s">
        <v>38</v>
      </c>
      <c r="C11" s="50">
        <v>27</v>
      </c>
      <c r="D11" s="50">
        <v>4</v>
      </c>
      <c r="E11" s="50">
        <v>2</v>
      </c>
      <c r="F11" s="50">
        <v>55</v>
      </c>
      <c r="G11" s="50">
        <v>3</v>
      </c>
      <c r="H11" s="50">
        <v>1</v>
      </c>
      <c r="I11" s="50">
        <v>2</v>
      </c>
      <c r="J11" s="50">
        <v>1</v>
      </c>
      <c r="K11" s="50">
        <v>1</v>
      </c>
      <c r="L11" s="50">
        <v>0</v>
      </c>
      <c r="M11" s="50">
        <v>161</v>
      </c>
      <c r="N11" s="50">
        <v>0</v>
      </c>
      <c r="O11" s="15">
        <f t="shared" si="0"/>
        <v>96</v>
      </c>
      <c r="P11" s="15">
        <f t="shared" si="1"/>
        <v>257</v>
      </c>
      <c r="R11" s="1" t="s">
        <v>7</v>
      </c>
      <c r="S11" s="17">
        <f t="shared" ref="S11:AF11" si="3">SUM(C14:C17)</f>
        <v>137</v>
      </c>
      <c r="T11" s="17">
        <f t="shared" si="3"/>
        <v>28</v>
      </c>
      <c r="U11" s="17">
        <f t="shared" si="3"/>
        <v>30</v>
      </c>
      <c r="V11" s="17">
        <f t="shared" si="3"/>
        <v>325</v>
      </c>
      <c r="W11" s="17">
        <f t="shared" si="3"/>
        <v>1</v>
      </c>
      <c r="X11" s="17">
        <f t="shared" si="3"/>
        <v>1</v>
      </c>
      <c r="Y11" s="17">
        <f t="shared" si="3"/>
        <v>29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1139</v>
      </c>
      <c r="AD11" s="17">
        <f t="shared" si="3"/>
        <v>0</v>
      </c>
      <c r="AE11" s="31">
        <f t="shared" si="3"/>
        <v>555</v>
      </c>
      <c r="AF11" s="31">
        <f t="shared" si="3"/>
        <v>1694</v>
      </c>
    </row>
    <row r="12" spans="2:32" ht="23.1" customHeight="1" x14ac:dyDescent="0.25">
      <c r="B12" s="23" t="s">
        <v>39</v>
      </c>
      <c r="C12" s="50">
        <v>35</v>
      </c>
      <c r="D12" s="50">
        <v>7</v>
      </c>
      <c r="E12" s="50">
        <v>2</v>
      </c>
      <c r="F12" s="50">
        <v>53</v>
      </c>
      <c r="G12" s="50">
        <v>0</v>
      </c>
      <c r="H12" s="50">
        <v>2</v>
      </c>
      <c r="I12" s="50">
        <v>10</v>
      </c>
      <c r="J12" s="50">
        <v>1</v>
      </c>
      <c r="K12" s="50">
        <v>0</v>
      </c>
      <c r="L12" s="50">
        <v>0</v>
      </c>
      <c r="M12" s="50">
        <v>235</v>
      </c>
      <c r="N12" s="50">
        <v>0</v>
      </c>
      <c r="O12" s="15">
        <f t="shared" si="0"/>
        <v>110</v>
      </c>
      <c r="P12" s="15">
        <f t="shared" si="1"/>
        <v>345</v>
      </c>
      <c r="R12" s="1" t="s">
        <v>8</v>
      </c>
      <c r="S12" s="17">
        <f t="shared" ref="S12:AF12" si="4">SUM(C18:C21)</f>
        <v>102</v>
      </c>
      <c r="T12" s="17">
        <f t="shared" si="4"/>
        <v>54</v>
      </c>
      <c r="U12" s="17">
        <f t="shared" si="4"/>
        <v>20</v>
      </c>
      <c r="V12" s="17">
        <f t="shared" si="4"/>
        <v>244</v>
      </c>
      <c r="W12" s="17">
        <f t="shared" si="4"/>
        <v>3</v>
      </c>
      <c r="X12" s="17">
        <f t="shared" si="4"/>
        <v>3</v>
      </c>
      <c r="Y12" s="17">
        <f t="shared" si="4"/>
        <v>39</v>
      </c>
      <c r="Z12" s="17">
        <f t="shared" si="4"/>
        <v>11</v>
      </c>
      <c r="AA12" s="17">
        <f t="shared" si="4"/>
        <v>2</v>
      </c>
      <c r="AB12" s="17">
        <f t="shared" si="4"/>
        <v>4</v>
      </c>
      <c r="AC12" s="17">
        <f t="shared" si="4"/>
        <v>980</v>
      </c>
      <c r="AD12" s="17">
        <f t="shared" si="4"/>
        <v>0</v>
      </c>
      <c r="AE12" s="31">
        <f t="shared" si="4"/>
        <v>482</v>
      </c>
      <c r="AF12" s="31">
        <f t="shared" si="4"/>
        <v>1462</v>
      </c>
    </row>
    <row r="13" spans="2:32" ht="23.1" customHeight="1" x14ac:dyDescent="0.25">
      <c r="B13" s="23" t="s">
        <v>40</v>
      </c>
      <c r="C13" s="50">
        <v>20</v>
      </c>
      <c r="D13" s="50">
        <v>11</v>
      </c>
      <c r="E13" s="50">
        <v>6</v>
      </c>
      <c r="F13" s="50">
        <v>67</v>
      </c>
      <c r="G13" s="50">
        <v>0</v>
      </c>
      <c r="H13" s="50">
        <v>0</v>
      </c>
      <c r="I13" s="50">
        <v>1</v>
      </c>
      <c r="J13" s="50">
        <v>4</v>
      </c>
      <c r="K13" s="50">
        <v>2</v>
      </c>
      <c r="L13" s="50">
        <v>0</v>
      </c>
      <c r="M13" s="50">
        <v>202</v>
      </c>
      <c r="N13" s="50">
        <v>0</v>
      </c>
      <c r="O13" s="15">
        <f t="shared" si="0"/>
        <v>111</v>
      </c>
      <c r="P13" s="15">
        <f t="shared" si="1"/>
        <v>313</v>
      </c>
      <c r="R13" s="1" t="s">
        <v>9</v>
      </c>
      <c r="S13" s="17">
        <f t="shared" ref="S13:AF13" si="5">SUM(C22:C25)</f>
        <v>192</v>
      </c>
      <c r="T13" s="17">
        <f t="shared" si="5"/>
        <v>50</v>
      </c>
      <c r="U13" s="17">
        <f t="shared" si="5"/>
        <v>40</v>
      </c>
      <c r="V13" s="17">
        <f t="shared" si="5"/>
        <v>284</v>
      </c>
      <c r="W13" s="17">
        <f t="shared" si="5"/>
        <v>2</v>
      </c>
      <c r="X13" s="17">
        <f t="shared" si="5"/>
        <v>3</v>
      </c>
      <c r="Y13" s="17">
        <f t="shared" si="5"/>
        <v>60</v>
      </c>
      <c r="Z13" s="17">
        <f t="shared" si="5"/>
        <v>7</v>
      </c>
      <c r="AA13" s="17">
        <f t="shared" si="5"/>
        <v>7</v>
      </c>
      <c r="AB13" s="17">
        <f t="shared" si="5"/>
        <v>1</v>
      </c>
      <c r="AC13" s="17">
        <f t="shared" si="5"/>
        <v>996</v>
      </c>
      <c r="AD13" s="17">
        <f t="shared" si="5"/>
        <v>1</v>
      </c>
      <c r="AE13" s="31">
        <f t="shared" si="5"/>
        <v>647</v>
      </c>
      <c r="AF13" s="31">
        <f t="shared" si="5"/>
        <v>1643</v>
      </c>
    </row>
    <row r="14" spans="2:32" ht="23.1" customHeight="1" x14ac:dyDescent="0.25">
      <c r="B14" s="23" t="s">
        <v>41</v>
      </c>
      <c r="C14" s="50">
        <v>43</v>
      </c>
      <c r="D14" s="50">
        <v>8</v>
      </c>
      <c r="E14" s="50">
        <v>6</v>
      </c>
      <c r="F14" s="50">
        <v>96</v>
      </c>
      <c r="G14" s="50">
        <v>1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269</v>
      </c>
      <c r="N14" s="50">
        <v>0</v>
      </c>
      <c r="O14" s="15">
        <f t="shared" si="0"/>
        <v>158</v>
      </c>
      <c r="P14" s="15">
        <f t="shared" si="1"/>
        <v>427</v>
      </c>
      <c r="R14" s="1" t="s">
        <v>10</v>
      </c>
      <c r="S14" s="17">
        <f t="shared" ref="S14:AF14" si="6">SUM(C26:C29)</f>
        <v>155</v>
      </c>
      <c r="T14" s="17">
        <f t="shared" si="6"/>
        <v>21</v>
      </c>
      <c r="U14" s="17">
        <f t="shared" si="6"/>
        <v>22</v>
      </c>
      <c r="V14" s="17">
        <f t="shared" si="6"/>
        <v>182</v>
      </c>
      <c r="W14" s="17">
        <f t="shared" si="6"/>
        <v>2</v>
      </c>
      <c r="X14" s="17">
        <f t="shared" si="6"/>
        <v>5</v>
      </c>
      <c r="Y14" s="17">
        <f t="shared" si="6"/>
        <v>43</v>
      </c>
      <c r="Z14" s="17">
        <f t="shared" si="6"/>
        <v>14</v>
      </c>
      <c r="AA14" s="17">
        <f t="shared" si="6"/>
        <v>3</v>
      </c>
      <c r="AB14" s="17">
        <f t="shared" si="6"/>
        <v>3</v>
      </c>
      <c r="AC14" s="17">
        <f t="shared" si="6"/>
        <v>670</v>
      </c>
      <c r="AD14" s="17">
        <f t="shared" si="6"/>
        <v>0</v>
      </c>
      <c r="AE14" s="31">
        <f t="shared" si="6"/>
        <v>450</v>
      </c>
      <c r="AF14" s="31">
        <f t="shared" si="6"/>
        <v>1120</v>
      </c>
    </row>
    <row r="15" spans="2:32" ht="23.1" customHeight="1" x14ac:dyDescent="0.25">
      <c r="B15" s="23" t="s">
        <v>42</v>
      </c>
      <c r="C15" s="50">
        <v>30</v>
      </c>
      <c r="D15" s="50">
        <v>5</v>
      </c>
      <c r="E15" s="50">
        <v>7</v>
      </c>
      <c r="F15" s="50">
        <v>63</v>
      </c>
      <c r="G15" s="50">
        <v>0</v>
      </c>
      <c r="H15" s="50">
        <v>1</v>
      </c>
      <c r="I15" s="50">
        <v>11</v>
      </c>
      <c r="J15" s="50">
        <v>1</v>
      </c>
      <c r="K15" s="50">
        <v>1</v>
      </c>
      <c r="L15" s="50">
        <v>0</v>
      </c>
      <c r="M15" s="50">
        <v>352</v>
      </c>
      <c r="N15" s="50">
        <v>0</v>
      </c>
      <c r="O15" s="15">
        <f t="shared" si="0"/>
        <v>119</v>
      </c>
      <c r="P15" s="15">
        <f t="shared" si="1"/>
        <v>471</v>
      </c>
      <c r="R15" s="1" t="s">
        <v>11</v>
      </c>
      <c r="S15" s="17">
        <f t="shared" ref="S15:AF15" si="7">SUM(C30:C33)</f>
        <v>174</v>
      </c>
      <c r="T15" s="17">
        <f t="shared" si="7"/>
        <v>36</v>
      </c>
      <c r="U15" s="17">
        <f t="shared" si="7"/>
        <v>26</v>
      </c>
      <c r="V15" s="17">
        <f t="shared" si="7"/>
        <v>329</v>
      </c>
      <c r="W15" s="17">
        <f t="shared" si="7"/>
        <v>1</v>
      </c>
      <c r="X15" s="17">
        <f t="shared" si="7"/>
        <v>0</v>
      </c>
      <c r="Y15" s="17">
        <f t="shared" si="7"/>
        <v>35</v>
      </c>
      <c r="Z15" s="17">
        <f t="shared" si="7"/>
        <v>18</v>
      </c>
      <c r="AA15" s="17">
        <f t="shared" si="7"/>
        <v>6</v>
      </c>
      <c r="AB15" s="17">
        <f t="shared" si="7"/>
        <v>4</v>
      </c>
      <c r="AC15" s="17">
        <f t="shared" si="7"/>
        <v>710</v>
      </c>
      <c r="AD15" s="17">
        <f t="shared" si="7"/>
        <v>0</v>
      </c>
      <c r="AE15" s="31">
        <f t="shared" si="7"/>
        <v>629</v>
      </c>
      <c r="AF15" s="31">
        <f t="shared" si="7"/>
        <v>1339</v>
      </c>
    </row>
    <row r="16" spans="2:32" ht="23.1" customHeight="1" x14ac:dyDescent="0.25">
      <c r="B16" s="23" t="s">
        <v>43</v>
      </c>
      <c r="C16" s="50">
        <v>32</v>
      </c>
      <c r="D16" s="50">
        <v>8</v>
      </c>
      <c r="E16" s="50">
        <v>11</v>
      </c>
      <c r="F16" s="50">
        <v>73</v>
      </c>
      <c r="G16" s="50">
        <v>0</v>
      </c>
      <c r="H16" s="50">
        <v>0</v>
      </c>
      <c r="I16" s="50">
        <v>7</v>
      </c>
      <c r="J16" s="50">
        <v>0</v>
      </c>
      <c r="K16" s="50">
        <v>1</v>
      </c>
      <c r="L16" s="50">
        <v>0</v>
      </c>
      <c r="M16" s="50">
        <v>207</v>
      </c>
      <c r="N16" s="50">
        <v>0</v>
      </c>
      <c r="O16" s="15">
        <f t="shared" si="0"/>
        <v>132</v>
      </c>
      <c r="P16" s="15">
        <f t="shared" si="1"/>
        <v>339</v>
      </c>
      <c r="R16" s="1" t="s">
        <v>12</v>
      </c>
      <c r="S16" s="17">
        <f t="shared" ref="S16:AF16" si="8">SUM(C34:C37)</f>
        <v>156</v>
      </c>
      <c r="T16" s="17">
        <f t="shared" si="8"/>
        <v>61</v>
      </c>
      <c r="U16" s="17">
        <f t="shared" si="8"/>
        <v>32</v>
      </c>
      <c r="V16" s="17">
        <f t="shared" si="8"/>
        <v>186</v>
      </c>
      <c r="W16" s="17">
        <f t="shared" si="8"/>
        <v>2</v>
      </c>
      <c r="X16" s="17">
        <f t="shared" si="8"/>
        <v>1</v>
      </c>
      <c r="Y16" s="17">
        <f t="shared" si="8"/>
        <v>54</v>
      </c>
      <c r="Z16" s="17">
        <f t="shared" si="8"/>
        <v>24</v>
      </c>
      <c r="AA16" s="17">
        <f t="shared" si="8"/>
        <v>3</v>
      </c>
      <c r="AB16" s="17">
        <f t="shared" si="8"/>
        <v>2</v>
      </c>
      <c r="AC16" s="17">
        <f t="shared" si="8"/>
        <v>728</v>
      </c>
      <c r="AD16" s="17">
        <f t="shared" si="8"/>
        <v>0</v>
      </c>
      <c r="AE16" s="31">
        <f t="shared" si="8"/>
        <v>521</v>
      </c>
      <c r="AF16" s="31">
        <f t="shared" si="8"/>
        <v>1249</v>
      </c>
    </row>
    <row r="17" spans="2:32" ht="23.1" customHeight="1" x14ac:dyDescent="0.25">
      <c r="B17" s="23" t="s">
        <v>44</v>
      </c>
      <c r="C17" s="50">
        <v>32</v>
      </c>
      <c r="D17" s="50">
        <v>7</v>
      </c>
      <c r="E17" s="50">
        <v>6</v>
      </c>
      <c r="F17" s="50">
        <v>93</v>
      </c>
      <c r="G17" s="50">
        <v>0</v>
      </c>
      <c r="H17" s="50">
        <v>0</v>
      </c>
      <c r="I17" s="50">
        <v>8</v>
      </c>
      <c r="J17" s="50">
        <v>0</v>
      </c>
      <c r="K17" s="50">
        <v>0</v>
      </c>
      <c r="L17" s="50">
        <v>0</v>
      </c>
      <c r="M17" s="50">
        <v>311</v>
      </c>
      <c r="N17" s="50">
        <v>0</v>
      </c>
      <c r="O17" s="15">
        <f t="shared" si="0"/>
        <v>146</v>
      </c>
      <c r="P17" s="15">
        <f t="shared" si="1"/>
        <v>457</v>
      </c>
      <c r="R17" s="1" t="s">
        <v>13</v>
      </c>
      <c r="S17" s="17">
        <f t="shared" ref="S17:AF17" si="9">SUM(C38:C41)</f>
        <v>138</v>
      </c>
      <c r="T17" s="17">
        <f t="shared" si="9"/>
        <v>63</v>
      </c>
      <c r="U17" s="17">
        <f t="shared" si="9"/>
        <v>41</v>
      </c>
      <c r="V17" s="17">
        <f t="shared" si="9"/>
        <v>199</v>
      </c>
      <c r="W17" s="17">
        <f t="shared" si="9"/>
        <v>1</v>
      </c>
      <c r="X17" s="17">
        <f t="shared" si="9"/>
        <v>4</v>
      </c>
      <c r="Y17" s="17">
        <f t="shared" si="9"/>
        <v>72</v>
      </c>
      <c r="Z17" s="17">
        <f t="shared" si="9"/>
        <v>5</v>
      </c>
      <c r="AA17" s="17">
        <f t="shared" si="9"/>
        <v>15</v>
      </c>
      <c r="AB17" s="17">
        <f t="shared" si="9"/>
        <v>2</v>
      </c>
      <c r="AC17" s="17">
        <f t="shared" si="9"/>
        <v>662</v>
      </c>
      <c r="AD17" s="17">
        <f t="shared" si="9"/>
        <v>0</v>
      </c>
      <c r="AE17" s="31">
        <f t="shared" si="9"/>
        <v>540</v>
      </c>
      <c r="AF17" s="31">
        <f t="shared" si="9"/>
        <v>1202</v>
      </c>
    </row>
    <row r="18" spans="2:32" ht="23.1" customHeight="1" x14ac:dyDescent="0.25">
      <c r="B18" s="23" t="s">
        <v>45</v>
      </c>
      <c r="C18" s="50">
        <v>24</v>
      </c>
      <c r="D18" s="50">
        <v>11</v>
      </c>
      <c r="E18" s="50">
        <v>8</v>
      </c>
      <c r="F18" s="50">
        <v>58</v>
      </c>
      <c r="G18" s="50">
        <v>0</v>
      </c>
      <c r="H18" s="50">
        <v>2</v>
      </c>
      <c r="I18" s="50">
        <v>7</v>
      </c>
      <c r="J18" s="50">
        <v>3</v>
      </c>
      <c r="K18" s="50">
        <v>1</v>
      </c>
      <c r="L18" s="50">
        <v>4</v>
      </c>
      <c r="M18" s="50">
        <v>295</v>
      </c>
      <c r="N18" s="50">
        <v>0</v>
      </c>
      <c r="O18" s="15">
        <f t="shared" si="0"/>
        <v>118</v>
      </c>
      <c r="P18" s="15">
        <f t="shared" si="1"/>
        <v>413</v>
      </c>
      <c r="R18" s="1" t="s">
        <v>14</v>
      </c>
      <c r="S18" s="17">
        <f t="shared" ref="S18:AF18" si="10">SUM(C42:C45)</f>
        <v>185</v>
      </c>
      <c r="T18" s="17">
        <f t="shared" si="10"/>
        <v>61</v>
      </c>
      <c r="U18" s="17">
        <f t="shared" si="10"/>
        <v>49</v>
      </c>
      <c r="V18" s="17">
        <f t="shared" si="10"/>
        <v>214</v>
      </c>
      <c r="W18" s="17">
        <f t="shared" si="10"/>
        <v>1</v>
      </c>
      <c r="X18" s="17">
        <f t="shared" si="10"/>
        <v>4</v>
      </c>
      <c r="Y18" s="17">
        <f t="shared" si="10"/>
        <v>53</v>
      </c>
      <c r="Z18" s="17">
        <f t="shared" si="10"/>
        <v>15</v>
      </c>
      <c r="AA18" s="17">
        <f t="shared" si="10"/>
        <v>4</v>
      </c>
      <c r="AB18" s="17">
        <f t="shared" si="10"/>
        <v>0</v>
      </c>
      <c r="AC18" s="17">
        <f t="shared" si="10"/>
        <v>693</v>
      </c>
      <c r="AD18" s="17">
        <f t="shared" si="10"/>
        <v>0</v>
      </c>
      <c r="AE18" s="31">
        <f t="shared" si="10"/>
        <v>586</v>
      </c>
      <c r="AF18" s="31">
        <f t="shared" si="10"/>
        <v>1279</v>
      </c>
    </row>
    <row r="19" spans="2:32" ht="23.1" customHeight="1" x14ac:dyDescent="0.25">
      <c r="B19" s="23" t="s">
        <v>46</v>
      </c>
      <c r="C19" s="50">
        <v>23</v>
      </c>
      <c r="D19" s="50">
        <v>19</v>
      </c>
      <c r="E19" s="50">
        <v>7</v>
      </c>
      <c r="F19" s="50">
        <v>57</v>
      </c>
      <c r="G19" s="50">
        <v>0</v>
      </c>
      <c r="H19" s="50">
        <v>0</v>
      </c>
      <c r="I19" s="50">
        <v>8</v>
      </c>
      <c r="J19" s="50">
        <v>5</v>
      </c>
      <c r="K19" s="50">
        <v>0</v>
      </c>
      <c r="L19" s="50">
        <v>0</v>
      </c>
      <c r="M19" s="50">
        <v>225</v>
      </c>
      <c r="N19" s="50">
        <v>0</v>
      </c>
      <c r="O19" s="15">
        <f t="shared" si="0"/>
        <v>119</v>
      </c>
      <c r="P19" s="15">
        <f t="shared" si="1"/>
        <v>344</v>
      </c>
      <c r="R19" s="1" t="s">
        <v>15</v>
      </c>
      <c r="S19" s="17">
        <f t="shared" ref="S19:AF19" si="11">SUM(C46:C49)</f>
        <v>240</v>
      </c>
      <c r="T19" s="17">
        <f t="shared" si="11"/>
        <v>63</v>
      </c>
      <c r="U19" s="17">
        <f t="shared" si="11"/>
        <v>49</v>
      </c>
      <c r="V19" s="17">
        <f t="shared" si="11"/>
        <v>188</v>
      </c>
      <c r="W19" s="17">
        <f t="shared" si="11"/>
        <v>6</v>
      </c>
      <c r="X19" s="17">
        <f t="shared" si="11"/>
        <v>5</v>
      </c>
      <c r="Y19" s="17">
        <f t="shared" si="11"/>
        <v>39</v>
      </c>
      <c r="Z19" s="17">
        <f t="shared" si="11"/>
        <v>11</v>
      </c>
      <c r="AA19" s="17">
        <f t="shared" si="11"/>
        <v>10</v>
      </c>
      <c r="AB19" s="17">
        <f t="shared" si="11"/>
        <v>2</v>
      </c>
      <c r="AC19" s="17">
        <f t="shared" si="11"/>
        <v>624</v>
      </c>
      <c r="AD19" s="17">
        <f t="shared" si="11"/>
        <v>0</v>
      </c>
      <c r="AE19" s="31">
        <f t="shared" si="11"/>
        <v>613</v>
      </c>
      <c r="AF19" s="31">
        <f t="shared" si="11"/>
        <v>1237</v>
      </c>
    </row>
    <row r="20" spans="2:32" ht="23.1" customHeight="1" x14ac:dyDescent="0.25">
      <c r="B20" s="23" t="s">
        <v>47</v>
      </c>
      <c r="C20" s="50">
        <v>22</v>
      </c>
      <c r="D20" s="50">
        <v>13</v>
      </c>
      <c r="E20" s="50">
        <v>2</v>
      </c>
      <c r="F20" s="50">
        <v>69</v>
      </c>
      <c r="G20" s="50">
        <v>0</v>
      </c>
      <c r="H20" s="50">
        <v>0</v>
      </c>
      <c r="I20" s="50">
        <v>13</v>
      </c>
      <c r="J20" s="50">
        <v>0</v>
      </c>
      <c r="K20" s="50">
        <v>0</v>
      </c>
      <c r="L20" s="50">
        <v>0</v>
      </c>
      <c r="M20" s="50">
        <v>160</v>
      </c>
      <c r="N20" s="50">
        <v>0</v>
      </c>
      <c r="O20" s="15">
        <f t="shared" si="0"/>
        <v>119</v>
      </c>
      <c r="P20" s="15">
        <f t="shared" si="1"/>
        <v>279</v>
      </c>
      <c r="R20" s="1" t="s">
        <v>16</v>
      </c>
      <c r="S20" s="17">
        <f t="shared" ref="S20:AF20" si="12">SUM(C50:C53)</f>
        <v>306</v>
      </c>
      <c r="T20" s="17">
        <f t="shared" si="12"/>
        <v>85</v>
      </c>
      <c r="U20" s="17">
        <f t="shared" si="12"/>
        <v>35</v>
      </c>
      <c r="V20" s="17">
        <f t="shared" si="12"/>
        <v>205</v>
      </c>
      <c r="W20" s="17">
        <f t="shared" si="12"/>
        <v>6</v>
      </c>
      <c r="X20" s="17">
        <f t="shared" si="12"/>
        <v>6</v>
      </c>
      <c r="Y20" s="17">
        <f t="shared" si="12"/>
        <v>28</v>
      </c>
      <c r="Z20" s="17">
        <f t="shared" si="12"/>
        <v>11</v>
      </c>
      <c r="AA20" s="17">
        <f t="shared" si="12"/>
        <v>2</v>
      </c>
      <c r="AB20" s="17">
        <f t="shared" si="12"/>
        <v>3</v>
      </c>
      <c r="AC20" s="17">
        <f t="shared" si="12"/>
        <v>789</v>
      </c>
      <c r="AD20" s="17">
        <f t="shared" si="12"/>
        <v>0</v>
      </c>
      <c r="AE20" s="31">
        <f t="shared" si="12"/>
        <v>687</v>
      </c>
      <c r="AF20" s="31">
        <f t="shared" si="12"/>
        <v>1476</v>
      </c>
    </row>
    <row r="21" spans="2:32" ht="23.1" customHeight="1" x14ac:dyDescent="0.25">
      <c r="B21" s="23" t="s">
        <v>48</v>
      </c>
      <c r="C21" s="50">
        <v>33</v>
      </c>
      <c r="D21" s="50">
        <v>11</v>
      </c>
      <c r="E21" s="50">
        <v>3</v>
      </c>
      <c r="F21" s="50">
        <v>60</v>
      </c>
      <c r="G21" s="50">
        <v>3</v>
      </c>
      <c r="H21" s="50">
        <v>1</v>
      </c>
      <c r="I21" s="50">
        <v>11</v>
      </c>
      <c r="J21" s="50">
        <v>3</v>
      </c>
      <c r="K21" s="50">
        <v>1</v>
      </c>
      <c r="L21" s="50">
        <v>0</v>
      </c>
      <c r="M21" s="50">
        <v>300</v>
      </c>
      <c r="N21" s="50">
        <v>0</v>
      </c>
      <c r="O21" s="15">
        <f t="shared" si="0"/>
        <v>126</v>
      </c>
      <c r="P21" s="15">
        <f t="shared" si="1"/>
        <v>426</v>
      </c>
      <c r="R21" s="36" t="s">
        <v>20</v>
      </c>
      <c r="S21" s="34">
        <f t="shared" ref="S21:AF21" si="13">SUM(C54:C57)</f>
        <v>322</v>
      </c>
      <c r="T21" s="17">
        <f t="shared" si="13"/>
        <v>93</v>
      </c>
      <c r="U21" s="17">
        <f t="shared" si="13"/>
        <v>46</v>
      </c>
      <c r="V21" s="17">
        <f t="shared" si="13"/>
        <v>201</v>
      </c>
      <c r="W21" s="17">
        <f t="shared" si="13"/>
        <v>8</v>
      </c>
      <c r="X21" s="17">
        <f t="shared" si="13"/>
        <v>4</v>
      </c>
      <c r="Y21" s="17">
        <f t="shared" si="13"/>
        <v>45</v>
      </c>
      <c r="Z21" s="17">
        <f t="shared" si="13"/>
        <v>7</v>
      </c>
      <c r="AA21" s="17">
        <f t="shared" si="13"/>
        <v>3</v>
      </c>
      <c r="AB21" s="17">
        <f t="shared" si="13"/>
        <v>1</v>
      </c>
      <c r="AC21" s="17">
        <f t="shared" si="13"/>
        <v>1271</v>
      </c>
      <c r="AD21" s="17">
        <f t="shared" si="13"/>
        <v>0</v>
      </c>
      <c r="AE21" s="31">
        <f t="shared" si="13"/>
        <v>730</v>
      </c>
      <c r="AF21" s="31">
        <f t="shared" si="13"/>
        <v>2001</v>
      </c>
    </row>
    <row r="22" spans="2:32" ht="23.1" customHeight="1" x14ac:dyDescent="0.25">
      <c r="B22" s="23" t="s">
        <v>49</v>
      </c>
      <c r="C22" s="50">
        <v>32</v>
      </c>
      <c r="D22" s="50">
        <v>13</v>
      </c>
      <c r="E22" s="50">
        <v>9</v>
      </c>
      <c r="F22" s="50">
        <v>57</v>
      </c>
      <c r="G22" s="50">
        <v>0</v>
      </c>
      <c r="H22" s="50">
        <v>2</v>
      </c>
      <c r="I22" s="50">
        <v>15</v>
      </c>
      <c r="J22" s="50">
        <v>0</v>
      </c>
      <c r="K22" s="50">
        <v>3</v>
      </c>
      <c r="L22" s="50">
        <v>0</v>
      </c>
      <c r="M22" s="50">
        <v>300</v>
      </c>
      <c r="N22" s="50">
        <v>1</v>
      </c>
      <c r="O22" s="15">
        <f t="shared" si="0"/>
        <v>132</v>
      </c>
      <c r="P22" s="15">
        <f t="shared" si="1"/>
        <v>432</v>
      </c>
      <c r="R22" s="38" t="s">
        <v>90</v>
      </c>
      <c r="S22" s="39">
        <f>MAX(S10:S12)</f>
        <v>137</v>
      </c>
      <c r="T22" s="39">
        <f t="shared" ref="T22:AF22" si="14">MAX(T10:T12)</f>
        <v>54</v>
      </c>
      <c r="U22" s="39">
        <f t="shared" si="14"/>
        <v>30</v>
      </c>
      <c r="V22" s="39">
        <f t="shared" si="14"/>
        <v>325</v>
      </c>
      <c r="W22" s="39">
        <f t="shared" si="14"/>
        <v>7</v>
      </c>
      <c r="X22" s="39">
        <f t="shared" si="14"/>
        <v>4</v>
      </c>
      <c r="Y22" s="39">
        <f t="shared" si="14"/>
        <v>39</v>
      </c>
      <c r="Z22" s="39">
        <f t="shared" si="14"/>
        <v>11</v>
      </c>
      <c r="AA22" s="39">
        <f t="shared" si="14"/>
        <v>4</v>
      </c>
      <c r="AB22" s="39">
        <f t="shared" si="14"/>
        <v>4</v>
      </c>
      <c r="AC22" s="39">
        <f t="shared" si="14"/>
        <v>1139</v>
      </c>
      <c r="AD22" s="39">
        <f t="shared" si="14"/>
        <v>0</v>
      </c>
      <c r="AE22" s="40">
        <f t="shared" si="14"/>
        <v>555</v>
      </c>
      <c r="AF22" s="40">
        <f t="shared" si="14"/>
        <v>1694</v>
      </c>
    </row>
    <row r="23" spans="2:32" ht="23.1" customHeight="1" x14ac:dyDescent="0.25">
      <c r="B23" s="23" t="s">
        <v>50</v>
      </c>
      <c r="C23" s="50">
        <v>56</v>
      </c>
      <c r="D23" s="50">
        <v>18</v>
      </c>
      <c r="E23" s="50">
        <v>15</v>
      </c>
      <c r="F23" s="50">
        <v>61</v>
      </c>
      <c r="G23" s="50">
        <v>0</v>
      </c>
      <c r="H23" s="50">
        <v>1</v>
      </c>
      <c r="I23" s="50">
        <v>13</v>
      </c>
      <c r="J23" s="50">
        <v>2</v>
      </c>
      <c r="K23" s="50">
        <v>0</v>
      </c>
      <c r="L23" s="50">
        <v>1</v>
      </c>
      <c r="M23" s="50">
        <v>205</v>
      </c>
      <c r="N23" s="50">
        <v>0</v>
      </c>
      <c r="O23" s="15">
        <f t="shared" si="0"/>
        <v>167</v>
      </c>
      <c r="P23" s="15">
        <f t="shared" si="1"/>
        <v>372</v>
      </c>
      <c r="R23" s="38" t="s">
        <v>91</v>
      </c>
      <c r="S23" s="39">
        <f>MAX(S13:S18)</f>
        <v>192</v>
      </c>
      <c r="T23" s="39">
        <f t="shared" ref="T23:AF23" si="15">MAX(T13:T18)</f>
        <v>63</v>
      </c>
      <c r="U23" s="39">
        <f t="shared" si="15"/>
        <v>49</v>
      </c>
      <c r="V23" s="39">
        <f t="shared" si="15"/>
        <v>329</v>
      </c>
      <c r="W23" s="39">
        <f t="shared" si="15"/>
        <v>2</v>
      </c>
      <c r="X23" s="39">
        <f t="shared" si="15"/>
        <v>5</v>
      </c>
      <c r="Y23" s="39">
        <f t="shared" si="15"/>
        <v>72</v>
      </c>
      <c r="Z23" s="39">
        <f t="shared" si="15"/>
        <v>24</v>
      </c>
      <c r="AA23" s="39">
        <f t="shared" si="15"/>
        <v>15</v>
      </c>
      <c r="AB23" s="39">
        <f t="shared" si="15"/>
        <v>4</v>
      </c>
      <c r="AC23" s="39">
        <f t="shared" si="15"/>
        <v>996</v>
      </c>
      <c r="AD23" s="39">
        <f t="shared" si="15"/>
        <v>1</v>
      </c>
      <c r="AE23" s="40">
        <f t="shared" si="15"/>
        <v>647</v>
      </c>
      <c r="AF23" s="40">
        <f t="shared" si="15"/>
        <v>1643</v>
      </c>
    </row>
    <row r="24" spans="2:32" ht="23.1" customHeight="1" x14ac:dyDescent="0.25">
      <c r="B24" s="23" t="s">
        <v>51</v>
      </c>
      <c r="C24" s="50">
        <v>55</v>
      </c>
      <c r="D24" s="50">
        <v>8</v>
      </c>
      <c r="E24" s="50">
        <v>11</v>
      </c>
      <c r="F24" s="50">
        <v>105</v>
      </c>
      <c r="G24" s="50">
        <v>1</v>
      </c>
      <c r="H24" s="50">
        <v>0</v>
      </c>
      <c r="I24" s="50">
        <v>22</v>
      </c>
      <c r="J24" s="50">
        <v>2</v>
      </c>
      <c r="K24" s="50">
        <v>4</v>
      </c>
      <c r="L24" s="50">
        <v>0</v>
      </c>
      <c r="M24" s="50">
        <v>330</v>
      </c>
      <c r="N24" s="50">
        <v>0</v>
      </c>
      <c r="O24" s="15">
        <f t="shared" si="0"/>
        <v>208</v>
      </c>
      <c r="P24" s="15">
        <f t="shared" si="1"/>
        <v>538</v>
      </c>
      <c r="R24" s="38" t="s">
        <v>92</v>
      </c>
      <c r="S24" s="39">
        <f>MAX(S19:S21)</f>
        <v>322</v>
      </c>
      <c r="T24" s="39">
        <f t="shared" ref="T24:AF24" si="16">MAX(T19:T21)</f>
        <v>93</v>
      </c>
      <c r="U24" s="39">
        <f t="shared" si="16"/>
        <v>49</v>
      </c>
      <c r="V24" s="39">
        <f t="shared" si="16"/>
        <v>205</v>
      </c>
      <c r="W24" s="39">
        <f t="shared" si="16"/>
        <v>8</v>
      </c>
      <c r="X24" s="39">
        <f t="shared" si="16"/>
        <v>6</v>
      </c>
      <c r="Y24" s="39">
        <f t="shared" si="16"/>
        <v>45</v>
      </c>
      <c r="Z24" s="39">
        <f t="shared" si="16"/>
        <v>11</v>
      </c>
      <c r="AA24" s="39">
        <f t="shared" si="16"/>
        <v>10</v>
      </c>
      <c r="AB24" s="39">
        <f t="shared" si="16"/>
        <v>3</v>
      </c>
      <c r="AC24" s="39">
        <f t="shared" si="16"/>
        <v>1271</v>
      </c>
      <c r="AD24" s="39">
        <f t="shared" si="16"/>
        <v>0</v>
      </c>
      <c r="AE24" s="40">
        <f t="shared" si="16"/>
        <v>730</v>
      </c>
      <c r="AF24" s="40">
        <f t="shared" si="16"/>
        <v>2001</v>
      </c>
    </row>
    <row r="25" spans="2:32" ht="23.1" customHeight="1" x14ac:dyDescent="0.25">
      <c r="B25" s="23" t="s">
        <v>52</v>
      </c>
      <c r="C25" s="50">
        <v>49</v>
      </c>
      <c r="D25" s="50">
        <v>11</v>
      </c>
      <c r="E25" s="50">
        <v>5</v>
      </c>
      <c r="F25" s="50">
        <v>61</v>
      </c>
      <c r="G25" s="50">
        <v>1</v>
      </c>
      <c r="H25" s="50">
        <v>0</v>
      </c>
      <c r="I25" s="50">
        <v>10</v>
      </c>
      <c r="J25" s="50">
        <v>3</v>
      </c>
      <c r="K25" s="50">
        <v>0</v>
      </c>
      <c r="L25" s="50">
        <v>0</v>
      </c>
      <c r="M25" s="50">
        <v>161</v>
      </c>
      <c r="N25" s="50">
        <v>0</v>
      </c>
      <c r="O25" s="15">
        <f t="shared" si="0"/>
        <v>140</v>
      </c>
      <c r="P25" s="15">
        <f t="shared" si="1"/>
        <v>301</v>
      </c>
      <c r="R25" s="37" t="s">
        <v>85</v>
      </c>
      <c r="S25" s="35">
        <f t="shared" ref="S25:AF25" si="17">SUM(S10:S12)</f>
        <v>352</v>
      </c>
      <c r="T25" s="16">
        <f t="shared" si="17"/>
        <v>113</v>
      </c>
      <c r="U25" s="16">
        <f t="shared" si="17"/>
        <v>66</v>
      </c>
      <c r="V25" s="16">
        <f t="shared" si="17"/>
        <v>819</v>
      </c>
      <c r="W25" s="16">
        <f t="shared" si="17"/>
        <v>11</v>
      </c>
      <c r="X25" s="16">
        <f t="shared" si="17"/>
        <v>8</v>
      </c>
      <c r="Y25" s="16">
        <f t="shared" si="17"/>
        <v>90</v>
      </c>
      <c r="Z25" s="16">
        <f t="shared" si="17"/>
        <v>21</v>
      </c>
      <c r="AA25" s="16">
        <f t="shared" si="17"/>
        <v>8</v>
      </c>
      <c r="AB25" s="16">
        <f t="shared" si="17"/>
        <v>5</v>
      </c>
      <c r="AC25" s="16">
        <f t="shared" si="17"/>
        <v>2867</v>
      </c>
      <c r="AD25" s="16">
        <f t="shared" si="17"/>
        <v>0</v>
      </c>
      <c r="AE25" s="32">
        <f t="shared" si="17"/>
        <v>1493</v>
      </c>
      <c r="AF25" s="32">
        <f t="shared" si="17"/>
        <v>4360</v>
      </c>
    </row>
    <row r="26" spans="2:32" ht="23.1" customHeight="1" x14ac:dyDescent="0.25">
      <c r="B26" s="23" t="s">
        <v>53</v>
      </c>
      <c r="C26" s="50">
        <v>39</v>
      </c>
      <c r="D26" s="50">
        <v>5</v>
      </c>
      <c r="E26" s="50">
        <v>6</v>
      </c>
      <c r="F26" s="50">
        <v>18</v>
      </c>
      <c r="G26" s="50">
        <v>0</v>
      </c>
      <c r="H26" s="50">
        <v>3</v>
      </c>
      <c r="I26" s="50">
        <v>19</v>
      </c>
      <c r="J26" s="50">
        <v>2</v>
      </c>
      <c r="K26" s="50">
        <v>0</v>
      </c>
      <c r="L26" s="50">
        <v>0</v>
      </c>
      <c r="M26" s="50">
        <v>205</v>
      </c>
      <c r="N26" s="50">
        <v>0</v>
      </c>
      <c r="O26" s="15">
        <f t="shared" si="0"/>
        <v>92</v>
      </c>
      <c r="P26" s="15">
        <f t="shared" si="1"/>
        <v>297</v>
      </c>
      <c r="R26" s="28" t="s">
        <v>86</v>
      </c>
      <c r="S26" s="16">
        <f t="shared" ref="S26:AF26" si="18">SUM(S13:S18)</f>
        <v>1000</v>
      </c>
      <c r="T26" s="16">
        <f t="shared" si="18"/>
        <v>292</v>
      </c>
      <c r="U26" s="16">
        <f t="shared" si="18"/>
        <v>210</v>
      </c>
      <c r="V26" s="16">
        <f t="shared" si="18"/>
        <v>1394</v>
      </c>
      <c r="W26" s="16">
        <f t="shared" si="18"/>
        <v>9</v>
      </c>
      <c r="X26" s="16">
        <f t="shared" si="18"/>
        <v>17</v>
      </c>
      <c r="Y26" s="16">
        <f t="shared" si="18"/>
        <v>317</v>
      </c>
      <c r="Z26" s="16">
        <f t="shared" si="18"/>
        <v>83</v>
      </c>
      <c r="AA26" s="16">
        <f t="shared" si="18"/>
        <v>38</v>
      </c>
      <c r="AB26" s="16">
        <f t="shared" si="18"/>
        <v>12</v>
      </c>
      <c r="AC26" s="16">
        <f t="shared" si="18"/>
        <v>4459</v>
      </c>
      <c r="AD26" s="16">
        <f t="shared" si="18"/>
        <v>1</v>
      </c>
      <c r="AE26" s="32">
        <f t="shared" si="18"/>
        <v>3373</v>
      </c>
      <c r="AF26" s="32">
        <f t="shared" si="18"/>
        <v>7832</v>
      </c>
    </row>
    <row r="27" spans="2:32" ht="23.1" customHeight="1" x14ac:dyDescent="0.25">
      <c r="B27" s="23" t="s">
        <v>54</v>
      </c>
      <c r="C27" s="50">
        <v>27</v>
      </c>
      <c r="D27" s="50">
        <v>9</v>
      </c>
      <c r="E27" s="50">
        <v>5</v>
      </c>
      <c r="F27" s="50">
        <v>32</v>
      </c>
      <c r="G27" s="50">
        <v>1</v>
      </c>
      <c r="H27" s="50">
        <v>1</v>
      </c>
      <c r="I27" s="50">
        <v>7</v>
      </c>
      <c r="J27" s="50">
        <v>4</v>
      </c>
      <c r="K27" s="50">
        <v>0</v>
      </c>
      <c r="L27" s="50">
        <v>0</v>
      </c>
      <c r="M27" s="50">
        <v>195</v>
      </c>
      <c r="N27" s="50">
        <v>0</v>
      </c>
      <c r="O27" s="15">
        <f t="shared" si="0"/>
        <v>86</v>
      </c>
      <c r="P27" s="15">
        <f t="shared" si="1"/>
        <v>281</v>
      </c>
      <c r="R27" s="29" t="s">
        <v>87</v>
      </c>
      <c r="S27" s="16">
        <f t="shared" ref="S27:AF27" si="19">SUM(S19:S21)</f>
        <v>868</v>
      </c>
      <c r="T27" s="16">
        <f t="shared" si="19"/>
        <v>241</v>
      </c>
      <c r="U27" s="16">
        <f t="shared" si="19"/>
        <v>130</v>
      </c>
      <c r="V27" s="16">
        <f t="shared" si="19"/>
        <v>594</v>
      </c>
      <c r="W27" s="16">
        <f t="shared" si="19"/>
        <v>20</v>
      </c>
      <c r="X27" s="16">
        <f t="shared" si="19"/>
        <v>15</v>
      </c>
      <c r="Y27" s="16">
        <f t="shared" si="19"/>
        <v>112</v>
      </c>
      <c r="Z27" s="16">
        <f t="shared" si="19"/>
        <v>29</v>
      </c>
      <c r="AA27" s="16">
        <f t="shared" si="19"/>
        <v>15</v>
      </c>
      <c r="AB27" s="16">
        <f t="shared" si="19"/>
        <v>6</v>
      </c>
      <c r="AC27" s="16">
        <f t="shared" si="19"/>
        <v>2684</v>
      </c>
      <c r="AD27" s="16">
        <f t="shared" si="19"/>
        <v>0</v>
      </c>
      <c r="AE27" s="32">
        <f t="shared" si="19"/>
        <v>2030</v>
      </c>
      <c r="AF27" s="32">
        <f t="shared" si="19"/>
        <v>4714</v>
      </c>
    </row>
    <row r="28" spans="2:32" ht="23.1" customHeight="1" x14ac:dyDescent="0.25">
      <c r="B28" s="23" t="s">
        <v>55</v>
      </c>
      <c r="C28" s="50">
        <v>43</v>
      </c>
      <c r="D28" s="50">
        <v>5</v>
      </c>
      <c r="E28" s="50">
        <v>5</v>
      </c>
      <c r="F28" s="50">
        <v>57</v>
      </c>
      <c r="G28" s="50">
        <v>0</v>
      </c>
      <c r="H28" s="50">
        <v>0</v>
      </c>
      <c r="I28" s="50">
        <v>9</v>
      </c>
      <c r="J28" s="50">
        <v>5</v>
      </c>
      <c r="K28" s="50">
        <v>2</v>
      </c>
      <c r="L28" s="50">
        <v>1</v>
      </c>
      <c r="M28" s="50">
        <v>145</v>
      </c>
      <c r="N28" s="50">
        <v>0</v>
      </c>
      <c r="O28" s="15">
        <f t="shared" si="0"/>
        <v>127</v>
      </c>
      <c r="P28" s="15">
        <f t="shared" si="1"/>
        <v>272</v>
      </c>
      <c r="R28" s="5" t="s">
        <v>17</v>
      </c>
      <c r="S28" s="16">
        <f t="shared" ref="S28:AF28" si="20">SUM(S10:S21)</f>
        <v>2220</v>
      </c>
      <c r="T28" s="16">
        <f t="shared" si="20"/>
        <v>646</v>
      </c>
      <c r="U28" s="16">
        <f t="shared" si="20"/>
        <v>406</v>
      </c>
      <c r="V28" s="16">
        <f t="shared" si="20"/>
        <v>2807</v>
      </c>
      <c r="W28" s="16">
        <f t="shared" si="20"/>
        <v>40</v>
      </c>
      <c r="X28" s="16">
        <f t="shared" si="20"/>
        <v>40</v>
      </c>
      <c r="Y28" s="16">
        <f t="shared" si="20"/>
        <v>519</v>
      </c>
      <c r="Z28" s="16">
        <f t="shared" si="20"/>
        <v>133</v>
      </c>
      <c r="AA28" s="16">
        <f t="shared" si="20"/>
        <v>61</v>
      </c>
      <c r="AB28" s="16">
        <f t="shared" si="20"/>
        <v>23</v>
      </c>
      <c r="AC28" s="16">
        <f t="shared" si="20"/>
        <v>10010</v>
      </c>
      <c r="AD28" s="16">
        <f t="shared" si="20"/>
        <v>1</v>
      </c>
      <c r="AE28" s="32">
        <f t="shared" si="20"/>
        <v>6896</v>
      </c>
      <c r="AF28" s="32">
        <f t="shared" si="20"/>
        <v>16906</v>
      </c>
    </row>
    <row r="29" spans="2:32" ht="23.1" customHeight="1" x14ac:dyDescent="0.25">
      <c r="B29" s="23" t="s">
        <v>56</v>
      </c>
      <c r="C29" s="50">
        <v>46</v>
      </c>
      <c r="D29" s="50">
        <v>2</v>
      </c>
      <c r="E29" s="50">
        <v>6</v>
      </c>
      <c r="F29" s="50">
        <v>75</v>
      </c>
      <c r="G29" s="50">
        <v>1</v>
      </c>
      <c r="H29" s="50">
        <v>1</v>
      </c>
      <c r="I29" s="50">
        <v>8</v>
      </c>
      <c r="J29" s="50">
        <v>3</v>
      </c>
      <c r="K29" s="50">
        <v>1</v>
      </c>
      <c r="L29" s="50">
        <v>2</v>
      </c>
      <c r="M29" s="50">
        <v>125</v>
      </c>
      <c r="N29" s="50">
        <v>0</v>
      </c>
      <c r="O29" s="15">
        <f t="shared" si="0"/>
        <v>145</v>
      </c>
      <c r="P29" s="15">
        <f t="shared" si="1"/>
        <v>270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3</v>
      </c>
      <c r="E30" s="50">
        <v>4</v>
      </c>
      <c r="F30" s="50">
        <v>104</v>
      </c>
      <c r="G30" s="50">
        <v>1</v>
      </c>
      <c r="H30" s="50">
        <v>0</v>
      </c>
      <c r="I30" s="50">
        <v>5</v>
      </c>
      <c r="J30" s="50">
        <v>2</v>
      </c>
      <c r="K30" s="50">
        <v>2</v>
      </c>
      <c r="L30" s="50">
        <v>0</v>
      </c>
      <c r="M30" s="50">
        <v>190</v>
      </c>
      <c r="N30" s="50">
        <v>0</v>
      </c>
      <c r="O30" s="15">
        <f t="shared" si="0"/>
        <v>146</v>
      </c>
      <c r="P30" s="15">
        <f t="shared" si="1"/>
        <v>336</v>
      </c>
    </row>
    <row r="31" spans="2:32" ht="23.1" customHeight="1" x14ac:dyDescent="0.25">
      <c r="B31" s="24" t="s">
        <v>58</v>
      </c>
      <c r="C31" s="50">
        <v>65</v>
      </c>
      <c r="D31" s="50">
        <v>12</v>
      </c>
      <c r="E31" s="50">
        <v>9</v>
      </c>
      <c r="F31" s="50">
        <v>60</v>
      </c>
      <c r="G31" s="50">
        <v>0</v>
      </c>
      <c r="H31" s="50">
        <v>0</v>
      </c>
      <c r="I31" s="50">
        <v>10</v>
      </c>
      <c r="J31" s="50">
        <v>3</v>
      </c>
      <c r="K31" s="50">
        <v>2</v>
      </c>
      <c r="L31" s="50">
        <v>1</v>
      </c>
      <c r="M31" s="50">
        <v>180</v>
      </c>
      <c r="N31" s="50">
        <v>0</v>
      </c>
      <c r="O31" s="15">
        <f t="shared" si="0"/>
        <v>162</v>
      </c>
      <c r="P31" s="15">
        <f t="shared" si="1"/>
        <v>342</v>
      </c>
    </row>
    <row r="32" spans="2:32" ht="23.1" customHeight="1" x14ac:dyDescent="0.25">
      <c r="B32" s="24" t="s">
        <v>59</v>
      </c>
      <c r="C32" s="50">
        <v>54</v>
      </c>
      <c r="D32" s="50">
        <v>14</v>
      </c>
      <c r="E32" s="50">
        <v>8</v>
      </c>
      <c r="F32" s="50">
        <v>90</v>
      </c>
      <c r="G32" s="50">
        <v>0</v>
      </c>
      <c r="H32" s="50">
        <v>0</v>
      </c>
      <c r="I32" s="50">
        <v>10</v>
      </c>
      <c r="J32" s="50">
        <v>4</v>
      </c>
      <c r="K32" s="50">
        <v>0</v>
      </c>
      <c r="L32" s="50">
        <v>0</v>
      </c>
      <c r="M32" s="50">
        <v>200</v>
      </c>
      <c r="N32" s="50">
        <v>0</v>
      </c>
      <c r="O32" s="15">
        <f t="shared" si="0"/>
        <v>180</v>
      </c>
      <c r="P32" s="15">
        <f t="shared" si="1"/>
        <v>380</v>
      </c>
    </row>
    <row r="33" spans="2:20" ht="23.1" customHeight="1" x14ac:dyDescent="0.25">
      <c r="B33" s="23" t="s">
        <v>60</v>
      </c>
      <c r="C33" s="50">
        <v>30</v>
      </c>
      <c r="D33" s="50">
        <v>7</v>
      </c>
      <c r="E33" s="50">
        <v>5</v>
      </c>
      <c r="F33" s="50">
        <v>75</v>
      </c>
      <c r="G33" s="50">
        <v>0</v>
      </c>
      <c r="H33" s="50">
        <v>0</v>
      </c>
      <c r="I33" s="50">
        <v>10</v>
      </c>
      <c r="J33" s="50">
        <v>9</v>
      </c>
      <c r="K33" s="50">
        <v>2</v>
      </c>
      <c r="L33" s="50">
        <v>3</v>
      </c>
      <c r="M33" s="50">
        <v>140</v>
      </c>
      <c r="N33" s="50">
        <v>0</v>
      </c>
      <c r="O33" s="15">
        <f t="shared" si="0"/>
        <v>141</v>
      </c>
      <c r="P33" s="15">
        <f t="shared" si="1"/>
        <v>281</v>
      </c>
    </row>
    <row r="34" spans="2:20" ht="23.1" customHeight="1" x14ac:dyDescent="0.25">
      <c r="B34" s="24" t="s">
        <v>61</v>
      </c>
      <c r="C34" s="50">
        <v>30</v>
      </c>
      <c r="D34" s="50">
        <v>20</v>
      </c>
      <c r="E34" s="50">
        <v>8</v>
      </c>
      <c r="F34" s="50">
        <v>38</v>
      </c>
      <c r="G34" s="50">
        <v>0</v>
      </c>
      <c r="H34" s="50">
        <v>0</v>
      </c>
      <c r="I34" s="50">
        <v>13</v>
      </c>
      <c r="J34" s="50">
        <v>16</v>
      </c>
      <c r="K34" s="50">
        <v>0</v>
      </c>
      <c r="L34" s="50">
        <v>0</v>
      </c>
      <c r="M34" s="50">
        <v>155</v>
      </c>
      <c r="N34" s="50">
        <v>0</v>
      </c>
      <c r="O34" s="15">
        <f t="shared" si="0"/>
        <v>125</v>
      </c>
      <c r="P34" s="15">
        <f t="shared" si="1"/>
        <v>280</v>
      </c>
    </row>
    <row r="35" spans="2:20" ht="23.1" customHeight="1" x14ac:dyDescent="0.25">
      <c r="B35" s="24" t="s">
        <v>62</v>
      </c>
      <c r="C35" s="50">
        <v>41</v>
      </c>
      <c r="D35" s="50">
        <v>16</v>
      </c>
      <c r="E35" s="50">
        <v>4</v>
      </c>
      <c r="F35" s="50">
        <v>37</v>
      </c>
      <c r="G35" s="50">
        <v>0</v>
      </c>
      <c r="H35" s="50">
        <v>1</v>
      </c>
      <c r="I35" s="50">
        <v>10</v>
      </c>
      <c r="J35" s="50">
        <v>6</v>
      </c>
      <c r="K35" s="50">
        <v>0</v>
      </c>
      <c r="L35" s="50">
        <v>2</v>
      </c>
      <c r="M35" s="50">
        <v>160</v>
      </c>
      <c r="N35" s="50">
        <v>0</v>
      </c>
      <c r="O35" s="15">
        <f t="shared" si="0"/>
        <v>117</v>
      </c>
      <c r="P35" s="15">
        <f t="shared" si="1"/>
        <v>277</v>
      </c>
    </row>
    <row r="36" spans="2:20" ht="23.1" customHeight="1" x14ac:dyDescent="0.25">
      <c r="B36" s="24" t="s">
        <v>63</v>
      </c>
      <c r="C36" s="50">
        <v>32</v>
      </c>
      <c r="D36" s="50">
        <v>16</v>
      </c>
      <c r="E36" s="50">
        <v>11</v>
      </c>
      <c r="F36" s="50">
        <v>54</v>
      </c>
      <c r="G36" s="50">
        <v>2</v>
      </c>
      <c r="H36" s="50">
        <v>0</v>
      </c>
      <c r="I36" s="50">
        <v>12</v>
      </c>
      <c r="J36" s="50">
        <v>1</v>
      </c>
      <c r="K36" s="50">
        <v>2</v>
      </c>
      <c r="L36" s="50">
        <v>0</v>
      </c>
      <c r="M36" s="50">
        <v>230</v>
      </c>
      <c r="N36" s="50">
        <v>0</v>
      </c>
      <c r="O36" s="15">
        <f t="shared" si="0"/>
        <v>130</v>
      </c>
      <c r="P36" s="15">
        <f t="shared" si="1"/>
        <v>360</v>
      </c>
    </row>
    <row r="37" spans="2:20" ht="23.1" customHeight="1" x14ac:dyDescent="0.25">
      <c r="B37" s="23" t="s">
        <v>64</v>
      </c>
      <c r="C37" s="50">
        <v>53</v>
      </c>
      <c r="D37" s="50">
        <v>9</v>
      </c>
      <c r="E37" s="50">
        <v>9</v>
      </c>
      <c r="F37" s="50">
        <v>57</v>
      </c>
      <c r="G37" s="50">
        <v>0</v>
      </c>
      <c r="H37" s="50">
        <v>0</v>
      </c>
      <c r="I37" s="50">
        <v>19</v>
      </c>
      <c r="J37" s="50">
        <v>1</v>
      </c>
      <c r="K37" s="50">
        <v>1</v>
      </c>
      <c r="L37" s="50">
        <v>0</v>
      </c>
      <c r="M37" s="50">
        <v>183</v>
      </c>
      <c r="N37" s="50">
        <v>0</v>
      </c>
      <c r="O37" s="15">
        <f t="shared" si="0"/>
        <v>149</v>
      </c>
      <c r="P37" s="15">
        <f t="shared" si="1"/>
        <v>332</v>
      </c>
    </row>
    <row r="38" spans="2:20" ht="23.1" customHeight="1" x14ac:dyDescent="0.25">
      <c r="B38" s="24" t="s">
        <v>65</v>
      </c>
      <c r="C38" s="50">
        <v>31</v>
      </c>
      <c r="D38" s="50">
        <v>12</v>
      </c>
      <c r="E38" s="50">
        <v>9</v>
      </c>
      <c r="F38" s="50">
        <v>48</v>
      </c>
      <c r="G38" s="50">
        <v>1</v>
      </c>
      <c r="H38" s="50">
        <v>0</v>
      </c>
      <c r="I38" s="50">
        <v>22</v>
      </c>
      <c r="J38" s="50">
        <v>4</v>
      </c>
      <c r="K38" s="50">
        <v>0</v>
      </c>
      <c r="L38" s="50">
        <v>2</v>
      </c>
      <c r="M38" s="50">
        <v>105</v>
      </c>
      <c r="N38" s="50">
        <v>0</v>
      </c>
      <c r="O38" s="15">
        <f t="shared" si="0"/>
        <v>129</v>
      </c>
      <c r="P38" s="15">
        <f t="shared" si="1"/>
        <v>234</v>
      </c>
    </row>
    <row r="39" spans="2:20" ht="23.1" customHeight="1" x14ac:dyDescent="0.25">
      <c r="B39" s="24" t="s">
        <v>66</v>
      </c>
      <c r="C39" s="50">
        <v>37</v>
      </c>
      <c r="D39" s="50">
        <v>16</v>
      </c>
      <c r="E39" s="50">
        <v>4</v>
      </c>
      <c r="F39" s="50">
        <v>52</v>
      </c>
      <c r="G39" s="50">
        <v>0</v>
      </c>
      <c r="H39" s="50">
        <v>2</v>
      </c>
      <c r="I39" s="50">
        <v>15</v>
      </c>
      <c r="J39" s="50">
        <v>0</v>
      </c>
      <c r="K39" s="50">
        <v>4</v>
      </c>
      <c r="L39" s="50">
        <v>0</v>
      </c>
      <c r="M39" s="50">
        <v>172</v>
      </c>
      <c r="N39" s="50">
        <v>0</v>
      </c>
      <c r="O39" s="15">
        <f t="shared" si="0"/>
        <v>130</v>
      </c>
      <c r="P39" s="15">
        <f t="shared" si="1"/>
        <v>302</v>
      </c>
    </row>
    <row r="40" spans="2:20" ht="23.1" customHeight="1" x14ac:dyDescent="0.25">
      <c r="B40" s="24" t="s">
        <v>67</v>
      </c>
      <c r="C40" s="50">
        <v>45</v>
      </c>
      <c r="D40" s="50">
        <v>15</v>
      </c>
      <c r="E40" s="50">
        <v>14</v>
      </c>
      <c r="F40" s="50">
        <v>55</v>
      </c>
      <c r="G40" s="50">
        <v>0</v>
      </c>
      <c r="H40" s="50">
        <v>2</v>
      </c>
      <c r="I40" s="50">
        <v>20</v>
      </c>
      <c r="J40" s="50">
        <v>0</v>
      </c>
      <c r="K40" s="50">
        <v>9</v>
      </c>
      <c r="L40" s="50">
        <v>0</v>
      </c>
      <c r="M40" s="50">
        <v>165</v>
      </c>
      <c r="N40" s="50">
        <v>0</v>
      </c>
      <c r="O40" s="15">
        <f t="shared" si="0"/>
        <v>160</v>
      </c>
      <c r="P40" s="15">
        <f t="shared" si="1"/>
        <v>325</v>
      </c>
    </row>
    <row r="41" spans="2:20" ht="23.1" customHeight="1" x14ac:dyDescent="0.25">
      <c r="B41" s="23" t="s">
        <v>68</v>
      </c>
      <c r="C41" s="50">
        <v>25</v>
      </c>
      <c r="D41" s="50">
        <v>20</v>
      </c>
      <c r="E41" s="50">
        <v>14</v>
      </c>
      <c r="F41" s="50">
        <v>44</v>
      </c>
      <c r="G41" s="50">
        <v>0</v>
      </c>
      <c r="H41" s="50">
        <v>0</v>
      </c>
      <c r="I41" s="50">
        <v>15</v>
      </c>
      <c r="J41" s="50">
        <v>1</v>
      </c>
      <c r="K41" s="50">
        <v>2</v>
      </c>
      <c r="L41" s="50">
        <v>0</v>
      </c>
      <c r="M41" s="50">
        <v>220</v>
      </c>
      <c r="N41" s="50">
        <v>0</v>
      </c>
      <c r="O41" s="15">
        <f t="shared" si="0"/>
        <v>121</v>
      </c>
      <c r="P41" s="15">
        <f t="shared" si="1"/>
        <v>341</v>
      </c>
    </row>
    <row r="42" spans="2:20" ht="23.1" customHeight="1" x14ac:dyDescent="0.25">
      <c r="B42" s="24" t="s">
        <v>69</v>
      </c>
      <c r="C42" s="50">
        <v>41</v>
      </c>
      <c r="D42" s="50">
        <v>21</v>
      </c>
      <c r="E42" s="50">
        <v>12</v>
      </c>
      <c r="F42" s="50">
        <v>59</v>
      </c>
      <c r="G42" s="50">
        <v>1</v>
      </c>
      <c r="H42" s="50">
        <v>1</v>
      </c>
      <c r="I42" s="50">
        <v>17</v>
      </c>
      <c r="J42" s="50">
        <v>3</v>
      </c>
      <c r="K42" s="50">
        <v>3</v>
      </c>
      <c r="L42" s="50">
        <v>0</v>
      </c>
      <c r="M42" s="50">
        <v>193</v>
      </c>
      <c r="N42" s="50">
        <v>0</v>
      </c>
      <c r="O42" s="15">
        <f t="shared" si="0"/>
        <v>158</v>
      </c>
      <c r="P42" s="15">
        <f t="shared" si="1"/>
        <v>351</v>
      </c>
    </row>
    <row r="43" spans="2:20" ht="23.1" customHeight="1" x14ac:dyDescent="0.25">
      <c r="B43" s="23" t="s">
        <v>70</v>
      </c>
      <c r="C43" s="50">
        <v>55</v>
      </c>
      <c r="D43" s="50">
        <v>17</v>
      </c>
      <c r="E43" s="50">
        <v>18</v>
      </c>
      <c r="F43" s="50">
        <v>47</v>
      </c>
      <c r="G43" s="50">
        <v>0</v>
      </c>
      <c r="H43" s="50">
        <v>2</v>
      </c>
      <c r="I43" s="50">
        <v>15</v>
      </c>
      <c r="J43" s="50">
        <v>7</v>
      </c>
      <c r="K43" s="50">
        <v>0</v>
      </c>
      <c r="L43" s="50">
        <v>0</v>
      </c>
      <c r="M43" s="50">
        <v>210</v>
      </c>
      <c r="N43" s="50">
        <v>0</v>
      </c>
      <c r="O43" s="15">
        <f t="shared" si="0"/>
        <v>161</v>
      </c>
      <c r="P43" s="15">
        <f t="shared" si="1"/>
        <v>371</v>
      </c>
    </row>
    <row r="44" spans="2:20" ht="23.1" customHeight="1" x14ac:dyDescent="0.25">
      <c r="B44" s="25" t="s">
        <v>71</v>
      </c>
      <c r="C44" s="50">
        <v>35</v>
      </c>
      <c r="D44" s="50">
        <v>12</v>
      </c>
      <c r="E44" s="50">
        <v>6</v>
      </c>
      <c r="F44" s="50">
        <v>65</v>
      </c>
      <c r="G44" s="50">
        <v>0</v>
      </c>
      <c r="H44" s="50">
        <v>1</v>
      </c>
      <c r="I44" s="50">
        <v>10</v>
      </c>
      <c r="J44" s="50">
        <v>5</v>
      </c>
      <c r="K44" s="50">
        <v>0</v>
      </c>
      <c r="L44" s="50">
        <v>0</v>
      </c>
      <c r="M44" s="50">
        <v>145</v>
      </c>
      <c r="N44" s="50">
        <v>0</v>
      </c>
      <c r="O44" s="15">
        <f t="shared" si="0"/>
        <v>134</v>
      </c>
      <c r="P44" s="15">
        <f t="shared" si="1"/>
        <v>279</v>
      </c>
    </row>
    <row r="45" spans="2:20" ht="23.1" customHeight="1" x14ac:dyDescent="0.25">
      <c r="B45" s="23" t="s">
        <v>72</v>
      </c>
      <c r="C45" s="50">
        <v>54</v>
      </c>
      <c r="D45" s="50">
        <v>11</v>
      </c>
      <c r="E45" s="50">
        <v>13</v>
      </c>
      <c r="F45" s="50">
        <v>43</v>
      </c>
      <c r="G45" s="50">
        <v>0</v>
      </c>
      <c r="H45" s="50">
        <v>0</v>
      </c>
      <c r="I45" s="50">
        <v>11</v>
      </c>
      <c r="J45" s="50">
        <v>0</v>
      </c>
      <c r="K45" s="50">
        <v>1</v>
      </c>
      <c r="L45" s="50">
        <v>0</v>
      </c>
      <c r="M45" s="50">
        <v>145</v>
      </c>
      <c r="N45" s="50">
        <v>0</v>
      </c>
      <c r="O45" s="15">
        <f t="shared" si="0"/>
        <v>133</v>
      </c>
      <c r="P45" s="15">
        <f t="shared" si="1"/>
        <v>278</v>
      </c>
    </row>
    <row r="46" spans="2:20" ht="23.1" customHeight="1" x14ac:dyDescent="0.25">
      <c r="B46" s="24" t="s">
        <v>73</v>
      </c>
      <c r="C46" s="50">
        <v>61</v>
      </c>
      <c r="D46" s="50">
        <v>7</v>
      </c>
      <c r="E46" s="50">
        <v>7</v>
      </c>
      <c r="F46" s="50">
        <v>38</v>
      </c>
      <c r="G46" s="50">
        <v>0</v>
      </c>
      <c r="H46" s="50">
        <v>1</v>
      </c>
      <c r="I46" s="50">
        <v>7</v>
      </c>
      <c r="J46" s="50">
        <v>2</v>
      </c>
      <c r="K46" s="50">
        <v>1</v>
      </c>
      <c r="L46" s="50">
        <v>1</v>
      </c>
      <c r="M46" s="50">
        <v>166</v>
      </c>
      <c r="N46" s="50">
        <v>0</v>
      </c>
      <c r="O46" s="15">
        <f t="shared" si="0"/>
        <v>125</v>
      </c>
      <c r="P46" s="15">
        <f t="shared" si="1"/>
        <v>291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10</v>
      </c>
      <c r="E47" s="50">
        <v>18</v>
      </c>
      <c r="F47" s="50">
        <v>45</v>
      </c>
      <c r="G47" s="50">
        <v>3</v>
      </c>
      <c r="H47" s="50">
        <v>3</v>
      </c>
      <c r="I47" s="50">
        <v>10</v>
      </c>
      <c r="J47" s="50">
        <v>1</v>
      </c>
      <c r="K47" s="50">
        <v>6</v>
      </c>
      <c r="L47" s="50">
        <v>0</v>
      </c>
      <c r="M47" s="50">
        <v>125</v>
      </c>
      <c r="N47" s="50">
        <v>0</v>
      </c>
      <c r="O47" s="15">
        <f t="shared" si="0"/>
        <v>146</v>
      </c>
      <c r="P47" s="15">
        <f t="shared" si="1"/>
        <v>271</v>
      </c>
      <c r="R47" s="8"/>
      <c r="T47"/>
    </row>
    <row r="48" spans="2:20" ht="23.1" customHeight="1" x14ac:dyDescent="0.25">
      <c r="B48" s="24" t="s">
        <v>75</v>
      </c>
      <c r="C48" s="50">
        <v>73</v>
      </c>
      <c r="D48" s="50">
        <v>23</v>
      </c>
      <c r="E48" s="50">
        <v>13</v>
      </c>
      <c r="F48" s="50">
        <v>56</v>
      </c>
      <c r="G48" s="50">
        <v>2</v>
      </c>
      <c r="H48" s="50">
        <v>1</v>
      </c>
      <c r="I48" s="50">
        <v>11</v>
      </c>
      <c r="J48" s="50">
        <v>3</v>
      </c>
      <c r="K48" s="50">
        <v>1</v>
      </c>
      <c r="L48" s="50">
        <v>1</v>
      </c>
      <c r="M48" s="50">
        <v>113</v>
      </c>
      <c r="N48" s="50">
        <v>0</v>
      </c>
      <c r="O48" s="15">
        <f t="shared" si="0"/>
        <v>184</v>
      </c>
      <c r="P48" s="15">
        <f t="shared" si="1"/>
        <v>297</v>
      </c>
      <c r="R48" s="8"/>
      <c r="T48"/>
    </row>
    <row r="49" spans="2:20" ht="23.1" customHeight="1" x14ac:dyDescent="0.25">
      <c r="B49" s="23" t="s">
        <v>76</v>
      </c>
      <c r="C49" s="50">
        <v>56</v>
      </c>
      <c r="D49" s="50">
        <v>23</v>
      </c>
      <c r="E49" s="50">
        <v>11</v>
      </c>
      <c r="F49" s="50">
        <v>49</v>
      </c>
      <c r="G49" s="50">
        <v>1</v>
      </c>
      <c r="H49" s="50">
        <v>0</v>
      </c>
      <c r="I49" s="50">
        <v>11</v>
      </c>
      <c r="J49" s="50">
        <v>5</v>
      </c>
      <c r="K49" s="50">
        <v>2</v>
      </c>
      <c r="L49" s="50">
        <v>0</v>
      </c>
      <c r="M49" s="50">
        <v>220</v>
      </c>
      <c r="N49" s="50">
        <v>0</v>
      </c>
      <c r="O49" s="15">
        <f t="shared" si="0"/>
        <v>158</v>
      </c>
      <c r="P49" s="15">
        <f t="shared" si="1"/>
        <v>378</v>
      </c>
      <c r="R49" s="8"/>
      <c r="T49"/>
    </row>
    <row r="50" spans="2:20" ht="23.1" customHeight="1" x14ac:dyDescent="0.25">
      <c r="B50" s="24" t="s">
        <v>77</v>
      </c>
      <c r="C50" s="50">
        <v>60</v>
      </c>
      <c r="D50" s="50">
        <v>24</v>
      </c>
      <c r="E50" s="50">
        <v>6</v>
      </c>
      <c r="F50" s="50">
        <v>41</v>
      </c>
      <c r="G50" s="50">
        <v>1</v>
      </c>
      <c r="H50" s="50">
        <v>2</v>
      </c>
      <c r="I50" s="50">
        <v>6</v>
      </c>
      <c r="J50" s="50">
        <v>4</v>
      </c>
      <c r="K50" s="50">
        <v>1</v>
      </c>
      <c r="L50" s="50">
        <v>1</v>
      </c>
      <c r="M50" s="50">
        <v>160</v>
      </c>
      <c r="N50" s="50">
        <v>0</v>
      </c>
      <c r="O50" s="15">
        <f t="shared" si="0"/>
        <v>146</v>
      </c>
      <c r="P50" s="15">
        <f t="shared" si="1"/>
        <v>306</v>
      </c>
      <c r="R50" s="8"/>
      <c r="T50"/>
    </row>
    <row r="51" spans="2:20" ht="23.1" customHeight="1" x14ac:dyDescent="0.25">
      <c r="B51" s="24" t="s">
        <v>78</v>
      </c>
      <c r="C51" s="50">
        <v>83</v>
      </c>
      <c r="D51" s="50">
        <v>28</v>
      </c>
      <c r="E51" s="50">
        <v>10</v>
      </c>
      <c r="F51" s="50">
        <v>64</v>
      </c>
      <c r="G51" s="50">
        <v>0</v>
      </c>
      <c r="H51" s="50">
        <v>2</v>
      </c>
      <c r="I51" s="50">
        <v>16</v>
      </c>
      <c r="J51" s="50">
        <v>3</v>
      </c>
      <c r="K51" s="50">
        <v>0</v>
      </c>
      <c r="L51" s="50">
        <v>2</v>
      </c>
      <c r="M51" s="50">
        <v>139</v>
      </c>
      <c r="N51" s="50">
        <v>0</v>
      </c>
      <c r="O51" s="15">
        <f t="shared" si="0"/>
        <v>208</v>
      </c>
      <c r="P51" s="15">
        <f t="shared" si="1"/>
        <v>347</v>
      </c>
      <c r="R51" s="8"/>
      <c r="T51"/>
    </row>
    <row r="52" spans="2:20" ht="23.1" customHeight="1" x14ac:dyDescent="0.25">
      <c r="B52" s="24" t="s">
        <v>79</v>
      </c>
      <c r="C52" s="50">
        <v>80</v>
      </c>
      <c r="D52" s="50">
        <v>11</v>
      </c>
      <c r="E52" s="50">
        <v>9</v>
      </c>
      <c r="F52" s="50">
        <v>52</v>
      </c>
      <c r="G52" s="50">
        <v>2</v>
      </c>
      <c r="H52" s="50">
        <v>1</v>
      </c>
      <c r="I52" s="50">
        <v>5</v>
      </c>
      <c r="J52" s="50">
        <v>4</v>
      </c>
      <c r="K52" s="50">
        <v>0</v>
      </c>
      <c r="L52" s="50">
        <v>0</v>
      </c>
      <c r="M52" s="50">
        <v>210</v>
      </c>
      <c r="N52" s="50">
        <v>0</v>
      </c>
      <c r="O52" s="15">
        <f t="shared" si="0"/>
        <v>164</v>
      </c>
      <c r="P52" s="15">
        <f t="shared" si="1"/>
        <v>374</v>
      </c>
      <c r="R52" s="8"/>
      <c r="T52"/>
    </row>
    <row r="53" spans="2:20" ht="23.1" customHeight="1" x14ac:dyDescent="0.25">
      <c r="B53" s="23" t="s">
        <v>80</v>
      </c>
      <c r="C53" s="50">
        <v>83</v>
      </c>
      <c r="D53" s="50">
        <v>22</v>
      </c>
      <c r="E53" s="50">
        <v>10</v>
      </c>
      <c r="F53" s="50">
        <v>48</v>
      </c>
      <c r="G53" s="50">
        <v>3</v>
      </c>
      <c r="H53" s="50">
        <v>1</v>
      </c>
      <c r="I53" s="50">
        <v>1</v>
      </c>
      <c r="J53" s="50">
        <v>0</v>
      </c>
      <c r="K53" s="50">
        <v>1</v>
      </c>
      <c r="L53" s="50">
        <v>0</v>
      </c>
      <c r="M53" s="50">
        <v>280</v>
      </c>
      <c r="N53" s="50">
        <v>0</v>
      </c>
      <c r="O53" s="15">
        <f t="shared" si="0"/>
        <v>169</v>
      </c>
      <c r="P53" s="15">
        <f t="shared" si="1"/>
        <v>449</v>
      </c>
      <c r="R53" s="8"/>
      <c r="T53"/>
    </row>
    <row r="54" spans="2:20" ht="23.1" customHeight="1" x14ac:dyDescent="0.25">
      <c r="B54" s="23" t="s">
        <v>81</v>
      </c>
      <c r="C54" s="50">
        <v>73</v>
      </c>
      <c r="D54" s="50">
        <v>27</v>
      </c>
      <c r="E54" s="50">
        <v>10</v>
      </c>
      <c r="F54" s="50">
        <v>48</v>
      </c>
      <c r="G54" s="50">
        <v>2</v>
      </c>
      <c r="H54" s="50">
        <v>0</v>
      </c>
      <c r="I54" s="50">
        <v>13</v>
      </c>
      <c r="J54" s="50">
        <v>3</v>
      </c>
      <c r="K54" s="50">
        <v>1</v>
      </c>
      <c r="L54" s="50">
        <v>1</v>
      </c>
      <c r="M54" s="50">
        <v>357</v>
      </c>
      <c r="N54" s="50">
        <v>0</v>
      </c>
      <c r="O54" s="15">
        <f t="shared" si="0"/>
        <v>178</v>
      </c>
      <c r="P54" s="15">
        <f t="shared" si="1"/>
        <v>535</v>
      </c>
      <c r="R54" s="8"/>
      <c r="T54"/>
    </row>
    <row r="55" spans="2:20" ht="23.1" customHeight="1" x14ac:dyDescent="0.25">
      <c r="B55" s="23" t="s">
        <v>82</v>
      </c>
      <c r="C55" s="50">
        <v>81</v>
      </c>
      <c r="D55" s="50">
        <v>19</v>
      </c>
      <c r="E55" s="50">
        <v>25</v>
      </c>
      <c r="F55" s="50">
        <v>50</v>
      </c>
      <c r="G55" s="50">
        <v>2</v>
      </c>
      <c r="H55" s="50">
        <v>0</v>
      </c>
      <c r="I55" s="50">
        <v>8</v>
      </c>
      <c r="J55" s="50">
        <v>3</v>
      </c>
      <c r="K55" s="50">
        <v>2</v>
      </c>
      <c r="L55" s="50">
        <v>0</v>
      </c>
      <c r="M55" s="50">
        <v>289</v>
      </c>
      <c r="N55" s="50">
        <v>0</v>
      </c>
      <c r="O55" s="15">
        <f t="shared" si="0"/>
        <v>190</v>
      </c>
      <c r="P55" s="15">
        <f t="shared" si="1"/>
        <v>479</v>
      </c>
      <c r="R55" s="8"/>
      <c r="T55"/>
    </row>
    <row r="56" spans="2:20" ht="23.1" customHeight="1" x14ac:dyDescent="0.25">
      <c r="B56" s="23" t="s">
        <v>83</v>
      </c>
      <c r="C56" s="50">
        <v>103</v>
      </c>
      <c r="D56" s="50">
        <v>30</v>
      </c>
      <c r="E56" s="50">
        <v>9</v>
      </c>
      <c r="F56" s="50">
        <v>48</v>
      </c>
      <c r="G56" s="50">
        <v>2</v>
      </c>
      <c r="H56" s="50">
        <v>3</v>
      </c>
      <c r="I56" s="50">
        <v>19</v>
      </c>
      <c r="J56" s="50">
        <v>1</v>
      </c>
      <c r="K56" s="50">
        <v>0</v>
      </c>
      <c r="L56" s="50">
        <v>0</v>
      </c>
      <c r="M56" s="50">
        <v>360</v>
      </c>
      <c r="N56" s="50">
        <v>0</v>
      </c>
      <c r="O56" s="15">
        <f t="shared" si="0"/>
        <v>215</v>
      </c>
      <c r="P56" s="15">
        <f t="shared" si="1"/>
        <v>575</v>
      </c>
      <c r="R56" s="8"/>
      <c r="T56"/>
    </row>
    <row r="57" spans="2:20" ht="23.1" customHeight="1" x14ac:dyDescent="0.25">
      <c r="B57" s="23" t="s">
        <v>84</v>
      </c>
      <c r="C57" s="50">
        <v>65</v>
      </c>
      <c r="D57" s="50">
        <v>17</v>
      </c>
      <c r="E57" s="50">
        <v>2</v>
      </c>
      <c r="F57" s="50">
        <v>55</v>
      </c>
      <c r="G57" s="50">
        <v>2</v>
      </c>
      <c r="H57" s="50">
        <v>1</v>
      </c>
      <c r="I57" s="50">
        <v>5</v>
      </c>
      <c r="J57" s="50">
        <v>0</v>
      </c>
      <c r="K57" s="50">
        <v>0</v>
      </c>
      <c r="L57" s="50">
        <v>0</v>
      </c>
      <c r="M57" s="50">
        <v>265</v>
      </c>
      <c r="N57" s="50">
        <v>0</v>
      </c>
      <c r="O57" s="15">
        <f t="shared" si="0"/>
        <v>147</v>
      </c>
      <c r="P57" s="15">
        <f t="shared" si="1"/>
        <v>412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2220</v>
      </c>
      <c r="D58" s="16">
        <f t="shared" si="21"/>
        <v>646</v>
      </c>
      <c r="E58" s="16">
        <f t="shared" si="21"/>
        <v>406</v>
      </c>
      <c r="F58" s="16">
        <f t="shared" si="21"/>
        <v>2807</v>
      </c>
      <c r="G58" s="16">
        <f t="shared" si="21"/>
        <v>40</v>
      </c>
      <c r="H58" s="16">
        <f t="shared" si="21"/>
        <v>40</v>
      </c>
      <c r="I58" s="16">
        <f t="shared" si="21"/>
        <v>519</v>
      </c>
      <c r="J58" s="16">
        <f t="shared" si="21"/>
        <v>133</v>
      </c>
      <c r="K58" s="16">
        <f t="shared" si="21"/>
        <v>61</v>
      </c>
      <c r="L58" s="16">
        <f t="shared" si="21"/>
        <v>23</v>
      </c>
      <c r="M58" s="16">
        <f t="shared" si="21"/>
        <v>10010</v>
      </c>
      <c r="N58" s="16">
        <f t="shared" si="21"/>
        <v>1</v>
      </c>
      <c r="O58" s="16">
        <f t="shared" si="21"/>
        <v>6896</v>
      </c>
      <c r="P58" s="16">
        <f t="shared" si="21"/>
        <v>16906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0.13131432627469539</v>
      </c>
      <c r="D59" s="43">
        <f t="shared" si="22"/>
        <v>3.8211285933987933E-2</v>
      </c>
      <c r="E59" s="43">
        <f t="shared" si="22"/>
        <v>2.4015142552939784E-2</v>
      </c>
      <c r="F59" s="43">
        <f t="shared" si="22"/>
        <v>0.16603572696084232</v>
      </c>
      <c r="G59" s="43">
        <f t="shared" si="22"/>
        <v>2.3660238968413582E-3</v>
      </c>
      <c r="H59" s="43">
        <f t="shared" si="22"/>
        <v>2.3660238968413582E-3</v>
      </c>
      <c r="I59" s="43">
        <f t="shared" si="22"/>
        <v>3.0699160061516621E-2</v>
      </c>
      <c r="J59" s="43">
        <f t="shared" si="22"/>
        <v>7.8670294569975156E-3</v>
      </c>
      <c r="K59" s="43">
        <f t="shared" si="22"/>
        <v>3.608186442683071E-3</v>
      </c>
      <c r="L59" s="43">
        <f t="shared" si="22"/>
        <v>1.3604637406837809E-3</v>
      </c>
      <c r="M59" s="43">
        <f t="shared" si="22"/>
        <v>0.59209748018454988</v>
      </c>
      <c r="N59" s="43">
        <f t="shared" si="22"/>
        <v>5.915059742103395E-5</v>
      </c>
      <c r="R59" s="8"/>
      <c r="T59"/>
    </row>
    <row r="60" spans="2:20" ht="23.1" customHeight="1" x14ac:dyDescent="0.25">
      <c r="B60" s="42" t="s">
        <v>94</v>
      </c>
      <c r="C60" s="44">
        <f>C58/$O$58</f>
        <v>0.32192575406032481</v>
      </c>
      <c r="D60" s="44">
        <f t="shared" ref="D60:N60" si="23">D58/$O$58</f>
        <v>9.3677494199535957E-2</v>
      </c>
      <c r="E60" s="44">
        <f t="shared" si="23"/>
        <v>5.8874709976798147E-2</v>
      </c>
      <c r="F60" s="44">
        <f t="shared" si="23"/>
        <v>0.40704756380510443</v>
      </c>
      <c r="G60" s="44">
        <f t="shared" si="23"/>
        <v>5.8004640371229696E-3</v>
      </c>
      <c r="H60" s="44">
        <f t="shared" si="23"/>
        <v>5.8004640371229696E-3</v>
      </c>
      <c r="I60" s="44">
        <f t="shared" si="23"/>
        <v>7.526102088167054E-2</v>
      </c>
      <c r="J60" s="44">
        <f t="shared" si="23"/>
        <v>1.9286542923433875E-2</v>
      </c>
      <c r="K60" s="44">
        <f t="shared" si="23"/>
        <v>8.8457076566125295E-3</v>
      </c>
      <c r="L60" s="44">
        <f t="shared" si="23"/>
        <v>3.3352668213457075E-3</v>
      </c>
      <c r="M60" s="44"/>
      <c r="N60" s="44">
        <f t="shared" si="23"/>
        <v>1.4501160092807424E-4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GAYAZA-KALERWE'!C3:G3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KALERWE-GAYAZA'!D5</f>
        <v>23.07.19</v>
      </c>
      <c r="E5" s="3"/>
      <c r="F5" s="41" t="s">
        <v>1</v>
      </c>
      <c r="G5" s="65" t="str">
        <f>'22.07 KALERWE-GAYAZA'!G5:H5</f>
        <v>DELTA KYEBANDO</v>
      </c>
      <c r="H5" s="66"/>
      <c r="I5" s="14"/>
      <c r="J5" s="2" t="s">
        <v>5</v>
      </c>
      <c r="K5" s="65" t="s">
        <v>175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GAYAZA-KALERWE'!D6:E6</f>
        <v>GAYAZA</v>
      </c>
      <c r="E6" s="66"/>
      <c r="F6" s="2" t="s">
        <v>2</v>
      </c>
      <c r="G6" s="65" t="str">
        <f>'22.07 GAYAZA-KALERWE'!G6:H6</f>
        <v>KALERWE</v>
      </c>
      <c r="H6" s="66"/>
      <c r="J6" s="2" t="s">
        <v>21</v>
      </c>
      <c r="K6" s="65" t="s">
        <v>176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70</v>
      </c>
      <c r="D10" s="50">
        <v>11</v>
      </c>
      <c r="E10" s="50">
        <v>8</v>
      </c>
      <c r="F10" s="50">
        <v>58</v>
      </c>
      <c r="G10" s="50">
        <v>1</v>
      </c>
      <c r="H10" s="50">
        <v>2</v>
      </c>
      <c r="I10" s="50">
        <v>7</v>
      </c>
      <c r="J10" s="50">
        <v>1</v>
      </c>
      <c r="K10" s="50">
        <v>0</v>
      </c>
      <c r="L10" s="50">
        <v>0</v>
      </c>
      <c r="M10" s="50">
        <v>335</v>
      </c>
      <c r="N10" s="50">
        <v>0</v>
      </c>
      <c r="O10" s="15">
        <f t="shared" ref="O10:O57" si="0">SUM(C10:L10,N10)</f>
        <v>158</v>
      </c>
      <c r="P10" s="15">
        <f t="shared" ref="P10:P57" si="1">SUM(C10:N10)</f>
        <v>493</v>
      </c>
      <c r="R10" s="1" t="s">
        <v>6</v>
      </c>
      <c r="S10" s="17">
        <f t="shared" ref="S10:AF10" si="2">SUM(C10:C13)</f>
        <v>499</v>
      </c>
      <c r="T10" s="17">
        <f t="shared" si="2"/>
        <v>44</v>
      </c>
      <c r="U10" s="17">
        <f t="shared" si="2"/>
        <v>22</v>
      </c>
      <c r="V10" s="17">
        <f t="shared" si="2"/>
        <v>178</v>
      </c>
      <c r="W10" s="17">
        <f t="shared" si="2"/>
        <v>3</v>
      </c>
      <c r="X10" s="17">
        <f t="shared" si="2"/>
        <v>3</v>
      </c>
      <c r="Y10" s="17">
        <f t="shared" si="2"/>
        <v>17</v>
      </c>
      <c r="Z10" s="17">
        <f t="shared" si="2"/>
        <v>9</v>
      </c>
      <c r="AA10" s="17">
        <f t="shared" si="2"/>
        <v>0</v>
      </c>
      <c r="AB10" s="17">
        <f t="shared" si="2"/>
        <v>0</v>
      </c>
      <c r="AC10" s="17">
        <f t="shared" si="2"/>
        <v>1040</v>
      </c>
      <c r="AD10" s="17">
        <f t="shared" si="2"/>
        <v>0</v>
      </c>
      <c r="AE10" s="31">
        <f t="shared" si="2"/>
        <v>775</v>
      </c>
      <c r="AF10" s="31">
        <f t="shared" si="2"/>
        <v>1815</v>
      </c>
    </row>
    <row r="11" spans="2:32" s="6" customFormat="1" ht="23.1" customHeight="1" x14ac:dyDescent="0.25">
      <c r="B11" s="23" t="s">
        <v>38</v>
      </c>
      <c r="C11" s="50">
        <v>50</v>
      </c>
      <c r="D11" s="50">
        <v>12</v>
      </c>
      <c r="E11" s="50">
        <v>3</v>
      </c>
      <c r="F11" s="50">
        <v>42</v>
      </c>
      <c r="G11" s="50">
        <v>2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200</v>
      </c>
      <c r="N11" s="50">
        <v>0</v>
      </c>
      <c r="O11" s="15">
        <f t="shared" si="0"/>
        <v>112</v>
      </c>
      <c r="P11" s="15">
        <f t="shared" si="1"/>
        <v>312</v>
      </c>
      <c r="R11" s="1" t="s">
        <v>7</v>
      </c>
      <c r="S11" s="17">
        <f t="shared" ref="S11:AF11" si="3">SUM(C14:C17)</f>
        <v>188</v>
      </c>
      <c r="T11" s="17">
        <f t="shared" si="3"/>
        <v>33</v>
      </c>
      <c r="U11" s="17">
        <f t="shared" si="3"/>
        <v>25</v>
      </c>
      <c r="V11" s="17">
        <f t="shared" si="3"/>
        <v>172</v>
      </c>
      <c r="W11" s="17">
        <f t="shared" si="3"/>
        <v>7</v>
      </c>
      <c r="X11" s="17">
        <f t="shared" si="3"/>
        <v>2</v>
      </c>
      <c r="Y11" s="17">
        <f t="shared" si="3"/>
        <v>31</v>
      </c>
      <c r="Z11" s="17">
        <f t="shared" si="3"/>
        <v>10</v>
      </c>
      <c r="AA11" s="17">
        <f t="shared" si="3"/>
        <v>5</v>
      </c>
      <c r="AB11" s="17">
        <f t="shared" si="3"/>
        <v>1</v>
      </c>
      <c r="AC11" s="17">
        <f t="shared" si="3"/>
        <v>1015</v>
      </c>
      <c r="AD11" s="17">
        <f t="shared" si="3"/>
        <v>0</v>
      </c>
      <c r="AE11" s="31">
        <f t="shared" si="3"/>
        <v>474</v>
      </c>
      <c r="AF11" s="31">
        <f t="shared" si="3"/>
        <v>1489</v>
      </c>
    </row>
    <row r="12" spans="2:32" ht="23.1" customHeight="1" x14ac:dyDescent="0.25">
      <c r="B12" s="23" t="s">
        <v>39</v>
      </c>
      <c r="C12" s="50">
        <v>332</v>
      </c>
      <c r="D12" s="50">
        <v>13</v>
      </c>
      <c r="E12" s="50">
        <v>5</v>
      </c>
      <c r="F12" s="50">
        <v>32</v>
      </c>
      <c r="G12" s="50">
        <v>0</v>
      </c>
      <c r="H12" s="50">
        <v>1</v>
      </c>
      <c r="I12" s="50">
        <v>4</v>
      </c>
      <c r="J12" s="50">
        <v>5</v>
      </c>
      <c r="K12" s="50">
        <v>0</v>
      </c>
      <c r="L12" s="50">
        <v>0</v>
      </c>
      <c r="M12" s="50">
        <v>255</v>
      </c>
      <c r="N12" s="50">
        <v>0</v>
      </c>
      <c r="O12" s="15">
        <f t="shared" si="0"/>
        <v>392</v>
      </c>
      <c r="P12" s="15">
        <f t="shared" si="1"/>
        <v>647</v>
      </c>
      <c r="R12" s="1" t="s">
        <v>8</v>
      </c>
      <c r="S12" s="17">
        <f t="shared" ref="S12:AF12" si="4">SUM(C18:C21)</f>
        <v>212</v>
      </c>
      <c r="T12" s="17">
        <f t="shared" si="4"/>
        <v>44</v>
      </c>
      <c r="U12" s="17">
        <f t="shared" si="4"/>
        <v>26</v>
      </c>
      <c r="V12" s="17">
        <f t="shared" si="4"/>
        <v>205</v>
      </c>
      <c r="W12" s="17">
        <f t="shared" si="4"/>
        <v>2</v>
      </c>
      <c r="X12" s="17">
        <f t="shared" si="4"/>
        <v>4</v>
      </c>
      <c r="Y12" s="17">
        <f t="shared" si="4"/>
        <v>54</v>
      </c>
      <c r="Z12" s="17">
        <f t="shared" si="4"/>
        <v>13</v>
      </c>
      <c r="AA12" s="17">
        <f t="shared" si="4"/>
        <v>4</v>
      </c>
      <c r="AB12" s="17">
        <f t="shared" si="4"/>
        <v>1</v>
      </c>
      <c r="AC12" s="17">
        <f t="shared" si="4"/>
        <v>792</v>
      </c>
      <c r="AD12" s="17">
        <f t="shared" si="4"/>
        <v>0</v>
      </c>
      <c r="AE12" s="31">
        <f t="shared" si="4"/>
        <v>565</v>
      </c>
      <c r="AF12" s="31">
        <f t="shared" si="4"/>
        <v>1357</v>
      </c>
    </row>
    <row r="13" spans="2:32" ht="23.1" customHeight="1" x14ac:dyDescent="0.25">
      <c r="B13" s="23" t="s">
        <v>40</v>
      </c>
      <c r="C13" s="50">
        <v>47</v>
      </c>
      <c r="D13" s="50">
        <v>8</v>
      </c>
      <c r="E13" s="50">
        <v>6</v>
      </c>
      <c r="F13" s="50">
        <v>46</v>
      </c>
      <c r="G13" s="50">
        <v>0</v>
      </c>
      <c r="H13" s="50">
        <v>0</v>
      </c>
      <c r="I13" s="50">
        <v>4</v>
      </c>
      <c r="J13" s="50">
        <v>2</v>
      </c>
      <c r="K13" s="50">
        <v>0</v>
      </c>
      <c r="L13" s="50">
        <v>0</v>
      </c>
      <c r="M13" s="50">
        <v>250</v>
      </c>
      <c r="N13" s="50">
        <v>0</v>
      </c>
      <c r="O13" s="15">
        <f t="shared" si="0"/>
        <v>113</v>
      </c>
      <c r="P13" s="15">
        <f t="shared" si="1"/>
        <v>363</v>
      </c>
      <c r="R13" s="1" t="s">
        <v>9</v>
      </c>
      <c r="S13" s="17">
        <f t="shared" ref="S13:AF13" si="5">SUM(C22:C25)</f>
        <v>289</v>
      </c>
      <c r="T13" s="17">
        <f t="shared" si="5"/>
        <v>55</v>
      </c>
      <c r="U13" s="17">
        <f t="shared" si="5"/>
        <v>22</v>
      </c>
      <c r="V13" s="17">
        <f t="shared" si="5"/>
        <v>238</v>
      </c>
      <c r="W13" s="17">
        <f t="shared" si="5"/>
        <v>3</v>
      </c>
      <c r="X13" s="17">
        <f t="shared" si="5"/>
        <v>1</v>
      </c>
      <c r="Y13" s="17">
        <f t="shared" si="5"/>
        <v>40</v>
      </c>
      <c r="Z13" s="17">
        <f t="shared" si="5"/>
        <v>34</v>
      </c>
      <c r="AA13" s="17">
        <f t="shared" si="5"/>
        <v>18</v>
      </c>
      <c r="AB13" s="17">
        <f t="shared" si="5"/>
        <v>2</v>
      </c>
      <c r="AC13" s="17">
        <f t="shared" si="5"/>
        <v>988</v>
      </c>
      <c r="AD13" s="17">
        <f t="shared" si="5"/>
        <v>0</v>
      </c>
      <c r="AE13" s="31">
        <f t="shared" si="5"/>
        <v>702</v>
      </c>
      <c r="AF13" s="31">
        <f t="shared" si="5"/>
        <v>1690</v>
      </c>
    </row>
    <row r="14" spans="2:32" ht="23.1" customHeight="1" x14ac:dyDescent="0.25">
      <c r="B14" s="23" t="s">
        <v>41</v>
      </c>
      <c r="C14" s="50">
        <v>30</v>
      </c>
      <c r="D14" s="50">
        <v>11</v>
      </c>
      <c r="E14" s="50">
        <v>7</v>
      </c>
      <c r="F14" s="50">
        <v>40</v>
      </c>
      <c r="G14" s="50">
        <v>2</v>
      </c>
      <c r="H14" s="50">
        <v>0</v>
      </c>
      <c r="I14" s="50">
        <v>5</v>
      </c>
      <c r="J14" s="50">
        <v>0</v>
      </c>
      <c r="K14" s="50">
        <v>1</v>
      </c>
      <c r="L14" s="50">
        <v>0</v>
      </c>
      <c r="M14" s="50">
        <v>240</v>
      </c>
      <c r="N14" s="50">
        <v>0</v>
      </c>
      <c r="O14" s="15">
        <f t="shared" si="0"/>
        <v>96</v>
      </c>
      <c r="P14" s="15">
        <f t="shared" si="1"/>
        <v>336</v>
      </c>
      <c r="R14" s="1" t="s">
        <v>10</v>
      </c>
      <c r="S14" s="17">
        <f t="shared" ref="S14:AF14" si="6">SUM(C26:C29)</f>
        <v>263</v>
      </c>
      <c r="T14" s="17">
        <f t="shared" si="6"/>
        <v>34</v>
      </c>
      <c r="U14" s="17">
        <f t="shared" si="6"/>
        <v>28</v>
      </c>
      <c r="V14" s="17">
        <f t="shared" si="6"/>
        <v>260</v>
      </c>
      <c r="W14" s="17">
        <f t="shared" si="6"/>
        <v>1</v>
      </c>
      <c r="X14" s="17">
        <f t="shared" si="6"/>
        <v>1</v>
      </c>
      <c r="Y14" s="17">
        <f t="shared" si="6"/>
        <v>25</v>
      </c>
      <c r="Z14" s="17">
        <f t="shared" si="6"/>
        <v>15</v>
      </c>
      <c r="AA14" s="17">
        <f t="shared" si="6"/>
        <v>11</v>
      </c>
      <c r="AB14" s="17">
        <f t="shared" si="6"/>
        <v>3</v>
      </c>
      <c r="AC14" s="17">
        <f t="shared" si="6"/>
        <v>679</v>
      </c>
      <c r="AD14" s="17">
        <f t="shared" si="6"/>
        <v>0</v>
      </c>
      <c r="AE14" s="31">
        <f t="shared" si="6"/>
        <v>641</v>
      </c>
      <c r="AF14" s="31">
        <f t="shared" si="6"/>
        <v>1320</v>
      </c>
    </row>
    <row r="15" spans="2:32" ht="23.1" customHeight="1" x14ac:dyDescent="0.25">
      <c r="B15" s="23" t="s">
        <v>42</v>
      </c>
      <c r="C15" s="50">
        <v>50</v>
      </c>
      <c r="D15" s="50">
        <v>6</v>
      </c>
      <c r="E15" s="50">
        <v>4</v>
      </c>
      <c r="F15" s="50">
        <v>32</v>
      </c>
      <c r="G15" s="50">
        <v>1</v>
      </c>
      <c r="H15" s="50">
        <v>1</v>
      </c>
      <c r="I15" s="50">
        <v>11</v>
      </c>
      <c r="J15" s="50">
        <v>4</v>
      </c>
      <c r="K15" s="50">
        <v>3</v>
      </c>
      <c r="L15" s="50">
        <v>0</v>
      </c>
      <c r="M15" s="50">
        <v>225</v>
      </c>
      <c r="N15" s="50">
        <v>0</v>
      </c>
      <c r="O15" s="15">
        <f t="shared" si="0"/>
        <v>112</v>
      </c>
      <c r="P15" s="15">
        <f t="shared" si="1"/>
        <v>337</v>
      </c>
      <c r="R15" s="1" t="s">
        <v>11</v>
      </c>
      <c r="S15" s="17">
        <f t="shared" ref="S15:AF15" si="7">SUM(C30:C33)</f>
        <v>367</v>
      </c>
      <c r="T15" s="17">
        <f t="shared" si="7"/>
        <v>61</v>
      </c>
      <c r="U15" s="17">
        <f t="shared" si="7"/>
        <v>38</v>
      </c>
      <c r="V15" s="17">
        <f t="shared" si="7"/>
        <v>261</v>
      </c>
      <c r="W15" s="17">
        <f t="shared" si="7"/>
        <v>1</v>
      </c>
      <c r="X15" s="17">
        <f t="shared" si="7"/>
        <v>3</v>
      </c>
      <c r="Y15" s="17">
        <f t="shared" si="7"/>
        <v>39</v>
      </c>
      <c r="Z15" s="17">
        <f t="shared" si="7"/>
        <v>44</v>
      </c>
      <c r="AA15" s="17">
        <f t="shared" si="7"/>
        <v>19</v>
      </c>
      <c r="AB15" s="17">
        <f t="shared" si="7"/>
        <v>1</v>
      </c>
      <c r="AC15" s="17">
        <f t="shared" si="7"/>
        <v>491</v>
      </c>
      <c r="AD15" s="17">
        <f t="shared" si="7"/>
        <v>0</v>
      </c>
      <c r="AE15" s="31">
        <f t="shared" si="7"/>
        <v>834</v>
      </c>
      <c r="AF15" s="31">
        <f t="shared" si="7"/>
        <v>1325</v>
      </c>
    </row>
    <row r="16" spans="2:32" ht="23.1" customHeight="1" x14ac:dyDescent="0.25">
      <c r="B16" s="23" t="s">
        <v>43</v>
      </c>
      <c r="C16" s="50">
        <v>59</v>
      </c>
      <c r="D16" s="50">
        <v>7</v>
      </c>
      <c r="E16" s="50">
        <v>5</v>
      </c>
      <c r="F16" s="50">
        <v>47</v>
      </c>
      <c r="G16" s="50">
        <v>2</v>
      </c>
      <c r="H16" s="50">
        <v>0</v>
      </c>
      <c r="I16" s="50">
        <v>9</v>
      </c>
      <c r="J16" s="50">
        <v>3</v>
      </c>
      <c r="K16" s="50">
        <v>0</v>
      </c>
      <c r="L16" s="50">
        <v>0</v>
      </c>
      <c r="M16" s="50">
        <v>295</v>
      </c>
      <c r="N16" s="50">
        <v>0</v>
      </c>
      <c r="O16" s="15">
        <f t="shared" si="0"/>
        <v>132</v>
      </c>
      <c r="P16" s="15">
        <f t="shared" si="1"/>
        <v>427</v>
      </c>
      <c r="R16" s="1" t="s">
        <v>12</v>
      </c>
      <c r="S16" s="17">
        <f t="shared" ref="S16:AF16" si="8">SUM(C34:C37)</f>
        <v>178</v>
      </c>
      <c r="T16" s="17">
        <f t="shared" si="8"/>
        <v>45</v>
      </c>
      <c r="U16" s="17">
        <f t="shared" si="8"/>
        <v>20</v>
      </c>
      <c r="V16" s="17">
        <f t="shared" si="8"/>
        <v>162</v>
      </c>
      <c r="W16" s="17">
        <f t="shared" si="8"/>
        <v>3</v>
      </c>
      <c r="X16" s="17">
        <f t="shared" si="8"/>
        <v>2</v>
      </c>
      <c r="Y16" s="17">
        <f t="shared" si="8"/>
        <v>38</v>
      </c>
      <c r="Z16" s="17">
        <f t="shared" si="8"/>
        <v>23</v>
      </c>
      <c r="AA16" s="17">
        <f t="shared" si="8"/>
        <v>11</v>
      </c>
      <c r="AB16" s="17">
        <f t="shared" si="8"/>
        <v>4</v>
      </c>
      <c r="AC16" s="17">
        <f t="shared" si="8"/>
        <v>413</v>
      </c>
      <c r="AD16" s="17">
        <f t="shared" si="8"/>
        <v>0</v>
      </c>
      <c r="AE16" s="31">
        <f t="shared" si="8"/>
        <v>486</v>
      </c>
      <c r="AF16" s="31">
        <f t="shared" si="8"/>
        <v>899</v>
      </c>
    </row>
    <row r="17" spans="2:32" ht="23.1" customHeight="1" x14ac:dyDescent="0.25">
      <c r="B17" s="23" t="s">
        <v>44</v>
      </c>
      <c r="C17" s="50">
        <v>49</v>
      </c>
      <c r="D17" s="50">
        <v>9</v>
      </c>
      <c r="E17" s="50">
        <v>9</v>
      </c>
      <c r="F17" s="50">
        <v>53</v>
      </c>
      <c r="G17" s="50">
        <v>2</v>
      </c>
      <c r="H17" s="50">
        <v>1</v>
      </c>
      <c r="I17" s="50">
        <v>6</v>
      </c>
      <c r="J17" s="50">
        <v>3</v>
      </c>
      <c r="K17" s="50">
        <v>1</v>
      </c>
      <c r="L17" s="50">
        <v>1</v>
      </c>
      <c r="M17" s="50">
        <v>255</v>
      </c>
      <c r="N17" s="50">
        <v>0</v>
      </c>
      <c r="O17" s="15">
        <f t="shared" si="0"/>
        <v>134</v>
      </c>
      <c r="P17" s="15">
        <f t="shared" si="1"/>
        <v>389</v>
      </c>
      <c r="R17" s="1" t="s">
        <v>13</v>
      </c>
      <c r="S17" s="17">
        <f t="shared" ref="S17:AF17" si="9">SUM(C38:C41)</f>
        <v>148</v>
      </c>
      <c r="T17" s="17">
        <f t="shared" si="9"/>
        <v>45</v>
      </c>
      <c r="U17" s="17">
        <f t="shared" si="9"/>
        <v>32</v>
      </c>
      <c r="V17" s="17">
        <f t="shared" si="9"/>
        <v>133</v>
      </c>
      <c r="W17" s="17">
        <f t="shared" si="9"/>
        <v>4</v>
      </c>
      <c r="X17" s="17">
        <f t="shared" si="9"/>
        <v>0</v>
      </c>
      <c r="Y17" s="17">
        <f t="shared" si="9"/>
        <v>32</v>
      </c>
      <c r="Z17" s="17">
        <f t="shared" si="9"/>
        <v>35</v>
      </c>
      <c r="AA17" s="17">
        <f t="shared" si="9"/>
        <v>22</v>
      </c>
      <c r="AB17" s="17">
        <f t="shared" si="9"/>
        <v>1</v>
      </c>
      <c r="AC17" s="17">
        <f t="shared" si="9"/>
        <v>282</v>
      </c>
      <c r="AD17" s="17">
        <f t="shared" si="9"/>
        <v>0</v>
      </c>
      <c r="AE17" s="31">
        <f t="shared" si="9"/>
        <v>452</v>
      </c>
      <c r="AF17" s="31">
        <f t="shared" si="9"/>
        <v>734</v>
      </c>
    </row>
    <row r="18" spans="2:32" ht="23.1" customHeight="1" x14ac:dyDescent="0.25">
      <c r="B18" s="23" t="s">
        <v>45</v>
      </c>
      <c r="C18" s="50">
        <v>47</v>
      </c>
      <c r="D18" s="50">
        <v>12</v>
      </c>
      <c r="E18" s="50">
        <v>11</v>
      </c>
      <c r="F18" s="50">
        <v>60</v>
      </c>
      <c r="G18" s="50">
        <v>2</v>
      </c>
      <c r="H18" s="50">
        <v>1</v>
      </c>
      <c r="I18" s="50">
        <v>11</v>
      </c>
      <c r="J18" s="50">
        <v>2</v>
      </c>
      <c r="K18" s="50">
        <v>0</v>
      </c>
      <c r="L18" s="50">
        <v>0</v>
      </c>
      <c r="M18" s="50">
        <v>150</v>
      </c>
      <c r="N18" s="50">
        <v>0</v>
      </c>
      <c r="O18" s="15">
        <f t="shared" si="0"/>
        <v>146</v>
      </c>
      <c r="P18" s="15">
        <f t="shared" si="1"/>
        <v>296</v>
      </c>
      <c r="R18" s="1" t="s">
        <v>14</v>
      </c>
      <c r="S18" s="17">
        <f t="shared" ref="S18:AF18" si="10">SUM(C42:C45)</f>
        <v>185</v>
      </c>
      <c r="T18" s="17">
        <f t="shared" si="10"/>
        <v>57</v>
      </c>
      <c r="U18" s="17">
        <f t="shared" si="10"/>
        <v>28</v>
      </c>
      <c r="V18" s="17">
        <f t="shared" si="10"/>
        <v>166</v>
      </c>
      <c r="W18" s="17">
        <f t="shared" si="10"/>
        <v>1</v>
      </c>
      <c r="X18" s="17">
        <f t="shared" si="10"/>
        <v>2</v>
      </c>
      <c r="Y18" s="17">
        <f t="shared" si="10"/>
        <v>56</v>
      </c>
      <c r="Z18" s="17">
        <f t="shared" si="10"/>
        <v>39</v>
      </c>
      <c r="AA18" s="17">
        <f t="shared" si="10"/>
        <v>14</v>
      </c>
      <c r="AB18" s="17">
        <f t="shared" si="10"/>
        <v>2</v>
      </c>
      <c r="AC18" s="17">
        <f t="shared" si="10"/>
        <v>560</v>
      </c>
      <c r="AD18" s="17">
        <f t="shared" si="10"/>
        <v>0</v>
      </c>
      <c r="AE18" s="31">
        <f t="shared" si="10"/>
        <v>550</v>
      </c>
      <c r="AF18" s="31">
        <f t="shared" si="10"/>
        <v>1110</v>
      </c>
    </row>
    <row r="19" spans="2:32" ht="23.1" customHeight="1" x14ac:dyDescent="0.25">
      <c r="B19" s="23" t="s">
        <v>46</v>
      </c>
      <c r="C19" s="50">
        <v>54</v>
      </c>
      <c r="D19" s="50">
        <v>14</v>
      </c>
      <c r="E19" s="50">
        <v>6</v>
      </c>
      <c r="F19" s="50">
        <v>36</v>
      </c>
      <c r="G19" s="50">
        <v>0</v>
      </c>
      <c r="H19" s="50">
        <v>2</v>
      </c>
      <c r="I19" s="50">
        <v>13</v>
      </c>
      <c r="J19" s="50">
        <v>6</v>
      </c>
      <c r="K19" s="50">
        <v>1</v>
      </c>
      <c r="L19" s="50">
        <v>0</v>
      </c>
      <c r="M19" s="50">
        <v>235</v>
      </c>
      <c r="N19" s="50">
        <v>0</v>
      </c>
      <c r="O19" s="15">
        <f t="shared" si="0"/>
        <v>132</v>
      </c>
      <c r="P19" s="15">
        <f t="shared" si="1"/>
        <v>367</v>
      </c>
      <c r="R19" s="1" t="s">
        <v>15</v>
      </c>
      <c r="S19" s="17">
        <f t="shared" ref="S19:AF19" si="11">SUM(C46:C49)</f>
        <v>253</v>
      </c>
      <c r="T19" s="17">
        <f t="shared" si="11"/>
        <v>44</v>
      </c>
      <c r="U19" s="17">
        <f t="shared" si="11"/>
        <v>26</v>
      </c>
      <c r="V19" s="17">
        <f t="shared" si="11"/>
        <v>245</v>
      </c>
      <c r="W19" s="17">
        <f t="shared" si="11"/>
        <v>1</v>
      </c>
      <c r="X19" s="17">
        <f t="shared" si="11"/>
        <v>3</v>
      </c>
      <c r="Y19" s="17">
        <f t="shared" si="11"/>
        <v>48</v>
      </c>
      <c r="Z19" s="17">
        <f t="shared" si="11"/>
        <v>34</v>
      </c>
      <c r="AA19" s="17">
        <f t="shared" si="11"/>
        <v>8</v>
      </c>
      <c r="AB19" s="17">
        <f t="shared" si="11"/>
        <v>2</v>
      </c>
      <c r="AC19" s="17">
        <f t="shared" si="11"/>
        <v>549</v>
      </c>
      <c r="AD19" s="17">
        <f t="shared" si="11"/>
        <v>0</v>
      </c>
      <c r="AE19" s="31">
        <f t="shared" si="11"/>
        <v>664</v>
      </c>
      <c r="AF19" s="31">
        <f t="shared" si="11"/>
        <v>1213</v>
      </c>
    </row>
    <row r="20" spans="2:32" ht="23.1" customHeight="1" x14ac:dyDescent="0.25">
      <c r="B20" s="23" t="s">
        <v>47</v>
      </c>
      <c r="C20" s="50">
        <v>50</v>
      </c>
      <c r="D20" s="50">
        <v>6</v>
      </c>
      <c r="E20" s="50">
        <v>5</v>
      </c>
      <c r="F20" s="50">
        <v>53</v>
      </c>
      <c r="G20" s="50">
        <v>0</v>
      </c>
      <c r="H20" s="50">
        <v>0</v>
      </c>
      <c r="I20" s="50">
        <v>11</v>
      </c>
      <c r="J20" s="50">
        <v>3</v>
      </c>
      <c r="K20" s="50">
        <v>0</v>
      </c>
      <c r="L20" s="50">
        <v>0</v>
      </c>
      <c r="M20" s="50">
        <v>140</v>
      </c>
      <c r="N20" s="50">
        <v>0</v>
      </c>
      <c r="O20" s="15">
        <f t="shared" si="0"/>
        <v>128</v>
      </c>
      <c r="P20" s="15">
        <f t="shared" si="1"/>
        <v>268</v>
      </c>
      <c r="R20" s="1" t="s">
        <v>16</v>
      </c>
      <c r="S20" s="17">
        <f t="shared" ref="S20:AF20" si="12">SUM(C50:C53)</f>
        <v>119</v>
      </c>
      <c r="T20" s="17">
        <f t="shared" si="12"/>
        <v>30</v>
      </c>
      <c r="U20" s="17">
        <f t="shared" si="12"/>
        <v>17</v>
      </c>
      <c r="V20" s="17">
        <f t="shared" si="12"/>
        <v>167</v>
      </c>
      <c r="W20" s="17">
        <f t="shared" si="12"/>
        <v>4</v>
      </c>
      <c r="X20" s="17">
        <f t="shared" si="12"/>
        <v>3</v>
      </c>
      <c r="Y20" s="17">
        <f t="shared" si="12"/>
        <v>34</v>
      </c>
      <c r="Z20" s="17">
        <f t="shared" si="12"/>
        <v>30</v>
      </c>
      <c r="AA20" s="17">
        <f t="shared" si="12"/>
        <v>11</v>
      </c>
      <c r="AB20" s="17">
        <f t="shared" si="12"/>
        <v>1</v>
      </c>
      <c r="AC20" s="17">
        <f t="shared" si="12"/>
        <v>731</v>
      </c>
      <c r="AD20" s="17">
        <f t="shared" si="12"/>
        <v>0</v>
      </c>
      <c r="AE20" s="31">
        <f t="shared" si="12"/>
        <v>416</v>
      </c>
      <c r="AF20" s="31">
        <f t="shared" si="12"/>
        <v>1147</v>
      </c>
    </row>
    <row r="21" spans="2:32" ht="23.1" customHeight="1" x14ac:dyDescent="0.25">
      <c r="B21" s="23" t="s">
        <v>48</v>
      </c>
      <c r="C21" s="50">
        <v>61</v>
      </c>
      <c r="D21" s="50">
        <v>12</v>
      </c>
      <c r="E21" s="50">
        <v>4</v>
      </c>
      <c r="F21" s="50">
        <v>56</v>
      </c>
      <c r="G21" s="50">
        <v>0</v>
      </c>
      <c r="H21" s="50">
        <v>1</v>
      </c>
      <c r="I21" s="50">
        <v>19</v>
      </c>
      <c r="J21" s="50">
        <v>2</v>
      </c>
      <c r="K21" s="50">
        <v>3</v>
      </c>
      <c r="L21" s="50">
        <v>1</v>
      </c>
      <c r="M21" s="50">
        <v>267</v>
      </c>
      <c r="N21" s="50">
        <v>0</v>
      </c>
      <c r="O21" s="15">
        <f t="shared" si="0"/>
        <v>159</v>
      </c>
      <c r="P21" s="15">
        <f t="shared" si="1"/>
        <v>426</v>
      </c>
      <c r="R21" s="36" t="s">
        <v>20</v>
      </c>
      <c r="S21" s="34">
        <f t="shared" ref="S21:AF21" si="13">SUM(C54:C57)</f>
        <v>282</v>
      </c>
      <c r="T21" s="17">
        <f t="shared" si="13"/>
        <v>36</v>
      </c>
      <c r="U21" s="17">
        <f t="shared" si="13"/>
        <v>27</v>
      </c>
      <c r="V21" s="17">
        <f t="shared" si="13"/>
        <v>505</v>
      </c>
      <c r="W21" s="17">
        <f t="shared" si="13"/>
        <v>3</v>
      </c>
      <c r="X21" s="17">
        <f t="shared" si="13"/>
        <v>9</v>
      </c>
      <c r="Y21" s="17">
        <f t="shared" si="13"/>
        <v>46</v>
      </c>
      <c r="Z21" s="17">
        <f t="shared" si="13"/>
        <v>24</v>
      </c>
      <c r="AA21" s="17">
        <f t="shared" si="13"/>
        <v>14</v>
      </c>
      <c r="AB21" s="17">
        <f t="shared" si="13"/>
        <v>3</v>
      </c>
      <c r="AC21" s="17">
        <f t="shared" si="13"/>
        <v>957</v>
      </c>
      <c r="AD21" s="17">
        <f t="shared" si="13"/>
        <v>0</v>
      </c>
      <c r="AE21" s="31">
        <f t="shared" si="13"/>
        <v>949</v>
      </c>
      <c r="AF21" s="31">
        <f t="shared" si="13"/>
        <v>1906</v>
      </c>
    </row>
    <row r="22" spans="2:32" ht="23.1" customHeight="1" x14ac:dyDescent="0.25">
      <c r="B22" s="23" t="s">
        <v>49</v>
      </c>
      <c r="C22" s="50">
        <v>83</v>
      </c>
      <c r="D22" s="50">
        <v>15</v>
      </c>
      <c r="E22" s="50">
        <v>6</v>
      </c>
      <c r="F22" s="50">
        <v>55</v>
      </c>
      <c r="G22" s="50">
        <v>0</v>
      </c>
      <c r="H22" s="50">
        <v>0</v>
      </c>
      <c r="I22" s="50">
        <v>10</v>
      </c>
      <c r="J22" s="50">
        <v>8</v>
      </c>
      <c r="K22" s="50">
        <v>1</v>
      </c>
      <c r="L22" s="50">
        <v>0</v>
      </c>
      <c r="M22" s="50">
        <v>160</v>
      </c>
      <c r="N22" s="50">
        <v>0</v>
      </c>
      <c r="O22" s="15">
        <f t="shared" si="0"/>
        <v>178</v>
      </c>
      <c r="P22" s="15">
        <f t="shared" si="1"/>
        <v>338</v>
      </c>
      <c r="R22" s="38" t="s">
        <v>90</v>
      </c>
      <c r="S22" s="39">
        <f>MAX(S10:S12)</f>
        <v>499</v>
      </c>
      <c r="T22" s="39">
        <f t="shared" ref="T22:AF22" si="14">MAX(T10:T12)</f>
        <v>44</v>
      </c>
      <c r="U22" s="39">
        <f t="shared" si="14"/>
        <v>26</v>
      </c>
      <c r="V22" s="39">
        <f t="shared" si="14"/>
        <v>205</v>
      </c>
      <c r="W22" s="39">
        <f t="shared" si="14"/>
        <v>7</v>
      </c>
      <c r="X22" s="39">
        <f t="shared" si="14"/>
        <v>4</v>
      </c>
      <c r="Y22" s="39">
        <f t="shared" si="14"/>
        <v>54</v>
      </c>
      <c r="Z22" s="39">
        <f t="shared" si="14"/>
        <v>13</v>
      </c>
      <c r="AA22" s="39">
        <f t="shared" si="14"/>
        <v>5</v>
      </c>
      <c r="AB22" s="39">
        <f t="shared" si="14"/>
        <v>1</v>
      </c>
      <c r="AC22" s="39">
        <f t="shared" si="14"/>
        <v>1040</v>
      </c>
      <c r="AD22" s="39">
        <f t="shared" si="14"/>
        <v>0</v>
      </c>
      <c r="AE22" s="40">
        <f t="shared" si="14"/>
        <v>775</v>
      </c>
      <c r="AF22" s="40">
        <f t="shared" si="14"/>
        <v>1815</v>
      </c>
    </row>
    <row r="23" spans="2:32" ht="23.1" customHeight="1" x14ac:dyDescent="0.25">
      <c r="B23" s="23" t="s">
        <v>50</v>
      </c>
      <c r="C23" s="50">
        <v>61</v>
      </c>
      <c r="D23" s="50">
        <v>17</v>
      </c>
      <c r="E23" s="50">
        <v>4</v>
      </c>
      <c r="F23" s="50">
        <v>61</v>
      </c>
      <c r="G23" s="50">
        <v>2</v>
      </c>
      <c r="H23" s="50">
        <v>1</v>
      </c>
      <c r="I23" s="50">
        <v>3</v>
      </c>
      <c r="J23" s="50">
        <v>6</v>
      </c>
      <c r="K23" s="50">
        <v>6</v>
      </c>
      <c r="L23" s="50">
        <v>0</v>
      </c>
      <c r="M23" s="50">
        <v>288</v>
      </c>
      <c r="N23" s="50">
        <v>0</v>
      </c>
      <c r="O23" s="15">
        <f t="shared" si="0"/>
        <v>161</v>
      </c>
      <c r="P23" s="15">
        <f t="shared" si="1"/>
        <v>449</v>
      </c>
      <c r="R23" s="38" t="s">
        <v>91</v>
      </c>
      <c r="S23" s="39">
        <f>MAX(S13:S18)</f>
        <v>367</v>
      </c>
      <c r="T23" s="39">
        <f t="shared" ref="T23:AF23" si="15">MAX(T13:T18)</f>
        <v>61</v>
      </c>
      <c r="U23" s="39">
        <f t="shared" si="15"/>
        <v>38</v>
      </c>
      <c r="V23" s="39">
        <f t="shared" si="15"/>
        <v>261</v>
      </c>
      <c r="W23" s="39">
        <f t="shared" si="15"/>
        <v>4</v>
      </c>
      <c r="X23" s="39">
        <f t="shared" si="15"/>
        <v>3</v>
      </c>
      <c r="Y23" s="39">
        <f t="shared" si="15"/>
        <v>56</v>
      </c>
      <c r="Z23" s="39">
        <f t="shared" si="15"/>
        <v>44</v>
      </c>
      <c r="AA23" s="39">
        <f t="shared" si="15"/>
        <v>22</v>
      </c>
      <c r="AB23" s="39">
        <f t="shared" si="15"/>
        <v>4</v>
      </c>
      <c r="AC23" s="39">
        <f t="shared" si="15"/>
        <v>988</v>
      </c>
      <c r="AD23" s="39">
        <f t="shared" si="15"/>
        <v>0</v>
      </c>
      <c r="AE23" s="40">
        <f t="shared" si="15"/>
        <v>834</v>
      </c>
      <c r="AF23" s="40">
        <f t="shared" si="15"/>
        <v>1690</v>
      </c>
    </row>
    <row r="24" spans="2:32" ht="23.1" customHeight="1" x14ac:dyDescent="0.25">
      <c r="B24" s="23" t="s">
        <v>51</v>
      </c>
      <c r="C24" s="50">
        <v>85</v>
      </c>
      <c r="D24" s="50">
        <v>9</v>
      </c>
      <c r="E24" s="50">
        <v>6</v>
      </c>
      <c r="F24" s="50">
        <v>68</v>
      </c>
      <c r="G24" s="50">
        <v>0</v>
      </c>
      <c r="H24" s="50">
        <v>0</v>
      </c>
      <c r="I24" s="50">
        <v>13</v>
      </c>
      <c r="J24" s="50">
        <v>6</v>
      </c>
      <c r="K24" s="50">
        <v>5</v>
      </c>
      <c r="L24" s="50">
        <v>1</v>
      </c>
      <c r="M24" s="50">
        <v>340</v>
      </c>
      <c r="N24" s="50">
        <v>0</v>
      </c>
      <c r="O24" s="15">
        <f t="shared" si="0"/>
        <v>193</v>
      </c>
      <c r="P24" s="15">
        <f t="shared" si="1"/>
        <v>533</v>
      </c>
      <c r="R24" s="38" t="s">
        <v>92</v>
      </c>
      <c r="S24" s="39">
        <f>MAX(S19:S21)</f>
        <v>282</v>
      </c>
      <c r="T24" s="39">
        <f t="shared" ref="T24:AF24" si="16">MAX(T19:T21)</f>
        <v>44</v>
      </c>
      <c r="U24" s="39">
        <f t="shared" si="16"/>
        <v>27</v>
      </c>
      <c r="V24" s="39">
        <f t="shared" si="16"/>
        <v>505</v>
      </c>
      <c r="W24" s="39">
        <f t="shared" si="16"/>
        <v>4</v>
      </c>
      <c r="X24" s="39">
        <f t="shared" si="16"/>
        <v>9</v>
      </c>
      <c r="Y24" s="39">
        <f t="shared" si="16"/>
        <v>48</v>
      </c>
      <c r="Z24" s="39">
        <f t="shared" si="16"/>
        <v>34</v>
      </c>
      <c r="AA24" s="39">
        <f t="shared" si="16"/>
        <v>14</v>
      </c>
      <c r="AB24" s="39">
        <f t="shared" si="16"/>
        <v>3</v>
      </c>
      <c r="AC24" s="39">
        <f t="shared" si="16"/>
        <v>957</v>
      </c>
      <c r="AD24" s="39">
        <f t="shared" si="16"/>
        <v>0</v>
      </c>
      <c r="AE24" s="40">
        <f t="shared" si="16"/>
        <v>949</v>
      </c>
      <c r="AF24" s="40">
        <f t="shared" si="16"/>
        <v>1906</v>
      </c>
    </row>
    <row r="25" spans="2:32" ht="23.1" customHeight="1" x14ac:dyDescent="0.25">
      <c r="B25" s="23" t="s">
        <v>52</v>
      </c>
      <c r="C25" s="50">
        <v>60</v>
      </c>
      <c r="D25" s="50">
        <v>14</v>
      </c>
      <c r="E25" s="50">
        <v>6</v>
      </c>
      <c r="F25" s="50">
        <v>54</v>
      </c>
      <c r="G25" s="50">
        <v>1</v>
      </c>
      <c r="H25" s="50">
        <v>0</v>
      </c>
      <c r="I25" s="50">
        <v>14</v>
      </c>
      <c r="J25" s="50">
        <v>14</v>
      </c>
      <c r="K25" s="50">
        <v>6</v>
      </c>
      <c r="L25" s="50">
        <v>1</v>
      </c>
      <c r="M25" s="50">
        <v>200</v>
      </c>
      <c r="N25" s="50">
        <v>0</v>
      </c>
      <c r="O25" s="15">
        <f t="shared" si="0"/>
        <v>170</v>
      </c>
      <c r="P25" s="15">
        <f t="shared" si="1"/>
        <v>370</v>
      </c>
      <c r="R25" s="37" t="s">
        <v>85</v>
      </c>
      <c r="S25" s="35">
        <f t="shared" ref="S25:AF25" si="17">SUM(S10:S12)</f>
        <v>899</v>
      </c>
      <c r="T25" s="16">
        <f t="shared" si="17"/>
        <v>121</v>
      </c>
      <c r="U25" s="16">
        <f t="shared" si="17"/>
        <v>73</v>
      </c>
      <c r="V25" s="16">
        <f t="shared" si="17"/>
        <v>555</v>
      </c>
      <c r="W25" s="16">
        <f t="shared" si="17"/>
        <v>12</v>
      </c>
      <c r="X25" s="16">
        <f t="shared" si="17"/>
        <v>9</v>
      </c>
      <c r="Y25" s="16">
        <f t="shared" si="17"/>
        <v>102</v>
      </c>
      <c r="Z25" s="16">
        <f t="shared" si="17"/>
        <v>32</v>
      </c>
      <c r="AA25" s="16">
        <f t="shared" si="17"/>
        <v>9</v>
      </c>
      <c r="AB25" s="16">
        <f t="shared" si="17"/>
        <v>2</v>
      </c>
      <c r="AC25" s="16">
        <f t="shared" si="17"/>
        <v>2847</v>
      </c>
      <c r="AD25" s="16">
        <f t="shared" si="17"/>
        <v>0</v>
      </c>
      <c r="AE25" s="32">
        <f t="shared" si="17"/>
        <v>1814</v>
      </c>
      <c r="AF25" s="32">
        <f t="shared" si="17"/>
        <v>4661</v>
      </c>
    </row>
    <row r="26" spans="2:32" ht="23.1" customHeight="1" x14ac:dyDescent="0.25">
      <c r="B26" s="23" t="s">
        <v>53</v>
      </c>
      <c r="C26" s="50">
        <v>44</v>
      </c>
      <c r="D26" s="50">
        <v>12</v>
      </c>
      <c r="E26" s="50">
        <v>8</v>
      </c>
      <c r="F26" s="50">
        <v>43</v>
      </c>
      <c r="G26" s="50">
        <v>0</v>
      </c>
      <c r="H26" s="50">
        <v>1</v>
      </c>
      <c r="I26" s="50">
        <v>8</v>
      </c>
      <c r="J26" s="50">
        <v>7</v>
      </c>
      <c r="K26" s="50">
        <v>3</v>
      </c>
      <c r="L26" s="50">
        <v>1</v>
      </c>
      <c r="M26" s="50">
        <v>185</v>
      </c>
      <c r="N26" s="50">
        <v>0</v>
      </c>
      <c r="O26" s="15">
        <f t="shared" si="0"/>
        <v>127</v>
      </c>
      <c r="P26" s="15">
        <f t="shared" si="1"/>
        <v>312</v>
      </c>
      <c r="R26" s="28" t="s">
        <v>86</v>
      </c>
      <c r="S26" s="16">
        <f t="shared" ref="S26:AF26" si="18">SUM(S13:S18)</f>
        <v>1430</v>
      </c>
      <c r="T26" s="16">
        <f t="shared" si="18"/>
        <v>297</v>
      </c>
      <c r="U26" s="16">
        <f t="shared" si="18"/>
        <v>168</v>
      </c>
      <c r="V26" s="16">
        <f t="shared" si="18"/>
        <v>1220</v>
      </c>
      <c r="W26" s="16">
        <f t="shared" si="18"/>
        <v>13</v>
      </c>
      <c r="X26" s="16">
        <f t="shared" si="18"/>
        <v>9</v>
      </c>
      <c r="Y26" s="16">
        <f t="shared" si="18"/>
        <v>230</v>
      </c>
      <c r="Z26" s="16">
        <f t="shared" si="18"/>
        <v>190</v>
      </c>
      <c r="AA26" s="16">
        <f t="shared" si="18"/>
        <v>95</v>
      </c>
      <c r="AB26" s="16">
        <f t="shared" si="18"/>
        <v>13</v>
      </c>
      <c r="AC26" s="16">
        <f t="shared" si="18"/>
        <v>3413</v>
      </c>
      <c r="AD26" s="16">
        <f t="shared" si="18"/>
        <v>0</v>
      </c>
      <c r="AE26" s="32">
        <f t="shared" si="18"/>
        <v>3665</v>
      </c>
      <c r="AF26" s="32">
        <f t="shared" si="18"/>
        <v>7078</v>
      </c>
    </row>
    <row r="27" spans="2:32" ht="23.1" customHeight="1" x14ac:dyDescent="0.25">
      <c r="B27" s="23" t="s">
        <v>54</v>
      </c>
      <c r="C27" s="50">
        <v>64</v>
      </c>
      <c r="D27" s="50">
        <v>9</v>
      </c>
      <c r="E27" s="50">
        <v>8</v>
      </c>
      <c r="F27" s="50">
        <v>75</v>
      </c>
      <c r="G27" s="50">
        <v>0</v>
      </c>
      <c r="H27" s="50">
        <v>0</v>
      </c>
      <c r="I27" s="50">
        <v>5</v>
      </c>
      <c r="J27" s="50">
        <v>3</v>
      </c>
      <c r="K27" s="50">
        <v>3</v>
      </c>
      <c r="L27" s="50">
        <v>0</v>
      </c>
      <c r="M27" s="50">
        <v>159</v>
      </c>
      <c r="N27" s="50">
        <v>0</v>
      </c>
      <c r="O27" s="15">
        <f t="shared" si="0"/>
        <v>167</v>
      </c>
      <c r="P27" s="15">
        <f t="shared" si="1"/>
        <v>326</v>
      </c>
      <c r="R27" s="29" t="s">
        <v>87</v>
      </c>
      <c r="S27" s="16">
        <f t="shared" ref="S27:AF27" si="19">SUM(S19:S21)</f>
        <v>654</v>
      </c>
      <c r="T27" s="16">
        <f t="shared" si="19"/>
        <v>110</v>
      </c>
      <c r="U27" s="16">
        <f t="shared" si="19"/>
        <v>70</v>
      </c>
      <c r="V27" s="16">
        <f t="shared" si="19"/>
        <v>917</v>
      </c>
      <c r="W27" s="16">
        <f t="shared" si="19"/>
        <v>8</v>
      </c>
      <c r="X27" s="16">
        <f t="shared" si="19"/>
        <v>15</v>
      </c>
      <c r="Y27" s="16">
        <f t="shared" si="19"/>
        <v>128</v>
      </c>
      <c r="Z27" s="16">
        <f t="shared" si="19"/>
        <v>88</v>
      </c>
      <c r="AA27" s="16">
        <f t="shared" si="19"/>
        <v>33</v>
      </c>
      <c r="AB27" s="16">
        <f t="shared" si="19"/>
        <v>6</v>
      </c>
      <c r="AC27" s="16">
        <f t="shared" si="19"/>
        <v>2237</v>
      </c>
      <c r="AD27" s="16">
        <f t="shared" si="19"/>
        <v>0</v>
      </c>
      <c r="AE27" s="32">
        <f t="shared" si="19"/>
        <v>2029</v>
      </c>
      <c r="AF27" s="32">
        <f t="shared" si="19"/>
        <v>4266</v>
      </c>
    </row>
    <row r="28" spans="2:32" ht="23.1" customHeight="1" x14ac:dyDescent="0.25">
      <c r="B28" s="23" t="s">
        <v>55</v>
      </c>
      <c r="C28" s="50">
        <v>65</v>
      </c>
      <c r="D28" s="50">
        <v>6</v>
      </c>
      <c r="E28" s="50">
        <v>4</v>
      </c>
      <c r="F28" s="50">
        <v>57</v>
      </c>
      <c r="G28" s="50">
        <v>1</v>
      </c>
      <c r="H28" s="50">
        <v>0</v>
      </c>
      <c r="I28" s="50">
        <v>6</v>
      </c>
      <c r="J28" s="50">
        <v>2</v>
      </c>
      <c r="K28" s="50">
        <v>3</v>
      </c>
      <c r="L28" s="50">
        <v>2</v>
      </c>
      <c r="M28" s="50">
        <v>165</v>
      </c>
      <c r="N28" s="50">
        <v>0</v>
      </c>
      <c r="O28" s="15">
        <f t="shared" si="0"/>
        <v>146</v>
      </c>
      <c r="P28" s="15">
        <f t="shared" si="1"/>
        <v>311</v>
      </c>
      <c r="R28" s="5" t="s">
        <v>17</v>
      </c>
      <c r="S28" s="16">
        <f t="shared" ref="S28:AF28" si="20">SUM(S10:S21)</f>
        <v>2983</v>
      </c>
      <c r="T28" s="16">
        <f t="shared" si="20"/>
        <v>528</v>
      </c>
      <c r="U28" s="16">
        <f t="shared" si="20"/>
        <v>311</v>
      </c>
      <c r="V28" s="16">
        <f t="shared" si="20"/>
        <v>2692</v>
      </c>
      <c r="W28" s="16">
        <f t="shared" si="20"/>
        <v>33</v>
      </c>
      <c r="X28" s="16">
        <f t="shared" si="20"/>
        <v>33</v>
      </c>
      <c r="Y28" s="16">
        <f t="shared" si="20"/>
        <v>460</v>
      </c>
      <c r="Z28" s="16">
        <f t="shared" si="20"/>
        <v>310</v>
      </c>
      <c r="AA28" s="16">
        <f t="shared" si="20"/>
        <v>137</v>
      </c>
      <c r="AB28" s="16">
        <f t="shared" si="20"/>
        <v>21</v>
      </c>
      <c r="AC28" s="16">
        <f t="shared" si="20"/>
        <v>8497</v>
      </c>
      <c r="AD28" s="16">
        <f t="shared" si="20"/>
        <v>0</v>
      </c>
      <c r="AE28" s="32">
        <f t="shared" si="20"/>
        <v>7508</v>
      </c>
      <c r="AF28" s="32">
        <f t="shared" si="20"/>
        <v>16005</v>
      </c>
    </row>
    <row r="29" spans="2:32" ht="23.1" customHeight="1" x14ac:dyDescent="0.25">
      <c r="B29" s="23" t="s">
        <v>56</v>
      </c>
      <c r="C29" s="50">
        <v>90</v>
      </c>
      <c r="D29" s="50">
        <v>7</v>
      </c>
      <c r="E29" s="50">
        <v>8</v>
      </c>
      <c r="F29" s="50">
        <v>85</v>
      </c>
      <c r="G29" s="50">
        <v>0</v>
      </c>
      <c r="H29" s="50">
        <v>0</v>
      </c>
      <c r="I29" s="50">
        <v>6</v>
      </c>
      <c r="J29" s="50">
        <v>3</v>
      </c>
      <c r="K29" s="50">
        <v>2</v>
      </c>
      <c r="L29" s="50">
        <v>0</v>
      </c>
      <c r="M29" s="50">
        <v>170</v>
      </c>
      <c r="N29" s="50">
        <v>0</v>
      </c>
      <c r="O29" s="15">
        <f t="shared" si="0"/>
        <v>201</v>
      </c>
      <c r="P29" s="15">
        <f t="shared" si="1"/>
        <v>371</v>
      </c>
      <c r="R29"/>
      <c r="S29" s="20"/>
      <c r="T29" s="19"/>
    </row>
    <row r="30" spans="2:32" ht="23.1" customHeight="1" x14ac:dyDescent="0.25">
      <c r="B30" s="23" t="s">
        <v>57</v>
      </c>
      <c r="C30" s="50">
        <v>100</v>
      </c>
      <c r="D30" s="50">
        <v>21</v>
      </c>
      <c r="E30" s="50">
        <v>15</v>
      </c>
      <c r="F30" s="50">
        <v>80</v>
      </c>
      <c r="G30" s="50">
        <v>1</v>
      </c>
      <c r="H30" s="50">
        <v>1</v>
      </c>
      <c r="I30" s="50">
        <v>12</v>
      </c>
      <c r="J30" s="50">
        <v>17</v>
      </c>
      <c r="K30" s="50">
        <v>6</v>
      </c>
      <c r="L30" s="50">
        <v>0</v>
      </c>
      <c r="M30" s="50">
        <v>156</v>
      </c>
      <c r="N30" s="50">
        <v>0</v>
      </c>
      <c r="O30" s="15">
        <f t="shared" si="0"/>
        <v>253</v>
      </c>
      <c r="P30" s="15">
        <f t="shared" si="1"/>
        <v>409</v>
      </c>
    </row>
    <row r="31" spans="2:32" ht="23.1" customHeight="1" x14ac:dyDescent="0.25">
      <c r="B31" s="24" t="s">
        <v>58</v>
      </c>
      <c r="C31" s="50">
        <v>116</v>
      </c>
      <c r="D31" s="50">
        <v>18</v>
      </c>
      <c r="E31" s="50">
        <v>10</v>
      </c>
      <c r="F31" s="50">
        <v>76</v>
      </c>
      <c r="G31" s="50">
        <v>0</v>
      </c>
      <c r="H31" s="50">
        <v>0</v>
      </c>
      <c r="I31" s="50">
        <v>11</v>
      </c>
      <c r="J31" s="50">
        <v>12</v>
      </c>
      <c r="K31" s="50">
        <v>5</v>
      </c>
      <c r="L31" s="50">
        <v>0</v>
      </c>
      <c r="M31" s="50">
        <v>140</v>
      </c>
      <c r="N31" s="50">
        <v>0</v>
      </c>
      <c r="O31" s="15">
        <f t="shared" si="0"/>
        <v>248</v>
      </c>
      <c r="P31" s="15">
        <f t="shared" si="1"/>
        <v>388</v>
      </c>
    </row>
    <row r="32" spans="2:32" ht="23.1" customHeight="1" x14ac:dyDescent="0.25">
      <c r="B32" s="24" t="s">
        <v>59</v>
      </c>
      <c r="C32" s="50">
        <v>81</v>
      </c>
      <c r="D32" s="50">
        <v>7</v>
      </c>
      <c r="E32" s="50">
        <v>5</v>
      </c>
      <c r="F32" s="50">
        <v>30</v>
      </c>
      <c r="G32" s="50">
        <v>0</v>
      </c>
      <c r="H32" s="50">
        <v>1</v>
      </c>
      <c r="I32" s="50">
        <v>8</v>
      </c>
      <c r="J32" s="50">
        <v>10</v>
      </c>
      <c r="K32" s="50">
        <v>5</v>
      </c>
      <c r="L32" s="50">
        <v>1</v>
      </c>
      <c r="M32" s="50">
        <v>45</v>
      </c>
      <c r="N32" s="50">
        <v>0</v>
      </c>
      <c r="O32" s="15">
        <f t="shared" si="0"/>
        <v>148</v>
      </c>
      <c r="P32" s="15">
        <f t="shared" si="1"/>
        <v>193</v>
      </c>
    </row>
    <row r="33" spans="2:20" ht="23.1" customHeight="1" x14ac:dyDescent="0.25">
      <c r="B33" s="23" t="s">
        <v>60</v>
      </c>
      <c r="C33" s="50">
        <v>70</v>
      </c>
      <c r="D33" s="50">
        <v>15</v>
      </c>
      <c r="E33" s="50">
        <v>8</v>
      </c>
      <c r="F33" s="50">
        <v>75</v>
      </c>
      <c r="G33" s="50">
        <v>0</v>
      </c>
      <c r="H33" s="50">
        <v>1</v>
      </c>
      <c r="I33" s="50">
        <v>8</v>
      </c>
      <c r="J33" s="50">
        <v>5</v>
      </c>
      <c r="K33" s="50">
        <v>3</v>
      </c>
      <c r="L33" s="50">
        <v>0</v>
      </c>
      <c r="M33" s="50">
        <v>150</v>
      </c>
      <c r="N33" s="50">
        <v>0</v>
      </c>
      <c r="O33" s="15">
        <f t="shared" si="0"/>
        <v>185</v>
      </c>
      <c r="P33" s="15">
        <f t="shared" si="1"/>
        <v>335</v>
      </c>
    </row>
    <row r="34" spans="2:20" ht="23.1" customHeight="1" x14ac:dyDescent="0.25">
      <c r="B34" s="24" t="s">
        <v>61</v>
      </c>
      <c r="C34" s="50">
        <v>75</v>
      </c>
      <c r="D34" s="50">
        <v>9</v>
      </c>
      <c r="E34" s="50">
        <v>3</v>
      </c>
      <c r="F34" s="50">
        <v>34</v>
      </c>
      <c r="G34" s="50">
        <v>3</v>
      </c>
      <c r="H34" s="50">
        <v>0</v>
      </c>
      <c r="I34" s="50">
        <v>5</v>
      </c>
      <c r="J34" s="50">
        <v>0</v>
      </c>
      <c r="K34" s="50">
        <v>3</v>
      </c>
      <c r="L34" s="50">
        <v>2</v>
      </c>
      <c r="M34" s="50">
        <v>118</v>
      </c>
      <c r="N34" s="50">
        <v>0</v>
      </c>
      <c r="O34" s="15">
        <f t="shared" si="0"/>
        <v>134</v>
      </c>
      <c r="P34" s="15">
        <f t="shared" si="1"/>
        <v>252</v>
      </c>
    </row>
    <row r="35" spans="2:20" ht="23.1" customHeight="1" x14ac:dyDescent="0.25">
      <c r="B35" s="24" t="s">
        <v>62</v>
      </c>
      <c r="C35" s="50">
        <v>33</v>
      </c>
      <c r="D35" s="50">
        <v>10</v>
      </c>
      <c r="E35" s="50">
        <v>8</v>
      </c>
      <c r="F35" s="50">
        <v>45</v>
      </c>
      <c r="G35" s="50">
        <v>0</v>
      </c>
      <c r="H35" s="50">
        <v>0</v>
      </c>
      <c r="I35" s="50">
        <v>9</v>
      </c>
      <c r="J35" s="50">
        <v>9</v>
      </c>
      <c r="K35" s="50">
        <v>2</v>
      </c>
      <c r="L35" s="50">
        <v>0</v>
      </c>
      <c r="M35" s="50">
        <v>85</v>
      </c>
      <c r="N35" s="50">
        <v>0</v>
      </c>
      <c r="O35" s="15">
        <f t="shared" si="0"/>
        <v>116</v>
      </c>
      <c r="P35" s="15">
        <f t="shared" si="1"/>
        <v>201</v>
      </c>
    </row>
    <row r="36" spans="2:20" ht="23.1" customHeight="1" x14ac:dyDescent="0.25">
      <c r="B36" s="24" t="s">
        <v>63</v>
      </c>
      <c r="C36" s="50">
        <v>38</v>
      </c>
      <c r="D36" s="50">
        <v>11</v>
      </c>
      <c r="E36" s="50">
        <v>4</v>
      </c>
      <c r="F36" s="50">
        <v>47</v>
      </c>
      <c r="G36" s="50">
        <v>0</v>
      </c>
      <c r="H36" s="50">
        <v>1</v>
      </c>
      <c r="I36" s="50">
        <v>10</v>
      </c>
      <c r="J36" s="50">
        <v>6</v>
      </c>
      <c r="K36" s="50">
        <v>1</v>
      </c>
      <c r="L36" s="50">
        <v>2</v>
      </c>
      <c r="M36" s="50">
        <v>100</v>
      </c>
      <c r="N36" s="50">
        <v>0</v>
      </c>
      <c r="O36" s="15">
        <f t="shared" si="0"/>
        <v>120</v>
      </c>
      <c r="P36" s="15">
        <f t="shared" si="1"/>
        <v>220</v>
      </c>
    </row>
    <row r="37" spans="2:20" ht="23.1" customHeight="1" x14ac:dyDescent="0.25">
      <c r="B37" s="23" t="s">
        <v>64</v>
      </c>
      <c r="C37" s="50">
        <v>32</v>
      </c>
      <c r="D37" s="50">
        <v>15</v>
      </c>
      <c r="E37" s="50">
        <v>5</v>
      </c>
      <c r="F37" s="50">
        <v>36</v>
      </c>
      <c r="G37" s="50">
        <v>0</v>
      </c>
      <c r="H37" s="50">
        <v>1</v>
      </c>
      <c r="I37" s="50">
        <v>14</v>
      </c>
      <c r="J37" s="50">
        <v>8</v>
      </c>
      <c r="K37" s="50">
        <v>5</v>
      </c>
      <c r="L37" s="50">
        <v>0</v>
      </c>
      <c r="M37" s="50">
        <v>110</v>
      </c>
      <c r="N37" s="50">
        <v>0</v>
      </c>
      <c r="O37" s="15">
        <f t="shared" si="0"/>
        <v>116</v>
      </c>
      <c r="P37" s="15">
        <f t="shared" si="1"/>
        <v>226</v>
      </c>
    </row>
    <row r="38" spans="2:20" ht="23.1" customHeight="1" x14ac:dyDescent="0.25">
      <c r="B38" s="24" t="s">
        <v>65</v>
      </c>
      <c r="C38" s="50">
        <v>38</v>
      </c>
      <c r="D38" s="50">
        <v>14</v>
      </c>
      <c r="E38" s="50">
        <v>12</v>
      </c>
      <c r="F38" s="50">
        <v>38</v>
      </c>
      <c r="G38" s="50">
        <v>3</v>
      </c>
      <c r="H38" s="50">
        <v>0</v>
      </c>
      <c r="I38" s="50">
        <v>8</v>
      </c>
      <c r="J38" s="50">
        <v>6</v>
      </c>
      <c r="K38" s="50">
        <v>3</v>
      </c>
      <c r="L38" s="50">
        <v>0</v>
      </c>
      <c r="M38" s="50">
        <v>80</v>
      </c>
      <c r="N38" s="50">
        <v>0</v>
      </c>
      <c r="O38" s="15">
        <f t="shared" si="0"/>
        <v>122</v>
      </c>
      <c r="P38" s="15">
        <f t="shared" si="1"/>
        <v>202</v>
      </c>
    </row>
    <row r="39" spans="2:20" ht="23.1" customHeight="1" x14ac:dyDescent="0.25">
      <c r="B39" s="24" t="s">
        <v>66</v>
      </c>
      <c r="C39" s="50">
        <v>34</v>
      </c>
      <c r="D39" s="50">
        <v>14</v>
      </c>
      <c r="E39" s="50">
        <v>4</v>
      </c>
      <c r="F39" s="50">
        <v>43</v>
      </c>
      <c r="G39" s="50">
        <v>0</v>
      </c>
      <c r="H39" s="50">
        <v>0</v>
      </c>
      <c r="I39" s="50">
        <v>7</v>
      </c>
      <c r="J39" s="50">
        <v>12</v>
      </c>
      <c r="K39" s="50">
        <v>5</v>
      </c>
      <c r="L39" s="50">
        <v>0</v>
      </c>
      <c r="M39" s="50">
        <v>96</v>
      </c>
      <c r="N39" s="50">
        <v>0</v>
      </c>
      <c r="O39" s="15">
        <f t="shared" si="0"/>
        <v>119</v>
      </c>
      <c r="P39" s="15">
        <f t="shared" si="1"/>
        <v>215</v>
      </c>
    </row>
    <row r="40" spans="2:20" ht="23.1" customHeight="1" x14ac:dyDescent="0.25">
      <c r="B40" s="24" t="s">
        <v>67</v>
      </c>
      <c r="C40" s="50">
        <v>39</v>
      </c>
      <c r="D40" s="50">
        <v>14</v>
      </c>
      <c r="E40" s="50">
        <v>9</v>
      </c>
      <c r="F40" s="50">
        <v>28</v>
      </c>
      <c r="G40" s="50">
        <v>1</v>
      </c>
      <c r="H40" s="50">
        <v>0</v>
      </c>
      <c r="I40" s="50">
        <v>9</v>
      </c>
      <c r="J40" s="50">
        <v>11</v>
      </c>
      <c r="K40" s="50">
        <v>10</v>
      </c>
      <c r="L40" s="50">
        <v>1</v>
      </c>
      <c r="M40" s="50">
        <v>61</v>
      </c>
      <c r="N40" s="50">
        <v>0</v>
      </c>
      <c r="O40" s="15">
        <f t="shared" si="0"/>
        <v>122</v>
      </c>
      <c r="P40" s="15">
        <f t="shared" si="1"/>
        <v>183</v>
      </c>
    </row>
    <row r="41" spans="2:20" ht="23.1" customHeight="1" x14ac:dyDescent="0.25">
      <c r="B41" s="23" t="s">
        <v>68</v>
      </c>
      <c r="C41" s="50">
        <v>37</v>
      </c>
      <c r="D41" s="50">
        <v>3</v>
      </c>
      <c r="E41" s="50">
        <v>7</v>
      </c>
      <c r="F41" s="50">
        <v>24</v>
      </c>
      <c r="G41" s="50">
        <v>0</v>
      </c>
      <c r="H41" s="50">
        <v>0</v>
      </c>
      <c r="I41" s="50">
        <v>8</v>
      </c>
      <c r="J41" s="50">
        <v>6</v>
      </c>
      <c r="K41" s="50">
        <v>4</v>
      </c>
      <c r="L41" s="50">
        <v>0</v>
      </c>
      <c r="M41" s="50">
        <v>45</v>
      </c>
      <c r="N41" s="50">
        <v>0</v>
      </c>
      <c r="O41" s="15">
        <f t="shared" si="0"/>
        <v>89</v>
      </c>
      <c r="P41" s="15">
        <f t="shared" si="1"/>
        <v>134</v>
      </c>
    </row>
    <row r="42" spans="2:20" ht="23.1" customHeight="1" x14ac:dyDescent="0.25">
      <c r="B42" s="24" t="s">
        <v>69</v>
      </c>
      <c r="C42" s="50">
        <v>26</v>
      </c>
      <c r="D42" s="50">
        <v>4</v>
      </c>
      <c r="E42" s="50">
        <v>5</v>
      </c>
      <c r="F42" s="50">
        <v>34</v>
      </c>
      <c r="G42" s="50">
        <v>0</v>
      </c>
      <c r="H42" s="50">
        <v>1</v>
      </c>
      <c r="I42" s="50">
        <v>8</v>
      </c>
      <c r="J42" s="50">
        <v>7</v>
      </c>
      <c r="K42" s="50">
        <v>2</v>
      </c>
      <c r="L42" s="50">
        <v>1</v>
      </c>
      <c r="M42" s="50">
        <v>120</v>
      </c>
      <c r="N42" s="50">
        <v>0</v>
      </c>
      <c r="O42" s="15">
        <f t="shared" si="0"/>
        <v>88</v>
      </c>
      <c r="P42" s="15">
        <f t="shared" si="1"/>
        <v>208</v>
      </c>
    </row>
    <row r="43" spans="2:20" ht="23.1" customHeight="1" x14ac:dyDescent="0.25">
      <c r="B43" s="23" t="s">
        <v>70</v>
      </c>
      <c r="C43" s="50">
        <v>54</v>
      </c>
      <c r="D43" s="50">
        <v>20</v>
      </c>
      <c r="E43" s="50">
        <v>8</v>
      </c>
      <c r="F43" s="50">
        <v>43</v>
      </c>
      <c r="G43" s="50">
        <v>0</v>
      </c>
      <c r="H43" s="50">
        <v>0</v>
      </c>
      <c r="I43" s="50">
        <v>16</v>
      </c>
      <c r="J43" s="50">
        <v>13</v>
      </c>
      <c r="K43" s="50">
        <v>3</v>
      </c>
      <c r="L43" s="50">
        <v>0</v>
      </c>
      <c r="M43" s="50">
        <v>140</v>
      </c>
      <c r="N43" s="50">
        <v>0</v>
      </c>
      <c r="O43" s="15">
        <f t="shared" si="0"/>
        <v>157</v>
      </c>
      <c r="P43" s="15">
        <f t="shared" si="1"/>
        <v>297</v>
      </c>
    </row>
    <row r="44" spans="2:20" ht="23.1" customHeight="1" x14ac:dyDescent="0.25">
      <c r="B44" s="25" t="s">
        <v>71</v>
      </c>
      <c r="C44" s="50">
        <v>55</v>
      </c>
      <c r="D44" s="50">
        <v>11</v>
      </c>
      <c r="E44" s="50">
        <v>6</v>
      </c>
      <c r="F44" s="50">
        <v>41</v>
      </c>
      <c r="G44" s="50">
        <v>0</v>
      </c>
      <c r="H44" s="50">
        <v>1</v>
      </c>
      <c r="I44" s="50">
        <v>20</v>
      </c>
      <c r="J44" s="50">
        <v>12</v>
      </c>
      <c r="K44" s="50">
        <v>8</v>
      </c>
      <c r="L44" s="50">
        <v>1</v>
      </c>
      <c r="M44" s="50">
        <v>130</v>
      </c>
      <c r="N44" s="50">
        <v>0</v>
      </c>
      <c r="O44" s="15">
        <f t="shared" si="0"/>
        <v>155</v>
      </c>
      <c r="P44" s="15">
        <f t="shared" si="1"/>
        <v>285</v>
      </c>
    </row>
    <row r="45" spans="2:20" ht="23.1" customHeight="1" x14ac:dyDescent="0.25">
      <c r="B45" s="23" t="s">
        <v>72</v>
      </c>
      <c r="C45" s="50">
        <v>50</v>
      </c>
      <c r="D45" s="50">
        <v>22</v>
      </c>
      <c r="E45" s="50">
        <v>9</v>
      </c>
      <c r="F45" s="50">
        <v>48</v>
      </c>
      <c r="G45" s="50">
        <v>1</v>
      </c>
      <c r="H45" s="50">
        <v>0</v>
      </c>
      <c r="I45" s="50">
        <v>12</v>
      </c>
      <c r="J45" s="50">
        <v>7</v>
      </c>
      <c r="K45" s="50">
        <v>1</v>
      </c>
      <c r="L45" s="50">
        <v>0</v>
      </c>
      <c r="M45" s="50">
        <v>170</v>
      </c>
      <c r="N45" s="50">
        <v>0</v>
      </c>
      <c r="O45" s="15">
        <f t="shared" si="0"/>
        <v>150</v>
      </c>
      <c r="P45" s="15">
        <f t="shared" si="1"/>
        <v>320</v>
      </c>
    </row>
    <row r="46" spans="2:20" ht="23.1" customHeight="1" x14ac:dyDescent="0.25">
      <c r="B46" s="24" t="s">
        <v>73</v>
      </c>
      <c r="C46" s="50">
        <v>65</v>
      </c>
      <c r="D46" s="50">
        <v>8</v>
      </c>
      <c r="E46" s="50">
        <v>8</v>
      </c>
      <c r="F46" s="50">
        <v>51</v>
      </c>
      <c r="G46" s="50">
        <v>0</v>
      </c>
      <c r="H46" s="50">
        <v>1</v>
      </c>
      <c r="I46" s="50">
        <v>7</v>
      </c>
      <c r="J46" s="50">
        <v>18</v>
      </c>
      <c r="K46" s="50">
        <v>2</v>
      </c>
      <c r="L46" s="50">
        <v>0</v>
      </c>
      <c r="M46" s="50">
        <v>125</v>
      </c>
      <c r="N46" s="50">
        <v>0</v>
      </c>
      <c r="O46" s="15">
        <f t="shared" si="0"/>
        <v>160</v>
      </c>
      <c r="P46" s="15">
        <f t="shared" si="1"/>
        <v>285</v>
      </c>
      <c r="R46" s="8"/>
      <c r="T46"/>
    </row>
    <row r="47" spans="2:20" ht="23.1" customHeight="1" x14ac:dyDescent="0.25">
      <c r="B47" s="24" t="s">
        <v>74</v>
      </c>
      <c r="C47" s="50">
        <v>41</v>
      </c>
      <c r="D47" s="50">
        <v>14</v>
      </c>
      <c r="E47" s="50">
        <v>2</v>
      </c>
      <c r="F47" s="50">
        <v>80</v>
      </c>
      <c r="G47" s="50">
        <v>1</v>
      </c>
      <c r="H47" s="50">
        <v>1</v>
      </c>
      <c r="I47" s="50">
        <v>18</v>
      </c>
      <c r="J47" s="50">
        <v>4</v>
      </c>
      <c r="K47" s="50">
        <v>2</v>
      </c>
      <c r="L47" s="50">
        <v>0</v>
      </c>
      <c r="M47" s="50">
        <v>94</v>
      </c>
      <c r="N47" s="50">
        <v>0</v>
      </c>
      <c r="O47" s="15">
        <f t="shared" si="0"/>
        <v>163</v>
      </c>
      <c r="P47" s="15">
        <f t="shared" si="1"/>
        <v>257</v>
      </c>
      <c r="R47" s="8"/>
      <c r="T47"/>
    </row>
    <row r="48" spans="2:20" ht="23.1" customHeight="1" x14ac:dyDescent="0.25">
      <c r="B48" s="24" t="s">
        <v>75</v>
      </c>
      <c r="C48" s="50">
        <v>65</v>
      </c>
      <c r="D48" s="50">
        <v>13</v>
      </c>
      <c r="E48" s="50">
        <v>12</v>
      </c>
      <c r="F48" s="50">
        <v>53</v>
      </c>
      <c r="G48" s="50">
        <v>0</v>
      </c>
      <c r="H48" s="50">
        <v>1</v>
      </c>
      <c r="I48" s="50">
        <v>11</v>
      </c>
      <c r="J48" s="50">
        <v>5</v>
      </c>
      <c r="K48" s="50">
        <v>1</v>
      </c>
      <c r="L48" s="50">
        <v>1</v>
      </c>
      <c r="M48" s="50">
        <v>180</v>
      </c>
      <c r="N48" s="50">
        <v>0</v>
      </c>
      <c r="O48" s="15">
        <f t="shared" si="0"/>
        <v>162</v>
      </c>
      <c r="P48" s="15">
        <f t="shared" si="1"/>
        <v>342</v>
      </c>
      <c r="R48" s="8"/>
      <c r="T48"/>
    </row>
    <row r="49" spans="2:20" ht="23.1" customHeight="1" x14ac:dyDescent="0.25">
      <c r="B49" s="23" t="s">
        <v>76</v>
      </c>
      <c r="C49" s="50">
        <v>82</v>
      </c>
      <c r="D49" s="50">
        <v>9</v>
      </c>
      <c r="E49" s="50">
        <v>4</v>
      </c>
      <c r="F49" s="50">
        <v>61</v>
      </c>
      <c r="G49" s="50">
        <v>0</v>
      </c>
      <c r="H49" s="50">
        <v>0</v>
      </c>
      <c r="I49" s="50">
        <v>12</v>
      </c>
      <c r="J49" s="50">
        <v>7</v>
      </c>
      <c r="K49" s="50">
        <v>3</v>
      </c>
      <c r="L49" s="50">
        <v>1</v>
      </c>
      <c r="M49" s="50">
        <v>150</v>
      </c>
      <c r="N49" s="50">
        <v>0</v>
      </c>
      <c r="O49" s="15">
        <f t="shared" si="0"/>
        <v>179</v>
      </c>
      <c r="P49" s="15">
        <f t="shared" si="1"/>
        <v>329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6</v>
      </c>
      <c r="E50" s="50">
        <v>7</v>
      </c>
      <c r="F50" s="50">
        <v>45</v>
      </c>
      <c r="G50" s="50">
        <v>1</v>
      </c>
      <c r="H50" s="50">
        <v>0</v>
      </c>
      <c r="I50" s="50">
        <v>13</v>
      </c>
      <c r="J50" s="50">
        <v>12</v>
      </c>
      <c r="K50" s="50">
        <v>3</v>
      </c>
      <c r="L50" s="50">
        <v>0</v>
      </c>
      <c r="M50" s="50">
        <v>248</v>
      </c>
      <c r="N50" s="50">
        <v>0</v>
      </c>
      <c r="O50" s="15">
        <f t="shared" si="0"/>
        <v>110</v>
      </c>
      <c r="P50" s="15">
        <f t="shared" si="1"/>
        <v>358</v>
      </c>
      <c r="R50" s="8"/>
      <c r="T50"/>
    </row>
    <row r="51" spans="2:20" ht="23.1" customHeight="1" x14ac:dyDescent="0.25">
      <c r="B51" s="24" t="s">
        <v>78</v>
      </c>
      <c r="C51" s="50">
        <v>37</v>
      </c>
      <c r="D51" s="50">
        <v>10</v>
      </c>
      <c r="E51" s="50">
        <v>3</v>
      </c>
      <c r="F51" s="50">
        <v>61</v>
      </c>
      <c r="G51" s="50">
        <v>1</v>
      </c>
      <c r="H51" s="50">
        <v>1</v>
      </c>
      <c r="I51" s="50">
        <v>9</v>
      </c>
      <c r="J51" s="50">
        <v>7</v>
      </c>
      <c r="K51" s="50">
        <v>2</v>
      </c>
      <c r="L51" s="50">
        <v>0</v>
      </c>
      <c r="M51" s="50">
        <v>160</v>
      </c>
      <c r="N51" s="50">
        <v>0</v>
      </c>
      <c r="O51" s="15">
        <f t="shared" si="0"/>
        <v>131</v>
      </c>
      <c r="P51" s="15">
        <f t="shared" si="1"/>
        <v>291</v>
      </c>
      <c r="R51" s="8"/>
      <c r="T51"/>
    </row>
    <row r="52" spans="2:20" ht="23.1" customHeight="1" x14ac:dyDescent="0.25">
      <c r="B52" s="24" t="s">
        <v>79</v>
      </c>
      <c r="C52" s="50">
        <v>29</v>
      </c>
      <c r="D52" s="50">
        <v>7</v>
      </c>
      <c r="E52" s="50">
        <v>4</v>
      </c>
      <c r="F52" s="50">
        <v>39</v>
      </c>
      <c r="G52" s="50">
        <v>1</v>
      </c>
      <c r="H52" s="50">
        <v>2</v>
      </c>
      <c r="I52" s="50">
        <v>8</v>
      </c>
      <c r="J52" s="50">
        <v>5</v>
      </c>
      <c r="K52" s="50">
        <v>4</v>
      </c>
      <c r="L52" s="50">
        <v>1</v>
      </c>
      <c r="M52" s="50">
        <v>113</v>
      </c>
      <c r="N52" s="50">
        <v>0</v>
      </c>
      <c r="O52" s="15">
        <f t="shared" si="0"/>
        <v>100</v>
      </c>
      <c r="P52" s="15">
        <f t="shared" si="1"/>
        <v>213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7</v>
      </c>
      <c r="E53" s="50">
        <v>3</v>
      </c>
      <c r="F53" s="50">
        <v>22</v>
      </c>
      <c r="G53" s="50">
        <v>1</v>
      </c>
      <c r="H53" s="50">
        <v>0</v>
      </c>
      <c r="I53" s="50">
        <v>4</v>
      </c>
      <c r="J53" s="50">
        <v>6</v>
      </c>
      <c r="K53" s="50">
        <v>2</v>
      </c>
      <c r="L53" s="50">
        <v>0</v>
      </c>
      <c r="M53" s="50">
        <v>210</v>
      </c>
      <c r="N53" s="50">
        <v>0</v>
      </c>
      <c r="O53" s="15">
        <f t="shared" si="0"/>
        <v>75</v>
      </c>
      <c r="P53" s="15">
        <f t="shared" si="1"/>
        <v>285</v>
      </c>
      <c r="R53" s="8"/>
      <c r="T53"/>
    </row>
    <row r="54" spans="2:20" ht="23.1" customHeight="1" x14ac:dyDescent="0.25">
      <c r="B54" s="23" t="s">
        <v>81</v>
      </c>
      <c r="C54" s="50">
        <v>105</v>
      </c>
      <c r="D54" s="50">
        <v>8</v>
      </c>
      <c r="E54" s="50">
        <v>6</v>
      </c>
      <c r="F54" s="50">
        <v>75</v>
      </c>
      <c r="G54" s="50">
        <v>3</v>
      </c>
      <c r="H54" s="50">
        <v>3</v>
      </c>
      <c r="I54" s="50">
        <v>16</v>
      </c>
      <c r="J54" s="50">
        <v>9</v>
      </c>
      <c r="K54" s="50">
        <v>6</v>
      </c>
      <c r="L54" s="50">
        <v>2</v>
      </c>
      <c r="M54" s="50">
        <v>335</v>
      </c>
      <c r="N54" s="50">
        <v>0</v>
      </c>
      <c r="O54" s="15">
        <f t="shared" si="0"/>
        <v>233</v>
      </c>
      <c r="P54" s="15">
        <f t="shared" si="1"/>
        <v>568</v>
      </c>
      <c r="R54" s="8"/>
      <c r="T54"/>
    </row>
    <row r="55" spans="2:20" ht="23.1" customHeight="1" x14ac:dyDescent="0.25">
      <c r="B55" s="23" t="s">
        <v>82</v>
      </c>
      <c r="C55" s="50">
        <v>70</v>
      </c>
      <c r="D55" s="50">
        <v>15</v>
      </c>
      <c r="E55" s="50">
        <v>5</v>
      </c>
      <c r="F55" s="50">
        <v>145</v>
      </c>
      <c r="G55" s="50">
        <v>0</v>
      </c>
      <c r="H55" s="50">
        <v>5</v>
      </c>
      <c r="I55" s="50">
        <v>9</v>
      </c>
      <c r="J55" s="50">
        <v>4</v>
      </c>
      <c r="K55" s="50">
        <v>3</v>
      </c>
      <c r="L55" s="50">
        <v>0</v>
      </c>
      <c r="M55" s="50">
        <v>229</v>
      </c>
      <c r="N55" s="50">
        <v>0</v>
      </c>
      <c r="O55" s="15">
        <f t="shared" si="0"/>
        <v>256</v>
      </c>
      <c r="P55" s="15">
        <f t="shared" si="1"/>
        <v>485</v>
      </c>
      <c r="R55" s="8"/>
      <c r="T55"/>
    </row>
    <row r="56" spans="2:20" ht="23.1" customHeight="1" x14ac:dyDescent="0.25">
      <c r="B56" s="23" t="s">
        <v>83</v>
      </c>
      <c r="C56" s="50">
        <v>58</v>
      </c>
      <c r="D56" s="50">
        <v>3</v>
      </c>
      <c r="E56" s="50">
        <v>10</v>
      </c>
      <c r="F56" s="50">
        <v>150</v>
      </c>
      <c r="G56" s="50">
        <v>0</v>
      </c>
      <c r="H56" s="50">
        <v>1</v>
      </c>
      <c r="I56" s="50">
        <v>13</v>
      </c>
      <c r="J56" s="50">
        <v>3</v>
      </c>
      <c r="K56" s="50">
        <v>4</v>
      </c>
      <c r="L56" s="50">
        <v>1</v>
      </c>
      <c r="M56" s="50">
        <v>200</v>
      </c>
      <c r="N56" s="50">
        <v>0</v>
      </c>
      <c r="O56" s="15">
        <f t="shared" si="0"/>
        <v>243</v>
      </c>
      <c r="P56" s="15">
        <f t="shared" si="1"/>
        <v>443</v>
      </c>
      <c r="R56" s="8"/>
      <c r="T56"/>
    </row>
    <row r="57" spans="2:20" ht="23.1" customHeight="1" x14ac:dyDescent="0.25">
      <c r="B57" s="23" t="s">
        <v>84</v>
      </c>
      <c r="C57" s="50">
        <v>49</v>
      </c>
      <c r="D57" s="50">
        <v>10</v>
      </c>
      <c r="E57" s="50">
        <v>6</v>
      </c>
      <c r="F57" s="50">
        <v>135</v>
      </c>
      <c r="G57" s="50">
        <v>0</v>
      </c>
      <c r="H57" s="50">
        <v>0</v>
      </c>
      <c r="I57" s="50">
        <v>8</v>
      </c>
      <c r="J57" s="50">
        <v>8</v>
      </c>
      <c r="K57" s="50">
        <v>1</v>
      </c>
      <c r="L57" s="50">
        <v>0</v>
      </c>
      <c r="M57" s="50">
        <v>193</v>
      </c>
      <c r="N57" s="50">
        <v>0</v>
      </c>
      <c r="O57" s="15">
        <f t="shared" si="0"/>
        <v>217</v>
      </c>
      <c r="P57" s="15">
        <f t="shared" si="1"/>
        <v>410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2983</v>
      </c>
      <c r="D58" s="16">
        <f t="shared" si="21"/>
        <v>528</v>
      </c>
      <c r="E58" s="16">
        <f t="shared" si="21"/>
        <v>311</v>
      </c>
      <c r="F58" s="16">
        <f t="shared" si="21"/>
        <v>2692</v>
      </c>
      <c r="G58" s="16">
        <f t="shared" si="21"/>
        <v>33</v>
      </c>
      <c r="H58" s="16">
        <f t="shared" si="21"/>
        <v>33</v>
      </c>
      <c r="I58" s="16">
        <f t="shared" si="21"/>
        <v>460</v>
      </c>
      <c r="J58" s="16">
        <f t="shared" si="21"/>
        <v>310</v>
      </c>
      <c r="K58" s="16">
        <f t="shared" si="21"/>
        <v>137</v>
      </c>
      <c r="L58" s="16">
        <f t="shared" si="21"/>
        <v>21</v>
      </c>
      <c r="M58" s="16">
        <f t="shared" si="21"/>
        <v>8497</v>
      </c>
      <c r="N58" s="16">
        <f t="shared" si="21"/>
        <v>0</v>
      </c>
      <c r="O58" s="16">
        <f t="shared" si="21"/>
        <v>7508</v>
      </c>
      <c r="P58" s="16">
        <f t="shared" si="21"/>
        <v>16005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0.18637925648234926</v>
      </c>
      <c r="D59" s="43">
        <f t="shared" si="22"/>
        <v>3.2989690721649485E-2</v>
      </c>
      <c r="E59" s="43">
        <f t="shared" si="22"/>
        <v>1.9431427678850359E-2</v>
      </c>
      <c r="F59" s="43">
        <f t="shared" si="22"/>
        <v>0.16819743830053108</v>
      </c>
      <c r="G59" s="43">
        <f t="shared" si="22"/>
        <v>2.0618556701030928E-3</v>
      </c>
      <c r="H59" s="43">
        <f t="shared" si="22"/>
        <v>2.0618556701030928E-3</v>
      </c>
      <c r="I59" s="43">
        <f t="shared" si="22"/>
        <v>2.8741018431740081E-2</v>
      </c>
      <c r="J59" s="43">
        <f t="shared" si="22"/>
        <v>1.9368947203998749E-2</v>
      </c>
      <c r="K59" s="43">
        <f t="shared" si="22"/>
        <v>8.5598250546704158E-3</v>
      </c>
      <c r="L59" s="43">
        <f t="shared" si="22"/>
        <v>1.3120899718837863E-3</v>
      </c>
      <c r="M59" s="43">
        <f t="shared" si="22"/>
        <v>0.53089659481412055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0.39730953649440598</v>
      </c>
      <c r="D60" s="44">
        <f t="shared" ref="D60:N60" si="23">D58/$O$58</f>
        <v>7.0324986680873738E-2</v>
      </c>
      <c r="E60" s="44">
        <f t="shared" si="23"/>
        <v>4.1422482685135854E-2</v>
      </c>
      <c r="F60" s="44">
        <f t="shared" si="23"/>
        <v>0.35855087906233352</v>
      </c>
      <c r="G60" s="44">
        <f t="shared" si="23"/>
        <v>4.3953116675546086E-3</v>
      </c>
      <c r="H60" s="44">
        <f t="shared" si="23"/>
        <v>4.3953116675546086E-3</v>
      </c>
      <c r="I60" s="44">
        <f t="shared" si="23"/>
        <v>6.126798082045818E-2</v>
      </c>
      <c r="J60" s="44">
        <f t="shared" si="23"/>
        <v>4.1289291422482687E-2</v>
      </c>
      <c r="K60" s="44">
        <f t="shared" si="23"/>
        <v>1.8247202983484284E-2</v>
      </c>
      <c r="L60" s="44">
        <f t="shared" si="23"/>
        <v>2.7970165157165691E-3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5" t="str">
        <f>'22.07 KALERWE-GAYAZA'!G5:H5</f>
        <v>DELTA KYEBANDO</v>
      </c>
      <c r="H5" s="66"/>
      <c r="I5" s="14"/>
      <c r="J5" s="2" t="s">
        <v>5</v>
      </c>
      <c r="K5" s="65" t="s">
        <v>179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KALERWE-GAYAZA'!D6:E6</f>
        <v>KALERWE</v>
      </c>
      <c r="E6" s="66"/>
      <c r="F6" s="2" t="s">
        <v>2</v>
      </c>
      <c r="G6" s="65" t="str">
        <f>'22.07 KALERWE-GAYAZA'!G6:H6</f>
        <v>GAYAZA</v>
      </c>
      <c r="H6" s="66"/>
      <c r="J6" s="2" t="s">
        <v>21</v>
      </c>
      <c r="K6" s="65" t="str">
        <f>'22.07 KALERWE-GAYAZA'!K6:L6</f>
        <v>WALAKIRA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21</v>
      </c>
      <c r="D10" s="50">
        <v>6</v>
      </c>
      <c r="E10" s="50">
        <v>4</v>
      </c>
      <c r="F10" s="50">
        <v>60</v>
      </c>
      <c r="G10" s="50">
        <v>2</v>
      </c>
      <c r="H10" s="50">
        <v>1</v>
      </c>
      <c r="I10" s="50">
        <v>8</v>
      </c>
      <c r="J10" s="50">
        <v>3</v>
      </c>
      <c r="K10" s="50">
        <v>0</v>
      </c>
      <c r="L10" s="50">
        <v>0</v>
      </c>
      <c r="M10" s="50">
        <v>385</v>
      </c>
      <c r="N10" s="50">
        <v>0</v>
      </c>
      <c r="O10" s="15">
        <f t="shared" ref="O10:O57" si="0">SUM(C10:L10,N10)</f>
        <v>105</v>
      </c>
      <c r="P10" s="15">
        <f t="shared" ref="P10:P57" si="1">SUM(C10:N10)</f>
        <v>490</v>
      </c>
      <c r="R10" s="1" t="s">
        <v>6</v>
      </c>
      <c r="S10" s="17">
        <f t="shared" ref="S10:AF10" si="2">SUM(C10:C13)</f>
        <v>76</v>
      </c>
      <c r="T10" s="17">
        <f t="shared" si="2"/>
        <v>17</v>
      </c>
      <c r="U10" s="17">
        <f t="shared" si="2"/>
        <v>18</v>
      </c>
      <c r="V10" s="17">
        <f t="shared" si="2"/>
        <v>196</v>
      </c>
      <c r="W10" s="17">
        <f t="shared" si="2"/>
        <v>8</v>
      </c>
      <c r="X10" s="17">
        <f t="shared" si="2"/>
        <v>3</v>
      </c>
      <c r="Y10" s="17">
        <f t="shared" si="2"/>
        <v>34</v>
      </c>
      <c r="Z10" s="17">
        <f t="shared" si="2"/>
        <v>10</v>
      </c>
      <c r="AA10" s="17">
        <f t="shared" si="2"/>
        <v>0</v>
      </c>
      <c r="AB10" s="17">
        <f t="shared" si="2"/>
        <v>5</v>
      </c>
      <c r="AC10" s="17">
        <f t="shared" si="2"/>
        <v>1515</v>
      </c>
      <c r="AD10" s="17">
        <f t="shared" si="2"/>
        <v>0</v>
      </c>
      <c r="AE10" s="31">
        <f t="shared" si="2"/>
        <v>367</v>
      </c>
      <c r="AF10" s="31">
        <f t="shared" si="2"/>
        <v>1882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8</v>
      </c>
      <c r="E11" s="50">
        <v>1</v>
      </c>
      <c r="F11" s="50">
        <v>47</v>
      </c>
      <c r="G11" s="50">
        <v>2</v>
      </c>
      <c r="H11" s="50">
        <v>0</v>
      </c>
      <c r="I11" s="50">
        <v>8</v>
      </c>
      <c r="J11" s="50">
        <v>1</v>
      </c>
      <c r="K11" s="50">
        <v>0</v>
      </c>
      <c r="L11" s="50">
        <v>1</v>
      </c>
      <c r="M11" s="50">
        <v>400</v>
      </c>
      <c r="N11" s="50">
        <v>0</v>
      </c>
      <c r="O11" s="15">
        <f t="shared" si="0"/>
        <v>84</v>
      </c>
      <c r="P11" s="15">
        <f t="shared" si="1"/>
        <v>484</v>
      </c>
      <c r="R11" s="1" t="s">
        <v>7</v>
      </c>
      <c r="S11" s="17">
        <f t="shared" ref="S11:AF11" si="3">SUM(C14:C17)</f>
        <v>89</v>
      </c>
      <c r="T11" s="17">
        <f t="shared" si="3"/>
        <v>25</v>
      </c>
      <c r="U11" s="17">
        <f t="shared" si="3"/>
        <v>25</v>
      </c>
      <c r="V11" s="17">
        <f t="shared" si="3"/>
        <v>234</v>
      </c>
      <c r="W11" s="17">
        <f t="shared" si="3"/>
        <v>2</v>
      </c>
      <c r="X11" s="17">
        <f t="shared" si="3"/>
        <v>1</v>
      </c>
      <c r="Y11" s="17">
        <f t="shared" si="3"/>
        <v>21</v>
      </c>
      <c r="Z11" s="17">
        <f t="shared" si="3"/>
        <v>7</v>
      </c>
      <c r="AA11" s="17">
        <f t="shared" si="3"/>
        <v>0</v>
      </c>
      <c r="AB11" s="17">
        <f t="shared" si="3"/>
        <v>3</v>
      </c>
      <c r="AC11" s="17">
        <f t="shared" si="3"/>
        <v>1444</v>
      </c>
      <c r="AD11" s="17">
        <f t="shared" si="3"/>
        <v>0</v>
      </c>
      <c r="AE11" s="31">
        <f t="shared" si="3"/>
        <v>407</v>
      </c>
      <c r="AF11" s="31">
        <f t="shared" si="3"/>
        <v>1851</v>
      </c>
    </row>
    <row r="12" spans="2:32" ht="23.1" customHeight="1" x14ac:dyDescent="0.25">
      <c r="B12" s="23" t="s">
        <v>39</v>
      </c>
      <c r="C12" s="50">
        <v>18</v>
      </c>
      <c r="D12" s="50">
        <v>1</v>
      </c>
      <c r="E12" s="50">
        <v>9</v>
      </c>
      <c r="F12" s="50">
        <v>49</v>
      </c>
      <c r="G12" s="50">
        <v>1</v>
      </c>
      <c r="H12" s="50">
        <v>2</v>
      </c>
      <c r="I12" s="50">
        <v>10</v>
      </c>
      <c r="J12" s="50">
        <v>6</v>
      </c>
      <c r="K12" s="50">
        <v>0</v>
      </c>
      <c r="L12" s="50">
        <v>1</v>
      </c>
      <c r="M12" s="50">
        <v>325</v>
      </c>
      <c r="N12" s="50">
        <v>0</v>
      </c>
      <c r="O12" s="15">
        <f t="shared" si="0"/>
        <v>97</v>
      </c>
      <c r="P12" s="15">
        <f t="shared" si="1"/>
        <v>422</v>
      </c>
      <c r="R12" s="1" t="s">
        <v>8</v>
      </c>
      <c r="S12" s="17">
        <f t="shared" ref="S12:AF12" si="4">SUM(C18:C21)</f>
        <v>149</v>
      </c>
      <c r="T12" s="17">
        <f t="shared" si="4"/>
        <v>32</v>
      </c>
      <c r="U12" s="17">
        <f t="shared" si="4"/>
        <v>34</v>
      </c>
      <c r="V12" s="17">
        <f t="shared" si="4"/>
        <v>216</v>
      </c>
      <c r="W12" s="17">
        <f t="shared" si="4"/>
        <v>1</v>
      </c>
      <c r="X12" s="17">
        <f t="shared" si="4"/>
        <v>1</v>
      </c>
      <c r="Y12" s="17">
        <f t="shared" si="4"/>
        <v>31</v>
      </c>
      <c r="Z12" s="17">
        <f t="shared" si="4"/>
        <v>8</v>
      </c>
      <c r="AA12" s="17">
        <f t="shared" si="4"/>
        <v>0</v>
      </c>
      <c r="AB12" s="17">
        <f t="shared" si="4"/>
        <v>5</v>
      </c>
      <c r="AC12" s="17">
        <f t="shared" si="4"/>
        <v>1303</v>
      </c>
      <c r="AD12" s="17">
        <f t="shared" si="4"/>
        <v>0</v>
      </c>
      <c r="AE12" s="31">
        <f t="shared" si="4"/>
        <v>477</v>
      </c>
      <c r="AF12" s="31">
        <f t="shared" si="4"/>
        <v>1780</v>
      </c>
    </row>
    <row r="13" spans="2:32" ht="23.1" customHeight="1" x14ac:dyDescent="0.25">
      <c r="B13" s="23" t="s">
        <v>40</v>
      </c>
      <c r="C13" s="50">
        <v>21</v>
      </c>
      <c r="D13" s="50">
        <v>2</v>
      </c>
      <c r="E13" s="50">
        <v>4</v>
      </c>
      <c r="F13" s="50">
        <v>40</v>
      </c>
      <c r="G13" s="50">
        <v>3</v>
      </c>
      <c r="H13" s="50">
        <v>0</v>
      </c>
      <c r="I13" s="50">
        <v>8</v>
      </c>
      <c r="J13" s="50">
        <v>0</v>
      </c>
      <c r="K13" s="50">
        <v>0</v>
      </c>
      <c r="L13" s="50">
        <v>3</v>
      </c>
      <c r="M13" s="50">
        <v>405</v>
      </c>
      <c r="N13" s="50">
        <v>0</v>
      </c>
      <c r="O13" s="15">
        <f t="shared" si="0"/>
        <v>81</v>
      </c>
      <c r="P13" s="15">
        <f t="shared" si="1"/>
        <v>486</v>
      </c>
      <c r="R13" s="1" t="s">
        <v>9</v>
      </c>
      <c r="S13" s="17">
        <f t="shared" ref="S13:AF13" si="5">SUM(C22:C25)</f>
        <v>169</v>
      </c>
      <c r="T13" s="17">
        <f t="shared" si="5"/>
        <v>40</v>
      </c>
      <c r="U13" s="17">
        <f t="shared" si="5"/>
        <v>29</v>
      </c>
      <c r="V13" s="17">
        <f t="shared" si="5"/>
        <v>175</v>
      </c>
      <c r="W13" s="17">
        <f t="shared" si="5"/>
        <v>1</v>
      </c>
      <c r="X13" s="17">
        <f t="shared" si="5"/>
        <v>2</v>
      </c>
      <c r="Y13" s="17">
        <f t="shared" si="5"/>
        <v>49</v>
      </c>
      <c r="Z13" s="17">
        <f t="shared" si="5"/>
        <v>15</v>
      </c>
      <c r="AA13" s="17">
        <f t="shared" si="5"/>
        <v>0</v>
      </c>
      <c r="AB13" s="17">
        <f t="shared" si="5"/>
        <v>8</v>
      </c>
      <c r="AC13" s="17">
        <f t="shared" si="5"/>
        <v>1026</v>
      </c>
      <c r="AD13" s="17">
        <f t="shared" si="5"/>
        <v>0</v>
      </c>
      <c r="AE13" s="31">
        <f t="shared" si="5"/>
        <v>488</v>
      </c>
      <c r="AF13" s="31">
        <f t="shared" si="5"/>
        <v>1514</v>
      </c>
    </row>
    <row r="14" spans="2:32" ht="23.1" customHeight="1" x14ac:dyDescent="0.25">
      <c r="B14" s="23" t="s">
        <v>41</v>
      </c>
      <c r="C14" s="50">
        <v>19</v>
      </c>
      <c r="D14" s="50">
        <v>7</v>
      </c>
      <c r="E14" s="50">
        <v>6</v>
      </c>
      <c r="F14" s="50">
        <v>60</v>
      </c>
      <c r="G14" s="50">
        <v>1</v>
      </c>
      <c r="H14" s="50">
        <v>0</v>
      </c>
      <c r="I14" s="50">
        <v>8</v>
      </c>
      <c r="J14" s="50">
        <v>3</v>
      </c>
      <c r="K14" s="50">
        <v>0</v>
      </c>
      <c r="L14" s="50">
        <v>0</v>
      </c>
      <c r="M14" s="50">
        <v>394</v>
      </c>
      <c r="N14" s="50">
        <v>0</v>
      </c>
      <c r="O14" s="15">
        <f t="shared" si="0"/>
        <v>104</v>
      </c>
      <c r="P14" s="15">
        <f t="shared" si="1"/>
        <v>498</v>
      </c>
      <c r="R14" s="1" t="s">
        <v>10</v>
      </c>
      <c r="S14" s="17">
        <f t="shared" ref="S14:AF14" si="6">SUM(C26:C29)</f>
        <v>146</v>
      </c>
      <c r="T14" s="17">
        <f t="shared" si="6"/>
        <v>42</v>
      </c>
      <c r="U14" s="17">
        <f t="shared" si="6"/>
        <v>32</v>
      </c>
      <c r="V14" s="17">
        <f t="shared" si="6"/>
        <v>186</v>
      </c>
      <c r="W14" s="17">
        <f t="shared" si="6"/>
        <v>0</v>
      </c>
      <c r="X14" s="17">
        <f t="shared" si="6"/>
        <v>1</v>
      </c>
      <c r="Y14" s="17">
        <f t="shared" si="6"/>
        <v>63</v>
      </c>
      <c r="Z14" s="17">
        <f t="shared" si="6"/>
        <v>7</v>
      </c>
      <c r="AA14" s="17">
        <f t="shared" si="6"/>
        <v>0</v>
      </c>
      <c r="AB14" s="17">
        <f t="shared" si="6"/>
        <v>4</v>
      </c>
      <c r="AC14" s="17">
        <f t="shared" si="6"/>
        <v>956</v>
      </c>
      <c r="AD14" s="17">
        <f t="shared" si="6"/>
        <v>0</v>
      </c>
      <c r="AE14" s="31">
        <f t="shared" si="6"/>
        <v>481</v>
      </c>
      <c r="AF14" s="31">
        <f t="shared" si="6"/>
        <v>1437</v>
      </c>
    </row>
    <row r="15" spans="2:32" ht="23.1" customHeight="1" x14ac:dyDescent="0.25">
      <c r="B15" s="23" t="s">
        <v>42</v>
      </c>
      <c r="C15" s="50">
        <v>19</v>
      </c>
      <c r="D15" s="50">
        <v>4</v>
      </c>
      <c r="E15" s="50">
        <v>6</v>
      </c>
      <c r="F15" s="50">
        <v>45</v>
      </c>
      <c r="G15" s="50">
        <v>0</v>
      </c>
      <c r="H15" s="50">
        <v>1</v>
      </c>
      <c r="I15" s="50">
        <v>5</v>
      </c>
      <c r="J15" s="50">
        <v>1</v>
      </c>
      <c r="K15" s="50">
        <v>0</v>
      </c>
      <c r="L15" s="50">
        <v>0</v>
      </c>
      <c r="M15" s="50">
        <v>280</v>
      </c>
      <c r="N15" s="50">
        <v>0</v>
      </c>
      <c r="O15" s="15">
        <f t="shared" si="0"/>
        <v>81</v>
      </c>
      <c r="P15" s="15">
        <f t="shared" si="1"/>
        <v>361</v>
      </c>
      <c r="R15" s="1" t="s">
        <v>11</v>
      </c>
      <c r="S15" s="17">
        <f t="shared" ref="S15:AF15" si="7">SUM(C30:C33)</f>
        <v>164</v>
      </c>
      <c r="T15" s="17">
        <f t="shared" si="7"/>
        <v>23</v>
      </c>
      <c r="U15" s="17">
        <f t="shared" si="7"/>
        <v>45</v>
      </c>
      <c r="V15" s="17">
        <f t="shared" si="7"/>
        <v>171</v>
      </c>
      <c r="W15" s="17">
        <f t="shared" si="7"/>
        <v>8</v>
      </c>
      <c r="X15" s="17">
        <f t="shared" si="7"/>
        <v>1</v>
      </c>
      <c r="Y15" s="17">
        <f t="shared" si="7"/>
        <v>48</v>
      </c>
      <c r="Z15" s="17">
        <f t="shared" si="7"/>
        <v>14</v>
      </c>
      <c r="AA15" s="17">
        <f t="shared" si="7"/>
        <v>4</v>
      </c>
      <c r="AB15" s="17">
        <f t="shared" si="7"/>
        <v>6</v>
      </c>
      <c r="AC15" s="17">
        <f t="shared" si="7"/>
        <v>724</v>
      </c>
      <c r="AD15" s="17">
        <f t="shared" si="7"/>
        <v>0</v>
      </c>
      <c r="AE15" s="31">
        <f t="shared" si="7"/>
        <v>484</v>
      </c>
      <c r="AF15" s="31">
        <f t="shared" si="7"/>
        <v>1208</v>
      </c>
    </row>
    <row r="16" spans="2:32" ht="23.1" customHeight="1" x14ac:dyDescent="0.25">
      <c r="B16" s="23" t="s">
        <v>43</v>
      </c>
      <c r="C16" s="50">
        <v>24</v>
      </c>
      <c r="D16" s="50">
        <v>7</v>
      </c>
      <c r="E16" s="50">
        <v>5</v>
      </c>
      <c r="F16" s="50">
        <v>76</v>
      </c>
      <c r="G16" s="50">
        <v>1</v>
      </c>
      <c r="H16" s="50">
        <v>0</v>
      </c>
      <c r="I16" s="50">
        <v>1</v>
      </c>
      <c r="J16" s="50">
        <v>1</v>
      </c>
      <c r="K16" s="50">
        <v>0</v>
      </c>
      <c r="L16" s="50">
        <v>2</v>
      </c>
      <c r="M16" s="50">
        <v>335</v>
      </c>
      <c r="N16" s="50">
        <v>0</v>
      </c>
      <c r="O16" s="15">
        <f t="shared" si="0"/>
        <v>117</v>
      </c>
      <c r="P16" s="15">
        <f t="shared" si="1"/>
        <v>452</v>
      </c>
      <c r="R16" s="1" t="s">
        <v>12</v>
      </c>
      <c r="S16" s="17">
        <f t="shared" ref="S16:AF16" si="8">SUM(C34:C37)</f>
        <v>160</v>
      </c>
      <c r="T16" s="17">
        <f t="shared" si="8"/>
        <v>33</v>
      </c>
      <c r="U16" s="17">
        <f t="shared" si="8"/>
        <v>39</v>
      </c>
      <c r="V16" s="17">
        <f t="shared" si="8"/>
        <v>156</v>
      </c>
      <c r="W16" s="17">
        <f t="shared" si="8"/>
        <v>0</v>
      </c>
      <c r="X16" s="17">
        <f t="shared" si="8"/>
        <v>4</v>
      </c>
      <c r="Y16" s="17">
        <f t="shared" si="8"/>
        <v>44</v>
      </c>
      <c r="Z16" s="17">
        <f t="shared" si="8"/>
        <v>16</v>
      </c>
      <c r="AA16" s="17">
        <f t="shared" si="8"/>
        <v>8</v>
      </c>
      <c r="AB16" s="17">
        <f t="shared" si="8"/>
        <v>5</v>
      </c>
      <c r="AC16" s="17">
        <f t="shared" si="8"/>
        <v>780</v>
      </c>
      <c r="AD16" s="17">
        <f t="shared" si="8"/>
        <v>0</v>
      </c>
      <c r="AE16" s="31">
        <f t="shared" si="8"/>
        <v>465</v>
      </c>
      <c r="AF16" s="31">
        <f t="shared" si="8"/>
        <v>1245</v>
      </c>
    </row>
    <row r="17" spans="2:32" ht="23.1" customHeight="1" x14ac:dyDescent="0.25">
      <c r="B17" s="23" t="s">
        <v>44</v>
      </c>
      <c r="C17" s="50">
        <v>27</v>
      </c>
      <c r="D17" s="50">
        <v>7</v>
      </c>
      <c r="E17" s="50">
        <v>8</v>
      </c>
      <c r="F17" s="50">
        <v>53</v>
      </c>
      <c r="G17" s="50">
        <v>0</v>
      </c>
      <c r="H17" s="50">
        <v>0</v>
      </c>
      <c r="I17" s="50">
        <v>7</v>
      </c>
      <c r="J17" s="50">
        <v>2</v>
      </c>
      <c r="K17" s="50">
        <v>0</v>
      </c>
      <c r="L17" s="50">
        <v>1</v>
      </c>
      <c r="M17" s="50">
        <v>435</v>
      </c>
      <c r="N17" s="50">
        <v>0</v>
      </c>
      <c r="O17" s="15">
        <f t="shared" si="0"/>
        <v>105</v>
      </c>
      <c r="P17" s="15">
        <f t="shared" si="1"/>
        <v>540</v>
      </c>
      <c r="R17" s="1" t="s">
        <v>13</v>
      </c>
      <c r="S17" s="17">
        <f t="shared" ref="S17:AF17" si="9">SUM(C38:C41)</f>
        <v>187</v>
      </c>
      <c r="T17" s="17">
        <f t="shared" si="9"/>
        <v>36</v>
      </c>
      <c r="U17" s="17">
        <f t="shared" si="9"/>
        <v>34</v>
      </c>
      <c r="V17" s="17">
        <f t="shared" si="9"/>
        <v>179</v>
      </c>
      <c r="W17" s="17">
        <f t="shared" si="9"/>
        <v>1</v>
      </c>
      <c r="X17" s="17">
        <f t="shared" si="9"/>
        <v>3</v>
      </c>
      <c r="Y17" s="17">
        <f t="shared" si="9"/>
        <v>48</v>
      </c>
      <c r="Z17" s="17">
        <f t="shared" si="9"/>
        <v>18</v>
      </c>
      <c r="AA17" s="17">
        <f t="shared" si="9"/>
        <v>7</v>
      </c>
      <c r="AB17" s="17">
        <f t="shared" si="9"/>
        <v>6</v>
      </c>
      <c r="AC17" s="17">
        <f t="shared" si="9"/>
        <v>1177</v>
      </c>
      <c r="AD17" s="17">
        <f t="shared" si="9"/>
        <v>0</v>
      </c>
      <c r="AE17" s="31">
        <f t="shared" si="9"/>
        <v>519</v>
      </c>
      <c r="AF17" s="31">
        <f t="shared" si="9"/>
        <v>1696</v>
      </c>
    </row>
    <row r="18" spans="2:32" ht="23.1" customHeight="1" x14ac:dyDescent="0.25">
      <c r="B18" s="23" t="s">
        <v>45</v>
      </c>
      <c r="C18" s="50">
        <v>21</v>
      </c>
      <c r="D18" s="50">
        <v>7</v>
      </c>
      <c r="E18" s="50">
        <v>8</v>
      </c>
      <c r="F18" s="50">
        <v>58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331</v>
      </c>
      <c r="N18" s="50">
        <v>0</v>
      </c>
      <c r="O18" s="15">
        <f t="shared" si="0"/>
        <v>100</v>
      </c>
      <c r="P18" s="15">
        <f t="shared" si="1"/>
        <v>431</v>
      </c>
      <c r="R18" s="1" t="s">
        <v>14</v>
      </c>
      <c r="S18" s="17">
        <f t="shared" ref="S18:AF18" si="10">SUM(C42:C45)</f>
        <v>242</v>
      </c>
      <c r="T18" s="17">
        <f t="shared" si="10"/>
        <v>54</v>
      </c>
      <c r="U18" s="17">
        <f t="shared" si="10"/>
        <v>52</v>
      </c>
      <c r="V18" s="17">
        <f t="shared" si="10"/>
        <v>215</v>
      </c>
      <c r="W18" s="17">
        <f t="shared" si="10"/>
        <v>0</v>
      </c>
      <c r="X18" s="17">
        <f t="shared" si="10"/>
        <v>3</v>
      </c>
      <c r="Y18" s="17">
        <f t="shared" si="10"/>
        <v>45</v>
      </c>
      <c r="Z18" s="17">
        <f t="shared" si="10"/>
        <v>13</v>
      </c>
      <c r="AA18" s="17">
        <f t="shared" si="10"/>
        <v>2</v>
      </c>
      <c r="AB18" s="17">
        <f t="shared" si="10"/>
        <v>3</v>
      </c>
      <c r="AC18" s="17">
        <f t="shared" si="10"/>
        <v>1121</v>
      </c>
      <c r="AD18" s="17">
        <f t="shared" si="10"/>
        <v>0</v>
      </c>
      <c r="AE18" s="31">
        <f t="shared" si="10"/>
        <v>629</v>
      </c>
      <c r="AF18" s="31">
        <f t="shared" si="10"/>
        <v>1750</v>
      </c>
    </row>
    <row r="19" spans="2:32" ht="23.1" customHeight="1" x14ac:dyDescent="0.25">
      <c r="B19" s="23" t="s">
        <v>46</v>
      </c>
      <c r="C19" s="50">
        <v>32</v>
      </c>
      <c r="D19" s="50">
        <v>9</v>
      </c>
      <c r="E19" s="50">
        <v>7</v>
      </c>
      <c r="F19" s="50">
        <v>53</v>
      </c>
      <c r="G19" s="50">
        <v>1</v>
      </c>
      <c r="H19" s="50">
        <v>0</v>
      </c>
      <c r="I19" s="50">
        <v>8</v>
      </c>
      <c r="J19" s="50">
        <v>1</v>
      </c>
      <c r="K19" s="50">
        <v>0</v>
      </c>
      <c r="L19" s="50">
        <v>1</v>
      </c>
      <c r="M19" s="50">
        <v>336</v>
      </c>
      <c r="N19" s="50">
        <v>0</v>
      </c>
      <c r="O19" s="15">
        <f t="shared" si="0"/>
        <v>112</v>
      </c>
      <c r="P19" s="15">
        <f t="shared" si="1"/>
        <v>448</v>
      </c>
      <c r="R19" s="1" t="s">
        <v>15</v>
      </c>
      <c r="S19" s="17">
        <f t="shared" ref="S19:AF19" si="11">SUM(C46:C49)</f>
        <v>230</v>
      </c>
      <c r="T19" s="17">
        <f t="shared" si="11"/>
        <v>78</v>
      </c>
      <c r="U19" s="17">
        <f t="shared" si="11"/>
        <v>37</v>
      </c>
      <c r="V19" s="17">
        <f t="shared" si="11"/>
        <v>185</v>
      </c>
      <c r="W19" s="17">
        <f t="shared" si="11"/>
        <v>3</v>
      </c>
      <c r="X19" s="17">
        <f t="shared" si="11"/>
        <v>8</v>
      </c>
      <c r="Y19" s="17">
        <f t="shared" si="11"/>
        <v>44</v>
      </c>
      <c r="Z19" s="17">
        <f t="shared" si="11"/>
        <v>13</v>
      </c>
      <c r="AA19" s="17">
        <f t="shared" si="11"/>
        <v>8</v>
      </c>
      <c r="AB19" s="17">
        <f t="shared" si="11"/>
        <v>1</v>
      </c>
      <c r="AC19" s="17">
        <f t="shared" si="11"/>
        <v>1140</v>
      </c>
      <c r="AD19" s="17">
        <f t="shared" si="11"/>
        <v>0</v>
      </c>
      <c r="AE19" s="31">
        <f t="shared" si="11"/>
        <v>607</v>
      </c>
      <c r="AF19" s="31">
        <f t="shared" si="11"/>
        <v>1747</v>
      </c>
    </row>
    <row r="20" spans="2:32" ht="23.1" customHeight="1" x14ac:dyDescent="0.25">
      <c r="B20" s="23" t="s">
        <v>47</v>
      </c>
      <c r="C20" s="50">
        <v>39</v>
      </c>
      <c r="D20" s="50">
        <v>7</v>
      </c>
      <c r="E20" s="50">
        <v>8</v>
      </c>
      <c r="F20" s="50">
        <v>58</v>
      </c>
      <c r="G20" s="50">
        <v>0</v>
      </c>
      <c r="H20" s="50">
        <v>1</v>
      </c>
      <c r="I20" s="50">
        <v>10</v>
      </c>
      <c r="J20" s="50">
        <v>6</v>
      </c>
      <c r="K20" s="50">
        <v>0</v>
      </c>
      <c r="L20" s="50">
        <v>1</v>
      </c>
      <c r="M20" s="50">
        <v>327</v>
      </c>
      <c r="N20" s="50">
        <v>0</v>
      </c>
      <c r="O20" s="15">
        <f t="shared" si="0"/>
        <v>130</v>
      </c>
      <c r="P20" s="15">
        <f t="shared" si="1"/>
        <v>457</v>
      </c>
      <c r="R20" s="1" t="s">
        <v>16</v>
      </c>
      <c r="S20" s="17">
        <f t="shared" ref="S20:AF20" si="12">SUM(C50:C53)</f>
        <v>285</v>
      </c>
      <c r="T20" s="17">
        <f t="shared" si="12"/>
        <v>79</v>
      </c>
      <c r="U20" s="17">
        <f t="shared" si="12"/>
        <v>50</v>
      </c>
      <c r="V20" s="17">
        <f t="shared" si="12"/>
        <v>171</v>
      </c>
      <c r="W20" s="17">
        <f t="shared" si="12"/>
        <v>8</v>
      </c>
      <c r="X20" s="17">
        <f t="shared" si="12"/>
        <v>2</v>
      </c>
      <c r="Y20" s="17">
        <f t="shared" si="12"/>
        <v>37</v>
      </c>
      <c r="Z20" s="17">
        <f t="shared" si="12"/>
        <v>10</v>
      </c>
      <c r="AA20" s="17">
        <f t="shared" si="12"/>
        <v>2</v>
      </c>
      <c r="AB20" s="17">
        <f t="shared" si="12"/>
        <v>0</v>
      </c>
      <c r="AC20" s="17">
        <f t="shared" si="12"/>
        <v>1150</v>
      </c>
      <c r="AD20" s="17">
        <f t="shared" si="12"/>
        <v>0</v>
      </c>
      <c r="AE20" s="31">
        <f t="shared" si="12"/>
        <v>644</v>
      </c>
      <c r="AF20" s="31">
        <f t="shared" si="12"/>
        <v>1794</v>
      </c>
    </row>
    <row r="21" spans="2:32" ht="23.1" customHeight="1" x14ac:dyDescent="0.25">
      <c r="B21" s="23" t="s">
        <v>48</v>
      </c>
      <c r="C21" s="50">
        <v>57</v>
      </c>
      <c r="D21" s="50">
        <v>9</v>
      </c>
      <c r="E21" s="50">
        <v>11</v>
      </c>
      <c r="F21" s="50">
        <v>47</v>
      </c>
      <c r="G21" s="50">
        <v>0</v>
      </c>
      <c r="H21" s="50">
        <v>0</v>
      </c>
      <c r="I21" s="50">
        <v>8</v>
      </c>
      <c r="J21" s="50">
        <v>0</v>
      </c>
      <c r="K21" s="50">
        <v>0</v>
      </c>
      <c r="L21" s="50">
        <v>3</v>
      </c>
      <c r="M21" s="50">
        <v>309</v>
      </c>
      <c r="N21" s="50">
        <v>0</v>
      </c>
      <c r="O21" s="15">
        <f t="shared" si="0"/>
        <v>135</v>
      </c>
      <c r="P21" s="15">
        <f t="shared" si="1"/>
        <v>444</v>
      </c>
      <c r="R21" s="36" t="s">
        <v>20</v>
      </c>
      <c r="S21" s="34">
        <f t="shared" ref="S21:AF21" si="13">SUM(C54:C57)</f>
        <v>264</v>
      </c>
      <c r="T21" s="17">
        <f t="shared" si="13"/>
        <v>78</v>
      </c>
      <c r="U21" s="17">
        <f t="shared" si="13"/>
        <v>51</v>
      </c>
      <c r="V21" s="17">
        <f t="shared" si="13"/>
        <v>177</v>
      </c>
      <c r="W21" s="17">
        <f t="shared" si="13"/>
        <v>4</v>
      </c>
      <c r="X21" s="17">
        <f t="shared" si="13"/>
        <v>7</v>
      </c>
      <c r="Y21" s="17">
        <f t="shared" si="13"/>
        <v>17</v>
      </c>
      <c r="Z21" s="17">
        <f t="shared" si="13"/>
        <v>9</v>
      </c>
      <c r="AA21" s="17">
        <f t="shared" si="13"/>
        <v>0</v>
      </c>
      <c r="AB21" s="17">
        <f t="shared" si="13"/>
        <v>5</v>
      </c>
      <c r="AC21" s="17">
        <f t="shared" si="13"/>
        <v>1280</v>
      </c>
      <c r="AD21" s="17">
        <f t="shared" si="13"/>
        <v>0</v>
      </c>
      <c r="AE21" s="31">
        <f t="shared" si="13"/>
        <v>612</v>
      </c>
      <c r="AF21" s="31">
        <f t="shared" si="13"/>
        <v>1892</v>
      </c>
    </row>
    <row r="22" spans="2:32" ht="23.1" customHeight="1" x14ac:dyDescent="0.25">
      <c r="B22" s="23" t="s">
        <v>49</v>
      </c>
      <c r="C22" s="50">
        <v>41</v>
      </c>
      <c r="D22" s="50">
        <v>19</v>
      </c>
      <c r="E22" s="50">
        <v>5</v>
      </c>
      <c r="F22" s="50">
        <v>42</v>
      </c>
      <c r="G22" s="50">
        <v>0</v>
      </c>
      <c r="H22" s="50">
        <v>0</v>
      </c>
      <c r="I22" s="50">
        <v>5</v>
      </c>
      <c r="J22" s="50">
        <v>1</v>
      </c>
      <c r="K22" s="50">
        <v>0</v>
      </c>
      <c r="L22" s="50">
        <v>4</v>
      </c>
      <c r="M22" s="50">
        <v>250</v>
      </c>
      <c r="N22" s="50">
        <v>0</v>
      </c>
      <c r="O22" s="15">
        <f t="shared" si="0"/>
        <v>117</v>
      </c>
      <c r="P22" s="15">
        <f t="shared" si="1"/>
        <v>367</v>
      </c>
      <c r="R22" s="38" t="s">
        <v>90</v>
      </c>
      <c r="S22" s="39">
        <f>MAX(S10:S12)</f>
        <v>149</v>
      </c>
      <c r="T22" s="39">
        <f t="shared" ref="T22:AF22" si="14">MAX(T10:T12)</f>
        <v>32</v>
      </c>
      <c r="U22" s="39">
        <f t="shared" si="14"/>
        <v>34</v>
      </c>
      <c r="V22" s="39">
        <f t="shared" si="14"/>
        <v>234</v>
      </c>
      <c r="W22" s="39">
        <f t="shared" si="14"/>
        <v>8</v>
      </c>
      <c r="X22" s="39">
        <f t="shared" si="14"/>
        <v>3</v>
      </c>
      <c r="Y22" s="39">
        <f t="shared" si="14"/>
        <v>34</v>
      </c>
      <c r="Z22" s="39">
        <f t="shared" si="14"/>
        <v>10</v>
      </c>
      <c r="AA22" s="39">
        <f t="shared" si="14"/>
        <v>0</v>
      </c>
      <c r="AB22" s="39">
        <f t="shared" si="14"/>
        <v>5</v>
      </c>
      <c r="AC22" s="39">
        <f t="shared" si="14"/>
        <v>1515</v>
      </c>
      <c r="AD22" s="39">
        <f t="shared" si="14"/>
        <v>0</v>
      </c>
      <c r="AE22" s="40">
        <f t="shared" si="14"/>
        <v>477</v>
      </c>
      <c r="AF22" s="40">
        <f t="shared" si="14"/>
        <v>1882</v>
      </c>
    </row>
    <row r="23" spans="2:32" ht="23.1" customHeight="1" x14ac:dyDescent="0.25">
      <c r="B23" s="23" t="s">
        <v>50</v>
      </c>
      <c r="C23" s="50">
        <v>32</v>
      </c>
      <c r="D23" s="50">
        <v>4</v>
      </c>
      <c r="E23" s="50">
        <v>4</v>
      </c>
      <c r="F23" s="50">
        <v>36</v>
      </c>
      <c r="G23" s="50">
        <v>0</v>
      </c>
      <c r="H23" s="50">
        <v>1</v>
      </c>
      <c r="I23" s="50">
        <v>9</v>
      </c>
      <c r="J23" s="50">
        <v>9</v>
      </c>
      <c r="K23" s="50">
        <v>0</v>
      </c>
      <c r="L23" s="50">
        <v>2</v>
      </c>
      <c r="M23" s="50">
        <v>265</v>
      </c>
      <c r="N23" s="50">
        <v>0</v>
      </c>
      <c r="O23" s="15">
        <f t="shared" si="0"/>
        <v>97</v>
      </c>
      <c r="P23" s="15">
        <f t="shared" si="1"/>
        <v>362</v>
      </c>
      <c r="R23" s="38" t="s">
        <v>91</v>
      </c>
      <c r="S23" s="39">
        <f>MAX(S13:S18)</f>
        <v>242</v>
      </c>
      <c r="T23" s="39">
        <f t="shared" ref="T23:AF23" si="15">MAX(T13:T18)</f>
        <v>54</v>
      </c>
      <c r="U23" s="39">
        <f t="shared" si="15"/>
        <v>52</v>
      </c>
      <c r="V23" s="39">
        <f t="shared" si="15"/>
        <v>215</v>
      </c>
      <c r="W23" s="39">
        <f t="shared" si="15"/>
        <v>8</v>
      </c>
      <c r="X23" s="39">
        <f t="shared" si="15"/>
        <v>4</v>
      </c>
      <c r="Y23" s="39">
        <f t="shared" si="15"/>
        <v>63</v>
      </c>
      <c r="Z23" s="39">
        <f t="shared" si="15"/>
        <v>18</v>
      </c>
      <c r="AA23" s="39">
        <f t="shared" si="15"/>
        <v>8</v>
      </c>
      <c r="AB23" s="39">
        <f t="shared" si="15"/>
        <v>8</v>
      </c>
      <c r="AC23" s="39">
        <f t="shared" si="15"/>
        <v>1177</v>
      </c>
      <c r="AD23" s="39">
        <f t="shared" si="15"/>
        <v>0</v>
      </c>
      <c r="AE23" s="40">
        <f t="shared" si="15"/>
        <v>629</v>
      </c>
      <c r="AF23" s="40">
        <f t="shared" si="15"/>
        <v>1750</v>
      </c>
    </row>
    <row r="24" spans="2:32" ht="23.1" customHeight="1" x14ac:dyDescent="0.25">
      <c r="B24" s="23" t="s">
        <v>51</v>
      </c>
      <c r="C24" s="50">
        <v>50</v>
      </c>
      <c r="D24" s="50">
        <v>8</v>
      </c>
      <c r="E24" s="50">
        <v>15</v>
      </c>
      <c r="F24" s="50">
        <v>47</v>
      </c>
      <c r="G24" s="50">
        <v>1</v>
      </c>
      <c r="H24" s="50">
        <v>0</v>
      </c>
      <c r="I24" s="50">
        <v>18</v>
      </c>
      <c r="J24" s="50">
        <v>2</v>
      </c>
      <c r="K24" s="50">
        <v>0</v>
      </c>
      <c r="L24" s="50">
        <v>1</v>
      </c>
      <c r="M24" s="50">
        <v>260</v>
      </c>
      <c r="N24" s="50">
        <v>0</v>
      </c>
      <c r="O24" s="15">
        <f t="shared" si="0"/>
        <v>142</v>
      </c>
      <c r="P24" s="15">
        <f t="shared" si="1"/>
        <v>402</v>
      </c>
      <c r="R24" s="38" t="s">
        <v>92</v>
      </c>
      <c r="S24" s="39">
        <f>MAX(S19:S21)</f>
        <v>285</v>
      </c>
      <c r="T24" s="39">
        <f t="shared" ref="T24:AF24" si="16">MAX(T19:T21)</f>
        <v>79</v>
      </c>
      <c r="U24" s="39">
        <f t="shared" si="16"/>
        <v>51</v>
      </c>
      <c r="V24" s="39">
        <f t="shared" si="16"/>
        <v>185</v>
      </c>
      <c r="W24" s="39">
        <f t="shared" si="16"/>
        <v>8</v>
      </c>
      <c r="X24" s="39">
        <f t="shared" si="16"/>
        <v>8</v>
      </c>
      <c r="Y24" s="39">
        <f t="shared" si="16"/>
        <v>44</v>
      </c>
      <c r="Z24" s="39">
        <f t="shared" si="16"/>
        <v>13</v>
      </c>
      <c r="AA24" s="39">
        <f t="shared" si="16"/>
        <v>8</v>
      </c>
      <c r="AB24" s="39">
        <f t="shared" si="16"/>
        <v>5</v>
      </c>
      <c r="AC24" s="39">
        <f t="shared" si="16"/>
        <v>1280</v>
      </c>
      <c r="AD24" s="39">
        <f t="shared" si="16"/>
        <v>0</v>
      </c>
      <c r="AE24" s="40">
        <f t="shared" si="16"/>
        <v>644</v>
      </c>
      <c r="AF24" s="40">
        <f t="shared" si="16"/>
        <v>1892</v>
      </c>
    </row>
    <row r="25" spans="2:32" ht="23.1" customHeight="1" x14ac:dyDescent="0.25">
      <c r="B25" s="23" t="s">
        <v>52</v>
      </c>
      <c r="C25" s="50">
        <v>46</v>
      </c>
      <c r="D25" s="50">
        <v>9</v>
      </c>
      <c r="E25" s="50">
        <v>5</v>
      </c>
      <c r="F25" s="50">
        <v>50</v>
      </c>
      <c r="G25" s="50">
        <v>0</v>
      </c>
      <c r="H25" s="50">
        <v>1</v>
      </c>
      <c r="I25" s="50">
        <v>17</v>
      </c>
      <c r="J25" s="50">
        <v>3</v>
      </c>
      <c r="K25" s="50">
        <v>0</v>
      </c>
      <c r="L25" s="50">
        <v>1</v>
      </c>
      <c r="M25" s="50">
        <v>251</v>
      </c>
      <c r="N25" s="50">
        <v>0</v>
      </c>
      <c r="O25" s="15">
        <f t="shared" si="0"/>
        <v>132</v>
      </c>
      <c r="P25" s="15">
        <f t="shared" si="1"/>
        <v>383</v>
      </c>
      <c r="R25" s="37" t="s">
        <v>85</v>
      </c>
      <c r="S25" s="35">
        <f t="shared" ref="S25:AF25" si="17">SUM(S10:S12)</f>
        <v>314</v>
      </c>
      <c r="T25" s="16">
        <f t="shared" si="17"/>
        <v>74</v>
      </c>
      <c r="U25" s="16">
        <f t="shared" si="17"/>
        <v>77</v>
      </c>
      <c r="V25" s="16">
        <f t="shared" si="17"/>
        <v>646</v>
      </c>
      <c r="W25" s="16">
        <f t="shared" si="17"/>
        <v>11</v>
      </c>
      <c r="X25" s="16">
        <f t="shared" si="17"/>
        <v>5</v>
      </c>
      <c r="Y25" s="16">
        <f t="shared" si="17"/>
        <v>86</v>
      </c>
      <c r="Z25" s="16">
        <f t="shared" si="17"/>
        <v>25</v>
      </c>
      <c r="AA25" s="16">
        <f t="shared" si="17"/>
        <v>0</v>
      </c>
      <c r="AB25" s="16">
        <f t="shared" si="17"/>
        <v>13</v>
      </c>
      <c r="AC25" s="16">
        <f t="shared" si="17"/>
        <v>4262</v>
      </c>
      <c r="AD25" s="16">
        <f t="shared" si="17"/>
        <v>0</v>
      </c>
      <c r="AE25" s="32">
        <f t="shared" si="17"/>
        <v>1251</v>
      </c>
      <c r="AF25" s="32">
        <f t="shared" si="17"/>
        <v>5513</v>
      </c>
    </row>
    <row r="26" spans="2:32" ht="23.1" customHeight="1" x14ac:dyDescent="0.25">
      <c r="B26" s="23" t="s">
        <v>53</v>
      </c>
      <c r="C26" s="50">
        <v>42</v>
      </c>
      <c r="D26" s="50">
        <v>6</v>
      </c>
      <c r="E26" s="50">
        <v>9</v>
      </c>
      <c r="F26" s="50">
        <v>49</v>
      </c>
      <c r="G26" s="50">
        <v>0</v>
      </c>
      <c r="H26" s="50">
        <v>1</v>
      </c>
      <c r="I26" s="50">
        <v>17</v>
      </c>
      <c r="J26" s="50">
        <v>4</v>
      </c>
      <c r="K26" s="50">
        <v>0</v>
      </c>
      <c r="L26" s="50">
        <v>4</v>
      </c>
      <c r="M26" s="50">
        <v>230</v>
      </c>
      <c r="N26" s="50">
        <v>0</v>
      </c>
      <c r="O26" s="15">
        <f t="shared" si="0"/>
        <v>132</v>
      </c>
      <c r="P26" s="15">
        <f t="shared" si="1"/>
        <v>362</v>
      </c>
      <c r="R26" s="28" t="s">
        <v>86</v>
      </c>
      <c r="S26" s="16">
        <f t="shared" ref="S26:AF26" si="18">SUM(S13:S18)</f>
        <v>1068</v>
      </c>
      <c r="T26" s="16">
        <f t="shared" si="18"/>
        <v>228</v>
      </c>
      <c r="U26" s="16">
        <f t="shared" si="18"/>
        <v>231</v>
      </c>
      <c r="V26" s="16">
        <f t="shared" si="18"/>
        <v>1082</v>
      </c>
      <c r="W26" s="16">
        <f t="shared" si="18"/>
        <v>10</v>
      </c>
      <c r="X26" s="16">
        <f t="shared" si="18"/>
        <v>14</v>
      </c>
      <c r="Y26" s="16">
        <f t="shared" si="18"/>
        <v>297</v>
      </c>
      <c r="Z26" s="16">
        <f t="shared" si="18"/>
        <v>83</v>
      </c>
      <c r="AA26" s="16">
        <f t="shared" si="18"/>
        <v>21</v>
      </c>
      <c r="AB26" s="16">
        <f t="shared" si="18"/>
        <v>32</v>
      </c>
      <c r="AC26" s="16">
        <f t="shared" si="18"/>
        <v>5784</v>
      </c>
      <c r="AD26" s="16">
        <f t="shared" si="18"/>
        <v>0</v>
      </c>
      <c r="AE26" s="32">
        <f t="shared" si="18"/>
        <v>3066</v>
      </c>
      <c r="AF26" s="32">
        <f t="shared" si="18"/>
        <v>8850</v>
      </c>
    </row>
    <row r="27" spans="2:32" ht="23.1" customHeight="1" x14ac:dyDescent="0.25">
      <c r="B27" s="23" t="s">
        <v>54</v>
      </c>
      <c r="C27" s="50">
        <v>36</v>
      </c>
      <c r="D27" s="50">
        <v>16</v>
      </c>
      <c r="E27" s="50">
        <v>6</v>
      </c>
      <c r="F27" s="50">
        <v>58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262</v>
      </c>
      <c r="N27" s="50">
        <v>0</v>
      </c>
      <c r="O27" s="15">
        <f t="shared" si="0"/>
        <v>117</v>
      </c>
      <c r="P27" s="15">
        <f t="shared" si="1"/>
        <v>379</v>
      </c>
      <c r="R27" s="29" t="s">
        <v>87</v>
      </c>
      <c r="S27" s="16">
        <f t="shared" ref="S27:AF27" si="19">SUM(S19:S21)</f>
        <v>779</v>
      </c>
      <c r="T27" s="16">
        <f t="shared" si="19"/>
        <v>235</v>
      </c>
      <c r="U27" s="16">
        <f t="shared" si="19"/>
        <v>138</v>
      </c>
      <c r="V27" s="16">
        <f t="shared" si="19"/>
        <v>533</v>
      </c>
      <c r="W27" s="16">
        <f t="shared" si="19"/>
        <v>15</v>
      </c>
      <c r="X27" s="16">
        <f t="shared" si="19"/>
        <v>17</v>
      </c>
      <c r="Y27" s="16">
        <f t="shared" si="19"/>
        <v>98</v>
      </c>
      <c r="Z27" s="16">
        <f t="shared" si="19"/>
        <v>32</v>
      </c>
      <c r="AA27" s="16">
        <f t="shared" si="19"/>
        <v>10</v>
      </c>
      <c r="AB27" s="16">
        <f t="shared" si="19"/>
        <v>6</v>
      </c>
      <c r="AC27" s="16">
        <f t="shared" si="19"/>
        <v>3570</v>
      </c>
      <c r="AD27" s="16">
        <f t="shared" si="19"/>
        <v>0</v>
      </c>
      <c r="AE27" s="32">
        <f t="shared" si="19"/>
        <v>1863</v>
      </c>
      <c r="AF27" s="32">
        <f t="shared" si="19"/>
        <v>5433</v>
      </c>
    </row>
    <row r="28" spans="2:32" ht="23.1" customHeight="1" x14ac:dyDescent="0.25">
      <c r="B28" s="23" t="s">
        <v>55</v>
      </c>
      <c r="C28" s="50">
        <v>39</v>
      </c>
      <c r="D28" s="50">
        <v>9</v>
      </c>
      <c r="E28" s="50">
        <v>11</v>
      </c>
      <c r="F28" s="50">
        <v>38</v>
      </c>
      <c r="G28" s="50">
        <v>0</v>
      </c>
      <c r="H28" s="50">
        <v>0</v>
      </c>
      <c r="I28" s="50">
        <v>13</v>
      </c>
      <c r="J28" s="50">
        <v>1</v>
      </c>
      <c r="K28" s="50">
        <v>0</v>
      </c>
      <c r="L28" s="50">
        <v>0</v>
      </c>
      <c r="M28" s="50">
        <v>221</v>
      </c>
      <c r="N28" s="50">
        <v>0</v>
      </c>
      <c r="O28" s="15">
        <f t="shared" si="0"/>
        <v>111</v>
      </c>
      <c r="P28" s="15">
        <f t="shared" si="1"/>
        <v>332</v>
      </c>
      <c r="R28" s="5" t="s">
        <v>17</v>
      </c>
      <c r="S28" s="16">
        <f t="shared" ref="S28:AF28" si="20">SUM(S10:S21)</f>
        <v>2161</v>
      </c>
      <c r="T28" s="16">
        <f t="shared" si="20"/>
        <v>537</v>
      </c>
      <c r="U28" s="16">
        <f t="shared" si="20"/>
        <v>446</v>
      </c>
      <c r="V28" s="16">
        <f t="shared" si="20"/>
        <v>2261</v>
      </c>
      <c r="W28" s="16">
        <f t="shared" si="20"/>
        <v>36</v>
      </c>
      <c r="X28" s="16">
        <f t="shared" si="20"/>
        <v>36</v>
      </c>
      <c r="Y28" s="16">
        <f t="shared" si="20"/>
        <v>481</v>
      </c>
      <c r="Z28" s="16">
        <f t="shared" si="20"/>
        <v>140</v>
      </c>
      <c r="AA28" s="16">
        <f t="shared" si="20"/>
        <v>31</v>
      </c>
      <c r="AB28" s="16">
        <f t="shared" si="20"/>
        <v>51</v>
      </c>
      <c r="AC28" s="16">
        <f t="shared" si="20"/>
        <v>13616</v>
      </c>
      <c r="AD28" s="16">
        <f t="shared" si="20"/>
        <v>0</v>
      </c>
      <c r="AE28" s="32">
        <f t="shared" si="20"/>
        <v>6180</v>
      </c>
      <c r="AF28" s="32">
        <f t="shared" si="20"/>
        <v>19796</v>
      </c>
    </row>
    <row r="29" spans="2:32" ht="23.1" customHeight="1" x14ac:dyDescent="0.25">
      <c r="B29" s="23" t="s">
        <v>56</v>
      </c>
      <c r="C29" s="50">
        <v>29</v>
      </c>
      <c r="D29" s="50">
        <v>11</v>
      </c>
      <c r="E29" s="50">
        <v>6</v>
      </c>
      <c r="F29" s="50">
        <v>41</v>
      </c>
      <c r="G29" s="50">
        <v>0</v>
      </c>
      <c r="H29" s="50">
        <v>0</v>
      </c>
      <c r="I29" s="50">
        <v>32</v>
      </c>
      <c r="J29" s="50">
        <v>2</v>
      </c>
      <c r="K29" s="50">
        <v>0</v>
      </c>
      <c r="L29" s="50">
        <v>0</v>
      </c>
      <c r="M29" s="50">
        <v>243</v>
      </c>
      <c r="N29" s="50">
        <v>0</v>
      </c>
      <c r="O29" s="15">
        <f t="shared" si="0"/>
        <v>121</v>
      </c>
      <c r="P29" s="15">
        <f t="shared" si="1"/>
        <v>364</v>
      </c>
      <c r="R29"/>
      <c r="S29" s="20"/>
      <c r="T29" s="19"/>
    </row>
    <row r="30" spans="2:32" ht="23.1" customHeight="1" x14ac:dyDescent="0.25">
      <c r="B30" s="23" t="s">
        <v>57</v>
      </c>
      <c r="C30" s="50">
        <v>46</v>
      </c>
      <c r="D30" s="50">
        <v>7</v>
      </c>
      <c r="E30" s="50">
        <v>15</v>
      </c>
      <c r="F30" s="50">
        <v>38</v>
      </c>
      <c r="G30" s="50">
        <v>1</v>
      </c>
      <c r="H30" s="50">
        <v>1</v>
      </c>
      <c r="I30" s="50">
        <v>17</v>
      </c>
      <c r="J30" s="50">
        <v>3</v>
      </c>
      <c r="K30" s="50">
        <v>0</v>
      </c>
      <c r="L30" s="50">
        <v>3</v>
      </c>
      <c r="M30" s="50">
        <v>205</v>
      </c>
      <c r="N30" s="50">
        <v>0</v>
      </c>
      <c r="O30" s="15">
        <f t="shared" si="0"/>
        <v>131</v>
      </c>
      <c r="P30" s="15">
        <f t="shared" si="1"/>
        <v>336</v>
      </c>
    </row>
    <row r="31" spans="2:32" ht="23.1" customHeight="1" x14ac:dyDescent="0.25">
      <c r="B31" s="24" t="s">
        <v>58</v>
      </c>
      <c r="C31" s="50">
        <v>42</v>
      </c>
      <c r="D31" s="50">
        <v>4</v>
      </c>
      <c r="E31" s="50">
        <v>6</v>
      </c>
      <c r="F31" s="50">
        <v>51</v>
      </c>
      <c r="G31" s="50">
        <v>2</v>
      </c>
      <c r="H31" s="50">
        <v>0</v>
      </c>
      <c r="I31" s="50">
        <v>6</v>
      </c>
      <c r="J31" s="50">
        <v>4</v>
      </c>
      <c r="K31" s="50">
        <v>2</v>
      </c>
      <c r="L31" s="50">
        <v>0</v>
      </c>
      <c r="M31" s="50">
        <v>186</v>
      </c>
      <c r="N31" s="50">
        <v>0</v>
      </c>
      <c r="O31" s="15">
        <f t="shared" si="0"/>
        <v>117</v>
      </c>
      <c r="P31" s="15">
        <f t="shared" si="1"/>
        <v>303</v>
      </c>
    </row>
    <row r="32" spans="2:32" ht="23.1" customHeight="1" x14ac:dyDescent="0.25">
      <c r="B32" s="24" t="s">
        <v>59</v>
      </c>
      <c r="C32" s="50">
        <v>35</v>
      </c>
      <c r="D32" s="50">
        <v>5</v>
      </c>
      <c r="E32" s="50">
        <v>8</v>
      </c>
      <c r="F32" s="50">
        <v>37</v>
      </c>
      <c r="G32" s="50">
        <v>0</v>
      </c>
      <c r="H32" s="50">
        <v>0</v>
      </c>
      <c r="I32" s="50">
        <v>17</v>
      </c>
      <c r="J32" s="50">
        <v>3</v>
      </c>
      <c r="K32" s="50">
        <v>0</v>
      </c>
      <c r="L32" s="50">
        <v>1</v>
      </c>
      <c r="M32" s="50">
        <v>178</v>
      </c>
      <c r="N32" s="50">
        <v>0</v>
      </c>
      <c r="O32" s="15">
        <f t="shared" si="0"/>
        <v>106</v>
      </c>
      <c r="P32" s="15">
        <f t="shared" si="1"/>
        <v>284</v>
      </c>
    </row>
    <row r="33" spans="2:20" ht="23.1" customHeight="1" x14ac:dyDescent="0.25">
      <c r="B33" s="23" t="s">
        <v>60</v>
      </c>
      <c r="C33" s="50">
        <v>41</v>
      </c>
      <c r="D33" s="50">
        <v>7</v>
      </c>
      <c r="E33" s="50">
        <v>16</v>
      </c>
      <c r="F33" s="50">
        <v>45</v>
      </c>
      <c r="G33" s="50">
        <v>5</v>
      </c>
      <c r="H33" s="50">
        <v>0</v>
      </c>
      <c r="I33" s="50">
        <v>8</v>
      </c>
      <c r="J33" s="50">
        <v>4</v>
      </c>
      <c r="K33" s="50">
        <v>2</v>
      </c>
      <c r="L33" s="50">
        <v>2</v>
      </c>
      <c r="M33" s="50">
        <v>155</v>
      </c>
      <c r="N33" s="50">
        <v>0</v>
      </c>
      <c r="O33" s="15">
        <f t="shared" si="0"/>
        <v>130</v>
      </c>
      <c r="P33" s="15">
        <f t="shared" si="1"/>
        <v>285</v>
      </c>
    </row>
    <row r="34" spans="2:20" ht="23.1" customHeight="1" x14ac:dyDescent="0.25">
      <c r="B34" s="24" t="s">
        <v>61</v>
      </c>
      <c r="C34" s="50">
        <v>38</v>
      </c>
      <c r="D34" s="50">
        <v>9</v>
      </c>
      <c r="E34" s="50">
        <v>5</v>
      </c>
      <c r="F34" s="50">
        <v>34</v>
      </c>
      <c r="G34" s="50">
        <v>0</v>
      </c>
      <c r="H34" s="50">
        <v>1</v>
      </c>
      <c r="I34" s="50">
        <v>12</v>
      </c>
      <c r="J34" s="50">
        <v>1</v>
      </c>
      <c r="K34" s="50">
        <v>0</v>
      </c>
      <c r="L34" s="50">
        <v>0</v>
      </c>
      <c r="M34" s="50">
        <v>165</v>
      </c>
      <c r="N34" s="50">
        <v>0</v>
      </c>
      <c r="O34" s="15">
        <f t="shared" si="0"/>
        <v>100</v>
      </c>
      <c r="P34" s="15">
        <f t="shared" si="1"/>
        <v>265</v>
      </c>
    </row>
    <row r="35" spans="2:20" ht="23.1" customHeight="1" x14ac:dyDescent="0.25">
      <c r="B35" s="24" t="s">
        <v>62</v>
      </c>
      <c r="C35" s="50">
        <v>41</v>
      </c>
      <c r="D35" s="50">
        <v>5</v>
      </c>
      <c r="E35" s="50">
        <v>11</v>
      </c>
      <c r="F35" s="50">
        <v>33</v>
      </c>
      <c r="G35" s="50">
        <v>0</v>
      </c>
      <c r="H35" s="50">
        <v>2</v>
      </c>
      <c r="I35" s="50">
        <v>11</v>
      </c>
      <c r="J35" s="50">
        <v>7</v>
      </c>
      <c r="K35" s="50">
        <v>5</v>
      </c>
      <c r="L35" s="50">
        <v>3</v>
      </c>
      <c r="M35" s="50">
        <v>185</v>
      </c>
      <c r="N35" s="50">
        <v>0</v>
      </c>
      <c r="O35" s="15">
        <f t="shared" si="0"/>
        <v>118</v>
      </c>
      <c r="P35" s="15">
        <f t="shared" si="1"/>
        <v>303</v>
      </c>
    </row>
    <row r="36" spans="2:20" ht="23.1" customHeight="1" x14ac:dyDescent="0.25">
      <c r="B36" s="24" t="s">
        <v>63</v>
      </c>
      <c r="C36" s="50">
        <v>40</v>
      </c>
      <c r="D36" s="50">
        <v>7</v>
      </c>
      <c r="E36" s="50">
        <v>13</v>
      </c>
      <c r="F36" s="50">
        <v>38</v>
      </c>
      <c r="G36" s="50">
        <v>0</v>
      </c>
      <c r="H36" s="50">
        <v>0</v>
      </c>
      <c r="I36" s="50">
        <v>10</v>
      </c>
      <c r="J36" s="50">
        <v>3</v>
      </c>
      <c r="K36" s="50">
        <v>3</v>
      </c>
      <c r="L36" s="50">
        <v>0</v>
      </c>
      <c r="M36" s="50">
        <v>225</v>
      </c>
      <c r="N36" s="50">
        <v>0</v>
      </c>
      <c r="O36" s="15">
        <f t="shared" si="0"/>
        <v>114</v>
      </c>
      <c r="P36" s="15">
        <f t="shared" si="1"/>
        <v>339</v>
      </c>
    </row>
    <row r="37" spans="2:20" ht="23.1" customHeight="1" x14ac:dyDescent="0.25">
      <c r="B37" s="23" t="s">
        <v>64</v>
      </c>
      <c r="C37" s="50">
        <v>41</v>
      </c>
      <c r="D37" s="50">
        <v>12</v>
      </c>
      <c r="E37" s="50">
        <v>10</v>
      </c>
      <c r="F37" s="50">
        <v>51</v>
      </c>
      <c r="G37" s="50">
        <v>0</v>
      </c>
      <c r="H37" s="50">
        <v>1</v>
      </c>
      <c r="I37" s="50">
        <v>11</v>
      </c>
      <c r="J37" s="50">
        <v>5</v>
      </c>
      <c r="K37" s="50">
        <v>0</v>
      </c>
      <c r="L37" s="50">
        <v>2</v>
      </c>
      <c r="M37" s="50">
        <v>205</v>
      </c>
      <c r="N37" s="50">
        <v>0</v>
      </c>
      <c r="O37" s="15">
        <f t="shared" si="0"/>
        <v>133</v>
      </c>
      <c r="P37" s="15">
        <f t="shared" si="1"/>
        <v>338</v>
      </c>
    </row>
    <row r="38" spans="2:20" ht="23.1" customHeight="1" x14ac:dyDescent="0.25">
      <c r="B38" s="24" t="s">
        <v>65</v>
      </c>
      <c r="C38" s="50">
        <v>65</v>
      </c>
      <c r="D38" s="50">
        <v>9</v>
      </c>
      <c r="E38" s="50">
        <v>4</v>
      </c>
      <c r="F38" s="50">
        <v>60</v>
      </c>
      <c r="G38" s="50">
        <v>0</v>
      </c>
      <c r="H38" s="50">
        <v>0</v>
      </c>
      <c r="I38" s="50">
        <v>7</v>
      </c>
      <c r="J38" s="50">
        <v>6</v>
      </c>
      <c r="K38" s="50">
        <v>2</v>
      </c>
      <c r="L38" s="50">
        <v>1</v>
      </c>
      <c r="M38" s="50">
        <v>280</v>
      </c>
      <c r="N38" s="50">
        <v>0</v>
      </c>
      <c r="O38" s="15">
        <f t="shared" si="0"/>
        <v>154</v>
      </c>
      <c r="P38" s="15">
        <f t="shared" si="1"/>
        <v>434</v>
      </c>
    </row>
    <row r="39" spans="2:20" ht="23.1" customHeight="1" x14ac:dyDescent="0.25">
      <c r="B39" s="24" t="s">
        <v>66</v>
      </c>
      <c r="C39" s="50">
        <v>39</v>
      </c>
      <c r="D39" s="50">
        <v>10</v>
      </c>
      <c r="E39" s="50">
        <v>14</v>
      </c>
      <c r="F39" s="50">
        <v>36</v>
      </c>
      <c r="G39" s="50">
        <v>1</v>
      </c>
      <c r="H39" s="50">
        <v>1</v>
      </c>
      <c r="I39" s="50">
        <v>10</v>
      </c>
      <c r="J39" s="50">
        <v>5</v>
      </c>
      <c r="K39" s="50">
        <v>2</v>
      </c>
      <c r="L39" s="50">
        <v>3</v>
      </c>
      <c r="M39" s="50">
        <v>298</v>
      </c>
      <c r="N39" s="50">
        <v>0</v>
      </c>
      <c r="O39" s="15">
        <f t="shared" si="0"/>
        <v>121</v>
      </c>
      <c r="P39" s="15">
        <f t="shared" si="1"/>
        <v>419</v>
      </c>
    </row>
    <row r="40" spans="2:20" ht="23.1" customHeight="1" x14ac:dyDescent="0.25">
      <c r="B40" s="24" t="s">
        <v>67</v>
      </c>
      <c r="C40" s="50">
        <v>32</v>
      </c>
      <c r="D40" s="50">
        <v>5</v>
      </c>
      <c r="E40" s="50">
        <v>9</v>
      </c>
      <c r="F40" s="50">
        <v>38</v>
      </c>
      <c r="G40" s="50">
        <v>0</v>
      </c>
      <c r="H40" s="50">
        <v>2</v>
      </c>
      <c r="I40" s="50">
        <v>14</v>
      </c>
      <c r="J40" s="50">
        <v>2</v>
      </c>
      <c r="K40" s="50">
        <v>1</v>
      </c>
      <c r="L40" s="50">
        <v>1</v>
      </c>
      <c r="M40" s="50">
        <v>303</v>
      </c>
      <c r="N40" s="50">
        <v>0</v>
      </c>
      <c r="O40" s="15">
        <f t="shared" si="0"/>
        <v>104</v>
      </c>
      <c r="P40" s="15">
        <f t="shared" si="1"/>
        <v>407</v>
      </c>
    </row>
    <row r="41" spans="2:20" ht="23.1" customHeight="1" x14ac:dyDescent="0.25">
      <c r="B41" s="23" t="s">
        <v>68</v>
      </c>
      <c r="C41" s="50">
        <v>51</v>
      </c>
      <c r="D41" s="50">
        <v>12</v>
      </c>
      <c r="E41" s="50">
        <v>7</v>
      </c>
      <c r="F41" s="50">
        <v>45</v>
      </c>
      <c r="G41" s="50">
        <v>0</v>
      </c>
      <c r="H41" s="50">
        <v>0</v>
      </c>
      <c r="I41" s="50">
        <v>17</v>
      </c>
      <c r="J41" s="50">
        <v>5</v>
      </c>
      <c r="K41" s="50">
        <v>2</v>
      </c>
      <c r="L41" s="50">
        <v>1</v>
      </c>
      <c r="M41" s="50">
        <v>296</v>
      </c>
      <c r="N41" s="50">
        <v>0</v>
      </c>
      <c r="O41" s="15">
        <f t="shared" si="0"/>
        <v>140</v>
      </c>
      <c r="P41" s="15">
        <f t="shared" si="1"/>
        <v>436</v>
      </c>
    </row>
    <row r="42" spans="2:20" ht="23.1" customHeight="1" x14ac:dyDescent="0.25">
      <c r="B42" s="24" t="s">
        <v>69</v>
      </c>
      <c r="C42" s="50">
        <v>78</v>
      </c>
      <c r="D42" s="50">
        <v>15</v>
      </c>
      <c r="E42" s="50">
        <v>13</v>
      </c>
      <c r="F42" s="50">
        <v>75</v>
      </c>
      <c r="G42" s="50">
        <v>0</v>
      </c>
      <c r="H42" s="50">
        <v>0</v>
      </c>
      <c r="I42" s="50">
        <v>12</v>
      </c>
      <c r="J42" s="50">
        <v>3</v>
      </c>
      <c r="K42" s="50">
        <v>0</v>
      </c>
      <c r="L42" s="50">
        <v>0</v>
      </c>
      <c r="M42" s="50">
        <v>285</v>
      </c>
      <c r="N42" s="50">
        <v>0</v>
      </c>
      <c r="O42" s="15">
        <f t="shared" si="0"/>
        <v>196</v>
      </c>
      <c r="P42" s="15">
        <f t="shared" si="1"/>
        <v>481</v>
      </c>
    </row>
    <row r="43" spans="2:20" ht="23.1" customHeight="1" x14ac:dyDescent="0.25">
      <c r="B43" s="23" t="s">
        <v>70</v>
      </c>
      <c r="C43" s="50">
        <v>51</v>
      </c>
      <c r="D43" s="50">
        <v>10</v>
      </c>
      <c r="E43" s="50">
        <v>11</v>
      </c>
      <c r="F43" s="50">
        <v>37</v>
      </c>
      <c r="G43" s="50">
        <v>0</v>
      </c>
      <c r="H43" s="50">
        <v>0</v>
      </c>
      <c r="I43" s="50">
        <v>18</v>
      </c>
      <c r="J43" s="50">
        <v>3</v>
      </c>
      <c r="K43" s="50">
        <v>1</v>
      </c>
      <c r="L43" s="50">
        <v>0</v>
      </c>
      <c r="M43" s="50">
        <v>240</v>
      </c>
      <c r="N43" s="50">
        <v>0</v>
      </c>
      <c r="O43" s="15">
        <f t="shared" si="0"/>
        <v>131</v>
      </c>
      <c r="P43" s="15">
        <f t="shared" si="1"/>
        <v>371</v>
      </c>
    </row>
    <row r="44" spans="2:20" ht="23.1" customHeight="1" x14ac:dyDescent="0.25">
      <c r="B44" s="25" t="s">
        <v>71</v>
      </c>
      <c r="C44" s="50">
        <v>61</v>
      </c>
      <c r="D44" s="50">
        <v>16</v>
      </c>
      <c r="E44" s="50">
        <v>17</v>
      </c>
      <c r="F44" s="50">
        <v>50</v>
      </c>
      <c r="G44" s="50">
        <v>0</v>
      </c>
      <c r="H44" s="50">
        <v>0</v>
      </c>
      <c r="I44" s="50">
        <v>10</v>
      </c>
      <c r="J44" s="50">
        <v>5</v>
      </c>
      <c r="K44" s="50">
        <v>1</v>
      </c>
      <c r="L44" s="50">
        <v>3</v>
      </c>
      <c r="M44" s="50">
        <v>304</v>
      </c>
      <c r="N44" s="50">
        <v>0</v>
      </c>
      <c r="O44" s="15">
        <f t="shared" si="0"/>
        <v>163</v>
      </c>
      <c r="P44" s="15">
        <f t="shared" si="1"/>
        <v>467</v>
      </c>
    </row>
    <row r="45" spans="2:20" ht="23.1" customHeight="1" x14ac:dyDescent="0.25">
      <c r="B45" s="23" t="s">
        <v>72</v>
      </c>
      <c r="C45" s="50">
        <v>52</v>
      </c>
      <c r="D45" s="50">
        <v>13</v>
      </c>
      <c r="E45" s="50">
        <v>11</v>
      </c>
      <c r="F45" s="50">
        <v>53</v>
      </c>
      <c r="G45" s="50">
        <v>0</v>
      </c>
      <c r="H45" s="50">
        <v>3</v>
      </c>
      <c r="I45" s="50">
        <v>5</v>
      </c>
      <c r="J45" s="50">
        <v>2</v>
      </c>
      <c r="K45" s="50">
        <v>0</v>
      </c>
      <c r="L45" s="50">
        <v>0</v>
      </c>
      <c r="M45" s="50">
        <v>292</v>
      </c>
      <c r="N45" s="50">
        <v>0</v>
      </c>
      <c r="O45" s="15">
        <f t="shared" si="0"/>
        <v>139</v>
      </c>
      <c r="P45" s="15">
        <f t="shared" si="1"/>
        <v>431</v>
      </c>
    </row>
    <row r="46" spans="2:20" ht="23.1" customHeight="1" x14ac:dyDescent="0.25">
      <c r="B46" s="24" t="s">
        <v>73</v>
      </c>
      <c r="C46" s="50">
        <v>52</v>
      </c>
      <c r="D46" s="50">
        <v>29</v>
      </c>
      <c r="E46" s="50">
        <v>14</v>
      </c>
      <c r="F46" s="50">
        <v>41</v>
      </c>
      <c r="G46" s="50">
        <v>1</v>
      </c>
      <c r="H46" s="50">
        <v>3</v>
      </c>
      <c r="I46" s="50">
        <v>9</v>
      </c>
      <c r="J46" s="50">
        <v>3</v>
      </c>
      <c r="K46" s="50">
        <v>4</v>
      </c>
      <c r="L46" s="50">
        <v>0</v>
      </c>
      <c r="M46" s="50">
        <v>255</v>
      </c>
      <c r="N46" s="50">
        <v>0</v>
      </c>
      <c r="O46" s="15">
        <f t="shared" si="0"/>
        <v>156</v>
      </c>
      <c r="P46" s="15">
        <f t="shared" si="1"/>
        <v>411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8</v>
      </c>
      <c r="E47" s="50">
        <v>6</v>
      </c>
      <c r="F47" s="50">
        <v>36</v>
      </c>
      <c r="G47" s="50">
        <v>0</v>
      </c>
      <c r="H47" s="50">
        <v>1</v>
      </c>
      <c r="I47" s="50">
        <v>14</v>
      </c>
      <c r="J47" s="50">
        <v>5</v>
      </c>
      <c r="K47" s="50">
        <v>2</v>
      </c>
      <c r="L47" s="50">
        <v>1</v>
      </c>
      <c r="M47" s="50">
        <v>307</v>
      </c>
      <c r="N47" s="50">
        <v>0</v>
      </c>
      <c r="O47" s="15">
        <f t="shared" si="0"/>
        <v>133</v>
      </c>
      <c r="P47" s="15">
        <f t="shared" si="1"/>
        <v>440</v>
      </c>
      <c r="R47" s="8"/>
      <c r="T47"/>
    </row>
    <row r="48" spans="2:20" ht="23.1" customHeight="1" x14ac:dyDescent="0.25">
      <c r="B48" s="24" t="s">
        <v>75</v>
      </c>
      <c r="C48" s="50">
        <v>64</v>
      </c>
      <c r="D48" s="50">
        <v>18</v>
      </c>
      <c r="E48" s="50">
        <v>12</v>
      </c>
      <c r="F48" s="50">
        <v>66</v>
      </c>
      <c r="G48" s="50">
        <v>2</v>
      </c>
      <c r="H48" s="50">
        <v>2</v>
      </c>
      <c r="I48" s="50">
        <v>10</v>
      </c>
      <c r="J48" s="50">
        <v>0</v>
      </c>
      <c r="K48" s="50">
        <v>2</v>
      </c>
      <c r="L48" s="50">
        <v>0</v>
      </c>
      <c r="M48" s="50">
        <v>295</v>
      </c>
      <c r="N48" s="50">
        <v>0</v>
      </c>
      <c r="O48" s="15">
        <f t="shared" si="0"/>
        <v>176</v>
      </c>
      <c r="P48" s="15">
        <f t="shared" si="1"/>
        <v>471</v>
      </c>
      <c r="R48" s="8"/>
      <c r="T48"/>
    </row>
    <row r="49" spans="2:20" ht="23.1" customHeight="1" x14ac:dyDescent="0.25">
      <c r="B49" s="23" t="s">
        <v>76</v>
      </c>
      <c r="C49" s="50">
        <v>54</v>
      </c>
      <c r="D49" s="50">
        <v>23</v>
      </c>
      <c r="E49" s="50">
        <v>5</v>
      </c>
      <c r="F49" s="50">
        <v>42</v>
      </c>
      <c r="G49" s="50">
        <v>0</v>
      </c>
      <c r="H49" s="50">
        <v>2</v>
      </c>
      <c r="I49" s="50">
        <v>11</v>
      </c>
      <c r="J49" s="50">
        <v>5</v>
      </c>
      <c r="K49" s="50">
        <v>0</v>
      </c>
      <c r="L49" s="50">
        <v>0</v>
      </c>
      <c r="M49" s="50">
        <v>283</v>
      </c>
      <c r="N49" s="50">
        <v>0</v>
      </c>
      <c r="O49" s="15">
        <f t="shared" si="0"/>
        <v>142</v>
      </c>
      <c r="P49" s="15">
        <f t="shared" si="1"/>
        <v>425</v>
      </c>
      <c r="R49" s="8"/>
      <c r="T49"/>
    </row>
    <row r="50" spans="2:20" ht="23.1" customHeight="1" x14ac:dyDescent="0.25">
      <c r="B50" s="24" t="s">
        <v>77</v>
      </c>
      <c r="C50" s="50">
        <v>77</v>
      </c>
      <c r="D50" s="50">
        <v>16</v>
      </c>
      <c r="E50" s="50">
        <v>21</v>
      </c>
      <c r="F50" s="50">
        <v>41</v>
      </c>
      <c r="G50" s="50">
        <v>3</v>
      </c>
      <c r="H50" s="50">
        <v>0</v>
      </c>
      <c r="I50" s="50">
        <v>11</v>
      </c>
      <c r="J50" s="50">
        <v>2</v>
      </c>
      <c r="K50" s="50">
        <v>0</v>
      </c>
      <c r="L50" s="50">
        <v>0</v>
      </c>
      <c r="M50" s="50">
        <v>310</v>
      </c>
      <c r="N50" s="50">
        <v>0</v>
      </c>
      <c r="O50" s="15">
        <f t="shared" si="0"/>
        <v>171</v>
      </c>
      <c r="P50" s="15">
        <f t="shared" si="1"/>
        <v>481</v>
      </c>
      <c r="R50" s="8"/>
      <c r="T50"/>
    </row>
    <row r="51" spans="2:20" ht="23.1" customHeight="1" x14ac:dyDescent="0.25">
      <c r="B51" s="24" t="s">
        <v>78</v>
      </c>
      <c r="C51" s="50">
        <v>54</v>
      </c>
      <c r="D51" s="50">
        <v>18</v>
      </c>
      <c r="E51" s="50">
        <v>14</v>
      </c>
      <c r="F51" s="50">
        <v>33</v>
      </c>
      <c r="G51" s="50">
        <v>2</v>
      </c>
      <c r="H51" s="50">
        <v>1</v>
      </c>
      <c r="I51" s="50">
        <v>7</v>
      </c>
      <c r="J51" s="50">
        <v>3</v>
      </c>
      <c r="K51" s="50">
        <v>1</v>
      </c>
      <c r="L51" s="50">
        <v>0</v>
      </c>
      <c r="M51" s="50">
        <v>275</v>
      </c>
      <c r="N51" s="50">
        <v>0</v>
      </c>
      <c r="O51" s="15">
        <f t="shared" si="0"/>
        <v>133</v>
      </c>
      <c r="P51" s="15">
        <f t="shared" si="1"/>
        <v>408</v>
      </c>
      <c r="R51" s="8"/>
      <c r="T51"/>
    </row>
    <row r="52" spans="2:20" ht="23.1" customHeight="1" x14ac:dyDescent="0.25">
      <c r="B52" s="24" t="s">
        <v>79</v>
      </c>
      <c r="C52" s="50">
        <v>71</v>
      </c>
      <c r="D52" s="50">
        <v>12</v>
      </c>
      <c r="E52" s="50">
        <v>5</v>
      </c>
      <c r="F52" s="50">
        <v>43</v>
      </c>
      <c r="G52" s="50">
        <v>2</v>
      </c>
      <c r="H52" s="50">
        <v>1</v>
      </c>
      <c r="I52" s="50">
        <v>9</v>
      </c>
      <c r="J52" s="50">
        <v>3</v>
      </c>
      <c r="K52" s="50">
        <v>0</v>
      </c>
      <c r="L52" s="50">
        <v>0</v>
      </c>
      <c r="M52" s="50">
        <v>300</v>
      </c>
      <c r="N52" s="50">
        <v>0</v>
      </c>
      <c r="O52" s="15">
        <f t="shared" si="0"/>
        <v>146</v>
      </c>
      <c r="P52" s="15">
        <f t="shared" si="1"/>
        <v>446</v>
      </c>
      <c r="R52" s="8"/>
      <c r="T52"/>
    </row>
    <row r="53" spans="2:20" ht="23.1" customHeight="1" x14ac:dyDescent="0.25">
      <c r="B53" s="23" t="s">
        <v>80</v>
      </c>
      <c r="C53" s="50">
        <v>83</v>
      </c>
      <c r="D53" s="50">
        <v>33</v>
      </c>
      <c r="E53" s="50">
        <v>10</v>
      </c>
      <c r="F53" s="50">
        <v>54</v>
      </c>
      <c r="G53" s="50">
        <v>1</v>
      </c>
      <c r="H53" s="50">
        <v>0</v>
      </c>
      <c r="I53" s="50">
        <v>10</v>
      </c>
      <c r="J53" s="50">
        <v>2</v>
      </c>
      <c r="K53" s="50">
        <v>1</v>
      </c>
      <c r="L53" s="50">
        <v>0</v>
      </c>
      <c r="M53" s="50">
        <v>265</v>
      </c>
      <c r="N53" s="50">
        <v>0</v>
      </c>
      <c r="O53" s="15">
        <f t="shared" si="0"/>
        <v>194</v>
      </c>
      <c r="P53" s="15">
        <f t="shared" si="1"/>
        <v>459</v>
      </c>
      <c r="R53" s="8"/>
      <c r="T53"/>
    </row>
    <row r="54" spans="2:20" ht="23.1" customHeight="1" x14ac:dyDescent="0.25">
      <c r="B54" s="23" t="s">
        <v>81</v>
      </c>
      <c r="C54" s="50">
        <v>65</v>
      </c>
      <c r="D54" s="50">
        <v>34</v>
      </c>
      <c r="E54" s="50">
        <v>10</v>
      </c>
      <c r="F54" s="50">
        <v>50</v>
      </c>
      <c r="G54" s="50">
        <v>0</v>
      </c>
      <c r="H54" s="50">
        <v>2</v>
      </c>
      <c r="I54" s="50">
        <v>3</v>
      </c>
      <c r="J54" s="50">
        <v>3</v>
      </c>
      <c r="K54" s="50">
        <v>0</v>
      </c>
      <c r="L54" s="50">
        <v>2</v>
      </c>
      <c r="M54" s="50">
        <v>335</v>
      </c>
      <c r="N54" s="50">
        <v>0</v>
      </c>
      <c r="O54" s="15">
        <f t="shared" si="0"/>
        <v>169</v>
      </c>
      <c r="P54" s="15">
        <f t="shared" si="1"/>
        <v>504</v>
      </c>
      <c r="R54" s="8"/>
      <c r="T54"/>
    </row>
    <row r="55" spans="2:20" ht="23.1" customHeight="1" x14ac:dyDescent="0.25">
      <c r="B55" s="23" t="s">
        <v>82</v>
      </c>
      <c r="C55" s="50">
        <v>73</v>
      </c>
      <c r="D55" s="50">
        <v>16</v>
      </c>
      <c r="E55" s="50">
        <v>18</v>
      </c>
      <c r="F55" s="50">
        <v>37</v>
      </c>
      <c r="G55" s="50">
        <v>1</v>
      </c>
      <c r="H55" s="50">
        <v>1</v>
      </c>
      <c r="I55" s="50">
        <v>3</v>
      </c>
      <c r="J55" s="50">
        <v>3</v>
      </c>
      <c r="K55" s="50">
        <v>0</v>
      </c>
      <c r="L55" s="50">
        <v>1</v>
      </c>
      <c r="M55" s="50">
        <v>275</v>
      </c>
      <c r="N55" s="50">
        <v>0</v>
      </c>
      <c r="O55" s="15">
        <f t="shared" si="0"/>
        <v>153</v>
      </c>
      <c r="P55" s="15">
        <f t="shared" si="1"/>
        <v>428</v>
      </c>
      <c r="R55" s="8"/>
      <c r="T55"/>
    </row>
    <row r="56" spans="2:20" ht="23.1" customHeight="1" x14ac:dyDescent="0.25">
      <c r="B56" s="23" t="s">
        <v>83</v>
      </c>
      <c r="C56" s="50">
        <v>65</v>
      </c>
      <c r="D56" s="50">
        <v>15</v>
      </c>
      <c r="E56" s="50">
        <v>17</v>
      </c>
      <c r="F56" s="50">
        <v>43</v>
      </c>
      <c r="G56" s="50">
        <v>2</v>
      </c>
      <c r="H56" s="50">
        <v>3</v>
      </c>
      <c r="I56" s="50">
        <v>6</v>
      </c>
      <c r="J56" s="50">
        <v>2</v>
      </c>
      <c r="K56" s="50">
        <v>0</v>
      </c>
      <c r="L56" s="50">
        <v>1</v>
      </c>
      <c r="M56" s="50">
        <v>350</v>
      </c>
      <c r="N56" s="50">
        <v>0</v>
      </c>
      <c r="O56" s="15">
        <f t="shared" si="0"/>
        <v>154</v>
      </c>
      <c r="P56" s="15">
        <f t="shared" si="1"/>
        <v>504</v>
      </c>
      <c r="R56" s="8"/>
      <c r="T56"/>
    </row>
    <row r="57" spans="2:20" ht="23.1" customHeight="1" x14ac:dyDescent="0.25">
      <c r="B57" s="23" t="s">
        <v>84</v>
      </c>
      <c r="C57" s="50">
        <v>61</v>
      </c>
      <c r="D57" s="50">
        <v>13</v>
      </c>
      <c r="E57" s="50">
        <v>6</v>
      </c>
      <c r="F57" s="50">
        <v>47</v>
      </c>
      <c r="G57" s="50">
        <v>1</v>
      </c>
      <c r="H57" s="50">
        <v>1</v>
      </c>
      <c r="I57" s="50">
        <v>5</v>
      </c>
      <c r="J57" s="50">
        <v>1</v>
      </c>
      <c r="K57" s="50">
        <v>0</v>
      </c>
      <c r="L57" s="50">
        <v>1</v>
      </c>
      <c r="M57" s="50">
        <v>320</v>
      </c>
      <c r="N57" s="50">
        <v>0</v>
      </c>
      <c r="O57" s="15">
        <f t="shared" si="0"/>
        <v>136</v>
      </c>
      <c r="P57" s="15">
        <f t="shared" si="1"/>
        <v>456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2161</v>
      </c>
      <c r="D58" s="16">
        <f t="shared" si="21"/>
        <v>537</v>
      </c>
      <c r="E58" s="16">
        <f t="shared" si="21"/>
        <v>446</v>
      </c>
      <c r="F58" s="16">
        <f t="shared" si="21"/>
        <v>2261</v>
      </c>
      <c r="G58" s="16">
        <f t="shared" si="21"/>
        <v>36</v>
      </c>
      <c r="H58" s="16">
        <f t="shared" si="21"/>
        <v>36</v>
      </c>
      <c r="I58" s="16">
        <f t="shared" si="21"/>
        <v>481</v>
      </c>
      <c r="J58" s="16">
        <f t="shared" si="21"/>
        <v>140</v>
      </c>
      <c r="K58" s="16">
        <f t="shared" si="21"/>
        <v>31</v>
      </c>
      <c r="L58" s="16">
        <f t="shared" si="21"/>
        <v>51</v>
      </c>
      <c r="M58" s="16">
        <f t="shared" si="21"/>
        <v>13616</v>
      </c>
      <c r="N58" s="16">
        <f t="shared" si="21"/>
        <v>0</v>
      </c>
      <c r="O58" s="16">
        <f t="shared" si="21"/>
        <v>6180</v>
      </c>
      <c r="P58" s="16">
        <f t="shared" si="21"/>
        <v>19796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0.10916346736714488</v>
      </c>
      <c r="D59" s="43">
        <f t="shared" si="22"/>
        <v>2.7126692261062842E-2</v>
      </c>
      <c r="E59" s="43">
        <f t="shared" si="22"/>
        <v>2.2529804000808243E-2</v>
      </c>
      <c r="F59" s="43">
        <f t="shared" si="22"/>
        <v>0.11421499292786422</v>
      </c>
      <c r="G59" s="43">
        <f t="shared" si="22"/>
        <v>1.8185492018589614E-3</v>
      </c>
      <c r="H59" s="43">
        <f t="shared" si="22"/>
        <v>1.8185492018589614E-3</v>
      </c>
      <c r="I59" s="43">
        <f t="shared" si="22"/>
        <v>2.4297837947060013E-2</v>
      </c>
      <c r="J59" s="43">
        <f t="shared" si="22"/>
        <v>7.0721357850070717E-3</v>
      </c>
      <c r="K59" s="43">
        <f t="shared" si="22"/>
        <v>1.5659729238229946E-3</v>
      </c>
      <c r="L59" s="43">
        <f t="shared" si="22"/>
        <v>2.5762780359668619E-3</v>
      </c>
      <c r="M59" s="43">
        <f t="shared" si="22"/>
        <v>0.68781572034754501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0.34967637540453073</v>
      </c>
      <c r="D60" s="44">
        <f t="shared" ref="D60:N60" si="23">D58/$O$58</f>
        <v>8.689320388349514E-2</v>
      </c>
      <c r="E60" s="44">
        <f t="shared" si="23"/>
        <v>7.2168284789644016E-2</v>
      </c>
      <c r="F60" s="44">
        <f t="shared" si="23"/>
        <v>0.36585760517799354</v>
      </c>
      <c r="G60" s="44">
        <f t="shared" si="23"/>
        <v>5.8252427184466021E-3</v>
      </c>
      <c r="H60" s="44">
        <f t="shared" si="23"/>
        <v>5.8252427184466021E-3</v>
      </c>
      <c r="I60" s="44">
        <f t="shared" si="23"/>
        <v>7.7831715210355992E-2</v>
      </c>
      <c r="J60" s="44">
        <f t="shared" si="23"/>
        <v>2.2653721682847898E-2</v>
      </c>
      <c r="K60" s="44">
        <f t="shared" si="23"/>
        <v>5.016181229773463E-3</v>
      </c>
      <c r="L60" s="44">
        <f t="shared" si="23"/>
        <v>8.2524271844660203E-3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GAYAZA-KALERWE'!C3:G3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KALERWE-GAYAZA'!D5</f>
        <v>24.07.19</v>
      </c>
      <c r="E5" s="3"/>
      <c r="F5" s="41" t="s">
        <v>1</v>
      </c>
      <c r="G5" s="65" t="str">
        <f>'22.07 KALERWE-GAYAZA'!G5:H5</f>
        <v>DELTA KYEBANDO</v>
      </c>
      <c r="H5" s="66"/>
      <c r="I5" s="14"/>
      <c r="J5" s="2" t="s">
        <v>5</v>
      </c>
      <c r="K5" s="65" t="s">
        <v>178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GAYAZA-KALERWE'!D6:E6</f>
        <v>GAYAZA</v>
      </c>
      <c r="E6" s="66"/>
      <c r="F6" s="2" t="s">
        <v>2</v>
      </c>
      <c r="G6" s="65" t="str">
        <f>'22.07 GAYAZA-KALERWE'!G6:H6</f>
        <v>KALERWE</v>
      </c>
      <c r="H6" s="66"/>
      <c r="J6" s="2" t="s">
        <v>21</v>
      </c>
      <c r="K6" s="65" t="s">
        <v>176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33</v>
      </c>
      <c r="D10" s="50">
        <v>5</v>
      </c>
      <c r="E10" s="50">
        <v>0</v>
      </c>
      <c r="F10" s="50">
        <v>28</v>
      </c>
      <c r="G10" s="50">
        <v>11</v>
      </c>
      <c r="H10" s="50">
        <v>0</v>
      </c>
      <c r="I10" s="50">
        <v>19</v>
      </c>
      <c r="J10" s="50">
        <v>12</v>
      </c>
      <c r="K10" s="50">
        <v>3</v>
      </c>
      <c r="L10" s="50">
        <v>2</v>
      </c>
      <c r="M10" s="50">
        <v>200</v>
      </c>
      <c r="N10" s="50">
        <v>0</v>
      </c>
      <c r="O10" s="15">
        <f t="shared" ref="O10:O57" si="0">SUM(C10:L10,N10)</f>
        <v>113</v>
      </c>
      <c r="P10" s="15">
        <f t="shared" ref="P10:P57" si="1">SUM(C10:N10)</f>
        <v>313</v>
      </c>
      <c r="R10" s="1" t="s">
        <v>6</v>
      </c>
      <c r="S10" s="17">
        <f t="shared" ref="S10:AF10" si="2">SUM(C10:C13)</f>
        <v>91</v>
      </c>
      <c r="T10" s="17">
        <f t="shared" si="2"/>
        <v>102</v>
      </c>
      <c r="U10" s="17">
        <f t="shared" si="2"/>
        <v>71</v>
      </c>
      <c r="V10" s="17">
        <f t="shared" si="2"/>
        <v>78</v>
      </c>
      <c r="W10" s="17">
        <f t="shared" si="2"/>
        <v>53</v>
      </c>
      <c r="X10" s="17">
        <f t="shared" si="2"/>
        <v>2</v>
      </c>
      <c r="Y10" s="17">
        <f t="shared" si="2"/>
        <v>39</v>
      </c>
      <c r="Z10" s="17">
        <f t="shared" si="2"/>
        <v>16</v>
      </c>
      <c r="AA10" s="17">
        <f t="shared" si="2"/>
        <v>8</v>
      </c>
      <c r="AB10" s="17">
        <f t="shared" si="2"/>
        <v>395</v>
      </c>
      <c r="AC10" s="17">
        <f t="shared" si="2"/>
        <v>855</v>
      </c>
      <c r="AD10" s="17">
        <f t="shared" si="2"/>
        <v>0</v>
      </c>
      <c r="AE10" s="31">
        <f t="shared" si="2"/>
        <v>855</v>
      </c>
      <c r="AF10" s="31">
        <f t="shared" si="2"/>
        <v>1710</v>
      </c>
    </row>
    <row r="11" spans="2:32" s="6" customFormat="1" ht="23.1" customHeight="1" x14ac:dyDescent="0.25">
      <c r="B11" s="23" t="s">
        <v>38</v>
      </c>
      <c r="C11" s="50">
        <v>53</v>
      </c>
      <c r="D11" s="50">
        <v>6</v>
      </c>
      <c r="E11" s="50">
        <v>4</v>
      </c>
      <c r="F11" s="50">
        <v>47</v>
      </c>
      <c r="G11" s="50">
        <v>3</v>
      </c>
      <c r="H11" s="50">
        <v>0</v>
      </c>
      <c r="I11" s="50">
        <v>6</v>
      </c>
      <c r="J11" s="50">
        <v>4</v>
      </c>
      <c r="K11" s="50">
        <v>2</v>
      </c>
      <c r="L11" s="50">
        <v>392</v>
      </c>
      <c r="M11" s="50">
        <v>0</v>
      </c>
      <c r="N11" s="50">
        <v>0</v>
      </c>
      <c r="O11" s="15">
        <f t="shared" si="0"/>
        <v>517</v>
      </c>
      <c r="P11" s="15">
        <f t="shared" si="1"/>
        <v>517</v>
      </c>
      <c r="R11" s="1" t="s">
        <v>7</v>
      </c>
      <c r="S11" s="17">
        <f t="shared" ref="S11:AF11" si="3">SUM(C14:C17)</f>
        <v>221</v>
      </c>
      <c r="T11" s="17">
        <f t="shared" si="3"/>
        <v>29</v>
      </c>
      <c r="U11" s="17">
        <f t="shared" si="3"/>
        <v>24</v>
      </c>
      <c r="V11" s="17">
        <f t="shared" si="3"/>
        <v>200</v>
      </c>
      <c r="W11" s="17">
        <f t="shared" si="3"/>
        <v>3</v>
      </c>
      <c r="X11" s="17">
        <f t="shared" si="3"/>
        <v>3</v>
      </c>
      <c r="Y11" s="17">
        <f t="shared" si="3"/>
        <v>41</v>
      </c>
      <c r="Z11" s="17">
        <f t="shared" si="3"/>
        <v>22</v>
      </c>
      <c r="AA11" s="17">
        <f t="shared" si="3"/>
        <v>10</v>
      </c>
      <c r="AB11" s="17">
        <f t="shared" si="3"/>
        <v>4</v>
      </c>
      <c r="AC11" s="17">
        <f t="shared" si="3"/>
        <v>1749</v>
      </c>
      <c r="AD11" s="17">
        <f t="shared" si="3"/>
        <v>0</v>
      </c>
      <c r="AE11" s="31">
        <f t="shared" si="3"/>
        <v>557</v>
      </c>
      <c r="AF11" s="31">
        <f t="shared" si="3"/>
        <v>2306</v>
      </c>
    </row>
    <row r="12" spans="2:32" ht="23.1" customHeight="1" x14ac:dyDescent="0.25">
      <c r="B12" s="23" t="s">
        <v>39</v>
      </c>
      <c r="C12" s="50">
        <v>0</v>
      </c>
      <c r="D12" s="50">
        <v>85</v>
      </c>
      <c r="E12" s="50">
        <v>8</v>
      </c>
      <c r="F12" s="50">
        <v>2</v>
      </c>
      <c r="G12" s="50">
        <v>39</v>
      </c>
      <c r="H12" s="50">
        <v>2</v>
      </c>
      <c r="I12" s="50">
        <v>4</v>
      </c>
      <c r="J12" s="50">
        <v>0</v>
      </c>
      <c r="K12" s="50">
        <v>3</v>
      </c>
      <c r="L12" s="50">
        <v>1</v>
      </c>
      <c r="M12" s="50">
        <v>170</v>
      </c>
      <c r="N12" s="50">
        <v>0</v>
      </c>
      <c r="O12" s="15">
        <f t="shared" si="0"/>
        <v>144</v>
      </c>
      <c r="P12" s="15">
        <f t="shared" si="1"/>
        <v>314</v>
      </c>
      <c r="R12" s="1" t="s">
        <v>8</v>
      </c>
      <c r="S12" s="17">
        <f t="shared" ref="S12:AF12" si="4">SUM(C18:C21)</f>
        <v>239</v>
      </c>
      <c r="T12" s="17">
        <f t="shared" si="4"/>
        <v>33</v>
      </c>
      <c r="U12" s="17">
        <f t="shared" si="4"/>
        <v>28</v>
      </c>
      <c r="V12" s="17">
        <f t="shared" si="4"/>
        <v>241</v>
      </c>
      <c r="W12" s="17">
        <f t="shared" si="4"/>
        <v>4</v>
      </c>
      <c r="X12" s="17">
        <f t="shared" si="4"/>
        <v>3</v>
      </c>
      <c r="Y12" s="17">
        <f t="shared" si="4"/>
        <v>39</v>
      </c>
      <c r="Z12" s="17">
        <f t="shared" si="4"/>
        <v>16</v>
      </c>
      <c r="AA12" s="17">
        <f t="shared" si="4"/>
        <v>15</v>
      </c>
      <c r="AB12" s="17">
        <f t="shared" si="4"/>
        <v>3</v>
      </c>
      <c r="AC12" s="17">
        <f t="shared" si="4"/>
        <v>1388</v>
      </c>
      <c r="AD12" s="17">
        <f t="shared" si="4"/>
        <v>0</v>
      </c>
      <c r="AE12" s="31">
        <f t="shared" si="4"/>
        <v>621</v>
      </c>
      <c r="AF12" s="31">
        <f t="shared" si="4"/>
        <v>2009</v>
      </c>
    </row>
    <row r="13" spans="2:32" ht="23.1" customHeight="1" x14ac:dyDescent="0.25">
      <c r="B13" s="23" t="s">
        <v>40</v>
      </c>
      <c r="C13" s="50">
        <v>5</v>
      </c>
      <c r="D13" s="50">
        <v>6</v>
      </c>
      <c r="E13" s="50">
        <v>59</v>
      </c>
      <c r="F13" s="50">
        <v>1</v>
      </c>
      <c r="G13" s="50">
        <v>0</v>
      </c>
      <c r="H13" s="50">
        <v>0</v>
      </c>
      <c r="I13" s="50">
        <v>10</v>
      </c>
      <c r="J13" s="50">
        <v>0</v>
      </c>
      <c r="K13" s="50">
        <v>0</v>
      </c>
      <c r="L13" s="50">
        <v>0</v>
      </c>
      <c r="M13" s="50">
        <v>485</v>
      </c>
      <c r="N13" s="50">
        <v>0</v>
      </c>
      <c r="O13" s="15">
        <f t="shared" si="0"/>
        <v>81</v>
      </c>
      <c r="P13" s="15">
        <f t="shared" si="1"/>
        <v>566</v>
      </c>
      <c r="R13" s="1" t="s">
        <v>9</v>
      </c>
      <c r="S13" s="17">
        <f t="shared" ref="S13:AF13" si="5">SUM(C22:C25)</f>
        <v>295</v>
      </c>
      <c r="T13" s="17">
        <f t="shared" si="5"/>
        <v>41</v>
      </c>
      <c r="U13" s="17">
        <f t="shared" si="5"/>
        <v>39</v>
      </c>
      <c r="V13" s="17">
        <f t="shared" si="5"/>
        <v>308</v>
      </c>
      <c r="W13" s="17">
        <f t="shared" si="5"/>
        <v>4</v>
      </c>
      <c r="X13" s="17">
        <f t="shared" si="5"/>
        <v>2</v>
      </c>
      <c r="Y13" s="17">
        <f t="shared" si="5"/>
        <v>18</v>
      </c>
      <c r="Z13" s="17">
        <f t="shared" si="5"/>
        <v>24</v>
      </c>
      <c r="AA13" s="17">
        <f t="shared" si="5"/>
        <v>18</v>
      </c>
      <c r="AB13" s="17">
        <f t="shared" si="5"/>
        <v>10</v>
      </c>
      <c r="AC13" s="17">
        <f t="shared" si="5"/>
        <v>998</v>
      </c>
      <c r="AD13" s="17">
        <f t="shared" si="5"/>
        <v>0</v>
      </c>
      <c r="AE13" s="31">
        <f t="shared" si="5"/>
        <v>759</v>
      </c>
      <c r="AF13" s="31">
        <f t="shared" si="5"/>
        <v>1757</v>
      </c>
    </row>
    <row r="14" spans="2:32" ht="23.1" customHeight="1" x14ac:dyDescent="0.25">
      <c r="B14" s="23" t="s">
        <v>41</v>
      </c>
      <c r="C14" s="50">
        <v>35</v>
      </c>
      <c r="D14" s="50">
        <v>5</v>
      </c>
      <c r="E14" s="50">
        <v>2</v>
      </c>
      <c r="F14" s="50">
        <v>55</v>
      </c>
      <c r="G14" s="50">
        <v>0</v>
      </c>
      <c r="H14" s="50">
        <v>1</v>
      </c>
      <c r="I14" s="50">
        <v>25</v>
      </c>
      <c r="J14" s="50">
        <v>12</v>
      </c>
      <c r="K14" s="50">
        <v>7</v>
      </c>
      <c r="L14" s="50">
        <v>1</v>
      </c>
      <c r="M14" s="50">
        <v>520</v>
      </c>
      <c r="N14" s="50">
        <v>0</v>
      </c>
      <c r="O14" s="15">
        <f t="shared" si="0"/>
        <v>143</v>
      </c>
      <c r="P14" s="15">
        <f t="shared" si="1"/>
        <v>663</v>
      </c>
      <c r="R14" s="1" t="s">
        <v>10</v>
      </c>
      <c r="S14" s="17">
        <f t="shared" ref="S14:AF14" si="6">SUM(C26:C29)</f>
        <v>279</v>
      </c>
      <c r="T14" s="17">
        <f t="shared" si="6"/>
        <v>41</v>
      </c>
      <c r="U14" s="17">
        <f t="shared" si="6"/>
        <v>27</v>
      </c>
      <c r="V14" s="17">
        <f t="shared" si="6"/>
        <v>218</v>
      </c>
      <c r="W14" s="17">
        <f t="shared" si="6"/>
        <v>0</v>
      </c>
      <c r="X14" s="17">
        <f t="shared" si="6"/>
        <v>4</v>
      </c>
      <c r="Y14" s="17">
        <f t="shared" si="6"/>
        <v>18</v>
      </c>
      <c r="Z14" s="17">
        <f t="shared" si="6"/>
        <v>24</v>
      </c>
      <c r="AA14" s="17">
        <f t="shared" si="6"/>
        <v>21</v>
      </c>
      <c r="AB14" s="17">
        <f t="shared" si="6"/>
        <v>4</v>
      </c>
      <c r="AC14" s="17">
        <f t="shared" si="6"/>
        <v>810</v>
      </c>
      <c r="AD14" s="17">
        <f t="shared" si="6"/>
        <v>0</v>
      </c>
      <c r="AE14" s="31">
        <f t="shared" si="6"/>
        <v>636</v>
      </c>
      <c r="AF14" s="31">
        <f t="shared" si="6"/>
        <v>1446</v>
      </c>
    </row>
    <row r="15" spans="2:32" ht="23.1" customHeight="1" x14ac:dyDescent="0.25">
      <c r="B15" s="23" t="s">
        <v>42</v>
      </c>
      <c r="C15" s="50">
        <v>70</v>
      </c>
      <c r="D15" s="50">
        <v>9</v>
      </c>
      <c r="E15" s="50">
        <v>8</v>
      </c>
      <c r="F15" s="50">
        <v>56</v>
      </c>
      <c r="G15" s="50">
        <v>2</v>
      </c>
      <c r="H15" s="50">
        <v>1</v>
      </c>
      <c r="I15" s="50">
        <v>5</v>
      </c>
      <c r="J15" s="50">
        <v>4</v>
      </c>
      <c r="K15" s="50">
        <v>2</v>
      </c>
      <c r="L15" s="50">
        <v>3</v>
      </c>
      <c r="M15" s="50">
        <v>392</v>
      </c>
      <c r="N15" s="50">
        <v>0</v>
      </c>
      <c r="O15" s="15">
        <f t="shared" si="0"/>
        <v>160</v>
      </c>
      <c r="P15" s="15">
        <f t="shared" si="1"/>
        <v>552</v>
      </c>
      <c r="R15" s="1" t="s">
        <v>11</v>
      </c>
      <c r="S15" s="17">
        <f t="shared" ref="S15:AF15" si="7">SUM(C30:C33)</f>
        <v>295</v>
      </c>
      <c r="T15" s="17">
        <f t="shared" si="7"/>
        <v>41</v>
      </c>
      <c r="U15" s="17">
        <f t="shared" si="7"/>
        <v>26</v>
      </c>
      <c r="V15" s="17">
        <f t="shared" si="7"/>
        <v>287</v>
      </c>
      <c r="W15" s="17">
        <f t="shared" si="7"/>
        <v>0</v>
      </c>
      <c r="X15" s="17">
        <f t="shared" si="7"/>
        <v>1</v>
      </c>
      <c r="Y15" s="17">
        <f t="shared" si="7"/>
        <v>31</v>
      </c>
      <c r="Z15" s="17">
        <f t="shared" si="7"/>
        <v>30</v>
      </c>
      <c r="AA15" s="17">
        <f t="shared" si="7"/>
        <v>13</v>
      </c>
      <c r="AB15" s="17">
        <f t="shared" si="7"/>
        <v>11</v>
      </c>
      <c r="AC15" s="17">
        <f t="shared" si="7"/>
        <v>912</v>
      </c>
      <c r="AD15" s="17">
        <f t="shared" si="7"/>
        <v>0</v>
      </c>
      <c r="AE15" s="31">
        <f t="shared" si="7"/>
        <v>735</v>
      </c>
      <c r="AF15" s="31">
        <f t="shared" si="7"/>
        <v>1647</v>
      </c>
    </row>
    <row r="16" spans="2:32" ht="23.1" customHeight="1" x14ac:dyDescent="0.25">
      <c r="B16" s="23" t="s">
        <v>43</v>
      </c>
      <c r="C16" s="50">
        <v>72</v>
      </c>
      <c r="D16" s="50">
        <v>7</v>
      </c>
      <c r="E16" s="50">
        <v>8</v>
      </c>
      <c r="F16" s="50">
        <v>41</v>
      </c>
      <c r="G16" s="50">
        <v>1</v>
      </c>
      <c r="H16" s="50">
        <v>1</v>
      </c>
      <c r="I16" s="50">
        <v>1</v>
      </c>
      <c r="J16" s="50">
        <v>3</v>
      </c>
      <c r="K16" s="50">
        <v>0</v>
      </c>
      <c r="L16" s="50">
        <v>0</v>
      </c>
      <c r="M16" s="50">
        <v>442</v>
      </c>
      <c r="N16" s="50">
        <v>0</v>
      </c>
      <c r="O16" s="15">
        <f t="shared" si="0"/>
        <v>134</v>
      </c>
      <c r="P16" s="15">
        <f t="shared" si="1"/>
        <v>576</v>
      </c>
      <c r="R16" s="1" t="s">
        <v>12</v>
      </c>
      <c r="S16" s="17">
        <f t="shared" ref="S16:AF16" si="8">SUM(C34:C37)</f>
        <v>185</v>
      </c>
      <c r="T16" s="17">
        <f t="shared" si="8"/>
        <v>30</v>
      </c>
      <c r="U16" s="17">
        <f t="shared" si="8"/>
        <v>31</v>
      </c>
      <c r="V16" s="17">
        <f t="shared" si="8"/>
        <v>209</v>
      </c>
      <c r="W16" s="17">
        <f t="shared" si="8"/>
        <v>4</v>
      </c>
      <c r="X16" s="17">
        <f t="shared" si="8"/>
        <v>1</v>
      </c>
      <c r="Y16" s="17">
        <f t="shared" si="8"/>
        <v>38</v>
      </c>
      <c r="Z16" s="17">
        <f t="shared" si="8"/>
        <v>20</v>
      </c>
      <c r="AA16" s="17">
        <f t="shared" si="8"/>
        <v>14</v>
      </c>
      <c r="AB16" s="17">
        <f t="shared" si="8"/>
        <v>5</v>
      </c>
      <c r="AC16" s="17">
        <f t="shared" si="8"/>
        <v>727</v>
      </c>
      <c r="AD16" s="17">
        <f t="shared" si="8"/>
        <v>0</v>
      </c>
      <c r="AE16" s="31">
        <f t="shared" si="8"/>
        <v>537</v>
      </c>
      <c r="AF16" s="31">
        <f t="shared" si="8"/>
        <v>1264</v>
      </c>
    </row>
    <row r="17" spans="2:32" ht="23.1" customHeight="1" x14ac:dyDescent="0.25">
      <c r="B17" s="23" t="s">
        <v>44</v>
      </c>
      <c r="C17" s="50">
        <v>44</v>
      </c>
      <c r="D17" s="50">
        <v>8</v>
      </c>
      <c r="E17" s="50">
        <v>6</v>
      </c>
      <c r="F17" s="50">
        <v>48</v>
      </c>
      <c r="G17" s="50">
        <v>0</v>
      </c>
      <c r="H17" s="50">
        <v>0</v>
      </c>
      <c r="I17" s="50">
        <v>10</v>
      </c>
      <c r="J17" s="50">
        <v>3</v>
      </c>
      <c r="K17" s="50">
        <v>1</v>
      </c>
      <c r="L17" s="50">
        <v>0</v>
      </c>
      <c r="M17" s="50">
        <v>395</v>
      </c>
      <c r="N17" s="50">
        <v>0</v>
      </c>
      <c r="O17" s="15">
        <f t="shared" si="0"/>
        <v>120</v>
      </c>
      <c r="P17" s="15">
        <f t="shared" si="1"/>
        <v>515</v>
      </c>
      <c r="R17" s="1" t="s">
        <v>13</v>
      </c>
      <c r="S17" s="17">
        <f t="shared" ref="S17:AF17" si="9">SUM(C38:C41)</f>
        <v>216</v>
      </c>
      <c r="T17" s="17">
        <f t="shared" si="9"/>
        <v>28</v>
      </c>
      <c r="U17" s="17">
        <f t="shared" si="9"/>
        <v>27</v>
      </c>
      <c r="V17" s="17">
        <f t="shared" si="9"/>
        <v>175</v>
      </c>
      <c r="W17" s="17">
        <f t="shared" si="9"/>
        <v>3</v>
      </c>
      <c r="X17" s="17">
        <f t="shared" si="9"/>
        <v>4</v>
      </c>
      <c r="Y17" s="17">
        <f t="shared" si="9"/>
        <v>59</v>
      </c>
      <c r="Z17" s="17">
        <f t="shared" si="9"/>
        <v>33</v>
      </c>
      <c r="AA17" s="17">
        <f t="shared" si="9"/>
        <v>6</v>
      </c>
      <c r="AB17" s="17">
        <f t="shared" si="9"/>
        <v>9</v>
      </c>
      <c r="AC17" s="17">
        <f t="shared" si="9"/>
        <v>750</v>
      </c>
      <c r="AD17" s="17">
        <f t="shared" si="9"/>
        <v>0</v>
      </c>
      <c r="AE17" s="31">
        <f t="shared" si="9"/>
        <v>560</v>
      </c>
      <c r="AF17" s="31">
        <f t="shared" si="9"/>
        <v>1310</v>
      </c>
    </row>
    <row r="18" spans="2:32" ht="23.1" customHeight="1" x14ac:dyDescent="0.25">
      <c r="B18" s="23" t="s">
        <v>45</v>
      </c>
      <c r="C18" s="50">
        <v>69</v>
      </c>
      <c r="D18" s="50">
        <v>5</v>
      </c>
      <c r="E18" s="50">
        <v>7</v>
      </c>
      <c r="F18" s="50">
        <v>67</v>
      </c>
      <c r="G18" s="50">
        <v>0</v>
      </c>
      <c r="H18" s="50">
        <v>1</v>
      </c>
      <c r="I18" s="50">
        <v>12</v>
      </c>
      <c r="J18" s="50">
        <v>2</v>
      </c>
      <c r="K18" s="50">
        <v>1</v>
      </c>
      <c r="L18" s="50">
        <v>0</v>
      </c>
      <c r="M18" s="50">
        <v>523</v>
      </c>
      <c r="N18" s="50">
        <v>0</v>
      </c>
      <c r="O18" s="15">
        <f t="shared" si="0"/>
        <v>164</v>
      </c>
      <c r="P18" s="15">
        <f t="shared" si="1"/>
        <v>687</v>
      </c>
      <c r="R18" s="1" t="s">
        <v>14</v>
      </c>
      <c r="S18" s="17">
        <f t="shared" ref="S18:AF18" si="10">SUM(C42:C45)</f>
        <v>289</v>
      </c>
      <c r="T18" s="17">
        <f t="shared" si="10"/>
        <v>29</v>
      </c>
      <c r="U18" s="17">
        <f t="shared" si="10"/>
        <v>38</v>
      </c>
      <c r="V18" s="17">
        <f t="shared" si="10"/>
        <v>199</v>
      </c>
      <c r="W18" s="17">
        <f t="shared" si="10"/>
        <v>2</v>
      </c>
      <c r="X18" s="17">
        <f t="shared" si="10"/>
        <v>2</v>
      </c>
      <c r="Y18" s="17">
        <f t="shared" si="10"/>
        <v>42</v>
      </c>
      <c r="Z18" s="17">
        <f t="shared" si="10"/>
        <v>23</v>
      </c>
      <c r="AA18" s="17">
        <f t="shared" si="10"/>
        <v>12</v>
      </c>
      <c r="AB18" s="17">
        <f t="shared" si="10"/>
        <v>2</v>
      </c>
      <c r="AC18" s="17">
        <f t="shared" si="10"/>
        <v>1190</v>
      </c>
      <c r="AD18" s="17">
        <f t="shared" si="10"/>
        <v>0</v>
      </c>
      <c r="AE18" s="31">
        <f t="shared" si="10"/>
        <v>638</v>
      </c>
      <c r="AF18" s="31">
        <f t="shared" si="10"/>
        <v>1828</v>
      </c>
    </row>
    <row r="19" spans="2:32" ht="23.1" customHeight="1" x14ac:dyDescent="0.25">
      <c r="B19" s="23" t="s">
        <v>46</v>
      </c>
      <c r="C19" s="50">
        <v>50</v>
      </c>
      <c r="D19" s="50">
        <v>15</v>
      </c>
      <c r="E19" s="50">
        <v>8</v>
      </c>
      <c r="F19" s="50">
        <v>56</v>
      </c>
      <c r="G19" s="50">
        <v>1</v>
      </c>
      <c r="H19" s="50">
        <v>0</v>
      </c>
      <c r="I19" s="50">
        <v>7</v>
      </c>
      <c r="J19" s="50">
        <v>4</v>
      </c>
      <c r="K19" s="50">
        <v>4</v>
      </c>
      <c r="L19" s="50">
        <v>2</v>
      </c>
      <c r="M19" s="50">
        <v>335</v>
      </c>
      <c r="N19" s="50">
        <v>0</v>
      </c>
      <c r="O19" s="15">
        <f t="shared" si="0"/>
        <v>147</v>
      </c>
      <c r="P19" s="15">
        <f t="shared" si="1"/>
        <v>482</v>
      </c>
      <c r="R19" s="1" t="s">
        <v>15</v>
      </c>
      <c r="S19" s="17">
        <f t="shared" ref="S19:AF19" si="11">SUM(C46:C49)</f>
        <v>204</v>
      </c>
      <c r="T19" s="17">
        <f t="shared" si="11"/>
        <v>44</v>
      </c>
      <c r="U19" s="17">
        <f t="shared" si="11"/>
        <v>46</v>
      </c>
      <c r="V19" s="17">
        <f t="shared" si="11"/>
        <v>220</v>
      </c>
      <c r="W19" s="17">
        <f t="shared" si="11"/>
        <v>2</v>
      </c>
      <c r="X19" s="17">
        <f t="shared" si="11"/>
        <v>3</v>
      </c>
      <c r="Y19" s="17">
        <f t="shared" si="11"/>
        <v>29</v>
      </c>
      <c r="Z19" s="17">
        <f t="shared" si="11"/>
        <v>24</v>
      </c>
      <c r="AA19" s="17">
        <f t="shared" si="11"/>
        <v>8</v>
      </c>
      <c r="AB19" s="17">
        <f t="shared" si="11"/>
        <v>0</v>
      </c>
      <c r="AC19" s="17">
        <f t="shared" si="11"/>
        <v>1180</v>
      </c>
      <c r="AD19" s="17">
        <f t="shared" si="11"/>
        <v>0</v>
      </c>
      <c r="AE19" s="31">
        <f t="shared" si="11"/>
        <v>580</v>
      </c>
      <c r="AF19" s="31">
        <f t="shared" si="11"/>
        <v>1760</v>
      </c>
    </row>
    <row r="20" spans="2:32" ht="23.1" customHeight="1" x14ac:dyDescent="0.25">
      <c r="B20" s="23" t="s">
        <v>47</v>
      </c>
      <c r="C20" s="50">
        <v>67</v>
      </c>
      <c r="D20" s="50">
        <v>10</v>
      </c>
      <c r="E20" s="50">
        <v>1</v>
      </c>
      <c r="F20" s="50">
        <v>69</v>
      </c>
      <c r="G20" s="50">
        <v>1</v>
      </c>
      <c r="H20" s="50">
        <v>0</v>
      </c>
      <c r="I20" s="50">
        <v>12</v>
      </c>
      <c r="J20" s="50">
        <v>3</v>
      </c>
      <c r="K20" s="50">
        <v>6</v>
      </c>
      <c r="L20" s="50">
        <v>1</v>
      </c>
      <c r="M20" s="50">
        <v>262</v>
      </c>
      <c r="N20" s="50">
        <v>0</v>
      </c>
      <c r="O20" s="15">
        <f t="shared" si="0"/>
        <v>170</v>
      </c>
      <c r="P20" s="15">
        <f t="shared" si="1"/>
        <v>432</v>
      </c>
      <c r="R20" s="1" t="s">
        <v>16</v>
      </c>
      <c r="S20" s="17">
        <f t="shared" ref="S20:AF20" si="12">SUM(C50:C53)</f>
        <v>246</v>
      </c>
      <c r="T20" s="17">
        <f t="shared" si="12"/>
        <v>38</v>
      </c>
      <c r="U20" s="17">
        <f t="shared" si="12"/>
        <v>32</v>
      </c>
      <c r="V20" s="17">
        <f t="shared" si="12"/>
        <v>194</v>
      </c>
      <c r="W20" s="17">
        <f t="shared" si="12"/>
        <v>2</v>
      </c>
      <c r="X20" s="17">
        <f t="shared" si="12"/>
        <v>2</v>
      </c>
      <c r="Y20" s="17">
        <f t="shared" si="12"/>
        <v>46</v>
      </c>
      <c r="Z20" s="17">
        <f t="shared" si="12"/>
        <v>26</v>
      </c>
      <c r="AA20" s="17">
        <f t="shared" si="12"/>
        <v>4</v>
      </c>
      <c r="AB20" s="17">
        <f t="shared" si="12"/>
        <v>1</v>
      </c>
      <c r="AC20" s="17">
        <f t="shared" si="12"/>
        <v>1073</v>
      </c>
      <c r="AD20" s="17">
        <f t="shared" si="12"/>
        <v>0</v>
      </c>
      <c r="AE20" s="31">
        <f t="shared" si="12"/>
        <v>591</v>
      </c>
      <c r="AF20" s="31">
        <f t="shared" si="12"/>
        <v>1664</v>
      </c>
    </row>
    <row r="21" spans="2:32" ht="23.1" customHeight="1" x14ac:dyDescent="0.25">
      <c r="B21" s="23" t="s">
        <v>48</v>
      </c>
      <c r="C21" s="50">
        <v>53</v>
      </c>
      <c r="D21" s="50">
        <v>3</v>
      </c>
      <c r="E21" s="50">
        <v>12</v>
      </c>
      <c r="F21" s="50">
        <v>49</v>
      </c>
      <c r="G21" s="50">
        <v>2</v>
      </c>
      <c r="H21" s="50">
        <v>2</v>
      </c>
      <c r="I21" s="50">
        <v>8</v>
      </c>
      <c r="J21" s="50">
        <v>7</v>
      </c>
      <c r="K21" s="50">
        <v>4</v>
      </c>
      <c r="L21" s="50">
        <v>0</v>
      </c>
      <c r="M21" s="50">
        <v>268</v>
      </c>
      <c r="N21" s="50">
        <v>0</v>
      </c>
      <c r="O21" s="15">
        <f t="shared" si="0"/>
        <v>140</v>
      </c>
      <c r="P21" s="15">
        <f t="shared" si="1"/>
        <v>408</v>
      </c>
      <c r="R21" s="36" t="s">
        <v>20</v>
      </c>
      <c r="S21" s="34">
        <f t="shared" ref="S21:AF21" si="13">SUM(C54:C57)</f>
        <v>190</v>
      </c>
      <c r="T21" s="17">
        <f t="shared" si="13"/>
        <v>28</v>
      </c>
      <c r="U21" s="17">
        <f t="shared" si="13"/>
        <v>25</v>
      </c>
      <c r="V21" s="17">
        <f t="shared" si="13"/>
        <v>214</v>
      </c>
      <c r="W21" s="17">
        <f t="shared" si="13"/>
        <v>9</v>
      </c>
      <c r="X21" s="17">
        <f t="shared" si="13"/>
        <v>6</v>
      </c>
      <c r="Y21" s="17">
        <f t="shared" si="13"/>
        <v>31</v>
      </c>
      <c r="Z21" s="17">
        <f t="shared" si="13"/>
        <v>21</v>
      </c>
      <c r="AA21" s="17">
        <f t="shared" si="13"/>
        <v>7</v>
      </c>
      <c r="AB21" s="17">
        <f t="shared" si="13"/>
        <v>1</v>
      </c>
      <c r="AC21" s="17">
        <f t="shared" si="13"/>
        <v>1010</v>
      </c>
      <c r="AD21" s="17">
        <f t="shared" si="13"/>
        <v>0</v>
      </c>
      <c r="AE21" s="31">
        <f t="shared" si="13"/>
        <v>532</v>
      </c>
      <c r="AF21" s="31">
        <f t="shared" si="13"/>
        <v>1542</v>
      </c>
    </row>
    <row r="22" spans="2:32" ht="23.1" customHeight="1" x14ac:dyDescent="0.25">
      <c r="B22" s="23" t="s">
        <v>49</v>
      </c>
      <c r="C22" s="50">
        <v>50</v>
      </c>
      <c r="D22" s="50">
        <v>9</v>
      </c>
      <c r="E22" s="50">
        <v>10</v>
      </c>
      <c r="F22" s="50">
        <v>66</v>
      </c>
      <c r="G22" s="50">
        <v>3</v>
      </c>
      <c r="H22" s="50">
        <v>2</v>
      </c>
      <c r="I22" s="50">
        <v>6</v>
      </c>
      <c r="J22" s="50">
        <v>9</v>
      </c>
      <c r="K22" s="50">
        <v>1</v>
      </c>
      <c r="L22" s="50">
        <v>1</v>
      </c>
      <c r="M22" s="50">
        <v>236</v>
      </c>
      <c r="N22" s="50">
        <v>0</v>
      </c>
      <c r="O22" s="15">
        <f t="shared" si="0"/>
        <v>157</v>
      </c>
      <c r="P22" s="15">
        <f t="shared" si="1"/>
        <v>393</v>
      </c>
      <c r="R22" s="38" t="s">
        <v>90</v>
      </c>
      <c r="S22" s="39">
        <f>MAX(S10:S12)</f>
        <v>239</v>
      </c>
      <c r="T22" s="39">
        <f t="shared" ref="T22:AF22" si="14">MAX(T10:T12)</f>
        <v>102</v>
      </c>
      <c r="U22" s="39">
        <f t="shared" si="14"/>
        <v>71</v>
      </c>
      <c r="V22" s="39">
        <f t="shared" si="14"/>
        <v>241</v>
      </c>
      <c r="W22" s="39">
        <f t="shared" si="14"/>
        <v>53</v>
      </c>
      <c r="X22" s="39">
        <f t="shared" si="14"/>
        <v>3</v>
      </c>
      <c r="Y22" s="39">
        <f t="shared" si="14"/>
        <v>41</v>
      </c>
      <c r="Z22" s="39">
        <f t="shared" si="14"/>
        <v>22</v>
      </c>
      <c r="AA22" s="39">
        <f t="shared" si="14"/>
        <v>15</v>
      </c>
      <c r="AB22" s="39">
        <f t="shared" si="14"/>
        <v>395</v>
      </c>
      <c r="AC22" s="39">
        <f t="shared" si="14"/>
        <v>1749</v>
      </c>
      <c r="AD22" s="39">
        <f t="shared" si="14"/>
        <v>0</v>
      </c>
      <c r="AE22" s="40">
        <f t="shared" si="14"/>
        <v>855</v>
      </c>
      <c r="AF22" s="40">
        <f t="shared" si="14"/>
        <v>2306</v>
      </c>
    </row>
    <row r="23" spans="2:32" ht="23.1" customHeight="1" x14ac:dyDescent="0.25">
      <c r="B23" s="23" t="s">
        <v>50</v>
      </c>
      <c r="C23" s="50">
        <v>59</v>
      </c>
      <c r="D23" s="50">
        <v>8</v>
      </c>
      <c r="E23" s="50">
        <v>12</v>
      </c>
      <c r="F23" s="50">
        <v>63</v>
      </c>
      <c r="G23" s="50">
        <v>0</v>
      </c>
      <c r="H23" s="50">
        <v>0</v>
      </c>
      <c r="I23" s="50">
        <v>5</v>
      </c>
      <c r="J23" s="50">
        <v>8</v>
      </c>
      <c r="K23" s="50">
        <v>7</v>
      </c>
      <c r="L23" s="50">
        <v>2</v>
      </c>
      <c r="M23" s="50">
        <v>350</v>
      </c>
      <c r="N23" s="50">
        <v>0</v>
      </c>
      <c r="O23" s="15">
        <f t="shared" si="0"/>
        <v>164</v>
      </c>
      <c r="P23" s="15">
        <f t="shared" si="1"/>
        <v>514</v>
      </c>
      <c r="R23" s="38" t="s">
        <v>91</v>
      </c>
      <c r="S23" s="39">
        <f>MAX(S13:S18)</f>
        <v>295</v>
      </c>
      <c r="T23" s="39">
        <f t="shared" ref="T23:AF23" si="15">MAX(T13:T18)</f>
        <v>41</v>
      </c>
      <c r="U23" s="39">
        <f t="shared" si="15"/>
        <v>39</v>
      </c>
      <c r="V23" s="39">
        <f t="shared" si="15"/>
        <v>308</v>
      </c>
      <c r="W23" s="39">
        <f t="shared" si="15"/>
        <v>4</v>
      </c>
      <c r="X23" s="39">
        <f t="shared" si="15"/>
        <v>4</v>
      </c>
      <c r="Y23" s="39">
        <f t="shared" si="15"/>
        <v>59</v>
      </c>
      <c r="Z23" s="39">
        <f t="shared" si="15"/>
        <v>33</v>
      </c>
      <c r="AA23" s="39">
        <f t="shared" si="15"/>
        <v>21</v>
      </c>
      <c r="AB23" s="39">
        <f t="shared" si="15"/>
        <v>11</v>
      </c>
      <c r="AC23" s="39">
        <f t="shared" si="15"/>
        <v>1190</v>
      </c>
      <c r="AD23" s="39">
        <f t="shared" si="15"/>
        <v>0</v>
      </c>
      <c r="AE23" s="40">
        <f t="shared" si="15"/>
        <v>759</v>
      </c>
      <c r="AF23" s="40">
        <f t="shared" si="15"/>
        <v>1828</v>
      </c>
    </row>
    <row r="24" spans="2:32" ht="23.1" customHeight="1" x14ac:dyDescent="0.25">
      <c r="B24" s="23" t="s">
        <v>51</v>
      </c>
      <c r="C24" s="50">
        <v>85</v>
      </c>
      <c r="D24" s="50">
        <v>12</v>
      </c>
      <c r="E24" s="50">
        <v>9</v>
      </c>
      <c r="F24" s="50">
        <v>84</v>
      </c>
      <c r="G24" s="50">
        <v>1</v>
      </c>
      <c r="H24" s="50">
        <v>0</v>
      </c>
      <c r="I24" s="50">
        <v>3</v>
      </c>
      <c r="J24" s="50">
        <v>2</v>
      </c>
      <c r="K24" s="50">
        <v>3</v>
      </c>
      <c r="L24" s="50">
        <v>2</v>
      </c>
      <c r="M24" s="50">
        <v>215</v>
      </c>
      <c r="N24" s="50">
        <v>0</v>
      </c>
      <c r="O24" s="15">
        <f t="shared" si="0"/>
        <v>201</v>
      </c>
      <c r="P24" s="15">
        <f t="shared" si="1"/>
        <v>416</v>
      </c>
      <c r="R24" s="38" t="s">
        <v>92</v>
      </c>
      <c r="S24" s="39">
        <f>MAX(S19:S21)</f>
        <v>246</v>
      </c>
      <c r="T24" s="39">
        <f t="shared" ref="T24:AF24" si="16">MAX(T19:T21)</f>
        <v>44</v>
      </c>
      <c r="U24" s="39">
        <f t="shared" si="16"/>
        <v>46</v>
      </c>
      <c r="V24" s="39">
        <f t="shared" si="16"/>
        <v>220</v>
      </c>
      <c r="W24" s="39">
        <f t="shared" si="16"/>
        <v>9</v>
      </c>
      <c r="X24" s="39">
        <f t="shared" si="16"/>
        <v>6</v>
      </c>
      <c r="Y24" s="39">
        <f t="shared" si="16"/>
        <v>46</v>
      </c>
      <c r="Z24" s="39">
        <f t="shared" si="16"/>
        <v>26</v>
      </c>
      <c r="AA24" s="39">
        <f t="shared" si="16"/>
        <v>8</v>
      </c>
      <c r="AB24" s="39">
        <f t="shared" si="16"/>
        <v>1</v>
      </c>
      <c r="AC24" s="39">
        <f t="shared" si="16"/>
        <v>1180</v>
      </c>
      <c r="AD24" s="39">
        <f t="shared" si="16"/>
        <v>0</v>
      </c>
      <c r="AE24" s="40">
        <f t="shared" si="16"/>
        <v>591</v>
      </c>
      <c r="AF24" s="40">
        <f t="shared" si="16"/>
        <v>1760</v>
      </c>
    </row>
    <row r="25" spans="2:32" ht="23.1" customHeight="1" x14ac:dyDescent="0.25">
      <c r="B25" s="23" t="s">
        <v>52</v>
      </c>
      <c r="C25" s="50">
        <v>101</v>
      </c>
      <c r="D25" s="50">
        <v>12</v>
      </c>
      <c r="E25" s="50">
        <v>8</v>
      </c>
      <c r="F25" s="50">
        <v>95</v>
      </c>
      <c r="G25" s="50">
        <v>0</v>
      </c>
      <c r="H25" s="50">
        <v>0</v>
      </c>
      <c r="I25" s="50">
        <v>4</v>
      </c>
      <c r="J25" s="50">
        <v>5</v>
      </c>
      <c r="K25" s="50">
        <v>7</v>
      </c>
      <c r="L25" s="50">
        <v>5</v>
      </c>
      <c r="M25" s="50">
        <v>197</v>
      </c>
      <c r="N25" s="50">
        <v>0</v>
      </c>
      <c r="O25" s="15">
        <f t="shared" si="0"/>
        <v>237</v>
      </c>
      <c r="P25" s="15">
        <f t="shared" si="1"/>
        <v>434</v>
      </c>
      <c r="R25" s="37" t="s">
        <v>85</v>
      </c>
      <c r="S25" s="35">
        <f t="shared" ref="S25:AF25" si="17">SUM(S10:S12)</f>
        <v>551</v>
      </c>
      <c r="T25" s="16">
        <f t="shared" si="17"/>
        <v>164</v>
      </c>
      <c r="U25" s="16">
        <f t="shared" si="17"/>
        <v>123</v>
      </c>
      <c r="V25" s="16">
        <f t="shared" si="17"/>
        <v>519</v>
      </c>
      <c r="W25" s="16">
        <f t="shared" si="17"/>
        <v>60</v>
      </c>
      <c r="X25" s="16">
        <f t="shared" si="17"/>
        <v>8</v>
      </c>
      <c r="Y25" s="16">
        <f t="shared" si="17"/>
        <v>119</v>
      </c>
      <c r="Z25" s="16">
        <f t="shared" si="17"/>
        <v>54</v>
      </c>
      <c r="AA25" s="16">
        <f t="shared" si="17"/>
        <v>33</v>
      </c>
      <c r="AB25" s="16">
        <f t="shared" si="17"/>
        <v>402</v>
      </c>
      <c r="AC25" s="16">
        <f t="shared" si="17"/>
        <v>3992</v>
      </c>
      <c r="AD25" s="16">
        <f t="shared" si="17"/>
        <v>0</v>
      </c>
      <c r="AE25" s="32">
        <f t="shared" si="17"/>
        <v>2033</v>
      </c>
      <c r="AF25" s="32">
        <f t="shared" si="17"/>
        <v>6025</v>
      </c>
    </row>
    <row r="26" spans="2:32" ht="23.1" customHeight="1" x14ac:dyDescent="0.25">
      <c r="B26" s="23" t="s">
        <v>53</v>
      </c>
      <c r="C26" s="50">
        <v>56</v>
      </c>
      <c r="D26" s="50">
        <v>8</v>
      </c>
      <c r="E26" s="50">
        <v>5</v>
      </c>
      <c r="F26" s="50">
        <v>75</v>
      </c>
      <c r="G26" s="50">
        <v>0</v>
      </c>
      <c r="H26" s="50">
        <v>1</v>
      </c>
      <c r="I26" s="50">
        <v>2</v>
      </c>
      <c r="J26" s="50">
        <v>3</v>
      </c>
      <c r="K26" s="50">
        <v>4</v>
      </c>
      <c r="L26" s="50">
        <v>0</v>
      </c>
      <c r="M26" s="50">
        <v>258</v>
      </c>
      <c r="N26" s="50">
        <v>0</v>
      </c>
      <c r="O26" s="15">
        <f t="shared" si="0"/>
        <v>154</v>
      </c>
      <c r="P26" s="15">
        <f t="shared" si="1"/>
        <v>412</v>
      </c>
      <c r="R26" s="28" t="s">
        <v>86</v>
      </c>
      <c r="S26" s="16">
        <f t="shared" ref="S26:AF26" si="18">SUM(S13:S18)</f>
        <v>1559</v>
      </c>
      <c r="T26" s="16">
        <f t="shared" si="18"/>
        <v>210</v>
      </c>
      <c r="U26" s="16">
        <f t="shared" si="18"/>
        <v>188</v>
      </c>
      <c r="V26" s="16">
        <f t="shared" si="18"/>
        <v>1396</v>
      </c>
      <c r="W26" s="16">
        <f t="shared" si="18"/>
        <v>13</v>
      </c>
      <c r="X26" s="16">
        <f t="shared" si="18"/>
        <v>14</v>
      </c>
      <c r="Y26" s="16">
        <f t="shared" si="18"/>
        <v>206</v>
      </c>
      <c r="Z26" s="16">
        <f t="shared" si="18"/>
        <v>154</v>
      </c>
      <c r="AA26" s="16">
        <f t="shared" si="18"/>
        <v>84</v>
      </c>
      <c r="AB26" s="16">
        <f t="shared" si="18"/>
        <v>41</v>
      </c>
      <c r="AC26" s="16">
        <f t="shared" si="18"/>
        <v>5387</v>
      </c>
      <c r="AD26" s="16">
        <f t="shared" si="18"/>
        <v>0</v>
      </c>
      <c r="AE26" s="32">
        <f t="shared" si="18"/>
        <v>3865</v>
      </c>
      <c r="AF26" s="32">
        <f t="shared" si="18"/>
        <v>9252</v>
      </c>
    </row>
    <row r="27" spans="2:32" ht="23.1" customHeight="1" x14ac:dyDescent="0.25">
      <c r="B27" s="23" t="s">
        <v>54</v>
      </c>
      <c r="C27" s="50">
        <v>63</v>
      </c>
      <c r="D27" s="50">
        <v>17</v>
      </c>
      <c r="E27" s="50">
        <v>7</v>
      </c>
      <c r="F27" s="50">
        <v>44</v>
      </c>
      <c r="G27" s="50">
        <v>0</v>
      </c>
      <c r="H27" s="50">
        <v>1</v>
      </c>
      <c r="I27" s="50">
        <v>7</v>
      </c>
      <c r="J27" s="50">
        <v>6</v>
      </c>
      <c r="K27" s="50">
        <v>6</v>
      </c>
      <c r="L27" s="50">
        <v>2</v>
      </c>
      <c r="M27" s="50">
        <v>120</v>
      </c>
      <c r="N27" s="50">
        <v>0</v>
      </c>
      <c r="O27" s="15">
        <f t="shared" si="0"/>
        <v>153</v>
      </c>
      <c r="P27" s="15">
        <f t="shared" si="1"/>
        <v>273</v>
      </c>
      <c r="R27" s="29" t="s">
        <v>87</v>
      </c>
      <c r="S27" s="16">
        <f t="shared" ref="S27:AF27" si="19">SUM(S19:S21)</f>
        <v>640</v>
      </c>
      <c r="T27" s="16">
        <f t="shared" si="19"/>
        <v>110</v>
      </c>
      <c r="U27" s="16">
        <f t="shared" si="19"/>
        <v>103</v>
      </c>
      <c r="V27" s="16">
        <f t="shared" si="19"/>
        <v>628</v>
      </c>
      <c r="W27" s="16">
        <f t="shared" si="19"/>
        <v>13</v>
      </c>
      <c r="X27" s="16">
        <f t="shared" si="19"/>
        <v>11</v>
      </c>
      <c r="Y27" s="16">
        <f t="shared" si="19"/>
        <v>106</v>
      </c>
      <c r="Z27" s="16">
        <f t="shared" si="19"/>
        <v>71</v>
      </c>
      <c r="AA27" s="16">
        <f t="shared" si="19"/>
        <v>19</v>
      </c>
      <c r="AB27" s="16">
        <f t="shared" si="19"/>
        <v>2</v>
      </c>
      <c r="AC27" s="16">
        <f t="shared" si="19"/>
        <v>3263</v>
      </c>
      <c r="AD27" s="16">
        <f t="shared" si="19"/>
        <v>0</v>
      </c>
      <c r="AE27" s="32">
        <f t="shared" si="19"/>
        <v>1703</v>
      </c>
      <c r="AF27" s="32">
        <f t="shared" si="19"/>
        <v>4966</v>
      </c>
    </row>
    <row r="28" spans="2:32" ht="23.1" customHeight="1" x14ac:dyDescent="0.25">
      <c r="B28" s="23" t="s">
        <v>55</v>
      </c>
      <c r="C28" s="50">
        <v>85</v>
      </c>
      <c r="D28" s="50">
        <v>8</v>
      </c>
      <c r="E28" s="50">
        <v>10</v>
      </c>
      <c r="F28" s="50">
        <v>48</v>
      </c>
      <c r="G28" s="50">
        <v>0</v>
      </c>
      <c r="H28" s="50">
        <v>1</v>
      </c>
      <c r="I28" s="50">
        <v>4</v>
      </c>
      <c r="J28" s="50">
        <v>7</v>
      </c>
      <c r="K28" s="50">
        <v>7</v>
      </c>
      <c r="L28" s="50">
        <v>1</v>
      </c>
      <c r="M28" s="50">
        <v>257</v>
      </c>
      <c r="N28" s="50">
        <v>0</v>
      </c>
      <c r="O28" s="15">
        <f t="shared" si="0"/>
        <v>171</v>
      </c>
      <c r="P28" s="15">
        <f t="shared" si="1"/>
        <v>428</v>
      </c>
      <c r="R28" s="5" t="s">
        <v>17</v>
      </c>
      <c r="S28" s="16">
        <f t="shared" ref="S28:AF28" si="20">SUM(S10:S21)</f>
        <v>2750</v>
      </c>
      <c r="T28" s="16">
        <f t="shared" si="20"/>
        <v>484</v>
      </c>
      <c r="U28" s="16">
        <f t="shared" si="20"/>
        <v>414</v>
      </c>
      <c r="V28" s="16">
        <f t="shared" si="20"/>
        <v>2543</v>
      </c>
      <c r="W28" s="16">
        <f t="shared" si="20"/>
        <v>86</v>
      </c>
      <c r="X28" s="16">
        <f t="shared" si="20"/>
        <v>33</v>
      </c>
      <c r="Y28" s="16">
        <f t="shared" si="20"/>
        <v>431</v>
      </c>
      <c r="Z28" s="16">
        <f t="shared" si="20"/>
        <v>279</v>
      </c>
      <c r="AA28" s="16">
        <f t="shared" si="20"/>
        <v>136</v>
      </c>
      <c r="AB28" s="16">
        <f t="shared" si="20"/>
        <v>445</v>
      </c>
      <c r="AC28" s="16">
        <f t="shared" si="20"/>
        <v>12642</v>
      </c>
      <c r="AD28" s="16">
        <f t="shared" si="20"/>
        <v>0</v>
      </c>
      <c r="AE28" s="32">
        <f t="shared" si="20"/>
        <v>7601</v>
      </c>
      <c r="AF28" s="32">
        <f t="shared" si="20"/>
        <v>20243</v>
      </c>
    </row>
    <row r="29" spans="2:32" ht="23.1" customHeight="1" x14ac:dyDescent="0.25">
      <c r="B29" s="23" t="s">
        <v>56</v>
      </c>
      <c r="C29" s="50">
        <v>75</v>
      </c>
      <c r="D29" s="50">
        <v>8</v>
      </c>
      <c r="E29" s="50">
        <v>5</v>
      </c>
      <c r="F29" s="50">
        <v>51</v>
      </c>
      <c r="G29" s="50">
        <v>0</v>
      </c>
      <c r="H29" s="50">
        <v>1</v>
      </c>
      <c r="I29" s="50">
        <v>5</v>
      </c>
      <c r="J29" s="50">
        <v>8</v>
      </c>
      <c r="K29" s="50">
        <v>4</v>
      </c>
      <c r="L29" s="50">
        <v>1</v>
      </c>
      <c r="M29" s="50">
        <v>175</v>
      </c>
      <c r="N29" s="50">
        <v>0</v>
      </c>
      <c r="O29" s="15">
        <f t="shared" si="0"/>
        <v>158</v>
      </c>
      <c r="P29" s="15">
        <f t="shared" si="1"/>
        <v>333</v>
      </c>
      <c r="R29"/>
      <c r="S29" s="20"/>
      <c r="T29" s="19"/>
    </row>
    <row r="30" spans="2:32" ht="23.1" customHeight="1" x14ac:dyDescent="0.25">
      <c r="B30" s="23" t="s">
        <v>57</v>
      </c>
      <c r="C30" s="50">
        <v>100</v>
      </c>
      <c r="D30" s="50">
        <v>11</v>
      </c>
      <c r="E30" s="50">
        <v>6</v>
      </c>
      <c r="F30" s="50">
        <v>100</v>
      </c>
      <c r="G30" s="50">
        <v>0</v>
      </c>
      <c r="H30" s="50">
        <v>0</v>
      </c>
      <c r="I30" s="50">
        <v>4</v>
      </c>
      <c r="J30" s="50">
        <v>5</v>
      </c>
      <c r="K30" s="50">
        <v>2</v>
      </c>
      <c r="L30" s="50">
        <v>4</v>
      </c>
      <c r="M30" s="50">
        <v>214</v>
      </c>
      <c r="N30" s="50">
        <v>0</v>
      </c>
      <c r="O30" s="15">
        <f t="shared" si="0"/>
        <v>232</v>
      </c>
      <c r="P30" s="15">
        <f t="shared" si="1"/>
        <v>446</v>
      </c>
    </row>
    <row r="31" spans="2:32" ht="23.1" customHeight="1" x14ac:dyDescent="0.25">
      <c r="B31" s="24" t="s">
        <v>58</v>
      </c>
      <c r="C31" s="50">
        <v>75</v>
      </c>
      <c r="D31" s="50">
        <v>6</v>
      </c>
      <c r="E31" s="50">
        <v>6</v>
      </c>
      <c r="F31" s="50">
        <v>66</v>
      </c>
      <c r="G31" s="50">
        <v>0</v>
      </c>
      <c r="H31" s="50">
        <v>0</v>
      </c>
      <c r="I31" s="50">
        <v>4</v>
      </c>
      <c r="J31" s="50">
        <v>3</v>
      </c>
      <c r="K31" s="50">
        <v>1</v>
      </c>
      <c r="L31" s="50">
        <v>1</v>
      </c>
      <c r="M31" s="50">
        <v>213</v>
      </c>
      <c r="N31" s="50">
        <v>0</v>
      </c>
      <c r="O31" s="15">
        <f t="shared" si="0"/>
        <v>162</v>
      </c>
      <c r="P31" s="15">
        <f t="shared" si="1"/>
        <v>375</v>
      </c>
    </row>
    <row r="32" spans="2:32" ht="23.1" customHeight="1" x14ac:dyDescent="0.25">
      <c r="B32" s="24" t="s">
        <v>59</v>
      </c>
      <c r="C32" s="50">
        <v>56</v>
      </c>
      <c r="D32" s="50">
        <v>16</v>
      </c>
      <c r="E32" s="50">
        <v>7</v>
      </c>
      <c r="F32" s="50">
        <v>59</v>
      </c>
      <c r="G32" s="50">
        <v>0</v>
      </c>
      <c r="H32" s="50">
        <v>0</v>
      </c>
      <c r="I32" s="50">
        <v>12</v>
      </c>
      <c r="J32" s="50">
        <v>9</v>
      </c>
      <c r="K32" s="50">
        <v>7</v>
      </c>
      <c r="L32" s="50">
        <v>4</v>
      </c>
      <c r="M32" s="50">
        <v>245</v>
      </c>
      <c r="N32" s="50">
        <v>0</v>
      </c>
      <c r="O32" s="15">
        <f t="shared" si="0"/>
        <v>170</v>
      </c>
      <c r="P32" s="15">
        <f t="shared" si="1"/>
        <v>415</v>
      </c>
    </row>
    <row r="33" spans="2:20" ht="23.1" customHeight="1" x14ac:dyDescent="0.25">
      <c r="B33" s="23" t="s">
        <v>60</v>
      </c>
      <c r="C33" s="50">
        <v>64</v>
      </c>
      <c r="D33" s="50">
        <v>8</v>
      </c>
      <c r="E33" s="50">
        <v>7</v>
      </c>
      <c r="F33" s="50">
        <v>62</v>
      </c>
      <c r="G33" s="50">
        <v>0</v>
      </c>
      <c r="H33" s="50">
        <v>1</v>
      </c>
      <c r="I33" s="50">
        <v>11</v>
      </c>
      <c r="J33" s="50">
        <v>13</v>
      </c>
      <c r="K33" s="50">
        <v>3</v>
      </c>
      <c r="L33" s="50">
        <v>2</v>
      </c>
      <c r="M33" s="50">
        <v>240</v>
      </c>
      <c r="N33" s="50">
        <v>0</v>
      </c>
      <c r="O33" s="15">
        <f t="shared" si="0"/>
        <v>171</v>
      </c>
      <c r="P33" s="15">
        <f t="shared" si="1"/>
        <v>411</v>
      </c>
    </row>
    <row r="34" spans="2:20" ht="23.1" customHeight="1" x14ac:dyDescent="0.25">
      <c r="B34" s="24" t="s">
        <v>61</v>
      </c>
      <c r="C34" s="50">
        <v>42</v>
      </c>
      <c r="D34" s="50">
        <v>6</v>
      </c>
      <c r="E34" s="50">
        <v>9</v>
      </c>
      <c r="F34" s="50">
        <v>45</v>
      </c>
      <c r="G34" s="50">
        <v>1</v>
      </c>
      <c r="H34" s="50">
        <v>0</v>
      </c>
      <c r="I34" s="50">
        <v>3</v>
      </c>
      <c r="J34" s="50">
        <v>6</v>
      </c>
      <c r="K34" s="50">
        <v>7</v>
      </c>
      <c r="L34" s="50">
        <v>1</v>
      </c>
      <c r="M34" s="50">
        <v>240</v>
      </c>
      <c r="N34" s="50">
        <v>0</v>
      </c>
      <c r="O34" s="15">
        <f t="shared" si="0"/>
        <v>120</v>
      </c>
      <c r="P34" s="15">
        <f t="shared" si="1"/>
        <v>360</v>
      </c>
    </row>
    <row r="35" spans="2:20" ht="23.1" customHeight="1" x14ac:dyDescent="0.25">
      <c r="B35" s="24" t="s">
        <v>62</v>
      </c>
      <c r="C35" s="50">
        <v>62</v>
      </c>
      <c r="D35" s="50">
        <v>13</v>
      </c>
      <c r="E35" s="50">
        <v>8</v>
      </c>
      <c r="F35" s="50">
        <v>73</v>
      </c>
      <c r="G35" s="50">
        <v>1</v>
      </c>
      <c r="H35" s="50">
        <v>0</v>
      </c>
      <c r="I35" s="50">
        <v>10</v>
      </c>
      <c r="J35" s="50">
        <v>4</v>
      </c>
      <c r="K35" s="50">
        <v>0</v>
      </c>
      <c r="L35" s="50">
        <v>1</v>
      </c>
      <c r="M35" s="50">
        <v>170</v>
      </c>
      <c r="N35" s="50">
        <v>0</v>
      </c>
      <c r="O35" s="15">
        <f t="shared" si="0"/>
        <v>172</v>
      </c>
      <c r="P35" s="15">
        <f t="shared" si="1"/>
        <v>342</v>
      </c>
    </row>
    <row r="36" spans="2:20" ht="23.1" customHeight="1" x14ac:dyDescent="0.25">
      <c r="B36" s="24" t="s">
        <v>63</v>
      </c>
      <c r="C36" s="50">
        <v>52</v>
      </c>
      <c r="D36" s="50">
        <v>4</v>
      </c>
      <c r="E36" s="50">
        <v>8</v>
      </c>
      <c r="F36" s="50">
        <v>41</v>
      </c>
      <c r="G36" s="50">
        <v>2</v>
      </c>
      <c r="H36" s="50">
        <v>1</v>
      </c>
      <c r="I36" s="50">
        <v>14</v>
      </c>
      <c r="J36" s="50">
        <v>4</v>
      </c>
      <c r="K36" s="50">
        <v>5</v>
      </c>
      <c r="L36" s="50">
        <v>2</v>
      </c>
      <c r="M36" s="50">
        <v>152</v>
      </c>
      <c r="N36" s="50">
        <v>0</v>
      </c>
      <c r="O36" s="15">
        <f t="shared" si="0"/>
        <v>133</v>
      </c>
      <c r="P36" s="15">
        <f t="shared" si="1"/>
        <v>285</v>
      </c>
    </row>
    <row r="37" spans="2:20" ht="23.1" customHeight="1" x14ac:dyDescent="0.25">
      <c r="B37" s="23" t="s">
        <v>64</v>
      </c>
      <c r="C37" s="50">
        <v>29</v>
      </c>
      <c r="D37" s="50">
        <v>7</v>
      </c>
      <c r="E37" s="50">
        <v>6</v>
      </c>
      <c r="F37" s="50">
        <v>50</v>
      </c>
      <c r="G37" s="50">
        <v>0</v>
      </c>
      <c r="H37" s="50">
        <v>0</v>
      </c>
      <c r="I37" s="50">
        <v>11</v>
      </c>
      <c r="J37" s="50">
        <v>6</v>
      </c>
      <c r="K37" s="50">
        <v>2</v>
      </c>
      <c r="L37" s="50">
        <v>1</v>
      </c>
      <c r="M37" s="50">
        <v>165</v>
      </c>
      <c r="N37" s="50">
        <v>0</v>
      </c>
      <c r="O37" s="15">
        <f t="shared" si="0"/>
        <v>112</v>
      </c>
      <c r="P37" s="15">
        <f t="shared" si="1"/>
        <v>277</v>
      </c>
    </row>
    <row r="38" spans="2:20" ht="23.1" customHeight="1" x14ac:dyDescent="0.25">
      <c r="B38" s="24" t="s">
        <v>65</v>
      </c>
      <c r="C38" s="50">
        <v>55</v>
      </c>
      <c r="D38" s="50">
        <v>3</v>
      </c>
      <c r="E38" s="50">
        <v>6</v>
      </c>
      <c r="F38" s="50">
        <v>32</v>
      </c>
      <c r="G38" s="50">
        <v>2</v>
      </c>
      <c r="H38" s="50">
        <v>1</v>
      </c>
      <c r="I38" s="50">
        <v>36</v>
      </c>
      <c r="J38" s="50">
        <v>18</v>
      </c>
      <c r="K38" s="50">
        <v>5</v>
      </c>
      <c r="L38" s="50">
        <v>6</v>
      </c>
      <c r="M38" s="50">
        <v>310</v>
      </c>
      <c r="N38" s="50">
        <v>0</v>
      </c>
      <c r="O38" s="15">
        <f t="shared" si="0"/>
        <v>164</v>
      </c>
      <c r="P38" s="15">
        <f t="shared" si="1"/>
        <v>474</v>
      </c>
    </row>
    <row r="39" spans="2:20" ht="23.1" customHeight="1" x14ac:dyDescent="0.25">
      <c r="B39" s="24" t="s">
        <v>66</v>
      </c>
      <c r="C39" s="50">
        <v>54</v>
      </c>
      <c r="D39" s="50">
        <v>9</v>
      </c>
      <c r="E39" s="50">
        <v>6</v>
      </c>
      <c r="F39" s="50">
        <v>31</v>
      </c>
      <c r="G39" s="50">
        <v>0</v>
      </c>
      <c r="H39" s="50">
        <v>1</v>
      </c>
      <c r="I39" s="50">
        <v>8</v>
      </c>
      <c r="J39" s="50">
        <v>8</v>
      </c>
      <c r="K39" s="50">
        <v>0</v>
      </c>
      <c r="L39" s="50">
        <v>1</v>
      </c>
      <c r="M39" s="50">
        <v>115</v>
      </c>
      <c r="N39" s="50">
        <v>0</v>
      </c>
      <c r="O39" s="15">
        <f t="shared" si="0"/>
        <v>118</v>
      </c>
      <c r="P39" s="15">
        <f t="shared" si="1"/>
        <v>233</v>
      </c>
    </row>
    <row r="40" spans="2:20" ht="23.1" customHeight="1" x14ac:dyDescent="0.25">
      <c r="B40" s="24" t="s">
        <v>67</v>
      </c>
      <c r="C40" s="50">
        <v>56</v>
      </c>
      <c r="D40" s="50">
        <v>7</v>
      </c>
      <c r="E40" s="50">
        <v>5</v>
      </c>
      <c r="F40" s="50">
        <v>47</v>
      </c>
      <c r="G40" s="50">
        <v>0</v>
      </c>
      <c r="H40" s="50">
        <v>0</v>
      </c>
      <c r="I40" s="50">
        <v>9</v>
      </c>
      <c r="J40" s="50">
        <v>3</v>
      </c>
      <c r="K40" s="50">
        <v>0</v>
      </c>
      <c r="L40" s="50">
        <v>0</v>
      </c>
      <c r="M40" s="50">
        <v>190</v>
      </c>
      <c r="N40" s="50">
        <v>0</v>
      </c>
      <c r="O40" s="15">
        <f t="shared" si="0"/>
        <v>127</v>
      </c>
      <c r="P40" s="15">
        <f t="shared" si="1"/>
        <v>317</v>
      </c>
    </row>
    <row r="41" spans="2:20" ht="23.1" customHeight="1" x14ac:dyDescent="0.25">
      <c r="B41" s="23" t="s">
        <v>68</v>
      </c>
      <c r="C41" s="50">
        <v>51</v>
      </c>
      <c r="D41" s="50">
        <v>9</v>
      </c>
      <c r="E41" s="50">
        <v>10</v>
      </c>
      <c r="F41" s="50">
        <v>65</v>
      </c>
      <c r="G41" s="50">
        <v>1</v>
      </c>
      <c r="H41" s="50">
        <v>2</v>
      </c>
      <c r="I41" s="50">
        <v>6</v>
      </c>
      <c r="J41" s="50">
        <v>4</v>
      </c>
      <c r="K41" s="50">
        <v>1</v>
      </c>
      <c r="L41" s="50">
        <v>2</v>
      </c>
      <c r="M41" s="50">
        <v>135</v>
      </c>
      <c r="N41" s="50">
        <v>0</v>
      </c>
      <c r="O41" s="15">
        <f t="shared" si="0"/>
        <v>151</v>
      </c>
      <c r="P41" s="15">
        <f t="shared" si="1"/>
        <v>286</v>
      </c>
    </row>
    <row r="42" spans="2:20" ht="23.1" customHeight="1" x14ac:dyDescent="0.25">
      <c r="B42" s="24" t="s">
        <v>69</v>
      </c>
      <c r="C42" s="50">
        <v>61</v>
      </c>
      <c r="D42" s="50">
        <v>9</v>
      </c>
      <c r="E42" s="50">
        <v>9</v>
      </c>
      <c r="F42" s="50">
        <v>35</v>
      </c>
      <c r="G42" s="50">
        <v>1</v>
      </c>
      <c r="H42" s="50">
        <v>0</v>
      </c>
      <c r="I42" s="50">
        <v>8</v>
      </c>
      <c r="J42" s="50">
        <v>5</v>
      </c>
      <c r="K42" s="50">
        <v>3</v>
      </c>
      <c r="L42" s="50">
        <v>0</v>
      </c>
      <c r="M42" s="50">
        <v>260</v>
      </c>
      <c r="N42" s="50">
        <v>0</v>
      </c>
      <c r="O42" s="15">
        <f t="shared" si="0"/>
        <v>131</v>
      </c>
      <c r="P42" s="15">
        <f t="shared" si="1"/>
        <v>391</v>
      </c>
    </row>
    <row r="43" spans="2:20" ht="23.1" customHeight="1" x14ac:dyDescent="0.25">
      <c r="B43" s="23" t="s">
        <v>70</v>
      </c>
      <c r="C43" s="50">
        <v>70</v>
      </c>
      <c r="D43" s="50">
        <v>9</v>
      </c>
      <c r="E43" s="50">
        <v>13</v>
      </c>
      <c r="F43" s="50">
        <v>49</v>
      </c>
      <c r="G43" s="50">
        <v>0</v>
      </c>
      <c r="H43" s="50">
        <v>1</v>
      </c>
      <c r="I43" s="50">
        <v>17</v>
      </c>
      <c r="J43" s="50">
        <v>2</v>
      </c>
      <c r="K43" s="50">
        <v>2</v>
      </c>
      <c r="L43" s="50">
        <v>1</v>
      </c>
      <c r="M43" s="50">
        <v>270</v>
      </c>
      <c r="N43" s="50">
        <v>0</v>
      </c>
      <c r="O43" s="15">
        <f t="shared" si="0"/>
        <v>164</v>
      </c>
      <c r="P43" s="15">
        <f t="shared" si="1"/>
        <v>434</v>
      </c>
    </row>
    <row r="44" spans="2:20" ht="23.1" customHeight="1" x14ac:dyDescent="0.25">
      <c r="B44" s="25" t="s">
        <v>71</v>
      </c>
      <c r="C44" s="50">
        <v>81</v>
      </c>
      <c r="D44" s="50">
        <v>5</v>
      </c>
      <c r="E44" s="50">
        <v>9</v>
      </c>
      <c r="F44" s="50">
        <v>63</v>
      </c>
      <c r="G44" s="50">
        <v>0</v>
      </c>
      <c r="H44" s="50">
        <v>1</v>
      </c>
      <c r="I44" s="50">
        <v>11</v>
      </c>
      <c r="J44" s="50">
        <v>10</v>
      </c>
      <c r="K44" s="50">
        <v>0</v>
      </c>
      <c r="L44" s="50">
        <v>0</v>
      </c>
      <c r="M44" s="50">
        <v>320</v>
      </c>
      <c r="N44" s="50">
        <v>0</v>
      </c>
      <c r="O44" s="15">
        <f t="shared" si="0"/>
        <v>180</v>
      </c>
      <c r="P44" s="15">
        <f t="shared" si="1"/>
        <v>500</v>
      </c>
    </row>
    <row r="45" spans="2:20" ht="23.1" customHeight="1" x14ac:dyDescent="0.25">
      <c r="B45" s="23" t="s">
        <v>72</v>
      </c>
      <c r="C45" s="50">
        <v>77</v>
      </c>
      <c r="D45" s="50">
        <v>6</v>
      </c>
      <c r="E45" s="50">
        <v>7</v>
      </c>
      <c r="F45" s="50">
        <v>52</v>
      </c>
      <c r="G45" s="50">
        <v>1</v>
      </c>
      <c r="H45" s="50">
        <v>0</v>
      </c>
      <c r="I45" s="50">
        <v>6</v>
      </c>
      <c r="J45" s="50">
        <v>6</v>
      </c>
      <c r="K45" s="50">
        <v>7</v>
      </c>
      <c r="L45" s="50">
        <v>1</v>
      </c>
      <c r="M45" s="50">
        <v>340</v>
      </c>
      <c r="N45" s="50">
        <v>0</v>
      </c>
      <c r="O45" s="15">
        <f t="shared" si="0"/>
        <v>163</v>
      </c>
      <c r="P45" s="15">
        <f t="shared" si="1"/>
        <v>503</v>
      </c>
    </row>
    <row r="46" spans="2:20" ht="23.1" customHeight="1" x14ac:dyDescent="0.25">
      <c r="B46" s="24" t="s">
        <v>73</v>
      </c>
      <c r="C46" s="50">
        <v>53</v>
      </c>
      <c r="D46" s="50">
        <v>15</v>
      </c>
      <c r="E46" s="50">
        <v>8</v>
      </c>
      <c r="F46" s="50">
        <v>50</v>
      </c>
      <c r="G46" s="50">
        <v>0</v>
      </c>
      <c r="H46" s="50">
        <v>0</v>
      </c>
      <c r="I46" s="50">
        <v>8</v>
      </c>
      <c r="J46" s="50">
        <v>6</v>
      </c>
      <c r="K46" s="50">
        <v>1</v>
      </c>
      <c r="L46" s="50">
        <v>0</v>
      </c>
      <c r="M46" s="50">
        <v>292</v>
      </c>
      <c r="N46" s="50">
        <v>0</v>
      </c>
      <c r="O46" s="15">
        <f t="shared" si="0"/>
        <v>141</v>
      </c>
      <c r="P46" s="15">
        <f t="shared" si="1"/>
        <v>433</v>
      </c>
      <c r="R46" s="8"/>
      <c r="T46"/>
    </row>
    <row r="47" spans="2:20" ht="23.1" customHeight="1" x14ac:dyDescent="0.25">
      <c r="B47" s="24" t="s">
        <v>74</v>
      </c>
      <c r="C47" s="50">
        <v>46</v>
      </c>
      <c r="D47" s="50">
        <v>14</v>
      </c>
      <c r="E47" s="50">
        <v>13</v>
      </c>
      <c r="F47" s="50">
        <v>58</v>
      </c>
      <c r="G47" s="50">
        <v>1</v>
      </c>
      <c r="H47" s="50">
        <v>0</v>
      </c>
      <c r="I47" s="50">
        <v>5</v>
      </c>
      <c r="J47" s="50">
        <v>11</v>
      </c>
      <c r="K47" s="50">
        <v>3</v>
      </c>
      <c r="L47" s="50">
        <v>0</v>
      </c>
      <c r="M47" s="50">
        <v>237</v>
      </c>
      <c r="N47" s="50">
        <v>0</v>
      </c>
      <c r="O47" s="15">
        <f t="shared" si="0"/>
        <v>151</v>
      </c>
      <c r="P47" s="15">
        <f t="shared" si="1"/>
        <v>388</v>
      </c>
      <c r="R47" s="8"/>
      <c r="T47"/>
    </row>
    <row r="48" spans="2:20" ht="23.1" customHeight="1" x14ac:dyDescent="0.25">
      <c r="B48" s="24" t="s">
        <v>75</v>
      </c>
      <c r="C48" s="50">
        <v>56</v>
      </c>
      <c r="D48" s="50">
        <v>11</v>
      </c>
      <c r="E48" s="50">
        <v>17</v>
      </c>
      <c r="F48" s="50">
        <v>57</v>
      </c>
      <c r="G48" s="50">
        <v>1</v>
      </c>
      <c r="H48" s="50">
        <v>2</v>
      </c>
      <c r="I48" s="50">
        <v>10</v>
      </c>
      <c r="J48" s="50">
        <v>3</v>
      </c>
      <c r="K48" s="50">
        <v>1</v>
      </c>
      <c r="L48" s="50">
        <v>0</v>
      </c>
      <c r="M48" s="50">
        <v>333</v>
      </c>
      <c r="N48" s="50">
        <v>0</v>
      </c>
      <c r="O48" s="15">
        <f t="shared" si="0"/>
        <v>158</v>
      </c>
      <c r="P48" s="15">
        <f t="shared" si="1"/>
        <v>491</v>
      </c>
      <c r="R48" s="8"/>
      <c r="T48"/>
    </row>
    <row r="49" spans="2:20" ht="23.1" customHeight="1" x14ac:dyDescent="0.25">
      <c r="B49" s="23" t="s">
        <v>76</v>
      </c>
      <c r="C49" s="50">
        <v>49</v>
      </c>
      <c r="D49" s="50">
        <v>4</v>
      </c>
      <c r="E49" s="50">
        <v>8</v>
      </c>
      <c r="F49" s="50">
        <v>55</v>
      </c>
      <c r="G49" s="50">
        <v>0</v>
      </c>
      <c r="H49" s="50">
        <v>1</v>
      </c>
      <c r="I49" s="50">
        <v>6</v>
      </c>
      <c r="J49" s="50">
        <v>4</v>
      </c>
      <c r="K49" s="50">
        <v>3</v>
      </c>
      <c r="L49" s="50">
        <v>0</v>
      </c>
      <c r="M49" s="50">
        <v>318</v>
      </c>
      <c r="N49" s="50">
        <v>0</v>
      </c>
      <c r="O49" s="15">
        <f t="shared" si="0"/>
        <v>130</v>
      </c>
      <c r="P49" s="15">
        <f t="shared" si="1"/>
        <v>448</v>
      </c>
      <c r="R49" s="8"/>
      <c r="T49"/>
    </row>
    <row r="50" spans="2:20" ht="23.1" customHeight="1" x14ac:dyDescent="0.25">
      <c r="B50" s="24" t="s">
        <v>77</v>
      </c>
      <c r="C50" s="50">
        <v>73</v>
      </c>
      <c r="D50" s="50">
        <v>10</v>
      </c>
      <c r="E50" s="50">
        <v>9</v>
      </c>
      <c r="F50" s="50">
        <v>68</v>
      </c>
      <c r="G50" s="50">
        <v>0</v>
      </c>
      <c r="H50" s="50">
        <v>0</v>
      </c>
      <c r="I50" s="50">
        <v>14</v>
      </c>
      <c r="J50" s="50">
        <v>6</v>
      </c>
      <c r="K50" s="50">
        <v>2</v>
      </c>
      <c r="L50" s="50">
        <v>0</v>
      </c>
      <c r="M50" s="50">
        <v>266</v>
      </c>
      <c r="N50" s="50">
        <v>0</v>
      </c>
      <c r="O50" s="15">
        <f t="shared" si="0"/>
        <v>182</v>
      </c>
      <c r="P50" s="15">
        <f t="shared" si="1"/>
        <v>448</v>
      </c>
      <c r="R50" s="8"/>
      <c r="T50"/>
    </row>
    <row r="51" spans="2:20" ht="23.1" customHeight="1" x14ac:dyDescent="0.25">
      <c r="B51" s="24" t="s">
        <v>78</v>
      </c>
      <c r="C51" s="50">
        <v>49</v>
      </c>
      <c r="D51" s="50">
        <v>8</v>
      </c>
      <c r="E51" s="50">
        <v>5</v>
      </c>
      <c r="F51" s="50">
        <v>37</v>
      </c>
      <c r="G51" s="50">
        <v>1</v>
      </c>
      <c r="H51" s="50">
        <v>1</v>
      </c>
      <c r="I51" s="50">
        <v>7</v>
      </c>
      <c r="J51" s="50">
        <v>2</v>
      </c>
      <c r="K51" s="50">
        <v>2</v>
      </c>
      <c r="L51" s="50">
        <v>1</v>
      </c>
      <c r="M51" s="50">
        <v>290</v>
      </c>
      <c r="N51" s="50">
        <v>0</v>
      </c>
      <c r="O51" s="15">
        <f t="shared" si="0"/>
        <v>113</v>
      </c>
      <c r="P51" s="15">
        <f t="shared" si="1"/>
        <v>403</v>
      </c>
      <c r="R51" s="8"/>
      <c r="T51"/>
    </row>
    <row r="52" spans="2:20" ht="23.1" customHeight="1" x14ac:dyDescent="0.25">
      <c r="B52" s="24" t="s">
        <v>79</v>
      </c>
      <c r="C52" s="50">
        <v>56</v>
      </c>
      <c r="D52" s="50">
        <v>7</v>
      </c>
      <c r="E52" s="50">
        <v>14</v>
      </c>
      <c r="F52" s="50">
        <v>43</v>
      </c>
      <c r="G52" s="50">
        <v>1</v>
      </c>
      <c r="H52" s="50">
        <v>0</v>
      </c>
      <c r="I52" s="50">
        <v>12</v>
      </c>
      <c r="J52" s="50">
        <v>10</v>
      </c>
      <c r="K52" s="50">
        <v>0</v>
      </c>
      <c r="L52" s="50">
        <v>0</v>
      </c>
      <c r="M52" s="50">
        <v>330</v>
      </c>
      <c r="N52" s="50">
        <v>0</v>
      </c>
      <c r="O52" s="15">
        <f t="shared" si="0"/>
        <v>143</v>
      </c>
      <c r="P52" s="15">
        <f t="shared" si="1"/>
        <v>473</v>
      </c>
      <c r="R52" s="8"/>
      <c r="T52"/>
    </row>
    <row r="53" spans="2:20" ht="23.1" customHeight="1" x14ac:dyDescent="0.25">
      <c r="B53" s="23" t="s">
        <v>80</v>
      </c>
      <c r="C53" s="50">
        <v>68</v>
      </c>
      <c r="D53" s="50">
        <v>13</v>
      </c>
      <c r="E53" s="50">
        <v>4</v>
      </c>
      <c r="F53" s="50">
        <v>46</v>
      </c>
      <c r="G53" s="50">
        <v>0</v>
      </c>
      <c r="H53" s="50">
        <v>1</v>
      </c>
      <c r="I53" s="50">
        <v>13</v>
      </c>
      <c r="J53" s="50">
        <v>8</v>
      </c>
      <c r="K53" s="50">
        <v>0</v>
      </c>
      <c r="L53" s="50">
        <v>0</v>
      </c>
      <c r="M53" s="50">
        <v>187</v>
      </c>
      <c r="N53" s="50">
        <v>0</v>
      </c>
      <c r="O53" s="15">
        <f t="shared" si="0"/>
        <v>153</v>
      </c>
      <c r="P53" s="15">
        <f t="shared" si="1"/>
        <v>340</v>
      </c>
      <c r="R53" s="8"/>
      <c r="T53"/>
    </row>
    <row r="54" spans="2:20" ht="23.1" customHeight="1" x14ac:dyDescent="0.25">
      <c r="B54" s="23" t="s">
        <v>81</v>
      </c>
      <c r="C54" s="50">
        <v>64</v>
      </c>
      <c r="D54" s="50">
        <v>11</v>
      </c>
      <c r="E54" s="50">
        <v>7</v>
      </c>
      <c r="F54" s="50">
        <v>80</v>
      </c>
      <c r="G54" s="50">
        <v>2</v>
      </c>
      <c r="H54" s="50">
        <v>2</v>
      </c>
      <c r="I54" s="50">
        <v>11</v>
      </c>
      <c r="J54" s="50">
        <v>3</v>
      </c>
      <c r="K54" s="50">
        <v>2</v>
      </c>
      <c r="L54" s="50">
        <v>0</v>
      </c>
      <c r="M54" s="50">
        <v>365</v>
      </c>
      <c r="N54" s="50">
        <v>0</v>
      </c>
      <c r="O54" s="15">
        <f t="shared" si="0"/>
        <v>182</v>
      </c>
      <c r="P54" s="15">
        <f t="shared" si="1"/>
        <v>547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7</v>
      </c>
      <c r="E55" s="50">
        <v>6</v>
      </c>
      <c r="F55" s="50">
        <v>53</v>
      </c>
      <c r="G55" s="50">
        <v>3</v>
      </c>
      <c r="H55" s="50">
        <v>2</v>
      </c>
      <c r="I55" s="50">
        <v>5</v>
      </c>
      <c r="J55" s="50">
        <v>4</v>
      </c>
      <c r="K55" s="50">
        <v>1</v>
      </c>
      <c r="L55" s="50">
        <v>0</v>
      </c>
      <c r="M55" s="50">
        <v>265</v>
      </c>
      <c r="N55" s="50">
        <v>0</v>
      </c>
      <c r="O55" s="15">
        <f t="shared" si="0"/>
        <v>126</v>
      </c>
      <c r="P55" s="15">
        <f t="shared" si="1"/>
        <v>391</v>
      </c>
      <c r="R55" s="8"/>
      <c r="T55"/>
    </row>
    <row r="56" spans="2:20" ht="23.1" customHeight="1" x14ac:dyDescent="0.25">
      <c r="B56" s="23" t="s">
        <v>83</v>
      </c>
      <c r="C56" s="50">
        <v>39</v>
      </c>
      <c r="D56" s="50">
        <v>9</v>
      </c>
      <c r="E56" s="50">
        <v>8</v>
      </c>
      <c r="F56" s="50">
        <v>54</v>
      </c>
      <c r="G56" s="50">
        <v>2</v>
      </c>
      <c r="H56" s="50">
        <v>2</v>
      </c>
      <c r="I56" s="50">
        <v>9</v>
      </c>
      <c r="J56" s="50">
        <v>9</v>
      </c>
      <c r="K56" s="50">
        <v>4</v>
      </c>
      <c r="L56" s="50">
        <v>1</v>
      </c>
      <c r="M56" s="50">
        <v>220</v>
      </c>
      <c r="N56" s="50">
        <v>0</v>
      </c>
      <c r="O56" s="15">
        <f t="shared" si="0"/>
        <v>137</v>
      </c>
      <c r="P56" s="15">
        <f t="shared" si="1"/>
        <v>357</v>
      </c>
      <c r="R56" s="8"/>
      <c r="T56"/>
    </row>
    <row r="57" spans="2:20" ht="23.1" customHeight="1" x14ac:dyDescent="0.25">
      <c r="B57" s="23" t="s">
        <v>84</v>
      </c>
      <c r="C57" s="50">
        <v>42</v>
      </c>
      <c r="D57" s="50">
        <v>1</v>
      </c>
      <c r="E57" s="50">
        <v>4</v>
      </c>
      <c r="F57" s="50">
        <v>27</v>
      </c>
      <c r="G57" s="50">
        <v>2</v>
      </c>
      <c r="H57" s="50">
        <v>0</v>
      </c>
      <c r="I57" s="50">
        <v>6</v>
      </c>
      <c r="J57" s="50">
        <v>5</v>
      </c>
      <c r="K57" s="50">
        <v>0</v>
      </c>
      <c r="L57" s="50">
        <v>0</v>
      </c>
      <c r="M57" s="50">
        <v>160</v>
      </c>
      <c r="N57" s="50">
        <v>0</v>
      </c>
      <c r="O57" s="15">
        <f t="shared" si="0"/>
        <v>87</v>
      </c>
      <c r="P57" s="15">
        <f t="shared" si="1"/>
        <v>247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2750</v>
      </c>
      <c r="D58" s="16">
        <f t="shared" si="21"/>
        <v>484</v>
      </c>
      <c r="E58" s="16">
        <f t="shared" si="21"/>
        <v>414</v>
      </c>
      <c r="F58" s="16">
        <f t="shared" si="21"/>
        <v>2543</v>
      </c>
      <c r="G58" s="16">
        <f t="shared" si="21"/>
        <v>86</v>
      </c>
      <c r="H58" s="16">
        <f t="shared" si="21"/>
        <v>33</v>
      </c>
      <c r="I58" s="16">
        <f t="shared" si="21"/>
        <v>431</v>
      </c>
      <c r="J58" s="16">
        <f t="shared" si="21"/>
        <v>279</v>
      </c>
      <c r="K58" s="16">
        <f t="shared" si="21"/>
        <v>136</v>
      </c>
      <c r="L58" s="16">
        <f t="shared" si="21"/>
        <v>445</v>
      </c>
      <c r="M58" s="16">
        <f t="shared" si="21"/>
        <v>12642</v>
      </c>
      <c r="N58" s="16">
        <f t="shared" si="21"/>
        <v>0</v>
      </c>
      <c r="O58" s="16">
        <f t="shared" si="21"/>
        <v>7601</v>
      </c>
      <c r="P58" s="16">
        <f t="shared" si="21"/>
        <v>20243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0.13584942943239639</v>
      </c>
      <c r="D59" s="43">
        <f t="shared" si="22"/>
        <v>2.3909499580101762E-2</v>
      </c>
      <c r="E59" s="43">
        <f t="shared" si="22"/>
        <v>2.0451514103640763E-2</v>
      </c>
      <c r="F59" s="43">
        <f t="shared" si="22"/>
        <v>0.12562367238057601</v>
      </c>
      <c r="G59" s="43">
        <f t="shared" si="22"/>
        <v>4.2483821567949418E-3</v>
      </c>
      <c r="H59" s="43">
        <f t="shared" si="22"/>
        <v>1.6301931531887567E-3</v>
      </c>
      <c r="I59" s="43">
        <f t="shared" si="22"/>
        <v>2.1291310576495578E-2</v>
      </c>
      <c r="J59" s="43">
        <f t="shared" si="22"/>
        <v>1.3782542113323124E-2</v>
      </c>
      <c r="K59" s="43">
        <f t="shared" si="22"/>
        <v>6.7183717828385118E-3</v>
      </c>
      <c r="L59" s="43">
        <f t="shared" si="22"/>
        <v>2.1982907671787778E-2</v>
      </c>
      <c r="M59" s="43">
        <f t="shared" si="22"/>
        <v>0.62451217704885642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0.36179450072358899</v>
      </c>
      <c r="D60" s="44">
        <f t="shared" ref="D60:N60" si="23">D58/$O$58</f>
        <v>6.3675832127351659E-2</v>
      </c>
      <c r="E60" s="44">
        <f t="shared" si="23"/>
        <v>5.4466517563478492E-2</v>
      </c>
      <c r="F60" s="44">
        <f t="shared" si="23"/>
        <v>0.33456124194184977</v>
      </c>
      <c r="G60" s="44">
        <f t="shared" si="23"/>
        <v>1.131430074990133E-2</v>
      </c>
      <c r="H60" s="44">
        <f t="shared" si="23"/>
        <v>4.3415340086830683E-3</v>
      </c>
      <c r="I60" s="44">
        <f t="shared" si="23"/>
        <v>5.6703065386133407E-2</v>
      </c>
      <c r="J60" s="44">
        <f t="shared" si="23"/>
        <v>3.6705696618865941E-2</v>
      </c>
      <c r="K60" s="44">
        <f t="shared" si="23"/>
        <v>1.7892382581239312E-2</v>
      </c>
      <c r="L60" s="44">
        <f t="shared" si="23"/>
        <v>5.854492829890804E-2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8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5" t="str">
        <f>'24.07 GAYAZA-KALERWE'!G5:H5</f>
        <v>DELTA KYEBANDO</v>
      </c>
      <c r="H5" s="66"/>
      <c r="I5" s="14"/>
      <c r="J5" s="2" t="s">
        <v>5</v>
      </c>
      <c r="K5" s="65" t="s">
        <v>179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KALERWE-GAYAZA'!D6:E6</f>
        <v>KALERWE</v>
      </c>
      <c r="E6" s="66"/>
      <c r="F6" s="2" t="s">
        <v>2</v>
      </c>
      <c r="G6" s="65" t="str">
        <f>'22.07 KALERWE-GAYAZA'!G6:H6</f>
        <v>GAYAZA</v>
      </c>
      <c r="H6" s="66"/>
      <c r="J6" s="2" t="s">
        <v>21</v>
      </c>
      <c r="K6" s="65" t="str">
        <f>'24.07 GAYAZA-KALERWE'!K6:L6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45</v>
      </c>
      <c r="D10" s="50">
        <v>13</v>
      </c>
      <c r="E10" s="50">
        <v>12</v>
      </c>
      <c r="F10" s="50">
        <v>64</v>
      </c>
      <c r="G10" s="50">
        <v>3</v>
      </c>
      <c r="H10" s="50">
        <v>1</v>
      </c>
      <c r="I10" s="50">
        <v>4</v>
      </c>
      <c r="J10" s="50">
        <v>3</v>
      </c>
      <c r="K10" s="50">
        <v>2</v>
      </c>
      <c r="L10" s="50">
        <v>3</v>
      </c>
      <c r="M10" s="50">
        <v>260</v>
      </c>
      <c r="N10" s="50">
        <v>0</v>
      </c>
      <c r="O10" s="15">
        <f t="shared" ref="O10:O57" si="0">SUM(C10:L10,N10)</f>
        <v>150</v>
      </c>
      <c r="P10" s="15">
        <f t="shared" ref="P10:P57" si="1">SUM(C10:N10)</f>
        <v>410</v>
      </c>
      <c r="R10" s="1" t="s">
        <v>6</v>
      </c>
      <c r="S10" s="17">
        <f t="shared" ref="S10:AF10" si="2">SUM(C10:C13)</f>
        <v>102</v>
      </c>
      <c r="T10" s="17">
        <f t="shared" si="2"/>
        <v>32</v>
      </c>
      <c r="U10" s="17">
        <f t="shared" si="2"/>
        <v>28</v>
      </c>
      <c r="V10" s="17">
        <f t="shared" si="2"/>
        <v>186</v>
      </c>
      <c r="W10" s="17">
        <f t="shared" si="2"/>
        <v>5</v>
      </c>
      <c r="X10" s="17">
        <f t="shared" si="2"/>
        <v>3</v>
      </c>
      <c r="Y10" s="17">
        <f t="shared" si="2"/>
        <v>14</v>
      </c>
      <c r="Z10" s="17">
        <f t="shared" si="2"/>
        <v>10</v>
      </c>
      <c r="AA10" s="17">
        <f t="shared" si="2"/>
        <v>4</v>
      </c>
      <c r="AB10" s="17">
        <f t="shared" si="2"/>
        <v>5</v>
      </c>
      <c r="AC10" s="17">
        <f t="shared" si="2"/>
        <v>1685</v>
      </c>
      <c r="AD10" s="17">
        <f t="shared" si="2"/>
        <v>0</v>
      </c>
      <c r="AE10" s="31">
        <f t="shared" si="2"/>
        <v>389</v>
      </c>
      <c r="AF10" s="31">
        <f t="shared" si="2"/>
        <v>2074</v>
      </c>
    </row>
    <row r="11" spans="2:32" s="6" customFormat="1" ht="23.1" customHeight="1" x14ac:dyDescent="0.25">
      <c r="B11" s="23" t="s">
        <v>38</v>
      </c>
      <c r="C11" s="50">
        <v>18</v>
      </c>
      <c r="D11" s="50">
        <v>3</v>
      </c>
      <c r="E11" s="50">
        <v>3</v>
      </c>
      <c r="F11" s="50">
        <v>42</v>
      </c>
      <c r="G11" s="50">
        <v>1</v>
      </c>
      <c r="H11" s="50">
        <v>0</v>
      </c>
      <c r="I11" s="50">
        <v>2</v>
      </c>
      <c r="J11" s="50">
        <v>3</v>
      </c>
      <c r="K11" s="50">
        <v>0</v>
      </c>
      <c r="L11" s="50">
        <v>0</v>
      </c>
      <c r="M11" s="50">
        <v>420</v>
      </c>
      <c r="N11" s="50">
        <v>0</v>
      </c>
      <c r="O11" s="15">
        <f t="shared" si="0"/>
        <v>72</v>
      </c>
      <c r="P11" s="15">
        <f t="shared" si="1"/>
        <v>492</v>
      </c>
      <c r="R11" s="1" t="s">
        <v>7</v>
      </c>
      <c r="S11" s="17">
        <f t="shared" ref="S11:AF11" si="3">SUM(C14:C17)</f>
        <v>93</v>
      </c>
      <c r="T11" s="17">
        <f t="shared" si="3"/>
        <v>17</v>
      </c>
      <c r="U11" s="17">
        <f t="shared" si="3"/>
        <v>22</v>
      </c>
      <c r="V11" s="17">
        <f t="shared" si="3"/>
        <v>193</v>
      </c>
      <c r="W11" s="17">
        <f t="shared" si="3"/>
        <v>5</v>
      </c>
      <c r="X11" s="17">
        <f t="shared" si="3"/>
        <v>3</v>
      </c>
      <c r="Y11" s="17">
        <f t="shared" si="3"/>
        <v>29</v>
      </c>
      <c r="Z11" s="17">
        <f t="shared" si="3"/>
        <v>1</v>
      </c>
      <c r="AA11" s="17">
        <f t="shared" si="3"/>
        <v>1</v>
      </c>
      <c r="AB11" s="17">
        <f t="shared" si="3"/>
        <v>4</v>
      </c>
      <c r="AC11" s="17">
        <f t="shared" si="3"/>
        <v>2295</v>
      </c>
      <c r="AD11" s="17">
        <f t="shared" si="3"/>
        <v>0</v>
      </c>
      <c r="AE11" s="31">
        <f t="shared" si="3"/>
        <v>368</v>
      </c>
      <c r="AF11" s="31">
        <f t="shared" si="3"/>
        <v>2663</v>
      </c>
    </row>
    <row r="12" spans="2:32" ht="23.1" customHeight="1" x14ac:dyDescent="0.25">
      <c r="B12" s="23" t="s">
        <v>39</v>
      </c>
      <c r="C12" s="50">
        <v>18</v>
      </c>
      <c r="D12" s="50">
        <v>9</v>
      </c>
      <c r="E12" s="50">
        <v>8</v>
      </c>
      <c r="F12" s="50">
        <v>28</v>
      </c>
      <c r="G12" s="50">
        <v>0</v>
      </c>
      <c r="H12" s="50">
        <v>2</v>
      </c>
      <c r="I12" s="50">
        <v>5</v>
      </c>
      <c r="J12" s="50">
        <v>3</v>
      </c>
      <c r="K12" s="50">
        <v>2</v>
      </c>
      <c r="L12" s="50">
        <v>0</v>
      </c>
      <c r="M12" s="50">
        <v>470</v>
      </c>
      <c r="N12" s="50">
        <v>0</v>
      </c>
      <c r="O12" s="15">
        <f t="shared" si="0"/>
        <v>75</v>
      </c>
      <c r="P12" s="15">
        <f t="shared" si="1"/>
        <v>545</v>
      </c>
      <c r="R12" s="1" t="s">
        <v>8</v>
      </c>
      <c r="S12" s="17">
        <f t="shared" ref="S12:AF12" si="4">SUM(C18:C21)</f>
        <v>92</v>
      </c>
      <c r="T12" s="17">
        <f t="shared" si="4"/>
        <v>28</v>
      </c>
      <c r="U12" s="17">
        <f t="shared" si="4"/>
        <v>35</v>
      </c>
      <c r="V12" s="17">
        <f t="shared" si="4"/>
        <v>260</v>
      </c>
      <c r="W12" s="17">
        <f t="shared" si="4"/>
        <v>3</v>
      </c>
      <c r="X12" s="17">
        <f t="shared" si="4"/>
        <v>1</v>
      </c>
      <c r="Y12" s="17">
        <f t="shared" si="4"/>
        <v>41</v>
      </c>
      <c r="Z12" s="17">
        <f t="shared" si="4"/>
        <v>4</v>
      </c>
      <c r="AA12" s="17">
        <f t="shared" si="4"/>
        <v>0</v>
      </c>
      <c r="AB12" s="17">
        <f t="shared" si="4"/>
        <v>3</v>
      </c>
      <c r="AC12" s="17">
        <f t="shared" si="4"/>
        <v>2045</v>
      </c>
      <c r="AD12" s="17">
        <f t="shared" si="4"/>
        <v>0</v>
      </c>
      <c r="AE12" s="31">
        <f t="shared" si="4"/>
        <v>467</v>
      </c>
      <c r="AF12" s="31">
        <f t="shared" si="4"/>
        <v>2512</v>
      </c>
    </row>
    <row r="13" spans="2:32" ht="23.1" customHeight="1" x14ac:dyDescent="0.25">
      <c r="B13" s="23" t="s">
        <v>40</v>
      </c>
      <c r="C13" s="50">
        <v>21</v>
      </c>
      <c r="D13" s="50">
        <v>7</v>
      </c>
      <c r="E13" s="50">
        <v>5</v>
      </c>
      <c r="F13" s="50">
        <v>52</v>
      </c>
      <c r="G13" s="50">
        <v>1</v>
      </c>
      <c r="H13" s="50">
        <v>0</v>
      </c>
      <c r="I13" s="50">
        <v>3</v>
      </c>
      <c r="J13" s="50">
        <v>1</v>
      </c>
      <c r="K13" s="50">
        <v>0</v>
      </c>
      <c r="L13" s="50">
        <v>2</v>
      </c>
      <c r="M13" s="50">
        <v>535</v>
      </c>
      <c r="N13" s="50">
        <v>0</v>
      </c>
      <c r="O13" s="15">
        <f t="shared" si="0"/>
        <v>92</v>
      </c>
      <c r="P13" s="15">
        <f t="shared" si="1"/>
        <v>627</v>
      </c>
      <c r="R13" s="1" t="s">
        <v>9</v>
      </c>
      <c r="S13" s="17">
        <f t="shared" ref="S13:AF13" si="5">SUM(C22:C25)</f>
        <v>148</v>
      </c>
      <c r="T13" s="17">
        <f t="shared" si="5"/>
        <v>34</v>
      </c>
      <c r="U13" s="17">
        <f t="shared" si="5"/>
        <v>34</v>
      </c>
      <c r="V13" s="17">
        <f t="shared" si="5"/>
        <v>239</v>
      </c>
      <c r="W13" s="17">
        <f t="shared" si="5"/>
        <v>2</v>
      </c>
      <c r="X13" s="17">
        <f t="shared" si="5"/>
        <v>3</v>
      </c>
      <c r="Y13" s="17">
        <f t="shared" si="5"/>
        <v>34</v>
      </c>
      <c r="Z13" s="17">
        <f t="shared" si="5"/>
        <v>2</v>
      </c>
      <c r="AA13" s="17">
        <f t="shared" si="5"/>
        <v>1</v>
      </c>
      <c r="AB13" s="17">
        <f t="shared" si="5"/>
        <v>10</v>
      </c>
      <c r="AC13" s="17">
        <f t="shared" si="5"/>
        <v>1985</v>
      </c>
      <c r="AD13" s="17">
        <f t="shared" si="5"/>
        <v>0</v>
      </c>
      <c r="AE13" s="31">
        <f t="shared" si="5"/>
        <v>507</v>
      </c>
      <c r="AF13" s="31">
        <f t="shared" si="5"/>
        <v>2492</v>
      </c>
    </row>
    <row r="14" spans="2:32" ht="23.1" customHeight="1" x14ac:dyDescent="0.25">
      <c r="B14" s="23" t="s">
        <v>41</v>
      </c>
      <c r="C14" s="50">
        <v>22</v>
      </c>
      <c r="D14" s="50">
        <v>4</v>
      </c>
      <c r="E14" s="50">
        <v>7</v>
      </c>
      <c r="F14" s="50">
        <v>49</v>
      </c>
      <c r="G14" s="50">
        <v>3</v>
      </c>
      <c r="H14" s="50">
        <v>1</v>
      </c>
      <c r="I14" s="50">
        <v>5</v>
      </c>
      <c r="J14" s="50">
        <v>1</v>
      </c>
      <c r="K14" s="50">
        <v>0</v>
      </c>
      <c r="L14" s="50">
        <v>1</v>
      </c>
      <c r="M14" s="50">
        <v>590</v>
      </c>
      <c r="N14" s="50">
        <v>0</v>
      </c>
      <c r="O14" s="15">
        <f t="shared" si="0"/>
        <v>93</v>
      </c>
      <c r="P14" s="15">
        <f t="shared" si="1"/>
        <v>683</v>
      </c>
      <c r="R14" s="1" t="s">
        <v>10</v>
      </c>
      <c r="S14" s="17">
        <f t="shared" ref="S14:AF14" si="6">SUM(C26:C29)</f>
        <v>186</v>
      </c>
      <c r="T14" s="17">
        <f t="shared" si="6"/>
        <v>55</v>
      </c>
      <c r="U14" s="17">
        <f t="shared" si="6"/>
        <v>39</v>
      </c>
      <c r="V14" s="17">
        <f t="shared" si="6"/>
        <v>200</v>
      </c>
      <c r="W14" s="17">
        <f t="shared" si="6"/>
        <v>7</v>
      </c>
      <c r="X14" s="17">
        <f t="shared" si="6"/>
        <v>2</v>
      </c>
      <c r="Y14" s="17">
        <f t="shared" si="6"/>
        <v>60</v>
      </c>
      <c r="Z14" s="17">
        <f t="shared" si="6"/>
        <v>7</v>
      </c>
      <c r="AA14" s="17">
        <f t="shared" si="6"/>
        <v>2</v>
      </c>
      <c r="AB14" s="17">
        <f t="shared" si="6"/>
        <v>8</v>
      </c>
      <c r="AC14" s="17">
        <f t="shared" si="6"/>
        <v>1791</v>
      </c>
      <c r="AD14" s="17">
        <f t="shared" si="6"/>
        <v>0</v>
      </c>
      <c r="AE14" s="31">
        <f t="shared" si="6"/>
        <v>566</v>
      </c>
      <c r="AF14" s="31">
        <f t="shared" si="6"/>
        <v>2357</v>
      </c>
    </row>
    <row r="15" spans="2:32" ht="23.1" customHeight="1" x14ac:dyDescent="0.25">
      <c r="B15" s="23" t="s">
        <v>42</v>
      </c>
      <c r="C15" s="50">
        <v>20</v>
      </c>
      <c r="D15" s="50">
        <v>6</v>
      </c>
      <c r="E15" s="50">
        <v>5</v>
      </c>
      <c r="F15" s="50">
        <v>51</v>
      </c>
      <c r="G15" s="50">
        <v>1</v>
      </c>
      <c r="H15" s="50">
        <v>1</v>
      </c>
      <c r="I15" s="50">
        <v>4</v>
      </c>
      <c r="J15" s="50">
        <v>0</v>
      </c>
      <c r="K15" s="50">
        <v>0</v>
      </c>
      <c r="L15" s="50">
        <v>0</v>
      </c>
      <c r="M15" s="50">
        <v>570</v>
      </c>
      <c r="N15" s="50">
        <v>0</v>
      </c>
      <c r="O15" s="15">
        <f t="shared" si="0"/>
        <v>88</v>
      </c>
      <c r="P15" s="15">
        <f t="shared" si="1"/>
        <v>658</v>
      </c>
      <c r="R15" s="1" t="s">
        <v>11</v>
      </c>
      <c r="S15" s="17">
        <f t="shared" ref="S15:AF15" si="7">SUM(C30:C33)</f>
        <v>220</v>
      </c>
      <c r="T15" s="17">
        <f t="shared" si="7"/>
        <v>46</v>
      </c>
      <c r="U15" s="17">
        <f t="shared" si="7"/>
        <v>40</v>
      </c>
      <c r="V15" s="17">
        <f t="shared" si="7"/>
        <v>196</v>
      </c>
      <c r="W15" s="17">
        <f t="shared" si="7"/>
        <v>3</v>
      </c>
      <c r="X15" s="17">
        <f t="shared" si="7"/>
        <v>2</v>
      </c>
      <c r="Y15" s="17">
        <f t="shared" si="7"/>
        <v>37</v>
      </c>
      <c r="Z15" s="17">
        <f t="shared" si="7"/>
        <v>17</v>
      </c>
      <c r="AA15" s="17">
        <f t="shared" si="7"/>
        <v>2</v>
      </c>
      <c r="AB15" s="17">
        <f t="shared" si="7"/>
        <v>10</v>
      </c>
      <c r="AC15" s="17">
        <f t="shared" si="7"/>
        <v>1929</v>
      </c>
      <c r="AD15" s="17">
        <f t="shared" si="7"/>
        <v>0</v>
      </c>
      <c r="AE15" s="31">
        <f t="shared" si="7"/>
        <v>573</v>
      </c>
      <c r="AF15" s="31">
        <f t="shared" si="7"/>
        <v>2502</v>
      </c>
    </row>
    <row r="16" spans="2:32" ht="23.1" customHeight="1" x14ac:dyDescent="0.25">
      <c r="B16" s="23" t="s">
        <v>43</v>
      </c>
      <c r="C16" s="50">
        <v>20</v>
      </c>
      <c r="D16" s="50">
        <v>3</v>
      </c>
      <c r="E16" s="50">
        <v>2</v>
      </c>
      <c r="F16" s="50">
        <v>31</v>
      </c>
      <c r="G16" s="50">
        <v>1</v>
      </c>
      <c r="H16" s="50">
        <v>0</v>
      </c>
      <c r="I16" s="50">
        <v>6</v>
      </c>
      <c r="J16" s="50">
        <v>0</v>
      </c>
      <c r="K16" s="50">
        <v>1</v>
      </c>
      <c r="L16" s="50">
        <v>1</v>
      </c>
      <c r="M16" s="50">
        <v>610</v>
      </c>
      <c r="N16" s="50">
        <v>0</v>
      </c>
      <c r="O16" s="15">
        <f t="shared" si="0"/>
        <v>65</v>
      </c>
      <c r="P16" s="15">
        <f t="shared" si="1"/>
        <v>675</v>
      </c>
      <c r="R16" s="1" t="s">
        <v>12</v>
      </c>
      <c r="S16" s="17">
        <f t="shared" ref="S16:AF16" si="8">SUM(C34:C37)</f>
        <v>198</v>
      </c>
      <c r="T16" s="17">
        <f t="shared" si="8"/>
        <v>53</v>
      </c>
      <c r="U16" s="17">
        <f t="shared" si="8"/>
        <v>43</v>
      </c>
      <c r="V16" s="17">
        <f t="shared" si="8"/>
        <v>197</v>
      </c>
      <c r="W16" s="17">
        <f t="shared" si="8"/>
        <v>1</v>
      </c>
      <c r="X16" s="17">
        <f t="shared" si="8"/>
        <v>3</v>
      </c>
      <c r="Y16" s="17">
        <f t="shared" si="8"/>
        <v>32</v>
      </c>
      <c r="Z16" s="17">
        <f t="shared" si="8"/>
        <v>9</v>
      </c>
      <c r="AA16" s="17">
        <f t="shared" si="8"/>
        <v>1</v>
      </c>
      <c r="AB16" s="17">
        <f t="shared" si="8"/>
        <v>9</v>
      </c>
      <c r="AC16" s="17">
        <f t="shared" si="8"/>
        <v>1562</v>
      </c>
      <c r="AD16" s="17">
        <f t="shared" si="8"/>
        <v>0</v>
      </c>
      <c r="AE16" s="31">
        <f t="shared" si="8"/>
        <v>546</v>
      </c>
      <c r="AF16" s="31">
        <f t="shared" si="8"/>
        <v>2108</v>
      </c>
    </row>
    <row r="17" spans="2:32" ht="23.1" customHeight="1" x14ac:dyDescent="0.25">
      <c r="B17" s="23" t="s">
        <v>44</v>
      </c>
      <c r="C17" s="50">
        <v>31</v>
      </c>
      <c r="D17" s="50">
        <v>4</v>
      </c>
      <c r="E17" s="50">
        <v>8</v>
      </c>
      <c r="F17" s="50">
        <v>62</v>
      </c>
      <c r="G17" s="50">
        <v>0</v>
      </c>
      <c r="H17" s="50">
        <v>1</v>
      </c>
      <c r="I17" s="50">
        <v>14</v>
      </c>
      <c r="J17" s="50">
        <v>0</v>
      </c>
      <c r="K17" s="50">
        <v>0</v>
      </c>
      <c r="L17" s="50">
        <v>2</v>
      </c>
      <c r="M17" s="50">
        <v>525</v>
      </c>
      <c r="N17" s="50">
        <v>0</v>
      </c>
      <c r="O17" s="15">
        <f t="shared" si="0"/>
        <v>122</v>
      </c>
      <c r="P17" s="15">
        <f t="shared" si="1"/>
        <v>647</v>
      </c>
      <c r="R17" s="1" t="s">
        <v>13</v>
      </c>
      <c r="S17" s="17">
        <f t="shared" ref="S17:AF17" si="9">SUM(C38:C41)</f>
        <v>218</v>
      </c>
      <c r="T17" s="17">
        <f t="shared" si="9"/>
        <v>76</v>
      </c>
      <c r="U17" s="17">
        <f t="shared" si="9"/>
        <v>48</v>
      </c>
      <c r="V17" s="17">
        <f t="shared" si="9"/>
        <v>238</v>
      </c>
      <c r="W17" s="17">
        <f t="shared" si="9"/>
        <v>4</v>
      </c>
      <c r="X17" s="17">
        <f t="shared" si="9"/>
        <v>0</v>
      </c>
      <c r="Y17" s="17">
        <f t="shared" si="9"/>
        <v>26</v>
      </c>
      <c r="Z17" s="17">
        <f t="shared" si="9"/>
        <v>18</v>
      </c>
      <c r="AA17" s="17">
        <f t="shared" si="9"/>
        <v>0</v>
      </c>
      <c r="AB17" s="17">
        <f t="shared" si="9"/>
        <v>8</v>
      </c>
      <c r="AC17" s="17">
        <f t="shared" si="9"/>
        <v>1565</v>
      </c>
      <c r="AD17" s="17">
        <f t="shared" si="9"/>
        <v>0</v>
      </c>
      <c r="AE17" s="31">
        <f t="shared" si="9"/>
        <v>636</v>
      </c>
      <c r="AF17" s="31">
        <f t="shared" si="9"/>
        <v>2201</v>
      </c>
    </row>
    <row r="18" spans="2:32" ht="23.1" customHeight="1" x14ac:dyDescent="0.25">
      <c r="B18" s="23" t="s">
        <v>45</v>
      </c>
      <c r="C18" s="50">
        <v>10</v>
      </c>
      <c r="D18" s="50">
        <v>7</v>
      </c>
      <c r="E18" s="50">
        <v>7</v>
      </c>
      <c r="F18" s="50">
        <v>74</v>
      </c>
      <c r="G18" s="50">
        <v>0</v>
      </c>
      <c r="H18" s="50">
        <v>0</v>
      </c>
      <c r="I18" s="50">
        <v>14</v>
      </c>
      <c r="J18" s="50">
        <v>2</v>
      </c>
      <c r="K18" s="50">
        <v>0</v>
      </c>
      <c r="L18" s="50">
        <v>1</v>
      </c>
      <c r="M18" s="50">
        <v>550</v>
      </c>
      <c r="N18" s="50">
        <v>0</v>
      </c>
      <c r="O18" s="15">
        <f t="shared" si="0"/>
        <v>115</v>
      </c>
      <c r="P18" s="15">
        <f t="shared" si="1"/>
        <v>665</v>
      </c>
      <c r="R18" s="1" t="s">
        <v>14</v>
      </c>
      <c r="S18" s="17">
        <f t="shared" ref="S18:AF18" si="10">SUM(C42:C45)</f>
        <v>287</v>
      </c>
      <c r="T18" s="17">
        <f t="shared" si="10"/>
        <v>85</v>
      </c>
      <c r="U18" s="17">
        <f t="shared" si="10"/>
        <v>50</v>
      </c>
      <c r="V18" s="17">
        <f t="shared" si="10"/>
        <v>276</v>
      </c>
      <c r="W18" s="17">
        <f t="shared" si="10"/>
        <v>2</v>
      </c>
      <c r="X18" s="17">
        <f t="shared" si="10"/>
        <v>3</v>
      </c>
      <c r="Y18" s="17">
        <f t="shared" si="10"/>
        <v>24</v>
      </c>
      <c r="Z18" s="17">
        <f t="shared" si="10"/>
        <v>19</v>
      </c>
      <c r="AA18" s="17">
        <f t="shared" si="10"/>
        <v>2</v>
      </c>
      <c r="AB18" s="17">
        <f t="shared" si="10"/>
        <v>13</v>
      </c>
      <c r="AC18" s="17">
        <f t="shared" si="10"/>
        <v>827</v>
      </c>
      <c r="AD18" s="17">
        <f t="shared" si="10"/>
        <v>0</v>
      </c>
      <c r="AE18" s="31">
        <f t="shared" si="10"/>
        <v>761</v>
      </c>
      <c r="AF18" s="31">
        <f t="shared" si="10"/>
        <v>1588</v>
      </c>
    </row>
    <row r="19" spans="2:32" ht="23.1" customHeight="1" x14ac:dyDescent="0.25">
      <c r="B19" s="23" t="s">
        <v>46</v>
      </c>
      <c r="C19" s="50">
        <v>19</v>
      </c>
      <c r="D19" s="50">
        <v>8</v>
      </c>
      <c r="E19" s="50">
        <v>8</v>
      </c>
      <c r="F19" s="50">
        <v>63</v>
      </c>
      <c r="G19" s="50">
        <v>2</v>
      </c>
      <c r="H19" s="50">
        <v>0</v>
      </c>
      <c r="I19" s="50">
        <v>10</v>
      </c>
      <c r="J19" s="50">
        <v>0</v>
      </c>
      <c r="K19" s="50">
        <v>0</v>
      </c>
      <c r="L19" s="50">
        <v>1</v>
      </c>
      <c r="M19" s="50">
        <v>290</v>
      </c>
      <c r="N19" s="50">
        <v>0</v>
      </c>
      <c r="O19" s="15">
        <f t="shared" si="0"/>
        <v>111</v>
      </c>
      <c r="P19" s="15">
        <f t="shared" si="1"/>
        <v>401</v>
      </c>
      <c r="R19" s="1" t="s">
        <v>15</v>
      </c>
      <c r="S19" s="17">
        <f t="shared" ref="S19:AF19" si="11">SUM(C46:C49)</f>
        <v>373</v>
      </c>
      <c r="T19" s="17">
        <f t="shared" si="11"/>
        <v>120</v>
      </c>
      <c r="U19" s="17">
        <f t="shared" si="11"/>
        <v>54</v>
      </c>
      <c r="V19" s="17">
        <f t="shared" si="11"/>
        <v>307</v>
      </c>
      <c r="W19" s="17">
        <f t="shared" si="11"/>
        <v>1</v>
      </c>
      <c r="X19" s="17">
        <f t="shared" si="11"/>
        <v>7</v>
      </c>
      <c r="Y19" s="17">
        <f t="shared" si="11"/>
        <v>37</v>
      </c>
      <c r="Z19" s="17">
        <f t="shared" si="11"/>
        <v>13</v>
      </c>
      <c r="AA19" s="17">
        <f t="shared" si="11"/>
        <v>2</v>
      </c>
      <c r="AB19" s="17">
        <f t="shared" si="11"/>
        <v>12</v>
      </c>
      <c r="AC19" s="17">
        <f t="shared" si="11"/>
        <v>631</v>
      </c>
      <c r="AD19" s="17">
        <f t="shared" si="11"/>
        <v>0</v>
      </c>
      <c r="AE19" s="31">
        <f t="shared" si="11"/>
        <v>926</v>
      </c>
      <c r="AF19" s="31">
        <f t="shared" si="11"/>
        <v>1557</v>
      </c>
    </row>
    <row r="20" spans="2:32" ht="23.1" customHeight="1" x14ac:dyDescent="0.25">
      <c r="B20" s="23" t="s">
        <v>47</v>
      </c>
      <c r="C20" s="50">
        <v>40</v>
      </c>
      <c r="D20" s="50">
        <v>9</v>
      </c>
      <c r="E20" s="50">
        <v>9</v>
      </c>
      <c r="F20" s="50">
        <v>79</v>
      </c>
      <c r="G20" s="50">
        <v>1</v>
      </c>
      <c r="H20" s="50">
        <v>0</v>
      </c>
      <c r="I20" s="50">
        <v>9</v>
      </c>
      <c r="J20" s="50">
        <v>1</v>
      </c>
      <c r="K20" s="50">
        <v>0</v>
      </c>
      <c r="L20" s="50">
        <v>1</v>
      </c>
      <c r="M20" s="50">
        <v>565</v>
      </c>
      <c r="N20" s="50">
        <v>0</v>
      </c>
      <c r="O20" s="15">
        <f t="shared" si="0"/>
        <v>149</v>
      </c>
      <c r="P20" s="15">
        <f t="shared" si="1"/>
        <v>714</v>
      </c>
      <c r="R20" s="1" t="s">
        <v>16</v>
      </c>
      <c r="S20" s="17">
        <f t="shared" ref="S20:AF20" si="12">SUM(C50:C53)</f>
        <v>514</v>
      </c>
      <c r="T20" s="17">
        <f t="shared" si="12"/>
        <v>157</v>
      </c>
      <c r="U20" s="17">
        <f t="shared" si="12"/>
        <v>83</v>
      </c>
      <c r="V20" s="17">
        <f t="shared" si="12"/>
        <v>306</v>
      </c>
      <c r="W20" s="17">
        <f t="shared" si="12"/>
        <v>6</v>
      </c>
      <c r="X20" s="17">
        <f t="shared" si="12"/>
        <v>6</v>
      </c>
      <c r="Y20" s="17">
        <f t="shared" si="12"/>
        <v>13</v>
      </c>
      <c r="Z20" s="17">
        <f t="shared" si="12"/>
        <v>9</v>
      </c>
      <c r="AA20" s="17">
        <f t="shared" si="12"/>
        <v>2</v>
      </c>
      <c r="AB20" s="17">
        <f t="shared" si="12"/>
        <v>4</v>
      </c>
      <c r="AC20" s="17">
        <f t="shared" si="12"/>
        <v>775</v>
      </c>
      <c r="AD20" s="17">
        <f t="shared" si="12"/>
        <v>0</v>
      </c>
      <c r="AE20" s="31">
        <f t="shared" si="12"/>
        <v>1100</v>
      </c>
      <c r="AF20" s="31">
        <f t="shared" si="12"/>
        <v>1875</v>
      </c>
    </row>
    <row r="21" spans="2:32" ht="23.1" customHeight="1" x14ac:dyDescent="0.25">
      <c r="B21" s="23" t="s">
        <v>48</v>
      </c>
      <c r="C21" s="50">
        <v>23</v>
      </c>
      <c r="D21" s="50">
        <v>4</v>
      </c>
      <c r="E21" s="50">
        <v>11</v>
      </c>
      <c r="F21" s="50">
        <v>44</v>
      </c>
      <c r="G21" s="50">
        <v>0</v>
      </c>
      <c r="H21" s="50">
        <v>1</v>
      </c>
      <c r="I21" s="50">
        <v>8</v>
      </c>
      <c r="J21" s="50">
        <v>1</v>
      </c>
      <c r="K21" s="50">
        <v>0</v>
      </c>
      <c r="L21" s="50">
        <v>0</v>
      </c>
      <c r="M21" s="50">
        <v>640</v>
      </c>
      <c r="N21" s="50">
        <v>0</v>
      </c>
      <c r="O21" s="15">
        <f t="shared" si="0"/>
        <v>92</v>
      </c>
      <c r="P21" s="15">
        <f t="shared" si="1"/>
        <v>732</v>
      </c>
      <c r="R21" s="36" t="s">
        <v>20</v>
      </c>
      <c r="S21" s="34">
        <f t="shared" ref="S21:AF21" si="13">SUM(C54:C57)</f>
        <v>231</v>
      </c>
      <c r="T21" s="17">
        <f t="shared" si="13"/>
        <v>84</v>
      </c>
      <c r="U21" s="17">
        <f t="shared" si="13"/>
        <v>54</v>
      </c>
      <c r="V21" s="17">
        <f t="shared" si="13"/>
        <v>198</v>
      </c>
      <c r="W21" s="17">
        <f t="shared" si="13"/>
        <v>9</v>
      </c>
      <c r="X21" s="17">
        <f t="shared" si="13"/>
        <v>6</v>
      </c>
      <c r="Y21" s="17">
        <f t="shared" si="13"/>
        <v>7</v>
      </c>
      <c r="Z21" s="17">
        <f t="shared" si="13"/>
        <v>3</v>
      </c>
      <c r="AA21" s="17">
        <f t="shared" si="13"/>
        <v>1</v>
      </c>
      <c r="AB21" s="17">
        <f t="shared" si="13"/>
        <v>1</v>
      </c>
      <c r="AC21" s="17">
        <f t="shared" si="13"/>
        <v>670</v>
      </c>
      <c r="AD21" s="17">
        <f t="shared" si="13"/>
        <v>0</v>
      </c>
      <c r="AE21" s="31">
        <f t="shared" si="13"/>
        <v>594</v>
      </c>
      <c r="AF21" s="31">
        <f t="shared" si="13"/>
        <v>1264</v>
      </c>
    </row>
    <row r="22" spans="2:32" ht="23.1" customHeight="1" x14ac:dyDescent="0.25">
      <c r="B22" s="23" t="s">
        <v>49</v>
      </c>
      <c r="C22" s="50">
        <v>44</v>
      </c>
      <c r="D22" s="50">
        <v>9</v>
      </c>
      <c r="E22" s="50">
        <v>12</v>
      </c>
      <c r="F22" s="50">
        <v>83</v>
      </c>
      <c r="G22" s="50">
        <v>0</v>
      </c>
      <c r="H22" s="50">
        <v>1</v>
      </c>
      <c r="I22" s="50">
        <v>3</v>
      </c>
      <c r="J22" s="50">
        <v>0</v>
      </c>
      <c r="K22" s="50">
        <v>0</v>
      </c>
      <c r="L22" s="50">
        <v>2</v>
      </c>
      <c r="M22" s="50">
        <v>480</v>
      </c>
      <c r="N22" s="50">
        <v>0</v>
      </c>
      <c r="O22" s="15">
        <f t="shared" si="0"/>
        <v>154</v>
      </c>
      <c r="P22" s="15">
        <f t="shared" si="1"/>
        <v>634</v>
      </c>
      <c r="R22" s="38" t="s">
        <v>90</v>
      </c>
      <c r="S22" s="39">
        <f>MAX(S10:S12)</f>
        <v>102</v>
      </c>
      <c r="T22" s="39">
        <f t="shared" ref="T22:AF22" si="14">MAX(T10:T12)</f>
        <v>32</v>
      </c>
      <c r="U22" s="39">
        <f t="shared" si="14"/>
        <v>35</v>
      </c>
      <c r="V22" s="39">
        <f t="shared" si="14"/>
        <v>260</v>
      </c>
      <c r="W22" s="39">
        <f t="shared" si="14"/>
        <v>5</v>
      </c>
      <c r="X22" s="39">
        <f t="shared" si="14"/>
        <v>3</v>
      </c>
      <c r="Y22" s="39">
        <f t="shared" si="14"/>
        <v>41</v>
      </c>
      <c r="Z22" s="39">
        <f t="shared" si="14"/>
        <v>10</v>
      </c>
      <c r="AA22" s="39">
        <f t="shared" si="14"/>
        <v>4</v>
      </c>
      <c r="AB22" s="39">
        <f t="shared" si="14"/>
        <v>5</v>
      </c>
      <c r="AC22" s="39">
        <f t="shared" si="14"/>
        <v>2295</v>
      </c>
      <c r="AD22" s="39">
        <f t="shared" si="14"/>
        <v>0</v>
      </c>
      <c r="AE22" s="40">
        <f t="shared" si="14"/>
        <v>467</v>
      </c>
      <c r="AF22" s="40">
        <f t="shared" si="14"/>
        <v>2663</v>
      </c>
    </row>
    <row r="23" spans="2:32" ht="23.1" customHeight="1" x14ac:dyDescent="0.25">
      <c r="B23" s="23" t="s">
        <v>50</v>
      </c>
      <c r="C23" s="50">
        <v>31</v>
      </c>
      <c r="D23" s="50">
        <v>6</v>
      </c>
      <c r="E23" s="50">
        <v>7</v>
      </c>
      <c r="F23" s="50">
        <v>53</v>
      </c>
      <c r="G23" s="50">
        <v>2</v>
      </c>
      <c r="H23" s="50">
        <v>1</v>
      </c>
      <c r="I23" s="50">
        <v>13</v>
      </c>
      <c r="J23" s="50">
        <v>0</v>
      </c>
      <c r="K23" s="50">
        <v>0</v>
      </c>
      <c r="L23" s="50">
        <v>2</v>
      </c>
      <c r="M23" s="50">
        <v>535</v>
      </c>
      <c r="N23" s="50">
        <v>0</v>
      </c>
      <c r="O23" s="15">
        <f t="shared" si="0"/>
        <v>115</v>
      </c>
      <c r="P23" s="15">
        <f t="shared" si="1"/>
        <v>650</v>
      </c>
      <c r="R23" s="38" t="s">
        <v>91</v>
      </c>
      <c r="S23" s="39">
        <f>MAX(S13:S18)</f>
        <v>287</v>
      </c>
      <c r="T23" s="39">
        <f t="shared" ref="T23:AF23" si="15">MAX(T13:T18)</f>
        <v>85</v>
      </c>
      <c r="U23" s="39">
        <f t="shared" si="15"/>
        <v>50</v>
      </c>
      <c r="V23" s="39">
        <f t="shared" si="15"/>
        <v>276</v>
      </c>
      <c r="W23" s="39">
        <f t="shared" si="15"/>
        <v>7</v>
      </c>
      <c r="X23" s="39">
        <f t="shared" si="15"/>
        <v>3</v>
      </c>
      <c r="Y23" s="39">
        <f t="shared" si="15"/>
        <v>60</v>
      </c>
      <c r="Z23" s="39">
        <f t="shared" si="15"/>
        <v>19</v>
      </c>
      <c r="AA23" s="39">
        <f t="shared" si="15"/>
        <v>2</v>
      </c>
      <c r="AB23" s="39">
        <f t="shared" si="15"/>
        <v>13</v>
      </c>
      <c r="AC23" s="39">
        <f t="shared" si="15"/>
        <v>1985</v>
      </c>
      <c r="AD23" s="39">
        <f t="shared" si="15"/>
        <v>0</v>
      </c>
      <c r="AE23" s="40">
        <f t="shared" si="15"/>
        <v>761</v>
      </c>
      <c r="AF23" s="40">
        <f t="shared" si="15"/>
        <v>2502</v>
      </c>
    </row>
    <row r="24" spans="2:32" ht="23.1" customHeight="1" x14ac:dyDescent="0.25">
      <c r="B24" s="23" t="s">
        <v>51</v>
      </c>
      <c r="C24" s="50">
        <v>41</v>
      </c>
      <c r="D24" s="50">
        <v>12</v>
      </c>
      <c r="E24" s="50">
        <v>14</v>
      </c>
      <c r="F24" s="50">
        <v>49</v>
      </c>
      <c r="G24" s="50">
        <v>0</v>
      </c>
      <c r="H24" s="50">
        <v>1</v>
      </c>
      <c r="I24" s="50">
        <v>9</v>
      </c>
      <c r="J24" s="50">
        <v>2</v>
      </c>
      <c r="K24" s="50">
        <v>1</v>
      </c>
      <c r="L24" s="50">
        <v>3</v>
      </c>
      <c r="M24" s="50">
        <v>495</v>
      </c>
      <c r="N24" s="50">
        <v>0</v>
      </c>
      <c r="O24" s="15">
        <f t="shared" si="0"/>
        <v>132</v>
      </c>
      <c r="P24" s="15">
        <f t="shared" si="1"/>
        <v>627</v>
      </c>
      <c r="R24" s="38" t="s">
        <v>92</v>
      </c>
      <c r="S24" s="39">
        <f>MAX(S19:S21)</f>
        <v>514</v>
      </c>
      <c r="T24" s="39">
        <f t="shared" ref="T24:AF24" si="16">MAX(T19:T21)</f>
        <v>157</v>
      </c>
      <c r="U24" s="39">
        <f t="shared" si="16"/>
        <v>83</v>
      </c>
      <c r="V24" s="39">
        <f t="shared" si="16"/>
        <v>307</v>
      </c>
      <c r="W24" s="39">
        <f t="shared" si="16"/>
        <v>9</v>
      </c>
      <c r="X24" s="39">
        <f t="shared" si="16"/>
        <v>7</v>
      </c>
      <c r="Y24" s="39">
        <f t="shared" si="16"/>
        <v>37</v>
      </c>
      <c r="Z24" s="39">
        <f t="shared" si="16"/>
        <v>13</v>
      </c>
      <c r="AA24" s="39">
        <f t="shared" si="16"/>
        <v>2</v>
      </c>
      <c r="AB24" s="39">
        <f t="shared" si="16"/>
        <v>12</v>
      </c>
      <c r="AC24" s="39">
        <f t="shared" si="16"/>
        <v>775</v>
      </c>
      <c r="AD24" s="39">
        <f t="shared" si="16"/>
        <v>0</v>
      </c>
      <c r="AE24" s="40">
        <f t="shared" si="16"/>
        <v>1100</v>
      </c>
      <c r="AF24" s="40">
        <f t="shared" si="16"/>
        <v>1875</v>
      </c>
    </row>
    <row r="25" spans="2:32" ht="23.1" customHeight="1" x14ac:dyDescent="0.25">
      <c r="B25" s="23" t="s">
        <v>52</v>
      </c>
      <c r="C25" s="50">
        <v>32</v>
      </c>
      <c r="D25" s="50">
        <v>7</v>
      </c>
      <c r="E25" s="50">
        <v>1</v>
      </c>
      <c r="F25" s="50">
        <v>54</v>
      </c>
      <c r="G25" s="50">
        <v>0</v>
      </c>
      <c r="H25" s="50">
        <v>0</v>
      </c>
      <c r="I25" s="50">
        <v>9</v>
      </c>
      <c r="J25" s="50">
        <v>0</v>
      </c>
      <c r="K25" s="50">
        <v>0</v>
      </c>
      <c r="L25" s="50">
        <v>3</v>
      </c>
      <c r="M25" s="50">
        <v>475</v>
      </c>
      <c r="N25" s="50">
        <v>0</v>
      </c>
      <c r="O25" s="15">
        <f t="shared" si="0"/>
        <v>106</v>
      </c>
      <c r="P25" s="15">
        <f t="shared" si="1"/>
        <v>581</v>
      </c>
      <c r="R25" s="37" t="s">
        <v>85</v>
      </c>
      <c r="S25" s="35">
        <f t="shared" ref="S25:AF25" si="17">SUM(S10:S12)</f>
        <v>287</v>
      </c>
      <c r="T25" s="16">
        <f t="shared" si="17"/>
        <v>77</v>
      </c>
      <c r="U25" s="16">
        <f t="shared" si="17"/>
        <v>85</v>
      </c>
      <c r="V25" s="16">
        <f t="shared" si="17"/>
        <v>639</v>
      </c>
      <c r="W25" s="16">
        <f t="shared" si="17"/>
        <v>13</v>
      </c>
      <c r="X25" s="16">
        <f t="shared" si="17"/>
        <v>7</v>
      </c>
      <c r="Y25" s="16">
        <f t="shared" si="17"/>
        <v>84</v>
      </c>
      <c r="Z25" s="16">
        <f t="shared" si="17"/>
        <v>15</v>
      </c>
      <c r="AA25" s="16">
        <f t="shared" si="17"/>
        <v>5</v>
      </c>
      <c r="AB25" s="16">
        <f t="shared" si="17"/>
        <v>12</v>
      </c>
      <c r="AC25" s="16">
        <f t="shared" si="17"/>
        <v>6025</v>
      </c>
      <c r="AD25" s="16">
        <f t="shared" si="17"/>
        <v>0</v>
      </c>
      <c r="AE25" s="32">
        <f t="shared" si="17"/>
        <v>1224</v>
      </c>
      <c r="AF25" s="32">
        <f t="shared" si="17"/>
        <v>7249</v>
      </c>
    </row>
    <row r="26" spans="2:32" ht="23.1" customHeight="1" x14ac:dyDescent="0.25">
      <c r="B26" s="23" t="s">
        <v>53</v>
      </c>
      <c r="C26" s="50">
        <v>40</v>
      </c>
      <c r="D26" s="50">
        <v>6</v>
      </c>
      <c r="E26" s="50">
        <v>7</v>
      </c>
      <c r="F26" s="50">
        <v>59</v>
      </c>
      <c r="G26" s="50">
        <v>6</v>
      </c>
      <c r="H26" s="50">
        <v>2</v>
      </c>
      <c r="I26" s="50">
        <v>14</v>
      </c>
      <c r="J26" s="50">
        <v>2</v>
      </c>
      <c r="K26" s="50">
        <v>1</v>
      </c>
      <c r="L26" s="50">
        <v>3</v>
      </c>
      <c r="M26" s="50">
        <v>536</v>
      </c>
      <c r="N26" s="50">
        <v>0</v>
      </c>
      <c r="O26" s="15">
        <f t="shared" si="0"/>
        <v>140</v>
      </c>
      <c r="P26" s="15">
        <f t="shared" si="1"/>
        <v>676</v>
      </c>
      <c r="R26" s="28" t="s">
        <v>86</v>
      </c>
      <c r="S26" s="16">
        <f t="shared" ref="S26:AF26" si="18">SUM(S13:S18)</f>
        <v>1257</v>
      </c>
      <c r="T26" s="16">
        <f t="shared" si="18"/>
        <v>349</v>
      </c>
      <c r="U26" s="16">
        <f t="shared" si="18"/>
        <v>254</v>
      </c>
      <c r="V26" s="16">
        <f t="shared" si="18"/>
        <v>1346</v>
      </c>
      <c r="W26" s="16">
        <f t="shared" si="18"/>
        <v>19</v>
      </c>
      <c r="X26" s="16">
        <f t="shared" si="18"/>
        <v>13</v>
      </c>
      <c r="Y26" s="16">
        <f t="shared" si="18"/>
        <v>213</v>
      </c>
      <c r="Z26" s="16">
        <f t="shared" si="18"/>
        <v>72</v>
      </c>
      <c r="AA26" s="16">
        <f t="shared" si="18"/>
        <v>8</v>
      </c>
      <c r="AB26" s="16">
        <f t="shared" si="18"/>
        <v>58</v>
      </c>
      <c r="AC26" s="16">
        <f t="shared" si="18"/>
        <v>9659</v>
      </c>
      <c r="AD26" s="16">
        <f t="shared" si="18"/>
        <v>0</v>
      </c>
      <c r="AE26" s="32">
        <f t="shared" si="18"/>
        <v>3589</v>
      </c>
      <c r="AF26" s="32">
        <f t="shared" si="18"/>
        <v>13248</v>
      </c>
    </row>
    <row r="27" spans="2:32" ht="23.1" customHeight="1" x14ac:dyDescent="0.25">
      <c r="B27" s="23" t="s">
        <v>54</v>
      </c>
      <c r="C27" s="50">
        <v>42</v>
      </c>
      <c r="D27" s="50">
        <v>21</v>
      </c>
      <c r="E27" s="50">
        <v>8</v>
      </c>
      <c r="F27" s="50">
        <v>44</v>
      </c>
      <c r="G27" s="50">
        <v>0</v>
      </c>
      <c r="H27" s="50">
        <v>0</v>
      </c>
      <c r="I27" s="50">
        <v>13</v>
      </c>
      <c r="J27" s="50">
        <v>3</v>
      </c>
      <c r="K27" s="50">
        <v>0</v>
      </c>
      <c r="L27" s="50">
        <v>3</v>
      </c>
      <c r="M27" s="50">
        <v>435</v>
      </c>
      <c r="N27" s="50">
        <v>0</v>
      </c>
      <c r="O27" s="15">
        <f t="shared" si="0"/>
        <v>134</v>
      </c>
      <c r="P27" s="15">
        <f t="shared" si="1"/>
        <v>569</v>
      </c>
      <c r="R27" s="29" t="s">
        <v>87</v>
      </c>
      <c r="S27" s="16">
        <f t="shared" ref="S27:AF27" si="19">SUM(S19:S21)</f>
        <v>1118</v>
      </c>
      <c r="T27" s="16">
        <f t="shared" si="19"/>
        <v>361</v>
      </c>
      <c r="U27" s="16">
        <f t="shared" si="19"/>
        <v>191</v>
      </c>
      <c r="V27" s="16">
        <f t="shared" si="19"/>
        <v>811</v>
      </c>
      <c r="W27" s="16">
        <f t="shared" si="19"/>
        <v>16</v>
      </c>
      <c r="X27" s="16">
        <f t="shared" si="19"/>
        <v>19</v>
      </c>
      <c r="Y27" s="16">
        <f t="shared" si="19"/>
        <v>57</v>
      </c>
      <c r="Z27" s="16">
        <f t="shared" si="19"/>
        <v>25</v>
      </c>
      <c r="AA27" s="16">
        <f t="shared" si="19"/>
        <v>5</v>
      </c>
      <c r="AB27" s="16">
        <f t="shared" si="19"/>
        <v>17</v>
      </c>
      <c r="AC27" s="16">
        <f t="shared" si="19"/>
        <v>2076</v>
      </c>
      <c r="AD27" s="16">
        <f t="shared" si="19"/>
        <v>0</v>
      </c>
      <c r="AE27" s="32">
        <f t="shared" si="19"/>
        <v>2620</v>
      </c>
      <c r="AF27" s="32">
        <f t="shared" si="19"/>
        <v>4696</v>
      </c>
    </row>
    <row r="28" spans="2:32" ht="23.1" customHeight="1" x14ac:dyDescent="0.25">
      <c r="B28" s="23" t="s">
        <v>55</v>
      </c>
      <c r="C28" s="50">
        <v>66</v>
      </c>
      <c r="D28" s="50">
        <v>15</v>
      </c>
      <c r="E28" s="50">
        <v>13</v>
      </c>
      <c r="F28" s="50">
        <v>57</v>
      </c>
      <c r="G28" s="50">
        <v>1</v>
      </c>
      <c r="H28" s="50">
        <v>0</v>
      </c>
      <c r="I28" s="50">
        <v>15</v>
      </c>
      <c r="J28" s="50">
        <v>1</v>
      </c>
      <c r="K28" s="50">
        <v>0</v>
      </c>
      <c r="L28" s="50">
        <v>0</v>
      </c>
      <c r="M28" s="50">
        <v>470</v>
      </c>
      <c r="N28" s="50">
        <v>0</v>
      </c>
      <c r="O28" s="15">
        <f t="shared" si="0"/>
        <v>168</v>
      </c>
      <c r="P28" s="15">
        <f t="shared" si="1"/>
        <v>638</v>
      </c>
      <c r="R28" s="5" t="s">
        <v>17</v>
      </c>
      <c r="S28" s="16">
        <f t="shared" ref="S28:AF28" si="20">SUM(S10:S21)</f>
        <v>2662</v>
      </c>
      <c r="T28" s="16">
        <f t="shared" si="20"/>
        <v>787</v>
      </c>
      <c r="U28" s="16">
        <f t="shared" si="20"/>
        <v>530</v>
      </c>
      <c r="V28" s="16">
        <f t="shared" si="20"/>
        <v>2796</v>
      </c>
      <c r="W28" s="16">
        <f t="shared" si="20"/>
        <v>48</v>
      </c>
      <c r="X28" s="16">
        <f t="shared" si="20"/>
        <v>39</v>
      </c>
      <c r="Y28" s="16">
        <f t="shared" si="20"/>
        <v>354</v>
      </c>
      <c r="Z28" s="16">
        <f t="shared" si="20"/>
        <v>112</v>
      </c>
      <c r="AA28" s="16">
        <f t="shared" si="20"/>
        <v>18</v>
      </c>
      <c r="AB28" s="16">
        <f t="shared" si="20"/>
        <v>87</v>
      </c>
      <c r="AC28" s="16">
        <f t="shared" si="20"/>
        <v>17760</v>
      </c>
      <c r="AD28" s="16">
        <f t="shared" si="20"/>
        <v>0</v>
      </c>
      <c r="AE28" s="32">
        <f t="shared" si="20"/>
        <v>7433</v>
      </c>
      <c r="AF28" s="32">
        <f t="shared" si="20"/>
        <v>25193</v>
      </c>
    </row>
    <row r="29" spans="2:32" ht="23.1" customHeight="1" x14ac:dyDescent="0.25">
      <c r="B29" s="23" t="s">
        <v>56</v>
      </c>
      <c r="C29" s="50">
        <v>38</v>
      </c>
      <c r="D29" s="50">
        <v>13</v>
      </c>
      <c r="E29" s="50">
        <v>11</v>
      </c>
      <c r="F29" s="50">
        <v>40</v>
      </c>
      <c r="G29" s="50">
        <v>0</v>
      </c>
      <c r="H29" s="50">
        <v>0</v>
      </c>
      <c r="I29" s="50">
        <v>18</v>
      </c>
      <c r="J29" s="50">
        <v>1</v>
      </c>
      <c r="K29" s="50">
        <v>1</v>
      </c>
      <c r="L29" s="50">
        <v>2</v>
      </c>
      <c r="M29" s="50">
        <v>350</v>
      </c>
      <c r="N29" s="50">
        <v>0</v>
      </c>
      <c r="O29" s="15">
        <f t="shared" si="0"/>
        <v>124</v>
      </c>
      <c r="P29" s="15">
        <f t="shared" si="1"/>
        <v>474</v>
      </c>
      <c r="R29"/>
      <c r="S29" s="20"/>
      <c r="T29" s="19"/>
    </row>
    <row r="30" spans="2:32" ht="23.1" customHeight="1" x14ac:dyDescent="0.25">
      <c r="B30" s="23" t="s">
        <v>57</v>
      </c>
      <c r="C30" s="50">
        <v>81</v>
      </c>
      <c r="D30" s="50">
        <v>16</v>
      </c>
      <c r="E30" s="50">
        <v>9</v>
      </c>
      <c r="F30" s="50">
        <v>55</v>
      </c>
      <c r="G30" s="50">
        <v>1</v>
      </c>
      <c r="H30" s="50">
        <v>1</v>
      </c>
      <c r="I30" s="50">
        <v>10</v>
      </c>
      <c r="J30" s="50">
        <v>4</v>
      </c>
      <c r="K30" s="50">
        <v>2</v>
      </c>
      <c r="L30" s="50">
        <v>3</v>
      </c>
      <c r="M30" s="50">
        <v>570</v>
      </c>
      <c r="N30" s="50">
        <v>0</v>
      </c>
      <c r="O30" s="15">
        <f t="shared" si="0"/>
        <v>182</v>
      </c>
      <c r="P30" s="15">
        <f t="shared" si="1"/>
        <v>752</v>
      </c>
    </row>
    <row r="31" spans="2:32" ht="23.1" customHeight="1" x14ac:dyDescent="0.25">
      <c r="B31" s="24" t="s">
        <v>58</v>
      </c>
      <c r="C31" s="50">
        <v>53</v>
      </c>
      <c r="D31" s="50">
        <v>7</v>
      </c>
      <c r="E31" s="50">
        <v>9</v>
      </c>
      <c r="F31" s="50">
        <v>40</v>
      </c>
      <c r="G31" s="50">
        <v>1</v>
      </c>
      <c r="H31" s="50">
        <v>0</v>
      </c>
      <c r="I31" s="50">
        <v>7</v>
      </c>
      <c r="J31" s="50">
        <v>6</v>
      </c>
      <c r="K31" s="50">
        <v>0</v>
      </c>
      <c r="L31" s="50">
        <v>2</v>
      </c>
      <c r="M31" s="50">
        <v>424</v>
      </c>
      <c r="N31" s="50">
        <v>0</v>
      </c>
      <c r="O31" s="15">
        <f t="shared" si="0"/>
        <v>125</v>
      </c>
      <c r="P31" s="15">
        <f t="shared" si="1"/>
        <v>549</v>
      </c>
    </row>
    <row r="32" spans="2:32" ht="23.1" customHeight="1" x14ac:dyDescent="0.25">
      <c r="B32" s="24" t="s">
        <v>59</v>
      </c>
      <c r="C32" s="50">
        <v>51</v>
      </c>
      <c r="D32" s="50">
        <v>11</v>
      </c>
      <c r="E32" s="50">
        <v>15</v>
      </c>
      <c r="F32" s="50">
        <v>52</v>
      </c>
      <c r="G32" s="50">
        <v>0</v>
      </c>
      <c r="H32" s="50">
        <v>0</v>
      </c>
      <c r="I32" s="50">
        <v>7</v>
      </c>
      <c r="J32" s="50">
        <v>4</v>
      </c>
      <c r="K32" s="50">
        <v>0</v>
      </c>
      <c r="L32" s="50">
        <v>3</v>
      </c>
      <c r="M32" s="50">
        <v>450</v>
      </c>
      <c r="N32" s="50">
        <v>0</v>
      </c>
      <c r="O32" s="15">
        <f t="shared" si="0"/>
        <v>143</v>
      </c>
      <c r="P32" s="15">
        <f t="shared" si="1"/>
        <v>593</v>
      </c>
    </row>
    <row r="33" spans="2:20" ht="23.1" customHeight="1" x14ac:dyDescent="0.25">
      <c r="B33" s="23" t="s">
        <v>60</v>
      </c>
      <c r="C33" s="50">
        <v>35</v>
      </c>
      <c r="D33" s="50">
        <v>12</v>
      </c>
      <c r="E33" s="50">
        <v>7</v>
      </c>
      <c r="F33" s="50">
        <v>49</v>
      </c>
      <c r="G33" s="50">
        <v>1</v>
      </c>
      <c r="H33" s="50">
        <v>1</v>
      </c>
      <c r="I33" s="50">
        <v>13</v>
      </c>
      <c r="J33" s="50">
        <v>3</v>
      </c>
      <c r="K33" s="50">
        <v>0</v>
      </c>
      <c r="L33" s="50">
        <v>2</v>
      </c>
      <c r="M33" s="50">
        <v>485</v>
      </c>
      <c r="N33" s="50">
        <v>0</v>
      </c>
      <c r="O33" s="15">
        <f t="shared" si="0"/>
        <v>123</v>
      </c>
      <c r="P33" s="15">
        <f t="shared" si="1"/>
        <v>608</v>
      </c>
    </row>
    <row r="34" spans="2:20" ht="23.1" customHeight="1" x14ac:dyDescent="0.25">
      <c r="B34" s="24" t="s">
        <v>61</v>
      </c>
      <c r="C34" s="50">
        <v>54</v>
      </c>
      <c r="D34" s="50">
        <v>14</v>
      </c>
      <c r="E34" s="50">
        <v>11</v>
      </c>
      <c r="F34" s="50">
        <v>38</v>
      </c>
      <c r="G34" s="50">
        <v>0</v>
      </c>
      <c r="H34" s="50">
        <v>0</v>
      </c>
      <c r="I34" s="50">
        <v>9</v>
      </c>
      <c r="J34" s="50">
        <v>3</v>
      </c>
      <c r="K34" s="50">
        <v>0</v>
      </c>
      <c r="L34" s="50">
        <v>1</v>
      </c>
      <c r="M34" s="50">
        <v>335</v>
      </c>
      <c r="N34" s="50">
        <v>0</v>
      </c>
      <c r="O34" s="15">
        <f t="shared" si="0"/>
        <v>130</v>
      </c>
      <c r="P34" s="15">
        <f t="shared" si="1"/>
        <v>465</v>
      </c>
    </row>
    <row r="35" spans="2:20" ht="23.1" customHeight="1" x14ac:dyDescent="0.25">
      <c r="B35" s="24" t="s">
        <v>62</v>
      </c>
      <c r="C35" s="50">
        <v>44</v>
      </c>
      <c r="D35" s="50">
        <v>11</v>
      </c>
      <c r="E35" s="50">
        <v>14</v>
      </c>
      <c r="F35" s="50">
        <v>55</v>
      </c>
      <c r="G35" s="50">
        <v>0</v>
      </c>
      <c r="H35" s="50">
        <v>1</v>
      </c>
      <c r="I35" s="50">
        <v>4</v>
      </c>
      <c r="J35" s="50">
        <v>2</v>
      </c>
      <c r="K35" s="50">
        <v>0</v>
      </c>
      <c r="L35" s="50">
        <v>1</v>
      </c>
      <c r="M35" s="50">
        <v>250</v>
      </c>
      <c r="N35" s="50">
        <v>0</v>
      </c>
      <c r="O35" s="15">
        <f t="shared" si="0"/>
        <v>132</v>
      </c>
      <c r="P35" s="15">
        <f t="shared" si="1"/>
        <v>382</v>
      </c>
    </row>
    <row r="36" spans="2:20" ht="23.1" customHeight="1" x14ac:dyDescent="0.25">
      <c r="B36" s="24" t="s">
        <v>63</v>
      </c>
      <c r="C36" s="50">
        <v>51</v>
      </c>
      <c r="D36" s="50">
        <v>6</v>
      </c>
      <c r="E36" s="50">
        <v>8</v>
      </c>
      <c r="F36" s="50">
        <v>50</v>
      </c>
      <c r="G36" s="50">
        <v>0</v>
      </c>
      <c r="H36" s="50">
        <v>0</v>
      </c>
      <c r="I36" s="50">
        <v>10</v>
      </c>
      <c r="J36" s="50">
        <v>2</v>
      </c>
      <c r="K36" s="50">
        <v>1</v>
      </c>
      <c r="L36" s="50">
        <v>1</v>
      </c>
      <c r="M36" s="50">
        <v>447</v>
      </c>
      <c r="N36" s="50">
        <v>0</v>
      </c>
      <c r="O36" s="15">
        <f t="shared" si="0"/>
        <v>129</v>
      </c>
      <c r="P36" s="15">
        <f t="shared" si="1"/>
        <v>576</v>
      </c>
    </row>
    <row r="37" spans="2:20" ht="23.1" customHeight="1" x14ac:dyDescent="0.25">
      <c r="B37" s="23" t="s">
        <v>64</v>
      </c>
      <c r="C37" s="50">
        <v>49</v>
      </c>
      <c r="D37" s="50">
        <v>22</v>
      </c>
      <c r="E37" s="50">
        <v>10</v>
      </c>
      <c r="F37" s="50">
        <v>54</v>
      </c>
      <c r="G37" s="50">
        <v>1</v>
      </c>
      <c r="H37" s="50">
        <v>2</v>
      </c>
      <c r="I37" s="50">
        <v>9</v>
      </c>
      <c r="J37" s="50">
        <v>2</v>
      </c>
      <c r="K37" s="50">
        <v>0</v>
      </c>
      <c r="L37" s="50">
        <v>6</v>
      </c>
      <c r="M37" s="50">
        <v>530</v>
      </c>
      <c r="N37" s="50">
        <v>0</v>
      </c>
      <c r="O37" s="15">
        <f t="shared" si="0"/>
        <v>155</v>
      </c>
      <c r="P37" s="15">
        <f t="shared" si="1"/>
        <v>685</v>
      </c>
    </row>
    <row r="38" spans="2:20" ht="23.1" customHeight="1" x14ac:dyDescent="0.25">
      <c r="B38" s="24" t="s">
        <v>65</v>
      </c>
      <c r="C38" s="50">
        <v>44</v>
      </c>
      <c r="D38" s="50">
        <v>16</v>
      </c>
      <c r="E38" s="50">
        <v>11</v>
      </c>
      <c r="F38" s="50">
        <v>39</v>
      </c>
      <c r="G38" s="50">
        <v>1</v>
      </c>
      <c r="H38" s="50">
        <v>0</v>
      </c>
      <c r="I38" s="50">
        <v>8</v>
      </c>
      <c r="J38" s="50">
        <v>5</v>
      </c>
      <c r="K38" s="50">
        <v>0</v>
      </c>
      <c r="L38" s="50">
        <v>1</v>
      </c>
      <c r="M38" s="50">
        <v>590</v>
      </c>
      <c r="N38" s="50">
        <v>0</v>
      </c>
      <c r="O38" s="15">
        <f t="shared" si="0"/>
        <v>125</v>
      </c>
      <c r="P38" s="15">
        <f t="shared" si="1"/>
        <v>715</v>
      </c>
    </row>
    <row r="39" spans="2:20" ht="23.1" customHeight="1" x14ac:dyDescent="0.25">
      <c r="B39" s="24" t="s">
        <v>66</v>
      </c>
      <c r="C39" s="50">
        <v>51</v>
      </c>
      <c r="D39" s="50">
        <v>19</v>
      </c>
      <c r="E39" s="50">
        <v>11</v>
      </c>
      <c r="F39" s="50">
        <v>69</v>
      </c>
      <c r="G39" s="50">
        <v>1</v>
      </c>
      <c r="H39" s="50">
        <v>0</v>
      </c>
      <c r="I39" s="50">
        <v>7</v>
      </c>
      <c r="J39" s="50">
        <v>1</v>
      </c>
      <c r="K39" s="50">
        <v>0</v>
      </c>
      <c r="L39" s="50">
        <v>2</v>
      </c>
      <c r="M39" s="50">
        <v>345</v>
      </c>
      <c r="N39" s="50">
        <v>0</v>
      </c>
      <c r="O39" s="15">
        <f t="shared" si="0"/>
        <v>161</v>
      </c>
      <c r="P39" s="15">
        <f t="shared" si="1"/>
        <v>506</v>
      </c>
    </row>
    <row r="40" spans="2:20" ht="23.1" customHeight="1" x14ac:dyDescent="0.25">
      <c r="B40" s="24" t="s">
        <v>67</v>
      </c>
      <c r="C40" s="50">
        <v>53</v>
      </c>
      <c r="D40" s="50">
        <v>20</v>
      </c>
      <c r="E40" s="50">
        <v>14</v>
      </c>
      <c r="F40" s="50">
        <v>55</v>
      </c>
      <c r="G40" s="50">
        <v>1</v>
      </c>
      <c r="H40" s="50">
        <v>0</v>
      </c>
      <c r="I40" s="50">
        <v>3</v>
      </c>
      <c r="J40" s="50">
        <v>3</v>
      </c>
      <c r="K40" s="50">
        <v>0</v>
      </c>
      <c r="L40" s="50">
        <v>2</v>
      </c>
      <c r="M40" s="50">
        <v>300</v>
      </c>
      <c r="N40" s="50">
        <v>0</v>
      </c>
      <c r="O40" s="15">
        <f t="shared" si="0"/>
        <v>151</v>
      </c>
      <c r="P40" s="15">
        <f t="shared" si="1"/>
        <v>451</v>
      </c>
    </row>
    <row r="41" spans="2:20" ht="23.1" customHeight="1" x14ac:dyDescent="0.25">
      <c r="B41" s="23" t="s">
        <v>68</v>
      </c>
      <c r="C41" s="50">
        <v>70</v>
      </c>
      <c r="D41" s="50">
        <v>21</v>
      </c>
      <c r="E41" s="50">
        <v>12</v>
      </c>
      <c r="F41" s="50">
        <v>75</v>
      </c>
      <c r="G41" s="50">
        <v>1</v>
      </c>
      <c r="H41" s="50">
        <v>0</v>
      </c>
      <c r="I41" s="50">
        <v>8</v>
      </c>
      <c r="J41" s="50">
        <v>9</v>
      </c>
      <c r="K41" s="50">
        <v>0</v>
      </c>
      <c r="L41" s="50">
        <v>3</v>
      </c>
      <c r="M41" s="50">
        <v>330</v>
      </c>
      <c r="N41" s="50">
        <v>0</v>
      </c>
      <c r="O41" s="15">
        <f t="shared" si="0"/>
        <v>199</v>
      </c>
      <c r="P41" s="15">
        <f t="shared" si="1"/>
        <v>529</v>
      </c>
    </row>
    <row r="42" spans="2:20" ht="23.1" customHeight="1" x14ac:dyDescent="0.25">
      <c r="B42" s="24" t="s">
        <v>69</v>
      </c>
      <c r="C42" s="50">
        <v>76</v>
      </c>
      <c r="D42" s="50">
        <v>21</v>
      </c>
      <c r="E42" s="50">
        <v>13</v>
      </c>
      <c r="F42" s="50">
        <v>65</v>
      </c>
      <c r="G42" s="50">
        <v>1</v>
      </c>
      <c r="H42" s="50">
        <v>1</v>
      </c>
      <c r="I42" s="50">
        <v>10</v>
      </c>
      <c r="J42" s="50">
        <v>4</v>
      </c>
      <c r="K42" s="50">
        <v>0</v>
      </c>
      <c r="L42" s="50">
        <v>2</v>
      </c>
      <c r="M42" s="50">
        <v>225</v>
      </c>
      <c r="N42" s="50">
        <v>0</v>
      </c>
      <c r="O42" s="15">
        <f t="shared" si="0"/>
        <v>193</v>
      </c>
      <c r="P42" s="15">
        <f t="shared" si="1"/>
        <v>418</v>
      </c>
    </row>
    <row r="43" spans="2:20" ht="23.1" customHeight="1" x14ac:dyDescent="0.25">
      <c r="B43" s="23" t="s">
        <v>70</v>
      </c>
      <c r="C43" s="50">
        <v>64</v>
      </c>
      <c r="D43" s="50">
        <v>20</v>
      </c>
      <c r="E43" s="50">
        <v>9</v>
      </c>
      <c r="F43" s="50">
        <v>61</v>
      </c>
      <c r="G43" s="50">
        <v>0</v>
      </c>
      <c r="H43" s="50">
        <v>0</v>
      </c>
      <c r="I43" s="50">
        <v>6</v>
      </c>
      <c r="J43" s="50">
        <v>7</v>
      </c>
      <c r="K43" s="50">
        <v>2</v>
      </c>
      <c r="L43" s="50">
        <v>2</v>
      </c>
      <c r="M43" s="50">
        <v>252</v>
      </c>
      <c r="N43" s="50">
        <v>0</v>
      </c>
      <c r="O43" s="15">
        <f t="shared" si="0"/>
        <v>171</v>
      </c>
      <c r="P43" s="15">
        <f t="shared" si="1"/>
        <v>423</v>
      </c>
    </row>
    <row r="44" spans="2:20" ht="23.1" customHeight="1" x14ac:dyDescent="0.25">
      <c r="B44" s="25" t="s">
        <v>71</v>
      </c>
      <c r="C44" s="50">
        <v>80</v>
      </c>
      <c r="D44" s="50">
        <v>23</v>
      </c>
      <c r="E44" s="50">
        <v>13</v>
      </c>
      <c r="F44" s="50">
        <v>63</v>
      </c>
      <c r="G44" s="50">
        <v>0</v>
      </c>
      <c r="H44" s="50">
        <v>1</v>
      </c>
      <c r="I44" s="50">
        <v>4</v>
      </c>
      <c r="J44" s="50">
        <v>6</v>
      </c>
      <c r="K44" s="50">
        <v>0</v>
      </c>
      <c r="L44" s="50">
        <v>6</v>
      </c>
      <c r="M44" s="50">
        <v>235</v>
      </c>
      <c r="N44" s="50">
        <v>0</v>
      </c>
      <c r="O44" s="15">
        <f t="shared" si="0"/>
        <v>196</v>
      </c>
      <c r="P44" s="15">
        <f t="shared" si="1"/>
        <v>431</v>
      </c>
    </row>
    <row r="45" spans="2:20" ht="23.1" customHeight="1" x14ac:dyDescent="0.25">
      <c r="B45" s="23" t="s">
        <v>72</v>
      </c>
      <c r="C45" s="50">
        <v>67</v>
      </c>
      <c r="D45" s="50">
        <v>21</v>
      </c>
      <c r="E45" s="50">
        <v>15</v>
      </c>
      <c r="F45" s="50">
        <v>87</v>
      </c>
      <c r="G45" s="50">
        <v>1</v>
      </c>
      <c r="H45" s="50">
        <v>1</v>
      </c>
      <c r="I45" s="50">
        <v>4</v>
      </c>
      <c r="J45" s="50">
        <v>2</v>
      </c>
      <c r="K45" s="50">
        <v>0</v>
      </c>
      <c r="L45" s="50">
        <v>3</v>
      </c>
      <c r="M45" s="50">
        <v>115</v>
      </c>
      <c r="N45" s="50">
        <v>0</v>
      </c>
      <c r="O45" s="15">
        <f t="shared" si="0"/>
        <v>201</v>
      </c>
      <c r="P45" s="15">
        <f t="shared" si="1"/>
        <v>316</v>
      </c>
    </row>
    <row r="46" spans="2:20" ht="23.1" customHeight="1" x14ac:dyDescent="0.25">
      <c r="B46" s="24" t="s">
        <v>73</v>
      </c>
      <c r="C46" s="50">
        <v>58</v>
      </c>
      <c r="D46" s="50">
        <v>22</v>
      </c>
      <c r="E46" s="50">
        <v>8</v>
      </c>
      <c r="F46" s="50">
        <v>53</v>
      </c>
      <c r="G46" s="50">
        <v>0</v>
      </c>
      <c r="H46" s="50">
        <v>0</v>
      </c>
      <c r="I46" s="50">
        <v>17</v>
      </c>
      <c r="J46" s="50">
        <v>3</v>
      </c>
      <c r="K46" s="50">
        <v>1</v>
      </c>
      <c r="L46" s="50">
        <v>3</v>
      </c>
      <c r="M46" s="50">
        <v>167</v>
      </c>
      <c r="N46" s="50">
        <v>0</v>
      </c>
      <c r="O46" s="15">
        <f t="shared" si="0"/>
        <v>165</v>
      </c>
      <c r="P46" s="15">
        <f t="shared" si="1"/>
        <v>332</v>
      </c>
      <c r="R46" s="8"/>
      <c r="T46"/>
    </row>
    <row r="47" spans="2:20" ht="23.1" customHeight="1" x14ac:dyDescent="0.25">
      <c r="B47" s="24" t="s">
        <v>74</v>
      </c>
      <c r="C47" s="50">
        <v>75</v>
      </c>
      <c r="D47" s="50">
        <v>23</v>
      </c>
      <c r="E47" s="50">
        <v>20</v>
      </c>
      <c r="F47" s="50">
        <v>98</v>
      </c>
      <c r="G47" s="50">
        <v>0</v>
      </c>
      <c r="H47" s="50">
        <v>2</v>
      </c>
      <c r="I47" s="50">
        <v>9</v>
      </c>
      <c r="J47" s="50">
        <v>3</v>
      </c>
      <c r="K47" s="50">
        <v>0</v>
      </c>
      <c r="L47" s="50">
        <v>4</v>
      </c>
      <c r="M47" s="50">
        <v>189</v>
      </c>
      <c r="N47" s="50">
        <v>0</v>
      </c>
      <c r="O47" s="15">
        <f t="shared" si="0"/>
        <v>234</v>
      </c>
      <c r="P47" s="15">
        <f t="shared" si="1"/>
        <v>423</v>
      </c>
      <c r="R47" s="8"/>
      <c r="T47"/>
    </row>
    <row r="48" spans="2:20" ht="23.1" customHeight="1" x14ac:dyDescent="0.25">
      <c r="B48" s="24" t="s">
        <v>75</v>
      </c>
      <c r="C48" s="50">
        <v>112</v>
      </c>
      <c r="D48" s="50">
        <v>45</v>
      </c>
      <c r="E48" s="50">
        <v>17</v>
      </c>
      <c r="F48" s="50">
        <v>73</v>
      </c>
      <c r="G48" s="50">
        <v>1</v>
      </c>
      <c r="H48" s="50">
        <v>3</v>
      </c>
      <c r="I48" s="50">
        <v>4</v>
      </c>
      <c r="J48" s="50">
        <v>5</v>
      </c>
      <c r="K48" s="50">
        <v>1</v>
      </c>
      <c r="L48" s="50">
        <v>4</v>
      </c>
      <c r="M48" s="50">
        <v>150</v>
      </c>
      <c r="N48" s="50">
        <v>0</v>
      </c>
      <c r="O48" s="15">
        <f t="shared" si="0"/>
        <v>265</v>
      </c>
      <c r="P48" s="15">
        <f t="shared" si="1"/>
        <v>415</v>
      </c>
      <c r="R48" s="8"/>
      <c r="T48"/>
    </row>
    <row r="49" spans="2:20" ht="23.1" customHeight="1" x14ac:dyDescent="0.25">
      <c r="B49" s="23" t="s">
        <v>76</v>
      </c>
      <c r="C49" s="50">
        <v>128</v>
      </c>
      <c r="D49" s="50">
        <v>30</v>
      </c>
      <c r="E49" s="50">
        <v>9</v>
      </c>
      <c r="F49" s="50">
        <v>83</v>
      </c>
      <c r="G49" s="50">
        <v>0</v>
      </c>
      <c r="H49" s="50">
        <v>2</v>
      </c>
      <c r="I49" s="50">
        <v>7</v>
      </c>
      <c r="J49" s="50">
        <v>2</v>
      </c>
      <c r="K49" s="50">
        <v>0</v>
      </c>
      <c r="L49" s="50">
        <v>1</v>
      </c>
      <c r="M49" s="50">
        <v>125</v>
      </c>
      <c r="N49" s="50">
        <v>0</v>
      </c>
      <c r="O49" s="15">
        <f t="shared" si="0"/>
        <v>262</v>
      </c>
      <c r="P49" s="15">
        <f t="shared" si="1"/>
        <v>387</v>
      </c>
      <c r="R49" s="8"/>
      <c r="T49"/>
    </row>
    <row r="50" spans="2:20" ht="23.1" customHeight="1" x14ac:dyDescent="0.25">
      <c r="B50" s="24" t="s">
        <v>77</v>
      </c>
      <c r="C50" s="50">
        <v>180</v>
      </c>
      <c r="D50" s="50">
        <v>80</v>
      </c>
      <c r="E50" s="50">
        <v>29</v>
      </c>
      <c r="F50" s="50">
        <v>114</v>
      </c>
      <c r="G50" s="50">
        <v>1</v>
      </c>
      <c r="H50" s="50">
        <v>1</v>
      </c>
      <c r="I50" s="50">
        <v>5</v>
      </c>
      <c r="J50" s="50">
        <v>3</v>
      </c>
      <c r="K50" s="50">
        <v>0</v>
      </c>
      <c r="L50" s="50">
        <v>2</v>
      </c>
      <c r="M50" s="50">
        <v>150</v>
      </c>
      <c r="N50" s="50">
        <v>0</v>
      </c>
      <c r="O50" s="15">
        <f t="shared" si="0"/>
        <v>415</v>
      </c>
      <c r="P50" s="15">
        <f t="shared" si="1"/>
        <v>565</v>
      </c>
      <c r="R50" s="8"/>
      <c r="T50"/>
    </row>
    <row r="51" spans="2:20" ht="23.1" customHeight="1" x14ac:dyDescent="0.25">
      <c r="B51" s="24" t="s">
        <v>78</v>
      </c>
      <c r="C51" s="50">
        <v>95</v>
      </c>
      <c r="D51" s="50">
        <v>20</v>
      </c>
      <c r="E51" s="50">
        <v>17</v>
      </c>
      <c r="F51" s="50">
        <v>72</v>
      </c>
      <c r="G51" s="50">
        <v>3</v>
      </c>
      <c r="H51" s="50">
        <v>2</v>
      </c>
      <c r="I51" s="50">
        <v>6</v>
      </c>
      <c r="J51" s="50">
        <v>5</v>
      </c>
      <c r="K51" s="50">
        <v>0</v>
      </c>
      <c r="L51" s="50">
        <v>2</v>
      </c>
      <c r="M51" s="50">
        <v>290</v>
      </c>
      <c r="N51" s="50">
        <v>0</v>
      </c>
      <c r="O51" s="15">
        <f t="shared" si="0"/>
        <v>222</v>
      </c>
      <c r="P51" s="15">
        <f t="shared" si="1"/>
        <v>512</v>
      </c>
      <c r="R51" s="8"/>
      <c r="T51"/>
    </row>
    <row r="52" spans="2:20" ht="23.1" customHeight="1" x14ac:dyDescent="0.25">
      <c r="B52" s="24" t="s">
        <v>79</v>
      </c>
      <c r="C52" s="50">
        <v>115</v>
      </c>
      <c r="D52" s="50">
        <v>18</v>
      </c>
      <c r="E52" s="50">
        <v>14</v>
      </c>
      <c r="F52" s="50">
        <v>66</v>
      </c>
      <c r="G52" s="50">
        <v>2</v>
      </c>
      <c r="H52" s="50">
        <v>0</v>
      </c>
      <c r="I52" s="50">
        <v>1</v>
      </c>
      <c r="J52" s="50">
        <v>1</v>
      </c>
      <c r="K52" s="50">
        <v>1</v>
      </c>
      <c r="L52" s="50">
        <v>0</v>
      </c>
      <c r="M52" s="50">
        <v>180</v>
      </c>
      <c r="N52" s="50">
        <v>0</v>
      </c>
      <c r="O52" s="15">
        <f t="shared" si="0"/>
        <v>218</v>
      </c>
      <c r="P52" s="15">
        <f t="shared" si="1"/>
        <v>398</v>
      </c>
      <c r="R52" s="8"/>
      <c r="T52"/>
    </row>
    <row r="53" spans="2:20" ht="23.1" customHeight="1" x14ac:dyDescent="0.25">
      <c r="B53" s="23" t="s">
        <v>80</v>
      </c>
      <c r="C53" s="50">
        <v>124</v>
      </c>
      <c r="D53" s="50">
        <v>39</v>
      </c>
      <c r="E53" s="50">
        <v>23</v>
      </c>
      <c r="F53" s="50">
        <v>54</v>
      </c>
      <c r="G53" s="50">
        <v>0</v>
      </c>
      <c r="H53" s="50">
        <v>3</v>
      </c>
      <c r="I53" s="50">
        <v>1</v>
      </c>
      <c r="J53" s="50">
        <v>0</v>
      </c>
      <c r="K53" s="50">
        <v>1</v>
      </c>
      <c r="L53" s="50">
        <v>0</v>
      </c>
      <c r="M53" s="50">
        <v>155</v>
      </c>
      <c r="N53" s="50">
        <v>0</v>
      </c>
      <c r="O53" s="15">
        <f t="shared" si="0"/>
        <v>245</v>
      </c>
      <c r="P53" s="15">
        <f t="shared" si="1"/>
        <v>400</v>
      </c>
      <c r="R53" s="8"/>
      <c r="T53"/>
    </row>
    <row r="54" spans="2:20" ht="23.1" customHeight="1" x14ac:dyDescent="0.25">
      <c r="B54" s="23" t="s">
        <v>81</v>
      </c>
      <c r="C54" s="50">
        <v>60</v>
      </c>
      <c r="D54" s="50">
        <v>13</v>
      </c>
      <c r="E54" s="50">
        <v>18</v>
      </c>
      <c r="F54" s="50">
        <v>64</v>
      </c>
      <c r="G54" s="50">
        <v>3</v>
      </c>
      <c r="H54" s="50">
        <v>1</v>
      </c>
      <c r="I54" s="50">
        <v>1</v>
      </c>
      <c r="J54" s="50">
        <v>3</v>
      </c>
      <c r="K54" s="50">
        <v>0</v>
      </c>
      <c r="L54" s="50">
        <v>0</v>
      </c>
      <c r="M54" s="50">
        <v>125</v>
      </c>
      <c r="N54" s="50">
        <v>0</v>
      </c>
      <c r="O54" s="15">
        <f t="shared" si="0"/>
        <v>163</v>
      </c>
      <c r="P54" s="15">
        <f t="shared" si="1"/>
        <v>288</v>
      </c>
      <c r="R54" s="8"/>
      <c r="T54"/>
    </row>
    <row r="55" spans="2:20" ht="23.1" customHeight="1" x14ac:dyDescent="0.25">
      <c r="B55" s="23" t="s">
        <v>82</v>
      </c>
      <c r="C55" s="50">
        <v>48</v>
      </c>
      <c r="D55" s="50">
        <v>18</v>
      </c>
      <c r="E55" s="50">
        <v>13</v>
      </c>
      <c r="F55" s="50">
        <v>45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205</v>
      </c>
      <c r="N55" s="50">
        <v>0</v>
      </c>
      <c r="O55" s="15">
        <f t="shared" si="0"/>
        <v>127</v>
      </c>
      <c r="P55" s="15">
        <f t="shared" si="1"/>
        <v>332</v>
      </c>
      <c r="R55" s="8"/>
      <c r="T55"/>
    </row>
    <row r="56" spans="2:20" ht="23.1" customHeight="1" x14ac:dyDescent="0.25">
      <c r="B56" s="23" t="s">
        <v>83</v>
      </c>
      <c r="C56" s="50">
        <v>78</v>
      </c>
      <c r="D56" s="50">
        <v>39</v>
      </c>
      <c r="E56" s="50">
        <v>8</v>
      </c>
      <c r="F56" s="50">
        <v>48</v>
      </c>
      <c r="G56" s="50">
        <v>3</v>
      </c>
      <c r="H56" s="50">
        <v>2</v>
      </c>
      <c r="I56" s="50">
        <v>1</v>
      </c>
      <c r="J56" s="50">
        <v>0</v>
      </c>
      <c r="K56" s="50">
        <v>1</v>
      </c>
      <c r="L56" s="50">
        <v>0</v>
      </c>
      <c r="M56" s="50">
        <v>160</v>
      </c>
      <c r="N56" s="50">
        <v>0</v>
      </c>
      <c r="O56" s="15">
        <f t="shared" si="0"/>
        <v>180</v>
      </c>
      <c r="P56" s="15">
        <f t="shared" si="1"/>
        <v>340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14</v>
      </c>
      <c r="E57" s="50">
        <v>15</v>
      </c>
      <c r="F57" s="50">
        <v>41</v>
      </c>
      <c r="G57" s="50">
        <v>2</v>
      </c>
      <c r="H57" s="50">
        <v>3</v>
      </c>
      <c r="I57" s="50">
        <v>3</v>
      </c>
      <c r="J57" s="50">
        <v>0</v>
      </c>
      <c r="K57" s="50">
        <v>0</v>
      </c>
      <c r="L57" s="50">
        <v>1</v>
      </c>
      <c r="M57" s="50">
        <v>180</v>
      </c>
      <c r="N57" s="50">
        <v>0</v>
      </c>
      <c r="O57" s="15">
        <f t="shared" si="0"/>
        <v>124</v>
      </c>
      <c r="P57" s="15">
        <f t="shared" si="1"/>
        <v>304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2662</v>
      </c>
      <c r="D58" s="16">
        <f t="shared" si="21"/>
        <v>787</v>
      </c>
      <c r="E58" s="16">
        <f t="shared" si="21"/>
        <v>530</v>
      </c>
      <c r="F58" s="16">
        <f t="shared" si="21"/>
        <v>2796</v>
      </c>
      <c r="G58" s="16">
        <f t="shared" si="21"/>
        <v>48</v>
      </c>
      <c r="H58" s="16">
        <f t="shared" si="21"/>
        <v>39</v>
      </c>
      <c r="I58" s="16">
        <f t="shared" si="21"/>
        <v>354</v>
      </c>
      <c r="J58" s="16">
        <f t="shared" si="21"/>
        <v>112</v>
      </c>
      <c r="K58" s="16">
        <f t="shared" si="21"/>
        <v>18</v>
      </c>
      <c r="L58" s="16">
        <f t="shared" si="21"/>
        <v>87</v>
      </c>
      <c r="M58" s="16">
        <f t="shared" si="21"/>
        <v>17760</v>
      </c>
      <c r="N58" s="16">
        <f t="shared" si="21"/>
        <v>0</v>
      </c>
      <c r="O58" s="16">
        <f t="shared" si="21"/>
        <v>7433</v>
      </c>
      <c r="P58" s="16">
        <f t="shared" si="21"/>
        <v>25193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0.10566427182153773</v>
      </c>
      <c r="D59" s="43">
        <f t="shared" si="22"/>
        <v>3.1238836184654468E-2</v>
      </c>
      <c r="E59" s="43">
        <f t="shared" si="22"/>
        <v>2.1037589806692337E-2</v>
      </c>
      <c r="F59" s="43">
        <f t="shared" si="22"/>
        <v>0.11098320962172031</v>
      </c>
      <c r="G59" s="43">
        <f t="shared" si="22"/>
        <v>1.9052911523042115E-3</v>
      </c>
      <c r="H59" s="43">
        <f t="shared" si="22"/>
        <v>1.5480490612471717E-3</v>
      </c>
      <c r="I59" s="43">
        <f t="shared" si="22"/>
        <v>1.405152224824356E-2</v>
      </c>
      <c r="J59" s="43">
        <f t="shared" si="22"/>
        <v>4.4456793553764931E-3</v>
      </c>
      <c r="K59" s="43">
        <f t="shared" si="22"/>
        <v>7.1448418211407928E-4</v>
      </c>
      <c r="L59" s="43">
        <f t="shared" si="22"/>
        <v>3.4533402135513832E-3</v>
      </c>
      <c r="M59" s="43">
        <f t="shared" si="22"/>
        <v>0.70495772635255827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0.35813265168841651</v>
      </c>
      <c r="D60" s="44">
        <f t="shared" ref="D60:N60" si="23">D58/$O$58</f>
        <v>0.10587918740750707</v>
      </c>
      <c r="E60" s="44">
        <f t="shared" si="23"/>
        <v>7.130364590340374E-2</v>
      </c>
      <c r="F60" s="44">
        <f t="shared" si="23"/>
        <v>0.37616036593569219</v>
      </c>
      <c r="G60" s="44">
        <f t="shared" si="23"/>
        <v>6.4576886855912822E-3</v>
      </c>
      <c r="H60" s="44">
        <f t="shared" si="23"/>
        <v>5.2468720570429169E-3</v>
      </c>
      <c r="I60" s="44">
        <f t="shared" si="23"/>
        <v>4.7625454056235708E-2</v>
      </c>
      <c r="J60" s="44">
        <f t="shared" si="23"/>
        <v>1.5067940266379658E-2</v>
      </c>
      <c r="K60" s="44">
        <f t="shared" si="23"/>
        <v>2.4216332570967309E-3</v>
      </c>
      <c r="L60" s="44">
        <f t="shared" si="23"/>
        <v>1.1704560742634198E-2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2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GAYAZA-KALERWE'!C3:G3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KALERWE-GAYAZA'!D5</f>
        <v>25.07.19</v>
      </c>
      <c r="E5" s="3"/>
      <c r="F5" s="41" t="s">
        <v>1</v>
      </c>
      <c r="G5" s="65" t="str">
        <f>'25.07 KALERWE-GAYAZA'!G5:H5</f>
        <v>DELTA KYEBANDO</v>
      </c>
      <c r="H5" s="66"/>
      <c r="I5" s="14"/>
      <c r="J5" s="2" t="s">
        <v>5</v>
      </c>
      <c r="K5" s="65" t="s">
        <v>178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GAYAZA-KALERWE'!D6:E6</f>
        <v>GAYAZA</v>
      </c>
      <c r="E6" s="66"/>
      <c r="F6" s="2" t="s">
        <v>2</v>
      </c>
      <c r="G6" s="65" t="str">
        <f>'22.07 GAYAZA-KALERWE'!G6:H6</f>
        <v>KALERWE</v>
      </c>
      <c r="H6" s="66"/>
      <c r="J6" s="2" t="s">
        <v>21</v>
      </c>
      <c r="K6" s="65" t="str">
        <f>'25.07 KALERWE-GAYAZA'!K6:L6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70</v>
      </c>
      <c r="D10" s="50">
        <v>2</v>
      </c>
      <c r="E10" s="50">
        <v>5</v>
      </c>
      <c r="F10" s="50">
        <v>52</v>
      </c>
      <c r="G10" s="50">
        <v>0</v>
      </c>
      <c r="H10" s="50">
        <v>0</v>
      </c>
      <c r="I10" s="50">
        <v>1</v>
      </c>
      <c r="J10" s="50">
        <v>0</v>
      </c>
      <c r="K10" s="50">
        <v>1</v>
      </c>
      <c r="L10" s="50">
        <v>0</v>
      </c>
      <c r="M10" s="50">
        <v>270</v>
      </c>
      <c r="N10" s="50">
        <v>0</v>
      </c>
      <c r="O10" s="15">
        <f t="shared" ref="O10:O57" si="0">SUM(C10:L10,N10)</f>
        <v>131</v>
      </c>
      <c r="P10" s="15">
        <f t="shared" ref="P10:P57" si="1">SUM(C10:N10)</f>
        <v>401</v>
      </c>
      <c r="R10" s="1" t="s">
        <v>6</v>
      </c>
      <c r="S10" s="17">
        <f t="shared" ref="S10:AF10" si="2">SUM(C10:C13)</f>
        <v>260</v>
      </c>
      <c r="T10" s="17">
        <f t="shared" si="2"/>
        <v>12</v>
      </c>
      <c r="U10" s="17">
        <f t="shared" si="2"/>
        <v>17</v>
      </c>
      <c r="V10" s="17">
        <f t="shared" si="2"/>
        <v>167</v>
      </c>
      <c r="W10" s="17">
        <f t="shared" si="2"/>
        <v>2</v>
      </c>
      <c r="X10" s="17">
        <f t="shared" si="2"/>
        <v>2</v>
      </c>
      <c r="Y10" s="17">
        <f t="shared" si="2"/>
        <v>8</v>
      </c>
      <c r="Z10" s="17">
        <f t="shared" si="2"/>
        <v>8</v>
      </c>
      <c r="AA10" s="17">
        <f t="shared" si="2"/>
        <v>2</v>
      </c>
      <c r="AB10" s="17">
        <f t="shared" si="2"/>
        <v>0</v>
      </c>
      <c r="AC10" s="17">
        <f t="shared" si="2"/>
        <v>1210</v>
      </c>
      <c r="AD10" s="17">
        <f t="shared" si="2"/>
        <v>0</v>
      </c>
      <c r="AE10" s="31">
        <f t="shared" si="2"/>
        <v>478</v>
      </c>
      <c r="AF10" s="31">
        <f t="shared" si="2"/>
        <v>1688</v>
      </c>
    </row>
    <row r="11" spans="2:32" s="6" customFormat="1" ht="23.1" customHeight="1" x14ac:dyDescent="0.25">
      <c r="B11" s="23" t="s">
        <v>38</v>
      </c>
      <c r="C11" s="50">
        <v>59</v>
      </c>
      <c r="D11" s="50">
        <v>4</v>
      </c>
      <c r="E11" s="50">
        <v>4</v>
      </c>
      <c r="F11" s="50">
        <v>30</v>
      </c>
      <c r="G11" s="50">
        <v>2</v>
      </c>
      <c r="H11" s="50">
        <v>1</v>
      </c>
      <c r="I11" s="50">
        <v>2</v>
      </c>
      <c r="J11" s="50">
        <v>2</v>
      </c>
      <c r="K11" s="50">
        <v>0</v>
      </c>
      <c r="L11" s="50">
        <v>0</v>
      </c>
      <c r="M11" s="50">
        <v>290</v>
      </c>
      <c r="N11" s="50">
        <v>0</v>
      </c>
      <c r="O11" s="15">
        <f t="shared" si="0"/>
        <v>104</v>
      </c>
      <c r="P11" s="15">
        <f t="shared" si="1"/>
        <v>394</v>
      </c>
      <c r="R11" s="1" t="s">
        <v>7</v>
      </c>
      <c r="S11" s="17">
        <f t="shared" ref="S11:AF11" si="3">SUM(C14:C17)</f>
        <v>217</v>
      </c>
      <c r="T11" s="17">
        <f t="shared" si="3"/>
        <v>27</v>
      </c>
      <c r="U11" s="17">
        <f t="shared" si="3"/>
        <v>31</v>
      </c>
      <c r="V11" s="17">
        <f t="shared" si="3"/>
        <v>201</v>
      </c>
      <c r="W11" s="17">
        <f t="shared" si="3"/>
        <v>4</v>
      </c>
      <c r="X11" s="17">
        <f t="shared" si="3"/>
        <v>3</v>
      </c>
      <c r="Y11" s="17">
        <f t="shared" si="3"/>
        <v>28</v>
      </c>
      <c r="Z11" s="17">
        <f t="shared" si="3"/>
        <v>13</v>
      </c>
      <c r="AA11" s="17">
        <f t="shared" si="3"/>
        <v>7</v>
      </c>
      <c r="AB11" s="17">
        <f t="shared" si="3"/>
        <v>7</v>
      </c>
      <c r="AC11" s="17">
        <f t="shared" si="3"/>
        <v>1280</v>
      </c>
      <c r="AD11" s="17">
        <f t="shared" si="3"/>
        <v>0</v>
      </c>
      <c r="AE11" s="31">
        <f t="shared" si="3"/>
        <v>538</v>
      </c>
      <c r="AF11" s="31">
        <f t="shared" si="3"/>
        <v>1818</v>
      </c>
    </row>
    <row r="12" spans="2:32" ht="23.1" customHeight="1" x14ac:dyDescent="0.25">
      <c r="B12" s="23" t="s">
        <v>39</v>
      </c>
      <c r="C12" s="50">
        <v>56</v>
      </c>
      <c r="D12" s="50">
        <v>1</v>
      </c>
      <c r="E12" s="50">
        <v>5</v>
      </c>
      <c r="F12" s="50">
        <v>33</v>
      </c>
      <c r="G12" s="50">
        <v>0</v>
      </c>
      <c r="H12" s="50">
        <v>1</v>
      </c>
      <c r="I12" s="50">
        <v>4</v>
      </c>
      <c r="J12" s="50">
        <v>3</v>
      </c>
      <c r="K12" s="50">
        <v>0</v>
      </c>
      <c r="L12" s="50">
        <v>0</v>
      </c>
      <c r="M12" s="50">
        <v>270</v>
      </c>
      <c r="N12" s="50">
        <v>0</v>
      </c>
      <c r="O12" s="15">
        <f t="shared" si="0"/>
        <v>103</v>
      </c>
      <c r="P12" s="15">
        <f t="shared" si="1"/>
        <v>373</v>
      </c>
      <c r="R12" s="1" t="s">
        <v>8</v>
      </c>
      <c r="S12" s="17">
        <f t="shared" ref="S12:AF12" si="4">SUM(C18:C21)</f>
        <v>227</v>
      </c>
      <c r="T12" s="17">
        <f t="shared" si="4"/>
        <v>34</v>
      </c>
      <c r="U12" s="17">
        <f t="shared" si="4"/>
        <v>28</v>
      </c>
      <c r="V12" s="17">
        <f t="shared" si="4"/>
        <v>212</v>
      </c>
      <c r="W12" s="17">
        <f t="shared" si="4"/>
        <v>4</v>
      </c>
      <c r="X12" s="17">
        <f t="shared" si="4"/>
        <v>4</v>
      </c>
      <c r="Y12" s="17">
        <f t="shared" si="4"/>
        <v>23</v>
      </c>
      <c r="Z12" s="17">
        <f t="shared" si="4"/>
        <v>17</v>
      </c>
      <c r="AA12" s="17">
        <f t="shared" si="4"/>
        <v>10</v>
      </c>
      <c r="AB12" s="17">
        <f t="shared" si="4"/>
        <v>3</v>
      </c>
      <c r="AC12" s="17">
        <f t="shared" si="4"/>
        <v>1177</v>
      </c>
      <c r="AD12" s="17">
        <f t="shared" si="4"/>
        <v>0</v>
      </c>
      <c r="AE12" s="31">
        <f t="shared" si="4"/>
        <v>562</v>
      </c>
      <c r="AF12" s="31">
        <f t="shared" si="4"/>
        <v>1739</v>
      </c>
    </row>
    <row r="13" spans="2:32" ht="23.1" customHeight="1" x14ac:dyDescent="0.25">
      <c r="B13" s="23" t="s">
        <v>40</v>
      </c>
      <c r="C13" s="50">
        <v>75</v>
      </c>
      <c r="D13" s="50">
        <v>5</v>
      </c>
      <c r="E13" s="50">
        <v>3</v>
      </c>
      <c r="F13" s="50">
        <v>52</v>
      </c>
      <c r="G13" s="50">
        <v>0</v>
      </c>
      <c r="H13" s="50">
        <v>0</v>
      </c>
      <c r="I13" s="50">
        <v>1</v>
      </c>
      <c r="J13" s="50">
        <v>3</v>
      </c>
      <c r="K13" s="50">
        <v>1</v>
      </c>
      <c r="L13" s="50">
        <v>0</v>
      </c>
      <c r="M13" s="50">
        <v>380</v>
      </c>
      <c r="N13" s="50">
        <v>0</v>
      </c>
      <c r="O13" s="15">
        <f t="shared" si="0"/>
        <v>140</v>
      </c>
      <c r="P13" s="15">
        <f t="shared" si="1"/>
        <v>520</v>
      </c>
      <c r="R13" s="1" t="s">
        <v>9</v>
      </c>
      <c r="S13" s="17">
        <f t="shared" ref="S13:AF13" si="5">SUM(C22:C25)</f>
        <v>280</v>
      </c>
      <c r="T13" s="17">
        <f t="shared" si="5"/>
        <v>38</v>
      </c>
      <c r="U13" s="17">
        <f t="shared" si="5"/>
        <v>35</v>
      </c>
      <c r="V13" s="17">
        <f t="shared" si="5"/>
        <v>230</v>
      </c>
      <c r="W13" s="17">
        <f t="shared" si="5"/>
        <v>2</v>
      </c>
      <c r="X13" s="17">
        <f t="shared" si="5"/>
        <v>1</v>
      </c>
      <c r="Y13" s="17">
        <f t="shared" si="5"/>
        <v>33</v>
      </c>
      <c r="Z13" s="17">
        <f t="shared" si="5"/>
        <v>26</v>
      </c>
      <c r="AA13" s="17">
        <f t="shared" si="5"/>
        <v>7</v>
      </c>
      <c r="AB13" s="17">
        <f t="shared" si="5"/>
        <v>5</v>
      </c>
      <c r="AC13" s="17">
        <f t="shared" si="5"/>
        <v>1215</v>
      </c>
      <c r="AD13" s="17">
        <f t="shared" si="5"/>
        <v>0</v>
      </c>
      <c r="AE13" s="31">
        <f t="shared" si="5"/>
        <v>657</v>
      </c>
      <c r="AF13" s="31">
        <f t="shared" si="5"/>
        <v>1872</v>
      </c>
    </row>
    <row r="14" spans="2:32" ht="23.1" customHeight="1" x14ac:dyDescent="0.25">
      <c r="B14" s="23" t="s">
        <v>41</v>
      </c>
      <c r="C14" s="50">
        <v>51</v>
      </c>
      <c r="D14" s="50">
        <v>8</v>
      </c>
      <c r="E14" s="50">
        <v>7</v>
      </c>
      <c r="F14" s="50">
        <v>39</v>
      </c>
      <c r="G14" s="50">
        <v>3</v>
      </c>
      <c r="H14" s="50">
        <v>0</v>
      </c>
      <c r="I14" s="50">
        <v>5</v>
      </c>
      <c r="J14" s="50">
        <v>3</v>
      </c>
      <c r="K14" s="50">
        <v>2</v>
      </c>
      <c r="L14" s="50">
        <v>2</v>
      </c>
      <c r="M14" s="50">
        <v>320</v>
      </c>
      <c r="N14" s="50">
        <v>0</v>
      </c>
      <c r="O14" s="15">
        <f t="shared" si="0"/>
        <v>120</v>
      </c>
      <c r="P14" s="15">
        <f t="shared" si="1"/>
        <v>440</v>
      </c>
      <c r="R14" s="1" t="s">
        <v>10</v>
      </c>
      <c r="S14" s="17">
        <f t="shared" ref="S14:AF14" si="6">SUM(C26:C29)</f>
        <v>252</v>
      </c>
      <c r="T14" s="17">
        <f t="shared" si="6"/>
        <v>37</v>
      </c>
      <c r="U14" s="17">
        <f t="shared" si="6"/>
        <v>35</v>
      </c>
      <c r="V14" s="17">
        <f t="shared" si="6"/>
        <v>219</v>
      </c>
      <c r="W14" s="17">
        <f t="shared" si="6"/>
        <v>7</v>
      </c>
      <c r="X14" s="17">
        <f t="shared" si="6"/>
        <v>1</v>
      </c>
      <c r="Y14" s="17">
        <f t="shared" si="6"/>
        <v>31</v>
      </c>
      <c r="Z14" s="17">
        <f t="shared" si="6"/>
        <v>26</v>
      </c>
      <c r="AA14" s="17">
        <f t="shared" si="6"/>
        <v>12</v>
      </c>
      <c r="AB14" s="17">
        <f t="shared" si="6"/>
        <v>15</v>
      </c>
      <c r="AC14" s="17">
        <f t="shared" si="6"/>
        <v>830</v>
      </c>
      <c r="AD14" s="17">
        <f t="shared" si="6"/>
        <v>0</v>
      </c>
      <c r="AE14" s="31">
        <f t="shared" si="6"/>
        <v>635</v>
      </c>
      <c r="AF14" s="31">
        <f t="shared" si="6"/>
        <v>1465</v>
      </c>
    </row>
    <row r="15" spans="2:32" ht="23.1" customHeight="1" x14ac:dyDescent="0.25">
      <c r="B15" s="23" t="s">
        <v>42</v>
      </c>
      <c r="C15" s="50">
        <v>59</v>
      </c>
      <c r="D15" s="50">
        <v>4</v>
      </c>
      <c r="E15" s="50">
        <v>5</v>
      </c>
      <c r="F15" s="50">
        <v>46</v>
      </c>
      <c r="G15" s="50">
        <v>0</v>
      </c>
      <c r="H15" s="50">
        <v>2</v>
      </c>
      <c r="I15" s="50">
        <v>7</v>
      </c>
      <c r="J15" s="50">
        <v>2</v>
      </c>
      <c r="K15" s="50">
        <v>2</v>
      </c>
      <c r="L15" s="50">
        <v>0</v>
      </c>
      <c r="M15" s="50">
        <v>315</v>
      </c>
      <c r="N15" s="50">
        <v>0</v>
      </c>
      <c r="O15" s="15">
        <f t="shared" si="0"/>
        <v>127</v>
      </c>
      <c r="P15" s="15">
        <f t="shared" si="1"/>
        <v>442</v>
      </c>
      <c r="R15" s="1" t="s">
        <v>11</v>
      </c>
      <c r="S15" s="17">
        <f t="shared" ref="S15:AF15" si="7">SUM(C30:C33)</f>
        <v>241</v>
      </c>
      <c r="T15" s="17">
        <f t="shared" si="7"/>
        <v>31</v>
      </c>
      <c r="U15" s="17">
        <f t="shared" si="7"/>
        <v>27</v>
      </c>
      <c r="V15" s="17">
        <f t="shared" si="7"/>
        <v>181</v>
      </c>
      <c r="W15" s="17">
        <f t="shared" si="7"/>
        <v>1</v>
      </c>
      <c r="X15" s="17">
        <f t="shared" si="7"/>
        <v>3</v>
      </c>
      <c r="Y15" s="17">
        <f t="shared" si="7"/>
        <v>32</v>
      </c>
      <c r="Z15" s="17">
        <f t="shared" si="7"/>
        <v>24</v>
      </c>
      <c r="AA15" s="17">
        <f t="shared" si="7"/>
        <v>11</v>
      </c>
      <c r="AB15" s="17">
        <f t="shared" si="7"/>
        <v>7</v>
      </c>
      <c r="AC15" s="17">
        <f t="shared" si="7"/>
        <v>785</v>
      </c>
      <c r="AD15" s="17">
        <f t="shared" si="7"/>
        <v>0</v>
      </c>
      <c r="AE15" s="31">
        <f t="shared" si="7"/>
        <v>558</v>
      </c>
      <c r="AF15" s="31">
        <f t="shared" si="7"/>
        <v>1343</v>
      </c>
    </row>
    <row r="16" spans="2:32" ht="23.1" customHeight="1" x14ac:dyDescent="0.25">
      <c r="B16" s="23" t="s">
        <v>43</v>
      </c>
      <c r="C16" s="50">
        <v>43</v>
      </c>
      <c r="D16" s="50">
        <v>6</v>
      </c>
      <c r="E16" s="50">
        <v>11</v>
      </c>
      <c r="F16" s="50">
        <v>55</v>
      </c>
      <c r="G16" s="50">
        <v>0</v>
      </c>
      <c r="H16" s="50">
        <v>0</v>
      </c>
      <c r="I16" s="50">
        <v>8</v>
      </c>
      <c r="J16" s="50">
        <v>2</v>
      </c>
      <c r="K16" s="50">
        <v>1</v>
      </c>
      <c r="L16" s="50">
        <v>0</v>
      </c>
      <c r="M16" s="50">
        <v>325</v>
      </c>
      <c r="N16" s="50">
        <v>0</v>
      </c>
      <c r="O16" s="15">
        <f t="shared" si="0"/>
        <v>126</v>
      </c>
      <c r="P16" s="15">
        <f t="shared" si="1"/>
        <v>451</v>
      </c>
      <c r="R16" s="1" t="s">
        <v>12</v>
      </c>
      <c r="S16" s="17">
        <f t="shared" ref="S16:AF16" si="8">SUM(C34:C37)</f>
        <v>248</v>
      </c>
      <c r="T16" s="17">
        <f t="shared" si="8"/>
        <v>32</v>
      </c>
      <c r="U16" s="17">
        <f t="shared" si="8"/>
        <v>25</v>
      </c>
      <c r="V16" s="17">
        <f t="shared" si="8"/>
        <v>164</v>
      </c>
      <c r="W16" s="17">
        <f t="shared" si="8"/>
        <v>4</v>
      </c>
      <c r="X16" s="17">
        <f t="shared" si="8"/>
        <v>2</v>
      </c>
      <c r="Y16" s="17">
        <f t="shared" si="8"/>
        <v>33</v>
      </c>
      <c r="Z16" s="17">
        <f t="shared" si="8"/>
        <v>29</v>
      </c>
      <c r="AA16" s="17">
        <f t="shared" si="8"/>
        <v>14</v>
      </c>
      <c r="AB16" s="17">
        <f t="shared" si="8"/>
        <v>9</v>
      </c>
      <c r="AC16" s="17">
        <f t="shared" si="8"/>
        <v>762</v>
      </c>
      <c r="AD16" s="17">
        <f t="shared" si="8"/>
        <v>0</v>
      </c>
      <c r="AE16" s="31">
        <f t="shared" si="8"/>
        <v>560</v>
      </c>
      <c r="AF16" s="31">
        <f t="shared" si="8"/>
        <v>1322</v>
      </c>
    </row>
    <row r="17" spans="2:32" ht="23.1" customHeight="1" x14ac:dyDescent="0.25">
      <c r="B17" s="23" t="s">
        <v>44</v>
      </c>
      <c r="C17" s="50">
        <v>64</v>
      </c>
      <c r="D17" s="50">
        <v>9</v>
      </c>
      <c r="E17" s="50">
        <v>8</v>
      </c>
      <c r="F17" s="50">
        <v>61</v>
      </c>
      <c r="G17" s="50">
        <v>1</v>
      </c>
      <c r="H17" s="50">
        <v>1</v>
      </c>
      <c r="I17" s="50">
        <v>8</v>
      </c>
      <c r="J17" s="50">
        <v>6</v>
      </c>
      <c r="K17" s="50">
        <v>2</v>
      </c>
      <c r="L17" s="50">
        <v>5</v>
      </c>
      <c r="M17" s="50">
        <v>320</v>
      </c>
      <c r="N17" s="50">
        <v>0</v>
      </c>
      <c r="O17" s="15">
        <f t="shared" si="0"/>
        <v>165</v>
      </c>
      <c r="P17" s="15">
        <f t="shared" si="1"/>
        <v>485</v>
      </c>
      <c r="R17" s="1" t="s">
        <v>13</v>
      </c>
      <c r="S17" s="17">
        <f t="shared" ref="S17:AF17" si="9">SUM(C38:C41)</f>
        <v>216</v>
      </c>
      <c r="T17" s="17">
        <f t="shared" si="9"/>
        <v>23</v>
      </c>
      <c r="U17" s="17">
        <f t="shared" si="9"/>
        <v>35</v>
      </c>
      <c r="V17" s="17">
        <f t="shared" si="9"/>
        <v>129</v>
      </c>
      <c r="W17" s="17">
        <f t="shared" si="9"/>
        <v>1</v>
      </c>
      <c r="X17" s="17">
        <f t="shared" si="9"/>
        <v>1</v>
      </c>
      <c r="Y17" s="17">
        <f t="shared" si="9"/>
        <v>38</v>
      </c>
      <c r="Z17" s="17">
        <f t="shared" si="9"/>
        <v>30</v>
      </c>
      <c r="AA17" s="17">
        <f t="shared" si="9"/>
        <v>10</v>
      </c>
      <c r="AB17" s="17">
        <f t="shared" si="9"/>
        <v>6</v>
      </c>
      <c r="AC17" s="17">
        <f t="shared" si="9"/>
        <v>602</v>
      </c>
      <c r="AD17" s="17">
        <f t="shared" si="9"/>
        <v>0</v>
      </c>
      <c r="AE17" s="31">
        <f t="shared" si="9"/>
        <v>489</v>
      </c>
      <c r="AF17" s="31">
        <f t="shared" si="9"/>
        <v>1091</v>
      </c>
    </row>
    <row r="18" spans="2:32" ht="23.1" customHeight="1" x14ac:dyDescent="0.25">
      <c r="B18" s="23" t="s">
        <v>45</v>
      </c>
      <c r="C18" s="50">
        <v>47</v>
      </c>
      <c r="D18" s="50">
        <v>9</v>
      </c>
      <c r="E18" s="50">
        <v>8</v>
      </c>
      <c r="F18" s="50">
        <v>41</v>
      </c>
      <c r="G18" s="50">
        <v>1</v>
      </c>
      <c r="H18" s="50">
        <v>1</v>
      </c>
      <c r="I18" s="50">
        <v>7</v>
      </c>
      <c r="J18" s="50">
        <v>7</v>
      </c>
      <c r="K18" s="50">
        <v>1</v>
      </c>
      <c r="L18" s="50">
        <v>2</v>
      </c>
      <c r="M18" s="50">
        <v>322</v>
      </c>
      <c r="N18" s="50">
        <v>0</v>
      </c>
      <c r="O18" s="15">
        <f t="shared" si="0"/>
        <v>124</v>
      </c>
      <c r="P18" s="15">
        <f t="shared" si="1"/>
        <v>446</v>
      </c>
      <c r="R18" s="1" t="s">
        <v>14</v>
      </c>
      <c r="S18" s="17">
        <f t="shared" ref="S18:AF18" si="10">SUM(C42:C45)</f>
        <v>228</v>
      </c>
      <c r="T18" s="17">
        <f t="shared" si="10"/>
        <v>19</v>
      </c>
      <c r="U18" s="17">
        <f t="shared" si="10"/>
        <v>39</v>
      </c>
      <c r="V18" s="17">
        <f t="shared" si="10"/>
        <v>185</v>
      </c>
      <c r="W18" s="17">
        <f t="shared" si="10"/>
        <v>2</v>
      </c>
      <c r="X18" s="17">
        <f t="shared" si="10"/>
        <v>4</v>
      </c>
      <c r="Y18" s="17">
        <f t="shared" si="10"/>
        <v>37</v>
      </c>
      <c r="Z18" s="17">
        <f t="shared" si="10"/>
        <v>36</v>
      </c>
      <c r="AA18" s="17">
        <f t="shared" si="10"/>
        <v>19</v>
      </c>
      <c r="AB18" s="17">
        <f t="shared" si="10"/>
        <v>7</v>
      </c>
      <c r="AC18" s="17">
        <f t="shared" si="10"/>
        <v>637</v>
      </c>
      <c r="AD18" s="17">
        <f t="shared" si="10"/>
        <v>0</v>
      </c>
      <c r="AE18" s="31">
        <f t="shared" si="10"/>
        <v>576</v>
      </c>
      <c r="AF18" s="31">
        <f t="shared" si="10"/>
        <v>1213</v>
      </c>
    </row>
    <row r="19" spans="2:32" ht="23.1" customHeight="1" x14ac:dyDescent="0.25">
      <c r="B19" s="23" t="s">
        <v>46</v>
      </c>
      <c r="C19" s="50">
        <v>49</v>
      </c>
      <c r="D19" s="50">
        <v>4</v>
      </c>
      <c r="E19" s="50">
        <v>7</v>
      </c>
      <c r="F19" s="50">
        <v>57</v>
      </c>
      <c r="G19" s="50">
        <v>0</v>
      </c>
      <c r="H19" s="50">
        <v>0</v>
      </c>
      <c r="I19" s="50">
        <v>3</v>
      </c>
      <c r="J19" s="50">
        <v>4</v>
      </c>
      <c r="K19" s="50">
        <v>6</v>
      </c>
      <c r="L19" s="50">
        <v>0</v>
      </c>
      <c r="M19" s="50">
        <v>300</v>
      </c>
      <c r="N19" s="50">
        <v>0</v>
      </c>
      <c r="O19" s="15">
        <f t="shared" si="0"/>
        <v>130</v>
      </c>
      <c r="P19" s="15">
        <f t="shared" si="1"/>
        <v>430</v>
      </c>
      <c r="R19" s="1" t="s">
        <v>15</v>
      </c>
      <c r="S19" s="17">
        <f t="shared" ref="S19:AF19" si="11">SUM(C46:C49)</f>
        <v>189</v>
      </c>
      <c r="T19" s="17">
        <f t="shared" si="11"/>
        <v>27</v>
      </c>
      <c r="U19" s="17">
        <f t="shared" si="11"/>
        <v>47</v>
      </c>
      <c r="V19" s="17">
        <f t="shared" si="11"/>
        <v>183</v>
      </c>
      <c r="W19" s="17">
        <f t="shared" si="11"/>
        <v>1</v>
      </c>
      <c r="X19" s="17">
        <f t="shared" si="11"/>
        <v>0</v>
      </c>
      <c r="Y19" s="17">
        <f t="shared" si="11"/>
        <v>54</v>
      </c>
      <c r="Z19" s="17">
        <f t="shared" si="11"/>
        <v>31</v>
      </c>
      <c r="AA19" s="17">
        <f t="shared" si="11"/>
        <v>18</v>
      </c>
      <c r="AB19" s="17">
        <f t="shared" si="11"/>
        <v>7</v>
      </c>
      <c r="AC19" s="17">
        <f t="shared" si="11"/>
        <v>797</v>
      </c>
      <c r="AD19" s="17">
        <f t="shared" si="11"/>
        <v>0</v>
      </c>
      <c r="AE19" s="31">
        <f t="shared" si="11"/>
        <v>557</v>
      </c>
      <c r="AF19" s="31">
        <f t="shared" si="11"/>
        <v>1354</v>
      </c>
    </row>
    <row r="20" spans="2:32" ht="23.1" customHeight="1" x14ac:dyDescent="0.25">
      <c r="B20" s="23" t="s">
        <v>47</v>
      </c>
      <c r="C20" s="50">
        <v>61</v>
      </c>
      <c r="D20" s="50">
        <v>9</v>
      </c>
      <c r="E20" s="50">
        <v>10</v>
      </c>
      <c r="F20" s="50">
        <v>64</v>
      </c>
      <c r="G20" s="50">
        <v>0</v>
      </c>
      <c r="H20" s="50">
        <v>3</v>
      </c>
      <c r="I20" s="50">
        <v>4</v>
      </c>
      <c r="J20" s="50">
        <v>0</v>
      </c>
      <c r="K20" s="50">
        <v>2</v>
      </c>
      <c r="L20" s="50">
        <v>1</v>
      </c>
      <c r="M20" s="50">
        <v>275</v>
      </c>
      <c r="N20" s="50">
        <v>0</v>
      </c>
      <c r="O20" s="15">
        <f t="shared" si="0"/>
        <v>154</v>
      </c>
      <c r="P20" s="15">
        <f t="shared" si="1"/>
        <v>429</v>
      </c>
      <c r="R20" s="1" t="s">
        <v>16</v>
      </c>
      <c r="S20" s="17">
        <f t="shared" ref="S20:AF20" si="12">SUM(C50:C53)</f>
        <v>228</v>
      </c>
      <c r="T20" s="17">
        <f t="shared" si="12"/>
        <v>24</v>
      </c>
      <c r="U20" s="17">
        <f t="shared" si="12"/>
        <v>47</v>
      </c>
      <c r="V20" s="17">
        <f t="shared" si="12"/>
        <v>232</v>
      </c>
      <c r="W20" s="17">
        <f t="shared" si="12"/>
        <v>3</v>
      </c>
      <c r="X20" s="17">
        <f t="shared" si="12"/>
        <v>5</v>
      </c>
      <c r="Y20" s="17">
        <f t="shared" si="12"/>
        <v>25</v>
      </c>
      <c r="Z20" s="17">
        <f t="shared" si="12"/>
        <v>20</v>
      </c>
      <c r="AA20" s="17">
        <f t="shared" si="12"/>
        <v>18</v>
      </c>
      <c r="AB20" s="17">
        <f t="shared" si="12"/>
        <v>11</v>
      </c>
      <c r="AC20" s="17">
        <f t="shared" si="12"/>
        <v>840</v>
      </c>
      <c r="AD20" s="17">
        <f t="shared" si="12"/>
        <v>0</v>
      </c>
      <c r="AE20" s="31">
        <f t="shared" si="12"/>
        <v>613</v>
      </c>
      <c r="AF20" s="31">
        <f t="shared" si="12"/>
        <v>1453</v>
      </c>
    </row>
    <row r="21" spans="2:32" ht="23.1" customHeight="1" x14ac:dyDescent="0.25">
      <c r="B21" s="23" t="s">
        <v>48</v>
      </c>
      <c r="C21" s="50">
        <v>70</v>
      </c>
      <c r="D21" s="50">
        <v>12</v>
      </c>
      <c r="E21" s="50">
        <v>3</v>
      </c>
      <c r="F21" s="50">
        <v>50</v>
      </c>
      <c r="G21" s="50">
        <v>3</v>
      </c>
      <c r="H21" s="50">
        <v>0</v>
      </c>
      <c r="I21" s="50">
        <v>9</v>
      </c>
      <c r="J21" s="50">
        <v>6</v>
      </c>
      <c r="K21" s="50">
        <v>1</v>
      </c>
      <c r="L21" s="50">
        <v>0</v>
      </c>
      <c r="M21" s="50">
        <v>280</v>
      </c>
      <c r="N21" s="50">
        <v>0</v>
      </c>
      <c r="O21" s="15">
        <f t="shared" si="0"/>
        <v>154</v>
      </c>
      <c r="P21" s="15">
        <f t="shared" si="1"/>
        <v>434</v>
      </c>
      <c r="R21" s="36" t="s">
        <v>20</v>
      </c>
      <c r="S21" s="34">
        <f t="shared" ref="S21:AF21" si="13">SUM(C54:C57)</f>
        <v>241</v>
      </c>
      <c r="T21" s="17">
        <f t="shared" si="13"/>
        <v>14</v>
      </c>
      <c r="U21" s="17">
        <f t="shared" si="13"/>
        <v>31</v>
      </c>
      <c r="V21" s="17">
        <f t="shared" si="13"/>
        <v>239</v>
      </c>
      <c r="W21" s="17">
        <f t="shared" si="13"/>
        <v>7</v>
      </c>
      <c r="X21" s="17">
        <f t="shared" si="13"/>
        <v>1</v>
      </c>
      <c r="Y21" s="17">
        <f t="shared" si="13"/>
        <v>16</v>
      </c>
      <c r="Z21" s="17">
        <f t="shared" si="13"/>
        <v>13</v>
      </c>
      <c r="AA21" s="17">
        <f t="shared" si="13"/>
        <v>4</v>
      </c>
      <c r="AB21" s="17">
        <f t="shared" si="13"/>
        <v>3</v>
      </c>
      <c r="AC21" s="17">
        <f t="shared" si="13"/>
        <v>804</v>
      </c>
      <c r="AD21" s="17">
        <f t="shared" si="13"/>
        <v>0</v>
      </c>
      <c r="AE21" s="31">
        <f t="shared" si="13"/>
        <v>569</v>
      </c>
      <c r="AF21" s="31">
        <f t="shared" si="13"/>
        <v>1373</v>
      </c>
    </row>
    <row r="22" spans="2:32" ht="23.1" customHeight="1" x14ac:dyDescent="0.25">
      <c r="B22" s="23" t="s">
        <v>49</v>
      </c>
      <c r="C22" s="50">
        <v>49</v>
      </c>
      <c r="D22" s="50">
        <v>6</v>
      </c>
      <c r="E22" s="50">
        <v>10</v>
      </c>
      <c r="F22" s="50">
        <v>70</v>
      </c>
      <c r="G22" s="50">
        <v>0</v>
      </c>
      <c r="H22" s="50">
        <v>0</v>
      </c>
      <c r="I22" s="50">
        <v>12</v>
      </c>
      <c r="J22" s="50">
        <v>5</v>
      </c>
      <c r="K22" s="50">
        <v>2</v>
      </c>
      <c r="L22" s="50">
        <v>1</v>
      </c>
      <c r="M22" s="50">
        <v>275</v>
      </c>
      <c r="N22" s="50">
        <v>0</v>
      </c>
      <c r="O22" s="15">
        <f t="shared" si="0"/>
        <v>155</v>
      </c>
      <c r="P22" s="15">
        <f t="shared" si="1"/>
        <v>430</v>
      </c>
      <c r="R22" s="38" t="s">
        <v>90</v>
      </c>
      <c r="S22" s="39">
        <f>MAX(S10:S12)</f>
        <v>260</v>
      </c>
      <c r="T22" s="39">
        <f t="shared" ref="T22:AF22" si="14">MAX(T10:T12)</f>
        <v>34</v>
      </c>
      <c r="U22" s="39">
        <f t="shared" si="14"/>
        <v>31</v>
      </c>
      <c r="V22" s="39">
        <f t="shared" si="14"/>
        <v>212</v>
      </c>
      <c r="W22" s="39">
        <f t="shared" si="14"/>
        <v>4</v>
      </c>
      <c r="X22" s="39">
        <f t="shared" si="14"/>
        <v>4</v>
      </c>
      <c r="Y22" s="39">
        <f t="shared" si="14"/>
        <v>28</v>
      </c>
      <c r="Z22" s="39">
        <f t="shared" si="14"/>
        <v>17</v>
      </c>
      <c r="AA22" s="39">
        <f t="shared" si="14"/>
        <v>10</v>
      </c>
      <c r="AB22" s="39">
        <f t="shared" si="14"/>
        <v>7</v>
      </c>
      <c r="AC22" s="39">
        <f t="shared" si="14"/>
        <v>1280</v>
      </c>
      <c r="AD22" s="39">
        <f t="shared" si="14"/>
        <v>0</v>
      </c>
      <c r="AE22" s="40">
        <f t="shared" si="14"/>
        <v>562</v>
      </c>
      <c r="AF22" s="40">
        <f t="shared" si="14"/>
        <v>1818</v>
      </c>
    </row>
    <row r="23" spans="2:32" ht="23.1" customHeight="1" x14ac:dyDescent="0.25">
      <c r="B23" s="23" t="s">
        <v>50</v>
      </c>
      <c r="C23" s="50">
        <v>75</v>
      </c>
      <c r="D23" s="50">
        <v>15</v>
      </c>
      <c r="E23" s="50">
        <v>12</v>
      </c>
      <c r="F23" s="50">
        <v>53</v>
      </c>
      <c r="G23" s="50">
        <v>1</v>
      </c>
      <c r="H23" s="50">
        <v>0</v>
      </c>
      <c r="I23" s="50">
        <v>7</v>
      </c>
      <c r="J23" s="50">
        <v>8</v>
      </c>
      <c r="K23" s="50">
        <v>1</v>
      </c>
      <c r="L23" s="50">
        <v>0</v>
      </c>
      <c r="M23" s="50">
        <v>330</v>
      </c>
      <c r="N23" s="50">
        <v>0</v>
      </c>
      <c r="O23" s="15">
        <f t="shared" si="0"/>
        <v>172</v>
      </c>
      <c r="P23" s="15">
        <f t="shared" si="1"/>
        <v>502</v>
      </c>
      <c r="R23" s="38" t="s">
        <v>91</v>
      </c>
      <c r="S23" s="39">
        <f>MAX(S13:S18)</f>
        <v>280</v>
      </c>
      <c r="T23" s="39">
        <f t="shared" ref="T23:AF23" si="15">MAX(T13:T18)</f>
        <v>38</v>
      </c>
      <c r="U23" s="39">
        <f t="shared" si="15"/>
        <v>39</v>
      </c>
      <c r="V23" s="39">
        <f t="shared" si="15"/>
        <v>230</v>
      </c>
      <c r="W23" s="39">
        <f t="shared" si="15"/>
        <v>7</v>
      </c>
      <c r="X23" s="39">
        <f t="shared" si="15"/>
        <v>4</v>
      </c>
      <c r="Y23" s="39">
        <f t="shared" si="15"/>
        <v>38</v>
      </c>
      <c r="Z23" s="39">
        <f t="shared" si="15"/>
        <v>36</v>
      </c>
      <c r="AA23" s="39">
        <f t="shared" si="15"/>
        <v>19</v>
      </c>
      <c r="AB23" s="39">
        <f t="shared" si="15"/>
        <v>15</v>
      </c>
      <c r="AC23" s="39">
        <f t="shared" si="15"/>
        <v>1215</v>
      </c>
      <c r="AD23" s="39">
        <f t="shared" si="15"/>
        <v>0</v>
      </c>
      <c r="AE23" s="40">
        <f t="shared" si="15"/>
        <v>657</v>
      </c>
      <c r="AF23" s="40">
        <f t="shared" si="15"/>
        <v>1872</v>
      </c>
    </row>
    <row r="24" spans="2:32" ht="23.1" customHeight="1" x14ac:dyDescent="0.25">
      <c r="B24" s="23" t="s">
        <v>51</v>
      </c>
      <c r="C24" s="50">
        <v>87</v>
      </c>
      <c r="D24" s="50">
        <v>10</v>
      </c>
      <c r="E24" s="50">
        <v>7</v>
      </c>
      <c r="F24" s="50">
        <v>49</v>
      </c>
      <c r="G24" s="50">
        <v>1</v>
      </c>
      <c r="H24" s="50">
        <v>1</v>
      </c>
      <c r="I24" s="50">
        <v>9</v>
      </c>
      <c r="J24" s="50">
        <v>7</v>
      </c>
      <c r="K24" s="50">
        <v>2</v>
      </c>
      <c r="L24" s="50">
        <v>3</v>
      </c>
      <c r="M24" s="50">
        <v>330</v>
      </c>
      <c r="N24" s="50">
        <v>0</v>
      </c>
      <c r="O24" s="15">
        <f t="shared" si="0"/>
        <v>176</v>
      </c>
      <c r="P24" s="15">
        <f t="shared" si="1"/>
        <v>506</v>
      </c>
      <c r="R24" s="38" t="s">
        <v>92</v>
      </c>
      <c r="S24" s="39">
        <f>MAX(S19:S21)</f>
        <v>241</v>
      </c>
      <c r="T24" s="39">
        <f t="shared" ref="T24:AF24" si="16">MAX(T19:T21)</f>
        <v>27</v>
      </c>
      <c r="U24" s="39">
        <f t="shared" si="16"/>
        <v>47</v>
      </c>
      <c r="V24" s="39">
        <f t="shared" si="16"/>
        <v>239</v>
      </c>
      <c r="W24" s="39">
        <f t="shared" si="16"/>
        <v>7</v>
      </c>
      <c r="X24" s="39">
        <f t="shared" si="16"/>
        <v>5</v>
      </c>
      <c r="Y24" s="39">
        <f t="shared" si="16"/>
        <v>54</v>
      </c>
      <c r="Z24" s="39">
        <f t="shared" si="16"/>
        <v>31</v>
      </c>
      <c r="AA24" s="39">
        <f t="shared" si="16"/>
        <v>18</v>
      </c>
      <c r="AB24" s="39">
        <f t="shared" si="16"/>
        <v>11</v>
      </c>
      <c r="AC24" s="39">
        <f t="shared" si="16"/>
        <v>840</v>
      </c>
      <c r="AD24" s="39">
        <f t="shared" si="16"/>
        <v>0</v>
      </c>
      <c r="AE24" s="40">
        <f t="shared" si="16"/>
        <v>613</v>
      </c>
      <c r="AF24" s="40">
        <f t="shared" si="16"/>
        <v>1453</v>
      </c>
    </row>
    <row r="25" spans="2:32" ht="23.1" customHeight="1" x14ac:dyDescent="0.25">
      <c r="B25" s="23" t="s">
        <v>52</v>
      </c>
      <c r="C25" s="50">
        <v>69</v>
      </c>
      <c r="D25" s="50">
        <v>7</v>
      </c>
      <c r="E25" s="50">
        <v>6</v>
      </c>
      <c r="F25" s="50">
        <v>58</v>
      </c>
      <c r="G25" s="50">
        <v>0</v>
      </c>
      <c r="H25" s="50">
        <v>0</v>
      </c>
      <c r="I25" s="50">
        <v>5</v>
      </c>
      <c r="J25" s="50">
        <v>6</v>
      </c>
      <c r="K25" s="50">
        <v>2</v>
      </c>
      <c r="L25" s="50">
        <v>1</v>
      </c>
      <c r="M25" s="50">
        <v>280</v>
      </c>
      <c r="N25" s="50">
        <v>0</v>
      </c>
      <c r="O25" s="15">
        <f t="shared" si="0"/>
        <v>154</v>
      </c>
      <c r="P25" s="15">
        <f t="shared" si="1"/>
        <v>434</v>
      </c>
      <c r="R25" s="37" t="s">
        <v>85</v>
      </c>
      <c r="S25" s="35">
        <f t="shared" ref="S25:AF25" si="17">SUM(S10:S12)</f>
        <v>704</v>
      </c>
      <c r="T25" s="16">
        <f t="shared" si="17"/>
        <v>73</v>
      </c>
      <c r="U25" s="16">
        <f t="shared" si="17"/>
        <v>76</v>
      </c>
      <c r="V25" s="16">
        <f t="shared" si="17"/>
        <v>580</v>
      </c>
      <c r="W25" s="16">
        <f t="shared" si="17"/>
        <v>10</v>
      </c>
      <c r="X25" s="16">
        <f t="shared" si="17"/>
        <v>9</v>
      </c>
      <c r="Y25" s="16">
        <f t="shared" si="17"/>
        <v>59</v>
      </c>
      <c r="Z25" s="16">
        <f t="shared" si="17"/>
        <v>38</v>
      </c>
      <c r="AA25" s="16">
        <f t="shared" si="17"/>
        <v>19</v>
      </c>
      <c r="AB25" s="16">
        <f t="shared" si="17"/>
        <v>10</v>
      </c>
      <c r="AC25" s="16">
        <f t="shared" si="17"/>
        <v>3667</v>
      </c>
      <c r="AD25" s="16">
        <f t="shared" si="17"/>
        <v>0</v>
      </c>
      <c r="AE25" s="32">
        <f t="shared" si="17"/>
        <v>1578</v>
      </c>
      <c r="AF25" s="32">
        <f t="shared" si="17"/>
        <v>5245</v>
      </c>
    </row>
    <row r="26" spans="2:32" ht="23.1" customHeight="1" x14ac:dyDescent="0.25">
      <c r="B26" s="23" t="s">
        <v>53</v>
      </c>
      <c r="C26" s="50">
        <v>83</v>
      </c>
      <c r="D26" s="50">
        <v>5</v>
      </c>
      <c r="E26" s="50">
        <v>13</v>
      </c>
      <c r="F26" s="50">
        <v>75</v>
      </c>
      <c r="G26" s="50">
        <v>0</v>
      </c>
      <c r="H26" s="50">
        <v>0</v>
      </c>
      <c r="I26" s="50">
        <v>7</v>
      </c>
      <c r="J26" s="50">
        <v>6</v>
      </c>
      <c r="K26" s="50">
        <v>4</v>
      </c>
      <c r="L26" s="50">
        <v>4</v>
      </c>
      <c r="M26" s="50">
        <v>265</v>
      </c>
      <c r="N26" s="50">
        <v>0</v>
      </c>
      <c r="O26" s="15">
        <f t="shared" si="0"/>
        <v>197</v>
      </c>
      <c r="P26" s="15">
        <f t="shared" si="1"/>
        <v>462</v>
      </c>
      <c r="R26" s="28" t="s">
        <v>86</v>
      </c>
      <c r="S26" s="16">
        <f t="shared" ref="S26:AF26" si="18">SUM(S13:S18)</f>
        <v>1465</v>
      </c>
      <c r="T26" s="16">
        <f t="shared" si="18"/>
        <v>180</v>
      </c>
      <c r="U26" s="16">
        <f t="shared" si="18"/>
        <v>196</v>
      </c>
      <c r="V26" s="16">
        <f t="shared" si="18"/>
        <v>1108</v>
      </c>
      <c r="W26" s="16">
        <f t="shared" si="18"/>
        <v>17</v>
      </c>
      <c r="X26" s="16">
        <f t="shared" si="18"/>
        <v>12</v>
      </c>
      <c r="Y26" s="16">
        <f t="shared" si="18"/>
        <v>204</v>
      </c>
      <c r="Z26" s="16">
        <f t="shared" si="18"/>
        <v>171</v>
      </c>
      <c r="AA26" s="16">
        <f t="shared" si="18"/>
        <v>73</v>
      </c>
      <c r="AB26" s="16">
        <f t="shared" si="18"/>
        <v>49</v>
      </c>
      <c r="AC26" s="16">
        <f t="shared" si="18"/>
        <v>4831</v>
      </c>
      <c r="AD26" s="16">
        <f t="shared" si="18"/>
        <v>0</v>
      </c>
      <c r="AE26" s="32">
        <f t="shared" si="18"/>
        <v>3475</v>
      </c>
      <c r="AF26" s="32">
        <f t="shared" si="18"/>
        <v>8306</v>
      </c>
    </row>
    <row r="27" spans="2:32" ht="23.1" customHeight="1" x14ac:dyDescent="0.25">
      <c r="B27" s="23" t="s">
        <v>54</v>
      </c>
      <c r="C27" s="50">
        <v>52</v>
      </c>
      <c r="D27" s="50">
        <v>5</v>
      </c>
      <c r="E27" s="50">
        <v>7</v>
      </c>
      <c r="F27" s="50">
        <v>47</v>
      </c>
      <c r="G27" s="50">
        <v>1</v>
      </c>
      <c r="H27" s="50">
        <v>0</v>
      </c>
      <c r="I27" s="50">
        <v>2</v>
      </c>
      <c r="J27" s="50">
        <v>7</v>
      </c>
      <c r="K27" s="50">
        <v>4</v>
      </c>
      <c r="L27" s="50">
        <v>6</v>
      </c>
      <c r="M27" s="50">
        <v>230</v>
      </c>
      <c r="N27" s="50">
        <v>0</v>
      </c>
      <c r="O27" s="15">
        <f t="shared" si="0"/>
        <v>131</v>
      </c>
      <c r="P27" s="15">
        <f t="shared" si="1"/>
        <v>361</v>
      </c>
      <c r="R27" s="29" t="s">
        <v>87</v>
      </c>
      <c r="S27" s="16">
        <f t="shared" ref="S27:AF27" si="19">SUM(S19:S21)</f>
        <v>658</v>
      </c>
      <c r="T27" s="16">
        <f t="shared" si="19"/>
        <v>65</v>
      </c>
      <c r="U27" s="16">
        <f t="shared" si="19"/>
        <v>125</v>
      </c>
      <c r="V27" s="16">
        <f t="shared" si="19"/>
        <v>654</v>
      </c>
      <c r="W27" s="16">
        <f t="shared" si="19"/>
        <v>11</v>
      </c>
      <c r="X27" s="16">
        <f t="shared" si="19"/>
        <v>6</v>
      </c>
      <c r="Y27" s="16">
        <f t="shared" si="19"/>
        <v>95</v>
      </c>
      <c r="Z27" s="16">
        <f t="shared" si="19"/>
        <v>64</v>
      </c>
      <c r="AA27" s="16">
        <f t="shared" si="19"/>
        <v>40</v>
      </c>
      <c r="AB27" s="16">
        <f t="shared" si="19"/>
        <v>21</v>
      </c>
      <c r="AC27" s="16">
        <f t="shared" si="19"/>
        <v>2441</v>
      </c>
      <c r="AD27" s="16">
        <f t="shared" si="19"/>
        <v>0</v>
      </c>
      <c r="AE27" s="32">
        <f t="shared" si="19"/>
        <v>1739</v>
      </c>
      <c r="AF27" s="32">
        <f t="shared" si="19"/>
        <v>4180</v>
      </c>
    </row>
    <row r="28" spans="2:32" ht="23.1" customHeight="1" x14ac:dyDescent="0.25">
      <c r="B28" s="23" t="s">
        <v>55</v>
      </c>
      <c r="C28" s="50">
        <v>61</v>
      </c>
      <c r="D28" s="50">
        <v>19</v>
      </c>
      <c r="E28" s="50">
        <v>7</v>
      </c>
      <c r="F28" s="50">
        <v>55</v>
      </c>
      <c r="G28" s="50">
        <v>3</v>
      </c>
      <c r="H28" s="50">
        <v>0</v>
      </c>
      <c r="I28" s="50">
        <v>11</v>
      </c>
      <c r="J28" s="50">
        <v>4</v>
      </c>
      <c r="K28" s="50">
        <v>2</v>
      </c>
      <c r="L28" s="50">
        <v>3</v>
      </c>
      <c r="M28" s="50">
        <v>140</v>
      </c>
      <c r="N28" s="50">
        <v>0</v>
      </c>
      <c r="O28" s="15">
        <f t="shared" si="0"/>
        <v>165</v>
      </c>
      <c r="P28" s="15">
        <f t="shared" si="1"/>
        <v>305</v>
      </c>
      <c r="R28" s="5" t="s">
        <v>17</v>
      </c>
      <c r="S28" s="16">
        <f t="shared" ref="S28:AF28" si="20">SUM(S10:S21)</f>
        <v>2827</v>
      </c>
      <c r="T28" s="16">
        <f t="shared" si="20"/>
        <v>318</v>
      </c>
      <c r="U28" s="16">
        <f t="shared" si="20"/>
        <v>397</v>
      </c>
      <c r="V28" s="16">
        <f t="shared" si="20"/>
        <v>2342</v>
      </c>
      <c r="W28" s="16">
        <f t="shared" si="20"/>
        <v>38</v>
      </c>
      <c r="X28" s="16">
        <f t="shared" si="20"/>
        <v>27</v>
      </c>
      <c r="Y28" s="16">
        <f t="shared" si="20"/>
        <v>358</v>
      </c>
      <c r="Z28" s="16">
        <f t="shared" si="20"/>
        <v>273</v>
      </c>
      <c r="AA28" s="16">
        <f t="shared" si="20"/>
        <v>132</v>
      </c>
      <c r="AB28" s="16">
        <f t="shared" si="20"/>
        <v>80</v>
      </c>
      <c r="AC28" s="16">
        <f t="shared" si="20"/>
        <v>10939</v>
      </c>
      <c r="AD28" s="16">
        <f t="shared" si="20"/>
        <v>0</v>
      </c>
      <c r="AE28" s="32">
        <f t="shared" si="20"/>
        <v>6792</v>
      </c>
      <c r="AF28" s="32">
        <f t="shared" si="20"/>
        <v>17731</v>
      </c>
    </row>
    <row r="29" spans="2:32" ht="23.1" customHeight="1" x14ac:dyDescent="0.25">
      <c r="B29" s="23" t="s">
        <v>56</v>
      </c>
      <c r="C29" s="50">
        <v>56</v>
      </c>
      <c r="D29" s="50">
        <v>8</v>
      </c>
      <c r="E29" s="50">
        <v>8</v>
      </c>
      <c r="F29" s="50">
        <v>42</v>
      </c>
      <c r="G29" s="50">
        <v>3</v>
      </c>
      <c r="H29" s="50">
        <v>1</v>
      </c>
      <c r="I29" s="50">
        <v>11</v>
      </c>
      <c r="J29" s="50">
        <v>9</v>
      </c>
      <c r="K29" s="50">
        <v>2</v>
      </c>
      <c r="L29" s="50">
        <v>2</v>
      </c>
      <c r="M29" s="50">
        <v>195</v>
      </c>
      <c r="N29" s="50">
        <v>0</v>
      </c>
      <c r="O29" s="15">
        <f t="shared" si="0"/>
        <v>142</v>
      </c>
      <c r="P29" s="15">
        <f t="shared" si="1"/>
        <v>337</v>
      </c>
      <c r="R29"/>
      <c r="S29" s="20"/>
      <c r="T29" s="19"/>
    </row>
    <row r="30" spans="2:32" ht="23.1" customHeight="1" x14ac:dyDescent="0.25">
      <c r="B30" s="23" t="s">
        <v>57</v>
      </c>
      <c r="C30" s="50">
        <v>67</v>
      </c>
      <c r="D30" s="50">
        <v>10</v>
      </c>
      <c r="E30" s="50">
        <v>7</v>
      </c>
      <c r="F30" s="50">
        <v>53</v>
      </c>
      <c r="G30" s="50">
        <v>0</v>
      </c>
      <c r="H30" s="50">
        <v>1</v>
      </c>
      <c r="I30" s="50">
        <v>6</v>
      </c>
      <c r="J30" s="50">
        <v>7</v>
      </c>
      <c r="K30" s="50">
        <v>3</v>
      </c>
      <c r="L30" s="50">
        <v>1</v>
      </c>
      <c r="M30" s="50">
        <v>155</v>
      </c>
      <c r="N30" s="50">
        <v>0</v>
      </c>
      <c r="O30" s="15">
        <f t="shared" si="0"/>
        <v>155</v>
      </c>
      <c r="P30" s="15">
        <f t="shared" si="1"/>
        <v>310</v>
      </c>
    </row>
    <row r="31" spans="2:32" ht="23.1" customHeight="1" x14ac:dyDescent="0.25">
      <c r="B31" s="24" t="s">
        <v>58</v>
      </c>
      <c r="C31" s="50">
        <v>54</v>
      </c>
      <c r="D31" s="50">
        <v>5</v>
      </c>
      <c r="E31" s="50">
        <v>8</v>
      </c>
      <c r="F31" s="50">
        <v>47</v>
      </c>
      <c r="G31" s="50">
        <v>0</v>
      </c>
      <c r="H31" s="50">
        <v>1</v>
      </c>
      <c r="I31" s="50">
        <v>12</v>
      </c>
      <c r="J31" s="50">
        <v>8</v>
      </c>
      <c r="K31" s="50">
        <v>2</v>
      </c>
      <c r="L31" s="50">
        <v>1</v>
      </c>
      <c r="M31" s="50">
        <v>275</v>
      </c>
      <c r="N31" s="50">
        <v>0</v>
      </c>
      <c r="O31" s="15">
        <f t="shared" si="0"/>
        <v>138</v>
      </c>
      <c r="P31" s="15">
        <f t="shared" si="1"/>
        <v>413</v>
      </c>
    </row>
    <row r="32" spans="2:32" ht="23.1" customHeight="1" x14ac:dyDescent="0.25">
      <c r="B32" s="24" t="s">
        <v>59</v>
      </c>
      <c r="C32" s="50">
        <v>52</v>
      </c>
      <c r="D32" s="50">
        <v>5</v>
      </c>
      <c r="E32" s="50">
        <v>7</v>
      </c>
      <c r="F32" s="50">
        <v>38</v>
      </c>
      <c r="G32" s="50">
        <v>1</v>
      </c>
      <c r="H32" s="50">
        <v>1</v>
      </c>
      <c r="I32" s="50">
        <v>6</v>
      </c>
      <c r="J32" s="50">
        <v>2</v>
      </c>
      <c r="K32" s="50">
        <v>1</v>
      </c>
      <c r="L32" s="50">
        <v>1</v>
      </c>
      <c r="M32" s="50">
        <v>190</v>
      </c>
      <c r="N32" s="50">
        <v>0</v>
      </c>
      <c r="O32" s="15">
        <f t="shared" si="0"/>
        <v>114</v>
      </c>
      <c r="P32" s="15">
        <f t="shared" si="1"/>
        <v>304</v>
      </c>
    </row>
    <row r="33" spans="2:20" ht="23.1" customHeight="1" x14ac:dyDescent="0.25">
      <c r="B33" s="23" t="s">
        <v>60</v>
      </c>
      <c r="C33" s="50">
        <v>68</v>
      </c>
      <c r="D33" s="50">
        <v>11</v>
      </c>
      <c r="E33" s="50">
        <v>5</v>
      </c>
      <c r="F33" s="50">
        <v>43</v>
      </c>
      <c r="G33" s="50">
        <v>0</v>
      </c>
      <c r="H33" s="50">
        <v>0</v>
      </c>
      <c r="I33" s="50">
        <v>8</v>
      </c>
      <c r="J33" s="50">
        <v>7</v>
      </c>
      <c r="K33" s="50">
        <v>5</v>
      </c>
      <c r="L33" s="50">
        <v>4</v>
      </c>
      <c r="M33" s="50">
        <v>165</v>
      </c>
      <c r="N33" s="50">
        <v>0</v>
      </c>
      <c r="O33" s="15">
        <f t="shared" si="0"/>
        <v>151</v>
      </c>
      <c r="P33" s="15">
        <f t="shared" si="1"/>
        <v>316</v>
      </c>
    </row>
    <row r="34" spans="2:20" ht="23.1" customHeight="1" x14ac:dyDescent="0.25">
      <c r="B34" s="24" t="s">
        <v>61</v>
      </c>
      <c r="C34" s="50">
        <v>70</v>
      </c>
      <c r="D34" s="50">
        <v>2</v>
      </c>
      <c r="E34" s="50">
        <v>2</v>
      </c>
      <c r="F34" s="50">
        <v>48</v>
      </c>
      <c r="G34" s="50">
        <v>1</v>
      </c>
      <c r="H34" s="50">
        <v>0</v>
      </c>
      <c r="I34" s="50">
        <v>5</v>
      </c>
      <c r="J34" s="50">
        <v>6</v>
      </c>
      <c r="K34" s="50">
        <v>4</v>
      </c>
      <c r="L34" s="50">
        <v>3</v>
      </c>
      <c r="M34" s="50">
        <v>190</v>
      </c>
      <c r="N34" s="50">
        <v>0</v>
      </c>
      <c r="O34" s="15">
        <f t="shared" si="0"/>
        <v>141</v>
      </c>
      <c r="P34" s="15">
        <f t="shared" si="1"/>
        <v>331</v>
      </c>
    </row>
    <row r="35" spans="2:20" ht="23.1" customHeight="1" x14ac:dyDescent="0.25">
      <c r="B35" s="24" t="s">
        <v>62</v>
      </c>
      <c r="C35" s="50">
        <v>60</v>
      </c>
      <c r="D35" s="50">
        <v>15</v>
      </c>
      <c r="E35" s="50">
        <v>9</v>
      </c>
      <c r="F35" s="50">
        <v>31</v>
      </c>
      <c r="G35" s="50">
        <v>0</v>
      </c>
      <c r="H35" s="50">
        <v>1</v>
      </c>
      <c r="I35" s="50">
        <v>5</v>
      </c>
      <c r="J35" s="50">
        <v>7</v>
      </c>
      <c r="K35" s="50">
        <v>3</v>
      </c>
      <c r="L35" s="50">
        <v>1</v>
      </c>
      <c r="M35" s="50">
        <v>190</v>
      </c>
      <c r="N35" s="50">
        <v>0</v>
      </c>
      <c r="O35" s="15">
        <f t="shared" si="0"/>
        <v>132</v>
      </c>
      <c r="P35" s="15">
        <f t="shared" si="1"/>
        <v>322</v>
      </c>
    </row>
    <row r="36" spans="2:20" ht="23.1" customHeight="1" x14ac:dyDescent="0.25">
      <c r="B36" s="24" t="s">
        <v>63</v>
      </c>
      <c r="C36" s="50">
        <v>58</v>
      </c>
      <c r="D36" s="50">
        <v>9</v>
      </c>
      <c r="E36" s="50">
        <v>9</v>
      </c>
      <c r="F36" s="50">
        <v>44</v>
      </c>
      <c r="G36" s="50">
        <v>3</v>
      </c>
      <c r="H36" s="50">
        <v>1</v>
      </c>
      <c r="I36" s="50">
        <v>12</v>
      </c>
      <c r="J36" s="50">
        <v>8</v>
      </c>
      <c r="K36" s="50">
        <v>6</v>
      </c>
      <c r="L36" s="50">
        <v>2</v>
      </c>
      <c r="M36" s="50">
        <v>170</v>
      </c>
      <c r="N36" s="50">
        <v>0</v>
      </c>
      <c r="O36" s="15">
        <f t="shared" si="0"/>
        <v>152</v>
      </c>
      <c r="P36" s="15">
        <f t="shared" si="1"/>
        <v>322</v>
      </c>
    </row>
    <row r="37" spans="2:20" ht="23.1" customHeight="1" x14ac:dyDescent="0.25">
      <c r="B37" s="23" t="s">
        <v>64</v>
      </c>
      <c r="C37" s="50">
        <v>60</v>
      </c>
      <c r="D37" s="50">
        <v>6</v>
      </c>
      <c r="E37" s="50">
        <v>5</v>
      </c>
      <c r="F37" s="50">
        <v>41</v>
      </c>
      <c r="G37" s="50">
        <v>0</v>
      </c>
      <c r="H37" s="50">
        <v>0</v>
      </c>
      <c r="I37" s="50">
        <v>11</v>
      </c>
      <c r="J37" s="50">
        <v>8</v>
      </c>
      <c r="K37" s="50">
        <v>1</v>
      </c>
      <c r="L37" s="50">
        <v>3</v>
      </c>
      <c r="M37" s="50">
        <v>212</v>
      </c>
      <c r="N37" s="50">
        <v>0</v>
      </c>
      <c r="O37" s="15">
        <f t="shared" si="0"/>
        <v>135</v>
      </c>
      <c r="P37" s="15">
        <f t="shared" si="1"/>
        <v>347</v>
      </c>
    </row>
    <row r="38" spans="2:20" ht="23.1" customHeight="1" x14ac:dyDescent="0.25">
      <c r="B38" s="24" t="s">
        <v>65</v>
      </c>
      <c r="C38" s="50">
        <v>64</v>
      </c>
      <c r="D38" s="50">
        <v>5</v>
      </c>
      <c r="E38" s="50">
        <v>10</v>
      </c>
      <c r="F38" s="50">
        <v>27</v>
      </c>
      <c r="G38" s="50">
        <v>0</v>
      </c>
      <c r="H38" s="50">
        <v>0</v>
      </c>
      <c r="I38" s="50">
        <v>6</v>
      </c>
      <c r="J38" s="50">
        <v>8</v>
      </c>
      <c r="K38" s="50">
        <v>3</v>
      </c>
      <c r="L38" s="50">
        <v>2</v>
      </c>
      <c r="M38" s="50">
        <v>155</v>
      </c>
      <c r="N38" s="50">
        <v>0</v>
      </c>
      <c r="O38" s="15">
        <f t="shared" si="0"/>
        <v>125</v>
      </c>
      <c r="P38" s="15">
        <f t="shared" si="1"/>
        <v>280</v>
      </c>
    </row>
    <row r="39" spans="2:20" ht="23.1" customHeight="1" x14ac:dyDescent="0.25">
      <c r="B39" s="24" t="s">
        <v>66</v>
      </c>
      <c r="C39" s="50">
        <v>55</v>
      </c>
      <c r="D39" s="50">
        <v>5</v>
      </c>
      <c r="E39" s="50">
        <v>8</v>
      </c>
      <c r="F39" s="50">
        <v>29</v>
      </c>
      <c r="G39" s="50">
        <v>0</v>
      </c>
      <c r="H39" s="50">
        <v>1</v>
      </c>
      <c r="I39" s="50">
        <v>10</v>
      </c>
      <c r="J39" s="50">
        <v>9</v>
      </c>
      <c r="K39" s="50">
        <v>3</v>
      </c>
      <c r="L39" s="50">
        <v>0</v>
      </c>
      <c r="M39" s="50">
        <v>142</v>
      </c>
      <c r="N39" s="50">
        <v>0</v>
      </c>
      <c r="O39" s="15">
        <f t="shared" si="0"/>
        <v>120</v>
      </c>
      <c r="P39" s="15">
        <f t="shared" si="1"/>
        <v>262</v>
      </c>
    </row>
    <row r="40" spans="2:20" ht="23.1" customHeight="1" x14ac:dyDescent="0.25">
      <c r="B40" s="24" t="s">
        <v>67</v>
      </c>
      <c r="C40" s="50">
        <v>65</v>
      </c>
      <c r="D40" s="50">
        <v>8</v>
      </c>
      <c r="E40" s="50">
        <v>13</v>
      </c>
      <c r="F40" s="50">
        <v>47</v>
      </c>
      <c r="G40" s="50">
        <v>1</v>
      </c>
      <c r="H40" s="50">
        <v>0</v>
      </c>
      <c r="I40" s="50">
        <v>13</v>
      </c>
      <c r="J40" s="50">
        <v>7</v>
      </c>
      <c r="K40" s="50">
        <v>2</v>
      </c>
      <c r="L40" s="50">
        <v>2</v>
      </c>
      <c r="M40" s="50">
        <v>175</v>
      </c>
      <c r="N40" s="50">
        <v>0</v>
      </c>
      <c r="O40" s="15">
        <f t="shared" si="0"/>
        <v>158</v>
      </c>
      <c r="P40" s="15">
        <f t="shared" si="1"/>
        <v>333</v>
      </c>
    </row>
    <row r="41" spans="2:20" ht="23.1" customHeight="1" x14ac:dyDescent="0.25">
      <c r="B41" s="23" t="s">
        <v>68</v>
      </c>
      <c r="C41" s="50">
        <v>32</v>
      </c>
      <c r="D41" s="50">
        <v>5</v>
      </c>
      <c r="E41" s="50">
        <v>4</v>
      </c>
      <c r="F41" s="50">
        <v>26</v>
      </c>
      <c r="G41" s="50">
        <v>0</v>
      </c>
      <c r="H41" s="50">
        <v>0</v>
      </c>
      <c r="I41" s="50">
        <v>9</v>
      </c>
      <c r="J41" s="50">
        <v>6</v>
      </c>
      <c r="K41" s="50">
        <v>2</v>
      </c>
      <c r="L41" s="50">
        <v>2</v>
      </c>
      <c r="M41" s="50">
        <v>130</v>
      </c>
      <c r="N41" s="50">
        <v>0</v>
      </c>
      <c r="O41" s="15">
        <f t="shared" si="0"/>
        <v>86</v>
      </c>
      <c r="P41" s="15">
        <f t="shared" si="1"/>
        <v>216</v>
      </c>
    </row>
    <row r="42" spans="2:20" ht="23.1" customHeight="1" x14ac:dyDescent="0.25">
      <c r="B42" s="24" t="s">
        <v>69</v>
      </c>
      <c r="C42" s="50">
        <v>70</v>
      </c>
      <c r="D42" s="50">
        <v>7</v>
      </c>
      <c r="E42" s="50">
        <v>9</v>
      </c>
      <c r="F42" s="50">
        <v>42</v>
      </c>
      <c r="G42" s="50">
        <v>0</v>
      </c>
      <c r="H42" s="50">
        <v>1</v>
      </c>
      <c r="I42" s="50">
        <v>11</v>
      </c>
      <c r="J42" s="50">
        <v>8</v>
      </c>
      <c r="K42" s="50">
        <v>4</v>
      </c>
      <c r="L42" s="50">
        <v>0</v>
      </c>
      <c r="M42" s="50">
        <v>152</v>
      </c>
      <c r="N42" s="50">
        <v>0</v>
      </c>
      <c r="O42" s="15">
        <f t="shared" si="0"/>
        <v>152</v>
      </c>
      <c r="P42" s="15">
        <f t="shared" si="1"/>
        <v>304</v>
      </c>
    </row>
    <row r="43" spans="2:20" ht="23.1" customHeight="1" x14ac:dyDescent="0.25">
      <c r="B43" s="23" t="s">
        <v>70</v>
      </c>
      <c r="C43" s="50">
        <v>41</v>
      </c>
      <c r="D43" s="50">
        <v>4</v>
      </c>
      <c r="E43" s="50">
        <v>12</v>
      </c>
      <c r="F43" s="50">
        <v>34</v>
      </c>
      <c r="G43" s="50">
        <v>0</v>
      </c>
      <c r="H43" s="50">
        <v>1</v>
      </c>
      <c r="I43" s="50">
        <v>9</v>
      </c>
      <c r="J43" s="50">
        <v>13</v>
      </c>
      <c r="K43" s="50">
        <v>3</v>
      </c>
      <c r="L43" s="50">
        <v>2</v>
      </c>
      <c r="M43" s="50">
        <v>180</v>
      </c>
      <c r="N43" s="50">
        <v>0</v>
      </c>
      <c r="O43" s="15">
        <f t="shared" si="0"/>
        <v>119</v>
      </c>
      <c r="P43" s="15">
        <f t="shared" si="1"/>
        <v>299</v>
      </c>
    </row>
    <row r="44" spans="2:20" ht="23.1" customHeight="1" x14ac:dyDescent="0.25">
      <c r="B44" s="25" t="s">
        <v>71</v>
      </c>
      <c r="C44" s="50">
        <v>49</v>
      </c>
      <c r="D44" s="50">
        <v>0</v>
      </c>
      <c r="E44" s="50">
        <v>10</v>
      </c>
      <c r="F44" s="50">
        <v>53</v>
      </c>
      <c r="G44" s="50">
        <v>0</v>
      </c>
      <c r="H44" s="50">
        <v>1</v>
      </c>
      <c r="I44" s="50">
        <v>8</v>
      </c>
      <c r="J44" s="50">
        <v>8</v>
      </c>
      <c r="K44" s="50">
        <v>5</v>
      </c>
      <c r="L44" s="50">
        <v>3</v>
      </c>
      <c r="M44" s="50">
        <v>165</v>
      </c>
      <c r="N44" s="50">
        <v>0</v>
      </c>
      <c r="O44" s="15">
        <f t="shared" si="0"/>
        <v>137</v>
      </c>
      <c r="P44" s="15">
        <f t="shared" si="1"/>
        <v>302</v>
      </c>
    </row>
    <row r="45" spans="2:20" ht="23.1" customHeight="1" x14ac:dyDescent="0.25">
      <c r="B45" s="23" t="s">
        <v>72</v>
      </c>
      <c r="C45" s="50">
        <v>68</v>
      </c>
      <c r="D45" s="50">
        <v>8</v>
      </c>
      <c r="E45" s="50">
        <v>8</v>
      </c>
      <c r="F45" s="50">
        <v>56</v>
      </c>
      <c r="G45" s="50">
        <v>2</v>
      </c>
      <c r="H45" s="50">
        <v>1</v>
      </c>
      <c r="I45" s="50">
        <v>9</v>
      </c>
      <c r="J45" s="50">
        <v>7</v>
      </c>
      <c r="K45" s="50">
        <v>7</v>
      </c>
      <c r="L45" s="50">
        <v>2</v>
      </c>
      <c r="M45" s="50">
        <v>140</v>
      </c>
      <c r="N45" s="50">
        <v>0</v>
      </c>
      <c r="O45" s="15">
        <f t="shared" si="0"/>
        <v>168</v>
      </c>
      <c r="P45" s="15">
        <f t="shared" si="1"/>
        <v>308</v>
      </c>
    </row>
    <row r="46" spans="2:20" ht="23.1" customHeight="1" x14ac:dyDescent="0.25">
      <c r="B46" s="24" t="s">
        <v>73</v>
      </c>
      <c r="C46" s="50">
        <v>61</v>
      </c>
      <c r="D46" s="50">
        <v>7</v>
      </c>
      <c r="E46" s="50">
        <v>11</v>
      </c>
      <c r="F46" s="50">
        <v>37</v>
      </c>
      <c r="G46" s="50">
        <v>0</v>
      </c>
      <c r="H46" s="50">
        <v>0</v>
      </c>
      <c r="I46" s="50">
        <v>11</v>
      </c>
      <c r="J46" s="50">
        <v>7</v>
      </c>
      <c r="K46" s="50">
        <v>5</v>
      </c>
      <c r="L46" s="50">
        <v>4</v>
      </c>
      <c r="M46" s="50">
        <v>180</v>
      </c>
      <c r="N46" s="50">
        <v>0</v>
      </c>
      <c r="O46" s="15">
        <f t="shared" si="0"/>
        <v>143</v>
      </c>
      <c r="P46" s="15">
        <f t="shared" si="1"/>
        <v>323</v>
      </c>
      <c r="R46" s="8"/>
      <c r="T46"/>
    </row>
    <row r="47" spans="2:20" ht="23.1" customHeight="1" x14ac:dyDescent="0.25">
      <c r="B47" s="24" t="s">
        <v>74</v>
      </c>
      <c r="C47" s="50">
        <v>39</v>
      </c>
      <c r="D47" s="50">
        <v>5</v>
      </c>
      <c r="E47" s="50">
        <v>10</v>
      </c>
      <c r="F47" s="50">
        <v>51</v>
      </c>
      <c r="G47" s="50">
        <v>1</v>
      </c>
      <c r="H47" s="50">
        <v>0</v>
      </c>
      <c r="I47" s="50">
        <v>9</v>
      </c>
      <c r="J47" s="50">
        <v>7</v>
      </c>
      <c r="K47" s="50">
        <v>4</v>
      </c>
      <c r="L47" s="50">
        <v>0</v>
      </c>
      <c r="M47" s="50">
        <v>165</v>
      </c>
      <c r="N47" s="50">
        <v>0</v>
      </c>
      <c r="O47" s="15">
        <f t="shared" si="0"/>
        <v>126</v>
      </c>
      <c r="P47" s="15">
        <f t="shared" si="1"/>
        <v>291</v>
      </c>
      <c r="R47" s="8"/>
      <c r="T47"/>
    </row>
    <row r="48" spans="2:20" ht="23.1" customHeight="1" x14ac:dyDescent="0.25">
      <c r="B48" s="24" t="s">
        <v>75</v>
      </c>
      <c r="C48" s="50">
        <v>49</v>
      </c>
      <c r="D48" s="50">
        <v>10</v>
      </c>
      <c r="E48" s="50">
        <v>15</v>
      </c>
      <c r="F48" s="50">
        <v>44</v>
      </c>
      <c r="G48" s="50">
        <v>0</v>
      </c>
      <c r="H48" s="50">
        <v>0</v>
      </c>
      <c r="I48" s="50">
        <v>16</v>
      </c>
      <c r="J48" s="50">
        <v>10</v>
      </c>
      <c r="K48" s="50">
        <v>6</v>
      </c>
      <c r="L48" s="50">
        <v>1</v>
      </c>
      <c r="M48" s="50">
        <v>245</v>
      </c>
      <c r="N48" s="50">
        <v>0</v>
      </c>
      <c r="O48" s="15">
        <f t="shared" si="0"/>
        <v>151</v>
      </c>
      <c r="P48" s="15">
        <f t="shared" si="1"/>
        <v>396</v>
      </c>
      <c r="R48" s="8"/>
      <c r="T48"/>
    </row>
    <row r="49" spans="2:20" ht="23.1" customHeight="1" x14ac:dyDescent="0.25">
      <c r="B49" s="23" t="s">
        <v>76</v>
      </c>
      <c r="C49" s="50">
        <v>40</v>
      </c>
      <c r="D49" s="50">
        <v>5</v>
      </c>
      <c r="E49" s="50">
        <v>11</v>
      </c>
      <c r="F49" s="50">
        <v>51</v>
      </c>
      <c r="G49" s="50">
        <v>0</v>
      </c>
      <c r="H49" s="50">
        <v>0</v>
      </c>
      <c r="I49" s="50">
        <v>18</v>
      </c>
      <c r="J49" s="50">
        <v>7</v>
      </c>
      <c r="K49" s="50">
        <v>3</v>
      </c>
      <c r="L49" s="50">
        <v>2</v>
      </c>
      <c r="M49" s="50">
        <v>207</v>
      </c>
      <c r="N49" s="50">
        <v>0</v>
      </c>
      <c r="O49" s="15">
        <f t="shared" si="0"/>
        <v>137</v>
      </c>
      <c r="P49" s="15">
        <f t="shared" si="1"/>
        <v>344</v>
      </c>
      <c r="R49" s="8"/>
      <c r="T49"/>
    </row>
    <row r="50" spans="2:20" ht="23.1" customHeight="1" x14ac:dyDescent="0.25">
      <c r="B50" s="24" t="s">
        <v>77</v>
      </c>
      <c r="C50" s="50">
        <v>69</v>
      </c>
      <c r="D50" s="50">
        <v>5</v>
      </c>
      <c r="E50" s="50">
        <v>8</v>
      </c>
      <c r="F50" s="50">
        <v>60</v>
      </c>
      <c r="G50" s="50">
        <v>1</v>
      </c>
      <c r="H50" s="50">
        <v>0</v>
      </c>
      <c r="I50" s="50">
        <v>9</v>
      </c>
      <c r="J50" s="50">
        <v>4</v>
      </c>
      <c r="K50" s="50">
        <v>4</v>
      </c>
      <c r="L50" s="50">
        <v>2</v>
      </c>
      <c r="M50" s="50">
        <v>240</v>
      </c>
      <c r="N50" s="50">
        <v>0</v>
      </c>
      <c r="O50" s="15">
        <f t="shared" si="0"/>
        <v>162</v>
      </c>
      <c r="P50" s="15">
        <f t="shared" si="1"/>
        <v>402</v>
      </c>
      <c r="R50" s="8"/>
      <c r="T50"/>
    </row>
    <row r="51" spans="2:20" ht="23.1" customHeight="1" x14ac:dyDescent="0.25">
      <c r="B51" s="24" t="s">
        <v>78</v>
      </c>
      <c r="C51" s="50">
        <v>50</v>
      </c>
      <c r="D51" s="50">
        <v>6</v>
      </c>
      <c r="E51" s="50">
        <v>10</v>
      </c>
      <c r="F51" s="50">
        <v>45</v>
      </c>
      <c r="G51" s="50">
        <v>0</v>
      </c>
      <c r="H51" s="50">
        <v>0</v>
      </c>
      <c r="I51" s="50">
        <v>1</v>
      </c>
      <c r="J51" s="50">
        <v>3</v>
      </c>
      <c r="K51" s="50">
        <v>6</v>
      </c>
      <c r="L51" s="50">
        <v>2</v>
      </c>
      <c r="M51" s="50">
        <v>195</v>
      </c>
      <c r="N51" s="50">
        <v>0</v>
      </c>
      <c r="O51" s="15">
        <f t="shared" si="0"/>
        <v>123</v>
      </c>
      <c r="P51" s="15">
        <f t="shared" si="1"/>
        <v>318</v>
      </c>
      <c r="R51" s="8"/>
      <c r="T51"/>
    </row>
    <row r="52" spans="2:20" ht="23.1" customHeight="1" x14ac:dyDescent="0.25">
      <c r="B52" s="24" t="s">
        <v>79</v>
      </c>
      <c r="C52" s="50">
        <v>62</v>
      </c>
      <c r="D52" s="50">
        <v>9</v>
      </c>
      <c r="E52" s="50">
        <v>12</v>
      </c>
      <c r="F52" s="50">
        <v>47</v>
      </c>
      <c r="G52" s="50">
        <v>1</v>
      </c>
      <c r="H52" s="50">
        <v>3</v>
      </c>
      <c r="I52" s="50">
        <v>12</v>
      </c>
      <c r="J52" s="50">
        <v>10</v>
      </c>
      <c r="K52" s="50">
        <v>5</v>
      </c>
      <c r="L52" s="50">
        <v>5</v>
      </c>
      <c r="M52" s="50">
        <v>205</v>
      </c>
      <c r="N52" s="50">
        <v>0</v>
      </c>
      <c r="O52" s="15">
        <f t="shared" si="0"/>
        <v>166</v>
      </c>
      <c r="P52" s="15">
        <f t="shared" si="1"/>
        <v>371</v>
      </c>
      <c r="R52" s="8"/>
      <c r="T52"/>
    </row>
    <row r="53" spans="2:20" ht="23.1" customHeight="1" x14ac:dyDescent="0.25">
      <c r="B53" s="23" t="s">
        <v>80</v>
      </c>
      <c r="C53" s="50">
        <v>47</v>
      </c>
      <c r="D53" s="50">
        <v>4</v>
      </c>
      <c r="E53" s="50">
        <v>17</v>
      </c>
      <c r="F53" s="50">
        <v>80</v>
      </c>
      <c r="G53" s="50">
        <v>1</v>
      </c>
      <c r="H53" s="50">
        <v>2</v>
      </c>
      <c r="I53" s="50">
        <v>3</v>
      </c>
      <c r="J53" s="50">
        <v>3</v>
      </c>
      <c r="K53" s="50">
        <v>3</v>
      </c>
      <c r="L53" s="50">
        <v>2</v>
      </c>
      <c r="M53" s="50">
        <v>200</v>
      </c>
      <c r="N53" s="50">
        <v>0</v>
      </c>
      <c r="O53" s="15">
        <f t="shared" si="0"/>
        <v>162</v>
      </c>
      <c r="P53" s="15">
        <f t="shared" si="1"/>
        <v>362</v>
      </c>
      <c r="R53" s="8"/>
      <c r="T53"/>
    </row>
    <row r="54" spans="2:20" ht="23.1" customHeight="1" x14ac:dyDescent="0.25">
      <c r="B54" s="23" t="s">
        <v>81</v>
      </c>
      <c r="C54" s="50">
        <v>58</v>
      </c>
      <c r="D54" s="50">
        <v>3</v>
      </c>
      <c r="E54" s="50">
        <v>11</v>
      </c>
      <c r="F54" s="50">
        <v>63</v>
      </c>
      <c r="G54" s="50">
        <v>3</v>
      </c>
      <c r="H54" s="50">
        <v>1</v>
      </c>
      <c r="I54" s="50">
        <v>5</v>
      </c>
      <c r="J54" s="50">
        <v>4</v>
      </c>
      <c r="K54" s="50">
        <v>2</v>
      </c>
      <c r="L54" s="50">
        <v>1</v>
      </c>
      <c r="M54" s="50">
        <v>280</v>
      </c>
      <c r="N54" s="50">
        <v>0</v>
      </c>
      <c r="O54" s="15">
        <f t="shared" si="0"/>
        <v>151</v>
      </c>
      <c r="P54" s="15">
        <f t="shared" si="1"/>
        <v>431</v>
      </c>
      <c r="R54" s="8"/>
      <c r="T54"/>
    </row>
    <row r="55" spans="2:20" ht="23.1" customHeight="1" x14ac:dyDescent="0.25">
      <c r="B55" s="23" t="s">
        <v>82</v>
      </c>
      <c r="C55" s="50">
        <v>56</v>
      </c>
      <c r="D55" s="50">
        <v>4</v>
      </c>
      <c r="E55" s="50">
        <v>5</v>
      </c>
      <c r="F55" s="50">
        <v>54</v>
      </c>
      <c r="G55" s="50">
        <v>2</v>
      </c>
      <c r="H55" s="50">
        <v>0</v>
      </c>
      <c r="I55" s="50">
        <v>2</v>
      </c>
      <c r="J55" s="50">
        <v>3</v>
      </c>
      <c r="K55" s="50">
        <v>1</v>
      </c>
      <c r="L55" s="50">
        <v>0</v>
      </c>
      <c r="M55" s="50">
        <v>190</v>
      </c>
      <c r="N55" s="50">
        <v>0</v>
      </c>
      <c r="O55" s="15">
        <f t="shared" si="0"/>
        <v>127</v>
      </c>
      <c r="P55" s="15">
        <f t="shared" si="1"/>
        <v>317</v>
      </c>
      <c r="R55" s="8"/>
      <c r="T55"/>
    </row>
    <row r="56" spans="2:20" ht="23.1" customHeight="1" x14ac:dyDescent="0.25">
      <c r="B56" s="23" t="s">
        <v>83</v>
      </c>
      <c r="C56" s="50">
        <v>63</v>
      </c>
      <c r="D56" s="50">
        <v>2</v>
      </c>
      <c r="E56" s="50">
        <v>7</v>
      </c>
      <c r="F56" s="50">
        <v>58</v>
      </c>
      <c r="G56" s="50">
        <v>1</v>
      </c>
      <c r="H56" s="50">
        <v>0</v>
      </c>
      <c r="I56" s="50">
        <v>4</v>
      </c>
      <c r="J56" s="50">
        <v>3</v>
      </c>
      <c r="K56" s="50">
        <v>0</v>
      </c>
      <c r="L56" s="50">
        <v>1</v>
      </c>
      <c r="M56" s="50">
        <v>150</v>
      </c>
      <c r="N56" s="50">
        <v>0</v>
      </c>
      <c r="O56" s="15">
        <f t="shared" si="0"/>
        <v>139</v>
      </c>
      <c r="P56" s="15">
        <f t="shared" si="1"/>
        <v>289</v>
      </c>
      <c r="R56" s="8"/>
      <c r="T56"/>
    </row>
    <row r="57" spans="2:20" ht="23.1" customHeight="1" x14ac:dyDescent="0.25">
      <c r="B57" s="23" t="s">
        <v>84</v>
      </c>
      <c r="C57" s="50">
        <v>64</v>
      </c>
      <c r="D57" s="50">
        <v>5</v>
      </c>
      <c r="E57" s="50">
        <v>8</v>
      </c>
      <c r="F57" s="50">
        <v>64</v>
      </c>
      <c r="G57" s="50">
        <v>1</v>
      </c>
      <c r="H57" s="50">
        <v>0</v>
      </c>
      <c r="I57" s="50">
        <v>5</v>
      </c>
      <c r="J57" s="50">
        <v>3</v>
      </c>
      <c r="K57" s="50">
        <v>1</v>
      </c>
      <c r="L57" s="50">
        <v>1</v>
      </c>
      <c r="M57" s="50">
        <v>184</v>
      </c>
      <c r="N57" s="50">
        <v>0</v>
      </c>
      <c r="O57" s="15">
        <f t="shared" si="0"/>
        <v>152</v>
      </c>
      <c r="P57" s="15">
        <f t="shared" si="1"/>
        <v>336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2827</v>
      </c>
      <c r="D58" s="16">
        <f t="shared" si="21"/>
        <v>318</v>
      </c>
      <c r="E58" s="16">
        <f t="shared" si="21"/>
        <v>397</v>
      </c>
      <c r="F58" s="16">
        <f t="shared" si="21"/>
        <v>2342</v>
      </c>
      <c r="G58" s="16">
        <f t="shared" si="21"/>
        <v>38</v>
      </c>
      <c r="H58" s="16">
        <f t="shared" si="21"/>
        <v>27</v>
      </c>
      <c r="I58" s="16">
        <f t="shared" si="21"/>
        <v>358</v>
      </c>
      <c r="J58" s="16">
        <f t="shared" si="21"/>
        <v>273</v>
      </c>
      <c r="K58" s="16">
        <f t="shared" si="21"/>
        <v>132</v>
      </c>
      <c r="L58" s="16">
        <f t="shared" si="21"/>
        <v>80</v>
      </c>
      <c r="M58" s="16">
        <f t="shared" si="21"/>
        <v>10939</v>
      </c>
      <c r="N58" s="16">
        <f t="shared" si="21"/>
        <v>0</v>
      </c>
      <c r="O58" s="16">
        <f t="shared" si="21"/>
        <v>6792</v>
      </c>
      <c r="P58" s="16">
        <f t="shared" si="21"/>
        <v>17731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0.15943827195307653</v>
      </c>
      <c r="D59" s="43">
        <f t="shared" si="22"/>
        <v>1.7934690654785403E-2</v>
      </c>
      <c r="E59" s="43">
        <f t="shared" si="22"/>
        <v>2.2390164119339011E-2</v>
      </c>
      <c r="F59" s="43">
        <f t="shared" si="22"/>
        <v>0.13208504878461452</v>
      </c>
      <c r="G59" s="43">
        <f t="shared" si="22"/>
        <v>2.1431391348485703E-3</v>
      </c>
      <c r="H59" s="43">
        <f t="shared" si="22"/>
        <v>1.5227567537081947E-3</v>
      </c>
      <c r="I59" s="43">
        <f t="shared" si="22"/>
        <v>2.0190626586204952E-2</v>
      </c>
      <c r="J59" s="43">
        <f t="shared" si="22"/>
        <v>1.5396762731938412E-2</v>
      </c>
      <c r="K59" s="43">
        <f t="shared" si="22"/>
        <v>7.4445885736845073E-3</v>
      </c>
      <c r="L59" s="43">
        <f t="shared" si="22"/>
        <v>4.5118718628390951E-3</v>
      </c>
      <c r="M59" s="43">
        <f t="shared" si="22"/>
        <v>0.61694207884496077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0.41622497055359248</v>
      </c>
      <c r="D60" s="44">
        <f t="shared" ref="D60:N60" si="23">D58/$O$58</f>
        <v>4.6819787985865724E-2</v>
      </c>
      <c r="E60" s="44">
        <f t="shared" si="23"/>
        <v>5.8451118963486454E-2</v>
      </c>
      <c r="F60" s="44">
        <f t="shared" si="23"/>
        <v>0.34481743227326267</v>
      </c>
      <c r="G60" s="44">
        <f t="shared" si="23"/>
        <v>5.5948174322732625E-3</v>
      </c>
      <c r="H60" s="44">
        <f t="shared" si="23"/>
        <v>3.9752650176678441E-3</v>
      </c>
      <c r="I60" s="44">
        <f t="shared" si="23"/>
        <v>5.270906949352179E-2</v>
      </c>
      <c r="J60" s="44">
        <f t="shared" si="23"/>
        <v>4.0194346289752651E-2</v>
      </c>
      <c r="K60" s="44">
        <f t="shared" si="23"/>
        <v>1.9434628975265017E-2</v>
      </c>
      <c r="L60" s="44">
        <f t="shared" si="23"/>
        <v>1.1778563015312132E-2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3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5" t="str">
        <f>'25.07 GAYAZA-KALERWE'!G5:H5</f>
        <v>DELTA KYEBANDO</v>
      </c>
      <c r="H5" s="66"/>
      <c r="I5" s="14"/>
      <c r="J5" s="2" t="s">
        <v>5</v>
      </c>
      <c r="K5" s="65" t="s">
        <v>180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KALERWE-GAYAZA'!D6:E6</f>
        <v>KALERWE</v>
      </c>
      <c r="E6" s="66"/>
      <c r="F6" s="2" t="s">
        <v>2</v>
      </c>
      <c r="G6" s="65" t="str">
        <f>'22.07 KALERWE-GAYAZA'!G6:H6</f>
        <v>GAYAZA</v>
      </c>
      <c r="H6" s="66"/>
      <c r="J6" s="2" t="s">
        <v>21</v>
      </c>
      <c r="K6" s="65" t="s">
        <v>182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27</v>
      </c>
      <c r="D10" s="50">
        <v>18</v>
      </c>
      <c r="E10" s="50">
        <v>8</v>
      </c>
      <c r="F10" s="50">
        <v>49</v>
      </c>
      <c r="G10" s="50">
        <v>1</v>
      </c>
      <c r="H10" s="50">
        <v>0</v>
      </c>
      <c r="I10" s="50">
        <v>5</v>
      </c>
      <c r="J10" s="50">
        <v>1</v>
      </c>
      <c r="K10" s="50">
        <v>0</v>
      </c>
      <c r="L10" s="50">
        <v>5</v>
      </c>
      <c r="M10" s="50">
        <v>185</v>
      </c>
      <c r="N10" s="50">
        <v>0</v>
      </c>
      <c r="O10" s="15">
        <f t="shared" ref="O10:O57" si="0">SUM(C10:L10,N10)</f>
        <v>114</v>
      </c>
      <c r="P10" s="15">
        <f t="shared" ref="P10:P57" si="1">SUM(C10:N10)</f>
        <v>299</v>
      </c>
      <c r="R10" s="1" t="s">
        <v>6</v>
      </c>
      <c r="S10" s="17">
        <f t="shared" ref="S10:AF10" si="2">SUM(C10:C13)</f>
        <v>93</v>
      </c>
      <c r="T10" s="17">
        <f t="shared" si="2"/>
        <v>37</v>
      </c>
      <c r="U10" s="17">
        <f t="shared" si="2"/>
        <v>26</v>
      </c>
      <c r="V10" s="17">
        <f t="shared" si="2"/>
        <v>214</v>
      </c>
      <c r="W10" s="17">
        <f t="shared" si="2"/>
        <v>10</v>
      </c>
      <c r="X10" s="17">
        <f t="shared" si="2"/>
        <v>4</v>
      </c>
      <c r="Y10" s="17">
        <f t="shared" si="2"/>
        <v>12</v>
      </c>
      <c r="Z10" s="17">
        <f t="shared" si="2"/>
        <v>12</v>
      </c>
      <c r="AA10" s="17">
        <f t="shared" si="2"/>
        <v>0</v>
      </c>
      <c r="AB10" s="17">
        <f t="shared" si="2"/>
        <v>10</v>
      </c>
      <c r="AC10" s="17">
        <f t="shared" si="2"/>
        <v>1029</v>
      </c>
      <c r="AD10" s="17">
        <f t="shared" si="2"/>
        <v>0</v>
      </c>
      <c r="AE10" s="31">
        <f t="shared" si="2"/>
        <v>418</v>
      </c>
      <c r="AF10" s="31">
        <f t="shared" si="2"/>
        <v>1447</v>
      </c>
    </row>
    <row r="11" spans="2:32" s="6" customFormat="1" ht="23.1" customHeight="1" x14ac:dyDescent="0.25">
      <c r="B11" s="45" t="s">
        <v>38</v>
      </c>
      <c r="C11" s="50">
        <v>26</v>
      </c>
      <c r="D11" s="50">
        <v>8</v>
      </c>
      <c r="E11" s="50">
        <v>7</v>
      </c>
      <c r="F11" s="50">
        <v>50</v>
      </c>
      <c r="G11" s="50">
        <v>6</v>
      </c>
      <c r="H11" s="50">
        <v>2</v>
      </c>
      <c r="I11" s="50">
        <v>4</v>
      </c>
      <c r="J11" s="50">
        <v>5</v>
      </c>
      <c r="K11" s="50">
        <v>0</v>
      </c>
      <c r="L11" s="50">
        <v>2</v>
      </c>
      <c r="M11" s="50">
        <v>239</v>
      </c>
      <c r="N11" s="50">
        <v>0</v>
      </c>
      <c r="O11" s="15">
        <f t="shared" si="0"/>
        <v>110</v>
      </c>
      <c r="P11" s="15">
        <f t="shared" si="1"/>
        <v>349</v>
      </c>
      <c r="R11" s="1" t="s">
        <v>7</v>
      </c>
      <c r="S11" s="17">
        <f t="shared" ref="S11:AF11" si="3">SUM(C14:C17)</f>
        <v>121</v>
      </c>
      <c r="T11" s="17">
        <f t="shared" si="3"/>
        <v>28</v>
      </c>
      <c r="U11" s="17">
        <f t="shared" si="3"/>
        <v>31</v>
      </c>
      <c r="V11" s="17">
        <f t="shared" si="3"/>
        <v>276</v>
      </c>
      <c r="W11" s="17">
        <f t="shared" si="3"/>
        <v>8</v>
      </c>
      <c r="X11" s="17">
        <f t="shared" si="3"/>
        <v>2</v>
      </c>
      <c r="Y11" s="17">
        <f t="shared" si="3"/>
        <v>12</v>
      </c>
      <c r="Z11" s="17">
        <f t="shared" si="3"/>
        <v>12</v>
      </c>
      <c r="AA11" s="17">
        <f t="shared" si="3"/>
        <v>1</v>
      </c>
      <c r="AB11" s="17">
        <f t="shared" si="3"/>
        <v>5</v>
      </c>
      <c r="AC11" s="17">
        <f t="shared" si="3"/>
        <v>1131</v>
      </c>
      <c r="AD11" s="17">
        <f t="shared" si="3"/>
        <v>0</v>
      </c>
      <c r="AE11" s="31">
        <f t="shared" si="3"/>
        <v>496</v>
      </c>
      <c r="AF11" s="31">
        <f t="shared" si="3"/>
        <v>1627</v>
      </c>
    </row>
    <row r="12" spans="2:32" ht="23.1" customHeight="1" x14ac:dyDescent="0.25">
      <c r="B12" s="45" t="s">
        <v>39</v>
      </c>
      <c r="C12" s="50">
        <v>29</v>
      </c>
      <c r="D12" s="50">
        <v>4</v>
      </c>
      <c r="E12" s="50">
        <v>7</v>
      </c>
      <c r="F12" s="50">
        <v>59</v>
      </c>
      <c r="G12" s="50">
        <v>1</v>
      </c>
      <c r="H12" s="50">
        <v>1</v>
      </c>
      <c r="I12" s="50">
        <v>1</v>
      </c>
      <c r="J12" s="50">
        <v>4</v>
      </c>
      <c r="K12" s="50">
        <v>0</v>
      </c>
      <c r="L12" s="50">
        <v>1</v>
      </c>
      <c r="M12" s="50">
        <v>363</v>
      </c>
      <c r="N12" s="50">
        <v>0</v>
      </c>
      <c r="O12" s="15">
        <f t="shared" si="0"/>
        <v>107</v>
      </c>
      <c r="P12" s="15">
        <f t="shared" si="1"/>
        <v>470</v>
      </c>
      <c r="R12" s="1" t="s">
        <v>8</v>
      </c>
      <c r="S12" s="17">
        <f t="shared" ref="S12:AF12" si="4">SUM(C18:C21)</f>
        <v>114</v>
      </c>
      <c r="T12" s="17">
        <f t="shared" si="4"/>
        <v>30</v>
      </c>
      <c r="U12" s="17">
        <f t="shared" si="4"/>
        <v>19</v>
      </c>
      <c r="V12" s="17">
        <f t="shared" si="4"/>
        <v>269</v>
      </c>
      <c r="W12" s="17">
        <f t="shared" si="4"/>
        <v>3</v>
      </c>
      <c r="X12" s="17">
        <f t="shared" si="4"/>
        <v>2</v>
      </c>
      <c r="Y12" s="17">
        <f t="shared" si="4"/>
        <v>29</v>
      </c>
      <c r="Z12" s="17">
        <f t="shared" si="4"/>
        <v>17</v>
      </c>
      <c r="AA12" s="17">
        <f t="shared" si="4"/>
        <v>0</v>
      </c>
      <c r="AB12" s="17">
        <f t="shared" si="4"/>
        <v>3</v>
      </c>
      <c r="AC12" s="17">
        <f t="shared" si="4"/>
        <v>1018</v>
      </c>
      <c r="AD12" s="17">
        <f t="shared" si="4"/>
        <v>0</v>
      </c>
      <c r="AE12" s="31">
        <f t="shared" si="4"/>
        <v>486</v>
      </c>
      <c r="AF12" s="31">
        <f t="shared" si="4"/>
        <v>1504</v>
      </c>
    </row>
    <row r="13" spans="2:32" ht="23.1" customHeight="1" x14ac:dyDescent="0.25">
      <c r="B13" s="45" t="s">
        <v>40</v>
      </c>
      <c r="C13" s="50">
        <v>11</v>
      </c>
      <c r="D13" s="50">
        <v>7</v>
      </c>
      <c r="E13" s="50">
        <v>4</v>
      </c>
      <c r="F13" s="50">
        <v>56</v>
      </c>
      <c r="G13" s="50">
        <v>2</v>
      </c>
      <c r="H13" s="50">
        <v>1</v>
      </c>
      <c r="I13" s="50">
        <v>2</v>
      </c>
      <c r="J13" s="50">
        <v>2</v>
      </c>
      <c r="K13" s="50">
        <v>0</v>
      </c>
      <c r="L13" s="50">
        <v>2</v>
      </c>
      <c r="M13" s="50">
        <v>242</v>
      </c>
      <c r="N13" s="50">
        <v>0</v>
      </c>
      <c r="O13" s="15">
        <f t="shared" si="0"/>
        <v>87</v>
      </c>
      <c r="P13" s="15">
        <f t="shared" si="1"/>
        <v>329</v>
      </c>
      <c r="R13" s="1" t="s">
        <v>9</v>
      </c>
      <c r="S13" s="17">
        <f t="shared" ref="S13:AF13" si="5">SUM(C22:C25)</f>
        <v>225</v>
      </c>
      <c r="T13" s="17">
        <f t="shared" si="5"/>
        <v>59</v>
      </c>
      <c r="U13" s="17">
        <f t="shared" si="5"/>
        <v>35</v>
      </c>
      <c r="V13" s="17">
        <f t="shared" si="5"/>
        <v>265</v>
      </c>
      <c r="W13" s="17">
        <f t="shared" si="5"/>
        <v>0</v>
      </c>
      <c r="X13" s="17">
        <f t="shared" si="5"/>
        <v>4</v>
      </c>
      <c r="Y13" s="17">
        <f t="shared" si="5"/>
        <v>28</v>
      </c>
      <c r="Z13" s="17">
        <f t="shared" si="5"/>
        <v>29</v>
      </c>
      <c r="AA13" s="17">
        <f t="shared" si="5"/>
        <v>1</v>
      </c>
      <c r="AB13" s="17">
        <f t="shared" si="5"/>
        <v>10</v>
      </c>
      <c r="AC13" s="17">
        <f t="shared" si="5"/>
        <v>1252</v>
      </c>
      <c r="AD13" s="17">
        <f t="shared" si="5"/>
        <v>0</v>
      </c>
      <c r="AE13" s="31">
        <f t="shared" si="5"/>
        <v>656</v>
      </c>
      <c r="AF13" s="31">
        <f t="shared" si="5"/>
        <v>1908</v>
      </c>
    </row>
    <row r="14" spans="2:32" ht="23.1" customHeight="1" x14ac:dyDescent="0.25">
      <c r="B14" s="45" t="s">
        <v>41</v>
      </c>
      <c r="C14" s="50">
        <v>36</v>
      </c>
      <c r="D14" s="50">
        <v>9</v>
      </c>
      <c r="E14" s="50">
        <v>3</v>
      </c>
      <c r="F14" s="50">
        <v>50</v>
      </c>
      <c r="G14" s="50">
        <v>2</v>
      </c>
      <c r="H14" s="50">
        <v>1</v>
      </c>
      <c r="I14" s="50">
        <v>4</v>
      </c>
      <c r="J14" s="50">
        <v>3</v>
      </c>
      <c r="K14" s="50">
        <v>0</v>
      </c>
      <c r="L14" s="50">
        <v>0</v>
      </c>
      <c r="M14" s="50">
        <v>327</v>
      </c>
      <c r="N14" s="50">
        <v>0</v>
      </c>
      <c r="O14" s="15">
        <f t="shared" si="0"/>
        <v>108</v>
      </c>
      <c r="P14" s="15">
        <f t="shared" si="1"/>
        <v>435</v>
      </c>
      <c r="R14" s="1" t="s">
        <v>10</v>
      </c>
      <c r="S14" s="17">
        <f t="shared" ref="S14:AF14" si="6">SUM(C26:C29)</f>
        <v>97</v>
      </c>
      <c r="T14" s="17">
        <f t="shared" si="6"/>
        <v>50</v>
      </c>
      <c r="U14" s="17">
        <f t="shared" si="6"/>
        <v>33</v>
      </c>
      <c r="V14" s="17">
        <f t="shared" si="6"/>
        <v>180</v>
      </c>
      <c r="W14" s="17">
        <f t="shared" si="6"/>
        <v>1</v>
      </c>
      <c r="X14" s="17">
        <f t="shared" si="6"/>
        <v>0</v>
      </c>
      <c r="Y14" s="17">
        <f t="shared" si="6"/>
        <v>19</v>
      </c>
      <c r="Z14" s="17">
        <f t="shared" si="6"/>
        <v>20</v>
      </c>
      <c r="AA14" s="17">
        <f t="shared" si="6"/>
        <v>3</v>
      </c>
      <c r="AB14" s="17">
        <f t="shared" si="6"/>
        <v>8</v>
      </c>
      <c r="AC14" s="17">
        <f t="shared" si="6"/>
        <v>1714</v>
      </c>
      <c r="AD14" s="17">
        <f t="shared" si="6"/>
        <v>0</v>
      </c>
      <c r="AE14" s="31">
        <f t="shared" si="6"/>
        <v>411</v>
      </c>
      <c r="AF14" s="31">
        <f t="shared" si="6"/>
        <v>2125</v>
      </c>
    </row>
    <row r="15" spans="2:32" ht="23.1" customHeight="1" x14ac:dyDescent="0.25">
      <c r="B15" s="45" t="s">
        <v>42</v>
      </c>
      <c r="C15" s="50">
        <v>23</v>
      </c>
      <c r="D15" s="50">
        <v>5</v>
      </c>
      <c r="E15" s="50">
        <v>6</v>
      </c>
      <c r="F15" s="50">
        <v>58</v>
      </c>
      <c r="G15" s="50">
        <v>3</v>
      </c>
      <c r="H15" s="50">
        <v>1</v>
      </c>
      <c r="I15" s="50">
        <v>5</v>
      </c>
      <c r="J15" s="50">
        <v>3</v>
      </c>
      <c r="K15" s="50">
        <v>0</v>
      </c>
      <c r="L15" s="50">
        <v>4</v>
      </c>
      <c r="M15" s="50">
        <v>289</v>
      </c>
      <c r="N15" s="50">
        <v>0</v>
      </c>
      <c r="O15" s="15">
        <f t="shared" si="0"/>
        <v>108</v>
      </c>
      <c r="P15" s="15">
        <f t="shared" si="1"/>
        <v>397</v>
      </c>
      <c r="R15" s="1" t="s">
        <v>11</v>
      </c>
      <c r="S15" s="17">
        <f t="shared" ref="S15:AF15" si="7">SUM(C30:C33)</f>
        <v>94</v>
      </c>
      <c r="T15" s="17">
        <f t="shared" si="7"/>
        <v>48</v>
      </c>
      <c r="U15" s="17">
        <f t="shared" si="7"/>
        <v>75</v>
      </c>
      <c r="V15" s="17">
        <f t="shared" si="7"/>
        <v>163</v>
      </c>
      <c r="W15" s="17">
        <f t="shared" si="7"/>
        <v>1</v>
      </c>
      <c r="X15" s="17">
        <f t="shared" si="7"/>
        <v>2</v>
      </c>
      <c r="Y15" s="17">
        <f t="shared" si="7"/>
        <v>11</v>
      </c>
      <c r="Z15" s="17">
        <f t="shared" si="7"/>
        <v>20</v>
      </c>
      <c r="AA15" s="17">
        <f t="shared" si="7"/>
        <v>1</v>
      </c>
      <c r="AB15" s="17">
        <f t="shared" si="7"/>
        <v>10</v>
      </c>
      <c r="AC15" s="17">
        <f t="shared" si="7"/>
        <v>930</v>
      </c>
      <c r="AD15" s="17">
        <f t="shared" si="7"/>
        <v>0</v>
      </c>
      <c r="AE15" s="31">
        <f t="shared" si="7"/>
        <v>425</v>
      </c>
      <c r="AF15" s="31">
        <f t="shared" si="7"/>
        <v>1355</v>
      </c>
    </row>
    <row r="16" spans="2:32" ht="23.1" customHeight="1" x14ac:dyDescent="0.25">
      <c r="B16" s="45" t="s">
        <v>43</v>
      </c>
      <c r="C16" s="50">
        <v>32</v>
      </c>
      <c r="D16" s="50">
        <v>5</v>
      </c>
      <c r="E16" s="50">
        <v>6</v>
      </c>
      <c r="F16" s="50">
        <v>78</v>
      </c>
      <c r="G16" s="50">
        <v>1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330</v>
      </c>
      <c r="N16" s="50">
        <v>0</v>
      </c>
      <c r="O16" s="15">
        <f t="shared" si="0"/>
        <v>127</v>
      </c>
      <c r="P16" s="15">
        <f t="shared" si="1"/>
        <v>457</v>
      </c>
      <c r="R16" s="1" t="s">
        <v>12</v>
      </c>
      <c r="S16" s="17">
        <f t="shared" ref="S16:AF16" si="8">SUM(C34:C37)</f>
        <v>122</v>
      </c>
      <c r="T16" s="17">
        <f t="shared" si="8"/>
        <v>58</v>
      </c>
      <c r="U16" s="17">
        <f t="shared" si="8"/>
        <v>38</v>
      </c>
      <c r="V16" s="17">
        <f t="shared" si="8"/>
        <v>192</v>
      </c>
      <c r="W16" s="17">
        <f t="shared" si="8"/>
        <v>3</v>
      </c>
      <c r="X16" s="17">
        <f t="shared" si="8"/>
        <v>1</v>
      </c>
      <c r="Y16" s="17">
        <f t="shared" si="8"/>
        <v>33</v>
      </c>
      <c r="Z16" s="17">
        <f t="shared" si="8"/>
        <v>22</v>
      </c>
      <c r="AA16" s="17">
        <f t="shared" si="8"/>
        <v>1</v>
      </c>
      <c r="AB16" s="17">
        <f t="shared" si="8"/>
        <v>13</v>
      </c>
      <c r="AC16" s="17">
        <f t="shared" si="8"/>
        <v>929</v>
      </c>
      <c r="AD16" s="17">
        <f t="shared" si="8"/>
        <v>1</v>
      </c>
      <c r="AE16" s="31">
        <f t="shared" si="8"/>
        <v>484</v>
      </c>
      <c r="AF16" s="31">
        <f t="shared" si="8"/>
        <v>1413</v>
      </c>
    </row>
    <row r="17" spans="2:32" ht="23.1" customHeight="1" x14ac:dyDescent="0.25">
      <c r="B17" s="45" t="s">
        <v>44</v>
      </c>
      <c r="C17" s="50">
        <v>30</v>
      </c>
      <c r="D17" s="50">
        <v>9</v>
      </c>
      <c r="E17" s="50">
        <v>16</v>
      </c>
      <c r="F17" s="50">
        <v>90</v>
      </c>
      <c r="G17" s="50">
        <v>2</v>
      </c>
      <c r="H17" s="50">
        <v>0</v>
      </c>
      <c r="I17" s="50">
        <v>0</v>
      </c>
      <c r="J17" s="50">
        <v>4</v>
      </c>
      <c r="K17" s="50">
        <v>1</v>
      </c>
      <c r="L17" s="50">
        <v>1</v>
      </c>
      <c r="M17" s="50">
        <v>185</v>
      </c>
      <c r="N17" s="50">
        <v>0</v>
      </c>
      <c r="O17" s="15">
        <f t="shared" si="0"/>
        <v>153</v>
      </c>
      <c r="P17" s="15">
        <f t="shared" si="1"/>
        <v>338</v>
      </c>
      <c r="R17" s="1" t="s">
        <v>13</v>
      </c>
      <c r="S17" s="17">
        <f t="shared" ref="S17:AF17" si="9">SUM(C38:C41)</f>
        <v>224</v>
      </c>
      <c r="T17" s="17">
        <f t="shared" si="9"/>
        <v>62</v>
      </c>
      <c r="U17" s="17">
        <f t="shared" si="9"/>
        <v>58</v>
      </c>
      <c r="V17" s="17">
        <f t="shared" si="9"/>
        <v>223</v>
      </c>
      <c r="W17" s="17">
        <f t="shared" si="9"/>
        <v>2</v>
      </c>
      <c r="X17" s="17">
        <f t="shared" si="9"/>
        <v>0</v>
      </c>
      <c r="Y17" s="17">
        <f t="shared" si="9"/>
        <v>26</v>
      </c>
      <c r="Z17" s="17">
        <f t="shared" si="9"/>
        <v>23</v>
      </c>
      <c r="AA17" s="17">
        <f t="shared" si="9"/>
        <v>2</v>
      </c>
      <c r="AB17" s="17">
        <f t="shared" si="9"/>
        <v>16</v>
      </c>
      <c r="AC17" s="17">
        <f t="shared" si="9"/>
        <v>1022</v>
      </c>
      <c r="AD17" s="17">
        <f t="shared" si="9"/>
        <v>0</v>
      </c>
      <c r="AE17" s="31">
        <f t="shared" si="9"/>
        <v>636</v>
      </c>
      <c r="AF17" s="31">
        <f t="shared" si="9"/>
        <v>1658</v>
      </c>
    </row>
    <row r="18" spans="2:32" ht="23.1" customHeight="1" x14ac:dyDescent="0.25">
      <c r="B18" s="45" t="s">
        <v>45</v>
      </c>
      <c r="C18" s="50">
        <v>29</v>
      </c>
      <c r="D18" s="50">
        <v>6</v>
      </c>
      <c r="E18" s="50">
        <v>7</v>
      </c>
      <c r="F18" s="50">
        <v>60</v>
      </c>
      <c r="G18" s="50">
        <v>2</v>
      </c>
      <c r="H18" s="50">
        <v>1</v>
      </c>
      <c r="I18" s="50">
        <v>6</v>
      </c>
      <c r="J18" s="50">
        <v>6</v>
      </c>
      <c r="K18" s="50">
        <v>0</v>
      </c>
      <c r="L18" s="50">
        <v>0</v>
      </c>
      <c r="M18" s="50">
        <v>300</v>
      </c>
      <c r="N18" s="50">
        <v>0</v>
      </c>
      <c r="O18" s="15">
        <f t="shared" si="0"/>
        <v>117</v>
      </c>
      <c r="P18" s="15">
        <f t="shared" si="1"/>
        <v>417</v>
      </c>
      <c r="R18" s="1" t="s">
        <v>14</v>
      </c>
      <c r="S18" s="17">
        <f t="shared" ref="S18:AF18" si="10">SUM(C42:C45)</f>
        <v>213</v>
      </c>
      <c r="T18" s="17">
        <f t="shared" si="10"/>
        <v>78</v>
      </c>
      <c r="U18" s="17">
        <f t="shared" si="10"/>
        <v>77</v>
      </c>
      <c r="V18" s="17">
        <f t="shared" si="10"/>
        <v>211</v>
      </c>
      <c r="W18" s="17">
        <f t="shared" si="10"/>
        <v>1</v>
      </c>
      <c r="X18" s="17">
        <f t="shared" si="10"/>
        <v>2</v>
      </c>
      <c r="Y18" s="17">
        <f t="shared" si="10"/>
        <v>33</v>
      </c>
      <c r="Z18" s="17">
        <f t="shared" si="10"/>
        <v>21</v>
      </c>
      <c r="AA18" s="17">
        <f t="shared" si="10"/>
        <v>1</v>
      </c>
      <c r="AB18" s="17">
        <f t="shared" si="10"/>
        <v>16</v>
      </c>
      <c r="AC18" s="17">
        <f t="shared" si="10"/>
        <v>1249</v>
      </c>
      <c r="AD18" s="17">
        <f t="shared" si="10"/>
        <v>0</v>
      </c>
      <c r="AE18" s="31">
        <f t="shared" si="10"/>
        <v>653</v>
      </c>
      <c r="AF18" s="31">
        <f t="shared" si="10"/>
        <v>1902</v>
      </c>
    </row>
    <row r="19" spans="2:32" ht="23.1" customHeight="1" x14ac:dyDescent="0.25">
      <c r="B19" s="45" t="s">
        <v>46</v>
      </c>
      <c r="C19" s="50">
        <v>34</v>
      </c>
      <c r="D19" s="50">
        <v>7</v>
      </c>
      <c r="E19" s="50">
        <v>3</v>
      </c>
      <c r="F19" s="50">
        <v>78</v>
      </c>
      <c r="G19" s="50">
        <v>1</v>
      </c>
      <c r="H19" s="50">
        <v>0</v>
      </c>
      <c r="I19" s="50">
        <v>6</v>
      </c>
      <c r="J19" s="50">
        <v>2</v>
      </c>
      <c r="K19" s="50">
        <v>0</v>
      </c>
      <c r="L19" s="50">
        <v>1</v>
      </c>
      <c r="M19" s="50">
        <v>260</v>
      </c>
      <c r="N19" s="50">
        <v>0</v>
      </c>
      <c r="O19" s="15">
        <f t="shared" si="0"/>
        <v>132</v>
      </c>
      <c r="P19" s="15">
        <f t="shared" si="1"/>
        <v>392</v>
      </c>
      <c r="R19" s="1" t="s">
        <v>15</v>
      </c>
      <c r="S19" s="17">
        <f t="shared" ref="S19:AF19" si="11">SUM(C46:C49)</f>
        <v>415</v>
      </c>
      <c r="T19" s="17">
        <f t="shared" si="11"/>
        <v>155</v>
      </c>
      <c r="U19" s="17">
        <f t="shared" si="11"/>
        <v>104</v>
      </c>
      <c r="V19" s="17">
        <f t="shared" si="11"/>
        <v>401</v>
      </c>
      <c r="W19" s="17">
        <f t="shared" si="11"/>
        <v>4</v>
      </c>
      <c r="X19" s="17">
        <f t="shared" si="11"/>
        <v>7</v>
      </c>
      <c r="Y19" s="17">
        <f t="shared" si="11"/>
        <v>20</v>
      </c>
      <c r="Z19" s="17">
        <f t="shared" si="11"/>
        <v>24</v>
      </c>
      <c r="AA19" s="17">
        <f t="shared" si="11"/>
        <v>1</v>
      </c>
      <c r="AB19" s="17">
        <f t="shared" si="11"/>
        <v>8</v>
      </c>
      <c r="AC19" s="17">
        <f t="shared" si="11"/>
        <v>1157</v>
      </c>
      <c r="AD19" s="17">
        <f t="shared" si="11"/>
        <v>0</v>
      </c>
      <c r="AE19" s="31">
        <f t="shared" si="11"/>
        <v>1139</v>
      </c>
      <c r="AF19" s="31">
        <f t="shared" si="11"/>
        <v>2296</v>
      </c>
    </row>
    <row r="20" spans="2:32" ht="23.1" customHeight="1" x14ac:dyDescent="0.25">
      <c r="B20" s="45" t="s">
        <v>47</v>
      </c>
      <c r="C20" s="50">
        <v>35</v>
      </c>
      <c r="D20" s="50">
        <v>8</v>
      </c>
      <c r="E20" s="50">
        <v>7</v>
      </c>
      <c r="F20" s="50">
        <v>92</v>
      </c>
      <c r="G20" s="50">
        <v>0</v>
      </c>
      <c r="H20" s="50">
        <v>1</v>
      </c>
      <c r="I20" s="50">
        <v>11</v>
      </c>
      <c r="J20" s="50">
        <v>7</v>
      </c>
      <c r="K20" s="50">
        <v>0</v>
      </c>
      <c r="L20" s="50">
        <v>0</v>
      </c>
      <c r="M20" s="50">
        <v>319</v>
      </c>
      <c r="N20" s="50">
        <v>0</v>
      </c>
      <c r="O20" s="15">
        <f t="shared" si="0"/>
        <v>161</v>
      </c>
      <c r="P20" s="15">
        <f t="shared" si="1"/>
        <v>480</v>
      </c>
      <c r="R20" s="1" t="s">
        <v>16</v>
      </c>
      <c r="S20" s="17">
        <f t="shared" ref="S20:AF20" si="12">SUM(C50:C53)</f>
        <v>240</v>
      </c>
      <c r="T20" s="17">
        <f t="shared" si="12"/>
        <v>126</v>
      </c>
      <c r="U20" s="17">
        <f t="shared" si="12"/>
        <v>82</v>
      </c>
      <c r="V20" s="17">
        <f t="shared" si="12"/>
        <v>261</v>
      </c>
      <c r="W20" s="17">
        <f t="shared" si="12"/>
        <v>4</v>
      </c>
      <c r="X20" s="17">
        <f t="shared" si="12"/>
        <v>6</v>
      </c>
      <c r="Y20" s="17">
        <f t="shared" si="12"/>
        <v>16</v>
      </c>
      <c r="Z20" s="17">
        <f t="shared" si="12"/>
        <v>14</v>
      </c>
      <c r="AA20" s="17">
        <f t="shared" si="12"/>
        <v>1</v>
      </c>
      <c r="AB20" s="17">
        <f t="shared" si="12"/>
        <v>7</v>
      </c>
      <c r="AC20" s="17">
        <f t="shared" si="12"/>
        <v>1850</v>
      </c>
      <c r="AD20" s="17">
        <f t="shared" si="12"/>
        <v>0</v>
      </c>
      <c r="AE20" s="31">
        <f t="shared" si="12"/>
        <v>757</v>
      </c>
      <c r="AF20" s="31">
        <f t="shared" si="12"/>
        <v>2607</v>
      </c>
    </row>
    <row r="21" spans="2:32" ht="23.1" customHeight="1" x14ac:dyDescent="0.25">
      <c r="B21" s="45" t="s">
        <v>48</v>
      </c>
      <c r="C21" s="50">
        <v>16</v>
      </c>
      <c r="D21" s="50">
        <v>9</v>
      </c>
      <c r="E21" s="50">
        <v>2</v>
      </c>
      <c r="F21" s="50">
        <v>39</v>
      </c>
      <c r="G21" s="50">
        <v>0</v>
      </c>
      <c r="H21" s="50">
        <v>0</v>
      </c>
      <c r="I21" s="50">
        <v>6</v>
      </c>
      <c r="J21" s="50">
        <v>2</v>
      </c>
      <c r="K21" s="50">
        <v>0</v>
      </c>
      <c r="L21" s="50">
        <v>2</v>
      </c>
      <c r="M21" s="50">
        <v>139</v>
      </c>
      <c r="N21" s="50">
        <v>0</v>
      </c>
      <c r="O21" s="15">
        <f t="shared" si="0"/>
        <v>76</v>
      </c>
      <c r="P21" s="15">
        <f t="shared" si="1"/>
        <v>215</v>
      </c>
      <c r="R21" s="36" t="s">
        <v>20</v>
      </c>
      <c r="S21" s="34">
        <f t="shared" ref="S21:AF21" si="13">SUM(C54:C57)</f>
        <v>323</v>
      </c>
      <c r="T21" s="17">
        <f t="shared" si="13"/>
        <v>98</v>
      </c>
      <c r="U21" s="17">
        <f t="shared" si="13"/>
        <v>56</v>
      </c>
      <c r="V21" s="17">
        <f t="shared" si="13"/>
        <v>234</v>
      </c>
      <c r="W21" s="17">
        <f t="shared" si="13"/>
        <v>13</v>
      </c>
      <c r="X21" s="17">
        <f t="shared" si="13"/>
        <v>2</v>
      </c>
      <c r="Y21" s="17">
        <f t="shared" si="13"/>
        <v>15</v>
      </c>
      <c r="Z21" s="17">
        <f t="shared" si="13"/>
        <v>10</v>
      </c>
      <c r="AA21" s="17">
        <f t="shared" si="13"/>
        <v>1</v>
      </c>
      <c r="AB21" s="17">
        <f t="shared" si="13"/>
        <v>3</v>
      </c>
      <c r="AC21" s="17">
        <f t="shared" si="13"/>
        <v>1700</v>
      </c>
      <c r="AD21" s="17">
        <f t="shared" si="13"/>
        <v>0</v>
      </c>
      <c r="AE21" s="31">
        <f t="shared" si="13"/>
        <v>755</v>
      </c>
      <c r="AF21" s="31">
        <f t="shared" si="13"/>
        <v>2455</v>
      </c>
    </row>
    <row r="22" spans="2:32" ht="23.1" customHeight="1" x14ac:dyDescent="0.25">
      <c r="B22" s="45" t="s">
        <v>49</v>
      </c>
      <c r="C22" s="50">
        <v>30</v>
      </c>
      <c r="D22" s="50">
        <v>14</v>
      </c>
      <c r="E22" s="50">
        <v>6</v>
      </c>
      <c r="F22" s="50">
        <v>48</v>
      </c>
      <c r="G22" s="50">
        <v>0</v>
      </c>
      <c r="H22" s="50">
        <v>2</v>
      </c>
      <c r="I22" s="50">
        <v>8</v>
      </c>
      <c r="J22" s="50">
        <v>4</v>
      </c>
      <c r="K22" s="50">
        <v>1</v>
      </c>
      <c r="L22" s="50">
        <v>0</v>
      </c>
      <c r="M22" s="50">
        <v>302</v>
      </c>
      <c r="N22" s="50">
        <v>0</v>
      </c>
      <c r="O22" s="15">
        <f t="shared" si="0"/>
        <v>113</v>
      </c>
      <c r="P22" s="15">
        <f t="shared" si="1"/>
        <v>415</v>
      </c>
      <c r="R22" s="36" t="s">
        <v>146</v>
      </c>
      <c r="S22" s="34">
        <f>SUM(C58:C61)</f>
        <v>333</v>
      </c>
      <c r="T22" s="34">
        <f t="shared" ref="T22:AF22" si="14">SUM(D58:D61)</f>
        <v>93</v>
      </c>
      <c r="U22" s="34">
        <f t="shared" si="14"/>
        <v>50</v>
      </c>
      <c r="V22" s="34">
        <f t="shared" si="14"/>
        <v>167</v>
      </c>
      <c r="W22" s="34">
        <f t="shared" si="14"/>
        <v>8</v>
      </c>
      <c r="X22" s="34">
        <f t="shared" si="14"/>
        <v>5</v>
      </c>
      <c r="Y22" s="34">
        <f t="shared" si="14"/>
        <v>11</v>
      </c>
      <c r="Z22" s="34">
        <f t="shared" si="14"/>
        <v>12</v>
      </c>
      <c r="AA22" s="34">
        <f t="shared" si="14"/>
        <v>0</v>
      </c>
      <c r="AB22" s="34">
        <f t="shared" si="14"/>
        <v>2</v>
      </c>
      <c r="AC22" s="34">
        <f t="shared" si="14"/>
        <v>2025</v>
      </c>
      <c r="AD22" s="34">
        <f t="shared" si="14"/>
        <v>0</v>
      </c>
      <c r="AE22" s="31">
        <f t="shared" si="14"/>
        <v>681</v>
      </c>
      <c r="AF22" s="31">
        <f t="shared" si="14"/>
        <v>2706</v>
      </c>
    </row>
    <row r="23" spans="2:32" ht="23.1" customHeight="1" x14ac:dyDescent="0.25">
      <c r="B23" s="45" t="s">
        <v>50</v>
      </c>
      <c r="C23" s="50">
        <v>54</v>
      </c>
      <c r="D23" s="50">
        <v>18</v>
      </c>
      <c r="E23" s="50">
        <v>12</v>
      </c>
      <c r="F23" s="50">
        <v>75</v>
      </c>
      <c r="G23" s="50">
        <v>0</v>
      </c>
      <c r="H23" s="50">
        <v>1</v>
      </c>
      <c r="I23" s="50">
        <v>4</v>
      </c>
      <c r="J23" s="50">
        <v>8</v>
      </c>
      <c r="K23" s="50">
        <v>0</v>
      </c>
      <c r="L23" s="50">
        <v>1</v>
      </c>
      <c r="M23" s="50">
        <v>220</v>
      </c>
      <c r="N23" s="50">
        <v>0</v>
      </c>
      <c r="O23" s="15">
        <f t="shared" si="0"/>
        <v>173</v>
      </c>
      <c r="P23" s="15">
        <f t="shared" si="1"/>
        <v>393</v>
      </c>
      <c r="R23" s="36" t="s">
        <v>147</v>
      </c>
      <c r="S23" s="34">
        <f>SUM(C62:C65)</f>
        <v>333</v>
      </c>
      <c r="T23" s="34">
        <f t="shared" ref="T23:AF23" si="15">SUM(D62:D65)</f>
        <v>91</v>
      </c>
      <c r="U23" s="34">
        <f t="shared" si="15"/>
        <v>65</v>
      </c>
      <c r="V23" s="34">
        <f t="shared" si="15"/>
        <v>214</v>
      </c>
      <c r="W23" s="34">
        <f t="shared" si="15"/>
        <v>4</v>
      </c>
      <c r="X23" s="34">
        <f t="shared" si="15"/>
        <v>1</v>
      </c>
      <c r="Y23" s="34">
        <f t="shared" si="15"/>
        <v>16</v>
      </c>
      <c r="Z23" s="34">
        <f t="shared" si="15"/>
        <v>13</v>
      </c>
      <c r="AA23" s="34">
        <f t="shared" si="15"/>
        <v>1</v>
      </c>
      <c r="AB23" s="34">
        <f t="shared" si="15"/>
        <v>2</v>
      </c>
      <c r="AC23" s="34">
        <f t="shared" si="15"/>
        <v>2690</v>
      </c>
      <c r="AD23" s="34">
        <f t="shared" si="15"/>
        <v>0</v>
      </c>
      <c r="AE23" s="31">
        <f t="shared" si="15"/>
        <v>740</v>
      </c>
      <c r="AF23" s="31">
        <f t="shared" si="15"/>
        <v>3430</v>
      </c>
    </row>
    <row r="24" spans="2:32" ht="23.1" customHeight="1" x14ac:dyDescent="0.25">
      <c r="B24" s="45" t="s">
        <v>51</v>
      </c>
      <c r="C24" s="50">
        <v>31</v>
      </c>
      <c r="D24" s="50">
        <v>8</v>
      </c>
      <c r="E24" s="50">
        <v>11</v>
      </c>
      <c r="F24" s="50">
        <v>63</v>
      </c>
      <c r="G24" s="50">
        <v>0</v>
      </c>
      <c r="H24" s="50">
        <v>0</v>
      </c>
      <c r="I24" s="50">
        <v>6</v>
      </c>
      <c r="J24" s="50">
        <v>7</v>
      </c>
      <c r="K24" s="50">
        <v>0</v>
      </c>
      <c r="L24" s="50">
        <v>4</v>
      </c>
      <c r="M24" s="50">
        <v>280</v>
      </c>
      <c r="N24" s="50">
        <v>0</v>
      </c>
      <c r="O24" s="15">
        <f t="shared" si="0"/>
        <v>130</v>
      </c>
      <c r="P24" s="15">
        <f t="shared" si="1"/>
        <v>410</v>
      </c>
      <c r="R24" s="36" t="s">
        <v>148</v>
      </c>
      <c r="S24" s="34">
        <f>SUM(C66:C69)</f>
        <v>288</v>
      </c>
      <c r="T24" s="34">
        <f t="shared" ref="T24:AF24" si="16">SUM(D66:D69)</f>
        <v>121</v>
      </c>
      <c r="U24" s="34">
        <f t="shared" si="16"/>
        <v>51</v>
      </c>
      <c r="V24" s="34">
        <f t="shared" si="16"/>
        <v>201</v>
      </c>
      <c r="W24" s="34">
        <f t="shared" si="16"/>
        <v>7</v>
      </c>
      <c r="X24" s="34">
        <f t="shared" si="16"/>
        <v>6</v>
      </c>
      <c r="Y24" s="34">
        <f t="shared" si="16"/>
        <v>3</v>
      </c>
      <c r="Z24" s="34">
        <f t="shared" si="16"/>
        <v>7</v>
      </c>
      <c r="AA24" s="34">
        <f t="shared" si="16"/>
        <v>1</v>
      </c>
      <c r="AB24" s="34">
        <f t="shared" si="16"/>
        <v>7</v>
      </c>
      <c r="AC24" s="34">
        <f t="shared" si="16"/>
        <v>1825</v>
      </c>
      <c r="AD24" s="34">
        <f t="shared" si="16"/>
        <v>0</v>
      </c>
      <c r="AE24" s="31">
        <f t="shared" si="16"/>
        <v>692</v>
      </c>
      <c r="AF24" s="31">
        <f t="shared" si="16"/>
        <v>2517</v>
      </c>
    </row>
    <row r="25" spans="2:32" ht="23.1" customHeight="1" x14ac:dyDescent="0.25">
      <c r="B25" s="45" t="s">
        <v>52</v>
      </c>
      <c r="C25" s="50">
        <v>110</v>
      </c>
      <c r="D25" s="50">
        <v>19</v>
      </c>
      <c r="E25" s="50">
        <v>6</v>
      </c>
      <c r="F25" s="50">
        <v>79</v>
      </c>
      <c r="G25" s="50">
        <v>0</v>
      </c>
      <c r="H25" s="50">
        <v>1</v>
      </c>
      <c r="I25" s="50">
        <v>10</v>
      </c>
      <c r="J25" s="50">
        <v>10</v>
      </c>
      <c r="K25" s="50">
        <v>0</v>
      </c>
      <c r="L25" s="50">
        <v>5</v>
      </c>
      <c r="M25" s="50">
        <v>450</v>
      </c>
      <c r="N25" s="50">
        <v>0</v>
      </c>
      <c r="O25" s="15">
        <f t="shared" si="0"/>
        <v>240</v>
      </c>
      <c r="P25" s="15">
        <f t="shared" si="1"/>
        <v>690</v>
      </c>
      <c r="R25" s="36" t="s">
        <v>149</v>
      </c>
      <c r="S25" s="34">
        <f>SUM(C70:C73)</f>
        <v>229</v>
      </c>
      <c r="T25" s="34">
        <f t="shared" ref="T25:AF25" si="17">SUM(D70:D73)</f>
        <v>78</v>
      </c>
      <c r="U25" s="34">
        <f t="shared" si="17"/>
        <v>44</v>
      </c>
      <c r="V25" s="34">
        <f t="shared" si="17"/>
        <v>187</v>
      </c>
      <c r="W25" s="34">
        <f t="shared" si="17"/>
        <v>2</v>
      </c>
      <c r="X25" s="34">
        <f t="shared" si="17"/>
        <v>1</v>
      </c>
      <c r="Y25" s="34">
        <f t="shared" si="17"/>
        <v>9</v>
      </c>
      <c r="Z25" s="34">
        <f t="shared" si="17"/>
        <v>16</v>
      </c>
      <c r="AA25" s="34">
        <f t="shared" si="17"/>
        <v>0</v>
      </c>
      <c r="AB25" s="34">
        <f t="shared" si="17"/>
        <v>4</v>
      </c>
      <c r="AC25" s="34">
        <f t="shared" si="17"/>
        <v>1825</v>
      </c>
      <c r="AD25" s="34">
        <f t="shared" si="17"/>
        <v>0</v>
      </c>
      <c r="AE25" s="31">
        <f t="shared" si="17"/>
        <v>570</v>
      </c>
      <c r="AF25" s="31">
        <f t="shared" si="17"/>
        <v>2395</v>
      </c>
    </row>
    <row r="26" spans="2:32" ht="23.1" customHeight="1" x14ac:dyDescent="0.25">
      <c r="B26" s="45" t="s">
        <v>53</v>
      </c>
      <c r="C26" s="50">
        <v>25</v>
      </c>
      <c r="D26" s="50">
        <v>17</v>
      </c>
      <c r="E26" s="50">
        <v>10</v>
      </c>
      <c r="F26" s="50">
        <v>60</v>
      </c>
      <c r="G26" s="50">
        <v>0</v>
      </c>
      <c r="H26" s="50">
        <v>0</v>
      </c>
      <c r="I26" s="50">
        <v>4</v>
      </c>
      <c r="J26" s="50">
        <v>3</v>
      </c>
      <c r="K26" s="50">
        <v>1</v>
      </c>
      <c r="L26" s="50">
        <v>3</v>
      </c>
      <c r="M26" s="50">
        <v>504</v>
      </c>
      <c r="N26" s="50">
        <v>0</v>
      </c>
      <c r="O26" s="15">
        <f t="shared" si="0"/>
        <v>123</v>
      </c>
      <c r="P26" s="15">
        <f t="shared" si="1"/>
        <v>627</v>
      </c>
      <c r="R26" s="36" t="s">
        <v>150</v>
      </c>
      <c r="S26" s="34">
        <f>SUM(C74:C77)</f>
        <v>252</v>
      </c>
      <c r="T26" s="34">
        <f t="shared" ref="T26:AF26" si="18">SUM(D74:D77)</f>
        <v>62</v>
      </c>
      <c r="U26" s="34">
        <f t="shared" si="18"/>
        <v>36</v>
      </c>
      <c r="V26" s="34">
        <f t="shared" si="18"/>
        <v>155</v>
      </c>
      <c r="W26" s="34">
        <f t="shared" si="18"/>
        <v>1</v>
      </c>
      <c r="X26" s="34">
        <f t="shared" si="18"/>
        <v>0</v>
      </c>
      <c r="Y26" s="34">
        <f t="shared" si="18"/>
        <v>6</v>
      </c>
      <c r="Z26" s="34">
        <f t="shared" si="18"/>
        <v>5</v>
      </c>
      <c r="AA26" s="34">
        <f t="shared" si="18"/>
        <v>0</v>
      </c>
      <c r="AB26" s="34">
        <f t="shared" si="18"/>
        <v>7</v>
      </c>
      <c r="AC26" s="34">
        <f t="shared" si="18"/>
        <v>965</v>
      </c>
      <c r="AD26" s="34">
        <f t="shared" si="18"/>
        <v>0</v>
      </c>
      <c r="AE26" s="31">
        <f t="shared" si="18"/>
        <v>524</v>
      </c>
      <c r="AF26" s="31">
        <f t="shared" si="18"/>
        <v>1489</v>
      </c>
    </row>
    <row r="27" spans="2:32" ht="23.1" customHeight="1" x14ac:dyDescent="0.25">
      <c r="B27" s="45" t="s">
        <v>54</v>
      </c>
      <c r="C27" s="50">
        <v>40</v>
      </c>
      <c r="D27" s="50">
        <v>8</v>
      </c>
      <c r="E27" s="50">
        <v>6</v>
      </c>
      <c r="F27" s="50">
        <v>59</v>
      </c>
      <c r="G27" s="50">
        <v>0</v>
      </c>
      <c r="H27" s="50">
        <v>0</v>
      </c>
      <c r="I27" s="50">
        <v>2</v>
      </c>
      <c r="J27" s="50">
        <v>6</v>
      </c>
      <c r="K27" s="50">
        <v>0</v>
      </c>
      <c r="L27" s="50">
        <v>0</v>
      </c>
      <c r="M27" s="50">
        <v>460</v>
      </c>
      <c r="N27" s="50">
        <v>0</v>
      </c>
      <c r="O27" s="15">
        <f t="shared" si="0"/>
        <v>121</v>
      </c>
      <c r="P27" s="15">
        <f t="shared" si="1"/>
        <v>581</v>
      </c>
      <c r="R27" s="36" t="s">
        <v>151</v>
      </c>
      <c r="S27" s="34">
        <f>SUM(C78:C81)</f>
        <v>192</v>
      </c>
      <c r="T27" s="34">
        <f t="shared" ref="T27:AF27" si="19">SUM(D78:D81)</f>
        <v>114</v>
      </c>
      <c r="U27" s="34">
        <f t="shared" si="19"/>
        <v>34</v>
      </c>
      <c r="V27" s="34">
        <f t="shared" si="19"/>
        <v>73</v>
      </c>
      <c r="W27" s="34">
        <f t="shared" si="19"/>
        <v>2</v>
      </c>
      <c r="X27" s="34">
        <f t="shared" si="19"/>
        <v>0</v>
      </c>
      <c r="Y27" s="34">
        <f t="shared" si="19"/>
        <v>4</v>
      </c>
      <c r="Z27" s="34">
        <f t="shared" si="19"/>
        <v>13</v>
      </c>
      <c r="AA27" s="34">
        <f t="shared" si="19"/>
        <v>0</v>
      </c>
      <c r="AB27" s="34">
        <f t="shared" si="19"/>
        <v>4</v>
      </c>
      <c r="AC27" s="34">
        <f t="shared" si="19"/>
        <v>381</v>
      </c>
      <c r="AD27" s="34">
        <f t="shared" si="19"/>
        <v>0</v>
      </c>
      <c r="AE27" s="31">
        <f t="shared" si="19"/>
        <v>436</v>
      </c>
      <c r="AF27" s="31">
        <f t="shared" si="19"/>
        <v>817</v>
      </c>
    </row>
    <row r="28" spans="2:32" ht="23.1" customHeight="1" x14ac:dyDescent="0.25">
      <c r="B28" s="45" t="s">
        <v>55</v>
      </c>
      <c r="C28" s="50">
        <v>20</v>
      </c>
      <c r="D28" s="50">
        <v>16</v>
      </c>
      <c r="E28" s="50">
        <v>4</v>
      </c>
      <c r="F28" s="50">
        <v>44</v>
      </c>
      <c r="G28" s="50">
        <v>1</v>
      </c>
      <c r="H28" s="50">
        <v>0</v>
      </c>
      <c r="I28" s="50">
        <v>11</v>
      </c>
      <c r="J28" s="50">
        <v>8</v>
      </c>
      <c r="K28" s="50">
        <v>2</v>
      </c>
      <c r="L28" s="50">
        <v>3</v>
      </c>
      <c r="M28" s="50">
        <v>495</v>
      </c>
      <c r="N28" s="50">
        <v>0</v>
      </c>
      <c r="O28" s="15">
        <f t="shared" si="0"/>
        <v>109</v>
      </c>
      <c r="P28" s="15">
        <f t="shared" si="1"/>
        <v>604</v>
      </c>
      <c r="R28" s="36" t="s">
        <v>152</v>
      </c>
      <c r="S28" s="34">
        <f>SUM(C82:C85)</f>
        <v>60</v>
      </c>
      <c r="T28" s="34">
        <f t="shared" ref="T28:AF28" si="20">SUM(D82:D85)</f>
        <v>17</v>
      </c>
      <c r="U28" s="34">
        <f t="shared" si="20"/>
        <v>8</v>
      </c>
      <c r="V28" s="34">
        <f t="shared" si="20"/>
        <v>10</v>
      </c>
      <c r="W28" s="34">
        <f t="shared" si="20"/>
        <v>1</v>
      </c>
      <c r="X28" s="34">
        <f t="shared" si="20"/>
        <v>3</v>
      </c>
      <c r="Y28" s="34">
        <f t="shared" si="20"/>
        <v>5</v>
      </c>
      <c r="Z28" s="34">
        <f t="shared" si="20"/>
        <v>5</v>
      </c>
      <c r="AA28" s="34">
        <f t="shared" si="20"/>
        <v>0</v>
      </c>
      <c r="AB28" s="34">
        <f t="shared" si="20"/>
        <v>4</v>
      </c>
      <c r="AC28" s="34">
        <f t="shared" si="20"/>
        <v>175</v>
      </c>
      <c r="AD28" s="34">
        <f t="shared" si="20"/>
        <v>0</v>
      </c>
      <c r="AE28" s="31">
        <f t="shared" si="20"/>
        <v>113</v>
      </c>
      <c r="AF28" s="31">
        <f t="shared" si="20"/>
        <v>288</v>
      </c>
    </row>
    <row r="29" spans="2:32" ht="23.1" customHeight="1" x14ac:dyDescent="0.25">
      <c r="B29" s="45" t="s">
        <v>56</v>
      </c>
      <c r="C29" s="50">
        <v>12</v>
      </c>
      <c r="D29" s="50">
        <v>9</v>
      </c>
      <c r="E29" s="50">
        <v>13</v>
      </c>
      <c r="F29" s="50">
        <v>17</v>
      </c>
      <c r="G29" s="50">
        <v>0</v>
      </c>
      <c r="H29" s="50">
        <v>0</v>
      </c>
      <c r="I29" s="50">
        <v>2</v>
      </c>
      <c r="J29" s="50">
        <v>3</v>
      </c>
      <c r="K29" s="50">
        <v>0</v>
      </c>
      <c r="L29" s="50">
        <v>2</v>
      </c>
      <c r="M29" s="50">
        <v>255</v>
      </c>
      <c r="N29" s="50">
        <v>0</v>
      </c>
      <c r="O29" s="15">
        <f t="shared" si="0"/>
        <v>58</v>
      </c>
      <c r="P29" s="15">
        <f t="shared" si="1"/>
        <v>313</v>
      </c>
      <c r="R29" s="36" t="s">
        <v>153</v>
      </c>
      <c r="S29" s="34">
        <f>SUM(C86:C89)</f>
        <v>34</v>
      </c>
      <c r="T29" s="34">
        <f t="shared" ref="T29:AF29" si="21">SUM(D86:D89)</f>
        <v>11</v>
      </c>
      <c r="U29" s="34">
        <f t="shared" si="21"/>
        <v>1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8</v>
      </c>
      <c r="Z29" s="34">
        <f t="shared" si="21"/>
        <v>4</v>
      </c>
      <c r="AA29" s="34">
        <f t="shared" si="21"/>
        <v>0</v>
      </c>
      <c r="AB29" s="34">
        <f t="shared" si="21"/>
        <v>2</v>
      </c>
      <c r="AC29" s="34">
        <f t="shared" si="21"/>
        <v>174</v>
      </c>
      <c r="AD29" s="34">
        <f t="shared" si="21"/>
        <v>0</v>
      </c>
      <c r="AE29" s="31">
        <f t="shared" si="21"/>
        <v>64</v>
      </c>
      <c r="AF29" s="31">
        <f t="shared" si="21"/>
        <v>238</v>
      </c>
    </row>
    <row r="30" spans="2:32" ht="23.1" customHeight="1" x14ac:dyDescent="0.25">
      <c r="B30" s="45" t="s">
        <v>57</v>
      </c>
      <c r="C30" s="50">
        <v>23</v>
      </c>
      <c r="D30" s="50">
        <v>15</v>
      </c>
      <c r="E30" s="50">
        <v>10</v>
      </c>
      <c r="F30" s="50">
        <v>41</v>
      </c>
      <c r="G30" s="50">
        <v>0</v>
      </c>
      <c r="H30" s="50">
        <v>0</v>
      </c>
      <c r="I30" s="50">
        <v>7</v>
      </c>
      <c r="J30" s="50">
        <v>13</v>
      </c>
      <c r="K30" s="50">
        <v>1</v>
      </c>
      <c r="L30" s="50">
        <v>4</v>
      </c>
      <c r="M30" s="50">
        <v>350</v>
      </c>
      <c r="N30" s="50">
        <v>0</v>
      </c>
      <c r="O30" s="15">
        <f t="shared" si="0"/>
        <v>114</v>
      </c>
      <c r="P30" s="15">
        <f t="shared" si="1"/>
        <v>464</v>
      </c>
      <c r="R30" s="36" t="s">
        <v>154</v>
      </c>
      <c r="S30" s="34">
        <f>SUM(C90:C93)</f>
        <v>50</v>
      </c>
      <c r="T30" s="34">
        <f t="shared" ref="T30:AF30" si="22">SUM(D90:D93)</f>
        <v>4</v>
      </c>
      <c r="U30" s="34">
        <f t="shared" si="22"/>
        <v>8</v>
      </c>
      <c r="V30" s="34">
        <f t="shared" si="22"/>
        <v>19</v>
      </c>
      <c r="W30" s="34">
        <f t="shared" si="22"/>
        <v>0</v>
      </c>
      <c r="X30" s="34">
        <f t="shared" si="22"/>
        <v>0</v>
      </c>
      <c r="Y30" s="34">
        <f t="shared" si="22"/>
        <v>15</v>
      </c>
      <c r="Z30" s="34">
        <f t="shared" si="22"/>
        <v>6</v>
      </c>
      <c r="AA30" s="34">
        <f t="shared" si="22"/>
        <v>1</v>
      </c>
      <c r="AB30" s="34">
        <f t="shared" si="22"/>
        <v>5</v>
      </c>
      <c r="AC30" s="34">
        <f t="shared" si="22"/>
        <v>156</v>
      </c>
      <c r="AD30" s="34">
        <f t="shared" si="22"/>
        <v>0</v>
      </c>
      <c r="AE30" s="31">
        <f t="shared" si="22"/>
        <v>108</v>
      </c>
      <c r="AF30" s="31">
        <f t="shared" si="22"/>
        <v>264</v>
      </c>
    </row>
    <row r="31" spans="2:32" ht="23.1" customHeight="1" x14ac:dyDescent="0.25">
      <c r="B31" s="46" t="s">
        <v>58</v>
      </c>
      <c r="C31" s="50">
        <v>19</v>
      </c>
      <c r="D31" s="50">
        <v>5</v>
      </c>
      <c r="E31" s="50">
        <v>21</v>
      </c>
      <c r="F31" s="50">
        <v>39</v>
      </c>
      <c r="G31" s="50">
        <v>0</v>
      </c>
      <c r="H31" s="50">
        <v>1</v>
      </c>
      <c r="I31" s="50">
        <v>2</v>
      </c>
      <c r="J31" s="50">
        <v>2</v>
      </c>
      <c r="K31" s="50">
        <v>0</v>
      </c>
      <c r="L31" s="50">
        <v>4</v>
      </c>
      <c r="M31" s="50">
        <v>265</v>
      </c>
      <c r="N31" s="50">
        <v>0</v>
      </c>
      <c r="O31" s="15">
        <f t="shared" si="0"/>
        <v>93</v>
      </c>
      <c r="P31" s="15">
        <f t="shared" si="1"/>
        <v>358</v>
      </c>
      <c r="R31" s="36" t="s">
        <v>155</v>
      </c>
      <c r="S31" s="34">
        <f>SUM(C94:C97)</f>
        <v>81</v>
      </c>
      <c r="T31" s="34">
        <f t="shared" ref="T31:AF31" si="23">SUM(D94:D97)</f>
        <v>5</v>
      </c>
      <c r="U31" s="34">
        <f t="shared" si="23"/>
        <v>2</v>
      </c>
      <c r="V31" s="34">
        <f t="shared" si="23"/>
        <v>34</v>
      </c>
      <c r="W31" s="34">
        <f t="shared" si="23"/>
        <v>0</v>
      </c>
      <c r="X31" s="34">
        <f t="shared" si="23"/>
        <v>1</v>
      </c>
      <c r="Y31" s="34">
        <f t="shared" si="23"/>
        <v>8</v>
      </c>
      <c r="Z31" s="34">
        <f t="shared" si="23"/>
        <v>12</v>
      </c>
      <c r="AA31" s="34">
        <f t="shared" si="23"/>
        <v>0</v>
      </c>
      <c r="AB31" s="34">
        <f t="shared" si="23"/>
        <v>5</v>
      </c>
      <c r="AC31" s="34">
        <f t="shared" si="23"/>
        <v>215</v>
      </c>
      <c r="AD31" s="34">
        <f t="shared" si="23"/>
        <v>0</v>
      </c>
      <c r="AE31" s="31">
        <f t="shared" si="23"/>
        <v>148</v>
      </c>
      <c r="AF31" s="31">
        <f t="shared" si="23"/>
        <v>363</v>
      </c>
    </row>
    <row r="32" spans="2:32" ht="23.1" customHeight="1" x14ac:dyDescent="0.25">
      <c r="B32" s="46" t="s">
        <v>59</v>
      </c>
      <c r="C32" s="50">
        <v>22</v>
      </c>
      <c r="D32" s="50">
        <v>9</v>
      </c>
      <c r="E32" s="50">
        <v>30</v>
      </c>
      <c r="F32" s="50">
        <v>40</v>
      </c>
      <c r="G32" s="50">
        <v>1</v>
      </c>
      <c r="H32" s="50">
        <v>0</v>
      </c>
      <c r="I32" s="50">
        <v>1</v>
      </c>
      <c r="J32" s="50">
        <v>3</v>
      </c>
      <c r="K32" s="50">
        <v>0</v>
      </c>
      <c r="L32" s="50">
        <v>1</v>
      </c>
      <c r="M32" s="50">
        <v>195</v>
      </c>
      <c r="N32" s="50">
        <v>0</v>
      </c>
      <c r="O32" s="15">
        <f t="shared" si="0"/>
        <v>107</v>
      </c>
      <c r="P32" s="15">
        <f t="shared" si="1"/>
        <v>302</v>
      </c>
      <c r="R32" s="33" t="s">
        <v>156</v>
      </c>
      <c r="S32" s="34">
        <f>SUM(C98:C101)</f>
        <v>84</v>
      </c>
      <c r="T32" s="34">
        <f t="shared" ref="T32:AF32" si="24">SUM(D98:D101)</f>
        <v>10</v>
      </c>
      <c r="U32" s="34">
        <f t="shared" si="24"/>
        <v>15</v>
      </c>
      <c r="V32" s="34">
        <f t="shared" si="24"/>
        <v>87</v>
      </c>
      <c r="W32" s="34">
        <f t="shared" si="24"/>
        <v>0</v>
      </c>
      <c r="X32" s="34">
        <f t="shared" si="24"/>
        <v>1</v>
      </c>
      <c r="Y32" s="34">
        <f t="shared" si="24"/>
        <v>5</v>
      </c>
      <c r="Z32" s="34">
        <f t="shared" si="24"/>
        <v>11</v>
      </c>
      <c r="AA32" s="34">
        <f t="shared" si="24"/>
        <v>0</v>
      </c>
      <c r="AB32" s="34">
        <f t="shared" si="24"/>
        <v>7</v>
      </c>
      <c r="AC32" s="34">
        <f t="shared" si="24"/>
        <v>238</v>
      </c>
      <c r="AD32" s="34">
        <f t="shared" si="24"/>
        <v>0</v>
      </c>
      <c r="AE32" s="31">
        <f t="shared" si="24"/>
        <v>220</v>
      </c>
      <c r="AF32" s="31">
        <f t="shared" si="24"/>
        <v>458</v>
      </c>
    </row>
    <row r="33" spans="2:32" ht="23.1" customHeight="1" x14ac:dyDescent="0.25">
      <c r="B33" s="45" t="s">
        <v>60</v>
      </c>
      <c r="C33" s="50">
        <v>30</v>
      </c>
      <c r="D33" s="50">
        <v>19</v>
      </c>
      <c r="E33" s="50">
        <v>14</v>
      </c>
      <c r="F33" s="50">
        <v>43</v>
      </c>
      <c r="G33" s="50">
        <v>0</v>
      </c>
      <c r="H33" s="50">
        <v>1</v>
      </c>
      <c r="I33" s="50">
        <v>1</v>
      </c>
      <c r="J33" s="50">
        <v>2</v>
      </c>
      <c r="K33" s="50">
        <v>0</v>
      </c>
      <c r="L33" s="50">
        <v>1</v>
      </c>
      <c r="M33" s="50">
        <v>120</v>
      </c>
      <c r="N33" s="50">
        <v>0</v>
      </c>
      <c r="O33" s="15">
        <f t="shared" si="0"/>
        <v>111</v>
      </c>
      <c r="P33" s="15">
        <f t="shared" si="1"/>
        <v>231</v>
      </c>
      <c r="R33" s="33" t="s">
        <v>157</v>
      </c>
      <c r="S33" s="34">
        <f>SUM(C102:C105)</f>
        <v>78</v>
      </c>
      <c r="T33" s="34">
        <f t="shared" ref="T33:AF33" si="25">SUM(D102:D105)</f>
        <v>27</v>
      </c>
      <c r="U33" s="34">
        <f t="shared" si="25"/>
        <v>27</v>
      </c>
      <c r="V33" s="34">
        <f t="shared" si="25"/>
        <v>119</v>
      </c>
      <c r="W33" s="34">
        <f t="shared" si="25"/>
        <v>3</v>
      </c>
      <c r="X33" s="34">
        <f t="shared" si="25"/>
        <v>2</v>
      </c>
      <c r="Y33" s="34">
        <f t="shared" si="25"/>
        <v>13</v>
      </c>
      <c r="Z33" s="34">
        <f t="shared" si="25"/>
        <v>21</v>
      </c>
      <c r="AA33" s="34">
        <f t="shared" si="25"/>
        <v>0</v>
      </c>
      <c r="AB33" s="34">
        <f t="shared" si="25"/>
        <v>15</v>
      </c>
      <c r="AC33" s="34">
        <f t="shared" si="25"/>
        <v>402</v>
      </c>
      <c r="AD33" s="34">
        <f t="shared" si="25"/>
        <v>0</v>
      </c>
      <c r="AE33" s="31">
        <f t="shared" si="25"/>
        <v>305</v>
      </c>
      <c r="AF33" s="31">
        <f t="shared" si="25"/>
        <v>707</v>
      </c>
    </row>
    <row r="34" spans="2:32" ht="23.1" customHeight="1" x14ac:dyDescent="0.25">
      <c r="B34" s="46" t="s">
        <v>61</v>
      </c>
      <c r="C34" s="50">
        <v>17</v>
      </c>
      <c r="D34" s="50">
        <v>16</v>
      </c>
      <c r="E34" s="50">
        <v>13</v>
      </c>
      <c r="F34" s="50">
        <v>40</v>
      </c>
      <c r="G34" s="50">
        <v>0</v>
      </c>
      <c r="H34" s="50">
        <v>0</v>
      </c>
      <c r="I34" s="50">
        <v>8</v>
      </c>
      <c r="J34" s="50">
        <v>6</v>
      </c>
      <c r="K34" s="50">
        <v>0</v>
      </c>
      <c r="L34" s="50">
        <v>5</v>
      </c>
      <c r="M34" s="50">
        <v>305</v>
      </c>
      <c r="N34" s="50">
        <v>1</v>
      </c>
      <c r="O34" s="15">
        <f t="shared" si="0"/>
        <v>106</v>
      </c>
      <c r="P34" s="15">
        <f t="shared" si="1"/>
        <v>411</v>
      </c>
      <c r="R34" s="38" t="s">
        <v>90</v>
      </c>
      <c r="S34" s="39">
        <f t="shared" ref="S34:AF34" si="26">MAX(S10:S12)</f>
        <v>121</v>
      </c>
      <c r="T34" s="39">
        <f t="shared" si="26"/>
        <v>37</v>
      </c>
      <c r="U34" s="39">
        <f t="shared" si="26"/>
        <v>31</v>
      </c>
      <c r="V34" s="39">
        <f t="shared" si="26"/>
        <v>276</v>
      </c>
      <c r="W34" s="39">
        <f t="shared" si="26"/>
        <v>10</v>
      </c>
      <c r="X34" s="39">
        <f t="shared" si="26"/>
        <v>4</v>
      </c>
      <c r="Y34" s="39">
        <f t="shared" si="26"/>
        <v>29</v>
      </c>
      <c r="Z34" s="39">
        <f t="shared" si="26"/>
        <v>17</v>
      </c>
      <c r="AA34" s="39">
        <f t="shared" si="26"/>
        <v>1</v>
      </c>
      <c r="AB34" s="39">
        <f t="shared" si="26"/>
        <v>10</v>
      </c>
      <c r="AC34" s="39">
        <f t="shared" si="26"/>
        <v>1131</v>
      </c>
      <c r="AD34" s="39">
        <f t="shared" si="26"/>
        <v>0</v>
      </c>
      <c r="AE34" s="40">
        <f t="shared" si="26"/>
        <v>496</v>
      </c>
      <c r="AF34" s="40">
        <f t="shared" si="26"/>
        <v>1627</v>
      </c>
    </row>
    <row r="35" spans="2:32" ht="23.1" customHeight="1" x14ac:dyDescent="0.25">
      <c r="B35" s="46" t="s">
        <v>62</v>
      </c>
      <c r="C35" s="50">
        <v>40</v>
      </c>
      <c r="D35" s="50">
        <v>16</v>
      </c>
      <c r="E35" s="50">
        <v>10</v>
      </c>
      <c r="F35" s="50">
        <v>61</v>
      </c>
      <c r="G35" s="50">
        <v>2</v>
      </c>
      <c r="H35" s="50">
        <v>1</v>
      </c>
      <c r="I35" s="50">
        <v>3</v>
      </c>
      <c r="J35" s="50">
        <v>7</v>
      </c>
      <c r="K35" s="50">
        <v>0</v>
      </c>
      <c r="L35" s="50">
        <v>3</v>
      </c>
      <c r="M35" s="50">
        <v>270</v>
      </c>
      <c r="N35" s="50">
        <v>0</v>
      </c>
      <c r="O35" s="15">
        <f t="shared" si="0"/>
        <v>143</v>
      </c>
      <c r="P35" s="15">
        <f t="shared" si="1"/>
        <v>413</v>
      </c>
      <c r="R35" s="38" t="s">
        <v>91</v>
      </c>
      <c r="S35" s="39">
        <f t="shared" ref="S35:AF35" si="27">MAX(S13:S18)</f>
        <v>225</v>
      </c>
      <c r="T35" s="39">
        <f t="shared" si="27"/>
        <v>78</v>
      </c>
      <c r="U35" s="39">
        <f t="shared" si="27"/>
        <v>77</v>
      </c>
      <c r="V35" s="39">
        <f t="shared" si="27"/>
        <v>265</v>
      </c>
      <c r="W35" s="39">
        <f t="shared" si="27"/>
        <v>3</v>
      </c>
      <c r="X35" s="39">
        <f t="shared" si="27"/>
        <v>4</v>
      </c>
      <c r="Y35" s="39">
        <f t="shared" si="27"/>
        <v>33</v>
      </c>
      <c r="Z35" s="39">
        <f t="shared" si="27"/>
        <v>29</v>
      </c>
      <c r="AA35" s="39">
        <f t="shared" si="27"/>
        <v>3</v>
      </c>
      <c r="AB35" s="39">
        <f t="shared" si="27"/>
        <v>16</v>
      </c>
      <c r="AC35" s="39">
        <f t="shared" si="27"/>
        <v>1714</v>
      </c>
      <c r="AD35" s="39">
        <f t="shared" si="27"/>
        <v>1</v>
      </c>
      <c r="AE35" s="40">
        <f t="shared" si="27"/>
        <v>656</v>
      </c>
      <c r="AF35" s="40">
        <f t="shared" si="27"/>
        <v>2125</v>
      </c>
    </row>
    <row r="36" spans="2:32" ht="23.1" customHeight="1" x14ac:dyDescent="0.25">
      <c r="B36" s="46" t="s">
        <v>63</v>
      </c>
      <c r="C36" s="50">
        <v>32</v>
      </c>
      <c r="D36" s="50">
        <v>9</v>
      </c>
      <c r="E36" s="50">
        <v>8</v>
      </c>
      <c r="F36" s="50">
        <v>46</v>
      </c>
      <c r="G36" s="50">
        <v>1</v>
      </c>
      <c r="H36" s="50">
        <v>0</v>
      </c>
      <c r="I36" s="50">
        <v>10</v>
      </c>
      <c r="J36" s="50">
        <v>5</v>
      </c>
      <c r="K36" s="50">
        <v>1</v>
      </c>
      <c r="L36" s="50">
        <v>2</v>
      </c>
      <c r="M36" s="50">
        <v>164</v>
      </c>
      <c r="N36" s="50">
        <v>0</v>
      </c>
      <c r="O36" s="15">
        <f t="shared" si="0"/>
        <v>114</v>
      </c>
      <c r="P36" s="15">
        <f t="shared" si="1"/>
        <v>278</v>
      </c>
      <c r="R36" s="38" t="s">
        <v>92</v>
      </c>
      <c r="S36" s="39">
        <f t="shared" ref="S36:AF36" si="28">MAX(S19:S21)</f>
        <v>415</v>
      </c>
      <c r="T36" s="39">
        <f t="shared" si="28"/>
        <v>155</v>
      </c>
      <c r="U36" s="39">
        <f t="shared" si="28"/>
        <v>104</v>
      </c>
      <c r="V36" s="39">
        <f t="shared" si="28"/>
        <v>401</v>
      </c>
      <c r="W36" s="39">
        <f t="shared" si="28"/>
        <v>13</v>
      </c>
      <c r="X36" s="39">
        <f t="shared" si="28"/>
        <v>7</v>
      </c>
      <c r="Y36" s="39">
        <f t="shared" si="28"/>
        <v>20</v>
      </c>
      <c r="Z36" s="39">
        <f t="shared" si="28"/>
        <v>24</v>
      </c>
      <c r="AA36" s="39">
        <f t="shared" si="28"/>
        <v>1</v>
      </c>
      <c r="AB36" s="39">
        <f t="shared" si="28"/>
        <v>8</v>
      </c>
      <c r="AC36" s="39">
        <f t="shared" si="28"/>
        <v>1850</v>
      </c>
      <c r="AD36" s="39">
        <f t="shared" si="28"/>
        <v>0</v>
      </c>
      <c r="AE36" s="40">
        <f t="shared" si="28"/>
        <v>1139</v>
      </c>
      <c r="AF36" s="40">
        <f t="shared" si="28"/>
        <v>2607</v>
      </c>
    </row>
    <row r="37" spans="2:32" ht="23.1" customHeight="1" x14ac:dyDescent="0.25">
      <c r="B37" s="45" t="s">
        <v>64</v>
      </c>
      <c r="C37" s="50">
        <v>33</v>
      </c>
      <c r="D37" s="50">
        <v>17</v>
      </c>
      <c r="E37" s="50">
        <v>7</v>
      </c>
      <c r="F37" s="50">
        <v>45</v>
      </c>
      <c r="G37" s="50">
        <v>0</v>
      </c>
      <c r="H37" s="50">
        <v>0</v>
      </c>
      <c r="I37" s="50">
        <v>12</v>
      </c>
      <c r="J37" s="50">
        <v>4</v>
      </c>
      <c r="K37" s="50">
        <v>0</v>
      </c>
      <c r="L37" s="50">
        <v>3</v>
      </c>
      <c r="M37" s="50">
        <v>190</v>
      </c>
      <c r="N37" s="50">
        <v>0</v>
      </c>
      <c r="O37" s="15">
        <f t="shared" si="0"/>
        <v>121</v>
      </c>
      <c r="P37" s="15">
        <f t="shared" si="1"/>
        <v>311</v>
      </c>
      <c r="R37" s="37" t="s">
        <v>85</v>
      </c>
      <c r="S37" s="35">
        <f t="shared" ref="S37:AF37" si="29">SUM(S10:S12)</f>
        <v>328</v>
      </c>
      <c r="T37" s="16">
        <f t="shared" si="29"/>
        <v>95</v>
      </c>
      <c r="U37" s="16">
        <f t="shared" si="29"/>
        <v>76</v>
      </c>
      <c r="V37" s="16">
        <f t="shared" si="29"/>
        <v>759</v>
      </c>
      <c r="W37" s="16">
        <f t="shared" si="29"/>
        <v>21</v>
      </c>
      <c r="X37" s="16">
        <f t="shared" si="29"/>
        <v>8</v>
      </c>
      <c r="Y37" s="16">
        <f t="shared" si="29"/>
        <v>53</v>
      </c>
      <c r="Z37" s="16">
        <f t="shared" si="29"/>
        <v>41</v>
      </c>
      <c r="AA37" s="16">
        <f t="shared" si="29"/>
        <v>1</v>
      </c>
      <c r="AB37" s="16">
        <f t="shared" si="29"/>
        <v>18</v>
      </c>
      <c r="AC37" s="16">
        <f t="shared" si="29"/>
        <v>3178</v>
      </c>
      <c r="AD37" s="16">
        <f t="shared" si="29"/>
        <v>0</v>
      </c>
      <c r="AE37" s="32">
        <f t="shared" si="29"/>
        <v>1400</v>
      </c>
      <c r="AF37" s="32">
        <f t="shared" si="29"/>
        <v>4578</v>
      </c>
    </row>
    <row r="38" spans="2:32" ht="23.1" customHeight="1" x14ac:dyDescent="0.25">
      <c r="B38" s="46" t="s">
        <v>65</v>
      </c>
      <c r="C38" s="50">
        <v>48</v>
      </c>
      <c r="D38" s="50">
        <v>8</v>
      </c>
      <c r="E38" s="50">
        <v>12</v>
      </c>
      <c r="F38" s="50">
        <v>34</v>
      </c>
      <c r="G38" s="50">
        <v>1</v>
      </c>
      <c r="H38" s="50">
        <v>0</v>
      </c>
      <c r="I38" s="50">
        <v>2</v>
      </c>
      <c r="J38" s="50">
        <v>8</v>
      </c>
      <c r="K38" s="50">
        <v>0</v>
      </c>
      <c r="L38" s="50">
        <v>4</v>
      </c>
      <c r="M38" s="50">
        <v>250</v>
      </c>
      <c r="N38" s="50">
        <v>0</v>
      </c>
      <c r="O38" s="15">
        <f t="shared" si="0"/>
        <v>117</v>
      </c>
      <c r="P38" s="15">
        <f t="shared" si="1"/>
        <v>367</v>
      </c>
      <c r="R38" s="28" t="s">
        <v>86</v>
      </c>
      <c r="S38" s="16">
        <f t="shared" ref="S38:AF38" si="30">SUM(S13:S18)</f>
        <v>975</v>
      </c>
      <c r="T38" s="16">
        <f t="shared" si="30"/>
        <v>355</v>
      </c>
      <c r="U38" s="16">
        <f t="shared" si="30"/>
        <v>316</v>
      </c>
      <c r="V38" s="16">
        <f t="shared" si="30"/>
        <v>1234</v>
      </c>
      <c r="W38" s="16">
        <f t="shared" si="30"/>
        <v>8</v>
      </c>
      <c r="X38" s="16">
        <f t="shared" si="30"/>
        <v>9</v>
      </c>
      <c r="Y38" s="16">
        <f t="shared" si="30"/>
        <v>150</v>
      </c>
      <c r="Z38" s="16">
        <f t="shared" si="30"/>
        <v>135</v>
      </c>
      <c r="AA38" s="16">
        <f t="shared" si="30"/>
        <v>9</v>
      </c>
      <c r="AB38" s="16">
        <f t="shared" si="30"/>
        <v>73</v>
      </c>
      <c r="AC38" s="16">
        <f t="shared" si="30"/>
        <v>7096</v>
      </c>
      <c r="AD38" s="16">
        <f t="shared" si="30"/>
        <v>1</v>
      </c>
      <c r="AE38" s="32">
        <f t="shared" si="30"/>
        <v>3265</v>
      </c>
      <c r="AF38" s="32">
        <f t="shared" si="30"/>
        <v>10361</v>
      </c>
    </row>
    <row r="39" spans="2:32" ht="23.1" customHeight="1" x14ac:dyDescent="0.25">
      <c r="B39" s="46" t="s">
        <v>66</v>
      </c>
      <c r="C39" s="50">
        <v>62</v>
      </c>
      <c r="D39" s="50">
        <v>23</v>
      </c>
      <c r="E39" s="50">
        <v>15</v>
      </c>
      <c r="F39" s="50">
        <v>70</v>
      </c>
      <c r="G39" s="50">
        <v>0</v>
      </c>
      <c r="H39" s="50">
        <v>0</v>
      </c>
      <c r="I39" s="50">
        <v>11</v>
      </c>
      <c r="J39" s="50">
        <v>1</v>
      </c>
      <c r="K39" s="50">
        <v>0</v>
      </c>
      <c r="L39" s="50">
        <v>4</v>
      </c>
      <c r="M39" s="50">
        <v>232</v>
      </c>
      <c r="N39" s="50">
        <v>0</v>
      </c>
      <c r="O39" s="15">
        <f t="shared" si="0"/>
        <v>186</v>
      </c>
      <c r="P39" s="15">
        <f t="shared" si="1"/>
        <v>418</v>
      </c>
      <c r="R39" s="29" t="s">
        <v>87</v>
      </c>
      <c r="S39" s="16">
        <f t="shared" ref="S39:AF39" si="31">SUM(S19:S21)</f>
        <v>978</v>
      </c>
      <c r="T39" s="16">
        <f t="shared" si="31"/>
        <v>379</v>
      </c>
      <c r="U39" s="16">
        <f t="shared" si="31"/>
        <v>242</v>
      </c>
      <c r="V39" s="16">
        <f t="shared" si="31"/>
        <v>896</v>
      </c>
      <c r="W39" s="16">
        <f t="shared" si="31"/>
        <v>21</v>
      </c>
      <c r="X39" s="16">
        <f t="shared" si="31"/>
        <v>15</v>
      </c>
      <c r="Y39" s="16">
        <f t="shared" si="31"/>
        <v>51</v>
      </c>
      <c r="Z39" s="16">
        <f t="shared" si="31"/>
        <v>48</v>
      </c>
      <c r="AA39" s="16">
        <f t="shared" si="31"/>
        <v>3</v>
      </c>
      <c r="AB39" s="16">
        <f t="shared" si="31"/>
        <v>18</v>
      </c>
      <c r="AC39" s="16">
        <f t="shared" si="31"/>
        <v>4707</v>
      </c>
      <c r="AD39" s="16">
        <f t="shared" si="31"/>
        <v>0</v>
      </c>
      <c r="AE39" s="32">
        <f t="shared" si="31"/>
        <v>2651</v>
      </c>
      <c r="AF39" s="32">
        <f t="shared" si="31"/>
        <v>7358</v>
      </c>
    </row>
    <row r="40" spans="2:32" ht="23.1" customHeight="1" x14ac:dyDescent="0.25">
      <c r="B40" s="46" t="s">
        <v>67</v>
      </c>
      <c r="C40" s="50">
        <v>60</v>
      </c>
      <c r="D40" s="50">
        <v>8</v>
      </c>
      <c r="E40" s="50">
        <v>12</v>
      </c>
      <c r="F40" s="50">
        <v>50</v>
      </c>
      <c r="G40" s="50">
        <v>0</v>
      </c>
      <c r="H40" s="50">
        <v>0</v>
      </c>
      <c r="I40" s="50">
        <v>2</v>
      </c>
      <c r="J40" s="50">
        <v>3</v>
      </c>
      <c r="K40" s="50">
        <v>1</v>
      </c>
      <c r="L40" s="50">
        <v>6</v>
      </c>
      <c r="M40" s="50">
        <v>260</v>
      </c>
      <c r="N40" s="50">
        <v>0</v>
      </c>
      <c r="O40" s="15">
        <f t="shared" si="0"/>
        <v>142</v>
      </c>
      <c r="P40" s="15">
        <f t="shared" si="1"/>
        <v>402</v>
      </c>
      <c r="R40" s="5" t="s">
        <v>17</v>
      </c>
      <c r="S40" s="16">
        <f t="shared" ref="S40:AF40" si="32">SUM(S10:S21)</f>
        <v>2281</v>
      </c>
      <c r="T40" s="16">
        <f t="shared" si="32"/>
        <v>829</v>
      </c>
      <c r="U40" s="16">
        <f t="shared" si="32"/>
        <v>634</v>
      </c>
      <c r="V40" s="16">
        <f t="shared" si="32"/>
        <v>2889</v>
      </c>
      <c r="W40" s="16">
        <f t="shared" si="32"/>
        <v>50</v>
      </c>
      <c r="X40" s="16">
        <f t="shared" si="32"/>
        <v>32</v>
      </c>
      <c r="Y40" s="16">
        <f t="shared" si="32"/>
        <v>254</v>
      </c>
      <c r="Z40" s="16">
        <f t="shared" si="32"/>
        <v>224</v>
      </c>
      <c r="AA40" s="16">
        <f t="shared" si="32"/>
        <v>13</v>
      </c>
      <c r="AB40" s="16">
        <f t="shared" si="32"/>
        <v>109</v>
      </c>
      <c r="AC40" s="16">
        <f t="shared" si="32"/>
        <v>14981</v>
      </c>
      <c r="AD40" s="16">
        <f t="shared" si="32"/>
        <v>1</v>
      </c>
      <c r="AE40" s="32">
        <f t="shared" si="32"/>
        <v>7316</v>
      </c>
      <c r="AF40" s="32">
        <f t="shared" si="32"/>
        <v>22297</v>
      </c>
    </row>
    <row r="41" spans="2:32" ht="23.1" customHeight="1" x14ac:dyDescent="0.25">
      <c r="B41" s="45" t="s">
        <v>68</v>
      </c>
      <c r="C41" s="50">
        <v>54</v>
      </c>
      <c r="D41" s="50">
        <v>23</v>
      </c>
      <c r="E41" s="50">
        <v>19</v>
      </c>
      <c r="F41" s="50">
        <v>69</v>
      </c>
      <c r="G41" s="50">
        <v>1</v>
      </c>
      <c r="H41" s="50">
        <v>0</v>
      </c>
      <c r="I41" s="50">
        <v>11</v>
      </c>
      <c r="J41" s="50">
        <v>11</v>
      </c>
      <c r="K41" s="50">
        <v>1</v>
      </c>
      <c r="L41" s="50">
        <v>2</v>
      </c>
      <c r="M41" s="50">
        <v>280</v>
      </c>
      <c r="N41" s="50">
        <v>0</v>
      </c>
      <c r="O41" s="15">
        <f t="shared" si="0"/>
        <v>191</v>
      </c>
      <c r="P41" s="15">
        <f t="shared" si="1"/>
        <v>471</v>
      </c>
      <c r="R41" s="5" t="s">
        <v>159</v>
      </c>
      <c r="S41" s="16">
        <f>SUM(S10:S33)</f>
        <v>4295</v>
      </c>
      <c r="T41" s="16">
        <f t="shared" ref="T41:AF41" si="33">SUM(T10:T33)</f>
        <v>1462</v>
      </c>
      <c r="U41" s="16">
        <f t="shared" si="33"/>
        <v>975</v>
      </c>
      <c r="V41" s="16">
        <f t="shared" si="33"/>
        <v>4159</v>
      </c>
      <c r="W41" s="16">
        <f t="shared" si="33"/>
        <v>78</v>
      </c>
      <c r="X41" s="16">
        <f t="shared" si="33"/>
        <v>52</v>
      </c>
      <c r="Y41" s="16">
        <f t="shared" si="33"/>
        <v>357</v>
      </c>
      <c r="Z41" s="16">
        <f t="shared" si="33"/>
        <v>349</v>
      </c>
      <c r="AA41" s="16">
        <f t="shared" si="33"/>
        <v>16</v>
      </c>
      <c r="AB41" s="16">
        <f t="shared" si="33"/>
        <v>173</v>
      </c>
      <c r="AC41" s="16">
        <f t="shared" si="33"/>
        <v>26052</v>
      </c>
      <c r="AD41" s="16">
        <f t="shared" si="33"/>
        <v>1</v>
      </c>
      <c r="AE41" s="32">
        <f t="shared" si="33"/>
        <v>11917</v>
      </c>
      <c r="AF41" s="32">
        <f t="shared" si="33"/>
        <v>37969</v>
      </c>
    </row>
    <row r="42" spans="2:32" ht="23.1" customHeight="1" x14ac:dyDescent="0.25">
      <c r="B42" s="46" t="s">
        <v>69</v>
      </c>
      <c r="C42" s="50">
        <v>50</v>
      </c>
      <c r="D42" s="50">
        <v>16</v>
      </c>
      <c r="E42" s="50">
        <v>21</v>
      </c>
      <c r="F42" s="50">
        <v>69</v>
      </c>
      <c r="G42" s="50">
        <v>1</v>
      </c>
      <c r="H42" s="50">
        <v>0</v>
      </c>
      <c r="I42" s="50">
        <v>9</v>
      </c>
      <c r="J42" s="50">
        <v>2</v>
      </c>
      <c r="K42" s="50">
        <v>1</v>
      </c>
      <c r="L42" s="50">
        <v>2</v>
      </c>
      <c r="M42" s="50">
        <v>488</v>
      </c>
      <c r="N42" s="50">
        <v>0</v>
      </c>
      <c r="O42" s="15">
        <f t="shared" si="0"/>
        <v>171</v>
      </c>
      <c r="P42" s="15">
        <f t="shared" si="1"/>
        <v>659</v>
      </c>
      <c r="R42" s="5" t="s">
        <v>160</v>
      </c>
      <c r="S42" s="48">
        <f>S41/S40</f>
        <v>1.8829460762823322</v>
      </c>
      <c r="T42" s="48">
        <f t="shared" ref="T42:AF42" si="34">T41/T40</f>
        <v>1.7635705669481303</v>
      </c>
      <c r="U42" s="48">
        <f t="shared" si="34"/>
        <v>1.5378548895899053</v>
      </c>
      <c r="V42" s="48">
        <f t="shared" si="34"/>
        <v>1.4395984769816546</v>
      </c>
      <c r="W42" s="48">
        <f t="shared" si="34"/>
        <v>1.56</v>
      </c>
      <c r="X42" s="48">
        <f t="shared" si="34"/>
        <v>1.625</v>
      </c>
      <c r="Y42" s="48">
        <f t="shared" si="34"/>
        <v>1.405511811023622</v>
      </c>
      <c r="Z42" s="48">
        <f t="shared" si="34"/>
        <v>1.5580357142857142</v>
      </c>
      <c r="AA42" s="48">
        <f t="shared" si="34"/>
        <v>1.2307692307692308</v>
      </c>
      <c r="AB42" s="48">
        <f t="shared" si="34"/>
        <v>1.5871559633027523</v>
      </c>
      <c r="AC42" s="48">
        <f t="shared" si="34"/>
        <v>1.7390027367999465</v>
      </c>
      <c r="AD42" s="48">
        <f t="shared" si="34"/>
        <v>1</v>
      </c>
      <c r="AE42" s="48">
        <f t="shared" si="34"/>
        <v>1.6288955713504647</v>
      </c>
      <c r="AF42" s="48">
        <f t="shared" si="34"/>
        <v>1.7028748262098039</v>
      </c>
    </row>
    <row r="43" spans="2:32" ht="23.1" customHeight="1" x14ac:dyDescent="0.25">
      <c r="B43" s="45" t="s">
        <v>70</v>
      </c>
      <c r="C43" s="50">
        <v>67</v>
      </c>
      <c r="D43" s="50">
        <v>22</v>
      </c>
      <c r="E43" s="50">
        <v>22</v>
      </c>
      <c r="F43" s="50">
        <v>45</v>
      </c>
      <c r="G43" s="50">
        <v>0</v>
      </c>
      <c r="H43" s="50">
        <v>1</v>
      </c>
      <c r="I43" s="50">
        <v>9</v>
      </c>
      <c r="J43" s="50">
        <v>5</v>
      </c>
      <c r="K43" s="50">
        <v>0</v>
      </c>
      <c r="L43" s="50">
        <v>3</v>
      </c>
      <c r="M43" s="50">
        <v>240</v>
      </c>
      <c r="N43" s="50">
        <v>0</v>
      </c>
      <c r="O43" s="15">
        <f t="shared" si="0"/>
        <v>174</v>
      </c>
      <c r="P43" s="15">
        <f t="shared" si="1"/>
        <v>414</v>
      </c>
    </row>
    <row r="44" spans="2:32" ht="23.1" customHeight="1" x14ac:dyDescent="0.25">
      <c r="B44" s="47" t="s">
        <v>71</v>
      </c>
      <c r="C44" s="50">
        <v>43</v>
      </c>
      <c r="D44" s="50">
        <v>15</v>
      </c>
      <c r="E44" s="50">
        <v>12</v>
      </c>
      <c r="F44" s="50">
        <v>33</v>
      </c>
      <c r="G44" s="50">
        <v>0</v>
      </c>
      <c r="H44" s="50">
        <v>1</v>
      </c>
      <c r="I44" s="50">
        <v>6</v>
      </c>
      <c r="J44" s="50">
        <v>12</v>
      </c>
      <c r="K44" s="50">
        <v>0</v>
      </c>
      <c r="L44" s="50">
        <v>4</v>
      </c>
      <c r="M44" s="50">
        <v>271</v>
      </c>
      <c r="N44" s="50">
        <v>0</v>
      </c>
      <c r="O44" s="15">
        <f t="shared" si="0"/>
        <v>126</v>
      </c>
      <c r="P44" s="15">
        <f t="shared" si="1"/>
        <v>397</v>
      </c>
    </row>
    <row r="45" spans="2:32" ht="23.1" customHeight="1" x14ac:dyDescent="0.25">
      <c r="B45" s="45" t="s">
        <v>72</v>
      </c>
      <c r="C45" s="50">
        <v>53</v>
      </c>
      <c r="D45" s="50">
        <v>25</v>
      </c>
      <c r="E45" s="50">
        <v>22</v>
      </c>
      <c r="F45" s="50">
        <v>64</v>
      </c>
      <c r="G45" s="50">
        <v>0</v>
      </c>
      <c r="H45" s="50">
        <v>0</v>
      </c>
      <c r="I45" s="50">
        <v>9</v>
      </c>
      <c r="J45" s="50">
        <v>2</v>
      </c>
      <c r="K45" s="50">
        <v>0</v>
      </c>
      <c r="L45" s="50">
        <v>7</v>
      </c>
      <c r="M45" s="50">
        <v>250</v>
      </c>
      <c r="N45" s="50">
        <v>0</v>
      </c>
      <c r="O45" s="15">
        <f t="shared" si="0"/>
        <v>182</v>
      </c>
      <c r="P45" s="15">
        <f t="shared" si="1"/>
        <v>432</v>
      </c>
    </row>
    <row r="46" spans="2:32" ht="23.1" customHeight="1" x14ac:dyDescent="0.25">
      <c r="B46" s="46" t="s">
        <v>73</v>
      </c>
      <c r="C46" s="50">
        <v>80</v>
      </c>
      <c r="D46" s="50">
        <v>24</v>
      </c>
      <c r="E46" s="50">
        <v>29</v>
      </c>
      <c r="F46" s="50">
        <v>63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320</v>
      </c>
      <c r="N46" s="50">
        <v>0</v>
      </c>
      <c r="O46" s="15">
        <f t="shared" si="0"/>
        <v>200</v>
      </c>
      <c r="P46" s="15">
        <f t="shared" si="1"/>
        <v>520</v>
      </c>
      <c r="R46" s="8"/>
      <c r="T46"/>
    </row>
    <row r="47" spans="2:32" ht="23.1" customHeight="1" x14ac:dyDescent="0.25">
      <c r="B47" s="46" t="s">
        <v>74</v>
      </c>
      <c r="C47" s="50">
        <v>70</v>
      </c>
      <c r="D47" s="50">
        <v>37</v>
      </c>
      <c r="E47" s="50">
        <v>21</v>
      </c>
      <c r="F47" s="50">
        <v>53</v>
      </c>
      <c r="G47" s="50">
        <v>1</v>
      </c>
      <c r="H47" s="50">
        <v>3</v>
      </c>
      <c r="I47" s="50">
        <v>6</v>
      </c>
      <c r="J47" s="50">
        <v>8</v>
      </c>
      <c r="K47" s="50">
        <v>0</v>
      </c>
      <c r="L47" s="50">
        <v>3</v>
      </c>
      <c r="M47" s="50">
        <v>290</v>
      </c>
      <c r="N47" s="50">
        <v>0</v>
      </c>
      <c r="O47" s="15">
        <f t="shared" si="0"/>
        <v>202</v>
      </c>
      <c r="P47" s="15">
        <f t="shared" si="1"/>
        <v>492</v>
      </c>
      <c r="R47" s="8"/>
      <c r="T47"/>
    </row>
    <row r="48" spans="2:32" ht="23.1" customHeight="1" x14ac:dyDescent="0.25">
      <c r="B48" s="46" t="s">
        <v>75</v>
      </c>
      <c r="C48" s="50">
        <v>175</v>
      </c>
      <c r="D48" s="50">
        <v>50</v>
      </c>
      <c r="E48" s="50">
        <v>18</v>
      </c>
      <c r="F48" s="50">
        <v>130</v>
      </c>
      <c r="G48" s="50">
        <v>1</v>
      </c>
      <c r="H48" s="50">
        <v>3</v>
      </c>
      <c r="I48" s="50">
        <v>8</v>
      </c>
      <c r="J48" s="50">
        <v>10</v>
      </c>
      <c r="K48" s="50">
        <v>1</v>
      </c>
      <c r="L48" s="50">
        <v>3</v>
      </c>
      <c r="M48" s="50">
        <v>297</v>
      </c>
      <c r="N48" s="50">
        <v>0</v>
      </c>
      <c r="O48" s="15">
        <f t="shared" si="0"/>
        <v>399</v>
      </c>
      <c r="P48" s="15">
        <f t="shared" si="1"/>
        <v>696</v>
      </c>
      <c r="R48" s="8"/>
      <c r="T48"/>
    </row>
    <row r="49" spans="2:20" ht="23.1" customHeight="1" x14ac:dyDescent="0.25">
      <c r="B49" s="45" t="s">
        <v>76</v>
      </c>
      <c r="C49" s="50">
        <v>90</v>
      </c>
      <c r="D49" s="50">
        <v>44</v>
      </c>
      <c r="E49" s="50">
        <v>36</v>
      </c>
      <c r="F49" s="50">
        <v>155</v>
      </c>
      <c r="G49" s="50">
        <v>2</v>
      </c>
      <c r="H49" s="50">
        <v>1</v>
      </c>
      <c r="I49" s="50">
        <v>3</v>
      </c>
      <c r="J49" s="50">
        <v>5</v>
      </c>
      <c r="K49" s="50">
        <v>0</v>
      </c>
      <c r="L49" s="50">
        <v>2</v>
      </c>
      <c r="M49" s="50">
        <v>250</v>
      </c>
      <c r="N49" s="50">
        <v>0</v>
      </c>
      <c r="O49" s="15">
        <f t="shared" si="0"/>
        <v>338</v>
      </c>
      <c r="P49" s="15">
        <f t="shared" si="1"/>
        <v>588</v>
      </c>
      <c r="R49" s="8"/>
      <c r="T49"/>
    </row>
    <row r="50" spans="2:20" ht="23.1" customHeight="1" x14ac:dyDescent="0.25">
      <c r="B50" s="46" t="s">
        <v>77</v>
      </c>
      <c r="C50" s="50">
        <v>45</v>
      </c>
      <c r="D50" s="50">
        <v>43</v>
      </c>
      <c r="E50" s="50">
        <v>23</v>
      </c>
      <c r="F50" s="50">
        <v>115</v>
      </c>
      <c r="G50" s="50">
        <v>1</v>
      </c>
      <c r="H50" s="50">
        <v>2</v>
      </c>
      <c r="I50" s="50">
        <v>6</v>
      </c>
      <c r="J50" s="50">
        <v>2</v>
      </c>
      <c r="K50" s="50">
        <v>0</v>
      </c>
      <c r="L50" s="50">
        <v>2</v>
      </c>
      <c r="M50" s="50">
        <v>240</v>
      </c>
      <c r="N50" s="50">
        <v>0</v>
      </c>
      <c r="O50" s="15">
        <f t="shared" si="0"/>
        <v>239</v>
      </c>
      <c r="P50" s="15">
        <f t="shared" si="1"/>
        <v>479</v>
      </c>
      <c r="R50" s="8"/>
      <c r="T50"/>
    </row>
    <row r="51" spans="2:20" ht="23.1" customHeight="1" x14ac:dyDescent="0.25">
      <c r="B51" s="46" t="s">
        <v>78</v>
      </c>
      <c r="C51" s="50">
        <v>85</v>
      </c>
      <c r="D51" s="50">
        <v>31</v>
      </c>
      <c r="E51" s="50">
        <v>21</v>
      </c>
      <c r="F51" s="50">
        <v>60</v>
      </c>
      <c r="G51" s="50">
        <v>2</v>
      </c>
      <c r="H51" s="50">
        <v>2</v>
      </c>
      <c r="I51" s="50">
        <v>3</v>
      </c>
      <c r="J51" s="50">
        <v>6</v>
      </c>
      <c r="K51" s="50">
        <v>0</v>
      </c>
      <c r="L51" s="50">
        <v>1</v>
      </c>
      <c r="M51" s="50">
        <v>415</v>
      </c>
      <c r="N51" s="50">
        <v>0</v>
      </c>
      <c r="O51" s="15">
        <f t="shared" si="0"/>
        <v>211</v>
      </c>
      <c r="P51" s="15">
        <f t="shared" si="1"/>
        <v>626</v>
      </c>
      <c r="R51" s="8"/>
      <c r="T51"/>
    </row>
    <row r="52" spans="2:20" ht="23.1" customHeight="1" x14ac:dyDescent="0.25">
      <c r="B52" s="46" t="s">
        <v>79</v>
      </c>
      <c r="C52" s="50">
        <v>58</v>
      </c>
      <c r="D52" s="50">
        <v>34</v>
      </c>
      <c r="E52" s="50">
        <v>23</v>
      </c>
      <c r="F52" s="50">
        <v>48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4</v>
      </c>
      <c r="M52" s="50">
        <v>505</v>
      </c>
      <c r="N52" s="50">
        <v>0</v>
      </c>
      <c r="O52" s="15">
        <f t="shared" si="0"/>
        <v>171</v>
      </c>
      <c r="P52" s="15">
        <f t="shared" si="1"/>
        <v>676</v>
      </c>
      <c r="R52" s="8"/>
      <c r="T52"/>
    </row>
    <row r="53" spans="2:20" ht="23.1" customHeight="1" x14ac:dyDescent="0.25">
      <c r="B53" s="45" t="s">
        <v>80</v>
      </c>
      <c r="C53" s="50">
        <v>52</v>
      </c>
      <c r="D53" s="50">
        <v>18</v>
      </c>
      <c r="E53" s="50">
        <v>15</v>
      </c>
      <c r="F53" s="50">
        <v>38</v>
      </c>
      <c r="G53" s="50">
        <v>1</v>
      </c>
      <c r="H53" s="50">
        <v>2</v>
      </c>
      <c r="I53" s="50">
        <v>3</v>
      </c>
      <c r="J53" s="50">
        <v>6</v>
      </c>
      <c r="K53" s="50">
        <v>1</v>
      </c>
      <c r="L53" s="50">
        <v>0</v>
      </c>
      <c r="M53" s="50">
        <v>690</v>
      </c>
      <c r="N53" s="50">
        <v>0</v>
      </c>
      <c r="O53" s="15">
        <f t="shared" si="0"/>
        <v>136</v>
      </c>
      <c r="P53" s="15">
        <f t="shared" si="1"/>
        <v>826</v>
      </c>
      <c r="R53" s="8"/>
      <c r="T53"/>
    </row>
    <row r="54" spans="2:20" ht="23.1" customHeight="1" x14ac:dyDescent="0.25">
      <c r="B54" s="45" t="s">
        <v>81</v>
      </c>
      <c r="C54" s="50">
        <v>133</v>
      </c>
      <c r="D54" s="50">
        <v>13</v>
      </c>
      <c r="E54" s="50">
        <v>18</v>
      </c>
      <c r="F54" s="50">
        <v>70</v>
      </c>
      <c r="G54" s="50">
        <v>3</v>
      </c>
      <c r="H54" s="50">
        <v>0</v>
      </c>
      <c r="I54" s="50">
        <v>6</v>
      </c>
      <c r="J54" s="50">
        <v>2</v>
      </c>
      <c r="K54" s="50">
        <v>1</v>
      </c>
      <c r="L54" s="50">
        <v>1</v>
      </c>
      <c r="M54" s="50">
        <v>345</v>
      </c>
      <c r="N54" s="50">
        <v>0</v>
      </c>
      <c r="O54" s="15">
        <f t="shared" si="0"/>
        <v>247</v>
      </c>
      <c r="P54" s="15">
        <f t="shared" si="1"/>
        <v>592</v>
      </c>
      <c r="R54" s="8"/>
      <c r="T54"/>
    </row>
    <row r="55" spans="2:20" ht="23.1" customHeight="1" x14ac:dyDescent="0.25">
      <c r="B55" s="45" t="s">
        <v>82</v>
      </c>
      <c r="C55" s="50">
        <v>63</v>
      </c>
      <c r="D55" s="50">
        <v>30</v>
      </c>
      <c r="E55" s="50">
        <v>9</v>
      </c>
      <c r="F55" s="50">
        <v>60</v>
      </c>
      <c r="G55" s="50">
        <v>3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335</v>
      </c>
      <c r="N55" s="50">
        <v>0</v>
      </c>
      <c r="O55" s="15">
        <f t="shared" si="0"/>
        <v>167</v>
      </c>
      <c r="P55" s="15">
        <f t="shared" si="1"/>
        <v>502</v>
      </c>
      <c r="R55" s="8"/>
      <c r="T55"/>
    </row>
    <row r="56" spans="2:20" ht="23.1" customHeight="1" x14ac:dyDescent="0.25">
      <c r="B56" s="45" t="s">
        <v>83</v>
      </c>
      <c r="C56" s="50">
        <v>71</v>
      </c>
      <c r="D56" s="50">
        <v>23</v>
      </c>
      <c r="E56" s="50">
        <v>23</v>
      </c>
      <c r="F56" s="50">
        <v>57</v>
      </c>
      <c r="G56" s="50">
        <v>2</v>
      </c>
      <c r="H56" s="50">
        <v>1</v>
      </c>
      <c r="I56" s="50">
        <v>2</v>
      </c>
      <c r="J56" s="50">
        <v>1</v>
      </c>
      <c r="K56" s="50">
        <v>0</v>
      </c>
      <c r="L56" s="50">
        <v>0</v>
      </c>
      <c r="M56" s="50">
        <v>315</v>
      </c>
      <c r="N56" s="50">
        <v>0</v>
      </c>
      <c r="O56" s="15">
        <f t="shared" si="0"/>
        <v>180</v>
      </c>
      <c r="P56" s="15">
        <f t="shared" si="1"/>
        <v>495</v>
      </c>
      <c r="R56" s="8"/>
      <c r="T56"/>
    </row>
    <row r="57" spans="2:20" ht="23.1" customHeight="1" x14ac:dyDescent="0.25">
      <c r="B57" s="45" t="s">
        <v>84</v>
      </c>
      <c r="C57" s="50">
        <v>56</v>
      </c>
      <c r="D57" s="50">
        <v>32</v>
      </c>
      <c r="E57" s="50">
        <v>6</v>
      </c>
      <c r="F57" s="50">
        <v>47</v>
      </c>
      <c r="G57" s="50">
        <v>5</v>
      </c>
      <c r="H57" s="50">
        <v>1</v>
      </c>
      <c r="I57" s="50">
        <v>6</v>
      </c>
      <c r="J57" s="50">
        <v>6</v>
      </c>
      <c r="K57" s="50">
        <v>0</v>
      </c>
      <c r="L57" s="50">
        <v>2</v>
      </c>
      <c r="M57" s="50">
        <v>705</v>
      </c>
      <c r="N57" s="50">
        <v>0</v>
      </c>
      <c r="O57" s="15">
        <f t="shared" si="0"/>
        <v>161</v>
      </c>
      <c r="P57" s="15">
        <f t="shared" si="1"/>
        <v>866</v>
      </c>
      <c r="R57" s="8"/>
      <c r="T57"/>
    </row>
    <row r="58" spans="2:20" ht="23.1" customHeight="1" x14ac:dyDescent="0.25">
      <c r="B58" s="45" t="s">
        <v>99</v>
      </c>
      <c r="C58" s="50">
        <v>105</v>
      </c>
      <c r="D58" s="50">
        <v>18</v>
      </c>
      <c r="E58" s="50">
        <v>8</v>
      </c>
      <c r="F58" s="50">
        <v>39</v>
      </c>
      <c r="G58" s="50">
        <v>1</v>
      </c>
      <c r="H58" s="50">
        <v>0</v>
      </c>
      <c r="I58" s="50">
        <v>4</v>
      </c>
      <c r="J58" s="50">
        <v>4</v>
      </c>
      <c r="K58" s="50">
        <v>0</v>
      </c>
      <c r="L58" s="50">
        <v>2</v>
      </c>
      <c r="M58" s="50">
        <v>540</v>
      </c>
      <c r="N58" s="50">
        <v>0</v>
      </c>
      <c r="O58" s="15">
        <f t="shared" ref="O58:O105" si="35">SUM(C58:L58,N58)</f>
        <v>181</v>
      </c>
      <c r="P58" s="15">
        <f t="shared" ref="P58:P105" si="36">SUM(C58:N58)</f>
        <v>721</v>
      </c>
      <c r="R58" s="8"/>
      <c r="T58"/>
    </row>
    <row r="59" spans="2:20" ht="23.1" customHeight="1" x14ac:dyDescent="0.25">
      <c r="B59" s="45" t="s">
        <v>100</v>
      </c>
      <c r="C59" s="50">
        <v>72</v>
      </c>
      <c r="D59" s="50">
        <v>20</v>
      </c>
      <c r="E59" s="50">
        <v>8</v>
      </c>
      <c r="F59" s="50">
        <v>43</v>
      </c>
      <c r="G59" s="50">
        <v>0</v>
      </c>
      <c r="H59" s="50">
        <v>2</v>
      </c>
      <c r="I59" s="50">
        <v>1</v>
      </c>
      <c r="J59" s="50">
        <v>0</v>
      </c>
      <c r="K59" s="50">
        <v>0</v>
      </c>
      <c r="L59" s="50">
        <v>0</v>
      </c>
      <c r="M59" s="50">
        <v>485</v>
      </c>
      <c r="N59" s="50">
        <v>0</v>
      </c>
      <c r="O59" s="15">
        <f t="shared" si="35"/>
        <v>146</v>
      </c>
      <c r="P59" s="15">
        <f t="shared" si="36"/>
        <v>631</v>
      </c>
      <c r="R59" s="8"/>
      <c r="T59"/>
    </row>
    <row r="60" spans="2:20" ht="23.1" customHeight="1" x14ac:dyDescent="0.25">
      <c r="B60" s="45" t="s">
        <v>101</v>
      </c>
      <c r="C60" s="50">
        <v>60</v>
      </c>
      <c r="D60" s="50">
        <v>20</v>
      </c>
      <c r="E60" s="50">
        <v>18</v>
      </c>
      <c r="F60" s="50">
        <v>40</v>
      </c>
      <c r="G60" s="50">
        <v>3</v>
      </c>
      <c r="H60" s="50">
        <v>0</v>
      </c>
      <c r="I60" s="50">
        <v>2</v>
      </c>
      <c r="J60" s="50">
        <v>3</v>
      </c>
      <c r="K60" s="50">
        <v>0</v>
      </c>
      <c r="L60" s="50">
        <v>0</v>
      </c>
      <c r="M60" s="50">
        <v>610</v>
      </c>
      <c r="N60" s="50">
        <v>0</v>
      </c>
      <c r="O60" s="15">
        <f t="shared" si="35"/>
        <v>146</v>
      </c>
      <c r="P60" s="15">
        <f t="shared" si="36"/>
        <v>756</v>
      </c>
      <c r="R60" s="8"/>
      <c r="T60"/>
    </row>
    <row r="61" spans="2:20" ht="23.1" customHeight="1" x14ac:dyDescent="0.25">
      <c r="B61" s="45" t="s">
        <v>102</v>
      </c>
      <c r="C61" s="50">
        <v>96</v>
      </c>
      <c r="D61" s="50">
        <v>35</v>
      </c>
      <c r="E61" s="50">
        <v>16</v>
      </c>
      <c r="F61" s="50">
        <v>45</v>
      </c>
      <c r="G61" s="50">
        <v>4</v>
      </c>
      <c r="H61" s="50">
        <v>3</v>
      </c>
      <c r="I61" s="50">
        <v>4</v>
      </c>
      <c r="J61" s="50">
        <v>5</v>
      </c>
      <c r="K61" s="50">
        <v>0</v>
      </c>
      <c r="L61" s="50">
        <v>0</v>
      </c>
      <c r="M61" s="50">
        <v>390</v>
      </c>
      <c r="N61" s="50">
        <v>0</v>
      </c>
      <c r="O61" s="15">
        <f t="shared" si="35"/>
        <v>208</v>
      </c>
      <c r="P61" s="15">
        <f t="shared" si="36"/>
        <v>598</v>
      </c>
      <c r="R61" s="8"/>
      <c r="T61"/>
    </row>
    <row r="62" spans="2:20" ht="23.1" customHeight="1" x14ac:dyDescent="0.25">
      <c r="B62" s="45" t="s">
        <v>107</v>
      </c>
      <c r="C62" s="50">
        <v>73</v>
      </c>
      <c r="D62" s="50">
        <v>14</v>
      </c>
      <c r="E62" s="50">
        <v>14</v>
      </c>
      <c r="F62" s="50">
        <v>35</v>
      </c>
      <c r="G62" s="50">
        <v>1</v>
      </c>
      <c r="H62" s="50">
        <v>1</v>
      </c>
      <c r="I62" s="50">
        <v>7</v>
      </c>
      <c r="J62" s="50">
        <v>4</v>
      </c>
      <c r="K62" s="50">
        <v>1</v>
      </c>
      <c r="L62" s="50">
        <v>1</v>
      </c>
      <c r="M62" s="50">
        <v>465</v>
      </c>
      <c r="N62" s="50">
        <v>0</v>
      </c>
      <c r="O62" s="15">
        <f t="shared" si="35"/>
        <v>151</v>
      </c>
      <c r="P62" s="15">
        <f t="shared" si="36"/>
        <v>616</v>
      </c>
      <c r="R62" s="8"/>
      <c r="T62"/>
    </row>
    <row r="63" spans="2:20" ht="23.1" customHeight="1" x14ac:dyDescent="0.25">
      <c r="B63" s="45" t="s">
        <v>108</v>
      </c>
      <c r="C63" s="50">
        <v>100</v>
      </c>
      <c r="D63" s="50">
        <v>25</v>
      </c>
      <c r="E63" s="50">
        <v>20</v>
      </c>
      <c r="F63" s="50">
        <v>100</v>
      </c>
      <c r="G63" s="50">
        <v>1</v>
      </c>
      <c r="H63" s="50">
        <v>0</v>
      </c>
      <c r="I63" s="50">
        <v>3</v>
      </c>
      <c r="J63" s="50">
        <v>3</v>
      </c>
      <c r="K63" s="50">
        <v>0</v>
      </c>
      <c r="L63" s="50">
        <v>1</v>
      </c>
      <c r="M63" s="50">
        <v>605</v>
      </c>
      <c r="N63" s="50">
        <v>0</v>
      </c>
      <c r="O63" s="15">
        <f t="shared" si="35"/>
        <v>253</v>
      </c>
      <c r="P63" s="15">
        <f t="shared" si="36"/>
        <v>858</v>
      </c>
      <c r="R63" s="8"/>
      <c r="T63"/>
    </row>
    <row r="64" spans="2:20" ht="23.1" customHeight="1" x14ac:dyDescent="0.25">
      <c r="B64" s="45" t="s">
        <v>109</v>
      </c>
      <c r="C64" s="50">
        <v>55</v>
      </c>
      <c r="D64" s="50">
        <v>15</v>
      </c>
      <c r="E64" s="50">
        <v>12</v>
      </c>
      <c r="F64" s="50">
        <v>19</v>
      </c>
      <c r="G64" s="50">
        <v>2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655</v>
      </c>
      <c r="N64" s="50">
        <v>0</v>
      </c>
      <c r="O64" s="15">
        <f t="shared" si="35"/>
        <v>105</v>
      </c>
      <c r="P64" s="15">
        <f t="shared" si="36"/>
        <v>760</v>
      </c>
      <c r="R64" s="8"/>
      <c r="T64"/>
    </row>
    <row r="65" spans="2:20" ht="23.1" customHeight="1" x14ac:dyDescent="0.25">
      <c r="B65" s="45" t="s">
        <v>158</v>
      </c>
      <c r="C65" s="50">
        <v>105</v>
      </c>
      <c r="D65" s="50">
        <v>37</v>
      </c>
      <c r="E65" s="50">
        <v>19</v>
      </c>
      <c r="F65" s="50">
        <v>60</v>
      </c>
      <c r="G65" s="50">
        <v>0</v>
      </c>
      <c r="H65" s="50">
        <v>0</v>
      </c>
      <c r="I65" s="50">
        <v>4</v>
      </c>
      <c r="J65" s="50">
        <v>6</v>
      </c>
      <c r="K65" s="50">
        <v>0</v>
      </c>
      <c r="L65" s="50">
        <v>0</v>
      </c>
      <c r="M65" s="50">
        <v>965</v>
      </c>
      <c r="N65" s="50">
        <v>0</v>
      </c>
      <c r="O65" s="15">
        <f t="shared" si="35"/>
        <v>231</v>
      </c>
      <c r="P65" s="15">
        <f t="shared" si="36"/>
        <v>1196</v>
      </c>
      <c r="R65" s="8"/>
      <c r="T65"/>
    </row>
    <row r="66" spans="2:20" ht="23.1" customHeight="1" x14ac:dyDescent="0.25">
      <c r="B66" s="45" t="s">
        <v>103</v>
      </c>
      <c r="C66" s="50">
        <v>86</v>
      </c>
      <c r="D66" s="50">
        <v>35</v>
      </c>
      <c r="E66" s="50">
        <v>13</v>
      </c>
      <c r="F66" s="50">
        <v>74</v>
      </c>
      <c r="G66" s="50">
        <v>0</v>
      </c>
      <c r="H66" s="50">
        <v>1</v>
      </c>
      <c r="I66" s="50">
        <v>0</v>
      </c>
      <c r="J66" s="50">
        <v>1</v>
      </c>
      <c r="K66" s="50">
        <v>0</v>
      </c>
      <c r="L66" s="50">
        <v>1</v>
      </c>
      <c r="M66" s="50">
        <v>480</v>
      </c>
      <c r="N66" s="50">
        <v>0</v>
      </c>
      <c r="O66" s="15">
        <f t="shared" si="35"/>
        <v>211</v>
      </c>
      <c r="P66" s="15">
        <f t="shared" si="36"/>
        <v>691</v>
      </c>
      <c r="R66" s="8"/>
      <c r="T66"/>
    </row>
    <row r="67" spans="2:20" ht="23.1" customHeight="1" x14ac:dyDescent="0.25">
      <c r="B67" s="45" t="s">
        <v>104</v>
      </c>
      <c r="C67" s="50">
        <v>57</v>
      </c>
      <c r="D67" s="50">
        <v>21</v>
      </c>
      <c r="E67" s="50">
        <v>6</v>
      </c>
      <c r="F67" s="50">
        <v>24</v>
      </c>
      <c r="G67" s="50">
        <v>2</v>
      </c>
      <c r="H67" s="50">
        <v>1</v>
      </c>
      <c r="I67" s="50">
        <v>1</v>
      </c>
      <c r="J67" s="50">
        <v>1</v>
      </c>
      <c r="K67" s="50">
        <v>1</v>
      </c>
      <c r="L67" s="50">
        <v>2</v>
      </c>
      <c r="M67" s="50">
        <v>415</v>
      </c>
      <c r="N67" s="50">
        <v>0</v>
      </c>
      <c r="O67" s="15">
        <f t="shared" si="35"/>
        <v>116</v>
      </c>
      <c r="P67" s="15">
        <f t="shared" si="36"/>
        <v>531</v>
      </c>
      <c r="R67" s="8"/>
      <c r="T67"/>
    </row>
    <row r="68" spans="2:20" ht="23.1" customHeight="1" x14ac:dyDescent="0.25">
      <c r="B68" s="45" t="s">
        <v>105</v>
      </c>
      <c r="C68" s="50">
        <v>80</v>
      </c>
      <c r="D68" s="50">
        <v>35</v>
      </c>
      <c r="E68" s="50">
        <v>22</v>
      </c>
      <c r="F68" s="50">
        <v>48</v>
      </c>
      <c r="G68" s="50">
        <v>5</v>
      </c>
      <c r="H68" s="50">
        <v>2</v>
      </c>
      <c r="I68" s="50">
        <v>2</v>
      </c>
      <c r="J68" s="50">
        <v>3</v>
      </c>
      <c r="K68" s="50">
        <v>0</v>
      </c>
      <c r="L68" s="50">
        <v>2</v>
      </c>
      <c r="M68" s="50">
        <v>560</v>
      </c>
      <c r="N68" s="50">
        <v>0</v>
      </c>
      <c r="O68" s="15">
        <f t="shared" si="35"/>
        <v>199</v>
      </c>
      <c r="P68" s="15">
        <f t="shared" si="36"/>
        <v>759</v>
      </c>
      <c r="R68" s="8"/>
      <c r="T68"/>
    </row>
    <row r="69" spans="2:20" ht="23.1" customHeight="1" x14ac:dyDescent="0.25">
      <c r="B69" s="45" t="s">
        <v>106</v>
      </c>
      <c r="C69" s="50">
        <v>65</v>
      </c>
      <c r="D69" s="50">
        <v>30</v>
      </c>
      <c r="E69" s="50">
        <v>10</v>
      </c>
      <c r="F69" s="50">
        <v>55</v>
      </c>
      <c r="G69" s="50">
        <v>0</v>
      </c>
      <c r="H69" s="50">
        <v>2</v>
      </c>
      <c r="I69" s="50">
        <v>0</v>
      </c>
      <c r="J69" s="50">
        <v>2</v>
      </c>
      <c r="K69" s="50">
        <v>0</v>
      </c>
      <c r="L69" s="50">
        <v>2</v>
      </c>
      <c r="M69" s="50">
        <v>370</v>
      </c>
      <c r="N69" s="50">
        <v>0</v>
      </c>
      <c r="O69" s="15">
        <f t="shared" si="35"/>
        <v>166</v>
      </c>
      <c r="P69" s="15">
        <f t="shared" si="36"/>
        <v>536</v>
      </c>
      <c r="R69" s="8"/>
      <c r="T69"/>
    </row>
    <row r="70" spans="2:20" ht="23.1" customHeight="1" x14ac:dyDescent="0.25">
      <c r="B70" s="45" t="s">
        <v>110</v>
      </c>
      <c r="C70" s="50">
        <v>80</v>
      </c>
      <c r="D70" s="50">
        <v>18</v>
      </c>
      <c r="E70" s="50">
        <v>7</v>
      </c>
      <c r="F70" s="50">
        <v>67</v>
      </c>
      <c r="G70" s="50">
        <v>0</v>
      </c>
      <c r="H70" s="50">
        <v>1</v>
      </c>
      <c r="I70" s="50">
        <v>3</v>
      </c>
      <c r="J70" s="50">
        <v>4</v>
      </c>
      <c r="K70" s="50">
        <v>0</v>
      </c>
      <c r="L70" s="50">
        <v>1</v>
      </c>
      <c r="M70" s="50">
        <v>430</v>
      </c>
      <c r="N70" s="50">
        <v>0</v>
      </c>
      <c r="O70" s="15">
        <f t="shared" si="35"/>
        <v>181</v>
      </c>
      <c r="P70" s="15">
        <f t="shared" si="36"/>
        <v>611</v>
      </c>
      <c r="R70" s="8"/>
      <c r="T70"/>
    </row>
    <row r="71" spans="2:20" ht="23.1" customHeight="1" x14ac:dyDescent="0.25">
      <c r="B71" s="45" t="s">
        <v>111</v>
      </c>
      <c r="C71" s="50">
        <v>45</v>
      </c>
      <c r="D71" s="50">
        <v>21</v>
      </c>
      <c r="E71" s="50">
        <v>21</v>
      </c>
      <c r="F71" s="50">
        <v>45</v>
      </c>
      <c r="G71" s="50">
        <v>1</v>
      </c>
      <c r="H71" s="50">
        <v>0</v>
      </c>
      <c r="I71" s="50">
        <v>5</v>
      </c>
      <c r="J71" s="50">
        <v>4</v>
      </c>
      <c r="K71" s="50">
        <v>0</v>
      </c>
      <c r="L71" s="50">
        <v>2</v>
      </c>
      <c r="M71" s="50">
        <v>330</v>
      </c>
      <c r="N71" s="50">
        <v>0</v>
      </c>
      <c r="O71" s="15">
        <f t="shared" si="35"/>
        <v>144</v>
      </c>
      <c r="P71" s="15">
        <f t="shared" si="36"/>
        <v>474</v>
      </c>
      <c r="R71" s="8"/>
      <c r="T71"/>
    </row>
    <row r="72" spans="2:20" ht="23.1" customHeight="1" x14ac:dyDescent="0.25">
      <c r="B72" s="45" t="s">
        <v>112</v>
      </c>
      <c r="C72" s="50">
        <v>60</v>
      </c>
      <c r="D72" s="50">
        <v>22</v>
      </c>
      <c r="E72" s="50">
        <v>14</v>
      </c>
      <c r="F72" s="50">
        <v>20</v>
      </c>
      <c r="G72" s="50">
        <v>1</v>
      </c>
      <c r="H72" s="50">
        <v>0</v>
      </c>
      <c r="I72" s="50">
        <v>1</v>
      </c>
      <c r="J72" s="50">
        <v>6</v>
      </c>
      <c r="K72" s="50">
        <v>0</v>
      </c>
      <c r="L72" s="50">
        <v>1</v>
      </c>
      <c r="M72" s="50">
        <v>515</v>
      </c>
      <c r="N72" s="50">
        <v>0</v>
      </c>
      <c r="O72" s="15">
        <f t="shared" si="35"/>
        <v>125</v>
      </c>
      <c r="P72" s="15">
        <f t="shared" si="36"/>
        <v>640</v>
      </c>
      <c r="R72" s="8"/>
      <c r="T72"/>
    </row>
    <row r="73" spans="2:20" ht="23.1" customHeight="1" x14ac:dyDescent="0.25">
      <c r="B73" s="45" t="s">
        <v>113</v>
      </c>
      <c r="C73" s="50">
        <v>44</v>
      </c>
      <c r="D73" s="50">
        <v>17</v>
      </c>
      <c r="E73" s="50">
        <v>2</v>
      </c>
      <c r="F73" s="50">
        <v>55</v>
      </c>
      <c r="G73" s="50">
        <v>0</v>
      </c>
      <c r="H73" s="50">
        <v>0</v>
      </c>
      <c r="I73" s="50">
        <v>0</v>
      </c>
      <c r="J73" s="50">
        <v>2</v>
      </c>
      <c r="K73" s="50">
        <v>0</v>
      </c>
      <c r="L73" s="50">
        <v>0</v>
      </c>
      <c r="M73" s="50">
        <v>550</v>
      </c>
      <c r="N73" s="50">
        <v>0</v>
      </c>
      <c r="O73" s="15">
        <f t="shared" si="35"/>
        <v>120</v>
      </c>
      <c r="P73" s="15">
        <f t="shared" si="36"/>
        <v>670</v>
      </c>
      <c r="R73" s="8"/>
      <c r="T73"/>
    </row>
    <row r="74" spans="2:20" ht="23.1" customHeight="1" x14ac:dyDescent="0.25">
      <c r="B74" s="45" t="s">
        <v>114</v>
      </c>
      <c r="C74" s="50">
        <v>75</v>
      </c>
      <c r="D74" s="50">
        <v>12</v>
      </c>
      <c r="E74" s="50">
        <v>9</v>
      </c>
      <c r="F74" s="50">
        <v>49</v>
      </c>
      <c r="G74" s="50">
        <v>0</v>
      </c>
      <c r="H74" s="50">
        <v>0</v>
      </c>
      <c r="I74" s="50">
        <v>5</v>
      </c>
      <c r="J74" s="50">
        <v>0</v>
      </c>
      <c r="K74" s="50">
        <v>0</v>
      </c>
      <c r="L74" s="50">
        <v>2</v>
      </c>
      <c r="M74" s="50">
        <v>300</v>
      </c>
      <c r="N74" s="50">
        <v>0</v>
      </c>
      <c r="O74" s="15">
        <f t="shared" si="35"/>
        <v>152</v>
      </c>
      <c r="P74" s="15">
        <f t="shared" si="36"/>
        <v>452</v>
      </c>
      <c r="R74" s="8"/>
      <c r="T74"/>
    </row>
    <row r="75" spans="2:20" ht="23.1" customHeight="1" x14ac:dyDescent="0.25">
      <c r="B75" s="45" t="s">
        <v>115</v>
      </c>
      <c r="C75" s="50">
        <v>54</v>
      </c>
      <c r="D75" s="50">
        <v>21</v>
      </c>
      <c r="E75" s="50">
        <v>11</v>
      </c>
      <c r="F75" s="50">
        <v>43</v>
      </c>
      <c r="G75" s="50">
        <v>0</v>
      </c>
      <c r="H75" s="50">
        <v>0</v>
      </c>
      <c r="I75" s="50">
        <v>0</v>
      </c>
      <c r="J75" s="50">
        <v>3</v>
      </c>
      <c r="K75" s="50">
        <v>0</v>
      </c>
      <c r="L75" s="50">
        <v>2</v>
      </c>
      <c r="M75" s="50">
        <v>230</v>
      </c>
      <c r="N75" s="50">
        <v>0</v>
      </c>
      <c r="O75" s="15">
        <f t="shared" si="35"/>
        <v>134</v>
      </c>
      <c r="P75" s="15">
        <f t="shared" si="36"/>
        <v>364</v>
      </c>
      <c r="R75" s="8"/>
      <c r="T75"/>
    </row>
    <row r="76" spans="2:20" ht="23.1" customHeight="1" x14ac:dyDescent="0.25">
      <c r="B76" s="45" t="s">
        <v>116</v>
      </c>
      <c r="C76" s="50">
        <v>53</v>
      </c>
      <c r="D76" s="50">
        <v>18</v>
      </c>
      <c r="E76" s="50">
        <v>13</v>
      </c>
      <c r="F76" s="50">
        <v>25</v>
      </c>
      <c r="G76" s="50">
        <v>1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200</v>
      </c>
      <c r="N76" s="50">
        <v>0</v>
      </c>
      <c r="O76" s="15">
        <f t="shared" si="35"/>
        <v>110</v>
      </c>
      <c r="P76" s="15">
        <f t="shared" si="36"/>
        <v>310</v>
      </c>
      <c r="R76" s="8"/>
      <c r="T76"/>
    </row>
    <row r="77" spans="2:20" ht="23.1" customHeight="1" x14ac:dyDescent="0.25">
      <c r="B77" s="45" t="s">
        <v>117</v>
      </c>
      <c r="C77" s="50">
        <v>70</v>
      </c>
      <c r="D77" s="50">
        <v>11</v>
      </c>
      <c r="E77" s="50">
        <v>3</v>
      </c>
      <c r="F77" s="50">
        <v>38</v>
      </c>
      <c r="G77" s="50">
        <v>0</v>
      </c>
      <c r="H77" s="50">
        <v>0</v>
      </c>
      <c r="I77" s="50">
        <v>1</v>
      </c>
      <c r="J77" s="50">
        <v>2</v>
      </c>
      <c r="K77" s="50">
        <v>0</v>
      </c>
      <c r="L77" s="50">
        <v>3</v>
      </c>
      <c r="M77" s="50">
        <v>235</v>
      </c>
      <c r="N77" s="50">
        <v>0</v>
      </c>
      <c r="O77" s="15">
        <f t="shared" si="35"/>
        <v>128</v>
      </c>
      <c r="P77" s="15">
        <f t="shared" si="36"/>
        <v>363</v>
      </c>
      <c r="R77" s="8"/>
      <c r="T77"/>
    </row>
    <row r="78" spans="2:20" ht="23.1" customHeight="1" x14ac:dyDescent="0.25">
      <c r="B78" s="46" t="s">
        <v>118</v>
      </c>
      <c r="C78" s="50">
        <v>50</v>
      </c>
      <c r="D78" s="50">
        <v>75</v>
      </c>
      <c r="E78" s="50">
        <v>10</v>
      </c>
      <c r="F78" s="50">
        <v>25</v>
      </c>
      <c r="G78" s="50">
        <v>0</v>
      </c>
      <c r="H78" s="50">
        <v>0</v>
      </c>
      <c r="I78" s="50">
        <v>2</v>
      </c>
      <c r="J78" s="50">
        <v>3</v>
      </c>
      <c r="K78" s="50">
        <v>0</v>
      </c>
      <c r="L78" s="50">
        <v>2</v>
      </c>
      <c r="M78" s="50">
        <v>125</v>
      </c>
      <c r="N78" s="50">
        <v>0</v>
      </c>
      <c r="O78" s="15">
        <f t="shared" si="35"/>
        <v>167</v>
      </c>
      <c r="P78" s="15">
        <f t="shared" si="36"/>
        <v>292</v>
      </c>
      <c r="R78" s="8"/>
      <c r="T78"/>
    </row>
    <row r="79" spans="2:20" ht="23.1" customHeight="1" x14ac:dyDescent="0.25">
      <c r="B79" s="45" t="s">
        <v>119</v>
      </c>
      <c r="C79" s="50">
        <v>55</v>
      </c>
      <c r="D79" s="50">
        <v>10</v>
      </c>
      <c r="E79" s="50">
        <v>15</v>
      </c>
      <c r="F79" s="50">
        <v>28</v>
      </c>
      <c r="G79" s="50">
        <v>0</v>
      </c>
      <c r="H79" s="50">
        <v>0</v>
      </c>
      <c r="I79" s="50">
        <v>1</v>
      </c>
      <c r="J79" s="50">
        <v>4</v>
      </c>
      <c r="K79" s="50">
        <v>0</v>
      </c>
      <c r="L79" s="50">
        <v>1</v>
      </c>
      <c r="M79" s="50">
        <v>75</v>
      </c>
      <c r="N79" s="50">
        <v>0</v>
      </c>
      <c r="O79" s="15">
        <f t="shared" si="35"/>
        <v>114</v>
      </c>
      <c r="P79" s="15">
        <f t="shared" si="36"/>
        <v>189</v>
      </c>
      <c r="R79" s="8"/>
      <c r="T79"/>
    </row>
    <row r="80" spans="2:20" ht="23.1" customHeight="1" x14ac:dyDescent="0.25">
      <c r="B80" s="47" t="s">
        <v>120</v>
      </c>
      <c r="C80" s="50">
        <v>52</v>
      </c>
      <c r="D80" s="50">
        <v>24</v>
      </c>
      <c r="E80" s="50">
        <v>6</v>
      </c>
      <c r="F80" s="50">
        <v>10</v>
      </c>
      <c r="G80" s="50">
        <v>2</v>
      </c>
      <c r="H80" s="50">
        <v>0</v>
      </c>
      <c r="I80" s="50">
        <v>1</v>
      </c>
      <c r="J80" s="50">
        <v>4</v>
      </c>
      <c r="K80" s="50">
        <v>0</v>
      </c>
      <c r="L80" s="50">
        <v>1</v>
      </c>
      <c r="M80" s="50">
        <v>120</v>
      </c>
      <c r="N80" s="50">
        <v>0</v>
      </c>
      <c r="O80" s="15">
        <f t="shared" si="35"/>
        <v>100</v>
      </c>
      <c r="P80" s="15">
        <f t="shared" si="36"/>
        <v>220</v>
      </c>
      <c r="R80" s="8"/>
      <c r="T80"/>
    </row>
    <row r="81" spans="2:20" ht="23.1" customHeight="1" x14ac:dyDescent="0.25">
      <c r="B81" s="45" t="s">
        <v>121</v>
      </c>
      <c r="C81" s="50">
        <v>35</v>
      </c>
      <c r="D81" s="50">
        <v>5</v>
      </c>
      <c r="E81" s="50">
        <v>3</v>
      </c>
      <c r="F81" s="50">
        <v>10</v>
      </c>
      <c r="G81" s="50">
        <v>0</v>
      </c>
      <c r="H81" s="50">
        <v>0</v>
      </c>
      <c r="I81" s="50">
        <v>0</v>
      </c>
      <c r="J81" s="50">
        <v>2</v>
      </c>
      <c r="K81" s="50">
        <v>0</v>
      </c>
      <c r="L81" s="50">
        <v>0</v>
      </c>
      <c r="M81" s="50">
        <v>61</v>
      </c>
      <c r="N81" s="50">
        <v>0</v>
      </c>
      <c r="O81" s="15">
        <f t="shared" si="35"/>
        <v>55</v>
      </c>
      <c r="P81" s="15">
        <f t="shared" si="36"/>
        <v>116</v>
      </c>
      <c r="R81" s="8"/>
      <c r="T81"/>
    </row>
    <row r="82" spans="2:20" ht="23.1" customHeight="1" x14ac:dyDescent="0.25">
      <c r="B82" s="46" t="s">
        <v>122</v>
      </c>
      <c r="C82" s="50">
        <v>19</v>
      </c>
      <c r="D82" s="50">
        <v>5</v>
      </c>
      <c r="E82" s="50">
        <v>0</v>
      </c>
      <c r="F82" s="50">
        <v>6</v>
      </c>
      <c r="G82" s="50">
        <v>1</v>
      </c>
      <c r="H82" s="50">
        <v>0</v>
      </c>
      <c r="I82" s="50">
        <v>0</v>
      </c>
      <c r="J82" s="50">
        <v>1</v>
      </c>
      <c r="K82" s="50">
        <v>0</v>
      </c>
      <c r="L82" s="50">
        <v>1</v>
      </c>
      <c r="M82" s="50">
        <v>24</v>
      </c>
      <c r="N82" s="50">
        <v>0</v>
      </c>
      <c r="O82" s="15">
        <f t="shared" si="35"/>
        <v>33</v>
      </c>
      <c r="P82" s="15">
        <f t="shared" si="36"/>
        <v>57</v>
      </c>
      <c r="R82" s="8"/>
      <c r="T82"/>
    </row>
    <row r="83" spans="2:20" ht="23.1" customHeight="1" x14ac:dyDescent="0.25">
      <c r="B83" s="45" t="s">
        <v>123</v>
      </c>
      <c r="C83" s="50">
        <v>11</v>
      </c>
      <c r="D83" s="50">
        <v>1</v>
      </c>
      <c r="E83" s="50">
        <v>3</v>
      </c>
      <c r="F83" s="50">
        <v>0</v>
      </c>
      <c r="G83" s="50">
        <v>0</v>
      </c>
      <c r="H83" s="50">
        <v>0</v>
      </c>
      <c r="I83" s="50">
        <v>3</v>
      </c>
      <c r="J83" s="50">
        <v>2</v>
      </c>
      <c r="K83" s="50">
        <v>0</v>
      </c>
      <c r="L83" s="50">
        <v>3</v>
      </c>
      <c r="M83" s="50">
        <v>56</v>
      </c>
      <c r="N83" s="50">
        <v>0</v>
      </c>
      <c r="O83" s="15">
        <f t="shared" si="35"/>
        <v>23</v>
      </c>
      <c r="P83" s="15">
        <f t="shared" si="36"/>
        <v>79</v>
      </c>
      <c r="R83" s="8"/>
      <c r="T83"/>
    </row>
    <row r="84" spans="2:20" ht="23.1" customHeight="1" x14ac:dyDescent="0.25">
      <c r="B84" s="47" t="s">
        <v>124</v>
      </c>
      <c r="C84" s="50">
        <v>17</v>
      </c>
      <c r="D84" s="50">
        <v>7</v>
      </c>
      <c r="E84" s="50">
        <v>3</v>
      </c>
      <c r="F84" s="50">
        <v>2</v>
      </c>
      <c r="G84" s="50">
        <v>0</v>
      </c>
      <c r="H84" s="50">
        <v>3</v>
      </c>
      <c r="I84" s="50">
        <v>0</v>
      </c>
      <c r="J84" s="50">
        <v>0</v>
      </c>
      <c r="K84" s="50">
        <v>0</v>
      </c>
      <c r="L84" s="50">
        <v>0</v>
      </c>
      <c r="M84" s="50">
        <v>45</v>
      </c>
      <c r="N84" s="50">
        <v>0</v>
      </c>
      <c r="O84" s="15">
        <f t="shared" si="35"/>
        <v>32</v>
      </c>
      <c r="P84" s="15">
        <f t="shared" si="36"/>
        <v>77</v>
      </c>
      <c r="R84" s="8"/>
      <c r="T84"/>
    </row>
    <row r="85" spans="2:20" ht="23.1" customHeight="1" x14ac:dyDescent="0.25">
      <c r="B85" s="45" t="s">
        <v>125</v>
      </c>
      <c r="C85" s="50">
        <v>13</v>
      </c>
      <c r="D85" s="50">
        <v>4</v>
      </c>
      <c r="E85" s="50">
        <v>2</v>
      </c>
      <c r="F85" s="50">
        <v>2</v>
      </c>
      <c r="G85" s="50">
        <v>0</v>
      </c>
      <c r="H85" s="50">
        <v>0</v>
      </c>
      <c r="I85" s="50">
        <v>2</v>
      </c>
      <c r="J85" s="50">
        <v>2</v>
      </c>
      <c r="K85" s="50">
        <v>0</v>
      </c>
      <c r="L85" s="50">
        <v>0</v>
      </c>
      <c r="M85" s="50">
        <v>50</v>
      </c>
      <c r="N85" s="50">
        <v>0</v>
      </c>
      <c r="O85" s="15">
        <f t="shared" si="35"/>
        <v>25</v>
      </c>
      <c r="P85" s="15">
        <f t="shared" si="36"/>
        <v>75</v>
      </c>
      <c r="R85" s="8"/>
      <c r="T85"/>
    </row>
    <row r="86" spans="2:20" ht="23.1" customHeight="1" x14ac:dyDescent="0.25">
      <c r="B86" s="46" t="s">
        <v>126</v>
      </c>
      <c r="C86" s="50">
        <v>9</v>
      </c>
      <c r="D86" s="50">
        <v>2</v>
      </c>
      <c r="E86" s="50">
        <v>0</v>
      </c>
      <c r="F86" s="50">
        <v>1</v>
      </c>
      <c r="G86" s="50">
        <v>0</v>
      </c>
      <c r="H86" s="50">
        <v>0</v>
      </c>
      <c r="I86" s="50">
        <v>4</v>
      </c>
      <c r="J86" s="50">
        <v>0</v>
      </c>
      <c r="K86" s="50">
        <v>0</v>
      </c>
      <c r="L86" s="50">
        <v>0</v>
      </c>
      <c r="M86" s="50">
        <v>51</v>
      </c>
      <c r="N86" s="50">
        <v>0</v>
      </c>
      <c r="O86" s="15">
        <f t="shared" si="35"/>
        <v>16</v>
      </c>
      <c r="P86" s="15">
        <f t="shared" si="36"/>
        <v>67</v>
      </c>
      <c r="R86" s="8"/>
      <c r="T86"/>
    </row>
    <row r="87" spans="2:20" ht="23.1" customHeight="1" x14ac:dyDescent="0.25">
      <c r="B87" s="45" t="s">
        <v>127</v>
      </c>
      <c r="C87" s="50">
        <v>11</v>
      </c>
      <c r="D87" s="50">
        <v>4</v>
      </c>
      <c r="E87" s="50">
        <v>1</v>
      </c>
      <c r="F87" s="50">
        <v>1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1</v>
      </c>
      <c r="M87" s="50">
        <v>33</v>
      </c>
      <c r="N87" s="50">
        <v>0</v>
      </c>
      <c r="O87" s="15">
        <f t="shared" si="35"/>
        <v>19</v>
      </c>
      <c r="P87" s="15">
        <f t="shared" si="36"/>
        <v>52</v>
      </c>
      <c r="R87" s="8"/>
      <c r="T87"/>
    </row>
    <row r="88" spans="2:20" ht="23.1" customHeight="1" x14ac:dyDescent="0.25">
      <c r="B88" s="47" t="s">
        <v>128</v>
      </c>
      <c r="C88" s="50">
        <v>7</v>
      </c>
      <c r="D88" s="50">
        <v>3</v>
      </c>
      <c r="E88" s="50">
        <v>0</v>
      </c>
      <c r="F88" s="50">
        <v>1</v>
      </c>
      <c r="G88" s="50">
        <v>0</v>
      </c>
      <c r="H88" s="50">
        <v>0</v>
      </c>
      <c r="I88" s="50">
        <v>3</v>
      </c>
      <c r="J88" s="50">
        <v>2</v>
      </c>
      <c r="K88" s="50">
        <v>0</v>
      </c>
      <c r="L88" s="50">
        <v>0</v>
      </c>
      <c r="M88" s="50">
        <v>52</v>
      </c>
      <c r="N88" s="50">
        <v>0</v>
      </c>
      <c r="O88" s="15">
        <f t="shared" si="35"/>
        <v>16</v>
      </c>
      <c r="P88" s="15">
        <f t="shared" si="36"/>
        <v>68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2</v>
      </c>
      <c r="E89" s="50">
        <v>0</v>
      </c>
      <c r="F89" s="50">
        <v>1</v>
      </c>
      <c r="G89" s="50">
        <v>0</v>
      </c>
      <c r="H89" s="50">
        <v>0</v>
      </c>
      <c r="I89" s="50">
        <v>0</v>
      </c>
      <c r="J89" s="50">
        <v>2</v>
      </c>
      <c r="K89" s="50">
        <v>0</v>
      </c>
      <c r="L89" s="50">
        <v>1</v>
      </c>
      <c r="M89" s="50">
        <v>38</v>
      </c>
      <c r="N89" s="50">
        <v>0</v>
      </c>
      <c r="O89" s="15">
        <f t="shared" si="35"/>
        <v>13</v>
      </c>
      <c r="P89" s="15">
        <f t="shared" si="36"/>
        <v>51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3</v>
      </c>
      <c r="J90" s="50">
        <v>1</v>
      </c>
      <c r="K90" s="50">
        <v>0</v>
      </c>
      <c r="L90" s="50">
        <v>3</v>
      </c>
      <c r="M90" s="50">
        <v>41</v>
      </c>
      <c r="N90" s="50">
        <v>0</v>
      </c>
      <c r="O90" s="15">
        <f t="shared" si="35"/>
        <v>16</v>
      </c>
      <c r="P90" s="15">
        <f t="shared" si="36"/>
        <v>57</v>
      </c>
      <c r="R90" s="8"/>
      <c r="T90"/>
    </row>
    <row r="91" spans="2:20" ht="23.1" customHeight="1" x14ac:dyDescent="0.25">
      <c r="B91" s="45" t="s">
        <v>131</v>
      </c>
      <c r="C91" s="50">
        <v>10</v>
      </c>
      <c r="D91" s="50">
        <v>1</v>
      </c>
      <c r="E91" s="50">
        <v>2</v>
      </c>
      <c r="F91" s="50">
        <v>3</v>
      </c>
      <c r="G91" s="50">
        <v>0</v>
      </c>
      <c r="H91" s="50">
        <v>0</v>
      </c>
      <c r="I91" s="50">
        <v>1</v>
      </c>
      <c r="J91" s="50">
        <v>3</v>
      </c>
      <c r="K91" s="50">
        <v>0</v>
      </c>
      <c r="L91" s="50">
        <v>2</v>
      </c>
      <c r="M91" s="50">
        <v>30</v>
      </c>
      <c r="N91" s="50">
        <v>0</v>
      </c>
      <c r="O91" s="15">
        <f t="shared" si="35"/>
        <v>22</v>
      </c>
      <c r="P91" s="15">
        <f t="shared" si="36"/>
        <v>52</v>
      </c>
      <c r="R91" s="8"/>
      <c r="T91"/>
    </row>
    <row r="92" spans="2:20" ht="23.1" customHeight="1" x14ac:dyDescent="0.25">
      <c r="B92" s="47" t="s">
        <v>132</v>
      </c>
      <c r="C92" s="50">
        <v>15</v>
      </c>
      <c r="D92" s="50">
        <v>0</v>
      </c>
      <c r="E92" s="50">
        <v>4</v>
      </c>
      <c r="F92" s="50">
        <v>1</v>
      </c>
      <c r="G92" s="50">
        <v>0</v>
      </c>
      <c r="H92" s="50">
        <v>0</v>
      </c>
      <c r="I92" s="50">
        <v>5</v>
      </c>
      <c r="J92" s="50">
        <v>1</v>
      </c>
      <c r="K92" s="50">
        <v>0</v>
      </c>
      <c r="L92" s="50">
        <v>0</v>
      </c>
      <c r="M92" s="50">
        <v>44</v>
      </c>
      <c r="N92" s="50">
        <v>0</v>
      </c>
      <c r="O92" s="15">
        <f t="shared" si="35"/>
        <v>26</v>
      </c>
      <c r="P92" s="15">
        <f t="shared" si="36"/>
        <v>70</v>
      </c>
      <c r="R92" s="8"/>
      <c r="T92"/>
    </row>
    <row r="93" spans="2:20" ht="23.1" customHeight="1" x14ac:dyDescent="0.25">
      <c r="B93" s="45" t="s">
        <v>133</v>
      </c>
      <c r="C93" s="50">
        <v>18</v>
      </c>
      <c r="D93" s="50">
        <v>1</v>
      </c>
      <c r="E93" s="50">
        <v>2</v>
      </c>
      <c r="F93" s="50">
        <v>15</v>
      </c>
      <c r="G93" s="50">
        <v>0</v>
      </c>
      <c r="H93" s="50">
        <v>0</v>
      </c>
      <c r="I93" s="50">
        <v>6</v>
      </c>
      <c r="J93" s="50">
        <v>1</v>
      </c>
      <c r="K93" s="50">
        <v>1</v>
      </c>
      <c r="L93" s="50">
        <v>0</v>
      </c>
      <c r="M93" s="50">
        <v>41</v>
      </c>
      <c r="N93" s="50">
        <v>0</v>
      </c>
      <c r="O93" s="15">
        <f t="shared" si="35"/>
        <v>44</v>
      </c>
      <c r="P93" s="15">
        <f t="shared" si="36"/>
        <v>85</v>
      </c>
      <c r="R93" s="8"/>
      <c r="T93"/>
    </row>
    <row r="94" spans="2:20" ht="23.1" customHeight="1" x14ac:dyDescent="0.25">
      <c r="B94" s="46" t="s">
        <v>134</v>
      </c>
      <c r="C94" s="50">
        <v>25</v>
      </c>
      <c r="D94" s="50">
        <v>1</v>
      </c>
      <c r="E94" s="50">
        <v>0</v>
      </c>
      <c r="F94" s="50">
        <v>3</v>
      </c>
      <c r="G94" s="50">
        <v>0</v>
      </c>
      <c r="H94" s="50">
        <v>0</v>
      </c>
      <c r="I94" s="50">
        <v>5</v>
      </c>
      <c r="J94" s="50">
        <v>1</v>
      </c>
      <c r="K94" s="50">
        <v>0</v>
      </c>
      <c r="L94" s="50">
        <v>0</v>
      </c>
      <c r="M94" s="50">
        <v>65</v>
      </c>
      <c r="N94" s="50">
        <v>0</v>
      </c>
      <c r="O94" s="15">
        <f t="shared" si="35"/>
        <v>35</v>
      </c>
      <c r="P94" s="15">
        <f t="shared" si="36"/>
        <v>100</v>
      </c>
      <c r="R94" s="8"/>
      <c r="T94"/>
    </row>
    <row r="95" spans="2:20" ht="23.1" customHeight="1" x14ac:dyDescent="0.25">
      <c r="B95" s="45" t="s">
        <v>135</v>
      </c>
      <c r="C95" s="50">
        <v>20</v>
      </c>
      <c r="D95" s="50">
        <v>2</v>
      </c>
      <c r="E95" s="50">
        <v>1</v>
      </c>
      <c r="F95" s="50">
        <v>4</v>
      </c>
      <c r="G95" s="50">
        <v>0</v>
      </c>
      <c r="H95" s="50">
        <v>0</v>
      </c>
      <c r="I95" s="50">
        <v>1</v>
      </c>
      <c r="J95" s="50">
        <v>1</v>
      </c>
      <c r="K95" s="50">
        <v>0</v>
      </c>
      <c r="L95" s="50">
        <v>0</v>
      </c>
      <c r="M95" s="50">
        <v>25</v>
      </c>
      <c r="N95" s="50">
        <v>0</v>
      </c>
      <c r="O95" s="15">
        <f t="shared" si="35"/>
        <v>29</v>
      </c>
      <c r="P95" s="15">
        <f t="shared" si="36"/>
        <v>54</v>
      </c>
      <c r="R95" s="8"/>
      <c r="T95"/>
    </row>
    <row r="96" spans="2:20" ht="23.1" customHeight="1" x14ac:dyDescent="0.25">
      <c r="B96" s="47" t="s">
        <v>136</v>
      </c>
      <c r="C96" s="50">
        <v>21</v>
      </c>
      <c r="D96" s="50">
        <v>1</v>
      </c>
      <c r="E96" s="50">
        <v>0</v>
      </c>
      <c r="F96" s="50">
        <v>12</v>
      </c>
      <c r="G96" s="50">
        <v>0</v>
      </c>
      <c r="H96" s="50">
        <v>0</v>
      </c>
      <c r="I96" s="50">
        <v>2</v>
      </c>
      <c r="J96" s="50">
        <v>9</v>
      </c>
      <c r="K96" s="50">
        <v>0</v>
      </c>
      <c r="L96" s="50">
        <v>2</v>
      </c>
      <c r="M96" s="50">
        <v>23</v>
      </c>
      <c r="N96" s="50">
        <v>0</v>
      </c>
      <c r="O96" s="15">
        <f t="shared" si="35"/>
        <v>47</v>
      </c>
      <c r="P96" s="15">
        <f t="shared" si="36"/>
        <v>70</v>
      </c>
      <c r="R96" s="8"/>
      <c r="T96"/>
    </row>
    <row r="97" spans="2:20" ht="23.1" customHeight="1" x14ac:dyDescent="0.25">
      <c r="B97" s="45" t="s">
        <v>137</v>
      </c>
      <c r="C97" s="50">
        <v>15</v>
      </c>
      <c r="D97" s="50">
        <v>1</v>
      </c>
      <c r="E97" s="50">
        <v>1</v>
      </c>
      <c r="F97" s="50">
        <v>15</v>
      </c>
      <c r="G97" s="50">
        <v>0</v>
      </c>
      <c r="H97" s="50">
        <v>1</v>
      </c>
      <c r="I97" s="50">
        <v>0</v>
      </c>
      <c r="J97" s="50">
        <v>1</v>
      </c>
      <c r="K97" s="50">
        <v>0</v>
      </c>
      <c r="L97" s="50">
        <v>3</v>
      </c>
      <c r="M97" s="50">
        <v>102</v>
      </c>
      <c r="N97" s="50">
        <v>0</v>
      </c>
      <c r="O97" s="15">
        <f t="shared" si="35"/>
        <v>37</v>
      </c>
      <c r="P97" s="15">
        <f t="shared" si="36"/>
        <v>139</v>
      </c>
      <c r="R97" s="8"/>
      <c r="T97"/>
    </row>
    <row r="98" spans="2:20" ht="23.1" customHeight="1" x14ac:dyDescent="0.25">
      <c r="B98" s="46" t="s">
        <v>138</v>
      </c>
      <c r="C98" s="50">
        <v>19</v>
      </c>
      <c r="D98" s="50">
        <v>2</v>
      </c>
      <c r="E98" s="50">
        <v>0</v>
      </c>
      <c r="F98" s="50">
        <v>23</v>
      </c>
      <c r="G98" s="50">
        <v>0</v>
      </c>
      <c r="H98" s="50">
        <v>0</v>
      </c>
      <c r="I98" s="50">
        <v>1</v>
      </c>
      <c r="J98" s="50">
        <v>1</v>
      </c>
      <c r="K98" s="50">
        <v>0</v>
      </c>
      <c r="L98" s="50">
        <v>1</v>
      </c>
      <c r="M98" s="50">
        <v>69</v>
      </c>
      <c r="N98" s="50">
        <v>0</v>
      </c>
      <c r="O98" s="15">
        <f t="shared" si="35"/>
        <v>47</v>
      </c>
      <c r="P98" s="15">
        <f t="shared" si="36"/>
        <v>116</v>
      </c>
      <c r="R98" s="8"/>
      <c r="T98"/>
    </row>
    <row r="99" spans="2:20" ht="23.1" customHeight="1" x14ac:dyDescent="0.25">
      <c r="B99" s="45" t="s">
        <v>139</v>
      </c>
      <c r="C99" s="50">
        <v>28</v>
      </c>
      <c r="D99" s="50">
        <v>0</v>
      </c>
      <c r="E99" s="50">
        <v>2</v>
      </c>
      <c r="F99" s="50">
        <v>25</v>
      </c>
      <c r="G99" s="50">
        <v>0</v>
      </c>
      <c r="H99" s="50">
        <v>0</v>
      </c>
      <c r="I99" s="50">
        <v>3</v>
      </c>
      <c r="J99" s="50">
        <v>4</v>
      </c>
      <c r="K99" s="50">
        <v>0</v>
      </c>
      <c r="L99" s="50">
        <v>1</v>
      </c>
      <c r="M99" s="50">
        <v>59</v>
      </c>
      <c r="N99" s="50">
        <v>0</v>
      </c>
      <c r="O99" s="15">
        <f t="shared" si="35"/>
        <v>63</v>
      </c>
      <c r="P99" s="15">
        <f t="shared" si="36"/>
        <v>122</v>
      </c>
      <c r="R99" s="8"/>
      <c r="T99"/>
    </row>
    <row r="100" spans="2:20" ht="23.1" customHeight="1" x14ac:dyDescent="0.25">
      <c r="B100" s="47" t="s">
        <v>140</v>
      </c>
      <c r="C100" s="50">
        <v>19</v>
      </c>
      <c r="D100" s="50">
        <v>3</v>
      </c>
      <c r="E100" s="50">
        <v>5</v>
      </c>
      <c r="F100" s="50">
        <v>19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40</v>
      </c>
      <c r="N100" s="50">
        <v>0</v>
      </c>
      <c r="O100" s="15">
        <f t="shared" si="35"/>
        <v>47</v>
      </c>
      <c r="P100" s="15">
        <f t="shared" si="36"/>
        <v>87</v>
      </c>
      <c r="R100" s="8"/>
      <c r="T100"/>
    </row>
    <row r="101" spans="2:20" ht="23.1" customHeight="1" x14ac:dyDescent="0.25">
      <c r="B101" s="45" t="s">
        <v>141</v>
      </c>
      <c r="C101" s="50">
        <v>18</v>
      </c>
      <c r="D101" s="50">
        <v>5</v>
      </c>
      <c r="E101" s="50">
        <v>8</v>
      </c>
      <c r="F101" s="50">
        <v>20</v>
      </c>
      <c r="G101" s="50">
        <v>0</v>
      </c>
      <c r="H101" s="50">
        <v>1</v>
      </c>
      <c r="I101" s="50">
        <v>1</v>
      </c>
      <c r="J101" s="50">
        <v>5</v>
      </c>
      <c r="K101" s="50">
        <v>0</v>
      </c>
      <c r="L101" s="50">
        <v>5</v>
      </c>
      <c r="M101" s="50">
        <v>70</v>
      </c>
      <c r="N101" s="50">
        <v>0</v>
      </c>
      <c r="O101" s="15">
        <f t="shared" si="35"/>
        <v>63</v>
      </c>
      <c r="P101" s="15">
        <f t="shared" si="36"/>
        <v>133</v>
      </c>
      <c r="R101" s="8"/>
      <c r="T101"/>
    </row>
    <row r="102" spans="2:20" ht="23.1" customHeight="1" x14ac:dyDescent="0.25">
      <c r="B102" s="46" t="s">
        <v>142</v>
      </c>
      <c r="C102" s="50">
        <v>11</v>
      </c>
      <c r="D102" s="50">
        <v>5</v>
      </c>
      <c r="E102" s="50">
        <v>2</v>
      </c>
      <c r="F102" s="50">
        <v>25</v>
      </c>
      <c r="G102" s="50">
        <v>2</v>
      </c>
      <c r="H102" s="50">
        <v>0</v>
      </c>
      <c r="I102" s="50">
        <v>5</v>
      </c>
      <c r="J102" s="50">
        <v>3</v>
      </c>
      <c r="K102" s="50">
        <v>0</v>
      </c>
      <c r="L102" s="50">
        <v>2</v>
      </c>
      <c r="M102" s="50">
        <v>60</v>
      </c>
      <c r="N102" s="50">
        <v>0</v>
      </c>
      <c r="O102" s="15">
        <f t="shared" si="35"/>
        <v>55</v>
      </c>
      <c r="P102" s="15">
        <f t="shared" si="36"/>
        <v>115</v>
      </c>
      <c r="R102" s="8"/>
      <c r="T102"/>
    </row>
    <row r="103" spans="2:20" ht="23.1" customHeight="1" x14ac:dyDescent="0.25">
      <c r="B103" s="45" t="s">
        <v>143</v>
      </c>
      <c r="C103" s="50">
        <v>14</v>
      </c>
      <c r="D103" s="50">
        <v>4</v>
      </c>
      <c r="E103" s="50">
        <v>4</v>
      </c>
      <c r="F103" s="50">
        <v>24</v>
      </c>
      <c r="G103" s="50">
        <v>0</v>
      </c>
      <c r="H103" s="50">
        <v>0</v>
      </c>
      <c r="I103" s="50">
        <v>4</v>
      </c>
      <c r="J103" s="50">
        <v>6</v>
      </c>
      <c r="K103" s="50">
        <v>0</v>
      </c>
      <c r="L103" s="50">
        <v>1</v>
      </c>
      <c r="M103" s="50">
        <v>81</v>
      </c>
      <c r="N103" s="50">
        <v>0</v>
      </c>
      <c r="O103" s="15">
        <f t="shared" si="35"/>
        <v>57</v>
      </c>
      <c r="P103" s="15">
        <f t="shared" si="36"/>
        <v>138</v>
      </c>
      <c r="R103" s="8"/>
      <c r="T103"/>
    </row>
    <row r="104" spans="2:20" ht="23.1" customHeight="1" x14ac:dyDescent="0.25">
      <c r="B104" s="47" t="s">
        <v>144</v>
      </c>
      <c r="C104" s="50">
        <v>24</v>
      </c>
      <c r="D104" s="50">
        <v>7</v>
      </c>
      <c r="E104" s="50">
        <v>8</v>
      </c>
      <c r="F104" s="50">
        <v>36</v>
      </c>
      <c r="G104" s="50">
        <v>0</v>
      </c>
      <c r="H104" s="50">
        <v>1</v>
      </c>
      <c r="I104" s="50">
        <v>2</v>
      </c>
      <c r="J104" s="50">
        <v>6</v>
      </c>
      <c r="K104" s="50">
        <v>0</v>
      </c>
      <c r="L104" s="50">
        <v>4</v>
      </c>
      <c r="M104" s="50">
        <v>116</v>
      </c>
      <c r="N104" s="50">
        <v>0</v>
      </c>
      <c r="O104" s="15">
        <f t="shared" si="35"/>
        <v>88</v>
      </c>
      <c r="P104" s="15">
        <f t="shared" si="36"/>
        <v>204</v>
      </c>
      <c r="R104" s="8"/>
      <c r="T104"/>
    </row>
    <row r="105" spans="2:20" ht="23.1" customHeight="1" x14ac:dyDescent="0.25">
      <c r="B105" s="45" t="s">
        <v>145</v>
      </c>
      <c r="C105" s="50">
        <v>29</v>
      </c>
      <c r="D105" s="50">
        <v>11</v>
      </c>
      <c r="E105" s="50">
        <v>13</v>
      </c>
      <c r="F105" s="50">
        <v>34</v>
      </c>
      <c r="G105" s="50">
        <v>1</v>
      </c>
      <c r="H105" s="50">
        <v>1</v>
      </c>
      <c r="I105" s="50">
        <v>2</v>
      </c>
      <c r="J105" s="50">
        <v>6</v>
      </c>
      <c r="K105" s="50">
        <v>0</v>
      </c>
      <c r="L105" s="50">
        <v>8</v>
      </c>
      <c r="M105" s="50">
        <v>145</v>
      </c>
      <c r="N105" s="50">
        <v>0</v>
      </c>
      <c r="O105" s="15">
        <f t="shared" si="35"/>
        <v>105</v>
      </c>
      <c r="P105" s="15">
        <f t="shared" si="36"/>
        <v>250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4295</v>
      </c>
      <c r="D106" s="16">
        <f t="shared" ref="D106:P106" si="37">SUM(D10:D105)</f>
        <v>1462</v>
      </c>
      <c r="E106" s="16">
        <f t="shared" si="37"/>
        <v>975</v>
      </c>
      <c r="F106" s="16">
        <f t="shared" si="37"/>
        <v>4159</v>
      </c>
      <c r="G106" s="16">
        <f t="shared" si="37"/>
        <v>78</v>
      </c>
      <c r="H106" s="16">
        <f t="shared" si="37"/>
        <v>52</v>
      </c>
      <c r="I106" s="16">
        <f t="shared" si="37"/>
        <v>357</v>
      </c>
      <c r="J106" s="16">
        <f t="shared" si="37"/>
        <v>349</v>
      </c>
      <c r="K106" s="16">
        <f t="shared" si="37"/>
        <v>16</v>
      </c>
      <c r="L106" s="16">
        <f t="shared" si="37"/>
        <v>173</v>
      </c>
      <c r="M106" s="16">
        <f t="shared" si="37"/>
        <v>26052</v>
      </c>
      <c r="N106" s="16">
        <f t="shared" si="37"/>
        <v>1</v>
      </c>
      <c r="O106" s="16">
        <f t="shared" si="37"/>
        <v>11917</v>
      </c>
      <c r="P106" s="16">
        <f t="shared" si="37"/>
        <v>37969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0.11311859674998025</v>
      </c>
      <c r="D107" s="43">
        <f t="shared" si="38"/>
        <v>3.8505096262740658E-2</v>
      </c>
      <c r="E107" s="43">
        <f t="shared" si="38"/>
        <v>2.5678843266875608E-2</v>
      </c>
      <c r="F107" s="43">
        <f t="shared" si="38"/>
        <v>0.10953672733019042</v>
      </c>
      <c r="G107" s="43">
        <f t="shared" si="38"/>
        <v>2.0543074613500489E-3</v>
      </c>
      <c r="H107" s="43">
        <f t="shared" si="38"/>
        <v>1.3695383075666991E-3</v>
      </c>
      <c r="I107" s="43">
        <f t="shared" si="38"/>
        <v>9.4024072269483002E-3</v>
      </c>
      <c r="J107" s="43">
        <f t="shared" si="38"/>
        <v>9.1917090257841918E-3</v>
      </c>
      <c r="K107" s="43">
        <f t="shared" si="38"/>
        <v>4.2139640232821511E-4</v>
      </c>
      <c r="L107" s="43">
        <f t="shared" si="38"/>
        <v>4.5563486001738264E-3</v>
      </c>
      <c r="M107" s="43">
        <f t="shared" si="38"/>
        <v>0.68613869209091627</v>
      </c>
      <c r="N107" s="43">
        <f t="shared" si="38"/>
        <v>2.6337275145513444E-5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0.36040949903499203</v>
      </c>
      <c r="D108" s="44">
        <f t="shared" ref="D108:N108" si="39">D106/$O$106</f>
        <v>0.12268188302425106</v>
      </c>
      <c r="E108" s="44">
        <f t="shared" si="39"/>
        <v>8.1815893261726946E-2</v>
      </c>
      <c r="F108" s="44">
        <f t="shared" si="39"/>
        <v>0.3489972308466896</v>
      </c>
      <c r="G108" s="44">
        <f t="shared" si="39"/>
        <v>6.5452714609381558E-3</v>
      </c>
      <c r="H108" s="44">
        <f t="shared" si="39"/>
        <v>4.3635143072921038E-3</v>
      </c>
      <c r="I108" s="44">
        <f t="shared" si="39"/>
        <v>2.9957203994293864E-2</v>
      </c>
      <c r="J108" s="44">
        <f t="shared" si="39"/>
        <v>2.928589410086431E-2</v>
      </c>
      <c r="K108" s="44">
        <f t="shared" si="39"/>
        <v>1.3426197868591089E-3</v>
      </c>
      <c r="L108" s="44">
        <f t="shared" si="39"/>
        <v>1.4517076445414114E-2</v>
      </c>
      <c r="M108" s="44"/>
      <c r="N108" s="44">
        <f t="shared" si="39"/>
        <v>8.3913736678694305E-5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KALERWE-GAYAZA-24h'!D5</f>
        <v>26.07.19</v>
      </c>
      <c r="E5" s="3"/>
      <c r="F5" s="41" t="s">
        <v>1</v>
      </c>
      <c r="G5" s="65" t="str">
        <f>'26.07 KALERWE-GAYAZA-24h'!G5:H5</f>
        <v>DELTA KYEBANDO</v>
      </c>
      <c r="H5" s="66"/>
      <c r="I5" s="14"/>
      <c r="J5" s="2" t="s">
        <v>5</v>
      </c>
      <c r="K5" s="65" t="s">
        <v>181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GAYAZA-KALERWE'!D6:E6</f>
        <v>GAYAZA</v>
      </c>
      <c r="E6" s="66"/>
      <c r="F6" s="2" t="s">
        <v>2</v>
      </c>
      <c r="G6" s="65" t="str">
        <f>'23.07 GAYAZA-KALERWE'!G6:H6</f>
        <v>KALERWE</v>
      </c>
      <c r="H6" s="66"/>
      <c r="J6" s="2" t="s">
        <v>21</v>
      </c>
      <c r="K6" s="65" t="s">
        <v>176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71</v>
      </c>
      <c r="D10" s="50">
        <v>4</v>
      </c>
      <c r="E10" s="50">
        <v>8</v>
      </c>
      <c r="F10" s="50">
        <v>15</v>
      </c>
      <c r="G10" s="50">
        <v>5</v>
      </c>
      <c r="H10" s="50">
        <v>2</v>
      </c>
      <c r="I10" s="50">
        <v>3</v>
      </c>
      <c r="J10" s="50">
        <v>2</v>
      </c>
      <c r="K10" s="50">
        <v>1</v>
      </c>
      <c r="L10" s="50">
        <v>0</v>
      </c>
      <c r="M10" s="50">
        <v>242</v>
      </c>
      <c r="N10" s="50">
        <v>0</v>
      </c>
      <c r="O10" s="15">
        <f t="shared" ref="O10:O73" si="0">SUM(C10:L10,N10)</f>
        <v>111</v>
      </c>
      <c r="P10" s="15">
        <f t="shared" ref="P10:P73" si="1">SUM(C10:N10)</f>
        <v>353</v>
      </c>
      <c r="R10" s="1" t="s">
        <v>6</v>
      </c>
      <c r="S10" s="17">
        <f t="shared" ref="S10:AF10" si="2">SUM(C10:C13)</f>
        <v>211</v>
      </c>
      <c r="T10" s="17">
        <f t="shared" si="2"/>
        <v>23</v>
      </c>
      <c r="U10" s="17">
        <f t="shared" si="2"/>
        <v>24</v>
      </c>
      <c r="V10" s="17">
        <f t="shared" si="2"/>
        <v>132</v>
      </c>
      <c r="W10" s="17">
        <f t="shared" si="2"/>
        <v>8</v>
      </c>
      <c r="X10" s="17">
        <f t="shared" si="2"/>
        <v>6</v>
      </c>
      <c r="Y10" s="17">
        <f t="shared" si="2"/>
        <v>22</v>
      </c>
      <c r="Z10" s="17">
        <f t="shared" si="2"/>
        <v>13</v>
      </c>
      <c r="AA10" s="17">
        <f t="shared" si="2"/>
        <v>4</v>
      </c>
      <c r="AB10" s="17">
        <f t="shared" si="2"/>
        <v>4</v>
      </c>
      <c r="AC10" s="17">
        <f t="shared" si="2"/>
        <v>1136</v>
      </c>
      <c r="AD10" s="17">
        <f t="shared" si="2"/>
        <v>0</v>
      </c>
      <c r="AE10" s="31">
        <f t="shared" si="2"/>
        <v>447</v>
      </c>
      <c r="AF10" s="31">
        <f t="shared" si="2"/>
        <v>1583</v>
      </c>
    </row>
    <row r="11" spans="2:32" s="6" customFormat="1" ht="23.1" customHeight="1" x14ac:dyDescent="0.25">
      <c r="B11" s="45" t="s">
        <v>38</v>
      </c>
      <c r="C11" s="50">
        <v>56</v>
      </c>
      <c r="D11" s="50">
        <v>6</v>
      </c>
      <c r="E11" s="50">
        <v>3</v>
      </c>
      <c r="F11" s="50">
        <v>43</v>
      </c>
      <c r="G11" s="50">
        <v>1</v>
      </c>
      <c r="H11" s="50">
        <v>1</v>
      </c>
      <c r="I11" s="50">
        <v>7</v>
      </c>
      <c r="J11" s="50">
        <v>3</v>
      </c>
      <c r="K11" s="50">
        <v>2</v>
      </c>
      <c r="L11" s="50">
        <v>0</v>
      </c>
      <c r="M11" s="50">
        <v>261</v>
      </c>
      <c r="N11" s="50">
        <v>0</v>
      </c>
      <c r="O11" s="15">
        <f t="shared" si="0"/>
        <v>122</v>
      </c>
      <c r="P11" s="15">
        <f t="shared" si="1"/>
        <v>383</v>
      </c>
      <c r="R11" s="1" t="s">
        <v>7</v>
      </c>
      <c r="S11" s="17">
        <f t="shared" ref="S11:AF11" si="3">SUM(C14:C17)</f>
        <v>221</v>
      </c>
      <c r="T11" s="17">
        <f t="shared" si="3"/>
        <v>19</v>
      </c>
      <c r="U11" s="17">
        <f t="shared" si="3"/>
        <v>22</v>
      </c>
      <c r="V11" s="17">
        <f t="shared" si="3"/>
        <v>216</v>
      </c>
      <c r="W11" s="17">
        <f t="shared" si="3"/>
        <v>3</v>
      </c>
      <c r="X11" s="17">
        <f t="shared" si="3"/>
        <v>2</v>
      </c>
      <c r="Y11" s="17">
        <f t="shared" si="3"/>
        <v>27</v>
      </c>
      <c r="Z11" s="17">
        <f t="shared" si="3"/>
        <v>19</v>
      </c>
      <c r="AA11" s="17">
        <f t="shared" si="3"/>
        <v>4</v>
      </c>
      <c r="AB11" s="17">
        <f t="shared" si="3"/>
        <v>9</v>
      </c>
      <c r="AC11" s="17">
        <f t="shared" si="3"/>
        <v>867</v>
      </c>
      <c r="AD11" s="17">
        <f t="shared" si="3"/>
        <v>0</v>
      </c>
      <c r="AE11" s="31">
        <f t="shared" si="3"/>
        <v>542</v>
      </c>
      <c r="AF11" s="31">
        <f t="shared" si="3"/>
        <v>1409</v>
      </c>
    </row>
    <row r="12" spans="2:32" ht="23.1" customHeight="1" x14ac:dyDescent="0.25">
      <c r="B12" s="45" t="s">
        <v>39</v>
      </c>
      <c r="C12" s="50">
        <v>32</v>
      </c>
      <c r="D12" s="50">
        <v>5</v>
      </c>
      <c r="E12" s="50">
        <v>4</v>
      </c>
      <c r="F12" s="50">
        <v>36</v>
      </c>
      <c r="G12" s="50">
        <v>0</v>
      </c>
      <c r="H12" s="50">
        <v>2</v>
      </c>
      <c r="I12" s="50">
        <v>7</v>
      </c>
      <c r="J12" s="50">
        <v>3</v>
      </c>
      <c r="K12" s="50">
        <v>1</v>
      </c>
      <c r="L12" s="50">
        <v>1</v>
      </c>
      <c r="M12" s="50">
        <v>326</v>
      </c>
      <c r="N12" s="50">
        <v>0</v>
      </c>
      <c r="O12" s="15">
        <f t="shared" si="0"/>
        <v>91</v>
      </c>
      <c r="P12" s="15">
        <f t="shared" si="1"/>
        <v>417</v>
      </c>
      <c r="R12" s="1" t="s">
        <v>8</v>
      </c>
      <c r="S12" s="17">
        <f t="shared" ref="S12:AF12" si="4">SUM(C18:C21)</f>
        <v>301</v>
      </c>
      <c r="T12" s="17">
        <f t="shared" si="4"/>
        <v>22</v>
      </c>
      <c r="U12" s="17">
        <f t="shared" si="4"/>
        <v>36</v>
      </c>
      <c r="V12" s="17">
        <f t="shared" si="4"/>
        <v>312</v>
      </c>
      <c r="W12" s="17">
        <f t="shared" si="4"/>
        <v>4</v>
      </c>
      <c r="X12" s="17">
        <f t="shared" si="4"/>
        <v>5</v>
      </c>
      <c r="Y12" s="17">
        <f t="shared" si="4"/>
        <v>34</v>
      </c>
      <c r="Z12" s="17">
        <f t="shared" si="4"/>
        <v>16</v>
      </c>
      <c r="AA12" s="17">
        <f t="shared" si="4"/>
        <v>6</v>
      </c>
      <c r="AB12" s="17">
        <f t="shared" si="4"/>
        <v>2</v>
      </c>
      <c r="AC12" s="17">
        <f t="shared" si="4"/>
        <v>686</v>
      </c>
      <c r="AD12" s="17">
        <f t="shared" si="4"/>
        <v>0</v>
      </c>
      <c r="AE12" s="31">
        <f t="shared" si="4"/>
        <v>738</v>
      </c>
      <c r="AF12" s="31">
        <f t="shared" si="4"/>
        <v>1424</v>
      </c>
    </row>
    <row r="13" spans="2:32" ht="23.1" customHeight="1" x14ac:dyDescent="0.25">
      <c r="B13" s="45" t="s">
        <v>40</v>
      </c>
      <c r="C13" s="50">
        <v>52</v>
      </c>
      <c r="D13" s="50">
        <v>8</v>
      </c>
      <c r="E13" s="50">
        <v>9</v>
      </c>
      <c r="F13" s="50">
        <v>38</v>
      </c>
      <c r="G13" s="50">
        <v>2</v>
      </c>
      <c r="H13" s="50">
        <v>1</v>
      </c>
      <c r="I13" s="50">
        <v>5</v>
      </c>
      <c r="J13" s="50">
        <v>5</v>
      </c>
      <c r="K13" s="50">
        <v>0</v>
      </c>
      <c r="L13" s="50">
        <v>3</v>
      </c>
      <c r="M13" s="50">
        <v>307</v>
      </c>
      <c r="N13" s="50">
        <v>0</v>
      </c>
      <c r="O13" s="15">
        <f t="shared" si="0"/>
        <v>123</v>
      </c>
      <c r="P13" s="15">
        <f t="shared" si="1"/>
        <v>430</v>
      </c>
      <c r="R13" s="1" t="s">
        <v>9</v>
      </c>
      <c r="S13" s="17">
        <f t="shared" ref="S13:AF13" si="5">SUM(C22:C25)</f>
        <v>320</v>
      </c>
      <c r="T13" s="17">
        <f t="shared" si="5"/>
        <v>39</v>
      </c>
      <c r="U13" s="17">
        <f t="shared" si="5"/>
        <v>40</v>
      </c>
      <c r="V13" s="17">
        <f t="shared" si="5"/>
        <v>230</v>
      </c>
      <c r="W13" s="17">
        <f t="shared" si="5"/>
        <v>4</v>
      </c>
      <c r="X13" s="17">
        <f t="shared" si="5"/>
        <v>2</v>
      </c>
      <c r="Y13" s="17">
        <f t="shared" si="5"/>
        <v>29</v>
      </c>
      <c r="Z13" s="17">
        <f t="shared" si="5"/>
        <v>18</v>
      </c>
      <c r="AA13" s="17">
        <f t="shared" si="5"/>
        <v>5</v>
      </c>
      <c r="AB13" s="17">
        <f t="shared" si="5"/>
        <v>4</v>
      </c>
      <c r="AC13" s="17">
        <f t="shared" si="5"/>
        <v>720</v>
      </c>
      <c r="AD13" s="17">
        <f t="shared" si="5"/>
        <v>0</v>
      </c>
      <c r="AE13" s="31">
        <f t="shared" si="5"/>
        <v>691</v>
      </c>
      <c r="AF13" s="31">
        <f t="shared" si="5"/>
        <v>1411</v>
      </c>
    </row>
    <row r="14" spans="2:32" ht="23.1" customHeight="1" x14ac:dyDescent="0.25">
      <c r="B14" s="45" t="s">
        <v>41</v>
      </c>
      <c r="C14" s="50">
        <v>30</v>
      </c>
      <c r="D14" s="50">
        <v>2</v>
      </c>
      <c r="E14" s="50">
        <v>4</v>
      </c>
      <c r="F14" s="50">
        <v>52</v>
      </c>
      <c r="G14" s="50">
        <v>0</v>
      </c>
      <c r="H14" s="50">
        <v>0</v>
      </c>
      <c r="I14" s="50">
        <v>7</v>
      </c>
      <c r="J14" s="50">
        <v>5</v>
      </c>
      <c r="K14" s="50">
        <v>0</v>
      </c>
      <c r="L14" s="50">
        <v>1</v>
      </c>
      <c r="M14" s="50">
        <v>187</v>
      </c>
      <c r="N14" s="50">
        <v>0</v>
      </c>
      <c r="O14" s="15">
        <f t="shared" si="0"/>
        <v>101</v>
      </c>
      <c r="P14" s="15">
        <f t="shared" si="1"/>
        <v>288</v>
      </c>
      <c r="R14" s="1" t="s">
        <v>10</v>
      </c>
      <c r="S14" s="17">
        <f t="shared" ref="S14:AF14" si="6">SUM(C26:C29)</f>
        <v>191</v>
      </c>
      <c r="T14" s="17">
        <f t="shared" si="6"/>
        <v>29</v>
      </c>
      <c r="U14" s="17">
        <f t="shared" si="6"/>
        <v>41</v>
      </c>
      <c r="V14" s="17">
        <f t="shared" si="6"/>
        <v>168</v>
      </c>
      <c r="W14" s="17">
        <f t="shared" si="6"/>
        <v>1</v>
      </c>
      <c r="X14" s="17">
        <f t="shared" si="6"/>
        <v>5</v>
      </c>
      <c r="Y14" s="17">
        <f t="shared" si="6"/>
        <v>21</v>
      </c>
      <c r="Z14" s="17">
        <f t="shared" si="6"/>
        <v>18</v>
      </c>
      <c r="AA14" s="17">
        <f t="shared" si="6"/>
        <v>7</v>
      </c>
      <c r="AB14" s="17">
        <f t="shared" si="6"/>
        <v>4</v>
      </c>
      <c r="AC14" s="17">
        <f t="shared" si="6"/>
        <v>626</v>
      </c>
      <c r="AD14" s="17">
        <f t="shared" si="6"/>
        <v>0</v>
      </c>
      <c r="AE14" s="31">
        <f t="shared" si="6"/>
        <v>485</v>
      </c>
      <c r="AF14" s="31">
        <f t="shared" si="6"/>
        <v>1111</v>
      </c>
    </row>
    <row r="15" spans="2:32" ht="23.1" customHeight="1" x14ac:dyDescent="0.25">
      <c r="B15" s="45" t="s">
        <v>42</v>
      </c>
      <c r="C15" s="50">
        <v>58</v>
      </c>
      <c r="D15" s="50">
        <v>5</v>
      </c>
      <c r="E15" s="50">
        <v>4</v>
      </c>
      <c r="F15" s="50">
        <v>48</v>
      </c>
      <c r="G15" s="50">
        <v>1</v>
      </c>
      <c r="H15" s="50">
        <v>1</v>
      </c>
      <c r="I15" s="50">
        <v>5</v>
      </c>
      <c r="J15" s="50">
        <v>1</v>
      </c>
      <c r="K15" s="50">
        <v>0</v>
      </c>
      <c r="L15" s="50">
        <v>1</v>
      </c>
      <c r="M15" s="50">
        <v>255</v>
      </c>
      <c r="N15" s="50">
        <v>0</v>
      </c>
      <c r="O15" s="15">
        <f t="shared" si="0"/>
        <v>124</v>
      </c>
      <c r="P15" s="15">
        <f t="shared" si="1"/>
        <v>379</v>
      </c>
      <c r="R15" s="1" t="s">
        <v>11</v>
      </c>
      <c r="S15" s="17">
        <f t="shared" ref="S15:AF15" si="7">SUM(C30:C33)</f>
        <v>270</v>
      </c>
      <c r="T15" s="17">
        <f t="shared" si="7"/>
        <v>10</v>
      </c>
      <c r="U15" s="17">
        <f t="shared" si="7"/>
        <v>31</v>
      </c>
      <c r="V15" s="17">
        <f t="shared" si="7"/>
        <v>208</v>
      </c>
      <c r="W15" s="17">
        <f t="shared" si="7"/>
        <v>2</v>
      </c>
      <c r="X15" s="17">
        <f t="shared" si="7"/>
        <v>1</v>
      </c>
      <c r="Y15" s="17">
        <f t="shared" si="7"/>
        <v>38</v>
      </c>
      <c r="Z15" s="17">
        <f t="shared" si="7"/>
        <v>16</v>
      </c>
      <c r="AA15" s="17">
        <f t="shared" si="7"/>
        <v>12</v>
      </c>
      <c r="AB15" s="17">
        <f t="shared" si="7"/>
        <v>7</v>
      </c>
      <c r="AC15" s="17">
        <f t="shared" si="7"/>
        <v>583</v>
      </c>
      <c r="AD15" s="17">
        <f t="shared" si="7"/>
        <v>0</v>
      </c>
      <c r="AE15" s="31">
        <f t="shared" si="7"/>
        <v>595</v>
      </c>
      <c r="AF15" s="31">
        <f t="shared" si="7"/>
        <v>1178</v>
      </c>
    </row>
    <row r="16" spans="2:32" ht="23.1" customHeight="1" x14ac:dyDescent="0.25">
      <c r="B16" s="45" t="s">
        <v>43</v>
      </c>
      <c r="C16" s="50">
        <v>68</v>
      </c>
      <c r="D16" s="50">
        <v>5</v>
      </c>
      <c r="E16" s="50">
        <v>4</v>
      </c>
      <c r="F16" s="50">
        <v>48</v>
      </c>
      <c r="G16" s="50">
        <v>1</v>
      </c>
      <c r="H16" s="50">
        <v>1</v>
      </c>
      <c r="I16" s="50">
        <v>9</v>
      </c>
      <c r="J16" s="50">
        <v>7</v>
      </c>
      <c r="K16" s="50">
        <v>4</v>
      </c>
      <c r="L16" s="50">
        <v>4</v>
      </c>
      <c r="M16" s="50">
        <v>245</v>
      </c>
      <c r="N16" s="50">
        <v>0</v>
      </c>
      <c r="O16" s="15">
        <f t="shared" si="0"/>
        <v>151</v>
      </c>
      <c r="P16" s="15">
        <f t="shared" si="1"/>
        <v>396</v>
      </c>
      <c r="R16" s="1" t="s">
        <v>12</v>
      </c>
      <c r="S16" s="17">
        <f t="shared" ref="S16:AF16" si="8">SUM(C34:C37)</f>
        <v>204</v>
      </c>
      <c r="T16" s="17">
        <f t="shared" si="8"/>
        <v>12</v>
      </c>
      <c r="U16" s="17">
        <f t="shared" si="8"/>
        <v>40</v>
      </c>
      <c r="V16" s="17">
        <f t="shared" si="8"/>
        <v>144</v>
      </c>
      <c r="W16" s="17">
        <f t="shared" si="8"/>
        <v>2</v>
      </c>
      <c r="X16" s="17">
        <f t="shared" si="8"/>
        <v>2</v>
      </c>
      <c r="Y16" s="17">
        <f t="shared" si="8"/>
        <v>30</v>
      </c>
      <c r="Z16" s="17">
        <f t="shared" si="8"/>
        <v>23</v>
      </c>
      <c r="AA16" s="17">
        <f t="shared" si="8"/>
        <v>12</v>
      </c>
      <c r="AB16" s="17">
        <f t="shared" si="8"/>
        <v>4</v>
      </c>
      <c r="AC16" s="17">
        <f t="shared" si="8"/>
        <v>488</v>
      </c>
      <c r="AD16" s="17">
        <f t="shared" si="8"/>
        <v>0</v>
      </c>
      <c r="AE16" s="31">
        <f t="shared" si="8"/>
        <v>473</v>
      </c>
      <c r="AF16" s="31">
        <f t="shared" si="8"/>
        <v>961</v>
      </c>
    </row>
    <row r="17" spans="2:32" ht="23.1" customHeight="1" x14ac:dyDescent="0.25">
      <c r="B17" s="45" t="s">
        <v>44</v>
      </c>
      <c r="C17" s="50">
        <v>65</v>
      </c>
      <c r="D17" s="50">
        <v>7</v>
      </c>
      <c r="E17" s="50">
        <v>10</v>
      </c>
      <c r="F17" s="50">
        <v>68</v>
      </c>
      <c r="G17" s="50">
        <v>1</v>
      </c>
      <c r="H17" s="50">
        <v>0</v>
      </c>
      <c r="I17" s="50">
        <v>6</v>
      </c>
      <c r="J17" s="50">
        <v>6</v>
      </c>
      <c r="K17" s="50">
        <v>0</v>
      </c>
      <c r="L17" s="50">
        <v>3</v>
      </c>
      <c r="M17" s="50">
        <v>180</v>
      </c>
      <c r="N17" s="50">
        <v>0</v>
      </c>
      <c r="O17" s="15">
        <f t="shared" si="0"/>
        <v>166</v>
      </c>
      <c r="P17" s="15">
        <f t="shared" si="1"/>
        <v>346</v>
      </c>
      <c r="R17" s="1" t="s">
        <v>13</v>
      </c>
      <c r="S17" s="17">
        <f t="shared" ref="S17:AF17" si="9">SUM(C38:C41)</f>
        <v>205</v>
      </c>
      <c r="T17" s="17">
        <f t="shared" si="9"/>
        <v>14</v>
      </c>
      <c r="U17" s="17">
        <f t="shared" si="9"/>
        <v>36</v>
      </c>
      <c r="V17" s="17">
        <f t="shared" si="9"/>
        <v>114</v>
      </c>
      <c r="W17" s="17">
        <f t="shared" si="9"/>
        <v>0</v>
      </c>
      <c r="X17" s="17">
        <f t="shared" si="9"/>
        <v>3</v>
      </c>
      <c r="Y17" s="17">
        <f t="shared" si="9"/>
        <v>38</v>
      </c>
      <c r="Z17" s="17">
        <f t="shared" si="9"/>
        <v>19</v>
      </c>
      <c r="AA17" s="17">
        <f t="shared" si="9"/>
        <v>2</v>
      </c>
      <c r="AB17" s="17">
        <f t="shared" si="9"/>
        <v>7</v>
      </c>
      <c r="AC17" s="17">
        <f t="shared" si="9"/>
        <v>516</v>
      </c>
      <c r="AD17" s="17">
        <f t="shared" si="9"/>
        <v>1</v>
      </c>
      <c r="AE17" s="31">
        <f t="shared" si="9"/>
        <v>439</v>
      </c>
      <c r="AF17" s="31">
        <f t="shared" si="9"/>
        <v>955</v>
      </c>
    </row>
    <row r="18" spans="2:32" ht="23.1" customHeight="1" x14ac:dyDescent="0.25">
      <c r="B18" s="45" t="s">
        <v>45</v>
      </c>
      <c r="C18" s="50">
        <v>42</v>
      </c>
      <c r="D18" s="50">
        <v>5</v>
      </c>
      <c r="E18" s="50">
        <v>5</v>
      </c>
      <c r="F18" s="50">
        <v>64</v>
      </c>
      <c r="G18" s="50">
        <v>3</v>
      </c>
      <c r="H18" s="50">
        <v>3</v>
      </c>
      <c r="I18" s="50">
        <v>7</v>
      </c>
      <c r="J18" s="50">
        <v>5</v>
      </c>
      <c r="K18" s="50">
        <v>0</v>
      </c>
      <c r="L18" s="50">
        <v>1</v>
      </c>
      <c r="M18" s="50">
        <v>186</v>
      </c>
      <c r="N18" s="50">
        <v>0</v>
      </c>
      <c r="O18" s="15">
        <f t="shared" si="0"/>
        <v>135</v>
      </c>
      <c r="P18" s="15">
        <f t="shared" si="1"/>
        <v>321</v>
      </c>
      <c r="R18" s="1" t="s">
        <v>14</v>
      </c>
      <c r="S18" s="17">
        <f t="shared" ref="S18:AF18" si="10">SUM(C42:C45)</f>
        <v>243</v>
      </c>
      <c r="T18" s="17">
        <f t="shared" si="10"/>
        <v>13</v>
      </c>
      <c r="U18" s="17">
        <f t="shared" si="10"/>
        <v>31</v>
      </c>
      <c r="V18" s="17">
        <f t="shared" si="10"/>
        <v>195</v>
      </c>
      <c r="W18" s="17">
        <f t="shared" si="10"/>
        <v>3</v>
      </c>
      <c r="X18" s="17">
        <f t="shared" si="10"/>
        <v>1</v>
      </c>
      <c r="Y18" s="17">
        <f t="shared" si="10"/>
        <v>34</v>
      </c>
      <c r="Z18" s="17">
        <f t="shared" si="10"/>
        <v>28</v>
      </c>
      <c r="AA18" s="17">
        <f t="shared" si="10"/>
        <v>6</v>
      </c>
      <c r="AB18" s="17">
        <f t="shared" si="10"/>
        <v>2</v>
      </c>
      <c r="AC18" s="17">
        <f t="shared" si="10"/>
        <v>698</v>
      </c>
      <c r="AD18" s="17">
        <f t="shared" si="10"/>
        <v>0</v>
      </c>
      <c r="AE18" s="31">
        <f t="shared" si="10"/>
        <v>556</v>
      </c>
      <c r="AF18" s="31">
        <f t="shared" si="10"/>
        <v>1254</v>
      </c>
    </row>
    <row r="19" spans="2:32" ht="23.1" customHeight="1" x14ac:dyDescent="0.25">
      <c r="B19" s="45" t="s">
        <v>46</v>
      </c>
      <c r="C19" s="50">
        <v>70</v>
      </c>
      <c r="D19" s="50">
        <v>8</v>
      </c>
      <c r="E19" s="50">
        <v>11</v>
      </c>
      <c r="F19" s="50">
        <v>77</v>
      </c>
      <c r="G19" s="50">
        <v>0</v>
      </c>
      <c r="H19" s="50">
        <v>1</v>
      </c>
      <c r="I19" s="50">
        <v>11</v>
      </c>
      <c r="J19" s="50">
        <v>2</v>
      </c>
      <c r="K19" s="50">
        <v>1</v>
      </c>
      <c r="L19" s="50">
        <v>1</v>
      </c>
      <c r="M19" s="50">
        <v>168</v>
      </c>
      <c r="N19" s="50">
        <v>0</v>
      </c>
      <c r="O19" s="15">
        <f t="shared" si="0"/>
        <v>182</v>
      </c>
      <c r="P19" s="15">
        <f t="shared" si="1"/>
        <v>350</v>
      </c>
      <c r="R19" s="1" t="s">
        <v>15</v>
      </c>
      <c r="S19" s="17">
        <f t="shared" ref="S19:AF19" si="11">SUM(C46:C49)</f>
        <v>210</v>
      </c>
      <c r="T19" s="17">
        <f t="shared" si="11"/>
        <v>32</v>
      </c>
      <c r="U19" s="17">
        <f t="shared" si="11"/>
        <v>33</v>
      </c>
      <c r="V19" s="17">
        <f t="shared" si="11"/>
        <v>149</v>
      </c>
      <c r="W19" s="17">
        <f t="shared" si="11"/>
        <v>5</v>
      </c>
      <c r="X19" s="17">
        <f t="shared" si="11"/>
        <v>1</v>
      </c>
      <c r="Y19" s="17">
        <f t="shared" si="11"/>
        <v>35</v>
      </c>
      <c r="Z19" s="17">
        <f t="shared" si="11"/>
        <v>21</v>
      </c>
      <c r="AA19" s="17">
        <f t="shared" si="11"/>
        <v>12</v>
      </c>
      <c r="AB19" s="17">
        <f t="shared" si="11"/>
        <v>4</v>
      </c>
      <c r="AC19" s="17">
        <f t="shared" si="11"/>
        <v>629</v>
      </c>
      <c r="AD19" s="17">
        <f t="shared" si="11"/>
        <v>0</v>
      </c>
      <c r="AE19" s="31">
        <f t="shared" si="11"/>
        <v>502</v>
      </c>
      <c r="AF19" s="31">
        <f t="shared" si="11"/>
        <v>1131</v>
      </c>
    </row>
    <row r="20" spans="2:32" ht="23.1" customHeight="1" x14ac:dyDescent="0.25">
      <c r="B20" s="45" t="s">
        <v>47</v>
      </c>
      <c r="C20" s="50">
        <v>95</v>
      </c>
      <c r="D20" s="50">
        <v>3</v>
      </c>
      <c r="E20" s="50">
        <v>11</v>
      </c>
      <c r="F20" s="50">
        <v>88</v>
      </c>
      <c r="G20" s="50">
        <v>1</v>
      </c>
      <c r="H20" s="50">
        <v>1</v>
      </c>
      <c r="I20" s="50">
        <v>7</v>
      </c>
      <c r="J20" s="50">
        <v>4</v>
      </c>
      <c r="K20" s="50">
        <v>2</v>
      </c>
      <c r="L20" s="50">
        <v>0</v>
      </c>
      <c r="M20" s="50">
        <v>187</v>
      </c>
      <c r="N20" s="50">
        <v>0</v>
      </c>
      <c r="O20" s="15">
        <f t="shared" si="0"/>
        <v>212</v>
      </c>
      <c r="P20" s="15">
        <f t="shared" si="1"/>
        <v>399</v>
      </c>
      <c r="R20" s="1" t="s">
        <v>16</v>
      </c>
      <c r="S20" s="17">
        <f t="shared" ref="S20:AF20" si="12">SUM(C50:C53)</f>
        <v>198</v>
      </c>
      <c r="T20" s="17">
        <f t="shared" si="12"/>
        <v>14</v>
      </c>
      <c r="U20" s="17">
        <f t="shared" si="12"/>
        <v>35</v>
      </c>
      <c r="V20" s="17">
        <f t="shared" si="12"/>
        <v>280</v>
      </c>
      <c r="W20" s="17">
        <f t="shared" si="12"/>
        <v>3</v>
      </c>
      <c r="X20" s="17">
        <f t="shared" si="12"/>
        <v>1</v>
      </c>
      <c r="Y20" s="17">
        <f t="shared" si="12"/>
        <v>55</v>
      </c>
      <c r="Z20" s="17">
        <f t="shared" si="12"/>
        <v>25</v>
      </c>
      <c r="AA20" s="17">
        <f t="shared" si="12"/>
        <v>10</v>
      </c>
      <c r="AB20" s="17">
        <f t="shared" si="12"/>
        <v>4</v>
      </c>
      <c r="AC20" s="17">
        <f t="shared" si="12"/>
        <v>742</v>
      </c>
      <c r="AD20" s="17">
        <f t="shared" si="12"/>
        <v>0</v>
      </c>
      <c r="AE20" s="31">
        <f t="shared" si="12"/>
        <v>625</v>
      </c>
      <c r="AF20" s="31">
        <f t="shared" si="12"/>
        <v>1367</v>
      </c>
    </row>
    <row r="21" spans="2:32" ht="23.1" customHeight="1" x14ac:dyDescent="0.25">
      <c r="B21" s="45" t="s">
        <v>48</v>
      </c>
      <c r="C21" s="50">
        <v>94</v>
      </c>
      <c r="D21" s="50">
        <v>6</v>
      </c>
      <c r="E21" s="50">
        <v>9</v>
      </c>
      <c r="F21" s="50">
        <v>83</v>
      </c>
      <c r="G21" s="50">
        <v>0</v>
      </c>
      <c r="H21" s="50">
        <v>0</v>
      </c>
      <c r="I21" s="50">
        <v>9</v>
      </c>
      <c r="J21" s="50">
        <v>5</v>
      </c>
      <c r="K21" s="50">
        <v>3</v>
      </c>
      <c r="L21" s="50">
        <v>0</v>
      </c>
      <c r="M21" s="50">
        <v>145</v>
      </c>
      <c r="N21" s="50">
        <v>0</v>
      </c>
      <c r="O21" s="15">
        <f t="shared" si="0"/>
        <v>209</v>
      </c>
      <c r="P21" s="15">
        <f t="shared" si="1"/>
        <v>354</v>
      </c>
      <c r="R21" s="36" t="s">
        <v>20</v>
      </c>
      <c r="S21" s="34">
        <f t="shared" ref="S21:AF21" si="13">SUM(C54:C57)</f>
        <v>237</v>
      </c>
      <c r="T21" s="17">
        <f t="shared" si="13"/>
        <v>19</v>
      </c>
      <c r="U21" s="17">
        <f t="shared" si="13"/>
        <v>24</v>
      </c>
      <c r="V21" s="17">
        <f t="shared" si="13"/>
        <v>289</v>
      </c>
      <c r="W21" s="17">
        <f t="shared" si="13"/>
        <v>8</v>
      </c>
      <c r="X21" s="17">
        <f t="shared" si="13"/>
        <v>7</v>
      </c>
      <c r="Y21" s="17">
        <f t="shared" si="13"/>
        <v>30</v>
      </c>
      <c r="Z21" s="17">
        <f t="shared" si="13"/>
        <v>16</v>
      </c>
      <c r="AA21" s="17">
        <f t="shared" si="13"/>
        <v>5</v>
      </c>
      <c r="AB21" s="17">
        <f t="shared" si="13"/>
        <v>4</v>
      </c>
      <c r="AC21" s="17">
        <f t="shared" si="13"/>
        <v>682</v>
      </c>
      <c r="AD21" s="17">
        <f t="shared" si="13"/>
        <v>0</v>
      </c>
      <c r="AE21" s="31">
        <f t="shared" si="13"/>
        <v>639</v>
      </c>
      <c r="AF21" s="31">
        <f t="shared" si="13"/>
        <v>1321</v>
      </c>
    </row>
    <row r="22" spans="2:32" ht="23.1" customHeight="1" x14ac:dyDescent="0.25">
      <c r="B22" s="45" t="s">
        <v>49</v>
      </c>
      <c r="C22" s="50">
        <v>88</v>
      </c>
      <c r="D22" s="50">
        <v>8</v>
      </c>
      <c r="E22" s="50">
        <v>11</v>
      </c>
      <c r="F22" s="50">
        <v>74</v>
      </c>
      <c r="G22" s="50">
        <v>2</v>
      </c>
      <c r="H22" s="50">
        <v>1</v>
      </c>
      <c r="I22" s="50">
        <v>5</v>
      </c>
      <c r="J22" s="50">
        <v>6</v>
      </c>
      <c r="K22" s="50">
        <v>1</v>
      </c>
      <c r="L22" s="50">
        <v>2</v>
      </c>
      <c r="M22" s="50">
        <v>225</v>
      </c>
      <c r="N22" s="50">
        <v>0</v>
      </c>
      <c r="O22" s="15">
        <f t="shared" si="0"/>
        <v>198</v>
      </c>
      <c r="P22" s="15">
        <f t="shared" si="1"/>
        <v>423</v>
      </c>
      <c r="R22" s="36" t="s">
        <v>146</v>
      </c>
      <c r="S22" s="34">
        <f>SUM(C58:C61)</f>
        <v>151</v>
      </c>
      <c r="T22" s="34">
        <f t="shared" ref="T22:AF22" si="14">SUM(D58:D61)</f>
        <v>13</v>
      </c>
      <c r="U22" s="34">
        <f t="shared" si="14"/>
        <v>18</v>
      </c>
      <c r="V22" s="34">
        <f t="shared" si="14"/>
        <v>176</v>
      </c>
      <c r="W22" s="34">
        <f t="shared" si="14"/>
        <v>7</v>
      </c>
      <c r="X22" s="34">
        <f t="shared" si="14"/>
        <v>7</v>
      </c>
      <c r="Y22" s="34">
        <f t="shared" si="14"/>
        <v>26</v>
      </c>
      <c r="Z22" s="34">
        <f t="shared" si="14"/>
        <v>21</v>
      </c>
      <c r="AA22" s="34">
        <f t="shared" si="14"/>
        <v>7</v>
      </c>
      <c r="AB22" s="34">
        <f t="shared" si="14"/>
        <v>7</v>
      </c>
      <c r="AC22" s="34">
        <f t="shared" si="14"/>
        <v>652</v>
      </c>
      <c r="AD22" s="34">
        <f t="shared" si="14"/>
        <v>0</v>
      </c>
      <c r="AE22" s="31">
        <f t="shared" si="14"/>
        <v>433</v>
      </c>
      <c r="AF22" s="31">
        <f t="shared" si="14"/>
        <v>1085</v>
      </c>
    </row>
    <row r="23" spans="2:32" ht="23.1" customHeight="1" x14ac:dyDescent="0.25">
      <c r="B23" s="45" t="s">
        <v>50</v>
      </c>
      <c r="C23" s="50">
        <v>105</v>
      </c>
      <c r="D23" s="50">
        <v>12</v>
      </c>
      <c r="E23" s="50">
        <v>8</v>
      </c>
      <c r="F23" s="50">
        <v>42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148</v>
      </c>
      <c r="N23" s="50">
        <v>0</v>
      </c>
      <c r="O23" s="15">
        <f t="shared" si="0"/>
        <v>170</v>
      </c>
      <c r="P23" s="15">
        <f t="shared" si="1"/>
        <v>318</v>
      </c>
      <c r="R23" s="36" t="s">
        <v>147</v>
      </c>
      <c r="S23" s="34">
        <f>SUM(C62:C65)</f>
        <v>73</v>
      </c>
      <c r="T23" s="34">
        <f t="shared" ref="T23:AF23" si="15">SUM(D62:D65)</f>
        <v>13</v>
      </c>
      <c r="U23" s="34">
        <f t="shared" si="15"/>
        <v>17</v>
      </c>
      <c r="V23" s="34">
        <f t="shared" si="15"/>
        <v>100</v>
      </c>
      <c r="W23" s="34">
        <f t="shared" si="15"/>
        <v>3</v>
      </c>
      <c r="X23" s="34">
        <f t="shared" si="15"/>
        <v>5</v>
      </c>
      <c r="Y23" s="34">
        <f t="shared" si="15"/>
        <v>21</v>
      </c>
      <c r="Z23" s="34">
        <f t="shared" si="15"/>
        <v>19</v>
      </c>
      <c r="AA23" s="34">
        <f t="shared" si="15"/>
        <v>10</v>
      </c>
      <c r="AB23" s="34">
        <f t="shared" si="15"/>
        <v>4</v>
      </c>
      <c r="AC23" s="34">
        <f t="shared" si="15"/>
        <v>789</v>
      </c>
      <c r="AD23" s="34">
        <f t="shared" si="15"/>
        <v>0</v>
      </c>
      <c r="AE23" s="31">
        <f t="shared" si="15"/>
        <v>265</v>
      </c>
      <c r="AF23" s="31">
        <f t="shared" si="15"/>
        <v>1054</v>
      </c>
    </row>
    <row r="24" spans="2:32" ht="23.1" customHeight="1" x14ac:dyDescent="0.25">
      <c r="B24" s="45" t="s">
        <v>51</v>
      </c>
      <c r="C24" s="50">
        <v>66</v>
      </c>
      <c r="D24" s="50">
        <v>11</v>
      </c>
      <c r="E24" s="50">
        <v>16</v>
      </c>
      <c r="F24" s="50">
        <v>58</v>
      </c>
      <c r="G24" s="50">
        <v>0</v>
      </c>
      <c r="H24" s="50">
        <v>0</v>
      </c>
      <c r="I24" s="50">
        <v>15</v>
      </c>
      <c r="J24" s="50">
        <v>9</v>
      </c>
      <c r="K24" s="50">
        <v>3</v>
      </c>
      <c r="L24" s="50">
        <v>2</v>
      </c>
      <c r="M24" s="50">
        <v>170</v>
      </c>
      <c r="N24" s="50">
        <v>0</v>
      </c>
      <c r="O24" s="15">
        <f t="shared" si="0"/>
        <v>180</v>
      </c>
      <c r="P24" s="15">
        <f t="shared" si="1"/>
        <v>350</v>
      </c>
      <c r="R24" s="36" t="s">
        <v>148</v>
      </c>
      <c r="S24" s="34">
        <f>SUM(C66:C69)</f>
        <v>114</v>
      </c>
      <c r="T24" s="34">
        <f t="shared" ref="T24:AF24" si="16">SUM(D66:D69)</f>
        <v>7</v>
      </c>
      <c r="U24" s="34">
        <f t="shared" si="16"/>
        <v>19</v>
      </c>
      <c r="V24" s="34">
        <f t="shared" si="16"/>
        <v>90</v>
      </c>
      <c r="W24" s="34">
        <f t="shared" si="16"/>
        <v>8</v>
      </c>
      <c r="X24" s="34">
        <f t="shared" si="16"/>
        <v>0</v>
      </c>
      <c r="Y24" s="34">
        <f t="shared" si="16"/>
        <v>16</v>
      </c>
      <c r="Z24" s="34">
        <f t="shared" si="16"/>
        <v>7</v>
      </c>
      <c r="AA24" s="34">
        <f t="shared" si="16"/>
        <v>2</v>
      </c>
      <c r="AB24" s="34">
        <f t="shared" si="16"/>
        <v>5</v>
      </c>
      <c r="AC24" s="34">
        <f t="shared" si="16"/>
        <v>522</v>
      </c>
      <c r="AD24" s="34">
        <f t="shared" si="16"/>
        <v>0</v>
      </c>
      <c r="AE24" s="31">
        <f t="shared" si="16"/>
        <v>268</v>
      </c>
      <c r="AF24" s="31">
        <f t="shared" si="16"/>
        <v>790</v>
      </c>
    </row>
    <row r="25" spans="2:32" ht="23.1" customHeight="1" x14ac:dyDescent="0.25">
      <c r="B25" s="45" t="s">
        <v>52</v>
      </c>
      <c r="C25" s="50">
        <v>61</v>
      </c>
      <c r="D25" s="50">
        <v>8</v>
      </c>
      <c r="E25" s="50">
        <v>5</v>
      </c>
      <c r="F25" s="50">
        <v>56</v>
      </c>
      <c r="G25" s="50">
        <v>2</v>
      </c>
      <c r="H25" s="50">
        <v>1</v>
      </c>
      <c r="I25" s="50">
        <v>7</v>
      </c>
      <c r="J25" s="50">
        <v>2</v>
      </c>
      <c r="K25" s="50">
        <v>1</v>
      </c>
      <c r="L25" s="50">
        <v>0</v>
      </c>
      <c r="M25" s="50">
        <v>177</v>
      </c>
      <c r="N25" s="50">
        <v>0</v>
      </c>
      <c r="O25" s="15">
        <f t="shared" si="0"/>
        <v>143</v>
      </c>
      <c r="P25" s="15">
        <f t="shared" si="1"/>
        <v>320</v>
      </c>
      <c r="R25" s="36" t="s">
        <v>149</v>
      </c>
      <c r="S25" s="34">
        <f>SUM(C70:C73)</f>
        <v>90</v>
      </c>
      <c r="T25" s="34">
        <f t="shared" ref="T25:AF25" si="17">SUM(D70:D73)</f>
        <v>4</v>
      </c>
      <c r="U25" s="34">
        <f t="shared" si="17"/>
        <v>18</v>
      </c>
      <c r="V25" s="34">
        <f t="shared" si="17"/>
        <v>52</v>
      </c>
      <c r="W25" s="34">
        <f t="shared" si="17"/>
        <v>1</v>
      </c>
      <c r="X25" s="34">
        <f t="shared" si="17"/>
        <v>0</v>
      </c>
      <c r="Y25" s="34">
        <f t="shared" si="17"/>
        <v>29</v>
      </c>
      <c r="Z25" s="34">
        <f t="shared" si="17"/>
        <v>19</v>
      </c>
      <c r="AA25" s="34">
        <f t="shared" si="17"/>
        <v>6</v>
      </c>
      <c r="AB25" s="34">
        <f t="shared" si="17"/>
        <v>2</v>
      </c>
      <c r="AC25" s="34">
        <f t="shared" si="17"/>
        <v>507</v>
      </c>
      <c r="AD25" s="34">
        <f t="shared" si="17"/>
        <v>0</v>
      </c>
      <c r="AE25" s="31">
        <f t="shared" si="17"/>
        <v>221</v>
      </c>
      <c r="AF25" s="31">
        <f t="shared" si="17"/>
        <v>728</v>
      </c>
    </row>
    <row r="26" spans="2:32" ht="23.1" customHeight="1" x14ac:dyDescent="0.25">
      <c r="B26" s="45" t="s">
        <v>53</v>
      </c>
      <c r="C26" s="50">
        <v>53</v>
      </c>
      <c r="D26" s="50">
        <v>13</v>
      </c>
      <c r="E26" s="50">
        <v>18</v>
      </c>
      <c r="F26" s="50">
        <v>65</v>
      </c>
      <c r="G26" s="50">
        <v>0</v>
      </c>
      <c r="H26" s="50">
        <v>1</v>
      </c>
      <c r="I26" s="50">
        <v>5</v>
      </c>
      <c r="J26" s="50">
        <v>3</v>
      </c>
      <c r="K26" s="50">
        <v>2</v>
      </c>
      <c r="L26" s="50">
        <v>0</v>
      </c>
      <c r="M26" s="50">
        <v>175</v>
      </c>
      <c r="N26" s="50">
        <v>0</v>
      </c>
      <c r="O26" s="15">
        <f t="shared" si="0"/>
        <v>160</v>
      </c>
      <c r="P26" s="15">
        <f t="shared" si="1"/>
        <v>335</v>
      </c>
      <c r="R26" s="36" t="s">
        <v>150</v>
      </c>
      <c r="S26" s="34">
        <f>SUM(C74:C77)</f>
        <v>81</v>
      </c>
      <c r="T26" s="34">
        <f t="shared" ref="T26:AF26" si="18">SUM(D74:D77)</f>
        <v>13</v>
      </c>
      <c r="U26" s="34">
        <f t="shared" si="18"/>
        <v>15</v>
      </c>
      <c r="V26" s="34">
        <f t="shared" si="18"/>
        <v>28</v>
      </c>
      <c r="W26" s="34">
        <f t="shared" si="18"/>
        <v>0</v>
      </c>
      <c r="X26" s="34">
        <f t="shared" si="18"/>
        <v>0</v>
      </c>
      <c r="Y26" s="34">
        <f t="shared" si="18"/>
        <v>17</v>
      </c>
      <c r="Z26" s="34">
        <f t="shared" si="18"/>
        <v>12</v>
      </c>
      <c r="AA26" s="34">
        <f t="shared" si="18"/>
        <v>5</v>
      </c>
      <c r="AB26" s="34">
        <f t="shared" si="18"/>
        <v>1</v>
      </c>
      <c r="AC26" s="34">
        <f t="shared" si="18"/>
        <v>344</v>
      </c>
      <c r="AD26" s="34">
        <f t="shared" si="18"/>
        <v>0</v>
      </c>
      <c r="AE26" s="31">
        <f t="shared" si="18"/>
        <v>172</v>
      </c>
      <c r="AF26" s="31">
        <f t="shared" si="18"/>
        <v>516</v>
      </c>
    </row>
    <row r="27" spans="2:32" ht="23.1" customHeight="1" x14ac:dyDescent="0.25">
      <c r="B27" s="45" t="s">
        <v>54</v>
      </c>
      <c r="C27" s="50">
        <v>48</v>
      </c>
      <c r="D27" s="50">
        <v>5</v>
      </c>
      <c r="E27" s="50">
        <v>8</v>
      </c>
      <c r="F27" s="50">
        <v>37</v>
      </c>
      <c r="G27" s="50">
        <v>0</v>
      </c>
      <c r="H27" s="50">
        <v>3</v>
      </c>
      <c r="I27" s="50">
        <v>2</v>
      </c>
      <c r="J27" s="50">
        <v>6</v>
      </c>
      <c r="K27" s="50">
        <v>3</v>
      </c>
      <c r="L27" s="50">
        <v>2</v>
      </c>
      <c r="M27" s="50">
        <v>132</v>
      </c>
      <c r="N27" s="50">
        <v>0</v>
      </c>
      <c r="O27" s="15">
        <f t="shared" si="0"/>
        <v>114</v>
      </c>
      <c r="P27" s="15">
        <f t="shared" si="1"/>
        <v>246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5</v>
      </c>
      <c r="AA27" s="34">
        <f t="shared" si="19"/>
        <v>2</v>
      </c>
      <c r="AB27" s="34">
        <f t="shared" si="19"/>
        <v>0</v>
      </c>
      <c r="AC27" s="34">
        <f t="shared" si="19"/>
        <v>134</v>
      </c>
      <c r="AD27" s="34">
        <f t="shared" si="19"/>
        <v>0</v>
      </c>
      <c r="AE27" s="31">
        <f t="shared" si="19"/>
        <v>13</v>
      </c>
      <c r="AF27" s="31">
        <f t="shared" si="19"/>
        <v>147</v>
      </c>
    </row>
    <row r="28" spans="2:32" ht="23.1" customHeight="1" x14ac:dyDescent="0.25">
      <c r="B28" s="45" t="s">
        <v>55</v>
      </c>
      <c r="C28" s="50">
        <v>52</v>
      </c>
      <c r="D28" s="50">
        <v>1</v>
      </c>
      <c r="E28" s="50">
        <v>6</v>
      </c>
      <c r="F28" s="50">
        <v>40</v>
      </c>
      <c r="G28" s="50">
        <v>0</v>
      </c>
      <c r="H28" s="50">
        <v>0</v>
      </c>
      <c r="I28" s="50">
        <v>5</v>
      </c>
      <c r="J28" s="50">
        <v>4</v>
      </c>
      <c r="K28" s="50">
        <v>1</v>
      </c>
      <c r="L28" s="50">
        <v>1</v>
      </c>
      <c r="M28" s="50">
        <v>181</v>
      </c>
      <c r="N28" s="50">
        <v>0</v>
      </c>
      <c r="O28" s="15">
        <f t="shared" si="0"/>
        <v>110</v>
      </c>
      <c r="P28" s="15">
        <f t="shared" si="1"/>
        <v>291</v>
      </c>
      <c r="R28" s="36" t="s">
        <v>152</v>
      </c>
      <c r="S28" s="34">
        <f>SUM(C82:C85)</f>
        <v>25</v>
      </c>
      <c r="T28" s="34">
        <f t="shared" ref="T28:AF28" si="20">SUM(D82:D85)</f>
        <v>1</v>
      </c>
      <c r="U28" s="34">
        <f t="shared" si="20"/>
        <v>5</v>
      </c>
      <c r="V28" s="34">
        <f t="shared" si="20"/>
        <v>12</v>
      </c>
      <c r="W28" s="34">
        <f t="shared" si="20"/>
        <v>1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2</v>
      </c>
      <c r="AB28" s="34">
        <f t="shared" si="20"/>
        <v>0</v>
      </c>
      <c r="AC28" s="34">
        <f t="shared" si="20"/>
        <v>137</v>
      </c>
      <c r="AD28" s="34">
        <f t="shared" si="20"/>
        <v>0</v>
      </c>
      <c r="AE28" s="31">
        <f t="shared" si="20"/>
        <v>48</v>
      </c>
      <c r="AF28" s="31">
        <f t="shared" si="20"/>
        <v>185</v>
      </c>
    </row>
    <row r="29" spans="2:32" ht="23.1" customHeight="1" x14ac:dyDescent="0.25">
      <c r="B29" s="45" t="s">
        <v>56</v>
      </c>
      <c r="C29" s="50">
        <v>38</v>
      </c>
      <c r="D29" s="50">
        <v>10</v>
      </c>
      <c r="E29" s="50">
        <v>9</v>
      </c>
      <c r="F29" s="50">
        <v>26</v>
      </c>
      <c r="G29" s="50">
        <v>1</v>
      </c>
      <c r="H29" s="50">
        <v>1</v>
      </c>
      <c r="I29" s="50">
        <v>9</v>
      </c>
      <c r="J29" s="50">
        <v>5</v>
      </c>
      <c r="K29" s="50">
        <v>1</v>
      </c>
      <c r="L29" s="50">
        <v>1</v>
      </c>
      <c r="M29" s="50">
        <v>138</v>
      </c>
      <c r="N29" s="50">
        <v>0</v>
      </c>
      <c r="O29" s="15">
        <f t="shared" si="0"/>
        <v>101</v>
      </c>
      <c r="P29" s="15">
        <f t="shared" si="1"/>
        <v>239</v>
      </c>
      <c r="R29" s="36" t="s">
        <v>153</v>
      </c>
      <c r="S29" s="34">
        <f>SUM(C86:C89)</f>
        <v>37</v>
      </c>
      <c r="T29" s="34">
        <f t="shared" ref="T29:AF29" si="21">SUM(D86:D89)</f>
        <v>5</v>
      </c>
      <c r="U29" s="34">
        <f t="shared" si="21"/>
        <v>10</v>
      </c>
      <c r="V29" s="34">
        <f t="shared" si="21"/>
        <v>6</v>
      </c>
      <c r="W29" s="34">
        <f t="shared" si="21"/>
        <v>0</v>
      </c>
      <c r="X29" s="34">
        <f t="shared" si="21"/>
        <v>0</v>
      </c>
      <c r="Y29" s="34">
        <f t="shared" si="21"/>
        <v>8</v>
      </c>
      <c r="Z29" s="34">
        <f t="shared" si="21"/>
        <v>3</v>
      </c>
      <c r="AA29" s="34">
        <f t="shared" si="21"/>
        <v>2</v>
      </c>
      <c r="AB29" s="34">
        <f t="shared" si="21"/>
        <v>0</v>
      </c>
      <c r="AC29" s="34">
        <f t="shared" si="21"/>
        <v>132</v>
      </c>
      <c r="AD29" s="34">
        <f t="shared" si="21"/>
        <v>0</v>
      </c>
      <c r="AE29" s="31">
        <f t="shared" si="21"/>
        <v>71</v>
      </c>
      <c r="AF29" s="31">
        <f t="shared" si="21"/>
        <v>203</v>
      </c>
    </row>
    <row r="30" spans="2:32" ht="23.1" customHeight="1" x14ac:dyDescent="0.25">
      <c r="B30" s="45" t="s">
        <v>57</v>
      </c>
      <c r="C30" s="50">
        <v>82</v>
      </c>
      <c r="D30" s="50">
        <v>5</v>
      </c>
      <c r="E30" s="50">
        <v>5</v>
      </c>
      <c r="F30" s="50">
        <v>45</v>
      </c>
      <c r="G30" s="50">
        <v>0</v>
      </c>
      <c r="H30" s="50">
        <v>1</v>
      </c>
      <c r="I30" s="50">
        <v>8</v>
      </c>
      <c r="J30" s="50">
        <v>5</v>
      </c>
      <c r="K30" s="50">
        <v>2</v>
      </c>
      <c r="L30" s="50">
        <v>2</v>
      </c>
      <c r="M30" s="50">
        <v>190</v>
      </c>
      <c r="N30" s="50">
        <v>0</v>
      </c>
      <c r="O30" s="15">
        <f t="shared" si="0"/>
        <v>155</v>
      </c>
      <c r="P30" s="15">
        <f t="shared" si="1"/>
        <v>345</v>
      </c>
      <c r="R30" s="36" t="s">
        <v>154</v>
      </c>
      <c r="S30" s="34">
        <f>SUM(C90:C93)</f>
        <v>21</v>
      </c>
      <c r="T30" s="34">
        <f t="shared" ref="T30:AF30" si="22">SUM(D90:D93)</f>
        <v>12</v>
      </c>
      <c r="U30" s="34">
        <f t="shared" si="22"/>
        <v>2</v>
      </c>
      <c r="V30" s="34">
        <f t="shared" si="22"/>
        <v>9</v>
      </c>
      <c r="W30" s="34">
        <f t="shared" si="22"/>
        <v>0</v>
      </c>
      <c r="X30" s="34">
        <f t="shared" si="22"/>
        <v>0</v>
      </c>
      <c r="Y30" s="34">
        <f t="shared" si="22"/>
        <v>10</v>
      </c>
      <c r="Z30" s="34">
        <f t="shared" si="22"/>
        <v>1</v>
      </c>
      <c r="AA30" s="34">
        <f t="shared" si="22"/>
        <v>0</v>
      </c>
      <c r="AB30" s="34">
        <f t="shared" si="22"/>
        <v>1</v>
      </c>
      <c r="AC30" s="34">
        <f t="shared" si="22"/>
        <v>114</v>
      </c>
      <c r="AD30" s="34">
        <f t="shared" si="22"/>
        <v>0</v>
      </c>
      <c r="AE30" s="31">
        <f t="shared" si="22"/>
        <v>56</v>
      </c>
      <c r="AF30" s="31">
        <f t="shared" si="22"/>
        <v>170</v>
      </c>
    </row>
    <row r="31" spans="2:32" ht="23.1" customHeight="1" x14ac:dyDescent="0.25">
      <c r="B31" s="46" t="s">
        <v>58</v>
      </c>
      <c r="C31" s="50">
        <v>65</v>
      </c>
      <c r="D31" s="50">
        <v>0</v>
      </c>
      <c r="E31" s="50">
        <v>5</v>
      </c>
      <c r="F31" s="50">
        <v>74</v>
      </c>
      <c r="G31" s="50">
        <v>0</v>
      </c>
      <c r="H31" s="50">
        <v>0</v>
      </c>
      <c r="I31" s="50">
        <v>17</v>
      </c>
      <c r="J31" s="50">
        <v>5</v>
      </c>
      <c r="K31" s="50">
        <v>6</v>
      </c>
      <c r="L31" s="50">
        <v>2</v>
      </c>
      <c r="M31" s="50">
        <v>122</v>
      </c>
      <c r="N31" s="50">
        <v>0</v>
      </c>
      <c r="O31" s="15">
        <f t="shared" si="0"/>
        <v>174</v>
      </c>
      <c r="P31" s="15">
        <f t="shared" si="1"/>
        <v>296</v>
      </c>
      <c r="R31" s="36" t="s">
        <v>155</v>
      </c>
      <c r="S31" s="34">
        <f>SUM(C94:C97)</f>
        <v>53</v>
      </c>
      <c r="T31" s="34">
        <f t="shared" ref="T31:AF31" si="23">SUM(D94:D97)</f>
        <v>4</v>
      </c>
      <c r="U31" s="34">
        <f t="shared" si="23"/>
        <v>6</v>
      </c>
      <c r="V31" s="34">
        <f t="shared" si="23"/>
        <v>24</v>
      </c>
      <c r="W31" s="34">
        <f t="shared" si="23"/>
        <v>0</v>
      </c>
      <c r="X31" s="34">
        <f t="shared" si="23"/>
        <v>1</v>
      </c>
      <c r="Y31" s="34">
        <f t="shared" si="23"/>
        <v>82</v>
      </c>
      <c r="Z31" s="34">
        <f t="shared" si="23"/>
        <v>18</v>
      </c>
      <c r="AA31" s="34">
        <f t="shared" si="23"/>
        <v>3</v>
      </c>
      <c r="AB31" s="34">
        <f t="shared" si="23"/>
        <v>0</v>
      </c>
      <c r="AC31" s="34">
        <f t="shared" si="23"/>
        <v>129</v>
      </c>
      <c r="AD31" s="34">
        <f t="shared" si="23"/>
        <v>0</v>
      </c>
      <c r="AE31" s="31">
        <f t="shared" si="23"/>
        <v>191</v>
      </c>
      <c r="AF31" s="31">
        <f t="shared" si="23"/>
        <v>320</v>
      </c>
    </row>
    <row r="32" spans="2:32" ht="23.1" customHeight="1" x14ac:dyDescent="0.25">
      <c r="B32" s="46" t="s">
        <v>59</v>
      </c>
      <c r="C32" s="50">
        <v>75</v>
      </c>
      <c r="D32" s="50">
        <v>2</v>
      </c>
      <c r="E32" s="50">
        <v>13</v>
      </c>
      <c r="F32" s="50">
        <v>61</v>
      </c>
      <c r="G32" s="50">
        <v>1</v>
      </c>
      <c r="H32" s="50">
        <v>0</v>
      </c>
      <c r="I32" s="50">
        <v>6</v>
      </c>
      <c r="J32" s="50">
        <v>2</v>
      </c>
      <c r="K32" s="50">
        <v>1</v>
      </c>
      <c r="L32" s="50">
        <v>0</v>
      </c>
      <c r="M32" s="50">
        <v>141</v>
      </c>
      <c r="N32" s="50">
        <v>0</v>
      </c>
      <c r="O32" s="15">
        <f t="shared" si="0"/>
        <v>161</v>
      </c>
      <c r="P32" s="15">
        <f t="shared" si="1"/>
        <v>302</v>
      </c>
      <c r="R32" s="33" t="s">
        <v>156</v>
      </c>
      <c r="S32" s="34">
        <f>SUM(C98:C101)</f>
        <v>30</v>
      </c>
      <c r="T32" s="34">
        <f t="shared" ref="T32:AF32" si="24">SUM(D98:D101)</f>
        <v>6</v>
      </c>
      <c r="U32" s="34">
        <f t="shared" si="24"/>
        <v>5</v>
      </c>
      <c r="V32" s="34">
        <f t="shared" si="24"/>
        <v>73</v>
      </c>
      <c r="W32" s="34">
        <f t="shared" si="24"/>
        <v>1</v>
      </c>
      <c r="X32" s="34">
        <f t="shared" si="24"/>
        <v>0</v>
      </c>
      <c r="Y32" s="34">
        <f t="shared" si="24"/>
        <v>5</v>
      </c>
      <c r="Z32" s="34">
        <f t="shared" si="24"/>
        <v>6</v>
      </c>
      <c r="AA32" s="34">
        <f t="shared" si="24"/>
        <v>3</v>
      </c>
      <c r="AB32" s="34">
        <f t="shared" si="24"/>
        <v>5</v>
      </c>
      <c r="AC32" s="34">
        <f t="shared" si="24"/>
        <v>527</v>
      </c>
      <c r="AD32" s="34">
        <f t="shared" si="24"/>
        <v>0</v>
      </c>
      <c r="AE32" s="31">
        <f t="shared" si="24"/>
        <v>134</v>
      </c>
      <c r="AF32" s="31">
        <f t="shared" si="24"/>
        <v>661</v>
      </c>
    </row>
    <row r="33" spans="2:32" ht="23.1" customHeight="1" x14ac:dyDescent="0.25">
      <c r="B33" s="45" t="s">
        <v>60</v>
      </c>
      <c r="C33" s="50">
        <v>48</v>
      </c>
      <c r="D33" s="50">
        <v>3</v>
      </c>
      <c r="E33" s="50">
        <v>8</v>
      </c>
      <c r="F33" s="50">
        <v>28</v>
      </c>
      <c r="G33" s="50">
        <v>1</v>
      </c>
      <c r="H33" s="50">
        <v>0</v>
      </c>
      <c r="I33" s="50">
        <v>7</v>
      </c>
      <c r="J33" s="50">
        <v>4</v>
      </c>
      <c r="K33" s="50">
        <v>3</v>
      </c>
      <c r="L33" s="50">
        <v>3</v>
      </c>
      <c r="M33" s="50">
        <v>130</v>
      </c>
      <c r="N33" s="50">
        <v>0</v>
      </c>
      <c r="O33" s="15">
        <f t="shared" si="0"/>
        <v>105</v>
      </c>
      <c r="P33" s="15">
        <f t="shared" si="1"/>
        <v>235</v>
      </c>
      <c r="R33" s="33" t="s">
        <v>157</v>
      </c>
      <c r="S33" s="34">
        <f>SUM(C102:C105)</f>
        <v>112</v>
      </c>
      <c r="T33" s="34">
        <f t="shared" ref="T33:AF33" si="25">SUM(D102:D105)</f>
        <v>19</v>
      </c>
      <c r="U33" s="34">
        <f t="shared" si="25"/>
        <v>23</v>
      </c>
      <c r="V33" s="34">
        <f t="shared" si="25"/>
        <v>191</v>
      </c>
      <c r="W33" s="34">
        <f t="shared" si="25"/>
        <v>3</v>
      </c>
      <c r="X33" s="34">
        <f t="shared" si="25"/>
        <v>1</v>
      </c>
      <c r="Y33" s="34">
        <f t="shared" si="25"/>
        <v>29</v>
      </c>
      <c r="Z33" s="34">
        <f t="shared" si="25"/>
        <v>16</v>
      </c>
      <c r="AA33" s="34">
        <f t="shared" si="25"/>
        <v>1</v>
      </c>
      <c r="AB33" s="34">
        <f t="shared" si="25"/>
        <v>0</v>
      </c>
      <c r="AC33" s="34">
        <f t="shared" si="25"/>
        <v>1030</v>
      </c>
      <c r="AD33" s="34">
        <f t="shared" si="25"/>
        <v>0</v>
      </c>
      <c r="AE33" s="31">
        <f t="shared" si="25"/>
        <v>395</v>
      </c>
      <c r="AF33" s="31">
        <f t="shared" si="25"/>
        <v>1425</v>
      </c>
    </row>
    <row r="34" spans="2:32" ht="23.1" customHeight="1" x14ac:dyDescent="0.25">
      <c r="B34" s="46" t="s">
        <v>61</v>
      </c>
      <c r="C34" s="50">
        <v>33</v>
      </c>
      <c r="D34" s="50">
        <v>3</v>
      </c>
      <c r="E34" s="50">
        <v>12</v>
      </c>
      <c r="F34" s="50">
        <v>37</v>
      </c>
      <c r="G34" s="50">
        <v>0</v>
      </c>
      <c r="H34" s="50">
        <v>1</v>
      </c>
      <c r="I34" s="50">
        <v>17</v>
      </c>
      <c r="J34" s="50">
        <v>4</v>
      </c>
      <c r="K34" s="50">
        <v>4</v>
      </c>
      <c r="L34" s="50">
        <v>1</v>
      </c>
      <c r="M34" s="50">
        <v>135</v>
      </c>
      <c r="N34" s="50">
        <v>0</v>
      </c>
      <c r="O34" s="15">
        <f t="shared" si="0"/>
        <v>112</v>
      </c>
      <c r="P34" s="15">
        <f t="shared" si="1"/>
        <v>247</v>
      </c>
      <c r="R34" s="38" t="s">
        <v>90</v>
      </c>
      <c r="S34" s="39">
        <f t="shared" ref="S34:AF34" si="26">MAX(S10:S12)</f>
        <v>301</v>
      </c>
      <c r="T34" s="39">
        <f t="shared" si="26"/>
        <v>23</v>
      </c>
      <c r="U34" s="39">
        <f t="shared" si="26"/>
        <v>36</v>
      </c>
      <c r="V34" s="39">
        <f t="shared" si="26"/>
        <v>312</v>
      </c>
      <c r="W34" s="39">
        <f t="shared" si="26"/>
        <v>8</v>
      </c>
      <c r="X34" s="39">
        <f t="shared" si="26"/>
        <v>6</v>
      </c>
      <c r="Y34" s="39">
        <f t="shared" si="26"/>
        <v>34</v>
      </c>
      <c r="Z34" s="39">
        <f t="shared" si="26"/>
        <v>19</v>
      </c>
      <c r="AA34" s="39">
        <f t="shared" si="26"/>
        <v>6</v>
      </c>
      <c r="AB34" s="39">
        <f t="shared" si="26"/>
        <v>9</v>
      </c>
      <c r="AC34" s="39">
        <f t="shared" si="26"/>
        <v>1136</v>
      </c>
      <c r="AD34" s="39">
        <f t="shared" si="26"/>
        <v>0</v>
      </c>
      <c r="AE34" s="40">
        <f t="shared" si="26"/>
        <v>738</v>
      </c>
      <c r="AF34" s="40">
        <f t="shared" si="26"/>
        <v>1583</v>
      </c>
    </row>
    <row r="35" spans="2:32" ht="23.1" customHeight="1" x14ac:dyDescent="0.25">
      <c r="B35" s="46" t="s">
        <v>62</v>
      </c>
      <c r="C35" s="50">
        <v>44</v>
      </c>
      <c r="D35" s="50">
        <v>3</v>
      </c>
      <c r="E35" s="50">
        <v>7</v>
      </c>
      <c r="F35" s="50">
        <v>36</v>
      </c>
      <c r="G35" s="50">
        <v>1</v>
      </c>
      <c r="H35" s="50">
        <v>1</v>
      </c>
      <c r="I35" s="50">
        <v>4</v>
      </c>
      <c r="J35" s="50">
        <v>8</v>
      </c>
      <c r="K35" s="50">
        <v>3</v>
      </c>
      <c r="L35" s="50">
        <v>2</v>
      </c>
      <c r="M35" s="50">
        <v>135</v>
      </c>
      <c r="N35" s="50">
        <v>0</v>
      </c>
      <c r="O35" s="15">
        <f t="shared" si="0"/>
        <v>109</v>
      </c>
      <c r="P35" s="15">
        <f t="shared" si="1"/>
        <v>244</v>
      </c>
      <c r="R35" s="38" t="s">
        <v>91</v>
      </c>
      <c r="S35" s="39">
        <f t="shared" ref="S35:AF35" si="27">MAX(S13:S18)</f>
        <v>320</v>
      </c>
      <c r="T35" s="39">
        <f t="shared" si="27"/>
        <v>39</v>
      </c>
      <c r="U35" s="39">
        <f t="shared" si="27"/>
        <v>41</v>
      </c>
      <c r="V35" s="39">
        <f t="shared" si="27"/>
        <v>230</v>
      </c>
      <c r="W35" s="39">
        <f t="shared" si="27"/>
        <v>4</v>
      </c>
      <c r="X35" s="39">
        <f t="shared" si="27"/>
        <v>5</v>
      </c>
      <c r="Y35" s="39">
        <f t="shared" si="27"/>
        <v>38</v>
      </c>
      <c r="Z35" s="39">
        <f t="shared" si="27"/>
        <v>28</v>
      </c>
      <c r="AA35" s="39">
        <f t="shared" si="27"/>
        <v>12</v>
      </c>
      <c r="AB35" s="39">
        <f t="shared" si="27"/>
        <v>7</v>
      </c>
      <c r="AC35" s="39">
        <f t="shared" si="27"/>
        <v>720</v>
      </c>
      <c r="AD35" s="39">
        <f t="shared" si="27"/>
        <v>1</v>
      </c>
      <c r="AE35" s="40">
        <f t="shared" si="27"/>
        <v>691</v>
      </c>
      <c r="AF35" s="40">
        <f t="shared" si="27"/>
        <v>1411</v>
      </c>
    </row>
    <row r="36" spans="2:32" ht="23.1" customHeight="1" x14ac:dyDescent="0.25">
      <c r="B36" s="46" t="s">
        <v>63</v>
      </c>
      <c r="C36" s="50">
        <v>69</v>
      </c>
      <c r="D36" s="50">
        <v>1</v>
      </c>
      <c r="E36" s="50">
        <v>9</v>
      </c>
      <c r="F36" s="50">
        <v>45</v>
      </c>
      <c r="G36" s="50">
        <v>1</v>
      </c>
      <c r="H36" s="50">
        <v>0</v>
      </c>
      <c r="I36" s="50">
        <v>6</v>
      </c>
      <c r="J36" s="50">
        <v>7</v>
      </c>
      <c r="K36" s="50">
        <v>4</v>
      </c>
      <c r="L36" s="50">
        <v>1</v>
      </c>
      <c r="M36" s="50">
        <v>118</v>
      </c>
      <c r="N36" s="50">
        <v>0</v>
      </c>
      <c r="O36" s="15">
        <f t="shared" si="0"/>
        <v>143</v>
      </c>
      <c r="P36" s="15">
        <f t="shared" si="1"/>
        <v>261</v>
      </c>
      <c r="R36" s="38" t="s">
        <v>92</v>
      </c>
      <c r="S36" s="39">
        <f t="shared" ref="S36:AF36" si="28">MAX(S19:S21)</f>
        <v>237</v>
      </c>
      <c r="T36" s="39">
        <f t="shared" si="28"/>
        <v>32</v>
      </c>
      <c r="U36" s="39">
        <f t="shared" si="28"/>
        <v>35</v>
      </c>
      <c r="V36" s="39">
        <f t="shared" si="28"/>
        <v>289</v>
      </c>
      <c r="W36" s="39">
        <f t="shared" si="28"/>
        <v>8</v>
      </c>
      <c r="X36" s="39">
        <f t="shared" si="28"/>
        <v>7</v>
      </c>
      <c r="Y36" s="39">
        <f t="shared" si="28"/>
        <v>55</v>
      </c>
      <c r="Z36" s="39">
        <f t="shared" si="28"/>
        <v>25</v>
      </c>
      <c r="AA36" s="39">
        <f t="shared" si="28"/>
        <v>12</v>
      </c>
      <c r="AB36" s="39">
        <f t="shared" si="28"/>
        <v>4</v>
      </c>
      <c r="AC36" s="39">
        <f t="shared" si="28"/>
        <v>742</v>
      </c>
      <c r="AD36" s="39">
        <f t="shared" si="28"/>
        <v>0</v>
      </c>
      <c r="AE36" s="40">
        <f t="shared" si="28"/>
        <v>639</v>
      </c>
      <c r="AF36" s="40">
        <f t="shared" si="28"/>
        <v>1367</v>
      </c>
    </row>
    <row r="37" spans="2:32" ht="23.1" customHeight="1" x14ac:dyDescent="0.25">
      <c r="B37" s="45" t="s">
        <v>64</v>
      </c>
      <c r="C37" s="50">
        <v>58</v>
      </c>
      <c r="D37" s="50">
        <v>5</v>
      </c>
      <c r="E37" s="50">
        <v>12</v>
      </c>
      <c r="F37" s="50">
        <v>26</v>
      </c>
      <c r="G37" s="50">
        <v>0</v>
      </c>
      <c r="H37" s="50">
        <v>0</v>
      </c>
      <c r="I37" s="50">
        <v>3</v>
      </c>
      <c r="J37" s="50">
        <v>4</v>
      </c>
      <c r="K37" s="50">
        <v>1</v>
      </c>
      <c r="L37" s="50">
        <v>0</v>
      </c>
      <c r="M37" s="50">
        <v>100</v>
      </c>
      <c r="N37" s="50">
        <v>0</v>
      </c>
      <c r="O37" s="15">
        <f t="shared" si="0"/>
        <v>109</v>
      </c>
      <c r="P37" s="15">
        <f t="shared" si="1"/>
        <v>209</v>
      </c>
      <c r="R37" s="37" t="s">
        <v>85</v>
      </c>
      <c r="S37" s="35">
        <f t="shared" ref="S37:AF37" si="29">SUM(S10:S12)</f>
        <v>733</v>
      </c>
      <c r="T37" s="16">
        <f t="shared" si="29"/>
        <v>64</v>
      </c>
      <c r="U37" s="16">
        <f t="shared" si="29"/>
        <v>82</v>
      </c>
      <c r="V37" s="16">
        <f t="shared" si="29"/>
        <v>660</v>
      </c>
      <c r="W37" s="16">
        <f t="shared" si="29"/>
        <v>15</v>
      </c>
      <c r="X37" s="16">
        <f t="shared" si="29"/>
        <v>13</v>
      </c>
      <c r="Y37" s="16">
        <f t="shared" si="29"/>
        <v>83</v>
      </c>
      <c r="Z37" s="16">
        <f t="shared" si="29"/>
        <v>48</v>
      </c>
      <c r="AA37" s="16">
        <f t="shared" si="29"/>
        <v>14</v>
      </c>
      <c r="AB37" s="16">
        <f t="shared" si="29"/>
        <v>15</v>
      </c>
      <c r="AC37" s="16">
        <f t="shared" si="29"/>
        <v>2689</v>
      </c>
      <c r="AD37" s="16">
        <f t="shared" si="29"/>
        <v>0</v>
      </c>
      <c r="AE37" s="32">
        <f t="shared" si="29"/>
        <v>1727</v>
      </c>
      <c r="AF37" s="32">
        <f t="shared" si="29"/>
        <v>4416</v>
      </c>
    </row>
    <row r="38" spans="2:32" ht="23.1" customHeight="1" x14ac:dyDescent="0.25">
      <c r="B38" s="46" t="s">
        <v>65</v>
      </c>
      <c r="C38" s="50">
        <v>45</v>
      </c>
      <c r="D38" s="50">
        <v>7</v>
      </c>
      <c r="E38" s="50">
        <v>5</v>
      </c>
      <c r="F38" s="50">
        <v>40</v>
      </c>
      <c r="G38" s="50">
        <v>0</v>
      </c>
      <c r="H38" s="50">
        <v>1</v>
      </c>
      <c r="I38" s="50">
        <v>8</v>
      </c>
      <c r="J38" s="50">
        <v>3</v>
      </c>
      <c r="K38" s="50">
        <v>0</v>
      </c>
      <c r="L38" s="50">
        <v>0</v>
      </c>
      <c r="M38" s="50">
        <v>112</v>
      </c>
      <c r="N38" s="50">
        <v>1</v>
      </c>
      <c r="O38" s="15">
        <f t="shared" si="0"/>
        <v>110</v>
      </c>
      <c r="P38" s="15">
        <f t="shared" si="1"/>
        <v>222</v>
      </c>
      <c r="R38" s="28" t="s">
        <v>86</v>
      </c>
      <c r="S38" s="16">
        <f t="shared" ref="S38:AF38" si="30">SUM(S13:S18)</f>
        <v>1433</v>
      </c>
      <c r="T38" s="16">
        <f t="shared" si="30"/>
        <v>117</v>
      </c>
      <c r="U38" s="16">
        <f t="shared" si="30"/>
        <v>219</v>
      </c>
      <c r="V38" s="16">
        <f t="shared" si="30"/>
        <v>1059</v>
      </c>
      <c r="W38" s="16">
        <f t="shared" si="30"/>
        <v>12</v>
      </c>
      <c r="X38" s="16">
        <f t="shared" si="30"/>
        <v>14</v>
      </c>
      <c r="Y38" s="16">
        <f t="shared" si="30"/>
        <v>190</v>
      </c>
      <c r="Z38" s="16">
        <f t="shared" si="30"/>
        <v>122</v>
      </c>
      <c r="AA38" s="16">
        <f t="shared" si="30"/>
        <v>44</v>
      </c>
      <c r="AB38" s="16">
        <f t="shared" si="30"/>
        <v>28</v>
      </c>
      <c r="AC38" s="16">
        <f t="shared" si="30"/>
        <v>3631</v>
      </c>
      <c r="AD38" s="16">
        <f t="shared" si="30"/>
        <v>1</v>
      </c>
      <c r="AE38" s="32">
        <f t="shared" si="30"/>
        <v>3239</v>
      </c>
      <c r="AF38" s="32">
        <f t="shared" si="30"/>
        <v>6870</v>
      </c>
    </row>
    <row r="39" spans="2:32" ht="23.1" customHeight="1" x14ac:dyDescent="0.25">
      <c r="B39" s="46" t="s">
        <v>66</v>
      </c>
      <c r="C39" s="50">
        <v>42</v>
      </c>
      <c r="D39" s="50">
        <v>3</v>
      </c>
      <c r="E39" s="50">
        <v>5</v>
      </c>
      <c r="F39" s="50">
        <v>15</v>
      </c>
      <c r="G39" s="50">
        <v>0</v>
      </c>
      <c r="H39" s="50">
        <v>1</v>
      </c>
      <c r="I39" s="50">
        <v>9</v>
      </c>
      <c r="J39" s="50">
        <v>4</v>
      </c>
      <c r="K39" s="50">
        <v>2</v>
      </c>
      <c r="L39" s="50">
        <v>5</v>
      </c>
      <c r="M39" s="50">
        <v>120</v>
      </c>
      <c r="N39" s="50">
        <v>0</v>
      </c>
      <c r="O39" s="15">
        <f t="shared" si="0"/>
        <v>86</v>
      </c>
      <c r="P39" s="15">
        <f t="shared" si="1"/>
        <v>206</v>
      </c>
      <c r="R39" s="29" t="s">
        <v>87</v>
      </c>
      <c r="S39" s="16">
        <f t="shared" ref="S39:AF39" si="31">SUM(S19:S21)</f>
        <v>645</v>
      </c>
      <c r="T39" s="16">
        <f t="shared" si="31"/>
        <v>65</v>
      </c>
      <c r="U39" s="16">
        <f t="shared" si="31"/>
        <v>92</v>
      </c>
      <c r="V39" s="16">
        <f t="shared" si="31"/>
        <v>718</v>
      </c>
      <c r="W39" s="16">
        <f t="shared" si="31"/>
        <v>16</v>
      </c>
      <c r="X39" s="16">
        <f t="shared" si="31"/>
        <v>9</v>
      </c>
      <c r="Y39" s="16">
        <f t="shared" si="31"/>
        <v>120</v>
      </c>
      <c r="Z39" s="16">
        <f t="shared" si="31"/>
        <v>62</v>
      </c>
      <c r="AA39" s="16">
        <f t="shared" si="31"/>
        <v>27</v>
      </c>
      <c r="AB39" s="16">
        <f t="shared" si="31"/>
        <v>12</v>
      </c>
      <c r="AC39" s="16">
        <f t="shared" si="31"/>
        <v>2053</v>
      </c>
      <c r="AD39" s="16">
        <f t="shared" si="31"/>
        <v>0</v>
      </c>
      <c r="AE39" s="32">
        <f t="shared" si="31"/>
        <v>1766</v>
      </c>
      <c r="AF39" s="32">
        <f t="shared" si="31"/>
        <v>3819</v>
      </c>
    </row>
    <row r="40" spans="2:32" ht="23.1" customHeight="1" x14ac:dyDescent="0.25">
      <c r="B40" s="46" t="s">
        <v>67</v>
      </c>
      <c r="C40" s="50">
        <v>64</v>
      </c>
      <c r="D40" s="50">
        <v>2</v>
      </c>
      <c r="E40" s="50">
        <v>12</v>
      </c>
      <c r="F40" s="50">
        <v>26</v>
      </c>
      <c r="G40" s="50">
        <v>0</v>
      </c>
      <c r="H40" s="50">
        <v>0</v>
      </c>
      <c r="I40" s="50">
        <v>8</v>
      </c>
      <c r="J40" s="50">
        <v>5</v>
      </c>
      <c r="K40" s="50">
        <v>0</v>
      </c>
      <c r="L40" s="50">
        <v>1</v>
      </c>
      <c r="M40" s="50">
        <v>173</v>
      </c>
      <c r="N40" s="50">
        <v>0</v>
      </c>
      <c r="O40" s="15">
        <f t="shared" si="0"/>
        <v>118</v>
      </c>
      <c r="P40" s="15">
        <f t="shared" si="1"/>
        <v>291</v>
      </c>
      <c r="R40" s="5" t="s">
        <v>17</v>
      </c>
      <c r="S40" s="16">
        <f t="shared" ref="S40:AF40" si="32">SUM(S10:S21)</f>
        <v>2811</v>
      </c>
      <c r="T40" s="16">
        <f t="shared" si="32"/>
        <v>246</v>
      </c>
      <c r="U40" s="16">
        <f t="shared" si="32"/>
        <v>393</v>
      </c>
      <c r="V40" s="16">
        <f t="shared" si="32"/>
        <v>2437</v>
      </c>
      <c r="W40" s="16">
        <f t="shared" si="32"/>
        <v>43</v>
      </c>
      <c r="X40" s="16">
        <f t="shared" si="32"/>
        <v>36</v>
      </c>
      <c r="Y40" s="16">
        <f t="shared" si="32"/>
        <v>393</v>
      </c>
      <c r="Z40" s="16">
        <f t="shared" si="32"/>
        <v>232</v>
      </c>
      <c r="AA40" s="16">
        <f t="shared" si="32"/>
        <v>85</v>
      </c>
      <c r="AB40" s="16">
        <f t="shared" si="32"/>
        <v>55</v>
      </c>
      <c r="AC40" s="16">
        <f t="shared" si="32"/>
        <v>8373</v>
      </c>
      <c r="AD40" s="16">
        <f t="shared" si="32"/>
        <v>1</v>
      </c>
      <c r="AE40" s="32">
        <f t="shared" si="32"/>
        <v>6732</v>
      </c>
      <c r="AF40" s="32">
        <f t="shared" si="32"/>
        <v>15105</v>
      </c>
    </row>
    <row r="41" spans="2:32" ht="23.1" customHeight="1" x14ac:dyDescent="0.25">
      <c r="B41" s="45" t="s">
        <v>68</v>
      </c>
      <c r="C41" s="50">
        <v>54</v>
      </c>
      <c r="D41" s="50">
        <v>2</v>
      </c>
      <c r="E41" s="50">
        <v>14</v>
      </c>
      <c r="F41" s="50">
        <v>33</v>
      </c>
      <c r="G41" s="50">
        <v>0</v>
      </c>
      <c r="H41" s="50">
        <v>1</v>
      </c>
      <c r="I41" s="50">
        <v>13</v>
      </c>
      <c r="J41" s="50">
        <v>7</v>
      </c>
      <c r="K41" s="50">
        <v>0</v>
      </c>
      <c r="L41" s="50">
        <v>1</v>
      </c>
      <c r="M41" s="50">
        <v>111</v>
      </c>
      <c r="N41" s="50">
        <v>0</v>
      </c>
      <c r="O41" s="15">
        <f t="shared" si="0"/>
        <v>125</v>
      </c>
      <c r="P41" s="15">
        <f t="shared" si="1"/>
        <v>236</v>
      </c>
      <c r="R41" s="5" t="s">
        <v>159</v>
      </c>
      <c r="S41" s="16">
        <f>SUM(S10:S33)</f>
        <v>3598</v>
      </c>
      <c r="T41" s="16">
        <f t="shared" ref="T41:AF41" si="33">SUM(T10:T33)</f>
        <v>343</v>
      </c>
      <c r="U41" s="16">
        <f t="shared" si="33"/>
        <v>531</v>
      </c>
      <c r="V41" s="16">
        <f t="shared" si="33"/>
        <v>3198</v>
      </c>
      <c r="W41" s="16">
        <f t="shared" si="33"/>
        <v>67</v>
      </c>
      <c r="X41" s="16">
        <f t="shared" si="33"/>
        <v>50</v>
      </c>
      <c r="Y41" s="16">
        <f t="shared" si="33"/>
        <v>644</v>
      </c>
      <c r="Z41" s="16">
        <f t="shared" si="33"/>
        <v>359</v>
      </c>
      <c r="AA41" s="16">
        <f t="shared" si="33"/>
        <v>128</v>
      </c>
      <c r="AB41" s="16">
        <f t="shared" si="33"/>
        <v>80</v>
      </c>
      <c r="AC41" s="16">
        <f t="shared" si="33"/>
        <v>13390</v>
      </c>
      <c r="AD41" s="16">
        <f t="shared" si="33"/>
        <v>1</v>
      </c>
      <c r="AE41" s="32">
        <f t="shared" si="33"/>
        <v>8999</v>
      </c>
      <c r="AF41" s="32">
        <f t="shared" si="33"/>
        <v>22389</v>
      </c>
    </row>
    <row r="42" spans="2:32" ht="23.1" customHeight="1" x14ac:dyDescent="0.25">
      <c r="B42" s="46" t="s">
        <v>69</v>
      </c>
      <c r="C42" s="50">
        <v>63</v>
      </c>
      <c r="D42" s="50">
        <v>3</v>
      </c>
      <c r="E42" s="50">
        <v>12</v>
      </c>
      <c r="F42" s="50">
        <v>55</v>
      </c>
      <c r="G42" s="50">
        <v>2</v>
      </c>
      <c r="H42" s="50">
        <v>0</v>
      </c>
      <c r="I42" s="50">
        <v>10</v>
      </c>
      <c r="J42" s="50">
        <v>5</v>
      </c>
      <c r="K42" s="50">
        <v>1</v>
      </c>
      <c r="L42" s="50">
        <v>0</v>
      </c>
      <c r="M42" s="50">
        <v>148</v>
      </c>
      <c r="N42" s="50">
        <v>0</v>
      </c>
      <c r="O42" s="15">
        <f t="shared" si="0"/>
        <v>151</v>
      </c>
      <c r="P42" s="15">
        <f t="shared" si="1"/>
        <v>299</v>
      </c>
      <c r="R42" s="5" t="s">
        <v>160</v>
      </c>
      <c r="S42" s="48">
        <f>S41/S40</f>
        <v>1.2799715403770899</v>
      </c>
      <c r="T42" s="48">
        <f t="shared" ref="T42:AF42" si="34">T41/T40</f>
        <v>1.3943089430894309</v>
      </c>
      <c r="U42" s="48">
        <f t="shared" si="34"/>
        <v>1.3511450381679388</v>
      </c>
      <c r="V42" s="48">
        <f t="shared" si="34"/>
        <v>1.3122691834222404</v>
      </c>
      <c r="W42" s="48">
        <f t="shared" si="34"/>
        <v>1.558139534883721</v>
      </c>
      <c r="X42" s="48">
        <f t="shared" si="34"/>
        <v>1.3888888888888888</v>
      </c>
      <c r="Y42" s="48">
        <f t="shared" si="34"/>
        <v>1.638676844783715</v>
      </c>
      <c r="Z42" s="48">
        <f t="shared" si="34"/>
        <v>1.5474137931034482</v>
      </c>
      <c r="AA42" s="48">
        <f t="shared" si="34"/>
        <v>1.5058823529411764</v>
      </c>
      <c r="AB42" s="48">
        <f t="shared" si="34"/>
        <v>1.4545454545454546</v>
      </c>
      <c r="AC42" s="48">
        <f t="shared" si="34"/>
        <v>1.5991878657589873</v>
      </c>
      <c r="AD42" s="48">
        <f t="shared" si="34"/>
        <v>1</v>
      </c>
      <c r="AE42" s="48">
        <f t="shared" si="34"/>
        <v>1.3367498514557339</v>
      </c>
      <c r="AF42" s="48">
        <f t="shared" si="34"/>
        <v>1.4822244289970208</v>
      </c>
    </row>
    <row r="43" spans="2:32" ht="23.1" customHeight="1" x14ac:dyDescent="0.25">
      <c r="B43" s="45" t="s">
        <v>70</v>
      </c>
      <c r="C43" s="50">
        <v>62</v>
      </c>
      <c r="D43" s="50">
        <v>6</v>
      </c>
      <c r="E43" s="50">
        <v>12</v>
      </c>
      <c r="F43" s="50">
        <v>65</v>
      </c>
      <c r="G43" s="50">
        <v>1</v>
      </c>
      <c r="H43" s="50">
        <v>0</v>
      </c>
      <c r="I43" s="50">
        <v>9</v>
      </c>
      <c r="J43" s="50">
        <v>11</v>
      </c>
      <c r="K43" s="50">
        <v>0</v>
      </c>
      <c r="L43" s="50">
        <v>1</v>
      </c>
      <c r="M43" s="50">
        <v>175</v>
      </c>
      <c r="N43" s="50">
        <v>0</v>
      </c>
      <c r="O43" s="15">
        <f t="shared" si="0"/>
        <v>167</v>
      </c>
      <c r="P43" s="15">
        <f t="shared" si="1"/>
        <v>342</v>
      </c>
    </row>
    <row r="44" spans="2:32" ht="23.1" customHeight="1" x14ac:dyDescent="0.25">
      <c r="B44" s="47" t="s">
        <v>71</v>
      </c>
      <c r="C44" s="50">
        <v>78</v>
      </c>
      <c r="D44" s="50">
        <v>1</v>
      </c>
      <c r="E44" s="50">
        <v>2</v>
      </c>
      <c r="F44" s="50">
        <v>50</v>
      </c>
      <c r="G44" s="50">
        <v>0</v>
      </c>
      <c r="H44" s="50">
        <v>1</v>
      </c>
      <c r="I44" s="50">
        <v>5</v>
      </c>
      <c r="J44" s="50">
        <v>7</v>
      </c>
      <c r="K44" s="50">
        <v>2</v>
      </c>
      <c r="L44" s="50">
        <v>1</v>
      </c>
      <c r="M44" s="50">
        <v>180</v>
      </c>
      <c r="N44" s="50">
        <v>0</v>
      </c>
      <c r="O44" s="15">
        <f t="shared" si="0"/>
        <v>147</v>
      </c>
      <c r="P44" s="15">
        <f t="shared" si="1"/>
        <v>327</v>
      </c>
    </row>
    <row r="45" spans="2:32" ht="23.1" customHeight="1" x14ac:dyDescent="0.25">
      <c r="B45" s="45" t="s">
        <v>72</v>
      </c>
      <c r="C45" s="50">
        <v>40</v>
      </c>
      <c r="D45" s="50">
        <v>3</v>
      </c>
      <c r="E45" s="50">
        <v>5</v>
      </c>
      <c r="F45" s="50">
        <v>25</v>
      </c>
      <c r="G45" s="50">
        <v>0</v>
      </c>
      <c r="H45" s="50">
        <v>0</v>
      </c>
      <c r="I45" s="50">
        <v>10</v>
      </c>
      <c r="J45" s="50">
        <v>5</v>
      </c>
      <c r="K45" s="50">
        <v>3</v>
      </c>
      <c r="L45" s="50">
        <v>0</v>
      </c>
      <c r="M45" s="50">
        <v>195</v>
      </c>
      <c r="N45" s="50">
        <v>0</v>
      </c>
      <c r="O45" s="15">
        <f t="shared" si="0"/>
        <v>91</v>
      </c>
      <c r="P45" s="15">
        <f t="shared" si="1"/>
        <v>286</v>
      </c>
    </row>
    <row r="46" spans="2:32" ht="23.1" customHeight="1" x14ac:dyDescent="0.25">
      <c r="B46" s="46" t="s">
        <v>73</v>
      </c>
      <c r="C46" s="50">
        <v>45</v>
      </c>
      <c r="D46" s="50">
        <v>6</v>
      </c>
      <c r="E46" s="50">
        <v>7</v>
      </c>
      <c r="F46" s="50">
        <v>23</v>
      </c>
      <c r="G46" s="50">
        <v>2</v>
      </c>
      <c r="H46" s="50">
        <v>1</v>
      </c>
      <c r="I46" s="50">
        <v>6</v>
      </c>
      <c r="J46" s="50">
        <v>3</v>
      </c>
      <c r="K46" s="50">
        <v>2</v>
      </c>
      <c r="L46" s="50">
        <v>1</v>
      </c>
      <c r="M46" s="50">
        <v>195</v>
      </c>
      <c r="N46" s="50">
        <v>0</v>
      </c>
      <c r="O46" s="15">
        <f t="shared" si="0"/>
        <v>96</v>
      </c>
      <c r="P46" s="15">
        <f t="shared" si="1"/>
        <v>291</v>
      </c>
      <c r="R46" s="8"/>
      <c r="T46"/>
    </row>
    <row r="47" spans="2:32" ht="23.1" customHeight="1" x14ac:dyDescent="0.25">
      <c r="B47" s="46" t="s">
        <v>74</v>
      </c>
      <c r="C47" s="50">
        <v>60</v>
      </c>
      <c r="D47" s="50">
        <v>11</v>
      </c>
      <c r="E47" s="50">
        <v>9</v>
      </c>
      <c r="F47" s="50">
        <v>46</v>
      </c>
      <c r="G47" s="50">
        <v>3</v>
      </c>
      <c r="H47" s="50">
        <v>0</v>
      </c>
      <c r="I47" s="50">
        <v>10</v>
      </c>
      <c r="J47" s="50">
        <v>7</v>
      </c>
      <c r="K47" s="50">
        <v>3</v>
      </c>
      <c r="L47" s="50">
        <v>2</v>
      </c>
      <c r="M47" s="50">
        <v>127</v>
      </c>
      <c r="N47" s="50">
        <v>0</v>
      </c>
      <c r="O47" s="15">
        <f t="shared" si="0"/>
        <v>151</v>
      </c>
      <c r="P47" s="15">
        <f t="shared" si="1"/>
        <v>278</v>
      </c>
      <c r="R47" s="8"/>
      <c r="T47"/>
    </row>
    <row r="48" spans="2:32" ht="23.1" customHeight="1" x14ac:dyDescent="0.25">
      <c r="B48" s="46" t="s">
        <v>75</v>
      </c>
      <c r="C48" s="50">
        <v>40</v>
      </c>
      <c r="D48" s="50">
        <v>4</v>
      </c>
      <c r="E48" s="50">
        <v>7</v>
      </c>
      <c r="F48" s="50">
        <v>27</v>
      </c>
      <c r="G48" s="50">
        <v>0</v>
      </c>
      <c r="H48" s="50">
        <v>0</v>
      </c>
      <c r="I48" s="50">
        <v>7</v>
      </c>
      <c r="J48" s="50">
        <v>6</v>
      </c>
      <c r="K48" s="50">
        <v>1</v>
      </c>
      <c r="L48" s="50">
        <v>0</v>
      </c>
      <c r="M48" s="50">
        <v>135</v>
      </c>
      <c r="N48" s="50">
        <v>0</v>
      </c>
      <c r="O48" s="15">
        <f t="shared" si="0"/>
        <v>92</v>
      </c>
      <c r="P48" s="15">
        <f t="shared" si="1"/>
        <v>227</v>
      </c>
      <c r="R48" s="8"/>
      <c r="T48"/>
    </row>
    <row r="49" spans="2:20" ht="23.1" customHeight="1" x14ac:dyDescent="0.25">
      <c r="B49" s="45" t="s">
        <v>76</v>
      </c>
      <c r="C49" s="50">
        <v>65</v>
      </c>
      <c r="D49" s="50">
        <v>11</v>
      </c>
      <c r="E49" s="50">
        <v>10</v>
      </c>
      <c r="F49" s="50">
        <v>53</v>
      </c>
      <c r="G49" s="50">
        <v>0</v>
      </c>
      <c r="H49" s="50">
        <v>0</v>
      </c>
      <c r="I49" s="50">
        <v>12</v>
      </c>
      <c r="J49" s="50">
        <v>5</v>
      </c>
      <c r="K49" s="50">
        <v>6</v>
      </c>
      <c r="L49" s="50">
        <v>1</v>
      </c>
      <c r="M49" s="50">
        <v>172</v>
      </c>
      <c r="N49" s="50">
        <v>0</v>
      </c>
      <c r="O49" s="15">
        <f t="shared" si="0"/>
        <v>163</v>
      </c>
      <c r="P49" s="15">
        <f t="shared" si="1"/>
        <v>335</v>
      </c>
      <c r="R49" s="8"/>
      <c r="T49"/>
    </row>
    <row r="50" spans="2:20" ht="23.1" customHeight="1" x14ac:dyDescent="0.25">
      <c r="B50" s="46" t="s">
        <v>77</v>
      </c>
      <c r="C50" s="50">
        <v>54</v>
      </c>
      <c r="D50" s="50">
        <v>4</v>
      </c>
      <c r="E50" s="50">
        <v>13</v>
      </c>
      <c r="F50" s="50">
        <v>49</v>
      </c>
      <c r="G50" s="50">
        <v>0</v>
      </c>
      <c r="H50" s="50">
        <v>0</v>
      </c>
      <c r="I50" s="50">
        <v>23</v>
      </c>
      <c r="J50" s="50">
        <v>12</v>
      </c>
      <c r="K50" s="50">
        <v>2</v>
      </c>
      <c r="L50" s="50">
        <v>1</v>
      </c>
      <c r="M50" s="50">
        <v>197</v>
      </c>
      <c r="N50" s="50">
        <v>0</v>
      </c>
      <c r="O50" s="15">
        <f t="shared" si="0"/>
        <v>158</v>
      </c>
      <c r="P50" s="15">
        <f t="shared" si="1"/>
        <v>355</v>
      </c>
      <c r="R50" s="8"/>
      <c r="T50"/>
    </row>
    <row r="51" spans="2:20" ht="23.1" customHeight="1" x14ac:dyDescent="0.25">
      <c r="B51" s="46" t="s">
        <v>78</v>
      </c>
      <c r="C51" s="50">
        <v>29</v>
      </c>
      <c r="D51" s="50">
        <v>1</v>
      </c>
      <c r="E51" s="50">
        <v>9</v>
      </c>
      <c r="F51" s="50">
        <v>65</v>
      </c>
      <c r="G51" s="50">
        <v>1</v>
      </c>
      <c r="H51" s="50">
        <v>0</v>
      </c>
      <c r="I51" s="50">
        <v>9</v>
      </c>
      <c r="J51" s="50">
        <v>3</v>
      </c>
      <c r="K51" s="50">
        <v>2</v>
      </c>
      <c r="L51" s="50">
        <v>0</v>
      </c>
      <c r="M51" s="50">
        <v>191</v>
      </c>
      <c r="N51" s="50">
        <v>0</v>
      </c>
      <c r="O51" s="15">
        <f t="shared" si="0"/>
        <v>119</v>
      </c>
      <c r="P51" s="15">
        <f t="shared" si="1"/>
        <v>310</v>
      </c>
      <c r="R51" s="8"/>
      <c r="T51"/>
    </row>
    <row r="52" spans="2:20" ht="23.1" customHeight="1" x14ac:dyDescent="0.25">
      <c r="B52" s="46" t="s">
        <v>79</v>
      </c>
      <c r="C52" s="50">
        <v>40</v>
      </c>
      <c r="D52" s="50">
        <v>2</v>
      </c>
      <c r="E52" s="50">
        <v>5</v>
      </c>
      <c r="F52" s="50">
        <v>82</v>
      </c>
      <c r="G52" s="50">
        <v>0</v>
      </c>
      <c r="H52" s="50">
        <v>0</v>
      </c>
      <c r="I52" s="50">
        <v>8</v>
      </c>
      <c r="J52" s="50">
        <v>7</v>
      </c>
      <c r="K52" s="50">
        <v>2</v>
      </c>
      <c r="L52" s="50">
        <v>0</v>
      </c>
      <c r="M52" s="50">
        <v>175</v>
      </c>
      <c r="N52" s="50">
        <v>0</v>
      </c>
      <c r="O52" s="15">
        <f t="shared" si="0"/>
        <v>146</v>
      </c>
      <c r="P52" s="15">
        <f t="shared" si="1"/>
        <v>321</v>
      </c>
      <c r="R52" s="8"/>
      <c r="T52"/>
    </row>
    <row r="53" spans="2:20" ht="23.1" customHeight="1" x14ac:dyDescent="0.25">
      <c r="B53" s="45" t="s">
        <v>80</v>
      </c>
      <c r="C53" s="50">
        <v>75</v>
      </c>
      <c r="D53" s="50">
        <v>7</v>
      </c>
      <c r="E53" s="50">
        <v>8</v>
      </c>
      <c r="F53" s="50">
        <v>84</v>
      </c>
      <c r="G53" s="50">
        <v>2</v>
      </c>
      <c r="H53" s="50">
        <v>1</v>
      </c>
      <c r="I53" s="50">
        <v>15</v>
      </c>
      <c r="J53" s="50">
        <v>3</v>
      </c>
      <c r="K53" s="50">
        <v>4</v>
      </c>
      <c r="L53" s="50">
        <v>3</v>
      </c>
      <c r="M53" s="50">
        <v>179</v>
      </c>
      <c r="N53" s="50">
        <v>0</v>
      </c>
      <c r="O53" s="15">
        <f t="shared" si="0"/>
        <v>202</v>
      </c>
      <c r="P53" s="15">
        <f t="shared" si="1"/>
        <v>381</v>
      </c>
      <c r="R53" s="8"/>
      <c r="T53"/>
    </row>
    <row r="54" spans="2:20" ht="23.1" customHeight="1" x14ac:dyDescent="0.25">
      <c r="B54" s="45" t="s">
        <v>81</v>
      </c>
      <c r="C54" s="50">
        <v>85</v>
      </c>
      <c r="D54" s="50">
        <v>6</v>
      </c>
      <c r="E54" s="50">
        <v>11</v>
      </c>
      <c r="F54" s="50">
        <v>87</v>
      </c>
      <c r="G54" s="50">
        <v>2</v>
      </c>
      <c r="H54" s="50">
        <v>2</v>
      </c>
      <c r="I54" s="50">
        <v>10</v>
      </c>
      <c r="J54" s="50">
        <v>7</v>
      </c>
      <c r="K54" s="50">
        <v>0</v>
      </c>
      <c r="L54" s="50">
        <v>2</v>
      </c>
      <c r="M54" s="50">
        <v>215</v>
      </c>
      <c r="N54" s="50">
        <v>0</v>
      </c>
      <c r="O54" s="15">
        <f t="shared" si="0"/>
        <v>212</v>
      </c>
      <c r="P54" s="15">
        <f t="shared" si="1"/>
        <v>427</v>
      </c>
      <c r="R54" s="8"/>
      <c r="T54"/>
    </row>
    <row r="55" spans="2:20" ht="23.1" customHeight="1" x14ac:dyDescent="0.25">
      <c r="B55" s="45" t="s">
        <v>82</v>
      </c>
      <c r="C55" s="50">
        <v>50</v>
      </c>
      <c r="D55" s="50">
        <v>6</v>
      </c>
      <c r="E55" s="50">
        <v>3</v>
      </c>
      <c r="F55" s="50">
        <v>83</v>
      </c>
      <c r="G55" s="50">
        <v>1</v>
      </c>
      <c r="H55" s="50">
        <v>0</v>
      </c>
      <c r="I55" s="50">
        <v>7</v>
      </c>
      <c r="J55" s="50">
        <v>4</v>
      </c>
      <c r="K55" s="50">
        <v>2</v>
      </c>
      <c r="L55" s="50">
        <v>0</v>
      </c>
      <c r="M55" s="50">
        <v>147</v>
      </c>
      <c r="N55" s="50">
        <v>0</v>
      </c>
      <c r="O55" s="15">
        <f t="shared" si="0"/>
        <v>156</v>
      </c>
      <c r="P55" s="15">
        <f t="shared" si="1"/>
        <v>303</v>
      </c>
      <c r="R55" s="8"/>
      <c r="T55"/>
    </row>
    <row r="56" spans="2:20" ht="23.1" customHeight="1" x14ac:dyDescent="0.25">
      <c r="B56" s="45" t="s">
        <v>83</v>
      </c>
      <c r="C56" s="50">
        <v>48</v>
      </c>
      <c r="D56" s="50">
        <v>5</v>
      </c>
      <c r="E56" s="50">
        <v>7</v>
      </c>
      <c r="F56" s="50">
        <v>47</v>
      </c>
      <c r="G56" s="50">
        <v>3</v>
      </c>
      <c r="H56" s="50">
        <v>3</v>
      </c>
      <c r="I56" s="50">
        <v>6</v>
      </c>
      <c r="J56" s="50">
        <v>2</v>
      </c>
      <c r="K56" s="50">
        <v>1</v>
      </c>
      <c r="L56" s="50">
        <v>1</v>
      </c>
      <c r="M56" s="50">
        <v>165</v>
      </c>
      <c r="N56" s="50">
        <v>0</v>
      </c>
      <c r="O56" s="15">
        <f t="shared" si="0"/>
        <v>123</v>
      </c>
      <c r="P56" s="15">
        <f t="shared" si="1"/>
        <v>288</v>
      </c>
      <c r="R56" s="8"/>
      <c r="T56"/>
    </row>
    <row r="57" spans="2:20" ht="23.1" customHeight="1" x14ac:dyDescent="0.25">
      <c r="B57" s="45" t="s">
        <v>84</v>
      </c>
      <c r="C57" s="50">
        <v>54</v>
      </c>
      <c r="D57" s="50">
        <v>2</v>
      </c>
      <c r="E57" s="50">
        <v>3</v>
      </c>
      <c r="F57" s="50">
        <v>72</v>
      </c>
      <c r="G57" s="50">
        <v>2</v>
      </c>
      <c r="H57" s="50">
        <v>2</v>
      </c>
      <c r="I57" s="50">
        <v>7</v>
      </c>
      <c r="J57" s="50">
        <v>3</v>
      </c>
      <c r="K57" s="50">
        <v>2</v>
      </c>
      <c r="L57" s="50">
        <v>1</v>
      </c>
      <c r="M57" s="50">
        <v>155</v>
      </c>
      <c r="N57" s="50">
        <v>0</v>
      </c>
      <c r="O57" s="15">
        <f t="shared" si="0"/>
        <v>148</v>
      </c>
      <c r="P57" s="15">
        <f t="shared" si="1"/>
        <v>303</v>
      </c>
      <c r="R57" s="8"/>
      <c r="T57"/>
    </row>
    <row r="58" spans="2:20" ht="23.1" customHeight="1" x14ac:dyDescent="0.25">
      <c r="B58" s="45" t="s">
        <v>99</v>
      </c>
      <c r="C58" s="50">
        <v>29</v>
      </c>
      <c r="D58" s="50">
        <v>5</v>
      </c>
      <c r="E58" s="50">
        <v>4</v>
      </c>
      <c r="F58" s="50">
        <v>54</v>
      </c>
      <c r="G58" s="50">
        <v>2</v>
      </c>
      <c r="H58" s="50">
        <v>2</v>
      </c>
      <c r="I58" s="50">
        <v>7</v>
      </c>
      <c r="J58" s="50">
        <v>3</v>
      </c>
      <c r="K58" s="50">
        <v>1</v>
      </c>
      <c r="L58" s="50">
        <v>4</v>
      </c>
      <c r="M58" s="50">
        <v>147</v>
      </c>
      <c r="N58" s="50">
        <v>0</v>
      </c>
      <c r="O58" s="15">
        <f t="shared" si="0"/>
        <v>111</v>
      </c>
      <c r="P58" s="15">
        <f t="shared" si="1"/>
        <v>258</v>
      </c>
      <c r="R58" s="8"/>
      <c r="T58"/>
    </row>
    <row r="59" spans="2:20" ht="23.1" customHeight="1" x14ac:dyDescent="0.25">
      <c r="B59" s="45" t="s">
        <v>100</v>
      </c>
      <c r="C59" s="50">
        <v>37</v>
      </c>
      <c r="D59" s="50">
        <v>2</v>
      </c>
      <c r="E59" s="50">
        <v>8</v>
      </c>
      <c r="F59" s="50">
        <v>42</v>
      </c>
      <c r="G59" s="50">
        <v>1</v>
      </c>
      <c r="H59" s="50">
        <v>3</v>
      </c>
      <c r="I59" s="50">
        <v>9</v>
      </c>
      <c r="J59" s="50">
        <v>8</v>
      </c>
      <c r="K59" s="50">
        <v>2</v>
      </c>
      <c r="L59" s="50">
        <v>2</v>
      </c>
      <c r="M59" s="50">
        <v>115</v>
      </c>
      <c r="N59" s="50">
        <v>0</v>
      </c>
      <c r="O59" s="15">
        <f t="shared" si="0"/>
        <v>114</v>
      </c>
      <c r="P59" s="15">
        <f t="shared" si="1"/>
        <v>229</v>
      </c>
      <c r="R59" s="8"/>
      <c r="T59"/>
    </row>
    <row r="60" spans="2:20" ht="23.1" customHeight="1" x14ac:dyDescent="0.25">
      <c r="B60" s="45" t="s">
        <v>101</v>
      </c>
      <c r="C60" s="50">
        <v>49</v>
      </c>
      <c r="D60" s="50">
        <v>6</v>
      </c>
      <c r="E60" s="50">
        <v>2</v>
      </c>
      <c r="F60" s="50">
        <v>49</v>
      </c>
      <c r="G60" s="50">
        <v>4</v>
      </c>
      <c r="H60" s="50">
        <v>1</v>
      </c>
      <c r="I60" s="50">
        <v>3</v>
      </c>
      <c r="J60" s="50">
        <v>6</v>
      </c>
      <c r="K60" s="50">
        <v>2</v>
      </c>
      <c r="L60" s="50">
        <v>1</v>
      </c>
      <c r="M60" s="50">
        <v>245</v>
      </c>
      <c r="N60" s="50">
        <v>0</v>
      </c>
      <c r="O60" s="15">
        <f t="shared" si="0"/>
        <v>123</v>
      </c>
      <c r="P60" s="15">
        <f t="shared" si="1"/>
        <v>368</v>
      </c>
      <c r="R60" s="8"/>
      <c r="T60"/>
    </row>
    <row r="61" spans="2:20" ht="23.1" customHeight="1" x14ac:dyDescent="0.25">
      <c r="B61" s="45" t="s">
        <v>102</v>
      </c>
      <c r="C61" s="50">
        <v>36</v>
      </c>
      <c r="D61" s="50">
        <v>0</v>
      </c>
      <c r="E61" s="50">
        <v>4</v>
      </c>
      <c r="F61" s="50">
        <v>31</v>
      </c>
      <c r="G61" s="50">
        <v>0</v>
      </c>
      <c r="H61" s="50">
        <v>1</v>
      </c>
      <c r="I61" s="50">
        <v>7</v>
      </c>
      <c r="J61" s="50">
        <v>4</v>
      </c>
      <c r="K61" s="50">
        <v>2</v>
      </c>
      <c r="L61" s="50">
        <v>0</v>
      </c>
      <c r="M61" s="50">
        <v>145</v>
      </c>
      <c r="N61" s="50">
        <v>0</v>
      </c>
      <c r="O61" s="15">
        <f t="shared" si="0"/>
        <v>85</v>
      </c>
      <c r="P61" s="15">
        <f t="shared" si="1"/>
        <v>230</v>
      </c>
      <c r="R61" s="8"/>
      <c r="T61"/>
    </row>
    <row r="62" spans="2:20" ht="23.1" customHeight="1" x14ac:dyDescent="0.25">
      <c r="B62" s="45" t="s">
        <v>107</v>
      </c>
      <c r="C62" s="50">
        <v>24</v>
      </c>
      <c r="D62" s="50">
        <v>2</v>
      </c>
      <c r="E62" s="50">
        <v>8</v>
      </c>
      <c r="F62" s="50">
        <v>28</v>
      </c>
      <c r="G62" s="50">
        <v>0</v>
      </c>
      <c r="H62" s="50">
        <v>3</v>
      </c>
      <c r="I62" s="50">
        <v>6</v>
      </c>
      <c r="J62" s="50">
        <v>3</v>
      </c>
      <c r="K62" s="50">
        <v>2</v>
      </c>
      <c r="L62" s="50">
        <v>0</v>
      </c>
      <c r="M62" s="50">
        <v>260</v>
      </c>
      <c r="N62" s="50">
        <v>0</v>
      </c>
      <c r="O62" s="15">
        <f t="shared" si="0"/>
        <v>76</v>
      </c>
      <c r="P62" s="15">
        <f t="shared" si="1"/>
        <v>336</v>
      </c>
      <c r="R62" s="8"/>
      <c r="T62"/>
    </row>
    <row r="63" spans="2:20" ht="23.1" customHeight="1" x14ac:dyDescent="0.25">
      <c r="B63" s="45" t="s">
        <v>108</v>
      </c>
      <c r="C63" s="50">
        <v>11</v>
      </c>
      <c r="D63" s="50">
        <v>5</v>
      </c>
      <c r="E63" s="50">
        <v>2</v>
      </c>
      <c r="F63" s="50">
        <v>20</v>
      </c>
      <c r="G63" s="50">
        <v>1</v>
      </c>
      <c r="H63" s="50">
        <v>2</v>
      </c>
      <c r="I63" s="50">
        <v>5</v>
      </c>
      <c r="J63" s="50">
        <v>4</v>
      </c>
      <c r="K63" s="50">
        <v>1</v>
      </c>
      <c r="L63" s="50">
        <v>0</v>
      </c>
      <c r="M63" s="50">
        <v>207</v>
      </c>
      <c r="N63" s="50">
        <v>0</v>
      </c>
      <c r="O63" s="15">
        <f t="shared" si="0"/>
        <v>51</v>
      </c>
      <c r="P63" s="15">
        <f t="shared" si="1"/>
        <v>258</v>
      </c>
      <c r="R63" s="8"/>
      <c r="T63"/>
    </row>
    <row r="64" spans="2:20" ht="23.1" customHeight="1" x14ac:dyDescent="0.25">
      <c r="B64" s="45" t="s">
        <v>109</v>
      </c>
      <c r="C64" s="50">
        <v>17</v>
      </c>
      <c r="D64" s="50">
        <v>4</v>
      </c>
      <c r="E64" s="50">
        <v>4</v>
      </c>
      <c r="F64" s="50">
        <v>17</v>
      </c>
      <c r="G64" s="50">
        <v>1</v>
      </c>
      <c r="H64" s="50">
        <v>0</v>
      </c>
      <c r="I64" s="50">
        <v>4</v>
      </c>
      <c r="J64" s="50">
        <v>5</v>
      </c>
      <c r="K64" s="50">
        <v>3</v>
      </c>
      <c r="L64" s="50">
        <v>2</v>
      </c>
      <c r="M64" s="50">
        <v>200</v>
      </c>
      <c r="N64" s="50">
        <v>0</v>
      </c>
      <c r="O64" s="15">
        <f t="shared" si="0"/>
        <v>57</v>
      </c>
      <c r="P64" s="15">
        <f t="shared" si="1"/>
        <v>257</v>
      </c>
      <c r="R64" s="8"/>
      <c r="T64"/>
    </row>
    <row r="65" spans="2:20" ht="23.1" customHeight="1" x14ac:dyDescent="0.25">
      <c r="B65" s="45" t="s">
        <v>158</v>
      </c>
      <c r="C65" s="50">
        <v>21</v>
      </c>
      <c r="D65" s="50">
        <v>2</v>
      </c>
      <c r="E65" s="50">
        <v>3</v>
      </c>
      <c r="F65" s="50">
        <v>35</v>
      </c>
      <c r="G65" s="50">
        <v>1</v>
      </c>
      <c r="H65" s="50">
        <v>0</v>
      </c>
      <c r="I65" s="50">
        <v>6</v>
      </c>
      <c r="J65" s="50">
        <v>7</v>
      </c>
      <c r="K65" s="50">
        <v>4</v>
      </c>
      <c r="L65" s="50">
        <v>2</v>
      </c>
      <c r="M65" s="50">
        <v>122</v>
      </c>
      <c r="N65" s="50">
        <v>0</v>
      </c>
      <c r="O65" s="15">
        <f t="shared" si="0"/>
        <v>81</v>
      </c>
      <c r="P65" s="15">
        <f t="shared" si="1"/>
        <v>203</v>
      </c>
      <c r="R65" s="8"/>
      <c r="T65"/>
    </row>
    <row r="66" spans="2:20" ht="23.1" customHeight="1" x14ac:dyDescent="0.25">
      <c r="B66" s="45" t="s">
        <v>103</v>
      </c>
      <c r="C66" s="50">
        <v>21</v>
      </c>
      <c r="D66" s="50">
        <v>1</v>
      </c>
      <c r="E66" s="50">
        <v>6</v>
      </c>
      <c r="F66" s="50">
        <v>23</v>
      </c>
      <c r="G66" s="50">
        <v>3</v>
      </c>
      <c r="H66" s="50">
        <v>0</v>
      </c>
      <c r="I66" s="50">
        <v>6</v>
      </c>
      <c r="J66" s="50">
        <v>3</v>
      </c>
      <c r="K66" s="50">
        <v>0</v>
      </c>
      <c r="L66" s="50">
        <v>1</v>
      </c>
      <c r="M66" s="50">
        <v>102</v>
      </c>
      <c r="N66" s="50">
        <v>0</v>
      </c>
      <c r="O66" s="15">
        <f t="shared" si="0"/>
        <v>64</v>
      </c>
      <c r="P66" s="15">
        <f t="shared" si="1"/>
        <v>166</v>
      </c>
      <c r="R66" s="8"/>
      <c r="T66"/>
    </row>
    <row r="67" spans="2:20" ht="23.1" customHeight="1" x14ac:dyDescent="0.25">
      <c r="B67" s="45" t="s">
        <v>104</v>
      </c>
      <c r="C67" s="50">
        <v>29</v>
      </c>
      <c r="D67" s="50">
        <v>3</v>
      </c>
      <c r="E67" s="50">
        <v>4</v>
      </c>
      <c r="F67" s="50">
        <v>26</v>
      </c>
      <c r="G67" s="50">
        <v>1</v>
      </c>
      <c r="H67" s="50">
        <v>0</v>
      </c>
      <c r="I67" s="50">
        <v>3</v>
      </c>
      <c r="J67" s="50">
        <v>1</v>
      </c>
      <c r="K67" s="50">
        <v>1</v>
      </c>
      <c r="L67" s="50">
        <v>1</v>
      </c>
      <c r="M67" s="50">
        <v>125</v>
      </c>
      <c r="N67" s="50">
        <v>0</v>
      </c>
      <c r="O67" s="15">
        <f t="shared" si="0"/>
        <v>69</v>
      </c>
      <c r="P67" s="15">
        <f t="shared" si="1"/>
        <v>194</v>
      </c>
      <c r="R67" s="8"/>
      <c r="T67"/>
    </row>
    <row r="68" spans="2:20" ht="23.1" customHeight="1" x14ac:dyDescent="0.25">
      <c r="B68" s="45" t="s">
        <v>105</v>
      </c>
      <c r="C68" s="50">
        <v>25</v>
      </c>
      <c r="D68" s="50">
        <v>0</v>
      </c>
      <c r="E68" s="50">
        <v>0</v>
      </c>
      <c r="F68" s="50">
        <v>23</v>
      </c>
      <c r="G68" s="50">
        <v>2</v>
      </c>
      <c r="H68" s="50">
        <v>0</v>
      </c>
      <c r="I68" s="50">
        <v>3</v>
      </c>
      <c r="J68" s="50">
        <v>1</v>
      </c>
      <c r="K68" s="50">
        <v>1</v>
      </c>
      <c r="L68" s="50">
        <v>3</v>
      </c>
      <c r="M68" s="50">
        <v>107</v>
      </c>
      <c r="N68" s="50">
        <v>0</v>
      </c>
      <c r="O68" s="15">
        <f t="shared" si="0"/>
        <v>58</v>
      </c>
      <c r="P68" s="15">
        <f t="shared" si="1"/>
        <v>165</v>
      </c>
      <c r="R68" s="8"/>
      <c r="T68"/>
    </row>
    <row r="69" spans="2:20" ht="23.1" customHeight="1" x14ac:dyDescent="0.25">
      <c r="B69" s="45" t="s">
        <v>106</v>
      </c>
      <c r="C69" s="50">
        <v>39</v>
      </c>
      <c r="D69" s="50">
        <v>3</v>
      </c>
      <c r="E69" s="50">
        <v>9</v>
      </c>
      <c r="F69" s="50">
        <v>18</v>
      </c>
      <c r="G69" s="50">
        <v>2</v>
      </c>
      <c r="H69" s="50">
        <v>0</v>
      </c>
      <c r="I69" s="50">
        <v>4</v>
      </c>
      <c r="J69" s="50">
        <v>2</v>
      </c>
      <c r="K69" s="50">
        <v>0</v>
      </c>
      <c r="L69" s="50">
        <v>0</v>
      </c>
      <c r="M69" s="50">
        <v>188</v>
      </c>
      <c r="N69" s="50">
        <v>0</v>
      </c>
      <c r="O69" s="15">
        <f t="shared" si="0"/>
        <v>77</v>
      </c>
      <c r="P69" s="15">
        <f t="shared" si="1"/>
        <v>265</v>
      </c>
      <c r="R69" s="8"/>
      <c r="T69"/>
    </row>
    <row r="70" spans="2:20" ht="23.1" customHeight="1" x14ac:dyDescent="0.25">
      <c r="B70" s="45" t="s">
        <v>110</v>
      </c>
      <c r="C70" s="50">
        <v>22</v>
      </c>
      <c r="D70" s="50">
        <v>0</v>
      </c>
      <c r="E70" s="50">
        <v>2</v>
      </c>
      <c r="F70" s="50">
        <v>18</v>
      </c>
      <c r="G70" s="50">
        <v>0</v>
      </c>
      <c r="H70" s="50">
        <v>0</v>
      </c>
      <c r="I70" s="50">
        <v>8</v>
      </c>
      <c r="J70" s="50">
        <v>6</v>
      </c>
      <c r="K70" s="50">
        <v>2</v>
      </c>
      <c r="L70" s="50">
        <v>1</v>
      </c>
      <c r="M70" s="50">
        <v>97</v>
      </c>
      <c r="N70" s="50">
        <v>0</v>
      </c>
      <c r="O70" s="15">
        <f t="shared" si="0"/>
        <v>59</v>
      </c>
      <c r="P70" s="15">
        <f t="shared" si="1"/>
        <v>156</v>
      </c>
      <c r="R70" s="8"/>
      <c r="T70"/>
    </row>
    <row r="71" spans="2:20" ht="23.1" customHeight="1" x14ac:dyDescent="0.25">
      <c r="B71" s="45" t="s">
        <v>111</v>
      </c>
      <c r="C71" s="50">
        <v>18</v>
      </c>
      <c r="D71" s="50">
        <v>1</v>
      </c>
      <c r="E71" s="50">
        <v>5</v>
      </c>
      <c r="F71" s="50">
        <v>10</v>
      </c>
      <c r="G71" s="50">
        <v>1</v>
      </c>
      <c r="H71" s="50">
        <v>0</v>
      </c>
      <c r="I71" s="50">
        <v>10</v>
      </c>
      <c r="J71" s="50">
        <v>7</v>
      </c>
      <c r="K71" s="50">
        <v>1</v>
      </c>
      <c r="L71" s="50">
        <v>0</v>
      </c>
      <c r="M71" s="50">
        <v>195</v>
      </c>
      <c r="N71" s="50">
        <v>0</v>
      </c>
      <c r="O71" s="15">
        <f t="shared" si="0"/>
        <v>53</v>
      </c>
      <c r="P71" s="15">
        <f t="shared" si="1"/>
        <v>248</v>
      </c>
      <c r="R71" s="8"/>
      <c r="T71"/>
    </row>
    <row r="72" spans="2:20" ht="23.1" customHeight="1" x14ac:dyDescent="0.25">
      <c r="B72" s="45" t="s">
        <v>112</v>
      </c>
      <c r="C72" s="50">
        <v>27</v>
      </c>
      <c r="D72" s="50">
        <v>0</v>
      </c>
      <c r="E72" s="50">
        <v>3</v>
      </c>
      <c r="F72" s="50">
        <v>7</v>
      </c>
      <c r="G72" s="50">
        <v>0</v>
      </c>
      <c r="H72" s="50">
        <v>0</v>
      </c>
      <c r="I72" s="50">
        <v>5</v>
      </c>
      <c r="J72" s="50">
        <v>1</v>
      </c>
      <c r="K72" s="50">
        <v>1</v>
      </c>
      <c r="L72" s="50">
        <v>0</v>
      </c>
      <c r="M72" s="50">
        <v>100</v>
      </c>
      <c r="N72" s="50">
        <v>0</v>
      </c>
      <c r="O72" s="15">
        <f t="shared" si="0"/>
        <v>44</v>
      </c>
      <c r="P72" s="15">
        <f t="shared" si="1"/>
        <v>144</v>
      </c>
      <c r="R72" s="8"/>
      <c r="T72"/>
    </row>
    <row r="73" spans="2:20" ht="23.1" customHeight="1" x14ac:dyDescent="0.25">
      <c r="B73" s="45" t="s">
        <v>113</v>
      </c>
      <c r="C73" s="50">
        <v>23</v>
      </c>
      <c r="D73" s="50">
        <v>3</v>
      </c>
      <c r="E73" s="50">
        <v>8</v>
      </c>
      <c r="F73" s="50">
        <v>17</v>
      </c>
      <c r="G73" s="50">
        <v>0</v>
      </c>
      <c r="H73" s="50">
        <v>0</v>
      </c>
      <c r="I73" s="50">
        <v>6</v>
      </c>
      <c r="J73" s="50">
        <v>5</v>
      </c>
      <c r="K73" s="50">
        <v>2</v>
      </c>
      <c r="L73" s="50">
        <v>1</v>
      </c>
      <c r="M73" s="50">
        <v>115</v>
      </c>
      <c r="N73" s="50">
        <v>0</v>
      </c>
      <c r="O73" s="15">
        <f t="shared" si="0"/>
        <v>65</v>
      </c>
      <c r="P73" s="15">
        <f t="shared" si="1"/>
        <v>180</v>
      </c>
      <c r="R73" s="8"/>
      <c r="T73"/>
    </row>
    <row r="74" spans="2:20" ht="23.1" customHeight="1" x14ac:dyDescent="0.25">
      <c r="B74" s="45" t="s">
        <v>114</v>
      </c>
      <c r="C74" s="50">
        <v>16</v>
      </c>
      <c r="D74" s="50">
        <v>2</v>
      </c>
      <c r="E74" s="50">
        <v>5</v>
      </c>
      <c r="F74" s="50">
        <v>5</v>
      </c>
      <c r="G74" s="50">
        <v>0</v>
      </c>
      <c r="H74" s="50">
        <v>0</v>
      </c>
      <c r="I74" s="50">
        <v>4</v>
      </c>
      <c r="J74" s="50">
        <v>4</v>
      </c>
      <c r="K74" s="50">
        <v>0</v>
      </c>
      <c r="L74" s="50">
        <v>0</v>
      </c>
      <c r="M74" s="50">
        <v>127</v>
      </c>
      <c r="N74" s="50">
        <v>0</v>
      </c>
      <c r="O74" s="15">
        <f t="shared" ref="O74:O105" si="35">SUM(C74:L74,N74)</f>
        <v>36</v>
      </c>
      <c r="P74" s="15">
        <f t="shared" ref="P74:P105" si="36">SUM(C74:N74)</f>
        <v>163</v>
      </c>
      <c r="R74" s="8"/>
      <c r="T74"/>
    </row>
    <row r="75" spans="2:20" ht="23.1" customHeight="1" x14ac:dyDescent="0.25">
      <c r="B75" s="45" t="s">
        <v>115</v>
      </c>
      <c r="C75" s="50">
        <v>22</v>
      </c>
      <c r="D75" s="50">
        <v>3</v>
      </c>
      <c r="E75" s="50">
        <v>5</v>
      </c>
      <c r="F75" s="50">
        <v>4</v>
      </c>
      <c r="G75" s="50">
        <v>0</v>
      </c>
      <c r="H75" s="50">
        <v>0</v>
      </c>
      <c r="I75" s="50">
        <v>1</v>
      </c>
      <c r="J75" s="50">
        <v>2</v>
      </c>
      <c r="K75" s="50">
        <v>1</v>
      </c>
      <c r="L75" s="50">
        <v>0</v>
      </c>
      <c r="M75" s="50">
        <v>70</v>
      </c>
      <c r="N75" s="50">
        <v>0</v>
      </c>
      <c r="O75" s="15">
        <f t="shared" si="35"/>
        <v>38</v>
      </c>
      <c r="P75" s="15">
        <f t="shared" si="36"/>
        <v>108</v>
      </c>
      <c r="R75" s="8"/>
      <c r="T75"/>
    </row>
    <row r="76" spans="2:20" ht="23.1" customHeight="1" x14ac:dyDescent="0.25">
      <c r="B76" s="45" t="s">
        <v>116</v>
      </c>
      <c r="C76" s="50">
        <v>20</v>
      </c>
      <c r="D76" s="50">
        <v>5</v>
      </c>
      <c r="E76" s="50">
        <v>0</v>
      </c>
      <c r="F76" s="50">
        <v>11</v>
      </c>
      <c r="G76" s="50">
        <v>0</v>
      </c>
      <c r="H76" s="50">
        <v>0</v>
      </c>
      <c r="I76" s="50">
        <v>10</v>
      </c>
      <c r="J76" s="50">
        <v>4</v>
      </c>
      <c r="K76" s="50">
        <v>1</v>
      </c>
      <c r="L76" s="50">
        <v>1</v>
      </c>
      <c r="M76" s="50">
        <v>80</v>
      </c>
      <c r="N76" s="50">
        <v>0</v>
      </c>
      <c r="O76" s="15">
        <f t="shared" si="35"/>
        <v>52</v>
      </c>
      <c r="P76" s="15">
        <f t="shared" si="36"/>
        <v>132</v>
      </c>
      <c r="R76" s="8"/>
      <c r="T76"/>
    </row>
    <row r="77" spans="2:20" ht="23.1" customHeight="1" x14ac:dyDescent="0.25">
      <c r="B77" s="45" t="s">
        <v>117</v>
      </c>
      <c r="C77" s="50">
        <v>23</v>
      </c>
      <c r="D77" s="50">
        <v>3</v>
      </c>
      <c r="E77" s="50">
        <v>5</v>
      </c>
      <c r="F77" s="50">
        <v>8</v>
      </c>
      <c r="G77" s="50">
        <v>0</v>
      </c>
      <c r="H77" s="50">
        <v>0</v>
      </c>
      <c r="I77" s="50">
        <v>2</v>
      </c>
      <c r="J77" s="50">
        <v>2</v>
      </c>
      <c r="K77" s="50">
        <v>3</v>
      </c>
      <c r="L77" s="50">
        <v>0</v>
      </c>
      <c r="M77" s="50">
        <v>67</v>
      </c>
      <c r="N77" s="50">
        <v>0</v>
      </c>
      <c r="O77" s="15">
        <f t="shared" si="35"/>
        <v>46</v>
      </c>
      <c r="P77" s="15">
        <f t="shared" si="36"/>
        <v>113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2</v>
      </c>
      <c r="K78" s="50">
        <v>0</v>
      </c>
      <c r="L78" s="50">
        <v>0</v>
      </c>
      <c r="M78" s="50">
        <v>42</v>
      </c>
      <c r="N78" s="50">
        <v>0</v>
      </c>
      <c r="O78" s="15">
        <f t="shared" si="35"/>
        <v>3</v>
      </c>
      <c r="P78" s="15">
        <f t="shared" si="36"/>
        <v>45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1</v>
      </c>
      <c r="K79" s="50">
        <v>0</v>
      </c>
      <c r="L79" s="50">
        <v>0</v>
      </c>
      <c r="M79" s="50">
        <v>35</v>
      </c>
      <c r="N79" s="50">
        <v>0</v>
      </c>
      <c r="O79" s="15">
        <f t="shared" si="35"/>
        <v>3</v>
      </c>
      <c r="P79" s="15">
        <f t="shared" si="36"/>
        <v>38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2</v>
      </c>
      <c r="J80" s="50">
        <v>2</v>
      </c>
      <c r="K80" s="50">
        <v>2</v>
      </c>
      <c r="L80" s="50">
        <v>0</v>
      </c>
      <c r="M80" s="50">
        <v>31</v>
      </c>
      <c r="N80" s="50">
        <v>0</v>
      </c>
      <c r="O80" s="15">
        <f t="shared" si="35"/>
        <v>6</v>
      </c>
      <c r="P80" s="15">
        <f t="shared" si="36"/>
        <v>37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26</v>
      </c>
      <c r="N81" s="50">
        <v>0</v>
      </c>
      <c r="O81" s="15">
        <f t="shared" si="35"/>
        <v>1</v>
      </c>
      <c r="P81" s="15">
        <f t="shared" si="36"/>
        <v>27</v>
      </c>
      <c r="R81" s="8"/>
      <c r="T81"/>
    </row>
    <row r="82" spans="2:20" ht="23.1" customHeight="1" x14ac:dyDescent="0.25">
      <c r="B82" s="46" t="s">
        <v>122</v>
      </c>
      <c r="C82" s="50">
        <v>9</v>
      </c>
      <c r="D82" s="50">
        <v>1</v>
      </c>
      <c r="E82" s="50">
        <v>2</v>
      </c>
      <c r="F82" s="50">
        <v>8</v>
      </c>
      <c r="G82" s="50">
        <v>0</v>
      </c>
      <c r="H82" s="50">
        <v>0</v>
      </c>
      <c r="I82" s="50">
        <v>1</v>
      </c>
      <c r="J82" s="50">
        <v>0</v>
      </c>
      <c r="K82" s="50">
        <v>1</v>
      </c>
      <c r="L82" s="50">
        <v>0</v>
      </c>
      <c r="M82" s="50">
        <v>28</v>
      </c>
      <c r="N82" s="50">
        <v>0</v>
      </c>
      <c r="O82" s="15">
        <f t="shared" si="35"/>
        <v>22</v>
      </c>
      <c r="P82" s="15">
        <f t="shared" si="36"/>
        <v>50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1</v>
      </c>
      <c r="F83" s="50">
        <v>1</v>
      </c>
      <c r="G83" s="50">
        <v>1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38</v>
      </c>
      <c r="N83" s="50">
        <v>0</v>
      </c>
      <c r="O83" s="15">
        <f t="shared" si="35"/>
        <v>8</v>
      </c>
      <c r="P83" s="15">
        <f t="shared" si="36"/>
        <v>46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0</v>
      </c>
      <c r="E84" s="50">
        <v>0</v>
      </c>
      <c r="F84" s="50">
        <v>3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38</v>
      </c>
      <c r="N84" s="50">
        <v>0</v>
      </c>
      <c r="O84" s="15">
        <f t="shared" si="35"/>
        <v>11</v>
      </c>
      <c r="P84" s="15">
        <f t="shared" si="36"/>
        <v>49</v>
      </c>
      <c r="R84" s="8"/>
      <c r="T84"/>
    </row>
    <row r="85" spans="2:20" ht="23.1" customHeight="1" x14ac:dyDescent="0.25">
      <c r="B85" s="45" t="s">
        <v>125</v>
      </c>
      <c r="C85" s="50">
        <v>5</v>
      </c>
      <c r="D85" s="50">
        <v>0</v>
      </c>
      <c r="E85" s="50">
        <v>2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33</v>
      </c>
      <c r="N85" s="50">
        <v>0</v>
      </c>
      <c r="O85" s="15">
        <f t="shared" si="35"/>
        <v>7</v>
      </c>
      <c r="P85" s="15">
        <f t="shared" si="36"/>
        <v>40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3</v>
      </c>
      <c r="J86" s="50">
        <v>1</v>
      </c>
      <c r="K86" s="50">
        <v>1</v>
      </c>
      <c r="L86" s="50">
        <v>0</v>
      </c>
      <c r="M86" s="50">
        <v>30</v>
      </c>
      <c r="N86" s="50">
        <v>0</v>
      </c>
      <c r="O86" s="15">
        <f t="shared" si="35"/>
        <v>13</v>
      </c>
      <c r="P86" s="15">
        <f t="shared" si="36"/>
        <v>43</v>
      </c>
      <c r="R86" s="8"/>
      <c r="T86"/>
    </row>
    <row r="87" spans="2:20" ht="23.1" customHeight="1" x14ac:dyDescent="0.25">
      <c r="B87" s="45" t="s">
        <v>127</v>
      </c>
      <c r="C87" s="50">
        <v>6</v>
      </c>
      <c r="D87" s="50">
        <v>1</v>
      </c>
      <c r="E87" s="50">
        <v>3</v>
      </c>
      <c r="F87" s="50">
        <v>1</v>
      </c>
      <c r="G87" s="50">
        <v>0</v>
      </c>
      <c r="H87" s="50">
        <v>0</v>
      </c>
      <c r="I87" s="50">
        <v>1</v>
      </c>
      <c r="J87" s="50">
        <v>1</v>
      </c>
      <c r="K87" s="50">
        <v>1</v>
      </c>
      <c r="L87" s="50">
        <v>0</v>
      </c>
      <c r="M87" s="50">
        <v>45</v>
      </c>
      <c r="N87" s="50">
        <v>0</v>
      </c>
      <c r="O87" s="15">
        <f t="shared" si="35"/>
        <v>14</v>
      </c>
      <c r="P87" s="15">
        <f t="shared" si="36"/>
        <v>59</v>
      </c>
      <c r="R87" s="8"/>
      <c r="T87"/>
    </row>
    <row r="88" spans="2:20" ht="23.1" customHeight="1" x14ac:dyDescent="0.25">
      <c r="B88" s="47" t="s">
        <v>128</v>
      </c>
      <c r="C88" s="50">
        <v>12</v>
      </c>
      <c r="D88" s="50">
        <v>1</v>
      </c>
      <c r="E88" s="50">
        <v>5</v>
      </c>
      <c r="F88" s="50">
        <v>3</v>
      </c>
      <c r="G88" s="50">
        <v>0</v>
      </c>
      <c r="H88" s="50">
        <v>0</v>
      </c>
      <c r="I88" s="50">
        <v>2</v>
      </c>
      <c r="J88" s="50">
        <v>1</v>
      </c>
      <c r="K88" s="50">
        <v>0</v>
      </c>
      <c r="L88" s="50">
        <v>0</v>
      </c>
      <c r="M88" s="50">
        <v>25</v>
      </c>
      <c r="N88" s="50">
        <v>0</v>
      </c>
      <c r="O88" s="15">
        <f t="shared" si="35"/>
        <v>24</v>
      </c>
      <c r="P88" s="15">
        <f t="shared" si="36"/>
        <v>49</v>
      </c>
      <c r="R88" s="8"/>
      <c r="T88"/>
    </row>
    <row r="89" spans="2:20" ht="23.1" customHeight="1" x14ac:dyDescent="0.25">
      <c r="B89" s="45" t="s">
        <v>129</v>
      </c>
      <c r="C89" s="50">
        <v>13</v>
      </c>
      <c r="D89" s="50">
        <v>3</v>
      </c>
      <c r="E89" s="50">
        <v>1</v>
      </c>
      <c r="F89" s="50">
        <v>1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0</v>
      </c>
      <c r="M89" s="50">
        <v>32</v>
      </c>
      <c r="N89" s="50">
        <v>0</v>
      </c>
      <c r="O89" s="15">
        <f t="shared" si="35"/>
        <v>20</v>
      </c>
      <c r="P89" s="15">
        <f t="shared" si="36"/>
        <v>52</v>
      </c>
      <c r="R89" s="8"/>
      <c r="T89"/>
    </row>
    <row r="90" spans="2:20" ht="23.1" customHeight="1" x14ac:dyDescent="0.25">
      <c r="B90" s="46" t="s">
        <v>130</v>
      </c>
      <c r="C90" s="50">
        <v>5</v>
      </c>
      <c r="D90" s="50">
        <v>5</v>
      </c>
      <c r="E90" s="50">
        <v>0</v>
      </c>
      <c r="F90" s="50">
        <v>1</v>
      </c>
      <c r="G90" s="50">
        <v>0</v>
      </c>
      <c r="H90" s="50">
        <v>0</v>
      </c>
      <c r="I90" s="50">
        <v>7</v>
      </c>
      <c r="J90" s="50">
        <v>0</v>
      </c>
      <c r="K90" s="50">
        <v>0</v>
      </c>
      <c r="L90" s="50">
        <v>0</v>
      </c>
      <c r="M90" s="50">
        <v>21</v>
      </c>
      <c r="N90" s="50">
        <v>0</v>
      </c>
      <c r="O90" s="15">
        <f t="shared" si="35"/>
        <v>18</v>
      </c>
      <c r="P90" s="15">
        <f t="shared" si="36"/>
        <v>39</v>
      </c>
      <c r="R90" s="8"/>
      <c r="T90"/>
    </row>
    <row r="91" spans="2:20" ht="23.1" customHeight="1" x14ac:dyDescent="0.25">
      <c r="B91" s="45" t="s">
        <v>131</v>
      </c>
      <c r="C91" s="50">
        <v>6</v>
      </c>
      <c r="D91" s="50">
        <v>5</v>
      </c>
      <c r="E91" s="50">
        <v>1</v>
      </c>
      <c r="F91" s="50">
        <v>3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0</v>
      </c>
      <c r="M91" s="50">
        <v>45</v>
      </c>
      <c r="N91" s="50">
        <v>0</v>
      </c>
      <c r="O91" s="15">
        <f t="shared" si="35"/>
        <v>17</v>
      </c>
      <c r="P91" s="15">
        <f t="shared" si="36"/>
        <v>62</v>
      </c>
      <c r="R91" s="8"/>
      <c r="T91"/>
    </row>
    <row r="92" spans="2:20" ht="23.1" customHeight="1" x14ac:dyDescent="0.25">
      <c r="B92" s="47" t="s">
        <v>132</v>
      </c>
      <c r="C92" s="50">
        <v>5</v>
      </c>
      <c r="D92" s="50">
        <v>2</v>
      </c>
      <c r="E92" s="50">
        <v>1</v>
      </c>
      <c r="F92" s="50">
        <v>2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38</v>
      </c>
      <c r="N92" s="50">
        <v>0</v>
      </c>
      <c r="O92" s="15">
        <f t="shared" si="35"/>
        <v>10</v>
      </c>
      <c r="P92" s="15">
        <f t="shared" si="36"/>
        <v>48</v>
      </c>
      <c r="R92" s="8"/>
      <c r="T92"/>
    </row>
    <row r="93" spans="2:20" ht="23.1" customHeight="1" x14ac:dyDescent="0.25">
      <c r="B93" s="45" t="s">
        <v>133</v>
      </c>
      <c r="C93" s="50">
        <v>5</v>
      </c>
      <c r="D93" s="50">
        <v>0</v>
      </c>
      <c r="E93" s="50">
        <v>0</v>
      </c>
      <c r="F93" s="50">
        <v>3</v>
      </c>
      <c r="G93" s="50">
        <v>0</v>
      </c>
      <c r="H93" s="50">
        <v>0</v>
      </c>
      <c r="I93" s="50">
        <v>1</v>
      </c>
      <c r="J93" s="50">
        <v>1</v>
      </c>
      <c r="K93" s="50">
        <v>0</v>
      </c>
      <c r="L93" s="50">
        <v>1</v>
      </c>
      <c r="M93" s="50">
        <v>10</v>
      </c>
      <c r="N93" s="50">
        <v>0</v>
      </c>
      <c r="O93" s="15">
        <f t="shared" si="35"/>
        <v>11</v>
      </c>
      <c r="P93" s="15">
        <f t="shared" si="36"/>
        <v>21</v>
      </c>
      <c r="R93" s="8"/>
      <c r="T93"/>
    </row>
    <row r="94" spans="2:20" ht="23.1" customHeight="1" x14ac:dyDescent="0.25">
      <c r="B94" s="46" t="s">
        <v>134</v>
      </c>
      <c r="C94" s="50">
        <v>15</v>
      </c>
      <c r="D94" s="50">
        <v>1</v>
      </c>
      <c r="E94" s="50">
        <v>2</v>
      </c>
      <c r="F94" s="50">
        <v>4</v>
      </c>
      <c r="G94" s="50">
        <v>0</v>
      </c>
      <c r="H94" s="50">
        <v>1</v>
      </c>
      <c r="I94" s="50">
        <v>4</v>
      </c>
      <c r="J94" s="50">
        <v>8</v>
      </c>
      <c r="K94" s="50">
        <v>0</v>
      </c>
      <c r="L94" s="50">
        <v>0</v>
      </c>
      <c r="M94" s="50">
        <v>27</v>
      </c>
      <c r="N94" s="50">
        <v>0</v>
      </c>
      <c r="O94" s="15">
        <f t="shared" si="35"/>
        <v>35</v>
      </c>
      <c r="P94" s="15">
        <f t="shared" si="36"/>
        <v>62</v>
      </c>
      <c r="R94" s="8"/>
      <c r="T94"/>
    </row>
    <row r="95" spans="2:20" ht="23.1" customHeight="1" x14ac:dyDescent="0.25">
      <c r="B95" s="45" t="s">
        <v>135</v>
      </c>
      <c r="C95" s="50">
        <v>10</v>
      </c>
      <c r="D95" s="50">
        <v>2</v>
      </c>
      <c r="E95" s="50">
        <v>1</v>
      </c>
      <c r="F95" s="50">
        <v>4</v>
      </c>
      <c r="G95" s="50">
        <v>0</v>
      </c>
      <c r="H95" s="50">
        <v>0</v>
      </c>
      <c r="I95" s="50">
        <v>3</v>
      </c>
      <c r="J95" s="50">
        <v>2</v>
      </c>
      <c r="K95" s="50">
        <v>0</v>
      </c>
      <c r="L95" s="50">
        <v>0</v>
      </c>
      <c r="M95" s="50">
        <v>25</v>
      </c>
      <c r="N95" s="50">
        <v>0</v>
      </c>
      <c r="O95" s="15">
        <f t="shared" si="35"/>
        <v>22</v>
      </c>
      <c r="P95" s="15">
        <f t="shared" si="36"/>
        <v>47</v>
      </c>
      <c r="R95" s="8"/>
      <c r="T95"/>
    </row>
    <row r="96" spans="2:20" ht="23.1" customHeight="1" x14ac:dyDescent="0.25">
      <c r="B96" s="47" t="s">
        <v>136</v>
      </c>
      <c r="C96" s="50">
        <v>21</v>
      </c>
      <c r="D96" s="50">
        <v>1</v>
      </c>
      <c r="E96" s="50">
        <v>2</v>
      </c>
      <c r="F96" s="50">
        <v>9</v>
      </c>
      <c r="G96" s="50">
        <v>0</v>
      </c>
      <c r="H96" s="50">
        <v>0</v>
      </c>
      <c r="I96" s="50">
        <v>70</v>
      </c>
      <c r="J96" s="50">
        <v>4</v>
      </c>
      <c r="K96" s="50">
        <v>2</v>
      </c>
      <c r="L96" s="50">
        <v>0</v>
      </c>
      <c r="M96" s="50">
        <v>35</v>
      </c>
      <c r="N96" s="50">
        <v>0</v>
      </c>
      <c r="O96" s="15">
        <f t="shared" si="35"/>
        <v>109</v>
      </c>
      <c r="P96" s="15">
        <f t="shared" si="36"/>
        <v>144</v>
      </c>
      <c r="R96" s="8"/>
      <c r="T96"/>
    </row>
    <row r="97" spans="2:20" ht="23.1" customHeight="1" x14ac:dyDescent="0.25">
      <c r="B97" s="45" t="s">
        <v>137</v>
      </c>
      <c r="C97" s="50">
        <v>7</v>
      </c>
      <c r="D97" s="50">
        <v>0</v>
      </c>
      <c r="E97" s="50">
        <v>1</v>
      </c>
      <c r="F97" s="50">
        <v>7</v>
      </c>
      <c r="G97" s="50">
        <v>0</v>
      </c>
      <c r="H97" s="50">
        <v>0</v>
      </c>
      <c r="I97" s="50">
        <v>5</v>
      </c>
      <c r="J97" s="50">
        <v>4</v>
      </c>
      <c r="K97" s="50">
        <v>1</v>
      </c>
      <c r="L97" s="50">
        <v>0</v>
      </c>
      <c r="M97" s="50">
        <v>42</v>
      </c>
      <c r="N97" s="50">
        <v>0</v>
      </c>
      <c r="O97" s="15">
        <f t="shared" si="35"/>
        <v>25</v>
      </c>
      <c r="P97" s="15">
        <f t="shared" si="36"/>
        <v>67</v>
      </c>
      <c r="R97" s="8"/>
      <c r="T97"/>
    </row>
    <row r="98" spans="2:20" ht="23.1" customHeight="1" x14ac:dyDescent="0.25">
      <c r="B98" s="46" t="s">
        <v>138</v>
      </c>
      <c r="C98" s="50">
        <v>6</v>
      </c>
      <c r="D98" s="50">
        <v>0</v>
      </c>
      <c r="E98" s="50">
        <v>0</v>
      </c>
      <c r="F98" s="50">
        <v>13</v>
      </c>
      <c r="G98" s="50">
        <v>0</v>
      </c>
      <c r="H98" s="50">
        <v>0</v>
      </c>
      <c r="I98" s="50">
        <v>4</v>
      </c>
      <c r="J98" s="50">
        <v>3</v>
      </c>
      <c r="K98" s="50">
        <v>0</v>
      </c>
      <c r="L98" s="50">
        <v>3</v>
      </c>
      <c r="M98" s="50">
        <v>132</v>
      </c>
      <c r="N98" s="50">
        <v>0</v>
      </c>
      <c r="O98" s="15">
        <f t="shared" si="35"/>
        <v>29</v>
      </c>
      <c r="P98" s="15">
        <f t="shared" si="36"/>
        <v>161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0</v>
      </c>
      <c r="E99" s="50">
        <v>0</v>
      </c>
      <c r="F99" s="50">
        <v>15</v>
      </c>
      <c r="G99" s="50">
        <v>1</v>
      </c>
      <c r="H99" s="50">
        <v>0</v>
      </c>
      <c r="I99" s="50">
        <v>0</v>
      </c>
      <c r="J99" s="50">
        <v>1</v>
      </c>
      <c r="K99" s="50">
        <v>1</v>
      </c>
      <c r="L99" s="50">
        <v>2</v>
      </c>
      <c r="M99" s="50">
        <v>125</v>
      </c>
      <c r="N99" s="50">
        <v>0</v>
      </c>
      <c r="O99" s="15">
        <f t="shared" si="35"/>
        <v>28</v>
      </c>
      <c r="P99" s="15">
        <f t="shared" si="36"/>
        <v>153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2</v>
      </c>
      <c r="F100" s="50">
        <v>21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137</v>
      </c>
      <c r="N100" s="50">
        <v>0</v>
      </c>
      <c r="O100" s="15">
        <f t="shared" si="35"/>
        <v>26</v>
      </c>
      <c r="P100" s="15">
        <f t="shared" si="36"/>
        <v>163</v>
      </c>
      <c r="R100" s="8"/>
      <c r="T100"/>
    </row>
    <row r="101" spans="2:20" ht="23.1" customHeight="1" x14ac:dyDescent="0.25">
      <c r="B101" s="45" t="s">
        <v>141</v>
      </c>
      <c r="C101" s="50">
        <v>14</v>
      </c>
      <c r="D101" s="50">
        <v>6</v>
      </c>
      <c r="E101" s="50">
        <v>3</v>
      </c>
      <c r="F101" s="50">
        <v>24</v>
      </c>
      <c r="G101" s="50">
        <v>0</v>
      </c>
      <c r="H101" s="50">
        <v>0</v>
      </c>
      <c r="I101" s="50">
        <v>1</v>
      </c>
      <c r="J101" s="50">
        <v>1</v>
      </c>
      <c r="K101" s="50">
        <v>2</v>
      </c>
      <c r="L101" s="50">
        <v>0</v>
      </c>
      <c r="M101" s="50">
        <v>133</v>
      </c>
      <c r="N101" s="50">
        <v>0</v>
      </c>
      <c r="O101" s="15">
        <f t="shared" si="35"/>
        <v>51</v>
      </c>
      <c r="P101" s="15">
        <f t="shared" si="36"/>
        <v>184</v>
      </c>
      <c r="R101" s="8"/>
      <c r="T101"/>
    </row>
    <row r="102" spans="2:20" ht="23.1" customHeight="1" x14ac:dyDescent="0.25">
      <c r="B102" s="46" t="s">
        <v>142</v>
      </c>
      <c r="C102" s="50">
        <v>30</v>
      </c>
      <c r="D102" s="50">
        <v>6</v>
      </c>
      <c r="E102" s="50">
        <v>12</v>
      </c>
      <c r="F102" s="50">
        <v>44</v>
      </c>
      <c r="G102" s="50">
        <v>1</v>
      </c>
      <c r="H102" s="50">
        <v>0</v>
      </c>
      <c r="I102" s="50">
        <v>7</v>
      </c>
      <c r="J102" s="50">
        <v>5</v>
      </c>
      <c r="K102" s="50">
        <v>1</v>
      </c>
      <c r="L102" s="50">
        <v>0</v>
      </c>
      <c r="M102" s="50">
        <v>200</v>
      </c>
      <c r="N102" s="50">
        <v>0</v>
      </c>
      <c r="O102" s="15">
        <f t="shared" si="35"/>
        <v>106</v>
      </c>
      <c r="P102" s="15">
        <f t="shared" si="36"/>
        <v>306</v>
      </c>
      <c r="R102" s="8"/>
      <c r="T102"/>
    </row>
    <row r="103" spans="2:20" ht="23.1" customHeight="1" x14ac:dyDescent="0.25">
      <c r="B103" s="45" t="s">
        <v>143</v>
      </c>
      <c r="C103" s="50">
        <v>24</v>
      </c>
      <c r="D103" s="50">
        <v>3</v>
      </c>
      <c r="E103" s="50">
        <v>2</v>
      </c>
      <c r="F103" s="50">
        <v>53</v>
      </c>
      <c r="G103" s="50">
        <v>1</v>
      </c>
      <c r="H103" s="50">
        <v>0</v>
      </c>
      <c r="I103" s="50">
        <v>4</v>
      </c>
      <c r="J103" s="50">
        <v>5</v>
      </c>
      <c r="K103" s="50">
        <v>0</v>
      </c>
      <c r="L103" s="50">
        <v>0</v>
      </c>
      <c r="M103" s="50">
        <v>255</v>
      </c>
      <c r="N103" s="50">
        <v>0</v>
      </c>
      <c r="O103" s="15">
        <f t="shared" si="35"/>
        <v>92</v>
      </c>
      <c r="P103" s="15">
        <f t="shared" si="36"/>
        <v>347</v>
      </c>
      <c r="R103" s="8"/>
      <c r="T103"/>
    </row>
    <row r="104" spans="2:20" ht="23.1" customHeight="1" x14ac:dyDescent="0.25">
      <c r="B104" s="47" t="s">
        <v>144</v>
      </c>
      <c r="C104" s="50">
        <v>22</v>
      </c>
      <c r="D104" s="50">
        <v>6</v>
      </c>
      <c r="E104" s="50">
        <v>5</v>
      </c>
      <c r="F104" s="50">
        <v>44</v>
      </c>
      <c r="G104" s="50">
        <v>0</v>
      </c>
      <c r="H104" s="50">
        <v>0</v>
      </c>
      <c r="I104" s="50">
        <v>7</v>
      </c>
      <c r="J104" s="50">
        <v>2</v>
      </c>
      <c r="K104" s="50">
        <v>0</v>
      </c>
      <c r="L104" s="50">
        <v>0</v>
      </c>
      <c r="M104" s="50">
        <v>243</v>
      </c>
      <c r="N104" s="50">
        <v>0</v>
      </c>
      <c r="O104" s="15">
        <f t="shared" si="35"/>
        <v>86</v>
      </c>
      <c r="P104" s="15">
        <f t="shared" si="36"/>
        <v>329</v>
      </c>
      <c r="R104" s="8"/>
      <c r="T104"/>
    </row>
    <row r="105" spans="2:20" ht="23.1" customHeight="1" x14ac:dyDescent="0.25">
      <c r="B105" s="45" t="s">
        <v>145</v>
      </c>
      <c r="C105" s="50">
        <v>36</v>
      </c>
      <c r="D105" s="50">
        <v>4</v>
      </c>
      <c r="E105" s="50">
        <v>4</v>
      </c>
      <c r="F105" s="50">
        <v>50</v>
      </c>
      <c r="G105" s="50">
        <v>1</v>
      </c>
      <c r="H105" s="50">
        <v>1</v>
      </c>
      <c r="I105" s="50">
        <v>11</v>
      </c>
      <c r="J105" s="50">
        <v>4</v>
      </c>
      <c r="K105" s="50">
        <v>0</v>
      </c>
      <c r="L105" s="50">
        <v>0</v>
      </c>
      <c r="M105" s="50">
        <v>332</v>
      </c>
      <c r="N105" s="50">
        <v>0</v>
      </c>
      <c r="O105" s="15">
        <f t="shared" si="35"/>
        <v>111</v>
      </c>
      <c r="P105" s="15">
        <f t="shared" si="36"/>
        <v>443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3598</v>
      </c>
      <c r="D106" s="16">
        <f t="shared" ref="D106:P106" si="37">SUM(D10:D105)</f>
        <v>343</v>
      </c>
      <c r="E106" s="16">
        <f t="shared" si="37"/>
        <v>531</v>
      </c>
      <c r="F106" s="16">
        <f t="shared" si="37"/>
        <v>3198</v>
      </c>
      <c r="G106" s="16">
        <f t="shared" si="37"/>
        <v>67</v>
      </c>
      <c r="H106" s="16">
        <f t="shared" si="37"/>
        <v>50</v>
      </c>
      <c r="I106" s="16">
        <f t="shared" si="37"/>
        <v>644</v>
      </c>
      <c r="J106" s="16">
        <f t="shared" si="37"/>
        <v>359</v>
      </c>
      <c r="K106" s="16">
        <f t="shared" si="37"/>
        <v>128</v>
      </c>
      <c r="L106" s="16">
        <f t="shared" si="37"/>
        <v>80</v>
      </c>
      <c r="M106" s="16">
        <f t="shared" si="37"/>
        <v>13390</v>
      </c>
      <c r="N106" s="16">
        <f t="shared" si="37"/>
        <v>1</v>
      </c>
      <c r="O106" s="16">
        <f t="shared" si="37"/>
        <v>8999</v>
      </c>
      <c r="P106" s="16">
        <f t="shared" si="37"/>
        <v>22389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0.16070391710214837</v>
      </c>
      <c r="D107" s="43">
        <f t="shared" si="38"/>
        <v>1.5320023225691188E-2</v>
      </c>
      <c r="E107" s="43">
        <f t="shared" si="38"/>
        <v>2.3717003885836793E-2</v>
      </c>
      <c r="F107" s="43">
        <f t="shared" si="38"/>
        <v>0.14283800080396622</v>
      </c>
      <c r="G107" s="43">
        <f t="shared" si="38"/>
        <v>2.992540979945509E-3</v>
      </c>
      <c r="H107" s="43">
        <f t="shared" si="38"/>
        <v>2.2332395372727681E-3</v>
      </c>
      <c r="I107" s="43">
        <f t="shared" si="38"/>
        <v>2.8764125240073251E-2</v>
      </c>
      <c r="J107" s="43">
        <f t="shared" si="38"/>
        <v>1.6034659877618474E-2</v>
      </c>
      <c r="K107" s="43">
        <f t="shared" si="38"/>
        <v>5.717093215418286E-3</v>
      </c>
      <c r="L107" s="43">
        <f t="shared" si="38"/>
        <v>3.5731832596364284E-3</v>
      </c>
      <c r="M107" s="43">
        <f t="shared" si="38"/>
        <v>0.59806154808164724</v>
      </c>
      <c r="N107" s="43">
        <f t="shared" si="38"/>
        <v>4.4664790745455359E-5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0.39982220246694078</v>
      </c>
      <c r="D108" s="44">
        <f t="shared" ref="D108:N108" si="39">D106/$O$106</f>
        <v>3.8115346149572175E-2</v>
      </c>
      <c r="E108" s="44">
        <f t="shared" si="39"/>
        <v>5.9006556284031557E-2</v>
      </c>
      <c r="F108" s="44">
        <f t="shared" si="39"/>
        <v>0.35537281920213359</v>
      </c>
      <c r="G108" s="44">
        <f t="shared" si="39"/>
        <v>7.4452716968552062E-3</v>
      </c>
      <c r="H108" s="44">
        <f t="shared" si="39"/>
        <v>5.5561729081008999E-3</v>
      </c>
      <c r="I108" s="44">
        <f t="shared" si="39"/>
        <v>7.1563507056339598E-2</v>
      </c>
      <c r="J108" s="44">
        <f t="shared" si="39"/>
        <v>3.9893321480164466E-2</v>
      </c>
      <c r="K108" s="44">
        <f t="shared" si="39"/>
        <v>1.4223802644738305E-2</v>
      </c>
      <c r="L108" s="44">
        <f t="shared" si="39"/>
        <v>8.8898766529614398E-3</v>
      </c>
      <c r="M108" s="44"/>
      <c r="N108" s="44">
        <f t="shared" si="39"/>
        <v>1.1112345816201801E-4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4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5" t="str">
        <f>'26.07 GAYAZA-KALERWE-24h'!G5:H5</f>
        <v>DELTA KYEBANDO</v>
      </c>
      <c r="H5" s="66"/>
      <c r="I5" s="14"/>
      <c r="J5" s="2" t="s">
        <v>5</v>
      </c>
      <c r="K5" s="65" t="s">
        <v>179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KALERWE-GAYAZA'!D6:E6</f>
        <v>KALERWE</v>
      </c>
      <c r="E6" s="66"/>
      <c r="F6" s="2" t="s">
        <v>2</v>
      </c>
      <c r="G6" s="65" t="str">
        <f>'22.07 KALERWE-GAYAZA'!G6:H6</f>
        <v>GAYAZA</v>
      </c>
      <c r="H6" s="66"/>
      <c r="J6" s="2" t="s">
        <v>21</v>
      </c>
      <c r="K6" s="65" t="s">
        <v>183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50</v>
      </c>
      <c r="D10" s="50">
        <v>20</v>
      </c>
      <c r="E10" s="50">
        <v>15</v>
      </c>
      <c r="F10" s="50">
        <v>45</v>
      </c>
      <c r="G10" s="50">
        <v>1</v>
      </c>
      <c r="H10" s="50">
        <v>1</v>
      </c>
      <c r="I10" s="50">
        <v>1</v>
      </c>
      <c r="J10" s="50">
        <v>1</v>
      </c>
      <c r="K10" s="50">
        <v>1</v>
      </c>
      <c r="L10" s="50">
        <v>2</v>
      </c>
      <c r="M10" s="50">
        <v>195</v>
      </c>
      <c r="N10" s="50">
        <v>0</v>
      </c>
      <c r="O10" s="15">
        <f t="shared" ref="O10:O73" si="0">SUM(C10:L10,N10)</f>
        <v>137</v>
      </c>
      <c r="P10" s="15">
        <f t="shared" ref="P10:P73" si="1">SUM(C10:N10)</f>
        <v>332</v>
      </c>
      <c r="R10" s="1" t="s">
        <v>6</v>
      </c>
      <c r="S10" s="17">
        <f t="shared" ref="S10:AF10" si="2">SUM(C10:C13)</f>
        <v>153</v>
      </c>
      <c r="T10" s="17">
        <f t="shared" si="2"/>
        <v>72</v>
      </c>
      <c r="U10" s="17">
        <f t="shared" si="2"/>
        <v>49</v>
      </c>
      <c r="V10" s="17">
        <f t="shared" si="2"/>
        <v>163</v>
      </c>
      <c r="W10" s="17">
        <f t="shared" si="2"/>
        <v>4</v>
      </c>
      <c r="X10" s="17">
        <f t="shared" si="2"/>
        <v>3</v>
      </c>
      <c r="Y10" s="17">
        <f t="shared" si="2"/>
        <v>10</v>
      </c>
      <c r="Z10" s="17">
        <f t="shared" si="2"/>
        <v>9</v>
      </c>
      <c r="AA10" s="17">
        <f t="shared" si="2"/>
        <v>3</v>
      </c>
      <c r="AB10" s="17">
        <f t="shared" si="2"/>
        <v>9</v>
      </c>
      <c r="AC10" s="17">
        <f t="shared" si="2"/>
        <v>1005</v>
      </c>
      <c r="AD10" s="17">
        <f t="shared" si="2"/>
        <v>0</v>
      </c>
      <c r="AE10" s="31">
        <f t="shared" si="2"/>
        <v>475</v>
      </c>
      <c r="AF10" s="31">
        <f t="shared" si="2"/>
        <v>1480</v>
      </c>
    </row>
    <row r="11" spans="2:32" s="6" customFormat="1" ht="23.1" customHeight="1" x14ac:dyDescent="0.25">
      <c r="B11" s="45" t="s">
        <v>38</v>
      </c>
      <c r="C11" s="50">
        <v>35</v>
      </c>
      <c r="D11" s="50">
        <v>13</v>
      </c>
      <c r="E11" s="50">
        <v>10</v>
      </c>
      <c r="F11" s="50">
        <v>40</v>
      </c>
      <c r="G11" s="50">
        <v>2</v>
      </c>
      <c r="H11" s="50">
        <v>1</v>
      </c>
      <c r="I11" s="50">
        <v>4</v>
      </c>
      <c r="J11" s="50">
        <v>0</v>
      </c>
      <c r="K11" s="50">
        <v>0</v>
      </c>
      <c r="L11" s="50">
        <v>1</v>
      </c>
      <c r="M11" s="50">
        <v>300</v>
      </c>
      <c r="N11" s="50">
        <v>0</v>
      </c>
      <c r="O11" s="15">
        <f t="shared" si="0"/>
        <v>106</v>
      </c>
      <c r="P11" s="15">
        <f t="shared" si="1"/>
        <v>406</v>
      </c>
      <c r="R11" s="1" t="s">
        <v>7</v>
      </c>
      <c r="S11" s="17">
        <f t="shared" ref="S11:AF11" si="3">SUM(C14:C17)</f>
        <v>231</v>
      </c>
      <c r="T11" s="17">
        <f t="shared" si="3"/>
        <v>155</v>
      </c>
      <c r="U11" s="17">
        <f t="shared" si="3"/>
        <v>96</v>
      </c>
      <c r="V11" s="17">
        <f t="shared" si="3"/>
        <v>309</v>
      </c>
      <c r="W11" s="17">
        <f t="shared" si="3"/>
        <v>8</v>
      </c>
      <c r="X11" s="17">
        <f t="shared" si="3"/>
        <v>3</v>
      </c>
      <c r="Y11" s="17">
        <f t="shared" si="3"/>
        <v>14</v>
      </c>
      <c r="Z11" s="17">
        <f t="shared" si="3"/>
        <v>17</v>
      </c>
      <c r="AA11" s="17">
        <f t="shared" si="3"/>
        <v>12</v>
      </c>
      <c r="AB11" s="17">
        <f t="shared" si="3"/>
        <v>1</v>
      </c>
      <c r="AC11" s="17">
        <f t="shared" si="3"/>
        <v>1485</v>
      </c>
      <c r="AD11" s="17">
        <f t="shared" si="3"/>
        <v>0</v>
      </c>
      <c r="AE11" s="31">
        <f t="shared" si="3"/>
        <v>846</v>
      </c>
      <c r="AF11" s="31">
        <f t="shared" si="3"/>
        <v>2331</v>
      </c>
    </row>
    <row r="12" spans="2:32" ht="23.1" customHeight="1" x14ac:dyDescent="0.25">
      <c r="B12" s="45" t="s">
        <v>39</v>
      </c>
      <c r="C12" s="50">
        <v>28</v>
      </c>
      <c r="D12" s="50">
        <v>22</v>
      </c>
      <c r="E12" s="50">
        <v>16</v>
      </c>
      <c r="F12" s="50">
        <v>35</v>
      </c>
      <c r="G12" s="50">
        <v>0</v>
      </c>
      <c r="H12" s="50">
        <v>1</v>
      </c>
      <c r="I12" s="50">
        <v>1</v>
      </c>
      <c r="J12" s="50">
        <v>1</v>
      </c>
      <c r="K12" s="50">
        <v>1</v>
      </c>
      <c r="L12" s="50">
        <v>0</v>
      </c>
      <c r="M12" s="50">
        <v>245</v>
      </c>
      <c r="N12" s="50">
        <v>0</v>
      </c>
      <c r="O12" s="15">
        <f t="shared" si="0"/>
        <v>105</v>
      </c>
      <c r="P12" s="15">
        <f t="shared" si="1"/>
        <v>350</v>
      </c>
      <c r="R12" s="1" t="s">
        <v>8</v>
      </c>
      <c r="S12" s="17">
        <f t="shared" ref="S12:AF12" si="4">SUM(C18:C21)</f>
        <v>224</v>
      </c>
      <c r="T12" s="17">
        <f t="shared" si="4"/>
        <v>154</v>
      </c>
      <c r="U12" s="17">
        <f t="shared" si="4"/>
        <v>95</v>
      </c>
      <c r="V12" s="17">
        <f t="shared" si="4"/>
        <v>246</v>
      </c>
      <c r="W12" s="17">
        <f t="shared" si="4"/>
        <v>3</v>
      </c>
      <c r="X12" s="17">
        <f t="shared" si="4"/>
        <v>3</v>
      </c>
      <c r="Y12" s="17">
        <f t="shared" si="4"/>
        <v>13</v>
      </c>
      <c r="Z12" s="17">
        <f t="shared" si="4"/>
        <v>20</v>
      </c>
      <c r="AA12" s="17">
        <f t="shared" si="4"/>
        <v>7</v>
      </c>
      <c r="AB12" s="17">
        <f t="shared" si="4"/>
        <v>8</v>
      </c>
      <c r="AC12" s="17">
        <f t="shared" si="4"/>
        <v>1370</v>
      </c>
      <c r="AD12" s="17">
        <f t="shared" si="4"/>
        <v>0</v>
      </c>
      <c r="AE12" s="31">
        <f t="shared" si="4"/>
        <v>773</v>
      </c>
      <c r="AF12" s="31">
        <f t="shared" si="4"/>
        <v>2143</v>
      </c>
    </row>
    <row r="13" spans="2:32" ht="23.1" customHeight="1" x14ac:dyDescent="0.25">
      <c r="B13" s="45" t="s">
        <v>40</v>
      </c>
      <c r="C13" s="50">
        <v>40</v>
      </c>
      <c r="D13" s="50">
        <v>17</v>
      </c>
      <c r="E13" s="50">
        <v>8</v>
      </c>
      <c r="F13" s="50">
        <v>43</v>
      </c>
      <c r="G13" s="50">
        <v>1</v>
      </c>
      <c r="H13" s="50">
        <v>0</v>
      </c>
      <c r="I13" s="50">
        <v>4</v>
      </c>
      <c r="J13" s="50">
        <v>7</v>
      </c>
      <c r="K13" s="50">
        <v>1</v>
      </c>
      <c r="L13" s="50">
        <v>6</v>
      </c>
      <c r="M13" s="50">
        <v>265</v>
      </c>
      <c r="N13" s="50">
        <v>0</v>
      </c>
      <c r="O13" s="15">
        <f t="shared" si="0"/>
        <v>127</v>
      </c>
      <c r="P13" s="15">
        <f t="shared" si="1"/>
        <v>392</v>
      </c>
      <c r="R13" s="1" t="s">
        <v>9</v>
      </c>
      <c r="S13" s="17">
        <f t="shared" ref="S13:AF13" si="5">SUM(C22:C25)</f>
        <v>304</v>
      </c>
      <c r="T13" s="17">
        <f t="shared" si="5"/>
        <v>131</v>
      </c>
      <c r="U13" s="17">
        <f t="shared" si="5"/>
        <v>141</v>
      </c>
      <c r="V13" s="17">
        <f t="shared" si="5"/>
        <v>223</v>
      </c>
      <c r="W13" s="17">
        <f t="shared" si="5"/>
        <v>4</v>
      </c>
      <c r="X13" s="17">
        <f t="shared" si="5"/>
        <v>1</v>
      </c>
      <c r="Y13" s="17">
        <f t="shared" si="5"/>
        <v>14</v>
      </c>
      <c r="Z13" s="17">
        <f t="shared" si="5"/>
        <v>17</v>
      </c>
      <c r="AA13" s="17">
        <f t="shared" si="5"/>
        <v>12</v>
      </c>
      <c r="AB13" s="17">
        <f t="shared" si="5"/>
        <v>2</v>
      </c>
      <c r="AC13" s="17">
        <f t="shared" si="5"/>
        <v>1105</v>
      </c>
      <c r="AD13" s="17">
        <f t="shared" si="5"/>
        <v>0</v>
      </c>
      <c r="AE13" s="31">
        <f t="shared" si="5"/>
        <v>849</v>
      </c>
      <c r="AF13" s="31">
        <f t="shared" si="5"/>
        <v>1954</v>
      </c>
    </row>
    <row r="14" spans="2:32" ht="23.1" customHeight="1" x14ac:dyDescent="0.25">
      <c r="B14" s="45" t="s">
        <v>41</v>
      </c>
      <c r="C14" s="50">
        <v>80</v>
      </c>
      <c r="D14" s="50">
        <v>40</v>
      </c>
      <c r="E14" s="50">
        <v>13</v>
      </c>
      <c r="F14" s="50">
        <v>79</v>
      </c>
      <c r="G14" s="50">
        <v>1</v>
      </c>
      <c r="H14" s="50">
        <v>0</v>
      </c>
      <c r="I14" s="50">
        <v>3</v>
      </c>
      <c r="J14" s="50">
        <v>3</v>
      </c>
      <c r="K14" s="50">
        <v>1</v>
      </c>
      <c r="L14" s="50">
        <v>0</v>
      </c>
      <c r="M14" s="50">
        <v>310</v>
      </c>
      <c r="N14" s="50">
        <v>0</v>
      </c>
      <c r="O14" s="15">
        <f t="shared" si="0"/>
        <v>220</v>
      </c>
      <c r="P14" s="15">
        <f t="shared" si="1"/>
        <v>530</v>
      </c>
      <c r="R14" s="1" t="s">
        <v>10</v>
      </c>
      <c r="S14" s="17">
        <f t="shared" ref="S14:AF14" si="6">SUM(C26:C29)</f>
        <v>301</v>
      </c>
      <c r="T14" s="17">
        <f t="shared" si="6"/>
        <v>245</v>
      </c>
      <c r="U14" s="17">
        <f t="shared" si="6"/>
        <v>151</v>
      </c>
      <c r="V14" s="17">
        <f t="shared" si="6"/>
        <v>344</v>
      </c>
      <c r="W14" s="17">
        <f t="shared" si="6"/>
        <v>6</v>
      </c>
      <c r="X14" s="17">
        <f t="shared" si="6"/>
        <v>1</v>
      </c>
      <c r="Y14" s="17">
        <f t="shared" si="6"/>
        <v>39</v>
      </c>
      <c r="Z14" s="17">
        <f t="shared" si="6"/>
        <v>39</v>
      </c>
      <c r="AA14" s="17">
        <f t="shared" si="6"/>
        <v>17</v>
      </c>
      <c r="AB14" s="17">
        <f t="shared" si="6"/>
        <v>1</v>
      </c>
      <c r="AC14" s="17">
        <f t="shared" si="6"/>
        <v>1340</v>
      </c>
      <c r="AD14" s="17">
        <f t="shared" si="6"/>
        <v>0</v>
      </c>
      <c r="AE14" s="31">
        <f t="shared" si="6"/>
        <v>1144</v>
      </c>
      <c r="AF14" s="31">
        <f t="shared" si="6"/>
        <v>2484</v>
      </c>
    </row>
    <row r="15" spans="2:32" ht="23.1" customHeight="1" x14ac:dyDescent="0.25">
      <c r="B15" s="45" t="s">
        <v>42</v>
      </c>
      <c r="C15" s="50">
        <v>42</v>
      </c>
      <c r="D15" s="50">
        <v>55</v>
      </c>
      <c r="E15" s="50">
        <v>30</v>
      </c>
      <c r="F15" s="50">
        <v>73</v>
      </c>
      <c r="G15" s="50">
        <v>3</v>
      </c>
      <c r="H15" s="50">
        <v>1</v>
      </c>
      <c r="I15" s="50">
        <v>2</v>
      </c>
      <c r="J15" s="50">
        <v>4</v>
      </c>
      <c r="K15" s="50">
        <v>1</v>
      </c>
      <c r="L15" s="50">
        <v>1</v>
      </c>
      <c r="M15" s="50">
        <v>445</v>
      </c>
      <c r="N15" s="50">
        <v>0</v>
      </c>
      <c r="O15" s="15">
        <f t="shared" si="0"/>
        <v>212</v>
      </c>
      <c r="P15" s="15">
        <f t="shared" si="1"/>
        <v>657</v>
      </c>
      <c r="R15" s="1" t="s">
        <v>11</v>
      </c>
      <c r="S15" s="17">
        <f t="shared" ref="S15:AF15" si="7">SUM(C30:C33)</f>
        <v>215</v>
      </c>
      <c r="T15" s="17">
        <f t="shared" si="7"/>
        <v>128</v>
      </c>
      <c r="U15" s="17">
        <f t="shared" si="7"/>
        <v>91</v>
      </c>
      <c r="V15" s="17">
        <f t="shared" si="7"/>
        <v>241</v>
      </c>
      <c r="W15" s="17">
        <f t="shared" si="7"/>
        <v>5</v>
      </c>
      <c r="X15" s="17">
        <f t="shared" si="7"/>
        <v>4</v>
      </c>
      <c r="Y15" s="17">
        <f t="shared" si="7"/>
        <v>34</v>
      </c>
      <c r="Z15" s="17">
        <f t="shared" si="7"/>
        <v>35</v>
      </c>
      <c r="AA15" s="17">
        <f t="shared" si="7"/>
        <v>17</v>
      </c>
      <c r="AB15" s="17">
        <f t="shared" si="7"/>
        <v>1</v>
      </c>
      <c r="AC15" s="17">
        <f t="shared" si="7"/>
        <v>1270</v>
      </c>
      <c r="AD15" s="17">
        <f t="shared" si="7"/>
        <v>0</v>
      </c>
      <c r="AE15" s="31">
        <f t="shared" si="7"/>
        <v>771</v>
      </c>
      <c r="AF15" s="31">
        <f t="shared" si="7"/>
        <v>2041</v>
      </c>
    </row>
    <row r="16" spans="2:32" ht="23.1" customHeight="1" x14ac:dyDescent="0.25">
      <c r="B16" s="45" t="s">
        <v>43</v>
      </c>
      <c r="C16" s="50">
        <v>55</v>
      </c>
      <c r="D16" s="50">
        <v>38</v>
      </c>
      <c r="E16" s="50">
        <v>28</v>
      </c>
      <c r="F16" s="50">
        <v>75</v>
      </c>
      <c r="G16" s="50">
        <v>2</v>
      </c>
      <c r="H16" s="50">
        <v>0</v>
      </c>
      <c r="I16" s="50">
        <v>3</v>
      </c>
      <c r="J16" s="50">
        <v>1</v>
      </c>
      <c r="K16" s="50">
        <v>3</v>
      </c>
      <c r="L16" s="50">
        <v>0</v>
      </c>
      <c r="M16" s="50">
        <v>370</v>
      </c>
      <c r="N16" s="50">
        <v>0</v>
      </c>
      <c r="O16" s="15">
        <f t="shared" si="0"/>
        <v>205</v>
      </c>
      <c r="P16" s="15">
        <f t="shared" si="1"/>
        <v>575</v>
      </c>
      <c r="R16" s="1" t="s">
        <v>12</v>
      </c>
      <c r="S16" s="17">
        <f t="shared" ref="S16:AF16" si="8">SUM(C34:C37)</f>
        <v>240</v>
      </c>
      <c r="T16" s="17">
        <f t="shared" si="8"/>
        <v>96</v>
      </c>
      <c r="U16" s="17">
        <f t="shared" si="8"/>
        <v>35</v>
      </c>
      <c r="V16" s="17">
        <f t="shared" si="8"/>
        <v>138</v>
      </c>
      <c r="W16" s="17">
        <f t="shared" si="8"/>
        <v>5</v>
      </c>
      <c r="X16" s="17">
        <f t="shared" si="8"/>
        <v>4</v>
      </c>
      <c r="Y16" s="17">
        <f t="shared" si="8"/>
        <v>36</v>
      </c>
      <c r="Z16" s="17">
        <f t="shared" si="8"/>
        <v>34</v>
      </c>
      <c r="AA16" s="17">
        <f t="shared" si="8"/>
        <v>20</v>
      </c>
      <c r="AB16" s="17">
        <f t="shared" si="8"/>
        <v>9</v>
      </c>
      <c r="AC16" s="17">
        <f t="shared" si="8"/>
        <v>980</v>
      </c>
      <c r="AD16" s="17">
        <f t="shared" si="8"/>
        <v>0</v>
      </c>
      <c r="AE16" s="31">
        <f t="shared" si="8"/>
        <v>617</v>
      </c>
      <c r="AF16" s="31">
        <f t="shared" si="8"/>
        <v>1597</v>
      </c>
    </row>
    <row r="17" spans="2:32" ht="23.1" customHeight="1" x14ac:dyDescent="0.25">
      <c r="B17" s="45" t="s">
        <v>44</v>
      </c>
      <c r="C17" s="50">
        <v>54</v>
      </c>
      <c r="D17" s="50">
        <v>22</v>
      </c>
      <c r="E17" s="50">
        <v>25</v>
      </c>
      <c r="F17" s="50">
        <v>82</v>
      </c>
      <c r="G17" s="50">
        <v>2</v>
      </c>
      <c r="H17" s="50">
        <v>2</v>
      </c>
      <c r="I17" s="50">
        <v>6</v>
      </c>
      <c r="J17" s="50">
        <v>9</v>
      </c>
      <c r="K17" s="50">
        <v>7</v>
      </c>
      <c r="L17" s="50">
        <v>0</v>
      </c>
      <c r="M17" s="50">
        <v>360</v>
      </c>
      <c r="N17" s="50">
        <v>0</v>
      </c>
      <c r="O17" s="15">
        <f t="shared" si="0"/>
        <v>209</v>
      </c>
      <c r="P17" s="15">
        <f t="shared" si="1"/>
        <v>569</v>
      </c>
      <c r="R17" s="1" t="s">
        <v>13</v>
      </c>
      <c r="S17" s="17">
        <f t="shared" ref="S17:AF17" si="9">SUM(C38:C41)</f>
        <v>202</v>
      </c>
      <c r="T17" s="17">
        <f t="shared" si="9"/>
        <v>72</v>
      </c>
      <c r="U17" s="17">
        <f t="shared" si="9"/>
        <v>15</v>
      </c>
      <c r="V17" s="17">
        <f t="shared" si="9"/>
        <v>53</v>
      </c>
      <c r="W17" s="17">
        <f t="shared" si="9"/>
        <v>6</v>
      </c>
      <c r="X17" s="17">
        <f t="shared" si="9"/>
        <v>3</v>
      </c>
      <c r="Y17" s="17">
        <f t="shared" si="9"/>
        <v>35</v>
      </c>
      <c r="Z17" s="17">
        <f t="shared" si="9"/>
        <v>34</v>
      </c>
      <c r="AA17" s="17">
        <f t="shared" si="9"/>
        <v>21</v>
      </c>
      <c r="AB17" s="17">
        <f t="shared" si="9"/>
        <v>8</v>
      </c>
      <c r="AC17" s="17">
        <f t="shared" si="9"/>
        <v>1035</v>
      </c>
      <c r="AD17" s="17">
        <f t="shared" si="9"/>
        <v>0</v>
      </c>
      <c r="AE17" s="31">
        <f t="shared" si="9"/>
        <v>449</v>
      </c>
      <c r="AF17" s="31">
        <f t="shared" si="9"/>
        <v>1484</v>
      </c>
    </row>
    <row r="18" spans="2:32" ht="23.1" customHeight="1" x14ac:dyDescent="0.25">
      <c r="B18" s="45" t="s">
        <v>45</v>
      </c>
      <c r="C18" s="50">
        <v>57</v>
      </c>
      <c r="D18" s="50">
        <v>35</v>
      </c>
      <c r="E18" s="50">
        <v>12</v>
      </c>
      <c r="F18" s="50">
        <v>59</v>
      </c>
      <c r="G18" s="50">
        <v>1</v>
      </c>
      <c r="H18" s="50">
        <v>2</v>
      </c>
      <c r="I18" s="50">
        <v>3</v>
      </c>
      <c r="J18" s="50">
        <v>7</v>
      </c>
      <c r="K18" s="50">
        <v>0</v>
      </c>
      <c r="L18" s="50">
        <v>0</v>
      </c>
      <c r="M18" s="50">
        <v>225</v>
      </c>
      <c r="N18" s="50">
        <v>0</v>
      </c>
      <c r="O18" s="15">
        <f t="shared" si="0"/>
        <v>176</v>
      </c>
      <c r="P18" s="15">
        <f t="shared" si="1"/>
        <v>401</v>
      </c>
      <c r="R18" s="1" t="s">
        <v>14</v>
      </c>
      <c r="S18" s="17">
        <f t="shared" ref="S18:AF18" si="10">SUM(C42:C45)</f>
        <v>177</v>
      </c>
      <c r="T18" s="17">
        <f t="shared" si="10"/>
        <v>106</v>
      </c>
      <c r="U18" s="17">
        <f t="shared" si="10"/>
        <v>37</v>
      </c>
      <c r="V18" s="17">
        <f t="shared" si="10"/>
        <v>108</v>
      </c>
      <c r="W18" s="17">
        <f t="shared" si="10"/>
        <v>1</v>
      </c>
      <c r="X18" s="17">
        <f t="shared" si="10"/>
        <v>5</v>
      </c>
      <c r="Y18" s="17">
        <f t="shared" si="10"/>
        <v>41</v>
      </c>
      <c r="Z18" s="17">
        <f t="shared" si="10"/>
        <v>11</v>
      </c>
      <c r="AA18" s="17">
        <f t="shared" si="10"/>
        <v>12</v>
      </c>
      <c r="AB18" s="17">
        <f t="shared" si="10"/>
        <v>0</v>
      </c>
      <c r="AC18" s="17">
        <f t="shared" si="10"/>
        <v>1570</v>
      </c>
      <c r="AD18" s="17">
        <f t="shared" si="10"/>
        <v>0</v>
      </c>
      <c r="AE18" s="31">
        <f t="shared" si="10"/>
        <v>498</v>
      </c>
      <c r="AF18" s="31">
        <f t="shared" si="10"/>
        <v>2068</v>
      </c>
    </row>
    <row r="19" spans="2:32" ht="23.1" customHeight="1" x14ac:dyDescent="0.25">
      <c r="B19" s="45" t="s">
        <v>46</v>
      </c>
      <c r="C19" s="50">
        <v>60</v>
      </c>
      <c r="D19" s="50">
        <v>57</v>
      </c>
      <c r="E19" s="50">
        <v>30</v>
      </c>
      <c r="F19" s="50">
        <v>65</v>
      </c>
      <c r="G19" s="50">
        <v>1</v>
      </c>
      <c r="H19" s="50">
        <v>0</v>
      </c>
      <c r="I19" s="50">
        <v>2</v>
      </c>
      <c r="J19" s="50">
        <v>3</v>
      </c>
      <c r="K19" s="50">
        <v>1</v>
      </c>
      <c r="L19" s="50">
        <v>4</v>
      </c>
      <c r="M19" s="50">
        <v>375</v>
      </c>
      <c r="N19" s="50">
        <v>0</v>
      </c>
      <c r="O19" s="15">
        <f t="shared" si="0"/>
        <v>223</v>
      </c>
      <c r="P19" s="15">
        <f t="shared" si="1"/>
        <v>598</v>
      </c>
      <c r="R19" s="1" t="s">
        <v>15</v>
      </c>
      <c r="S19" s="17">
        <f t="shared" ref="S19:AF19" si="11">SUM(C46:C49)</f>
        <v>287</v>
      </c>
      <c r="T19" s="17">
        <f t="shared" si="11"/>
        <v>59</v>
      </c>
      <c r="U19" s="17">
        <f t="shared" si="11"/>
        <v>53</v>
      </c>
      <c r="V19" s="17">
        <f t="shared" si="11"/>
        <v>137</v>
      </c>
      <c r="W19" s="17">
        <f t="shared" si="11"/>
        <v>2</v>
      </c>
      <c r="X19" s="17">
        <f t="shared" si="11"/>
        <v>4</v>
      </c>
      <c r="Y19" s="17">
        <f t="shared" si="11"/>
        <v>26</v>
      </c>
      <c r="Z19" s="17">
        <f t="shared" si="11"/>
        <v>10</v>
      </c>
      <c r="AA19" s="17">
        <f t="shared" si="11"/>
        <v>11</v>
      </c>
      <c r="AB19" s="17">
        <f t="shared" si="11"/>
        <v>1</v>
      </c>
      <c r="AC19" s="17">
        <f t="shared" si="11"/>
        <v>2015</v>
      </c>
      <c r="AD19" s="17">
        <f t="shared" si="11"/>
        <v>0</v>
      </c>
      <c r="AE19" s="31">
        <f t="shared" si="11"/>
        <v>590</v>
      </c>
      <c r="AF19" s="31">
        <f t="shared" si="11"/>
        <v>2605</v>
      </c>
    </row>
    <row r="20" spans="2:32" ht="23.1" customHeight="1" x14ac:dyDescent="0.25">
      <c r="B20" s="45" t="s">
        <v>47</v>
      </c>
      <c r="C20" s="50">
        <v>52</v>
      </c>
      <c r="D20" s="50">
        <v>24</v>
      </c>
      <c r="E20" s="50">
        <v>25</v>
      </c>
      <c r="F20" s="50">
        <v>50</v>
      </c>
      <c r="G20" s="50">
        <v>0</v>
      </c>
      <c r="H20" s="50">
        <v>0</v>
      </c>
      <c r="I20" s="50">
        <v>6</v>
      </c>
      <c r="J20" s="50">
        <v>8</v>
      </c>
      <c r="K20" s="50">
        <v>5</v>
      </c>
      <c r="L20" s="50">
        <v>2</v>
      </c>
      <c r="M20" s="50">
        <v>420</v>
      </c>
      <c r="N20" s="50">
        <v>0</v>
      </c>
      <c r="O20" s="15">
        <f t="shared" si="0"/>
        <v>172</v>
      </c>
      <c r="P20" s="15">
        <f t="shared" si="1"/>
        <v>592</v>
      </c>
      <c r="R20" s="1" t="s">
        <v>16</v>
      </c>
      <c r="S20" s="17">
        <f t="shared" ref="S20:AF20" si="12">SUM(C50:C53)</f>
        <v>203</v>
      </c>
      <c r="T20" s="17">
        <f t="shared" si="12"/>
        <v>56</v>
      </c>
      <c r="U20" s="17">
        <f t="shared" si="12"/>
        <v>32</v>
      </c>
      <c r="V20" s="17">
        <f t="shared" si="12"/>
        <v>183</v>
      </c>
      <c r="W20" s="17">
        <f t="shared" si="12"/>
        <v>4</v>
      </c>
      <c r="X20" s="17">
        <f t="shared" si="12"/>
        <v>3</v>
      </c>
      <c r="Y20" s="17">
        <f t="shared" si="12"/>
        <v>23</v>
      </c>
      <c r="Z20" s="17">
        <f t="shared" si="12"/>
        <v>10</v>
      </c>
      <c r="AA20" s="17">
        <f t="shared" si="12"/>
        <v>1</v>
      </c>
      <c r="AB20" s="17">
        <f t="shared" si="12"/>
        <v>1</v>
      </c>
      <c r="AC20" s="17">
        <f t="shared" si="12"/>
        <v>2130</v>
      </c>
      <c r="AD20" s="17">
        <f t="shared" si="12"/>
        <v>0</v>
      </c>
      <c r="AE20" s="31">
        <f t="shared" si="12"/>
        <v>516</v>
      </c>
      <c r="AF20" s="31">
        <f t="shared" si="12"/>
        <v>2646</v>
      </c>
    </row>
    <row r="21" spans="2:32" ht="23.1" customHeight="1" x14ac:dyDescent="0.25">
      <c r="B21" s="45" t="s">
        <v>48</v>
      </c>
      <c r="C21" s="50">
        <v>55</v>
      </c>
      <c r="D21" s="50">
        <v>38</v>
      </c>
      <c r="E21" s="50">
        <v>28</v>
      </c>
      <c r="F21" s="50">
        <v>72</v>
      </c>
      <c r="G21" s="50">
        <v>1</v>
      </c>
      <c r="H21" s="50">
        <v>1</v>
      </c>
      <c r="I21" s="50">
        <v>2</v>
      </c>
      <c r="J21" s="50">
        <v>2</v>
      </c>
      <c r="K21" s="50">
        <v>1</v>
      </c>
      <c r="L21" s="50">
        <v>2</v>
      </c>
      <c r="M21" s="50">
        <v>350</v>
      </c>
      <c r="N21" s="50">
        <v>0</v>
      </c>
      <c r="O21" s="15">
        <f t="shared" si="0"/>
        <v>202</v>
      </c>
      <c r="P21" s="15">
        <f t="shared" si="1"/>
        <v>552</v>
      </c>
      <c r="R21" s="36" t="s">
        <v>20</v>
      </c>
      <c r="S21" s="34">
        <f t="shared" ref="S21:AF21" si="13">SUM(C54:C57)</f>
        <v>227</v>
      </c>
      <c r="T21" s="17">
        <f t="shared" si="13"/>
        <v>75</v>
      </c>
      <c r="U21" s="17">
        <f t="shared" si="13"/>
        <v>47</v>
      </c>
      <c r="V21" s="17">
        <f t="shared" si="13"/>
        <v>140</v>
      </c>
      <c r="W21" s="17">
        <f t="shared" si="13"/>
        <v>11</v>
      </c>
      <c r="X21" s="17">
        <f t="shared" si="13"/>
        <v>6</v>
      </c>
      <c r="Y21" s="17">
        <f t="shared" si="13"/>
        <v>16</v>
      </c>
      <c r="Z21" s="17">
        <f t="shared" si="13"/>
        <v>8</v>
      </c>
      <c r="AA21" s="17">
        <f t="shared" si="13"/>
        <v>4</v>
      </c>
      <c r="AB21" s="17">
        <f t="shared" si="13"/>
        <v>1</v>
      </c>
      <c r="AC21" s="17">
        <f t="shared" si="13"/>
        <v>2214</v>
      </c>
      <c r="AD21" s="17">
        <f t="shared" si="13"/>
        <v>0</v>
      </c>
      <c r="AE21" s="31">
        <f t="shared" si="13"/>
        <v>535</v>
      </c>
      <c r="AF21" s="31">
        <f t="shared" si="13"/>
        <v>2749</v>
      </c>
    </row>
    <row r="22" spans="2:32" ht="23.1" customHeight="1" x14ac:dyDescent="0.25">
      <c r="B22" s="45" t="s">
        <v>49</v>
      </c>
      <c r="C22" s="50">
        <v>59</v>
      </c>
      <c r="D22" s="50">
        <v>34</v>
      </c>
      <c r="E22" s="50">
        <v>38</v>
      </c>
      <c r="F22" s="50">
        <v>82</v>
      </c>
      <c r="G22" s="50">
        <v>0</v>
      </c>
      <c r="H22" s="50">
        <v>0</v>
      </c>
      <c r="I22" s="50">
        <v>3</v>
      </c>
      <c r="J22" s="50">
        <v>3</v>
      </c>
      <c r="K22" s="50">
        <v>1</v>
      </c>
      <c r="L22" s="50">
        <v>0</v>
      </c>
      <c r="M22" s="50">
        <v>270</v>
      </c>
      <c r="N22" s="50">
        <v>0</v>
      </c>
      <c r="O22" s="15">
        <f t="shared" si="0"/>
        <v>220</v>
      </c>
      <c r="P22" s="15">
        <f t="shared" si="1"/>
        <v>490</v>
      </c>
      <c r="R22" s="36" t="s">
        <v>146</v>
      </c>
      <c r="S22" s="34">
        <f>SUM(C58:C61)</f>
        <v>151</v>
      </c>
      <c r="T22" s="34">
        <f t="shared" ref="T22:AF22" si="14">SUM(D58:D61)</f>
        <v>71</v>
      </c>
      <c r="U22" s="34">
        <f t="shared" si="14"/>
        <v>28</v>
      </c>
      <c r="V22" s="34">
        <f t="shared" si="14"/>
        <v>90</v>
      </c>
      <c r="W22" s="34">
        <f t="shared" si="14"/>
        <v>3</v>
      </c>
      <c r="X22" s="34">
        <f t="shared" si="14"/>
        <v>1</v>
      </c>
      <c r="Y22" s="34">
        <f t="shared" si="14"/>
        <v>80</v>
      </c>
      <c r="Z22" s="34">
        <f t="shared" si="14"/>
        <v>9</v>
      </c>
      <c r="AA22" s="34">
        <f t="shared" si="14"/>
        <v>5</v>
      </c>
      <c r="AB22" s="34">
        <f t="shared" si="14"/>
        <v>1</v>
      </c>
      <c r="AC22" s="34">
        <f t="shared" si="14"/>
        <v>1154</v>
      </c>
      <c r="AD22" s="34">
        <f t="shared" si="14"/>
        <v>0</v>
      </c>
      <c r="AE22" s="31">
        <f t="shared" si="14"/>
        <v>439</v>
      </c>
      <c r="AF22" s="31">
        <f t="shared" si="14"/>
        <v>1593</v>
      </c>
    </row>
    <row r="23" spans="2:32" ht="23.1" customHeight="1" x14ac:dyDescent="0.25">
      <c r="B23" s="45" t="s">
        <v>50</v>
      </c>
      <c r="C23" s="50">
        <v>58</v>
      </c>
      <c r="D23" s="50">
        <v>36</v>
      </c>
      <c r="E23" s="50">
        <v>38</v>
      </c>
      <c r="F23" s="50">
        <v>50</v>
      </c>
      <c r="G23" s="50">
        <v>2</v>
      </c>
      <c r="H23" s="50">
        <v>0</v>
      </c>
      <c r="I23" s="50">
        <v>2</v>
      </c>
      <c r="J23" s="50">
        <v>4</v>
      </c>
      <c r="K23" s="50">
        <v>1</v>
      </c>
      <c r="L23" s="50">
        <v>1</v>
      </c>
      <c r="M23" s="50">
        <v>310</v>
      </c>
      <c r="N23" s="50">
        <v>0</v>
      </c>
      <c r="O23" s="15">
        <f t="shared" si="0"/>
        <v>192</v>
      </c>
      <c r="P23" s="15">
        <f t="shared" si="1"/>
        <v>502</v>
      </c>
      <c r="R23" s="36" t="s">
        <v>147</v>
      </c>
      <c r="S23" s="34">
        <f>SUM(C62:C65)</f>
        <v>99</v>
      </c>
      <c r="T23" s="34">
        <f t="shared" ref="T23:AF23" si="15">SUM(D62:D65)</f>
        <v>33</v>
      </c>
      <c r="U23" s="34">
        <f t="shared" si="15"/>
        <v>17</v>
      </c>
      <c r="V23" s="34">
        <f t="shared" si="15"/>
        <v>48</v>
      </c>
      <c r="W23" s="34">
        <f t="shared" si="15"/>
        <v>3</v>
      </c>
      <c r="X23" s="34">
        <f t="shared" si="15"/>
        <v>0</v>
      </c>
      <c r="Y23" s="34">
        <f t="shared" si="15"/>
        <v>26</v>
      </c>
      <c r="Z23" s="34">
        <f t="shared" si="15"/>
        <v>13</v>
      </c>
      <c r="AA23" s="34">
        <f t="shared" si="15"/>
        <v>4</v>
      </c>
      <c r="AB23" s="34">
        <f t="shared" si="15"/>
        <v>3</v>
      </c>
      <c r="AC23" s="34">
        <f t="shared" si="15"/>
        <v>1470</v>
      </c>
      <c r="AD23" s="34">
        <f t="shared" si="15"/>
        <v>0</v>
      </c>
      <c r="AE23" s="31">
        <f t="shared" si="15"/>
        <v>246</v>
      </c>
      <c r="AF23" s="31">
        <f t="shared" si="15"/>
        <v>1716</v>
      </c>
    </row>
    <row r="24" spans="2:32" ht="23.1" customHeight="1" x14ac:dyDescent="0.25">
      <c r="B24" s="45" t="s">
        <v>51</v>
      </c>
      <c r="C24" s="50">
        <v>89</v>
      </c>
      <c r="D24" s="50">
        <v>25</v>
      </c>
      <c r="E24" s="50">
        <v>39</v>
      </c>
      <c r="F24" s="50">
        <v>48</v>
      </c>
      <c r="G24" s="50">
        <v>2</v>
      </c>
      <c r="H24" s="50">
        <v>1</v>
      </c>
      <c r="I24" s="50">
        <v>3</v>
      </c>
      <c r="J24" s="50">
        <v>1</v>
      </c>
      <c r="K24" s="50">
        <v>3</v>
      </c>
      <c r="L24" s="50">
        <v>1</v>
      </c>
      <c r="M24" s="50">
        <v>260</v>
      </c>
      <c r="N24" s="50">
        <v>0</v>
      </c>
      <c r="O24" s="15">
        <f t="shared" si="0"/>
        <v>212</v>
      </c>
      <c r="P24" s="15">
        <f t="shared" si="1"/>
        <v>472</v>
      </c>
      <c r="R24" s="36" t="s">
        <v>148</v>
      </c>
      <c r="S24" s="34">
        <f>SUM(C66:C69)</f>
        <v>132</v>
      </c>
      <c r="T24" s="34">
        <f t="shared" ref="T24:AF24" si="16">SUM(D66:D69)</f>
        <v>61</v>
      </c>
      <c r="U24" s="34">
        <f t="shared" si="16"/>
        <v>32</v>
      </c>
      <c r="V24" s="34">
        <f t="shared" si="16"/>
        <v>195</v>
      </c>
      <c r="W24" s="34">
        <f t="shared" si="16"/>
        <v>4</v>
      </c>
      <c r="X24" s="34">
        <f t="shared" si="16"/>
        <v>6</v>
      </c>
      <c r="Y24" s="34">
        <f t="shared" si="16"/>
        <v>19</v>
      </c>
      <c r="Z24" s="34">
        <f t="shared" si="16"/>
        <v>11</v>
      </c>
      <c r="AA24" s="34">
        <f t="shared" si="16"/>
        <v>8</v>
      </c>
      <c r="AB24" s="34">
        <f t="shared" si="16"/>
        <v>1</v>
      </c>
      <c r="AC24" s="34">
        <f t="shared" si="16"/>
        <v>1041</v>
      </c>
      <c r="AD24" s="34">
        <f t="shared" si="16"/>
        <v>0</v>
      </c>
      <c r="AE24" s="31">
        <f t="shared" si="16"/>
        <v>469</v>
      </c>
      <c r="AF24" s="31">
        <f t="shared" si="16"/>
        <v>1510</v>
      </c>
    </row>
    <row r="25" spans="2:32" ht="23.1" customHeight="1" x14ac:dyDescent="0.25">
      <c r="B25" s="45" t="s">
        <v>52</v>
      </c>
      <c r="C25" s="50">
        <v>98</v>
      </c>
      <c r="D25" s="50">
        <v>36</v>
      </c>
      <c r="E25" s="50">
        <v>26</v>
      </c>
      <c r="F25" s="50">
        <v>43</v>
      </c>
      <c r="G25" s="50">
        <v>0</v>
      </c>
      <c r="H25" s="50">
        <v>0</v>
      </c>
      <c r="I25" s="50">
        <v>6</v>
      </c>
      <c r="J25" s="50">
        <v>9</v>
      </c>
      <c r="K25" s="50">
        <v>7</v>
      </c>
      <c r="L25" s="50">
        <v>0</v>
      </c>
      <c r="M25" s="50">
        <v>265</v>
      </c>
      <c r="N25" s="50">
        <v>0</v>
      </c>
      <c r="O25" s="15">
        <f t="shared" si="0"/>
        <v>225</v>
      </c>
      <c r="P25" s="15">
        <f t="shared" si="1"/>
        <v>490</v>
      </c>
      <c r="R25" s="36" t="s">
        <v>149</v>
      </c>
      <c r="S25" s="34">
        <f>SUM(C70:C73)</f>
        <v>168</v>
      </c>
      <c r="T25" s="34">
        <f t="shared" ref="T25:AF25" si="17">SUM(D70:D73)</f>
        <v>94</v>
      </c>
      <c r="U25" s="34">
        <f t="shared" si="17"/>
        <v>14</v>
      </c>
      <c r="V25" s="34">
        <f t="shared" si="17"/>
        <v>103</v>
      </c>
      <c r="W25" s="34">
        <f t="shared" si="17"/>
        <v>3</v>
      </c>
      <c r="X25" s="34">
        <f t="shared" si="17"/>
        <v>2</v>
      </c>
      <c r="Y25" s="34">
        <f t="shared" si="17"/>
        <v>10</v>
      </c>
      <c r="Z25" s="34">
        <f t="shared" si="17"/>
        <v>19</v>
      </c>
      <c r="AA25" s="34">
        <f t="shared" si="17"/>
        <v>7</v>
      </c>
      <c r="AB25" s="34">
        <f t="shared" si="17"/>
        <v>1</v>
      </c>
      <c r="AC25" s="34">
        <f t="shared" si="17"/>
        <v>735</v>
      </c>
      <c r="AD25" s="34">
        <f t="shared" si="17"/>
        <v>0</v>
      </c>
      <c r="AE25" s="31">
        <f t="shared" si="17"/>
        <v>421</v>
      </c>
      <c r="AF25" s="31">
        <f t="shared" si="17"/>
        <v>1156</v>
      </c>
    </row>
    <row r="26" spans="2:32" ht="23.1" customHeight="1" x14ac:dyDescent="0.25">
      <c r="B26" s="45" t="s">
        <v>53</v>
      </c>
      <c r="C26" s="50">
        <v>65</v>
      </c>
      <c r="D26" s="50">
        <v>71</v>
      </c>
      <c r="E26" s="50">
        <v>38</v>
      </c>
      <c r="F26" s="50">
        <v>120</v>
      </c>
      <c r="G26" s="50">
        <v>2</v>
      </c>
      <c r="H26" s="50">
        <v>0</v>
      </c>
      <c r="I26" s="50">
        <v>4</v>
      </c>
      <c r="J26" s="50">
        <v>5</v>
      </c>
      <c r="K26" s="50">
        <v>4</v>
      </c>
      <c r="L26" s="50">
        <v>0</v>
      </c>
      <c r="M26" s="50">
        <v>335</v>
      </c>
      <c r="N26" s="50">
        <v>0</v>
      </c>
      <c r="O26" s="15">
        <f t="shared" si="0"/>
        <v>309</v>
      </c>
      <c r="P26" s="15">
        <f t="shared" si="1"/>
        <v>644</v>
      </c>
      <c r="R26" s="36" t="s">
        <v>150</v>
      </c>
      <c r="S26" s="34">
        <f>SUM(C74:C77)</f>
        <v>169</v>
      </c>
      <c r="T26" s="34">
        <f t="shared" ref="T26:AF26" si="18">SUM(D74:D77)</f>
        <v>95</v>
      </c>
      <c r="U26" s="34">
        <f t="shared" si="18"/>
        <v>24</v>
      </c>
      <c r="V26" s="34">
        <f t="shared" si="18"/>
        <v>177</v>
      </c>
      <c r="W26" s="34">
        <f t="shared" si="18"/>
        <v>1</v>
      </c>
      <c r="X26" s="34">
        <f t="shared" si="18"/>
        <v>1</v>
      </c>
      <c r="Y26" s="34">
        <f t="shared" si="18"/>
        <v>21</v>
      </c>
      <c r="Z26" s="34">
        <f t="shared" si="18"/>
        <v>17</v>
      </c>
      <c r="AA26" s="34">
        <f t="shared" si="18"/>
        <v>6</v>
      </c>
      <c r="AB26" s="34">
        <f t="shared" si="18"/>
        <v>0</v>
      </c>
      <c r="AC26" s="34">
        <f t="shared" si="18"/>
        <v>615</v>
      </c>
      <c r="AD26" s="34">
        <f t="shared" si="18"/>
        <v>0</v>
      </c>
      <c r="AE26" s="31">
        <f t="shared" si="18"/>
        <v>511</v>
      </c>
      <c r="AF26" s="31">
        <f t="shared" si="18"/>
        <v>1126</v>
      </c>
    </row>
    <row r="27" spans="2:32" ht="23.1" customHeight="1" x14ac:dyDescent="0.25">
      <c r="B27" s="45" t="s">
        <v>54</v>
      </c>
      <c r="C27" s="50">
        <v>81</v>
      </c>
      <c r="D27" s="50">
        <v>101</v>
      </c>
      <c r="E27" s="50">
        <v>49</v>
      </c>
      <c r="F27" s="50">
        <v>105</v>
      </c>
      <c r="G27" s="50">
        <v>0</v>
      </c>
      <c r="H27" s="50">
        <v>1</v>
      </c>
      <c r="I27" s="50">
        <v>9</v>
      </c>
      <c r="J27" s="50">
        <v>8</v>
      </c>
      <c r="K27" s="50">
        <v>1</v>
      </c>
      <c r="L27" s="50">
        <v>0</v>
      </c>
      <c r="M27" s="50">
        <v>345</v>
      </c>
      <c r="N27" s="50">
        <v>0</v>
      </c>
      <c r="O27" s="15">
        <f t="shared" si="0"/>
        <v>355</v>
      </c>
      <c r="P27" s="15">
        <f t="shared" si="1"/>
        <v>700</v>
      </c>
      <c r="R27" s="36" t="s">
        <v>151</v>
      </c>
      <c r="S27" s="34">
        <f>SUM(C78:C81)</f>
        <v>127</v>
      </c>
      <c r="T27" s="34">
        <f t="shared" ref="T27:AF27" si="19">SUM(D78:D81)</f>
        <v>64</v>
      </c>
      <c r="U27" s="34">
        <f t="shared" si="19"/>
        <v>13</v>
      </c>
      <c r="V27" s="34">
        <f t="shared" si="19"/>
        <v>252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12</v>
      </c>
      <c r="AA27" s="34">
        <f t="shared" si="19"/>
        <v>9</v>
      </c>
      <c r="AB27" s="34">
        <f t="shared" si="19"/>
        <v>2</v>
      </c>
      <c r="AC27" s="34">
        <f t="shared" si="19"/>
        <v>376</v>
      </c>
      <c r="AD27" s="34">
        <f t="shared" si="19"/>
        <v>0</v>
      </c>
      <c r="AE27" s="31">
        <f t="shared" si="19"/>
        <v>481</v>
      </c>
      <c r="AF27" s="31">
        <f t="shared" si="19"/>
        <v>857</v>
      </c>
    </row>
    <row r="28" spans="2:32" ht="23.1" customHeight="1" x14ac:dyDescent="0.25">
      <c r="B28" s="45" t="s">
        <v>55</v>
      </c>
      <c r="C28" s="50">
        <v>80</v>
      </c>
      <c r="D28" s="50">
        <v>40</v>
      </c>
      <c r="E28" s="50">
        <v>39</v>
      </c>
      <c r="F28" s="50">
        <v>59</v>
      </c>
      <c r="G28" s="50">
        <v>1</v>
      </c>
      <c r="H28" s="50">
        <v>0</v>
      </c>
      <c r="I28" s="50">
        <v>5</v>
      </c>
      <c r="J28" s="50">
        <v>3</v>
      </c>
      <c r="K28" s="50">
        <v>11</v>
      </c>
      <c r="L28" s="50">
        <v>0</v>
      </c>
      <c r="M28" s="50">
        <v>310</v>
      </c>
      <c r="N28" s="50">
        <v>0</v>
      </c>
      <c r="O28" s="15">
        <f t="shared" si="0"/>
        <v>238</v>
      </c>
      <c r="P28" s="15">
        <f t="shared" si="1"/>
        <v>548</v>
      </c>
      <c r="R28" s="36" t="s">
        <v>152</v>
      </c>
      <c r="S28" s="34">
        <f>SUM(C82:C85)</f>
        <v>27</v>
      </c>
      <c r="T28" s="34">
        <f t="shared" ref="T28:AF28" si="20">SUM(D82:D85)</f>
        <v>10</v>
      </c>
      <c r="U28" s="34">
        <f t="shared" si="20"/>
        <v>5</v>
      </c>
      <c r="V28" s="34">
        <f t="shared" si="20"/>
        <v>17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19</v>
      </c>
      <c r="AA28" s="34">
        <f t="shared" si="20"/>
        <v>5</v>
      </c>
      <c r="AB28" s="34">
        <f t="shared" si="20"/>
        <v>2</v>
      </c>
      <c r="AC28" s="34">
        <f t="shared" si="20"/>
        <v>200</v>
      </c>
      <c r="AD28" s="34">
        <f t="shared" si="20"/>
        <v>0</v>
      </c>
      <c r="AE28" s="31">
        <f t="shared" si="20"/>
        <v>90</v>
      </c>
      <c r="AF28" s="31">
        <f t="shared" si="20"/>
        <v>290</v>
      </c>
    </row>
    <row r="29" spans="2:32" ht="23.1" customHeight="1" x14ac:dyDescent="0.25">
      <c r="B29" s="45" t="s">
        <v>56</v>
      </c>
      <c r="C29" s="50">
        <v>75</v>
      </c>
      <c r="D29" s="50">
        <v>33</v>
      </c>
      <c r="E29" s="50">
        <v>25</v>
      </c>
      <c r="F29" s="50">
        <v>60</v>
      </c>
      <c r="G29" s="50">
        <v>3</v>
      </c>
      <c r="H29" s="50">
        <v>0</v>
      </c>
      <c r="I29" s="50">
        <v>21</v>
      </c>
      <c r="J29" s="50">
        <v>23</v>
      </c>
      <c r="K29" s="50">
        <v>1</v>
      </c>
      <c r="L29" s="50">
        <v>1</v>
      </c>
      <c r="M29" s="50">
        <v>350</v>
      </c>
      <c r="N29" s="50">
        <v>0</v>
      </c>
      <c r="O29" s="15">
        <f t="shared" si="0"/>
        <v>242</v>
      </c>
      <c r="P29" s="15">
        <f t="shared" si="1"/>
        <v>592</v>
      </c>
      <c r="R29" s="36" t="s">
        <v>153</v>
      </c>
      <c r="S29" s="34">
        <f>SUM(C86:C89)</f>
        <v>19</v>
      </c>
      <c r="T29" s="34">
        <f t="shared" ref="T29:AF29" si="21">SUM(D86:D89)</f>
        <v>9</v>
      </c>
      <c r="U29" s="34">
        <f t="shared" si="21"/>
        <v>2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12</v>
      </c>
      <c r="AA29" s="34">
        <f t="shared" si="21"/>
        <v>1</v>
      </c>
      <c r="AB29" s="34">
        <f t="shared" si="21"/>
        <v>2</v>
      </c>
      <c r="AC29" s="34">
        <f t="shared" si="21"/>
        <v>113</v>
      </c>
      <c r="AD29" s="34">
        <f t="shared" si="21"/>
        <v>0</v>
      </c>
      <c r="AE29" s="31">
        <f t="shared" si="21"/>
        <v>51</v>
      </c>
      <c r="AF29" s="31">
        <f t="shared" si="21"/>
        <v>164</v>
      </c>
    </row>
    <row r="30" spans="2:32" ht="23.1" customHeight="1" x14ac:dyDescent="0.25">
      <c r="B30" s="45" t="s">
        <v>57</v>
      </c>
      <c r="C30" s="50">
        <v>52</v>
      </c>
      <c r="D30" s="50">
        <v>35</v>
      </c>
      <c r="E30" s="50">
        <v>32</v>
      </c>
      <c r="F30" s="50">
        <v>50</v>
      </c>
      <c r="G30" s="50">
        <v>0</v>
      </c>
      <c r="H30" s="50">
        <v>1</v>
      </c>
      <c r="I30" s="50">
        <v>4</v>
      </c>
      <c r="J30" s="50">
        <v>5</v>
      </c>
      <c r="K30" s="50">
        <v>4</v>
      </c>
      <c r="L30" s="50">
        <v>0</v>
      </c>
      <c r="M30" s="50">
        <v>315</v>
      </c>
      <c r="N30" s="50">
        <v>0</v>
      </c>
      <c r="O30" s="15">
        <f t="shared" si="0"/>
        <v>183</v>
      </c>
      <c r="P30" s="15">
        <f t="shared" si="1"/>
        <v>498</v>
      </c>
      <c r="R30" s="36" t="s">
        <v>154</v>
      </c>
      <c r="S30" s="34">
        <f>SUM(C90:C93)</f>
        <v>19</v>
      </c>
      <c r="T30" s="34">
        <f t="shared" ref="T30:AF30" si="22">SUM(D90:D93)</f>
        <v>3</v>
      </c>
      <c r="U30" s="34">
        <f t="shared" si="22"/>
        <v>2</v>
      </c>
      <c r="V30" s="34">
        <f t="shared" si="22"/>
        <v>3</v>
      </c>
      <c r="W30" s="34">
        <f t="shared" si="22"/>
        <v>1</v>
      </c>
      <c r="X30" s="34">
        <f t="shared" si="22"/>
        <v>0</v>
      </c>
      <c r="Y30" s="34">
        <f t="shared" si="22"/>
        <v>2</v>
      </c>
      <c r="Z30" s="34">
        <f t="shared" si="22"/>
        <v>5</v>
      </c>
      <c r="AA30" s="34">
        <f t="shared" si="22"/>
        <v>3</v>
      </c>
      <c r="AB30" s="34">
        <f t="shared" si="22"/>
        <v>1</v>
      </c>
      <c r="AC30" s="34">
        <f t="shared" si="22"/>
        <v>120</v>
      </c>
      <c r="AD30" s="34">
        <f t="shared" si="22"/>
        <v>0</v>
      </c>
      <c r="AE30" s="31">
        <f t="shared" si="22"/>
        <v>39</v>
      </c>
      <c r="AF30" s="31">
        <f t="shared" si="22"/>
        <v>159</v>
      </c>
    </row>
    <row r="31" spans="2:32" ht="23.1" customHeight="1" x14ac:dyDescent="0.25">
      <c r="B31" s="46" t="s">
        <v>58</v>
      </c>
      <c r="C31" s="50">
        <v>55</v>
      </c>
      <c r="D31" s="50">
        <v>30</v>
      </c>
      <c r="E31" s="50">
        <v>26</v>
      </c>
      <c r="F31" s="50">
        <v>64</v>
      </c>
      <c r="G31" s="50">
        <v>2</v>
      </c>
      <c r="H31" s="50">
        <v>0</v>
      </c>
      <c r="I31" s="50">
        <v>9</v>
      </c>
      <c r="J31" s="50">
        <v>8</v>
      </c>
      <c r="K31" s="50">
        <v>1</v>
      </c>
      <c r="L31" s="50">
        <v>0</v>
      </c>
      <c r="M31" s="50">
        <v>275</v>
      </c>
      <c r="N31" s="50">
        <v>0</v>
      </c>
      <c r="O31" s="15">
        <f t="shared" si="0"/>
        <v>195</v>
      </c>
      <c r="P31" s="15">
        <f t="shared" si="1"/>
        <v>470</v>
      </c>
      <c r="R31" s="36" t="s">
        <v>155</v>
      </c>
      <c r="S31" s="34">
        <f>SUM(C94:C97)</f>
        <v>29</v>
      </c>
      <c r="T31" s="34">
        <f t="shared" ref="T31:AF31" si="23">SUM(D94:D97)</f>
        <v>7</v>
      </c>
      <c r="U31" s="34">
        <f t="shared" si="23"/>
        <v>2</v>
      </c>
      <c r="V31" s="34">
        <f t="shared" si="23"/>
        <v>6</v>
      </c>
      <c r="W31" s="34">
        <f t="shared" si="23"/>
        <v>0</v>
      </c>
      <c r="X31" s="34">
        <f t="shared" si="23"/>
        <v>1</v>
      </c>
      <c r="Y31" s="34">
        <f t="shared" si="23"/>
        <v>2</v>
      </c>
      <c r="Z31" s="34">
        <f t="shared" si="23"/>
        <v>8</v>
      </c>
      <c r="AA31" s="34">
        <f t="shared" si="23"/>
        <v>3</v>
      </c>
      <c r="AB31" s="34">
        <f t="shared" si="23"/>
        <v>1</v>
      </c>
      <c r="AC31" s="34">
        <f t="shared" si="23"/>
        <v>89</v>
      </c>
      <c r="AD31" s="34">
        <f t="shared" si="23"/>
        <v>0</v>
      </c>
      <c r="AE31" s="31">
        <f t="shared" si="23"/>
        <v>59</v>
      </c>
      <c r="AF31" s="31">
        <f t="shared" si="23"/>
        <v>148</v>
      </c>
    </row>
    <row r="32" spans="2:32" ht="23.1" customHeight="1" x14ac:dyDescent="0.25">
      <c r="B32" s="46" t="s">
        <v>59</v>
      </c>
      <c r="C32" s="50">
        <v>48</v>
      </c>
      <c r="D32" s="50">
        <v>30</v>
      </c>
      <c r="E32" s="50">
        <v>13</v>
      </c>
      <c r="F32" s="50">
        <v>72</v>
      </c>
      <c r="G32" s="50">
        <v>3</v>
      </c>
      <c r="H32" s="50">
        <v>0</v>
      </c>
      <c r="I32" s="50">
        <v>5</v>
      </c>
      <c r="J32" s="50">
        <v>3</v>
      </c>
      <c r="K32" s="50">
        <v>1</v>
      </c>
      <c r="L32" s="50">
        <v>0</v>
      </c>
      <c r="M32" s="50">
        <v>350</v>
      </c>
      <c r="N32" s="50">
        <v>0</v>
      </c>
      <c r="O32" s="15">
        <f t="shared" si="0"/>
        <v>175</v>
      </c>
      <c r="P32" s="15">
        <f t="shared" si="1"/>
        <v>525</v>
      </c>
      <c r="R32" s="33" t="s">
        <v>156</v>
      </c>
      <c r="S32" s="34">
        <f>SUM(C98:C101)</f>
        <v>28</v>
      </c>
      <c r="T32" s="34">
        <f t="shared" ref="T32:AF32" si="24">SUM(D98:D101)</f>
        <v>9</v>
      </c>
      <c r="U32" s="34">
        <f t="shared" si="24"/>
        <v>3</v>
      </c>
      <c r="V32" s="34">
        <f t="shared" si="24"/>
        <v>18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9</v>
      </c>
      <c r="AA32" s="34">
        <f t="shared" si="24"/>
        <v>4</v>
      </c>
      <c r="AB32" s="34">
        <f t="shared" si="24"/>
        <v>1</v>
      </c>
      <c r="AC32" s="34">
        <f t="shared" si="24"/>
        <v>171</v>
      </c>
      <c r="AD32" s="34">
        <f t="shared" si="24"/>
        <v>0</v>
      </c>
      <c r="AE32" s="31">
        <f t="shared" si="24"/>
        <v>76</v>
      </c>
      <c r="AF32" s="31">
        <f t="shared" si="24"/>
        <v>247</v>
      </c>
    </row>
    <row r="33" spans="2:32" ht="23.1" customHeight="1" x14ac:dyDescent="0.25">
      <c r="B33" s="45" t="s">
        <v>60</v>
      </c>
      <c r="C33" s="50">
        <v>60</v>
      </c>
      <c r="D33" s="50">
        <v>33</v>
      </c>
      <c r="E33" s="50">
        <v>20</v>
      </c>
      <c r="F33" s="50">
        <v>55</v>
      </c>
      <c r="G33" s="50">
        <v>0</v>
      </c>
      <c r="H33" s="50">
        <v>3</v>
      </c>
      <c r="I33" s="50">
        <v>16</v>
      </c>
      <c r="J33" s="50">
        <v>19</v>
      </c>
      <c r="K33" s="50">
        <v>11</v>
      </c>
      <c r="L33" s="50">
        <v>1</v>
      </c>
      <c r="M33" s="50">
        <v>330</v>
      </c>
      <c r="N33" s="50">
        <v>0</v>
      </c>
      <c r="O33" s="15">
        <f t="shared" si="0"/>
        <v>218</v>
      </c>
      <c r="P33" s="15">
        <f t="shared" si="1"/>
        <v>548</v>
      </c>
      <c r="R33" s="33" t="s">
        <v>157</v>
      </c>
      <c r="S33" s="34">
        <f>SUM(C102:C105)</f>
        <v>43</v>
      </c>
      <c r="T33" s="34">
        <f t="shared" ref="T33:AF33" si="25">SUM(D102:D105)</f>
        <v>12</v>
      </c>
      <c r="U33" s="34">
        <f t="shared" si="25"/>
        <v>9</v>
      </c>
      <c r="V33" s="34">
        <f t="shared" si="25"/>
        <v>35</v>
      </c>
      <c r="W33" s="34">
        <f t="shared" si="25"/>
        <v>0</v>
      </c>
      <c r="X33" s="34">
        <f t="shared" si="25"/>
        <v>1</v>
      </c>
      <c r="Y33" s="34">
        <f t="shared" si="25"/>
        <v>1</v>
      </c>
      <c r="Z33" s="34">
        <f t="shared" si="25"/>
        <v>12</v>
      </c>
      <c r="AA33" s="34">
        <f t="shared" si="25"/>
        <v>6</v>
      </c>
      <c r="AB33" s="34">
        <f t="shared" si="25"/>
        <v>1</v>
      </c>
      <c r="AC33" s="34">
        <f t="shared" si="25"/>
        <v>262</v>
      </c>
      <c r="AD33" s="34">
        <f t="shared" si="25"/>
        <v>0</v>
      </c>
      <c r="AE33" s="31">
        <f t="shared" si="25"/>
        <v>120</v>
      </c>
      <c r="AF33" s="31">
        <f t="shared" si="25"/>
        <v>382</v>
      </c>
    </row>
    <row r="34" spans="2:32" ht="23.1" customHeight="1" x14ac:dyDescent="0.25">
      <c r="B34" s="46" t="s">
        <v>61</v>
      </c>
      <c r="C34" s="50">
        <v>60</v>
      </c>
      <c r="D34" s="50">
        <v>36</v>
      </c>
      <c r="E34" s="50">
        <v>21</v>
      </c>
      <c r="F34" s="50">
        <v>73</v>
      </c>
      <c r="G34" s="50">
        <v>2</v>
      </c>
      <c r="H34" s="50">
        <v>0</v>
      </c>
      <c r="I34" s="50">
        <v>14</v>
      </c>
      <c r="J34" s="50">
        <v>13</v>
      </c>
      <c r="K34" s="50">
        <v>6</v>
      </c>
      <c r="L34" s="50">
        <v>4</v>
      </c>
      <c r="M34" s="50">
        <v>250</v>
      </c>
      <c r="N34" s="50">
        <v>0</v>
      </c>
      <c r="O34" s="15">
        <f t="shared" si="0"/>
        <v>229</v>
      </c>
      <c r="P34" s="15">
        <f t="shared" si="1"/>
        <v>479</v>
      </c>
      <c r="R34" s="38" t="s">
        <v>90</v>
      </c>
      <c r="S34" s="39">
        <f t="shared" ref="S34:AF34" si="26">MAX(S10:S12)</f>
        <v>231</v>
      </c>
      <c r="T34" s="39">
        <f t="shared" si="26"/>
        <v>155</v>
      </c>
      <c r="U34" s="39">
        <f t="shared" si="26"/>
        <v>96</v>
      </c>
      <c r="V34" s="39">
        <f t="shared" si="26"/>
        <v>309</v>
      </c>
      <c r="W34" s="39">
        <f t="shared" si="26"/>
        <v>8</v>
      </c>
      <c r="X34" s="39">
        <f t="shared" si="26"/>
        <v>3</v>
      </c>
      <c r="Y34" s="39">
        <f t="shared" si="26"/>
        <v>14</v>
      </c>
      <c r="Z34" s="39">
        <f t="shared" si="26"/>
        <v>20</v>
      </c>
      <c r="AA34" s="39">
        <f t="shared" si="26"/>
        <v>12</v>
      </c>
      <c r="AB34" s="39">
        <f t="shared" si="26"/>
        <v>9</v>
      </c>
      <c r="AC34" s="39">
        <f t="shared" si="26"/>
        <v>1485</v>
      </c>
      <c r="AD34" s="39">
        <f t="shared" si="26"/>
        <v>0</v>
      </c>
      <c r="AE34" s="40">
        <f t="shared" si="26"/>
        <v>846</v>
      </c>
      <c r="AF34" s="40">
        <f t="shared" si="26"/>
        <v>2331</v>
      </c>
    </row>
    <row r="35" spans="2:32" ht="23.1" customHeight="1" x14ac:dyDescent="0.25">
      <c r="B35" s="46" t="s">
        <v>62</v>
      </c>
      <c r="C35" s="50">
        <v>45</v>
      </c>
      <c r="D35" s="50">
        <v>60</v>
      </c>
      <c r="E35" s="50">
        <v>14</v>
      </c>
      <c r="F35" s="50">
        <v>65</v>
      </c>
      <c r="G35" s="50">
        <v>3</v>
      </c>
      <c r="H35" s="50">
        <v>0</v>
      </c>
      <c r="I35" s="50">
        <v>6</v>
      </c>
      <c r="J35" s="50">
        <v>12</v>
      </c>
      <c r="K35" s="50">
        <v>6</v>
      </c>
      <c r="L35" s="50">
        <v>1</v>
      </c>
      <c r="M35" s="50">
        <v>275</v>
      </c>
      <c r="N35" s="50">
        <v>0</v>
      </c>
      <c r="O35" s="15">
        <f t="shared" si="0"/>
        <v>212</v>
      </c>
      <c r="P35" s="15">
        <f t="shared" si="1"/>
        <v>487</v>
      </c>
      <c r="R35" s="38" t="s">
        <v>91</v>
      </c>
      <c r="S35" s="39">
        <f t="shared" ref="S35:AF35" si="27">MAX(S13:S18)</f>
        <v>304</v>
      </c>
      <c r="T35" s="39">
        <f t="shared" si="27"/>
        <v>245</v>
      </c>
      <c r="U35" s="39">
        <f t="shared" si="27"/>
        <v>151</v>
      </c>
      <c r="V35" s="39">
        <f t="shared" si="27"/>
        <v>344</v>
      </c>
      <c r="W35" s="39">
        <f t="shared" si="27"/>
        <v>6</v>
      </c>
      <c r="X35" s="39">
        <f t="shared" si="27"/>
        <v>5</v>
      </c>
      <c r="Y35" s="39">
        <f t="shared" si="27"/>
        <v>41</v>
      </c>
      <c r="Z35" s="39">
        <f t="shared" si="27"/>
        <v>39</v>
      </c>
      <c r="AA35" s="39">
        <f t="shared" si="27"/>
        <v>21</v>
      </c>
      <c r="AB35" s="39">
        <f t="shared" si="27"/>
        <v>9</v>
      </c>
      <c r="AC35" s="39">
        <f t="shared" si="27"/>
        <v>1570</v>
      </c>
      <c r="AD35" s="39">
        <f t="shared" si="27"/>
        <v>0</v>
      </c>
      <c r="AE35" s="40">
        <f t="shared" si="27"/>
        <v>1144</v>
      </c>
      <c r="AF35" s="40">
        <f t="shared" si="27"/>
        <v>2484</v>
      </c>
    </row>
    <row r="36" spans="2:32" ht="23.1" customHeight="1" x14ac:dyDescent="0.25">
      <c r="B36" s="46" t="s">
        <v>63</v>
      </c>
      <c r="C36" s="50">
        <v>71</v>
      </c>
      <c r="D36" s="50">
        <v>0</v>
      </c>
      <c r="E36" s="50">
        <v>0</v>
      </c>
      <c r="F36" s="50">
        <v>0</v>
      </c>
      <c r="G36" s="50">
        <v>0</v>
      </c>
      <c r="H36" s="50">
        <v>4</v>
      </c>
      <c r="I36" s="50">
        <v>7</v>
      </c>
      <c r="J36" s="50">
        <v>4</v>
      </c>
      <c r="K36" s="50">
        <v>6</v>
      </c>
      <c r="L36" s="50">
        <v>1</v>
      </c>
      <c r="M36" s="50">
        <v>230</v>
      </c>
      <c r="N36" s="50">
        <v>0</v>
      </c>
      <c r="O36" s="15">
        <f t="shared" si="0"/>
        <v>93</v>
      </c>
      <c r="P36" s="15">
        <f t="shared" si="1"/>
        <v>323</v>
      </c>
      <c r="R36" s="38" t="s">
        <v>92</v>
      </c>
      <c r="S36" s="39">
        <f t="shared" ref="S36:AF36" si="28">MAX(S19:S21)</f>
        <v>287</v>
      </c>
      <c r="T36" s="39">
        <f t="shared" si="28"/>
        <v>75</v>
      </c>
      <c r="U36" s="39">
        <f t="shared" si="28"/>
        <v>53</v>
      </c>
      <c r="V36" s="39">
        <f t="shared" si="28"/>
        <v>183</v>
      </c>
      <c r="W36" s="39">
        <f t="shared" si="28"/>
        <v>11</v>
      </c>
      <c r="X36" s="39">
        <f t="shared" si="28"/>
        <v>6</v>
      </c>
      <c r="Y36" s="39">
        <f t="shared" si="28"/>
        <v>26</v>
      </c>
      <c r="Z36" s="39">
        <f t="shared" si="28"/>
        <v>10</v>
      </c>
      <c r="AA36" s="39">
        <f t="shared" si="28"/>
        <v>11</v>
      </c>
      <c r="AB36" s="39">
        <f t="shared" si="28"/>
        <v>1</v>
      </c>
      <c r="AC36" s="39">
        <f t="shared" si="28"/>
        <v>2214</v>
      </c>
      <c r="AD36" s="39">
        <f t="shared" si="28"/>
        <v>0</v>
      </c>
      <c r="AE36" s="40">
        <f t="shared" si="28"/>
        <v>590</v>
      </c>
      <c r="AF36" s="40">
        <f t="shared" si="28"/>
        <v>2749</v>
      </c>
    </row>
    <row r="37" spans="2:32" ht="23.1" customHeight="1" x14ac:dyDescent="0.25">
      <c r="B37" s="45" t="s">
        <v>64</v>
      </c>
      <c r="C37" s="50">
        <v>64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9</v>
      </c>
      <c r="J37" s="50">
        <v>5</v>
      </c>
      <c r="K37" s="50">
        <v>2</v>
      </c>
      <c r="L37" s="50">
        <v>3</v>
      </c>
      <c r="M37" s="50">
        <v>225</v>
      </c>
      <c r="N37" s="50">
        <v>0</v>
      </c>
      <c r="O37" s="15">
        <f t="shared" si="0"/>
        <v>83</v>
      </c>
      <c r="P37" s="15">
        <f t="shared" si="1"/>
        <v>308</v>
      </c>
      <c r="R37" s="37" t="s">
        <v>85</v>
      </c>
      <c r="S37" s="35">
        <f t="shared" ref="S37:AF37" si="29">SUM(S10:S12)</f>
        <v>608</v>
      </c>
      <c r="T37" s="16">
        <f t="shared" si="29"/>
        <v>381</v>
      </c>
      <c r="U37" s="16">
        <f t="shared" si="29"/>
        <v>240</v>
      </c>
      <c r="V37" s="16">
        <f t="shared" si="29"/>
        <v>718</v>
      </c>
      <c r="W37" s="16">
        <f t="shared" si="29"/>
        <v>15</v>
      </c>
      <c r="X37" s="16">
        <f t="shared" si="29"/>
        <v>9</v>
      </c>
      <c r="Y37" s="16">
        <f t="shared" si="29"/>
        <v>37</v>
      </c>
      <c r="Z37" s="16">
        <f t="shared" si="29"/>
        <v>46</v>
      </c>
      <c r="AA37" s="16">
        <f t="shared" si="29"/>
        <v>22</v>
      </c>
      <c r="AB37" s="16">
        <f t="shared" si="29"/>
        <v>18</v>
      </c>
      <c r="AC37" s="16">
        <f t="shared" si="29"/>
        <v>3860</v>
      </c>
      <c r="AD37" s="16">
        <f t="shared" si="29"/>
        <v>0</v>
      </c>
      <c r="AE37" s="32">
        <f t="shared" si="29"/>
        <v>2094</v>
      </c>
      <c r="AF37" s="32">
        <f t="shared" si="29"/>
        <v>5954</v>
      </c>
    </row>
    <row r="38" spans="2:32" ht="23.1" customHeight="1" x14ac:dyDescent="0.25">
      <c r="B38" s="46" t="s">
        <v>65</v>
      </c>
      <c r="C38" s="50">
        <v>63</v>
      </c>
      <c r="D38" s="50">
        <v>15</v>
      </c>
      <c r="E38" s="50">
        <v>6</v>
      </c>
      <c r="F38" s="50">
        <v>33</v>
      </c>
      <c r="G38" s="50">
        <v>2</v>
      </c>
      <c r="H38" s="50">
        <v>0</v>
      </c>
      <c r="I38" s="50">
        <v>14</v>
      </c>
      <c r="J38" s="50">
        <v>13</v>
      </c>
      <c r="K38" s="50">
        <v>6</v>
      </c>
      <c r="L38" s="50">
        <v>4</v>
      </c>
      <c r="M38" s="50">
        <v>300</v>
      </c>
      <c r="N38" s="50">
        <v>0</v>
      </c>
      <c r="O38" s="15">
        <f t="shared" si="0"/>
        <v>156</v>
      </c>
      <c r="P38" s="15">
        <f t="shared" si="1"/>
        <v>456</v>
      </c>
      <c r="R38" s="28" t="s">
        <v>86</v>
      </c>
      <c r="S38" s="16">
        <f t="shared" ref="S38:AF38" si="30">SUM(S13:S18)</f>
        <v>1439</v>
      </c>
      <c r="T38" s="16">
        <f t="shared" si="30"/>
        <v>778</v>
      </c>
      <c r="U38" s="16">
        <f t="shared" si="30"/>
        <v>470</v>
      </c>
      <c r="V38" s="16">
        <f t="shared" si="30"/>
        <v>1107</v>
      </c>
      <c r="W38" s="16">
        <f t="shared" si="30"/>
        <v>27</v>
      </c>
      <c r="X38" s="16">
        <f t="shared" si="30"/>
        <v>18</v>
      </c>
      <c r="Y38" s="16">
        <f t="shared" si="30"/>
        <v>199</v>
      </c>
      <c r="Z38" s="16">
        <f t="shared" si="30"/>
        <v>170</v>
      </c>
      <c r="AA38" s="16">
        <f t="shared" si="30"/>
        <v>99</v>
      </c>
      <c r="AB38" s="16">
        <f t="shared" si="30"/>
        <v>21</v>
      </c>
      <c r="AC38" s="16">
        <f t="shared" si="30"/>
        <v>7300</v>
      </c>
      <c r="AD38" s="16">
        <f t="shared" si="30"/>
        <v>0</v>
      </c>
      <c r="AE38" s="32">
        <f t="shared" si="30"/>
        <v>4328</v>
      </c>
      <c r="AF38" s="32">
        <f t="shared" si="30"/>
        <v>11628</v>
      </c>
    </row>
    <row r="39" spans="2:32" ht="23.1" customHeight="1" x14ac:dyDescent="0.25">
      <c r="B39" s="46" t="s">
        <v>66</v>
      </c>
      <c r="C39" s="50">
        <v>0</v>
      </c>
      <c r="D39" s="50">
        <v>12</v>
      </c>
      <c r="E39" s="50">
        <v>9</v>
      </c>
      <c r="F39" s="50">
        <v>20</v>
      </c>
      <c r="G39" s="50">
        <v>0</v>
      </c>
      <c r="H39" s="50">
        <v>1</v>
      </c>
      <c r="I39" s="50">
        <v>6</v>
      </c>
      <c r="J39" s="50">
        <v>12</v>
      </c>
      <c r="K39" s="50">
        <v>6</v>
      </c>
      <c r="L39" s="50">
        <v>0</v>
      </c>
      <c r="M39" s="50">
        <v>290</v>
      </c>
      <c r="N39" s="50">
        <v>0</v>
      </c>
      <c r="O39" s="15">
        <f t="shared" si="0"/>
        <v>66</v>
      </c>
      <c r="P39" s="15">
        <f t="shared" si="1"/>
        <v>356</v>
      </c>
      <c r="R39" s="29" t="s">
        <v>87</v>
      </c>
      <c r="S39" s="16">
        <f t="shared" ref="S39:AF39" si="31">SUM(S19:S21)</f>
        <v>717</v>
      </c>
      <c r="T39" s="16">
        <f t="shared" si="31"/>
        <v>190</v>
      </c>
      <c r="U39" s="16">
        <f t="shared" si="31"/>
        <v>132</v>
      </c>
      <c r="V39" s="16">
        <f t="shared" si="31"/>
        <v>460</v>
      </c>
      <c r="W39" s="16">
        <f t="shared" si="31"/>
        <v>17</v>
      </c>
      <c r="X39" s="16">
        <f t="shared" si="31"/>
        <v>13</v>
      </c>
      <c r="Y39" s="16">
        <f t="shared" si="31"/>
        <v>65</v>
      </c>
      <c r="Z39" s="16">
        <f t="shared" si="31"/>
        <v>28</v>
      </c>
      <c r="AA39" s="16">
        <f t="shared" si="31"/>
        <v>16</v>
      </c>
      <c r="AB39" s="16">
        <f t="shared" si="31"/>
        <v>3</v>
      </c>
      <c r="AC39" s="16">
        <f t="shared" si="31"/>
        <v>6359</v>
      </c>
      <c r="AD39" s="16">
        <f t="shared" si="31"/>
        <v>0</v>
      </c>
      <c r="AE39" s="32">
        <f t="shared" si="31"/>
        <v>1641</v>
      </c>
      <c r="AF39" s="32">
        <f t="shared" si="31"/>
        <v>8000</v>
      </c>
    </row>
    <row r="40" spans="2:32" ht="23.1" customHeight="1" x14ac:dyDescent="0.25">
      <c r="B40" s="46" t="s">
        <v>67</v>
      </c>
      <c r="C40" s="50">
        <v>74</v>
      </c>
      <c r="D40" s="50">
        <v>24</v>
      </c>
      <c r="E40" s="50">
        <v>0</v>
      </c>
      <c r="F40" s="50">
        <v>0</v>
      </c>
      <c r="G40" s="50">
        <v>2</v>
      </c>
      <c r="H40" s="50">
        <v>2</v>
      </c>
      <c r="I40" s="50">
        <v>6</v>
      </c>
      <c r="J40" s="50">
        <v>4</v>
      </c>
      <c r="K40" s="50">
        <v>7</v>
      </c>
      <c r="L40" s="50">
        <v>1</v>
      </c>
      <c r="M40" s="50">
        <v>105</v>
      </c>
      <c r="N40" s="50">
        <v>0</v>
      </c>
      <c r="O40" s="15">
        <f t="shared" si="0"/>
        <v>120</v>
      </c>
      <c r="P40" s="15">
        <f t="shared" si="1"/>
        <v>225</v>
      </c>
      <c r="R40" s="5" t="s">
        <v>17</v>
      </c>
      <c r="S40" s="16">
        <f t="shared" ref="S40:AF40" si="32">SUM(S10:S21)</f>
        <v>2764</v>
      </c>
      <c r="T40" s="16">
        <f t="shared" si="32"/>
        <v>1349</v>
      </c>
      <c r="U40" s="16">
        <f t="shared" si="32"/>
        <v>842</v>
      </c>
      <c r="V40" s="16">
        <f t="shared" si="32"/>
        <v>2285</v>
      </c>
      <c r="W40" s="16">
        <f t="shared" si="32"/>
        <v>59</v>
      </c>
      <c r="X40" s="16">
        <f t="shared" si="32"/>
        <v>40</v>
      </c>
      <c r="Y40" s="16">
        <f t="shared" si="32"/>
        <v>301</v>
      </c>
      <c r="Z40" s="16">
        <f t="shared" si="32"/>
        <v>244</v>
      </c>
      <c r="AA40" s="16">
        <f t="shared" si="32"/>
        <v>137</v>
      </c>
      <c r="AB40" s="16">
        <f t="shared" si="32"/>
        <v>42</v>
      </c>
      <c r="AC40" s="16">
        <f t="shared" si="32"/>
        <v>17519</v>
      </c>
      <c r="AD40" s="16">
        <f t="shared" si="32"/>
        <v>0</v>
      </c>
      <c r="AE40" s="32">
        <f t="shared" si="32"/>
        <v>8063</v>
      </c>
      <c r="AF40" s="32">
        <f t="shared" si="32"/>
        <v>25582</v>
      </c>
    </row>
    <row r="41" spans="2:32" ht="23.1" customHeight="1" x14ac:dyDescent="0.25">
      <c r="B41" s="45" t="s">
        <v>68</v>
      </c>
      <c r="C41" s="50">
        <v>65</v>
      </c>
      <c r="D41" s="50">
        <v>21</v>
      </c>
      <c r="E41" s="50">
        <v>0</v>
      </c>
      <c r="F41" s="50">
        <v>0</v>
      </c>
      <c r="G41" s="50">
        <v>2</v>
      </c>
      <c r="H41" s="50">
        <v>0</v>
      </c>
      <c r="I41" s="50">
        <v>9</v>
      </c>
      <c r="J41" s="50">
        <v>5</v>
      </c>
      <c r="K41" s="50">
        <v>2</v>
      </c>
      <c r="L41" s="50">
        <v>3</v>
      </c>
      <c r="M41" s="50">
        <v>340</v>
      </c>
      <c r="N41" s="50">
        <v>0</v>
      </c>
      <c r="O41" s="15">
        <f t="shared" si="0"/>
        <v>107</v>
      </c>
      <c r="P41" s="15">
        <f t="shared" si="1"/>
        <v>447</v>
      </c>
      <c r="R41" s="5" t="s">
        <v>159</v>
      </c>
      <c r="S41" s="16">
        <f>SUM(S10:S33)</f>
        <v>3775</v>
      </c>
      <c r="T41" s="16">
        <f t="shared" ref="T41:AF41" si="33">SUM(T10:T33)</f>
        <v>1817</v>
      </c>
      <c r="U41" s="16">
        <f t="shared" si="33"/>
        <v>993</v>
      </c>
      <c r="V41" s="16">
        <f t="shared" si="33"/>
        <v>3233</v>
      </c>
      <c r="W41" s="16">
        <f t="shared" si="33"/>
        <v>74</v>
      </c>
      <c r="X41" s="16">
        <f t="shared" si="33"/>
        <v>52</v>
      </c>
      <c r="Y41" s="16">
        <f t="shared" si="33"/>
        <v>475</v>
      </c>
      <c r="Z41" s="16">
        <f t="shared" si="33"/>
        <v>390</v>
      </c>
      <c r="AA41" s="16">
        <f t="shared" si="33"/>
        <v>198</v>
      </c>
      <c r="AB41" s="16">
        <f t="shared" si="33"/>
        <v>58</v>
      </c>
      <c r="AC41" s="16">
        <f t="shared" si="33"/>
        <v>23865</v>
      </c>
      <c r="AD41" s="16">
        <f t="shared" si="33"/>
        <v>0</v>
      </c>
      <c r="AE41" s="32">
        <f t="shared" si="33"/>
        <v>11065</v>
      </c>
      <c r="AF41" s="32">
        <f t="shared" si="33"/>
        <v>34930</v>
      </c>
    </row>
    <row r="42" spans="2:32" ht="23.1" customHeight="1" x14ac:dyDescent="0.25">
      <c r="B42" s="46" t="s">
        <v>69</v>
      </c>
      <c r="C42" s="50">
        <v>30</v>
      </c>
      <c r="D42" s="50">
        <v>30</v>
      </c>
      <c r="E42" s="50">
        <v>6</v>
      </c>
      <c r="F42" s="50">
        <v>42</v>
      </c>
      <c r="G42" s="50">
        <v>0</v>
      </c>
      <c r="H42" s="50">
        <v>0</v>
      </c>
      <c r="I42" s="50">
        <v>11</v>
      </c>
      <c r="J42" s="50">
        <v>0</v>
      </c>
      <c r="K42" s="50">
        <v>2</v>
      </c>
      <c r="L42" s="50">
        <v>0</v>
      </c>
      <c r="M42" s="50">
        <v>350</v>
      </c>
      <c r="N42" s="50">
        <v>0</v>
      </c>
      <c r="O42" s="15">
        <f t="shared" si="0"/>
        <v>121</v>
      </c>
      <c r="P42" s="15">
        <f t="shared" si="1"/>
        <v>471</v>
      </c>
      <c r="R42" s="5" t="s">
        <v>160</v>
      </c>
      <c r="S42" s="48">
        <f>S41/S40</f>
        <v>1.3657742402315485</v>
      </c>
      <c r="T42" s="48">
        <f t="shared" ref="T42:AF42" si="34">T41/T40</f>
        <v>1.3469236471460342</v>
      </c>
      <c r="U42" s="48">
        <f t="shared" si="34"/>
        <v>1.1793349168646081</v>
      </c>
      <c r="V42" s="48">
        <f t="shared" si="34"/>
        <v>1.4148796498905909</v>
      </c>
      <c r="W42" s="48">
        <f t="shared" si="34"/>
        <v>1.2542372881355932</v>
      </c>
      <c r="X42" s="48">
        <f t="shared" si="34"/>
        <v>1.3</v>
      </c>
      <c r="Y42" s="48">
        <f t="shared" si="34"/>
        <v>1.5780730897009967</v>
      </c>
      <c r="Z42" s="48">
        <f t="shared" si="34"/>
        <v>1.598360655737705</v>
      </c>
      <c r="AA42" s="48">
        <f t="shared" si="34"/>
        <v>1.4452554744525548</v>
      </c>
      <c r="AB42" s="48">
        <f t="shared" si="34"/>
        <v>1.3809523809523809</v>
      </c>
      <c r="AC42" s="48">
        <f t="shared" si="34"/>
        <v>1.362235287402249</v>
      </c>
      <c r="AD42" s="48" t="e">
        <f t="shared" si="34"/>
        <v>#DIV/0!</v>
      </c>
      <c r="AE42" s="48">
        <f t="shared" si="34"/>
        <v>1.3723179957832072</v>
      </c>
      <c r="AF42" s="48">
        <f t="shared" si="34"/>
        <v>1.3654131811429913</v>
      </c>
    </row>
    <row r="43" spans="2:32" ht="23.1" customHeight="1" x14ac:dyDescent="0.25">
      <c r="B43" s="45" t="s">
        <v>70</v>
      </c>
      <c r="C43" s="50">
        <v>61</v>
      </c>
      <c r="D43" s="50">
        <v>44</v>
      </c>
      <c r="E43" s="50">
        <v>11</v>
      </c>
      <c r="F43" s="50">
        <v>5</v>
      </c>
      <c r="G43" s="50">
        <v>0</v>
      </c>
      <c r="H43" s="50">
        <v>0</v>
      </c>
      <c r="I43" s="50">
        <v>8</v>
      </c>
      <c r="J43" s="50">
        <v>2</v>
      </c>
      <c r="K43" s="50">
        <v>3</v>
      </c>
      <c r="L43" s="50">
        <v>0</v>
      </c>
      <c r="M43" s="50">
        <v>270</v>
      </c>
      <c r="N43" s="50">
        <v>0</v>
      </c>
      <c r="O43" s="15">
        <f t="shared" si="0"/>
        <v>134</v>
      </c>
      <c r="P43" s="15">
        <f t="shared" si="1"/>
        <v>404</v>
      </c>
    </row>
    <row r="44" spans="2:32" ht="23.1" customHeight="1" x14ac:dyDescent="0.25">
      <c r="B44" s="47" t="s">
        <v>71</v>
      </c>
      <c r="C44" s="50">
        <v>45</v>
      </c>
      <c r="D44" s="50">
        <v>17</v>
      </c>
      <c r="E44" s="50">
        <v>14</v>
      </c>
      <c r="F44" s="50">
        <v>37</v>
      </c>
      <c r="G44" s="50">
        <v>1</v>
      </c>
      <c r="H44" s="50">
        <v>5</v>
      </c>
      <c r="I44" s="50">
        <v>11</v>
      </c>
      <c r="J44" s="50">
        <v>6</v>
      </c>
      <c r="K44" s="50">
        <v>3</v>
      </c>
      <c r="L44" s="50">
        <v>0</v>
      </c>
      <c r="M44" s="50">
        <v>520</v>
      </c>
      <c r="N44" s="50">
        <v>0</v>
      </c>
      <c r="O44" s="15">
        <f t="shared" si="0"/>
        <v>139</v>
      </c>
      <c r="P44" s="15">
        <f t="shared" si="1"/>
        <v>659</v>
      </c>
    </row>
    <row r="45" spans="2:32" ht="23.1" customHeight="1" x14ac:dyDescent="0.25">
      <c r="B45" s="45" t="s">
        <v>72</v>
      </c>
      <c r="C45" s="50">
        <v>41</v>
      </c>
      <c r="D45" s="50">
        <v>15</v>
      </c>
      <c r="E45" s="50">
        <v>6</v>
      </c>
      <c r="F45" s="50">
        <v>24</v>
      </c>
      <c r="G45" s="50">
        <v>0</v>
      </c>
      <c r="H45" s="50">
        <v>0</v>
      </c>
      <c r="I45" s="50">
        <v>11</v>
      </c>
      <c r="J45" s="50">
        <v>3</v>
      </c>
      <c r="K45" s="50">
        <v>4</v>
      </c>
      <c r="L45" s="50">
        <v>0</v>
      </c>
      <c r="M45" s="50">
        <v>430</v>
      </c>
      <c r="N45" s="50">
        <v>0</v>
      </c>
      <c r="O45" s="15">
        <f t="shared" si="0"/>
        <v>104</v>
      </c>
      <c r="P45" s="15">
        <f t="shared" si="1"/>
        <v>534</v>
      </c>
    </row>
    <row r="46" spans="2:32" ht="23.1" customHeight="1" x14ac:dyDescent="0.25">
      <c r="B46" s="46" t="s">
        <v>73</v>
      </c>
      <c r="C46" s="50">
        <v>81</v>
      </c>
      <c r="D46" s="50">
        <v>20</v>
      </c>
      <c r="E46" s="50">
        <v>11</v>
      </c>
      <c r="F46" s="50">
        <v>45</v>
      </c>
      <c r="G46" s="50">
        <v>2</v>
      </c>
      <c r="H46" s="50">
        <v>1</v>
      </c>
      <c r="I46" s="50">
        <v>9</v>
      </c>
      <c r="J46" s="50">
        <v>5</v>
      </c>
      <c r="K46" s="50">
        <v>0</v>
      </c>
      <c r="L46" s="50">
        <v>0</v>
      </c>
      <c r="M46" s="50">
        <v>560</v>
      </c>
      <c r="N46" s="50">
        <v>0</v>
      </c>
      <c r="O46" s="15">
        <f t="shared" si="0"/>
        <v>174</v>
      </c>
      <c r="P46" s="15">
        <f t="shared" si="1"/>
        <v>734</v>
      </c>
      <c r="R46" s="8"/>
      <c r="T46"/>
    </row>
    <row r="47" spans="2:32" ht="23.1" customHeight="1" x14ac:dyDescent="0.25">
      <c r="B47" s="46" t="s">
        <v>74</v>
      </c>
      <c r="C47" s="50">
        <v>70</v>
      </c>
      <c r="D47" s="50">
        <v>15</v>
      </c>
      <c r="E47" s="50">
        <v>17</v>
      </c>
      <c r="F47" s="50">
        <v>30</v>
      </c>
      <c r="G47" s="50">
        <v>0</v>
      </c>
      <c r="H47" s="50">
        <v>0</v>
      </c>
      <c r="I47" s="50">
        <v>10</v>
      </c>
      <c r="J47" s="50">
        <v>2</v>
      </c>
      <c r="K47" s="50">
        <v>7</v>
      </c>
      <c r="L47" s="50">
        <v>1</v>
      </c>
      <c r="M47" s="50">
        <v>505</v>
      </c>
      <c r="N47" s="50">
        <v>0</v>
      </c>
      <c r="O47" s="15">
        <f t="shared" si="0"/>
        <v>152</v>
      </c>
      <c r="P47" s="15">
        <f t="shared" si="1"/>
        <v>657</v>
      </c>
      <c r="R47" s="8"/>
      <c r="T47"/>
    </row>
    <row r="48" spans="2:32" ht="23.1" customHeight="1" x14ac:dyDescent="0.25">
      <c r="B48" s="46" t="s">
        <v>75</v>
      </c>
      <c r="C48" s="50">
        <v>59</v>
      </c>
      <c r="D48" s="50">
        <v>15</v>
      </c>
      <c r="E48" s="50">
        <v>13</v>
      </c>
      <c r="F48" s="50">
        <v>34</v>
      </c>
      <c r="G48" s="50">
        <v>0</v>
      </c>
      <c r="H48" s="50">
        <v>1</v>
      </c>
      <c r="I48" s="50">
        <v>4</v>
      </c>
      <c r="J48" s="50">
        <v>2</v>
      </c>
      <c r="K48" s="50">
        <v>2</v>
      </c>
      <c r="L48" s="50">
        <v>0</v>
      </c>
      <c r="M48" s="50">
        <v>590</v>
      </c>
      <c r="N48" s="50">
        <v>0</v>
      </c>
      <c r="O48" s="15">
        <f t="shared" si="0"/>
        <v>130</v>
      </c>
      <c r="P48" s="15">
        <f t="shared" si="1"/>
        <v>720</v>
      </c>
      <c r="R48" s="8"/>
      <c r="T48"/>
    </row>
    <row r="49" spans="2:20" ht="23.1" customHeight="1" x14ac:dyDescent="0.25">
      <c r="B49" s="45" t="s">
        <v>76</v>
      </c>
      <c r="C49" s="50">
        <v>77</v>
      </c>
      <c r="D49" s="50">
        <v>9</v>
      </c>
      <c r="E49" s="50">
        <v>12</v>
      </c>
      <c r="F49" s="50">
        <v>28</v>
      </c>
      <c r="G49" s="50">
        <v>0</v>
      </c>
      <c r="H49" s="50">
        <v>2</v>
      </c>
      <c r="I49" s="50">
        <v>3</v>
      </c>
      <c r="J49" s="50">
        <v>1</v>
      </c>
      <c r="K49" s="50">
        <v>2</v>
      </c>
      <c r="L49" s="50">
        <v>0</v>
      </c>
      <c r="M49" s="50">
        <v>360</v>
      </c>
      <c r="N49" s="50">
        <v>0</v>
      </c>
      <c r="O49" s="15">
        <f t="shared" si="0"/>
        <v>134</v>
      </c>
      <c r="P49" s="15">
        <f t="shared" si="1"/>
        <v>494</v>
      </c>
      <c r="R49" s="8"/>
      <c r="T49"/>
    </row>
    <row r="50" spans="2:20" ht="23.1" customHeight="1" x14ac:dyDescent="0.25">
      <c r="B50" s="46" t="s">
        <v>77</v>
      </c>
      <c r="C50" s="50">
        <v>63</v>
      </c>
      <c r="D50" s="50">
        <v>7</v>
      </c>
      <c r="E50" s="50">
        <v>3</v>
      </c>
      <c r="F50" s="50">
        <v>60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1</v>
      </c>
      <c r="M50" s="50">
        <v>415</v>
      </c>
      <c r="N50" s="50">
        <v>0</v>
      </c>
      <c r="O50" s="15">
        <f t="shared" si="0"/>
        <v>137</v>
      </c>
      <c r="P50" s="15">
        <f t="shared" si="1"/>
        <v>552</v>
      </c>
      <c r="R50" s="8"/>
      <c r="T50"/>
    </row>
    <row r="51" spans="2:20" ht="23.1" customHeight="1" x14ac:dyDescent="0.25">
      <c r="B51" s="46" t="s">
        <v>78</v>
      </c>
      <c r="C51" s="50">
        <v>36</v>
      </c>
      <c r="D51" s="50">
        <v>20</v>
      </c>
      <c r="E51" s="50">
        <v>9</v>
      </c>
      <c r="F51" s="50">
        <v>41</v>
      </c>
      <c r="G51" s="50">
        <v>1</v>
      </c>
      <c r="H51" s="50">
        <v>2</v>
      </c>
      <c r="I51" s="50">
        <v>6</v>
      </c>
      <c r="J51" s="50">
        <v>6</v>
      </c>
      <c r="K51" s="50">
        <v>0</v>
      </c>
      <c r="L51" s="50">
        <v>0</v>
      </c>
      <c r="M51" s="50">
        <v>715</v>
      </c>
      <c r="N51" s="50">
        <v>0</v>
      </c>
      <c r="O51" s="15">
        <f t="shared" si="0"/>
        <v>121</v>
      </c>
      <c r="P51" s="15">
        <f t="shared" si="1"/>
        <v>836</v>
      </c>
      <c r="R51" s="8"/>
      <c r="T51"/>
    </row>
    <row r="52" spans="2:20" ht="23.1" customHeight="1" x14ac:dyDescent="0.25">
      <c r="B52" s="46" t="s">
        <v>79</v>
      </c>
      <c r="C52" s="50">
        <v>53</v>
      </c>
      <c r="D52" s="50">
        <v>16</v>
      </c>
      <c r="E52" s="50">
        <v>9</v>
      </c>
      <c r="F52" s="50">
        <v>42</v>
      </c>
      <c r="G52" s="50">
        <v>3</v>
      </c>
      <c r="H52" s="50">
        <v>1</v>
      </c>
      <c r="I52" s="50">
        <v>8</v>
      </c>
      <c r="J52" s="50">
        <v>2</v>
      </c>
      <c r="K52" s="50">
        <v>0</v>
      </c>
      <c r="L52" s="50">
        <v>0</v>
      </c>
      <c r="M52" s="50">
        <v>680</v>
      </c>
      <c r="N52" s="50">
        <v>0</v>
      </c>
      <c r="O52" s="15">
        <f t="shared" si="0"/>
        <v>134</v>
      </c>
      <c r="P52" s="15">
        <f t="shared" si="1"/>
        <v>814</v>
      </c>
      <c r="R52" s="8"/>
      <c r="T52"/>
    </row>
    <row r="53" spans="2:20" ht="23.1" customHeight="1" x14ac:dyDescent="0.25">
      <c r="B53" s="45" t="s">
        <v>80</v>
      </c>
      <c r="C53" s="50">
        <v>51</v>
      </c>
      <c r="D53" s="50">
        <v>13</v>
      </c>
      <c r="E53" s="50">
        <v>11</v>
      </c>
      <c r="F53" s="50">
        <v>40</v>
      </c>
      <c r="G53" s="50">
        <v>0</v>
      </c>
      <c r="H53" s="50">
        <v>0</v>
      </c>
      <c r="I53" s="50">
        <v>6</v>
      </c>
      <c r="J53" s="50">
        <v>2</v>
      </c>
      <c r="K53" s="50">
        <v>1</v>
      </c>
      <c r="L53" s="50">
        <v>0</v>
      </c>
      <c r="M53" s="50">
        <v>320</v>
      </c>
      <c r="N53" s="50">
        <v>0</v>
      </c>
      <c r="O53" s="15">
        <f t="shared" si="0"/>
        <v>124</v>
      </c>
      <c r="P53" s="15">
        <f t="shared" si="1"/>
        <v>444</v>
      </c>
      <c r="R53" s="8"/>
      <c r="T53"/>
    </row>
    <row r="54" spans="2:20" ht="23.1" customHeight="1" x14ac:dyDescent="0.25">
      <c r="B54" s="45" t="s">
        <v>81</v>
      </c>
      <c r="C54" s="50">
        <v>50</v>
      </c>
      <c r="D54" s="50">
        <v>19</v>
      </c>
      <c r="E54" s="50">
        <v>13</v>
      </c>
      <c r="F54" s="50">
        <v>36</v>
      </c>
      <c r="G54" s="50">
        <v>3</v>
      </c>
      <c r="H54" s="50">
        <v>1</v>
      </c>
      <c r="I54" s="50">
        <v>6</v>
      </c>
      <c r="J54" s="50">
        <v>1</v>
      </c>
      <c r="K54" s="50">
        <v>0</v>
      </c>
      <c r="L54" s="50">
        <v>0</v>
      </c>
      <c r="M54" s="50">
        <v>570</v>
      </c>
      <c r="N54" s="50">
        <v>0</v>
      </c>
      <c r="O54" s="15">
        <f t="shared" si="0"/>
        <v>129</v>
      </c>
      <c r="P54" s="15">
        <f t="shared" si="1"/>
        <v>699</v>
      </c>
      <c r="R54" s="8"/>
      <c r="T54"/>
    </row>
    <row r="55" spans="2:20" ht="23.1" customHeight="1" x14ac:dyDescent="0.25">
      <c r="B55" s="45" t="s">
        <v>82</v>
      </c>
      <c r="C55" s="50">
        <v>63</v>
      </c>
      <c r="D55" s="50">
        <v>23</v>
      </c>
      <c r="E55" s="50">
        <v>9</v>
      </c>
      <c r="F55" s="50">
        <v>40</v>
      </c>
      <c r="G55" s="50">
        <v>4</v>
      </c>
      <c r="H55" s="50">
        <v>3</v>
      </c>
      <c r="I55" s="50">
        <v>6</v>
      </c>
      <c r="J55" s="50">
        <v>3</v>
      </c>
      <c r="K55" s="50">
        <v>3</v>
      </c>
      <c r="L55" s="50">
        <v>0</v>
      </c>
      <c r="M55" s="50">
        <v>602</v>
      </c>
      <c r="N55" s="50">
        <v>0</v>
      </c>
      <c r="O55" s="15">
        <f t="shared" si="0"/>
        <v>154</v>
      </c>
      <c r="P55" s="15">
        <f t="shared" si="1"/>
        <v>756</v>
      </c>
      <c r="R55" s="8"/>
      <c r="T55"/>
    </row>
    <row r="56" spans="2:20" ht="23.1" customHeight="1" x14ac:dyDescent="0.25">
      <c r="B56" s="45" t="s">
        <v>83</v>
      </c>
      <c r="C56" s="50">
        <v>64</v>
      </c>
      <c r="D56" s="50">
        <v>15</v>
      </c>
      <c r="E56" s="50">
        <v>15</v>
      </c>
      <c r="F56" s="50">
        <v>34</v>
      </c>
      <c r="G56" s="50">
        <v>1</v>
      </c>
      <c r="H56" s="50">
        <v>0</v>
      </c>
      <c r="I56" s="50">
        <v>4</v>
      </c>
      <c r="J56" s="50">
        <v>3</v>
      </c>
      <c r="K56" s="50">
        <v>1</v>
      </c>
      <c r="L56" s="50">
        <v>1</v>
      </c>
      <c r="M56" s="50">
        <v>502</v>
      </c>
      <c r="N56" s="50">
        <v>0</v>
      </c>
      <c r="O56" s="15">
        <f t="shared" si="0"/>
        <v>138</v>
      </c>
      <c r="P56" s="15">
        <f t="shared" si="1"/>
        <v>640</v>
      </c>
      <c r="R56" s="8"/>
      <c r="T56"/>
    </row>
    <row r="57" spans="2:20" ht="23.1" customHeight="1" x14ac:dyDescent="0.25">
      <c r="B57" s="45" t="s">
        <v>84</v>
      </c>
      <c r="C57" s="50">
        <v>50</v>
      </c>
      <c r="D57" s="50">
        <v>18</v>
      </c>
      <c r="E57" s="50">
        <v>10</v>
      </c>
      <c r="F57" s="50">
        <v>30</v>
      </c>
      <c r="G57" s="50">
        <v>3</v>
      </c>
      <c r="H57" s="50">
        <v>2</v>
      </c>
      <c r="I57" s="50">
        <v>0</v>
      </c>
      <c r="J57" s="50">
        <v>1</v>
      </c>
      <c r="K57" s="50">
        <v>0</v>
      </c>
      <c r="L57" s="50">
        <v>0</v>
      </c>
      <c r="M57" s="50">
        <v>540</v>
      </c>
      <c r="N57" s="50">
        <v>0</v>
      </c>
      <c r="O57" s="15">
        <f t="shared" si="0"/>
        <v>114</v>
      </c>
      <c r="P57" s="15">
        <f t="shared" si="1"/>
        <v>654</v>
      </c>
      <c r="R57" s="8"/>
      <c r="T57"/>
    </row>
    <row r="58" spans="2:20" ht="23.1" customHeight="1" x14ac:dyDescent="0.25">
      <c r="B58" s="45" t="s">
        <v>99</v>
      </c>
      <c r="C58" s="50">
        <v>54</v>
      </c>
      <c r="D58" s="50">
        <v>17</v>
      </c>
      <c r="E58" s="50">
        <v>4</v>
      </c>
      <c r="F58" s="50">
        <v>29</v>
      </c>
      <c r="G58" s="50">
        <v>1</v>
      </c>
      <c r="H58" s="50">
        <v>0</v>
      </c>
      <c r="I58" s="50">
        <v>66</v>
      </c>
      <c r="J58" s="50">
        <v>2</v>
      </c>
      <c r="K58" s="50">
        <v>0</v>
      </c>
      <c r="L58" s="50">
        <v>1</v>
      </c>
      <c r="M58" s="50">
        <v>255</v>
      </c>
      <c r="N58" s="50">
        <v>0</v>
      </c>
      <c r="O58" s="15">
        <f t="shared" si="0"/>
        <v>174</v>
      </c>
      <c r="P58" s="15">
        <f t="shared" si="1"/>
        <v>429</v>
      </c>
      <c r="R58" s="8"/>
      <c r="T58"/>
    </row>
    <row r="59" spans="2:20" ht="23.1" customHeight="1" x14ac:dyDescent="0.25">
      <c r="B59" s="45" t="s">
        <v>100</v>
      </c>
      <c r="C59" s="50">
        <v>41</v>
      </c>
      <c r="D59" s="50">
        <v>9</v>
      </c>
      <c r="E59" s="50">
        <v>6</v>
      </c>
      <c r="F59" s="50">
        <v>16</v>
      </c>
      <c r="G59" s="50">
        <v>1</v>
      </c>
      <c r="H59" s="50">
        <v>1</v>
      </c>
      <c r="I59" s="50">
        <v>4</v>
      </c>
      <c r="J59" s="50">
        <v>1</v>
      </c>
      <c r="K59" s="50">
        <v>0</v>
      </c>
      <c r="L59" s="50">
        <v>0</v>
      </c>
      <c r="M59" s="50">
        <v>318</v>
      </c>
      <c r="N59" s="50">
        <v>0</v>
      </c>
      <c r="O59" s="15">
        <f t="shared" si="0"/>
        <v>79</v>
      </c>
      <c r="P59" s="15">
        <f t="shared" si="1"/>
        <v>397</v>
      </c>
      <c r="R59" s="8"/>
      <c r="T59"/>
    </row>
    <row r="60" spans="2:20" ht="23.1" customHeight="1" x14ac:dyDescent="0.25">
      <c r="B60" s="45" t="s">
        <v>101</v>
      </c>
      <c r="C60" s="50">
        <v>41</v>
      </c>
      <c r="D60" s="50">
        <v>25</v>
      </c>
      <c r="E60" s="50">
        <v>12</v>
      </c>
      <c r="F60" s="50">
        <v>35</v>
      </c>
      <c r="G60" s="50">
        <v>1</v>
      </c>
      <c r="H60" s="50">
        <v>0</v>
      </c>
      <c r="I60" s="50">
        <v>3</v>
      </c>
      <c r="J60" s="50">
        <v>2</v>
      </c>
      <c r="K60" s="50">
        <v>2</v>
      </c>
      <c r="L60" s="50">
        <v>0</v>
      </c>
      <c r="M60" s="50">
        <v>302</v>
      </c>
      <c r="N60" s="50">
        <v>0</v>
      </c>
      <c r="O60" s="15">
        <f t="shared" si="0"/>
        <v>121</v>
      </c>
      <c r="P60" s="15">
        <f t="shared" si="1"/>
        <v>423</v>
      </c>
      <c r="R60" s="8"/>
      <c r="T60"/>
    </row>
    <row r="61" spans="2:20" ht="23.1" customHeight="1" x14ac:dyDescent="0.25">
      <c r="B61" s="45" t="s">
        <v>102</v>
      </c>
      <c r="C61" s="50">
        <v>15</v>
      </c>
      <c r="D61" s="50">
        <v>20</v>
      </c>
      <c r="E61" s="50">
        <v>6</v>
      </c>
      <c r="F61" s="50">
        <v>10</v>
      </c>
      <c r="G61" s="50">
        <v>0</v>
      </c>
      <c r="H61" s="50">
        <v>0</v>
      </c>
      <c r="I61" s="50">
        <v>7</v>
      </c>
      <c r="J61" s="50">
        <v>4</v>
      </c>
      <c r="K61" s="50">
        <v>3</v>
      </c>
      <c r="L61" s="50">
        <v>0</v>
      </c>
      <c r="M61" s="50">
        <v>279</v>
      </c>
      <c r="N61" s="50">
        <v>0</v>
      </c>
      <c r="O61" s="15">
        <f t="shared" si="0"/>
        <v>65</v>
      </c>
      <c r="P61" s="15">
        <f t="shared" si="1"/>
        <v>344</v>
      </c>
      <c r="R61" s="8"/>
      <c r="T61"/>
    </row>
    <row r="62" spans="2:20" ht="23.1" customHeight="1" x14ac:dyDescent="0.25">
      <c r="B62" s="45" t="s">
        <v>107</v>
      </c>
      <c r="C62" s="50">
        <v>8</v>
      </c>
      <c r="D62" s="50">
        <v>3</v>
      </c>
      <c r="E62" s="50">
        <v>1</v>
      </c>
      <c r="F62" s="50">
        <v>6</v>
      </c>
      <c r="G62" s="50">
        <v>0</v>
      </c>
      <c r="H62" s="50">
        <v>0</v>
      </c>
      <c r="I62" s="50">
        <v>5</v>
      </c>
      <c r="J62" s="50">
        <v>2</v>
      </c>
      <c r="K62" s="50">
        <v>1</v>
      </c>
      <c r="L62" s="50">
        <v>1</v>
      </c>
      <c r="M62" s="50">
        <v>365</v>
      </c>
      <c r="N62" s="50">
        <v>0</v>
      </c>
      <c r="O62" s="15">
        <f t="shared" si="0"/>
        <v>27</v>
      </c>
      <c r="P62" s="15">
        <f t="shared" si="1"/>
        <v>392</v>
      </c>
      <c r="R62" s="8"/>
      <c r="T62"/>
    </row>
    <row r="63" spans="2:20" ht="23.1" customHeight="1" x14ac:dyDescent="0.25">
      <c r="B63" s="45" t="s">
        <v>108</v>
      </c>
      <c r="C63" s="50">
        <v>42</v>
      </c>
      <c r="D63" s="50">
        <v>10</v>
      </c>
      <c r="E63" s="50">
        <v>10</v>
      </c>
      <c r="F63" s="50">
        <v>15</v>
      </c>
      <c r="G63" s="50">
        <v>0</v>
      </c>
      <c r="H63" s="50">
        <v>0</v>
      </c>
      <c r="I63" s="50">
        <v>8</v>
      </c>
      <c r="J63" s="50">
        <v>4</v>
      </c>
      <c r="K63" s="50">
        <v>0</v>
      </c>
      <c r="L63" s="50">
        <v>0</v>
      </c>
      <c r="M63" s="50">
        <v>385</v>
      </c>
      <c r="N63" s="50">
        <v>0</v>
      </c>
      <c r="O63" s="15">
        <f t="shared" si="0"/>
        <v>89</v>
      </c>
      <c r="P63" s="15">
        <f t="shared" si="1"/>
        <v>474</v>
      </c>
      <c r="R63" s="8"/>
      <c r="T63"/>
    </row>
    <row r="64" spans="2:20" ht="23.1" customHeight="1" x14ac:dyDescent="0.25">
      <c r="B64" s="45" t="s">
        <v>109</v>
      </c>
      <c r="C64" s="50">
        <v>30</v>
      </c>
      <c r="D64" s="50">
        <v>13</v>
      </c>
      <c r="E64" s="50">
        <v>2</v>
      </c>
      <c r="F64" s="50">
        <v>15</v>
      </c>
      <c r="G64" s="50">
        <v>0</v>
      </c>
      <c r="H64" s="50">
        <v>0</v>
      </c>
      <c r="I64" s="50">
        <v>8</v>
      </c>
      <c r="J64" s="50">
        <v>4</v>
      </c>
      <c r="K64" s="50">
        <v>0</v>
      </c>
      <c r="L64" s="50">
        <v>0</v>
      </c>
      <c r="M64" s="50">
        <v>385</v>
      </c>
      <c r="N64" s="50">
        <v>0</v>
      </c>
      <c r="O64" s="15">
        <f t="shared" si="0"/>
        <v>72</v>
      </c>
      <c r="P64" s="15">
        <f t="shared" si="1"/>
        <v>457</v>
      </c>
      <c r="R64" s="8"/>
      <c r="T64"/>
    </row>
    <row r="65" spans="2:20" ht="23.1" customHeight="1" x14ac:dyDescent="0.25">
      <c r="B65" s="45" t="s">
        <v>158</v>
      </c>
      <c r="C65" s="50">
        <v>19</v>
      </c>
      <c r="D65" s="50">
        <v>7</v>
      </c>
      <c r="E65" s="50">
        <v>4</v>
      </c>
      <c r="F65" s="50">
        <v>12</v>
      </c>
      <c r="G65" s="50">
        <v>3</v>
      </c>
      <c r="H65" s="50">
        <v>0</v>
      </c>
      <c r="I65" s="50">
        <v>5</v>
      </c>
      <c r="J65" s="50">
        <v>3</v>
      </c>
      <c r="K65" s="50">
        <v>3</v>
      </c>
      <c r="L65" s="50">
        <v>2</v>
      </c>
      <c r="M65" s="50">
        <v>335</v>
      </c>
      <c r="N65" s="50">
        <v>0</v>
      </c>
      <c r="O65" s="15">
        <f t="shared" si="0"/>
        <v>58</v>
      </c>
      <c r="P65" s="15">
        <f t="shared" si="1"/>
        <v>393</v>
      </c>
      <c r="R65" s="8"/>
      <c r="T65"/>
    </row>
    <row r="66" spans="2:20" ht="23.1" customHeight="1" x14ac:dyDescent="0.25">
      <c r="B66" s="45" t="s">
        <v>103</v>
      </c>
      <c r="C66" s="50">
        <v>30</v>
      </c>
      <c r="D66" s="50">
        <v>14</v>
      </c>
      <c r="E66" s="50">
        <v>4</v>
      </c>
      <c r="F66" s="50">
        <v>20</v>
      </c>
      <c r="G66" s="50">
        <v>1</v>
      </c>
      <c r="H66" s="50">
        <v>3</v>
      </c>
      <c r="I66" s="50">
        <v>4</v>
      </c>
      <c r="J66" s="50">
        <v>2</v>
      </c>
      <c r="K66" s="50">
        <v>0</v>
      </c>
      <c r="L66" s="50">
        <v>0</v>
      </c>
      <c r="M66" s="50">
        <v>275</v>
      </c>
      <c r="N66" s="50">
        <v>0</v>
      </c>
      <c r="O66" s="15">
        <f t="shared" si="0"/>
        <v>78</v>
      </c>
      <c r="P66" s="15">
        <f t="shared" si="1"/>
        <v>353</v>
      </c>
      <c r="R66" s="8"/>
      <c r="T66"/>
    </row>
    <row r="67" spans="2:20" ht="23.1" customHeight="1" x14ac:dyDescent="0.25">
      <c r="B67" s="45" t="s">
        <v>104</v>
      </c>
      <c r="C67" s="50">
        <v>24</v>
      </c>
      <c r="D67" s="50">
        <v>10</v>
      </c>
      <c r="E67" s="50">
        <v>6</v>
      </c>
      <c r="F67" s="50">
        <v>121</v>
      </c>
      <c r="G67" s="50">
        <v>2</v>
      </c>
      <c r="H67" s="50">
        <v>1</v>
      </c>
      <c r="I67" s="50">
        <v>6</v>
      </c>
      <c r="J67" s="50">
        <v>0</v>
      </c>
      <c r="K67" s="50">
        <v>2</v>
      </c>
      <c r="L67" s="50">
        <v>0</v>
      </c>
      <c r="M67" s="50">
        <v>256</v>
      </c>
      <c r="N67" s="50">
        <v>0</v>
      </c>
      <c r="O67" s="15">
        <f t="shared" si="0"/>
        <v>172</v>
      </c>
      <c r="P67" s="15">
        <f t="shared" si="1"/>
        <v>428</v>
      </c>
      <c r="R67" s="8"/>
      <c r="T67"/>
    </row>
    <row r="68" spans="2:20" ht="23.1" customHeight="1" x14ac:dyDescent="0.25">
      <c r="B68" s="45" t="s">
        <v>105</v>
      </c>
      <c r="C68" s="50">
        <v>35</v>
      </c>
      <c r="D68" s="50">
        <v>13</v>
      </c>
      <c r="E68" s="50">
        <v>2</v>
      </c>
      <c r="F68" s="50">
        <v>21</v>
      </c>
      <c r="G68" s="50">
        <v>1</v>
      </c>
      <c r="H68" s="50">
        <v>0</v>
      </c>
      <c r="I68" s="50">
        <v>5</v>
      </c>
      <c r="J68" s="50">
        <v>1</v>
      </c>
      <c r="K68" s="50">
        <v>3</v>
      </c>
      <c r="L68" s="50">
        <v>0</v>
      </c>
      <c r="M68" s="50">
        <v>280</v>
      </c>
      <c r="N68" s="50">
        <v>0</v>
      </c>
      <c r="O68" s="15">
        <f t="shared" si="0"/>
        <v>81</v>
      </c>
      <c r="P68" s="15">
        <f t="shared" si="1"/>
        <v>361</v>
      </c>
      <c r="R68" s="8"/>
      <c r="T68"/>
    </row>
    <row r="69" spans="2:20" ht="23.1" customHeight="1" x14ac:dyDescent="0.25">
      <c r="B69" s="45" t="s">
        <v>106</v>
      </c>
      <c r="C69" s="50">
        <v>43</v>
      </c>
      <c r="D69" s="50">
        <v>24</v>
      </c>
      <c r="E69" s="50">
        <v>20</v>
      </c>
      <c r="F69" s="50">
        <v>33</v>
      </c>
      <c r="G69" s="50">
        <v>0</v>
      </c>
      <c r="H69" s="50">
        <v>2</v>
      </c>
      <c r="I69" s="50">
        <v>4</v>
      </c>
      <c r="J69" s="50">
        <v>8</v>
      </c>
      <c r="K69" s="50">
        <v>3</v>
      </c>
      <c r="L69" s="50">
        <v>1</v>
      </c>
      <c r="M69" s="50">
        <v>230</v>
      </c>
      <c r="N69" s="50">
        <v>0</v>
      </c>
      <c r="O69" s="15">
        <f t="shared" si="0"/>
        <v>138</v>
      </c>
      <c r="P69" s="15">
        <f t="shared" si="1"/>
        <v>368</v>
      </c>
      <c r="R69" s="8"/>
      <c r="T69"/>
    </row>
    <row r="70" spans="2:20" ht="23.1" customHeight="1" x14ac:dyDescent="0.25">
      <c r="B70" s="45" t="s">
        <v>110</v>
      </c>
      <c r="C70" s="50">
        <v>45</v>
      </c>
      <c r="D70" s="50">
        <v>25</v>
      </c>
      <c r="E70" s="50">
        <v>4</v>
      </c>
      <c r="F70" s="50">
        <v>26</v>
      </c>
      <c r="G70" s="50">
        <v>1</v>
      </c>
      <c r="H70" s="50">
        <v>2</v>
      </c>
      <c r="I70" s="50">
        <v>2</v>
      </c>
      <c r="J70" s="50">
        <v>1</v>
      </c>
      <c r="K70" s="50">
        <v>2</v>
      </c>
      <c r="L70" s="50">
        <v>0</v>
      </c>
      <c r="M70" s="50">
        <v>202</v>
      </c>
      <c r="N70" s="50">
        <v>0</v>
      </c>
      <c r="O70" s="15">
        <f t="shared" si="0"/>
        <v>108</v>
      </c>
      <c r="P70" s="15">
        <f t="shared" si="1"/>
        <v>310</v>
      </c>
      <c r="R70" s="8"/>
      <c r="T70"/>
    </row>
    <row r="71" spans="2:20" ht="23.1" customHeight="1" x14ac:dyDescent="0.25">
      <c r="B71" s="45" t="s">
        <v>111</v>
      </c>
      <c r="C71" s="50">
        <v>37</v>
      </c>
      <c r="D71" s="50">
        <v>19</v>
      </c>
      <c r="E71" s="50">
        <v>6</v>
      </c>
      <c r="F71" s="50">
        <v>24</v>
      </c>
      <c r="G71" s="50">
        <v>1</v>
      </c>
      <c r="H71" s="50">
        <v>0</v>
      </c>
      <c r="I71" s="50">
        <v>3</v>
      </c>
      <c r="J71" s="50">
        <v>8</v>
      </c>
      <c r="K71" s="50">
        <v>2</v>
      </c>
      <c r="L71" s="50">
        <v>1</v>
      </c>
      <c r="M71" s="50">
        <v>193</v>
      </c>
      <c r="N71" s="50">
        <v>0</v>
      </c>
      <c r="O71" s="15">
        <f t="shared" si="0"/>
        <v>101</v>
      </c>
      <c r="P71" s="15">
        <f t="shared" si="1"/>
        <v>294</v>
      </c>
      <c r="R71" s="8"/>
      <c r="T71"/>
    </row>
    <row r="72" spans="2:20" ht="23.1" customHeight="1" x14ac:dyDescent="0.25">
      <c r="B72" s="45" t="s">
        <v>112</v>
      </c>
      <c r="C72" s="50">
        <v>55</v>
      </c>
      <c r="D72" s="50">
        <v>27</v>
      </c>
      <c r="E72" s="50">
        <v>1</v>
      </c>
      <c r="F72" s="50">
        <v>25</v>
      </c>
      <c r="G72" s="50">
        <v>1</v>
      </c>
      <c r="H72" s="50">
        <v>0</v>
      </c>
      <c r="I72" s="50">
        <v>1</v>
      </c>
      <c r="J72" s="50">
        <v>7</v>
      </c>
      <c r="K72" s="50">
        <v>2</v>
      </c>
      <c r="L72" s="50">
        <v>0</v>
      </c>
      <c r="M72" s="50">
        <v>190</v>
      </c>
      <c r="N72" s="50">
        <v>0</v>
      </c>
      <c r="O72" s="15">
        <f t="shared" si="0"/>
        <v>119</v>
      </c>
      <c r="P72" s="15">
        <f t="shared" si="1"/>
        <v>309</v>
      </c>
      <c r="R72" s="8"/>
      <c r="T72"/>
    </row>
    <row r="73" spans="2:20" ht="23.1" customHeight="1" x14ac:dyDescent="0.25">
      <c r="B73" s="45" t="s">
        <v>113</v>
      </c>
      <c r="C73" s="50">
        <v>31</v>
      </c>
      <c r="D73" s="50">
        <v>23</v>
      </c>
      <c r="E73" s="50">
        <v>3</v>
      </c>
      <c r="F73" s="50">
        <v>28</v>
      </c>
      <c r="G73" s="50">
        <v>0</v>
      </c>
      <c r="H73" s="50">
        <v>0</v>
      </c>
      <c r="I73" s="50">
        <v>4</v>
      </c>
      <c r="J73" s="50">
        <v>3</v>
      </c>
      <c r="K73" s="50">
        <v>1</v>
      </c>
      <c r="L73" s="50">
        <v>0</v>
      </c>
      <c r="M73" s="50">
        <v>150</v>
      </c>
      <c r="N73" s="50">
        <v>0</v>
      </c>
      <c r="O73" s="15">
        <f t="shared" si="0"/>
        <v>93</v>
      </c>
      <c r="P73" s="15">
        <f t="shared" si="1"/>
        <v>243</v>
      </c>
      <c r="R73" s="8"/>
      <c r="T73"/>
    </row>
    <row r="74" spans="2:20" ht="23.1" customHeight="1" x14ac:dyDescent="0.25">
      <c r="B74" s="45" t="s">
        <v>114</v>
      </c>
      <c r="C74" s="50">
        <v>34</v>
      </c>
      <c r="D74" s="50">
        <v>20</v>
      </c>
      <c r="E74" s="50">
        <v>5</v>
      </c>
      <c r="F74" s="50">
        <v>39</v>
      </c>
      <c r="G74" s="50">
        <v>1</v>
      </c>
      <c r="H74" s="50">
        <v>0</v>
      </c>
      <c r="I74" s="50">
        <v>5</v>
      </c>
      <c r="J74" s="50">
        <v>7</v>
      </c>
      <c r="K74" s="50">
        <v>2</v>
      </c>
      <c r="L74" s="50">
        <v>0</v>
      </c>
      <c r="M74" s="50">
        <v>175</v>
      </c>
      <c r="N74" s="50">
        <v>0</v>
      </c>
      <c r="O74" s="15">
        <f t="shared" ref="O74:O105" si="35">SUM(C74:L74,N74)</f>
        <v>113</v>
      </c>
      <c r="P74" s="15">
        <f t="shared" ref="P74:P105" si="36">SUM(C74:N74)</f>
        <v>288</v>
      </c>
      <c r="R74" s="8"/>
      <c r="T74"/>
    </row>
    <row r="75" spans="2:20" ht="23.1" customHeight="1" x14ac:dyDescent="0.25">
      <c r="B75" s="45" t="s">
        <v>115</v>
      </c>
      <c r="C75" s="50">
        <v>34</v>
      </c>
      <c r="D75" s="50">
        <v>24</v>
      </c>
      <c r="E75" s="50">
        <v>8</v>
      </c>
      <c r="F75" s="50">
        <v>32</v>
      </c>
      <c r="G75" s="50">
        <v>0</v>
      </c>
      <c r="H75" s="50">
        <v>1</v>
      </c>
      <c r="I75" s="50">
        <v>6</v>
      </c>
      <c r="J75" s="50">
        <v>2</v>
      </c>
      <c r="K75" s="50">
        <v>1</v>
      </c>
      <c r="L75" s="50">
        <v>0</v>
      </c>
      <c r="M75" s="50">
        <v>150</v>
      </c>
      <c r="N75" s="50">
        <v>0</v>
      </c>
      <c r="O75" s="15">
        <f t="shared" si="35"/>
        <v>108</v>
      </c>
      <c r="P75" s="15">
        <f t="shared" si="36"/>
        <v>258</v>
      </c>
      <c r="R75" s="8"/>
      <c r="T75"/>
    </row>
    <row r="76" spans="2:20" ht="23.1" customHeight="1" x14ac:dyDescent="0.25">
      <c r="B76" s="45" t="s">
        <v>116</v>
      </c>
      <c r="C76" s="50">
        <v>54</v>
      </c>
      <c r="D76" s="50">
        <v>30</v>
      </c>
      <c r="E76" s="50">
        <v>6</v>
      </c>
      <c r="F76" s="50">
        <v>56</v>
      </c>
      <c r="G76" s="50">
        <v>0</v>
      </c>
      <c r="H76" s="50">
        <v>0</v>
      </c>
      <c r="I76" s="50">
        <v>6</v>
      </c>
      <c r="J76" s="50">
        <v>4</v>
      </c>
      <c r="K76" s="50">
        <v>2</v>
      </c>
      <c r="L76" s="50">
        <v>0</v>
      </c>
      <c r="M76" s="50">
        <v>150</v>
      </c>
      <c r="N76" s="50">
        <v>0</v>
      </c>
      <c r="O76" s="15">
        <f t="shared" si="35"/>
        <v>158</v>
      </c>
      <c r="P76" s="15">
        <f t="shared" si="36"/>
        <v>308</v>
      </c>
      <c r="R76" s="8"/>
      <c r="T76"/>
    </row>
    <row r="77" spans="2:20" ht="23.1" customHeight="1" x14ac:dyDescent="0.25">
      <c r="B77" s="45" t="s">
        <v>117</v>
      </c>
      <c r="C77" s="50">
        <v>47</v>
      </c>
      <c r="D77" s="50">
        <v>21</v>
      </c>
      <c r="E77" s="50">
        <v>5</v>
      </c>
      <c r="F77" s="50">
        <v>50</v>
      </c>
      <c r="G77" s="50">
        <v>0</v>
      </c>
      <c r="H77" s="50">
        <v>0</v>
      </c>
      <c r="I77" s="50">
        <v>4</v>
      </c>
      <c r="J77" s="50">
        <v>4</v>
      </c>
      <c r="K77" s="50">
        <v>1</v>
      </c>
      <c r="L77" s="50">
        <v>0</v>
      </c>
      <c r="M77" s="50">
        <v>140</v>
      </c>
      <c r="N77" s="50">
        <v>0</v>
      </c>
      <c r="O77" s="15">
        <f t="shared" si="35"/>
        <v>132</v>
      </c>
      <c r="P77" s="15">
        <f t="shared" si="36"/>
        <v>272</v>
      </c>
      <c r="R77" s="8"/>
      <c r="T77"/>
    </row>
    <row r="78" spans="2:20" ht="23.1" customHeight="1" x14ac:dyDescent="0.25">
      <c r="B78" s="46" t="s">
        <v>118</v>
      </c>
      <c r="C78" s="50">
        <v>36</v>
      </c>
      <c r="D78" s="50">
        <v>30</v>
      </c>
      <c r="E78" s="50">
        <v>2</v>
      </c>
      <c r="F78" s="50">
        <v>215</v>
      </c>
      <c r="G78" s="50">
        <v>0</v>
      </c>
      <c r="H78" s="50">
        <v>0</v>
      </c>
      <c r="I78" s="50">
        <v>0</v>
      </c>
      <c r="J78" s="50">
        <v>1</v>
      </c>
      <c r="K78" s="50">
        <v>2</v>
      </c>
      <c r="L78" s="50">
        <v>1</v>
      </c>
      <c r="M78" s="50">
        <v>125</v>
      </c>
      <c r="N78" s="50">
        <v>0</v>
      </c>
      <c r="O78" s="15">
        <f t="shared" si="35"/>
        <v>287</v>
      </c>
      <c r="P78" s="15">
        <f t="shared" si="36"/>
        <v>412</v>
      </c>
      <c r="R78" s="8"/>
      <c r="T78"/>
    </row>
    <row r="79" spans="2:20" ht="23.1" customHeight="1" x14ac:dyDescent="0.25">
      <c r="B79" s="45" t="s">
        <v>119</v>
      </c>
      <c r="C79" s="50">
        <v>47</v>
      </c>
      <c r="D79" s="50">
        <v>24</v>
      </c>
      <c r="E79" s="50">
        <v>7</v>
      </c>
      <c r="F79" s="50">
        <v>21</v>
      </c>
      <c r="G79" s="50">
        <v>0</v>
      </c>
      <c r="H79" s="50">
        <v>0</v>
      </c>
      <c r="I79" s="50">
        <v>2</v>
      </c>
      <c r="J79" s="50">
        <v>6</v>
      </c>
      <c r="K79" s="50">
        <v>1</v>
      </c>
      <c r="L79" s="50">
        <v>0</v>
      </c>
      <c r="M79" s="50">
        <v>91</v>
      </c>
      <c r="N79" s="50">
        <v>0</v>
      </c>
      <c r="O79" s="15">
        <f t="shared" si="35"/>
        <v>108</v>
      </c>
      <c r="P79" s="15">
        <f t="shared" si="36"/>
        <v>199</v>
      </c>
      <c r="R79" s="8"/>
      <c r="T79"/>
    </row>
    <row r="80" spans="2:20" ht="23.1" customHeight="1" x14ac:dyDescent="0.25">
      <c r="B80" s="47" t="s">
        <v>120</v>
      </c>
      <c r="C80" s="50">
        <v>24</v>
      </c>
      <c r="D80" s="50">
        <v>5</v>
      </c>
      <c r="E80" s="50">
        <v>2</v>
      </c>
      <c r="F80" s="50">
        <v>8</v>
      </c>
      <c r="G80" s="50">
        <v>0</v>
      </c>
      <c r="H80" s="50">
        <v>0</v>
      </c>
      <c r="I80" s="50">
        <v>0</v>
      </c>
      <c r="J80" s="50">
        <v>1</v>
      </c>
      <c r="K80" s="50">
        <v>4</v>
      </c>
      <c r="L80" s="50">
        <v>0</v>
      </c>
      <c r="M80" s="50">
        <v>91</v>
      </c>
      <c r="N80" s="50">
        <v>0</v>
      </c>
      <c r="O80" s="15">
        <f t="shared" si="35"/>
        <v>44</v>
      </c>
      <c r="P80" s="15">
        <f t="shared" si="36"/>
        <v>135</v>
      </c>
      <c r="R80" s="8"/>
      <c r="T80"/>
    </row>
    <row r="81" spans="2:20" ht="23.1" customHeight="1" x14ac:dyDescent="0.25">
      <c r="B81" s="45" t="s">
        <v>121</v>
      </c>
      <c r="C81" s="50">
        <v>20</v>
      </c>
      <c r="D81" s="50">
        <v>5</v>
      </c>
      <c r="E81" s="50">
        <v>2</v>
      </c>
      <c r="F81" s="50">
        <v>8</v>
      </c>
      <c r="G81" s="50">
        <v>0</v>
      </c>
      <c r="H81" s="50">
        <v>0</v>
      </c>
      <c r="I81" s="50">
        <v>0</v>
      </c>
      <c r="J81" s="50">
        <v>4</v>
      </c>
      <c r="K81" s="50">
        <v>2</v>
      </c>
      <c r="L81" s="50">
        <v>1</v>
      </c>
      <c r="M81" s="50">
        <v>69</v>
      </c>
      <c r="N81" s="50">
        <v>0</v>
      </c>
      <c r="O81" s="15">
        <f t="shared" si="35"/>
        <v>42</v>
      </c>
      <c r="P81" s="15">
        <f t="shared" si="36"/>
        <v>111</v>
      </c>
      <c r="R81" s="8"/>
      <c r="T81"/>
    </row>
    <row r="82" spans="2:20" ht="23.1" customHeight="1" x14ac:dyDescent="0.25">
      <c r="B82" s="46" t="s">
        <v>122</v>
      </c>
      <c r="C82" s="50">
        <v>7</v>
      </c>
      <c r="D82" s="50">
        <v>1</v>
      </c>
      <c r="E82" s="50">
        <v>1</v>
      </c>
      <c r="F82" s="50">
        <v>6</v>
      </c>
      <c r="G82" s="50">
        <v>0</v>
      </c>
      <c r="H82" s="50">
        <v>0</v>
      </c>
      <c r="I82" s="50">
        <v>1</v>
      </c>
      <c r="J82" s="50">
        <v>3</v>
      </c>
      <c r="K82" s="50">
        <v>3</v>
      </c>
      <c r="L82" s="50">
        <v>1</v>
      </c>
      <c r="M82" s="50">
        <v>60</v>
      </c>
      <c r="N82" s="50">
        <v>0</v>
      </c>
      <c r="O82" s="15">
        <f t="shared" si="35"/>
        <v>23</v>
      </c>
      <c r="P82" s="15">
        <f t="shared" si="36"/>
        <v>83</v>
      </c>
      <c r="R82" s="8"/>
      <c r="T82"/>
    </row>
    <row r="83" spans="2:20" ht="23.1" customHeight="1" x14ac:dyDescent="0.25">
      <c r="B83" s="45" t="s">
        <v>123</v>
      </c>
      <c r="C83" s="50">
        <v>8</v>
      </c>
      <c r="D83" s="50">
        <v>4</v>
      </c>
      <c r="E83" s="50">
        <v>1</v>
      </c>
      <c r="F83" s="50">
        <v>8</v>
      </c>
      <c r="G83" s="50">
        <v>0</v>
      </c>
      <c r="H83" s="50">
        <v>0</v>
      </c>
      <c r="I83" s="50">
        <v>1</v>
      </c>
      <c r="J83" s="50">
        <v>3</v>
      </c>
      <c r="K83" s="50">
        <v>0</v>
      </c>
      <c r="L83" s="50">
        <v>1</v>
      </c>
      <c r="M83" s="50">
        <v>46</v>
      </c>
      <c r="N83" s="50">
        <v>0</v>
      </c>
      <c r="O83" s="15">
        <f t="shared" si="35"/>
        <v>26</v>
      </c>
      <c r="P83" s="15">
        <f t="shared" si="36"/>
        <v>72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5</v>
      </c>
      <c r="E84" s="50">
        <v>2</v>
      </c>
      <c r="F84" s="50">
        <v>1</v>
      </c>
      <c r="G84" s="50">
        <v>0</v>
      </c>
      <c r="H84" s="50">
        <v>0</v>
      </c>
      <c r="I84" s="50">
        <v>1</v>
      </c>
      <c r="J84" s="50">
        <v>6</v>
      </c>
      <c r="K84" s="50">
        <v>2</v>
      </c>
      <c r="L84" s="50">
        <v>0</v>
      </c>
      <c r="M84" s="50">
        <v>45</v>
      </c>
      <c r="N84" s="50">
        <v>0</v>
      </c>
      <c r="O84" s="15">
        <f t="shared" si="35"/>
        <v>20</v>
      </c>
      <c r="P84" s="15">
        <f t="shared" si="36"/>
        <v>65</v>
      </c>
      <c r="R84" s="8"/>
      <c r="T84"/>
    </row>
    <row r="85" spans="2:20" ht="23.1" customHeight="1" x14ac:dyDescent="0.25">
      <c r="B85" s="45" t="s">
        <v>125</v>
      </c>
      <c r="C85" s="50">
        <v>9</v>
      </c>
      <c r="D85" s="50">
        <v>0</v>
      </c>
      <c r="E85" s="50">
        <v>1</v>
      </c>
      <c r="F85" s="50">
        <v>2</v>
      </c>
      <c r="G85" s="50">
        <v>0</v>
      </c>
      <c r="H85" s="50">
        <v>0</v>
      </c>
      <c r="I85" s="50">
        <v>2</v>
      </c>
      <c r="J85" s="50">
        <v>7</v>
      </c>
      <c r="K85" s="50">
        <v>0</v>
      </c>
      <c r="L85" s="50">
        <v>0</v>
      </c>
      <c r="M85" s="50">
        <v>49</v>
      </c>
      <c r="N85" s="50">
        <v>0</v>
      </c>
      <c r="O85" s="15">
        <f t="shared" si="35"/>
        <v>21</v>
      </c>
      <c r="P85" s="15">
        <f t="shared" si="36"/>
        <v>70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2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4</v>
      </c>
      <c r="K86" s="50">
        <v>1</v>
      </c>
      <c r="L86" s="50">
        <v>1</v>
      </c>
      <c r="M86" s="50">
        <v>22</v>
      </c>
      <c r="N86" s="50">
        <v>0</v>
      </c>
      <c r="O86" s="15">
        <f t="shared" si="35"/>
        <v>14</v>
      </c>
      <c r="P86" s="15">
        <f t="shared" si="36"/>
        <v>36</v>
      </c>
      <c r="R86" s="8"/>
      <c r="T86"/>
    </row>
    <row r="87" spans="2:20" ht="23.1" customHeight="1" x14ac:dyDescent="0.25">
      <c r="B87" s="45" t="s">
        <v>127</v>
      </c>
      <c r="C87" s="50">
        <v>7</v>
      </c>
      <c r="D87" s="50">
        <v>5</v>
      </c>
      <c r="E87" s="50">
        <v>2</v>
      </c>
      <c r="F87" s="50">
        <v>2</v>
      </c>
      <c r="G87" s="50">
        <v>0</v>
      </c>
      <c r="H87" s="50">
        <v>0</v>
      </c>
      <c r="I87" s="50">
        <v>0</v>
      </c>
      <c r="J87" s="50">
        <v>3</v>
      </c>
      <c r="K87" s="50">
        <v>0</v>
      </c>
      <c r="L87" s="50">
        <v>1</v>
      </c>
      <c r="M87" s="50">
        <v>41</v>
      </c>
      <c r="N87" s="50">
        <v>0</v>
      </c>
      <c r="O87" s="15">
        <f t="shared" si="35"/>
        <v>20</v>
      </c>
      <c r="P87" s="15">
        <f t="shared" si="36"/>
        <v>61</v>
      </c>
      <c r="R87" s="8"/>
      <c r="T87"/>
    </row>
    <row r="88" spans="2:20" ht="23.1" customHeight="1" x14ac:dyDescent="0.25">
      <c r="B88" s="47" t="s">
        <v>128</v>
      </c>
      <c r="C88" s="50">
        <v>4</v>
      </c>
      <c r="D88" s="50">
        <v>1</v>
      </c>
      <c r="E88" s="50">
        <v>0</v>
      </c>
      <c r="F88" s="50">
        <v>1</v>
      </c>
      <c r="G88" s="50">
        <v>0</v>
      </c>
      <c r="H88" s="50">
        <v>0</v>
      </c>
      <c r="I88" s="50">
        <v>1</v>
      </c>
      <c r="J88" s="50">
        <v>3</v>
      </c>
      <c r="K88" s="50">
        <v>0</v>
      </c>
      <c r="L88" s="50">
        <v>0</v>
      </c>
      <c r="M88" s="50">
        <v>15</v>
      </c>
      <c r="N88" s="50">
        <v>0</v>
      </c>
      <c r="O88" s="15">
        <f t="shared" si="35"/>
        <v>10</v>
      </c>
      <c r="P88" s="15">
        <f t="shared" si="36"/>
        <v>25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2</v>
      </c>
      <c r="K89" s="50">
        <v>0</v>
      </c>
      <c r="L89" s="50">
        <v>0</v>
      </c>
      <c r="M89" s="50">
        <v>35</v>
      </c>
      <c r="N89" s="50">
        <v>0</v>
      </c>
      <c r="O89" s="15">
        <f t="shared" si="35"/>
        <v>7</v>
      </c>
      <c r="P89" s="15">
        <f t="shared" si="36"/>
        <v>42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1</v>
      </c>
      <c r="K90" s="50">
        <v>1</v>
      </c>
      <c r="L90" s="50">
        <v>1</v>
      </c>
      <c r="M90" s="50">
        <v>34</v>
      </c>
      <c r="N90" s="50">
        <v>0</v>
      </c>
      <c r="O90" s="15">
        <f t="shared" si="35"/>
        <v>9</v>
      </c>
      <c r="P90" s="15">
        <f t="shared" si="36"/>
        <v>43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1</v>
      </c>
      <c r="E91" s="50">
        <v>1</v>
      </c>
      <c r="F91" s="50">
        <v>1</v>
      </c>
      <c r="G91" s="50">
        <v>0</v>
      </c>
      <c r="H91" s="50">
        <v>0</v>
      </c>
      <c r="I91" s="50">
        <v>0</v>
      </c>
      <c r="J91" s="50">
        <v>1</v>
      </c>
      <c r="K91" s="50">
        <v>1</v>
      </c>
      <c r="L91" s="50">
        <v>0</v>
      </c>
      <c r="M91" s="50">
        <v>15</v>
      </c>
      <c r="N91" s="50">
        <v>0</v>
      </c>
      <c r="O91" s="15">
        <f t="shared" si="35"/>
        <v>9</v>
      </c>
      <c r="P91" s="15">
        <f t="shared" si="36"/>
        <v>24</v>
      </c>
      <c r="R91" s="8"/>
      <c r="T91"/>
    </row>
    <row r="92" spans="2:20" ht="23.1" customHeight="1" x14ac:dyDescent="0.25">
      <c r="B92" s="47" t="s">
        <v>132</v>
      </c>
      <c r="C92" s="50">
        <v>7</v>
      </c>
      <c r="D92" s="50">
        <v>1</v>
      </c>
      <c r="E92" s="50">
        <v>1</v>
      </c>
      <c r="F92" s="50">
        <v>0</v>
      </c>
      <c r="G92" s="50">
        <v>0</v>
      </c>
      <c r="H92" s="50">
        <v>0</v>
      </c>
      <c r="I92" s="50">
        <v>1</v>
      </c>
      <c r="J92" s="50">
        <v>2</v>
      </c>
      <c r="K92" s="50">
        <v>1</v>
      </c>
      <c r="L92" s="50">
        <v>0</v>
      </c>
      <c r="M92" s="50">
        <v>38</v>
      </c>
      <c r="N92" s="50">
        <v>0</v>
      </c>
      <c r="O92" s="15">
        <f t="shared" si="35"/>
        <v>13</v>
      </c>
      <c r="P92" s="15">
        <f t="shared" si="36"/>
        <v>51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0</v>
      </c>
      <c r="E93" s="50">
        <v>0</v>
      </c>
      <c r="F93" s="50">
        <v>2</v>
      </c>
      <c r="G93" s="50">
        <v>1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33</v>
      </c>
      <c r="N93" s="50">
        <v>0</v>
      </c>
      <c r="O93" s="15">
        <f t="shared" si="35"/>
        <v>8</v>
      </c>
      <c r="P93" s="15">
        <f t="shared" si="36"/>
        <v>41</v>
      </c>
      <c r="R93" s="8"/>
      <c r="T93"/>
    </row>
    <row r="94" spans="2:20" ht="23.1" customHeight="1" x14ac:dyDescent="0.25">
      <c r="B94" s="46" t="s">
        <v>134</v>
      </c>
      <c r="C94" s="50">
        <v>7</v>
      </c>
      <c r="D94" s="50">
        <v>4</v>
      </c>
      <c r="E94" s="50">
        <v>1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1</v>
      </c>
      <c r="L94" s="50">
        <v>0</v>
      </c>
      <c r="M94" s="50">
        <v>15</v>
      </c>
      <c r="N94" s="50">
        <v>0</v>
      </c>
      <c r="O94" s="15">
        <f t="shared" si="35"/>
        <v>14</v>
      </c>
      <c r="P94" s="15">
        <f t="shared" si="36"/>
        <v>29</v>
      </c>
      <c r="R94" s="8"/>
      <c r="T94"/>
    </row>
    <row r="95" spans="2:20" ht="23.1" customHeight="1" x14ac:dyDescent="0.25">
      <c r="B95" s="45" t="s">
        <v>135</v>
      </c>
      <c r="C95" s="50">
        <v>6</v>
      </c>
      <c r="D95" s="50">
        <v>1</v>
      </c>
      <c r="E95" s="50">
        <v>0</v>
      </c>
      <c r="F95" s="50">
        <v>2</v>
      </c>
      <c r="G95" s="50">
        <v>0</v>
      </c>
      <c r="H95" s="50">
        <v>1</v>
      </c>
      <c r="I95" s="50">
        <v>1</v>
      </c>
      <c r="J95" s="50">
        <v>3</v>
      </c>
      <c r="K95" s="50">
        <v>1</v>
      </c>
      <c r="L95" s="50">
        <v>0</v>
      </c>
      <c r="M95" s="50">
        <v>26</v>
      </c>
      <c r="N95" s="50">
        <v>0</v>
      </c>
      <c r="O95" s="15">
        <f t="shared" si="35"/>
        <v>15</v>
      </c>
      <c r="P95" s="15">
        <f t="shared" si="36"/>
        <v>41</v>
      </c>
      <c r="R95" s="8"/>
      <c r="T95"/>
    </row>
    <row r="96" spans="2:20" ht="23.1" customHeight="1" x14ac:dyDescent="0.25">
      <c r="B96" s="47" t="s">
        <v>136</v>
      </c>
      <c r="C96" s="50">
        <v>7</v>
      </c>
      <c r="D96" s="50">
        <v>0</v>
      </c>
      <c r="E96" s="50">
        <v>0</v>
      </c>
      <c r="F96" s="50">
        <v>2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16</v>
      </c>
      <c r="N96" s="50">
        <v>0</v>
      </c>
      <c r="O96" s="15">
        <f t="shared" si="35"/>
        <v>9</v>
      </c>
      <c r="P96" s="15">
        <f t="shared" si="36"/>
        <v>25</v>
      </c>
      <c r="R96" s="8"/>
      <c r="T96"/>
    </row>
    <row r="97" spans="2:20" ht="23.1" customHeight="1" x14ac:dyDescent="0.25">
      <c r="B97" s="45" t="s">
        <v>137</v>
      </c>
      <c r="C97" s="50">
        <v>9</v>
      </c>
      <c r="D97" s="50">
        <v>2</v>
      </c>
      <c r="E97" s="50">
        <v>1</v>
      </c>
      <c r="F97" s="50">
        <v>1</v>
      </c>
      <c r="G97" s="50">
        <v>0</v>
      </c>
      <c r="H97" s="50">
        <v>0</v>
      </c>
      <c r="I97" s="50">
        <v>1</v>
      </c>
      <c r="J97" s="50">
        <v>5</v>
      </c>
      <c r="K97" s="50">
        <v>1</v>
      </c>
      <c r="L97" s="50">
        <v>1</v>
      </c>
      <c r="M97" s="50">
        <v>32</v>
      </c>
      <c r="N97" s="50">
        <v>0</v>
      </c>
      <c r="O97" s="15">
        <f t="shared" si="35"/>
        <v>21</v>
      </c>
      <c r="P97" s="15">
        <f t="shared" si="36"/>
        <v>53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4</v>
      </c>
      <c r="E98" s="50">
        <v>0</v>
      </c>
      <c r="F98" s="50">
        <v>3</v>
      </c>
      <c r="G98" s="50">
        <v>0</v>
      </c>
      <c r="H98" s="50">
        <v>0</v>
      </c>
      <c r="I98" s="50">
        <v>0</v>
      </c>
      <c r="J98" s="50">
        <v>3</v>
      </c>
      <c r="K98" s="50">
        <v>0</v>
      </c>
      <c r="L98" s="50">
        <v>1</v>
      </c>
      <c r="M98" s="50">
        <v>33</v>
      </c>
      <c r="N98" s="50">
        <v>0</v>
      </c>
      <c r="O98" s="15">
        <f t="shared" si="35"/>
        <v>13</v>
      </c>
      <c r="P98" s="15">
        <f t="shared" si="36"/>
        <v>46</v>
      </c>
      <c r="R98" s="8"/>
      <c r="T98"/>
    </row>
    <row r="99" spans="2:20" ht="23.1" customHeight="1" x14ac:dyDescent="0.25">
      <c r="B99" s="45" t="s">
        <v>139</v>
      </c>
      <c r="C99" s="50">
        <v>13</v>
      </c>
      <c r="D99" s="50">
        <v>2</v>
      </c>
      <c r="E99" s="50">
        <v>2</v>
      </c>
      <c r="F99" s="50">
        <v>4</v>
      </c>
      <c r="G99" s="50">
        <v>0</v>
      </c>
      <c r="H99" s="50">
        <v>0</v>
      </c>
      <c r="I99" s="50">
        <v>4</v>
      </c>
      <c r="J99" s="50">
        <v>2</v>
      </c>
      <c r="K99" s="50">
        <v>0</v>
      </c>
      <c r="L99" s="50">
        <v>0</v>
      </c>
      <c r="M99" s="50">
        <v>61</v>
      </c>
      <c r="N99" s="50">
        <v>0</v>
      </c>
      <c r="O99" s="15">
        <f t="shared" si="35"/>
        <v>27</v>
      </c>
      <c r="P99" s="15">
        <f t="shared" si="36"/>
        <v>88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1</v>
      </c>
      <c r="E100" s="50">
        <v>1</v>
      </c>
      <c r="F100" s="50">
        <v>3</v>
      </c>
      <c r="G100" s="50">
        <v>0</v>
      </c>
      <c r="H100" s="50">
        <v>0</v>
      </c>
      <c r="I100" s="50">
        <v>0</v>
      </c>
      <c r="J100" s="50">
        <v>2</v>
      </c>
      <c r="K100" s="50">
        <v>0</v>
      </c>
      <c r="L100" s="50">
        <v>0</v>
      </c>
      <c r="M100" s="50">
        <v>45</v>
      </c>
      <c r="N100" s="50">
        <v>0</v>
      </c>
      <c r="O100" s="15">
        <f t="shared" si="35"/>
        <v>13</v>
      </c>
      <c r="P100" s="15">
        <f t="shared" si="36"/>
        <v>58</v>
      </c>
      <c r="R100" s="8"/>
      <c r="T100"/>
    </row>
    <row r="101" spans="2:20" ht="23.1" customHeight="1" x14ac:dyDescent="0.25">
      <c r="B101" s="45" t="s">
        <v>141</v>
      </c>
      <c r="C101" s="50">
        <v>7</v>
      </c>
      <c r="D101" s="50">
        <v>2</v>
      </c>
      <c r="E101" s="50">
        <v>0</v>
      </c>
      <c r="F101" s="50">
        <v>8</v>
      </c>
      <c r="G101" s="50">
        <v>0</v>
      </c>
      <c r="H101" s="50">
        <v>0</v>
      </c>
      <c r="I101" s="50">
        <v>0</v>
      </c>
      <c r="J101" s="50">
        <v>2</v>
      </c>
      <c r="K101" s="50">
        <v>4</v>
      </c>
      <c r="L101" s="50">
        <v>0</v>
      </c>
      <c r="M101" s="50">
        <v>32</v>
      </c>
      <c r="N101" s="50">
        <v>0</v>
      </c>
      <c r="O101" s="15">
        <f t="shared" si="35"/>
        <v>23</v>
      </c>
      <c r="P101" s="15">
        <f t="shared" si="36"/>
        <v>55</v>
      </c>
      <c r="R101" s="8"/>
      <c r="T101"/>
    </row>
    <row r="102" spans="2:20" ht="23.1" customHeight="1" x14ac:dyDescent="0.25">
      <c r="B102" s="46" t="s">
        <v>142</v>
      </c>
      <c r="C102" s="50">
        <v>22</v>
      </c>
      <c r="D102" s="50">
        <v>3</v>
      </c>
      <c r="E102" s="50">
        <v>2</v>
      </c>
      <c r="F102" s="50">
        <v>9</v>
      </c>
      <c r="G102" s="50">
        <v>0</v>
      </c>
      <c r="H102" s="50">
        <v>0</v>
      </c>
      <c r="I102" s="50">
        <v>0</v>
      </c>
      <c r="J102" s="50">
        <v>4</v>
      </c>
      <c r="K102" s="50">
        <v>4</v>
      </c>
      <c r="L102" s="50">
        <v>0</v>
      </c>
      <c r="M102" s="50">
        <v>55</v>
      </c>
      <c r="N102" s="50">
        <v>0</v>
      </c>
      <c r="O102" s="15">
        <f t="shared" si="35"/>
        <v>44</v>
      </c>
      <c r="P102" s="15">
        <f t="shared" si="36"/>
        <v>99</v>
      </c>
      <c r="R102" s="8"/>
      <c r="T102"/>
    </row>
    <row r="103" spans="2:20" ht="23.1" customHeight="1" x14ac:dyDescent="0.25">
      <c r="B103" s="45" t="s">
        <v>143</v>
      </c>
      <c r="C103" s="50">
        <v>12</v>
      </c>
      <c r="D103" s="50">
        <v>3</v>
      </c>
      <c r="E103" s="50">
        <v>2</v>
      </c>
      <c r="F103" s="50">
        <v>7</v>
      </c>
      <c r="G103" s="50">
        <v>0</v>
      </c>
      <c r="H103" s="50">
        <v>0</v>
      </c>
      <c r="I103" s="50">
        <v>0</v>
      </c>
      <c r="J103" s="50">
        <v>3</v>
      </c>
      <c r="K103" s="50">
        <v>0</v>
      </c>
      <c r="L103" s="50">
        <v>1</v>
      </c>
      <c r="M103" s="50">
        <v>77</v>
      </c>
      <c r="N103" s="50">
        <v>0</v>
      </c>
      <c r="O103" s="15">
        <f t="shared" si="35"/>
        <v>28</v>
      </c>
      <c r="P103" s="15">
        <f t="shared" si="36"/>
        <v>105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2</v>
      </c>
      <c r="E104" s="50">
        <v>3</v>
      </c>
      <c r="F104" s="50">
        <v>4</v>
      </c>
      <c r="G104" s="50">
        <v>0</v>
      </c>
      <c r="H104" s="50">
        <v>1</v>
      </c>
      <c r="I104" s="50">
        <v>1</v>
      </c>
      <c r="J104" s="50">
        <v>3</v>
      </c>
      <c r="K104" s="50">
        <v>1</v>
      </c>
      <c r="L104" s="50">
        <v>0</v>
      </c>
      <c r="M104" s="50">
        <v>80</v>
      </c>
      <c r="N104" s="50">
        <v>0</v>
      </c>
      <c r="O104" s="15">
        <f t="shared" si="35"/>
        <v>17</v>
      </c>
      <c r="P104" s="15">
        <f t="shared" si="36"/>
        <v>97</v>
      </c>
      <c r="R104" s="8"/>
      <c r="T104"/>
    </row>
    <row r="105" spans="2:20" ht="23.1" customHeight="1" x14ac:dyDescent="0.25">
      <c r="B105" s="45" t="s">
        <v>145</v>
      </c>
      <c r="C105" s="50">
        <v>7</v>
      </c>
      <c r="D105" s="50">
        <v>4</v>
      </c>
      <c r="E105" s="50">
        <v>2</v>
      </c>
      <c r="F105" s="50">
        <v>15</v>
      </c>
      <c r="G105" s="50">
        <v>0</v>
      </c>
      <c r="H105" s="50">
        <v>0</v>
      </c>
      <c r="I105" s="50">
        <v>0</v>
      </c>
      <c r="J105" s="50">
        <v>2</v>
      </c>
      <c r="K105" s="50">
        <v>1</v>
      </c>
      <c r="L105" s="50">
        <v>0</v>
      </c>
      <c r="M105" s="50">
        <v>50</v>
      </c>
      <c r="N105" s="50">
        <v>0</v>
      </c>
      <c r="O105" s="15">
        <f t="shared" si="35"/>
        <v>31</v>
      </c>
      <c r="P105" s="15">
        <f t="shared" si="36"/>
        <v>81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3775</v>
      </c>
      <c r="D106" s="16">
        <f t="shared" ref="D106:P106" si="37">SUM(D10:D105)</f>
        <v>1817</v>
      </c>
      <c r="E106" s="16">
        <f t="shared" si="37"/>
        <v>993</v>
      </c>
      <c r="F106" s="16">
        <f t="shared" si="37"/>
        <v>3233</v>
      </c>
      <c r="G106" s="16">
        <f t="shared" si="37"/>
        <v>74</v>
      </c>
      <c r="H106" s="16">
        <f t="shared" si="37"/>
        <v>52</v>
      </c>
      <c r="I106" s="16">
        <f t="shared" si="37"/>
        <v>475</v>
      </c>
      <c r="J106" s="16">
        <f t="shared" si="37"/>
        <v>390</v>
      </c>
      <c r="K106" s="16">
        <f t="shared" si="37"/>
        <v>198</v>
      </c>
      <c r="L106" s="16">
        <f t="shared" si="37"/>
        <v>58</v>
      </c>
      <c r="M106" s="16">
        <f t="shared" si="37"/>
        <v>23865</v>
      </c>
      <c r="N106" s="16">
        <f t="shared" si="37"/>
        <v>0</v>
      </c>
      <c r="O106" s="16">
        <f t="shared" si="37"/>
        <v>11065</v>
      </c>
      <c r="P106" s="16">
        <f t="shared" si="37"/>
        <v>34930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0.10807328943601489</v>
      </c>
      <c r="D107" s="43">
        <f t="shared" si="38"/>
        <v>5.2018322359003721E-2</v>
      </c>
      <c r="E107" s="43">
        <f t="shared" si="38"/>
        <v>2.8428285141711994E-2</v>
      </c>
      <c r="F107" s="43">
        <f t="shared" si="38"/>
        <v>9.2556541654738048E-2</v>
      </c>
      <c r="G107" s="43">
        <f t="shared" si="38"/>
        <v>2.1185227598053248E-3</v>
      </c>
      <c r="H107" s="43">
        <f t="shared" si="38"/>
        <v>1.4886916690523904E-3</v>
      </c>
      <c r="I107" s="43">
        <f t="shared" si="38"/>
        <v>1.3598625823074721E-2</v>
      </c>
      <c r="J107" s="43">
        <f t="shared" si="38"/>
        <v>1.1165187517892928E-2</v>
      </c>
      <c r="K107" s="43">
        <f t="shared" si="38"/>
        <v>5.6684798167764101E-3</v>
      </c>
      <c r="L107" s="43">
        <f t="shared" si="38"/>
        <v>1.6604637847122817E-3</v>
      </c>
      <c r="M107" s="43">
        <f t="shared" si="38"/>
        <v>0.68322359003721733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0.34116583822864888</v>
      </c>
      <c r="D108" s="44">
        <f t="shared" ref="D108:N108" si="39">D106/$O$106</f>
        <v>0.16421147763217353</v>
      </c>
      <c r="E108" s="44">
        <f t="shared" si="39"/>
        <v>8.9742431089019428E-2</v>
      </c>
      <c r="F108" s="44">
        <f t="shared" si="39"/>
        <v>0.2921825576140985</v>
      </c>
      <c r="G108" s="44">
        <f t="shared" si="39"/>
        <v>6.6877541798463624E-3</v>
      </c>
      <c r="H108" s="44">
        <f t="shared" si="39"/>
        <v>4.6995029371893361E-3</v>
      </c>
      <c r="I108" s="44">
        <f t="shared" si="39"/>
        <v>4.2928151830094893E-2</v>
      </c>
      <c r="J108" s="44">
        <f t="shared" si="39"/>
        <v>3.5246272028920021E-2</v>
      </c>
      <c r="K108" s="44">
        <f t="shared" si="39"/>
        <v>1.789426118391324E-2</v>
      </c>
      <c r="L108" s="44">
        <f t="shared" si="39"/>
        <v>5.2417532760957973E-3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D17" sqref="D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KALERWE-GAYAZA-24h'!D5</f>
        <v>27.07.19</v>
      </c>
      <c r="E5" s="3"/>
      <c r="F5" s="41" t="s">
        <v>1</v>
      </c>
      <c r="G5" s="65" t="str">
        <f>'27.07 KALERWE-GAYAZA-24h'!G5:H5</f>
        <v>DELTA KYEBANDO</v>
      </c>
      <c r="H5" s="66"/>
      <c r="I5" s="14"/>
      <c r="J5" s="2" t="s">
        <v>5</v>
      </c>
      <c r="K5" s="65" t="str">
        <f>'27.07 KALERWE-GAYAZA-24h'!K5:L5</f>
        <v>NALUBEGA JOSEPHINE AND NANDUTU SANDRAH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GAYAZA-KALERWE'!D6:E6</f>
        <v>GAYAZA</v>
      </c>
      <c r="E6" s="66"/>
      <c r="F6" s="2" t="s">
        <v>2</v>
      </c>
      <c r="G6" s="65" t="str">
        <f>'22.07 GAYAZA-KALERWE'!G6:H6</f>
        <v>KALERWE</v>
      </c>
      <c r="H6" s="66"/>
      <c r="J6" s="2" t="s">
        <v>21</v>
      </c>
      <c r="K6" s="65" t="str">
        <f>'27.07 KALERWE-GAYAZA-24h'!K6:L6</f>
        <v>LAWRENCE AND WALAKILA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56</v>
      </c>
      <c r="D10" s="50">
        <v>4</v>
      </c>
      <c r="E10" s="50">
        <v>10</v>
      </c>
      <c r="F10" s="50">
        <v>40</v>
      </c>
      <c r="G10" s="50">
        <v>6</v>
      </c>
      <c r="H10" s="50">
        <v>4</v>
      </c>
      <c r="I10" s="50">
        <v>7</v>
      </c>
      <c r="J10" s="50">
        <v>7</v>
      </c>
      <c r="K10" s="50">
        <v>2</v>
      </c>
      <c r="L10" s="50">
        <v>2</v>
      </c>
      <c r="M10" s="50">
        <v>225</v>
      </c>
      <c r="N10" s="50">
        <v>0</v>
      </c>
      <c r="O10" s="15">
        <f t="shared" ref="O10:O73" si="0">SUM(C10:L10,N10)</f>
        <v>138</v>
      </c>
      <c r="P10" s="15">
        <f t="shared" ref="P10:P73" si="1">SUM(C10:N10)</f>
        <v>363</v>
      </c>
      <c r="R10" s="1" t="s">
        <v>6</v>
      </c>
      <c r="S10" s="17">
        <f t="shared" ref="S10:AF10" si="2">SUM(C10:C13)</f>
        <v>197</v>
      </c>
      <c r="T10" s="17">
        <f t="shared" si="2"/>
        <v>22</v>
      </c>
      <c r="U10" s="17">
        <f t="shared" si="2"/>
        <v>26</v>
      </c>
      <c r="V10" s="17">
        <f t="shared" si="2"/>
        <v>209</v>
      </c>
      <c r="W10" s="17">
        <f t="shared" si="2"/>
        <v>9</v>
      </c>
      <c r="X10" s="17">
        <f t="shared" si="2"/>
        <v>4</v>
      </c>
      <c r="Y10" s="17">
        <f t="shared" si="2"/>
        <v>16</v>
      </c>
      <c r="Z10" s="17">
        <f t="shared" si="2"/>
        <v>13</v>
      </c>
      <c r="AA10" s="17">
        <f t="shared" si="2"/>
        <v>7</v>
      </c>
      <c r="AB10" s="17">
        <f t="shared" si="2"/>
        <v>10</v>
      </c>
      <c r="AC10" s="17">
        <f t="shared" si="2"/>
        <v>822</v>
      </c>
      <c r="AD10" s="17">
        <f t="shared" si="2"/>
        <v>0</v>
      </c>
      <c r="AE10" s="31">
        <f t="shared" si="2"/>
        <v>513</v>
      </c>
      <c r="AF10" s="31">
        <f t="shared" si="2"/>
        <v>1335</v>
      </c>
    </row>
    <row r="11" spans="2:32" s="6" customFormat="1" ht="23.1" customHeight="1" x14ac:dyDescent="0.25">
      <c r="B11" s="45" t="s">
        <v>38</v>
      </c>
      <c r="C11" s="50">
        <v>41</v>
      </c>
      <c r="D11" s="50">
        <v>4</v>
      </c>
      <c r="E11" s="50">
        <v>5</v>
      </c>
      <c r="F11" s="50">
        <v>63</v>
      </c>
      <c r="G11" s="50">
        <v>0</v>
      </c>
      <c r="H11" s="50">
        <v>0</v>
      </c>
      <c r="I11" s="50">
        <v>3</v>
      </c>
      <c r="J11" s="50">
        <v>3</v>
      </c>
      <c r="K11" s="50">
        <v>2</v>
      </c>
      <c r="L11" s="50">
        <v>3</v>
      </c>
      <c r="M11" s="50">
        <v>195</v>
      </c>
      <c r="N11" s="50">
        <v>0</v>
      </c>
      <c r="O11" s="15">
        <f t="shared" si="0"/>
        <v>124</v>
      </c>
      <c r="P11" s="15">
        <f t="shared" si="1"/>
        <v>319</v>
      </c>
      <c r="R11" s="1" t="s">
        <v>7</v>
      </c>
      <c r="S11" s="17">
        <f t="shared" ref="S11:AF11" si="3">SUM(C14:C17)</f>
        <v>214</v>
      </c>
      <c r="T11" s="17">
        <f t="shared" si="3"/>
        <v>34</v>
      </c>
      <c r="U11" s="17">
        <f t="shared" si="3"/>
        <v>19</v>
      </c>
      <c r="V11" s="17">
        <f t="shared" si="3"/>
        <v>237</v>
      </c>
      <c r="W11" s="17">
        <f t="shared" si="3"/>
        <v>6</v>
      </c>
      <c r="X11" s="17">
        <f t="shared" si="3"/>
        <v>3</v>
      </c>
      <c r="Y11" s="17">
        <f t="shared" si="3"/>
        <v>15</v>
      </c>
      <c r="Z11" s="17">
        <f t="shared" si="3"/>
        <v>14</v>
      </c>
      <c r="AA11" s="17">
        <f t="shared" si="3"/>
        <v>7</v>
      </c>
      <c r="AB11" s="17">
        <f t="shared" si="3"/>
        <v>8</v>
      </c>
      <c r="AC11" s="17">
        <f t="shared" si="3"/>
        <v>675</v>
      </c>
      <c r="AD11" s="17">
        <f t="shared" si="3"/>
        <v>0</v>
      </c>
      <c r="AE11" s="31">
        <f t="shared" si="3"/>
        <v>557</v>
      </c>
      <c r="AF11" s="31">
        <f t="shared" si="3"/>
        <v>1232</v>
      </c>
    </row>
    <row r="12" spans="2:32" ht="23.1" customHeight="1" x14ac:dyDescent="0.25">
      <c r="B12" s="45" t="s">
        <v>39</v>
      </c>
      <c r="C12" s="50">
        <v>55</v>
      </c>
      <c r="D12" s="50">
        <v>10</v>
      </c>
      <c r="E12" s="50">
        <v>1</v>
      </c>
      <c r="F12" s="50">
        <v>51</v>
      </c>
      <c r="G12" s="50">
        <v>3</v>
      </c>
      <c r="H12" s="50">
        <v>0</v>
      </c>
      <c r="I12" s="50">
        <v>4</v>
      </c>
      <c r="J12" s="50">
        <v>2</v>
      </c>
      <c r="K12" s="50">
        <v>0</v>
      </c>
      <c r="L12" s="50">
        <v>3</v>
      </c>
      <c r="M12" s="50">
        <v>187</v>
      </c>
      <c r="N12" s="50">
        <v>0</v>
      </c>
      <c r="O12" s="15">
        <f t="shared" si="0"/>
        <v>129</v>
      </c>
      <c r="P12" s="15">
        <f t="shared" si="1"/>
        <v>316</v>
      </c>
      <c r="R12" s="1" t="s">
        <v>8</v>
      </c>
      <c r="S12" s="17">
        <f t="shared" ref="S12:AF12" si="4">SUM(C18:C21)</f>
        <v>229</v>
      </c>
      <c r="T12" s="17">
        <f t="shared" si="4"/>
        <v>32</v>
      </c>
      <c r="U12" s="17">
        <f t="shared" si="4"/>
        <v>39</v>
      </c>
      <c r="V12" s="17">
        <f t="shared" si="4"/>
        <v>253</v>
      </c>
      <c r="W12" s="17">
        <f t="shared" si="4"/>
        <v>8</v>
      </c>
      <c r="X12" s="17">
        <f t="shared" si="4"/>
        <v>6</v>
      </c>
      <c r="Y12" s="17">
        <f t="shared" si="4"/>
        <v>13</v>
      </c>
      <c r="Z12" s="17">
        <f t="shared" si="4"/>
        <v>13</v>
      </c>
      <c r="AA12" s="17">
        <f t="shared" si="4"/>
        <v>9</v>
      </c>
      <c r="AB12" s="17">
        <f t="shared" si="4"/>
        <v>4</v>
      </c>
      <c r="AC12" s="17">
        <f t="shared" si="4"/>
        <v>733</v>
      </c>
      <c r="AD12" s="17">
        <f t="shared" si="4"/>
        <v>0</v>
      </c>
      <c r="AE12" s="31">
        <f t="shared" si="4"/>
        <v>606</v>
      </c>
      <c r="AF12" s="31">
        <f t="shared" si="4"/>
        <v>1339</v>
      </c>
    </row>
    <row r="13" spans="2:32" ht="23.1" customHeight="1" x14ac:dyDescent="0.25">
      <c r="B13" s="45" t="s">
        <v>40</v>
      </c>
      <c r="C13" s="50">
        <v>45</v>
      </c>
      <c r="D13" s="50">
        <v>4</v>
      </c>
      <c r="E13" s="50">
        <v>10</v>
      </c>
      <c r="F13" s="50">
        <v>55</v>
      </c>
      <c r="G13" s="50">
        <v>0</v>
      </c>
      <c r="H13" s="50">
        <v>0</v>
      </c>
      <c r="I13" s="50">
        <v>2</v>
      </c>
      <c r="J13" s="50">
        <v>1</v>
      </c>
      <c r="K13" s="50">
        <v>3</v>
      </c>
      <c r="L13" s="50">
        <v>2</v>
      </c>
      <c r="M13" s="50">
        <v>215</v>
      </c>
      <c r="N13" s="50">
        <v>0</v>
      </c>
      <c r="O13" s="15">
        <f t="shared" si="0"/>
        <v>122</v>
      </c>
      <c r="P13" s="15">
        <f t="shared" si="1"/>
        <v>337</v>
      </c>
      <c r="R13" s="1" t="s">
        <v>9</v>
      </c>
      <c r="S13" s="17">
        <f t="shared" ref="S13:AF13" si="5">SUM(C22:C25)</f>
        <v>236</v>
      </c>
      <c r="T13" s="17">
        <f t="shared" si="5"/>
        <v>18</v>
      </c>
      <c r="U13" s="17">
        <f t="shared" si="5"/>
        <v>21</v>
      </c>
      <c r="V13" s="17">
        <f t="shared" si="5"/>
        <v>192</v>
      </c>
      <c r="W13" s="17">
        <f t="shared" si="5"/>
        <v>3</v>
      </c>
      <c r="X13" s="17">
        <f t="shared" si="5"/>
        <v>3</v>
      </c>
      <c r="Y13" s="17">
        <f t="shared" si="5"/>
        <v>20</v>
      </c>
      <c r="Z13" s="17">
        <f t="shared" si="5"/>
        <v>14</v>
      </c>
      <c r="AA13" s="17">
        <f t="shared" si="5"/>
        <v>6</v>
      </c>
      <c r="AB13" s="17">
        <f t="shared" si="5"/>
        <v>8</v>
      </c>
      <c r="AC13" s="17">
        <f t="shared" si="5"/>
        <v>369</v>
      </c>
      <c r="AD13" s="17">
        <f t="shared" si="5"/>
        <v>0</v>
      </c>
      <c r="AE13" s="31">
        <f t="shared" si="5"/>
        <v>521</v>
      </c>
      <c r="AF13" s="31">
        <f t="shared" si="5"/>
        <v>890</v>
      </c>
    </row>
    <row r="14" spans="2:32" ht="23.1" customHeight="1" x14ac:dyDescent="0.25">
      <c r="B14" s="45" t="s">
        <v>41</v>
      </c>
      <c r="C14" s="50">
        <v>48</v>
      </c>
      <c r="D14" s="50">
        <v>7</v>
      </c>
      <c r="E14" s="50">
        <v>1</v>
      </c>
      <c r="F14" s="50">
        <v>75</v>
      </c>
      <c r="G14" s="50">
        <v>0</v>
      </c>
      <c r="H14" s="50">
        <v>1</v>
      </c>
      <c r="I14" s="50">
        <v>5</v>
      </c>
      <c r="J14" s="50">
        <v>3</v>
      </c>
      <c r="K14" s="50">
        <v>2</v>
      </c>
      <c r="L14" s="50">
        <v>0</v>
      </c>
      <c r="M14" s="50">
        <v>180</v>
      </c>
      <c r="N14" s="50">
        <v>0</v>
      </c>
      <c r="O14" s="15">
        <f t="shared" si="0"/>
        <v>142</v>
      </c>
      <c r="P14" s="15">
        <f t="shared" si="1"/>
        <v>322</v>
      </c>
      <c r="R14" s="1" t="s">
        <v>10</v>
      </c>
      <c r="S14" s="17">
        <f t="shared" ref="S14:AF14" si="6">SUM(C26:C29)</f>
        <v>269</v>
      </c>
      <c r="T14" s="17">
        <f t="shared" si="6"/>
        <v>83</v>
      </c>
      <c r="U14" s="17">
        <f t="shared" si="6"/>
        <v>47</v>
      </c>
      <c r="V14" s="17">
        <f t="shared" si="6"/>
        <v>170</v>
      </c>
      <c r="W14" s="17">
        <f t="shared" si="6"/>
        <v>3</v>
      </c>
      <c r="X14" s="17">
        <f t="shared" si="6"/>
        <v>2</v>
      </c>
      <c r="Y14" s="17">
        <f t="shared" si="6"/>
        <v>24</v>
      </c>
      <c r="Z14" s="17">
        <f t="shared" si="6"/>
        <v>7</v>
      </c>
      <c r="AA14" s="17">
        <f t="shared" si="6"/>
        <v>11</v>
      </c>
      <c r="AB14" s="17">
        <f t="shared" si="6"/>
        <v>5</v>
      </c>
      <c r="AC14" s="17">
        <f t="shared" si="6"/>
        <v>425</v>
      </c>
      <c r="AD14" s="17">
        <f t="shared" si="6"/>
        <v>0</v>
      </c>
      <c r="AE14" s="31">
        <f t="shared" si="6"/>
        <v>621</v>
      </c>
      <c r="AF14" s="31">
        <f t="shared" si="6"/>
        <v>1046</v>
      </c>
    </row>
    <row r="15" spans="2:32" ht="23.1" customHeight="1" x14ac:dyDescent="0.25">
      <c r="B15" s="45" t="s">
        <v>42</v>
      </c>
      <c r="C15" s="50">
        <v>70</v>
      </c>
      <c r="D15" s="50">
        <v>6</v>
      </c>
      <c r="E15" s="50">
        <v>4</v>
      </c>
      <c r="F15" s="50">
        <v>57</v>
      </c>
      <c r="G15" s="50">
        <v>2</v>
      </c>
      <c r="H15" s="50">
        <v>0</v>
      </c>
      <c r="I15" s="50">
        <v>3</v>
      </c>
      <c r="J15" s="50">
        <v>6</v>
      </c>
      <c r="K15" s="50">
        <v>4</v>
      </c>
      <c r="L15" s="50">
        <v>2</v>
      </c>
      <c r="M15" s="50">
        <v>157</v>
      </c>
      <c r="N15" s="50">
        <v>0</v>
      </c>
      <c r="O15" s="15">
        <f t="shared" si="0"/>
        <v>154</v>
      </c>
      <c r="P15" s="15">
        <f t="shared" si="1"/>
        <v>311</v>
      </c>
      <c r="R15" s="1" t="s">
        <v>11</v>
      </c>
      <c r="S15" s="17">
        <f t="shared" ref="S15:AF15" si="7">SUM(C30:C33)</f>
        <v>173</v>
      </c>
      <c r="T15" s="17">
        <f t="shared" si="7"/>
        <v>34</v>
      </c>
      <c r="U15" s="17">
        <f t="shared" si="7"/>
        <v>45</v>
      </c>
      <c r="V15" s="17">
        <f t="shared" si="7"/>
        <v>315</v>
      </c>
      <c r="W15" s="17">
        <f t="shared" si="7"/>
        <v>2</v>
      </c>
      <c r="X15" s="17">
        <f t="shared" si="7"/>
        <v>5</v>
      </c>
      <c r="Y15" s="17">
        <f t="shared" si="7"/>
        <v>14</v>
      </c>
      <c r="Z15" s="17">
        <f t="shared" si="7"/>
        <v>6</v>
      </c>
      <c r="AA15" s="17">
        <f t="shared" si="7"/>
        <v>11</v>
      </c>
      <c r="AB15" s="17">
        <f t="shared" si="7"/>
        <v>5</v>
      </c>
      <c r="AC15" s="17">
        <f t="shared" si="7"/>
        <v>399</v>
      </c>
      <c r="AD15" s="17">
        <f t="shared" si="7"/>
        <v>0</v>
      </c>
      <c r="AE15" s="31">
        <f t="shared" si="7"/>
        <v>610</v>
      </c>
      <c r="AF15" s="31">
        <f t="shared" si="7"/>
        <v>1009</v>
      </c>
    </row>
    <row r="16" spans="2:32" ht="23.1" customHeight="1" x14ac:dyDescent="0.25">
      <c r="B16" s="45" t="s">
        <v>43</v>
      </c>
      <c r="C16" s="50">
        <v>55</v>
      </c>
      <c r="D16" s="50">
        <v>15</v>
      </c>
      <c r="E16" s="50">
        <v>7</v>
      </c>
      <c r="F16" s="50">
        <v>62</v>
      </c>
      <c r="G16" s="50">
        <v>1</v>
      </c>
      <c r="H16" s="50">
        <v>2</v>
      </c>
      <c r="I16" s="50">
        <v>4</v>
      </c>
      <c r="J16" s="50">
        <v>3</v>
      </c>
      <c r="K16" s="50">
        <v>0</v>
      </c>
      <c r="L16" s="50">
        <v>3</v>
      </c>
      <c r="M16" s="50">
        <v>153</v>
      </c>
      <c r="N16" s="50">
        <v>0</v>
      </c>
      <c r="O16" s="15">
        <f t="shared" si="0"/>
        <v>152</v>
      </c>
      <c r="P16" s="15">
        <f t="shared" si="1"/>
        <v>305</v>
      </c>
      <c r="R16" s="1" t="s">
        <v>12</v>
      </c>
      <c r="S16" s="17">
        <f t="shared" ref="S16:AF16" si="8">SUM(C34:C37)</f>
        <v>184</v>
      </c>
      <c r="T16" s="17">
        <f t="shared" si="8"/>
        <v>19</v>
      </c>
      <c r="U16" s="17">
        <f t="shared" si="8"/>
        <v>70</v>
      </c>
      <c r="V16" s="17">
        <f t="shared" si="8"/>
        <v>149</v>
      </c>
      <c r="W16" s="17">
        <f t="shared" si="8"/>
        <v>2</v>
      </c>
      <c r="X16" s="17">
        <f t="shared" si="8"/>
        <v>0</v>
      </c>
      <c r="Y16" s="17">
        <f t="shared" si="8"/>
        <v>16</v>
      </c>
      <c r="Z16" s="17">
        <f t="shared" si="8"/>
        <v>11</v>
      </c>
      <c r="AA16" s="17">
        <f t="shared" si="8"/>
        <v>6</v>
      </c>
      <c r="AB16" s="17">
        <f t="shared" si="8"/>
        <v>6</v>
      </c>
      <c r="AC16" s="17">
        <f t="shared" si="8"/>
        <v>342</v>
      </c>
      <c r="AD16" s="17">
        <f t="shared" si="8"/>
        <v>0</v>
      </c>
      <c r="AE16" s="31">
        <f t="shared" si="8"/>
        <v>463</v>
      </c>
      <c r="AF16" s="31">
        <f t="shared" si="8"/>
        <v>805</v>
      </c>
    </row>
    <row r="17" spans="2:32" ht="23.1" customHeight="1" x14ac:dyDescent="0.25">
      <c r="B17" s="45" t="s">
        <v>44</v>
      </c>
      <c r="C17" s="50">
        <v>41</v>
      </c>
      <c r="D17" s="50">
        <v>6</v>
      </c>
      <c r="E17" s="50">
        <v>7</v>
      </c>
      <c r="F17" s="50">
        <v>43</v>
      </c>
      <c r="G17" s="50">
        <v>3</v>
      </c>
      <c r="H17" s="50">
        <v>0</v>
      </c>
      <c r="I17" s="50">
        <v>3</v>
      </c>
      <c r="J17" s="50">
        <v>2</v>
      </c>
      <c r="K17" s="50">
        <v>1</v>
      </c>
      <c r="L17" s="50">
        <v>3</v>
      </c>
      <c r="M17" s="50">
        <v>185</v>
      </c>
      <c r="N17" s="50">
        <v>0</v>
      </c>
      <c r="O17" s="15">
        <f t="shared" si="0"/>
        <v>109</v>
      </c>
      <c r="P17" s="15">
        <f t="shared" si="1"/>
        <v>294</v>
      </c>
      <c r="R17" s="1" t="s">
        <v>13</v>
      </c>
      <c r="S17" s="17">
        <f t="shared" ref="S17:AF17" si="9">SUM(C38:C41)</f>
        <v>181</v>
      </c>
      <c r="T17" s="17">
        <f t="shared" si="9"/>
        <v>22</v>
      </c>
      <c r="U17" s="17">
        <f t="shared" si="9"/>
        <v>42</v>
      </c>
      <c r="V17" s="17">
        <f t="shared" si="9"/>
        <v>97</v>
      </c>
      <c r="W17" s="17">
        <f t="shared" si="9"/>
        <v>0</v>
      </c>
      <c r="X17" s="17">
        <f t="shared" si="9"/>
        <v>1</v>
      </c>
      <c r="Y17" s="17">
        <f t="shared" si="9"/>
        <v>30</v>
      </c>
      <c r="Z17" s="17">
        <f t="shared" si="9"/>
        <v>12</v>
      </c>
      <c r="AA17" s="17">
        <f t="shared" si="9"/>
        <v>9</v>
      </c>
      <c r="AB17" s="17">
        <f t="shared" si="9"/>
        <v>4</v>
      </c>
      <c r="AC17" s="17">
        <f t="shared" si="9"/>
        <v>534</v>
      </c>
      <c r="AD17" s="17">
        <f t="shared" si="9"/>
        <v>0</v>
      </c>
      <c r="AE17" s="31">
        <f t="shared" si="9"/>
        <v>398</v>
      </c>
      <c r="AF17" s="31">
        <f t="shared" si="9"/>
        <v>932</v>
      </c>
    </row>
    <row r="18" spans="2:32" ht="23.1" customHeight="1" x14ac:dyDescent="0.25">
      <c r="B18" s="45" t="s">
        <v>45</v>
      </c>
      <c r="C18" s="50">
        <v>35</v>
      </c>
      <c r="D18" s="50">
        <v>8</v>
      </c>
      <c r="E18" s="50">
        <v>9</v>
      </c>
      <c r="F18" s="50">
        <v>57</v>
      </c>
      <c r="G18" s="50">
        <v>0</v>
      </c>
      <c r="H18" s="50">
        <v>0</v>
      </c>
      <c r="I18" s="50">
        <v>5</v>
      </c>
      <c r="J18" s="50">
        <v>2</v>
      </c>
      <c r="K18" s="50">
        <v>1</v>
      </c>
      <c r="L18" s="50">
        <v>0</v>
      </c>
      <c r="M18" s="50">
        <v>175</v>
      </c>
      <c r="N18" s="50">
        <v>0</v>
      </c>
      <c r="O18" s="15">
        <f t="shared" si="0"/>
        <v>117</v>
      </c>
      <c r="P18" s="15">
        <f t="shared" si="1"/>
        <v>292</v>
      </c>
      <c r="R18" s="1" t="s">
        <v>14</v>
      </c>
      <c r="S18" s="17">
        <f t="shared" ref="S18:AF18" si="10">SUM(C42:C45)</f>
        <v>222</v>
      </c>
      <c r="T18" s="17">
        <f t="shared" si="10"/>
        <v>26</v>
      </c>
      <c r="U18" s="17">
        <f t="shared" si="10"/>
        <v>48</v>
      </c>
      <c r="V18" s="17">
        <f t="shared" si="10"/>
        <v>151</v>
      </c>
      <c r="W18" s="17">
        <f t="shared" si="10"/>
        <v>6</v>
      </c>
      <c r="X18" s="17">
        <f t="shared" si="10"/>
        <v>0</v>
      </c>
      <c r="Y18" s="17">
        <f t="shared" si="10"/>
        <v>21</v>
      </c>
      <c r="Z18" s="17">
        <f t="shared" si="10"/>
        <v>7</v>
      </c>
      <c r="AA18" s="17">
        <f t="shared" si="10"/>
        <v>7</v>
      </c>
      <c r="AB18" s="17">
        <f t="shared" si="10"/>
        <v>4</v>
      </c>
      <c r="AC18" s="17">
        <f t="shared" si="10"/>
        <v>714</v>
      </c>
      <c r="AD18" s="17">
        <f t="shared" si="10"/>
        <v>0</v>
      </c>
      <c r="AE18" s="31">
        <f t="shared" si="10"/>
        <v>492</v>
      </c>
      <c r="AF18" s="31">
        <f t="shared" si="10"/>
        <v>1206</v>
      </c>
    </row>
    <row r="19" spans="2:32" ht="23.1" customHeight="1" x14ac:dyDescent="0.25">
      <c r="B19" s="45" t="s">
        <v>46</v>
      </c>
      <c r="C19" s="50">
        <v>30</v>
      </c>
      <c r="D19" s="50">
        <v>2</v>
      </c>
      <c r="E19" s="50">
        <v>7</v>
      </c>
      <c r="F19" s="50">
        <v>58</v>
      </c>
      <c r="G19" s="50">
        <v>1</v>
      </c>
      <c r="H19" s="50">
        <v>1</v>
      </c>
      <c r="I19" s="50">
        <v>3</v>
      </c>
      <c r="J19" s="50">
        <v>3</v>
      </c>
      <c r="K19" s="50">
        <v>0</v>
      </c>
      <c r="L19" s="50">
        <v>0</v>
      </c>
      <c r="M19" s="50">
        <v>192</v>
      </c>
      <c r="N19" s="50">
        <v>0</v>
      </c>
      <c r="O19" s="15">
        <f t="shared" si="0"/>
        <v>105</v>
      </c>
      <c r="P19" s="15">
        <f t="shared" si="1"/>
        <v>297</v>
      </c>
      <c r="R19" s="1" t="s">
        <v>15</v>
      </c>
      <c r="S19" s="17">
        <f t="shared" ref="S19:AF19" si="11">SUM(C46:C49)</f>
        <v>276</v>
      </c>
      <c r="T19" s="17">
        <f t="shared" si="11"/>
        <v>25</v>
      </c>
      <c r="U19" s="17">
        <f t="shared" si="11"/>
        <v>37</v>
      </c>
      <c r="V19" s="17">
        <f t="shared" si="11"/>
        <v>163</v>
      </c>
      <c r="W19" s="17">
        <f t="shared" si="11"/>
        <v>4</v>
      </c>
      <c r="X19" s="17">
        <f t="shared" si="11"/>
        <v>1</v>
      </c>
      <c r="Y19" s="17">
        <f t="shared" si="11"/>
        <v>20</v>
      </c>
      <c r="Z19" s="17">
        <f t="shared" si="11"/>
        <v>5</v>
      </c>
      <c r="AA19" s="17">
        <f t="shared" si="11"/>
        <v>9</v>
      </c>
      <c r="AB19" s="17">
        <f t="shared" si="11"/>
        <v>6</v>
      </c>
      <c r="AC19" s="17">
        <f t="shared" si="11"/>
        <v>585</v>
      </c>
      <c r="AD19" s="17">
        <f t="shared" si="11"/>
        <v>0</v>
      </c>
      <c r="AE19" s="31">
        <f t="shared" si="11"/>
        <v>546</v>
      </c>
      <c r="AF19" s="31">
        <f t="shared" si="11"/>
        <v>1131</v>
      </c>
    </row>
    <row r="20" spans="2:32" ht="23.1" customHeight="1" x14ac:dyDescent="0.25">
      <c r="B20" s="45" t="s">
        <v>47</v>
      </c>
      <c r="C20" s="50">
        <v>84</v>
      </c>
      <c r="D20" s="50">
        <v>11</v>
      </c>
      <c r="E20" s="50">
        <v>15</v>
      </c>
      <c r="F20" s="50">
        <v>88</v>
      </c>
      <c r="G20" s="50">
        <v>4</v>
      </c>
      <c r="H20" s="50">
        <v>1</v>
      </c>
      <c r="I20" s="50">
        <v>4</v>
      </c>
      <c r="J20" s="50">
        <v>5</v>
      </c>
      <c r="K20" s="50">
        <v>2</v>
      </c>
      <c r="L20" s="50">
        <v>3</v>
      </c>
      <c r="M20" s="50">
        <v>194</v>
      </c>
      <c r="N20" s="50">
        <v>0</v>
      </c>
      <c r="O20" s="15">
        <f t="shared" si="0"/>
        <v>217</v>
      </c>
      <c r="P20" s="15">
        <f t="shared" si="1"/>
        <v>411</v>
      </c>
      <c r="R20" s="1" t="s">
        <v>16</v>
      </c>
      <c r="S20" s="17">
        <f t="shared" ref="S20:AF20" si="12">SUM(C50:C53)</f>
        <v>306</v>
      </c>
      <c r="T20" s="17">
        <f t="shared" si="12"/>
        <v>33</v>
      </c>
      <c r="U20" s="17">
        <f t="shared" si="12"/>
        <v>40</v>
      </c>
      <c r="V20" s="17">
        <f t="shared" si="12"/>
        <v>347</v>
      </c>
      <c r="W20" s="17">
        <f t="shared" si="12"/>
        <v>5</v>
      </c>
      <c r="X20" s="17">
        <f t="shared" si="12"/>
        <v>2</v>
      </c>
      <c r="Y20" s="17">
        <f t="shared" si="12"/>
        <v>15</v>
      </c>
      <c r="Z20" s="17">
        <f t="shared" si="12"/>
        <v>7</v>
      </c>
      <c r="AA20" s="17">
        <f t="shared" si="12"/>
        <v>8</v>
      </c>
      <c r="AB20" s="17">
        <f t="shared" si="12"/>
        <v>6</v>
      </c>
      <c r="AC20" s="17">
        <f t="shared" si="12"/>
        <v>648</v>
      </c>
      <c r="AD20" s="17">
        <f t="shared" si="12"/>
        <v>0</v>
      </c>
      <c r="AE20" s="31">
        <f t="shared" si="12"/>
        <v>769</v>
      </c>
      <c r="AF20" s="31">
        <f t="shared" si="12"/>
        <v>1417</v>
      </c>
    </row>
    <row r="21" spans="2:32" ht="23.1" customHeight="1" x14ac:dyDescent="0.25">
      <c r="B21" s="45" t="s">
        <v>48</v>
      </c>
      <c r="C21" s="50">
        <v>80</v>
      </c>
      <c r="D21" s="50">
        <v>11</v>
      </c>
      <c r="E21" s="50">
        <v>8</v>
      </c>
      <c r="F21" s="50">
        <v>50</v>
      </c>
      <c r="G21" s="50">
        <v>3</v>
      </c>
      <c r="H21" s="50">
        <v>4</v>
      </c>
      <c r="I21" s="50">
        <v>1</v>
      </c>
      <c r="J21" s="50">
        <v>3</v>
      </c>
      <c r="K21" s="50">
        <v>6</v>
      </c>
      <c r="L21" s="50">
        <v>1</v>
      </c>
      <c r="M21" s="50">
        <v>172</v>
      </c>
      <c r="N21" s="50">
        <v>0</v>
      </c>
      <c r="O21" s="15">
        <f t="shared" si="0"/>
        <v>167</v>
      </c>
      <c r="P21" s="15">
        <f t="shared" si="1"/>
        <v>339</v>
      </c>
      <c r="R21" s="36" t="s">
        <v>20</v>
      </c>
      <c r="S21" s="34">
        <f t="shared" ref="S21:AF21" si="13">SUM(C54:C57)</f>
        <v>255</v>
      </c>
      <c r="T21" s="17">
        <f t="shared" si="13"/>
        <v>31</v>
      </c>
      <c r="U21" s="17">
        <f t="shared" si="13"/>
        <v>29</v>
      </c>
      <c r="V21" s="17">
        <f t="shared" si="13"/>
        <v>246</v>
      </c>
      <c r="W21" s="17">
        <f t="shared" si="13"/>
        <v>6</v>
      </c>
      <c r="X21" s="17">
        <f t="shared" si="13"/>
        <v>2</v>
      </c>
      <c r="Y21" s="17">
        <f t="shared" si="13"/>
        <v>20</v>
      </c>
      <c r="Z21" s="17">
        <f t="shared" si="13"/>
        <v>12</v>
      </c>
      <c r="AA21" s="17">
        <f t="shared" si="13"/>
        <v>6</v>
      </c>
      <c r="AB21" s="17">
        <f t="shared" si="13"/>
        <v>7</v>
      </c>
      <c r="AC21" s="17">
        <f t="shared" si="13"/>
        <v>601</v>
      </c>
      <c r="AD21" s="17">
        <f t="shared" si="13"/>
        <v>0</v>
      </c>
      <c r="AE21" s="31">
        <f t="shared" si="13"/>
        <v>614</v>
      </c>
      <c r="AF21" s="31">
        <f t="shared" si="13"/>
        <v>1215</v>
      </c>
    </row>
    <row r="22" spans="2:32" ht="23.1" customHeight="1" x14ac:dyDescent="0.25">
      <c r="B22" s="45" t="s">
        <v>49</v>
      </c>
      <c r="C22" s="50">
        <v>71</v>
      </c>
      <c r="D22" s="50">
        <v>2</v>
      </c>
      <c r="E22" s="50">
        <v>7</v>
      </c>
      <c r="F22" s="50">
        <v>55</v>
      </c>
      <c r="G22" s="50">
        <v>0</v>
      </c>
      <c r="H22" s="50">
        <v>0</v>
      </c>
      <c r="I22" s="50">
        <v>4</v>
      </c>
      <c r="J22" s="50">
        <v>2</v>
      </c>
      <c r="K22" s="50">
        <v>0</v>
      </c>
      <c r="L22" s="50">
        <v>0</v>
      </c>
      <c r="M22" s="50">
        <v>115</v>
      </c>
      <c r="N22" s="50">
        <v>0</v>
      </c>
      <c r="O22" s="15">
        <f t="shared" si="0"/>
        <v>141</v>
      </c>
      <c r="P22" s="15">
        <f t="shared" si="1"/>
        <v>256</v>
      </c>
      <c r="R22" s="36" t="s">
        <v>146</v>
      </c>
      <c r="S22" s="34">
        <f>SUM(C58:C61)</f>
        <v>244</v>
      </c>
      <c r="T22" s="34">
        <f t="shared" ref="T22:AF22" si="14">SUM(D58:D61)</f>
        <v>153</v>
      </c>
      <c r="U22" s="34">
        <f t="shared" si="14"/>
        <v>80</v>
      </c>
      <c r="V22" s="34">
        <f t="shared" si="14"/>
        <v>94</v>
      </c>
      <c r="W22" s="34">
        <f t="shared" si="14"/>
        <v>16</v>
      </c>
      <c r="X22" s="34">
        <f t="shared" si="14"/>
        <v>3</v>
      </c>
      <c r="Y22" s="34">
        <f t="shared" si="14"/>
        <v>9</v>
      </c>
      <c r="Z22" s="34">
        <f t="shared" si="14"/>
        <v>17</v>
      </c>
      <c r="AA22" s="34">
        <f t="shared" si="14"/>
        <v>4</v>
      </c>
      <c r="AB22" s="34">
        <f t="shared" si="14"/>
        <v>5</v>
      </c>
      <c r="AC22" s="34">
        <f t="shared" si="14"/>
        <v>1389</v>
      </c>
      <c r="AD22" s="34">
        <f t="shared" si="14"/>
        <v>0</v>
      </c>
      <c r="AE22" s="31">
        <f t="shared" si="14"/>
        <v>625</v>
      </c>
      <c r="AF22" s="31">
        <f t="shared" si="14"/>
        <v>2014</v>
      </c>
    </row>
    <row r="23" spans="2:32" ht="23.1" customHeight="1" x14ac:dyDescent="0.25">
      <c r="B23" s="45" t="s">
        <v>50</v>
      </c>
      <c r="C23" s="50">
        <v>55</v>
      </c>
      <c r="D23" s="50">
        <v>6</v>
      </c>
      <c r="E23" s="50">
        <v>5</v>
      </c>
      <c r="F23" s="50">
        <v>60</v>
      </c>
      <c r="G23" s="50">
        <v>2</v>
      </c>
      <c r="H23" s="50">
        <v>3</v>
      </c>
      <c r="I23" s="50">
        <v>3</v>
      </c>
      <c r="J23" s="50">
        <v>3</v>
      </c>
      <c r="K23" s="50">
        <v>1</v>
      </c>
      <c r="L23" s="50">
        <v>2</v>
      </c>
      <c r="M23" s="50">
        <v>92</v>
      </c>
      <c r="N23" s="50">
        <v>0</v>
      </c>
      <c r="O23" s="15">
        <f t="shared" si="0"/>
        <v>140</v>
      </c>
      <c r="P23" s="15">
        <f t="shared" si="1"/>
        <v>232</v>
      </c>
      <c r="R23" s="36" t="s">
        <v>147</v>
      </c>
      <c r="S23" s="34">
        <f>SUM(C62:C65)</f>
        <v>238</v>
      </c>
      <c r="T23" s="34">
        <f t="shared" ref="T23:AF23" si="15">SUM(D62:D65)</f>
        <v>117</v>
      </c>
      <c r="U23" s="34">
        <f t="shared" si="15"/>
        <v>29</v>
      </c>
      <c r="V23" s="34">
        <f t="shared" si="15"/>
        <v>189</v>
      </c>
      <c r="W23" s="34">
        <f t="shared" si="15"/>
        <v>8</v>
      </c>
      <c r="X23" s="34">
        <f t="shared" si="15"/>
        <v>2</v>
      </c>
      <c r="Y23" s="34">
        <f t="shared" si="15"/>
        <v>10</v>
      </c>
      <c r="Z23" s="34">
        <f t="shared" si="15"/>
        <v>11</v>
      </c>
      <c r="AA23" s="34">
        <f t="shared" si="15"/>
        <v>4</v>
      </c>
      <c r="AB23" s="34">
        <f t="shared" si="15"/>
        <v>2</v>
      </c>
      <c r="AC23" s="34">
        <f t="shared" si="15"/>
        <v>1270</v>
      </c>
      <c r="AD23" s="34">
        <f t="shared" si="15"/>
        <v>0</v>
      </c>
      <c r="AE23" s="31">
        <f t="shared" si="15"/>
        <v>610</v>
      </c>
      <c r="AF23" s="31">
        <f t="shared" si="15"/>
        <v>1880</v>
      </c>
    </row>
    <row r="24" spans="2:32" ht="23.1" customHeight="1" x14ac:dyDescent="0.25">
      <c r="B24" s="45" t="s">
        <v>51</v>
      </c>
      <c r="C24" s="50">
        <v>60</v>
      </c>
      <c r="D24" s="50">
        <v>8</v>
      </c>
      <c r="E24" s="50">
        <v>5</v>
      </c>
      <c r="F24" s="50">
        <v>7</v>
      </c>
      <c r="G24" s="50">
        <v>0</v>
      </c>
      <c r="H24" s="50">
        <v>0</v>
      </c>
      <c r="I24" s="50">
        <v>5</v>
      </c>
      <c r="J24" s="50">
        <v>4</v>
      </c>
      <c r="K24" s="50">
        <v>3</v>
      </c>
      <c r="L24" s="50">
        <v>5</v>
      </c>
      <c r="M24" s="50">
        <v>85</v>
      </c>
      <c r="N24" s="50">
        <v>0</v>
      </c>
      <c r="O24" s="15">
        <f t="shared" si="0"/>
        <v>97</v>
      </c>
      <c r="P24" s="15">
        <f t="shared" si="1"/>
        <v>182</v>
      </c>
      <c r="R24" s="36" t="s">
        <v>148</v>
      </c>
      <c r="S24" s="34">
        <f>SUM(C66:C69)</f>
        <v>207</v>
      </c>
      <c r="T24" s="34">
        <f t="shared" ref="T24:AF24" si="16">SUM(D66:D69)</f>
        <v>50</v>
      </c>
      <c r="U24" s="34">
        <f t="shared" si="16"/>
        <v>21</v>
      </c>
      <c r="V24" s="34">
        <f t="shared" si="16"/>
        <v>180</v>
      </c>
      <c r="W24" s="34">
        <f t="shared" si="16"/>
        <v>3</v>
      </c>
      <c r="X24" s="34">
        <f t="shared" si="16"/>
        <v>0</v>
      </c>
      <c r="Y24" s="34">
        <f t="shared" si="16"/>
        <v>9</v>
      </c>
      <c r="Z24" s="34">
        <f t="shared" si="16"/>
        <v>14</v>
      </c>
      <c r="AA24" s="34">
        <f t="shared" si="16"/>
        <v>4</v>
      </c>
      <c r="AB24" s="34">
        <f t="shared" si="16"/>
        <v>5</v>
      </c>
      <c r="AC24" s="34">
        <f t="shared" si="16"/>
        <v>992</v>
      </c>
      <c r="AD24" s="34">
        <f t="shared" si="16"/>
        <v>0</v>
      </c>
      <c r="AE24" s="31">
        <f t="shared" si="16"/>
        <v>493</v>
      </c>
      <c r="AF24" s="31">
        <f t="shared" si="16"/>
        <v>1485</v>
      </c>
    </row>
    <row r="25" spans="2:32" ht="23.1" customHeight="1" x14ac:dyDescent="0.25">
      <c r="B25" s="45" t="s">
        <v>52</v>
      </c>
      <c r="C25" s="50">
        <v>50</v>
      </c>
      <c r="D25" s="50">
        <v>2</v>
      </c>
      <c r="E25" s="50">
        <v>4</v>
      </c>
      <c r="F25" s="50">
        <v>70</v>
      </c>
      <c r="G25" s="50">
        <v>1</v>
      </c>
      <c r="H25" s="50">
        <v>0</v>
      </c>
      <c r="I25" s="50">
        <v>8</v>
      </c>
      <c r="J25" s="50">
        <v>5</v>
      </c>
      <c r="K25" s="50">
        <v>2</v>
      </c>
      <c r="L25" s="50">
        <v>1</v>
      </c>
      <c r="M25" s="50">
        <v>77</v>
      </c>
      <c r="N25" s="50">
        <v>0</v>
      </c>
      <c r="O25" s="15">
        <f t="shared" si="0"/>
        <v>143</v>
      </c>
      <c r="P25" s="15">
        <f t="shared" si="1"/>
        <v>220</v>
      </c>
      <c r="R25" s="36" t="s">
        <v>149</v>
      </c>
      <c r="S25" s="34">
        <f>SUM(C70:C73)</f>
        <v>190</v>
      </c>
      <c r="T25" s="34">
        <f t="shared" ref="T25:AF25" si="17">SUM(D70:D73)</f>
        <v>58</v>
      </c>
      <c r="U25" s="34">
        <f t="shared" si="17"/>
        <v>16</v>
      </c>
      <c r="V25" s="34">
        <f t="shared" si="17"/>
        <v>167</v>
      </c>
      <c r="W25" s="34">
        <f t="shared" si="17"/>
        <v>3</v>
      </c>
      <c r="X25" s="34">
        <f t="shared" si="17"/>
        <v>3</v>
      </c>
      <c r="Y25" s="34">
        <f t="shared" si="17"/>
        <v>19</v>
      </c>
      <c r="Z25" s="34">
        <f t="shared" si="17"/>
        <v>11</v>
      </c>
      <c r="AA25" s="34">
        <f t="shared" si="17"/>
        <v>9</v>
      </c>
      <c r="AB25" s="34">
        <f t="shared" si="17"/>
        <v>2</v>
      </c>
      <c r="AC25" s="34">
        <f t="shared" si="17"/>
        <v>792</v>
      </c>
      <c r="AD25" s="34">
        <f t="shared" si="17"/>
        <v>0</v>
      </c>
      <c r="AE25" s="31">
        <f t="shared" si="17"/>
        <v>478</v>
      </c>
      <c r="AF25" s="31">
        <f t="shared" si="17"/>
        <v>1270</v>
      </c>
    </row>
    <row r="26" spans="2:32" ht="23.1" customHeight="1" x14ac:dyDescent="0.25">
      <c r="B26" s="45" t="s">
        <v>53</v>
      </c>
      <c r="C26" s="50">
        <v>70</v>
      </c>
      <c r="D26" s="50">
        <v>29</v>
      </c>
      <c r="E26" s="50">
        <v>15</v>
      </c>
      <c r="F26" s="50">
        <v>60</v>
      </c>
      <c r="G26" s="50">
        <v>1</v>
      </c>
      <c r="H26" s="50">
        <v>1</v>
      </c>
      <c r="I26" s="50">
        <v>7</v>
      </c>
      <c r="J26" s="50">
        <v>4</v>
      </c>
      <c r="K26" s="50">
        <v>3</v>
      </c>
      <c r="L26" s="50">
        <v>0</v>
      </c>
      <c r="M26" s="50">
        <v>120</v>
      </c>
      <c r="N26" s="50">
        <v>0</v>
      </c>
      <c r="O26" s="15">
        <f t="shared" si="0"/>
        <v>190</v>
      </c>
      <c r="P26" s="15">
        <f t="shared" si="1"/>
        <v>310</v>
      </c>
      <c r="R26" s="36" t="s">
        <v>150</v>
      </c>
      <c r="S26" s="34">
        <f>SUM(C74:C77)</f>
        <v>184</v>
      </c>
      <c r="T26" s="34">
        <f t="shared" ref="T26:AF26" si="18">SUM(D74:D77)</f>
        <v>26</v>
      </c>
      <c r="U26" s="34">
        <f t="shared" si="18"/>
        <v>15</v>
      </c>
      <c r="V26" s="34">
        <f t="shared" si="18"/>
        <v>80</v>
      </c>
      <c r="W26" s="34">
        <f t="shared" si="18"/>
        <v>2</v>
      </c>
      <c r="X26" s="34">
        <f t="shared" si="18"/>
        <v>0</v>
      </c>
      <c r="Y26" s="34">
        <f t="shared" si="18"/>
        <v>15</v>
      </c>
      <c r="Z26" s="34">
        <f t="shared" si="18"/>
        <v>18</v>
      </c>
      <c r="AA26" s="34">
        <f t="shared" si="18"/>
        <v>6</v>
      </c>
      <c r="AB26" s="34">
        <f t="shared" si="18"/>
        <v>2</v>
      </c>
      <c r="AC26" s="34">
        <f t="shared" si="18"/>
        <v>480</v>
      </c>
      <c r="AD26" s="34">
        <f t="shared" si="18"/>
        <v>0</v>
      </c>
      <c r="AE26" s="31">
        <f t="shared" si="18"/>
        <v>348</v>
      </c>
      <c r="AF26" s="31">
        <f t="shared" si="18"/>
        <v>828</v>
      </c>
    </row>
    <row r="27" spans="2:32" ht="23.1" customHeight="1" x14ac:dyDescent="0.25">
      <c r="B27" s="45" t="s">
        <v>54</v>
      </c>
      <c r="C27" s="50">
        <v>64</v>
      </c>
      <c r="D27" s="50">
        <v>30</v>
      </c>
      <c r="E27" s="50">
        <v>10</v>
      </c>
      <c r="F27" s="50">
        <v>20</v>
      </c>
      <c r="G27" s="50">
        <v>0</v>
      </c>
      <c r="H27" s="50">
        <v>1</v>
      </c>
      <c r="I27" s="50">
        <v>3</v>
      </c>
      <c r="J27" s="50">
        <v>0</v>
      </c>
      <c r="K27" s="50">
        <v>2</v>
      </c>
      <c r="L27" s="50">
        <v>2</v>
      </c>
      <c r="M27" s="50">
        <v>97</v>
      </c>
      <c r="N27" s="50">
        <v>0</v>
      </c>
      <c r="O27" s="15">
        <f t="shared" si="0"/>
        <v>132</v>
      </c>
      <c r="P27" s="15">
        <f t="shared" si="1"/>
        <v>229</v>
      </c>
      <c r="R27" s="36" t="s">
        <v>151</v>
      </c>
      <c r="S27" s="34">
        <f>SUM(C78:C81)</f>
        <v>69</v>
      </c>
      <c r="T27" s="34">
        <f t="shared" ref="T27:AF27" si="19">SUM(D78:D81)</f>
        <v>15</v>
      </c>
      <c r="U27" s="34">
        <f t="shared" si="19"/>
        <v>11</v>
      </c>
      <c r="V27" s="34">
        <f t="shared" si="19"/>
        <v>42</v>
      </c>
      <c r="W27" s="34">
        <f t="shared" si="19"/>
        <v>1</v>
      </c>
      <c r="X27" s="34">
        <f t="shared" si="19"/>
        <v>0</v>
      </c>
      <c r="Y27" s="34">
        <f t="shared" si="19"/>
        <v>7</v>
      </c>
      <c r="Z27" s="34">
        <f t="shared" si="19"/>
        <v>6</v>
      </c>
      <c r="AA27" s="34">
        <f t="shared" si="19"/>
        <v>1</v>
      </c>
      <c r="AB27" s="34">
        <f t="shared" si="19"/>
        <v>1</v>
      </c>
      <c r="AC27" s="34">
        <f t="shared" si="19"/>
        <v>315</v>
      </c>
      <c r="AD27" s="34">
        <f t="shared" si="19"/>
        <v>0</v>
      </c>
      <c r="AE27" s="31">
        <f t="shared" si="19"/>
        <v>153</v>
      </c>
      <c r="AF27" s="31">
        <f t="shared" si="19"/>
        <v>468</v>
      </c>
    </row>
    <row r="28" spans="2:32" ht="23.1" customHeight="1" x14ac:dyDescent="0.25">
      <c r="B28" s="45" t="s">
        <v>55</v>
      </c>
      <c r="C28" s="50">
        <v>65</v>
      </c>
      <c r="D28" s="50">
        <v>10</v>
      </c>
      <c r="E28" s="50">
        <v>5</v>
      </c>
      <c r="F28" s="50">
        <v>55</v>
      </c>
      <c r="G28" s="50">
        <v>2</v>
      </c>
      <c r="H28" s="50">
        <v>0</v>
      </c>
      <c r="I28" s="50">
        <v>10</v>
      </c>
      <c r="J28" s="50">
        <v>3</v>
      </c>
      <c r="K28" s="50">
        <v>1</v>
      </c>
      <c r="L28" s="50">
        <v>0</v>
      </c>
      <c r="M28" s="50">
        <v>130</v>
      </c>
      <c r="N28" s="50">
        <v>0</v>
      </c>
      <c r="O28" s="15">
        <f t="shared" si="0"/>
        <v>151</v>
      </c>
      <c r="P28" s="15">
        <f t="shared" si="1"/>
        <v>281</v>
      </c>
      <c r="R28" s="36" t="s">
        <v>152</v>
      </c>
      <c r="S28" s="34">
        <f>SUM(C82:C85)</f>
        <v>39</v>
      </c>
      <c r="T28" s="34">
        <f t="shared" ref="T28:AF28" si="20">SUM(D82:D85)</f>
        <v>13</v>
      </c>
      <c r="U28" s="34">
        <f t="shared" si="20"/>
        <v>6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11</v>
      </c>
      <c r="AA28" s="34">
        <f t="shared" si="20"/>
        <v>3</v>
      </c>
      <c r="AB28" s="34">
        <f t="shared" si="20"/>
        <v>0</v>
      </c>
      <c r="AC28" s="34">
        <f t="shared" si="20"/>
        <v>195</v>
      </c>
      <c r="AD28" s="34">
        <f t="shared" si="20"/>
        <v>0</v>
      </c>
      <c r="AE28" s="31">
        <f t="shared" si="20"/>
        <v>84</v>
      </c>
      <c r="AF28" s="31">
        <f t="shared" si="20"/>
        <v>279</v>
      </c>
    </row>
    <row r="29" spans="2:32" ht="23.1" customHeight="1" x14ac:dyDescent="0.25">
      <c r="B29" s="45" t="s">
        <v>56</v>
      </c>
      <c r="C29" s="50">
        <v>70</v>
      </c>
      <c r="D29" s="50">
        <v>14</v>
      </c>
      <c r="E29" s="50">
        <v>17</v>
      </c>
      <c r="F29" s="50">
        <v>35</v>
      </c>
      <c r="G29" s="50">
        <v>0</v>
      </c>
      <c r="H29" s="50">
        <v>0</v>
      </c>
      <c r="I29" s="50">
        <v>4</v>
      </c>
      <c r="J29" s="50">
        <v>0</v>
      </c>
      <c r="K29" s="50">
        <v>5</v>
      </c>
      <c r="L29" s="50">
        <v>3</v>
      </c>
      <c r="M29" s="50">
        <v>78</v>
      </c>
      <c r="N29" s="50">
        <v>0</v>
      </c>
      <c r="O29" s="15">
        <f t="shared" si="0"/>
        <v>148</v>
      </c>
      <c r="P29" s="15">
        <f t="shared" si="1"/>
        <v>226</v>
      </c>
      <c r="R29" s="36" t="s">
        <v>153</v>
      </c>
      <c r="S29" s="34">
        <f>SUM(C86:C89)</f>
        <v>34</v>
      </c>
      <c r="T29" s="34">
        <f t="shared" ref="T29:AF29" si="21">SUM(D86:D89)</f>
        <v>6</v>
      </c>
      <c r="U29" s="34">
        <f t="shared" si="21"/>
        <v>2</v>
      </c>
      <c r="V29" s="34">
        <f t="shared" si="21"/>
        <v>6</v>
      </c>
      <c r="W29" s="34">
        <f t="shared" si="21"/>
        <v>0</v>
      </c>
      <c r="X29" s="34">
        <f t="shared" si="21"/>
        <v>0</v>
      </c>
      <c r="Y29" s="34">
        <f t="shared" si="21"/>
        <v>8</v>
      </c>
      <c r="Z29" s="34">
        <f t="shared" si="21"/>
        <v>7</v>
      </c>
      <c r="AA29" s="34">
        <f t="shared" si="21"/>
        <v>0</v>
      </c>
      <c r="AB29" s="34">
        <f t="shared" si="21"/>
        <v>3</v>
      </c>
      <c r="AC29" s="34">
        <f t="shared" si="21"/>
        <v>166</v>
      </c>
      <c r="AD29" s="34">
        <f t="shared" si="21"/>
        <v>0</v>
      </c>
      <c r="AE29" s="31">
        <f t="shared" si="21"/>
        <v>66</v>
      </c>
      <c r="AF29" s="31">
        <f t="shared" si="21"/>
        <v>232</v>
      </c>
    </row>
    <row r="30" spans="2:32" ht="23.1" customHeight="1" x14ac:dyDescent="0.25">
      <c r="B30" s="45" t="s">
        <v>57</v>
      </c>
      <c r="C30" s="50">
        <v>34</v>
      </c>
      <c r="D30" s="50">
        <v>15</v>
      </c>
      <c r="E30" s="50">
        <v>11</v>
      </c>
      <c r="F30" s="50">
        <v>80</v>
      </c>
      <c r="G30" s="50">
        <v>1</v>
      </c>
      <c r="H30" s="50">
        <v>2</v>
      </c>
      <c r="I30" s="50">
        <v>5</v>
      </c>
      <c r="J30" s="50">
        <v>3</v>
      </c>
      <c r="K30" s="50">
        <v>3</v>
      </c>
      <c r="L30" s="50">
        <v>0</v>
      </c>
      <c r="M30" s="50">
        <v>107</v>
      </c>
      <c r="N30" s="50">
        <v>0</v>
      </c>
      <c r="O30" s="15">
        <f t="shared" si="0"/>
        <v>154</v>
      </c>
      <c r="P30" s="15">
        <f t="shared" si="1"/>
        <v>261</v>
      </c>
      <c r="R30" s="36" t="s">
        <v>154</v>
      </c>
      <c r="S30" s="34">
        <f>SUM(C90:C93)</f>
        <v>24</v>
      </c>
      <c r="T30" s="34">
        <f t="shared" ref="T30:AF30" si="22">SUM(D90:D93)</f>
        <v>8</v>
      </c>
      <c r="U30" s="34">
        <f t="shared" si="22"/>
        <v>2</v>
      </c>
      <c r="V30" s="34">
        <f t="shared" si="22"/>
        <v>11</v>
      </c>
      <c r="W30" s="34">
        <f t="shared" si="22"/>
        <v>0</v>
      </c>
      <c r="X30" s="34">
        <f t="shared" si="22"/>
        <v>0</v>
      </c>
      <c r="Y30" s="34">
        <f t="shared" si="22"/>
        <v>11</v>
      </c>
      <c r="Z30" s="34">
        <f t="shared" si="22"/>
        <v>5</v>
      </c>
      <c r="AA30" s="34">
        <f t="shared" si="22"/>
        <v>0</v>
      </c>
      <c r="AB30" s="34">
        <f t="shared" si="22"/>
        <v>0</v>
      </c>
      <c r="AC30" s="34">
        <f t="shared" si="22"/>
        <v>191</v>
      </c>
      <c r="AD30" s="34">
        <f t="shared" si="22"/>
        <v>0</v>
      </c>
      <c r="AE30" s="31">
        <f t="shared" si="22"/>
        <v>61</v>
      </c>
      <c r="AF30" s="31">
        <f t="shared" si="22"/>
        <v>252</v>
      </c>
    </row>
    <row r="31" spans="2:32" ht="23.1" customHeight="1" x14ac:dyDescent="0.25">
      <c r="B31" s="46" t="s">
        <v>58</v>
      </c>
      <c r="C31" s="50">
        <v>50</v>
      </c>
      <c r="D31" s="50">
        <v>4</v>
      </c>
      <c r="E31" s="50">
        <v>7</v>
      </c>
      <c r="F31" s="50">
        <v>100</v>
      </c>
      <c r="G31" s="50">
        <v>0</v>
      </c>
      <c r="H31" s="50">
        <v>0</v>
      </c>
      <c r="I31" s="50">
        <v>4</v>
      </c>
      <c r="J31" s="50">
        <v>2</v>
      </c>
      <c r="K31" s="50">
        <v>4</v>
      </c>
      <c r="L31" s="50">
        <v>3</v>
      </c>
      <c r="M31" s="50">
        <v>120</v>
      </c>
      <c r="N31" s="50">
        <v>0</v>
      </c>
      <c r="O31" s="15">
        <f t="shared" si="0"/>
        <v>174</v>
      </c>
      <c r="P31" s="15">
        <f t="shared" si="1"/>
        <v>294</v>
      </c>
      <c r="R31" s="36" t="s">
        <v>155</v>
      </c>
      <c r="S31" s="34">
        <f>SUM(C94:C97)</f>
        <v>33</v>
      </c>
      <c r="T31" s="34">
        <f t="shared" ref="T31:AF31" si="23">SUM(D94:D97)</f>
        <v>11</v>
      </c>
      <c r="U31" s="34">
        <f t="shared" si="23"/>
        <v>8</v>
      </c>
      <c r="V31" s="34">
        <f t="shared" si="23"/>
        <v>29</v>
      </c>
      <c r="W31" s="34">
        <f t="shared" si="23"/>
        <v>0</v>
      </c>
      <c r="X31" s="34">
        <f t="shared" si="23"/>
        <v>1</v>
      </c>
      <c r="Y31" s="34">
        <f t="shared" si="23"/>
        <v>3</v>
      </c>
      <c r="Z31" s="34">
        <f t="shared" si="23"/>
        <v>7</v>
      </c>
      <c r="AA31" s="34">
        <f t="shared" si="23"/>
        <v>1</v>
      </c>
      <c r="AB31" s="34">
        <f t="shared" si="23"/>
        <v>1</v>
      </c>
      <c r="AC31" s="34">
        <f t="shared" si="23"/>
        <v>302</v>
      </c>
      <c r="AD31" s="34">
        <f t="shared" si="23"/>
        <v>0</v>
      </c>
      <c r="AE31" s="31">
        <f t="shared" si="23"/>
        <v>94</v>
      </c>
      <c r="AF31" s="31">
        <f t="shared" si="23"/>
        <v>396</v>
      </c>
    </row>
    <row r="32" spans="2:32" ht="23.1" customHeight="1" x14ac:dyDescent="0.25">
      <c r="B32" s="46" t="s">
        <v>59</v>
      </c>
      <c r="C32" s="50">
        <v>44</v>
      </c>
      <c r="D32" s="50">
        <v>6</v>
      </c>
      <c r="E32" s="50">
        <v>13</v>
      </c>
      <c r="F32" s="50">
        <v>80</v>
      </c>
      <c r="G32" s="50">
        <v>0</v>
      </c>
      <c r="H32" s="50">
        <v>1</v>
      </c>
      <c r="I32" s="50">
        <v>2</v>
      </c>
      <c r="J32" s="50">
        <v>1</v>
      </c>
      <c r="K32" s="50">
        <v>2</v>
      </c>
      <c r="L32" s="50">
        <v>0</v>
      </c>
      <c r="M32" s="50">
        <v>78</v>
      </c>
      <c r="N32" s="50">
        <v>0</v>
      </c>
      <c r="O32" s="15">
        <f t="shared" si="0"/>
        <v>149</v>
      </c>
      <c r="P32" s="15">
        <f t="shared" si="1"/>
        <v>227</v>
      </c>
      <c r="R32" s="33" t="s">
        <v>156</v>
      </c>
      <c r="S32" s="34">
        <f>SUM(C98:C101)</f>
        <v>62</v>
      </c>
      <c r="T32" s="34">
        <f t="shared" ref="T32:AF32" si="24">SUM(D98:D101)</f>
        <v>14</v>
      </c>
      <c r="U32" s="34">
        <f t="shared" si="24"/>
        <v>6</v>
      </c>
      <c r="V32" s="34">
        <f t="shared" si="24"/>
        <v>76</v>
      </c>
      <c r="W32" s="34">
        <f t="shared" si="24"/>
        <v>0</v>
      </c>
      <c r="X32" s="34">
        <f t="shared" si="24"/>
        <v>0</v>
      </c>
      <c r="Y32" s="34">
        <f t="shared" si="24"/>
        <v>10</v>
      </c>
      <c r="Z32" s="34">
        <f t="shared" si="24"/>
        <v>9</v>
      </c>
      <c r="AA32" s="34">
        <f t="shared" si="24"/>
        <v>6</v>
      </c>
      <c r="AB32" s="34">
        <f t="shared" si="24"/>
        <v>0</v>
      </c>
      <c r="AC32" s="34">
        <f t="shared" si="24"/>
        <v>248</v>
      </c>
      <c r="AD32" s="34">
        <f t="shared" si="24"/>
        <v>0</v>
      </c>
      <c r="AE32" s="31">
        <f t="shared" si="24"/>
        <v>183</v>
      </c>
      <c r="AF32" s="31">
        <f t="shared" si="24"/>
        <v>431</v>
      </c>
    </row>
    <row r="33" spans="2:32" ht="23.1" customHeight="1" x14ac:dyDescent="0.25">
      <c r="B33" s="45" t="s">
        <v>60</v>
      </c>
      <c r="C33" s="50">
        <v>45</v>
      </c>
      <c r="D33" s="50">
        <v>9</v>
      </c>
      <c r="E33" s="50">
        <v>14</v>
      </c>
      <c r="F33" s="50">
        <v>55</v>
      </c>
      <c r="G33" s="50">
        <v>1</v>
      </c>
      <c r="H33" s="50">
        <v>2</v>
      </c>
      <c r="I33" s="50">
        <v>3</v>
      </c>
      <c r="J33" s="50">
        <v>0</v>
      </c>
      <c r="K33" s="50">
        <v>2</v>
      </c>
      <c r="L33" s="50">
        <v>2</v>
      </c>
      <c r="M33" s="50">
        <v>94</v>
      </c>
      <c r="N33" s="50">
        <v>0</v>
      </c>
      <c r="O33" s="15">
        <f t="shared" si="0"/>
        <v>133</v>
      </c>
      <c r="P33" s="15">
        <f t="shared" si="1"/>
        <v>227</v>
      </c>
      <c r="R33" s="33" t="s">
        <v>157</v>
      </c>
      <c r="S33" s="34">
        <f>SUM(C102:C105)</f>
        <v>80</v>
      </c>
      <c r="T33" s="34">
        <f t="shared" ref="T33:AF33" si="25">SUM(D102:D105)</f>
        <v>21</v>
      </c>
      <c r="U33" s="34">
        <f t="shared" si="25"/>
        <v>9</v>
      </c>
      <c r="V33" s="34">
        <f t="shared" si="25"/>
        <v>160</v>
      </c>
      <c r="W33" s="34">
        <f t="shared" si="25"/>
        <v>0</v>
      </c>
      <c r="X33" s="34">
        <f t="shared" si="25"/>
        <v>0</v>
      </c>
      <c r="Y33" s="34">
        <f t="shared" si="25"/>
        <v>10</v>
      </c>
      <c r="Z33" s="34">
        <f t="shared" si="25"/>
        <v>9</v>
      </c>
      <c r="AA33" s="34">
        <f t="shared" si="25"/>
        <v>6</v>
      </c>
      <c r="AB33" s="34">
        <f t="shared" si="25"/>
        <v>1</v>
      </c>
      <c r="AC33" s="34">
        <f t="shared" si="25"/>
        <v>513</v>
      </c>
      <c r="AD33" s="34">
        <f t="shared" si="25"/>
        <v>0</v>
      </c>
      <c r="AE33" s="31">
        <f t="shared" si="25"/>
        <v>296</v>
      </c>
      <c r="AF33" s="31">
        <f t="shared" si="25"/>
        <v>809</v>
      </c>
    </row>
    <row r="34" spans="2:32" ht="23.1" customHeight="1" x14ac:dyDescent="0.25">
      <c r="B34" s="46" t="s">
        <v>61</v>
      </c>
      <c r="C34" s="50">
        <v>60</v>
      </c>
      <c r="D34" s="50">
        <v>5</v>
      </c>
      <c r="E34" s="50">
        <v>3</v>
      </c>
      <c r="F34" s="50">
        <v>46</v>
      </c>
      <c r="G34" s="50">
        <v>0</v>
      </c>
      <c r="H34" s="50">
        <v>0</v>
      </c>
      <c r="I34" s="50">
        <v>2</v>
      </c>
      <c r="J34" s="50">
        <v>3</v>
      </c>
      <c r="K34" s="50">
        <v>1</v>
      </c>
      <c r="L34" s="50">
        <v>0</v>
      </c>
      <c r="M34" s="50">
        <v>68</v>
      </c>
      <c r="N34" s="50">
        <v>0</v>
      </c>
      <c r="O34" s="15">
        <f t="shared" si="0"/>
        <v>120</v>
      </c>
      <c r="P34" s="15">
        <f t="shared" si="1"/>
        <v>188</v>
      </c>
      <c r="R34" s="38" t="s">
        <v>90</v>
      </c>
      <c r="S34" s="39">
        <f t="shared" ref="S34:AF34" si="26">MAX(S10:S12)</f>
        <v>229</v>
      </c>
      <c r="T34" s="39">
        <f t="shared" si="26"/>
        <v>34</v>
      </c>
      <c r="U34" s="39">
        <f t="shared" si="26"/>
        <v>39</v>
      </c>
      <c r="V34" s="39">
        <f t="shared" si="26"/>
        <v>253</v>
      </c>
      <c r="W34" s="39">
        <f t="shared" si="26"/>
        <v>9</v>
      </c>
      <c r="X34" s="39">
        <f t="shared" si="26"/>
        <v>6</v>
      </c>
      <c r="Y34" s="39">
        <f t="shared" si="26"/>
        <v>16</v>
      </c>
      <c r="Z34" s="39">
        <f t="shared" si="26"/>
        <v>14</v>
      </c>
      <c r="AA34" s="39">
        <f t="shared" si="26"/>
        <v>9</v>
      </c>
      <c r="AB34" s="39">
        <f t="shared" si="26"/>
        <v>10</v>
      </c>
      <c r="AC34" s="39">
        <f t="shared" si="26"/>
        <v>822</v>
      </c>
      <c r="AD34" s="39">
        <f t="shared" si="26"/>
        <v>0</v>
      </c>
      <c r="AE34" s="40">
        <f t="shared" si="26"/>
        <v>606</v>
      </c>
      <c r="AF34" s="40">
        <f t="shared" si="26"/>
        <v>1339</v>
      </c>
    </row>
    <row r="35" spans="2:32" ht="23.1" customHeight="1" x14ac:dyDescent="0.25">
      <c r="B35" s="46" t="s">
        <v>62</v>
      </c>
      <c r="C35" s="50">
        <v>45</v>
      </c>
      <c r="D35" s="50">
        <v>9</v>
      </c>
      <c r="E35" s="50">
        <v>55</v>
      </c>
      <c r="F35" s="50">
        <v>42</v>
      </c>
      <c r="G35" s="50">
        <v>0</v>
      </c>
      <c r="H35" s="50">
        <v>0</v>
      </c>
      <c r="I35" s="50">
        <v>2</v>
      </c>
      <c r="J35" s="50">
        <v>2</v>
      </c>
      <c r="K35" s="50">
        <v>3</v>
      </c>
      <c r="L35" s="50">
        <v>2</v>
      </c>
      <c r="M35" s="50">
        <v>80</v>
      </c>
      <c r="N35" s="50">
        <v>0</v>
      </c>
      <c r="O35" s="15">
        <f t="shared" si="0"/>
        <v>160</v>
      </c>
      <c r="P35" s="15">
        <f t="shared" si="1"/>
        <v>240</v>
      </c>
      <c r="R35" s="38" t="s">
        <v>91</v>
      </c>
      <c r="S35" s="39">
        <f t="shared" ref="S35:AF35" si="27">MAX(S13:S18)</f>
        <v>269</v>
      </c>
      <c r="T35" s="39">
        <f t="shared" si="27"/>
        <v>83</v>
      </c>
      <c r="U35" s="39">
        <f t="shared" si="27"/>
        <v>70</v>
      </c>
      <c r="V35" s="39">
        <f t="shared" si="27"/>
        <v>315</v>
      </c>
      <c r="W35" s="39">
        <f t="shared" si="27"/>
        <v>6</v>
      </c>
      <c r="X35" s="39">
        <f t="shared" si="27"/>
        <v>5</v>
      </c>
      <c r="Y35" s="39">
        <f t="shared" si="27"/>
        <v>30</v>
      </c>
      <c r="Z35" s="39">
        <f t="shared" si="27"/>
        <v>14</v>
      </c>
      <c r="AA35" s="39">
        <f t="shared" si="27"/>
        <v>11</v>
      </c>
      <c r="AB35" s="39">
        <f t="shared" si="27"/>
        <v>8</v>
      </c>
      <c r="AC35" s="39">
        <f t="shared" si="27"/>
        <v>714</v>
      </c>
      <c r="AD35" s="39">
        <f t="shared" si="27"/>
        <v>0</v>
      </c>
      <c r="AE35" s="40">
        <f t="shared" si="27"/>
        <v>621</v>
      </c>
      <c r="AF35" s="40">
        <f t="shared" si="27"/>
        <v>1206</v>
      </c>
    </row>
    <row r="36" spans="2:32" ht="23.1" customHeight="1" x14ac:dyDescent="0.25">
      <c r="B36" s="46" t="s">
        <v>63</v>
      </c>
      <c r="C36" s="50">
        <v>45</v>
      </c>
      <c r="D36" s="50">
        <v>4</v>
      </c>
      <c r="E36" s="50">
        <v>9</v>
      </c>
      <c r="F36" s="50">
        <v>31</v>
      </c>
      <c r="G36" s="50">
        <v>2</v>
      </c>
      <c r="H36" s="50">
        <v>0</v>
      </c>
      <c r="I36" s="50">
        <v>5</v>
      </c>
      <c r="J36" s="50">
        <v>3</v>
      </c>
      <c r="K36" s="50">
        <v>2</v>
      </c>
      <c r="L36" s="50">
        <v>0</v>
      </c>
      <c r="M36" s="50">
        <v>92</v>
      </c>
      <c r="N36" s="50">
        <v>0</v>
      </c>
      <c r="O36" s="15">
        <f t="shared" si="0"/>
        <v>101</v>
      </c>
      <c r="P36" s="15">
        <f t="shared" si="1"/>
        <v>193</v>
      </c>
      <c r="R36" s="38" t="s">
        <v>92</v>
      </c>
      <c r="S36" s="39">
        <f t="shared" ref="S36:AF36" si="28">MAX(S19:S21)</f>
        <v>306</v>
      </c>
      <c r="T36" s="39">
        <f t="shared" si="28"/>
        <v>33</v>
      </c>
      <c r="U36" s="39">
        <f t="shared" si="28"/>
        <v>40</v>
      </c>
      <c r="V36" s="39">
        <f t="shared" si="28"/>
        <v>347</v>
      </c>
      <c r="W36" s="39">
        <f t="shared" si="28"/>
        <v>6</v>
      </c>
      <c r="X36" s="39">
        <f t="shared" si="28"/>
        <v>2</v>
      </c>
      <c r="Y36" s="39">
        <f t="shared" si="28"/>
        <v>20</v>
      </c>
      <c r="Z36" s="39">
        <f t="shared" si="28"/>
        <v>12</v>
      </c>
      <c r="AA36" s="39">
        <f t="shared" si="28"/>
        <v>9</v>
      </c>
      <c r="AB36" s="39">
        <f t="shared" si="28"/>
        <v>7</v>
      </c>
      <c r="AC36" s="39">
        <f t="shared" si="28"/>
        <v>648</v>
      </c>
      <c r="AD36" s="39">
        <f t="shared" si="28"/>
        <v>0</v>
      </c>
      <c r="AE36" s="40">
        <f t="shared" si="28"/>
        <v>769</v>
      </c>
      <c r="AF36" s="40">
        <f t="shared" si="28"/>
        <v>1417</v>
      </c>
    </row>
    <row r="37" spans="2:32" ht="23.1" customHeight="1" x14ac:dyDescent="0.25">
      <c r="B37" s="45" t="s">
        <v>64</v>
      </c>
      <c r="C37" s="50">
        <v>34</v>
      </c>
      <c r="D37" s="50">
        <v>1</v>
      </c>
      <c r="E37" s="50">
        <v>3</v>
      </c>
      <c r="F37" s="50">
        <v>30</v>
      </c>
      <c r="G37" s="50">
        <v>0</v>
      </c>
      <c r="H37" s="50">
        <v>0</v>
      </c>
      <c r="I37" s="50">
        <v>7</v>
      </c>
      <c r="J37" s="50">
        <v>3</v>
      </c>
      <c r="K37" s="50">
        <v>0</v>
      </c>
      <c r="L37" s="50">
        <v>4</v>
      </c>
      <c r="M37" s="50">
        <v>102</v>
      </c>
      <c r="N37" s="50">
        <v>0</v>
      </c>
      <c r="O37" s="15">
        <f t="shared" si="0"/>
        <v>82</v>
      </c>
      <c r="P37" s="15">
        <f t="shared" si="1"/>
        <v>184</v>
      </c>
      <c r="R37" s="37" t="s">
        <v>85</v>
      </c>
      <c r="S37" s="35">
        <f t="shared" ref="S37:AF37" si="29">SUM(S10:S12)</f>
        <v>640</v>
      </c>
      <c r="T37" s="16">
        <f t="shared" si="29"/>
        <v>88</v>
      </c>
      <c r="U37" s="16">
        <f t="shared" si="29"/>
        <v>84</v>
      </c>
      <c r="V37" s="16">
        <f t="shared" si="29"/>
        <v>699</v>
      </c>
      <c r="W37" s="16">
        <f t="shared" si="29"/>
        <v>23</v>
      </c>
      <c r="X37" s="16">
        <f t="shared" si="29"/>
        <v>13</v>
      </c>
      <c r="Y37" s="16">
        <f t="shared" si="29"/>
        <v>44</v>
      </c>
      <c r="Z37" s="16">
        <f t="shared" si="29"/>
        <v>40</v>
      </c>
      <c r="AA37" s="16">
        <f t="shared" si="29"/>
        <v>23</v>
      </c>
      <c r="AB37" s="16">
        <f t="shared" si="29"/>
        <v>22</v>
      </c>
      <c r="AC37" s="16">
        <f t="shared" si="29"/>
        <v>2230</v>
      </c>
      <c r="AD37" s="16">
        <f t="shared" si="29"/>
        <v>0</v>
      </c>
      <c r="AE37" s="32">
        <f t="shared" si="29"/>
        <v>1676</v>
      </c>
      <c r="AF37" s="32">
        <f t="shared" si="29"/>
        <v>3906</v>
      </c>
    </row>
    <row r="38" spans="2:32" ht="23.1" customHeight="1" x14ac:dyDescent="0.25">
      <c r="B38" s="46" t="s">
        <v>65</v>
      </c>
      <c r="C38" s="50">
        <v>45</v>
      </c>
      <c r="D38" s="50">
        <v>3</v>
      </c>
      <c r="E38" s="50">
        <v>16</v>
      </c>
      <c r="F38" s="50">
        <v>40</v>
      </c>
      <c r="G38" s="50">
        <v>0</v>
      </c>
      <c r="H38" s="50">
        <v>0</v>
      </c>
      <c r="I38" s="50">
        <v>3</v>
      </c>
      <c r="J38" s="50">
        <v>4</v>
      </c>
      <c r="K38" s="50">
        <v>2</v>
      </c>
      <c r="L38" s="50">
        <v>1</v>
      </c>
      <c r="M38" s="50">
        <v>191</v>
      </c>
      <c r="N38" s="50">
        <v>0</v>
      </c>
      <c r="O38" s="15">
        <f t="shared" si="0"/>
        <v>114</v>
      </c>
      <c r="P38" s="15">
        <f t="shared" si="1"/>
        <v>305</v>
      </c>
      <c r="R38" s="28" t="s">
        <v>86</v>
      </c>
      <c r="S38" s="16">
        <f t="shared" ref="S38:AF38" si="30">SUM(S13:S18)</f>
        <v>1265</v>
      </c>
      <c r="T38" s="16">
        <f t="shared" si="30"/>
        <v>202</v>
      </c>
      <c r="U38" s="16">
        <f t="shared" si="30"/>
        <v>273</v>
      </c>
      <c r="V38" s="16">
        <f t="shared" si="30"/>
        <v>1074</v>
      </c>
      <c r="W38" s="16">
        <f t="shared" si="30"/>
        <v>16</v>
      </c>
      <c r="X38" s="16">
        <f t="shared" si="30"/>
        <v>11</v>
      </c>
      <c r="Y38" s="16">
        <f t="shared" si="30"/>
        <v>125</v>
      </c>
      <c r="Z38" s="16">
        <f t="shared" si="30"/>
        <v>57</v>
      </c>
      <c r="AA38" s="16">
        <f t="shared" si="30"/>
        <v>50</v>
      </c>
      <c r="AB38" s="16">
        <f t="shared" si="30"/>
        <v>32</v>
      </c>
      <c r="AC38" s="16">
        <f t="shared" si="30"/>
        <v>2783</v>
      </c>
      <c r="AD38" s="16">
        <f t="shared" si="30"/>
        <v>0</v>
      </c>
      <c r="AE38" s="32">
        <f t="shared" si="30"/>
        <v>3105</v>
      </c>
      <c r="AF38" s="32">
        <f t="shared" si="30"/>
        <v>5888</v>
      </c>
    </row>
    <row r="39" spans="2:32" ht="23.1" customHeight="1" x14ac:dyDescent="0.25">
      <c r="B39" s="46" t="s">
        <v>66</v>
      </c>
      <c r="C39" s="50">
        <v>32</v>
      </c>
      <c r="D39" s="50">
        <v>10</v>
      </c>
      <c r="E39" s="50">
        <v>7</v>
      </c>
      <c r="F39" s="50">
        <v>22</v>
      </c>
      <c r="G39" s="50">
        <v>0</v>
      </c>
      <c r="H39" s="50">
        <v>0</v>
      </c>
      <c r="I39" s="50">
        <v>8</v>
      </c>
      <c r="J39" s="50">
        <v>4</v>
      </c>
      <c r="K39" s="50">
        <v>6</v>
      </c>
      <c r="L39" s="50">
        <v>3</v>
      </c>
      <c r="M39" s="50">
        <v>102</v>
      </c>
      <c r="N39" s="50">
        <v>0</v>
      </c>
      <c r="O39" s="15">
        <f t="shared" si="0"/>
        <v>92</v>
      </c>
      <c r="P39" s="15">
        <f t="shared" si="1"/>
        <v>194</v>
      </c>
      <c r="R39" s="29" t="s">
        <v>87</v>
      </c>
      <c r="S39" s="16">
        <f t="shared" ref="S39:AF39" si="31">SUM(S19:S21)</f>
        <v>837</v>
      </c>
      <c r="T39" s="16">
        <f t="shared" si="31"/>
        <v>89</v>
      </c>
      <c r="U39" s="16">
        <f t="shared" si="31"/>
        <v>106</v>
      </c>
      <c r="V39" s="16">
        <f t="shared" si="31"/>
        <v>756</v>
      </c>
      <c r="W39" s="16">
        <f t="shared" si="31"/>
        <v>15</v>
      </c>
      <c r="X39" s="16">
        <f t="shared" si="31"/>
        <v>5</v>
      </c>
      <c r="Y39" s="16">
        <f t="shared" si="31"/>
        <v>55</v>
      </c>
      <c r="Z39" s="16">
        <f t="shared" si="31"/>
        <v>24</v>
      </c>
      <c r="AA39" s="16">
        <f t="shared" si="31"/>
        <v>23</v>
      </c>
      <c r="AB39" s="16">
        <f t="shared" si="31"/>
        <v>19</v>
      </c>
      <c r="AC39" s="16">
        <f t="shared" si="31"/>
        <v>1834</v>
      </c>
      <c r="AD39" s="16">
        <f t="shared" si="31"/>
        <v>0</v>
      </c>
      <c r="AE39" s="32">
        <f t="shared" si="31"/>
        <v>1929</v>
      </c>
      <c r="AF39" s="32">
        <f t="shared" si="31"/>
        <v>3763</v>
      </c>
    </row>
    <row r="40" spans="2:32" ht="23.1" customHeight="1" x14ac:dyDescent="0.25">
      <c r="B40" s="46" t="s">
        <v>67</v>
      </c>
      <c r="C40" s="50">
        <v>47</v>
      </c>
      <c r="D40" s="50">
        <v>7</v>
      </c>
      <c r="E40" s="50">
        <v>9</v>
      </c>
      <c r="F40" s="50">
        <v>16</v>
      </c>
      <c r="G40" s="50">
        <v>0</v>
      </c>
      <c r="H40" s="50">
        <v>1</v>
      </c>
      <c r="I40" s="50">
        <v>14</v>
      </c>
      <c r="J40" s="50">
        <v>2</v>
      </c>
      <c r="K40" s="50">
        <v>0</v>
      </c>
      <c r="L40" s="50">
        <v>0</v>
      </c>
      <c r="M40" s="50">
        <v>119</v>
      </c>
      <c r="N40" s="50">
        <v>0</v>
      </c>
      <c r="O40" s="15">
        <f t="shared" si="0"/>
        <v>96</v>
      </c>
      <c r="P40" s="15">
        <f t="shared" si="1"/>
        <v>215</v>
      </c>
      <c r="R40" s="5" t="s">
        <v>17</v>
      </c>
      <c r="S40" s="16">
        <f t="shared" ref="S40:AF40" si="32">SUM(S10:S21)</f>
        <v>2742</v>
      </c>
      <c r="T40" s="16">
        <f t="shared" si="32"/>
        <v>379</v>
      </c>
      <c r="U40" s="16">
        <f t="shared" si="32"/>
        <v>463</v>
      </c>
      <c r="V40" s="16">
        <f t="shared" si="32"/>
        <v>2529</v>
      </c>
      <c r="W40" s="16">
        <f t="shared" si="32"/>
        <v>54</v>
      </c>
      <c r="X40" s="16">
        <f t="shared" si="32"/>
        <v>29</v>
      </c>
      <c r="Y40" s="16">
        <f t="shared" si="32"/>
        <v>224</v>
      </c>
      <c r="Z40" s="16">
        <f t="shared" si="32"/>
        <v>121</v>
      </c>
      <c r="AA40" s="16">
        <f t="shared" si="32"/>
        <v>96</v>
      </c>
      <c r="AB40" s="16">
        <f t="shared" si="32"/>
        <v>73</v>
      </c>
      <c r="AC40" s="16">
        <f t="shared" si="32"/>
        <v>6847</v>
      </c>
      <c r="AD40" s="16">
        <f t="shared" si="32"/>
        <v>0</v>
      </c>
      <c r="AE40" s="32">
        <f t="shared" si="32"/>
        <v>6710</v>
      </c>
      <c r="AF40" s="32">
        <f t="shared" si="32"/>
        <v>13557</v>
      </c>
    </row>
    <row r="41" spans="2:32" ht="23.1" customHeight="1" x14ac:dyDescent="0.25">
      <c r="B41" s="45" t="s">
        <v>68</v>
      </c>
      <c r="C41" s="50">
        <v>57</v>
      </c>
      <c r="D41" s="50">
        <v>2</v>
      </c>
      <c r="E41" s="50">
        <v>10</v>
      </c>
      <c r="F41" s="50">
        <v>19</v>
      </c>
      <c r="G41" s="50">
        <v>0</v>
      </c>
      <c r="H41" s="50">
        <v>0</v>
      </c>
      <c r="I41" s="50">
        <v>5</v>
      </c>
      <c r="J41" s="50">
        <v>2</v>
      </c>
      <c r="K41" s="50">
        <v>1</v>
      </c>
      <c r="L41" s="50">
        <v>0</v>
      </c>
      <c r="M41" s="50">
        <v>122</v>
      </c>
      <c r="N41" s="50">
        <v>0</v>
      </c>
      <c r="O41" s="15">
        <f t="shared" si="0"/>
        <v>96</v>
      </c>
      <c r="P41" s="15">
        <f t="shared" si="1"/>
        <v>218</v>
      </c>
      <c r="R41" s="5" t="s">
        <v>159</v>
      </c>
      <c r="S41" s="16">
        <f>SUM(S10:S33)</f>
        <v>4146</v>
      </c>
      <c r="T41" s="16">
        <f t="shared" ref="T41:AF41" si="33">SUM(T10:T33)</f>
        <v>871</v>
      </c>
      <c r="U41" s="16">
        <f t="shared" si="33"/>
        <v>668</v>
      </c>
      <c r="V41" s="16">
        <f t="shared" si="33"/>
        <v>3573</v>
      </c>
      <c r="W41" s="16">
        <f t="shared" si="33"/>
        <v>87</v>
      </c>
      <c r="X41" s="16">
        <f t="shared" si="33"/>
        <v>38</v>
      </c>
      <c r="Y41" s="16">
        <f t="shared" si="33"/>
        <v>337</v>
      </c>
      <c r="Z41" s="16">
        <f t="shared" si="33"/>
        <v>246</v>
      </c>
      <c r="AA41" s="16">
        <f t="shared" si="33"/>
        <v>140</v>
      </c>
      <c r="AB41" s="16">
        <f t="shared" si="33"/>
        <v>95</v>
      </c>
      <c r="AC41" s="16">
        <f t="shared" si="33"/>
        <v>13700</v>
      </c>
      <c r="AD41" s="16">
        <f t="shared" si="33"/>
        <v>0</v>
      </c>
      <c r="AE41" s="32">
        <f t="shared" si="33"/>
        <v>10201</v>
      </c>
      <c r="AF41" s="32">
        <f t="shared" si="33"/>
        <v>23901</v>
      </c>
    </row>
    <row r="42" spans="2:32" ht="23.1" customHeight="1" x14ac:dyDescent="0.25">
      <c r="B42" s="46" t="s">
        <v>69</v>
      </c>
      <c r="C42" s="50">
        <v>46</v>
      </c>
      <c r="D42" s="50">
        <v>7</v>
      </c>
      <c r="E42" s="50">
        <v>6</v>
      </c>
      <c r="F42" s="50">
        <v>28</v>
      </c>
      <c r="G42" s="50">
        <v>2</v>
      </c>
      <c r="H42" s="50">
        <v>0</v>
      </c>
      <c r="I42" s="50">
        <v>9</v>
      </c>
      <c r="J42" s="50">
        <v>2</v>
      </c>
      <c r="K42" s="50">
        <v>2</v>
      </c>
      <c r="L42" s="50">
        <v>0</v>
      </c>
      <c r="M42" s="50">
        <v>195</v>
      </c>
      <c r="N42" s="50">
        <v>0</v>
      </c>
      <c r="O42" s="15">
        <f t="shared" si="0"/>
        <v>102</v>
      </c>
      <c r="P42" s="15">
        <f t="shared" si="1"/>
        <v>297</v>
      </c>
      <c r="R42" s="5" t="s">
        <v>160</v>
      </c>
      <c r="S42" s="48">
        <f>S41/S40</f>
        <v>1.5120350109409191</v>
      </c>
      <c r="T42" s="48">
        <f t="shared" ref="T42:AF42" si="34">T41/T40</f>
        <v>2.2981530343007917</v>
      </c>
      <c r="U42" s="48">
        <f t="shared" si="34"/>
        <v>1.4427645788336934</v>
      </c>
      <c r="V42" s="48">
        <f t="shared" si="34"/>
        <v>1.4128113879003559</v>
      </c>
      <c r="W42" s="48">
        <f t="shared" si="34"/>
        <v>1.6111111111111112</v>
      </c>
      <c r="X42" s="48">
        <f t="shared" si="34"/>
        <v>1.3103448275862069</v>
      </c>
      <c r="Y42" s="48">
        <f t="shared" si="34"/>
        <v>1.5044642857142858</v>
      </c>
      <c r="Z42" s="48">
        <f t="shared" si="34"/>
        <v>2.0330578512396693</v>
      </c>
      <c r="AA42" s="48">
        <f t="shared" si="34"/>
        <v>1.4583333333333333</v>
      </c>
      <c r="AB42" s="48">
        <f t="shared" si="34"/>
        <v>1.3013698630136987</v>
      </c>
      <c r="AC42" s="48">
        <f t="shared" si="34"/>
        <v>2.0008762961881117</v>
      </c>
      <c r="AD42" s="48" t="e">
        <f t="shared" si="34"/>
        <v>#DIV/0!</v>
      </c>
      <c r="AE42" s="48">
        <f t="shared" si="34"/>
        <v>1.5202682563338301</v>
      </c>
      <c r="AF42" s="48">
        <f t="shared" si="34"/>
        <v>1.7630006638636866</v>
      </c>
    </row>
    <row r="43" spans="2:32" ht="23.1" customHeight="1" x14ac:dyDescent="0.25">
      <c r="B43" s="45" t="s">
        <v>70</v>
      </c>
      <c r="C43" s="50">
        <v>48</v>
      </c>
      <c r="D43" s="50">
        <v>10</v>
      </c>
      <c r="E43" s="50">
        <v>7</v>
      </c>
      <c r="F43" s="50">
        <v>25</v>
      </c>
      <c r="G43" s="50">
        <v>0</v>
      </c>
      <c r="H43" s="50">
        <v>0</v>
      </c>
      <c r="I43" s="50">
        <v>4</v>
      </c>
      <c r="J43" s="50">
        <v>1</v>
      </c>
      <c r="K43" s="50">
        <v>2</v>
      </c>
      <c r="L43" s="50">
        <v>0</v>
      </c>
      <c r="M43" s="50">
        <v>192</v>
      </c>
      <c r="N43" s="50">
        <v>0</v>
      </c>
      <c r="O43" s="15">
        <f t="shared" si="0"/>
        <v>97</v>
      </c>
      <c r="P43" s="15">
        <f t="shared" si="1"/>
        <v>289</v>
      </c>
    </row>
    <row r="44" spans="2:32" ht="23.1" customHeight="1" x14ac:dyDescent="0.25">
      <c r="B44" s="47" t="s">
        <v>71</v>
      </c>
      <c r="C44" s="50">
        <v>68</v>
      </c>
      <c r="D44" s="50">
        <v>4</v>
      </c>
      <c r="E44" s="50">
        <v>10</v>
      </c>
      <c r="F44" s="50">
        <v>50</v>
      </c>
      <c r="G44" s="50">
        <v>2</v>
      </c>
      <c r="H44" s="50">
        <v>0</v>
      </c>
      <c r="I44" s="50">
        <v>5</v>
      </c>
      <c r="J44" s="50">
        <v>2</v>
      </c>
      <c r="K44" s="50">
        <v>3</v>
      </c>
      <c r="L44" s="50">
        <v>2</v>
      </c>
      <c r="M44" s="50">
        <v>185</v>
      </c>
      <c r="N44" s="50">
        <v>0</v>
      </c>
      <c r="O44" s="15">
        <f t="shared" si="0"/>
        <v>146</v>
      </c>
      <c r="P44" s="15">
        <f t="shared" si="1"/>
        <v>331</v>
      </c>
    </row>
    <row r="45" spans="2:32" ht="23.1" customHeight="1" x14ac:dyDescent="0.25">
      <c r="B45" s="45" t="s">
        <v>72</v>
      </c>
      <c r="C45" s="50">
        <v>60</v>
      </c>
      <c r="D45" s="50">
        <v>5</v>
      </c>
      <c r="E45" s="50">
        <v>25</v>
      </c>
      <c r="F45" s="50">
        <v>48</v>
      </c>
      <c r="G45" s="50">
        <v>2</v>
      </c>
      <c r="H45" s="50">
        <v>0</v>
      </c>
      <c r="I45" s="50">
        <v>3</v>
      </c>
      <c r="J45" s="50">
        <v>2</v>
      </c>
      <c r="K45" s="50">
        <v>0</v>
      </c>
      <c r="L45" s="50">
        <v>2</v>
      </c>
      <c r="M45" s="50">
        <v>142</v>
      </c>
      <c r="N45" s="50">
        <v>0</v>
      </c>
      <c r="O45" s="15">
        <f t="shared" si="0"/>
        <v>147</v>
      </c>
      <c r="P45" s="15">
        <f t="shared" si="1"/>
        <v>289</v>
      </c>
    </row>
    <row r="46" spans="2:32" ht="23.1" customHeight="1" x14ac:dyDescent="0.25">
      <c r="B46" s="46" t="s">
        <v>73</v>
      </c>
      <c r="C46" s="50">
        <v>85</v>
      </c>
      <c r="D46" s="50">
        <v>14</v>
      </c>
      <c r="E46" s="50">
        <v>11</v>
      </c>
      <c r="F46" s="50">
        <v>36</v>
      </c>
      <c r="G46" s="50">
        <v>0</v>
      </c>
      <c r="H46" s="50">
        <v>1</v>
      </c>
      <c r="I46" s="50">
        <v>4</v>
      </c>
      <c r="J46" s="50">
        <v>1</v>
      </c>
      <c r="K46" s="50">
        <v>0</v>
      </c>
      <c r="L46" s="50">
        <v>3</v>
      </c>
      <c r="M46" s="50">
        <v>175</v>
      </c>
      <c r="N46" s="50">
        <v>0</v>
      </c>
      <c r="O46" s="15">
        <f t="shared" si="0"/>
        <v>155</v>
      </c>
      <c r="P46" s="15">
        <f t="shared" si="1"/>
        <v>330</v>
      </c>
      <c r="R46" s="8"/>
      <c r="T46"/>
    </row>
    <row r="47" spans="2:32" ht="23.1" customHeight="1" x14ac:dyDescent="0.25">
      <c r="B47" s="46" t="s">
        <v>74</v>
      </c>
      <c r="C47" s="50">
        <v>60</v>
      </c>
      <c r="D47" s="50">
        <v>1</v>
      </c>
      <c r="E47" s="50">
        <v>11</v>
      </c>
      <c r="F47" s="50">
        <v>40</v>
      </c>
      <c r="G47" s="50">
        <v>0</v>
      </c>
      <c r="H47" s="50">
        <v>0</v>
      </c>
      <c r="I47" s="50">
        <v>5</v>
      </c>
      <c r="J47" s="50">
        <v>3</v>
      </c>
      <c r="K47" s="50">
        <v>6</v>
      </c>
      <c r="L47" s="50">
        <v>1</v>
      </c>
      <c r="M47" s="50">
        <v>140</v>
      </c>
      <c r="N47" s="50">
        <v>0</v>
      </c>
      <c r="O47" s="15">
        <f t="shared" si="0"/>
        <v>127</v>
      </c>
      <c r="P47" s="15">
        <f t="shared" si="1"/>
        <v>267</v>
      </c>
      <c r="R47" s="8"/>
      <c r="T47"/>
    </row>
    <row r="48" spans="2:32" ht="23.1" customHeight="1" x14ac:dyDescent="0.25">
      <c r="B48" s="46" t="s">
        <v>75</v>
      </c>
      <c r="C48" s="50">
        <v>66</v>
      </c>
      <c r="D48" s="50">
        <v>4</v>
      </c>
      <c r="E48" s="50">
        <v>13</v>
      </c>
      <c r="F48" s="50">
        <v>17</v>
      </c>
      <c r="G48" s="50">
        <v>4</v>
      </c>
      <c r="H48" s="50">
        <v>0</v>
      </c>
      <c r="I48" s="50">
        <v>8</v>
      </c>
      <c r="J48" s="50">
        <v>0</v>
      </c>
      <c r="K48" s="50">
        <v>2</v>
      </c>
      <c r="L48" s="50">
        <v>2</v>
      </c>
      <c r="M48" s="50">
        <v>115</v>
      </c>
      <c r="N48" s="50">
        <v>0</v>
      </c>
      <c r="O48" s="15">
        <f t="shared" si="0"/>
        <v>116</v>
      </c>
      <c r="P48" s="15">
        <f t="shared" si="1"/>
        <v>231</v>
      </c>
      <c r="R48" s="8"/>
      <c r="T48"/>
    </row>
    <row r="49" spans="2:20" ht="23.1" customHeight="1" x14ac:dyDescent="0.25">
      <c r="B49" s="45" t="s">
        <v>76</v>
      </c>
      <c r="C49" s="50">
        <v>65</v>
      </c>
      <c r="D49" s="50">
        <v>6</v>
      </c>
      <c r="E49" s="50">
        <v>2</v>
      </c>
      <c r="F49" s="50">
        <v>70</v>
      </c>
      <c r="G49" s="50">
        <v>0</v>
      </c>
      <c r="H49" s="50">
        <v>0</v>
      </c>
      <c r="I49" s="50">
        <v>3</v>
      </c>
      <c r="J49" s="50">
        <v>1</v>
      </c>
      <c r="K49" s="50">
        <v>1</v>
      </c>
      <c r="L49" s="50">
        <v>0</v>
      </c>
      <c r="M49" s="50">
        <v>155</v>
      </c>
      <c r="N49" s="50">
        <v>0</v>
      </c>
      <c r="O49" s="15">
        <f t="shared" si="0"/>
        <v>148</v>
      </c>
      <c r="P49" s="15">
        <f t="shared" si="1"/>
        <v>303</v>
      </c>
      <c r="R49" s="8"/>
      <c r="T49"/>
    </row>
    <row r="50" spans="2:20" ht="23.1" customHeight="1" x14ac:dyDescent="0.25">
      <c r="B50" s="46" t="s">
        <v>77</v>
      </c>
      <c r="C50" s="50">
        <v>80</v>
      </c>
      <c r="D50" s="50">
        <v>8</v>
      </c>
      <c r="E50" s="50">
        <v>20</v>
      </c>
      <c r="F50" s="50">
        <v>80</v>
      </c>
      <c r="G50" s="50">
        <v>1</v>
      </c>
      <c r="H50" s="50">
        <v>1</v>
      </c>
      <c r="I50" s="50">
        <v>2</v>
      </c>
      <c r="J50" s="50">
        <v>3</v>
      </c>
      <c r="K50" s="50">
        <v>0</v>
      </c>
      <c r="L50" s="50">
        <v>1</v>
      </c>
      <c r="M50" s="50">
        <v>150</v>
      </c>
      <c r="N50" s="50">
        <v>0</v>
      </c>
      <c r="O50" s="15">
        <f t="shared" si="0"/>
        <v>196</v>
      </c>
      <c r="P50" s="15">
        <f t="shared" si="1"/>
        <v>346</v>
      </c>
      <c r="R50" s="8"/>
      <c r="T50"/>
    </row>
    <row r="51" spans="2:20" ht="23.1" customHeight="1" x14ac:dyDescent="0.25">
      <c r="B51" s="46" t="s">
        <v>78</v>
      </c>
      <c r="C51" s="50">
        <v>90</v>
      </c>
      <c r="D51" s="50">
        <v>8</v>
      </c>
      <c r="E51" s="50">
        <v>7</v>
      </c>
      <c r="F51" s="50">
        <v>82</v>
      </c>
      <c r="G51" s="50">
        <v>3</v>
      </c>
      <c r="H51" s="50">
        <v>0</v>
      </c>
      <c r="I51" s="50">
        <v>3</v>
      </c>
      <c r="J51" s="50">
        <v>2</v>
      </c>
      <c r="K51" s="50">
        <v>0</v>
      </c>
      <c r="L51" s="50">
        <v>2</v>
      </c>
      <c r="M51" s="50">
        <v>163</v>
      </c>
      <c r="N51" s="50">
        <v>0</v>
      </c>
      <c r="O51" s="15">
        <f t="shared" si="0"/>
        <v>197</v>
      </c>
      <c r="P51" s="15">
        <f t="shared" si="1"/>
        <v>360</v>
      </c>
      <c r="R51" s="8"/>
      <c r="T51"/>
    </row>
    <row r="52" spans="2:20" ht="23.1" customHeight="1" x14ac:dyDescent="0.25">
      <c r="B52" s="46" t="s">
        <v>79</v>
      </c>
      <c r="C52" s="50">
        <v>61</v>
      </c>
      <c r="D52" s="50">
        <v>10</v>
      </c>
      <c r="E52" s="50">
        <v>6</v>
      </c>
      <c r="F52" s="50">
        <v>100</v>
      </c>
      <c r="G52" s="50">
        <v>1</v>
      </c>
      <c r="H52" s="50">
        <v>0</v>
      </c>
      <c r="I52" s="50">
        <v>4</v>
      </c>
      <c r="J52" s="50">
        <v>0</v>
      </c>
      <c r="K52" s="50">
        <v>3</v>
      </c>
      <c r="L52" s="50">
        <v>0</v>
      </c>
      <c r="M52" s="50">
        <v>153</v>
      </c>
      <c r="N52" s="50">
        <v>0</v>
      </c>
      <c r="O52" s="15">
        <f t="shared" si="0"/>
        <v>185</v>
      </c>
      <c r="P52" s="15">
        <f t="shared" si="1"/>
        <v>338</v>
      </c>
      <c r="R52" s="8"/>
      <c r="T52"/>
    </row>
    <row r="53" spans="2:20" ht="23.1" customHeight="1" x14ac:dyDescent="0.25">
      <c r="B53" s="45" t="s">
        <v>80</v>
      </c>
      <c r="C53" s="50">
        <v>75</v>
      </c>
      <c r="D53" s="50">
        <v>7</v>
      </c>
      <c r="E53" s="50">
        <v>7</v>
      </c>
      <c r="F53" s="50">
        <v>85</v>
      </c>
      <c r="G53" s="50">
        <v>0</v>
      </c>
      <c r="H53" s="50">
        <v>1</v>
      </c>
      <c r="I53" s="50">
        <v>6</v>
      </c>
      <c r="J53" s="50">
        <v>2</v>
      </c>
      <c r="K53" s="50">
        <v>5</v>
      </c>
      <c r="L53" s="50">
        <v>3</v>
      </c>
      <c r="M53" s="50">
        <v>182</v>
      </c>
      <c r="N53" s="50">
        <v>0</v>
      </c>
      <c r="O53" s="15">
        <f t="shared" si="0"/>
        <v>191</v>
      </c>
      <c r="P53" s="15">
        <f t="shared" si="1"/>
        <v>373</v>
      </c>
      <c r="R53" s="8"/>
      <c r="T53"/>
    </row>
    <row r="54" spans="2:20" ht="23.1" customHeight="1" x14ac:dyDescent="0.25">
      <c r="B54" s="45" t="s">
        <v>81</v>
      </c>
      <c r="C54" s="50">
        <v>66</v>
      </c>
      <c r="D54" s="50">
        <v>16</v>
      </c>
      <c r="E54" s="50">
        <v>12</v>
      </c>
      <c r="F54" s="50">
        <v>51</v>
      </c>
      <c r="G54" s="50">
        <v>4</v>
      </c>
      <c r="H54" s="50">
        <v>1</v>
      </c>
      <c r="I54" s="50">
        <v>3</v>
      </c>
      <c r="J54" s="50">
        <v>1</v>
      </c>
      <c r="K54" s="50">
        <v>0</v>
      </c>
      <c r="L54" s="50">
        <v>0</v>
      </c>
      <c r="M54" s="50">
        <v>190</v>
      </c>
      <c r="N54" s="50">
        <v>0</v>
      </c>
      <c r="O54" s="15">
        <f t="shared" si="0"/>
        <v>154</v>
      </c>
      <c r="P54" s="15">
        <f t="shared" si="1"/>
        <v>344</v>
      </c>
      <c r="R54" s="8"/>
      <c r="T54"/>
    </row>
    <row r="55" spans="2:20" ht="23.1" customHeight="1" x14ac:dyDescent="0.25">
      <c r="B55" s="45" t="s">
        <v>82</v>
      </c>
      <c r="C55" s="50">
        <v>75</v>
      </c>
      <c r="D55" s="50">
        <v>5</v>
      </c>
      <c r="E55" s="50">
        <v>3</v>
      </c>
      <c r="F55" s="50">
        <v>72</v>
      </c>
      <c r="G55" s="50">
        <v>2</v>
      </c>
      <c r="H55" s="50">
        <v>0</v>
      </c>
      <c r="I55" s="50">
        <v>3</v>
      </c>
      <c r="J55" s="50">
        <v>2</v>
      </c>
      <c r="K55" s="50">
        <v>1</v>
      </c>
      <c r="L55" s="50">
        <v>4</v>
      </c>
      <c r="M55" s="50">
        <v>156</v>
      </c>
      <c r="N55" s="50">
        <v>0</v>
      </c>
      <c r="O55" s="15">
        <f t="shared" si="0"/>
        <v>167</v>
      </c>
      <c r="P55" s="15">
        <f t="shared" si="1"/>
        <v>323</v>
      </c>
      <c r="R55" s="8"/>
      <c r="T55"/>
    </row>
    <row r="56" spans="2:20" ht="23.1" customHeight="1" x14ac:dyDescent="0.25">
      <c r="B56" s="45" t="s">
        <v>83</v>
      </c>
      <c r="C56" s="50">
        <v>59</v>
      </c>
      <c r="D56" s="50">
        <v>6</v>
      </c>
      <c r="E56" s="50">
        <v>9</v>
      </c>
      <c r="F56" s="50">
        <v>60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138</v>
      </c>
      <c r="N56" s="50">
        <v>0</v>
      </c>
      <c r="O56" s="15">
        <f t="shared" si="0"/>
        <v>137</v>
      </c>
      <c r="P56" s="15">
        <f t="shared" si="1"/>
        <v>275</v>
      </c>
      <c r="R56" s="8"/>
      <c r="T56"/>
    </row>
    <row r="57" spans="2:20" ht="23.1" customHeight="1" x14ac:dyDescent="0.25">
      <c r="B57" s="45" t="s">
        <v>84</v>
      </c>
      <c r="C57" s="50">
        <v>55</v>
      </c>
      <c r="D57" s="50">
        <v>4</v>
      </c>
      <c r="E57" s="50">
        <v>5</v>
      </c>
      <c r="F57" s="50">
        <v>63</v>
      </c>
      <c r="G57" s="50">
        <v>0</v>
      </c>
      <c r="H57" s="50">
        <v>1</v>
      </c>
      <c r="I57" s="50">
        <v>13</v>
      </c>
      <c r="J57" s="50">
        <v>7</v>
      </c>
      <c r="K57" s="50">
        <v>5</v>
      </c>
      <c r="L57" s="50">
        <v>3</v>
      </c>
      <c r="M57" s="50">
        <v>117</v>
      </c>
      <c r="N57" s="50">
        <v>0</v>
      </c>
      <c r="O57" s="15">
        <f t="shared" si="0"/>
        <v>156</v>
      </c>
      <c r="P57" s="15">
        <f t="shared" si="1"/>
        <v>273</v>
      </c>
      <c r="R57" s="8"/>
      <c r="T57"/>
    </row>
    <row r="58" spans="2:20" ht="23.1" customHeight="1" x14ac:dyDescent="0.25">
      <c r="B58" s="45" t="s">
        <v>99</v>
      </c>
      <c r="C58" s="50">
        <v>78</v>
      </c>
      <c r="D58" s="50">
        <v>38</v>
      </c>
      <c r="E58" s="50">
        <v>22</v>
      </c>
      <c r="F58" s="50">
        <v>8</v>
      </c>
      <c r="G58" s="50">
        <v>2</v>
      </c>
      <c r="H58" s="50">
        <v>2</v>
      </c>
      <c r="I58" s="50">
        <v>3</v>
      </c>
      <c r="J58" s="50">
        <v>9</v>
      </c>
      <c r="K58" s="50">
        <v>0</v>
      </c>
      <c r="L58" s="50">
        <v>1</v>
      </c>
      <c r="M58" s="50">
        <v>315</v>
      </c>
      <c r="N58" s="50">
        <v>0</v>
      </c>
      <c r="O58" s="15">
        <f t="shared" si="0"/>
        <v>163</v>
      </c>
      <c r="P58" s="15">
        <f t="shared" si="1"/>
        <v>478</v>
      </c>
      <c r="R58" s="8"/>
      <c r="T58"/>
    </row>
    <row r="59" spans="2:20" ht="23.1" customHeight="1" x14ac:dyDescent="0.25">
      <c r="B59" s="45" t="s">
        <v>100</v>
      </c>
      <c r="C59" s="50">
        <v>94</v>
      </c>
      <c r="D59" s="50">
        <v>55</v>
      </c>
      <c r="E59" s="50">
        <v>20</v>
      </c>
      <c r="F59" s="50">
        <v>27</v>
      </c>
      <c r="G59" s="50">
        <v>4</v>
      </c>
      <c r="H59" s="50">
        <v>0</v>
      </c>
      <c r="I59" s="50">
        <v>4</v>
      </c>
      <c r="J59" s="50">
        <v>3</v>
      </c>
      <c r="K59" s="50">
        <v>2</v>
      </c>
      <c r="L59" s="50">
        <v>0</v>
      </c>
      <c r="M59" s="50">
        <v>387</v>
      </c>
      <c r="N59" s="50">
        <v>0</v>
      </c>
      <c r="O59" s="15">
        <f t="shared" si="0"/>
        <v>209</v>
      </c>
      <c r="P59" s="15">
        <f t="shared" si="1"/>
        <v>596</v>
      </c>
      <c r="R59" s="8"/>
      <c r="T59"/>
    </row>
    <row r="60" spans="2:20" ht="23.1" customHeight="1" x14ac:dyDescent="0.25">
      <c r="B60" s="45" t="s">
        <v>101</v>
      </c>
      <c r="C60" s="50">
        <v>42</v>
      </c>
      <c r="D60" s="50">
        <v>35</v>
      </c>
      <c r="E60" s="50">
        <v>29</v>
      </c>
      <c r="F60" s="50">
        <v>10</v>
      </c>
      <c r="G60" s="50">
        <v>8</v>
      </c>
      <c r="H60" s="50">
        <v>0</v>
      </c>
      <c r="I60" s="50">
        <v>1</v>
      </c>
      <c r="J60" s="50">
        <v>2</v>
      </c>
      <c r="K60" s="50">
        <v>0</v>
      </c>
      <c r="L60" s="50">
        <v>2</v>
      </c>
      <c r="M60" s="50">
        <v>345</v>
      </c>
      <c r="N60" s="50">
        <v>0</v>
      </c>
      <c r="O60" s="15">
        <f t="shared" si="0"/>
        <v>129</v>
      </c>
      <c r="P60" s="15">
        <f t="shared" si="1"/>
        <v>474</v>
      </c>
      <c r="R60" s="8"/>
      <c r="T60"/>
    </row>
    <row r="61" spans="2:20" ht="23.1" customHeight="1" x14ac:dyDescent="0.25">
      <c r="B61" s="45" t="s">
        <v>102</v>
      </c>
      <c r="C61" s="50">
        <v>30</v>
      </c>
      <c r="D61" s="50">
        <v>25</v>
      </c>
      <c r="E61" s="50">
        <v>9</v>
      </c>
      <c r="F61" s="50">
        <v>49</v>
      </c>
      <c r="G61" s="50">
        <v>2</v>
      </c>
      <c r="H61" s="50">
        <v>1</v>
      </c>
      <c r="I61" s="50">
        <v>1</v>
      </c>
      <c r="J61" s="50">
        <v>3</v>
      </c>
      <c r="K61" s="50">
        <v>2</v>
      </c>
      <c r="L61" s="50">
        <v>2</v>
      </c>
      <c r="M61" s="50">
        <v>342</v>
      </c>
      <c r="N61" s="50">
        <v>0</v>
      </c>
      <c r="O61" s="15">
        <f t="shared" si="0"/>
        <v>124</v>
      </c>
      <c r="P61" s="15">
        <f t="shared" si="1"/>
        <v>466</v>
      </c>
      <c r="R61" s="8"/>
      <c r="T61"/>
    </row>
    <row r="62" spans="2:20" ht="23.1" customHeight="1" x14ac:dyDescent="0.25">
      <c r="B62" s="45" t="s">
        <v>107</v>
      </c>
      <c r="C62" s="50">
        <v>63</v>
      </c>
      <c r="D62" s="50">
        <v>21</v>
      </c>
      <c r="E62" s="50">
        <v>8</v>
      </c>
      <c r="F62" s="50">
        <v>43</v>
      </c>
      <c r="G62" s="50">
        <v>3</v>
      </c>
      <c r="H62" s="50">
        <v>2</v>
      </c>
      <c r="I62" s="50">
        <v>4</v>
      </c>
      <c r="J62" s="50">
        <v>3</v>
      </c>
      <c r="K62" s="50">
        <v>2</v>
      </c>
      <c r="L62" s="50">
        <v>0</v>
      </c>
      <c r="M62" s="50">
        <v>365</v>
      </c>
      <c r="N62" s="50">
        <v>0</v>
      </c>
      <c r="O62" s="15">
        <f t="shared" si="0"/>
        <v>149</v>
      </c>
      <c r="P62" s="15">
        <f t="shared" si="1"/>
        <v>514</v>
      </c>
      <c r="R62" s="8"/>
      <c r="T62"/>
    </row>
    <row r="63" spans="2:20" ht="23.1" customHeight="1" x14ac:dyDescent="0.25">
      <c r="B63" s="45" t="s">
        <v>108</v>
      </c>
      <c r="C63" s="50">
        <v>59</v>
      </c>
      <c r="D63" s="50">
        <v>28</v>
      </c>
      <c r="E63" s="50">
        <v>4</v>
      </c>
      <c r="F63" s="50">
        <v>49</v>
      </c>
      <c r="G63" s="50">
        <v>0</v>
      </c>
      <c r="H63" s="50">
        <v>0</v>
      </c>
      <c r="I63" s="50">
        <v>2</v>
      </c>
      <c r="J63" s="50">
        <v>6</v>
      </c>
      <c r="K63" s="50">
        <v>1</v>
      </c>
      <c r="L63" s="50">
        <v>0</v>
      </c>
      <c r="M63" s="50">
        <v>320</v>
      </c>
      <c r="N63" s="50">
        <v>0</v>
      </c>
      <c r="O63" s="15">
        <f t="shared" si="0"/>
        <v>149</v>
      </c>
      <c r="P63" s="15">
        <f t="shared" si="1"/>
        <v>469</v>
      </c>
      <c r="R63" s="8"/>
      <c r="T63"/>
    </row>
    <row r="64" spans="2:20" ht="23.1" customHeight="1" x14ac:dyDescent="0.25">
      <c r="B64" s="45" t="s">
        <v>109</v>
      </c>
      <c r="C64" s="50">
        <v>53</v>
      </c>
      <c r="D64" s="50">
        <v>33</v>
      </c>
      <c r="E64" s="50">
        <v>6</v>
      </c>
      <c r="F64" s="50">
        <v>52</v>
      </c>
      <c r="G64" s="50">
        <v>4</v>
      </c>
      <c r="H64" s="50">
        <v>0</v>
      </c>
      <c r="I64" s="50">
        <v>3</v>
      </c>
      <c r="J64" s="50">
        <v>2</v>
      </c>
      <c r="K64" s="50">
        <v>0</v>
      </c>
      <c r="L64" s="50">
        <v>1</v>
      </c>
      <c r="M64" s="50">
        <v>283</v>
      </c>
      <c r="N64" s="50">
        <v>0</v>
      </c>
      <c r="O64" s="15">
        <f t="shared" si="0"/>
        <v>154</v>
      </c>
      <c r="P64" s="15">
        <f t="shared" si="1"/>
        <v>437</v>
      </c>
      <c r="R64" s="8"/>
      <c r="T64"/>
    </row>
    <row r="65" spans="2:20" ht="23.1" customHeight="1" x14ac:dyDescent="0.25">
      <c r="B65" s="45" t="s">
        <v>158</v>
      </c>
      <c r="C65" s="50">
        <v>63</v>
      </c>
      <c r="D65" s="50">
        <v>35</v>
      </c>
      <c r="E65" s="50">
        <v>11</v>
      </c>
      <c r="F65" s="50">
        <v>45</v>
      </c>
      <c r="G65" s="50">
        <v>1</v>
      </c>
      <c r="H65" s="50">
        <v>0</v>
      </c>
      <c r="I65" s="50">
        <v>1</v>
      </c>
      <c r="J65" s="50">
        <v>0</v>
      </c>
      <c r="K65" s="50">
        <v>1</v>
      </c>
      <c r="L65" s="50">
        <v>1</v>
      </c>
      <c r="M65" s="50">
        <v>302</v>
      </c>
      <c r="N65" s="50">
        <v>0</v>
      </c>
      <c r="O65" s="15">
        <f t="shared" si="0"/>
        <v>158</v>
      </c>
      <c r="P65" s="15">
        <f t="shared" si="1"/>
        <v>460</v>
      </c>
      <c r="R65" s="8"/>
      <c r="T65"/>
    </row>
    <row r="66" spans="2:20" ht="23.1" customHeight="1" x14ac:dyDescent="0.25">
      <c r="B66" s="45" t="s">
        <v>103</v>
      </c>
      <c r="C66" s="50">
        <v>47</v>
      </c>
      <c r="D66" s="50">
        <v>8</v>
      </c>
      <c r="E66" s="50">
        <v>6</v>
      </c>
      <c r="F66" s="50">
        <v>31</v>
      </c>
      <c r="G66" s="50">
        <v>2</v>
      </c>
      <c r="H66" s="50">
        <v>0</v>
      </c>
      <c r="I66" s="50">
        <v>3</v>
      </c>
      <c r="J66" s="50">
        <v>6</v>
      </c>
      <c r="K66" s="50">
        <v>0</v>
      </c>
      <c r="L66" s="50">
        <v>1</v>
      </c>
      <c r="M66" s="50">
        <v>218</v>
      </c>
      <c r="N66" s="50">
        <v>0</v>
      </c>
      <c r="O66" s="15">
        <f t="shared" si="0"/>
        <v>104</v>
      </c>
      <c r="P66" s="15">
        <f t="shared" si="1"/>
        <v>322</v>
      </c>
      <c r="R66" s="8"/>
      <c r="T66"/>
    </row>
    <row r="67" spans="2:20" ht="23.1" customHeight="1" x14ac:dyDescent="0.25">
      <c r="B67" s="45" t="s">
        <v>104</v>
      </c>
      <c r="C67" s="50">
        <v>52</v>
      </c>
      <c r="D67" s="50">
        <v>9</v>
      </c>
      <c r="E67" s="50">
        <v>3</v>
      </c>
      <c r="F67" s="50">
        <v>49</v>
      </c>
      <c r="G67" s="50">
        <v>1</v>
      </c>
      <c r="H67" s="50">
        <v>0</v>
      </c>
      <c r="I67" s="50">
        <v>4</v>
      </c>
      <c r="J67" s="50">
        <v>3</v>
      </c>
      <c r="K67" s="50">
        <v>2</v>
      </c>
      <c r="L67" s="50">
        <v>0</v>
      </c>
      <c r="M67" s="50">
        <v>287</v>
      </c>
      <c r="N67" s="50">
        <v>0</v>
      </c>
      <c r="O67" s="15">
        <f t="shared" si="0"/>
        <v>123</v>
      </c>
      <c r="P67" s="15">
        <f t="shared" si="1"/>
        <v>410</v>
      </c>
      <c r="R67" s="8"/>
      <c r="T67"/>
    </row>
    <row r="68" spans="2:20" ht="23.1" customHeight="1" x14ac:dyDescent="0.25">
      <c r="B68" s="45" t="s">
        <v>105</v>
      </c>
      <c r="C68" s="50">
        <v>58</v>
      </c>
      <c r="D68" s="50">
        <v>21</v>
      </c>
      <c r="E68" s="50">
        <v>6</v>
      </c>
      <c r="F68" s="50">
        <v>55</v>
      </c>
      <c r="G68" s="50">
        <v>0</v>
      </c>
      <c r="H68" s="50">
        <v>0</v>
      </c>
      <c r="I68" s="50">
        <v>1</v>
      </c>
      <c r="J68" s="50">
        <v>2</v>
      </c>
      <c r="K68" s="50">
        <v>0</v>
      </c>
      <c r="L68" s="50">
        <v>2</v>
      </c>
      <c r="M68" s="50">
        <v>245</v>
      </c>
      <c r="N68" s="50">
        <v>0</v>
      </c>
      <c r="O68" s="15">
        <f t="shared" si="0"/>
        <v>145</v>
      </c>
      <c r="P68" s="15">
        <f t="shared" si="1"/>
        <v>390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12</v>
      </c>
      <c r="E69" s="50">
        <v>6</v>
      </c>
      <c r="F69" s="50">
        <v>45</v>
      </c>
      <c r="G69" s="50">
        <v>0</v>
      </c>
      <c r="H69" s="50">
        <v>0</v>
      </c>
      <c r="I69" s="50">
        <v>1</v>
      </c>
      <c r="J69" s="50">
        <v>3</v>
      </c>
      <c r="K69" s="50">
        <v>2</v>
      </c>
      <c r="L69" s="50">
        <v>2</v>
      </c>
      <c r="M69" s="50">
        <v>242</v>
      </c>
      <c r="N69" s="50">
        <v>0</v>
      </c>
      <c r="O69" s="15">
        <f t="shared" si="0"/>
        <v>121</v>
      </c>
      <c r="P69" s="15">
        <f t="shared" si="1"/>
        <v>363</v>
      </c>
      <c r="R69" s="8"/>
      <c r="T69"/>
    </row>
    <row r="70" spans="2:20" ht="23.1" customHeight="1" x14ac:dyDescent="0.25">
      <c r="B70" s="45" t="s">
        <v>110</v>
      </c>
      <c r="C70" s="50">
        <v>40</v>
      </c>
      <c r="D70" s="50">
        <v>13</v>
      </c>
      <c r="E70" s="50">
        <v>2</v>
      </c>
      <c r="F70" s="50">
        <v>53</v>
      </c>
      <c r="G70" s="50">
        <v>0</v>
      </c>
      <c r="H70" s="50">
        <v>1</v>
      </c>
      <c r="I70" s="50">
        <v>3</v>
      </c>
      <c r="J70" s="50">
        <v>3</v>
      </c>
      <c r="K70" s="50">
        <v>1</v>
      </c>
      <c r="L70" s="50">
        <v>0</v>
      </c>
      <c r="M70" s="50">
        <v>201</v>
      </c>
      <c r="N70" s="50">
        <v>0</v>
      </c>
      <c r="O70" s="15">
        <f t="shared" si="0"/>
        <v>116</v>
      </c>
      <c r="P70" s="15">
        <f t="shared" si="1"/>
        <v>317</v>
      </c>
      <c r="R70" s="8"/>
      <c r="T70"/>
    </row>
    <row r="71" spans="2:20" ht="23.1" customHeight="1" x14ac:dyDescent="0.25">
      <c r="B71" s="45" t="s">
        <v>111</v>
      </c>
      <c r="C71" s="50">
        <v>44</v>
      </c>
      <c r="D71" s="50">
        <v>15</v>
      </c>
      <c r="E71" s="50">
        <v>4</v>
      </c>
      <c r="F71" s="50">
        <v>35</v>
      </c>
      <c r="G71" s="50">
        <v>1</v>
      </c>
      <c r="H71" s="50">
        <v>1</v>
      </c>
      <c r="I71" s="50">
        <v>7</v>
      </c>
      <c r="J71" s="50">
        <v>0</v>
      </c>
      <c r="K71" s="50">
        <v>2</v>
      </c>
      <c r="L71" s="50">
        <v>1</v>
      </c>
      <c r="M71" s="50">
        <v>243</v>
      </c>
      <c r="N71" s="50">
        <v>0</v>
      </c>
      <c r="O71" s="15">
        <f t="shared" si="0"/>
        <v>110</v>
      </c>
      <c r="P71" s="15">
        <f t="shared" si="1"/>
        <v>353</v>
      </c>
      <c r="R71" s="8"/>
      <c r="T71"/>
    </row>
    <row r="72" spans="2:20" ht="23.1" customHeight="1" x14ac:dyDescent="0.25">
      <c r="B72" s="45" t="s">
        <v>112</v>
      </c>
      <c r="C72" s="50">
        <v>46</v>
      </c>
      <c r="D72" s="50">
        <v>18</v>
      </c>
      <c r="E72" s="50">
        <v>5</v>
      </c>
      <c r="F72" s="50">
        <v>40</v>
      </c>
      <c r="G72" s="50">
        <v>1</v>
      </c>
      <c r="H72" s="50">
        <v>0</v>
      </c>
      <c r="I72" s="50">
        <v>5</v>
      </c>
      <c r="J72" s="50">
        <v>7</v>
      </c>
      <c r="K72" s="50">
        <v>2</v>
      </c>
      <c r="L72" s="50">
        <v>1</v>
      </c>
      <c r="M72" s="50">
        <v>195</v>
      </c>
      <c r="N72" s="50">
        <v>0</v>
      </c>
      <c r="O72" s="15">
        <f t="shared" si="0"/>
        <v>125</v>
      </c>
      <c r="P72" s="15">
        <f t="shared" si="1"/>
        <v>320</v>
      </c>
      <c r="R72" s="8"/>
      <c r="T72"/>
    </row>
    <row r="73" spans="2:20" ht="23.1" customHeight="1" x14ac:dyDescent="0.25">
      <c r="B73" s="45" t="s">
        <v>113</v>
      </c>
      <c r="C73" s="50">
        <v>60</v>
      </c>
      <c r="D73" s="50">
        <v>12</v>
      </c>
      <c r="E73" s="50">
        <v>5</v>
      </c>
      <c r="F73" s="50">
        <v>39</v>
      </c>
      <c r="G73" s="50">
        <v>1</v>
      </c>
      <c r="H73" s="50">
        <v>1</v>
      </c>
      <c r="I73" s="50">
        <v>4</v>
      </c>
      <c r="J73" s="50">
        <v>1</v>
      </c>
      <c r="K73" s="50">
        <v>4</v>
      </c>
      <c r="L73" s="50">
        <v>0</v>
      </c>
      <c r="M73" s="50">
        <v>153</v>
      </c>
      <c r="N73" s="50">
        <v>0</v>
      </c>
      <c r="O73" s="15">
        <f t="shared" si="0"/>
        <v>127</v>
      </c>
      <c r="P73" s="15">
        <f t="shared" si="1"/>
        <v>280</v>
      </c>
      <c r="R73" s="8"/>
      <c r="T73"/>
    </row>
    <row r="74" spans="2:20" ht="23.1" customHeight="1" x14ac:dyDescent="0.25">
      <c r="B74" s="45" t="s">
        <v>114</v>
      </c>
      <c r="C74" s="50">
        <v>51</v>
      </c>
      <c r="D74" s="50">
        <v>11</v>
      </c>
      <c r="E74" s="50">
        <v>5</v>
      </c>
      <c r="F74" s="50">
        <v>30</v>
      </c>
      <c r="G74" s="50">
        <v>0</v>
      </c>
      <c r="H74" s="50">
        <v>0</v>
      </c>
      <c r="I74" s="50">
        <v>5</v>
      </c>
      <c r="J74" s="50">
        <v>2</v>
      </c>
      <c r="K74" s="50">
        <v>3</v>
      </c>
      <c r="L74" s="50">
        <v>0</v>
      </c>
      <c r="M74" s="50">
        <v>160</v>
      </c>
      <c r="N74" s="50">
        <v>0</v>
      </c>
      <c r="O74" s="15">
        <f t="shared" ref="O74:O105" si="35">SUM(C74:L74,N74)</f>
        <v>107</v>
      </c>
      <c r="P74" s="15">
        <f t="shared" ref="P74:P105" si="36">SUM(C74:N74)</f>
        <v>267</v>
      </c>
      <c r="R74" s="8"/>
      <c r="T74"/>
    </row>
    <row r="75" spans="2:20" ht="23.1" customHeight="1" x14ac:dyDescent="0.25">
      <c r="B75" s="45" t="s">
        <v>115</v>
      </c>
      <c r="C75" s="50">
        <v>51</v>
      </c>
      <c r="D75" s="50">
        <v>1</v>
      </c>
      <c r="E75" s="50">
        <v>1</v>
      </c>
      <c r="F75" s="50">
        <v>22</v>
      </c>
      <c r="G75" s="50">
        <v>0</v>
      </c>
      <c r="H75" s="50">
        <v>0</v>
      </c>
      <c r="I75" s="50">
        <v>4</v>
      </c>
      <c r="J75" s="50">
        <v>8</v>
      </c>
      <c r="K75" s="50">
        <v>1</v>
      </c>
      <c r="L75" s="50">
        <v>1</v>
      </c>
      <c r="M75" s="50">
        <v>131</v>
      </c>
      <c r="N75" s="50">
        <v>0</v>
      </c>
      <c r="O75" s="15">
        <f t="shared" si="35"/>
        <v>89</v>
      </c>
      <c r="P75" s="15">
        <f t="shared" si="36"/>
        <v>220</v>
      </c>
      <c r="R75" s="8"/>
      <c r="T75"/>
    </row>
    <row r="76" spans="2:20" ht="23.1" customHeight="1" x14ac:dyDescent="0.25">
      <c r="B76" s="45" t="s">
        <v>116</v>
      </c>
      <c r="C76" s="50">
        <v>33</v>
      </c>
      <c r="D76" s="50">
        <v>5</v>
      </c>
      <c r="E76" s="50">
        <v>5</v>
      </c>
      <c r="F76" s="50">
        <v>17</v>
      </c>
      <c r="G76" s="50">
        <v>1</v>
      </c>
      <c r="H76" s="50">
        <v>0</v>
      </c>
      <c r="I76" s="50">
        <v>4</v>
      </c>
      <c r="J76" s="50">
        <v>3</v>
      </c>
      <c r="K76" s="50">
        <v>2</v>
      </c>
      <c r="L76" s="50">
        <v>1</v>
      </c>
      <c r="M76" s="50">
        <v>97</v>
      </c>
      <c r="N76" s="50">
        <v>0</v>
      </c>
      <c r="O76" s="15">
        <f t="shared" si="35"/>
        <v>71</v>
      </c>
      <c r="P76" s="15">
        <f t="shared" si="36"/>
        <v>168</v>
      </c>
      <c r="R76" s="8"/>
      <c r="T76"/>
    </row>
    <row r="77" spans="2:20" ht="23.1" customHeight="1" x14ac:dyDescent="0.25">
      <c r="B77" s="45" t="s">
        <v>117</v>
      </c>
      <c r="C77" s="50">
        <v>49</v>
      </c>
      <c r="D77" s="50">
        <v>9</v>
      </c>
      <c r="E77" s="50">
        <v>4</v>
      </c>
      <c r="F77" s="50">
        <v>11</v>
      </c>
      <c r="G77" s="50">
        <v>1</v>
      </c>
      <c r="H77" s="50">
        <v>0</v>
      </c>
      <c r="I77" s="50">
        <v>2</v>
      </c>
      <c r="J77" s="50">
        <v>5</v>
      </c>
      <c r="K77" s="50">
        <v>0</v>
      </c>
      <c r="L77" s="50">
        <v>0</v>
      </c>
      <c r="M77" s="50">
        <v>92</v>
      </c>
      <c r="N77" s="50">
        <v>0</v>
      </c>
      <c r="O77" s="15">
        <f t="shared" si="35"/>
        <v>81</v>
      </c>
      <c r="P77" s="15">
        <f t="shared" si="36"/>
        <v>173</v>
      </c>
      <c r="R77" s="8"/>
      <c r="T77"/>
    </row>
    <row r="78" spans="2:20" ht="23.1" customHeight="1" x14ac:dyDescent="0.25">
      <c r="B78" s="46" t="s">
        <v>118</v>
      </c>
      <c r="C78" s="50">
        <v>13</v>
      </c>
      <c r="D78" s="50">
        <v>2</v>
      </c>
      <c r="E78" s="50">
        <v>4</v>
      </c>
      <c r="F78" s="50">
        <v>18</v>
      </c>
      <c r="G78" s="50">
        <v>1</v>
      </c>
      <c r="H78" s="50">
        <v>0</v>
      </c>
      <c r="I78" s="50">
        <v>1</v>
      </c>
      <c r="J78" s="50">
        <v>2</v>
      </c>
      <c r="K78" s="50">
        <v>0</v>
      </c>
      <c r="L78" s="50">
        <v>0</v>
      </c>
      <c r="M78" s="50">
        <v>88</v>
      </c>
      <c r="N78" s="50">
        <v>0</v>
      </c>
      <c r="O78" s="15">
        <f t="shared" si="35"/>
        <v>41</v>
      </c>
      <c r="P78" s="15">
        <f t="shared" si="36"/>
        <v>129</v>
      </c>
      <c r="R78" s="8"/>
      <c r="T78"/>
    </row>
    <row r="79" spans="2:20" ht="23.1" customHeight="1" x14ac:dyDescent="0.25">
      <c r="B79" s="45" t="s">
        <v>119</v>
      </c>
      <c r="C79" s="50">
        <v>27</v>
      </c>
      <c r="D79" s="50">
        <v>5</v>
      </c>
      <c r="E79" s="50">
        <v>3</v>
      </c>
      <c r="F79" s="50">
        <v>11</v>
      </c>
      <c r="G79" s="50">
        <v>0</v>
      </c>
      <c r="H79" s="50">
        <v>0</v>
      </c>
      <c r="I79" s="50">
        <v>5</v>
      </c>
      <c r="J79" s="50">
        <v>2</v>
      </c>
      <c r="K79" s="50">
        <v>0</v>
      </c>
      <c r="L79" s="50">
        <v>0</v>
      </c>
      <c r="M79" s="50">
        <v>91</v>
      </c>
      <c r="N79" s="50">
        <v>0</v>
      </c>
      <c r="O79" s="15">
        <f t="shared" si="35"/>
        <v>53</v>
      </c>
      <c r="P79" s="15">
        <f t="shared" si="36"/>
        <v>144</v>
      </c>
      <c r="R79" s="8"/>
      <c r="T79"/>
    </row>
    <row r="80" spans="2:20" ht="23.1" customHeight="1" x14ac:dyDescent="0.25">
      <c r="B80" s="47" t="s">
        <v>120</v>
      </c>
      <c r="C80" s="50">
        <v>17</v>
      </c>
      <c r="D80" s="50">
        <v>3</v>
      </c>
      <c r="E80" s="50">
        <v>2</v>
      </c>
      <c r="F80" s="50">
        <v>5</v>
      </c>
      <c r="G80" s="50">
        <v>0</v>
      </c>
      <c r="H80" s="50">
        <v>0</v>
      </c>
      <c r="I80" s="50">
        <v>1</v>
      </c>
      <c r="J80" s="50">
        <v>1</v>
      </c>
      <c r="K80" s="50">
        <v>1</v>
      </c>
      <c r="L80" s="50">
        <v>0</v>
      </c>
      <c r="M80" s="50">
        <v>79</v>
      </c>
      <c r="N80" s="50">
        <v>0</v>
      </c>
      <c r="O80" s="15">
        <f t="shared" si="35"/>
        <v>30</v>
      </c>
      <c r="P80" s="15">
        <f t="shared" si="36"/>
        <v>109</v>
      </c>
      <c r="R80" s="8"/>
      <c r="T80"/>
    </row>
    <row r="81" spans="2:20" ht="23.1" customHeight="1" x14ac:dyDescent="0.25">
      <c r="B81" s="45" t="s">
        <v>121</v>
      </c>
      <c r="C81" s="50">
        <v>12</v>
      </c>
      <c r="D81" s="50">
        <v>5</v>
      </c>
      <c r="E81" s="50">
        <v>2</v>
      </c>
      <c r="F81" s="50">
        <v>8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1</v>
      </c>
      <c r="M81" s="50">
        <v>57</v>
      </c>
      <c r="N81" s="50">
        <v>0</v>
      </c>
      <c r="O81" s="15">
        <f t="shared" si="35"/>
        <v>29</v>
      </c>
      <c r="P81" s="15">
        <f t="shared" si="36"/>
        <v>86</v>
      </c>
      <c r="R81" s="8"/>
      <c r="T81"/>
    </row>
    <row r="82" spans="2:20" ht="23.1" customHeight="1" x14ac:dyDescent="0.25">
      <c r="B82" s="46" t="s">
        <v>122</v>
      </c>
      <c r="C82" s="50">
        <v>8</v>
      </c>
      <c r="D82" s="50">
        <v>2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2</v>
      </c>
      <c r="K82" s="50">
        <v>0</v>
      </c>
      <c r="L82" s="50">
        <v>0</v>
      </c>
      <c r="M82" s="50">
        <v>56</v>
      </c>
      <c r="N82" s="50">
        <v>0</v>
      </c>
      <c r="O82" s="15">
        <f t="shared" si="35"/>
        <v>13</v>
      </c>
      <c r="P82" s="15">
        <f t="shared" si="36"/>
        <v>69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2</v>
      </c>
      <c r="E83" s="50">
        <v>4</v>
      </c>
      <c r="F83" s="50">
        <v>3</v>
      </c>
      <c r="G83" s="50">
        <v>0</v>
      </c>
      <c r="H83" s="50">
        <v>0</v>
      </c>
      <c r="I83" s="50">
        <v>1</v>
      </c>
      <c r="J83" s="50">
        <v>5</v>
      </c>
      <c r="K83" s="50">
        <v>1</v>
      </c>
      <c r="L83" s="50">
        <v>0</v>
      </c>
      <c r="M83" s="50">
        <v>59</v>
      </c>
      <c r="N83" s="50">
        <v>0</v>
      </c>
      <c r="O83" s="15">
        <f t="shared" si="35"/>
        <v>26</v>
      </c>
      <c r="P83" s="15">
        <f t="shared" si="36"/>
        <v>85</v>
      </c>
      <c r="R83" s="8"/>
      <c r="T83"/>
    </row>
    <row r="84" spans="2:20" ht="23.1" customHeight="1" x14ac:dyDescent="0.25">
      <c r="B84" s="47" t="s">
        <v>124</v>
      </c>
      <c r="C84" s="50">
        <v>12</v>
      </c>
      <c r="D84" s="50">
        <v>6</v>
      </c>
      <c r="E84" s="50">
        <v>2</v>
      </c>
      <c r="F84" s="50">
        <v>4</v>
      </c>
      <c r="G84" s="50">
        <v>0</v>
      </c>
      <c r="H84" s="50">
        <v>0</v>
      </c>
      <c r="I84" s="50">
        <v>1</v>
      </c>
      <c r="J84" s="50">
        <v>4</v>
      </c>
      <c r="K84" s="50">
        <v>1</v>
      </c>
      <c r="L84" s="50">
        <v>0</v>
      </c>
      <c r="M84" s="50">
        <v>37</v>
      </c>
      <c r="N84" s="50">
        <v>0</v>
      </c>
      <c r="O84" s="15">
        <f t="shared" si="35"/>
        <v>30</v>
      </c>
      <c r="P84" s="15">
        <f t="shared" si="36"/>
        <v>67</v>
      </c>
      <c r="R84" s="8"/>
      <c r="T84"/>
    </row>
    <row r="85" spans="2:20" ht="23.1" customHeight="1" x14ac:dyDescent="0.25">
      <c r="B85" s="45" t="s">
        <v>125</v>
      </c>
      <c r="C85" s="50">
        <v>9</v>
      </c>
      <c r="D85" s="50">
        <v>3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43</v>
      </c>
      <c r="N85" s="50">
        <v>0</v>
      </c>
      <c r="O85" s="15">
        <f t="shared" si="35"/>
        <v>15</v>
      </c>
      <c r="P85" s="15">
        <f t="shared" si="36"/>
        <v>58</v>
      </c>
      <c r="R85" s="8"/>
      <c r="T85"/>
    </row>
    <row r="86" spans="2:20" ht="23.1" customHeight="1" x14ac:dyDescent="0.25">
      <c r="B86" s="46" t="s">
        <v>126</v>
      </c>
      <c r="C86" s="50">
        <v>13</v>
      </c>
      <c r="D86" s="50">
        <v>1</v>
      </c>
      <c r="E86" s="50">
        <v>0</v>
      </c>
      <c r="F86" s="50">
        <v>2</v>
      </c>
      <c r="G86" s="50">
        <v>0</v>
      </c>
      <c r="H86" s="50">
        <v>0</v>
      </c>
      <c r="I86" s="50">
        <v>1</v>
      </c>
      <c r="J86" s="50">
        <v>1</v>
      </c>
      <c r="K86" s="50">
        <v>0</v>
      </c>
      <c r="L86" s="50">
        <v>1</v>
      </c>
      <c r="M86" s="50">
        <v>38</v>
      </c>
      <c r="N86" s="50">
        <v>0</v>
      </c>
      <c r="O86" s="15">
        <f t="shared" si="35"/>
        <v>19</v>
      </c>
      <c r="P86" s="15">
        <f t="shared" si="36"/>
        <v>57</v>
      </c>
      <c r="R86" s="8"/>
      <c r="T86"/>
    </row>
    <row r="87" spans="2:20" ht="23.1" customHeight="1" x14ac:dyDescent="0.25">
      <c r="B87" s="45" t="s">
        <v>127</v>
      </c>
      <c r="C87" s="50">
        <v>5</v>
      </c>
      <c r="D87" s="50">
        <v>1</v>
      </c>
      <c r="E87" s="50">
        <v>1</v>
      </c>
      <c r="F87" s="50">
        <v>2</v>
      </c>
      <c r="G87" s="50">
        <v>0</v>
      </c>
      <c r="H87" s="50">
        <v>0</v>
      </c>
      <c r="I87" s="50">
        <v>4</v>
      </c>
      <c r="J87" s="50">
        <v>3</v>
      </c>
      <c r="K87" s="50">
        <v>0</v>
      </c>
      <c r="L87" s="50">
        <v>1</v>
      </c>
      <c r="M87" s="50">
        <v>39</v>
      </c>
      <c r="N87" s="50">
        <v>0</v>
      </c>
      <c r="O87" s="15">
        <f t="shared" si="35"/>
        <v>17</v>
      </c>
      <c r="P87" s="15">
        <f t="shared" si="36"/>
        <v>56</v>
      </c>
      <c r="R87" s="8"/>
      <c r="T87"/>
    </row>
    <row r="88" spans="2:20" ht="23.1" customHeight="1" x14ac:dyDescent="0.25">
      <c r="B88" s="47" t="s">
        <v>128</v>
      </c>
      <c r="C88" s="50">
        <v>9</v>
      </c>
      <c r="D88" s="50">
        <v>1</v>
      </c>
      <c r="E88" s="50">
        <v>1</v>
      </c>
      <c r="F88" s="50">
        <v>1</v>
      </c>
      <c r="G88" s="50">
        <v>0</v>
      </c>
      <c r="H88" s="50">
        <v>0</v>
      </c>
      <c r="I88" s="50">
        <v>1</v>
      </c>
      <c r="J88" s="50">
        <v>1</v>
      </c>
      <c r="K88" s="50">
        <v>0</v>
      </c>
      <c r="L88" s="50">
        <v>1</v>
      </c>
      <c r="M88" s="50">
        <v>59</v>
      </c>
      <c r="N88" s="50">
        <v>0</v>
      </c>
      <c r="O88" s="15">
        <f t="shared" si="35"/>
        <v>15</v>
      </c>
      <c r="P88" s="15">
        <f t="shared" si="36"/>
        <v>74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3</v>
      </c>
      <c r="E89" s="50">
        <v>0</v>
      </c>
      <c r="F89" s="50">
        <v>1</v>
      </c>
      <c r="G89" s="50">
        <v>0</v>
      </c>
      <c r="H89" s="50">
        <v>0</v>
      </c>
      <c r="I89" s="50">
        <v>2</v>
      </c>
      <c r="J89" s="50">
        <v>2</v>
      </c>
      <c r="K89" s="50">
        <v>0</v>
      </c>
      <c r="L89" s="50">
        <v>0</v>
      </c>
      <c r="M89" s="50">
        <v>30</v>
      </c>
      <c r="N89" s="50">
        <v>0</v>
      </c>
      <c r="O89" s="15">
        <f t="shared" si="35"/>
        <v>15</v>
      </c>
      <c r="P89" s="15">
        <f t="shared" si="36"/>
        <v>45</v>
      </c>
      <c r="R89" s="8"/>
      <c r="T89"/>
    </row>
    <row r="90" spans="2:20" ht="23.1" customHeight="1" x14ac:dyDescent="0.25">
      <c r="B90" s="46" t="s">
        <v>130</v>
      </c>
      <c r="C90" s="50">
        <v>5</v>
      </c>
      <c r="D90" s="50">
        <v>4</v>
      </c>
      <c r="E90" s="50">
        <v>2</v>
      </c>
      <c r="F90" s="50">
        <v>0</v>
      </c>
      <c r="G90" s="50">
        <v>0</v>
      </c>
      <c r="H90" s="50">
        <v>0</v>
      </c>
      <c r="I90" s="50">
        <v>2</v>
      </c>
      <c r="J90" s="50">
        <v>3</v>
      </c>
      <c r="K90" s="50">
        <v>0</v>
      </c>
      <c r="L90" s="50">
        <v>0</v>
      </c>
      <c r="M90" s="50">
        <v>46</v>
      </c>
      <c r="N90" s="50">
        <v>0</v>
      </c>
      <c r="O90" s="15">
        <f t="shared" si="35"/>
        <v>16</v>
      </c>
      <c r="P90" s="15">
        <f t="shared" si="36"/>
        <v>62</v>
      </c>
      <c r="R90" s="8"/>
      <c r="T90"/>
    </row>
    <row r="91" spans="2:20" ht="23.1" customHeight="1" x14ac:dyDescent="0.25">
      <c r="B91" s="45" t="s">
        <v>131</v>
      </c>
      <c r="C91" s="50">
        <v>6</v>
      </c>
      <c r="D91" s="50">
        <v>2</v>
      </c>
      <c r="E91" s="50">
        <v>0</v>
      </c>
      <c r="F91" s="50">
        <v>3</v>
      </c>
      <c r="G91" s="50">
        <v>0</v>
      </c>
      <c r="H91" s="50">
        <v>0</v>
      </c>
      <c r="I91" s="50">
        <v>1</v>
      </c>
      <c r="J91" s="50">
        <v>2</v>
      </c>
      <c r="K91" s="50">
        <v>0</v>
      </c>
      <c r="L91" s="50">
        <v>0</v>
      </c>
      <c r="M91" s="50">
        <v>46</v>
      </c>
      <c r="N91" s="50">
        <v>0</v>
      </c>
      <c r="O91" s="15">
        <f t="shared" si="35"/>
        <v>14</v>
      </c>
      <c r="P91" s="15">
        <f t="shared" si="36"/>
        <v>60</v>
      </c>
      <c r="R91" s="8"/>
      <c r="T91"/>
    </row>
    <row r="92" spans="2:20" ht="23.1" customHeight="1" x14ac:dyDescent="0.25">
      <c r="B92" s="47" t="s">
        <v>132</v>
      </c>
      <c r="C92" s="50">
        <v>6</v>
      </c>
      <c r="D92" s="50">
        <v>0</v>
      </c>
      <c r="E92" s="50">
        <v>0</v>
      </c>
      <c r="F92" s="50">
        <v>3</v>
      </c>
      <c r="G92" s="50">
        <v>0</v>
      </c>
      <c r="H92" s="50">
        <v>0</v>
      </c>
      <c r="I92" s="50">
        <v>2</v>
      </c>
      <c r="J92" s="50">
        <v>0</v>
      </c>
      <c r="K92" s="50">
        <v>0</v>
      </c>
      <c r="L92" s="50">
        <v>0</v>
      </c>
      <c r="M92" s="50">
        <v>51</v>
      </c>
      <c r="N92" s="50">
        <v>0</v>
      </c>
      <c r="O92" s="15">
        <f t="shared" si="35"/>
        <v>11</v>
      </c>
      <c r="P92" s="15">
        <f t="shared" si="36"/>
        <v>62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2</v>
      </c>
      <c r="E93" s="50">
        <v>0</v>
      </c>
      <c r="F93" s="50">
        <v>5</v>
      </c>
      <c r="G93" s="50">
        <v>0</v>
      </c>
      <c r="H93" s="50">
        <v>0</v>
      </c>
      <c r="I93" s="50">
        <v>6</v>
      </c>
      <c r="J93" s="50">
        <v>0</v>
      </c>
      <c r="K93" s="50">
        <v>0</v>
      </c>
      <c r="L93" s="50">
        <v>0</v>
      </c>
      <c r="M93" s="50">
        <v>48</v>
      </c>
      <c r="N93" s="50">
        <v>0</v>
      </c>
      <c r="O93" s="15">
        <f t="shared" si="35"/>
        <v>20</v>
      </c>
      <c r="P93" s="15">
        <f t="shared" si="36"/>
        <v>68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5</v>
      </c>
      <c r="E94" s="50">
        <v>1</v>
      </c>
      <c r="F94" s="50">
        <v>3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44</v>
      </c>
      <c r="N94" s="50">
        <v>0</v>
      </c>
      <c r="O94" s="15">
        <f t="shared" si="35"/>
        <v>18</v>
      </c>
      <c r="P94" s="15">
        <f t="shared" si="36"/>
        <v>62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2</v>
      </c>
      <c r="E95" s="50">
        <v>0</v>
      </c>
      <c r="F95" s="50">
        <v>7</v>
      </c>
      <c r="G95" s="50">
        <v>0</v>
      </c>
      <c r="H95" s="50">
        <v>1</v>
      </c>
      <c r="I95" s="50">
        <v>0</v>
      </c>
      <c r="J95" s="50">
        <v>3</v>
      </c>
      <c r="K95" s="50">
        <v>0</v>
      </c>
      <c r="L95" s="50">
        <v>0</v>
      </c>
      <c r="M95" s="50">
        <v>80</v>
      </c>
      <c r="N95" s="50">
        <v>0</v>
      </c>
      <c r="O95" s="15">
        <f t="shared" si="35"/>
        <v>16</v>
      </c>
      <c r="P95" s="15">
        <f t="shared" si="36"/>
        <v>96</v>
      </c>
      <c r="R95" s="8"/>
      <c r="T95"/>
    </row>
    <row r="96" spans="2:20" ht="23.1" customHeight="1" x14ac:dyDescent="0.25">
      <c r="B96" s="47" t="s">
        <v>136</v>
      </c>
      <c r="C96" s="50">
        <v>8</v>
      </c>
      <c r="D96" s="50">
        <v>1</v>
      </c>
      <c r="E96" s="50">
        <v>0</v>
      </c>
      <c r="F96" s="50">
        <v>6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125</v>
      </c>
      <c r="N96" s="50">
        <v>0</v>
      </c>
      <c r="O96" s="15">
        <f t="shared" si="35"/>
        <v>16</v>
      </c>
      <c r="P96" s="15">
        <f t="shared" si="36"/>
        <v>141</v>
      </c>
      <c r="R96" s="8"/>
      <c r="T96"/>
    </row>
    <row r="97" spans="2:20" ht="23.1" customHeight="1" x14ac:dyDescent="0.25">
      <c r="B97" s="45" t="s">
        <v>137</v>
      </c>
      <c r="C97" s="50">
        <v>14</v>
      </c>
      <c r="D97" s="50">
        <v>3</v>
      </c>
      <c r="E97" s="50">
        <v>7</v>
      </c>
      <c r="F97" s="50">
        <v>13</v>
      </c>
      <c r="G97" s="50">
        <v>0</v>
      </c>
      <c r="H97" s="50">
        <v>0</v>
      </c>
      <c r="I97" s="50">
        <v>3</v>
      </c>
      <c r="J97" s="50">
        <v>2</v>
      </c>
      <c r="K97" s="50">
        <v>1</v>
      </c>
      <c r="L97" s="50">
        <v>1</v>
      </c>
      <c r="M97" s="50">
        <v>53</v>
      </c>
      <c r="N97" s="50">
        <v>0</v>
      </c>
      <c r="O97" s="15">
        <f t="shared" si="35"/>
        <v>44</v>
      </c>
      <c r="P97" s="15">
        <f t="shared" si="36"/>
        <v>97</v>
      </c>
      <c r="R97" s="8"/>
      <c r="T97"/>
    </row>
    <row r="98" spans="2:20" ht="23.1" customHeight="1" x14ac:dyDescent="0.25">
      <c r="B98" s="46" t="s">
        <v>138</v>
      </c>
      <c r="C98" s="50">
        <v>6</v>
      </c>
      <c r="D98" s="50">
        <v>3</v>
      </c>
      <c r="E98" s="50">
        <v>2</v>
      </c>
      <c r="F98" s="50">
        <v>8</v>
      </c>
      <c r="G98" s="50">
        <v>0</v>
      </c>
      <c r="H98" s="50">
        <v>0</v>
      </c>
      <c r="I98" s="50">
        <v>2</v>
      </c>
      <c r="J98" s="50">
        <v>2</v>
      </c>
      <c r="K98" s="50">
        <v>2</v>
      </c>
      <c r="L98" s="50">
        <v>0</v>
      </c>
      <c r="M98" s="50">
        <v>50</v>
      </c>
      <c r="N98" s="50">
        <v>0</v>
      </c>
      <c r="O98" s="15">
        <f t="shared" si="35"/>
        <v>25</v>
      </c>
      <c r="P98" s="15">
        <f t="shared" si="36"/>
        <v>75</v>
      </c>
      <c r="R98" s="8"/>
      <c r="T98"/>
    </row>
    <row r="99" spans="2:20" ht="23.1" customHeight="1" x14ac:dyDescent="0.25">
      <c r="B99" s="45" t="s">
        <v>139</v>
      </c>
      <c r="C99" s="50">
        <v>11</v>
      </c>
      <c r="D99" s="50">
        <v>2</v>
      </c>
      <c r="E99" s="50">
        <v>1</v>
      </c>
      <c r="F99" s="50">
        <v>15</v>
      </c>
      <c r="G99" s="50">
        <v>0</v>
      </c>
      <c r="H99" s="50">
        <v>0</v>
      </c>
      <c r="I99" s="50">
        <v>0</v>
      </c>
      <c r="J99" s="50">
        <v>3</v>
      </c>
      <c r="K99" s="50">
        <v>0</v>
      </c>
      <c r="L99" s="50">
        <v>0</v>
      </c>
      <c r="M99" s="50">
        <v>42</v>
      </c>
      <c r="N99" s="50">
        <v>0</v>
      </c>
      <c r="O99" s="15">
        <f t="shared" si="35"/>
        <v>32</v>
      </c>
      <c r="P99" s="15">
        <f t="shared" si="36"/>
        <v>74</v>
      </c>
      <c r="R99" s="8"/>
      <c r="T99"/>
    </row>
    <row r="100" spans="2:20" ht="23.1" customHeight="1" x14ac:dyDescent="0.25">
      <c r="B100" s="47" t="s">
        <v>140</v>
      </c>
      <c r="C100" s="50">
        <v>23</v>
      </c>
      <c r="D100" s="50">
        <v>3</v>
      </c>
      <c r="E100" s="50">
        <v>3</v>
      </c>
      <c r="F100" s="50">
        <v>24</v>
      </c>
      <c r="G100" s="50">
        <v>0</v>
      </c>
      <c r="H100" s="50">
        <v>0</v>
      </c>
      <c r="I100" s="50">
        <v>6</v>
      </c>
      <c r="J100" s="50">
        <v>2</v>
      </c>
      <c r="K100" s="50">
        <v>2</v>
      </c>
      <c r="L100" s="50">
        <v>0</v>
      </c>
      <c r="M100" s="50">
        <v>69</v>
      </c>
      <c r="N100" s="50">
        <v>0</v>
      </c>
      <c r="O100" s="15">
        <f t="shared" si="35"/>
        <v>63</v>
      </c>
      <c r="P100" s="15">
        <f t="shared" si="36"/>
        <v>132</v>
      </c>
      <c r="R100" s="8"/>
      <c r="T100"/>
    </row>
    <row r="101" spans="2:20" ht="23.1" customHeight="1" x14ac:dyDescent="0.25">
      <c r="B101" s="45" t="s">
        <v>141</v>
      </c>
      <c r="C101" s="50">
        <v>22</v>
      </c>
      <c r="D101" s="50">
        <v>6</v>
      </c>
      <c r="E101" s="50">
        <v>0</v>
      </c>
      <c r="F101" s="50">
        <v>29</v>
      </c>
      <c r="G101" s="50">
        <v>0</v>
      </c>
      <c r="H101" s="50">
        <v>0</v>
      </c>
      <c r="I101" s="50">
        <v>2</v>
      </c>
      <c r="J101" s="50">
        <v>2</v>
      </c>
      <c r="K101" s="50">
        <v>2</v>
      </c>
      <c r="L101" s="50">
        <v>0</v>
      </c>
      <c r="M101" s="50">
        <v>87</v>
      </c>
      <c r="N101" s="50">
        <v>0</v>
      </c>
      <c r="O101" s="15">
        <f t="shared" si="35"/>
        <v>63</v>
      </c>
      <c r="P101" s="15">
        <f t="shared" si="36"/>
        <v>150</v>
      </c>
      <c r="R101" s="8"/>
      <c r="T101"/>
    </row>
    <row r="102" spans="2:20" ht="23.1" customHeight="1" x14ac:dyDescent="0.25">
      <c r="B102" s="46" t="s">
        <v>142</v>
      </c>
      <c r="C102" s="50">
        <v>15</v>
      </c>
      <c r="D102" s="50">
        <v>7</v>
      </c>
      <c r="E102" s="50">
        <v>2</v>
      </c>
      <c r="F102" s="50">
        <v>37</v>
      </c>
      <c r="G102" s="50">
        <v>0</v>
      </c>
      <c r="H102" s="50">
        <v>0</v>
      </c>
      <c r="I102" s="50">
        <v>2</v>
      </c>
      <c r="J102" s="50">
        <v>1</v>
      </c>
      <c r="K102" s="50">
        <v>1</v>
      </c>
      <c r="L102" s="50">
        <v>0</v>
      </c>
      <c r="M102" s="50">
        <v>105</v>
      </c>
      <c r="N102" s="50">
        <v>0</v>
      </c>
      <c r="O102" s="15">
        <f t="shared" si="35"/>
        <v>65</v>
      </c>
      <c r="P102" s="15">
        <f t="shared" si="36"/>
        <v>170</v>
      </c>
      <c r="R102" s="8"/>
      <c r="T102"/>
    </row>
    <row r="103" spans="2:20" ht="23.1" customHeight="1" x14ac:dyDescent="0.25">
      <c r="B103" s="45" t="s">
        <v>143</v>
      </c>
      <c r="C103" s="50">
        <v>25</v>
      </c>
      <c r="D103" s="50">
        <v>3</v>
      </c>
      <c r="E103" s="50">
        <v>1</v>
      </c>
      <c r="F103" s="50">
        <v>45</v>
      </c>
      <c r="G103" s="50">
        <v>0</v>
      </c>
      <c r="H103" s="50">
        <v>0</v>
      </c>
      <c r="I103" s="50">
        <v>1</v>
      </c>
      <c r="J103" s="50">
        <v>5</v>
      </c>
      <c r="K103" s="50">
        <v>1</v>
      </c>
      <c r="L103" s="50">
        <v>1</v>
      </c>
      <c r="M103" s="50">
        <v>101</v>
      </c>
      <c r="N103" s="50">
        <v>0</v>
      </c>
      <c r="O103" s="15">
        <f t="shared" si="35"/>
        <v>82</v>
      </c>
      <c r="P103" s="15">
        <f t="shared" si="36"/>
        <v>183</v>
      </c>
      <c r="R103" s="8"/>
      <c r="T103"/>
    </row>
    <row r="104" spans="2:20" ht="23.1" customHeight="1" x14ac:dyDescent="0.25">
      <c r="B104" s="47" t="s">
        <v>144</v>
      </c>
      <c r="C104" s="50">
        <v>22</v>
      </c>
      <c r="D104" s="50">
        <v>7</v>
      </c>
      <c r="E104" s="50">
        <v>4</v>
      </c>
      <c r="F104" s="50">
        <v>48</v>
      </c>
      <c r="G104" s="50">
        <v>0</v>
      </c>
      <c r="H104" s="50">
        <v>0</v>
      </c>
      <c r="I104" s="50">
        <v>4</v>
      </c>
      <c r="J104" s="50">
        <v>1</v>
      </c>
      <c r="K104" s="50">
        <v>4</v>
      </c>
      <c r="L104" s="50">
        <v>0</v>
      </c>
      <c r="M104" s="50">
        <v>135</v>
      </c>
      <c r="N104" s="50">
        <v>0</v>
      </c>
      <c r="O104" s="15">
        <f t="shared" si="35"/>
        <v>90</v>
      </c>
      <c r="P104" s="15">
        <f t="shared" si="36"/>
        <v>225</v>
      </c>
      <c r="R104" s="8"/>
      <c r="T104"/>
    </row>
    <row r="105" spans="2:20" ht="23.1" customHeight="1" x14ac:dyDescent="0.25">
      <c r="B105" s="45" t="s">
        <v>145</v>
      </c>
      <c r="C105" s="50">
        <v>18</v>
      </c>
      <c r="D105" s="50">
        <v>4</v>
      </c>
      <c r="E105" s="50">
        <v>2</v>
      </c>
      <c r="F105" s="50">
        <v>30</v>
      </c>
      <c r="G105" s="50">
        <v>0</v>
      </c>
      <c r="H105" s="50">
        <v>0</v>
      </c>
      <c r="I105" s="50">
        <v>3</v>
      </c>
      <c r="J105" s="50">
        <v>2</v>
      </c>
      <c r="K105" s="50">
        <v>0</v>
      </c>
      <c r="L105" s="50">
        <v>0</v>
      </c>
      <c r="M105" s="50">
        <v>172</v>
      </c>
      <c r="N105" s="50">
        <v>0</v>
      </c>
      <c r="O105" s="15">
        <f t="shared" si="35"/>
        <v>59</v>
      </c>
      <c r="P105" s="15">
        <f t="shared" si="36"/>
        <v>231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4146</v>
      </c>
      <c r="D106" s="16">
        <f t="shared" ref="D106:P106" si="37">SUM(D10:D105)</f>
        <v>871</v>
      </c>
      <c r="E106" s="16">
        <f t="shared" si="37"/>
        <v>668</v>
      </c>
      <c r="F106" s="16">
        <f t="shared" si="37"/>
        <v>3573</v>
      </c>
      <c r="G106" s="16">
        <f t="shared" si="37"/>
        <v>87</v>
      </c>
      <c r="H106" s="16">
        <f t="shared" si="37"/>
        <v>38</v>
      </c>
      <c r="I106" s="16">
        <f t="shared" si="37"/>
        <v>337</v>
      </c>
      <c r="J106" s="16">
        <f t="shared" si="37"/>
        <v>246</v>
      </c>
      <c r="K106" s="16">
        <f t="shared" si="37"/>
        <v>140</v>
      </c>
      <c r="L106" s="16">
        <f t="shared" si="37"/>
        <v>95</v>
      </c>
      <c r="M106" s="16">
        <f t="shared" si="37"/>
        <v>13700</v>
      </c>
      <c r="N106" s="16">
        <f t="shared" si="37"/>
        <v>0</v>
      </c>
      <c r="O106" s="16">
        <f t="shared" si="37"/>
        <v>10201</v>
      </c>
      <c r="P106" s="16">
        <f t="shared" si="37"/>
        <v>23901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0.17346554537467052</v>
      </c>
      <c r="D107" s="43">
        <f t="shared" si="38"/>
        <v>3.6441989874900632E-2</v>
      </c>
      <c r="E107" s="43">
        <f t="shared" si="38"/>
        <v>2.7948621396594285E-2</v>
      </c>
      <c r="F107" s="43">
        <f t="shared" si="38"/>
        <v>0.14949165306890924</v>
      </c>
      <c r="G107" s="43">
        <f t="shared" si="38"/>
        <v>3.6400150621312918E-3</v>
      </c>
      <c r="H107" s="43">
        <f t="shared" si="38"/>
        <v>1.5898916363332079E-3</v>
      </c>
      <c r="I107" s="43">
        <f t="shared" si="38"/>
        <v>1.409982845906029E-2</v>
      </c>
      <c r="J107" s="43">
        <f t="shared" si="38"/>
        <v>1.0292456382578134E-2</v>
      </c>
      <c r="K107" s="43">
        <f t="shared" si="38"/>
        <v>5.857495502280239E-3</v>
      </c>
      <c r="L107" s="43">
        <f t="shared" si="38"/>
        <v>3.9747290908330197E-3</v>
      </c>
      <c r="M107" s="43">
        <f t="shared" si="38"/>
        <v>0.57319777415170914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0.4064307420841094</v>
      </c>
      <c r="D108" s="44">
        <f t="shared" ref="D108:N108" si="39">D106/$O$106</f>
        <v>8.5383785903342807E-2</v>
      </c>
      <c r="E108" s="44">
        <f t="shared" si="39"/>
        <v>6.5483776100382321E-2</v>
      </c>
      <c r="F108" s="44">
        <f t="shared" si="39"/>
        <v>0.35025977845309281</v>
      </c>
      <c r="G108" s="44">
        <f t="shared" si="39"/>
        <v>8.5285756298402113E-3</v>
      </c>
      <c r="H108" s="44">
        <f t="shared" si="39"/>
        <v>3.7251249877462995E-3</v>
      </c>
      <c r="I108" s="44">
        <f t="shared" si="39"/>
        <v>3.3035976865013236E-2</v>
      </c>
      <c r="J108" s="44">
        <f t="shared" si="39"/>
        <v>2.4115282815410255E-2</v>
      </c>
      <c r="K108" s="44">
        <f t="shared" si="39"/>
        <v>1.3724144691696893E-2</v>
      </c>
      <c r="L108" s="44">
        <f t="shared" si="39"/>
        <v>9.3128124693657478E-3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3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KALERWE-GAYAZA'!C3:G3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5" t="str">
        <f>'27.07 GAYAZA-KALERWE-24h'!G5:H5</f>
        <v>DELTA KYEBANDO</v>
      </c>
      <c r="H5" s="66"/>
      <c r="I5" s="14"/>
      <c r="J5" s="2" t="s">
        <v>5</v>
      </c>
      <c r="K5" s="65" t="str">
        <f>'27.07 GAYAZA-KALERWE-24h'!K5:L5</f>
        <v>NALUBEGA JOSEPHINE AND NANDUTU SANDRAH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KALERWE-GAYAZA'!D6:E6</f>
        <v>KALERWE</v>
      </c>
      <c r="E6" s="66"/>
      <c r="F6" s="2" t="s">
        <v>2</v>
      </c>
      <c r="G6" s="65" t="str">
        <f>'22.07 KALERWE-GAYAZA'!G6:H6</f>
        <v>GAYAZA</v>
      </c>
      <c r="H6" s="66"/>
      <c r="J6" s="2" t="s">
        <v>21</v>
      </c>
      <c r="K6" s="65" t="str">
        <f>'27.07 GAYAZA-KALERWE-24h'!K6:L6</f>
        <v>LAWRENCE AND WALAKILA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36</v>
      </c>
      <c r="D10" s="50">
        <v>17</v>
      </c>
      <c r="E10" s="50">
        <v>7</v>
      </c>
      <c r="F10" s="50">
        <v>25</v>
      </c>
      <c r="G10" s="50">
        <v>0</v>
      </c>
      <c r="H10" s="50">
        <v>0</v>
      </c>
      <c r="I10" s="50">
        <v>3</v>
      </c>
      <c r="J10" s="50">
        <v>1</v>
      </c>
      <c r="K10" s="50">
        <v>1</v>
      </c>
      <c r="L10" s="50">
        <v>0</v>
      </c>
      <c r="M10" s="50">
        <v>140</v>
      </c>
      <c r="N10" s="50">
        <v>0</v>
      </c>
      <c r="O10" s="15">
        <f t="shared" ref="O10:O57" si="0">SUM(C10:L10,N10)</f>
        <v>90</v>
      </c>
      <c r="P10" s="15">
        <f t="shared" ref="P10:P57" si="1">SUM(C10:N10)</f>
        <v>230</v>
      </c>
      <c r="R10" s="1" t="s">
        <v>6</v>
      </c>
      <c r="S10" s="17">
        <f t="shared" ref="S10:AF10" si="2">SUM(C10:C13)</f>
        <v>169</v>
      </c>
      <c r="T10" s="17">
        <f t="shared" si="2"/>
        <v>77</v>
      </c>
      <c r="U10" s="17">
        <f t="shared" si="2"/>
        <v>54</v>
      </c>
      <c r="V10" s="17">
        <f t="shared" si="2"/>
        <v>268</v>
      </c>
      <c r="W10" s="17">
        <f t="shared" si="2"/>
        <v>8</v>
      </c>
      <c r="X10" s="17">
        <f t="shared" si="2"/>
        <v>5</v>
      </c>
      <c r="Y10" s="17">
        <f t="shared" si="2"/>
        <v>18</v>
      </c>
      <c r="Z10" s="17">
        <f t="shared" si="2"/>
        <v>10</v>
      </c>
      <c r="AA10" s="17">
        <f t="shared" si="2"/>
        <v>7</v>
      </c>
      <c r="AB10" s="17">
        <f t="shared" si="2"/>
        <v>0</v>
      </c>
      <c r="AC10" s="17">
        <f t="shared" si="2"/>
        <v>680</v>
      </c>
      <c r="AD10" s="17">
        <f t="shared" si="2"/>
        <v>0</v>
      </c>
      <c r="AE10" s="31">
        <f t="shared" si="2"/>
        <v>616</v>
      </c>
      <c r="AF10" s="31">
        <f t="shared" si="2"/>
        <v>1296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15</v>
      </c>
      <c r="E11" s="50">
        <v>10</v>
      </c>
      <c r="F11" s="50">
        <v>56</v>
      </c>
      <c r="G11" s="50">
        <v>1</v>
      </c>
      <c r="H11" s="50">
        <v>2</v>
      </c>
      <c r="I11" s="50">
        <v>8</v>
      </c>
      <c r="J11" s="50">
        <v>3</v>
      </c>
      <c r="K11" s="50">
        <v>2</v>
      </c>
      <c r="L11" s="50">
        <v>0</v>
      </c>
      <c r="M11" s="50">
        <v>180</v>
      </c>
      <c r="N11" s="50">
        <v>0</v>
      </c>
      <c r="O11" s="15">
        <f t="shared" si="0"/>
        <v>142</v>
      </c>
      <c r="P11" s="15">
        <f t="shared" si="1"/>
        <v>322</v>
      </c>
      <c r="R11" s="1" t="s">
        <v>7</v>
      </c>
      <c r="S11" s="17">
        <f t="shared" ref="S11:AF11" si="3">SUM(C14:C17)</f>
        <v>145</v>
      </c>
      <c r="T11" s="17">
        <f t="shared" si="3"/>
        <v>55</v>
      </c>
      <c r="U11" s="17">
        <f t="shared" si="3"/>
        <v>50</v>
      </c>
      <c r="V11" s="17">
        <f t="shared" si="3"/>
        <v>209</v>
      </c>
      <c r="W11" s="17">
        <f t="shared" si="3"/>
        <v>5</v>
      </c>
      <c r="X11" s="17">
        <f t="shared" si="3"/>
        <v>5</v>
      </c>
      <c r="Y11" s="17">
        <f t="shared" si="3"/>
        <v>14</v>
      </c>
      <c r="Z11" s="17">
        <f t="shared" si="3"/>
        <v>13</v>
      </c>
      <c r="AA11" s="17">
        <f t="shared" si="3"/>
        <v>8</v>
      </c>
      <c r="AB11" s="17">
        <f t="shared" si="3"/>
        <v>4</v>
      </c>
      <c r="AC11" s="17">
        <f t="shared" si="3"/>
        <v>924</v>
      </c>
      <c r="AD11" s="17">
        <f t="shared" si="3"/>
        <v>0</v>
      </c>
      <c r="AE11" s="31">
        <f t="shared" si="3"/>
        <v>508</v>
      </c>
      <c r="AF11" s="31">
        <f t="shared" si="3"/>
        <v>1432</v>
      </c>
    </row>
    <row r="12" spans="2:32" ht="23.1" customHeight="1" x14ac:dyDescent="0.25">
      <c r="B12" s="23" t="s">
        <v>39</v>
      </c>
      <c r="C12" s="50">
        <v>56</v>
      </c>
      <c r="D12" s="50">
        <v>14</v>
      </c>
      <c r="E12" s="50">
        <v>24</v>
      </c>
      <c r="F12" s="50">
        <v>104</v>
      </c>
      <c r="G12" s="50">
        <v>2</v>
      </c>
      <c r="H12" s="50">
        <v>0</v>
      </c>
      <c r="I12" s="50">
        <v>3</v>
      </c>
      <c r="J12" s="50">
        <v>1</v>
      </c>
      <c r="K12" s="50">
        <v>2</v>
      </c>
      <c r="L12" s="50">
        <v>0</v>
      </c>
      <c r="M12" s="50">
        <v>160</v>
      </c>
      <c r="N12" s="50">
        <v>0</v>
      </c>
      <c r="O12" s="15">
        <f t="shared" si="0"/>
        <v>206</v>
      </c>
      <c r="P12" s="15">
        <f t="shared" si="1"/>
        <v>366</v>
      </c>
      <c r="R12" s="1" t="s">
        <v>8</v>
      </c>
      <c r="S12" s="17">
        <f t="shared" ref="S12:AF12" si="4">SUM(C18:C21)</f>
        <v>204</v>
      </c>
      <c r="T12" s="17">
        <f t="shared" si="4"/>
        <v>48</v>
      </c>
      <c r="U12" s="17">
        <f t="shared" si="4"/>
        <v>59</v>
      </c>
      <c r="V12" s="17">
        <f t="shared" si="4"/>
        <v>240</v>
      </c>
      <c r="W12" s="17">
        <f t="shared" si="4"/>
        <v>5</v>
      </c>
      <c r="X12" s="17">
        <f t="shared" si="4"/>
        <v>2</v>
      </c>
      <c r="Y12" s="17">
        <f t="shared" si="4"/>
        <v>9</v>
      </c>
      <c r="Z12" s="17">
        <f t="shared" si="4"/>
        <v>10</v>
      </c>
      <c r="AA12" s="17">
        <f t="shared" si="4"/>
        <v>5</v>
      </c>
      <c r="AB12" s="17">
        <f t="shared" si="4"/>
        <v>2</v>
      </c>
      <c r="AC12" s="17">
        <f t="shared" si="4"/>
        <v>920</v>
      </c>
      <c r="AD12" s="17">
        <f t="shared" si="4"/>
        <v>0</v>
      </c>
      <c r="AE12" s="31">
        <f t="shared" si="4"/>
        <v>584</v>
      </c>
      <c r="AF12" s="31">
        <f t="shared" si="4"/>
        <v>1504</v>
      </c>
    </row>
    <row r="13" spans="2:32" ht="23.1" customHeight="1" x14ac:dyDescent="0.25">
      <c r="B13" s="23" t="s">
        <v>40</v>
      </c>
      <c r="C13" s="50">
        <v>32</v>
      </c>
      <c r="D13" s="50">
        <v>31</v>
      </c>
      <c r="E13" s="50">
        <v>13</v>
      </c>
      <c r="F13" s="50">
        <v>83</v>
      </c>
      <c r="G13" s="50">
        <v>5</v>
      </c>
      <c r="H13" s="50">
        <v>3</v>
      </c>
      <c r="I13" s="50">
        <v>4</v>
      </c>
      <c r="J13" s="50">
        <v>5</v>
      </c>
      <c r="K13" s="50">
        <v>2</v>
      </c>
      <c r="L13" s="50">
        <v>0</v>
      </c>
      <c r="M13" s="50">
        <v>200</v>
      </c>
      <c r="N13" s="50">
        <v>0</v>
      </c>
      <c r="O13" s="15">
        <f t="shared" si="0"/>
        <v>178</v>
      </c>
      <c r="P13" s="15">
        <f t="shared" si="1"/>
        <v>378</v>
      </c>
      <c r="R13" s="1" t="s">
        <v>9</v>
      </c>
      <c r="S13" s="17">
        <f t="shared" ref="S13:AF13" si="5">SUM(C22:C25)</f>
        <v>280</v>
      </c>
      <c r="T13" s="17">
        <f t="shared" si="5"/>
        <v>61</v>
      </c>
      <c r="U13" s="17">
        <f t="shared" si="5"/>
        <v>45</v>
      </c>
      <c r="V13" s="17">
        <f t="shared" si="5"/>
        <v>193</v>
      </c>
      <c r="W13" s="17">
        <f t="shared" si="5"/>
        <v>8</v>
      </c>
      <c r="X13" s="17">
        <f t="shared" si="5"/>
        <v>1</v>
      </c>
      <c r="Y13" s="17">
        <f t="shared" si="5"/>
        <v>13</v>
      </c>
      <c r="Z13" s="17">
        <f t="shared" si="5"/>
        <v>8</v>
      </c>
      <c r="AA13" s="17">
        <f t="shared" si="5"/>
        <v>2</v>
      </c>
      <c r="AB13" s="17">
        <f t="shared" si="5"/>
        <v>1</v>
      </c>
      <c r="AC13" s="17">
        <f t="shared" si="5"/>
        <v>823</v>
      </c>
      <c r="AD13" s="17">
        <f t="shared" si="5"/>
        <v>0</v>
      </c>
      <c r="AE13" s="31">
        <f t="shared" si="5"/>
        <v>612</v>
      </c>
      <c r="AF13" s="31">
        <f t="shared" si="5"/>
        <v>1435</v>
      </c>
    </row>
    <row r="14" spans="2:32" ht="23.1" customHeight="1" x14ac:dyDescent="0.25">
      <c r="B14" s="23" t="s">
        <v>41</v>
      </c>
      <c r="C14" s="50">
        <v>15</v>
      </c>
      <c r="D14" s="50">
        <v>7</v>
      </c>
      <c r="E14" s="50">
        <v>9</v>
      </c>
      <c r="F14" s="50">
        <v>45</v>
      </c>
      <c r="G14" s="50">
        <v>1</v>
      </c>
      <c r="H14" s="50">
        <v>3</v>
      </c>
      <c r="I14" s="50">
        <v>2</v>
      </c>
      <c r="J14" s="50">
        <v>5</v>
      </c>
      <c r="K14" s="50">
        <v>3</v>
      </c>
      <c r="L14" s="50">
        <v>0</v>
      </c>
      <c r="M14" s="50">
        <v>195</v>
      </c>
      <c r="N14" s="50">
        <v>0</v>
      </c>
      <c r="O14" s="15">
        <f t="shared" si="0"/>
        <v>90</v>
      </c>
      <c r="P14" s="15">
        <f t="shared" si="1"/>
        <v>285</v>
      </c>
      <c r="R14" s="1" t="s">
        <v>10</v>
      </c>
      <c r="S14" s="17">
        <f t="shared" ref="S14:AF14" si="6">SUM(C26:C29)</f>
        <v>198</v>
      </c>
      <c r="T14" s="17">
        <f t="shared" si="6"/>
        <v>33</v>
      </c>
      <c r="U14" s="17">
        <f t="shared" si="6"/>
        <v>42</v>
      </c>
      <c r="V14" s="17">
        <f t="shared" si="6"/>
        <v>161</v>
      </c>
      <c r="W14" s="17">
        <f t="shared" si="6"/>
        <v>1</v>
      </c>
      <c r="X14" s="17">
        <f t="shared" si="6"/>
        <v>0</v>
      </c>
      <c r="Y14" s="17">
        <f t="shared" si="6"/>
        <v>7</v>
      </c>
      <c r="Z14" s="17">
        <f t="shared" si="6"/>
        <v>9</v>
      </c>
      <c r="AA14" s="17">
        <f t="shared" si="6"/>
        <v>1</v>
      </c>
      <c r="AB14" s="17">
        <f t="shared" si="6"/>
        <v>0</v>
      </c>
      <c r="AC14" s="17">
        <f t="shared" si="6"/>
        <v>745</v>
      </c>
      <c r="AD14" s="17">
        <f t="shared" si="6"/>
        <v>0</v>
      </c>
      <c r="AE14" s="31">
        <f t="shared" si="6"/>
        <v>452</v>
      </c>
      <c r="AF14" s="31">
        <f t="shared" si="6"/>
        <v>1197</v>
      </c>
    </row>
    <row r="15" spans="2:32" ht="23.1" customHeight="1" x14ac:dyDescent="0.25">
      <c r="B15" s="23" t="s">
        <v>42</v>
      </c>
      <c r="C15" s="50">
        <v>35</v>
      </c>
      <c r="D15" s="50">
        <v>8</v>
      </c>
      <c r="E15" s="50">
        <v>11</v>
      </c>
      <c r="F15" s="50">
        <v>43</v>
      </c>
      <c r="G15" s="50">
        <v>0</v>
      </c>
      <c r="H15" s="50">
        <v>2</v>
      </c>
      <c r="I15" s="50">
        <v>7</v>
      </c>
      <c r="J15" s="50">
        <v>5</v>
      </c>
      <c r="K15" s="50">
        <v>0</v>
      </c>
      <c r="L15" s="50">
        <v>2</v>
      </c>
      <c r="M15" s="50">
        <v>223</v>
      </c>
      <c r="N15" s="50">
        <v>0</v>
      </c>
      <c r="O15" s="15">
        <f t="shared" si="0"/>
        <v>113</v>
      </c>
      <c r="P15" s="15">
        <f t="shared" si="1"/>
        <v>336</v>
      </c>
      <c r="R15" s="1" t="s">
        <v>11</v>
      </c>
      <c r="S15" s="17">
        <f t="shared" ref="S15:AF15" si="7">SUM(C30:C33)</f>
        <v>434</v>
      </c>
      <c r="T15" s="17">
        <f t="shared" si="7"/>
        <v>77</v>
      </c>
      <c r="U15" s="17">
        <f t="shared" si="7"/>
        <v>47</v>
      </c>
      <c r="V15" s="17">
        <f t="shared" si="7"/>
        <v>217</v>
      </c>
      <c r="W15" s="17">
        <f t="shared" si="7"/>
        <v>3</v>
      </c>
      <c r="X15" s="17">
        <f t="shared" si="7"/>
        <v>1</v>
      </c>
      <c r="Y15" s="17">
        <f t="shared" si="7"/>
        <v>12</v>
      </c>
      <c r="Z15" s="17">
        <f t="shared" si="7"/>
        <v>9</v>
      </c>
      <c r="AA15" s="17">
        <f t="shared" si="7"/>
        <v>3</v>
      </c>
      <c r="AB15" s="17">
        <f t="shared" si="7"/>
        <v>0</v>
      </c>
      <c r="AC15" s="17">
        <f t="shared" si="7"/>
        <v>985</v>
      </c>
      <c r="AD15" s="17">
        <f t="shared" si="7"/>
        <v>0</v>
      </c>
      <c r="AE15" s="31">
        <f t="shared" si="7"/>
        <v>803</v>
      </c>
      <c r="AF15" s="31">
        <f t="shared" si="7"/>
        <v>1788</v>
      </c>
    </row>
    <row r="16" spans="2:32" ht="23.1" customHeight="1" x14ac:dyDescent="0.25">
      <c r="B16" s="23" t="s">
        <v>43</v>
      </c>
      <c r="C16" s="50">
        <v>41</v>
      </c>
      <c r="D16" s="50">
        <v>17</v>
      </c>
      <c r="E16" s="50">
        <v>14</v>
      </c>
      <c r="F16" s="50">
        <v>53</v>
      </c>
      <c r="G16" s="50">
        <v>0</v>
      </c>
      <c r="H16" s="50">
        <v>0</v>
      </c>
      <c r="I16" s="50">
        <v>1</v>
      </c>
      <c r="J16" s="50">
        <v>3</v>
      </c>
      <c r="K16" s="50">
        <v>1</v>
      </c>
      <c r="L16" s="50">
        <v>1</v>
      </c>
      <c r="M16" s="50">
        <v>272</v>
      </c>
      <c r="N16" s="50">
        <v>0</v>
      </c>
      <c r="O16" s="15">
        <f t="shared" si="0"/>
        <v>131</v>
      </c>
      <c r="P16" s="15">
        <f t="shared" si="1"/>
        <v>403</v>
      </c>
      <c r="R16" s="1" t="s">
        <v>12</v>
      </c>
      <c r="S16" s="17">
        <f t="shared" ref="S16:AF16" si="8">SUM(C34:C37)</f>
        <v>497</v>
      </c>
      <c r="T16" s="17">
        <f t="shared" si="8"/>
        <v>87</v>
      </c>
      <c r="U16" s="17">
        <f t="shared" si="8"/>
        <v>55</v>
      </c>
      <c r="V16" s="17">
        <f t="shared" si="8"/>
        <v>253</v>
      </c>
      <c r="W16" s="17">
        <f t="shared" si="8"/>
        <v>1</v>
      </c>
      <c r="X16" s="17">
        <f t="shared" si="8"/>
        <v>2</v>
      </c>
      <c r="Y16" s="17">
        <f t="shared" si="8"/>
        <v>20</v>
      </c>
      <c r="Z16" s="17">
        <f t="shared" si="8"/>
        <v>11</v>
      </c>
      <c r="AA16" s="17">
        <f t="shared" si="8"/>
        <v>5</v>
      </c>
      <c r="AB16" s="17">
        <f t="shared" si="8"/>
        <v>0</v>
      </c>
      <c r="AC16" s="17">
        <f t="shared" si="8"/>
        <v>999</v>
      </c>
      <c r="AD16" s="17">
        <f t="shared" si="8"/>
        <v>0</v>
      </c>
      <c r="AE16" s="31">
        <f t="shared" si="8"/>
        <v>931</v>
      </c>
      <c r="AF16" s="31">
        <f t="shared" si="8"/>
        <v>1930</v>
      </c>
    </row>
    <row r="17" spans="2:32" ht="23.1" customHeight="1" x14ac:dyDescent="0.25">
      <c r="B17" s="23" t="s">
        <v>44</v>
      </c>
      <c r="C17" s="50">
        <v>54</v>
      </c>
      <c r="D17" s="50">
        <v>23</v>
      </c>
      <c r="E17" s="50">
        <v>16</v>
      </c>
      <c r="F17" s="50">
        <v>68</v>
      </c>
      <c r="G17" s="50">
        <v>4</v>
      </c>
      <c r="H17" s="50">
        <v>0</v>
      </c>
      <c r="I17" s="50">
        <v>4</v>
      </c>
      <c r="J17" s="50">
        <v>0</v>
      </c>
      <c r="K17" s="50">
        <v>4</v>
      </c>
      <c r="L17" s="50">
        <v>1</v>
      </c>
      <c r="M17" s="50">
        <v>234</v>
      </c>
      <c r="N17" s="50">
        <v>0</v>
      </c>
      <c r="O17" s="15">
        <f t="shared" si="0"/>
        <v>174</v>
      </c>
      <c r="P17" s="15">
        <f t="shared" si="1"/>
        <v>408</v>
      </c>
      <c r="R17" s="1" t="s">
        <v>13</v>
      </c>
      <c r="S17" s="17">
        <f t="shared" ref="S17:AF17" si="9">SUM(C38:C41)</f>
        <v>478</v>
      </c>
      <c r="T17" s="17">
        <f t="shared" si="9"/>
        <v>74</v>
      </c>
      <c r="U17" s="17">
        <f t="shared" si="9"/>
        <v>46</v>
      </c>
      <c r="V17" s="17">
        <f t="shared" si="9"/>
        <v>203</v>
      </c>
      <c r="W17" s="17">
        <f t="shared" si="9"/>
        <v>1</v>
      </c>
      <c r="X17" s="17">
        <f t="shared" si="9"/>
        <v>3</v>
      </c>
      <c r="Y17" s="17">
        <f t="shared" si="9"/>
        <v>12</v>
      </c>
      <c r="Z17" s="17">
        <f t="shared" si="9"/>
        <v>14</v>
      </c>
      <c r="AA17" s="17">
        <f t="shared" si="9"/>
        <v>3</v>
      </c>
      <c r="AB17" s="17">
        <f t="shared" si="9"/>
        <v>0</v>
      </c>
      <c r="AC17" s="17">
        <f t="shared" si="9"/>
        <v>965</v>
      </c>
      <c r="AD17" s="17">
        <f t="shared" si="9"/>
        <v>0</v>
      </c>
      <c r="AE17" s="31">
        <f t="shared" si="9"/>
        <v>834</v>
      </c>
      <c r="AF17" s="31">
        <f t="shared" si="9"/>
        <v>1799</v>
      </c>
    </row>
    <row r="18" spans="2:32" ht="23.1" customHeight="1" x14ac:dyDescent="0.25">
      <c r="B18" s="23" t="s">
        <v>45</v>
      </c>
      <c r="C18" s="50">
        <v>57</v>
      </c>
      <c r="D18" s="50">
        <v>9</v>
      </c>
      <c r="E18" s="50">
        <v>22</v>
      </c>
      <c r="F18" s="50">
        <v>78</v>
      </c>
      <c r="G18" s="50">
        <v>1</v>
      </c>
      <c r="H18" s="50">
        <v>1</v>
      </c>
      <c r="I18" s="50">
        <v>1</v>
      </c>
      <c r="J18" s="50">
        <v>2</v>
      </c>
      <c r="K18" s="50">
        <v>0</v>
      </c>
      <c r="L18" s="50">
        <v>0</v>
      </c>
      <c r="M18" s="50">
        <v>215</v>
      </c>
      <c r="N18" s="50">
        <v>0</v>
      </c>
      <c r="O18" s="15">
        <f t="shared" si="0"/>
        <v>171</v>
      </c>
      <c r="P18" s="15">
        <f t="shared" si="1"/>
        <v>386</v>
      </c>
      <c r="R18" s="1" t="s">
        <v>14</v>
      </c>
      <c r="S18" s="17">
        <f t="shared" ref="S18:AF18" si="10">SUM(C42:C45)</f>
        <v>371</v>
      </c>
      <c r="T18" s="17">
        <f t="shared" si="10"/>
        <v>55</v>
      </c>
      <c r="U18" s="17">
        <f t="shared" si="10"/>
        <v>43</v>
      </c>
      <c r="V18" s="17">
        <f t="shared" si="10"/>
        <v>190</v>
      </c>
      <c r="W18" s="17">
        <f t="shared" si="10"/>
        <v>2</v>
      </c>
      <c r="X18" s="17">
        <f t="shared" si="10"/>
        <v>0</v>
      </c>
      <c r="Y18" s="17">
        <f t="shared" si="10"/>
        <v>11</v>
      </c>
      <c r="Z18" s="17">
        <f t="shared" si="10"/>
        <v>17</v>
      </c>
      <c r="AA18" s="17">
        <f t="shared" si="10"/>
        <v>7</v>
      </c>
      <c r="AB18" s="17">
        <f t="shared" si="10"/>
        <v>0</v>
      </c>
      <c r="AC18" s="17">
        <f t="shared" si="10"/>
        <v>963</v>
      </c>
      <c r="AD18" s="17">
        <f t="shared" si="10"/>
        <v>0</v>
      </c>
      <c r="AE18" s="31">
        <f t="shared" si="10"/>
        <v>696</v>
      </c>
      <c r="AF18" s="31">
        <f t="shared" si="10"/>
        <v>1659</v>
      </c>
    </row>
    <row r="19" spans="2:32" ht="23.1" customHeight="1" x14ac:dyDescent="0.25">
      <c r="B19" s="23" t="s">
        <v>46</v>
      </c>
      <c r="C19" s="50">
        <v>34</v>
      </c>
      <c r="D19" s="50">
        <v>12</v>
      </c>
      <c r="E19" s="50">
        <v>12</v>
      </c>
      <c r="F19" s="50">
        <v>56</v>
      </c>
      <c r="G19" s="50">
        <v>0</v>
      </c>
      <c r="H19" s="50">
        <v>0</v>
      </c>
      <c r="I19" s="50">
        <v>3</v>
      </c>
      <c r="J19" s="50">
        <v>4</v>
      </c>
      <c r="K19" s="50">
        <v>0</v>
      </c>
      <c r="L19" s="50">
        <v>1</v>
      </c>
      <c r="M19" s="50">
        <v>260</v>
      </c>
      <c r="N19" s="50">
        <v>0</v>
      </c>
      <c r="O19" s="15">
        <f t="shared" si="0"/>
        <v>122</v>
      </c>
      <c r="P19" s="15">
        <f t="shared" si="1"/>
        <v>382</v>
      </c>
      <c r="R19" s="1" t="s">
        <v>15</v>
      </c>
      <c r="S19" s="17">
        <f t="shared" ref="S19:AF19" si="11">SUM(C46:C49)</f>
        <v>270</v>
      </c>
      <c r="T19" s="17">
        <f t="shared" si="11"/>
        <v>68</v>
      </c>
      <c r="U19" s="17">
        <f t="shared" si="11"/>
        <v>38</v>
      </c>
      <c r="V19" s="17">
        <f t="shared" si="11"/>
        <v>182</v>
      </c>
      <c r="W19" s="17">
        <f t="shared" si="11"/>
        <v>6</v>
      </c>
      <c r="X19" s="17">
        <f t="shared" si="11"/>
        <v>4</v>
      </c>
      <c r="Y19" s="17">
        <f t="shared" si="11"/>
        <v>13</v>
      </c>
      <c r="Z19" s="17">
        <f t="shared" si="11"/>
        <v>8</v>
      </c>
      <c r="AA19" s="17">
        <f t="shared" si="11"/>
        <v>2</v>
      </c>
      <c r="AB19" s="17">
        <f t="shared" si="11"/>
        <v>1</v>
      </c>
      <c r="AC19" s="17">
        <f t="shared" si="11"/>
        <v>1015</v>
      </c>
      <c r="AD19" s="17">
        <f t="shared" si="11"/>
        <v>0</v>
      </c>
      <c r="AE19" s="31">
        <f t="shared" si="11"/>
        <v>592</v>
      </c>
      <c r="AF19" s="31">
        <f t="shared" si="11"/>
        <v>1607</v>
      </c>
    </row>
    <row r="20" spans="2:32" ht="23.1" customHeight="1" x14ac:dyDescent="0.25">
      <c r="B20" s="23" t="s">
        <v>47</v>
      </c>
      <c r="C20" s="50">
        <v>58</v>
      </c>
      <c r="D20" s="50">
        <v>11</v>
      </c>
      <c r="E20" s="50">
        <v>10</v>
      </c>
      <c r="F20" s="50">
        <v>58</v>
      </c>
      <c r="G20" s="50">
        <v>1</v>
      </c>
      <c r="H20" s="50">
        <v>0</v>
      </c>
      <c r="I20" s="50">
        <v>2</v>
      </c>
      <c r="J20" s="50">
        <v>3</v>
      </c>
      <c r="K20" s="50">
        <v>3</v>
      </c>
      <c r="L20" s="50">
        <v>1</v>
      </c>
      <c r="M20" s="50">
        <v>220</v>
      </c>
      <c r="N20" s="50">
        <v>0</v>
      </c>
      <c r="O20" s="15">
        <f t="shared" si="0"/>
        <v>147</v>
      </c>
      <c r="P20" s="15">
        <f t="shared" si="1"/>
        <v>367</v>
      </c>
      <c r="R20" s="1" t="s">
        <v>16</v>
      </c>
      <c r="S20" s="17">
        <f t="shared" ref="S20:AF20" si="12">SUM(C50:C53)</f>
        <v>334</v>
      </c>
      <c r="T20" s="17">
        <f t="shared" si="12"/>
        <v>65</v>
      </c>
      <c r="U20" s="17">
        <f t="shared" si="12"/>
        <v>42</v>
      </c>
      <c r="V20" s="17">
        <f t="shared" si="12"/>
        <v>208</v>
      </c>
      <c r="W20" s="17">
        <f t="shared" si="12"/>
        <v>5</v>
      </c>
      <c r="X20" s="17">
        <f t="shared" si="12"/>
        <v>2</v>
      </c>
      <c r="Y20" s="17">
        <f t="shared" si="12"/>
        <v>15</v>
      </c>
      <c r="Z20" s="17">
        <f t="shared" si="12"/>
        <v>6</v>
      </c>
      <c r="AA20" s="17">
        <f t="shared" si="12"/>
        <v>7</v>
      </c>
      <c r="AB20" s="17">
        <f t="shared" si="12"/>
        <v>1</v>
      </c>
      <c r="AC20" s="17">
        <f t="shared" si="12"/>
        <v>818</v>
      </c>
      <c r="AD20" s="17">
        <f t="shared" si="12"/>
        <v>0</v>
      </c>
      <c r="AE20" s="31">
        <f t="shared" si="12"/>
        <v>685</v>
      </c>
      <c r="AF20" s="31">
        <f t="shared" si="12"/>
        <v>1503</v>
      </c>
    </row>
    <row r="21" spans="2:32" ht="23.1" customHeight="1" x14ac:dyDescent="0.25">
      <c r="B21" s="23" t="s">
        <v>48</v>
      </c>
      <c r="C21" s="50">
        <v>55</v>
      </c>
      <c r="D21" s="50">
        <v>16</v>
      </c>
      <c r="E21" s="50">
        <v>15</v>
      </c>
      <c r="F21" s="50">
        <v>48</v>
      </c>
      <c r="G21" s="50">
        <v>3</v>
      </c>
      <c r="H21" s="50">
        <v>1</v>
      </c>
      <c r="I21" s="50">
        <v>3</v>
      </c>
      <c r="J21" s="50">
        <v>1</v>
      </c>
      <c r="K21" s="50">
        <v>2</v>
      </c>
      <c r="L21" s="50">
        <v>0</v>
      </c>
      <c r="M21" s="50">
        <v>225</v>
      </c>
      <c r="N21" s="50">
        <v>0</v>
      </c>
      <c r="O21" s="15">
        <f t="shared" si="0"/>
        <v>144</v>
      </c>
      <c r="P21" s="15">
        <f t="shared" si="1"/>
        <v>369</v>
      </c>
      <c r="R21" s="36" t="s">
        <v>20</v>
      </c>
      <c r="S21" s="34">
        <f t="shared" ref="S21:AF21" si="13">SUM(C54:C57)</f>
        <v>299</v>
      </c>
      <c r="T21" s="17">
        <f t="shared" si="13"/>
        <v>71</v>
      </c>
      <c r="U21" s="17">
        <f t="shared" si="13"/>
        <v>31</v>
      </c>
      <c r="V21" s="17">
        <f t="shared" si="13"/>
        <v>180</v>
      </c>
      <c r="W21" s="17">
        <f t="shared" si="13"/>
        <v>4</v>
      </c>
      <c r="X21" s="17">
        <f t="shared" si="13"/>
        <v>4</v>
      </c>
      <c r="Y21" s="17">
        <f t="shared" si="13"/>
        <v>29</v>
      </c>
      <c r="Z21" s="17">
        <f t="shared" si="13"/>
        <v>12</v>
      </c>
      <c r="AA21" s="17">
        <f t="shared" si="13"/>
        <v>1</v>
      </c>
      <c r="AB21" s="17">
        <f t="shared" si="13"/>
        <v>0</v>
      </c>
      <c r="AC21" s="17">
        <f t="shared" si="13"/>
        <v>847</v>
      </c>
      <c r="AD21" s="17">
        <f t="shared" si="13"/>
        <v>0</v>
      </c>
      <c r="AE21" s="31">
        <f t="shared" si="13"/>
        <v>631</v>
      </c>
      <c r="AF21" s="31">
        <f t="shared" si="13"/>
        <v>1478</v>
      </c>
    </row>
    <row r="22" spans="2:32" ht="23.1" customHeight="1" x14ac:dyDescent="0.25">
      <c r="B22" s="23" t="s">
        <v>49</v>
      </c>
      <c r="C22" s="50">
        <v>65</v>
      </c>
      <c r="D22" s="50">
        <v>11</v>
      </c>
      <c r="E22" s="50">
        <v>9</v>
      </c>
      <c r="F22" s="50">
        <v>41</v>
      </c>
      <c r="G22" s="50">
        <v>1</v>
      </c>
      <c r="H22" s="50">
        <v>0</v>
      </c>
      <c r="I22" s="50">
        <v>4</v>
      </c>
      <c r="J22" s="50">
        <v>3</v>
      </c>
      <c r="K22" s="50">
        <v>2</v>
      </c>
      <c r="L22" s="50">
        <v>0</v>
      </c>
      <c r="M22" s="50">
        <v>238</v>
      </c>
      <c r="N22" s="50">
        <v>0</v>
      </c>
      <c r="O22" s="15">
        <f t="shared" si="0"/>
        <v>136</v>
      </c>
      <c r="P22" s="15">
        <f t="shared" si="1"/>
        <v>374</v>
      </c>
      <c r="R22" s="38" t="s">
        <v>90</v>
      </c>
      <c r="S22" s="39">
        <f>MAX(S10:S12)</f>
        <v>204</v>
      </c>
      <c r="T22" s="39">
        <f t="shared" ref="T22:AF22" si="14">MAX(T10:T12)</f>
        <v>77</v>
      </c>
      <c r="U22" s="39">
        <f t="shared" si="14"/>
        <v>59</v>
      </c>
      <c r="V22" s="39">
        <f t="shared" si="14"/>
        <v>268</v>
      </c>
      <c r="W22" s="39">
        <f t="shared" si="14"/>
        <v>8</v>
      </c>
      <c r="X22" s="39">
        <f t="shared" si="14"/>
        <v>5</v>
      </c>
      <c r="Y22" s="39">
        <f t="shared" si="14"/>
        <v>18</v>
      </c>
      <c r="Z22" s="39">
        <f t="shared" si="14"/>
        <v>13</v>
      </c>
      <c r="AA22" s="39">
        <f t="shared" si="14"/>
        <v>8</v>
      </c>
      <c r="AB22" s="39">
        <f t="shared" si="14"/>
        <v>4</v>
      </c>
      <c r="AC22" s="39">
        <f t="shared" si="14"/>
        <v>924</v>
      </c>
      <c r="AD22" s="39">
        <f t="shared" si="14"/>
        <v>0</v>
      </c>
      <c r="AE22" s="40">
        <f t="shared" si="14"/>
        <v>616</v>
      </c>
      <c r="AF22" s="40">
        <f t="shared" si="14"/>
        <v>1504</v>
      </c>
    </row>
    <row r="23" spans="2:32" ht="23.1" customHeight="1" x14ac:dyDescent="0.25">
      <c r="B23" s="23" t="s">
        <v>50</v>
      </c>
      <c r="C23" s="50">
        <v>75</v>
      </c>
      <c r="D23" s="50">
        <v>21</v>
      </c>
      <c r="E23" s="50">
        <v>18</v>
      </c>
      <c r="F23" s="50">
        <v>45</v>
      </c>
      <c r="G23" s="50">
        <v>2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205</v>
      </c>
      <c r="N23" s="50">
        <v>0</v>
      </c>
      <c r="O23" s="15">
        <f t="shared" si="0"/>
        <v>163</v>
      </c>
      <c r="P23" s="15">
        <f t="shared" si="1"/>
        <v>368</v>
      </c>
      <c r="R23" s="38" t="s">
        <v>91</v>
      </c>
      <c r="S23" s="39">
        <f>MAX(S13:S18)</f>
        <v>497</v>
      </c>
      <c r="T23" s="39">
        <f t="shared" ref="T23:AF23" si="15">MAX(T13:T18)</f>
        <v>87</v>
      </c>
      <c r="U23" s="39">
        <f t="shared" si="15"/>
        <v>55</v>
      </c>
      <c r="V23" s="39">
        <f t="shared" si="15"/>
        <v>253</v>
      </c>
      <c r="W23" s="39">
        <f t="shared" si="15"/>
        <v>8</v>
      </c>
      <c r="X23" s="39">
        <f t="shared" si="15"/>
        <v>3</v>
      </c>
      <c r="Y23" s="39">
        <f t="shared" si="15"/>
        <v>20</v>
      </c>
      <c r="Z23" s="39">
        <f t="shared" si="15"/>
        <v>17</v>
      </c>
      <c r="AA23" s="39">
        <f t="shared" si="15"/>
        <v>7</v>
      </c>
      <c r="AB23" s="39">
        <f t="shared" si="15"/>
        <v>1</v>
      </c>
      <c r="AC23" s="39">
        <f t="shared" si="15"/>
        <v>999</v>
      </c>
      <c r="AD23" s="39">
        <f t="shared" si="15"/>
        <v>0</v>
      </c>
      <c r="AE23" s="40">
        <f t="shared" si="15"/>
        <v>931</v>
      </c>
      <c r="AF23" s="40">
        <f t="shared" si="15"/>
        <v>1930</v>
      </c>
    </row>
    <row r="24" spans="2:32" ht="23.1" customHeight="1" x14ac:dyDescent="0.25">
      <c r="B24" s="23" t="s">
        <v>51</v>
      </c>
      <c r="C24" s="50">
        <v>67</v>
      </c>
      <c r="D24" s="50">
        <v>15</v>
      </c>
      <c r="E24" s="50">
        <v>6</v>
      </c>
      <c r="F24" s="50">
        <v>49</v>
      </c>
      <c r="G24" s="50">
        <v>2</v>
      </c>
      <c r="H24" s="50">
        <v>0</v>
      </c>
      <c r="I24" s="50">
        <v>2</v>
      </c>
      <c r="J24" s="50">
        <v>3</v>
      </c>
      <c r="K24" s="50">
        <v>0</v>
      </c>
      <c r="L24" s="50">
        <v>0</v>
      </c>
      <c r="M24" s="50">
        <v>230</v>
      </c>
      <c r="N24" s="50">
        <v>0</v>
      </c>
      <c r="O24" s="15">
        <f t="shared" si="0"/>
        <v>144</v>
      </c>
      <c r="P24" s="15">
        <f t="shared" si="1"/>
        <v>374</v>
      </c>
      <c r="R24" s="38" t="s">
        <v>92</v>
      </c>
      <c r="S24" s="39">
        <f>MAX(S19:S21)</f>
        <v>334</v>
      </c>
      <c r="T24" s="39">
        <f t="shared" ref="T24:AF24" si="16">MAX(T19:T21)</f>
        <v>71</v>
      </c>
      <c r="U24" s="39">
        <f t="shared" si="16"/>
        <v>42</v>
      </c>
      <c r="V24" s="39">
        <f t="shared" si="16"/>
        <v>208</v>
      </c>
      <c r="W24" s="39">
        <f t="shared" si="16"/>
        <v>6</v>
      </c>
      <c r="X24" s="39">
        <f t="shared" si="16"/>
        <v>4</v>
      </c>
      <c r="Y24" s="39">
        <f t="shared" si="16"/>
        <v>29</v>
      </c>
      <c r="Z24" s="39">
        <f t="shared" si="16"/>
        <v>12</v>
      </c>
      <c r="AA24" s="39">
        <f t="shared" si="16"/>
        <v>7</v>
      </c>
      <c r="AB24" s="39">
        <f t="shared" si="16"/>
        <v>1</v>
      </c>
      <c r="AC24" s="39">
        <f t="shared" si="16"/>
        <v>1015</v>
      </c>
      <c r="AD24" s="39">
        <f t="shared" si="16"/>
        <v>0</v>
      </c>
      <c r="AE24" s="40">
        <f t="shared" si="16"/>
        <v>685</v>
      </c>
      <c r="AF24" s="40">
        <f t="shared" si="16"/>
        <v>1607</v>
      </c>
    </row>
    <row r="25" spans="2:32" ht="23.1" customHeight="1" x14ac:dyDescent="0.25">
      <c r="B25" s="23" t="s">
        <v>52</v>
      </c>
      <c r="C25" s="50">
        <v>73</v>
      </c>
      <c r="D25" s="50">
        <v>14</v>
      </c>
      <c r="E25" s="50">
        <v>12</v>
      </c>
      <c r="F25" s="50">
        <v>58</v>
      </c>
      <c r="G25" s="50">
        <v>3</v>
      </c>
      <c r="H25" s="50">
        <v>1</v>
      </c>
      <c r="I25" s="50">
        <v>6</v>
      </c>
      <c r="J25" s="50">
        <v>1</v>
      </c>
      <c r="K25" s="50">
        <v>0</v>
      </c>
      <c r="L25" s="50">
        <v>1</v>
      </c>
      <c r="M25" s="50">
        <v>150</v>
      </c>
      <c r="N25" s="50">
        <v>0</v>
      </c>
      <c r="O25" s="15">
        <f t="shared" si="0"/>
        <v>169</v>
      </c>
      <c r="P25" s="15">
        <f t="shared" si="1"/>
        <v>319</v>
      </c>
      <c r="R25" s="37" t="s">
        <v>85</v>
      </c>
      <c r="S25" s="35">
        <f t="shared" ref="S25:AF25" si="17">SUM(S10:S12)</f>
        <v>518</v>
      </c>
      <c r="T25" s="16">
        <f t="shared" si="17"/>
        <v>180</v>
      </c>
      <c r="U25" s="16">
        <f t="shared" si="17"/>
        <v>163</v>
      </c>
      <c r="V25" s="16">
        <f t="shared" si="17"/>
        <v>717</v>
      </c>
      <c r="W25" s="16">
        <f t="shared" si="17"/>
        <v>18</v>
      </c>
      <c r="X25" s="16">
        <f t="shared" si="17"/>
        <v>12</v>
      </c>
      <c r="Y25" s="16">
        <f t="shared" si="17"/>
        <v>41</v>
      </c>
      <c r="Z25" s="16">
        <f t="shared" si="17"/>
        <v>33</v>
      </c>
      <c r="AA25" s="16">
        <f t="shared" si="17"/>
        <v>20</v>
      </c>
      <c r="AB25" s="16">
        <f t="shared" si="17"/>
        <v>6</v>
      </c>
      <c r="AC25" s="16">
        <f t="shared" si="17"/>
        <v>2524</v>
      </c>
      <c r="AD25" s="16">
        <f t="shared" si="17"/>
        <v>0</v>
      </c>
      <c r="AE25" s="32">
        <f t="shared" si="17"/>
        <v>1708</v>
      </c>
      <c r="AF25" s="32">
        <f t="shared" si="17"/>
        <v>4232</v>
      </c>
    </row>
    <row r="26" spans="2:32" ht="23.1" customHeight="1" x14ac:dyDescent="0.25">
      <c r="B26" s="23" t="s">
        <v>53</v>
      </c>
      <c r="C26" s="50">
        <v>69</v>
      </c>
      <c r="D26" s="50">
        <v>12</v>
      </c>
      <c r="E26" s="50">
        <v>13</v>
      </c>
      <c r="F26" s="50">
        <v>53</v>
      </c>
      <c r="G26" s="50">
        <v>0</v>
      </c>
      <c r="H26" s="50">
        <v>0</v>
      </c>
      <c r="I26" s="50">
        <v>0</v>
      </c>
      <c r="J26" s="50">
        <v>4</v>
      </c>
      <c r="K26" s="50">
        <v>0</v>
      </c>
      <c r="L26" s="50">
        <v>0</v>
      </c>
      <c r="M26" s="50">
        <v>165</v>
      </c>
      <c r="N26" s="50">
        <v>0</v>
      </c>
      <c r="O26" s="15">
        <f t="shared" si="0"/>
        <v>151</v>
      </c>
      <c r="P26" s="15">
        <f t="shared" si="1"/>
        <v>316</v>
      </c>
      <c r="R26" s="28" t="s">
        <v>86</v>
      </c>
      <c r="S26" s="16">
        <f t="shared" ref="S26:AF26" si="18">SUM(S13:S18)</f>
        <v>2258</v>
      </c>
      <c r="T26" s="16">
        <f t="shared" si="18"/>
        <v>387</v>
      </c>
      <c r="U26" s="16">
        <f t="shared" si="18"/>
        <v>278</v>
      </c>
      <c r="V26" s="16">
        <f t="shared" si="18"/>
        <v>1217</v>
      </c>
      <c r="W26" s="16">
        <f t="shared" si="18"/>
        <v>16</v>
      </c>
      <c r="X26" s="16">
        <f t="shared" si="18"/>
        <v>7</v>
      </c>
      <c r="Y26" s="16">
        <f t="shared" si="18"/>
        <v>75</v>
      </c>
      <c r="Z26" s="16">
        <f t="shared" si="18"/>
        <v>68</v>
      </c>
      <c r="AA26" s="16">
        <f t="shared" si="18"/>
        <v>21</v>
      </c>
      <c r="AB26" s="16">
        <f t="shared" si="18"/>
        <v>1</v>
      </c>
      <c r="AC26" s="16">
        <f t="shared" si="18"/>
        <v>5480</v>
      </c>
      <c r="AD26" s="16">
        <f t="shared" si="18"/>
        <v>0</v>
      </c>
      <c r="AE26" s="32">
        <f t="shared" si="18"/>
        <v>4328</v>
      </c>
      <c r="AF26" s="32">
        <f t="shared" si="18"/>
        <v>9808</v>
      </c>
    </row>
    <row r="27" spans="2:32" ht="23.1" customHeight="1" x14ac:dyDescent="0.25">
      <c r="B27" s="23" t="s">
        <v>54</v>
      </c>
      <c r="C27" s="50">
        <v>55</v>
      </c>
      <c r="D27" s="50">
        <v>10</v>
      </c>
      <c r="E27" s="50">
        <v>11</v>
      </c>
      <c r="F27" s="50">
        <v>51</v>
      </c>
      <c r="G27" s="50">
        <v>0</v>
      </c>
      <c r="H27" s="50">
        <v>0</v>
      </c>
      <c r="I27" s="50">
        <v>2</v>
      </c>
      <c r="J27" s="50">
        <v>2</v>
      </c>
      <c r="K27" s="50">
        <v>0</v>
      </c>
      <c r="L27" s="50">
        <v>0</v>
      </c>
      <c r="M27" s="50">
        <v>160</v>
      </c>
      <c r="N27" s="50">
        <v>0</v>
      </c>
      <c r="O27" s="15">
        <f t="shared" si="0"/>
        <v>131</v>
      </c>
      <c r="P27" s="15">
        <f t="shared" si="1"/>
        <v>291</v>
      </c>
      <c r="R27" s="29" t="s">
        <v>87</v>
      </c>
      <c r="S27" s="16">
        <f t="shared" ref="S27:AF27" si="19">SUM(S19:S21)</f>
        <v>903</v>
      </c>
      <c r="T27" s="16">
        <f t="shared" si="19"/>
        <v>204</v>
      </c>
      <c r="U27" s="16">
        <f t="shared" si="19"/>
        <v>111</v>
      </c>
      <c r="V27" s="16">
        <f t="shared" si="19"/>
        <v>570</v>
      </c>
      <c r="W27" s="16">
        <f t="shared" si="19"/>
        <v>15</v>
      </c>
      <c r="X27" s="16">
        <f t="shared" si="19"/>
        <v>10</v>
      </c>
      <c r="Y27" s="16">
        <f t="shared" si="19"/>
        <v>57</v>
      </c>
      <c r="Z27" s="16">
        <f t="shared" si="19"/>
        <v>26</v>
      </c>
      <c r="AA27" s="16">
        <f t="shared" si="19"/>
        <v>10</v>
      </c>
      <c r="AB27" s="16">
        <f t="shared" si="19"/>
        <v>2</v>
      </c>
      <c r="AC27" s="16">
        <f t="shared" si="19"/>
        <v>2680</v>
      </c>
      <c r="AD27" s="16">
        <f t="shared" si="19"/>
        <v>0</v>
      </c>
      <c r="AE27" s="32">
        <f t="shared" si="19"/>
        <v>1908</v>
      </c>
      <c r="AF27" s="32">
        <f t="shared" si="19"/>
        <v>4588</v>
      </c>
    </row>
    <row r="28" spans="2:32" ht="23.1" customHeight="1" x14ac:dyDescent="0.25">
      <c r="B28" s="23" t="s">
        <v>55</v>
      </c>
      <c r="C28" s="50">
        <v>14</v>
      </c>
      <c r="D28" s="50">
        <v>5</v>
      </c>
      <c r="E28" s="50">
        <v>5</v>
      </c>
      <c r="F28" s="50">
        <v>30</v>
      </c>
      <c r="G28" s="50">
        <v>1</v>
      </c>
      <c r="H28" s="50">
        <v>0</v>
      </c>
      <c r="I28" s="50">
        <v>2</v>
      </c>
      <c r="J28" s="50">
        <v>3</v>
      </c>
      <c r="K28" s="50">
        <v>1</v>
      </c>
      <c r="L28" s="50">
        <v>0</v>
      </c>
      <c r="M28" s="50">
        <v>200</v>
      </c>
      <c r="N28" s="50">
        <v>0</v>
      </c>
      <c r="O28" s="15">
        <f t="shared" si="0"/>
        <v>61</v>
      </c>
      <c r="P28" s="15">
        <f t="shared" si="1"/>
        <v>261</v>
      </c>
      <c r="R28" s="5" t="s">
        <v>17</v>
      </c>
      <c r="S28" s="16">
        <f t="shared" ref="S28:AF28" si="20">SUM(S10:S21)</f>
        <v>3679</v>
      </c>
      <c r="T28" s="16">
        <f t="shared" si="20"/>
        <v>771</v>
      </c>
      <c r="U28" s="16">
        <f t="shared" si="20"/>
        <v>552</v>
      </c>
      <c r="V28" s="16">
        <f t="shared" si="20"/>
        <v>2504</v>
      </c>
      <c r="W28" s="16">
        <f t="shared" si="20"/>
        <v>49</v>
      </c>
      <c r="X28" s="16">
        <f t="shared" si="20"/>
        <v>29</v>
      </c>
      <c r="Y28" s="16">
        <f t="shared" si="20"/>
        <v>173</v>
      </c>
      <c r="Z28" s="16">
        <f t="shared" si="20"/>
        <v>127</v>
      </c>
      <c r="AA28" s="16">
        <f t="shared" si="20"/>
        <v>51</v>
      </c>
      <c r="AB28" s="16">
        <f t="shared" si="20"/>
        <v>9</v>
      </c>
      <c r="AC28" s="16">
        <f t="shared" si="20"/>
        <v>10684</v>
      </c>
      <c r="AD28" s="16">
        <f t="shared" si="20"/>
        <v>0</v>
      </c>
      <c r="AE28" s="32">
        <f t="shared" si="20"/>
        <v>7944</v>
      </c>
      <c r="AF28" s="32">
        <f t="shared" si="20"/>
        <v>18628</v>
      </c>
    </row>
    <row r="29" spans="2:32" ht="23.1" customHeight="1" x14ac:dyDescent="0.25">
      <c r="B29" s="23" t="s">
        <v>56</v>
      </c>
      <c r="C29" s="50">
        <v>60</v>
      </c>
      <c r="D29" s="50">
        <v>6</v>
      </c>
      <c r="E29" s="50">
        <v>13</v>
      </c>
      <c r="F29" s="50">
        <v>27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220</v>
      </c>
      <c r="N29" s="50">
        <v>0</v>
      </c>
      <c r="O29" s="15">
        <f t="shared" si="0"/>
        <v>109</v>
      </c>
      <c r="P29" s="15">
        <f t="shared" si="1"/>
        <v>329</v>
      </c>
      <c r="R29"/>
      <c r="S29" s="20"/>
      <c r="T29" s="19"/>
    </row>
    <row r="30" spans="2:32" ht="23.1" customHeight="1" x14ac:dyDescent="0.25">
      <c r="B30" s="23" t="s">
        <v>57</v>
      </c>
      <c r="C30" s="50">
        <v>104</v>
      </c>
      <c r="D30" s="50">
        <v>17</v>
      </c>
      <c r="E30" s="50">
        <v>6</v>
      </c>
      <c r="F30" s="50">
        <v>53</v>
      </c>
      <c r="G30" s="50">
        <v>1</v>
      </c>
      <c r="H30" s="50">
        <v>0</v>
      </c>
      <c r="I30" s="50">
        <v>4</v>
      </c>
      <c r="J30" s="50">
        <v>3</v>
      </c>
      <c r="K30" s="50">
        <v>1</v>
      </c>
      <c r="L30" s="50">
        <v>0</v>
      </c>
      <c r="M30" s="50">
        <v>195</v>
      </c>
      <c r="N30" s="50">
        <v>0</v>
      </c>
      <c r="O30" s="15">
        <f t="shared" si="0"/>
        <v>189</v>
      </c>
      <c r="P30" s="15">
        <f t="shared" si="1"/>
        <v>384</v>
      </c>
    </row>
    <row r="31" spans="2:32" ht="23.1" customHeight="1" x14ac:dyDescent="0.25">
      <c r="B31" s="24" t="s">
        <v>58</v>
      </c>
      <c r="C31" s="50">
        <v>85</v>
      </c>
      <c r="D31" s="50">
        <v>13</v>
      </c>
      <c r="E31" s="50">
        <v>10</v>
      </c>
      <c r="F31" s="50">
        <v>75</v>
      </c>
      <c r="G31" s="50">
        <v>1</v>
      </c>
      <c r="H31" s="50">
        <v>0</v>
      </c>
      <c r="I31" s="50">
        <v>3</v>
      </c>
      <c r="J31" s="50">
        <v>2</v>
      </c>
      <c r="K31" s="50">
        <v>1</v>
      </c>
      <c r="L31" s="50">
        <v>0</v>
      </c>
      <c r="M31" s="50">
        <v>300</v>
      </c>
      <c r="N31" s="50">
        <v>0</v>
      </c>
      <c r="O31" s="15">
        <f t="shared" si="0"/>
        <v>190</v>
      </c>
      <c r="P31" s="15">
        <f t="shared" si="1"/>
        <v>490</v>
      </c>
    </row>
    <row r="32" spans="2:32" ht="23.1" customHeight="1" x14ac:dyDescent="0.25">
      <c r="B32" s="24" t="s">
        <v>59</v>
      </c>
      <c r="C32" s="50">
        <v>105</v>
      </c>
      <c r="D32" s="50">
        <v>18</v>
      </c>
      <c r="E32" s="50">
        <v>19</v>
      </c>
      <c r="F32" s="50">
        <v>42</v>
      </c>
      <c r="G32" s="50">
        <v>1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255</v>
      </c>
      <c r="N32" s="50">
        <v>0</v>
      </c>
      <c r="O32" s="15">
        <f t="shared" si="0"/>
        <v>189</v>
      </c>
      <c r="P32" s="15">
        <f t="shared" si="1"/>
        <v>444</v>
      </c>
    </row>
    <row r="33" spans="2:20" ht="23.1" customHeight="1" x14ac:dyDescent="0.25">
      <c r="B33" s="23" t="s">
        <v>60</v>
      </c>
      <c r="C33" s="50">
        <v>140</v>
      </c>
      <c r="D33" s="50">
        <v>29</v>
      </c>
      <c r="E33" s="50">
        <v>12</v>
      </c>
      <c r="F33" s="50">
        <v>47</v>
      </c>
      <c r="G33" s="50">
        <v>0</v>
      </c>
      <c r="H33" s="50">
        <v>1</v>
      </c>
      <c r="I33" s="50">
        <v>3</v>
      </c>
      <c r="J33" s="50">
        <v>2</v>
      </c>
      <c r="K33" s="50">
        <v>1</v>
      </c>
      <c r="L33" s="50">
        <v>0</v>
      </c>
      <c r="M33" s="50">
        <v>235</v>
      </c>
      <c r="N33" s="50">
        <v>0</v>
      </c>
      <c r="O33" s="15">
        <f t="shared" si="0"/>
        <v>235</v>
      </c>
      <c r="P33" s="15">
        <f t="shared" si="1"/>
        <v>470</v>
      </c>
    </row>
    <row r="34" spans="2:20" ht="23.1" customHeight="1" x14ac:dyDescent="0.25">
      <c r="B34" s="24" t="s">
        <v>61</v>
      </c>
      <c r="C34" s="50">
        <v>122</v>
      </c>
      <c r="D34" s="50">
        <v>22</v>
      </c>
      <c r="E34" s="50">
        <v>18</v>
      </c>
      <c r="F34" s="50">
        <v>71</v>
      </c>
      <c r="G34" s="50">
        <v>1</v>
      </c>
      <c r="H34" s="50">
        <v>1</v>
      </c>
      <c r="I34" s="50">
        <v>3</v>
      </c>
      <c r="J34" s="50">
        <v>1</v>
      </c>
      <c r="K34" s="50">
        <v>1</v>
      </c>
      <c r="L34" s="50">
        <v>0</v>
      </c>
      <c r="M34" s="50">
        <v>229</v>
      </c>
      <c r="N34" s="50">
        <v>0</v>
      </c>
      <c r="O34" s="15">
        <f t="shared" si="0"/>
        <v>240</v>
      </c>
      <c r="P34" s="15">
        <f t="shared" si="1"/>
        <v>469</v>
      </c>
    </row>
    <row r="35" spans="2:20" ht="23.1" customHeight="1" x14ac:dyDescent="0.25">
      <c r="B35" s="24" t="s">
        <v>62</v>
      </c>
      <c r="C35" s="50">
        <v>85</v>
      </c>
      <c r="D35" s="50">
        <v>16</v>
      </c>
      <c r="E35" s="50">
        <v>10</v>
      </c>
      <c r="F35" s="50">
        <v>50</v>
      </c>
      <c r="G35" s="50">
        <v>0</v>
      </c>
      <c r="H35" s="50">
        <v>1</v>
      </c>
      <c r="I35" s="50">
        <v>9</v>
      </c>
      <c r="J35" s="50">
        <v>8</v>
      </c>
      <c r="K35" s="50">
        <v>2</v>
      </c>
      <c r="L35" s="50">
        <v>0</v>
      </c>
      <c r="M35" s="50">
        <v>200</v>
      </c>
      <c r="N35" s="50">
        <v>0</v>
      </c>
      <c r="O35" s="15">
        <f t="shared" si="0"/>
        <v>181</v>
      </c>
      <c r="P35" s="15">
        <f t="shared" si="1"/>
        <v>381</v>
      </c>
    </row>
    <row r="36" spans="2:20" ht="23.1" customHeight="1" x14ac:dyDescent="0.25">
      <c r="B36" s="24" t="s">
        <v>63</v>
      </c>
      <c r="C36" s="50">
        <v>133</v>
      </c>
      <c r="D36" s="50">
        <v>9</v>
      </c>
      <c r="E36" s="50">
        <v>17</v>
      </c>
      <c r="F36" s="50">
        <v>62</v>
      </c>
      <c r="G36" s="50">
        <v>0</v>
      </c>
      <c r="H36" s="50">
        <v>0</v>
      </c>
      <c r="I36" s="50">
        <v>5</v>
      </c>
      <c r="J36" s="50">
        <v>1</v>
      </c>
      <c r="K36" s="50">
        <v>1</v>
      </c>
      <c r="L36" s="50">
        <v>0</v>
      </c>
      <c r="M36" s="50">
        <v>280</v>
      </c>
      <c r="N36" s="50">
        <v>0</v>
      </c>
      <c r="O36" s="15">
        <f t="shared" si="0"/>
        <v>228</v>
      </c>
      <c r="P36" s="15">
        <f t="shared" si="1"/>
        <v>508</v>
      </c>
    </row>
    <row r="37" spans="2:20" ht="23.1" customHeight="1" x14ac:dyDescent="0.25">
      <c r="B37" s="23" t="s">
        <v>64</v>
      </c>
      <c r="C37" s="50">
        <v>157</v>
      </c>
      <c r="D37" s="50">
        <v>40</v>
      </c>
      <c r="E37" s="50">
        <v>10</v>
      </c>
      <c r="F37" s="50">
        <v>70</v>
      </c>
      <c r="G37" s="50">
        <v>0</v>
      </c>
      <c r="H37" s="50">
        <v>0</v>
      </c>
      <c r="I37" s="50">
        <v>3</v>
      </c>
      <c r="J37" s="50">
        <v>1</v>
      </c>
      <c r="K37" s="50">
        <v>1</v>
      </c>
      <c r="L37" s="50">
        <v>0</v>
      </c>
      <c r="M37" s="50">
        <v>290</v>
      </c>
      <c r="N37" s="50">
        <v>0</v>
      </c>
      <c r="O37" s="15">
        <f t="shared" si="0"/>
        <v>282</v>
      </c>
      <c r="P37" s="15">
        <f t="shared" si="1"/>
        <v>572</v>
      </c>
    </row>
    <row r="38" spans="2:20" ht="23.1" customHeight="1" x14ac:dyDescent="0.25">
      <c r="B38" s="24" t="s">
        <v>65</v>
      </c>
      <c r="C38" s="50">
        <v>105</v>
      </c>
      <c r="D38" s="50">
        <v>23</v>
      </c>
      <c r="E38" s="50">
        <v>14</v>
      </c>
      <c r="F38" s="50">
        <v>55</v>
      </c>
      <c r="G38" s="50">
        <v>0</v>
      </c>
      <c r="H38" s="50">
        <v>1</v>
      </c>
      <c r="I38" s="50">
        <v>4</v>
      </c>
      <c r="J38" s="50">
        <v>6</v>
      </c>
      <c r="K38" s="50">
        <v>0</v>
      </c>
      <c r="L38" s="50">
        <v>0</v>
      </c>
      <c r="M38" s="50">
        <v>285</v>
      </c>
      <c r="N38" s="50">
        <v>0</v>
      </c>
      <c r="O38" s="15">
        <f t="shared" si="0"/>
        <v>208</v>
      </c>
      <c r="P38" s="15">
        <f t="shared" si="1"/>
        <v>493</v>
      </c>
    </row>
    <row r="39" spans="2:20" ht="23.1" customHeight="1" x14ac:dyDescent="0.25">
      <c r="B39" s="24" t="s">
        <v>66</v>
      </c>
      <c r="C39" s="50">
        <v>144</v>
      </c>
      <c r="D39" s="50">
        <v>20</v>
      </c>
      <c r="E39" s="50">
        <v>9</v>
      </c>
      <c r="F39" s="50">
        <v>55</v>
      </c>
      <c r="G39" s="50">
        <v>0</v>
      </c>
      <c r="H39" s="50">
        <v>2</v>
      </c>
      <c r="I39" s="50">
        <v>3</v>
      </c>
      <c r="J39" s="50">
        <v>3</v>
      </c>
      <c r="K39" s="50">
        <v>0</v>
      </c>
      <c r="L39" s="50">
        <v>0</v>
      </c>
      <c r="M39" s="50">
        <v>235</v>
      </c>
      <c r="N39" s="50">
        <v>0</v>
      </c>
      <c r="O39" s="15">
        <f t="shared" si="0"/>
        <v>236</v>
      </c>
      <c r="P39" s="15">
        <f t="shared" si="1"/>
        <v>471</v>
      </c>
    </row>
    <row r="40" spans="2:20" ht="23.1" customHeight="1" x14ac:dyDescent="0.25">
      <c r="B40" s="24" t="s">
        <v>67</v>
      </c>
      <c r="C40" s="50">
        <v>117</v>
      </c>
      <c r="D40" s="50">
        <v>19</v>
      </c>
      <c r="E40" s="50">
        <v>10</v>
      </c>
      <c r="F40" s="50">
        <v>42</v>
      </c>
      <c r="G40" s="50">
        <v>0</v>
      </c>
      <c r="H40" s="50">
        <v>0</v>
      </c>
      <c r="I40" s="50">
        <v>5</v>
      </c>
      <c r="J40" s="50">
        <v>3</v>
      </c>
      <c r="K40" s="50">
        <v>3</v>
      </c>
      <c r="L40" s="50">
        <v>0</v>
      </c>
      <c r="M40" s="50">
        <v>190</v>
      </c>
      <c r="N40" s="50">
        <v>0</v>
      </c>
      <c r="O40" s="15">
        <f t="shared" si="0"/>
        <v>199</v>
      </c>
      <c r="P40" s="15">
        <f t="shared" si="1"/>
        <v>389</v>
      </c>
    </row>
    <row r="41" spans="2:20" ht="23.1" customHeight="1" x14ac:dyDescent="0.25">
      <c r="B41" s="23" t="s">
        <v>68</v>
      </c>
      <c r="C41" s="50">
        <v>112</v>
      </c>
      <c r="D41" s="50">
        <v>12</v>
      </c>
      <c r="E41" s="50">
        <v>13</v>
      </c>
      <c r="F41" s="50">
        <v>51</v>
      </c>
      <c r="G41" s="50">
        <v>1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255</v>
      </c>
      <c r="N41" s="50">
        <v>0</v>
      </c>
      <c r="O41" s="15">
        <f t="shared" si="0"/>
        <v>191</v>
      </c>
      <c r="P41" s="15">
        <f t="shared" si="1"/>
        <v>446</v>
      </c>
    </row>
    <row r="42" spans="2:20" ht="23.1" customHeight="1" x14ac:dyDescent="0.25">
      <c r="B42" s="24" t="s">
        <v>69</v>
      </c>
      <c r="C42" s="50">
        <v>120</v>
      </c>
      <c r="D42" s="50">
        <v>1</v>
      </c>
      <c r="E42" s="50">
        <v>9</v>
      </c>
      <c r="F42" s="50">
        <v>62</v>
      </c>
      <c r="G42" s="50">
        <v>0</v>
      </c>
      <c r="H42" s="50">
        <v>0</v>
      </c>
      <c r="I42" s="50">
        <v>0</v>
      </c>
      <c r="J42" s="50">
        <v>2</v>
      </c>
      <c r="K42" s="50">
        <v>3</v>
      </c>
      <c r="L42" s="50">
        <v>0</v>
      </c>
      <c r="M42" s="50">
        <v>265</v>
      </c>
      <c r="N42" s="50">
        <v>0</v>
      </c>
      <c r="O42" s="15">
        <f t="shared" si="0"/>
        <v>197</v>
      </c>
      <c r="P42" s="15">
        <f t="shared" si="1"/>
        <v>462</v>
      </c>
    </row>
    <row r="43" spans="2:20" ht="23.1" customHeight="1" x14ac:dyDescent="0.25">
      <c r="B43" s="23" t="s">
        <v>70</v>
      </c>
      <c r="C43" s="50">
        <v>86</v>
      </c>
      <c r="D43" s="50">
        <v>25</v>
      </c>
      <c r="E43" s="50">
        <v>10</v>
      </c>
      <c r="F43" s="50">
        <v>45</v>
      </c>
      <c r="G43" s="50">
        <v>1</v>
      </c>
      <c r="H43" s="50">
        <v>0</v>
      </c>
      <c r="I43" s="50">
        <v>7</v>
      </c>
      <c r="J43" s="50">
        <v>10</v>
      </c>
      <c r="K43" s="50">
        <v>0</v>
      </c>
      <c r="L43" s="50">
        <v>0</v>
      </c>
      <c r="M43" s="50">
        <v>215</v>
      </c>
      <c r="N43" s="50">
        <v>0</v>
      </c>
      <c r="O43" s="15">
        <f t="shared" si="0"/>
        <v>184</v>
      </c>
      <c r="P43" s="15">
        <f t="shared" si="1"/>
        <v>399</v>
      </c>
    </row>
    <row r="44" spans="2:20" ht="23.1" customHeight="1" x14ac:dyDescent="0.25">
      <c r="B44" s="25" t="s">
        <v>71</v>
      </c>
      <c r="C44" s="50">
        <v>78</v>
      </c>
      <c r="D44" s="50">
        <v>18</v>
      </c>
      <c r="E44" s="50">
        <v>13</v>
      </c>
      <c r="F44" s="50">
        <v>49</v>
      </c>
      <c r="G44" s="50">
        <v>0</v>
      </c>
      <c r="H44" s="50">
        <v>0</v>
      </c>
      <c r="I44" s="50">
        <v>2</v>
      </c>
      <c r="J44" s="50">
        <v>5</v>
      </c>
      <c r="K44" s="50">
        <v>2</v>
      </c>
      <c r="L44" s="50">
        <v>0</v>
      </c>
      <c r="M44" s="50">
        <v>238</v>
      </c>
      <c r="N44" s="50">
        <v>0</v>
      </c>
      <c r="O44" s="15">
        <f t="shared" si="0"/>
        <v>167</v>
      </c>
      <c r="P44" s="15">
        <f t="shared" si="1"/>
        <v>405</v>
      </c>
    </row>
    <row r="45" spans="2:20" ht="23.1" customHeight="1" x14ac:dyDescent="0.25">
      <c r="B45" s="23" t="s">
        <v>72</v>
      </c>
      <c r="C45" s="50">
        <v>87</v>
      </c>
      <c r="D45" s="50">
        <v>11</v>
      </c>
      <c r="E45" s="50">
        <v>11</v>
      </c>
      <c r="F45" s="50">
        <v>34</v>
      </c>
      <c r="G45" s="50">
        <v>1</v>
      </c>
      <c r="H45" s="50">
        <v>0</v>
      </c>
      <c r="I45" s="50">
        <v>2</v>
      </c>
      <c r="J45" s="50">
        <v>0</v>
      </c>
      <c r="K45" s="50">
        <v>2</v>
      </c>
      <c r="L45" s="50">
        <v>0</v>
      </c>
      <c r="M45" s="50">
        <v>245</v>
      </c>
      <c r="N45" s="50">
        <v>0</v>
      </c>
      <c r="O45" s="15">
        <f t="shared" si="0"/>
        <v>148</v>
      </c>
      <c r="P45" s="15">
        <f t="shared" si="1"/>
        <v>393</v>
      </c>
    </row>
    <row r="46" spans="2:20" ht="23.1" customHeight="1" x14ac:dyDescent="0.25">
      <c r="B46" s="24" t="s">
        <v>73</v>
      </c>
      <c r="C46" s="50">
        <v>70</v>
      </c>
      <c r="D46" s="50">
        <v>36</v>
      </c>
      <c r="E46" s="50">
        <v>11</v>
      </c>
      <c r="F46" s="50">
        <v>65</v>
      </c>
      <c r="G46" s="50">
        <v>0</v>
      </c>
      <c r="H46" s="50">
        <v>1</v>
      </c>
      <c r="I46" s="50">
        <v>6</v>
      </c>
      <c r="J46" s="50">
        <v>2</v>
      </c>
      <c r="K46" s="50">
        <v>1</v>
      </c>
      <c r="L46" s="50">
        <v>0</v>
      </c>
      <c r="M46" s="50">
        <v>270</v>
      </c>
      <c r="N46" s="50">
        <v>0</v>
      </c>
      <c r="O46" s="15">
        <f t="shared" si="0"/>
        <v>192</v>
      </c>
      <c r="P46" s="15">
        <f t="shared" si="1"/>
        <v>462</v>
      </c>
      <c r="R46" s="8"/>
      <c r="T46"/>
    </row>
    <row r="47" spans="2:20" ht="23.1" customHeight="1" x14ac:dyDescent="0.25">
      <c r="B47" s="24" t="s">
        <v>74</v>
      </c>
      <c r="C47" s="50">
        <v>56</v>
      </c>
      <c r="D47" s="50">
        <v>5</v>
      </c>
      <c r="E47" s="50">
        <v>6</v>
      </c>
      <c r="F47" s="50">
        <v>39</v>
      </c>
      <c r="G47" s="50">
        <v>3</v>
      </c>
      <c r="H47" s="50">
        <v>2</v>
      </c>
      <c r="I47" s="50">
        <v>0</v>
      </c>
      <c r="J47" s="50">
        <v>2</v>
      </c>
      <c r="K47" s="50">
        <v>0</v>
      </c>
      <c r="L47" s="50">
        <v>0</v>
      </c>
      <c r="M47" s="50">
        <v>210</v>
      </c>
      <c r="N47" s="50">
        <v>0</v>
      </c>
      <c r="O47" s="15">
        <f t="shared" si="0"/>
        <v>113</v>
      </c>
      <c r="P47" s="15">
        <f t="shared" si="1"/>
        <v>323</v>
      </c>
      <c r="R47" s="8"/>
      <c r="T47"/>
    </row>
    <row r="48" spans="2:20" ht="23.1" customHeight="1" x14ac:dyDescent="0.25">
      <c r="B48" s="24" t="s">
        <v>75</v>
      </c>
      <c r="C48" s="50">
        <v>90</v>
      </c>
      <c r="D48" s="50">
        <v>18</v>
      </c>
      <c r="E48" s="50">
        <v>13</v>
      </c>
      <c r="F48" s="50">
        <v>44</v>
      </c>
      <c r="G48" s="50">
        <v>1</v>
      </c>
      <c r="H48" s="50">
        <v>0</v>
      </c>
      <c r="I48" s="50">
        <v>3</v>
      </c>
      <c r="J48" s="50">
        <v>1</v>
      </c>
      <c r="K48" s="50">
        <v>1</v>
      </c>
      <c r="L48" s="50">
        <v>1</v>
      </c>
      <c r="M48" s="50">
        <v>235</v>
      </c>
      <c r="N48" s="50">
        <v>0</v>
      </c>
      <c r="O48" s="15">
        <f t="shared" si="0"/>
        <v>172</v>
      </c>
      <c r="P48" s="15">
        <f t="shared" si="1"/>
        <v>407</v>
      </c>
      <c r="R48" s="8"/>
      <c r="T48"/>
    </row>
    <row r="49" spans="2:20" ht="23.1" customHeight="1" x14ac:dyDescent="0.25">
      <c r="B49" s="23" t="s">
        <v>76</v>
      </c>
      <c r="C49" s="50">
        <v>54</v>
      </c>
      <c r="D49" s="50">
        <v>9</v>
      </c>
      <c r="E49" s="50">
        <v>8</v>
      </c>
      <c r="F49" s="50">
        <v>34</v>
      </c>
      <c r="G49" s="50">
        <v>2</v>
      </c>
      <c r="H49" s="50">
        <v>1</v>
      </c>
      <c r="I49" s="50">
        <v>4</v>
      </c>
      <c r="J49" s="50">
        <v>3</v>
      </c>
      <c r="K49" s="50">
        <v>0</v>
      </c>
      <c r="L49" s="50">
        <v>0</v>
      </c>
      <c r="M49" s="50">
        <v>300</v>
      </c>
      <c r="N49" s="50">
        <v>0</v>
      </c>
      <c r="O49" s="15">
        <f t="shared" si="0"/>
        <v>115</v>
      </c>
      <c r="P49" s="15">
        <f t="shared" si="1"/>
        <v>415</v>
      </c>
      <c r="R49" s="8"/>
      <c r="T49"/>
    </row>
    <row r="50" spans="2:20" ht="23.1" customHeight="1" x14ac:dyDescent="0.25">
      <c r="B50" s="24" t="s">
        <v>77</v>
      </c>
      <c r="C50" s="50">
        <v>105</v>
      </c>
      <c r="D50" s="50">
        <v>11</v>
      </c>
      <c r="E50" s="50">
        <v>8</v>
      </c>
      <c r="F50" s="50">
        <v>66</v>
      </c>
      <c r="G50" s="50">
        <v>5</v>
      </c>
      <c r="H50" s="50">
        <v>0</v>
      </c>
      <c r="I50" s="50">
        <v>4</v>
      </c>
      <c r="J50" s="50">
        <v>2</v>
      </c>
      <c r="K50" s="50">
        <v>3</v>
      </c>
      <c r="L50" s="50">
        <v>1</v>
      </c>
      <c r="M50" s="50">
        <v>213</v>
      </c>
      <c r="N50" s="50">
        <v>0</v>
      </c>
      <c r="O50" s="15">
        <f t="shared" si="0"/>
        <v>205</v>
      </c>
      <c r="P50" s="15">
        <f t="shared" si="1"/>
        <v>418</v>
      </c>
      <c r="R50" s="8"/>
      <c r="T50"/>
    </row>
    <row r="51" spans="2:20" ht="23.1" customHeight="1" x14ac:dyDescent="0.25">
      <c r="B51" s="24" t="s">
        <v>78</v>
      </c>
      <c r="C51" s="50">
        <v>76</v>
      </c>
      <c r="D51" s="50">
        <v>15</v>
      </c>
      <c r="E51" s="50">
        <v>16</v>
      </c>
      <c r="F51" s="50">
        <v>50</v>
      </c>
      <c r="G51" s="50">
        <v>0</v>
      </c>
      <c r="H51" s="50">
        <v>2</v>
      </c>
      <c r="I51" s="50">
        <v>2</v>
      </c>
      <c r="J51" s="50">
        <v>1</v>
      </c>
      <c r="K51" s="50">
        <v>3</v>
      </c>
      <c r="L51" s="50">
        <v>0</v>
      </c>
      <c r="M51" s="50">
        <v>185</v>
      </c>
      <c r="N51" s="50">
        <v>0</v>
      </c>
      <c r="O51" s="15">
        <f t="shared" si="0"/>
        <v>165</v>
      </c>
      <c r="P51" s="15">
        <f t="shared" si="1"/>
        <v>350</v>
      </c>
      <c r="R51" s="8"/>
      <c r="T51"/>
    </row>
    <row r="52" spans="2:20" ht="23.1" customHeight="1" x14ac:dyDescent="0.25">
      <c r="B52" s="24" t="s">
        <v>79</v>
      </c>
      <c r="C52" s="50">
        <v>65</v>
      </c>
      <c r="D52" s="50">
        <v>21</v>
      </c>
      <c r="E52" s="50">
        <v>11</v>
      </c>
      <c r="F52" s="50">
        <v>44</v>
      </c>
      <c r="G52" s="50">
        <v>0</v>
      </c>
      <c r="H52" s="50">
        <v>0</v>
      </c>
      <c r="I52" s="50">
        <v>9</v>
      </c>
      <c r="J52" s="50">
        <v>3</v>
      </c>
      <c r="K52" s="50">
        <v>1</v>
      </c>
      <c r="L52" s="50">
        <v>0</v>
      </c>
      <c r="M52" s="50">
        <v>215</v>
      </c>
      <c r="N52" s="50">
        <v>0</v>
      </c>
      <c r="O52" s="15">
        <f t="shared" si="0"/>
        <v>154</v>
      </c>
      <c r="P52" s="15">
        <f t="shared" si="1"/>
        <v>369</v>
      </c>
      <c r="R52" s="8"/>
      <c r="T52"/>
    </row>
    <row r="53" spans="2:20" ht="23.1" customHeight="1" x14ac:dyDescent="0.25">
      <c r="B53" s="23" t="s">
        <v>80</v>
      </c>
      <c r="C53" s="50">
        <v>88</v>
      </c>
      <c r="D53" s="50">
        <v>18</v>
      </c>
      <c r="E53" s="50">
        <v>7</v>
      </c>
      <c r="F53" s="50">
        <v>48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205</v>
      </c>
      <c r="N53" s="50">
        <v>0</v>
      </c>
      <c r="O53" s="15">
        <f t="shared" si="0"/>
        <v>161</v>
      </c>
      <c r="P53" s="15">
        <f t="shared" si="1"/>
        <v>366</v>
      </c>
      <c r="R53" s="8"/>
      <c r="T53"/>
    </row>
    <row r="54" spans="2:20" ht="23.1" customHeight="1" x14ac:dyDescent="0.25">
      <c r="B54" s="23" t="s">
        <v>81</v>
      </c>
      <c r="C54" s="50">
        <v>75</v>
      </c>
      <c r="D54" s="50">
        <v>19</v>
      </c>
      <c r="E54" s="50">
        <v>6</v>
      </c>
      <c r="F54" s="50">
        <v>58</v>
      </c>
      <c r="G54" s="50">
        <v>2</v>
      </c>
      <c r="H54" s="50">
        <v>1</v>
      </c>
      <c r="I54" s="50">
        <v>11</v>
      </c>
      <c r="J54" s="50">
        <v>1</v>
      </c>
      <c r="K54" s="50">
        <v>1</v>
      </c>
      <c r="L54" s="50">
        <v>0</v>
      </c>
      <c r="M54" s="50">
        <v>242</v>
      </c>
      <c r="N54" s="50">
        <v>0</v>
      </c>
      <c r="O54" s="15">
        <f t="shared" si="0"/>
        <v>174</v>
      </c>
      <c r="P54" s="15">
        <f t="shared" si="1"/>
        <v>416</v>
      </c>
      <c r="R54" s="8"/>
      <c r="T54"/>
    </row>
    <row r="55" spans="2:20" ht="23.1" customHeight="1" x14ac:dyDescent="0.25">
      <c r="B55" s="23" t="s">
        <v>82</v>
      </c>
      <c r="C55" s="50">
        <v>80</v>
      </c>
      <c r="D55" s="50">
        <v>23</v>
      </c>
      <c r="E55" s="50">
        <v>5</v>
      </c>
      <c r="F55" s="50">
        <v>35</v>
      </c>
      <c r="G55" s="50">
        <v>0</v>
      </c>
      <c r="H55" s="50">
        <v>3</v>
      </c>
      <c r="I55" s="50">
        <v>2</v>
      </c>
      <c r="J55" s="50">
        <v>4</v>
      </c>
      <c r="K55" s="50">
        <v>0</v>
      </c>
      <c r="L55" s="50">
        <v>0</v>
      </c>
      <c r="M55" s="50">
        <v>220</v>
      </c>
      <c r="N55" s="50">
        <v>0</v>
      </c>
      <c r="O55" s="15">
        <f t="shared" si="0"/>
        <v>152</v>
      </c>
      <c r="P55" s="15">
        <f t="shared" si="1"/>
        <v>372</v>
      </c>
      <c r="R55" s="8"/>
      <c r="T55"/>
    </row>
    <row r="56" spans="2:20" ht="23.1" customHeight="1" x14ac:dyDescent="0.25">
      <c r="B56" s="23" t="s">
        <v>83</v>
      </c>
      <c r="C56" s="50">
        <v>68</v>
      </c>
      <c r="D56" s="50">
        <v>14</v>
      </c>
      <c r="E56" s="50">
        <v>11</v>
      </c>
      <c r="F56" s="50">
        <v>49</v>
      </c>
      <c r="G56" s="50">
        <v>1</v>
      </c>
      <c r="H56" s="50">
        <v>0</v>
      </c>
      <c r="I56" s="50">
        <v>13</v>
      </c>
      <c r="J56" s="50">
        <v>3</v>
      </c>
      <c r="K56" s="50">
        <v>0</v>
      </c>
      <c r="L56" s="50">
        <v>0</v>
      </c>
      <c r="M56" s="50">
        <v>135</v>
      </c>
      <c r="N56" s="50">
        <v>0</v>
      </c>
      <c r="O56" s="15">
        <f t="shared" si="0"/>
        <v>159</v>
      </c>
      <c r="P56" s="15">
        <f t="shared" si="1"/>
        <v>294</v>
      </c>
      <c r="R56" s="8"/>
      <c r="T56"/>
    </row>
    <row r="57" spans="2:20" ht="23.1" customHeight="1" x14ac:dyDescent="0.25">
      <c r="B57" s="23" t="s">
        <v>84</v>
      </c>
      <c r="C57" s="50">
        <v>76</v>
      </c>
      <c r="D57" s="50">
        <v>15</v>
      </c>
      <c r="E57" s="50">
        <v>9</v>
      </c>
      <c r="F57" s="50">
        <v>38</v>
      </c>
      <c r="G57" s="50">
        <v>1</v>
      </c>
      <c r="H57" s="50">
        <v>0</v>
      </c>
      <c r="I57" s="50">
        <v>3</v>
      </c>
      <c r="J57" s="50">
        <v>4</v>
      </c>
      <c r="K57" s="50">
        <v>0</v>
      </c>
      <c r="L57" s="50">
        <v>0</v>
      </c>
      <c r="M57" s="50">
        <v>250</v>
      </c>
      <c r="N57" s="50">
        <v>0</v>
      </c>
      <c r="O57" s="15">
        <f t="shared" si="0"/>
        <v>146</v>
      </c>
      <c r="P57" s="15">
        <f t="shared" si="1"/>
        <v>396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3679</v>
      </c>
      <c r="D58" s="16">
        <f t="shared" si="21"/>
        <v>771</v>
      </c>
      <c r="E58" s="16">
        <f t="shared" si="21"/>
        <v>552</v>
      </c>
      <c r="F58" s="16">
        <f t="shared" si="21"/>
        <v>2504</v>
      </c>
      <c r="G58" s="16">
        <f t="shared" si="21"/>
        <v>49</v>
      </c>
      <c r="H58" s="16">
        <f t="shared" si="21"/>
        <v>29</v>
      </c>
      <c r="I58" s="16">
        <f t="shared" si="21"/>
        <v>173</v>
      </c>
      <c r="J58" s="16">
        <f t="shared" si="21"/>
        <v>127</v>
      </c>
      <c r="K58" s="16">
        <f t="shared" si="21"/>
        <v>51</v>
      </c>
      <c r="L58" s="16">
        <f t="shared" si="21"/>
        <v>9</v>
      </c>
      <c r="M58" s="16">
        <f t="shared" si="21"/>
        <v>10684</v>
      </c>
      <c r="N58" s="16">
        <f t="shared" si="21"/>
        <v>0</v>
      </c>
      <c r="O58" s="16">
        <f t="shared" si="21"/>
        <v>7944</v>
      </c>
      <c r="P58" s="16">
        <f t="shared" si="21"/>
        <v>18628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0.19749838952115095</v>
      </c>
      <c r="D59" s="43">
        <f t="shared" si="22"/>
        <v>4.1389306420442348E-2</v>
      </c>
      <c r="E59" s="43">
        <f t="shared" si="22"/>
        <v>2.9632810822417865E-2</v>
      </c>
      <c r="F59" s="43">
        <f t="shared" si="22"/>
        <v>0.13442130126691001</v>
      </c>
      <c r="G59" s="43">
        <f t="shared" si="22"/>
        <v>2.6304487867726003E-3</v>
      </c>
      <c r="H59" s="43">
        <f t="shared" si="22"/>
        <v>1.5567962207429676E-3</v>
      </c>
      <c r="I59" s="43">
        <f t="shared" si="22"/>
        <v>9.2870946961563245E-3</v>
      </c>
      <c r="J59" s="43">
        <f t="shared" si="22"/>
        <v>6.8176937942881688E-3</v>
      </c>
      <c r="K59" s="43">
        <f t="shared" si="22"/>
        <v>2.7378140433755639E-3</v>
      </c>
      <c r="L59" s="43">
        <f t="shared" si="22"/>
        <v>4.8314365471333477E-4</v>
      </c>
      <c r="M59" s="43">
        <f t="shared" si="22"/>
        <v>0.57354520077302984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0.46311681772406849</v>
      </c>
      <c r="D60" s="44">
        <f t="shared" ref="D60:N60" si="23">D58/$O$58</f>
        <v>9.7054380664652565E-2</v>
      </c>
      <c r="E60" s="44">
        <f t="shared" si="23"/>
        <v>6.9486404833836862E-2</v>
      </c>
      <c r="F60" s="44">
        <f t="shared" si="23"/>
        <v>0.3152064451158107</v>
      </c>
      <c r="G60" s="44">
        <f t="shared" si="23"/>
        <v>6.1681772406847937E-3</v>
      </c>
      <c r="H60" s="44">
        <f t="shared" si="23"/>
        <v>3.65055387713998E-3</v>
      </c>
      <c r="I60" s="44">
        <f t="shared" si="23"/>
        <v>2.177744209466264E-2</v>
      </c>
      <c r="J60" s="44">
        <f t="shared" si="23"/>
        <v>1.5986908358509567E-2</v>
      </c>
      <c r="K60" s="44">
        <f t="shared" si="23"/>
        <v>6.4199395770392752E-3</v>
      </c>
      <c r="L60" s="44">
        <f t="shared" si="23"/>
        <v>1.1329305135951663E-3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'22.07 GAYAZA-KALERWE'!C3:G3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KALERWE-GAYAZA'!D5</f>
        <v>28.07.19</v>
      </c>
      <c r="E5" s="3"/>
      <c r="F5" s="41" t="s">
        <v>1</v>
      </c>
      <c r="G5" s="65" t="str">
        <f>'28.07 KALERWE-GAYAZA'!G5:H5</f>
        <v>DELTA KYEBANDO</v>
      </c>
      <c r="H5" s="66"/>
      <c r="I5" s="14"/>
      <c r="J5" s="2" t="s">
        <v>5</v>
      </c>
      <c r="K5" s="65" t="s">
        <v>178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'22.07 GAYAZA-KALERWE'!D6:E6</f>
        <v>GAYAZA</v>
      </c>
      <c r="E6" s="66"/>
      <c r="F6" s="2" t="s">
        <v>2</v>
      </c>
      <c r="G6" s="65" t="str">
        <f>'22.07 GAYAZA-KALERWE'!G6:H6</f>
        <v>KALERWE</v>
      </c>
      <c r="H6" s="66"/>
      <c r="J6" s="2" t="s">
        <v>21</v>
      </c>
      <c r="K6" s="65" t="s">
        <v>176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26</v>
      </c>
      <c r="D10" s="50">
        <v>9</v>
      </c>
      <c r="E10" s="50">
        <v>1</v>
      </c>
      <c r="F10" s="50">
        <v>23</v>
      </c>
      <c r="G10" s="50">
        <v>0</v>
      </c>
      <c r="H10" s="50">
        <v>1</v>
      </c>
      <c r="I10" s="50">
        <v>1</v>
      </c>
      <c r="J10" s="50">
        <v>0</v>
      </c>
      <c r="K10" s="50">
        <v>0</v>
      </c>
      <c r="L10" s="50">
        <v>0</v>
      </c>
      <c r="M10" s="50">
        <v>167</v>
      </c>
      <c r="N10" s="50">
        <v>0</v>
      </c>
      <c r="O10" s="15">
        <f t="shared" ref="O10:O57" si="0">SUM(C10:L10,N10)</f>
        <v>61</v>
      </c>
      <c r="P10" s="15">
        <f t="shared" ref="P10:P57" si="1">SUM(C10:N10)</f>
        <v>228</v>
      </c>
      <c r="R10" s="1" t="s">
        <v>6</v>
      </c>
      <c r="S10" s="17">
        <f t="shared" ref="S10:AF10" si="2">SUM(C10:C13)</f>
        <v>172</v>
      </c>
      <c r="T10" s="17">
        <f t="shared" si="2"/>
        <v>24</v>
      </c>
      <c r="U10" s="17">
        <f t="shared" si="2"/>
        <v>15</v>
      </c>
      <c r="V10" s="17">
        <f t="shared" si="2"/>
        <v>170</v>
      </c>
      <c r="W10" s="17">
        <f t="shared" si="2"/>
        <v>4</v>
      </c>
      <c r="X10" s="17">
        <f t="shared" si="2"/>
        <v>2</v>
      </c>
      <c r="Y10" s="17">
        <f t="shared" si="2"/>
        <v>21</v>
      </c>
      <c r="Z10" s="17">
        <f t="shared" si="2"/>
        <v>7</v>
      </c>
      <c r="AA10" s="17">
        <f t="shared" si="2"/>
        <v>4</v>
      </c>
      <c r="AB10" s="17">
        <f t="shared" si="2"/>
        <v>0</v>
      </c>
      <c r="AC10" s="17">
        <f t="shared" si="2"/>
        <v>762</v>
      </c>
      <c r="AD10" s="17">
        <f t="shared" si="2"/>
        <v>0</v>
      </c>
      <c r="AE10" s="31">
        <f t="shared" si="2"/>
        <v>419</v>
      </c>
      <c r="AF10" s="31">
        <f t="shared" si="2"/>
        <v>1181</v>
      </c>
    </row>
    <row r="11" spans="2:32" s="6" customFormat="1" ht="23.1" customHeight="1" x14ac:dyDescent="0.25">
      <c r="B11" s="23" t="s">
        <v>38</v>
      </c>
      <c r="C11" s="50">
        <v>46</v>
      </c>
      <c r="D11" s="50">
        <v>4</v>
      </c>
      <c r="E11" s="50">
        <v>2</v>
      </c>
      <c r="F11" s="50">
        <v>50</v>
      </c>
      <c r="G11" s="50">
        <v>2</v>
      </c>
      <c r="H11" s="50">
        <v>1</v>
      </c>
      <c r="I11" s="50">
        <v>7</v>
      </c>
      <c r="J11" s="50">
        <v>1</v>
      </c>
      <c r="K11" s="50">
        <v>0</v>
      </c>
      <c r="L11" s="50">
        <v>0</v>
      </c>
      <c r="M11" s="50">
        <v>195</v>
      </c>
      <c r="N11" s="50">
        <v>0</v>
      </c>
      <c r="O11" s="15">
        <f t="shared" si="0"/>
        <v>113</v>
      </c>
      <c r="P11" s="15">
        <f t="shared" si="1"/>
        <v>308</v>
      </c>
      <c r="R11" s="1" t="s">
        <v>7</v>
      </c>
      <c r="S11" s="17">
        <f t="shared" ref="S11:AF11" si="3">SUM(C14:C17)</f>
        <v>211</v>
      </c>
      <c r="T11" s="17">
        <f t="shared" si="3"/>
        <v>18</v>
      </c>
      <c r="U11" s="17">
        <f t="shared" si="3"/>
        <v>33</v>
      </c>
      <c r="V11" s="17">
        <f t="shared" si="3"/>
        <v>250</v>
      </c>
      <c r="W11" s="17">
        <f t="shared" si="3"/>
        <v>5</v>
      </c>
      <c r="X11" s="17">
        <f t="shared" si="3"/>
        <v>3</v>
      </c>
      <c r="Y11" s="17">
        <f t="shared" si="3"/>
        <v>16</v>
      </c>
      <c r="Z11" s="17">
        <f t="shared" si="3"/>
        <v>9</v>
      </c>
      <c r="AA11" s="17">
        <f t="shared" si="3"/>
        <v>4</v>
      </c>
      <c r="AB11" s="17">
        <f t="shared" si="3"/>
        <v>10</v>
      </c>
      <c r="AC11" s="17">
        <f t="shared" si="3"/>
        <v>858</v>
      </c>
      <c r="AD11" s="17">
        <f t="shared" si="3"/>
        <v>0</v>
      </c>
      <c r="AE11" s="31">
        <f t="shared" si="3"/>
        <v>559</v>
      </c>
      <c r="AF11" s="31">
        <f t="shared" si="3"/>
        <v>1417</v>
      </c>
    </row>
    <row r="12" spans="2:32" ht="23.1" customHeight="1" x14ac:dyDescent="0.25">
      <c r="B12" s="23" t="s">
        <v>39</v>
      </c>
      <c r="C12" s="50">
        <v>44</v>
      </c>
      <c r="D12" s="50">
        <v>2</v>
      </c>
      <c r="E12" s="50">
        <v>8</v>
      </c>
      <c r="F12" s="50">
        <v>45</v>
      </c>
      <c r="G12" s="50">
        <v>1</v>
      </c>
      <c r="H12" s="50">
        <v>0</v>
      </c>
      <c r="I12" s="50">
        <v>2</v>
      </c>
      <c r="J12" s="50">
        <v>3</v>
      </c>
      <c r="K12" s="50">
        <v>2</v>
      </c>
      <c r="L12" s="50">
        <v>0</v>
      </c>
      <c r="M12" s="50">
        <v>225</v>
      </c>
      <c r="N12" s="50">
        <v>0</v>
      </c>
      <c r="O12" s="15">
        <f t="shared" si="0"/>
        <v>107</v>
      </c>
      <c r="P12" s="15">
        <f t="shared" si="1"/>
        <v>332</v>
      </c>
      <c r="R12" s="1" t="s">
        <v>8</v>
      </c>
      <c r="S12" s="17">
        <f t="shared" ref="S12:AF12" si="4">SUM(C18:C21)</f>
        <v>344</v>
      </c>
      <c r="T12" s="17">
        <f t="shared" si="4"/>
        <v>24</v>
      </c>
      <c r="U12" s="17">
        <f t="shared" si="4"/>
        <v>35</v>
      </c>
      <c r="V12" s="17">
        <f t="shared" si="4"/>
        <v>261</v>
      </c>
      <c r="W12" s="17">
        <f t="shared" si="4"/>
        <v>4</v>
      </c>
      <c r="X12" s="17">
        <f t="shared" si="4"/>
        <v>1</v>
      </c>
      <c r="Y12" s="17">
        <f t="shared" si="4"/>
        <v>22</v>
      </c>
      <c r="Z12" s="17">
        <f t="shared" si="4"/>
        <v>18</v>
      </c>
      <c r="AA12" s="17">
        <f t="shared" si="4"/>
        <v>3</v>
      </c>
      <c r="AB12" s="17">
        <f t="shared" si="4"/>
        <v>4</v>
      </c>
      <c r="AC12" s="17">
        <f t="shared" si="4"/>
        <v>714</v>
      </c>
      <c r="AD12" s="17">
        <f t="shared" si="4"/>
        <v>0</v>
      </c>
      <c r="AE12" s="31">
        <f t="shared" si="4"/>
        <v>716</v>
      </c>
      <c r="AF12" s="31">
        <f t="shared" si="4"/>
        <v>1430</v>
      </c>
    </row>
    <row r="13" spans="2:32" ht="23.1" customHeight="1" x14ac:dyDescent="0.25">
      <c r="B13" s="23" t="s">
        <v>40</v>
      </c>
      <c r="C13" s="50">
        <v>56</v>
      </c>
      <c r="D13" s="50">
        <v>9</v>
      </c>
      <c r="E13" s="50">
        <v>4</v>
      </c>
      <c r="F13" s="50">
        <v>52</v>
      </c>
      <c r="G13" s="50">
        <v>1</v>
      </c>
      <c r="H13" s="50">
        <v>0</v>
      </c>
      <c r="I13" s="50">
        <v>11</v>
      </c>
      <c r="J13" s="50">
        <v>3</v>
      </c>
      <c r="K13" s="50">
        <v>2</v>
      </c>
      <c r="L13" s="50">
        <v>0</v>
      </c>
      <c r="M13" s="50">
        <v>175</v>
      </c>
      <c r="N13" s="50">
        <v>0</v>
      </c>
      <c r="O13" s="15">
        <f t="shared" si="0"/>
        <v>138</v>
      </c>
      <c r="P13" s="15">
        <f t="shared" si="1"/>
        <v>313</v>
      </c>
      <c r="R13" s="1" t="s">
        <v>9</v>
      </c>
      <c r="S13" s="17">
        <f t="shared" ref="S13:AF13" si="5">SUM(C22:C25)</f>
        <v>241</v>
      </c>
      <c r="T13" s="17">
        <f t="shared" si="5"/>
        <v>28</v>
      </c>
      <c r="U13" s="17">
        <f t="shared" si="5"/>
        <v>27</v>
      </c>
      <c r="V13" s="17">
        <f t="shared" si="5"/>
        <v>223</v>
      </c>
      <c r="W13" s="17">
        <f t="shared" si="5"/>
        <v>5</v>
      </c>
      <c r="X13" s="17">
        <f t="shared" si="5"/>
        <v>2</v>
      </c>
      <c r="Y13" s="17">
        <f t="shared" si="5"/>
        <v>18</v>
      </c>
      <c r="Z13" s="17">
        <f t="shared" si="5"/>
        <v>10</v>
      </c>
      <c r="AA13" s="17">
        <f t="shared" si="5"/>
        <v>4</v>
      </c>
      <c r="AB13" s="17">
        <f t="shared" si="5"/>
        <v>2</v>
      </c>
      <c r="AC13" s="17">
        <f t="shared" si="5"/>
        <v>725</v>
      </c>
      <c r="AD13" s="17">
        <f t="shared" si="5"/>
        <v>0</v>
      </c>
      <c r="AE13" s="31">
        <f t="shared" si="5"/>
        <v>560</v>
      </c>
      <c r="AF13" s="31">
        <f t="shared" si="5"/>
        <v>1285</v>
      </c>
    </row>
    <row r="14" spans="2:32" ht="23.1" customHeight="1" x14ac:dyDescent="0.25">
      <c r="B14" s="23" t="s">
        <v>41</v>
      </c>
      <c r="C14" s="50">
        <v>48</v>
      </c>
      <c r="D14" s="50">
        <v>4</v>
      </c>
      <c r="E14" s="50">
        <v>10</v>
      </c>
      <c r="F14" s="50">
        <v>64</v>
      </c>
      <c r="G14" s="50">
        <v>3</v>
      </c>
      <c r="H14" s="50">
        <v>0</v>
      </c>
      <c r="I14" s="50">
        <v>4</v>
      </c>
      <c r="J14" s="50">
        <v>4</v>
      </c>
      <c r="K14" s="50">
        <v>2</v>
      </c>
      <c r="L14" s="50">
        <v>0</v>
      </c>
      <c r="M14" s="50">
        <v>150</v>
      </c>
      <c r="N14" s="50">
        <v>0</v>
      </c>
      <c r="O14" s="15">
        <f t="shared" si="0"/>
        <v>139</v>
      </c>
      <c r="P14" s="15">
        <f t="shared" si="1"/>
        <v>289</v>
      </c>
      <c r="R14" s="1" t="s">
        <v>10</v>
      </c>
      <c r="S14" s="17">
        <f t="shared" ref="S14:AF14" si="6">SUM(C26:C29)</f>
        <v>236</v>
      </c>
      <c r="T14" s="17">
        <f t="shared" si="6"/>
        <v>27</v>
      </c>
      <c r="U14" s="17">
        <f t="shared" si="6"/>
        <v>23</v>
      </c>
      <c r="V14" s="17">
        <f t="shared" si="6"/>
        <v>192</v>
      </c>
      <c r="W14" s="17">
        <f t="shared" si="6"/>
        <v>1</v>
      </c>
      <c r="X14" s="17">
        <f t="shared" si="6"/>
        <v>2</v>
      </c>
      <c r="Y14" s="17">
        <f t="shared" si="6"/>
        <v>27</v>
      </c>
      <c r="Z14" s="17">
        <f t="shared" si="6"/>
        <v>18</v>
      </c>
      <c r="AA14" s="17">
        <f t="shared" si="6"/>
        <v>9</v>
      </c>
      <c r="AB14" s="17">
        <f t="shared" si="6"/>
        <v>3</v>
      </c>
      <c r="AC14" s="17">
        <f t="shared" si="6"/>
        <v>523</v>
      </c>
      <c r="AD14" s="17">
        <f t="shared" si="6"/>
        <v>0</v>
      </c>
      <c r="AE14" s="31">
        <f t="shared" si="6"/>
        <v>538</v>
      </c>
      <c r="AF14" s="31">
        <f t="shared" si="6"/>
        <v>1061</v>
      </c>
    </row>
    <row r="15" spans="2:32" ht="23.1" customHeight="1" x14ac:dyDescent="0.25">
      <c r="B15" s="23" t="s">
        <v>42</v>
      </c>
      <c r="C15" s="50">
        <v>49</v>
      </c>
      <c r="D15" s="50">
        <v>7</v>
      </c>
      <c r="E15" s="50">
        <v>6</v>
      </c>
      <c r="F15" s="50">
        <v>68</v>
      </c>
      <c r="G15" s="50">
        <v>1</v>
      </c>
      <c r="H15" s="50">
        <v>1</v>
      </c>
      <c r="I15" s="50">
        <v>4</v>
      </c>
      <c r="J15" s="50">
        <v>0</v>
      </c>
      <c r="K15" s="50">
        <v>0</v>
      </c>
      <c r="L15" s="50">
        <v>1</v>
      </c>
      <c r="M15" s="50">
        <v>210</v>
      </c>
      <c r="N15" s="50">
        <v>0</v>
      </c>
      <c r="O15" s="15">
        <f t="shared" si="0"/>
        <v>137</v>
      </c>
      <c r="P15" s="15">
        <f t="shared" si="1"/>
        <v>347</v>
      </c>
      <c r="R15" s="1" t="s">
        <v>11</v>
      </c>
      <c r="S15" s="17">
        <f t="shared" ref="S15:AF15" si="7">SUM(C30:C33)</f>
        <v>267</v>
      </c>
      <c r="T15" s="17">
        <f t="shared" si="7"/>
        <v>14</v>
      </c>
      <c r="U15" s="17">
        <f t="shared" si="7"/>
        <v>27</v>
      </c>
      <c r="V15" s="17">
        <f t="shared" si="7"/>
        <v>142</v>
      </c>
      <c r="W15" s="17">
        <f t="shared" si="7"/>
        <v>1</v>
      </c>
      <c r="X15" s="17">
        <f t="shared" si="7"/>
        <v>1</v>
      </c>
      <c r="Y15" s="17">
        <f t="shared" si="7"/>
        <v>26</v>
      </c>
      <c r="Z15" s="17">
        <f t="shared" si="7"/>
        <v>15</v>
      </c>
      <c r="AA15" s="17">
        <f t="shared" si="7"/>
        <v>10</v>
      </c>
      <c r="AB15" s="17">
        <f t="shared" si="7"/>
        <v>3</v>
      </c>
      <c r="AC15" s="17">
        <f t="shared" si="7"/>
        <v>499</v>
      </c>
      <c r="AD15" s="17">
        <f t="shared" si="7"/>
        <v>0</v>
      </c>
      <c r="AE15" s="31">
        <f t="shared" si="7"/>
        <v>506</v>
      </c>
      <c r="AF15" s="31">
        <f t="shared" si="7"/>
        <v>1005</v>
      </c>
    </row>
    <row r="16" spans="2:32" ht="23.1" customHeight="1" x14ac:dyDescent="0.25">
      <c r="B16" s="23" t="s">
        <v>43</v>
      </c>
      <c r="C16" s="50">
        <v>39</v>
      </c>
      <c r="D16" s="50">
        <v>2</v>
      </c>
      <c r="E16" s="50">
        <v>7</v>
      </c>
      <c r="F16" s="50">
        <v>45</v>
      </c>
      <c r="G16" s="50">
        <v>1</v>
      </c>
      <c r="H16" s="50">
        <v>0</v>
      </c>
      <c r="I16" s="50">
        <v>6</v>
      </c>
      <c r="J16" s="50">
        <v>3</v>
      </c>
      <c r="K16" s="50">
        <v>0</v>
      </c>
      <c r="L16" s="50">
        <v>3</v>
      </c>
      <c r="M16" s="50">
        <v>183</v>
      </c>
      <c r="N16" s="50">
        <v>0</v>
      </c>
      <c r="O16" s="15">
        <f t="shared" si="0"/>
        <v>106</v>
      </c>
      <c r="P16" s="15">
        <f t="shared" si="1"/>
        <v>289</v>
      </c>
      <c r="R16" s="1" t="s">
        <v>12</v>
      </c>
      <c r="S16" s="17">
        <f t="shared" ref="S16:AF16" si="8">SUM(C34:C37)</f>
        <v>234</v>
      </c>
      <c r="T16" s="17">
        <f t="shared" si="8"/>
        <v>36</v>
      </c>
      <c r="U16" s="17">
        <f t="shared" si="8"/>
        <v>39</v>
      </c>
      <c r="V16" s="17">
        <f t="shared" si="8"/>
        <v>152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19</v>
      </c>
      <c r="AA16" s="17">
        <f t="shared" si="8"/>
        <v>4</v>
      </c>
      <c r="AB16" s="17">
        <f t="shared" si="8"/>
        <v>1</v>
      </c>
      <c r="AC16" s="17">
        <f t="shared" si="8"/>
        <v>558</v>
      </c>
      <c r="AD16" s="17">
        <f t="shared" si="8"/>
        <v>0</v>
      </c>
      <c r="AE16" s="31">
        <f t="shared" si="8"/>
        <v>504</v>
      </c>
      <c r="AF16" s="31">
        <f t="shared" si="8"/>
        <v>1062</v>
      </c>
    </row>
    <row r="17" spans="2:32" ht="23.1" customHeight="1" x14ac:dyDescent="0.25">
      <c r="B17" s="23" t="s">
        <v>44</v>
      </c>
      <c r="C17" s="50">
        <v>75</v>
      </c>
      <c r="D17" s="50">
        <v>5</v>
      </c>
      <c r="E17" s="50">
        <v>10</v>
      </c>
      <c r="F17" s="50">
        <v>73</v>
      </c>
      <c r="G17" s="50">
        <v>0</v>
      </c>
      <c r="H17" s="50">
        <v>2</v>
      </c>
      <c r="I17" s="50">
        <v>2</v>
      </c>
      <c r="J17" s="50">
        <v>2</v>
      </c>
      <c r="K17" s="50">
        <v>2</v>
      </c>
      <c r="L17" s="50">
        <v>6</v>
      </c>
      <c r="M17" s="50">
        <v>315</v>
      </c>
      <c r="N17" s="50">
        <v>0</v>
      </c>
      <c r="O17" s="15">
        <f t="shared" si="0"/>
        <v>177</v>
      </c>
      <c r="P17" s="15">
        <f t="shared" si="1"/>
        <v>492</v>
      </c>
      <c r="R17" s="1" t="s">
        <v>13</v>
      </c>
      <c r="S17" s="17">
        <f t="shared" ref="S17:AF17" si="9">SUM(C38:C41)</f>
        <v>190</v>
      </c>
      <c r="T17" s="17">
        <f t="shared" si="9"/>
        <v>21</v>
      </c>
      <c r="U17" s="17">
        <f t="shared" si="9"/>
        <v>27</v>
      </c>
      <c r="V17" s="17">
        <f t="shared" si="9"/>
        <v>149</v>
      </c>
      <c r="W17" s="17">
        <f t="shared" si="9"/>
        <v>1</v>
      </c>
      <c r="X17" s="17">
        <f t="shared" si="9"/>
        <v>3</v>
      </c>
      <c r="Y17" s="17">
        <f t="shared" si="9"/>
        <v>19</v>
      </c>
      <c r="Z17" s="17">
        <f t="shared" si="9"/>
        <v>16</v>
      </c>
      <c r="AA17" s="17">
        <f t="shared" si="9"/>
        <v>9</v>
      </c>
      <c r="AB17" s="17">
        <f t="shared" si="9"/>
        <v>6</v>
      </c>
      <c r="AC17" s="17">
        <f t="shared" si="9"/>
        <v>536</v>
      </c>
      <c r="AD17" s="17">
        <f t="shared" si="9"/>
        <v>0</v>
      </c>
      <c r="AE17" s="31">
        <f t="shared" si="9"/>
        <v>441</v>
      </c>
      <c r="AF17" s="31">
        <f t="shared" si="9"/>
        <v>977</v>
      </c>
    </row>
    <row r="18" spans="2:32" ht="23.1" customHeight="1" x14ac:dyDescent="0.25">
      <c r="B18" s="23" t="s">
        <v>45</v>
      </c>
      <c r="C18" s="50">
        <v>65</v>
      </c>
      <c r="D18" s="50">
        <v>4</v>
      </c>
      <c r="E18" s="50">
        <v>15</v>
      </c>
      <c r="F18" s="50">
        <v>66</v>
      </c>
      <c r="G18" s="50">
        <v>3</v>
      </c>
      <c r="H18" s="50">
        <v>1</v>
      </c>
      <c r="I18" s="50">
        <v>12</v>
      </c>
      <c r="J18" s="50">
        <v>6</v>
      </c>
      <c r="K18" s="50">
        <v>1</v>
      </c>
      <c r="L18" s="50">
        <v>3</v>
      </c>
      <c r="M18" s="50">
        <v>195</v>
      </c>
      <c r="N18" s="50">
        <v>0</v>
      </c>
      <c r="O18" s="15">
        <f t="shared" si="0"/>
        <v>176</v>
      </c>
      <c r="P18" s="15">
        <f t="shared" si="1"/>
        <v>371</v>
      </c>
      <c r="R18" s="1" t="s">
        <v>14</v>
      </c>
      <c r="S18" s="17">
        <f t="shared" ref="S18:AF18" si="10">SUM(C42:C45)</f>
        <v>205</v>
      </c>
      <c r="T18" s="17">
        <f t="shared" si="10"/>
        <v>24</v>
      </c>
      <c r="U18" s="17">
        <f t="shared" si="10"/>
        <v>25</v>
      </c>
      <c r="V18" s="17">
        <f t="shared" si="10"/>
        <v>170</v>
      </c>
      <c r="W18" s="17">
        <f t="shared" si="10"/>
        <v>1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0</v>
      </c>
      <c r="AD18" s="17">
        <f t="shared" si="10"/>
        <v>0</v>
      </c>
      <c r="AE18" s="31">
        <f t="shared" si="10"/>
        <v>425</v>
      </c>
      <c r="AF18" s="31">
        <f t="shared" si="10"/>
        <v>425</v>
      </c>
    </row>
    <row r="19" spans="2:32" ht="23.1" customHeight="1" x14ac:dyDescent="0.25">
      <c r="B19" s="23" t="s">
        <v>46</v>
      </c>
      <c r="C19" s="50">
        <v>154</v>
      </c>
      <c r="D19" s="50">
        <v>5</v>
      </c>
      <c r="E19" s="50">
        <v>8</v>
      </c>
      <c r="F19" s="50">
        <v>77</v>
      </c>
      <c r="G19" s="50">
        <v>0</v>
      </c>
      <c r="H19" s="50">
        <v>0</v>
      </c>
      <c r="I19" s="50">
        <v>1</v>
      </c>
      <c r="J19" s="50">
        <v>2</v>
      </c>
      <c r="K19" s="50">
        <v>1</v>
      </c>
      <c r="L19" s="50">
        <v>0</v>
      </c>
      <c r="M19" s="50">
        <v>177</v>
      </c>
      <c r="N19" s="50">
        <v>0</v>
      </c>
      <c r="O19" s="15">
        <f t="shared" si="0"/>
        <v>248</v>
      </c>
      <c r="P19" s="15">
        <f t="shared" si="1"/>
        <v>425</v>
      </c>
      <c r="R19" s="1" t="s">
        <v>15</v>
      </c>
      <c r="S19" s="17">
        <f t="shared" ref="S19:AF19" si="11">SUM(C46:C49)</f>
        <v>268</v>
      </c>
      <c r="T19" s="17">
        <f t="shared" si="11"/>
        <v>21</v>
      </c>
      <c r="U19" s="17">
        <f t="shared" si="11"/>
        <v>40</v>
      </c>
      <c r="V19" s="17">
        <f t="shared" si="11"/>
        <v>204</v>
      </c>
      <c r="W19" s="17">
        <f t="shared" si="11"/>
        <v>3</v>
      </c>
      <c r="X19" s="17">
        <f t="shared" si="11"/>
        <v>1</v>
      </c>
      <c r="Y19" s="17">
        <f t="shared" si="11"/>
        <v>13</v>
      </c>
      <c r="Z19" s="17">
        <f t="shared" si="11"/>
        <v>4</v>
      </c>
      <c r="AA19" s="17">
        <f t="shared" si="11"/>
        <v>3</v>
      </c>
      <c r="AB19" s="17">
        <f t="shared" si="11"/>
        <v>1</v>
      </c>
      <c r="AC19" s="17">
        <f t="shared" si="11"/>
        <v>501</v>
      </c>
      <c r="AD19" s="17">
        <f t="shared" si="11"/>
        <v>0</v>
      </c>
      <c r="AE19" s="31">
        <f t="shared" si="11"/>
        <v>558</v>
      </c>
      <c r="AF19" s="31">
        <f t="shared" si="11"/>
        <v>1059</v>
      </c>
    </row>
    <row r="20" spans="2:32" ht="23.1" customHeight="1" x14ac:dyDescent="0.25">
      <c r="B20" s="23" t="s">
        <v>47</v>
      </c>
      <c r="C20" s="50">
        <v>75</v>
      </c>
      <c r="D20" s="50">
        <v>9</v>
      </c>
      <c r="E20" s="50">
        <v>6</v>
      </c>
      <c r="F20" s="50">
        <v>68</v>
      </c>
      <c r="G20" s="50">
        <v>0</v>
      </c>
      <c r="H20" s="50">
        <v>0</v>
      </c>
      <c r="I20" s="50">
        <v>4</v>
      </c>
      <c r="J20" s="50">
        <v>8</v>
      </c>
      <c r="K20" s="50">
        <v>0</v>
      </c>
      <c r="L20" s="50">
        <v>0</v>
      </c>
      <c r="M20" s="50">
        <v>195</v>
      </c>
      <c r="N20" s="50">
        <v>0</v>
      </c>
      <c r="O20" s="15">
        <f t="shared" si="0"/>
        <v>170</v>
      </c>
      <c r="P20" s="15">
        <f t="shared" si="1"/>
        <v>365</v>
      </c>
      <c r="R20" s="1" t="s">
        <v>16</v>
      </c>
      <c r="S20" s="17">
        <f t="shared" ref="S20:AF20" si="12">SUM(C50:C53)</f>
        <v>302</v>
      </c>
      <c r="T20" s="17">
        <f t="shared" si="12"/>
        <v>40</v>
      </c>
      <c r="U20" s="17">
        <f t="shared" si="12"/>
        <v>35</v>
      </c>
      <c r="V20" s="17">
        <f t="shared" si="12"/>
        <v>231</v>
      </c>
      <c r="W20" s="17">
        <f t="shared" si="12"/>
        <v>7</v>
      </c>
      <c r="X20" s="17">
        <f t="shared" si="12"/>
        <v>1</v>
      </c>
      <c r="Y20" s="17">
        <f t="shared" si="12"/>
        <v>22</v>
      </c>
      <c r="Z20" s="17">
        <f t="shared" si="12"/>
        <v>11</v>
      </c>
      <c r="AA20" s="17">
        <f t="shared" si="12"/>
        <v>5</v>
      </c>
      <c r="AB20" s="17">
        <f t="shared" si="12"/>
        <v>11</v>
      </c>
      <c r="AC20" s="17">
        <f t="shared" si="12"/>
        <v>525</v>
      </c>
      <c r="AD20" s="17">
        <f t="shared" si="12"/>
        <v>0</v>
      </c>
      <c r="AE20" s="31">
        <f t="shared" si="12"/>
        <v>665</v>
      </c>
      <c r="AF20" s="31">
        <f t="shared" si="12"/>
        <v>1190</v>
      </c>
    </row>
    <row r="21" spans="2:32" ht="23.1" customHeight="1" x14ac:dyDescent="0.25">
      <c r="B21" s="23" t="s">
        <v>48</v>
      </c>
      <c r="C21" s="50">
        <v>50</v>
      </c>
      <c r="D21" s="50">
        <v>6</v>
      </c>
      <c r="E21" s="50">
        <v>6</v>
      </c>
      <c r="F21" s="50">
        <v>50</v>
      </c>
      <c r="G21" s="50">
        <v>1</v>
      </c>
      <c r="H21" s="50">
        <v>0</v>
      </c>
      <c r="I21" s="50">
        <v>5</v>
      </c>
      <c r="J21" s="50">
        <v>2</v>
      </c>
      <c r="K21" s="50">
        <v>1</v>
      </c>
      <c r="L21" s="50">
        <v>1</v>
      </c>
      <c r="M21" s="50">
        <v>147</v>
      </c>
      <c r="N21" s="50">
        <v>0</v>
      </c>
      <c r="O21" s="15">
        <f t="shared" si="0"/>
        <v>122</v>
      </c>
      <c r="P21" s="15">
        <f t="shared" si="1"/>
        <v>269</v>
      </c>
      <c r="R21" s="36" t="s">
        <v>20</v>
      </c>
      <c r="S21" s="34">
        <f t="shared" ref="S21:AF21" si="13">SUM(C54:C57)</f>
        <v>305</v>
      </c>
      <c r="T21" s="17">
        <f t="shared" si="13"/>
        <v>19</v>
      </c>
      <c r="U21" s="17">
        <f t="shared" si="13"/>
        <v>20</v>
      </c>
      <c r="V21" s="17">
        <f t="shared" si="13"/>
        <v>373</v>
      </c>
      <c r="W21" s="17">
        <f t="shared" si="13"/>
        <v>4</v>
      </c>
      <c r="X21" s="17">
        <f t="shared" si="13"/>
        <v>3</v>
      </c>
      <c r="Y21" s="17">
        <f t="shared" si="13"/>
        <v>19</v>
      </c>
      <c r="Z21" s="17">
        <f t="shared" si="13"/>
        <v>12</v>
      </c>
      <c r="AA21" s="17">
        <f t="shared" si="13"/>
        <v>4</v>
      </c>
      <c r="AB21" s="17">
        <f t="shared" si="13"/>
        <v>2</v>
      </c>
      <c r="AC21" s="17">
        <f t="shared" si="13"/>
        <v>686</v>
      </c>
      <c r="AD21" s="17">
        <f t="shared" si="13"/>
        <v>0</v>
      </c>
      <c r="AE21" s="31">
        <f t="shared" si="13"/>
        <v>761</v>
      </c>
      <c r="AF21" s="31">
        <f t="shared" si="13"/>
        <v>1447</v>
      </c>
    </row>
    <row r="22" spans="2:32" ht="23.1" customHeight="1" x14ac:dyDescent="0.25">
      <c r="B22" s="23" t="s">
        <v>49</v>
      </c>
      <c r="C22" s="50">
        <v>56</v>
      </c>
      <c r="D22" s="50">
        <v>7</v>
      </c>
      <c r="E22" s="50">
        <v>4</v>
      </c>
      <c r="F22" s="50">
        <v>70</v>
      </c>
      <c r="G22" s="50">
        <v>1</v>
      </c>
      <c r="H22" s="50">
        <v>1</v>
      </c>
      <c r="I22" s="50">
        <v>4</v>
      </c>
      <c r="J22" s="50">
        <v>2</v>
      </c>
      <c r="K22" s="50">
        <v>0</v>
      </c>
      <c r="L22" s="50">
        <v>0</v>
      </c>
      <c r="M22" s="50">
        <v>228</v>
      </c>
      <c r="N22" s="50">
        <v>0</v>
      </c>
      <c r="O22" s="15">
        <f t="shared" si="0"/>
        <v>145</v>
      </c>
      <c r="P22" s="15">
        <f t="shared" si="1"/>
        <v>373</v>
      </c>
      <c r="R22" s="38" t="s">
        <v>90</v>
      </c>
      <c r="S22" s="39">
        <f>MAX(S10:S12)</f>
        <v>344</v>
      </c>
      <c r="T22" s="39">
        <f t="shared" ref="T22:AF22" si="14">MAX(T10:T12)</f>
        <v>24</v>
      </c>
      <c r="U22" s="39">
        <f t="shared" si="14"/>
        <v>35</v>
      </c>
      <c r="V22" s="39">
        <f t="shared" si="14"/>
        <v>261</v>
      </c>
      <c r="W22" s="39">
        <f t="shared" si="14"/>
        <v>5</v>
      </c>
      <c r="X22" s="39">
        <f t="shared" si="14"/>
        <v>3</v>
      </c>
      <c r="Y22" s="39">
        <f t="shared" si="14"/>
        <v>22</v>
      </c>
      <c r="Z22" s="39">
        <f t="shared" si="14"/>
        <v>18</v>
      </c>
      <c r="AA22" s="39">
        <f t="shared" si="14"/>
        <v>4</v>
      </c>
      <c r="AB22" s="39">
        <f t="shared" si="14"/>
        <v>10</v>
      </c>
      <c r="AC22" s="39">
        <f t="shared" si="14"/>
        <v>858</v>
      </c>
      <c r="AD22" s="39">
        <f t="shared" si="14"/>
        <v>0</v>
      </c>
      <c r="AE22" s="40">
        <f t="shared" si="14"/>
        <v>716</v>
      </c>
      <c r="AF22" s="40">
        <f t="shared" si="14"/>
        <v>1430</v>
      </c>
    </row>
    <row r="23" spans="2:32" ht="23.1" customHeight="1" x14ac:dyDescent="0.25">
      <c r="B23" s="23" t="s">
        <v>50</v>
      </c>
      <c r="C23" s="50">
        <v>65</v>
      </c>
      <c r="D23" s="50">
        <v>13</v>
      </c>
      <c r="E23" s="50">
        <v>8</v>
      </c>
      <c r="F23" s="50">
        <v>45</v>
      </c>
      <c r="G23" s="50">
        <v>2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185</v>
      </c>
      <c r="N23" s="50">
        <v>0</v>
      </c>
      <c r="O23" s="15">
        <f t="shared" si="0"/>
        <v>136</v>
      </c>
      <c r="P23" s="15">
        <f t="shared" si="1"/>
        <v>321</v>
      </c>
      <c r="R23" s="38" t="s">
        <v>91</v>
      </c>
      <c r="S23" s="39">
        <f>MAX(S13:S18)</f>
        <v>267</v>
      </c>
      <c r="T23" s="39">
        <f t="shared" ref="T23:AF23" si="15">MAX(T13:T18)</f>
        <v>36</v>
      </c>
      <c r="U23" s="39">
        <f t="shared" si="15"/>
        <v>39</v>
      </c>
      <c r="V23" s="39">
        <f t="shared" si="15"/>
        <v>223</v>
      </c>
      <c r="W23" s="39">
        <f t="shared" si="15"/>
        <v>5</v>
      </c>
      <c r="X23" s="39">
        <f t="shared" si="15"/>
        <v>3</v>
      </c>
      <c r="Y23" s="39">
        <f t="shared" si="15"/>
        <v>27</v>
      </c>
      <c r="Z23" s="39">
        <f t="shared" si="15"/>
        <v>19</v>
      </c>
      <c r="AA23" s="39">
        <f t="shared" si="15"/>
        <v>10</v>
      </c>
      <c r="AB23" s="39">
        <f t="shared" si="15"/>
        <v>6</v>
      </c>
      <c r="AC23" s="39">
        <f t="shared" si="15"/>
        <v>725</v>
      </c>
      <c r="AD23" s="39">
        <f t="shared" si="15"/>
        <v>0</v>
      </c>
      <c r="AE23" s="40">
        <f t="shared" si="15"/>
        <v>560</v>
      </c>
      <c r="AF23" s="40">
        <f t="shared" si="15"/>
        <v>1285</v>
      </c>
    </row>
    <row r="24" spans="2:32" ht="23.1" customHeight="1" x14ac:dyDescent="0.25">
      <c r="B24" s="23" t="s">
        <v>51</v>
      </c>
      <c r="C24" s="50">
        <v>53</v>
      </c>
      <c r="D24" s="50">
        <v>4</v>
      </c>
      <c r="E24" s="50">
        <v>8</v>
      </c>
      <c r="F24" s="50">
        <v>55</v>
      </c>
      <c r="G24" s="50">
        <v>1</v>
      </c>
      <c r="H24" s="50">
        <v>0</v>
      </c>
      <c r="I24" s="50">
        <v>8</v>
      </c>
      <c r="J24" s="50">
        <v>3</v>
      </c>
      <c r="K24" s="50">
        <v>3</v>
      </c>
      <c r="L24" s="50">
        <v>2</v>
      </c>
      <c r="M24" s="50">
        <v>182</v>
      </c>
      <c r="N24" s="50">
        <v>0</v>
      </c>
      <c r="O24" s="15">
        <f t="shared" si="0"/>
        <v>137</v>
      </c>
      <c r="P24" s="15">
        <f t="shared" si="1"/>
        <v>319</v>
      </c>
      <c r="R24" s="38" t="s">
        <v>92</v>
      </c>
      <c r="S24" s="39">
        <f>MAX(S19:S21)</f>
        <v>305</v>
      </c>
      <c r="T24" s="39">
        <f t="shared" ref="T24:AF24" si="16">MAX(T19:T21)</f>
        <v>40</v>
      </c>
      <c r="U24" s="39">
        <f t="shared" si="16"/>
        <v>40</v>
      </c>
      <c r="V24" s="39">
        <f t="shared" si="16"/>
        <v>373</v>
      </c>
      <c r="W24" s="39">
        <f t="shared" si="16"/>
        <v>7</v>
      </c>
      <c r="X24" s="39">
        <f t="shared" si="16"/>
        <v>3</v>
      </c>
      <c r="Y24" s="39">
        <f t="shared" si="16"/>
        <v>22</v>
      </c>
      <c r="Z24" s="39">
        <f t="shared" si="16"/>
        <v>12</v>
      </c>
      <c r="AA24" s="39">
        <f t="shared" si="16"/>
        <v>5</v>
      </c>
      <c r="AB24" s="39">
        <f t="shared" si="16"/>
        <v>11</v>
      </c>
      <c r="AC24" s="39">
        <f t="shared" si="16"/>
        <v>686</v>
      </c>
      <c r="AD24" s="39">
        <f t="shared" si="16"/>
        <v>0</v>
      </c>
      <c r="AE24" s="40">
        <f t="shared" si="16"/>
        <v>761</v>
      </c>
      <c r="AF24" s="40">
        <f t="shared" si="16"/>
        <v>1447</v>
      </c>
    </row>
    <row r="25" spans="2:32" ht="23.1" customHeight="1" x14ac:dyDescent="0.25">
      <c r="B25" s="23" t="s">
        <v>52</v>
      </c>
      <c r="C25" s="50">
        <v>67</v>
      </c>
      <c r="D25" s="50">
        <v>4</v>
      </c>
      <c r="E25" s="50">
        <v>7</v>
      </c>
      <c r="F25" s="50">
        <v>53</v>
      </c>
      <c r="G25" s="50">
        <v>1</v>
      </c>
      <c r="H25" s="50">
        <v>1</v>
      </c>
      <c r="I25" s="50">
        <v>5</v>
      </c>
      <c r="J25" s="50">
        <v>3</v>
      </c>
      <c r="K25" s="50">
        <v>1</v>
      </c>
      <c r="L25" s="50">
        <v>0</v>
      </c>
      <c r="M25" s="50">
        <v>130</v>
      </c>
      <c r="N25" s="50">
        <v>0</v>
      </c>
      <c r="O25" s="15">
        <f t="shared" si="0"/>
        <v>142</v>
      </c>
      <c r="P25" s="15">
        <f t="shared" si="1"/>
        <v>272</v>
      </c>
      <c r="R25" s="37" t="s">
        <v>85</v>
      </c>
      <c r="S25" s="35">
        <f t="shared" ref="S25:AF25" si="17">SUM(S10:S12)</f>
        <v>727</v>
      </c>
      <c r="T25" s="16">
        <f t="shared" si="17"/>
        <v>66</v>
      </c>
      <c r="U25" s="16">
        <f t="shared" si="17"/>
        <v>83</v>
      </c>
      <c r="V25" s="16">
        <f t="shared" si="17"/>
        <v>681</v>
      </c>
      <c r="W25" s="16">
        <f t="shared" si="17"/>
        <v>13</v>
      </c>
      <c r="X25" s="16">
        <f t="shared" si="17"/>
        <v>6</v>
      </c>
      <c r="Y25" s="16">
        <f t="shared" si="17"/>
        <v>59</v>
      </c>
      <c r="Z25" s="16">
        <f t="shared" si="17"/>
        <v>34</v>
      </c>
      <c r="AA25" s="16">
        <f t="shared" si="17"/>
        <v>11</v>
      </c>
      <c r="AB25" s="16">
        <f t="shared" si="17"/>
        <v>14</v>
      </c>
      <c r="AC25" s="16">
        <f t="shared" si="17"/>
        <v>2334</v>
      </c>
      <c r="AD25" s="16">
        <f t="shared" si="17"/>
        <v>0</v>
      </c>
      <c r="AE25" s="32">
        <f t="shared" si="17"/>
        <v>1694</v>
      </c>
      <c r="AF25" s="32">
        <f t="shared" si="17"/>
        <v>4028</v>
      </c>
    </row>
    <row r="26" spans="2:32" ht="23.1" customHeight="1" x14ac:dyDescent="0.25">
      <c r="B26" s="23" t="s">
        <v>53</v>
      </c>
      <c r="C26" s="50">
        <v>65</v>
      </c>
      <c r="D26" s="50">
        <v>8</v>
      </c>
      <c r="E26" s="50">
        <v>5</v>
      </c>
      <c r="F26" s="50">
        <v>60</v>
      </c>
      <c r="G26" s="50">
        <v>0</v>
      </c>
      <c r="H26" s="50">
        <v>1</v>
      </c>
      <c r="I26" s="50">
        <v>4</v>
      </c>
      <c r="J26" s="50">
        <v>3</v>
      </c>
      <c r="K26" s="50">
        <v>2</v>
      </c>
      <c r="L26" s="50">
        <v>0</v>
      </c>
      <c r="M26" s="50">
        <v>123</v>
      </c>
      <c r="N26" s="50">
        <v>0</v>
      </c>
      <c r="O26" s="15">
        <f t="shared" si="0"/>
        <v>148</v>
      </c>
      <c r="P26" s="15">
        <f t="shared" si="1"/>
        <v>271</v>
      </c>
      <c r="R26" s="28" t="s">
        <v>86</v>
      </c>
      <c r="S26" s="16">
        <f t="shared" ref="S26:AF26" si="18">SUM(S13:S18)</f>
        <v>1373</v>
      </c>
      <c r="T26" s="16">
        <f t="shared" si="18"/>
        <v>150</v>
      </c>
      <c r="U26" s="16">
        <f t="shared" si="18"/>
        <v>168</v>
      </c>
      <c r="V26" s="16">
        <f t="shared" si="18"/>
        <v>1028</v>
      </c>
      <c r="W26" s="16">
        <f t="shared" si="18"/>
        <v>9</v>
      </c>
      <c r="X26" s="16">
        <f t="shared" si="18"/>
        <v>8</v>
      </c>
      <c r="Y26" s="16">
        <f t="shared" si="18"/>
        <v>109</v>
      </c>
      <c r="Z26" s="16">
        <f t="shared" si="18"/>
        <v>78</v>
      </c>
      <c r="AA26" s="16">
        <f t="shared" si="18"/>
        <v>36</v>
      </c>
      <c r="AB26" s="16">
        <f t="shared" si="18"/>
        <v>15</v>
      </c>
      <c r="AC26" s="16">
        <f t="shared" si="18"/>
        <v>2841</v>
      </c>
      <c r="AD26" s="16">
        <f t="shared" si="18"/>
        <v>0</v>
      </c>
      <c r="AE26" s="32">
        <f t="shared" si="18"/>
        <v>2974</v>
      </c>
      <c r="AF26" s="32">
        <f t="shared" si="18"/>
        <v>5815</v>
      </c>
    </row>
    <row r="27" spans="2:32" ht="23.1" customHeight="1" x14ac:dyDescent="0.25">
      <c r="B27" s="23" t="s">
        <v>54</v>
      </c>
      <c r="C27" s="50">
        <v>52</v>
      </c>
      <c r="D27" s="50">
        <v>5</v>
      </c>
      <c r="E27" s="50">
        <v>5</v>
      </c>
      <c r="F27" s="50">
        <v>39</v>
      </c>
      <c r="G27" s="50">
        <v>0</v>
      </c>
      <c r="H27" s="50">
        <v>0</v>
      </c>
      <c r="I27" s="50">
        <v>6</v>
      </c>
      <c r="J27" s="50">
        <v>4</v>
      </c>
      <c r="K27" s="50">
        <v>3</v>
      </c>
      <c r="L27" s="50">
        <v>1</v>
      </c>
      <c r="M27" s="50">
        <v>132</v>
      </c>
      <c r="N27" s="50">
        <v>0</v>
      </c>
      <c r="O27" s="15">
        <f t="shared" si="0"/>
        <v>115</v>
      </c>
      <c r="P27" s="15">
        <f t="shared" si="1"/>
        <v>247</v>
      </c>
      <c r="R27" s="29" t="s">
        <v>87</v>
      </c>
      <c r="S27" s="16">
        <f t="shared" ref="S27:AF27" si="19">SUM(S19:S21)</f>
        <v>875</v>
      </c>
      <c r="T27" s="16">
        <f t="shared" si="19"/>
        <v>80</v>
      </c>
      <c r="U27" s="16">
        <f t="shared" si="19"/>
        <v>95</v>
      </c>
      <c r="V27" s="16">
        <f t="shared" si="19"/>
        <v>808</v>
      </c>
      <c r="W27" s="16">
        <f t="shared" si="19"/>
        <v>14</v>
      </c>
      <c r="X27" s="16">
        <f t="shared" si="19"/>
        <v>5</v>
      </c>
      <c r="Y27" s="16">
        <f t="shared" si="19"/>
        <v>54</v>
      </c>
      <c r="Z27" s="16">
        <f t="shared" si="19"/>
        <v>27</v>
      </c>
      <c r="AA27" s="16">
        <f t="shared" si="19"/>
        <v>12</v>
      </c>
      <c r="AB27" s="16">
        <f t="shared" si="19"/>
        <v>14</v>
      </c>
      <c r="AC27" s="16">
        <f t="shared" si="19"/>
        <v>1712</v>
      </c>
      <c r="AD27" s="16">
        <f t="shared" si="19"/>
        <v>0</v>
      </c>
      <c r="AE27" s="32">
        <f t="shared" si="19"/>
        <v>1984</v>
      </c>
      <c r="AF27" s="32">
        <f t="shared" si="19"/>
        <v>3696</v>
      </c>
    </row>
    <row r="28" spans="2:32" ht="23.1" customHeight="1" x14ac:dyDescent="0.25">
      <c r="B28" s="23" t="s">
        <v>55</v>
      </c>
      <c r="C28" s="50">
        <v>46</v>
      </c>
      <c r="D28" s="50">
        <v>8</v>
      </c>
      <c r="E28" s="50">
        <v>6</v>
      </c>
      <c r="F28" s="50">
        <v>48</v>
      </c>
      <c r="G28" s="50">
        <v>0</v>
      </c>
      <c r="H28" s="50">
        <v>1</v>
      </c>
      <c r="I28" s="50">
        <v>8</v>
      </c>
      <c r="J28" s="50">
        <v>6</v>
      </c>
      <c r="K28" s="50">
        <v>3</v>
      </c>
      <c r="L28" s="50">
        <v>0</v>
      </c>
      <c r="M28" s="50">
        <v>155</v>
      </c>
      <c r="N28" s="50">
        <v>0</v>
      </c>
      <c r="O28" s="15">
        <f t="shared" si="0"/>
        <v>126</v>
      </c>
      <c r="P28" s="15">
        <f t="shared" si="1"/>
        <v>281</v>
      </c>
      <c r="R28" s="5" t="s">
        <v>17</v>
      </c>
      <c r="S28" s="16">
        <f t="shared" ref="S28:AF28" si="20">SUM(S10:S21)</f>
        <v>2975</v>
      </c>
      <c r="T28" s="16">
        <f t="shared" si="20"/>
        <v>296</v>
      </c>
      <c r="U28" s="16">
        <f t="shared" si="20"/>
        <v>346</v>
      </c>
      <c r="V28" s="16">
        <f t="shared" si="20"/>
        <v>2517</v>
      </c>
      <c r="W28" s="16">
        <f t="shared" si="20"/>
        <v>36</v>
      </c>
      <c r="X28" s="16">
        <f t="shared" si="20"/>
        <v>19</v>
      </c>
      <c r="Y28" s="16">
        <f t="shared" si="20"/>
        <v>222</v>
      </c>
      <c r="Z28" s="16">
        <f t="shared" si="20"/>
        <v>139</v>
      </c>
      <c r="AA28" s="16">
        <f t="shared" si="20"/>
        <v>59</v>
      </c>
      <c r="AB28" s="16">
        <f t="shared" si="20"/>
        <v>43</v>
      </c>
      <c r="AC28" s="16">
        <f t="shared" si="20"/>
        <v>6887</v>
      </c>
      <c r="AD28" s="16">
        <f t="shared" si="20"/>
        <v>0</v>
      </c>
      <c r="AE28" s="32">
        <f t="shared" si="20"/>
        <v>6652</v>
      </c>
      <c r="AF28" s="32">
        <f t="shared" si="20"/>
        <v>13539</v>
      </c>
    </row>
    <row r="29" spans="2:32" ht="23.1" customHeight="1" x14ac:dyDescent="0.25">
      <c r="B29" s="23" t="s">
        <v>56</v>
      </c>
      <c r="C29" s="50">
        <v>73</v>
      </c>
      <c r="D29" s="50">
        <v>6</v>
      </c>
      <c r="E29" s="50">
        <v>7</v>
      </c>
      <c r="F29" s="50">
        <v>45</v>
      </c>
      <c r="G29" s="50">
        <v>1</v>
      </c>
      <c r="H29" s="50">
        <v>0</v>
      </c>
      <c r="I29" s="50">
        <v>9</v>
      </c>
      <c r="J29" s="50">
        <v>5</v>
      </c>
      <c r="K29" s="50">
        <v>1</v>
      </c>
      <c r="L29" s="50">
        <v>2</v>
      </c>
      <c r="M29" s="50">
        <v>113</v>
      </c>
      <c r="N29" s="50">
        <v>0</v>
      </c>
      <c r="O29" s="15">
        <f t="shared" si="0"/>
        <v>149</v>
      </c>
      <c r="P29" s="15">
        <f t="shared" si="1"/>
        <v>262</v>
      </c>
      <c r="R29"/>
      <c r="S29" s="20"/>
      <c r="T29" s="19"/>
    </row>
    <row r="30" spans="2:32" ht="23.1" customHeight="1" x14ac:dyDescent="0.25">
      <c r="B30" s="23" t="s">
        <v>57</v>
      </c>
      <c r="C30" s="50">
        <v>61</v>
      </c>
      <c r="D30" s="50">
        <v>2</v>
      </c>
      <c r="E30" s="50">
        <v>10</v>
      </c>
      <c r="F30" s="50">
        <v>34</v>
      </c>
      <c r="G30" s="50">
        <v>1</v>
      </c>
      <c r="H30" s="50">
        <v>0</v>
      </c>
      <c r="I30" s="50">
        <v>7</v>
      </c>
      <c r="J30" s="50">
        <v>5</v>
      </c>
      <c r="K30" s="50">
        <v>4</v>
      </c>
      <c r="L30" s="50">
        <v>1</v>
      </c>
      <c r="M30" s="50">
        <v>167</v>
      </c>
      <c r="N30" s="50">
        <v>0</v>
      </c>
      <c r="O30" s="15">
        <f t="shared" si="0"/>
        <v>125</v>
      </c>
      <c r="P30" s="15">
        <f t="shared" si="1"/>
        <v>292</v>
      </c>
    </row>
    <row r="31" spans="2:32" ht="23.1" customHeight="1" x14ac:dyDescent="0.25">
      <c r="B31" s="24" t="s">
        <v>58</v>
      </c>
      <c r="C31" s="50">
        <v>70</v>
      </c>
      <c r="D31" s="50">
        <v>5</v>
      </c>
      <c r="E31" s="50">
        <v>9</v>
      </c>
      <c r="F31" s="50">
        <v>35</v>
      </c>
      <c r="G31" s="50">
        <v>0</v>
      </c>
      <c r="H31" s="50">
        <v>0</v>
      </c>
      <c r="I31" s="50">
        <v>4</v>
      </c>
      <c r="J31" s="50">
        <v>3</v>
      </c>
      <c r="K31" s="50">
        <v>2</v>
      </c>
      <c r="L31" s="50">
        <v>1</v>
      </c>
      <c r="M31" s="50">
        <v>130</v>
      </c>
      <c r="N31" s="50">
        <v>0</v>
      </c>
      <c r="O31" s="15">
        <f t="shared" si="0"/>
        <v>129</v>
      </c>
      <c r="P31" s="15">
        <f t="shared" si="1"/>
        <v>259</v>
      </c>
    </row>
    <row r="32" spans="2:32" ht="23.1" customHeight="1" x14ac:dyDescent="0.25">
      <c r="B32" s="24" t="s">
        <v>59</v>
      </c>
      <c r="C32" s="50">
        <v>64</v>
      </c>
      <c r="D32" s="50">
        <v>4</v>
      </c>
      <c r="E32" s="50">
        <v>5</v>
      </c>
      <c r="F32" s="50">
        <v>23</v>
      </c>
      <c r="G32" s="50">
        <v>0</v>
      </c>
      <c r="H32" s="50">
        <v>0</v>
      </c>
      <c r="I32" s="50">
        <v>5</v>
      </c>
      <c r="J32" s="50">
        <v>2</v>
      </c>
      <c r="K32" s="50">
        <v>1</v>
      </c>
      <c r="L32" s="50">
        <v>1</v>
      </c>
      <c r="M32" s="50">
        <v>120</v>
      </c>
      <c r="N32" s="50">
        <v>0</v>
      </c>
      <c r="O32" s="15">
        <f t="shared" si="0"/>
        <v>105</v>
      </c>
      <c r="P32" s="15">
        <f t="shared" si="1"/>
        <v>225</v>
      </c>
    </row>
    <row r="33" spans="2:20" ht="23.1" customHeight="1" x14ac:dyDescent="0.25">
      <c r="B33" s="23" t="s">
        <v>60</v>
      </c>
      <c r="C33" s="50">
        <v>72</v>
      </c>
      <c r="D33" s="50">
        <v>3</v>
      </c>
      <c r="E33" s="50">
        <v>3</v>
      </c>
      <c r="F33" s="50">
        <v>50</v>
      </c>
      <c r="G33" s="50">
        <v>0</v>
      </c>
      <c r="H33" s="50">
        <v>1</v>
      </c>
      <c r="I33" s="50">
        <v>10</v>
      </c>
      <c r="J33" s="50">
        <v>5</v>
      </c>
      <c r="K33" s="50">
        <v>3</v>
      </c>
      <c r="L33" s="50">
        <v>0</v>
      </c>
      <c r="M33" s="50">
        <v>82</v>
      </c>
      <c r="N33" s="50">
        <v>0</v>
      </c>
      <c r="O33" s="15">
        <f t="shared" si="0"/>
        <v>147</v>
      </c>
      <c r="P33" s="15">
        <f t="shared" si="1"/>
        <v>229</v>
      </c>
    </row>
    <row r="34" spans="2:20" ht="23.1" customHeight="1" x14ac:dyDescent="0.25">
      <c r="B34" s="24" t="s">
        <v>61</v>
      </c>
      <c r="C34" s="50">
        <v>90</v>
      </c>
      <c r="D34" s="50">
        <v>9</v>
      </c>
      <c r="E34" s="50">
        <v>12</v>
      </c>
      <c r="F34" s="50">
        <v>55</v>
      </c>
      <c r="G34" s="50">
        <v>0</v>
      </c>
      <c r="H34" s="50">
        <v>0</v>
      </c>
      <c r="I34" s="50">
        <v>4</v>
      </c>
      <c r="J34" s="50">
        <v>5</v>
      </c>
      <c r="K34" s="50">
        <v>2</v>
      </c>
      <c r="L34" s="50">
        <v>0</v>
      </c>
      <c r="M34" s="50">
        <v>140</v>
      </c>
      <c r="N34" s="50">
        <v>0</v>
      </c>
      <c r="O34" s="15">
        <f t="shared" si="0"/>
        <v>177</v>
      </c>
      <c r="P34" s="15">
        <f t="shared" si="1"/>
        <v>317</v>
      </c>
    </row>
    <row r="35" spans="2:20" ht="23.1" customHeight="1" x14ac:dyDescent="0.25">
      <c r="B35" s="24" t="s">
        <v>62</v>
      </c>
      <c r="C35" s="50">
        <v>54</v>
      </c>
      <c r="D35" s="50">
        <v>7</v>
      </c>
      <c r="E35" s="50">
        <v>8</v>
      </c>
      <c r="F35" s="50">
        <v>43</v>
      </c>
      <c r="G35" s="50">
        <v>0</v>
      </c>
      <c r="H35" s="50">
        <v>0</v>
      </c>
      <c r="I35" s="50">
        <v>4</v>
      </c>
      <c r="J35" s="50">
        <v>6</v>
      </c>
      <c r="K35" s="50">
        <v>0</v>
      </c>
      <c r="L35" s="50">
        <v>0</v>
      </c>
      <c r="M35" s="50">
        <v>130</v>
      </c>
      <c r="N35" s="50">
        <v>0</v>
      </c>
      <c r="O35" s="15">
        <f t="shared" si="0"/>
        <v>122</v>
      </c>
      <c r="P35" s="15">
        <f t="shared" si="1"/>
        <v>252</v>
      </c>
    </row>
    <row r="36" spans="2:20" ht="23.1" customHeight="1" x14ac:dyDescent="0.25">
      <c r="B36" s="24" t="s">
        <v>63</v>
      </c>
      <c r="C36" s="50">
        <v>44</v>
      </c>
      <c r="D36" s="50">
        <v>7</v>
      </c>
      <c r="E36" s="50">
        <v>7</v>
      </c>
      <c r="F36" s="50">
        <v>20</v>
      </c>
      <c r="G36" s="50">
        <v>0</v>
      </c>
      <c r="H36" s="50">
        <v>0</v>
      </c>
      <c r="I36" s="50">
        <v>6</v>
      </c>
      <c r="J36" s="50">
        <v>5</v>
      </c>
      <c r="K36" s="50">
        <v>1</v>
      </c>
      <c r="L36" s="50">
        <v>1</v>
      </c>
      <c r="M36" s="50">
        <v>170</v>
      </c>
      <c r="N36" s="50">
        <v>0</v>
      </c>
      <c r="O36" s="15">
        <f t="shared" si="0"/>
        <v>91</v>
      </c>
      <c r="P36" s="15">
        <f t="shared" si="1"/>
        <v>261</v>
      </c>
    </row>
    <row r="37" spans="2:20" ht="23.1" customHeight="1" x14ac:dyDescent="0.25">
      <c r="B37" s="23" t="s">
        <v>64</v>
      </c>
      <c r="C37" s="50">
        <v>46</v>
      </c>
      <c r="D37" s="50">
        <v>13</v>
      </c>
      <c r="E37" s="50">
        <v>12</v>
      </c>
      <c r="F37" s="50">
        <v>34</v>
      </c>
      <c r="G37" s="50">
        <v>0</v>
      </c>
      <c r="H37" s="50">
        <v>0</v>
      </c>
      <c r="I37" s="50">
        <v>5</v>
      </c>
      <c r="J37" s="50">
        <v>3</v>
      </c>
      <c r="K37" s="50">
        <v>1</v>
      </c>
      <c r="L37" s="50">
        <v>0</v>
      </c>
      <c r="M37" s="50">
        <v>118</v>
      </c>
      <c r="N37" s="50">
        <v>0</v>
      </c>
      <c r="O37" s="15">
        <f t="shared" si="0"/>
        <v>114</v>
      </c>
      <c r="P37" s="15">
        <f t="shared" si="1"/>
        <v>232</v>
      </c>
    </row>
    <row r="38" spans="2:20" ht="23.1" customHeight="1" x14ac:dyDescent="0.25">
      <c r="B38" s="24" t="s">
        <v>65</v>
      </c>
      <c r="C38" s="50">
        <v>73</v>
      </c>
      <c r="D38" s="50">
        <v>11</v>
      </c>
      <c r="E38" s="50">
        <v>10</v>
      </c>
      <c r="F38" s="50">
        <v>50</v>
      </c>
      <c r="G38" s="50">
        <v>0</v>
      </c>
      <c r="H38" s="50">
        <v>2</v>
      </c>
      <c r="I38" s="50">
        <v>4</v>
      </c>
      <c r="J38" s="50">
        <v>3</v>
      </c>
      <c r="K38" s="50">
        <v>2</v>
      </c>
      <c r="L38" s="50">
        <v>1</v>
      </c>
      <c r="M38" s="50">
        <v>152</v>
      </c>
      <c r="N38" s="50">
        <v>0</v>
      </c>
      <c r="O38" s="15">
        <f t="shared" si="0"/>
        <v>156</v>
      </c>
      <c r="P38" s="15">
        <f t="shared" si="1"/>
        <v>308</v>
      </c>
    </row>
    <row r="39" spans="2:20" ht="23.1" customHeight="1" x14ac:dyDescent="0.25">
      <c r="B39" s="24" t="s">
        <v>66</v>
      </c>
      <c r="C39" s="50">
        <v>39</v>
      </c>
      <c r="D39" s="50">
        <v>1</v>
      </c>
      <c r="E39" s="50">
        <v>8</v>
      </c>
      <c r="F39" s="50">
        <v>15</v>
      </c>
      <c r="G39" s="50">
        <v>1</v>
      </c>
      <c r="H39" s="50">
        <v>1</v>
      </c>
      <c r="I39" s="50">
        <v>3</v>
      </c>
      <c r="J39" s="50">
        <v>4</v>
      </c>
      <c r="K39" s="50">
        <v>5</v>
      </c>
      <c r="L39" s="50">
        <v>3</v>
      </c>
      <c r="M39" s="50">
        <v>129</v>
      </c>
      <c r="N39" s="50">
        <v>0</v>
      </c>
      <c r="O39" s="15">
        <f t="shared" si="0"/>
        <v>80</v>
      </c>
      <c r="P39" s="15">
        <f t="shared" si="1"/>
        <v>209</v>
      </c>
    </row>
    <row r="40" spans="2:20" ht="23.1" customHeight="1" x14ac:dyDescent="0.25">
      <c r="B40" s="24" t="s">
        <v>67</v>
      </c>
      <c r="C40" s="50">
        <v>40</v>
      </c>
      <c r="D40" s="50">
        <v>3</v>
      </c>
      <c r="E40" s="50">
        <v>5</v>
      </c>
      <c r="F40" s="50">
        <v>34</v>
      </c>
      <c r="G40" s="50">
        <v>0</v>
      </c>
      <c r="H40" s="50">
        <v>0</v>
      </c>
      <c r="I40" s="50">
        <v>7</v>
      </c>
      <c r="J40" s="50">
        <v>6</v>
      </c>
      <c r="K40" s="50">
        <v>0</v>
      </c>
      <c r="L40" s="50">
        <v>2</v>
      </c>
      <c r="M40" s="50">
        <v>118</v>
      </c>
      <c r="N40" s="50">
        <v>0</v>
      </c>
      <c r="O40" s="15">
        <f t="shared" si="0"/>
        <v>97</v>
      </c>
      <c r="P40" s="15">
        <f t="shared" si="1"/>
        <v>215</v>
      </c>
    </row>
    <row r="41" spans="2:20" ht="23.1" customHeight="1" x14ac:dyDescent="0.25">
      <c r="B41" s="23" t="s">
        <v>68</v>
      </c>
      <c r="C41" s="50">
        <v>38</v>
      </c>
      <c r="D41" s="50">
        <v>6</v>
      </c>
      <c r="E41" s="50">
        <v>4</v>
      </c>
      <c r="F41" s="50">
        <v>50</v>
      </c>
      <c r="G41" s="50">
        <v>0</v>
      </c>
      <c r="H41" s="50">
        <v>0</v>
      </c>
      <c r="I41" s="50">
        <v>5</v>
      </c>
      <c r="J41" s="50">
        <v>3</v>
      </c>
      <c r="K41" s="50">
        <v>2</v>
      </c>
      <c r="L41" s="50">
        <v>0</v>
      </c>
      <c r="M41" s="50">
        <v>137</v>
      </c>
      <c r="N41" s="50">
        <v>0</v>
      </c>
      <c r="O41" s="15">
        <f t="shared" si="0"/>
        <v>108</v>
      </c>
      <c r="P41" s="15">
        <f t="shared" si="1"/>
        <v>245</v>
      </c>
    </row>
    <row r="42" spans="2:20" ht="23.1" customHeight="1" x14ac:dyDescent="0.25">
      <c r="B42" s="24" t="s">
        <v>69</v>
      </c>
      <c r="C42" s="50">
        <v>38</v>
      </c>
      <c r="D42" s="50">
        <v>5</v>
      </c>
      <c r="E42" s="50">
        <v>8</v>
      </c>
      <c r="F42" s="50">
        <v>49</v>
      </c>
      <c r="G42" s="50">
        <v>1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101</v>
      </c>
      <c r="P42" s="15">
        <f t="shared" si="1"/>
        <v>101</v>
      </c>
    </row>
    <row r="43" spans="2:20" ht="23.1" customHeight="1" x14ac:dyDescent="0.25">
      <c r="B43" s="23" t="s">
        <v>70</v>
      </c>
      <c r="C43" s="50">
        <v>53</v>
      </c>
      <c r="D43" s="50">
        <v>7</v>
      </c>
      <c r="E43" s="50">
        <v>6</v>
      </c>
      <c r="F43" s="50">
        <v>34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100</v>
      </c>
      <c r="P43" s="15">
        <f t="shared" si="1"/>
        <v>100</v>
      </c>
    </row>
    <row r="44" spans="2:20" ht="23.1" customHeight="1" x14ac:dyDescent="0.25">
      <c r="B44" s="25" t="s">
        <v>71</v>
      </c>
      <c r="C44" s="50">
        <v>50</v>
      </c>
      <c r="D44" s="50">
        <v>5</v>
      </c>
      <c r="E44" s="50">
        <v>7</v>
      </c>
      <c r="F44" s="50">
        <v>37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99</v>
      </c>
      <c r="P44" s="15">
        <f t="shared" si="1"/>
        <v>99</v>
      </c>
    </row>
    <row r="45" spans="2:20" ht="23.1" customHeight="1" x14ac:dyDescent="0.25">
      <c r="B45" s="23" t="s">
        <v>72</v>
      </c>
      <c r="C45" s="50">
        <v>64</v>
      </c>
      <c r="D45" s="50">
        <v>7</v>
      </c>
      <c r="E45" s="50">
        <v>4</v>
      </c>
      <c r="F45" s="50">
        <v>50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125</v>
      </c>
      <c r="P45" s="15">
        <f t="shared" si="1"/>
        <v>125</v>
      </c>
    </row>
    <row r="46" spans="2:20" ht="23.1" customHeight="1" x14ac:dyDescent="0.25">
      <c r="B46" s="24" t="s">
        <v>73</v>
      </c>
      <c r="C46" s="50">
        <v>57</v>
      </c>
      <c r="D46" s="50">
        <v>6</v>
      </c>
      <c r="E46" s="50">
        <v>9</v>
      </c>
      <c r="F46" s="50">
        <v>42</v>
      </c>
      <c r="G46" s="50">
        <v>2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127</v>
      </c>
      <c r="N46" s="50">
        <v>0</v>
      </c>
      <c r="O46" s="15">
        <f t="shared" si="0"/>
        <v>121</v>
      </c>
      <c r="P46" s="15">
        <f t="shared" si="1"/>
        <v>248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3</v>
      </c>
      <c r="E47" s="50">
        <v>8</v>
      </c>
      <c r="F47" s="50">
        <v>65</v>
      </c>
      <c r="G47" s="50">
        <v>0</v>
      </c>
      <c r="H47" s="50">
        <v>1</v>
      </c>
      <c r="I47" s="50">
        <v>2</v>
      </c>
      <c r="J47" s="50">
        <v>1</v>
      </c>
      <c r="K47" s="50">
        <v>1</v>
      </c>
      <c r="L47" s="50">
        <v>0</v>
      </c>
      <c r="M47" s="50">
        <v>132</v>
      </c>
      <c r="N47" s="50">
        <v>0</v>
      </c>
      <c r="O47" s="15">
        <f t="shared" si="0"/>
        <v>141</v>
      </c>
      <c r="P47" s="15">
        <f t="shared" si="1"/>
        <v>273</v>
      </c>
      <c r="R47" s="8"/>
      <c r="T47"/>
    </row>
    <row r="48" spans="2:20" ht="23.1" customHeight="1" x14ac:dyDescent="0.25">
      <c r="B48" s="24" t="s">
        <v>75</v>
      </c>
      <c r="C48" s="50">
        <v>66</v>
      </c>
      <c r="D48" s="50">
        <v>7</v>
      </c>
      <c r="E48" s="50">
        <v>9</v>
      </c>
      <c r="F48" s="50">
        <v>48</v>
      </c>
      <c r="G48" s="50">
        <v>0</v>
      </c>
      <c r="H48" s="50">
        <v>0</v>
      </c>
      <c r="I48" s="50">
        <v>3</v>
      </c>
      <c r="J48" s="50">
        <v>0</v>
      </c>
      <c r="K48" s="50">
        <v>2</v>
      </c>
      <c r="L48" s="50">
        <v>1</v>
      </c>
      <c r="M48" s="50">
        <v>130</v>
      </c>
      <c r="N48" s="50">
        <v>0</v>
      </c>
      <c r="O48" s="15">
        <f t="shared" si="0"/>
        <v>136</v>
      </c>
      <c r="P48" s="15">
        <f t="shared" si="1"/>
        <v>266</v>
      </c>
      <c r="R48" s="8"/>
      <c r="T48"/>
    </row>
    <row r="49" spans="2:20" ht="23.1" customHeight="1" x14ac:dyDescent="0.25">
      <c r="B49" s="23" t="s">
        <v>76</v>
      </c>
      <c r="C49" s="50">
        <v>85</v>
      </c>
      <c r="D49" s="50">
        <v>5</v>
      </c>
      <c r="E49" s="50">
        <v>14</v>
      </c>
      <c r="F49" s="50">
        <v>49</v>
      </c>
      <c r="G49" s="50">
        <v>1</v>
      </c>
      <c r="H49" s="50">
        <v>0</v>
      </c>
      <c r="I49" s="50">
        <v>4</v>
      </c>
      <c r="J49" s="50">
        <v>2</v>
      </c>
      <c r="K49" s="50">
        <v>0</v>
      </c>
      <c r="L49" s="50">
        <v>0</v>
      </c>
      <c r="M49" s="50">
        <v>112</v>
      </c>
      <c r="N49" s="50">
        <v>0</v>
      </c>
      <c r="O49" s="15">
        <f t="shared" si="0"/>
        <v>160</v>
      </c>
      <c r="P49" s="15">
        <f t="shared" si="1"/>
        <v>272</v>
      </c>
      <c r="R49" s="8"/>
      <c r="T49"/>
    </row>
    <row r="50" spans="2:20" ht="23.1" customHeight="1" x14ac:dyDescent="0.25">
      <c r="B50" s="24" t="s">
        <v>77</v>
      </c>
      <c r="C50" s="50">
        <v>69</v>
      </c>
      <c r="D50" s="50">
        <v>8</v>
      </c>
      <c r="E50" s="50">
        <v>7</v>
      </c>
      <c r="F50" s="50">
        <v>48</v>
      </c>
      <c r="G50" s="50">
        <v>2</v>
      </c>
      <c r="H50" s="50">
        <v>0</v>
      </c>
      <c r="I50" s="50">
        <v>4</v>
      </c>
      <c r="J50" s="50">
        <v>2</v>
      </c>
      <c r="K50" s="50">
        <v>0</v>
      </c>
      <c r="L50" s="50">
        <v>1</v>
      </c>
      <c r="M50" s="50">
        <v>130</v>
      </c>
      <c r="N50" s="50">
        <v>0</v>
      </c>
      <c r="O50" s="15">
        <f t="shared" si="0"/>
        <v>141</v>
      </c>
      <c r="P50" s="15">
        <f t="shared" si="1"/>
        <v>271</v>
      </c>
      <c r="R50" s="8"/>
      <c r="T50"/>
    </row>
    <row r="51" spans="2:20" ht="23.1" customHeight="1" x14ac:dyDescent="0.25">
      <c r="B51" s="24" t="s">
        <v>78</v>
      </c>
      <c r="C51" s="50">
        <v>74</v>
      </c>
      <c r="D51" s="50">
        <v>12</v>
      </c>
      <c r="E51" s="50">
        <v>13</v>
      </c>
      <c r="F51" s="50">
        <v>58</v>
      </c>
      <c r="G51" s="50">
        <v>1</v>
      </c>
      <c r="H51" s="50">
        <v>0</v>
      </c>
      <c r="I51" s="50">
        <v>8</v>
      </c>
      <c r="J51" s="50">
        <v>1</v>
      </c>
      <c r="K51" s="50">
        <v>4</v>
      </c>
      <c r="L51" s="50">
        <v>2</v>
      </c>
      <c r="M51" s="50">
        <v>120</v>
      </c>
      <c r="N51" s="50">
        <v>0</v>
      </c>
      <c r="O51" s="15">
        <f t="shared" si="0"/>
        <v>173</v>
      </c>
      <c r="P51" s="15">
        <f t="shared" si="1"/>
        <v>293</v>
      </c>
      <c r="R51" s="8"/>
      <c r="T51"/>
    </row>
    <row r="52" spans="2:20" ht="23.1" customHeight="1" x14ac:dyDescent="0.25">
      <c r="B52" s="24" t="s">
        <v>79</v>
      </c>
      <c r="C52" s="50">
        <v>74</v>
      </c>
      <c r="D52" s="50">
        <v>13</v>
      </c>
      <c r="E52" s="50">
        <v>6</v>
      </c>
      <c r="F52" s="50">
        <v>64</v>
      </c>
      <c r="G52" s="50">
        <v>2</v>
      </c>
      <c r="H52" s="50">
        <v>0</v>
      </c>
      <c r="I52" s="50">
        <v>5</v>
      </c>
      <c r="J52" s="50">
        <v>3</v>
      </c>
      <c r="K52" s="50">
        <v>1</v>
      </c>
      <c r="L52" s="50">
        <v>3</v>
      </c>
      <c r="M52" s="50">
        <v>140</v>
      </c>
      <c r="N52" s="50">
        <v>0</v>
      </c>
      <c r="O52" s="15">
        <f t="shared" si="0"/>
        <v>171</v>
      </c>
      <c r="P52" s="15">
        <f t="shared" si="1"/>
        <v>311</v>
      </c>
      <c r="R52" s="8"/>
      <c r="T52"/>
    </row>
    <row r="53" spans="2:20" ht="23.1" customHeight="1" x14ac:dyDescent="0.25">
      <c r="B53" s="23" t="s">
        <v>80</v>
      </c>
      <c r="C53" s="50">
        <v>85</v>
      </c>
      <c r="D53" s="50">
        <v>7</v>
      </c>
      <c r="E53" s="50">
        <v>9</v>
      </c>
      <c r="F53" s="50">
        <v>61</v>
      </c>
      <c r="G53" s="50">
        <v>2</v>
      </c>
      <c r="H53" s="50">
        <v>1</v>
      </c>
      <c r="I53" s="50">
        <v>5</v>
      </c>
      <c r="J53" s="50">
        <v>5</v>
      </c>
      <c r="K53" s="50">
        <v>0</v>
      </c>
      <c r="L53" s="50">
        <v>5</v>
      </c>
      <c r="M53" s="50">
        <v>135</v>
      </c>
      <c r="N53" s="50">
        <v>0</v>
      </c>
      <c r="O53" s="15">
        <f t="shared" si="0"/>
        <v>180</v>
      </c>
      <c r="P53" s="15">
        <f t="shared" si="1"/>
        <v>315</v>
      </c>
      <c r="R53" s="8"/>
      <c r="T53"/>
    </row>
    <row r="54" spans="2:20" ht="23.1" customHeight="1" x14ac:dyDescent="0.25">
      <c r="B54" s="23" t="s">
        <v>81</v>
      </c>
      <c r="C54" s="50">
        <v>65</v>
      </c>
      <c r="D54" s="50">
        <v>7</v>
      </c>
      <c r="E54" s="50">
        <v>8</v>
      </c>
      <c r="F54" s="50">
        <v>73</v>
      </c>
      <c r="G54" s="50">
        <v>1</v>
      </c>
      <c r="H54" s="50">
        <v>1</v>
      </c>
      <c r="I54" s="50">
        <v>2</v>
      </c>
      <c r="J54" s="50">
        <v>2</v>
      </c>
      <c r="K54" s="50">
        <v>0</v>
      </c>
      <c r="L54" s="50">
        <v>1</v>
      </c>
      <c r="M54" s="50">
        <v>170</v>
      </c>
      <c r="N54" s="50">
        <v>0</v>
      </c>
      <c r="O54" s="15">
        <f t="shared" si="0"/>
        <v>160</v>
      </c>
      <c r="P54" s="15">
        <f t="shared" si="1"/>
        <v>330</v>
      </c>
      <c r="R54" s="8"/>
      <c r="T54"/>
    </row>
    <row r="55" spans="2:20" ht="23.1" customHeight="1" x14ac:dyDescent="0.25">
      <c r="B55" s="23" t="s">
        <v>82</v>
      </c>
      <c r="C55" s="50">
        <v>80</v>
      </c>
      <c r="D55" s="50">
        <v>8</v>
      </c>
      <c r="E55" s="50">
        <v>7</v>
      </c>
      <c r="F55" s="50">
        <v>115</v>
      </c>
      <c r="G55" s="50">
        <v>1</v>
      </c>
      <c r="H55" s="50">
        <v>1</v>
      </c>
      <c r="I55" s="50">
        <v>7</v>
      </c>
      <c r="J55" s="50">
        <v>2</v>
      </c>
      <c r="K55" s="50">
        <v>1</v>
      </c>
      <c r="L55" s="50">
        <v>1</v>
      </c>
      <c r="M55" s="50">
        <v>150</v>
      </c>
      <c r="N55" s="50">
        <v>0</v>
      </c>
      <c r="O55" s="15">
        <f t="shared" si="0"/>
        <v>223</v>
      </c>
      <c r="P55" s="15">
        <f t="shared" si="1"/>
        <v>373</v>
      </c>
      <c r="R55" s="8"/>
      <c r="T55"/>
    </row>
    <row r="56" spans="2:20" ht="23.1" customHeight="1" x14ac:dyDescent="0.25">
      <c r="B56" s="23" t="s">
        <v>83</v>
      </c>
      <c r="C56" s="50">
        <v>75</v>
      </c>
      <c r="D56" s="50">
        <v>3</v>
      </c>
      <c r="E56" s="50">
        <v>5</v>
      </c>
      <c r="F56" s="50">
        <v>100</v>
      </c>
      <c r="G56" s="50">
        <v>0</v>
      </c>
      <c r="H56" s="50">
        <v>0</v>
      </c>
      <c r="I56" s="50">
        <v>9</v>
      </c>
      <c r="J56" s="50">
        <v>7</v>
      </c>
      <c r="K56" s="50">
        <v>1</v>
      </c>
      <c r="L56" s="50">
        <v>0</v>
      </c>
      <c r="M56" s="50">
        <v>179</v>
      </c>
      <c r="N56" s="50">
        <v>0</v>
      </c>
      <c r="O56" s="15">
        <f t="shared" si="0"/>
        <v>200</v>
      </c>
      <c r="P56" s="15">
        <f t="shared" si="1"/>
        <v>379</v>
      </c>
      <c r="R56" s="8"/>
      <c r="T56"/>
    </row>
    <row r="57" spans="2:20" ht="23.1" customHeight="1" x14ac:dyDescent="0.25">
      <c r="B57" s="23" t="s">
        <v>84</v>
      </c>
      <c r="C57" s="50">
        <v>85</v>
      </c>
      <c r="D57" s="50">
        <v>1</v>
      </c>
      <c r="E57" s="50">
        <v>0</v>
      </c>
      <c r="F57" s="50">
        <v>85</v>
      </c>
      <c r="G57" s="50">
        <v>2</v>
      </c>
      <c r="H57" s="50">
        <v>1</v>
      </c>
      <c r="I57" s="50">
        <v>1</v>
      </c>
      <c r="J57" s="50">
        <v>1</v>
      </c>
      <c r="K57" s="50">
        <v>2</v>
      </c>
      <c r="L57" s="50">
        <v>0</v>
      </c>
      <c r="M57" s="50">
        <v>187</v>
      </c>
      <c r="N57" s="50">
        <v>0</v>
      </c>
      <c r="O57" s="15">
        <f t="shared" si="0"/>
        <v>178</v>
      </c>
      <c r="P57" s="15">
        <f t="shared" si="1"/>
        <v>365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2975</v>
      </c>
      <c r="D58" s="16">
        <f t="shared" si="21"/>
        <v>296</v>
      </c>
      <c r="E58" s="16">
        <f t="shared" si="21"/>
        <v>346</v>
      </c>
      <c r="F58" s="16">
        <f t="shared" si="21"/>
        <v>2517</v>
      </c>
      <c r="G58" s="16">
        <f t="shared" si="21"/>
        <v>36</v>
      </c>
      <c r="H58" s="16">
        <f t="shared" si="21"/>
        <v>19</v>
      </c>
      <c r="I58" s="16">
        <f t="shared" si="21"/>
        <v>222</v>
      </c>
      <c r="J58" s="16">
        <f t="shared" si="21"/>
        <v>139</v>
      </c>
      <c r="K58" s="16">
        <f t="shared" si="21"/>
        <v>59</v>
      </c>
      <c r="L58" s="16">
        <f t="shared" si="21"/>
        <v>43</v>
      </c>
      <c r="M58" s="16">
        <f t="shared" si="21"/>
        <v>6887</v>
      </c>
      <c r="N58" s="16">
        <f t="shared" si="21"/>
        <v>0</v>
      </c>
      <c r="O58" s="16">
        <f t="shared" si="21"/>
        <v>6652</v>
      </c>
      <c r="P58" s="16">
        <f t="shared" si="21"/>
        <v>13539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0.21973557869857449</v>
      </c>
      <c r="D59" s="43">
        <f t="shared" si="22"/>
        <v>2.1862766821774134E-2</v>
      </c>
      <c r="E59" s="43">
        <f t="shared" si="22"/>
        <v>2.555580175788463E-2</v>
      </c>
      <c r="F59" s="43">
        <f t="shared" si="22"/>
        <v>0.18590737868380236</v>
      </c>
      <c r="G59" s="43">
        <f t="shared" si="22"/>
        <v>2.658985153999557E-3</v>
      </c>
      <c r="H59" s="43">
        <f t="shared" si="22"/>
        <v>1.4033532757219884E-3</v>
      </c>
      <c r="I59" s="43">
        <f t="shared" si="22"/>
        <v>1.6397075116330602E-2</v>
      </c>
      <c r="J59" s="43">
        <f t="shared" si="22"/>
        <v>1.0266637122387177E-2</v>
      </c>
      <c r="K59" s="43">
        <f t="shared" si="22"/>
        <v>4.3577812246103848E-3</v>
      </c>
      <c r="L59" s="43">
        <f t="shared" si="22"/>
        <v>3.1760100450550261E-3</v>
      </c>
      <c r="M59" s="43">
        <f t="shared" si="22"/>
        <v>0.50867863209985964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0.44723391461214673</v>
      </c>
      <c r="D60" s="44">
        <f t="shared" ref="D60:N60" si="23">D58/$O$58</f>
        <v>4.4497895369813592E-2</v>
      </c>
      <c r="E60" s="44">
        <f t="shared" si="23"/>
        <v>5.2014431749849668E-2</v>
      </c>
      <c r="F60" s="44">
        <f t="shared" si="23"/>
        <v>0.37838244137101623</v>
      </c>
      <c r="G60" s="44">
        <f t="shared" si="23"/>
        <v>5.4119061936259774E-3</v>
      </c>
      <c r="H60" s="44">
        <f t="shared" si="23"/>
        <v>2.8562838244137103E-3</v>
      </c>
      <c r="I60" s="44">
        <f t="shared" si="23"/>
        <v>3.3373421527360191E-2</v>
      </c>
      <c r="J60" s="44">
        <f t="shared" si="23"/>
        <v>2.08959711365003E-2</v>
      </c>
      <c r="K60" s="44">
        <f t="shared" si="23"/>
        <v>8.8695129284425741E-3</v>
      </c>
      <c r="L60" s="44">
        <f t="shared" si="23"/>
        <v>6.4642212868310286E-3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F53" zoomScale="60" workbookViewId="0">
      <selection activeCell="AD46" sqref="AD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1" width="10.7109375" customWidth="1"/>
    <col min="32" max="32" width="11.85546875" bestFit="1" customWidth="1"/>
    <col min="33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'28.07 GAYAZA-KALERWE'!C3:G3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169</v>
      </c>
      <c r="E5" s="68"/>
      <c r="F5" s="41" t="s">
        <v>1</v>
      </c>
      <c r="G5" s="65" t="str">
        <f>'28.07 KALERWE-GAYAZA'!G5:H5</f>
        <v>DELTA KYEBANDO</v>
      </c>
      <c r="H5" s="66"/>
      <c r="I5" s="14"/>
      <c r="J5" s="2" t="s">
        <v>5</v>
      </c>
      <c r="K5" s="65" t="str">
        <f>'28.07 KALERWE-GAYAZA'!K5:L5</f>
        <v>NALUBEGA JOSEPHINE AND NANDUTU SANDRAH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'28.07 KALERWE-GAYAZA'!D6:E6</f>
        <v>KALERWE</v>
      </c>
      <c r="E6" s="66"/>
      <c r="F6" s="2" t="s">
        <v>2</v>
      </c>
      <c r="G6" s="65" t="str">
        <f>'28.07 KALERWE-GAYAZA'!G6:H6</f>
        <v>GAYAZA</v>
      </c>
      <c r="H6" s="66"/>
      <c r="J6" s="2" t="s">
        <v>21</v>
      </c>
      <c r="K6" s="65" t="str">
        <f>'28.07 KALERWE-GAYAZA'!K6:L6</f>
        <v>LAWRENCE AND WALAKILA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KALERWE-GAYAZA'!C10,'23.07 KALERWE-GAYAZA'!C10,'24.07 KALERWE-GAYAZA'!C10,'25.07 KALERWE-GAYAZA'!C10,'26.07 KALERWE-GAYAZA-24h'!C10,'27.07 KALERWE-GAYAZA-24h'!C10,'28.07 KALERWE-GAYAZA'!C10)</f>
        <v>33.857142857142854</v>
      </c>
      <c r="D10" s="49">
        <f>AVERAGE('22.07 KALERWE-GAYAZA'!D10,'23.07 KALERWE-GAYAZA'!D10,'24.07 KALERWE-GAYAZA'!D10,'25.07 KALERWE-GAYAZA'!D10,'26.07 KALERWE-GAYAZA-24h'!D10,'27.07 KALERWE-GAYAZA-24h'!D10,'28.07 KALERWE-GAYAZA'!D10)</f>
        <v>13</v>
      </c>
      <c r="E10" s="49">
        <f>AVERAGE('22.07 KALERWE-GAYAZA'!E10,'23.07 KALERWE-GAYAZA'!E10,'24.07 KALERWE-GAYAZA'!E10,'25.07 KALERWE-GAYAZA'!E10,'26.07 KALERWE-GAYAZA-24h'!E10,'27.07 KALERWE-GAYAZA-24h'!E10,'28.07 KALERWE-GAYAZA'!E10)</f>
        <v>7.7142857142857144</v>
      </c>
      <c r="F10" s="49">
        <f>AVERAGE('22.07 KALERWE-GAYAZA'!F10,'23.07 KALERWE-GAYAZA'!F10,'24.07 KALERWE-GAYAZA'!F10,'25.07 KALERWE-GAYAZA'!F10,'26.07 KALERWE-GAYAZA-24h'!F10,'27.07 KALERWE-GAYAZA-24h'!F10,'28.07 KALERWE-GAYAZA'!F10)</f>
        <v>51.714285714285715</v>
      </c>
      <c r="G10" s="49">
        <f>AVERAGE('22.07 KALERWE-GAYAZA'!G10,'23.07 KALERWE-GAYAZA'!G10,'24.07 KALERWE-GAYAZA'!G10,'25.07 KALERWE-GAYAZA'!G10,'26.07 KALERWE-GAYAZA-24h'!G10,'27.07 KALERWE-GAYAZA-24h'!G10,'28.07 KALERWE-GAYAZA'!G10)</f>
        <v>1.5714285714285714</v>
      </c>
      <c r="H10" s="49">
        <f>AVERAGE('22.07 KALERWE-GAYAZA'!H10,'23.07 KALERWE-GAYAZA'!H10,'24.07 KALERWE-GAYAZA'!H10,'25.07 KALERWE-GAYAZA'!H10,'26.07 KALERWE-GAYAZA-24h'!H10,'27.07 KALERWE-GAYAZA-24h'!H10,'28.07 KALERWE-GAYAZA'!H10)</f>
        <v>1.2857142857142858</v>
      </c>
      <c r="I10" s="49">
        <f>AVERAGE('22.07 KALERWE-GAYAZA'!I10,'23.07 KALERWE-GAYAZA'!I10,'24.07 KALERWE-GAYAZA'!I10,'25.07 KALERWE-GAYAZA'!I10,'26.07 KALERWE-GAYAZA-24h'!I10,'27.07 KALERWE-GAYAZA-24h'!I10,'28.07 KALERWE-GAYAZA'!I10)</f>
        <v>5.1428571428571432</v>
      </c>
      <c r="J10" s="49">
        <f>AVERAGE('22.07 KALERWE-GAYAZA'!J10,'23.07 KALERWE-GAYAZA'!J10,'24.07 KALERWE-GAYAZA'!J10,'25.07 KALERWE-GAYAZA'!J10,'26.07 KALERWE-GAYAZA-24h'!J10,'27.07 KALERWE-GAYAZA-24h'!J10,'28.07 KALERWE-GAYAZA'!J10)</f>
        <v>1.5714285714285714</v>
      </c>
      <c r="K10" s="49">
        <f>AVERAGE('22.07 KALERWE-GAYAZA'!K10,'23.07 KALERWE-GAYAZA'!K10,'24.07 KALERWE-GAYAZA'!K10,'25.07 KALERWE-GAYAZA'!K10,'26.07 KALERWE-GAYAZA-24h'!K10,'27.07 KALERWE-GAYAZA-24h'!K10,'28.07 KALERWE-GAYAZA'!K10)</f>
        <v>0.8571428571428571</v>
      </c>
      <c r="L10" s="49">
        <f>AVERAGE('22.07 KALERWE-GAYAZA'!L10,'23.07 KALERWE-GAYAZA'!L10,'24.07 KALERWE-GAYAZA'!L10,'25.07 KALERWE-GAYAZA'!L10,'26.07 KALERWE-GAYAZA-24h'!L10,'27.07 KALERWE-GAYAZA-24h'!L10,'28.07 KALERWE-GAYAZA'!L10)</f>
        <v>1.7142857142857142</v>
      </c>
      <c r="M10" s="49">
        <f>AVERAGE('22.07 KALERWE-GAYAZA'!M10,'23.07 KALERWE-GAYAZA'!M10,'24.07 KALERWE-GAYAZA'!M10,'25.07 KALERWE-GAYAZA'!M10,'26.07 KALERWE-GAYAZA-24h'!M10,'27.07 KALERWE-GAYAZA-24h'!M10,'28.07 KALERWE-GAYAZA'!M10)</f>
        <v>218.57142857142858</v>
      </c>
      <c r="N10" s="49">
        <f>AVERAGE('22.07 KALERWE-GAYAZA'!N10,'23.07 KALERWE-GAYAZA'!N10,'24.07 KALERWE-GAYAZA'!N10,'25.07 KALERWE-GAYAZA'!N10,'26.07 KALERWE-GAYAZA-24h'!N10,'27.07 KALERWE-GAYAZA-24h'!N10,'28.07 KALERWE-GAYAZA'!N10)</f>
        <v>0</v>
      </c>
      <c r="O10" s="15">
        <f t="shared" ref="O10:O73" si="0">SUM(C10:L10,N10)</f>
        <v>118.42857142857142</v>
      </c>
      <c r="P10" s="15">
        <f t="shared" ref="P10:P73" si="1">SUM(C10:N10)</f>
        <v>337</v>
      </c>
      <c r="R10" s="1" t="s">
        <v>6</v>
      </c>
      <c r="S10" s="17">
        <f t="shared" ref="S10:AF10" si="2">SUM(C10:C13)</f>
        <v>113.85714285714285</v>
      </c>
      <c r="T10" s="17">
        <f t="shared" si="2"/>
        <v>42.428571428571431</v>
      </c>
      <c r="U10" s="17">
        <f t="shared" si="2"/>
        <v>28.571428571428569</v>
      </c>
      <c r="V10" s="17">
        <f t="shared" si="2"/>
        <v>211.71428571428569</v>
      </c>
      <c r="W10" s="17">
        <f t="shared" si="2"/>
        <v>6.5714285714285721</v>
      </c>
      <c r="X10" s="17">
        <f t="shared" si="2"/>
        <v>4</v>
      </c>
      <c r="Y10" s="17">
        <f t="shared" si="2"/>
        <v>18.428571428571427</v>
      </c>
      <c r="Z10" s="17">
        <f t="shared" si="2"/>
        <v>9.8571428571428577</v>
      </c>
      <c r="AA10" s="17">
        <f t="shared" si="2"/>
        <v>2.8571428571428572</v>
      </c>
      <c r="AB10" s="17">
        <f t="shared" si="2"/>
        <v>4.8571428571428577</v>
      </c>
      <c r="AC10" s="17">
        <f t="shared" si="2"/>
        <v>1107.2857142857142</v>
      </c>
      <c r="AD10" s="17">
        <f t="shared" si="2"/>
        <v>0</v>
      </c>
      <c r="AE10" s="31">
        <f t="shared" si="2"/>
        <v>443.14285714285711</v>
      </c>
      <c r="AF10" s="31">
        <f t="shared" si="2"/>
        <v>1550.4285714285716</v>
      </c>
    </row>
    <row r="11" spans="2:32" s="6" customFormat="1" ht="23.1" customHeight="1" x14ac:dyDescent="0.25">
      <c r="B11" s="23" t="s">
        <v>38</v>
      </c>
      <c r="C11" s="49">
        <f>AVERAGE('22.07 KALERWE-GAYAZA'!C11,'23.07 KALERWE-GAYAZA'!C11,'24.07 KALERWE-GAYAZA'!C11,'25.07 KALERWE-GAYAZA'!C11,'26.07 KALERWE-GAYAZA-24h'!C11,'27.07 KALERWE-GAYAZA-24h'!C11,'28.07 KALERWE-GAYAZA'!C11)</f>
        <v>26.142857142857142</v>
      </c>
      <c r="D11" s="49">
        <f>AVERAGE('22.07 KALERWE-GAYAZA'!D11,'23.07 KALERWE-GAYAZA'!D11,'24.07 KALERWE-GAYAZA'!D11,'25.07 KALERWE-GAYAZA'!D11,'26.07 KALERWE-GAYAZA-24h'!D11,'27.07 KALERWE-GAYAZA-24h'!D11,'28.07 KALERWE-GAYAZA'!D11)</f>
        <v>7.5714285714285712</v>
      </c>
      <c r="E11" s="49">
        <f>AVERAGE('22.07 KALERWE-GAYAZA'!E11,'23.07 KALERWE-GAYAZA'!E11,'24.07 KALERWE-GAYAZA'!E11,'25.07 KALERWE-GAYAZA'!E11,'26.07 KALERWE-GAYAZA-24h'!E11,'27.07 KALERWE-GAYAZA-24h'!E11,'28.07 KALERWE-GAYAZA'!E11)</f>
        <v>4.7142857142857144</v>
      </c>
      <c r="F11" s="49">
        <f>AVERAGE('22.07 KALERWE-GAYAZA'!F11,'23.07 KALERWE-GAYAZA'!F11,'24.07 KALERWE-GAYAZA'!F11,'25.07 KALERWE-GAYAZA'!F11,'26.07 KALERWE-GAYAZA-24h'!F11,'27.07 KALERWE-GAYAZA-24h'!F11,'28.07 KALERWE-GAYAZA'!F11)</f>
        <v>45.285714285714285</v>
      </c>
      <c r="G11" s="49">
        <f>AVERAGE('22.07 KALERWE-GAYAZA'!G11,'23.07 KALERWE-GAYAZA'!G11,'24.07 KALERWE-GAYAZA'!G11,'25.07 KALERWE-GAYAZA'!G11,'26.07 KALERWE-GAYAZA-24h'!G11,'27.07 KALERWE-GAYAZA-24h'!G11,'28.07 KALERWE-GAYAZA'!G11)</f>
        <v>2.5714285714285716</v>
      </c>
      <c r="H11" s="49">
        <f>AVERAGE('22.07 KALERWE-GAYAZA'!H11,'23.07 KALERWE-GAYAZA'!H11,'24.07 KALERWE-GAYAZA'!H11,'25.07 KALERWE-GAYAZA'!H11,'26.07 KALERWE-GAYAZA-24h'!H11,'27.07 KALERWE-GAYAZA-24h'!H11,'28.07 KALERWE-GAYAZA'!H11)</f>
        <v>0.8571428571428571</v>
      </c>
      <c r="I11" s="49">
        <f>AVERAGE('22.07 KALERWE-GAYAZA'!I11,'23.07 KALERWE-GAYAZA'!I11,'24.07 KALERWE-GAYAZA'!I11,'25.07 KALERWE-GAYAZA'!I11,'26.07 KALERWE-GAYAZA-24h'!I11,'27.07 KALERWE-GAYAZA-24h'!I11,'28.07 KALERWE-GAYAZA'!I11)</f>
        <v>4.1428571428571432</v>
      </c>
      <c r="J11" s="49">
        <f>AVERAGE('22.07 KALERWE-GAYAZA'!J11,'23.07 KALERWE-GAYAZA'!J11,'24.07 KALERWE-GAYAZA'!J11,'25.07 KALERWE-GAYAZA'!J11,'26.07 KALERWE-GAYAZA-24h'!J11,'27.07 KALERWE-GAYAZA-24h'!J11,'28.07 KALERWE-GAYAZA'!J11)</f>
        <v>2.1428571428571428</v>
      </c>
      <c r="K11" s="49">
        <f>AVERAGE('22.07 KALERWE-GAYAZA'!K11,'23.07 KALERWE-GAYAZA'!K11,'24.07 KALERWE-GAYAZA'!K11,'25.07 KALERWE-GAYAZA'!K11,'26.07 KALERWE-GAYAZA-24h'!K11,'27.07 KALERWE-GAYAZA-24h'!K11,'28.07 KALERWE-GAYAZA'!K11)</f>
        <v>0.42857142857142855</v>
      </c>
      <c r="L11" s="49">
        <f>AVERAGE('22.07 KALERWE-GAYAZA'!L11,'23.07 KALERWE-GAYAZA'!L11,'24.07 KALERWE-GAYAZA'!L11,'25.07 KALERWE-GAYAZA'!L11,'26.07 KALERWE-GAYAZA-24h'!L11,'27.07 KALERWE-GAYAZA-24h'!L11,'28.07 KALERWE-GAYAZA'!L11)</f>
        <v>0.7142857142857143</v>
      </c>
      <c r="M11" s="49">
        <f>AVERAGE('22.07 KALERWE-GAYAZA'!M11,'23.07 KALERWE-GAYAZA'!M11,'24.07 KALERWE-GAYAZA'!M11,'25.07 KALERWE-GAYAZA'!M11,'26.07 KALERWE-GAYAZA-24h'!M11,'27.07 KALERWE-GAYAZA-24h'!M11,'28.07 KALERWE-GAYAZA'!M11)</f>
        <v>265</v>
      </c>
      <c r="N11" s="49">
        <f>AVERAGE('22.07 KALERWE-GAYAZA'!N11,'23.07 KALERWE-GAYAZA'!N11,'24.07 KALERWE-GAYAZA'!N11,'25.07 KALERWE-GAYAZA'!N11,'26.07 KALERWE-GAYAZA-24h'!N11,'27.07 KALERWE-GAYAZA-24h'!N11,'28.07 KALERWE-GAYAZA'!N11)</f>
        <v>0</v>
      </c>
      <c r="O11" s="15">
        <f t="shared" si="0"/>
        <v>94.571428571428569</v>
      </c>
      <c r="P11" s="15">
        <f t="shared" si="1"/>
        <v>359.57142857142856</v>
      </c>
      <c r="R11" s="1" t="s">
        <v>7</v>
      </c>
      <c r="S11" s="17">
        <f t="shared" ref="S11:AF11" si="3">SUM(C14:C17)</f>
        <v>126.42857142857142</v>
      </c>
      <c r="T11" s="17">
        <f t="shared" si="3"/>
        <v>50.571428571428577</v>
      </c>
      <c r="U11" s="17">
        <f t="shared" si="3"/>
        <v>37.714285714285715</v>
      </c>
      <c r="V11" s="17">
        <f t="shared" si="3"/>
        <v>250.28571428571428</v>
      </c>
      <c r="W11" s="17">
        <f t="shared" si="3"/>
        <v>4.5714285714285721</v>
      </c>
      <c r="X11" s="17">
        <f t="shared" si="3"/>
        <v>2.5714285714285712</v>
      </c>
      <c r="Y11" s="17">
        <f t="shared" si="3"/>
        <v>20.285714285714285</v>
      </c>
      <c r="Z11" s="17">
        <f t="shared" si="3"/>
        <v>9.2857142857142865</v>
      </c>
      <c r="AA11" s="17">
        <f t="shared" si="3"/>
        <v>4.1428571428571423</v>
      </c>
      <c r="AB11" s="17">
        <f t="shared" si="3"/>
        <v>3.7142857142857144</v>
      </c>
      <c r="AC11" s="17">
        <f t="shared" si="3"/>
        <v>1384.8571428571429</v>
      </c>
      <c r="AD11" s="17">
        <f t="shared" si="3"/>
        <v>0</v>
      </c>
      <c r="AE11" s="31">
        <f t="shared" si="3"/>
        <v>509.57142857142861</v>
      </c>
      <c r="AF11" s="31">
        <f t="shared" si="3"/>
        <v>1894.4285714285716</v>
      </c>
    </row>
    <row r="12" spans="2:32" ht="23.1" customHeight="1" x14ac:dyDescent="0.25">
      <c r="B12" s="23" t="s">
        <v>39</v>
      </c>
      <c r="C12" s="49">
        <f>AVERAGE('22.07 KALERWE-GAYAZA'!C12,'23.07 KALERWE-GAYAZA'!C12,'24.07 KALERWE-GAYAZA'!C12,'25.07 KALERWE-GAYAZA'!C12,'26.07 KALERWE-GAYAZA-24h'!C12,'27.07 KALERWE-GAYAZA-24h'!C12,'28.07 KALERWE-GAYAZA'!C12)</f>
        <v>31.285714285714285</v>
      </c>
      <c r="D12" s="49">
        <f>AVERAGE('22.07 KALERWE-GAYAZA'!D12,'23.07 KALERWE-GAYAZA'!D12,'24.07 KALERWE-GAYAZA'!D12,'25.07 KALERWE-GAYAZA'!D12,'26.07 KALERWE-GAYAZA-24h'!D12,'27.07 KALERWE-GAYAZA-24h'!D12,'28.07 KALERWE-GAYAZA'!D12)</f>
        <v>9.7142857142857135</v>
      </c>
      <c r="E12" s="49">
        <f>AVERAGE('22.07 KALERWE-GAYAZA'!E12,'23.07 KALERWE-GAYAZA'!E12,'24.07 KALERWE-GAYAZA'!E12,'25.07 KALERWE-GAYAZA'!E12,'26.07 KALERWE-GAYAZA-24h'!E12,'27.07 KALERWE-GAYAZA-24h'!E12,'28.07 KALERWE-GAYAZA'!E12)</f>
        <v>10.142857142857142</v>
      </c>
      <c r="F12" s="49">
        <f>AVERAGE('22.07 KALERWE-GAYAZA'!F12,'23.07 KALERWE-GAYAZA'!F12,'24.07 KALERWE-GAYAZA'!F12,'25.07 KALERWE-GAYAZA'!F12,'26.07 KALERWE-GAYAZA-24h'!F12,'27.07 KALERWE-GAYAZA-24h'!F12,'28.07 KALERWE-GAYAZA'!F12)</f>
        <v>58.571428571428569</v>
      </c>
      <c r="G12" s="49">
        <f>AVERAGE('22.07 KALERWE-GAYAZA'!G12,'23.07 KALERWE-GAYAZA'!G12,'24.07 KALERWE-GAYAZA'!G12,'25.07 KALERWE-GAYAZA'!G12,'26.07 KALERWE-GAYAZA-24h'!G12,'27.07 KALERWE-GAYAZA-24h'!G12,'28.07 KALERWE-GAYAZA'!G12)</f>
        <v>0.7142857142857143</v>
      </c>
      <c r="H12" s="49">
        <f>AVERAGE('22.07 KALERWE-GAYAZA'!H12,'23.07 KALERWE-GAYAZA'!H12,'24.07 KALERWE-GAYAZA'!H12,'25.07 KALERWE-GAYAZA'!H12,'26.07 KALERWE-GAYAZA-24h'!H12,'27.07 KALERWE-GAYAZA-24h'!H12,'28.07 KALERWE-GAYAZA'!H12)</f>
        <v>1.2857142857142858</v>
      </c>
      <c r="I12" s="49">
        <f>AVERAGE('22.07 KALERWE-GAYAZA'!I12,'23.07 KALERWE-GAYAZA'!I12,'24.07 KALERWE-GAYAZA'!I12,'25.07 KALERWE-GAYAZA'!I12,'26.07 KALERWE-GAYAZA-24h'!I12,'27.07 KALERWE-GAYAZA-24h'!I12,'28.07 KALERWE-GAYAZA'!I12)</f>
        <v>5.7142857142857144</v>
      </c>
      <c r="J12" s="49">
        <f>AVERAGE('22.07 KALERWE-GAYAZA'!J12,'23.07 KALERWE-GAYAZA'!J12,'24.07 KALERWE-GAYAZA'!J12,'25.07 KALERWE-GAYAZA'!J12,'26.07 KALERWE-GAYAZA-24h'!J12,'27.07 KALERWE-GAYAZA-24h'!J12,'28.07 KALERWE-GAYAZA'!J12)</f>
        <v>3.1428571428571428</v>
      </c>
      <c r="K12" s="49">
        <f>AVERAGE('22.07 KALERWE-GAYAZA'!K12,'23.07 KALERWE-GAYAZA'!K12,'24.07 KALERWE-GAYAZA'!K12,'25.07 KALERWE-GAYAZA'!K12,'26.07 KALERWE-GAYAZA-24h'!K12,'27.07 KALERWE-GAYAZA-24h'!K12,'28.07 KALERWE-GAYAZA'!K12)</f>
        <v>0.8571428571428571</v>
      </c>
      <c r="L12" s="49">
        <f>AVERAGE('22.07 KALERWE-GAYAZA'!L12,'23.07 KALERWE-GAYAZA'!L12,'24.07 KALERWE-GAYAZA'!L12,'25.07 KALERWE-GAYAZA'!L12,'26.07 KALERWE-GAYAZA-24h'!L12,'27.07 KALERWE-GAYAZA-24h'!L12,'28.07 KALERWE-GAYAZA'!L12)</f>
        <v>0.5714285714285714</v>
      </c>
      <c r="M12" s="49">
        <f>AVERAGE('22.07 KALERWE-GAYAZA'!M12,'23.07 KALERWE-GAYAZA'!M12,'24.07 KALERWE-GAYAZA'!M12,'25.07 KALERWE-GAYAZA'!M12,'26.07 KALERWE-GAYAZA-24h'!M12,'27.07 KALERWE-GAYAZA-24h'!M12,'28.07 KALERWE-GAYAZA'!M12)</f>
        <v>335.42857142857144</v>
      </c>
      <c r="N12" s="49">
        <f>AVERAGE('22.07 KALERWE-GAYAZA'!N12,'23.07 KALERWE-GAYAZA'!N12,'24.07 KALERWE-GAYAZA'!N12,'25.07 KALERWE-GAYAZA'!N12,'26.07 KALERWE-GAYAZA-24h'!N12,'27.07 KALERWE-GAYAZA-24h'!N12,'28.07 KALERWE-GAYAZA'!N12)</f>
        <v>0</v>
      </c>
      <c r="O12" s="15">
        <f t="shared" si="0"/>
        <v>121.99999999999999</v>
      </c>
      <c r="P12" s="15">
        <f t="shared" si="1"/>
        <v>457.42857142857144</v>
      </c>
      <c r="R12" s="1" t="s">
        <v>8</v>
      </c>
      <c r="S12" s="17">
        <f t="shared" ref="S12:AF12" si="4">SUM(C18:C21)</f>
        <v>136</v>
      </c>
      <c r="T12" s="17">
        <f t="shared" si="4"/>
        <v>55.428571428571431</v>
      </c>
      <c r="U12" s="17">
        <f t="shared" si="4"/>
        <v>40.285714285714285</v>
      </c>
      <c r="V12" s="17">
        <f t="shared" si="4"/>
        <v>248.42857142857144</v>
      </c>
      <c r="W12" s="17">
        <f t="shared" si="4"/>
        <v>2.7142857142857144</v>
      </c>
      <c r="X12" s="17">
        <f t="shared" si="4"/>
        <v>1.857142857142857</v>
      </c>
      <c r="Y12" s="17">
        <f t="shared" si="4"/>
        <v>27.428571428571431</v>
      </c>
      <c r="Z12" s="17">
        <f t="shared" si="4"/>
        <v>12.428571428571429</v>
      </c>
      <c r="AA12" s="17">
        <f t="shared" si="4"/>
        <v>3.2857142857142856</v>
      </c>
      <c r="AB12" s="17">
        <f t="shared" si="4"/>
        <v>3.8571428571428572</v>
      </c>
      <c r="AC12" s="17">
        <f t="shared" si="4"/>
        <v>1129.4285714285716</v>
      </c>
      <c r="AD12" s="17">
        <f t="shared" si="4"/>
        <v>0</v>
      </c>
      <c r="AE12" s="31">
        <f t="shared" si="4"/>
        <v>531.71428571428567</v>
      </c>
      <c r="AF12" s="31">
        <f t="shared" si="4"/>
        <v>1661.1428571428573</v>
      </c>
    </row>
    <row r="13" spans="2:32" ht="23.1" customHeight="1" x14ac:dyDescent="0.25">
      <c r="B13" s="23" t="s">
        <v>40</v>
      </c>
      <c r="C13" s="49">
        <f>AVERAGE('22.07 KALERWE-GAYAZA'!C13,'23.07 KALERWE-GAYAZA'!C13,'24.07 KALERWE-GAYAZA'!C13,'25.07 KALERWE-GAYAZA'!C13,'26.07 KALERWE-GAYAZA-24h'!C13,'27.07 KALERWE-GAYAZA-24h'!C13,'28.07 KALERWE-GAYAZA'!C13)</f>
        <v>22.571428571428573</v>
      </c>
      <c r="D13" s="49">
        <f>AVERAGE('22.07 KALERWE-GAYAZA'!D13,'23.07 KALERWE-GAYAZA'!D13,'24.07 KALERWE-GAYAZA'!D13,'25.07 KALERWE-GAYAZA'!D13,'26.07 KALERWE-GAYAZA-24h'!D13,'27.07 KALERWE-GAYAZA-24h'!D13,'28.07 KALERWE-GAYAZA'!D13)</f>
        <v>12.142857142857142</v>
      </c>
      <c r="E13" s="49">
        <f>AVERAGE('22.07 KALERWE-GAYAZA'!E13,'23.07 KALERWE-GAYAZA'!E13,'24.07 KALERWE-GAYAZA'!E13,'25.07 KALERWE-GAYAZA'!E13,'26.07 KALERWE-GAYAZA-24h'!E13,'27.07 KALERWE-GAYAZA-24h'!E13,'28.07 KALERWE-GAYAZA'!E13)</f>
        <v>6</v>
      </c>
      <c r="F13" s="49">
        <f>AVERAGE('22.07 KALERWE-GAYAZA'!F13,'23.07 KALERWE-GAYAZA'!F13,'24.07 KALERWE-GAYAZA'!F13,'25.07 KALERWE-GAYAZA'!F13,'26.07 KALERWE-GAYAZA-24h'!F13,'27.07 KALERWE-GAYAZA-24h'!F13,'28.07 KALERWE-GAYAZA'!F13)</f>
        <v>56.142857142857146</v>
      </c>
      <c r="G13" s="49">
        <f>AVERAGE('22.07 KALERWE-GAYAZA'!G13,'23.07 KALERWE-GAYAZA'!G13,'24.07 KALERWE-GAYAZA'!G13,'25.07 KALERWE-GAYAZA'!G13,'26.07 KALERWE-GAYAZA-24h'!G13,'27.07 KALERWE-GAYAZA-24h'!G13,'28.07 KALERWE-GAYAZA'!G13)</f>
        <v>1.7142857142857142</v>
      </c>
      <c r="H13" s="49">
        <f>AVERAGE('22.07 KALERWE-GAYAZA'!H13,'23.07 KALERWE-GAYAZA'!H13,'24.07 KALERWE-GAYAZA'!H13,'25.07 KALERWE-GAYAZA'!H13,'26.07 KALERWE-GAYAZA-24h'!H13,'27.07 KALERWE-GAYAZA-24h'!H13,'28.07 KALERWE-GAYAZA'!H13)</f>
        <v>0.5714285714285714</v>
      </c>
      <c r="I13" s="49">
        <f>AVERAGE('22.07 KALERWE-GAYAZA'!I13,'23.07 KALERWE-GAYAZA'!I13,'24.07 KALERWE-GAYAZA'!I13,'25.07 KALERWE-GAYAZA'!I13,'26.07 KALERWE-GAYAZA-24h'!I13,'27.07 KALERWE-GAYAZA-24h'!I13,'28.07 KALERWE-GAYAZA'!I13)</f>
        <v>3.4285714285714284</v>
      </c>
      <c r="J13" s="49">
        <f>AVERAGE('22.07 KALERWE-GAYAZA'!J13,'23.07 KALERWE-GAYAZA'!J13,'24.07 KALERWE-GAYAZA'!J13,'25.07 KALERWE-GAYAZA'!J13,'26.07 KALERWE-GAYAZA-24h'!J13,'27.07 KALERWE-GAYAZA-24h'!J13,'28.07 KALERWE-GAYAZA'!J13)</f>
        <v>3</v>
      </c>
      <c r="K13" s="49">
        <f>AVERAGE('22.07 KALERWE-GAYAZA'!K13,'23.07 KALERWE-GAYAZA'!K13,'24.07 KALERWE-GAYAZA'!K13,'25.07 KALERWE-GAYAZA'!K13,'26.07 KALERWE-GAYAZA-24h'!K13,'27.07 KALERWE-GAYAZA-24h'!K13,'28.07 KALERWE-GAYAZA'!K13)</f>
        <v>0.7142857142857143</v>
      </c>
      <c r="L13" s="49">
        <f>AVERAGE('22.07 KALERWE-GAYAZA'!L13,'23.07 KALERWE-GAYAZA'!L13,'24.07 KALERWE-GAYAZA'!L13,'25.07 KALERWE-GAYAZA'!L13,'26.07 KALERWE-GAYAZA-24h'!L13,'27.07 KALERWE-GAYAZA-24h'!L13,'28.07 KALERWE-GAYAZA'!L13)</f>
        <v>1.8571428571428572</v>
      </c>
      <c r="M13" s="49">
        <f>AVERAGE('22.07 KALERWE-GAYAZA'!M13,'23.07 KALERWE-GAYAZA'!M13,'24.07 KALERWE-GAYAZA'!M13,'25.07 KALERWE-GAYAZA'!M13,'26.07 KALERWE-GAYAZA-24h'!M13,'27.07 KALERWE-GAYAZA-24h'!M13,'28.07 KALERWE-GAYAZA'!M13)</f>
        <v>288.28571428571428</v>
      </c>
      <c r="N13" s="49">
        <f>AVERAGE('22.07 KALERWE-GAYAZA'!N13,'23.07 KALERWE-GAYAZA'!N13,'24.07 KALERWE-GAYAZA'!N13,'25.07 KALERWE-GAYAZA'!N13,'26.07 KALERWE-GAYAZA-24h'!N13,'27.07 KALERWE-GAYAZA-24h'!N13,'28.07 KALERWE-GAYAZA'!N13)</f>
        <v>0</v>
      </c>
      <c r="O13" s="15">
        <f t="shared" si="0"/>
        <v>108.14285714285714</v>
      </c>
      <c r="P13" s="15">
        <f t="shared" si="1"/>
        <v>396.42857142857144</v>
      </c>
      <c r="R13" s="1" t="s">
        <v>9</v>
      </c>
      <c r="S13" s="17">
        <f t="shared" ref="S13:AF13" si="5">SUM(C22:C25)</f>
        <v>211.85714285714286</v>
      </c>
      <c r="T13" s="17">
        <f t="shared" si="5"/>
        <v>69</v>
      </c>
      <c r="U13" s="17">
        <f t="shared" si="5"/>
        <v>53.857142857142861</v>
      </c>
      <c r="V13" s="17">
        <f t="shared" si="5"/>
        <v>243.28571428571428</v>
      </c>
      <c r="W13" s="17">
        <f t="shared" si="5"/>
        <v>3</v>
      </c>
      <c r="X13" s="17">
        <f t="shared" si="5"/>
        <v>2.1428571428571423</v>
      </c>
      <c r="Y13" s="17">
        <f t="shared" si="5"/>
        <v>34.714285714285708</v>
      </c>
      <c r="Z13" s="17">
        <f t="shared" si="5"/>
        <v>13.714285714285715</v>
      </c>
      <c r="AA13" s="17">
        <f t="shared" si="5"/>
        <v>4.8571428571428568</v>
      </c>
      <c r="AB13" s="17">
        <f t="shared" si="5"/>
        <v>4.7142857142857144</v>
      </c>
      <c r="AC13" s="17">
        <f t="shared" si="5"/>
        <v>1135.5714285714287</v>
      </c>
      <c r="AD13" s="17">
        <f t="shared" si="5"/>
        <v>0.14285714285714285</v>
      </c>
      <c r="AE13" s="31">
        <f t="shared" si="5"/>
        <v>641.28571428571433</v>
      </c>
      <c r="AF13" s="31">
        <f t="shared" si="5"/>
        <v>1776.8571428571431</v>
      </c>
    </row>
    <row r="14" spans="2:32" ht="23.1" customHeight="1" x14ac:dyDescent="0.25">
      <c r="B14" s="23" t="s">
        <v>41</v>
      </c>
      <c r="C14" s="49">
        <f>AVERAGE('22.07 KALERWE-GAYAZA'!C14,'23.07 KALERWE-GAYAZA'!C14,'24.07 KALERWE-GAYAZA'!C14,'25.07 KALERWE-GAYAZA'!C14,'26.07 KALERWE-GAYAZA-24h'!C14,'27.07 KALERWE-GAYAZA-24h'!C14,'28.07 KALERWE-GAYAZA'!C14)</f>
        <v>33.285714285714285</v>
      </c>
      <c r="D14" s="49">
        <f>AVERAGE('22.07 KALERWE-GAYAZA'!D14,'23.07 KALERWE-GAYAZA'!D14,'24.07 KALERWE-GAYAZA'!D14,'25.07 KALERWE-GAYAZA'!D14,'26.07 KALERWE-GAYAZA-24h'!D14,'27.07 KALERWE-GAYAZA-24h'!D14,'28.07 KALERWE-GAYAZA'!D14)</f>
        <v>11.857142857142858</v>
      </c>
      <c r="E14" s="49">
        <f>AVERAGE('22.07 KALERWE-GAYAZA'!E14,'23.07 KALERWE-GAYAZA'!E14,'24.07 KALERWE-GAYAZA'!E14,'25.07 KALERWE-GAYAZA'!E14,'26.07 KALERWE-GAYAZA-24h'!E14,'27.07 KALERWE-GAYAZA-24h'!E14,'28.07 KALERWE-GAYAZA'!E14)</f>
        <v>6.7142857142857144</v>
      </c>
      <c r="F14" s="49">
        <f>AVERAGE('22.07 KALERWE-GAYAZA'!F14,'23.07 KALERWE-GAYAZA'!F14,'24.07 KALERWE-GAYAZA'!F14,'25.07 KALERWE-GAYAZA'!F14,'26.07 KALERWE-GAYAZA-24h'!F14,'27.07 KALERWE-GAYAZA-24h'!F14,'28.07 KALERWE-GAYAZA'!F14)</f>
        <v>61.714285714285715</v>
      </c>
      <c r="G14" s="49">
        <f>AVERAGE('22.07 KALERWE-GAYAZA'!G14,'23.07 KALERWE-GAYAZA'!G14,'24.07 KALERWE-GAYAZA'!G14,'25.07 KALERWE-GAYAZA'!G14,'26.07 KALERWE-GAYAZA-24h'!G14,'27.07 KALERWE-GAYAZA-24h'!G14,'28.07 KALERWE-GAYAZA'!G14)</f>
        <v>1.4285714285714286</v>
      </c>
      <c r="H14" s="49">
        <f>AVERAGE('22.07 KALERWE-GAYAZA'!H14,'23.07 KALERWE-GAYAZA'!H14,'24.07 KALERWE-GAYAZA'!H14,'25.07 KALERWE-GAYAZA'!H14,'26.07 KALERWE-GAYAZA-24h'!H14,'27.07 KALERWE-GAYAZA-24h'!H14,'28.07 KALERWE-GAYAZA'!H14)</f>
        <v>1</v>
      </c>
      <c r="I14" s="49">
        <f>AVERAGE('22.07 KALERWE-GAYAZA'!I14,'23.07 KALERWE-GAYAZA'!I14,'24.07 KALERWE-GAYAZA'!I14,'25.07 KALERWE-GAYAZA'!I14,'26.07 KALERWE-GAYAZA-24h'!I14,'27.07 KALERWE-GAYAZA-24h'!I14,'28.07 KALERWE-GAYAZA'!I14)</f>
        <v>4.2857142857142856</v>
      </c>
      <c r="J14" s="49">
        <f>AVERAGE('22.07 KALERWE-GAYAZA'!J14,'23.07 KALERWE-GAYAZA'!J14,'24.07 KALERWE-GAYAZA'!J14,'25.07 KALERWE-GAYAZA'!J14,'26.07 KALERWE-GAYAZA-24h'!J14,'27.07 KALERWE-GAYAZA-24h'!J14,'28.07 KALERWE-GAYAZA'!J14)</f>
        <v>2.8571428571428572</v>
      </c>
      <c r="K14" s="49">
        <f>AVERAGE('22.07 KALERWE-GAYAZA'!K14,'23.07 KALERWE-GAYAZA'!K14,'24.07 KALERWE-GAYAZA'!K14,'25.07 KALERWE-GAYAZA'!K14,'26.07 KALERWE-GAYAZA-24h'!K14,'27.07 KALERWE-GAYAZA-24h'!K14,'28.07 KALERWE-GAYAZA'!K14)</f>
        <v>0.7142857142857143</v>
      </c>
      <c r="L14" s="49">
        <f>AVERAGE('22.07 KALERWE-GAYAZA'!L14,'23.07 KALERWE-GAYAZA'!L14,'24.07 KALERWE-GAYAZA'!L14,'25.07 KALERWE-GAYAZA'!L14,'26.07 KALERWE-GAYAZA-24h'!L14,'27.07 KALERWE-GAYAZA-24h'!L14,'28.07 KALERWE-GAYAZA'!L14)</f>
        <v>0.2857142857142857</v>
      </c>
      <c r="M14" s="49">
        <f>AVERAGE('22.07 KALERWE-GAYAZA'!M14,'23.07 KALERWE-GAYAZA'!M14,'24.07 KALERWE-GAYAZA'!M14,'25.07 KALERWE-GAYAZA'!M14,'26.07 KALERWE-GAYAZA-24h'!M14,'27.07 KALERWE-GAYAZA-24h'!M14,'28.07 KALERWE-GAYAZA'!M14)</f>
        <v>340.57142857142856</v>
      </c>
      <c r="N14" s="49">
        <f>AVERAGE('22.07 KALERWE-GAYAZA'!N14,'23.07 KALERWE-GAYAZA'!N14,'24.07 KALERWE-GAYAZA'!N14,'25.07 KALERWE-GAYAZA'!N14,'26.07 KALERWE-GAYAZA-24h'!N14,'27.07 KALERWE-GAYAZA-24h'!N14,'28.07 KALERWE-GAYAZA'!N14)</f>
        <v>0</v>
      </c>
      <c r="O14" s="15">
        <f t="shared" si="0"/>
        <v>124.14285714285715</v>
      </c>
      <c r="P14" s="15">
        <f t="shared" si="1"/>
        <v>464.71428571428572</v>
      </c>
      <c r="R14" s="1" t="s">
        <v>10</v>
      </c>
      <c r="S14" s="17">
        <f t="shared" ref="S14:AF14" si="6">SUM(C26:C29)</f>
        <v>177.42857142857144</v>
      </c>
      <c r="T14" s="17">
        <f t="shared" si="6"/>
        <v>71.285714285714292</v>
      </c>
      <c r="U14" s="17">
        <f t="shared" si="6"/>
        <v>49.857142857142847</v>
      </c>
      <c r="V14" s="17">
        <f t="shared" si="6"/>
        <v>208.42857142857144</v>
      </c>
      <c r="W14" s="17">
        <f t="shared" si="6"/>
        <v>2.7142857142857144</v>
      </c>
      <c r="X14" s="17">
        <f t="shared" si="6"/>
        <v>1.7142857142857142</v>
      </c>
      <c r="Y14" s="17">
        <f t="shared" si="6"/>
        <v>41.428571428571431</v>
      </c>
      <c r="Z14" s="17">
        <f t="shared" si="6"/>
        <v>16.714285714285715</v>
      </c>
      <c r="AA14" s="17">
        <f t="shared" si="6"/>
        <v>4.1428571428571423</v>
      </c>
      <c r="AB14" s="17">
        <f t="shared" si="6"/>
        <v>3.4285714285714288</v>
      </c>
      <c r="AC14" s="17">
        <f t="shared" si="6"/>
        <v>1157.5714285714287</v>
      </c>
      <c r="AD14" s="17">
        <f t="shared" si="6"/>
        <v>0</v>
      </c>
      <c r="AE14" s="31">
        <f t="shared" si="6"/>
        <v>577.14285714285711</v>
      </c>
      <c r="AF14" s="31">
        <f t="shared" si="6"/>
        <v>1734.7142857142858</v>
      </c>
    </row>
    <row r="15" spans="2:32" ht="23.1" customHeight="1" x14ac:dyDescent="0.25">
      <c r="B15" s="23" t="s">
        <v>42</v>
      </c>
      <c r="C15" s="49">
        <f>AVERAGE('22.07 KALERWE-GAYAZA'!C15,'23.07 KALERWE-GAYAZA'!C15,'24.07 KALERWE-GAYAZA'!C15,'25.07 KALERWE-GAYAZA'!C15,'26.07 KALERWE-GAYAZA-24h'!C15,'27.07 KALERWE-GAYAZA-24h'!C15,'28.07 KALERWE-GAYAZA'!C15)</f>
        <v>25.142857142857142</v>
      </c>
      <c r="D15" s="49">
        <f>AVERAGE('22.07 KALERWE-GAYAZA'!D15,'23.07 KALERWE-GAYAZA'!D15,'24.07 KALERWE-GAYAZA'!D15,'25.07 KALERWE-GAYAZA'!D15,'26.07 KALERWE-GAYAZA-24h'!D15,'27.07 KALERWE-GAYAZA-24h'!D15,'28.07 KALERWE-GAYAZA'!D15)</f>
        <v>12.142857142857142</v>
      </c>
      <c r="E15" s="49">
        <f>AVERAGE('22.07 KALERWE-GAYAZA'!E15,'23.07 KALERWE-GAYAZA'!E15,'24.07 KALERWE-GAYAZA'!E15,'25.07 KALERWE-GAYAZA'!E15,'26.07 KALERWE-GAYAZA-24h'!E15,'27.07 KALERWE-GAYAZA-24h'!E15,'28.07 KALERWE-GAYAZA'!E15)</f>
        <v>9.4285714285714288</v>
      </c>
      <c r="F15" s="49">
        <f>AVERAGE('22.07 KALERWE-GAYAZA'!F15,'23.07 KALERWE-GAYAZA'!F15,'24.07 KALERWE-GAYAZA'!F15,'25.07 KALERWE-GAYAZA'!F15,'26.07 KALERWE-GAYAZA-24h'!F15,'27.07 KALERWE-GAYAZA-24h'!F15,'28.07 KALERWE-GAYAZA'!F15)</f>
        <v>49.428571428571431</v>
      </c>
      <c r="G15" s="49">
        <f>AVERAGE('22.07 KALERWE-GAYAZA'!G15,'23.07 KALERWE-GAYAZA'!G15,'24.07 KALERWE-GAYAZA'!G15,'25.07 KALERWE-GAYAZA'!G15,'26.07 KALERWE-GAYAZA-24h'!G15,'27.07 KALERWE-GAYAZA-24h'!G15,'28.07 KALERWE-GAYAZA'!G15)</f>
        <v>1</v>
      </c>
      <c r="H15" s="49">
        <f>AVERAGE('22.07 KALERWE-GAYAZA'!H15,'23.07 KALERWE-GAYAZA'!H15,'24.07 KALERWE-GAYAZA'!H15,'25.07 KALERWE-GAYAZA'!H15,'26.07 KALERWE-GAYAZA-24h'!H15,'27.07 KALERWE-GAYAZA-24h'!H15,'28.07 KALERWE-GAYAZA'!H15)</f>
        <v>1</v>
      </c>
      <c r="I15" s="49">
        <f>AVERAGE('22.07 KALERWE-GAYAZA'!I15,'23.07 KALERWE-GAYAZA'!I15,'24.07 KALERWE-GAYAZA'!I15,'25.07 KALERWE-GAYAZA'!I15,'26.07 KALERWE-GAYAZA-24h'!I15,'27.07 KALERWE-GAYAZA-24h'!I15,'28.07 KALERWE-GAYAZA'!I15)</f>
        <v>4.8571428571428568</v>
      </c>
      <c r="J15" s="49">
        <f>AVERAGE('22.07 KALERWE-GAYAZA'!J15,'23.07 KALERWE-GAYAZA'!J15,'24.07 KALERWE-GAYAZA'!J15,'25.07 KALERWE-GAYAZA'!J15,'26.07 KALERWE-GAYAZA-24h'!J15,'27.07 KALERWE-GAYAZA-24h'!J15,'28.07 KALERWE-GAYAZA'!J15)</f>
        <v>2</v>
      </c>
      <c r="K15" s="49">
        <f>AVERAGE('22.07 KALERWE-GAYAZA'!K15,'23.07 KALERWE-GAYAZA'!K15,'24.07 KALERWE-GAYAZA'!K15,'25.07 KALERWE-GAYAZA'!K15,'26.07 KALERWE-GAYAZA-24h'!K15,'27.07 KALERWE-GAYAZA-24h'!K15,'28.07 KALERWE-GAYAZA'!K15)</f>
        <v>0.2857142857142857</v>
      </c>
      <c r="L15" s="49">
        <f>AVERAGE('22.07 KALERWE-GAYAZA'!L15,'23.07 KALERWE-GAYAZA'!L15,'24.07 KALERWE-GAYAZA'!L15,'25.07 KALERWE-GAYAZA'!L15,'26.07 KALERWE-GAYAZA-24h'!L15,'27.07 KALERWE-GAYAZA-24h'!L15,'28.07 KALERWE-GAYAZA'!L15)</f>
        <v>1</v>
      </c>
      <c r="M15" s="49">
        <f>AVERAGE('22.07 KALERWE-GAYAZA'!M15,'23.07 KALERWE-GAYAZA'!M15,'24.07 KALERWE-GAYAZA'!M15,'25.07 KALERWE-GAYAZA'!M15,'26.07 KALERWE-GAYAZA-24h'!M15,'27.07 KALERWE-GAYAZA-24h'!M15,'28.07 KALERWE-GAYAZA'!M15)</f>
        <v>349.14285714285717</v>
      </c>
      <c r="N15" s="49">
        <f>AVERAGE('22.07 KALERWE-GAYAZA'!N15,'23.07 KALERWE-GAYAZA'!N15,'24.07 KALERWE-GAYAZA'!N15,'25.07 KALERWE-GAYAZA'!N15,'26.07 KALERWE-GAYAZA-24h'!N15,'27.07 KALERWE-GAYAZA-24h'!N15,'28.07 KALERWE-GAYAZA'!N15)</f>
        <v>0</v>
      </c>
      <c r="O15" s="15">
        <f t="shared" si="0"/>
        <v>106.28571428571429</v>
      </c>
      <c r="P15" s="15">
        <f t="shared" si="1"/>
        <v>455.42857142857144</v>
      </c>
      <c r="R15" s="1" t="s">
        <v>11</v>
      </c>
      <c r="S15" s="17">
        <f t="shared" ref="S15:AF15" si="7">SUM(C30:C33)</f>
        <v>214</v>
      </c>
      <c r="T15" s="17">
        <f t="shared" si="7"/>
        <v>58.142857142857139</v>
      </c>
      <c r="U15" s="17">
        <f t="shared" si="7"/>
        <v>51.857142857142861</v>
      </c>
      <c r="V15" s="17">
        <f t="shared" si="7"/>
        <v>217.14285714285714</v>
      </c>
      <c r="W15" s="17">
        <f t="shared" si="7"/>
        <v>3.2857142857142856</v>
      </c>
      <c r="X15" s="17">
        <f t="shared" si="7"/>
        <v>1.8571428571428572</v>
      </c>
      <c r="Y15" s="17">
        <f t="shared" si="7"/>
        <v>30.714285714285715</v>
      </c>
      <c r="Z15" s="17">
        <f t="shared" si="7"/>
        <v>18.285714285714285</v>
      </c>
      <c r="AA15" s="17">
        <f t="shared" si="7"/>
        <v>5.5714285714285712</v>
      </c>
      <c r="AB15" s="17">
        <f t="shared" si="7"/>
        <v>4.7142857142857144</v>
      </c>
      <c r="AC15" s="17">
        <f t="shared" si="7"/>
        <v>1051.1428571428571</v>
      </c>
      <c r="AD15" s="17">
        <f t="shared" si="7"/>
        <v>0</v>
      </c>
      <c r="AE15" s="31">
        <f t="shared" si="7"/>
        <v>605.57142857142856</v>
      </c>
      <c r="AF15" s="31">
        <f t="shared" si="7"/>
        <v>1656.7142857142858</v>
      </c>
    </row>
    <row r="16" spans="2:32" ht="23.1" customHeight="1" x14ac:dyDescent="0.25">
      <c r="B16" s="23" t="s">
        <v>43</v>
      </c>
      <c r="C16" s="49">
        <f>AVERAGE('22.07 KALERWE-GAYAZA'!C16,'23.07 KALERWE-GAYAZA'!C16,'24.07 KALERWE-GAYAZA'!C16,'25.07 KALERWE-GAYAZA'!C16,'26.07 KALERWE-GAYAZA-24h'!C16,'27.07 KALERWE-GAYAZA-24h'!C16,'28.07 KALERWE-GAYAZA'!C16)</f>
        <v>32.857142857142854</v>
      </c>
      <c r="D16" s="49">
        <f>AVERAGE('22.07 KALERWE-GAYAZA'!D16,'23.07 KALERWE-GAYAZA'!D16,'24.07 KALERWE-GAYAZA'!D16,'25.07 KALERWE-GAYAZA'!D16,'26.07 KALERWE-GAYAZA-24h'!D16,'27.07 KALERWE-GAYAZA-24h'!D16,'28.07 KALERWE-GAYAZA'!D16)</f>
        <v>13.857142857142858</v>
      </c>
      <c r="E16" s="49">
        <f>AVERAGE('22.07 KALERWE-GAYAZA'!E16,'23.07 KALERWE-GAYAZA'!E16,'24.07 KALERWE-GAYAZA'!E16,'25.07 KALERWE-GAYAZA'!E16,'26.07 KALERWE-GAYAZA-24h'!E16,'27.07 KALERWE-GAYAZA-24h'!E16,'28.07 KALERWE-GAYAZA'!E16)</f>
        <v>9.5714285714285712</v>
      </c>
      <c r="F16" s="49">
        <f>AVERAGE('22.07 KALERWE-GAYAZA'!F16,'23.07 KALERWE-GAYAZA'!F16,'24.07 KALERWE-GAYAZA'!F16,'25.07 KALERWE-GAYAZA'!F16,'26.07 KALERWE-GAYAZA-24h'!F16,'27.07 KALERWE-GAYAZA-24h'!F16,'28.07 KALERWE-GAYAZA'!F16)</f>
        <v>63.714285714285715</v>
      </c>
      <c r="G16" s="49">
        <f>AVERAGE('22.07 KALERWE-GAYAZA'!G16,'23.07 KALERWE-GAYAZA'!G16,'24.07 KALERWE-GAYAZA'!G16,'25.07 KALERWE-GAYAZA'!G16,'26.07 KALERWE-GAYAZA-24h'!G16,'27.07 KALERWE-GAYAZA-24h'!G16,'28.07 KALERWE-GAYAZA'!G16)</f>
        <v>0.8571428571428571</v>
      </c>
      <c r="H16" s="49">
        <f>AVERAGE('22.07 KALERWE-GAYAZA'!H16,'23.07 KALERWE-GAYAZA'!H16,'24.07 KALERWE-GAYAZA'!H16,'25.07 KALERWE-GAYAZA'!H16,'26.07 KALERWE-GAYAZA-24h'!H16,'27.07 KALERWE-GAYAZA-24h'!H16,'28.07 KALERWE-GAYAZA'!H16)</f>
        <v>0</v>
      </c>
      <c r="I16" s="49">
        <f>AVERAGE('22.07 KALERWE-GAYAZA'!I16,'23.07 KALERWE-GAYAZA'!I16,'24.07 KALERWE-GAYAZA'!I16,'25.07 KALERWE-GAYAZA'!I16,'26.07 KALERWE-GAYAZA-24h'!I16,'27.07 KALERWE-GAYAZA-24h'!I16,'28.07 KALERWE-GAYAZA'!I16)</f>
        <v>4.2857142857142856</v>
      </c>
      <c r="J16" s="49">
        <f>AVERAGE('22.07 KALERWE-GAYAZA'!J16,'23.07 KALERWE-GAYAZA'!J16,'24.07 KALERWE-GAYAZA'!J16,'25.07 KALERWE-GAYAZA'!J16,'26.07 KALERWE-GAYAZA-24h'!J16,'27.07 KALERWE-GAYAZA-24h'!J16,'28.07 KALERWE-GAYAZA'!J16)</f>
        <v>1.5714285714285714</v>
      </c>
      <c r="K16" s="49">
        <f>AVERAGE('22.07 KALERWE-GAYAZA'!K16,'23.07 KALERWE-GAYAZA'!K16,'24.07 KALERWE-GAYAZA'!K16,'25.07 KALERWE-GAYAZA'!K16,'26.07 KALERWE-GAYAZA-24h'!K16,'27.07 KALERWE-GAYAZA-24h'!K16,'28.07 KALERWE-GAYAZA'!K16)</f>
        <v>0.8571428571428571</v>
      </c>
      <c r="L16" s="49">
        <f>AVERAGE('22.07 KALERWE-GAYAZA'!L16,'23.07 KALERWE-GAYAZA'!L16,'24.07 KALERWE-GAYAZA'!L16,'25.07 KALERWE-GAYAZA'!L16,'26.07 KALERWE-GAYAZA-24h'!L16,'27.07 KALERWE-GAYAZA-24h'!L16,'28.07 KALERWE-GAYAZA'!L16)</f>
        <v>0.8571428571428571</v>
      </c>
      <c r="M16" s="49">
        <f>AVERAGE('22.07 KALERWE-GAYAZA'!M16,'23.07 KALERWE-GAYAZA'!M16,'24.07 KALERWE-GAYAZA'!M16,'25.07 KALERWE-GAYAZA'!M16,'26.07 KALERWE-GAYAZA-24h'!M16,'27.07 KALERWE-GAYAZA-24h'!M16,'28.07 KALERWE-GAYAZA'!M16)</f>
        <v>352.28571428571428</v>
      </c>
      <c r="N16" s="49">
        <f>AVERAGE('22.07 KALERWE-GAYAZA'!N16,'23.07 KALERWE-GAYAZA'!N16,'24.07 KALERWE-GAYAZA'!N16,'25.07 KALERWE-GAYAZA'!N16,'26.07 KALERWE-GAYAZA-24h'!N16,'27.07 KALERWE-GAYAZA-24h'!N16,'28.07 KALERWE-GAYAZA'!N16)</f>
        <v>0</v>
      </c>
      <c r="O16" s="15">
        <f t="shared" si="0"/>
        <v>128.42857142857144</v>
      </c>
      <c r="P16" s="15">
        <f t="shared" si="1"/>
        <v>480.71428571428572</v>
      </c>
      <c r="R16" s="1" t="s">
        <v>12</v>
      </c>
      <c r="S16" s="17">
        <f t="shared" ref="S16:AF16" si="8">SUM(C34:C37)</f>
        <v>216.28571428571428</v>
      </c>
      <c r="T16" s="17">
        <f t="shared" si="8"/>
        <v>62.142857142857139</v>
      </c>
      <c r="U16" s="17">
        <f t="shared" si="8"/>
        <v>39.142857142857139</v>
      </c>
      <c r="V16" s="17">
        <f t="shared" si="8"/>
        <v>191.85714285714286</v>
      </c>
      <c r="W16" s="17">
        <f t="shared" si="8"/>
        <v>2.4285714285714284</v>
      </c>
      <c r="X16" s="17">
        <f t="shared" si="8"/>
        <v>2.1428571428571428</v>
      </c>
      <c r="Y16" s="17">
        <f t="shared" si="8"/>
        <v>38.571428571428569</v>
      </c>
      <c r="Z16" s="17">
        <f t="shared" si="8"/>
        <v>18.428571428571427</v>
      </c>
      <c r="AA16" s="17">
        <f t="shared" si="8"/>
        <v>5.8571428571428568</v>
      </c>
      <c r="AB16" s="17">
        <f t="shared" si="8"/>
        <v>5.4285714285714288</v>
      </c>
      <c r="AC16" s="17">
        <f t="shared" si="8"/>
        <v>963.85714285714278</v>
      </c>
      <c r="AD16" s="17">
        <f t="shared" si="8"/>
        <v>0.14285714285714285</v>
      </c>
      <c r="AE16" s="31">
        <f t="shared" si="8"/>
        <v>582.42857142857133</v>
      </c>
      <c r="AF16" s="31">
        <f t="shared" si="8"/>
        <v>1546.2857142857142</v>
      </c>
    </row>
    <row r="17" spans="2:32" ht="23.1" customHeight="1" x14ac:dyDescent="0.25">
      <c r="B17" s="23" t="s">
        <v>44</v>
      </c>
      <c r="C17" s="49">
        <f>AVERAGE('22.07 KALERWE-GAYAZA'!C17,'23.07 KALERWE-GAYAZA'!C17,'24.07 KALERWE-GAYAZA'!C17,'25.07 KALERWE-GAYAZA'!C17,'26.07 KALERWE-GAYAZA-24h'!C17,'27.07 KALERWE-GAYAZA-24h'!C17,'28.07 KALERWE-GAYAZA'!C17)</f>
        <v>35.142857142857146</v>
      </c>
      <c r="D17" s="49">
        <f>AVERAGE('22.07 KALERWE-GAYAZA'!D17,'23.07 KALERWE-GAYAZA'!D17,'24.07 KALERWE-GAYAZA'!D17,'25.07 KALERWE-GAYAZA'!D17,'26.07 KALERWE-GAYAZA-24h'!D17,'27.07 KALERWE-GAYAZA-24h'!D17,'28.07 KALERWE-GAYAZA'!D17)</f>
        <v>12.714285714285714</v>
      </c>
      <c r="E17" s="49">
        <f>AVERAGE('22.07 KALERWE-GAYAZA'!E17,'23.07 KALERWE-GAYAZA'!E17,'24.07 KALERWE-GAYAZA'!E17,'25.07 KALERWE-GAYAZA'!E17,'26.07 KALERWE-GAYAZA-24h'!E17,'27.07 KALERWE-GAYAZA-24h'!E17,'28.07 KALERWE-GAYAZA'!E17)</f>
        <v>12</v>
      </c>
      <c r="F17" s="49">
        <f>AVERAGE('22.07 KALERWE-GAYAZA'!F17,'23.07 KALERWE-GAYAZA'!F17,'24.07 KALERWE-GAYAZA'!F17,'25.07 KALERWE-GAYAZA'!F17,'26.07 KALERWE-GAYAZA-24h'!F17,'27.07 KALERWE-GAYAZA-24h'!F17,'28.07 KALERWE-GAYAZA'!F17)</f>
        <v>75.428571428571431</v>
      </c>
      <c r="G17" s="49">
        <f>AVERAGE('22.07 KALERWE-GAYAZA'!G17,'23.07 KALERWE-GAYAZA'!G17,'24.07 KALERWE-GAYAZA'!G17,'25.07 KALERWE-GAYAZA'!G17,'26.07 KALERWE-GAYAZA-24h'!G17,'27.07 KALERWE-GAYAZA-24h'!G17,'28.07 KALERWE-GAYAZA'!G17)</f>
        <v>1.2857142857142858</v>
      </c>
      <c r="H17" s="49">
        <f>AVERAGE('22.07 KALERWE-GAYAZA'!H17,'23.07 KALERWE-GAYAZA'!H17,'24.07 KALERWE-GAYAZA'!H17,'25.07 KALERWE-GAYAZA'!H17,'26.07 KALERWE-GAYAZA-24h'!H17,'27.07 KALERWE-GAYAZA-24h'!H17,'28.07 KALERWE-GAYAZA'!H17)</f>
        <v>0.5714285714285714</v>
      </c>
      <c r="I17" s="49">
        <f>AVERAGE('22.07 KALERWE-GAYAZA'!I17,'23.07 KALERWE-GAYAZA'!I17,'24.07 KALERWE-GAYAZA'!I17,'25.07 KALERWE-GAYAZA'!I17,'26.07 KALERWE-GAYAZA-24h'!I17,'27.07 KALERWE-GAYAZA-24h'!I17,'28.07 KALERWE-GAYAZA'!I17)</f>
        <v>6.8571428571428568</v>
      </c>
      <c r="J17" s="49">
        <f>AVERAGE('22.07 KALERWE-GAYAZA'!J17,'23.07 KALERWE-GAYAZA'!J17,'24.07 KALERWE-GAYAZA'!J17,'25.07 KALERWE-GAYAZA'!J17,'26.07 KALERWE-GAYAZA-24h'!J17,'27.07 KALERWE-GAYAZA-24h'!J17,'28.07 KALERWE-GAYAZA'!J17)</f>
        <v>2.8571428571428572</v>
      </c>
      <c r="K17" s="49">
        <f>AVERAGE('22.07 KALERWE-GAYAZA'!K17,'23.07 KALERWE-GAYAZA'!K17,'24.07 KALERWE-GAYAZA'!K17,'25.07 KALERWE-GAYAZA'!K17,'26.07 KALERWE-GAYAZA-24h'!K17,'27.07 KALERWE-GAYAZA-24h'!K17,'28.07 KALERWE-GAYAZA'!K17)</f>
        <v>2.2857142857142856</v>
      </c>
      <c r="L17" s="49">
        <f>AVERAGE('22.07 KALERWE-GAYAZA'!L17,'23.07 KALERWE-GAYAZA'!L17,'24.07 KALERWE-GAYAZA'!L17,'25.07 KALERWE-GAYAZA'!L17,'26.07 KALERWE-GAYAZA-24h'!L17,'27.07 KALERWE-GAYAZA-24h'!L17,'28.07 KALERWE-GAYAZA'!L17)</f>
        <v>1.5714285714285714</v>
      </c>
      <c r="M17" s="49">
        <f>AVERAGE('22.07 KALERWE-GAYAZA'!M17,'23.07 KALERWE-GAYAZA'!M17,'24.07 KALERWE-GAYAZA'!M17,'25.07 KALERWE-GAYAZA'!M17,'26.07 KALERWE-GAYAZA-24h'!M17,'27.07 KALERWE-GAYAZA-24h'!M17,'28.07 KALERWE-GAYAZA'!M17)</f>
        <v>342.85714285714283</v>
      </c>
      <c r="N17" s="49">
        <f>AVERAGE('22.07 KALERWE-GAYAZA'!N17,'23.07 KALERWE-GAYAZA'!N17,'24.07 KALERWE-GAYAZA'!N17,'25.07 KALERWE-GAYAZA'!N17,'26.07 KALERWE-GAYAZA-24h'!N17,'27.07 KALERWE-GAYAZA-24h'!N17,'28.07 KALERWE-GAYAZA'!N17)</f>
        <v>0</v>
      </c>
      <c r="O17" s="15">
        <f t="shared" si="0"/>
        <v>150.71428571428572</v>
      </c>
      <c r="P17" s="15">
        <f t="shared" si="1"/>
        <v>493.57142857142856</v>
      </c>
      <c r="R17" s="1" t="s">
        <v>13</v>
      </c>
      <c r="S17" s="17">
        <f t="shared" ref="S17:AF17" si="9">SUM(C38:C41)</f>
        <v>237.71428571428572</v>
      </c>
      <c r="T17" s="17">
        <f t="shared" si="9"/>
        <v>60.857142857142854</v>
      </c>
      <c r="U17" s="17">
        <f t="shared" si="9"/>
        <v>39.428571428571431</v>
      </c>
      <c r="V17" s="17">
        <f t="shared" si="9"/>
        <v>186.42857142857144</v>
      </c>
      <c r="W17" s="17">
        <f t="shared" si="9"/>
        <v>2.5714285714285716</v>
      </c>
      <c r="X17" s="17">
        <f t="shared" si="9"/>
        <v>2.5714285714285712</v>
      </c>
      <c r="Y17" s="17">
        <f t="shared" si="9"/>
        <v>42.857142857142854</v>
      </c>
      <c r="Z17" s="17">
        <f t="shared" si="9"/>
        <v>18.285714285714285</v>
      </c>
      <c r="AA17" s="17">
        <f t="shared" si="9"/>
        <v>7.7142857142857144</v>
      </c>
      <c r="AB17" s="17">
        <f t="shared" si="9"/>
        <v>5.7142857142857144</v>
      </c>
      <c r="AC17" s="17">
        <f t="shared" si="9"/>
        <v>992.71428571428567</v>
      </c>
      <c r="AD17" s="17">
        <f t="shared" si="9"/>
        <v>0</v>
      </c>
      <c r="AE17" s="31">
        <f t="shared" si="9"/>
        <v>604.14285714285711</v>
      </c>
      <c r="AF17" s="31">
        <f t="shared" si="9"/>
        <v>1596.8571428571429</v>
      </c>
    </row>
    <row r="18" spans="2:32" ht="23.1" customHeight="1" x14ac:dyDescent="0.25">
      <c r="B18" s="23" t="s">
        <v>45</v>
      </c>
      <c r="C18" s="49">
        <f>AVERAGE('22.07 KALERWE-GAYAZA'!C18,'23.07 KALERWE-GAYAZA'!C18,'24.07 KALERWE-GAYAZA'!C18,'25.07 KALERWE-GAYAZA'!C18,'26.07 KALERWE-GAYAZA-24h'!C18,'27.07 KALERWE-GAYAZA-24h'!C18,'28.07 KALERWE-GAYAZA'!C18)</f>
        <v>30.142857142857142</v>
      </c>
      <c r="D18" s="49">
        <f>AVERAGE('22.07 KALERWE-GAYAZA'!D18,'23.07 KALERWE-GAYAZA'!D18,'24.07 KALERWE-GAYAZA'!D18,'25.07 KALERWE-GAYAZA'!D18,'26.07 KALERWE-GAYAZA-24h'!D18,'27.07 KALERWE-GAYAZA-24h'!D18,'28.07 KALERWE-GAYAZA'!D18)</f>
        <v>12.571428571428571</v>
      </c>
      <c r="E18" s="49">
        <f>AVERAGE('22.07 KALERWE-GAYAZA'!E18,'23.07 KALERWE-GAYAZA'!E18,'24.07 KALERWE-GAYAZA'!E18,'25.07 KALERWE-GAYAZA'!E18,'26.07 KALERWE-GAYAZA-24h'!E18,'27.07 KALERWE-GAYAZA-24h'!E18,'28.07 KALERWE-GAYAZA'!E18)</f>
        <v>9.5714285714285712</v>
      </c>
      <c r="F18" s="49">
        <f>AVERAGE('22.07 KALERWE-GAYAZA'!F18,'23.07 KALERWE-GAYAZA'!F18,'24.07 KALERWE-GAYAZA'!F18,'25.07 KALERWE-GAYAZA'!F18,'26.07 KALERWE-GAYAZA-24h'!F18,'27.07 KALERWE-GAYAZA-24h'!F18,'28.07 KALERWE-GAYAZA'!F18)</f>
        <v>62</v>
      </c>
      <c r="G18" s="49">
        <f>AVERAGE('22.07 KALERWE-GAYAZA'!G18,'23.07 KALERWE-GAYAZA'!G18,'24.07 KALERWE-GAYAZA'!G18,'25.07 KALERWE-GAYAZA'!G18,'26.07 KALERWE-GAYAZA-24h'!G18,'27.07 KALERWE-GAYAZA-24h'!G18,'28.07 KALERWE-GAYAZA'!G18)</f>
        <v>0.7142857142857143</v>
      </c>
      <c r="H18" s="49">
        <f>AVERAGE('22.07 KALERWE-GAYAZA'!H18,'23.07 KALERWE-GAYAZA'!H18,'24.07 KALERWE-GAYAZA'!H18,'25.07 KALERWE-GAYAZA'!H18,'26.07 KALERWE-GAYAZA-24h'!H18,'27.07 KALERWE-GAYAZA-24h'!H18,'28.07 KALERWE-GAYAZA'!H18)</f>
        <v>0.8571428571428571</v>
      </c>
      <c r="I18" s="49">
        <f>AVERAGE('22.07 KALERWE-GAYAZA'!I18,'23.07 KALERWE-GAYAZA'!I18,'24.07 KALERWE-GAYAZA'!I18,'25.07 KALERWE-GAYAZA'!I18,'26.07 KALERWE-GAYAZA-24h'!I18,'27.07 KALERWE-GAYAZA-24h'!I18,'28.07 KALERWE-GAYAZA'!I18)</f>
        <v>6.7142857142857144</v>
      </c>
      <c r="J18" s="49">
        <f>AVERAGE('22.07 KALERWE-GAYAZA'!J18,'23.07 KALERWE-GAYAZA'!J18,'24.07 KALERWE-GAYAZA'!J18,'25.07 KALERWE-GAYAZA'!J18,'26.07 KALERWE-GAYAZA-24h'!J18,'27.07 KALERWE-GAYAZA-24h'!J18,'28.07 KALERWE-GAYAZA'!J18)</f>
        <v>3.5714285714285716</v>
      </c>
      <c r="K18" s="49">
        <f>AVERAGE('22.07 KALERWE-GAYAZA'!K18,'23.07 KALERWE-GAYAZA'!K18,'24.07 KALERWE-GAYAZA'!K18,'25.07 KALERWE-GAYAZA'!K18,'26.07 KALERWE-GAYAZA-24h'!K18,'27.07 KALERWE-GAYAZA-24h'!K18,'28.07 KALERWE-GAYAZA'!K18)</f>
        <v>0.42857142857142855</v>
      </c>
      <c r="L18" s="49">
        <f>AVERAGE('22.07 KALERWE-GAYAZA'!L18,'23.07 KALERWE-GAYAZA'!L18,'24.07 KALERWE-GAYAZA'!L18,'25.07 KALERWE-GAYAZA'!L18,'26.07 KALERWE-GAYAZA-24h'!L18,'27.07 KALERWE-GAYAZA-24h'!L18,'28.07 KALERWE-GAYAZA'!L18)</f>
        <v>0.8571428571428571</v>
      </c>
      <c r="M18" s="49">
        <f>AVERAGE('22.07 KALERWE-GAYAZA'!M18,'23.07 KALERWE-GAYAZA'!M18,'24.07 KALERWE-GAYAZA'!M18,'25.07 KALERWE-GAYAZA'!M18,'26.07 KALERWE-GAYAZA-24h'!M18,'27.07 KALERWE-GAYAZA-24h'!M18,'28.07 KALERWE-GAYAZA'!M18)</f>
        <v>280.14285714285717</v>
      </c>
      <c r="N18" s="49">
        <f>AVERAGE('22.07 KALERWE-GAYAZA'!N18,'23.07 KALERWE-GAYAZA'!N18,'24.07 KALERWE-GAYAZA'!N18,'25.07 KALERWE-GAYAZA'!N18,'26.07 KALERWE-GAYAZA-24h'!N18,'27.07 KALERWE-GAYAZA-24h'!N18,'28.07 KALERWE-GAYAZA'!N18)</f>
        <v>0</v>
      </c>
      <c r="O18" s="15">
        <f t="shared" si="0"/>
        <v>127.42857142857142</v>
      </c>
      <c r="P18" s="15">
        <f t="shared" si="1"/>
        <v>407.57142857142856</v>
      </c>
      <c r="R18" s="1" t="s">
        <v>14</v>
      </c>
      <c r="S18" s="17">
        <f t="shared" ref="S18:AF18" si="10">SUM(C42:C45)</f>
        <v>239</v>
      </c>
      <c r="T18" s="17">
        <f t="shared" si="10"/>
        <v>68</v>
      </c>
      <c r="U18" s="17">
        <f t="shared" si="10"/>
        <v>47.428571428571431</v>
      </c>
      <c r="V18" s="17">
        <f t="shared" si="10"/>
        <v>193.71428571428572</v>
      </c>
      <c r="W18" s="17">
        <f t="shared" si="10"/>
        <v>1.1428571428571428</v>
      </c>
      <c r="X18" s="17">
        <f t="shared" si="10"/>
        <v>2.8571428571428572</v>
      </c>
      <c r="Y18" s="17">
        <f t="shared" si="10"/>
        <v>38.285714285714285</v>
      </c>
      <c r="Z18" s="17">
        <f t="shared" si="10"/>
        <v>14.428571428571429</v>
      </c>
      <c r="AA18" s="17">
        <f t="shared" si="10"/>
        <v>4.4285714285714288</v>
      </c>
      <c r="AB18" s="17">
        <f t="shared" si="10"/>
        <v>4.5714285714285712</v>
      </c>
      <c r="AC18" s="17">
        <f t="shared" si="10"/>
        <v>940.57142857142856</v>
      </c>
      <c r="AD18" s="17">
        <f t="shared" si="10"/>
        <v>0</v>
      </c>
      <c r="AE18" s="31">
        <f t="shared" si="10"/>
        <v>613.85714285714278</v>
      </c>
      <c r="AF18" s="31">
        <f t="shared" si="10"/>
        <v>1554.4285714285713</v>
      </c>
    </row>
    <row r="19" spans="2:32" ht="23.1" customHeight="1" x14ac:dyDescent="0.25">
      <c r="B19" s="23" t="s">
        <v>46</v>
      </c>
      <c r="C19" s="49">
        <f>AVERAGE('22.07 KALERWE-GAYAZA'!C19,'23.07 KALERWE-GAYAZA'!C19,'24.07 KALERWE-GAYAZA'!C19,'25.07 KALERWE-GAYAZA'!C19,'26.07 KALERWE-GAYAZA-24h'!C19,'27.07 KALERWE-GAYAZA-24h'!C19,'28.07 KALERWE-GAYAZA'!C19)</f>
        <v>31.142857142857142</v>
      </c>
      <c r="D19" s="49">
        <f>AVERAGE('22.07 KALERWE-GAYAZA'!D19,'23.07 KALERWE-GAYAZA'!D19,'24.07 KALERWE-GAYAZA'!D19,'25.07 KALERWE-GAYAZA'!D19,'26.07 KALERWE-GAYAZA-24h'!D19,'27.07 KALERWE-GAYAZA-24h'!D19,'28.07 KALERWE-GAYAZA'!D19)</f>
        <v>17.142857142857142</v>
      </c>
      <c r="E19" s="49">
        <f>AVERAGE('22.07 KALERWE-GAYAZA'!E19,'23.07 KALERWE-GAYAZA'!E19,'24.07 KALERWE-GAYAZA'!E19,'25.07 KALERWE-GAYAZA'!E19,'26.07 KALERWE-GAYAZA-24h'!E19,'27.07 KALERWE-GAYAZA-24h'!E19,'28.07 KALERWE-GAYAZA'!E19)</f>
        <v>10.142857142857142</v>
      </c>
      <c r="F19" s="49">
        <f>AVERAGE('22.07 KALERWE-GAYAZA'!F19,'23.07 KALERWE-GAYAZA'!F19,'24.07 KALERWE-GAYAZA'!F19,'25.07 KALERWE-GAYAZA'!F19,'26.07 KALERWE-GAYAZA-24h'!F19,'27.07 KALERWE-GAYAZA-24h'!F19,'28.07 KALERWE-GAYAZA'!F19)</f>
        <v>61.714285714285715</v>
      </c>
      <c r="G19" s="49">
        <f>AVERAGE('22.07 KALERWE-GAYAZA'!G19,'23.07 KALERWE-GAYAZA'!G19,'24.07 KALERWE-GAYAZA'!G19,'25.07 KALERWE-GAYAZA'!G19,'26.07 KALERWE-GAYAZA-24h'!G19,'27.07 KALERWE-GAYAZA-24h'!G19,'28.07 KALERWE-GAYAZA'!G19)</f>
        <v>0.7142857142857143</v>
      </c>
      <c r="H19" s="49">
        <f>AVERAGE('22.07 KALERWE-GAYAZA'!H19,'23.07 KALERWE-GAYAZA'!H19,'24.07 KALERWE-GAYAZA'!H19,'25.07 KALERWE-GAYAZA'!H19,'26.07 KALERWE-GAYAZA-24h'!H19,'27.07 KALERWE-GAYAZA-24h'!H19,'28.07 KALERWE-GAYAZA'!H19)</f>
        <v>0.14285714285714285</v>
      </c>
      <c r="I19" s="49">
        <f>AVERAGE('22.07 KALERWE-GAYAZA'!I19,'23.07 KALERWE-GAYAZA'!I19,'24.07 KALERWE-GAYAZA'!I19,'25.07 KALERWE-GAYAZA'!I19,'26.07 KALERWE-GAYAZA-24h'!I19,'27.07 KALERWE-GAYAZA-24h'!I19,'28.07 KALERWE-GAYAZA'!I19)</f>
        <v>6.1428571428571432</v>
      </c>
      <c r="J19" s="49">
        <f>AVERAGE('22.07 KALERWE-GAYAZA'!J19,'23.07 KALERWE-GAYAZA'!J19,'24.07 KALERWE-GAYAZA'!J19,'25.07 KALERWE-GAYAZA'!J19,'26.07 KALERWE-GAYAZA-24h'!J19,'27.07 KALERWE-GAYAZA-24h'!J19,'28.07 KALERWE-GAYAZA'!J19)</f>
        <v>3</v>
      </c>
      <c r="K19" s="49">
        <f>AVERAGE('22.07 KALERWE-GAYAZA'!K19,'23.07 KALERWE-GAYAZA'!K19,'24.07 KALERWE-GAYAZA'!K19,'25.07 KALERWE-GAYAZA'!K19,'26.07 KALERWE-GAYAZA-24h'!K19,'27.07 KALERWE-GAYAZA-24h'!K19,'28.07 KALERWE-GAYAZA'!K19)</f>
        <v>0.5714285714285714</v>
      </c>
      <c r="L19" s="49">
        <f>AVERAGE('22.07 KALERWE-GAYAZA'!L19,'23.07 KALERWE-GAYAZA'!L19,'24.07 KALERWE-GAYAZA'!L19,'25.07 KALERWE-GAYAZA'!L19,'26.07 KALERWE-GAYAZA-24h'!L19,'27.07 KALERWE-GAYAZA-24h'!L19,'28.07 KALERWE-GAYAZA'!L19)</f>
        <v>1.1428571428571428</v>
      </c>
      <c r="M19" s="49">
        <f>AVERAGE('22.07 KALERWE-GAYAZA'!M19,'23.07 KALERWE-GAYAZA'!M19,'24.07 KALERWE-GAYAZA'!M19,'25.07 KALERWE-GAYAZA'!M19,'26.07 KALERWE-GAYAZA-24h'!M19,'27.07 KALERWE-GAYAZA-24h'!M19,'28.07 KALERWE-GAYAZA'!M19)</f>
        <v>262.28571428571428</v>
      </c>
      <c r="N19" s="49">
        <f>AVERAGE('22.07 KALERWE-GAYAZA'!N19,'23.07 KALERWE-GAYAZA'!N19,'24.07 KALERWE-GAYAZA'!N19,'25.07 KALERWE-GAYAZA'!N19,'26.07 KALERWE-GAYAZA-24h'!N19,'27.07 KALERWE-GAYAZA-24h'!N19,'28.07 KALERWE-GAYAZA'!N19)</f>
        <v>0</v>
      </c>
      <c r="O19" s="15">
        <f t="shared" si="0"/>
        <v>131.85714285714283</v>
      </c>
      <c r="P19" s="15">
        <f t="shared" si="1"/>
        <v>394.14285714285711</v>
      </c>
      <c r="R19" s="1" t="s">
        <v>15</v>
      </c>
      <c r="S19" s="17">
        <f t="shared" ref="S19:AF19" si="11">SUM(C46:C49)</f>
        <v>293.28571428571428</v>
      </c>
      <c r="T19" s="17">
        <f t="shared" si="11"/>
        <v>89.428571428571416</v>
      </c>
      <c r="U19" s="17">
        <f t="shared" si="11"/>
        <v>52.571428571428569</v>
      </c>
      <c r="V19" s="17">
        <f t="shared" si="11"/>
        <v>230</v>
      </c>
      <c r="W19" s="17">
        <f t="shared" si="11"/>
        <v>3.4285714285714288</v>
      </c>
      <c r="X19" s="17">
        <f t="shared" si="11"/>
        <v>6</v>
      </c>
      <c r="Y19" s="17">
        <f t="shared" si="11"/>
        <v>34.428571428571431</v>
      </c>
      <c r="Z19" s="17">
        <f t="shared" si="11"/>
        <v>11.714285714285714</v>
      </c>
      <c r="AA19" s="17">
        <f t="shared" si="11"/>
        <v>5</v>
      </c>
      <c r="AB19" s="17">
        <f t="shared" si="11"/>
        <v>3.714285714285714</v>
      </c>
      <c r="AC19" s="17">
        <f t="shared" si="11"/>
        <v>1060.5714285714287</v>
      </c>
      <c r="AD19" s="17">
        <f t="shared" si="11"/>
        <v>0</v>
      </c>
      <c r="AE19" s="31">
        <f t="shared" si="11"/>
        <v>729.57142857142844</v>
      </c>
      <c r="AF19" s="31">
        <f t="shared" si="11"/>
        <v>1790.1428571428571</v>
      </c>
    </row>
    <row r="20" spans="2:32" ht="23.1" customHeight="1" x14ac:dyDescent="0.25">
      <c r="B20" s="23" t="s">
        <v>47</v>
      </c>
      <c r="C20" s="49">
        <f>AVERAGE('22.07 KALERWE-GAYAZA'!C20,'23.07 KALERWE-GAYAZA'!C20,'24.07 KALERWE-GAYAZA'!C20,'25.07 KALERWE-GAYAZA'!C20,'26.07 KALERWE-GAYAZA-24h'!C20,'27.07 KALERWE-GAYAZA-24h'!C20,'28.07 KALERWE-GAYAZA'!C20)</f>
        <v>37.714285714285715</v>
      </c>
      <c r="D20" s="49">
        <f>AVERAGE('22.07 KALERWE-GAYAZA'!D20,'23.07 KALERWE-GAYAZA'!D20,'24.07 KALERWE-GAYAZA'!D20,'25.07 KALERWE-GAYAZA'!D20,'26.07 KALERWE-GAYAZA-24h'!D20,'27.07 KALERWE-GAYAZA-24h'!D20,'28.07 KALERWE-GAYAZA'!D20)</f>
        <v>11.857142857142858</v>
      </c>
      <c r="E20" s="49">
        <f>AVERAGE('22.07 KALERWE-GAYAZA'!E20,'23.07 KALERWE-GAYAZA'!E20,'24.07 KALERWE-GAYAZA'!E20,'25.07 KALERWE-GAYAZA'!E20,'26.07 KALERWE-GAYAZA-24h'!E20,'27.07 KALERWE-GAYAZA-24h'!E20,'28.07 KALERWE-GAYAZA'!E20)</f>
        <v>9.8571428571428577</v>
      </c>
      <c r="F20" s="49">
        <f>AVERAGE('22.07 KALERWE-GAYAZA'!F20,'23.07 KALERWE-GAYAZA'!F20,'24.07 KALERWE-GAYAZA'!F20,'25.07 KALERWE-GAYAZA'!F20,'26.07 KALERWE-GAYAZA-24h'!F20,'27.07 KALERWE-GAYAZA-24h'!F20,'28.07 KALERWE-GAYAZA'!F20)</f>
        <v>66.857142857142861</v>
      </c>
      <c r="G20" s="49">
        <f>AVERAGE('22.07 KALERWE-GAYAZA'!G20,'23.07 KALERWE-GAYAZA'!G20,'24.07 KALERWE-GAYAZA'!G20,'25.07 KALERWE-GAYAZA'!G20,'26.07 KALERWE-GAYAZA-24h'!G20,'27.07 KALERWE-GAYAZA-24h'!G20,'28.07 KALERWE-GAYAZA'!G20)</f>
        <v>0.2857142857142857</v>
      </c>
      <c r="H20" s="49">
        <f>AVERAGE('22.07 KALERWE-GAYAZA'!H20,'23.07 KALERWE-GAYAZA'!H20,'24.07 KALERWE-GAYAZA'!H20,'25.07 KALERWE-GAYAZA'!H20,'26.07 KALERWE-GAYAZA-24h'!H20,'27.07 KALERWE-GAYAZA-24h'!H20,'28.07 KALERWE-GAYAZA'!H20)</f>
        <v>0.2857142857142857</v>
      </c>
      <c r="I20" s="49">
        <f>AVERAGE('22.07 KALERWE-GAYAZA'!I20,'23.07 KALERWE-GAYAZA'!I20,'24.07 KALERWE-GAYAZA'!I20,'25.07 KALERWE-GAYAZA'!I20,'26.07 KALERWE-GAYAZA-24h'!I20,'27.07 KALERWE-GAYAZA-24h'!I20,'28.07 KALERWE-GAYAZA'!I20)</f>
        <v>8.2857142857142865</v>
      </c>
      <c r="J20" s="49">
        <f>AVERAGE('22.07 KALERWE-GAYAZA'!J20,'23.07 KALERWE-GAYAZA'!J20,'24.07 KALERWE-GAYAZA'!J20,'25.07 KALERWE-GAYAZA'!J20,'26.07 KALERWE-GAYAZA-24h'!J20,'27.07 KALERWE-GAYAZA-24h'!J20,'28.07 KALERWE-GAYAZA'!J20)</f>
        <v>4.1428571428571432</v>
      </c>
      <c r="K20" s="49">
        <f>AVERAGE('22.07 KALERWE-GAYAZA'!K20,'23.07 KALERWE-GAYAZA'!K20,'24.07 KALERWE-GAYAZA'!K20,'25.07 KALERWE-GAYAZA'!K20,'26.07 KALERWE-GAYAZA-24h'!K20,'27.07 KALERWE-GAYAZA-24h'!K20,'28.07 KALERWE-GAYAZA'!K20)</f>
        <v>1.2857142857142858</v>
      </c>
      <c r="L20" s="49">
        <f>AVERAGE('22.07 KALERWE-GAYAZA'!L20,'23.07 KALERWE-GAYAZA'!L20,'24.07 KALERWE-GAYAZA'!L20,'25.07 KALERWE-GAYAZA'!L20,'26.07 KALERWE-GAYAZA-24h'!L20,'27.07 KALERWE-GAYAZA-24h'!L20,'28.07 KALERWE-GAYAZA'!L20)</f>
        <v>0.8571428571428571</v>
      </c>
      <c r="M20" s="49">
        <f>AVERAGE('22.07 KALERWE-GAYAZA'!M20,'23.07 KALERWE-GAYAZA'!M20,'24.07 KALERWE-GAYAZA'!M20,'25.07 KALERWE-GAYAZA'!M20,'26.07 KALERWE-GAYAZA-24h'!M20,'27.07 KALERWE-GAYAZA-24h'!M20,'28.07 KALERWE-GAYAZA'!M20)</f>
        <v>306.57142857142856</v>
      </c>
      <c r="N20" s="49">
        <f>AVERAGE('22.07 KALERWE-GAYAZA'!N20,'23.07 KALERWE-GAYAZA'!N20,'24.07 KALERWE-GAYAZA'!N20,'25.07 KALERWE-GAYAZA'!N20,'26.07 KALERWE-GAYAZA-24h'!N20,'27.07 KALERWE-GAYAZA-24h'!N20,'28.07 KALERWE-GAYAZA'!N20)</f>
        <v>0</v>
      </c>
      <c r="O20" s="15">
        <f t="shared" si="0"/>
        <v>141.42857142857144</v>
      </c>
      <c r="P20" s="15">
        <f t="shared" si="1"/>
        <v>448</v>
      </c>
      <c r="R20" s="1" t="s">
        <v>16</v>
      </c>
      <c r="S20" s="17">
        <f t="shared" ref="S20:AF20" si="12">SUM(C50:C53)</f>
        <v>311.14285714285717</v>
      </c>
      <c r="T20" s="17">
        <f t="shared" si="12"/>
        <v>91.857142857142861</v>
      </c>
      <c r="U20" s="17">
        <f t="shared" si="12"/>
        <v>51.285714285714285</v>
      </c>
      <c r="V20" s="17">
        <f t="shared" si="12"/>
        <v>219.14285714285717</v>
      </c>
      <c r="W20" s="17">
        <f t="shared" si="12"/>
        <v>5.1428571428571432</v>
      </c>
      <c r="X20" s="17">
        <f t="shared" si="12"/>
        <v>3.8571428571428572</v>
      </c>
      <c r="Y20" s="17">
        <f t="shared" si="12"/>
        <v>29.428571428571427</v>
      </c>
      <c r="Z20" s="17">
        <f t="shared" si="12"/>
        <v>9.1428571428571441</v>
      </c>
      <c r="AA20" s="17">
        <f t="shared" si="12"/>
        <v>2.8571428571428572</v>
      </c>
      <c r="AB20" s="17">
        <f t="shared" si="12"/>
        <v>2.4285714285714284</v>
      </c>
      <c r="AC20" s="17">
        <f t="shared" si="12"/>
        <v>1218.1428571428573</v>
      </c>
      <c r="AD20" s="17">
        <f t="shared" si="12"/>
        <v>0</v>
      </c>
      <c r="AE20" s="31">
        <f t="shared" si="12"/>
        <v>726.28571428571445</v>
      </c>
      <c r="AF20" s="31">
        <f t="shared" si="12"/>
        <v>1944.4285714285716</v>
      </c>
    </row>
    <row r="21" spans="2:32" ht="23.1" customHeight="1" x14ac:dyDescent="0.25">
      <c r="B21" s="23" t="s">
        <v>48</v>
      </c>
      <c r="C21" s="49">
        <f>AVERAGE('22.07 KALERWE-GAYAZA'!C21,'23.07 KALERWE-GAYAZA'!C21,'24.07 KALERWE-GAYAZA'!C21,'25.07 KALERWE-GAYAZA'!C21,'26.07 KALERWE-GAYAZA-24h'!C21,'27.07 KALERWE-GAYAZA-24h'!C21,'28.07 KALERWE-GAYAZA'!C21)</f>
        <v>37</v>
      </c>
      <c r="D21" s="49">
        <f>AVERAGE('22.07 KALERWE-GAYAZA'!D21,'23.07 KALERWE-GAYAZA'!D21,'24.07 KALERWE-GAYAZA'!D21,'25.07 KALERWE-GAYAZA'!D21,'26.07 KALERWE-GAYAZA-24h'!D21,'27.07 KALERWE-GAYAZA-24h'!D21,'28.07 KALERWE-GAYAZA'!D21)</f>
        <v>13.857142857142858</v>
      </c>
      <c r="E21" s="49">
        <f>AVERAGE('22.07 KALERWE-GAYAZA'!E21,'23.07 KALERWE-GAYAZA'!E21,'24.07 KALERWE-GAYAZA'!E21,'25.07 KALERWE-GAYAZA'!E21,'26.07 KALERWE-GAYAZA-24h'!E21,'27.07 KALERWE-GAYAZA-24h'!E21,'28.07 KALERWE-GAYAZA'!E21)</f>
        <v>10.714285714285714</v>
      </c>
      <c r="F21" s="49">
        <f>AVERAGE('22.07 KALERWE-GAYAZA'!F21,'23.07 KALERWE-GAYAZA'!F21,'24.07 KALERWE-GAYAZA'!F21,'25.07 KALERWE-GAYAZA'!F21,'26.07 KALERWE-GAYAZA-24h'!F21,'27.07 KALERWE-GAYAZA-24h'!F21,'28.07 KALERWE-GAYAZA'!F21)</f>
        <v>57.857142857142854</v>
      </c>
      <c r="G21" s="49">
        <f>AVERAGE('22.07 KALERWE-GAYAZA'!G21,'23.07 KALERWE-GAYAZA'!G21,'24.07 KALERWE-GAYAZA'!G21,'25.07 KALERWE-GAYAZA'!G21,'26.07 KALERWE-GAYAZA-24h'!G21,'27.07 KALERWE-GAYAZA-24h'!G21,'28.07 KALERWE-GAYAZA'!G21)</f>
        <v>1</v>
      </c>
      <c r="H21" s="49">
        <f>AVERAGE('22.07 KALERWE-GAYAZA'!H21,'23.07 KALERWE-GAYAZA'!H21,'24.07 KALERWE-GAYAZA'!H21,'25.07 KALERWE-GAYAZA'!H21,'26.07 KALERWE-GAYAZA-24h'!H21,'27.07 KALERWE-GAYAZA-24h'!H21,'28.07 KALERWE-GAYAZA'!H21)</f>
        <v>0.5714285714285714</v>
      </c>
      <c r="I21" s="49">
        <f>AVERAGE('22.07 KALERWE-GAYAZA'!I21,'23.07 KALERWE-GAYAZA'!I21,'24.07 KALERWE-GAYAZA'!I21,'25.07 KALERWE-GAYAZA'!I21,'26.07 KALERWE-GAYAZA-24h'!I21,'27.07 KALERWE-GAYAZA-24h'!I21,'28.07 KALERWE-GAYAZA'!I21)</f>
        <v>6.2857142857142856</v>
      </c>
      <c r="J21" s="49">
        <f>AVERAGE('22.07 KALERWE-GAYAZA'!J21,'23.07 KALERWE-GAYAZA'!J21,'24.07 KALERWE-GAYAZA'!J21,'25.07 KALERWE-GAYAZA'!J21,'26.07 KALERWE-GAYAZA-24h'!J21,'27.07 KALERWE-GAYAZA-24h'!J21,'28.07 KALERWE-GAYAZA'!J21)</f>
        <v>1.7142857142857142</v>
      </c>
      <c r="K21" s="49">
        <f>AVERAGE('22.07 KALERWE-GAYAZA'!K21,'23.07 KALERWE-GAYAZA'!K21,'24.07 KALERWE-GAYAZA'!K21,'25.07 KALERWE-GAYAZA'!K21,'26.07 KALERWE-GAYAZA-24h'!K21,'27.07 KALERWE-GAYAZA-24h'!K21,'28.07 KALERWE-GAYAZA'!K21)</f>
        <v>1</v>
      </c>
      <c r="L21" s="49">
        <f>AVERAGE('22.07 KALERWE-GAYAZA'!L21,'23.07 KALERWE-GAYAZA'!L21,'24.07 KALERWE-GAYAZA'!L21,'25.07 KALERWE-GAYAZA'!L21,'26.07 KALERWE-GAYAZA-24h'!L21,'27.07 KALERWE-GAYAZA-24h'!L21,'28.07 KALERWE-GAYAZA'!L21)</f>
        <v>1</v>
      </c>
      <c r="M21" s="49">
        <f>AVERAGE('22.07 KALERWE-GAYAZA'!M21,'23.07 KALERWE-GAYAZA'!M21,'24.07 KALERWE-GAYAZA'!M21,'25.07 KALERWE-GAYAZA'!M21,'26.07 KALERWE-GAYAZA-24h'!M21,'27.07 KALERWE-GAYAZA-24h'!M21,'28.07 KALERWE-GAYAZA'!M21)</f>
        <v>280.42857142857144</v>
      </c>
      <c r="N21" s="49">
        <f>AVERAGE('22.07 KALERWE-GAYAZA'!N21,'23.07 KALERWE-GAYAZA'!N21,'24.07 KALERWE-GAYAZA'!N21,'25.07 KALERWE-GAYAZA'!N21,'26.07 KALERWE-GAYAZA-24h'!N21,'27.07 KALERWE-GAYAZA-24h'!N21,'28.07 KALERWE-GAYAZA'!N21)</f>
        <v>0</v>
      </c>
      <c r="O21" s="15">
        <f t="shared" si="0"/>
        <v>131</v>
      </c>
      <c r="P21" s="15">
        <f t="shared" si="1"/>
        <v>411.42857142857144</v>
      </c>
      <c r="R21" s="36" t="s">
        <v>20</v>
      </c>
      <c r="S21" s="34">
        <f t="shared" ref="S21:AF21" si="13">SUM(C54:C57)</f>
        <v>290.85714285714283</v>
      </c>
      <c r="T21" s="17">
        <f t="shared" si="13"/>
        <v>85.428571428571445</v>
      </c>
      <c r="U21" s="17">
        <f t="shared" si="13"/>
        <v>45.142857142857146</v>
      </c>
      <c r="V21" s="17">
        <f t="shared" si="13"/>
        <v>198.28571428571428</v>
      </c>
      <c r="W21" s="17">
        <f t="shared" si="13"/>
        <v>8.5714285714285712</v>
      </c>
      <c r="X21" s="17">
        <f t="shared" si="13"/>
        <v>5.1428571428571423</v>
      </c>
      <c r="Y21" s="17">
        <f t="shared" si="13"/>
        <v>26.857142857142854</v>
      </c>
      <c r="Z21" s="17">
        <f t="shared" si="13"/>
        <v>7.2857142857142856</v>
      </c>
      <c r="AA21" s="17">
        <f t="shared" si="13"/>
        <v>2.2857142857142856</v>
      </c>
      <c r="AB21" s="17">
        <f t="shared" si="13"/>
        <v>1.7142857142857142</v>
      </c>
      <c r="AC21" s="17">
        <f t="shared" si="13"/>
        <v>1316.7142857142858</v>
      </c>
      <c r="AD21" s="17">
        <f t="shared" si="13"/>
        <v>0</v>
      </c>
      <c r="AE21" s="31">
        <f t="shared" si="13"/>
        <v>671.57142857142867</v>
      </c>
      <c r="AF21" s="31">
        <f t="shared" si="13"/>
        <v>1988.2857142857142</v>
      </c>
    </row>
    <row r="22" spans="2:32" ht="23.1" customHeight="1" x14ac:dyDescent="0.25">
      <c r="B22" s="23" t="s">
        <v>49</v>
      </c>
      <c r="C22" s="49">
        <f>AVERAGE('22.07 KALERWE-GAYAZA'!C22,'23.07 KALERWE-GAYAZA'!C22,'24.07 KALERWE-GAYAZA'!C22,'25.07 KALERWE-GAYAZA'!C22,'26.07 KALERWE-GAYAZA-24h'!C22,'27.07 KALERWE-GAYAZA-24h'!C22,'28.07 KALERWE-GAYAZA'!C22)</f>
        <v>44.285714285714285</v>
      </c>
      <c r="D22" s="49">
        <f>AVERAGE('22.07 KALERWE-GAYAZA'!D22,'23.07 KALERWE-GAYAZA'!D22,'24.07 KALERWE-GAYAZA'!D22,'25.07 KALERWE-GAYAZA'!D22,'26.07 KALERWE-GAYAZA-24h'!D22,'27.07 KALERWE-GAYAZA-24h'!D22,'28.07 KALERWE-GAYAZA'!D22)</f>
        <v>17.857142857142858</v>
      </c>
      <c r="E22" s="49">
        <f>AVERAGE('22.07 KALERWE-GAYAZA'!E22,'23.07 KALERWE-GAYAZA'!E22,'24.07 KALERWE-GAYAZA'!E22,'25.07 KALERWE-GAYAZA'!E22,'26.07 KALERWE-GAYAZA-24h'!E22,'27.07 KALERWE-GAYAZA-24h'!E22,'28.07 KALERWE-GAYAZA'!E22)</f>
        <v>14</v>
      </c>
      <c r="F22" s="49">
        <f>AVERAGE('22.07 KALERWE-GAYAZA'!F22,'23.07 KALERWE-GAYAZA'!F22,'24.07 KALERWE-GAYAZA'!F22,'25.07 KALERWE-GAYAZA'!F22,'26.07 KALERWE-GAYAZA-24h'!F22,'27.07 KALERWE-GAYAZA-24h'!F22,'28.07 KALERWE-GAYAZA'!F22)</f>
        <v>69.714285714285708</v>
      </c>
      <c r="G22" s="49">
        <f>AVERAGE('22.07 KALERWE-GAYAZA'!G22,'23.07 KALERWE-GAYAZA'!G22,'24.07 KALERWE-GAYAZA'!G22,'25.07 KALERWE-GAYAZA'!G22,'26.07 KALERWE-GAYAZA-24h'!G22,'27.07 KALERWE-GAYAZA-24h'!G22,'28.07 KALERWE-GAYAZA'!G22)</f>
        <v>0.2857142857142857</v>
      </c>
      <c r="H22" s="49">
        <f>AVERAGE('22.07 KALERWE-GAYAZA'!H22,'23.07 KALERWE-GAYAZA'!H22,'24.07 KALERWE-GAYAZA'!H22,'25.07 KALERWE-GAYAZA'!H22,'26.07 KALERWE-GAYAZA-24h'!H22,'27.07 KALERWE-GAYAZA-24h'!H22,'28.07 KALERWE-GAYAZA'!H22)</f>
        <v>0.8571428571428571</v>
      </c>
      <c r="I22" s="49">
        <f>AVERAGE('22.07 KALERWE-GAYAZA'!I22,'23.07 KALERWE-GAYAZA'!I22,'24.07 KALERWE-GAYAZA'!I22,'25.07 KALERWE-GAYAZA'!I22,'26.07 KALERWE-GAYAZA-24h'!I22,'27.07 KALERWE-GAYAZA-24h'!I22,'28.07 KALERWE-GAYAZA'!I22)</f>
        <v>5.5714285714285712</v>
      </c>
      <c r="J22" s="49">
        <f>AVERAGE('22.07 KALERWE-GAYAZA'!J22,'23.07 KALERWE-GAYAZA'!J22,'24.07 KALERWE-GAYAZA'!J22,'25.07 KALERWE-GAYAZA'!J22,'26.07 KALERWE-GAYAZA-24h'!J22,'27.07 KALERWE-GAYAZA-24h'!J22,'28.07 KALERWE-GAYAZA'!J22)</f>
        <v>1.8571428571428572</v>
      </c>
      <c r="K22" s="49">
        <f>AVERAGE('22.07 KALERWE-GAYAZA'!K22,'23.07 KALERWE-GAYAZA'!K22,'24.07 KALERWE-GAYAZA'!K22,'25.07 KALERWE-GAYAZA'!K22,'26.07 KALERWE-GAYAZA-24h'!K22,'27.07 KALERWE-GAYAZA-24h'!K22,'28.07 KALERWE-GAYAZA'!K22)</f>
        <v>1.5714285714285714</v>
      </c>
      <c r="L22" s="49">
        <f>AVERAGE('22.07 KALERWE-GAYAZA'!L22,'23.07 KALERWE-GAYAZA'!L22,'24.07 KALERWE-GAYAZA'!L22,'25.07 KALERWE-GAYAZA'!L22,'26.07 KALERWE-GAYAZA-24h'!L22,'27.07 KALERWE-GAYAZA-24h'!L22,'28.07 KALERWE-GAYAZA'!L22)</f>
        <v>1</v>
      </c>
      <c r="M22" s="49">
        <f>AVERAGE('22.07 KALERWE-GAYAZA'!M22,'23.07 KALERWE-GAYAZA'!M22,'24.07 KALERWE-GAYAZA'!M22,'25.07 KALERWE-GAYAZA'!M22,'26.07 KALERWE-GAYAZA-24h'!M22,'27.07 KALERWE-GAYAZA-24h'!M22,'28.07 KALERWE-GAYAZA'!M22)</f>
        <v>281.42857142857144</v>
      </c>
      <c r="N22" s="49">
        <f>AVERAGE('22.07 KALERWE-GAYAZA'!N22,'23.07 KALERWE-GAYAZA'!N22,'24.07 KALERWE-GAYAZA'!N22,'25.07 KALERWE-GAYAZA'!N22,'26.07 KALERWE-GAYAZA-24h'!N22,'27.07 KALERWE-GAYAZA-24h'!N22,'28.07 KALERWE-GAYAZA'!N22)</f>
        <v>0.14285714285714285</v>
      </c>
      <c r="O22" s="15">
        <f t="shared" si="0"/>
        <v>157.14285714285714</v>
      </c>
      <c r="P22" s="15">
        <f t="shared" si="1"/>
        <v>438.57142857142861</v>
      </c>
      <c r="R22" s="1" t="s">
        <v>146</v>
      </c>
      <c r="S22" s="34">
        <f>SUM(C58:C61)</f>
        <v>242</v>
      </c>
      <c r="T22" s="34">
        <f t="shared" ref="T22:AF22" si="14">SUM(D58:D61)</f>
        <v>82</v>
      </c>
      <c r="U22" s="34">
        <f t="shared" si="14"/>
        <v>39</v>
      </c>
      <c r="V22" s="34">
        <f t="shared" si="14"/>
        <v>128.5</v>
      </c>
      <c r="W22" s="34">
        <f t="shared" si="14"/>
        <v>5.5</v>
      </c>
      <c r="X22" s="34">
        <f t="shared" si="14"/>
        <v>3</v>
      </c>
      <c r="Y22" s="34">
        <f t="shared" si="14"/>
        <v>45.5</v>
      </c>
      <c r="Z22" s="34">
        <f t="shared" si="14"/>
        <v>10.5</v>
      </c>
      <c r="AA22" s="34">
        <f t="shared" si="14"/>
        <v>2.5</v>
      </c>
      <c r="AB22" s="34">
        <f t="shared" si="14"/>
        <v>1.5</v>
      </c>
      <c r="AC22" s="34">
        <f t="shared" si="14"/>
        <v>1589.5</v>
      </c>
      <c r="AD22" s="34">
        <f t="shared" si="14"/>
        <v>0</v>
      </c>
      <c r="AE22" s="31">
        <f t="shared" si="14"/>
        <v>560</v>
      </c>
      <c r="AF22" s="31">
        <f t="shared" si="14"/>
        <v>2149.5</v>
      </c>
    </row>
    <row r="23" spans="2:32" ht="23.1" customHeight="1" x14ac:dyDescent="0.25">
      <c r="B23" s="23" t="s">
        <v>50</v>
      </c>
      <c r="C23" s="49">
        <f>AVERAGE('22.07 KALERWE-GAYAZA'!C23,'23.07 KALERWE-GAYAZA'!C23,'24.07 KALERWE-GAYAZA'!C23,'25.07 KALERWE-GAYAZA'!C23,'26.07 KALERWE-GAYAZA-24h'!C23,'27.07 KALERWE-GAYAZA-24h'!C23,'28.07 KALERWE-GAYAZA'!C23)</f>
        <v>49.571428571428569</v>
      </c>
      <c r="D23" s="49">
        <f>AVERAGE('22.07 KALERWE-GAYAZA'!D23,'23.07 KALERWE-GAYAZA'!D23,'24.07 KALERWE-GAYAZA'!D23,'25.07 KALERWE-GAYAZA'!D23,'26.07 KALERWE-GAYAZA-24h'!D23,'27.07 KALERWE-GAYAZA-24h'!D23,'28.07 KALERWE-GAYAZA'!D23)</f>
        <v>19.857142857142858</v>
      </c>
      <c r="E23" s="49">
        <f>AVERAGE('22.07 KALERWE-GAYAZA'!E23,'23.07 KALERWE-GAYAZA'!E23,'24.07 KALERWE-GAYAZA'!E23,'25.07 KALERWE-GAYAZA'!E23,'26.07 KALERWE-GAYAZA-24h'!E23,'27.07 KALERWE-GAYAZA-24h'!E23,'28.07 KALERWE-GAYAZA'!E23)</f>
        <v>14.857142857142858</v>
      </c>
      <c r="F23" s="49">
        <f>AVERAGE('22.07 KALERWE-GAYAZA'!F23,'23.07 KALERWE-GAYAZA'!F23,'24.07 KALERWE-GAYAZA'!F23,'25.07 KALERWE-GAYAZA'!F23,'26.07 KALERWE-GAYAZA-24h'!F23,'27.07 KALERWE-GAYAZA-24h'!F23,'28.07 KALERWE-GAYAZA'!F23)</f>
        <v>56.428571428571431</v>
      </c>
      <c r="G23" s="49">
        <f>AVERAGE('22.07 KALERWE-GAYAZA'!G23,'23.07 KALERWE-GAYAZA'!G23,'24.07 KALERWE-GAYAZA'!G23,'25.07 KALERWE-GAYAZA'!G23,'26.07 KALERWE-GAYAZA-24h'!G23,'27.07 KALERWE-GAYAZA-24h'!G23,'28.07 KALERWE-GAYAZA'!G23)</f>
        <v>1</v>
      </c>
      <c r="H23" s="49">
        <f>AVERAGE('22.07 KALERWE-GAYAZA'!H23,'23.07 KALERWE-GAYAZA'!H23,'24.07 KALERWE-GAYAZA'!H23,'25.07 KALERWE-GAYAZA'!H23,'26.07 KALERWE-GAYAZA-24h'!H23,'27.07 KALERWE-GAYAZA-24h'!H23,'28.07 KALERWE-GAYAZA'!H23)</f>
        <v>0.5714285714285714</v>
      </c>
      <c r="I23" s="49">
        <f>AVERAGE('22.07 KALERWE-GAYAZA'!I23,'23.07 KALERWE-GAYAZA'!I23,'24.07 KALERWE-GAYAZA'!I23,'25.07 KALERWE-GAYAZA'!I23,'26.07 KALERWE-GAYAZA-24h'!I23,'27.07 KALERWE-GAYAZA-24h'!I23,'28.07 KALERWE-GAYAZA'!I23)</f>
        <v>7.5714285714285712</v>
      </c>
      <c r="J23" s="49">
        <f>AVERAGE('22.07 KALERWE-GAYAZA'!J23,'23.07 KALERWE-GAYAZA'!J23,'24.07 KALERWE-GAYAZA'!J23,'25.07 KALERWE-GAYAZA'!J23,'26.07 KALERWE-GAYAZA-24h'!J23,'27.07 KALERWE-GAYAZA-24h'!J23,'28.07 KALERWE-GAYAZA'!J23)</f>
        <v>4.7142857142857144</v>
      </c>
      <c r="K23" s="49">
        <f>AVERAGE('22.07 KALERWE-GAYAZA'!K23,'23.07 KALERWE-GAYAZA'!K23,'24.07 KALERWE-GAYAZA'!K23,'25.07 KALERWE-GAYAZA'!K23,'26.07 KALERWE-GAYAZA-24h'!K23,'27.07 KALERWE-GAYAZA-24h'!K23,'28.07 KALERWE-GAYAZA'!K23)</f>
        <v>0.8571428571428571</v>
      </c>
      <c r="L23" s="49">
        <f>AVERAGE('22.07 KALERWE-GAYAZA'!L23,'23.07 KALERWE-GAYAZA'!L23,'24.07 KALERWE-GAYAZA'!L23,'25.07 KALERWE-GAYAZA'!L23,'26.07 KALERWE-GAYAZA-24h'!L23,'27.07 KALERWE-GAYAZA-24h'!L23,'28.07 KALERWE-GAYAZA'!L23)</f>
        <v>1</v>
      </c>
      <c r="M23" s="49">
        <f>AVERAGE('22.07 KALERWE-GAYAZA'!M23,'23.07 KALERWE-GAYAZA'!M23,'24.07 KALERWE-GAYAZA'!M23,'25.07 KALERWE-GAYAZA'!M23,'26.07 KALERWE-GAYAZA-24h'!M23,'27.07 KALERWE-GAYAZA-24h'!M23,'28.07 KALERWE-GAYAZA'!M23)</f>
        <v>281.42857142857144</v>
      </c>
      <c r="N23" s="49">
        <f>AVERAGE('22.07 KALERWE-GAYAZA'!N23,'23.07 KALERWE-GAYAZA'!N23,'24.07 KALERWE-GAYAZA'!N23,'25.07 KALERWE-GAYAZA'!N23,'26.07 KALERWE-GAYAZA-24h'!N23,'27.07 KALERWE-GAYAZA-24h'!N23,'28.07 KALERWE-GAYAZA'!N23)</f>
        <v>0</v>
      </c>
      <c r="O23" s="15">
        <f t="shared" si="0"/>
        <v>156.42857142857147</v>
      </c>
      <c r="P23" s="15">
        <f t="shared" si="1"/>
        <v>437.85714285714289</v>
      </c>
      <c r="R23" s="1" t="s">
        <v>147</v>
      </c>
      <c r="S23" s="34">
        <f>SUM(C62:C65)</f>
        <v>216</v>
      </c>
      <c r="T23" s="34">
        <f t="shared" ref="T23:AF23" si="15">SUM(D62:D65)</f>
        <v>62</v>
      </c>
      <c r="U23" s="34">
        <f t="shared" si="15"/>
        <v>41</v>
      </c>
      <c r="V23" s="34">
        <f t="shared" si="15"/>
        <v>131</v>
      </c>
      <c r="W23" s="34">
        <f t="shared" si="15"/>
        <v>3.5</v>
      </c>
      <c r="X23" s="34">
        <f t="shared" si="15"/>
        <v>0.5</v>
      </c>
      <c r="Y23" s="34">
        <f t="shared" si="15"/>
        <v>21</v>
      </c>
      <c r="Z23" s="34">
        <f t="shared" si="15"/>
        <v>13</v>
      </c>
      <c r="AA23" s="34">
        <f t="shared" si="15"/>
        <v>2.5</v>
      </c>
      <c r="AB23" s="34">
        <f t="shared" si="15"/>
        <v>2.5</v>
      </c>
      <c r="AC23" s="34">
        <f t="shared" si="15"/>
        <v>2080</v>
      </c>
      <c r="AD23" s="34">
        <f t="shared" si="15"/>
        <v>0</v>
      </c>
      <c r="AE23" s="31">
        <f t="shared" si="15"/>
        <v>493</v>
      </c>
      <c r="AF23" s="31">
        <f t="shared" si="15"/>
        <v>2573</v>
      </c>
    </row>
    <row r="24" spans="2:32" ht="23.1" customHeight="1" x14ac:dyDescent="0.25">
      <c r="B24" s="23" t="s">
        <v>51</v>
      </c>
      <c r="C24" s="49">
        <f>AVERAGE('22.07 KALERWE-GAYAZA'!C24,'23.07 KALERWE-GAYAZA'!C24,'24.07 KALERWE-GAYAZA'!C24,'25.07 KALERWE-GAYAZA'!C24,'26.07 KALERWE-GAYAZA-24h'!C24,'27.07 KALERWE-GAYAZA-24h'!C24,'28.07 KALERWE-GAYAZA'!C24)</f>
        <v>53.857142857142854</v>
      </c>
      <c r="D24" s="49">
        <f>AVERAGE('22.07 KALERWE-GAYAZA'!D24,'23.07 KALERWE-GAYAZA'!D24,'24.07 KALERWE-GAYAZA'!D24,'25.07 KALERWE-GAYAZA'!D24,'26.07 KALERWE-GAYAZA-24h'!D24,'27.07 KALERWE-GAYAZA-24h'!D24,'28.07 KALERWE-GAYAZA'!D24)</f>
        <v>14.571428571428571</v>
      </c>
      <c r="E24" s="49">
        <f>AVERAGE('22.07 KALERWE-GAYAZA'!E24,'23.07 KALERWE-GAYAZA'!E24,'24.07 KALERWE-GAYAZA'!E24,'25.07 KALERWE-GAYAZA'!E24,'26.07 KALERWE-GAYAZA-24h'!E24,'27.07 KALERWE-GAYAZA-24h'!E24,'28.07 KALERWE-GAYAZA'!E24)</f>
        <v>14.142857142857142</v>
      </c>
      <c r="F24" s="49">
        <f>AVERAGE('22.07 KALERWE-GAYAZA'!F24,'23.07 KALERWE-GAYAZA'!F24,'24.07 KALERWE-GAYAZA'!F24,'25.07 KALERWE-GAYAZA'!F24,'26.07 KALERWE-GAYAZA-24h'!F24,'27.07 KALERWE-GAYAZA-24h'!F24,'28.07 KALERWE-GAYAZA'!F24)</f>
        <v>60.285714285714285</v>
      </c>
      <c r="G24" s="49">
        <f>AVERAGE('22.07 KALERWE-GAYAZA'!G24,'23.07 KALERWE-GAYAZA'!G24,'24.07 KALERWE-GAYAZA'!G24,'25.07 KALERWE-GAYAZA'!G24,'26.07 KALERWE-GAYAZA-24h'!G24,'27.07 KALERWE-GAYAZA-24h'!G24,'28.07 KALERWE-GAYAZA'!G24)</f>
        <v>0.8571428571428571</v>
      </c>
      <c r="H24" s="49">
        <f>AVERAGE('22.07 KALERWE-GAYAZA'!H24,'23.07 KALERWE-GAYAZA'!H24,'24.07 KALERWE-GAYAZA'!H24,'25.07 KALERWE-GAYAZA'!H24,'26.07 KALERWE-GAYAZA-24h'!H24,'27.07 KALERWE-GAYAZA-24h'!H24,'28.07 KALERWE-GAYAZA'!H24)</f>
        <v>0.2857142857142857</v>
      </c>
      <c r="I24" s="49">
        <f>AVERAGE('22.07 KALERWE-GAYAZA'!I24,'23.07 KALERWE-GAYAZA'!I24,'24.07 KALERWE-GAYAZA'!I24,'25.07 KALERWE-GAYAZA'!I24,'26.07 KALERWE-GAYAZA-24h'!I24,'27.07 KALERWE-GAYAZA-24h'!I24,'28.07 KALERWE-GAYAZA'!I24)</f>
        <v>9.4285714285714288</v>
      </c>
      <c r="J24" s="49">
        <f>AVERAGE('22.07 KALERWE-GAYAZA'!J24,'23.07 KALERWE-GAYAZA'!J24,'24.07 KALERWE-GAYAZA'!J24,'25.07 KALERWE-GAYAZA'!J24,'26.07 KALERWE-GAYAZA-24h'!J24,'27.07 KALERWE-GAYAZA-24h'!J24,'28.07 KALERWE-GAYAZA'!J24)</f>
        <v>2.8571428571428572</v>
      </c>
      <c r="K24" s="49">
        <f>AVERAGE('22.07 KALERWE-GAYAZA'!K24,'23.07 KALERWE-GAYAZA'!K24,'24.07 KALERWE-GAYAZA'!K24,'25.07 KALERWE-GAYAZA'!K24,'26.07 KALERWE-GAYAZA-24h'!K24,'27.07 KALERWE-GAYAZA-24h'!K24,'28.07 KALERWE-GAYAZA'!K24)</f>
        <v>1.1428571428571428</v>
      </c>
      <c r="L24" s="49">
        <f>AVERAGE('22.07 KALERWE-GAYAZA'!L24,'23.07 KALERWE-GAYAZA'!L24,'24.07 KALERWE-GAYAZA'!L24,'25.07 KALERWE-GAYAZA'!L24,'26.07 KALERWE-GAYAZA-24h'!L24,'27.07 KALERWE-GAYAZA-24h'!L24,'28.07 KALERWE-GAYAZA'!L24)</f>
        <v>1.2857142857142858</v>
      </c>
      <c r="M24" s="49">
        <f>AVERAGE('22.07 KALERWE-GAYAZA'!M24,'23.07 KALERWE-GAYAZA'!M24,'24.07 KALERWE-GAYAZA'!M24,'25.07 KALERWE-GAYAZA'!M24,'26.07 KALERWE-GAYAZA-24h'!M24,'27.07 KALERWE-GAYAZA-24h'!M24,'28.07 KALERWE-GAYAZA'!M24)</f>
        <v>291</v>
      </c>
      <c r="N24" s="49">
        <f>AVERAGE('22.07 KALERWE-GAYAZA'!N24,'23.07 KALERWE-GAYAZA'!N24,'24.07 KALERWE-GAYAZA'!N24,'25.07 KALERWE-GAYAZA'!N24,'26.07 KALERWE-GAYAZA-24h'!N24,'27.07 KALERWE-GAYAZA-24h'!N24,'28.07 KALERWE-GAYAZA'!N24)</f>
        <v>0</v>
      </c>
      <c r="O24" s="15">
        <f t="shared" si="0"/>
        <v>158.71428571428569</v>
      </c>
      <c r="P24" s="15">
        <f t="shared" si="1"/>
        <v>449.71428571428567</v>
      </c>
      <c r="R24" s="1" t="s">
        <v>148</v>
      </c>
      <c r="S24" s="34">
        <f>SUM(C66:C69)</f>
        <v>210</v>
      </c>
      <c r="T24" s="34">
        <f t="shared" ref="T24:AF24" si="16">SUM(D66:D69)</f>
        <v>91</v>
      </c>
      <c r="U24" s="34">
        <f t="shared" si="16"/>
        <v>41.5</v>
      </c>
      <c r="V24" s="34">
        <f t="shared" si="16"/>
        <v>198</v>
      </c>
      <c r="W24" s="34">
        <f t="shared" si="16"/>
        <v>5.5</v>
      </c>
      <c r="X24" s="34">
        <f t="shared" si="16"/>
        <v>6</v>
      </c>
      <c r="Y24" s="34">
        <f t="shared" si="16"/>
        <v>11</v>
      </c>
      <c r="Z24" s="34">
        <f t="shared" si="16"/>
        <v>9</v>
      </c>
      <c r="AA24" s="34">
        <f t="shared" si="16"/>
        <v>4.5</v>
      </c>
      <c r="AB24" s="34">
        <f t="shared" si="16"/>
        <v>4</v>
      </c>
      <c r="AC24" s="34">
        <f t="shared" si="16"/>
        <v>1433</v>
      </c>
      <c r="AD24" s="34">
        <f t="shared" si="16"/>
        <v>0</v>
      </c>
      <c r="AE24" s="31">
        <f t="shared" si="16"/>
        <v>580.5</v>
      </c>
      <c r="AF24" s="31">
        <f t="shared" si="16"/>
        <v>2013.5</v>
      </c>
    </row>
    <row r="25" spans="2:32" ht="23.1" customHeight="1" x14ac:dyDescent="0.25">
      <c r="B25" s="23" t="s">
        <v>52</v>
      </c>
      <c r="C25" s="49">
        <f>AVERAGE('22.07 KALERWE-GAYAZA'!C25,'23.07 KALERWE-GAYAZA'!C25,'24.07 KALERWE-GAYAZA'!C25,'25.07 KALERWE-GAYAZA'!C25,'26.07 KALERWE-GAYAZA-24h'!C25,'27.07 KALERWE-GAYAZA-24h'!C25,'28.07 KALERWE-GAYAZA'!C25)</f>
        <v>64.142857142857139</v>
      </c>
      <c r="D25" s="49">
        <f>AVERAGE('22.07 KALERWE-GAYAZA'!D25,'23.07 KALERWE-GAYAZA'!D25,'24.07 KALERWE-GAYAZA'!D25,'25.07 KALERWE-GAYAZA'!D25,'26.07 KALERWE-GAYAZA-24h'!D25,'27.07 KALERWE-GAYAZA-24h'!D25,'28.07 KALERWE-GAYAZA'!D25)</f>
        <v>16.714285714285715</v>
      </c>
      <c r="E25" s="49">
        <f>AVERAGE('22.07 KALERWE-GAYAZA'!E25,'23.07 KALERWE-GAYAZA'!E25,'24.07 KALERWE-GAYAZA'!E25,'25.07 KALERWE-GAYAZA'!E25,'26.07 KALERWE-GAYAZA-24h'!E25,'27.07 KALERWE-GAYAZA-24h'!E25,'28.07 KALERWE-GAYAZA'!E25)</f>
        <v>10.857142857142858</v>
      </c>
      <c r="F25" s="49">
        <f>AVERAGE('22.07 KALERWE-GAYAZA'!F25,'23.07 KALERWE-GAYAZA'!F25,'24.07 KALERWE-GAYAZA'!F25,'25.07 KALERWE-GAYAZA'!F25,'26.07 KALERWE-GAYAZA-24h'!F25,'27.07 KALERWE-GAYAZA-24h'!F25,'28.07 KALERWE-GAYAZA'!F25)</f>
        <v>56.857142857142854</v>
      </c>
      <c r="G25" s="49">
        <f>AVERAGE('22.07 KALERWE-GAYAZA'!G25,'23.07 KALERWE-GAYAZA'!G25,'24.07 KALERWE-GAYAZA'!G25,'25.07 KALERWE-GAYAZA'!G25,'26.07 KALERWE-GAYAZA-24h'!G25,'27.07 KALERWE-GAYAZA-24h'!G25,'28.07 KALERWE-GAYAZA'!G25)</f>
        <v>0.8571428571428571</v>
      </c>
      <c r="H25" s="49">
        <f>AVERAGE('22.07 KALERWE-GAYAZA'!H25,'23.07 KALERWE-GAYAZA'!H25,'24.07 KALERWE-GAYAZA'!H25,'25.07 KALERWE-GAYAZA'!H25,'26.07 KALERWE-GAYAZA-24h'!H25,'27.07 KALERWE-GAYAZA-24h'!H25,'28.07 KALERWE-GAYAZA'!H25)</f>
        <v>0.42857142857142855</v>
      </c>
      <c r="I25" s="49">
        <f>AVERAGE('22.07 KALERWE-GAYAZA'!I25,'23.07 KALERWE-GAYAZA'!I25,'24.07 KALERWE-GAYAZA'!I25,'25.07 KALERWE-GAYAZA'!I25,'26.07 KALERWE-GAYAZA-24h'!I25,'27.07 KALERWE-GAYAZA-24h'!I25,'28.07 KALERWE-GAYAZA'!I25)</f>
        <v>12.142857142857142</v>
      </c>
      <c r="J25" s="49">
        <f>AVERAGE('22.07 KALERWE-GAYAZA'!J25,'23.07 KALERWE-GAYAZA'!J25,'24.07 KALERWE-GAYAZA'!J25,'25.07 KALERWE-GAYAZA'!J25,'26.07 KALERWE-GAYAZA-24h'!J25,'27.07 KALERWE-GAYAZA-24h'!J25,'28.07 KALERWE-GAYAZA'!J25)</f>
        <v>4.2857142857142856</v>
      </c>
      <c r="K25" s="49">
        <f>AVERAGE('22.07 KALERWE-GAYAZA'!K25,'23.07 KALERWE-GAYAZA'!K25,'24.07 KALERWE-GAYAZA'!K25,'25.07 KALERWE-GAYAZA'!K25,'26.07 KALERWE-GAYAZA-24h'!K25,'27.07 KALERWE-GAYAZA-24h'!K25,'28.07 KALERWE-GAYAZA'!K25)</f>
        <v>1.2857142857142858</v>
      </c>
      <c r="L25" s="49">
        <f>AVERAGE('22.07 KALERWE-GAYAZA'!L25,'23.07 KALERWE-GAYAZA'!L25,'24.07 KALERWE-GAYAZA'!L25,'25.07 KALERWE-GAYAZA'!L25,'26.07 KALERWE-GAYAZA-24h'!L25,'27.07 KALERWE-GAYAZA-24h'!L25,'28.07 KALERWE-GAYAZA'!L25)</f>
        <v>1.4285714285714286</v>
      </c>
      <c r="M25" s="49">
        <f>AVERAGE('22.07 KALERWE-GAYAZA'!M25,'23.07 KALERWE-GAYAZA'!M25,'24.07 KALERWE-GAYAZA'!M25,'25.07 KALERWE-GAYAZA'!M25,'26.07 KALERWE-GAYAZA-24h'!M25,'27.07 KALERWE-GAYAZA-24h'!M25,'28.07 KALERWE-GAYAZA'!M25)</f>
        <v>281.71428571428572</v>
      </c>
      <c r="N25" s="49">
        <f>AVERAGE('22.07 KALERWE-GAYAZA'!N25,'23.07 KALERWE-GAYAZA'!N25,'24.07 KALERWE-GAYAZA'!N25,'25.07 KALERWE-GAYAZA'!N25,'26.07 KALERWE-GAYAZA-24h'!N25,'27.07 KALERWE-GAYAZA-24h'!N25,'28.07 KALERWE-GAYAZA'!N25)</f>
        <v>0</v>
      </c>
      <c r="O25" s="15">
        <f t="shared" si="0"/>
        <v>168.99999999999997</v>
      </c>
      <c r="P25" s="15">
        <f t="shared" si="1"/>
        <v>450.71428571428567</v>
      </c>
      <c r="R25" s="1" t="s">
        <v>149</v>
      </c>
      <c r="S25" s="34">
        <f>SUM(C70:C73)</f>
        <v>198.5</v>
      </c>
      <c r="T25" s="34">
        <f t="shared" ref="T25:AF25" si="17">SUM(D70:D73)</f>
        <v>86</v>
      </c>
      <c r="U25" s="34">
        <f t="shared" si="17"/>
        <v>29</v>
      </c>
      <c r="V25" s="34">
        <f t="shared" si="17"/>
        <v>145</v>
      </c>
      <c r="W25" s="34">
        <f t="shared" si="17"/>
        <v>2.5</v>
      </c>
      <c r="X25" s="34">
        <f t="shared" si="17"/>
        <v>1.5</v>
      </c>
      <c r="Y25" s="34">
        <f t="shared" si="17"/>
        <v>9.5</v>
      </c>
      <c r="Z25" s="34">
        <f t="shared" si="17"/>
        <v>17.5</v>
      </c>
      <c r="AA25" s="34">
        <f t="shared" si="17"/>
        <v>3.5</v>
      </c>
      <c r="AB25" s="34">
        <f t="shared" si="17"/>
        <v>2.5</v>
      </c>
      <c r="AC25" s="34">
        <f t="shared" si="17"/>
        <v>1280</v>
      </c>
      <c r="AD25" s="34">
        <f t="shared" si="17"/>
        <v>0</v>
      </c>
      <c r="AE25" s="31">
        <f t="shared" si="17"/>
        <v>495.5</v>
      </c>
      <c r="AF25" s="31">
        <f t="shared" si="17"/>
        <v>1775.5</v>
      </c>
    </row>
    <row r="26" spans="2:32" ht="23.1" customHeight="1" x14ac:dyDescent="0.25">
      <c r="B26" s="23" t="s">
        <v>53</v>
      </c>
      <c r="C26" s="49">
        <f>AVERAGE('22.07 KALERWE-GAYAZA'!C26,'23.07 KALERWE-GAYAZA'!C26,'24.07 KALERWE-GAYAZA'!C26,'25.07 KALERWE-GAYAZA'!C26,'26.07 KALERWE-GAYAZA-24h'!C26,'27.07 KALERWE-GAYAZA-24h'!C26,'28.07 KALERWE-GAYAZA'!C26)</f>
        <v>43.428571428571431</v>
      </c>
      <c r="D26" s="49">
        <f>AVERAGE('22.07 KALERWE-GAYAZA'!D26,'23.07 KALERWE-GAYAZA'!D26,'24.07 KALERWE-GAYAZA'!D26,'25.07 KALERWE-GAYAZA'!D26,'26.07 KALERWE-GAYAZA-24h'!D26,'27.07 KALERWE-GAYAZA-24h'!D26,'28.07 KALERWE-GAYAZA'!D26)</f>
        <v>18.285714285714285</v>
      </c>
      <c r="E26" s="49">
        <f>AVERAGE('22.07 KALERWE-GAYAZA'!E26,'23.07 KALERWE-GAYAZA'!E26,'24.07 KALERWE-GAYAZA'!E26,'25.07 KALERWE-GAYAZA'!E26,'26.07 KALERWE-GAYAZA-24h'!E26,'27.07 KALERWE-GAYAZA-24h'!E26,'28.07 KALERWE-GAYAZA'!E26)</f>
        <v>13</v>
      </c>
      <c r="F26" s="49">
        <f>AVERAGE('22.07 KALERWE-GAYAZA'!F26,'23.07 KALERWE-GAYAZA'!F26,'24.07 KALERWE-GAYAZA'!F26,'25.07 KALERWE-GAYAZA'!F26,'26.07 KALERWE-GAYAZA-24h'!F26,'27.07 KALERWE-GAYAZA-24h'!F26,'28.07 KALERWE-GAYAZA'!F26)</f>
        <v>59.571428571428569</v>
      </c>
      <c r="G26" s="49">
        <f>AVERAGE('22.07 KALERWE-GAYAZA'!G26,'23.07 KALERWE-GAYAZA'!G26,'24.07 KALERWE-GAYAZA'!G26,'25.07 KALERWE-GAYAZA'!G26,'26.07 KALERWE-GAYAZA-24h'!G26,'27.07 KALERWE-GAYAZA-24h'!G26,'28.07 KALERWE-GAYAZA'!G26)</f>
        <v>1.1428571428571428</v>
      </c>
      <c r="H26" s="49">
        <f>AVERAGE('22.07 KALERWE-GAYAZA'!H26,'23.07 KALERWE-GAYAZA'!H26,'24.07 KALERWE-GAYAZA'!H26,'25.07 KALERWE-GAYAZA'!H26,'26.07 KALERWE-GAYAZA-24h'!H26,'27.07 KALERWE-GAYAZA-24h'!H26,'28.07 KALERWE-GAYAZA'!H26)</f>
        <v>0.8571428571428571</v>
      </c>
      <c r="I26" s="49">
        <f>AVERAGE('22.07 KALERWE-GAYAZA'!I26,'23.07 KALERWE-GAYAZA'!I26,'24.07 KALERWE-GAYAZA'!I26,'25.07 KALERWE-GAYAZA'!I26,'26.07 KALERWE-GAYAZA-24h'!I26,'27.07 KALERWE-GAYAZA-24h'!I26,'28.07 KALERWE-GAYAZA'!I26)</f>
        <v>11.857142857142858</v>
      </c>
      <c r="J26" s="49">
        <f>AVERAGE('22.07 KALERWE-GAYAZA'!J26,'23.07 KALERWE-GAYAZA'!J26,'24.07 KALERWE-GAYAZA'!J26,'25.07 KALERWE-GAYAZA'!J26,'26.07 KALERWE-GAYAZA-24h'!J26,'27.07 KALERWE-GAYAZA-24h'!J26,'28.07 KALERWE-GAYAZA'!J26)</f>
        <v>3.2857142857142856</v>
      </c>
      <c r="K26" s="49">
        <f>AVERAGE('22.07 KALERWE-GAYAZA'!K26,'23.07 KALERWE-GAYAZA'!K26,'24.07 KALERWE-GAYAZA'!K26,'25.07 KALERWE-GAYAZA'!K26,'26.07 KALERWE-GAYAZA-24h'!K26,'27.07 KALERWE-GAYAZA-24h'!K26,'28.07 KALERWE-GAYAZA'!K26)</f>
        <v>0.8571428571428571</v>
      </c>
      <c r="L26" s="49">
        <f>AVERAGE('22.07 KALERWE-GAYAZA'!L26,'23.07 KALERWE-GAYAZA'!L26,'24.07 KALERWE-GAYAZA'!L26,'25.07 KALERWE-GAYAZA'!L26,'26.07 KALERWE-GAYAZA-24h'!L26,'27.07 KALERWE-GAYAZA-24h'!L26,'28.07 KALERWE-GAYAZA'!L26)</f>
        <v>1.4285714285714286</v>
      </c>
      <c r="M26" s="49">
        <f>AVERAGE('22.07 KALERWE-GAYAZA'!M26,'23.07 KALERWE-GAYAZA'!M26,'24.07 KALERWE-GAYAZA'!M26,'25.07 KALERWE-GAYAZA'!M26,'26.07 KALERWE-GAYAZA-24h'!M26,'27.07 KALERWE-GAYAZA-24h'!M26,'28.07 KALERWE-GAYAZA'!M26)</f>
        <v>304.28571428571428</v>
      </c>
      <c r="N26" s="49">
        <f>AVERAGE('22.07 KALERWE-GAYAZA'!N26,'23.07 KALERWE-GAYAZA'!N26,'24.07 KALERWE-GAYAZA'!N26,'25.07 KALERWE-GAYAZA'!N26,'26.07 KALERWE-GAYAZA-24h'!N26,'27.07 KALERWE-GAYAZA-24h'!N26,'28.07 KALERWE-GAYAZA'!N26)</f>
        <v>0</v>
      </c>
      <c r="O26" s="15">
        <f t="shared" si="0"/>
        <v>153.71428571428569</v>
      </c>
      <c r="P26" s="15">
        <f t="shared" si="1"/>
        <v>458</v>
      </c>
      <c r="R26" s="1" t="s">
        <v>150</v>
      </c>
      <c r="S26" s="34">
        <f>SUM(C74:C77)</f>
        <v>210.5</v>
      </c>
      <c r="T26" s="34">
        <f t="shared" ref="T26:AF26" si="18">SUM(D74:D77)</f>
        <v>78.5</v>
      </c>
      <c r="U26" s="34">
        <f t="shared" si="18"/>
        <v>30</v>
      </c>
      <c r="V26" s="34">
        <f t="shared" si="18"/>
        <v>166</v>
      </c>
      <c r="W26" s="34">
        <f t="shared" si="18"/>
        <v>1</v>
      </c>
      <c r="X26" s="34">
        <f t="shared" si="18"/>
        <v>0.5</v>
      </c>
      <c r="Y26" s="34">
        <f t="shared" si="18"/>
        <v>13.5</v>
      </c>
      <c r="Z26" s="34">
        <f t="shared" si="18"/>
        <v>11</v>
      </c>
      <c r="AA26" s="34">
        <f t="shared" si="18"/>
        <v>3</v>
      </c>
      <c r="AB26" s="34">
        <f t="shared" si="18"/>
        <v>3.5</v>
      </c>
      <c r="AC26" s="34">
        <f t="shared" si="18"/>
        <v>790</v>
      </c>
      <c r="AD26" s="34">
        <f t="shared" si="18"/>
        <v>0</v>
      </c>
      <c r="AE26" s="31">
        <f t="shared" si="18"/>
        <v>517.5</v>
      </c>
      <c r="AF26" s="31">
        <f t="shared" si="18"/>
        <v>1307.5</v>
      </c>
    </row>
    <row r="27" spans="2:32" ht="23.1" customHeight="1" x14ac:dyDescent="0.25">
      <c r="B27" s="23" t="s">
        <v>54</v>
      </c>
      <c r="C27" s="49">
        <f>AVERAGE('22.07 KALERWE-GAYAZA'!C27,'23.07 KALERWE-GAYAZA'!C27,'24.07 KALERWE-GAYAZA'!C27,'25.07 KALERWE-GAYAZA'!C27,'26.07 KALERWE-GAYAZA-24h'!C27,'27.07 KALERWE-GAYAZA-24h'!C27,'28.07 KALERWE-GAYAZA'!C27)</f>
        <v>46.714285714285715</v>
      </c>
      <c r="D27" s="49">
        <f>AVERAGE('22.07 KALERWE-GAYAZA'!D27,'23.07 KALERWE-GAYAZA'!D27,'24.07 KALERWE-GAYAZA'!D27,'25.07 KALERWE-GAYAZA'!D27,'26.07 KALERWE-GAYAZA-24h'!D27,'27.07 KALERWE-GAYAZA-24h'!D27,'28.07 KALERWE-GAYAZA'!D27)</f>
        <v>25.142857142857142</v>
      </c>
      <c r="E27" s="49">
        <f>AVERAGE('22.07 KALERWE-GAYAZA'!E27,'23.07 KALERWE-GAYAZA'!E27,'24.07 KALERWE-GAYAZA'!E27,'25.07 KALERWE-GAYAZA'!E27,'26.07 KALERWE-GAYAZA-24h'!E27,'27.07 KALERWE-GAYAZA-24h'!E27,'28.07 KALERWE-GAYAZA'!E27)</f>
        <v>13.571428571428571</v>
      </c>
      <c r="F27" s="49">
        <f>AVERAGE('22.07 KALERWE-GAYAZA'!F27,'23.07 KALERWE-GAYAZA'!F27,'24.07 KALERWE-GAYAZA'!F27,'25.07 KALERWE-GAYAZA'!F27,'26.07 KALERWE-GAYAZA-24h'!F27,'27.07 KALERWE-GAYAZA-24h'!F27,'28.07 KALERWE-GAYAZA'!F27)</f>
        <v>56</v>
      </c>
      <c r="G27" s="49">
        <f>AVERAGE('22.07 KALERWE-GAYAZA'!G27,'23.07 KALERWE-GAYAZA'!G27,'24.07 KALERWE-GAYAZA'!G27,'25.07 KALERWE-GAYAZA'!G27,'26.07 KALERWE-GAYAZA-24h'!G27,'27.07 KALERWE-GAYAZA-24h'!G27,'28.07 KALERWE-GAYAZA'!G27)</f>
        <v>0.14285714285714285</v>
      </c>
      <c r="H27" s="49">
        <f>AVERAGE('22.07 KALERWE-GAYAZA'!H27,'23.07 KALERWE-GAYAZA'!H27,'24.07 KALERWE-GAYAZA'!H27,'25.07 KALERWE-GAYAZA'!H27,'26.07 KALERWE-GAYAZA-24h'!H27,'27.07 KALERWE-GAYAZA-24h'!H27,'28.07 KALERWE-GAYAZA'!H27)</f>
        <v>0.2857142857142857</v>
      </c>
      <c r="I27" s="49">
        <f>AVERAGE('22.07 KALERWE-GAYAZA'!I27,'23.07 KALERWE-GAYAZA'!I27,'24.07 KALERWE-GAYAZA'!I27,'25.07 KALERWE-GAYAZA'!I27,'26.07 KALERWE-GAYAZA-24h'!I27,'27.07 KALERWE-GAYAZA-24h'!I27,'28.07 KALERWE-GAYAZA'!I27)</f>
        <v>5.7142857142857144</v>
      </c>
      <c r="J27" s="49">
        <f>AVERAGE('22.07 KALERWE-GAYAZA'!J27,'23.07 KALERWE-GAYAZA'!J27,'24.07 KALERWE-GAYAZA'!J27,'25.07 KALERWE-GAYAZA'!J27,'26.07 KALERWE-GAYAZA-24h'!J27,'27.07 KALERWE-GAYAZA-24h'!J27,'28.07 KALERWE-GAYAZA'!J27)</f>
        <v>3.8571428571428572</v>
      </c>
      <c r="K27" s="49">
        <f>AVERAGE('22.07 KALERWE-GAYAZA'!K27,'23.07 KALERWE-GAYAZA'!K27,'24.07 KALERWE-GAYAZA'!K27,'25.07 KALERWE-GAYAZA'!K27,'26.07 KALERWE-GAYAZA-24h'!K27,'27.07 KALERWE-GAYAZA-24h'!K27,'28.07 KALERWE-GAYAZA'!K27)</f>
        <v>0.14285714285714285</v>
      </c>
      <c r="L27" s="49">
        <f>AVERAGE('22.07 KALERWE-GAYAZA'!L27,'23.07 KALERWE-GAYAZA'!L27,'24.07 KALERWE-GAYAZA'!L27,'25.07 KALERWE-GAYAZA'!L27,'26.07 KALERWE-GAYAZA-24h'!L27,'27.07 KALERWE-GAYAZA-24h'!L27,'28.07 KALERWE-GAYAZA'!L27)</f>
        <v>0.42857142857142855</v>
      </c>
      <c r="M27" s="49">
        <f>AVERAGE('22.07 KALERWE-GAYAZA'!M27,'23.07 KALERWE-GAYAZA'!M27,'24.07 KALERWE-GAYAZA'!M27,'25.07 KALERWE-GAYAZA'!M27,'26.07 KALERWE-GAYAZA-24h'!M27,'27.07 KALERWE-GAYAZA-24h'!M27,'28.07 KALERWE-GAYAZA'!M27)</f>
        <v>297.14285714285717</v>
      </c>
      <c r="N27" s="49">
        <f>AVERAGE('22.07 KALERWE-GAYAZA'!N27,'23.07 KALERWE-GAYAZA'!N27,'24.07 KALERWE-GAYAZA'!N27,'25.07 KALERWE-GAYAZA'!N27,'26.07 KALERWE-GAYAZA-24h'!N27,'27.07 KALERWE-GAYAZA-24h'!N27,'28.07 KALERWE-GAYAZA'!N27)</f>
        <v>0</v>
      </c>
      <c r="O27" s="15">
        <f t="shared" si="0"/>
        <v>152</v>
      </c>
      <c r="P27" s="15">
        <f t="shared" si="1"/>
        <v>449.14285714285717</v>
      </c>
      <c r="R27" s="1" t="s">
        <v>151</v>
      </c>
      <c r="S27" s="34">
        <f>SUM(C78:C81)</f>
        <v>159.5</v>
      </c>
      <c r="T27" s="34">
        <f t="shared" ref="T27:AF27" si="19">SUM(D78:D81)</f>
        <v>89</v>
      </c>
      <c r="U27" s="34">
        <f t="shared" si="19"/>
        <v>23.5</v>
      </c>
      <c r="V27" s="34">
        <f t="shared" si="19"/>
        <v>162.5</v>
      </c>
      <c r="W27" s="34">
        <f t="shared" si="19"/>
        <v>1</v>
      </c>
      <c r="X27" s="34">
        <f t="shared" si="19"/>
        <v>0</v>
      </c>
      <c r="Y27" s="34">
        <f t="shared" si="19"/>
        <v>3</v>
      </c>
      <c r="Z27" s="34">
        <f t="shared" si="19"/>
        <v>12.5</v>
      </c>
      <c r="AA27" s="34">
        <f t="shared" si="19"/>
        <v>4.5</v>
      </c>
      <c r="AB27" s="34">
        <f t="shared" si="19"/>
        <v>3</v>
      </c>
      <c r="AC27" s="34">
        <f t="shared" si="19"/>
        <v>378.5</v>
      </c>
      <c r="AD27" s="34">
        <f t="shared" si="19"/>
        <v>0</v>
      </c>
      <c r="AE27" s="31">
        <f t="shared" si="19"/>
        <v>458.5</v>
      </c>
      <c r="AF27" s="31">
        <f t="shared" si="19"/>
        <v>837</v>
      </c>
    </row>
    <row r="28" spans="2:32" ht="23.1" customHeight="1" x14ac:dyDescent="0.25">
      <c r="B28" s="23" t="s">
        <v>55</v>
      </c>
      <c r="C28" s="49">
        <f>AVERAGE('22.07 KALERWE-GAYAZA'!C28,'23.07 KALERWE-GAYAZA'!C28,'24.07 KALERWE-GAYAZA'!C28,'25.07 KALERWE-GAYAZA'!C28,'26.07 KALERWE-GAYAZA-24h'!C28,'27.07 KALERWE-GAYAZA-24h'!C28,'28.07 KALERWE-GAYAZA'!C28)</f>
        <v>43.857142857142854</v>
      </c>
      <c r="D28" s="49">
        <f>AVERAGE('22.07 KALERWE-GAYAZA'!D28,'23.07 KALERWE-GAYAZA'!D28,'24.07 KALERWE-GAYAZA'!D28,'25.07 KALERWE-GAYAZA'!D28,'26.07 KALERWE-GAYAZA-24h'!D28,'27.07 KALERWE-GAYAZA-24h'!D28,'28.07 KALERWE-GAYAZA'!D28)</f>
        <v>16.285714285714285</v>
      </c>
      <c r="E28" s="49">
        <f>AVERAGE('22.07 KALERWE-GAYAZA'!E28,'23.07 KALERWE-GAYAZA'!E28,'24.07 KALERWE-GAYAZA'!E28,'25.07 KALERWE-GAYAZA'!E28,'26.07 KALERWE-GAYAZA-24h'!E28,'27.07 KALERWE-GAYAZA-24h'!E28,'28.07 KALERWE-GAYAZA'!E28)</f>
        <v>12.142857142857142</v>
      </c>
      <c r="F28" s="49">
        <f>AVERAGE('22.07 KALERWE-GAYAZA'!F28,'23.07 KALERWE-GAYAZA'!F28,'24.07 KALERWE-GAYAZA'!F28,'25.07 KALERWE-GAYAZA'!F28,'26.07 KALERWE-GAYAZA-24h'!F28,'27.07 KALERWE-GAYAZA-24h'!F28,'28.07 KALERWE-GAYAZA'!F28)</f>
        <v>48.428571428571431</v>
      </c>
      <c r="G28" s="49">
        <f>AVERAGE('22.07 KALERWE-GAYAZA'!G28,'23.07 KALERWE-GAYAZA'!G28,'24.07 KALERWE-GAYAZA'!G28,'25.07 KALERWE-GAYAZA'!G28,'26.07 KALERWE-GAYAZA-24h'!G28,'27.07 KALERWE-GAYAZA-24h'!G28,'28.07 KALERWE-GAYAZA'!G28)</f>
        <v>0.7142857142857143</v>
      </c>
      <c r="H28" s="49">
        <f>AVERAGE('22.07 KALERWE-GAYAZA'!H28,'23.07 KALERWE-GAYAZA'!H28,'24.07 KALERWE-GAYAZA'!H28,'25.07 KALERWE-GAYAZA'!H28,'26.07 KALERWE-GAYAZA-24h'!H28,'27.07 KALERWE-GAYAZA-24h'!H28,'28.07 KALERWE-GAYAZA'!H28)</f>
        <v>0.14285714285714285</v>
      </c>
      <c r="I28" s="49">
        <f>AVERAGE('22.07 KALERWE-GAYAZA'!I28,'23.07 KALERWE-GAYAZA'!I28,'24.07 KALERWE-GAYAZA'!I28,'25.07 KALERWE-GAYAZA'!I28,'26.07 KALERWE-GAYAZA-24h'!I28,'27.07 KALERWE-GAYAZA-24h'!I28,'28.07 KALERWE-GAYAZA'!I28)</f>
        <v>9</v>
      </c>
      <c r="J28" s="49">
        <f>AVERAGE('22.07 KALERWE-GAYAZA'!J28,'23.07 KALERWE-GAYAZA'!J28,'24.07 KALERWE-GAYAZA'!J28,'25.07 KALERWE-GAYAZA'!J28,'26.07 KALERWE-GAYAZA-24h'!J28,'27.07 KALERWE-GAYAZA-24h'!J28,'28.07 KALERWE-GAYAZA'!J28)</f>
        <v>4</v>
      </c>
      <c r="K28" s="49">
        <f>AVERAGE('22.07 KALERWE-GAYAZA'!K28,'23.07 KALERWE-GAYAZA'!K28,'24.07 KALERWE-GAYAZA'!K28,'25.07 KALERWE-GAYAZA'!K28,'26.07 KALERWE-GAYAZA-24h'!K28,'27.07 KALERWE-GAYAZA-24h'!K28,'28.07 KALERWE-GAYAZA'!K28)</f>
        <v>2.4285714285714284</v>
      </c>
      <c r="L28" s="49">
        <f>AVERAGE('22.07 KALERWE-GAYAZA'!L28,'23.07 KALERWE-GAYAZA'!L28,'24.07 KALERWE-GAYAZA'!L28,'25.07 KALERWE-GAYAZA'!L28,'26.07 KALERWE-GAYAZA-24h'!L28,'27.07 KALERWE-GAYAZA-24h'!L28,'28.07 KALERWE-GAYAZA'!L28)</f>
        <v>0.5714285714285714</v>
      </c>
      <c r="M28" s="49">
        <f>AVERAGE('22.07 KALERWE-GAYAZA'!M28,'23.07 KALERWE-GAYAZA'!M28,'24.07 KALERWE-GAYAZA'!M28,'25.07 KALERWE-GAYAZA'!M28,'26.07 KALERWE-GAYAZA-24h'!M28,'27.07 KALERWE-GAYAZA-24h'!M28,'28.07 KALERWE-GAYAZA'!M28)</f>
        <v>300.14285714285717</v>
      </c>
      <c r="N28" s="49">
        <f>AVERAGE('22.07 KALERWE-GAYAZA'!N28,'23.07 KALERWE-GAYAZA'!N28,'24.07 KALERWE-GAYAZA'!N28,'25.07 KALERWE-GAYAZA'!N28,'26.07 KALERWE-GAYAZA-24h'!N28,'27.07 KALERWE-GAYAZA-24h'!N28,'28.07 KALERWE-GAYAZA'!N28)</f>
        <v>0</v>
      </c>
      <c r="O28" s="15">
        <f t="shared" si="0"/>
        <v>137.57142857142856</v>
      </c>
      <c r="P28" s="15">
        <f t="shared" si="1"/>
        <v>437.71428571428572</v>
      </c>
      <c r="R28" s="1" t="s">
        <v>152</v>
      </c>
      <c r="S28" s="34">
        <f>SUM(C82:C85)</f>
        <v>43.5</v>
      </c>
      <c r="T28" s="34">
        <f t="shared" ref="T28:AF28" si="20">SUM(D82:D85)</f>
        <v>13.5</v>
      </c>
      <c r="U28" s="34">
        <f t="shared" si="20"/>
        <v>6.5</v>
      </c>
      <c r="V28" s="34">
        <f t="shared" si="20"/>
        <v>13.5</v>
      </c>
      <c r="W28" s="34">
        <f t="shared" si="20"/>
        <v>0.5</v>
      </c>
      <c r="X28" s="34">
        <f t="shared" si="20"/>
        <v>1.5</v>
      </c>
      <c r="Y28" s="34">
        <f t="shared" si="20"/>
        <v>5</v>
      </c>
      <c r="Z28" s="34">
        <f t="shared" si="20"/>
        <v>12</v>
      </c>
      <c r="AA28" s="34">
        <f t="shared" si="20"/>
        <v>2.5</v>
      </c>
      <c r="AB28" s="34">
        <f t="shared" si="20"/>
        <v>3</v>
      </c>
      <c r="AC28" s="34">
        <f t="shared" si="20"/>
        <v>187.5</v>
      </c>
      <c r="AD28" s="34">
        <f t="shared" si="20"/>
        <v>0</v>
      </c>
      <c r="AE28" s="31">
        <f t="shared" si="20"/>
        <v>101.5</v>
      </c>
      <c r="AF28" s="31">
        <f t="shared" si="20"/>
        <v>289</v>
      </c>
    </row>
    <row r="29" spans="2:32" ht="23.1" customHeight="1" x14ac:dyDescent="0.25">
      <c r="B29" s="23" t="s">
        <v>56</v>
      </c>
      <c r="C29" s="49">
        <f>AVERAGE('22.07 KALERWE-GAYAZA'!C29,'23.07 KALERWE-GAYAZA'!C29,'24.07 KALERWE-GAYAZA'!C29,'25.07 KALERWE-GAYAZA'!C29,'26.07 KALERWE-GAYAZA-24h'!C29,'27.07 KALERWE-GAYAZA-24h'!C29,'28.07 KALERWE-GAYAZA'!C29)</f>
        <v>43.428571428571431</v>
      </c>
      <c r="D29" s="49">
        <f>AVERAGE('22.07 KALERWE-GAYAZA'!D29,'23.07 KALERWE-GAYAZA'!D29,'24.07 KALERWE-GAYAZA'!D29,'25.07 KALERWE-GAYAZA'!D29,'26.07 KALERWE-GAYAZA-24h'!D29,'27.07 KALERWE-GAYAZA-24h'!D29,'28.07 KALERWE-GAYAZA'!D29)</f>
        <v>11.571428571428571</v>
      </c>
      <c r="E29" s="49">
        <f>AVERAGE('22.07 KALERWE-GAYAZA'!E29,'23.07 KALERWE-GAYAZA'!E29,'24.07 KALERWE-GAYAZA'!E29,'25.07 KALERWE-GAYAZA'!E29,'26.07 KALERWE-GAYAZA-24h'!E29,'27.07 KALERWE-GAYAZA-24h'!E29,'28.07 KALERWE-GAYAZA'!E29)</f>
        <v>11.142857142857142</v>
      </c>
      <c r="F29" s="49">
        <f>AVERAGE('22.07 KALERWE-GAYAZA'!F29,'23.07 KALERWE-GAYAZA'!F29,'24.07 KALERWE-GAYAZA'!F29,'25.07 KALERWE-GAYAZA'!F29,'26.07 KALERWE-GAYAZA-24h'!F29,'27.07 KALERWE-GAYAZA-24h'!F29,'28.07 KALERWE-GAYAZA'!F29)</f>
        <v>44.428571428571431</v>
      </c>
      <c r="G29" s="49">
        <f>AVERAGE('22.07 KALERWE-GAYAZA'!G29,'23.07 KALERWE-GAYAZA'!G29,'24.07 KALERWE-GAYAZA'!G29,'25.07 KALERWE-GAYAZA'!G29,'26.07 KALERWE-GAYAZA-24h'!G29,'27.07 KALERWE-GAYAZA-24h'!G29,'28.07 KALERWE-GAYAZA'!G29)</f>
        <v>0.7142857142857143</v>
      </c>
      <c r="H29" s="49">
        <f>AVERAGE('22.07 KALERWE-GAYAZA'!H29,'23.07 KALERWE-GAYAZA'!H29,'24.07 KALERWE-GAYAZA'!H29,'25.07 KALERWE-GAYAZA'!H29,'26.07 KALERWE-GAYAZA-24h'!H29,'27.07 KALERWE-GAYAZA-24h'!H29,'28.07 KALERWE-GAYAZA'!H29)</f>
        <v>0.42857142857142855</v>
      </c>
      <c r="I29" s="49">
        <f>AVERAGE('22.07 KALERWE-GAYAZA'!I29,'23.07 KALERWE-GAYAZA'!I29,'24.07 KALERWE-GAYAZA'!I29,'25.07 KALERWE-GAYAZA'!I29,'26.07 KALERWE-GAYAZA-24h'!I29,'27.07 KALERWE-GAYAZA-24h'!I29,'28.07 KALERWE-GAYAZA'!I29)</f>
        <v>14.857142857142858</v>
      </c>
      <c r="J29" s="49">
        <f>AVERAGE('22.07 KALERWE-GAYAZA'!J29,'23.07 KALERWE-GAYAZA'!J29,'24.07 KALERWE-GAYAZA'!J29,'25.07 KALERWE-GAYAZA'!J29,'26.07 KALERWE-GAYAZA-24h'!J29,'27.07 KALERWE-GAYAZA-24h'!J29,'28.07 KALERWE-GAYAZA'!J29)</f>
        <v>5.5714285714285712</v>
      </c>
      <c r="K29" s="49">
        <f>AVERAGE('22.07 KALERWE-GAYAZA'!K29,'23.07 KALERWE-GAYAZA'!K29,'24.07 KALERWE-GAYAZA'!K29,'25.07 KALERWE-GAYAZA'!K29,'26.07 KALERWE-GAYAZA-24h'!K29,'27.07 KALERWE-GAYAZA-24h'!K29,'28.07 KALERWE-GAYAZA'!K29)</f>
        <v>0.7142857142857143</v>
      </c>
      <c r="L29" s="49">
        <f>AVERAGE('22.07 KALERWE-GAYAZA'!L29,'23.07 KALERWE-GAYAZA'!L29,'24.07 KALERWE-GAYAZA'!L29,'25.07 KALERWE-GAYAZA'!L29,'26.07 KALERWE-GAYAZA-24h'!L29,'27.07 KALERWE-GAYAZA-24h'!L29,'28.07 KALERWE-GAYAZA'!L29)</f>
        <v>1</v>
      </c>
      <c r="M29" s="49">
        <f>AVERAGE('22.07 KALERWE-GAYAZA'!M29,'23.07 KALERWE-GAYAZA'!M29,'24.07 KALERWE-GAYAZA'!M29,'25.07 KALERWE-GAYAZA'!M29,'26.07 KALERWE-GAYAZA-24h'!M29,'27.07 KALERWE-GAYAZA-24h'!M29,'28.07 KALERWE-GAYAZA'!M29)</f>
        <v>256</v>
      </c>
      <c r="N29" s="49">
        <f>AVERAGE('22.07 KALERWE-GAYAZA'!N29,'23.07 KALERWE-GAYAZA'!N29,'24.07 KALERWE-GAYAZA'!N29,'25.07 KALERWE-GAYAZA'!N29,'26.07 KALERWE-GAYAZA-24h'!N29,'27.07 KALERWE-GAYAZA-24h'!N29,'28.07 KALERWE-GAYAZA'!N29)</f>
        <v>0</v>
      </c>
      <c r="O29" s="15">
        <f t="shared" si="0"/>
        <v>133.85714285714286</v>
      </c>
      <c r="P29" s="15">
        <f t="shared" si="1"/>
        <v>389.85714285714289</v>
      </c>
      <c r="R29" s="1" t="s">
        <v>153</v>
      </c>
      <c r="S29" s="34">
        <f>SUM(C86:C89)</f>
        <v>26.5</v>
      </c>
      <c r="T29" s="34">
        <f t="shared" ref="T29:AF29" si="21">SUM(D86:D89)</f>
        <v>10</v>
      </c>
      <c r="U29" s="34">
        <f t="shared" si="21"/>
        <v>1.5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8</v>
      </c>
      <c r="AA29" s="34">
        <f t="shared" si="21"/>
        <v>0.5</v>
      </c>
      <c r="AB29" s="34">
        <f t="shared" si="21"/>
        <v>2</v>
      </c>
      <c r="AC29" s="34">
        <f t="shared" si="21"/>
        <v>143.5</v>
      </c>
      <c r="AD29" s="34">
        <f t="shared" si="21"/>
        <v>0</v>
      </c>
      <c r="AE29" s="31">
        <f t="shared" si="21"/>
        <v>57.5</v>
      </c>
      <c r="AF29" s="31">
        <f t="shared" si="21"/>
        <v>201</v>
      </c>
    </row>
    <row r="30" spans="2:32" ht="23.1" customHeight="1" x14ac:dyDescent="0.25">
      <c r="B30" s="23" t="s">
        <v>57</v>
      </c>
      <c r="C30" s="49">
        <f>AVERAGE('22.07 KALERWE-GAYAZA'!C30,'23.07 KALERWE-GAYAZA'!C30,'24.07 KALERWE-GAYAZA'!C30,'25.07 KALERWE-GAYAZA'!C30,'26.07 KALERWE-GAYAZA-24h'!C30,'27.07 KALERWE-GAYAZA-24h'!C30,'28.07 KALERWE-GAYAZA'!C30)</f>
        <v>54</v>
      </c>
      <c r="D30" s="49">
        <f>AVERAGE('22.07 KALERWE-GAYAZA'!D30,'23.07 KALERWE-GAYAZA'!D30,'24.07 KALERWE-GAYAZA'!D30,'25.07 KALERWE-GAYAZA'!D30,'26.07 KALERWE-GAYAZA-24h'!D30,'27.07 KALERWE-GAYAZA-24h'!D30,'28.07 KALERWE-GAYAZA'!D30)</f>
        <v>14.714285714285714</v>
      </c>
      <c r="E30" s="49">
        <f>AVERAGE('22.07 KALERWE-GAYAZA'!E30,'23.07 KALERWE-GAYAZA'!E30,'24.07 KALERWE-GAYAZA'!E30,'25.07 KALERWE-GAYAZA'!E30,'26.07 KALERWE-GAYAZA-24h'!E30,'27.07 KALERWE-GAYAZA-24h'!E30,'28.07 KALERWE-GAYAZA'!E30)</f>
        <v>12.428571428571429</v>
      </c>
      <c r="F30" s="49">
        <f>AVERAGE('22.07 KALERWE-GAYAZA'!F30,'23.07 KALERWE-GAYAZA'!F30,'24.07 KALERWE-GAYAZA'!F30,'25.07 KALERWE-GAYAZA'!F30,'26.07 KALERWE-GAYAZA-24h'!F30,'27.07 KALERWE-GAYAZA-24h'!F30,'28.07 KALERWE-GAYAZA'!F30)</f>
        <v>55.714285714285715</v>
      </c>
      <c r="G30" s="49">
        <f>AVERAGE('22.07 KALERWE-GAYAZA'!G30,'23.07 KALERWE-GAYAZA'!G30,'24.07 KALERWE-GAYAZA'!G30,'25.07 KALERWE-GAYAZA'!G30,'26.07 KALERWE-GAYAZA-24h'!G30,'27.07 KALERWE-GAYAZA-24h'!G30,'28.07 KALERWE-GAYAZA'!G30)</f>
        <v>0.5714285714285714</v>
      </c>
      <c r="H30" s="49">
        <f>AVERAGE('22.07 KALERWE-GAYAZA'!H30,'23.07 KALERWE-GAYAZA'!H30,'24.07 KALERWE-GAYAZA'!H30,'25.07 KALERWE-GAYAZA'!H30,'26.07 KALERWE-GAYAZA-24h'!H30,'27.07 KALERWE-GAYAZA-24h'!H30,'28.07 KALERWE-GAYAZA'!H30)</f>
        <v>0.42857142857142855</v>
      </c>
      <c r="I30" s="49">
        <f>AVERAGE('22.07 KALERWE-GAYAZA'!I30,'23.07 KALERWE-GAYAZA'!I30,'24.07 KALERWE-GAYAZA'!I30,'25.07 KALERWE-GAYAZA'!I30,'26.07 KALERWE-GAYAZA-24h'!I30,'27.07 KALERWE-GAYAZA-24h'!I30,'28.07 KALERWE-GAYAZA'!I30)</f>
        <v>8.4285714285714288</v>
      </c>
      <c r="J30" s="49">
        <f>AVERAGE('22.07 KALERWE-GAYAZA'!J30,'23.07 KALERWE-GAYAZA'!J30,'24.07 KALERWE-GAYAZA'!J30,'25.07 KALERWE-GAYAZA'!J30,'26.07 KALERWE-GAYAZA-24h'!J30,'27.07 KALERWE-GAYAZA-24h'!J30,'28.07 KALERWE-GAYAZA'!J30)</f>
        <v>5.1428571428571432</v>
      </c>
      <c r="K30" s="49">
        <f>AVERAGE('22.07 KALERWE-GAYAZA'!K30,'23.07 KALERWE-GAYAZA'!K30,'24.07 KALERWE-GAYAZA'!K30,'25.07 KALERWE-GAYAZA'!K30,'26.07 KALERWE-GAYAZA-24h'!K30,'27.07 KALERWE-GAYAZA-24h'!K30,'28.07 KALERWE-GAYAZA'!K30)</f>
        <v>1.7142857142857142</v>
      </c>
      <c r="L30" s="49">
        <f>AVERAGE('22.07 KALERWE-GAYAZA'!L30,'23.07 KALERWE-GAYAZA'!L30,'24.07 KALERWE-GAYAZA'!L30,'25.07 KALERWE-GAYAZA'!L30,'26.07 KALERWE-GAYAZA-24h'!L30,'27.07 KALERWE-GAYAZA-24h'!L30,'28.07 KALERWE-GAYAZA'!L30)</f>
        <v>1.7142857142857142</v>
      </c>
      <c r="M30" s="49">
        <f>AVERAGE('22.07 KALERWE-GAYAZA'!M30,'23.07 KALERWE-GAYAZA'!M30,'24.07 KALERWE-GAYAZA'!M30,'25.07 KALERWE-GAYAZA'!M30,'26.07 KALERWE-GAYAZA-24h'!M30,'27.07 KALERWE-GAYAZA-24h'!M30,'28.07 KALERWE-GAYAZA'!M30)</f>
        <v>288.57142857142856</v>
      </c>
      <c r="N30" s="49">
        <f>AVERAGE('22.07 KALERWE-GAYAZA'!N30,'23.07 KALERWE-GAYAZA'!N30,'24.07 KALERWE-GAYAZA'!N30,'25.07 KALERWE-GAYAZA'!N30,'26.07 KALERWE-GAYAZA-24h'!N30,'27.07 KALERWE-GAYAZA-24h'!N30,'28.07 KALERWE-GAYAZA'!N30)</f>
        <v>0</v>
      </c>
      <c r="O30" s="15">
        <f t="shared" si="0"/>
        <v>154.85714285714286</v>
      </c>
      <c r="P30" s="15">
        <f t="shared" si="1"/>
        <v>443.42857142857144</v>
      </c>
      <c r="R30" s="1" t="s">
        <v>154</v>
      </c>
      <c r="S30" s="34">
        <f>SUM(C90:C93)</f>
        <v>34.5</v>
      </c>
      <c r="T30" s="34">
        <f t="shared" ref="T30:AF30" si="22">SUM(D90:D93)</f>
        <v>3.5</v>
      </c>
      <c r="U30" s="34">
        <f t="shared" si="22"/>
        <v>5</v>
      </c>
      <c r="V30" s="34">
        <f t="shared" si="22"/>
        <v>11</v>
      </c>
      <c r="W30" s="34">
        <f t="shared" si="22"/>
        <v>0.5</v>
      </c>
      <c r="X30" s="34">
        <f t="shared" si="22"/>
        <v>0</v>
      </c>
      <c r="Y30" s="34">
        <f t="shared" si="22"/>
        <v>8.5</v>
      </c>
      <c r="Z30" s="34">
        <f t="shared" si="22"/>
        <v>5.5</v>
      </c>
      <c r="AA30" s="34">
        <f t="shared" si="22"/>
        <v>2</v>
      </c>
      <c r="AB30" s="34">
        <f t="shared" si="22"/>
        <v>3</v>
      </c>
      <c r="AC30" s="34">
        <f t="shared" si="22"/>
        <v>138</v>
      </c>
      <c r="AD30" s="34">
        <f t="shared" si="22"/>
        <v>0</v>
      </c>
      <c r="AE30" s="31">
        <f t="shared" si="22"/>
        <v>73.5</v>
      </c>
      <c r="AF30" s="31">
        <f t="shared" si="22"/>
        <v>211.5</v>
      </c>
    </row>
    <row r="31" spans="2:32" ht="23.1" customHeight="1" x14ac:dyDescent="0.25">
      <c r="B31" s="24" t="s">
        <v>58</v>
      </c>
      <c r="C31" s="49">
        <f>AVERAGE('22.07 KALERWE-GAYAZA'!C31,'23.07 KALERWE-GAYAZA'!C31,'24.07 KALERWE-GAYAZA'!C31,'25.07 KALERWE-GAYAZA'!C31,'26.07 KALERWE-GAYAZA-24h'!C31,'27.07 KALERWE-GAYAZA-24h'!C31,'28.07 KALERWE-GAYAZA'!C31)</f>
        <v>51.142857142857146</v>
      </c>
      <c r="D31" s="49">
        <f>AVERAGE('22.07 KALERWE-GAYAZA'!D31,'23.07 KALERWE-GAYAZA'!D31,'24.07 KALERWE-GAYAZA'!D31,'25.07 KALERWE-GAYAZA'!D31,'26.07 KALERWE-GAYAZA-24h'!D31,'27.07 KALERWE-GAYAZA-24h'!D31,'28.07 KALERWE-GAYAZA'!D31)</f>
        <v>11.714285714285714</v>
      </c>
      <c r="E31" s="49">
        <f>AVERAGE('22.07 KALERWE-GAYAZA'!E31,'23.07 KALERWE-GAYAZA'!E31,'24.07 KALERWE-GAYAZA'!E31,'25.07 KALERWE-GAYAZA'!E31,'26.07 KALERWE-GAYAZA-24h'!E31,'27.07 KALERWE-GAYAZA-24h'!E31,'28.07 KALERWE-GAYAZA'!E31)</f>
        <v>13.428571428571429</v>
      </c>
      <c r="F31" s="49">
        <f>AVERAGE('22.07 KALERWE-GAYAZA'!F31,'23.07 KALERWE-GAYAZA'!F31,'24.07 KALERWE-GAYAZA'!F31,'25.07 KALERWE-GAYAZA'!F31,'26.07 KALERWE-GAYAZA-24h'!F31,'27.07 KALERWE-GAYAZA-24h'!F31,'28.07 KALERWE-GAYAZA'!F31)</f>
        <v>54.285714285714285</v>
      </c>
      <c r="G31" s="49">
        <f>AVERAGE('22.07 KALERWE-GAYAZA'!G31,'23.07 KALERWE-GAYAZA'!G31,'24.07 KALERWE-GAYAZA'!G31,'25.07 KALERWE-GAYAZA'!G31,'26.07 KALERWE-GAYAZA-24h'!G31,'27.07 KALERWE-GAYAZA-24h'!G31,'28.07 KALERWE-GAYAZA'!G31)</f>
        <v>0.8571428571428571</v>
      </c>
      <c r="H31" s="49">
        <f>AVERAGE('22.07 KALERWE-GAYAZA'!H31,'23.07 KALERWE-GAYAZA'!H31,'24.07 KALERWE-GAYAZA'!H31,'25.07 KALERWE-GAYAZA'!H31,'26.07 KALERWE-GAYAZA-24h'!H31,'27.07 KALERWE-GAYAZA-24h'!H31,'28.07 KALERWE-GAYAZA'!H31)</f>
        <v>0.42857142857142855</v>
      </c>
      <c r="I31" s="49">
        <f>AVERAGE('22.07 KALERWE-GAYAZA'!I31,'23.07 KALERWE-GAYAZA'!I31,'24.07 KALERWE-GAYAZA'!I31,'25.07 KALERWE-GAYAZA'!I31,'26.07 KALERWE-GAYAZA-24h'!I31,'27.07 KALERWE-GAYAZA-24h'!I31,'28.07 KALERWE-GAYAZA'!I31)</f>
        <v>6.8571428571428568</v>
      </c>
      <c r="J31" s="49">
        <f>AVERAGE('22.07 KALERWE-GAYAZA'!J31,'23.07 KALERWE-GAYAZA'!J31,'24.07 KALERWE-GAYAZA'!J31,'25.07 KALERWE-GAYAZA'!J31,'26.07 KALERWE-GAYAZA-24h'!J31,'27.07 KALERWE-GAYAZA-24h'!J31,'28.07 KALERWE-GAYAZA'!J31)</f>
        <v>4</v>
      </c>
      <c r="K31" s="49">
        <f>AVERAGE('22.07 KALERWE-GAYAZA'!K31,'23.07 KALERWE-GAYAZA'!K31,'24.07 KALERWE-GAYAZA'!K31,'25.07 KALERWE-GAYAZA'!K31,'26.07 KALERWE-GAYAZA-24h'!K31,'27.07 KALERWE-GAYAZA-24h'!K31,'28.07 KALERWE-GAYAZA'!K31)</f>
        <v>1</v>
      </c>
      <c r="L31" s="49">
        <f>AVERAGE('22.07 KALERWE-GAYAZA'!L31,'23.07 KALERWE-GAYAZA'!L31,'24.07 KALERWE-GAYAZA'!L31,'25.07 KALERWE-GAYAZA'!L31,'26.07 KALERWE-GAYAZA-24h'!L31,'27.07 KALERWE-GAYAZA-24h'!L31,'28.07 KALERWE-GAYAZA'!L31)</f>
        <v>1</v>
      </c>
      <c r="M31" s="49">
        <f>AVERAGE('22.07 KALERWE-GAYAZA'!M31,'23.07 KALERWE-GAYAZA'!M31,'24.07 KALERWE-GAYAZA'!M31,'25.07 KALERWE-GAYAZA'!M31,'26.07 KALERWE-GAYAZA-24h'!M31,'27.07 KALERWE-GAYAZA-24h'!M31,'28.07 KALERWE-GAYAZA'!M31)</f>
        <v>265</v>
      </c>
      <c r="N31" s="49">
        <f>AVERAGE('22.07 KALERWE-GAYAZA'!N31,'23.07 KALERWE-GAYAZA'!N31,'24.07 KALERWE-GAYAZA'!N31,'25.07 KALERWE-GAYAZA'!N31,'26.07 KALERWE-GAYAZA-24h'!N31,'27.07 KALERWE-GAYAZA-24h'!N31,'28.07 KALERWE-GAYAZA'!N31)</f>
        <v>0</v>
      </c>
      <c r="O31" s="15">
        <f t="shared" si="0"/>
        <v>144.71428571428572</v>
      </c>
      <c r="P31" s="15">
        <f t="shared" si="1"/>
        <v>409.71428571428572</v>
      </c>
      <c r="R31" s="1" t="s">
        <v>155</v>
      </c>
      <c r="S31" s="34">
        <f>SUM(C94:C97)</f>
        <v>55</v>
      </c>
      <c r="T31" s="34">
        <f t="shared" ref="T31:AF31" si="23">SUM(D94:D97)</f>
        <v>6</v>
      </c>
      <c r="U31" s="34">
        <f t="shared" si="23"/>
        <v>2</v>
      </c>
      <c r="V31" s="34">
        <f t="shared" si="23"/>
        <v>20</v>
      </c>
      <c r="W31" s="34">
        <f t="shared" si="23"/>
        <v>0</v>
      </c>
      <c r="X31" s="34">
        <f t="shared" si="23"/>
        <v>1</v>
      </c>
      <c r="Y31" s="34">
        <f t="shared" si="23"/>
        <v>5</v>
      </c>
      <c r="Z31" s="34">
        <f t="shared" si="23"/>
        <v>10</v>
      </c>
      <c r="AA31" s="34">
        <f t="shared" si="23"/>
        <v>1.5</v>
      </c>
      <c r="AB31" s="34">
        <f t="shared" si="23"/>
        <v>3</v>
      </c>
      <c r="AC31" s="34">
        <f t="shared" si="23"/>
        <v>152</v>
      </c>
      <c r="AD31" s="34">
        <f t="shared" si="23"/>
        <v>0</v>
      </c>
      <c r="AE31" s="31">
        <f t="shared" si="23"/>
        <v>103.5</v>
      </c>
      <c r="AF31" s="31">
        <f t="shared" si="23"/>
        <v>255.5</v>
      </c>
    </row>
    <row r="32" spans="2:32" ht="23.1" customHeight="1" x14ac:dyDescent="0.25">
      <c r="B32" s="24" t="s">
        <v>59</v>
      </c>
      <c r="C32" s="49">
        <f>AVERAGE('22.07 KALERWE-GAYAZA'!C32,'23.07 KALERWE-GAYAZA'!C32,'24.07 KALERWE-GAYAZA'!C32,'25.07 KALERWE-GAYAZA'!C32,'26.07 KALERWE-GAYAZA-24h'!C32,'27.07 KALERWE-GAYAZA-24h'!C32,'28.07 KALERWE-GAYAZA'!C32)</f>
        <v>52.571428571428569</v>
      </c>
      <c r="D32" s="49">
        <f>AVERAGE('22.07 KALERWE-GAYAZA'!D32,'23.07 KALERWE-GAYAZA'!D32,'24.07 KALERWE-GAYAZA'!D32,'25.07 KALERWE-GAYAZA'!D32,'26.07 KALERWE-GAYAZA-24h'!D32,'27.07 KALERWE-GAYAZA-24h'!D32,'28.07 KALERWE-GAYAZA'!D32)</f>
        <v>14.857142857142858</v>
      </c>
      <c r="E32" s="49">
        <f>AVERAGE('22.07 KALERWE-GAYAZA'!E32,'23.07 KALERWE-GAYAZA'!E32,'24.07 KALERWE-GAYAZA'!E32,'25.07 KALERWE-GAYAZA'!E32,'26.07 KALERWE-GAYAZA-24h'!E32,'27.07 KALERWE-GAYAZA-24h'!E32,'28.07 KALERWE-GAYAZA'!E32)</f>
        <v>14.285714285714286</v>
      </c>
      <c r="F32" s="49">
        <f>AVERAGE('22.07 KALERWE-GAYAZA'!F32,'23.07 KALERWE-GAYAZA'!F32,'24.07 KALERWE-GAYAZA'!F32,'25.07 KALERWE-GAYAZA'!F32,'26.07 KALERWE-GAYAZA-24h'!F32,'27.07 KALERWE-GAYAZA-24h'!F32,'28.07 KALERWE-GAYAZA'!F32)</f>
        <v>55</v>
      </c>
      <c r="G32" s="49">
        <f>AVERAGE('22.07 KALERWE-GAYAZA'!G32,'23.07 KALERWE-GAYAZA'!G32,'24.07 KALERWE-GAYAZA'!G32,'25.07 KALERWE-GAYAZA'!G32,'26.07 KALERWE-GAYAZA-24h'!G32,'27.07 KALERWE-GAYAZA-24h'!G32,'28.07 KALERWE-GAYAZA'!G32)</f>
        <v>0.7142857142857143</v>
      </c>
      <c r="H32" s="49">
        <f>AVERAGE('22.07 KALERWE-GAYAZA'!H32,'23.07 KALERWE-GAYAZA'!H32,'24.07 KALERWE-GAYAZA'!H32,'25.07 KALERWE-GAYAZA'!H32,'26.07 KALERWE-GAYAZA-24h'!H32,'27.07 KALERWE-GAYAZA-24h'!H32,'28.07 KALERWE-GAYAZA'!H32)</f>
        <v>0.14285714285714285</v>
      </c>
      <c r="I32" s="49">
        <f>AVERAGE('22.07 KALERWE-GAYAZA'!I32,'23.07 KALERWE-GAYAZA'!I32,'24.07 KALERWE-GAYAZA'!I32,'25.07 KALERWE-GAYAZA'!I32,'26.07 KALERWE-GAYAZA-24h'!I32,'27.07 KALERWE-GAYAZA-24h'!I32,'28.07 KALERWE-GAYAZA'!I32)</f>
        <v>6.8571428571428568</v>
      </c>
      <c r="J32" s="49">
        <f>AVERAGE('22.07 KALERWE-GAYAZA'!J32,'23.07 KALERWE-GAYAZA'!J32,'24.07 KALERWE-GAYAZA'!J32,'25.07 KALERWE-GAYAZA'!J32,'26.07 KALERWE-GAYAZA-24h'!J32,'27.07 KALERWE-GAYAZA-24h'!J32,'28.07 KALERWE-GAYAZA'!J32)</f>
        <v>3.2857142857142856</v>
      </c>
      <c r="K32" s="49">
        <f>AVERAGE('22.07 KALERWE-GAYAZA'!K32,'23.07 KALERWE-GAYAZA'!K32,'24.07 KALERWE-GAYAZA'!K32,'25.07 KALERWE-GAYAZA'!K32,'26.07 KALERWE-GAYAZA-24h'!K32,'27.07 KALERWE-GAYAZA-24h'!K32,'28.07 KALERWE-GAYAZA'!K32)</f>
        <v>0.42857142857142855</v>
      </c>
      <c r="L32" s="49">
        <f>AVERAGE('22.07 KALERWE-GAYAZA'!L32,'23.07 KALERWE-GAYAZA'!L32,'24.07 KALERWE-GAYAZA'!L32,'25.07 KALERWE-GAYAZA'!L32,'26.07 KALERWE-GAYAZA-24h'!L32,'27.07 KALERWE-GAYAZA-24h'!L32,'28.07 KALERWE-GAYAZA'!L32)</f>
        <v>0.7142857142857143</v>
      </c>
      <c r="M32" s="49">
        <f>AVERAGE('22.07 KALERWE-GAYAZA'!M32,'23.07 KALERWE-GAYAZA'!M32,'24.07 KALERWE-GAYAZA'!M32,'25.07 KALERWE-GAYAZA'!M32,'26.07 KALERWE-GAYAZA-24h'!M32,'27.07 KALERWE-GAYAZA-24h'!M32,'28.07 KALERWE-GAYAZA'!M32)</f>
        <v>261.14285714285717</v>
      </c>
      <c r="N32" s="49">
        <f>AVERAGE('22.07 KALERWE-GAYAZA'!N32,'23.07 KALERWE-GAYAZA'!N32,'24.07 KALERWE-GAYAZA'!N32,'25.07 KALERWE-GAYAZA'!N32,'26.07 KALERWE-GAYAZA-24h'!N32,'27.07 KALERWE-GAYAZA-24h'!N32,'28.07 KALERWE-GAYAZA'!N32)</f>
        <v>0</v>
      </c>
      <c r="O32" s="15">
        <f t="shared" si="0"/>
        <v>148.85714285714286</v>
      </c>
      <c r="P32" s="15">
        <f t="shared" si="1"/>
        <v>410</v>
      </c>
      <c r="R32" s="1" t="s">
        <v>156</v>
      </c>
      <c r="S32" s="34">
        <f>SUM(C98:C101)</f>
        <v>56</v>
      </c>
      <c r="T32" s="34">
        <f t="shared" ref="T32:AF32" si="24">SUM(D98:D101)</f>
        <v>9.5</v>
      </c>
      <c r="U32" s="34">
        <f t="shared" si="24"/>
        <v>9</v>
      </c>
      <c r="V32" s="34">
        <f t="shared" si="24"/>
        <v>52.5</v>
      </c>
      <c r="W32" s="34">
        <f t="shared" si="24"/>
        <v>0</v>
      </c>
      <c r="X32" s="34">
        <f t="shared" si="24"/>
        <v>0.5</v>
      </c>
      <c r="Y32" s="34">
        <f t="shared" si="24"/>
        <v>4.5</v>
      </c>
      <c r="Z32" s="34">
        <f t="shared" si="24"/>
        <v>10</v>
      </c>
      <c r="AA32" s="34">
        <f t="shared" si="24"/>
        <v>2</v>
      </c>
      <c r="AB32" s="34">
        <f t="shared" si="24"/>
        <v>4</v>
      </c>
      <c r="AC32" s="34">
        <f t="shared" si="24"/>
        <v>204.5</v>
      </c>
      <c r="AD32" s="34">
        <f t="shared" si="24"/>
        <v>0</v>
      </c>
      <c r="AE32" s="31">
        <f t="shared" si="24"/>
        <v>148</v>
      </c>
      <c r="AF32" s="31">
        <f t="shared" si="24"/>
        <v>352.5</v>
      </c>
    </row>
    <row r="33" spans="2:32" ht="23.1" customHeight="1" x14ac:dyDescent="0.25">
      <c r="B33" s="23" t="s">
        <v>60</v>
      </c>
      <c r="C33" s="49">
        <f>AVERAGE('22.07 KALERWE-GAYAZA'!C33,'23.07 KALERWE-GAYAZA'!C33,'24.07 KALERWE-GAYAZA'!C33,'25.07 KALERWE-GAYAZA'!C33,'26.07 KALERWE-GAYAZA-24h'!C33,'27.07 KALERWE-GAYAZA-24h'!C33,'28.07 KALERWE-GAYAZA'!C33)</f>
        <v>56.285714285714285</v>
      </c>
      <c r="D33" s="49">
        <f>AVERAGE('22.07 KALERWE-GAYAZA'!D33,'23.07 KALERWE-GAYAZA'!D33,'24.07 KALERWE-GAYAZA'!D33,'25.07 KALERWE-GAYAZA'!D33,'26.07 KALERWE-GAYAZA-24h'!D33,'27.07 KALERWE-GAYAZA-24h'!D33,'28.07 KALERWE-GAYAZA'!D33)</f>
        <v>16.857142857142858</v>
      </c>
      <c r="E33" s="49">
        <f>AVERAGE('22.07 KALERWE-GAYAZA'!E33,'23.07 KALERWE-GAYAZA'!E33,'24.07 KALERWE-GAYAZA'!E33,'25.07 KALERWE-GAYAZA'!E33,'26.07 KALERWE-GAYAZA-24h'!E33,'27.07 KALERWE-GAYAZA-24h'!E33,'28.07 KALERWE-GAYAZA'!E33)</f>
        <v>11.714285714285714</v>
      </c>
      <c r="F33" s="49">
        <f>AVERAGE('22.07 KALERWE-GAYAZA'!F33,'23.07 KALERWE-GAYAZA'!F33,'24.07 KALERWE-GAYAZA'!F33,'25.07 KALERWE-GAYAZA'!F33,'26.07 KALERWE-GAYAZA-24h'!F33,'27.07 KALERWE-GAYAZA-24h'!F33,'28.07 KALERWE-GAYAZA'!F33)</f>
        <v>52.142857142857146</v>
      </c>
      <c r="G33" s="49">
        <f>AVERAGE('22.07 KALERWE-GAYAZA'!G33,'23.07 KALERWE-GAYAZA'!G33,'24.07 KALERWE-GAYAZA'!G33,'25.07 KALERWE-GAYAZA'!G33,'26.07 KALERWE-GAYAZA-24h'!G33,'27.07 KALERWE-GAYAZA-24h'!G33,'28.07 KALERWE-GAYAZA'!G33)</f>
        <v>1.1428571428571428</v>
      </c>
      <c r="H33" s="49">
        <f>AVERAGE('22.07 KALERWE-GAYAZA'!H33,'23.07 KALERWE-GAYAZA'!H33,'24.07 KALERWE-GAYAZA'!H33,'25.07 KALERWE-GAYAZA'!H33,'26.07 KALERWE-GAYAZA-24h'!H33,'27.07 KALERWE-GAYAZA-24h'!H33,'28.07 KALERWE-GAYAZA'!H33)</f>
        <v>0.8571428571428571</v>
      </c>
      <c r="I33" s="49">
        <f>AVERAGE('22.07 KALERWE-GAYAZA'!I33,'23.07 KALERWE-GAYAZA'!I33,'24.07 KALERWE-GAYAZA'!I33,'25.07 KALERWE-GAYAZA'!I33,'26.07 KALERWE-GAYAZA-24h'!I33,'27.07 KALERWE-GAYAZA-24h'!I33,'28.07 KALERWE-GAYAZA'!I33)</f>
        <v>8.5714285714285712</v>
      </c>
      <c r="J33" s="49">
        <f>AVERAGE('22.07 KALERWE-GAYAZA'!J33,'23.07 KALERWE-GAYAZA'!J33,'24.07 KALERWE-GAYAZA'!J33,'25.07 KALERWE-GAYAZA'!J33,'26.07 KALERWE-GAYAZA-24h'!J33,'27.07 KALERWE-GAYAZA-24h'!J33,'28.07 KALERWE-GAYAZA'!J33)</f>
        <v>5.8571428571428568</v>
      </c>
      <c r="K33" s="49">
        <f>AVERAGE('22.07 KALERWE-GAYAZA'!K33,'23.07 KALERWE-GAYAZA'!K33,'24.07 KALERWE-GAYAZA'!K33,'25.07 KALERWE-GAYAZA'!K33,'26.07 KALERWE-GAYAZA-24h'!K33,'27.07 KALERWE-GAYAZA-24h'!K33,'28.07 KALERWE-GAYAZA'!K33)</f>
        <v>2.4285714285714284</v>
      </c>
      <c r="L33" s="49">
        <f>AVERAGE('22.07 KALERWE-GAYAZA'!L33,'23.07 KALERWE-GAYAZA'!L33,'24.07 KALERWE-GAYAZA'!L33,'25.07 KALERWE-GAYAZA'!L33,'26.07 KALERWE-GAYAZA-24h'!L33,'27.07 KALERWE-GAYAZA-24h'!L33,'28.07 KALERWE-GAYAZA'!L33)</f>
        <v>1.2857142857142858</v>
      </c>
      <c r="M33" s="49">
        <f>AVERAGE('22.07 KALERWE-GAYAZA'!M33,'23.07 KALERWE-GAYAZA'!M33,'24.07 KALERWE-GAYAZA'!M33,'25.07 KALERWE-GAYAZA'!M33,'26.07 KALERWE-GAYAZA-24h'!M33,'27.07 KALERWE-GAYAZA-24h'!M33,'28.07 KALERWE-GAYAZA'!M33)</f>
        <v>236.42857142857142</v>
      </c>
      <c r="N33" s="49">
        <f>AVERAGE('22.07 KALERWE-GAYAZA'!N33,'23.07 KALERWE-GAYAZA'!N33,'24.07 KALERWE-GAYAZA'!N33,'25.07 KALERWE-GAYAZA'!N33,'26.07 KALERWE-GAYAZA-24h'!N33,'27.07 KALERWE-GAYAZA-24h'!N33,'28.07 KALERWE-GAYAZA'!N33)</f>
        <v>0</v>
      </c>
      <c r="O33" s="15">
        <f t="shared" si="0"/>
        <v>157.14285714285714</v>
      </c>
      <c r="P33" s="15">
        <f t="shared" si="1"/>
        <v>393.57142857142856</v>
      </c>
      <c r="R33" s="1" t="s">
        <v>157</v>
      </c>
      <c r="S33" s="34">
        <f>SUM(C102:C105)</f>
        <v>60.5</v>
      </c>
      <c r="T33" s="34">
        <f t="shared" ref="T33:AF33" si="25">SUM(D102:D105)</f>
        <v>19.5</v>
      </c>
      <c r="U33" s="34">
        <f t="shared" si="25"/>
        <v>18</v>
      </c>
      <c r="V33" s="34">
        <f t="shared" si="25"/>
        <v>77</v>
      </c>
      <c r="W33" s="34">
        <f t="shared" si="25"/>
        <v>1.5</v>
      </c>
      <c r="X33" s="34">
        <f t="shared" si="25"/>
        <v>1.5</v>
      </c>
      <c r="Y33" s="34">
        <f t="shared" si="25"/>
        <v>7</v>
      </c>
      <c r="Z33" s="34">
        <f t="shared" si="25"/>
        <v>16.5</v>
      </c>
      <c r="AA33" s="34">
        <f t="shared" si="25"/>
        <v>3</v>
      </c>
      <c r="AB33" s="34">
        <f t="shared" si="25"/>
        <v>8</v>
      </c>
      <c r="AC33" s="34">
        <f t="shared" si="25"/>
        <v>332</v>
      </c>
      <c r="AD33" s="34">
        <f t="shared" si="25"/>
        <v>0</v>
      </c>
      <c r="AE33" s="31">
        <f t="shared" si="25"/>
        <v>212.5</v>
      </c>
      <c r="AF33" s="31">
        <f t="shared" si="25"/>
        <v>544.5</v>
      </c>
    </row>
    <row r="34" spans="2:32" ht="23.1" customHeight="1" x14ac:dyDescent="0.25">
      <c r="B34" s="24" t="s">
        <v>61</v>
      </c>
      <c r="C34" s="49">
        <f>AVERAGE('22.07 KALERWE-GAYAZA'!C34,'23.07 KALERWE-GAYAZA'!C34,'24.07 KALERWE-GAYAZA'!C34,'25.07 KALERWE-GAYAZA'!C34,'26.07 KALERWE-GAYAZA-24h'!C34,'27.07 KALERWE-GAYAZA-24h'!C34,'28.07 KALERWE-GAYAZA'!C34)</f>
        <v>52</v>
      </c>
      <c r="D34" s="49">
        <f>AVERAGE('22.07 KALERWE-GAYAZA'!D34,'23.07 KALERWE-GAYAZA'!D34,'24.07 KALERWE-GAYAZA'!D34,'25.07 KALERWE-GAYAZA'!D34,'26.07 KALERWE-GAYAZA-24h'!D34,'27.07 KALERWE-GAYAZA-24h'!D34,'28.07 KALERWE-GAYAZA'!D34)</f>
        <v>18.571428571428573</v>
      </c>
      <c r="E34" s="49">
        <f>AVERAGE('22.07 KALERWE-GAYAZA'!E34,'23.07 KALERWE-GAYAZA'!E34,'24.07 KALERWE-GAYAZA'!E34,'25.07 KALERWE-GAYAZA'!E34,'26.07 KALERWE-GAYAZA-24h'!E34,'27.07 KALERWE-GAYAZA-24h'!E34,'28.07 KALERWE-GAYAZA'!E34)</f>
        <v>11.571428571428571</v>
      </c>
      <c r="F34" s="49">
        <f>AVERAGE('22.07 KALERWE-GAYAZA'!F34,'23.07 KALERWE-GAYAZA'!F34,'24.07 KALERWE-GAYAZA'!F34,'25.07 KALERWE-GAYAZA'!F34,'26.07 KALERWE-GAYAZA-24h'!F34,'27.07 KALERWE-GAYAZA-24h'!F34,'28.07 KALERWE-GAYAZA'!F34)</f>
        <v>51.285714285714285</v>
      </c>
      <c r="G34" s="49">
        <f>AVERAGE('22.07 KALERWE-GAYAZA'!G34,'23.07 KALERWE-GAYAZA'!G34,'24.07 KALERWE-GAYAZA'!G34,'25.07 KALERWE-GAYAZA'!G34,'26.07 KALERWE-GAYAZA-24h'!G34,'27.07 KALERWE-GAYAZA-24h'!G34,'28.07 KALERWE-GAYAZA'!G34)</f>
        <v>0.5714285714285714</v>
      </c>
      <c r="H34" s="49">
        <f>AVERAGE('22.07 KALERWE-GAYAZA'!H34,'23.07 KALERWE-GAYAZA'!H34,'24.07 KALERWE-GAYAZA'!H34,'25.07 KALERWE-GAYAZA'!H34,'26.07 KALERWE-GAYAZA-24h'!H34,'27.07 KALERWE-GAYAZA-24h'!H34,'28.07 KALERWE-GAYAZA'!H34)</f>
        <v>0.2857142857142857</v>
      </c>
      <c r="I34" s="49">
        <f>AVERAGE('22.07 KALERWE-GAYAZA'!I34,'23.07 KALERWE-GAYAZA'!I34,'24.07 KALERWE-GAYAZA'!I34,'25.07 KALERWE-GAYAZA'!I34,'26.07 KALERWE-GAYAZA-24h'!I34,'27.07 KALERWE-GAYAZA-24h'!I34,'28.07 KALERWE-GAYAZA'!I34)</f>
        <v>10.571428571428571</v>
      </c>
      <c r="J34" s="49">
        <f>AVERAGE('22.07 KALERWE-GAYAZA'!J34,'23.07 KALERWE-GAYAZA'!J34,'24.07 KALERWE-GAYAZA'!J34,'25.07 KALERWE-GAYAZA'!J34,'26.07 KALERWE-GAYAZA-24h'!J34,'27.07 KALERWE-GAYAZA-24h'!J34,'28.07 KALERWE-GAYAZA'!J34)</f>
        <v>6</v>
      </c>
      <c r="K34" s="49">
        <f>AVERAGE('22.07 KALERWE-GAYAZA'!K34,'23.07 KALERWE-GAYAZA'!K34,'24.07 KALERWE-GAYAZA'!K34,'25.07 KALERWE-GAYAZA'!K34,'26.07 KALERWE-GAYAZA-24h'!K34,'27.07 KALERWE-GAYAZA-24h'!K34,'28.07 KALERWE-GAYAZA'!K34)</f>
        <v>1</v>
      </c>
      <c r="L34" s="49">
        <f>AVERAGE('22.07 KALERWE-GAYAZA'!L34,'23.07 KALERWE-GAYAZA'!L34,'24.07 KALERWE-GAYAZA'!L34,'25.07 KALERWE-GAYAZA'!L34,'26.07 KALERWE-GAYAZA-24h'!L34,'27.07 KALERWE-GAYAZA-24h'!L34,'28.07 KALERWE-GAYAZA'!L34)</f>
        <v>1.4285714285714286</v>
      </c>
      <c r="M34" s="49">
        <f>AVERAGE('22.07 KALERWE-GAYAZA'!M34,'23.07 KALERWE-GAYAZA'!M34,'24.07 KALERWE-GAYAZA'!M34,'25.07 KALERWE-GAYAZA'!M34,'26.07 KALERWE-GAYAZA-24h'!M34,'27.07 KALERWE-GAYAZA-24h'!M34,'28.07 KALERWE-GAYAZA'!M34)</f>
        <v>236.28571428571428</v>
      </c>
      <c r="N34" s="49">
        <f>AVERAGE('22.07 KALERWE-GAYAZA'!N34,'23.07 KALERWE-GAYAZA'!N34,'24.07 KALERWE-GAYAZA'!N34,'25.07 KALERWE-GAYAZA'!N34,'26.07 KALERWE-GAYAZA-24h'!N34,'27.07 KALERWE-GAYAZA-24h'!N34,'28.07 KALERWE-GAYAZA'!N34)</f>
        <v>0.14285714285714285</v>
      </c>
      <c r="O34" s="15">
        <f t="shared" si="0"/>
        <v>153.42857142857142</v>
      </c>
      <c r="P34" s="15">
        <f t="shared" si="1"/>
        <v>389.71428571428572</v>
      </c>
      <c r="R34" s="38" t="s">
        <v>90</v>
      </c>
      <c r="S34" s="39">
        <f t="shared" ref="S34:AF34" si="26">MAX(S10:S12)</f>
        <v>136</v>
      </c>
      <c r="T34" s="39">
        <f t="shared" si="26"/>
        <v>55.428571428571431</v>
      </c>
      <c r="U34" s="39">
        <f t="shared" si="26"/>
        <v>40.285714285714285</v>
      </c>
      <c r="V34" s="39">
        <f t="shared" si="26"/>
        <v>250.28571428571428</v>
      </c>
      <c r="W34" s="39">
        <f t="shared" si="26"/>
        <v>6.5714285714285721</v>
      </c>
      <c r="X34" s="39">
        <f t="shared" si="26"/>
        <v>4</v>
      </c>
      <c r="Y34" s="39">
        <f t="shared" si="26"/>
        <v>27.428571428571431</v>
      </c>
      <c r="Z34" s="39">
        <f t="shared" si="26"/>
        <v>12.428571428571429</v>
      </c>
      <c r="AA34" s="39">
        <f t="shared" si="26"/>
        <v>4.1428571428571423</v>
      </c>
      <c r="AB34" s="39">
        <f t="shared" si="26"/>
        <v>4.8571428571428577</v>
      </c>
      <c r="AC34" s="39">
        <f t="shared" si="26"/>
        <v>1384.8571428571429</v>
      </c>
      <c r="AD34" s="39">
        <f t="shared" si="26"/>
        <v>0</v>
      </c>
      <c r="AE34" s="40">
        <f t="shared" si="26"/>
        <v>531.71428571428567</v>
      </c>
      <c r="AF34" s="40">
        <f t="shared" si="26"/>
        <v>1894.4285714285716</v>
      </c>
    </row>
    <row r="35" spans="2:32" ht="23.1" customHeight="1" x14ac:dyDescent="0.25">
      <c r="B35" s="24" t="s">
        <v>62</v>
      </c>
      <c r="C35" s="49">
        <f>AVERAGE('22.07 KALERWE-GAYAZA'!C35,'23.07 KALERWE-GAYAZA'!C35,'24.07 KALERWE-GAYAZA'!C35,'25.07 KALERWE-GAYAZA'!C35,'26.07 KALERWE-GAYAZA-24h'!C35,'27.07 KALERWE-GAYAZA-24h'!C35,'28.07 KALERWE-GAYAZA'!C35)</f>
        <v>49.857142857142854</v>
      </c>
      <c r="D35" s="49">
        <f>AVERAGE('22.07 KALERWE-GAYAZA'!D35,'23.07 KALERWE-GAYAZA'!D35,'24.07 KALERWE-GAYAZA'!D35,'25.07 KALERWE-GAYAZA'!D35,'26.07 KALERWE-GAYAZA-24h'!D35,'27.07 KALERWE-GAYAZA-24h'!D35,'28.07 KALERWE-GAYAZA'!D35)</f>
        <v>18.857142857142858</v>
      </c>
      <c r="E35" s="49">
        <f>AVERAGE('22.07 KALERWE-GAYAZA'!E35,'23.07 KALERWE-GAYAZA'!E35,'24.07 KALERWE-GAYAZA'!E35,'25.07 KALERWE-GAYAZA'!E35,'26.07 KALERWE-GAYAZA-24h'!E35,'27.07 KALERWE-GAYAZA-24h'!E35,'28.07 KALERWE-GAYAZA'!E35)</f>
        <v>10.714285714285714</v>
      </c>
      <c r="F35" s="49">
        <f>AVERAGE('22.07 KALERWE-GAYAZA'!F35,'23.07 KALERWE-GAYAZA'!F35,'24.07 KALERWE-GAYAZA'!F35,'25.07 KALERWE-GAYAZA'!F35,'26.07 KALERWE-GAYAZA-24h'!F35,'27.07 KALERWE-GAYAZA-24h'!F35,'28.07 KALERWE-GAYAZA'!F35)</f>
        <v>50.428571428571431</v>
      </c>
      <c r="G35" s="49">
        <f>AVERAGE('22.07 KALERWE-GAYAZA'!G35,'23.07 KALERWE-GAYAZA'!G35,'24.07 KALERWE-GAYAZA'!G35,'25.07 KALERWE-GAYAZA'!G35,'26.07 KALERWE-GAYAZA-24h'!G35,'27.07 KALERWE-GAYAZA-24h'!G35,'28.07 KALERWE-GAYAZA'!G35)</f>
        <v>1</v>
      </c>
      <c r="H35" s="49">
        <f>AVERAGE('22.07 KALERWE-GAYAZA'!H35,'23.07 KALERWE-GAYAZA'!H35,'24.07 KALERWE-GAYAZA'!H35,'25.07 KALERWE-GAYAZA'!H35,'26.07 KALERWE-GAYAZA-24h'!H35,'27.07 KALERWE-GAYAZA-24h'!H35,'28.07 KALERWE-GAYAZA'!H35)</f>
        <v>0.8571428571428571</v>
      </c>
      <c r="I35" s="49">
        <f>AVERAGE('22.07 KALERWE-GAYAZA'!I35,'23.07 KALERWE-GAYAZA'!I35,'24.07 KALERWE-GAYAZA'!I35,'25.07 KALERWE-GAYAZA'!I35,'26.07 KALERWE-GAYAZA-24h'!I35,'27.07 KALERWE-GAYAZA-24h'!I35,'28.07 KALERWE-GAYAZA'!I35)</f>
        <v>7.8571428571428568</v>
      </c>
      <c r="J35" s="49">
        <f>AVERAGE('22.07 KALERWE-GAYAZA'!J35,'23.07 KALERWE-GAYAZA'!J35,'24.07 KALERWE-GAYAZA'!J35,'25.07 KALERWE-GAYAZA'!J35,'26.07 KALERWE-GAYAZA-24h'!J35,'27.07 KALERWE-GAYAZA-24h'!J35,'28.07 KALERWE-GAYAZA'!J35)</f>
        <v>6.1428571428571432</v>
      </c>
      <c r="K35" s="49">
        <f>AVERAGE('22.07 KALERWE-GAYAZA'!K35,'23.07 KALERWE-GAYAZA'!K35,'24.07 KALERWE-GAYAZA'!K35,'25.07 KALERWE-GAYAZA'!K35,'26.07 KALERWE-GAYAZA-24h'!K35,'27.07 KALERWE-GAYAZA-24h'!K35,'28.07 KALERWE-GAYAZA'!K35)</f>
        <v>2</v>
      </c>
      <c r="L35" s="49">
        <f>AVERAGE('22.07 KALERWE-GAYAZA'!L35,'23.07 KALERWE-GAYAZA'!L35,'24.07 KALERWE-GAYAZA'!L35,'25.07 KALERWE-GAYAZA'!L35,'26.07 KALERWE-GAYAZA-24h'!L35,'27.07 KALERWE-GAYAZA-24h'!L35,'28.07 KALERWE-GAYAZA'!L35)</f>
        <v>1.4285714285714286</v>
      </c>
      <c r="M35" s="49">
        <f>AVERAGE('22.07 KALERWE-GAYAZA'!M35,'23.07 KALERWE-GAYAZA'!M35,'24.07 KALERWE-GAYAZA'!M35,'25.07 KALERWE-GAYAZA'!M35,'26.07 KALERWE-GAYAZA-24h'!M35,'27.07 KALERWE-GAYAZA-24h'!M35,'28.07 KALERWE-GAYAZA'!M35)</f>
        <v>222.85714285714286</v>
      </c>
      <c r="N35" s="49">
        <f>AVERAGE('22.07 KALERWE-GAYAZA'!N35,'23.07 KALERWE-GAYAZA'!N35,'24.07 KALERWE-GAYAZA'!N35,'25.07 KALERWE-GAYAZA'!N35,'26.07 KALERWE-GAYAZA-24h'!N35,'27.07 KALERWE-GAYAZA-24h'!N35,'28.07 KALERWE-GAYAZA'!N35)</f>
        <v>0</v>
      </c>
      <c r="O35" s="15">
        <f t="shared" si="0"/>
        <v>149.14285714285711</v>
      </c>
      <c r="P35" s="15">
        <f t="shared" si="1"/>
        <v>372</v>
      </c>
      <c r="R35" s="38" t="s">
        <v>91</v>
      </c>
      <c r="S35" s="39">
        <f t="shared" ref="S35:AF35" si="27">MAX(S13:S18)</f>
        <v>239</v>
      </c>
      <c r="T35" s="39">
        <f t="shared" si="27"/>
        <v>71.285714285714292</v>
      </c>
      <c r="U35" s="39">
        <f t="shared" si="27"/>
        <v>53.857142857142861</v>
      </c>
      <c r="V35" s="39">
        <f t="shared" si="27"/>
        <v>243.28571428571428</v>
      </c>
      <c r="W35" s="39">
        <f t="shared" si="27"/>
        <v>3.2857142857142856</v>
      </c>
      <c r="X35" s="39">
        <f t="shared" si="27"/>
        <v>2.8571428571428572</v>
      </c>
      <c r="Y35" s="39">
        <f t="shared" si="27"/>
        <v>42.857142857142854</v>
      </c>
      <c r="Z35" s="39">
        <f t="shared" si="27"/>
        <v>18.428571428571427</v>
      </c>
      <c r="AA35" s="39">
        <f t="shared" si="27"/>
        <v>7.7142857142857144</v>
      </c>
      <c r="AB35" s="39">
        <f t="shared" si="27"/>
        <v>5.7142857142857144</v>
      </c>
      <c r="AC35" s="39">
        <f t="shared" si="27"/>
        <v>1157.5714285714287</v>
      </c>
      <c r="AD35" s="39">
        <f t="shared" si="27"/>
        <v>0.14285714285714285</v>
      </c>
      <c r="AE35" s="40">
        <f t="shared" si="27"/>
        <v>641.28571428571433</v>
      </c>
      <c r="AF35" s="40">
        <f t="shared" si="27"/>
        <v>1776.8571428571431</v>
      </c>
    </row>
    <row r="36" spans="2:32" ht="23.1" customHeight="1" x14ac:dyDescent="0.25">
      <c r="B36" s="24" t="s">
        <v>63</v>
      </c>
      <c r="C36" s="49">
        <f>AVERAGE('22.07 KALERWE-GAYAZA'!C36,'23.07 KALERWE-GAYAZA'!C36,'24.07 KALERWE-GAYAZA'!C36,'25.07 KALERWE-GAYAZA'!C36,'26.07 KALERWE-GAYAZA-24h'!C36,'27.07 KALERWE-GAYAZA-24h'!C36,'28.07 KALERWE-GAYAZA'!C36)</f>
        <v>55.428571428571431</v>
      </c>
      <c r="D36" s="49">
        <f>AVERAGE('22.07 KALERWE-GAYAZA'!D36,'23.07 KALERWE-GAYAZA'!D36,'24.07 KALERWE-GAYAZA'!D36,'25.07 KALERWE-GAYAZA'!D36,'26.07 KALERWE-GAYAZA-24h'!D36,'27.07 KALERWE-GAYAZA-24h'!D36,'28.07 KALERWE-GAYAZA'!D36)</f>
        <v>8.2857142857142865</v>
      </c>
      <c r="E36" s="49">
        <f>AVERAGE('22.07 KALERWE-GAYAZA'!E36,'23.07 KALERWE-GAYAZA'!E36,'24.07 KALERWE-GAYAZA'!E36,'25.07 KALERWE-GAYAZA'!E36,'26.07 KALERWE-GAYAZA-24h'!E36,'27.07 KALERWE-GAYAZA-24h'!E36,'28.07 KALERWE-GAYAZA'!E36)</f>
        <v>9</v>
      </c>
      <c r="F36" s="49">
        <f>AVERAGE('22.07 KALERWE-GAYAZA'!F36,'23.07 KALERWE-GAYAZA'!F36,'24.07 KALERWE-GAYAZA'!F36,'25.07 KALERWE-GAYAZA'!F36,'26.07 KALERWE-GAYAZA-24h'!F36,'27.07 KALERWE-GAYAZA-24h'!F36,'28.07 KALERWE-GAYAZA'!F36)</f>
        <v>43.285714285714285</v>
      </c>
      <c r="G36" s="49">
        <f>AVERAGE('22.07 KALERWE-GAYAZA'!G36,'23.07 KALERWE-GAYAZA'!G36,'24.07 KALERWE-GAYAZA'!G36,'25.07 KALERWE-GAYAZA'!G36,'26.07 KALERWE-GAYAZA-24h'!G36,'27.07 KALERWE-GAYAZA-24h'!G36,'28.07 KALERWE-GAYAZA'!G36)</f>
        <v>0.7142857142857143</v>
      </c>
      <c r="H36" s="49">
        <f>AVERAGE('22.07 KALERWE-GAYAZA'!H36,'23.07 KALERWE-GAYAZA'!H36,'24.07 KALERWE-GAYAZA'!H36,'25.07 KALERWE-GAYAZA'!H36,'26.07 KALERWE-GAYAZA-24h'!H36,'27.07 KALERWE-GAYAZA-24h'!H36,'28.07 KALERWE-GAYAZA'!H36)</f>
        <v>0.5714285714285714</v>
      </c>
      <c r="I36" s="49">
        <f>AVERAGE('22.07 KALERWE-GAYAZA'!I36,'23.07 KALERWE-GAYAZA'!I36,'24.07 KALERWE-GAYAZA'!I36,'25.07 KALERWE-GAYAZA'!I36,'26.07 KALERWE-GAYAZA-24h'!I36,'27.07 KALERWE-GAYAZA-24h'!I36,'28.07 KALERWE-GAYAZA'!I36)</f>
        <v>10</v>
      </c>
      <c r="J36" s="49">
        <f>AVERAGE('22.07 KALERWE-GAYAZA'!J36,'23.07 KALERWE-GAYAZA'!J36,'24.07 KALERWE-GAYAZA'!J36,'25.07 KALERWE-GAYAZA'!J36,'26.07 KALERWE-GAYAZA-24h'!J36,'27.07 KALERWE-GAYAZA-24h'!J36,'28.07 KALERWE-GAYAZA'!J36)</f>
        <v>2.5714285714285716</v>
      </c>
      <c r="K36" s="49">
        <f>AVERAGE('22.07 KALERWE-GAYAZA'!K36,'23.07 KALERWE-GAYAZA'!K36,'24.07 KALERWE-GAYAZA'!K36,'25.07 KALERWE-GAYAZA'!K36,'26.07 KALERWE-GAYAZA-24h'!K36,'27.07 KALERWE-GAYAZA-24h'!K36,'28.07 KALERWE-GAYAZA'!K36)</f>
        <v>2.1428571428571428</v>
      </c>
      <c r="L36" s="49">
        <f>AVERAGE('22.07 KALERWE-GAYAZA'!L36,'23.07 KALERWE-GAYAZA'!L36,'24.07 KALERWE-GAYAZA'!L36,'25.07 KALERWE-GAYAZA'!L36,'26.07 KALERWE-GAYAZA-24h'!L36,'27.07 KALERWE-GAYAZA-24h'!L36,'28.07 KALERWE-GAYAZA'!L36)</f>
        <v>0.5714285714285714</v>
      </c>
      <c r="M36" s="49">
        <f>AVERAGE('22.07 KALERWE-GAYAZA'!M36,'23.07 KALERWE-GAYAZA'!M36,'24.07 KALERWE-GAYAZA'!M36,'25.07 KALERWE-GAYAZA'!M36,'26.07 KALERWE-GAYAZA-24h'!M36,'27.07 KALERWE-GAYAZA-24h'!M36,'28.07 KALERWE-GAYAZA'!M36)</f>
        <v>254.28571428571428</v>
      </c>
      <c r="N36" s="49">
        <f>AVERAGE('22.07 KALERWE-GAYAZA'!N36,'23.07 KALERWE-GAYAZA'!N36,'24.07 KALERWE-GAYAZA'!N36,'25.07 KALERWE-GAYAZA'!N36,'26.07 KALERWE-GAYAZA-24h'!N36,'27.07 KALERWE-GAYAZA-24h'!N36,'28.07 KALERWE-GAYAZA'!N36)</f>
        <v>0</v>
      </c>
      <c r="O36" s="15">
        <f t="shared" si="0"/>
        <v>132.57142857142858</v>
      </c>
      <c r="P36" s="15">
        <f t="shared" si="1"/>
        <v>386.85714285714289</v>
      </c>
      <c r="R36" s="38" t="s">
        <v>92</v>
      </c>
      <c r="S36" s="39">
        <f t="shared" ref="S36:AF36" si="28">MAX(S19:S21)</f>
        <v>311.14285714285717</v>
      </c>
      <c r="T36" s="39">
        <f t="shared" si="28"/>
        <v>91.857142857142861</v>
      </c>
      <c r="U36" s="39">
        <f t="shared" si="28"/>
        <v>52.571428571428569</v>
      </c>
      <c r="V36" s="39">
        <f t="shared" si="28"/>
        <v>230</v>
      </c>
      <c r="W36" s="39">
        <f t="shared" si="28"/>
        <v>8.5714285714285712</v>
      </c>
      <c r="X36" s="39">
        <f t="shared" si="28"/>
        <v>6</v>
      </c>
      <c r="Y36" s="39">
        <f t="shared" si="28"/>
        <v>34.428571428571431</v>
      </c>
      <c r="Z36" s="39">
        <f t="shared" si="28"/>
        <v>11.714285714285714</v>
      </c>
      <c r="AA36" s="39">
        <f t="shared" si="28"/>
        <v>5</v>
      </c>
      <c r="AB36" s="39">
        <f t="shared" si="28"/>
        <v>3.714285714285714</v>
      </c>
      <c r="AC36" s="39">
        <f t="shared" si="28"/>
        <v>1316.7142857142858</v>
      </c>
      <c r="AD36" s="39">
        <f t="shared" si="28"/>
        <v>0</v>
      </c>
      <c r="AE36" s="40">
        <f t="shared" si="28"/>
        <v>729.57142857142844</v>
      </c>
      <c r="AF36" s="40">
        <f t="shared" si="28"/>
        <v>1988.2857142857142</v>
      </c>
    </row>
    <row r="37" spans="2:32" ht="23.1" customHeight="1" x14ac:dyDescent="0.25">
      <c r="B37" s="23" t="s">
        <v>64</v>
      </c>
      <c r="C37" s="49">
        <f>AVERAGE('22.07 KALERWE-GAYAZA'!C37,'23.07 KALERWE-GAYAZA'!C37,'24.07 KALERWE-GAYAZA'!C37,'25.07 KALERWE-GAYAZA'!C37,'26.07 KALERWE-GAYAZA-24h'!C37,'27.07 KALERWE-GAYAZA-24h'!C37,'28.07 KALERWE-GAYAZA'!C37)</f>
        <v>59</v>
      </c>
      <c r="D37" s="49">
        <f>AVERAGE('22.07 KALERWE-GAYAZA'!D37,'23.07 KALERWE-GAYAZA'!D37,'24.07 KALERWE-GAYAZA'!D37,'25.07 KALERWE-GAYAZA'!D37,'26.07 KALERWE-GAYAZA-24h'!D37,'27.07 KALERWE-GAYAZA-24h'!D37,'28.07 KALERWE-GAYAZA'!D37)</f>
        <v>16.428571428571427</v>
      </c>
      <c r="E37" s="49">
        <f>AVERAGE('22.07 KALERWE-GAYAZA'!E37,'23.07 KALERWE-GAYAZA'!E37,'24.07 KALERWE-GAYAZA'!E37,'25.07 KALERWE-GAYAZA'!E37,'26.07 KALERWE-GAYAZA-24h'!E37,'27.07 KALERWE-GAYAZA-24h'!E37,'28.07 KALERWE-GAYAZA'!E37)</f>
        <v>7.8571428571428568</v>
      </c>
      <c r="F37" s="49">
        <f>AVERAGE('22.07 KALERWE-GAYAZA'!F37,'23.07 KALERWE-GAYAZA'!F37,'24.07 KALERWE-GAYAZA'!F37,'25.07 KALERWE-GAYAZA'!F37,'26.07 KALERWE-GAYAZA-24h'!F37,'27.07 KALERWE-GAYAZA-24h'!F37,'28.07 KALERWE-GAYAZA'!F37)</f>
        <v>46.857142857142854</v>
      </c>
      <c r="G37" s="49">
        <f>AVERAGE('22.07 KALERWE-GAYAZA'!G37,'23.07 KALERWE-GAYAZA'!G37,'24.07 KALERWE-GAYAZA'!G37,'25.07 KALERWE-GAYAZA'!G37,'26.07 KALERWE-GAYAZA-24h'!G37,'27.07 KALERWE-GAYAZA-24h'!G37,'28.07 KALERWE-GAYAZA'!G37)</f>
        <v>0.14285714285714285</v>
      </c>
      <c r="H37" s="49">
        <f>AVERAGE('22.07 KALERWE-GAYAZA'!H37,'23.07 KALERWE-GAYAZA'!H37,'24.07 KALERWE-GAYAZA'!H37,'25.07 KALERWE-GAYAZA'!H37,'26.07 KALERWE-GAYAZA-24h'!H37,'27.07 KALERWE-GAYAZA-24h'!H37,'28.07 KALERWE-GAYAZA'!H37)</f>
        <v>0.42857142857142855</v>
      </c>
      <c r="I37" s="49">
        <f>AVERAGE('22.07 KALERWE-GAYAZA'!I37,'23.07 KALERWE-GAYAZA'!I37,'24.07 KALERWE-GAYAZA'!I37,'25.07 KALERWE-GAYAZA'!I37,'26.07 KALERWE-GAYAZA-24h'!I37,'27.07 KALERWE-GAYAZA-24h'!I37,'28.07 KALERWE-GAYAZA'!I37)</f>
        <v>10.142857142857142</v>
      </c>
      <c r="J37" s="49">
        <f>AVERAGE('22.07 KALERWE-GAYAZA'!J37,'23.07 KALERWE-GAYAZA'!J37,'24.07 KALERWE-GAYAZA'!J37,'25.07 KALERWE-GAYAZA'!J37,'26.07 KALERWE-GAYAZA-24h'!J37,'27.07 KALERWE-GAYAZA-24h'!J37,'28.07 KALERWE-GAYAZA'!J37)</f>
        <v>3.7142857142857144</v>
      </c>
      <c r="K37" s="49">
        <f>AVERAGE('22.07 KALERWE-GAYAZA'!K37,'23.07 KALERWE-GAYAZA'!K37,'24.07 KALERWE-GAYAZA'!K37,'25.07 KALERWE-GAYAZA'!K37,'26.07 KALERWE-GAYAZA-24h'!K37,'27.07 KALERWE-GAYAZA-24h'!K37,'28.07 KALERWE-GAYAZA'!K37)</f>
        <v>0.7142857142857143</v>
      </c>
      <c r="L37" s="49">
        <f>AVERAGE('22.07 KALERWE-GAYAZA'!L37,'23.07 KALERWE-GAYAZA'!L37,'24.07 KALERWE-GAYAZA'!L37,'25.07 KALERWE-GAYAZA'!L37,'26.07 KALERWE-GAYAZA-24h'!L37,'27.07 KALERWE-GAYAZA-24h'!L37,'28.07 KALERWE-GAYAZA'!L37)</f>
        <v>2</v>
      </c>
      <c r="M37" s="49">
        <f>AVERAGE('22.07 KALERWE-GAYAZA'!M37,'23.07 KALERWE-GAYAZA'!M37,'24.07 KALERWE-GAYAZA'!M37,'25.07 KALERWE-GAYAZA'!M37,'26.07 KALERWE-GAYAZA-24h'!M37,'27.07 KALERWE-GAYAZA-24h'!M37,'28.07 KALERWE-GAYAZA'!M37)</f>
        <v>250.42857142857142</v>
      </c>
      <c r="N37" s="49">
        <f>AVERAGE('22.07 KALERWE-GAYAZA'!N37,'23.07 KALERWE-GAYAZA'!N37,'24.07 KALERWE-GAYAZA'!N37,'25.07 KALERWE-GAYAZA'!N37,'26.07 KALERWE-GAYAZA-24h'!N37,'27.07 KALERWE-GAYAZA-24h'!N37,'28.07 KALERWE-GAYAZA'!N37)</f>
        <v>0</v>
      </c>
      <c r="O37" s="15">
        <f t="shared" si="0"/>
        <v>147.28571428571428</v>
      </c>
      <c r="P37" s="15">
        <f t="shared" si="1"/>
        <v>397.71428571428567</v>
      </c>
      <c r="R37" s="37" t="s">
        <v>85</v>
      </c>
      <c r="S37" s="35">
        <f t="shared" ref="S37:AF37" si="29">SUM(S10:S12)</f>
        <v>376.28571428571428</v>
      </c>
      <c r="T37" s="16">
        <f t="shared" si="29"/>
        <v>148.42857142857144</v>
      </c>
      <c r="U37" s="16">
        <f t="shared" si="29"/>
        <v>106.57142857142856</v>
      </c>
      <c r="V37" s="16">
        <f t="shared" si="29"/>
        <v>710.42857142857144</v>
      </c>
      <c r="W37" s="16">
        <f t="shared" si="29"/>
        <v>13.857142857142858</v>
      </c>
      <c r="X37" s="16">
        <f t="shared" si="29"/>
        <v>8.4285714285714288</v>
      </c>
      <c r="Y37" s="16">
        <f t="shared" si="29"/>
        <v>66.142857142857139</v>
      </c>
      <c r="Z37" s="16">
        <f t="shared" si="29"/>
        <v>31.571428571428577</v>
      </c>
      <c r="AA37" s="16">
        <f t="shared" si="29"/>
        <v>10.285714285714285</v>
      </c>
      <c r="AB37" s="16">
        <f t="shared" si="29"/>
        <v>12.428571428571431</v>
      </c>
      <c r="AC37" s="16">
        <f t="shared" si="29"/>
        <v>3621.5714285714284</v>
      </c>
      <c r="AD37" s="16">
        <f t="shared" si="29"/>
        <v>0</v>
      </c>
      <c r="AE37" s="32">
        <f t="shared" si="29"/>
        <v>1484.4285714285716</v>
      </c>
      <c r="AF37" s="32">
        <f t="shared" si="29"/>
        <v>5106</v>
      </c>
    </row>
    <row r="38" spans="2:32" ht="23.1" customHeight="1" x14ac:dyDescent="0.25">
      <c r="B38" s="24" t="s">
        <v>65</v>
      </c>
      <c r="C38" s="49">
        <f>AVERAGE('22.07 KALERWE-GAYAZA'!C38,'23.07 KALERWE-GAYAZA'!C38,'24.07 KALERWE-GAYAZA'!C38,'25.07 KALERWE-GAYAZA'!C38,'26.07 KALERWE-GAYAZA-24h'!C38,'27.07 KALERWE-GAYAZA-24h'!C38,'28.07 KALERWE-GAYAZA'!C38)</f>
        <v>56.571428571428569</v>
      </c>
      <c r="D38" s="49">
        <f>AVERAGE('22.07 KALERWE-GAYAZA'!D38,'23.07 KALERWE-GAYAZA'!D38,'24.07 KALERWE-GAYAZA'!D38,'25.07 KALERWE-GAYAZA'!D38,'26.07 KALERWE-GAYAZA-24h'!D38,'27.07 KALERWE-GAYAZA-24h'!D38,'28.07 KALERWE-GAYAZA'!D38)</f>
        <v>12.857142857142858</v>
      </c>
      <c r="E38" s="49">
        <f>AVERAGE('22.07 KALERWE-GAYAZA'!E38,'23.07 KALERWE-GAYAZA'!E38,'24.07 KALERWE-GAYAZA'!E38,'25.07 KALERWE-GAYAZA'!E38,'26.07 KALERWE-GAYAZA-24h'!E38,'27.07 KALERWE-GAYAZA-24h'!E38,'28.07 KALERWE-GAYAZA'!E38)</f>
        <v>8.8571428571428577</v>
      </c>
      <c r="F38" s="49">
        <f>AVERAGE('22.07 KALERWE-GAYAZA'!F38,'23.07 KALERWE-GAYAZA'!F38,'24.07 KALERWE-GAYAZA'!F38,'25.07 KALERWE-GAYAZA'!F38,'26.07 KALERWE-GAYAZA-24h'!F38,'27.07 KALERWE-GAYAZA-24h'!F38,'28.07 KALERWE-GAYAZA'!F38)</f>
        <v>43.428571428571431</v>
      </c>
      <c r="G38" s="49">
        <f>AVERAGE('22.07 KALERWE-GAYAZA'!G38,'23.07 KALERWE-GAYAZA'!G38,'24.07 KALERWE-GAYAZA'!G38,'25.07 KALERWE-GAYAZA'!G38,'26.07 KALERWE-GAYAZA-24h'!G38,'27.07 KALERWE-GAYAZA-24h'!G38,'28.07 KALERWE-GAYAZA'!G38)</f>
        <v>0.7142857142857143</v>
      </c>
      <c r="H38" s="49">
        <f>AVERAGE('22.07 KALERWE-GAYAZA'!H38,'23.07 KALERWE-GAYAZA'!H38,'24.07 KALERWE-GAYAZA'!H38,'25.07 KALERWE-GAYAZA'!H38,'26.07 KALERWE-GAYAZA-24h'!H38,'27.07 KALERWE-GAYAZA-24h'!H38,'28.07 KALERWE-GAYAZA'!H38)</f>
        <v>0.2857142857142857</v>
      </c>
      <c r="I38" s="49">
        <f>AVERAGE('22.07 KALERWE-GAYAZA'!I38,'23.07 KALERWE-GAYAZA'!I38,'24.07 KALERWE-GAYAZA'!I38,'25.07 KALERWE-GAYAZA'!I38,'26.07 KALERWE-GAYAZA-24h'!I38,'27.07 KALERWE-GAYAZA-24h'!I38,'28.07 KALERWE-GAYAZA'!I38)</f>
        <v>10.857142857142858</v>
      </c>
      <c r="J38" s="49">
        <f>AVERAGE('22.07 KALERWE-GAYAZA'!J38,'23.07 KALERWE-GAYAZA'!J38,'24.07 KALERWE-GAYAZA'!J38,'25.07 KALERWE-GAYAZA'!J38,'26.07 KALERWE-GAYAZA-24h'!J38,'27.07 KALERWE-GAYAZA-24h'!J38,'28.07 KALERWE-GAYAZA'!J38)</f>
        <v>6.5714285714285712</v>
      </c>
      <c r="K38" s="49">
        <f>AVERAGE('22.07 KALERWE-GAYAZA'!K38,'23.07 KALERWE-GAYAZA'!K38,'24.07 KALERWE-GAYAZA'!K38,'25.07 KALERWE-GAYAZA'!K38,'26.07 KALERWE-GAYAZA-24h'!K38,'27.07 KALERWE-GAYAZA-24h'!K38,'28.07 KALERWE-GAYAZA'!K38)</f>
        <v>1.5714285714285714</v>
      </c>
      <c r="L38" s="49">
        <f>AVERAGE('22.07 KALERWE-GAYAZA'!L38,'23.07 KALERWE-GAYAZA'!L38,'24.07 KALERWE-GAYAZA'!L38,'25.07 KALERWE-GAYAZA'!L38,'26.07 KALERWE-GAYAZA-24h'!L38,'27.07 KALERWE-GAYAZA-24h'!L38,'28.07 KALERWE-GAYAZA'!L38)</f>
        <v>1.7142857142857142</v>
      </c>
      <c r="M38" s="49">
        <f>AVERAGE('22.07 KALERWE-GAYAZA'!M38,'23.07 KALERWE-GAYAZA'!M38,'24.07 KALERWE-GAYAZA'!M38,'25.07 KALERWE-GAYAZA'!M38,'26.07 KALERWE-GAYAZA-24h'!M38,'27.07 KALERWE-GAYAZA-24h'!M38,'28.07 KALERWE-GAYAZA'!M38)</f>
        <v>272.14285714285717</v>
      </c>
      <c r="N38" s="49">
        <f>AVERAGE('22.07 KALERWE-GAYAZA'!N38,'23.07 KALERWE-GAYAZA'!N38,'24.07 KALERWE-GAYAZA'!N38,'25.07 KALERWE-GAYAZA'!N38,'26.07 KALERWE-GAYAZA-24h'!N38,'27.07 KALERWE-GAYAZA-24h'!N38,'28.07 KALERWE-GAYAZA'!N38)</f>
        <v>0</v>
      </c>
      <c r="O38" s="15">
        <f t="shared" si="0"/>
        <v>143.42857142857147</v>
      </c>
      <c r="P38" s="15">
        <f t="shared" si="1"/>
        <v>415.57142857142867</v>
      </c>
      <c r="R38" s="28" t="s">
        <v>86</v>
      </c>
      <c r="S38" s="16">
        <f t="shared" ref="S38:AF38" si="30">SUM(S13:S18)</f>
        <v>1296.2857142857144</v>
      </c>
      <c r="T38" s="16">
        <f t="shared" si="30"/>
        <v>389.42857142857139</v>
      </c>
      <c r="U38" s="16">
        <f t="shared" si="30"/>
        <v>281.57142857142856</v>
      </c>
      <c r="V38" s="16">
        <f t="shared" si="30"/>
        <v>1240.8571428571431</v>
      </c>
      <c r="W38" s="16">
        <f t="shared" si="30"/>
        <v>15.142857142857142</v>
      </c>
      <c r="X38" s="16">
        <f t="shared" si="30"/>
        <v>13.285714285714285</v>
      </c>
      <c r="Y38" s="16">
        <f t="shared" si="30"/>
        <v>226.57142857142858</v>
      </c>
      <c r="Z38" s="16">
        <f t="shared" si="30"/>
        <v>99.857142857142847</v>
      </c>
      <c r="AA38" s="16">
        <f t="shared" si="30"/>
        <v>32.571428571428569</v>
      </c>
      <c r="AB38" s="16">
        <f t="shared" si="30"/>
        <v>28.571428571428569</v>
      </c>
      <c r="AC38" s="16">
        <f t="shared" si="30"/>
        <v>6241.4285714285716</v>
      </c>
      <c r="AD38" s="16">
        <f t="shared" si="30"/>
        <v>0.2857142857142857</v>
      </c>
      <c r="AE38" s="32">
        <f t="shared" si="30"/>
        <v>3624.4285714285711</v>
      </c>
      <c r="AF38" s="32">
        <f t="shared" si="30"/>
        <v>9865.8571428571431</v>
      </c>
    </row>
    <row r="39" spans="2:32" ht="23.1" customHeight="1" x14ac:dyDescent="0.25">
      <c r="B39" s="24" t="s">
        <v>66</v>
      </c>
      <c r="C39" s="49">
        <f>AVERAGE('22.07 KALERWE-GAYAZA'!C39,'23.07 KALERWE-GAYAZA'!C39,'24.07 KALERWE-GAYAZA'!C39,'25.07 KALERWE-GAYAZA'!C39,'26.07 KALERWE-GAYAZA-24h'!C39,'27.07 KALERWE-GAYAZA-24h'!C39,'28.07 KALERWE-GAYAZA'!C39)</f>
        <v>57.142857142857146</v>
      </c>
      <c r="D39" s="49">
        <f>AVERAGE('22.07 KALERWE-GAYAZA'!D39,'23.07 KALERWE-GAYAZA'!D39,'24.07 KALERWE-GAYAZA'!D39,'25.07 KALERWE-GAYAZA'!D39,'26.07 KALERWE-GAYAZA-24h'!D39,'27.07 KALERWE-GAYAZA-24h'!D39,'28.07 KALERWE-GAYAZA'!D39)</f>
        <v>15.571428571428571</v>
      </c>
      <c r="E39" s="49">
        <f>AVERAGE('22.07 KALERWE-GAYAZA'!E39,'23.07 KALERWE-GAYAZA'!E39,'24.07 KALERWE-GAYAZA'!E39,'25.07 KALERWE-GAYAZA'!E39,'26.07 KALERWE-GAYAZA-24h'!E39,'27.07 KALERWE-GAYAZA-24h'!E39,'28.07 KALERWE-GAYAZA'!E39)</f>
        <v>11.285714285714286</v>
      </c>
      <c r="F39" s="49">
        <f>AVERAGE('22.07 KALERWE-GAYAZA'!F39,'23.07 KALERWE-GAYAZA'!F39,'24.07 KALERWE-GAYAZA'!F39,'25.07 KALERWE-GAYAZA'!F39,'26.07 KALERWE-GAYAZA-24h'!F39,'27.07 KALERWE-GAYAZA-24h'!F39,'28.07 KALERWE-GAYAZA'!F39)</f>
        <v>53.142857142857146</v>
      </c>
      <c r="G39" s="49">
        <f>AVERAGE('22.07 KALERWE-GAYAZA'!G39,'23.07 KALERWE-GAYAZA'!G39,'24.07 KALERWE-GAYAZA'!G39,'25.07 KALERWE-GAYAZA'!G39,'26.07 KALERWE-GAYAZA-24h'!G39,'27.07 KALERWE-GAYAZA-24h'!G39,'28.07 KALERWE-GAYAZA'!G39)</f>
        <v>0.42857142857142855</v>
      </c>
      <c r="H39" s="49">
        <f>AVERAGE('22.07 KALERWE-GAYAZA'!H39,'23.07 KALERWE-GAYAZA'!H39,'24.07 KALERWE-GAYAZA'!H39,'25.07 KALERWE-GAYAZA'!H39,'26.07 KALERWE-GAYAZA-24h'!H39,'27.07 KALERWE-GAYAZA-24h'!H39,'28.07 KALERWE-GAYAZA'!H39)</f>
        <v>1.1428571428571428</v>
      </c>
      <c r="I39" s="49">
        <f>AVERAGE('22.07 KALERWE-GAYAZA'!I39,'23.07 KALERWE-GAYAZA'!I39,'24.07 KALERWE-GAYAZA'!I39,'25.07 KALERWE-GAYAZA'!I39,'26.07 KALERWE-GAYAZA-24h'!I39,'27.07 KALERWE-GAYAZA-24h'!I39,'28.07 KALERWE-GAYAZA'!I39)</f>
        <v>11</v>
      </c>
      <c r="J39" s="49">
        <f>AVERAGE('22.07 KALERWE-GAYAZA'!J39,'23.07 KALERWE-GAYAZA'!J39,'24.07 KALERWE-GAYAZA'!J39,'25.07 KALERWE-GAYAZA'!J39,'26.07 KALERWE-GAYAZA-24h'!J39,'27.07 KALERWE-GAYAZA-24h'!J39,'28.07 KALERWE-GAYAZA'!J39)</f>
        <v>3.8571428571428572</v>
      </c>
      <c r="K39" s="49">
        <f>AVERAGE('22.07 KALERWE-GAYAZA'!K39,'23.07 KALERWE-GAYAZA'!K39,'24.07 KALERWE-GAYAZA'!K39,'25.07 KALERWE-GAYAZA'!K39,'26.07 KALERWE-GAYAZA-24h'!K39,'27.07 KALERWE-GAYAZA-24h'!K39,'28.07 KALERWE-GAYAZA'!K39)</f>
        <v>2.1428571428571428</v>
      </c>
      <c r="L39" s="49">
        <f>AVERAGE('22.07 KALERWE-GAYAZA'!L39,'23.07 KALERWE-GAYAZA'!L39,'24.07 KALERWE-GAYAZA'!L39,'25.07 KALERWE-GAYAZA'!L39,'26.07 KALERWE-GAYAZA-24h'!L39,'27.07 KALERWE-GAYAZA-24h'!L39,'28.07 KALERWE-GAYAZA'!L39)</f>
        <v>1.2857142857142858</v>
      </c>
      <c r="M39" s="49">
        <f>AVERAGE('22.07 KALERWE-GAYAZA'!M39,'23.07 KALERWE-GAYAZA'!M39,'24.07 KALERWE-GAYAZA'!M39,'25.07 KALERWE-GAYAZA'!M39,'26.07 KALERWE-GAYAZA-24h'!M39,'27.07 KALERWE-GAYAZA-24h'!M39,'28.07 KALERWE-GAYAZA'!M39)</f>
        <v>245.71428571428572</v>
      </c>
      <c r="N39" s="49">
        <f>AVERAGE('22.07 KALERWE-GAYAZA'!N39,'23.07 KALERWE-GAYAZA'!N39,'24.07 KALERWE-GAYAZA'!N39,'25.07 KALERWE-GAYAZA'!N39,'26.07 KALERWE-GAYAZA-24h'!N39,'27.07 KALERWE-GAYAZA-24h'!N39,'28.07 KALERWE-GAYAZA'!N39)</f>
        <v>0</v>
      </c>
      <c r="O39" s="15">
        <f t="shared" si="0"/>
        <v>157</v>
      </c>
      <c r="P39" s="15">
        <f t="shared" si="1"/>
        <v>402.71428571428572</v>
      </c>
      <c r="R39" s="29" t="s">
        <v>87</v>
      </c>
      <c r="S39" s="16">
        <f t="shared" ref="S39:AF39" si="31">SUM(S19:S21)</f>
        <v>895.28571428571422</v>
      </c>
      <c r="T39" s="16">
        <f t="shared" si="31"/>
        <v>266.71428571428572</v>
      </c>
      <c r="U39" s="16">
        <f t="shared" si="31"/>
        <v>149</v>
      </c>
      <c r="V39" s="16">
        <f t="shared" si="31"/>
        <v>647.42857142857144</v>
      </c>
      <c r="W39" s="16">
        <f t="shared" si="31"/>
        <v>17.142857142857146</v>
      </c>
      <c r="X39" s="16">
        <f t="shared" si="31"/>
        <v>15</v>
      </c>
      <c r="Y39" s="16">
        <f t="shared" si="31"/>
        <v>90.714285714285722</v>
      </c>
      <c r="Z39" s="16">
        <f t="shared" si="31"/>
        <v>28.142857142857142</v>
      </c>
      <c r="AA39" s="16">
        <f t="shared" si="31"/>
        <v>10.142857142857142</v>
      </c>
      <c r="AB39" s="16">
        <f t="shared" si="31"/>
        <v>7.8571428571428568</v>
      </c>
      <c r="AC39" s="16">
        <f t="shared" si="31"/>
        <v>3595.428571428572</v>
      </c>
      <c r="AD39" s="16">
        <f t="shared" si="31"/>
        <v>0</v>
      </c>
      <c r="AE39" s="32">
        <f t="shared" si="31"/>
        <v>2127.4285714285716</v>
      </c>
      <c r="AF39" s="32">
        <f t="shared" si="31"/>
        <v>5722.8571428571431</v>
      </c>
    </row>
    <row r="40" spans="2:32" ht="23.1" customHeight="1" x14ac:dyDescent="0.25">
      <c r="B40" s="24" t="s">
        <v>67</v>
      </c>
      <c r="C40" s="49">
        <f>AVERAGE('22.07 KALERWE-GAYAZA'!C40,'23.07 KALERWE-GAYAZA'!C40,'24.07 KALERWE-GAYAZA'!C40,'25.07 KALERWE-GAYAZA'!C40,'26.07 KALERWE-GAYAZA-24h'!C40,'27.07 KALERWE-GAYAZA-24h'!C40,'28.07 KALERWE-GAYAZA'!C40)</f>
        <v>62</v>
      </c>
      <c r="D40" s="49">
        <f>AVERAGE('22.07 KALERWE-GAYAZA'!D40,'23.07 KALERWE-GAYAZA'!D40,'24.07 KALERWE-GAYAZA'!D40,'25.07 KALERWE-GAYAZA'!D40,'26.07 KALERWE-GAYAZA-24h'!D40,'27.07 KALERWE-GAYAZA-24h'!D40,'28.07 KALERWE-GAYAZA'!D40)</f>
        <v>15.142857142857142</v>
      </c>
      <c r="E40" s="49">
        <f>AVERAGE('22.07 KALERWE-GAYAZA'!E40,'23.07 KALERWE-GAYAZA'!E40,'24.07 KALERWE-GAYAZA'!E40,'25.07 KALERWE-GAYAZA'!E40,'26.07 KALERWE-GAYAZA-24h'!E40,'27.07 KALERWE-GAYAZA-24h'!E40,'28.07 KALERWE-GAYAZA'!E40)</f>
        <v>9</v>
      </c>
      <c r="F40" s="49">
        <f>AVERAGE('22.07 KALERWE-GAYAZA'!F40,'23.07 KALERWE-GAYAZA'!F40,'24.07 KALERWE-GAYAZA'!F40,'25.07 KALERWE-GAYAZA'!F40,'26.07 KALERWE-GAYAZA-24h'!F40,'27.07 KALERWE-GAYAZA-24h'!F40,'28.07 KALERWE-GAYAZA'!F40)</f>
        <v>41.428571428571431</v>
      </c>
      <c r="G40" s="49">
        <f>AVERAGE('22.07 KALERWE-GAYAZA'!G40,'23.07 KALERWE-GAYAZA'!G40,'24.07 KALERWE-GAYAZA'!G40,'25.07 KALERWE-GAYAZA'!G40,'26.07 KALERWE-GAYAZA-24h'!G40,'27.07 KALERWE-GAYAZA-24h'!G40,'28.07 KALERWE-GAYAZA'!G40)</f>
        <v>0.7142857142857143</v>
      </c>
      <c r="H40" s="49">
        <f>AVERAGE('22.07 KALERWE-GAYAZA'!H40,'23.07 KALERWE-GAYAZA'!H40,'24.07 KALERWE-GAYAZA'!H40,'25.07 KALERWE-GAYAZA'!H40,'26.07 KALERWE-GAYAZA-24h'!H40,'27.07 KALERWE-GAYAZA-24h'!H40,'28.07 KALERWE-GAYAZA'!H40)</f>
        <v>1</v>
      </c>
      <c r="I40" s="49">
        <f>AVERAGE('22.07 KALERWE-GAYAZA'!I40,'23.07 KALERWE-GAYAZA'!I40,'24.07 KALERWE-GAYAZA'!I40,'25.07 KALERWE-GAYAZA'!I40,'26.07 KALERWE-GAYAZA-24h'!I40,'27.07 KALERWE-GAYAZA-24h'!I40,'28.07 KALERWE-GAYAZA'!I40)</f>
        <v>9.4285714285714288</v>
      </c>
      <c r="J40" s="49">
        <f>AVERAGE('22.07 KALERWE-GAYAZA'!J40,'23.07 KALERWE-GAYAZA'!J40,'24.07 KALERWE-GAYAZA'!J40,'25.07 KALERWE-GAYAZA'!J40,'26.07 KALERWE-GAYAZA-24h'!J40,'27.07 KALERWE-GAYAZA-24h'!J40,'28.07 KALERWE-GAYAZA'!J40)</f>
        <v>2.2857142857142856</v>
      </c>
      <c r="K40" s="49">
        <f>AVERAGE('22.07 KALERWE-GAYAZA'!K40,'23.07 KALERWE-GAYAZA'!K40,'24.07 KALERWE-GAYAZA'!K40,'25.07 KALERWE-GAYAZA'!K40,'26.07 KALERWE-GAYAZA-24h'!K40,'27.07 KALERWE-GAYAZA-24h'!K40,'28.07 KALERWE-GAYAZA'!K40)</f>
        <v>3</v>
      </c>
      <c r="L40" s="49">
        <f>AVERAGE('22.07 KALERWE-GAYAZA'!L40,'23.07 KALERWE-GAYAZA'!L40,'24.07 KALERWE-GAYAZA'!L40,'25.07 KALERWE-GAYAZA'!L40,'26.07 KALERWE-GAYAZA-24h'!L40,'27.07 KALERWE-GAYAZA-24h'!L40,'28.07 KALERWE-GAYAZA'!L40)</f>
        <v>1.4285714285714286</v>
      </c>
      <c r="M40" s="49">
        <f>AVERAGE('22.07 KALERWE-GAYAZA'!M40,'23.07 KALERWE-GAYAZA'!M40,'24.07 KALERWE-GAYAZA'!M40,'25.07 KALERWE-GAYAZA'!M40,'26.07 KALERWE-GAYAZA-24h'!M40,'27.07 KALERWE-GAYAZA-24h'!M40,'28.07 KALERWE-GAYAZA'!M40)</f>
        <v>213.28571428571428</v>
      </c>
      <c r="N40" s="49">
        <f>AVERAGE('22.07 KALERWE-GAYAZA'!N40,'23.07 KALERWE-GAYAZA'!N40,'24.07 KALERWE-GAYAZA'!N40,'25.07 KALERWE-GAYAZA'!N40,'26.07 KALERWE-GAYAZA-24h'!N40,'27.07 KALERWE-GAYAZA-24h'!N40,'28.07 KALERWE-GAYAZA'!N40)</f>
        <v>0</v>
      </c>
      <c r="O40" s="15">
        <f t="shared" si="0"/>
        <v>145.42857142857139</v>
      </c>
      <c r="P40" s="15">
        <f t="shared" si="1"/>
        <v>358.71428571428567</v>
      </c>
      <c r="R40" s="5" t="s">
        <v>17</v>
      </c>
      <c r="S40" s="16">
        <f t="shared" ref="S40:AF40" si="32">SUM(S10:S21)</f>
        <v>2567.8571428571427</v>
      </c>
      <c r="T40" s="16">
        <f t="shared" si="32"/>
        <v>804.57142857142867</v>
      </c>
      <c r="U40" s="16">
        <f t="shared" si="32"/>
        <v>537.14285714285711</v>
      </c>
      <c r="V40" s="16">
        <f t="shared" si="32"/>
        <v>2598.7142857142862</v>
      </c>
      <c r="W40" s="16">
        <f t="shared" si="32"/>
        <v>46.142857142857146</v>
      </c>
      <c r="X40" s="16">
        <f t="shared" si="32"/>
        <v>36.714285714285708</v>
      </c>
      <c r="Y40" s="16">
        <f t="shared" si="32"/>
        <v>383.42857142857144</v>
      </c>
      <c r="Z40" s="16">
        <f t="shared" si="32"/>
        <v>159.57142857142856</v>
      </c>
      <c r="AA40" s="16">
        <f t="shared" si="32"/>
        <v>52.999999999999993</v>
      </c>
      <c r="AB40" s="16">
        <f t="shared" si="32"/>
        <v>48.857142857142868</v>
      </c>
      <c r="AC40" s="16">
        <f t="shared" si="32"/>
        <v>13458.428571428572</v>
      </c>
      <c r="AD40" s="16">
        <f t="shared" si="32"/>
        <v>0.2857142857142857</v>
      </c>
      <c r="AE40" s="32">
        <f t="shared" si="32"/>
        <v>7236.2857142857147</v>
      </c>
      <c r="AF40" s="32">
        <f t="shared" si="32"/>
        <v>20694.714285714286</v>
      </c>
    </row>
    <row r="41" spans="2:32" ht="23.1" customHeight="1" x14ac:dyDescent="0.25">
      <c r="B41" s="23" t="s">
        <v>68</v>
      </c>
      <c r="C41" s="49">
        <f>AVERAGE('22.07 KALERWE-GAYAZA'!C41,'23.07 KALERWE-GAYAZA'!C41,'24.07 KALERWE-GAYAZA'!C41,'25.07 KALERWE-GAYAZA'!C41,'26.07 KALERWE-GAYAZA-24h'!C41,'27.07 KALERWE-GAYAZA-24h'!C41,'28.07 KALERWE-GAYAZA'!C41)</f>
        <v>62</v>
      </c>
      <c r="D41" s="49">
        <f>AVERAGE('22.07 KALERWE-GAYAZA'!D41,'23.07 KALERWE-GAYAZA'!D41,'24.07 KALERWE-GAYAZA'!D41,'25.07 KALERWE-GAYAZA'!D41,'26.07 KALERWE-GAYAZA-24h'!D41,'27.07 KALERWE-GAYAZA-24h'!D41,'28.07 KALERWE-GAYAZA'!D41)</f>
        <v>17.285714285714285</v>
      </c>
      <c r="E41" s="49">
        <f>AVERAGE('22.07 KALERWE-GAYAZA'!E41,'23.07 KALERWE-GAYAZA'!E41,'24.07 KALERWE-GAYAZA'!E41,'25.07 KALERWE-GAYAZA'!E41,'26.07 KALERWE-GAYAZA-24h'!E41,'27.07 KALERWE-GAYAZA-24h'!E41,'28.07 KALERWE-GAYAZA'!E41)</f>
        <v>10.285714285714286</v>
      </c>
      <c r="F41" s="49">
        <f>AVERAGE('22.07 KALERWE-GAYAZA'!F41,'23.07 KALERWE-GAYAZA'!F41,'24.07 KALERWE-GAYAZA'!F41,'25.07 KALERWE-GAYAZA'!F41,'26.07 KALERWE-GAYAZA-24h'!F41,'27.07 KALERWE-GAYAZA-24h'!F41,'28.07 KALERWE-GAYAZA'!F41)</f>
        <v>48.428571428571431</v>
      </c>
      <c r="G41" s="49">
        <f>AVERAGE('22.07 KALERWE-GAYAZA'!G41,'23.07 KALERWE-GAYAZA'!G41,'24.07 KALERWE-GAYAZA'!G41,'25.07 KALERWE-GAYAZA'!G41,'26.07 KALERWE-GAYAZA-24h'!G41,'27.07 KALERWE-GAYAZA-24h'!G41,'28.07 KALERWE-GAYAZA'!G41)</f>
        <v>0.7142857142857143</v>
      </c>
      <c r="H41" s="49">
        <f>AVERAGE('22.07 KALERWE-GAYAZA'!H41,'23.07 KALERWE-GAYAZA'!H41,'24.07 KALERWE-GAYAZA'!H41,'25.07 KALERWE-GAYAZA'!H41,'26.07 KALERWE-GAYAZA-24h'!H41,'27.07 KALERWE-GAYAZA-24h'!H41,'28.07 KALERWE-GAYAZA'!H41)</f>
        <v>0.14285714285714285</v>
      </c>
      <c r="I41" s="49">
        <f>AVERAGE('22.07 KALERWE-GAYAZA'!I41,'23.07 KALERWE-GAYAZA'!I41,'24.07 KALERWE-GAYAZA'!I41,'25.07 KALERWE-GAYAZA'!I41,'26.07 KALERWE-GAYAZA-24h'!I41,'27.07 KALERWE-GAYAZA-24h'!I41,'28.07 KALERWE-GAYAZA'!I41)</f>
        <v>11.571428571428571</v>
      </c>
      <c r="J41" s="49">
        <f>AVERAGE('22.07 KALERWE-GAYAZA'!J41,'23.07 KALERWE-GAYAZA'!J41,'24.07 KALERWE-GAYAZA'!J41,'25.07 KALERWE-GAYAZA'!J41,'26.07 KALERWE-GAYAZA-24h'!J41,'27.07 KALERWE-GAYAZA-24h'!J41,'28.07 KALERWE-GAYAZA'!J41)</f>
        <v>5.5714285714285712</v>
      </c>
      <c r="K41" s="49">
        <f>AVERAGE('22.07 KALERWE-GAYAZA'!K41,'23.07 KALERWE-GAYAZA'!K41,'24.07 KALERWE-GAYAZA'!K41,'25.07 KALERWE-GAYAZA'!K41,'26.07 KALERWE-GAYAZA-24h'!K41,'27.07 KALERWE-GAYAZA-24h'!K41,'28.07 KALERWE-GAYAZA'!K41)</f>
        <v>1</v>
      </c>
      <c r="L41" s="49">
        <f>AVERAGE('22.07 KALERWE-GAYAZA'!L41,'23.07 KALERWE-GAYAZA'!L41,'24.07 KALERWE-GAYAZA'!L41,'25.07 KALERWE-GAYAZA'!L41,'26.07 KALERWE-GAYAZA-24h'!L41,'27.07 KALERWE-GAYAZA-24h'!L41,'28.07 KALERWE-GAYAZA'!L41)</f>
        <v>1.2857142857142858</v>
      </c>
      <c r="M41" s="49">
        <f>AVERAGE('22.07 KALERWE-GAYAZA'!M41,'23.07 KALERWE-GAYAZA'!M41,'24.07 KALERWE-GAYAZA'!M41,'25.07 KALERWE-GAYAZA'!M41,'26.07 KALERWE-GAYAZA-24h'!M41,'27.07 KALERWE-GAYAZA-24h'!M41,'28.07 KALERWE-GAYAZA'!M41)</f>
        <v>261.57142857142856</v>
      </c>
      <c r="N41" s="49">
        <f>AVERAGE('22.07 KALERWE-GAYAZA'!N41,'23.07 KALERWE-GAYAZA'!N41,'24.07 KALERWE-GAYAZA'!N41,'25.07 KALERWE-GAYAZA'!N41,'26.07 KALERWE-GAYAZA-24h'!N41,'27.07 KALERWE-GAYAZA-24h'!N41,'28.07 KALERWE-GAYAZA'!N41)</f>
        <v>0</v>
      </c>
      <c r="O41" s="15">
        <f t="shared" si="0"/>
        <v>158.28571428571431</v>
      </c>
      <c r="P41" s="15">
        <f t="shared" si="1"/>
        <v>419.85714285714289</v>
      </c>
      <c r="R41" s="5" t="s">
        <v>185</v>
      </c>
      <c r="S41" s="51">
        <f>SUM(S10:S33)</f>
        <v>4080.3571428571427</v>
      </c>
      <c r="T41" s="51">
        <f t="shared" ref="T41:AD41" si="33">SUM(T10:T33)</f>
        <v>1355.0714285714287</v>
      </c>
      <c r="U41" s="51">
        <f t="shared" si="33"/>
        <v>783.14285714285711</v>
      </c>
      <c r="V41" s="51">
        <f t="shared" si="33"/>
        <v>3707.7142857142862</v>
      </c>
      <c r="W41" s="51">
        <f t="shared" si="33"/>
        <v>67.642857142857139</v>
      </c>
      <c r="X41" s="51">
        <f t="shared" si="33"/>
        <v>52.714285714285708</v>
      </c>
      <c r="Y41" s="51">
        <f t="shared" si="33"/>
        <v>521.92857142857144</v>
      </c>
      <c r="Z41" s="51">
        <f t="shared" si="33"/>
        <v>295.07142857142856</v>
      </c>
      <c r="AA41" s="51">
        <f t="shared" si="33"/>
        <v>85</v>
      </c>
      <c r="AB41" s="51">
        <f t="shared" si="33"/>
        <v>88.857142857142861</v>
      </c>
      <c r="AC41" s="51">
        <f t="shared" si="33"/>
        <v>22166.928571428572</v>
      </c>
      <c r="AD41" s="51">
        <f t="shared" si="33"/>
        <v>0.2857142857142857</v>
      </c>
      <c r="AE41" s="52">
        <f>SUM(AE10:AE33)</f>
        <v>11037.785714285714</v>
      </c>
      <c r="AF41" s="52">
        <f>SUM(AF10:AF33)</f>
        <v>33204.71428571429</v>
      </c>
    </row>
    <row r="42" spans="2:32" ht="23.1" customHeight="1" x14ac:dyDescent="0.25">
      <c r="B42" s="24" t="s">
        <v>69</v>
      </c>
      <c r="C42" s="49">
        <f>AVERAGE('22.07 KALERWE-GAYAZA'!C42,'23.07 KALERWE-GAYAZA'!C42,'24.07 KALERWE-GAYAZA'!C42,'25.07 KALERWE-GAYAZA'!C42,'26.07 KALERWE-GAYAZA-24h'!C42,'27.07 KALERWE-GAYAZA-24h'!C42,'28.07 KALERWE-GAYAZA'!C42)</f>
        <v>65.142857142857139</v>
      </c>
      <c r="D42" s="49">
        <f>AVERAGE('22.07 KALERWE-GAYAZA'!D42,'23.07 KALERWE-GAYAZA'!D42,'24.07 KALERWE-GAYAZA'!D42,'25.07 KALERWE-GAYAZA'!D42,'26.07 KALERWE-GAYAZA-24h'!D42,'27.07 KALERWE-GAYAZA-24h'!D42,'28.07 KALERWE-GAYAZA'!D42)</f>
        <v>17.285714285714285</v>
      </c>
      <c r="E42" s="49">
        <f>AVERAGE('22.07 KALERWE-GAYAZA'!E42,'23.07 KALERWE-GAYAZA'!E42,'24.07 KALERWE-GAYAZA'!E42,'25.07 KALERWE-GAYAZA'!E42,'26.07 KALERWE-GAYAZA-24h'!E42,'27.07 KALERWE-GAYAZA-24h'!E42,'28.07 KALERWE-GAYAZA'!E42)</f>
        <v>11.857142857142858</v>
      </c>
      <c r="F42" s="49">
        <f>AVERAGE('22.07 KALERWE-GAYAZA'!F42,'23.07 KALERWE-GAYAZA'!F42,'24.07 KALERWE-GAYAZA'!F42,'25.07 KALERWE-GAYAZA'!F42,'26.07 KALERWE-GAYAZA-24h'!F42,'27.07 KALERWE-GAYAZA-24h'!F42,'28.07 KALERWE-GAYAZA'!F42)</f>
        <v>61</v>
      </c>
      <c r="G42" s="49">
        <f>AVERAGE('22.07 KALERWE-GAYAZA'!G42,'23.07 KALERWE-GAYAZA'!G42,'24.07 KALERWE-GAYAZA'!G42,'25.07 KALERWE-GAYAZA'!G42,'26.07 KALERWE-GAYAZA-24h'!G42,'27.07 KALERWE-GAYAZA-24h'!G42,'28.07 KALERWE-GAYAZA'!G42)</f>
        <v>0.42857142857142855</v>
      </c>
      <c r="H42" s="49">
        <f>AVERAGE('22.07 KALERWE-GAYAZA'!H42,'23.07 KALERWE-GAYAZA'!H42,'24.07 KALERWE-GAYAZA'!H42,'25.07 KALERWE-GAYAZA'!H42,'26.07 KALERWE-GAYAZA-24h'!H42,'27.07 KALERWE-GAYAZA-24h'!H42,'28.07 KALERWE-GAYAZA'!H42)</f>
        <v>0.42857142857142855</v>
      </c>
      <c r="I42" s="49">
        <f>AVERAGE('22.07 KALERWE-GAYAZA'!I42,'23.07 KALERWE-GAYAZA'!I42,'24.07 KALERWE-GAYAZA'!I42,'25.07 KALERWE-GAYAZA'!I42,'26.07 KALERWE-GAYAZA-24h'!I42,'27.07 KALERWE-GAYAZA-24h'!I42,'28.07 KALERWE-GAYAZA'!I42)</f>
        <v>11.285714285714286</v>
      </c>
      <c r="J42" s="49">
        <f>AVERAGE('22.07 KALERWE-GAYAZA'!J42,'23.07 KALERWE-GAYAZA'!J42,'24.07 KALERWE-GAYAZA'!J42,'25.07 KALERWE-GAYAZA'!J42,'26.07 KALERWE-GAYAZA-24h'!J42,'27.07 KALERWE-GAYAZA-24h'!J42,'28.07 KALERWE-GAYAZA'!J42)</f>
        <v>2.1428571428571428</v>
      </c>
      <c r="K42" s="49">
        <f>AVERAGE('22.07 KALERWE-GAYAZA'!K42,'23.07 KALERWE-GAYAZA'!K42,'24.07 KALERWE-GAYAZA'!K42,'25.07 KALERWE-GAYAZA'!K42,'26.07 KALERWE-GAYAZA-24h'!K42,'27.07 KALERWE-GAYAZA-24h'!K42,'28.07 KALERWE-GAYAZA'!K42)</f>
        <v>1.5714285714285714</v>
      </c>
      <c r="L42" s="49">
        <f>AVERAGE('22.07 KALERWE-GAYAZA'!L42,'23.07 KALERWE-GAYAZA'!L42,'24.07 KALERWE-GAYAZA'!L42,'25.07 KALERWE-GAYAZA'!L42,'26.07 KALERWE-GAYAZA-24h'!L42,'27.07 KALERWE-GAYAZA-24h'!L42,'28.07 KALERWE-GAYAZA'!L42)</f>
        <v>0.5714285714285714</v>
      </c>
      <c r="M42" s="49">
        <f>AVERAGE('22.07 KALERWE-GAYAZA'!M42,'23.07 KALERWE-GAYAZA'!M42,'24.07 KALERWE-GAYAZA'!M42,'25.07 KALERWE-GAYAZA'!M42,'26.07 KALERWE-GAYAZA-24h'!M42,'27.07 KALERWE-GAYAZA-24h'!M42,'28.07 KALERWE-GAYAZA'!M42)</f>
        <v>258.14285714285717</v>
      </c>
      <c r="N42" s="49">
        <f>AVERAGE('22.07 KALERWE-GAYAZA'!N42,'23.07 KALERWE-GAYAZA'!N42,'24.07 KALERWE-GAYAZA'!N42,'25.07 KALERWE-GAYAZA'!N42,'26.07 KALERWE-GAYAZA-24h'!N42,'27.07 KALERWE-GAYAZA-24h'!N42,'28.07 KALERWE-GAYAZA'!N42)</f>
        <v>0</v>
      </c>
      <c r="O42" s="15">
        <f t="shared" si="0"/>
        <v>171.71428571428569</v>
      </c>
      <c r="P42" s="15">
        <f t="shared" si="1"/>
        <v>429.85714285714289</v>
      </c>
      <c r="R42" s="5" t="s">
        <v>160</v>
      </c>
      <c r="S42" s="48">
        <f>S41/S40</f>
        <v>1.5890125173852574</v>
      </c>
      <c r="T42" s="48">
        <f t="shared" ref="T42:AF42" si="34">T41/T40</f>
        <v>1.6842151988636362</v>
      </c>
      <c r="U42" s="48">
        <f t="shared" si="34"/>
        <v>1.4579787234042554</v>
      </c>
      <c r="V42" s="48">
        <f t="shared" si="34"/>
        <v>1.4267494915067891</v>
      </c>
      <c r="W42" s="48">
        <f t="shared" si="34"/>
        <v>1.4659442724458203</v>
      </c>
      <c r="X42" s="48">
        <f t="shared" si="34"/>
        <v>1.4357976653696498</v>
      </c>
      <c r="Y42" s="48">
        <f t="shared" si="34"/>
        <v>1.3612146050670642</v>
      </c>
      <c r="Z42" s="48">
        <f t="shared" si="34"/>
        <v>1.8491495076096689</v>
      </c>
      <c r="AA42" s="48">
        <f t="shared" si="34"/>
        <v>1.6037735849056607</v>
      </c>
      <c r="AB42" s="48">
        <f t="shared" si="34"/>
        <v>1.8187134502923974</v>
      </c>
      <c r="AC42" s="48">
        <f t="shared" si="34"/>
        <v>1.647066628453757</v>
      </c>
      <c r="AD42" s="48">
        <f t="shared" si="34"/>
        <v>1</v>
      </c>
      <c r="AE42" s="53">
        <f t="shared" si="34"/>
        <v>1.5253385714849763</v>
      </c>
      <c r="AF42" s="53">
        <f t="shared" si="34"/>
        <v>1.6045021848229017</v>
      </c>
    </row>
    <row r="43" spans="2:32" ht="23.1" customHeight="1" x14ac:dyDescent="0.25">
      <c r="B43" s="23" t="s">
        <v>70</v>
      </c>
      <c r="C43" s="49">
        <f>AVERAGE('22.07 KALERWE-GAYAZA'!C43,'23.07 KALERWE-GAYAZA'!C43,'24.07 KALERWE-GAYAZA'!C43,'25.07 KALERWE-GAYAZA'!C43,'26.07 KALERWE-GAYAZA-24h'!C43,'27.07 KALERWE-GAYAZA-24h'!C43,'28.07 KALERWE-GAYAZA'!C43)</f>
        <v>62.571428571428569</v>
      </c>
      <c r="D43" s="49">
        <f>AVERAGE('22.07 KALERWE-GAYAZA'!D43,'23.07 KALERWE-GAYAZA'!D43,'24.07 KALERWE-GAYAZA'!D43,'25.07 KALERWE-GAYAZA'!D43,'26.07 KALERWE-GAYAZA-24h'!D43,'27.07 KALERWE-GAYAZA-24h'!D43,'28.07 KALERWE-GAYAZA'!D43)</f>
        <v>20.285714285714285</v>
      </c>
      <c r="E43" s="49">
        <f>AVERAGE('22.07 KALERWE-GAYAZA'!E43,'23.07 KALERWE-GAYAZA'!E43,'24.07 KALERWE-GAYAZA'!E43,'25.07 KALERWE-GAYAZA'!E43,'26.07 KALERWE-GAYAZA-24h'!E43,'27.07 KALERWE-GAYAZA-24h'!E43,'28.07 KALERWE-GAYAZA'!E43)</f>
        <v>12.571428571428571</v>
      </c>
      <c r="F43" s="49">
        <f>AVERAGE('22.07 KALERWE-GAYAZA'!F43,'23.07 KALERWE-GAYAZA'!F43,'24.07 KALERWE-GAYAZA'!F43,'25.07 KALERWE-GAYAZA'!F43,'26.07 KALERWE-GAYAZA-24h'!F43,'27.07 KALERWE-GAYAZA-24h'!F43,'28.07 KALERWE-GAYAZA'!F43)</f>
        <v>36.428571428571431</v>
      </c>
      <c r="G43" s="49">
        <f>AVERAGE('22.07 KALERWE-GAYAZA'!G43,'23.07 KALERWE-GAYAZA'!G43,'24.07 KALERWE-GAYAZA'!G43,'25.07 KALERWE-GAYAZA'!G43,'26.07 KALERWE-GAYAZA-24h'!G43,'27.07 KALERWE-GAYAZA-24h'!G43,'28.07 KALERWE-GAYAZA'!G43)</f>
        <v>0.14285714285714285</v>
      </c>
      <c r="H43" s="49">
        <f>AVERAGE('22.07 KALERWE-GAYAZA'!H43,'23.07 KALERWE-GAYAZA'!H43,'24.07 KALERWE-GAYAZA'!H43,'25.07 KALERWE-GAYAZA'!H43,'26.07 KALERWE-GAYAZA-24h'!H43,'27.07 KALERWE-GAYAZA-24h'!H43,'28.07 KALERWE-GAYAZA'!H43)</f>
        <v>0.42857142857142855</v>
      </c>
      <c r="I43" s="49">
        <f>AVERAGE('22.07 KALERWE-GAYAZA'!I43,'23.07 KALERWE-GAYAZA'!I43,'24.07 KALERWE-GAYAZA'!I43,'25.07 KALERWE-GAYAZA'!I43,'26.07 KALERWE-GAYAZA-24h'!I43,'27.07 KALERWE-GAYAZA-24h'!I43,'28.07 KALERWE-GAYAZA'!I43)</f>
        <v>11</v>
      </c>
      <c r="J43" s="49">
        <f>AVERAGE('22.07 KALERWE-GAYAZA'!J43,'23.07 KALERWE-GAYAZA'!J43,'24.07 KALERWE-GAYAZA'!J43,'25.07 KALERWE-GAYAZA'!J43,'26.07 KALERWE-GAYAZA-24h'!J43,'27.07 KALERWE-GAYAZA-24h'!J43,'28.07 KALERWE-GAYAZA'!J43)</f>
        <v>5.2857142857142856</v>
      </c>
      <c r="K43" s="49">
        <f>AVERAGE('22.07 KALERWE-GAYAZA'!K43,'23.07 KALERWE-GAYAZA'!K43,'24.07 KALERWE-GAYAZA'!K43,'25.07 KALERWE-GAYAZA'!K43,'26.07 KALERWE-GAYAZA-24h'!K43,'27.07 KALERWE-GAYAZA-24h'!K43,'28.07 KALERWE-GAYAZA'!K43)</f>
        <v>1</v>
      </c>
      <c r="L43" s="49">
        <f>AVERAGE('22.07 KALERWE-GAYAZA'!L43,'23.07 KALERWE-GAYAZA'!L43,'24.07 KALERWE-GAYAZA'!L43,'25.07 KALERWE-GAYAZA'!L43,'26.07 KALERWE-GAYAZA-24h'!L43,'27.07 KALERWE-GAYAZA-24h'!L43,'28.07 KALERWE-GAYAZA'!L43)</f>
        <v>0.7142857142857143</v>
      </c>
      <c r="M43" s="49">
        <f>AVERAGE('22.07 KALERWE-GAYAZA'!M43,'23.07 KALERWE-GAYAZA'!M43,'24.07 KALERWE-GAYAZA'!M43,'25.07 KALERWE-GAYAZA'!M43,'26.07 KALERWE-GAYAZA-24h'!M43,'27.07 KALERWE-GAYAZA-24h'!M43,'28.07 KALERWE-GAYAZA'!M43)</f>
        <v>205.14285714285714</v>
      </c>
      <c r="N43" s="49">
        <f>AVERAGE('22.07 KALERWE-GAYAZA'!N43,'23.07 KALERWE-GAYAZA'!N43,'24.07 KALERWE-GAYAZA'!N43,'25.07 KALERWE-GAYAZA'!N43,'26.07 KALERWE-GAYAZA-24h'!N43,'27.07 KALERWE-GAYAZA-24h'!N43,'28.07 KALERWE-GAYAZA'!N43)</f>
        <v>0</v>
      </c>
      <c r="O43" s="15">
        <f t="shared" si="0"/>
        <v>150.42857142857142</v>
      </c>
      <c r="P43" s="15">
        <f t="shared" si="1"/>
        <v>355.57142857142856</v>
      </c>
    </row>
    <row r="44" spans="2:32" ht="23.1" customHeight="1" x14ac:dyDescent="0.25">
      <c r="B44" s="25" t="s">
        <v>71</v>
      </c>
      <c r="C44" s="49">
        <f>AVERAGE('22.07 KALERWE-GAYAZA'!C44,'23.07 KALERWE-GAYAZA'!C44,'24.07 KALERWE-GAYAZA'!C44,'25.07 KALERWE-GAYAZA'!C44,'26.07 KALERWE-GAYAZA-24h'!C44,'27.07 KALERWE-GAYAZA-24h'!C44,'28.07 KALERWE-GAYAZA'!C44)</f>
        <v>55</v>
      </c>
      <c r="D44" s="49">
        <f>AVERAGE('22.07 KALERWE-GAYAZA'!D44,'23.07 KALERWE-GAYAZA'!D44,'24.07 KALERWE-GAYAZA'!D44,'25.07 KALERWE-GAYAZA'!D44,'26.07 KALERWE-GAYAZA-24h'!D44,'27.07 KALERWE-GAYAZA-24h'!D44,'28.07 KALERWE-GAYAZA'!D44)</f>
        <v>15.571428571428571</v>
      </c>
      <c r="E44" s="49">
        <f>AVERAGE('22.07 KALERWE-GAYAZA'!E44,'23.07 KALERWE-GAYAZA'!E44,'24.07 KALERWE-GAYAZA'!E44,'25.07 KALERWE-GAYAZA'!E44,'26.07 KALERWE-GAYAZA-24h'!E44,'27.07 KALERWE-GAYAZA-24h'!E44,'28.07 KALERWE-GAYAZA'!E44)</f>
        <v>11.285714285714286</v>
      </c>
      <c r="F44" s="49">
        <f>AVERAGE('22.07 KALERWE-GAYAZA'!F44,'23.07 KALERWE-GAYAZA'!F44,'24.07 KALERWE-GAYAZA'!F44,'25.07 KALERWE-GAYAZA'!F44,'26.07 KALERWE-GAYAZA-24h'!F44,'27.07 KALERWE-GAYAZA-24h'!F44,'28.07 KALERWE-GAYAZA'!F44)</f>
        <v>47.428571428571431</v>
      </c>
      <c r="G44" s="49">
        <f>AVERAGE('22.07 KALERWE-GAYAZA'!G44,'23.07 KALERWE-GAYAZA'!G44,'24.07 KALERWE-GAYAZA'!G44,'25.07 KALERWE-GAYAZA'!G44,'26.07 KALERWE-GAYAZA-24h'!G44,'27.07 KALERWE-GAYAZA-24h'!G44,'28.07 KALERWE-GAYAZA'!G44)</f>
        <v>0.2857142857142857</v>
      </c>
      <c r="H44" s="49">
        <f>AVERAGE('22.07 KALERWE-GAYAZA'!H44,'23.07 KALERWE-GAYAZA'!H44,'24.07 KALERWE-GAYAZA'!H44,'25.07 KALERWE-GAYAZA'!H44,'26.07 KALERWE-GAYAZA-24h'!H44,'27.07 KALERWE-GAYAZA-24h'!H44,'28.07 KALERWE-GAYAZA'!H44)</f>
        <v>1.1428571428571428</v>
      </c>
      <c r="I44" s="49">
        <f>AVERAGE('22.07 KALERWE-GAYAZA'!I44,'23.07 KALERWE-GAYAZA'!I44,'24.07 KALERWE-GAYAZA'!I44,'25.07 KALERWE-GAYAZA'!I44,'26.07 KALERWE-GAYAZA-24h'!I44,'27.07 KALERWE-GAYAZA-24h'!I44,'28.07 KALERWE-GAYAZA'!I44)</f>
        <v>8.1428571428571423</v>
      </c>
      <c r="J44" s="49">
        <f>AVERAGE('22.07 KALERWE-GAYAZA'!J44,'23.07 KALERWE-GAYAZA'!J44,'24.07 KALERWE-GAYAZA'!J44,'25.07 KALERWE-GAYAZA'!J44,'26.07 KALERWE-GAYAZA-24h'!J44,'27.07 KALERWE-GAYAZA-24h'!J44,'28.07 KALERWE-GAYAZA'!J44)</f>
        <v>5.5714285714285712</v>
      </c>
      <c r="K44" s="49">
        <f>AVERAGE('22.07 KALERWE-GAYAZA'!K44,'23.07 KALERWE-GAYAZA'!K44,'24.07 KALERWE-GAYAZA'!K44,'25.07 KALERWE-GAYAZA'!K44,'26.07 KALERWE-GAYAZA-24h'!K44,'27.07 KALERWE-GAYAZA-24h'!K44,'28.07 KALERWE-GAYAZA'!K44)</f>
        <v>0.8571428571428571</v>
      </c>
      <c r="L44" s="49">
        <f>AVERAGE('22.07 KALERWE-GAYAZA'!L44,'23.07 KALERWE-GAYAZA'!L44,'24.07 KALERWE-GAYAZA'!L44,'25.07 KALERWE-GAYAZA'!L44,'26.07 KALERWE-GAYAZA-24h'!L44,'27.07 KALERWE-GAYAZA-24h'!L44,'28.07 KALERWE-GAYAZA'!L44)</f>
        <v>1.8571428571428572</v>
      </c>
      <c r="M44" s="49">
        <f>AVERAGE('22.07 KALERWE-GAYAZA'!M44,'23.07 KALERWE-GAYAZA'!M44,'24.07 KALERWE-GAYAZA'!M44,'25.07 KALERWE-GAYAZA'!M44,'26.07 KALERWE-GAYAZA-24h'!M44,'27.07 KALERWE-GAYAZA-24h'!M44,'28.07 KALERWE-GAYAZA'!M44)</f>
        <v>248.71428571428572</v>
      </c>
      <c r="N44" s="49">
        <f>AVERAGE('22.07 KALERWE-GAYAZA'!N44,'23.07 KALERWE-GAYAZA'!N44,'24.07 KALERWE-GAYAZA'!N44,'25.07 KALERWE-GAYAZA'!N44,'26.07 KALERWE-GAYAZA-24h'!N44,'27.07 KALERWE-GAYAZA-24h'!N44,'28.07 KALERWE-GAYAZA'!N44)</f>
        <v>0</v>
      </c>
      <c r="O44" s="15">
        <f t="shared" si="0"/>
        <v>147.14285714285714</v>
      </c>
      <c r="P44" s="15">
        <f t="shared" si="1"/>
        <v>395.85714285714289</v>
      </c>
    </row>
    <row r="45" spans="2:32" ht="23.1" customHeight="1" x14ac:dyDescent="0.25">
      <c r="B45" s="23" t="s">
        <v>72</v>
      </c>
      <c r="C45" s="49">
        <f>AVERAGE('22.07 KALERWE-GAYAZA'!C45,'23.07 KALERWE-GAYAZA'!C45,'24.07 KALERWE-GAYAZA'!C45,'25.07 KALERWE-GAYAZA'!C45,'26.07 KALERWE-GAYAZA-24h'!C45,'27.07 KALERWE-GAYAZA-24h'!C45,'28.07 KALERWE-GAYAZA'!C45)</f>
        <v>56.285714285714285</v>
      </c>
      <c r="D45" s="49">
        <f>AVERAGE('22.07 KALERWE-GAYAZA'!D45,'23.07 KALERWE-GAYAZA'!D45,'24.07 KALERWE-GAYAZA'!D45,'25.07 KALERWE-GAYAZA'!D45,'26.07 KALERWE-GAYAZA-24h'!D45,'27.07 KALERWE-GAYAZA-24h'!D45,'28.07 KALERWE-GAYAZA'!D45)</f>
        <v>14.857142857142858</v>
      </c>
      <c r="E45" s="49">
        <f>AVERAGE('22.07 KALERWE-GAYAZA'!E45,'23.07 KALERWE-GAYAZA'!E45,'24.07 KALERWE-GAYAZA'!E45,'25.07 KALERWE-GAYAZA'!E45,'26.07 KALERWE-GAYAZA-24h'!E45,'27.07 KALERWE-GAYAZA-24h'!E45,'28.07 KALERWE-GAYAZA'!E45)</f>
        <v>11.714285714285714</v>
      </c>
      <c r="F45" s="49">
        <f>AVERAGE('22.07 KALERWE-GAYAZA'!F45,'23.07 KALERWE-GAYAZA'!F45,'24.07 KALERWE-GAYAZA'!F45,'25.07 KALERWE-GAYAZA'!F45,'26.07 KALERWE-GAYAZA-24h'!F45,'27.07 KALERWE-GAYAZA-24h'!F45,'28.07 KALERWE-GAYAZA'!F45)</f>
        <v>48.857142857142854</v>
      </c>
      <c r="G45" s="49">
        <f>AVERAGE('22.07 KALERWE-GAYAZA'!G45,'23.07 KALERWE-GAYAZA'!G45,'24.07 KALERWE-GAYAZA'!G45,'25.07 KALERWE-GAYAZA'!G45,'26.07 KALERWE-GAYAZA-24h'!G45,'27.07 KALERWE-GAYAZA-24h'!G45,'28.07 KALERWE-GAYAZA'!G45)</f>
        <v>0.2857142857142857</v>
      </c>
      <c r="H45" s="49">
        <f>AVERAGE('22.07 KALERWE-GAYAZA'!H45,'23.07 KALERWE-GAYAZA'!H45,'24.07 KALERWE-GAYAZA'!H45,'25.07 KALERWE-GAYAZA'!H45,'26.07 KALERWE-GAYAZA-24h'!H45,'27.07 KALERWE-GAYAZA-24h'!H45,'28.07 KALERWE-GAYAZA'!H45)</f>
        <v>0.8571428571428571</v>
      </c>
      <c r="I45" s="49">
        <f>AVERAGE('22.07 KALERWE-GAYAZA'!I45,'23.07 KALERWE-GAYAZA'!I45,'24.07 KALERWE-GAYAZA'!I45,'25.07 KALERWE-GAYAZA'!I45,'26.07 KALERWE-GAYAZA-24h'!I45,'27.07 KALERWE-GAYAZA-24h'!I45,'28.07 KALERWE-GAYAZA'!I45)</f>
        <v>7.8571428571428568</v>
      </c>
      <c r="J45" s="49">
        <f>AVERAGE('22.07 KALERWE-GAYAZA'!J45,'23.07 KALERWE-GAYAZA'!J45,'24.07 KALERWE-GAYAZA'!J45,'25.07 KALERWE-GAYAZA'!J45,'26.07 KALERWE-GAYAZA-24h'!J45,'27.07 KALERWE-GAYAZA-24h'!J45,'28.07 KALERWE-GAYAZA'!J45)</f>
        <v>1.4285714285714286</v>
      </c>
      <c r="K45" s="49">
        <f>AVERAGE('22.07 KALERWE-GAYAZA'!K45,'23.07 KALERWE-GAYAZA'!K45,'24.07 KALERWE-GAYAZA'!K45,'25.07 KALERWE-GAYAZA'!K45,'26.07 KALERWE-GAYAZA-24h'!K45,'27.07 KALERWE-GAYAZA-24h'!K45,'28.07 KALERWE-GAYAZA'!K45)</f>
        <v>1</v>
      </c>
      <c r="L45" s="49">
        <f>AVERAGE('22.07 KALERWE-GAYAZA'!L45,'23.07 KALERWE-GAYAZA'!L45,'24.07 KALERWE-GAYAZA'!L45,'25.07 KALERWE-GAYAZA'!L45,'26.07 KALERWE-GAYAZA-24h'!L45,'27.07 KALERWE-GAYAZA-24h'!L45,'28.07 KALERWE-GAYAZA'!L45)</f>
        <v>1.4285714285714286</v>
      </c>
      <c r="M45" s="49">
        <f>AVERAGE('22.07 KALERWE-GAYAZA'!M45,'23.07 KALERWE-GAYAZA'!M45,'24.07 KALERWE-GAYAZA'!M45,'25.07 KALERWE-GAYAZA'!M45,'26.07 KALERWE-GAYAZA-24h'!M45,'27.07 KALERWE-GAYAZA-24h'!M45,'28.07 KALERWE-GAYAZA'!M45)</f>
        <v>228.57142857142858</v>
      </c>
      <c r="N45" s="49">
        <f>AVERAGE('22.07 KALERWE-GAYAZA'!N45,'23.07 KALERWE-GAYAZA'!N45,'24.07 KALERWE-GAYAZA'!N45,'25.07 KALERWE-GAYAZA'!N45,'26.07 KALERWE-GAYAZA-24h'!N45,'27.07 KALERWE-GAYAZA-24h'!N45,'28.07 KALERWE-GAYAZA'!N45)</f>
        <v>0</v>
      </c>
      <c r="O45" s="15">
        <f t="shared" si="0"/>
        <v>144.57142857142853</v>
      </c>
      <c r="P45" s="15">
        <f t="shared" si="1"/>
        <v>373.14285714285711</v>
      </c>
    </row>
    <row r="46" spans="2:32" ht="23.1" customHeight="1" x14ac:dyDescent="0.25">
      <c r="B46" s="24" t="s">
        <v>73</v>
      </c>
      <c r="C46" s="49">
        <f>AVERAGE('22.07 KALERWE-GAYAZA'!C46,'23.07 KALERWE-GAYAZA'!C46,'24.07 KALERWE-GAYAZA'!C46,'25.07 KALERWE-GAYAZA'!C46,'26.07 KALERWE-GAYAZA-24h'!C46,'27.07 KALERWE-GAYAZA-24h'!C46,'28.07 KALERWE-GAYAZA'!C46)</f>
        <v>66.714285714285708</v>
      </c>
      <c r="D46" s="49">
        <f>AVERAGE('22.07 KALERWE-GAYAZA'!D46,'23.07 KALERWE-GAYAZA'!D46,'24.07 KALERWE-GAYAZA'!D46,'25.07 KALERWE-GAYAZA'!D46,'26.07 KALERWE-GAYAZA-24h'!D46,'27.07 KALERWE-GAYAZA-24h'!D46,'28.07 KALERWE-GAYAZA'!D46)</f>
        <v>21.428571428571427</v>
      </c>
      <c r="E46" s="49">
        <f>AVERAGE('22.07 KALERWE-GAYAZA'!E46,'23.07 KALERWE-GAYAZA'!E46,'24.07 KALERWE-GAYAZA'!E46,'25.07 KALERWE-GAYAZA'!E46,'26.07 KALERWE-GAYAZA-24h'!E46,'27.07 KALERWE-GAYAZA-24h'!E46,'28.07 KALERWE-GAYAZA'!E46)</f>
        <v>12.714285714285714</v>
      </c>
      <c r="F46" s="49">
        <f>AVERAGE('22.07 KALERWE-GAYAZA'!F46,'23.07 KALERWE-GAYAZA'!F46,'24.07 KALERWE-GAYAZA'!F46,'25.07 KALERWE-GAYAZA'!F46,'26.07 KALERWE-GAYAZA-24h'!F46,'27.07 KALERWE-GAYAZA-24h'!F46,'28.07 KALERWE-GAYAZA'!F46)</f>
        <v>50.285714285714285</v>
      </c>
      <c r="G46" s="49">
        <f>AVERAGE('22.07 KALERWE-GAYAZA'!G46,'23.07 KALERWE-GAYAZA'!G46,'24.07 KALERWE-GAYAZA'!G46,'25.07 KALERWE-GAYAZA'!G46,'26.07 KALERWE-GAYAZA-24h'!G46,'27.07 KALERWE-GAYAZA-24h'!G46,'28.07 KALERWE-GAYAZA'!G46)</f>
        <v>0.42857142857142855</v>
      </c>
      <c r="H46" s="49">
        <f>AVERAGE('22.07 KALERWE-GAYAZA'!H46,'23.07 KALERWE-GAYAZA'!H46,'24.07 KALERWE-GAYAZA'!H46,'25.07 KALERWE-GAYAZA'!H46,'26.07 KALERWE-GAYAZA-24h'!H46,'27.07 KALERWE-GAYAZA-24h'!H46,'28.07 KALERWE-GAYAZA'!H46)</f>
        <v>1.1428571428571428</v>
      </c>
      <c r="I46" s="49">
        <f>AVERAGE('22.07 KALERWE-GAYAZA'!I46,'23.07 KALERWE-GAYAZA'!I46,'24.07 KALERWE-GAYAZA'!I46,'25.07 KALERWE-GAYAZA'!I46,'26.07 KALERWE-GAYAZA-24h'!I46,'27.07 KALERWE-GAYAZA-24h'!I46,'28.07 KALERWE-GAYAZA'!I46)</f>
        <v>10.714285714285714</v>
      </c>
      <c r="J46" s="49">
        <f>AVERAGE('22.07 KALERWE-GAYAZA'!J46,'23.07 KALERWE-GAYAZA'!J46,'24.07 KALERWE-GAYAZA'!J46,'25.07 KALERWE-GAYAZA'!J46,'26.07 KALERWE-GAYAZA-24h'!J46,'27.07 KALERWE-GAYAZA-24h'!J46,'28.07 KALERWE-GAYAZA'!J46)</f>
        <v>2.2857142857142856</v>
      </c>
      <c r="K46" s="49">
        <f>AVERAGE('22.07 KALERWE-GAYAZA'!K46,'23.07 KALERWE-GAYAZA'!K46,'24.07 KALERWE-GAYAZA'!K46,'25.07 KALERWE-GAYAZA'!K46,'26.07 KALERWE-GAYAZA-24h'!K46,'27.07 KALERWE-GAYAZA-24h'!K46,'28.07 KALERWE-GAYAZA'!K46)</f>
        <v>1</v>
      </c>
      <c r="L46" s="49">
        <f>AVERAGE('22.07 KALERWE-GAYAZA'!L46,'23.07 KALERWE-GAYAZA'!L46,'24.07 KALERWE-GAYAZA'!L46,'25.07 KALERWE-GAYAZA'!L46,'26.07 KALERWE-GAYAZA-24h'!L46,'27.07 KALERWE-GAYAZA-24h'!L46,'28.07 KALERWE-GAYAZA'!L46)</f>
        <v>0.5714285714285714</v>
      </c>
      <c r="M46" s="49">
        <f>AVERAGE('22.07 KALERWE-GAYAZA'!M46,'23.07 KALERWE-GAYAZA'!M46,'24.07 KALERWE-GAYAZA'!M46,'25.07 KALERWE-GAYAZA'!M46,'26.07 KALERWE-GAYAZA-24h'!M46,'27.07 KALERWE-GAYAZA-24h'!M46,'28.07 KALERWE-GAYAZA'!M46)</f>
        <v>279</v>
      </c>
      <c r="N46" s="49">
        <f>AVERAGE('22.07 KALERWE-GAYAZA'!N46,'23.07 KALERWE-GAYAZA'!N46,'24.07 KALERWE-GAYAZA'!N46,'25.07 KALERWE-GAYAZA'!N46,'26.07 KALERWE-GAYAZA-24h'!N46,'27.07 KALERWE-GAYAZA-24h'!N46,'28.07 KALERWE-GAYAZA'!N46)</f>
        <v>0</v>
      </c>
      <c r="O46" s="15">
        <f t="shared" si="0"/>
        <v>167.28571428571428</v>
      </c>
      <c r="P46" s="15">
        <f t="shared" si="1"/>
        <v>446.28571428571428</v>
      </c>
    </row>
    <row r="47" spans="2:32" ht="23.1" customHeight="1" x14ac:dyDescent="0.25">
      <c r="B47" s="24" t="s">
        <v>74</v>
      </c>
      <c r="C47" s="49">
        <f>AVERAGE('22.07 KALERWE-GAYAZA'!C47,'23.07 KALERWE-GAYAZA'!C47,'24.07 KALERWE-GAYAZA'!C47,'25.07 KALERWE-GAYAZA'!C47,'26.07 KALERWE-GAYAZA-24h'!C47,'27.07 KALERWE-GAYAZA-24h'!C47,'28.07 KALERWE-GAYAZA'!C47)</f>
        <v>61.714285714285715</v>
      </c>
      <c r="D47" s="49">
        <f>AVERAGE('22.07 KALERWE-GAYAZA'!D47,'23.07 KALERWE-GAYAZA'!D47,'24.07 KALERWE-GAYAZA'!D47,'25.07 KALERWE-GAYAZA'!D47,'26.07 KALERWE-GAYAZA-24h'!D47,'27.07 KALERWE-GAYAZA-24h'!D47,'28.07 KALERWE-GAYAZA'!D47)</f>
        <v>16.571428571428573</v>
      </c>
      <c r="E47" s="49">
        <f>AVERAGE('22.07 KALERWE-GAYAZA'!E47,'23.07 KALERWE-GAYAZA'!E47,'24.07 KALERWE-GAYAZA'!E47,'25.07 KALERWE-GAYAZA'!E47,'26.07 KALERWE-GAYAZA-24h'!E47,'27.07 KALERWE-GAYAZA-24h'!E47,'28.07 KALERWE-GAYAZA'!E47)</f>
        <v>14</v>
      </c>
      <c r="F47" s="49">
        <f>AVERAGE('22.07 KALERWE-GAYAZA'!F47,'23.07 KALERWE-GAYAZA'!F47,'24.07 KALERWE-GAYAZA'!F47,'25.07 KALERWE-GAYAZA'!F47,'26.07 KALERWE-GAYAZA-24h'!F47,'27.07 KALERWE-GAYAZA-24h'!F47,'28.07 KALERWE-GAYAZA'!F47)</f>
        <v>50.428571428571431</v>
      </c>
      <c r="G47" s="49">
        <f>AVERAGE('22.07 KALERWE-GAYAZA'!G47,'23.07 KALERWE-GAYAZA'!G47,'24.07 KALERWE-GAYAZA'!G47,'25.07 KALERWE-GAYAZA'!G47,'26.07 KALERWE-GAYAZA-24h'!G47,'27.07 KALERWE-GAYAZA-24h'!G47,'28.07 KALERWE-GAYAZA'!G47)</f>
        <v>1.1428571428571428</v>
      </c>
      <c r="H47" s="49">
        <f>AVERAGE('22.07 KALERWE-GAYAZA'!H47,'23.07 KALERWE-GAYAZA'!H47,'24.07 KALERWE-GAYAZA'!H47,'25.07 KALERWE-GAYAZA'!H47,'26.07 KALERWE-GAYAZA-24h'!H47,'27.07 KALERWE-GAYAZA-24h'!H47,'28.07 KALERWE-GAYAZA'!H47)</f>
        <v>1.7142857142857142</v>
      </c>
      <c r="I47" s="49">
        <f>AVERAGE('22.07 KALERWE-GAYAZA'!I47,'23.07 KALERWE-GAYAZA'!I47,'24.07 KALERWE-GAYAZA'!I47,'25.07 KALERWE-GAYAZA'!I47,'26.07 KALERWE-GAYAZA-24h'!I47,'27.07 KALERWE-GAYAZA-24h'!I47,'28.07 KALERWE-GAYAZA'!I47)</f>
        <v>8.5714285714285712</v>
      </c>
      <c r="J47" s="49">
        <f>AVERAGE('22.07 KALERWE-GAYAZA'!J47,'23.07 KALERWE-GAYAZA'!J47,'24.07 KALERWE-GAYAZA'!J47,'25.07 KALERWE-GAYAZA'!J47,'26.07 KALERWE-GAYAZA-24h'!J47,'27.07 KALERWE-GAYAZA-24h'!J47,'28.07 KALERWE-GAYAZA'!J47)</f>
        <v>3.1428571428571428</v>
      </c>
      <c r="K47" s="49">
        <f>AVERAGE('22.07 KALERWE-GAYAZA'!K47,'23.07 KALERWE-GAYAZA'!K47,'24.07 KALERWE-GAYAZA'!K47,'25.07 KALERWE-GAYAZA'!K47,'26.07 KALERWE-GAYAZA-24h'!K47,'27.07 KALERWE-GAYAZA-24h'!K47,'28.07 KALERWE-GAYAZA'!K47)</f>
        <v>2.1428571428571428</v>
      </c>
      <c r="L47" s="49">
        <f>AVERAGE('22.07 KALERWE-GAYAZA'!L47,'23.07 KALERWE-GAYAZA'!L47,'24.07 KALERWE-GAYAZA'!L47,'25.07 KALERWE-GAYAZA'!L47,'26.07 KALERWE-GAYAZA-24h'!L47,'27.07 KALERWE-GAYAZA-24h'!L47,'28.07 KALERWE-GAYAZA'!L47)</f>
        <v>1.4285714285714286</v>
      </c>
      <c r="M47" s="49">
        <f>AVERAGE('22.07 KALERWE-GAYAZA'!M47,'23.07 KALERWE-GAYAZA'!M47,'24.07 KALERWE-GAYAZA'!M47,'25.07 KALERWE-GAYAZA'!M47,'26.07 KALERWE-GAYAZA-24h'!M47,'27.07 KALERWE-GAYAZA-24h'!M47,'28.07 KALERWE-GAYAZA'!M47)</f>
        <v>262.57142857142856</v>
      </c>
      <c r="N47" s="49">
        <f>AVERAGE('22.07 KALERWE-GAYAZA'!N47,'23.07 KALERWE-GAYAZA'!N47,'24.07 KALERWE-GAYAZA'!N47,'25.07 KALERWE-GAYAZA'!N47,'26.07 KALERWE-GAYAZA-24h'!N47,'27.07 KALERWE-GAYAZA-24h'!N47,'28.07 KALERWE-GAYAZA'!N47)</f>
        <v>0</v>
      </c>
      <c r="O47" s="15">
        <f t="shared" si="0"/>
        <v>160.85714285714286</v>
      </c>
      <c r="P47" s="15">
        <f t="shared" si="1"/>
        <v>423.42857142857144</v>
      </c>
      <c r="R47" s="8"/>
      <c r="T47"/>
    </row>
    <row r="48" spans="2:32" ht="23.1" customHeight="1" x14ac:dyDescent="0.25">
      <c r="B48" s="24" t="s">
        <v>75</v>
      </c>
      <c r="C48" s="49">
        <f>AVERAGE('22.07 KALERWE-GAYAZA'!C48,'23.07 KALERWE-GAYAZA'!C48,'24.07 KALERWE-GAYAZA'!C48,'25.07 KALERWE-GAYAZA'!C48,'26.07 KALERWE-GAYAZA-24h'!C48,'27.07 KALERWE-GAYAZA-24h'!C48,'28.07 KALERWE-GAYAZA'!C48)</f>
        <v>89</v>
      </c>
      <c r="D48" s="49">
        <f>AVERAGE('22.07 KALERWE-GAYAZA'!D48,'23.07 KALERWE-GAYAZA'!D48,'24.07 KALERWE-GAYAZA'!D48,'25.07 KALERWE-GAYAZA'!D48,'26.07 KALERWE-GAYAZA-24h'!D48,'27.07 KALERWE-GAYAZA-24h'!D48,'28.07 KALERWE-GAYAZA'!D48)</f>
        <v>28.285714285714285</v>
      </c>
      <c r="E48" s="49">
        <f>AVERAGE('22.07 KALERWE-GAYAZA'!E48,'23.07 KALERWE-GAYAZA'!E48,'24.07 KALERWE-GAYAZA'!E48,'25.07 KALERWE-GAYAZA'!E48,'26.07 KALERWE-GAYAZA-24h'!E48,'27.07 KALERWE-GAYAZA-24h'!E48,'28.07 KALERWE-GAYAZA'!E48)</f>
        <v>13.285714285714286</v>
      </c>
      <c r="F48" s="49">
        <f>AVERAGE('22.07 KALERWE-GAYAZA'!F48,'23.07 KALERWE-GAYAZA'!F48,'24.07 KALERWE-GAYAZA'!F48,'25.07 KALERWE-GAYAZA'!F48,'26.07 KALERWE-GAYAZA-24h'!F48,'27.07 KALERWE-GAYAZA-24h'!F48,'28.07 KALERWE-GAYAZA'!F48)</f>
        <v>65.285714285714292</v>
      </c>
      <c r="G48" s="49">
        <f>AVERAGE('22.07 KALERWE-GAYAZA'!G48,'23.07 KALERWE-GAYAZA'!G48,'24.07 KALERWE-GAYAZA'!G48,'25.07 KALERWE-GAYAZA'!G48,'26.07 KALERWE-GAYAZA-24h'!G48,'27.07 KALERWE-GAYAZA-24h'!G48,'28.07 KALERWE-GAYAZA'!G48)</f>
        <v>1.1428571428571428</v>
      </c>
      <c r="H48" s="49">
        <f>AVERAGE('22.07 KALERWE-GAYAZA'!H48,'23.07 KALERWE-GAYAZA'!H48,'24.07 KALERWE-GAYAZA'!H48,'25.07 KALERWE-GAYAZA'!H48,'26.07 KALERWE-GAYAZA-24h'!H48,'27.07 KALERWE-GAYAZA-24h'!H48,'28.07 KALERWE-GAYAZA'!H48)</f>
        <v>1.7142857142857142</v>
      </c>
      <c r="I48" s="49">
        <f>AVERAGE('22.07 KALERWE-GAYAZA'!I48,'23.07 KALERWE-GAYAZA'!I48,'24.07 KALERWE-GAYAZA'!I48,'25.07 KALERWE-GAYAZA'!I48,'26.07 KALERWE-GAYAZA-24h'!I48,'27.07 KALERWE-GAYAZA-24h'!I48,'28.07 KALERWE-GAYAZA'!I48)</f>
        <v>7.7142857142857144</v>
      </c>
      <c r="J48" s="49">
        <f>AVERAGE('22.07 KALERWE-GAYAZA'!J48,'23.07 KALERWE-GAYAZA'!J48,'24.07 KALERWE-GAYAZA'!J48,'25.07 KALERWE-GAYAZA'!J48,'26.07 KALERWE-GAYAZA-24h'!J48,'27.07 KALERWE-GAYAZA-24h'!J48,'28.07 KALERWE-GAYAZA'!J48)</f>
        <v>3.1428571428571428</v>
      </c>
      <c r="K48" s="49">
        <f>AVERAGE('22.07 KALERWE-GAYAZA'!K48,'23.07 KALERWE-GAYAZA'!K48,'24.07 KALERWE-GAYAZA'!K48,'25.07 KALERWE-GAYAZA'!K48,'26.07 KALERWE-GAYAZA-24h'!K48,'27.07 KALERWE-GAYAZA-24h'!K48,'28.07 KALERWE-GAYAZA'!K48)</f>
        <v>1.2857142857142858</v>
      </c>
      <c r="L48" s="49">
        <f>AVERAGE('22.07 KALERWE-GAYAZA'!L48,'23.07 KALERWE-GAYAZA'!L48,'24.07 KALERWE-GAYAZA'!L48,'25.07 KALERWE-GAYAZA'!L48,'26.07 KALERWE-GAYAZA-24h'!L48,'27.07 KALERWE-GAYAZA-24h'!L48,'28.07 KALERWE-GAYAZA'!L48)</f>
        <v>1.2857142857142858</v>
      </c>
      <c r="M48" s="49">
        <f>AVERAGE('22.07 KALERWE-GAYAZA'!M48,'23.07 KALERWE-GAYAZA'!M48,'24.07 KALERWE-GAYAZA'!M48,'25.07 KALERWE-GAYAZA'!M48,'26.07 KALERWE-GAYAZA-24h'!M48,'27.07 KALERWE-GAYAZA-24h'!M48,'28.07 KALERWE-GAYAZA'!M48)</f>
        <v>269.28571428571428</v>
      </c>
      <c r="N48" s="49">
        <f>AVERAGE('22.07 KALERWE-GAYAZA'!N48,'23.07 KALERWE-GAYAZA'!N48,'24.07 KALERWE-GAYAZA'!N48,'25.07 KALERWE-GAYAZA'!N48,'26.07 KALERWE-GAYAZA-24h'!N48,'27.07 KALERWE-GAYAZA-24h'!N48,'28.07 KALERWE-GAYAZA'!N48)</f>
        <v>0</v>
      </c>
      <c r="O48" s="15">
        <f t="shared" si="0"/>
        <v>212.14285714285711</v>
      </c>
      <c r="P48" s="15">
        <f t="shared" si="1"/>
        <v>481.42857142857139</v>
      </c>
      <c r="R48" s="8"/>
      <c r="T48"/>
    </row>
    <row r="49" spans="2:20" ht="23.1" customHeight="1" x14ac:dyDescent="0.25">
      <c r="B49" s="23" t="s">
        <v>76</v>
      </c>
      <c r="C49" s="49">
        <f>AVERAGE('22.07 KALERWE-GAYAZA'!C49,'23.07 KALERWE-GAYAZA'!C49,'24.07 KALERWE-GAYAZA'!C49,'25.07 KALERWE-GAYAZA'!C49,'26.07 KALERWE-GAYAZA-24h'!C49,'27.07 KALERWE-GAYAZA-24h'!C49,'28.07 KALERWE-GAYAZA'!C49)</f>
        <v>75.857142857142861</v>
      </c>
      <c r="D49" s="49">
        <f>AVERAGE('22.07 KALERWE-GAYAZA'!D49,'23.07 KALERWE-GAYAZA'!D49,'24.07 KALERWE-GAYAZA'!D49,'25.07 KALERWE-GAYAZA'!D49,'26.07 KALERWE-GAYAZA-24h'!D49,'27.07 KALERWE-GAYAZA-24h'!D49,'28.07 KALERWE-GAYAZA'!D49)</f>
        <v>23.142857142857142</v>
      </c>
      <c r="E49" s="49">
        <f>AVERAGE('22.07 KALERWE-GAYAZA'!E49,'23.07 KALERWE-GAYAZA'!E49,'24.07 KALERWE-GAYAZA'!E49,'25.07 KALERWE-GAYAZA'!E49,'26.07 KALERWE-GAYAZA-24h'!E49,'27.07 KALERWE-GAYAZA-24h'!E49,'28.07 KALERWE-GAYAZA'!E49)</f>
        <v>12.571428571428571</v>
      </c>
      <c r="F49" s="49">
        <f>AVERAGE('22.07 KALERWE-GAYAZA'!F49,'23.07 KALERWE-GAYAZA'!F49,'24.07 KALERWE-GAYAZA'!F49,'25.07 KALERWE-GAYAZA'!F49,'26.07 KALERWE-GAYAZA-24h'!F49,'27.07 KALERWE-GAYAZA-24h'!F49,'28.07 KALERWE-GAYAZA'!F49)</f>
        <v>64</v>
      </c>
      <c r="G49" s="49">
        <f>AVERAGE('22.07 KALERWE-GAYAZA'!G49,'23.07 KALERWE-GAYAZA'!G49,'24.07 KALERWE-GAYAZA'!G49,'25.07 KALERWE-GAYAZA'!G49,'26.07 KALERWE-GAYAZA-24h'!G49,'27.07 KALERWE-GAYAZA-24h'!G49,'28.07 KALERWE-GAYAZA'!G49)</f>
        <v>0.7142857142857143</v>
      </c>
      <c r="H49" s="49">
        <f>AVERAGE('22.07 KALERWE-GAYAZA'!H49,'23.07 KALERWE-GAYAZA'!H49,'24.07 KALERWE-GAYAZA'!H49,'25.07 KALERWE-GAYAZA'!H49,'26.07 KALERWE-GAYAZA-24h'!H49,'27.07 KALERWE-GAYAZA-24h'!H49,'28.07 KALERWE-GAYAZA'!H49)</f>
        <v>1.4285714285714286</v>
      </c>
      <c r="I49" s="49">
        <f>AVERAGE('22.07 KALERWE-GAYAZA'!I49,'23.07 KALERWE-GAYAZA'!I49,'24.07 KALERWE-GAYAZA'!I49,'25.07 KALERWE-GAYAZA'!I49,'26.07 KALERWE-GAYAZA-24h'!I49,'27.07 KALERWE-GAYAZA-24h'!I49,'28.07 KALERWE-GAYAZA'!I49)</f>
        <v>7.4285714285714288</v>
      </c>
      <c r="J49" s="49">
        <f>AVERAGE('22.07 KALERWE-GAYAZA'!J49,'23.07 KALERWE-GAYAZA'!J49,'24.07 KALERWE-GAYAZA'!J49,'25.07 KALERWE-GAYAZA'!J49,'26.07 KALERWE-GAYAZA-24h'!J49,'27.07 KALERWE-GAYAZA-24h'!J49,'28.07 KALERWE-GAYAZA'!J49)</f>
        <v>3.1428571428571428</v>
      </c>
      <c r="K49" s="49">
        <f>AVERAGE('22.07 KALERWE-GAYAZA'!K49,'23.07 KALERWE-GAYAZA'!K49,'24.07 KALERWE-GAYAZA'!K49,'25.07 KALERWE-GAYAZA'!K49,'26.07 KALERWE-GAYAZA-24h'!K49,'27.07 KALERWE-GAYAZA-24h'!K49,'28.07 KALERWE-GAYAZA'!K49)</f>
        <v>0.5714285714285714</v>
      </c>
      <c r="L49" s="49">
        <f>AVERAGE('22.07 KALERWE-GAYAZA'!L49,'23.07 KALERWE-GAYAZA'!L49,'24.07 KALERWE-GAYAZA'!L49,'25.07 KALERWE-GAYAZA'!L49,'26.07 KALERWE-GAYAZA-24h'!L49,'27.07 KALERWE-GAYAZA-24h'!L49,'28.07 KALERWE-GAYAZA'!L49)</f>
        <v>0.42857142857142855</v>
      </c>
      <c r="M49" s="49">
        <f>AVERAGE('22.07 KALERWE-GAYAZA'!M49,'23.07 KALERWE-GAYAZA'!M49,'24.07 KALERWE-GAYAZA'!M49,'25.07 KALERWE-GAYAZA'!M49,'26.07 KALERWE-GAYAZA-24h'!M49,'27.07 KALERWE-GAYAZA-24h'!M49,'28.07 KALERWE-GAYAZA'!M49)</f>
        <v>249.71428571428572</v>
      </c>
      <c r="N49" s="49">
        <f>AVERAGE('22.07 KALERWE-GAYAZA'!N49,'23.07 KALERWE-GAYAZA'!N49,'24.07 KALERWE-GAYAZA'!N49,'25.07 KALERWE-GAYAZA'!N49,'26.07 KALERWE-GAYAZA-24h'!N49,'27.07 KALERWE-GAYAZA-24h'!N49,'28.07 KALERWE-GAYAZA'!N49)</f>
        <v>0</v>
      </c>
      <c r="O49" s="15">
        <f t="shared" si="0"/>
        <v>189.28571428571425</v>
      </c>
      <c r="P49" s="15">
        <f t="shared" si="1"/>
        <v>439</v>
      </c>
      <c r="R49" s="8"/>
      <c r="T49"/>
    </row>
    <row r="50" spans="2:20" ht="23.1" customHeight="1" x14ac:dyDescent="0.25">
      <c r="B50" s="24" t="s">
        <v>77</v>
      </c>
      <c r="C50" s="49">
        <f>AVERAGE('22.07 KALERWE-GAYAZA'!C50,'23.07 KALERWE-GAYAZA'!C50,'24.07 KALERWE-GAYAZA'!C50,'25.07 KALERWE-GAYAZA'!C50,'26.07 KALERWE-GAYAZA-24h'!C50,'27.07 KALERWE-GAYAZA-24h'!C50,'28.07 KALERWE-GAYAZA'!C50)</f>
        <v>82</v>
      </c>
      <c r="D50" s="49">
        <f>AVERAGE('22.07 KALERWE-GAYAZA'!D50,'23.07 KALERWE-GAYAZA'!D50,'24.07 KALERWE-GAYAZA'!D50,'25.07 KALERWE-GAYAZA'!D50,'26.07 KALERWE-GAYAZA-24h'!D50,'27.07 KALERWE-GAYAZA-24h'!D50,'28.07 KALERWE-GAYAZA'!D50)</f>
        <v>28.571428571428573</v>
      </c>
      <c r="E50" s="49">
        <f>AVERAGE('22.07 KALERWE-GAYAZA'!E50,'23.07 KALERWE-GAYAZA'!E50,'24.07 KALERWE-GAYAZA'!E50,'25.07 KALERWE-GAYAZA'!E50,'26.07 KALERWE-GAYAZA-24h'!E50,'27.07 KALERWE-GAYAZA-24h'!E50,'28.07 KALERWE-GAYAZA'!E50)</f>
        <v>14.285714285714286</v>
      </c>
      <c r="F50" s="49">
        <f>AVERAGE('22.07 KALERWE-GAYAZA'!F50,'23.07 KALERWE-GAYAZA'!F50,'24.07 KALERWE-GAYAZA'!F50,'25.07 KALERWE-GAYAZA'!F50,'26.07 KALERWE-GAYAZA-24h'!F50,'27.07 KALERWE-GAYAZA-24h'!F50,'28.07 KALERWE-GAYAZA'!F50)</f>
        <v>68.428571428571431</v>
      </c>
      <c r="G50" s="49">
        <f>AVERAGE('22.07 KALERWE-GAYAZA'!G50,'23.07 KALERWE-GAYAZA'!G50,'24.07 KALERWE-GAYAZA'!G50,'25.07 KALERWE-GAYAZA'!G50,'26.07 KALERWE-GAYAZA-24h'!G50,'27.07 KALERWE-GAYAZA-24h'!G50,'28.07 KALERWE-GAYAZA'!G50)</f>
        <v>1.7142857142857142</v>
      </c>
      <c r="H50" s="49">
        <f>AVERAGE('22.07 KALERWE-GAYAZA'!H50,'23.07 KALERWE-GAYAZA'!H50,'24.07 KALERWE-GAYAZA'!H50,'25.07 KALERWE-GAYAZA'!H50,'26.07 KALERWE-GAYAZA-24h'!H50,'27.07 KALERWE-GAYAZA-24h'!H50,'28.07 KALERWE-GAYAZA'!H50)</f>
        <v>0.7142857142857143</v>
      </c>
      <c r="I50" s="49">
        <f>AVERAGE('22.07 KALERWE-GAYAZA'!I50,'23.07 KALERWE-GAYAZA'!I50,'24.07 KALERWE-GAYAZA'!I50,'25.07 KALERWE-GAYAZA'!I50,'26.07 KALERWE-GAYAZA-24h'!I50,'27.07 KALERWE-GAYAZA-24h'!I50,'28.07 KALERWE-GAYAZA'!I50)</f>
        <v>8</v>
      </c>
      <c r="J50" s="49">
        <f>AVERAGE('22.07 KALERWE-GAYAZA'!J50,'23.07 KALERWE-GAYAZA'!J50,'24.07 KALERWE-GAYAZA'!J50,'25.07 KALERWE-GAYAZA'!J50,'26.07 KALERWE-GAYAZA-24h'!J50,'27.07 KALERWE-GAYAZA-24h'!J50,'28.07 KALERWE-GAYAZA'!J50)</f>
        <v>2</v>
      </c>
      <c r="K50" s="49">
        <f>AVERAGE('22.07 KALERWE-GAYAZA'!K50,'23.07 KALERWE-GAYAZA'!K50,'24.07 KALERWE-GAYAZA'!K50,'25.07 KALERWE-GAYAZA'!K50,'26.07 KALERWE-GAYAZA-24h'!K50,'27.07 KALERWE-GAYAZA-24h'!K50,'28.07 KALERWE-GAYAZA'!K50)</f>
        <v>1</v>
      </c>
      <c r="L50" s="49">
        <f>AVERAGE('22.07 KALERWE-GAYAZA'!L50,'23.07 KALERWE-GAYAZA'!L50,'24.07 KALERWE-GAYAZA'!L50,'25.07 KALERWE-GAYAZA'!L50,'26.07 KALERWE-GAYAZA-24h'!L50,'27.07 KALERWE-GAYAZA-24h'!L50,'28.07 KALERWE-GAYAZA'!L50)</f>
        <v>1</v>
      </c>
      <c r="M50" s="49">
        <f>AVERAGE('22.07 KALERWE-GAYAZA'!M50,'23.07 KALERWE-GAYAZA'!M50,'24.07 KALERWE-GAYAZA'!M50,'25.07 KALERWE-GAYAZA'!M50,'26.07 KALERWE-GAYAZA-24h'!M50,'27.07 KALERWE-GAYAZA-24h'!M50,'28.07 KALERWE-GAYAZA'!M50)</f>
        <v>247.57142857142858</v>
      </c>
      <c r="N50" s="49">
        <f>AVERAGE('22.07 KALERWE-GAYAZA'!N50,'23.07 KALERWE-GAYAZA'!N50,'24.07 KALERWE-GAYAZA'!N50,'25.07 KALERWE-GAYAZA'!N50,'26.07 KALERWE-GAYAZA-24h'!N50,'27.07 KALERWE-GAYAZA-24h'!N50,'28.07 KALERWE-GAYAZA'!N50)</f>
        <v>0</v>
      </c>
      <c r="O50" s="15">
        <f t="shared" si="0"/>
        <v>207.71428571428572</v>
      </c>
      <c r="P50" s="15">
        <f t="shared" si="1"/>
        <v>455.28571428571433</v>
      </c>
      <c r="R50" s="8"/>
      <c r="T50"/>
    </row>
    <row r="51" spans="2:20" ht="23.1" customHeight="1" x14ac:dyDescent="0.25">
      <c r="B51" s="24" t="s">
        <v>78</v>
      </c>
      <c r="C51" s="49">
        <f>AVERAGE('22.07 KALERWE-GAYAZA'!C51,'23.07 KALERWE-GAYAZA'!C51,'24.07 KALERWE-GAYAZA'!C51,'25.07 KALERWE-GAYAZA'!C51,'26.07 KALERWE-GAYAZA-24h'!C51,'27.07 KALERWE-GAYAZA-24h'!C51,'28.07 KALERWE-GAYAZA'!C51)</f>
        <v>73.857142857142861</v>
      </c>
      <c r="D51" s="49">
        <f>AVERAGE('22.07 KALERWE-GAYAZA'!D51,'23.07 KALERWE-GAYAZA'!D51,'24.07 KALERWE-GAYAZA'!D51,'25.07 KALERWE-GAYAZA'!D51,'26.07 KALERWE-GAYAZA-24h'!D51,'27.07 KALERWE-GAYAZA-24h'!D51,'28.07 KALERWE-GAYAZA'!D51)</f>
        <v>21.285714285714285</v>
      </c>
      <c r="E51" s="49">
        <f>AVERAGE('22.07 KALERWE-GAYAZA'!E51,'23.07 KALERWE-GAYAZA'!E51,'24.07 KALERWE-GAYAZA'!E51,'25.07 KALERWE-GAYAZA'!E51,'26.07 KALERWE-GAYAZA-24h'!E51,'27.07 KALERWE-GAYAZA-24h'!E51,'28.07 KALERWE-GAYAZA'!E51)</f>
        <v>14.285714285714286</v>
      </c>
      <c r="F51" s="49">
        <f>AVERAGE('22.07 KALERWE-GAYAZA'!F51,'23.07 KALERWE-GAYAZA'!F51,'24.07 KALERWE-GAYAZA'!F51,'25.07 KALERWE-GAYAZA'!F51,'26.07 KALERWE-GAYAZA-24h'!F51,'27.07 KALERWE-GAYAZA-24h'!F51,'28.07 KALERWE-GAYAZA'!F51)</f>
        <v>53.571428571428569</v>
      </c>
      <c r="G51" s="49">
        <f>AVERAGE('22.07 KALERWE-GAYAZA'!G51,'23.07 KALERWE-GAYAZA'!G51,'24.07 KALERWE-GAYAZA'!G51,'25.07 KALERWE-GAYAZA'!G51,'26.07 KALERWE-GAYAZA-24h'!G51,'27.07 KALERWE-GAYAZA-24h'!G51,'28.07 KALERWE-GAYAZA'!G51)</f>
        <v>1.2857142857142858</v>
      </c>
      <c r="H51" s="49">
        <f>AVERAGE('22.07 KALERWE-GAYAZA'!H51,'23.07 KALERWE-GAYAZA'!H51,'24.07 KALERWE-GAYAZA'!H51,'25.07 KALERWE-GAYAZA'!H51,'26.07 KALERWE-GAYAZA-24h'!H51,'27.07 KALERWE-GAYAZA-24h'!H51,'28.07 KALERWE-GAYAZA'!H51)</f>
        <v>1.7142857142857142</v>
      </c>
      <c r="I51" s="49">
        <f>AVERAGE('22.07 KALERWE-GAYAZA'!I51,'23.07 KALERWE-GAYAZA'!I51,'24.07 KALERWE-GAYAZA'!I51,'25.07 KALERWE-GAYAZA'!I51,'26.07 KALERWE-GAYAZA-24h'!I51,'27.07 KALERWE-GAYAZA-24h'!I51,'28.07 KALERWE-GAYAZA'!I51)</f>
        <v>8.2857142857142865</v>
      </c>
      <c r="J51" s="49">
        <f>AVERAGE('22.07 KALERWE-GAYAZA'!J51,'23.07 KALERWE-GAYAZA'!J51,'24.07 KALERWE-GAYAZA'!J51,'25.07 KALERWE-GAYAZA'!J51,'26.07 KALERWE-GAYAZA-24h'!J51,'27.07 KALERWE-GAYAZA-24h'!J51,'28.07 KALERWE-GAYAZA'!J51)</f>
        <v>3.8571428571428572</v>
      </c>
      <c r="K51" s="49">
        <f>AVERAGE('22.07 KALERWE-GAYAZA'!K51,'23.07 KALERWE-GAYAZA'!K51,'24.07 KALERWE-GAYAZA'!K51,'25.07 KALERWE-GAYAZA'!K51,'26.07 KALERWE-GAYAZA-24h'!K51,'27.07 KALERWE-GAYAZA-24h'!K51,'28.07 KALERWE-GAYAZA'!K51)</f>
        <v>0.5714285714285714</v>
      </c>
      <c r="L51" s="49">
        <f>AVERAGE('22.07 KALERWE-GAYAZA'!L51,'23.07 KALERWE-GAYAZA'!L51,'24.07 KALERWE-GAYAZA'!L51,'25.07 KALERWE-GAYAZA'!L51,'26.07 KALERWE-GAYAZA-24h'!L51,'27.07 KALERWE-GAYAZA-24h'!L51,'28.07 KALERWE-GAYAZA'!L51)</f>
        <v>0.7142857142857143</v>
      </c>
      <c r="M51" s="49">
        <f>AVERAGE('22.07 KALERWE-GAYAZA'!M51,'23.07 KALERWE-GAYAZA'!M51,'24.07 KALERWE-GAYAZA'!M51,'25.07 KALERWE-GAYAZA'!M51,'26.07 KALERWE-GAYAZA-24h'!M51,'27.07 KALERWE-GAYAZA-24h'!M51,'28.07 KALERWE-GAYAZA'!M51)</f>
        <v>324.14285714285717</v>
      </c>
      <c r="N51" s="49">
        <f>AVERAGE('22.07 KALERWE-GAYAZA'!N51,'23.07 KALERWE-GAYAZA'!N51,'24.07 KALERWE-GAYAZA'!N51,'25.07 KALERWE-GAYAZA'!N51,'26.07 KALERWE-GAYAZA-24h'!N51,'27.07 KALERWE-GAYAZA-24h'!N51,'28.07 KALERWE-GAYAZA'!N51)</f>
        <v>0</v>
      </c>
      <c r="O51" s="15">
        <f t="shared" si="0"/>
        <v>179.42857142857144</v>
      </c>
      <c r="P51" s="15">
        <f t="shared" si="1"/>
        <v>503.57142857142861</v>
      </c>
      <c r="R51" s="8"/>
      <c r="T51"/>
    </row>
    <row r="52" spans="2:20" ht="23.1" customHeight="1" x14ac:dyDescent="0.25">
      <c r="B52" s="24" t="s">
        <v>79</v>
      </c>
      <c r="C52" s="49">
        <f>AVERAGE('22.07 KALERWE-GAYAZA'!C52,'23.07 KALERWE-GAYAZA'!C52,'24.07 KALERWE-GAYAZA'!C52,'25.07 KALERWE-GAYAZA'!C52,'26.07 KALERWE-GAYAZA-24h'!C52,'27.07 KALERWE-GAYAZA-24h'!C52,'28.07 KALERWE-GAYAZA'!C52)</f>
        <v>76</v>
      </c>
      <c r="D52" s="49">
        <f>AVERAGE('22.07 KALERWE-GAYAZA'!D52,'23.07 KALERWE-GAYAZA'!D52,'24.07 KALERWE-GAYAZA'!D52,'25.07 KALERWE-GAYAZA'!D52,'26.07 KALERWE-GAYAZA-24h'!D52,'27.07 KALERWE-GAYAZA-24h'!D52,'28.07 KALERWE-GAYAZA'!D52)</f>
        <v>19.142857142857142</v>
      </c>
      <c r="E52" s="49">
        <f>AVERAGE('22.07 KALERWE-GAYAZA'!E52,'23.07 KALERWE-GAYAZA'!E52,'24.07 KALERWE-GAYAZA'!E52,'25.07 KALERWE-GAYAZA'!E52,'26.07 KALERWE-GAYAZA-24h'!E52,'27.07 KALERWE-GAYAZA-24h'!E52,'28.07 KALERWE-GAYAZA'!E52)</f>
        <v>11</v>
      </c>
      <c r="F52" s="49">
        <f>AVERAGE('22.07 KALERWE-GAYAZA'!F52,'23.07 KALERWE-GAYAZA'!F52,'24.07 KALERWE-GAYAZA'!F52,'25.07 KALERWE-GAYAZA'!F52,'26.07 KALERWE-GAYAZA-24h'!F52,'27.07 KALERWE-GAYAZA-24h'!F52,'28.07 KALERWE-GAYAZA'!F52)</f>
        <v>47.428571428571431</v>
      </c>
      <c r="G52" s="49">
        <f>AVERAGE('22.07 KALERWE-GAYAZA'!G52,'23.07 KALERWE-GAYAZA'!G52,'24.07 KALERWE-GAYAZA'!G52,'25.07 KALERWE-GAYAZA'!G52,'26.07 KALERWE-GAYAZA-24h'!G52,'27.07 KALERWE-GAYAZA-24h'!G52,'28.07 KALERWE-GAYAZA'!G52)</f>
        <v>1.4285714285714286</v>
      </c>
      <c r="H52" s="49">
        <f>AVERAGE('22.07 KALERWE-GAYAZA'!H52,'23.07 KALERWE-GAYAZA'!H52,'24.07 KALERWE-GAYAZA'!H52,'25.07 KALERWE-GAYAZA'!H52,'26.07 KALERWE-GAYAZA-24h'!H52,'27.07 KALERWE-GAYAZA-24h'!H52,'28.07 KALERWE-GAYAZA'!H52)</f>
        <v>0.5714285714285714</v>
      </c>
      <c r="I52" s="49">
        <f>AVERAGE('22.07 KALERWE-GAYAZA'!I52,'23.07 KALERWE-GAYAZA'!I52,'24.07 KALERWE-GAYAZA'!I52,'25.07 KALERWE-GAYAZA'!I52,'26.07 KALERWE-GAYAZA-24h'!I52,'27.07 KALERWE-GAYAZA-24h'!I52,'28.07 KALERWE-GAYAZA'!I52)</f>
        <v>6.8571428571428568</v>
      </c>
      <c r="J52" s="49">
        <f>AVERAGE('22.07 KALERWE-GAYAZA'!J52,'23.07 KALERWE-GAYAZA'!J52,'24.07 KALERWE-GAYAZA'!J52,'25.07 KALERWE-GAYAZA'!J52,'26.07 KALERWE-GAYAZA-24h'!J52,'27.07 KALERWE-GAYAZA-24h'!J52,'28.07 KALERWE-GAYAZA'!J52)</f>
        <v>1.8571428571428572</v>
      </c>
      <c r="K52" s="49">
        <f>AVERAGE('22.07 KALERWE-GAYAZA'!K52,'23.07 KALERWE-GAYAZA'!K52,'24.07 KALERWE-GAYAZA'!K52,'25.07 KALERWE-GAYAZA'!K52,'26.07 KALERWE-GAYAZA-24h'!K52,'27.07 KALERWE-GAYAZA-24h'!K52,'28.07 KALERWE-GAYAZA'!K52)</f>
        <v>0.5714285714285714</v>
      </c>
      <c r="L52" s="49">
        <f>AVERAGE('22.07 KALERWE-GAYAZA'!L52,'23.07 KALERWE-GAYAZA'!L52,'24.07 KALERWE-GAYAZA'!L52,'25.07 KALERWE-GAYAZA'!L52,'26.07 KALERWE-GAYAZA-24h'!L52,'27.07 KALERWE-GAYAZA-24h'!L52,'28.07 KALERWE-GAYAZA'!L52)</f>
        <v>0.5714285714285714</v>
      </c>
      <c r="M52" s="49">
        <f>AVERAGE('22.07 KALERWE-GAYAZA'!M52,'23.07 KALERWE-GAYAZA'!M52,'24.07 KALERWE-GAYAZA'!M52,'25.07 KALERWE-GAYAZA'!M52,'26.07 KALERWE-GAYAZA-24h'!M52,'27.07 KALERWE-GAYAZA-24h'!M52,'28.07 KALERWE-GAYAZA'!M52)</f>
        <v>331.42857142857144</v>
      </c>
      <c r="N52" s="49">
        <f>AVERAGE('22.07 KALERWE-GAYAZA'!N52,'23.07 KALERWE-GAYAZA'!N52,'24.07 KALERWE-GAYAZA'!N52,'25.07 KALERWE-GAYAZA'!N52,'26.07 KALERWE-GAYAZA-24h'!N52,'27.07 KALERWE-GAYAZA-24h'!N52,'28.07 KALERWE-GAYAZA'!N52)</f>
        <v>0</v>
      </c>
      <c r="O52" s="15">
        <f t="shared" si="0"/>
        <v>165.42857142857144</v>
      </c>
      <c r="P52" s="15">
        <f t="shared" si="1"/>
        <v>496.85714285714289</v>
      </c>
      <c r="R52" s="8"/>
      <c r="T52"/>
    </row>
    <row r="53" spans="2:20" ht="23.1" customHeight="1" x14ac:dyDescent="0.25">
      <c r="B53" s="23" t="s">
        <v>80</v>
      </c>
      <c r="C53" s="49">
        <f>AVERAGE('22.07 KALERWE-GAYAZA'!C53,'23.07 KALERWE-GAYAZA'!C53,'24.07 KALERWE-GAYAZA'!C53,'25.07 KALERWE-GAYAZA'!C53,'26.07 KALERWE-GAYAZA-24h'!C53,'27.07 KALERWE-GAYAZA-24h'!C53,'28.07 KALERWE-GAYAZA'!C53)</f>
        <v>79.285714285714292</v>
      </c>
      <c r="D53" s="49">
        <f>AVERAGE('22.07 KALERWE-GAYAZA'!D53,'23.07 KALERWE-GAYAZA'!D53,'24.07 KALERWE-GAYAZA'!D53,'25.07 KALERWE-GAYAZA'!D53,'26.07 KALERWE-GAYAZA-24h'!D53,'27.07 KALERWE-GAYAZA-24h'!D53,'28.07 KALERWE-GAYAZA'!D53)</f>
        <v>22.857142857142858</v>
      </c>
      <c r="E53" s="49">
        <f>AVERAGE('22.07 KALERWE-GAYAZA'!E53,'23.07 KALERWE-GAYAZA'!E53,'24.07 KALERWE-GAYAZA'!E53,'25.07 KALERWE-GAYAZA'!E53,'26.07 KALERWE-GAYAZA-24h'!E53,'27.07 KALERWE-GAYAZA-24h'!E53,'28.07 KALERWE-GAYAZA'!E53)</f>
        <v>11.714285714285714</v>
      </c>
      <c r="F53" s="49">
        <f>AVERAGE('22.07 KALERWE-GAYAZA'!F53,'23.07 KALERWE-GAYAZA'!F53,'24.07 KALERWE-GAYAZA'!F53,'25.07 KALERWE-GAYAZA'!F53,'26.07 KALERWE-GAYAZA-24h'!F53,'27.07 KALERWE-GAYAZA-24h'!F53,'28.07 KALERWE-GAYAZA'!F53)</f>
        <v>49.714285714285715</v>
      </c>
      <c r="G53" s="49">
        <f>AVERAGE('22.07 KALERWE-GAYAZA'!G53,'23.07 KALERWE-GAYAZA'!G53,'24.07 KALERWE-GAYAZA'!G53,'25.07 KALERWE-GAYAZA'!G53,'26.07 KALERWE-GAYAZA-24h'!G53,'27.07 KALERWE-GAYAZA-24h'!G53,'28.07 KALERWE-GAYAZA'!G53)</f>
        <v>0.7142857142857143</v>
      </c>
      <c r="H53" s="49">
        <f>AVERAGE('22.07 KALERWE-GAYAZA'!H53,'23.07 KALERWE-GAYAZA'!H53,'24.07 KALERWE-GAYAZA'!H53,'25.07 KALERWE-GAYAZA'!H53,'26.07 KALERWE-GAYAZA-24h'!H53,'27.07 KALERWE-GAYAZA-24h'!H53,'28.07 KALERWE-GAYAZA'!H53)</f>
        <v>0.8571428571428571</v>
      </c>
      <c r="I53" s="49">
        <f>AVERAGE('22.07 KALERWE-GAYAZA'!I53,'23.07 KALERWE-GAYAZA'!I53,'24.07 KALERWE-GAYAZA'!I53,'25.07 KALERWE-GAYAZA'!I53,'26.07 KALERWE-GAYAZA-24h'!I53,'27.07 KALERWE-GAYAZA-24h'!I53,'28.07 KALERWE-GAYAZA'!I53)</f>
        <v>6.2857142857142856</v>
      </c>
      <c r="J53" s="49">
        <f>AVERAGE('22.07 KALERWE-GAYAZA'!J53,'23.07 KALERWE-GAYAZA'!J53,'24.07 KALERWE-GAYAZA'!J53,'25.07 KALERWE-GAYAZA'!J53,'26.07 KALERWE-GAYAZA-24h'!J53,'27.07 KALERWE-GAYAZA-24h'!J53,'28.07 KALERWE-GAYAZA'!J53)</f>
        <v>1.4285714285714286</v>
      </c>
      <c r="K53" s="49">
        <f>AVERAGE('22.07 KALERWE-GAYAZA'!K53,'23.07 KALERWE-GAYAZA'!K53,'24.07 KALERWE-GAYAZA'!K53,'25.07 KALERWE-GAYAZA'!K53,'26.07 KALERWE-GAYAZA-24h'!K53,'27.07 KALERWE-GAYAZA-24h'!K53,'28.07 KALERWE-GAYAZA'!K53)</f>
        <v>0.7142857142857143</v>
      </c>
      <c r="L53" s="49">
        <f>AVERAGE('22.07 KALERWE-GAYAZA'!L53,'23.07 KALERWE-GAYAZA'!L53,'24.07 KALERWE-GAYAZA'!L53,'25.07 KALERWE-GAYAZA'!L53,'26.07 KALERWE-GAYAZA-24h'!L53,'27.07 KALERWE-GAYAZA-24h'!L53,'28.07 KALERWE-GAYAZA'!L53)</f>
        <v>0.14285714285714285</v>
      </c>
      <c r="M53" s="49">
        <f>AVERAGE('22.07 KALERWE-GAYAZA'!M53,'23.07 KALERWE-GAYAZA'!M53,'24.07 KALERWE-GAYAZA'!M53,'25.07 KALERWE-GAYAZA'!M53,'26.07 KALERWE-GAYAZA-24h'!M53,'27.07 KALERWE-GAYAZA-24h'!M53,'28.07 KALERWE-GAYAZA'!M53)</f>
        <v>315</v>
      </c>
      <c r="N53" s="49">
        <f>AVERAGE('22.07 KALERWE-GAYAZA'!N53,'23.07 KALERWE-GAYAZA'!N53,'24.07 KALERWE-GAYAZA'!N53,'25.07 KALERWE-GAYAZA'!N53,'26.07 KALERWE-GAYAZA-24h'!N53,'27.07 KALERWE-GAYAZA-24h'!N53,'28.07 KALERWE-GAYAZA'!N53)</f>
        <v>0</v>
      </c>
      <c r="O53" s="15">
        <f t="shared" si="0"/>
        <v>173.71428571428572</v>
      </c>
      <c r="P53" s="15">
        <f t="shared" si="1"/>
        <v>488.71428571428572</v>
      </c>
      <c r="R53" s="8"/>
      <c r="T53"/>
    </row>
    <row r="54" spans="2:20" ht="23.1" customHeight="1" x14ac:dyDescent="0.25">
      <c r="B54" s="23" t="s">
        <v>81</v>
      </c>
      <c r="C54" s="49">
        <f>AVERAGE('22.07 KALERWE-GAYAZA'!C54,'23.07 KALERWE-GAYAZA'!C54,'24.07 KALERWE-GAYAZA'!C54,'25.07 KALERWE-GAYAZA'!C54,'26.07 KALERWE-GAYAZA-24h'!C54,'27.07 KALERWE-GAYAZA-24h'!C54,'28.07 KALERWE-GAYAZA'!C54)</f>
        <v>77.428571428571431</v>
      </c>
      <c r="D54" s="49">
        <f>AVERAGE('22.07 KALERWE-GAYAZA'!D54,'23.07 KALERWE-GAYAZA'!D54,'24.07 KALERWE-GAYAZA'!D54,'25.07 KALERWE-GAYAZA'!D54,'26.07 KALERWE-GAYAZA-24h'!D54,'27.07 KALERWE-GAYAZA-24h'!D54,'28.07 KALERWE-GAYAZA'!D54)</f>
        <v>20</v>
      </c>
      <c r="E54" s="49">
        <f>AVERAGE('22.07 KALERWE-GAYAZA'!E54,'23.07 KALERWE-GAYAZA'!E54,'24.07 KALERWE-GAYAZA'!E54,'25.07 KALERWE-GAYAZA'!E54,'26.07 KALERWE-GAYAZA-24h'!E54,'27.07 KALERWE-GAYAZA-24h'!E54,'28.07 KALERWE-GAYAZA'!E54)</f>
        <v>11.714285714285714</v>
      </c>
      <c r="F54" s="49">
        <f>AVERAGE('22.07 KALERWE-GAYAZA'!F54,'23.07 KALERWE-GAYAZA'!F54,'24.07 KALERWE-GAYAZA'!F54,'25.07 KALERWE-GAYAZA'!F54,'26.07 KALERWE-GAYAZA-24h'!F54,'27.07 KALERWE-GAYAZA-24h'!F54,'28.07 KALERWE-GAYAZA'!F54)</f>
        <v>53.428571428571431</v>
      </c>
      <c r="G54" s="49">
        <f>AVERAGE('22.07 KALERWE-GAYAZA'!G54,'23.07 KALERWE-GAYAZA'!G54,'24.07 KALERWE-GAYAZA'!G54,'25.07 KALERWE-GAYAZA'!G54,'26.07 KALERWE-GAYAZA-24h'!G54,'27.07 KALERWE-GAYAZA-24h'!G54,'28.07 KALERWE-GAYAZA'!G54)</f>
        <v>2.4285714285714284</v>
      </c>
      <c r="H54" s="49">
        <f>AVERAGE('22.07 KALERWE-GAYAZA'!H54,'23.07 KALERWE-GAYAZA'!H54,'24.07 KALERWE-GAYAZA'!H54,'25.07 KALERWE-GAYAZA'!H54,'26.07 KALERWE-GAYAZA-24h'!H54,'27.07 KALERWE-GAYAZA-24h'!H54,'28.07 KALERWE-GAYAZA'!H54)</f>
        <v>0.7142857142857143</v>
      </c>
      <c r="I54" s="49">
        <f>AVERAGE('22.07 KALERWE-GAYAZA'!I54,'23.07 KALERWE-GAYAZA'!I54,'24.07 KALERWE-GAYAZA'!I54,'25.07 KALERWE-GAYAZA'!I54,'26.07 KALERWE-GAYAZA-24h'!I54,'27.07 KALERWE-GAYAZA-24h'!I54,'28.07 KALERWE-GAYAZA'!I54)</f>
        <v>6.4285714285714288</v>
      </c>
      <c r="J54" s="49">
        <f>AVERAGE('22.07 KALERWE-GAYAZA'!J54,'23.07 KALERWE-GAYAZA'!J54,'24.07 KALERWE-GAYAZA'!J54,'25.07 KALERWE-GAYAZA'!J54,'26.07 KALERWE-GAYAZA-24h'!J54,'27.07 KALERWE-GAYAZA-24h'!J54,'28.07 KALERWE-GAYAZA'!J54)</f>
        <v>1.8571428571428572</v>
      </c>
      <c r="K54" s="49">
        <f>AVERAGE('22.07 KALERWE-GAYAZA'!K54,'23.07 KALERWE-GAYAZA'!K54,'24.07 KALERWE-GAYAZA'!K54,'25.07 KALERWE-GAYAZA'!K54,'26.07 KALERWE-GAYAZA-24h'!K54,'27.07 KALERWE-GAYAZA-24h'!K54,'28.07 KALERWE-GAYAZA'!K54)</f>
        <v>0.5714285714285714</v>
      </c>
      <c r="L54" s="49">
        <f>AVERAGE('22.07 KALERWE-GAYAZA'!L54,'23.07 KALERWE-GAYAZA'!L54,'24.07 KALERWE-GAYAZA'!L54,'25.07 KALERWE-GAYAZA'!L54,'26.07 KALERWE-GAYAZA-24h'!L54,'27.07 KALERWE-GAYAZA-24h'!L54,'28.07 KALERWE-GAYAZA'!L54)</f>
        <v>0.7142857142857143</v>
      </c>
      <c r="M54" s="49">
        <f>AVERAGE('22.07 KALERWE-GAYAZA'!M54,'23.07 KALERWE-GAYAZA'!M54,'24.07 KALERWE-GAYAZA'!M54,'25.07 KALERWE-GAYAZA'!M54,'26.07 KALERWE-GAYAZA-24h'!M54,'27.07 KALERWE-GAYAZA-24h'!M54,'28.07 KALERWE-GAYAZA'!M54)</f>
        <v>334.85714285714283</v>
      </c>
      <c r="N54" s="49">
        <f>AVERAGE('22.07 KALERWE-GAYAZA'!N54,'23.07 KALERWE-GAYAZA'!N54,'24.07 KALERWE-GAYAZA'!N54,'25.07 KALERWE-GAYAZA'!N54,'26.07 KALERWE-GAYAZA-24h'!N54,'27.07 KALERWE-GAYAZA-24h'!N54,'28.07 KALERWE-GAYAZA'!N54)</f>
        <v>0</v>
      </c>
      <c r="O54" s="15">
        <f t="shared" si="0"/>
        <v>175.28571428571428</v>
      </c>
      <c r="P54" s="15">
        <f t="shared" si="1"/>
        <v>510.14285714285711</v>
      </c>
      <c r="R54" s="8"/>
      <c r="T54"/>
    </row>
    <row r="55" spans="2:20" ht="23.1" customHeight="1" x14ac:dyDescent="0.25">
      <c r="B55" s="23" t="s">
        <v>82</v>
      </c>
      <c r="C55" s="49">
        <f>AVERAGE('22.07 KALERWE-GAYAZA'!C55,'23.07 KALERWE-GAYAZA'!C55,'24.07 KALERWE-GAYAZA'!C55,'25.07 KALERWE-GAYAZA'!C55,'26.07 KALERWE-GAYAZA-24h'!C55,'27.07 KALERWE-GAYAZA-24h'!C55,'28.07 KALERWE-GAYAZA'!C55)</f>
        <v>71.285714285714292</v>
      </c>
      <c r="D55" s="49">
        <f>AVERAGE('22.07 KALERWE-GAYAZA'!D55,'23.07 KALERWE-GAYAZA'!D55,'24.07 KALERWE-GAYAZA'!D55,'25.07 KALERWE-GAYAZA'!D55,'26.07 KALERWE-GAYAZA-24h'!D55,'27.07 KALERWE-GAYAZA-24h'!D55,'28.07 KALERWE-GAYAZA'!D55)</f>
        <v>20.857142857142858</v>
      </c>
      <c r="E55" s="49">
        <f>AVERAGE('22.07 KALERWE-GAYAZA'!E55,'23.07 KALERWE-GAYAZA'!E55,'24.07 KALERWE-GAYAZA'!E55,'25.07 KALERWE-GAYAZA'!E55,'26.07 KALERWE-GAYAZA-24h'!E55,'27.07 KALERWE-GAYAZA-24h'!E55,'28.07 KALERWE-GAYAZA'!E55)</f>
        <v>12.428571428571429</v>
      </c>
      <c r="F55" s="49">
        <f>AVERAGE('22.07 KALERWE-GAYAZA'!F55,'23.07 KALERWE-GAYAZA'!F55,'24.07 KALERWE-GAYAZA'!F55,'25.07 KALERWE-GAYAZA'!F55,'26.07 KALERWE-GAYAZA-24h'!F55,'27.07 KALERWE-GAYAZA-24h'!F55,'28.07 KALERWE-GAYAZA'!F55)</f>
        <v>43.142857142857146</v>
      </c>
      <c r="G55" s="49">
        <f>AVERAGE('22.07 KALERWE-GAYAZA'!G55,'23.07 KALERWE-GAYAZA'!G55,'24.07 KALERWE-GAYAZA'!G55,'25.07 KALERWE-GAYAZA'!G55,'26.07 KALERWE-GAYAZA-24h'!G55,'27.07 KALERWE-GAYAZA-24h'!G55,'28.07 KALERWE-GAYAZA'!G55)</f>
        <v>2.1428571428571428</v>
      </c>
      <c r="H55" s="49">
        <f>AVERAGE('22.07 KALERWE-GAYAZA'!H55,'23.07 KALERWE-GAYAZA'!H55,'24.07 KALERWE-GAYAZA'!H55,'25.07 KALERWE-GAYAZA'!H55,'26.07 KALERWE-GAYAZA-24h'!H55,'27.07 KALERWE-GAYAZA-24h'!H55,'28.07 KALERWE-GAYAZA'!H55)</f>
        <v>1.2857142857142858</v>
      </c>
      <c r="I55" s="49">
        <f>AVERAGE('22.07 KALERWE-GAYAZA'!I55,'23.07 KALERWE-GAYAZA'!I55,'24.07 KALERWE-GAYAZA'!I55,'25.07 KALERWE-GAYAZA'!I55,'26.07 KALERWE-GAYAZA-24h'!I55,'27.07 KALERWE-GAYAZA-24h'!I55,'28.07 KALERWE-GAYAZA'!I55)</f>
        <v>4.8571428571428568</v>
      </c>
      <c r="J55" s="49">
        <f>AVERAGE('22.07 KALERWE-GAYAZA'!J55,'23.07 KALERWE-GAYAZA'!J55,'24.07 KALERWE-GAYAZA'!J55,'25.07 KALERWE-GAYAZA'!J55,'26.07 KALERWE-GAYAZA-24h'!J55,'27.07 KALERWE-GAYAZA-24h'!J55,'28.07 KALERWE-GAYAZA'!J55)</f>
        <v>2</v>
      </c>
      <c r="K55" s="49">
        <f>AVERAGE('22.07 KALERWE-GAYAZA'!K55,'23.07 KALERWE-GAYAZA'!K55,'24.07 KALERWE-GAYAZA'!K55,'25.07 KALERWE-GAYAZA'!K55,'26.07 KALERWE-GAYAZA-24h'!K55,'27.07 KALERWE-GAYAZA-24h'!K55,'28.07 KALERWE-GAYAZA'!K55)</f>
        <v>1</v>
      </c>
      <c r="L55" s="49">
        <f>AVERAGE('22.07 KALERWE-GAYAZA'!L55,'23.07 KALERWE-GAYAZA'!L55,'24.07 KALERWE-GAYAZA'!L55,'25.07 KALERWE-GAYAZA'!L55,'26.07 KALERWE-GAYAZA-24h'!L55,'27.07 KALERWE-GAYAZA-24h'!L55,'28.07 KALERWE-GAYAZA'!L55)</f>
        <v>0.14285714285714285</v>
      </c>
      <c r="M55" s="49">
        <f>AVERAGE('22.07 KALERWE-GAYAZA'!M55,'23.07 KALERWE-GAYAZA'!M55,'24.07 KALERWE-GAYAZA'!M55,'25.07 KALERWE-GAYAZA'!M55,'26.07 KALERWE-GAYAZA-24h'!M55,'27.07 KALERWE-GAYAZA-24h'!M55,'28.07 KALERWE-GAYAZA'!M55)</f>
        <v>308</v>
      </c>
      <c r="N55" s="49">
        <f>AVERAGE('22.07 KALERWE-GAYAZA'!N55,'23.07 KALERWE-GAYAZA'!N55,'24.07 KALERWE-GAYAZA'!N55,'25.07 KALERWE-GAYAZA'!N55,'26.07 KALERWE-GAYAZA-24h'!N55,'27.07 KALERWE-GAYAZA-24h'!N55,'28.07 KALERWE-GAYAZA'!N55)</f>
        <v>0</v>
      </c>
      <c r="O55" s="15">
        <f t="shared" si="0"/>
        <v>159.14285714285714</v>
      </c>
      <c r="P55" s="15">
        <f t="shared" si="1"/>
        <v>467.14285714285711</v>
      </c>
      <c r="R55" s="8"/>
      <c r="T55"/>
    </row>
    <row r="56" spans="2:20" ht="23.1" customHeight="1" x14ac:dyDescent="0.25">
      <c r="B56" s="23" t="s">
        <v>83</v>
      </c>
      <c r="C56" s="49">
        <f>AVERAGE('22.07 KALERWE-GAYAZA'!C56,'23.07 KALERWE-GAYAZA'!C56,'24.07 KALERWE-GAYAZA'!C56,'25.07 KALERWE-GAYAZA'!C56,'26.07 KALERWE-GAYAZA-24h'!C56,'27.07 KALERWE-GAYAZA-24h'!C56,'28.07 KALERWE-GAYAZA'!C56)</f>
        <v>78.285714285714292</v>
      </c>
      <c r="D56" s="49">
        <f>AVERAGE('22.07 KALERWE-GAYAZA'!D56,'23.07 KALERWE-GAYAZA'!D56,'24.07 KALERWE-GAYAZA'!D56,'25.07 KALERWE-GAYAZA'!D56,'26.07 KALERWE-GAYAZA-24h'!D56,'27.07 KALERWE-GAYAZA-24h'!D56,'28.07 KALERWE-GAYAZA'!D56)</f>
        <v>23.714285714285715</v>
      </c>
      <c r="E56" s="49">
        <f>AVERAGE('22.07 KALERWE-GAYAZA'!E56,'23.07 KALERWE-GAYAZA'!E56,'24.07 KALERWE-GAYAZA'!E56,'25.07 KALERWE-GAYAZA'!E56,'26.07 KALERWE-GAYAZA-24h'!E56,'27.07 KALERWE-GAYAZA-24h'!E56,'28.07 KALERWE-GAYAZA'!E56)</f>
        <v>12.285714285714286</v>
      </c>
      <c r="F56" s="49">
        <f>AVERAGE('22.07 KALERWE-GAYAZA'!F56,'23.07 KALERWE-GAYAZA'!F56,'24.07 KALERWE-GAYAZA'!F56,'25.07 KALERWE-GAYAZA'!F56,'26.07 KALERWE-GAYAZA-24h'!F56,'27.07 KALERWE-GAYAZA-24h'!F56,'28.07 KALERWE-GAYAZA'!F56)</f>
        <v>54.142857142857146</v>
      </c>
      <c r="G56" s="49">
        <f>AVERAGE('22.07 KALERWE-GAYAZA'!G56,'23.07 KALERWE-GAYAZA'!G56,'24.07 KALERWE-GAYAZA'!G56,'25.07 KALERWE-GAYAZA'!G56,'26.07 KALERWE-GAYAZA-24h'!G56,'27.07 KALERWE-GAYAZA-24h'!G56,'28.07 KALERWE-GAYAZA'!G56)</f>
        <v>1.7142857142857142</v>
      </c>
      <c r="H56" s="49">
        <f>AVERAGE('22.07 KALERWE-GAYAZA'!H56,'23.07 KALERWE-GAYAZA'!H56,'24.07 KALERWE-GAYAZA'!H56,'25.07 KALERWE-GAYAZA'!H56,'26.07 KALERWE-GAYAZA-24h'!H56,'27.07 KALERWE-GAYAZA-24h'!H56,'28.07 KALERWE-GAYAZA'!H56)</f>
        <v>2</v>
      </c>
      <c r="I56" s="49">
        <f>AVERAGE('22.07 KALERWE-GAYAZA'!I56,'23.07 KALERWE-GAYAZA'!I56,'24.07 KALERWE-GAYAZA'!I56,'25.07 KALERWE-GAYAZA'!I56,'26.07 KALERWE-GAYAZA-24h'!I56,'27.07 KALERWE-GAYAZA-24h'!I56,'28.07 KALERWE-GAYAZA'!I56)</f>
        <v>10</v>
      </c>
      <c r="J56" s="49">
        <f>AVERAGE('22.07 KALERWE-GAYAZA'!J56,'23.07 KALERWE-GAYAZA'!J56,'24.07 KALERWE-GAYAZA'!J56,'25.07 KALERWE-GAYAZA'!J56,'26.07 KALERWE-GAYAZA-24h'!J56,'27.07 KALERWE-GAYAZA-24h'!J56,'28.07 KALERWE-GAYAZA'!J56)</f>
        <v>1.4285714285714286</v>
      </c>
      <c r="K56" s="49">
        <f>AVERAGE('22.07 KALERWE-GAYAZA'!K56,'23.07 KALERWE-GAYAZA'!K56,'24.07 KALERWE-GAYAZA'!K56,'25.07 KALERWE-GAYAZA'!K56,'26.07 KALERWE-GAYAZA-24h'!K56,'27.07 KALERWE-GAYAZA-24h'!K56,'28.07 KALERWE-GAYAZA'!K56)</f>
        <v>0.42857142857142855</v>
      </c>
      <c r="L56" s="49">
        <f>AVERAGE('22.07 KALERWE-GAYAZA'!L56,'23.07 KALERWE-GAYAZA'!L56,'24.07 KALERWE-GAYAZA'!L56,'25.07 KALERWE-GAYAZA'!L56,'26.07 KALERWE-GAYAZA-24h'!L56,'27.07 KALERWE-GAYAZA-24h'!L56,'28.07 KALERWE-GAYAZA'!L56)</f>
        <v>0.2857142857142857</v>
      </c>
      <c r="M56" s="49">
        <f>AVERAGE('22.07 KALERWE-GAYAZA'!M56,'23.07 KALERWE-GAYAZA'!M56,'24.07 KALERWE-GAYAZA'!M56,'25.07 KALERWE-GAYAZA'!M56,'26.07 KALERWE-GAYAZA-24h'!M56,'27.07 KALERWE-GAYAZA-24h'!M56,'28.07 KALERWE-GAYAZA'!M56)</f>
        <v>316</v>
      </c>
      <c r="N56" s="49">
        <f>AVERAGE('22.07 KALERWE-GAYAZA'!N56,'23.07 KALERWE-GAYAZA'!N56,'24.07 KALERWE-GAYAZA'!N56,'25.07 KALERWE-GAYAZA'!N56,'26.07 KALERWE-GAYAZA-24h'!N56,'27.07 KALERWE-GAYAZA-24h'!N56,'28.07 KALERWE-GAYAZA'!N56)</f>
        <v>0</v>
      </c>
      <c r="O56" s="15">
        <f t="shared" si="0"/>
        <v>184.28571428571428</v>
      </c>
      <c r="P56" s="15">
        <f t="shared" si="1"/>
        <v>500.28571428571428</v>
      </c>
      <c r="R56" s="8"/>
      <c r="T56"/>
    </row>
    <row r="57" spans="2:20" ht="23.1" customHeight="1" x14ac:dyDescent="0.25">
      <c r="B57" s="23" t="s">
        <v>84</v>
      </c>
      <c r="C57" s="49">
        <f>AVERAGE('22.07 KALERWE-GAYAZA'!C57,'23.07 KALERWE-GAYAZA'!C57,'24.07 KALERWE-GAYAZA'!C57,'25.07 KALERWE-GAYAZA'!C57,'26.07 KALERWE-GAYAZA-24h'!C57,'27.07 KALERWE-GAYAZA-24h'!C57,'28.07 KALERWE-GAYAZA'!C57)</f>
        <v>63.857142857142854</v>
      </c>
      <c r="D57" s="49">
        <f>AVERAGE('22.07 KALERWE-GAYAZA'!D57,'23.07 KALERWE-GAYAZA'!D57,'24.07 KALERWE-GAYAZA'!D57,'25.07 KALERWE-GAYAZA'!D57,'26.07 KALERWE-GAYAZA-24h'!D57,'27.07 KALERWE-GAYAZA-24h'!D57,'28.07 KALERWE-GAYAZA'!D57)</f>
        <v>20.857142857142858</v>
      </c>
      <c r="E57" s="49">
        <f>AVERAGE('22.07 KALERWE-GAYAZA'!E57,'23.07 KALERWE-GAYAZA'!E57,'24.07 KALERWE-GAYAZA'!E57,'25.07 KALERWE-GAYAZA'!E57,'26.07 KALERWE-GAYAZA-24h'!E57,'27.07 KALERWE-GAYAZA-24h'!E57,'28.07 KALERWE-GAYAZA'!E57)</f>
        <v>8.7142857142857135</v>
      </c>
      <c r="F57" s="49">
        <f>AVERAGE('22.07 KALERWE-GAYAZA'!F57,'23.07 KALERWE-GAYAZA'!F57,'24.07 KALERWE-GAYAZA'!F57,'25.07 KALERWE-GAYAZA'!F57,'26.07 KALERWE-GAYAZA-24h'!F57,'27.07 KALERWE-GAYAZA-24h'!F57,'28.07 KALERWE-GAYAZA'!F57)</f>
        <v>47.571428571428569</v>
      </c>
      <c r="G57" s="49">
        <f>AVERAGE('22.07 KALERWE-GAYAZA'!G57,'23.07 KALERWE-GAYAZA'!G57,'24.07 KALERWE-GAYAZA'!G57,'25.07 KALERWE-GAYAZA'!G57,'26.07 KALERWE-GAYAZA-24h'!G57,'27.07 KALERWE-GAYAZA-24h'!G57,'28.07 KALERWE-GAYAZA'!G57)</f>
        <v>2.2857142857142856</v>
      </c>
      <c r="H57" s="49">
        <f>AVERAGE('22.07 KALERWE-GAYAZA'!H57,'23.07 KALERWE-GAYAZA'!H57,'24.07 KALERWE-GAYAZA'!H57,'25.07 KALERWE-GAYAZA'!H57,'26.07 KALERWE-GAYAZA-24h'!H57,'27.07 KALERWE-GAYAZA-24h'!H57,'28.07 KALERWE-GAYAZA'!H57)</f>
        <v>1.1428571428571428</v>
      </c>
      <c r="I57" s="49">
        <f>AVERAGE('22.07 KALERWE-GAYAZA'!I57,'23.07 KALERWE-GAYAZA'!I57,'24.07 KALERWE-GAYAZA'!I57,'25.07 KALERWE-GAYAZA'!I57,'26.07 KALERWE-GAYAZA-24h'!I57,'27.07 KALERWE-GAYAZA-24h'!I57,'28.07 KALERWE-GAYAZA'!I57)</f>
        <v>5.5714285714285712</v>
      </c>
      <c r="J57" s="49">
        <f>AVERAGE('22.07 KALERWE-GAYAZA'!J57,'23.07 KALERWE-GAYAZA'!J57,'24.07 KALERWE-GAYAZA'!J57,'25.07 KALERWE-GAYAZA'!J57,'26.07 KALERWE-GAYAZA-24h'!J57,'27.07 KALERWE-GAYAZA-24h'!J57,'28.07 KALERWE-GAYAZA'!J57)</f>
        <v>2</v>
      </c>
      <c r="K57" s="49">
        <f>AVERAGE('22.07 KALERWE-GAYAZA'!K57,'23.07 KALERWE-GAYAZA'!K57,'24.07 KALERWE-GAYAZA'!K57,'25.07 KALERWE-GAYAZA'!K57,'26.07 KALERWE-GAYAZA-24h'!K57,'27.07 KALERWE-GAYAZA-24h'!K57,'28.07 KALERWE-GAYAZA'!K57)</f>
        <v>0.2857142857142857</v>
      </c>
      <c r="L57" s="49">
        <f>AVERAGE('22.07 KALERWE-GAYAZA'!L57,'23.07 KALERWE-GAYAZA'!L57,'24.07 KALERWE-GAYAZA'!L57,'25.07 KALERWE-GAYAZA'!L57,'26.07 KALERWE-GAYAZA-24h'!L57,'27.07 KALERWE-GAYAZA-24h'!L57,'28.07 KALERWE-GAYAZA'!L57)</f>
        <v>0.5714285714285714</v>
      </c>
      <c r="M57" s="49">
        <f>AVERAGE('22.07 KALERWE-GAYAZA'!M57,'23.07 KALERWE-GAYAZA'!M57,'24.07 KALERWE-GAYAZA'!M57,'25.07 KALERWE-GAYAZA'!M57,'26.07 KALERWE-GAYAZA-24h'!M57,'27.07 KALERWE-GAYAZA-24h'!M57,'28.07 KALERWE-GAYAZA'!M57)</f>
        <v>357.85714285714283</v>
      </c>
      <c r="N57" s="49">
        <f>AVERAGE('22.07 KALERWE-GAYAZA'!N57,'23.07 KALERWE-GAYAZA'!N57,'24.07 KALERWE-GAYAZA'!N57,'25.07 KALERWE-GAYAZA'!N57,'26.07 KALERWE-GAYAZA-24h'!N57,'27.07 KALERWE-GAYAZA-24h'!N57,'28.07 KALERWE-GAYAZA'!N57)</f>
        <v>0</v>
      </c>
      <c r="O57" s="15">
        <f t="shared" si="0"/>
        <v>152.85714285714286</v>
      </c>
      <c r="P57" s="15">
        <f t="shared" si="1"/>
        <v>510.71428571428567</v>
      </c>
      <c r="R57" s="8"/>
      <c r="T57"/>
    </row>
    <row r="58" spans="2:20" ht="23.1" customHeight="1" x14ac:dyDescent="0.25">
      <c r="B58" s="23" t="s">
        <v>99</v>
      </c>
      <c r="C58" s="49">
        <f>AVERAGE('26.07 KALERWE-GAYAZA-24h'!C58,'27.07 KALERWE-GAYAZA-24h'!C58)</f>
        <v>79.5</v>
      </c>
      <c r="D58" s="49">
        <f>AVERAGE('26.07 KALERWE-GAYAZA-24h'!D58,'27.07 KALERWE-GAYAZA-24h'!D58)</f>
        <v>17.5</v>
      </c>
      <c r="E58" s="49">
        <f>AVERAGE('26.07 KALERWE-GAYAZA-24h'!E58,'27.07 KALERWE-GAYAZA-24h'!E58)</f>
        <v>6</v>
      </c>
      <c r="F58" s="49">
        <f>AVERAGE('26.07 KALERWE-GAYAZA-24h'!F58,'27.07 KALERWE-GAYAZA-24h'!F58)</f>
        <v>34</v>
      </c>
      <c r="G58" s="49">
        <f>AVERAGE('26.07 KALERWE-GAYAZA-24h'!G58,'27.07 KALERWE-GAYAZA-24h'!G58)</f>
        <v>1</v>
      </c>
      <c r="H58" s="49">
        <f>AVERAGE('26.07 KALERWE-GAYAZA-24h'!H58,'27.07 KALERWE-GAYAZA-24h'!H58)</f>
        <v>0</v>
      </c>
      <c r="I58" s="49">
        <f>AVERAGE('26.07 KALERWE-GAYAZA-24h'!I58,'27.07 KALERWE-GAYAZA-24h'!I58)</f>
        <v>35</v>
      </c>
      <c r="J58" s="49">
        <f>AVERAGE('26.07 KALERWE-GAYAZA-24h'!J58,'27.07 KALERWE-GAYAZA-24h'!J58)</f>
        <v>3</v>
      </c>
      <c r="K58" s="49">
        <f>AVERAGE('26.07 KALERWE-GAYAZA-24h'!K58,'27.07 KALERWE-GAYAZA-24h'!K58)</f>
        <v>0</v>
      </c>
      <c r="L58" s="49">
        <f>AVERAGE('26.07 KALERWE-GAYAZA-24h'!L58,'27.07 KALERWE-GAYAZA-24h'!L58)</f>
        <v>1.5</v>
      </c>
      <c r="M58" s="49">
        <f>AVERAGE('26.07 KALERWE-GAYAZA-24h'!M58,'27.07 KALERWE-GAYAZA-24h'!M58)</f>
        <v>397.5</v>
      </c>
      <c r="N58" s="49">
        <f>AVERAGE('26.07 KALERWE-GAYAZA-24h'!N58,'27.07 KALERWE-GAYAZA-24h'!N58)</f>
        <v>0</v>
      </c>
      <c r="O58" s="15">
        <f t="shared" si="0"/>
        <v>177.5</v>
      </c>
      <c r="P58" s="15">
        <f t="shared" si="1"/>
        <v>575</v>
      </c>
      <c r="R58" s="8"/>
      <c r="T58"/>
    </row>
    <row r="59" spans="2:20" ht="23.1" customHeight="1" x14ac:dyDescent="0.25">
      <c r="B59" s="23" t="s">
        <v>100</v>
      </c>
      <c r="C59" s="49">
        <f>AVERAGE('26.07 KALERWE-GAYAZA-24h'!C59,'27.07 KALERWE-GAYAZA-24h'!C59)</f>
        <v>56.5</v>
      </c>
      <c r="D59" s="49">
        <f>AVERAGE('26.07 KALERWE-GAYAZA-24h'!D59,'27.07 KALERWE-GAYAZA-24h'!D59)</f>
        <v>14.5</v>
      </c>
      <c r="E59" s="49">
        <f>AVERAGE('26.07 KALERWE-GAYAZA-24h'!E59,'27.07 KALERWE-GAYAZA-24h'!E59)</f>
        <v>7</v>
      </c>
      <c r="F59" s="49">
        <f>AVERAGE('26.07 KALERWE-GAYAZA-24h'!F59,'27.07 KALERWE-GAYAZA-24h'!F59)</f>
        <v>29.5</v>
      </c>
      <c r="G59" s="49">
        <f>AVERAGE('26.07 KALERWE-GAYAZA-24h'!G59,'27.07 KALERWE-GAYAZA-24h'!G59)</f>
        <v>0.5</v>
      </c>
      <c r="H59" s="49">
        <f>AVERAGE('26.07 KALERWE-GAYAZA-24h'!H59,'27.07 KALERWE-GAYAZA-24h'!H59)</f>
        <v>1.5</v>
      </c>
      <c r="I59" s="49">
        <f>AVERAGE('26.07 KALERWE-GAYAZA-24h'!I59,'27.07 KALERWE-GAYAZA-24h'!I59)</f>
        <v>2.5</v>
      </c>
      <c r="J59" s="49">
        <f>AVERAGE('26.07 KALERWE-GAYAZA-24h'!J59,'27.07 KALERWE-GAYAZA-24h'!J59)</f>
        <v>0.5</v>
      </c>
      <c r="K59" s="49">
        <f>AVERAGE('26.07 KALERWE-GAYAZA-24h'!K59,'27.07 KALERWE-GAYAZA-24h'!K59)</f>
        <v>0</v>
      </c>
      <c r="L59" s="49">
        <f>AVERAGE('26.07 KALERWE-GAYAZA-24h'!L59,'27.07 KALERWE-GAYAZA-24h'!L59)</f>
        <v>0</v>
      </c>
      <c r="M59" s="49">
        <f>AVERAGE('26.07 KALERWE-GAYAZA-24h'!M59,'27.07 KALERWE-GAYAZA-24h'!M59)</f>
        <v>401.5</v>
      </c>
      <c r="N59" s="49">
        <f>AVERAGE('26.07 KALERWE-GAYAZA-24h'!N59,'27.07 KALERWE-GAYAZA-24h'!N59)</f>
        <v>0</v>
      </c>
      <c r="O59" s="15">
        <f t="shared" si="0"/>
        <v>112.5</v>
      </c>
      <c r="P59" s="15">
        <f t="shared" si="1"/>
        <v>514</v>
      </c>
      <c r="R59" s="8"/>
      <c r="T59"/>
    </row>
    <row r="60" spans="2:20" ht="23.1" customHeight="1" x14ac:dyDescent="0.25">
      <c r="B60" s="23" t="s">
        <v>101</v>
      </c>
      <c r="C60" s="49">
        <f>AVERAGE('26.07 KALERWE-GAYAZA-24h'!C60,'27.07 KALERWE-GAYAZA-24h'!C60)</f>
        <v>50.5</v>
      </c>
      <c r="D60" s="49">
        <f>AVERAGE('26.07 KALERWE-GAYAZA-24h'!D60,'27.07 KALERWE-GAYAZA-24h'!D60)</f>
        <v>22.5</v>
      </c>
      <c r="E60" s="49">
        <f>AVERAGE('26.07 KALERWE-GAYAZA-24h'!E60,'27.07 KALERWE-GAYAZA-24h'!E60)</f>
        <v>15</v>
      </c>
      <c r="F60" s="49">
        <f>AVERAGE('26.07 KALERWE-GAYAZA-24h'!F60,'27.07 KALERWE-GAYAZA-24h'!F60)</f>
        <v>37.5</v>
      </c>
      <c r="G60" s="49">
        <f>AVERAGE('26.07 KALERWE-GAYAZA-24h'!G60,'27.07 KALERWE-GAYAZA-24h'!G60)</f>
        <v>2</v>
      </c>
      <c r="H60" s="49">
        <f>AVERAGE('26.07 KALERWE-GAYAZA-24h'!H60,'27.07 KALERWE-GAYAZA-24h'!H60)</f>
        <v>0</v>
      </c>
      <c r="I60" s="49">
        <f>AVERAGE('26.07 KALERWE-GAYAZA-24h'!I60,'27.07 KALERWE-GAYAZA-24h'!I60)</f>
        <v>2.5</v>
      </c>
      <c r="J60" s="49">
        <f>AVERAGE('26.07 KALERWE-GAYAZA-24h'!J60,'27.07 KALERWE-GAYAZA-24h'!J60)</f>
        <v>2.5</v>
      </c>
      <c r="K60" s="49">
        <f>AVERAGE('26.07 KALERWE-GAYAZA-24h'!K60,'27.07 KALERWE-GAYAZA-24h'!K60)</f>
        <v>1</v>
      </c>
      <c r="L60" s="49">
        <f>AVERAGE('26.07 KALERWE-GAYAZA-24h'!L60,'27.07 KALERWE-GAYAZA-24h'!L60)</f>
        <v>0</v>
      </c>
      <c r="M60" s="49">
        <f>AVERAGE('26.07 KALERWE-GAYAZA-24h'!M60,'27.07 KALERWE-GAYAZA-24h'!M60)</f>
        <v>456</v>
      </c>
      <c r="N60" s="49">
        <f>AVERAGE('26.07 KALERWE-GAYAZA-24h'!N60,'27.07 KALERWE-GAYAZA-24h'!N60)</f>
        <v>0</v>
      </c>
      <c r="O60" s="15">
        <f t="shared" si="0"/>
        <v>133.5</v>
      </c>
      <c r="P60" s="15">
        <f t="shared" si="1"/>
        <v>589.5</v>
      </c>
      <c r="R60" s="8"/>
      <c r="T60"/>
    </row>
    <row r="61" spans="2:20" ht="23.1" customHeight="1" x14ac:dyDescent="0.25">
      <c r="B61" s="23" t="s">
        <v>102</v>
      </c>
      <c r="C61" s="49">
        <f>AVERAGE('26.07 KALERWE-GAYAZA-24h'!C61,'27.07 KALERWE-GAYAZA-24h'!C61)</f>
        <v>55.5</v>
      </c>
      <c r="D61" s="49">
        <f>AVERAGE('26.07 KALERWE-GAYAZA-24h'!D61,'27.07 KALERWE-GAYAZA-24h'!D61)</f>
        <v>27.5</v>
      </c>
      <c r="E61" s="49">
        <f>AVERAGE('26.07 KALERWE-GAYAZA-24h'!E61,'27.07 KALERWE-GAYAZA-24h'!E61)</f>
        <v>11</v>
      </c>
      <c r="F61" s="49">
        <f>AVERAGE('26.07 KALERWE-GAYAZA-24h'!F61,'27.07 KALERWE-GAYAZA-24h'!F61)</f>
        <v>27.5</v>
      </c>
      <c r="G61" s="49">
        <f>AVERAGE('26.07 KALERWE-GAYAZA-24h'!G61,'27.07 KALERWE-GAYAZA-24h'!G61)</f>
        <v>2</v>
      </c>
      <c r="H61" s="49">
        <f>AVERAGE('26.07 KALERWE-GAYAZA-24h'!H61,'27.07 KALERWE-GAYAZA-24h'!H61)</f>
        <v>1.5</v>
      </c>
      <c r="I61" s="49">
        <f>AVERAGE('26.07 KALERWE-GAYAZA-24h'!I61,'27.07 KALERWE-GAYAZA-24h'!I61)</f>
        <v>5.5</v>
      </c>
      <c r="J61" s="49">
        <f>AVERAGE('26.07 KALERWE-GAYAZA-24h'!J61,'27.07 KALERWE-GAYAZA-24h'!J61)</f>
        <v>4.5</v>
      </c>
      <c r="K61" s="49">
        <f>AVERAGE('26.07 KALERWE-GAYAZA-24h'!K61,'27.07 KALERWE-GAYAZA-24h'!K61)</f>
        <v>1.5</v>
      </c>
      <c r="L61" s="49">
        <f>AVERAGE('26.07 KALERWE-GAYAZA-24h'!L61,'27.07 KALERWE-GAYAZA-24h'!L61)</f>
        <v>0</v>
      </c>
      <c r="M61" s="49">
        <f>AVERAGE('26.07 KALERWE-GAYAZA-24h'!M61,'27.07 KALERWE-GAYAZA-24h'!M61)</f>
        <v>334.5</v>
      </c>
      <c r="N61" s="49">
        <f>AVERAGE('26.07 KALERWE-GAYAZA-24h'!N61,'27.07 KALERWE-GAYAZA-24h'!N61)</f>
        <v>0</v>
      </c>
      <c r="O61" s="15">
        <f t="shared" si="0"/>
        <v>136.5</v>
      </c>
      <c r="P61" s="15">
        <f t="shared" si="1"/>
        <v>471</v>
      </c>
      <c r="R61" s="8"/>
      <c r="T61"/>
    </row>
    <row r="62" spans="2:20" ht="23.1" customHeight="1" x14ac:dyDescent="0.25">
      <c r="B62" s="23" t="s">
        <v>107</v>
      </c>
      <c r="C62" s="49">
        <f>AVERAGE('26.07 KALERWE-GAYAZA-24h'!C62,'27.07 KALERWE-GAYAZA-24h'!C62)</f>
        <v>40.5</v>
      </c>
      <c r="D62" s="49">
        <f>AVERAGE('26.07 KALERWE-GAYAZA-24h'!D62,'27.07 KALERWE-GAYAZA-24h'!D62)</f>
        <v>8.5</v>
      </c>
      <c r="E62" s="49">
        <f>AVERAGE('26.07 KALERWE-GAYAZA-24h'!E62,'27.07 KALERWE-GAYAZA-24h'!E62)</f>
        <v>7.5</v>
      </c>
      <c r="F62" s="49">
        <f>AVERAGE('26.07 KALERWE-GAYAZA-24h'!F62,'27.07 KALERWE-GAYAZA-24h'!F62)</f>
        <v>20.5</v>
      </c>
      <c r="G62" s="49">
        <f>AVERAGE('26.07 KALERWE-GAYAZA-24h'!G62,'27.07 KALERWE-GAYAZA-24h'!G62)</f>
        <v>0.5</v>
      </c>
      <c r="H62" s="49">
        <f>AVERAGE('26.07 KALERWE-GAYAZA-24h'!H62,'27.07 KALERWE-GAYAZA-24h'!H62)</f>
        <v>0.5</v>
      </c>
      <c r="I62" s="49">
        <f>AVERAGE('26.07 KALERWE-GAYAZA-24h'!I62,'27.07 KALERWE-GAYAZA-24h'!I62)</f>
        <v>6</v>
      </c>
      <c r="J62" s="49">
        <f>AVERAGE('26.07 KALERWE-GAYAZA-24h'!J62,'27.07 KALERWE-GAYAZA-24h'!J62)</f>
        <v>3</v>
      </c>
      <c r="K62" s="49">
        <f>AVERAGE('26.07 KALERWE-GAYAZA-24h'!K62,'27.07 KALERWE-GAYAZA-24h'!K62)</f>
        <v>1</v>
      </c>
      <c r="L62" s="49">
        <f>AVERAGE('26.07 KALERWE-GAYAZA-24h'!L62,'27.07 KALERWE-GAYAZA-24h'!L62)</f>
        <v>1</v>
      </c>
      <c r="M62" s="49">
        <f>AVERAGE('26.07 KALERWE-GAYAZA-24h'!M62,'27.07 KALERWE-GAYAZA-24h'!M62)</f>
        <v>415</v>
      </c>
      <c r="N62" s="49">
        <f>AVERAGE('26.07 KALERWE-GAYAZA-24h'!N62,'27.07 KALERWE-GAYAZA-24h'!N62)</f>
        <v>0</v>
      </c>
      <c r="O62" s="15">
        <f t="shared" si="0"/>
        <v>89</v>
      </c>
      <c r="P62" s="15">
        <f t="shared" si="1"/>
        <v>504</v>
      </c>
      <c r="R62" s="8"/>
      <c r="T62"/>
    </row>
    <row r="63" spans="2:20" ht="23.1" customHeight="1" x14ac:dyDescent="0.25">
      <c r="B63" s="23" t="s">
        <v>108</v>
      </c>
      <c r="C63" s="49">
        <f>AVERAGE('26.07 KALERWE-GAYAZA-24h'!C63,'27.07 KALERWE-GAYAZA-24h'!C63)</f>
        <v>71</v>
      </c>
      <c r="D63" s="49">
        <f>AVERAGE('26.07 KALERWE-GAYAZA-24h'!D63,'27.07 KALERWE-GAYAZA-24h'!D63)</f>
        <v>17.5</v>
      </c>
      <c r="E63" s="49">
        <f>AVERAGE('26.07 KALERWE-GAYAZA-24h'!E63,'27.07 KALERWE-GAYAZA-24h'!E63)</f>
        <v>15</v>
      </c>
      <c r="F63" s="49">
        <f>AVERAGE('26.07 KALERWE-GAYAZA-24h'!F63,'27.07 KALERWE-GAYAZA-24h'!F63)</f>
        <v>57.5</v>
      </c>
      <c r="G63" s="49">
        <f>AVERAGE('26.07 KALERWE-GAYAZA-24h'!G63,'27.07 KALERWE-GAYAZA-24h'!G63)</f>
        <v>0.5</v>
      </c>
      <c r="H63" s="49">
        <f>AVERAGE('26.07 KALERWE-GAYAZA-24h'!H63,'27.07 KALERWE-GAYAZA-24h'!H63)</f>
        <v>0</v>
      </c>
      <c r="I63" s="49">
        <f>AVERAGE('26.07 KALERWE-GAYAZA-24h'!I63,'27.07 KALERWE-GAYAZA-24h'!I63)</f>
        <v>5.5</v>
      </c>
      <c r="J63" s="49">
        <f>AVERAGE('26.07 KALERWE-GAYAZA-24h'!J63,'27.07 KALERWE-GAYAZA-24h'!J63)</f>
        <v>3.5</v>
      </c>
      <c r="K63" s="49">
        <f>AVERAGE('26.07 KALERWE-GAYAZA-24h'!K63,'27.07 KALERWE-GAYAZA-24h'!K63)</f>
        <v>0</v>
      </c>
      <c r="L63" s="49">
        <f>AVERAGE('26.07 KALERWE-GAYAZA-24h'!L63,'27.07 KALERWE-GAYAZA-24h'!L63)</f>
        <v>0.5</v>
      </c>
      <c r="M63" s="49">
        <f>AVERAGE('26.07 KALERWE-GAYAZA-24h'!M63,'27.07 KALERWE-GAYAZA-24h'!M63)</f>
        <v>495</v>
      </c>
      <c r="N63" s="49">
        <f>AVERAGE('26.07 KALERWE-GAYAZA-24h'!N63,'27.07 KALERWE-GAYAZA-24h'!N63)</f>
        <v>0</v>
      </c>
      <c r="O63" s="15">
        <f t="shared" si="0"/>
        <v>171</v>
      </c>
      <c r="P63" s="15">
        <f t="shared" si="1"/>
        <v>666</v>
      </c>
      <c r="R63" s="8"/>
      <c r="T63"/>
    </row>
    <row r="64" spans="2:20" ht="23.1" customHeight="1" x14ac:dyDescent="0.25">
      <c r="B64" s="23" t="s">
        <v>109</v>
      </c>
      <c r="C64" s="49">
        <f>AVERAGE('26.07 KALERWE-GAYAZA-24h'!C64,'27.07 KALERWE-GAYAZA-24h'!C64)</f>
        <v>42.5</v>
      </c>
      <c r="D64" s="49">
        <f>AVERAGE('26.07 KALERWE-GAYAZA-24h'!D64,'27.07 KALERWE-GAYAZA-24h'!D64)</f>
        <v>14</v>
      </c>
      <c r="E64" s="49">
        <f>AVERAGE('26.07 KALERWE-GAYAZA-24h'!E64,'27.07 KALERWE-GAYAZA-24h'!E64)</f>
        <v>7</v>
      </c>
      <c r="F64" s="49">
        <f>AVERAGE('26.07 KALERWE-GAYAZA-24h'!F64,'27.07 KALERWE-GAYAZA-24h'!F64)</f>
        <v>17</v>
      </c>
      <c r="G64" s="49">
        <f>AVERAGE('26.07 KALERWE-GAYAZA-24h'!G64,'27.07 KALERWE-GAYAZA-24h'!G64)</f>
        <v>1</v>
      </c>
      <c r="H64" s="49">
        <f>AVERAGE('26.07 KALERWE-GAYAZA-24h'!H64,'27.07 KALERWE-GAYAZA-24h'!H64)</f>
        <v>0</v>
      </c>
      <c r="I64" s="49">
        <f>AVERAGE('26.07 KALERWE-GAYAZA-24h'!I64,'27.07 KALERWE-GAYAZA-24h'!I64)</f>
        <v>5</v>
      </c>
      <c r="J64" s="49">
        <f>AVERAGE('26.07 KALERWE-GAYAZA-24h'!J64,'27.07 KALERWE-GAYAZA-24h'!J64)</f>
        <v>2</v>
      </c>
      <c r="K64" s="49">
        <f>AVERAGE('26.07 KALERWE-GAYAZA-24h'!K64,'27.07 KALERWE-GAYAZA-24h'!K64)</f>
        <v>0</v>
      </c>
      <c r="L64" s="49">
        <f>AVERAGE('26.07 KALERWE-GAYAZA-24h'!L64,'27.07 KALERWE-GAYAZA-24h'!L64)</f>
        <v>0</v>
      </c>
      <c r="M64" s="49">
        <f>AVERAGE('26.07 KALERWE-GAYAZA-24h'!M64,'27.07 KALERWE-GAYAZA-24h'!M64)</f>
        <v>520</v>
      </c>
      <c r="N64" s="49">
        <f>AVERAGE('26.07 KALERWE-GAYAZA-24h'!N64,'27.07 KALERWE-GAYAZA-24h'!N64)</f>
        <v>0</v>
      </c>
      <c r="O64" s="15">
        <f t="shared" si="0"/>
        <v>88.5</v>
      </c>
      <c r="P64" s="15">
        <f t="shared" si="1"/>
        <v>608.5</v>
      </c>
      <c r="R64" s="8"/>
      <c r="T64"/>
    </row>
    <row r="65" spans="2:20" ht="23.1" customHeight="1" x14ac:dyDescent="0.25">
      <c r="B65" s="23" t="s">
        <v>158</v>
      </c>
      <c r="C65" s="49">
        <f>AVERAGE('26.07 KALERWE-GAYAZA-24h'!C65,'27.07 KALERWE-GAYAZA-24h'!C65)</f>
        <v>62</v>
      </c>
      <c r="D65" s="49">
        <f>AVERAGE('26.07 KALERWE-GAYAZA-24h'!D65,'27.07 KALERWE-GAYAZA-24h'!D65)</f>
        <v>22</v>
      </c>
      <c r="E65" s="49">
        <f>AVERAGE('26.07 KALERWE-GAYAZA-24h'!E65,'27.07 KALERWE-GAYAZA-24h'!E65)</f>
        <v>11.5</v>
      </c>
      <c r="F65" s="49">
        <f>AVERAGE('26.07 KALERWE-GAYAZA-24h'!F65,'27.07 KALERWE-GAYAZA-24h'!F65)</f>
        <v>36</v>
      </c>
      <c r="G65" s="49">
        <f>AVERAGE('26.07 KALERWE-GAYAZA-24h'!G65,'27.07 KALERWE-GAYAZA-24h'!G65)</f>
        <v>1.5</v>
      </c>
      <c r="H65" s="49">
        <f>AVERAGE('26.07 KALERWE-GAYAZA-24h'!H65,'27.07 KALERWE-GAYAZA-24h'!H65)</f>
        <v>0</v>
      </c>
      <c r="I65" s="49">
        <f>AVERAGE('26.07 KALERWE-GAYAZA-24h'!I65,'27.07 KALERWE-GAYAZA-24h'!I65)</f>
        <v>4.5</v>
      </c>
      <c r="J65" s="49">
        <f>AVERAGE('26.07 KALERWE-GAYAZA-24h'!J65,'27.07 KALERWE-GAYAZA-24h'!J65)</f>
        <v>4.5</v>
      </c>
      <c r="K65" s="49">
        <f>AVERAGE('26.07 KALERWE-GAYAZA-24h'!K65,'27.07 KALERWE-GAYAZA-24h'!K65)</f>
        <v>1.5</v>
      </c>
      <c r="L65" s="49">
        <f>AVERAGE('26.07 KALERWE-GAYAZA-24h'!L65,'27.07 KALERWE-GAYAZA-24h'!L65)</f>
        <v>1</v>
      </c>
      <c r="M65" s="49">
        <f>AVERAGE('26.07 KALERWE-GAYAZA-24h'!M65,'27.07 KALERWE-GAYAZA-24h'!M65)</f>
        <v>650</v>
      </c>
      <c r="N65" s="49">
        <f>AVERAGE('26.07 KALERWE-GAYAZA-24h'!N65,'27.07 KALERWE-GAYAZA-24h'!N65)</f>
        <v>0</v>
      </c>
      <c r="O65" s="15">
        <f t="shared" si="0"/>
        <v>144.5</v>
      </c>
      <c r="P65" s="15">
        <f t="shared" si="1"/>
        <v>794.5</v>
      </c>
      <c r="R65" s="8"/>
      <c r="T65"/>
    </row>
    <row r="66" spans="2:20" ht="23.1" customHeight="1" x14ac:dyDescent="0.25">
      <c r="B66" s="23" t="s">
        <v>103</v>
      </c>
      <c r="C66" s="49">
        <f>AVERAGE('26.07 KALERWE-GAYAZA-24h'!C66,'27.07 KALERWE-GAYAZA-24h'!C66)</f>
        <v>58</v>
      </c>
      <c r="D66" s="49">
        <f>AVERAGE('26.07 KALERWE-GAYAZA-24h'!D66,'27.07 KALERWE-GAYAZA-24h'!D66)</f>
        <v>24.5</v>
      </c>
      <c r="E66" s="49">
        <f>AVERAGE('26.07 KALERWE-GAYAZA-24h'!E66,'27.07 KALERWE-GAYAZA-24h'!E66)</f>
        <v>8.5</v>
      </c>
      <c r="F66" s="49">
        <f>AVERAGE('26.07 KALERWE-GAYAZA-24h'!F66,'27.07 KALERWE-GAYAZA-24h'!F66)</f>
        <v>47</v>
      </c>
      <c r="G66" s="49">
        <f>AVERAGE('26.07 KALERWE-GAYAZA-24h'!G66,'27.07 KALERWE-GAYAZA-24h'!G66)</f>
        <v>0.5</v>
      </c>
      <c r="H66" s="49">
        <f>AVERAGE('26.07 KALERWE-GAYAZA-24h'!H66,'27.07 KALERWE-GAYAZA-24h'!H66)</f>
        <v>2</v>
      </c>
      <c r="I66" s="49">
        <f>AVERAGE('26.07 KALERWE-GAYAZA-24h'!I66,'27.07 KALERWE-GAYAZA-24h'!I66)</f>
        <v>2</v>
      </c>
      <c r="J66" s="49">
        <f>AVERAGE('26.07 KALERWE-GAYAZA-24h'!J66,'27.07 KALERWE-GAYAZA-24h'!J66)</f>
        <v>1.5</v>
      </c>
      <c r="K66" s="49">
        <f>AVERAGE('26.07 KALERWE-GAYAZA-24h'!K66,'27.07 KALERWE-GAYAZA-24h'!K66)</f>
        <v>0</v>
      </c>
      <c r="L66" s="49">
        <f>AVERAGE('26.07 KALERWE-GAYAZA-24h'!L66,'27.07 KALERWE-GAYAZA-24h'!L66)</f>
        <v>0.5</v>
      </c>
      <c r="M66" s="49">
        <f>AVERAGE('26.07 KALERWE-GAYAZA-24h'!M66,'27.07 KALERWE-GAYAZA-24h'!M66)</f>
        <v>377.5</v>
      </c>
      <c r="N66" s="49">
        <f>AVERAGE('26.07 KALERWE-GAYAZA-24h'!N66,'27.07 KALERWE-GAYAZA-24h'!N66)</f>
        <v>0</v>
      </c>
      <c r="O66" s="15">
        <f t="shared" si="0"/>
        <v>144.5</v>
      </c>
      <c r="P66" s="15">
        <f t="shared" si="1"/>
        <v>522</v>
      </c>
      <c r="R66" s="8"/>
      <c r="T66"/>
    </row>
    <row r="67" spans="2:20" ht="23.1" customHeight="1" x14ac:dyDescent="0.25">
      <c r="B67" s="23" t="s">
        <v>104</v>
      </c>
      <c r="C67" s="49">
        <f>AVERAGE('26.07 KALERWE-GAYAZA-24h'!C67,'27.07 KALERWE-GAYAZA-24h'!C67)</f>
        <v>40.5</v>
      </c>
      <c r="D67" s="49">
        <f>AVERAGE('26.07 KALERWE-GAYAZA-24h'!D67,'27.07 KALERWE-GAYAZA-24h'!D67)</f>
        <v>15.5</v>
      </c>
      <c r="E67" s="49">
        <f>AVERAGE('26.07 KALERWE-GAYAZA-24h'!E67,'27.07 KALERWE-GAYAZA-24h'!E67)</f>
        <v>6</v>
      </c>
      <c r="F67" s="49">
        <f>AVERAGE('26.07 KALERWE-GAYAZA-24h'!F67,'27.07 KALERWE-GAYAZA-24h'!F67)</f>
        <v>72.5</v>
      </c>
      <c r="G67" s="49">
        <f>AVERAGE('26.07 KALERWE-GAYAZA-24h'!G67,'27.07 KALERWE-GAYAZA-24h'!G67)</f>
        <v>2</v>
      </c>
      <c r="H67" s="49">
        <f>AVERAGE('26.07 KALERWE-GAYAZA-24h'!H67,'27.07 KALERWE-GAYAZA-24h'!H67)</f>
        <v>1</v>
      </c>
      <c r="I67" s="49">
        <f>AVERAGE('26.07 KALERWE-GAYAZA-24h'!I67,'27.07 KALERWE-GAYAZA-24h'!I67)</f>
        <v>3.5</v>
      </c>
      <c r="J67" s="49">
        <f>AVERAGE('26.07 KALERWE-GAYAZA-24h'!J67,'27.07 KALERWE-GAYAZA-24h'!J67)</f>
        <v>0.5</v>
      </c>
      <c r="K67" s="49">
        <f>AVERAGE('26.07 KALERWE-GAYAZA-24h'!K67,'27.07 KALERWE-GAYAZA-24h'!K67)</f>
        <v>1.5</v>
      </c>
      <c r="L67" s="49">
        <f>AVERAGE('26.07 KALERWE-GAYAZA-24h'!L67,'27.07 KALERWE-GAYAZA-24h'!L67)</f>
        <v>1</v>
      </c>
      <c r="M67" s="49">
        <f>AVERAGE('26.07 KALERWE-GAYAZA-24h'!M67,'27.07 KALERWE-GAYAZA-24h'!M67)</f>
        <v>335.5</v>
      </c>
      <c r="N67" s="49">
        <f>AVERAGE('26.07 KALERWE-GAYAZA-24h'!N67,'27.07 KALERWE-GAYAZA-24h'!N67)</f>
        <v>0</v>
      </c>
      <c r="O67" s="15">
        <f t="shared" si="0"/>
        <v>144</v>
      </c>
      <c r="P67" s="15">
        <f t="shared" si="1"/>
        <v>479.5</v>
      </c>
      <c r="R67" s="8"/>
      <c r="T67"/>
    </row>
    <row r="68" spans="2:20" ht="23.1" customHeight="1" x14ac:dyDescent="0.25">
      <c r="B68" s="23" t="s">
        <v>105</v>
      </c>
      <c r="C68" s="49">
        <f>AVERAGE('26.07 KALERWE-GAYAZA-24h'!C68,'27.07 KALERWE-GAYAZA-24h'!C68)</f>
        <v>57.5</v>
      </c>
      <c r="D68" s="49">
        <f>AVERAGE('26.07 KALERWE-GAYAZA-24h'!D68,'27.07 KALERWE-GAYAZA-24h'!D68)</f>
        <v>24</v>
      </c>
      <c r="E68" s="49">
        <f>AVERAGE('26.07 KALERWE-GAYAZA-24h'!E68,'27.07 KALERWE-GAYAZA-24h'!E68)</f>
        <v>12</v>
      </c>
      <c r="F68" s="49">
        <f>AVERAGE('26.07 KALERWE-GAYAZA-24h'!F68,'27.07 KALERWE-GAYAZA-24h'!F68)</f>
        <v>34.5</v>
      </c>
      <c r="G68" s="49">
        <f>AVERAGE('26.07 KALERWE-GAYAZA-24h'!G68,'27.07 KALERWE-GAYAZA-24h'!G68)</f>
        <v>3</v>
      </c>
      <c r="H68" s="49">
        <f>AVERAGE('26.07 KALERWE-GAYAZA-24h'!H68,'27.07 KALERWE-GAYAZA-24h'!H68)</f>
        <v>1</v>
      </c>
      <c r="I68" s="49">
        <f>AVERAGE('26.07 KALERWE-GAYAZA-24h'!I68,'27.07 KALERWE-GAYAZA-24h'!I68)</f>
        <v>3.5</v>
      </c>
      <c r="J68" s="49">
        <f>AVERAGE('26.07 KALERWE-GAYAZA-24h'!J68,'27.07 KALERWE-GAYAZA-24h'!J68)</f>
        <v>2</v>
      </c>
      <c r="K68" s="49">
        <f>AVERAGE('26.07 KALERWE-GAYAZA-24h'!K68,'27.07 KALERWE-GAYAZA-24h'!K68)</f>
        <v>1.5</v>
      </c>
      <c r="L68" s="49">
        <f>AVERAGE('26.07 KALERWE-GAYAZA-24h'!L68,'27.07 KALERWE-GAYAZA-24h'!L68)</f>
        <v>1</v>
      </c>
      <c r="M68" s="49">
        <f>AVERAGE('26.07 KALERWE-GAYAZA-24h'!M68,'27.07 KALERWE-GAYAZA-24h'!M68)</f>
        <v>420</v>
      </c>
      <c r="N68" s="49">
        <f>AVERAGE('26.07 KALERWE-GAYAZA-24h'!N68,'27.07 KALERWE-GAYAZA-24h'!N68)</f>
        <v>0</v>
      </c>
      <c r="O68" s="15">
        <f t="shared" si="0"/>
        <v>140</v>
      </c>
      <c r="P68" s="15">
        <f t="shared" si="1"/>
        <v>560</v>
      </c>
      <c r="R68" s="8"/>
      <c r="T68"/>
    </row>
    <row r="69" spans="2:20" ht="23.1" customHeight="1" x14ac:dyDescent="0.25">
      <c r="B69" s="23" t="s">
        <v>106</v>
      </c>
      <c r="C69" s="49">
        <f>AVERAGE('26.07 KALERWE-GAYAZA-24h'!C69,'27.07 KALERWE-GAYAZA-24h'!C69)</f>
        <v>54</v>
      </c>
      <c r="D69" s="49">
        <f>AVERAGE('26.07 KALERWE-GAYAZA-24h'!D69,'27.07 KALERWE-GAYAZA-24h'!D69)</f>
        <v>27</v>
      </c>
      <c r="E69" s="49">
        <f>AVERAGE('26.07 KALERWE-GAYAZA-24h'!E69,'27.07 KALERWE-GAYAZA-24h'!E69)</f>
        <v>15</v>
      </c>
      <c r="F69" s="49">
        <f>AVERAGE('26.07 KALERWE-GAYAZA-24h'!F69,'27.07 KALERWE-GAYAZA-24h'!F69)</f>
        <v>44</v>
      </c>
      <c r="G69" s="49">
        <f>AVERAGE('26.07 KALERWE-GAYAZA-24h'!G69,'27.07 KALERWE-GAYAZA-24h'!G69)</f>
        <v>0</v>
      </c>
      <c r="H69" s="49">
        <f>AVERAGE('26.07 KALERWE-GAYAZA-24h'!H69,'27.07 KALERWE-GAYAZA-24h'!H69)</f>
        <v>2</v>
      </c>
      <c r="I69" s="49">
        <f>AVERAGE('26.07 KALERWE-GAYAZA-24h'!I69,'27.07 KALERWE-GAYAZA-24h'!I69)</f>
        <v>2</v>
      </c>
      <c r="J69" s="49">
        <f>AVERAGE('26.07 KALERWE-GAYAZA-24h'!J69,'27.07 KALERWE-GAYAZA-24h'!J69)</f>
        <v>5</v>
      </c>
      <c r="K69" s="49">
        <f>AVERAGE('26.07 KALERWE-GAYAZA-24h'!K69,'27.07 KALERWE-GAYAZA-24h'!K69)</f>
        <v>1.5</v>
      </c>
      <c r="L69" s="49">
        <f>AVERAGE('26.07 KALERWE-GAYAZA-24h'!L69,'27.07 KALERWE-GAYAZA-24h'!L69)</f>
        <v>1.5</v>
      </c>
      <c r="M69" s="49">
        <f>AVERAGE('26.07 KALERWE-GAYAZA-24h'!M69,'27.07 KALERWE-GAYAZA-24h'!M69)</f>
        <v>300</v>
      </c>
      <c r="N69" s="49">
        <f>AVERAGE('26.07 KALERWE-GAYAZA-24h'!N69,'27.07 KALERWE-GAYAZA-24h'!N69)</f>
        <v>0</v>
      </c>
      <c r="O69" s="15">
        <f t="shared" si="0"/>
        <v>152</v>
      </c>
      <c r="P69" s="15">
        <f t="shared" si="1"/>
        <v>452</v>
      </c>
      <c r="R69" s="8"/>
      <c r="T69"/>
    </row>
    <row r="70" spans="2:20" ht="23.1" customHeight="1" x14ac:dyDescent="0.25">
      <c r="B70" s="23" t="s">
        <v>110</v>
      </c>
      <c r="C70" s="49">
        <f>AVERAGE('26.07 KALERWE-GAYAZA-24h'!C70,'27.07 KALERWE-GAYAZA-24h'!C70)</f>
        <v>62.5</v>
      </c>
      <c r="D70" s="49">
        <f>AVERAGE('26.07 KALERWE-GAYAZA-24h'!D70,'27.07 KALERWE-GAYAZA-24h'!D70)</f>
        <v>21.5</v>
      </c>
      <c r="E70" s="49">
        <f>AVERAGE('26.07 KALERWE-GAYAZA-24h'!E70,'27.07 KALERWE-GAYAZA-24h'!E70)</f>
        <v>5.5</v>
      </c>
      <c r="F70" s="49">
        <f>AVERAGE('26.07 KALERWE-GAYAZA-24h'!F70,'27.07 KALERWE-GAYAZA-24h'!F70)</f>
        <v>46.5</v>
      </c>
      <c r="G70" s="49">
        <f>AVERAGE('26.07 KALERWE-GAYAZA-24h'!G70,'27.07 KALERWE-GAYAZA-24h'!G70)</f>
        <v>0.5</v>
      </c>
      <c r="H70" s="49">
        <f>AVERAGE('26.07 KALERWE-GAYAZA-24h'!H70,'27.07 KALERWE-GAYAZA-24h'!H70)</f>
        <v>1.5</v>
      </c>
      <c r="I70" s="49">
        <f>AVERAGE('26.07 KALERWE-GAYAZA-24h'!I70,'27.07 KALERWE-GAYAZA-24h'!I70)</f>
        <v>2.5</v>
      </c>
      <c r="J70" s="49">
        <f>AVERAGE('26.07 KALERWE-GAYAZA-24h'!J70,'27.07 KALERWE-GAYAZA-24h'!J70)</f>
        <v>2.5</v>
      </c>
      <c r="K70" s="49">
        <f>AVERAGE('26.07 KALERWE-GAYAZA-24h'!K70,'27.07 KALERWE-GAYAZA-24h'!K70)</f>
        <v>1</v>
      </c>
      <c r="L70" s="49">
        <f>AVERAGE('26.07 KALERWE-GAYAZA-24h'!L70,'27.07 KALERWE-GAYAZA-24h'!L70)</f>
        <v>0.5</v>
      </c>
      <c r="M70" s="49">
        <f>AVERAGE('26.07 KALERWE-GAYAZA-24h'!M70,'27.07 KALERWE-GAYAZA-24h'!M70)</f>
        <v>316</v>
      </c>
      <c r="N70" s="49">
        <f>AVERAGE('26.07 KALERWE-GAYAZA-24h'!N70,'27.07 KALERWE-GAYAZA-24h'!N70)</f>
        <v>0</v>
      </c>
      <c r="O70" s="15">
        <f t="shared" si="0"/>
        <v>144.5</v>
      </c>
      <c r="P70" s="15">
        <f t="shared" si="1"/>
        <v>460.5</v>
      </c>
      <c r="R70" s="8"/>
      <c r="T70"/>
    </row>
    <row r="71" spans="2:20" ht="23.1" customHeight="1" x14ac:dyDescent="0.25">
      <c r="B71" s="23" t="s">
        <v>111</v>
      </c>
      <c r="C71" s="49">
        <f>AVERAGE('26.07 KALERWE-GAYAZA-24h'!C71,'27.07 KALERWE-GAYAZA-24h'!C71)</f>
        <v>41</v>
      </c>
      <c r="D71" s="49">
        <f>AVERAGE('26.07 KALERWE-GAYAZA-24h'!D71,'27.07 KALERWE-GAYAZA-24h'!D71)</f>
        <v>20</v>
      </c>
      <c r="E71" s="49">
        <f>AVERAGE('26.07 KALERWE-GAYAZA-24h'!E71,'27.07 KALERWE-GAYAZA-24h'!E71)</f>
        <v>13.5</v>
      </c>
      <c r="F71" s="49">
        <f>AVERAGE('26.07 KALERWE-GAYAZA-24h'!F71,'27.07 KALERWE-GAYAZA-24h'!F71)</f>
        <v>34.5</v>
      </c>
      <c r="G71" s="49">
        <f>AVERAGE('26.07 KALERWE-GAYAZA-24h'!G71,'27.07 KALERWE-GAYAZA-24h'!G71)</f>
        <v>1</v>
      </c>
      <c r="H71" s="49">
        <f>AVERAGE('26.07 KALERWE-GAYAZA-24h'!H71,'27.07 KALERWE-GAYAZA-24h'!H71)</f>
        <v>0</v>
      </c>
      <c r="I71" s="49">
        <f>AVERAGE('26.07 KALERWE-GAYAZA-24h'!I71,'27.07 KALERWE-GAYAZA-24h'!I71)</f>
        <v>4</v>
      </c>
      <c r="J71" s="49">
        <f>AVERAGE('26.07 KALERWE-GAYAZA-24h'!J71,'27.07 KALERWE-GAYAZA-24h'!J71)</f>
        <v>6</v>
      </c>
      <c r="K71" s="49">
        <f>AVERAGE('26.07 KALERWE-GAYAZA-24h'!K71,'27.07 KALERWE-GAYAZA-24h'!K71)</f>
        <v>1</v>
      </c>
      <c r="L71" s="49">
        <f>AVERAGE('26.07 KALERWE-GAYAZA-24h'!L71,'27.07 KALERWE-GAYAZA-24h'!L71)</f>
        <v>1.5</v>
      </c>
      <c r="M71" s="49">
        <f>AVERAGE('26.07 KALERWE-GAYAZA-24h'!M71,'27.07 KALERWE-GAYAZA-24h'!M71)</f>
        <v>261.5</v>
      </c>
      <c r="N71" s="49">
        <f>AVERAGE('26.07 KALERWE-GAYAZA-24h'!N71,'27.07 KALERWE-GAYAZA-24h'!N71)</f>
        <v>0</v>
      </c>
      <c r="O71" s="15">
        <f t="shared" si="0"/>
        <v>122.5</v>
      </c>
      <c r="P71" s="15">
        <f t="shared" si="1"/>
        <v>384</v>
      </c>
      <c r="R71" s="8"/>
      <c r="T71"/>
    </row>
    <row r="72" spans="2:20" ht="23.1" customHeight="1" x14ac:dyDescent="0.25">
      <c r="B72" s="23" t="s">
        <v>112</v>
      </c>
      <c r="C72" s="49">
        <f>AVERAGE('26.07 KALERWE-GAYAZA-24h'!C72,'27.07 KALERWE-GAYAZA-24h'!C72)</f>
        <v>57.5</v>
      </c>
      <c r="D72" s="49">
        <f>AVERAGE('26.07 KALERWE-GAYAZA-24h'!D72,'27.07 KALERWE-GAYAZA-24h'!D72)</f>
        <v>24.5</v>
      </c>
      <c r="E72" s="49">
        <f>AVERAGE('26.07 KALERWE-GAYAZA-24h'!E72,'27.07 KALERWE-GAYAZA-24h'!E72)</f>
        <v>7.5</v>
      </c>
      <c r="F72" s="49">
        <f>AVERAGE('26.07 KALERWE-GAYAZA-24h'!F72,'27.07 KALERWE-GAYAZA-24h'!F72)</f>
        <v>22.5</v>
      </c>
      <c r="G72" s="49">
        <f>AVERAGE('26.07 KALERWE-GAYAZA-24h'!G72,'27.07 KALERWE-GAYAZA-24h'!G72)</f>
        <v>1</v>
      </c>
      <c r="H72" s="49">
        <f>AVERAGE('26.07 KALERWE-GAYAZA-24h'!H72,'27.07 KALERWE-GAYAZA-24h'!H72)</f>
        <v>0</v>
      </c>
      <c r="I72" s="49">
        <f>AVERAGE('26.07 KALERWE-GAYAZA-24h'!I72,'27.07 KALERWE-GAYAZA-24h'!I72)</f>
        <v>1</v>
      </c>
      <c r="J72" s="49">
        <f>AVERAGE('26.07 KALERWE-GAYAZA-24h'!J72,'27.07 KALERWE-GAYAZA-24h'!J72)</f>
        <v>6.5</v>
      </c>
      <c r="K72" s="49">
        <f>AVERAGE('26.07 KALERWE-GAYAZA-24h'!K72,'27.07 KALERWE-GAYAZA-24h'!K72)</f>
        <v>1</v>
      </c>
      <c r="L72" s="49">
        <f>AVERAGE('26.07 KALERWE-GAYAZA-24h'!L72,'27.07 KALERWE-GAYAZA-24h'!L72)</f>
        <v>0.5</v>
      </c>
      <c r="M72" s="49">
        <f>AVERAGE('26.07 KALERWE-GAYAZA-24h'!M72,'27.07 KALERWE-GAYAZA-24h'!M72)</f>
        <v>352.5</v>
      </c>
      <c r="N72" s="49">
        <f>AVERAGE('26.07 KALERWE-GAYAZA-24h'!N72,'27.07 KALERWE-GAYAZA-24h'!N72)</f>
        <v>0</v>
      </c>
      <c r="O72" s="15">
        <f t="shared" si="0"/>
        <v>122</v>
      </c>
      <c r="P72" s="15">
        <f t="shared" si="1"/>
        <v>474.5</v>
      </c>
      <c r="R72" s="8"/>
      <c r="T72"/>
    </row>
    <row r="73" spans="2:20" ht="23.1" customHeight="1" x14ac:dyDescent="0.25">
      <c r="B73" s="23" t="s">
        <v>113</v>
      </c>
      <c r="C73" s="49">
        <f>AVERAGE('26.07 KALERWE-GAYAZA-24h'!C73,'27.07 KALERWE-GAYAZA-24h'!C73)</f>
        <v>37.5</v>
      </c>
      <c r="D73" s="49">
        <f>AVERAGE('26.07 KALERWE-GAYAZA-24h'!D73,'27.07 KALERWE-GAYAZA-24h'!D73)</f>
        <v>20</v>
      </c>
      <c r="E73" s="49">
        <f>AVERAGE('26.07 KALERWE-GAYAZA-24h'!E73,'27.07 KALERWE-GAYAZA-24h'!E73)</f>
        <v>2.5</v>
      </c>
      <c r="F73" s="49">
        <f>AVERAGE('26.07 KALERWE-GAYAZA-24h'!F73,'27.07 KALERWE-GAYAZA-24h'!F73)</f>
        <v>41.5</v>
      </c>
      <c r="G73" s="49">
        <f>AVERAGE('26.07 KALERWE-GAYAZA-24h'!G73,'27.07 KALERWE-GAYAZA-24h'!G73)</f>
        <v>0</v>
      </c>
      <c r="H73" s="49">
        <f>AVERAGE('26.07 KALERWE-GAYAZA-24h'!H73,'27.07 KALERWE-GAYAZA-24h'!H73)</f>
        <v>0</v>
      </c>
      <c r="I73" s="49">
        <f>AVERAGE('26.07 KALERWE-GAYAZA-24h'!I73,'27.07 KALERWE-GAYAZA-24h'!I73)</f>
        <v>2</v>
      </c>
      <c r="J73" s="49">
        <f>AVERAGE('26.07 KALERWE-GAYAZA-24h'!J73,'27.07 KALERWE-GAYAZA-24h'!J73)</f>
        <v>2.5</v>
      </c>
      <c r="K73" s="49">
        <f>AVERAGE('26.07 KALERWE-GAYAZA-24h'!K73,'27.07 KALERWE-GAYAZA-24h'!K73)</f>
        <v>0.5</v>
      </c>
      <c r="L73" s="49">
        <f>AVERAGE('26.07 KALERWE-GAYAZA-24h'!L73,'27.07 KALERWE-GAYAZA-24h'!L73)</f>
        <v>0</v>
      </c>
      <c r="M73" s="49">
        <f>AVERAGE('26.07 KALERWE-GAYAZA-24h'!M73,'27.07 KALERWE-GAYAZA-24h'!M73)</f>
        <v>350</v>
      </c>
      <c r="N73" s="49">
        <f>AVERAGE('26.07 KALERWE-GAYAZA-24h'!N73,'27.07 KALERWE-GAYAZA-24h'!N73)</f>
        <v>0</v>
      </c>
      <c r="O73" s="15">
        <f t="shared" si="0"/>
        <v>106.5</v>
      </c>
      <c r="P73" s="15">
        <f t="shared" si="1"/>
        <v>456.5</v>
      </c>
      <c r="R73" s="8"/>
      <c r="T73"/>
    </row>
    <row r="74" spans="2:20" ht="23.1" customHeight="1" x14ac:dyDescent="0.25">
      <c r="B74" s="23" t="s">
        <v>114</v>
      </c>
      <c r="C74" s="49">
        <f>AVERAGE('26.07 KALERWE-GAYAZA-24h'!C74,'27.07 KALERWE-GAYAZA-24h'!C74)</f>
        <v>54.5</v>
      </c>
      <c r="D74" s="49">
        <f>AVERAGE('26.07 KALERWE-GAYAZA-24h'!D74,'27.07 KALERWE-GAYAZA-24h'!D74)</f>
        <v>16</v>
      </c>
      <c r="E74" s="49">
        <f>AVERAGE('26.07 KALERWE-GAYAZA-24h'!E74,'27.07 KALERWE-GAYAZA-24h'!E74)</f>
        <v>7</v>
      </c>
      <c r="F74" s="49">
        <f>AVERAGE('26.07 KALERWE-GAYAZA-24h'!F74,'27.07 KALERWE-GAYAZA-24h'!F74)</f>
        <v>44</v>
      </c>
      <c r="G74" s="49">
        <f>AVERAGE('26.07 KALERWE-GAYAZA-24h'!G74,'27.07 KALERWE-GAYAZA-24h'!G74)</f>
        <v>0.5</v>
      </c>
      <c r="H74" s="49">
        <f>AVERAGE('26.07 KALERWE-GAYAZA-24h'!H74,'27.07 KALERWE-GAYAZA-24h'!H74)</f>
        <v>0</v>
      </c>
      <c r="I74" s="49">
        <f>AVERAGE('26.07 KALERWE-GAYAZA-24h'!I74,'27.07 KALERWE-GAYAZA-24h'!I74)</f>
        <v>5</v>
      </c>
      <c r="J74" s="49">
        <f>AVERAGE('26.07 KALERWE-GAYAZA-24h'!J74,'27.07 KALERWE-GAYAZA-24h'!J74)</f>
        <v>3.5</v>
      </c>
      <c r="K74" s="49">
        <f>AVERAGE('26.07 KALERWE-GAYAZA-24h'!K74,'27.07 KALERWE-GAYAZA-24h'!K74)</f>
        <v>1</v>
      </c>
      <c r="L74" s="49">
        <f>AVERAGE('26.07 KALERWE-GAYAZA-24h'!L74,'27.07 KALERWE-GAYAZA-24h'!L74)</f>
        <v>1</v>
      </c>
      <c r="M74" s="49">
        <f>AVERAGE('26.07 KALERWE-GAYAZA-24h'!M74,'27.07 KALERWE-GAYAZA-24h'!M74)</f>
        <v>237.5</v>
      </c>
      <c r="N74" s="49">
        <f>AVERAGE('26.07 KALERWE-GAYAZA-24h'!N74,'27.07 KALERWE-GAYAZA-24h'!N74)</f>
        <v>0</v>
      </c>
      <c r="O74" s="15">
        <f t="shared" ref="O74:O105" si="35">SUM(C74:L74,N74)</f>
        <v>132.5</v>
      </c>
      <c r="P74" s="15">
        <f t="shared" ref="P74:P105" si="36">SUM(C74:N74)</f>
        <v>370</v>
      </c>
      <c r="R74" s="8"/>
      <c r="T74"/>
    </row>
    <row r="75" spans="2:20" ht="23.1" customHeight="1" x14ac:dyDescent="0.25">
      <c r="B75" s="23" t="s">
        <v>115</v>
      </c>
      <c r="C75" s="49">
        <f>AVERAGE('26.07 KALERWE-GAYAZA-24h'!C75,'27.07 KALERWE-GAYAZA-24h'!C75)</f>
        <v>44</v>
      </c>
      <c r="D75" s="49">
        <f>AVERAGE('26.07 KALERWE-GAYAZA-24h'!D75,'27.07 KALERWE-GAYAZA-24h'!D75)</f>
        <v>22.5</v>
      </c>
      <c r="E75" s="49">
        <f>AVERAGE('26.07 KALERWE-GAYAZA-24h'!E75,'27.07 KALERWE-GAYAZA-24h'!E75)</f>
        <v>9.5</v>
      </c>
      <c r="F75" s="49">
        <f>AVERAGE('26.07 KALERWE-GAYAZA-24h'!F75,'27.07 KALERWE-GAYAZA-24h'!F75)</f>
        <v>37.5</v>
      </c>
      <c r="G75" s="49">
        <f>AVERAGE('26.07 KALERWE-GAYAZA-24h'!G75,'27.07 KALERWE-GAYAZA-24h'!G75)</f>
        <v>0</v>
      </c>
      <c r="H75" s="49">
        <f>AVERAGE('26.07 KALERWE-GAYAZA-24h'!H75,'27.07 KALERWE-GAYAZA-24h'!H75)</f>
        <v>0.5</v>
      </c>
      <c r="I75" s="49">
        <f>AVERAGE('26.07 KALERWE-GAYAZA-24h'!I75,'27.07 KALERWE-GAYAZA-24h'!I75)</f>
        <v>3</v>
      </c>
      <c r="J75" s="49">
        <f>AVERAGE('26.07 KALERWE-GAYAZA-24h'!J75,'27.07 KALERWE-GAYAZA-24h'!J75)</f>
        <v>2.5</v>
      </c>
      <c r="K75" s="49">
        <f>AVERAGE('26.07 KALERWE-GAYAZA-24h'!K75,'27.07 KALERWE-GAYAZA-24h'!K75)</f>
        <v>0.5</v>
      </c>
      <c r="L75" s="49">
        <f>AVERAGE('26.07 KALERWE-GAYAZA-24h'!L75,'27.07 KALERWE-GAYAZA-24h'!L75)</f>
        <v>1</v>
      </c>
      <c r="M75" s="49">
        <f>AVERAGE('26.07 KALERWE-GAYAZA-24h'!M75,'27.07 KALERWE-GAYAZA-24h'!M75)</f>
        <v>190</v>
      </c>
      <c r="N75" s="49">
        <f>AVERAGE('26.07 KALERWE-GAYAZA-24h'!N75,'27.07 KALERWE-GAYAZA-24h'!N75)</f>
        <v>0</v>
      </c>
      <c r="O75" s="15">
        <f t="shared" si="35"/>
        <v>121</v>
      </c>
      <c r="P75" s="15">
        <f t="shared" si="36"/>
        <v>311</v>
      </c>
      <c r="R75" s="8"/>
      <c r="T75"/>
    </row>
    <row r="76" spans="2:20" ht="23.1" customHeight="1" x14ac:dyDescent="0.25">
      <c r="B76" s="23" t="s">
        <v>116</v>
      </c>
      <c r="C76" s="49">
        <f>AVERAGE('26.07 KALERWE-GAYAZA-24h'!C76,'27.07 KALERWE-GAYAZA-24h'!C76)</f>
        <v>53.5</v>
      </c>
      <c r="D76" s="49">
        <f>AVERAGE('26.07 KALERWE-GAYAZA-24h'!D76,'27.07 KALERWE-GAYAZA-24h'!D76)</f>
        <v>24</v>
      </c>
      <c r="E76" s="49">
        <f>AVERAGE('26.07 KALERWE-GAYAZA-24h'!E76,'27.07 KALERWE-GAYAZA-24h'!E76)</f>
        <v>9.5</v>
      </c>
      <c r="F76" s="49">
        <f>AVERAGE('26.07 KALERWE-GAYAZA-24h'!F76,'27.07 KALERWE-GAYAZA-24h'!F76)</f>
        <v>40.5</v>
      </c>
      <c r="G76" s="49">
        <f>AVERAGE('26.07 KALERWE-GAYAZA-24h'!G76,'27.07 KALERWE-GAYAZA-24h'!G76)</f>
        <v>0.5</v>
      </c>
      <c r="H76" s="49">
        <f>AVERAGE('26.07 KALERWE-GAYAZA-24h'!H76,'27.07 KALERWE-GAYAZA-24h'!H76)</f>
        <v>0</v>
      </c>
      <c r="I76" s="49">
        <f>AVERAGE('26.07 KALERWE-GAYAZA-24h'!I76,'27.07 KALERWE-GAYAZA-24h'!I76)</f>
        <v>3</v>
      </c>
      <c r="J76" s="49">
        <f>AVERAGE('26.07 KALERWE-GAYAZA-24h'!J76,'27.07 KALERWE-GAYAZA-24h'!J76)</f>
        <v>2</v>
      </c>
      <c r="K76" s="49">
        <f>AVERAGE('26.07 KALERWE-GAYAZA-24h'!K76,'27.07 KALERWE-GAYAZA-24h'!K76)</f>
        <v>1</v>
      </c>
      <c r="L76" s="49">
        <f>AVERAGE('26.07 KALERWE-GAYAZA-24h'!L76,'27.07 KALERWE-GAYAZA-24h'!L76)</f>
        <v>0</v>
      </c>
      <c r="M76" s="49">
        <f>AVERAGE('26.07 KALERWE-GAYAZA-24h'!M76,'27.07 KALERWE-GAYAZA-24h'!M76)</f>
        <v>175</v>
      </c>
      <c r="N76" s="49">
        <f>AVERAGE('26.07 KALERWE-GAYAZA-24h'!N76,'27.07 KALERWE-GAYAZA-24h'!N76)</f>
        <v>0</v>
      </c>
      <c r="O76" s="15">
        <f t="shared" si="35"/>
        <v>134</v>
      </c>
      <c r="P76" s="15">
        <f t="shared" si="36"/>
        <v>309</v>
      </c>
      <c r="R76" s="8"/>
      <c r="T76"/>
    </row>
    <row r="77" spans="2:20" ht="23.1" customHeight="1" x14ac:dyDescent="0.25">
      <c r="B77" s="23" t="s">
        <v>117</v>
      </c>
      <c r="C77" s="49">
        <f>AVERAGE('26.07 KALERWE-GAYAZA-24h'!C77,'27.07 KALERWE-GAYAZA-24h'!C77)</f>
        <v>58.5</v>
      </c>
      <c r="D77" s="49">
        <f>AVERAGE('26.07 KALERWE-GAYAZA-24h'!D77,'27.07 KALERWE-GAYAZA-24h'!D77)</f>
        <v>16</v>
      </c>
      <c r="E77" s="49">
        <f>AVERAGE('26.07 KALERWE-GAYAZA-24h'!E77,'27.07 KALERWE-GAYAZA-24h'!E77)</f>
        <v>4</v>
      </c>
      <c r="F77" s="49">
        <f>AVERAGE('26.07 KALERWE-GAYAZA-24h'!F77,'27.07 KALERWE-GAYAZA-24h'!F77)</f>
        <v>44</v>
      </c>
      <c r="G77" s="49">
        <f>AVERAGE('26.07 KALERWE-GAYAZA-24h'!G77,'27.07 KALERWE-GAYAZA-24h'!G77)</f>
        <v>0</v>
      </c>
      <c r="H77" s="49">
        <f>AVERAGE('26.07 KALERWE-GAYAZA-24h'!H77,'27.07 KALERWE-GAYAZA-24h'!H77)</f>
        <v>0</v>
      </c>
      <c r="I77" s="49">
        <f>AVERAGE('26.07 KALERWE-GAYAZA-24h'!I77,'27.07 KALERWE-GAYAZA-24h'!I77)</f>
        <v>2.5</v>
      </c>
      <c r="J77" s="49">
        <f>AVERAGE('26.07 KALERWE-GAYAZA-24h'!J77,'27.07 KALERWE-GAYAZA-24h'!J77)</f>
        <v>3</v>
      </c>
      <c r="K77" s="49">
        <f>AVERAGE('26.07 KALERWE-GAYAZA-24h'!K77,'27.07 KALERWE-GAYAZA-24h'!K77)</f>
        <v>0.5</v>
      </c>
      <c r="L77" s="49">
        <f>AVERAGE('26.07 KALERWE-GAYAZA-24h'!L77,'27.07 KALERWE-GAYAZA-24h'!L77)</f>
        <v>1.5</v>
      </c>
      <c r="M77" s="49">
        <f>AVERAGE('26.07 KALERWE-GAYAZA-24h'!M77,'27.07 KALERWE-GAYAZA-24h'!M77)</f>
        <v>187.5</v>
      </c>
      <c r="N77" s="49">
        <f>AVERAGE('26.07 KALERWE-GAYAZA-24h'!N77,'27.07 KALERWE-GAYAZA-24h'!N77)</f>
        <v>0</v>
      </c>
      <c r="O77" s="15">
        <f t="shared" si="35"/>
        <v>130</v>
      </c>
      <c r="P77" s="15">
        <f t="shared" si="36"/>
        <v>317.5</v>
      </c>
      <c r="R77" s="8"/>
      <c r="T77"/>
    </row>
    <row r="78" spans="2:20" ht="23.1" customHeight="1" x14ac:dyDescent="0.25">
      <c r="B78" s="24" t="s">
        <v>118</v>
      </c>
      <c r="C78" s="49">
        <f>AVERAGE('26.07 KALERWE-GAYAZA-24h'!C78,'27.07 KALERWE-GAYAZA-24h'!C78)</f>
        <v>43</v>
      </c>
      <c r="D78" s="49">
        <f>AVERAGE('26.07 KALERWE-GAYAZA-24h'!D78,'27.07 KALERWE-GAYAZA-24h'!D78)</f>
        <v>52.5</v>
      </c>
      <c r="E78" s="49">
        <f>AVERAGE('26.07 KALERWE-GAYAZA-24h'!E78,'27.07 KALERWE-GAYAZA-24h'!E78)</f>
        <v>6</v>
      </c>
      <c r="F78" s="49">
        <f>AVERAGE('26.07 KALERWE-GAYAZA-24h'!F78,'27.07 KALERWE-GAYAZA-24h'!F78)</f>
        <v>120</v>
      </c>
      <c r="G78" s="49">
        <f>AVERAGE('26.07 KALERWE-GAYAZA-24h'!G78,'27.07 KALERWE-GAYAZA-24h'!G78)</f>
        <v>0</v>
      </c>
      <c r="H78" s="49">
        <f>AVERAGE('26.07 KALERWE-GAYAZA-24h'!H78,'27.07 KALERWE-GAYAZA-24h'!H78)</f>
        <v>0</v>
      </c>
      <c r="I78" s="49">
        <f>AVERAGE('26.07 KALERWE-GAYAZA-24h'!I78,'27.07 KALERWE-GAYAZA-24h'!I78)</f>
        <v>1</v>
      </c>
      <c r="J78" s="49">
        <f>AVERAGE('26.07 KALERWE-GAYAZA-24h'!J78,'27.07 KALERWE-GAYAZA-24h'!J78)</f>
        <v>2</v>
      </c>
      <c r="K78" s="49">
        <f>AVERAGE('26.07 KALERWE-GAYAZA-24h'!K78,'27.07 KALERWE-GAYAZA-24h'!K78)</f>
        <v>1</v>
      </c>
      <c r="L78" s="49">
        <f>AVERAGE('26.07 KALERWE-GAYAZA-24h'!L78,'27.07 KALERWE-GAYAZA-24h'!L78)</f>
        <v>1.5</v>
      </c>
      <c r="M78" s="49">
        <f>AVERAGE('26.07 KALERWE-GAYAZA-24h'!M78,'27.07 KALERWE-GAYAZA-24h'!M78)</f>
        <v>125</v>
      </c>
      <c r="N78" s="49">
        <f>AVERAGE('26.07 KALERWE-GAYAZA-24h'!N78,'27.07 KALERWE-GAYAZA-24h'!N78)</f>
        <v>0</v>
      </c>
      <c r="O78" s="15">
        <f t="shared" si="35"/>
        <v>227</v>
      </c>
      <c r="P78" s="15">
        <f t="shared" si="36"/>
        <v>352</v>
      </c>
      <c r="R78" s="8"/>
      <c r="T78"/>
    </row>
    <row r="79" spans="2:20" ht="23.1" customHeight="1" x14ac:dyDescent="0.25">
      <c r="B79" s="23" t="s">
        <v>119</v>
      </c>
      <c r="C79" s="49">
        <f>AVERAGE('26.07 KALERWE-GAYAZA-24h'!C79,'27.07 KALERWE-GAYAZA-24h'!C79)</f>
        <v>51</v>
      </c>
      <c r="D79" s="49">
        <f>AVERAGE('26.07 KALERWE-GAYAZA-24h'!D79,'27.07 KALERWE-GAYAZA-24h'!D79)</f>
        <v>17</v>
      </c>
      <c r="E79" s="49">
        <f>AVERAGE('26.07 KALERWE-GAYAZA-24h'!E79,'27.07 KALERWE-GAYAZA-24h'!E79)</f>
        <v>11</v>
      </c>
      <c r="F79" s="49">
        <f>AVERAGE('26.07 KALERWE-GAYAZA-24h'!F79,'27.07 KALERWE-GAYAZA-24h'!F79)</f>
        <v>24.5</v>
      </c>
      <c r="G79" s="49">
        <f>AVERAGE('26.07 KALERWE-GAYAZA-24h'!G79,'27.07 KALERWE-GAYAZA-24h'!G79)</f>
        <v>0</v>
      </c>
      <c r="H79" s="49">
        <f>AVERAGE('26.07 KALERWE-GAYAZA-24h'!H79,'27.07 KALERWE-GAYAZA-24h'!H79)</f>
        <v>0</v>
      </c>
      <c r="I79" s="49">
        <f>AVERAGE('26.07 KALERWE-GAYAZA-24h'!I79,'27.07 KALERWE-GAYAZA-24h'!I79)</f>
        <v>1.5</v>
      </c>
      <c r="J79" s="49">
        <f>AVERAGE('26.07 KALERWE-GAYAZA-24h'!J79,'27.07 KALERWE-GAYAZA-24h'!J79)</f>
        <v>5</v>
      </c>
      <c r="K79" s="49">
        <f>AVERAGE('26.07 KALERWE-GAYAZA-24h'!K79,'27.07 KALERWE-GAYAZA-24h'!K79)</f>
        <v>0.5</v>
      </c>
      <c r="L79" s="49">
        <f>AVERAGE('26.07 KALERWE-GAYAZA-24h'!L79,'27.07 KALERWE-GAYAZA-24h'!L79)</f>
        <v>0.5</v>
      </c>
      <c r="M79" s="49">
        <f>AVERAGE('26.07 KALERWE-GAYAZA-24h'!M79,'27.07 KALERWE-GAYAZA-24h'!M79)</f>
        <v>83</v>
      </c>
      <c r="N79" s="49">
        <f>AVERAGE('26.07 KALERWE-GAYAZA-24h'!N79,'27.07 KALERWE-GAYAZA-24h'!N79)</f>
        <v>0</v>
      </c>
      <c r="O79" s="15">
        <f t="shared" si="35"/>
        <v>111</v>
      </c>
      <c r="P79" s="15">
        <f t="shared" si="36"/>
        <v>194</v>
      </c>
      <c r="R79" s="8"/>
      <c r="T79"/>
    </row>
    <row r="80" spans="2:20" ht="23.1" customHeight="1" x14ac:dyDescent="0.25">
      <c r="B80" s="25" t="s">
        <v>120</v>
      </c>
      <c r="C80" s="49">
        <f>AVERAGE('26.07 KALERWE-GAYAZA-24h'!C80,'27.07 KALERWE-GAYAZA-24h'!C80)</f>
        <v>38</v>
      </c>
      <c r="D80" s="49">
        <f>AVERAGE('26.07 KALERWE-GAYAZA-24h'!D80,'27.07 KALERWE-GAYAZA-24h'!D80)</f>
        <v>14.5</v>
      </c>
      <c r="E80" s="49">
        <f>AVERAGE('26.07 KALERWE-GAYAZA-24h'!E80,'27.07 KALERWE-GAYAZA-24h'!E80)</f>
        <v>4</v>
      </c>
      <c r="F80" s="49">
        <f>AVERAGE('26.07 KALERWE-GAYAZA-24h'!F80,'27.07 KALERWE-GAYAZA-24h'!F80)</f>
        <v>9</v>
      </c>
      <c r="G80" s="49">
        <f>AVERAGE('26.07 KALERWE-GAYAZA-24h'!G80,'27.07 KALERWE-GAYAZA-24h'!G80)</f>
        <v>1</v>
      </c>
      <c r="H80" s="49">
        <f>AVERAGE('26.07 KALERWE-GAYAZA-24h'!H80,'27.07 KALERWE-GAYAZA-24h'!H80)</f>
        <v>0</v>
      </c>
      <c r="I80" s="49">
        <f>AVERAGE('26.07 KALERWE-GAYAZA-24h'!I80,'27.07 KALERWE-GAYAZA-24h'!I80)</f>
        <v>0.5</v>
      </c>
      <c r="J80" s="49">
        <f>AVERAGE('26.07 KALERWE-GAYAZA-24h'!J80,'27.07 KALERWE-GAYAZA-24h'!J80)</f>
        <v>2.5</v>
      </c>
      <c r="K80" s="49">
        <f>AVERAGE('26.07 KALERWE-GAYAZA-24h'!K80,'27.07 KALERWE-GAYAZA-24h'!K80)</f>
        <v>2</v>
      </c>
      <c r="L80" s="49">
        <f>AVERAGE('26.07 KALERWE-GAYAZA-24h'!L80,'27.07 KALERWE-GAYAZA-24h'!L80)</f>
        <v>0.5</v>
      </c>
      <c r="M80" s="49">
        <f>AVERAGE('26.07 KALERWE-GAYAZA-24h'!M80,'27.07 KALERWE-GAYAZA-24h'!M80)</f>
        <v>105.5</v>
      </c>
      <c r="N80" s="49">
        <f>AVERAGE('26.07 KALERWE-GAYAZA-24h'!N80,'27.07 KALERWE-GAYAZA-24h'!N80)</f>
        <v>0</v>
      </c>
      <c r="O80" s="15">
        <f t="shared" si="35"/>
        <v>72</v>
      </c>
      <c r="P80" s="15">
        <f t="shared" si="36"/>
        <v>177.5</v>
      </c>
      <c r="R80" s="8"/>
      <c r="T80"/>
    </row>
    <row r="81" spans="2:20" ht="23.1" customHeight="1" x14ac:dyDescent="0.25">
      <c r="B81" s="23" t="s">
        <v>121</v>
      </c>
      <c r="C81" s="49">
        <f>AVERAGE('26.07 KALERWE-GAYAZA-24h'!C81,'27.07 KALERWE-GAYAZA-24h'!C81)</f>
        <v>27.5</v>
      </c>
      <c r="D81" s="49">
        <f>AVERAGE('26.07 KALERWE-GAYAZA-24h'!D81,'27.07 KALERWE-GAYAZA-24h'!D81)</f>
        <v>5</v>
      </c>
      <c r="E81" s="49">
        <f>AVERAGE('26.07 KALERWE-GAYAZA-24h'!E81,'27.07 KALERWE-GAYAZA-24h'!E81)</f>
        <v>2.5</v>
      </c>
      <c r="F81" s="49">
        <f>AVERAGE('26.07 KALERWE-GAYAZA-24h'!F81,'27.07 KALERWE-GAYAZA-24h'!F81)</f>
        <v>9</v>
      </c>
      <c r="G81" s="49">
        <f>AVERAGE('26.07 KALERWE-GAYAZA-24h'!G81,'27.07 KALERWE-GAYAZA-24h'!G81)</f>
        <v>0</v>
      </c>
      <c r="H81" s="49">
        <f>AVERAGE('26.07 KALERWE-GAYAZA-24h'!H81,'27.07 KALERWE-GAYAZA-24h'!H81)</f>
        <v>0</v>
      </c>
      <c r="I81" s="49">
        <f>AVERAGE('26.07 KALERWE-GAYAZA-24h'!I81,'27.07 KALERWE-GAYAZA-24h'!I81)</f>
        <v>0</v>
      </c>
      <c r="J81" s="49">
        <f>AVERAGE('26.07 KALERWE-GAYAZA-24h'!J81,'27.07 KALERWE-GAYAZA-24h'!J81)</f>
        <v>3</v>
      </c>
      <c r="K81" s="49">
        <f>AVERAGE('26.07 KALERWE-GAYAZA-24h'!K81,'27.07 KALERWE-GAYAZA-24h'!K81)</f>
        <v>1</v>
      </c>
      <c r="L81" s="49">
        <f>AVERAGE('26.07 KALERWE-GAYAZA-24h'!L81,'27.07 KALERWE-GAYAZA-24h'!L81)</f>
        <v>0.5</v>
      </c>
      <c r="M81" s="49">
        <f>AVERAGE('26.07 KALERWE-GAYAZA-24h'!M81,'27.07 KALERWE-GAYAZA-24h'!M81)</f>
        <v>65</v>
      </c>
      <c r="N81" s="49">
        <f>AVERAGE('26.07 KALERWE-GAYAZA-24h'!N81,'27.07 KALERWE-GAYAZA-24h'!N81)</f>
        <v>0</v>
      </c>
      <c r="O81" s="15">
        <f t="shared" si="35"/>
        <v>48.5</v>
      </c>
      <c r="P81" s="15">
        <f t="shared" si="36"/>
        <v>113.5</v>
      </c>
      <c r="R81" s="8"/>
      <c r="T81"/>
    </row>
    <row r="82" spans="2:20" ht="23.1" customHeight="1" x14ac:dyDescent="0.25">
      <c r="B82" s="24" t="s">
        <v>122</v>
      </c>
      <c r="C82" s="49">
        <f>AVERAGE('26.07 KALERWE-GAYAZA-24h'!C82,'27.07 KALERWE-GAYAZA-24h'!C82)</f>
        <v>13</v>
      </c>
      <c r="D82" s="49">
        <f>AVERAGE('26.07 KALERWE-GAYAZA-24h'!D82,'27.07 KALERWE-GAYAZA-24h'!D82)</f>
        <v>3</v>
      </c>
      <c r="E82" s="49">
        <f>AVERAGE('26.07 KALERWE-GAYAZA-24h'!E82,'27.07 KALERWE-GAYAZA-24h'!E82)</f>
        <v>0.5</v>
      </c>
      <c r="F82" s="49">
        <f>AVERAGE('26.07 KALERWE-GAYAZA-24h'!F82,'27.07 KALERWE-GAYAZA-24h'!F82)</f>
        <v>6</v>
      </c>
      <c r="G82" s="49">
        <f>AVERAGE('26.07 KALERWE-GAYAZA-24h'!G82,'27.07 KALERWE-GAYAZA-24h'!G82)</f>
        <v>0.5</v>
      </c>
      <c r="H82" s="49">
        <f>AVERAGE('26.07 KALERWE-GAYAZA-24h'!H82,'27.07 KALERWE-GAYAZA-24h'!H82)</f>
        <v>0</v>
      </c>
      <c r="I82" s="49">
        <f>AVERAGE('26.07 KALERWE-GAYAZA-24h'!I82,'27.07 KALERWE-GAYAZA-24h'!I82)</f>
        <v>0.5</v>
      </c>
      <c r="J82" s="49">
        <f>AVERAGE('26.07 KALERWE-GAYAZA-24h'!J82,'27.07 KALERWE-GAYAZA-24h'!J82)</f>
        <v>2</v>
      </c>
      <c r="K82" s="49">
        <f>AVERAGE('26.07 KALERWE-GAYAZA-24h'!K82,'27.07 KALERWE-GAYAZA-24h'!K82)</f>
        <v>1.5</v>
      </c>
      <c r="L82" s="49">
        <f>AVERAGE('26.07 KALERWE-GAYAZA-24h'!L82,'27.07 KALERWE-GAYAZA-24h'!L82)</f>
        <v>1</v>
      </c>
      <c r="M82" s="49">
        <f>AVERAGE('26.07 KALERWE-GAYAZA-24h'!M82,'27.07 KALERWE-GAYAZA-24h'!M82)</f>
        <v>42</v>
      </c>
      <c r="N82" s="49">
        <f>AVERAGE('26.07 KALERWE-GAYAZA-24h'!N82,'27.07 KALERWE-GAYAZA-24h'!N82)</f>
        <v>0</v>
      </c>
      <c r="O82" s="15">
        <f t="shared" si="35"/>
        <v>28</v>
      </c>
      <c r="P82" s="15">
        <f t="shared" si="36"/>
        <v>70</v>
      </c>
      <c r="R82" s="8"/>
      <c r="T82"/>
    </row>
    <row r="83" spans="2:20" ht="23.1" customHeight="1" x14ac:dyDescent="0.25">
      <c r="B83" s="23" t="s">
        <v>123</v>
      </c>
      <c r="C83" s="49">
        <f>AVERAGE('26.07 KALERWE-GAYAZA-24h'!C83,'27.07 KALERWE-GAYAZA-24h'!C83)</f>
        <v>9.5</v>
      </c>
      <c r="D83" s="49">
        <f>AVERAGE('26.07 KALERWE-GAYAZA-24h'!D83,'27.07 KALERWE-GAYAZA-24h'!D83)</f>
        <v>2.5</v>
      </c>
      <c r="E83" s="49">
        <f>AVERAGE('26.07 KALERWE-GAYAZA-24h'!E83,'27.07 KALERWE-GAYAZA-24h'!E83)</f>
        <v>2</v>
      </c>
      <c r="F83" s="49">
        <f>AVERAGE('26.07 KALERWE-GAYAZA-24h'!F83,'27.07 KALERWE-GAYAZA-24h'!F83)</f>
        <v>4</v>
      </c>
      <c r="G83" s="49">
        <f>AVERAGE('26.07 KALERWE-GAYAZA-24h'!G83,'27.07 KALERWE-GAYAZA-24h'!G83)</f>
        <v>0</v>
      </c>
      <c r="H83" s="49">
        <f>AVERAGE('26.07 KALERWE-GAYAZA-24h'!H83,'27.07 KALERWE-GAYAZA-24h'!H83)</f>
        <v>0</v>
      </c>
      <c r="I83" s="49">
        <f>AVERAGE('26.07 KALERWE-GAYAZA-24h'!I83,'27.07 KALERWE-GAYAZA-24h'!I83)</f>
        <v>2</v>
      </c>
      <c r="J83" s="49">
        <f>AVERAGE('26.07 KALERWE-GAYAZA-24h'!J83,'27.07 KALERWE-GAYAZA-24h'!J83)</f>
        <v>2.5</v>
      </c>
      <c r="K83" s="49">
        <f>AVERAGE('26.07 KALERWE-GAYAZA-24h'!K83,'27.07 KALERWE-GAYAZA-24h'!K83)</f>
        <v>0</v>
      </c>
      <c r="L83" s="49">
        <f>AVERAGE('26.07 KALERWE-GAYAZA-24h'!L83,'27.07 KALERWE-GAYAZA-24h'!L83)</f>
        <v>2</v>
      </c>
      <c r="M83" s="49">
        <f>AVERAGE('26.07 KALERWE-GAYAZA-24h'!M83,'27.07 KALERWE-GAYAZA-24h'!M83)</f>
        <v>51</v>
      </c>
      <c r="N83" s="49">
        <f>AVERAGE('26.07 KALERWE-GAYAZA-24h'!N83,'27.07 KALERWE-GAYAZA-24h'!N83)</f>
        <v>0</v>
      </c>
      <c r="O83" s="15">
        <f t="shared" si="35"/>
        <v>24.5</v>
      </c>
      <c r="P83" s="15">
        <f t="shared" si="36"/>
        <v>75.5</v>
      </c>
      <c r="R83" s="8"/>
      <c r="T83"/>
    </row>
    <row r="84" spans="2:20" ht="23.1" customHeight="1" x14ac:dyDescent="0.25">
      <c r="B84" s="25" t="s">
        <v>124</v>
      </c>
      <c r="C84" s="49">
        <f>AVERAGE('26.07 KALERWE-GAYAZA-24h'!C84,'27.07 KALERWE-GAYAZA-24h'!C84)</f>
        <v>10</v>
      </c>
      <c r="D84" s="49">
        <f>AVERAGE('26.07 KALERWE-GAYAZA-24h'!D84,'27.07 KALERWE-GAYAZA-24h'!D84)</f>
        <v>6</v>
      </c>
      <c r="E84" s="49">
        <f>AVERAGE('26.07 KALERWE-GAYAZA-24h'!E84,'27.07 KALERWE-GAYAZA-24h'!E84)</f>
        <v>2.5</v>
      </c>
      <c r="F84" s="49">
        <f>AVERAGE('26.07 KALERWE-GAYAZA-24h'!F84,'27.07 KALERWE-GAYAZA-24h'!F84)</f>
        <v>1.5</v>
      </c>
      <c r="G84" s="49">
        <f>AVERAGE('26.07 KALERWE-GAYAZA-24h'!G84,'27.07 KALERWE-GAYAZA-24h'!G84)</f>
        <v>0</v>
      </c>
      <c r="H84" s="49">
        <f>AVERAGE('26.07 KALERWE-GAYAZA-24h'!H84,'27.07 KALERWE-GAYAZA-24h'!H84)</f>
        <v>1.5</v>
      </c>
      <c r="I84" s="49">
        <f>AVERAGE('26.07 KALERWE-GAYAZA-24h'!I84,'27.07 KALERWE-GAYAZA-24h'!I84)</f>
        <v>0.5</v>
      </c>
      <c r="J84" s="49">
        <f>AVERAGE('26.07 KALERWE-GAYAZA-24h'!J84,'27.07 KALERWE-GAYAZA-24h'!J84)</f>
        <v>3</v>
      </c>
      <c r="K84" s="49">
        <f>AVERAGE('26.07 KALERWE-GAYAZA-24h'!K84,'27.07 KALERWE-GAYAZA-24h'!K84)</f>
        <v>1</v>
      </c>
      <c r="L84" s="49">
        <f>AVERAGE('26.07 KALERWE-GAYAZA-24h'!L84,'27.07 KALERWE-GAYAZA-24h'!L84)</f>
        <v>0</v>
      </c>
      <c r="M84" s="49">
        <f>AVERAGE('26.07 KALERWE-GAYAZA-24h'!M84,'27.07 KALERWE-GAYAZA-24h'!M84)</f>
        <v>45</v>
      </c>
      <c r="N84" s="49">
        <f>AVERAGE('26.07 KALERWE-GAYAZA-24h'!N84,'27.07 KALERWE-GAYAZA-24h'!N84)</f>
        <v>0</v>
      </c>
      <c r="O84" s="15">
        <f t="shared" si="35"/>
        <v>26</v>
      </c>
      <c r="P84" s="15">
        <f t="shared" si="36"/>
        <v>71</v>
      </c>
      <c r="R84" s="8"/>
      <c r="T84"/>
    </row>
    <row r="85" spans="2:20" ht="23.1" customHeight="1" x14ac:dyDescent="0.25">
      <c r="B85" s="23" t="s">
        <v>125</v>
      </c>
      <c r="C85" s="49">
        <f>AVERAGE('26.07 KALERWE-GAYAZA-24h'!C85,'27.07 KALERWE-GAYAZA-24h'!C85)</f>
        <v>11</v>
      </c>
      <c r="D85" s="49">
        <f>AVERAGE('26.07 KALERWE-GAYAZA-24h'!D85,'27.07 KALERWE-GAYAZA-24h'!D85)</f>
        <v>2</v>
      </c>
      <c r="E85" s="49">
        <f>AVERAGE('26.07 KALERWE-GAYAZA-24h'!E85,'27.07 KALERWE-GAYAZA-24h'!E85)</f>
        <v>1.5</v>
      </c>
      <c r="F85" s="49">
        <f>AVERAGE('26.07 KALERWE-GAYAZA-24h'!F85,'27.07 KALERWE-GAYAZA-24h'!F85)</f>
        <v>2</v>
      </c>
      <c r="G85" s="49">
        <f>AVERAGE('26.07 KALERWE-GAYAZA-24h'!G85,'27.07 KALERWE-GAYAZA-24h'!G85)</f>
        <v>0</v>
      </c>
      <c r="H85" s="49">
        <f>AVERAGE('26.07 KALERWE-GAYAZA-24h'!H85,'27.07 KALERWE-GAYAZA-24h'!H85)</f>
        <v>0</v>
      </c>
      <c r="I85" s="49">
        <f>AVERAGE('26.07 KALERWE-GAYAZA-24h'!I85,'27.07 KALERWE-GAYAZA-24h'!I85)</f>
        <v>2</v>
      </c>
      <c r="J85" s="49">
        <f>AVERAGE('26.07 KALERWE-GAYAZA-24h'!J85,'27.07 KALERWE-GAYAZA-24h'!J85)</f>
        <v>4.5</v>
      </c>
      <c r="K85" s="49">
        <f>AVERAGE('26.07 KALERWE-GAYAZA-24h'!K85,'27.07 KALERWE-GAYAZA-24h'!K85)</f>
        <v>0</v>
      </c>
      <c r="L85" s="49">
        <f>AVERAGE('26.07 KALERWE-GAYAZA-24h'!L85,'27.07 KALERWE-GAYAZA-24h'!L85)</f>
        <v>0</v>
      </c>
      <c r="M85" s="49">
        <f>AVERAGE('26.07 KALERWE-GAYAZA-24h'!M85,'27.07 KALERWE-GAYAZA-24h'!M85)</f>
        <v>49.5</v>
      </c>
      <c r="N85" s="49">
        <f>AVERAGE('26.07 KALERWE-GAYAZA-24h'!N85,'27.07 KALERWE-GAYAZA-24h'!N85)</f>
        <v>0</v>
      </c>
      <c r="O85" s="15">
        <f t="shared" si="35"/>
        <v>23</v>
      </c>
      <c r="P85" s="15">
        <f t="shared" si="36"/>
        <v>72.5</v>
      </c>
      <c r="R85" s="8"/>
      <c r="T85"/>
    </row>
    <row r="86" spans="2:20" ht="23.1" customHeight="1" x14ac:dyDescent="0.25">
      <c r="B86" s="24" t="s">
        <v>126</v>
      </c>
      <c r="C86" s="49">
        <f>AVERAGE('26.07 KALERWE-GAYAZA-24h'!C86,'27.07 KALERWE-GAYAZA-24h'!C86)</f>
        <v>7</v>
      </c>
      <c r="D86" s="49">
        <f>AVERAGE('26.07 KALERWE-GAYAZA-24h'!D86,'27.07 KALERWE-GAYAZA-24h'!D86)</f>
        <v>2</v>
      </c>
      <c r="E86" s="49">
        <f>AVERAGE('26.07 KALERWE-GAYAZA-24h'!E86,'27.07 KALERWE-GAYAZA-24h'!E86)</f>
        <v>0</v>
      </c>
      <c r="F86" s="49">
        <f>AVERAGE('26.07 KALERWE-GAYAZA-24h'!F86,'27.07 KALERWE-GAYAZA-24h'!F86)</f>
        <v>1</v>
      </c>
      <c r="G86" s="49">
        <f>AVERAGE('26.07 KALERWE-GAYAZA-24h'!G86,'27.07 KALERWE-GAYAZA-24h'!G86)</f>
        <v>0</v>
      </c>
      <c r="H86" s="49">
        <f>AVERAGE('26.07 KALERWE-GAYAZA-24h'!H86,'27.07 KALERWE-GAYAZA-24h'!H86)</f>
        <v>0</v>
      </c>
      <c r="I86" s="49">
        <f>AVERAGE('26.07 KALERWE-GAYAZA-24h'!I86,'27.07 KALERWE-GAYAZA-24h'!I86)</f>
        <v>2</v>
      </c>
      <c r="J86" s="49">
        <f>AVERAGE('26.07 KALERWE-GAYAZA-24h'!J86,'27.07 KALERWE-GAYAZA-24h'!J86)</f>
        <v>2</v>
      </c>
      <c r="K86" s="49">
        <f>AVERAGE('26.07 KALERWE-GAYAZA-24h'!K86,'27.07 KALERWE-GAYAZA-24h'!K86)</f>
        <v>0.5</v>
      </c>
      <c r="L86" s="49">
        <f>AVERAGE('26.07 KALERWE-GAYAZA-24h'!L86,'27.07 KALERWE-GAYAZA-24h'!L86)</f>
        <v>0.5</v>
      </c>
      <c r="M86" s="49">
        <f>AVERAGE('26.07 KALERWE-GAYAZA-24h'!M86,'27.07 KALERWE-GAYAZA-24h'!M86)</f>
        <v>36.5</v>
      </c>
      <c r="N86" s="49">
        <f>AVERAGE('26.07 KALERWE-GAYAZA-24h'!N86,'27.07 KALERWE-GAYAZA-24h'!N86)</f>
        <v>0</v>
      </c>
      <c r="O86" s="15">
        <f t="shared" si="35"/>
        <v>15</v>
      </c>
      <c r="P86" s="15">
        <f t="shared" si="36"/>
        <v>51.5</v>
      </c>
      <c r="R86" s="8"/>
      <c r="T86"/>
    </row>
    <row r="87" spans="2:20" ht="23.1" customHeight="1" x14ac:dyDescent="0.25">
      <c r="B87" s="23" t="s">
        <v>127</v>
      </c>
      <c r="C87" s="49">
        <f>AVERAGE('26.07 KALERWE-GAYAZA-24h'!C87,'27.07 KALERWE-GAYAZA-24h'!C87)</f>
        <v>9</v>
      </c>
      <c r="D87" s="49">
        <f>AVERAGE('26.07 KALERWE-GAYAZA-24h'!D87,'27.07 KALERWE-GAYAZA-24h'!D87)</f>
        <v>4.5</v>
      </c>
      <c r="E87" s="49">
        <f>AVERAGE('26.07 KALERWE-GAYAZA-24h'!E87,'27.07 KALERWE-GAYAZA-24h'!E87)</f>
        <v>1.5</v>
      </c>
      <c r="F87" s="49">
        <f>AVERAGE('26.07 KALERWE-GAYAZA-24h'!F87,'27.07 KALERWE-GAYAZA-24h'!F87)</f>
        <v>1.5</v>
      </c>
      <c r="G87" s="49">
        <f>AVERAGE('26.07 KALERWE-GAYAZA-24h'!G87,'27.07 KALERWE-GAYAZA-24h'!G87)</f>
        <v>0</v>
      </c>
      <c r="H87" s="49">
        <f>AVERAGE('26.07 KALERWE-GAYAZA-24h'!H87,'27.07 KALERWE-GAYAZA-24h'!H87)</f>
        <v>0</v>
      </c>
      <c r="I87" s="49">
        <f>AVERAGE('26.07 KALERWE-GAYAZA-24h'!I87,'27.07 KALERWE-GAYAZA-24h'!I87)</f>
        <v>0.5</v>
      </c>
      <c r="J87" s="49">
        <f>AVERAGE('26.07 KALERWE-GAYAZA-24h'!J87,'27.07 KALERWE-GAYAZA-24h'!J87)</f>
        <v>1.5</v>
      </c>
      <c r="K87" s="49">
        <f>AVERAGE('26.07 KALERWE-GAYAZA-24h'!K87,'27.07 KALERWE-GAYAZA-24h'!K87)</f>
        <v>0</v>
      </c>
      <c r="L87" s="49">
        <f>AVERAGE('26.07 KALERWE-GAYAZA-24h'!L87,'27.07 KALERWE-GAYAZA-24h'!L87)</f>
        <v>1</v>
      </c>
      <c r="M87" s="49">
        <f>AVERAGE('26.07 KALERWE-GAYAZA-24h'!M87,'27.07 KALERWE-GAYAZA-24h'!M87)</f>
        <v>37</v>
      </c>
      <c r="N87" s="49">
        <f>AVERAGE('26.07 KALERWE-GAYAZA-24h'!N87,'27.07 KALERWE-GAYAZA-24h'!N87)</f>
        <v>0</v>
      </c>
      <c r="O87" s="15">
        <f t="shared" si="35"/>
        <v>19.5</v>
      </c>
      <c r="P87" s="15">
        <f t="shared" si="36"/>
        <v>56.5</v>
      </c>
      <c r="R87" s="8"/>
      <c r="T87"/>
    </row>
    <row r="88" spans="2:20" ht="23.1" customHeight="1" x14ac:dyDescent="0.25">
      <c r="B88" s="25" t="s">
        <v>128</v>
      </c>
      <c r="C88" s="49">
        <f>AVERAGE('26.07 KALERWE-GAYAZA-24h'!C88,'27.07 KALERWE-GAYAZA-24h'!C88)</f>
        <v>5.5</v>
      </c>
      <c r="D88" s="49">
        <f>AVERAGE('26.07 KALERWE-GAYAZA-24h'!D88,'27.07 KALERWE-GAYAZA-24h'!D88)</f>
        <v>2</v>
      </c>
      <c r="E88" s="49">
        <f>AVERAGE('26.07 KALERWE-GAYAZA-24h'!E88,'27.07 KALERWE-GAYAZA-24h'!E88)</f>
        <v>0</v>
      </c>
      <c r="F88" s="49">
        <f>AVERAGE('26.07 KALERWE-GAYAZA-24h'!F88,'27.07 KALERWE-GAYAZA-24h'!F88)</f>
        <v>1</v>
      </c>
      <c r="G88" s="49">
        <f>AVERAGE('26.07 KALERWE-GAYAZA-24h'!G88,'27.07 KALERWE-GAYAZA-24h'!G88)</f>
        <v>0</v>
      </c>
      <c r="H88" s="49">
        <f>AVERAGE('26.07 KALERWE-GAYAZA-24h'!H88,'27.07 KALERWE-GAYAZA-24h'!H88)</f>
        <v>0</v>
      </c>
      <c r="I88" s="49">
        <f>AVERAGE('26.07 KALERWE-GAYAZA-24h'!I88,'27.07 KALERWE-GAYAZA-24h'!I88)</f>
        <v>2</v>
      </c>
      <c r="J88" s="49">
        <f>AVERAGE('26.07 KALERWE-GAYAZA-24h'!J88,'27.07 KALERWE-GAYAZA-24h'!J88)</f>
        <v>2.5</v>
      </c>
      <c r="K88" s="49">
        <f>AVERAGE('26.07 KALERWE-GAYAZA-24h'!K88,'27.07 KALERWE-GAYAZA-24h'!K88)</f>
        <v>0</v>
      </c>
      <c r="L88" s="49">
        <f>AVERAGE('26.07 KALERWE-GAYAZA-24h'!L88,'27.07 KALERWE-GAYAZA-24h'!L88)</f>
        <v>0</v>
      </c>
      <c r="M88" s="49">
        <f>AVERAGE('26.07 KALERWE-GAYAZA-24h'!M88,'27.07 KALERWE-GAYAZA-24h'!M88)</f>
        <v>33.5</v>
      </c>
      <c r="N88" s="49">
        <f>AVERAGE('26.07 KALERWE-GAYAZA-24h'!N88,'27.07 KALERWE-GAYAZA-24h'!N88)</f>
        <v>0</v>
      </c>
      <c r="O88" s="15">
        <f t="shared" si="35"/>
        <v>13</v>
      </c>
      <c r="P88" s="15">
        <f t="shared" si="36"/>
        <v>46.5</v>
      </c>
      <c r="R88" s="8"/>
      <c r="T88"/>
    </row>
    <row r="89" spans="2:20" ht="23.1" customHeight="1" x14ac:dyDescent="0.25">
      <c r="B89" s="23" t="s">
        <v>129</v>
      </c>
      <c r="C89" s="49">
        <f>AVERAGE('26.07 KALERWE-GAYAZA-24h'!C89,'27.07 KALERWE-GAYAZA-24h'!C89)</f>
        <v>5</v>
      </c>
      <c r="D89" s="49">
        <f>AVERAGE('26.07 KALERWE-GAYAZA-24h'!D89,'27.07 KALERWE-GAYAZA-24h'!D89)</f>
        <v>1.5</v>
      </c>
      <c r="E89" s="49">
        <f>AVERAGE('26.07 KALERWE-GAYAZA-24h'!E89,'27.07 KALERWE-GAYAZA-24h'!E89)</f>
        <v>0</v>
      </c>
      <c r="F89" s="49">
        <f>AVERAGE('26.07 KALERWE-GAYAZA-24h'!F89,'27.07 KALERWE-GAYAZA-24h'!F89)</f>
        <v>0.5</v>
      </c>
      <c r="G89" s="49">
        <f>AVERAGE('26.07 KALERWE-GAYAZA-24h'!G89,'27.07 KALERWE-GAYAZA-24h'!G89)</f>
        <v>0</v>
      </c>
      <c r="H89" s="49">
        <f>AVERAGE('26.07 KALERWE-GAYAZA-24h'!H89,'27.07 KALERWE-GAYAZA-24h'!H89)</f>
        <v>0</v>
      </c>
      <c r="I89" s="49">
        <f>AVERAGE('26.07 KALERWE-GAYAZA-24h'!I89,'27.07 KALERWE-GAYAZA-24h'!I89)</f>
        <v>0.5</v>
      </c>
      <c r="J89" s="49">
        <f>AVERAGE('26.07 KALERWE-GAYAZA-24h'!J89,'27.07 KALERWE-GAYAZA-24h'!J89)</f>
        <v>2</v>
      </c>
      <c r="K89" s="49">
        <f>AVERAGE('26.07 KALERWE-GAYAZA-24h'!K89,'27.07 KALERWE-GAYAZA-24h'!K89)</f>
        <v>0</v>
      </c>
      <c r="L89" s="49">
        <f>AVERAGE('26.07 KALERWE-GAYAZA-24h'!L89,'27.07 KALERWE-GAYAZA-24h'!L89)</f>
        <v>0.5</v>
      </c>
      <c r="M89" s="49">
        <f>AVERAGE('26.07 KALERWE-GAYAZA-24h'!M89,'27.07 KALERWE-GAYAZA-24h'!M89)</f>
        <v>36.5</v>
      </c>
      <c r="N89" s="49">
        <f>AVERAGE('26.07 KALERWE-GAYAZA-24h'!N89,'27.07 KALERWE-GAYAZA-24h'!N89)</f>
        <v>0</v>
      </c>
      <c r="O89" s="15">
        <f t="shared" si="35"/>
        <v>10</v>
      </c>
      <c r="P89" s="15">
        <f t="shared" si="36"/>
        <v>46.5</v>
      </c>
      <c r="R89" s="8"/>
      <c r="T89"/>
    </row>
    <row r="90" spans="2:20" ht="23.1" customHeight="1" x14ac:dyDescent="0.25">
      <c r="B90" s="24" t="s">
        <v>130</v>
      </c>
      <c r="C90" s="49">
        <f>AVERAGE('26.07 KALERWE-GAYAZA-24h'!C90,'27.07 KALERWE-GAYAZA-24h'!C90)</f>
        <v>5.5</v>
      </c>
      <c r="D90" s="49">
        <f>AVERAGE('26.07 KALERWE-GAYAZA-24h'!D90,'27.07 KALERWE-GAYAZA-24h'!D90)</f>
        <v>1.5</v>
      </c>
      <c r="E90" s="49">
        <f>AVERAGE('26.07 KALERWE-GAYAZA-24h'!E90,'27.07 KALERWE-GAYAZA-24h'!E90)</f>
        <v>0</v>
      </c>
      <c r="F90" s="49">
        <f>AVERAGE('26.07 KALERWE-GAYAZA-24h'!F90,'27.07 KALERWE-GAYAZA-24h'!F90)</f>
        <v>0</v>
      </c>
      <c r="G90" s="49">
        <f>AVERAGE('26.07 KALERWE-GAYAZA-24h'!G90,'27.07 KALERWE-GAYAZA-24h'!G90)</f>
        <v>0</v>
      </c>
      <c r="H90" s="49">
        <f>AVERAGE('26.07 KALERWE-GAYAZA-24h'!H90,'27.07 KALERWE-GAYAZA-24h'!H90)</f>
        <v>0</v>
      </c>
      <c r="I90" s="49">
        <f>AVERAGE('26.07 KALERWE-GAYAZA-24h'!I90,'27.07 KALERWE-GAYAZA-24h'!I90)</f>
        <v>2</v>
      </c>
      <c r="J90" s="49">
        <f>AVERAGE('26.07 KALERWE-GAYAZA-24h'!J90,'27.07 KALERWE-GAYAZA-24h'!J90)</f>
        <v>1</v>
      </c>
      <c r="K90" s="49">
        <f>AVERAGE('26.07 KALERWE-GAYAZA-24h'!K90,'27.07 KALERWE-GAYAZA-24h'!K90)</f>
        <v>0.5</v>
      </c>
      <c r="L90" s="49">
        <f>AVERAGE('26.07 KALERWE-GAYAZA-24h'!L90,'27.07 KALERWE-GAYAZA-24h'!L90)</f>
        <v>2</v>
      </c>
      <c r="M90" s="49">
        <f>AVERAGE('26.07 KALERWE-GAYAZA-24h'!M90,'27.07 KALERWE-GAYAZA-24h'!M90)</f>
        <v>37.5</v>
      </c>
      <c r="N90" s="49">
        <f>AVERAGE('26.07 KALERWE-GAYAZA-24h'!N90,'27.07 KALERWE-GAYAZA-24h'!N90)</f>
        <v>0</v>
      </c>
      <c r="O90" s="15">
        <f t="shared" si="35"/>
        <v>12.5</v>
      </c>
      <c r="P90" s="15">
        <f t="shared" si="36"/>
        <v>50</v>
      </c>
      <c r="R90" s="8"/>
      <c r="T90"/>
    </row>
    <row r="91" spans="2:20" ht="23.1" customHeight="1" x14ac:dyDescent="0.25">
      <c r="B91" s="23" t="s">
        <v>131</v>
      </c>
      <c r="C91" s="49">
        <f>AVERAGE('26.07 KALERWE-GAYAZA-24h'!C91,'27.07 KALERWE-GAYAZA-24h'!C91)</f>
        <v>7</v>
      </c>
      <c r="D91" s="49">
        <f>AVERAGE('26.07 KALERWE-GAYAZA-24h'!D91,'27.07 KALERWE-GAYAZA-24h'!D91)</f>
        <v>1</v>
      </c>
      <c r="E91" s="49">
        <f>AVERAGE('26.07 KALERWE-GAYAZA-24h'!E91,'27.07 KALERWE-GAYAZA-24h'!E91)</f>
        <v>1.5</v>
      </c>
      <c r="F91" s="49">
        <f>AVERAGE('26.07 KALERWE-GAYAZA-24h'!F91,'27.07 KALERWE-GAYAZA-24h'!F91)</f>
        <v>2</v>
      </c>
      <c r="G91" s="49">
        <f>AVERAGE('26.07 KALERWE-GAYAZA-24h'!G91,'27.07 KALERWE-GAYAZA-24h'!G91)</f>
        <v>0</v>
      </c>
      <c r="H91" s="49">
        <f>AVERAGE('26.07 KALERWE-GAYAZA-24h'!H91,'27.07 KALERWE-GAYAZA-24h'!H91)</f>
        <v>0</v>
      </c>
      <c r="I91" s="49">
        <f>AVERAGE('26.07 KALERWE-GAYAZA-24h'!I91,'27.07 KALERWE-GAYAZA-24h'!I91)</f>
        <v>0.5</v>
      </c>
      <c r="J91" s="49">
        <f>AVERAGE('26.07 KALERWE-GAYAZA-24h'!J91,'27.07 KALERWE-GAYAZA-24h'!J91)</f>
        <v>2</v>
      </c>
      <c r="K91" s="49">
        <f>AVERAGE('26.07 KALERWE-GAYAZA-24h'!K91,'27.07 KALERWE-GAYAZA-24h'!K91)</f>
        <v>0.5</v>
      </c>
      <c r="L91" s="49">
        <f>AVERAGE('26.07 KALERWE-GAYAZA-24h'!L91,'27.07 KALERWE-GAYAZA-24h'!L91)</f>
        <v>1</v>
      </c>
      <c r="M91" s="49">
        <f>AVERAGE('26.07 KALERWE-GAYAZA-24h'!M91,'27.07 KALERWE-GAYAZA-24h'!M91)</f>
        <v>22.5</v>
      </c>
      <c r="N91" s="49">
        <f>AVERAGE('26.07 KALERWE-GAYAZA-24h'!N91,'27.07 KALERWE-GAYAZA-24h'!N91)</f>
        <v>0</v>
      </c>
      <c r="O91" s="15">
        <f t="shared" si="35"/>
        <v>15.5</v>
      </c>
      <c r="P91" s="15">
        <f t="shared" si="36"/>
        <v>38</v>
      </c>
      <c r="R91" s="8"/>
      <c r="T91"/>
    </row>
    <row r="92" spans="2:20" ht="23.1" customHeight="1" x14ac:dyDescent="0.25">
      <c r="B92" s="25" t="s">
        <v>132</v>
      </c>
      <c r="C92" s="49">
        <f>AVERAGE('26.07 KALERWE-GAYAZA-24h'!C92,'27.07 KALERWE-GAYAZA-24h'!C92)</f>
        <v>11</v>
      </c>
      <c r="D92" s="49">
        <f>AVERAGE('26.07 KALERWE-GAYAZA-24h'!D92,'27.07 KALERWE-GAYAZA-24h'!D92)</f>
        <v>0.5</v>
      </c>
      <c r="E92" s="49">
        <f>AVERAGE('26.07 KALERWE-GAYAZA-24h'!E92,'27.07 KALERWE-GAYAZA-24h'!E92)</f>
        <v>2.5</v>
      </c>
      <c r="F92" s="49">
        <f>AVERAGE('26.07 KALERWE-GAYAZA-24h'!F92,'27.07 KALERWE-GAYAZA-24h'!F92)</f>
        <v>0.5</v>
      </c>
      <c r="G92" s="49">
        <f>AVERAGE('26.07 KALERWE-GAYAZA-24h'!G92,'27.07 KALERWE-GAYAZA-24h'!G92)</f>
        <v>0</v>
      </c>
      <c r="H92" s="49">
        <f>AVERAGE('26.07 KALERWE-GAYAZA-24h'!H92,'27.07 KALERWE-GAYAZA-24h'!H92)</f>
        <v>0</v>
      </c>
      <c r="I92" s="49">
        <f>AVERAGE('26.07 KALERWE-GAYAZA-24h'!I92,'27.07 KALERWE-GAYAZA-24h'!I92)</f>
        <v>3</v>
      </c>
      <c r="J92" s="49">
        <f>AVERAGE('26.07 KALERWE-GAYAZA-24h'!J92,'27.07 KALERWE-GAYAZA-24h'!J92)</f>
        <v>1.5</v>
      </c>
      <c r="K92" s="49">
        <f>AVERAGE('26.07 KALERWE-GAYAZA-24h'!K92,'27.07 KALERWE-GAYAZA-24h'!K92)</f>
        <v>0.5</v>
      </c>
      <c r="L92" s="49">
        <f>AVERAGE('26.07 KALERWE-GAYAZA-24h'!L92,'27.07 KALERWE-GAYAZA-24h'!L92)</f>
        <v>0</v>
      </c>
      <c r="M92" s="49">
        <f>AVERAGE('26.07 KALERWE-GAYAZA-24h'!M92,'27.07 KALERWE-GAYAZA-24h'!M92)</f>
        <v>41</v>
      </c>
      <c r="N92" s="49">
        <f>AVERAGE('26.07 KALERWE-GAYAZA-24h'!N92,'27.07 KALERWE-GAYAZA-24h'!N92)</f>
        <v>0</v>
      </c>
      <c r="O92" s="15">
        <f t="shared" si="35"/>
        <v>19.5</v>
      </c>
      <c r="P92" s="15">
        <f t="shared" si="36"/>
        <v>60.5</v>
      </c>
      <c r="R92" s="8"/>
      <c r="T92"/>
    </row>
    <row r="93" spans="2:20" ht="23.1" customHeight="1" x14ac:dyDescent="0.25">
      <c r="B93" s="23" t="s">
        <v>133</v>
      </c>
      <c r="C93" s="49">
        <f>AVERAGE('26.07 KALERWE-GAYAZA-24h'!C93,'27.07 KALERWE-GAYAZA-24h'!C93)</f>
        <v>11</v>
      </c>
      <c r="D93" s="49">
        <f>AVERAGE('26.07 KALERWE-GAYAZA-24h'!D93,'27.07 KALERWE-GAYAZA-24h'!D93)</f>
        <v>0.5</v>
      </c>
      <c r="E93" s="49">
        <f>AVERAGE('26.07 KALERWE-GAYAZA-24h'!E93,'27.07 KALERWE-GAYAZA-24h'!E93)</f>
        <v>1</v>
      </c>
      <c r="F93" s="49">
        <f>AVERAGE('26.07 KALERWE-GAYAZA-24h'!F93,'27.07 KALERWE-GAYAZA-24h'!F93)</f>
        <v>8.5</v>
      </c>
      <c r="G93" s="49">
        <f>AVERAGE('26.07 KALERWE-GAYAZA-24h'!G93,'27.07 KALERWE-GAYAZA-24h'!G93)</f>
        <v>0.5</v>
      </c>
      <c r="H93" s="49">
        <f>AVERAGE('26.07 KALERWE-GAYAZA-24h'!H93,'27.07 KALERWE-GAYAZA-24h'!H93)</f>
        <v>0</v>
      </c>
      <c r="I93" s="49">
        <f>AVERAGE('26.07 KALERWE-GAYAZA-24h'!I93,'27.07 KALERWE-GAYAZA-24h'!I93)</f>
        <v>3</v>
      </c>
      <c r="J93" s="49">
        <f>AVERAGE('26.07 KALERWE-GAYAZA-24h'!J93,'27.07 KALERWE-GAYAZA-24h'!J93)</f>
        <v>1</v>
      </c>
      <c r="K93" s="49">
        <f>AVERAGE('26.07 KALERWE-GAYAZA-24h'!K93,'27.07 KALERWE-GAYAZA-24h'!K93)</f>
        <v>0.5</v>
      </c>
      <c r="L93" s="49">
        <f>AVERAGE('26.07 KALERWE-GAYAZA-24h'!L93,'27.07 KALERWE-GAYAZA-24h'!L93)</f>
        <v>0</v>
      </c>
      <c r="M93" s="49">
        <f>AVERAGE('26.07 KALERWE-GAYAZA-24h'!M93,'27.07 KALERWE-GAYAZA-24h'!M93)</f>
        <v>37</v>
      </c>
      <c r="N93" s="49">
        <f>AVERAGE('26.07 KALERWE-GAYAZA-24h'!N93,'27.07 KALERWE-GAYAZA-24h'!N93)</f>
        <v>0</v>
      </c>
      <c r="O93" s="15">
        <f t="shared" si="35"/>
        <v>26</v>
      </c>
      <c r="P93" s="15">
        <f t="shared" si="36"/>
        <v>63</v>
      </c>
      <c r="R93" s="8"/>
      <c r="T93"/>
    </row>
    <row r="94" spans="2:20" ht="23.1" customHeight="1" x14ac:dyDescent="0.25">
      <c r="B94" s="24" t="s">
        <v>134</v>
      </c>
      <c r="C94" s="49">
        <f>AVERAGE('26.07 KALERWE-GAYAZA-24h'!C94,'27.07 KALERWE-GAYAZA-24h'!C94)</f>
        <v>16</v>
      </c>
      <c r="D94" s="49">
        <f>AVERAGE('26.07 KALERWE-GAYAZA-24h'!D94,'27.07 KALERWE-GAYAZA-24h'!D94)</f>
        <v>2.5</v>
      </c>
      <c r="E94" s="49">
        <f>AVERAGE('26.07 KALERWE-GAYAZA-24h'!E94,'27.07 KALERWE-GAYAZA-24h'!E94)</f>
        <v>0.5</v>
      </c>
      <c r="F94" s="49">
        <f>AVERAGE('26.07 KALERWE-GAYAZA-24h'!F94,'27.07 KALERWE-GAYAZA-24h'!F94)</f>
        <v>2</v>
      </c>
      <c r="G94" s="49">
        <f>AVERAGE('26.07 KALERWE-GAYAZA-24h'!G94,'27.07 KALERWE-GAYAZA-24h'!G94)</f>
        <v>0</v>
      </c>
      <c r="H94" s="49">
        <f>AVERAGE('26.07 KALERWE-GAYAZA-24h'!H94,'27.07 KALERWE-GAYAZA-24h'!H94)</f>
        <v>0</v>
      </c>
      <c r="I94" s="49">
        <f>AVERAGE('26.07 KALERWE-GAYAZA-24h'!I94,'27.07 KALERWE-GAYAZA-24h'!I94)</f>
        <v>2.5</v>
      </c>
      <c r="J94" s="49">
        <f>AVERAGE('26.07 KALERWE-GAYAZA-24h'!J94,'27.07 KALERWE-GAYAZA-24h'!J94)</f>
        <v>0.5</v>
      </c>
      <c r="K94" s="49">
        <f>AVERAGE('26.07 KALERWE-GAYAZA-24h'!K94,'27.07 KALERWE-GAYAZA-24h'!K94)</f>
        <v>0.5</v>
      </c>
      <c r="L94" s="49">
        <f>AVERAGE('26.07 KALERWE-GAYAZA-24h'!L94,'27.07 KALERWE-GAYAZA-24h'!L94)</f>
        <v>0</v>
      </c>
      <c r="M94" s="49">
        <f>AVERAGE('26.07 KALERWE-GAYAZA-24h'!M94,'27.07 KALERWE-GAYAZA-24h'!M94)</f>
        <v>40</v>
      </c>
      <c r="N94" s="49">
        <f>AVERAGE('26.07 KALERWE-GAYAZA-24h'!N94,'27.07 KALERWE-GAYAZA-24h'!N94)</f>
        <v>0</v>
      </c>
      <c r="O94" s="15">
        <f t="shared" si="35"/>
        <v>24.5</v>
      </c>
      <c r="P94" s="15">
        <f t="shared" si="36"/>
        <v>64.5</v>
      </c>
      <c r="R94" s="8"/>
      <c r="T94"/>
    </row>
    <row r="95" spans="2:20" ht="23.1" customHeight="1" x14ac:dyDescent="0.25">
      <c r="B95" s="23" t="s">
        <v>135</v>
      </c>
      <c r="C95" s="49">
        <f>AVERAGE('26.07 KALERWE-GAYAZA-24h'!C95,'27.07 KALERWE-GAYAZA-24h'!C95)</f>
        <v>13</v>
      </c>
      <c r="D95" s="49">
        <f>AVERAGE('26.07 KALERWE-GAYAZA-24h'!D95,'27.07 KALERWE-GAYAZA-24h'!D95)</f>
        <v>1.5</v>
      </c>
      <c r="E95" s="49">
        <f>AVERAGE('26.07 KALERWE-GAYAZA-24h'!E95,'27.07 KALERWE-GAYAZA-24h'!E95)</f>
        <v>0.5</v>
      </c>
      <c r="F95" s="49">
        <f>AVERAGE('26.07 KALERWE-GAYAZA-24h'!F95,'27.07 KALERWE-GAYAZA-24h'!F95)</f>
        <v>3</v>
      </c>
      <c r="G95" s="49">
        <f>AVERAGE('26.07 KALERWE-GAYAZA-24h'!G95,'27.07 KALERWE-GAYAZA-24h'!G95)</f>
        <v>0</v>
      </c>
      <c r="H95" s="49">
        <f>AVERAGE('26.07 KALERWE-GAYAZA-24h'!H95,'27.07 KALERWE-GAYAZA-24h'!H95)</f>
        <v>0.5</v>
      </c>
      <c r="I95" s="49">
        <f>AVERAGE('26.07 KALERWE-GAYAZA-24h'!I95,'27.07 KALERWE-GAYAZA-24h'!I95)</f>
        <v>1</v>
      </c>
      <c r="J95" s="49">
        <f>AVERAGE('26.07 KALERWE-GAYAZA-24h'!J95,'27.07 KALERWE-GAYAZA-24h'!J95)</f>
        <v>2</v>
      </c>
      <c r="K95" s="49">
        <f>AVERAGE('26.07 KALERWE-GAYAZA-24h'!K95,'27.07 KALERWE-GAYAZA-24h'!K95)</f>
        <v>0.5</v>
      </c>
      <c r="L95" s="49">
        <f>AVERAGE('26.07 KALERWE-GAYAZA-24h'!L95,'27.07 KALERWE-GAYAZA-24h'!L95)</f>
        <v>0</v>
      </c>
      <c r="M95" s="49">
        <f>AVERAGE('26.07 KALERWE-GAYAZA-24h'!M95,'27.07 KALERWE-GAYAZA-24h'!M95)</f>
        <v>25.5</v>
      </c>
      <c r="N95" s="49">
        <f>AVERAGE('26.07 KALERWE-GAYAZA-24h'!N95,'27.07 KALERWE-GAYAZA-24h'!N95)</f>
        <v>0</v>
      </c>
      <c r="O95" s="15">
        <f t="shared" si="35"/>
        <v>22</v>
      </c>
      <c r="P95" s="15">
        <f t="shared" si="36"/>
        <v>47.5</v>
      </c>
      <c r="R95" s="8"/>
      <c r="T95"/>
    </row>
    <row r="96" spans="2:20" ht="23.1" customHeight="1" x14ac:dyDescent="0.25">
      <c r="B96" s="25" t="s">
        <v>136</v>
      </c>
      <c r="C96" s="49">
        <f>AVERAGE('26.07 KALERWE-GAYAZA-24h'!C96,'27.07 KALERWE-GAYAZA-24h'!C96)</f>
        <v>14</v>
      </c>
      <c r="D96" s="49">
        <f>AVERAGE('26.07 KALERWE-GAYAZA-24h'!D96,'27.07 KALERWE-GAYAZA-24h'!D96)</f>
        <v>0.5</v>
      </c>
      <c r="E96" s="49">
        <f>AVERAGE('26.07 KALERWE-GAYAZA-24h'!E96,'27.07 KALERWE-GAYAZA-24h'!E96)</f>
        <v>0</v>
      </c>
      <c r="F96" s="49">
        <f>AVERAGE('26.07 KALERWE-GAYAZA-24h'!F96,'27.07 KALERWE-GAYAZA-24h'!F96)</f>
        <v>7</v>
      </c>
      <c r="G96" s="49">
        <f>AVERAGE('26.07 KALERWE-GAYAZA-24h'!G96,'27.07 KALERWE-GAYAZA-24h'!G96)</f>
        <v>0</v>
      </c>
      <c r="H96" s="49">
        <f>AVERAGE('26.07 KALERWE-GAYAZA-24h'!H96,'27.07 KALERWE-GAYAZA-24h'!H96)</f>
        <v>0</v>
      </c>
      <c r="I96" s="49">
        <f>AVERAGE('26.07 KALERWE-GAYAZA-24h'!I96,'27.07 KALERWE-GAYAZA-24h'!I96)</f>
        <v>1</v>
      </c>
      <c r="J96" s="49">
        <f>AVERAGE('26.07 KALERWE-GAYAZA-24h'!J96,'27.07 KALERWE-GAYAZA-24h'!J96)</f>
        <v>4.5</v>
      </c>
      <c r="K96" s="49">
        <f>AVERAGE('26.07 KALERWE-GAYAZA-24h'!K96,'27.07 KALERWE-GAYAZA-24h'!K96)</f>
        <v>0</v>
      </c>
      <c r="L96" s="49">
        <f>AVERAGE('26.07 KALERWE-GAYAZA-24h'!L96,'27.07 KALERWE-GAYAZA-24h'!L96)</f>
        <v>1</v>
      </c>
      <c r="M96" s="49">
        <f>AVERAGE('26.07 KALERWE-GAYAZA-24h'!M96,'27.07 KALERWE-GAYAZA-24h'!M96)</f>
        <v>19.5</v>
      </c>
      <c r="N96" s="49">
        <f>AVERAGE('26.07 KALERWE-GAYAZA-24h'!N96,'27.07 KALERWE-GAYAZA-24h'!N96)</f>
        <v>0</v>
      </c>
      <c r="O96" s="15">
        <f t="shared" si="35"/>
        <v>28</v>
      </c>
      <c r="P96" s="15">
        <f t="shared" si="36"/>
        <v>47.5</v>
      </c>
      <c r="R96" s="8"/>
      <c r="T96"/>
    </row>
    <row r="97" spans="2:20" ht="23.1" customHeight="1" x14ac:dyDescent="0.25">
      <c r="B97" s="23" t="s">
        <v>137</v>
      </c>
      <c r="C97" s="49">
        <f>AVERAGE('26.07 KALERWE-GAYAZA-24h'!C97,'27.07 KALERWE-GAYAZA-24h'!C97)</f>
        <v>12</v>
      </c>
      <c r="D97" s="49">
        <f>AVERAGE('26.07 KALERWE-GAYAZA-24h'!D97,'27.07 KALERWE-GAYAZA-24h'!D97)</f>
        <v>1.5</v>
      </c>
      <c r="E97" s="49">
        <f>AVERAGE('26.07 KALERWE-GAYAZA-24h'!E97,'27.07 KALERWE-GAYAZA-24h'!E97)</f>
        <v>1</v>
      </c>
      <c r="F97" s="49">
        <f>AVERAGE('26.07 KALERWE-GAYAZA-24h'!F97,'27.07 KALERWE-GAYAZA-24h'!F97)</f>
        <v>8</v>
      </c>
      <c r="G97" s="49">
        <f>AVERAGE('26.07 KALERWE-GAYAZA-24h'!G97,'27.07 KALERWE-GAYAZA-24h'!G97)</f>
        <v>0</v>
      </c>
      <c r="H97" s="49">
        <f>AVERAGE('26.07 KALERWE-GAYAZA-24h'!H97,'27.07 KALERWE-GAYAZA-24h'!H97)</f>
        <v>0.5</v>
      </c>
      <c r="I97" s="49">
        <f>AVERAGE('26.07 KALERWE-GAYAZA-24h'!I97,'27.07 KALERWE-GAYAZA-24h'!I97)</f>
        <v>0.5</v>
      </c>
      <c r="J97" s="49">
        <f>AVERAGE('26.07 KALERWE-GAYAZA-24h'!J97,'27.07 KALERWE-GAYAZA-24h'!J97)</f>
        <v>3</v>
      </c>
      <c r="K97" s="49">
        <f>AVERAGE('26.07 KALERWE-GAYAZA-24h'!K97,'27.07 KALERWE-GAYAZA-24h'!K97)</f>
        <v>0.5</v>
      </c>
      <c r="L97" s="49">
        <f>AVERAGE('26.07 KALERWE-GAYAZA-24h'!L97,'27.07 KALERWE-GAYAZA-24h'!L97)</f>
        <v>2</v>
      </c>
      <c r="M97" s="49">
        <f>AVERAGE('26.07 KALERWE-GAYAZA-24h'!M97,'27.07 KALERWE-GAYAZA-24h'!M97)</f>
        <v>67</v>
      </c>
      <c r="N97" s="49">
        <f>AVERAGE('26.07 KALERWE-GAYAZA-24h'!N97,'27.07 KALERWE-GAYAZA-24h'!N97)</f>
        <v>0</v>
      </c>
      <c r="O97" s="15">
        <f t="shared" si="35"/>
        <v>29</v>
      </c>
      <c r="P97" s="15">
        <f t="shared" si="36"/>
        <v>96</v>
      </c>
      <c r="R97" s="8"/>
      <c r="T97"/>
    </row>
    <row r="98" spans="2:20" ht="23.1" customHeight="1" x14ac:dyDescent="0.25">
      <c r="B98" s="24" t="s">
        <v>138</v>
      </c>
      <c r="C98" s="49">
        <f>AVERAGE('26.07 KALERWE-GAYAZA-24h'!C98,'27.07 KALERWE-GAYAZA-24h'!C98)</f>
        <v>10.5</v>
      </c>
      <c r="D98" s="49">
        <f>AVERAGE('26.07 KALERWE-GAYAZA-24h'!D98,'27.07 KALERWE-GAYAZA-24h'!D98)</f>
        <v>3</v>
      </c>
      <c r="E98" s="49">
        <f>AVERAGE('26.07 KALERWE-GAYAZA-24h'!E98,'27.07 KALERWE-GAYAZA-24h'!E98)</f>
        <v>0</v>
      </c>
      <c r="F98" s="49">
        <f>AVERAGE('26.07 KALERWE-GAYAZA-24h'!F98,'27.07 KALERWE-GAYAZA-24h'!F98)</f>
        <v>13</v>
      </c>
      <c r="G98" s="49">
        <f>AVERAGE('26.07 KALERWE-GAYAZA-24h'!G98,'27.07 KALERWE-GAYAZA-24h'!G98)</f>
        <v>0</v>
      </c>
      <c r="H98" s="49">
        <f>AVERAGE('26.07 KALERWE-GAYAZA-24h'!H98,'27.07 KALERWE-GAYAZA-24h'!H98)</f>
        <v>0</v>
      </c>
      <c r="I98" s="49">
        <f>AVERAGE('26.07 KALERWE-GAYAZA-24h'!I98,'27.07 KALERWE-GAYAZA-24h'!I98)</f>
        <v>0.5</v>
      </c>
      <c r="J98" s="49">
        <f>AVERAGE('26.07 KALERWE-GAYAZA-24h'!J98,'27.07 KALERWE-GAYAZA-24h'!J98)</f>
        <v>2</v>
      </c>
      <c r="K98" s="49">
        <f>AVERAGE('26.07 KALERWE-GAYAZA-24h'!K98,'27.07 KALERWE-GAYAZA-24h'!K98)</f>
        <v>0</v>
      </c>
      <c r="L98" s="49">
        <f>AVERAGE('26.07 KALERWE-GAYAZA-24h'!L98,'27.07 KALERWE-GAYAZA-24h'!L98)</f>
        <v>1</v>
      </c>
      <c r="M98" s="49">
        <f>AVERAGE('26.07 KALERWE-GAYAZA-24h'!M98,'27.07 KALERWE-GAYAZA-24h'!M98)</f>
        <v>51</v>
      </c>
      <c r="N98" s="49">
        <f>AVERAGE('26.07 KALERWE-GAYAZA-24h'!N98,'27.07 KALERWE-GAYAZA-24h'!N98)</f>
        <v>0</v>
      </c>
      <c r="O98" s="15">
        <f t="shared" si="35"/>
        <v>30</v>
      </c>
      <c r="P98" s="15">
        <f t="shared" si="36"/>
        <v>81</v>
      </c>
      <c r="R98" s="8"/>
      <c r="T98"/>
    </row>
    <row r="99" spans="2:20" ht="23.1" customHeight="1" x14ac:dyDescent="0.25">
      <c r="B99" s="23" t="s">
        <v>139</v>
      </c>
      <c r="C99" s="49">
        <f>AVERAGE('26.07 KALERWE-GAYAZA-24h'!C99,'27.07 KALERWE-GAYAZA-24h'!C99)</f>
        <v>20.5</v>
      </c>
      <c r="D99" s="49">
        <f>AVERAGE('26.07 KALERWE-GAYAZA-24h'!D99,'27.07 KALERWE-GAYAZA-24h'!D99)</f>
        <v>1</v>
      </c>
      <c r="E99" s="49">
        <f>AVERAGE('26.07 KALERWE-GAYAZA-24h'!E99,'27.07 KALERWE-GAYAZA-24h'!E99)</f>
        <v>2</v>
      </c>
      <c r="F99" s="49">
        <f>AVERAGE('26.07 KALERWE-GAYAZA-24h'!F99,'27.07 KALERWE-GAYAZA-24h'!F99)</f>
        <v>14.5</v>
      </c>
      <c r="G99" s="49">
        <f>AVERAGE('26.07 KALERWE-GAYAZA-24h'!G99,'27.07 KALERWE-GAYAZA-24h'!G99)</f>
        <v>0</v>
      </c>
      <c r="H99" s="49">
        <f>AVERAGE('26.07 KALERWE-GAYAZA-24h'!H99,'27.07 KALERWE-GAYAZA-24h'!H99)</f>
        <v>0</v>
      </c>
      <c r="I99" s="49">
        <f>AVERAGE('26.07 KALERWE-GAYAZA-24h'!I99,'27.07 KALERWE-GAYAZA-24h'!I99)</f>
        <v>3.5</v>
      </c>
      <c r="J99" s="49">
        <f>AVERAGE('26.07 KALERWE-GAYAZA-24h'!J99,'27.07 KALERWE-GAYAZA-24h'!J99)</f>
        <v>3</v>
      </c>
      <c r="K99" s="49">
        <f>AVERAGE('26.07 KALERWE-GAYAZA-24h'!K99,'27.07 KALERWE-GAYAZA-24h'!K99)</f>
        <v>0</v>
      </c>
      <c r="L99" s="49">
        <f>AVERAGE('26.07 KALERWE-GAYAZA-24h'!L99,'27.07 KALERWE-GAYAZA-24h'!L99)</f>
        <v>0.5</v>
      </c>
      <c r="M99" s="49">
        <f>AVERAGE('26.07 KALERWE-GAYAZA-24h'!M99,'27.07 KALERWE-GAYAZA-24h'!M99)</f>
        <v>60</v>
      </c>
      <c r="N99" s="49">
        <f>AVERAGE('26.07 KALERWE-GAYAZA-24h'!N99,'27.07 KALERWE-GAYAZA-24h'!N99)</f>
        <v>0</v>
      </c>
      <c r="O99" s="15">
        <f t="shared" si="35"/>
        <v>45</v>
      </c>
      <c r="P99" s="15">
        <f t="shared" si="36"/>
        <v>105</v>
      </c>
      <c r="R99" s="8"/>
      <c r="T99"/>
    </row>
    <row r="100" spans="2:20" ht="23.1" customHeight="1" x14ac:dyDescent="0.25">
      <c r="B100" s="25" t="s">
        <v>140</v>
      </c>
      <c r="C100" s="49">
        <f>AVERAGE('26.07 KALERWE-GAYAZA-24h'!C100,'27.07 KALERWE-GAYAZA-24h'!C100)</f>
        <v>12.5</v>
      </c>
      <c r="D100" s="49">
        <f>AVERAGE('26.07 KALERWE-GAYAZA-24h'!D100,'27.07 KALERWE-GAYAZA-24h'!D100)</f>
        <v>2</v>
      </c>
      <c r="E100" s="49">
        <f>AVERAGE('26.07 KALERWE-GAYAZA-24h'!E100,'27.07 KALERWE-GAYAZA-24h'!E100)</f>
        <v>3</v>
      </c>
      <c r="F100" s="49">
        <f>AVERAGE('26.07 KALERWE-GAYAZA-24h'!F100,'27.07 KALERWE-GAYAZA-24h'!F100)</f>
        <v>11</v>
      </c>
      <c r="G100" s="49">
        <f>AVERAGE('26.07 KALERWE-GAYAZA-24h'!G100,'27.07 KALERWE-GAYAZA-24h'!G100)</f>
        <v>0</v>
      </c>
      <c r="H100" s="49">
        <f>AVERAGE('26.07 KALERWE-GAYAZA-24h'!H100,'27.07 KALERWE-GAYAZA-24h'!H100)</f>
        <v>0</v>
      </c>
      <c r="I100" s="49">
        <f>AVERAGE('26.07 KALERWE-GAYAZA-24h'!I100,'27.07 KALERWE-GAYAZA-24h'!I100)</f>
        <v>0</v>
      </c>
      <c r="J100" s="49">
        <f>AVERAGE('26.07 KALERWE-GAYAZA-24h'!J100,'27.07 KALERWE-GAYAZA-24h'!J100)</f>
        <v>1.5</v>
      </c>
      <c r="K100" s="49">
        <f>AVERAGE('26.07 KALERWE-GAYAZA-24h'!K100,'27.07 KALERWE-GAYAZA-24h'!K100)</f>
        <v>0</v>
      </c>
      <c r="L100" s="49">
        <f>AVERAGE('26.07 KALERWE-GAYAZA-24h'!L100,'27.07 KALERWE-GAYAZA-24h'!L100)</f>
        <v>0</v>
      </c>
      <c r="M100" s="49">
        <f>AVERAGE('26.07 KALERWE-GAYAZA-24h'!M100,'27.07 KALERWE-GAYAZA-24h'!M100)</f>
        <v>42.5</v>
      </c>
      <c r="N100" s="49">
        <f>AVERAGE('26.07 KALERWE-GAYAZA-24h'!N100,'27.07 KALERWE-GAYAZA-24h'!N100)</f>
        <v>0</v>
      </c>
      <c r="O100" s="15">
        <f t="shared" si="35"/>
        <v>30</v>
      </c>
      <c r="P100" s="15">
        <f t="shared" si="36"/>
        <v>72.5</v>
      </c>
      <c r="R100" s="8"/>
      <c r="T100"/>
    </row>
    <row r="101" spans="2:20" ht="23.1" customHeight="1" x14ac:dyDescent="0.25">
      <c r="B101" s="23" t="s">
        <v>141</v>
      </c>
      <c r="C101" s="49">
        <f>AVERAGE('26.07 KALERWE-GAYAZA-24h'!C101,'27.07 KALERWE-GAYAZA-24h'!C101)</f>
        <v>12.5</v>
      </c>
      <c r="D101" s="49">
        <f>AVERAGE('26.07 KALERWE-GAYAZA-24h'!D101,'27.07 KALERWE-GAYAZA-24h'!D101)</f>
        <v>3.5</v>
      </c>
      <c r="E101" s="49">
        <f>AVERAGE('26.07 KALERWE-GAYAZA-24h'!E101,'27.07 KALERWE-GAYAZA-24h'!E101)</f>
        <v>4</v>
      </c>
      <c r="F101" s="49">
        <f>AVERAGE('26.07 KALERWE-GAYAZA-24h'!F101,'27.07 KALERWE-GAYAZA-24h'!F101)</f>
        <v>14</v>
      </c>
      <c r="G101" s="49">
        <f>AVERAGE('26.07 KALERWE-GAYAZA-24h'!G101,'27.07 KALERWE-GAYAZA-24h'!G101)</f>
        <v>0</v>
      </c>
      <c r="H101" s="49">
        <f>AVERAGE('26.07 KALERWE-GAYAZA-24h'!H101,'27.07 KALERWE-GAYAZA-24h'!H101)</f>
        <v>0.5</v>
      </c>
      <c r="I101" s="49">
        <f>AVERAGE('26.07 KALERWE-GAYAZA-24h'!I101,'27.07 KALERWE-GAYAZA-24h'!I101)</f>
        <v>0.5</v>
      </c>
      <c r="J101" s="49">
        <f>AVERAGE('26.07 KALERWE-GAYAZA-24h'!J101,'27.07 KALERWE-GAYAZA-24h'!J101)</f>
        <v>3.5</v>
      </c>
      <c r="K101" s="49">
        <f>AVERAGE('26.07 KALERWE-GAYAZA-24h'!K101,'27.07 KALERWE-GAYAZA-24h'!K101)</f>
        <v>2</v>
      </c>
      <c r="L101" s="49">
        <f>AVERAGE('26.07 KALERWE-GAYAZA-24h'!L101,'27.07 KALERWE-GAYAZA-24h'!L101)</f>
        <v>2.5</v>
      </c>
      <c r="M101" s="49">
        <f>AVERAGE('26.07 KALERWE-GAYAZA-24h'!M101,'27.07 KALERWE-GAYAZA-24h'!M101)</f>
        <v>51</v>
      </c>
      <c r="N101" s="49">
        <f>AVERAGE('26.07 KALERWE-GAYAZA-24h'!N101,'27.07 KALERWE-GAYAZA-24h'!N101)</f>
        <v>0</v>
      </c>
      <c r="O101" s="15">
        <f t="shared" si="35"/>
        <v>43</v>
      </c>
      <c r="P101" s="15">
        <f t="shared" si="36"/>
        <v>94</v>
      </c>
      <c r="R101" s="8"/>
      <c r="T101"/>
    </row>
    <row r="102" spans="2:20" ht="23.1" customHeight="1" x14ac:dyDescent="0.25">
      <c r="B102" s="24" t="s">
        <v>142</v>
      </c>
      <c r="C102" s="49">
        <f>AVERAGE('26.07 KALERWE-GAYAZA-24h'!C102,'27.07 KALERWE-GAYAZA-24h'!C102)</f>
        <v>16.5</v>
      </c>
      <c r="D102" s="49">
        <f>AVERAGE('26.07 KALERWE-GAYAZA-24h'!D102,'27.07 KALERWE-GAYAZA-24h'!D102)</f>
        <v>4</v>
      </c>
      <c r="E102" s="49">
        <f>AVERAGE('26.07 KALERWE-GAYAZA-24h'!E102,'27.07 KALERWE-GAYAZA-24h'!E102)</f>
        <v>2</v>
      </c>
      <c r="F102" s="49">
        <f>AVERAGE('26.07 KALERWE-GAYAZA-24h'!F102,'27.07 KALERWE-GAYAZA-24h'!F102)</f>
        <v>17</v>
      </c>
      <c r="G102" s="49">
        <f>AVERAGE('26.07 KALERWE-GAYAZA-24h'!G102,'27.07 KALERWE-GAYAZA-24h'!G102)</f>
        <v>1</v>
      </c>
      <c r="H102" s="49">
        <f>AVERAGE('26.07 KALERWE-GAYAZA-24h'!H102,'27.07 KALERWE-GAYAZA-24h'!H102)</f>
        <v>0</v>
      </c>
      <c r="I102" s="49">
        <f>AVERAGE('26.07 KALERWE-GAYAZA-24h'!I102,'27.07 KALERWE-GAYAZA-24h'!I102)</f>
        <v>2.5</v>
      </c>
      <c r="J102" s="49">
        <f>AVERAGE('26.07 KALERWE-GAYAZA-24h'!J102,'27.07 KALERWE-GAYAZA-24h'!J102)</f>
        <v>3.5</v>
      </c>
      <c r="K102" s="49">
        <f>AVERAGE('26.07 KALERWE-GAYAZA-24h'!K102,'27.07 KALERWE-GAYAZA-24h'!K102)</f>
        <v>2</v>
      </c>
      <c r="L102" s="49">
        <f>AVERAGE('26.07 KALERWE-GAYAZA-24h'!L102,'27.07 KALERWE-GAYAZA-24h'!L102)</f>
        <v>1</v>
      </c>
      <c r="M102" s="49">
        <f>AVERAGE('26.07 KALERWE-GAYAZA-24h'!M102,'27.07 KALERWE-GAYAZA-24h'!M102)</f>
        <v>57.5</v>
      </c>
      <c r="N102" s="49">
        <f>AVERAGE('26.07 KALERWE-GAYAZA-24h'!N102,'27.07 KALERWE-GAYAZA-24h'!N102)</f>
        <v>0</v>
      </c>
      <c r="O102" s="15">
        <f t="shared" si="35"/>
        <v>49.5</v>
      </c>
      <c r="P102" s="15">
        <f t="shared" si="36"/>
        <v>107</v>
      </c>
      <c r="R102" s="8"/>
      <c r="T102"/>
    </row>
    <row r="103" spans="2:20" ht="23.1" customHeight="1" x14ac:dyDescent="0.25">
      <c r="B103" s="23" t="s">
        <v>143</v>
      </c>
      <c r="C103" s="49">
        <f>AVERAGE('26.07 KALERWE-GAYAZA-24h'!C103,'27.07 KALERWE-GAYAZA-24h'!C103)</f>
        <v>13</v>
      </c>
      <c r="D103" s="49">
        <f>AVERAGE('26.07 KALERWE-GAYAZA-24h'!D103,'27.07 KALERWE-GAYAZA-24h'!D103)</f>
        <v>3.5</v>
      </c>
      <c r="E103" s="49">
        <f>AVERAGE('26.07 KALERWE-GAYAZA-24h'!E103,'27.07 KALERWE-GAYAZA-24h'!E103)</f>
        <v>3</v>
      </c>
      <c r="F103" s="49">
        <f>AVERAGE('26.07 KALERWE-GAYAZA-24h'!F103,'27.07 KALERWE-GAYAZA-24h'!F103)</f>
        <v>15.5</v>
      </c>
      <c r="G103" s="49">
        <f>AVERAGE('26.07 KALERWE-GAYAZA-24h'!G103,'27.07 KALERWE-GAYAZA-24h'!G103)</f>
        <v>0</v>
      </c>
      <c r="H103" s="49">
        <f>AVERAGE('26.07 KALERWE-GAYAZA-24h'!H103,'27.07 KALERWE-GAYAZA-24h'!H103)</f>
        <v>0</v>
      </c>
      <c r="I103" s="49">
        <f>AVERAGE('26.07 KALERWE-GAYAZA-24h'!I103,'27.07 KALERWE-GAYAZA-24h'!I103)</f>
        <v>2</v>
      </c>
      <c r="J103" s="49">
        <f>AVERAGE('26.07 KALERWE-GAYAZA-24h'!J103,'27.07 KALERWE-GAYAZA-24h'!J103)</f>
        <v>4.5</v>
      </c>
      <c r="K103" s="49">
        <f>AVERAGE('26.07 KALERWE-GAYAZA-24h'!K103,'27.07 KALERWE-GAYAZA-24h'!K103)</f>
        <v>0</v>
      </c>
      <c r="L103" s="49">
        <f>AVERAGE('26.07 KALERWE-GAYAZA-24h'!L103,'27.07 KALERWE-GAYAZA-24h'!L103)</f>
        <v>1</v>
      </c>
      <c r="M103" s="49">
        <f>AVERAGE('26.07 KALERWE-GAYAZA-24h'!M103,'27.07 KALERWE-GAYAZA-24h'!M103)</f>
        <v>79</v>
      </c>
      <c r="N103" s="49">
        <f>AVERAGE('26.07 KALERWE-GAYAZA-24h'!N103,'27.07 KALERWE-GAYAZA-24h'!N103)</f>
        <v>0</v>
      </c>
      <c r="O103" s="15">
        <f t="shared" si="35"/>
        <v>42.5</v>
      </c>
      <c r="P103" s="15">
        <f t="shared" si="36"/>
        <v>121.5</v>
      </c>
      <c r="R103" s="8"/>
      <c r="T103"/>
    </row>
    <row r="104" spans="2:20" ht="23.1" customHeight="1" x14ac:dyDescent="0.25">
      <c r="B104" s="25" t="s">
        <v>144</v>
      </c>
      <c r="C104" s="49">
        <f>AVERAGE('26.07 KALERWE-GAYAZA-24h'!C104,'27.07 KALERWE-GAYAZA-24h'!C104)</f>
        <v>13</v>
      </c>
      <c r="D104" s="49">
        <f>AVERAGE('26.07 KALERWE-GAYAZA-24h'!D104,'27.07 KALERWE-GAYAZA-24h'!D104)</f>
        <v>4.5</v>
      </c>
      <c r="E104" s="49">
        <f>AVERAGE('26.07 KALERWE-GAYAZA-24h'!E104,'27.07 KALERWE-GAYAZA-24h'!E104)</f>
        <v>5.5</v>
      </c>
      <c r="F104" s="49">
        <f>AVERAGE('26.07 KALERWE-GAYAZA-24h'!F104,'27.07 KALERWE-GAYAZA-24h'!F104)</f>
        <v>20</v>
      </c>
      <c r="G104" s="49">
        <f>AVERAGE('26.07 KALERWE-GAYAZA-24h'!G104,'27.07 KALERWE-GAYAZA-24h'!G104)</f>
        <v>0</v>
      </c>
      <c r="H104" s="49">
        <f>AVERAGE('26.07 KALERWE-GAYAZA-24h'!H104,'27.07 KALERWE-GAYAZA-24h'!H104)</f>
        <v>1</v>
      </c>
      <c r="I104" s="49">
        <f>AVERAGE('26.07 KALERWE-GAYAZA-24h'!I104,'27.07 KALERWE-GAYAZA-24h'!I104)</f>
        <v>1.5</v>
      </c>
      <c r="J104" s="49">
        <f>AVERAGE('26.07 KALERWE-GAYAZA-24h'!J104,'27.07 KALERWE-GAYAZA-24h'!J104)</f>
        <v>4.5</v>
      </c>
      <c r="K104" s="49">
        <f>AVERAGE('26.07 KALERWE-GAYAZA-24h'!K104,'27.07 KALERWE-GAYAZA-24h'!K104)</f>
        <v>0.5</v>
      </c>
      <c r="L104" s="49">
        <f>AVERAGE('26.07 KALERWE-GAYAZA-24h'!L104,'27.07 KALERWE-GAYAZA-24h'!L104)</f>
        <v>2</v>
      </c>
      <c r="M104" s="49">
        <f>AVERAGE('26.07 KALERWE-GAYAZA-24h'!M104,'27.07 KALERWE-GAYAZA-24h'!M104)</f>
        <v>98</v>
      </c>
      <c r="N104" s="49">
        <f>AVERAGE('26.07 KALERWE-GAYAZA-24h'!N104,'27.07 KALERWE-GAYAZA-24h'!N104)</f>
        <v>0</v>
      </c>
      <c r="O104" s="15">
        <f t="shared" si="35"/>
        <v>52.5</v>
      </c>
      <c r="P104" s="15">
        <f t="shared" si="36"/>
        <v>150.5</v>
      </c>
      <c r="R104" s="8"/>
      <c r="T104"/>
    </row>
    <row r="105" spans="2:20" ht="23.1" customHeight="1" x14ac:dyDescent="0.25">
      <c r="B105" s="23" t="s">
        <v>145</v>
      </c>
      <c r="C105" s="49">
        <f>AVERAGE('26.07 KALERWE-GAYAZA-24h'!C105,'27.07 KALERWE-GAYAZA-24h'!C105)</f>
        <v>18</v>
      </c>
      <c r="D105" s="49">
        <f>AVERAGE('26.07 KALERWE-GAYAZA-24h'!D105,'27.07 KALERWE-GAYAZA-24h'!D105)</f>
        <v>7.5</v>
      </c>
      <c r="E105" s="49">
        <f>AVERAGE('26.07 KALERWE-GAYAZA-24h'!E105,'27.07 KALERWE-GAYAZA-24h'!E105)</f>
        <v>7.5</v>
      </c>
      <c r="F105" s="49">
        <f>AVERAGE('26.07 KALERWE-GAYAZA-24h'!F105,'27.07 KALERWE-GAYAZA-24h'!F105)</f>
        <v>24.5</v>
      </c>
      <c r="G105" s="49">
        <f>AVERAGE('26.07 KALERWE-GAYAZA-24h'!G105,'27.07 KALERWE-GAYAZA-24h'!G105)</f>
        <v>0.5</v>
      </c>
      <c r="H105" s="49">
        <f>AVERAGE('26.07 KALERWE-GAYAZA-24h'!H105,'27.07 KALERWE-GAYAZA-24h'!H105)</f>
        <v>0.5</v>
      </c>
      <c r="I105" s="49">
        <f>AVERAGE('26.07 KALERWE-GAYAZA-24h'!I105,'27.07 KALERWE-GAYAZA-24h'!I105)</f>
        <v>1</v>
      </c>
      <c r="J105" s="49">
        <f>AVERAGE('26.07 KALERWE-GAYAZA-24h'!J105,'27.07 KALERWE-GAYAZA-24h'!J105)</f>
        <v>4</v>
      </c>
      <c r="K105" s="49">
        <f>AVERAGE('26.07 KALERWE-GAYAZA-24h'!K105,'27.07 KALERWE-GAYAZA-24h'!K105)</f>
        <v>0.5</v>
      </c>
      <c r="L105" s="49">
        <f>AVERAGE('26.07 KALERWE-GAYAZA-24h'!L105,'27.07 KALERWE-GAYAZA-24h'!L105)</f>
        <v>4</v>
      </c>
      <c r="M105" s="49">
        <f>AVERAGE('26.07 KALERWE-GAYAZA-24h'!M105,'27.07 KALERWE-GAYAZA-24h'!M105)</f>
        <v>97.5</v>
      </c>
      <c r="N105" s="49">
        <f>AVERAGE('26.07 KALERWE-GAYAZA-24h'!N105,'27.07 KALERWE-GAYAZA-24h'!N105)</f>
        <v>0</v>
      </c>
      <c r="O105" s="15">
        <f t="shared" si="35"/>
        <v>68</v>
      </c>
      <c r="P105" s="15">
        <f t="shared" si="36"/>
        <v>165.5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2567.8571428571427</v>
      </c>
      <c r="D106" s="16">
        <f t="shared" si="37"/>
        <v>804.57142857142856</v>
      </c>
      <c r="E106" s="16">
        <f t="shared" si="37"/>
        <v>537.142857142857</v>
      </c>
      <c r="F106" s="16">
        <f t="shared" si="37"/>
        <v>2598.7142857142853</v>
      </c>
      <c r="G106" s="16">
        <f t="shared" si="37"/>
        <v>46.142857142857153</v>
      </c>
      <c r="H106" s="16">
        <f t="shared" si="37"/>
        <v>36.714285714285715</v>
      </c>
      <c r="I106" s="16">
        <f t="shared" si="37"/>
        <v>383.42857142857139</v>
      </c>
      <c r="J106" s="16">
        <f t="shared" si="37"/>
        <v>159.57142857142853</v>
      </c>
      <c r="K106" s="16">
        <f t="shared" si="37"/>
        <v>52.999999999999993</v>
      </c>
      <c r="L106" s="16">
        <f t="shared" si="37"/>
        <v>48.857142857142854</v>
      </c>
      <c r="M106" s="16">
        <f t="shared" si="37"/>
        <v>13458.428571428574</v>
      </c>
      <c r="N106" s="16">
        <f t="shared" si="37"/>
        <v>0.2857142857142857</v>
      </c>
      <c r="O106" s="16">
        <f t="shared" si="37"/>
        <v>7236.2857142857147</v>
      </c>
      <c r="P106" s="16">
        <f t="shared" si="37"/>
        <v>20694.714285714286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0.12408275405037862</v>
      </c>
      <c r="D107" s="43">
        <f t="shared" si="38"/>
        <v>3.8878112423462168E-2</v>
      </c>
      <c r="E107" s="43">
        <f t="shared" si="38"/>
        <v>2.5955558009981838E-2</v>
      </c>
      <c r="F107" s="43">
        <f t="shared" si="38"/>
        <v>0.1255738180211648</v>
      </c>
      <c r="G107" s="43">
        <f t="shared" si="38"/>
        <v>2.2296928822404622E-3</v>
      </c>
      <c r="H107" s="43">
        <f t="shared" si="38"/>
        <v>1.7740900022780145E-3</v>
      </c>
      <c r="I107" s="43">
        <f t="shared" si="38"/>
        <v>1.8527850451806188E-2</v>
      </c>
      <c r="J107" s="43">
        <f t="shared" si="38"/>
        <v>7.7107335896674763E-3</v>
      </c>
      <c r="K107" s="43">
        <f t="shared" si="38"/>
        <v>2.5610404313040594E-3</v>
      </c>
      <c r="L107" s="43">
        <f t="shared" si="38"/>
        <v>2.3608512870781358E-3</v>
      </c>
      <c r="M107" s="43">
        <f t="shared" si="38"/>
        <v>0.6503316927027607</v>
      </c>
      <c r="N107" s="43">
        <f t="shared" si="38"/>
        <v>1.3806147877649917E-5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0.35485845145496897</v>
      </c>
      <c r="D108" s="44">
        <f t="shared" ref="D108:N108" si="39">D106/$O$106</f>
        <v>0.11118569115963201</v>
      </c>
      <c r="E108" s="44">
        <f t="shared" si="39"/>
        <v>7.4229083586686118E-2</v>
      </c>
      <c r="F108" s="44">
        <f t="shared" si="39"/>
        <v>0.35912267540569348</v>
      </c>
      <c r="G108" s="44">
        <f t="shared" si="39"/>
        <v>6.376594148537135E-3</v>
      </c>
      <c r="H108" s="44">
        <f t="shared" si="39"/>
        <v>5.0736368302601968E-3</v>
      </c>
      <c r="I108" s="44">
        <f t="shared" si="39"/>
        <v>5.2986930943262123E-2</v>
      </c>
      <c r="J108" s="44">
        <f t="shared" si="39"/>
        <v>2.2051565522959681E-2</v>
      </c>
      <c r="K108" s="44">
        <f t="shared" si="39"/>
        <v>7.32419947092036E-3</v>
      </c>
      <c r="L108" s="44">
        <f t="shared" si="39"/>
        <v>6.7516879219804947E-3</v>
      </c>
      <c r="M108" s="44"/>
      <c r="N108" s="44">
        <f t="shared" si="39"/>
        <v>3.9483555099301135E-5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H86" zoomScale="60" workbookViewId="0">
      <selection activeCell="W67" sqref="W6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'28.07 GAYAZA-KALERWE'!C3:G3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169</v>
      </c>
      <c r="E5" s="68"/>
      <c r="F5" s="41" t="s">
        <v>1</v>
      </c>
      <c r="G5" s="65" t="str">
        <f>'28.07 GAYAZA-KALERWE'!G5:H5</f>
        <v>DELTA KYEBANDO</v>
      </c>
      <c r="H5" s="66"/>
      <c r="I5" s="14"/>
      <c r="J5" s="2" t="s">
        <v>5</v>
      </c>
      <c r="K5" s="65" t="str">
        <f>'28.07 GAYAZA-KALERWE'!K5:L5</f>
        <v>MORREEN AND BABIRYE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'28.07 GAYAZA-KALERWE'!D6:E6</f>
        <v>GAYAZA</v>
      </c>
      <c r="E6" s="66"/>
      <c r="F6" s="2" t="s">
        <v>2</v>
      </c>
      <c r="G6" s="65" t="str">
        <f>'28.07 GAYAZA-KALERWE'!G6:H6</f>
        <v>KALERWE</v>
      </c>
      <c r="H6" s="66"/>
      <c r="J6" s="2" t="s">
        <v>21</v>
      </c>
      <c r="K6" s="65" t="str">
        <f>'28.07 GAYAZA-KALERWE'!K6:L6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GAYAZA-KALERWE'!C10,'23.07 GAYAZA-KALERWE'!C10,'24.07 GAYAZA-KALERWE'!C10,'25.07 GAYAZA-KALERWE'!C10,'26.07 GAYAZA-KALERWE-24h'!C10,'27.07 GAYAZA-KALERWE-24h'!C10,'28.07 GAYAZA-KALERWE'!C10)</f>
        <v>53.714285714285715</v>
      </c>
      <c r="D10" s="49">
        <f>AVERAGE('22.07 GAYAZA-KALERWE'!D10,'23.07 GAYAZA-KALERWE'!D10,'24.07 GAYAZA-KALERWE'!D10,'25.07 GAYAZA-KALERWE'!D10,'26.07 GAYAZA-KALERWE-24h'!D10,'27.07 GAYAZA-KALERWE-24h'!D10,'28.07 GAYAZA-KALERWE'!D10)</f>
        <v>7.8571428571428568</v>
      </c>
      <c r="E10" s="49">
        <f>AVERAGE('22.07 GAYAZA-KALERWE'!E10,'23.07 GAYAZA-KALERWE'!E10,'24.07 GAYAZA-KALERWE'!E10,'25.07 GAYAZA-KALERWE'!E10,'26.07 GAYAZA-KALERWE-24h'!E10,'27.07 GAYAZA-KALERWE-24h'!E10,'28.07 GAYAZA-KALERWE'!E10)</f>
        <v>7.1428571428571432</v>
      </c>
      <c r="F10" s="49">
        <f>AVERAGE('22.07 GAYAZA-KALERWE'!F10,'23.07 GAYAZA-KALERWE'!F10,'24.07 GAYAZA-KALERWE'!F10,'25.07 GAYAZA-KALERWE'!F10,'26.07 GAYAZA-KALERWE-24h'!F10,'27.07 GAYAZA-KALERWE-24h'!F10,'28.07 GAYAZA-KALERWE'!F10)</f>
        <v>36</v>
      </c>
      <c r="G10" s="49">
        <f>AVERAGE('22.07 GAYAZA-KALERWE'!G10,'23.07 GAYAZA-KALERWE'!G10,'24.07 GAYAZA-KALERWE'!G10,'25.07 GAYAZA-KALERWE'!G10,'26.07 GAYAZA-KALERWE-24h'!G10,'27.07 GAYAZA-KALERWE-24h'!G10,'28.07 GAYAZA-KALERWE'!G10)</f>
        <v>3.2857142857142856</v>
      </c>
      <c r="H10" s="49">
        <f>AVERAGE('22.07 GAYAZA-KALERWE'!H10,'23.07 GAYAZA-KALERWE'!H10,'24.07 GAYAZA-KALERWE'!H10,'25.07 GAYAZA-KALERWE'!H10,'26.07 GAYAZA-KALERWE-24h'!H10,'27.07 GAYAZA-KALERWE-24h'!H10,'28.07 GAYAZA-KALERWE'!H10)</f>
        <v>1.2857142857142858</v>
      </c>
      <c r="I10" s="49">
        <f>AVERAGE('22.07 GAYAZA-KALERWE'!I10,'23.07 GAYAZA-KALERWE'!I10,'24.07 GAYAZA-KALERWE'!I10,'25.07 GAYAZA-KALERWE'!I10,'26.07 GAYAZA-KALERWE-24h'!I10,'27.07 GAYAZA-KALERWE-24h'!I10,'28.07 GAYAZA-KALERWE'!I10)</f>
        <v>5.5714285714285712</v>
      </c>
      <c r="J10" s="49">
        <f>AVERAGE('22.07 GAYAZA-KALERWE'!J10,'23.07 GAYAZA-KALERWE'!J10,'24.07 GAYAZA-KALERWE'!J10,'25.07 GAYAZA-KALERWE'!J10,'26.07 GAYAZA-KALERWE-24h'!J10,'27.07 GAYAZA-KALERWE-24h'!J10,'28.07 GAYAZA-KALERWE'!J10)</f>
        <v>3.8571428571428572</v>
      </c>
      <c r="K10" s="49">
        <f>AVERAGE('22.07 GAYAZA-KALERWE'!K10,'23.07 GAYAZA-KALERWE'!K10,'24.07 GAYAZA-KALERWE'!K10,'25.07 GAYAZA-KALERWE'!K10,'26.07 GAYAZA-KALERWE-24h'!K10,'27.07 GAYAZA-KALERWE-24h'!K10,'28.07 GAYAZA-KALERWE'!K10)</f>
        <v>1</v>
      </c>
      <c r="L10" s="49">
        <f>AVERAGE('22.07 GAYAZA-KALERWE'!L10,'23.07 GAYAZA-KALERWE'!L10,'24.07 GAYAZA-KALERWE'!L10,'25.07 GAYAZA-KALERWE'!L10,'26.07 GAYAZA-KALERWE-24h'!L10,'27.07 GAYAZA-KALERWE-24h'!L10,'28.07 GAYAZA-KALERWE'!L10)</f>
        <v>0.5714285714285714</v>
      </c>
      <c r="M10" s="49">
        <f>AVERAGE('22.07 GAYAZA-KALERWE'!M10,'23.07 GAYAZA-KALERWE'!M10,'24.07 GAYAZA-KALERWE'!M10,'25.07 GAYAZA-KALERWE'!M10,'26.07 GAYAZA-KALERWE-24h'!M10,'27.07 GAYAZA-KALERWE-24h'!M10,'28.07 GAYAZA-KALERWE'!M10)</f>
        <v>224.28571428571428</v>
      </c>
      <c r="N10" s="49">
        <f>AVERAGE('22.07 GAYAZA-KALERWE'!N10,'23.07 GAYAZA-KALERWE'!N10,'24.07 GAYAZA-KALERWE'!N10,'25.07 GAYAZA-KALERWE'!N10,'26.07 GAYAZA-KALERWE-24h'!N10,'27.07 GAYAZA-KALERWE-24h'!N10,'28.07 GAYAZA-KALERWE'!N10)</f>
        <v>0</v>
      </c>
      <c r="O10" s="15">
        <f t="shared" ref="O10:O59" si="0">SUM(C10:L10,N10)</f>
        <v>120.28571428571429</v>
      </c>
      <c r="P10" s="15">
        <f t="shared" ref="P10:P73" si="1">SUM(C10:N10)</f>
        <v>344.57142857142856</v>
      </c>
      <c r="R10" s="1" t="s">
        <v>6</v>
      </c>
      <c r="S10" s="17">
        <f t="shared" ref="S10:AF10" si="2">SUM(C10:C13)</f>
        <v>236</v>
      </c>
      <c r="T10" s="17">
        <f t="shared" si="2"/>
        <v>41.142857142857146</v>
      </c>
      <c r="U10" s="17">
        <f t="shared" si="2"/>
        <v>28.857142857142861</v>
      </c>
      <c r="V10" s="17">
        <f t="shared" si="2"/>
        <v>153.14285714285714</v>
      </c>
      <c r="W10" s="17">
        <f t="shared" si="2"/>
        <v>11.285714285714286</v>
      </c>
      <c r="X10" s="17">
        <f t="shared" si="2"/>
        <v>3.1428571428571428</v>
      </c>
      <c r="Y10" s="17">
        <f t="shared" si="2"/>
        <v>20</v>
      </c>
      <c r="Z10" s="17">
        <f t="shared" si="2"/>
        <v>11.142857142857142</v>
      </c>
      <c r="AA10" s="17">
        <f t="shared" si="2"/>
        <v>3.5714285714285716</v>
      </c>
      <c r="AB10" s="17">
        <f t="shared" si="2"/>
        <v>58.428571428571431</v>
      </c>
      <c r="AC10" s="17">
        <f t="shared" si="2"/>
        <v>895.14285714285711</v>
      </c>
      <c r="AD10" s="17">
        <f t="shared" si="2"/>
        <v>0</v>
      </c>
      <c r="AE10" s="31">
        <f t="shared" si="2"/>
        <v>566.71428571428567</v>
      </c>
      <c r="AF10" s="31">
        <f t="shared" si="2"/>
        <v>1461.8571428571427</v>
      </c>
    </row>
    <row r="11" spans="2:32" s="6" customFormat="1" ht="23.1" customHeight="1" x14ac:dyDescent="0.25">
      <c r="B11" s="23" t="s">
        <v>38</v>
      </c>
      <c r="C11" s="49">
        <f>AVERAGE('22.07 GAYAZA-KALERWE'!C11,'23.07 GAYAZA-KALERWE'!C11,'24.07 GAYAZA-KALERWE'!C11,'25.07 GAYAZA-KALERWE'!C11,'26.07 GAYAZA-KALERWE-24h'!C11,'27.07 GAYAZA-KALERWE-24h'!C11,'28.07 GAYAZA-KALERWE'!C11)</f>
        <v>52.142857142857146</v>
      </c>
      <c r="D11" s="49">
        <f>AVERAGE('22.07 GAYAZA-KALERWE'!D11,'23.07 GAYAZA-KALERWE'!D11,'24.07 GAYAZA-KALERWE'!D11,'25.07 GAYAZA-KALERWE'!D11,'26.07 GAYAZA-KALERWE-24h'!D11,'27.07 GAYAZA-KALERWE-24h'!D11,'28.07 GAYAZA-KALERWE'!D11)</f>
        <v>7.2857142857142856</v>
      </c>
      <c r="E11" s="49">
        <f>AVERAGE('22.07 GAYAZA-KALERWE'!E11,'23.07 GAYAZA-KALERWE'!E11,'24.07 GAYAZA-KALERWE'!E11,'25.07 GAYAZA-KALERWE'!E11,'26.07 GAYAZA-KALERWE-24h'!E11,'27.07 GAYAZA-KALERWE-24h'!E11,'28.07 GAYAZA-KALERWE'!E11)</f>
        <v>3.7142857142857144</v>
      </c>
      <c r="F11" s="49">
        <f>AVERAGE('22.07 GAYAZA-KALERWE'!F11,'23.07 GAYAZA-KALERWE'!F11,'24.07 GAYAZA-KALERWE'!F11,'25.07 GAYAZA-KALERWE'!F11,'26.07 GAYAZA-KALERWE-24h'!F11,'27.07 GAYAZA-KALERWE-24h'!F11,'28.07 GAYAZA-KALERWE'!F11)</f>
        <v>43.428571428571431</v>
      </c>
      <c r="G11" s="49">
        <f>AVERAGE('22.07 GAYAZA-KALERWE'!G11,'23.07 GAYAZA-KALERWE'!G11,'24.07 GAYAZA-KALERWE'!G11,'25.07 GAYAZA-KALERWE'!G11,'26.07 GAYAZA-KALERWE-24h'!G11,'27.07 GAYAZA-KALERWE-24h'!G11,'28.07 GAYAZA-KALERWE'!G11)</f>
        <v>1.4285714285714286</v>
      </c>
      <c r="H11" s="49">
        <f>AVERAGE('22.07 GAYAZA-KALERWE'!H11,'23.07 GAYAZA-KALERWE'!H11,'24.07 GAYAZA-KALERWE'!H11,'25.07 GAYAZA-KALERWE'!H11,'26.07 GAYAZA-KALERWE-24h'!H11,'27.07 GAYAZA-KALERWE-24h'!H11,'28.07 GAYAZA-KALERWE'!H11)</f>
        <v>0.5714285714285714</v>
      </c>
      <c r="I11" s="49">
        <f>AVERAGE('22.07 GAYAZA-KALERWE'!I11,'23.07 GAYAZA-KALERWE'!I11,'24.07 GAYAZA-KALERWE'!I11,'25.07 GAYAZA-KALERWE'!I11,'26.07 GAYAZA-KALERWE-24h'!I11,'27.07 GAYAZA-KALERWE-24h'!I11,'28.07 GAYAZA-KALERWE'!I11)</f>
        <v>4.7142857142857144</v>
      </c>
      <c r="J11" s="49">
        <f>AVERAGE('22.07 GAYAZA-KALERWE'!J11,'23.07 GAYAZA-KALERWE'!J11,'24.07 GAYAZA-KALERWE'!J11,'25.07 GAYAZA-KALERWE'!J11,'26.07 GAYAZA-KALERWE-24h'!J11,'27.07 GAYAZA-KALERWE-24h'!J11,'28.07 GAYAZA-KALERWE'!J11)</f>
        <v>2.4285714285714284</v>
      </c>
      <c r="K11" s="49">
        <f>AVERAGE('22.07 GAYAZA-KALERWE'!K11,'23.07 GAYAZA-KALERWE'!K11,'24.07 GAYAZA-KALERWE'!K11,'25.07 GAYAZA-KALERWE'!K11,'26.07 GAYAZA-KALERWE-24h'!K11,'27.07 GAYAZA-KALERWE-24h'!K11,'28.07 GAYAZA-KALERWE'!K11)</f>
        <v>0.8571428571428571</v>
      </c>
      <c r="L11" s="49">
        <f>AVERAGE('22.07 GAYAZA-KALERWE'!L11,'23.07 GAYAZA-KALERWE'!L11,'24.07 GAYAZA-KALERWE'!L11,'25.07 GAYAZA-KALERWE'!L11,'26.07 GAYAZA-KALERWE-24h'!L11,'27.07 GAYAZA-KALERWE-24h'!L11,'28.07 GAYAZA-KALERWE'!L11)</f>
        <v>56.428571428571431</v>
      </c>
      <c r="M11" s="49">
        <f>AVERAGE('22.07 GAYAZA-KALERWE'!M11,'23.07 GAYAZA-KALERWE'!M11,'24.07 GAYAZA-KALERWE'!M11,'25.07 GAYAZA-KALERWE'!M11,'26.07 GAYAZA-KALERWE-24h'!M11,'27.07 GAYAZA-KALERWE-24h'!M11,'28.07 GAYAZA-KALERWE'!M11)</f>
        <v>178.71428571428572</v>
      </c>
      <c r="N11" s="49">
        <f>AVERAGE('22.07 GAYAZA-KALERWE'!N11,'23.07 GAYAZA-KALERWE'!N11,'24.07 GAYAZA-KALERWE'!N11,'25.07 GAYAZA-KALERWE'!N11,'26.07 GAYAZA-KALERWE-24h'!N11,'27.07 GAYAZA-KALERWE-24h'!N11,'28.07 GAYAZA-KALERWE'!N11)</f>
        <v>0</v>
      </c>
      <c r="O11" s="15">
        <f t="shared" si="0"/>
        <v>173</v>
      </c>
      <c r="P11" s="15">
        <f t="shared" si="1"/>
        <v>351.71428571428572</v>
      </c>
      <c r="R11" s="1" t="s">
        <v>7</v>
      </c>
      <c r="S11" s="17">
        <f t="shared" ref="S11:AF11" si="3">SUM(C14:C17)</f>
        <v>215.14285714285714</v>
      </c>
      <c r="T11" s="17">
        <f t="shared" si="3"/>
        <v>26</v>
      </c>
      <c r="U11" s="17">
        <f t="shared" si="3"/>
        <v>23.142857142857139</v>
      </c>
      <c r="V11" s="17">
        <f t="shared" si="3"/>
        <v>207.28571428571428</v>
      </c>
      <c r="W11" s="17">
        <f t="shared" si="3"/>
        <v>4.8571428571428577</v>
      </c>
      <c r="X11" s="17">
        <f t="shared" si="3"/>
        <v>2.8571428571428572</v>
      </c>
      <c r="Y11" s="17">
        <f t="shared" si="3"/>
        <v>24.714285714285715</v>
      </c>
      <c r="Z11" s="17">
        <f t="shared" si="3"/>
        <v>15</v>
      </c>
      <c r="AA11" s="17">
        <f t="shared" si="3"/>
        <v>5.5714285714285712</v>
      </c>
      <c r="AB11" s="17">
        <f t="shared" si="3"/>
        <v>5.5714285714285712</v>
      </c>
      <c r="AC11" s="17">
        <f t="shared" si="3"/>
        <v>991.71428571428578</v>
      </c>
      <c r="AD11" s="17">
        <f t="shared" si="3"/>
        <v>0</v>
      </c>
      <c r="AE11" s="31">
        <f t="shared" si="3"/>
        <v>530.14285714285722</v>
      </c>
      <c r="AF11" s="31">
        <f t="shared" si="3"/>
        <v>1521.8571428571429</v>
      </c>
    </row>
    <row r="12" spans="2:32" ht="23.1" customHeight="1" x14ac:dyDescent="0.25">
      <c r="B12" s="23" t="s">
        <v>39</v>
      </c>
      <c r="C12" s="49">
        <f>AVERAGE('22.07 GAYAZA-KALERWE'!C12,'23.07 GAYAZA-KALERWE'!C12,'24.07 GAYAZA-KALERWE'!C12,'25.07 GAYAZA-KALERWE'!C12,'26.07 GAYAZA-KALERWE-24h'!C12,'27.07 GAYAZA-KALERWE-24h'!C12,'28.07 GAYAZA-KALERWE'!C12)</f>
        <v>80.571428571428569</v>
      </c>
      <c r="D12" s="49">
        <f>AVERAGE('22.07 GAYAZA-KALERWE'!D12,'23.07 GAYAZA-KALERWE'!D12,'24.07 GAYAZA-KALERWE'!D12,'25.07 GAYAZA-KALERWE'!D12,'26.07 GAYAZA-KALERWE-24h'!D12,'27.07 GAYAZA-KALERWE-24h'!D12,'28.07 GAYAZA-KALERWE'!D12)</f>
        <v>18.571428571428573</v>
      </c>
      <c r="E12" s="49">
        <f>AVERAGE('22.07 GAYAZA-KALERWE'!E12,'23.07 GAYAZA-KALERWE'!E12,'24.07 GAYAZA-KALERWE'!E12,'25.07 GAYAZA-KALERWE'!E12,'26.07 GAYAZA-KALERWE-24h'!E12,'27.07 GAYAZA-KALERWE-24h'!E12,'28.07 GAYAZA-KALERWE'!E12)</f>
        <v>4.7142857142857144</v>
      </c>
      <c r="F12" s="49">
        <f>AVERAGE('22.07 GAYAZA-KALERWE'!F12,'23.07 GAYAZA-KALERWE'!F12,'24.07 GAYAZA-KALERWE'!F12,'25.07 GAYAZA-KALERWE'!F12,'26.07 GAYAZA-KALERWE-24h'!F12,'27.07 GAYAZA-KALERWE-24h'!F12,'28.07 GAYAZA-KALERWE'!F12)</f>
        <v>32.714285714285715</v>
      </c>
      <c r="G12" s="49">
        <f>AVERAGE('22.07 GAYAZA-KALERWE'!G12,'23.07 GAYAZA-KALERWE'!G12,'24.07 GAYAZA-KALERWE'!G12,'25.07 GAYAZA-KALERWE'!G12,'26.07 GAYAZA-KALERWE-24h'!G12,'27.07 GAYAZA-KALERWE-24h'!G12,'28.07 GAYAZA-KALERWE'!G12)</f>
        <v>6.1428571428571432</v>
      </c>
      <c r="H12" s="49">
        <f>AVERAGE('22.07 GAYAZA-KALERWE'!H12,'23.07 GAYAZA-KALERWE'!H12,'24.07 GAYAZA-KALERWE'!H12,'25.07 GAYAZA-KALERWE'!H12,'26.07 GAYAZA-KALERWE-24h'!H12,'27.07 GAYAZA-KALERWE-24h'!H12,'28.07 GAYAZA-KALERWE'!H12)</f>
        <v>1</v>
      </c>
      <c r="I12" s="49">
        <f>AVERAGE('22.07 GAYAZA-KALERWE'!I12,'23.07 GAYAZA-KALERWE'!I12,'24.07 GAYAZA-KALERWE'!I12,'25.07 GAYAZA-KALERWE'!I12,'26.07 GAYAZA-KALERWE-24h'!I12,'27.07 GAYAZA-KALERWE-24h'!I12,'28.07 GAYAZA-KALERWE'!I12)</f>
        <v>4.2857142857142856</v>
      </c>
      <c r="J12" s="49">
        <f>AVERAGE('22.07 GAYAZA-KALERWE'!J12,'23.07 GAYAZA-KALERWE'!J12,'24.07 GAYAZA-KALERWE'!J12,'25.07 GAYAZA-KALERWE'!J12,'26.07 GAYAZA-KALERWE-24h'!J12,'27.07 GAYAZA-KALERWE-24h'!J12,'28.07 GAYAZA-KALERWE'!J12)</f>
        <v>2.2857142857142856</v>
      </c>
      <c r="K12" s="49">
        <f>AVERAGE('22.07 GAYAZA-KALERWE'!K12,'23.07 GAYAZA-KALERWE'!K12,'24.07 GAYAZA-KALERWE'!K12,'25.07 GAYAZA-KALERWE'!K12,'26.07 GAYAZA-KALERWE-24h'!K12,'27.07 GAYAZA-KALERWE-24h'!K12,'28.07 GAYAZA-KALERWE'!K12)</f>
        <v>0.8571428571428571</v>
      </c>
      <c r="L12" s="49">
        <f>AVERAGE('22.07 GAYAZA-KALERWE'!L12,'23.07 GAYAZA-KALERWE'!L12,'24.07 GAYAZA-KALERWE'!L12,'25.07 GAYAZA-KALERWE'!L12,'26.07 GAYAZA-KALERWE-24h'!L12,'27.07 GAYAZA-KALERWE-24h'!L12,'28.07 GAYAZA-KALERWE'!L12)</f>
        <v>0.7142857142857143</v>
      </c>
      <c r="M12" s="49">
        <f>AVERAGE('22.07 GAYAZA-KALERWE'!M12,'23.07 GAYAZA-KALERWE'!M12,'24.07 GAYAZA-KALERWE'!M12,'25.07 GAYAZA-KALERWE'!M12,'26.07 GAYAZA-KALERWE-24h'!M12,'27.07 GAYAZA-KALERWE-24h'!M12,'28.07 GAYAZA-KALERWE'!M12)</f>
        <v>218.28571428571428</v>
      </c>
      <c r="N12" s="49">
        <f>AVERAGE('22.07 GAYAZA-KALERWE'!N12,'23.07 GAYAZA-KALERWE'!N12,'24.07 GAYAZA-KALERWE'!N12,'25.07 GAYAZA-KALERWE'!N12,'26.07 GAYAZA-KALERWE-24h'!N12,'27.07 GAYAZA-KALERWE-24h'!N12,'28.07 GAYAZA-KALERWE'!N12)</f>
        <v>0</v>
      </c>
      <c r="O12" s="15">
        <f t="shared" si="0"/>
        <v>151.85714285714283</v>
      </c>
      <c r="P12" s="15">
        <f t="shared" si="1"/>
        <v>370.14285714285711</v>
      </c>
      <c r="R12" s="1" t="s">
        <v>8</v>
      </c>
      <c r="S12" s="17">
        <f t="shared" ref="S12:AF12" si="4">SUM(C18:C21)</f>
        <v>260.14285714285711</v>
      </c>
      <c r="T12" s="17">
        <f t="shared" si="4"/>
        <v>31.285714285714285</v>
      </c>
      <c r="U12" s="17">
        <f t="shared" si="4"/>
        <v>31.857142857142861</v>
      </c>
      <c r="V12" s="17">
        <f t="shared" si="4"/>
        <v>234.14285714285714</v>
      </c>
      <c r="W12" s="17">
        <f t="shared" si="4"/>
        <v>4.2857142857142856</v>
      </c>
      <c r="X12" s="17">
        <f t="shared" si="4"/>
        <v>3.7142857142857144</v>
      </c>
      <c r="Y12" s="17">
        <f t="shared" si="4"/>
        <v>29.142857142857142</v>
      </c>
      <c r="Z12" s="17">
        <f t="shared" si="4"/>
        <v>17.285714285714285</v>
      </c>
      <c r="AA12" s="17">
        <f t="shared" si="4"/>
        <v>7.7142857142857153</v>
      </c>
      <c r="AB12" s="17">
        <f t="shared" si="4"/>
        <v>2.5714285714285712</v>
      </c>
      <c r="AC12" s="17">
        <f t="shared" si="4"/>
        <v>856.14285714285722</v>
      </c>
      <c r="AD12" s="17">
        <f t="shared" si="4"/>
        <v>0</v>
      </c>
      <c r="AE12" s="31">
        <f t="shared" si="4"/>
        <v>622.14285714285711</v>
      </c>
      <c r="AF12" s="31">
        <f t="shared" si="4"/>
        <v>1478.2857142857142</v>
      </c>
    </row>
    <row r="13" spans="2:32" ht="23.1" customHeight="1" x14ac:dyDescent="0.25">
      <c r="B13" s="23" t="s">
        <v>40</v>
      </c>
      <c r="C13" s="49">
        <f>AVERAGE('22.07 GAYAZA-KALERWE'!C13,'23.07 GAYAZA-KALERWE'!C13,'24.07 GAYAZA-KALERWE'!C13,'25.07 GAYAZA-KALERWE'!C13,'26.07 GAYAZA-KALERWE-24h'!C13,'27.07 GAYAZA-KALERWE-24h'!C13,'28.07 GAYAZA-KALERWE'!C13)</f>
        <v>49.571428571428569</v>
      </c>
      <c r="D13" s="49">
        <f>AVERAGE('22.07 GAYAZA-KALERWE'!D13,'23.07 GAYAZA-KALERWE'!D13,'24.07 GAYAZA-KALERWE'!D13,'25.07 GAYAZA-KALERWE'!D13,'26.07 GAYAZA-KALERWE-24h'!D13,'27.07 GAYAZA-KALERWE-24h'!D13,'28.07 GAYAZA-KALERWE'!D13)</f>
        <v>7.4285714285714288</v>
      </c>
      <c r="E13" s="49">
        <f>AVERAGE('22.07 GAYAZA-KALERWE'!E13,'23.07 GAYAZA-KALERWE'!E13,'24.07 GAYAZA-KALERWE'!E13,'25.07 GAYAZA-KALERWE'!E13,'26.07 GAYAZA-KALERWE-24h'!E13,'27.07 GAYAZA-KALERWE-24h'!E13,'28.07 GAYAZA-KALERWE'!E13)</f>
        <v>13.285714285714286</v>
      </c>
      <c r="F13" s="49">
        <f>AVERAGE('22.07 GAYAZA-KALERWE'!F13,'23.07 GAYAZA-KALERWE'!F13,'24.07 GAYAZA-KALERWE'!F13,'25.07 GAYAZA-KALERWE'!F13,'26.07 GAYAZA-KALERWE-24h'!F13,'27.07 GAYAZA-KALERWE-24h'!F13,'28.07 GAYAZA-KALERWE'!F13)</f>
        <v>41</v>
      </c>
      <c r="G13" s="49">
        <f>AVERAGE('22.07 GAYAZA-KALERWE'!G13,'23.07 GAYAZA-KALERWE'!G13,'24.07 GAYAZA-KALERWE'!G13,'25.07 GAYAZA-KALERWE'!G13,'26.07 GAYAZA-KALERWE-24h'!G13,'27.07 GAYAZA-KALERWE-24h'!G13,'28.07 GAYAZA-KALERWE'!G13)</f>
        <v>0.42857142857142855</v>
      </c>
      <c r="H13" s="49">
        <f>AVERAGE('22.07 GAYAZA-KALERWE'!H13,'23.07 GAYAZA-KALERWE'!H13,'24.07 GAYAZA-KALERWE'!H13,'25.07 GAYAZA-KALERWE'!H13,'26.07 GAYAZA-KALERWE-24h'!H13,'27.07 GAYAZA-KALERWE-24h'!H13,'28.07 GAYAZA-KALERWE'!H13)</f>
        <v>0.2857142857142857</v>
      </c>
      <c r="I13" s="49">
        <f>AVERAGE('22.07 GAYAZA-KALERWE'!I13,'23.07 GAYAZA-KALERWE'!I13,'24.07 GAYAZA-KALERWE'!I13,'25.07 GAYAZA-KALERWE'!I13,'26.07 GAYAZA-KALERWE-24h'!I13,'27.07 GAYAZA-KALERWE-24h'!I13,'28.07 GAYAZA-KALERWE'!I13)</f>
        <v>5.4285714285714288</v>
      </c>
      <c r="J13" s="49">
        <f>AVERAGE('22.07 GAYAZA-KALERWE'!J13,'23.07 GAYAZA-KALERWE'!J13,'24.07 GAYAZA-KALERWE'!J13,'25.07 GAYAZA-KALERWE'!J13,'26.07 GAYAZA-KALERWE-24h'!J13,'27.07 GAYAZA-KALERWE-24h'!J13,'28.07 GAYAZA-KALERWE'!J13)</f>
        <v>2.5714285714285716</v>
      </c>
      <c r="K13" s="49">
        <f>AVERAGE('22.07 GAYAZA-KALERWE'!K13,'23.07 GAYAZA-KALERWE'!K13,'24.07 GAYAZA-KALERWE'!K13,'25.07 GAYAZA-KALERWE'!K13,'26.07 GAYAZA-KALERWE-24h'!K13,'27.07 GAYAZA-KALERWE-24h'!K13,'28.07 GAYAZA-KALERWE'!K13)</f>
        <v>0.8571428571428571</v>
      </c>
      <c r="L13" s="49">
        <f>AVERAGE('22.07 GAYAZA-KALERWE'!L13,'23.07 GAYAZA-KALERWE'!L13,'24.07 GAYAZA-KALERWE'!L13,'25.07 GAYAZA-KALERWE'!L13,'26.07 GAYAZA-KALERWE-24h'!L13,'27.07 GAYAZA-KALERWE-24h'!L13,'28.07 GAYAZA-KALERWE'!L13)</f>
        <v>0.7142857142857143</v>
      </c>
      <c r="M13" s="49">
        <f>AVERAGE('22.07 GAYAZA-KALERWE'!M13,'23.07 GAYAZA-KALERWE'!M13,'24.07 GAYAZA-KALERWE'!M13,'25.07 GAYAZA-KALERWE'!M13,'26.07 GAYAZA-KALERWE-24h'!M13,'27.07 GAYAZA-KALERWE-24h'!M13,'28.07 GAYAZA-KALERWE'!M13)</f>
        <v>273.85714285714283</v>
      </c>
      <c r="N13" s="49">
        <f>AVERAGE('22.07 GAYAZA-KALERWE'!N13,'23.07 GAYAZA-KALERWE'!N13,'24.07 GAYAZA-KALERWE'!N13,'25.07 GAYAZA-KALERWE'!N13,'26.07 GAYAZA-KALERWE-24h'!N13,'27.07 GAYAZA-KALERWE-24h'!N13,'28.07 GAYAZA-KALERWE'!N13)</f>
        <v>0</v>
      </c>
      <c r="O13" s="15">
        <f t="shared" si="0"/>
        <v>121.57142857142858</v>
      </c>
      <c r="P13" s="15">
        <f t="shared" si="1"/>
        <v>395.42857142857144</v>
      </c>
      <c r="R13" s="1" t="s">
        <v>9</v>
      </c>
      <c r="S13" s="17">
        <f t="shared" ref="S13:AF13" si="5">SUM(C22:C25)</f>
        <v>269.71428571428572</v>
      </c>
      <c r="T13" s="17">
        <f t="shared" si="5"/>
        <v>34.428571428571431</v>
      </c>
      <c r="U13" s="17">
        <f t="shared" si="5"/>
        <v>29.285714285714285</v>
      </c>
      <c r="V13" s="17">
        <f t="shared" si="5"/>
        <v>232</v>
      </c>
      <c r="W13" s="17">
        <f t="shared" si="5"/>
        <v>3.5714285714285712</v>
      </c>
      <c r="X13" s="17">
        <f t="shared" si="5"/>
        <v>1.714285714285714</v>
      </c>
      <c r="Y13" s="17">
        <f t="shared" si="5"/>
        <v>29.142857142857142</v>
      </c>
      <c r="Z13" s="17">
        <f t="shared" si="5"/>
        <v>22.857142857142861</v>
      </c>
      <c r="AA13" s="17">
        <f t="shared" si="5"/>
        <v>9.4285714285714288</v>
      </c>
      <c r="AB13" s="17">
        <f t="shared" si="5"/>
        <v>4.4285714285714288</v>
      </c>
      <c r="AC13" s="17">
        <f t="shared" si="5"/>
        <v>780</v>
      </c>
      <c r="AD13" s="17">
        <f t="shared" si="5"/>
        <v>0</v>
      </c>
      <c r="AE13" s="31">
        <f t="shared" si="5"/>
        <v>636.57142857142867</v>
      </c>
      <c r="AF13" s="31">
        <f t="shared" si="5"/>
        <v>1416.5714285714287</v>
      </c>
    </row>
    <row r="14" spans="2:32" ht="23.1" customHeight="1" x14ac:dyDescent="0.25">
      <c r="B14" s="23" t="s">
        <v>41</v>
      </c>
      <c r="C14" s="49">
        <f>AVERAGE('22.07 GAYAZA-KALERWE'!C14,'23.07 GAYAZA-KALERWE'!C14,'24.07 GAYAZA-KALERWE'!C14,'25.07 GAYAZA-KALERWE'!C14,'26.07 GAYAZA-KALERWE-24h'!C14,'27.07 GAYAZA-KALERWE-24h'!C14,'28.07 GAYAZA-KALERWE'!C14)</f>
        <v>45.285714285714285</v>
      </c>
      <c r="D14" s="49">
        <f>AVERAGE('22.07 GAYAZA-KALERWE'!D14,'23.07 GAYAZA-KALERWE'!D14,'24.07 GAYAZA-KALERWE'!D14,'25.07 GAYAZA-KALERWE'!D14,'26.07 GAYAZA-KALERWE-24h'!D14,'27.07 GAYAZA-KALERWE-24h'!D14,'28.07 GAYAZA-KALERWE'!D14)</f>
        <v>6.1428571428571432</v>
      </c>
      <c r="E14" s="49">
        <f>AVERAGE('22.07 GAYAZA-KALERWE'!E14,'23.07 GAYAZA-KALERWE'!E14,'24.07 GAYAZA-KALERWE'!E14,'25.07 GAYAZA-KALERWE'!E14,'26.07 GAYAZA-KALERWE-24h'!E14,'27.07 GAYAZA-KALERWE-24h'!E14,'28.07 GAYAZA-KALERWE'!E14)</f>
        <v>4.7142857142857144</v>
      </c>
      <c r="F14" s="49">
        <f>AVERAGE('22.07 GAYAZA-KALERWE'!F14,'23.07 GAYAZA-KALERWE'!F14,'24.07 GAYAZA-KALERWE'!F14,'25.07 GAYAZA-KALERWE'!F14,'26.07 GAYAZA-KALERWE-24h'!F14,'27.07 GAYAZA-KALERWE-24h'!F14,'28.07 GAYAZA-KALERWE'!F14)</f>
        <v>53.571428571428569</v>
      </c>
      <c r="G14" s="49">
        <f>AVERAGE('22.07 GAYAZA-KALERWE'!G14,'23.07 GAYAZA-KALERWE'!G14,'24.07 GAYAZA-KALERWE'!G14,'25.07 GAYAZA-KALERWE'!G14,'26.07 GAYAZA-KALERWE-24h'!G14,'27.07 GAYAZA-KALERWE-24h'!G14,'28.07 GAYAZA-KALERWE'!G14)</f>
        <v>1.1428571428571428</v>
      </c>
      <c r="H14" s="49">
        <f>AVERAGE('22.07 GAYAZA-KALERWE'!H14,'23.07 GAYAZA-KALERWE'!H14,'24.07 GAYAZA-KALERWE'!H14,'25.07 GAYAZA-KALERWE'!H14,'26.07 GAYAZA-KALERWE-24h'!H14,'27.07 GAYAZA-KALERWE-24h'!H14,'28.07 GAYAZA-KALERWE'!H14)</f>
        <v>0.42857142857142855</v>
      </c>
      <c r="I14" s="49">
        <f>AVERAGE('22.07 GAYAZA-KALERWE'!I14,'23.07 GAYAZA-KALERWE'!I14,'24.07 GAYAZA-KALERWE'!I14,'25.07 GAYAZA-KALERWE'!I14,'26.07 GAYAZA-KALERWE-24h'!I14,'27.07 GAYAZA-KALERWE-24h'!I14,'28.07 GAYAZA-KALERWE'!I14)</f>
        <v>8</v>
      </c>
      <c r="J14" s="49">
        <f>AVERAGE('22.07 GAYAZA-KALERWE'!J14,'23.07 GAYAZA-KALERWE'!J14,'24.07 GAYAZA-KALERWE'!J14,'25.07 GAYAZA-KALERWE'!J14,'26.07 GAYAZA-KALERWE-24h'!J14,'27.07 GAYAZA-KALERWE-24h'!J14,'28.07 GAYAZA-KALERWE'!J14)</f>
        <v>4.8571428571428568</v>
      </c>
      <c r="K14" s="49">
        <f>AVERAGE('22.07 GAYAZA-KALERWE'!K14,'23.07 GAYAZA-KALERWE'!K14,'24.07 GAYAZA-KALERWE'!K14,'25.07 GAYAZA-KALERWE'!K14,'26.07 GAYAZA-KALERWE-24h'!K14,'27.07 GAYAZA-KALERWE-24h'!K14,'28.07 GAYAZA-KALERWE'!K14)</f>
        <v>2</v>
      </c>
      <c r="L14" s="49">
        <f>AVERAGE('22.07 GAYAZA-KALERWE'!L14,'23.07 GAYAZA-KALERWE'!L14,'24.07 GAYAZA-KALERWE'!L14,'25.07 GAYAZA-KALERWE'!L14,'26.07 GAYAZA-KALERWE-24h'!L14,'27.07 GAYAZA-KALERWE-24h'!L14,'28.07 GAYAZA-KALERWE'!L14)</f>
        <v>0.5714285714285714</v>
      </c>
      <c r="M14" s="49">
        <f>AVERAGE('22.07 GAYAZA-KALERWE'!M14,'23.07 GAYAZA-KALERWE'!M14,'24.07 GAYAZA-KALERWE'!M14,'25.07 GAYAZA-KALERWE'!M14,'26.07 GAYAZA-KALERWE-24h'!M14,'27.07 GAYAZA-KALERWE-24h'!M14,'28.07 GAYAZA-KALERWE'!M14)</f>
        <v>244.57142857142858</v>
      </c>
      <c r="N14" s="49">
        <f>AVERAGE('22.07 GAYAZA-KALERWE'!N14,'23.07 GAYAZA-KALERWE'!N14,'24.07 GAYAZA-KALERWE'!N14,'25.07 GAYAZA-KALERWE'!N14,'26.07 GAYAZA-KALERWE-24h'!N14,'27.07 GAYAZA-KALERWE-24h'!N14,'28.07 GAYAZA-KALERWE'!N14)</f>
        <v>0</v>
      </c>
      <c r="O14" s="15">
        <f t="shared" si="0"/>
        <v>126.71428571428572</v>
      </c>
      <c r="P14" s="15">
        <f t="shared" si="1"/>
        <v>371.28571428571433</v>
      </c>
      <c r="R14" s="1" t="s">
        <v>10</v>
      </c>
      <c r="S14" s="17">
        <f t="shared" ref="S14:AF14" si="6">SUM(C26:C29)</f>
        <v>244.85714285714286</v>
      </c>
      <c r="T14" s="17">
        <f t="shared" si="6"/>
        <v>40.142857142857139</v>
      </c>
      <c r="U14" s="17">
        <f t="shared" si="6"/>
        <v>32.428571428571431</v>
      </c>
      <c r="V14" s="17">
        <f t="shared" si="6"/>
        <v>199.42857142857142</v>
      </c>
      <c r="W14" s="17">
        <f t="shared" si="6"/>
        <v>2</v>
      </c>
      <c r="X14" s="17">
        <f t="shared" si="6"/>
        <v>2.714285714285714</v>
      </c>
      <c r="Y14" s="17">
        <f t="shared" si="6"/>
        <v>28.285714285714285</v>
      </c>
      <c r="Z14" s="17">
        <f t="shared" si="6"/>
        <v>20.142857142857146</v>
      </c>
      <c r="AA14" s="17">
        <f t="shared" si="6"/>
        <v>10.857142857142858</v>
      </c>
      <c r="AB14" s="17">
        <f t="shared" si="6"/>
        <v>4.8571428571428577</v>
      </c>
      <c r="AC14" s="17">
        <f t="shared" si="6"/>
        <v>602</v>
      </c>
      <c r="AD14" s="17">
        <f t="shared" si="6"/>
        <v>0</v>
      </c>
      <c r="AE14" s="31">
        <f t="shared" si="6"/>
        <v>585.71428571428578</v>
      </c>
      <c r="AF14" s="31">
        <f t="shared" si="6"/>
        <v>1187.7142857142858</v>
      </c>
    </row>
    <row r="15" spans="2:32" ht="23.1" customHeight="1" x14ac:dyDescent="0.25">
      <c r="B15" s="23" t="s">
        <v>42</v>
      </c>
      <c r="C15" s="49">
        <f>AVERAGE('22.07 GAYAZA-KALERWE'!C15,'23.07 GAYAZA-KALERWE'!C15,'24.07 GAYAZA-KALERWE'!C15,'25.07 GAYAZA-KALERWE'!C15,'26.07 GAYAZA-KALERWE-24h'!C15,'27.07 GAYAZA-KALERWE-24h'!C15,'28.07 GAYAZA-KALERWE'!C15)</f>
        <v>56.428571428571431</v>
      </c>
      <c r="D15" s="49">
        <f>AVERAGE('22.07 GAYAZA-KALERWE'!D15,'23.07 GAYAZA-KALERWE'!D15,'24.07 GAYAZA-KALERWE'!D15,'25.07 GAYAZA-KALERWE'!D15,'26.07 GAYAZA-KALERWE-24h'!D15,'27.07 GAYAZA-KALERWE-24h'!D15,'28.07 GAYAZA-KALERWE'!D15)</f>
        <v>5.4285714285714288</v>
      </c>
      <c r="E15" s="49">
        <f>AVERAGE('22.07 GAYAZA-KALERWE'!E15,'23.07 GAYAZA-KALERWE'!E15,'24.07 GAYAZA-KALERWE'!E15,'25.07 GAYAZA-KALERWE'!E15,'26.07 GAYAZA-KALERWE-24h'!E15,'27.07 GAYAZA-KALERWE-24h'!E15,'28.07 GAYAZA-KALERWE'!E15)</f>
        <v>4.5714285714285712</v>
      </c>
      <c r="F15" s="49">
        <f>AVERAGE('22.07 GAYAZA-KALERWE'!F15,'23.07 GAYAZA-KALERWE'!F15,'24.07 GAYAZA-KALERWE'!F15,'25.07 GAYAZA-KALERWE'!F15,'26.07 GAYAZA-KALERWE-24h'!F15,'27.07 GAYAZA-KALERWE-24h'!F15,'28.07 GAYAZA-KALERWE'!F15)</f>
        <v>46.285714285714285</v>
      </c>
      <c r="G15" s="49">
        <f>AVERAGE('22.07 GAYAZA-KALERWE'!G15,'23.07 GAYAZA-KALERWE'!G15,'24.07 GAYAZA-KALERWE'!G15,'25.07 GAYAZA-KALERWE'!G15,'26.07 GAYAZA-KALERWE-24h'!G15,'27.07 GAYAZA-KALERWE-24h'!G15,'28.07 GAYAZA-KALERWE'!G15)</f>
        <v>1.2857142857142858</v>
      </c>
      <c r="H15" s="49">
        <f>AVERAGE('22.07 GAYAZA-KALERWE'!H15,'23.07 GAYAZA-KALERWE'!H15,'24.07 GAYAZA-KALERWE'!H15,'25.07 GAYAZA-KALERWE'!H15,'26.07 GAYAZA-KALERWE-24h'!H15,'27.07 GAYAZA-KALERWE-24h'!H15,'28.07 GAYAZA-KALERWE'!H15)</f>
        <v>0.8571428571428571</v>
      </c>
      <c r="I15" s="49">
        <f>AVERAGE('22.07 GAYAZA-KALERWE'!I15,'23.07 GAYAZA-KALERWE'!I15,'24.07 GAYAZA-KALERWE'!I15,'25.07 GAYAZA-KALERWE'!I15,'26.07 GAYAZA-KALERWE-24h'!I15,'27.07 GAYAZA-KALERWE-24h'!I15,'28.07 GAYAZA-KALERWE'!I15)</f>
        <v>5.5714285714285712</v>
      </c>
      <c r="J15" s="49">
        <f>AVERAGE('22.07 GAYAZA-KALERWE'!J15,'23.07 GAYAZA-KALERWE'!J15,'24.07 GAYAZA-KALERWE'!J15,'25.07 GAYAZA-KALERWE'!J15,'26.07 GAYAZA-KALERWE-24h'!J15,'27.07 GAYAZA-KALERWE-24h'!J15,'28.07 GAYAZA-KALERWE'!J15)</f>
        <v>2.4285714285714284</v>
      </c>
      <c r="K15" s="49">
        <f>AVERAGE('22.07 GAYAZA-KALERWE'!K15,'23.07 GAYAZA-KALERWE'!K15,'24.07 GAYAZA-KALERWE'!K15,'25.07 GAYAZA-KALERWE'!K15,'26.07 GAYAZA-KALERWE-24h'!K15,'27.07 GAYAZA-KALERWE-24h'!K15,'28.07 GAYAZA-KALERWE'!K15)</f>
        <v>1.5714285714285714</v>
      </c>
      <c r="L15" s="49">
        <f>AVERAGE('22.07 GAYAZA-KALERWE'!L15,'23.07 GAYAZA-KALERWE'!L15,'24.07 GAYAZA-KALERWE'!L15,'25.07 GAYAZA-KALERWE'!L15,'26.07 GAYAZA-KALERWE-24h'!L15,'27.07 GAYAZA-KALERWE-24h'!L15,'28.07 GAYAZA-KALERWE'!L15)</f>
        <v>1</v>
      </c>
      <c r="M15" s="49">
        <f>AVERAGE('22.07 GAYAZA-KALERWE'!M15,'23.07 GAYAZA-KALERWE'!M15,'24.07 GAYAZA-KALERWE'!M15,'25.07 GAYAZA-KALERWE'!M15,'26.07 GAYAZA-KALERWE-24h'!M15,'27.07 GAYAZA-KALERWE-24h'!M15,'28.07 GAYAZA-KALERWE'!M15)</f>
        <v>241.28571428571428</v>
      </c>
      <c r="N15" s="49">
        <f>AVERAGE('22.07 GAYAZA-KALERWE'!N15,'23.07 GAYAZA-KALERWE'!N15,'24.07 GAYAZA-KALERWE'!N15,'25.07 GAYAZA-KALERWE'!N15,'26.07 GAYAZA-KALERWE-24h'!N15,'27.07 GAYAZA-KALERWE-24h'!N15,'28.07 GAYAZA-KALERWE'!N15)</f>
        <v>0</v>
      </c>
      <c r="O15" s="15">
        <f t="shared" si="0"/>
        <v>125.42857142857144</v>
      </c>
      <c r="P15" s="15">
        <f t="shared" si="1"/>
        <v>366.71428571428572</v>
      </c>
      <c r="R15" s="1" t="s">
        <v>11</v>
      </c>
      <c r="S15" s="17">
        <f t="shared" ref="S15:AF15" si="7">SUM(C30:C33)</f>
        <v>249.42857142857144</v>
      </c>
      <c r="T15" s="17">
        <f t="shared" si="7"/>
        <v>31.571428571428573</v>
      </c>
      <c r="U15" s="17">
        <f t="shared" si="7"/>
        <v>31.142857142857142</v>
      </c>
      <c r="V15" s="17">
        <f t="shared" si="7"/>
        <v>217.85714285714283</v>
      </c>
      <c r="W15" s="17">
        <f t="shared" si="7"/>
        <v>1.4285714285714284</v>
      </c>
      <c r="X15" s="17">
        <f t="shared" si="7"/>
        <v>2.1428571428571428</v>
      </c>
      <c r="Y15" s="17">
        <f t="shared" si="7"/>
        <v>32.857142857142854</v>
      </c>
      <c r="Z15" s="17">
        <f t="shared" si="7"/>
        <v>22.857142857142854</v>
      </c>
      <c r="AA15" s="17">
        <f t="shared" si="7"/>
        <v>11.428571428571429</v>
      </c>
      <c r="AB15" s="17">
        <f t="shared" si="7"/>
        <v>4.8571428571428568</v>
      </c>
      <c r="AC15" s="17">
        <f t="shared" si="7"/>
        <v>566.00000000000011</v>
      </c>
      <c r="AD15" s="17">
        <f t="shared" si="7"/>
        <v>0</v>
      </c>
      <c r="AE15" s="31">
        <f t="shared" si="7"/>
        <v>605.57142857142867</v>
      </c>
      <c r="AF15" s="31">
        <f t="shared" si="7"/>
        <v>1171.5714285714284</v>
      </c>
    </row>
    <row r="16" spans="2:32" ht="23.1" customHeight="1" x14ac:dyDescent="0.25">
      <c r="B16" s="23" t="s">
        <v>43</v>
      </c>
      <c r="C16" s="49">
        <f>AVERAGE('22.07 GAYAZA-KALERWE'!C16,'23.07 GAYAZA-KALERWE'!C16,'24.07 GAYAZA-KALERWE'!C16,'25.07 GAYAZA-KALERWE'!C16,'26.07 GAYAZA-KALERWE-24h'!C16,'27.07 GAYAZA-KALERWE-24h'!C16,'28.07 GAYAZA-KALERWE'!C16)</f>
        <v>55.142857142857146</v>
      </c>
      <c r="D16" s="49">
        <f>AVERAGE('22.07 GAYAZA-KALERWE'!D16,'23.07 GAYAZA-KALERWE'!D16,'24.07 GAYAZA-KALERWE'!D16,'25.07 GAYAZA-KALERWE'!D16,'26.07 GAYAZA-KALERWE-24h'!D16,'27.07 GAYAZA-KALERWE-24h'!D16,'28.07 GAYAZA-KALERWE'!D16)</f>
        <v>7.2857142857142856</v>
      </c>
      <c r="E16" s="49">
        <f>AVERAGE('22.07 GAYAZA-KALERWE'!E16,'23.07 GAYAZA-KALERWE'!E16,'24.07 GAYAZA-KALERWE'!E16,'25.07 GAYAZA-KALERWE'!E16,'26.07 GAYAZA-KALERWE-24h'!E16,'27.07 GAYAZA-KALERWE-24h'!E16,'28.07 GAYAZA-KALERWE'!E16)</f>
        <v>6.2857142857142856</v>
      </c>
      <c r="F16" s="49">
        <f>AVERAGE('22.07 GAYAZA-KALERWE'!F16,'23.07 GAYAZA-KALERWE'!F16,'24.07 GAYAZA-KALERWE'!F16,'25.07 GAYAZA-KALERWE'!F16,'26.07 GAYAZA-KALERWE-24h'!F16,'27.07 GAYAZA-KALERWE-24h'!F16,'28.07 GAYAZA-KALERWE'!F16)</f>
        <v>49.857142857142854</v>
      </c>
      <c r="G16" s="49">
        <f>AVERAGE('22.07 GAYAZA-KALERWE'!G16,'23.07 GAYAZA-KALERWE'!G16,'24.07 GAYAZA-KALERWE'!G16,'25.07 GAYAZA-KALERWE'!G16,'26.07 GAYAZA-KALERWE-24h'!G16,'27.07 GAYAZA-KALERWE-24h'!G16,'28.07 GAYAZA-KALERWE'!G16)</f>
        <v>1.1428571428571428</v>
      </c>
      <c r="H16" s="49">
        <f>AVERAGE('22.07 GAYAZA-KALERWE'!H16,'23.07 GAYAZA-KALERWE'!H16,'24.07 GAYAZA-KALERWE'!H16,'25.07 GAYAZA-KALERWE'!H16,'26.07 GAYAZA-KALERWE-24h'!H16,'27.07 GAYAZA-KALERWE-24h'!H16,'28.07 GAYAZA-KALERWE'!H16)</f>
        <v>0.8571428571428571</v>
      </c>
      <c r="I16" s="49">
        <f>AVERAGE('22.07 GAYAZA-KALERWE'!I16,'23.07 GAYAZA-KALERWE'!I16,'24.07 GAYAZA-KALERWE'!I16,'25.07 GAYAZA-KALERWE'!I16,'26.07 GAYAZA-KALERWE-24h'!I16,'27.07 GAYAZA-KALERWE-24h'!I16,'28.07 GAYAZA-KALERWE'!I16)</f>
        <v>5.5714285714285712</v>
      </c>
      <c r="J16" s="49">
        <f>AVERAGE('22.07 GAYAZA-KALERWE'!J16,'23.07 GAYAZA-KALERWE'!J16,'24.07 GAYAZA-KALERWE'!J16,'25.07 GAYAZA-KALERWE'!J16,'26.07 GAYAZA-KALERWE-24h'!J16,'27.07 GAYAZA-KALERWE-24h'!J16,'28.07 GAYAZA-KALERWE'!J16)</f>
        <v>3.7142857142857144</v>
      </c>
      <c r="K16" s="49">
        <f>AVERAGE('22.07 GAYAZA-KALERWE'!K16,'23.07 GAYAZA-KALERWE'!K16,'24.07 GAYAZA-KALERWE'!K16,'25.07 GAYAZA-KALERWE'!K16,'26.07 GAYAZA-KALERWE-24h'!K16,'27.07 GAYAZA-KALERWE-24h'!K16,'28.07 GAYAZA-KALERWE'!K16)</f>
        <v>0.8571428571428571</v>
      </c>
      <c r="L16" s="49">
        <f>AVERAGE('22.07 GAYAZA-KALERWE'!L16,'23.07 GAYAZA-KALERWE'!L16,'24.07 GAYAZA-KALERWE'!L16,'25.07 GAYAZA-KALERWE'!L16,'26.07 GAYAZA-KALERWE-24h'!L16,'27.07 GAYAZA-KALERWE-24h'!L16,'28.07 GAYAZA-KALERWE'!L16)</f>
        <v>1.4285714285714286</v>
      </c>
      <c r="M16" s="49">
        <f>AVERAGE('22.07 GAYAZA-KALERWE'!M16,'23.07 GAYAZA-KALERWE'!M16,'24.07 GAYAZA-KALERWE'!M16,'25.07 GAYAZA-KALERWE'!M16,'26.07 GAYAZA-KALERWE-24h'!M16,'27.07 GAYAZA-KALERWE-24h'!M16,'28.07 GAYAZA-KALERWE'!M16)</f>
        <v>253.71428571428572</v>
      </c>
      <c r="N16" s="49">
        <f>AVERAGE('22.07 GAYAZA-KALERWE'!N16,'23.07 GAYAZA-KALERWE'!N16,'24.07 GAYAZA-KALERWE'!N16,'25.07 GAYAZA-KALERWE'!N16,'26.07 GAYAZA-KALERWE-24h'!N16,'27.07 GAYAZA-KALERWE-24h'!N16,'28.07 GAYAZA-KALERWE'!N16)</f>
        <v>0</v>
      </c>
      <c r="O16" s="15">
        <f t="shared" si="0"/>
        <v>132.14285714285714</v>
      </c>
      <c r="P16" s="15">
        <f t="shared" si="1"/>
        <v>385.85714285714289</v>
      </c>
      <c r="R16" s="1" t="s">
        <v>12</v>
      </c>
      <c r="S16" s="17">
        <f t="shared" ref="S16:AF16" si="8">SUM(C34:C37)</f>
        <v>196.85714285714283</v>
      </c>
      <c r="T16" s="17">
        <f t="shared" si="8"/>
        <v>29</v>
      </c>
      <c r="U16" s="17">
        <f t="shared" si="8"/>
        <v>36</v>
      </c>
      <c r="V16" s="17">
        <f t="shared" si="8"/>
        <v>160.57142857142856</v>
      </c>
      <c r="W16" s="17">
        <f t="shared" si="8"/>
        <v>2.2857142857142856</v>
      </c>
      <c r="X16" s="17">
        <f t="shared" si="8"/>
        <v>1.1428571428571428</v>
      </c>
      <c r="Y16" s="17">
        <f t="shared" si="8"/>
        <v>34.571428571428569</v>
      </c>
      <c r="Z16" s="17">
        <f t="shared" si="8"/>
        <v>22.428571428571427</v>
      </c>
      <c r="AA16" s="17">
        <f t="shared" si="8"/>
        <v>9</v>
      </c>
      <c r="AB16" s="17">
        <f t="shared" si="8"/>
        <v>4.1428571428571423</v>
      </c>
      <c r="AC16" s="17">
        <f t="shared" si="8"/>
        <v>511</v>
      </c>
      <c r="AD16" s="17">
        <f t="shared" si="8"/>
        <v>0</v>
      </c>
      <c r="AE16" s="31">
        <f t="shared" si="8"/>
        <v>496</v>
      </c>
      <c r="AF16" s="31">
        <f t="shared" si="8"/>
        <v>1007</v>
      </c>
    </row>
    <row r="17" spans="2:32" ht="23.1" customHeight="1" x14ac:dyDescent="0.25">
      <c r="B17" s="23" t="s">
        <v>44</v>
      </c>
      <c r="C17" s="49">
        <f>AVERAGE('22.07 GAYAZA-KALERWE'!C17,'23.07 GAYAZA-KALERWE'!C17,'24.07 GAYAZA-KALERWE'!C17,'25.07 GAYAZA-KALERWE'!C17,'26.07 GAYAZA-KALERWE-24h'!C17,'27.07 GAYAZA-KALERWE-24h'!C17,'28.07 GAYAZA-KALERWE'!C17)</f>
        <v>58.285714285714285</v>
      </c>
      <c r="D17" s="49">
        <f>AVERAGE('22.07 GAYAZA-KALERWE'!D17,'23.07 GAYAZA-KALERWE'!D17,'24.07 GAYAZA-KALERWE'!D17,'25.07 GAYAZA-KALERWE'!D17,'26.07 GAYAZA-KALERWE-24h'!D17,'27.07 GAYAZA-KALERWE-24h'!D17,'28.07 GAYAZA-KALERWE'!D17)</f>
        <v>7.1428571428571432</v>
      </c>
      <c r="E17" s="49">
        <f>AVERAGE('22.07 GAYAZA-KALERWE'!E17,'23.07 GAYAZA-KALERWE'!E17,'24.07 GAYAZA-KALERWE'!E17,'25.07 GAYAZA-KALERWE'!E17,'26.07 GAYAZA-KALERWE-24h'!E17,'27.07 GAYAZA-KALERWE-24h'!E17,'28.07 GAYAZA-KALERWE'!E17)</f>
        <v>7.5714285714285712</v>
      </c>
      <c r="F17" s="49">
        <f>AVERAGE('22.07 GAYAZA-KALERWE'!F17,'23.07 GAYAZA-KALERWE'!F17,'24.07 GAYAZA-KALERWE'!F17,'25.07 GAYAZA-KALERWE'!F17,'26.07 GAYAZA-KALERWE-24h'!F17,'27.07 GAYAZA-KALERWE-24h'!F17,'28.07 GAYAZA-KALERWE'!F17)</f>
        <v>57.571428571428569</v>
      </c>
      <c r="G17" s="49">
        <f>AVERAGE('22.07 GAYAZA-KALERWE'!G17,'23.07 GAYAZA-KALERWE'!G17,'24.07 GAYAZA-KALERWE'!G17,'25.07 GAYAZA-KALERWE'!G17,'26.07 GAYAZA-KALERWE-24h'!G17,'27.07 GAYAZA-KALERWE-24h'!G17,'28.07 GAYAZA-KALERWE'!G17)</f>
        <v>1.2857142857142858</v>
      </c>
      <c r="H17" s="49">
        <f>AVERAGE('22.07 GAYAZA-KALERWE'!H17,'23.07 GAYAZA-KALERWE'!H17,'24.07 GAYAZA-KALERWE'!H17,'25.07 GAYAZA-KALERWE'!H17,'26.07 GAYAZA-KALERWE-24h'!H17,'27.07 GAYAZA-KALERWE-24h'!H17,'28.07 GAYAZA-KALERWE'!H17)</f>
        <v>0.7142857142857143</v>
      </c>
      <c r="I17" s="49">
        <f>AVERAGE('22.07 GAYAZA-KALERWE'!I17,'23.07 GAYAZA-KALERWE'!I17,'24.07 GAYAZA-KALERWE'!I17,'25.07 GAYAZA-KALERWE'!I17,'26.07 GAYAZA-KALERWE-24h'!I17,'27.07 GAYAZA-KALERWE-24h'!I17,'28.07 GAYAZA-KALERWE'!I17)</f>
        <v>5.5714285714285712</v>
      </c>
      <c r="J17" s="49">
        <f>AVERAGE('22.07 GAYAZA-KALERWE'!J17,'23.07 GAYAZA-KALERWE'!J17,'24.07 GAYAZA-KALERWE'!J17,'25.07 GAYAZA-KALERWE'!J17,'26.07 GAYAZA-KALERWE-24h'!J17,'27.07 GAYAZA-KALERWE-24h'!J17,'28.07 GAYAZA-KALERWE'!J17)</f>
        <v>4</v>
      </c>
      <c r="K17" s="49">
        <f>AVERAGE('22.07 GAYAZA-KALERWE'!K17,'23.07 GAYAZA-KALERWE'!K17,'24.07 GAYAZA-KALERWE'!K17,'25.07 GAYAZA-KALERWE'!K17,'26.07 GAYAZA-KALERWE-24h'!K17,'27.07 GAYAZA-KALERWE-24h'!K17,'28.07 GAYAZA-KALERWE'!K17)</f>
        <v>1.1428571428571428</v>
      </c>
      <c r="L17" s="49">
        <f>AVERAGE('22.07 GAYAZA-KALERWE'!L17,'23.07 GAYAZA-KALERWE'!L17,'24.07 GAYAZA-KALERWE'!L17,'25.07 GAYAZA-KALERWE'!L17,'26.07 GAYAZA-KALERWE-24h'!L17,'27.07 GAYAZA-KALERWE-24h'!L17,'28.07 GAYAZA-KALERWE'!L17)</f>
        <v>2.5714285714285716</v>
      </c>
      <c r="M17" s="49">
        <f>AVERAGE('22.07 GAYAZA-KALERWE'!M17,'23.07 GAYAZA-KALERWE'!M17,'24.07 GAYAZA-KALERWE'!M17,'25.07 GAYAZA-KALERWE'!M17,'26.07 GAYAZA-KALERWE-24h'!M17,'27.07 GAYAZA-KALERWE-24h'!M17,'28.07 GAYAZA-KALERWE'!M17)</f>
        <v>252.14285714285714</v>
      </c>
      <c r="N17" s="49">
        <f>AVERAGE('22.07 GAYAZA-KALERWE'!N17,'23.07 GAYAZA-KALERWE'!N17,'24.07 GAYAZA-KALERWE'!N17,'25.07 GAYAZA-KALERWE'!N17,'26.07 GAYAZA-KALERWE-24h'!N17,'27.07 GAYAZA-KALERWE-24h'!N17,'28.07 GAYAZA-KALERWE'!N17)</f>
        <v>0</v>
      </c>
      <c r="O17" s="15">
        <f t="shared" si="0"/>
        <v>145.85714285714286</v>
      </c>
      <c r="P17" s="15">
        <f t="shared" si="1"/>
        <v>398</v>
      </c>
      <c r="R17" s="1" t="s">
        <v>13</v>
      </c>
      <c r="S17" s="17">
        <f t="shared" ref="S17:AF17" si="9">SUM(C38:C41)</f>
        <v>188.85714285714289</v>
      </c>
      <c r="T17" s="17">
        <f t="shared" si="9"/>
        <v>24.571428571428569</v>
      </c>
      <c r="U17" s="17">
        <f t="shared" si="9"/>
        <v>32.571428571428569</v>
      </c>
      <c r="V17" s="17">
        <f t="shared" si="9"/>
        <v>134.71428571428572</v>
      </c>
      <c r="W17" s="17">
        <f t="shared" si="9"/>
        <v>1.5714285714285714</v>
      </c>
      <c r="X17" s="17">
        <f t="shared" si="9"/>
        <v>2.1428571428571428</v>
      </c>
      <c r="Y17" s="17">
        <f t="shared" si="9"/>
        <v>39.285714285714285</v>
      </c>
      <c r="Z17" s="17">
        <f t="shared" si="9"/>
        <v>25</v>
      </c>
      <c r="AA17" s="17">
        <f t="shared" si="9"/>
        <v>8.7142857142857135</v>
      </c>
      <c r="AB17" s="17">
        <f t="shared" si="9"/>
        <v>4.8571428571428568</v>
      </c>
      <c r="AC17" s="17">
        <f t="shared" si="9"/>
        <v>512.28571428571433</v>
      </c>
      <c r="AD17" s="17">
        <f t="shared" si="9"/>
        <v>0.14285714285714285</v>
      </c>
      <c r="AE17" s="31">
        <f t="shared" si="9"/>
        <v>462.42857142857133</v>
      </c>
      <c r="AF17" s="31">
        <f t="shared" si="9"/>
        <v>974.71428571428567</v>
      </c>
    </row>
    <row r="18" spans="2:32" ht="23.1" customHeight="1" x14ac:dyDescent="0.25">
      <c r="B18" s="23" t="s">
        <v>45</v>
      </c>
      <c r="C18" s="49">
        <f>AVERAGE('22.07 GAYAZA-KALERWE'!C18,'23.07 GAYAZA-KALERWE'!C18,'24.07 GAYAZA-KALERWE'!C18,'25.07 GAYAZA-KALERWE'!C18,'26.07 GAYAZA-KALERWE-24h'!C18,'27.07 GAYAZA-KALERWE-24h'!C18,'28.07 GAYAZA-KALERWE'!C18)</f>
        <v>52.571428571428569</v>
      </c>
      <c r="D18" s="49">
        <f>AVERAGE('22.07 GAYAZA-KALERWE'!D18,'23.07 GAYAZA-KALERWE'!D18,'24.07 GAYAZA-KALERWE'!D18,'25.07 GAYAZA-KALERWE'!D18,'26.07 GAYAZA-KALERWE-24h'!D18,'27.07 GAYAZA-KALERWE-24h'!D18,'28.07 GAYAZA-KALERWE'!D18)</f>
        <v>7.8571428571428568</v>
      </c>
      <c r="E18" s="49">
        <f>AVERAGE('22.07 GAYAZA-KALERWE'!E18,'23.07 GAYAZA-KALERWE'!E18,'24.07 GAYAZA-KALERWE'!E18,'25.07 GAYAZA-KALERWE'!E18,'26.07 GAYAZA-KALERWE-24h'!E18,'27.07 GAYAZA-KALERWE-24h'!E18,'28.07 GAYAZA-KALERWE'!E18)</f>
        <v>10.857142857142858</v>
      </c>
      <c r="F18" s="49">
        <f>AVERAGE('22.07 GAYAZA-KALERWE'!F18,'23.07 GAYAZA-KALERWE'!F18,'24.07 GAYAZA-KALERWE'!F18,'25.07 GAYAZA-KALERWE'!F18,'26.07 GAYAZA-KALERWE-24h'!F18,'27.07 GAYAZA-KALERWE-24h'!F18,'28.07 GAYAZA-KALERWE'!F18)</f>
        <v>56.714285714285715</v>
      </c>
      <c r="G18" s="49">
        <f>AVERAGE('22.07 GAYAZA-KALERWE'!G18,'23.07 GAYAZA-KALERWE'!G18,'24.07 GAYAZA-KALERWE'!G18,'25.07 GAYAZA-KALERWE'!G18,'26.07 GAYAZA-KALERWE-24h'!G18,'27.07 GAYAZA-KALERWE-24h'!G18,'28.07 GAYAZA-KALERWE'!G18)</f>
        <v>1.7142857142857142</v>
      </c>
      <c r="H18" s="49">
        <f>AVERAGE('22.07 GAYAZA-KALERWE'!H18,'23.07 GAYAZA-KALERWE'!H18,'24.07 GAYAZA-KALERWE'!H18,'25.07 GAYAZA-KALERWE'!H18,'26.07 GAYAZA-KALERWE-24h'!H18,'27.07 GAYAZA-KALERWE-24h'!H18,'28.07 GAYAZA-KALERWE'!H18)</f>
        <v>1.1428571428571428</v>
      </c>
      <c r="I18" s="49">
        <f>AVERAGE('22.07 GAYAZA-KALERWE'!I18,'23.07 GAYAZA-KALERWE'!I18,'24.07 GAYAZA-KALERWE'!I18,'25.07 GAYAZA-KALERWE'!I18,'26.07 GAYAZA-KALERWE-24h'!I18,'27.07 GAYAZA-KALERWE-24h'!I18,'28.07 GAYAZA-KALERWE'!I18)</f>
        <v>7.8571428571428568</v>
      </c>
      <c r="J18" s="49">
        <f>AVERAGE('22.07 GAYAZA-KALERWE'!J18,'23.07 GAYAZA-KALERWE'!J18,'24.07 GAYAZA-KALERWE'!J18,'25.07 GAYAZA-KALERWE'!J18,'26.07 GAYAZA-KALERWE-24h'!J18,'27.07 GAYAZA-KALERWE-24h'!J18,'28.07 GAYAZA-KALERWE'!J18)</f>
        <v>5</v>
      </c>
      <c r="K18" s="49">
        <f>AVERAGE('22.07 GAYAZA-KALERWE'!K18,'23.07 GAYAZA-KALERWE'!K18,'24.07 GAYAZA-KALERWE'!K18,'25.07 GAYAZA-KALERWE'!K18,'26.07 GAYAZA-KALERWE-24h'!K18,'27.07 GAYAZA-KALERWE-24h'!K18,'28.07 GAYAZA-KALERWE'!K18)</f>
        <v>0.8571428571428571</v>
      </c>
      <c r="L18" s="49">
        <f>AVERAGE('22.07 GAYAZA-KALERWE'!L18,'23.07 GAYAZA-KALERWE'!L18,'24.07 GAYAZA-KALERWE'!L18,'25.07 GAYAZA-KALERWE'!L18,'26.07 GAYAZA-KALERWE-24h'!L18,'27.07 GAYAZA-KALERWE-24h'!L18,'28.07 GAYAZA-KALERWE'!L18)</f>
        <v>0.8571428571428571</v>
      </c>
      <c r="M18" s="49">
        <f>AVERAGE('22.07 GAYAZA-KALERWE'!M18,'23.07 GAYAZA-KALERWE'!M18,'24.07 GAYAZA-KALERWE'!M18,'25.07 GAYAZA-KALERWE'!M18,'26.07 GAYAZA-KALERWE-24h'!M18,'27.07 GAYAZA-KALERWE-24h'!M18,'28.07 GAYAZA-KALERWE'!M18)</f>
        <v>242.28571428571428</v>
      </c>
      <c r="N18" s="49">
        <f>AVERAGE('22.07 GAYAZA-KALERWE'!N18,'23.07 GAYAZA-KALERWE'!N18,'24.07 GAYAZA-KALERWE'!N18,'25.07 GAYAZA-KALERWE'!N18,'26.07 GAYAZA-KALERWE-24h'!N18,'27.07 GAYAZA-KALERWE-24h'!N18,'28.07 GAYAZA-KALERWE'!N18)</f>
        <v>0</v>
      </c>
      <c r="O18" s="15">
        <f t="shared" si="0"/>
        <v>145.42857142857144</v>
      </c>
      <c r="P18" s="15">
        <f t="shared" si="1"/>
        <v>387.71428571428572</v>
      </c>
      <c r="R18" s="1" t="s">
        <v>14</v>
      </c>
      <c r="S18" s="17">
        <f t="shared" ref="S18:AF18" si="10">SUM(C42:C45)</f>
        <v>217.57142857142858</v>
      </c>
      <c r="T18" s="17">
        <f t="shared" si="10"/>
        <v>25.857142857142858</v>
      </c>
      <c r="U18" s="17">
        <f t="shared" si="10"/>
        <v>31.428571428571431</v>
      </c>
      <c r="V18" s="17">
        <f t="shared" si="10"/>
        <v>168.14285714285714</v>
      </c>
      <c r="W18" s="17">
        <f t="shared" si="10"/>
        <v>2.8571428571428572</v>
      </c>
      <c r="X18" s="17">
        <f t="shared" si="10"/>
        <v>1.4285714285714284</v>
      </c>
      <c r="Y18" s="17">
        <f t="shared" si="10"/>
        <v>34</v>
      </c>
      <c r="Z18" s="17">
        <f t="shared" si="10"/>
        <v>22.714285714285712</v>
      </c>
      <c r="AA18" s="17">
        <f t="shared" si="10"/>
        <v>8.4285714285714288</v>
      </c>
      <c r="AB18" s="17">
        <f t="shared" si="10"/>
        <v>2.4285714285714284</v>
      </c>
      <c r="AC18" s="17">
        <f t="shared" si="10"/>
        <v>557.85714285714289</v>
      </c>
      <c r="AD18" s="17">
        <f t="shared" si="10"/>
        <v>0</v>
      </c>
      <c r="AE18" s="31">
        <f t="shared" si="10"/>
        <v>514.85714285714289</v>
      </c>
      <c r="AF18" s="31">
        <f t="shared" si="10"/>
        <v>1072.7142857142858</v>
      </c>
    </row>
    <row r="19" spans="2:32" ht="23.1" customHeight="1" x14ac:dyDescent="0.25">
      <c r="B19" s="23" t="s">
        <v>46</v>
      </c>
      <c r="C19" s="49">
        <f>AVERAGE('22.07 GAYAZA-KALERWE'!C19,'23.07 GAYAZA-KALERWE'!C19,'24.07 GAYAZA-KALERWE'!C19,'25.07 GAYAZA-KALERWE'!C19,'26.07 GAYAZA-KALERWE-24h'!C19,'27.07 GAYAZA-KALERWE-24h'!C19,'28.07 GAYAZA-KALERWE'!C19)</f>
        <v>66</v>
      </c>
      <c r="D19" s="49">
        <f>AVERAGE('22.07 GAYAZA-KALERWE'!D19,'23.07 GAYAZA-KALERWE'!D19,'24.07 GAYAZA-KALERWE'!D19,'25.07 GAYAZA-KALERWE'!D19,'26.07 GAYAZA-KALERWE-24h'!D19,'27.07 GAYAZA-KALERWE-24h'!D19,'28.07 GAYAZA-KALERWE'!D19)</f>
        <v>7.8571428571428568</v>
      </c>
      <c r="E19" s="49">
        <f>AVERAGE('22.07 GAYAZA-KALERWE'!E19,'23.07 GAYAZA-KALERWE'!E19,'24.07 GAYAZA-KALERWE'!E19,'25.07 GAYAZA-KALERWE'!E19,'26.07 GAYAZA-KALERWE-24h'!E19,'27.07 GAYAZA-KALERWE-24h'!E19,'28.07 GAYAZA-KALERWE'!E19)</f>
        <v>7.5714285714285712</v>
      </c>
      <c r="F19" s="49">
        <f>AVERAGE('22.07 GAYAZA-KALERWE'!F19,'23.07 GAYAZA-KALERWE'!F19,'24.07 GAYAZA-KALERWE'!F19,'25.07 GAYAZA-KALERWE'!F19,'26.07 GAYAZA-KALERWE-24h'!F19,'27.07 GAYAZA-KALERWE-24h'!F19,'28.07 GAYAZA-KALERWE'!F19)</f>
        <v>58.285714285714285</v>
      </c>
      <c r="G19" s="49">
        <f>AVERAGE('22.07 GAYAZA-KALERWE'!G19,'23.07 GAYAZA-KALERWE'!G19,'24.07 GAYAZA-KALERWE'!G19,'25.07 GAYAZA-KALERWE'!G19,'26.07 GAYAZA-KALERWE-24h'!G19,'27.07 GAYAZA-KALERWE-24h'!G19,'28.07 GAYAZA-KALERWE'!G19)</f>
        <v>0.42857142857142855</v>
      </c>
      <c r="H19" s="49">
        <f>AVERAGE('22.07 GAYAZA-KALERWE'!H19,'23.07 GAYAZA-KALERWE'!H19,'24.07 GAYAZA-KALERWE'!H19,'25.07 GAYAZA-KALERWE'!H19,'26.07 GAYAZA-KALERWE-24h'!H19,'27.07 GAYAZA-KALERWE-24h'!H19,'28.07 GAYAZA-KALERWE'!H19)</f>
        <v>0.7142857142857143</v>
      </c>
      <c r="I19" s="49">
        <f>AVERAGE('22.07 GAYAZA-KALERWE'!I19,'23.07 GAYAZA-KALERWE'!I19,'24.07 GAYAZA-KALERWE'!I19,'25.07 GAYAZA-KALERWE'!I19,'26.07 GAYAZA-KALERWE-24h'!I19,'27.07 GAYAZA-KALERWE-24h'!I19,'28.07 GAYAZA-KALERWE'!I19)</f>
        <v>6.1428571428571432</v>
      </c>
      <c r="J19" s="49">
        <f>AVERAGE('22.07 GAYAZA-KALERWE'!J19,'23.07 GAYAZA-KALERWE'!J19,'24.07 GAYAZA-KALERWE'!J19,'25.07 GAYAZA-KALERWE'!J19,'26.07 GAYAZA-KALERWE-24h'!J19,'27.07 GAYAZA-KALERWE-24h'!J19,'28.07 GAYAZA-KALERWE'!J19)</f>
        <v>3.7142857142857144</v>
      </c>
      <c r="K19" s="49">
        <f>AVERAGE('22.07 GAYAZA-KALERWE'!K19,'23.07 GAYAZA-KALERWE'!K19,'24.07 GAYAZA-KALERWE'!K19,'25.07 GAYAZA-KALERWE'!K19,'26.07 GAYAZA-KALERWE-24h'!K19,'27.07 GAYAZA-KALERWE-24h'!K19,'28.07 GAYAZA-KALERWE'!K19)</f>
        <v>2.1428571428571428</v>
      </c>
      <c r="L19" s="49">
        <f>AVERAGE('22.07 GAYAZA-KALERWE'!L19,'23.07 GAYAZA-KALERWE'!L19,'24.07 GAYAZA-KALERWE'!L19,'25.07 GAYAZA-KALERWE'!L19,'26.07 GAYAZA-KALERWE-24h'!L19,'27.07 GAYAZA-KALERWE-24h'!L19,'28.07 GAYAZA-KALERWE'!L19)</f>
        <v>0.5714285714285714</v>
      </c>
      <c r="M19" s="49">
        <f>AVERAGE('22.07 GAYAZA-KALERWE'!M19,'23.07 GAYAZA-KALERWE'!M19,'24.07 GAYAZA-KALERWE'!M19,'25.07 GAYAZA-KALERWE'!M19,'26.07 GAYAZA-KALERWE-24h'!M19,'27.07 GAYAZA-KALERWE-24h'!M19,'28.07 GAYAZA-KALERWE'!M19)</f>
        <v>219.57142857142858</v>
      </c>
      <c r="N19" s="49">
        <f>AVERAGE('22.07 GAYAZA-KALERWE'!N19,'23.07 GAYAZA-KALERWE'!N19,'24.07 GAYAZA-KALERWE'!N19,'25.07 GAYAZA-KALERWE'!N19,'26.07 GAYAZA-KALERWE-24h'!N19,'27.07 GAYAZA-KALERWE-24h'!N19,'28.07 GAYAZA-KALERWE'!N19)</f>
        <v>0</v>
      </c>
      <c r="O19" s="15">
        <f t="shared" si="0"/>
        <v>153.42857142857144</v>
      </c>
      <c r="P19" s="15">
        <f t="shared" si="1"/>
        <v>373</v>
      </c>
      <c r="R19" s="1" t="s">
        <v>15</v>
      </c>
      <c r="S19" s="17">
        <f t="shared" ref="S19:AF19" si="11">SUM(C46:C49)</f>
        <v>217.42857142857144</v>
      </c>
      <c r="T19" s="17">
        <f t="shared" si="11"/>
        <v>31.142857142857146</v>
      </c>
      <c r="U19" s="17">
        <f t="shared" si="11"/>
        <v>35.857142857142854</v>
      </c>
      <c r="V19" s="17">
        <f t="shared" si="11"/>
        <v>185.57142857142858</v>
      </c>
      <c r="W19" s="17">
        <f t="shared" si="11"/>
        <v>2.5714285714285712</v>
      </c>
      <c r="X19" s="17">
        <f t="shared" si="11"/>
        <v>1.4285714285714284</v>
      </c>
      <c r="Y19" s="17">
        <f t="shared" si="11"/>
        <v>37.428571428571431</v>
      </c>
      <c r="Z19" s="17">
        <f t="shared" si="11"/>
        <v>22</v>
      </c>
      <c r="AA19" s="17">
        <f t="shared" si="11"/>
        <v>8.7142857142857153</v>
      </c>
      <c r="AB19" s="17">
        <f t="shared" si="11"/>
        <v>2.8571428571428568</v>
      </c>
      <c r="AC19" s="17">
        <f t="shared" si="11"/>
        <v>674.99999999999989</v>
      </c>
      <c r="AD19" s="17">
        <f t="shared" si="11"/>
        <v>0</v>
      </c>
      <c r="AE19" s="31">
        <f t="shared" si="11"/>
        <v>545.00000000000011</v>
      </c>
      <c r="AF19" s="31">
        <f t="shared" si="11"/>
        <v>1220</v>
      </c>
    </row>
    <row r="20" spans="2:32" ht="23.1" customHeight="1" x14ac:dyDescent="0.25">
      <c r="B20" s="23" t="s">
        <v>47</v>
      </c>
      <c r="C20" s="49">
        <f>AVERAGE('22.07 GAYAZA-KALERWE'!C20,'23.07 GAYAZA-KALERWE'!C20,'24.07 GAYAZA-KALERWE'!C20,'25.07 GAYAZA-KALERWE'!C20,'26.07 GAYAZA-KALERWE-24h'!C20,'27.07 GAYAZA-KALERWE-24h'!C20,'28.07 GAYAZA-KALERWE'!C20)</f>
        <v>71.714285714285708</v>
      </c>
      <c r="D20" s="49">
        <f>AVERAGE('22.07 GAYAZA-KALERWE'!D20,'23.07 GAYAZA-KALERWE'!D20,'24.07 GAYAZA-KALERWE'!D20,'25.07 GAYAZA-KALERWE'!D20,'26.07 GAYAZA-KALERWE-24h'!D20,'27.07 GAYAZA-KALERWE-24h'!D20,'28.07 GAYAZA-KALERWE'!D20)</f>
        <v>7.4285714285714288</v>
      </c>
      <c r="E20" s="49">
        <f>AVERAGE('22.07 GAYAZA-KALERWE'!E20,'23.07 GAYAZA-KALERWE'!E20,'24.07 GAYAZA-KALERWE'!E20,'25.07 GAYAZA-KALERWE'!E20,'26.07 GAYAZA-KALERWE-24h'!E20,'27.07 GAYAZA-KALERWE-24h'!E20,'28.07 GAYAZA-KALERWE'!E20)</f>
        <v>7</v>
      </c>
      <c r="F20" s="49">
        <f>AVERAGE('22.07 GAYAZA-KALERWE'!F20,'23.07 GAYAZA-KALERWE'!F20,'24.07 GAYAZA-KALERWE'!F20,'25.07 GAYAZA-KALERWE'!F20,'26.07 GAYAZA-KALERWE-24h'!F20,'27.07 GAYAZA-KALERWE-24h'!F20,'28.07 GAYAZA-KALERWE'!F20)</f>
        <v>66.857142857142861</v>
      </c>
      <c r="G20" s="49">
        <f>AVERAGE('22.07 GAYAZA-KALERWE'!G20,'23.07 GAYAZA-KALERWE'!G20,'24.07 GAYAZA-KALERWE'!G20,'25.07 GAYAZA-KALERWE'!G20,'26.07 GAYAZA-KALERWE-24h'!G20,'27.07 GAYAZA-KALERWE-24h'!G20,'28.07 GAYAZA-KALERWE'!G20)</f>
        <v>0.8571428571428571</v>
      </c>
      <c r="H20" s="49">
        <f>AVERAGE('22.07 GAYAZA-KALERWE'!H20,'23.07 GAYAZA-KALERWE'!H20,'24.07 GAYAZA-KALERWE'!H20,'25.07 GAYAZA-KALERWE'!H20,'26.07 GAYAZA-KALERWE-24h'!H20,'27.07 GAYAZA-KALERWE-24h'!H20,'28.07 GAYAZA-KALERWE'!H20)</f>
        <v>0.8571428571428571</v>
      </c>
      <c r="I20" s="49">
        <f>AVERAGE('22.07 GAYAZA-KALERWE'!I20,'23.07 GAYAZA-KALERWE'!I20,'24.07 GAYAZA-KALERWE'!I20,'25.07 GAYAZA-KALERWE'!I20,'26.07 GAYAZA-KALERWE-24h'!I20,'27.07 GAYAZA-KALERWE-24h'!I20,'28.07 GAYAZA-KALERWE'!I20)</f>
        <v>7.2857142857142856</v>
      </c>
      <c r="J20" s="49">
        <f>AVERAGE('22.07 GAYAZA-KALERWE'!J20,'23.07 GAYAZA-KALERWE'!J20,'24.07 GAYAZA-KALERWE'!J20,'25.07 GAYAZA-KALERWE'!J20,'26.07 GAYAZA-KALERWE-24h'!J20,'27.07 GAYAZA-KALERWE-24h'!J20,'28.07 GAYAZA-KALERWE'!J20)</f>
        <v>4</v>
      </c>
      <c r="K20" s="49">
        <f>AVERAGE('22.07 GAYAZA-KALERWE'!K20,'23.07 GAYAZA-KALERWE'!K20,'24.07 GAYAZA-KALERWE'!K20,'25.07 GAYAZA-KALERWE'!K20,'26.07 GAYAZA-KALERWE-24h'!K20,'27.07 GAYAZA-KALERWE-24h'!K20,'28.07 GAYAZA-KALERWE'!K20)</f>
        <v>1.8571428571428572</v>
      </c>
      <c r="L20" s="49">
        <f>AVERAGE('22.07 GAYAZA-KALERWE'!L20,'23.07 GAYAZA-KALERWE'!L20,'24.07 GAYAZA-KALERWE'!L20,'25.07 GAYAZA-KALERWE'!L20,'26.07 GAYAZA-KALERWE-24h'!L20,'27.07 GAYAZA-KALERWE-24h'!L20,'28.07 GAYAZA-KALERWE'!L20)</f>
        <v>0.7142857142857143</v>
      </c>
      <c r="M20" s="49">
        <f>AVERAGE('22.07 GAYAZA-KALERWE'!M20,'23.07 GAYAZA-KALERWE'!M20,'24.07 GAYAZA-KALERWE'!M20,'25.07 GAYAZA-KALERWE'!M20,'26.07 GAYAZA-KALERWE-24h'!M20,'27.07 GAYAZA-KALERWE-24h'!M20,'28.07 GAYAZA-KALERWE'!M20)</f>
        <v>194.71428571428572</v>
      </c>
      <c r="N20" s="49">
        <f>AVERAGE('22.07 GAYAZA-KALERWE'!N20,'23.07 GAYAZA-KALERWE'!N20,'24.07 GAYAZA-KALERWE'!N20,'25.07 GAYAZA-KALERWE'!N20,'26.07 GAYAZA-KALERWE-24h'!N20,'27.07 GAYAZA-KALERWE-24h'!N20,'28.07 GAYAZA-KALERWE'!N20)</f>
        <v>0</v>
      </c>
      <c r="O20" s="15">
        <f t="shared" si="0"/>
        <v>168.57142857142858</v>
      </c>
      <c r="P20" s="15">
        <f t="shared" si="1"/>
        <v>363.28571428571433</v>
      </c>
      <c r="R20" s="1" t="s">
        <v>16</v>
      </c>
      <c r="S20" s="17">
        <f t="shared" ref="S20:AF20" si="12">SUM(C50:C53)</f>
        <v>225.85714285714289</v>
      </c>
      <c r="T20" s="17">
        <f t="shared" si="12"/>
        <v>29.428571428571427</v>
      </c>
      <c r="U20" s="17">
        <f t="shared" si="12"/>
        <v>30.714285714285715</v>
      </c>
      <c r="V20" s="17">
        <f t="shared" si="12"/>
        <v>239.85714285714286</v>
      </c>
      <c r="W20" s="17">
        <f t="shared" si="12"/>
        <v>4.2857142857142856</v>
      </c>
      <c r="X20" s="17">
        <f t="shared" si="12"/>
        <v>2.1428571428571428</v>
      </c>
      <c r="Y20" s="17">
        <f t="shared" si="12"/>
        <v>38</v>
      </c>
      <c r="Z20" s="17">
        <f t="shared" si="12"/>
        <v>21.428571428571427</v>
      </c>
      <c r="AA20" s="17">
        <f t="shared" si="12"/>
        <v>8.571428571428573</v>
      </c>
      <c r="AB20" s="17">
        <f t="shared" si="12"/>
        <v>4.8571428571428577</v>
      </c>
      <c r="AC20" s="17">
        <f t="shared" si="12"/>
        <v>742</v>
      </c>
      <c r="AD20" s="17">
        <f t="shared" si="12"/>
        <v>0</v>
      </c>
      <c r="AE20" s="31">
        <f t="shared" si="12"/>
        <v>605.14285714285722</v>
      </c>
      <c r="AF20" s="31">
        <f t="shared" si="12"/>
        <v>1347.1428571428571</v>
      </c>
    </row>
    <row r="21" spans="2:32" ht="23.1" customHeight="1" x14ac:dyDescent="0.25">
      <c r="B21" s="23" t="s">
        <v>48</v>
      </c>
      <c r="C21" s="49">
        <f>AVERAGE('22.07 GAYAZA-KALERWE'!C21,'23.07 GAYAZA-KALERWE'!C21,'24.07 GAYAZA-KALERWE'!C21,'25.07 GAYAZA-KALERWE'!C21,'26.07 GAYAZA-KALERWE-24h'!C21,'27.07 GAYAZA-KALERWE-24h'!C21,'28.07 GAYAZA-KALERWE'!C21)</f>
        <v>69.857142857142861</v>
      </c>
      <c r="D21" s="49">
        <f>AVERAGE('22.07 GAYAZA-KALERWE'!D21,'23.07 GAYAZA-KALERWE'!D21,'24.07 GAYAZA-KALERWE'!D21,'25.07 GAYAZA-KALERWE'!D21,'26.07 GAYAZA-KALERWE-24h'!D21,'27.07 GAYAZA-KALERWE-24h'!D21,'28.07 GAYAZA-KALERWE'!D21)</f>
        <v>8.1428571428571423</v>
      </c>
      <c r="E21" s="49">
        <f>AVERAGE('22.07 GAYAZA-KALERWE'!E21,'23.07 GAYAZA-KALERWE'!E21,'24.07 GAYAZA-KALERWE'!E21,'25.07 GAYAZA-KALERWE'!E21,'26.07 GAYAZA-KALERWE-24h'!E21,'27.07 GAYAZA-KALERWE-24h'!E21,'28.07 GAYAZA-KALERWE'!E21)</f>
        <v>6.4285714285714288</v>
      </c>
      <c r="F21" s="49">
        <f>AVERAGE('22.07 GAYAZA-KALERWE'!F21,'23.07 GAYAZA-KALERWE'!F21,'24.07 GAYAZA-KALERWE'!F21,'25.07 GAYAZA-KALERWE'!F21,'26.07 GAYAZA-KALERWE-24h'!F21,'27.07 GAYAZA-KALERWE-24h'!F21,'28.07 GAYAZA-KALERWE'!F21)</f>
        <v>52.285714285714285</v>
      </c>
      <c r="G21" s="49">
        <f>AVERAGE('22.07 GAYAZA-KALERWE'!G21,'23.07 GAYAZA-KALERWE'!G21,'24.07 GAYAZA-KALERWE'!G21,'25.07 GAYAZA-KALERWE'!G21,'26.07 GAYAZA-KALERWE-24h'!G21,'27.07 GAYAZA-KALERWE-24h'!G21,'28.07 GAYAZA-KALERWE'!G21)</f>
        <v>1.2857142857142858</v>
      </c>
      <c r="H21" s="49">
        <f>AVERAGE('22.07 GAYAZA-KALERWE'!H21,'23.07 GAYAZA-KALERWE'!H21,'24.07 GAYAZA-KALERWE'!H21,'25.07 GAYAZA-KALERWE'!H21,'26.07 GAYAZA-KALERWE-24h'!H21,'27.07 GAYAZA-KALERWE-24h'!H21,'28.07 GAYAZA-KALERWE'!H21)</f>
        <v>1</v>
      </c>
      <c r="I21" s="49">
        <f>AVERAGE('22.07 GAYAZA-KALERWE'!I21,'23.07 GAYAZA-KALERWE'!I21,'24.07 GAYAZA-KALERWE'!I21,'25.07 GAYAZA-KALERWE'!I21,'26.07 GAYAZA-KALERWE-24h'!I21,'27.07 GAYAZA-KALERWE-24h'!I21,'28.07 GAYAZA-KALERWE'!I21)</f>
        <v>7.8571428571428568</v>
      </c>
      <c r="J21" s="49">
        <f>AVERAGE('22.07 GAYAZA-KALERWE'!J21,'23.07 GAYAZA-KALERWE'!J21,'24.07 GAYAZA-KALERWE'!J21,'25.07 GAYAZA-KALERWE'!J21,'26.07 GAYAZA-KALERWE-24h'!J21,'27.07 GAYAZA-KALERWE-24h'!J21,'28.07 GAYAZA-KALERWE'!J21)</f>
        <v>4.5714285714285712</v>
      </c>
      <c r="K21" s="49">
        <f>AVERAGE('22.07 GAYAZA-KALERWE'!K21,'23.07 GAYAZA-KALERWE'!K21,'24.07 GAYAZA-KALERWE'!K21,'25.07 GAYAZA-KALERWE'!K21,'26.07 GAYAZA-KALERWE-24h'!K21,'27.07 GAYAZA-KALERWE-24h'!K21,'28.07 GAYAZA-KALERWE'!K21)</f>
        <v>2.8571428571428572</v>
      </c>
      <c r="L21" s="49">
        <f>AVERAGE('22.07 GAYAZA-KALERWE'!L21,'23.07 GAYAZA-KALERWE'!L21,'24.07 GAYAZA-KALERWE'!L21,'25.07 GAYAZA-KALERWE'!L21,'26.07 GAYAZA-KALERWE-24h'!L21,'27.07 GAYAZA-KALERWE-24h'!L21,'28.07 GAYAZA-KALERWE'!L21)</f>
        <v>0.42857142857142855</v>
      </c>
      <c r="M21" s="49">
        <f>AVERAGE('22.07 GAYAZA-KALERWE'!M21,'23.07 GAYAZA-KALERWE'!M21,'24.07 GAYAZA-KALERWE'!M21,'25.07 GAYAZA-KALERWE'!M21,'26.07 GAYAZA-KALERWE-24h'!M21,'27.07 GAYAZA-KALERWE-24h'!M21,'28.07 GAYAZA-KALERWE'!M21)</f>
        <v>199.57142857142858</v>
      </c>
      <c r="N21" s="49">
        <f>AVERAGE('22.07 GAYAZA-KALERWE'!N21,'23.07 GAYAZA-KALERWE'!N21,'24.07 GAYAZA-KALERWE'!N21,'25.07 GAYAZA-KALERWE'!N21,'26.07 GAYAZA-KALERWE-24h'!N21,'27.07 GAYAZA-KALERWE-24h'!N21,'28.07 GAYAZA-KALERWE'!N21)</f>
        <v>0</v>
      </c>
      <c r="O21" s="15">
        <f t="shared" si="0"/>
        <v>154.71428571428572</v>
      </c>
      <c r="P21" s="15">
        <f t="shared" si="1"/>
        <v>354.28571428571433</v>
      </c>
      <c r="R21" s="36" t="s">
        <v>20</v>
      </c>
      <c r="S21" s="34">
        <f t="shared" ref="S21:AF21" si="13">SUM(C54:C57)</f>
        <v>238.85714285714286</v>
      </c>
      <c r="T21" s="17">
        <f t="shared" si="13"/>
        <v>23.571428571428569</v>
      </c>
      <c r="U21" s="17">
        <f t="shared" si="13"/>
        <v>24.714285714285715</v>
      </c>
      <c r="V21" s="17">
        <f t="shared" si="13"/>
        <v>301.71428571428572</v>
      </c>
      <c r="W21" s="17">
        <f t="shared" si="13"/>
        <v>6.7142857142857144</v>
      </c>
      <c r="X21" s="17">
        <f t="shared" si="13"/>
        <v>4.8571428571428577</v>
      </c>
      <c r="Y21" s="17">
        <f t="shared" si="13"/>
        <v>31.142857142857142</v>
      </c>
      <c r="Z21" s="17">
        <f t="shared" si="13"/>
        <v>20.428571428571431</v>
      </c>
      <c r="AA21" s="17">
        <f t="shared" si="13"/>
        <v>6</v>
      </c>
      <c r="AB21" s="17">
        <f t="shared" si="13"/>
        <v>2.8571428571428572</v>
      </c>
      <c r="AC21" s="17">
        <f t="shared" si="13"/>
        <v>778.71428571428578</v>
      </c>
      <c r="AD21" s="17">
        <f t="shared" si="13"/>
        <v>0</v>
      </c>
      <c r="AE21" s="31">
        <f t="shared" si="13"/>
        <v>660.85714285714289</v>
      </c>
      <c r="AF21" s="31">
        <f t="shared" si="13"/>
        <v>1439.5714285714287</v>
      </c>
    </row>
    <row r="22" spans="2:32" ht="23.1" customHeight="1" x14ac:dyDescent="0.25">
      <c r="B22" s="23" t="s">
        <v>49</v>
      </c>
      <c r="C22" s="49">
        <f>AVERAGE('22.07 GAYAZA-KALERWE'!C22,'23.07 GAYAZA-KALERWE'!C22,'24.07 GAYAZA-KALERWE'!C22,'25.07 GAYAZA-KALERWE'!C22,'26.07 GAYAZA-KALERWE-24h'!C22,'27.07 GAYAZA-KALERWE-24h'!C22,'28.07 GAYAZA-KALERWE'!C22)</f>
        <v>65.285714285714292</v>
      </c>
      <c r="D22" s="49">
        <f>AVERAGE('22.07 GAYAZA-KALERWE'!D22,'23.07 GAYAZA-KALERWE'!D22,'24.07 GAYAZA-KALERWE'!D22,'25.07 GAYAZA-KALERWE'!D22,'26.07 GAYAZA-KALERWE-24h'!D22,'27.07 GAYAZA-KALERWE-24h'!D22,'28.07 GAYAZA-KALERWE'!D22)</f>
        <v>7.1428571428571432</v>
      </c>
      <c r="E22" s="49">
        <f>AVERAGE('22.07 GAYAZA-KALERWE'!E22,'23.07 GAYAZA-KALERWE'!E22,'24.07 GAYAZA-KALERWE'!E22,'25.07 GAYAZA-KALERWE'!E22,'26.07 GAYAZA-KALERWE-24h'!E22,'27.07 GAYAZA-KALERWE-24h'!E22,'28.07 GAYAZA-KALERWE'!E22)</f>
        <v>7.5714285714285712</v>
      </c>
      <c r="F22" s="49">
        <f>AVERAGE('22.07 GAYAZA-KALERWE'!F22,'23.07 GAYAZA-KALERWE'!F22,'24.07 GAYAZA-KALERWE'!F22,'25.07 GAYAZA-KALERWE'!F22,'26.07 GAYAZA-KALERWE-24h'!F22,'27.07 GAYAZA-KALERWE-24h'!F22,'28.07 GAYAZA-KALERWE'!F22)</f>
        <v>64.285714285714292</v>
      </c>
      <c r="G22" s="49">
        <f>AVERAGE('22.07 GAYAZA-KALERWE'!G22,'23.07 GAYAZA-KALERWE'!G22,'24.07 GAYAZA-KALERWE'!G22,'25.07 GAYAZA-KALERWE'!G22,'26.07 GAYAZA-KALERWE-24h'!G22,'27.07 GAYAZA-KALERWE-24h'!G22,'28.07 GAYAZA-KALERWE'!G22)</f>
        <v>1.1428571428571428</v>
      </c>
      <c r="H22" s="49">
        <f>AVERAGE('22.07 GAYAZA-KALERWE'!H22,'23.07 GAYAZA-KALERWE'!H22,'24.07 GAYAZA-KALERWE'!H22,'25.07 GAYAZA-KALERWE'!H22,'26.07 GAYAZA-KALERWE-24h'!H22,'27.07 GAYAZA-KALERWE-24h'!H22,'28.07 GAYAZA-KALERWE'!H22)</f>
        <v>0.5714285714285714</v>
      </c>
      <c r="I22" s="49">
        <f>AVERAGE('22.07 GAYAZA-KALERWE'!I22,'23.07 GAYAZA-KALERWE'!I22,'24.07 GAYAZA-KALERWE'!I22,'25.07 GAYAZA-KALERWE'!I22,'26.07 GAYAZA-KALERWE-24h'!I22,'27.07 GAYAZA-KALERWE-24h'!I22,'28.07 GAYAZA-KALERWE'!I22)</f>
        <v>7.1428571428571432</v>
      </c>
      <c r="J22" s="49">
        <f>AVERAGE('22.07 GAYAZA-KALERWE'!J22,'23.07 GAYAZA-KALERWE'!J22,'24.07 GAYAZA-KALERWE'!J22,'25.07 GAYAZA-KALERWE'!J22,'26.07 GAYAZA-KALERWE-24h'!J22,'27.07 GAYAZA-KALERWE-24h'!J22,'28.07 GAYAZA-KALERWE'!J22)</f>
        <v>5.1428571428571432</v>
      </c>
      <c r="K22" s="49">
        <f>AVERAGE('22.07 GAYAZA-KALERWE'!K22,'23.07 GAYAZA-KALERWE'!K22,'24.07 GAYAZA-KALERWE'!K22,'25.07 GAYAZA-KALERWE'!K22,'26.07 GAYAZA-KALERWE-24h'!K22,'27.07 GAYAZA-KALERWE-24h'!K22,'28.07 GAYAZA-KALERWE'!K22)</f>
        <v>0.8571428571428571</v>
      </c>
      <c r="L22" s="49">
        <f>AVERAGE('22.07 GAYAZA-KALERWE'!L22,'23.07 GAYAZA-KALERWE'!L22,'24.07 GAYAZA-KALERWE'!L22,'25.07 GAYAZA-KALERWE'!L22,'26.07 GAYAZA-KALERWE-24h'!L22,'27.07 GAYAZA-KALERWE-24h'!L22,'28.07 GAYAZA-KALERWE'!L22)</f>
        <v>0.5714285714285714</v>
      </c>
      <c r="M22" s="49">
        <f>AVERAGE('22.07 GAYAZA-KALERWE'!M22,'23.07 GAYAZA-KALERWE'!M22,'24.07 GAYAZA-KALERWE'!M22,'25.07 GAYAZA-KALERWE'!M22,'26.07 GAYAZA-KALERWE-24h'!M22,'27.07 GAYAZA-KALERWE-24h'!M22,'28.07 GAYAZA-KALERWE'!M22)</f>
        <v>195.57142857142858</v>
      </c>
      <c r="N22" s="49">
        <f>AVERAGE('22.07 GAYAZA-KALERWE'!N22,'23.07 GAYAZA-KALERWE'!N22,'24.07 GAYAZA-KALERWE'!N22,'25.07 GAYAZA-KALERWE'!N22,'26.07 GAYAZA-KALERWE-24h'!N22,'27.07 GAYAZA-KALERWE-24h'!N22,'28.07 GAYAZA-KALERWE'!N22)</f>
        <v>0</v>
      </c>
      <c r="O22" s="15">
        <f t="shared" si="0"/>
        <v>159.71428571428572</v>
      </c>
      <c r="P22" s="15">
        <f t="shared" si="1"/>
        <v>355.28571428571433</v>
      </c>
      <c r="R22" s="1" t="s">
        <v>146</v>
      </c>
      <c r="S22" s="34">
        <f>SUM(C58:C61)</f>
        <v>197.5</v>
      </c>
      <c r="T22" s="34">
        <f t="shared" ref="T22:AF22" si="14">SUM(D58:D61)</f>
        <v>83</v>
      </c>
      <c r="U22" s="34">
        <f t="shared" si="14"/>
        <v>49</v>
      </c>
      <c r="V22" s="34">
        <f t="shared" si="14"/>
        <v>135</v>
      </c>
      <c r="W22" s="34">
        <f t="shared" si="14"/>
        <v>11.5</v>
      </c>
      <c r="X22" s="34">
        <f t="shared" si="14"/>
        <v>5</v>
      </c>
      <c r="Y22" s="34">
        <f t="shared" si="14"/>
        <v>17.5</v>
      </c>
      <c r="Z22" s="34">
        <f t="shared" si="14"/>
        <v>19</v>
      </c>
      <c r="AA22" s="34">
        <f t="shared" si="14"/>
        <v>5.5</v>
      </c>
      <c r="AB22" s="34">
        <f t="shared" si="14"/>
        <v>6</v>
      </c>
      <c r="AC22" s="34">
        <f t="shared" si="14"/>
        <v>1020.5</v>
      </c>
      <c r="AD22" s="34">
        <f t="shared" si="14"/>
        <v>0</v>
      </c>
      <c r="AE22" s="31">
        <f t="shared" si="14"/>
        <v>529</v>
      </c>
      <c r="AF22" s="31">
        <f t="shared" si="14"/>
        <v>1549.5</v>
      </c>
    </row>
    <row r="23" spans="2:32" ht="23.1" customHeight="1" x14ac:dyDescent="0.25">
      <c r="B23" s="23" t="s">
        <v>50</v>
      </c>
      <c r="C23" s="49">
        <f>AVERAGE('22.07 GAYAZA-KALERWE'!C23,'23.07 GAYAZA-KALERWE'!C23,'24.07 GAYAZA-KALERWE'!C23,'25.07 GAYAZA-KALERWE'!C23,'26.07 GAYAZA-KALERWE-24h'!C23,'27.07 GAYAZA-KALERWE-24h'!C23,'28.07 GAYAZA-KALERWE'!C23)</f>
        <v>67.285714285714292</v>
      </c>
      <c r="D23" s="49">
        <f>AVERAGE('22.07 GAYAZA-KALERWE'!D23,'23.07 GAYAZA-KALERWE'!D23,'24.07 GAYAZA-KALERWE'!D23,'25.07 GAYAZA-KALERWE'!D23,'26.07 GAYAZA-KALERWE-24h'!D23,'27.07 GAYAZA-KALERWE-24h'!D23,'28.07 GAYAZA-KALERWE'!D23)</f>
        <v>10.571428571428571</v>
      </c>
      <c r="E23" s="49">
        <f>AVERAGE('22.07 GAYAZA-KALERWE'!E23,'23.07 GAYAZA-KALERWE'!E23,'24.07 GAYAZA-KALERWE'!E23,'25.07 GAYAZA-KALERWE'!E23,'26.07 GAYAZA-KALERWE-24h'!E23,'27.07 GAYAZA-KALERWE-24h'!E23,'28.07 GAYAZA-KALERWE'!E23)</f>
        <v>7.4285714285714288</v>
      </c>
      <c r="F23" s="49">
        <f>AVERAGE('22.07 GAYAZA-KALERWE'!F23,'23.07 GAYAZA-KALERWE'!F23,'24.07 GAYAZA-KALERWE'!F23,'25.07 GAYAZA-KALERWE'!F23,'26.07 GAYAZA-KALERWE-24h'!F23,'27.07 GAYAZA-KALERWE-24h'!F23,'28.07 GAYAZA-KALERWE'!F23)</f>
        <v>51.857142857142854</v>
      </c>
      <c r="G23" s="49">
        <f>AVERAGE('22.07 GAYAZA-KALERWE'!G23,'23.07 GAYAZA-KALERWE'!G23,'24.07 GAYAZA-KALERWE'!G23,'25.07 GAYAZA-KALERWE'!G23,'26.07 GAYAZA-KALERWE-24h'!G23,'27.07 GAYAZA-KALERWE-24h'!G23,'28.07 GAYAZA-KALERWE'!G23)</f>
        <v>1.1428571428571428</v>
      </c>
      <c r="H23" s="49">
        <f>AVERAGE('22.07 GAYAZA-KALERWE'!H23,'23.07 GAYAZA-KALERWE'!H23,'24.07 GAYAZA-KALERWE'!H23,'25.07 GAYAZA-KALERWE'!H23,'26.07 GAYAZA-KALERWE-24h'!H23,'27.07 GAYAZA-KALERWE-24h'!H23,'28.07 GAYAZA-KALERWE'!H23)</f>
        <v>0.5714285714285714</v>
      </c>
      <c r="I23" s="49">
        <f>AVERAGE('22.07 GAYAZA-KALERWE'!I23,'23.07 GAYAZA-KALERWE'!I23,'24.07 GAYAZA-KALERWE'!I23,'25.07 GAYAZA-KALERWE'!I23,'26.07 GAYAZA-KALERWE-24h'!I23,'27.07 GAYAZA-KALERWE-24h'!I23,'28.07 GAYAZA-KALERWE'!I23)</f>
        <v>4.7142857142857144</v>
      </c>
      <c r="J23" s="49">
        <f>AVERAGE('22.07 GAYAZA-KALERWE'!J23,'23.07 GAYAZA-KALERWE'!J23,'24.07 GAYAZA-KALERWE'!J23,'25.07 GAYAZA-KALERWE'!J23,'26.07 GAYAZA-KALERWE-24h'!J23,'27.07 GAYAZA-KALERWE-24h'!J23,'28.07 GAYAZA-KALERWE'!J23)</f>
        <v>5.4285714285714288</v>
      </c>
      <c r="K23" s="49">
        <f>AVERAGE('22.07 GAYAZA-KALERWE'!K23,'23.07 GAYAZA-KALERWE'!K23,'24.07 GAYAZA-KALERWE'!K23,'25.07 GAYAZA-KALERWE'!K23,'26.07 GAYAZA-KALERWE-24h'!K23,'27.07 GAYAZA-KALERWE-24h'!K23,'28.07 GAYAZA-KALERWE'!K23)</f>
        <v>2.5714285714285716</v>
      </c>
      <c r="L23" s="49">
        <f>AVERAGE('22.07 GAYAZA-KALERWE'!L23,'23.07 GAYAZA-KALERWE'!L23,'24.07 GAYAZA-KALERWE'!L23,'25.07 GAYAZA-KALERWE'!L23,'26.07 GAYAZA-KALERWE-24h'!L23,'27.07 GAYAZA-KALERWE-24h'!L23,'28.07 GAYAZA-KALERWE'!L23)</f>
        <v>0.5714285714285714</v>
      </c>
      <c r="M23" s="49">
        <f>AVERAGE('22.07 GAYAZA-KALERWE'!M23,'23.07 GAYAZA-KALERWE'!M23,'24.07 GAYAZA-KALERWE'!M23,'25.07 GAYAZA-KALERWE'!M23,'26.07 GAYAZA-KALERWE-24h'!M23,'27.07 GAYAZA-KALERWE-24h'!M23,'28.07 GAYAZA-KALERWE'!M23)</f>
        <v>215.42857142857142</v>
      </c>
      <c r="N23" s="49">
        <f>AVERAGE('22.07 GAYAZA-KALERWE'!N23,'23.07 GAYAZA-KALERWE'!N23,'24.07 GAYAZA-KALERWE'!N23,'25.07 GAYAZA-KALERWE'!N23,'26.07 GAYAZA-KALERWE-24h'!N23,'27.07 GAYAZA-KALERWE-24h'!N23,'28.07 GAYAZA-KALERWE'!N23)</f>
        <v>0</v>
      </c>
      <c r="O23" s="15">
        <f t="shared" si="0"/>
        <v>152.14285714285717</v>
      </c>
      <c r="P23" s="15">
        <f t="shared" si="1"/>
        <v>367.57142857142856</v>
      </c>
      <c r="R23" s="1" t="s">
        <v>147</v>
      </c>
      <c r="S23" s="34">
        <f>SUM(C62:C65)</f>
        <v>155.5</v>
      </c>
      <c r="T23" s="34">
        <f t="shared" ref="T23:AF23" si="15">SUM(D62:D65)</f>
        <v>65</v>
      </c>
      <c r="U23" s="34">
        <f t="shared" si="15"/>
        <v>23</v>
      </c>
      <c r="V23" s="34">
        <f t="shared" si="15"/>
        <v>144.5</v>
      </c>
      <c r="W23" s="34">
        <f t="shared" si="15"/>
        <v>5.5</v>
      </c>
      <c r="X23" s="34">
        <f t="shared" si="15"/>
        <v>3.5</v>
      </c>
      <c r="Y23" s="34">
        <f t="shared" si="15"/>
        <v>15.5</v>
      </c>
      <c r="Z23" s="34">
        <f t="shared" si="15"/>
        <v>15</v>
      </c>
      <c r="AA23" s="34">
        <f t="shared" si="15"/>
        <v>7</v>
      </c>
      <c r="AB23" s="34">
        <f t="shared" si="15"/>
        <v>3</v>
      </c>
      <c r="AC23" s="34">
        <f t="shared" si="15"/>
        <v>1029.5</v>
      </c>
      <c r="AD23" s="34">
        <f t="shared" si="15"/>
        <v>0</v>
      </c>
      <c r="AE23" s="31">
        <f t="shared" si="15"/>
        <v>437.5</v>
      </c>
      <c r="AF23" s="31">
        <f t="shared" si="15"/>
        <v>1467</v>
      </c>
    </row>
    <row r="24" spans="2:32" ht="23.1" customHeight="1" x14ac:dyDescent="0.25">
      <c r="B24" s="23" t="s">
        <v>51</v>
      </c>
      <c r="C24" s="49">
        <f>AVERAGE('22.07 GAYAZA-KALERWE'!C24,'23.07 GAYAZA-KALERWE'!C24,'24.07 GAYAZA-KALERWE'!C24,'25.07 GAYAZA-KALERWE'!C24,'26.07 GAYAZA-KALERWE-24h'!C24,'27.07 GAYAZA-KALERWE-24h'!C24,'28.07 GAYAZA-KALERWE'!C24)</f>
        <v>71.714285714285708</v>
      </c>
      <c r="D24" s="49">
        <f>AVERAGE('22.07 GAYAZA-KALERWE'!D24,'23.07 GAYAZA-KALERWE'!D24,'24.07 GAYAZA-KALERWE'!D24,'25.07 GAYAZA-KALERWE'!D24,'26.07 GAYAZA-KALERWE-24h'!D24,'27.07 GAYAZA-KALERWE-24h'!D24,'28.07 GAYAZA-KALERWE'!D24)</f>
        <v>9.4285714285714288</v>
      </c>
      <c r="E24" s="49">
        <f>AVERAGE('22.07 GAYAZA-KALERWE'!E24,'23.07 GAYAZA-KALERWE'!E24,'24.07 GAYAZA-KALERWE'!E24,'25.07 GAYAZA-KALERWE'!E24,'26.07 GAYAZA-KALERWE-24h'!E24,'27.07 GAYAZA-KALERWE-24h'!E24,'28.07 GAYAZA-KALERWE'!E24)</f>
        <v>7.8571428571428568</v>
      </c>
      <c r="F24" s="49">
        <f>AVERAGE('22.07 GAYAZA-KALERWE'!F24,'23.07 GAYAZA-KALERWE'!F24,'24.07 GAYAZA-KALERWE'!F24,'25.07 GAYAZA-KALERWE'!F24,'26.07 GAYAZA-KALERWE-24h'!F24,'27.07 GAYAZA-KALERWE-24h'!F24,'28.07 GAYAZA-KALERWE'!F24)</f>
        <v>54.142857142857146</v>
      </c>
      <c r="G24" s="49">
        <f>AVERAGE('22.07 GAYAZA-KALERWE'!G24,'23.07 GAYAZA-KALERWE'!G24,'24.07 GAYAZA-KALERWE'!G24,'25.07 GAYAZA-KALERWE'!G24,'26.07 GAYAZA-KALERWE-24h'!G24,'27.07 GAYAZA-KALERWE-24h'!G24,'28.07 GAYAZA-KALERWE'!G24)</f>
        <v>0.5714285714285714</v>
      </c>
      <c r="H24" s="49">
        <f>AVERAGE('22.07 GAYAZA-KALERWE'!H24,'23.07 GAYAZA-KALERWE'!H24,'24.07 GAYAZA-KALERWE'!H24,'25.07 GAYAZA-KALERWE'!H24,'26.07 GAYAZA-KALERWE-24h'!H24,'27.07 GAYAZA-KALERWE-24h'!H24,'28.07 GAYAZA-KALERWE'!H24)</f>
        <v>0.2857142857142857</v>
      </c>
      <c r="I24" s="49">
        <f>AVERAGE('22.07 GAYAZA-KALERWE'!I24,'23.07 GAYAZA-KALERWE'!I24,'24.07 GAYAZA-KALERWE'!I24,'25.07 GAYAZA-KALERWE'!I24,'26.07 GAYAZA-KALERWE-24h'!I24,'27.07 GAYAZA-KALERWE-24h'!I24,'28.07 GAYAZA-KALERWE'!I24)</f>
        <v>9.4285714285714288</v>
      </c>
      <c r="J24" s="49">
        <f>AVERAGE('22.07 GAYAZA-KALERWE'!J24,'23.07 GAYAZA-KALERWE'!J24,'24.07 GAYAZA-KALERWE'!J24,'25.07 GAYAZA-KALERWE'!J24,'26.07 GAYAZA-KALERWE-24h'!J24,'27.07 GAYAZA-KALERWE-24h'!J24,'28.07 GAYAZA-KALERWE'!J24)</f>
        <v>5.5714285714285712</v>
      </c>
      <c r="K24" s="49">
        <f>AVERAGE('22.07 GAYAZA-KALERWE'!K24,'23.07 GAYAZA-KALERWE'!K24,'24.07 GAYAZA-KALERWE'!K24,'25.07 GAYAZA-KALERWE'!K24,'26.07 GAYAZA-KALERWE-24h'!K24,'27.07 GAYAZA-KALERWE-24h'!K24,'28.07 GAYAZA-KALERWE'!K24)</f>
        <v>2.8571428571428572</v>
      </c>
      <c r="L24" s="49">
        <f>AVERAGE('22.07 GAYAZA-KALERWE'!L24,'23.07 GAYAZA-KALERWE'!L24,'24.07 GAYAZA-KALERWE'!L24,'25.07 GAYAZA-KALERWE'!L24,'26.07 GAYAZA-KALERWE-24h'!L24,'27.07 GAYAZA-KALERWE-24h'!L24,'28.07 GAYAZA-KALERWE'!L24)</f>
        <v>2.1428571428571428</v>
      </c>
      <c r="M24" s="49">
        <f>AVERAGE('22.07 GAYAZA-KALERWE'!M24,'23.07 GAYAZA-KALERWE'!M24,'24.07 GAYAZA-KALERWE'!M24,'25.07 GAYAZA-KALERWE'!M24,'26.07 GAYAZA-KALERWE-24h'!M24,'27.07 GAYAZA-KALERWE-24h'!M24,'28.07 GAYAZA-KALERWE'!M24)</f>
        <v>204.57142857142858</v>
      </c>
      <c r="N24" s="49">
        <f>AVERAGE('22.07 GAYAZA-KALERWE'!N24,'23.07 GAYAZA-KALERWE'!N24,'24.07 GAYAZA-KALERWE'!N24,'25.07 GAYAZA-KALERWE'!N24,'26.07 GAYAZA-KALERWE-24h'!N24,'27.07 GAYAZA-KALERWE-24h'!N24,'28.07 GAYAZA-KALERWE'!N24)</f>
        <v>0</v>
      </c>
      <c r="O24" s="15">
        <f t="shared" si="0"/>
        <v>164</v>
      </c>
      <c r="P24" s="15">
        <f t="shared" si="1"/>
        <v>368.57142857142856</v>
      </c>
      <c r="R24" s="1" t="s">
        <v>148</v>
      </c>
      <c r="S24" s="34">
        <f>SUM(C66:C69)</f>
        <v>160.5</v>
      </c>
      <c r="T24" s="34">
        <f t="shared" ref="T24:AF24" si="16">SUM(D66:D69)</f>
        <v>28.5</v>
      </c>
      <c r="U24" s="34">
        <f t="shared" si="16"/>
        <v>20</v>
      </c>
      <c r="V24" s="34">
        <f t="shared" si="16"/>
        <v>135</v>
      </c>
      <c r="W24" s="34">
        <f t="shared" si="16"/>
        <v>5.5</v>
      </c>
      <c r="X24" s="34">
        <f t="shared" si="16"/>
        <v>0</v>
      </c>
      <c r="Y24" s="34">
        <f t="shared" si="16"/>
        <v>12.5</v>
      </c>
      <c r="Z24" s="34">
        <f t="shared" si="16"/>
        <v>10.5</v>
      </c>
      <c r="AA24" s="34">
        <f t="shared" si="16"/>
        <v>3</v>
      </c>
      <c r="AB24" s="34">
        <f t="shared" si="16"/>
        <v>5</v>
      </c>
      <c r="AC24" s="34">
        <f t="shared" si="16"/>
        <v>757</v>
      </c>
      <c r="AD24" s="34">
        <f t="shared" si="16"/>
        <v>0</v>
      </c>
      <c r="AE24" s="31">
        <f t="shared" si="16"/>
        <v>380.5</v>
      </c>
      <c r="AF24" s="31">
        <f t="shared" si="16"/>
        <v>1137.5</v>
      </c>
    </row>
    <row r="25" spans="2:32" ht="23.1" customHeight="1" x14ac:dyDescent="0.25">
      <c r="B25" s="23" t="s">
        <v>52</v>
      </c>
      <c r="C25" s="49">
        <f>AVERAGE('22.07 GAYAZA-KALERWE'!C25,'23.07 GAYAZA-KALERWE'!C25,'24.07 GAYAZA-KALERWE'!C25,'25.07 GAYAZA-KALERWE'!C25,'26.07 GAYAZA-KALERWE-24h'!C25,'27.07 GAYAZA-KALERWE-24h'!C25,'28.07 GAYAZA-KALERWE'!C25)</f>
        <v>65.428571428571431</v>
      </c>
      <c r="D25" s="49">
        <f>AVERAGE('22.07 GAYAZA-KALERWE'!D25,'23.07 GAYAZA-KALERWE'!D25,'24.07 GAYAZA-KALERWE'!D25,'25.07 GAYAZA-KALERWE'!D25,'26.07 GAYAZA-KALERWE-24h'!D25,'27.07 GAYAZA-KALERWE-24h'!D25,'28.07 GAYAZA-KALERWE'!D25)</f>
        <v>7.2857142857142856</v>
      </c>
      <c r="E25" s="49">
        <f>AVERAGE('22.07 GAYAZA-KALERWE'!E25,'23.07 GAYAZA-KALERWE'!E25,'24.07 GAYAZA-KALERWE'!E25,'25.07 GAYAZA-KALERWE'!E25,'26.07 GAYAZA-KALERWE-24h'!E25,'27.07 GAYAZA-KALERWE-24h'!E25,'28.07 GAYAZA-KALERWE'!E25)</f>
        <v>6.4285714285714288</v>
      </c>
      <c r="F25" s="49">
        <f>AVERAGE('22.07 GAYAZA-KALERWE'!F25,'23.07 GAYAZA-KALERWE'!F25,'24.07 GAYAZA-KALERWE'!F25,'25.07 GAYAZA-KALERWE'!F25,'26.07 GAYAZA-KALERWE-24h'!F25,'27.07 GAYAZA-KALERWE-24h'!F25,'28.07 GAYAZA-KALERWE'!F25)</f>
        <v>61.714285714285715</v>
      </c>
      <c r="G25" s="49">
        <f>AVERAGE('22.07 GAYAZA-KALERWE'!G25,'23.07 GAYAZA-KALERWE'!G25,'24.07 GAYAZA-KALERWE'!G25,'25.07 GAYAZA-KALERWE'!G25,'26.07 GAYAZA-KALERWE-24h'!G25,'27.07 GAYAZA-KALERWE-24h'!G25,'28.07 GAYAZA-KALERWE'!G25)</f>
        <v>0.7142857142857143</v>
      </c>
      <c r="H25" s="49">
        <f>AVERAGE('22.07 GAYAZA-KALERWE'!H25,'23.07 GAYAZA-KALERWE'!H25,'24.07 GAYAZA-KALERWE'!H25,'25.07 GAYAZA-KALERWE'!H25,'26.07 GAYAZA-KALERWE-24h'!H25,'27.07 GAYAZA-KALERWE-24h'!H25,'28.07 GAYAZA-KALERWE'!H25)</f>
        <v>0.2857142857142857</v>
      </c>
      <c r="I25" s="49">
        <f>AVERAGE('22.07 GAYAZA-KALERWE'!I25,'23.07 GAYAZA-KALERWE'!I25,'24.07 GAYAZA-KALERWE'!I25,'25.07 GAYAZA-KALERWE'!I25,'26.07 GAYAZA-KALERWE-24h'!I25,'27.07 GAYAZA-KALERWE-24h'!I25,'28.07 GAYAZA-KALERWE'!I25)</f>
        <v>7.8571428571428568</v>
      </c>
      <c r="J25" s="49">
        <f>AVERAGE('22.07 GAYAZA-KALERWE'!J25,'23.07 GAYAZA-KALERWE'!J25,'24.07 GAYAZA-KALERWE'!J25,'25.07 GAYAZA-KALERWE'!J25,'26.07 GAYAZA-KALERWE-24h'!J25,'27.07 GAYAZA-KALERWE-24h'!J25,'28.07 GAYAZA-KALERWE'!J25)</f>
        <v>6.7142857142857144</v>
      </c>
      <c r="K25" s="49">
        <f>AVERAGE('22.07 GAYAZA-KALERWE'!K25,'23.07 GAYAZA-KALERWE'!K25,'24.07 GAYAZA-KALERWE'!K25,'25.07 GAYAZA-KALERWE'!K25,'26.07 GAYAZA-KALERWE-24h'!K25,'27.07 GAYAZA-KALERWE-24h'!K25,'28.07 GAYAZA-KALERWE'!K25)</f>
        <v>3.1428571428571428</v>
      </c>
      <c r="L25" s="49">
        <f>AVERAGE('22.07 GAYAZA-KALERWE'!L25,'23.07 GAYAZA-KALERWE'!L25,'24.07 GAYAZA-KALERWE'!L25,'25.07 GAYAZA-KALERWE'!L25,'26.07 GAYAZA-KALERWE-24h'!L25,'27.07 GAYAZA-KALERWE-24h'!L25,'28.07 GAYAZA-KALERWE'!L25)</f>
        <v>1.1428571428571428</v>
      </c>
      <c r="M25" s="49">
        <f>AVERAGE('22.07 GAYAZA-KALERWE'!M25,'23.07 GAYAZA-KALERWE'!M25,'24.07 GAYAZA-KALERWE'!M25,'25.07 GAYAZA-KALERWE'!M25,'26.07 GAYAZA-KALERWE-24h'!M25,'27.07 GAYAZA-KALERWE-24h'!M25,'28.07 GAYAZA-KALERWE'!M25)</f>
        <v>164.42857142857142</v>
      </c>
      <c r="N25" s="49">
        <f>AVERAGE('22.07 GAYAZA-KALERWE'!N25,'23.07 GAYAZA-KALERWE'!N25,'24.07 GAYAZA-KALERWE'!N25,'25.07 GAYAZA-KALERWE'!N25,'26.07 GAYAZA-KALERWE-24h'!N25,'27.07 GAYAZA-KALERWE-24h'!N25,'28.07 GAYAZA-KALERWE'!N25)</f>
        <v>0</v>
      </c>
      <c r="O25" s="15">
        <f t="shared" si="0"/>
        <v>160.71428571428572</v>
      </c>
      <c r="P25" s="15">
        <f t="shared" si="1"/>
        <v>325.14285714285711</v>
      </c>
      <c r="R25" s="1" t="s">
        <v>149</v>
      </c>
      <c r="S25" s="34">
        <f>SUM(C70:C73)</f>
        <v>140</v>
      </c>
      <c r="T25" s="34">
        <f t="shared" ref="T25:AF25" si="17">SUM(D70:D73)</f>
        <v>31</v>
      </c>
      <c r="U25" s="34">
        <f t="shared" si="17"/>
        <v>17</v>
      </c>
      <c r="V25" s="34">
        <f t="shared" si="17"/>
        <v>109.5</v>
      </c>
      <c r="W25" s="34">
        <f t="shared" si="17"/>
        <v>2</v>
      </c>
      <c r="X25" s="34">
        <f t="shared" si="17"/>
        <v>1.5</v>
      </c>
      <c r="Y25" s="34">
        <f t="shared" si="17"/>
        <v>24</v>
      </c>
      <c r="Z25" s="34">
        <f t="shared" si="17"/>
        <v>15</v>
      </c>
      <c r="AA25" s="34">
        <f t="shared" si="17"/>
        <v>7.5</v>
      </c>
      <c r="AB25" s="34">
        <f t="shared" si="17"/>
        <v>2</v>
      </c>
      <c r="AC25" s="34">
        <f t="shared" si="17"/>
        <v>649.5</v>
      </c>
      <c r="AD25" s="34">
        <f t="shared" si="17"/>
        <v>0</v>
      </c>
      <c r="AE25" s="31">
        <f t="shared" si="17"/>
        <v>349.5</v>
      </c>
      <c r="AF25" s="31">
        <f t="shared" si="17"/>
        <v>999</v>
      </c>
    </row>
    <row r="26" spans="2:32" ht="23.1" customHeight="1" x14ac:dyDescent="0.25">
      <c r="B26" s="23" t="s">
        <v>53</v>
      </c>
      <c r="C26" s="49">
        <f>AVERAGE('22.07 GAYAZA-KALERWE'!C26,'23.07 GAYAZA-KALERWE'!C26,'24.07 GAYAZA-KALERWE'!C26,'25.07 GAYAZA-KALERWE'!C26,'26.07 GAYAZA-KALERWE-24h'!C26,'27.07 GAYAZA-KALERWE-24h'!C26,'28.07 GAYAZA-KALERWE'!C26)</f>
        <v>60.142857142857146</v>
      </c>
      <c r="D26" s="49">
        <f>AVERAGE('22.07 GAYAZA-KALERWE'!D26,'23.07 GAYAZA-KALERWE'!D26,'24.07 GAYAZA-KALERWE'!D26,'25.07 GAYAZA-KALERWE'!D26,'26.07 GAYAZA-KALERWE-24h'!D26,'27.07 GAYAZA-KALERWE-24h'!D26,'28.07 GAYAZA-KALERWE'!D26)</f>
        <v>12.142857142857142</v>
      </c>
      <c r="E26" s="49">
        <f>AVERAGE('22.07 GAYAZA-KALERWE'!E26,'23.07 GAYAZA-KALERWE'!E26,'24.07 GAYAZA-KALERWE'!E26,'25.07 GAYAZA-KALERWE'!E26,'26.07 GAYAZA-KALERWE-24h'!E26,'27.07 GAYAZA-KALERWE-24h'!E26,'28.07 GAYAZA-KALERWE'!E26)</f>
        <v>10.714285714285714</v>
      </c>
      <c r="F26" s="49">
        <f>AVERAGE('22.07 GAYAZA-KALERWE'!F26,'23.07 GAYAZA-KALERWE'!F26,'24.07 GAYAZA-KALERWE'!F26,'25.07 GAYAZA-KALERWE'!F26,'26.07 GAYAZA-KALERWE-24h'!F26,'27.07 GAYAZA-KALERWE-24h'!F26,'28.07 GAYAZA-KALERWE'!F26)</f>
        <v>60.285714285714285</v>
      </c>
      <c r="G26" s="49">
        <f>AVERAGE('22.07 GAYAZA-KALERWE'!G26,'23.07 GAYAZA-KALERWE'!G26,'24.07 GAYAZA-KALERWE'!G26,'25.07 GAYAZA-KALERWE'!G26,'26.07 GAYAZA-KALERWE-24h'!G26,'27.07 GAYAZA-KALERWE-24h'!G26,'28.07 GAYAZA-KALERWE'!G26)</f>
        <v>0.14285714285714285</v>
      </c>
      <c r="H26" s="49">
        <f>AVERAGE('22.07 GAYAZA-KALERWE'!H26,'23.07 GAYAZA-KALERWE'!H26,'24.07 GAYAZA-KALERWE'!H26,'25.07 GAYAZA-KALERWE'!H26,'26.07 GAYAZA-KALERWE-24h'!H26,'27.07 GAYAZA-KALERWE-24h'!H26,'28.07 GAYAZA-KALERWE'!H26)</f>
        <v>0.8571428571428571</v>
      </c>
      <c r="I26" s="49">
        <f>AVERAGE('22.07 GAYAZA-KALERWE'!I26,'23.07 GAYAZA-KALERWE'!I26,'24.07 GAYAZA-KALERWE'!I26,'25.07 GAYAZA-KALERWE'!I26,'26.07 GAYAZA-KALERWE-24h'!I26,'27.07 GAYAZA-KALERWE-24h'!I26,'28.07 GAYAZA-KALERWE'!I26)</f>
        <v>6.8571428571428568</v>
      </c>
      <c r="J26" s="49">
        <f>AVERAGE('22.07 GAYAZA-KALERWE'!J26,'23.07 GAYAZA-KALERWE'!J26,'24.07 GAYAZA-KALERWE'!J26,'25.07 GAYAZA-KALERWE'!J26,'26.07 GAYAZA-KALERWE-24h'!J26,'27.07 GAYAZA-KALERWE-24h'!J26,'28.07 GAYAZA-KALERWE'!J26)</f>
        <v>4.8571428571428568</v>
      </c>
      <c r="K26" s="49">
        <f>AVERAGE('22.07 GAYAZA-KALERWE'!K26,'23.07 GAYAZA-KALERWE'!K26,'24.07 GAYAZA-KALERWE'!K26,'25.07 GAYAZA-KALERWE'!K26,'26.07 GAYAZA-KALERWE-24h'!K26,'27.07 GAYAZA-KALERWE-24h'!K26,'28.07 GAYAZA-KALERWE'!K26)</f>
        <v>2.8571428571428572</v>
      </c>
      <c r="L26" s="49">
        <f>AVERAGE('22.07 GAYAZA-KALERWE'!L26,'23.07 GAYAZA-KALERWE'!L26,'24.07 GAYAZA-KALERWE'!L26,'25.07 GAYAZA-KALERWE'!L26,'26.07 GAYAZA-KALERWE-24h'!L26,'27.07 GAYAZA-KALERWE-24h'!L26,'28.07 GAYAZA-KALERWE'!L26)</f>
        <v>0.7142857142857143</v>
      </c>
      <c r="M26" s="49">
        <f>AVERAGE('22.07 GAYAZA-KALERWE'!M26,'23.07 GAYAZA-KALERWE'!M26,'24.07 GAYAZA-KALERWE'!M26,'25.07 GAYAZA-KALERWE'!M26,'26.07 GAYAZA-KALERWE-24h'!M26,'27.07 GAYAZA-KALERWE-24h'!M26,'28.07 GAYAZA-KALERWE'!M26)</f>
        <v>167.28571428571428</v>
      </c>
      <c r="N26" s="49">
        <f>AVERAGE('22.07 GAYAZA-KALERWE'!N26,'23.07 GAYAZA-KALERWE'!N26,'24.07 GAYAZA-KALERWE'!N26,'25.07 GAYAZA-KALERWE'!N26,'26.07 GAYAZA-KALERWE-24h'!N26,'27.07 GAYAZA-KALERWE-24h'!N26,'28.07 GAYAZA-KALERWE'!N26)</f>
        <v>0</v>
      </c>
      <c r="O26" s="15">
        <f t="shared" si="0"/>
        <v>159.57142857142858</v>
      </c>
      <c r="P26" s="15">
        <f t="shared" si="1"/>
        <v>326.85714285714289</v>
      </c>
      <c r="R26" s="1" t="s">
        <v>150</v>
      </c>
      <c r="S26" s="34">
        <f>SUM(C74:C77)</f>
        <v>132.5</v>
      </c>
      <c r="T26" s="34">
        <f t="shared" ref="T26:AF26" si="18">SUM(D74:D77)</f>
        <v>19.5</v>
      </c>
      <c r="U26" s="34">
        <f t="shared" si="18"/>
        <v>15</v>
      </c>
      <c r="V26" s="34">
        <f t="shared" si="18"/>
        <v>54</v>
      </c>
      <c r="W26" s="34">
        <f t="shared" si="18"/>
        <v>1</v>
      </c>
      <c r="X26" s="34">
        <f t="shared" si="18"/>
        <v>0</v>
      </c>
      <c r="Y26" s="34">
        <f t="shared" si="18"/>
        <v>16</v>
      </c>
      <c r="Z26" s="34">
        <f t="shared" si="18"/>
        <v>15</v>
      </c>
      <c r="AA26" s="34">
        <f t="shared" si="18"/>
        <v>5.5</v>
      </c>
      <c r="AB26" s="34">
        <f t="shared" si="18"/>
        <v>1.5</v>
      </c>
      <c r="AC26" s="34">
        <f t="shared" si="18"/>
        <v>412</v>
      </c>
      <c r="AD26" s="34">
        <f t="shared" si="18"/>
        <v>0</v>
      </c>
      <c r="AE26" s="31">
        <f t="shared" si="18"/>
        <v>260</v>
      </c>
      <c r="AF26" s="31">
        <f t="shared" si="18"/>
        <v>672</v>
      </c>
    </row>
    <row r="27" spans="2:32" ht="23.1" customHeight="1" x14ac:dyDescent="0.25">
      <c r="B27" s="23" t="s">
        <v>54</v>
      </c>
      <c r="C27" s="49">
        <f>AVERAGE('22.07 GAYAZA-KALERWE'!C27,'23.07 GAYAZA-KALERWE'!C27,'24.07 GAYAZA-KALERWE'!C27,'25.07 GAYAZA-KALERWE'!C27,'26.07 GAYAZA-KALERWE-24h'!C27,'27.07 GAYAZA-KALERWE-24h'!C27,'28.07 GAYAZA-KALERWE'!C27)</f>
        <v>57.142857142857146</v>
      </c>
      <c r="D27" s="49">
        <f>AVERAGE('22.07 GAYAZA-KALERWE'!D27,'23.07 GAYAZA-KALERWE'!D27,'24.07 GAYAZA-KALERWE'!D27,'25.07 GAYAZA-KALERWE'!D27,'26.07 GAYAZA-KALERWE-24h'!D27,'27.07 GAYAZA-KALERWE-24h'!D27,'28.07 GAYAZA-KALERWE'!D27)</f>
        <v>11.142857142857142</v>
      </c>
      <c r="E27" s="49">
        <f>AVERAGE('22.07 GAYAZA-KALERWE'!E27,'23.07 GAYAZA-KALERWE'!E27,'24.07 GAYAZA-KALERWE'!E27,'25.07 GAYAZA-KALERWE'!E27,'26.07 GAYAZA-KALERWE-24h'!E27,'27.07 GAYAZA-KALERWE-24h'!E27,'28.07 GAYAZA-KALERWE'!E27)</f>
        <v>7.2857142857142856</v>
      </c>
      <c r="F27" s="49">
        <f>AVERAGE('22.07 GAYAZA-KALERWE'!F27,'23.07 GAYAZA-KALERWE'!F27,'24.07 GAYAZA-KALERWE'!F27,'25.07 GAYAZA-KALERWE'!F27,'26.07 GAYAZA-KALERWE-24h'!F27,'27.07 GAYAZA-KALERWE-24h'!F27,'28.07 GAYAZA-KALERWE'!F27)</f>
        <v>44.285714285714285</v>
      </c>
      <c r="G27" s="49">
        <f>AVERAGE('22.07 GAYAZA-KALERWE'!G27,'23.07 GAYAZA-KALERWE'!G27,'24.07 GAYAZA-KALERWE'!G27,'25.07 GAYAZA-KALERWE'!G27,'26.07 GAYAZA-KALERWE-24h'!G27,'27.07 GAYAZA-KALERWE-24h'!G27,'28.07 GAYAZA-KALERWE'!G27)</f>
        <v>0.2857142857142857</v>
      </c>
      <c r="H27" s="49">
        <f>AVERAGE('22.07 GAYAZA-KALERWE'!H27,'23.07 GAYAZA-KALERWE'!H27,'24.07 GAYAZA-KALERWE'!H27,'25.07 GAYAZA-KALERWE'!H27,'26.07 GAYAZA-KALERWE-24h'!H27,'27.07 GAYAZA-KALERWE-24h'!H27,'28.07 GAYAZA-KALERWE'!H27)</f>
        <v>0.8571428571428571</v>
      </c>
      <c r="I27" s="49">
        <f>AVERAGE('22.07 GAYAZA-KALERWE'!I27,'23.07 GAYAZA-KALERWE'!I27,'24.07 GAYAZA-KALERWE'!I27,'25.07 GAYAZA-KALERWE'!I27,'26.07 GAYAZA-KALERWE-24h'!I27,'27.07 GAYAZA-KALERWE-24h'!I27,'28.07 GAYAZA-KALERWE'!I27)</f>
        <v>5.4285714285714288</v>
      </c>
      <c r="J27" s="49">
        <f>AVERAGE('22.07 GAYAZA-KALERWE'!J27,'23.07 GAYAZA-KALERWE'!J27,'24.07 GAYAZA-KALERWE'!J27,'25.07 GAYAZA-KALERWE'!J27,'26.07 GAYAZA-KALERWE-24h'!J27,'27.07 GAYAZA-KALERWE-24h'!J27,'28.07 GAYAZA-KALERWE'!J27)</f>
        <v>5</v>
      </c>
      <c r="K27" s="49">
        <f>AVERAGE('22.07 GAYAZA-KALERWE'!K27,'23.07 GAYAZA-KALERWE'!K27,'24.07 GAYAZA-KALERWE'!K27,'25.07 GAYAZA-KALERWE'!K27,'26.07 GAYAZA-KALERWE-24h'!K27,'27.07 GAYAZA-KALERWE-24h'!K27,'28.07 GAYAZA-KALERWE'!K27)</f>
        <v>3</v>
      </c>
      <c r="L27" s="49">
        <f>AVERAGE('22.07 GAYAZA-KALERWE'!L27,'23.07 GAYAZA-KALERWE'!L27,'24.07 GAYAZA-KALERWE'!L27,'25.07 GAYAZA-KALERWE'!L27,'26.07 GAYAZA-KALERWE-24h'!L27,'27.07 GAYAZA-KALERWE-24h'!L27,'28.07 GAYAZA-KALERWE'!L27)</f>
        <v>1.8571428571428572</v>
      </c>
      <c r="M27" s="49">
        <f>AVERAGE('22.07 GAYAZA-KALERWE'!M27,'23.07 GAYAZA-KALERWE'!M27,'24.07 GAYAZA-KALERWE'!M27,'25.07 GAYAZA-KALERWE'!M27,'26.07 GAYAZA-KALERWE-24h'!M27,'27.07 GAYAZA-KALERWE-24h'!M27,'28.07 GAYAZA-KALERWE'!M27)</f>
        <v>136.42857142857142</v>
      </c>
      <c r="N27" s="49">
        <f>AVERAGE('22.07 GAYAZA-KALERWE'!N27,'23.07 GAYAZA-KALERWE'!N27,'24.07 GAYAZA-KALERWE'!N27,'25.07 GAYAZA-KALERWE'!N27,'26.07 GAYAZA-KALERWE-24h'!N27,'27.07 GAYAZA-KALERWE-24h'!N27,'28.07 GAYAZA-KALERWE'!N27)</f>
        <v>0</v>
      </c>
      <c r="O27" s="15">
        <f t="shared" si="0"/>
        <v>136.28571428571431</v>
      </c>
      <c r="P27" s="15">
        <f t="shared" si="1"/>
        <v>272.71428571428572</v>
      </c>
      <c r="R27" s="1" t="s">
        <v>151</v>
      </c>
      <c r="S27" s="34">
        <f>SUM(C78:C81)</f>
        <v>34.5</v>
      </c>
      <c r="T27" s="34">
        <f t="shared" ref="T27:AF27" si="19">SUM(D78:D81)</f>
        <v>7.5</v>
      </c>
      <c r="U27" s="34">
        <f t="shared" si="19"/>
        <v>5.5</v>
      </c>
      <c r="V27" s="34">
        <f t="shared" si="19"/>
        <v>21</v>
      </c>
      <c r="W27" s="34">
        <f t="shared" si="19"/>
        <v>0.5</v>
      </c>
      <c r="X27" s="34">
        <f t="shared" si="19"/>
        <v>0</v>
      </c>
      <c r="Y27" s="34">
        <f t="shared" si="19"/>
        <v>6.5</v>
      </c>
      <c r="Z27" s="34">
        <f t="shared" si="19"/>
        <v>5.5</v>
      </c>
      <c r="AA27" s="34">
        <f t="shared" si="19"/>
        <v>1.5</v>
      </c>
      <c r="AB27" s="34">
        <f t="shared" si="19"/>
        <v>0.5</v>
      </c>
      <c r="AC27" s="34">
        <f t="shared" si="19"/>
        <v>224.5</v>
      </c>
      <c r="AD27" s="34">
        <f t="shared" si="19"/>
        <v>0</v>
      </c>
      <c r="AE27" s="31">
        <f t="shared" si="19"/>
        <v>83</v>
      </c>
      <c r="AF27" s="31">
        <f t="shared" si="19"/>
        <v>307.5</v>
      </c>
    </row>
    <row r="28" spans="2:32" ht="23.1" customHeight="1" x14ac:dyDescent="0.25">
      <c r="B28" s="23" t="s">
        <v>55</v>
      </c>
      <c r="C28" s="49">
        <f>AVERAGE('22.07 GAYAZA-KALERWE'!C28,'23.07 GAYAZA-KALERWE'!C28,'24.07 GAYAZA-KALERWE'!C28,'25.07 GAYAZA-KALERWE'!C28,'26.07 GAYAZA-KALERWE-24h'!C28,'27.07 GAYAZA-KALERWE-24h'!C28,'28.07 GAYAZA-KALERWE'!C28)</f>
        <v>63.428571428571431</v>
      </c>
      <c r="D28" s="49">
        <f>AVERAGE('22.07 GAYAZA-KALERWE'!D28,'23.07 GAYAZA-KALERWE'!D28,'24.07 GAYAZA-KALERWE'!D28,'25.07 GAYAZA-KALERWE'!D28,'26.07 GAYAZA-KALERWE-24h'!D28,'27.07 GAYAZA-KALERWE-24h'!D28,'28.07 GAYAZA-KALERWE'!D28)</f>
        <v>8.2857142857142865</v>
      </c>
      <c r="E28" s="49">
        <f>AVERAGE('22.07 GAYAZA-KALERWE'!E28,'23.07 GAYAZA-KALERWE'!E28,'24.07 GAYAZA-KALERWE'!E28,'25.07 GAYAZA-KALERWE'!E28,'26.07 GAYAZA-KALERWE-24h'!E28,'27.07 GAYAZA-KALERWE-24h'!E28,'28.07 GAYAZA-KALERWE'!E28)</f>
        <v>6</v>
      </c>
      <c r="F28" s="49">
        <f>AVERAGE('22.07 GAYAZA-KALERWE'!F28,'23.07 GAYAZA-KALERWE'!F28,'24.07 GAYAZA-KALERWE'!F28,'25.07 GAYAZA-KALERWE'!F28,'26.07 GAYAZA-KALERWE-24h'!F28,'27.07 GAYAZA-KALERWE-24h'!F28,'28.07 GAYAZA-KALERWE'!F28)</f>
        <v>48.571428571428569</v>
      </c>
      <c r="G28" s="49">
        <f>AVERAGE('22.07 GAYAZA-KALERWE'!G28,'23.07 GAYAZA-KALERWE'!G28,'24.07 GAYAZA-KALERWE'!G28,'25.07 GAYAZA-KALERWE'!G28,'26.07 GAYAZA-KALERWE-24h'!G28,'27.07 GAYAZA-KALERWE-24h'!G28,'28.07 GAYAZA-KALERWE'!G28)</f>
        <v>0.8571428571428571</v>
      </c>
      <c r="H28" s="49">
        <f>AVERAGE('22.07 GAYAZA-KALERWE'!H28,'23.07 GAYAZA-KALERWE'!H28,'24.07 GAYAZA-KALERWE'!H28,'25.07 GAYAZA-KALERWE'!H28,'26.07 GAYAZA-KALERWE-24h'!H28,'27.07 GAYAZA-KALERWE-24h'!H28,'28.07 GAYAZA-KALERWE'!H28)</f>
        <v>0.5714285714285714</v>
      </c>
      <c r="I28" s="49">
        <f>AVERAGE('22.07 GAYAZA-KALERWE'!I28,'23.07 GAYAZA-KALERWE'!I28,'24.07 GAYAZA-KALERWE'!I28,'25.07 GAYAZA-KALERWE'!I28,'26.07 GAYAZA-KALERWE-24h'!I28,'27.07 GAYAZA-KALERWE-24h'!I28,'28.07 GAYAZA-KALERWE'!I28)</f>
        <v>8</v>
      </c>
      <c r="J28" s="49">
        <f>AVERAGE('22.07 GAYAZA-KALERWE'!J28,'23.07 GAYAZA-KALERWE'!J28,'24.07 GAYAZA-KALERWE'!J28,'25.07 GAYAZA-KALERWE'!J28,'26.07 GAYAZA-KALERWE-24h'!J28,'27.07 GAYAZA-KALERWE-24h'!J28,'28.07 GAYAZA-KALERWE'!J28)</f>
        <v>4.8571428571428568</v>
      </c>
      <c r="K28" s="49">
        <f>AVERAGE('22.07 GAYAZA-KALERWE'!K28,'23.07 GAYAZA-KALERWE'!K28,'24.07 GAYAZA-KALERWE'!K28,'25.07 GAYAZA-KALERWE'!K28,'26.07 GAYAZA-KALERWE-24h'!K28,'27.07 GAYAZA-KALERWE-24h'!K28,'28.07 GAYAZA-KALERWE'!K28)</f>
        <v>2.7142857142857144</v>
      </c>
      <c r="L28" s="49">
        <f>AVERAGE('22.07 GAYAZA-KALERWE'!L28,'23.07 GAYAZA-KALERWE'!L28,'24.07 GAYAZA-KALERWE'!L28,'25.07 GAYAZA-KALERWE'!L28,'26.07 GAYAZA-KALERWE-24h'!L28,'27.07 GAYAZA-KALERWE-24h'!L28,'28.07 GAYAZA-KALERWE'!L28)</f>
        <v>1</v>
      </c>
      <c r="M28" s="49">
        <f>AVERAGE('22.07 GAYAZA-KALERWE'!M28,'23.07 GAYAZA-KALERWE'!M28,'24.07 GAYAZA-KALERWE'!M28,'25.07 GAYAZA-KALERWE'!M28,'26.07 GAYAZA-KALERWE-24h'!M28,'27.07 GAYAZA-KALERWE-24h'!M28,'28.07 GAYAZA-KALERWE'!M28)</f>
        <v>158.28571428571428</v>
      </c>
      <c r="N28" s="49">
        <f>AVERAGE('22.07 GAYAZA-KALERWE'!N28,'23.07 GAYAZA-KALERWE'!N28,'24.07 GAYAZA-KALERWE'!N28,'25.07 GAYAZA-KALERWE'!N28,'26.07 GAYAZA-KALERWE-24h'!N28,'27.07 GAYAZA-KALERWE-24h'!N28,'28.07 GAYAZA-KALERWE'!N28)</f>
        <v>0</v>
      </c>
      <c r="O28" s="15">
        <f t="shared" si="0"/>
        <v>144.28571428571431</v>
      </c>
      <c r="P28" s="15">
        <f t="shared" si="1"/>
        <v>302.57142857142856</v>
      </c>
      <c r="R28" s="1" t="s">
        <v>152</v>
      </c>
      <c r="S28" s="34">
        <f>SUM(C82:C85)</f>
        <v>32</v>
      </c>
      <c r="T28" s="34">
        <f t="shared" ref="T28:AF28" si="20">SUM(D82:D85)</f>
        <v>7</v>
      </c>
      <c r="U28" s="34">
        <f t="shared" si="20"/>
        <v>5.5</v>
      </c>
      <c r="V28" s="34">
        <f t="shared" si="20"/>
        <v>11</v>
      </c>
      <c r="W28" s="34">
        <f t="shared" si="20"/>
        <v>0.5</v>
      </c>
      <c r="X28" s="34">
        <f t="shared" si="20"/>
        <v>0</v>
      </c>
      <c r="Y28" s="34">
        <f t="shared" si="20"/>
        <v>2</v>
      </c>
      <c r="Z28" s="34">
        <f t="shared" si="20"/>
        <v>5.5</v>
      </c>
      <c r="AA28" s="34">
        <f t="shared" si="20"/>
        <v>2.5</v>
      </c>
      <c r="AB28" s="34">
        <f t="shared" si="20"/>
        <v>0</v>
      </c>
      <c r="AC28" s="34">
        <f t="shared" si="20"/>
        <v>166</v>
      </c>
      <c r="AD28" s="34">
        <f t="shared" si="20"/>
        <v>0</v>
      </c>
      <c r="AE28" s="31">
        <f t="shared" si="20"/>
        <v>66</v>
      </c>
      <c r="AF28" s="31">
        <f t="shared" si="20"/>
        <v>232</v>
      </c>
    </row>
    <row r="29" spans="2:32" ht="23.1" customHeight="1" x14ac:dyDescent="0.25">
      <c r="B29" s="23" t="s">
        <v>56</v>
      </c>
      <c r="C29" s="49">
        <f>AVERAGE('22.07 GAYAZA-KALERWE'!C29,'23.07 GAYAZA-KALERWE'!C29,'24.07 GAYAZA-KALERWE'!C29,'25.07 GAYAZA-KALERWE'!C29,'26.07 GAYAZA-KALERWE-24h'!C29,'27.07 GAYAZA-KALERWE-24h'!C29,'28.07 GAYAZA-KALERWE'!C29)</f>
        <v>64.142857142857139</v>
      </c>
      <c r="D29" s="49">
        <f>AVERAGE('22.07 GAYAZA-KALERWE'!D29,'23.07 GAYAZA-KALERWE'!D29,'24.07 GAYAZA-KALERWE'!D29,'25.07 GAYAZA-KALERWE'!D29,'26.07 GAYAZA-KALERWE-24h'!D29,'27.07 GAYAZA-KALERWE-24h'!D29,'28.07 GAYAZA-KALERWE'!D29)</f>
        <v>8.5714285714285712</v>
      </c>
      <c r="E29" s="49">
        <f>AVERAGE('22.07 GAYAZA-KALERWE'!E29,'23.07 GAYAZA-KALERWE'!E29,'24.07 GAYAZA-KALERWE'!E29,'25.07 GAYAZA-KALERWE'!E29,'26.07 GAYAZA-KALERWE-24h'!E29,'27.07 GAYAZA-KALERWE-24h'!E29,'28.07 GAYAZA-KALERWE'!E29)</f>
        <v>8.4285714285714288</v>
      </c>
      <c r="F29" s="49">
        <f>AVERAGE('22.07 GAYAZA-KALERWE'!F29,'23.07 GAYAZA-KALERWE'!F29,'24.07 GAYAZA-KALERWE'!F29,'25.07 GAYAZA-KALERWE'!F29,'26.07 GAYAZA-KALERWE-24h'!F29,'27.07 GAYAZA-KALERWE-24h'!F29,'28.07 GAYAZA-KALERWE'!F29)</f>
        <v>46.285714285714285</v>
      </c>
      <c r="G29" s="49">
        <f>AVERAGE('22.07 GAYAZA-KALERWE'!G29,'23.07 GAYAZA-KALERWE'!G29,'24.07 GAYAZA-KALERWE'!G29,'25.07 GAYAZA-KALERWE'!G29,'26.07 GAYAZA-KALERWE-24h'!G29,'27.07 GAYAZA-KALERWE-24h'!G29,'28.07 GAYAZA-KALERWE'!G29)</f>
        <v>0.7142857142857143</v>
      </c>
      <c r="H29" s="49">
        <f>AVERAGE('22.07 GAYAZA-KALERWE'!H29,'23.07 GAYAZA-KALERWE'!H29,'24.07 GAYAZA-KALERWE'!H29,'25.07 GAYAZA-KALERWE'!H29,'26.07 GAYAZA-KALERWE-24h'!H29,'27.07 GAYAZA-KALERWE-24h'!H29,'28.07 GAYAZA-KALERWE'!H29)</f>
        <v>0.42857142857142855</v>
      </c>
      <c r="I29" s="49">
        <f>AVERAGE('22.07 GAYAZA-KALERWE'!I29,'23.07 GAYAZA-KALERWE'!I29,'24.07 GAYAZA-KALERWE'!I29,'25.07 GAYAZA-KALERWE'!I29,'26.07 GAYAZA-KALERWE-24h'!I29,'27.07 GAYAZA-KALERWE-24h'!I29,'28.07 GAYAZA-KALERWE'!I29)</f>
        <v>8</v>
      </c>
      <c r="J29" s="49">
        <f>AVERAGE('22.07 GAYAZA-KALERWE'!J29,'23.07 GAYAZA-KALERWE'!J29,'24.07 GAYAZA-KALERWE'!J29,'25.07 GAYAZA-KALERWE'!J29,'26.07 GAYAZA-KALERWE-24h'!J29,'27.07 GAYAZA-KALERWE-24h'!J29,'28.07 GAYAZA-KALERWE'!J29)</f>
        <v>5.4285714285714288</v>
      </c>
      <c r="K29" s="49">
        <f>AVERAGE('22.07 GAYAZA-KALERWE'!K29,'23.07 GAYAZA-KALERWE'!K29,'24.07 GAYAZA-KALERWE'!K29,'25.07 GAYAZA-KALERWE'!K29,'26.07 GAYAZA-KALERWE-24h'!K29,'27.07 GAYAZA-KALERWE-24h'!K29,'28.07 GAYAZA-KALERWE'!K29)</f>
        <v>2.2857142857142856</v>
      </c>
      <c r="L29" s="49">
        <f>AVERAGE('22.07 GAYAZA-KALERWE'!L29,'23.07 GAYAZA-KALERWE'!L29,'24.07 GAYAZA-KALERWE'!L29,'25.07 GAYAZA-KALERWE'!L29,'26.07 GAYAZA-KALERWE-24h'!L29,'27.07 GAYAZA-KALERWE-24h'!L29,'28.07 GAYAZA-KALERWE'!L29)</f>
        <v>1.2857142857142858</v>
      </c>
      <c r="M29" s="49">
        <f>AVERAGE('22.07 GAYAZA-KALERWE'!M29,'23.07 GAYAZA-KALERWE'!M29,'24.07 GAYAZA-KALERWE'!M29,'25.07 GAYAZA-KALERWE'!M29,'26.07 GAYAZA-KALERWE-24h'!M29,'27.07 GAYAZA-KALERWE-24h'!M29,'28.07 GAYAZA-KALERWE'!M29)</f>
        <v>140</v>
      </c>
      <c r="N29" s="49">
        <f>AVERAGE('22.07 GAYAZA-KALERWE'!N29,'23.07 GAYAZA-KALERWE'!N29,'24.07 GAYAZA-KALERWE'!N29,'25.07 GAYAZA-KALERWE'!N29,'26.07 GAYAZA-KALERWE-24h'!N29,'27.07 GAYAZA-KALERWE-24h'!N29,'28.07 GAYAZA-KALERWE'!N29)</f>
        <v>0</v>
      </c>
      <c r="O29" s="15">
        <f t="shared" si="0"/>
        <v>145.57142857142853</v>
      </c>
      <c r="P29" s="15">
        <f t="shared" si="1"/>
        <v>285.57142857142856</v>
      </c>
      <c r="R29" s="1" t="s">
        <v>153</v>
      </c>
      <c r="S29" s="34">
        <f>SUM(C86:C89)</f>
        <v>35.5</v>
      </c>
      <c r="T29" s="34">
        <f t="shared" ref="T29:AF29" si="21">SUM(D86:D89)</f>
        <v>5.5</v>
      </c>
      <c r="U29" s="34">
        <f t="shared" si="21"/>
        <v>6</v>
      </c>
      <c r="V29" s="34">
        <f t="shared" si="21"/>
        <v>6</v>
      </c>
      <c r="W29" s="34">
        <f t="shared" si="21"/>
        <v>0</v>
      </c>
      <c r="X29" s="34">
        <f t="shared" si="21"/>
        <v>0</v>
      </c>
      <c r="Y29" s="34">
        <f t="shared" si="21"/>
        <v>8</v>
      </c>
      <c r="Z29" s="34">
        <f t="shared" si="21"/>
        <v>5</v>
      </c>
      <c r="AA29" s="34">
        <f t="shared" si="21"/>
        <v>1</v>
      </c>
      <c r="AB29" s="34">
        <f t="shared" si="21"/>
        <v>1.5</v>
      </c>
      <c r="AC29" s="34">
        <f t="shared" si="21"/>
        <v>149</v>
      </c>
      <c r="AD29" s="34">
        <f t="shared" si="21"/>
        <v>0</v>
      </c>
      <c r="AE29" s="31">
        <f t="shared" si="21"/>
        <v>68.5</v>
      </c>
      <c r="AF29" s="31">
        <f t="shared" si="21"/>
        <v>217.5</v>
      </c>
    </row>
    <row r="30" spans="2:32" ht="23.1" customHeight="1" x14ac:dyDescent="0.25">
      <c r="B30" s="23" t="s">
        <v>57</v>
      </c>
      <c r="C30" s="49">
        <f>AVERAGE('22.07 GAYAZA-KALERWE'!C30,'23.07 GAYAZA-KALERWE'!C30,'24.07 GAYAZA-KALERWE'!C30,'25.07 GAYAZA-KALERWE'!C30,'26.07 GAYAZA-KALERWE-24h'!C30,'27.07 GAYAZA-KALERWE-24h'!C30,'28.07 GAYAZA-KALERWE'!C30)</f>
        <v>70.571428571428569</v>
      </c>
      <c r="D30" s="49">
        <f>AVERAGE('22.07 GAYAZA-KALERWE'!D30,'23.07 GAYAZA-KALERWE'!D30,'24.07 GAYAZA-KALERWE'!D30,'25.07 GAYAZA-KALERWE'!D30,'26.07 GAYAZA-KALERWE-24h'!D30,'27.07 GAYAZA-KALERWE-24h'!D30,'28.07 GAYAZA-KALERWE'!D30)</f>
        <v>10.857142857142858</v>
      </c>
      <c r="E30" s="49">
        <f>AVERAGE('22.07 GAYAZA-KALERWE'!E30,'23.07 GAYAZA-KALERWE'!E30,'24.07 GAYAZA-KALERWE'!E30,'25.07 GAYAZA-KALERWE'!E30,'26.07 GAYAZA-KALERWE-24h'!E30,'27.07 GAYAZA-KALERWE-24h'!E30,'28.07 GAYAZA-KALERWE'!E30)</f>
        <v>9.5714285714285712</v>
      </c>
      <c r="F30" s="49">
        <f>AVERAGE('22.07 GAYAZA-KALERWE'!F30,'23.07 GAYAZA-KALERWE'!F30,'24.07 GAYAZA-KALERWE'!F30,'25.07 GAYAZA-KALERWE'!F30,'26.07 GAYAZA-KALERWE-24h'!F30,'27.07 GAYAZA-KALERWE-24h'!F30,'28.07 GAYAZA-KALERWE'!F30)</f>
        <v>63</v>
      </c>
      <c r="G30" s="49">
        <f>AVERAGE('22.07 GAYAZA-KALERWE'!G30,'23.07 GAYAZA-KALERWE'!G30,'24.07 GAYAZA-KALERWE'!G30,'25.07 GAYAZA-KALERWE'!G30,'26.07 GAYAZA-KALERWE-24h'!G30,'27.07 GAYAZA-KALERWE-24h'!G30,'28.07 GAYAZA-KALERWE'!G30)</f>
        <v>0.8571428571428571</v>
      </c>
      <c r="H30" s="49">
        <f>AVERAGE('22.07 GAYAZA-KALERWE'!H30,'23.07 GAYAZA-KALERWE'!H30,'24.07 GAYAZA-KALERWE'!H30,'25.07 GAYAZA-KALERWE'!H30,'26.07 GAYAZA-KALERWE-24h'!H30,'27.07 GAYAZA-KALERWE-24h'!H30,'28.07 GAYAZA-KALERWE'!H30)</f>
        <v>0.7142857142857143</v>
      </c>
      <c r="I30" s="49">
        <f>AVERAGE('22.07 GAYAZA-KALERWE'!I30,'23.07 GAYAZA-KALERWE'!I30,'24.07 GAYAZA-KALERWE'!I30,'25.07 GAYAZA-KALERWE'!I30,'26.07 GAYAZA-KALERWE-24h'!I30,'27.07 GAYAZA-KALERWE-24h'!I30,'28.07 GAYAZA-KALERWE'!I30)</f>
        <v>8.4285714285714288</v>
      </c>
      <c r="J30" s="49">
        <f>AVERAGE('22.07 GAYAZA-KALERWE'!J30,'23.07 GAYAZA-KALERWE'!J30,'24.07 GAYAZA-KALERWE'!J30,'25.07 GAYAZA-KALERWE'!J30,'26.07 GAYAZA-KALERWE-24h'!J30,'27.07 GAYAZA-KALERWE-24h'!J30,'28.07 GAYAZA-KALERWE'!J30)</f>
        <v>7.2857142857142856</v>
      </c>
      <c r="K30" s="49">
        <f>AVERAGE('22.07 GAYAZA-KALERWE'!K30,'23.07 GAYAZA-KALERWE'!K30,'24.07 GAYAZA-KALERWE'!K30,'25.07 GAYAZA-KALERWE'!K30,'26.07 GAYAZA-KALERWE-24h'!K30,'27.07 GAYAZA-KALERWE-24h'!K30,'28.07 GAYAZA-KALERWE'!K30)</f>
        <v>3</v>
      </c>
      <c r="L30" s="49">
        <f>AVERAGE('22.07 GAYAZA-KALERWE'!L30,'23.07 GAYAZA-KALERWE'!L30,'24.07 GAYAZA-KALERWE'!L30,'25.07 GAYAZA-KALERWE'!L30,'26.07 GAYAZA-KALERWE-24h'!L30,'27.07 GAYAZA-KALERWE-24h'!L30,'28.07 GAYAZA-KALERWE'!L30)</f>
        <v>1.1428571428571428</v>
      </c>
      <c r="M30" s="49">
        <f>AVERAGE('22.07 GAYAZA-KALERWE'!M30,'23.07 GAYAZA-KALERWE'!M30,'24.07 GAYAZA-KALERWE'!M30,'25.07 GAYAZA-KALERWE'!M30,'26.07 GAYAZA-KALERWE-24h'!M30,'27.07 GAYAZA-KALERWE-24h'!M30,'28.07 GAYAZA-KALERWE'!M30)</f>
        <v>157.57142857142858</v>
      </c>
      <c r="N30" s="49">
        <f>AVERAGE('22.07 GAYAZA-KALERWE'!N30,'23.07 GAYAZA-KALERWE'!N30,'24.07 GAYAZA-KALERWE'!N30,'25.07 GAYAZA-KALERWE'!N30,'26.07 GAYAZA-KALERWE-24h'!N30,'27.07 GAYAZA-KALERWE-24h'!N30,'28.07 GAYAZA-KALERWE'!N30)</f>
        <v>0</v>
      </c>
      <c r="O30" s="15">
        <f t="shared" si="0"/>
        <v>175.42857142857142</v>
      </c>
      <c r="P30" s="15">
        <f t="shared" si="1"/>
        <v>333</v>
      </c>
      <c r="R30" s="1" t="s">
        <v>154</v>
      </c>
      <c r="S30" s="34">
        <f>SUM(C90:C93)</f>
        <v>22.5</v>
      </c>
      <c r="T30" s="34">
        <f t="shared" ref="T30:AF30" si="22">SUM(D90:D93)</f>
        <v>10</v>
      </c>
      <c r="U30" s="34">
        <f t="shared" si="22"/>
        <v>2</v>
      </c>
      <c r="V30" s="34">
        <f t="shared" si="22"/>
        <v>10</v>
      </c>
      <c r="W30" s="34">
        <f t="shared" si="22"/>
        <v>0</v>
      </c>
      <c r="X30" s="34">
        <f t="shared" si="22"/>
        <v>0</v>
      </c>
      <c r="Y30" s="34">
        <f t="shared" si="22"/>
        <v>10.5</v>
      </c>
      <c r="Z30" s="34">
        <f t="shared" si="22"/>
        <v>3</v>
      </c>
      <c r="AA30" s="34">
        <f t="shared" si="22"/>
        <v>0</v>
      </c>
      <c r="AB30" s="34">
        <f t="shared" si="22"/>
        <v>0.5</v>
      </c>
      <c r="AC30" s="34">
        <f t="shared" si="22"/>
        <v>152.5</v>
      </c>
      <c r="AD30" s="34">
        <f t="shared" si="22"/>
        <v>0</v>
      </c>
      <c r="AE30" s="31">
        <f t="shared" si="22"/>
        <v>58.5</v>
      </c>
      <c r="AF30" s="31">
        <f t="shared" si="22"/>
        <v>211</v>
      </c>
    </row>
    <row r="31" spans="2:32" ht="23.1" customHeight="1" x14ac:dyDescent="0.25">
      <c r="B31" s="24" t="s">
        <v>58</v>
      </c>
      <c r="C31" s="49">
        <f>AVERAGE('22.07 GAYAZA-KALERWE'!C31,'23.07 GAYAZA-KALERWE'!C31,'24.07 GAYAZA-KALERWE'!C31,'25.07 GAYAZA-KALERWE'!C31,'26.07 GAYAZA-KALERWE-24h'!C31,'27.07 GAYAZA-KALERWE-24h'!C31,'28.07 GAYAZA-KALERWE'!C31)</f>
        <v>65</v>
      </c>
      <c r="D31" s="49">
        <f>AVERAGE('22.07 GAYAZA-KALERWE'!D31,'23.07 GAYAZA-KALERWE'!D31,'24.07 GAYAZA-KALERWE'!D31,'25.07 GAYAZA-KALERWE'!D31,'26.07 GAYAZA-KALERWE-24h'!D31,'27.07 GAYAZA-KALERWE-24h'!D31,'28.07 GAYAZA-KALERWE'!D31)</f>
        <v>6.5714285714285712</v>
      </c>
      <c r="E31" s="49">
        <f>AVERAGE('22.07 GAYAZA-KALERWE'!E31,'23.07 GAYAZA-KALERWE'!E31,'24.07 GAYAZA-KALERWE'!E31,'25.07 GAYAZA-KALERWE'!E31,'26.07 GAYAZA-KALERWE-24h'!E31,'27.07 GAYAZA-KALERWE-24h'!E31,'28.07 GAYAZA-KALERWE'!E31)</f>
        <v>6.8571428571428568</v>
      </c>
      <c r="F31" s="49">
        <f>AVERAGE('22.07 GAYAZA-KALERWE'!F31,'23.07 GAYAZA-KALERWE'!F31,'24.07 GAYAZA-KALERWE'!F31,'25.07 GAYAZA-KALERWE'!F31,'26.07 GAYAZA-KALERWE-24h'!F31,'27.07 GAYAZA-KALERWE-24h'!F31,'28.07 GAYAZA-KALERWE'!F31)</f>
        <v>58.714285714285715</v>
      </c>
      <c r="G31" s="49">
        <f>AVERAGE('22.07 GAYAZA-KALERWE'!G31,'23.07 GAYAZA-KALERWE'!G31,'24.07 GAYAZA-KALERWE'!G31,'25.07 GAYAZA-KALERWE'!G31,'26.07 GAYAZA-KALERWE-24h'!G31,'27.07 GAYAZA-KALERWE-24h'!G31,'28.07 GAYAZA-KALERWE'!G31)</f>
        <v>0</v>
      </c>
      <c r="H31" s="49">
        <f>AVERAGE('22.07 GAYAZA-KALERWE'!H31,'23.07 GAYAZA-KALERWE'!H31,'24.07 GAYAZA-KALERWE'!H31,'25.07 GAYAZA-KALERWE'!H31,'26.07 GAYAZA-KALERWE-24h'!H31,'27.07 GAYAZA-KALERWE-24h'!H31,'28.07 GAYAZA-KALERWE'!H31)</f>
        <v>0.14285714285714285</v>
      </c>
      <c r="I31" s="49">
        <f>AVERAGE('22.07 GAYAZA-KALERWE'!I31,'23.07 GAYAZA-KALERWE'!I31,'24.07 GAYAZA-KALERWE'!I31,'25.07 GAYAZA-KALERWE'!I31,'26.07 GAYAZA-KALERWE-24h'!I31,'27.07 GAYAZA-KALERWE-24h'!I31,'28.07 GAYAZA-KALERWE'!I31)</f>
        <v>8</v>
      </c>
      <c r="J31" s="49">
        <f>AVERAGE('22.07 GAYAZA-KALERWE'!J31,'23.07 GAYAZA-KALERWE'!J31,'24.07 GAYAZA-KALERWE'!J31,'25.07 GAYAZA-KALERWE'!J31,'26.07 GAYAZA-KALERWE-24h'!J31,'27.07 GAYAZA-KALERWE-24h'!J31,'28.07 GAYAZA-KALERWE'!J31)</f>
        <v>5</v>
      </c>
      <c r="K31" s="49">
        <f>AVERAGE('22.07 GAYAZA-KALERWE'!K31,'23.07 GAYAZA-KALERWE'!K31,'24.07 GAYAZA-KALERWE'!K31,'25.07 GAYAZA-KALERWE'!K31,'26.07 GAYAZA-KALERWE-24h'!K31,'27.07 GAYAZA-KALERWE-24h'!K31,'28.07 GAYAZA-KALERWE'!K31)</f>
        <v>3</v>
      </c>
      <c r="L31" s="49">
        <f>AVERAGE('22.07 GAYAZA-KALERWE'!L31,'23.07 GAYAZA-KALERWE'!L31,'24.07 GAYAZA-KALERWE'!L31,'25.07 GAYAZA-KALERWE'!L31,'26.07 GAYAZA-KALERWE-24h'!L31,'27.07 GAYAZA-KALERWE-24h'!L31,'28.07 GAYAZA-KALERWE'!L31)</f>
        <v>1.1428571428571428</v>
      </c>
      <c r="M31" s="49">
        <f>AVERAGE('22.07 GAYAZA-KALERWE'!M31,'23.07 GAYAZA-KALERWE'!M31,'24.07 GAYAZA-KALERWE'!M31,'25.07 GAYAZA-KALERWE'!M31,'26.07 GAYAZA-KALERWE-24h'!M31,'27.07 GAYAZA-KALERWE-24h'!M31,'28.07 GAYAZA-KALERWE'!M31)</f>
        <v>154.71428571428572</v>
      </c>
      <c r="N31" s="49">
        <f>AVERAGE('22.07 GAYAZA-KALERWE'!N31,'23.07 GAYAZA-KALERWE'!N31,'24.07 GAYAZA-KALERWE'!N31,'25.07 GAYAZA-KALERWE'!N31,'26.07 GAYAZA-KALERWE-24h'!N31,'27.07 GAYAZA-KALERWE-24h'!N31,'28.07 GAYAZA-KALERWE'!N31)</f>
        <v>0</v>
      </c>
      <c r="O31" s="15">
        <f t="shared" si="0"/>
        <v>154.42857142857142</v>
      </c>
      <c r="P31" s="15">
        <f t="shared" si="1"/>
        <v>309.14285714285711</v>
      </c>
      <c r="R31" s="1" t="s">
        <v>155</v>
      </c>
      <c r="S31" s="34">
        <f>SUM(C94:C97)</f>
        <v>43</v>
      </c>
      <c r="T31" s="34">
        <f t="shared" ref="T31:AF31" si="23">SUM(D94:D97)</f>
        <v>7.5</v>
      </c>
      <c r="U31" s="34">
        <f t="shared" si="23"/>
        <v>7</v>
      </c>
      <c r="V31" s="34">
        <f t="shared" si="23"/>
        <v>26.5</v>
      </c>
      <c r="W31" s="34">
        <f t="shared" si="23"/>
        <v>0</v>
      </c>
      <c r="X31" s="34">
        <f t="shared" si="23"/>
        <v>1</v>
      </c>
      <c r="Y31" s="34">
        <f t="shared" si="23"/>
        <v>42.5</v>
      </c>
      <c r="Z31" s="34">
        <f t="shared" si="23"/>
        <v>12.5</v>
      </c>
      <c r="AA31" s="34">
        <f t="shared" si="23"/>
        <v>2</v>
      </c>
      <c r="AB31" s="34">
        <f t="shared" si="23"/>
        <v>0.5</v>
      </c>
      <c r="AC31" s="34">
        <f t="shared" si="23"/>
        <v>215.5</v>
      </c>
      <c r="AD31" s="34">
        <f t="shared" si="23"/>
        <v>0</v>
      </c>
      <c r="AE31" s="31">
        <f t="shared" si="23"/>
        <v>142.5</v>
      </c>
      <c r="AF31" s="31">
        <f t="shared" si="23"/>
        <v>358</v>
      </c>
    </row>
    <row r="32" spans="2:32" ht="23.1" customHeight="1" x14ac:dyDescent="0.25">
      <c r="B32" s="24" t="s">
        <v>59</v>
      </c>
      <c r="C32" s="49">
        <f>AVERAGE('22.07 GAYAZA-KALERWE'!C32,'23.07 GAYAZA-KALERWE'!C32,'24.07 GAYAZA-KALERWE'!C32,'25.07 GAYAZA-KALERWE'!C32,'26.07 GAYAZA-KALERWE-24h'!C32,'27.07 GAYAZA-KALERWE-24h'!C32,'28.07 GAYAZA-KALERWE'!C32)</f>
        <v>59.428571428571431</v>
      </c>
      <c r="D32" s="49">
        <f>AVERAGE('22.07 GAYAZA-KALERWE'!D32,'23.07 GAYAZA-KALERWE'!D32,'24.07 GAYAZA-KALERWE'!D32,'25.07 GAYAZA-KALERWE'!D32,'26.07 GAYAZA-KALERWE-24h'!D32,'27.07 GAYAZA-KALERWE-24h'!D32,'28.07 GAYAZA-KALERWE'!D32)</f>
        <v>6.8571428571428568</v>
      </c>
      <c r="E32" s="49">
        <f>AVERAGE('22.07 GAYAZA-KALERWE'!E32,'23.07 GAYAZA-KALERWE'!E32,'24.07 GAYAZA-KALERWE'!E32,'25.07 GAYAZA-KALERWE'!E32,'26.07 GAYAZA-KALERWE-24h'!E32,'27.07 GAYAZA-KALERWE-24h'!E32,'28.07 GAYAZA-KALERWE'!E32)</f>
        <v>8</v>
      </c>
      <c r="F32" s="49">
        <f>AVERAGE('22.07 GAYAZA-KALERWE'!F32,'23.07 GAYAZA-KALERWE'!F32,'24.07 GAYAZA-KALERWE'!F32,'25.07 GAYAZA-KALERWE'!F32,'26.07 GAYAZA-KALERWE-24h'!F32,'27.07 GAYAZA-KALERWE-24h'!F32,'28.07 GAYAZA-KALERWE'!F32)</f>
        <v>48.571428571428569</v>
      </c>
      <c r="G32" s="49">
        <f>AVERAGE('22.07 GAYAZA-KALERWE'!G32,'23.07 GAYAZA-KALERWE'!G32,'24.07 GAYAZA-KALERWE'!G32,'25.07 GAYAZA-KALERWE'!G32,'26.07 GAYAZA-KALERWE-24h'!G32,'27.07 GAYAZA-KALERWE-24h'!G32,'28.07 GAYAZA-KALERWE'!G32)</f>
        <v>0.2857142857142857</v>
      </c>
      <c r="H32" s="49">
        <f>AVERAGE('22.07 GAYAZA-KALERWE'!H32,'23.07 GAYAZA-KALERWE'!H32,'24.07 GAYAZA-KALERWE'!H32,'25.07 GAYAZA-KALERWE'!H32,'26.07 GAYAZA-KALERWE-24h'!H32,'27.07 GAYAZA-KALERWE-24h'!H32,'28.07 GAYAZA-KALERWE'!H32)</f>
        <v>0.5714285714285714</v>
      </c>
      <c r="I32" s="49">
        <f>AVERAGE('22.07 GAYAZA-KALERWE'!I32,'23.07 GAYAZA-KALERWE'!I32,'24.07 GAYAZA-KALERWE'!I32,'25.07 GAYAZA-KALERWE'!I32,'26.07 GAYAZA-KALERWE-24h'!I32,'27.07 GAYAZA-KALERWE-24h'!I32,'28.07 GAYAZA-KALERWE'!I32)</f>
        <v>8.5714285714285712</v>
      </c>
      <c r="J32" s="49">
        <f>AVERAGE('22.07 GAYAZA-KALERWE'!J32,'23.07 GAYAZA-KALERWE'!J32,'24.07 GAYAZA-KALERWE'!J32,'25.07 GAYAZA-KALERWE'!J32,'26.07 GAYAZA-KALERWE-24h'!J32,'27.07 GAYAZA-KALERWE-24h'!J32,'28.07 GAYAZA-KALERWE'!J32)</f>
        <v>5.1428571428571432</v>
      </c>
      <c r="K32" s="49">
        <f>AVERAGE('22.07 GAYAZA-KALERWE'!K32,'23.07 GAYAZA-KALERWE'!K32,'24.07 GAYAZA-KALERWE'!K32,'25.07 GAYAZA-KALERWE'!K32,'26.07 GAYAZA-KALERWE-24h'!K32,'27.07 GAYAZA-KALERWE-24h'!K32,'28.07 GAYAZA-KALERWE'!K32)</f>
        <v>2.5714285714285716</v>
      </c>
      <c r="L32" s="49">
        <f>AVERAGE('22.07 GAYAZA-KALERWE'!L32,'23.07 GAYAZA-KALERWE'!L32,'24.07 GAYAZA-KALERWE'!L32,'25.07 GAYAZA-KALERWE'!L32,'26.07 GAYAZA-KALERWE-24h'!L32,'27.07 GAYAZA-KALERWE-24h'!L32,'28.07 GAYAZA-KALERWE'!L32)</f>
        <v>1</v>
      </c>
      <c r="M32" s="49">
        <f>AVERAGE('22.07 GAYAZA-KALERWE'!M32,'23.07 GAYAZA-KALERWE'!M32,'24.07 GAYAZA-KALERWE'!M32,'25.07 GAYAZA-KALERWE'!M32,'26.07 GAYAZA-KALERWE-24h'!M32,'27.07 GAYAZA-KALERWE-24h'!M32,'28.07 GAYAZA-KALERWE'!M32)</f>
        <v>126.42857142857143</v>
      </c>
      <c r="N32" s="49">
        <f>AVERAGE('22.07 GAYAZA-KALERWE'!N32,'23.07 GAYAZA-KALERWE'!N32,'24.07 GAYAZA-KALERWE'!N32,'25.07 GAYAZA-KALERWE'!N32,'26.07 GAYAZA-KALERWE-24h'!N32,'27.07 GAYAZA-KALERWE-24h'!N32,'28.07 GAYAZA-KALERWE'!N32)</f>
        <v>0</v>
      </c>
      <c r="O32" s="15">
        <f t="shared" si="0"/>
        <v>141.00000000000003</v>
      </c>
      <c r="P32" s="15">
        <f t="shared" si="1"/>
        <v>267.42857142857144</v>
      </c>
      <c r="R32" s="1" t="s">
        <v>156</v>
      </c>
      <c r="S32" s="34">
        <f>SUM(C98:C101)</f>
        <v>46</v>
      </c>
      <c r="T32" s="34">
        <f t="shared" ref="T32:AF32" si="24">SUM(D98:D101)</f>
        <v>10</v>
      </c>
      <c r="U32" s="34">
        <f t="shared" si="24"/>
        <v>5.5</v>
      </c>
      <c r="V32" s="34">
        <f t="shared" si="24"/>
        <v>74.5</v>
      </c>
      <c r="W32" s="34">
        <f t="shared" si="24"/>
        <v>0.5</v>
      </c>
      <c r="X32" s="34">
        <f t="shared" si="24"/>
        <v>0</v>
      </c>
      <c r="Y32" s="34">
        <f t="shared" si="24"/>
        <v>7.5</v>
      </c>
      <c r="Z32" s="34">
        <f t="shared" si="24"/>
        <v>7.5</v>
      </c>
      <c r="AA32" s="34">
        <f t="shared" si="24"/>
        <v>4.5</v>
      </c>
      <c r="AB32" s="34">
        <f t="shared" si="24"/>
        <v>2.5</v>
      </c>
      <c r="AC32" s="34">
        <f t="shared" si="24"/>
        <v>387.5</v>
      </c>
      <c r="AD32" s="34">
        <f t="shared" si="24"/>
        <v>0</v>
      </c>
      <c r="AE32" s="31">
        <f t="shared" si="24"/>
        <v>158.5</v>
      </c>
      <c r="AF32" s="31">
        <f t="shared" si="24"/>
        <v>546</v>
      </c>
    </row>
    <row r="33" spans="2:32" ht="23.1" customHeight="1" x14ac:dyDescent="0.25">
      <c r="B33" s="23" t="s">
        <v>60</v>
      </c>
      <c r="C33" s="49">
        <f>AVERAGE('22.07 GAYAZA-KALERWE'!C33,'23.07 GAYAZA-KALERWE'!C33,'24.07 GAYAZA-KALERWE'!C33,'25.07 GAYAZA-KALERWE'!C33,'26.07 GAYAZA-KALERWE-24h'!C33,'27.07 GAYAZA-KALERWE-24h'!C33,'28.07 GAYAZA-KALERWE'!C33)</f>
        <v>54.428571428571431</v>
      </c>
      <c r="D33" s="49">
        <f>AVERAGE('22.07 GAYAZA-KALERWE'!D33,'23.07 GAYAZA-KALERWE'!D33,'24.07 GAYAZA-KALERWE'!D33,'25.07 GAYAZA-KALERWE'!D33,'26.07 GAYAZA-KALERWE-24h'!D33,'27.07 GAYAZA-KALERWE-24h'!D33,'28.07 GAYAZA-KALERWE'!D33)</f>
        <v>7.2857142857142856</v>
      </c>
      <c r="E33" s="49">
        <f>AVERAGE('22.07 GAYAZA-KALERWE'!E33,'23.07 GAYAZA-KALERWE'!E33,'24.07 GAYAZA-KALERWE'!E33,'25.07 GAYAZA-KALERWE'!E33,'26.07 GAYAZA-KALERWE-24h'!E33,'27.07 GAYAZA-KALERWE-24h'!E33,'28.07 GAYAZA-KALERWE'!E33)</f>
        <v>6.7142857142857144</v>
      </c>
      <c r="F33" s="49">
        <f>AVERAGE('22.07 GAYAZA-KALERWE'!F33,'23.07 GAYAZA-KALERWE'!F33,'24.07 GAYAZA-KALERWE'!F33,'25.07 GAYAZA-KALERWE'!F33,'26.07 GAYAZA-KALERWE-24h'!F33,'27.07 GAYAZA-KALERWE-24h'!F33,'28.07 GAYAZA-KALERWE'!F33)</f>
        <v>47.571428571428569</v>
      </c>
      <c r="G33" s="49">
        <f>AVERAGE('22.07 GAYAZA-KALERWE'!G33,'23.07 GAYAZA-KALERWE'!G33,'24.07 GAYAZA-KALERWE'!G33,'25.07 GAYAZA-KALERWE'!G33,'26.07 GAYAZA-KALERWE-24h'!G33,'27.07 GAYAZA-KALERWE-24h'!G33,'28.07 GAYAZA-KALERWE'!G33)</f>
        <v>0.2857142857142857</v>
      </c>
      <c r="H33" s="49">
        <f>AVERAGE('22.07 GAYAZA-KALERWE'!H33,'23.07 GAYAZA-KALERWE'!H33,'24.07 GAYAZA-KALERWE'!H33,'25.07 GAYAZA-KALERWE'!H33,'26.07 GAYAZA-KALERWE-24h'!H33,'27.07 GAYAZA-KALERWE-24h'!H33,'28.07 GAYAZA-KALERWE'!H33)</f>
        <v>0.7142857142857143</v>
      </c>
      <c r="I33" s="49">
        <f>AVERAGE('22.07 GAYAZA-KALERWE'!I33,'23.07 GAYAZA-KALERWE'!I33,'24.07 GAYAZA-KALERWE'!I33,'25.07 GAYAZA-KALERWE'!I33,'26.07 GAYAZA-KALERWE-24h'!I33,'27.07 GAYAZA-KALERWE-24h'!I33,'28.07 GAYAZA-KALERWE'!I33)</f>
        <v>7.8571428571428568</v>
      </c>
      <c r="J33" s="49">
        <f>AVERAGE('22.07 GAYAZA-KALERWE'!J33,'23.07 GAYAZA-KALERWE'!J33,'24.07 GAYAZA-KALERWE'!J33,'25.07 GAYAZA-KALERWE'!J33,'26.07 GAYAZA-KALERWE-24h'!J33,'27.07 GAYAZA-KALERWE-24h'!J33,'28.07 GAYAZA-KALERWE'!J33)</f>
        <v>5.4285714285714288</v>
      </c>
      <c r="K33" s="49">
        <f>AVERAGE('22.07 GAYAZA-KALERWE'!K33,'23.07 GAYAZA-KALERWE'!K33,'24.07 GAYAZA-KALERWE'!K33,'25.07 GAYAZA-KALERWE'!K33,'26.07 GAYAZA-KALERWE-24h'!K33,'27.07 GAYAZA-KALERWE-24h'!K33,'28.07 GAYAZA-KALERWE'!K33)</f>
        <v>2.8571428571428572</v>
      </c>
      <c r="L33" s="49">
        <f>AVERAGE('22.07 GAYAZA-KALERWE'!L33,'23.07 GAYAZA-KALERWE'!L33,'24.07 GAYAZA-KALERWE'!L33,'25.07 GAYAZA-KALERWE'!L33,'26.07 GAYAZA-KALERWE-24h'!L33,'27.07 GAYAZA-KALERWE-24h'!L33,'28.07 GAYAZA-KALERWE'!L33)</f>
        <v>1.5714285714285714</v>
      </c>
      <c r="M33" s="49">
        <f>AVERAGE('22.07 GAYAZA-KALERWE'!M33,'23.07 GAYAZA-KALERWE'!M33,'24.07 GAYAZA-KALERWE'!M33,'25.07 GAYAZA-KALERWE'!M33,'26.07 GAYAZA-KALERWE-24h'!M33,'27.07 GAYAZA-KALERWE-24h'!M33,'28.07 GAYAZA-KALERWE'!M33)</f>
        <v>127.28571428571429</v>
      </c>
      <c r="N33" s="49">
        <f>AVERAGE('22.07 GAYAZA-KALERWE'!N33,'23.07 GAYAZA-KALERWE'!N33,'24.07 GAYAZA-KALERWE'!N33,'25.07 GAYAZA-KALERWE'!N33,'26.07 GAYAZA-KALERWE-24h'!N33,'27.07 GAYAZA-KALERWE-24h'!N33,'28.07 GAYAZA-KALERWE'!N33)</f>
        <v>0</v>
      </c>
      <c r="O33" s="15">
        <f t="shared" si="0"/>
        <v>134.71428571428572</v>
      </c>
      <c r="P33" s="15">
        <f t="shared" si="1"/>
        <v>262</v>
      </c>
      <c r="R33" s="1" t="s">
        <v>157</v>
      </c>
      <c r="S33" s="34">
        <f>SUM(C102:C105)</f>
        <v>96</v>
      </c>
      <c r="T33" s="34">
        <f t="shared" ref="T33:AF33" si="25">SUM(D102:D105)</f>
        <v>20</v>
      </c>
      <c r="U33" s="34">
        <f t="shared" si="25"/>
        <v>16</v>
      </c>
      <c r="V33" s="34">
        <f t="shared" si="25"/>
        <v>175.5</v>
      </c>
      <c r="W33" s="34">
        <f t="shared" si="25"/>
        <v>1.5</v>
      </c>
      <c r="X33" s="34">
        <f t="shared" si="25"/>
        <v>0.5</v>
      </c>
      <c r="Y33" s="34">
        <f t="shared" si="25"/>
        <v>19.5</v>
      </c>
      <c r="Z33" s="34">
        <f t="shared" si="25"/>
        <v>12.5</v>
      </c>
      <c r="AA33" s="34">
        <f t="shared" si="25"/>
        <v>3.5</v>
      </c>
      <c r="AB33" s="34">
        <f t="shared" si="25"/>
        <v>0.5</v>
      </c>
      <c r="AC33" s="34">
        <f t="shared" si="25"/>
        <v>771.5</v>
      </c>
      <c r="AD33" s="34">
        <f t="shared" si="25"/>
        <v>0</v>
      </c>
      <c r="AE33" s="31">
        <f t="shared" si="25"/>
        <v>345.5</v>
      </c>
      <c r="AF33" s="31">
        <f t="shared" si="25"/>
        <v>1117</v>
      </c>
    </row>
    <row r="34" spans="2:32" ht="23.1" customHeight="1" x14ac:dyDescent="0.25">
      <c r="B34" s="24" t="s">
        <v>61</v>
      </c>
      <c r="C34" s="49">
        <f>AVERAGE('22.07 GAYAZA-KALERWE'!C34,'23.07 GAYAZA-KALERWE'!C34,'24.07 GAYAZA-KALERWE'!C34,'25.07 GAYAZA-KALERWE'!C34,'26.07 GAYAZA-KALERWE-24h'!C34,'27.07 GAYAZA-KALERWE-24h'!C34,'28.07 GAYAZA-KALERWE'!C34)</f>
        <v>58.571428571428569</v>
      </c>
      <c r="D34" s="49">
        <f>AVERAGE('22.07 GAYAZA-KALERWE'!D34,'23.07 GAYAZA-KALERWE'!D34,'24.07 GAYAZA-KALERWE'!D34,'25.07 GAYAZA-KALERWE'!D34,'26.07 GAYAZA-KALERWE-24h'!D34,'27.07 GAYAZA-KALERWE-24h'!D34,'28.07 GAYAZA-KALERWE'!D34)</f>
        <v>6.2857142857142856</v>
      </c>
      <c r="E34" s="49">
        <f>AVERAGE('22.07 GAYAZA-KALERWE'!E34,'23.07 GAYAZA-KALERWE'!E34,'24.07 GAYAZA-KALERWE'!E34,'25.07 GAYAZA-KALERWE'!E34,'26.07 GAYAZA-KALERWE-24h'!E34,'27.07 GAYAZA-KALERWE-24h'!E34,'28.07 GAYAZA-KALERWE'!E34)</f>
        <v>6.7142857142857144</v>
      </c>
      <c r="F34" s="49">
        <f>AVERAGE('22.07 GAYAZA-KALERWE'!F34,'23.07 GAYAZA-KALERWE'!F34,'24.07 GAYAZA-KALERWE'!F34,'25.07 GAYAZA-KALERWE'!F34,'26.07 GAYAZA-KALERWE-24h'!F34,'27.07 GAYAZA-KALERWE-24h'!F34,'28.07 GAYAZA-KALERWE'!F34)</f>
        <v>42.857142857142854</v>
      </c>
      <c r="G34" s="49">
        <f>AVERAGE('22.07 GAYAZA-KALERWE'!G34,'23.07 GAYAZA-KALERWE'!G34,'24.07 GAYAZA-KALERWE'!G34,'25.07 GAYAZA-KALERWE'!G34,'26.07 GAYAZA-KALERWE-24h'!G34,'27.07 GAYAZA-KALERWE-24h'!G34,'28.07 GAYAZA-KALERWE'!G34)</f>
        <v>0.7142857142857143</v>
      </c>
      <c r="H34" s="49">
        <f>AVERAGE('22.07 GAYAZA-KALERWE'!H34,'23.07 GAYAZA-KALERWE'!H34,'24.07 GAYAZA-KALERWE'!H34,'25.07 GAYAZA-KALERWE'!H34,'26.07 GAYAZA-KALERWE-24h'!H34,'27.07 GAYAZA-KALERWE-24h'!H34,'28.07 GAYAZA-KALERWE'!H34)</f>
        <v>0.2857142857142857</v>
      </c>
      <c r="I34" s="49">
        <f>AVERAGE('22.07 GAYAZA-KALERWE'!I34,'23.07 GAYAZA-KALERWE'!I34,'24.07 GAYAZA-KALERWE'!I34,'25.07 GAYAZA-KALERWE'!I34,'26.07 GAYAZA-KALERWE-24h'!I34,'27.07 GAYAZA-KALERWE-24h'!I34,'28.07 GAYAZA-KALERWE'!I34)</f>
        <v>8.1428571428571423</v>
      </c>
      <c r="J34" s="49">
        <f>AVERAGE('22.07 GAYAZA-KALERWE'!J34,'23.07 GAYAZA-KALERWE'!J34,'24.07 GAYAZA-KALERWE'!J34,'25.07 GAYAZA-KALERWE'!J34,'26.07 GAYAZA-KALERWE-24h'!J34,'27.07 GAYAZA-KALERWE-24h'!J34,'28.07 GAYAZA-KALERWE'!J34)</f>
        <v>4.4285714285714288</v>
      </c>
      <c r="K34" s="49">
        <f>AVERAGE('22.07 GAYAZA-KALERWE'!K34,'23.07 GAYAZA-KALERWE'!K34,'24.07 GAYAZA-KALERWE'!K34,'25.07 GAYAZA-KALERWE'!K34,'26.07 GAYAZA-KALERWE-24h'!K34,'27.07 GAYAZA-KALERWE-24h'!K34,'28.07 GAYAZA-KALERWE'!K34)</f>
        <v>3</v>
      </c>
      <c r="L34" s="49">
        <f>AVERAGE('22.07 GAYAZA-KALERWE'!L34,'23.07 GAYAZA-KALERWE'!L34,'24.07 GAYAZA-KALERWE'!L34,'25.07 GAYAZA-KALERWE'!L34,'26.07 GAYAZA-KALERWE-24h'!L34,'27.07 GAYAZA-KALERWE-24h'!L34,'28.07 GAYAZA-KALERWE'!L34)</f>
        <v>1</v>
      </c>
      <c r="M34" s="49">
        <f>AVERAGE('22.07 GAYAZA-KALERWE'!M34,'23.07 GAYAZA-KALERWE'!M34,'24.07 GAYAZA-KALERWE'!M34,'25.07 GAYAZA-KALERWE'!M34,'26.07 GAYAZA-KALERWE-24h'!M34,'27.07 GAYAZA-KALERWE-24h'!M34,'28.07 GAYAZA-KALERWE'!M34)</f>
        <v>137.42857142857142</v>
      </c>
      <c r="N34" s="49">
        <f>AVERAGE('22.07 GAYAZA-KALERWE'!N34,'23.07 GAYAZA-KALERWE'!N34,'24.07 GAYAZA-KALERWE'!N34,'25.07 GAYAZA-KALERWE'!N34,'26.07 GAYAZA-KALERWE-24h'!N34,'27.07 GAYAZA-KALERWE-24h'!N34,'28.07 GAYAZA-KALERWE'!N34)</f>
        <v>0</v>
      </c>
      <c r="O34" s="15">
        <f t="shared" si="0"/>
        <v>132</v>
      </c>
      <c r="P34" s="15">
        <f t="shared" si="1"/>
        <v>269.42857142857144</v>
      </c>
      <c r="R34" s="38" t="s">
        <v>90</v>
      </c>
      <c r="S34" s="54">
        <f t="shared" ref="S34:AF34" si="26">MAX(S10:S12)</f>
        <v>260.14285714285711</v>
      </c>
      <c r="T34" s="54">
        <f t="shared" si="26"/>
        <v>41.142857142857146</v>
      </c>
      <c r="U34" s="54">
        <f t="shared" si="26"/>
        <v>31.857142857142861</v>
      </c>
      <c r="V34" s="54">
        <f t="shared" si="26"/>
        <v>234.14285714285714</v>
      </c>
      <c r="W34" s="54">
        <f t="shared" si="26"/>
        <v>11.285714285714286</v>
      </c>
      <c r="X34" s="54">
        <f t="shared" si="26"/>
        <v>3.7142857142857144</v>
      </c>
      <c r="Y34" s="54">
        <f t="shared" si="26"/>
        <v>29.142857142857142</v>
      </c>
      <c r="Z34" s="54">
        <f t="shared" si="26"/>
        <v>17.285714285714285</v>
      </c>
      <c r="AA34" s="54">
        <f t="shared" si="26"/>
        <v>7.7142857142857153</v>
      </c>
      <c r="AB34" s="54">
        <f t="shared" si="26"/>
        <v>58.428571428571431</v>
      </c>
      <c r="AC34" s="54">
        <f t="shared" si="26"/>
        <v>991.71428571428578</v>
      </c>
      <c r="AD34" s="54">
        <f t="shared" si="26"/>
        <v>0</v>
      </c>
      <c r="AE34" s="40">
        <f t="shared" si="26"/>
        <v>622.14285714285711</v>
      </c>
      <c r="AF34" s="40">
        <f t="shared" si="26"/>
        <v>1521.8571428571429</v>
      </c>
    </row>
    <row r="35" spans="2:32" ht="23.1" customHeight="1" x14ac:dyDescent="0.25">
      <c r="B35" s="24" t="s">
        <v>62</v>
      </c>
      <c r="C35" s="49">
        <f>AVERAGE('22.07 GAYAZA-KALERWE'!C35,'23.07 GAYAZA-KALERWE'!C35,'24.07 GAYAZA-KALERWE'!C35,'25.07 GAYAZA-KALERWE'!C35,'26.07 GAYAZA-KALERWE-24h'!C35,'27.07 GAYAZA-KALERWE-24h'!C35,'28.07 GAYAZA-KALERWE'!C35)</f>
        <v>46.714285714285715</v>
      </c>
      <c r="D35" s="49">
        <f>AVERAGE('22.07 GAYAZA-KALERWE'!D35,'23.07 GAYAZA-KALERWE'!D35,'24.07 GAYAZA-KALERWE'!D35,'25.07 GAYAZA-KALERWE'!D35,'26.07 GAYAZA-KALERWE-24h'!D35,'27.07 GAYAZA-KALERWE-24h'!D35,'28.07 GAYAZA-KALERWE'!D35)</f>
        <v>8.7142857142857135</v>
      </c>
      <c r="E35" s="49">
        <f>AVERAGE('22.07 GAYAZA-KALERWE'!E35,'23.07 GAYAZA-KALERWE'!E35,'24.07 GAYAZA-KALERWE'!E35,'25.07 GAYAZA-KALERWE'!E35,'26.07 GAYAZA-KALERWE-24h'!E35,'27.07 GAYAZA-KALERWE-24h'!E35,'28.07 GAYAZA-KALERWE'!E35)</f>
        <v>14.142857142857142</v>
      </c>
      <c r="F35" s="49">
        <f>AVERAGE('22.07 GAYAZA-KALERWE'!F35,'23.07 GAYAZA-KALERWE'!F35,'24.07 GAYAZA-KALERWE'!F35,'25.07 GAYAZA-KALERWE'!F35,'26.07 GAYAZA-KALERWE-24h'!F35,'27.07 GAYAZA-KALERWE-24h'!F35,'28.07 GAYAZA-KALERWE'!F35)</f>
        <v>42.142857142857146</v>
      </c>
      <c r="G35" s="49">
        <f>AVERAGE('22.07 GAYAZA-KALERWE'!G35,'23.07 GAYAZA-KALERWE'!G35,'24.07 GAYAZA-KALERWE'!G35,'25.07 GAYAZA-KALERWE'!G35,'26.07 GAYAZA-KALERWE-24h'!G35,'27.07 GAYAZA-KALERWE-24h'!G35,'28.07 GAYAZA-KALERWE'!G35)</f>
        <v>0.42857142857142855</v>
      </c>
      <c r="H35" s="49">
        <f>AVERAGE('22.07 GAYAZA-KALERWE'!H35,'23.07 GAYAZA-KALERWE'!H35,'24.07 GAYAZA-KALERWE'!H35,'25.07 GAYAZA-KALERWE'!H35,'26.07 GAYAZA-KALERWE-24h'!H35,'27.07 GAYAZA-KALERWE-24h'!H35,'28.07 GAYAZA-KALERWE'!H35)</f>
        <v>0.2857142857142857</v>
      </c>
      <c r="I35" s="49">
        <f>AVERAGE('22.07 GAYAZA-KALERWE'!I35,'23.07 GAYAZA-KALERWE'!I35,'24.07 GAYAZA-KALERWE'!I35,'25.07 GAYAZA-KALERWE'!I35,'26.07 GAYAZA-KALERWE-24h'!I35,'27.07 GAYAZA-KALERWE-24h'!I35,'28.07 GAYAZA-KALERWE'!I35)</f>
        <v>7.1428571428571432</v>
      </c>
      <c r="J35" s="49">
        <f>AVERAGE('22.07 GAYAZA-KALERWE'!J35,'23.07 GAYAZA-KALERWE'!J35,'24.07 GAYAZA-KALERWE'!J35,'25.07 GAYAZA-KALERWE'!J35,'26.07 GAYAZA-KALERWE-24h'!J35,'27.07 GAYAZA-KALERWE-24h'!J35,'28.07 GAYAZA-KALERWE'!J35)</f>
        <v>5.8571428571428568</v>
      </c>
      <c r="K35" s="49">
        <f>AVERAGE('22.07 GAYAZA-KALERWE'!K35,'23.07 GAYAZA-KALERWE'!K35,'24.07 GAYAZA-KALERWE'!K35,'25.07 GAYAZA-KALERWE'!K35,'26.07 GAYAZA-KALERWE-24h'!K35,'27.07 GAYAZA-KALERWE-24h'!K35,'28.07 GAYAZA-KALERWE'!K35)</f>
        <v>1.5714285714285714</v>
      </c>
      <c r="L35" s="49">
        <f>AVERAGE('22.07 GAYAZA-KALERWE'!L35,'23.07 GAYAZA-KALERWE'!L35,'24.07 GAYAZA-KALERWE'!L35,'25.07 GAYAZA-KALERWE'!L35,'26.07 GAYAZA-KALERWE-24h'!L35,'27.07 GAYAZA-KALERWE-24h'!L35,'28.07 GAYAZA-KALERWE'!L35)</f>
        <v>0.8571428571428571</v>
      </c>
      <c r="M35" s="49">
        <f>AVERAGE('22.07 GAYAZA-KALERWE'!M35,'23.07 GAYAZA-KALERWE'!M35,'24.07 GAYAZA-KALERWE'!M35,'25.07 GAYAZA-KALERWE'!M35,'26.07 GAYAZA-KALERWE-24h'!M35,'27.07 GAYAZA-KALERWE-24h'!M35,'28.07 GAYAZA-KALERWE'!M35)</f>
        <v>122.71428571428571</v>
      </c>
      <c r="N35" s="49">
        <f>AVERAGE('22.07 GAYAZA-KALERWE'!N35,'23.07 GAYAZA-KALERWE'!N35,'24.07 GAYAZA-KALERWE'!N35,'25.07 GAYAZA-KALERWE'!N35,'26.07 GAYAZA-KALERWE-24h'!N35,'27.07 GAYAZA-KALERWE-24h'!N35,'28.07 GAYAZA-KALERWE'!N35)</f>
        <v>0</v>
      </c>
      <c r="O35" s="15">
        <f t="shared" si="0"/>
        <v>127.85714285714288</v>
      </c>
      <c r="P35" s="15">
        <f t="shared" si="1"/>
        <v>250.57142857142858</v>
      </c>
      <c r="R35" s="38" t="s">
        <v>91</v>
      </c>
      <c r="S35" s="54">
        <f t="shared" ref="S35:AF35" si="27">MAX(S13:S18)</f>
        <v>269.71428571428572</v>
      </c>
      <c r="T35" s="54">
        <f t="shared" si="27"/>
        <v>40.142857142857139</v>
      </c>
      <c r="U35" s="54">
        <f t="shared" si="27"/>
        <v>36</v>
      </c>
      <c r="V35" s="54">
        <f t="shared" si="27"/>
        <v>232</v>
      </c>
      <c r="W35" s="54">
        <f t="shared" si="27"/>
        <v>3.5714285714285712</v>
      </c>
      <c r="X35" s="54">
        <f t="shared" si="27"/>
        <v>2.714285714285714</v>
      </c>
      <c r="Y35" s="54">
        <f t="shared" si="27"/>
        <v>39.285714285714285</v>
      </c>
      <c r="Z35" s="54">
        <f t="shared" si="27"/>
        <v>25</v>
      </c>
      <c r="AA35" s="54">
        <f t="shared" si="27"/>
        <v>11.428571428571429</v>
      </c>
      <c r="AB35" s="54">
        <f t="shared" si="27"/>
        <v>4.8571428571428577</v>
      </c>
      <c r="AC35" s="54">
        <f t="shared" si="27"/>
        <v>780</v>
      </c>
      <c r="AD35" s="54">
        <f t="shared" si="27"/>
        <v>0.14285714285714285</v>
      </c>
      <c r="AE35" s="40">
        <f t="shared" si="27"/>
        <v>636.57142857142867</v>
      </c>
      <c r="AF35" s="40">
        <f t="shared" si="27"/>
        <v>1416.5714285714287</v>
      </c>
    </row>
    <row r="36" spans="2:32" ht="23.1" customHeight="1" x14ac:dyDescent="0.25">
      <c r="B36" s="24" t="s">
        <v>63</v>
      </c>
      <c r="C36" s="49">
        <f>AVERAGE('22.07 GAYAZA-KALERWE'!C36,'23.07 GAYAZA-KALERWE'!C36,'24.07 GAYAZA-KALERWE'!C36,'25.07 GAYAZA-KALERWE'!C36,'26.07 GAYAZA-KALERWE-24h'!C36,'27.07 GAYAZA-KALERWE-24h'!C36,'28.07 GAYAZA-KALERWE'!C36)</f>
        <v>49</v>
      </c>
      <c r="D36" s="49">
        <f>AVERAGE('22.07 GAYAZA-KALERWE'!D36,'23.07 GAYAZA-KALERWE'!D36,'24.07 GAYAZA-KALERWE'!D36,'25.07 GAYAZA-KALERWE'!D36,'26.07 GAYAZA-KALERWE-24h'!D36,'27.07 GAYAZA-KALERWE-24h'!D36,'28.07 GAYAZA-KALERWE'!D36)</f>
        <v>6.2857142857142856</v>
      </c>
      <c r="E36" s="49">
        <f>AVERAGE('22.07 GAYAZA-KALERWE'!E36,'23.07 GAYAZA-KALERWE'!E36,'24.07 GAYAZA-KALERWE'!E36,'25.07 GAYAZA-KALERWE'!E36,'26.07 GAYAZA-KALERWE-24h'!E36,'27.07 GAYAZA-KALERWE-24h'!E36,'28.07 GAYAZA-KALERWE'!E36)</f>
        <v>8.4285714285714288</v>
      </c>
      <c r="F36" s="49">
        <f>AVERAGE('22.07 GAYAZA-KALERWE'!F36,'23.07 GAYAZA-KALERWE'!F36,'24.07 GAYAZA-KALERWE'!F36,'25.07 GAYAZA-KALERWE'!F36,'26.07 GAYAZA-KALERWE-24h'!F36,'27.07 GAYAZA-KALERWE-24h'!F36,'28.07 GAYAZA-KALERWE'!F36)</f>
        <v>39.142857142857146</v>
      </c>
      <c r="G36" s="49">
        <f>AVERAGE('22.07 GAYAZA-KALERWE'!G36,'23.07 GAYAZA-KALERWE'!G36,'24.07 GAYAZA-KALERWE'!G36,'25.07 GAYAZA-KALERWE'!G36,'26.07 GAYAZA-KALERWE-24h'!G36,'27.07 GAYAZA-KALERWE-24h'!G36,'28.07 GAYAZA-KALERWE'!G36)</f>
        <v>1.1428571428571428</v>
      </c>
      <c r="H36" s="49">
        <f>AVERAGE('22.07 GAYAZA-KALERWE'!H36,'23.07 GAYAZA-KALERWE'!H36,'24.07 GAYAZA-KALERWE'!H36,'25.07 GAYAZA-KALERWE'!H36,'26.07 GAYAZA-KALERWE-24h'!H36,'27.07 GAYAZA-KALERWE-24h'!H36,'28.07 GAYAZA-KALERWE'!H36)</f>
        <v>0.42857142857142855</v>
      </c>
      <c r="I36" s="49">
        <f>AVERAGE('22.07 GAYAZA-KALERWE'!I36,'23.07 GAYAZA-KALERWE'!I36,'24.07 GAYAZA-KALERWE'!I36,'25.07 GAYAZA-KALERWE'!I36,'26.07 GAYAZA-KALERWE-24h'!I36,'27.07 GAYAZA-KALERWE-24h'!I36,'28.07 GAYAZA-KALERWE'!I36)</f>
        <v>9.4285714285714288</v>
      </c>
      <c r="J36" s="49">
        <f>AVERAGE('22.07 GAYAZA-KALERWE'!J36,'23.07 GAYAZA-KALERWE'!J36,'24.07 GAYAZA-KALERWE'!J36,'25.07 GAYAZA-KALERWE'!J36,'26.07 GAYAZA-KALERWE-24h'!J36,'27.07 GAYAZA-KALERWE-24h'!J36,'28.07 GAYAZA-KALERWE'!J36)</f>
        <v>5.5714285714285712</v>
      </c>
      <c r="K36" s="49">
        <f>AVERAGE('22.07 GAYAZA-KALERWE'!K36,'23.07 GAYAZA-KALERWE'!K36,'24.07 GAYAZA-KALERWE'!K36,'25.07 GAYAZA-KALERWE'!K36,'26.07 GAYAZA-KALERWE-24h'!K36,'27.07 GAYAZA-KALERWE-24h'!K36,'28.07 GAYAZA-KALERWE'!K36)</f>
        <v>2.7142857142857144</v>
      </c>
      <c r="L36" s="49">
        <f>AVERAGE('22.07 GAYAZA-KALERWE'!L36,'23.07 GAYAZA-KALERWE'!L36,'24.07 GAYAZA-KALERWE'!L36,'25.07 GAYAZA-KALERWE'!L36,'26.07 GAYAZA-KALERWE-24h'!L36,'27.07 GAYAZA-KALERWE-24h'!L36,'28.07 GAYAZA-KALERWE'!L36)</f>
        <v>1.1428571428571428</v>
      </c>
      <c r="M36" s="49">
        <f>AVERAGE('22.07 GAYAZA-KALERWE'!M36,'23.07 GAYAZA-KALERWE'!M36,'24.07 GAYAZA-KALERWE'!M36,'25.07 GAYAZA-KALERWE'!M36,'26.07 GAYAZA-KALERWE-24h'!M36,'27.07 GAYAZA-KALERWE-24h'!M36,'28.07 GAYAZA-KALERWE'!M36)</f>
        <v>125.71428571428571</v>
      </c>
      <c r="N36" s="49">
        <f>AVERAGE('22.07 GAYAZA-KALERWE'!N36,'23.07 GAYAZA-KALERWE'!N36,'24.07 GAYAZA-KALERWE'!N36,'25.07 GAYAZA-KALERWE'!N36,'26.07 GAYAZA-KALERWE-24h'!N36,'27.07 GAYAZA-KALERWE-24h'!N36,'28.07 GAYAZA-KALERWE'!N36)</f>
        <v>0</v>
      </c>
      <c r="O36" s="15">
        <f t="shared" si="0"/>
        <v>123.28571428571428</v>
      </c>
      <c r="P36" s="15">
        <f t="shared" si="1"/>
        <v>249</v>
      </c>
      <c r="R36" s="38" t="s">
        <v>92</v>
      </c>
      <c r="S36" s="54">
        <f t="shared" ref="S36:AF36" si="28">MAX(S19:S21)</f>
        <v>238.85714285714286</v>
      </c>
      <c r="T36" s="54">
        <f t="shared" si="28"/>
        <v>31.142857142857146</v>
      </c>
      <c r="U36" s="54">
        <f t="shared" si="28"/>
        <v>35.857142857142854</v>
      </c>
      <c r="V36" s="54">
        <f t="shared" si="28"/>
        <v>301.71428571428572</v>
      </c>
      <c r="W36" s="54">
        <f t="shared" si="28"/>
        <v>6.7142857142857144</v>
      </c>
      <c r="X36" s="54">
        <f t="shared" si="28"/>
        <v>4.8571428571428577</v>
      </c>
      <c r="Y36" s="54">
        <f t="shared" si="28"/>
        <v>38</v>
      </c>
      <c r="Z36" s="54">
        <f t="shared" si="28"/>
        <v>22</v>
      </c>
      <c r="AA36" s="54">
        <f t="shared" si="28"/>
        <v>8.7142857142857153</v>
      </c>
      <c r="AB36" s="54">
        <f t="shared" si="28"/>
        <v>4.8571428571428577</v>
      </c>
      <c r="AC36" s="54">
        <f t="shared" si="28"/>
        <v>778.71428571428578</v>
      </c>
      <c r="AD36" s="54">
        <f t="shared" si="28"/>
        <v>0</v>
      </c>
      <c r="AE36" s="40">
        <f t="shared" si="28"/>
        <v>660.85714285714289</v>
      </c>
      <c r="AF36" s="40">
        <f t="shared" si="28"/>
        <v>1439.5714285714287</v>
      </c>
    </row>
    <row r="37" spans="2:32" ht="23.1" customHeight="1" x14ac:dyDescent="0.25">
      <c r="B37" s="23" t="s">
        <v>64</v>
      </c>
      <c r="C37" s="49">
        <f>AVERAGE('22.07 GAYAZA-KALERWE'!C37,'23.07 GAYAZA-KALERWE'!C37,'24.07 GAYAZA-KALERWE'!C37,'25.07 GAYAZA-KALERWE'!C37,'26.07 GAYAZA-KALERWE-24h'!C37,'27.07 GAYAZA-KALERWE-24h'!C37,'28.07 GAYAZA-KALERWE'!C37)</f>
        <v>42.571428571428569</v>
      </c>
      <c r="D37" s="49">
        <f>AVERAGE('22.07 GAYAZA-KALERWE'!D37,'23.07 GAYAZA-KALERWE'!D37,'24.07 GAYAZA-KALERWE'!D37,'25.07 GAYAZA-KALERWE'!D37,'26.07 GAYAZA-KALERWE-24h'!D37,'27.07 GAYAZA-KALERWE-24h'!D37,'28.07 GAYAZA-KALERWE'!D37)</f>
        <v>7.7142857142857144</v>
      </c>
      <c r="E37" s="49">
        <f>AVERAGE('22.07 GAYAZA-KALERWE'!E37,'23.07 GAYAZA-KALERWE'!E37,'24.07 GAYAZA-KALERWE'!E37,'25.07 GAYAZA-KALERWE'!E37,'26.07 GAYAZA-KALERWE-24h'!E37,'27.07 GAYAZA-KALERWE-24h'!E37,'28.07 GAYAZA-KALERWE'!E37)</f>
        <v>6.7142857142857144</v>
      </c>
      <c r="F37" s="49">
        <f>AVERAGE('22.07 GAYAZA-KALERWE'!F37,'23.07 GAYAZA-KALERWE'!F37,'24.07 GAYAZA-KALERWE'!F37,'25.07 GAYAZA-KALERWE'!F37,'26.07 GAYAZA-KALERWE-24h'!F37,'27.07 GAYAZA-KALERWE-24h'!F37,'28.07 GAYAZA-KALERWE'!F37)</f>
        <v>36.428571428571431</v>
      </c>
      <c r="G37" s="49">
        <f>AVERAGE('22.07 GAYAZA-KALERWE'!G37,'23.07 GAYAZA-KALERWE'!G37,'24.07 GAYAZA-KALERWE'!G37,'25.07 GAYAZA-KALERWE'!G37,'26.07 GAYAZA-KALERWE-24h'!G37,'27.07 GAYAZA-KALERWE-24h'!G37,'28.07 GAYAZA-KALERWE'!G37)</f>
        <v>0</v>
      </c>
      <c r="H37" s="49">
        <f>AVERAGE('22.07 GAYAZA-KALERWE'!H37,'23.07 GAYAZA-KALERWE'!H37,'24.07 GAYAZA-KALERWE'!H37,'25.07 GAYAZA-KALERWE'!H37,'26.07 GAYAZA-KALERWE-24h'!H37,'27.07 GAYAZA-KALERWE-24h'!H37,'28.07 GAYAZA-KALERWE'!H37)</f>
        <v>0.14285714285714285</v>
      </c>
      <c r="I37" s="49">
        <f>AVERAGE('22.07 GAYAZA-KALERWE'!I37,'23.07 GAYAZA-KALERWE'!I37,'24.07 GAYAZA-KALERWE'!I37,'25.07 GAYAZA-KALERWE'!I37,'26.07 GAYAZA-KALERWE-24h'!I37,'27.07 GAYAZA-KALERWE-24h'!I37,'28.07 GAYAZA-KALERWE'!I37)</f>
        <v>9.8571428571428577</v>
      </c>
      <c r="J37" s="49">
        <f>AVERAGE('22.07 GAYAZA-KALERWE'!J37,'23.07 GAYAZA-KALERWE'!J37,'24.07 GAYAZA-KALERWE'!J37,'25.07 GAYAZA-KALERWE'!J37,'26.07 GAYAZA-KALERWE-24h'!J37,'27.07 GAYAZA-KALERWE-24h'!J37,'28.07 GAYAZA-KALERWE'!J37)</f>
        <v>6.5714285714285712</v>
      </c>
      <c r="K37" s="49">
        <f>AVERAGE('22.07 GAYAZA-KALERWE'!K37,'23.07 GAYAZA-KALERWE'!K37,'24.07 GAYAZA-KALERWE'!K37,'25.07 GAYAZA-KALERWE'!K37,'26.07 GAYAZA-KALERWE-24h'!K37,'27.07 GAYAZA-KALERWE-24h'!K37,'28.07 GAYAZA-KALERWE'!K37)</f>
        <v>1.7142857142857142</v>
      </c>
      <c r="L37" s="49">
        <f>AVERAGE('22.07 GAYAZA-KALERWE'!L37,'23.07 GAYAZA-KALERWE'!L37,'24.07 GAYAZA-KALERWE'!L37,'25.07 GAYAZA-KALERWE'!L37,'26.07 GAYAZA-KALERWE-24h'!L37,'27.07 GAYAZA-KALERWE-24h'!L37,'28.07 GAYAZA-KALERWE'!L37)</f>
        <v>1.1428571428571428</v>
      </c>
      <c r="M37" s="49">
        <f>AVERAGE('22.07 GAYAZA-KALERWE'!M37,'23.07 GAYAZA-KALERWE'!M37,'24.07 GAYAZA-KALERWE'!M37,'25.07 GAYAZA-KALERWE'!M37,'26.07 GAYAZA-KALERWE-24h'!M37,'27.07 GAYAZA-KALERWE-24h'!M37,'28.07 GAYAZA-KALERWE'!M37)</f>
        <v>125.14285714285714</v>
      </c>
      <c r="N37" s="49">
        <f>AVERAGE('22.07 GAYAZA-KALERWE'!N37,'23.07 GAYAZA-KALERWE'!N37,'24.07 GAYAZA-KALERWE'!N37,'25.07 GAYAZA-KALERWE'!N37,'26.07 GAYAZA-KALERWE-24h'!N37,'27.07 GAYAZA-KALERWE-24h'!N37,'28.07 GAYAZA-KALERWE'!N37)</f>
        <v>0</v>
      </c>
      <c r="O37" s="15">
        <f t="shared" si="0"/>
        <v>112.85714285714285</v>
      </c>
      <c r="P37" s="15">
        <f t="shared" si="1"/>
        <v>238</v>
      </c>
      <c r="R37" s="37" t="s">
        <v>85</v>
      </c>
      <c r="S37" s="55">
        <f t="shared" ref="S37:AF37" si="29">SUM(S10:S12)</f>
        <v>711.28571428571422</v>
      </c>
      <c r="T37" s="51">
        <f t="shared" si="29"/>
        <v>98.428571428571416</v>
      </c>
      <c r="U37" s="51">
        <f t="shared" si="29"/>
        <v>83.857142857142861</v>
      </c>
      <c r="V37" s="51">
        <f t="shared" si="29"/>
        <v>594.57142857142856</v>
      </c>
      <c r="W37" s="51">
        <f t="shared" si="29"/>
        <v>20.428571428571431</v>
      </c>
      <c r="X37" s="51">
        <f t="shared" si="29"/>
        <v>9.7142857142857153</v>
      </c>
      <c r="Y37" s="51">
        <f t="shared" si="29"/>
        <v>73.857142857142861</v>
      </c>
      <c r="Z37" s="51">
        <f t="shared" si="29"/>
        <v>43.428571428571431</v>
      </c>
      <c r="AA37" s="51">
        <f t="shared" si="29"/>
        <v>16.857142857142858</v>
      </c>
      <c r="AB37" s="51">
        <f t="shared" si="29"/>
        <v>66.571428571428569</v>
      </c>
      <c r="AC37" s="51">
        <f t="shared" si="29"/>
        <v>2743</v>
      </c>
      <c r="AD37" s="51">
        <f t="shared" si="29"/>
        <v>0</v>
      </c>
      <c r="AE37" s="52">
        <f t="shared" si="29"/>
        <v>1719</v>
      </c>
      <c r="AF37" s="52">
        <f t="shared" si="29"/>
        <v>4462</v>
      </c>
    </row>
    <row r="38" spans="2:32" ht="23.1" customHeight="1" x14ac:dyDescent="0.25">
      <c r="B38" s="24" t="s">
        <v>65</v>
      </c>
      <c r="C38" s="49">
        <f>AVERAGE('22.07 GAYAZA-KALERWE'!C38,'23.07 GAYAZA-KALERWE'!C38,'24.07 GAYAZA-KALERWE'!C38,'25.07 GAYAZA-KALERWE'!C38,'26.07 GAYAZA-KALERWE-24h'!C38,'27.07 GAYAZA-KALERWE-24h'!C38,'28.07 GAYAZA-KALERWE'!C38)</f>
        <v>51</v>
      </c>
      <c r="D38" s="49">
        <f>AVERAGE('22.07 GAYAZA-KALERWE'!D38,'23.07 GAYAZA-KALERWE'!D38,'24.07 GAYAZA-KALERWE'!D38,'25.07 GAYAZA-KALERWE'!D38,'26.07 GAYAZA-KALERWE-24h'!D38,'27.07 GAYAZA-KALERWE-24h'!D38,'28.07 GAYAZA-KALERWE'!D38)</f>
        <v>6.8571428571428568</v>
      </c>
      <c r="E38" s="49">
        <f>AVERAGE('22.07 GAYAZA-KALERWE'!E38,'23.07 GAYAZA-KALERWE'!E38,'24.07 GAYAZA-KALERWE'!E38,'25.07 GAYAZA-KALERWE'!E38,'26.07 GAYAZA-KALERWE-24h'!E38,'27.07 GAYAZA-KALERWE-24h'!E38,'28.07 GAYAZA-KALERWE'!E38)</f>
        <v>9.5714285714285712</v>
      </c>
      <c r="F38" s="49">
        <f>AVERAGE('22.07 GAYAZA-KALERWE'!F38,'23.07 GAYAZA-KALERWE'!F38,'24.07 GAYAZA-KALERWE'!F38,'25.07 GAYAZA-KALERWE'!F38,'26.07 GAYAZA-KALERWE-24h'!F38,'27.07 GAYAZA-KALERWE-24h'!F38,'28.07 GAYAZA-KALERWE'!F38)</f>
        <v>37.571428571428569</v>
      </c>
      <c r="G38" s="49">
        <f>AVERAGE('22.07 GAYAZA-KALERWE'!G38,'23.07 GAYAZA-KALERWE'!G38,'24.07 GAYAZA-KALERWE'!G38,'25.07 GAYAZA-KALERWE'!G38,'26.07 GAYAZA-KALERWE-24h'!G38,'27.07 GAYAZA-KALERWE-24h'!G38,'28.07 GAYAZA-KALERWE'!G38)</f>
        <v>0.7142857142857143</v>
      </c>
      <c r="H38" s="49">
        <f>AVERAGE('22.07 GAYAZA-KALERWE'!H38,'23.07 GAYAZA-KALERWE'!H38,'24.07 GAYAZA-KALERWE'!H38,'25.07 GAYAZA-KALERWE'!H38,'26.07 GAYAZA-KALERWE-24h'!H38,'27.07 GAYAZA-KALERWE-24h'!H38,'28.07 GAYAZA-KALERWE'!H38)</f>
        <v>0.7142857142857143</v>
      </c>
      <c r="I38" s="49">
        <f>AVERAGE('22.07 GAYAZA-KALERWE'!I38,'23.07 GAYAZA-KALERWE'!I38,'24.07 GAYAZA-KALERWE'!I38,'25.07 GAYAZA-KALERWE'!I38,'26.07 GAYAZA-KALERWE-24h'!I38,'27.07 GAYAZA-KALERWE-24h'!I38,'28.07 GAYAZA-KALERWE'!I38)</f>
        <v>11.571428571428571</v>
      </c>
      <c r="J38" s="49">
        <f>AVERAGE('22.07 GAYAZA-KALERWE'!J38,'23.07 GAYAZA-KALERWE'!J38,'24.07 GAYAZA-KALERWE'!J38,'25.07 GAYAZA-KALERWE'!J38,'26.07 GAYAZA-KALERWE-24h'!J38,'27.07 GAYAZA-KALERWE-24h'!J38,'28.07 GAYAZA-KALERWE'!J38)</f>
        <v>7</v>
      </c>
      <c r="K38" s="49">
        <f>AVERAGE('22.07 GAYAZA-KALERWE'!K38,'23.07 GAYAZA-KALERWE'!K38,'24.07 GAYAZA-KALERWE'!K38,'25.07 GAYAZA-KALERWE'!K38,'26.07 GAYAZA-KALERWE-24h'!K38,'27.07 GAYAZA-KALERWE-24h'!K38,'28.07 GAYAZA-KALERWE'!K38)</f>
        <v>2.1428571428571428</v>
      </c>
      <c r="L38" s="49">
        <f>AVERAGE('22.07 GAYAZA-KALERWE'!L38,'23.07 GAYAZA-KALERWE'!L38,'24.07 GAYAZA-KALERWE'!L38,'25.07 GAYAZA-KALERWE'!L38,'26.07 GAYAZA-KALERWE-24h'!L38,'27.07 GAYAZA-KALERWE-24h'!L38,'28.07 GAYAZA-KALERWE'!L38)</f>
        <v>1.4285714285714286</v>
      </c>
      <c r="M38" s="49">
        <f>AVERAGE('22.07 GAYAZA-KALERWE'!M38,'23.07 GAYAZA-KALERWE'!M38,'24.07 GAYAZA-KALERWE'!M38,'25.07 GAYAZA-KALERWE'!M38,'26.07 GAYAZA-KALERWE-24h'!M38,'27.07 GAYAZA-KALERWE-24h'!M38,'28.07 GAYAZA-KALERWE'!M38)</f>
        <v>156.71428571428572</v>
      </c>
      <c r="N38" s="49">
        <f>AVERAGE('22.07 GAYAZA-KALERWE'!N38,'23.07 GAYAZA-KALERWE'!N38,'24.07 GAYAZA-KALERWE'!N38,'25.07 GAYAZA-KALERWE'!N38,'26.07 GAYAZA-KALERWE-24h'!N38,'27.07 GAYAZA-KALERWE-24h'!N38,'28.07 GAYAZA-KALERWE'!N38)</f>
        <v>0.14285714285714285</v>
      </c>
      <c r="O38" s="15">
        <f t="shared" si="0"/>
        <v>128.71428571428569</v>
      </c>
      <c r="P38" s="15">
        <f t="shared" si="1"/>
        <v>285.42857142857144</v>
      </c>
      <c r="R38" s="28" t="s">
        <v>86</v>
      </c>
      <c r="S38" s="51">
        <f t="shared" ref="S38:AF38" si="30">SUM(S13:S18)</f>
        <v>1367.2857142857144</v>
      </c>
      <c r="T38" s="51">
        <f t="shared" si="30"/>
        <v>185.57142857142858</v>
      </c>
      <c r="U38" s="51">
        <f t="shared" si="30"/>
        <v>192.85714285714289</v>
      </c>
      <c r="V38" s="51">
        <f t="shared" si="30"/>
        <v>1112.7142857142856</v>
      </c>
      <c r="W38" s="51">
        <f t="shared" si="30"/>
        <v>13.714285714285714</v>
      </c>
      <c r="X38" s="51">
        <f t="shared" si="30"/>
        <v>11.285714285714285</v>
      </c>
      <c r="Y38" s="51">
        <f t="shared" si="30"/>
        <v>198.14285714285714</v>
      </c>
      <c r="Z38" s="51">
        <f t="shared" si="30"/>
        <v>136</v>
      </c>
      <c r="AA38" s="51">
        <f t="shared" si="30"/>
        <v>57.857142857142861</v>
      </c>
      <c r="AB38" s="51">
        <f t="shared" si="30"/>
        <v>25.571428571428569</v>
      </c>
      <c r="AC38" s="51">
        <f t="shared" si="30"/>
        <v>3529.1428571428569</v>
      </c>
      <c r="AD38" s="51">
        <f t="shared" si="30"/>
        <v>0.14285714285714285</v>
      </c>
      <c r="AE38" s="52">
        <f t="shared" si="30"/>
        <v>3301.1428571428578</v>
      </c>
      <c r="AF38" s="52">
        <f t="shared" si="30"/>
        <v>6830.2857142857138</v>
      </c>
    </row>
    <row r="39" spans="2:32" ht="23.1" customHeight="1" x14ac:dyDescent="0.25">
      <c r="B39" s="24" t="s">
        <v>66</v>
      </c>
      <c r="C39" s="49">
        <f>AVERAGE('22.07 GAYAZA-KALERWE'!C39,'23.07 GAYAZA-KALERWE'!C39,'24.07 GAYAZA-KALERWE'!C39,'25.07 GAYAZA-KALERWE'!C39,'26.07 GAYAZA-KALERWE-24h'!C39,'27.07 GAYAZA-KALERWE-24h'!C39,'28.07 GAYAZA-KALERWE'!C39)</f>
        <v>43.714285714285715</v>
      </c>
      <c r="D39" s="49">
        <f>AVERAGE('22.07 GAYAZA-KALERWE'!D39,'23.07 GAYAZA-KALERWE'!D39,'24.07 GAYAZA-KALERWE'!D39,'25.07 GAYAZA-KALERWE'!D39,'26.07 GAYAZA-KALERWE-24h'!D39,'27.07 GAYAZA-KALERWE-24h'!D39,'28.07 GAYAZA-KALERWE'!D39)</f>
        <v>6.8571428571428568</v>
      </c>
      <c r="E39" s="49">
        <f>AVERAGE('22.07 GAYAZA-KALERWE'!E39,'23.07 GAYAZA-KALERWE'!E39,'24.07 GAYAZA-KALERWE'!E39,'25.07 GAYAZA-KALERWE'!E39,'26.07 GAYAZA-KALERWE-24h'!E39,'27.07 GAYAZA-KALERWE-24h'!E39,'28.07 GAYAZA-KALERWE'!E39)</f>
        <v>6</v>
      </c>
      <c r="F39" s="49">
        <f>AVERAGE('22.07 GAYAZA-KALERWE'!F39,'23.07 GAYAZA-KALERWE'!F39,'24.07 GAYAZA-KALERWE'!F39,'25.07 GAYAZA-KALERWE'!F39,'26.07 GAYAZA-KALERWE-24h'!F39,'27.07 GAYAZA-KALERWE-24h'!F39,'28.07 GAYAZA-KALERWE'!F39)</f>
        <v>27.857142857142858</v>
      </c>
      <c r="G39" s="49">
        <f>AVERAGE('22.07 GAYAZA-KALERWE'!G39,'23.07 GAYAZA-KALERWE'!G39,'24.07 GAYAZA-KALERWE'!G39,'25.07 GAYAZA-KALERWE'!G39,'26.07 GAYAZA-KALERWE-24h'!G39,'27.07 GAYAZA-KALERWE-24h'!G39,'28.07 GAYAZA-KALERWE'!G39)</f>
        <v>0.14285714285714285</v>
      </c>
      <c r="H39" s="49">
        <f>AVERAGE('22.07 GAYAZA-KALERWE'!H39,'23.07 GAYAZA-KALERWE'!H39,'24.07 GAYAZA-KALERWE'!H39,'25.07 GAYAZA-KALERWE'!H39,'26.07 GAYAZA-KALERWE-24h'!H39,'27.07 GAYAZA-KALERWE-24h'!H39,'28.07 GAYAZA-KALERWE'!H39)</f>
        <v>0.7142857142857143</v>
      </c>
      <c r="I39" s="49">
        <f>AVERAGE('22.07 GAYAZA-KALERWE'!I39,'23.07 GAYAZA-KALERWE'!I39,'24.07 GAYAZA-KALERWE'!I39,'25.07 GAYAZA-KALERWE'!I39,'26.07 GAYAZA-KALERWE-24h'!I39,'27.07 GAYAZA-KALERWE-24h'!I39,'28.07 GAYAZA-KALERWE'!I39)</f>
        <v>8.1428571428571423</v>
      </c>
      <c r="J39" s="49">
        <f>AVERAGE('22.07 GAYAZA-KALERWE'!J39,'23.07 GAYAZA-KALERWE'!J39,'24.07 GAYAZA-KALERWE'!J39,'25.07 GAYAZA-KALERWE'!J39,'26.07 GAYAZA-KALERWE-24h'!J39,'27.07 GAYAZA-KALERWE-24h'!J39,'28.07 GAYAZA-KALERWE'!J39)</f>
        <v>7.2857142857142856</v>
      </c>
      <c r="K39" s="49">
        <f>AVERAGE('22.07 GAYAZA-KALERWE'!K39,'23.07 GAYAZA-KALERWE'!K39,'24.07 GAYAZA-KALERWE'!K39,'25.07 GAYAZA-KALERWE'!K39,'26.07 GAYAZA-KALERWE-24h'!K39,'27.07 GAYAZA-KALERWE-24h'!K39,'28.07 GAYAZA-KALERWE'!K39)</f>
        <v>3.1428571428571428</v>
      </c>
      <c r="L39" s="49">
        <f>AVERAGE('22.07 GAYAZA-KALERWE'!L39,'23.07 GAYAZA-KALERWE'!L39,'24.07 GAYAZA-KALERWE'!L39,'25.07 GAYAZA-KALERWE'!L39,'26.07 GAYAZA-KALERWE-24h'!L39,'27.07 GAYAZA-KALERWE-24h'!L39,'28.07 GAYAZA-KALERWE'!L39)</f>
        <v>1.8571428571428572</v>
      </c>
      <c r="M39" s="49">
        <f>AVERAGE('22.07 GAYAZA-KALERWE'!M39,'23.07 GAYAZA-KALERWE'!M39,'24.07 GAYAZA-KALERWE'!M39,'25.07 GAYAZA-KALERWE'!M39,'26.07 GAYAZA-KALERWE-24h'!M39,'27.07 GAYAZA-KALERWE-24h'!M39,'28.07 GAYAZA-KALERWE'!M39)</f>
        <v>116.28571428571429</v>
      </c>
      <c r="N39" s="49">
        <f>AVERAGE('22.07 GAYAZA-KALERWE'!N39,'23.07 GAYAZA-KALERWE'!N39,'24.07 GAYAZA-KALERWE'!N39,'25.07 GAYAZA-KALERWE'!N39,'26.07 GAYAZA-KALERWE-24h'!N39,'27.07 GAYAZA-KALERWE-24h'!N39,'28.07 GAYAZA-KALERWE'!N39)</f>
        <v>0</v>
      </c>
      <c r="O39" s="15">
        <f t="shared" si="0"/>
        <v>105.71428571428571</v>
      </c>
      <c r="P39" s="15">
        <f t="shared" si="1"/>
        <v>222</v>
      </c>
      <c r="R39" s="29" t="s">
        <v>87</v>
      </c>
      <c r="S39" s="51">
        <f t="shared" ref="S39:AF39" si="31">SUM(S19:S21)</f>
        <v>682.14285714285722</v>
      </c>
      <c r="T39" s="51">
        <f t="shared" si="31"/>
        <v>84.142857142857139</v>
      </c>
      <c r="U39" s="51">
        <f t="shared" si="31"/>
        <v>91.285714285714278</v>
      </c>
      <c r="V39" s="51">
        <f t="shared" si="31"/>
        <v>727.14285714285711</v>
      </c>
      <c r="W39" s="51">
        <f t="shared" si="31"/>
        <v>13.571428571428571</v>
      </c>
      <c r="X39" s="51">
        <f t="shared" si="31"/>
        <v>8.4285714285714288</v>
      </c>
      <c r="Y39" s="51">
        <f t="shared" si="31"/>
        <v>106.57142857142857</v>
      </c>
      <c r="Z39" s="51">
        <f t="shared" si="31"/>
        <v>63.857142857142861</v>
      </c>
      <c r="AA39" s="51">
        <f t="shared" si="31"/>
        <v>23.285714285714288</v>
      </c>
      <c r="AB39" s="51">
        <f t="shared" si="31"/>
        <v>10.571428571428571</v>
      </c>
      <c r="AC39" s="51">
        <f t="shared" si="31"/>
        <v>2195.7142857142858</v>
      </c>
      <c r="AD39" s="51">
        <f t="shared" si="31"/>
        <v>0</v>
      </c>
      <c r="AE39" s="52">
        <f t="shared" si="31"/>
        <v>1811.0000000000002</v>
      </c>
      <c r="AF39" s="52">
        <f t="shared" si="31"/>
        <v>4006.7142857142853</v>
      </c>
    </row>
    <row r="40" spans="2:32" ht="23.1" customHeight="1" x14ac:dyDescent="0.25">
      <c r="B40" s="24" t="s">
        <v>67</v>
      </c>
      <c r="C40" s="49">
        <f>AVERAGE('22.07 GAYAZA-KALERWE'!C40,'23.07 GAYAZA-KALERWE'!C40,'24.07 GAYAZA-KALERWE'!C40,'25.07 GAYAZA-KALERWE'!C40,'26.07 GAYAZA-KALERWE-24h'!C40,'27.07 GAYAZA-KALERWE-24h'!C40,'28.07 GAYAZA-KALERWE'!C40)</f>
        <v>50.428571428571431</v>
      </c>
      <c r="D40" s="49">
        <f>AVERAGE('22.07 GAYAZA-KALERWE'!D40,'23.07 GAYAZA-KALERWE'!D40,'24.07 GAYAZA-KALERWE'!D40,'25.07 GAYAZA-KALERWE'!D40,'26.07 GAYAZA-KALERWE-24h'!D40,'27.07 GAYAZA-KALERWE-24h'!D40,'28.07 GAYAZA-KALERWE'!D40)</f>
        <v>6.2857142857142856</v>
      </c>
      <c r="E40" s="49">
        <f>AVERAGE('22.07 GAYAZA-KALERWE'!E40,'23.07 GAYAZA-KALERWE'!E40,'24.07 GAYAZA-KALERWE'!E40,'25.07 GAYAZA-KALERWE'!E40,'26.07 GAYAZA-KALERWE-24h'!E40,'27.07 GAYAZA-KALERWE-24h'!E40,'28.07 GAYAZA-KALERWE'!E40)</f>
        <v>8.1428571428571423</v>
      </c>
      <c r="F40" s="49">
        <f>AVERAGE('22.07 GAYAZA-KALERWE'!F40,'23.07 GAYAZA-KALERWE'!F40,'24.07 GAYAZA-KALERWE'!F40,'25.07 GAYAZA-KALERWE'!F40,'26.07 GAYAZA-KALERWE-24h'!F40,'27.07 GAYAZA-KALERWE-24h'!F40,'28.07 GAYAZA-KALERWE'!F40)</f>
        <v>35</v>
      </c>
      <c r="G40" s="49">
        <f>AVERAGE('22.07 GAYAZA-KALERWE'!G40,'23.07 GAYAZA-KALERWE'!G40,'24.07 GAYAZA-KALERWE'!G40,'25.07 GAYAZA-KALERWE'!G40,'26.07 GAYAZA-KALERWE-24h'!G40,'27.07 GAYAZA-KALERWE-24h'!G40,'28.07 GAYAZA-KALERWE'!G40)</f>
        <v>0.2857142857142857</v>
      </c>
      <c r="H40" s="49">
        <f>AVERAGE('22.07 GAYAZA-KALERWE'!H40,'23.07 GAYAZA-KALERWE'!H40,'24.07 GAYAZA-KALERWE'!H40,'25.07 GAYAZA-KALERWE'!H40,'26.07 GAYAZA-KALERWE-24h'!H40,'27.07 GAYAZA-KALERWE-24h'!H40,'28.07 GAYAZA-KALERWE'!H40)</f>
        <v>0.14285714285714285</v>
      </c>
      <c r="I40" s="49">
        <f>AVERAGE('22.07 GAYAZA-KALERWE'!I40,'23.07 GAYAZA-KALERWE'!I40,'24.07 GAYAZA-KALERWE'!I40,'25.07 GAYAZA-KALERWE'!I40,'26.07 GAYAZA-KALERWE-24h'!I40,'27.07 GAYAZA-KALERWE-24h'!I40,'28.07 GAYAZA-KALERWE'!I40)</f>
        <v>10.857142857142858</v>
      </c>
      <c r="J40" s="49">
        <f>AVERAGE('22.07 GAYAZA-KALERWE'!J40,'23.07 GAYAZA-KALERWE'!J40,'24.07 GAYAZA-KALERWE'!J40,'25.07 GAYAZA-KALERWE'!J40,'26.07 GAYAZA-KALERWE-24h'!J40,'27.07 GAYAZA-KALERWE-24h'!J40,'28.07 GAYAZA-KALERWE'!J40)</f>
        <v>6.1428571428571432</v>
      </c>
      <c r="K40" s="49">
        <f>AVERAGE('22.07 GAYAZA-KALERWE'!K40,'23.07 GAYAZA-KALERWE'!K40,'24.07 GAYAZA-KALERWE'!K40,'25.07 GAYAZA-KALERWE'!K40,'26.07 GAYAZA-KALERWE-24h'!K40,'27.07 GAYAZA-KALERWE-24h'!K40,'28.07 GAYAZA-KALERWE'!K40)</f>
        <v>1.8571428571428572</v>
      </c>
      <c r="L40" s="49">
        <f>AVERAGE('22.07 GAYAZA-KALERWE'!L40,'23.07 GAYAZA-KALERWE'!L40,'24.07 GAYAZA-KALERWE'!L40,'25.07 GAYAZA-KALERWE'!L40,'26.07 GAYAZA-KALERWE-24h'!L40,'27.07 GAYAZA-KALERWE-24h'!L40,'28.07 GAYAZA-KALERWE'!L40)</f>
        <v>0.8571428571428571</v>
      </c>
      <c r="M40" s="49">
        <f>AVERAGE('22.07 GAYAZA-KALERWE'!M40,'23.07 GAYAZA-KALERWE'!M40,'24.07 GAYAZA-KALERWE'!M40,'25.07 GAYAZA-KALERWE'!M40,'26.07 GAYAZA-KALERWE-24h'!M40,'27.07 GAYAZA-KALERWE-24h'!M40,'28.07 GAYAZA-KALERWE'!M40)</f>
        <v>131.71428571428572</v>
      </c>
      <c r="N40" s="49">
        <f>AVERAGE('22.07 GAYAZA-KALERWE'!N40,'23.07 GAYAZA-KALERWE'!N40,'24.07 GAYAZA-KALERWE'!N40,'25.07 GAYAZA-KALERWE'!N40,'26.07 GAYAZA-KALERWE-24h'!N40,'27.07 GAYAZA-KALERWE-24h'!N40,'28.07 GAYAZA-KALERWE'!N40)</f>
        <v>0</v>
      </c>
      <c r="O40" s="15">
        <f t="shared" si="0"/>
        <v>120.00000000000001</v>
      </c>
      <c r="P40" s="15">
        <f t="shared" si="1"/>
        <v>251.71428571428572</v>
      </c>
      <c r="R40" s="5" t="s">
        <v>17</v>
      </c>
      <c r="S40" s="51">
        <f t="shared" ref="S40:AF40" si="32">SUM(S10:S21)</f>
        <v>2760.7142857142858</v>
      </c>
      <c r="T40" s="51">
        <f t="shared" si="32"/>
        <v>368.14285714285711</v>
      </c>
      <c r="U40" s="51">
        <f t="shared" si="32"/>
        <v>368</v>
      </c>
      <c r="V40" s="51">
        <f t="shared" si="32"/>
        <v>2434.4285714285716</v>
      </c>
      <c r="W40" s="51">
        <f t="shared" si="32"/>
        <v>47.714285714285708</v>
      </c>
      <c r="X40" s="51">
        <f t="shared" si="32"/>
        <v>29.428571428571423</v>
      </c>
      <c r="Y40" s="51">
        <f t="shared" si="32"/>
        <v>378.57142857142861</v>
      </c>
      <c r="Z40" s="51">
        <f t="shared" si="32"/>
        <v>243.28571428571428</v>
      </c>
      <c r="AA40" s="51">
        <f t="shared" si="32"/>
        <v>97.999999999999986</v>
      </c>
      <c r="AB40" s="51">
        <f t="shared" si="32"/>
        <v>102.71428571428574</v>
      </c>
      <c r="AC40" s="51">
        <f t="shared" si="32"/>
        <v>8467.8571428571431</v>
      </c>
      <c r="AD40" s="51">
        <f t="shared" si="32"/>
        <v>0.14285714285714285</v>
      </c>
      <c r="AE40" s="52">
        <f t="shared" si="32"/>
        <v>6831.1428571428578</v>
      </c>
      <c r="AF40" s="52">
        <f t="shared" si="32"/>
        <v>15299</v>
      </c>
    </row>
    <row r="41" spans="2:32" ht="23.1" customHeight="1" x14ac:dyDescent="0.25">
      <c r="B41" s="23" t="s">
        <v>68</v>
      </c>
      <c r="C41" s="49">
        <f>AVERAGE('22.07 GAYAZA-KALERWE'!C41,'23.07 GAYAZA-KALERWE'!C41,'24.07 GAYAZA-KALERWE'!C41,'25.07 GAYAZA-KALERWE'!C41,'26.07 GAYAZA-KALERWE-24h'!C41,'27.07 GAYAZA-KALERWE-24h'!C41,'28.07 GAYAZA-KALERWE'!C41)</f>
        <v>43.714285714285715</v>
      </c>
      <c r="D41" s="49">
        <f>AVERAGE('22.07 GAYAZA-KALERWE'!D41,'23.07 GAYAZA-KALERWE'!D41,'24.07 GAYAZA-KALERWE'!D41,'25.07 GAYAZA-KALERWE'!D41,'26.07 GAYAZA-KALERWE-24h'!D41,'27.07 GAYAZA-KALERWE-24h'!D41,'28.07 GAYAZA-KALERWE'!D41)</f>
        <v>4.5714285714285712</v>
      </c>
      <c r="E41" s="49">
        <f>AVERAGE('22.07 GAYAZA-KALERWE'!E41,'23.07 GAYAZA-KALERWE'!E41,'24.07 GAYAZA-KALERWE'!E41,'25.07 GAYAZA-KALERWE'!E41,'26.07 GAYAZA-KALERWE-24h'!E41,'27.07 GAYAZA-KALERWE-24h'!E41,'28.07 GAYAZA-KALERWE'!E41)</f>
        <v>8.8571428571428577</v>
      </c>
      <c r="F41" s="49">
        <f>AVERAGE('22.07 GAYAZA-KALERWE'!F41,'23.07 GAYAZA-KALERWE'!F41,'24.07 GAYAZA-KALERWE'!F41,'25.07 GAYAZA-KALERWE'!F41,'26.07 GAYAZA-KALERWE-24h'!F41,'27.07 GAYAZA-KALERWE-24h'!F41,'28.07 GAYAZA-KALERWE'!F41)</f>
        <v>34.285714285714285</v>
      </c>
      <c r="G41" s="49">
        <f>AVERAGE('22.07 GAYAZA-KALERWE'!G41,'23.07 GAYAZA-KALERWE'!G41,'24.07 GAYAZA-KALERWE'!G41,'25.07 GAYAZA-KALERWE'!G41,'26.07 GAYAZA-KALERWE-24h'!G41,'27.07 GAYAZA-KALERWE-24h'!G41,'28.07 GAYAZA-KALERWE'!G41)</f>
        <v>0.42857142857142855</v>
      </c>
      <c r="H41" s="49">
        <f>AVERAGE('22.07 GAYAZA-KALERWE'!H41,'23.07 GAYAZA-KALERWE'!H41,'24.07 GAYAZA-KALERWE'!H41,'25.07 GAYAZA-KALERWE'!H41,'26.07 GAYAZA-KALERWE-24h'!H41,'27.07 GAYAZA-KALERWE-24h'!H41,'28.07 GAYAZA-KALERWE'!H41)</f>
        <v>0.5714285714285714</v>
      </c>
      <c r="I41" s="49">
        <f>AVERAGE('22.07 GAYAZA-KALERWE'!I41,'23.07 GAYAZA-KALERWE'!I41,'24.07 GAYAZA-KALERWE'!I41,'25.07 GAYAZA-KALERWE'!I41,'26.07 GAYAZA-KALERWE-24h'!I41,'27.07 GAYAZA-KALERWE-24h'!I41,'28.07 GAYAZA-KALERWE'!I41)</f>
        <v>8.7142857142857135</v>
      </c>
      <c r="J41" s="49">
        <f>AVERAGE('22.07 GAYAZA-KALERWE'!J41,'23.07 GAYAZA-KALERWE'!J41,'24.07 GAYAZA-KALERWE'!J41,'25.07 GAYAZA-KALERWE'!J41,'26.07 GAYAZA-KALERWE-24h'!J41,'27.07 GAYAZA-KALERWE-24h'!J41,'28.07 GAYAZA-KALERWE'!J41)</f>
        <v>4.5714285714285712</v>
      </c>
      <c r="K41" s="49">
        <f>AVERAGE('22.07 GAYAZA-KALERWE'!K41,'23.07 GAYAZA-KALERWE'!K41,'24.07 GAYAZA-KALERWE'!K41,'25.07 GAYAZA-KALERWE'!K41,'26.07 GAYAZA-KALERWE-24h'!K41,'27.07 GAYAZA-KALERWE-24h'!K41,'28.07 GAYAZA-KALERWE'!K41)</f>
        <v>1.5714285714285714</v>
      </c>
      <c r="L41" s="49">
        <f>AVERAGE('22.07 GAYAZA-KALERWE'!L41,'23.07 GAYAZA-KALERWE'!L41,'24.07 GAYAZA-KALERWE'!L41,'25.07 GAYAZA-KALERWE'!L41,'26.07 GAYAZA-KALERWE-24h'!L41,'27.07 GAYAZA-KALERWE-24h'!L41,'28.07 GAYAZA-KALERWE'!L41)</f>
        <v>0.7142857142857143</v>
      </c>
      <c r="M41" s="49">
        <f>AVERAGE('22.07 GAYAZA-KALERWE'!M41,'23.07 GAYAZA-KALERWE'!M41,'24.07 GAYAZA-KALERWE'!M41,'25.07 GAYAZA-KALERWE'!M41,'26.07 GAYAZA-KALERWE-24h'!M41,'27.07 GAYAZA-KALERWE-24h'!M41,'28.07 GAYAZA-KALERWE'!M41)</f>
        <v>107.57142857142857</v>
      </c>
      <c r="N41" s="49">
        <f>AVERAGE('22.07 GAYAZA-KALERWE'!N41,'23.07 GAYAZA-KALERWE'!N41,'24.07 GAYAZA-KALERWE'!N41,'25.07 GAYAZA-KALERWE'!N41,'26.07 GAYAZA-KALERWE-24h'!N41,'27.07 GAYAZA-KALERWE-24h'!N41,'28.07 GAYAZA-KALERWE'!N41)</f>
        <v>0</v>
      </c>
      <c r="O41" s="15">
        <f t="shared" si="0"/>
        <v>107.99999999999997</v>
      </c>
      <c r="P41" s="15">
        <f t="shared" si="1"/>
        <v>215.57142857142856</v>
      </c>
      <c r="R41" s="5" t="s">
        <v>185</v>
      </c>
      <c r="S41" s="51">
        <f>SUM(S10:S33)</f>
        <v>3856.2142857142858</v>
      </c>
      <c r="T41" s="51">
        <f t="shared" ref="T41:AD41" si="33">SUM(T10:T33)</f>
        <v>662.64285714285711</v>
      </c>
      <c r="U41" s="51">
        <f t="shared" si="33"/>
        <v>539.5</v>
      </c>
      <c r="V41" s="51">
        <f t="shared" si="33"/>
        <v>3336.9285714285716</v>
      </c>
      <c r="W41" s="51">
        <f t="shared" si="33"/>
        <v>76.214285714285708</v>
      </c>
      <c r="X41" s="51">
        <f t="shared" si="33"/>
        <v>40.928571428571423</v>
      </c>
      <c r="Y41" s="51">
        <f t="shared" si="33"/>
        <v>560.57142857142867</v>
      </c>
      <c r="Z41" s="51">
        <f t="shared" si="33"/>
        <v>369.28571428571428</v>
      </c>
      <c r="AA41" s="51">
        <f t="shared" si="33"/>
        <v>141.5</v>
      </c>
      <c r="AB41" s="51">
        <f t="shared" si="33"/>
        <v>126.21428571428574</v>
      </c>
      <c r="AC41" s="51">
        <f t="shared" si="33"/>
        <v>14402.857142857143</v>
      </c>
      <c r="AD41" s="51">
        <f t="shared" si="33"/>
        <v>0.14285714285714285</v>
      </c>
      <c r="AE41" s="52">
        <f>SUM(AE10:AE33)</f>
        <v>9710.1428571428587</v>
      </c>
      <c r="AF41" s="52">
        <f>SUM(AF10:AF33)</f>
        <v>24113</v>
      </c>
    </row>
    <row r="42" spans="2:32" ht="23.1" customHeight="1" x14ac:dyDescent="0.25">
      <c r="B42" s="24" t="s">
        <v>69</v>
      </c>
      <c r="C42" s="49">
        <f>AVERAGE('22.07 GAYAZA-KALERWE'!C42,'23.07 GAYAZA-KALERWE'!C42,'24.07 GAYAZA-KALERWE'!C42,'25.07 GAYAZA-KALERWE'!C42,'26.07 GAYAZA-KALERWE-24h'!C42,'27.07 GAYAZA-KALERWE-24h'!C42,'28.07 GAYAZA-KALERWE'!C42)</f>
        <v>48.428571428571431</v>
      </c>
      <c r="D42" s="49">
        <f>AVERAGE('22.07 GAYAZA-KALERWE'!D42,'23.07 GAYAZA-KALERWE'!D42,'24.07 GAYAZA-KALERWE'!D42,'25.07 GAYAZA-KALERWE'!D42,'26.07 GAYAZA-KALERWE-24h'!D42,'27.07 GAYAZA-KALERWE-24h'!D42,'28.07 GAYAZA-KALERWE'!D42)</f>
        <v>5.1428571428571432</v>
      </c>
      <c r="E42" s="49">
        <f>AVERAGE('22.07 GAYAZA-KALERWE'!E42,'23.07 GAYAZA-KALERWE'!E42,'24.07 GAYAZA-KALERWE'!E42,'25.07 GAYAZA-KALERWE'!E42,'26.07 GAYAZA-KALERWE-24h'!E42,'27.07 GAYAZA-KALERWE-24h'!E42,'28.07 GAYAZA-KALERWE'!E42)</f>
        <v>7.4285714285714288</v>
      </c>
      <c r="F42" s="49">
        <f>AVERAGE('22.07 GAYAZA-KALERWE'!F42,'23.07 GAYAZA-KALERWE'!F42,'24.07 GAYAZA-KALERWE'!F42,'25.07 GAYAZA-KALERWE'!F42,'26.07 GAYAZA-KALERWE-24h'!F42,'27.07 GAYAZA-KALERWE-24h'!F42,'28.07 GAYAZA-KALERWE'!F42)</f>
        <v>37.571428571428569</v>
      </c>
      <c r="G42" s="49">
        <f>AVERAGE('22.07 GAYAZA-KALERWE'!G42,'23.07 GAYAZA-KALERWE'!G42,'24.07 GAYAZA-KALERWE'!G42,'25.07 GAYAZA-KALERWE'!G42,'26.07 GAYAZA-KALERWE-24h'!G42,'27.07 GAYAZA-KALERWE-24h'!G42,'28.07 GAYAZA-KALERWE'!G42)</f>
        <v>1.5714285714285714</v>
      </c>
      <c r="H42" s="49">
        <f>AVERAGE('22.07 GAYAZA-KALERWE'!H42,'23.07 GAYAZA-KALERWE'!H42,'24.07 GAYAZA-KALERWE'!H42,'25.07 GAYAZA-KALERWE'!H42,'26.07 GAYAZA-KALERWE-24h'!H42,'27.07 GAYAZA-KALERWE-24h'!H42,'28.07 GAYAZA-KALERWE'!H42)</f>
        <v>0.42857142857142855</v>
      </c>
      <c r="I42" s="49">
        <f>AVERAGE('22.07 GAYAZA-KALERWE'!I42,'23.07 GAYAZA-KALERWE'!I42,'24.07 GAYAZA-KALERWE'!I42,'25.07 GAYAZA-KALERWE'!I42,'26.07 GAYAZA-KALERWE-24h'!I42,'27.07 GAYAZA-KALERWE-24h'!I42,'28.07 GAYAZA-KALERWE'!I42)</f>
        <v>8.4285714285714288</v>
      </c>
      <c r="J42" s="49">
        <f>AVERAGE('22.07 GAYAZA-KALERWE'!J42,'23.07 GAYAZA-KALERWE'!J42,'24.07 GAYAZA-KALERWE'!J42,'25.07 GAYAZA-KALERWE'!J42,'26.07 GAYAZA-KALERWE-24h'!J42,'27.07 GAYAZA-KALERWE-24h'!J42,'28.07 GAYAZA-KALERWE'!J42)</f>
        <v>4.7142857142857144</v>
      </c>
      <c r="K42" s="49">
        <f>AVERAGE('22.07 GAYAZA-KALERWE'!K42,'23.07 GAYAZA-KALERWE'!K42,'24.07 GAYAZA-KALERWE'!K42,'25.07 GAYAZA-KALERWE'!K42,'26.07 GAYAZA-KALERWE-24h'!K42,'27.07 GAYAZA-KALERWE-24h'!K42,'28.07 GAYAZA-KALERWE'!K42)</f>
        <v>1.7142857142857142</v>
      </c>
      <c r="L42" s="49">
        <f>AVERAGE('22.07 GAYAZA-KALERWE'!L42,'23.07 GAYAZA-KALERWE'!L42,'24.07 GAYAZA-KALERWE'!L42,'25.07 GAYAZA-KALERWE'!L42,'26.07 GAYAZA-KALERWE-24h'!L42,'27.07 GAYAZA-KALERWE-24h'!L42,'28.07 GAYAZA-KALERWE'!L42)</f>
        <v>0.14285714285714285</v>
      </c>
      <c r="M42" s="49">
        <f>AVERAGE('22.07 GAYAZA-KALERWE'!M42,'23.07 GAYAZA-KALERWE'!M42,'24.07 GAYAZA-KALERWE'!M42,'25.07 GAYAZA-KALERWE'!M42,'26.07 GAYAZA-KALERWE-24h'!M42,'27.07 GAYAZA-KALERWE-24h'!M42,'28.07 GAYAZA-KALERWE'!M42)</f>
        <v>125.85714285714286</v>
      </c>
      <c r="N42" s="49">
        <f>AVERAGE('22.07 GAYAZA-KALERWE'!N42,'23.07 GAYAZA-KALERWE'!N42,'24.07 GAYAZA-KALERWE'!N42,'25.07 GAYAZA-KALERWE'!N42,'26.07 GAYAZA-KALERWE-24h'!N42,'27.07 GAYAZA-KALERWE-24h'!N42,'28.07 GAYAZA-KALERWE'!N42)</f>
        <v>0</v>
      </c>
      <c r="O42" s="15">
        <f t="shared" si="0"/>
        <v>115.57142857142857</v>
      </c>
      <c r="P42" s="15">
        <f t="shared" si="1"/>
        <v>241.42857142857144</v>
      </c>
      <c r="R42" s="5" t="s">
        <v>160</v>
      </c>
      <c r="S42" s="48">
        <f>S41/S40</f>
        <v>1.3968175937904268</v>
      </c>
      <c r="T42" s="48">
        <f t="shared" ref="T42:AF42" si="34">T41/T40</f>
        <v>1.7999611951882033</v>
      </c>
      <c r="U42" s="48">
        <f t="shared" si="34"/>
        <v>1.4660326086956521</v>
      </c>
      <c r="V42" s="48">
        <f t="shared" si="34"/>
        <v>1.3707235490874949</v>
      </c>
      <c r="W42" s="48">
        <f t="shared" si="34"/>
        <v>1.597305389221557</v>
      </c>
      <c r="X42" s="48">
        <f t="shared" si="34"/>
        <v>1.3907766990291264</v>
      </c>
      <c r="Y42" s="48">
        <f t="shared" si="34"/>
        <v>1.4807547169811321</v>
      </c>
      <c r="Z42" s="48">
        <f t="shared" si="34"/>
        <v>1.517909571344686</v>
      </c>
      <c r="AA42" s="48">
        <f t="shared" si="34"/>
        <v>1.4438775510204083</v>
      </c>
      <c r="AB42" s="48">
        <f t="shared" si="34"/>
        <v>1.2287899860917941</v>
      </c>
      <c r="AC42" s="48">
        <f t="shared" si="34"/>
        <v>1.7008857022353436</v>
      </c>
      <c r="AD42" s="48">
        <f t="shared" si="34"/>
        <v>1</v>
      </c>
      <c r="AE42" s="53">
        <f t="shared" si="34"/>
        <v>1.42145217282195</v>
      </c>
      <c r="AF42" s="53">
        <f t="shared" si="34"/>
        <v>1.576116086018694</v>
      </c>
    </row>
    <row r="43" spans="2:32" ht="23.1" customHeight="1" x14ac:dyDescent="0.25">
      <c r="B43" s="23" t="s">
        <v>70</v>
      </c>
      <c r="C43" s="49">
        <f>AVERAGE('22.07 GAYAZA-KALERWE'!C43,'23.07 GAYAZA-KALERWE'!C43,'24.07 GAYAZA-KALERWE'!C43,'25.07 GAYAZA-KALERWE'!C43,'26.07 GAYAZA-KALERWE-24h'!C43,'27.07 GAYAZA-KALERWE-24h'!C43,'28.07 GAYAZA-KALERWE'!C43)</f>
        <v>49.714285714285715</v>
      </c>
      <c r="D43" s="49">
        <f>AVERAGE('22.07 GAYAZA-KALERWE'!D43,'23.07 GAYAZA-KALERWE'!D43,'24.07 GAYAZA-KALERWE'!D43,'25.07 GAYAZA-KALERWE'!D43,'26.07 GAYAZA-KALERWE-24h'!D43,'27.07 GAYAZA-KALERWE-24h'!D43,'28.07 GAYAZA-KALERWE'!D43)</f>
        <v>8.7142857142857135</v>
      </c>
      <c r="E43" s="49">
        <f>AVERAGE('22.07 GAYAZA-KALERWE'!E43,'23.07 GAYAZA-KALERWE'!E43,'24.07 GAYAZA-KALERWE'!E43,'25.07 GAYAZA-KALERWE'!E43,'26.07 GAYAZA-KALERWE-24h'!E43,'27.07 GAYAZA-KALERWE-24h'!E43,'28.07 GAYAZA-KALERWE'!E43)</f>
        <v>8.5714285714285712</v>
      </c>
      <c r="F43" s="49">
        <f>AVERAGE('22.07 GAYAZA-KALERWE'!F43,'23.07 GAYAZA-KALERWE'!F43,'24.07 GAYAZA-KALERWE'!F43,'25.07 GAYAZA-KALERWE'!F43,'26.07 GAYAZA-KALERWE-24h'!F43,'27.07 GAYAZA-KALERWE-24h'!F43,'28.07 GAYAZA-KALERWE'!F43)</f>
        <v>39.285714285714285</v>
      </c>
      <c r="G43" s="49">
        <f>AVERAGE('22.07 GAYAZA-KALERWE'!G43,'23.07 GAYAZA-KALERWE'!G43,'24.07 GAYAZA-KALERWE'!G43,'25.07 GAYAZA-KALERWE'!G43,'26.07 GAYAZA-KALERWE-24h'!G43,'27.07 GAYAZA-KALERWE-24h'!G43,'28.07 GAYAZA-KALERWE'!G43)</f>
        <v>0.14285714285714285</v>
      </c>
      <c r="H43" s="49">
        <f>AVERAGE('22.07 GAYAZA-KALERWE'!H43,'23.07 GAYAZA-KALERWE'!H43,'24.07 GAYAZA-KALERWE'!H43,'25.07 GAYAZA-KALERWE'!H43,'26.07 GAYAZA-KALERWE-24h'!H43,'27.07 GAYAZA-KALERWE-24h'!H43,'28.07 GAYAZA-KALERWE'!H43)</f>
        <v>0.2857142857142857</v>
      </c>
      <c r="I43" s="49">
        <f>AVERAGE('22.07 GAYAZA-KALERWE'!I43,'23.07 GAYAZA-KALERWE'!I43,'24.07 GAYAZA-KALERWE'!I43,'25.07 GAYAZA-KALERWE'!I43,'26.07 GAYAZA-KALERWE-24h'!I43,'27.07 GAYAZA-KALERWE-24h'!I43,'28.07 GAYAZA-KALERWE'!I43)</f>
        <v>8.8571428571428577</v>
      </c>
      <c r="J43" s="49">
        <f>AVERAGE('22.07 GAYAZA-KALERWE'!J43,'23.07 GAYAZA-KALERWE'!J43,'24.07 GAYAZA-KALERWE'!J43,'25.07 GAYAZA-KALERWE'!J43,'26.07 GAYAZA-KALERWE-24h'!J43,'27.07 GAYAZA-KALERWE-24h'!J43,'28.07 GAYAZA-KALERWE'!J43)</f>
        <v>7.2857142857142856</v>
      </c>
      <c r="K43" s="49">
        <f>AVERAGE('22.07 GAYAZA-KALERWE'!K43,'23.07 GAYAZA-KALERWE'!K43,'24.07 GAYAZA-KALERWE'!K43,'25.07 GAYAZA-KALERWE'!K43,'26.07 GAYAZA-KALERWE-24h'!K43,'27.07 GAYAZA-KALERWE-24h'!K43,'28.07 GAYAZA-KALERWE'!K43)</f>
        <v>1.4285714285714286</v>
      </c>
      <c r="L43" s="49">
        <f>AVERAGE('22.07 GAYAZA-KALERWE'!L43,'23.07 GAYAZA-KALERWE'!L43,'24.07 GAYAZA-KALERWE'!L43,'25.07 GAYAZA-KALERWE'!L43,'26.07 GAYAZA-KALERWE-24h'!L43,'27.07 GAYAZA-KALERWE-24h'!L43,'28.07 GAYAZA-KALERWE'!L43)</f>
        <v>0.5714285714285714</v>
      </c>
      <c r="M43" s="49">
        <f>AVERAGE('22.07 GAYAZA-KALERWE'!M43,'23.07 GAYAZA-KALERWE'!M43,'24.07 GAYAZA-KALERWE'!M43,'25.07 GAYAZA-KALERWE'!M43,'26.07 GAYAZA-KALERWE-24h'!M43,'27.07 GAYAZA-KALERWE-24h'!M43,'28.07 GAYAZA-KALERWE'!M43)</f>
        <v>136.85714285714286</v>
      </c>
      <c r="N43" s="49">
        <f>AVERAGE('22.07 GAYAZA-KALERWE'!N43,'23.07 GAYAZA-KALERWE'!N43,'24.07 GAYAZA-KALERWE'!N43,'25.07 GAYAZA-KALERWE'!N43,'26.07 GAYAZA-KALERWE-24h'!N43,'27.07 GAYAZA-KALERWE-24h'!N43,'28.07 GAYAZA-KALERWE'!N43)</f>
        <v>0</v>
      </c>
      <c r="O43" s="15">
        <f t="shared" si="0"/>
        <v>124.85714285714286</v>
      </c>
      <c r="P43" s="15">
        <f t="shared" si="1"/>
        <v>261.71428571428572</v>
      </c>
    </row>
    <row r="44" spans="2:32" ht="23.1" customHeight="1" x14ac:dyDescent="0.25">
      <c r="B44" s="25" t="s">
        <v>71</v>
      </c>
      <c r="C44" s="49">
        <f>AVERAGE('22.07 GAYAZA-KALERWE'!C44,'23.07 GAYAZA-KALERWE'!C44,'24.07 GAYAZA-KALERWE'!C44,'25.07 GAYAZA-KALERWE'!C44,'26.07 GAYAZA-KALERWE-24h'!C44,'27.07 GAYAZA-KALERWE-24h'!C44,'28.07 GAYAZA-KALERWE'!C44)</f>
        <v>59.571428571428569</v>
      </c>
      <c r="D44" s="49">
        <f>AVERAGE('22.07 GAYAZA-KALERWE'!D44,'23.07 GAYAZA-KALERWE'!D44,'24.07 GAYAZA-KALERWE'!D44,'25.07 GAYAZA-KALERWE'!D44,'26.07 GAYAZA-KALERWE-24h'!D44,'27.07 GAYAZA-KALERWE-24h'!D44,'28.07 GAYAZA-KALERWE'!D44)</f>
        <v>4.2857142857142856</v>
      </c>
      <c r="E44" s="49">
        <f>AVERAGE('22.07 GAYAZA-KALERWE'!E44,'23.07 GAYAZA-KALERWE'!E44,'24.07 GAYAZA-KALERWE'!E44,'25.07 GAYAZA-KALERWE'!E44,'26.07 GAYAZA-KALERWE-24h'!E44,'27.07 GAYAZA-KALERWE-24h'!E44,'28.07 GAYAZA-KALERWE'!E44)</f>
        <v>6.7142857142857144</v>
      </c>
      <c r="F44" s="49">
        <f>AVERAGE('22.07 GAYAZA-KALERWE'!F44,'23.07 GAYAZA-KALERWE'!F44,'24.07 GAYAZA-KALERWE'!F44,'25.07 GAYAZA-KALERWE'!F44,'26.07 GAYAZA-KALERWE-24h'!F44,'27.07 GAYAZA-KALERWE-24h'!F44,'28.07 GAYAZA-KALERWE'!F44)</f>
        <v>47.285714285714285</v>
      </c>
      <c r="G44" s="49">
        <f>AVERAGE('22.07 GAYAZA-KALERWE'!G44,'23.07 GAYAZA-KALERWE'!G44,'24.07 GAYAZA-KALERWE'!G44,'25.07 GAYAZA-KALERWE'!G44,'26.07 GAYAZA-KALERWE-24h'!G44,'27.07 GAYAZA-KALERWE-24h'!G44,'28.07 GAYAZA-KALERWE'!G44)</f>
        <v>0.2857142857142857</v>
      </c>
      <c r="H44" s="49">
        <f>AVERAGE('22.07 GAYAZA-KALERWE'!H44,'23.07 GAYAZA-KALERWE'!H44,'24.07 GAYAZA-KALERWE'!H44,'25.07 GAYAZA-KALERWE'!H44,'26.07 GAYAZA-KALERWE-24h'!H44,'27.07 GAYAZA-KALERWE-24h'!H44,'28.07 GAYAZA-KALERWE'!H44)</f>
        <v>0.5714285714285714</v>
      </c>
      <c r="I44" s="49">
        <f>AVERAGE('22.07 GAYAZA-KALERWE'!I44,'23.07 GAYAZA-KALERWE'!I44,'24.07 GAYAZA-KALERWE'!I44,'25.07 GAYAZA-KALERWE'!I44,'26.07 GAYAZA-KALERWE-24h'!I44,'27.07 GAYAZA-KALERWE-24h'!I44,'28.07 GAYAZA-KALERWE'!I44)</f>
        <v>8.2857142857142865</v>
      </c>
      <c r="J44" s="49">
        <f>AVERAGE('22.07 GAYAZA-KALERWE'!J44,'23.07 GAYAZA-KALERWE'!J44,'24.07 GAYAZA-KALERWE'!J44,'25.07 GAYAZA-KALERWE'!J44,'26.07 GAYAZA-KALERWE-24h'!J44,'27.07 GAYAZA-KALERWE-24h'!J44,'28.07 GAYAZA-KALERWE'!J44)</f>
        <v>5.5714285714285712</v>
      </c>
      <c r="K44" s="49">
        <f>AVERAGE('22.07 GAYAZA-KALERWE'!K44,'23.07 GAYAZA-KALERWE'!K44,'24.07 GAYAZA-KALERWE'!K44,'25.07 GAYAZA-KALERWE'!K44,'26.07 GAYAZA-KALERWE-24h'!K44,'27.07 GAYAZA-KALERWE-24h'!K44,'28.07 GAYAZA-KALERWE'!K44)</f>
        <v>2.7142857142857144</v>
      </c>
      <c r="L44" s="49">
        <f>AVERAGE('22.07 GAYAZA-KALERWE'!L44,'23.07 GAYAZA-KALERWE'!L44,'24.07 GAYAZA-KALERWE'!L44,'25.07 GAYAZA-KALERWE'!L44,'26.07 GAYAZA-KALERWE-24h'!L44,'27.07 GAYAZA-KALERWE-24h'!L44,'28.07 GAYAZA-KALERWE'!L44)</f>
        <v>1</v>
      </c>
      <c r="M44" s="49">
        <f>AVERAGE('22.07 GAYAZA-KALERWE'!M44,'23.07 GAYAZA-KALERWE'!M44,'24.07 GAYAZA-KALERWE'!M44,'25.07 GAYAZA-KALERWE'!M44,'26.07 GAYAZA-KALERWE-24h'!M44,'27.07 GAYAZA-KALERWE-24h'!M44,'28.07 GAYAZA-KALERWE'!M44)</f>
        <v>141.28571428571428</v>
      </c>
      <c r="N44" s="49">
        <f>AVERAGE('22.07 GAYAZA-KALERWE'!N44,'23.07 GAYAZA-KALERWE'!N44,'24.07 GAYAZA-KALERWE'!N44,'25.07 GAYAZA-KALERWE'!N44,'26.07 GAYAZA-KALERWE-24h'!N44,'27.07 GAYAZA-KALERWE-24h'!N44,'28.07 GAYAZA-KALERWE'!N44)</f>
        <v>0</v>
      </c>
      <c r="O44" s="15">
        <f t="shared" si="0"/>
        <v>136.28571428571431</v>
      </c>
      <c r="P44" s="15">
        <f t="shared" si="1"/>
        <v>277.57142857142856</v>
      </c>
    </row>
    <row r="45" spans="2:32" ht="23.1" customHeight="1" x14ac:dyDescent="0.25">
      <c r="B45" s="23" t="s">
        <v>72</v>
      </c>
      <c r="C45" s="49">
        <f>AVERAGE('22.07 GAYAZA-KALERWE'!C45,'23.07 GAYAZA-KALERWE'!C45,'24.07 GAYAZA-KALERWE'!C45,'25.07 GAYAZA-KALERWE'!C45,'26.07 GAYAZA-KALERWE-24h'!C45,'27.07 GAYAZA-KALERWE-24h'!C45,'28.07 GAYAZA-KALERWE'!C45)</f>
        <v>59.857142857142854</v>
      </c>
      <c r="D45" s="49">
        <f>AVERAGE('22.07 GAYAZA-KALERWE'!D45,'23.07 GAYAZA-KALERWE'!D45,'24.07 GAYAZA-KALERWE'!D45,'25.07 GAYAZA-KALERWE'!D45,'26.07 GAYAZA-KALERWE-24h'!D45,'27.07 GAYAZA-KALERWE-24h'!D45,'28.07 GAYAZA-KALERWE'!D45)</f>
        <v>7.7142857142857144</v>
      </c>
      <c r="E45" s="49">
        <f>AVERAGE('22.07 GAYAZA-KALERWE'!E45,'23.07 GAYAZA-KALERWE'!E45,'24.07 GAYAZA-KALERWE'!E45,'25.07 GAYAZA-KALERWE'!E45,'26.07 GAYAZA-KALERWE-24h'!E45,'27.07 GAYAZA-KALERWE-24h'!E45,'28.07 GAYAZA-KALERWE'!E45)</f>
        <v>8.7142857142857135</v>
      </c>
      <c r="F45" s="49">
        <f>AVERAGE('22.07 GAYAZA-KALERWE'!F45,'23.07 GAYAZA-KALERWE'!F45,'24.07 GAYAZA-KALERWE'!F45,'25.07 GAYAZA-KALERWE'!F45,'26.07 GAYAZA-KALERWE-24h'!F45,'27.07 GAYAZA-KALERWE-24h'!F45,'28.07 GAYAZA-KALERWE'!F45)</f>
        <v>44</v>
      </c>
      <c r="G45" s="49">
        <f>AVERAGE('22.07 GAYAZA-KALERWE'!G45,'23.07 GAYAZA-KALERWE'!G45,'24.07 GAYAZA-KALERWE'!G45,'25.07 GAYAZA-KALERWE'!G45,'26.07 GAYAZA-KALERWE-24h'!G45,'27.07 GAYAZA-KALERWE-24h'!G45,'28.07 GAYAZA-KALERWE'!G45)</f>
        <v>0.8571428571428571</v>
      </c>
      <c r="H45" s="49">
        <f>AVERAGE('22.07 GAYAZA-KALERWE'!H45,'23.07 GAYAZA-KALERWE'!H45,'24.07 GAYAZA-KALERWE'!H45,'25.07 GAYAZA-KALERWE'!H45,'26.07 GAYAZA-KALERWE-24h'!H45,'27.07 GAYAZA-KALERWE-24h'!H45,'28.07 GAYAZA-KALERWE'!H45)</f>
        <v>0.14285714285714285</v>
      </c>
      <c r="I45" s="49">
        <f>AVERAGE('22.07 GAYAZA-KALERWE'!I45,'23.07 GAYAZA-KALERWE'!I45,'24.07 GAYAZA-KALERWE'!I45,'25.07 GAYAZA-KALERWE'!I45,'26.07 GAYAZA-KALERWE-24h'!I45,'27.07 GAYAZA-KALERWE-24h'!I45,'28.07 GAYAZA-KALERWE'!I45)</f>
        <v>8.4285714285714288</v>
      </c>
      <c r="J45" s="49">
        <f>AVERAGE('22.07 GAYAZA-KALERWE'!J45,'23.07 GAYAZA-KALERWE'!J45,'24.07 GAYAZA-KALERWE'!J45,'25.07 GAYAZA-KALERWE'!J45,'26.07 GAYAZA-KALERWE-24h'!J45,'27.07 GAYAZA-KALERWE-24h'!J45,'28.07 GAYAZA-KALERWE'!J45)</f>
        <v>5.1428571428571432</v>
      </c>
      <c r="K45" s="49">
        <f>AVERAGE('22.07 GAYAZA-KALERWE'!K45,'23.07 GAYAZA-KALERWE'!K45,'24.07 GAYAZA-KALERWE'!K45,'25.07 GAYAZA-KALERWE'!K45,'26.07 GAYAZA-KALERWE-24h'!K45,'27.07 GAYAZA-KALERWE-24h'!K45,'28.07 GAYAZA-KALERWE'!K45)</f>
        <v>2.5714285714285716</v>
      </c>
      <c r="L45" s="49">
        <f>AVERAGE('22.07 GAYAZA-KALERWE'!L45,'23.07 GAYAZA-KALERWE'!L45,'24.07 GAYAZA-KALERWE'!L45,'25.07 GAYAZA-KALERWE'!L45,'26.07 GAYAZA-KALERWE-24h'!L45,'27.07 GAYAZA-KALERWE-24h'!L45,'28.07 GAYAZA-KALERWE'!L45)</f>
        <v>0.7142857142857143</v>
      </c>
      <c r="M45" s="49">
        <f>AVERAGE('22.07 GAYAZA-KALERWE'!M45,'23.07 GAYAZA-KALERWE'!M45,'24.07 GAYAZA-KALERWE'!M45,'25.07 GAYAZA-KALERWE'!M45,'26.07 GAYAZA-KALERWE-24h'!M45,'27.07 GAYAZA-KALERWE-24h'!M45,'28.07 GAYAZA-KALERWE'!M45)</f>
        <v>153.85714285714286</v>
      </c>
      <c r="N45" s="49">
        <f>AVERAGE('22.07 GAYAZA-KALERWE'!N45,'23.07 GAYAZA-KALERWE'!N45,'24.07 GAYAZA-KALERWE'!N45,'25.07 GAYAZA-KALERWE'!N45,'26.07 GAYAZA-KALERWE-24h'!N45,'27.07 GAYAZA-KALERWE-24h'!N45,'28.07 GAYAZA-KALERWE'!N45)</f>
        <v>0</v>
      </c>
      <c r="O45" s="15">
        <f t="shared" si="0"/>
        <v>138.14285714285714</v>
      </c>
      <c r="P45" s="15">
        <f t="shared" si="1"/>
        <v>292</v>
      </c>
    </row>
    <row r="46" spans="2:32" ht="23.1" customHeight="1" x14ac:dyDescent="0.25">
      <c r="B46" s="24" t="s">
        <v>73</v>
      </c>
      <c r="C46" s="49">
        <f>AVERAGE('22.07 GAYAZA-KALERWE'!C46,'23.07 GAYAZA-KALERWE'!C46,'24.07 GAYAZA-KALERWE'!C46,'25.07 GAYAZA-KALERWE'!C46,'26.07 GAYAZA-KALERWE-24h'!C46,'27.07 GAYAZA-KALERWE-24h'!C46,'28.07 GAYAZA-KALERWE'!C46)</f>
        <v>56</v>
      </c>
      <c r="D46" s="49">
        <f>AVERAGE('22.07 GAYAZA-KALERWE'!D46,'23.07 GAYAZA-KALERWE'!D46,'24.07 GAYAZA-KALERWE'!D46,'25.07 GAYAZA-KALERWE'!D46,'26.07 GAYAZA-KALERWE-24h'!D46,'27.07 GAYAZA-KALERWE-24h'!D46,'28.07 GAYAZA-KALERWE'!D46)</f>
        <v>8.8571428571428577</v>
      </c>
      <c r="E46" s="49">
        <f>AVERAGE('22.07 GAYAZA-KALERWE'!E46,'23.07 GAYAZA-KALERWE'!E46,'24.07 GAYAZA-KALERWE'!E46,'25.07 GAYAZA-KALERWE'!E46,'26.07 GAYAZA-KALERWE-24h'!E46,'27.07 GAYAZA-KALERWE-24h'!E46,'28.07 GAYAZA-KALERWE'!E46)</f>
        <v>8.8571428571428577</v>
      </c>
      <c r="F46" s="49">
        <f>AVERAGE('22.07 GAYAZA-KALERWE'!F46,'23.07 GAYAZA-KALERWE'!F46,'24.07 GAYAZA-KALERWE'!F46,'25.07 GAYAZA-KALERWE'!F46,'26.07 GAYAZA-KALERWE-24h'!F46,'27.07 GAYAZA-KALERWE-24h'!F46,'28.07 GAYAZA-KALERWE'!F46)</f>
        <v>39</v>
      </c>
      <c r="G46" s="49">
        <f>AVERAGE('22.07 GAYAZA-KALERWE'!G46,'23.07 GAYAZA-KALERWE'!G46,'24.07 GAYAZA-KALERWE'!G46,'25.07 GAYAZA-KALERWE'!G46,'26.07 GAYAZA-KALERWE-24h'!G46,'27.07 GAYAZA-KALERWE-24h'!G46,'28.07 GAYAZA-KALERWE'!G46)</f>
        <v>0.7142857142857143</v>
      </c>
      <c r="H46" s="49">
        <f>AVERAGE('22.07 GAYAZA-KALERWE'!H46,'23.07 GAYAZA-KALERWE'!H46,'24.07 GAYAZA-KALERWE'!H46,'25.07 GAYAZA-KALERWE'!H46,'26.07 GAYAZA-KALERWE-24h'!H46,'27.07 GAYAZA-KALERWE-24h'!H46,'28.07 GAYAZA-KALERWE'!H46)</f>
        <v>0.5714285714285714</v>
      </c>
      <c r="I46" s="49">
        <f>AVERAGE('22.07 GAYAZA-KALERWE'!I46,'23.07 GAYAZA-KALERWE'!I46,'24.07 GAYAZA-KALERWE'!I46,'25.07 GAYAZA-KALERWE'!I46,'26.07 GAYAZA-KALERWE-24h'!I46,'27.07 GAYAZA-KALERWE-24h'!I46,'28.07 GAYAZA-KALERWE'!I46)</f>
        <v>8</v>
      </c>
      <c r="J46" s="49">
        <f>AVERAGE('22.07 GAYAZA-KALERWE'!J46,'23.07 GAYAZA-KALERWE'!J46,'24.07 GAYAZA-KALERWE'!J46,'25.07 GAYAZA-KALERWE'!J46,'26.07 GAYAZA-KALERWE-24h'!J46,'27.07 GAYAZA-KALERWE-24h'!J46,'28.07 GAYAZA-KALERWE'!J46)</f>
        <v>6</v>
      </c>
      <c r="K46" s="49">
        <f>AVERAGE('22.07 GAYAZA-KALERWE'!K46,'23.07 GAYAZA-KALERWE'!K46,'24.07 GAYAZA-KALERWE'!K46,'25.07 GAYAZA-KALERWE'!K46,'26.07 GAYAZA-KALERWE-24h'!K46,'27.07 GAYAZA-KALERWE-24h'!K46,'28.07 GAYAZA-KALERWE'!K46)</f>
        <v>1.4285714285714286</v>
      </c>
      <c r="L46" s="49">
        <f>AVERAGE('22.07 GAYAZA-KALERWE'!L46,'23.07 GAYAZA-KALERWE'!L46,'24.07 GAYAZA-KALERWE'!L46,'25.07 GAYAZA-KALERWE'!L46,'26.07 GAYAZA-KALERWE-24h'!L46,'27.07 GAYAZA-KALERWE-24h'!L46,'28.07 GAYAZA-KALERWE'!L46)</f>
        <v>1.1428571428571428</v>
      </c>
      <c r="M46" s="49">
        <f>AVERAGE('22.07 GAYAZA-KALERWE'!M46,'23.07 GAYAZA-KALERWE'!M46,'24.07 GAYAZA-KALERWE'!M46,'25.07 GAYAZA-KALERWE'!M46,'26.07 GAYAZA-KALERWE-24h'!M46,'27.07 GAYAZA-KALERWE-24h'!M46,'28.07 GAYAZA-KALERWE'!M46)</f>
        <v>173.42857142857142</v>
      </c>
      <c r="N46" s="49">
        <f>AVERAGE('22.07 GAYAZA-KALERWE'!N46,'23.07 GAYAZA-KALERWE'!N46,'24.07 GAYAZA-KALERWE'!N46,'25.07 GAYAZA-KALERWE'!N46,'26.07 GAYAZA-KALERWE-24h'!N46,'27.07 GAYAZA-KALERWE-24h'!N46,'28.07 GAYAZA-KALERWE'!N46)</f>
        <v>0</v>
      </c>
      <c r="O46" s="15">
        <f t="shared" si="0"/>
        <v>130.57142857142856</v>
      </c>
      <c r="P46" s="15">
        <f t="shared" si="1"/>
        <v>304</v>
      </c>
      <c r="R46" s="8"/>
      <c r="T46"/>
    </row>
    <row r="47" spans="2:32" ht="23.1" customHeight="1" x14ac:dyDescent="0.25">
      <c r="B47" s="24" t="s">
        <v>74</v>
      </c>
      <c r="C47" s="49">
        <f>AVERAGE('22.07 GAYAZA-KALERWE'!C47,'23.07 GAYAZA-KALERWE'!C47,'24.07 GAYAZA-KALERWE'!C47,'25.07 GAYAZA-KALERWE'!C47,'26.07 GAYAZA-KALERWE-24h'!C47,'27.07 GAYAZA-KALERWE-24h'!C47,'28.07 GAYAZA-KALERWE'!C47)</f>
        <v>47.571428571428569</v>
      </c>
      <c r="D47" s="49">
        <f>AVERAGE('22.07 GAYAZA-KALERWE'!D47,'23.07 GAYAZA-KALERWE'!D47,'24.07 GAYAZA-KALERWE'!D47,'25.07 GAYAZA-KALERWE'!D47,'26.07 GAYAZA-KALERWE-24h'!D47,'27.07 GAYAZA-KALERWE-24h'!D47,'28.07 GAYAZA-KALERWE'!D47)</f>
        <v>7.7142857142857144</v>
      </c>
      <c r="E47" s="49">
        <f>AVERAGE('22.07 GAYAZA-KALERWE'!E47,'23.07 GAYAZA-KALERWE'!E47,'24.07 GAYAZA-KALERWE'!E47,'25.07 GAYAZA-KALERWE'!E47,'26.07 GAYAZA-KALERWE-24h'!E47,'27.07 GAYAZA-KALERWE-24h'!E47,'28.07 GAYAZA-KALERWE'!E47)</f>
        <v>8.4285714285714288</v>
      </c>
      <c r="F47" s="49">
        <f>AVERAGE('22.07 GAYAZA-KALERWE'!F47,'23.07 GAYAZA-KALERWE'!F47,'24.07 GAYAZA-KALERWE'!F47,'25.07 GAYAZA-KALERWE'!F47,'26.07 GAYAZA-KALERWE-24h'!F47,'27.07 GAYAZA-KALERWE-24h'!F47,'28.07 GAYAZA-KALERWE'!F47)</f>
        <v>53.714285714285715</v>
      </c>
      <c r="G47" s="49">
        <f>AVERAGE('22.07 GAYAZA-KALERWE'!G47,'23.07 GAYAZA-KALERWE'!G47,'24.07 GAYAZA-KALERWE'!G47,'25.07 GAYAZA-KALERWE'!G47,'26.07 GAYAZA-KALERWE-24h'!G47,'27.07 GAYAZA-KALERWE-24h'!G47,'28.07 GAYAZA-KALERWE'!G47)</f>
        <v>0.8571428571428571</v>
      </c>
      <c r="H47" s="49">
        <f>AVERAGE('22.07 GAYAZA-KALERWE'!H47,'23.07 GAYAZA-KALERWE'!H47,'24.07 GAYAZA-KALERWE'!H47,'25.07 GAYAZA-KALERWE'!H47,'26.07 GAYAZA-KALERWE-24h'!H47,'27.07 GAYAZA-KALERWE-24h'!H47,'28.07 GAYAZA-KALERWE'!H47)</f>
        <v>0.2857142857142857</v>
      </c>
      <c r="I47" s="49">
        <f>AVERAGE('22.07 GAYAZA-KALERWE'!I47,'23.07 GAYAZA-KALERWE'!I47,'24.07 GAYAZA-KALERWE'!I47,'25.07 GAYAZA-KALERWE'!I47,'26.07 GAYAZA-KALERWE-24h'!I47,'27.07 GAYAZA-KALERWE-24h'!I47,'28.07 GAYAZA-KALERWE'!I47)</f>
        <v>9.2857142857142865</v>
      </c>
      <c r="J47" s="49">
        <f>AVERAGE('22.07 GAYAZA-KALERWE'!J47,'23.07 GAYAZA-KALERWE'!J47,'24.07 GAYAZA-KALERWE'!J47,'25.07 GAYAZA-KALERWE'!J47,'26.07 GAYAZA-KALERWE-24h'!J47,'27.07 GAYAZA-KALERWE-24h'!J47,'28.07 GAYAZA-KALERWE'!J47)</f>
        <v>6.2857142857142856</v>
      </c>
      <c r="K47" s="49">
        <f>AVERAGE('22.07 GAYAZA-KALERWE'!K47,'23.07 GAYAZA-KALERWE'!K47,'24.07 GAYAZA-KALERWE'!K47,'25.07 GAYAZA-KALERWE'!K47,'26.07 GAYAZA-KALERWE-24h'!K47,'27.07 GAYAZA-KALERWE-24h'!K47,'28.07 GAYAZA-KALERWE'!K47)</f>
        <v>2.7142857142857144</v>
      </c>
      <c r="L47" s="49">
        <f>AVERAGE('22.07 GAYAZA-KALERWE'!L47,'23.07 GAYAZA-KALERWE'!L47,'24.07 GAYAZA-KALERWE'!L47,'25.07 GAYAZA-KALERWE'!L47,'26.07 GAYAZA-KALERWE-24h'!L47,'27.07 GAYAZA-KALERWE-24h'!L47,'28.07 GAYAZA-KALERWE'!L47)</f>
        <v>0.42857142857142855</v>
      </c>
      <c r="M47" s="49">
        <f>AVERAGE('22.07 GAYAZA-KALERWE'!M47,'23.07 GAYAZA-KALERWE'!M47,'24.07 GAYAZA-KALERWE'!M47,'25.07 GAYAZA-KALERWE'!M47,'26.07 GAYAZA-KALERWE-24h'!M47,'27.07 GAYAZA-KALERWE-24h'!M47,'28.07 GAYAZA-KALERWE'!M47)</f>
        <v>144.28571428571428</v>
      </c>
      <c r="N47" s="49">
        <f>AVERAGE('22.07 GAYAZA-KALERWE'!N47,'23.07 GAYAZA-KALERWE'!N47,'24.07 GAYAZA-KALERWE'!N47,'25.07 GAYAZA-KALERWE'!N47,'26.07 GAYAZA-KALERWE-24h'!N47,'27.07 GAYAZA-KALERWE-24h'!N47,'28.07 GAYAZA-KALERWE'!N47)</f>
        <v>0</v>
      </c>
      <c r="O47" s="15">
        <f t="shared" si="0"/>
        <v>137.28571428571431</v>
      </c>
      <c r="P47" s="15">
        <f t="shared" si="1"/>
        <v>281.57142857142856</v>
      </c>
      <c r="R47" s="8"/>
      <c r="T47"/>
    </row>
    <row r="48" spans="2:32" ht="23.1" customHeight="1" x14ac:dyDescent="0.25">
      <c r="B48" s="24" t="s">
        <v>75</v>
      </c>
      <c r="C48" s="49">
        <f>AVERAGE('22.07 GAYAZA-KALERWE'!C48,'23.07 GAYAZA-KALERWE'!C48,'24.07 GAYAZA-KALERWE'!C48,'25.07 GAYAZA-KALERWE'!C48,'26.07 GAYAZA-KALERWE-24h'!C48,'27.07 GAYAZA-KALERWE-24h'!C48,'28.07 GAYAZA-KALERWE'!C48)</f>
        <v>54.428571428571431</v>
      </c>
      <c r="D48" s="49">
        <f>AVERAGE('22.07 GAYAZA-KALERWE'!D48,'23.07 GAYAZA-KALERWE'!D48,'24.07 GAYAZA-KALERWE'!D48,'25.07 GAYAZA-KALERWE'!D48,'26.07 GAYAZA-KALERWE-24h'!D48,'27.07 GAYAZA-KALERWE-24h'!D48,'28.07 GAYAZA-KALERWE'!D48)</f>
        <v>7.5714285714285712</v>
      </c>
      <c r="E48" s="49">
        <f>AVERAGE('22.07 GAYAZA-KALERWE'!E48,'23.07 GAYAZA-KALERWE'!E48,'24.07 GAYAZA-KALERWE'!E48,'25.07 GAYAZA-KALERWE'!E48,'26.07 GAYAZA-KALERWE-24h'!E48,'27.07 GAYAZA-KALERWE-24h'!E48,'28.07 GAYAZA-KALERWE'!E48)</f>
        <v>11</v>
      </c>
      <c r="F48" s="49">
        <f>AVERAGE('22.07 GAYAZA-KALERWE'!F48,'23.07 GAYAZA-KALERWE'!F48,'24.07 GAYAZA-KALERWE'!F48,'25.07 GAYAZA-KALERWE'!F48,'26.07 GAYAZA-KALERWE-24h'!F48,'27.07 GAYAZA-KALERWE-24h'!F48,'28.07 GAYAZA-KALERWE'!F48)</f>
        <v>40.142857142857146</v>
      </c>
      <c r="G48" s="49">
        <f>AVERAGE('22.07 GAYAZA-KALERWE'!G48,'23.07 GAYAZA-KALERWE'!G48,'24.07 GAYAZA-KALERWE'!G48,'25.07 GAYAZA-KALERWE'!G48,'26.07 GAYAZA-KALERWE-24h'!G48,'27.07 GAYAZA-KALERWE-24h'!G48,'28.07 GAYAZA-KALERWE'!G48)</f>
        <v>0.7142857142857143</v>
      </c>
      <c r="H48" s="49">
        <f>AVERAGE('22.07 GAYAZA-KALERWE'!H48,'23.07 GAYAZA-KALERWE'!H48,'24.07 GAYAZA-KALERWE'!H48,'25.07 GAYAZA-KALERWE'!H48,'26.07 GAYAZA-KALERWE-24h'!H48,'27.07 GAYAZA-KALERWE-24h'!H48,'28.07 GAYAZA-KALERWE'!H48)</f>
        <v>0.42857142857142855</v>
      </c>
      <c r="I48" s="49">
        <f>AVERAGE('22.07 GAYAZA-KALERWE'!I48,'23.07 GAYAZA-KALERWE'!I48,'24.07 GAYAZA-KALERWE'!I48,'25.07 GAYAZA-KALERWE'!I48,'26.07 GAYAZA-KALERWE-24h'!I48,'27.07 GAYAZA-KALERWE-24h'!I48,'28.07 GAYAZA-KALERWE'!I48)</f>
        <v>10.714285714285714</v>
      </c>
      <c r="J48" s="49">
        <f>AVERAGE('22.07 GAYAZA-KALERWE'!J48,'23.07 GAYAZA-KALERWE'!J48,'24.07 GAYAZA-KALERWE'!J48,'25.07 GAYAZA-KALERWE'!J48,'26.07 GAYAZA-KALERWE-24h'!J48,'27.07 GAYAZA-KALERWE-24h'!J48,'28.07 GAYAZA-KALERWE'!J48)</f>
        <v>5.1428571428571432</v>
      </c>
      <c r="K48" s="49">
        <f>AVERAGE('22.07 GAYAZA-KALERWE'!K48,'23.07 GAYAZA-KALERWE'!K48,'24.07 GAYAZA-KALERWE'!K48,'25.07 GAYAZA-KALERWE'!K48,'26.07 GAYAZA-KALERWE-24h'!K48,'27.07 GAYAZA-KALERWE-24h'!K48,'28.07 GAYAZA-KALERWE'!K48)</f>
        <v>2</v>
      </c>
      <c r="L48" s="49">
        <f>AVERAGE('22.07 GAYAZA-KALERWE'!L48,'23.07 GAYAZA-KALERWE'!L48,'24.07 GAYAZA-KALERWE'!L48,'25.07 GAYAZA-KALERWE'!L48,'26.07 GAYAZA-KALERWE-24h'!L48,'27.07 GAYAZA-KALERWE-24h'!L48,'28.07 GAYAZA-KALERWE'!L48)</f>
        <v>0.7142857142857143</v>
      </c>
      <c r="M48" s="49">
        <f>AVERAGE('22.07 GAYAZA-KALERWE'!M48,'23.07 GAYAZA-KALERWE'!M48,'24.07 GAYAZA-KALERWE'!M48,'25.07 GAYAZA-KALERWE'!M48,'26.07 GAYAZA-KALERWE-24h'!M48,'27.07 GAYAZA-KALERWE-24h'!M48,'28.07 GAYAZA-KALERWE'!M48)</f>
        <v>181.14285714285714</v>
      </c>
      <c r="N48" s="49">
        <f>AVERAGE('22.07 GAYAZA-KALERWE'!N48,'23.07 GAYAZA-KALERWE'!N48,'24.07 GAYAZA-KALERWE'!N48,'25.07 GAYAZA-KALERWE'!N48,'26.07 GAYAZA-KALERWE-24h'!N48,'27.07 GAYAZA-KALERWE-24h'!N48,'28.07 GAYAZA-KALERWE'!N48)</f>
        <v>0</v>
      </c>
      <c r="O48" s="15">
        <f t="shared" si="0"/>
        <v>132.85714285714286</v>
      </c>
      <c r="P48" s="15">
        <f t="shared" si="1"/>
        <v>314</v>
      </c>
      <c r="R48" s="8"/>
      <c r="T48"/>
    </row>
    <row r="49" spans="2:20" ht="23.1" customHeight="1" x14ac:dyDescent="0.25">
      <c r="B49" s="23" t="s">
        <v>76</v>
      </c>
      <c r="C49" s="49">
        <f>AVERAGE('22.07 GAYAZA-KALERWE'!C49,'23.07 GAYAZA-KALERWE'!C49,'24.07 GAYAZA-KALERWE'!C49,'25.07 GAYAZA-KALERWE'!C49,'26.07 GAYAZA-KALERWE-24h'!C49,'27.07 GAYAZA-KALERWE-24h'!C49,'28.07 GAYAZA-KALERWE'!C49)</f>
        <v>59.428571428571431</v>
      </c>
      <c r="D49" s="49">
        <f>AVERAGE('22.07 GAYAZA-KALERWE'!D49,'23.07 GAYAZA-KALERWE'!D49,'24.07 GAYAZA-KALERWE'!D49,'25.07 GAYAZA-KALERWE'!D49,'26.07 GAYAZA-KALERWE-24h'!D49,'27.07 GAYAZA-KALERWE-24h'!D49,'28.07 GAYAZA-KALERWE'!D49)</f>
        <v>7</v>
      </c>
      <c r="E49" s="49">
        <f>AVERAGE('22.07 GAYAZA-KALERWE'!E49,'23.07 GAYAZA-KALERWE'!E49,'24.07 GAYAZA-KALERWE'!E49,'25.07 GAYAZA-KALERWE'!E49,'26.07 GAYAZA-KALERWE-24h'!E49,'27.07 GAYAZA-KALERWE-24h'!E49,'28.07 GAYAZA-KALERWE'!E49)</f>
        <v>7.5714285714285712</v>
      </c>
      <c r="F49" s="49">
        <f>AVERAGE('22.07 GAYAZA-KALERWE'!F49,'23.07 GAYAZA-KALERWE'!F49,'24.07 GAYAZA-KALERWE'!F49,'25.07 GAYAZA-KALERWE'!F49,'26.07 GAYAZA-KALERWE-24h'!F49,'27.07 GAYAZA-KALERWE-24h'!F49,'28.07 GAYAZA-KALERWE'!F49)</f>
        <v>52.714285714285715</v>
      </c>
      <c r="G49" s="49">
        <f>AVERAGE('22.07 GAYAZA-KALERWE'!G49,'23.07 GAYAZA-KALERWE'!G49,'24.07 GAYAZA-KALERWE'!G49,'25.07 GAYAZA-KALERWE'!G49,'26.07 GAYAZA-KALERWE-24h'!G49,'27.07 GAYAZA-KALERWE-24h'!G49,'28.07 GAYAZA-KALERWE'!G49)</f>
        <v>0.2857142857142857</v>
      </c>
      <c r="H49" s="49">
        <f>AVERAGE('22.07 GAYAZA-KALERWE'!H49,'23.07 GAYAZA-KALERWE'!H49,'24.07 GAYAZA-KALERWE'!H49,'25.07 GAYAZA-KALERWE'!H49,'26.07 GAYAZA-KALERWE-24h'!H49,'27.07 GAYAZA-KALERWE-24h'!H49,'28.07 GAYAZA-KALERWE'!H49)</f>
        <v>0.14285714285714285</v>
      </c>
      <c r="I49" s="49">
        <f>AVERAGE('22.07 GAYAZA-KALERWE'!I49,'23.07 GAYAZA-KALERWE'!I49,'24.07 GAYAZA-KALERWE'!I49,'25.07 GAYAZA-KALERWE'!I49,'26.07 GAYAZA-KALERWE-24h'!I49,'27.07 GAYAZA-KALERWE-24h'!I49,'28.07 GAYAZA-KALERWE'!I49)</f>
        <v>9.4285714285714288</v>
      </c>
      <c r="J49" s="49">
        <f>AVERAGE('22.07 GAYAZA-KALERWE'!J49,'23.07 GAYAZA-KALERWE'!J49,'24.07 GAYAZA-KALERWE'!J49,'25.07 GAYAZA-KALERWE'!J49,'26.07 GAYAZA-KALERWE-24h'!J49,'27.07 GAYAZA-KALERWE-24h'!J49,'28.07 GAYAZA-KALERWE'!J49)</f>
        <v>4.5714285714285712</v>
      </c>
      <c r="K49" s="49">
        <f>AVERAGE('22.07 GAYAZA-KALERWE'!K49,'23.07 GAYAZA-KALERWE'!K49,'24.07 GAYAZA-KALERWE'!K49,'25.07 GAYAZA-KALERWE'!K49,'26.07 GAYAZA-KALERWE-24h'!K49,'27.07 GAYAZA-KALERWE-24h'!K49,'28.07 GAYAZA-KALERWE'!K49)</f>
        <v>2.5714285714285716</v>
      </c>
      <c r="L49" s="49">
        <f>AVERAGE('22.07 GAYAZA-KALERWE'!L49,'23.07 GAYAZA-KALERWE'!L49,'24.07 GAYAZA-KALERWE'!L49,'25.07 GAYAZA-KALERWE'!L49,'26.07 GAYAZA-KALERWE-24h'!L49,'27.07 GAYAZA-KALERWE-24h'!L49,'28.07 GAYAZA-KALERWE'!L49)</f>
        <v>0.5714285714285714</v>
      </c>
      <c r="M49" s="49">
        <f>AVERAGE('22.07 GAYAZA-KALERWE'!M49,'23.07 GAYAZA-KALERWE'!M49,'24.07 GAYAZA-KALERWE'!M49,'25.07 GAYAZA-KALERWE'!M49,'26.07 GAYAZA-KALERWE-24h'!M49,'27.07 GAYAZA-KALERWE-24h'!M49,'28.07 GAYAZA-KALERWE'!M49)</f>
        <v>176.14285714285714</v>
      </c>
      <c r="N49" s="49">
        <f>AVERAGE('22.07 GAYAZA-KALERWE'!N49,'23.07 GAYAZA-KALERWE'!N49,'24.07 GAYAZA-KALERWE'!N49,'25.07 GAYAZA-KALERWE'!N49,'26.07 GAYAZA-KALERWE-24h'!N49,'27.07 GAYAZA-KALERWE-24h'!N49,'28.07 GAYAZA-KALERWE'!N49)</f>
        <v>0</v>
      </c>
      <c r="O49" s="15">
        <f t="shared" si="0"/>
        <v>144.28571428571433</v>
      </c>
      <c r="P49" s="15">
        <f t="shared" si="1"/>
        <v>320.42857142857144</v>
      </c>
      <c r="R49" s="8"/>
      <c r="T49"/>
    </row>
    <row r="50" spans="2:20" ht="23.1" customHeight="1" x14ac:dyDescent="0.25">
      <c r="B50" s="24" t="s">
        <v>77</v>
      </c>
      <c r="C50" s="49">
        <f>AVERAGE('22.07 GAYAZA-KALERWE'!C50,'23.07 GAYAZA-KALERWE'!C50,'24.07 GAYAZA-KALERWE'!C50,'25.07 GAYAZA-KALERWE'!C50,'26.07 GAYAZA-KALERWE-24h'!C50,'27.07 GAYAZA-KALERWE-24h'!C50,'28.07 GAYAZA-KALERWE'!C50)</f>
        <v>59.428571428571431</v>
      </c>
      <c r="D50" s="49">
        <f>AVERAGE('22.07 GAYAZA-KALERWE'!D50,'23.07 GAYAZA-KALERWE'!D50,'24.07 GAYAZA-KALERWE'!D50,'25.07 GAYAZA-KALERWE'!D50,'26.07 GAYAZA-KALERWE-24h'!D50,'27.07 GAYAZA-KALERWE-24h'!D50,'28.07 GAYAZA-KALERWE'!D50)</f>
        <v>6.8571428571428568</v>
      </c>
      <c r="E50" s="49">
        <f>AVERAGE('22.07 GAYAZA-KALERWE'!E50,'23.07 GAYAZA-KALERWE'!E50,'24.07 GAYAZA-KALERWE'!E50,'25.07 GAYAZA-KALERWE'!E50,'26.07 GAYAZA-KALERWE-24h'!E50,'27.07 GAYAZA-KALERWE-24h'!E50,'28.07 GAYAZA-KALERWE'!E50)</f>
        <v>9.1428571428571423</v>
      </c>
      <c r="F50" s="49">
        <f>AVERAGE('22.07 GAYAZA-KALERWE'!F50,'23.07 GAYAZA-KALERWE'!F50,'24.07 GAYAZA-KALERWE'!F50,'25.07 GAYAZA-KALERWE'!F50,'26.07 GAYAZA-KALERWE-24h'!F50,'27.07 GAYAZA-KALERWE-24h'!F50,'28.07 GAYAZA-KALERWE'!F50)</f>
        <v>57.428571428571431</v>
      </c>
      <c r="G50" s="49">
        <f>AVERAGE('22.07 GAYAZA-KALERWE'!G50,'23.07 GAYAZA-KALERWE'!G50,'24.07 GAYAZA-KALERWE'!G50,'25.07 GAYAZA-KALERWE'!G50,'26.07 GAYAZA-KALERWE-24h'!G50,'27.07 GAYAZA-KALERWE-24h'!G50,'28.07 GAYAZA-KALERWE'!G50)</f>
        <v>1</v>
      </c>
      <c r="H50" s="49">
        <f>AVERAGE('22.07 GAYAZA-KALERWE'!H50,'23.07 GAYAZA-KALERWE'!H50,'24.07 GAYAZA-KALERWE'!H50,'25.07 GAYAZA-KALERWE'!H50,'26.07 GAYAZA-KALERWE-24h'!H50,'27.07 GAYAZA-KALERWE-24h'!H50,'28.07 GAYAZA-KALERWE'!H50)</f>
        <v>0.2857142857142857</v>
      </c>
      <c r="I50" s="49">
        <f>AVERAGE('22.07 GAYAZA-KALERWE'!I50,'23.07 GAYAZA-KALERWE'!I50,'24.07 GAYAZA-KALERWE'!I50,'25.07 GAYAZA-KALERWE'!I50,'26.07 GAYAZA-KALERWE-24h'!I50,'27.07 GAYAZA-KALERWE-24h'!I50,'28.07 GAYAZA-KALERWE'!I50)</f>
        <v>12.285714285714286</v>
      </c>
      <c r="J50" s="49">
        <f>AVERAGE('22.07 GAYAZA-KALERWE'!J50,'23.07 GAYAZA-KALERWE'!J50,'24.07 GAYAZA-KALERWE'!J50,'25.07 GAYAZA-KALERWE'!J50,'26.07 GAYAZA-KALERWE-24h'!J50,'27.07 GAYAZA-KALERWE-24h'!J50,'28.07 GAYAZA-KALERWE'!J50)</f>
        <v>5.8571428571428568</v>
      </c>
      <c r="K50" s="49">
        <f>AVERAGE('22.07 GAYAZA-KALERWE'!K50,'23.07 GAYAZA-KALERWE'!K50,'24.07 GAYAZA-KALERWE'!K50,'25.07 GAYAZA-KALERWE'!K50,'26.07 GAYAZA-KALERWE-24h'!K50,'27.07 GAYAZA-KALERWE-24h'!K50,'28.07 GAYAZA-KALERWE'!K50)</f>
        <v>1.5714285714285714</v>
      </c>
      <c r="L50" s="49">
        <f>AVERAGE('22.07 GAYAZA-KALERWE'!L50,'23.07 GAYAZA-KALERWE'!L50,'24.07 GAYAZA-KALERWE'!L50,'25.07 GAYAZA-KALERWE'!L50,'26.07 GAYAZA-KALERWE-24h'!L50,'27.07 GAYAZA-KALERWE-24h'!L50,'28.07 GAYAZA-KALERWE'!L50)</f>
        <v>0.7142857142857143</v>
      </c>
      <c r="M50" s="49">
        <f>AVERAGE('22.07 GAYAZA-KALERWE'!M50,'23.07 GAYAZA-KALERWE'!M50,'24.07 GAYAZA-KALERWE'!M50,'25.07 GAYAZA-KALERWE'!M50,'26.07 GAYAZA-KALERWE-24h'!M50,'27.07 GAYAZA-KALERWE-24h'!M50,'28.07 GAYAZA-KALERWE'!M50)</f>
        <v>198.57142857142858</v>
      </c>
      <c r="N50" s="49">
        <f>AVERAGE('22.07 GAYAZA-KALERWE'!N50,'23.07 GAYAZA-KALERWE'!N50,'24.07 GAYAZA-KALERWE'!N50,'25.07 GAYAZA-KALERWE'!N50,'26.07 GAYAZA-KALERWE-24h'!N50,'27.07 GAYAZA-KALERWE-24h'!N50,'28.07 GAYAZA-KALERWE'!N50)</f>
        <v>0</v>
      </c>
      <c r="O50" s="15">
        <f t="shared" si="0"/>
        <v>154.57142857142858</v>
      </c>
      <c r="P50" s="15">
        <f t="shared" si="1"/>
        <v>353.14285714285717</v>
      </c>
      <c r="R50" s="8"/>
      <c r="T50"/>
    </row>
    <row r="51" spans="2:20" ht="23.1" customHeight="1" x14ac:dyDescent="0.25">
      <c r="B51" s="24" t="s">
        <v>78</v>
      </c>
      <c r="C51" s="49">
        <f>AVERAGE('22.07 GAYAZA-KALERWE'!C51,'23.07 GAYAZA-KALERWE'!C51,'24.07 GAYAZA-KALERWE'!C51,'25.07 GAYAZA-KALERWE'!C51,'26.07 GAYAZA-KALERWE-24h'!C51,'27.07 GAYAZA-KALERWE-24h'!C51,'28.07 GAYAZA-KALERWE'!C51)</f>
        <v>54.428571428571431</v>
      </c>
      <c r="D51" s="49">
        <f>AVERAGE('22.07 GAYAZA-KALERWE'!D51,'23.07 GAYAZA-KALERWE'!D51,'24.07 GAYAZA-KALERWE'!D51,'25.07 GAYAZA-KALERWE'!D51,'26.07 GAYAZA-KALERWE-24h'!D51,'27.07 GAYAZA-KALERWE-24h'!D51,'28.07 GAYAZA-KALERWE'!D51)</f>
        <v>7.2857142857142856</v>
      </c>
      <c r="E51" s="49">
        <f>AVERAGE('22.07 GAYAZA-KALERWE'!E51,'23.07 GAYAZA-KALERWE'!E51,'24.07 GAYAZA-KALERWE'!E51,'25.07 GAYAZA-KALERWE'!E51,'26.07 GAYAZA-KALERWE-24h'!E51,'27.07 GAYAZA-KALERWE-24h'!E51,'28.07 GAYAZA-KALERWE'!E51)</f>
        <v>7</v>
      </c>
      <c r="F51" s="49">
        <f>AVERAGE('22.07 GAYAZA-KALERWE'!F51,'23.07 GAYAZA-KALERWE'!F51,'24.07 GAYAZA-KALERWE'!F51,'25.07 GAYAZA-KALERWE'!F51,'26.07 GAYAZA-KALERWE-24h'!F51,'27.07 GAYAZA-KALERWE-24h'!F51,'28.07 GAYAZA-KALERWE'!F51)</f>
        <v>58.285714285714285</v>
      </c>
      <c r="G51" s="49">
        <f>AVERAGE('22.07 GAYAZA-KALERWE'!G51,'23.07 GAYAZA-KALERWE'!G51,'24.07 GAYAZA-KALERWE'!G51,'25.07 GAYAZA-KALERWE'!G51,'26.07 GAYAZA-KALERWE-24h'!G51,'27.07 GAYAZA-KALERWE-24h'!G51,'28.07 GAYAZA-KALERWE'!G51)</f>
        <v>1.5714285714285714</v>
      </c>
      <c r="H51" s="49">
        <f>AVERAGE('22.07 GAYAZA-KALERWE'!H51,'23.07 GAYAZA-KALERWE'!H51,'24.07 GAYAZA-KALERWE'!H51,'25.07 GAYAZA-KALERWE'!H51,'26.07 GAYAZA-KALERWE-24h'!H51,'27.07 GAYAZA-KALERWE-24h'!H51,'28.07 GAYAZA-KALERWE'!H51)</f>
        <v>0.2857142857142857</v>
      </c>
      <c r="I51" s="49">
        <f>AVERAGE('22.07 GAYAZA-KALERWE'!I51,'23.07 GAYAZA-KALERWE'!I51,'24.07 GAYAZA-KALERWE'!I51,'25.07 GAYAZA-KALERWE'!I51,'26.07 GAYAZA-KALERWE-24h'!I51,'27.07 GAYAZA-KALERWE-24h'!I51,'28.07 GAYAZA-KALERWE'!I51)</f>
        <v>7.8571428571428568</v>
      </c>
      <c r="J51" s="49">
        <f>AVERAGE('22.07 GAYAZA-KALERWE'!J51,'23.07 GAYAZA-KALERWE'!J51,'24.07 GAYAZA-KALERWE'!J51,'25.07 GAYAZA-KALERWE'!J51,'26.07 GAYAZA-KALERWE-24h'!J51,'27.07 GAYAZA-KALERWE-24h'!J51,'28.07 GAYAZA-KALERWE'!J51)</f>
        <v>3.7142857142857144</v>
      </c>
      <c r="K51" s="49">
        <f>AVERAGE('22.07 GAYAZA-KALERWE'!K51,'23.07 GAYAZA-KALERWE'!K51,'24.07 GAYAZA-KALERWE'!K51,'25.07 GAYAZA-KALERWE'!K51,'26.07 GAYAZA-KALERWE-24h'!K51,'27.07 GAYAZA-KALERWE-24h'!K51,'28.07 GAYAZA-KALERWE'!K51)</f>
        <v>2.5714285714285716</v>
      </c>
      <c r="L51" s="49">
        <f>AVERAGE('22.07 GAYAZA-KALERWE'!L51,'23.07 GAYAZA-KALERWE'!L51,'24.07 GAYAZA-KALERWE'!L51,'25.07 GAYAZA-KALERWE'!L51,'26.07 GAYAZA-KALERWE-24h'!L51,'27.07 GAYAZA-KALERWE-24h'!L51,'28.07 GAYAZA-KALERWE'!L51)</f>
        <v>1</v>
      </c>
      <c r="M51" s="49">
        <f>AVERAGE('22.07 GAYAZA-KALERWE'!M51,'23.07 GAYAZA-KALERWE'!M51,'24.07 GAYAZA-KALERWE'!M51,'25.07 GAYAZA-KALERWE'!M51,'26.07 GAYAZA-KALERWE-24h'!M51,'27.07 GAYAZA-KALERWE-24h'!M51,'28.07 GAYAZA-KALERWE'!M51)</f>
        <v>179.85714285714286</v>
      </c>
      <c r="N51" s="49">
        <f>AVERAGE('22.07 GAYAZA-KALERWE'!N51,'23.07 GAYAZA-KALERWE'!N51,'24.07 GAYAZA-KALERWE'!N51,'25.07 GAYAZA-KALERWE'!N51,'26.07 GAYAZA-KALERWE-24h'!N51,'27.07 GAYAZA-KALERWE-24h'!N51,'28.07 GAYAZA-KALERWE'!N51)</f>
        <v>0</v>
      </c>
      <c r="O51" s="15">
        <f t="shared" si="0"/>
        <v>144.00000000000003</v>
      </c>
      <c r="P51" s="15">
        <f t="shared" si="1"/>
        <v>323.85714285714289</v>
      </c>
      <c r="R51" s="8"/>
      <c r="T51"/>
    </row>
    <row r="52" spans="2:20" ht="23.1" customHeight="1" x14ac:dyDescent="0.25">
      <c r="B52" s="24" t="s">
        <v>79</v>
      </c>
      <c r="C52" s="49">
        <f>AVERAGE('22.07 GAYAZA-KALERWE'!C52,'23.07 GAYAZA-KALERWE'!C52,'24.07 GAYAZA-KALERWE'!C52,'25.07 GAYAZA-KALERWE'!C52,'26.07 GAYAZA-KALERWE-24h'!C52,'27.07 GAYAZA-KALERWE-24h'!C52,'28.07 GAYAZA-KALERWE'!C52)</f>
        <v>52.571428571428569</v>
      </c>
      <c r="D52" s="49">
        <f>AVERAGE('22.07 GAYAZA-KALERWE'!D52,'23.07 GAYAZA-KALERWE'!D52,'24.07 GAYAZA-KALERWE'!D52,'25.07 GAYAZA-KALERWE'!D52,'26.07 GAYAZA-KALERWE-24h'!D52,'27.07 GAYAZA-KALERWE-24h'!D52,'28.07 GAYAZA-KALERWE'!D52)</f>
        <v>8</v>
      </c>
      <c r="E52" s="49">
        <f>AVERAGE('22.07 GAYAZA-KALERWE'!E52,'23.07 GAYAZA-KALERWE'!E52,'24.07 GAYAZA-KALERWE'!E52,'25.07 GAYAZA-KALERWE'!E52,'26.07 GAYAZA-KALERWE-24h'!E52,'27.07 GAYAZA-KALERWE-24h'!E52,'28.07 GAYAZA-KALERWE'!E52)</f>
        <v>7</v>
      </c>
      <c r="F52" s="49">
        <f>AVERAGE('22.07 GAYAZA-KALERWE'!F52,'23.07 GAYAZA-KALERWE'!F52,'24.07 GAYAZA-KALERWE'!F52,'25.07 GAYAZA-KALERWE'!F52,'26.07 GAYAZA-KALERWE-24h'!F52,'27.07 GAYAZA-KALERWE-24h'!F52,'28.07 GAYAZA-KALERWE'!F52)</f>
        <v>60.857142857142854</v>
      </c>
      <c r="G52" s="49">
        <f>AVERAGE('22.07 GAYAZA-KALERWE'!G52,'23.07 GAYAZA-KALERWE'!G52,'24.07 GAYAZA-KALERWE'!G52,'25.07 GAYAZA-KALERWE'!G52,'26.07 GAYAZA-KALERWE-24h'!G52,'27.07 GAYAZA-KALERWE-24h'!G52,'28.07 GAYAZA-KALERWE'!G52)</f>
        <v>0.8571428571428571</v>
      </c>
      <c r="H52" s="49">
        <f>AVERAGE('22.07 GAYAZA-KALERWE'!H52,'23.07 GAYAZA-KALERWE'!H52,'24.07 GAYAZA-KALERWE'!H52,'25.07 GAYAZA-KALERWE'!H52,'26.07 GAYAZA-KALERWE-24h'!H52,'27.07 GAYAZA-KALERWE-24h'!H52,'28.07 GAYAZA-KALERWE'!H52)</f>
        <v>0.7142857142857143</v>
      </c>
      <c r="I52" s="49">
        <f>AVERAGE('22.07 GAYAZA-KALERWE'!I52,'23.07 GAYAZA-KALERWE'!I52,'24.07 GAYAZA-KALERWE'!I52,'25.07 GAYAZA-KALERWE'!I52,'26.07 GAYAZA-KALERWE-24h'!I52,'27.07 GAYAZA-KALERWE-24h'!I52,'28.07 GAYAZA-KALERWE'!I52)</f>
        <v>9.1428571428571423</v>
      </c>
      <c r="J52" s="49">
        <f>AVERAGE('22.07 GAYAZA-KALERWE'!J52,'23.07 GAYAZA-KALERWE'!J52,'24.07 GAYAZA-KALERWE'!J52,'25.07 GAYAZA-KALERWE'!J52,'26.07 GAYAZA-KALERWE-24h'!J52,'27.07 GAYAZA-KALERWE-24h'!J52,'28.07 GAYAZA-KALERWE'!J52)</f>
        <v>7</v>
      </c>
      <c r="K52" s="49">
        <f>AVERAGE('22.07 GAYAZA-KALERWE'!K52,'23.07 GAYAZA-KALERWE'!K52,'24.07 GAYAZA-KALERWE'!K52,'25.07 GAYAZA-KALERWE'!K52,'26.07 GAYAZA-KALERWE-24h'!K52,'27.07 GAYAZA-KALERWE-24h'!K52,'28.07 GAYAZA-KALERWE'!K52)</f>
        <v>2.1428571428571428</v>
      </c>
      <c r="L52" s="49">
        <f>AVERAGE('22.07 GAYAZA-KALERWE'!L52,'23.07 GAYAZA-KALERWE'!L52,'24.07 GAYAZA-KALERWE'!L52,'25.07 GAYAZA-KALERWE'!L52,'26.07 GAYAZA-KALERWE-24h'!L52,'27.07 GAYAZA-KALERWE-24h'!L52,'28.07 GAYAZA-KALERWE'!L52)</f>
        <v>1.2857142857142858</v>
      </c>
      <c r="M52" s="49">
        <f>AVERAGE('22.07 GAYAZA-KALERWE'!M52,'23.07 GAYAZA-KALERWE'!M52,'24.07 GAYAZA-KALERWE'!M52,'25.07 GAYAZA-KALERWE'!M52,'26.07 GAYAZA-KALERWE-24h'!M52,'27.07 GAYAZA-KALERWE-24h'!M52,'28.07 GAYAZA-KALERWE'!M52)</f>
        <v>185.14285714285714</v>
      </c>
      <c r="N52" s="49">
        <f>AVERAGE('22.07 GAYAZA-KALERWE'!N52,'23.07 GAYAZA-KALERWE'!N52,'24.07 GAYAZA-KALERWE'!N52,'25.07 GAYAZA-KALERWE'!N52,'26.07 GAYAZA-KALERWE-24h'!N52,'27.07 GAYAZA-KALERWE-24h'!N52,'28.07 GAYAZA-KALERWE'!N52)</f>
        <v>0</v>
      </c>
      <c r="O52" s="15">
        <f t="shared" si="0"/>
        <v>149.57142857142856</v>
      </c>
      <c r="P52" s="15">
        <f t="shared" si="1"/>
        <v>334.71428571428567</v>
      </c>
      <c r="R52" s="8"/>
      <c r="T52"/>
    </row>
    <row r="53" spans="2:20" ht="23.1" customHeight="1" x14ac:dyDescent="0.25">
      <c r="B53" s="23" t="s">
        <v>80</v>
      </c>
      <c r="C53" s="49">
        <f>AVERAGE('22.07 GAYAZA-KALERWE'!C53,'23.07 GAYAZA-KALERWE'!C53,'24.07 GAYAZA-KALERWE'!C53,'25.07 GAYAZA-KALERWE'!C53,'26.07 GAYAZA-KALERWE-24h'!C53,'27.07 GAYAZA-KALERWE-24h'!C53,'28.07 GAYAZA-KALERWE'!C53)</f>
        <v>59.428571428571431</v>
      </c>
      <c r="D53" s="49">
        <f>AVERAGE('22.07 GAYAZA-KALERWE'!D53,'23.07 GAYAZA-KALERWE'!D53,'24.07 GAYAZA-KALERWE'!D53,'25.07 GAYAZA-KALERWE'!D53,'26.07 GAYAZA-KALERWE-24h'!D53,'27.07 GAYAZA-KALERWE-24h'!D53,'28.07 GAYAZA-KALERWE'!D53)</f>
        <v>7.2857142857142856</v>
      </c>
      <c r="E53" s="49">
        <f>AVERAGE('22.07 GAYAZA-KALERWE'!E53,'23.07 GAYAZA-KALERWE'!E53,'24.07 GAYAZA-KALERWE'!E53,'25.07 GAYAZA-KALERWE'!E53,'26.07 GAYAZA-KALERWE-24h'!E53,'27.07 GAYAZA-KALERWE-24h'!E53,'28.07 GAYAZA-KALERWE'!E53)</f>
        <v>7.5714285714285712</v>
      </c>
      <c r="F53" s="49">
        <f>AVERAGE('22.07 GAYAZA-KALERWE'!F53,'23.07 GAYAZA-KALERWE'!F53,'24.07 GAYAZA-KALERWE'!F53,'25.07 GAYAZA-KALERWE'!F53,'26.07 GAYAZA-KALERWE-24h'!F53,'27.07 GAYAZA-KALERWE-24h'!F53,'28.07 GAYAZA-KALERWE'!F53)</f>
        <v>63.285714285714285</v>
      </c>
      <c r="G53" s="49">
        <f>AVERAGE('22.07 GAYAZA-KALERWE'!G53,'23.07 GAYAZA-KALERWE'!G53,'24.07 GAYAZA-KALERWE'!G53,'25.07 GAYAZA-KALERWE'!G53,'26.07 GAYAZA-KALERWE-24h'!G53,'27.07 GAYAZA-KALERWE-24h'!G53,'28.07 GAYAZA-KALERWE'!G53)</f>
        <v>0.8571428571428571</v>
      </c>
      <c r="H53" s="49">
        <f>AVERAGE('22.07 GAYAZA-KALERWE'!H53,'23.07 GAYAZA-KALERWE'!H53,'24.07 GAYAZA-KALERWE'!H53,'25.07 GAYAZA-KALERWE'!H53,'26.07 GAYAZA-KALERWE-24h'!H53,'27.07 GAYAZA-KALERWE-24h'!H53,'28.07 GAYAZA-KALERWE'!H53)</f>
        <v>0.8571428571428571</v>
      </c>
      <c r="I53" s="49">
        <f>AVERAGE('22.07 GAYAZA-KALERWE'!I53,'23.07 GAYAZA-KALERWE'!I53,'24.07 GAYAZA-KALERWE'!I53,'25.07 GAYAZA-KALERWE'!I53,'26.07 GAYAZA-KALERWE-24h'!I53,'27.07 GAYAZA-KALERWE-24h'!I53,'28.07 GAYAZA-KALERWE'!I53)</f>
        <v>8.7142857142857135</v>
      </c>
      <c r="J53" s="49">
        <f>AVERAGE('22.07 GAYAZA-KALERWE'!J53,'23.07 GAYAZA-KALERWE'!J53,'24.07 GAYAZA-KALERWE'!J53,'25.07 GAYAZA-KALERWE'!J53,'26.07 GAYAZA-KALERWE-24h'!J53,'27.07 GAYAZA-KALERWE-24h'!J53,'28.07 GAYAZA-KALERWE'!J53)</f>
        <v>4.8571428571428568</v>
      </c>
      <c r="K53" s="49">
        <f>AVERAGE('22.07 GAYAZA-KALERWE'!K53,'23.07 GAYAZA-KALERWE'!K53,'24.07 GAYAZA-KALERWE'!K53,'25.07 GAYAZA-KALERWE'!K53,'26.07 GAYAZA-KALERWE-24h'!K53,'27.07 GAYAZA-KALERWE-24h'!K53,'28.07 GAYAZA-KALERWE'!K53)</f>
        <v>2.2857142857142856</v>
      </c>
      <c r="L53" s="49">
        <f>AVERAGE('22.07 GAYAZA-KALERWE'!L53,'23.07 GAYAZA-KALERWE'!L53,'24.07 GAYAZA-KALERWE'!L53,'25.07 GAYAZA-KALERWE'!L53,'26.07 GAYAZA-KALERWE-24h'!L53,'27.07 GAYAZA-KALERWE-24h'!L53,'28.07 GAYAZA-KALERWE'!L53)</f>
        <v>1.8571428571428572</v>
      </c>
      <c r="M53" s="49">
        <f>AVERAGE('22.07 GAYAZA-KALERWE'!M53,'23.07 GAYAZA-KALERWE'!M53,'24.07 GAYAZA-KALERWE'!M53,'25.07 GAYAZA-KALERWE'!M53,'26.07 GAYAZA-KALERWE-24h'!M53,'27.07 GAYAZA-KALERWE-24h'!M53,'28.07 GAYAZA-KALERWE'!M53)</f>
        <v>178.42857142857142</v>
      </c>
      <c r="N53" s="49">
        <f>AVERAGE('22.07 GAYAZA-KALERWE'!N53,'23.07 GAYAZA-KALERWE'!N53,'24.07 GAYAZA-KALERWE'!N53,'25.07 GAYAZA-KALERWE'!N53,'26.07 GAYAZA-KALERWE-24h'!N53,'27.07 GAYAZA-KALERWE-24h'!N53,'28.07 GAYAZA-KALERWE'!N53)</f>
        <v>0</v>
      </c>
      <c r="O53" s="15">
        <f t="shared" si="0"/>
        <v>157.00000000000003</v>
      </c>
      <c r="P53" s="15">
        <f t="shared" si="1"/>
        <v>335.42857142857144</v>
      </c>
      <c r="R53" s="8"/>
      <c r="T53"/>
    </row>
    <row r="54" spans="2:20" ht="23.1" customHeight="1" x14ac:dyDescent="0.25">
      <c r="B54" s="23" t="s">
        <v>81</v>
      </c>
      <c r="C54" s="49">
        <f>AVERAGE('22.07 GAYAZA-KALERWE'!C54,'23.07 GAYAZA-KALERWE'!C54,'24.07 GAYAZA-KALERWE'!C54,'25.07 GAYAZA-KALERWE'!C54,'26.07 GAYAZA-KALERWE-24h'!C54,'27.07 GAYAZA-KALERWE-24h'!C54,'28.07 GAYAZA-KALERWE'!C54)</f>
        <v>69.142857142857139</v>
      </c>
      <c r="D54" s="49">
        <f>AVERAGE('22.07 GAYAZA-KALERWE'!D54,'23.07 GAYAZA-KALERWE'!D54,'24.07 GAYAZA-KALERWE'!D54,'25.07 GAYAZA-KALERWE'!D54,'26.07 GAYAZA-KALERWE-24h'!D54,'27.07 GAYAZA-KALERWE-24h'!D54,'28.07 GAYAZA-KALERWE'!D54)</f>
        <v>7.5714285714285712</v>
      </c>
      <c r="E54" s="49">
        <f>AVERAGE('22.07 GAYAZA-KALERWE'!E54,'23.07 GAYAZA-KALERWE'!E54,'24.07 GAYAZA-KALERWE'!E54,'25.07 GAYAZA-KALERWE'!E54,'26.07 GAYAZA-KALERWE-24h'!E54,'27.07 GAYAZA-KALERWE-24h'!E54,'28.07 GAYAZA-KALERWE'!E54)</f>
        <v>8.4285714285714288</v>
      </c>
      <c r="F54" s="49">
        <f>AVERAGE('22.07 GAYAZA-KALERWE'!F54,'23.07 GAYAZA-KALERWE'!F54,'24.07 GAYAZA-KALERWE'!F54,'25.07 GAYAZA-KALERWE'!F54,'26.07 GAYAZA-KALERWE-24h'!F54,'27.07 GAYAZA-KALERWE-24h'!F54,'28.07 GAYAZA-KALERWE'!F54)</f>
        <v>68.714285714285708</v>
      </c>
      <c r="G54" s="49">
        <f>AVERAGE('22.07 GAYAZA-KALERWE'!G54,'23.07 GAYAZA-KALERWE'!G54,'24.07 GAYAZA-KALERWE'!G54,'25.07 GAYAZA-KALERWE'!G54,'26.07 GAYAZA-KALERWE-24h'!G54,'27.07 GAYAZA-KALERWE-24h'!G54,'28.07 GAYAZA-KALERWE'!G54)</f>
        <v>2.5714285714285716</v>
      </c>
      <c r="H54" s="49">
        <f>AVERAGE('22.07 GAYAZA-KALERWE'!H54,'23.07 GAYAZA-KALERWE'!H54,'24.07 GAYAZA-KALERWE'!H54,'25.07 GAYAZA-KALERWE'!H54,'26.07 GAYAZA-KALERWE-24h'!H54,'27.07 GAYAZA-KALERWE-24h'!H54,'28.07 GAYAZA-KALERWE'!H54)</f>
        <v>1.8571428571428572</v>
      </c>
      <c r="I54" s="49">
        <f>AVERAGE('22.07 GAYAZA-KALERWE'!I54,'23.07 GAYAZA-KALERWE'!I54,'24.07 GAYAZA-KALERWE'!I54,'25.07 GAYAZA-KALERWE'!I54,'26.07 GAYAZA-KALERWE-24h'!I54,'27.07 GAYAZA-KALERWE-24h'!I54,'28.07 GAYAZA-KALERWE'!I54)</f>
        <v>8.2857142857142865</v>
      </c>
      <c r="J54" s="49">
        <f>AVERAGE('22.07 GAYAZA-KALERWE'!J54,'23.07 GAYAZA-KALERWE'!J54,'24.07 GAYAZA-KALERWE'!J54,'25.07 GAYAZA-KALERWE'!J54,'26.07 GAYAZA-KALERWE-24h'!J54,'27.07 GAYAZA-KALERWE-24h'!J54,'28.07 GAYAZA-KALERWE'!J54)</f>
        <v>5.5714285714285712</v>
      </c>
      <c r="K54" s="49">
        <f>AVERAGE('22.07 GAYAZA-KALERWE'!K54,'23.07 GAYAZA-KALERWE'!K54,'24.07 GAYAZA-KALERWE'!K54,'25.07 GAYAZA-KALERWE'!K54,'26.07 GAYAZA-KALERWE-24h'!K54,'27.07 GAYAZA-KALERWE-24h'!K54,'28.07 GAYAZA-KALERWE'!K54)</f>
        <v>1.7142857142857142</v>
      </c>
      <c r="L54" s="49">
        <f>AVERAGE('22.07 GAYAZA-KALERWE'!L54,'23.07 GAYAZA-KALERWE'!L54,'24.07 GAYAZA-KALERWE'!L54,'25.07 GAYAZA-KALERWE'!L54,'26.07 GAYAZA-KALERWE-24h'!L54,'27.07 GAYAZA-KALERWE-24h'!L54,'28.07 GAYAZA-KALERWE'!L54)</f>
        <v>0.8571428571428571</v>
      </c>
      <c r="M54" s="49">
        <f>AVERAGE('22.07 GAYAZA-KALERWE'!M54,'23.07 GAYAZA-KALERWE'!M54,'24.07 GAYAZA-KALERWE'!M54,'25.07 GAYAZA-KALERWE'!M54,'26.07 GAYAZA-KALERWE-24h'!M54,'27.07 GAYAZA-KALERWE-24h'!M54,'28.07 GAYAZA-KALERWE'!M54)</f>
        <v>251.14285714285714</v>
      </c>
      <c r="N54" s="49">
        <f>AVERAGE('22.07 GAYAZA-KALERWE'!N54,'23.07 GAYAZA-KALERWE'!N54,'24.07 GAYAZA-KALERWE'!N54,'25.07 GAYAZA-KALERWE'!N54,'26.07 GAYAZA-KALERWE-24h'!N54,'27.07 GAYAZA-KALERWE-24h'!N54,'28.07 GAYAZA-KALERWE'!N54)</f>
        <v>0</v>
      </c>
      <c r="O54" s="15">
        <f t="shared" si="0"/>
        <v>174.71428571428572</v>
      </c>
      <c r="P54" s="15">
        <f t="shared" si="1"/>
        <v>425.85714285714289</v>
      </c>
      <c r="R54" s="8"/>
      <c r="T54"/>
    </row>
    <row r="55" spans="2:20" ht="23.1" customHeight="1" x14ac:dyDescent="0.25">
      <c r="B55" s="23" t="s">
        <v>82</v>
      </c>
      <c r="C55" s="49">
        <f>AVERAGE('22.07 GAYAZA-KALERWE'!C55,'23.07 GAYAZA-KALERWE'!C55,'24.07 GAYAZA-KALERWE'!C55,'25.07 GAYAZA-KALERWE'!C55,'26.07 GAYAZA-KALERWE-24h'!C55,'27.07 GAYAZA-KALERWE-24h'!C55,'28.07 GAYAZA-KALERWE'!C55)</f>
        <v>58.714285714285715</v>
      </c>
      <c r="D55" s="49">
        <f>AVERAGE('22.07 GAYAZA-KALERWE'!D55,'23.07 GAYAZA-KALERWE'!D55,'24.07 GAYAZA-KALERWE'!D55,'25.07 GAYAZA-KALERWE'!D55,'26.07 GAYAZA-KALERWE-24h'!D55,'27.07 GAYAZA-KALERWE-24h'!D55,'28.07 GAYAZA-KALERWE'!D55)</f>
        <v>7</v>
      </c>
      <c r="E55" s="49">
        <f>AVERAGE('22.07 GAYAZA-KALERWE'!E55,'23.07 GAYAZA-KALERWE'!E55,'24.07 GAYAZA-KALERWE'!E55,'25.07 GAYAZA-KALERWE'!E55,'26.07 GAYAZA-KALERWE-24h'!E55,'27.07 GAYAZA-KALERWE-24h'!E55,'28.07 GAYAZA-KALERWE'!E55)</f>
        <v>4.2857142857142856</v>
      </c>
      <c r="F55" s="49">
        <f>AVERAGE('22.07 GAYAZA-KALERWE'!F55,'23.07 GAYAZA-KALERWE'!F55,'24.07 GAYAZA-KALERWE'!F55,'25.07 GAYAZA-KALERWE'!F55,'26.07 GAYAZA-KALERWE-24h'!F55,'27.07 GAYAZA-KALERWE-24h'!F55,'28.07 GAYAZA-KALERWE'!F55)</f>
        <v>81.714285714285708</v>
      </c>
      <c r="G55" s="49">
        <f>AVERAGE('22.07 GAYAZA-KALERWE'!G55,'23.07 GAYAZA-KALERWE'!G55,'24.07 GAYAZA-KALERWE'!G55,'25.07 GAYAZA-KALERWE'!G55,'26.07 GAYAZA-KALERWE-24h'!G55,'27.07 GAYAZA-KALERWE-24h'!G55,'28.07 GAYAZA-KALERWE'!G55)</f>
        <v>1.2857142857142858</v>
      </c>
      <c r="H55" s="49">
        <f>AVERAGE('22.07 GAYAZA-KALERWE'!H55,'23.07 GAYAZA-KALERWE'!H55,'24.07 GAYAZA-KALERWE'!H55,'25.07 GAYAZA-KALERWE'!H55,'26.07 GAYAZA-KALERWE-24h'!H55,'27.07 GAYAZA-KALERWE-24h'!H55,'28.07 GAYAZA-KALERWE'!H55)</f>
        <v>1.2857142857142858</v>
      </c>
      <c r="I55" s="49">
        <f>AVERAGE('22.07 GAYAZA-KALERWE'!I55,'23.07 GAYAZA-KALERWE'!I55,'24.07 GAYAZA-KALERWE'!I55,'25.07 GAYAZA-KALERWE'!I55,'26.07 GAYAZA-KALERWE-24h'!I55,'27.07 GAYAZA-KALERWE-24h'!I55,'28.07 GAYAZA-KALERWE'!I55)</f>
        <v>6.5714285714285712</v>
      </c>
      <c r="J55" s="49">
        <f>AVERAGE('22.07 GAYAZA-KALERWE'!J55,'23.07 GAYAZA-KALERWE'!J55,'24.07 GAYAZA-KALERWE'!J55,'25.07 GAYAZA-KALERWE'!J55,'26.07 GAYAZA-KALERWE-24h'!J55,'27.07 GAYAZA-KALERWE-24h'!J55,'28.07 GAYAZA-KALERWE'!J55)</f>
        <v>4.4285714285714288</v>
      </c>
      <c r="K55" s="49">
        <f>AVERAGE('22.07 GAYAZA-KALERWE'!K55,'23.07 GAYAZA-KALERWE'!K55,'24.07 GAYAZA-KALERWE'!K55,'25.07 GAYAZA-KALERWE'!K55,'26.07 GAYAZA-KALERWE-24h'!K55,'27.07 GAYAZA-KALERWE-24h'!K55,'28.07 GAYAZA-KALERWE'!K55)</f>
        <v>1.2857142857142858</v>
      </c>
      <c r="L55" s="49">
        <f>AVERAGE('22.07 GAYAZA-KALERWE'!L55,'23.07 GAYAZA-KALERWE'!L55,'24.07 GAYAZA-KALERWE'!L55,'25.07 GAYAZA-KALERWE'!L55,'26.07 GAYAZA-KALERWE-24h'!L55,'27.07 GAYAZA-KALERWE-24h'!L55,'28.07 GAYAZA-KALERWE'!L55)</f>
        <v>0.7142857142857143</v>
      </c>
      <c r="M55" s="49">
        <f>AVERAGE('22.07 GAYAZA-KALERWE'!M55,'23.07 GAYAZA-KALERWE'!M55,'24.07 GAYAZA-KALERWE'!M55,'25.07 GAYAZA-KALERWE'!M55,'26.07 GAYAZA-KALERWE-24h'!M55,'27.07 GAYAZA-KALERWE-24h'!M55,'28.07 GAYAZA-KALERWE'!M55)</f>
        <v>180.28571428571428</v>
      </c>
      <c r="N55" s="49">
        <f>AVERAGE('22.07 GAYAZA-KALERWE'!N55,'23.07 GAYAZA-KALERWE'!N55,'24.07 GAYAZA-KALERWE'!N55,'25.07 GAYAZA-KALERWE'!N55,'26.07 GAYAZA-KALERWE-24h'!N55,'27.07 GAYAZA-KALERWE-24h'!N55,'28.07 GAYAZA-KALERWE'!N55)</f>
        <v>0</v>
      </c>
      <c r="O55" s="15">
        <f t="shared" si="0"/>
        <v>167.28571428571428</v>
      </c>
      <c r="P55" s="15">
        <f t="shared" si="1"/>
        <v>347.57142857142856</v>
      </c>
      <c r="R55" s="8"/>
      <c r="T55"/>
    </row>
    <row r="56" spans="2:20" ht="23.1" customHeight="1" x14ac:dyDescent="0.25">
      <c r="B56" s="23" t="s">
        <v>83</v>
      </c>
      <c r="C56" s="49">
        <f>AVERAGE('22.07 GAYAZA-KALERWE'!C56,'23.07 GAYAZA-KALERWE'!C56,'24.07 GAYAZA-KALERWE'!C56,'25.07 GAYAZA-KALERWE'!C56,'26.07 GAYAZA-KALERWE-24h'!C56,'27.07 GAYAZA-KALERWE-24h'!C56,'28.07 GAYAZA-KALERWE'!C56)</f>
        <v>55.714285714285715</v>
      </c>
      <c r="D56" s="49">
        <f>AVERAGE('22.07 GAYAZA-KALERWE'!D56,'23.07 GAYAZA-KALERWE'!D56,'24.07 GAYAZA-KALERWE'!D56,'25.07 GAYAZA-KALERWE'!D56,'26.07 GAYAZA-KALERWE-24h'!D56,'27.07 GAYAZA-KALERWE-24h'!D56,'28.07 GAYAZA-KALERWE'!D56)</f>
        <v>4.7142857142857144</v>
      </c>
      <c r="E56" s="49">
        <f>AVERAGE('22.07 GAYAZA-KALERWE'!E56,'23.07 GAYAZA-KALERWE'!E56,'24.07 GAYAZA-KALERWE'!E56,'25.07 GAYAZA-KALERWE'!E56,'26.07 GAYAZA-KALERWE-24h'!E56,'27.07 GAYAZA-KALERWE-24h'!E56,'28.07 GAYAZA-KALERWE'!E56)</f>
        <v>7</v>
      </c>
      <c r="F56" s="49">
        <f>AVERAGE('22.07 GAYAZA-KALERWE'!F56,'23.07 GAYAZA-KALERWE'!F56,'24.07 GAYAZA-KALERWE'!F56,'25.07 GAYAZA-KALERWE'!F56,'26.07 GAYAZA-KALERWE-24h'!F56,'27.07 GAYAZA-KALERWE-24h'!F56,'28.07 GAYAZA-KALERWE'!F56)</f>
        <v>76.285714285714292</v>
      </c>
      <c r="G56" s="49">
        <f>AVERAGE('22.07 GAYAZA-KALERWE'!G56,'23.07 GAYAZA-KALERWE'!G56,'24.07 GAYAZA-KALERWE'!G56,'25.07 GAYAZA-KALERWE'!G56,'26.07 GAYAZA-KALERWE-24h'!G56,'27.07 GAYAZA-KALERWE-24h'!G56,'28.07 GAYAZA-KALERWE'!G56)</f>
        <v>1.2857142857142858</v>
      </c>
      <c r="H56" s="49">
        <f>AVERAGE('22.07 GAYAZA-KALERWE'!H56,'23.07 GAYAZA-KALERWE'!H56,'24.07 GAYAZA-KALERWE'!H56,'25.07 GAYAZA-KALERWE'!H56,'26.07 GAYAZA-KALERWE-24h'!H56,'27.07 GAYAZA-KALERWE-24h'!H56,'28.07 GAYAZA-KALERWE'!H56)</f>
        <v>1</v>
      </c>
      <c r="I56" s="49">
        <f>AVERAGE('22.07 GAYAZA-KALERWE'!I56,'23.07 GAYAZA-KALERWE'!I56,'24.07 GAYAZA-KALERWE'!I56,'25.07 GAYAZA-KALERWE'!I56,'26.07 GAYAZA-KALERWE-24h'!I56,'27.07 GAYAZA-KALERWE-24h'!I56,'28.07 GAYAZA-KALERWE'!I56)</f>
        <v>9.1428571428571423</v>
      </c>
      <c r="J56" s="49">
        <f>AVERAGE('22.07 GAYAZA-KALERWE'!J56,'23.07 GAYAZA-KALERWE'!J56,'24.07 GAYAZA-KALERWE'!J56,'25.07 GAYAZA-KALERWE'!J56,'26.07 GAYAZA-KALERWE-24h'!J56,'27.07 GAYAZA-KALERWE-24h'!J56,'28.07 GAYAZA-KALERWE'!J56)</f>
        <v>4.8571428571428568</v>
      </c>
      <c r="K56" s="49">
        <f>AVERAGE('22.07 GAYAZA-KALERWE'!K56,'23.07 GAYAZA-KALERWE'!K56,'24.07 GAYAZA-KALERWE'!K56,'25.07 GAYAZA-KALERWE'!K56,'26.07 GAYAZA-KALERWE-24h'!K56,'27.07 GAYAZA-KALERWE-24h'!K56,'28.07 GAYAZA-KALERWE'!K56)</f>
        <v>1.4285714285714286</v>
      </c>
      <c r="L56" s="49">
        <f>AVERAGE('22.07 GAYAZA-KALERWE'!L56,'23.07 GAYAZA-KALERWE'!L56,'24.07 GAYAZA-KALERWE'!L56,'25.07 GAYAZA-KALERWE'!L56,'26.07 GAYAZA-KALERWE-24h'!L56,'27.07 GAYAZA-KALERWE-24h'!L56,'28.07 GAYAZA-KALERWE'!L56)</f>
        <v>0.5714285714285714</v>
      </c>
      <c r="M56" s="49">
        <f>AVERAGE('22.07 GAYAZA-KALERWE'!M56,'23.07 GAYAZA-KALERWE'!M56,'24.07 GAYAZA-KALERWE'!M56,'25.07 GAYAZA-KALERWE'!M56,'26.07 GAYAZA-KALERWE-24h'!M56,'27.07 GAYAZA-KALERWE-24h'!M56,'28.07 GAYAZA-KALERWE'!M56)</f>
        <v>174.57142857142858</v>
      </c>
      <c r="N56" s="49">
        <f>AVERAGE('22.07 GAYAZA-KALERWE'!N56,'23.07 GAYAZA-KALERWE'!N56,'24.07 GAYAZA-KALERWE'!N56,'25.07 GAYAZA-KALERWE'!N56,'26.07 GAYAZA-KALERWE-24h'!N56,'27.07 GAYAZA-KALERWE-24h'!N56,'28.07 GAYAZA-KALERWE'!N56)</f>
        <v>0</v>
      </c>
      <c r="O56" s="15">
        <f t="shared" si="0"/>
        <v>162</v>
      </c>
      <c r="P56" s="15">
        <f t="shared" si="1"/>
        <v>336.57142857142856</v>
      </c>
      <c r="R56" s="8"/>
      <c r="T56"/>
    </row>
    <row r="57" spans="2:20" ht="23.1" customHeight="1" x14ac:dyDescent="0.25">
      <c r="B57" s="23" t="s">
        <v>84</v>
      </c>
      <c r="C57" s="49">
        <f>AVERAGE('22.07 GAYAZA-KALERWE'!C57,'23.07 GAYAZA-KALERWE'!C57,'24.07 GAYAZA-KALERWE'!C57,'25.07 GAYAZA-KALERWE'!C57,'26.07 GAYAZA-KALERWE-24h'!C57,'27.07 GAYAZA-KALERWE-24h'!C57,'28.07 GAYAZA-KALERWE'!C57)</f>
        <v>55.285714285714285</v>
      </c>
      <c r="D57" s="49">
        <f>AVERAGE('22.07 GAYAZA-KALERWE'!D57,'23.07 GAYAZA-KALERWE'!D57,'24.07 GAYAZA-KALERWE'!D57,'25.07 GAYAZA-KALERWE'!D57,'26.07 GAYAZA-KALERWE-24h'!D57,'27.07 GAYAZA-KALERWE-24h'!D57,'28.07 GAYAZA-KALERWE'!D57)</f>
        <v>4.2857142857142856</v>
      </c>
      <c r="E57" s="49">
        <f>AVERAGE('22.07 GAYAZA-KALERWE'!E57,'23.07 GAYAZA-KALERWE'!E57,'24.07 GAYAZA-KALERWE'!E57,'25.07 GAYAZA-KALERWE'!E57,'26.07 GAYAZA-KALERWE-24h'!E57,'27.07 GAYAZA-KALERWE-24h'!E57,'28.07 GAYAZA-KALERWE'!E57)</f>
        <v>5</v>
      </c>
      <c r="F57" s="49">
        <f>AVERAGE('22.07 GAYAZA-KALERWE'!F57,'23.07 GAYAZA-KALERWE'!F57,'24.07 GAYAZA-KALERWE'!F57,'25.07 GAYAZA-KALERWE'!F57,'26.07 GAYAZA-KALERWE-24h'!F57,'27.07 GAYAZA-KALERWE-24h'!F57,'28.07 GAYAZA-KALERWE'!F57)</f>
        <v>75</v>
      </c>
      <c r="G57" s="49">
        <f>AVERAGE('22.07 GAYAZA-KALERWE'!G57,'23.07 GAYAZA-KALERWE'!G57,'24.07 GAYAZA-KALERWE'!G57,'25.07 GAYAZA-KALERWE'!G57,'26.07 GAYAZA-KALERWE-24h'!G57,'27.07 GAYAZA-KALERWE-24h'!G57,'28.07 GAYAZA-KALERWE'!G57)</f>
        <v>1.5714285714285714</v>
      </c>
      <c r="H57" s="49">
        <f>AVERAGE('22.07 GAYAZA-KALERWE'!H57,'23.07 GAYAZA-KALERWE'!H57,'24.07 GAYAZA-KALERWE'!H57,'25.07 GAYAZA-KALERWE'!H57,'26.07 GAYAZA-KALERWE-24h'!H57,'27.07 GAYAZA-KALERWE-24h'!H57,'28.07 GAYAZA-KALERWE'!H57)</f>
        <v>0.7142857142857143</v>
      </c>
      <c r="I57" s="49">
        <f>AVERAGE('22.07 GAYAZA-KALERWE'!I57,'23.07 GAYAZA-KALERWE'!I57,'24.07 GAYAZA-KALERWE'!I57,'25.07 GAYAZA-KALERWE'!I57,'26.07 GAYAZA-KALERWE-24h'!I57,'27.07 GAYAZA-KALERWE-24h'!I57,'28.07 GAYAZA-KALERWE'!I57)</f>
        <v>7.1428571428571432</v>
      </c>
      <c r="J57" s="49">
        <f>AVERAGE('22.07 GAYAZA-KALERWE'!J57,'23.07 GAYAZA-KALERWE'!J57,'24.07 GAYAZA-KALERWE'!J57,'25.07 GAYAZA-KALERWE'!J57,'26.07 GAYAZA-KALERWE-24h'!J57,'27.07 GAYAZA-KALERWE-24h'!J57,'28.07 GAYAZA-KALERWE'!J57)</f>
        <v>5.5714285714285712</v>
      </c>
      <c r="K57" s="49">
        <f>AVERAGE('22.07 GAYAZA-KALERWE'!K57,'23.07 GAYAZA-KALERWE'!K57,'24.07 GAYAZA-KALERWE'!K57,'25.07 GAYAZA-KALERWE'!K57,'26.07 GAYAZA-KALERWE-24h'!K57,'27.07 GAYAZA-KALERWE-24h'!K57,'28.07 GAYAZA-KALERWE'!K57)</f>
        <v>1.5714285714285714</v>
      </c>
      <c r="L57" s="49">
        <f>AVERAGE('22.07 GAYAZA-KALERWE'!L57,'23.07 GAYAZA-KALERWE'!L57,'24.07 GAYAZA-KALERWE'!L57,'25.07 GAYAZA-KALERWE'!L57,'26.07 GAYAZA-KALERWE-24h'!L57,'27.07 GAYAZA-KALERWE-24h'!L57,'28.07 GAYAZA-KALERWE'!L57)</f>
        <v>0.7142857142857143</v>
      </c>
      <c r="M57" s="49">
        <f>AVERAGE('22.07 GAYAZA-KALERWE'!M57,'23.07 GAYAZA-KALERWE'!M57,'24.07 GAYAZA-KALERWE'!M57,'25.07 GAYAZA-KALERWE'!M57,'26.07 GAYAZA-KALERWE-24h'!M57,'27.07 GAYAZA-KALERWE-24h'!M57,'28.07 GAYAZA-KALERWE'!M57)</f>
        <v>172.71428571428572</v>
      </c>
      <c r="N57" s="49">
        <f>AVERAGE('22.07 GAYAZA-KALERWE'!N57,'23.07 GAYAZA-KALERWE'!N57,'24.07 GAYAZA-KALERWE'!N57,'25.07 GAYAZA-KALERWE'!N57,'26.07 GAYAZA-KALERWE-24h'!N57,'27.07 GAYAZA-KALERWE-24h'!N57,'28.07 GAYAZA-KALERWE'!N57)</f>
        <v>0</v>
      </c>
      <c r="O57" s="15">
        <f t="shared" si="0"/>
        <v>156.85714285714289</v>
      </c>
      <c r="P57" s="15">
        <f t="shared" si="1"/>
        <v>329.57142857142861</v>
      </c>
      <c r="R57" s="8"/>
      <c r="T57"/>
    </row>
    <row r="58" spans="2:20" ht="23.1" customHeight="1" x14ac:dyDescent="0.25">
      <c r="B58" s="23" t="s">
        <v>99</v>
      </c>
      <c r="C58" s="49">
        <f>AVERAGE('26.07 GAYAZA-KALERWE-24h'!C58,'27.07 GAYAZA-KALERWE-24h'!C58)</f>
        <v>53.5</v>
      </c>
      <c r="D58" s="49">
        <f>AVERAGE('26.07 GAYAZA-KALERWE-24h'!D58,'27.07 GAYAZA-KALERWE-24h'!D58)</f>
        <v>21.5</v>
      </c>
      <c r="E58" s="49">
        <f>AVERAGE('26.07 GAYAZA-KALERWE-24h'!E58,'27.07 GAYAZA-KALERWE-24h'!E58)</f>
        <v>13</v>
      </c>
      <c r="F58" s="49">
        <f>AVERAGE('26.07 GAYAZA-KALERWE-24h'!F58,'27.07 GAYAZA-KALERWE-24h'!F58)</f>
        <v>31</v>
      </c>
      <c r="G58" s="49">
        <f>AVERAGE('26.07 GAYAZA-KALERWE-24h'!G58,'27.07 GAYAZA-KALERWE-24h'!G58)</f>
        <v>2</v>
      </c>
      <c r="H58" s="49">
        <f>AVERAGE('26.07 GAYAZA-KALERWE-24h'!H58,'27.07 GAYAZA-KALERWE-24h'!H58)</f>
        <v>2</v>
      </c>
      <c r="I58" s="49">
        <f>AVERAGE('26.07 GAYAZA-KALERWE-24h'!I58,'27.07 GAYAZA-KALERWE-24h'!I58)</f>
        <v>5</v>
      </c>
      <c r="J58" s="49">
        <f>AVERAGE('26.07 GAYAZA-KALERWE-24h'!J58,'27.07 GAYAZA-KALERWE-24h'!J58)</f>
        <v>6</v>
      </c>
      <c r="K58" s="49">
        <f>AVERAGE('26.07 GAYAZA-KALERWE-24h'!K58,'27.07 GAYAZA-KALERWE-24h'!K58)</f>
        <v>0.5</v>
      </c>
      <c r="L58" s="49">
        <f>AVERAGE('26.07 GAYAZA-KALERWE-24h'!L58,'27.07 GAYAZA-KALERWE-24h'!L58)</f>
        <v>2.5</v>
      </c>
      <c r="M58" s="49">
        <f>AVERAGE('26.07 GAYAZA-KALERWE-24h'!M58,'27.07 GAYAZA-KALERWE-24h'!M58)</f>
        <v>231</v>
      </c>
      <c r="N58" s="49">
        <f>AVERAGE('26.07 GAYAZA-KALERWE-24h'!N58,'27.07 GAYAZA-KALERWE-24h'!N58)</f>
        <v>0</v>
      </c>
      <c r="O58" s="15">
        <f t="shared" si="0"/>
        <v>137</v>
      </c>
      <c r="P58" s="15">
        <f t="shared" si="1"/>
        <v>368</v>
      </c>
      <c r="R58" s="8"/>
      <c r="T58"/>
    </row>
    <row r="59" spans="2:20" ht="23.1" customHeight="1" x14ac:dyDescent="0.25">
      <c r="B59" s="23" t="s">
        <v>100</v>
      </c>
      <c r="C59" s="49">
        <f>AVERAGE('26.07 GAYAZA-KALERWE-24h'!C59,'27.07 GAYAZA-KALERWE-24h'!C59)</f>
        <v>65.5</v>
      </c>
      <c r="D59" s="49">
        <f>AVERAGE('26.07 GAYAZA-KALERWE-24h'!D59,'27.07 GAYAZA-KALERWE-24h'!D59)</f>
        <v>28.5</v>
      </c>
      <c r="E59" s="49">
        <f>AVERAGE('26.07 GAYAZA-KALERWE-24h'!E59,'27.07 GAYAZA-KALERWE-24h'!E59)</f>
        <v>14</v>
      </c>
      <c r="F59" s="49">
        <f>AVERAGE('26.07 GAYAZA-KALERWE-24h'!F59,'27.07 GAYAZA-KALERWE-24h'!F59)</f>
        <v>34.5</v>
      </c>
      <c r="G59" s="49">
        <f>AVERAGE('26.07 GAYAZA-KALERWE-24h'!G59,'27.07 GAYAZA-KALERWE-24h'!G59)</f>
        <v>2.5</v>
      </c>
      <c r="H59" s="49">
        <f>AVERAGE('26.07 GAYAZA-KALERWE-24h'!H59,'27.07 GAYAZA-KALERWE-24h'!H59)</f>
        <v>1.5</v>
      </c>
      <c r="I59" s="49">
        <f>AVERAGE('26.07 GAYAZA-KALERWE-24h'!I59,'27.07 GAYAZA-KALERWE-24h'!I59)</f>
        <v>6.5</v>
      </c>
      <c r="J59" s="49">
        <f>AVERAGE('26.07 GAYAZA-KALERWE-24h'!J59,'27.07 GAYAZA-KALERWE-24h'!J59)</f>
        <v>5.5</v>
      </c>
      <c r="K59" s="49">
        <f>AVERAGE('26.07 GAYAZA-KALERWE-24h'!K59,'27.07 GAYAZA-KALERWE-24h'!K59)</f>
        <v>2</v>
      </c>
      <c r="L59" s="49">
        <f>AVERAGE('26.07 GAYAZA-KALERWE-24h'!L59,'27.07 GAYAZA-KALERWE-24h'!L59)</f>
        <v>1</v>
      </c>
      <c r="M59" s="49">
        <f>AVERAGE('26.07 GAYAZA-KALERWE-24h'!M59,'27.07 GAYAZA-KALERWE-24h'!M59)</f>
        <v>251</v>
      </c>
      <c r="N59" s="49">
        <f>AVERAGE('26.07 GAYAZA-KALERWE-24h'!N59,'27.07 GAYAZA-KALERWE-24h'!N59)</f>
        <v>0</v>
      </c>
      <c r="O59" s="15">
        <f t="shared" si="0"/>
        <v>161.5</v>
      </c>
      <c r="P59" s="15">
        <f t="shared" si="1"/>
        <v>412.5</v>
      </c>
      <c r="R59" s="8"/>
      <c r="T59"/>
    </row>
    <row r="60" spans="2:20" ht="23.1" customHeight="1" x14ac:dyDescent="0.25">
      <c r="B60" s="23" t="s">
        <v>101</v>
      </c>
      <c r="C60" s="49">
        <f>AVERAGE('26.07 GAYAZA-KALERWE-24h'!C60,'27.07 GAYAZA-KALERWE-24h'!C60)</f>
        <v>45.5</v>
      </c>
      <c r="D60" s="49">
        <f>AVERAGE('26.07 GAYAZA-KALERWE-24h'!D60,'27.07 GAYAZA-KALERWE-24h'!D60)</f>
        <v>20.5</v>
      </c>
      <c r="E60" s="49">
        <f>AVERAGE('26.07 GAYAZA-KALERWE-24h'!E60,'27.07 GAYAZA-KALERWE-24h'!E60)</f>
        <v>15.5</v>
      </c>
      <c r="F60" s="49">
        <f>AVERAGE('26.07 GAYAZA-KALERWE-24h'!F60,'27.07 GAYAZA-KALERWE-24h'!F60)</f>
        <v>29.5</v>
      </c>
      <c r="G60" s="49">
        <f>AVERAGE('26.07 GAYAZA-KALERWE-24h'!G60,'27.07 GAYAZA-KALERWE-24h'!G60)</f>
        <v>6</v>
      </c>
      <c r="H60" s="49">
        <f>AVERAGE('26.07 GAYAZA-KALERWE-24h'!H60,'27.07 GAYAZA-KALERWE-24h'!H60)</f>
        <v>0.5</v>
      </c>
      <c r="I60" s="49">
        <f>AVERAGE('26.07 GAYAZA-KALERWE-24h'!I60,'27.07 GAYAZA-KALERWE-24h'!I60)</f>
        <v>2</v>
      </c>
      <c r="J60" s="49">
        <f>AVERAGE('26.07 GAYAZA-KALERWE-24h'!J60,'27.07 GAYAZA-KALERWE-24h'!J60)</f>
        <v>4</v>
      </c>
      <c r="K60" s="49">
        <f>AVERAGE('26.07 GAYAZA-KALERWE-24h'!K60,'27.07 GAYAZA-KALERWE-24h'!K60)</f>
        <v>1</v>
      </c>
      <c r="L60" s="49">
        <f>AVERAGE('26.07 GAYAZA-KALERWE-24h'!L60,'27.07 GAYAZA-KALERWE-24h'!L60)</f>
        <v>1.5</v>
      </c>
      <c r="M60" s="49">
        <f>AVERAGE('26.07 GAYAZA-KALERWE-24h'!M60,'27.07 GAYAZA-KALERWE-24h'!M60)</f>
        <v>295</v>
      </c>
      <c r="N60" s="49">
        <f>AVERAGE('26.07 GAYAZA-KALERWE-24h'!N60,'27.07 GAYAZA-KALERWE-24h'!N60)</f>
        <v>0</v>
      </c>
      <c r="O60" s="15">
        <f t="shared" ref="O60:O105" si="35">SUM(C60:L60,N60)</f>
        <v>126</v>
      </c>
      <c r="P60" s="15">
        <f t="shared" si="1"/>
        <v>421</v>
      </c>
      <c r="R60" s="8"/>
      <c r="T60"/>
    </row>
    <row r="61" spans="2:20" ht="23.1" customHeight="1" x14ac:dyDescent="0.25">
      <c r="B61" s="23" t="s">
        <v>102</v>
      </c>
      <c r="C61" s="49">
        <f>AVERAGE('26.07 GAYAZA-KALERWE-24h'!C61,'27.07 GAYAZA-KALERWE-24h'!C61)</f>
        <v>33</v>
      </c>
      <c r="D61" s="49">
        <f>AVERAGE('26.07 GAYAZA-KALERWE-24h'!D61,'27.07 GAYAZA-KALERWE-24h'!D61)</f>
        <v>12.5</v>
      </c>
      <c r="E61" s="49">
        <f>AVERAGE('26.07 GAYAZA-KALERWE-24h'!E61,'27.07 GAYAZA-KALERWE-24h'!E61)</f>
        <v>6.5</v>
      </c>
      <c r="F61" s="49">
        <f>AVERAGE('26.07 GAYAZA-KALERWE-24h'!F61,'27.07 GAYAZA-KALERWE-24h'!F61)</f>
        <v>40</v>
      </c>
      <c r="G61" s="49">
        <f>AVERAGE('26.07 GAYAZA-KALERWE-24h'!G61,'27.07 GAYAZA-KALERWE-24h'!G61)</f>
        <v>1</v>
      </c>
      <c r="H61" s="49">
        <f>AVERAGE('26.07 GAYAZA-KALERWE-24h'!H61,'27.07 GAYAZA-KALERWE-24h'!H61)</f>
        <v>1</v>
      </c>
      <c r="I61" s="49">
        <f>AVERAGE('26.07 GAYAZA-KALERWE-24h'!I61,'27.07 GAYAZA-KALERWE-24h'!I61)</f>
        <v>4</v>
      </c>
      <c r="J61" s="49">
        <f>AVERAGE('26.07 GAYAZA-KALERWE-24h'!J61,'27.07 GAYAZA-KALERWE-24h'!J61)</f>
        <v>3.5</v>
      </c>
      <c r="K61" s="49">
        <f>AVERAGE('26.07 GAYAZA-KALERWE-24h'!K61,'27.07 GAYAZA-KALERWE-24h'!K61)</f>
        <v>2</v>
      </c>
      <c r="L61" s="49">
        <f>AVERAGE('26.07 GAYAZA-KALERWE-24h'!L61,'27.07 GAYAZA-KALERWE-24h'!L61)</f>
        <v>1</v>
      </c>
      <c r="M61" s="49">
        <f>AVERAGE('26.07 GAYAZA-KALERWE-24h'!M61,'27.07 GAYAZA-KALERWE-24h'!M61)</f>
        <v>243.5</v>
      </c>
      <c r="N61" s="49">
        <f>AVERAGE('26.07 GAYAZA-KALERWE-24h'!N61,'27.07 GAYAZA-KALERWE-24h'!N61)</f>
        <v>0</v>
      </c>
      <c r="O61" s="15">
        <f t="shared" si="35"/>
        <v>104.5</v>
      </c>
      <c r="P61" s="15">
        <f t="shared" si="1"/>
        <v>348</v>
      </c>
      <c r="R61" s="8"/>
      <c r="T61"/>
    </row>
    <row r="62" spans="2:20" ht="23.1" customHeight="1" x14ac:dyDescent="0.25">
      <c r="B62" s="23" t="s">
        <v>107</v>
      </c>
      <c r="C62" s="49">
        <f>AVERAGE('26.07 GAYAZA-KALERWE-24h'!C62,'27.07 GAYAZA-KALERWE-24h'!C62)</f>
        <v>43.5</v>
      </c>
      <c r="D62" s="49">
        <f>AVERAGE('26.07 GAYAZA-KALERWE-24h'!D62,'27.07 GAYAZA-KALERWE-24h'!D62)</f>
        <v>11.5</v>
      </c>
      <c r="E62" s="49">
        <f>AVERAGE('26.07 GAYAZA-KALERWE-24h'!E62,'27.07 GAYAZA-KALERWE-24h'!E62)</f>
        <v>8</v>
      </c>
      <c r="F62" s="49">
        <f>AVERAGE('26.07 GAYAZA-KALERWE-24h'!F62,'27.07 GAYAZA-KALERWE-24h'!F62)</f>
        <v>35.5</v>
      </c>
      <c r="G62" s="49">
        <f>AVERAGE('26.07 GAYAZA-KALERWE-24h'!G62,'27.07 GAYAZA-KALERWE-24h'!G62)</f>
        <v>1.5</v>
      </c>
      <c r="H62" s="49">
        <f>AVERAGE('26.07 GAYAZA-KALERWE-24h'!H62,'27.07 GAYAZA-KALERWE-24h'!H62)</f>
        <v>2.5</v>
      </c>
      <c r="I62" s="49">
        <f>AVERAGE('26.07 GAYAZA-KALERWE-24h'!I62,'27.07 GAYAZA-KALERWE-24h'!I62)</f>
        <v>5</v>
      </c>
      <c r="J62" s="49">
        <f>AVERAGE('26.07 GAYAZA-KALERWE-24h'!J62,'27.07 GAYAZA-KALERWE-24h'!J62)</f>
        <v>3</v>
      </c>
      <c r="K62" s="49">
        <f>AVERAGE('26.07 GAYAZA-KALERWE-24h'!K62,'27.07 GAYAZA-KALERWE-24h'!K62)</f>
        <v>2</v>
      </c>
      <c r="L62" s="49">
        <f>AVERAGE('26.07 GAYAZA-KALERWE-24h'!L62,'27.07 GAYAZA-KALERWE-24h'!L62)</f>
        <v>0</v>
      </c>
      <c r="M62" s="49">
        <f>AVERAGE('26.07 GAYAZA-KALERWE-24h'!M62,'27.07 GAYAZA-KALERWE-24h'!M62)</f>
        <v>312.5</v>
      </c>
      <c r="N62" s="49">
        <f>AVERAGE('26.07 GAYAZA-KALERWE-24h'!N62,'27.07 GAYAZA-KALERWE-24h'!N62)</f>
        <v>0</v>
      </c>
      <c r="O62" s="15">
        <f t="shared" si="35"/>
        <v>112.5</v>
      </c>
      <c r="P62" s="15">
        <f t="shared" si="1"/>
        <v>425</v>
      </c>
      <c r="R62" s="8"/>
      <c r="T62"/>
    </row>
    <row r="63" spans="2:20" ht="23.1" customHeight="1" x14ac:dyDescent="0.25">
      <c r="B63" s="23" t="s">
        <v>108</v>
      </c>
      <c r="C63" s="49">
        <f>AVERAGE('26.07 GAYAZA-KALERWE-24h'!C63,'27.07 GAYAZA-KALERWE-24h'!C63)</f>
        <v>35</v>
      </c>
      <c r="D63" s="49">
        <f>AVERAGE('26.07 GAYAZA-KALERWE-24h'!D63,'27.07 GAYAZA-KALERWE-24h'!D63)</f>
        <v>16.5</v>
      </c>
      <c r="E63" s="49">
        <f>AVERAGE('26.07 GAYAZA-KALERWE-24h'!E63,'27.07 GAYAZA-KALERWE-24h'!E63)</f>
        <v>3</v>
      </c>
      <c r="F63" s="49">
        <f>AVERAGE('26.07 GAYAZA-KALERWE-24h'!F63,'27.07 GAYAZA-KALERWE-24h'!F63)</f>
        <v>34.5</v>
      </c>
      <c r="G63" s="49">
        <f>AVERAGE('26.07 GAYAZA-KALERWE-24h'!G63,'27.07 GAYAZA-KALERWE-24h'!G63)</f>
        <v>0.5</v>
      </c>
      <c r="H63" s="49">
        <f>AVERAGE('26.07 GAYAZA-KALERWE-24h'!H63,'27.07 GAYAZA-KALERWE-24h'!H63)</f>
        <v>1</v>
      </c>
      <c r="I63" s="49">
        <f>AVERAGE('26.07 GAYAZA-KALERWE-24h'!I63,'27.07 GAYAZA-KALERWE-24h'!I63)</f>
        <v>3.5</v>
      </c>
      <c r="J63" s="49">
        <f>AVERAGE('26.07 GAYAZA-KALERWE-24h'!J63,'27.07 GAYAZA-KALERWE-24h'!J63)</f>
        <v>5</v>
      </c>
      <c r="K63" s="49">
        <f>AVERAGE('26.07 GAYAZA-KALERWE-24h'!K63,'27.07 GAYAZA-KALERWE-24h'!K63)</f>
        <v>1</v>
      </c>
      <c r="L63" s="49">
        <f>AVERAGE('26.07 GAYAZA-KALERWE-24h'!L63,'27.07 GAYAZA-KALERWE-24h'!L63)</f>
        <v>0</v>
      </c>
      <c r="M63" s="49">
        <f>AVERAGE('26.07 GAYAZA-KALERWE-24h'!M63,'27.07 GAYAZA-KALERWE-24h'!M63)</f>
        <v>263.5</v>
      </c>
      <c r="N63" s="49">
        <f>AVERAGE('26.07 GAYAZA-KALERWE-24h'!N63,'27.07 GAYAZA-KALERWE-24h'!N63)</f>
        <v>0</v>
      </c>
      <c r="O63" s="15">
        <f t="shared" si="35"/>
        <v>100</v>
      </c>
      <c r="P63" s="15">
        <f t="shared" si="1"/>
        <v>363.5</v>
      </c>
      <c r="R63" s="8"/>
      <c r="T63"/>
    </row>
    <row r="64" spans="2:20" ht="23.1" customHeight="1" x14ac:dyDescent="0.25">
      <c r="B64" s="23" t="s">
        <v>109</v>
      </c>
      <c r="C64" s="49">
        <f>AVERAGE('26.07 GAYAZA-KALERWE-24h'!C64,'27.07 GAYAZA-KALERWE-24h'!C64)</f>
        <v>35</v>
      </c>
      <c r="D64" s="49">
        <f>AVERAGE('26.07 GAYAZA-KALERWE-24h'!D64,'27.07 GAYAZA-KALERWE-24h'!D64)</f>
        <v>18.5</v>
      </c>
      <c r="E64" s="49">
        <f>AVERAGE('26.07 GAYAZA-KALERWE-24h'!E64,'27.07 GAYAZA-KALERWE-24h'!E64)</f>
        <v>5</v>
      </c>
      <c r="F64" s="49">
        <f>AVERAGE('26.07 GAYAZA-KALERWE-24h'!F64,'27.07 GAYAZA-KALERWE-24h'!F64)</f>
        <v>34.5</v>
      </c>
      <c r="G64" s="49">
        <f>AVERAGE('26.07 GAYAZA-KALERWE-24h'!G64,'27.07 GAYAZA-KALERWE-24h'!G64)</f>
        <v>2.5</v>
      </c>
      <c r="H64" s="49">
        <f>AVERAGE('26.07 GAYAZA-KALERWE-24h'!H64,'27.07 GAYAZA-KALERWE-24h'!H64)</f>
        <v>0</v>
      </c>
      <c r="I64" s="49">
        <f>AVERAGE('26.07 GAYAZA-KALERWE-24h'!I64,'27.07 GAYAZA-KALERWE-24h'!I64)</f>
        <v>3.5</v>
      </c>
      <c r="J64" s="49">
        <f>AVERAGE('26.07 GAYAZA-KALERWE-24h'!J64,'27.07 GAYAZA-KALERWE-24h'!J64)</f>
        <v>3.5</v>
      </c>
      <c r="K64" s="49">
        <f>AVERAGE('26.07 GAYAZA-KALERWE-24h'!K64,'27.07 GAYAZA-KALERWE-24h'!K64)</f>
        <v>1.5</v>
      </c>
      <c r="L64" s="49">
        <f>AVERAGE('26.07 GAYAZA-KALERWE-24h'!L64,'27.07 GAYAZA-KALERWE-24h'!L64)</f>
        <v>1.5</v>
      </c>
      <c r="M64" s="49">
        <f>AVERAGE('26.07 GAYAZA-KALERWE-24h'!M64,'27.07 GAYAZA-KALERWE-24h'!M64)</f>
        <v>241.5</v>
      </c>
      <c r="N64" s="49">
        <f>AVERAGE('26.07 GAYAZA-KALERWE-24h'!N64,'27.07 GAYAZA-KALERWE-24h'!N64)</f>
        <v>0</v>
      </c>
      <c r="O64" s="15">
        <f t="shared" si="35"/>
        <v>105.5</v>
      </c>
      <c r="P64" s="15">
        <f t="shared" si="1"/>
        <v>347</v>
      </c>
      <c r="R64" s="8"/>
      <c r="T64"/>
    </row>
    <row r="65" spans="2:20" ht="23.1" customHeight="1" x14ac:dyDescent="0.25">
      <c r="B65" s="23" t="s">
        <v>158</v>
      </c>
      <c r="C65" s="49">
        <f>AVERAGE('26.07 GAYAZA-KALERWE-24h'!C65,'27.07 GAYAZA-KALERWE-24h'!C65)</f>
        <v>42</v>
      </c>
      <c r="D65" s="49">
        <f>AVERAGE('26.07 GAYAZA-KALERWE-24h'!D65,'27.07 GAYAZA-KALERWE-24h'!D65)</f>
        <v>18.5</v>
      </c>
      <c r="E65" s="49">
        <f>AVERAGE('26.07 GAYAZA-KALERWE-24h'!E65,'27.07 GAYAZA-KALERWE-24h'!E65)</f>
        <v>7</v>
      </c>
      <c r="F65" s="49">
        <f>AVERAGE('26.07 GAYAZA-KALERWE-24h'!F65,'27.07 GAYAZA-KALERWE-24h'!F65)</f>
        <v>40</v>
      </c>
      <c r="G65" s="49">
        <f>AVERAGE('26.07 GAYAZA-KALERWE-24h'!G65,'27.07 GAYAZA-KALERWE-24h'!G65)</f>
        <v>1</v>
      </c>
      <c r="H65" s="49">
        <f>AVERAGE('26.07 GAYAZA-KALERWE-24h'!H65,'27.07 GAYAZA-KALERWE-24h'!H65)</f>
        <v>0</v>
      </c>
      <c r="I65" s="49">
        <f>AVERAGE('26.07 GAYAZA-KALERWE-24h'!I65,'27.07 GAYAZA-KALERWE-24h'!I65)</f>
        <v>3.5</v>
      </c>
      <c r="J65" s="49">
        <f>AVERAGE('26.07 GAYAZA-KALERWE-24h'!J65,'27.07 GAYAZA-KALERWE-24h'!J65)</f>
        <v>3.5</v>
      </c>
      <c r="K65" s="49">
        <f>AVERAGE('26.07 GAYAZA-KALERWE-24h'!K65,'27.07 GAYAZA-KALERWE-24h'!K65)</f>
        <v>2.5</v>
      </c>
      <c r="L65" s="49">
        <f>AVERAGE('26.07 GAYAZA-KALERWE-24h'!L65,'27.07 GAYAZA-KALERWE-24h'!L65)</f>
        <v>1.5</v>
      </c>
      <c r="M65" s="49">
        <f>AVERAGE('26.07 GAYAZA-KALERWE-24h'!M65,'27.07 GAYAZA-KALERWE-24h'!M65)</f>
        <v>212</v>
      </c>
      <c r="N65" s="49">
        <f>AVERAGE('26.07 GAYAZA-KALERWE-24h'!N65,'27.07 GAYAZA-KALERWE-24h'!N65)</f>
        <v>0</v>
      </c>
      <c r="O65" s="15">
        <f t="shared" si="35"/>
        <v>119.5</v>
      </c>
      <c r="P65" s="15">
        <f t="shared" si="1"/>
        <v>331.5</v>
      </c>
      <c r="R65" s="8"/>
      <c r="T65"/>
    </row>
    <row r="66" spans="2:20" ht="23.1" customHeight="1" x14ac:dyDescent="0.25">
      <c r="B66" s="23" t="s">
        <v>103</v>
      </c>
      <c r="C66" s="49">
        <f>AVERAGE('26.07 GAYAZA-KALERWE-24h'!C66,'27.07 GAYAZA-KALERWE-24h'!C66)</f>
        <v>34</v>
      </c>
      <c r="D66" s="49">
        <f>AVERAGE('26.07 GAYAZA-KALERWE-24h'!D66,'27.07 GAYAZA-KALERWE-24h'!D66)</f>
        <v>4.5</v>
      </c>
      <c r="E66" s="49">
        <f>AVERAGE('26.07 GAYAZA-KALERWE-24h'!E66,'27.07 GAYAZA-KALERWE-24h'!E66)</f>
        <v>6</v>
      </c>
      <c r="F66" s="49">
        <f>AVERAGE('26.07 GAYAZA-KALERWE-24h'!F66,'27.07 GAYAZA-KALERWE-24h'!F66)</f>
        <v>27</v>
      </c>
      <c r="G66" s="49">
        <f>AVERAGE('26.07 GAYAZA-KALERWE-24h'!G66,'27.07 GAYAZA-KALERWE-24h'!G66)</f>
        <v>2.5</v>
      </c>
      <c r="H66" s="49">
        <f>AVERAGE('26.07 GAYAZA-KALERWE-24h'!H66,'27.07 GAYAZA-KALERWE-24h'!H66)</f>
        <v>0</v>
      </c>
      <c r="I66" s="49">
        <f>AVERAGE('26.07 GAYAZA-KALERWE-24h'!I66,'27.07 GAYAZA-KALERWE-24h'!I66)</f>
        <v>4.5</v>
      </c>
      <c r="J66" s="49">
        <f>AVERAGE('26.07 GAYAZA-KALERWE-24h'!J66,'27.07 GAYAZA-KALERWE-24h'!J66)</f>
        <v>4.5</v>
      </c>
      <c r="K66" s="49">
        <f>AVERAGE('26.07 GAYAZA-KALERWE-24h'!K66,'27.07 GAYAZA-KALERWE-24h'!K66)</f>
        <v>0</v>
      </c>
      <c r="L66" s="49">
        <f>AVERAGE('26.07 GAYAZA-KALERWE-24h'!L66,'27.07 GAYAZA-KALERWE-24h'!L66)</f>
        <v>1</v>
      </c>
      <c r="M66" s="49">
        <f>AVERAGE('26.07 GAYAZA-KALERWE-24h'!M66,'27.07 GAYAZA-KALERWE-24h'!M66)</f>
        <v>160</v>
      </c>
      <c r="N66" s="49">
        <f>AVERAGE('26.07 GAYAZA-KALERWE-24h'!N66,'27.07 GAYAZA-KALERWE-24h'!N66)</f>
        <v>0</v>
      </c>
      <c r="O66" s="15">
        <f t="shared" si="35"/>
        <v>84</v>
      </c>
      <c r="P66" s="15">
        <f t="shared" si="1"/>
        <v>244</v>
      </c>
      <c r="R66" s="8"/>
      <c r="T66"/>
    </row>
    <row r="67" spans="2:20" ht="23.1" customHeight="1" x14ac:dyDescent="0.25">
      <c r="B67" s="23" t="s">
        <v>104</v>
      </c>
      <c r="C67" s="49">
        <f>AVERAGE('26.07 GAYAZA-KALERWE-24h'!C67,'27.07 GAYAZA-KALERWE-24h'!C67)</f>
        <v>40.5</v>
      </c>
      <c r="D67" s="49">
        <f>AVERAGE('26.07 GAYAZA-KALERWE-24h'!D67,'27.07 GAYAZA-KALERWE-24h'!D67)</f>
        <v>6</v>
      </c>
      <c r="E67" s="49">
        <f>AVERAGE('26.07 GAYAZA-KALERWE-24h'!E67,'27.07 GAYAZA-KALERWE-24h'!E67)</f>
        <v>3.5</v>
      </c>
      <c r="F67" s="49">
        <f>AVERAGE('26.07 GAYAZA-KALERWE-24h'!F67,'27.07 GAYAZA-KALERWE-24h'!F67)</f>
        <v>37.5</v>
      </c>
      <c r="G67" s="49">
        <f>AVERAGE('26.07 GAYAZA-KALERWE-24h'!G67,'27.07 GAYAZA-KALERWE-24h'!G67)</f>
        <v>1</v>
      </c>
      <c r="H67" s="49">
        <f>AVERAGE('26.07 GAYAZA-KALERWE-24h'!H67,'27.07 GAYAZA-KALERWE-24h'!H67)</f>
        <v>0</v>
      </c>
      <c r="I67" s="49">
        <f>AVERAGE('26.07 GAYAZA-KALERWE-24h'!I67,'27.07 GAYAZA-KALERWE-24h'!I67)</f>
        <v>3.5</v>
      </c>
      <c r="J67" s="49">
        <f>AVERAGE('26.07 GAYAZA-KALERWE-24h'!J67,'27.07 GAYAZA-KALERWE-24h'!J67)</f>
        <v>2</v>
      </c>
      <c r="K67" s="49">
        <f>AVERAGE('26.07 GAYAZA-KALERWE-24h'!K67,'27.07 GAYAZA-KALERWE-24h'!K67)</f>
        <v>1.5</v>
      </c>
      <c r="L67" s="49">
        <f>AVERAGE('26.07 GAYAZA-KALERWE-24h'!L67,'27.07 GAYAZA-KALERWE-24h'!L67)</f>
        <v>0.5</v>
      </c>
      <c r="M67" s="49">
        <f>AVERAGE('26.07 GAYAZA-KALERWE-24h'!M67,'27.07 GAYAZA-KALERWE-24h'!M67)</f>
        <v>206</v>
      </c>
      <c r="N67" s="49">
        <f>AVERAGE('26.07 GAYAZA-KALERWE-24h'!N67,'27.07 GAYAZA-KALERWE-24h'!N67)</f>
        <v>0</v>
      </c>
      <c r="O67" s="15">
        <f t="shared" si="35"/>
        <v>96</v>
      </c>
      <c r="P67" s="15">
        <f t="shared" si="1"/>
        <v>302</v>
      </c>
      <c r="R67" s="8"/>
      <c r="T67"/>
    </row>
    <row r="68" spans="2:20" ht="23.1" customHeight="1" x14ac:dyDescent="0.25">
      <c r="B68" s="23" t="s">
        <v>105</v>
      </c>
      <c r="C68" s="49">
        <f>AVERAGE('26.07 GAYAZA-KALERWE-24h'!C68,'27.07 GAYAZA-KALERWE-24h'!C68)</f>
        <v>41.5</v>
      </c>
      <c r="D68" s="49">
        <f>AVERAGE('26.07 GAYAZA-KALERWE-24h'!D68,'27.07 GAYAZA-KALERWE-24h'!D68)</f>
        <v>10.5</v>
      </c>
      <c r="E68" s="49">
        <f>AVERAGE('26.07 GAYAZA-KALERWE-24h'!E68,'27.07 GAYAZA-KALERWE-24h'!E68)</f>
        <v>3</v>
      </c>
      <c r="F68" s="49">
        <f>AVERAGE('26.07 GAYAZA-KALERWE-24h'!F68,'27.07 GAYAZA-KALERWE-24h'!F68)</f>
        <v>39</v>
      </c>
      <c r="G68" s="49">
        <f>AVERAGE('26.07 GAYAZA-KALERWE-24h'!G68,'27.07 GAYAZA-KALERWE-24h'!G68)</f>
        <v>1</v>
      </c>
      <c r="H68" s="49">
        <f>AVERAGE('26.07 GAYAZA-KALERWE-24h'!H68,'27.07 GAYAZA-KALERWE-24h'!H68)</f>
        <v>0</v>
      </c>
      <c r="I68" s="49">
        <f>AVERAGE('26.07 GAYAZA-KALERWE-24h'!I68,'27.07 GAYAZA-KALERWE-24h'!I68)</f>
        <v>2</v>
      </c>
      <c r="J68" s="49">
        <f>AVERAGE('26.07 GAYAZA-KALERWE-24h'!J68,'27.07 GAYAZA-KALERWE-24h'!J68)</f>
        <v>1.5</v>
      </c>
      <c r="K68" s="49">
        <f>AVERAGE('26.07 GAYAZA-KALERWE-24h'!K68,'27.07 GAYAZA-KALERWE-24h'!K68)</f>
        <v>0.5</v>
      </c>
      <c r="L68" s="49">
        <f>AVERAGE('26.07 GAYAZA-KALERWE-24h'!L68,'27.07 GAYAZA-KALERWE-24h'!L68)</f>
        <v>2.5</v>
      </c>
      <c r="M68" s="49">
        <f>AVERAGE('26.07 GAYAZA-KALERWE-24h'!M68,'27.07 GAYAZA-KALERWE-24h'!M68)</f>
        <v>176</v>
      </c>
      <c r="N68" s="49">
        <f>AVERAGE('26.07 GAYAZA-KALERWE-24h'!N68,'27.07 GAYAZA-KALERWE-24h'!N68)</f>
        <v>0</v>
      </c>
      <c r="O68" s="15">
        <f t="shared" si="35"/>
        <v>101.5</v>
      </c>
      <c r="P68" s="15">
        <f t="shared" si="1"/>
        <v>277.5</v>
      </c>
      <c r="R68" s="8"/>
      <c r="T68"/>
    </row>
    <row r="69" spans="2:20" ht="23.1" customHeight="1" x14ac:dyDescent="0.25">
      <c r="B69" s="23" t="s">
        <v>106</v>
      </c>
      <c r="C69" s="49">
        <f>AVERAGE('26.07 GAYAZA-KALERWE-24h'!C69,'27.07 GAYAZA-KALERWE-24h'!C69)</f>
        <v>44.5</v>
      </c>
      <c r="D69" s="49">
        <f>AVERAGE('26.07 GAYAZA-KALERWE-24h'!D69,'27.07 GAYAZA-KALERWE-24h'!D69)</f>
        <v>7.5</v>
      </c>
      <c r="E69" s="49">
        <f>AVERAGE('26.07 GAYAZA-KALERWE-24h'!E69,'27.07 GAYAZA-KALERWE-24h'!E69)</f>
        <v>7.5</v>
      </c>
      <c r="F69" s="49">
        <f>AVERAGE('26.07 GAYAZA-KALERWE-24h'!F69,'27.07 GAYAZA-KALERWE-24h'!F69)</f>
        <v>31.5</v>
      </c>
      <c r="G69" s="49">
        <f>AVERAGE('26.07 GAYAZA-KALERWE-24h'!G69,'27.07 GAYAZA-KALERWE-24h'!G69)</f>
        <v>1</v>
      </c>
      <c r="H69" s="49">
        <f>AVERAGE('26.07 GAYAZA-KALERWE-24h'!H69,'27.07 GAYAZA-KALERWE-24h'!H69)</f>
        <v>0</v>
      </c>
      <c r="I69" s="49">
        <f>AVERAGE('26.07 GAYAZA-KALERWE-24h'!I69,'27.07 GAYAZA-KALERWE-24h'!I69)</f>
        <v>2.5</v>
      </c>
      <c r="J69" s="49">
        <f>AVERAGE('26.07 GAYAZA-KALERWE-24h'!J69,'27.07 GAYAZA-KALERWE-24h'!J69)</f>
        <v>2.5</v>
      </c>
      <c r="K69" s="49">
        <f>AVERAGE('26.07 GAYAZA-KALERWE-24h'!K69,'27.07 GAYAZA-KALERWE-24h'!K69)</f>
        <v>1</v>
      </c>
      <c r="L69" s="49">
        <f>AVERAGE('26.07 GAYAZA-KALERWE-24h'!L69,'27.07 GAYAZA-KALERWE-24h'!L69)</f>
        <v>1</v>
      </c>
      <c r="M69" s="49">
        <f>AVERAGE('26.07 GAYAZA-KALERWE-24h'!M69,'27.07 GAYAZA-KALERWE-24h'!M69)</f>
        <v>215</v>
      </c>
      <c r="N69" s="49">
        <f>AVERAGE('26.07 GAYAZA-KALERWE-24h'!N69,'27.07 GAYAZA-KALERWE-24h'!N69)</f>
        <v>0</v>
      </c>
      <c r="O69" s="15">
        <f t="shared" si="35"/>
        <v>99</v>
      </c>
      <c r="P69" s="15">
        <f t="shared" si="1"/>
        <v>314</v>
      </c>
      <c r="R69" s="8"/>
      <c r="T69"/>
    </row>
    <row r="70" spans="2:20" ht="23.1" customHeight="1" x14ac:dyDescent="0.25">
      <c r="B70" s="23" t="s">
        <v>110</v>
      </c>
      <c r="C70" s="49">
        <f>AVERAGE('26.07 GAYAZA-KALERWE-24h'!C70,'27.07 GAYAZA-KALERWE-24h'!C70)</f>
        <v>31</v>
      </c>
      <c r="D70" s="49">
        <f>AVERAGE('26.07 GAYAZA-KALERWE-24h'!D70,'27.07 GAYAZA-KALERWE-24h'!D70)</f>
        <v>6.5</v>
      </c>
      <c r="E70" s="49">
        <f>AVERAGE('26.07 GAYAZA-KALERWE-24h'!E70,'27.07 GAYAZA-KALERWE-24h'!E70)</f>
        <v>2</v>
      </c>
      <c r="F70" s="49">
        <f>AVERAGE('26.07 GAYAZA-KALERWE-24h'!F70,'27.07 GAYAZA-KALERWE-24h'!F70)</f>
        <v>35.5</v>
      </c>
      <c r="G70" s="49">
        <f>AVERAGE('26.07 GAYAZA-KALERWE-24h'!G70,'27.07 GAYAZA-KALERWE-24h'!G70)</f>
        <v>0</v>
      </c>
      <c r="H70" s="49">
        <f>AVERAGE('26.07 GAYAZA-KALERWE-24h'!H70,'27.07 GAYAZA-KALERWE-24h'!H70)</f>
        <v>0.5</v>
      </c>
      <c r="I70" s="49">
        <f>AVERAGE('26.07 GAYAZA-KALERWE-24h'!I70,'27.07 GAYAZA-KALERWE-24h'!I70)</f>
        <v>5.5</v>
      </c>
      <c r="J70" s="49">
        <f>AVERAGE('26.07 GAYAZA-KALERWE-24h'!J70,'27.07 GAYAZA-KALERWE-24h'!J70)</f>
        <v>4.5</v>
      </c>
      <c r="K70" s="49">
        <f>AVERAGE('26.07 GAYAZA-KALERWE-24h'!K70,'27.07 GAYAZA-KALERWE-24h'!K70)</f>
        <v>1.5</v>
      </c>
      <c r="L70" s="49">
        <f>AVERAGE('26.07 GAYAZA-KALERWE-24h'!L70,'27.07 GAYAZA-KALERWE-24h'!L70)</f>
        <v>0.5</v>
      </c>
      <c r="M70" s="49">
        <f>AVERAGE('26.07 GAYAZA-KALERWE-24h'!M70,'27.07 GAYAZA-KALERWE-24h'!M70)</f>
        <v>149</v>
      </c>
      <c r="N70" s="49">
        <f>AVERAGE('26.07 GAYAZA-KALERWE-24h'!N70,'27.07 GAYAZA-KALERWE-24h'!N70)</f>
        <v>0</v>
      </c>
      <c r="O70" s="15">
        <f t="shared" si="35"/>
        <v>87.5</v>
      </c>
      <c r="P70" s="15">
        <f t="shared" si="1"/>
        <v>236.5</v>
      </c>
      <c r="R70" s="8"/>
      <c r="T70"/>
    </row>
    <row r="71" spans="2:20" ht="23.1" customHeight="1" x14ac:dyDescent="0.25">
      <c r="B71" s="23" t="s">
        <v>111</v>
      </c>
      <c r="C71" s="49">
        <f>AVERAGE('26.07 GAYAZA-KALERWE-24h'!C71,'27.07 GAYAZA-KALERWE-24h'!C71)</f>
        <v>31</v>
      </c>
      <c r="D71" s="49">
        <f>AVERAGE('26.07 GAYAZA-KALERWE-24h'!D71,'27.07 GAYAZA-KALERWE-24h'!D71)</f>
        <v>8</v>
      </c>
      <c r="E71" s="49">
        <f>AVERAGE('26.07 GAYAZA-KALERWE-24h'!E71,'27.07 GAYAZA-KALERWE-24h'!E71)</f>
        <v>4.5</v>
      </c>
      <c r="F71" s="49">
        <f>AVERAGE('26.07 GAYAZA-KALERWE-24h'!F71,'27.07 GAYAZA-KALERWE-24h'!F71)</f>
        <v>22.5</v>
      </c>
      <c r="G71" s="49">
        <f>AVERAGE('26.07 GAYAZA-KALERWE-24h'!G71,'27.07 GAYAZA-KALERWE-24h'!G71)</f>
        <v>1</v>
      </c>
      <c r="H71" s="49">
        <f>AVERAGE('26.07 GAYAZA-KALERWE-24h'!H71,'27.07 GAYAZA-KALERWE-24h'!H71)</f>
        <v>0.5</v>
      </c>
      <c r="I71" s="49">
        <f>AVERAGE('26.07 GAYAZA-KALERWE-24h'!I71,'27.07 GAYAZA-KALERWE-24h'!I71)</f>
        <v>8.5</v>
      </c>
      <c r="J71" s="49">
        <f>AVERAGE('26.07 GAYAZA-KALERWE-24h'!J71,'27.07 GAYAZA-KALERWE-24h'!J71)</f>
        <v>3.5</v>
      </c>
      <c r="K71" s="49">
        <f>AVERAGE('26.07 GAYAZA-KALERWE-24h'!K71,'27.07 GAYAZA-KALERWE-24h'!K71)</f>
        <v>1.5</v>
      </c>
      <c r="L71" s="49">
        <f>AVERAGE('26.07 GAYAZA-KALERWE-24h'!L71,'27.07 GAYAZA-KALERWE-24h'!L71)</f>
        <v>0.5</v>
      </c>
      <c r="M71" s="49">
        <f>AVERAGE('26.07 GAYAZA-KALERWE-24h'!M71,'27.07 GAYAZA-KALERWE-24h'!M71)</f>
        <v>219</v>
      </c>
      <c r="N71" s="49">
        <f>AVERAGE('26.07 GAYAZA-KALERWE-24h'!N71,'27.07 GAYAZA-KALERWE-24h'!N71)</f>
        <v>0</v>
      </c>
      <c r="O71" s="15">
        <f t="shared" si="35"/>
        <v>81.5</v>
      </c>
      <c r="P71" s="15">
        <f t="shared" si="1"/>
        <v>300.5</v>
      </c>
      <c r="R71" s="8"/>
      <c r="T71"/>
    </row>
    <row r="72" spans="2:20" ht="23.1" customHeight="1" x14ac:dyDescent="0.25">
      <c r="B72" s="23" t="s">
        <v>112</v>
      </c>
      <c r="C72" s="49">
        <f>AVERAGE('26.07 GAYAZA-KALERWE-24h'!C72,'27.07 GAYAZA-KALERWE-24h'!C72)</f>
        <v>36.5</v>
      </c>
      <c r="D72" s="49">
        <f>AVERAGE('26.07 GAYAZA-KALERWE-24h'!D72,'27.07 GAYAZA-KALERWE-24h'!D72)</f>
        <v>9</v>
      </c>
      <c r="E72" s="49">
        <f>AVERAGE('26.07 GAYAZA-KALERWE-24h'!E72,'27.07 GAYAZA-KALERWE-24h'!E72)</f>
        <v>4</v>
      </c>
      <c r="F72" s="49">
        <f>AVERAGE('26.07 GAYAZA-KALERWE-24h'!F72,'27.07 GAYAZA-KALERWE-24h'!F72)</f>
        <v>23.5</v>
      </c>
      <c r="G72" s="49">
        <f>AVERAGE('26.07 GAYAZA-KALERWE-24h'!G72,'27.07 GAYAZA-KALERWE-24h'!G72)</f>
        <v>0.5</v>
      </c>
      <c r="H72" s="49">
        <f>AVERAGE('26.07 GAYAZA-KALERWE-24h'!H72,'27.07 GAYAZA-KALERWE-24h'!H72)</f>
        <v>0</v>
      </c>
      <c r="I72" s="49">
        <f>AVERAGE('26.07 GAYAZA-KALERWE-24h'!I72,'27.07 GAYAZA-KALERWE-24h'!I72)</f>
        <v>5</v>
      </c>
      <c r="J72" s="49">
        <f>AVERAGE('26.07 GAYAZA-KALERWE-24h'!J72,'27.07 GAYAZA-KALERWE-24h'!J72)</f>
        <v>4</v>
      </c>
      <c r="K72" s="49">
        <f>AVERAGE('26.07 GAYAZA-KALERWE-24h'!K72,'27.07 GAYAZA-KALERWE-24h'!K72)</f>
        <v>1.5</v>
      </c>
      <c r="L72" s="49">
        <f>AVERAGE('26.07 GAYAZA-KALERWE-24h'!L72,'27.07 GAYAZA-KALERWE-24h'!L72)</f>
        <v>0.5</v>
      </c>
      <c r="M72" s="49">
        <f>AVERAGE('26.07 GAYAZA-KALERWE-24h'!M72,'27.07 GAYAZA-KALERWE-24h'!M72)</f>
        <v>147.5</v>
      </c>
      <c r="N72" s="49">
        <f>AVERAGE('26.07 GAYAZA-KALERWE-24h'!N72,'27.07 GAYAZA-KALERWE-24h'!N72)</f>
        <v>0</v>
      </c>
      <c r="O72" s="15">
        <f t="shared" si="35"/>
        <v>84.5</v>
      </c>
      <c r="P72" s="15">
        <f t="shared" si="1"/>
        <v>232</v>
      </c>
      <c r="R72" s="8"/>
      <c r="T72"/>
    </row>
    <row r="73" spans="2:20" ht="23.1" customHeight="1" x14ac:dyDescent="0.25">
      <c r="B73" s="23" t="s">
        <v>113</v>
      </c>
      <c r="C73" s="49">
        <f>AVERAGE('26.07 GAYAZA-KALERWE-24h'!C73,'27.07 GAYAZA-KALERWE-24h'!C73)</f>
        <v>41.5</v>
      </c>
      <c r="D73" s="49">
        <f>AVERAGE('26.07 GAYAZA-KALERWE-24h'!D73,'27.07 GAYAZA-KALERWE-24h'!D73)</f>
        <v>7.5</v>
      </c>
      <c r="E73" s="49">
        <f>AVERAGE('26.07 GAYAZA-KALERWE-24h'!E73,'27.07 GAYAZA-KALERWE-24h'!E73)</f>
        <v>6.5</v>
      </c>
      <c r="F73" s="49">
        <f>AVERAGE('26.07 GAYAZA-KALERWE-24h'!F73,'27.07 GAYAZA-KALERWE-24h'!F73)</f>
        <v>28</v>
      </c>
      <c r="G73" s="49">
        <f>AVERAGE('26.07 GAYAZA-KALERWE-24h'!G73,'27.07 GAYAZA-KALERWE-24h'!G73)</f>
        <v>0.5</v>
      </c>
      <c r="H73" s="49">
        <f>AVERAGE('26.07 GAYAZA-KALERWE-24h'!H73,'27.07 GAYAZA-KALERWE-24h'!H73)</f>
        <v>0.5</v>
      </c>
      <c r="I73" s="49">
        <f>AVERAGE('26.07 GAYAZA-KALERWE-24h'!I73,'27.07 GAYAZA-KALERWE-24h'!I73)</f>
        <v>5</v>
      </c>
      <c r="J73" s="49">
        <f>AVERAGE('26.07 GAYAZA-KALERWE-24h'!J73,'27.07 GAYAZA-KALERWE-24h'!J73)</f>
        <v>3</v>
      </c>
      <c r="K73" s="49">
        <f>AVERAGE('26.07 GAYAZA-KALERWE-24h'!K73,'27.07 GAYAZA-KALERWE-24h'!K73)</f>
        <v>3</v>
      </c>
      <c r="L73" s="49">
        <f>AVERAGE('26.07 GAYAZA-KALERWE-24h'!L73,'27.07 GAYAZA-KALERWE-24h'!L73)</f>
        <v>0.5</v>
      </c>
      <c r="M73" s="49">
        <f>AVERAGE('26.07 GAYAZA-KALERWE-24h'!M73,'27.07 GAYAZA-KALERWE-24h'!M73)</f>
        <v>134</v>
      </c>
      <c r="N73" s="49">
        <f>AVERAGE('26.07 GAYAZA-KALERWE-24h'!N73,'27.07 GAYAZA-KALERWE-24h'!N73)</f>
        <v>0</v>
      </c>
      <c r="O73" s="15">
        <f t="shared" si="35"/>
        <v>96</v>
      </c>
      <c r="P73" s="15">
        <f t="shared" si="1"/>
        <v>230</v>
      </c>
      <c r="R73" s="8"/>
      <c r="T73"/>
    </row>
    <row r="74" spans="2:20" ht="23.1" customHeight="1" x14ac:dyDescent="0.25">
      <c r="B74" s="23" t="s">
        <v>114</v>
      </c>
      <c r="C74" s="49">
        <f>AVERAGE('26.07 GAYAZA-KALERWE-24h'!C74,'27.07 GAYAZA-KALERWE-24h'!C74)</f>
        <v>33.5</v>
      </c>
      <c r="D74" s="49">
        <f>AVERAGE('26.07 GAYAZA-KALERWE-24h'!D74,'27.07 GAYAZA-KALERWE-24h'!D74)</f>
        <v>6.5</v>
      </c>
      <c r="E74" s="49">
        <f>AVERAGE('26.07 GAYAZA-KALERWE-24h'!E74,'27.07 GAYAZA-KALERWE-24h'!E74)</f>
        <v>5</v>
      </c>
      <c r="F74" s="49">
        <f>AVERAGE('26.07 GAYAZA-KALERWE-24h'!F74,'27.07 GAYAZA-KALERWE-24h'!F74)</f>
        <v>17.5</v>
      </c>
      <c r="G74" s="49">
        <f>AVERAGE('26.07 GAYAZA-KALERWE-24h'!G74,'27.07 GAYAZA-KALERWE-24h'!G74)</f>
        <v>0</v>
      </c>
      <c r="H74" s="49">
        <f>AVERAGE('26.07 GAYAZA-KALERWE-24h'!H74,'27.07 GAYAZA-KALERWE-24h'!H74)</f>
        <v>0</v>
      </c>
      <c r="I74" s="49">
        <f>AVERAGE('26.07 GAYAZA-KALERWE-24h'!I74,'27.07 GAYAZA-KALERWE-24h'!I74)</f>
        <v>4.5</v>
      </c>
      <c r="J74" s="49">
        <f>AVERAGE('26.07 GAYAZA-KALERWE-24h'!J74,'27.07 GAYAZA-KALERWE-24h'!J74)</f>
        <v>3</v>
      </c>
      <c r="K74" s="49">
        <f>AVERAGE('26.07 GAYAZA-KALERWE-24h'!K74,'27.07 GAYAZA-KALERWE-24h'!K74)</f>
        <v>1.5</v>
      </c>
      <c r="L74" s="49">
        <f>AVERAGE('26.07 GAYAZA-KALERWE-24h'!L74,'27.07 GAYAZA-KALERWE-24h'!L74)</f>
        <v>0</v>
      </c>
      <c r="M74" s="49">
        <f>AVERAGE('26.07 GAYAZA-KALERWE-24h'!M74,'27.07 GAYAZA-KALERWE-24h'!M74)</f>
        <v>143.5</v>
      </c>
      <c r="N74" s="49">
        <f>AVERAGE('26.07 GAYAZA-KALERWE-24h'!N74,'27.07 GAYAZA-KALERWE-24h'!N74)</f>
        <v>0</v>
      </c>
      <c r="O74" s="15">
        <f t="shared" si="35"/>
        <v>71.5</v>
      </c>
      <c r="P74" s="15">
        <f t="shared" ref="P74:P105" si="36">SUM(C74:N74)</f>
        <v>215</v>
      </c>
      <c r="R74" s="8"/>
      <c r="T74"/>
    </row>
    <row r="75" spans="2:20" ht="23.1" customHeight="1" x14ac:dyDescent="0.25">
      <c r="B75" s="23" t="s">
        <v>115</v>
      </c>
      <c r="C75" s="49">
        <f>AVERAGE('26.07 GAYAZA-KALERWE-24h'!C75,'27.07 GAYAZA-KALERWE-24h'!C75)</f>
        <v>36.5</v>
      </c>
      <c r="D75" s="49">
        <f>AVERAGE('26.07 GAYAZA-KALERWE-24h'!D75,'27.07 GAYAZA-KALERWE-24h'!D75)</f>
        <v>2</v>
      </c>
      <c r="E75" s="49">
        <f>AVERAGE('26.07 GAYAZA-KALERWE-24h'!E75,'27.07 GAYAZA-KALERWE-24h'!E75)</f>
        <v>3</v>
      </c>
      <c r="F75" s="49">
        <f>AVERAGE('26.07 GAYAZA-KALERWE-24h'!F75,'27.07 GAYAZA-KALERWE-24h'!F75)</f>
        <v>13</v>
      </c>
      <c r="G75" s="49">
        <f>AVERAGE('26.07 GAYAZA-KALERWE-24h'!G75,'27.07 GAYAZA-KALERWE-24h'!G75)</f>
        <v>0</v>
      </c>
      <c r="H75" s="49">
        <f>AVERAGE('26.07 GAYAZA-KALERWE-24h'!H75,'27.07 GAYAZA-KALERWE-24h'!H75)</f>
        <v>0</v>
      </c>
      <c r="I75" s="49">
        <f>AVERAGE('26.07 GAYAZA-KALERWE-24h'!I75,'27.07 GAYAZA-KALERWE-24h'!I75)</f>
        <v>2.5</v>
      </c>
      <c r="J75" s="49">
        <f>AVERAGE('26.07 GAYAZA-KALERWE-24h'!J75,'27.07 GAYAZA-KALERWE-24h'!J75)</f>
        <v>5</v>
      </c>
      <c r="K75" s="49">
        <f>AVERAGE('26.07 GAYAZA-KALERWE-24h'!K75,'27.07 GAYAZA-KALERWE-24h'!K75)</f>
        <v>1</v>
      </c>
      <c r="L75" s="49">
        <f>AVERAGE('26.07 GAYAZA-KALERWE-24h'!L75,'27.07 GAYAZA-KALERWE-24h'!L75)</f>
        <v>0.5</v>
      </c>
      <c r="M75" s="49">
        <f>AVERAGE('26.07 GAYAZA-KALERWE-24h'!M75,'27.07 GAYAZA-KALERWE-24h'!M75)</f>
        <v>100.5</v>
      </c>
      <c r="N75" s="49">
        <f>AVERAGE('26.07 GAYAZA-KALERWE-24h'!N75,'27.07 GAYAZA-KALERWE-24h'!N75)</f>
        <v>0</v>
      </c>
      <c r="O75" s="15">
        <f t="shared" si="35"/>
        <v>63.5</v>
      </c>
      <c r="P75" s="15">
        <f t="shared" si="36"/>
        <v>164</v>
      </c>
      <c r="R75" s="8"/>
      <c r="T75"/>
    </row>
    <row r="76" spans="2:20" ht="23.1" customHeight="1" x14ac:dyDescent="0.25">
      <c r="B76" s="23" t="s">
        <v>116</v>
      </c>
      <c r="C76" s="49">
        <f>AVERAGE('26.07 GAYAZA-KALERWE-24h'!C76,'27.07 GAYAZA-KALERWE-24h'!C76)</f>
        <v>26.5</v>
      </c>
      <c r="D76" s="49">
        <f>AVERAGE('26.07 GAYAZA-KALERWE-24h'!D76,'27.07 GAYAZA-KALERWE-24h'!D76)</f>
        <v>5</v>
      </c>
      <c r="E76" s="49">
        <f>AVERAGE('26.07 GAYAZA-KALERWE-24h'!E76,'27.07 GAYAZA-KALERWE-24h'!E76)</f>
        <v>2.5</v>
      </c>
      <c r="F76" s="49">
        <f>AVERAGE('26.07 GAYAZA-KALERWE-24h'!F76,'27.07 GAYAZA-KALERWE-24h'!F76)</f>
        <v>14</v>
      </c>
      <c r="G76" s="49">
        <f>AVERAGE('26.07 GAYAZA-KALERWE-24h'!G76,'27.07 GAYAZA-KALERWE-24h'!G76)</f>
        <v>0.5</v>
      </c>
      <c r="H76" s="49">
        <f>AVERAGE('26.07 GAYAZA-KALERWE-24h'!H76,'27.07 GAYAZA-KALERWE-24h'!H76)</f>
        <v>0</v>
      </c>
      <c r="I76" s="49">
        <f>AVERAGE('26.07 GAYAZA-KALERWE-24h'!I76,'27.07 GAYAZA-KALERWE-24h'!I76)</f>
        <v>7</v>
      </c>
      <c r="J76" s="49">
        <f>AVERAGE('26.07 GAYAZA-KALERWE-24h'!J76,'27.07 GAYAZA-KALERWE-24h'!J76)</f>
        <v>3.5</v>
      </c>
      <c r="K76" s="49">
        <f>AVERAGE('26.07 GAYAZA-KALERWE-24h'!K76,'27.07 GAYAZA-KALERWE-24h'!K76)</f>
        <v>1.5</v>
      </c>
      <c r="L76" s="49">
        <f>AVERAGE('26.07 GAYAZA-KALERWE-24h'!L76,'27.07 GAYAZA-KALERWE-24h'!L76)</f>
        <v>1</v>
      </c>
      <c r="M76" s="49">
        <f>AVERAGE('26.07 GAYAZA-KALERWE-24h'!M76,'27.07 GAYAZA-KALERWE-24h'!M76)</f>
        <v>88.5</v>
      </c>
      <c r="N76" s="49">
        <f>AVERAGE('26.07 GAYAZA-KALERWE-24h'!N76,'27.07 GAYAZA-KALERWE-24h'!N76)</f>
        <v>0</v>
      </c>
      <c r="O76" s="15">
        <f t="shared" si="35"/>
        <v>61.5</v>
      </c>
      <c r="P76" s="15">
        <f t="shared" si="36"/>
        <v>150</v>
      </c>
      <c r="R76" s="8"/>
      <c r="T76"/>
    </row>
    <row r="77" spans="2:20" ht="23.1" customHeight="1" x14ac:dyDescent="0.25">
      <c r="B77" s="23" t="s">
        <v>117</v>
      </c>
      <c r="C77" s="49">
        <f>AVERAGE('26.07 GAYAZA-KALERWE-24h'!C77,'27.07 GAYAZA-KALERWE-24h'!C77)</f>
        <v>36</v>
      </c>
      <c r="D77" s="49">
        <f>AVERAGE('26.07 GAYAZA-KALERWE-24h'!D77,'27.07 GAYAZA-KALERWE-24h'!D77)</f>
        <v>6</v>
      </c>
      <c r="E77" s="49">
        <f>AVERAGE('26.07 GAYAZA-KALERWE-24h'!E77,'27.07 GAYAZA-KALERWE-24h'!E77)</f>
        <v>4.5</v>
      </c>
      <c r="F77" s="49">
        <f>AVERAGE('26.07 GAYAZA-KALERWE-24h'!F77,'27.07 GAYAZA-KALERWE-24h'!F77)</f>
        <v>9.5</v>
      </c>
      <c r="G77" s="49">
        <f>AVERAGE('26.07 GAYAZA-KALERWE-24h'!G77,'27.07 GAYAZA-KALERWE-24h'!G77)</f>
        <v>0.5</v>
      </c>
      <c r="H77" s="49">
        <f>AVERAGE('26.07 GAYAZA-KALERWE-24h'!H77,'27.07 GAYAZA-KALERWE-24h'!H77)</f>
        <v>0</v>
      </c>
      <c r="I77" s="49">
        <f>AVERAGE('26.07 GAYAZA-KALERWE-24h'!I77,'27.07 GAYAZA-KALERWE-24h'!I77)</f>
        <v>2</v>
      </c>
      <c r="J77" s="49">
        <f>AVERAGE('26.07 GAYAZA-KALERWE-24h'!J77,'27.07 GAYAZA-KALERWE-24h'!J77)</f>
        <v>3.5</v>
      </c>
      <c r="K77" s="49">
        <f>AVERAGE('26.07 GAYAZA-KALERWE-24h'!K77,'27.07 GAYAZA-KALERWE-24h'!K77)</f>
        <v>1.5</v>
      </c>
      <c r="L77" s="49">
        <f>AVERAGE('26.07 GAYAZA-KALERWE-24h'!L77,'27.07 GAYAZA-KALERWE-24h'!L77)</f>
        <v>0</v>
      </c>
      <c r="M77" s="49">
        <f>AVERAGE('26.07 GAYAZA-KALERWE-24h'!M77,'27.07 GAYAZA-KALERWE-24h'!M77)</f>
        <v>79.5</v>
      </c>
      <c r="N77" s="49">
        <f>AVERAGE('26.07 GAYAZA-KALERWE-24h'!N77,'27.07 GAYAZA-KALERWE-24h'!N77)</f>
        <v>0</v>
      </c>
      <c r="O77" s="15">
        <f t="shared" si="35"/>
        <v>63.5</v>
      </c>
      <c r="P77" s="15">
        <f t="shared" si="36"/>
        <v>143</v>
      </c>
      <c r="R77" s="8"/>
      <c r="T77"/>
    </row>
    <row r="78" spans="2:20" ht="23.1" customHeight="1" x14ac:dyDescent="0.25">
      <c r="B78" s="24" t="s">
        <v>118</v>
      </c>
      <c r="C78" s="49">
        <f>AVERAGE('26.07 GAYAZA-KALERWE-24h'!C78,'27.07 GAYAZA-KALERWE-24h'!C78)</f>
        <v>6.5</v>
      </c>
      <c r="D78" s="49">
        <f>AVERAGE('26.07 GAYAZA-KALERWE-24h'!D78,'27.07 GAYAZA-KALERWE-24h'!D78)</f>
        <v>1</v>
      </c>
      <c r="E78" s="49">
        <f>AVERAGE('26.07 GAYAZA-KALERWE-24h'!E78,'27.07 GAYAZA-KALERWE-24h'!E78)</f>
        <v>2</v>
      </c>
      <c r="F78" s="49">
        <f>AVERAGE('26.07 GAYAZA-KALERWE-24h'!F78,'27.07 GAYAZA-KALERWE-24h'!F78)</f>
        <v>9</v>
      </c>
      <c r="G78" s="49">
        <f>AVERAGE('26.07 GAYAZA-KALERWE-24h'!G78,'27.07 GAYAZA-KALERWE-24h'!G78)</f>
        <v>0.5</v>
      </c>
      <c r="H78" s="49">
        <f>AVERAGE('26.07 GAYAZA-KALERWE-24h'!H78,'27.07 GAYAZA-KALERWE-24h'!H78)</f>
        <v>0</v>
      </c>
      <c r="I78" s="49">
        <f>AVERAGE('26.07 GAYAZA-KALERWE-24h'!I78,'27.07 GAYAZA-KALERWE-24h'!I78)</f>
        <v>1</v>
      </c>
      <c r="J78" s="49">
        <f>AVERAGE('26.07 GAYAZA-KALERWE-24h'!J78,'27.07 GAYAZA-KALERWE-24h'!J78)</f>
        <v>2</v>
      </c>
      <c r="K78" s="49">
        <f>AVERAGE('26.07 GAYAZA-KALERWE-24h'!K78,'27.07 GAYAZA-KALERWE-24h'!K78)</f>
        <v>0</v>
      </c>
      <c r="L78" s="49">
        <f>AVERAGE('26.07 GAYAZA-KALERWE-24h'!L78,'27.07 GAYAZA-KALERWE-24h'!L78)</f>
        <v>0</v>
      </c>
      <c r="M78" s="49">
        <f>AVERAGE('26.07 GAYAZA-KALERWE-24h'!M78,'27.07 GAYAZA-KALERWE-24h'!M78)</f>
        <v>65</v>
      </c>
      <c r="N78" s="49">
        <f>AVERAGE('26.07 GAYAZA-KALERWE-24h'!N78,'27.07 GAYAZA-KALERWE-24h'!N78)</f>
        <v>0</v>
      </c>
      <c r="O78" s="15">
        <f t="shared" si="35"/>
        <v>22</v>
      </c>
      <c r="P78" s="15">
        <f t="shared" si="36"/>
        <v>87</v>
      </c>
      <c r="R78" s="8"/>
      <c r="T78"/>
    </row>
    <row r="79" spans="2:20" ht="23.1" customHeight="1" x14ac:dyDescent="0.25">
      <c r="B79" s="23" t="s">
        <v>119</v>
      </c>
      <c r="C79" s="49">
        <f>AVERAGE('26.07 GAYAZA-KALERWE-24h'!C79,'27.07 GAYAZA-KALERWE-24h'!C79)</f>
        <v>13.5</v>
      </c>
      <c r="D79" s="49">
        <f>AVERAGE('26.07 GAYAZA-KALERWE-24h'!D79,'27.07 GAYAZA-KALERWE-24h'!D79)</f>
        <v>2.5</v>
      </c>
      <c r="E79" s="49">
        <f>AVERAGE('26.07 GAYAZA-KALERWE-24h'!E79,'27.07 GAYAZA-KALERWE-24h'!E79)</f>
        <v>1.5</v>
      </c>
      <c r="F79" s="49">
        <f>AVERAGE('26.07 GAYAZA-KALERWE-24h'!F79,'27.07 GAYAZA-KALERWE-24h'!F79)</f>
        <v>5.5</v>
      </c>
      <c r="G79" s="49">
        <f>AVERAGE('26.07 GAYAZA-KALERWE-24h'!G79,'27.07 GAYAZA-KALERWE-24h'!G79)</f>
        <v>0</v>
      </c>
      <c r="H79" s="49">
        <f>AVERAGE('26.07 GAYAZA-KALERWE-24h'!H79,'27.07 GAYAZA-KALERWE-24h'!H79)</f>
        <v>0</v>
      </c>
      <c r="I79" s="49">
        <f>AVERAGE('26.07 GAYAZA-KALERWE-24h'!I79,'27.07 GAYAZA-KALERWE-24h'!I79)</f>
        <v>3.5</v>
      </c>
      <c r="J79" s="49">
        <f>AVERAGE('26.07 GAYAZA-KALERWE-24h'!J79,'27.07 GAYAZA-KALERWE-24h'!J79)</f>
        <v>1.5</v>
      </c>
      <c r="K79" s="49">
        <f>AVERAGE('26.07 GAYAZA-KALERWE-24h'!K79,'27.07 GAYAZA-KALERWE-24h'!K79)</f>
        <v>0</v>
      </c>
      <c r="L79" s="49">
        <f>AVERAGE('26.07 GAYAZA-KALERWE-24h'!L79,'27.07 GAYAZA-KALERWE-24h'!L79)</f>
        <v>0</v>
      </c>
      <c r="M79" s="49">
        <f>AVERAGE('26.07 GAYAZA-KALERWE-24h'!M79,'27.07 GAYAZA-KALERWE-24h'!M79)</f>
        <v>63</v>
      </c>
      <c r="N79" s="49">
        <f>AVERAGE('26.07 GAYAZA-KALERWE-24h'!N79,'27.07 GAYAZA-KALERWE-24h'!N79)</f>
        <v>0</v>
      </c>
      <c r="O79" s="15">
        <f t="shared" si="35"/>
        <v>28</v>
      </c>
      <c r="P79" s="15">
        <f t="shared" si="36"/>
        <v>91</v>
      </c>
      <c r="R79" s="8"/>
      <c r="T79"/>
    </row>
    <row r="80" spans="2:20" ht="23.1" customHeight="1" x14ac:dyDescent="0.25">
      <c r="B80" s="25" t="s">
        <v>120</v>
      </c>
      <c r="C80" s="49">
        <f>AVERAGE('26.07 GAYAZA-KALERWE-24h'!C80,'27.07 GAYAZA-KALERWE-24h'!C80)</f>
        <v>8.5</v>
      </c>
      <c r="D80" s="49">
        <f>AVERAGE('26.07 GAYAZA-KALERWE-24h'!D80,'27.07 GAYAZA-KALERWE-24h'!D80)</f>
        <v>1.5</v>
      </c>
      <c r="E80" s="49">
        <f>AVERAGE('26.07 GAYAZA-KALERWE-24h'!E80,'27.07 GAYAZA-KALERWE-24h'!E80)</f>
        <v>1</v>
      </c>
      <c r="F80" s="49">
        <f>AVERAGE('26.07 GAYAZA-KALERWE-24h'!F80,'27.07 GAYAZA-KALERWE-24h'!F80)</f>
        <v>2.5</v>
      </c>
      <c r="G80" s="49">
        <f>AVERAGE('26.07 GAYAZA-KALERWE-24h'!G80,'27.07 GAYAZA-KALERWE-24h'!G80)</f>
        <v>0</v>
      </c>
      <c r="H80" s="49">
        <f>AVERAGE('26.07 GAYAZA-KALERWE-24h'!H80,'27.07 GAYAZA-KALERWE-24h'!H80)</f>
        <v>0</v>
      </c>
      <c r="I80" s="49">
        <f>AVERAGE('26.07 GAYAZA-KALERWE-24h'!I80,'27.07 GAYAZA-KALERWE-24h'!I80)</f>
        <v>1.5</v>
      </c>
      <c r="J80" s="49">
        <f>AVERAGE('26.07 GAYAZA-KALERWE-24h'!J80,'27.07 GAYAZA-KALERWE-24h'!J80)</f>
        <v>1.5</v>
      </c>
      <c r="K80" s="49">
        <f>AVERAGE('26.07 GAYAZA-KALERWE-24h'!K80,'27.07 GAYAZA-KALERWE-24h'!K80)</f>
        <v>1.5</v>
      </c>
      <c r="L80" s="49">
        <f>AVERAGE('26.07 GAYAZA-KALERWE-24h'!L80,'27.07 GAYAZA-KALERWE-24h'!L80)</f>
        <v>0</v>
      </c>
      <c r="M80" s="49">
        <f>AVERAGE('26.07 GAYAZA-KALERWE-24h'!M80,'27.07 GAYAZA-KALERWE-24h'!M80)</f>
        <v>55</v>
      </c>
      <c r="N80" s="49">
        <f>AVERAGE('26.07 GAYAZA-KALERWE-24h'!N80,'27.07 GAYAZA-KALERWE-24h'!N80)</f>
        <v>0</v>
      </c>
      <c r="O80" s="15">
        <f t="shared" si="35"/>
        <v>18</v>
      </c>
      <c r="P80" s="15">
        <f t="shared" si="36"/>
        <v>73</v>
      </c>
      <c r="R80" s="8"/>
      <c r="T80"/>
    </row>
    <row r="81" spans="2:20" ht="23.1" customHeight="1" x14ac:dyDescent="0.25">
      <c r="B81" s="23" t="s">
        <v>121</v>
      </c>
      <c r="C81" s="49">
        <f>AVERAGE('26.07 GAYAZA-KALERWE-24h'!C81,'27.07 GAYAZA-KALERWE-24h'!C81)</f>
        <v>6</v>
      </c>
      <c r="D81" s="49">
        <f>AVERAGE('26.07 GAYAZA-KALERWE-24h'!D81,'27.07 GAYAZA-KALERWE-24h'!D81)</f>
        <v>2.5</v>
      </c>
      <c r="E81" s="49">
        <f>AVERAGE('26.07 GAYAZA-KALERWE-24h'!E81,'27.07 GAYAZA-KALERWE-24h'!E81)</f>
        <v>1</v>
      </c>
      <c r="F81" s="49">
        <f>AVERAGE('26.07 GAYAZA-KALERWE-24h'!F81,'27.07 GAYAZA-KALERWE-24h'!F81)</f>
        <v>4</v>
      </c>
      <c r="G81" s="49">
        <f>AVERAGE('26.07 GAYAZA-KALERWE-24h'!G81,'27.07 GAYAZA-KALERWE-24h'!G81)</f>
        <v>0</v>
      </c>
      <c r="H81" s="49">
        <f>AVERAGE('26.07 GAYAZA-KALERWE-24h'!H81,'27.07 GAYAZA-KALERWE-24h'!H81)</f>
        <v>0</v>
      </c>
      <c r="I81" s="49">
        <f>AVERAGE('26.07 GAYAZA-KALERWE-24h'!I81,'27.07 GAYAZA-KALERWE-24h'!I81)</f>
        <v>0.5</v>
      </c>
      <c r="J81" s="49">
        <f>AVERAGE('26.07 GAYAZA-KALERWE-24h'!J81,'27.07 GAYAZA-KALERWE-24h'!J81)</f>
        <v>0.5</v>
      </c>
      <c r="K81" s="49">
        <f>AVERAGE('26.07 GAYAZA-KALERWE-24h'!K81,'27.07 GAYAZA-KALERWE-24h'!K81)</f>
        <v>0</v>
      </c>
      <c r="L81" s="49">
        <f>AVERAGE('26.07 GAYAZA-KALERWE-24h'!L81,'27.07 GAYAZA-KALERWE-24h'!L81)</f>
        <v>0.5</v>
      </c>
      <c r="M81" s="49">
        <f>AVERAGE('26.07 GAYAZA-KALERWE-24h'!M81,'27.07 GAYAZA-KALERWE-24h'!M81)</f>
        <v>41.5</v>
      </c>
      <c r="N81" s="49">
        <f>AVERAGE('26.07 GAYAZA-KALERWE-24h'!N81,'27.07 GAYAZA-KALERWE-24h'!N81)</f>
        <v>0</v>
      </c>
      <c r="O81" s="15">
        <f t="shared" si="35"/>
        <v>15</v>
      </c>
      <c r="P81" s="15">
        <f t="shared" si="36"/>
        <v>56.5</v>
      </c>
      <c r="R81" s="8"/>
      <c r="T81"/>
    </row>
    <row r="82" spans="2:20" ht="23.1" customHeight="1" x14ac:dyDescent="0.25">
      <c r="B82" s="24" t="s">
        <v>122</v>
      </c>
      <c r="C82" s="49">
        <f>AVERAGE('26.07 GAYAZA-KALERWE-24h'!C82,'27.07 GAYAZA-KALERWE-24h'!C82)</f>
        <v>8.5</v>
      </c>
      <c r="D82" s="49">
        <f>AVERAGE('26.07 GAYAZA-KALERWE-24h'!D82,'27.07 GAYAZA-KALERWE-24h'!D82)</f>
        <v>1.5</v>
      </c>
      <c r="E82" s="49">
        <f>AVERAGE('26.07 GAYAZA-KALERWE-24h'!E82,'27.07 GAYAZA-KALERWE-24h'!E82)</f>
        <v>1</v>
      </c>
      <c r="F82" s="49">
        <f>AVERAGE('26.07 GAYAZA-KALERWE-24h'!F82,'27.07 GAYAZA-KALERWE-24h'!F82)</f>
        <v>4.5</v>
      </c>
      <c r="G82" s="49">
        <f>AVERAGE('26.07 GAYAZA-KALERWE-24h'!G82,'27.07 GAYAZA-KALERWE-24h'!G82)</f>
        <v>0</v>
      </c>
      <c r="H82" s="49">
        <f>AVERAGE('26.07 GAYAZA-KALERWE-24h'!H82,'27.07 GAYAZA-KALERWE-24h'!H82)</f>
        <v>0</v>
      </c>
      <c r="I82" s="49">
        <f>AVERAGE('26.07 GAYAZA-KALERWE-24h'!I82,'27.07 GAYAZA-KALERWE-24h'!I82)</f>
        <v>0.5</v>
      </c>
      <c r="J82" s="49">
        <f>AVERAGE('26.07 GAYAZA-KALERWE-24h'!J82,'27.07 GAYAZA-KALERWE-24h'!J82)</f>
        <v>1</v>
      </c>
      <c r="K82" s="49">
        <f>AVERAGE('26.07 GAYAZA-KALERWE-24h'!K82,'27.07 GAYAZA-KALERWE-24h'!K82)</f>
        <v>0.5</v>
      </c>
      <c r="L82" s="49">
        <f>AVERAGE('26.07 GAYAZA-KALERWE-24h'!L82,'27.07 GAYAZA-KALERWE-24h'!L82)</f>
        <v>0</v>
      </c>
      <c r="M82" s="49">
        <f>AVERAGE('26.07 GAYAZA-KALERWE-24h'!M82,'27.07 GAYAZA-KALERWE-24h'!M82)</f>
        <v>42</v>
      </c>
      <c r="N82" s="49">
        <f>AVERAGE('26.07 GAYAZA-KALERWE-24h'!N82,'27.07 GAYAZA-KALERWE-24h'!N82)</f>
        <v>0</v>
      </c>
      <c r="O82" s="15">
        <f t="shared" si="35"/>
        <v>17.5</v>
      </c>
      <c r="P82" s="15">
        <f t="shared" si="36"/>
        <v>59.5</v>
      </c>
      <c r="R82" s="8"/>
      <c r="T82"/>
    </row>
    <row r="83" spans="2:20" ht="23.1" customHeight="1" x14ac:dyDescent="0.25">
      <c r="B83" s="23" t="s">
        <v>123</v>
      </c>
      <c r="C83" s="49">
        <f>AVERAGE('26.07 GAYAZA-KALERWE-24h'!C83,'27.07 GAYAZA-KALERWE-24h'!C83)</f>
        <v>7</v>
      </c>
      <c r="D83" s="49">
        <f>AVERAGE('26.07 GAYAZA-KALERWE-24h'!D83,'27.07 GAYAZA-KALERWE-24h'!D83)</f>
        <v>1</v>
      </c>
      <c r="E83" s="49">
        <f>AVERAGE('26.07 GAYAZA-KALERWE-24h'!E83,'27.07 GAYAZA-KALERWE-24h'!E83)</f>
        <v>2.5</v>
      </c>
      <c r="F83" s="49">
        <f>AVERAGE('26.07 GAYAZA-KALERWE-24h'!F83,'27.07 GAYAZA-KALERWE-24h'!F83)</f>
        <v>2</v>
      </c>
      <c r="G83" s="49">
        <f>AVERAGE('26.07 GAYAZA-KALERWE-24h'!G83,'27.07 GAYAZA-KALERWE-24h'!G83)</f>
        <v>0.5</v>
      </c>
      <c r="H83" s="49">
        <f>AVERAGE('26.07 GAYAZA-KALERWE-24h'!H83,'27.07 GAYAZA-KALERWE-24h'!H83)</f>
        <v>0</v>
      </c>
      <c r="I83" s="49">
        <f>AVERAGE('26.07 GAYAZA-KALERWE-24h'!I83,'27.07 GAYAZA-KALERWE-24h'!I83)</f>
        <v>1</v>
      </c>
      <c r="J83" s="49">
        <f>AVERAGE('26.07 GAYAZA-KALERWE-24h'!J83,'27.07 GAYAZA-KALERWE-24h'!J83)</f>
        <v>2.5</v>
      </c>
      <c r="K83" s="49">
        <f>AVERAGE('26.07 GAYAZA-KALERWE-24h'!K83,'27.07 GAYAZA-KALERWE-24h'!K83)</f>
        <v>0.5</v>
      </c>
      <c r="L83" s="49">
        <f>AVERAGE('26.07 GAYAZA-KALERWE-24h'!L83,'27.07 GAYAZA-KALERWE-24h'!L83)</f>
        <v>0</v>
      </c>
      <c r="M83" s="49">
        <f>AVERAGE('26.07 GAYAZA-KALERWE-24h'!M83,'27.07 GAYAZA-KALERWE-24h'!M83)</f>
        <v>48.5</v>
      </c>
      <c r="N83" s="49">
        <f>AVERAGE('26.07 GAYAZA-KALERWE-24h'!N83,'27.07 GAYAZA-KALERWE-24h'!N83)</f>
        <v>0</v>
      </c>
      <c r="O83" s="15">
        <f t="shared" si="35"/>
        <v>17</v>
      </c>
      <c r="P83" s="15">
        <f t="shared" si="36"/>
        <v>65.5</v>
      </c>
      <c r="R83" s="8"/>
      <c r="T83"/>
    </row>
    <row r="84" spans="2:20" ht="23.1" customHeight="1" x14ac:dyDescent="0.25">
      <c r="B84" s="25" t="s">
        <v>124</v>
      </c>
      <c r="C84" s="49">
        <f>AVERAGE('26.07 GAYAZA-KALERWE-24h'!C84,'27.07 GAYAZA-KALERWE-24h'!C84)</f>
        <v>9.5</v>
      </c>
      <c r="D84" s="49">
        <f>AVERAGE('26.07 GAYAZA-KALERWE-24h'!D84,'27.07 GAYAZA-KALERWE-24h'!D84)</f>
        <v>3</v>
      </c>
      <c r="E84" s="49">
        <f>AVERAGE('26.07 GAYAZA-KALERWE-24h'!E84,'27.07 GAYAZA-KALERWE-24h'!E84)</f>
        <v>1</v>
      </c>
      <c r="F84" s="49">
        <f>AVERAGE('26.07 GAYAZA-KALERWE-24h'!F84,'27.07 GAYAZA-KALERWE-24h'!F84)</f>
        <v>3.5</v>
      </c>
      <c r="G84" s="49">
        <f>AVERAGE('26.07 GAYAZA-KALERWE-24h'!G84,'27.07 GAYAZA-KALERWE-24h'!G84)</f>
        <v>0</v>
      </c>
      <c r="H84" s="49">
        <f>AVERAGE('26.07 GAYAZA-KALERWE-24h'!H84,'27.07 GAYAZA-KALERWE-24h'!H84)</f>
        <v>0</v>
      </c>
      <c r="I84" s="49">
        <f>AVERAGE('26.07 GAYAZA-KALERWE-24h'!I84,'27.07 GAYAZA-KALERWE-24h'!I84)</f>
        <v>0.5</v>
      </c>
      <c r="J84" s="49">
        <f>AVERAGE('26.07 GAYAZA-KALERWE-24h'!J84,'27.07 GAYAZA-KALERWE-24h'!J84)</f>
        <v>2</v>
      </c>
      <c r="K84" s="49">
        <f>AVERAGE('26.07 GAYAZA-KALERWE-24h'!K84,'27.07 GAYAZA-KALERWE-24h'!K84)</f>
        <v>1</v>
      </c>
      <c r="L84" s="49">
        <f>AVERAGE('26.07 GAYAZA-KALERWE-24h'!L84,'27.07 GAYAZA-KALERWE-24h'!L84)</f>
        <v>0</v>
      </c>
      <c r="M84" s="49">
        <f>AVERAGE('26.07 GAYAZA-KALERWE-24h'!M84,'27.07 GAYAZA-KALERWE-24h'!M84)</f>
        <v>37.5</v>
      </c>
      <c r="N84" s="49">
        <f>AVERAGE('26.07 GAYAZA-KALERWE-24h'!N84,'27.07 GAYAZA-KALERWE-24h'!N84)</f>
        <v>0</v>
      </c>
      <c r="O84" s="15">
        <f t="shared" si="35"/>
        <v>20.5</v>
      </c>
      <c r="P84" s="15">
        <f t="shared" si="36"/>
        <v>58</v>
      </c>
      <c r="R84" s="8"/>
      <c r="T84"/>
    </row>
    <row r="85" spans="2:20" ht="23.1" customHeight="1" x14ac:dyDescent="0.25">
      <c r="B85" s="23" t="s">
        <v>125</v>
      </c>
      <c r="C85" s="49">
        <f>AVERAGE('26.07 GAYAZA-KALERWE-24h'!C85,'27.07 GAYAZA-KALERWE-24h'!C85)</f>
        <v>7</v>
      </c>
      <c r="D85" s="49">
        <f>AVERAGE('26.07 GAYAZA-KALERWE-24h'!D85,'27.07 GAYAZA-KALERWE-24h'!D85)</f>
        <v>1.5</v>
      </c>
      <c r="E85" s="49">
        <f>AVERAGE('26.07 GAYAZA-KALERWE-24h'!E85,'27.07 GAYAZA-KALERWE-24h'!E85)</f>
        <v>1</v>
      </c>
      <c r="F85" s="49">
        <f>AVERAGE('26.07 GAYAZA-KALERWE-24h'!F85,'27.07 GAYAZA-KALERWE-24h'!F85)</f>
        <v>1</v>
      </c>
      <c r="G85" s="49">
        <f>AVERAGE('26.07 GAYAZA-KALERWE-24h'!G85,'27.07 GAYAZA-KALERWE-24h'!G85)</f>
        <v>0</v>
      </c>
      <c r="H85" s="49">
        <f>AVERAGE('26.07 GAYAZA-KALERWE-24h'!H85,'27.07 GAYAZA-KALERWE-24h'!H85)</f>
        <v>0</v>
      </c>
      <c r="I85" s="49">
        <f>AVERAGE('26.07 GAYAZA-KALERWE-24h'!I85,'27.07 GAYAZA-KALERWE-24h'!I85)</f>
        <v>0</v>
      </c>
      <c r="J85" s="49">
        <f>AVERAGE('26.07 GAYAZA-KALERWE-24h'!J85,'27.07 GAYAZA-KALERWE-24h'!J85)</f>
        <v>0</v>
      </c>
      <c r="K85" s="49">
        <f>AVERAGE('26.07 GAYAZA-KALERWE-24h'!K85,'27.07 GAYAZA-KALERWE-24h'!K85)</f>
        <v>0.5</v>
      </c>
      <c r="L85" s="49">
        <f>AVERAGE('26.07 GAYAZA-KALERWE-24h'!L85,'27.07 GAYAZA-KALERWE-24h'!L85)</f>
        <v>0</v>
      </c>
      <c r="M85" s="49">
        <f>AVERAGE('26.07 GAYAZA-KALERWE-24h'!M85,'27.07 GAYAZA-KALERWE-24h'!M85)</f>
        <v>38</v>
      </c>
      <c r="N85" s="49">
        <f>AVERAGE('26.07 GAYAZA-KALERWE-24h'!N85,'27.07 GAYAZA-KALERWE-24h'!N85)</f>
        <v>0</v>
      </c>
      <c r="O85" s="15">
        <f t="shared" si="35"/>
        <v>11</v>
      </c>
      <c r="P85" s="15">
        <f t="shared" si="36"/>
        <v>49</v>
      </c>
      <c r="R85" s="8"/>
      <c r="T85"/>
    </row>
    <row r="86" spans="2:20" ht="23.1" customHeight="1" x14ac:dyDescent="0.25">
      <c r="B86" s="24" t="s">
        <v>126</v>
      </c>
      <c r="C86" s="49">
        <f>AVERAGE('26.07 GAYAZA-KALERWE-24h'!C86,'27.07 GAYAZA-KALERWE-24h'!C86)</f>
        <v>9.5</v>
      </c>
      <c r="D86" s="49">
        <f>AVERAGE('26.07 GAYAZA-KALERWE-24h'!D86,'27.07 GAYAZA-KALERWE-24h'!D86)</f>
        <v>0.5</v>
      </c>
      <c r="E86" s="49">
        <f>AVERAGE('26.07 GAYAZA-KALERWE-24h'!E86,'27.07 GAYAZA-KALERWE-24h'!E86)</f>
        <v>0.5</v>
      </c>
      <c r="F86" s="49">
        <f>AVERAGE('26.07 GAYAZA-KALERWE-24h'!F86,'27.07 GAYAZA-KALERWE-24h'!F86)</f>
        <v>1.5</v>
      </c>
      <c r="G86" s="49">
        <f>AVERAGE('26.07 GAYAZA-KALERWE-24h'!G86,'27.07 GAYAZA-KALERWE-24h'!G86)</f>
        <v>0</v>
      </c>
      <c r="H86" s="49">
        <f>AVERAGE('26.07 GAYAZA-KALERWE-24h'!H86,'27.07 GAYAZA-KALERWE-24h'!H86)</f>
        <v>0</v>
      </c>
      <c r="I86" s="49">
        <f>AVERAGE('26.07 GAYAZA-KALERWE-24h'!I86,'27.07 GAYAZA-KALERWE-24h'!I86)</f>
        <v>2</v>
      </c>
      <c r="J86" s="49">
        <f>AVERAGE('26.07 GAYAZA-KALERWE-24h'!J86,'27.07 GAYAZA-KALERWE-24h'!J86)</f>
        <v>1</v>
      </c>
      <c r="K86" s="49">
        <f>AVERAGE('26.07 GAYAZA-KALERWE-24h'!K86,'27.07 GAYAZA-KALERWE-24h'!K86)</f>
        <v>0.5</v>
      </c>
      <c r="L86" s="49">
        <f>AVERAGE('26.07 GAYAZA-KALERWE-24h'!L86,'27.07 GAYAZA-KALERWE-24h'!L86)</f>
        <v>0.5</v>
      </c>
      <c r="M86" s="49">
        <f>AVERAGE('26.07 GAYAZA-KALERWE-24h'!M86,'27.07 GAYAZA-KALERWE-24h'!M86)</f>
        <v>34</v>
      </c>
      <c r="N86" s="49">
        <f>AVERAGE('26.07 GAYAZA-KALERWE-24h'!N86,'27.07 GAYAZA-KALERWE-24h'!N86)</f>
        <v>0</v>
      </c>
      <c r="O86" s="15">
        <f t="shared" si="35"/>
        <v>16</v>
      </c>
      <c r="P86" s="15">
        <f t="shared" si="36"/>
        <v>50</v>
      </c>
      <c r="R86" s="8"/>
      <c r="T86"/>
    </row>
    <row r="87" spans="2:20" ht="23.1" customHeight="1" x14ac:dyDescent="0.25">
      <c r="B87" s="23" t="s">
        <v>127</v>
      </c>
      <c r="C87" s="49">
        <f>AVERAGE('26.07 GAYAZA-KALERWE-24h'!C87,'27.07 GAYAZA-KALERWE-24h'!C87)</f>
        <v>5.5</v>
      </c>
      <c r="D87" s="49">
        <f>AVERAGE('26.07 GAYAZA-KALERWE-24h'!D87,'27.07 GAYAZA-KALERWE-24h'!D87)</f>
        <v>1</v>
      </c>
      <c r="E87" s="49">
        <f>AVERAGE('26.07 GAYAZA-KALERWE-24h'!E87,'27.07 GAYAZA-KALERWE-24h'!E87)</f>
        <v>2</v>
      </c>
      <c r="F87" s="49">
        <f>AVERAGE('26.07 GAYAZA-KALERWE-24h'!F87,'27.07 GAYAZA-KALERWE-24h'!F87)</f>
        <v>1.5</v>
      </c>
      <c r="G87" s="49">
        <f>AVERAGE('26.07 GAYAZA-KALERWE-24h'!G87,'27.07 GAYAZA-KALERWE-24h'!G87)</f>
        <v>0</v>
      </c>
      <c r="H87" s="49">
        <f>AVERAGE('26.07 GAYAZA-KALERWE-24h'!H87,'27.07 GAYAZA-KALERWE-24h'!H87)</f>
        <v>0</v>
      </c>
      <c r="I87" s="49">
        <f>AVERAGE('26.07 GAYAZA-KALERWE-24h'!I87,'27.07 GAYAZA-KALERWE-24h'!I87)</f>
        <v>2.5</v>
      </c>
      <c r="J87" s="49">
        <f>AVERAGE('26.07 GAYAZA-KALERWE-24h'!J87,'27.07 GAYAZA-KALERWE-24h'!J87)</f>
        <v>2</v>
      </c>
      <c r="K87" s="49">
        <f>AVERAGE('26.07 GAYAZA-KALERWE-24h'!K87,'27.07 GAYAZA-KALERWE-24h'!K87)</f>
        <v>0.5</v>
      </c>
      <c r="L87" s="49">
        <f>AVERAGE('26.07 GAYAZA-KALERWE-24h'!L87,'27.07 GAYAZA-KALERWE-24h'!L87)</f>
        <v>0.5</v>
      </c>
      <c r="M87" s="49">
        <f>AVERAGE('26.07 GAYAZA-KALERWE-24h'!M87,'27.07 GAYAZA-KALERWE-24h'!M87)</f>
        <v>42</v>
      </c>
      <c r="N87" s="49">
        <f>AVERAGE('26.07 GAYAZA-KALERWE-24h'!N87,'27.07 GAYAZA-KALERWE-24h'!N87)</f>
        <v>0</v>
      </c>
      <c r="O87" s="15">
        <f t="shared" si="35"/>
        <v>15.5</v>
      </c>
      <c r="P87" s="15">
        <f t="shared" si="36"/>
        <v>57.5</v>
      </c>
      <c r="R87" s="8"/>
      <c r="T87"/>
    </row>
    <row r="88" spans="2:20" ht="23.1" customHeight="1" x14ac:dyDescent="0.25">
      <c r="B88" s="25" t="s">
        <v>128</v>
      </c>
      <c r="C88" s="49">
        <f>AVERAGE('26.07 GAYAZA-KALERWE-24h'!C88,'27.07 GAYAZA-KALERWE-24h'!C88)</f>
        <v>10.5</v>
      </c>
      <c r="D88" s="49">
        <f>AVERAGE('26.07 GAYAZA-KALERWE-24h'!D88,'27.07 GAYAZA-KALERWE-24h'!D88)</f>
        <v>1</v>
      </c>
      <c r="E88" s="49">
        <f>AVERAGE('26.07 GAYAZA-KALERWE-24h'!E88,'27.07 GAYAZA-KALERWE-24h'!E88)</f>
        <v>3</v>
      </c>
      <c r="F88" s="49">
        <f>AVERAGE('26.07 GAYAZA-KALERWE-24h'!F88,'27.07 GAYAZA-KALERWE-24h'!F88)</f>
        <v>2</v>
      </c>
      <c r="G88" s="49">
        <f>AVERAGE('26.07 GAYAZA-KALERWE-24h'!G88,'27.07 GAYAZA-KALERWE-24h'!G88)</f>
        <v>0</v>
      </c>
      <c r="H88" s="49">
        <f>AVERAGE('26.07 GAYAZA-KALERWE-24h'!H88,'27.07 GAYAZA-KALERWE-24h'!H88)</f>
        <v>0</v>
      </c>
      <c r="I88" s="49">
        <f>AVERAGE('26.07 GAYAZA-KALERWE-24h'!I88,'27.07 GAYAZA-KALERWE-24h'!I88)</f>
        <v>1.5</v>
      </c>
      <c r="J88" s="49">
        <f>AVERAGE('26.07 GAYAZA-KALERWE-24h'!J88,'27.07 GAYAZA-KALERWE-24h'!J88)</f>
        <v>1</v>
      </c>
      <c r="K88" s="49">
        <f>AVERAGE('26.07 GAYAZA-KALERWE-24h'!K88,'27.07 GAYAZA-KALERWE-24h'!K88)</f>
        <v>0</v>
      </c>
      <c r="L88" s="49">
        <f>AVERAGE('26.07 GAYAZA-KALERWE-24h'!L88,'27.07 GAYAZA-KALERWE-24h'!L88)</f>
        <v>0.5</v>
      </c>
      <c r="M88" s="49">
        <f>AVERAGE('26.07 GAYAZA-KALERWE-24h'!M88,'27.07 GAYAZA-KALERWE-24h'!M88)</f>
        <v>42</v>
      </c>
      <c r="N88" s="49">
        <f>AVERAGE('26.07 GAYAZA-KALERWE-24h'!N88,'27.07 GAYAZA-KALERWE-24h'!N88)</f>
        <v>0</v>
      </c>
      <c r="O88" s="15">
        <f t="shared" si="35"/>
        <v>19.5</v>
      </c>
      <c r="P88" s="15">
        <f t="shared" si="36"/>
        <v>61.5</v>
      </c>
      <c r="R88" s="8"/>
      <c r="T88"/>
    </row>
    <row r="89" spans="2:20" ht="23.1" customHeight="1" x14ac:dyDescent="0.25">
      <c r="B89" s="23" t="s">
        <v>129</v>
      </c>
      <c r="C89" s="49">
        <f>AVERAGE('26.07 GAYAZA-KALERWE-24h'!C89,'27.07 GAYAZA-KALERWE-24h'!C89)</f>
        <v>10</v>
      </c>
      <c r="D89" s="49">
        <f>AVERAGE('26.07 GAYAZA-KALERWE-24h'!D89,'27.07 GAYAZA-KALERWE-24h'!D89)</f>
        <v>3</v>
      </c>
      <c r="E89" s="49">
        <f>AVERAGE('26.07 GAYAZA-KALERWE-24h'!E89,'27.07 GAYAZA-KALERWE-24h'!E89)</f>
        <v>0.5</v>
      </c>
      <c r="F89" s="49">
        <f>AVERAGE('26.07 GAYAZA-KALERWE-24h'!F89,'27.07 GAYAZA-KALERWE-24h'!F89)</f>
        <v>1</v>
      </c>
      <c r="G89" s="49">
        <f>AVERAGE('26.07 GAYAZA-KALERWE-24h'!G89,'27.07 GAYAZA-KALERWE-24h'!G89)</f>
        <v>0</v>
      </c>
      <c r="H89" s="49">
        <f>AVERAGE('26.07 GAYAZA-KALERWE-24h'!H89,'27.07 GAYAZA-KALERWE-24h'!H89)</f>
        <v>0</v>
      </c>
      <c r="I89" s="49">
        <f>AVERAGE('26.07 GAYAZA-KALERWE-24h'!I89,'27.07 GAYAZA-KALERWE-24h'!I89)</f>
        <v>2</v>
      </c>
      <c r="J89" s="49">
        <f>AVERAGE('26.07 GAYAZA-KALERWE-24h'!J89,'27.07 GAYAZA-KALERWE-24h'!J89)</f>
        <v>1</v>
      </c>
      <c r="K89" s="49">
        <f>AVERAGE('26.07 GAYAZA-KALERWE-24h'!K89,'27.07 GAYAZA-KALERWE-24h'!K89)</f>
        <v>0</v>
      </c>
      <c r="L89" s="49">
        <f>AVERAGE('26.07 GAYAZA-KALERWE-24h'!L89,'27.07 GAYAZA-KALERWE-24h'!L89)</f>
        <v>0</v>
      </c>
      <c r="M89" s="49">
        <f>AVERAGE('26.07 GAYAZA-KALERWE-24h'!M89,'27.07 GAYAZA-KALERWE-24h'!M89)</f>
        <v>31</v>
      </c>
      <c r="N89" s="49">
        <f>AVERAGE('26.07 GAYAZA-KALERWE-24h'!N89,'27.07 GAYAZA-KALERWE-24h'!N89)</f>
        <v>0</v>
      </c>
      <c r="O89" s="15">
        <f t="shared" si="35"/>
        <v>17.5</v>
      </c>
      <c r="P89" s="15">
        <f t="shared" si="36"/>
        <v>48.5</v>
      </c>
      <c r="R89" s="8"/>
      <c r="T89"/>
    </row>
    <row r="90" spans="2:20" ht="23.1" customHeight="1" x14ac:dyDescent="0.25">
      <c r="B90" s="24" t="s">
        <v>130</v>
      </c>
      <c r="C90" s="49">
        <f>AVERAGE('26.07 GAYAZA-KALERWE-24h'!C90,'27.07 GAYAZA-KALERWE-24h'!C90)</f>
        <v>5</v>
      </c>
      <c r="D90" s="49">
        <f>AVERAGE('26.07 GAYAZA-KALERWE-24h'!D90,'27.07 GAYAZA-KALERWE-24h'!D90)</f>
        <v>4.5</v>
      </c>
      <c r="E90" s="49">
        <f>AVERAGE('26.07 GAYAZA-KALERWE-24h'!E90,'27.07 GAYAZA-KALERWE-24h'!E90)</f>
        <v>1</v>
      </c>
      <c r="F90" s="49">
        <f>AVERAGE('26.07 GAYAZA-KALERWE-24h'!F90,'27.07 GAYAZA-KALERWE-24h'!F90)</f>
        <v>0.5</v>
      </c>
      <c r="G90" s="49">
        <f>AVERAGE('26.07 GAYAZA-KALERWE-24h'!G90,'27.07 GAYAZA-KALERWE-24h'!G90)</f>
        <v>0</v>
      </c>
      <c r="H90" s="49">
        <f>AVERAGE('26.07 GAYAZA-KALERWE-24h'!H90,'27.07 GAYAZA-KALERWE-24h'!H90)</f>
        <v>0</v>
      </c>
      <c r="I90" s="49">
        <f>AVERAGE('26.07 GAYAZA-KALERWE-24h'!I90,'27.07 GAYAZA-KALERWE-24h'!I90)</f>
        <v>4.5</v>
      </c>
      <c r="J90" s="49">
        <f>AVERAGE('26.07 GAYAZA-KALERWE-24h'!J90,'27.07 GAYAZA-KALERWE-24h'!J90)</f>
        <v>1.5</v>
      </c>
      <c r="K90" s="49">
        <f>AVERAGE('26.07 GAYAZA-KALERWE-24h'!K90,'27.07 GAYAZA-KALERWE-24h'!K90)</f>
        <v>0</v>
      </c>
      <c r="L90" s="49">
        <f>AVERAGE('26.07 GAYAZA-KALERWE-24h'!L90,'27.07 GAYAZA-KALERWE-24h'!L90)</f>
        <v>0</v>
      </c>
      <c r="M90" s="49">
        <f>AVERAGE('26.07 GAYAZA-KALERWE-24h'!M90,'27.07 GAYAZA-KALERWE-24h'!M90)</f>
        <v>33.5</v>
      </c>
      <c r="N90" s="49">
        <f>AVERAGE('26.07 GAYAZA-KALERWE-24h'!N90,'27.07 GAYAZA-KALERWE-24h'!N90)</f>
        <v>0</v>
      </c>
      <c r="O90" s="15">
        <f t="shared" si="35"/>
        <v>17</v>
      </c>
      <c r="P90" s="15">
        <f t="shared" si="36"/>
        <v>50.5</v>
      </c>
      <c r="R90" s="8"/>
      <c r="T90"/>
    </row>
    <row r="91" spans="2:20" ht="23.1" customHeight="1" x14ac:dyDescent="0.25">
      <c r="B91" s="23" t="s">
        <v>131</v>
      </c>
      <c r="C91" s="49">
        <f>AVERAGE('26.07 GAYAZA-KALERWE-24h'!C91,'27.07 GAYAZA-KALERWE-24h'!C91)</f>
        <v>6</v>
      </c>
      <c r="D91" s="49">
        <f>AVERAGE('26.07 GAYAZA-KALERWE-24h'!D91,'27.07 GAYAZA-KALERWE-24h'!D91)</f>
        <v>3.5</v>
      </c>
      <c r="E91" s="49">
        <f>AVERAGE('26.07 GAYAZA-KALERWE-24h'!E91,'27.07 GAYAZA-KALERWE-24h'!E91)</f>
        <v>0.5</v>
      </c>
      <c r="F91" s="49">
        <f>AVERAGE('26.07 GAYAZA-KALERWE-24h'!F91,'27.07 GAYAZA-KALERWE-24h'!F91)</f>
        <v>3</v>
      </c>
      <c r="G91" s="49">
        <f>AVERAGE('26.07 GAYAZA-KALERWE-24h'!G91,'27.07 GAYAZA-KALERWE-24h'!G91)</f>
        <v>0</v>
      </c>
      <c r="H91" s="49">
        <f>AVERAGE('26.07 GAYAZA-KALERWE-24h'!H91,'27.07 GAYAZA-KALERWE-24h'!H91)</f>
        <v>0</v>
      </c>
      <c r="I91" s="49">
        <f>AVERAGE('26.07 GAYAZA-KALERWE-24h'!I91,'27.07 GAYAZA-KALERWE-24h'!I91)</f>
        <v>1.5</v>
      </c>
      <c r="J91" s="49">
        <f>AVERAGE('26.07 GAYAZA-KALERWE-24h'!J91,'27.07 GAYAZA-KALERWE-24h'!J91)</f>
        <v>1</v>
      </c>
      <c r="K91" s="49">
        <f>AVERAGE('26.07 GAYAZA-KALERWE-24h'!K91,'27.07 GAYAZA-KALERWE-24h'!K91)</f>
        <v>0</v>
      </c>
      <c r="L91" s="49">
        <f>AVERAGE('26.07 GAYAZA-KALERWE-24h'!L91,'27.07 GAYAZA-KALERWE-24h'!L91)</f>
        <v>0</v>
      </c>
      <c r="M91" s="49">
        <f>AVERAGE('26.07 GAYAZA-KALERWE-24h'!M91,'27.07 GAYAZA-KALERWE-24h'!M91)</f>
        <v>45.5</v>
      </c>
      <c r="N91" s="49">
        <f>AVERAGE('26.07 GAYAZA-KALERWE-24h'!N91,'27.07 GAYAZA-KALERWE-24h'!N91)</f>
        <v>0</v>
      </c>
      <c r="O91" s="15">
        <f t="shared" si="35"/>
        <v>15.5</v>
      </c>
      <c r="P91" s="15">
        <f t="shared" si="36"/>
        <v>61</v>
      </c>
      <c r="R91" s="8"/>
      <c r="T91"/>
    </row>
    <row r="92" spans="2:20" ht="23.1" customHeight="1" x14ac:dyDescent="0.25">
      <c r="B92" s="25" t="s">
        <v>132</v>
      </c>
      <c r="C92" s="49">
        <f>AVERAGE('26.07 GAYAZA-KALERWE-24h'!C92,'27.07 GAYAZA-KALERWE-24h'!C92)</f>
        <v>5.5</v>
      </c>
      <c r="D92" s="49">
        <f>AVERAGE('26.07 GAYAZA-KALERWE-24h'!D92,'27.07 GAYAZA-KALERWE-24h'!D92)</f>
        <v>1</v>
      </c>
      <c r="E92" s="49">
        <f>AVERAGE('26.07 GAYAZA-KALERWE-24h'!E92,'27.07 GAYAZA-KALERWE-24h'!E92)</f>
        <v>0.5</v>
      </c>
      <c r="F92" s="49">
        <f>AVERAGE('26.07 GAYAZA-KALERWE-24h'!F92,'27.07 GAYAZA-KALERWE-24h'!F92)</f>
        <v>2.5</v>
      </c>
      <c r="G92" s="49">
        <f>AVERAGE('26.07 GAYAZA-KALERWE-24h'!G92,'27.07 GAYAZA-KALERWE-24h'!G92)</f>
        <v>0</v>
      </c>
      <c r="H92" s="49">
        <f>AVERAGE('26.07 GAYAZA-KALERWE-24h'!H92,'27.07 GAYAZA-KALERWE-24h'!H92)</f>
        <v>0</v>
      </c>
      <c r="I92" s="49">
        <f>AVERAGE('26.07 GAYAZA-KALERWE-24h'!I92,'27.07 GAYAZA-KALERWE-24h'!I92)</f>
        <v>1</v>
      </c>
      <c r="J92" s="49">
        <f>AVERAGE('26.07 GAYAZA-KALERWE-24h'!J92,'27.07 GAYAZA-KALERWE-24h'!J92)</f>
        <v>0</v>
      </c>
      <c r="K92" s="49">
        <f>AVERAGE('26.07 GAYAZA-KALERWE-24h'!K92,'27.07 GAYAZA-KALERWE-24h'!K92)</f>
        <v>0</v>
      </c>
      <c r="L92" s="49">
        <f>AVERAGE('26.07 GAYAZA-KALERWE-24h'!L92,'27.07 GAYAZA-KALERWE-24h'!L92)</f>
        <v>0</v>
      </c>
      <c r="M92" s="49">
        <f>AVERAGE('26.07 GAYAZA-KALERWE-24h'!M92,'27.07 GAYAZA-KALERWE-24h'!M92)</f>
        <v>44.5</v>
      </c>
      <c r="N92" s="49">
        <f>AVERAGE('26.07 GAYAZA-KALERWE-24h'!N92,'27.07 GAYAZA-KALERWE-24h'!N92)</f>
        <v>0</v>
      </c>
      <c r="O92" s="15">
        <f t="shared" si="35"/>
        <v>10.5</v>
      </c>
      <c r="P92" s="15">
        <f t="shared" si="36"/>
        <v>55</v>
      </c>
      <c r="R92" s="8"/>
      <c r="T92"/>
    </row>
    <row r="93" spans="2:20" ht="23.1" customHeight="1" x14ac:dyDescent="0.25">
      <c r="B93" s="23" t="s">
        <v>133</v>
      </c>
      <c r="C93" s="49">
        <f>AVERAGE('26.07 GAYAZA-KALERWE-24h'!C93,'27.07 GAYAZA-KALERWE-24h'!C93)</f>
        <v>6</v>
      </c>
      <c r="D93" s="49">
        <f>AVERAGE('26.07 GAYAZA-KALERWE-24h'!D93,'27.07 GAYAZA-KALERWE-24h'!D93)</f>
        <v>1</v>
      </c>
      <c r="E93" s="49">
        <f>AVERAGE('26.07 GAYAZA-KALERWE-24h'!E93,'27.07 GAYAZA-KALERWE-24h'!E93)</f>
        <v>0</v>
      </c>
      <c r="F93" s="49">
        <f>AVERAGE('26.07 GAYAZA-KALERWE-24h'!F93,'27.07 GAYAZA-KALERWE-24h'!F93)</f>
        <v>4</v>
      </c>
      <c r="G93" s="49">
        <f>AVERAGE('26.07 GAYAZA-KALERWE-24h'!G93,'27.07 GAYAZA-KALERWE-24h'!G93)</f>
        <v>0</v>
      </c>
      <c r="H93" s="49">
        <f>AVERAGE('26.07 GAYAZA-KALERWE-24h'!H93,'27.07 GAYAZA-KALERWE-24h'!H93)</f>
        <v>0</v>
      </c>
      <c r="I93" s="49">
        <f>AVERAGE('26.07 GAYAZA-KALERWE-24h'!I93,'27.07 GAYAZA-KALERWE-24h'!I93)</f>
        <v>3.5</v>
      </c>
      <c r="J93" s="49">
        <f>AVERAGE('26.07 GAYAZA-KALERWE-24h'!J93,'27.07 GAYAZA-KALERWE-24h'!J93)</f>
        <v>0.5</v>
      </c>
      <c r="K93" s="49">
        <f>AVERAGE('26.07 GAYAZA-KALERWE-24h'!K93,'27.07 GAYAZA-KALERWE-24h'!K93)</f>
        <v>0</v>
      </c>
      <c r="L93" s="49">
        <f>AVERAGE('26.07 GAYAZA-KALERWE-24h'!L93,'27.07 GAYAZA-KALERWE-24h'!L93)</f>
        <v>0.5</v>
      </c>
      <c r="M93" s="49">
        <f>AVERAGE('26.07 GAYAZA-KALERWE-24h'!M93,'27.07 GAYAZA-KALERWE-24h'!M93)</f>
        <v>29</v>
      </c>
      <c r="N93" s="49">
        <f>AVERAGE('26.07 GAYAZA-KALERWE-24h'!N93,'27.07 GAYAZA-KALERWE-24h'!N93)</f>
        <v>0</v>
      </c>
      <c r="O93" s="15">
        <f t="shared" si="35"/>
        <v>15.5</v>
      </c>
      <c r="P93" s="15">
        <f t="shared" si="36"/>
        <v>44.5</v>
      </c>
      <c r="R93" s="8"/>
      <c r="T93"/>
    </row>
    <row r="94" spans="2:20" ht="23.1" customHeight="1" x14ac:dyDescent="0.25">
      <c r="B94" s="24" t="s">
        <v>134</v>
      </c>
      <c r="C94" s="49">
        <f>AVERAGE('26.07 GAYAZA-KALERWE-24h'!C94,'27.07 GAYAZA-KALERWE-24h'!C94)</f>
        <v>11.5</v>
      </c>
      <c r="D94" s="49">
        <f>AVERAGE('26.07 GAYAZA-KALERWE-24h'!D94,'27.07 GAYAZA-KALERWE-24h'!D94)</f>
        <v>3</v>
      </c>
      <c r="E94" s="49">
        <f>AVERAGE('26.07 GAYAZA-KALERWE-24h'!E94,'27.07 GAYAZA-KALERWE-24h'!E94)</f>
        <v>1.5</v>
      </c>
      <c r="F94" s="49">
        <f>AVERAGE('26.07 GAYAZA-KALERWE-24h'!F94,'27.07 GAYAZA-KALERWE-24h'!F94)</f>
        <v>3.5</v>
      </c>
      <c r="G94" s="49">
        <f>AVERAGE('26.07 GAYAZA-KALERWE-24h'!G94,'27.07 GAYAZA-KALERWE-24h'!G94)</f>
        <v>0</v>
      </c>
      <c r="H94" s="49">
        <f>AVERAGE('26.07 GAYAZA-KALERWE-24h'!H94,'27.07 GAYAZA-KALERWE-24h'!H94)</f>
        <v>0.5</v>
      </c>
      <c r="I94" s="49">
        <f>AVERAGE('26.07 GAYAZA-KALERWE-24h'!I94,'27.07 GAYAZA-KALERWE-24h'!I94)</f>
        <v>2</v>
      </c>
      <c r="J94" s="49">
        <f>AVERAGE('26.07 GAYAZA-KALERWE-24h'!J94,'27.07 GAYAZA-KALERWE-24h'!J94)</f>
        <v>4.5</v>
      </c>
      <c r="K94" s="49">
        <f>AVERAGE('26.07 GAYAZA-KALERWE-24h'!K94,'27.07 GAYAZA-KALERWE-24h'!K94)</f>
        <v>0</v>
      </c>
      <c r="L94" s="49">
        <f>AVERAGE('26.07 GAYAZA-KALERWE-24h'!L94,'27.07 GAYAZA-KALERWE-24h'!L94)</f>
        <v>0</v>
      </c>
      <c r="M94" s="49">
        <f>AVERAGE('26.07 GAYAZA-KALERWE-24h'!M94,'27.07 GAYAZA-KALERWE-24h'!M94)</f>
        <v>35.5</v>
      </c>
      <c r="N94" s="49">
        <f>AVERAGE('26.07 GAYAZA-KALERWE-24h'!N94,'27.07 GAYAZA-KALERWE-24h'!N94)</f>
        <v>0</v>
      </c>
      <c r="O94" s="15">
        <f t="shared" si="35"/>
        <v>26.5</v>
      </c>
      <c r="P94" s="15">
        <f t="shared" si="36"/>
        <v>62</v>
      </c>
      <c r="R94" s="8"/>
      <c r="T94"/>
    </row>
    <row r="95" spans="2:20" ht="23.1" customHeight="1" x14ac:dyDescent="0.25">
      <c r="B95" s="23" t="s">
        <v>135</v>
      </c>
      <c r="C95" s="49">
        <f>AVERAGE('26.07 GAYAZA-KALERWE-24h'!C95,'27.07 GAYAZA-KALERWE-24h'!C95)</f>
        <v>6.5</v>
      </c>
      <c r="D95" s="49">
        <f>AVERAGE('26.07 GAYAZA-KALERWE-24h'!D95,'27.07 GAYAZA-KALERWE-24h'!D95)</f>
        <v>2</v>
      </c>
      <c r="E95" s="49">
        <f>AVERAGE('26.07 GAYAZA-KALERWE-24h'!E95,'27.07 GAYAZA-KALERWE-24h'!E95)</f>
        <v>0.5</v>
      </c>
      <c r="F95" s="49">
        <f>AVERAGE('26.07 GAYAZA-KALERWE-24h'!F95,'27.07 GAYAZA-KALERWE-24h'!F95)</f>
        <v>5.5</v>
      </c>
      <c r="G95" s="49">
        <f>AVERAGE('26.07 GAYAZA-KALERWE-24h'!G95,'27.07 GAYAZA-KALERWE-24h'!G95)</f>
        <v>0</v>
      </c>
      <c r="H95" s="49">
        <f>AVERAGE('26.07 GAYAZA-KALERWE-24h'!H95,'27.07 GAYAZA-KALERWE-24h'!H95)</f>
        <v>0.5</v>
      </c>
      <c r="I95" s="49">
        <f>AVERAGE('26.07 GAYAZA-KALERWE-24h'!I95,'27.07 GAYAZA-KALERWE-24h'!I95)</f>
        <v>1.5</v>
      </c>
      <c r="J95" s="49">
        <f>AVERAGE('26.07 GAYAZA-KALERWE-24h'!J95,'27.07 GAYAZA-KALERWE-24h'!J95)</f>
        <v>2.5</v>
      </c>
      <c r="K95" s="49">
        <f>AVERAGE('26.07 GAYAZA-KALERWE-24h'!K95,'27.07 GAYAZA-KALERWE-24h'!K95)</f>
        <v>0</v>
      </c>
      <c r="L95" s="49">
        <f>AVERAGE('26.07 GAYAZA-KALERWE-24h'!L95,'27.07 GAYAZA-KALERWE-24h'!L95)</f>
        <v>0</v>
      </c>
      <c r="M95" s="49">
        <f>AVERAGE('26.07 GAYAZA-KALERWE-24h'!M95,'27.07 GAYAZA-KALERWE-24h'!M95)</f>
        <v>52.5</v>
      </c>
      <c r="N95" s="49">
        <f>AVERAGE('26.07 GAYAZA-KALERWE-24h'!N95,'27.07 GAYAZA-KALERWE-24h'!N95)</f>
        <v>0</v>
      </c>
      <c r="O95" s="15">
        <f t="shared" si="35"/>
        <v>19</v>
      </c>
      <c r="P95" s="15">
        <f t="shared" si="36"/>
        <v>71.5</v>
      </c>
      <c r="R95" s="8"/>
      <c r="T95"/>
    </row>
    <row r="96" spans="2:20" ht="23.1" customHeight="1" x14ac:dyDescent="0.25">
      <c r="B96" s="25" t="s">
        <v>136</v>
      </c>
      <c r="C96" s="49">
        <f>AVERAGE('26.07 GAYAZA-KALERWE-24h'!C96,'27.07 GAYAZA-KALERWE-24h'!C96)</f>
        <v>14.5</v>
      </c>
      <c r="D96" s="49">
        <f>AVERAGE('26.07 GAYAZA-KALERWE-24h'!D96,'27.07 GAYAZA-KALERWE-24h'!D96)</f>
        <v>1</v>
      </c>
      <c r="E96" s="49">
        <f>AVERAGE('26.07 GAYAZA-KALERWE-24h'!E96,'27.07 GAYAZA-KALERWE-24h'!E96)</f>
        <v>1</v>
      </c>
      <c r="F96" s="49">
        <f>AVERAGE('26.07 GAYAZA-KALERWE-24h'!F96,'27.07 GAYAZA-KALERWE-24h'!F96)</f>
        <v>7.5</v>
      </c>
      <c r="G96" s="49">
        <f>AVERAGE('26.07 GAYAZA-KALERWE-24h'!G96,'27.07 GAYAZA-KALERWE-24h'!G96)</f>
        <v>0</v>
      </c>
      <c r="H96" s="49">
        <f>AVERAGE('26.07 GAYAZA-KALERWE-24h'!H96,'27.07 GAYAZA-KALERWE-24h'!H96)</f>
        <v>0</v>
      </c>
      <c r="I96" s="49">
        <f>AVERAGE('26.07 GAYAZA-KALERWE-24h'!I96,'27.07 GAYAZA-KALERWE-24h'!I96)</f>
        <v>35</v>
      </c>
      <c r="J96" s="49">
        <f>AVERAGE('26.07 GAYAZA-KALERWE-24h'!J96,'27.07 GAYAZA-KALERWE-24h'!J96)</f>
        <v>2.5</v>
      </c>
      <c r="K96" s="49">
        <f>AVERAGE('26.07 GAYAZA-KALERWE-24h'!K96,'27.07 GAYAZA-KALERWE-24h'!K96)</f>
        <v>1</v>
      </c>
      <c r="L96" s="49">
        <f>AVERAGE('26.07 GAYAZA-KALERWE-24h'!L96,'27.07 GAYAZA-KALERWE-24h'!L96)</f>
        <v>0</v>
      </c>
      <c r="M96" s="49">
        <f>AVERAGE('26.07 GAYAZA-KALERWE-24h'!M96,'27.07 GAYAZA-KALERWE-24h'!M96)</f>
        <v>80</v>
      </c>
      <c r="N96" s="49">
        <f>AVERAGE('26.07 GAYAZA-KALERWE-24h'!N96,'27.07 GAYAZA-KALERWE-24h'!N96)</f>
        <v>0</v>
      </c>
      <c r="O96" s="15">
        <f t="shared" si="35"/>
        <v>62.5</v>
      </c>
      <c r="P96" s="15">
        <f t="shared" si="36"/>
        <v>142.5</v>
      </c>
      <c r="R96" s="8"/>
      <c r="T96"/>
    </row>
    <row r="97" spans="2:20" ht="23.1" customHeight="1" x14ac:dyDescent="0.25">
      <c r="B97" s="23" t="s">
        <v>137</v>
      </c>
      <c r="C97" s="49">
        <f>AVERAGE('26.07 GAYAZA-KALERWE-24h'!C97,'27.07 GAYAZA-KALERWE-24h'!C97)</f>
        <v>10.5</v>
      </c>
      <c r="D97" s="49">
        <f>AVERAGE('26.07 GAYAZA-KALERWE-24h'!D97,'27.07 GAYAZA-KALERWE-24h'!D97)</f>
        <v>1.5</v>
      </c>
      <c r="E97" s="49">
        <f>AVERAGE('26.07 GAYAZA-KALERWE-24h'!E97,'27.07 GAYAZA-KALERWE-24h'!E97)</f>
        <v>4</v>
      </c>
      <c r="F97" s="49">
        <f>AVERAGE('26.07 GAYAZA-KALERWE-24h'!F97,'27.07 GAYAZA-KALERWE-24h'!F97)</f>
        <v>10</v>
      </c>
      <c r="G97" s="49">
        <f>AVERAGE('26.07 GAYAZA-KALERWE-24h'!G97,'27.07 GAYAZA-KALERWE-24h'!G97)</f>
        <v>0</v>
      </c>
      <c r="H97" s="49">
        <f>AVERAGE('26.07 GAYAZA-KALERWE-24h'!H97,'27.07 GAYAZA-KALERWE-24h'!H97)</f>
        <v>0</v>
      </c>
      <c r="I97" s="49">
        <f>AVERAGE('26.07 GAYAZA-KALERWE-24h'!I97,'27.07 GAYAZA-KALERWE-24h'!I97)</f>
        <v>4</v>
      </c>
      <c r="J97" s="49">
        <f>AVERAGE('26.07 GAYAZA-KALERWE-24h'!J97,'27.07 GAYAZA-KALERWE-24h'!J97)</f>
        <v>3</v>
      </c>
      <c r="K97" s="49">
        <f>AVERAGE('26.07 GAYAZA-KALERWE-24h'!K97,'27.07 GAYAZA-KALERWE-24h'!K97)</f>
        <v>1</v>
      </c>
      <c r="L97" s="49">
        <f>AVERAGE('26.07 GAYAZA-KALERWE-24h'!L97,'27.07 GAYAZA-KALERWE-24h'!L97)</f>
        <v>0.5</v>
      </c>
      <c r="M97" s="49">
        <f>AVERAGE('26.07 GAYAZA-KALERWE-24h'!M97,'27.07 GAYAZA-KALERWE-24h'!M97)</f>
        <v>47.5</v>
      </c>
      <c r="N97" s="49">
        <f>AVERAGE('26.07 GAYAZA-KALERWE-24h'!N97,'27.07 GAYAZA-KALERWE-24h'!N97)</f>
        <v>0</v>
      </c>
      <c r="O97" s="15">
        <f t="shared" si="35"/>
        <v>34.5</v>
      </c>
      <c r="P97" s="15">
        <f t="shared" si="36"/>
        <v>82</v>
      </c>
      <c r="R97" s="8"/>
      <c r="T97"/>
    </row>
    <row r="98" spans="2:20" ht="23.1" customHeight="1" x14ac:dyDescent="0.25">
      <c r="B98" s="24" t="s">
        <v>138</v>
      </c>
      <c r="C98" s="49">
        <f>AVERAGE('26.07 GAYAZA-KALERWE-24h'!C98,'27.07 GAYAZA-KALERWE-24h'!C98)</f>
        <v>6</v>
      </c>
      <c r="D98" s="49">
        <f>AVERAGE('26.07 GAYAZA-KALERWE-24h'!D98,'27.07 GAYAZA-KALERWE-24h'!D98)</f>
        <v>1.5</v>
      </c>
      <c r="E98" s="49">
        <f>AVERAGE('26.07 GAYAZA-KALERWE-24h'!E98,'27.07 GAYAZA-KALERWE-24h'!E98)</f>
        <v>1</v>
      </c>
      <c r="F98" s="49">
        <f>AVERAGE('26.07 GAYAZA-KALERWE-24h'!F98,'27.07 GAYAZA-KALERWE-24h'!F98)</f>
        <v>10.5</v>
      </c>
      <c r="G98" s="49">
        <f>AVERAGE('26.07 GAYAZA-KALERWE-24h'!G98,'27.07 GAYAZA-KALERWE-24h'!G98)</f>
        <v>0</v>
      </c>
      <c r="H98" s="49">
        <f>AVERAGE('26.07 GAYAZA-KALERWE-24h'!H98,'27.07 GAYAZA-KALERWE-24h'!H98)</f>
        <v>0</v>
      </c>
      <c r="I98" s="49">
        <f>AVERAGE('26.07 GAYAZA-KALERWE-24h'!I98,'27.07 GAYAZA-KALERWE-24h'!I98)</f>
        <v>3</v>
      </c>
      <c r="J98" s="49">
        <f>AVERAGE('26.07 GAYAZA-KALERWE-24h'!J98,'27.07 GAYAZA-KALERWE-24h'!J98)</f>
        <v>2.5</v>
      </c>
      <c r="K98" s="49">
        <f>AVERAGE('26.07 GAYAZA-KALERWE-24h'!K98,'27.07 GAYAZA-KALERWE-24h'!K98)</f>
        <v>1</v>
      </c>
      <c r="L98" s="49">
        <f>AVERAGE('26.07 GAYAZA-KALERWE-24h'!L98,'27.07 GAYAZA-KALERWE-24h'!L98)</f>
        <v>1.5</v>
      </c>
      <c r="M98" s="49">
        <f>AVERAGE('26.07 GAYAZA-KALERWE-24h'!M98,'27.07 GAYAZA-KALERWE-24h'!M98)</f>
        <v>91</v>
      </c>
      <c r="N98" s="49">
        <f>AVERAGE('26.07 GAYAZA-KALERWE-24h'!N98,'27.07 GAYAZA-KALERWE-24h'!N98)</f>
        <v>0</v>
      </c>
      <c r="O98" s="15">
        <f t="shared" si="35"/>
        <v>27</v>
      </c>
      <c r="P98" s="15">
        <f t="shared" si="36"/>
        <v>118</v>
      </c>
      <c r="R98" s="8"/>
      <c r="T98"/>
    </row>
    <row r="99" spans="2:20" ht="23.1" customHeight="1" x14ac:dyDescent="0.25">
      <c r="B99" s="23" t="s">
        <v>139</v>
      </c>
      <c r="C99" s="49">
        <f>AVERAGE('26.07 GAYAZA-KALERWE-24h'!C99,'27.07 GAYAZA-KALERWE-24h'!C99)</f>
        <v>9.5</v>
      </c>
      <c r="D99" s="49">
        <f>AVERAGE('26.07 GAYAZA-KALERWE-24h'!D99,'27.07 GAYAZA-KALERWE-24h'!D99)</f>
        <v>1</v>
      </c>
      <c r="E99" s="49">
        <f>AVERAGE('26.07 GAYAZA-KALERWE-24h'!E99,'27.07 GAYAZA-KALERWE-24h'!E99)</f>
        <v>0.5</v>
      </c>
      <c r="F99" s="49">
        <f>AVERAGE('26.07 GAYAZA-KALERWE-24h'!F99,'27.07 GAYAZA-KALERWE-24h'!F99)</f>
        <v>15</v>
      </c>
      <c r="G99" s="49">
        <f>AVERAGE('26.07 GAYAZA-KALERWE-24h'!G99,'27.07 GAYAZA-KALERWE-24h'!G99)</f>
        <v>0.5</v>
      </c>
      <c r="H99" s="49">
        <f>AVERAGE('26.07 GAYAZA-KALERWE-24h'!H99,'27.07 GAYAZA-KALERWE-24h'!H99)</f>
        <v>0</v>
      </c>
      <c r="I99" s="49">
        <f>AVERAGE('26.07 GAYAZA-KALERWE-24h'!I99,'27.07 GAYAZA-KALERWE-24h'!I99)</f>
        <v>0</v>
      </c>
      <c r="J99" s="49">
        <f>AVERAGE('26.07 GAYAZA-KALERWE-24h'!J99,'27.07 GAYAZA-KALERWE-24h'!J99)</f>
        <v>2</v>
      </c>
      <c r="K99" s="49">
        <f>AVERAGE('26.07 GAYAZA-KALERWE-24h'!K99,'27.07 GAYAZA-KALERWE-24h'!K99)</f>
        <v>0.5</v>
      </c>
      <c r="L99" s="49">
        <f>AVERAGE('26.07 GAYAZA-KALERWE-24h'!L99,'27.07 GAYAZA-KALERWE-24h'!L99)</f>
        <v>1</v>
      </c>
      <c r="M99" s="49">
        <f>AVERAGE('26.07 GAYAZA-KALERWE-24h'!M99,'27.07 GAYAZA-KALERWE-24h'!M99)</f>
        <v>83.5</v>
      </c>
      <c r="N99" s="49">
        <f>AVERAGE('26.07 GAYAZA-KALERWE-24h'!N99,'27.07 GAYAZA-KALERWE-24h'!N99)</f>
        <v>0</v>
      </c>
      <c r="O99" s="15">
        <f t="shared" si="35"/>
        <v>30</v>
      </c>
      <c r="P99" s="15">
        <f t="shared" si="36"/>
        <v>113.5</v>
      </c>
      <c r="R99" s="8"/>
      <c r="T99"/>
    </row>
    <row r="100" spans="2:20" ht="23.1" customHeight="1" x14ac:dyDescent="0.25">
      <c r="B100" s="25" t="s">
        <v>140</v>
      </c>
      <c r="C100" s="49">
        <f>AVERAGE('26.07 GAYAZA-KALERWE-24h'!C100,'27.07 GAYAZA-KALERWE-24h'!C100)</f>
        <v>12.5</v>
      </c>
      <c r="D100" s="49">
        <f>AVERAGE('26.07 GAYAZA-KALERWE-24h'!D100,'27.07 GAYAZA-KALERWE-24h'!D100)</f>
        <v>1.5</v>
      </c>
      <c r="E100" s="49">
        <f>AVERAGE('26.07 GAYAZA-KALERWE-24h'!E100,'27.07 GAYAZA-KALERWE-24h'!E100)</f>
        <v>2.5</v>
      </c>
      <c r="F100" s="49">
        <f>AVERAGE('26.07 GAYAZA-KALERWE-24h'!F100,'27.07 GAYAZA-KALERWE-24h'!F100)</f>
        <v>22.5</v>
      </c>
      <c r="G100" s="49">
        <f>AVERAGE('26.07 GAYAZA-KALERWE-24h'!G100,'27.07 GAYAZA-KALERWE-24h'!G100)</f>
        <v>0</v>
      </c>
      <c r="H100" s="49">
        <f>AVERAGE('26.07 GAYAZA-KALERWE-24h'!H100,'27.07 GAYAZA-KALERWE-24h'!H100)</f>
        <v>0</v>
      </c>
      <c r="I100" s="49">
        <f>AVERAGE('26.07 GAYAZA-KALERWE-24h'!I100,'27.07 GAYAZA-KALERWE-24h'!I100)</f>
        <v>3</v>
      </c>
      <c r="J100" s="49">
        <f>AVERAGE('26.07 GAYAZA-KALERWE-24h'!J100,'27.07 GAYAZA-KALERWE-24h'!J100)</f>
        <v>1.5</v>
      </c>
      <c r="K100" s="49">
        <f>AVERAGE('26.07 GAYAZA-KALERWE-24h'!K100,'27.07 GAYAZA-KALERWE-24h'!K100)</f>
        <v>1</v>
      </c>
      <c r="L100" s="49">
        <f>AVERAGE('26.07 GAYAZA-KALERWE-24h'!L100,'27.07 GAYAZA-KALERWE-24h'!L100)</f>
        <v>0</v>
      </c>
      <c r="M100" s="49">
        <f>AVERAGE('26.07 GAYAZA-KALERWE-24h'!M100,'27.07 GAYAZA-KALERWE-24h'!M100)</f>
        <v>103</v>
      </c>
      <c r="N100" s="49">
        <f>AVERAGE('26.07 GAYAZA-KALERWE-24h'!N100,'27.07 GAYAZA-KALERWE-24h'!N100)</f>
        <v>0</v>
      </c>
      <c r="O100" s="15">
        <f t="shared" si="35"/>
        <v>44.5</v>
      </c>
      <c r="P100" s="15">
        <f t="shared" si="36"/>
        <v>147.5</v>
      </c>
      <c r="R100" s="8"/>
      <c r="T100"/>
    </row>
    <row r="101" spans="2:20" ht="23.1" customHeight="1" x14ac:dyDescent="0.25">
      <c r="B101" s="23" t="s">
        <v>141</v>
      </c>
      <c r="C101" s="49">
        <f>AVERAGE('26.07 GAYAZA-KALERWE-24h'!C101,'27.07 GAYAZA-KALERWE-24h'!C101)</f>
        <v>18</v>
      </c>
      <c r="D101" s="49">
        <f>AVERAGE('26.07 GAYAZA-KALERWE-24h'!D101,'27.07 GAYAZA-KALERWE-24h'!D101)</f>
        <v>6</v>
      </c>
      <c r="E101" s="49">
        <f>AVERAGE('26.07 GAYAZA-KALERWE-24h'!E101,'27.07 GAYAZA-KALERWE-24h'!E101)</f>
        <v>1.5</v>
      </c>
      <c r="F101" s="49">
        <f>AVERAGE('26.07 GAYAZA-KALERWE-24h'!F101,'27.07 GAYAZA-KALERWE-24h'!F101)</f>
        <v>26.5</v>
      </c>
      <c r="G101" s="49">
        <f>AVERAGE('26.07 GAYAZA-KALERWE-24h'!G101,'27.07 GAYAZA-KALERWE-24h'!G101)</f>
        <v>0</v>
      </c>
      <c r="H101" s="49">
        <f>AVERAGE('26.07 GAYAZA-KALERWE-24h'!H101,'27.07 GAYAZA-KALERWE-24h'!H101)</f>
        <v>0</v>
      </c>
      <c r="I101" s="49">
        <f>AVERAGE('26.07 GAYAZA-KALERWE-24h'!I101,'27.07 GAYAZA-KALERWE-24h'!I101)</f>
        <v>1.5</v>
      </c>
      <c r="J101" s="49">
        <f>AVERAGE('26.07 GAYAZA-KALERWE-24h'!J101,'27.07 GAYAZA-KALERWE-24h'!J101)</f>
        <v>1.5</v>
      </c>
      <c r="K101" s="49">
        <f>AVERAGE('26.07 GAYAZA-KALERWE-24h'!K101,'27.07 GAYAZA-KALERWE-24h'!K101)</f>
        <v>2</v>
      </c>
      <c r="L101" s="49">
        <f>AVERAGE('26.07 GAYAZA-KALERWE-24h'!L101,'27.07 GAYAZA-KALERWE-24h'!L101)</f>
        <v>0</v>
      </c>
      <c r="M101" s="49">
        <f>AVERAGE('26.07 GAYAZA-KALERWE-24h'!M101,'27.07 GAYAZA-KALERWE-24h'!M101)</f>
        <v>110</v>
      </c>
      <c r="N101" s="49">
        <f>AVERAGE('26.07 GAYAZA-KALERWE-24h'!N101,'27.07 GAYAZA-KALERWE-24h'!N101)</f>
        <v>0</v>
      </c>
      <c r="O101" s="15">
        <f t="shared" si="35"/>
        <v>57</v>
      </c>
      <c r="P101" s="15">
        <f t="shared" si="36"/>
        <v>167</v>
      </c>
      <c r="R101" s="8"/>
      <c r="T101"/>
    </row>
    <row r="102" spans="2:20" ht="23.1" customHeight="1" x14ac:dyDescent="0.25">
      <c r="B102" s="24" t="s">
        <v>142</v>
      </c>
      <c r="C102" s="49">
        <f>AVERAGE('26.07 GAYAZA-KALERWE-24h'!C102,'27.07 GAYAZA-KALERWE-24h'!C102)</f>
        <v>22.5</v>
      </c>
      <c r="D102" s="49">
        <f>AVERAGE('26.07 GAYAZA-KALERWE-24h'!D102,'27.07 GAYAZA-KALERWE-24h'!D102)</f>
        <v>6.5</v>
      </c>
      <c r="E102" s="49">
        <f>AVERAGE('26.07 GAYAZA-KALERWE-24h'!E102,'27.07 GAYAZA-KALERWE-24h'!E102)</f>
        <v>7</v>
      </c>
      <c r="F102" s="49">
        <f>AVERAGE('26.07 GAYAZA-KALERWE-24h'!F102,'27.07 GAYAZA-KALERWE-24h'!F102)</f>
        <v>40.5</v>
      </c>
      <c r="G102" s="49">
        <f>AVERAGE('26.07 GAYAZA-KALERWE-24h'!G102,'27.07 GAYAZA-KALERWE-24h'!G102)</f>
        <v>0.5</v>
      </c>
      <c r="H102" s="49">
        <f>AVERAGE('26.07 GAYAZA-KALERWE-24h'!H102,'27.07 GAYAZA-KALERWE-24h'!H102)</f>
        <v>0</v>
      </c>
      <c r="I102" s="49">
        <f>AVERAGE('26.07 GAYAZA-KALERWE-24h'!I102,'27.07 GAYAZA-KALERWE-24h'!I102)</f>
        <v>4.5</v>
      </c>
      <c r="J102" s="49">
        <f>AVERAGE('26.07 GAYAZA-KALERWE-24h'!J102,'27.07 GAYAZA-KALERWE-24h'!J102)</f>
        <v>3</v>
      </c>
      <c r="K102" s="49">
        <f>AVERAGE('26.07 GAYAZA-KALERWE-24h'!K102,'27.07 GAYAZA-KALERWE-24h'!K102)</f>
        <v>1</v>
      </c>
      <c r="L102" s="49">
        <f>AVERAGE('26.07 GAYAZA-KALERWE-24h'!L102,'27.07 GAYAZA-KALERWE-24h'!L102)</f>
        <v>0</v>
      </c>
      <c r="M102" s="49">
        <f>AVERAGE('26.07 GAYAZA-KALERWE-24h'!M102,'27.07 GAYAZA-KALERWE-24h'!M102)</f>
        <v>152.5</v>
      </c>
      <c r="N102" s="49">
        <f>AVERAGE('26.07 GAYAZA-KALERWE-24h'!N102,'27.07 GAYAZA-KALERWE-24h'!N102)</f>
        <v>0</v>
      </c>
      <c r="O102" s="15">
        <f t="shared" si="35"/>
        <v>85.5</v>
      </c>
      <c r="P102" s="15">
        <f t="shared" si="36"/>
        <v>238</v>
      </c>
      <c r="R102" s="8"/>
      <c r="T102"/>
    </row>
    <row r="103" spans="2:20" ht="23.1" customHeight="1" x14ac:dyDescent="0.25">
      <c r="B103" s="23" t="s">
        <v>143</v>
      </c>
      <c r="C103" s="49">
        <f>AVERAGE('26.07 GAYAZA-KALERWE-24h'!C103,'27.07 GAYAZA-KALERWE-24h'!C103)</f>
        <v>24.5</v>
      </c>
      <c r="D103" s="49">
        <f>AVERAGE('26.07 GAYAZA-KALERWE-24h'!D103,'27.07 GAYAZA-KALERWE-24h'!D103)</f>
        <v>3</v>
      </c>
      <c r="E103" s="49">
        <f>AVERAGE('26.07 GAYAZA-KALERWE-24h'!E103,'27.07 GAYAZA-KALERWE-24h'!E103)</f>
        <v>1.5</v>
      </c>
      <c r="F103" s="49">
        <f>AVERAGE('26.07 GAYAZA-KALERWE-24h'!F103,'27.07 GAYAZA-KALERWE-24h'!F103)</f>
        <v>49</v>
      </c>
      <c r="G103" s="49">
        <f>AVERAGE('26.07 GAYAZA-KALERWE-24h'!G103,'27.07 GAYAZA-KALERWE-24h'!G103)</f>
        <v>0.5</v>
      </c>
      <c r="H103" s="49">
        <f>AVERAGE('26.07 GAYAZA-KALERWE-24h'!H103,'27.07 GAYAZA-KALERWE-24h'!H103)</f>
        <v>0</v>
      </c>
      <c r="I103" s="49">
        <f>AVERAGE('26.07 GAYAZA-KALERWE-24h'!I103,'27.07 GAYAZA-KALERWE-24h'!I103)</f>
        <v>2.5</v>
      </c>
      <c r="J103" s="49">
        <f>AVERAGE('26.07 GAYAZA-KALERWE-24h'!J103,'27.07 GAYAZA-KALERWE-24h'!J103)</f>
        <v>5</v>
      </c>
      <c r="K103" s="49">
        <f>AVERAGE('26.07 GAYAZA-KALERWE-24h'!K103,'27.07 GAYAZA-KALERWE-24h'!K103)</f>
        <v>0.5</v>
      </c>
      <c r="L103" s="49">
        <f>AVERAGE('26.07 GAYAZA-KALERWE-24h'!L103,'27.07 GAYAZA-KALERWE-24h'!L103)</f>
        <v>0.5</v>
      </c>
      <c r="M103" s="49">
        <f>AVERAGE('26.07 GAYAZA-KALERWE-24h'!M103,'27.07 GAYAZA-KALERWE-24h'!M103)</f>
        <v>178</v>
      </c>
      <c r="N103" s="49">
        <f>AVERAGE('26.07 GAYAZA-KALERWE-24h'!N103,'27.07 GAYAZA-KALERWE-24h'!N103)</f>
        <v>0</v>
      </c>
      <c r="O103" s="15">
        <f t="shared" si="35"/>
        <v>87</v>
      </c>
      <c r="P103" s="15">
        <f t="shared" si="36"/>
        <v>265</v>
      </c>
      <c r="R103" s="8"/>
      <c r="T103"/>
    </row>
    <row r="104" spans="2:20" ht="23.1" customHeight="1" x14ac:dyDescent="0.25">
      <c r="B104" s="25" t="s">
        <v>144</v>
      </c>
      <c r="C104" s="49">
        <f>AVERAGE('26.07 GAYAZA-KALERWE-24h'!C104,'27.07 GAYAZA-KALERWE-24h'!C104)</f>
        <v>22</v>
      </c>
      <c r="D104" s="49">
        <f>AVERAGE('26.07 GAYAZA-KALERWE-24h'!D104,'27.07 GAYAZA-KALERWE-24h'!D104)</f>
        <v>6.5</v>
      </c>
      <c r="E104" s="49">
        <f>AVERAGE('26.07 GAYAZA-KALERWE-24h'!E104,'27.07 GAYAZA-KALERWE-24h'!E104)</f>
        <v>4.5</v>
      </c>
      <c r="F104" s="49">
        <f>AVERAGE('26.07 GAYAZA-KALERWE-24h'!F104,'27.07 GAYAZA-KALERWE-24h'!F104)</f>
        <v>46</v>
      </c>
      <c r="G104" s="49">
        <f>AVERAGE('26.07 GAYAZA-KALERWE-24h'!G104,'27.07 GAYAZA-KALERWE-24h'!G104)</f>
        <v>0</v>
      </c>
      <c r="H104" s="49">
        <f>AVERAGE('26.07 GAYAZA-KALERWE-24h'!H104,'27.07 GAYAZA-KALERWE-24h'!H104)</f>
        <v>0</v>
      </c>
      <c r="I104" s="49">
        <f>AVERAGE('26.07 GAYAZA-KALERWE-24h'!I104,'27.07 GAYAZA-KALERWE-24h'!I104)</f>
        <v>5.5</v>
      </c>
      <c r="J104" s="49">
        <f>AVERAGE('26.07 GAYAZA-KALERWE-24h'!J104,'27.07 GAYAZA-KALERWE-24h'!J104)</f>
        <v>1.5</v>
      </c>
      <c r="K104" s="49">
        <f>AVERAGE('26.07 GAYAZA-KALERWE-24h'!K104,'27.07 GAYAZA-KALERWE-24h'!K104)</f>
        <v>2</v>
      </c>
      <c r="L104" s="49">
        <f>AVERAGE('26.07 GAYAZA-KALERWE-24h'!L104,'27.07 GAYAZA-KALERWE-24h'!L104)</f>
        <v>0</v>
      </c>
      <c r="M104" s="49">
        <f>AVERAGE('26.07 GAYAZA-KALERWE-24h'!M104,'27.07 GAYAZA-KALERWE-24h'!M104)</f>
        <v>189</v>
      </c>
      <c r="N104" s="49">
        <f>AVERAGE('26.07 GAYAZA-KALERWE-24h'!N104,'27.07 GAYAZA-KALERWE-24h'!N104)</f>
        <v>0</v>
      </c>
      <c r="O104" s="15">
        <f t="shared" si="35"/>
        <v>88</v>
      </c>
      <c r="P104" s="15">
        <f t="shared" si="36"/>
        <v>277</v>
      </c>
      <c r="R104" s="8"/>
      <c r="T104"/>
    </row>
    <row r="105" spans="2:20" ht="23.1" customHeight="1" x14ac:dyDescent="0.25">
      <c r="B105" s="23" t="s">
        <v>145</v>
      </c>
      <c r="C105" s="49">
        <f>AVERAGE('26.07 GAYAZA-KALERWE-24h'!C105,'27.07 GAYAZA-KALERWE-24h'!C105)</f>
        <v>27</v>
      </c>
      <c r="D105" s="49">
        <f>AVERAGE('26.07 GAYAZA-KALERWE-24h'!D105,'27.07 GAYAZA-KALERWE-24h'!D105)</f>
        <v>4</v>
      </c>
      <c r="E105" s="49">
        <f>AVERAGE('26.07 GAYAZA-KALERWE-24h'!E105,'27.07 GAYAZA-KALERWE-24h'!E105)</f>
        <v>3</v>
      </c>
      <c r="F105" s="49">
        <f>AVERAGE('26.07 GAYAZA-KALERWE-24h'!F105,'27.07 GAYAZA-KALERWE-24h'!F105)</f>
        <v>40</v>
      </c>
      <c r="G105" s="49">
        <f>AVERAGE('26.07 GAYAZA-KALERWE-24h'!G105,'27.07 GAYAZA-KALERWE-24h'!G105)</f>
        <v>0.5</v>
      </c>
      <c r="H105" s="49">
        <f>AVERAGE('26.07 GAYAZA-KALERWE-24h'!H105,'27.07 GAYAZA-KALERWE-24h'!H105)</f>
        <v>0.5</v>
      </c>
      <c r="I105" s="49">
        <f>AVERAGE('26.07 GAYAZA-KALERWE-24h'!I105,'27.07 GAYAZA-KALERWE-24h'!I105)</f>
        <v>7</v>
      </c>
      <c r="J105" s="49">
        <f>AVERAGE('26.07 GAYAZA-KALERWE-24h'!J105,'27.07 GAYAZA-KALERWE-24h'!J105)</f>
        <v>3</v>
      </c>
      <c r="K105" s="49">
        <f>AVERAGE('26.07 GAYAZA-KALERWE-24h'!K105,'27.07 GAYAZA-KALERWE-24h'!K105)</f>
        <v>0</v>
      </c>
      <c r="L105" s="49">
        <f>AVERAGE('26.07 GAYAZA-KALERWE-24h'!L105,'27.07 GAYAZA-KALERWE-24h'!L105)</f>
        <v>0</v>
      </c>
      <c r="M105" s="49">
        <f>AVERAGE('26.07 GAYAZA-KALERWE-24h'!M105,'27.07 GAYAZA-KALERWE-24h'!M105)</f>
        <v>252</v>
      </c>
      <c r="N105" s="49">
        <f>AVERAGE('26.07 GAYAZA-KALERWE-24h'!N105,'27.07 GAYAZA-KALERWE-24h'!N105)</f>
        <v>0</v>
      </c>
      <c r="O105" s="15">
        <f t="shared" si="35"/>
        <v>85</v>
      </c>
      <c r="P105" s="15">
        <f t="shared" si="36"/>
        <v>337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2760.7142857142867</v>
      </c>
      <c r="D106" s="16">
        <f t="shared" si="37"/>
        <v>368.14285714285711</v>
      </c>
      <c r="E106" s="16">
        <f t="shared" si="37"/>
        <v>368</v>
      </c>
      <c r="F106" s="16">
        <f t="shared" si="37"/>
        <v>2434.4285714285716</v>
      </c>
      <c r="G106" s="16">
        <f t="shared" si="37"/>
        <v>47.714285714285694</v>
      </c>
      <c r="H106" s="16">
        <f t="shared" si="37"/>
        <v>29.428571428571423</v>
      </c>
      <c r="I106" s="16">
        <f t="shared" si="37"/>
        <v>378.57142857142861</v>
      </c>
      <c r="J106" s="16">
        <f t="shared" si="37"/>
        <v>243.28571428571433</v>
      </c>
      <c r="K106" s="16">
        <f t="shared" si="37"/>
        <v>97.999999999999986</v>
      </c>
      <c r="L106" s="16">
        <f t="shared" si="37"/>
        <v>102.71428571428567</v>
      </c>
      <c r="M106" s="16">
        <f t="shared" si="37"/>
        <v>8467.8571428571431</v>
      </c>
      <c r="N106" s="16">
        <f t="shared" si="37"/>
        <v>0.14285714285714285</v>
      </c>
      <c r="O106" s="16">
        <f t="shared" si="37"/>
        <v>6831.1428571428578</v>
      </c>
      <c r="P106" s="16">
        <f t="shared" si="37"/>
        <v>15299.000000000002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0.18045063636278752</v>
      </c>
      <c r="D107" s="43">
        <f t="shared" si="38"/>
        <v>2.4063197407860452E-2</v>
      </c>
      <c r="E107" s="43">
        <f t="shared" si="38"/>
        <v>2.4053859729394077E-2</v>
      </c>
      <c r="F107" s="43">
        <f t="shared" si="38"/>
        <v>0.15912337874557628</v>
      </c>
      <c r="G107" s="43">
        <f t="shared" si="38"/>
        <v>3.1187846077708145E-3</v>
      </c>
      <c r="H107" s="43">
        <f t="shared" si="38"/>
        <v>1.9235617640742152E-3</v>
      </c>
      <c r="I107" s="43">
        <f t="shared" si="38"/>
        <v>2.4744847935906176E-2</v>
      </c>
      <c r="J107" s="43">
        <f t="shared" si="38"/>
        <v>1.5902066428244613E-2</v>
      </c>
      <c r="K107" s="43">
        <f t="shared" si="38"/>
        <v>6.4056474279364645E-3</v>
      </c>
      <c r="L107" s="43">
        <f t="shared" si="38"/>
        <v>6.7137908173269924E-3</v>
      </c>
      <c r="M107" s="43">
        <f t="shared" si="38"/>
        <v>0.55349089109465599</v>
      </c>
      <c r="N107" s="43">
        <f t="shared" si="38"/>
        <v>9.3376784663796868E-6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0.40413651762934472</v>
      </c>
      <c r="D108" s="44">
        <f t="shared" ref="D108:N108" si="39">D106/$O$106</f>
        <v>5.389183989292734E-2</v>
      </c>
      <c r="E108" s="44">
        <f t="shared" si="39"/>
        <v>5.3870927265883134E-2</v>
      </c>
      <c r="F108" s="44">
        <f t="shared" si="39"/>
        <v>0.35637207746037058</v>
      </c>
      <c r="G108" s="44">
        <f t="shared" si="39"/>
        <v>6.9848174327659003E-3</v>
      </c>
      <c r="H108" s="44">
        <f t="shared" si="39"/>
        <v>4.3080011711071134E-3</v>
      </c>
      <c r="I108" s="44">
        <f t="shared" si="39"/>
        <v>5.5418461667154625E-2</v>
      </c>
      <c r="J108" s="44">
        <f t="shared" si="39"/>
        <v>3.5614203856288433E-2</v>
      </c>
      <c r="K108" s="44">
        <f t="shared" si="39"/>
        <v>1.4346062152327572E-2</v>
      </c>
      <c r="L108" s="44">
        <f t="shared" si="39"/>
        <v>1.5036178844786474E-2</v>
      </c>
      <c r="M108" s="44"/>
      <c r="N108" s="44">
        <f t="shared" si="39"/>
        <v>2.091262704420929E-5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E56" zoomScale="60" workbookViewId="0">
      <selection activeCell="AE55" sqref="AE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28" width="10.7109375" customWidth="1"/>
    <col min="29" max="29" width="11.85546875" bestFit="1" customWidth="1"/>
    <col min="30" max="30" width="10.7109375" customWidth="1"/>
    <col min="31" max="31" width="11.85546875" bestFit="1" customWidth="1"/>
    <col min="32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'28.07 GAYAZA-KALERWE'!C3:G3</f>
        <v>MCC - C1 - STN26 - Gayaza Road Kanyanya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169</v>
      </c>
      <c r="E5" s="68"/>
      <c r="F5" s="41" t="s">
        <v>1</v>
      </c>
      <c r="G5" s="65" t="str">
        <f>'Avg Week GAYAZA-KALERWE'!G5:H5</f>
        <v>DELTA KYEBANDO</v>
      </c>
      <c r="H5" s="66"/>
      <c r="I5" s="14"/>
      <c r="J5" s="2" t="s">
        <v>5</v>
      </c>
      <c r="K5" s="65" t="str">
        <f>'Avg Week GAYAZA-KALERWE'!K5:L5</f>
        <v>MORREEN AND BABIRYE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5" t="str">
        <f>'Avg Week GAYAZA-KALERWE'!K6:L6</f>
        <v>LAWRENCE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KALERWE-GAYAZA'!C10+'Avg Week GAYAZA-KALERWE'!C10</f>
        <v>87.571428571428569</v>
      </c>
      <c r="D10" s="49">
        <f>'Avg Week KALERWE-GAYAZA'!D10+'Avg Week GAYAZA-KALERWE'!D10</f>
        <v>20.857142857142858</v>
      </c>
      <c r="E10" s="49">
        <f>'Avg Week KALERWE-GAYAZA'!E10+'Avg Week GAYAZA-KALERWE'!E10</f>
        <v>14.857142857142858</v>
      </c>
      <c r="F10" s="49">
        <f>'Avg Week KALERWE-GAYAZA'!F10+'Avg Week GAYAZA-KALERWE'!F10</f>
        <v>87.714285714285722</v>
      </c>
      <c r="G10" s="49">
        <f>'Avg Week KALERWE-GAYAZA'!G10+'Avg Week GAYAZA-KALERWE'!G10</f>
        <v>4.8571428571428568</v>
      </c>
      <c r="H10" s="49">
        <f>'Avg Week KALERWE-GAYAZA'!H10+'Avg Week GAYAZA-KALERWE'!H10</f>
        <v>2.5714285714285716</v>
      </c>
      <c r="I10" s="49">
        <f>'Avg Week KALERWE-GAYAZA'!I10+'Avg Week GAYAZA-KALERWE'!I10</f>
        <v>10.714285714285715</v>
      </c>
      <c r="J10" s="49">
        <f>'Avg Week KALERWE-GAYAZA'!J10+'Avg Week GAYAZA-KALERWE'!J10</f>
        <v>5.4285714285714288</v>
      </c>
      <c r="K10" s="49">
        <f>'Avg Week KALERWE-GAYAZA'!K10+'Avg Week GAYAZA-KALERWE'!K10</f>
        <v>1.8571428571428572</v>
      </c>
      <c r="L10" s="49">
        <f>'Avg Week KALERWE-GAYAZA'!L10+'Avg Week GAYAZA-KALERWE'!L10</f>
        <v>2.2857142857142856</v>
      </c>
      <c r="M10" s="49">
        <f>'Avg Week KALERWE-GAYAZA'!M10+'Avg Week GAYAZA-KALERWE'!M10</f>
        <v>442.85714285714289</v>
      </c>
      <c r="N10" s="49">
        <f>'Avg Week KALERWE-GAYAZA'!N10+'Avg Week GAYAZA-KALERWE'!N10</f>
        <v>0</v>
      </c>
      <c r="O10" s="15">
        <f t="shared" ref="O10:O73" si="0">SUM(C10:L10,N10)</f>
        <v>238.71428571428572</v>
      </c>
      <c r="P10" s="15">
        <f t="shared" ref="P10:P73" si="1">SUM(C10:N10)</f>
        <v>681.57142857142867</v>
      </c>
      <c r="R10" s="1" t="s">
        <v>6</v>
      </c>
      <c r="S10" s="17">
        <f t="shared" ref="S10:AF10" si="2">SUM(C10:C13)</f>
        <v>349.85714285714289</v>
      </c>
      <c r="T10" s="17">
        <f t="shared" si="2"/>
        <v>83.571428571428569</v>
      </c>
      <c r="U10" s="17">
        <f t="shared" si="2"/>
        <v>57.428571428571423</v>
      </c>
      <c r="V10" s="17">
        <f t="shared" si="2"/>
        <v>364.85714285714289</v>
      </c>
      <c r="W10" s="17">
        <f t="shared" si="2"/>
        <v>17.857142857142858</v>
      </c>
      <c r="X10" s="17">
        <f t="shared" si="2"/>
        <v>7.1428571428571423</v>
      </c>
      <c r="Y10" s="17">
        <f t="shared" si="2"/>
        <v>38.428571428571431</v>
      </c>
      <c r="Z10" s="17">
        <f t="shared" si="2"/>
        <v>21</v>
      </c>
      <c r="AA10" s="17">
        <f t="shared" si="2"/>
        <v>6.4285714285714279</v>
      </c>
      <c r="AB10" s="17">
        <f t="shared" si="2"/>
        <v>63.285714285714285</v>
      </c>
      <c r="AC10" s="17">
        <f t="shared" si="2"/>
        <v>2002.4285714285716</v>
      </c>
      <c r="AD10" s="17">
        <f t="shared" si="2"/>
        <v>0</v>
      </c>
      <c r="AE10" s="31">
        <f t="shared" si="2"/>
        <v>1009.857142857143</v>
      </c>
      <c r="AF10" s="31">
        <f t="shared" si="2"/>
        <v>3012.2857142857147</v>
      </c>
    </row>
    <row r="11" spans="2:32" s="6" customFormat="1" ht="23.1" customHeight="1" x14ac:dyDescent="0.25">
      <c r="B11" s="23" t="s">
        <v>38</v>
      </c>
      <c r="C11" s="49">
        <f>'Avg Week KALERWE-GAYAZA'!C11+'Avg Week GAYAZA-KALERWE'!C11</f>
        <v>78.285714285714292</v>
      </c>
      <c r="D11" s="49">
        <f>'Avg Week KALERWE-GAYAZA'!D11+'Avg Week GAYAZA-KALERWE'!D11</f>
        <v>14.857142857142858</v>
      </c>
      <c r="E11" s="49">
        <f>'Avg Week KALERWE-GAYAZA'!E11+'Avg Week GAYAZA-KALERWE'!E11</f>
        <v>8.4285714285714288</v>
      </c>
      <c r="F11" s="49">
        <f>'Avg Week KALERWE-GAYAZA'!F11+'Avg Week GAYAZA-KALERWE'!F11</f>
        <v>88.714285714285722</v>
      </c>
      <c r="G11" s="49">
        <f>'Avg Week KALERWE-GAYAZA'!G11+'Avg Week GAYAZA-KALERWE'!G11</f>
        <v>4</v>
      </c>
      <c r="H11" s="49">
        <f>'Avg Week KALERWE-GAYAZA'!H11+'Avg Week GAYAZA-KALERWE'!H11</f>
        <v>1.4285714285714284</v>
      </c>
      <c r="I11" s="49">
        <f>'Avg Week KALERWE-GAYAZA'!I11+'Avg Week GAYAZA-KALERWE'!I11</f>
        <v>8.8571428571428577</v>
      </c>
      <c r="J11" s="49">
        <f>'Avg Week KALERWE-GAYAZA'!J11+'Avg Week GAYAZA-KALERWE'!J11</f>
        <v>4.5714285714285712</v>
      </c>
      <c r="K11" s="49">
        <f>'Avg Week KALERWE-GAYAZA'!K11+'Avg Week GAYAZA-KALERWE'!K11</f>
        <v>1.2857142857142856</v>
      </c>
      <c r="L11" s="49">
        <f>'Avg Week KALERWE-GAYAZA'!L11+'Avg Week GAYAZA-KALERWE'!L11</f>
        <v>57.142857142857146</v>
      </c>
      <c r="M11" s="49">
        <f>'Avg Week KALERWE-GAYAZA'!M11+'Avg Week GAYAZA-KALERWE'!M11</f>
        <v>443.71428571428572</v>
      </c>
      <c r="N11" s="49">
        <f>'Avg Week KALERWE-GAYAZA'!N11+'Avg Week GAYAZA-KALERWE'!N11</f>
        <v>0</v>
      </c>
      <c r="O11" s="15">
        <f t="shared" si="0"/>
        <v>267.57142857142861</v>
      </c>
      <c r="P11" s="15">
        <f t="shared" si="1"/>
        <v>711.28571428571433</v>
      </c>
      <c r="R11" s="1" t="s">
        <v>7</v>
      </c>
      <c r="S11" s="17">
        <f t="shared" ref="S11:AF11" si="3">SUM(C14:C17)</f>
        <v>341.57142857142856</v>
      </c>
      <c r="T11" s="17">
        <f t="shared" si="3"/>
        <v>76.571428571428569</v>
      </c>
      <c r="U11" s="17">
        <f t="shared" si="3"/>
        <v>60.857142857142861</v>
      </c>
      <c r="V11" s="17">
        <f t="shared" si="3"/>
        <v>457.57142857142856</v>
      </c>
      <c r="W11" s="17">
        <f t="shared" si="3"/>
        <v>9.4285714285714288</v>
      </c>
      <c r="X11" s="17">
        <f t="shared" si="3"/>
        <v>5.4285714285714279</v>
      </c>
      <c r="Y11" s="17">
        <f t="shared" si="3"/>
        <v>45</v>
      </c>
      <c r="Z11" s="17">
        <f t="shared" si="3"/>
        <v>24.285714285714285</v>
      </c>
      <c r="AA11" s="17">
        <f t="shared" si="3"/>
        <v>9.7142857142857135</v>
      </c>
      <c r="AB11" s="17">
        <f t="shared" si="3"/>
        <v>9.2857142857142847</v>
      </c>
      <c r="AC11" s="17">
        <f t="shared" si="3"/>
        <v>2376.5714285714284</v>
      </c>
      <c r="AD11" s="17">
        <f t="shared" si="3"/>
        <v>0</v>
      </c>
      <c r="AE11" s="31">
        <f t="shared" si="3"/>
        <v>1039.7142857142858</v>
      </c>
      <c r="AF11" s="31">
        <f t="shared" si="3"/>
        <v>3416.2857142857147</v>
      </c>
    </row>
    <row r="12" spans="2:32" ht="23.1" customHeight="1" x14ac:dyDescent="0.25">
      <c r="B12" s="23" t="s">
        <v>39</v>
      </c>
      <c r="C12" s="49">
        <f>'Avg Week KALERWE-GAYAZA'!C12+'Avg Week GAYAZA-KALERWE'!C12</f>
        <v>111.85714285714286</v>
      </c>
      <c r="D12" s="49">
        <f>'Avg Week KALERWE-GAYAZA'!D12+'Avg Week GAYAZA-KALERWE'!D12</f>
        <v>28.285714285714285</v>
      </c>
      <c r="E12" s="49">
        <f>'Avg Week KALERWE-GAYAZA'!E12+'Avg Week GAYAZA-KALERWE'!E12</f>
        <v>14.857142857142858</v>
      </c>
      <c r="F12" s="49">
        <f>'Avg Week KALERWE-GAYAZA'!F12+'Avg Week GAYAZA-KALERWE'!F12</f>
        <v>91.285714285714278</v>
      </c>
      <c r="G12" s="49">
        <f>'Avg Week KALERWE-GAYAZA'!G12+'Avg Week GAYAZA-KALERWE'!G12</f>
        <v>6.8571428571428577</v>
      </c>
      <c r="H12" s="49">
        <f>'Avg Week KALERWE-GAYAZA'!H12+'Avg Week GAYAZA-KALERWE'!H12</f>
        <v>2.2857142857142856</v>
      </c>
      <c r="I12" s="49">
        <f>'Avg Week KALERWE-GAYAZA'!I12+'Avg Week GAYAZA-KALERWE'!I12</f>
        <v>10</v>
      </c>
      <c r="J12" s="49">
        <f>'Avg Week KALERWE-GAYAZA'!J12+'Avg Week GAYAZA-KALERWE'!J12</f>
        <v>5.4285714285714288</v>
      </c>
      <c r="K12" s="49">
        <f>'Avg Week KALERWE-GAYAZA'!K12+'Avg Week GAYAZA-KALERWE'!K12</f>
        <v>1.7142857142857142</v>
      </c>
      <c r="L12" s="49">
        <f>'Avg Week KALERWE-GAYAZA'!L12+'Avg Week GAYAZA-KALERWE'!L12</f>
        <v>1.2857142857142856</v>
      </c>
      <c r="M12" s="49">
        <f>'Avg Week KALERWE-GAYAZA'!M12+'Avg Week GAYAZA-KALERWE'!M12</f>
        <v>553.71428571428578</v>
      </c>
      <c r="N12" s="49">
        <f>'Avg Week KALERWE-GAYAZA'!N12+'Avg Week GAYAZA-KALERWE'!N12</f>
        <v>0</v>
      </c>
      <c r="O12" s="15">
        <f t="shared" si="0"/>
        <v>273.85714285714289</v>
      </c>
      <c r="P12" s="15">
        <f t="shared" si="1"/>
        <v>827.57142857142867</v>
      </c>
      <c r="R12" s="1" t="s">
        <v>8</v>
      </c>
      <c r="S12" s="17">
        <f t="shared" ref="S12:AF12" si="4">SUM(C18:C21)</f>
        <v>396.14285714285711</v>
      </c>
      <c r="T12" s="17">
        <f t="shared" si="4"/>
        <v>86.714285714285722</v>
      </c>
      <c r="U12" s="17">
        <f t="shared" si="4"/>
        <v>72.142857142857139</v>
      </c>
      <c r="V12" s="17">
        <f t="shared" si="4"/>
        <v>482.57142857142856</v>
      </c>
      <c r="W12" s="17">
        <f t="shared" si="4"/>
        <v>6.9999999999999991</v>
      </c>
      <c r="X12" s="17">
        <f t="shared" si="4"/>
        <v>5.5714285714285712</v>
      </c>
      <c r="Y12" s="17">
        <f t="shared" si="4"/>
        <v>56.571428571428569</v>
      </c>
      <c r="Z12" s="17">
        <f t="shared" si="4"/>
        <v>29.714285714285712</v>
      </c>
      <c r="AA12" s="17">
        <f t="shared" si="4"/>
        <v>11</v>
      </c>
      <c r="AB12" s="17">
        <f t="shared" si="4"/>
        <v>6.4285714285714288</v>
      </c>
      <c r="AC12" s="17">
        <f t="shared" si="4"/>
        <v>1985.5714285714287</v>
      </c>
      <c r="AD12" s="17">
        <f t="shared" si="4"/>
        <v>0</v>
      </c>
      <c r="AE12" s="31">
        <f t="shared" si="4"/>
        <v>1153.8571428571427</v>
      </c>
      <c r="AF12" s="31">
        <f t="shared" si="4"/>
        <v>3139.4285714285716</v>
      </c>
    </row>
    <row r="13" spans="2:32" ht="23.1" customHeight="1" x14ac:dyDescent="0.25">
      <c r="B13" s="23" t="s">
        <v>40</v>
      </c>
      <c r="C13" s="49">
        <f>'Avg Week KALERWE-GAYAZA'!C13+'Avg Week GAYAZA-KALERWE'!C13</f>
        <v>72.142857142857139</v>
      </c>
      <c r="D13" s="49">
        <f>'Avg Week KALERWE-GAYAZA'!D13+'Avg Week GAYAZA-KALERWE'!D13</f>
        <v>19.571428571428569</v>
      </c>
      <c r="E13" s="49">
        <f>'Avg Week KALERWE-GAYAZA'!E13+'Avg Week GAYAZA-KALERWE'!E13</f>
        <v>19.285714285714285</v>
      </c>
      <c r="F13" s="49">
        <f>'Avg Week KALERWE-GAYAZA'!F13+'Avg Week GAYAZA-KALERWE'!F13</f>
        <v>97.142857142857139</v>
      </c>
      <c r="G13" s="49">
        <f>'Avg Week KALERWE-GAYAZA'!G13+'Avg Week GAYAZA-KALERWE'!G13</f>
        <v>2.1428571428571428</v>
      </c>
      <c r="H13" s="49">
        <f>'Avg Week KALERWE-GAYAZA'!H13+'Avg Week GAYAZA-KALERWE'!H13</f>
        <v>0.8571428571428571</v>
      </c>
      <c r="I13" s="49">
        <f>'Avg Week KALERWE-GAYAZA'!I13+'Avg Week GAYAZA-KALERWE'!I13</f>
        <v>8.8571428571428577</v>
      </c>
      <c r="J13" s="49">
        <f>'Avg Week KALERWE-GAYAZA'!J13+'Avg Week GAYAZA-KALERWE'!J13</f>
        <v>5.5714285714285712</v>
      </c>
      <c r="K13" s="49">
        <f>'Avg Week KALERWE-GAYAZA'!K13+'Avg Week GAYAZA-KALERWE'!K13</f>
        <v>1.5714285714285714</v>
      </c>
      <c r="L13" s="49">
        <f>'Avg Week KALERWE-GAYAZA'!L13+'Avg Week GAYAZA-KALERWE'!L13</f>
        <v>2.5714285714285716</v>
      </c>
      <c r="M13" s="49">
        <f>'Avg Week KALERWE-GAYAZA'!M13+'Avg Week GAYAZA-KALERWE'!M13</f>
        <v>562.14285714285711</v>
      </c>
      <c r="N13" s="49">
        <f>'Avg Week KALERWE-GAYAZA'!N13+'Avg Week GAYAZA-KALERWE'!N13</f>
        <v>0</v>
      </c>
      <c r="O13" s="15">
        <f t="shared" si="0"/>
        <v>229.71428571428575</v>
      </c>
      <c r="P13" s="15">
        <f t="shared" si="1"/>
        <v>791.85714285714289</v>
      </c>
      <c r="R13" s="1" t="s">
        <v>9</v>
      </c>
      <c r="S13" s="17">
        <f t="shared" ref="S13:AF13" si="5">SUM(C22:C25)</f>
        <v>481.57142857142856</v>
      </c>
      <c r="T13" s="17">
        <f t="shared" si="5"/>
        <v>103.42857142857143</v>
      </c>
      <c r="U13" s="17">
        <f t="shared" si="5"/>
        <v>83.142857142857139</v>
      </c>
      <c r="V13" s="17">
        <f t="shared" si="5"/>
        <v>475.28571428571428</v>
      </c>
      <c r="W13" s="17">
        <f t="shared" si="5"/>
        <v>6.5714285714285712</v>
      </c>
      <c r="X13" s="17">
        <f t="shared" si="5"/>
        <v>3.8571428571428568</v>
      </c>
      <c r="Y13" s="17">
        <f t="shared" si="5"/>
        <v>63.857142857142861</v>
      </c>
      <c r="Z13" s="17">
        <f t="shared" si="5"/>
        <v>36.571428571428569</v>
      </c>
      <c r="AA13" s="17">
        <f t="shared" si="5"/>
        <v>14.285714285714286</v>
      </c>
      <c r="AB13" s="17">
        <f t="shared" si="5"/>
        <v>9.1428571428571423</v>
      </c>
      <c r="AC13" s="17">
        <f t="shared" si="5"/>
        <v>1915.5714285714287</v>
      </c>
      <c r="AD13" s="17">
        <f t="shared" si="5"/>
        <v>0.14285714285714285</v>
      </c>
      <c r="AE13" s="31">
        <f t="shared" si="5"/>
        <v>1277.8571428571431</v>
      </c>
      <c r="AF13" s="31">
        <f t="shared" si="5"/>
        <v>3193.4285714285711</v>
      </c>
    </row>
    <row r="14" spans="2:32" ht="23.1" customHeight="1" x14ac:dyDescent="0.25">
      <c r="B14" s="23" t="s">
        <v>41</v>
      </c>
      <c r="C14" s="49">
        <f>'Avg Week KALERWE-GAYAZA'!C14+'Avg Week GAYAZA-KALERWE'!C14</f>
        <v>78.571428571428569</v>
      </c>
      <c r="D14" s="49">
        <f>'Avg Week KALERWE-GAYAZA'!D14+'Avg Week GAYAZA-KALERWE'!D14</f>
        <v>18</v>
      </c>
      <c r="E14" s="49">
        <f>'Avg Week KALERWE-GAYAZA'!E14+'Avg Week GAYAZA-KALERWE'!E14</f>
        <v>11.428571428571429</v>
      </c>
      <c r="F14" s="49">
        <f>'Avg Week KALERWE-GAYAZA'!F14+'Avg Week GAYAZA-KALERWE'!F14</f>
        <v>115.28571428571428</v>
      </c>
      <c r="G14" s="49">
        <f>'Avg Week KALERWE-GAYAZA'!G14+'Avg Week GAYAZA-KALERWE'!G14</f>
        <v>2.5714285714285712</v>
      </c>
      <c r="H14" s="49">
        <f>'Avg Week KALERWE-GAYAZA'!H14+'Avg Week GAYAZA-KALERWE'!H14</f>
        <v>1.4285714285714286</v>
      </c>
      <c r="I14" s="49">
        <f>'Avg Week KALERWE-GAYAZA'!I14+'Avg Week GAYAZA-KALERWE'!I14</f>
        <v>12.285714285714285</v>
      </c>
      <c r="J14" s="49">
        <f>'Avg Week KALERWE-GAYAZA'!J14+'Avg Week GAYAZA-KALERWE'!J14</f>
        <v>7.7142857142857135</v>
      </c>
      <c r="K14" s="49">
        <f>'Avg Week KALERWE-GAYAZA'!K14+'Avg Week GAYAZA-KALERWE'!K14</f>
        <v>2.7142857142857144</v>
      </c>
      <c r="L14" s="49">
        <f>'Avg Week KALERWE-GAYAZA'!L14+'Avg Week GAYAZA-KALERWE'!L14</f>
        <v>0.8571428571428571</v>
      </c>
      <c r="M14" s="49">
        <f>'Avg Week KALERWE-GAYAZA'!M14+'Avg Week GAYAZA-KALERWE'!M14</f>
        <v>585.14285714285711</v>
      </c>
      <c r="N14" s="49">
        <f>'Avg Week KALERWE-GAYAZA'!N14+'Avg Week GAYAZA-KALERWE'!N14</f>
        <v>0</v>
      </c>
      <c r="O14" s="15">
        <f t="shared" si="0"/>
        <v>250.85714285714286</v>
      </c>
      <c r="P14" s="15">
        <f t="shared" si="1"/>
        <v>836</v>
      </c>
      <c r="R14" s="1" t="s">
        <v>10</v>
      </c>
      <c r="S14" s="17">
        <f t="shared" ref="S14:AF14" si="6">SUM(C26:C29)</f>
        <v>422.28571428571428</v>
      </c>
      <c r="T14" s="17">
        <f t="shared" si="6"/>
        <v>111.42857142857142</v>
      </c>
      <c r="U14" s="17">
        <f t="shared" si="6"/>
        <v>82.285714285714278</v>
      </c>
      <c r="V14" s="17">
        <f t="shared" si="6"/>
        <v>407.85714285714283</v>
      </c>
      <c r="W14" s="17">
        <f t="shared" si="6"/>
        <v>4.7142857142857144</v>
      </c>
      <c r="X14" s="17">
        <f t="shared" si="6"/>
        <v>4.4285714285714279</v>
      </c>
      <c r="Y14" s="17">
        <f t="shared" si="6"/>
        <v>69.714285714285722</v>
      </c>
      <c r="Z14" s="17">
        <f t="shared" si="6"/>
        <v>36.857142857142861</v>
      </c>
      <c r="AA14" s="17">
        <f t="shared" si="6"/>
        <v>15</v>
      </c>
      <c r="AB14" s="17">
        <f t="shared" si="6"/>
        <v>8.2857142857142847</v>
      </c>
      <c r="AC14" s="17">
        <f t="shared" si="6"/>
        <v>1759.5714285714284</v>
      </c>
      <c r="AD14" s="17">
        <f t="shared" si="6"/>
        <v>0</v>
      </c>
      <c r="AE14" s="31">
        <f t="shared" si="6"/>
        <v>1162.8571428571429</v>
      </c>
      <c r="AF14" s="31">
        <f t="shared" si="6"/>
        <v>2922.4285714285716</v>
      </c>
    </row>
    <row r="15" spans="2:32" ht="23.1" customHeight="1" x14ac:dyDescent="0.25">
      <c r="B15" s="23" t="s">
        <v>42</v>
      </c>
      <c r="C15" s="49">
        <f>'Avg Week KALERWE-GAYAZA'!C15+'Avg Week GAYAZA-KALERWE'!C15</f>
        <v>81.571428571428569</v>
      </c>
      <c r="D15" s="49">
        <f>'Avg Week KALERWE-GAYAZA'!D15+'Avg Week GAYAZA-KALERWE'!D15</f>
        <v>17.571428571428569</v>
      </c>
      <c r="E15" s="49">
        <f>'Avg Week KALERWE-GAYAZA'!E15+'Avg Week GAYAZA-KALERWE'!E15</f>
        <v>14</v>
      </c>
      <c r="F15" s="49">
        <f>'Avg Week KALERWE-GAYAZA'!F15+'Avg Week GAYAZA-KALERWE'!F15</f>
        <v>95.714285714285722</v>
      </c>
      <c r="G15" s="49">
        <f>'Avg Week KALERWE-GAYAZA'!G15+'Avg Week GAYAZA-KALERWE'!G15</f>
        <v>2.2857142857142856</v>
      </c>
      <c r="H15" s="49">
        <f>'Avg Week KALERWE-GAYAZA'!H15+'Avg Week GAYAZA-KALERWE'!H15</f>
        <v>1.8571428571428572</v>
      </c>
      <c r="I15" s="49">
        <f>'Avg Week KALERWE-GAYAZA'!I15+'Avg Week GAYAZA-KALERWE'!I15</f>
        <v>10.428571428571427</v>
      </c>
      <c r="J15" s="49">
        <f>'Avg Week KALERWE-GAYAZA'!J15+'Avg Week GAYAZA-KALERWE'!J15</f>
        <v>4.4285714285714288</v>
      </c>
      <c r="K15" s="49">
        <f>'Avg Week KALERWE-GAYAZA'!K15+'Avg Week GAYAZA-KALERWE'!K15</f>
        <v>1.8571428571428572</v>
      </c>
      <c r="L15" s="49">
        <f>'Avg Week KALERWE-GAYAZA'!L15+'Avg Week GAYAZA-KALERWE'!L15</f>
        <v>2</v>
      </c>
      <c r="M15" s="49">
        <f>'Avg Week KALERWE-GAYAZA'!M15+'Avg Week GAYAZA-KALERWE'!M15</f>
        <v>590.42857142857144</v>
      </c>
      <c r="N15" s="49">
        <f>'Avg Week KALERWE-GAYAZA'!N15+'Avg Week GAYAZA-KALERWE'!N15</f>
        <v>0</v>
      </c>
      <c r="O15" s="15">
        <f t="shared" si="0"/>
        <v>231.71428571428569</v>
      </c>
      <c r="P15" s="15">
        <f t="shared" si="1"/>
        <v>822.14285714285711</v>
      </c>
      <c r="R15" s="1" t="s">
        <v>11</v>
      </c>
      <c r="S15" s="17">
        <f t="shared" ref="S15:AF15" si="7">SUM(C30:C33)</f>
        <v>463.42857142857144</v>
      </c>
      <c r="T15" s="17">
        <f t="shared" si="7"/>
        <v>89.714285714285708</v>
      </c>
      <c r="U15" s="17">
        <f t="shared" si="7"/>
        <v>83</v>
      </c>
      <c r="V15" s="17">
        <f t="shared" si="7"/>
        <v>435</v>
      </c>
      <c r="W15" s="17">
        <f t="shared" si="7"/>
        <v>4.7142857142857135</v>
      </c>
      <c r="X15" s="17">
        <f t="shared" si="7"/>
        <v>4</v>
      </c>
      <c r="Y15" s="17">
        <f t="shared" si="7"/>
        <v>63.571428571428569</v>
      </c>
      <c r="Z15" s="17">
        <f t="shared" si="7"/>
        <v>41.142857142857146</v>
      </c>
      <c r="AA15" s="17">
        <f t="shared" si="7"/>
        <v>17</v>
      </c>
      <c r="AB15" s="17">
        <f t="shared" si="7"/>
        <v>9.5714285714285712</v>
      </c>
      <c r="AC15" s="17">
        <f t="shared" si="7"/>
        <v>1617.1428571428573</v>
      </c>
      <c r="AD15" s="17">
        <f t="shared" si="7"/>
        <v>0</v>
      </c>
      <c r="AE15" s="31">
        <f t="shared" si="7"/>
        <v>1211.1428571428571</v>
      </c>
      <c r="AF15" s="31">
        <f t="shared" si="7"/>
        <v>2828.2857142857142</v>
      </c>
    </row>
    <row r="16" spans="2:32" ht="23.1" customHeight="1" x14ac:dyDescent="0.25">
      <c r="B16" s="23" t="s">
        <v>43</v>
      </c>
      <c r="C16" s="49">
        <f>'Avg Week KALERWE-GAYAZA'!C16+'Avg Week GAYAZA-KALERWE'!C16</f>
        <v>88</v>
      </c>
      <c r="D16" s="49">
        <f>'Avg Week KALERWE-GAYAZA'!D16+'Avg Week GAYAZA-KALERWE'!D16</f>
        <v>21.142857142857142</v>
      </c>
      <c r="E16" s="49">
        <f>'Avg Week KALERWE-GAYAZA'!E16+'Avg Week GAYAZA-KALERWE'!E16</f>
        <v>15.857142857142858</v>
      </c>
      <c r="F16" s="49">
        <f>'Avg Week KALERWE-GAYAZA'!F16+'Avg Week GAYAZA-KALERWE'!F16</f>
        <v>113.57142857142857</v>
      </c>
      <c r="G16" s="49">
        <f>'Avg Week KALERWE-GAYAZA'!G16+'Avg Week GAYAZA-KALERWE'!G16</f>
        <v>2</v>
      </c>
      <c r="H16" s="49">
        <f>'Avg Week KALERWE-GAYAZA'!H16+'Avg Week GAYAZA-KALERWE'!H16</f>
        <v>0.8571428571428571</v>
      </c>
      <c r="I16" s="49">
        <f>'Avg Week KALERWE-GAYAZA'!I16+'Avg Week GAYAZA-KALERWE'!I16</f>
        <v>9.8571428571428577</v>
      </c>
      <c r="J16" s="49">
        <f>'Avg Week KALERWE-GAYAZA'!J16+'Avg Week GAYAZA-KALERWE'!J16</f>
        <v>5.2857142857142856</v>
      </c>
      <c r="K16" s="49">
        <f>'Avg Week KALERWE-GAYAZA'!K16+'Avg Week GAYAZA-KALERWE'!K16</f>
        <v>1.7142857142857142</v>
      </c>
      <c r="L16" s="49">
        <f>'Avg Week KALERWE-GAYAZA'!L16+'Avg Week GAYAZA-KALERWE'!L16</f>
        <v>2.2857142857142856</v>
      </c>
      <c r="M16" s="49">
        <f>'Avg Week KALERWE-GAYAZA'!M16+'Avg Week GAYAZA-KALERWE'!M16</f>
        <v>606</v>
      </c>
      <c r="N16" s="49">
        <f>'Avg Week KALERWE-GAYAZA'!N16+'Avg Week GAYAZA-KALERWE'!N16</f>
        <v>0</v>
      </c>
      <c r="O16" s="15">
        <f t="shared" si="0"/>
        <v>260.57142857142856</v>
      </c>
      <c r="P16" s="15">
        <f t="shared" si="1"/>
        <v>866.57142857142856</v>
      </c>
      <c r="R16" s="1" t="s">
        <v>12</v>
      </c>
      <c r="S16" s="17">
        <f t="shared" ref="S16:AF16" si="8">SUM(C34:C37)</f>
        <v>413.14285714285711</v>
      </c>
      <c r="T16" s="17">
        <f t="shared" si="8"/>
        <v>91.142857142857139</v>
      </c>
      <c r="U16" s="17">
        <f t="shared" si="8"/>
        <v>75.142857142857139</v>
      </c>
      <c r="V16" s="17">
        <f t="shared" si="8"/>
        <v>352.42857142857144</v>
      </c>
      <c r="W16" s="17">
        <f t="shared" si="8"/>
        <v>4.7142857142857144</v>
      </c>
      <c r="X16" s="17">
        <f t="shared" si="8"/>
        <v>3.2857142857142856</v>
      </c>
      <c r="Y16" s="17">
        <f t="shared" si="8"/>
        <v>73.142857142857139</v>
      </c>
      <c r="Z16" s="17">
        <f t="shared" si="8"/>
        <v>40.857142857142861</v>
      </c>
      <c r="AA16" s="17">
        <f t="shared" si="8"/>
        <v>14.857142857142858</v>
      </c>
      <c r="AB16" s="17">
        <f t="shared" si="8"/>
        <v>9.5714285714285712</v>
      </c>
      <c r="AC16" s="17">
        <f t="shared" si="8"/>
        <v>1474.8571428571427</v>
      </c>
      <c r="AD16" s="17">
        <f t="shared" si="8"/>
        <v>0.14285714285714285</v>
      </c>
      <c r="AE16" s="31">
        <f t="shared" si="8"/>
        <v>1078.4285714285713</v>
      </c>
      <c r="AF16" s="31">
        <f t="shared" si="8"/>
        <v>2553.2857142857142</v>
      </c>
    </row>
    <row r="17" spans="2:32" ht="23.1" customHeight="1" x14ac:dyDescent="0.25">
      <c r="B17" s="23" t="s">
        <v>44</v>
      </c>
      <c r="C17" s="49">
        <f>'Avg Week KALERWE-GAYAZA'!C17+'Avg Week GAYAZA-KALERWE'!C17</f>
        <v>93.428571428571431</v>
      </c>
      <c r="D17" s="49">
        <f>'Avg Week KALERWE-GAYAZA'!D17+'Avg Week GAYAZA-KALERWE'!D17</f>
        <v>19.857142857142858</v>
      </c>
      <c r="E17" s="49">
        <f>'Avg Week KALERWE-GAYAZA'!E17+'Avg Week GAYAZA-KALERWE'!E17</f>
        <v>19.571428571428569</v>
      </c>
      <c r="F17" s="49">
        <f>'Avg Week KALERWE-GAYAZA'!F17+'Avg Week GAYAZA-KALERWE'!F17</f>
        <v>133</v>
      </c>
      <c r="G17" s="49">
        <f>'Avg Week KALERWE-GAYAZA'!G17+'Avg Week GAYAZA-KALERWE'!G17</f>
        <v>2.5714285714285716</v>
      </c>
      <c r="H17" s="49">
        <f>'Avg Week KALERWE-GAYAZA'!H17+'Avg Week GAYAZA-KALERWE'!H17</f>
        <v>1.2857142857142856</v>
      </c>
      <c r="I17" s="49">
        <f>'Avg Week KALERWE-GAYAZA'!I17+'Avg Week GAYAZA-KALERWE'!I17</f>
        <v>12.428571428571427</v>
      </c>
      <c r="J17" s="49">
        <f>'Avg Week KALERWE-GAYAZA'!J17+'Avg Week GAYAZA-KALERWE'!J17</f>
        <v>6.8571428571428577</v>
      </c>
      <c r="K17" s="49">
        <f>'Avg Week KALERWE-GAYAZA'!K17+'Avg Week GAYAZA-KALERWE'!K17</f>
        <v>3.4285714285714284</v>
      </c>
      <c r="L17" s="49">
        <f>'Avg Week KALERWE-GAYAZA'!L17+'Avg Week GAYAZA-KALERWE'!L17</f>
        <v>4.1428571428571432</v>
      </c>
      <c r="M17" s="49">
        <f>'Avg Week KALERWE-GAYAZA'!M17+'Avg Week GAYAZA-KALERWE'!M17</f>
        <v>595</v>
      </c>
      <c r="N17" s="49">
        <f>'Avg Week KALERWE-GAYAZA'!N17+'Avg Week GAYAZA-KALERWE'!N17</f>
        <v>0</v>
      </c>
      <c r="O17" s="15">
        <f t="shared" si="0"/>
        <v>296.57142857142861</v>
      </c>
      <c r="P17" s="15">
        <f t="shared" si="1"/>
        <v>891.57142857142867</v>
      </c>
      <c r="R17" s="1" t="s">
        <v>13</v>
      </c>
      <c r="S17" s="17">
        <f t="shared" ref="S17:AF17" si="9">SUM(C38:C41)</f>
        <v>426.57142857142861</v>
      </c>
      <c r="T17" s="17">
        <f t="shared" si="9"/>
        <v>85.428571428571416</v>
      </c>
      <c r="U17" s="17">
        <f t="shared" si="9"/>
        <v>72</v>
      </c>
      <c r="V17" s="17">
        <f t="shared" si="9"/>
        <v>321.14285714285717</v>
      </c>
      <c r="W17" s="17">
        <f t="shared" si="9"/>
        <v>4.1428571428571423</v>
      </c>
      <c r="X17" s="17">
        <f t="shared" si="9"/>
        <v>4.7142857142857144</v>
      </c>
      <c r="Y17" s="17">
        <f t="shared" si="9"/>
        <v>82.142857142857139</v>
      </c>
      <c r="Z17" s="17">
        <f t="shared" si="9"/>
        <v>43.285714285714292</v>
      </c>
      <c r="AA17" s="17">
        <f t="shared" si="9"/>
        <v>16.428571428571431</v>
      </c>
      <c r="AB17" s="17">
        <f t="shared" si="9"/>
        <v>10.571428571428573</v>
      </c>
      <c r="AC17" s="17">
        <f t="shared" si="9"/>
        <v>1505</v>
      </c>
      <c r="AD17" s="17">
        <f t="shared" si="9"/>
        <v>0.14285714285714285</v>
      </c>
      <c r="AE17" s="31">
        <f t="shared" si="9"/>
        <v>1066.5714285714284</v>
      </c>
      <c r="AF17" s="31">
        <f t="shared" si="9"/>
        <v>2571.5714285714284</v>
      </c>
    </row>
    <row r="18" spans="2:32" ht="23.1" customHeight="1" x14ac:dyDescent="0.25">
      <c r="B18" s="23" t="s">
        <v>45</v>
      </c>
      <c r="C18" s="49">
        <f>'Avg Week KALERWE-GAYAZA'!C18+'Avg Week GAYAZA-KALERWE'!C18</f>
        <v>82.714285714285708</v>
      </c>
      <c r="D18" s="49">
        <f>'Avg Week KALERWE-GAYAZA'!D18+'Avg Week GAYAZA-KALERWE'!D18</f>
        <v>20.428571428571427</v>
      </c>
      <c r="E18" s="49">
        <f>'Avg Week KALERWE-GAYAZA'!E18+'Avg Week GAYAZA-KALERWE'!E18</f>
        <v>20.428571428571431</v>
      </c>
      <c r="F18" s="49">
        <f>'Avg Week KALERWE-GAYAZA'!F18+'Avg Week GAYAZA-KALERWE'!F18</f>
        <v>118.71428571428572</v>
      </c>
      <c r="G18" s="49">
        <f>'Avg Week KALERWE-GAYAZA'!G18+'Avg Week GAYAZA-KALERWE'!G18</f>
        <v>2.4285714285714284</v>
      </c>
      <c r="H18" s="49">
        <f>'Avg Week KALERWE-GAYAZA'!H18+'Avg Week GAYAZA-KALERWE'!H18</f>
        <v>2</v>
      </c>
      <c r="I18" s="49">
        <f>'Avg Week KALERWE-GAYAZA'!I18+'Avg Week GAYAZA-KALERWE'!I18</f>
        <v>14.571428571428571</v>
      </c>
      <c r="J18" s="49">
        <f>'Avg Week KALERWE-GAYAZA'!J18+'Avg Week GAYAZA-KALERWE'!J18</f>
        <v>8.5714285714285712</v>
      </c>
      <c r="K18" s="49">
        <f>'Avg Week KALERWE-GAYAZA'!K18+'Avg Week GAYAZA-KALERWE'!K18</f>
        <v>1.2857142857142856</v>
      </c>
      <c r="L18" s="49">
        <f>'Avg Week KALERWE-GAYAZA'!L18+'Avg Week GAYAZA-KALERWE'!L18</f>
        <v>1.7142857142857142</v>
      </c>
      <c r="M18" s="49">
        <f>'Avg Week KALERWE-GAYAZA'!M18+'Avg Week GAYAZA-KALERWE'!M18</f>
        <v>522.42857142857144</v>
      </c>
      <c r="N18" s="49">
        <f>'Avg Week KALERWE-GAYAZA'!N18+'Avg Week GAYAZA-KALERWE'!N18</f>
        <v>0</v>
      </c>
      <c r="O18" s="15">
        <f t="shared" si="0"/>
        <v>272.85714285714283</v>
      </c>
      <c r="P18" s="15">
        <f t="shared" si="1"/>
        <v>795.28571428571422</v>
      </c>
      <c r="R18" s="1" t="s">
        <v>14</v>
      </c>
      <c r="S18" s="17">
        <f t="shared" ref="S18:AF18" si="10">SUM(C42:C45)</f>
        <v>456.57142857142856</v>
      </c>
      <c r="T18" s="17">
        <f t="shared" si="10"/>
        <v>93.857142857142861</v>
      </c>
      <c r="U18" s="17">
        <f t="shared" si="10"/>
        <v>78.857142857142861</v>
      </c>
      <c r="V18" s="17">
        <f t="shared" si="10"/>
        <v>361.85714285714289</v>
      </c>
      <c r="W18" s="17">
        <f t="shared" si="10"/>
        <v>3.9999999999999996</v>
      </c>
      <c r="X18" s="17">
        <f t="shared" si="10"/>
        <v>4.2857142857142856</v>
      </c>
      <c r="Y18" s="17">
        <f t="shared" si="10"/>
        <v>72.285714285714278</v>
      </c>
      <c r="Z18" s="17">
        <f t="shared" si="10"/>
        <v>37.142857142857146</v>
      </c>
      <c r="AA18" s="17">
        <f t="shared" si="10"/>
        <v>12.857142857142858</v>
      </c>
      <c r="AB18" s="17">
        <f t="shared" si="10"/>
        <v>7</v>
      </c>
      <c r="AC18" s="17">
        <f t="shared" si="10"/>
        <v>1498.4285714285716</v>
      </c>
      <c r="AD18" s="17">
        <f t="shared" si="10"/>
        <v>0</v>
      </c>
      <c r="AE18" s="31">
        <f t="shared" si="10"/>
        <v>1128.7142857142856</v>
      </c>
      <c r="AF18" s="31">
        <f t="shared" si="10"/>
        <v>2627.1428571428569</v>
      </c>
    </row>
    <row r="19" spans="2:32" ht="23.1" customHeight="1" x14ac:dyDescent="0.25">
      <c r="B19" s="23" t="s">
        <v>46</v>
      </c>
      <c r="C19" s="49">
        <f>'Avg Week KALERWE-GAYAZA'!C19+'Avg Week GAYAZA-KALERWE'!C19</f>
        <v>97.142857142857139</v>
      </c>
      <c r="D19" s="49">
        <f>'Avg Week KALERWE-GAYAZA'!D19+'Avg Week GAYAZA-KALERWE'!D19</f>
        <v>25</v>
      </c>
      <c r="E19" s="49">
        <f>'Avg Week KALERWE-GAYAZA'!E19+'Avg Week GAYAZA-KALERWE'!E19</f>
        <v>17.714285714285715</v>
      </c>
      <c r="F19" s="49">
        <f>'Avg Week KALERWE-GAYAZA'!F19+'Avg Week GAYAZA-KALERWE'!F19</f>
        <v>120</v>
      </c>
      <c r="G19" s="49">
        <f>'Avg Week KALERWE-GAYAZA'!G19+'Avg Week GAYAZA-KALERWE'!G19</f>
        <v>1.1428571428571428</v>
      </c>
      <c r="H19" s="49">
        <f>'Avg Week KALERWE-GAYAZA'!H19+'Avg Week GAYAZA-KALERWE'!H19</f>
        <v>0.85714285714285721</v>
      </c>
      <c r="I19" s="49">
        <f>'Avg Week KALERWE-GAYAZA'!I19+'Avg Week GAYAZA-KALERWE'!I19</f>
        <v>12.285714285714286</v>
      </c>
      <c r="J19" s="49">
        <f>'Avg Week KALERWE-GAYAZA'!J19+'Avg Week GAYAZA-KALERWE'!J19</f>
        <v>6.7142857142857144</v>
      </c>
      <c r="K19" s="49">
        <f>'Avg Week KALERWE-GAYAZA'!K19+'Avg Week GAYAZA-KALERWE'!K19</f>
        <v>2.7142857142857144</v>
      </c>
      <c r="L19" s="49">
        <f>'Avg Week KALERWE-GAYAZA'!L19+'Avg Week GAYAZA-KALERWE'!L19</f>
        <v>1.7142857142857142</v>
      </c>
      <c r="M19" s="49">
        <f>'Avg Week KALERWE-GAYAZA'!M19+'Avg Week GAYAZA-KALERWE'!M19</f>
        <v>481.85714285714289</v>
      </c>
      <c r="N19" s="49">
        <f>'Avg Week KALERWE-GAYAZA'!N19+'Avg Week GAYAZA-KALERWE'!N19</f>
        <v>0</v>
      </c>
      <c r="O19" s="15">
        <f t="shared" si="0"/>
        <v>285.28571428571433</v>
      </c>
      <c r="P19" s="15">
        <f t="shared" si="1"/>
        <v>767.14285714285722</v>
      </c>
      <c r="R19" s="1" t="s">
        <v>15</v>
      </c>
      <c r="S19" s="17">
        <f t="shared" ref="S19:AF19" si="11">SUM(C46:C49)</f>
        <v>510.71428571428572</v>
      </c>
      <c r="T19" s="17">
        <f t="shared" si="11"/>
        <v>120.57142857142856</v>
      </c>
      <c r="U19" s="17">
        <f t="shared" si="11"/>
        <v>88.428571428571416</v>
      </c>
      <c r="V19" s="17">
        <f t="shared" si="11"/>
        <v>415.57142857142861</v>
      </c>
      <c r="W19" s="17">
        <f t="shared" si="11"/>
        <v>6</v>
      </c>
      <c r="X19" s="17">
        <f t="shared" si="11"/>
        <v>7.4285714285714288</v>
      </c>
      <c r="Y19" s="17">
        <f t="shared" si="11"/>
        <v>71.857142857142861</v>
      </c>
      <c r="Z19" s="17">
        <f t="shared" si="11"/>
        <v>33.714285714285715</v>
      </c>
      <c r="AA19" s="17">
        <f t="shared" si="11"/>
        <v>13.714285714285715</v>
      </c>
      <c r="AB19" s="17">
        <f t="shared" si="11"/>
        <v>6.5714285714285712</v>
      </c>
      <c r="AC19" s="17">
        <f t="shared" si="11"/>
        <v>1735.5714285714287</v>
      </c>
      <c r="AD19" s="17">
        <f t="shared" si="11"/>
        <v>0</v>
      </c>
      <c r="AE19" s="31">
        <f t="shared" si="11"/>
        <v>1274.5714285714284</v>
      </c>
      <c r="AF19" s="31">
        <f t="shared" si="11"/>
        <v>3010.1428571428573</v>
      </c>
    </row>
    <row r="20" spans="2:32" ht="23.1" customHeight="1" x14ac:dyDescent="0.25">
      <c r="B20" s="23" t="s">
        <v>47</v>
      </c>
      <c r="C20" s="49">
        <f>'Avg Week KALERWE-GAYAZA'!C20+'Avg Week GAYAZA-KALERWE'!C20</f>
        <v>109.42857142857142</v>
      </c>
      <c r="D20" s="49">
        <f>'Avg Week KALERWE-GAYAZA'!D20+'Avg Week GAYAZA-KALERWE'!D20</f>
        <v>19.285714285714285</v>
      </c>
      <c r="E20" s="49">
        <f>'Avg Week KALERWE-GAYAZA'!E20+'Avg Week GAYAZA-KALERWE'!E20</f>
        <v>16.857142857142858</v>
      </c>
      <c r="F20" s="49">
        <f>'Avg Week KALERWE-GAYAZA'!F20+'Avg Week GAYAZA-KALERWE'!F20</f>
        <v>133.71428571428572</v>
      </c>
      <c r="G20" s="49">
        <f>'Avg Week KALERWE-GAYAZA'!G20+'Avg Week GAYAZA-KALERWE'!G20</f>
        <v>1.1428571428571428</v>
      </c>
      <c r="H20" s="49">
        <f>'Avg Week KALERWE-GAYAZA'!H20+'Avg Week GAYAZA-KALERWE'!H20</f>
        <v>1.1428571428571428</v>
      </c>
      <c r="I20" s="49">
        <f>'Avg Week KALERWE-GAYAZA'!I20+'Avg Week GAYAZA-KALERWE'!I20</f>
        <v>15.571428571428573</v>
      </c>
      <c r="J20" s="49">
        <f>'Avg Week KALERWE-GAYAZA'!J20+'Avg Week GAYAZA-KALERWE'!J20</f>
        <v>8.1428571428571423</v>
      </c>
      <c r="K20" s="49">
        <f>'Avg Week KALERWE-GAYAZA'!K20+'Avg Week GAYAZA-KALERWE'!K20</f>
        <v>3.1428571428571432</v>
      </c>
      <c r="L20" s="49">
        <f>'Avg Week KALERWE-GAYAZA'!L20+'Avg Week GAYAZA-KALERWE'!L20</f>
        <v>1.5714285714285714</v>
      </c>
      <c r="M20" s="49">
        <f>'Avg Week KALERWE-GAYAZA'!M20+'Avg Week GAYAZA-KALERWE'!M20</f>
        <v>501.28571428571428</v>
      </c>
      <c r="N20" s="49">
        <f>'Avg Week KALERWE-GAYAZA'!N20+'Avg Week GAYAZA-KALERWE'!N20</f>
        <v>0</v>
      </c>
      <c r="O20" s="15">
        <f t="shared" si="0"/>
        <v>310.00000000000006</v>
      </c>
      <c r="P20" s="15">
        <f t="shared" si="1"/>
        <v>811.28571428571433</v>
      </c>
      <c r="R20" s="1" t="s">
        <v>16</v>
      </c>
      <c r="S20" s="17">
        <f t="shared" ref="S20:AF20" si="12">SUM(C50:C53)</f>
        <v>537</v>
      </c>
      <c r="T20" s="17">
        <f t="shared" si="12"/>
        <v>121.28571428571428</v>
      </c>
      <c r="U20" s="17">
        <f t="shared" si="12"/>
        <v>82</v>
      </c>
      <c r="V20" s="17">
        <f t="shared" si="12"/>
        <v>459</v>
      </c>
      <c r="W20" s="17">
        <f t="shared" si="12"/>
        <v>9.4285714285714288</v>
      </c>
      <c r="X20" s="17">
        <f t="shared" si="12"/>
        <v>6</v>
      </c>
      <c r="Y20" s="17">
        <f t="shared" si="12"/>
        <v>67.428571428571431</v>
      </c>
      <c r="Z20" s="17">
        <f t="shared" si="12"/>
        <v>30.571428571428569</v>
      </c>
      <c r="AA20" s="17">
        <f t="shared" si="12"/>
        <v>11.428571428571429</v>
      </c>
      <c r="AB20" s="17">
        <f t="shared" si="12"/>
        <v>7.2857142857142865</v>
      </c>
      <c r="AC20" s="17">
        <f t="shared" si="12"/>
        <v>1960.1428571428573</v>
      </c>
      <c r="AD20" s="17">
        <f t="shared" si="12"/>
        <v>0</v>
      </c>
      <c r="AE20" s="31">
        <f t="shared" si="12"/>
        <v>1331.4285714285716</v>
      </c>
      <c r="AF20" s="31">
        <f t="shared" si="12"/>
        <v>3291.5714285714284</v>
      </c>
    </row>
    <row r="21" spans="2:32" ht="23.1" customHeight="1" x14ac:dyDescent="0.25">
      <c r="B21" s="23" t="s">
        <v>48</v>
      </c>
      <c r="C21" s="49">
        <f>'Avg Week KALERWE-GAYAZA'!C21+'Avg Week GAYAZA-KALERWE'!C21</f>
        <v>106.85714285714286</v>
      </c>
      <c r="D21" s="49">
        <f>'Avg Week KALERWE-GAYAZA'!D21+'Avg Week GAYAZA-KALERWE'!D21</f>
        <v>22</v>
      </c>
      <c r="E21" s="49">
        <f>'Avg Week KALERWE-GAYAZA'!E21+'Avg Week GAYAZA-KALERWE'!E21</f>
        <v>17.142857142857142</v>
      </c>
      <c r="F21" s="49">
        <f>'Avg Week KALERWE-GAYAZA'!F21+'Avg Week GAYAZA-KALERWE'!F21</f>
        <v>110.14285714285714</v>
      </c>
      <c r="G21" s="49">
        <f>'Avg Week KALERWE-GAYAZA'!G21+'Avg Week GAYAZA-KALERWE'!G21</f>
        <v>2.2857142857142856</v>
      </c>
      <c r="H21" s="49">
        <f>'Avg Week KALERWE-GAYAZA'!H21+'Avg Week GAYAZA-KALERWE'!H21</f>
        <v>1.5714285714285714</v>
      </c>
      <c r="I21" s="49">
        <f>'Avg Week KALERWE-GAYAZA'!I21+'Avg Week GAYAZA-KALERWE'!I21</f>
        <v>14.142857142857142</v>
      </c>
      <c r="J21" s="49">
        <f>'Avg Week KALERWE-GAYAZA'!J21+'Avg Week GAYAZA-KALERWE'!J21</f>
        <v>6.2857142857142856</v>
      </c>
      <c r="K21" s="49">
        <f>'Avg Week KALERWE-GAYAZA'!K21+'Avg Week GAYAZA-KALERWE'!K21</f>
        <v>3.8571428571428572</v>
      </c>
      <c r="L21" s="49">
        <f>'Avg Week KALERWE-GAYAZA'!L21+'Avg Week GAYAZA-KALERWE'!L21</f>
        <v>1.4285714285714286</v>
      </c>
      <c r="M21" s="49">
        <f>'Avg Week KALERWE-GAYAZA'!M21+'Avg Week GAYAZA-KALERWE'!M21</f>
        <v>480</v>
      </c>
      <c r="N21" s="49">
        <f>'Avg Week KALERWE-GAYAZA'!N21+'Avg Week GAYAZA-KALERWE'!N21</f>
        <v>0</v>
      </c>
      <c r="O21" s="15">
        <f t="shared" si="0"/>
        <v>285.71428571428567</v>
      </c>
      <c r="P21" s="15">
        <f t="shared" si="1"/>
        <v>765.71428571428567</v>
      </c>
      <c r="R21" s="36" t="s">
        <v>20</v>
      </c>
      <c r="S21" s="34">
        <f t="shared" ref="S21:AF21" si="13">SUM(C54:C57)</f>
        <v>529.71428571428567</v>
      </c>
      <c r="T21" s="17">
        <f t="shared" si="13"/>
        <v>109</v>
      </c>
      <c r="U21" s="17">
        <f t="shared" si="13"/>
        <v>69.857142857142861</v>
      </c>
      <c r="V21" s="17">
        <f t="shared" si="13"/>
        <v>500</v>
      </c>
      <c r="W21" s="17">
        <f t="shared" si="13"/>
        <v>15.285714285714285</v>
      </c>
      <c r="X21" s="17">
        <f t="shared" si="13"/>
        <v>10</v>
      </c>
      <c r="Y21" s="17">
        <f t="shared" si="13"/>
        <v>58</v>
      </c>
      <c r="Z21" s="17">
        <f t="shared" si="13"/>
        <v>27.714285714285715</v>
      </c>
      <c r="AA21" s="17">
        <f t="shared" si="13"/>
        <v>8.2857142857142865</v>
      </c>
      <c r="AB21" s="17">
        <f t="shared" si="13"/>
        <v>4.5714285714285712</v>
      </c>
      <c r="AC21" s="17">
        <f t="shared" si="13"/>
        <v>2095.4285714285711</v>
      </c>
      <c r="AD21" s="17">
        <f t="shared" si="13"/>
        <v>0</v>
      </c>
      <c r="AE21" s="31">
        <f t="shared" si="13"/>
        <v>1332.4285714285711</v>
      </c>
      <c r="AF21" s="31">
        <f t="shared" si="13"/>
        <v>3427.8571428571427</v>
      </c>
    </row>
    <row r="22" spans="2:32" ht="23.1" customHeight="1" x14ac:dyDescent="0.25">
      <c r="B22" s="23" t="s">
        <v>49</v>
      </c>
      <c r="C22" s="49">
        <f>'Avg Week KALERWE-GAYAZA'!C22+'Avg Week GAYAZA-KALERWE'!C22</f>
        <v>109.57142857142858</v>
      </c>
      <c r="D22" s="49">
        <f>'Avg Week KALERWE-GAYAZA'!D22+'Avg Week GAYAZA-KALERWE'!D22</f>
        <v>25</v>
      </c>
      <c r="E22" s="49">
        <f>'Avg Week KALERWE-GAYAZA'!E22+'Avg Week GAYAZA-KALERWE'!E22</f>
        <v>21.571428571428569</v>
      </c>
      <c r="F22" s="49">
        <f>'Avg Week KALERWE-GAYAZA'!F22+'Avg Week GAYAZA-KALERWE'!F22</f>
        <v>134</v>
      </c>
      <c r="G22" s="49">
        <f>'Avg Week KALERWE-GAYAZA'!G22+'Avg Week GAYAZA-KALERWE'!G22</f>
        <v>1.4285714285714284</v>
      </c>
      <c r="H22" s="49">
        <f>'Avg Week KALERWE-GAYAZA'!H22+'Avg Week GAYAZA-KALERWE'!H22</f>
        <v>1.4285714285714284</v>
      </c>
      <c r="I22" s="49">
        <f>'Avg Week KALERWE-GAYAZA'!I22+'Avg Week GAYAZA-KALERWE'!I22</f>
        <v>12.714285714285715</v>
      </c>
      <c r="J22" s="49">
        <f>'Avg Week KALERWE-GAYAZA'!J22+'Avg Week GAYAZA-KALERWE'!J22</f>
        <v>7</v>
      </c>
      <c r="K22" s="49">
        <f>'Avg Week KALERWE-GAYAZA'!K22+'Avg Week GAYAZA-KALERWE'!K22</f>
        <v>2.4285714285714284</v>
      </c>
      <c r="L22" s="49">
        <f>'Avg Week KALERWE-GAYAZA'!L22+'Avg Week GAYAZA-KALERWE'!L22</f>
        <v>1.5714285714285714</v>
      </c>
      <c r="M22" s="49">
        <f>'Avg Week KALERWE-GAYAZA'!M22+'Avg Week GAYAZA-KALERWE'!M22</f>
        <v>477</v>
      </c>
      <c r="N22" s="49">
        <f>'Avg Week KALERWE-GAYAZA'!N22+'Avg Week GAYAZA-KALERWE'!N22</f>
        <v>0.14285714285714285</v>
      </c>
      <c r="O22" s="15">
        <f t="shared" si="0"/>
        <v>316.85714285714295</v>
      </c>
      <c r="P22" s="15">
        <f t="shared" si="1"/>
        <v>793.85714285714289</v>
      </c>
      <c r="R22" s="1" t="s">
        <v>146</v>
      </c>
      <c r="S22" s="34">
        <f>SUM(C58:C61)</f>
        <v>439.5</v>
      </c>
      <c r="T22" s="34">
        <f t="shared" ref="T22:AF22" si="14">SUM(D58:D61)</f>
        <v>165</v>
      </c>
      <c r="U22" s="34">
        <f t="shared" si="14"/>
        <v>88</v>
      </c>
      <c r="V22" s="34">
        <f t="shared" si="14"/>
        <v>263.5</v>
      </c>
      <c r="W22" s="34">
        <f t="shared" si="14"/>
        <v>17</v>
      </c>
      <c r="X22" s="34">
        <f t="shared" si="14"/>
        <v>8</v>
      </c>
      <c r="Y22" s="34">
        <f t="shared" si="14"/>
        <v>63</v>
      </c>
      <c r="Z22" s="34">
        <f t="shared" si="14"/>
        <v>29.5</v>
      </c>
      <c r="AA22" s="34">
        <f t="shared" si="14"/>
        <v>8</v>
      </c>
      <c r="AB22" s="34">
        <f t="shared" si="14"/>
        <v>7.5</v>
      </c>
      <c r="AC22" s="34">
        <f t="shared" si="14"/>
        <v>2610</v>
      </c>
      <c r="AD22" s="34">
        <f t="shared" si="14"/>
        <v>0</v>
      </c>
      <c r="AE22" s="31">
        <f t="shared" si="14"/>
        <v>1089</v>
      </c>
      <c r="AF22" s="31">
        <f t="shared" si="14"/>
        <v>3699</v>
      </c>
    </row>
    <row r="23" spans="2:32" ht="23.1" customHeight="1" x14ac:dyDescent="0.25">
      <c r="B23" s="23" t="s">
        <v>50</v>
      </c>
      <c r="C23" s="49">
        <f>'Avg Week KALERWE-GAYAZA'!C23+'Avg Week GAYAZA-KALERWE'!C23</f>
        <v>116.85714285714286</v>
      </c>
      <c r="D23" s="49">
        <f>'Avg Week KALERWE-GAYAZA'!D23+'Avg Week GAYAZA-KALERWE'!D23</f>
        <v>30.428571428571431</v>
      </c>
      <c r="E23" s="49">
        <f>'Avg Week KALERWE-GAYAZA'!E23+'Avg Week GAYAZA-KALERWE'!E23</f>
        <v>22.285714285714285</v>
      </c>
      <c r="F23" s="49">
        <f>'Avg Week KALERWE-GAYAZA'!F23+'Avg Week GAYAZA-KALERWE'!F23</f>
        <v>108.28571428571428</v>
      </c>
      <c r="G23" s="49">
        <f>'Avg Week KALERWE-GAYAZA'!G23+'Avg Week GAYAZA-KALERWE'!G23</f>
        <v>2.1428571428571428</v>
      </c>
      <c r="H23" s="49">
        <f>'Avg Week KALERWE-GAYAZA'!H23+'Avg Week GAYAZA-KALERWE'!H23</f>
        <v>1.1428571428571428</v>
      </c>
      <c r="I23" s="49">
        <f>'Avg Week KALERWE-GAYAZA'!I23+'Avg Week GAYAZA-KALERWE'!I23</f>
        <v>12.285714285714285</v>
      </c>
      <c r="J23" s="49">
        <f>'Avg Week KALERWE-GAYAZA'!J23+'Avg Week GAYAZA-KALERWE'!J23</f>
        <v>10.142857142857142</v>
      </c>
      <c r="K23" s="49">
        <f>'Avg Week KALERWE-GAYAZA'!K23+'Avg Week GAYAZA-KALERWE'!K23</f>
        <v>3.4285714285714288</v>
      </c>
      <c r="L23" s="49">
        <f>'Avg Week KALERWE-GAYAZA'!L23+'Avg Week GAYAZA-KALERWE'!L23</f>
        <v>1.5714285714285714</v>
      </c>
      <c r="M23" s="49">
        <f>'Avg Week KALERWE-GAYAZA'!M23+'Avg Week GAYAZA-KALERWE'!M23</f>
        <v>496.85714285714289</v>
      </c>
      <c r="N23" s="49">
        <f>'Avg Week KALERWE-GAYAZA'!N23+'Avg Week GAYAZA-KALERWE'!N23</f>
        <v>0</v>
      </c>
      <c r="O23" s="15">
        <f t="shared" si="0"/>
        <v>308.57142857142861</v>
      </c>
      <c r="P23" s="15">
        <f t="shared" si="1"/>
        <v>805.42857142857156</v>
      </c>
      <c r="R23" s="1" t="s">
        <v>147</v>
      </c>
      <c r="S23" s="34">
        <f>SUM(C62:C65)</f>
        <v>371.5</v>
      </c>
      <c r="T23" s="34">
        <f t="shared" ref="T23:AF23" si="15">SUM(D62:D65)</f>
        <v>127</v>
      </c>
      <c r="U23" s="34">
        <f t="shared" si="15"/>
        <v>64</v>
      </c>
      <c r="V23" s="34">
        <f t="shared" si="15"/>
        <v>275.5</v>
      </c>
      <c r="W23" s="34">
        <f t="shared" si="15"/>
        <v>9</v>
      </c>
      <c r="X23" s="34">
        <f t="shared" si="15"/>
        <v>4</v>
      </c>
      <c r="Y23" s="34">
        <f t="shared" si="15"/>
        <v>36.5</v>
      </c>
      <c r="Z23" s="34">
        <f t="shared" si="15"/>
        <v>28</v>
      </c>
      <c r="AA23" s="34">
        <f t="shared" si="15"/>
        <v>9.5</v>
      </c>
      <c r="AB23" s="34">
        <f t="shared" si="15"/>
        <v>5.5</v>
      </c>
      <c r="AC23" s="34">
        <f t="shared" si="15"/>
        <v>3109.5</v>
      </c>
      <c r="AD23" s="34">
        <f t="shared" si="15"/>
        <v>0</v>
      </c>
      <c r="AE23" s="31">
        <f t="shared" si="15"/>
        <v>930.5</v>
      </c>
      <c r="AF23" s="31">
        <f t="shared" si="15"/>
        <v>4040</v>
      </c>
    </row>
    <row r="24" spans="2:32" ht="23.1" customHeight="1" x14ac:dyDescent="0.25">
      <c r="B24" s="23" t="s">
        <v>51</v>
      </c>
      <c r="C24" s="49">
        <f>'Avg Week KALERWE-GAYAZA'!C24+'Avg Week GAYAZA-KALERWE'!C24</f>
        <v>125.57142857142856</v>
      </c>
      <c r="D24" s="49">
        <f>'Avg Week KALERWE-GAYAZA'!D24+'Avg Week GAYAZA-KALERWE'!D24</f>
        <v>24</v>
      </c>
      <c r="E24" s="49">
        <f>'Avg Week KALERWE-GAYAZA'!E24+'Avg Week GAYAZA-KALERWE'!E24</f>
        <v>22</v>
      </c>
      <c r="F24" s="49">
        <f>'Avg Week KALERWE-GAYAZA'!F24+'Avg Week GAYAZA-KALERWE'!F24</f>
        <v>114.42857142857143</v>
      </c>
      <c r="G24" s="49">
        <f>'Avg Week KALERWE-GAYAZA'!G24+'Avg Week GAYAZA-KALERWE'!G24</f>
        <v>1.4285714285714284</v>
      </c>
      <c r="H24" s="49">
        <f>'Avg Week KALERWE-GAYAZA'!H24+'Avg Week GAYAZA-KALERWE'!H24</f>
        <v>0.5714285714285714</v>
      </c>
      <c r="I24" s="49">
        <f>'Avg Week KALERWE-GAYAZA'!I24+'Avg Week GAYAZA-KALERWE'!I24</f>
        <v>18.857142857142858</v>
      </c>
      <c r="J24" s="49">
        <f>'Avg Week KALERWE-GAYAZA'!J24+'Avg Week GAYAZA-KALERWE'!J24</f>
        <v>8.4285714285714288</v>
      </c>
      <c r="K24" s="49">
        <f>'Avg Week KALERWE-GAYAZA'!K24+'Avg Week GAYAZA-KALERWE'!K24</f>
        <v>4</v>
      </c>
      <c r="L24" s="49">
        <f>'Avg Week KALERWE-GAYAZA'!L24+'Avg Week GAYAZA-KALERWE'!L24</f>
        <v>3.4285714285714288</v>
      </c>
      <c r="M24" s="49">
        <f>'Avg Week KALERWE-GAYAZA'!M24+'Avg Week GAYAZA-KALERWE'!M24</f>
        <v>495.57142857142856</v>
      </c>
      <c r="N24" s="49">
        <f>'Avg Week KALERWE-GAYAZA'!N24+'Avg Week GAYAZA-KALERWE'!N24</f>
        <v>0</v>
      </c>
      <c r="O24" s="15">
        <f t="shared" si="0"/>
        <v>322.71428571428572</v>
      </c>
      <c r="P24" s="15">
        <f t="shared" si="1"/>
        <v>818.28571428571422</v>
      </c>
      <c r="R24" s="1" t="s">
        <v>148</v>
      </c>
      <c r="S24" s="34">
        <f>SUM(C66:C69)</f>
        <v>370.5</v>
      </c>
      <c r="T24" s="34">
        <f t="shared" ref="T24:AF24" si="16">SUM(D66:D69)</f>
        <v>119.5</v>
      </c>
      <c r="U24" s="34">
        <f t="shared" si="16"/>
        <v>61.5</v>
      </c>
      <c r="V24" s="34">
        <f t="shared" si="16"/>
        <v>333</v>
      </c>
      <c r="W24" s="34">
        <f t="shared" si="16"/>
        <v>11</v>
      </c>
      <c r="X24" s="34">
        <f t="shared" si="16"/>
        <v>6</v>
      </c>
      <c r="Y24" s="34">
        <f t="shared" si="16"/>
        <v>23.5</v>
      </c>
      <c r="Z24" s="34">
        <f t="shared" si="16"/>
        <v>19.5</v>
      </c>
      <c r="AA24" s="34">
        <f t="shared" si="16"/>
        <v>7.5</v>
      </c>
      <c r="AB24" s="34">
        <f t="shared" si="16"/>
        <v>9</v>
      </c>
      <c r="AC24" s="34">
        <f t="shared" si="16"/>
        <v>2190</v>
      </c>
      <c r="AD24" s="34">
        <f t="shared" si="16"/>
        <v>0</v>
      </c>
      <c r="AE24" s="31">
        <f t="shared" si="16"/>
        <v>961</v>
      </c>
      <c r="AF24" s="31">
        <f t="shared" si="16"/>
        <v>3151</v>
      </c>
    </row>
    <row r="25" spans="2:32" ht="23.1" customHeight="1" x14ac:dyDescent="0.25">
      <c r="B25" s="23" t="s">
        <v>52</v>
      </c>
      <c r="C25" s="49">
        <f>'Avg Week KALERWE-GAYAZA'!C25+'Avg Week GAYAZA-KALERWE'!C25</f>
        <v>129.57142857142856</v>
      </c>
      <c r="D25" s="49">
        <f>'Avg Week KALERWE-GAYAZA'!D25+'Avg Week GAYAZA-KALERWE'!D25</f>
        <v>24</v>
      </c>
      <c r="E25" s="49">
        <f>'Avg Week KALERWE-GAYAZA'!E25+'Avg Week GAYAZA-KALERWE'!E25</f>
        <v>17.285714285714285</v>
      </c>
      <c r="F25" s="49">
        <f>'Avg Week KALERWE-GAYAZA'!F25+'Avg Week GAYAZA-KALERWE'!F25</f>
        <v>118.57142857142857</v>
      </c>
      <c r="G25" s="49">
        <f>'Avg Week KALERWE-GAYAZA'!G25+'Avg Week GAYAZA-KALERWE'!G25</f>
        <v>1.5714285714285714</v>
      </c>
      <c r="H25" s="49">
        <f>'Avg Week KALERWE-GAYAZA'!H25+'Avg Week GAYAZA-KALERWE'!H25</f>
        <v>0.71428571428571419</v>
      </c>
      <c r="I25" s="49">
        <f>'Avg Week KALERWE-GAYAZA'!I25+'Avg Week GAYAZA-KALERWE'!I25</f>
        <v>20</v>
      </c>
      <c r="J25" s="49">
        <f>'Avg Week KALERWE-GAYAZA'!J25+'Avg Week GAYAZA-KALERWE'!J25</f>
        <v>11</v>
      </c>
      <c r="K25" s="49">
        <f>'Avg Week KALERWE-GAYAZA'!K25+'Avg Week GAYAZA-KALERWE'!K25</f>
        <v>4.4285714285714288</v>
      </c>
      <c r="L25" s="49">
        <f>'Avg Week KALERWE-GAYAZA'!L25+'Avg Week GAYAZA-KALERWE'!L25</f>
        <v>2.5714285714285712</v>
      </c>
      <c r="M25" s="49">
        <f>'Avg Week KALERWE-GAYAZA'!M25+'Avg Week GAYAZA-KALERWE'!M25</f>
        <v>446.14285714285711</v>
      </c>
      <c r="N25" s="49">
        <f>'Avg Week KALERWE-GAYAZA'!N25+'Avg Week GAYAZA-KALERWE'!N25</f>
        <v>0</v>
      </c>
      <c r="O25" s="15">
        <f t="shared" si="0"/>
        <v>329.71428571428567</v>
      </c>
      <c r="P25" s="15">
        <f t="shared" si="1"/>
        <v>775.85714285714278</v>
      </c>
      <c r="R25" s="1" t="s">
        <v>149</v>
      </c>
      <c r="S25" s="34">
        <f>SUM(C70:C73)</f>
        <v>338.5</v>
      </c>
      <c r="T25" s="34">
        <f t="shared" ref="T25:AF25" si="17">SUM(D70:D73)</f>
        <v>117</v>
      </c>
      <c r="U25" s="34">
        <f t="shared" si="17"/>
        <v>46</v>
      </c>
      <c r="V25" s="34">
        <f t="shared" si="17"/>
        <v>254.5</v>
      </c>
      <c r="W25" s="34">
        <f t="shared" si="17"/>
        <v>4.5</v>
      </c>
      <c r="X25" s="34">
        <f t="shared" si="17"/>
        <v>3</v>
      </c>
      <c r="Y25" s="34">
        <f t="shared" si="17"/>
        <v>33.5</v>
      </c>
      <c r="Z25" s="34">
        <f t="shared" si="17"/>
        <v>32.5</v>
      </c>
      <c r="AA25" s="34">
        <f t="shared" si="17"/>
        <v>11</v>
      </c>
      <c r="AB25" s="34">
        <f t="shared" si="17"/>
        <v>4.5</v>
      </c>
      <c r="AC25" s="34">
        <f t="shared" si="17"/>
        <v>1929.5</v>
      </c>
      <c r="AD25" s="34">
        <f t="shared" si="17"/>
        <v>0</v>
      </c>
      <c r="AE25" s="31">
        <f t="shared" si="17"/>
        <v>845</v>
      </c>
      <c r="AF25" s="31">
        <f t="shared" si="17"/>
        <v>2774.5</v>
      </c>
    </row>
    <row r="26" spans="2:32" ht="23.1" customHeight="1" x14ac:dyDescent="0.25">
      <c r="B26" s="23" t="s">
        <v>53</v>
      </c>
      <c r="C26" s="49">
        <f>'Avg Week KALERWE-GAYAZA'!C26+'Avg Week GAYAZA-KALERWE'!C26</f>
        <v>103.57142857142858</v>
      </c>
      <c r="D26" s="49">
        <f>'Avg Week KALERWE-GAYAZA'!D26+'Avg Week GAYAZA-KALERWE'!D26</f>
        <v>30.428571428571427</v>
      </c>
      <c r="E26" s="49">
        <f>'Avg Week KALERWE-GAYAZA'!E26+'Avg Week GAYAZA-KALERWE'!E26</f>
        <v>23.714285714285715</v>
      </c>
      <c r="F26" s="49">
        <f>'Avg Week KALERWE-GAYAZA'!F26+'Avg Week GAYAZA-KALERWE'!F26</f>
        <v>119.85714285714286</v>
      </c>
      <c r="G26" s="49">
        <f>'Avg Week KALERWE-GAYAZA'!G26+'Avg Week GAYAZA-KALERWE'!G26</f>
        <v>1.2857142857142856</v>
      </c>
      <c r="H26" s="49">
        <f>'Avg Week KALERWE-GAYAZA'!H26+'Avg Week GAYAZA-KALERWE'!H26</f>
        <v>1.7142857142857142</v>
      </c>
      <c r="I26" s="49">
        <f>'Avg Week KALERWE-GAYAZA'!I26+'Avg Week GAYAZA-KALERWE'!I26</f>
        <v>18.714285714285715</v>
      </c>
      <c r="J26" s="49">
        <f>'Avg Week KALERWE-GAYAZA'!J26+'Avg Week GAYAZA-KALERWE'!J26</f>
        <v>8.1428571428571423</v>
      </c>
      <c r="K26" s="49">
        <f>'Avg Week KALERWE-GAYAZA'!K26+'Avg Week GAYAZA-KALERWE'!K26</f>
        <v>3.7142857142857144</v>
      </c>
      <c r="L26" s="49">
        <f>'Avg Week KALERWE-GAYAZA'!L26+'Avg Week GAYAZA-KALERWE'!L26</f>
        <v>2.1428571428571428</v>
      </c>
      <c r="M26" s="49">
        <f>'Avg Week KALERWE-GAYAZA'!M26+'Avg Week GAYAZA-KALERWE'!M26</f>
        <v>471.57142857142856</v>
      </c>
      <c r="N26" s="49">
        <f>'Avg Week KALERWE-GAYAZA'!N26+'Avg Week GAYAZA-KALERWE'!N26</f>
        <v>0</v>
      </c>
      <c r="O26" s="15">
        <f t="shared" si="0"/>
        <v>313.28571428571433</v>
      </c>
      <c r="P26" s="15">
        <f t="shared" si="1"/>
        <v>784.85714285714289</v>
      </c>
      <c r="R26" s="1" t="s">
        <v>150</v>
      </c>
      <c r="S26" s="34">
        <f>SUM(C74:C77)</f>
        <v>343</v>
      </c>
      <c r="T26" s="34">
        <f t="shared" ref="T26:AF26" si="18">SUM(D74:D77)</f>
        <v>98</v>
      </c>
      <c r="U26" s="34">
        <f t="shared" si="18"/>
        <v>45</v>
      </c>
      <c r="V26" s="34">
        <f t="shared" si="18"/>
        <v>220</v>
      </c>
      <c r="W26" s="34">
        <f t="shared" si="18"/>
        <v>2</v>
      </c>
      <c r="X26" s="34">
        <f t="shared" si="18"/>
        <v>0.5</v>
      </c>
      <c r="Y26" s="34">
        <f t="shared" si="18"/>
        <v>29.5</v>
      </c>
      <c r="Z26" s="34">
        <f t="shared" si="18"/>
        <v>26</v>
      </c>
      <c r="AA26" s="34">
        <f t="shared" si="18"/>
        <v>8.5</v>
      </c>
      <c r="AB26" s="34">
        <f t="shared" si="18"/>
        <v>5</v>
      </c>
      <c r="AC26" s="34">
        <f t="shared" si="18"/>
        <v>1202</v>
      </c>
      <c r="AD26" s="34">
        <f t="shared" si="18"/>
        <v>0</v>
      </c>
      <c r="AE26" s="31">
        <f t="shared" si="18"/>
        <v>777.5</v>
      </c>
      <c r="AF26" s="31">
        <f t="shared" si="18"/>
        <v>1979.5</v>
      </c>
    </row>
    <row r="27" spans="2:32" ht="23.1" customHeight="1" x14ac:dyDescent="0.25">
      <c r="B27" s="23" t="s">
        <v>54</v>
      </c>
      <c r="C27" s="49">
        <f>'Avg Week KALERWE-GAYAZA'!C27+'Avg Week GAYAZA-KALERWE'!C27</f>
        <v>103.85714285714286</v>
      </c>
      <c r="D27" s="49">
        <f>'Avg Week KALERWE-GAYAZA'!D27+'Avg Week GAYAZA-KALERWE'!D27</f>
        <v>36.285714285714285</v>
      </c>
      <c r="E27" s="49">
        <f>'Avg Week KALERWE-GAYAZA'!E27+'Avg Week GAYAZA-KALERWE'!E27</f>
        <v>20.857142857142858</v>
      </c>
      <c r="F27" s="49">
        <f>'Avg Week KALERWE-GAYAZA'!F27+'Avg Week GAYAZA-KALERWE'!F27</f>
        <v>100.28571428571428</v>
      </c>
      <c r="G27" s="49">
        <f>'Avg Week KALERWE-GAYAZA'!G27+'Avg Week GAYAZA-KALERWE'!G27</f>
        <v>0.42857142857142855</v>
      </c>
      <c r="H27" s="49">
        <f>'Avg Week KALERWE-GAYAZA'!H27+'Avg Week GAYAZA-KALERWE'!H27</f>
        <v>1.1428571428571428</v>
      </c>
      <c r="I27" s="49">
        <f>'Avg Week KALERWE-GAYAZA'!I27+'Avg Week GAYAZA-KALERWE'!I27</f>
        <v>11.142857142857142</v>
      </c>
      <c r="J27" s="49">
        <f>'Avg Week KALERWE-GAYAZA'!J27+'Avg Week GAYAZA-KALERWE'!J27</f>
        <v>8.8571428571428577</v>
      </c>
      <c r="K27" s="49">
        <f>'Avg Week KALERWE-GAYAZA'!K27+'Avg Week GAYAZA-KALERWE'!K27</f>
        <v>3.1428571428571428</v>
      </c>
      <c r="L27" s="49">
        <f>'Avg Week KALERWE-GAYAZA'!L27+'Avg Week GAYAZA-KALERWE'!L27</f>
        <v>2.2857142857142856</v>
      </c>
      <c r="M27" s="49">
        <f>'Avg Week KALERWE-GAYAZA'!M27+'Avg Week GAYAZA-KALERWE'!M27</f>
        <v>433.57142857142856</v>
      </c>
      <c r="N27" s="49">
        <f>'Avg Week KALERWE-GAYAZA'!N27+'Avg Week GAYAZA-KALERWE'!N27</f>
        <v>0</v>
      </c>
      <c r="O27" s="15">
        <f t="shared" si="0"/>
        <v>288.28571428571433</v>
      </c>
      <c r="P27" s="15">
        <f t="shared" si="1"/>
        <v>721.85714285714289</v>
      </c>
      <c r="R27" s="1" t="s">
        <v>151</v>
      </c>
      <c r="S27" s="34">
        <f>SUM(C78:C81)</f>
        <v>194</v>
      </c>
      <c r="T27" s="34">
        <f t="shared" ref="T27:AF27" si="19">SUM(D78:D81)</f>
        <v>96.5</v>
      </c>
      <c r="U27" s="34">
        <f t="shared" si="19"/>
        <v>29</v>
      </c>
      <c r="V27" s="34">
        <f t="shared" si="19"/>
        <v>183.5</v>
      </c>
      <c r="W27" s="34">
        <f t="shared" si="19"/>
        <v>1.5</v>
      </c>
      <c r="X27" s="34">
        <f t="shared" si="19"/>
        <v>0</v>
      </c>
      <c r="Y27" s="34">
        <f t="shared" si="19"/>
        <v>9.5</v>
      </c>
      <c r="Z27" s="34">
        <f t="shared" si="19"/>
        <v>18</v>
      </c>
      <c r="AA27" s="34">
        <f t="shared" si="19"/>
        <v>6</v>
      </c>
      <c r="AB27" s="34">
        <f t="shared" si="19"/>
        <v>3.5</v>
      </c>
      <c r="AC27" s="34">
        <f t="shared" si="19"/>
        <v>603</v>
      </c>
      <c r="AD27" s="34">
        <f t="shared" si="19"/>
        <v>0</v>
      </c>
      <c r="AE27" s="31">
        <f t="shared" si="19"/>
        <v>541.5</v>
      </c>
      <c r="AF27" s="31">
        <f t="shared" si="19"/>
        <v>1144.5</v>
      </c>
    </row>
    <row r="28" spans="2:32" ht="23.1" customHeight="1" x14ac:dyDescent="0.25">
      <c r="B28" s="23" t="s">
        <v>55</v>
      </c>
      <c r="C28" s="49">
        <f>'Avg Week KALERWE-GAYAZA'!C28+'Avg Week GAYAZA-KALERWE'!C28</f>
        <v>107.28571428571428</v>
      </c>
      <c r="D28" s="49">
        <f>'Avg Week KALERWE-GAYAZA'!D28+'Avg Week GAYAZA-KALERWE'!D28</f>
        <v>24.571428571428569</v>
      </c>
      <c r="E28" s="49">
        <f>'Avg Week KALERWE-GAYAZA'!E28+'Avg Week GAYAZA-KALERWE'!E28</f>
        <v>18.142857142857142</v>
      </c>
      <c r="F28" s="49">
        <f>'Avg Week KALERWE-GAYAZA'!F28+'Avg Week GAYAZA-KALERWE'!F28</f>
        <v>97</v>
      </c>
      <c r="G28" s="49">
        <f>'Avg Week KALERWE-GAYAZA'!G28+'Avg Week GAYAZA-KALERWE'!G28</f>
        <v>1.5714285714285714</v>
      </c>
      <c r="H28" s="49">
        <f>'Avg Week KALERWE-GAYAZA'!H28+'Avg Week GAYAZA-KALERWE'!H28</f>
        <v>0.71428571428571419</v>
      </c>
      <c r="I28" s="49">
        <f>'Avg Week KALERWE-GAYAZA'!I28+'Avg Week GAYAZA-KALERWE'!I28</f>
        <v>17</v>
      </c>
      <c r="J28" s="49">
        <f>'Avg Week KALERWE-GAYAZA'!J28+'Avg Week GAYAZA-KALERWE'!J28</f>
        <v>8.8571428571428577</v>
      </c>
      <c r="K28" s="49">
        <f>'Avg Week KALERWE-GAYAZA'!K28+'Avg Week GAYAZA-KALERWE'!K28</f>
        <v>5.1428571428571423</v>
      </c>
      <c r="L28" s="49">
        <f>'Avg Week KALERWE-GAYAZA'!L28+'Avg Week GAYAZA-KALERWE'!L28</f>
        <v>1.5714285714285714</v>
      </c>
      <c r="M28" s="49">
        <f>'Avg Week KALERWE-GAYAZA'!M28+'Avg Week GAYAZA-KALERWE'!M28</f>
        <v>458.42857142857144</v>
      </c>
      <c r="N28" s="49">
        <f>'Avg Week KALERWE-GAYAZA'!N28+'Avg Week GAYAZA-KALERWE'!N28</f>
        <v>0</v>
      </c>
      <c r="O28" s="15">
        <f t="shared" si="0"/>
        <v>281.85714285714283</v>
      </c>
      <c r="P28" s="15">
        <f t="shared" si="1"/>
        <v>740.28571428571422</v>
      </c>
      <c r="R28" s="1" t="s">
        <v>152</v>
      </c>
      <c r="S28" s="34">
        <f>SUM(C82:C85)</f>
        <v>75.5</v>
      </c>
      <c r="T28" s="34">
        <f t="shared" ref="T28:AF28" si="20">SUM(D82:D85)</f>
        <v>20.5</v>
      </c>
      <c r="U28" s="34">
        <f t="shared" si="20"/>
        <v>12</v>
      </c>
      <c r="V28" s="34">
        <f t="shared" si="20"/>
        <v>24.5</v>
      </c>
      <c r="W28" s="34">
        <f t="shared" si="20"/>
        <v>1</v>
      </c>
      <c r="X28" s="34">
        <f t="shared" si="20"/>
        <v>1.5</v>
      </c>
      <c r="Y28" s="34">
        <f t="shared" si="20"/>
        <v>7</v>
      </c>
      <c r="Z28" s="34">
        <f t="shared" si="20"/>
        <v>17.5</v>
      </c>
      <c r="AA28" s="34">
        <f t="shared" si="20"/>
        <v>5</v>
      </c>
      <c r="AB28" s="34">
        <f t="shared" si="20"/>
        <v>3</v>
      </c>
      <c r="AC28" s="34">
        <f t="shared" si="20"/>
        <v>353.5</v>
      </c>
      <c r="AD28" s="34">
        <f t="shared" si="20"/>
        <v>0</v>
      </c>
      <c r="AE28" s="31">
        <f t="shared" si="20"/>
        <v>167.5</v>
      </c>
      <c r="AF28" s="31">
        <f t="shared" si="20"/>
        <v>521</v>
      </c>
    </row>
    <row r="29" spans="2:32" ht="23.1" customHeight="1" x14ac:dyDescent="0.25">
      <c r="B29" s="23" t="s">
        <v>56</v>
      </c>
      <c r="C29" s="49">
        <f>'Avg Week KALERWE-GAYAZA'!C29+'Avg Week GAYAZA-KALERWE'!C29</f>
        <v>107.57142857142857</v>
      </c>
      <c r="D29" s="49">
        <f>'Avg Week KALERWE-GAYAZA'!D29+'Avg Week GAYAZA-KALERWE'!D29</f>
        <v>20.142857142857142</v>
      </c>
      <c r="E29" s="49">
        <f>'Avg Week KALERWE-GAYAZA'!E29+'Avg Week GAYAZA-KALERWE'!E29</f>
        <v>19.571428571428569</v>
      </c>
      <c r="F29" s="49">
        <f>'Avg Week KALERWE-GAYAZA'!F29+'Avg Week GAYAZA-KALERWE'!F29</f>
        <v>90.714285714285722</v>
      </c>
      <c r="G29" s="49">
        <f>'Avg Week KALERWE-GAYAZA'!G29+'Avg Week GAYAZA-KALERWE'!G29</f>
        <v>1.4285714285714286</v>
      </c>
      <c r="H29" s="49">
        <f>'Avg Week KALERWE-GAYAZA'!H29+'Avg Week GAYAZA-KALERWE'!H29</f>
        <v>0.8571428571428571</v>
      </c>
      <c r="I29" s="49">
        <f>'Avg Week KALERWE-GAYAZA'!I29+'Avg Week GAYAZA-KALERWE'!I29</f>
        <v>22.857142857142858</v>
      </c>
      <c r="J29" s="49">
        <f>'Avg Week KALERWE-GAYAZA'!J29+'Avg Week GAYAZA-KALERWE'!J29</f>
        <v>11</v>
      </c>
      <c r="K29" s="49">
        <f>'Avg Week KALERWE-GAYAZA'!K29+'Avg Week GAYAZA-KALERWE'!K29</f>
        <v>3</v>
      </c>
      <c r="L29" s="49">
        <f>'Avg Week KALERWE-GAYAZA'!L29+'Avg Week GAYAZA-KALERWE'!L29</f>
        <v>2.2857142857142856</v>
      </c>
      <c r="M29" s="49">
        <f>'Avg Week KALERWE-GAYAZA'!M29+'Avg Week GAYAZA-KALERWE'!M29</f>
        <v>396</v>
      </c>
      <c r="N29" s="49">
        <f>'Avg Week KALERWE-GAYAZA'!N29+'Avg Week GAYAZA-KALERWE'!N29</f>
        <v>0</v>
      </c>
      <c r="O29" s="15">
        <f t="shared" si="0"/>
        <v>279.42857142857139</v>
      </c>
      <c r="P29" s="15">
        <f t="shared" si="1"/>
        <v>675.42857142857133</v>
      </c>
      <c r="R29" s="1" t="s">
        <v>153</v>
      </c>
      <c r="S29" s="34">
        <f>SUM(C86:C89)</f>
        <v>62</v>
      </c>
      <c r="T29" s="34">
        <f t="shared" ref="T29:AF29" si="21">SUM(D86:D89)</f>
        <v>15.5</v>
      </c>
      <c r="U29" s="34">
        <f t="shared" si="21"/>
        <v>7.5</v>
      </c>
      <c r="V29" s="34">
        <f t="shared" si="21"/>
        <v>10</v>
      </c>
      <c r="W29" s="34">
        <f t="shared" si="21"/>
        <v>0</v>
      </c>
      <c r="X29" s="34">
        <f t="shared" si="21"/>
        <v>0</v>
      </c>
      <c r="Y29" s="34">
        <f t="shared" si="21"/>
        <v>13</v>
      </c>
      <c r="Z29" s="34">
        <f t="shared" si="21"/>
        <v>13</v>
      </c>
      <c r="AA29" s="34">
        <f t="shared" si="21"/>
        <v>1.5</v>
      </c>
      <c r="AB29" s="34">
        <f t="shared" si="21"/>
        <v>3.5</v>
      </c>
      <c r="AC29" s="34">
        <f t="shared" si="21"/>
        <v>292.5</v>
      </c>
      <c r="AD29" s="34">
        <f t="shared" si="21"/>
        <v>0</v>
      </c>
      <c r="AE29" s="31">
        <f t="shared" si="21"/>
        <v>126</v>
      </c>
      <c r="AF29" s="31">
        <f t="shared" si="21"/>
        <v>418.5</v>
      </c>
    </row>
    <row r="30" spans="2:32" ht="23.1" customHeight="1" x14ac:dyDescent="0.25">
      <c r="B30" s="23" t="s">
        <v>57</v>
      </c>
      <c r="C30" s="49">
        <f>'Avg Week KALERWE-GAYAZA'!C30+'Avg Week GAYAZA-KALERWE'!C30</f>
        <v>124.57142857142857</v>
      </c>
      <c r="D30" s="49">
        <f>'Avg Week KALERWE-GAYAZA'!D30+'Avg Week GAYAZA-KALERWE'!D30</f>
        <v>25.571428571428569</v>
      </c>
      <c r="E30" s="49">
        <f>'Avg Week KALERWE-GAYAZA'!E30+'Avg Week GAYAZA-KALERWE'!E30</f>
        <v>22</v>
      </c>
      <c r="F30" s="49">
        <f>'Avg Week KALERWE-GAYAZA'!F30+'Avg Week GAYAZA-KALERWE'!F30</f>
        <v>118.71428571428572</v>
      </c>
      <c r="G30" s="49">
        <f>'Avg Week KALERWE-GAYAZA'!G30+'Avg Week GAYAZA-KALERWE'!G30</f>
        <v>1.4285714285714284</v>
      </c>
      <c r="H30" s="49">
        <f>'Avg Week KALERWE-GAYAZA'!H30+'Avg Week GAYAZA-KALERWE'!H30</f>
        <v>1.1428571428571428</v>
      </c>
      <c r="I30" s="49">
        <f>'Avg Week KALERWE-GAYAZA'!I30+'Avg Week GAYAZA-KALERWE'!I30</f>
        <v>16.857142857142858</v>
      </c>
      <c r="J30" s="49">
        <f>'Avg Week KALERWE-GAYAZA'!J30+'Avg Week GAYAZA-KALERWE'!J30</f>
        <v>12.428571428571429</v>
      </c>
      <c r="K30" s="49">
        <f>'Avg Week KALERWE-GAYAZA'!K30+'Avg Week GAYAZA-KALERWE'!K30</f>
        <v>4.7142857142857144</v>
      </c>
      <c r="L30" s="49">
        <f>'Avg Week KALERWE-GAYAZA'!L30+'Avg Week GAYAZA-KALERWE'!L30</f>
        <v>2.8571428571428568</v>
      </c>
      <c r="M30" s="49">
        <f>'Avg Week KALERWE-GAYAZA'!M30+'Avg Week GAYAZA-KALERWE'!M30</f>
        <v>446.14285714285711</v>
      </c>
      <c r="N30" s="49">
        <f>'Avg Week KALERWE-GAYAZA'!N30+'Avg Week GAYAZA-KALERWE'!N30</f>
        <v>0</v>
      </c>
      <c r="O30" s="15">
        <f t="shared" si="0"/>
        <v>330.28571428571433</v>
      </c>
      <c r="P30" s="15">
        <f t="shared" si="1"/>
        <v>776.42857142857144</v>
      </c>
      <c r="R30" s="1" t="s">
        <v>154</v>
      </c>
      <c r="S30" s="34">
        <f>SUM(C90:C93)</f>
        <v>57</v>
      </c>
      <c r="T30" s="34">
        <f t="shared" ref="T30:AF30" si="22">SUM(D90:D93)</f>
        <v>13.5</v>
      </c>
      <c r="U30" s="34">
        <f t="shared" si="22"/>
        <v>7</v>
      </c>
      <c r="V30" s="34">
        <f t="shared" si="22"/>
        <v>21</v>
      </c>
      <c r="W30" s="34">
        <f t="shared" si="22"/>
        <v>0.5</v>
      </c>
      <c r="X30" s="34">
        <f t="shared" si="22"/>
        <v>0</v>
      </c>
      <c r="Y30" s="34">
        <f t="shared" si="22"/>
        <v>19</v>
      </c>
      <c r="Z30" s="34">
        <f t="shared" si="22"/>
        <v>8.5</v>
      </c>
      <c r="AA30" s="34">
        <f t="shared" si="22"/>
        <v>2</v>
      </c>
      <c r="AB30" s="34">
        <f t="shared" si="22"/>
        <v>3.5</v>
      </c>
      <c r="AC30" s="34">
        <f t="shared" si="22"/>
        <v>290.5</v>
      </c>
      <c r="AD30" s="34">
        <f t="shared" si="22"/>
        <v>0</v>
      </c>
      <c r="AE30" s="31">
        <f t="shared" si="22"/>
        <v>132</v>
      </c>
      <c r="AF30" s="31">
        <f t="shared" si="22"/>
        <v>422.5</v>
      </c>
    </row>
    <row r="31" spans="2:32" ht="23.1" customHeight="1" x14ac:dyDescent="0.25">
      <c r="B31" s="24" t="s">
        <v>58</v>
      </c>
      <c r="C31" s="49">
        <f>'Avg Week KALERWE-GAYAZA'!C31+'Avg Week GAYAZA-KALERWE'!C31</f>
        <v>116.14285714285714</v>
      </c>
      <c r="D31" s="49">
        <f>'Avg Week KALERWE-GAYAZA'!D31+'Avg Week GAYAZA-KALERWE'!D31</f>
        <v>18.285714285714285</v>
      </c>
      <c r="E31" s="49">
        <f>'Avg Week KALERWE-GAYAZA'!E31+'Avg Week GAYAZA-KALERWE'!E31</f>
        <v>20.285714285714285</v>
      </c>
      <c r="F31" s="49">
        <f>'Avg Week KALERWE-GAYAZA'!F31+'Avg Week GAYAZA-KALERWE'!F31</f>
        <v>113</v>
      </c>
      <c r="G31" s="49">
        <f>'Avg Week KALERWE-GAYAZA'!G31+'Avg Week GAYAZA-KALERWE'!G31</f>
        <v>0.8571428571428571</v>
      </c>
      <c r="H31" s="49">
        <f>'Avg Week KALERWE-GAYAZA'!H31+'Avg Week GAYAZA-KALERWE'!H31</f>
        <v>0.5714285714285714</v>
      </c>
      <c r="I31" s="49">
        <f>'Avg Week KALERWE-GAYAZA'!I31+'Avg Week GAYAZA-KALERWE'!I31</f>
        <v>14.857142857142858</v>
      </c>
      <c r="J31" s="49">
        <f>'Avg Week KALERWE-GAYAZA'!J31+'Avg Week GAYAZA-KALERWE'!J31</f>
        <v>9</v>
      </c>
      <c r="K31" s="49">
        <f>'Avg Week KALERWE-GAYAZA'!K31+'Avg Week GAYAZA-KALERWE'!K31</f>
        <v>4</v>
      </c>
      <c r="L31" s="49">
        <f>'Avg Week KALERWE-GAYAZA'!L31+'Avg Week GAYAZA-KALERWE'!L31</f>
        <v>2.1428571428571428</v>
      </c>
      <c r="M31" s="49">
        <f>'Avg Week KALERWE-GAYAZA'!M31+'Avg Week GAYAZA-KALERWE'!M31</f>
        <v>419.71428571428572</v>
      </c>
      <c r="N31" s="49">
        <f>'Avg Week KALERWE-GAYAZA'!N31+'Avg Week GAYAZA-KALERWE'!N31</f>
        <v>0</v>
      </c>
      <c r="O31" s="15">
        <f t="shared" si="0"/>
        <v>299.14285714285705</v>
      </c>
      <c r="P31" s="15">
        <f t="shared" si="1"/>
        <v>718.85714285714278</v>
      </c>
      <c r="R31" s="1" t="s">
        <v>155</v>
      </c>
      <c r="S31" s="34">
        <f>SUM(C94:C97)</f>
        <v>98</v>
      </c>
      <c r="T31" s="34">
        <f t="shared" ref="T31:AF31" si="23">SUM(D94:D97)</f>
        <v>13.5</v>
      </c>
      <c r="U31" s="34">
        <f t="shared" si="23"/>
        <v>9</v>
      </c>
      <c r="V31" s="34">
        <f t="shared" si="23"/>
        <v>46.5</v>
      </c>
      <c r="W31" s="34">
        <f t="shared" si="23"/>
        <v>0</v>
      </c>
      <c r="X31" s="34">
        <f t="shared" si="23"/>
        <v>2</v>
      </c>
      <c r="Y31" s="34">
        <f t="shared" si="23"/>
        <v>47.5</v>
      </c>
      <c r="Z31" s="34">
        <f t="shared" si="23"/>
        <v>22.5</v>
      </c>
      <c r="AA31" s="34">
        <f t="shared" si="23"/>
        <v>3.5</v>
      </c>
      <c r="AB31" s="34">
        <f t="shared" si="23"/>
        <v>3.5</v>
      </c>
      <c r="AC31" s="34">
        <f t="shared" si="23"/>
        <v>367.5</v>
      </c>
      <c r="AD31" s="34">
        <f t="shared" si="23"/>
        <v>0</v>
      </c>
      <c r="AE31" s="31">
        <f t="shared" si="23"/>
        <v>246</v>
      </c>
      <c r="AF31" s="31">
        <f t="shared" si="23"/>
        <v>613.5</v>
      </c>
    </row>
    <row r="32" spans="2:32" ht="23.1" customHeight="1" x14ac:dyDescent="0.25">
      <c r="B32" s="24" t="s">
        <v>59</v>
      </c>
      <c r="C32" s="49">
        <f>'Avg Week KALERWE-GAYAZA'!C32+'Avg Week GAYAZA-KALERWE'!C32</f>
        <v>112</v>
      </c>
      <c r="D32" s="49">
        <f>'Avg Week KALERWE-GAYAZA'!D32+'Avg Week GAYAZA-KALERWE'!D32</f>
        <v>21.714285714285715</v>
      </c>
      <c r="E32" s="49">
        <f>'Avg Week KALERWE-GAYAZA'!E32+'Avg Week GAYAZA-KALERWE'!E32</f>
        <v>22.285714285714285</v>
      </c>
      <c r="F32" s="49">
        <f>'Avg Week KALERWE-GAYAZA'!F32+'Avg Week GAYAZA-KALERWE'!F32</f>
        <v>103.57142857142857</v>
      </c>
      <c r="G32" s="49">
        <f>'Avg Week KALERWE-GAYAZA'!G32+'Avg Week GAYAZA-KALERWE'!G32</f>
        <v>1</v>
      </c>
      <c r="H32" s="49">
        <f>'Avg Week KALERWE-GAYAZA'!H32+'Avg Week GAYAZA-KALERWE'!H32</f>
        <v>0.71428571428571419</v>
      </c>
      <c r="I32" s="49">
        <f>'Avg Week KALERWE-GAYAZA'!I32+'Avg Week GAYAZA-KALERWE'!I32</f>
        <v>15.428571428571427</v>
      </c>
      <c r="J32" s="49">
        <f>'Avg Week KALERWE-GAYAZA'!J32+'Avg Week GAYAZA-KALERWE'!J32</f>
        <v>8.4285714285714288</v>
      </c>
      <c r="K32" s="49">
        <f>'Avg Week KALERWE-GAYAZA'!K32+'Avg Week GAYAZA-KALERWE'!K32</f>
        <v>3</v>
      </c>
      <c r="L32" s="49">
        <f>'Avg Week KALERWE-GAYAZA'!L32+'Avg Week GAYAZA-KALERWE'!L32</f>
        <v>1.7142857142857144</v>
      </c>
      <c r="M32" s="49">
        <f>'Avg Week KALERWE-GAYAZA'!M32+'Avg Week GAYAZA-KALERWE'!M32</f>
        <v>387.57142857142861</v>
      </c>
      <c r="N32" s="49">
        <f>'Avg Week KALERWE-GAYAZA'!N32+'Avg Week GAYAZA-KALERWE'!N32</f>
        <v>0</v>
      </c>
      <c r="O32" s="15">
        <f t="shared" si="0"/>
        <v>289.85714285714289</v>
      </c>
      <c r="P32" s="15">
        <f t="shared" si="1"/>
        <v>677.42857142857156</v>
      </c>
      <c r="R32" s="1" t="s">
        <v>156</v>
      </c>
      <c r="S32" s="34">
        <f>SUM(C98:C101)</f>
        <v>102</v>
      </c>
      <c r="T32" s="34">
        <f t="shared" ref="T32:AF32" si="24">SUM(D98:D101)</f>
        <v>19.5</v>
      </c>
      <c r="U32" s="34">
        <f t="shared" si="24"/>
        <v>14.5</v>
      </c>
      <c r="V32" s="34">
        <f t="shared" si="24"/>
        <v>127</v>
      </c>
      <c r="W32" s="34">
        <f t="shared" si="24"/>
        <v>0.5</v>
      </c>
      <c r="X32" s="34">
        <f t="shared" si="24"/>
        <v>0.5</v>
      </c>
      <c r="Y32" s="34">
        <f t="shared" si="24"/>
        <v>12</v>
      </c>
      <c r="Z32" s="34">
        <f t="shared" si="24"/>
        <v>17.5</v>
      </c>
      <c r="AA32" s="34">
        <f t="shared" si="24"/>
        <v>6.5</v>
      </c>
      <c r="AB32" s="34">
        <f t="shared" si="24"/>
        <v>6.5</v>
      </c>
      <c r="AC32" s="34">
        <f t="shared" si="24"/>
        <v>592</v>
      </c>
      <c r="AD32" s="34">
        <f t="shared" si="24"/>
        <v>0</v>
      </c>
      <c r="AE32" s="31">
        <f t="shared" si="24"/>
        <v>306.5</v>
      </c>
      <c r="AF32" s="31">
        <f t="shared" si="24"/>
        <v>898.5</v>
      </c>
    </row>
    <row r="33" spans="2:32" ht="23.1" customHeight="1" x14ac:dyDescent="0.25">
      <c r="B33" s="23" t="s">
        <v>60</v>
      </c>
      <c r="C33" s="49">
        <f>'Avg Week KALERWE-GAYAZA'!C33+'Avg Week GAYAZA-KALERWE'!C33</f>
        <v>110.71428571428572</v>
      </c>
      <c r="D33" s="49">
        <f>'Avg Week KALERWE-GAYAZA'!D33+'Avg Week GAYAZA-KALERWE'!D33</f>
        <v>24.142857142857142</v>
      </c>
      <c r="E33" s="49">
        <f>'Avg Week KALERWE-GAYAZA'!E33+'Avg Week GAYAZA-KALERWE'!E33</f>
        <v>18.428571428571427</v>
      </c>
      <c r="F33" s="49">
        <f>'Avg Week KALERWE-GAYAZA'!F33+'Avg Week GAYAZA-KALERWE'!F33</f>
        <v>99.714285714285722</v>
      </c>
      <c r="G33" s="49">
        <f>'Avg Week KALERWE-GAYAZA'!G33+'Avg Week GAYAZA-KALERWE'!G33</f>
        <v>1.4285714285714284</v>
      </c>
      <c r="H33" s="49">
        <f>'Avg Week KALERWE-GAYAZA'!H33+'Avg Week GAYAZA-KALERWE'!H33</f>
        <v>1.5714285714285714</v>
      </c>
      <c r="I33" s="49">
        <f>'Avg Week KALERWE-GAYAZA'!I33+'Avg Week GAYAZA-KALERWE'!I33</f>
        <v>16.428571428571427</v>
      </c>
      <c r="J33" s="49">
        <f>'Avg Week KALERWE-GAYAZA'!J33+'Avg Week GAYAZA-KALERWE'!J33</f>
        <v>11.285714285714285</v>
      </c>
      <c r="K33" s="49">
        <f>'Avg Week KALERWE-GAYAZA'!K33+'Avg Week GAYAZA-KALERWE'!K33</f>
        <v>5.2857142857142856</v>
      </c>
      <c r="L33" s="49">
        <f>'Avg Week KALERWE-GAYAZA'!L33+'Avg Week GAYAZA-KALERWE'!L33</f>
        <v>2.8571428571428572</v>
      </c>
      <c r="M33" s="49">
        <f>'Avg Week KALERWE-GAYAZA'!M33+'Avg Week GAYAZA-KALERWE'!M33</f>
        <v>363.71428571428572</v>
      </c>
      <c r="N33" s="49">
        <f>'Avg Week KALERWE-GAYAZA'!N33+'Avg Week GAYAZA-KALERWE'!N33</f>
        <v>0</v>
      </c>
      <c r="O33" s="15">
        <f t="shared" si="0"/>
        <v>291.85714285714283</v>
      </c>
      <c r="P33" s="15">
        <f t="shared" si="1"/>
        <v>655.57142857142856</v>
      </c>
      <c r="R33" s="1" t="s">
        <v>157</v>
      </c>
      <c r="S33" s="34">
        <f>SUM(C102:C105)</f>
        <v>156.5</v>
      </c>
      <c r="T33" s="34">
        <f t="shared" ref="T33:AF33" si="25">SUM(D102:D105)</f>
        <v>39.5</v>
      </c>
      <c r="U33" s="34">
        <f t="shared" si="25"/>
        <v>34</v>
      </c>
      <c r="V33" s="34">
        <f t="shared" si="25"/>
        <v>252.5</v>
      </c>
      <c r="W33" s="34">
        <f t="shared" si="25"/>
        <v>3</v>
      </c>
      <c r="X33" s="34">
        <f t="shared" si="25"/>
        <v>2</v>
      </c>
      <c r="Y33" s="34">
        <f t="shared" si="25"/>
        <v>26.5</v>
      </c>
      <c r="Z33" s="34">
        <f t="shared" si="25"/>
        <v>29</v>
      </c>
      <c r="AA33" s="34">
        <f t="shared" si="25"/>
        <v>6.5</v>
      </c>
      <c r="AB33" s="34">
        <f t="shared" si="25"/>
        <v>8.5</v>
      </c>
      <c r="AC33" s="34">
        <f t="shared" si="25"/>
        <v>1103.5</v>
      </c>
      <c r="AD33" s="34">
        <f t="shared" si="25"/>
        <v>0</v>
      </c>
      <c r="AE33" s="31">
        <f t="shared" si="25"/>
        <v>558</v>
      </c>
      <c r="AF33" s="31">
        <f t="shared" si="25"/>
        <v>1661.5</v>
      </c>
    </row>
    <row r="34" spans="2:32" ht="23.1" customHeight="1" x14ac:dyDescent="0.25">
      <c r="B34" s="24" t="s">
        <v>61</v>
      </c>
      <c r="C34" s="49">
        <f>'Avg Week KALERWE-GAYAZA'!C34+'Avg Week GAYAZA-KALERWE'!C34</f>
        <v>110.57142857142857</v>
      </c>
      <c r="D34" s="49">
        <f>'Avg Week KALERWE-GAYAZA'!D34+'Avg Week GAYAZA-KALERWE'!D34</f>
        <v>24.857142857142858</v>
      </c>
      <c r="E34" s="49">
        <f>'Avg Week KALERWE-GAYAZA'!E34+'Avg Week GAYAZA-KALERWE'!E34</f>
        <v>18.285714285714285</v>
      </c>
      <c r="F34" s="49">
        <f>'Avg Week KALERWE-GAYAZA'!F34+'Avg Week GAYAZA-KALERWE'!F34</f>
        <v>94.142857142857139</v>
      </c>
      <c r="G34" s="49">
        <f>'Avg Week KALERWE-GAYAZA'!G34+'Avg Week GAYAZA-KALERWE'!G34</f>
        <v>1.2857142857142856</v>
      </c>
      <c r="H34" s="49">
        <f>'Avg Week KALERWE-GAYAZA'!H34+'Avg Week GAYAZA-KALERWE'!H34</f>
        <v>0.5714285714285714</v>
      </c>
      <c r="I34" s="49">
        <f>'Avg Week KALERWE-GAYAZA'!I34+'Avg Week GAYAZA-KALERWE'!I34</f>
        <v>18.714285714285715</v>
      </c>
      <c r="J34" s="49">
        <f>'Avg Week KALERWE-GAYAZA'!J34+'Avg Week GAYAZA-KALERWE'!J34</f>
        <v>10.428571428571429</v>
      </c>
      <c r="K34" s="49">
        <f>'Avg Week KALERWE-GAYAZA'!K34+'Avg Week GAYAZA-KALERWE'!K34</f>
        <v>4</v>
      </c>
      <c r="L34" s="49">
        <f>'Avg Week KALERWE-GAYAZA'!L34+'Avg Week GAYAZA-KALERWE'!L34</f>
        <v>2.4285714285714288</v>
      </c>
      <c r="M34" s="49">
        <f>'Avg Week KALERWE-GAYAZA'!M34+'Avg Week GAYAZA-KALERWE'!M34</f>
        <v>373.71428571428567</v>
      </c>
      <c r="N34" s="49">
        <f>'Avg Week KALERWE-GAYAZA'!N34+'Avg Week GAYAZA-KALERWE'!N34</f>
        <v>0.14285714285714285</v>
      </c>
      <c r="O34" s="15">
        <f t="shared" si="0"/>
        <v>285.42857142857144</v>
      </c>
      <c r="P34" s="15">
        <f t="shared" si="1"/>
        <v>659.14285714285711</v>
      </c>
      <c r="R34" s="38" t="s">
        <v>90</v>
      </c>
      <c r="S34" s="39">
        <f t="shared" ref="S34:AF34" si="26">MAX(S10:S12)</f>
        <v>396.14285714285711</v>
      </c>
      <c r="T34" s="39">
        <f t="shared" si="26"/>
        <v>86.714285714285722</v>
      </c>
      <c r="U34" s="39">
        <f t="shared" si="26"/>
        <v>72.142857142857139</v>
      </c>
      <c r="V34" s="39">
        <f t="shared" si="26"/>
        <v>482.57142857142856</v>
      </c>
      <c r="W34" s="39">
        <f t="shared" si="26"/>
        <v>17.857142857142858</v>
      </c>
      <c r="X34" s="39">
        <f t="shared" si="26"/>
        <v>7.1428571428571423</v>
      </c>
      <c r="Y34" s="39">
        <f t="shared" si="26"/>
        <v>56.571428571428569</v>
      </c>
      <c r="Z34" s="39">
        <f t="shared" si="26"/>
        <v>29.714285714285712</v>
      </c>
      <c r="AA34" s="39">
        <f t="shared" si="26"/>
        <v>11</v>
      </c>
      <c r="AB34" s="39">
        <f t="shared" si="26"/>
        <v>63.285714285714285</v>
      </c>
      <c r="AC34" s="39">
        <f t="shared" si="26"/>
        <v>2376.5714285714284</v>
      </c>
      <c r="AD34" s="39">
        <f t="shared" si="26"/>
        <v>0</v>
      </c>
      <c r="AE34" s="40">
        <f t="shared" si="26"/>
        <v>1153.8571428571427</v>
      </c>
      <c r="AF34" s="40">
        <f t="shared" si="26"/>
        <v>3416.2857142857147</v>
      </c>
    </row>
    <row r="35" spans="2:32" ht="23.1" customHeight="1" x14ac:dyDescent="0.25">
      <c r="B35" s="24" t="s">
        <v>62</v>
      </c>
      <c r="C35" s="49">
        <f>'Avg Week KALERWE-GAYAZA'!C35+'Avg Week GAYAZA-KALERWE'!C35</f>
        <v>96.571428571428569</v>
      </c>
      <c r="D35" s="49">
        <f>'Avg Week KALERWE-GAYAZA'!D35+'Avg Week GAYAZA-KALERWE'!D35</f>
        <v>27.571428571428569</v>
      </c>
      <c r="E35" s="49">
        <f>'Avg Week KALERWE-GAYAZA'!E35+'Avg Week GAYAZA-KALERWE'!E35</f>
        <v>24.857142857142854</v>
      </c>
      <c r="F35" s="49">
        <f>'Avg Week KALERWE-GAYAZA'!F35+'Avg Week GAYAZA-KALERWE'!F35</f>
        <v>92.571428571428584</v>
      </c>
      <c r="G35" s="49">
        <f>'Avg Week KALERWE-GAYAZA'!G35+'Avg Week GAYAZA-KALERWE'!G35</f>
        <v>1.4285714285714286</v>
      </c>
      <c r="H35" s="49">
        <f>'Avg Week KALERWE-GAYAZA'!H35+'Avg Week GAYAZA-KALERWE'!H35</f>
        <v>1.1428571428571428</v>
      </c>
      <c r="I35" s="49">
        <f>'Avg Week KALERWE-GAYAZA'!I35+'Avg Week GAYAZA-KALERWE'!I35</f>
        <v>15</v>
      </c>
      <c r="J35" s="49">
        <f>'Avg Week KALERWE-GAYAZA'!J35+'Avg Week GAYAZA-KALERWE'!J35</f>
        <v>12</v>
      </c>
      <c r="K35" s="49">
        <f>'Avg Week KALERWE-GAYAZA'!K35+'Avg Week GAYAZA-KALERWE'!K35</f>
        <v>3.5714285714285712</v>
      </c>
      <c r="L35" s="49">
        <f>'Avg Week KALERWE-GAYAZA'!L35+'Avg Week GAYAZA-KALERWE'!L35</f>
        <v>2.2857142857142856</v>
      </c>
      <c r="M35" s="49">
        <f>'Avg Week KALERWE-GAYAZA'!M35+'Avg Week GAYAZA-KALERWE'!M35</f>
        <v>345.57142857142856</v>
      </c>
      <c r="N35" s="49">
        <f>'Avg Week KALERWE-GAYAZA'!N35+'Avg Week GAYAZA-KALERWE'!N35</f>
        <v>0</v>
      </c>
      <c r="O35" s="15">
        <f t="shared" si="0"/>
        <v>276.99999999999994</v>
      </c>
      <c r="P35" s="15">
        <f t="shared" si="1"/>
        <v>622.57142857142844</v>
      </c>
      <c r="R35" s="38" t="s">
        <v>91</v>
      </c>
      <c r="S35" s="39">
        <f t="shared" ref="S35:AF35" si="27">MAX(S13:S18)</f>
        <v>481.57142857142856</v>
      </c>
      <c r="T35" s="39">
        <f t="shared" si="27"/>
        <v>111.42857142857142</v>
      </c>
      <c r="U35" s="39">
        <f t="shared" si="27"/>
        <v>83.142857142857139</v>
      </c>
      <c r="V35" s="39">
        <f t="shared" si="27"/>
        <v>475.28571428571428</v>
      </c>
      <c r="W35" s="39">
        <f t="shared" si="27"/>
        <v>6.5714285714285712</v>
      </c>
      <c r="X35" s="39">
        <f t="shared" si="27"/>
        <v>4.7142857142857144</v>
      </c>
      <c r="Y35" s="39">
        <f t="shared" si="27"/>
        <v>82.142857142857139</v>
      </c>
      <c r="Z35" s="39">
        <f t="shared" si="27"/>
        <v>43.285714285714292</v>
      </c>
      <c r="AA35" s="39">
        <f t="shared" si="27"/>
        <v>17</v>
      </c>
      <c r="AB35" s="39">
        <f t="shared" si="27"/>
        <v>10.571428571428573</v>
      </c>
      <c r="AC35" s="39">
        <f t="shared" si="27"/>
        <v>1915.5714285714287</v>
      </c>
      <c r="AD35" s="39">
        <f t="shared" si="27"/>
        <v>0.14285714285714285</v>
      </c>
      <c r="AE35" s="40">
        <f t="shared" si="27"/>
        <v>1277.8571428571431</v>
      </c>
      <c r="AF35" s="40">
        <f t="shared" si="27"/>
        <v>3193.4285714285711</v>
      </c>
    </row>
    <row r="36" spans="2:32" ht="23.1" customHeight="1" x14ac:dyDescent="0.25">
      <c r="B36" s="24" t="s">
        <v>63</v>
      </c>
      <c r="C36" s="49">
        <f>'Avg Week KALERWE-GAYAZA'!C36+'Avg Week GAYAZA-KALERWE'!C36</f>
        <v>104.42857142857143</v>
      </c>
      <c r="D36" s="49">
        <f>'Avg Week KALERWE-GAYAZA'!D36+'Avg Week GAYAZA-KALERWE'!D36</f>
        <v>14.571428571428573</v>
      </c>
      <c r="E36" s="49">
        <f>'Avg Week KALERWE-GAYAZA'!E36+'Avg Week GAYAZA-KALERWE'!E36</f>
        <v>17.428571428571431</v>
      </c>
      <c r="F36" s="49">
        <f>'Avg Week KALERWE-GAYAZA'!F36+'Avg Week GAYAZA-KALERWE'!F36</f>
        <v>82.428571428571431</v>
      </c>
      <c r="G36" s="49">
        <f>'Avg Week KALERWE-GAYAZA'!G36+'Avg Week GAYAZA-KALERWE'!G36</f>
        <v>1.8571428571428572</v>
      </c>
      <c r="H36" s="49">
        <f>'Avg Week KALERWE-GAYAZA'!H36+'Avg Week GAYAZA-KALERWE'!H36</f>
        <v>1</v>
      </c>
      <c r="I36" s="49">
        <f>'Avg Week KALERWE-GAYAZA'!I36+'Avg Week GAYAZA-KALERWE'!I36</f>
        <v>19.428571428571431</v>
      </c>
      <c r="J36" s="49">
        <f>'Avg Week KALERWE-GAYAZA'!J36+'Avg Week GAYAZA-KALERWE'!J36</f>
        <v>8.1428571428571423</v>
      </c>
      <c r="K36" s="49">
        <f>'Avg Week KALERWE-GAYAZA'!K36+'Avg Week GAYAZA-KALERWE'!K36</f>
        <v>4.8571428571428577</v>
      </c>
      <c r="L36" s="49">
        <f>'Avg Week KALERWE-GAYAZA'!L36+'Avg Week GAYAZA-KALERWE'!L36</f>
        <v>1.7142857142857142</v>
      </c>
      <c r="M36" s="49">
        <f>'Avg Week KALERWE-GAYAZA'!M36+'Avg Week GAYAZA-KALERWE'!M36</f>
        <v>380</v>
      </c>
      <c r="N36" s="49">
        <f>'Avg Week KALERWE-GAYAZA'!N36+'Avg Week GAYAZA-KALERWE'!N36</f>
        <v>0</v>
      </c>
      <c r="O36" s="15">
        <f t="shared" si="0"/>
        <v>255.85714285714289</v>
      </c>
      <c r="P36" s="15">
        <f t="shared" si="1"/>
        <v>635.85714285714289</v>
      </c>
      <c r="R36" s="38" t="s">
        <v>92</v>
      </c>
      <c r="S36" s="39">
        <f t="shared" ref="S36:AF36" si="28">MAX(S19:S21)</f>
        <v>537</v>
      </c>
      <c r="T36" s="39">
        <f t="shared" si="28"/>
        <v>121.28571428571428</v>
      </c>
      <c r="U36" s="39">
        <f t="shared" si="28"/>
        <v>88.428571428571416</v>
      </c>
      <c r="V36" s="39">
        <f t="shared" si="28"/>
        <v>500</v>
      </c>
      <c r="W36" s="39">
        <f t="shared" si="28"/>
        <v>15.285714285714285</v>
      </c>
      <c r="X36" s="39">
        <f t="shared" si="28"/>
        <v>10</v>
      </c>
      <c r="Y36" s="39">
        <f t="shared" si="28"/>
        <v>71.857142857142861</v>
      </c>
      <c r="Z36" s="39">
        <f t="shared" si="28"/>
        <v>33.714285714285715</v>
      </c>
      <c r="AA36" s="39">
        <f t="shared" si="28"/>
        <v>13.714285714285715</v>
      </c>
      <c r="AB36" s="39">
        <f t="shared" si="28"/>
        <v>7.2857142857142865</v>
      </c>
      <c r="AC36" s="39">
        <f t="shared" si="28"/>
        <v>2095.4285714285711</v>
      </c>
      <c r="AD36" s="39">
        <f t="shared" si="28"/>
        <v>0</v>
      </c>
      <c r="AE36" s="40">
        <f t="shared" si="28"/>
        <v>1332.4285714285711</v>
      </c>
      <c r="AF36" s="40">
        <f t="shared" si="28"/>
        <v>3427.8571428571427</v>
      </c>
    </row>
    <row r="37" spans="2:32" ht="23.1" customHeight="1" x14ac:dyDescent="0.25">
      <c r="B37" s="23" t="s">
        <v>64</v>
      </c>
      <c r="C37" s="49">
        <f>'Avg Week KALERWE-GAYAZA'!C37+'Avg Week GAYAZA-KALERWE'!C37</f>
        <v>101.57142857142857</v>
      </c>
      <c r="D37" s="49">
        <f>'Avg Week KALERWE-GAYAZA'!D37+'Avg Week GAYAZA-KALERWE'!D37</f>
        <v>24.142857142857142</v>
      </c>
      <c r="E37" s="49">
        <f>'Avg Week KALERWE-GAYAZA'!E37+'Avg Week GAYAZA-KALERWE'!E37</f>
        <v>14.571428571428571</v>
      </c>
      <c r="F37" s="49">
        <f>'Avg Week KALERWE-GAYAZA'!F37+'Avg Week GAYAZA-KALERWE'!F37</f>
        <v>83.285714285714278</v>
      </c>
      <c r="G37" s="49">
        <f>'Avg Week KALERWE-GAYAZA'!G37+'Avg Week GAYAZA-KALERWE'!G37</f>
        <v>0.14285714285714285</v>
      </c>
      <c r="H37" s="49">
        <f>'Avg Week KALERWE-GAYAZA'!H37+'Avg Week GAYAZA-KALERWE'!H37</f>
        <v>0.5714285714285714</v>
      </c>
      <c r="I37" s="49">
        <f>'Avg Week KALERWE-GAYAZA'!I37+'Avg Week GAYAZA-KALERWE'!I37</f>
        <v>20</v>
      </c>
      <c r="J37" s="49">
        <f>'Avg Week KALERWE-GAYAZA'!J37+'Avg Week GAYAZA-KALERWE'!J37</f>
        <v>10.285714285714285</v>
      </c>
      <c r="K37" s="49">
        <f>'Avg Week KALERWE-GAYAZA'!K37+'Avg Week GAYAZA-KALERWE'!K37</f>
        <v>2.4285714285714284</v>
      </c>
      <c r="L37" s="49">
        <f>'Avg Week KALERWE-GAYAZA'!L37+'Avg Week GAYAZA-KALERWE'!L37</f>
        <v>3.1428571428571428</v>
      </c>
      <c r="M37" s="49">
        <f>'Avg Week KALERWE-GAYAZA'!M37+'Avg Week GAYAZA-KALERWE'!M37</f>
        <v>375.57142857142856</v>
      </c>
      <c r="N37" s="49">
        <f>'Avg Week KALERWE-GAYAZA'!N37+'Avg Week GAYAZA-KALERWE'!N37</f>
        <v>0</v>
      </c>
      <c r="O37" s="15">
        <f t="shared" si="0"/>
        <v>260.14285714285717</v>
      </c>
      <c r="P37" s="15">
        <f t="shared" si="1"/>
        <v>635.71428571428578</v>
      </c>
      <c r="R37" s="37" t="s">
        <v>85</v>
      </c>
      <c r="S37" s="35">
        <f t="shared" ref="S37:AF37" si="29">SUM(S10:S12)</f>
        <v>1087.5714285714284</v>
      </c>
      <c r="T37" s="16">
        <f t="shared" si="29"/>
        <v>246.85714285714286</v>
      </c>
      <c r="U37" s="16">
        <f t="shared" si="29"/>
        <v>190.42857142857142</v>
      </c>
      <c r="V37" s="16">
        <f t="shared" si="29"/>
        <v>1305</v>
      </c>
      <c r="W37" s="16">
        <f t="shared" si="29"/>
        <v>34.285714285714285</v>
      </c>
      <c r="X37" s="16">
        <f t="shared" si="29"/>
        <v>18.142857142857139</v>
      </c>
      <c r="Y37" s="16">
        <f t="shared" si="29"/>
        <v>140</v>
      </c>
      <c r="Z37" s="16">
        <f t="shared" si="29"/>
        <v>75</v>
      </c>
      <c r="AA37" s="16">
        <f t="shared" si="29"/>
        <v>27.142857142857142</v>
      </c>
      <c r="AB37" s="16">
        <f t="shared" si="29"/>
        <v>79</v>
      </c>
      <c r="AC37" s="16">
        <f t="shared" si="29"/>
        <v>6364.5714285714284</v>
      </c>
      <c r="AD37" s="16">
        <f t="shared" si="29"/>
        <v>0</v>
      </c>
      <c r="AE37" s="32">
        <f t="shared" si="29"/>
        <v>3203.4285714285716</v>
      </c>
      <c r="AF37" s="32">
        <f t="shared" si="29"/>
        <v>9568</v>
      </c>
    </row>
    <row r="38" spans="2:32" ht="23.1" customHeight="1" x14ac:dyDescent="0.25">
      <c r="B38" s="24" t="s">
        <v>65</v>
      </c>
      <c r="C38" s="49">
        <f>'Avg Week KALERWE-GAYAZA'!C38+'Avg Week GAYAZA-KALERWE'!C38</f>
        <v>107.57142857142857</v>
      </c>
      <c r="D38" s="49">
        <f>'Avg Week KALERWE-GAYAZA'!D38+'Avg Week GAYAZA-KALERWE'!D38</f>
        <v>19.714285714285715</v>
      </c>
      <c r="E38" s="49">
        <f>'Avg Week KALERWE-GAYAZA'!E38+'Avg Week GAYAZA-KALERWE'!E38</f>
        <v>18.428571428571431</v>
      </c>
      <c r="F38" s="49">
        <f>'Avg Week KALERWE-GAYAZA'!F38+'Avg Week GAYAZA-KALERWE'!F38</f>
        <v>81</v>
      </c>
      <c r="G38" s="49">
        <f>'Avg Week KALERWE-GAYAZA'!G38+'Avg Week GAYAZA-KALERWE'!G38</f>
        <v>1.4285714285714286</v>
      </c>
      <c r="H38" s="49">
        <f>'Avg Week KALERWE-GAYAZA'!H38+'Avg Week GAYAZA-KALERWE'!H38</f>
        <v>1</v>
      </c>
      <c r="I38" s="49">
        <f>'Avg Week KALERWE-GAYAZA'!I38+'Avg Week GAYAZA-KALERWE'!I38</f>
        <v>22.428571428571431</v>
      </c>
      <c r="J38" s="49">
        <f>'Avg Week KALERWE-GAYAZA'!J38+'Avg Week GAYAZA-KALERWE'!J38</f>
        <v>13.571428571428571</v>
      </c>
      <c r="K38" s="49">
        <f>'Avg Week KALERWE-GAYAZA'!K38+'Avg Week GAYAZA-KALERWE'!K38</f>
        <v>3.7142857142857144</v>
      </c>
      <c r="L38" s="49">
        <f>'Avg Week KALERWE-GAYAZA'!L38+'Avg Week GAYAZA-KALERWE'!L38</f>
        <v>3.1428571428571428</v>
      </c>
      <c r="M38" s="49">
        <f>'Avg Week KALERWE-GAYAZA'!M38+'Avg Week GAYAZA-KALERWE'!M38</f>
        <v>428.85714285714289</v>
      </c>
      <c r="N38" s="49">
        <f>'Avg Week KALERWE-GAYAZA'!N38+'Avg Week GAYAZA-KALERWE'!N38</f>
        <v>0.14285714285714285</v>
      </c>
      <c r="O38" s="15">
        <f t="shared" si="0"/>
        <v>272.14285714285717</v>
      </c>
      <c r="P38" s="15">
        <f t="shared" si="1"/>
        <v>701</v>
      </c>
      <c r="R38" s="28" t="s">
        <v>86</v>
      </c>
      <c r="S38" s="16">
        <f t="shared" ref="S38:AF38" si="30">SUM(S13:S18)</f>
        <v>2663.5714285714284</v>
      </c>
      <c r="T38" s="16">
        <f t="shared" si="30"/>
        <v>575</v>
      </c>
      <c r="U38" s="16">
        <f t="shared" si="30"/>
        <v>474.42857142857144</v>
      </c>
      <c r="V38" s="16">
        <f t="shared" si="30"/>
        <v>2353.5714285714284</v>
      </c>
      <c r="W38" s="16">
        <f t="shared" si="30"/>
        <v>28.857142857142854</v>
      </c>
      <c r="X38" s="16">
        <f t="shared" si="30"/>
        <v>24.571428571428569</v>
      </c>
      <c r="Y38" s="16">
        <f t="shared" si="30"/>
        <v>424.71428571428572</v>
      </c>
      <c r="Z38" s="16">
        <f t="shared" si="30"/>
        <v>235.85714285714286</v>
      </c>
      <c r="AA38" s="16">
        <f t="shared" si="30"/>
        <v>90.428571428571431</v>
      </c>
      <c r="AB38" s="16">
        <f t="shared" si="30"/>
        <v>54.142857142857139</v>
      </c>
      <c r="AC38" s="16">
        <f t="shared" si="30"/>
        <v>9770.5714285714275</v>
      </c>
      <c r="AD38" s="16">
        <f t="shared" si="30"/>
        <v>0.42857142857142855</v>
      </c>
      <c r="AE38" s="32">
        <f t="shared" si="30"/>
        <v>6925.5714285714284</v>
      </c>
      <c r="AF38" s="32">
        <f t="shared" si="30"/>
        <v>16696.142857142855</v>
      </c>
    </row>
    <row r="39" spans="2:32" ht="23.1" customHeight="1" x14ac:dyDescent="0.25">
      <c r="B39" s="24" t="s">
        <v>66</v>
      </c>
      <c r="C39" s="49">
        <f>'Avg Week KALERWE-GAYAZA'!C39+'Avg Week GAYAZA-KALERWE'!C39</f>
        <v>100.85714285714286</v>
      </c>
      <c r="D39" s="49">
        <f>'Avg Week KALERWE-GAYAZA'!D39+'Avg Week GAYAZA-KALERWE'!D39</f>
        <v>22.428571428571427</v>
      </c>
      <c r="E39" s="49">
        <f>'Avg Week KALERWE-GAYAZA'!E39+'Avg Week GAYAZA-KALERWE'!E39</f>
        <v>17.285714285714285</v>
      </c>
      <c r="F39" s="49">
        <f>'Avg Week KALERWE-GAYAZA'!F39+'Avg Week GAYAZA-KALERWE'!F39</f>
        <v>81</v>
      </c>
      <c r="G39" s="49">
        <f>'Avg Week KALERWE-GAYAZA'!G39+'Avg Week GAYAZA-KALERWE'!G39</f>
        <v>0.5714285714285714</v>
      </c>
      <c r="H39" s="49">
        <f>'Avg Week KALERWE-GAYAZA'!H39+'Avg Week GAYAZA-KALERWE'!H39</f>
        <v>1.8571428571428572</v>
      </c>
      <c r="I39" s="49">
        <f>'Avg Week KALERWE-GAYAZA'!I39+'Avg Week GAYAZA-KALERWE'!I39</f>
        <v>19.142857142857142</v>
      </c>
      <c r="J39" s="49">
        <f>'Avg Week KALERWE-GAYAZA'!J39+'Avg Week GAYAZA-KALERWE'!J39</f>
        <v>11.142857142857142</v>
      </c>
      <c r="K39" s="49">
        <f>'Avg Week KALERWE-GAYAZA'!K39+'Avg Week GAYAZA-KALERWE'!K39</f>
        <v>5.2857142857142856</v>
      </c>
      <c r="L39" s="49">
        <f>'Avg Week KALERWE-GAYAZA'!L39+'Avg Week GAYAZA-KALERWE'!L39</f>
        <v>3.1428571428571432</v>
      </c>
      <c r="M39" s="49">
        <f>'Avg Week KALERWE-GAYAZA'!M39+'Avg Week GAYAZA-KALERWE'!M39</f>
        <v>362</v>
      </c>
      <c r="N39" s="49">
        <f>'Avg Week KALERWE-GAYAZA'!N39+'Avg Week GAYAZA-KALERWE'!N39</f>
        <v>0</v>
      </c>
      <c r="O39" s="15">
        <f t="shared" si="0"/>
        <v>262.71428571428578</v>
      </c>
      <c r="P39" s="15">
        <f t="shared" si="1"/>
        <v>624.71428571428578</v>
      </c>
      <c r="R39" s="29" t="s">
        <v>87</v>
      </c>
      <c r="S39" s="16">
        <f t="shared" ref="S39:AF39" si="31">SUM(S19:S21)</f>
        <v>1577.4285714285716</v>
      </c>
      <c r="T39" s="16">
        <f t="shared" si="31"/>
        <v>350.85714285714283</v>
      </c>
      <c r="U39" s="16">
        <f t="shared" si="31"/>
        <v>240.28571428571428</v>
      </c>
      <c r="V39" s="16">
        <f t="shared" si="31"/>
        <v>1374.5714285714287</v>
      </c>
      <c r="W39" s="16">
        <f t="shared" si="31"/>
        <v>30.714285714285715</v>
      </c>
      <c r="X39" s="16">
        <f t="shared" si="31"/>
        <v>23.428571428571431</v>
      </c>
      <c r="Y39" s="16">
        <f t="shared" si="31"/>
        <v>197.28571428571428</v>
      </c>
      <c r="Z39" s="16">
        <f t="shared" si="31"/>
        <v>92</v>
      </c>
      <c r="AA39" s="16">
        <f t="shared" si="31"/>
        <v>33.428571428571431</v>
      </c>
      <c r="AB39" s="16">
        <f t="shared" si="31"/>
        <v>18.428571428571431</v>
      </c>
      <c r="AC39" s="16">
        <f t="shared" si="31"/>
        <v>5791.1428571428569</v>
      </c>
      <c r="AD39" s="16">
        <f t="shared" si="31"/>
        <v>0</v>
      </c>
      <c r="AE39" s="32">
        <f t="shared" si="31"/>
        <v>3938.4285714285711</v>
      </c>
      <c r="AF39" s="32">
        <f t="shared" si="31"/>
        <v>9729.5714285714294</v>
      </c>
    </row>
    <row r="40" spans="2:32" ht="23.1" customHeight="1" x14ac:dyDescent="0.25">
      <c r="B40" s="24" t="s">
        <v>67</v>
      </c>
      <c r="C40" s="49">
        <f>'Avg Week KALERWE-GAYAZA'!C40+'Avg Week GAYAZA-KALERWE'!C40</f>
        <v>112.42857142857143</v>
      </c>
      <c r="D40" s="49">
        <f>'Avg Week KALERWE-GAYAZA'!D40+'Avg Week GAYAZA-KALERWE'!D40</f>
        <v>21.428571428571427</v>
      </c>
      <c r="E40" s="49">
        <f>'Avg Week KALERWE-GAYAZA'!E40+'Avg Week GAYAZA-KALERWE'!E40</f>
        <v>17.142857142857142</v>
      </c>
      <c r="F40" s="49">
        <f>'Avg Week KALERWE-GAYAZA'!F40+'Avg Week GAYAZA-KALERWE'!F40</f>
        <v>76.428571428571431</v>
      </c>
      <c r="G40" s="49">
        <f>'Avg Week KALERWE-GAYAZA'!G40+'Avg Week GAYAZA-KALERWE'!G40</f>
        <v>1</v>
      </c>
      <c r="H40" s="49">
        <f>'Avg Week KALERWE-GAYAZA'!H40+'Avg Week GAYAZA-KALERWE'!H40</f>
        <v>1.1428571428571428</v>
      </c>
      <c r="I40" s="49">
        <f>'Avg Week KALERWE-GAYAZA'!I40+'Avg Week GAYAZA-KALERWE'!I40</f>
        <v>20.285714285714285</v>
      </c>
      <c r="J40" s="49">
        <f>'Avg Week KALERWE-GAYAZA'!J40+'Avg Week GAYAZA-KALERWE'!J40</f>
        <v>8.4285714285714288</v>
      </c>
      <c r="K40" s="49">
        <f>'Avg Week KALERWE-GAYAZA'!K40+'Avg Week GAYAZA-KALERWE'!K40</f>
        <v>4.8571428571428577</v>
      </c>
      <c r="L40" s="49">
        <f>'Avg Week KALERWE-GAYAZA'!L40+'Avg Week GAYAZA-KALERWE'!L40</f>
        <v>2.2857142857142856</v>
      </c>
      <c r="M40" s="49">
        <f>'Avg Week KALERWE-GAYAZA'!M40+'Avg Week GAYAZA-KALERWE'!M40</f>
        <v>345</v>
      </c>
      <c r="N40" s="49">
        <f>'Avg Week KALERWE-GAYAZA'!N40+'Avg Week GAYAZA-KALERWE'!N40</f>
        <v>0</v>
      </c>
      <c r="O40" s="15">
        <f t="shared" si="0"/>
        <v>265.42857142857139</v>
      </c>
      <c r="P40" s="15">
        <f t="shared" si="1"/>
        <v>610.42857142857133</v>
      </c>
      <c r="R40" s="5" t="s">
        <v>17</v>
      </c>
      <c r="S40" s="16">
        <f t="shared" ref="S40:AF40" si="32">SUM(S10:S21)</f>
        <v>5328.5714285714275</v>
      </c>
      <c r="T40" s="16">
        <f t="shared" si="32"/>
        <v>1172.7142857142856</v>
      </c>
      <c r="U40" s="16">
        <f t="shared" si="32"/>
        <v>905.14285714285722</v>
      </c>
      <c r="V40" s="16">
        <f t="shared" si="32"/>
        <v>5033.1428571428569</v>
      </c>
      <c r="W40" s="16">
        <f t="shared" si="32"/>
        <v>93.857142857142861</v>
      </c>
      <c r="X40" s="16">
        <f t="shared" si="32"/>
        <v>66.142857142857139</v>
      </c>
      <c r="Y40" s="16">
        <f t="shared" si="32"/>
        <v>761.99999999999989</v>
      </c>
      <c r="Z40" s="16">
        <f t="shared" si="32"/>
        <v>402.85714285714289</v>
      </c>
      <c r="AA40" s="16">
        <f t="shared" si="32"/>
        <v>151</v>
      </c>
      <c r="AB40" s="16">
        <f t="shared" si="32"/>
        <v>151.57142857142856</v>
      </c>
      <c r="AC40" s="16">
        <f t="shared" si="32"/>
        <v>21926.285714285717</v>
      </c>
      <c r="AD40" s="16">
        <f t="shared" si="32"/>
        <v>0.42857142857142855</v>
      </c>
      <c r="AE40" s="32">
        <f t="shared" si="32"/>
        <v>14067.428571428571</v>
      </c>
      <c r="AF40" s="32">
        <f t="shared" si="32"/>
        <v>35993.714285714283</v>
      </c>
    </row>
    <row r="41" spans="2:32" ht="23.1" customHeight="1" x14ac:dyDescent="0.25">
      <c r="B41" s="23" t="s">
        <v>68</v>
      </c>
      <c r="C41" s="49">
        <f>'Avg Week KALERWE-GAYAZA'!C41+'Avg Week GAYAZA-KALERWE'!C41</f>
        <v>105.71428571428572</v>
      </c>
      <c r="D41" s="49">
        <f>'Avg Week KALERWE-GAYAZA'!D41+'Avg Week GAYAZA-KALERWE'!D41</f>
        <v>21.857142857142854</v>
      </c>
      <c r="E41" s="49">
        <f>'Avg Week KALERWE-GAYAZA'!E41+'Avg Week GAYAZA-KALERWE'!E41</f>
        <v>19.142857142857146</v>
      </c>
      <c r="F41" s="49">
        <f>'Avg Week KALERWE-GAYAZA'!F41+'Avg Week GAYAZA-KALERWE'!F41</f>
        <v>82.714285714285722</v>
      </c>
      <c r="G41" s="49">
        <f>'Avg Week KALERWE-GAYAZA'!G41+'Avg Week GAYAZA-KALERWE'!G41</f>
        <v>1.1428571428571428</v>
      </c>
      <c r="H41" s="49">
        <f>'Avg Week KALERWE-GAYAZA'!H41+'Avg Week GAYAZA-KALERWE'!H41</f>
        <v>0.71428571428571419</v>
      </c>
      <c r="I41" s="49">
        <f>'Avg Week KALERWE-GAYAZA'!I41+'Avg Week GAYAZA-KALERWE'!I41</f>
        <v>20.285714285714285</v>
      </c>
      <c r="J41" s="49">
        <f>'Avg Week KALERWE-GAYAZA'!J41+'Avg Week GAYAZA-KALERWE'!J41</f>
        <v>10.142857142857142</v>
      </c>
      <c r="K41" s="49">
        <f>'Avg Week KALERWE-GAYAZA'!K41+'Avg Week GAYAZA-KALERWE'!K41</f>
        <v>2.5714285714285712</v>
      </c>
      <c r="L41" s="49">
        <f>'Avg Week KALERWE-GAYAZA'!L41+'Avg Week GAYAZA-KALERWE'!L41</f>
        <v>2</v>
      </c>
      <c r="M41" s="49">
        <f>'Avg Week KALERWE-GAYAZA'!M41+'Avg Week GAYAZA-KALERWE'!M41</f>
        <v>369.14285714285711</v>
      </c>
      <c r="N41" s="49">
        <f>'Avg Week KALERWE-GAYAZA'!N41+'Avg Week GAYAZA-KALERWE'!N41</f>
        <v>0</v>
      </c>
      <c r="O41" s="15">
        <f t="shared" si="0"/>
        <v>266.28571428571428</v>
      </c>
      <c r="P41" s="15">
        <f t="shared" si="1"/>
        <v>635.42857142857133</v>
      </c>
      <c r="R41" s="5" t="s">
        <v>185</v>
      </c>
      <c r="S41" s="51">
        <f>SUM(S10:S33)</f>
        <v>7936.5714285714275</v>
      </c>
      <c r="T41" s="51">
        <f t="shared" ref="T41:AD41" si="33">SUM(T10:T33)</f>
        <v>2017.7142857142856</v>
      </c>
      <c r="U41" s="51">
        <f t="shared" si="33"/>
        <v>1322.6428571428573</v>
      </c>
      <c r="V41" s="51">
        <f t="shared" si="33"/>
        <v>7044.6428571428569</v>
      </c>
      <c r="W41" s="51">
        <f t="shared" si="33"/>
        <v>143.85714285714286</v>
      </c>
      <c r="X41" s="51">
        <f t="shared" si="33"/>
        <v>93.642857142857139</v>
      </c>
      <c r="Y41" s="51">
        <f t="shared" si="33"/>
        <v>1082.5</v>
      </c>
      <c r="Z41" s="51">
        <f t="shared" si="33"/>
        <v>664.35714285714289</v>
      </c>
      <c r="AA41" s="51">
        <f t="shared" si="33"/>
        <v>226.5</v>
      </c>
      <c r="AB41" s="51">
        <f t="shared" si="33"/>
        <v>215.07142857142856</v>
      </c>
      <c r="AC41" s="51">
        <f t="shared" si="33"/>
        <v>36569.785714285717</v>
      </c>
      <c r="AD41" s="51">
        <f t="shared" si="33"/>
        <v>0.42857142857142855</v>
      </c>
      <c r="AE41" s="52">
        <f>SUM(AE10:AE33)</f>
        <v>20747.928571428572</v>
      </c>
      <c r="AF41" s="52">
        <f>SUM(AF10:AF33)</f>
        <v>57317.714285714283</v>
      </c>
    </row>
    <row r="42" spans="2:32" ht="23.1" customHeight="1" x14ac:dyDescent="0.25">
      <c r="B42" s="24" t="s">
        <v>69</v>
      </c>
      <c r="C42" s="49">
        <f>'Avg Week KALERWE-GAYAZA'!C42+'Avg Week GAYAZA-KALERWE'!C42</f>
        <v>113.57142857142857</v>
      </c>
      <c r="D42" s="49">
        <f>'Avg Week KALERWE-GAYAZA'!D42+'Avg Week GAYAZA-KALERWE'!D42</f>
        <v>22.428571428571427</v>
      </c>
      <c r="E42" s="49">
        <f>'Avg Week KALERWE-GAYAZA'!E42+'Avg Week GAYAZA-KALERWE'!E42</f>
        <v>19.285714285714285</v>
      </c>
      <c r="F42" s="49">
        <f>'Avg Week KALERWE-GAYAZA'!F42+'Avg Week GAYAZA-KALERWE'!F42</f>
        <v>98.571428571428569</v>
      </c>
      <c r="G42" s="49">
        <f>'Avg Week KALERWE-GAYAZA'!G42+'Avg Week GAYAZA-KALERWE'!G42</f>
        <v>2</v>
      </c>
      <c r="H42" s="49">
        <f>'Avg Week KALERWE-GAYAZA'!H42+'Avg Week GAYAZA-KALERWE'!H42</f>
        <v>0.8571428571428571</v>
      </c>
      <c r="I42" s="49">
        <f>'Avg Week KALERWE-GAYAZA'!I42+'Avg Week GAYAZA-KALERWE'!I42</f>
        <v>19.714285714285715</v>
      </c>
      <c r="J42" s="49">
        <f>'Avg Week KALERWE-GAYAZA'!J42+'Avg Week GAYAZA-KALERWE'!J42</f>
        <v>6.8571428571428577</v>
      </c>
      <c r="K42" s="49">
        <f>'Avg Week KALERWE-GAYAZA'!K42+'Avg Week GAYAZA-KALERWE'!K42</f>
        <v>3.2857142857142856</v>
      </c>
      <c r="L42" s="49">
        <f>'Avg Week KALERWE-GAYAZA'!L42+'Avg Week GAYAZA-KALERWE'!L42</f>
        <v>0.71428571428571419</v>
      </c>
      <c r="M42" s="49">
        <f>'Avg Week KALERWE-GAYAZA'!M42+'Avg Week GAYAZA-KALERWE'!M42</f>
        <v>384</v>
      </c>
      <c r="N42" s="49">
        <f>'Avg Week KALERWE-GAYAZA'!N42+'Avg Week GAYAZA-KALERWE'!N42</f>
        <v>0</v>
      </c>
      <c r="O42" s="15">
        <f t="shared" si="0"/>
        <v>287.28571428571422</v>
      </c>
      <c r="P42" s="15">
        <f t="shared" si="1"/>
        <v>671.28571428571422</v>
      </c>
      <c r="R42" s="5" t="s">
        <v>160</v>
      </c>
      <c r="S42" s="48">
        <f>S41/S40</f>
        <v>1.4894369973190349</v>
      </c>
      <c r="T42" s="48">
        <f t="shared" ref="T42:AF42" si="34">T41/T40</f>
        <v>1.7205506151784629</v>
      </c>
      <c r="U42" s="48">
        <f t="shared" si="34"/>
        <v>1.4612531565656566</v>
      </c>
      <c r="V42" s="48">
        <f t="shared" si="34"/>
        <v>1.3996508855585832</v>
      </c>
      <c r="W42" s="48">
        <f t="shared" si="34"/>
        <v>1.5327245053272451</v>
      </c>
      <c r="X42" s="48">
        <f t="shared" si="34"/>
        <v>1.4157667386609072</v>
      </c>
      <c r="Y42" s="48">
        <f t="shared" si="34"/>
        <v>1.4206036745406827</v>
      </c>
      <c r="Z42" s="48">
        <f t="shared" si="34"/>
        <v>1.6491134751773049</v>
      </c>
      <c r="AA42" s="48">
        <f t="shared" si="34"/>
        <v>1.5</v>
      </c>
      <c r="AB42" s="48">
        <f t="shared" si="34"/>
        <v>1.4189443920829408</v>
      </c>
      <c r="AC42" s="48">
        <f t="shared" si="34"/>
        <v>1.6678513721299939</v>
      </c>
      <c r="AD42" s="48">
        <f t="shared" si="34"/>
        <v>1</v>
      </c>
      <c r="AE42" s="53">
        <f t="shared" si="34"/>
        <v>1.4748913396701602</v>
      </c>
      <c r="AF42" s="53">
        <f t="shared" si="34"/>
        <v>1.5924367746749433</v>
      </c>
    </row>
    <row r="43" spans="2:32" ht="23.1" customHeight="1" x14ac:dyDescent="0.25">
      <c r="B43" s="23" t="s">
        <v>70</v>
      </c>
      <c r="C43" s="49">
        <f>'Avg Week KALERWE-GAYAZA'!C43+'Avg Week GAYAZA-KALERWE'!C43</f>
        <v>112.28571428571428</v>
      </c>
      <c r="D43" s="49">
        <f>'Avg Week KALERWE-GAYAZA'!D43+'Avg Week GAYAZA-KALERWE'!D43</f>
        <v>29</v>
      </c>
      <c r="E43" s="49">
        <f>'Avg Week KALERWE-GAYAZA'!E43+'Avg Week GAYAZA-KALERWE'!E43</f>
        <v>21.142857142857142</v>
      </c>
      <c r="F43" s="49">
        <f>'Avg Week KALERWE-GAYAZA'!F43+'Avg Week GAYAZA-KALERWE'!F43</f>
        <v>75.714285714285722</v>
      </c>
      <c r="G43" s="49">
        <f>'Avg Week KALERWE-GAYAZA'!G43+'Avg Week GAYAZA-KALERWE'!G43</f>
        <v>0.2857142857142857</v>
      </c>
      <c r="H43" s="49">
        <f>'Avg Week KALERWE-GAYAZA'!H43+'Avg Week GAYAZA-KALERWE'!H43</f>
        <v>0.71428571428571419</v>
      </c>
      <c r="I43" s="49">
        <f>'Avg Week KALERWE-GAYAZA'!I43+'Avg Week GAYAZA-KALERWE'!I43</f>
        <v>19.857142857142858</v>
      </c>
      <c r="J43" s="49">
        <f>'Avg Week KALERWE-GAYAZA'!J43+'Avg Week GAYAZA-KALERWE'!J43</f>
        <v>12.571428571428571</v>
      </c>
      <c r="K43" s="49">
        <f>'Avg Week KALERWE-GAYAZA'!K43+'Avg Week GAYAZA-KALERWE'!K43</f>
        <v>2.4285714285714288</v>
      </c>
      <c r="L43" s="49">
        <f>'Avg Week KALERWE-GAYAZA'!L43+'Avg Week GAYAZA-KALERWE'!L43</f>
        <v>1.2857142857142856</v>
      </c>
      <c r="M43" s="49">
        <f>'Avg Week KALERWE-GAYAZA'!M43+'Avg Week GAYAZA-KALERWE'!M43</f>
        <v>342</v>
      </c>
      <c r="N43" s="49">
        <f>'Avg Week KALERWE-GAYAZA'!N43+'Avg Week GAYAZA-KALERWE'!N43</f>
        <v>0</v>
      </c>
      <c r="O43" s="15">
        <f t="shared" si="0"/>
        <v>275.28571428571428</v>
      </c>
      <c r="P43" s="15">
        <f t="shared" si="1"/>
        <v>617.28571428571422</v>
      </c>
    </row>
    <row r="44" spans="2:32" ht="23.1" customHeight="1" x14ac:dyDescent="0.25">
      <c r="B44" s="25" t="s">
        <v>71</v>
      </c>
      <c r="C44" s="49">
        <f>'Avg Week KALERWE-GAYAZA'!C44+'Avg Week GAYAZA-KALERWE'!C44</f>
        <v>114.57142857142857</v>
      </c>
      <c r="D44" s="49">
        <f>'Avg Week KALERWE-GAYAZA'!D44+'Avg Week GAYAZA-KALERWE'!D44</f>
        <v>19.857142857142858</v>
      </c>
      <c r="E44" s="49">
        <f>'Avg Week KALERWE-GAYAZA'!E44+'Avg Week GAYAZA-KALERWE'!E44</f>
        <v>18</v>
      </c>
      <c r="F44" s="49">
        <f>'Avg Week KALERWE-GAYAZA'!F44+'Avg Week GAYAZA-KALERWE'!F44</f>
        <v>94.714285714285722</v>
      </c>
      <c r="G44" s="49">
        <f>'Avg Week KALERWE-GAYAZA'!G44+'Avg Week GAYAZA-KALERWE'!G44</f>
        <v>0.5714285714285714</v>
      </c>
      <c r="H44" s="49">
        <f>'Avg Week KALERWE-GAYAZA'!H44+'Avg Week GAYAZA-KALERWE'!H44</f>
        <v>1.7142857142857142</v>
      </c>
      <c r="I44" s="49">
        <f>'Avg Week KALERWE-GAYAZA'!I44+'Avg Week GAYAZA-KALERWE'!I44</f>
        <v>16.428571428571431</v>
      </c>
      <c r="J44" s="49">
        <f>'Avg Week KALERWE-GAYAZA'!J44+'Avg Week GAYAZA-KALERWE'!J44</f>
        <v>11.142857142857142</v>
      </c>
      <c r="K44" s="49">
        <f>'Avg Week KALERWE-GAYAZA'!K44+'Avg Week GAYAZA-KALERWE'!K44</f>
        <v>3.5714285714285716</v>
      </c>
      <c r="L44" s="49">
        <f>'Avg Week KALERWE-GAYAZA'!L44+'Avg Week GAYAZA-KALERWE'!L44</f>
        <v>2.8571428571428572</v>
      </c>
      <c r="M44" s="49">
        <f>'Avg Week KALERWE-GAYAZA'!M44+'Avg Week GAYAZA-KALERWE'!M44</f>
        <v>390</v>
      </c>
      <c r="N44" s="49">
        <f>'Avg Week KALERWE-GAYAZA'!N44+'Avg Week GAYAZA-KALERWE'!N44</f>
        <v>0</v>
      </c>
      <c r="O44" s="15">
        <f t="shared" si="0"/>
        <v>283.42857142857144</v>
      </c>
      <c r="P44" s="15">
        <f t="shared" si="1"/>
        <v>673.42857142857144</v>
      </c>
    </row>
    <row r="45" spans="2:32" ht="23.1" customHeight="1" x14ac:dyDescent="0.25">
      <c r="B45" s="23" t="s">
        <v>72</v>
      </c>
      <c r="C45" s="49">
        <f>'Avg Week KALERWE-GAYAZA'!C45+'Avg Week GAYAZA-KALERWE'!C45</f>
        <v>116.14285714285714</v>
      </c>
      <c r="D45" s="49">
        <f>'Avg Week KALERWE-GAYAZA'!D45+'Avg Week GAYAZA-KALERWE'!D45</f>
        <v>22.571428571428573</v>
      </c>
      <c r="E45" s="49">
        <f>'Avg Week KALERWE-GAYAZA'!E45+'Avg Week GAYAZA-KALERWE'!E45</f>
        <v>20.428571428571427</v>
      </c>
      <c r="F45" s="49">
        <f>'Avg Week KALERWE-GAYAZA'!F45+'Avg Week GAYAZA-KALERWE'!F45</f>
        <v>92.857142857142861</v>
      </c>
      <c r="G45" s="49">
        <f>'Avg Week KALERWE-GAYAZA'!G45+'Avg Week GAYAZA-KALERWE'!G45</f>
        <v>1.1428571428571428</v>
      </c>
      <c r="H45" s="49">
        <f>'Avg Week KALERWE-GAYAZA'!H45+'Avg Week GAYAZA-KALERWE'!H45</f>
        <v>1</v>
      </c>
      <c r="I45" s="49">
        <f>'Avg Week KALERWE-GAYAZA'!I45+'Avg Week GAYAZA-KALERWE'!I45</f>
        <v>16.285714285714285</v>
      </c>
      <c r="J45" s="49">
        <f>'Avg Week KALERWE-GAYAZA'!J45+'Avg Week GAYAZA-KALERWE'!J45</f>
        <v>6.5714285714285721</v>
      </c>
      <c r="K45" s="49">
        <f>'Avg Week KALERWE-GAYAZA'!K45+'Avg Week GAYAZA-KALERWE'!K45</f>
        <v>3.5714285714285716</v>
      </c>
      <c r="L45" s="49">
        <f>'Avg Week KALERWE-GAYAZA'!L45+'Avg Week GAYAZA-KALERWE'!L45</f>
        <v>2.1428571428571428</v>
      </c>
      <c r="M45" s="49">
        <f>'Avg Week KALERWE-GAYAZA'!M45+'Avg Week GAYAZA-KALERWE'!M45</f>
        <v>382.42857142857144</v>
      </c>
      <c r="N45" s="49">
        <f>'Avg Week KALERWE-GAYAZA'!N45+'Avg Week GAYAZA-KALERWE'!N45</f>
        <v>0</v>
      </c>
      <c r="O45" s="15">
        <f t="shared" si="0"/>
        <v>282.71428571428572</v>
      </c>
      <c r="P45" s="15">
        <f t="shared" si="1"/>
        <v>665.14285714285711</v>
      </c>
    </row>
    <row r="46" spans="2:32" ht="23.1" customHeight="1" x14ac:dyDescent="0.25">
      <c r="B46" s="24" t="s">
        <v>73</v>
      </c>
      <c r="C46" s="49">
        <f>'Avg Week KALERWE-GAYAZA'!C46+'Avg Week GAYAZA-KALERWE'!C46</f>
        <v>122.71428571428571</v>
      </c>
      <c r="D46" s="49">
        <f>'Avg Week KALERWE-GAYAZA'!D46+'Avg Week GAYAZA-KALERWE'!D46</f>
        <v>30.285714285714285</v>
      </c>
      <c r="E46" s="49">
        <f>'Avg Week KALERWE-GAYAZA'!E46+'Avg Week GAYAZA-KALERWE'!E46</f>
        <v>21.571428571428569</v>
      </c>
      <c r="F46" s="49">
        <f>'Avg Week KALERWE-GAYAZA'!F46+'Avg Week GAYAZA-KALERWE'!F46</f>
        <v>89.285714285714278</v>
      </c>
      <c r="G46" s="49">
        <f>'Avg Week KALERWE-GAYAZA'!G46+'Avg Week GAYAZA-KALERWE'!G46</f>
        <v>1.1428571428571428</v>
      </c>
      <c r="H46" s="49">
        <f>'Avg Week KALERWE-GAYAZA'!H46+'Avg Week GAYAZA-KALERWE'!H46</f>
        <v>1.7142857142857142</v>
      </c>
      <c r="I46" s="49">
        <f>'Avg Week KALERWE-GAYAZA'!I46+'Avg Week GAYAZA-KALERWE'!I46</f>
        <v>18.714285714285715</v>
      </c>
      <c r="J46" s="49">
        <f>'Avg Week KALERWE-GAYAZA'!J46+'Avg Week GAYAZA-KALERWE'!J46</f>
        <v>8.2857142857142847</v>
      </c>
      <c r="K46" s="49">
        <f>'Avg Week KALERWE-GAYAZA'!K46+'Avg Week GAYAZA-KALERWE'!K46</f>
        <v>2.4285714285714288</v>
      </c>
      <c r="L46" s="49">
        <f>'Avg Week KALERWE-GAYAZA'!L46+'Avg Week GAYAZA-KALERWE'!L46</f>
        <v>1.7142857142857142</v>
      </c>
      <c r="M46" s="49">
        <f>'Avg Week KALERWE-GAYAZA'!M46+'Avg Week GAYAZA-KALERWE'!M46</f>
        <v>452.42857142857144</v>
      </c>
      <c r="N46" s="49">
        <f>'Avg Week KALERWE-GAYAZA'!N46+'Avg Week GAYAZA-KALERWE'!N46</f>
        <v>0</v>
      </c>
      <c r="O46" s="15">
        <f t="shared" si="0"/>
        <v>297.85714285714289</v>
      </c>
      <c r="P46" s="15">
        <f t="shared" si="1"/>
        <v>750.28571428571433</v>
      </c>
    </row>
    <row r="47" spans="2:32" ht="23.1" customHeight="1" x14ac:dyDescent="0.25">
      <c r="B47" s="24" t="s">
        <v>74</v>
      </c>
      <c r="C47" s="49">
        <f>'Avg Week KALERWE-GAYAZA'!C47+'Avg Week GAYAZA-KALERWE'!C47</f>
        <v>109.28571428571428</v>
      </c>
      <c r="D47" s="49">
        <f>'Avg Week KALERWE-GAYAZA'!D47+'Avg Week GAYAZA-KALERWE'!D47</f>
        <v>24.285714285714288</v>
      </c>
      <c r="E47" s="49">
        <f>'Avg Week KALERWE-GAYAZA'!E47+'Avg Week GAYAZA-KALERWE'!E47</f>
        <v>22.428571428571431</v>
      </c>
      <c r="F47" s="49">
        <f>'Avg Week KALERWE-GAYAZA'!F47+'Avg Week GAYAZA-KALERWE'!F47</f>
        <v>104.14285714285714</v>
      </c>
      <c r="G47" s="49">
        <f>'Avg Week KALERWE-GAYAZA'!G47+'Avg Week GAYAZA-KALERWE'!G47</f>
        <v>2</v>
      </c>
      <c r="H47" s="49">
        <f>'Avg Week KALERWE-GAYAZA'!H47+'Avg Week GAYAZA-KALERWE'!H47</f>
        <v>2</v>
      </c>
      <c r="I47" s="49">
        <f>'Avg Week KALERWE-GAYAZA'!I47+'Avg Week GAYAZA-KALERWE'!I47</f>
        <v>17.857142857142858</v>
      </c>
      <c r="J47" s="49">
        <f>'Avg Week KALERWE-GAYAZA'!J47+'Avg Week GAYAZA-KALERWE'!J47</f>
        <v>9.4285714285714288</v>
      </c>
      <c r="K47" s="49">
        <f>'Avg Week KALERWE-GAYAZA'!K47+'Avg Week GAYAZA-KALERWE'!K47</f>
        <v>4.8571428571428577</v>
      </c>
      <c r="L47" s="49">
        <f>'Avg Week KALERWE-GAYAZA'!L47+'Avg Week GAYAZA-KALERWE'!L47</f>
        <v>1.8571428571428572</v>
      </c>
      <c r="M47" s="49">
        <f>'Avg Week KALERWE-GAYAZA'!M47+'Avg Week GAYAZA-KALERWE'!M47</f>
        <v>406.85714285714283</v>
      </c>
      <c r="N47" s="49">
        <f>'Avg Week KALERWE-GAYAZA'!N47+'Avg Week GAYAZA-KALERWE'!N47</f>
        <v>0</v>
      </c>
      <c r="O47" s="15">
        <f t="shared" si="0"/>
        <v>298.14285714285705</v>
      </c>
      <c r="P47" s="15">
        <f t="shared" si="1"/>
        <v>704.99999999999989</v>
      </c>
      <c r="R47" s="8"/>
      <c r="T47"/>
    </row>
    <row r="48" spans="2:32" ht="23.1" customHeight="1" x14ac:dyDescent="0.25">
      <c r="B48" s="24" t="s">
        <v>75</v>
      </c>
      <c r="C48" s="49">
        <f>'Avg Week KALERWE-GAYAZA'!C48+'Avg Week GAYAZA-KALERWE'!C48</f>
        <v>143.42857142857144</v>
      </c>
      <c r="D48" s="49">
        <f>'Avg Week KALERWE-GAYAZA'!D48+'Avg Week GAYAZA-KALERWE'!D48</f>
        <v>35.857142857142854</v>
      </c>
      <c r="E48" s="49">
        <f>'Avg Week KALERWE-GAYAZA'!E48+'Avg Week GAYAZA-KALERWE'!E48</f>
        <v>24.285714285714285</v>
      </c>
      <c r="F48" s="49">
        <f>'Avg Week KALERWE-GAYAZA'!F48+'Avg Week GAYAZA-KALERWE'!F48</f>
        <v>105.42857142857144</v>
      </c>
      <c r="G48" s="49">
        <f>'Avg Week KALERWE-GAYAZA'!G48+'Avg Week GAYAZA-KALERWE'!G48</f>
        <v>1.8571428571428572</v>
      </c>
      <c r="H48" s="49">
        <f>'Avg Week KALERWE-GAYAZA'!H48+'Avg Week GAYAZA-KALERWE'!H48</f>
        <v>2.1428571428571428</v>
      </c>
      <c r="I48" s="49">
        <f>'Avg Week KALERWE-GAYAZA'!I48+'Avg Week GAYAZA-KALERWE'!I48</f>
        <v>18.428571428571427</v>
      </c>
      <c r="J48" s="49">
        <f>'Avg Week KALERWE-GAYAZA'!J48+'Avg Week GAYAZA-KALERWE'!J48</f>
        <v>8.2857142857142865</v>
      </c>
      <c r="K48" s="49">
        <f>'Avg Week KALERWE-GAYAZA'!K48+'Avg Week GAYAZA-KALERWE'!K48</f>
        <v>3.2857142857142856</v>
      </c>
      <c r="L48" s="49">
        <f>'Avg Week KALERWE-GAYAZA'!L48+'Avg Week GAYAZA-KALERWE'!L48</f>
        <v>2</v>
      </c>
      <c r="M48" s="49">
        <f>'Avg Week KALERWE-GAYAZA'!M48+'Avg Week GAYAZA-KALERWE'!M48</f>
        <v>450.42857142857144</v>
      </c>
      <c r="N48" s="49">
        <f>'Avg Week KALERWE-GAYAZA'!N48+'Avg Week GAYAZA-KALERWE'!N48</f>
        <v>0</v>
      </c>
      <c r="O48" s="15">
        <f t="shared" si="0"/>
        <v>345</v>
      </c>
      <c r="P48" s="15">
        <f t="shared" si="1"/>
        <v>795.42857142857144</v>
      </c>
      <c r="R48" s="8"/>
      <c r="T48"/>
    </row>
    <row r="49" spans="2:20" ht="23.1" customHeight="1" x14ac:dyDescent="0.25">
      <c r="B49" s="23" t="s">
        <v>76</v>
      </c>
      <c r="C49" s="49">
        <f>'Avg Week KALERWE-GAYAZA'!C49+'Avg Week GAYAZA-KALERWE'!C49</f>
        <v>135.28571428571428</v>
      </c>
      <c r="D49" s="49">
        <f>'Avg Week KALERWE-GAYAZA'!D49+'Avg Week GAYAZA-KALERWE'!D49</f>
        <v>30.142857142857142</v>
      </c>
      <c r="E49" s="49">
        <f>'Avg Week KALERWE-GAYAZA'!E49+'Avg Week GAYAZA-KALERWE'!E49</f>
        <v>20.142857142857142</v>
      </c>
      <c r="F49" s="49">
        <f>'Avg Week KALERWE-GAYAZA'!F49+'Avg Week GAYAZA-KALERWE'!F49</f>
        <v>116.71428571428572</v>
      </c>
      <c r="G49" s="49">
        <f>'Avg Week KALERWE-GAYAZA'!G49+'Avg Week GAYAZA-KALERWE'!G49</f>
        <v>1</v>
      </c>
      <c r="H49" s="49">
        <f>'Avg Week KALERWE-GAYAZA'!H49+'Avg Week GAYAZA-KALERWE'!H49</f>
        <v>1.5714285714285714</v>
      </c>
      <c r="I49" s="49">
        <f>'Avg Week KALERWE-GAYAZA'!I49+'Avg Week GAYAZA-KALERWE'!I49</f>
        <v>16.857142857142858</v>
      </c>
      <c r="J49" s="49">
        <f>'Avg Week KALERWE-GAYAZA'!J49+'Avg Week GAYAZA-KALERWE'!J49</f>
        <v>7.7142857142857135</v>
      </c>
      <c r="K49" s="49">
        <f>'Avg Week KALERWE-GAYAZA'!K49+'Avg Week GAYAZA-KALERWE'!K49</f>
        <v>3.1428571428571432</v>
      </c>
      <c r="L49" s="49">
        <f>'Avg Week KALERWE-GAYAZA'!L49+'Avg Week GAYAZA-KALERWE'!L49</f>
        <v>1</v>
      </c>
      <c r="M49" s="49">
        <f>'Avg Week KALERWE-GAYAZA'!M49+'Avg Week GAYAZA-KALERWE'!M49</f>
        <v>425.85714285714289</v>
      </c>
      <c r="N49" s="49">
        <f>'Avg Week KALERWE-GAYAZA'!N49+'Avg Week GAYAZA-KALERWE'!N49</f>
        <v>0</v>
      </c>
      <c r="O49" s="15">
        <f t="shared" si="0"/>
        <v>333.57142857142856</v>
      </c>
      <c r="P49" s="15">
        <f t="shared" si="1"/>
        <v>759.42857142857144</v>
      </c>
      <c r="R49" s="8"/>
      <c r="T49"/>
    </row>
    <row r="50" spans="2:20" ht="23.1" customHeight="1" x14ac:dyDescent="0.25">
      <c r="B50" s="24" t="s">
        <v>77</v>
      </c>
      <c r="C50" s="49">
        <f>'Avg Week KALERWE-GAYAZA'!C50+'Avg Week GAYAZA-KALERWE'!C50</f>
        <v>141.42857142857144</v>
      </c>
      <c r="D50" s="49">
        <f>'Avg Week KALERWE-GAYAZA'!D50+'Avg Week GAYAZA-KALERWE'!D50</f>
        <v>35.428571428571431</v>
      </c>
      <c r="E50" s="49">
        <f>'Avg Week KALERWE-GAYAZA'!E50+'Avg Week GAYAZA-KALERWE'!E50</f>
        <v>23.428571428571431</v>
      </c>
      <c r="F50" s="49">
        <f>'Avg Week KALERWE-GAYAZA'!F50+'Avg Week GAYAZA-KALERWE'!F50</f>
        <v>125.85714285714286</v>
      </c>
      <c r="G50" s="49">
        <f>'Avg Week KALERWE-GAYAZA'!G50+'Avg Week GAYAZA-KALERWE'!G50</f>
        <v>2.7142857142857144</v>
      </c>
      <c r="H50" s="49">
        <f>'Avg Week KALERWE-GAYAZA'!H50+'Avg Week GAYAZA-KALERWE'!H50</f>
        <v>1</v>
      </c>
      <c r="I50" s="49">
        <f>'Avg Week KALERWE-GAYAZA'!I50+'Avg Week GAYAZA-KALERWE'!I50</f>
        <v>20.285714285714285</v>
      </c>
      <c r="J50" s="49">
        <f>'Avg Week KALERWE-GAYAZA'!J50+'Avg Week GAYAZA-KALERWE'!J50</f>
        <v>7.8571428571428568</v>
      </c>
      <c r="K50" s="49">
        <f>'Avg Week KALERWE-GAYAZA'!K50+'Avg Week GAYAZA-KALERWE'!K50</f>
        <v>2.5714285714285712</v>
      </c>
      <c r="L50" s="49">
        <f>'Avg Week KALERWE-GAYAZA'!L50+'Avg Week GAYAZA-KALERWE'!L50</f>
        <v>1.7142857142857144</v>
      </c>
      <c r="M50" s="49">
        <f>'Avg Week KALERWE-GAYAZA'!M50+'Avg Week GAYAZA-KALERWE'!M50</f>
        <v>446.14285714285717</v>
      </c>
      <c r="N50" s="49">
        <f>'Avg Week KALERWE-GAYAZA'!N50+'Avg Week GAYAZA-KALERWE'!N50</f>
        <v>0</v>
      </c>
      <c r="O50" s="15">
        <f t="shared" si="0"/>
        <v>362.28571428571433</v>
      </c>
      <c r="P50" s="15">
        <f t="shared" si="1"/>
        <v>808.42857142857156</v>
      </c>
      <c r="R50" s="8"/>
      <c r="T50"/>
    </row>
    <row r="51" spans="2:20" ht="23.1" customHeight="1" x14ac:dyDescent="0.25">
      <c r="B51" s="24" t="s">
        <v>78</v>
      </c>
      <c r="C51" s="49">
        <f>'Avg Week KALERWE-GAYAZA'!C51+'Avg Week GAYAZA-KALERWE'!C51</f>
        <v>128.28571428571428</v>
      </c>
      <c r="D51" s="49">
        <f>'Avg Week KALERWE-GAYAZA'!D51+'Avg Week GAYAZA-KALERWE'!D51</f>
        <v>28.571428571428569</v>
      </c>
      <c r="E51" s="49">
        <f>'Avg Week KALERWE-GAYAZA'!E51+'Avg Week GAYAZA-KALERWE'!E51</f>
        <v>21.285714285714285</v>
      </c>
      <c r="F51" s="49">
        <f>'Avg Week KALERWE-GAYAZA'!F51+'Avg Week GAYAZA-KALERWE'!F51</f>
        <v>111.85714285714286</v>
      </c>
      <c r="G51" s="49">
        <f>'Avg Week KALERWE-GAYAZA'!G51+'Avg Week GAYAZA-KALERWE'!G51</f>
        <v>2.8571428571428572</v>
      </c>
      <c r="H51" s="49">
        <f>'Avg Week KALERWE-GAYAZA'!H51+'Avg Week GAYAZA-KALERWE'!H51</f>
        <v>2</v>
      </c>
      <c r="I51" s="49">
        <f>'Avg Week KALERWE-GAYAZA'!I51+'Avg Week GAYAZA-KALERWE'!I51</f>
        <v>16.142857142857142</v>
      </c>
      <c r="J51" s="49">
        <f>'Avg Week KALERWE-GAYAZA'!J51+'Avg Week GAYAZA-KALERWE'!J51</f>
        <v>7.5714285714285712</v>
      </c>
      <c r="K51" s="49">
        <f>'Avg Week KALERWE-GAYAZA'!K51+'Avg Week GAYAZA-KALERWE'!K51</f>
        <v>3.1428571428571432</v>
      </c>
      <c r="L51" s="49">
        <f>'Avg Week KALERWE-GAYAZA'!L51+'Avg Week GAYAZA-KALERWE'!L51</f>
        <v>1.7142857142857144</v>
      </c>
      <c r="M51" s="49">
        <f>'Avg Week KALERWE-GAYAZA'!M51+'Avg Week GAYAZA-KALERWE'!M51</f>
        <v>504</v>
      </c>
      <c r="N51" s="49">
        <f>'Avg Week KALERWE-GAYAZA'!N51+'Avg Week GAYAZA-KALERWE'!N51</f>
        <v>0</v>
      </c>
      <c r="O51" s="15">
        <f t="shared" si="0"/>
        <v>323.42857142857144</v>
      </c>
      <c r="P51" s="15">
        <f t="shared" si="1"/>
        <v>827.42857142857144</v>
      </c>
      <c r="R51" s="8"/>
      <c r="T51"/>
    </row>
    <row r="52" spans="2:20" ht="23.1" customHeight="1" x14ac:dyDescent="0.25">
      <c r="B52" s="24" t="s">
        <v>79</v>
      </c>
      <c r="C52" s="49">
        <f>'Avg Week KALERWE-GAYAZA'!C52+'Avg Week GAYAZA-KALERWE'!C52</f>
        <v>128.57142857142856</v>
      </c>
      <c r="D52" s="49">
        <f>'Avg Week KALERWE-GAYAZA'!D52+'Avg Week GAYAZA-KALERWE'!D52</f>
        <v>27.142857142857142</v>
      </c>
      <c r="E52" s="49">
        <f>'Avg Week KALERWE-GAYAZA'!E52+'Avg Week GAYAZA-KALERWE'!E52</f>
        <v>18</v>
      </c>
      <c r="F52" s="49">
        <f>'Avg Week KALERWE-GAYAZA'!F52+'Avg Week GAYAZA-KALERWE'!F52</f>
        <v>108.28571428571428</v>
      </c>
      <c r="G52" s="49">
        <f>'Avg Week KALERWE-GAYAZA'!G52+'Avg Week GAYAZA-KALERWE'!G52</f>
        <v>2.2857142857142856</v>
      </c>
      <c r="H52" s="49">
        <f>'Avg Week KALERWE-GAYAZA'!H52+'Avg Week GAYAZA-KALERWE'!H52</f>
        <v>1.2857142857142856</v>
      </c>
      <c r="I52" s="49">
        <f>'Avg Week KALERWE-GAYAZA'!I52+'Avg Week GAYAZA-KALERWE'!I52</f>
        <v>16</v>
      </c>
      <c r="J52" s="49">
        <f>'Avg Week KALERWE-GAYAZA'!J52+'Avg Week GAYAZA-KALERWE'!J52</f>
        <v>8.8571428571428577</v>
      </c>
      <c r="K52" s="49">
        <f>'Avg Week KALERWE-GAYAZA'!K52+'Avg Week GAYAZA-KALERWE'!K52</f>
        <v>2.7142857142857144</v>
      </c>
      <c r="L52" s="49">
        <f>'Avg Week KALERWE-GAYAZA'!L52+'Avg Week GAYAZA-KALERWE'!L52</f>
        <v>1.8571428571428572</v>
      </c>
      <c r="M52" s="49">
        <f>'Avg Week KALERWE-GAYAZA'!M52+'Avg Week GAYAZA-KALERWE'!M52</f>
        <v>516.57142857142856</v>
      </c>
      <c r="N52" s="49">
        <f>'Avg Week KALERWE-GAYAZA'!N52+'Avg Week GAYAZA-KALERWE'!N52</f>
        <v>0</v>
      </c>
      <c r="O52" s="15">
        <f t="shared" si="0"/>
        <v>314.99999999999994</v>
      </c>
      <c r="P52" s="15">
        <f t="shared" si="1"/>
        <v>831.57142857142844</v>
      </c>
      <c r="R52" s="8"/>
      <c r="T52"/>
    </row>
    <row r="53" spans="2:20" ht="23.1" customHeight="1" x14ac:dyDescent="0.25">
      <c r="B53" s="23" t="s">
        <v>80</v>
      </c>
      <c r="C53" s="49">
        <f>'Avg Week KALERWE-GAYAZA'!C53+'Avg Week GAYAZA-KALERWE'!C53</f>
        <v>138.71428571428572</v>
      </c>
      <c r="D53" s="49">
        <f>'Avg Week KALERWE-GAYAZA'!D53+'Avg Week GAYAZA-KALERWE'!D53</f>
        <v>30.142857142857142</v>
      </c>
      <c r="E53" s="49">
        <f>'Avg Week KALERWE-GAYAZA'!E53+'Avg Week GAYAZA-KALERWE'!E53</f>
        <v>19.285714285714285</v>
      </c>
      <c r="F53" s="49">
        <f>'Avg Week KALERWE-GAYAZA'!F53+'Avg Week GAYAZA-KALERWE'!F53</f>
        <v>113</v>
      </c>
      <c r="G53" s="49">
        <f>'Avg Week KALERWE-GAYAZA'!G53+'Avg Week GAYAZA-KALERWE'!G53</f>
        <v>1.5714285714285714</v>
      </c>
      <c r="H53" s="49">
        <f>'Avg Week KALERWE-GAYAZA'!H53+'Avg Week GAYAZA-KALERWE'!H53</f>
        <v>1.7142857142857142</v>
      </c>
      <c r="I53" s="49">
        <f>'Avg Week KALERWE-GAYAZA'!I53+'Avg Week GAYAZA-KALERWE'!I53</f>
        <v>15</v>
      </c>
      <c r="J53" s="49">
        <f>'Avg Week KALERWE-GAYAZA'!J53+'Avg Week GAYAZA-KALERWE'!J53</f>
        <v>6.2857142857142856</v>
      </c>
      <c r="K53" s="49">
        <f>'Avg Week KALERWE-GAYAZA'!K53+'Avg Week GAYAZA-KALERWE'!K53</f>
        <v>3</v>
      </c>
      <c r="L53" s="49">
        <f>'Avg Week KALERWE-GAYAZA'!L53+'Avg Week GAYAZA-KALERWE'!L53</f>
        <v>2</v>
      </c>
      <c r="M53" s="49">
        <f>'Avg Week KALERWE-GAYAZA'!M53+'Avg Week GAYAZA-KALERWE'!M53</f>
        <v>493.42857142857144</v>
      </c>
      <c r="N53" s="49">
        <f>'Avg Week KALERWE-GAYAZA'!N53+'Avg Week GAYAZA-KALERWE'!N53</f>
        <v>0</v>
      </c>
      <c r="O53" s="15">
        <f t="shared" si="0"/>
        <v>330.71428571428567</v>
      </c>
      <c r="P53" s="15">
        <f t="shared" si="1"/>
        <v>824.14285714285711</v>
      </c>
      <c r="R53" s="8"/>
      <c r="T53"/>
    </row>
    <row r="54" spans="2:20" ht="23.1" customHeight="1" x14ac:dyDescent="0.25">
      <c r="B54" s="23" t="s">
        <v>81</v>
      </c>
      <c r="C54" s="49">
        <f>'Avg Week KALERWE-GAYAZA'!C54+'Avg Week GAYAZA-KALERWE'!C54</f>
        <v>146.57142857142856</v>
      </c>
      <c r="D54" s="49">
        <f>'Avg Week KALERWE-GAYAZA'!D54+'Avg Week GAYAZA-KALERWE'!D54</f>
        <v>27.571428571428569</v>
      </c>
      <c r="E54" s="49">
        <f>'Avg Week KALERWE-GAYAZA'!E54+'Avg Week GAYAZA-KALERWE'!E54</f>
        <v>20.142857142857142</v>
      </c>
      <c r="F54" s="49">
        <f>'Avg Week KALERWE-GAYAZA'!F54+'Avg Week GAYAZA-KALERWE'!F54</f>
        <v>122.14285714285714</v>
      </c>
      <c r="G54" s="49">
        <f>'Avg Week KALERWE-GAYAZA'!G54+'Avg Week GAYAZA-KALERWE'!G54</f>
        <v>5</v>
      </c>
      <c r="H54" s="49">
        <f>'Avg Week KALERWE-GAYAZA'!H54+'Avg Week GAYAZA-KALERWE'!H54</f>
        <v>2.5714285714285716</v>
      </c>
      <c r="I54" s="49">
        <f>'Avg Week KALERWE-GAYAZA'!I54+'Avg Week GAYAZA-KALERWE'!I54</f>
        <v>14.714285714285715</v>
      </c>
      <c r="J54" s="49">
        <f>'Avg Week KALERWE-GAYAZA'!J54+'Avg Week GAYAZA-KALERWE'!J54</f>
        <v>7.4285714285714288</v>
      </c>
      <c r="K54" s="49">
        <f>'Avg Week KALERWE-GAYAZA'!K54+'Avg Week GAYAZA-KALERWE'!K54</f>
        <v>2.2857142857142856</v>
      </c>
      <c r="L54" s="49">
        <f>'Avg Week KALERWE-GAYAZA'!L54+'Avg Week GAYAZA-KALERWE'!L54</f>
        <v>1.5714285714285714</v>
      </c>
      <c r="M54" s="49">
        <f>'Avg Week KALERWE-GAYAZA'!M54+'Avg Week GAYAZA-KALERWE'!M54</f>
        <v>586</v>
      </c>
      <c r="N54" s="49">
        <f>'Avg Week KALERWE-GAYAZA'!N54+'Avg Week GAYAZA-KALERWE'!N54</f>
        <v>0</v>
      </c>
      <c r="O54" s="15">
        <f t="shared" si="0"/>
        <v>349.99999999999994</v>
      </c>
      <c r="P54" s="15">
        <f t="shared" si="1"/>
        <v>936</v>
      </c>
      <c r="R54" s="8"/>
      <c r="T54"/>
    </row>
    <row r="55" spans="2:20" ht="23.1" customHeight="1" x14ac:dyDescent="0.25">
      <c r="B55" s="23" t="s">
        <v>82</v>
      </c>
      <c r="C55" s="49">
        <f>'Avg Week KALERWE-GAYAZA'!C55+'Avg Week GAYAZA-KALERWE'!C55</f>
        <v>130</v>
      </c>
      <c r="D55" s="49">
        <f>'Avg Week KALERWE-GAYAZA'!D55+'Avg Week GAYAZA-KALERWE'!D55</f>
        <v>27.857142857142858</v>
      </c>
      <c r="E55" s="49">
        <f>'Avg Week KALERWE-GAYAZA'!E55+'Avg Week GAYAZA-KALERWE'!E55</f>
        <v>16.714285714285715</v>
      </c>
      <c r="F55" s="49">
        <f>'Avg Week KALERWE-GAYAZA'!F55+'Avg Week GAYAZA-KALERWE'!F55</f>
        <v>124.85714285714286</v>
      </c>
      <c r="G55" s="49">
        <f>'Avg Week KALERWE-GAYAZA'!G55+'Avg Week GAYAZA-KALERWE'!G55</f>
        <v>3.4285714285714288</v>
      </c>
      <c r="H55" s="49">
        <f>'Avg Week KALERWE-GAYAZA'!H55+'Avg Week GAYAZA-KALERWE'!H55</f>
        <v>2.5714285714285716</v>
      </c>
      <c r="I55" s="49">
        <f>'Avg Week KALERWE-GAYAZA'!I55+'Avg Week GAYAZA-KALERWE'!I55</f>
        <v>11.428571428571427</v>
      </c>
      <c r="J55" s="49">
        <f>'Avg Week KALERWE-GAYAZA'!J55+'Avg Week GAYAZA-KALERWE'!J55</f>
        <v>6.4285714285714288</v>
      </c>
      <c r="K55" s="49">
        <f>'Avg Week KALERWE-GAYAZA'!K55+'Avg Week GAYAZA-KALERWE'!K55</f>
        <v>2.2857142857142856</v>
      </c>
      <c r="L55" s="49">
        <f>'Avg Week KALERWE-GAYAZA'!L55+'Avg Week GAYAZA-KALERWE'!L55</f>
        <v>0.85714285714285721</v>
      </c>
      <c r="M55" s="49">
        <f>'Avg Week KALERWE-GAYAZA'!M55+'Avg Week GAYAZA-KALERWE'!M55</f>
        <v>488.28571428571428</v>
      </c>
      <c r="N55" s="49">
        <f>'Avg Week KALERWE-GAYAZA'!N55+'Avg Week GAYAZA-KALERWE'!N55</f>
        <v>0</v>
      </c>
      <c r="O55" s="15">
        <f t="shared" si="0"/>
        <v>326.42857142857144</v>
      </c>
      <c r="P55" s="15">
        <f t="shared" si="1"/>
        <v>814.71428571428578</v>
      </c>
      <c r="R55" s="8"/>
      <c r="T55"/>
    </row>
    <row r="56" spans="2:20" ht="23.1" customHeight="1" x14ac:dyDescent="0.25">
      <c r="B56" s="23" t="s">
        <v>83</v>
      </c>
      <c r="C56" s="49">
        <f>'Avg Week KALERWE-GAYAZA'!C56+'Avg Week GAYAZA-KALERWE'!C56</f>
        <v>134</v>
      </c>
      <c r="D56" s="49">
        <f>'Avg Week KALERWE-GAYAZA'!D56+'Avg Week GAYAZA-KALERWE'!D56</f>
        <v>28.428571428571431</v>
      </c>
      <c r="E56" s="49">
        <f>'Avg Week KALERWE-GAYAZA'!E56+'Avg Week GAYAZA-KALERWE'!E56</f>
        <v>19.285714285714285</v>
      </c>
      <c r="F56" s="49">
        <f>'Avg Week KALERWE-GAYAZA'!F56+'Avg Week GAYAZA-KALERWE'!F56</f>
        <v>130.42857142857144</v>
      </c>
      <c r="G56" s="49">
        <f>'Avg Week KALERWE-GAYAZA'!G56+'Avg Week GAYAZA-KALERWE'!G56</f>
        <v>3</v>
      </c>
      <c r="H56" s="49">
        <f>'Avg Week KALERWE-GAYAZA'!H56+'Avg Week GAYAZA-KALERWE'!H56</f>
        <v>3</v>
      </c>
      <c r="I56" s="49">
        <f>'Avg Week KALERWE-GAYAZA'!I56+'Avg Week GAYAZA-KALERWE'!I56</f>
        <v>19.142857142857142</v>
      </c>
      <c r="J56" s="49">
        <f>'Avg Week KALERWE-GAYAZA'!J56+'Avg Week GAYAZA-KALERWE'!J56</f>
        <v>6.2857142857142856</v>
      </c>
      <c r="K56" s="49">
        <f>'Avg Week KALERWE-GAYAZA'!K56+'Avg Week GAYAZA-KALERWE'!K56</f>
        <v>1.8571428571428572</v>
      </c>
      <c r="L56" s="49">
        <f>'Avg Week KALERWE-GAYAZA'!L56+'Avg Week GAYAZA-KALERWE'!L56</f>
        <v>0.8571428571428571</v>
      </c>
      <c r="M56" s="49">
        <f>'Avg Week KALERWE-GAYAZA'!M56+'Avg Week GAYAZA-KALERWE'!M56</f>
        <v>490.57142857142856</v>
      </c>
      <c r="N56" s="49">
        <f>'Avg Week KALERWE-GAYAZA'!N56+'Avg Week GAYAZA-KALERWE'!N56</f>
        <v>0</v>
      </c>
      <c r="O56" s="15">
        <f t="shared" si="0"/>
        <v>346.28571428571428</v>
      </c>
      <c r="P56" s="15">
        <f t="shared" si="1"/>
        <v>836.85714285714289</v>
      </c>
      <c r="R56" s="8"/>
      <c r="T56"/>
    </row>
    <row r="57" spans="2:20" ht="23.1" customHeight="1" x14ac:dyDescent="0.25">
      <c r="B57" s="23" t="s">
        <v>84</v>
      </c>
      <c r="C57" s="49">
        <f>'Avg Week KALERWE-GAYAZA'!C57+'Avg Week GAYAZA-KALERWE'!C57</f>
        <v>119.14285714285714</v>
      </c>
      <c r="D57" s="49">
        <f>'Avg Week KALERWE-GAYAZA'!D57+'Avg Week GAYAZA-KALERWE'!D57</f>
        <v>25.142857142857142</v>
      </c>
      <c r="E57" s="49">
        <f>'Avg Week KALERWE-GAYAZA'!E57+'Avg Week GAYAZA-KALERWE'!E57</f>
        <v>13.714285714285714</v>
      </c>
      <c r="F57" s="49">
        <f>'Avg Week KALERWE-GAYAZA'!F57+'Avg Week GAYAZA-KALERWE'!F57</f>
        <v>122.57142857142857</v>
      </c>
      <c r="G57" s="49">
        <f>'Avg Week KALERWE-GAYAZA'!G57+'Avg Week GAYAZA-KALERWE'!G57</f>
        <v>3.8571428571428568</v>
      </c>
      <c r="H57" s="49">
        <f>'Avg Week KALERWE-GAYAZA'!H57+'Avg Week GAYAZA-KALERWE'!H57</f>
        <v>1.8571428571428572</v>
      </c>
      <c r="I57" s="49">
        <f>'Avg Week KALERWE-GAYAZA'!I57+'Avg Week GAYAZA-KALERWE'!I57</f>
        <v>12.714285714285715</v>
      </c>
      <c r="J57" s="49">
        <f>'Avg Week KALERWE-GAYAZA'!J57+'Avg Week GAYAZA-KALERWE'!J57</f>
        <v>7.5714285714285712</v>
      </c>
      <c r="K57" s="49">
        <f>'Avg Week KALERWE-GAYAZA'!K57+'Avg Week GAYAZA-KALERWE'!K57</f>
        <v>1.8571428571428572</v>
      </c>
      <c r="L57" s="49">
        <f>'Avg Week KALERWE-GAYAZA'!L57+'Avg Week GAYAZA-KALERWE'!L57</f>
        <v>1.2857142857142856</v>
      </c>
      <c r="M57" s="49">
        <f>'Avg Week KALERWE-GAYAZA'!M57+'Avg Week GAYAZA-KALERWE'!M57</f>
        <v>530.57142857142856</v>
      </c>
      <c r="N57" s="49">
        <f>'Avg Week KALERWE-GAYAZA'!N57+'Avg Week GAYAZA-KALERWE'!N57</f>
        <v>0</v>
      </c>
      <c r="O57" s="15">
        <f t="shared" si="0"/>
        <v>309.71428571428561</v>
      </c>
      <c r="P57" s="15">
        <f t="shared" si="1"/>
        <v>840.28571428571422</v>
      </c>
      <c r="R57" s="8"/>
      <c r="T57"/>
    </row>
    <row r="58" spans="2:20" ht="23.1" customHeight="1" x14ac:dyDescent="0.25">
      <c r="B58" s="23" t="s">
        <v>99</v>
      </c>
      <c r="C58" s="49">
        <f>'Avg Week KALERWE-GAYAZA'!C58+'Avg Week GAYAZA-KALERWE'!C58</f>
        <v>133</v>
      </c>
      <c r="D58" s="49">
        <f>'Avg Week KALERWE-GAYAZA'!D58+'Avg Week GAYAZA-KALERWE'!D58</f>
        <v>39</v>
      </c>
      <c r="E58" s="49">
        <f>'Avg Week KALERWE-GAYAZA'!E58+'Avg Week GAYAZA-KALERWE'!E58</f>
        <v>19</v>
      </c>
      <c r="F58" s="49">
        <f>'Avg Week KALERWE-GAYAZA'!F58+'Avg Week GAYAZA-KALERWE'!F58</f>
        <v>65</v>
      </c>
      <c r="G58" s="49">
        <f>'Avg Week KALERWE-GAYAZA'!G58+'Avg Week GAYAZA-KALERWE'!G58</f>
        <v>3</v>
      </c>
      <c r="H58" s="49">
        <f>'Avg Week KALERWE-GAYAZA'!H58+'Avg Week GAYAZA-KALERWE'!H58</f>
        <v>2</v>
      </c>
      <c r="I58" s="49">
        <f>'Avg Week KALERWE-GAYAZA'!I58+'Avg Week GAYAZA-KALERWE'!I58</f>
        <v>40</v>
      </c>
      <c r="J58" s="49">
        <f>'Avg Week KALERWE-GAYAZA'!J58+'Avg Week GAYAZA-KALERWE'!J58</f>
        <v>9</v>
      </c>
      <c r="K58" s="49">
        <f>'Avg Week KALERWE-GAYAZA'!K58+'Avg Week GAYAZA-KALERWE'!K58</f>
        <v>0.5</v>
      </c>
      <c r="L58" s="49">
        <f>'Avg Week KALERWE-GAYAZA'!L58+'Avg Week GAYAZA-KALERWE'!L58</f>
        <v>4</v>
      </c>
      <c r="M58" s="49">
        <f>'Avg Week KALERWE-GAYAZA'!M58+'Avg Week GAYAZA-KALERWE'!M58</f>
        <v>628.5</v>
      </c>
      <c r="N58" s="49">
        <f>'Avg Week KALERWE-GAYAZA'!N58+'Avg Week GAYAZA-KALERWE'!N58</f>
        <v>0</v>
      </c>
      <c r="O58" s="15">
        <f t="shared" si="0"/>
        <v>314.5</v>
      </c>
      <c r="P58" s="15">
        <f t="shared" si="1"/>
        <v>943</v>
      </c>
      <c r="R58" s="8"/>
      <c r="T58"/>
    </row>
    <row r="59" spans="2:20" ht="23.1" customHeight="1" x14ac:dyDescent="0.25">
      <c r="B59" s="23" t="s">
        <v>100</v>
      </c>
      <c r="C59" s="49">
        <f>'Avg Week KALERWE-GAYAZA'!C59+'Avg Week GAYAZA-KALERWE'!C59</f>
        <v>122</v>
      </c>
      <c r="D59" s="49">
        <f>'Avg Week KALERWE-GAYAZA'!D59+'Avg Week GAYAZA-KALERWE'!D59</f>
        <v>43</v>
      </c>
      <c r="E59" s="49">
        <f>'Avg Week KALERWE-GAYAZA'!E59+'Avg Week GAYAZA-KALERWE'!E59</f>
        <v>21</v>
      </c>
      <c r="F59" s="49">
        <f>'Avg Week KALERWE-GAYAZA'!F59+'Avg Week GAYAZA-KALERWE'!F59</f>
        <v>64</v>
      </c>
      <c r="G59" s="49">
        <f>'Avg Week KALERWE-GAYAZA'!G59+'Avg Week GAYAZA-KALERWE'!G59</f>
        <v>3</v>
      </c>
      <c r="H59" s="49">
        <f>'Avg Week KALERWE-GAYAZA'!H59+'Avg Week GAYAZA-KALERWE'!H59</f>
        <v>3</v>
      </c>
      <c r="I59" s="49">
        <f>'Avg Week KALERWE-GAYAZA'!I59+'Avg Week GAYAZA-KALERWE'!I59</f>
        <v>9</v>
      </c>
      <c r="J59" s="49">
        <f>'Avg Week KALERWE-GAYAZA'!J59+'Avg Week GAYAZA-KALERWE'!J59</f>
        <v>6</v>
      </c>
      <c r="K59" s="49">
        <f>'Avg Week KALERWE-GAYAZA'!K59+'Avg Week GAYAZA-KALERWE'!K59</f>
        <v>2</v>
      </c>
      <c r="L59" s="49">
        <f>'Avg Week KALERWE-GAYAZA'!L59+'Avg Week GAYAZA-KALERWE'!L59</f>
        <v>1</v>
      </c>
      <c r="M59" s="49">
        <f>'Avg Week KALERWE-GAYAZA'!M59+'Avg Week GAYAZA-KALERWE'!M59</f>
        <v>652.5</v>
      </c>
      <c r="N59" s="49">
        <f>'Avg Week KALERWE-GAYAZA'!N59+'Avg Week GAYAZA-KALERWE'!N59</f>
        <v>0</v>
      </c>
      <c r="O59" s="15">
        <f t="shared" si="0"/>
        <v>274</v>
      </c>
      <c r="P59" s="15">
        <f t="shared" si="1"/>
        <v>926.5</v>
      </c>
      <c r="R59" s="8"/>
      <c r="T59"/>
    </row>
    <row r="60" spans="2:20" ht="23.1" customHeight="1" x14ac:dyDescent="0.25">
      <c r="B60" s="23" t="s">
        <v>101</v>
      </c>
      <c r="C60" s="49">
        <f>'Avg Week KALERWE-GAYAZA'!C60+'Avg Week GAYAZA-KALERWE'!C60</f>
        <v>96</v>
      </c>
      <c r="D60" s="49">
        <f>'Avg Week KALERWE-GAYAZA'!D60+'Avg Week GAYAZA-KALERWE'!D60</f>
        <v>43</v>
      </c>
      <c r="E60" s="49">
        <f>'Avg Week KALERWE-GAYAZA'!E60+'Avg Week GAYAZA-KALERWE'!E60</f>
        <v>30.5</v>
      </c>
      <c r="F60" s="49">
        <f>'Avg Week KALERWE-GAYAZA'!F60+'Avg Week GAYAZA-KALERWE'!F60</f>
        <v>67</v>
      </c>
      <c r="G60" s="49">
        <f>'Avg Week KALERWE-GAYAZA'!G60+'Avg Week GAYAZA-KALERWE'!G60</f>
        <v>8</v>
      </c>
      <c r="H60" s="49">
        <f>'Avg Week KALERWE-GAYAZA'!H60+'Avg Week GAYAZA-KALERWE'!H60</f>
        <v>0.5</v>
      </c>
      <c r="I60" s="49">
        <f>'Avg Week KALERWE-GAYAZA'!I60+'Avg Week GAYAZA-KALERWE'!I60</f>
        <v>4.5</v>
      </c>
      <c r="J60" s="49">
        <f>'Avg Week KALERWE-GAYAZA'!J60+'Avg Week GAYAZA-KALERWE'!J60</f>
        <v>6.5</v>
      </c>
      <c r="K60" s="49">
        <f>'Avg Week KALERWE-GAYAZA'!K60+'Avg Week GAYAZA-KALERWE'!K60</f>
        <v>2</v>
      </c>
      <c r="L60" s="49">
        <f>'Avg Week KALERWE-GAYAZA'!L60+'Avg Week GAYAZA-KALERWE'!L60</f>
        <v>1.5</v>
      </c>
      <c r="M60" s="49">
        <f>'Avg Week KALERWE-GAYAZA'!M60+'Avg Week GAYAZA-KALERWE'!M60</f>
        <v>751</v>
      </c>
      <c r="N60" s="49">
        <f>'Avg Week KALERWE-GAYAZA'!N60+'Avg Week GAYAZA-KALERWE'!N60</f>
        <v>0</v>
      </c>
      <c r="O60" s="15">
        <f t="shared" si="0"/>
        <v>259.5</v>
      </c>
      <c r="P60" s="15">
        <f t="shared" si="1"/>
        <v>1010.5</v>
      </c>
      <c r="R60" s="8"/>
      <c r="T60"/>
    </row>
    <row r="61" spans="2:20" ht="23.1" customHeight="1" x14ac:dyDescent="0.25">
      <c r="B61" s="23" t="s">
        <v>102</v>
      </c>
      <c r="C61" s="49">
        <f>'Avg Week KALERWE-GAYAZA'!C61+'Avg Week GAYAZA-KALERWE'!C61</f>
        <v>88.5</v>
      </c>
      <c r="D61" s="49">
        <f>'Avg Week KALERWE-GAYAZA'!D61+'Avg Week GAYAZA-KALERWE'!D61</f>
        <v>40</v>
      </c>
      <c r="E61" s="49">
        <f>'Avg Week KALERWE-GAYAZA'!E61+'Avg Week GAYAZA-KALERWE'!E61</f>
        <v>17.5</v>
      </c>
      <c r="F61" s="49">
        <f>'Avg Week KALERWE-GAYAZA'!F61+'Avg Week GAYAZA-KALERWE'!F61</f>
        <v>67.5</v>
      </c>
      <c r="G61" s="49">
        <f>'Avg Week KALERWE-GAYAZA'!G61+'Avg Week GAYAZA-KALERWE'!G61</f>
        <v>3</v>
      </c>
      <c r="H61" s="49">
        <f>'Avg Week KALERWE-GAYAZA'!H61+'Avg Week GAYAZA-KALERWE'!H61</f>
        <v>2.5</v>
      </c>
      <c r="I61" s="49">
        <f>'Avg Week KALERWE-GAYAZA'!I61+'Avg Week GAYAZA-KALERWE'!I61</f>
        <v>9.5</v>
      </c>
      <c r="J61" s="49">
        <f>'Avg Week KALERWE-GAYAZA'!J61+'Avg Week GAYAZA-KALERWE'!J61</f>
        <v>8</v>
      </c>
      <c r="K61" s="49">
        <f>'Avg Week KALERWE-GAYAZA'!K61+'Avg Week GAYAZA-KALERWE'!K61</f>
        <v>3.5</v>
      </c>
      <c r="L61" s="49">
        <f>'Avg Week KALERWE-GAYAZA'!L61+'Avg Week GAYAZA-KALERWE'!L61</f>
        <v>1</v>
      </c>
      <c r="M61" s="49">
        <f>'Avg Week KALERWE-GAYAZA'!M61+'Avg Week GAYAZA-KALERWE'!M61</f>
        <v>578</v>
      </c>
      <c r="N61" s="49">
        <f>'Avg Week KALERWE-GAYAZA'!N61+'Avg Week GAYAZA-KALERWE'!N61</f>
        <v>0</v>
      </c>
      <c r="O61" s="15">
        <f t="shared" si="0"/>
        <v>241</v>
      </c>
      <c r="P61" s="15">
        <f t="shared" si="1"/>
        <v>819</v>
      </c>
      <c r="R61" s="8"/>
      <c r="T61"/>
    </row>
    <row r="62" spans="2:20" ht="23.1" customHeight="1" x14ac:dyDescent="0.25">
      <c r="B62" s="23" t="s">
        <v>107</v>
      </c>
      <c r="C62" s="49">
        <f>'Avg Week KALERWE-GAYAZA'!C62+'Avg Week GAYAZA-KALERWE'!C62</f>
        <v>84</v>
      </c>
      <c r="D62" s="49">
        <f>'Avg Week KALERWE-GAYAZA'!D62+'Avg Week GAYAZA-KALERWE'!D62</f>
        <v>20</v>
      </c>
      <c r="E62" s="49">
        <f>'Avg Week KALERWE-GAYAZA'!E62+'Avg Week GAYAZA-KALERWE'!E62</f>
        <v>15.5</v>
      </c>
      <c r="F62" s="49">
        <f>'Avg Week KALERWE-GAYAZA'!F62+'Avg Week GAYAZA-KALERWE'!F62</f>
        <v>56</v>
      </c>
      <c r="G62" s="49">
        <f>'Avg Week KALERWE-GAYAZA'!G62+'Avg Week GAYAZA-KALERWE'!G62</f>
        <v>2</v>
      </c>
      <c r="H62" s="49">
        <f>'Avg Week KALERWE-GAYAZA'!H62+'Avg Week GAYAZA-KALERWE'!H62</f>
        <v>3</v>
      </c>
      <c r="I62" s="49">
        <f>'Avg Week KALERWE-GAYAZA'!I62+'Avg Week GAYAZA-KALERWE'!I62</f>
        <v>11</v>
      </c>
      <c r="J62" s="49">
        <f>'Avg Week KALERWE-GAYAZA'!J62+'Avg Week GAYAZA-KALERWE'!J62</f>
        <v>6</v>
      </c>
      <c r="K62" s="49">
        <f>'Avg Week KALERWE-GAYAZA'!K62+'Avg Week GAYAZA-KALERWE'!K62</f>
        <v>3</v>
      </c>
      <c r="L62" s="49">
        <f>'Avg Week KALERWE-GAYAZA'!L62+'Avg Week GAYAZA-KALERWE'!L62</f>
        <v>1</v>
      </c>
      <c r="M62" s="49">
        <f>'Avg Week KALERWE-GAYAZA'!M62+'Avg Week GAYAZA-KALERWE'!M62</f>
        <v>727.5</v>
      </c>
      <c r="N62" s="49">
        <f>'Avg Week KALERWE-GAYAZA'!N62+'Avg Week GAYAZA-KALERWE'!N62</f>
        <v>0</v>
      </c>
      <c r="O62" s="15">
        <f t="shared" si="0"/>
        <v>201.5</v>
      </c>
      <c r="P62" s="15">
        <f t="shared" si="1"/>
        <v>929</v>
      </c>
      <c r="R62" s="8"/>
      <c r="T62"/>
    </row>
    <row r="63" spans="2:20" ht="23.1" customHeight="1" x14ac:dyDescent="0.25">
      <c r="B63" s="23" t="s">
        <v>108</v>
      </c>
      <c r="C63" s="49">
        <f>'Avg Week KALERWE-GAYAZA'!C63+'Avg Week GAYAZA-KALERWE'!C63</f>
        <v>106</v>
      </c>
      <c r="D63" s="49">
        <f>'Avg Week KALERWE-GAYAZA'!D63+'Avg Week GAYAZA-KALERWE'!D63</f>
        <v>34</v>
      </c>
      <c r="E63" s="49">
        <f>'Avg Week KALERWE-GAYAZA'!E63+'Avg Week GAYAZA-KALERWE'!E63</f>
        <v>18</v>
      </c>
      <c r="F63" s="49">
        <f>'Avg Week KALERWE-GAYAZA'!F63+'Avg Week GAYAZA-KALERWE'!F63</f>
        <v>92</v>
      </c>
      <c r="G63" s="49">
        <f>'Avg Week KALERWE-GAYAZA'!G63+'Avg Week GAYAZA-KALERWE'!G63</f>
        <v>1</v>
      </c>
      <c r="H63" s="49">
        <f>'Avg Week KALERWE-GAYAZA'!H63+'Avg Week GAYAZA-KALERWE'!H63</f>
        <v>1</v>
      </c>
      <c r="I63" s="49">
        <f>'Avg Week KALERWE-GAYAZA'!I63+'Avg Week GAYAZA-KALERWE'!I63</f>
        <v>9</v>
      </c>
      <c r="J63" s="49">
        <f>'Avg Week KALERWE-GAYAZA'!J63+'Avg Week GAYAZA-KALERWE'!J63</f>
        <v>8.5</v>
      </c>
      <c r="K63" s="49">
        <f>'Avg Week KALERWE-GAYAZA'!K63+'Avg Week GAYAZA-KALERWE'!K63</f>
        <v>1</v>
      </c>
      <c r="L63" s="49">
        <f>'Avg Week KALERWE-GAYAZA'!L63+'Avg Week GAYAZA-KALERWE'!L63</f>
        <v>0.5</v>
      </c>
      <c r="M63" s="49">
        <f>'Avg Week KALERWE-GAYAZA'!M63+'Avg Week GAYAZA-KALERWE'!M63</f>
        <v>758.5</v>
      </c>
      <c r="N63" s="49">
        <f>'Avg Week KALERWE-GAYAZA'!N63+'Avg Week GAYAZA-KALERWE'!N63</f>
        <v>0</v>
      </c>
      <c r="O63" s="15">
        <f t="shared" si="0"/>
        <v>271</v>
      </c>
      <c r="P63" s="15">
        <f t="shared" si="1"/>
        <v>1029.5</v>
      </c>
      <c r="R63" s="8"/>
      <c r="T63"/>
    </row>
    <row r="64" spans="2:20" ht="23.1" customHeight="1" x14ac:dyDescent="0.25">
      <c r="B64" s="23" t="s">
        <v>109</v>
      </c>
      <c r="C64" s="49">
        <f>'Avg Week KALERWE-GAYAZA'!C64+'Avg Week GAYAZA-KALERWE'!C64</f>
        <v>77.5</v>
      </c>
      <c r="D64" s="49">
        <f>'Avg Week KALERWE-GAYAZA'!D64+'Avg Week GAYAZA-KALERWE'!D64</f>
        <v>32.5</v>
      </c>
      <c r="E64" s="49">
        <f>'Avg Week KALERWE-GAYAZA'!E64+'Avg Week GAYAZA-KALERWE'!E64</f>
        <v>12</v>
      </c>
      <c r="F64" s="49">
        <f>'Avg Week KALERWE-GAYAZA'!F64+'Avg Week GAYAZA-KALERWE'!F64</f>
        <v>51.5</v>
      </c>
      <c r="G64" s="49">
        <f>'Avg Week KALERWE-GAYAZA'!G64+'Avg Week GAYAZA-KALERWE'!G64</f>
        <v>3.5</v>
      </c>
      <c r="H64" s="49">
        <f>'Avg Week KALERWE-GAYAZA'!H64+'Avg Week GAYAZA-KALERWE'!H64</f>
        <v>0</v>
      </c>
      <c r="I64" s="49">
        <f>'Avg Week KALERWE-GAYAZA'!I64+'Avg Week GAYAZA-KALERWE'!I64</f>
        <v>8.5</v>
      </c>
      <c r="J64" s="49">
        <f>'Avg Week KALERWE-GAYAZA'!J64+'Avg Week GAYAZA-KALERWE'!J64</f>
        <v>5.5</v>
      </c>
      <c r="K64" s="49">
        <f>'Avg Week KALERWE-GAYAZA'!K64+'Avg Week GAYAZA-KALERWE'!K64</f>
        <v>1.5</v>
      </c>
      <c r="L64" s="49">
        <f>'Avg Week KALERWE-GAYAZA'!L64+'Avg Week GAYAZA-KALERWE'!L64</f>
        <v>1.5</v>
      </c>
      <c r="M64" s="49">
        <f>'Avg Week KALERWE-GAYAZA'!M64+'Avg Week GAYAZA-KALERWE'!M64</f>
        <v>761.5</v>
      </c>
      <c r="N64" s="49">
        <f>'Avg Week KALERWE-GAYAZA'!N64+'Avg Week GAYAZA-KALERWE'!N64</f>
        <v>0</v>
      </c>
      <c r="O64" s="15">
        <f t="shared" si="0"/>
        <v>194</v>
      </c>
      <c r="P64" s="15">
        <f t="shared" si="1"/>
        <v>955.5</v>
      </c>
      <c r="R64" s="8"/>
      <c r="T64"/>
    </row>
    <row r="65" spans="2:20" ht="23.1" customHeight="1" x14ac:dyDescent="0.25">
      <c r="B65" s="23" t="s">
        <v>158</v>
      </c>
      <c r="C65" s="49">
        <f>'Avg Week KALERWE-GAYAZA'!C65+'Avg Week GAYAZA-KALERWE'!C65</f>
        <v>104</v>
      </c>
      <c r="D65" s="49">
        <f>'Avg Week KALERWE-GAYAZA'!D65+'Avg Week GAYAZA-KALERWE'!D65</f>
        <v>40.5</v>
      </c>
      <c r="E65" s="49">
        <f>'Avg Week KALERWE-GAYAZA'!E65+'Avg Week GAYAZA-KALERWE'!E65</f>
        <v>18.5</v>
      </c>
      <c r="F65" s="49">
        <f>'Avg Week KALERWE-GAYAZA'!F65+'Avg Week GAYAZA-KALERWE'!F65</f>
        <v>76</v>
      </c>
      <c r="G65" s="49">
        <f>'Avg Week KALERWE-GAYAZA'!G65+'Avg Week GAYAZA-KALERWE'!G65</f>
        <v>2.5</v>
      </c>
      <c r="H65" s="49">
        <f>'Avg Week KALERWE-GAYAZA'!H65+'Avg Week GAYAZA-KALERWE'!H65</f>
        <v>0</v>
      </c>
      <c r="I65" s="49">
        <f>'Avg Week KALERWE-GAYAZA'!I65+'Avg Week GAYAZA-KALERWE'!I65</f>
        <v>8</v>
      </c>
      <c r="J65" s="49">
        <f>'Avg Week KALERWE-GAYAZA'!J65+'Avg Week GAYAZA-KALERWE'!J65</f>
        <v>8</v>
      </c>
      <c r="K65" s="49">
        <f>'Avg Week KALERWE-GAYAZA'!K65+'Avg Week GAYAZA-KALERWE'!K65</f>
        <v>4</v>
      </c>
      <c r="L65" s="49">
        <f>'Avg Week KALERWE-GAYAZA'!L65+'Avg Week GAYAZA-KALERWE'!L65</f>
        <v>2.5</v>
      </c>
      <c r="M65" s="49">
        <f>'Avg Week KALERWE-GAYAZA'!M65+'Avg Week GAYAZA-KALERWE'!M65</f>
        <v>862</v>
      </c>
      <c r="N65" s="49">
        <f>'Avg Week KALERWE-GAYAZA'!N65+'Avg Week GAYAZA-KALERWE'!N65</f>
        <v>0</v>
      </c>
      <c r="O65" s="15">
        <f t="shared" si="0"/>
        <v>264</v>
      </c>
      <c r="P65" s="15">
        <f t="shared" si="1"/>
        <v>1126</v>
      </c>
      <c r="R65" s="8"/>
      <c r="T65"/>
    </row>
    <row r="66" spans="2:20" ht="23.1" customHeight="1" x14ac:dyDescent="0.25">
      <c r="B66" s="23" t="s">
        <v>103</v>
      </c>
      <c r="C66" s="49">
        <f>'Avg Week KALERWE-GAYAZA'!C66+'Avg Week GAYAZA-KALERWE'!C66</f>
        <v>92</v>
      </c>
      <c r="D66" s="49">
        <f>'Avg Week KALERWE-GAYAZA'!D66+'Avg Week GAYAZA-KALERWE'!D66</f>
        <v>29</v>
      </c>
      <c r="E66" s="49">
        <f>'Avg Week KALERWE-GAYAZA'!E66+'Avg Week GAYAZA-KALERWE'!E66</f>
        <v>14.5</v>
      </c>
      <c r="F66" s="49">
        <f>'Avg Week KALERWE-GAYAZA'!F66+'Avg Week GAYAZA-KALERWE'!F66</f>
        <v>74</v>
      </c>
      <c r="G66" s="49">
        <f>'Avg Week KALERWE-GAYAZA'!G66+'Avg Week GAYAZA-KALERWE'!G66</f>
        <v>3</v>
      </c>
      <c r="H66" s="49">
        <f>'Avg Week KALERWE-GAYAZA'!H66+'Avg Week GAYAZA-KALERWE'!H66</f>
        <v>2</v>
      </c>
      <c r="I66" s="49">
        <f>'Avg Week KALERWE-GAYAZA'!I66+'Avg Week GAYAZA-KALERWE'!I66</f>
        <v>6.5</v>
      </c>
      <c r="J66" s="49">
        <f>'Avg Week KALERWE-GAYAZA'!J66+'Avg Week GAYAZA-KALERWE'!J66</f>
        <v>6</v>
      </c>
      <c r="K66" s="49">
        <f>'Avg Week KALERWE-GAYAZA'!K66+'Avg Week GAYAZA-KALERWE'!K66</f>
        <v>0</v>
      </c>
      <c r="L66" s="49">
        <f>'Avg Week KALERWE-GAYAZA'!L66+'Avg Week GAYAZA-KALERWE'!L66</f>
        <v>1.5</v>
      </c>
      <c r="M66" s="49">
        <f>'Avg Week KALERWE-GAYAZA'!M66+'Avg Week GAYAZA-KALERWE'!M66</f>
        <v>537.5</v>
      </c>
      <c r="N66" s="49">
        <f>'Avg Week KALERWE-GAYAZA'!N66+'Avg Week GAYAZA-KALERWE'!N66</f>
        <v>0</v>
      </c>
      <c r="O66" s="15">
        <f t="shared" si="0"/>
        <v>228.5</v>
      </c>
      <c r="P66" s="15">
        <f t="shared" si="1"/>
        <v>766</v>
      </c>
      <c r="R66" s="8"/>
      <c r="T66"/>
    </row>
    <row r="67" spans="2:20" ht="23.1" customHeight="1" x14ac:dyDescent="0.25">
      <c r="B67" s="23" t="s">
        <v>104</v>
      </c>
      <c r="C67" s="49">
        <f>'Avg Week KALERWE-GAYAZA'!C67+'Avg Week GAYAZA-KALERWE'!C67</f>
        <v>81</v>
      </c>
      <c r="D67" s="49">
        <f>'Avg Week KALERWE-GAYAZA'!D67+'Avg Week GAYAZA-KALERWE'!D67</f>
        <v>21.5</v>
      </c>
      <c r="E67" s="49">
        <f>'Avg Week KALERWE-GAYAZA'!E67+'Avg Week GAYAZA-KALERWE'!E67</f>
        <v>9.5</v>
      </c>
      <c r="F67" s="49">
        <f>'Avg Week KALERWE-GAYAZA'!F67+'Avg Week GAYAZA-KALERWE'!F67</f>
        <v>110</v>
      </c>
      <c r="G67" s="49">
        <f>'Avg Week KALERWE-GAYAZA'!G67+'Avg Week GAYAZA-KALERWE'!G67</f>
        <v>3</v>
      </c>
      <c r="H67" s="49">
        <f>'Avg Week KALERWE-GAYAZA'!H67+'Avg Week GAYAZA-KALERWE'!H67</f>
        <v>1</v>
      </c>
      <c r="I67" s="49">
        <f>'Avg Week KALERWE-GAYAZA'!I67+'Avg Week GAYAZA-KALERWE'!I67</f>
        <v>7</v>
      </c>
      <c r="J67" s="49">
        <f>'Avg Week KALERWE-GAYAZA'!J67+'Avg Week GAYAZA-KALERWE'!J67</f>
        <v>2.5</v>
      </c>
      <c r="K67" s="49">
        <f>'Avg Week KALERWE-GAYAZA'!K67+'Avg Week GAYAZA-KALERWE'!K67</f>
        <v>3</v>
      </c>
      <c r="L67" s="49">
        <f>'Avg Week KALERWE-GAYAZA'!L67+'Avg Week GAYAZA-KALERWE'!L67</f>
        <v>1.5</v>
      </c>
      <c r="M67" s="49">
        <f>'Avg Week KALERWE-GAYAZA'!M67+'Avg Week GAYAZA-KALERWE'!M67</f>
        <v>541.5</v>
      </c>
      <c r="N67" s="49">
        <f>'Avg Week KALERWE-GAYAZA'!N67+'Avg Week GAYAZA-KALERWE'!N67</f>
        <v>0</v>
      </c>
      <c r="O67" s="15">
        <f t="shared" si="0"/>
        <v>240</v>
      </c>
      <c r="P67" s="15">
        <f t="shared" si="1"/>
        <v>781.5</v>
      </c>
      <c r="R67" s="8"/>
      <c r="T67"/>
    </row>
    <row r="68" spans="2:20" ht="23.1" customHeight="1" x14ac:dyDescent="0.25">
      <c r="B68" s="23" t="s">
        <v>105</v>
      </c>
      <c r="C68" s="49">
        <f>'Avg Week KALERWE-GAYAZA'!C68+'Avg Week GAYAZA-KALERWE'!C68</f>
        <v>99</v>
      </c>
      <c r="D68" s="49">
        <f>'Avg Week KALERWE-GAYAZA'!D68+'Avg Week GAYAZA-KALERWE'!D68</f>
        <v>34.5</v>
      </c>
      <c r="E68" s="49">
        <f>'Avg Week KALERWE-GAYAZA'!E68+'Avg Week GAYAZA-KALERWE'!E68</f>
        <v>15</v>
      </c>
      <c r="F68" s="49">
        <f>'Avg Week KALERWE-GAYAZA'!F68+'Avg Week GAYAZA-KALERWE'!F68</f>
        <v>73.5</v>
      </c>
      <c r="G68" s="49">
        <f>'Avg Week KALERWE-GAYAZA'!G68+'Avg Week GAYAZA-KALERWE'!G68</f>
        <v>4</v>
      </c>
      <c r="H68" s="49">
        <f>'Avg Week KALERWE-GAYAZA'!H68+'Avg Week GAYAZA-KALERWE'!H68</f>
        <v>1</v>
      </c>
      <c r="I68" s="49">
        <f>'Avg Week KALERWE-GAYAZA'!I68+'Avg Week GAYAZA-KALERWE'!I68</f>
        <v>5.5</v>
      </c>
      <c r="J68" s="49">
        <f>'Avg Week KALERWE-GAYAZA'!J68+'Avg Week GAYAZA-KALERWE'!J68</f>
        <v>3.5</v>
      </c>
      <c r="K68" s="49">
        <f>'Avg Week KALERWE-GAYAZA'!K68+'Avg Week GAYAZA-KALERWE'!K68</f>
        <v>2</v>
      </c>
      <c r="L68" s="49">
        <f>'Avg Week KALERWE-GAYAZA'!L68+'Avg Week GAYAZA-KALERWE'!L68</f>
        <v>3.5</v>
      </c>
      <c r="M68" s="49">
        <f>'Avg Week KALERWE-GAYAZA'!M68+'Avg Week GAYAZA-KALERWE'!M68</f>
        <v>596</v>
      </c>
      <c r="N68" s="49">
        <f>'Avg Week KALERWE-GAYAZA'!N68+'Avg Week GAYAZA-KALERWE'!N68</f>
        <v>0</v>
      </c>
      <c r="O68" s="15">
        <f t="shared" si="0"/>
        <v>241.5</v>
      </c>
      <c r="P68" s="15">
        <f t="shared" si="1"/>
        <v>837.5</v>
      </c>
      <c r="R68" s="8"/>
      <c r="T68"/>
    </row>
    <row r="69" spans="2:20" ht="23.1" customHeight="1" x14ac:dyDescent="0.25">
      <c r="B69" s="23" t="s">
        <v>106</v>
      </c>
      <c r="C69" s="49">
        <f>'Avg Week KALERWE-GAYAZA'!C69+'Avg Week GAYAZA-KALERWE'!C69</f>
        <v>98.5</v>
      </c>
      <c r="D69" s="49">
        <f>'Avg Week KALERWE-GAYAZA'!D69+'Avg Week GAYAZA-KALERWE'!D69</f>
        <v>34.5</v>
      </c>
      <c r="E69" s="49">
        <f>'Avg Week KALERWE-GAYAZA'!E69+'Avg Week GAYAZA-KALERWE'!E69</f>
        <v>22.5</v>
      </c>
      <c r="F69" s="49">
        <f>'Avg Week KALERWE-GAYAZA'!F69+'Avg Week GAYAZA-KALERWE'!F69</f>
        <v>75.5</v>
      </c>
      <c r="G69" s="49">
        <f>'Avg Week KALERWE-GAYAZA'!G69+'Avg Week GAYAZA-KALERWE'!G69</f>
        <v>1</v>
      </c>
      <c r="H69" s="49">
        <f>'Avg Week KALERWE-GAYAZA'!H69+'Avg Week GAYAZA-KALERWE'!H69</f>
        <v>2</v>
      </c>
      <c r="I69" s="49">
        <f>'Avg Week KALERWE-GAYAZA'!I69+'Avg Week GAYAZA-KALERWE'!I69</f>
        <v>4.5</v>
      </c>
      <c r="J69" s="49">
        <f>'Avg Week KALERWE-GAYAZA'!J69+'Avg Week GAYAZA-KALERWE'!J69</f>
        <v>7.5</v>
      </c>
      <c r="K69" s="49">
        <f>'Avg Week KALERWE-GAYAZA'!K69+'Avg Week GAYAZA-KALERWE'!K69</f>
        <v>2.5</v>
      </c>
      <c r="L69" s="49">
        <f>'Avg Week KALERWE-GAYAZA'!L69+'Avg Week GAYAZA-KALERWE'!L69</f>
        <v>2.5</v>
      </c>
      <c r="M69" s="49">
        <f>'Avg Week KALERWE-GAYAZA'!M69+'Avg Week GAYAZA-KALERWE'!M69</f>
        <v>515</v>
      </c>
      <c r="N69" s="49">
        <f>'Avg Week KALERWE-GAYAZA'!N69+'Avg Week GAYAZA-KALERWE'!N69</f>
        <v>0</v>
      </c>
      <c r="O69" s="15">
        <f t="shared" si="0"/>
        <v>251</v>
      </c>
      <c r="P69" s="15">
        <f t="shared" si="1"/>
        <v>766</v>
      </c>
      <c r="R69" s="8"/>
      <c r="T69"/>
    </row>
    <row r="70" spans="2:20" ht="23.1" customHeight="1" x14ac:dyDescent="0.25">
      <c r="B70" s="23" t="s">
        <v>110</v>
      </c>
      <c r="C70" s="49">
        <f>'Avg Week KALERWE-GAYAZA'!C70+'Avg Week GAYAZA-KALERWE'!C70</f>
        <v>93.5</v>
      </c>
      <c r="D70" s="49">
        <f>'Avg Week KALERWE-GAYAZA'!D70+'Avg Week GAYAZA-KALERWE'!D70</f>
        <v>28</v>
      </c>
      <c r="E70" s="49">
        <f>'Avg Week KALERWE-GAYAZA'!E70+'Avg Week GAYAZA-KALERWE'!E70</f>
        <v>7.5</v>
      </c>
      <c r="F70" s="49">
        <f>'Avg Week KALERWE-GAYAZA'!F70+'Avg Week GAYAZA-KALERWE'!F70</f>
        <v>82</v>
      </c>
      <c r="G70" s="49">
        <f>'Avg Week KALERWE-GAYAZA'!G70+'Avg Week GAYAZA-KALERWE'!G70</f>
        <v>0.5</v>
      </c>
      <c r="H70" s="49">
        <f>'Avg Week KALERWE-GAYAZA'!H70+'Avg Week GAYAZA-KALERWE'!H70</f>
        <v>2</v>
      </c>
      <c r="I70" s="49">
        <f>'Avg Week KALERWE-GAYAZA'!I70+'Avg Week GAYAZA-KALERWE'!I70</f>
        <v>8</v>
      </c>
      <c r="J70" s="49">
        <f>'Avg Week KALERWE-GAYAZA'!J70+'Avg Week GAYAZA-KALERWE'!J70</f>
        <v>7</v>
      </c>
      <c r="K70" s="49">
        <f>'Avg Week KALERWE-GAYAZA'!K70+'Avg Week GAYAZA-KALERWE'!K70</f>
        <v>2.5</v>
      </c>
      <c r="L70" s="49">
        <f>'Avg Week KALERWE-GAYAZA'!L70+'Avg Week GAYAZA-KALERWE'!L70</f>
        <v>1</v>
      </c>
      <c r="M70" s="49">
        <f>'Avg Week KALERWE-GAYAZA'!M70+'Avg Week GAYAZA-KALERWE'!M70</f>
        <v>465</v>
      </c>
      <c r="N70" s="49">
        <f>'Avg Week KALERWE-GAYAZA'!N70+'Avg Week GAYAZA-KALERWE'!N70</f>
        <v>0</v>
      </c>
      <c r="O70" s="15">
        <f t="shared" si="0"/>
        <v>232</v>
      </c>
      <c r="P70" s="15">
        <f t="shared" si="1"/>
        <v>697</v>
      </c>
      <c r="R70" s="8"/>
      <c r="T70"/>
    </row>
    <row r="71" spans="2:20" ht="23.1" customHeight="1" x14ac:dyDescent="0.25">
      <c r="B71" s="23" t="s">
        <v>111</v>
      </c>
      <c r="C71" s="49">
        <f>'Avg Week KALERWE-GAYAZA'!C71+'Avg Week GAYAZA-KALERWE'!C71</f>
        <v>72</v>
      </c>
      <c r="D71" s="49">
        <f>'Avg Week KALERWE-GAYAZA'!D71+'Avg Week GAYAZA-KALERWE'!D71</f>
        <v>28</v>
      </c>
      <c r="E71" s="49">
        <f>'Avg Week KALERWE-GAYAZA'!E71+'Avg Week GAYAZA-KALERWE'!E71</f>
        <v>18</v>
      </c>
      <c r="F71" s="49">
        <f>'Avg Week KALERWE-GAYAZA'!F71+'Avg Week GAYAZA-KALERWE'!F71</f>
        <v>57</v>
      </c>
      <c r="G71" s="49">
        <f>'Avg Week KALERWE-GAYAZA'!G71+'Avg Week GAYAZA-KALERWE'!G71</f>
        <v>2</v>
      </c>
      <c r="H71" s="49">
        <f>'Avg Week KALERWE-GAYAZA'!H71+'Avg Week GAYAZA-KALERWE'!H71</f>
        <v>0.5</v>
      </c>
      <c r="I71" s="49">
        <f>'Avg Week KALERWE-GAYAZA'!I71+'Avg Week GAYAZA-KALERWE'!I71</f>
        <v>12.5</v>
      </c>
      <c r="J71" s="49">
        <f>'Avg Week KALERWE-GAYAZA'!J71+'Avg Week GAYAZA-KALERWE'!J71</f>
        <v>9.5</v>
      </c>
      <c r="K71" s="49">
        <f>'Avg Week KALERWE-GAYAZA'!K71+'Avg Week GAYAZA-KALERWE'!K71</f>
        <v>2.5</v>
      </c>
      <c r="L71" s="49">
        <f>'Avg Week KALERWE-GAYAZA'!L71+'Avg Week GAYAZA-KALERWE'!L71</f>
        <v>2</v>
      </c>
      <c r="M71" s="49">
        <f>'Avg Week KALERWE-GAYAZA'!M71+'Avg Week GAYAZA-KALERWE'!M71</f>
        <v>480.5</v>
      </c>
      <c r="N71" s="49">
        <f>'Avg Week KALERWE-GAYAZA'!N71+'Avg Week GAYAZA-KALERWE'!N71</f>
        <v>0</v>
      </c>
      <c r="O71" s="15">
        <f t="shared" si="0"/>
        <v>204</v>
      </c>
      <c r="P71" s="15">
        <f t="shared" si="1"/>
        <v>684.5</v>
      </c>
      <c r="R71" s="8"/>
      <c r="T71"/>
    </row>
    <row r="72" spans="2:20" ht="23.1" customHeight="1" x14ac:dyDescent="0.25">
      <c r="B72" s="23" t="s">
        <v>112</v>
      </c>
      <c r="C72" s="49">
        <f>'Avg Week KALERWE-GAYAZA'!C72+'Avg Week GAYAZA-KALERWE'!C72</f>
        <v>94</v>
      </c>
      <c r="D72" s="49">
        <f>'Avg Week KALERWE-GAYAZA'!D72+'Avg Week GAYAZA-KALERWE'!D72</f>
        <v>33.5</v>
      </c>
      <c r="E72" s="49">
        <f>'Avg Week KALERWE-GAYAZA'!E72+'Avg Week GAYAZA-KALERWE'!E72</f>
        <v>11.5</v>
      </c>
      <c r="F72" s="49">
        <f>'Avg Week KALERWE-GAYAZA'!F72+'Avg Week GAYAZA-KALERWE'!F72</f>
        <v>46</v>
      </c>
      <c r="G72" s="49">
        <f>'Avg Week KALERWE-GAYAZA'!G72+'Avg Week GAYAZA-KALERWE'!G72</f>
        <v>1.5</v>
      </c>
      <c r="H72" s="49">
        <f>'Avg Week KALERWE-GAYAZA'!H72+'Avg Week GAYAZA-KALERWE'!H72</f>
        <v>0</v>
      </c>
      <c r="I72" s="49">
        <f>'Avg Week KALERWE-GAYAZA'!I72+'Avg Week GAYAZA-KALERWE'!I72</f>
        <v>6</v>
      </c>
      <c r="J72" s="49">
        <f>'Avg Week KALERWE-GAYAZA'!J72+'Avg Week GAYAZA-KALERWE'!J72</f>
        <v>10.5</v>
      </c>
      <c r="K72" s="49">
        <f>'Avg Week KALERWE-GAYAZA'!K72+'Avg Week GAYAZA-KALERWE'!K72</f>
        <v>2.5</v>
      </c>
      <c r="L72" s="49">
        <f>'Avg Week KALERWE-GAYAZA'!L72+'Avg Week GAYAZA-KALERWE'!L72</f>
        <v>1</v>
      </c>
      <c r="M72" s="49">
        <f>'Avg Week KALERWE-GAYAZA'!M72+'Avg Week GAYAZA-KALERWE'!M72</f>
        <v>500</v>
      </c>
      <c r="N72" s="49">
        <f>'Avg Week KALERWE-GAYAZA'!N72+'Avg Week GAYAZA-KALERWE'!N72</f>
        <v>0</v>
      </c>
      <c r="O72" s="15">
        <f t="shared" si="0"/>
        <v>206.5</v>
      </c>
      <c r="P72" s="15">
        <f t="shared" si="1"/>
        <v>706.5</v>
      </c>
      <c r="R72" s="8"/>
      <c r="T72"/>
    </row>
    <row r="73" spans="2:20" ht="23.1" customHeight="1" x14ac:dyDescent="0.25">
      <c r="B73" s="23" t="s">
        <v>113</v>
      </c>
      <c r="C73" s="49">
        <f>'Avg Week KALERWE-GAYAZA'!C73+'Avg Week GAYAZA-KALERWE'!C73</f>
        <v>79</v>
      </c>
      <c r="D73" s="49">
        <f>'Avg Week KALERWE-GAYAZA'!D73+'Avg Week GAYAZA-KALERWE'!D73</f>
        <v>27.5</v>
      </c>
      <c r="E73" s="49">
        <f>'Avg Week KALERWE-GAYAZA'!E73+'Avg Week GAYAZA-KALERWE'!E73</f>
        <v>9</v>
      </c>
      <c r="F73" s="49">
        <f>'Avg Week KALERWE-GAYAZA'!F73+'Avg Week GAYAZA-KALERWE'!F73</f>
        <v>69.5</v>
      </c>
      <c r="G73" s="49">
        <f>'Avg Week KALERWE-GAYAZA'!G73+'Avg Week GAYAZA-KALERWE'!G73</f>
        <v>0.5</v>
      </c>
      <c r="H73" s="49">
        <f>'Avg Week KALERWE-GAYAZA'!H73+'Avg Week GAYAZA-KALERWE'!H73</f>
        <v>0.5</v>
      </c>
      <c r="I73" s="49">
        <f>'Avg Week KALERWE-GAYAZA'!I73+'Avg Week GAYAZA-KALERWE'!I73</f>
        <v>7</v>
      </c>
      <c r="J73" s="49">
        <f>'Avg Week KALERWE-GAYAZA'!J73+'Avg Week GAYAZA-KALERWE'!J73</f>
        <v>5.5</v>
      </c>
      <c r="K73" s="49">
        <f>'Avg Week KALERWE-GAYAZA'!K73+'Avg Week GAYAZA-KALERWE'!K73</f>
        <v>3.5</v>
      </c>
      <c r="L73" s="49">
        <f>'Avg Week KALERWE-GAYAZA'!L73+'Avg Week GAYAZA-KALERWE'!L73</f>
        <v>0.5</v>
      </c>
      <c r="M73" s="49">
        <f>'Avg Week KALERWE-GAYAZA'!M73+'Avg Week GAYAZA-KALERWE'!M73</f>
        <v>484</v>
      </c>
      <c r="N73" s="49">
        <f>'Avg Week KALERWE-GAYAZA'!N73+'Avg Week GAYAZA-KALERWE'!N73</f>
        <v>0</v>
      </c>
      <c r="O73" s="15">
        <f t="shared" si="0"/>
        <v>202.5</v>
      </c>
      <c r="P73" s="15">
        <f t="shared" si="1"/>
        <v>686.5</v>
      </c>
      <c r="R73" s="8"/>
      <c r="T73"/>
    </row>
    <row r="74" spans="2:20" ht="23.1" customHeight="1" x14ac:dyDescent="0.25">
      <c r="B74" s="23" t="s">
        <v>114</v>
      </c>
      <c r="C74" s="49">
        <f>'Avg Week KALERWE-GAYAZA'!C74+'Avg Week GAYAZA-KALERWE'!C74</f>
        <v>88</v>
      </c>
      <c r="D74" s="49">
        <f>'Avg Week KALERWE-GAYAZA'!D74+'Avg Week GAYAZA-KALERWE'!D74</f>
        <v>22.5</v>
      </c>
      <c r="E74" s="49">
        <f>'Avg Week KALERWE-GAYAZA'!E74+'Avg Week GAYAZA-KALERWE'!E74</f>
        <v>12</v>
      </c>
      <c r="F74" s="49">
        <f>'Avg Week KALERWE-GAYAZA'!F74+'Avg Week GAYAZA-KALERWE'!F74</f>
        <v>61.5</v>
      </c>
      <c r="G74" s="49">
        <f>'Avg Week KALERWE-GAYAZA'!G74+'Avg Week GAYAZA-KALERWE'!G74</f>
        <v>0.5</v>
      </c>
      <c r="H74" s="49">
        <f>'Avg Week KALERWE-GAYAZA'!H74+'Avg Week GAYAZA-KALERWE'!H74</f>
        <v>0</v>
      </c>
      <c r="I74" s="49">
        <f>'Avg Week KALERWE-GAYAZA'!I74+'Avg Week GAYAZA-KALERWE'!I74</f>
        <v>9.5</v>
      </c>
      <c r="J74" s="49">
        <f>'Avg Week KALERWE-GAYAZA'!J74+'Avg Week GAYAZA-KALERWE'!J74</f>
        <v>6.5</v>
      </c>
      <c r="K74" s="49">
        <f>'Avg Week KALERWE-GAYAZA'!K74+'Avg Week GAYAZA-KALERWE'!K74</f>
        <v>2.5</v>
      </c>
      <c r="L74" s="49">
        <f>'Avg Week KALERWE-GAYAZA'!L74+'Avg Week GAYAZA-KALERWE'!L74</f>
        <v>1</v>
      </c>
      <c r="M74" s="49">
        <f>'Avg Week KALERWE-GAYAZA'!M74+'Avg Week GAYAZA-KALERWE'!M74</f>
        <v>381</v>
      </c>
      <c r="N74" s="49">
        <f>'Avg Week KALERWE-GAYAZA'!N74+'Avg Week GAYAZA-KALERWE'!N74</f>
        <v>0</v>
      </c>
      <c r="O74" s="15">
        <f t="shared" ref="O74:O105" si="35">SUM(C74:L74,N74)</f>
        <v>204</v>
      </c>
      <c r="P74" s="15">
        <f t="shared" ref="P74:P105" si="36">SUM(C74:N74)</f>
        <v>585</v>
      </c>
      <c r="R74" s="8"/>
      <c r="T74"/>
    </row>
    <row r="75" spans="2:20" ht="23.1" customHeight="1" x14ac:dyDescent="0.25">
      <c r="B75" s="23" t="s">
        <v>115</v>
      </c>
      <c r="C75" s="49">
        <f>'Avg Week KALERWE-GAYAZA'!C75+'Avg Week GAYAZA-KALERWE'!C75</f>
        <v>80.5</v>
      </c>
      <c r="D75" s="49">
        <f>'Avg Week KALERWE-GAYAZA'!D75+'Avg Week GAYAZA-KALERWE'!D75</f>
        <v>24.5</v>
      </c>
      <c r="E75" s="49">
        <f>'Avg Week KALERWE-GAYAZA'!E75+'Avg Week GAYAZA-KALERWE'!E75</f>
        <v>12.5</v>
      </c>
      <c r="F75" s="49">
        <f>'Avg Week KALERWE-GAYAZA'!F75+'Avg Week GAYAZA-KALERWE'!F75</f>
        <v>50.5</v>
      </c>
      <c r="G75" s="49">
        <f>'Avg Week KALERWE-GAYAZA'!G75+'Avg Week GAYAZA-KALERWE'!G75</f>
        <v>0</v>
      </c>
      <c r="H75" s="49">
        <f>'Avg Week KALERWE-GAYAZA'!H75+'Avg Week GAYAZA-KALERWE'!H75</f>
        <v>0.5</v>
      </c>
      <c r="I75" s="49">
        <f>'Avg Week KALERWE-GAYAZA'!I75+'Avg Week GAYAZA-KALERWE'!I75</f>
        <v>5.5</v>
      </c>
      <c r="J75" s="49">
        <f>'Avg Week KALERWE-GAYAZA'!J75+'Avg Week GAYAZA-KALERWE'!J75</f>
        <v>7.5</v>
      </c>
      <c r="K75" s="49">
        <f>'Avg Week KALERWE-GAYAZA'!K75+'Avg Week GAYAZA-KALERWE'!K75</f>
        <v>1.5</v>
      </c>
      <c r="L75" s="49">
        <f>'Avg Week KALERWE-GAYAZA'!L75+'Avg Week GAYAZA-KALERWE'!L75</f>
        <v>1.5</v>
      </c>
      <c r="M75" s="49">
        <f>'Avg Week KALERWE-GAYAZA'!M75+'Avg Week GAYAZA-KALERWE'!M75</f>
        <v>290.5</v>
      </c>
      <c r="N75" s="49">
        <f>'Avg Week KALERWE-GAYAZA'!N75+'Avg Week GAYAZA-KALERWE'!N75</f>
        <v>0</v>
      </c>
      <c r="O75" s="15">
        <f t="shared" si="35"/>
        <v>184.5</v>
      </c>
      <c r="P75" s="15">
        <f t="shared" si="36"/>
        <v>475</v>
      </c>
      <c r="R75" s="8"/>
      <c r="T75"/>
    </row>
    <row r="76" spans="2:20" ht="23.1" customHeight="1" x14ac:dyDescent="0.25">
      <c r="B76" s="23" t="s">
        <v>116</v>
      </c>
      <c r="C76" s="49">
        <f>'Avg Week KALERWE-GAYAZA'!C76+'Avg Week GAYAZA-KALERWE'!C76</f>
        <v>80</v>
      </c>
      <c r="D76" s="49">
        <f>'Avg Week KALERWE-GAYAZA'!D76+'Avg Week GAYAZA-KALERWE'!D76</f>
        <v>29</v>
      </c>
      <c r="E76" s="49">
        <f>'Avg Week KALERWE-GAYAZA'!E76+'Avg Week GAYAZA-KALERWE'!E76</f>
        <v>12</v>
      </c>
      <c r="F76" s="49">
        <f>'Avg Week KALERWE-GAYAZA'!F76+'Avg Week GAYAZA-KALERWE'!F76</f>
        <v>54.5</v>
      </c>
      <c r="G76" s="49">
        <f>'Avg Week KALERWE-GAYAZA'!G76+'Avg Week GAYAZA-KALERWE'!G76</f>
        <v>1</v>
      </c>
      <c r="H76" s="49">
        <f>'Avg Week KALERWE-GAYAZA'!H76+'Avg Week GAYAZA-KALERWE'!H76</f>
        <v>0</v>
      </c>
      <c r="I76" s="49">
        <f>'Avg Week KALERWE-GAYAZA'!I76+'Avg Week GAYAZA-KALERWE'!I76</f>
        <v>10</v>
      </c>
      <c r="J76" s="49">
        <f>'Avg Week KALERWE-GAYAZA'!J76+'Avg Week GAYAZA-KALERWE'!J76</f>
        <v>5.5</v>
      </c>
      <c r="K76" s="49">
        <f>'Avg Week KALERWE-GAYAZA'!K76+'Avg Week GAYAZA-KALERWE'!K76</f>
        <v>2.5</v>
      </c>
      <c r="L76" s="49">
        <f>'Avg Week KALERWE-GAYAZA'!L76+'Avg Week GAYAZA-KALERWE'!L76</f>
        <v>1</v>
      </c>
      <c r="M76" s="49">
        <f>'Avg Week KALERWE-GAYAZA'!M76+'Avg Week GAYAZA-KALERWE'!M76</f>
        <v>263.5</v>
      </c>
      <c r="N76" s="49">
        <f>'Avg Week KALERWE-GAYAZA'!N76+'Avg Week GAYAZA-KALERWE'!N76</f>
        <v>0</v>
      </c>
      <c r="O76" s="15">
        <f t="shared" si="35"/>
        <v>195.5</v>
      </c>
      <c r="P76" s="15">
        <f t="shared" si="36"/>
        <v>459</v>
      </c>
      <c r="R76" s="8"/>
      <c r="T76"/>
    </row>
    <row r="77" spans="2:20" ht="23.1" customHeight="1" x14ac:dyDescent="0.25">
      <c r="B77" s="23" t="s">
        <v>117</v>
      </c>
      <c r="C77" s="49">
        <f>'Avg Week KALERWE-GAYAZA'!C77+'Avg Week GAYAZA-KALERWE'!C77</f>
        <v>94.5</v>
      </c>
      <c r="D77" s="49">
        <f>'Avg Week KALERWE-GAYAZA'!D77+'Avg Week GAYAZA-KALERWE'!D77</f>
        <v>22</v>
      </c>
      <c r="E77" s="49">
        <f>'Avg Week KALERWE-GAYAZA'!E77+'Avg Week GAYAZA-KALERWE'!E77</f>
        <v>8.5</v>
      </c>
      <c r="F77" s="49">
        <f>'Avg Week KALERWE-GAYAZA'!F77+'Avg Week GAYAZA-KALERWE'!F77</f>
        <v>53.5</v>
      </c>
      <c r="G77" s="49">
        <f>'Avg Week KALERWE-GAYAZA'!G77+'Avg Week GAYAZA-KALERWE'!G77</f>
        <v>0.5</v>
      </c>
      <c r="H77" s="49">
        <f>'Avg Week KALERWE-GAYAZA'!H77+'Avg Week GAYAZA-KALERWE'!H77</f>
        <v>0</v>
      </c>
      <c r="I77" s="49">
        <f>'Avg Week KALERWE-GAYAZA'!I77+'Avg Week GAYAZA-KALERWE'!I77</f>
        <v>4.5</v>
      </c>
      <c r="J77" s="49">
        <f>'Avg Week KALERWE-GAYAZA'!J77+'Avg Week GAYAZA-KALERWE'!J77</f>
        <v>6.5</v>
      </c>
      <c r="K77" s="49">
        <f>'Avg Week KALERWE-GAYAZA'!K77+'Avg Week GAYAZA-KALERWE'!K77</f>
        <v>2</v>
      </c>
      <c r="L77" s="49">
        <f>'Avg Week KALERWE-GAYAZA'!L77+'Avg Week GAYAZA-KALERWE'!L77</f>
        <v>1.5</v>
      </c>
      <c r="M77" s="49">
        <f>'Avg Week KALERWE-GAYAZA'!M77+'Avg Week GAYAZA-KALERWE'!M77</f>
        <v>267</v>
      </c>
      <c r="N77" s="49">
        <f>'Avg Week KALERWE-GAYAZA'!N77+'Avg Week GAYAZA-KALERWE'!N77</f>
        <v>0</v>
      </c>
      <c r="O77" s="15">
        <f t="shared" si="35"/>
        <v>193.5</v>
      </c>
      <c r="P77" s="15">
        <f t="shared" si="36"/>
        <v>460.5</v>
      </c>
      <c r="R77" s="8"/>
      <c r="T77"/>
    </row>
    <row r="78" spans="2:20" ht="23.1" customHeight="1" x14ac:dyDescent="0.25">
      <c r="B78" s="24" t="s">
        <v>118</v>
      </c>
      <c r="C78" s="49">
        <f>'Avg Week KALERWE-GAYAZA'!C78+'Avg Week GAYAZA-KALERWE'!C78</f>
        <v>49.5</v>
      </c>
      <c r="D78" s="49">
        <f>'Avg Week KALERWE-GAYAZA'!D78+'Avg Week GAYAZA-KALERWE'!D78</f>
        <v>53.5</v>
      </c>
      <c r="E78" s="49">
        <f>'Avg Week KALERWE-GAYAZA'!E78+'Avg Week GAYAZA-KALERWE'!E78</f>
        <v>8</v>
      </c>
      <c r="F78" s="49">
        <f>'Avg Week KALERWE-GAYAZA'!F78+'Avg Week GAYAZA-KALERWE'!F78</f>
        <v>129</v>
      </c>
      <c r="G78" s="49">
        <f>'Avg Week KALERWE-GAYAZA'!G78+'Avg Week GAYAZA-KALERWE'!G78</f>
        <v>0.5</v>
      </c>
      <c r="H78" s="49">
        <f>'Avg Week KALERWE-GAYAZA'!H78+'Avg Week GAYAZA-KALERWE'!H78</f>
        <v>0</v>
      </c>
      <c r="I78" s="49">
        <f>'Avg Week KALERWE-GAYAZA'!I78+'Avg Week GAYAZA-KALERWE'!I78</f>
        <v>2</v>
      </c>
      <c r="J78" s="49">
        <f>'Avg Week KALERWE-GAYAZA'!J78+'Avg Week GAYAZA-KALERWE'!J78</f>
        <v>4</v>
      </c>
      <c r="K78" s="49">
        <f>'Avg Week KALERWE-GAYAZA'!K78+'Avg Week GAYAZA-KALERWE'!K78</f>
        <v>1</v>
      </c>
      <c r="L78" s="49">
        <f>'Avg Week KALERWE-GAYAZA'!L78+'Avg Week GAYAZA-KALERWE'!L78</f>
        <v>1.5</v>
      </c>
      <c r="M78" s="49">
        <f>'Avg Week KALERWE-GAYAZA'!M78+'Avg Week GAYAZA-KALERWE'!M78</f>
        <v>190</v>
      </c>
      <c r="N78" s="49">
        <f>'Avg Week KALERWE-GAYAZA'!N78+'Avg Week GAYAZA-KALERWE'!N78</f>
        <v>0</v>
      </c>
      <c r="O78" s="15">
        <f t="shared" si="35"/>
        <v>249</v>
      </c>
      <c r="P78" s="15">
        <f t="shared" si="36"/>
        <v>439</v>
      </c>
      <c r="R78" s="8"/>
      <c r="T78"/>
    </row>
    <row r="79" spans="2:20" ht="23.1" customHeight="1" x14ac:dyDescent="0.25">
      <c r="B79" s="23" t="s">
        <v>119</v>
      </c>
      <c r="C79" s="49">
        <f>'Avg Week KALERWE-GAYAZA'!C79+'Avg Week GAYAZA-KALERWE'!C79</f>
        <v>64.5</v>
      </c>
      <c r="D79" s="49">
        <f>'Avg Week KALERWE-GAYAZA'!D79+'Avg Week GAYAZA-KALERWE'!D79</f>
        <v>19.5</v>
      </c>
      <c r="E79" s="49">
        <f>'Avg Week KALERWE-GAYAZA'!E79+'Avg Week GAYAZA-KALERWE'!E79</f>
        <v>12.5</v>
      </c>
      <c r="F79" s="49">
        <f>'Avg Week KALERWE-GAYAZA'!F79+'Avg Week GAYAZA-KALERWE'!F79</f>
        <v>30</v>
      </c>
      <c r="G79" s="49">
        <f>'Avg Week KALERWE-GAYAZA'!G79+'Avg Week GAYAZA-KALERWE'!G79</f>
        <v>0</v>
      </c>
      <c r="H79" s="49">
        <f>'Avg Week KALERWE-GAYAZA'!H79+'Avg Week GAYAZA-KALERWE'!H79</f>
        <v>0</v>
      </c>
      <c r="I79" s="49">
        <f>'Avg Week KALERWE-GAYAZA'!I79+'Avg Week GAYAZA-KALERWE'!I79</f>
        <v>5</v>
      </c>
      <c r="J79" s="49">
        <f>'Avg Week KALERWE-GAYAZA'!J79+'Avg Week GAYAZA-KALERWE'!J79</f>
        <v>6.5</v>
      </c>
      <c r="K79" s="49">
        <f>'Avg Week KALERWE-GAYAZA'!K79+'Avg Week GAYAZA-KALERWE'!K79</f>
        <v>0.5</v>
      </c>
      <c r="L79" s="49">
        <f>'Avg Week KALERWE-GAYAZA'!L79+'Avg Week GAYAZA-KALERWE'!L79</f>
        <v>0.5</v>
      </c>
      <c r="M79" s="49">
        <f>'Avg Week KALERWE-GAYAZA'!M79+'Avg Week GAYAZA-KALERWE'!M79</f>
        <v>146</v>
      </c>
      <c r="N79" s="49">
        <f>'Avg Week KALERWE-GAYAZA'!N79+'Avg Week GAYAZA-KALERWE'!N79</f>
        <v>0</v>
      </c>
      <c r="O79" s="15">
        <f t="shared" si="35"/>
        <v>139</v>
      </c>
      <c r="P79" s="15">
        <f t="shared" si="36"/>
        <v>285</v>
      </c>
      <c r="R79" s="8"/>
      <c r="T79"/>
    </row>
    <row r="80" spans="2:20" ht="23.1" customHeight="1" x14ac:dyDescent="0.25">
      <c r="B80" s="25" t="s">
        <v>120</v>
      </c>
      <c r="C80" s="49">
        <f>'Avg Week KALERWE-GAYAZA'!C80+'Avg Week GAYAZA-KALERWE'!C80</f>
        <v>46.5</v>
      </c>
      <c r="D80" s="49">
        <f>'Avg Week KALERWE-GAYAZA'!D80+'Avg Week GAYAZA-KALERWE'!D80</f>
        <v>16</v>
      </c>
      <c r="E80" s="49">
        <f>'Avg Week KALERWE-GAYAZA'!E80+'Avg Week GAYAZA-KALERWE'!E80</f>
        <v>5</v>
      </c>
      <c r="F80" s="49">
        <f>'Avg Week KALERWE-GAYAZA'!F80+'Avg Week GAYAZA-KALERWE'!F80</f>
        <v>11.5</v>
      </c>
      <c r="G80" s="49">
        <f>'Avg Week KALERWE-GAYAZA'!G80+'Avg Week GAYAZA-KALERWE'!G80</f>
        <v>1</v>
      </c>
      <c r="H80" s="49">
        <f>'Avg Week KALERWE-GAYAZA'!H80+'Avg Week GAYAZA-KALERWE'!H80</f>
        <v>0</v>
      </c>
      <c r="I80" s="49">
        <f>'Avg Week KALERWE-GAYAZA'!I80+'Avg Week GAYAZA-KALERWE'!I80</f>
        <v>2</v>
      </c>
      <c r="J80" s="49">
        <f>'Avg Week KALERWE-GAYAZA'!J80+'Avg Week GAYAZA-KALERWE'!J80</f>
        <v>4</v>
      </c>
      <c r="K80" s="49">
        <f>'Avg Week KALERWE-GAYAZA'!K80+'Avg Week GAYAZA-KALERWE'!K80</f>
        <v>3.5</v>
      </c>
      <c r="L80" s="49">
        <f>'Avg Week KALERWE-GAYAZA'!L80+'Avg Week GAYAZA-KALERWE'!L80</f>
        <v>0.5</v>
      </c>
      <c r="M80" s="49">
        <f>'Avg Week KALERWE-GAYAZA'!M80+'Avg Week GAYAZA-KALERWE'!M80</f>
        <v>160.5</v>
      </c>
      <c r="N80" s="49">
        <f>'Avg Week KALERWE-GAYAZA'!N80+'Avg Week GAYAZA-KALERWE'!N80</f>
        <v>0</v>
      </c>
      <c r="O80" s="15">
        <f t="shared" si="35"/>
        <v>90</v>
      </c>
      <c r="P80" s="15">
        <f t="shared" si="36"/>
        <v>250.5</v>
      </c>
      <c r="R80" s="8"/>
      <c r="T80"/>
    </row>
    <row r="81" spans="2:20" ht="23.1" customHeight="1" x14ac:dyDescent="0.25">
      <c r="B81" s="23" t="s">
        <v>121</v>
      </c>
      <c r="C81" s="49">
        <f>'Avg Week KALERWE-GAYAZA'!C81+'Avg Week GAYAZA-KALERWE'!C81</f>
        <v>33.5</v>
      </c>
      <c r="D81" s="49">
        <f>'Avg Week KALERWE-GAYAZA'!D81+'Avg Week GAYAZA-KALERWE'!D81</f>
        <v>7.5</v>
      </c>
      <c r="E81" s="49">
        <f>'Avg Week KALERWE-GAYAZA'!E81+'Avg Week GAYAZA-KALERWE'!E81</f>
        <v>3.5</v>
      </c>
      <c r="F81" s="49">
        <f>'Avg Week KALERWE-GAYAZA'!F81+'Avg Week GAYAZA-KALERWE'!F81</f>
        <v>13</v>
      </c>
      <c r="G81" s="49">
        <f>'Avg Week KALERWE-GAYAZA'!G81+'Avg Week GAYAZA-KALERWE'!G81</f>
        <v>0</v>
      </c>
      <c r="H81" s="49">
        <f>'Avg Week KALERWE-GAYAZA'!H81+'Avg Week GAYAZA-KALERWE'!H81</f>
        <v>0</v>
      </c>
      <c r="I81" s="49">
        <f>'Avg Week KALERWE-GAYAZA'!I81+'Avg Week GAYAZA-KALERWE'!I81</f>
        <v>0.5</v>
      </c>
      <c r="J81" s="49">
        <f>'Avg Week KALERWE-GAYAZA'!J81+'Avg Week GAYAZA-KALERWE'!J81</f>
        <v>3.5</v>
      </c>
      <c r="K81" s="49">
        <f>'Avg Week KALERWE-GAYAZA'!K81+'Avg Week GAYAZA-KALERWE'!K81</f>
        <v>1</v>
      </c>
      <c r="L81" s="49">
        <f>'Avg Week KALERWE-GAYAZA'!L81+'Avg Week GAYAZA-KALERWE'!L81</f>
        <v>1</v>
      </c>
      <c r="M81" s="49">
        <f>'Avg Week KALERWE-GAYAZA'!M81+'Avg Week GAYAZA-KALERWE'!M81</f>
        <v>106.5</v>
      </c>
      <c r="N81" s="49">
        <f>'Avg Week KALERWE-GAYAZA'!N81+'Avg Week GAYAZA-KALERWE'!N81</f>
        <v>0</v>
      </c>
      <c r="O81" s="15">
        <f t="shared" si="35"/>
        <v>63.5</v>
      </c>
      <c r="P81" s="15">
        <f t="shared" si="36"/>
        <v>170</v>
      </c>
      <c r="R81" s="8"/>
      <c r="T81"/>
    </row>
    <row r="82" spans="2:20" ht="23.1" customHeight="1" x14ac:dyDescent="0.25">
      <c r="B82" s="24" t="s">
        <v>122</v>
      </c>
      <c r="C82" s="49">
        <f>'Avg Week KALERWE-GAYAZA'!C82+'Avg Week GAYAZA-KALERWE'!C82</f>
        <v>21.5</v>
      </c>
      <c r="D82" s="49">
        <f>'Avg Week KALERWE-GAYAZA'!D82+'Avg Week GAYAZA-KALERWE'!D82</f>
        <v>4.5</v>
      </c>
      <c r="E82" s="49">
        <f>'Avg Week KALERWE-GAYAZA'!E82+'Avg Week GAYAZA-KALERWE'!E82</f>
        <v>1.5</v>
      </c>
      <c r="F82" s="49">
        <f>'Avg Week KALERWE-GAYAZA'!F82+'Avg Week GAYAZA-KALERWE'!F82</f>
        <v>10.5</v>
      </c>
      <c r="G82" s="49">
        <f>'Avg Week KALERWE-GAYAZA'!G82+'Avg Week GAYAZA-KALERWE'!G82</f>
        <v>0.5</v>
      </c>
      <c r="H82" s="49">
        <f>'Avg Week KALERWE-GAYAZA'!H82+'Avg Week GAYAZA-KALERWE'!H82</f>
        <v>0</v>
      </c>
      <c r="I82" s="49">
        <f>'Avg Week KALERWE-GAYAZA'!I82+'Avg Week GAYAZA-KALERWE'!I82</f>
        <v>1</v>
      </c>
      <c r="J82" s="49">
        <f>'Avg Week KALERWE-GAYAZA'!J82+'Avg Week GAYAZA-KALERWE'!J82</f>
        <v>3</v>
      </c>
      <c r="K82" s="49">
        <f>'Avg Week KALERWE-GAYAZA'!K82+'Avg Week GAYAZA-KALERWE'!K82</f>
        <v>2</v>
      </c>
      <c r="L82" s="49">
        <f>'Avg Week KALERWE-GAYAZA'!L82+'Avg Week GAYAZA-KALERWE'!L82</f>
        <v>1</v>
      </c>
      <c r="M82" s="49">
        <f>'Avg Week KALERWE-GAYAZA'!M82+'Avg Week GAYAZA-KALERWE'!M82</f>
        <v>84</v>
      </c>
      <c r="N82" s="49">
        <f>'Avg Week KALERWE-GAYAZA'!N82+'Avg Week GAYAZA-KALERWE'!N82</f>
        <v>0</v>
      </c>
      <c r="O82" s="15">
        <f t="shared" si="35"/>
        <v>45.5</v>
      </c>
      <c r="P82" s="15">
        <f t="shared" si="36"/>
        <v>129.5</v>
      </c>
      <c r="R82" s="8"/>
      <c r="T82"/>
    </row>
    <row r="83" spans="2:20" ht="23.1" customHeight="1" x14ac:dyDescent="0.25">
      <c r="B83" s="23" t="s">
        <v>123</v>
      </c>
      <c r="C83" s="49">
        <f>'Avg Week KALERWE-GAYAZA'!C83+'Avg Week GAYAZA-KALERWE'!C83</f>
        <v>16.5</v>
      </c>
      <c r="D83" s="49">
        <f>'Avg Week KALERWE-GAYAZA'!D83+'Avg Week GAYAZA-KALERWE'!D83</f>
        <v>3.5</v>
      </c>
      <c r="E83" s="49">
        <f>'Avg Week KALERWE-GAYAZA'!E83+'Avg Week GAYAZA-KALERWE'!E83</f>
        <v>4.5</v>
      </c>
      <c r="F83" s="49">
        <f>'Avg Week KALERWE-GAYAZA'!F83+'Avg Week GAYAZA-KALERWE'!F83</f>
        <v>6</v>
      </c>
      <c r="G83" s="49">
        <f>'Avg Week KALERWE-GAYAZA'!G83+'Avg Week GAYAZA-KALERWE'!G83</f>
        <v>0.5</v>
      </c>
      <c r="H83" s="49">
        <f>'Avg Week KALERWE-GAYAZA'!H83+'Avg Week GAYAZA-KALERWE'!H83</f>
        <v>0</v>
      </c>
      <c r="I83" s="49">
        <f>'Avg Week KALERWE-GAYAZA'!I83+'Avg Week GAYAZA-KALERWE'!I83</f>
        <v>3</v>
      </c>
      <c r="J83" s="49">
        <f>'Avg Week KALERWE-GAYAZA'!J83+'Avg Week GAYAZA-KALERWE'!J83</f>
        <v>5</v>
      </c>
      <c r="K83" s="49">
        <f>'Avg Week KALERWE-GAYAZA'!K83+'Avg Week GAYAZA-KALERWE'!K83</f>
        <v>0.5</v>
      </c>
      <c r="L83" s="49">
        <f>'Avg Week KALERWE-GAYAZA'!L83+'Avg Week GAYAZA-KALERWE'!L83</f>
        <v>2</v>
      </c>
      <c r="M83" s="49">
        <f>'Avg Week KALERWE-GAYAZA'!M83+'Avg Week GAYAZA-KALERWE'!M83</f>
        <v>99.5</v>
      </c>
      <c r="N83" s="49">
        <f>'Avg Week KALERWE-GAYAZA'!N83+'Avg Week GAYAZA-KALERWE'!N83</f>
        <v>0</v>
      </c>
      <c r="O83" s="15">
        <f t="shared" si="35"/>
        <v>41.5</v>
      </c>
      <c r="P83" s="15">
        <f t="shared" si="36"/>
        <v>141</v>
      </c>
      <c r="R83" s="8"/>
      <c r="T83"/>
    </row>
    <row r="84" spans="2:20" ht="23.1" customHeight="1" x14ac:dyDescent="0.25">
      <c r="B84" s="25" t="s">
        <v>124</v>
      </c>
      <c r="C84" s="49">
        <f>'Avg Week KALERWE-GAYAZA'!C84+'Avg Week GAYAZA-KALERWE'!C84</f>
        <v>19.5</v>
      </c>
      <c r="D84" s="49">
        <f>'Avg Week KALERWE-GAYAZA'!D84+'Avg Week GAYAZA-KALERWE'!D84</f>
        <v>9</v>
      </c>
      <c r="E84" s="49">
        <f>'Avg Week KALERWE-GAYAZA'!E84+'Avg Week GAYAZA-KALERWE'!E84</f>
        <v>3.5</v>
      </c>
      <c r="F84" s="49">
        <f>'Avg Week KALERWE-GAYAZA'!F84+'Avg Week GAYAZA-KALERWE'!F84</f>
        <v>5</v>
      </c>
      <c r="G84" s="49">
        <f>'Avg Week KALERWE-GAYAZA'!G84+'Avg Week GAYAZA-KALERWE'!G84</f>
        <v>0</v>
      </c>
      <c r="H84" s="49">
        <f>'Avg Week KALERWE-GAYAZA'!H84+'Avg Week GAYAZA-KALERWE'!H84</f>
        <v>1.5</v>
      </c>
      <c r="I84" s="49">
        <f>'Avg Week KALERWE-GAYAZA'!I84+'Avg Week GAYAZA-KALERWE'!I84</f>
        <v>1</v>
      </c>
      <c r="J84" s="49">
        <f>'Avg Week KALERWE-GAYAZA'!J84+'Avg Week GAYAZA-KALERWE'!J84</f>
        <v>5</v>
      </c>
      <c r="K84" s="49">
        <f>'Avg Week KALERWE-GAYAZA'!K84+'Avg Week GAYAZA-KALERWE'!K84</f>
        <v>2</v>
      </c>
      <c r="L84" s="49">
        <f>'Avg Week KALERWE-GAYAZA'!L84+'Avg Week GAYAZA-KALERWE'!L84</f>
        <v>0</v>
      </c>
      <c r="M84" s="49">
        <f>'Avg Week KALERWE-GAYAZA'!M84+'Avg Week GAYAZA-KALERWE'!M84</f>
        <v>82.5</v>
      </c>
      <c r="N84" s="49">
        <f>'Avg Week KALERWE-GAYAZA'!N84+'Avg Week GAYAZA-KALERWE'!N84</f>
        <v>0</v>
      </c>
      <c r="O84" s="15">
        <f t="shared" si="35"/>
        <v>46.5</v>
      </c>
      <c r="P84" s="15">
        <f t="shared" si="36"/>
        <v>129</v>
      </c>
      <c r="R84" s="8"/>
      <c r="T84"/>
    </row>
    <row r="85" spans="2:20" ht="23.1" customHeight="1" x14ac:dyDescent="0.25">
      <c r="B85" s="23" t="s">
        <v>125</v>
      </c>
      <c r="C85" s="49">
        <f>'Avg Week KALERWE-GAYAZA'!C85+'Avg Week GAYAZA-KALERWE'!C85</f>
        <v>18</v>
      </c>
      <c r="D85" s="49">
        <f>'Avg Week KALERWE-GAYAZA'!D85+'Avg Week GAYAZA-KALERWE'!D85</f>
        <v>3.5</v>
      </c>
      <c r="E85" s="49">
        <f>'Avg Week KALERWE-GAYAZA'!E85+'Avg Week GAYAZA-KALERWE'!E85</f>
        <v>2.5</v>
      </c>
      <c r="F85" s="49">
        <f>'Avg Week KALERWE-GAYAZA'!F85+'Avg Week GAYAZA-KALERWE'!F85</f>
        <v>3</v>
      </c>
      <c r="G85" s="49">
        <f>'Avg Week KALERWE-GAYAZA'!G85+'Avg Week GAYAZA-KALERWE'!G85</f>
        <v>0</v>
      </c>
      <c r="H85" s="49">
        <f>'Avg Week KALERWE-GAYAZA'!H85+'Avg Week GAYAZA-KALERWE'!H85</f>
        <v>0</v>
      </c>
      <c r="I85" s="49">
        <f>'Avg Week KALERWE-GAYAZA'!I85+'Avg Week GAYAZA-KALERWE'!I85</f>
        <v>2</v>
      </c>
      <c r="J85" s="49">
        <f>'Avg Week KALERWE-GAYAZA'!J85+'Avg Week GAYAZA-KALERWE'!J85</f>
        <v>4.5</v>
      </c>
      <c r="K85" s="49">
        <f>'Avg Week KALERWE-GAYAZA'!K85+'Avg Week GAYAZA-KALERWE'!K85</f>
        <v>0.5</v>
      </c>
      <c r="L85" s="49">
        <f>'Avg Week KALERWE-GAYAZA'!L85+'Avg Week GAYAZA-KALERWE'!L85</f>
        <v>0</v>
      </c>
      <c r="M85" s="49">
        <f>'Avg Week KALERWE-GAYAZA'!M85+'Avg Week GAYAZA-KALERWE'!M85</f>
        <v>87.5</v>
      </c>
      <c r="N85" s="49">
        <f>'Avg Week KALERWE-GAYAZA'!N85+'Avg Week GAYAZA-KALERWE'!N85</f>
        <v>0</v>
      </c>
      <c r="O85" s="15">
        <f t="shared" si="35"/>
        <v>34</v>
      </c>
      <c r="P85" s="15">
        <f t="shared" si="36"/>
        <v>121.5</v>
      </c>
      <c r="R85" s="8"/>
      <c r="T85"/>
    </row>
    <row r="86" spans="2:20" ht="23.1" customHeight="1" x14ac:dyDescent="0.25">
      <c r="B86" s="24" t="s">
        <v>126</v>
      </c>
      <c r="C86" s="49">
        <f>'Avg Week KALERWE-GAYAZA'!C86+'Avg Week GAYAZA-KALERWE'!C86</f>
        <v>16.5</v>
      </c>
      <c r="D86" s="49">
        <f>'Avg Week KALERWE-GAYAZA'!D86+'Avg Week GAYAZA-KALERWE'!D86</f>
        <v>2.5</v>
      </c>
      <c r="E86" s="49">
        <f>'Avg Week KALERWE-GAYAZA'!E86+'Avg Week GAYAZA-KALERWE'!E86</f>
        <v>0.5</v>
      </c>
      <c r="F86" s="49">
        <f>'Avg Week KALERWE-GAYAZA'!F86+'Avg Week GAYAZA-KALERWE'!F86</f>
        <v>2.5</v>
      </c>
      <c r="G86" s="49">
        <f>'Avg Week KALERWE-GAYAZA'!G86+'Avg Week GAYAZA-KALERWE'!G86</f>
        <v>0</v>
      </c>
      <c r="H86" s="49">
        <f>'Avg Week KALERWE-GAYAZA'!H86+'Avg Week GAYAZA-KALERWE'!H86</f>
        <v>0</v>
      </c>
      <c r="I86" s="49">
        <f>'Avg Week KALERWE-GAYAZA'!I86+'Avg Week GAYAZA-KALERWE'!I86</f>
        <v>4</v>
      </c>
      <c r="J86" s="49">
        <f>'Avg Week KALERWE-GAYAZA'!J86+'Avg Week GAYAZA-KALERWE'!J86</f>
        <v>3</v>
      </c>
      <c r="K86" s="49">
        <f>'Avg Week KALERWE-GAYAZA'!K86+'Avg Week GAYAZA-KALERWE'!K86</f>
        <v>1</v>
      </c>
      <c r="L86" s="49">
        <f>'Avg Week KALERWE-GAYAZA'!L86+'Avg Week GAYAZA-KALERWE'!L86</f>
        <v>1</v>
      </c>
      <c r="M86" s="49">
        <f>'Avg Week KALERWE-GAYAZA'!M86+'Avg Week GAYAZA-KALERWE'!M86</f>
        <v>70.5</v>
      </c>
      <c r="N86" s="49">
        <f>'Avg Week KALERWE-GAYAZA'!N86+'Avg Week GAYAZA-KALERWE'!N86</f>
        <v>0</v>
      </c>
      <c r="O86" s="15">
        <f t="shared" si="35"/>
        <v>31</v>
      </c>
      <c r="P86" s="15">
        <f t="shared" si="36"/>
        <v>101.5</v>
      </c>
      <c r="R86" s="8"/>
      <c r="T86"/>
    </row>
    <row r="87" spans="2:20" ht="23.1" customHeight="1" x14ac:dyDescent="0.25">
      <c r="B87" s="23" t="s">
        <v>127</v>
      </c>
      <c r="C87" s="49">
        <f>'Avg Week KALERWE-GAYAZA'!C87+'Avg Week GAYAZA-KALERWE'!C87</f>
        <v>14.5</v>
      </c>
      <c r="D87" s="49">
        <f>'Avg Week KALERWE-GAYAZA'!D87+'Avg Week GAYAZA-KALERWE'!D87</f>
        <v>5.5</v>
      </c>
      <c r="E87" s="49">
        <f>'Avg Week KALERWE-GAYAZA'!E87+'Avg Week GAYAZA-KALERWE'!E87</f>
        <v>3.5</v>
      </c>
      <c r="F87" s="49">
        <f>'Avg Week KALERWE-GAYAZA'!F87+'Avg Week GAYAZA-KALERWE'!F87</f>
        <v>3</v>
      </c>
      <c r="G87" s="49">
        <f>'Avg Week KALERWE-GAYAZA'!G87+'Avg Week GAYAZA-KALERWE'!G87</f>
        <v>0</v>
      </c>
      <c r="H87" s="49">
        <f>'Avg Week KALERWE-GAYAZA'!H87+'Avg Week GAYAZA-KALERWE'!H87</f>
        <v>0</v>
      </c>
      <c r="I87" s="49">
        <f>'Avg Week KALERWE-GAYAZA'!I87+'Avg Week GAYAZA-KALERWE'!I87</f>
        <v>3</v>
      </c>
      <c r="J87" s="49">
        <f>'Avg Week KALERWE-GAYAZA'!J87+'Avg Week GAYAZA-KALERWE'!J87</f>
        <v>3.5</v>
      </c>
      <c r="K87" s="49">
        <f>'Avg Week KALERWE-GAYAZA'!K87+'Avg Week GAYAZA-KALERWE'!K87</f>
        <v>0.5</v>
      </c>
      <c r="L87" s="49">
        <f>'Avg Week KALERWE-GAYAZA'!L87+'Avg Week GAYAZA-KALERWE'!L87</f>
        <v>1.5</v>
      </c>
      <c r="M87" s="49">
        <f>'Avg Week KALERWE-GAYAZA'!M87+'Avg Week GAYAZA-KALERWE'!M87</f>
        <v>79</v>
      </c>
      <c r="N87" s="49">
        <f>'Avg Week KALERWE-GAYAZA'!N87+'Avg Week GAYAZA-KALERWE'!N87</f>
        <v>0</v>
      </c>
      <c r="O87" s="15">
        <f t="shared" si="35"/>
        <v>35</v>
      </c>
      <c r="P87" s="15">
        <f t="shared" si="36"/>
        <v>114</v>
      </c>
      <c r="R87" s="8"/>
      <c r="T87"/>
    </row>
    <row r="88" spans="2:20" ht="23.1" customHeight="1" x14ac:dyDescent="0.25">
      <c r="B88" s="25" t="s">
        <v>128</v>
      </c>
      <c r="C88" s="49">
        <f>'Avg Week KALERWE-GAYAZA'!C88+'Avg Week GAYAZA-KALERWE'!C88</f>
        <v>16</v>
      </c>
      <c r="D88" s="49">
        <f>'Avg Week KALERWE-GAYAZA'!D88+'Avg Week GAYAZA-KALERWE'!D88</f>
        <v>3</v>
      </c>
      <c r="E88" s="49">
        <f>'Avg Week KALERWE-GAYAZA'!E88+'Avg Week GAYAZA-KALERWE'!E88</f>
        <v>3</v>
      </c>
      <c r="F88" s="49">
        <f>'Avg Week KALERWE-GAYAZA'!F88+'Avg Week GAYAZA-KALERWE'!F88</f>
        <v>3</v>
      </c>
      <c r="G88" s="49">
        <f>'Avg Week KALERWE-GAYAZA'!G88+'Avg Week GAYAZA-KALERWE'!G88</f>
        <v>0</v>
      </c>
      <c r="H88" s="49">
        <f>'Avg Week KALERWE-GAYAZA'!H88+'Avg Week GAYAZA-KALERWE'!H88</f>
        <v>0</v>
      </c>
      <c r="I88" s="49">
        <f>'Avg Week KALERWE-GAYAZA'!I88+'Avg Week GAYAZA-KALERWE'!I88</f>
        <v>3.5</v>
      </c>
      <c r="J88" s="49">
        <f>'Avg Week KALERWE-GAYAZA'!J88+'Avg Week GAYAZA-KALERWE'!J88</f>
        <v>3.5</v>
      </c>
      <c r="K88" s="49">
        <f>'Avg Week KALERWE-GAYAZA'!K88+'Avg Week GAYAZA-KALERWE'!K88</f>
        <v>0</v>
      </c>
      <c r="L88" s="49">
        <f>'Avg Week KALERWE-GAYAZA'!L88+'Avg Week GAYAZA-KALERWE'!L88</f>
        <v>0.5</v>
      </c>
      <c r="M88" s="49">
        <f>'Avg Week KALERWE-GAYAZA'!M88+'Avg Week GAYAZA-KALERWE'!M88</f>
        <v>75.5</v>
      </c>
      <c r="N88" s="49">
        <f>'Avg Week KALERWE-GAYAZA'!N88+'Avg Week GAYAZA-KALERWE'!N88</f>
        <v>0</v>
      </c>
      <c r="O88" s="15">
        <f t="shared" si="35"/>
        <v>32.5</v>
      </c>
      <c r="P88" s="15">
        <f t="shared" si="36"/>
        <v>108</v>
      </c>
      <c r="R88" s="8"/>
      <c r="T88"/>
    </row>
    <row r="89" spans="2:20" ht="23.1" customHeight="1" x14ac:dyDescent="0.25">
      <c r="B89" s="23" t="s">
        <v>129</v>
      </c>
      <c r="C89" s="49">
        <f>'Avg Week KALERWE-GAYAZA'!C89+'Avg Week GAYAZA-KALERWE'!C89</f>
        <v>15</v>
      </c>
      <c r="D89" s="49">
        <f>'Avg Week KALERWE-GAYAZA'!D89+'Avg Week GAYAZA-KALERWE'!D89</f>
        <v>4.5</v>
      </c>
      <c r="E89" s="49">
        <f>'Avg Week KALERWE-GAYAZA'!E89+'Avg Week GAYAZA-KALERWE'!E89</f>
        <v>0.5</v>
      </c>
      <c r="F89" s="49">
        <f>'Avg Week KALERWE-GAYAZA'!F89+'Avg Week GAYAZA-KALERWE'!F89</f>
        <v>1.5</v>
      </c>
      <c r="G89" s="49">
        <f>'Avg Week KALERWE-GAYAZA'!G89+'Avg Week GAYAZA-KALERWE'!G89</f>
        <v>0</v>
      </c>
      <c r="H89" s="49">
        <f>'Avg Week KALERWE-GAYAZA'!H89+'Avg Week GAYAZA-KALERWE'!H89</f>
        <v>0</v>
      </c>
      <c r="I89" s="49">
        <f>'Avg Week KALERWE-GAYAZA'!I89+'Avg Week GAYAZA-KALERWE'!I89</f>
        <v>2.5</v>
      </c>
      <c r="J89" s="49">
        <f>'Avg Week KALERWE-GAYAZA'!J89+'Avg Week GAYAZA-KALERWE'!J89</f>
        <v>3</v>
      </c>
      <c r="K89" s="49">
        <f>'Avg Week KALERWE-GAYAZA'!K89+'Avg Week GAYAZA-KALERWE'!K89</f>
        <v>0</v>
      </c>
      <c r="L89" s="49">
        <f>'Avg Week KALERWE-GAYAZA'!L89+'Avg Week GAYAZA-KALERWE'!L89</f>
        <v>0.5</v>
      </c>
      <c r="M89" s="49">
        <f>'Avg Week KALERWE-GAYAZA'!M89+'Avg Week GAYAZA-KALERWE'!M89</f>
        <v>67.5</v>
      </c>
      <c r="N89" s="49">
        <f>'Avg Week KALERWE-GAYAZA'!N89+'Avg Week GAYAZA-KALERWE'!N89</f>
        <v>0</v>
      </c>
      <c r="O89" s="15">
        <f t="shared" si="35"/>
        <v>27.5</v>
      </c>
      <c r="P89" s="15">
        <f t="shared" si="36"/>
        <v>95</v>
      </c>
      <c r="R89" s="8"/>
      <c r="T89"/>
    </row>
    <row r="90" spans="2:20" ht="23.1" customHeight="1" x14ac:dyDescent="0.25">
      <c r="B90" s="24" t="s">
        <v>130</v>
      </c>
      <c r="C90" s="49">
        <f>'Avg Week KALERWE-GAYAZA'!C90+'Avg Week GAYAZA-KALERWE'!C90</f>
        <v>10.5</v>
      </c>
      <c r="D90" s="49">
        <f>'Avg Week KALERWE-GAYAZA'!D90+'Avg Week GAYAZA-KALERWE'!D90</f>
        <v>6</v>
      </c>
      <c r="E90" s="49">
        <f>'Avg Week KALERWE-GAYAZA'!E90+'Avg Week GAYAZA-KALERWE'!E90</f>
        <v>1</v>
      </c>
      <c r="F90" s="49">
        <f>'Avg Week KALERWE-GAYAZA'!F90+'Avg Week GAYAZA-KALERWE'!F90</f>
        <v>0.5</v>
      </c>
      <c r="G90" s="49">
        <f>'Avg Week KALERWE-GAYAZA'!G90+'Avg Week GAYAZA-KALERWE'!G90</f>
        <v>0</v>
      </c>
      <c r="H90" s="49">
        <f>'Avg Week KALERWE-GAYAZA'!H90+'Avg Week GAYAZA-KALERWE'!H90</f>
        <v>0</v>
      </c>
      <c r="I90" s="49">
        <f>'Avg Week KALERWE-GAYAZA'!I90+'Avg Week GAYAZA-KALERWE'!I90</f>
        <v>6.5</v>
      </c>
      <c r="J90" s="49">
        <f>'Avg Week KALERWE-GAYAZA'!J90+'Avg Week GAYAZA-KALERWE'!J90</f>
        <v>2.5</v>
      </c>
      <c r="K90" s="49">
        <f>'Avg Week KALERWE-GAYAZA'!K90+'Avg Week GAYAZA-KALERWE'!K90</f>
        <v>0.5</v>
      </c>
      <c r="L90" s="49">
        <f>'Avg Week KALERWE-GAYAZA'!L90+'Avg Week GAYAZA-KALERWE'!L90</f>
        <v>2</v>
      </c>
      <c r="M90" s="49">
        <f>'Avg Week KALERWE-GAYAZA'!M90+'Avg Week GAYAZA-KALERWE'!M90</f>
        <v>71</v>
      </c>
      <c r="N90" s="49">
        <f>'Avg Week KALERWE-GAYAZA'!N90+'Avg Week GAYAZA-KALERWE'!N90</f>
        <v>0</v>
      </c>
      <c r="O90" s="15">
        <f t="shared" si="35"/>
        <v>29.5</v>
      </c>
      <c r="P90" s="15">
        <f t="shared" si="36"/>
        <v>100.5</v>
      </c>
      <c r="R90" s="8"/>
      <c r="T90"/>
    </row>
    <row r="91" spans="2:20" ht="23.1" customHeight="1" x14ac:dyDescent="0.25">
      <c r="B91" s="23" t="s">
        <v>131</v>
      </c>
      <c r="C91" s="49">
        <f>'Avg Week KALERWE-GAYAZA'!C91+'Avg Week GAYAZA-KALERWE'!C91</f>
        <v>13</v>
      </c>
      <c r="D91" s="49">
        <f>'Avg Week KALERWE-GAYAZA'!D91+'Avg Week GAYAZA-KALERWE'!D91</f>
        <v>4.5</v>
      </c>
      <c r="E91" s="49">
        <f>'Avg Week KALERWE-GAYAZA'!E91+'Avg Week GAYAZA-KALERWE'!E91</f>
        <v>2</v>
      </c>
      <c r="F91" s="49">
        <f>'Avg Week KALERWE-GAYAZA'!F91+'Avg Week GAYAZA-KALERWE'!F91</f>
        <v>5</v>
      </c>
      <c r="G91" s="49">
        <f>'Avg Week KALERWE-GAYAZA'!G91+'Avg Week GAYAZA-KALERWE'!G91</f>
        <v>0</v>
      </c>
      <c r="H91" s="49">
        <f>'Avg Week KALERWE-GAYAZA'!H91+'Avg Week GAYAZA-KALERWE'!H91</f>
        <v>0</v>
      </c>
      <c r="I91" s="49">
        <f>'Avg Week KALERWE-GAYAZA'!I91+'Avg Week GAYAZA-KALERWE'!I91</f>
        <v>2</v>
      </c>
      <c r="J91" s="49">
        <f>'Avg Week KALERWE-GAYAZA'!J91+'Avg Week GAYAZA-KALERWE'!J91</f>
        <v>3</v>
      </c>
      <c r="K91" s="49">
        <f>'Avg Week KALERWE-GAYAZA'!K91+'Avg Week GAYAZA-KALERWE'!K91</f>
        <v>0.5</v>
      </c>
      <c r="L91" s="49">
        <f>'Avg Week KALERWE-GAYAZA'!L91+'Avg Week GAYAZA-KALERWE'!L91</f>
        <v>1</v>
      </c>
      <c r="M91" s="49">
        <f>'Avg Week KALERWE-GAYAZA'!M91+'Avg Week GAYAZA-KALERWE'!M91</f>
        <v>68</v>
      </c>
      <c r="N91" s="49">
        <f>'Avg Week KALERWE-GAYAZA'!N91+'Avg Week GAYAZA-KALERWE'!N91</f>
        <v>0</v>
      </c>
      <c r="O91" s="15">
        <f t="shared" si="35"/>
        <v>31</v>
      </c>
      <c r="P91" s="15">
        <f t="shared" si="36"/>
        <v>99</v>
      </c>
      <c r="R91" s="8"/>
      <c r="T91"/>
    </row>
    <row r="92" spans="2:20" ht="23.1" customHeight="1" x14ac:dyDescent="0.25">
      <c r="B92" s="25" t="s">
        <v>132</v>
      </c>
      <c r="C92" s="49">
        <f>'Avg Week KALERWE-GAYAZA'!C92+'Avg Week GAYAZA-KALERWE'!C92</f>
        <v>16.5</v>
      </c>
      <c r="D92" s="49">
        <f>'Avg Week KALERWE-GAYAZA'!D92+'Avg Week GAYAZA-KALERWE'!D92</f>
        <v>1.5</v>
      </c>
      <c r="E92" s="49">
        <f>'Avg Week KALERWE-GAYAZA'!E92+'Avg Week GAYAZA-KALERWE'!E92</f>
        <v>3</v>
      </c>
      <c r="F92" s="49">
        <f>'Avg Week KALERWE-GAYAZA'!F92+'Avg Week GAYAZA-KALERWE'!F92</f>
        <v>3</v>
      </c>
      <c r="G92" s="49">
        <f>'Avg Week KALERWE-GAYAZA'!G92+'Avg Week GAYAZA-KALERWE'!G92</f>
        <v>0</v>
      </c>
      <c r="H92" s="49">
        <f>'Avg Week KALERWE-GAYAZA'!H92+'Avg Week GAYAZA-KALERWE'!H92</f>
        <v>0</v>
      </c>
      <c r="I92" s="49">
        <f>'Avg Week KALERWE-GAYAZA'!I92+'Avg Week GAYAZA-KALERWE'!I92</f>
        <v>4</v>
      </c>
      <c r="J92" s="49">
        <f>'Avg Week KALERWE-GAYAZA'!J92+'Avg Week GAYAZA-KALERWE'!J92</f>
        <v>1.5</v>
      </c>
      <c r="K92" s="49">
        <f>'Avg Week KALERWE-GAYAZA'!K92+'Avg Week GAYAZA-KALERWE'!K92</f>
        <v>0.5</v>
      </c>
      <c r="L92" s="49">
        <f>'Avg Week KALERWE-GAYAZA'!L92+'Avg Week GAYAZA-KALERWE'!L92</f>
        <v>0</v>
      </c>
      <c r="M92" s="49">
        <f>'Avg Week KALERWE-GAYAZA'!M92+'Avg Week GAYAZA-KALERWE'!M92</f>
        <v>85.5</v>
      </c>
      <c r="N92" s="49">
        <f>'Avg Week KALERWE-GAYAZA'!N92+'Avg Week GAYAZA-KALERWE'!N92</f>
        <v>0</v>
      </c>
      <c r="O92" s="15">
        <f t="shared" si="35"/>
        <v>30</v>
      </c>
      <c r="P92" s="15">
        <f t="shared" si="36"/>
        <v>115.5</v>
      </c>
      <c r="R92" s="8"/>
      <c r="T92"/>
    </row>
    <row r="93" spans="2:20" ht="23.1" customHeight="1" x14ac:dyDescent="0.25">
      <c r="B93" s="23" t="s">
        <v>133</v>
      </c>
      <c r="C93" s="49">
        <f>'Avg Week KALERWE-GAYAZA'!C93+'Avg Week GAYAZA-KALERWE'!C93</f>
        <v>17</v>
      </c>
      <c r="D93" s="49">
        <f>'Avg Week KALERWE-GAYAZA'!D93+'Avg Week GAYAZA-KALERWE'!D93</f>
        <v>1.5</v>
      </c>
      <c r="E93" s="49">
        <f>'Avg Week KALERWE-GAYAZA'!E93+'Avg Week GAYAZA-KALERWE'!E93</f>
        <v>1</v>
      </c>
      <c r="F93" s="49">
        <f>'Avg Week KALERWE-GAYAZA'!F93+'Avg Week GAYAZA-KALERWE'!F93</f>
        <v>12.5</v>
      </c>
      <c r="G93" s="49">
        <f>'Avg Week KALERWE-GAYAZA'!G93+'Avg Week GAYAZA-KALERWE'!G93</f>
        <v>0.5</v>
      </c>
      <c r="H93" s="49">
        <f>'Avg Week KALERWE-GAYAZA'!H93+'Avg Week GAYAZA-KALERWE'!H93</f>
        <v>0</v>
      </c>
      <c r="I93" s="49">
        <f>'Avg Week KALERWE-GAYAZA'!I93+'Avg Week GAYAZA-KALERWE'!I93</f>
        <v>6.5</v>
      </c>
      <c r="J93" s="49">
        <f>'Avg Week KALERWE-GAYAZA'!J93+'Avg Week GAYAZA-KALERWE'!J93</f>
        <v>1.5</v>
      </c>
      <c r="K93" s="49">
        <f>'Avg Week KALERWE-GAYAZA'!K93+'Avg Week GAYAZA-KALERWE'!K93</f>
        <v>0.5</v>
      </c>
      <c r="L93" s="49">
        <f>'Avg Week KALERWE-GAYAZA'!L93+'Avg Week GAYAZA-KALERWE'!L93</f>
        <v>0.5</v>
      </c>
      <c r="M93" s="49">
        <f>'Avg Week KALERWE-GAYAZA'!M93+'Avg Week GAYAZA-KALERWE'!M93</f>
        <v>66</v>
      </c>
      <c r="N93" s="49">
        <f>'Avg Week KALERWE-GAYAZA'!N93+'Avg Week GAYAZA-KALERWE'!N93</f>
        <v>0</v>
      </c>
      <c r="O93" s="15">
        <f t="shared" si="35"/>
        <v>41.5</v>
      </c>
      <c r="P93" s="15">
        <f t="shared" si="36"/>
        <v>107.5</v>
      </c>
      <c r="R93" s="8"/>
      <c r="T93"/>
    </row>
    <row r="94" spans="2:20" ht="23.1" customHeight="1" x14ac:dyDescent="0.25">
      <c r="B94" s="24" t="s">
        <v>134</v>
      </c>
      <c r="C94" s="49">
        <f>'Avg Week KALERWE-GAYAZA'!C94+'Avg Week GAYAZA-KALERWE'!C94</f>
        <v>27.5</v>
      </c>
      <c r="D94" s="49">
        <f>'Avg Week KALERWE-GAYAZA'!D94+'Avg Week GAYAZA-KALERWE'!D94</f>
        <v>5.5</v>
      </c>
      <c r="E94" s="49">
        <f>'Avg Week KALERWE-GAYAZA'!E94+'Avg Week GAYAZA-KALERWE'!E94</f>
        <v>2</v>
      </c>
      <c r="F94" s="49">
        <f>'Avg Week KALERWE-GAYAZA'!F94+'Avg Week GAYAZA-KALERWE'!F94</f>
        <v>5.5</v>
      </c>
      <c r="G94" s="49">
        <f>'Avg Week KALERWE-GAYAZA'!G94+'Avg Week GAYAZA-KALERWE'!G94</f>
        <v>0</v>
      </c>
      <c r="H94" s="49">
        <f>'Avg Week KALERWE-GAYAZA'!H94+'Avg Week GAYAZA-KALERWE'!H94</f>
        <v>0.5</v>
      </c>
      <c r="I94" s="49">
        <f>'Avg Week KALERWE-GAYAZA'!I94+'Avg Week GAYAZA-KALERWE'!I94</f>
        <v>4.5</v>
      </c>
      <c r="J94" s="49">
        <f>'Avg Week KALERWE-GAYAZA'!J94+'Avg Week GAYAZA-KALERWE'!J94</f>
        <v>5</v>
      </c>
      <c r="K94" s="49">
        <f>'Avg Week KALERWE-GAYAZA'!K94+'Avg Week GAYAZA-KALERWE'!K94</f>
        <v>0.5</v>
      </c>
      <c r="L94" s="49">
        <f>'Avg Week KALERWE-GAYAZA'!L94+'Avg Week GAYAZA-KALERWE'!L94</f>
        <v>0</v>
      </c>
      <c r="M94" s="49">
        <f>'Avg Week KALERWE-GAYAZA'!M94+'Avg Week GAYAZA-KALERWE'!M94</f>
        <v>75.5</v>
      </c>
      <c r="N94" s="49">
        <f>'Avg Week KALERWE-GAYAZA'!N94+'Avg Week GAYAZA-KALERWE'!N94</f>
        <v>0</v>
      </c>
      <c r="O94" s="15">
        <f t="shared" si="35"/>
        <v>51</v>
      </c>
      <c r="P94" s="15">
        <f t="shared" si="36"/>
        <v>126.5</v>
      </c>
      <c r="R94" s="8"/>
      <c r="T94"/>
    </row>
    <row r="95" spans="2:20" ht="23.1" customHeight="1" x14ac:dyDescent="0.25">
      <c r="B95" s="23" t="s">
        <v>135</v>
      </c>
      <c r="C95" s="49">
        <f>'Avg Week KALERWE-GAYAZA'!C95+'Avg Week GAYAZA-KALERWE'!C95</f>
        <v>19.5</v>
      </c>
      <c r="D95" s="49">
        <f>'Avg Week KALERWE-GAYAZA'!D95+'Avg Week GAYAZA-KALERWE'!D95</f>
        <v>3.5</v>
      </c>
      <c r="E95" s="49">
        <f>'Avg Week KALERWE-GAYAZA'!E95+'Avg Week GAYAZA-KALERWE'!E95</f>
        <v>1</v>
      </c>
      <c r="F95" s="49">
        <f>'Avg Week KALERWE-GAYAZA'!F95+'Avg Week GAYAZA-KALERWE'!F95</f>
        <v>8.5</v>
      </c>
      <c r="G95" s="49">
        <f>'Avg Week KALERWE-GAYAZA'!G95+'Avg Week GAYAZA-KALERWE'!G95</f>
        <v>0</v>
      </c>
      <c r="H95" s="49">
        <f>'Avg Week KALERWE-GAYAZA'!H95+'Avg Week GAYAZA-KALERWE'!H95</f>
        <v>1</v>
      </c>
      <c r="I95" s="49">
        <f>'Avg Week KALERWE-GAYAZA'!I95+'Avg Week GAYAZA-KALERWE'!I95</f>
        <v>2.5</v>
      </c>
      <c r="J95" s="49">
        <f>'Avg Week KALERWE-GAYAZA'!J95+'Avg Week GAYAZA-KALERWE'!J95</f>
        <v>4.5</v>
      </c>
      <c r="K95" s="49">
        <f>'Avg Week KALERWE-GAYAZA'!K95+'Avg Week GAYAZA-KALERWE'!K95</f>
        <v>0.5</v>
      </c>
      <c r="L95" s="49">
        <f>'Avg Week KALERWE-GAYAZA'!L95+'Avg Week GAYAZA-KALERWE'!L95</f>
        <v>0</v>
      </c>
      <c r="M95" s="49">
        <f>'Avg Week KALERWE-GAYAZA'!M95+'Avg Week GAYAZA-KALERWE'!M95</f>
        <v>78</v>
      </c>
      <c r="N95" s="49">
        <f>'Avg Week KALERWE-GAYAZA'!N95+'Avg Week GAYAZA-KALERWE'!N95</f>
        <v>0</v>
      </c>
      <c r="O95" s="15">
        <f t="shared" si="35"/>
        <v>41</v>
      </c>
      <c r="P95" s="15">
        <f t="shared" si="36"/>
        <v>119</v>
      </c>
      <c r="R95" s="8"/>
      <c r="T95"/>
    </row>
    <row r="96" spans="2:20" ht="23.1" customHeight="1" x14ac:dyDescent="0.25">
      <c r="B96" s="25" t="s">
        <v>136</v>
      </c>
      <c r="C96" s="49">
        <f>'Avg Week KALERWE-GAYAZA'!C96+'Avg Week GAYAZA-KALERWE'!C96</f>
        <v>28.5</v>
      </c>
      <c r="D96" s="49">
        <f>'Avg Week KALERWE-GAYAZA'!D96+'Avg Week GAYAZA-KALERWE'!D96</f>
        <v>1.5</v>
      </c>
      <c r="E96" s="49">
        <f>'Avg Week KALERWE-GAYAZA'!E96+'Avg Week GAYAZA-KALERWE'!E96</f>
        <v>1</v>
      </c>
      <c r="F96" s="49">
        <f>'Avg Week KALERWE-GAYAZA'!F96+'Avg Week GAYAZA-KALERWE'!F96</f>
        <v>14.5</v>
      </c>
      <c r="G96" s="49">
        <f>'Avg Week KALERWE-GAYAZA'!G96+'Avg Week GAYAZA-KALERWE'!G96</f>
        <v>0</v>
      </c>
      <c r="H96" s="49">
        <f>'Avg Week KALERWE-GAYAZA'!H96+'Avg Week GAYAZA-KALERWE'!H96</f>
        <v>0</v>
      </c>
      <c r="I96" s="49">
        <f>'Avg Week KALERWE-GAYAZA'!I96+'Avg Week GAYAZA-KALERWE'!I96</f>
        <v>36</v>
      </c>
      <c r="J96" s="49">
        <f>'Avg Week KALERWE-GAYAZA'!J96+'Avg Week GAYAZA-KALERWE'!J96</f>
        <v>7</v>
      </c>
      <c r="K96" s="49">
        <f>'Avg Week KALERWE-GAYAZA'!K96+'Avg Week GAYAZA-KALERWE'!K96</f>
        <v>1</v>
      </c>
      <c r="L96" s="49">
        <f>'Avg Week KALERWE-GAYAZA'!L96+'Avg Week GAYAZA-KALERWE'!L96</f>
        <v>1</v>
      </c>
      <c r="M96" s="49">
        <f>'Avg Week KALERWE-GAYAZA'!M96+'Avg Week GAYAZA-KALERWE'!M96</f>
        <v>99.5</v>
      </c>
      <c r="N96" s="49">
        <f>'Avg Week KALERWE-GAYAZA'!N96+'Avg Week GAYAZA-KALERWE'!N96</f>
        <v>0</v>
      </c>
      <c r="O96" s="15">
        <f t="shared" si="35"/>
        <v>90.5</v>
      </c>
      <c r="P96" s="15">
        <f t="shared" si="36"/>
        <v>190</v>
      </c>
      <c r="R96" s="8"/>
      <c r="T96"/>
    </row>
    <row r="97" spans="2:20" ht="23.1" customHeight="1" x14ac:dyDescent="0.25">
      <c r="B97" s="23" t="s">
        <v>137</v>
      </c>
      <c r="C97" s="49">
        <f>'Avg Week KALERWE-GAYAZA'!C97+'Avg Week GAYAZA-KALERWE'!C97</f>
        <v>22.5</v>
      </c>
      <c r="D97" s="49">
        <f>'Avg Week KALERWE-GAYAZA'!D97+'Avg Week GAYAZA-KALERWE'!D97</f>
        <v>3</v>
      </c>
      <c r="E97" s="49">
        <f>'Avg Week KALERWE-GAYAZA'!E97+'Avg Week GAYAZA-KALERWE'!E97</f>
        <v>5</v>
      </c>
      <c r="F97" s="49">
        <f>'Avg Week KALERWE-GAYAZA'!F97+'Avg Week GAYAZA-KALERWE'!F97</f>
        <v>18</v>
      </c>
      <c r="G97" s="49">
        <f>'Avg Week KALERWE-GAYAZA'!G97+'Avg Week GAYAZA-KALERWE'!G97</f>
        <v>0</v>
      </c>
      <c r="H97" s="49">
        <f>'Avg Week KALERWE-GAYAZA'!H97+'Avg Week GAYAZA-KALERWE'!H97</f>
        <v>0.5</v>
      </c>
      <c r="I97" s="49">
        <f>'Avg Week KALERWE-GAYAZA'!I97+'Avg Week GAYAZA-KALERWE'!I97</f>
        <v>4.5</v>
      </c>
      <c r="J97" s="49">
        <f>'Avg Week KALERWE-GAYAZA'!J97+'Avg Week GAYAZA-KALERWE'!J97</f>
        <v>6</v>
      </c>
      <c r="K97" s="49">
        <f>'Avg Week KALERWE-GAYAZA'!K97+'Avg Week GAYAZA-KALERWE'!K97</f>
        <v>1.5</v>
      </c>
      <c r="L97" s="49">
        <f>'Avg Week KALERWE-GAYAZA'!L97+'Avg Week GAYAZA-KALERWE'!L97</f>
        <v>2.5</v>
      </c>
      <c r="M97" s="49">
        <f>'Avg Week KALERWE-GAYAZA'!M97+'Avg Week GAYAZA-KALERWE'!M97</f>
        <v>114.5</v>
      </c>
      <c r="N97" s="49">
        <f>'Avg Week KALERWE-GAYAZA'!N97+'Avg Week GAYAZA-KALERWE'!N97</f>
        <v>0</v>
      </c>
      <c r="O97" s="15">
        <f t="shared" si="35"/>
        <v>63.5</v>
      </c>
      <c r="P97" s="15">
        <f t="shared" si="36"/>
        <v>178</v>
      </c>
      <c r="R97" s="8"/>
      <c r="T97"/>
    </row>
    <row r="98" spans="2:20" ht="23.1" customHeight="1" x14ac:dyDescent="0.25">
      <c r="B98" s="24" t="s">
        <v>138</v>
      </c>
      <c r="C98" s="49">
        <f>'Avg Week KALERWE-GAYAZA'!C98+'Avg Week GAYAZA-KALERWE'!C98</f>
        <v>16.5</v>
      </c>
      <c r="D98" s="49">
        <f>'Avg Week KALERWE-GAYAZA'!D98+'Avg Week GAYAZA-KALERWE'!D98</f>
        <v>4.5</v>
      </c>
      <c r="E98" s="49">
        <f>'Avg Week KALERWE-GAYAZA'!E98+'Avg Week GAYAZA-KALERWE'!E98</f>
        <v>1</v>
      </c>
      <c r="F98" s="49">
        <f>'Avg Week KALERWE-GAYAZA'!F98+'Avg Week GAYAZA-KALERWE'!F98</f>
        <v>23.5</v>
      </c>
      <c r="G98" s="49">
        <f>'Avg Week KALERWE-GAYAZA'!G98+'Avg Week GAYAZA-KALERWE'!G98</f>
        <v>0</v>
      </c>
      <c r="H98" s="49">
        <f>'Avg Week KALERWE-GAYAZA'!H98+'Avg Week GAYAZA-KALERWE'!H98</f>
        <v>0</v>
      </c>
      <c r="I98" s="49">
        <f>'Avg Week KALERWE-GAYAZA'!I98+'Avg Week GAYAZA-KALERWE'!I98</f>
        <v>3.5</v>
      </c>
      <c r="J98" s="49">
        <f>'Avg Week KALERWE-GAYAZA'!J98+'Avg Week GAYAZA-KALERWE'!J98</f>
        <v>4.5</v>
      </c>
      <c r="K98" s="49">
        <f>'Avg Week KALERWE-GAYAZA'!K98+'Avg Week GAYAZA-KALERWE'!K98</f>
        <v>1</v>
      </c>
      <c r="L98" s="49">
        <f>'Avg Week KALERWE-GAYAZA'!L98+'Avg Week GAYAZA-KALERWE'!L98</f>
        <v>2.5</v>
      </c>
      <c r="M98" s="49">
        <f>'Avg Week KALERWE-GAYAZA'!M98+'Avg Week GAYAZA-KALERWE'!M98</f>
        <v>142</v>
      </c>
      <c r="N98" s="49">
        <f>'Avg Week KALERWE-GAYAZA'!N98+'Avg Week GAYAZA-KALERWE'!N98</f>
        <v>0</v>
      </c>
      <c r="O98" s="15">
        <f t="shared" si="35"/>
        <v>57</v>
      </c>
      <c r="P98" s="15">
        <f t="shared" si="36"/>
        <v>199</v>
      </c>
      <c r="R98" s="8"/>
      <c r="T98"/>
    </row>
    <row r="99" spans="2:20" ht="23.1" customHeight="1" x14ac:dyDescent="0.25">
      <c r="B99" s="23" t="s">
        <v>139</v>
      </c>
      <c r="C99" s="49">
        <f>'Avg Week KALERWE-GAYAZA'!C99+'Avg Week GAYAZA-KALERWE'!C99</f>
        <v>30</v>
      </c>
      <c r="D99" s="49">
        <f>'Avg Week KALERWE-GAYAZA'!D99+'Avg Week GAYAZA-KALERWE'!D99</f>
        <v>2</v>
      </c>
      <c r="E99" s="49">
        <f>'Avg Week KALERWE-GAYAZA'!E99+'Avg Week GAYAZA-KALERWE'!E99</f>
        <v>2.5</v>
      </c>
      <c r="F99" s="49">
        <f>'Avg Week KALERWE-GAYAZA'!F99+'Avg Week GAYAZA-KALERWE'!F99</f>
        <v>29.5</v>
      </c>
      <c r="G99" s="49">
        <f>'Avg Week KALERWE-GAYAZA'!G99+'Avg Week GAYAZA-KALERWE'!G99</f>
        <v>0.5</v>
      </c>
      <c r="H99" s="49">
        <f>'Avg Week KALERWE-GAYAZA'!H99+'Avg Week GAYAZA-KALERWE'!H99</f>
        <v>0</v>
      </c>
      <c r="I99" s="49">
        <f>'Avg Week KALERWE-GAYAZA'!I99+'Avg Week GAYAZA-KALERWE'!I99</f>
        <v>3.5</v>
      </c>
      <c r="J99" s="49">
        <f>'Avg Week KALERWE-GAYAZA'!J99+'Avg Week GAYAZA-KALERWE'!J99</f>
        <v>5</v>
      </c>
      <c r="K99" s="49">
        <f>'Avg Week KALERWE-GAYAZA'!K99+'Avg Week GAYAZA-KALERWE'!K99</f>
        <v>0.5</v>
      </c>
      <c r="L99" s="49">
        <f>'Avg Week KALERWE-GAYAZA'!L99+'Avg Week GAYAZA-KALERWE'!L99</f>
        <v>1.5</v>
      </c>
      <c r="M99" s="49">
        <f>'Avg Week KALERWE-GAYAZA'!M99+'Avg Week GAYAZA-KALERWE'!M99</f>
        <v>143.5</v>
      </c>
      <c r="N99" s="49">
        <f>'Avg Week KALERWE-GAYAZA'!N99+'Avg Week GAYAZA-KALERWE'!N99</f>
        <v>0</v>
      </c>
      <c r="O99" s="15">
        <f t="shared" si="35"/>
        <v>75</v>
      </c>
      <c r="P99" s="15">
        <f t="shared" si="36"/>
        <v>218.5</v>
      </c>
      <c r="R99" s="8"/>
      <c r="T99"/>
    </row>
    <row r="100" spans="2:20" ht="23.1" customHeight="1" x14ac:dyDescent="0.25">
      <c r="B100" s="25" t="s">
        <v>140</v>
      </c>
      <c r="C100" s="49">
        <f>'Avg Week KALERWE-GAYAZA'!C100+'Avg Week GAYAZA-KALERWE'!C100</f>
        <v>25</v>
      </c>
      <c r="D100" s="49">
        <f>'Avg Week KALERWE-GAYAZA'!D100+'Avg Week GAYAZA-KALERWE'!D100</f>
        <v>3.5</v>
      </c>
      <c r="E100" s="49">
        <f>'Avg Week KALERWE-GAYAZA'!E100+'Avg Week GAYAZA-KALERWE'!E100</f>
        <v>5.5</v>
      </c>
      <c r="F100" s="49">
        <f>'Avg Week KALERWE-GAYAZA'!F100+'Avg Week GAYAZA-KALERWE'!F100</f>
        <v>33.5</v>
      </c>
      <c r="G100" s="49">
        <f>'Avg Week KALERWE-GAYAZA'!G100+'Avg Week GAYAZA-KALERWE'!G100</f>
        <v>0</v>
      </c>
      <c r="H100" s="49">
        <f>'Avg Week KALERWE-GAYAZA'!H100+'Avg Week GAYAZA-KALERWE'!H100</f>
        <v>0</v>
      </c>
      <c r="I100" s="49">
        <f>'Avg Week KALERWE-GAYAZA'!I100+'Avg Week GAYAZA-KALERWE'!I100</f>
        <v>3</v>
      </c>
      <c r="J100" s="49">
        <f>'Avg Week KALERWE-GAYAZA'!J100+'Avg Week GAYAZA-KALERWE'!J100</f>
        <v>3</v>
      </c>
      <c r="K100" s="49">
        <f>'Avg Week KALERWE-GAYAZA'!K100+'Avg Week GAYAZA-KALERWE'!K100</f>
        <v>1</v>
      </c>
      <c r="L100" s="49">
        <f>'Avg Week KALERWE-GAYAZA'!L100+'Avg Week GAYAZA-KALERWE'!L100</f>
        <v>0</v>
      </c>
      <c r="M100" s="49">
        <f>'Avg Week KALERWE-GAYAZA'!M100+'Avg Week GAYAZA-KALERWE'!M100</f>
        <v>145.5</v>
      </c>
      <c r="N100" s="49">
        <f>'Avg Week KALERWE-GAYAZA'!N100+'Avg Week GAYAZA-KALERWE'!N100</f>
        <v>0</v>
      </c>
      <c r="O100" s="15">
        <f t="shared" si="35"/>
        <v>74.5</v>
      </c>
      <c r="P100" s="15">
        <f t="shared" si="36"/>
        <v>220</v>
      </c>
      <c r="R100" s="8"/>
      <c r="T100"/>
    </row>
    <row r="101" spans="2:20" ht="23.1" customHeight="1" x14ac:dyDescent="0.25">
      <c r="B101" s="23" t="s">
        <v>141</v>
      </c>
      <c r="C101" s="49">
        <f>'Avg Week KALERWE-GAYAZA'!C101+'Avg Week GAYAZA-KALERWE'!C101</f>
        <v>30.5</v>
      </c>
      <c r="D101" s="49">
        <f>'Avg Week KALERWE-GAYAZA'!D101+'Avg Week GAYAZA-KALERWE'!D101</f>
        <v>9.5</v>
      </c>
      <c r="E101" s="49">
        <f>'Avg Week KALERWE-GAYAZA'!E101+'Avg Week GAYAZA-KALERWE'!E101</f>
        <v>5.5</v>
      </c>
      <c r="F101" s="49">
        <f>'Avg Week KALERWE-GAYAZA'!F101+'Avg Week GAYAZA-KALERWE'!F101</f>
        <v>40.5</v>
      </c>
      <c r="G101" s="49">
        <f>'Avg Week KALERWE-GAYAZA'!G101+'Avg Week GAYAZA-KALERWE'!G101</f>
        <v>0</v>
      </c>
      <c r="H101" s="49">
        <f>'Avg Week KALERWE-GAYAZA'!H101+'Avg Week GAYAZA-KALERWE'!H101</f>
        <v>0.5</v>
      </c>
      <c r="I101" s="49">
        <f>'Avg Week KALERWE-GAYAZA'!I101+'Avg Week GAYAZA-KALERWE'!I101</f>
        <v>2</v>
      </c>
      <c r="J101" s="49">
        <f>'Avg Week KALERWE-GAYAZA'!J101+'Avg Week GAYAZA-KALERWE'!J101</f>
        <v>5</v>
      </c>
      <c r="K101" s="49">
        <f>'Avg Week KALERWE-GAYAZA'!K101+'Avg Week GAYAZA-KALERWE'!K101</f>
        <v>4</v>
      </c>
      <c r="L101" s="49">
        <f>'Avg Week KALERWE-GAYAZA'!L101+'Avg Week GAYAZA-KALERWE'!L101</f>
        <v>2.5</v>
      </c>
      <c r="M101" s="49">
        <f>'Avg Week KALERWE-GAYAZA'!M101+'Avg Week GAYAZA-KALERWE'!M101</f>
        <v>161</v>
      </c>
      <c r="N101" s="49">
        <f>'Avg Week KALERWE-GAYAZA'!N101+'Avg Week GAYAZA-KALERWE'!N101</f>
        <v>0</v>
      </c>
      <c r="O101" s="15">
        <f t="shared" si="35"/>
        <v>100</v>
      </c>
      <c r="P101" s="15">
        <f t="shared" si="36"/>
        <v>261</v>
      </c>
      <c r="R101" s="8"/>
      <c r="T101"/>
    </row>
    <row r="102" spans="2:20" ht="23.1" customHeight="1" x14ac:dyDescent="0.25">
      <c r="B102" s="24" t="s">
        <v>142</v>
      </c>
      <c r="C102" s="49">
        <f>'Avg Week KALERWE-GAYAZA'!C102+'Avg Week GAYAZA-KALERWE'!C102</f>
        <v>39</v>
      </c>
      <c r="D102" s="49">
        <f>'Avg Week KALERWE-GAYAZA'!D102+'Avg Week GAYAZA-KALERWE'!D102</f>
        <v>10.5</v>
      </c>
      <c r="E102" s="49">
        <f>'Avg Week KALERWE-GAYAZA'!E102+'Avg Week GAYAZA-KALERWE'!E102</f>
        <v>9</v>
      </c>
      <c r="F102" s="49">
        <f>'Avg Week KALERWE-GAYAZA'!F102+'Avg Week GAYAZA-KALERWE'!F102</f>
        <v>57.5</v>
      </c>
      <c r="G102" s="49">
        <f>'Avg Week KALERWE-GAYAZA'!G102+'Avg Week GAYAZA-KALERWE'!G102</f>
        <v>1.5</v>
      </c>
      <c r="H102" s="49">
        <f>'Avg Week KALERWE-GAYAZA'!H102+'Avg Week GAYAZA-KALERWE'!H102</f>
        <v>0</v>
      </c>
      <c r="I102" s="49">
        <f>'Avg Week KALERWE-GAYAZA'!I102+'Avg Week GAYAZA-KALERWE'!I102</f>
        <v>7</v>
      </c>
      <c r="J102" s="49">
        <f>'Avg Week KALERWE-GAYAZA'!J102+'Avg Week GAYAZA-KALERWE'!J102</f>
        <v>6.5</v>
      </c>
      <c r="K102" s="49">
        <f>'Avg Week KALERWE-GAYAZA'!K102+'Avg Week GAYAZA-KALERWE'!K102</f>
        <v>3</v>
      </c>
      <c r="L102" s="49">
        <f>'Avg Week KALERWE-GAYAZA'!L102+'Avg Week GAYAZA-KALERWE'!L102</f>
        <v>1</v>
      </c>
      <c r="M102" s="49">
        <f>'Avg Week KALERWE-GAYAZA'!M102+'Avg Week GAYAZA-KALERWE'!M102</f>
        <v>210</v>
      </c>
      <c r="N102" s="49">
        <f>'Avg Week KALERWE-GAYAZA'!N102+'Avg Week GAYAZA-KALERWE'!N102</f>
        <v>0</v>
      </c>
      <c r="O102" s="15">
        <f t="shared" si="35"/>
        <v>135</v>
      </c>
      <c r="P102" s="15">
        <f t="shared" si="36"/>
        <v>345</v>
      </c>
      <c r="R102" s="8"/>
      <c r="T102"/>
    </row>
    <row r="103" spans="2:20" ht="23.1" customHeight="1" x14ac:dyDescent="0.25">
      <c r="B103" s="23" t="s">
        <v>143</v>
      </c>
      <c r="C103" s="49">
        <f>'Avg Week KALERWE-GAYAZA'!C103+'Avg Week GAYAZA-KALERWE'!C103</f>
        <v>37.5</v>
      </c>
      <c r="D103" s="49">
        <f>'Avg Week KALERWE-GAYAZA'!D103+'Avg Week GAYAZA-KALERWE'!D103</f>
        <v>6.5</v>
      </c>
      <c r="E103" s="49">
        <f>'Avg Week KALERWE-GAYAZA'!E103+'Avg Week GAYAZA-KALERWE'!E103</f>
        <v>4.5</v>
      </c>
      <c r="F103" s="49">
        <f>'Avg Week KALERWE-GAYAZA'!F103+'Avg Week GAYAZA-KALERWE'!F103</f>
        <v>64.5</v>
      </c>
      <c r="G103" s="49">
        <f>'Avg Week KALERWE-GAYAZA'!G103+'Avg Week GAYAZA-KALERWE'!G103</f>
        <v>0.5</v>
      </c>
      <c r="H103" s="49">
        <f>'Avg Week KALERWE-GAYAZA'!H103+'Avg Week GAYAZA-KALERWE'!H103</f>
        <v>0</v>
      </c>
      <c r="I103" s="49">
        <f>'Avg Week KALERWE-GAYAZA'!I103+'Avg Week GAYAZA-KALERWE'!I103</f>
        <v>4.5</v>
      </c>
      <c r="J103" s="49">
        <f>'Avg Week KALERWE-GAYAZA'!J103+'Avg Week GAYAZA-KALERWE'!J103</f>
        <v>9.5</v>
      </c>
      <c r="K103" s="49">
        <f>'Avg Week KALERWE-GAYAZA'!K103+'Avg Week GAYAZA-KALERWE'!K103</f>
        <v>0.5</v>
      </c>
      <c r="L103" s="49">
        <f>'Avg Week KALERWE-GAYAZA'!L103+'Avg Week GAYAZA-KALERWE'!L103</f>
        <v>1.5</v>
      </c>
      <c r="M103" s="49">
        <f>'Avg Week KALERWE-GAYAZA'!M103+'Avg Week GAYAZA-KALERWE'!M103</f>
        <v>257</v>
      </c>
      <c r="N103" s="49">
        <f>'Avg Week KALERWE-GAYAZA'!N103+'Avg Week GAYAZA-KALERWE'!N103</f>
        <v>0</v>
      </c>
      <c r="O103" s="15">
        <f t="shared" si="35"/>
        <v>129.5</v>
      </c>
      <c r="P103" s="15">
        <f t="shared" si="36"/>
        <v>386.5</v>
      </c>
      <c r="R103" s="8"/>
      <c r="T103"/>
    </row>
    <row r="104" spans="2:20" ht="23.1" customHeight="1" x14ac:dyDescent="0.25">
      <c r="B104" s="25" t="s">
        <v>144</v>
      </c>
      <c r="C104" s="49">
        <f>'Avg Week KALERWE-GAYAZA'!C104+'Avg Week GAYAZA-KALERWE'!C104</f>
        <v>35</v>
      </c>
      <c r="D104" s="49">
        <f>'Avg Week KALERWE-GAYAZA'!D104+'Avg Week GAYAZA-KALERWE'!D104</f>
        <v>11</v>
      </c>
      <c r="E104" s="49">
        <f>'Avg Week KALERWE-GAYAZA'!E104+'Avg Week GAYAZA-KALERWE'!E104</f>
        <v>10</v>
      </c>
      <c r="F104" s="49">
        <f>'Avg Week KALERWE-GAYAZA'!F104+'Avg Week GAYAZA-KALERWE'!F104</f>
        <v>66</v>
      </c>
      <c r="G104" s="49">
        <f>'Avg Week KALERWE-GAYAZA'!G104+'Avg Week GAYAZA-KALERWE'!G104</f>
        <v>0</v>
      </c>
      <c r="H104" s="49">
        <f>'Avg Week KALERWE-GAYAZA'!H104+'Avg Week GAYAZA-KALERWE'!H104</f>
        <v>1</v>
      </c>
      <c r="I104" s="49">
        <f>'Avg Week KALERWE-GAYAZA'!I104+'Avg Week GAYAZA-KALERWE'!I104</f>
        <v>7</v>
      </c>
      <c r="J104" s="49">
        <f>'Avg Week KALERWE-GAYAZA'!J104+'Avg Week GAYAZA-KALERWE'!J104</f>
        <v>6</v>
      </c>
      <c r="K104" s="49">
        <f>'Avg Week KALERWE-GAYAZA'!K104+'Avg Week GAYAZA-KALERWE'!K104</f>
        <v>2.5</v>
      </c>
      <c r="L104" s="49">
        <f>'Avg Week KALERWE-GAYAZA'!L104+'Avg Week GAYAZA-KALERWE'!L104</f>
        <v>2</v>
      </c>
      <c r="M104" s="49">
        <f>'Avg Week KALERWE-GAYAZA'!M104+'Avg Week GAYAZA-KALERWE'!M104</f>
        <v>287</v>
      </c>
      <c r="N104" s="49">
        <f>'Avg Week KALERWE-GAYAZA'!N104+'Avg Week GAYAZA-KALERWE'!N104</f>
        <v>0</v>
      </c>
      <c r="O104" s="15">
        <f t="shared" si="35"/>
        <v>140.5</v>
      </c>
      <c r="P104" s="15">
        <f t="shared" si="36"/>
        <v>427.5</v>
      </c>
      <c r="R104" s="8"/>
      <c r="T104"/>
    </row>
    <row r="105" spans="2:20" ht="23.1" customHeight="1" x14ac:dyDescent="0.25">
      <c r="B105" s="23" t="s">
        <v>145</v>
      </c>
      <c r="C105" s="49">
        <f>'Avg Week KALERWE-GAYAZA'!C105+'Avg Week GAYAZA-KALERWE'!C105</f>
        <v>45</v>
      </c>
      <c r="D105" s="49">
        <f>'Avg Week KALERWE-GAYAZA'!D105+'Avg Week GAYAZA-KALERWE'!D105</f>
        <v>11.5</v>
      </c>
      <c r="E105" s="49">
        <f>'Avg Week KALERWE-GAYAZA'!E105+'Avg Week GAYAZA-KALERWE'!E105</f>
        <v>10.5</v>
      </c>
      <c r="F105" s="49">
        <f>'Avg Week KALERWE-GAYAZA'!F105+'Avg Week GAYAZA-KALERWE'!F105</f>
        <v>64.5</v>
      </c>
      <c r="G105" s="49">
        <f>'Avg Week KALERWE-GAYAZA'!G105+'Avg Week GAYAZA-KALERWE'!G105</f>
        <v>1</v>
      </c>
      <c r="H105" s="49">
        <f>'Avg Week KALERWE-GAYAZA'!H105+'Avg Week GAYAZA-KALERWE'!H105</f>
        <v>1</v>
      </c>
      <c r="I105" s="49">
        <f>'Avg Week KALERWE-GAYAZA'!I105+'Avg Week GAYAZA-KALERWE'!I105</f>
        <v>8</v>
      </c>
      <c r="J105" s="49">
        <f>'Avg Week KALERWE-GAYAZA'!J105+'Avg Week GAYAZA-KALERWE'!J105</f>
        <v>7</v>
      </c>
      <c r="K105" s="49">
        <f>'Avg Week KALERWE-GAYAZA'!K105+'Avg Week GAYAZA-KALERWE'!K105</f>
        <v>0.5</v>
      </c>
      <c r="L105" s="49">
        <f>'Avg Week KALERWE-GAYAZA'!L105+'Avg Week GAYAZA-KALERWE'!L105</f>
        <v>4</v>
      </c>
      <c r="M105" s="49">
        <f>'Avg Week KALERWE-GAYAZA'!M105+'Avg Week GAYAZA-KALERWE'!M105</f>
        <v>349.5</v>
      </c>
      <c r="N105" s="49">
        <f>'Avg Week KALERWE-GAYAZA'!N105+'Avg Week GAYAZA-KALERWE'!N105</f>
        <v>0</v>
      </c>
      <c r="O105" s="15">
        <f t="shared" si="35"/>
        <v>153</v>
      </c>
      <c r="P105" s="15">
        <f t="shared" si="36"/>
        <v>502.5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5328.5714285714284</v>
      </c>
      <c r="D106" s="16">
        <f t="shared" si="37"/>
        <v>1172.7142857142858</v>
      </c>
      <c r="E106" s="16">
        <f t="shared" si="37"/>
        <v>905.14285714285722</v>
      </c>
      <c r="F106" s="16">
        <f t="shared" si="37"/>
        <v>5033.1428571428587</v>
      </c>
      <c r="G106" s="16">
        <f t="shared" si="37"/>
        <v>93.857142857142875</v>
      </c>
      <c r="H106" s="16">
        <f t="shared" si="37"/>
        <v>66.142857142857153</v>
      </c>
      <c r="I106" s="16">
        <f t="shared" si="37"/>
        <v>762</v>
      </c>
      <c r="J106" s="16">
        <f t="shared" si="37"/>
        <v>402.85714285714278</v>
      </c>
      <c r="K106" s="16">
        <f t="shared" si="37"/>
        <v>151.00000000000003</v>
      </c>
      <c r="L106" s="16">
        <f t="shared" si="37"/>
        <v>151.57142857142858</v>
      </c>
      <c r="M106" s="16">
        <f t="shared" si="37"/>
        <v>21926.285714285717</v>
      </c>
      <c r="N106" s="16">
        <f t="shared" si="37"/>
        <v>0.42857142857142855</v>
      </c>
      <c r="O106" s="16">
        <f t="shared" si="37"/>
        <v>14067.428571428571</v>
      </c>
      <c r="P106" s="16">
        <f t="shared" si="37"/>
        <v>35993.71428571429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0.14804172157043291</v>
      </c>
      <c r="D107" s="43">
        <f t="shared" si="38"/>
        <v>3.2581085586372224E-2</v>
      </c>
      <c r="E107" s="43">
        <f t="shared" si="38"/>
        <v>2.5147247932178634E-2</v>
      </c>
      <c r="F107" s="43">
        <f t="shared" si="38"/>
        <v>0.13983393925923576</v>
      </c>
      <c r="G107" s="43">
        <f t="shared" si="38"/>
        <v>2.6075981520582961E-3</v>
      </c>
      <c r="H107" s="43">
        <f t="shared" si="38"/>
        <v>1.8376224420136849E-3</v>
      </c>
      <c r="I107" s="43">
        <f t="shared" si="38"/>
        <v>2.1170363079267805E-2</v>
      </c>
      <c r="J107" s="43">
        <f t="shared" si="38"/>
        <v>1.1192430424359806E-2</v>
      </c>
      <c r="K107" s="43">
        <f t="shared" si="38"/>
        <v>4.1951769356554326E-3</v>
      </c>
      <c r="L107" s="43">
        <f t="shared" si="38"/>
        <v>4.2110527234914029E-3</v>
      </c>
      <c r="M107" s="43">
        <f t="shared" si="38"/>
        <v>0.60916985505405707</v>
      </c>
      <c r="N107" s="43">
        <f t="shared" si="38"/>
        <v>1.1906840876978518E-5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0.37878787878787878</v>
      </c>
      <c r="D108" s="44">
        <f t="shared" ref="D108:N108" si="39">D106/$O$106</f>
        <v>8.3363798846372586E-2</v>
      </c>
      <c r="E108" s="44">
        <f t="shared" si="39"/>
        <v>6.434316353887401E-2</v>
      </c>
      <c r="F108" s="44">
        <f t="shared" si="39"/>
        <v>0.35778698513282975</v>
      </c>
      <c r="G108" s="44">
        <f t="shared" si="39"/>
        <v>6.6719473555934697E-3</v>
      </c>
      <c r="H108" s="44">
        <f t="shared" si="39"/>
        <v>4.7018441790559759E-3</v>
      </c>
      <c r="I108" s="44">
        <f t="shared" si="39"/>
        <v>5.4167682183767975E-2</v>
      </c>
      <c r="J108" s="44">
        <f t="shared" si="39"/>
        <v>2.8637582256885202E-2</v>
      </c>
      <c r="K108" s="44">
        <f t="shared" si="39"/>
        <v>1.0734015760825414E-2</v>
      </c>
      <c r="L108" s="44">
        <f t="shared" si="39"/>
        <v>1.0774636444877733E-2</v>
      </c>
      <c r="M108" s="44"/>
      <c r="N108" s="44">
        <f t="shared" si="39"/>
        <v>3.0465513039239581E-5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KALERWE-GAYAZA</vt:lpstr>
      <vt:lpstr>22.07 GAYAZA-KALERWE</vt:lpstr>
      <vt:lpstr>23.07 KALERWE-GAYAZA</vt:lpstr>
      <vt:lpstr>23.07 GAYAZA-KALERWE</vt:lpstr>
      <vt:lpstr>24.07 KALERWE-GAYAZA</vt:lpstr>
      <vt:lpstr>24.07 GAYAZA-KALERWE</vt:lpstr>
      <vt:lpstr>25.07 KALERWE-GAYAZA</vt:lpstr>
      <vt:lpstr>25.07 GAYAZA-KALERWE</vt:lpstr>
      <vt:lpstr>26.07 KALERWE-GAYAZA-24h</vt:lpstr>
      <vt:lpstr>26.07 GAYAZA-KALERWE-24h</vt:lpstr>
      <vt:lpstr>27.07 KALERWE-GAYAZA-24h</vt:lpstr>
      <vt:lpstr>27.07 GAYAZA-KALERWE-24h</vt:lpstr>
      <vt:lpstr>28.07 KALERWE-GAYAZA</vt:lpstr>
      <vt:lpstr>28.07 GAYAZA-KALERWE</vt:lpstr>
      <vt:lpstr>Avg Week KALERWE-GAYAZA</vt:lpstr>
      <vt:lpstr>Avg Week GAYAZA-KALERWE</vt:lpstr>
      <vt:lpstr>Avg Week KALERWE-GAYAZA-2Dir</vt:lpstr>
      <vt:lpstr>'22.07 GAYAZA-KALERWE'!Print_Area</vt:lpstr>
      <vt:lpstr>'22.07 KALERWE-GAYAZA'!Print_Area</vt:lpstr>
      <vt:lpstr>'23.07 GAYAZA-KALERWE'!Print_Area</vt:lpstr>
      <vt:lpstr>'23.07 KALERWE-GAYAZA'!Print_Area</vt:lpstr>
      <vt:lpstr>'24.07 GAYAZA-KALERWE'!Print_Area</vt:lpstr>
      <vt:lpstr>'24.07 KALERWE-GAYAZA'!Print_Area</vt:lpstr>
      <vt:lpstr>'25.07 GAYAZA-KALERWE'!Print_Area</vt:lpstr>
      <vt:lpstr>'25.07 KALERWE-GAYAZA'!Print_Area</vt:lpstr>
      <vt:lpstr>'26.07 GAYAZA-KALERWE-24h'!Print_Area</vt:lpstr>
      <vt:lpstr>'26.07 KALERWE-GAYAZA-24h'!Print_Area</vt:lpstr>
      <vt:lpstr>'27.07 GAYAZA-KALERWE-24h'!Print_Area</vt:lpstr>
      <vt:lpstr>'27.07 KALERWE-GAYAZA-24h'!Print_Area</vt:lpstr>
      <vt:lpstr>'28.07 GAYAZA-KALERWE'!Print_Area</vt:lpstr>
      <vt:lpstr>'28.07 KALERWE-GAYAZA'!Print_Area</vt:lpstr>
      <vt:lpstr>'Avg Week GAYAZA-KALERWE'!Print_Area</vt:lpstr>
      <vt:lpstr>'Avg Week KALERWE-GAYAZA'!Print_Area</vt:lpstr>
      <vt:lpstr>'Avg Week KALERWE-GAYAZA-2Dir'!Print_Area</vt:lpstr>
      <vt:lpstr>'22.07 GAYAZA-KALERWE'!Print_Titles</vt:lpstr>
      <vt:lpstr>'22.07 KALERWE-GAYAZA'!Print_Titles</vt:lpstr>
      <vt:lpstr>'23.07 GAYAZA-KALERWE'!Print_Titles</vt:lpstr>
      <vt:lpstr>'23.07 KALERWE-GAYAZA'!Print_Titles</vt:lpstr>
      <vt:lpstr>'24.07 GAYAZA-KALERWE'!Print_Titles</vt:lpstr>
      <vt:lpstr>'24.07 KALERWE-GAYAZA'!Print_Titles</vt:lpstr>
      <vt:lpstr>'25.07 GAYAZA-KALERWE'!Print_Titles</vt:lpstr>
      <vt:lpstr>'25.07 KALERWE-GAYAZA'!Print_Titles</vt:lpstr>
      <vt:lpstr>'26.07 GAYAZA-KALERWE-24h'!Print_Titles</vt:lpstr>
      <vt:lpstr>'26.07 KALERWE-GAYAZA-24h'!Print_Titles</vt:lpstr>
      <vt:lpstr>'27.07 GAYAZA-KALERWE-24h'!Print_Titles</vt:lpstr>
      <vt:lpstr>'27.07 KALERWE-GAYAZA-24h'!Print_Titles</vt:lpstr>
      <vt:lpstr>'28.07 GAYAZA-KALERWE'!Print_Titles</vt:lpstr>
      <vt:lpstr>'28.07 KALERWE-GAYAZA'!Print_Titles</vt:lpstr>
      <vt:lpstr>'Avg Week GAYAZA-KALERWE'!Print_Titles</vt:lpstr>
      <vt:lpstr>'Avg Week KALERWE-GAYAZA'!Print_Titles</vt:lpstr>
      <vt:lpstr>'Avg Week KALERWE-GAYAZA-2Dir'!Print_Titles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2020-01-15T17:43:53Z</dcterms:modified>
</cp:coreProperties>
</file>